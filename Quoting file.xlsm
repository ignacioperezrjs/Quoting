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gnac\Downloads\"/>
    </mc:Choice>
  </mc:AlternateContent>
  <xr:revisionPtr revIDLastSave="0" documentId="8_{62B864D5-9D4B-49D7-9250-B09082B67B5B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Datos generales" sheetId="1" r:id="rId1"/>
    <sheet name="Datos proyecto" sheetId="14" r:id="rId2"/>
    <sheet name="Resumen" sheetId="3" r:id="rId3"/>
    <sheet name="Desarrollo" sheetId="13" r:id="rId4"/>
    <sheet name="Viajes" sheetId="16" r:id="rId5"/>
    <sheet name="BoM" sheetId="11" r:id="rId6"/>
    <sheet name="Productos" sheetId="9" r:id="rId7"/>
  </sheets>
  <definedNames>
    <definedName name="_xleta.DOLLAR" hidden="1" xlm="1">#NAME?</definedName>
    <definedName name="_xleta.T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6" l="1"/>
  <c r="K13" i="16"/>
  <c r="J9" i="16"/>
  <c r="K9" i="16" s="1"/>
  <c r="I9" i="16"/>
  <c r="I11" i="16"/>
  <c r="K11" i="16" s="1"/>
  <c r="I12" i="16"/>
  <c r="K12" i="16" s="1"/>
  <c r="I13" i="16"/>
  <c r="I14" i="16"/>
  <c r="K14" i="16" s="1"/>
  <c r="I15" i="16"/>
  <c r="K15" i="16" s="1"/>
  <c r="I16" i="16"/>
  <c r="K16" i="16" s="1"/>
  <c r="I17" i="16"/>
  <c r="I18" i="16"/>
  <c r="K18" i="16" s="1"/>
  <c r="I19" i="16"/>
  <c r="K19" i="16" s="1"/>
  <c r="I20" i="16"/>
  <c r="K20" i="16" s="1"/>
  <c r="I21" i="16"/>
  <c r="K21" i="16" s="1"/>
  <c r="I22" i="16"/>
  <c r="K22" i="16" s="1"/>
  <c r="I23" i="16"/>
  <c r="K23" i="16" s="1"/>
  <c r="I24" i="16"/>
  <c r="K24" i="16" s="1"/>
  <c r="I25" i="16"/>
  <c r="K25" i="16" s="1"/>
  <c r="I26" i="16"/>
  <c r="K26" i="16" s="1"/>
  <c r="I27" i="16"/>
  <c r="K27" i="16" s="1"/>
  <c r="I28" i="16"/>
  <c r="K28" i="16" s="1"/>
  <c r="G9" i="16"/>
  <c r="D10" i="16"/>
  <c r="E9" i="16"/>
  <c r="D9" i="16"/>
  <c r="D4" i="16"/>
  <c r="J10" i="16" s="1"/>
  <c r="D5" i="16"/>
  <c r="E4" i="16"/>
  <c r="F4" i="16" s="1"/>
  <c r="E5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Q11" i="11"/>
  <c r="Q12" i="11"/>
  <c r="Q13" i="11"/>
  <c r="Q23" i="11"/>
  <c r="Q25" i="11"/>
  <c r="Q26" i="11"/>
  <c r="P7" i="11"/>
  <c r="P8" i="11"/>
  <c r="P9" i="11"/>
  <c r="P10" i="11"/>
  <c r="P11" i="11"/>
  <c r="R11" i="11" s="1"/>
  <c r="P12" i="11"/>
  <c r="R12" i="11" s="1"/>
  <c r="P13" i="11"/>
  <c r="P14" i="11"/>
  <c r="P15" i="11"/>
  <c r="P16" i="11"/>
  <c r="P17" i="11"/>
  <c r="P18" i="11"/>
  <c r="P19" i="11"/>
  <c r="P20" i="11"/>
  <c r="P21" i="11"/>
  <c r="P22" i="11"/>
  <c r="P23" i="11"/>
  <c r="R23" i="11" s="1"/>
  <c r="P24" i="11"/>
  <c r="P25" i="11"/>
  <c r="P26" i="11"/>
  <c r="P27" i="11"/>
  <c r="P28" i="11"/>
  <c r="P29" i="11"/>
  <c r="P30" i="11"/>
  <c r="P31" i="11"/>
  <c r="P32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13" i="9"/>
  <c r="L14" i="9"/>
  <c r="K3" i="1"/>
  <c r="K2" i="1"/>
  <c r="K4" i="1" s="1"/>
  <c r="D3" i="1" s="1"/>
  <c r="C9" i="14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G7" i="11"/>
  <c r="Q7" i="11" s="1"/>
  <c r="G8" i="11"/>
  <c r="Q8" i="11" s="1"/>
  <c r="G9" i="11"/>
  <c r="Q9" i="11" s="1"/>
  <c r="G10" i="11"/>
  <c r="Q10" i="11" s="1"/>
  <c r="G11" i="11"/>
  <c r="G12" i="11"/>
  <c r="G13" i="11"/>
  <c r="G14" i="11"/>
  <c r="Q14" i="11" s="1"/>
  <c r="G15" i="11"/>
  <c r="Q15" i="11" s="1"/>
  <c r="G16" i="11"/>
  <c r="Q16" i="11" s="1"/>
  <c r="G17" i="11"/>
  <c r="Q17" i="11" s="1"/>
  <c r="G18" i="11"/>
  <c r="Q18" i="11" s="1"/>
  <c r="G19" i="11"/>
  <c r="Q19" i="11" s="1"/>
  <c r="G20" i="11"/>
  <c r="Q20" i="11" s="1"/>
  <c r="G21" i="11"/>
  <c r="Q21" i="11" s="1"/>
  <c r="G22" i="11"/>
  <c r="Q22" i="11" s="1"/>
  <c r="G23" i="11"/>
  <c r="G24" i="11"/>
  <c r="Q24" i="11" s="1"/>
  <c r="G25" i="11"/>
  <c r="G26" i="11"/>
  <c r="G27" i="11"/>
  <c r="Q27" i="11" s="1"/>
  <c r="G28" i="11"/>
  <c r="Q28" i="11" s="1"/>
  <c r="G29" i="11"/>
  <c r="Q29" i="11" s="1"/>
  <c r="G30" i="11"/>
  <c r="Q30" i="11" s="1"/>
  <c r="G31" i="11"/>
  <c r="Q31" i="11" s="1"/>
  <c r="G32" i="11"/>
  <c r="Q32" i="11" s="1"/>
  <c r="F11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0" i="11"/>
  <c r="F9" i="11"/>
  <c r="F8" i="11"/>
  <c r="H16" i="9"/>
  <c r="J16" i="9" s="1"/>
  <c r="M16" i="9" s="1"/>
  <c r="H15" i="9"/>
  <c r="J15" i="9" s="1"/>
  <c r="K15" i="9" s="1"/>
  <c r="H14" i="9"/>
  <c r="J14" i="9" s="1"/>
  <c r="K14" i="9" s="1"/>
  <c r="H13" i="9"/>
  <c r="J13" i="9" s="1"/>
  <c r="N13" i="9" s="1"/>
  <c r="H12" i="9"/>
  <c r="J12" i="9" s="1"/>
  <c r="L12" i="9" s="1"/>
  <c r="H11" i="9"/>
  <c r="J11" i="9" s="1"/>
  <c r="L11" i="9" s="1"/>
  <c r="H10" i="9"/>
  <c r="J10" i="9" s="1"/>
  <c r="K10" i="9" s="1"/>
  <c r="H9" i="9"/>
  <c r="J9" i="9" s="1"/>
  <c r="M9" i="9" s="1"/>
  <c r="O9" i="11"/>
  <c r="N9" i="11"/>
  <c r="H8" i="9"/>
  <c r="J8" i="9" s="1"/>
  <c r="M8" i="9" s="1"/>
  <c r="L26" i="13"/>
  <c r="I26" i="13" s="1"/>
  <c r="J26" i="13"/>
  <c r="L25" i="13"/>
  <c r="J25" i="13"/>
  <c r="L24" i="13"/>
  <c r="J24" i="13"/>
  <c r="L23" i="13"/>
  <c r="I23" i="13" s="1"/>
  <c r="J23" i="13"/>
  <c r="L22" i="13"/>
  <c r="J22" i="13"/>
  <c r="L21" i="13"/>
  <c r="J21" i="13"/>
  <c r="L20" i="13"/>
  <c r="J20" i="13"/>
  <c r="I20" i="13"/>
  <c r="L19" i="13"/>
  <c r="I19" i="13" s="1"/>
  <c r="J19" i="13"/>
  <c r="L18" i="13"/>
  <c r="J18" i="13"/>
  <c r="L17" i="13"/>
  <c r="I17" i="13" s="1"/>
  <c r="J17" i="13"/>
  <c r="L16" i="13"/>
  <c r="J16" i="13"/>
  <c r="I16" i="13"/>
  <c r="L15" i="13"/>
  <c r="J15" i="13"/>
  <c r="O32" i="11"/>
  <c r="N32" i="11"/>
  <c r="O31" i="11"/>
  <c r="N31" i="11"/>
  <c r="O30" i="11"/>
  <c r="N30" i="11"/>
  <c r="O29" i="11"/>
  <c r="N29" i="11"/>
  <c r="O28" i="11"/>
  <c r="N28" i="11"/>
  <c r="O27" i="11"/>
  <c r="N27" i="11"/>
  <c r="O26" i="11"/>
  <c r="N26" i="11"/>
  <c r="O25" i="11"/>
  <c r="N25" i="11"/>
  <c r="O24" i="11"/>
  <c r="N24" i="11"/>
  <c r="O23" i="11"/>
  <c r="N23" i="11"/>
  <c r="O22" i="11"/>
  <c r="N22" i="11"/>
  <c r="O21" i="11"/>
  <c r="N21" i="11"/>
  <c r="O20" i="11"/>
  <c r="N20" i="11"/>
  <c r="O19" i="11"/>
  <c r="N19" i="11"/>
  <c r="O18" i="11"/>
  <c r="N18" i="11"/>
  <c r="O17" i="11"/>
  <c r="N17" i="11"/>
  <c r="O16" i="11"/>
  <c r="N16" i="11"/>
  <c r="O15" i="11"/>
  <c r="N15" i="11"/>
  <c r="O14" i="11"/>
  <c r="N14" i="11"/>
  <c r="O13" i="11"/>
  <c r="N13" i="11"/>
  <c r="O12" i="11"/>
  <c r="N12" i="11"/>
  <c r="O11" i="11"/>
  <c r="N11" i="11"/>
  <c r="O10" i="11"/>
  <c r="N10" i="11"/>
  <c r="I12" i="13"/>
  <c r="I13" i="13"/>
  <c r="I14" i="13"/>
  <c r="O8" i="11"/>
  <c r="J14" i="13"/>
  <c r="J13" i="13"/>
  <c r="J12" i="13"/>
  <c r="J11" i="13"/>
  <c r="J10" i="13"/>
  <c r="J9" i="13"/>
  <c r="L14" i="13"/>
  <c r="L13" i="13"/>
  <c r="L12" i="13"/>
  <c r="P8" i="1"/>
  <c r="I10" i="13" s="1"/>
  <c r="P9" i="1"/>
  <c r="I11" i="13" s="1"/>
  <c r="P10" i="1"/>
  <c r="P11" i="1"/>
  <c r="I8" i="13" s="1"/>
  <c r="J8" i="13"/>
  <c r="J7" i="13"/>
  <c r="O7" i="11"/>
  <c r="H7" i="9"/>
  <c r="J7" i="9" s="1"/>
  <c r="M7" i="9" s="1"/>
  <c r="R15" i="11" l="1"/>
  <c r="R19" i="11"/>
  <c r="R27" i="11"/>
  <c r="R31" i="11"/>
  <c r="G10" i="16"/>
  <c r="I10" i="16" s="1"/>
  <c r="K10" i="16" s="1"/>
  <c r="F5" i="16"/>
  <c r="R30" i="11"/>
  <c r="K16" i="9"/>
  <c r="R24" i="11"/>
  <c r="R18" i="11"/>
  <c r="R25" i="11"/>
  <c r="L16" i="9"/>
  <c r="L15" i="9"/>
  <c r="M12" i="9"/>
  <c r="N9" i="9"/>
  <c r="N8" i="9"/>
  <c r="M8" i="11" s="1"/>
  <c r="R28" i="11"/>
  <c r="R16" i="11"/>
  <c r="R32" i="11"/>
  <c r="R20" i="11"/>
  <c r="R29" i="11"/>
  <c r="R14" i="11"/>
  <c r="R13" i="11"/>
  <c r="R17" i="11"/>
  <c r="R26" i="11"/>
  <c r="R22" i="11"/>
  <c r="R10" i="11"/>
  <c r="R9" i="11"/>
  <c r="R21" i="11"/>
  <c r="N10" i="9"/>
  <c r="M10" i="9"/>
  <c r="K13" i="9"/>
  <c r="L10" i="9"/>
  <c r="N16" i="9"/>
  <c r="L13" i="9"/>
  <c r="K12" i="9"/>
  <c r="L9" i="9"/>
  <c r="N15" i="9"/>
  <c r="K11" i="9"/>
  <c r="L8" i="9"/>
  <c r="N14" i="9"/>
  <c r="K9" i="9"/>
  <c r="M15" i="9"/>
  <c r="N12" i="9"/>
  <c r="K8" i="9"/>
  <c r="K8" i="11" s="1"/>
  <c r="M14" i="9"/>
  <c r="N11" i="9"/>
  <c r="M11" i="9"/>
  <c r="N7" i="9"/>
  <c r="M7" i="11" s="1"/>
  <c r="N8" i="11"/>
  <c r="K7" i="9"/>
  <c r="K7" i="11" s="1"/>
  <c r="R7" i="11" s="1"/>
  <c r="L7" i="9"/>
  <c r="L7" i="11" s="1"/>
  <c r="J8" i="11"/>
  <c r="R8" i="11" s="1"/>
  <c r="J7" i="11"/>
  <c r="L8" i="11"/>
  <c r="I7" i="13"/>
  <c r="K7" i="13" s="1"/>
  <c r="M7" i="13" s="1"/>
  <c r="N7" i="13" s="1"/>
  <c r="K16" i="13"/>
  <c r="M16" i="13" s="1"/>
  <c r="N16" i="13" s="1"/>
  <c r="K20" i="13"/>
  <c r="M20" i="13" s="1"/>
  <c r="N20" i="13" s="1"/>
  <c r="K19" i="13"/>
  <c r="M19" i="13" s="1"/>
  <c r="N19" i="13" s="1"/>
  <c r="K23" i="13"/>
  <c r="M23" i="13" s="1"/>
  <c r="N23" i="13" s="1"/>
  <c r="K17" i="13"/>
  <c r="M17" i="13" s="1"/>
  <c r="N17" i="13" s="1"/>
  <c r="K26" i="13"/>
  <c r="M26" i="13" s="1"/>
  <c r="N26" i="13" s="1"/>
  <c r="K11" i="13"/>
  <c r="M11" i="13" s="1"/>
  <c r="N11" i="13" s="1"/>
  <c r="I22" i="13"/>
  <c r="K22" i="13" s="1"/>
  <c r="M22" i="13" s="1"/>
  <c r="N22" i="13" s="1"/>
  <c r="I18" i="13"/>
  <c r="K18" i="13" s="1"/>
  <c r="M18" i="13" s="1"/>
  <c r="N18" i="13" s="1"/>
  <c r="I15" i="13"/>
  <c r="K15" i="13" s="1"/>
  <c r="M15" i="13" s="1"/>
  <c r="N15" i="13" s="1"/>
  <c r="I25" i="13"/>
  <c r="K25" i="13" s="1"/>
  <c r="M25" i="13" s="1"/>
  <c r="N25" i="13" s="1"/>
  <c r="I24" i="13"/>
  <c r="K24" i="13" s="1"/>
  <c r="M24" i="13" s="1"/>
  <c r="N24" i="13" s="1"/>
  <c r="I21" i="13"/>
  <c r="K21" i="13" s="1"/>
  <c r="M21" i="13" s="1"/>
  <c r="N21" i="13" s="1"/>
  <c r="I9" i="13"/>
  <c r="K9" i="13" s="1"/>
  <c r="M9" i="13" s="1"/>
  <c r="N9" i="13" s="1"/>
  <c r="K10" i="13"/>
  <c r="M10" i="13" s="1"/>
  <c r="N10" i="13" s="1"/>
  <c r="K13" i="13"/>
  <c r="M13" i="13" s="1"/>
  <c r="N13" i="13" s="1"/>
  <c r="K14" i="13"/>
  <c r="M14" i="13" s="1"/>
  <c r="N14" i="13" s="1"/>
  <c r="K12" i="13"/>
  <c r="M12" i="13" s="1"/>
  <c r="N12" i="13" s="1"/>
  <c r="K8" i="13"/>
  <c r="M8" i="13" s="1"/>
  <c r="N8" i="13" s="1"/>
  <c r="N7" i="11" l="1"/>
  <c r="F7" i="11"/>
</calcChain>
</file>

<file path=xl/sharedStrings.xml><?xml version="1.0" encoding="utf-8"?>
<sst xmlns="http://schemas.openxmlformats.org/spreadsheetml/2006/main" count="585" uniqueCount="191">
  <si>
    <t>Info general</t>
  </si>
  <si>
    <t>CLP</t>
  </si>
  <si>
    <t>"Lista automática": al apretar la casilla de la columna correspondiente a esta nota, se desplegará un calendario para ingresar la fecha</t>
  </si>
  <si>
    <t>UF</t>
  </si>
  <si>
    <t>Datos</t>
  </si>
  <si>
    <t>Valor</t>
  </si>
  <si>
    <t>USD</t>
  </si>
  <si>
    <t>"Automático": Las celdas de la columna se actualizan automáticamente, dependiendo de otros factores de la tabla presente o de las tablas de "datos importantes"</t>
  </si>
  <si>
    <t>Fecha</t>
  </si>
  <si>
    <t>Supervisor Wolke</t>
  </si>
  <si>
    <t>José Valenzuela</t>
  </si>
  <si>
    <t>Cliente</t>
  </si>
  <si>
    <t>Trefimet</t>
  </si>
  <si>
    <t>Dirección Wolke</t>
  </si>
  <si>
    <t>Avenida Pedro de Valdivia 273, of. 201</t>
  </si>
  <si>
    <t>Tipo moneda</t>
  </si>
  <si>
    <t>Tipo costo</t>
  </si>
  <si>
    <t>CIF</t>
  </si>
  <si>
    <t>Cargos</t>
  </si>
  <si>
    <t>Ponderador Precio</t>
  </si>
  <si>
    <t>Puesto</t>
  </si>
  <si>
    <t>Costo UF HH</t>
  </si>
  <si>
    <t>Margen</t>
  </si>
  <si>
    <t>Precio cliente</t>
  </si>
  <si>
    <t>FOB</t>
  </si>
  <si>
    <t>Junior</t>
  </si>
  <si>
    <t>Software</t>
  </si>
  <si>
    <t>Nacional</t>
  </si>
  <si>
    <t>Intermedio</t>
  </si>
  <si>
    <t>Electrico</t>
  </si>
  <si>
    <t>EUR</t>
  </si>
  <si>
    <t>Senior</t>
  </si>
  <si>
    <t>Técnico Instalador</t>
  </si>
  <si>
    <t>Equipo comercial</t>
  </si>
  <si>
    <t>Número grupo</t>
  </si>
  <si>
    <t>Secciones</t>
  </si>
  <si>
    <t>Descripción</t>
  </si>
  <si>
    <t>Tipo de venta</t>
  </si>
  <si>
    <t>Sensores y Soportes</t>
  </si>
  <si>
    <t>Viático dentro de santiago</t>
  </si>
  <si>
    <t>Salida en Santiago</t>
  </si>
  <si>
    <t>Productos</t>
  </si>
  <si>
    <t>Comunicaciones y Tableros</t>
  </si>
  <si>
    <t>Viático fuera de santiago por el día</t>
  </si>
  <si>
    <t>Salida diaria</t>
  </si>
  <si>
    <t>Opcional</t>
  </si>
  <si>
    <t>Integraciones Adicionales</t>
  </si>
  <si>
    <t>Viático viaje largo 1n o más</t>
  </si>
  <si>
    <t>Salida/noche</t>
  </si>
  <si>
    <t>HH</t>
  </si>
  <si>
    <t>Instalaciones</t>
  </si>
  <si>
    <t>Simulaciones</t>
  </si>
  <si>
    <t>Tarea</t>
  </si>
  <si>
    <t>Producto</t>
  </si>
  <si>
    <t>VigíaBox Neo</t>
  </si>
  <si>
    <t>Total</t>
  </si>
  <si>
    <t>Lenovo</t>
  </si>
  <si>
    <t>Selección</t>
  </si>
  <si>
    <t>Manual</t>
  </si>
  <si>
    <t>Automático</t>
  </si>
  <si>
    <t>Sección</t>
  </si>
  <si>
    <t>Puesto Encargado</t>
  </si>
  <si>
    <t>Cargo</t>
  </si>
  <si>
    <t>Precio por hora UF</t>
  </si>
  <si>
    <t>Ponderador</t>
  </si>
  <si>
    <t>Cantidad horas</t>
  </si>
  <si>
    <t>Precio UF</t>
  </si>
  <si>
    <t>Precio Moneda</t>
  </si>
  <si>
    <t>Descripción tarea 1</t>
  </si>
  <si>
    <t>manejar por horas</t>
  </si>
  <si>
    <t>Escritura manual</t>
  </si>
  <si>
    <t>Agrupación</t>
  </si>
  <si>
    <t>Nombre producto</t>
  </si>
  <si>
    <t>Unidades</t>
  </si>
  <si>
    <t>Proveedor</t>
  </si>
  <si>
    <t>Link de compra</t>
  </si>
  <si>
    <t>RTU</t>
  </si>
  <si>
    <t>Sensor</t>
  </si>
  <si>
    <t>ORP-RDSOR</t>
  </si>
  <si>
    <t>Tipo de moneda</t>
  </si>
  <si>
    <t>CIF/FOB/Nacional</t>
  </si>
  <si>
    <t>Costo producto</t>
  </si>
  <si>
    <t>Costo de producto a oficina</t>
  </si>
  <si>
    <t>Precio Moneda compra</t>
  </si>
  <si>
    <t>Precio CLP</t>
  </si>
  <si>
    <t>Precio USD</t>
  </si>
  <si>
    <t>Fabricante</t>
  </si>
  <si>
    <t>Nombre Vendedor</t>
  </si>
  <si>
    <t>Correo ; Número</t>
  </si>
  <si>
    <t>Datalogger de fabricación propia - No hay margen porque ese es el precio final</t>
  </si>
  <si>
    <t>Wolke</t>
  </si>
  <si>
    <t>jose.valenzuela@wolke.cl</t>
  </si>
  <si>
    <t>https://www.wolke.cl/</t>
  </si>
  <si>
    <t>Water ORP sensor Modbus Range -1999mV～＋1999mV</t>
  </si>
  <si>
    <t>Honde Technology Co.</t>
  </si>
  <si>
    <t>Kyla</t>
  </si>
  <si>
    <t>kyla@hondetech.com</t>
  </si>
  <si>
    <t>http://www.hondetechco.com/</t>
  </si>
  <si>
    <t>RD-WPHIT</t>
  </si>
  <si>
    <t>Water PH
sensor Modbus Range: 0-14PH</t>
  </si>
  <si>
    <t>RD-TSS-03</t>
  </si>
  <si>
    <t>Water turbidity TSS sludge concentration sensor</t>
  </si>
  <si>
    <t>RD-WNT-02</t>
  </si>
  <si>
    <t>Stainless steelwater quality nitrate temperature 2-in-1 sensor</t>
  </si>
  <si>
    <t>RD-OIW-
01</t>
  </si>
  <si>
    <t>Oil in water sensor</t>
  </si>
  <si>
    <t>RDCBT3IN1-01</t>
  </si>
  <si>
    <t>Water COD BOD TOC Turbidity 4 in 1 type</t>
  </si>
  <si>
    <t>TUF-2000S-02</t>
  </si>
  <si>
    <t>Clamp-on portable ultrasonic flow meter</t>
  </si>
  <si>
    <t>BGT-RD101</t>
  </si>
  <si>
    <t>Radar Level Sensor
Measuring range: 10m
Radar frequency: 80GHz
Accuracy: ±2mm
Power supply: DC7~32V
Output: RS485 Modbus-RTU
Cable length: 10m</t>
  </si>
  <si>
    <t>Soporte</t>
  </si>
  <si>
    <t>Soporte simple 1 sensor INOX</t>
  </si>
  <si>
    <t>Mardinamica</t>
  </si>
  <si>
    <t>Pablo Bernal</t>
  </si>
  <si>
    <t>Moneda final</t>
  </si>
  <si>
    <t>Cantidad</t>
  </si>
  <si>
    <t>a CLP</t>
  </si>
  <si>
    <t>Tipo de Costo, ponderador y margen</t>
  </si>
  <si>
    <t>Tarea 1 - Comunicaciones</t>
  </si>
  <si>
    <t>Tarea 2 - manejo integraciones</t>
  </si>
  <si>
    <t>tarea 3 - instalaciones a realizar opcionales</t>
  </si>
  <si>
    <t>Columna1</t>
  </si>
  <si>
    <t>Columna2</t>
  </si>
  <si>
    <t>Columna3</t>
  </si>
  <si>
    <t>Borrar</t>
  </si>
  <si>
    <t>tarea 4 - instalaciones a realizar opcionales</t>
  </si>
  <si>
    <t>tarea 5 - instalaciones a realizar opcionales</t>
  </si>
  <si>
    <t>copiar y Pegar manual</t>
  </si>
  <si>
    <t>Moneda producto</t>
  </si>
  <si>
    <t>Soporte simple</t>
  </si>
  <si>
    <t>Agrupaciones</t>
  </si>
  <si>
    <t>Márgenes</t>
  </si>
  <si>
    <t>Costo producto moneda producto</t>
  </si>
  <si>
    <t>Precio USD/unitario</t>
  </si>
  <si>
    <t>Precio final moneda seleccionada</t>
  </si>
  <si>
    <t>Moneda Final</t>
  </si>
  <si>
    <t>Ponderador margen (nacional/internacional)</t>
  </si>
  <si>
    <t>Ponderador importación (CIF/FOB)</t>
  </si>
  <si>
    <t>Tipo de viático</t>
  </si>
  <si>
    <t>Viajes</t>
  </si>
  <si>
    <t>Nacional cotizacion</t>
  </si>
  <si>
    <t>Tasa transformación</t>
  </si>
  <si>
    <t>última actualización</t>
  </si>
  <si>
    <t>Fecha hoy:</t>
  </si>
  <si>
    <t>Fecha actualización</t>
  </si>
  <si>
    <t>Diferencia de días</t>
  </si>
  <si>
    <t>Precio Euros</t>
  </si>
  <si>
    <t>Importante: ¡En esta tabla no se transforma a moneda local con un x%!</t>
  </si>
  <si>
    <t>Con el mensaje de arriba me refiero a que no se agrega en esta tabla un 5% adicional por el cambio de moneda extranjera a un CLP</t>
  </si>
  <si>
    <t>Explicación:</t>
  </si>
  <si>
    <t>Precio CLP/Unitario</t>
  </si>
  <si>
    <t>Precio UF/Unitario</t>
  </si>
  <si>
    <t>Precio EUR/ Unitario</t>
  </si>
  <si>
    <t>Divisa extranjera a chilena</t>
  </si>
  <si>
    <t>Tarifa Cambio de divisa</t>
  </si>
  <si>
    <t>Nota: en la columna R se multiplica por el valor en la celda por 1+valor en la celda de la izquierda, en la columna Q -----------&gt; este es un aumento por cambio de divisa</t>
  </si>
  <si>
    <t>Alojamiento</t>
  </si>
  <si>
    <t>1 noche/1persona</t>
  </si>
  <si>
    <t>Costo UF</t>
  </si>
  <si>
    <t>Escritura Manual</t>
  </si>
  <si>
    <t>Días de Trabajo</t>
  </si>
  <si>
    <t>Número de personas</t>
  </si>
  <si>
    <t>Cantidad/tipo</t>
  </si>
  <si>
    <t>Cantidad de personas que van</t>
  </si>
  <si>
    <t>Cantidad de días que se trabajan</t>
  </si>
  <si>
    <t>Cuánto se le paga a cada persona</t>
  </si>
  <si>
    <t>Costo unitario</t>
  </si>
  <si>
    <t>N/A</t>
  </si>
  <si>
    <t>Costo cero (0)</t>
  </si>
  <si>
    <t>Precio final</t>
  </si>
  <si>
    <t>Costo vehículo</t>
  </si>
  <si>
    <t>Transporte</t>
  </si>
  <si>
    <t>Otros</t>
  </si>
  <si>
    <t>No tocar</t>
  </si>
  <si>
    <t>Lugar para que la persona se quede</t>
  </si>
  <si>
    <t>Costo Unitario CLP</t>
  </si>
  <si>
    <t>Precio Unitario</t>
  </si>
  <si>
    <t>La tabla es una ayuda, no sirve para el cálculo final</t>
  </si>
  <si>
    <t>Arriendo unitario</t>
  </si>
  <si>
    <t>Precio</t>
  </si>
  <si>
    <t>Precio por hora</t>
  </si>
  <si>
    <t>$0,00</t>
  </si>
  <si>
    <t>$1,76</t>
  </si>
  <si>
    <t>0,2</t>
  </si>
  <si>
    <t>$0,19</t>
  </si>
  <si>
    <t>$3,52</t>
  </si>
  <si>
    <t>$0,44</t>
  </si>
  <si>
    <t>0,5</t>
  </si>
  <si>
    <t>$0,35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</si>
</sst>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"/>
    <numFmt numFmtId="165" formatCode="&quot;$&quot;#,##0.0"/>
    <numFmt numFmtId="166" formatCode="[$-F800]dddd\,\ mmmm\ dd\,\ yyyy"/>
    <numFmt numFmtId="167" formatCode="#,##0.000"/>
    <numFmt numFmtId="168" formatCode="dd/mm/yy;@"/>
    <numFmt numFmtId="170" formatCode="&quot;$&quot;#,##0"/>
  </numFmts>
  <fonts count="1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u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2"/>
      <color theme="1"/>
      <name val="Aptos Narrow"/>
      <family val="2"/>
      <scheme val="minor"/>
    </font>
    <font>
      <b/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5" tint="0.79998168889431442"/>
      </patternFill>
    </fill>
    <fill>
      <patternFill patternType="solid">
        <fgColor rgb="FFC0E4F5"/>
        <bgColor rgb="FFC0E4F5"/>
      </patternFill>
    </fill>
    <fill>
      <patternFill patternType="solid">
        <fgColor rgb="FFD9D9D9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rgb="FF43AEE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3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4" fontId="0" fillId="0" borderId="0" xfId="0" applyNumberFormat="1"/>
    <xf numFmtId="10" fontId="0" fillId="0" borderId="0" xfId="0" applyNumberFormat="1"/>
    <xf numFmtId="0" fontId="0" fillId="2" borderId="0" xfId="0" applyFill="1"/>
    <xf numFmtId="0" fontId="2" fillId="4" borderId="0" xfId="0" applyFont="1" applyFill="1"/>
    <xf numFmtId="0" fontId="0" fillId="0" borderId="3" xfId="0" applyBorder="1" applyAlignment="1">
      <alignment horizontal="center" vertical="center" wrapText="1"/>
    </xf>
    <xf numFmtId="0" fontId="0" fillId="6" borderId="0" xfId="0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6" borderId="0" xfId="0" applyFill="1" applyAlignment="1">
      <alignment horizontal="center" vertical="center"/>
    </xf>
    <xf numFmtId="167" fontId="0" fillId="0" borderId="1" xfId="0" applyNumberFormat="1" applyBorder="1" applyAlignment="1">
      <alignment horizontal="center" vertical="center" wrapText="1"/>
    </xf>
    <xf numFmtId="164" fontId="0" fillId="6" borderId="0" xfId="0" applyNumberFormat="1" applyFill="1"/>
    <xf numFmtId="10" fontId="0" fillId="6" borderId="0" xfId="0" applyNumberFormat="1" applyFill="1"/>
    <xf numFmtId="0" fontId="0" fillId="6" borderId="0" xfId="0" applyFill="1" applyAlignment="1">
      <alignment horizontal="center" vertical="center" wrapText="1"/>
    </xf>
    <xf numFmtId="164" fontId="0" fillId="6" borderId="0" xfId="0" applyNumberFormat="1" applyFill="1" applyAlignment="1">
      <alignment horizontal="center" vertical="center" wrapText="1"/>
    </xf>
    <xf numFmtId="0" fontId="0" fillId="6" borderId="0" xfId="0" applyFill="1" applyAlignment="1">
      <alignment wrapText="1"/>
    </xf>
    <xf numFmtId="10" fontId="0" fillId="6" borderId="0" xfId="0" applyNumberFormat="1" applyFill="1" applyAlignment="1">
      <alignment horizontal="center" vertical="center" wrapText="1"/>
    </xf>
    <xf numFmtId="0" fontId="0" fillId="6" borderId="0" xfId="0" applyFill="1" applyAlignment="1">
      <alignment vertical="center"/>
    </xf>
    <xf numFmtId="167" fontId="0" fillId="9" borderId="0" xfId="0" applyNumberFormat="1" applyFill="1" applyAlignment="1">
      <alignment horizontal="center" vertical="center" wrapText="1"/>
    </xf>
    <xf numFmtId="167" fontId="0" fillId="6" borderId="0" xfId="0" applyNumberFormat="1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" fillId="3" borderId="6" xfId="0" applyFont="1" applyFill="1" applyBorder="1"/>
    <xf numFmtId="0" fontId="0" fillId="5" borderId="5" xfId="0" applyFill="1" applyBorder="1" applyAlignment="1">
      <alignment horizontal="left" vertical="center" wrapText="1"/>
    </xf>
    <xf numFmtId="0" fontId="0" fillId="5" borderId="5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/>
    </xf>
    <xf numFmtId="0" fontId="3" fillId="5" borderId="2" xfId="1" applyFill="1" applyBorder="1" applyAlignment="1">
      <alignment horizontal="left" vertical="center"/>
    </xf>
    <xf numFmtId="0" fontId="4" fillId="5" borderId="0" xfId="1" applyFont="1" applyFill="1" applyBorder="1" applyAlignment="1">
      <alignment horizontal="left" vertical="center"/>
    </xf>
    <xf numFmtId="0" fontId="0" fillId="5" borderId="5" xfId="1" applyFont="1" applyFill="1" applyBorder="1" applyAlignment="1">
      <alignment horizontal="left" vertical="center"/>
    </xf>
    <xf numFmtId="0" fontId="1" fillId="3" borderId="6" xfId="0" applyFont="1" applyFill="1" applyBorder="1" applyAlignment="1">
      <alignment wrapText="1"/>
    </xf>
    <xf numFmtId="2" fontId="0" fillId="5" borderId="5" xfId="0" applyNumberFormat="1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 wrapText="1"/>
    </xf>
    <xf numFmtId="0" fontId="0" fillId="6" borderId="8" xfId="0" applyFill="1" applyBorder="1"/>
    <xf numFmtId="0" fontId="0" fillId="7" borderId="8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center" vertical="center"/>
    </xf>
    <xf numFmtId="4" fontId="0" fillId="5" borderId="5" xfId="0" applyNumberFormat="1" applyFill="1" applyBorder="1" applyAlignment="1">
      <alignment horizontal="center" vertical="center"/>
    </xf>
    <xf numFmtId="0" fontId="1" fillId="3" borderId="10" xfId="0" applyFont="1" applyFill="1" applyBorder="1" applyAlignment="1">
      <alignment wrapText="1"/>
    </xf>
    <xf numFmtId="9" fontId="0" fillId="0" borderId="0" xfId="0" applyNumberFormat="1" applyAlignment="1">
      <alignment horizontal="center" vertical="center" wrapText="1"/>
    </xf>
    <xf numFmtId="3" fontId="0" fillId="6" borderId="0" xfId="0" applyNumberFormat="1" applyFill="1"/>
    <xf numFmtId="3" fontId="0" fillId="6" borderId="0" xfId="0" applyNumberFormat="1" applyFill="1" applyAlignment="1">
      <alignment horizontal="center" vertical="center" wrapText="1"/>
    </xf>
    <xf numFmtId="3" fontId="0" fillId="0" borderId="0" xfId="0" applyNumberFormat="1"/>
    <xf numFmtId="4" fontId="0" fillId="5" borderId="5" xfId="0" applyNumberFormat="1" applyFill="1" applyBorder="1" applyAlignment="1">
      <alignment horizontal="left" vertical="center"/>
    </xf>
    <xf numFmtId="4" fontId="3" fillId="5" borderId="5" xfId="1" applyNumberFormat="1" applyFill="1" applyBorder="1" applyAlignment="1">
      <alignment horizontal="left" vertical="center"/>
    </xf>
    <xf numFmtId="0" fontId="3" fillId="5" borderId="5" xfId="1" applyNumberFormat="1" applyFill="1" applyBorder="1" applyAlignment="1">
      <alignment horizontal="left" vertical="center"/>
    </xf>
    <xf numFmtId="0" fontId="0" fillId="5" borderId="5" xfId="1" applyNumberFormat="1" applyFont="1" applyFill="1" applyBorder="1" applyAlignment="1">
      <alignment horizontal="left" vertical="center"/>
    </xf>
    <xf numFmtId="0" fontId="7" fillId="6" borderId="0" xfId="0" applyFont="1" applyFill="1"/>
    <xf numFmtId="3" fontId="7" fillId="6" borderId="0" xfId="0" applyNumberFormat="1" applyFont="1" applyFill="1"/>
    <xf numFmtId="164" fontId="7" fillId="6" borderId="0" xfId="0" applyNumberFormat="1" applyFont="1" applyFill="1"/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5" borderId="5" xfId="0" applyFill="1" applyBorder="1" applyAlignment="1">
      <alignment horizontal="center" vertical="center"/>
    </xf>
    <xf numFmtId="2" fontId="3" fillId="5" borderId="5" xfId="1" applyNumberForma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7" fillId="6" borderId="11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left" wrapText="1"/>
    </xf>
    <xf numFmtId="0" fontId="2" fillId="6" borderId="0" xfId="0" applyFont="1" applyFill="1" applyAlignment="1">
      <alignment wrapText="1"/>
    </xf>
    <xf numFmtId="0" fontId="0" fillId="0" borderId="8" xfId="0" applyBorder="1" applyAlignment="1">
      <alignment horizontal="center" vertical="center" wrapText="1"/>
    </xf>
    <xf numFmtId="166" fontId="0" fillId="0" borderId="8" xfId="0" applyNumberFormat="1" applyBorder="1" applyAlignment="1">
      <alignment horizontal="center" vertical="center" wrapText="1"/>
    </xf>
    <xf numFmtId="4" fontId="0" fillId="5" borderId="2" xfId="0" applyNumberFormat="1" applyFill="1" applyBorder="1" applyAlignment="1">
      <alignment horizontal="right" vertical="center" indent="1"/>
    </xf>
    <xf numFmtId="10" fontId="0" fillId="5" borderId="2" xfId="0" applyNumberFormat="1" applyFill="1" applyBorder="1" applyAlignment="1">
      <alignment horizontal="right" vertical="center" indent="1"/>
    </xf>
    <xf numFmtId="4" fontId="0" fillId="5" borderId="5" xfId="0" applyNumberFormat="1" applyFill="1" applyBorder="1" applyAlignment="1">
      <alignment horizontal="right" vertical="center" indent="1"/>
    </xf>
    <xf numFmtId="0" fontId="3" fillId="5" borderId="5" xfId="1" applyFill="1" applyBorder="1" applyAlignment="1">
      <alignment horizontal="left" vertical="center"/>
    </xf>
    <xf numFmtId="0" fontId="2" fillId="6" borderId="0" xfId="0" applyFont="1" applyFill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9" fontId="0" fillId="0" borderId="0" xfId="0" applyNumberFormat="1"/>
    <xf numFmtId="4" fontId="3" fillId="10" borderId="5" xfId="1" applyNumberFormat="1" applyFill="1" applyBorder="1" applyAlignment="1">
      <alignment horizontal="left" vertical="center"/>
    </xf>
    <xf numFmtId="4" fontId="3" fillId="10" borderId="0" xfId="1" applyNumberFormat="1" applyFill="1" applyBorder="1" applyAlignment="1">
      <alignment horizontal="left" vertical="center"/>
    </xf>
    <xf numFmtId="0" fontId="0" fillId="8" borderId="0" xfId="0" applyFill="1"/>
    <xf numFmtId="0" fontId="0" fillId="5" borderId="0" xfId="0" applyFill="1" applyAlignment="1">
      <alignment horizontal="left" vertical="center"/>
    </xf>
    <xf numFmtId="0" fontId="1" fillId="3" borderId="9" xfId="0" applyFont="1" applyFill="1" applyBorder="1" applyAlignment="1">
      <alignment wrapText="1"/>
    </xf>
    <xf numFmtId="4" fontId="0" fillId="5" borderId="0" xfId="0" applyNumberFormat="1" applyFill="1" applyAlignment="1">
      <alignment horizontal="left" vertical="center"/>
    </xf>
    <xf numFmtId="0" fontId="0" fillId="6" borderId="0" xfId="0" applyFill="1" applyAlignment="1">
      <alignment horizontal="center" wrapText="1"/>
    </xf>
    <xf numFmtId="166" fontId="0" fillId="6" borderId="0" xfId="0" applyNumberFormat="1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 applyAlignment="1">
      <alignment horizontal="left" wrapText="1"/>
    </xf>
    <xf numFmtId="164" fontId="0" fillId="6" borderId="0" xfId="0" applyNumberFormat="1" applyFill="1" applyAlignment="1">
      <alignment wrapText="1"/>
    </xf>
    <xf numFmtId="164" fontId="8" fillId="6" borderId="0" xfId="0" applyNumberFormat="1" applyFont="1" applyFill="1" applyAlignment="1">
      <alignment wrapText="1"/>
    </xf>
    <xf numFmtId="0" fontId="0" fillId="0" borderId="0" xfId="0" applyAlignment="1">
      <alignment horizontal="center" wrapText="1"/>
    </xf>
    <xf numFmtId="164" fontId="0" fillId="0" borderId="8" xfId="0" applyNumberFormat="1" applyBorder="1" applyAlignment="1">
      <alignment wrapText="1"/>
    </xf>
    <xf numFmtId="9" fontId="0" fillId="0" borderId="0" xfId="0" applyNumberFormat="1" applyAlignment="1">
      <alignment wrapText="1"/>
    </xf>
    <xf numFmtId="0" fontId="0" fillId="0" borderId="8" xfId="0" applyBorder="1" applyAlignment="1">
      <alignment horizontal="left" vertical="center" wrapText="1"/>
    </xf>
    <xf numFmtId="9" fontId="0" fillId="0" borderId="0" xfId="0" applyNumberFormat="1" applyAlignment="1">
      <alignment horizontal="left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left" vertical="center" wrapText="1"/>
    </xf>
    <xf numFmtId="0" fontId="6" fillId="0" borderId="0" xfId="0" applyFont="1" applyAlignment="1">
      <alignment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9" fontId="0" fillId="6" borderId="0" xfId="0" applyNumberFormat="1" applyFill="1" applyAlignment="1">
      <alignment horizontal="center" vertical="center"/>
    </xf>
    <xf numFmtId="9" fontId="0" fillId="6" borderId="0" xfId="0" applyNumberFormat="1" applyFill="1" applyAlignment="1">
      <alignment horizontal="left" vertical="center"/>
    </xf>
    <xf numFmtId="9" fontId="0" fillId="6" borderId="0" xfId="0" applyNumberFormat="1" applyFill="1"/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9" fontId="0" fillId="6" borderId="0" xfId="0" applyNumberFormat="1" applyFill="1" applyAlignment="1">
      <alignment wrapText="1"/>
    </xf>
    <xf numFmtId="14" fontId="0" fillId="0" borderId="0" xfId="0" applyNumberForma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168" fontId="0" fillId="0" borderId="1" xfId="0" applyNumberFormat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11" fillId="6" borderId="0" xfId="0" applyFont="1" applyFill="1" applyAlignment="1">
      <alignment wrapText="1"/>
    </xf>
    <xf numFmtId="0" fontId="0" fillId="0" borderId="8" xfId="0" applyBorder="1"/>
    <xf numFmtId="0" fontId="0" fillId="0" borderId="0" xfId="0" quotePrefix="1" applyAlignment="1">
      <alignment wrapText="1"/>
    </xf>
    <xf numFmtId="0" fontId="7" fillId="12" borderId="8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167" fontId="0" fillId="0" borderId="17" xfId="0" applyNumberFormat="1" applyBorder="1" applyAlignment="1">
      <alignment horizontal="center" vertical="center" wrapText="1"/>
    </xf>
    <xf numFmtId="0" fontId="0" fillId="6" borderId="0" xfId="0" applyFill="1" applyAlignment="1">
      <alignment horizontal="center" wrapText="1"/>
    </xf>
    <xf numFmtId="0" fontId="0" fillId="8" borderId="0" xfId="0" applyFill="1" applyAlignment="1">
      <alignment horizontal="center" wrapText="1"/>
    </xf>
    <xf numFmtId="166" fontId="0" fillId="13" borderId="0" xfId="0" applyNumberFormat="1" applyFill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13" fillId="8" borderId="0" xfId="0" applyFont="1" applyFill="1" applyAlignment="1">
      <alignment horizontal="center" wrapText="1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14" borderId="8" xfId="0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/>
    </xf>
    <xf numFmtId="0" fontId="7" fillId="14" borderId="16" xfId="0" applyFont="1" applyFill="1" applyBorder="1" applyAlignment="1">
      <alignment horizontal="center"/>
    </xf>
    <xf numFmtId="0" fontId="7" fillId="14" borderId="12" xfId="0" applyFont="1" applyFill="1" applyBorder="1" applyAlignment="1">
      <alignment horizontal="center"/>
    </xf>
    <xf numFmtId="0" fontId="7" fillId="14" borderId="14" xfId="0" applyFont="1" applyFill="1" applyBorder="1" applyAlignment="1">
      <alignment horizontal="center"/>
    </xf>
    <xf numFmtId="0" fontId="0" fillId="15" borderId="0" xfId="0" applyFill="1"/>
    <xf numFmtId="0" fontId="0" fillId="6" borderId="0" xfId="0" applyFill="1" applyBorder="1"/>
    <xf numFmtId="0" fontId="0" fillId="0" borderId="0" xfId="0" applyBorder="1"/>
    <xf numFmtId="0" fontId="0" fillId="7" borderId="0" xfId="0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5" borderId="5" xfId="0" applyNumberForma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Fill="1" applyBorder="1" applyAlignment="1">
      <alignment horizontal="center" vertical="center" wrapText="1"/>
    </xf>
    <xf numFmtId="0" fontId="1" fillId="16" borderId="8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0" fontId="0" fillId="5" borderId="5" xfId="0" applyNumberFormat="1" applyFill="1" applyBorder="1" applyAlignment="1">
      <alignment horizontal="center" vertical="center"/>
    </xf>
    <xf numFmtId="170" fontId="0" fillId="5" borderId="5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0" fontId="7" fillId="6" borderId="0" xfId="0" applyNumberFormat="1" applyFont="1" applyFill="1" applyAlignment="1">
      <alignment horizontal="center" vertical="center" wrapText="1"/>
    </xf>
    <xf numFmtId="164" fontId="7" fillId="6" borderId="0" xfId="0" applyNumberFormat="1" applyFont="1" applyFill="1" applyAlignment="1">
      <alignment horizontal="center" vertical="center" wrapText="1"/>
    </xf>
    <xf numFmtId="3" fontId="7" fillId="6" borderId="0" xfId="0" applyNumberFormat="1" applyFont="1" applyFill="1" applyAlignment="1">
      <alignment horizontal="center" vertical="center" wrapText="1"/>
    </xf>
    <xf numFmtId="10" fontId="5" fillId="6" borderId="0" xfId="0" applyNumberFormat="1" applyFont="1" applyFill="1" applyBorder="1" applyAlignment="1">
      <alignment horizontal="center" vertical="center" wrapText="1"/>
    </xf>
    <xf numFmtId="0" fontId="5" fillId="6" borderId="0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 wrapText="1"/>
    </xf>
    <xf numFmtId="3" fontId="5" fillId="6" borderId="0" xfId="0" applyNumberFormat="1" applyFont="1" applyFill="1" applyBorder="1" applyAlignment="1">
      <alignment horizontal="right"/>
    </xf>
    <xf numFmtId="164" fontId="5" fillId="6" borderId="0" xfId="0" applyNumberFormat="1" applyFont="1" applyFill="1" applyBorder="1" applyAlignment="1">
      <alignment horizontal="right"/>
    </xf>
    <xf numFmtId="10" fontId="7" fillId="6" borderId="0" xfId="0" applyNumberFormat="1" applyFont="1" applyFill="1" applyBorder="1" applyAlignment="1">
      <alignment horizontal="center" vertical="center" wrapText="1"/>
    </xf>
    <xf numFmtId="164" fontId="7" fillId="6" borderId="0" xfId="0" applyNumberFormat="1" applyFont="1" applyFill="1" applyBorder="1" applyAlignment="1">
      <alignment horizontal="center" vertical="center" wrapText="1"/>
    </xf>
    <xf numFmtId="3" fontId="7" fillId="6" borderId="0" xfId="0" applyNumberFormat="1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left" vertical="center"/>
    </xf>
    <xf numFmtId="0" fontId="7" fillId="6" borderId="0" xfId="0" applyFont="1" applyFill="1" applyBorder="1" applyAlignment="1">
      <alignment horizontal="left" vertical="center" wrapText="1"/>
    </xf>
    <xf numFmtId="3" fontId="7" fillId="6" borderId="0" xfId="0" applyNumberFormat="1" applyFont="1" applyFill="1" applyBorder="1" applyAlignment="1">
      <alignment horizontal="center" vertical="center"/>
    </xf>
    <xf numFmtId="164" fontId="7" fillId="6" borderId="0" xfId="0" applyNumberFormat="1" applyFont="1" applyFill="1" applyBorder="1" applyAlignment="1">
      <alignment horizontal="center" vertical="center"/>
    </xf>
    <xf numFmtId="3" fontId="0" fillId="6" borderId="0" xfId="0" applyNumberFormat="1" applyFill="1" applyBorder="1"/>
    <xf numFmtId="164" fontId="0" fillId="6" borderId="0" xfId="0" applyNumberFormat="1" applyFill="1" applyBorder="1"/>
    <xf numFmtId="3" fontId="7" fillId="6" borderId="0" xfId="0" applyNumberFormat="1" applyFont="1" applyFill="1" applyBorder="1" applyAlignment="1">
      <alignment horizontal="left" vertical="center" wrapText="1"/>
    </xf>
    <xf numFmtId="0" fontId="7" fillId="6" borderId="0" xfId="0" applyFont="1" applyFill="1" applyBorder="1"/>
    <xf numFmtId="3" fontId="7" fillId="6" borderId="0" xfId="0" applyNumberFormat="1" applyFont="1" applyFill="1" applyBorder="1"/>
    <xf numFmtId="164" fontId="7" fillId="6" borderId="0" xfId="0" applyNumberFormat="1" applyFont="1" applyFill="1" applyBorder="1"/>
    <xf numFmtId="0" fontId="7" fillId="6" borderId="0" xfId="0" applyFont="1" applyFill="1" applyBorder="1" applyAlignment="1">
      <alignment horizontal="left"/>
    </xf>
    <xf numFmtId="3" fontId="7" fillId="6" borderId="0" xfId="0" applyNumberFormat="1" applyFont="1" applyFill="1" applyBorder="1" applyAlignment="1">
      <alignment horizontal="left" wrapText="1"/>
    </xf>
    <xf numFmtId="164" fontId="7" fillId="6" borderId="0" xfId="0" applyNumberFormat="1" applyFont="1" applyFill="1" applyBorder="1" applyAlignment="1">
      <alignment horizontal="right"/>
    </xf>
    <xf numFmtId="3" fontId="7" fillId="6" borderId="0" xfId="0" applyNumberFormat="1" applyFont="1" applyFill="1" applyBorder="1" applyAlignment="1">
      <alignment horizontal="right"/>
    </xf>
    <xf numFmtId="10" fontId="5" fillId="7" borderId="0" xfId="0" applyNumberFormat="1" applyFont="1" applyFill="1" applyBorder="1" applyAlignment="1">
      <alignment horizontal="center" vertical="center" wrapText="1"/>
    </xf>
    <xf numFmtId="164" fontId="0" fillId="7" borderId="0" xfId="0" applyNumberFormat="1" applyFill="1" applyBorder="1" applyAlignment="1">
      <alignment horizontal="center" vertical="center" wrapText="1"/>
    </xf>
    <xf numFmtId="3" fontId="0" fillId="7" borderId="0" xfId="0" applyNumberFormat="1" applyFill="1" applyBorder="1" applyAlignment="1">
      <alignment horizontal="center" vertical="center" wrapText="1"/>
    </xf>
    <xf numFmtId="0" fontId="0" fillId="6" borderId="0" xfId="0" applyFill="1" applyBorder="1" applyAlignment="1">
      <alignment horizontal="left" wrapText="1"/>
    </xf>
    <xf numFmtId="3" fontId="0" fillId="6" borderId="0" xfId="0" applyNumberFormat="1" applyFill="1" applyBorder="1" applyAlignment="1">
      <alignment horizontal="right"/>
    </xf>
    <xf numFmtId="164" fontId="0" fillId="6" borderId="0" xfId="0" applyNumberFormat="1" applyFill="1" applyBorder="1" applyAlignment="1">
      <alignment horizontal="right"/>
    </xf>
    <xf numFmtId="164" fontId="5" fillId="6" borderId="0" xfId="0" applyNumberFormat="1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left" wrapText="1"/>
    </xf>
    <xf numFmtId="0" fontId="5" fillId="6" borderId="0" xfId="0" applyFont="1" applyFill="1" applyBorder="1"/>
    <xf numFmtId="0" fontId="0" fillId="6" borderId="0" xfId="0" applyFill="1" applyBorder="1" applyAlignment="1">
      <alignment horizontal="left"/>
    </xf>
    <xf numFmtId="3" fontId="0" fillId="6" borderId="0" xfId="0" applyNumberFormat="1" applyFill="1" applyBorder="1" applyAlignment="1">
      <alignment horizontal="left" wrapText="1"/>
    </xf>
    <xf numFmtId="164" fontId="10" fillId="6" borderId="0" xfId="0" applyNumberFormat="1" applyFont="1" applyFill="1" applyBorder="1"/>
    <xf numFmtId="0" fontId="5" fillId="6" borderId="0" xfId="0" applyFont="1" applyFill="1" applyBorder="1" applyAlignment="1">
      <alignment horizontal="left" vertical="center"/>
    </xf>
    <xf numFmtId="0" fontId="5" fillId="6" borderId="0" xfId="0" applyFont="1" applyFill="1" applyBorder="1" applyAlignment="1">
      <alignment horizontal="left" vertical="center" wrapText="1"/>
    </xf>
    <xf numFmtId="3" fontId="0" fillId="0" borderId="0" xfId="0" applyNumberForma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7" fillId="0" borderId="0" xfId="0" applyFont="1"/>
    <xf numFmtId="0" fontId="7" fillId="6" borderId="0" xfId="0" applyFont="1" applyFill="1" applyBorder="1" applyAlignment="1">
      <alignment wrapText="1"/>
    </xf>
    <xf numFmtId="0" fontId="14" fillId="6" borderId="0" xfId="0" applyFont="1" applyFill="1" applyBorder="1" applyAlignment="1">
      <alignment horizontal="left" vertical="center" wrapText="1"/>
    </xf>
    <xf numFmtId="0" fontId="15" fillId="6" borderId="0" xfId="0" applyFont="1" applyFill="1" applyBorder="1"/>
    <xf numFmtId="164" fontId="15" fillId="7" borderId="0" xfId="0" applyNumberFormat="1" applyFont="1" applyFill="1" applyBorder="1" applyAlignment="1">
      <alignment horizontal="center" vertical="center" wrapText="1"/>
    </xf>
    <xf numFmtId="0" fontId="14" fillId="6" borderId="8" xfId="0" applyFont="1" applyFill="1" applyBorder="1"/>
    <xf numFmtId="0" fontId="15" fillId="6" borderId="8" xfId="0" applyFont="1" applyFill="1" applyBorder="1"/>
    <xf numFmtId="164" fontId="16" fillId="6" borderId="8" xfId="0" applyNumberFormat="1" applyFont="1" applyFill="1" applyBorder="1" applyAlignment="1">
      <alignment horizontal="center" vertical="center"/>
    </xf>
    <xf numFmtId="10" fontId="16" fillId="6" borderId="8" xfId="0" applyNumberFormat="1" applyFont="1" applyFill="1" applyBorder="1" applyAlignment="1">
      <alignment horizontal="center" vertical="center"/>
    </xf>
    <xf numFmtId="164" fontId="16" fillId="7" borderId="8" xfId="0" applyNumberFormat="1" applyFont="1" applyFill="1" applyBorder="1" applyAlignment="1">
      <alignment horizontal="center" vertical="center" wrapText="1"/>
    </xf>
    <xf numFmtId="0" fontId="14" fillId="11" borderId="8" xfId="0" applyFont="1" applyFill="1" applyBorder="1"/>
    <xf numFmtId="0" fontId="14" fillId="11" borderId="8" xfId="0" applyFont="1" applyFill="1" applyBorder="1" applyAlignment="1">
      <alignment horizontal="left" vertical="center" wrapText="1"/>
    </xf>
    <xf numFmtId="0" fontId="17" fillId="0" borderId="0" xfId="0" applyFont="1"/>
    <xf numFmtId="0" fontId="7" fillId="6" borderId="18" xfId="0" applyFont="1" applyFill="1" applyBorder="1"/>
    <xf numFmtId="3" fontId="7" fillId="6" borderId="18" xfId="0" applyNumberFormat="1" applyFont="1" applyFill="1" applyBorder="1"/>
    <xf numFmtId="164" fontId="7" fillId="6" borderId="18" xfId="0" applyNumberFormat="1" applyFont="1" applyFill="1" applyBorder="1"/>
    <xf numFmtId="0" fontId="0" fillId="6" borderId="18" xfId="0" applyFill="1" applyBorder="1"/>
    <xf numFmtId="3" fontId="7" fillId="6" borderId="11" xfId="0" applyNumberFormat="1" applyFont="1" applyFill="1" applyBorder="1"/>
    <xf numFmtId="164" fontId="7" fillId="6" borderId="11" xfId="0" applyNumberFormat="1" applyFont="1" applyFill="1" applyBorder="1"/>
    <xf numFmtId="164" fontId="0" fillId="6" borderId="11" xfId="0" applyNumberFormat="1" applyFill="1" applyBorder="1"/>
    <xf numFmtId="0" fontId="7" fillId="6" borderId="11" xfId="0" applyFont="1" applyFill="1" applyBorder="1"/>
    <xf numFmtId="3" fontId="0" fillId="6" borderId="18" xfId="0" applyNumberFormat="1" applyFill="1" applyBorder="1"/>
    <xf numFmtId="164" fontId="0" fillId="6" borderId="18" xfId="0" applyNumberFormat="1" applyFill="1" applyBorder="1"/>
    <xf numFmtId="0" fontId="7" fillId="0" borderId="11" xfId="0" applyFont="1" applyBorder="1"/>
    <xf numFmtId="3" fontId="0" fillId="0" borderId="11" xfId="0" applyNumberFormat="1" applyBorder="1"/>
    <xf numFmtId="164" fontId="0" fillId="0" borderId="11" xfId="0" applyNumberFormat="1" applyBorder="1"/>
    <xf numFmtId="10" fontId="7" fillId="6" borderId="0" xfId="0" applyNumberFormat="1" applyFont="1" applyFill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3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right"/>
    </xf>
    <xf numFmtId="0" fontId="7" fillId="6" borderId="0" xfId="0" applyFont="1" applyFill="1" applyAlignment="1">
      <alignment horizontal="center" vertical="center" wrapText="1"/>
    </xf>
    <xf numFmtId="165" fontId="7" fillId="6" borderId="0" xfId="0" applyNumberFormat="1" applyFont="1" applyFill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wrapText="1"/>
    </xf>
    <xf numFmtId="3" fontId="7" fillId="0" borderId="0" xfId="0" applyNumberFormat="1" applyFont="1" applyBorder="1" applyAlignment="1">
      <alignment horizontal="right"/>
    </xf>
    <xf numFmtId="164" fontId="7" fillId="0" borderId="0" xfId="0" applyNumberFormat="1" applyFont="1" applyBorder="1" applyAlignment="1">
      <alignment horizontal="right"/>
    </xf>
    <xf numFmtId="0" fontId="7" fillId="6" borderId="0" xfId="0" applyFont="1" applyFill="1" applyAlignment="1">
      <alignment horizontal="center" vertical="center"/>
    </xf>
    <xf numFmtId="164" fontId="18" fillId="6" borderId="8" xfId="0" applyNumberFormat="1" applyFont="1" applyFill="1" applyBorder="1" applyAlignment="1">
      <alignment horizontal="center" vertical="center" wrapText="1"/>
    </xf>
    <xf numFmtId="164" fontId="14" fillId="6" borderId="0" xfId="0" applyNumberFormat="1" applyFont="1" applyFill="1" applyBorder="1" applyAlignment="1">
      <alignment horizontal="center" vertical="center" wrapText="1"/>
    </xf>
    <xf numFmtId="164" fontId="18" fillId="6" borderId="8" xfId="0" applyNumberFormat="1" applyFont="1" applyFill="1" applyBorder="1" applyAlignment="1">
      <alignment horizontal="center" vertical="center"/>
    </xf>
    <xf numFmtId="10" fontId="14" fillId="6" borderId="0" xfId="0" applyNumberFormat="1" applyFont="1" applyFill="1" applyBorder="1"/>
    <xf numFmtId="164" fontId="14" fillId="6" borderId="8" xfId="0" applyNumberFormat="1" applyFont="1" applyFill="1" applyBorder="1" applyAlignment="1">
      <alignment horizontal="center" vertical="center"/>
    </xf>
    <xf numFmtId="10" fontId="14" fillId="6" borderId="0" xfId="0" applyNumberFormat="1" applyFont="1" applyFill="1" applyBorder="1" applyAlignment="1">
      <alignment horizontal="center" vertical="center"/>
    </xf>
    <xf numFmtId="10" fontId="7" fillId="0" borderId="0" xfId="0" applyNumberFormat="1" applyFont="1"/>
    <xf numFmtId="164" fontId="7" fillId="0" borderId="0" xfId="0" applyNumberFormat="1" applyFont="1"/>
    <xf numFmtId="3" fontId="7" fillId="0" borderId="0" xfId="0" applyNumberFormat="1" applyFont="1"/>
  </cellXfs>
  <cellStyles count="2">
    <cellStyle name="Hipervínculo" xfId="1" builtinId="8"/>
    <cellStyle name="Normal" xfId="0" builtinId="0"/>
  </cellStyles>
  <dxfs count="128">
    <dxf>
      <font>
        <b/>
        <i val="0"/>
        <color theme="0"/>
      </font>
      <fill>
        <patternFill>
          <bgColor theme="6" tint="-0.24994659260841701"/>
        </patternFill>
      </fill>
    </dxf>
    <dxf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&quot;$&quot;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solid">
          <fgColor rgb="FFC0E4F5"/>
          <bgColor rgb="FFC0E4F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43AEE2"/>
        </top>
      </border>
    </dxf>
    <dxf>
      <border outline="0">
        <bottom style="thin">
          <color rgb="FF43AEE2"/>
        </bottom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numFmt numFmtId="4" formatCode="#,##0.00"/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43AEE2"/>
        </top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rgb="FF43AEE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numFmt numFmtId="166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-F800]dddd\,\ mmmm\ dd\,\ 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167" formatCode="#,##0.000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129540</xdr:rowOff>
        </xdr:from>
        <xdr:to>
          <xdr:col>3</xdr:col>
          <xdr:colOff>640080</xdr:colOff>
          <xdr:row>2</xdr:row>
          <xdr:rowOff>464820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Apretar primero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1915886</xdr:colOff>
          <xdr:row>0</xdr:row>
          <xdr:rowOff>87085</xdr:rowOff>
        </xdr:from>
        <xdr:to>
          <xdr:col>14</xdr:col>
          <xdr:colOff>391886</xdr:colOff>
          <xdr:row>2</xdr:row>
          <xdr:rowOff>523874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Apretar segundo. Resumeen desarrollo por sección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57149</xdr:colOff>
          <xdr:row>1</xdr:row>
          <xdr:rowOff>53068</xdr:rowOff>
        </xdr:from>
        <xdr:to>
          <xdr:col>23</xdr:col>
          <xdr:colOff>472168</xdr:colOff>
          <xdr:row>2</xdr:row>
          <xdr:rowOff>544286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Apretar tercero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137160</xdr:rowOff>
        </xdr:from>
        <xdr:to>
          <xdr:col>3</xdr:col>
          <xdr:colOff>1287780</xdr:colOff>
          <xdr:row>3</xdr:row>
          <xdr:rowOff>175260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5: crear resumen de todos los productos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3B3396-74E7-44DD-AA66-DF4513BD97E8}" name="Tabla9" displayName="Tabla9" ref="M7:P11" totalsRowShown="0" headerRowDxfId="127" dataDxfId="126">
  <autoFilter ref="M7:P11" xr:uid="{663B3396-74E7-44DD-AA66-DF4513BD97E8}">
    <filterColumn colId="0" hiddenButton="1"/>
    <filterColumn colId="1" hiddenButton="1"/>
    <filterColumn colId="2" hiddenButton="1"/>
    <filterColumn colId="3" hiddenButton="1"/>
  </autoFilter>
  <tableColumns count="4">
    <tableColumn id="1" xr3:uid="{664BEE36-532D-47D7-8EAE-AEBB461D8B45}" name="Puesto" dataDxfId="125"/>
    <tableColumn id="5" xr3:uid="{BE41CF7F-EB11-4D4B-A521-EE6EDC448943}" name="Costo UF HH" dataDxfId="124"/>
    <tableColumn id="6" xr3:uid="{84DFB6BD-2DEF-4535-AD6B-F8E485B4EC11}" name="Margen" dataDxfId="123"/>
    <tableColumn id="7" xr3:uid="{2F19B91B-72E9-493E-999A-F5523F273E2A}" name="Precio cliente" dataDxfId="122">
      <calculatedColumnFormula>Tabla9[[#This Row],[Costo UF HH]]/(1-Tabla9[[#This Row],[Margen]])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315C3CE-E5D4-4F4E-A744-96872D6CB649}" name="Tabla919" displayName="Tabla919" ref="V7:X12" totalsRowShown="0" headerRowDxfId="121" dataDxfId="120">
  <autoFilter ref="V7:X12" xr:uid="{2315C3CE-E5D4-4F4E-A744-96872D6CB649}"/>
  <tableColumns count="3">
    <tableColumn id="1" xr3:uid="{71D858E4-C389-43C7-835E-815374D42FF6}" name="Tipo de viático" dataDxfId="119"/>
    <tableColumn id="5" xr3:uid="{90456BFF-9A96-4C1F-A3F5-1FCB6EA9782A}" name="Descripción" dataDxfId="118"/>
    <tableColumn id="2" xr3:uid="{81F23D1A-B611-4136-BE3F-79C57B7E4D98}" name="Costo UF" dataDxfId="11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E49BEAE-EA84-4CB4-B02D-1BC0F3B01683}" name="Tabla50" displayName="Tabla50" ref="B7:D13" totalsRowShown="0" headerRowDxfId="116" dataDxfId="115">
  <autoFilter ref="B7:D13" xr:uid="{EE49BEAE-EA84-4CB4-B02D-1BC0F3B01683}"/>
  <tableColumns count="3">
    <tableColumn id="1" xr3:uid="{B91B5084-3D35-4431-9308-5E07D387BFAD}" name="Tipo moneda" dataDxfId="114"/>
    <tableColumn id="2" xr3:uid="{CB43FA0D-0E60-4739-8486-DBE4AA5AE90F}" name="a CLP" dataDxfId="113"/>
    <tableColumn id="3" xr3:uid="{C26A5D77-75B2-4353-B7C3-72B529866398}" name="Tasa transformación" dataDxfId="11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1E7AC26-8D2B-435E-9494-577BF1F47D8A}" name="Tabla51" displayName="Tabla51" ref="F7:H17" totalsRowShown="0" headerRowDxfId="111" dataDxfId="110">
  <autoFilter ref="F7:H17" xr:uid="{11E7AC26-8D2B-435E-9494-577BF1F47D8A}"/>
  <tableColumns count="3">
    <tableColumn id="1" xr3:uid="{9537A5BC-3097-4A61-A63A-B2E1D98A3CA3}" name="Tipo costo" dataDxfId="109"/>
    <tableColumn id="2" xr3:uid="{A4FE4AE1-0CDD-485C-B9B8-0078F0A7D066}" name="Ponderador importación (CIF/FOB)" dataDxfId="108"/>
    <tableColumn id="3" xr3:uid="{162C643B-A508-4864-9533-CEEB256A4817}" name="Ponderador margen (nacional/internacional)" dataDxfId="107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E7212DB-6930-42AF-A6F5-30172933C933}" name="Tabla958" displayName="Tabla958" ref="J7:K10" totalsRowShown="0" headerRowDxfId="106" dataDxfId="105">
  <autoFilter ref="J7:K10" xr:uid="{7E7212DB-6930-42AF-A6F5-30172933C933}"/>
  <tableColumns count="2">
    <tableColumn id="1" xr3:uid="{C6B0B59F-CE96-4C85-AC49-ABC446824C35}" name="Cargos" dataDxfId="104"/>
    <tableColumn id="5" xr3:uid="{69D7CA5D-4D3F-409A-B033-40C118112027}" name="Ponderador Precio" dataDxfId="103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8E7401-D236-48AB-B51F-BF1D5E6EDFF6}" name="Tabla2327" displayName="Tabla2327" ref="R7:T11" totalsRowShown="0" headerRowDxfId="102" dataDxfId="101">
  <autoFilter ref="R7:T11" xr:uid="{AF8E7401-D236-48AB-B51F-BF1D5E6EDFF6}"/>
  <tableColumns count="3">
    <tableColumn id="1" xr3:uid="{D19C979D-E802-428D-9DEB-5463D98DAAE5}" name="Número grupo" dataDxfId="100"/>
    <tableColumn id="2" xr3:uid="{DB8781A0-7670-4AFC-A39B-1EC2B32229A5}" name="Tipo de venta" dataDxfId="99"/>
    <tableColumn id="4" xr3:uid="{8D32ED3C-E174-4D3E-8B37-F47D4638C800}" name="Márgenes" dataDxfId="98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D5A6DB-E11A-4511-8334-FB736A404E39}" name="Tabla52" displayName="Tabla52" ref="B8:C17" totalsRowShown="0" headerRowDxfId="97" dataDxfId="96">
  <autoFilter ref="B8:C17" xr:uid="{E4F65A74-C5DE-420B-B02B-4087F8368AD7}">
    <filterColumn colId="0" hiddenButton="1"/>
    <filterColumn colId="1" hiddenButton="1"/>
  </autoFilter>
  <tableColumns count="2">
    <tableColumn id="1" xr3:uid="{6B5C948E-C5F7-4A79-B528-6D3ECB9DABB7}" name="Datos" dataDxfId="95">
      <calculatedColumnFormula>TODAY()</calculatedColumnFormula>
    </tableColumn>
    <tableColumn id="2" xr3:uid="{871BD61A-1AA3-4BF4-9D8B-DA30EC93706D}" name="Valor" dataDxfId="94">
      <calculatedColumnFormula>TODAY()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34A50A-4176-498A-915B-224E9B6B38D1}" name="Tabla25" displayName="Tabla25" ref="E8:F12" totalsRowShown="0" headerRowDxfId="93" dataDxfId="92">
  <autoFilter ref="E8:F12" xr:uid="{E8C9C3A7-D54C-46F6-BA19-6F5CF0592752}"/>
  <tableColumns count="2">
    <tableColumn id="1" xr3:uid="{6B30EB17-BECE-413A-BEFA-6B9A502BA21A}" name="Número grupo" dataDxfId="91"/>
    <tableColumn id="2" xr3:uid="{7EDEE319-A608-4932-96CC-46586FFF8EE5}" name="Secciones" dataDxfId="90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5F73B4-6292-48F9-9FB0-2B10608E8F4B}" name="Tabla2329" displayName="Tabla2329" ref="H8:J13" totalsRowShown="0" headerRowDxfId="89" dataDxfId="88">
  <autoFilter ref="H8:J13" xr:uid="{E053CC1F-40AB-4B04-B2F6-8B774E7D1097}"/>
  <tableColumns count="3">
    <tableColumn id="1" xr3:uid="{C8E2A188-C125-4539-A325-2DAB500C8A40}" name="Número grupo" dataDxfId="87"/>
    <tableColumn id="2" xr3:uid="{EFCC61F2-B479-4B5A-80EC-ACB9BB209169}" name="Tipo de venta" dataDxfId="86"/>
    <tableColumn id="3" xr3:uid="{035FE5A5-EA0D-469B-829D-F9DA4F88BF43}" name="Moneda final" dataDxfId="85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F530C3-E8A4-48F5-A011-76151A850E8E}" name="Tabla2757" displayName="Tabla2757" ref="B6:N26" totalsRowShown="0" headerRowDxfId="84" dataDxfId="82" headerRowBorderDxfId="83" tableBorderDxfId="81" totalsRowBorderDxfId="80">
  <autoFilter ref="B6:N26" xr:uid="{3AC895F3-88FC-4322-BA4D-9163F09350B5}"/>
  <tableColumns count="13">
    <tableColumn id="18" xr3:uid="{3F13ADA9-FD6B-4142-80E8-AB8AAA5B2CB2}" name="Tipo de venta" dataDxfId="79"/>
    <tableColumn id="1" xr3:uid="{4D7D62B0-AA08-4E96-99E6-A9D66C4F6065}" name="Sección" dataDxfId="23"/>
    <tableColumn id="3" xr3:uid="{919C7931-5C86-435C-9E17-078053598BC1}" name="Tarea" dataDxfId="78"/>
    <tableColumn id="4" xr3:uid="{65AD8D18-3B83-4137-95F5-A0376FF6961F}" name="Descripción" dataDxfId="77">
      <calculatedColumnFormula>_xlfn.XLOOKUP(Tabla2757[[#This Row],[Tarea]],Productos!C:C,Productos!D:D, "Error",0,1)</calculatedColumnFormula>
    </tableColumn>
    <tableColumn id="21" xr3:uid="{743D9C17-691F-449D-AA89-160A6CF17A52}" name="Moneda Final" dataDxfId="76">
      <calculatedColumnFormula>_xlfn.XLOOKUP(Tabla2757[[#This Row],[Tipo de venta]],Tabla2329[Tipo de venta],Tabla2329[Moneda final], "Error - Seleccionar Tipo de Venta", 0,1)</calculatedColumnFormula>
    </tableColumn>
    <tableColumn id="9" xr3:uid="{D8F1D102-0114-43C5-9E14-4516F638E7CB}" name="Puesto Encargado" dataDxfId="75">
      <calculatedColumnFormula>IF(Tabla2757[[#This Row],[Moneda Final]]="CLP", Tabla2757[[#This Row],[Cantidad horas]], IF(Tabla2757[[#This Row],[Moneda Final]]="USD", Tabla32[[#This Row],[Precio USD]], Tabla2757[[#This Row],[Precio UF]]))</calculatedColumnFormula>
    </tableColumn>
    <tableColumn id="19" xr3:uid="{789B8DE7-7AD6-42E2-B259-816DFDA6A125}" name="Cargo" dataDxfId="74"/>
    <tableColumn id="20" xr3:uid="{0DC370D3-CF89-4B8E-ADFE-5205D20AC699}" name="Precio por hora UF" dataDxfId="73">
      <calculatedColumnFormula>_xlfn.XLOOKUP(Tabla2757[[#This Row],[Puesto Encargado]], Tabla9[Puesto], Tabla9[Precio cliente],0,1,1)</calculatedColumnFormula>
    </tableColumn>
    <tableColumn id="22" xr3:uid="{42C69641-A3FC-4295-9CF4-85044E9E8115}" name="Ponderador" dataDxfId="72"/>
    <tableColumn id="10" xr3:uid="{C8A23C9B-7B06-480B-BBB2-2CC48552BA39}" name="Precio por hora" dataDxfId="71">
      <calculatedColumnFormula>Tabla2757[[#This Row],[Precio por hora UF]]*Tabla2757[[#This Row],[Ponderador]]</calculatedColumnFormula>
    </tableColumn>
    <tableColumn id="11" xr3:uid="{36CA9095-CE85-4692-9133-A7A809C5F832}" name="Cantidad horas" dataDxfId="70">
      <calculatedColumnFormula>_xlfn.XLOOKUP(Tabla2757[[#This Row],[Tarea]],Productos!$C:$C,Productos!K:K, "Error",0,1)</calculatedColumnFormula>
    </tableColumn>
    <tableColumn id="12" xr3:uid="{1EB52E9C-2083-4F7D-8F83-0B3DB521427A}" name="Precio UF" dataDxfId="69">
      <calculatedColumnFormula>_xlfn.XLOOKUP(Tabla2757[[#This Row],[Tarea]],Productos!$C:$C,Productos!L:L, "Error",0,1)</calculatedColumnFormula>
    </tableColumn>
    <tableColumn id="23" xr3:uid="{1A4234A9-9DD6-48E3-BE29-56F5634512BA}" name="Precio Moneda" dataDxfId="68">
      <calculatedColumnFormula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D47289-8499-4E1D-8694-E81C15DE30DE}" name="Tabla27573" displayName="Tabla27573" ref="B8:K28" totalsRowShown="0" headerRowDxfId="22" dataDxfId="14" headerRowBorderDxfId="20" tableBorderDxfId="21" totalsRowBorderDxfId="19">
  <autoFilter ref="B8:K28" xr:uid="{3AC895F3-88FC-4322-BA4D-9163F09350B5}"/>
  <tableColumns count="10">
    <tableColumn id="18" xr3:uid="{20E43334-168A-44AF-BF4F-CAD1901FFB25}" name="Tipo de venta" dataDxfId="18" dataCellStyle="Hipervínculo"/>
    <tableColumn id="1" xr3:uid="{33ACE34F-0DC1-4EE9-A5C1-3584C1D1082F}" name="Sección" dataDxfId="17"/>
    <tableColumn id="3" xr3:uid="{81B80305-6961-4FDA-92D5-6CB652EFC214}" name="Tarea" dataDxfId="16"/>
    <tableColumn id="4" xr3:uid="{55E8D677-6B9D-4B67-BFEA-79DEAAA9DE61}" name="Descripción" dataDxfId="6">
      <calculatedColumnFormula>_xlfn.XLOOKUP(Tabla27573[[#This Row],[Tarea]],Productos!C:C,Productos!D:D, "Error",0,1)</calculatedColumnFormula>
    </tableColumn>
    <tableColumn id="21" xr3:uid="{3D8F5A06-E7F7-421F-BB09-F230CC300FFE}" name="Moneda Final" dataDxfId="15">
      <calculatedColumnFormula>_xlfn.XLOOKUP(Tabla27573[[#This Row],[Tipo de venta]],Tabla2329[Tipo de venta],Tabla2329[Moneda final], "Error - Seleccionar Tipo de Venta", 0,1)</calculatedColumnFormula>
    </tableColumn>
    <tableColumn id="9" xr3:uid="{13069080-E35C-4871-A879-2897B7991AF5}" name="Costo Unitario CLP" dataDxfId="5">
      <calculatedColumnFormula>E4</calculatedColumnFormula>
    </tableColumn>
    <tableColumn id="2" xr3:uid="{6B257810-E736-404B-826C-3290AE0A2976}" name="Margen" dataDxfId="4"/>
    <tableColumn id="5" xr3:uid="{2D52AB42-77F9-4277-9267-E5CF6CB17C29}" name="Precio Unitario" dataDxfId="3">
      <calculatedColumnFormula>Tabla27573[[#This Row],[Costo Unitario CLP]]/(1-Tabla27573[[#This Row],[Margen]])</calculatedColumnFormula>
    </tableColumn>
    <tableColumn id="19" xr3:uid="{2C0ABBE5-EAB4-4809-92C1-22AF9A205A1F}" name="Cantidad" dataDxfId="2">
      <calculatedColumnFormula>D3</calculatedColumnFormula>
    </tableColumn>
    <tableColumn id="10" xr3:uid="{F96BBC02-414F-4E27-9A7A-C77FF3B3F722}" name="Precio CLP" dataDxfId="1" dataCellStyle="Hipervínculo">
      <calculatedColumnFormula>Tabla27573[[#This Row],[Precio CLP]]*#REF!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753C46-60D3-40DF-91FB-30EFEEC8BB39}" name="Tabla3" displayName="Tabla3" ref="B1:F5" totalsRowShown="0" headerRowDxfId="13" dataDxfId="9">
  <autoFilter ref="B1:F5" xr:uid="{D0753C46-60D3-40DF-91FB-30EFEEC8BB39}"/>
  <tableColumns count="5">
    <tableColumn id="1" xr3:uid="{89AC9837-666F-4CA3-BDE4-85C0A198428A}" name="Columna1" dataDxfId="12"/>
    <tableColumn id="2" xr3:uid="{8BACF59D-3028-4F57-BFD6-5729C27BD5E2}" name="Descripción" dataDxfId="11"/>
    <tableColumn id="3" xr3:uid="{BE37BB1D-1292-4B20-9BE9-AAAB4D8E672E}" name="Cantidad/tipo" dataDxfId="10"/>
    <tableColumn id="4" xr3:uid="{3BBE242B-584B-46C1-A035-6D76E40E74F4}" name="Costo unitario" dataDxfId="8">
      <calculatedColumnFormula>_xlfn.XLOOKUP(Tabla3[[#This Row],[Columna1]], Tabla919[Tipo de viático], Tabla919[Costo UF], "Error", 0, 1)</calculatedColumnFormula>
    </tableColumn>
    <tableColumn id="5" xr3:uid="{D550C0A2-A593-4F2C-8A1A-744BD95A2C0E}" name="Precio final" dataDxfId="7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AC895F3-88FC-4322-BA4D-9163F09350B5}" name="Tabla27" displayName="Tabla27" ref="B6:R32" totalsRowShown="0" headerRowDxfId="67" dataDxfId="65" headerRowBorderDxfId="66" tableBorderDxfId="64" totalsRowBorderDxfId="63">
  <autoFilter ref="B6:R32" xr:uid="{3AC895F3-88FC-4322-BA4D-9163F09350B5}"/>
  <tableColumns count="17">
    <tableColumn id="18" xr3:uid="{398E732F-4C4D-49FA-8F17-9E4751286B3A}" name="Tipo de venta" dataDxfId="62"/>
    <tableColumn id="1" xr3:uid="{46584F8C-76FE-40A7-9DFF-0080B0C3B9EE}" name="Sección" dataDxfId="61"/>
    <tableColumn id="2" xr3:uid="{76E4B631-977F-45C1-85BC-ADC35DB7CAF9}" name="Agrupación" dataDxfId="60"/>
    <tableColumn id="3" xr3:uid="{0A86979C-DDD8-4E83-84DF-1A3BF07A9996}" name="Nombre producto" dataDxfId="59"/>
    <tableColumn id="4" xr3:uid="{D940BDE9-E215-4FF5-B684-032B27CDCDCF}" name="Descripción" dataDxfId="58">
      <calculatedColumnFormula>_xlfn.XLOOKUP(Tabla27[[#This Row],[Nombre producto]],Productos!C:C,Productos!D:D, "Error",0,1)</calculatedColumnFormula>
    </tableColumn>
    <tableColumn id="21" xr3:uid="{BB206602-3C45-4ED8-9953-98010EC79BD0}" name="Moneda producto" dataDxfId="57">
      <calculatedColumnFormula>_xlfn.XLOOKUP(Tabla27[[#This Row],[Nombre producto]], Tabla32[Nombre producto], Tabla32[Tipo de moneda],"Error - agregue producto a Productos",0,1)</calculatedColumnFormula>
    </tableColumn>
    <tableColumn id="9" xr3:uid="{E75647C4-C593-4F45-A116-05E0E2F28A6F}" name="Costo producto moneda producto" dataDxfId="56">
      <calculatedColumnFormula>_xlfn.XLOOKUP(Tabla27[[#This Row],[Nombre producto]], Tabla32[Nombre producto], Tabla32[Costo producto],"Error - agregue producto a Productos",0,1)</calculatedColumnFormula>
    </tableColumn>
    <tableColumn id="19" xr3:uid="{9910A921-3DF3-43FA-BD9F-53BCAAEB5E11}" name="Unidades" dataDxfId="55"/>
    <tableColumn id="10" xr3:uid="{C0F0F0A5-7253-41D6-8D03-FB6EECBD6740}" name="Precio USD/unitario" dataDxfId="54">
      <calculatedColumnFormula>_xlfn.XLOOKUP(Tabla27[[#This Row],[Nombre producto]], Tabla32[Nombre producto], Tabla32[Precio USD],"Error - agregue producto a Productos",0,1)</calculatedColumnFormula>
    </tableColumn>
    <tableColumn id="11" xr3:uid="{1A5BBDCD-7CFD-4D46-8049-3D7B9E270CF4}" name="Precio CLP/Unitario" dataDxfId="53">
      <calculatedColumnFormula>_xlfn.XLOOKUP(Tabla27[[#This Row],[Nombre producto]], Tabla32[Nombre producto], Tabla32[Precio CLP],"Error - agregue producto a Productos",0,1)</calculatedColumnFormula>
    </tableColumn>
    <tableColumn id="12" xr3:uid="{C7459AF2-CC32-4612-B033-37FA9210D2C8}" name="Precio UF/Unitario" dataDxfId="52">
      <calculatedColumnFormula>_xlfn.XLOOKUP(Tabla27[[#This Row],[Nombre producto]], Tabla32[Nombre producto], Tabla32[Precio UF],"Error - agregue producto a Productos",0,1)</calculatedColumnFormula>
    </tableColumn>
    <tableColumn id="5" xr3:uid="{8879887C-D0E4-4DA6-8374-1AC112E08DB5}" name="Precio EUR/ Unitario" dataDxfId="51" dataCellStyle="Hipervínculo">
      <calculatedColumnFormula>_xlfn.XLOOKUP(Tabla27[[#This Row],[Nombre producto]], Tabla32[Nombre producto], Tabla32[Precio Euros],"Error - agregue producto a Productos",0,1)</calculatedColumnFormula>
    </tableColumn>
    <tableColumn id="13" xr3:uid="{0BFE22DA-5593-47B8-90BE-869DD359D22F}" name="Proveedor" dataDxfId="50">
      <calculatedColumnFormula>_xlfn.XLOOKUP(Tabla27[[#This Row],[Nombre producto]],Productos!$C:$C,Productos!N:N, "Error",0,1)</calculatedColumnFormula>
    </tableColumn>
    <tableColumn id="14" xr3:uid="{1743073C-0A79-427F-B39F-D3C8DF2698C0}" name="Link de compra" dataDxfId="49">
      <calculatedColumnFormula>_xlfn.XLOOKUP(Tabla27[[#This Row],[Nombre producto]],Productos!$C:$C,Productos!O:O, "Error",0,1)</calculatedColumnFormula>
    </tableColumn>
    <tableColumn id="6" xr3:uid="{E40E0B02-4C60-49AE-B7CF-5E088A7C683A}" name="Moneda Final" dataDxfId="48">
      <calculatedColumnFormula>_xlfn.XLOOKUP(Tabla27[[#This Row],[Tipo de venta]], Tabla2329[Tipo de venta], Tabla2329[Moneda final], "Error - Seleccionar Tipo de Venta", 0,1)</calculatedColumnFormula>
    </tableColumn>
    <tableColumn id="15" xr3:uid="{100B01F4-D328-431F-89E1-5878C5E88B4A}" name="Tarifa Cambio de divisa" dataDxfId="47">
      <calculatedColumnFormula>IF(Tabla27[[#This Row],[Moneda producto]]="USD",'Datos generales'!$G$3,IF(Tabla27[[#This Row],[Moneda producto]]="EUR",'Datos generales'!$G$3,0))</calculatedColumnFormula>
    </tableColumn>
    <tableColumn id="7" xr3:uid="{82422F20-ADEE-45B3-B5BF-FFEF3FA90D22}" name="Precio final moneda seleccionada" dataDxfId="46">
      <calculatedColumnFormula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724EC72-6126-4D13-8D28-70C9F26FE38B}" name="Tabla32" displayName="Tabla32" ref="B6:U16" totalsRowShown="0" headerRowDxfId="45" dataDxfId="43" headerRowBorderDxfId="44" tableBorderDxfId="42" totalsRowBorderDxfId="41">
  <autoFilter ref="B6:U16" xr:uid="{1724EC72-6126-4D13-8D28-70C9F26FE38B}"/>
  <tableColumns count="20">
    <tableColumn id="1" xr3:uid="{1DE849D8-6B59-4F38-98D5-F296B9CD72C4}" name="Agrupación" dataDxfId="40"/>
    <tableColumn id="2" xr3:uid="{AA3E12A7-3E4F-4AC2-BAE1-C1460147922D}" name="Nombre producto" dataDxfId="39"/>
    <tableColumn id="3" xr3:uid="{9C033A2A-2F40-41DC-A6FE-4C866FF2644D}" name="Descripción" dataDxfId="38"/>
    <tableColumn id="4" xr3:uid="{F4F40B14-77EA-432D-B482-019AF6BB4568}" name="Tipo de moneda" dataDxfId="37"/>
    <tableColumn id="16" xr3:uid="{92EA2497-1E1B-481F-B33B-4021CA4D7DB5}" name="CIF/FOB/Nacional" dataDxfId="36"/>
    <tableColumn id="5" xr3:uid="{152935D8-DDC9-48A2-9DBC-0CCB3680C457}" name="Costo producto" dataDxfId="35"/>
    <tableColumn id="17" xr3:uid="{BF22B6BC-117C-42D8-B570-E6B777ABF167}" name="Costo de producto a oficina" dataDxfId="34">
      <calculatedColumnFormula>IF(Tabla32[[#This Row],[CIF/FOB/Nacional]]="Nacional", Tabla32[[#This Row],[Costo producto]],IF(Tabla32[[#This Row],[CIF/FOB/Nacional]]="CIF", Tabla32[[#This Row],[Costo producto]], Tabla32[[#This Row],[Costo producto]]*1.3))</calculatedColumnFormula>
    </tableColumn>
    <tableColumn id="6" xr3:uid="{F2748CBA-F38C-4583-B991-69DC3E29FB9D}" name="Margen" dataDxfId="33"/>
    <tableColumn id="7" xr3:uid="{F83AFCAE-A486-4EBF-8CD3-6DBF7F9D4A1B}" name="Precio Moneda compra" dataDxfId="32">
      <calculatedColumnFormula>H7/(1-I7)</calculatedColumnFormula>
    </tableColumn>
    <tableColumn id="8" xr3:uid="{05A18D47-BB8A-4042-B070-0F20E814AFC2}" name="Precio CLP" dataDxfId="31">
      <calculatedColumnFormula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calculatedColumnFormula>
    </tableColumn>
    <tableColumn id="18" xr3:uid="{3924A73C-1265-43AE-A6FA-A64935FB8C02}" name="Precio UF" dataDxfId="30">
      <calculatedColumnFormula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calculatedColumnFormula>
    </tableColumn>
    <tableColumn id="19" xr3:uid="{A2572D95-628E-4FB8-A44C-6E7B59704869}" name="Precio USD" dataDxfId="29">
      <calculatedColumnFormula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calculatedColumnFormula>
    </tableColumn>
    <tableColumn id="20" xr3:uid="{941D34F3-C5E6-4B3F-B281-243B9DD423E0}" name="Precio Euros" dataDxfId="28">
      <calculatedColumnFormula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calculatedColumnFormula>
    </tableColumn>
    <tableColumn id="9" xr3:uid="{9C37AA84-40B3-4F50-BC73-044BEDE71018}" name="Fabricante" dataDxfId="27"/>
    <tableColumn id="10" xr3:uid="{624006BC-7B6B-4088-B911-8A604991ADDE}" name="Nombre Vendedor" dataDxfId="26"/>
    <tableColumn id="11" xr3:uid="{1C9A1178-3703-4454-9401-2300870798A7}" name="Correo ; Número" dataDxfId="25"/>
    <tableColumn id="12" xr3:uid="{D7708E6B-2526-4CE5-9022-C88DD9EE3038}" name="Proveedor" dataDxfId="24"/>
    <tableColumn id="13" xr3:uid="{8EAEE1BF-0B79-4687-9AC1-BE1F23747543}" name="Columna1"/>
    <tableColumn id="14" xr3:uid="{4909C3F4-D7E1-47F6-AD45-35B25B9254C6}" name="Columna2"/>
    <tableColumn id="15" xr3:uid="{D3BDA5F7-5332-4B9C-911C-B46EF6D51B9F}" name="Columna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hondetechco.com/" TargetMode="External"/><Relationship Id="rId3" Type="http://schemas.openxmlformats.org/officeDocument/2006/relationships/hyperlink" Target="mailto:kyla@hondetech.com" TargetMode="External"/><Relationship Id="rId7" Type="http://schemas.openxmlformats.org/officeDocument/2006/relationships/hyperlink" Target="mailto:kyla@hondetech.com" TargetMode="External"/><Relationship Id="rId12" Type="http://schemas.openxmlformats.org/officeDocument/2006/relationships/table" Target="../tables/table14.xml"/><Relationship Id="rId2" Type="http://schemas.openxmlformats.org/officeDocument/2006/relationships/hyperlink" Target="https://www.wolke.cl/" TargetMode="External"/><Relationship Id="rId1" Type="http://schemas.openxmlformats.org/officeDocument/2006/relationships/hyperlink" Target="mailto:jose.valenzuela@wolke.cl" TargetMode="External"/><Relationship Id="rId6" Type="http://schemas.openxmlformats.org/officeDocument/2006/relationships/hyperlink" Target="http://www.hondetechco.com/" TargetMode="External"/><Relationship Id="rId11" Type="http://schemas.openxmlformats.org/officeDocument/2006/relationships/ctrlProp" Target="../ctrlProps/ctrlProp4.xml"/><Relationship Id="rId5" Type="http://schemas.openxmlformats.org/officeDocument/2006/relationships/hyperlink" Target="http://www.hondetechco.com/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mailto:kyla@hondetech.com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X26"/>
  <sheetViews>
    <sheetView showGridLines="0" zoomScale="70" zoomScaleNormal="70" workbookViewId="0">
      <selection activeCell="X12" sqref="X12"/>
    </sheetView>
  </sheetViews>
  <sheetFormatPr baseColWidth="10" defaultColWidth="8.88671875" defaultRowHeight="14.4" x14ac:dyDescent="0.3"/>
  <cols>
    <col min="1" max="1" width="20.109375" customWidth="1"/>
    <col min="2" max="2" width="15.44140625" customWidth="1"/>
    <col min="3" max="3" width="22.33203125" customWidth="1"/>
    <col min="4" max="4" width="30.109375" customWidth="1"/>
    <col min="5" max="5" width="21.5546875" customWidth="1"/>
    <col min="6" max="6" width="30.21875" customWidth="1"/>
    <col min="7" max="7" width="18" bestFit="1" customWidth="1"/>
    <col min="8" max="8" width="16.6640625" customWidth="1"/>
    <col min="9" max="9" width="13.88671875" bestFit="1" customWidth="1"/>
    <col min="10" max="10" width="14" customWidth="1"/>
    <col min="11" max="11" width="20.6640625" customWidth="1"/>
    <col min="12" max="12" width="18.44140625" customWidth="1"/>
    <col min="14" max="14" width="11.6640625" customWidth="1"/>
    <col min="16" max="16" width="14.33203125" customWidth="1"/>
    <col min="17" max="17" width="8.88671875" style="70"/>
    <col min="22" max="22" width="23.5546875" customWidth="1"/>
    <col min="23" max="23" width="19.44140625" customWidth="1"/>
    <col min="24" max="24" width="19.5546875" customWidth="1"/>
  </cols>
  <sheetData>
    <row r="1" spans="2:24" x14ac:dyDescent="0.3">
      <c r="B1" s="6"/>
      <c r="Q1"/>
    </row>
    <row r="2" spans="2:24" x14ac:dyDescent="0.3">
      <c r="B2" s="9"/>
      <c r="C2" s="9"/>
      <c r="D2" s="61"/>
      <c r="E2" s="61"/>
      <c r="F2" s="61"/>
      <c r="J2" t="s">
        <v>145</v>
      </c>
      <c r="K2" s="104">
        <f ca="1">TODAY()</f>
        <v>45757</v>
      </c>
      <c r="Q2"/>
    </row>
    <row r="3" spans="2:24" ht="25.2" customHeight="1" x14ac:dyDescent="0.4">
      <c r="C3" s="10"/>
      <c r="D3" s="107" t="str">
        <f ca="1">IF(K4&gt;15, "ALERTA - Actualizar datos", "Datos actualizados")</f>
        <v>Datos actualizados</v>
      </c>
      <c r="E3" s="19"/>
      <c r="F3" s="110" t="s">
        <v>155</v>
      </c>
      <c r="G3" s="110">
        <v>0.05</v>
      </c>
      <c r="J3" t="s">
        <v>146</v>
      </c>
      <c r="K3" s="105">
        <f>D6</f>
        <v>45748</v>
      </c>
      <c r="Q3" s="9"/>
      <c r="R3" s="9"/>
      <c r="S3" s="9"/>
    </row>
    <row r="4" spans="2:24" ht="28.8" x14ac:dyDescent="0.3">
      <c r="B4" s="10"/>
      <c r="C4" s="10"/>
      <c r="E4" s="8"/>
      <c r="F4" s="8"/>
      <c r="G4" s="8"/>
      <c r="J4" s="2" t="s">
        <v>147</v>
      </c>
      <c r="K4" s="106">
        <f ca="1">K2-K3</f>
        <v>9</v>
      </c>
      <c r="Q4" s="10"/>
      <c r="R4" s="10"/>
      <c r="S4" s="10"/>
    </row>
    <row r="5" spans="2:24" x14ac:dyDescent="0.3">
      <c r="B5" s="1"/>
      <c r="C5" s="1"/>
      <c r="D5" s="83"/>
      <c r="E5" s="68"/>
      <c r="F5" s="17"/>
      <c r="G5" s="17"/>
      <c r="H5" s="83"/>
      <c r="I5" s="83"/>
      <c r="J5" s="83"/>
      <c r="K5" s="11"/>
      <c r="L5" s="83"/>
      <c r="M5" s="30"/>
      <c r="N5" s="83"/>
      <c r="O5" s="83"/>
      <c r="P5" s="83"/>
      <c r="Q5" s="84"/>
      <c r="R5" s="84"/>
      <c r="S5" s="84"/>
      <c r="T5" s="83"/>
      <c r="U5" s="83"/>
      <c r="V5" s="83"/>
      <c r="W5" s="83"/>
      <c r="X5" s="83"/>
    </row>
    <row r="6" spans="2:24" ht="28.8" customHeight="1" x14ac:dyDescent="0.3">
      <c r="B6" s="116" t="s">
        <v>144</v>
      </c>
      <c r="C6" s="116"/>
      <c r="D6" s="103">
        <v>45748</v>
      </c>
      <c r="E6" s="85"/>
      <c r="F6" s="115" t="s">
        <v>119</v>
      </c>
      <c r="G6" s="115"/>
      <c r="H6" s="115"/>
      <c r="I6" s="83"/>
      <c r="J6" s="83"/>
      <c r="K6" s="83"/>
      <c r="L6" s="83"/>
      <c r="M6" s="83"/>
      <c r="N6" s="83"/>
      <c r="O6" s="83"/>
      <c r="P6" s="83"/>
      <c r="Q6" s="83"/>
      <c r="R6" s="115" t="s">
        <v>132</v>
      </c>
      <c r="S6" s="115"/>
      <c r="T6" s="115"/>
      <c r="U6" s="83"/>
      <c r="V6" s="83"/>
      <c r="W6" s="83"/>
      <c r="X6" s="83"/>
    </row>
    <row r="7" spans="2:24" ht="28.95" customHeight="1" x14ac:dyDescent="0.3">
      <c r="B7" s="83" t="s">
        <v>15</v>
      </c>
      <c r="C7" s="83" t="s">
        <v>118</v>
      </c>
      <c r="D7" s="83" t="s">
        <v>143</v>
      </c>
      <c r="E7" s="86"/>
      <c r="F7" s="83" t="s">
        <v>16</v>
      </c>
      <c r="G7" s="83" t="s">
        <v>139</v>
      </c>
      <c r="H7" s="83" t="s">
        <v>138</v>
      </c>
      <c r="I7" s="83"/>
      <c r="J7" s="1" t="s">
        <v>18</v>
      </c>
      <c r="K7" s="1" t="s">
        <v>19</v>
      </c>
      <c r="L7" s="61"/>
      <c r="M7" s="1" t="s">
        <v>20</v>
      </c>
      <c r="N7" s="1" t="s">
        <v>21</v>
      </c>
      <c r="O7" s="1" t="s">
        <v>22</v>
      </c>
      <c r="P7" s="1" t="s">
        <v>23</v>
      </c>
      <c r="Q7" s="19"/>
      <c r="R7" s="83" t="s">
        <v>34</v>
      </c>
      <c r="S7" s="87" t="s">
        <v>37</v>
      </c>
      <c r="T7" s="83" t="s">
        <v>133</v>
      </c>
      <c r="U7" s="83"/>
      <c r="V7" s="1" t="s">
        <v>140</v>
      </c>
      <c r="W7" s="1" t="s">
        <v>36</v>
      </c>
      <c r="X7" s="1" t="s">
        <v>160</v>
      </c>
    </row>
    <row r="8" spans="2:24" x14ac:dyDescent="0.3">
      <c r="B8" s="83" t="s">
        <v>1</v>
      </c>
      <c r="C8" s="88">
        <v>1</v>
      </c>
      <c r="D8" s="83">
        <v>1</v>
      </c>
      <c r="E8" s="83"/>
      <c r="F8" s="83" t="s">
        <v>17</v>
      </c>
      <c r="G8" s="83">
        <v>1</v>
      </c>
      <c r="H8" s="89">
        <v>0.4</v>
      </c>
      <c r="I8" s="83"/>
      <c r="J8" s="62" t="s">
        <v>25</v>
      </c>
      <c r="K8" s="62">
        <v>1</v>
      </c>
      <c r="L8" s="60"/>
      <c r="M8" s="2" t="s">
        <v>26</v>
      </c>
      <c r="N8" s="2">
        <v>0.3</v>
      </c>
      <c r="O8" s="43">
        <v>0.32</v>
      </c>
      <c r="P8" s="1">
        <f>Tabla9[[#This Row],[Costo UF HH]]/(1-Tabla9[[#This Row],[Margen]])</f>
        <v>0.44117647058823534</v>
      </c>
      <c r="Q8" s="19"/>
      <c r="R8" s="62">
        <v>1</v>
      </c>
      <c r="S8" s="90" t="s">
        <v>76</v>
      </c>
      <c r="T8" s="91">
        <v>0</v>
      </c>
      <c r="U8" s="83"/>
      <c r="V8" s="2" t="s">
        <v>39</v>
      </c>
      <c r="W8" s="2" t="s">
        <v>40</v>
      </c>
      <c r="X8" s="14">
        <v>0.5</v>
      </c>
    </row>
    <row r="9" spans="2:24" ht="32.4" customHeight="1" x14ac:dyDescent="0.3">
      <c r="B9" s="83" t="s">
        <v>3</v>
      </c>
      <c r="C9" s="88">
        <v>38409.199999999997</v>
      </c>
      <c r="D9" s="83">
        <v>1</v>
      </c>
      <c r="E9" s="83"/>
      <c r="F9" s="83" t="s">
        <v>24</v>
      </c>
      <c r="G9" s="83">
        <v>1.3</v>
      </c>
      <c r="H9" s="89">
        <v>0.4</v>
      </c>
      <c r="I9" s="83"/>
      <c r="J9" s="62" t="s">
        <v>28</v>
      </c>
      <c r="K9" s="62">
        <v>1.5</v>
      </c>
      <c r="L9" s="19"/>
      <c r="M9" s="2" t="s">
        <v>29</v>
      </c>
      <c r="N9" s="2">
        <v>0.3</v>
      </c>
      <c r="O9" s="43">
        <v>0.36</v>
      </c>
      <c r="P9" s="1">
        <f>Tabla9[[#This Row],[Costo UF HH]]/(1-Tabla9[[#This Row],[Margen]])</f>
        <v>0.46875</v>
      </c>
      <c r="Q9" s="19"/>
      <c r="R9" s="62">
        <v>2</v>
      </c>
      <c r="S9" s="90" t="s">
        <v>77</v>
      </c>
      <c r="T9" s="91">
        <v>0.5</v>
      </c>
      <c r="U9" s="83"/>
      <c r="V9" s="2" t="s">
        <v>43</v>
      </c>
      <c r="W9" s="2" t="s">
        <v>44</v>
      </c>
      <c r="X9" s="14">
        <v>1</v>
      </c>
    </row>
    <row r="10" spans="2:24" ht="43.2" x14ac:dyDescent="0.3">
      <c r="B10" s="83" t="s">
        <v>6</v>
      </c>
      <c r="C10" s="88">
        <v>950</v>
      </c>
      <c r="D10" s="83">
        <v>1.05</v>
      </c>
      <c r="E10" s="83"/>
      <c r="F10" s="83" t="s">
        <v>27</v>
      </c>
      <c r="G10" s="83">
        <v>1</v>
      </c>
      <c r="H10" s="89">
        <v>0.2</v>
      </c>
      <c r="I10" s="83"/>
      <c r="J10" s="62" t="s">
        <v>31</v>
      </c>
      <c r="K10" s="62">
        <v>2</v>
      </c>
      <c r="L10" s="83"/>
      <c r="M10" s="7" t="s">
        <v>32</v>
      </c>
      <c r="N10" s="2">
        <v>0.3</v>
      </c>
      <c r="O10" s="43">
        <v>0.37</v>
      </c>
      <c r="P10" s="1">
        <f>Tabla9[[#This Row],[Costo UF HH]]/(1-Tabla9[[#This Row],[Margen]])</f>
        <v>0.47619047619047616</v>
      </c>
      <c r="Q10" s="89"/>
      <c r="R10" s="62">
        <v>3</v>
      </c>
      <c r="S10" s="90" t="s">
        <v>112</v>
      </c>
      <c r="T10" s="91">
        <v>0.6</v>
      </c>
      <c r="U10" s="83"/>
      <c r="V10" s="7" t="s">
        <v>47</v>
      </c>
      <c r="W10" s="7" t="s">
        <v>48</v>
      </c>
      <c r="X10" s="14">
        <v>2</v>
      </c>
    </row>
    <row r="11" spans="2:24" ht="43.2" x14ac:dyDescent="0.3">
      <c r="B11" s="83" t="s">
        <v>30</v>
      </c>
      <c r="C11" s="88">
        <v>1025</v>
      </c>
      <c r="D11" s="83">
        <v>1.05</v>
      </c>
      <c r="E11" s="83"/>
      <c r="F11" s="83" t="s">
        <v>142</v>
      </c>
      <c r="G11" s="83">
        <v>1</v>
      </c>
      <c r="H11" s="89">
        <v>0.35</v>
      </c>
      <c r="I11" s="83"/>
      <c r="J11" s="83"/>
      <c r="K11" s="83"/>
      <c r="L11" s="83"/>
      <c r="M11" s="7" t="s">
        <v>33</v>
      </c>
      <c r="N11" s="2">
        <v>0.3</v>
      </c>
      <c r="O11" s="43">
        <v>0.39</v>
      </c>
      <c r="P11" s="1">
        <f>Tabla9[[#This Row],[Costo UF HH]]/(1-Tabla9[[#This Row],[Margen]])</f>
        <v>0.49180327868852458</v>
      </c>
      <c r="Q11" s="89"/>
      <c r="R11" s="92"/>
      <c r="S11" s="93"/>
      <c r="T11" s="91"/>
      <c r="U11" s="83"/>
      <c r="V11" s="112" t="s">
        <v>158</v>
      </c>
      <c r="W11" s="83" t="s">
        <v>159</v>
      </c>
      <c r="X11" s="113">
        <v>1.79</v>
      </c>
    </row>
    <row r="12" spans="2:24" ht="61.2" customHeight="1" x14ac:dyDescent="0.3">
      <c r="B12" s="83"/>
      <c r="C12" s="109"/>
      <c r="D12" s="83"/>
      <c r="E12" s="83"/>
      <c r="F12" s="83"/>
      <c r="G12" s="83"/>
      <c r="H12" s="89"/>
      <c r="I12" s="83"/>
      <c r="J12" s="83"/>
      <c r="K12" s="83"/>
      <c r="L12" s="83"/>
      <c r="M12" s="83"/>
      <c r="N12" s="83"/>
      <c r="O12" s="83"/>
      <c r="P12" s="83"/>
      <c r="Q12" s="89"/>
      <c r="R12" s="83"/>
      <c r="S12" s="83"/>
      <c r="T12" s="83"/>
      <c r="U12" s="83"/>
      <c r="V12" s="112" t="s">
        <v>169</v>
      </c>
      <c r="W12" s="136" t="s">
        <v>170</v>
      </c>
      <c r="X12" s="113">
        <v>0</v>
      </c>
    </row>
    <row r="13" spans="2:24" x14ac:dyDescent="0.3">
      <c r="B13" s="83"/>
      <c r="C13" s="83"/>
      <c r="D13" s="83"/>
      <c r="E13" s="83"/>
      <c r="F13" s="83"/>
      <c r="G13" s="83"/>
      <c r="H13" s="89"/>
      <c r="I13" s="83"/>
      <c r="J13" s="89"/>
      <c r="K13" s="83"/>
      <c r="L13" s="83"/>
      <c r="M13" s="83"/>
      <c r="N13" s="83"/>
      <c r="O13" s="83"/>
      <c r="P13" s="83"/>
      <c r="Q13" s="89"/>
      <c r="R13" s="83"/>
      <c r="S13" s="83"/>
      <c r="T13" s="83"/>
      <c r="U13" s="83"/>
      <c r="V13" s="83"/>
      <c r="W13" s="83"/>
      <c r="X13" s="83"/>
    </row>
    <row r="14" spans="2:24" x14ac:dyDescent="0.3">
      <c r="B14" s="78"/>
      <c r="C14" s="78"/>
      <c r="D14" s="94"/>
      <c r="E14" s="83"/>
      <c r="F14" s="83"/>
      <c r="G14" s="83"/>
      <c r="H14" s="89"/>
      <c r="I14" s="83"/>
      <c r="J14" s="83"/>
      <c r="K14" s="83"/>
      <c r="L14" s="83"/>
      <c r="M14" s="19"/>
      <c r="N14" s="83"/>
      <c r="O14" s="83"/>
      <c r="P14" s="83"/>
      <c r="Q14" s="89"/>
      <c r="R14" s="83"/>
      <c r="S14" s="83"/>
      <c r="T14" s="83"/>
      <c r="U14" s="83"/>
      <c r="V14" s="83"/>
      <c r="W14" s="83"/>
      <c r="X14" s="83"/>
    </row>
    <row r="15" spans="2:24" x14ac:dyDescent="0.3">
      <c r="B15" s="19"/>
      <c r="C15" s="19"/>
      <c r="D15" s="83"/>
      <c r="E15" s="83"/>
      <c r="F15" s="83"/>
      <c r="G15" s="83"/>
      <c r="H15" s="89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</row>
    <row r="16" spans="2:24" ht="89.4" customHeight="1" x14ac:dyDescent="0.3">
      <c r="B16" s="19"/>
      <c r="C16" s="19"/>
      <c r="D16" s="83"/>
      <c r="E16" s="83"/>
      <c r="F16" s="83"/>
      <c r="G16" s="83"/>
      <c r="H16" s="89"/>
      <c r="I16" s="83"/>
      <c r="J16" s="83"/>
      <c r="K16" s="114"/>
      <c r="L16" s="114"/>
      <c r="M16" s="114"/>
      <c r="N16" s="83"/>
      <c r="O16" s="83"/>
      <c r="P16" s="83"/>
      <c r="Q16" s="89"/>
      <c r="R16" s="83"/>
      <c r="S16" s="83"/>
      <c r="T16" s="83"/>
      <c r="U16" s="83"/>
      <c r="V16" s="83"/>
      <c r="W16" s="83"/>
      <c r="X16" s="83"/>
    </row>
    <row r="17" spans="1:24" x14ac:dyDescent="0.3">
      <c r="A17" s="12"/>
      <c r="B17" s="19"/>
      <c r="C17" s="77"/>
      <c r="D17" s="83"/>
      <c r="E17" s="83"/>
      <c r="F17" s="83"/>
      <c r="G17" s="83"/>
      <c r="H17" s="89"/>
      <c r="I17" s="83"/>
      <c r="J17" s="83"/>
      <c r="K17" s="19"/>
      <c r="L17" s="77"/>
      <c r="M17" s="19"/>
      <c r="N17" s="83"/>
      <c r="O17" s="83"/>
      <c r="P17" s="83"/>
      <c r="Q17" s="89"/>
      <c r="R17" s="83"/>
      <c r="S17" s="83"/>
      <c r="T17" s="83"/>
      <c r="U17" s="83"/>
      <c r="V17" s="83"/>
      <c r="W17" s="83"/>
      <c r="X17" s="83"/>
    </row>
    <row r="18" spans="1:24" x14ac:dyDescent="0.3">
      <c r="A18" s="12"/>
      <c r="B18" s="17"/>
      <c r="C18" s="95"/>
      <c r="D18" s="83"/>
      <c r="E18" s="83"/>
      <c r="F18" s="83"/>
      <c r="G18" s="83"/>
      <c r="H18" s="83"/>
      <c r="I18" s="83"/>
      <c r="J18" s="19"/>
      <c r="K18" s="17"/>
      <c r="L18" s="95"/>
      <c r="M18" s="95"/>
      <c r="N18" s="83"/>
      <c r="O18" s="83"/>
      <c r="P18" s="83"/>
      <c r="Q18" s="89"/>
      <c r="R18" s="83"/>
      <c r="S18" s="83"/>
      <c r="T18" s="83"/>
      <c r="U18" s="83"/>
      <c r="V18" s="83"/>
      <c r="W18" s="83"/>
      <c r="X18" s="83"/>
    </row>
    <row r="19" spans="1:24" x14ac:dyDescent="0.3">
      <c r="A19" s="12"/>
      <c r="B19" s="17"/>
      <c r="C19" s="95"/>
      <c r="D19" s="83"/>
      <c r="E19" s="83"/>
      <c r="F19" s="83"/>
      <c r="G19" s="83"/>
      <c r="H19" s="83"/>
      <c r="I19" s="83"/>
      <c r="J19" s="19"/>
      <c r="K19" s="17"/>
      <c r="L19" s="95"/>
      <c r="M19" s="95"/>
      <c r="N19" s="83"/>
      <c r="O19" s="83"/>
      <c r="P19" s="83"/>
      <c r="Q19" s="89"/>
      <c r="R19" s="83"/>
      <c r="S19" s="83"/>
      <c r="T19" s="83"/>
      <c r="U19" s="83"/>
      <c r="V19" s="83"/>
      <c r="W19" s="83"/>
      <c r="X19" s="83"/>
    </row>
    <row r="20" spans="1:24" x14ac:dyDescent="0.3">
      <c r="B20" s="17"/>
      <c r="C20" s="95"/>
      <c r="D20" s="83"/>
      <c r="E20" s="83"/>
      <c r="F20" s="83"/>
      <c r="G20" s="83"/>
      <c r="H20" s="83"/>
      <c r="I20" s="83"/>
      <c r="J20" s="83"/>
      <c r="K20" s="83"/>
      <c r="L20" s="95"/>
      <c r="M20" s="95"/>
      <c r="N20" s="83"/>
      <c r="O20" s="83"/>
      <c r="P20" s="83"/>
      <c r="Q20" s="89"/>
      <c r="R20" s="83"/>
      <c r="S20" s="83"/>
      <c r="T20" s="83"/>
      <c r="U20" s="83"/>
      <c r="V20" s="83"/>
      <c r="W20" s="83"/>
      <c r="X20" s="83"/>
    </row>
    <row r="21" spans="1:24" x14ac:dyDescent="0.3">
      <c r="B21" s="17"/>
      <c r="C21" s="95"/>
      <c r="D21" s="83"/>
      <c r="E21" s="83"/>
      <c r="F21" s="83"/>
      <c r="G21" s="83"/>
      <c r="H21" s="83"/>
      <c r="I21" s="83"/>
      <c r="J21" s="83"/>
      <c r="K21" s="83"/>
      <c r="L21" s="95"/>
      <c r="M21" s="95"/>
      <c r="N21" s="83"/>
      <c r="O21" s="83"/>
      <c r="P21" s="83"/>
      <c r="Q21" s="89"/>
      <c r="R21" s="83"/>
      <c r="S21" s="83"/>
      <c r="T21" s="83"/>
      <c r="U21" s="83"/>
      <c r="V21" s="83"/>
      <c r="W21" s="83"/>
      <c r="X21" s="83"/>
    </row>
    <row r="22" spans="1:24" ht="41.25" customHeight="1" x14ac:dyDescent="0.3">
      <c r="L22" s="8"/>
      <c r="M22" s="8"/>
    </row>
    <row r="23" spans="1:24" x14ac:dyDescent="0.3">
      <c r="F23" s="23"/>
      <c r="G23" s="17"/>
      <c r="H23" s="22"/>
    </row>
    <row r="24" spans="1:24" x14ac:dyDescent="0.3">
      <c r="F24" s="22"/>
      <c r="G24" s="24"/>
      <c r="H24" s="23"/>
    </row>
    <row r="25" spans="1:24" x14ac:dyDescent="0.3">
      <c r="F25" s="8"/>
      <c r="G25" s="8"/>
      <c r="H25" s="22"/>
    </row>
    <row r="26" spans="1:24" x14ac:dyDescent="0.3">
      <c r="H26" s="8"/>
      <c r="J26" s="22"/>
      <c r="K26" s="22"/>
    </row>
  </sheetData>
  <mergeCells count="4">
    <mergeCell ref="K16:M16"/>
    <mergeCell ref="F6:H6"/>
    <mergeCell ref="R6:T6"/>
    <mergeCell ref="B6:C6"/>
  </mergeCells>
  <conditionalFormatting sqref="D3">
    <cfRule type="containsText" dxfId="0" priority="1" operator="containsText" text="Datos actualizados">
      <formula>NOT(ISERROR(SEARCH("Datos actualizados",D3)))</formula>
    </cfRule>
  </conditionalFormatting>
  <dataValidations disablePrompts="1" count="2">
    <dataValidation type="list" allowBlank="1" showInputMessage="1" showErrorMessage="1" sqref="M5" xr:uid="{1E370577-3989-419E-B7EB-5EDE8CE983AE}">
      <formula1>$B$8:$B$10</formula1>
    </dataValidation>
    <dataValidation type="list" allowBlank="1" showInputMessage="1" showErrorMessage="1" sqref="M18:M21" xr:uid="{601E503C-C060-40FD-9C79-C1EAA069E4F3}">
      <formula1>$B$8:$B$13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0242E-B157-4ABC-8E1F-047DBD593B94}">
  <sheetPr codeName="Hoja3">
    <tabColor rgb="FF00B050"/>
  </sheetPr>
  <dimension ref="A1:S27"/>
  <sheetViews>
    <sheetView showGridLines="0" zoomScale="70" zoomScaleNormal="70" workbookViewId="0">
      <selection activeCell="K16" sqref="K16"/>
    </sheetView>
  </sheetViews>
  <sheetFormatPr baseColWidth="10" defaultColWidth="8.88671875" defaultRowHeight="14.4" x14ac:dyDescent="0.3"/>
  <cols>
    <col min="1" max="1" width="20.109375" customWidth="1"/>
    <col min="2" max="2" width="15.44140625" customWidth="1"/>
    <col min="3" max="3" width="31.88671875" customWidth="1"/>
    <col min="4" max="4" width="15.33203125" customWidth="1"/>
    <col min="5" max="5" width="21.5546875" customWidth="1"/>
    <col min="6" max="6" width="20" customWidth="1"/>
    <col min="7" max="7" width="18" bestFit="1" customWidth="1"/>
    <col min="8" max="8" width="22.21875" customWidth="1"/>
    <col min="9" max="9" width="22.6640625" customWidth="1"/>
    <col min="10" max="10" width="14" customWidth="1"/>
    <col min="11" max="11" width="13.109375" customWidth="1"/>
    <col min="12" max="12" width="18.44140625" customWidth="1"/>
    <col min="13" max="13" width="17.109375" customWidth="1"/>
    <col min="14" max="14" width="11.6640625" customWidth="1"/>
    <col min="15" max="15" width="111.5546875" customWidth="1"/>
    <col min="16" max="16" width="14.33203125" customWidth="1"/>
    <col min="17" max="17" width="8.88671875" style="70"/>
  </cols>
  <sheetData>
    <row r="1" spans="2:19" x14ac:dyDescent="0.3">
      <c r="H1" s="117"/>
      <c r="I1" s="117"/>
      <c r="J1" s="117"/>
      <c r="Q1"/>
    </row>
    <row r="2" spans="2:19" ht="14.4" customHeight="1" x14ac:dyDescent="0.3">
      <c r="B2" s="6" t="s">
        <v>0</v>
      </c>
      <c r="Q2"/>
    </row>
    <row r="3" spans="2:19" ht="14.4" customHeight="1" x14ac:dyDescent="0.3">
      <c r="B3" s="120" t="s">
        <v>2</v>
      </c>
      <c r="C3" s="120"/>
      <c r="D3" s="120"/>
      <c r="E3" s="120"/>
      <c r="F3" s="120"/>
      <c r="G3" s="120"/>
      <c r="H3" s="120"/>
      <c r="I3" s="120"/>
      <c r="J3" s="120"/>
      <c r="P3" s="9"/>
      <c r="Q3" s="9"/>
      <c r="R3" s="9"/>
      <c r="S3" s="9"/>
    </row>
    <row r="4" spans="2:19" x14ac:dyDescent="0.3">
      <c r="C4" s="83"/>
      <c r="D4" s="83"/>
      <c r="E4" s="83"/>
      <c r="F4" s="83"/>
      <c r="G4" s="83"/>
      <c r="H4" s="83"/>
      <c r="I4" s="83"/>
      <c r="J4" s="83"/>
      <c r="K4" s="19"/>
      <c r="L4" s="83"/>
      <c r="M4" s="83"/>
      <c r="N4" s="83"/>
      <c r="P4" s="10"/>
      <c r="Q4" s="10"/>
      <c r="R4" s="10"/>
      <c r="S4" s="10"/>
    </row>
    <row r="5" spans="2:19" x14ac:dyDescent="0.3">
      <c r="B5" s="121" t="s">
        <v>7</v>
      </c>
      <c r="C5" s="121"/>
      <c r="D5" s="121"/>
      <c r="E5" s="121"/>
      <c r="F5" s="121"/>
      <c r="G5" s="121"/>
      <c r="H5" s="121"/>
      <c r="I5" s="121"/>
      <c r="J5" s="121"/>
      <c r="K5" s="17"/>
      <c r="L5" s="83"/>
      <c r="M5" s="83"/>
      <c r="N5" s="83"/>
      <c r="P5" s="10"/>
      <c r="Q5" s="10"/>
      <c r="R5" s="10"/>
      <c r="S5" s="10"/>
    </row>
    <row r="6" spans="2:19" x14ac:dyDescent="0.3">
      <c r="B6" s="19"/>
      <c r="C6" s="19"/>
      <c r="D6" s="19"/>
      <c r="E6" s="19"/>
      <c r="F6" s="19"/>
      <c r="G6" s="19"/>
      <c r="H6" s="83"/>
      <c r="I6" s="83"/>
      <c r="J6" s="89"/>
      <c r="K6" s="17"/>
      <c r="L6" s="83"/>
      <c r="M6" s="83"/>
      <c r="N6" s="83"/>
      <c r="Q6"/>
    </row>
    <row r="7" spans="2:19" ht="28.95" customHeight="1" x14ac:dyDescent="0.5">
      <c r="B7" s="83"/>
      <c r="C7" s="83"/>
      <c r="D7" s="83"/>
      <c r="E7" s="118" t="s">
        <v>35</v>
      </c>
      <c r="F7" s="118"/>
      <c r="G7" s="19"/>
      <c r="H7" s="119" t="s">
        <v>37</v>
      </c>
      <c r="I7" s="119"/>
      <c r="J7" s="119"/>
      <c r="K7" s="17"/>
      <c r="O7" s="8"/>
      <c r="P7" s="8"/>
      <c r="Q7" s="8"/>
      <c r="R7" s="8"/>
    </row>
    <row r="8" spans="2:19" x14ac:dyDescent="0.3">
      <c r="B8" s="1" t="s">
        <v>4</v>
      </c>
      <c r="C8" s="1" t="s">
        <v>5</v>
      </c>
      <c r="D8" s="83"/>
      <c r="E8" s="83" t="s">
        <v>34</v>
      </c>
      <c r="F8" s="87" t="s">
        <v>35</v>
      </c>
      <c r="G8" s="17"/>
      <c r="H8" s="83" t="s">
        <v>34</v>
      </c>
      <c r="I8" s="87" t="s">
        <v>37</v>
      </c>
      <c r="J8" s="83" t="s">
        <v>116</v>
      </c>
      <c r="K8" s="17"/>
      <c r="O8" s="8"/>
      <c r="P8" s="8"/>
      <c r="Q8" s="8"/>
      <c r="R8" s="8"/>
    </row>
    <row r="9" spans="2:19" ht="32.4" customHeight="1" x14ac:dyDescent="0.3">
      <c r="B9" s="63" t="s">
        <v>8</v>
      </c>
      <c r="C9" s="63">
        <f t="shared" ref="C9" ca="1" si="0">TODAY()</f>
        <v>45757</v>
      </c>
      <c r="D9" s="83"/>
      <c r="E9" s="62">
        <v>1</v>
      </c>
      <c r="F9" s="90" t="s">
        <v>38</v>
      </c>
      <c r="G9" s="85"/>
      <c r="H9" s="100">
        <v>1</v>
      </c>
      <c r="I9" s="90" t="s">
        <v>41</v>
      </c>
      <c r="J9" s="96" t="s">
        <v>1</v>
      </c>
      <c r="K9" s="19"/>
      <c r="O9" s="8"/>
      <c r="P9" s="8"/>
      <c r="Q9" s="8"/>
    </row>
    <row r="10" spans="2:19" ht="46.2" customHeight="1" x14ac:dyDescent="0.3">
      <c r="B10" s="63" t="s">
        <v>9</v>
      </c>
      <c r="C10" s="63" t="s">
        <v>10</v>
      </c>
      <c r="D10" s="83"/>
      <c r="E10" s="62">
        <v>2</v>
      </c>
      <c r="F10" s="90" t="s">
        <v>42</v>
      </c>
      <c r="G10" s="86"/>
      <c r="H10" s="100">
        <v>2</v>
      </c>
      <c r="I10" s="90" t="s">
        <v>45</v>
      </c>
      <c r="J10" s="96" t="s">
        <v>6</v>
      </c>
      <c r="K10" s="19"/>
      <c r="O10" s="81"/>
      <c r="P10" s="81"/>
      <c r="Q10" s="81"/>
      <c r="R10" s="81"/>
    </row>
    <row r="11" spans="2:19" ht="28.8" x14ac:dyDescent="0.3">
      <c r="B11" s="63" t="s">
        <v>11</v>
      </c>
      <c r="C11" s="63" t="s">
        <v>12</v>
      </c>
      <c r="D11" s="83"/>
      <c r="E11" s="62">
        <v>3</v>
      </c>
      <c r="F11" s="90" t="s">
        <v>46</v>
      </c>
      <c r="G11" s="83"/>
      <c r="H11" s="100">
        <v>3</v>
      </c>
      <c r="I11" s="90" t="s">
        <v>49</v>
      </c>
      <c r="J11" s="96" t="s">
        <v>3</v>
      </c>
      <c r="K11" s="19"/>
      <c r="O11" s="81"/>
      <c r="P11" s="81"/>
      <c r="Q11" s="82"/>
      <c r="R11" s="81"/>
    </row>
    <row r="12" spans="2:19" ht="37.200000000000003" customHeight="1" x14ac:dyDescent="0.3">
      <c r="B12" s="63" t="s">
        <v>13</v>
      </c>
      <c r="C12" s="63" t="s">
        <v>14</v>
      </c>
      <c r="D12" s="83"/>
      <c r="E12" s="62">
        <v>4</v>
      </c>
      <c r="F12" s="90" t="s">
        <v>50</v>
      </c>
      <c r="G12" s="83"/>
      <c r="H12" s="101">
        <v>4</v>
      </c>
      <c r="I12" s="93" t="s">
        <v>126</v>
      </c>
      <c r="J12" s="96" t="s">
        <v>30</v>
      </c>
      <c r="K12" s="19"/>
      <c r="O12" s="81"/>
      <c r="P12" s="81"/>
      <c r="Q12" s="82"/>
      <c r="R12" s="81"/>
    </row>
    <row r="13" spans="2:19" x14ac:dyDescent="0.3">
      <c r="B13" s="63"/>
      <c r="C13" s="63"/>
      <c r="D13" s="83"/>
      <c r="E13" s="83"/>
      <c r="F13" s="85"/>
      <c r="G13" s="83"/>
      <c r="H13" s="92">
        <v>5</v>
      </c>
      <c r="I13" s="93" t="s">
        <v>141</v>
      </c>
      <c r="J13" s="91" t="s">
        <v>1</v>
      </c>
      <c r="K13" s="19"/>
      <c r="L13" s="1"/>
      <c r="M13" s="1"/>
      <c r="N13" s="83"/>
      <c r="O13" s="81"/>
      <c r="P13" s="81"/>
      <c r="Q13" s="82"/>
      <c r="R13" s="81"/>
    </row>
    <row r="14" spans="2:19" x14ac:dyDescent="0.3">
      <c r="B14" s="63"/>
      <c r="C14" s="63"/>
      <c r="D14" s="83"/>
      <c r="E14" s="83"/>
      <c r="F14" s="85"/>
      <c r="G14" s="19"/>
      <c r="H14" s="19"/>
      <c r="I14" s="19"/>
      <c r="J14" s="102"/>
      <c r="K14" s="19"/>
      <c r="L14" s="17"/>
      <c r="M14" s="17"/>
      <c r="N14" s="19"/>
      <c r="O14" s="13"/>
      <c r="P14" s="13"/>
      <c r="Q14" s="97"/>
      <c r="R14" s="81"/>
    </row>
    <row r="15" spans="2:19" x14ac:dyDescent="0.3">
      <c r="B15" s="63"/>
      <c r="C15" s="63"/>
      <c r="D15" s="83"/>
      <c r="E15" s="83"/>
      <c r="F15" s="85"/>
      <c r="G15" s="19"/>
      <c r="H15" s="19"/>
      <c r="I15" s="19"/>
      <c r="J15" s="102"/>
      <c r="K15" s="19"/>
      <c r="L15" s="17"/>
      <c r="M15" s="17"/>
      <c r="N15" s="19"/>
      <c r="O15" s="8"/>
      <c r="P15" s="8"/>
      <c r="Q15" s="8"/>
    </row>
    <row r="16" spans="2:19" ht="89.4" customHeight="1" x14ac:dyDescent="0.3">
      <c r="B16" s="63"/>
      <c r="C16" s="63"/>
      <c r="D16" s="83"/>
      <c r="E16" s="83"/>
      <c r="F16" s="19"/>
      <c r="G16" s="19"/>
      <c r="H16" s="19"/>
      <c r="I16" s="19"/>
      <c r="J16" s="19"/>
      <c r="K16" s="19"/>
      <c r="L16" s="17"/>
      <c r="M16" s="17"/>
      <c r="N16" s="19"/>
      <c r="O16" s="8"/>
      <c r="P16" s="8"/>
      <c r="Q16" s="8"/>
    </row>
    <row r="17" spans="1:17" x14ac:dyDescent="0.3">
      <c r="A17" s="12"/>
      <c r="B17" s="63"/>
      <c r="C17" s="63"/>
      <c r="D17" s="94"/>
      <c r="E17" s="83"/>
      <c r="F17" s="19"/>
      <c r="G17" s="19"/>
      <c r="H17" s="19"/>
      <c r="I17" s="19"/>
      <c r="J17" s="19"/>
      <c r="K17" s="19"/>
      <c r="L17" s="19"/>
      <c r="M17" s="19"/>
      <c r="N17" s="19"/>
      <c r="O17" s="8"/>
      <c r="P17" s="79"/>
      <c r="Q17" s="8"/>
    </row>
    <row r="18" spans="1:17" x14ac:dyDescent="0.3">
      <c r="A18" s="12"/>
      <c r="B18" s="83"/>
      <c r="C18" s="83"/>
      <c r="D18" s="83"/>
      <c r="E18" s="83"/>
      <c r="F18" s="19"/>
      <c r="G18" s="19"/>
      <c r="H18" s="19"/>
      <c r="I18" s="19"/>
      <c r="J18" s="19"/>
      <c r="K18" s="19"/>
      <c r="L18" s="19"/>
      <c r="M18" s="19"/>
      <c r="N18" s="19"/>
      <c r="O18" s="13"/>
      <c r="P18" s="80"/>
      <c r="Q18" s="98"/>
    </row>
    <row r="19" spans="1:17" x14ac:dyDescent="0.3">
      <c r="A19" s="12"/>
      <c r="B19" s="83"/>
      <c r="C19" s="83"/>
      <c r="D19" s="83"/>
      <c r="E19" s="83"/>
      <c r="F19" s="19"/>
      <c r="G19" s="19"/>
      <c r="H19" s="19"/>
      <c r="I19" s="19"/>
      <c r="J19" s="19"/>
      <c r="K19" s="19"/>
      <c r="L19" s="19"/>
      <c r="M19" s="19"/>
      <c r="N19" s="19"/>
      <c r="O19" s="13"/>
      <c r="P19" s="80"/>
      <c r="Q19" s="98"/>
    </row>
    <row r="20" spans="1:17" x14ac:dyDescent="0.3">
      <c r="B20" s="83"/>
      <c r="C20" s="83"/>
      <c r="D20" s="83"/>
      <c r="E20" s="83"/>
      <c r="F20" s="19"/>
      <c r="G20" s="19"/>
      <c r="H20" s="19"/>
      <c r="I20" s="19"/>
      <c r="J20" s="19"/>
      <c r="K20" s="19"/>
      <c r="L20" s="19"/>
      <c r="M20" s="19"/>
      <c r="N20" s="19"/>
      <c r="O20" s="13"/>
      <c r="P20" s="80"/>
      <c r="Q20" s="98"/>
    </row>
    <row r="21" spans="1:17" x14ac:dyDescent="0.3">
      <c r="B21" s="83"/>
      <c r="C21" s="83"/>
      <c r="D21" s="83"/>
      <c r="E21" s="83"/>
      <c r="F21" s="22"/>
      <c r="G21" s="19"/>
      <c r="H21" s="19"/>
      <c r="I21" s="19"/>
      <c r="J21" s="19"/>
      <c r="K21" s="19"/>
      <c r="L21" s="19"/>
      <c r="M21" s="19"/>
      <c r="N21" s="19"/>
      <c r="O21" s="13"/>
      <c r="P21" s="80"/>
      <c r="Q21" s="98"/>
    </row>
    <row r="22" spans="1:17" ht="41.25" customHeight="1" x14ac:dyDescent="0.3">
      <c r="B22" s="83"/>
      <c r="C22" s="83"/>
      <c r="D22" s="83"/>
      <c r="F22" s="23"/>
      <c r="G22" s="22"/>
      <c r="H22" s="22"/>
      <c r="I22" s="8"/>
      <c r="J22" s="8"/>
      <c r="K22" s="19"/>
      <c r="L22" s="19"/>
      <c r="M22" s="19"/>
      <c r="N22" s="19"/>
      <c r="O22" s="8"/>
      <c r="P22" s="8"/>
      <c r="Q22" s="99"/>
    </row>
    <row r="23" spans="1:17" x14ac:dyDescent="0.3">
      <c r="F23" s="22"/>
      <c r="G23" s="17"/>
      <c r="H23" s="23"/>
      <c r="I23" s="8"/>
      <c r="J23" s="8"/>
      <c r="K23" s="8"/>
      <c r="L23" s="8"/>
      <c r="M23" s="8"/>
      <c r="N23" s="8"/>
      <c r="O23" s="8"/>
      <c r="P23" s="8"/>
      <c r="Q23" s="99"/>
    </row>
    <row r="24" spans="1:17" x14ac:dyDescent="0.3">
      <c r="F24" s="8"/>
      <c r="G24" s="24"/>
      <c r="H24" s="22"/>
      <c r="I24" s="8"/>
      <c r="J24" s="8"/>
      <c r="K24" s="8"/>
      <c r="L24" s="8"/>
      <c r="M24" s="8"/>
      <c r="N24" s="8"/>
      <c r="O24" s="8"/>
      <c r="P24" s="8"/>
      <c r="Q24" s="99"/>
    </row>
    <row r="25" spans="1:17" x14ac:dyDescent="0.3"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99"/>
    </row>
    <row r="26" spans="1:17" x14ac:dyDescent="0.3"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99"/>
    </row>
    <row r="27" spans="1:17" x14ac:dyDescent="0.3">
      <c r="G27" s="8"/>
      <c r="K27" s="8"/>
      <c r="L27" s="8"/>
      <c r="M27" s="8"/>
      <c r="N27" s="8"/>
      <c r="O27" s="8"/>
      <c r="P27" s="8"/>
      <c r="Q27" s="99"/>
    </row>
  </sheetData>
  <mergeCells count="5">
    <mergeCell ref="H1:J1"/>
    <mergeCell ref="E7:F7"/>
    <mergeCell ref="H7:J7"/>
    <mergeCell ref="B3:J3"/>
    <mergeCell ref="B5:J5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A721BF-53C2-4721-BC8E-F4AC49B4AAE1}">
          <x14:formula1>
            <xm:f>'Datos generales'!$B$8:$B$1048576</xm:f>
          </x14:formula1>
          <xm:sqref>J9:J1048576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48F3-FAE2-4D05-9726-08B2B350F69F}">
  <sheetPr codeName="Hoja2">
    <tabColor rgb="FFFF0000"/>
  </sheetPr>
  <dimension ref="A1:Z96"/>
  <sheetViews>
    <sheetView showGridLines="0" zoomScale="70" zoomScaleNormal="70" workbookViewId="0">
      <selection activeCell="M44" sqref="J5:M44"/>
    </sheetView>
  </sheetViews>
  <sheetFormatPr baseColWidth="10" defaultColWidth="8.88671875" defaultRowHeight="14.4" x14ac:dyDescent="0.3"/>
  <cols>
    <col min="1" max="1" width="21.33203125" bestFit="1" customWidth="1"/>
    <col min="2" max="2" width="16.6640625" bestFit="1" customWidth="1"/>
    <col min="3" max="3" width="15.77734375" style="3" bestFit="1" customWidth="1"/>
    <col min="4" max="4" width="24.5546875" style="3" bestFit="1" customWidth="1"/>
    <col min="5" max="5" width="32.44140625" style="3" bestFit="1" customWidth="1"/>
    <col min="6" max="6" width="30.6640625" style="3" bestFit="1" customWidth="1"/>
    <col min="7" max="7" width="16.33203125" style="4" bestFit="1" customWidth="1"/>
    <col min="8" max="8" width="14.21875" customWidth="1"/>
    <col min="9" max="9" width="13.88671875" customWidth="1"/>
    <col min="10" max="10" width="41.33203125" bestFit="1" customWidth="1"/>
    <col min="11" max="11" width="11.77734375" style="46" bestFit="1" customWidth="1"/>
    <col min="12" max="12" width="18.33203125" style="3" bestFit="1" customWidth="1"/>
    <col min="13" max="13" width="7.21875" bestFit="1" customWidth="1"/>
    <col min="14" max="14" width="9.109375"/>
    <col min="18" max="18" width="6.33203125" bestFit="1" customWidth="1"/>
    <col min="19" max="19" width="24.5546875" style="58" bestFit="1" customWidth="1"/>
    <col min="20" max="20" width="11.6640625" style="12" bestFit="1" customWidth="1"/>
    <col min="21" max="21" width="10.77734375" style="54" bestFit="1" customWidth="1"/>
    <col min="22" max="22" width="18" style="55" bestFit="1" customWidth="1"/>
  </cols>
  <sheetData>
    <row r="1" spans="1:26" s="184" customFormat="1" x14ac:dyDescent="0.3">
      <c r="A1" s="51" t="s">
        <v>55</v>
      </c>
      <c r="B1" s="51"/>
      <c r="C1" s="53" t="s">
        <v>183</v>
      </c>
      <c r="D1" s="53" t="s">
        <v>183</v>
      </c>
      <c r="E1" s="53"/>
      <c r="F1" s="53"/>
      <c r="G1" s="210"/>
      <c r="H1" s="51"/>
      <c r="I1" s="51"/>
      <c r="J1" s="51"/>
      <c r="K1" s="52"/>
      <c r="L1" s="53"/>
      <c r="M1" s="51"/>
      <c r="N1" s="51"/>
      <c r="O1" s="51"/>
      <c r="P1" s="51"/>
      <c r="S1" s="211"/>
      <c r="T1" s="212"/>
      <c r="U1" s="213"/>
      <c r="V1" s="214"/>
    </row>
    <row r="2" spans="1:26" x14ac:dyDescent="0.3">
      <c r="A2" s="8"/>
      <c r="B2" s="8"/>
      <c r="C2" s="15"/>
      <c r="D2" s="15"/>
      <c r="F2" s="15"/>
      <c r="G2" s="16"/>
      <c r="H2" s="8"/>
      <c r="I2" s="8"/>
      <c r="J2" s="8"/>
      <c r="K2" s="44"/>
      <c r="L2" s="15"/>
      <c r="M2" s="8"/>
      <c r="N2" s="8"/>
      <c r="O2" s="8"/>
      <c r="P2" s="8"/>
    </row>
    <row r="3" spans="1:26" ht="47.25" customHeight="1" x14ac:dyDescent="0.3">
      <c r="A3" s="51" t="s">
        <v>57</v>
      </c>
      <c r="B3" s="17"/>
      <c r="C3" s="17"/>
      <c r="D3" s="17"/>
      <c r="E3" s="15"/>
      <c r="F3" s="15"/>
      <c r="G3" s="18"/>
      <c r="H3" s="18"/>
      <c r="I3" s="18"/>
      <c r="J3" s="20"/>
      <c r="K3" s="45"/>
      <c r="L3" s="18"/>
      <c r="M3" s="18"/>
      <c r="N3" s="17"/>
      <c r="O3" s="8"/>
      <c r="P3" s="8"/>
      <c r="Q3" s="128"/>
      <c r="R3" s="128"/>
      <c r="S3" s="180"/>
      <c r="T3" s="181"/>
      <c r="U3" s="182"/>
      <c r="V3" s="183"/>
    </row>
    <row r="4" spans="1:26" s="184" customFormat="1" x14ac:dyDescent="0.3">
      <c r="A4" s="51" t="s">
        <v>52</v>
      </c>
      <c r="B4" s="215" t="s">
        <v>53</v>
      </c>
      <c r="C4" s="215" t="s">
        <v>49</v>
      </c>
      <c r="D4" s="144" t="s">
        <v>181</v>
      </c>
      <c r="E4" s="144"/>
      <c r="F4" s="144"/>
      <c r="G4" s="144"/>
      <c r="H4" s="144"/>
      <c r="I4" s="144"/>
      <c r="J4" s="143"/>
      <c r="K4" s="145"/>
      <c r="L4" s="144"/>
      <c r="M4" s="144"/>
      <c r="N4" s="144"/>
      <c r="O4" s="216"/>
      <c r="P4" s="51"/>
      <c r="Q4" s="161"/>
      <c r="R4" s="217"/>
      <c r="S4" s="218"/>
      <c r="T4" s="219"/>
      <c r="U4" s="220"/>
      <c r="V4" s="221"/>
    </row>
    <row r="5" spans="1:26" ht="35.4" customHeight="1" x14ac:dyDescent="0.3">
      <c r="A5" s="21" t="s">
        <v>57</v>
      </c>
      <c r="B5" s="194" t="s">
        <v>59</v>
      </c>
      <c r="C5" s="194" t="s">
        <v>183</v>
      </c>
      <c r="D5" s="195" t="s">
        <v>183</v>
      </c>
      <c r="E5" s="194"/>
      <c r="F5" s="194"/>
      <c r="G5" s="194"/>
      <c r="H5" s="186"/>
      <c r="I5" s="146"/>
      <c r="J5" s="196"/>
      <c r="K5" s="153"/>
      <c r="L5" s="152"/>
      <c r="M5" s="152"/>
      <c r="N5" s="185"/>
      <c r="O5" s="185"/>
      <c r="P5" s="161"/>
      <c r="Q5" s="161"/>
      <c r="R5" s="161"/>
      <c r="S5" s="147"/>
      <c r="T5" s="148"/>
      <c r="U5" s="149"/>
      <c r="V5" s="150"/>
      <c r="W5" s="161"/>
      <c r="X5" s="161"/>
      <c r="Y5" s="184"/>
      <c r="Z5" s="184"/>
    </row>
    <row r="6" spans="1:26" s="184" customFormat="1" x14ac:dyDescent="0.3">
      <c r="A6" s="222" t="s">
        <v>55</v>
      </c>
      <c r="B6" s="189"/>
      <c r="C6" s="189" t="s">
        <v>183</v>
      </c>
      <c r="D6" s="189" t="s">
        <v>183</v>
      </c>
      <c r="E6" s="223"/>
      <c r="F6" s="223"/>
      <c r="G6" s="223"/>
      <c r="H6" s="224"/>
      <c r="I6" s="151"/>
      <c r="J6" s="152"/>
      <c r="K6" s="153"/>
      <c r="L6" s="152"/>
      <c r="M6" s="152"/>
      <c r="N6" s="161"/>
      <c r="O6" s="161"/>
      <c r="P6" s="161"/>
      <c r="Q6" s="161"/>
      <c r="R6" s="161"/>
      <c r="S6" s="154"/>
      <c r="T6" s="155"/>
      <c r="U6" s="156"/>
      <c r="V6" s="157"/>
      <c r="W6" s="161"/>
      <c r="X6" s="161"/>
    </row>
    <row r="7" spans="1:26" x14ac:dyDescent="0.3">
      <c r="A7" s="13"/>
      <c r="B7" s="190"/>
      <c r="C7" s="190"/>
      <c r="D7" s="190"/>
      <c r="E7" s="191"/>
      <c r="F7" s="191"/>
      <c r="G7" s="192"/>
      <c r="H7" s="187"/>
      <c r="I7" s="128"/>
      <c r="J7" s="161"/>
      <c r="K7" s="158"/>
      <c r="L7" s="159"/>
      <c r="M7" s="128"/>
      <c r="N7" s="128"/>
      <c r="O7" s="128"/>
      <c r="P7" s="128"/>
      <c r="Q7" s="128"/>
      <c r="R7" s="128"/>
      <c r="S7" s="154"/>
      <c r="T7" s="160"/>
      <c r="U7" s="157"/>
      <c r="V7" s="157"/>
      <c r="W7" s="128"/>
      <c r="X7" s="128"/>
    </row>
    <row r="8" spans="1:26" x14ac:dyDescent="0.3">
      <c r="A8" s="222" t="s">
        <v>37</v>
      </c>
      <c r="B8" s="190"/>
      <c r="C8" s="190"/>
      <c r="D8" s="190"/>
      <c r="E8" s="191"/>
      <c r="F8" s="191"/>
      <c r="G8" s="192"/>
      <c r="H8" s="187"/>
      <c r="I8" s="161"/>
      <c r="J8" s="197"/>
      <c r="K8" s="198"/>
      <c r="L8" s="199"/>
      <c r="M8" s="200"/>
      <c r="N8" s="128"/>
      <c r="O8" s="128"/>
      <c r="P8" s="128"/>
      <c r="Q8" s="128"/>
      <c r="R8" s="128"/>
      <c r="S8" s="164"/>
      <c r="T8" s="165"/>
      <c r="U8" s="166"/>
      <c r="V8" s="166"/>
      <c r="W8" s="128"/>
      <c r="X8" s="128"/>
    </row>
    <row r="9" spans="1:26" s="184" customFormat="1" x14ac:dyDescent="0.3">
      <c r="A9" s="222" t="s">
        <v>52</v>
      </c>
      <c r="B9" s="189" t="s">
        <v>53</v>
      </c>
      <c r="C9" s="189" t="s">
        <v>49</v>
      </c>
      <c r="D9" s="189" t="s">
        <v>181</v>
      </c>
      <c r="E9" s="225"/>
      <c r="F9" s="225"/>
      <c r="G9" s="225"/>
      <c r="H9" s="226"/>
      <c r="I9" s="161"/>
      <c r="J9" s="161"/>
      <c r="K9" s="162"/>
      <c r="L9" s="163"/>
      <c r="M9" s="163"/>
      <c r="N9" s="161"/>
      <c r="O9" s="161"/>
      <c r="P9" s="161"/>
      <c r="Q9" s="161"/>
      <c r="R9" s="161"/>
      <c r="S9" s="164"/>
      <c r="T9" s="165"/>
      <c r="U9" s="167"/>
      <c r="V9" s="166"/>
      <c r="W9" s="161"/>
      <c r="X9" s="161"/>
    </row>
    <row r="10" spans="1:26" x14ac:dyDescent="0.3">
      <c r="A10" s="13" t="s">
        <v>60</v>
      </c>
      <c r="B10" s="190" t="s">
        <v>65</v>
      </c>
      <c r="C10" s="190" t="s">
        <v>183</v>
      </c>
      <c r="D10" s="190" t="s">
        <v>183</v>
      </c>
      <c r="E10" s="193"/>
      <c r="F10" s="193"/>
      <c r="G10" s="193"/>
      <c r="H10" s="188"/>
      <c r="I10" s="168"/>
      <c r="J10" s="169"/>
      <c r="K10" s="170"/>
      <c r="L10" s="159"/>
      <c r="M10" s="159"/>
      <c r="N10" s="128"/>
      <c r="O10" s="128"/>
      <c r="P10" s="128"/>
      <c r="Q10" s="197"/>
      <c r="R10" s="198"/>
      <c r="S10" s="199"/>
      <c r="T10" s="200"/>
      <c r="U10" s="172"/>
      <c r="V10" s="173"/>
      <c r="W10" s="128"/>
      <c r="X10" s="128"/>
    </row>
    <row r="11" spans="1:26" s="184" customFormat="1" x14ac:dyDescent="0.3">
      <c r="A11" s="51" t="s">
        <v>55</v>
      </c>
      <c r="B11" s="189"/>
      <c r="C11" s="189" t="s">
        <v>183</v>
      </c>
      <c r="D11" s="189" t="s">
        <v>183</v>
      </c>
      <c r="E11" s="227"/>
      <c r="F11" s="227"/>
      <c r="G11" s="227"/>
      <c r="H11" s="228"/>
      <c r="I11" s="174"/>
      <c r="J11" s="59"/>
      <c r="K11" s="201"/>
      <c r="L11" s="202"/>
      <c r="M11" s="202"/>
      <c r="N11" s="161"/>
      <c r="O11" s="161"/>
      <c r="P11" s="161"/>
      <c r="Q11" s="161"/>
      <c r="R11" s="162"/>
      <c r="S11" s="163"/>
      <c r="T11" s="163"/>
      <c r="U11" s="167"/>
      <c r="V11" s="166"/>
      <c r="W11" s="161"/>
      <c r="X11" s="161"/>
    </row>
    <row r="12" spans="1:26" x14ac:dyDescent="0.3">
      <c r="A12" s="8"/>
      <c r="B12" s="8"/>
      <c r="C12" s="15"/>
      <c r="D12" s="15"/>
      <c r="E12" s="15"/>
      <c r="F12" s="15"/>
      <c r="G12" s="16"/>
      <c r="H12" s="8"/>
      <c r="I12" s="161"/>
      <c r="J12" s="161"/>
      <c r="K12" s="162"/>
      <c r="L12" s="163"/>
      <c r="M12" s="128"/>
      <c r="N12" s="128"/>
      <c r="O12" s="128"/>
      <c r="P12" s="128"/>
      <c r="Q12" s="128"/>
      <c r="R12" s="128"/>
      <c r="S12" s="164"/>
      <c r="T12" s="165"/>
      <c r="U12" s="166"/>
      <c r="V12" s="166"/>
      <c r="W12" s="128"/>
      <c r="X12" s="128"/>
    </row>
    <row r="13" spans="1:26" x14ac:dyDescent="0.3">
      <c r="A13" s="51" t="s">
        <v>49</v>
      </c>
      <c r="B13" s="8"/>
      <c r="C13" s="15"/>
      <c r="D13" s="15"/>
      <c r="E13" s="15"/>
      <c r="F13" s="15"/>
      <c r="G13" s="16"/>
      <c r="H13" s="8"/>
      <c r="I13" s="161"/>
      <c r="J13" s="161"/>
      <c r="K13" s="162"/>
      <c r="L13" s="163"/>
      <c r="M13" s="128"/>
      <c r="N13" s="128"/>
      <c r="O13" s="128"/>
      <c r="P13" s="128"/>
      <c r="Q13" s="128"/>
      <c r="R13" s="128"/>
      <c r="S13" s="164"/>
      <c r="T13" s="165"/>
      <c r="U13" s="166"/>
      <c r="V13" s="173"/>
      <c r="W13" s="128"/>
      <c r="X13" s="128"/>
    </row>
    <row r="14" spans="1:26" s="184" customFormat="1" x14ac:dyDescent="0.3">
      <c r="A14" s="51" t="s">
        <v>52</v>
      </c>
      <c r="B14" s="51" t="s">
        <v>53</v>
      </c>
      <c r="C14" s="53" t="s">
        <v>49</v>
      </c>
      <c r="D14" s="53" t="s">
        <v>181</v>
      </c>
      <c r="E14" s="53"/>
      <c r="F14" s="53"/>
      <c r="G14" s="210"/>
      <c r="H14" s="51"/>
      <c r="I14" s="161"/>
      <c r="J14" s="197"/>
      <c r="K14" s="198"/>
      <c r="L14" s="199"/>
      <c r="M14" s="197"/>
      <c r="N14" s="161"/>
      <c r="O14" s="161"/>
      <c r="P14" s="161"/>
      <c r="Q14" s="161"/>
      <c r="R14" s="161"/>
      <c r="S14" s="164"/>
      <c r="T14" s="165"/>
      <c r="U14" s="167"/>
      <c r="V14" s="166"/>
      <c r="W14" s="161"/>
      <c r="X14" s="161"/>
    </row>
    <row r="15" spans="1:26" x14ac:dyDescent="0.3">
      <c r="A15" s="8" t="s">
        <v>42</v>
      </c>
      <c r="B15" s="8">
        <v>4</v>
      </c>
      <c r="C15" s="15" t="s">
        <v>183</v>
      </c>
      <c r="D15" s="15" t="s">
        <v>184</v>
      </c>
      <c r="E15" s="15"/>
      <c r="F15" s="15"/>
      <c r="G15" s="16"/>
      <c r="H15" s="8"/>
      <c r="I15" s="161"/>
      <c r="J15" s="161"/>
      <c r="K15" s="162"/>
      <c r="L15" s="163"/>
      <c r="M15" s="159"/>
      <c r="N15" s="128"/>
      <c r="O15" s="128"/>
      <c r="P15" s="128"/>
      <c r="Q15" s="128"/>
      <c r="R15" s="128"/>
      <c r="S15" s="147"/>
      <c r="T15" s="171"/>
      <c r="U15" s="172"/>
      <c r="V15" s="173"/>
      <c r="W15" s="128"/>
      <c r="X15" s="128"/>
    </row>
    <row r="16" spans="1:26" s="184" customFormat="1" x14ac:dyDescent="0.3">
      <c r="A16" s="51" t="s">
        <v>55</v>
      </c>
      <c r="B16" s="51"/>
      <c r="C16" s="53" t="s">
        <v>183</v>
      </c>
      <c r="D16" s="53" t="s">
        <v>184</v>
      </c>
      <c r="E16" s="53"/>
      <c r="F16" s="53"/>
      <c r="G16" s="210"/>
      <c r="H16" s="51"/>
      <c r="I16" s="176"/>
      <c r="J16" s="161"/>
      <c r="K16" s="162"/>
      <c r="L16" s="163"/>
      <c r="M16" s="163"/>
      <c r="N16" s="161"/>
      <c r="O16" s="161"/>
      <c r="P16" s="161"/>
      <c r="Q16" s="161"/>
      <c r="R16" s="161"/>
      <c r="S16" s="164"/>
      <c r="T16" s="175"/>
      <c r="U16" s="167"/>
      <c r="V16" s="166"/>
      <c r="W16" s="161"/>
      <c r="X16" s="161"/>
    </row>
    <row r="17" spans="1:24" x14ac:dyDescent="0.3">
      <c r="A17" s="8"/>
      <c r="B17" s="8"/>
      <c r="C17" s="15"/>
      <c r="D17" s="15"/>
      <c r="E17" s="15"/>
      <c r="F17" s="15"/>
      <c r="G17" s="16"/>
      <c r="H17" s="8"/>
      <c r="I17" s="176"/>
      <c r="J17" s="204"/>
      <c r="K17" s="201"/>
      <c r="L17" s="202"/>
      <c r="M17" s="203"/>
      <c r="N17" s="128"/>
      <c r="O17" s="128"/>
      <c r="P17" s="128"/>
      <c r="Q17" s="128"/>
      <c r="R17" s="128"/>
      <c r="S17" s="177"/>
      <c r="T17" s="178"/>
      <c r="U17" s="173"/>
      <c r="V17" s="173"/>
      <c r="W17" s="128"/>
      <c r="X17" s="128"/>
    </row>
    <row r="18" spans="1:24" x14ac:dyDescent="0.3">
      <c r="A18" s="51" t="s">
        <v>49</v>
      </c>
      <c r="B18" s="8"/>
      <c r="C18" s="15"/>
      <c r="D18" s="15"/>
      <c r="E18" s="15"/>
      <c r="F18" s="15"/>
      <c r="G18" s="16"/>
      <c r="H18" s="8"/>
      <c r="I18" s="161"/>
      <c r="J18" s="161"/>
      <c r="K18" s="162"/>
      <c r="L18" s="163"/>
      <c r="M18" s="128"/>
      <c r="N18" s="128"/>
      <c r="O18" s="128"/>
      <c r="P18" s="128"/>
      <c r="Q18" s="128"/>
      <c r="R18" s="128"/>
      <c r="S18" s="164"/>
      <c r="T18" s="165"/>
      <c r="U18" s="167"/>
      <c r="V18" s="173"/>
      <c r="W18" s="128"/>
      <c r="X18" s="128"/>
    </row>
    <row r="19" spans="1:24" s="184" customFormat="1" x14ac:dyDescent="0.3">
      <c r="A19" s="51" t="s">
        <v>52</v>
      </c>
      <c r="B19" s="51" t="s">
        <v>53</v>
      </c>
      <c r="C19" s="53" t="s">
        <v>49</v>
      </c>
      <c r="D19" s="53" t="s">
        <v>181</v>
      </c>
      <c r="E19" s="53"/>
      <c r="F19" s="53"/>
      <c r="G19" s="210"/>
      <c r="H19" s="51"/>
      <c r="I19" s="161"/>
      <c r="J19" s="161"/>
      <c r="K19" s="162"/>
      <c r="L19" s="179"/>
      <c r="M19" s="161"/>
      <c r="N19" s="161"/>
      <c r="O19" s="161"/>
      <c r="P19" s="161"/>
      <c r="Q19" s="161"/>
      <c r="R19" s="161"/>
      <c r="S19" s="164"/>
      <c r="T19" s="175"/>
      <c r="U19" s="167"/>
      <c r="V19" s="166"/>
      <c r="W19" s="161"/>
      <c r="X19" s="161"/>
    </row>
    <row r="20" spans="1:24" x14ac:dyDescent="0.3">
      <c r="A20" t="s">
        <v>38</v>
      </c>
      <c r="B20" s="8" t="s">
        <v>185</v>
      </c>
      <c r="C20" s="15" t="s">
        <v>183</v>
      </c>
      <c r="D20" s="15" t="s">
        <v>186</v>
      </c>
      <c r="E20" s="15"/>
      <c r="F20" s="15"/>
      <c r="H20" s="8"/>
      <c r="I20" s="161"/>
      <c r="J20" s="197"/>
      <c r="K20" s="198"/>
      <c r="L20" s="199"/>
      <c r="M20" s="200"/>
      <c r="N20" s="128"/>
      <c r="O20" s="128"/>
      <c r="P20" s="128"/>
      <c r="Q20" s="128"/>
      <c r="R20" s="128"/>
      <c r="S20" s="177"/>
      <c r="T20" s="171"/>
      <c r="U20" s="172"/>
      <c r="V20" s="173"/>
      <c r="W20" s="128"/>
      <c r="X20" s="128"/>
    </row>
    <row r="21" spans="1:24" s="184" customFormat="1" x14ac:dyDescent="0.3">
      <c r="A21" s="184" t="s">
        <v>55</v>
      </c>
      <c r="B21" s="51"/>
      <c r="C21" s="53" t="s">
        <v>183</v>
      </c>
      <c r="D21" s="53" t="s">
        <v>186</v>
      </c>
      <c r="E21" s="53"/>
      <c r="F21" s="53"/>
      <c r="G21" s="229"/>
      <c r="I21" s="176"/>
      <c r="J21" s="161"/>
      <c r="K21" s="162"/>
      <c r="L21" s="163"/>
      <c r="M21" s="163"/>
      <c r="N21" s="161"/>
      <c r="O21" s="161"/>
      <c r="P21" s="161"/>
      <c r="Q21" s="161"/>
      <c r="R21" s="161"/>
      <c r="S21" s="164"/>
      <c r="T21" s="175"/>
      <c r="U21" s="167"/>
      <c r="V21" s="166"/>
      <c r="W21" s="161"/>
      <c r="X21" s="161"/>
    </row>
    <row r="22" spans="1:24" x14ac:dyDescent="0.3">
      <c r="B22" s="8"/>
      <c r="C22" s="15"/>
      <c r="D22" s="15"/>
      <c r="E22" s="15"/>
      <c r="F22" s="16"/>
      <c r="I22" s="161"/>
      <c r="J22" s="204"/>
      <c r="K22" s="201"/>
      <c r="L22" s="202"/>
      <c r="M22" s="203"/>
      <c r="N22" s="128"/>
      <c r="O22" s="128"/>
      <c r="P22" s="128"/>
      <c r="Q22" s="128"/>
      <c r="R22" s="128"/>
      <c r="S22" s="177"/>
      <c r="T22" s="171"/>
      <c r="U22" s="172"/>
      <c r="V22" s="173"/>
      <c r="W22" s="128"/>
      <c r="X22" s="128"/>
    </row>
    <row r="23" spans="1:24" x14ac:dyDescent="0.3">
      <c r="A23" s="184" t="s">
        <v>49</v>
      </c>
      <c r="B23" s="8"/>
      <c r="C23" s="15"/>
      <c r="D23" s="15"/>
      <c r="E23" s="15"/>
      <c r="F23" s="15"/>
      <c r="I23" s="128"/>
      <c r="J23" s="128"/>
      <c r="K23" s="158"/>
      <c r="L23" s="159"/>
      <c r="M23" s="128"/>
      <c r="N23" s="128"/>
      <c r="O23" s="128"/>
      <c r="P23" s="128"/>
      <c r="Q23" s="128"/>
      <c r="R23" s="128"/>
      <c r="S23" s="177"/>
      <c r="T23" s="171"/>
      <c r="U23" s="172"/>
      <c r="V23" s="173"/>
      <c r="W23" s="128"/>
      <c r="X23" s="128"/>
    </row>
    <row r="24" spans="1:24" s="184" customFormat="1" x14ac:dyDescent="0.3">
      <c r="A24" s="184" t="s">
        <v>52</v>
      </c>
      <c r="B24" s="51" t="s">
        <v>53</v>
      </c>
      <c r="C24" s="53" t="s">
        <v>49</v>
      </c>
      <c r="D24" s="53" t="s">
        <v>181</v>
      </c>
      <c r="E24" s="53"/>
      <c r="F24" s="53"/>
      <c r="G24" s="229"/>
      <c r="I24" s="161"/>
      <c r="J24" s="161"/>
      <c r="K24" s="162"/>
      <c r="L24" s="163"/>
      <c r="M24" s="161"/>
      <c r="N24" s="161"/>
      <c r="O24" s="161"/>
      <c r="P24" s="161"/>
      <c r="Q24" s="161"/>
      <c r="R24" s="161"/>
      <c r="S24" s="164"/>
      <c r="T24" s="175"/>
      <c r="U24" s="167"/>
      <c r="V24" s="166"/>
      <c r="W24" s="161"/>
      <c r="X24" s="161"/>
    </row>
    <row r="25" spans="1:24" x14ac:dyDescent="0.3">
      <c r="A25" t="s">
        <v>46</v>
      </c>
      <c r="B25" s="8">
        <v>5</v>
      </c>
      <c r="C25" s="15" t="s">
        <v>183</v>
      </c>
      <c r="D25" s="15" t="s">
        <v>187</v>
      </c>
      <c r="E25" s="15"/>
      <c r="F25" s="15"/>
      <c r="I25" s="128"/>
      <c r="J25" s="197"/>
      <c r="K25" s="205"/>
      <c r="L25" s="206"/>
      <c r="M25" s="200"/>
      <c r="N25" s="128"/>
      <c r="O25" s="128"/>
      <c r="P25" s="128"/>
      <c r="Q25" s="128"/>
      <c r="R25" s="128"/>
      <c r="S25" s="177"/>
      <c r="T25" s="171"/>
      <c r="U25" s="172"/>
      <c r="V25" s="173"/>
      <c r="W25" s="128"/>
      <c r="X25" s="128"/>
    </row>
    <row r="26" spans="1:24" s="184" customFormat="1" x14ac:dyDescent="0.3">
      <c r="A26" s="184" t="s">
        <v>55</v>
      </c>
      <c r="B26" s="51"/>
      <c r="C26" s="53" t="s">
        <v>183</v>
      </c>
      <c r="D26" s="53" t="s">
        <v>187</v>
      </c>
      <c r="E26" s="53"/>
      <c r="F26" s="53"/>
      <c r="G26" s="229"/>
      <c r="I26" s="161"/>
      <c r="J26" s="161"/>
      <c r="K26" s="162"/>
      <c r="L26" s="163"/>
      <c r="M26" s="163"/>
      <c r="N26" s="161"/>
      <c r="O26" s="161"/>
      <c r="P26" s="161"/>
      <c r="Q26" s="161"/>
      <c r="R26" s="161"/>
      <c r="S26" s="164"/>
      <c r="T26" s="175"/>
      <c r="U26" s="167"/>
      <c r="V26" s="166"/>
      <c r="W26" s="161"/>
      <c r="X26" s="161"/>
    </row>
    <row r="27" spans="1:24" x14ac:dyDescent="0.3">
      <c r="M27" s="3"/>
    </row>
    <row r="28" spans="1:24" x14ac:dyDescent="0.3">
      <c r="A28" s="184" t="s">
        <v>49</v>
      </c>
      <c r="M28" s="3"/>
    </row>
    <row r="29" spans="1:24" s="184" customFormat="1" x14ac:dyDescent="0.3">
      <c r="A29" s="184" t="s">
        <v>52</v>
      </c>
      <c r="B29" s="184" t="s">
        <v>53</v>
      </c>
      <c r="C29" s="230" t="s">
        <v>49</v>
      </c>
      <c r="D29" s="230" t="s">
        <v>181</v>
      </c>
      <c r="E29" s="230"/>
      <c r="F29" s="230"/>
      <c r="G29" s="229"/>
      <c r="K29" s="231"/>
      <c r="L29" s="230"/>
      <c r="M29" s="230"/>
      <c r="S29" s="211"/>
      <c r="T29" s="212"/>
      <c r="U29" s="213"/>
      <c r="V29" s="214"/>
    </row>
    <row r="30" spans="1:24" x14ac:dyDescent="0.3">
      <c r="A30" t="s">
        <v>38</v>
      </c>
      <c r="B30">
        <v>1</v>
      </c>
      <c r="C30" s="3" t="s">
        <v>183</v>
      </c>
      <c r="D30" s="3" t="s">
        <v>188</v>
      </c>
      <c r="M30" s="3"/>
    </row>
    <row r="31" spans="1:24" s="184" customFormat="1" x14ac:dyDescent="0.3">
      <c r="A31" s="184" t="s">
        <v>55</v>
      </c>
      <c r="C31" s="230" t="s">
        <v>183</v>
      </c>
      <c r="D31" s="230" t="s">
        <v>188</v>
      </c>
      <c r="E31" s="230"/>
      <c r="F31" s="230"/>
      <c r="G31" s="229"/>
      <c r="K31" s="231"/>
      <c r="L31" s="230"/>
      <c r="M31" s="230"/>
      <c r="S31" s="211"/>
      <c r="T31" s="212"/>
      <c r="U31" s="213"/>
      <c r="V31" s="214"/>
    </row>
    <row r="32" spans="1:24" x14ac:dyDescent="0.3">
      <c r="M32" s="3"/>
    </row>
    <row r="33" spans="1:22" x14ac:dyDescent="0.3">
      <c r="A33" s="184" t="s">
        <v>49</v>
      </c>
      <c r="M33" s="3"/>
    </row>
    <row r="34" spans="1:22" s="184" customFormat="1" x14ac:dyDescent="0.3">
      <c r="A34" s="184" t="s">
        <v>52</v>
      </c>
      <c r="B34" s="184" t="s">
        <v>53</v>
      </c>
      <c r="C34" s="230" t="s">
        <v>49</v>
      </c>
      <c r="D34" s="230" t="s">
        <v>181</v>
      </c>
      <c r="E34" s="230"/>
      <c r="F34" s="230"/>
      <c r="G34" s="229"/>
      <c r="K34" s="231"/>
      <c r="L34" s="230"/>
      <c r="M34" s="230"/>
      <c r="S34" s="211"/>
      <c r="T34" s="212"/>
      <c r="U34" s="213"/>
      <c r="V34" s="214"/>
    </row>
    <row r="35" spans="1:22" x14ac:dyDescent="0.3">
      <c r="A35" t="s">
        <v>42</v>
      </c>
      <c r="B35" t="s">
        <v>189</v>
      </c>
      <c r="C35" s="3" t="s">
        <v>183</v>
      </c>
      <c r="D35" s="3" t="s">
        <v>190</v>
      </c>
      <c r="M35" s="3"/>
    </row>
    <row r="36" spans="1:22" s="184" customFormat="1" x14ac:dyDescent="0.3">
      <c r="A36" s="184" t="s">
        <v>55</v>
      </c>
      <c r="C36" s="230" t="s">
        <v>183</v>
      </c>
      <c r="D36" s="230" t="s">
        <v>190</v>
      </c>
      <c r="E36" s="230"/>
      <c r="F36" s="230"/>
      <c r="G36" s="229"/>
      <c r="K36" s="231"/>
      <c r="L36" s="230"/>
      <c r="M36" s="230"/>
      <c r="S36" s="211"/>
      <c r="T36" s="212"/>
      <c r="U36" s="213"/>
      <c r="V36" s="214"/>
    </row>
    <row r="37" spans="1:22" x14ac:dyDescent="0.3">
      <c r="M37" s="3"/>
    </row>
    <row r="38" spans="1:22" x14ac:dyDescent="0.3">
      <c r="A38" s="184" t="s">
        <v>49</v>
      </c>
      <c r="M38" s="3"/>
    </row>
    <row r="39" spans="1:22" s="184" customFormat="1" x14ac:dyDescent="0.3">
      <c r="A39" s="184" t="s">
        <v>52</v>
      </c>
      <c r="B39" s="184" t="s">
        <v>53</v>
      </c>
      <c r="C39" s="230" t="s">
        <v>49</v>
      </c>
      <c r="D39" s="230" t="s">
        <v>181</v>
      </c>
      <c r="E39" s="230"/>
      <c r="F39" s="230"/>
      <c r="G39" s="229"/>
      <c r="K39" s="231"/>
      <c r="L39" s="230"/>
      <c r="M39" s="230"/>
      <c r="S39" s="211"/>
      <c r="T39" s="212"/>
      <c r="U39" s="213"/>
      <c r="V39" s="214"/>
    </row>
    <row r="40" spans="1:22" s="184" customFormat="1" x14ac:dyDescent="0.3">
      <c r="A40" s="184" t="s">
        <v>55</v>
      </c>
      <c r="C40" s="230" t="s">
        <v>183</v>
      </c>
      <c r="D40" s="230" t="s">
        <v>183</v>
      </c>
      <c r="E40" s="230"/>
      <c r="F40" s="230"/>
      <c r="G40" s="229"/>
      <c r="K40" s="231"/>
      <c r="L40" s="230"/>
      <c r="M40" s="230"/>
      <c r="S40" s="211"/>
      <c r="T40" s="212"/>
      <c r="U40" s="213"/>
      <c r="V40" s="214"/>
    </row>
    <row r="41" spans="1:22" x14ac:dyDescent="0.3">
      <c r="J41" s="207"/>
      <c r="K41" s="208"/>
      <c r="L41" s="209"/>
      <c r="M41" s="209"/>
    </row>
    <row r="42" spans="1:22" x14ac:dyDescent="0.3">
      <c r="A42" s="184" t="s">
        <v>49</v>
      </c>
    </row>
    <row r="43" spans="1:22" s="184" customFormat="1" x14ac:dyDescent="0.3">
      <c r="A43" s="184" t="s">
        <v>52</v>
      </c>
      <c r="B43" s="184" t="s">
        <v>53</v>
      </c>
      <c r="C43" s="230" t="s">
        <v>49</v>
      </c>
      <c r="D43" s="230" t="s">
        <v>181</v>
      </c>
      <c r="E43" s="230"/>
      <c r="F43" s="230"/>
      <c r="G43" s="229"/>
      <c r="K43" s="231"/>
      <c r="L43" s="230"/>
      <c r="S43" s="211"/>
      <c r="T43" s="212"/>
      <c r="U43" s="213"/>
      <c r="V43" s="214"/>
    </row>
    <row r="44" spans="1:22" s="184" customFormat="1" x14ac:dyDescent="0.3">
      <c r="A44" s="184" t="s">
        <v>55</v>
      </c>
      <c r="C44" s="230" t="s">
        <v>183</v>
      </c>
      <c r="D44" s="230" t="s">
        <v>183</v>
      </c>
      <c r="E44" s="230"/>
      <c r="F44" s="230"/>
      <c r="G44" s="229"/>
      <c r="K44" s="231"/>
      <c r="L44" s="230"/>
      <c r="S44" s="211"/>
      <c r="T44" s="212"/>
      <c r="U44" s="213"/>
      <c r="V44" s="214"/>
    </row>
    <row r="46" spans="1:22" x14ac:dyDescent="0.3">
      <c r="A46" s="184" t="s">
        <v>49</v>
      </c>
    </row>
    <row r="47" spans="1:22" s="184" customFormat="1" x14ac:dyDescent="0.3">
      <c r="A47" s="184" t="s">
        <v>52</v>
      </c>
      <c r="B47" s="184" t="s">
        <v>53</v>
      </c>
      <c r="C47" s="230" t="s">
        <v>49</v>
      </c>
      <c r="D47" s="230" t="s">
        <v>181</v>
      </c>
      <c r="E47" s="230"/>
      <c r="F47" s="230"/>
      <c r="G47" s="229"/>
      <c r="K47" s="231"/>
      <c r="L47" s="230"/>
      <c r="S47" s="211"/>
      <c r="T47" s="212"/>
      <c r="U47" s="213"/>
      <c r="V47" s="214"/>
    </row>
    <row r="48" spans="1:22" s="184" customFormat="1" x14ac:dyDescent="0.3">
      <c r="A48" s="184" t="s">
        <v>55</v>
      </c>
      <c r="C48" s="230" t="s">
        <v>183</v>
      </c>
      <c r="D48" s="230" t="s">
        <v>183</v>
      </c>
      <c r="E48" s="230"/>
      <c r="F48" s="230"/>
      <c r="G48" s="229"/>
      <c r="K48" s="231"/>
      <c r="L48" s="230"/>
      <c r="S48" s="211"/>
      <c r="T48" s="212"/>
      <c r="U48" s="213"/>
      <c r="V48" s="214"/>
    </row>
    <row r="50" spans="1:22" x14ac:dyDescent="0.3">
      <c r="A50" s="184" t="s">
        <v>49</v>
      </c>
    </row>
    <row r="51" spans="1:22" s="184" customFormat="1" x14ac:dyDescent="0.3">
      <c r="A51" s="184" t="s">
        <v>52</v>
      </c>
      <c r="B51" s="184" t="s">
        <v>53</v>
      </c>
      <c r="C51" s="230" t="s">
        <v>49</v>
      </c>
      <c r="D51" s="230" t="s">
        <v>181</v>
      </c>
      <c r="E51" s="230"/>
      <c r="F51" s="230"/>
      <c r="G51" s="229"/>
      <c r="K51" s="231"/>
      <c r="L51" s="230"/>
      <c r="S51" s="211"/>
      <c r="T51" s="212"/>
      <c r="U51" s="213"/>
      <c r="V51" s="214"/>
    </row>
    <row r="52" spans="1:22" s="184" customFormat="1" x14ac:dyDescent="0.3">
      <c r="A52" s="184" t="s">
        <v>55</v>
      </c>
      <c r="C52" s="230" t="s">
        <v>183</v>
      </c>
      <c r="D52" s="230" t="s">
        <v>183</v>
      </c>
      <c r="E52" s="230"/>
      <c r="F52" s="230"/>
      <c r="G52" s="229"/>
      <c r="K52" s="231"/>
      <c r="L52" s="230"/>
      <c r="S52" s="211"/>
      <c r="T52" s="212"/>
      <c r="U52" s="213"/>
      <c r="V52" s="214"/>
    </row>
    <row r="54" spans="1:22" x14ac:dyDescent="0.3">
      <c r="A54" s="184" t="s">
        <v>49</v>
      </c>
    </row>
    <row r="55" spans="1:22" s="184" customFormat="1" x14ac:dyDescent="0.3">
      <c r="A55" s="184" t="s">
        <v>52</v>
      </c>
      <c r="B55" s="184" t="s">
        <v>53</v>
      </c>
      <c r="C55" s="230" t="s">
        <v>49</v>
      </c>
      <c r="D55" s="230" t="s">
        <v>181</v>
      </c>
      <c r="E55" s="230"/>
      <c r="F55" s="230"/>
      <c r="G55" s="229"/>
      <c r="K55" s="231"/>
      <c r="L55" s="230"/>
      <c r="S55" s="211"/>
      <c r="T55" s="212"/>
      <c r="U55" s="213"/>
      <c r="V55" s="214"/>
    </row>
    <row r="56" spans="1:22" s="184" customFormat="1" x14ac:dyDescent="0.3">
      <c r="A56" s="184" t="s">
        <v>55</v>
      </c>
      <c r="C56" s="230" t="s">
        <v>183</v>
      </c>
      <c r="D56" s="230" t="s">
        <v>183</v>
      </c>
      <c r="E56" s="230"/>
      <c r="F56" s="230"/>
      <c r="G56" s="229"/>
      <c r="K56" s="231"/>
      <c r="L56" s="230"/>
      <c r="S56" s="211"/>
      <c r="T56" s="212"/>
      <c r="U56" s="213"/>
      <c r="V56" s="214"/>
    </row>
    <row r="58" spans="1:22" x14ac:dyDescent="0.3">
      <c r="A58" s="184" t="s">
        <v>49</v>
      </c>
    </row>
    <row r="59" spans="1:22" s="184" customFormat="1" x14ac:dyDescent="0.3">
      <c r="A59" s="184" t="s">
        <v>52</v>
      </c>
      <c r="B59" s="184" t="s">
        <v>53</v>
      </c>
      <c r="C59" s="230" t="s">
        <v>49</v>
      </c>
      <c r="D59" s="230" t="s">
        <v>181</v>
      </c>
      <c r="E59" s="230"/>
      <c r="F59" s="230"/>
      <c r="G59" s="229"/>
      <c r="K59" s="231"/>
      <c r="L59" s="230"/>
      <c r="S59" s="211"/>
      <c r="T59" s="212"/>
      <c r="U59" s="213"/>
      <c r="V59" s="214"/>
    </row>
    <row r="60" spans="1:22" s="184" customFormat="1" x14ac:dyDescent="0.3">
      <c r="A60" s="184" t="s">
        <v>55</v>
      </c>
      <c r="C60" s="230" t="s">
        <v>183</v>
      </c>
      <c r="D60" s="230" t="s">
        <v>183</v>
      </c>
      <c r="E60" s="230"/>
      <c r="F60" s="230"/>
      <c r="G60" s="229"/>
      <c r="K60" s="231"/>
      <c r="L60" s="230"/>
      <c r="S60" s="211"/>
      <c r="T60" s="212"/>
      <c r="U60" s="213"/>
      <c r="V60" s="214"/>
    </row>
    <row r="62" spans="1:22" x14ac:dyDescent="0.3">
      <c r="A62" s="184" t="s">
        <v>49</v>
      </c>
    </row>
    <row r="63" spans="1:22" s="184" customFormat="1" x14ac:dyDescent="0.3">
      <c r="A63" s="184" t="s">
        <v>52</v>
      </c>
      <c r="B63" s="184" t="s">
        <v>53</v>
      </c>
      <c r="C63" s="230" t="s">
        <v>49</v>
      </c>
      <c r="D63" s="230" t="s">
        <v>181</v>
      </c>
      <c r="E63" s="230"/>
      <c r="F63" s="230"/>
      <c r="G63" s="229"/>
      <c r="K63" s="231"/>
      <c r="L63" s="230"/>
      <c r="S63" s="211"/>
      <c r="T63" s="212"/>
      <c r="U63" s="213"/>
      <c r="V63" s="214"/>
    </row>
    <row r="64" spans="1:22" s="184" customFormat="1" x14ac:dyDescent="0.3">
      <c r="A64" s="184" t="s">
        <v>55</v>
      </c>
      <c r="C64" s="230" t="s">
        <v>183</v>
      </c>
      <c r="D64" s="230" t="s">
        <v>183</v>
      </c>
      <c r="E64" s="230"/>
      <c r="F64" s="230"/>
      <c r="G64" s="229"/>
      <c r="K64" s="231"/>
      <c r="L64" s="230"/>
      <c r="S64" s="211"/>
      <c r="T64" s="212"/>
      <c r="U64" s="213"/>
      <c r="V64" s="214"/>
    </row>
    <row r="66" spans="1:22" x14ac:dyDescent="0.3">
      <c r="A66" s="184" t="s">
        <v>49</v>
      </c>
    </row>
    <row r="67" spans="1:22" s="184" customFormat="1" x14ac:dyDescent="0.3">
      <c r="A67" s="184" t="s">
        <v>52</v>
      </c>
      <c r="B67" s="184" t="s">
        <v>53</v>
      </c>
      <c r="C67" s="230" t="s">
        <v>49</v>
      </c>
      <c r="D67" s="230" t="s">
        <v>181</v>
      </c>
      <c r="E67" s="230"/>
      <c r="F67" s="230"/>
      <c r="G67" s="229"/>
      <c r="K67" s="231"/>
      <c r="L67" s="230"/>
      <c r="S67" s="211"/>
      <c r="T67" s="212"/>
      <c r="U67" s="213"/>
      <c r="V67" s="214"/>
    </row>
    <row r="68" spans="1:22" s="184" customFormat="1" x14ac:dyDescent="0.3">
      <c r="A68" s="184" t="s">
        <v>55</v>
      </c>
      <c r="C68" s="230" t="s">
        <v>183</v>
      </c>
      <c r="D68" s="230" t="s">
        <v>183</v>
      </c>
      <c r="E68" s="230"/>
      <c r="F68" s="230"/>
      <c r="G68" s="229"/>
      <c r="K68" s="231"/>
      <c r="L68" s="230"/>
      <c r="S68" s="211"/>
      <c r="T68" s="212"/>
      <c r="U68" s="213"/>
      <c r="V68" s="214"/>
    </row>
    <row r="70" spans="1:22" x14ac:dyDescent="0.3">
      <c r="A70" s="184" t="s">
        <v>49</v>
      </c>
    </row>
    <row r="71" spans="1:22" s="184" customFormat="1" x14ac:dyDescent="0.3">
      <c r="A71" s="184" t="s">
        <v>52</v>
      </c>
      <c r="B71" s="184" t="s">
        <v>53</v>
      </c>
      <c r="C71" s="230" t="s">
        <v>49</v>
      </c>
      <c r="D71" s="230" t="s">
        <v>181</v>
      </c>
      <c r="E71" s="230"/>
      <c r="F71" s="230"/>
      <c r="G71" s="229"/>
      <c r="K71" s="231"/>
      <c r="L71" s="230"/>
      <c r="S71" s="211"/>
      <c r="T71" s="212"/>
      <c r="U71" s="213"/>
      <c r="V71" s="214"/>
    </row>
    <row r="72" spans="1:22" s="184" customFormat="1" x14ac:dyDescent="0.3">
      <c r="A72" s="184" t="s">
        <v>55</v>
      </c>
      <c r="C72" s="230" t="s">
        <v>183</v>
      </c>
      <c r="D72" s="230" t="s">
        <v>183</v>
      </c>
      <c r="E72" s="230"/>
      <c r="F72" s="230"/>
      <c r="G72" s="229"/>
      <c r="K72" s="231"/>
      <c r="L72" s="230"/>
      <c r="S72" s="211"/>
      <c r="T72" s="212"/>
      <c r="U72" s="213"/>
      <c r="V72" s="214"/>
    </row>
    <row r="74" spans="1:22" x14ac:dyDescent="0.3">
      <c r="A74" s="184" t="s">
        <v>49</v>
      </c>
    </row>
    <row r="75" spans="1:22" s="184" customFormat="1" x14ac:dyDescent="0.3">
      <c r="A75" s="184" t="s">
        <v>52</v>
      </c>
      <c r="B75" s="184" t="s">
        <v>53</v>
      </c>
      <c r="C75" s="230" t="s">
        <v>49</v>
      </c>
      <c r="D75" s="230" t="s">
        <v>181</v>
      </c>
      <c r="E75" s="230"/>
      <c r="F75" s="230"/>
      <c r="G75" s="229"/>
      <c r="K75" s="231"/>
      <c r="L75" s="230"/>
      <c r="S75" s="211"/>
      <c r="T75" s="212"/>
      <c r="U75" s="213"/>
      <c r="V75" s="214"/>
    </row>
    <row r="76" spans="1:22" s="184" customFormat="1" x14ac:dyDescent="0.3">
      <c r="A76" s="184" t="s">
        <v>55</v>
      </c>
      <c r="C76" s="230" t="s">
        <v>183</v>
      </c>
      <c r="D76" s="230" t="s">
        <v>183</v>
      </c>
      <c r="E76" s="230"/>
      <c r="F76" s="230"/>
      <c r="G76" s="229"/>
      <c r="K76" s="231"/>
      <c r="L76" s="230"/>
      <c r="S76" s="211"/>
      <c r="T76" s="212"/>
      <c r="U76" s="213"/>
      <c r="V76" s="214"/>
    </row>
    <row r="78" spans="1:22" x14ac:dyDescent="0.3">
      <c r="A78" s="184" t="s">
        <v>49</v>
      </c>
    </row>
    <row r="79" spans="1:22" s="184" customFormat="1" x14ac:dyDescent="0.3">
      <c r="A79" s="184" t="s">
        <v>52</v>
      </c>
      <c r="B79" s="184" t="s">
        <v>53</v>
      </c>
      <c r="C79" s="230" t="s">
        <v>49</v>
      </c>
      <c r="D79" s="230" t="s">
        <v>181</v>
      </c>
      <c r="E79" s="230"/>
      <c r="F79" s="230"/>
      <c r="G79" s="229"/>
      <c r="K79" s="231"/>
      <c r="L79" s="230"/>
      <c r="S79" s="211"/>
      <c r="T79" s="212"/>
      <c r="U79" s="213"/>
      <c r="V79" s="214"/>
    </row>
    <row r="80" spans="1:22" s="184" customFormat="1" x14ac:dyDescent="0.3">
      <c r="A80" s="184" t="s">
        <v>55</v>
      </c>
      <c r="C80" s="230" t="s">
        <v>183</v>
      </c>
      <c r="D80" s="230" t="s">
        <v>183</v>
      </c>
      <c r="E80" s="230"/>
      <c r="F80" s="230"/>
      <c r="G80" s="229"/>
      <c r="K80" s="231"/>
      <c r="L80" s="230"/>
      <c r="S80" s="211"/>
      <c r="T80" s="212"/>
      <c r="U80" s="213"/>
      <c r="V80" s="214"/>
    </row>
    <row r="82" spans="1:22" x14ac:dyDescent="0.3">
      <c r="A82" s="184" t="s">
        <v>49</v>
      </c>
    </row>
    <row r="83" spans="1:22" s="184" customFormat="1" x14ac:dyDescent="0.3">
      <c r="A83" s="184" t="s">
        <v>52</v>
      </c>
      <c r="B83" s="184" t="s">
        <v>53</v>
      </c>
      <c r="C83" s="230" t="s">
        <v>49</v>
      </c>
      <c r="D83" s="230" t="s">
        <v>181</v>
      </c>
      <c r="E83" s="230"/>
      <c r="F83" s="230"/>
      <c r="G83" s="229"/>
      <c r="K83" s="231"/>
      <c r="L83" s="230"/>
      <c r="S83" s="211"/>
      <c r="T83" s="212"/>
      <c r="U83" s="213"/>
      <c r="V83" s="214"/>
    </row>
    <row r="84" spans="1:22" s="184" customFormat="1" x14ac:dyDescent="0.3">
      <c r="A84" s="184" t="s">
        <v>55</v>
      </c>
      <c r="C84" s="230" t="s">
        <v>183</v>
      </c>
      <c r="D84" s="230" t="s">
        <v>183</v>
      </c>
      <c r="E84" s="230"/>
      <c r="F84" s="230"/>
      <c r="G84" s="229"/>
      <c r="K84" s="231"/>
      <c r="L84" s="230"/>
      <c r="S84" s="211"/>
      <c r="T84" s="212"/>
      <c r="U84" s="213"/>
      <c r="V84" s="214"/>
    </row>
    <row r="86" spans="1:22" x14ac:dyDescent="0.3">
      <c r="A86" s="184" t="s">
        <v>49</v>
      </c>
    </row>
    <row r="87" spans="1:22" s="184" customFormat="1" x14ac:dyDescent="0.3">
      <c r="A87" s="184" t="s">
        <v>52</v>
      </c>
      <c r="B87" s="184" t="s">
        <v>53</v>
      </c>
      <c r="C87" s="230" t="s">
        <v>49</v>
      </c>
      <c r="D87" s="230" t="s">
        <v>181</v>
      </c>
      <c r="E87" s="230"/>
      <c r="F87" s="230"/>
      <c r="G87" s="229"/>
      <c r="K87" s="231"/>
      <c r="L87" s="230"/>
      <c r="S87" s="211"/>
      <c r="T87" s="212"/>
      <c r="U87" s="213"/>
      <c r="V87" s="214"/>
    </row>
    <row r="88" spans="1:22" s="184" customFormat="1" x14ac:dyDescent="0.3">
      <c r="A88" s="184" t="s">
        <v>55</v>
      </c>
      <c r="C88" s="230" t="s">
        <v>183</v>
      </c>
      <c r="D88" s="230" t="s">
        <v>183</v>
      </c>
      <c r="E88" s="230"/>
      <c r="F88" s="230"/>
      <c r="G88" s="229"/>
      <c r="K88" s="231"/>
      <c r="L88" s="230"/>
      <c r="S88" s="211"/>
      <c r="T88" s="212"/>
      <c r="U88" s="213"/>
      <c r="V88" s="214"/>
    </row>
    <row r="90" spans="1:22" x14ac:dyDescent="0.3">
      <c r="A90" s="184" t="s">
        <v>49</v>
      </c>
    </row>
    <row r="91" spans="1:22" s="184" customFormat="1" x14ac:dyDescent="0.3">
      <c r="A91" s="184" t="s">
        <v>52</v>
      </c>
      <c r="B91" s="184" t="s">
        <v>53</v>
      </c>
      <c r="C91" s="230" t="s">
        <v>49</v>
      </c>
      <c r="D91" s="230" t="s">
        <v>181</v>
      </c>
      <c r="E91" s="230"/>
      <c r="F91" s="230"/>
      <c r="G91" s="229"/>
      <c r="K91" s="231"/>
      <c r="L91" s="230"/>
      <c r="S91" s="211"/>
      <c r="T91" s="212"/>
      <c r="U91" s="213"/>
      <c r="V91" s="214"/>
    </row>
    <row r="92" spans="1:22" s="184" customFormat="1" x14ac:dyDescent="0.3">
      <c r="A92" s="184" t="s">
        <v>55</v>
      </c>
      <c r="C92" s="230" t="s">
        <v>183</v>
      </c>
      <c r="D92" s="230" t="s">
        <v>183</v>
      </c>
      <c r="E92" s="230"/>
      <c r="F92" s="230"/>
      <c r="G92" s="229"/>
      <c r="K92" s="231"/>
      <c r="L92" s="230"/>
      <c r="S92" s="211"/>
      <c r="T92" s="212"/>
      <c r="U92" s="213"/>
      <c r="V92" s="214"/>
    </row>
    <row r="94" spans="1:22" x14ac:dyDescent="0.3">
      <c r="A94" s="184" t="s">
        <v>49</v>
      </c>
    </row>
    <row r="95" spans="1:22" s="184" customFormat="1" x14ac:dyDescent="0.3">
      <c r="A95" s="184" t="s">
        <v>52</v>
      </c>
      <c r="B95" s="184" t="s">
        <v>53</v>
      </c>
      <c r="C95" s="230" t="s">
        <v>49</v>
      </c>
      <c r="D95" s="230" t="s">
        <v>181</v>
      </c>
      <c r="E95" s="230"/>
      <c r="F95" s="230"/>
      <c r="G95" s="229"/>
      <c r="K95" s="231"/>
      <c r="L95" s="230"/>
      <c r="S95" s="211"/>
      <c r="T95" s="212"/>
      <c r="U95" s="213"/>
      <c r="V95" s="214"/>
    </row>
    <row r="96" spans="1:22" s="184" customFormat="1" x14ac:dyDescent="0.3">
      <c r="A96" s="184" t="s">
        <v>55</v>
      </c>
      <c r="C96" s="230" t="s">
        <v>183</v>
      </c>
      <c r="D96" s="230" t="s">
        <v>183</v>
      </c>
      <c r="E96" s="230"/>
      <c r="F96" s="230"/>
      <c r="G96" s="229"/>
      <c r="K96" s="231"/>
      <c r="L96" s="230"/>
      <c r="S96" s="211"/>
      <c r="T96" s="212"/>
      <c r="U96" s="213"/>
      <c r="V96" s="214"/>
    </row>
  </sheetData>
  <dataValidations count="1">
    <dataValidation type="list" allowBlank="1" showInputMessage="1" showErrorMessage="1" sqref="C4" xr:uid="{D5DD890F-7C05-448A-9F86-98889B89BB3F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3" name="Button 14">
              <controlPr defaultSize="0" print="0" autoFill="0" autoPict="0" macro="[0]!CrearTablaResumen_FormatoFinal">
                <anchor moveWithCells="1" sizeWithCells="1">
                  <from>
                    <xdr:col>1</xdr:col>
                    <xdr:colOff>190500</xdr:colOff>
                    <xdr:row>0</xdr:row>
                    <xdr:rowOff>129540</xdr:rowOff>
                  </from>
                  <to>
                    <xdr:col>3</xdr:col>
                    <xdr:colOff>640080</xdr:colOff>
                    <xdr:row>2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4" name="Button 15">
              <controlPr defaultSize="0" print="0" autoFill="0" autoPict="0" macro="[0]!ResumenDesarrollo">
                <anchor moveWithCells="1" sizeWithCells="1">
                  <from>
                    <xdr:col>8</xdr:col>
                    <xdr:colOff>1912620</xdr:colOff>
                    <xdr:row>0</xdr:row>
                    <xdr:rowOff>83820</xdr:rowOff>
                  </from>
                  <to>
                    <xdr:col>14</xdr:col>
                    <xdr:colOff>388620</xdr:colOff>
                    <xdr:row>2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Button 16">
              <controlPr defaultSize="0" print="0" autoFill="0" autoPict="0" macro="[0]!ResumenBoM_final">
                <anchor moveWithCells="1" sizeWithCells="1">
                  <from>
                    <xdr:col>19</xdr:col>
                    <xdr:colOff>53340</xdr:colOff>
                    <xdr:row>1</xdr:row>
                    <xdr:rowOff>53340</xdr:rowOff>
                  </from>
                  <to>
                    <xdr:col>23</xdr:col>
                    <xdr:colOff>472440</xdr:colOff>
                    <xdr:row>2</xdr:row>
                    <xdr:rowOff>541020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87AB3A-4CA2-45C7-AFCF-603CF75AC987}">
          <x14:formula1>
            <xm:f>'Datos generales'!$B$8:$B$1048576</xm:f>
          </x14:formula1>
          <xm:sqref>H5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B77D-49AC-4843-B975-EC8D72F2269F}">
  <sheetPr codeName="Hoja9">
    <tabColor rgb="FF00B050"/>
  </sheetPr>
  <dimension ref="B1:N26"/>
  <sheetViews>
    <sheetView tabSelected="1" zoomScaleNormal="100" workbookViewId="0">
      <selection activeCell="C7" sqref="C7:C13"/>
    </sheetView>
  </sheetViews>
  <sheetFormatPr baseColWidth="10" defaultColWidth="11.44140625" defaultRowHeight="14.4" x14ac:dyDescent="0.3"/>
  <cols>
    <col min="2" max="2" width="15.6640625" customWidth="1"/>
    <col min="3" max="3" width="12.6640625" customWidth="1"/>
    <col min="4" max="4" width="19.44140625" customWidth="1"/>
    <col min="5" max="5" width="28.44140625" customWidth="1"/>
    <col min="6" max="6" width="12.109375" customWidth="1"/>
    <col min="7" max="7" width="17.88671875" customWidth="1"/>
    <col min="8" max="8" width="10.5546875" customWidth="1"/>
    <col min="9" max="9" width="10" customWidth="1"/>
    <col min="10" max="10" width="16.109375" customWidth="1"/>
    <col min="11" max="11" width="15.109375" customWidth="1"/>
  </cols>
  <sheetData>
    <row r="1" spans="2:14" x14ac:dyDescent="0.3">
      <c r="B1" s="38"/>
      <c r="C1" s="38"/>
      <c r="D1" s="38"/>
    </row>
    <row r="2" spans="2:14" x14ac:dyDescent="0.3">
      <c r="B2" s="38"/>
      <c r="C2" s="38"/>
      <c r="D2" s="38"/>
    </row>
    <row r="3" spans="2:14" x14ac:dyDescent="0.3">
      <c r="B3" s="39"/>
      <c r="C3" s="38"/>
      <c r="D3" s="38"/>
    </row>
    <row r="4" spans="2:14" x14ac:dyDescent="0.3">
      <c r="B4" s="38"/>
      <c r="C4" s="38"/>
      <c r="D4" s="40"/>
    </row>
    <row r="5" spans="2:14" x14ac:dyDescent="0.3">
      <c r="B5" s="127" t="s">
        <v>57</v>
      </c>
      <c r="C5" s="127" t="s">
        <v>57</v>
      </c>
      <c r="D5" s="127" t="s">
        <v>161</v>
      </c>
      <c r="E5" s="5" t="s">
        <v>161</v>
      </c>
      <c r="F5" s="5" t="s">
        <v>59</v>
      </c>
      <c r="G5" s="127" t="s">
        <v>57</v>
      </c>
      <c r="H5" s="127" t="s">
        <v>57</v>
      </c>
      <c r="I5" s="5" t="s">
        <v>59</v>
      </c>
      <c r="J5" s="5" t="s">
        <v>59</v>
      </c>
      <c r="K5" s="5" t="s">
        <v>59</v>
      </c>
      <c r="L5" s="5" t="s">
        <v>59</v>
      </c>
      <c r="M5" s="5" t="s">
        <v>59</v>
      </c>
      <c r="N5" s="5" t="s">
        <v>59</v>
      </c>
    </row>
    <row r="6" spans="2:14" ht="28.8" x14ac:dyDescent="0.3">
      <c r="B6" s="25" t="s">
        <v>37</v>
      </c>
      <c r="C6" s="25" t="s">
        <v>60</v>
      </c>
      <c r="D6" s="25" t="s">
        <v>52</v>
      </c>
      <c r="E6" s="25" t="s">
        <v>36</v>
      </c>
      <c r="F6" s="25" t="s">
        <v>137</v>
      </c>
      <c r="G6" s="25" t="s">
        <v>61</v>
      </c>
      <c r="H6" s="25" t="s">
        <v>62</v>
      </c>
      <c r="I6" s="35" t="s">
        <v>63</v>
      </c>
      <c r="J6" s="25" t="s">
        <v>64</v>
      </c>
      <c r="K6" s="25" t="s">
        <v>182</v>
      </c>
      <c r="L6" s="35" t="s">
        <v>65</v>
      </c>
      <c r="M6" s="25" t="s">
        <v>66</v>
      </c>
      <c r="N6" s="42" t="s">
        <v>67</v>
      </c>
    </row>
    <row r="7" spans="2:14" ht="66" customHeight="1" x14ac:dyDescent="0.3">
      <c r="B7" s="33" t="s">
        <v>49</v>
      </c>
      <c r="C7" s="26" t="s">
        <v>42</v>
      </c>
      <c r="D7" s="69" t="s">
        <v>120</v>
      </c>
      <c r="E7" s="37" t="s">
        <v>68</v>
      </c>
      <c r="F7" t="str">
        <f>_xlfn.XLOOKUP(Tabla2757[[#This Row],[Tipo de venta]],Tabla2329[Tipo de venta],Tabla2329[Moneda final], "Error - Seleccionar Tipo de Venta", 0,1)</f>
        <v>UF</v>
      </c>
      <c r="G7" s="26" t="s">
        <v>26</v>
      </c>
      <c r="H7" s="26" t="s">
        <v>25</v>
      </c>
      <c r="I7" s="36">
        <f>_xlfn.XLOOKUP(Tabla2757[[#This Row],[Puesto Encargado]], Tabla9[Puesto], Tabla9[Precio cliente],0,1,1)</f>
        <v>0.44117647058823534</v>
      </c>
      <c r="J7" s="36">
        <f>_xlfn.XLOOKUP(Tabla2757[[#This Row],[Cargo]], Tabla958[Cargos], Tabla958[Ponderador Precio],0,1,1)</f>
        <v>1</v>
      </c>
      <c r="K7" s="36">
        <f>Tabla2757[[#This Row],[Precio por hora UF]]*Tabla2757[[#This Row],[Ponderador]]</f>
        <v>0.44117647058823534</v>
      </c>
      <c r="L7" s="47">
        <v>4</v>
      </c>
      <c r="M7" s="36">
        <f>Tabla2757[[#This Row],[Precio por hora]]*Tabla2757[[#This Row],[Cantidad horas]]</f>
        <v>1.7647058823529413</v>
      </c>
      <c r="N7" s="71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1.7647058823529413</v>
      </c>
    </row>
    <row r="8" spans="2:14" ht="28.8" x14ac:dyDescent="0.3">
      <c r="B8" s="33" t="s">
        <v>49</v>
      </c>
      <c r="C8" s="26" t="s">
        <v>38</v>
      </c>
      <c r="D8" s="69" t="s">
        <v>121</v>
      </c>
      <c r="E8" s="37" t="s">
        <v>68</v>
      </c>
      <c r="F8" t="str">
        <f>_xlfn.XLOOKUP(Tabla2757[[#This Row],[Tipo de venta]],Tabla2329[Tipo de venta],Tabla2329[Moneda final], "Error - Seleccionar Tipo de Venta", 0,1)</f>
        <v>UF</v>
      </c>
      <c r="G8" s="26" t="s">
        <v>32</v>
      </c>
      <c r="H8" s="26" t="s">
        <v>31</v>
      </c>
      <c r="I8" s="36">
        <f>_xlfn.XLOOKUP(Tabla2757[[#This Row],[Puesto Encargado]], Tabla9[Puesto], Tabla9[Precio cliente],0,1,1)</f>
        <v>0.47619047619047616</v>
      </c>
      <c r="J8" s="36">
        <f>_xlfn.XLOOKUP(Tabla2757[[#This Row],[Cargo]], Tabla958[Cargos], Tabla958[Ponderador Precio],0,1,1)</f>
        <v>2</v>
      </c>
      <c r="K8" s="36">
        <f>Tabla2757[[#This Row],[Precio por hora UF]]*Tabla2757[[#This Row],[Ponderador]]</f>
        <v>0.95238095238095233</v>
      </c>
      <c r="L8" s="47">
        <v>0.2</v>
      </c>
      <c r="M8" s="36">
        <f>Tabla2757[[#This Row],[Precio por hora]]*Tabla2757[[#This Row],[Cantidad horas]]</f>
        <v>0.19047619047619047</v>
      </c>
      <c r="N8" s="71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0.19047619047619047</v>
      </c>
    </row>
    <row r="9" spans="2:14" ht="28.8" x14ac:dyDescent="0.3">
      <c r="B9" s="33" t="s">
        <v>49</v>
      </c>
      <c r="C9" s="26" t="s">
        <v>46</v>
      </c>
      <c r="D9" s="69" t="s">
        <v>122</v>
      </c>
      <c r="E9" s="26" t="s">
        <v>69</v>
      </c>
      <c r="F9" t="str">
        <f>_xlfn.XLOOKUP(Tabla2757[[#This Row],[Tipo de venta]],Tabla2329[Tipo de venta],Tabla2329[Moneda final], "Error - Seleccionar Tipo de Venta", 0,1)</f>
        <v>UF</v>
      </c>
      <c r="G9" s="27" t="s">
        <v>29</v>
      </c>
      <c r="H9" s="27" t="s">
        <v>28</v>
      </c>
      <c r="I9" s="36">
        <f>_xlfn.XLOOKUP(Tabla2757[[#This Row],[Puesto Encargado]], Tabla9[Puesto], Tabla9[Precio cliente],0,1,1)</f>
        <v>0.46875</v>
      </c>
      <c r="J9" s="36">
        <f>_xlfn.XLOOKUP(Tabla2757[[#This Row],[Cargo]], Tabla958[Cargos], Tabla958[Ponderador Precio],0,1,1)</f>
        <v>1.5</v>
      </c>
      <c r="K9" s="36">
        <f>Tabla2757[[#This Row],[Precio por hora UF]]*Tabla2757[[#This Row],[Ponderador]]</f>
        <v>0.703125</v>
      </c>
      <c r="L9" s="47">
        <v>5</v>
      </c>
      <c r="M9" s="36">
        <f>Tabla2757[[#This Row],[Precio por hora]]*Tabla2757[[#This Row],[Cantidad horas]]</f>
        <v>3.515625</v>
      </c>
      <c r="N9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3.515625</v>
      </c>
    </row>
    <row r="10" spans="2:14" ht="28.8" x14ac:dyDescent="0.3">
      <c r="B10" s="33" t="s">
        <v>49</v>
      </c>
      <c r="C10" s="26" t="s">
        <v>38</v>
      </c>
      <c r="D10" s="69" t="s">
        <v>127</v>
      </c>
      <c r="E10" s="26" t="s">
        <v>69</v>
      </c>
      <c r="F10" t="str">
        <f>_xlfn.XLOOKUP(Tabla2757[[#This Row],[Tipo de venta]],Tabla2329[Tipo de venta],Tabla2329[Moneda final], "Error - Seleccionar Tipo de Venta", 0,1)</f>
        <v>UF</v>
      </c>
      <c r="G10" s="27" t="s">
        <v>26</v>
      </c>
      <c r="H10" s="27" t="s">
        <v>25</v>
      </c>
      <c r="I10" s="36">
        <f>_xlfn.XLOOKUP(Tabla2757[[#This Row],[Puesto Encargado]], Tabla9[Puesto], Tabla9[Precio cliente],0,1,1)</f>
        <v>0.44117647058823534</v>
      </c>
      <c r="J10" s="36">
        <f>_xlfn.XLOOKUP(Tabla2757[[#This Row],[Cargo]], Tabla958[Cargos], Tabla958[Ponderador Precio],0,1,1)</f>
        <v>1</v>
      </c>
      <c r="K10" s="36">
        <f>Tabla2757[[#This Row],[Precio por hora UF]]*Tabla2757[[#This Row],[Ponderador]]</f>
        <v>0.44117647058823534</v>
      </c>
      <c r="L10" s="47">
        <v>1</v>
      </c>
      <c r="M10" s="36">
        <f>Tabla2757[[#This Row],[Precio por hora]]*Tabla2757[[#This Row],[Cantidad horas]]</f>
        <v>0.44117647058823534</v>
      </c>
      <c r="N10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0.44117647058823534</v>
      </c>
    </row>
    <row r="11" spans="2:14" ht="28.8" x14ac:dyDescent="0.3">
      <c r="B11" s="33" t="s">
        <v>49</v>
      </c>
      <c r="C11" s="26" t="s">
        <v>42</v>
      </c>
      <c r="D11" s="69" t="s">
        <v>128</v>
      </c>
      <c r="E11" s="26" t="s">
        <v>69</v>
      </c>
      <c r="F11" t="str">
        <f>_xlfn.XLOOKUP(Tabla2757[[#This Row],[Tipo de venta]],Tabla2329[Tipo de venta],Tabla2329[Moneda final], "Error - Seleccionar Tipo de Venta", 0,1)</f>
        <v>UF</v>
      </c>
      <c r="G11" s="27" t="s">
        <v>29</v>
      </c>
      <c r="H11" s="27" t="s">
        <v>28</v>
      </c>
      <c r="I11" s="36">
        <f>_xlfn.XLOOKUP(Tabla2757[[#This Row],[Puesto Encargado]], Tabla9[Puesto], Tabla9[Precio cliente],0,1,1)</f>
        <v>0.46875</v>
      </c>
      <c r="J11" s="36">
        <f>_xlfn.XLOOKUP(Tabla2757[[#This Row],[Cargo]], Tabla958[Cargos], Tabla958[Ponderador Precio],0,1,1)</f>
        <v>1.5</v>
      </c>
      <c r="K11" s="36">
        <f>Tabla2757[[#This Row],[Precio por hora UF]]*Tabla2757[[#This Row],[Ponderador]]</f>
        <v>0.703125</v>
      </c>
      <c r="L11" s="47">
        <v>0.5</v>
      </c>
      <c r="M11" s="36">
        <f>Tabla2757[[#This Row],[Precio por hora]]*Tabla2757[[#This Row],[Cantidad horas]]</f>
        <v>0.3515625</v>
      </c>
      <c r="N11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0.3515625</v>
      </c>
    </row>
    <row r="12" spans="2:14" x14ac:dyDescent="0.3">
      <c r="B12" s="33" t="s">
        <v>49</v>
      </c>
      <c r="C12" s="26"/>
      <c r="D12" s="29"/>
      <c r="E12" s="26"/>
      <c r="F12" t="str">
        <f>_xlfn.XLOOKUP(Tabla2757[[#This Row],[Tipo de venta]],Tabla2329[Tipo de venta],Tabla2329[Moneda final], "Error - Seleccionar Tipo de Venta", 0,1)</f>
        <v>UF</v>
      </c>
      <c r="G12" s="27"/>
      <c r="H12" s="27"/>
      <c r="I12" s="36">
        <f>_xlfn.XLOOKUP(Tabla2757[[#This Row],[Puesto Encargado]], Tabla9[Puesto], Tabla9[Precio cliente],0,1,1)</f>
        <v>0</v>
      </c>
      <c r="J12" s="36">
        <f>_xlfn.XLOOKUP(Tabla2757[[#This Row],[Cargo]], Tabla958[Cargos], Tabla958[Ponderador Precio],0,1,1)</f>
        <v>0</v>
      </c>
      <c r="K12" s="36">
        <f>Tabla2757[[#This Row],[Precio por hora UF]]*Tabla2757[[#This Row],[Ponderador]]</f>
        <v>0</v>
      </c>
      <c r="L12" s="47">
        <f>_xlfn.XLOOKUP(Tabla2757[[#This Row],[Tarea]],Productos!$C:$C,Productos!K:K, "Error",0,1)</f>
        <v>0</v>
      </c>
      <c r="M12" s="36">
        <f>Tabla2757[[#This Row],[Precio por hora]]*Tabla2757[[#This Row],[Cantidad horas]]</f>
        <v>0</v>
      </c>
      <c r="N12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" spans="2:14" x14ac:dyDescent="0.3">
      <c r="B13" s="33" t="s">
        <v>49</v>
      </c>
      <c r="C13" s="26"/>
      <c r="D13" s="29"/>
      <c r="E13" s="26"/>
      <c r="F13" t="str">
        <f>_xlfn.XLOOKUP(Tabla2757[[#This Row],[Tipo de venta]],Tabla2329[Tipo de venta],Tabla2329[Moneda final], "Error - Seleccionar Tipo de Venta", 0,1)</f>
        <v>UF</v>
      </c>
      <c r="G13" s="27"/>
      <c r="H13" s="27"/>
      <c r="I13" s="36">
        <f>_xlfn.XLOOKUP(Tabla2757[[#This Row],[Puesto Encargado]], Tabla9[Puesto], Tabla9[Precio cliente],0,1,1)</f>
        <v>0</v>
      </c>
      <c r="J13" s="36">
        <f>_xlfn.XLOOKUP(Tabla2757[[#This Row],[Cargo]], Tabla958[Cargos], Tabla958[Ponderador Precio],0,1,1)</f>
        <v>0</v>
      </c>
      <c r="K13" s="36">
        <f>Tabla2757[[#This Row],[Precio por hora UF]]*Tabla2757[[#This Row],[Ponderador]]</f>
        <v>0</v>
      </c>
      <c r="L13" s="47">
        <f>_xlfn.XLOOKUP(Tabla2757[[#This Row],[Tarea]],Productos!$C:$C,Productos!K:K, "Error",0,1)</f>
        <v>0</v>
      </c>
      <c r="M13" s="36">
        <f>Tabla2757[[#This Row],[Precio por hora]]*Tabla2757[[#This Row],[Cantidad horas]]</f>
        <v>0</v>
      </c>
      <c r="N13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" spans="2:14" x14ac:dyDescent="0.3">
      <c r="B14" s="33" t="s">
        <v>49</v>
      </c>
      <c r="C14" s="26"/>
      <c r="D14" s="29"/>
      <c r="E14" s="26"/>
      <c r="F14" t="str">
        <f>_xlfn.XLOOKUP(Tabla2757[[#This Row],[Tipo de venta]],Tabla2329[Tipo de venta],Tabla2329[Moneda final], "Error - Seleccionar Tipo de Venta", 0,1)</f>
        <v>UF</v>
      </c>
      <c r="G14" s="27"/>
      <c r="H14" s="27"/>
      <c r="I14" s="36">
        <f>_xlfn.XLOOKUP(Tabla2757[[#This Row],[Puesto Encargado]], Tabla9[Puesto], Tabla9[Precio cliente],0,1,1)</f>
        <v>0</v>
      </c>
      <c r="J14" s="36">
        <f>_xlfn.XLOOKUP(Tabla2757[[#This Row],[Cargo]], Tabla958[Cargos], Tabla958[Ponderador Precio],0,1,1)</f>
        <v>0</v>
      </c>
      <c r="K14" s="36">
        <f>Tabla2757[[#This Row],[Precio por hora UF]]*Tabla2757[[#This Row],[Ponderador]]</f>
        <v>0</v>
      </c>
      <c r="L14" s="47">
        <f>_xlfn.XLOOKUP(Tabla2757[[#This Row],[Tarea]],Productos!$C:$C,Productos!K:K, "Error",0,1)</f>
        <v>0</v>
      </c>
      <c r="M14" s="36">
        <f>Tabla2757[[#This Row],[Precio por hora]]*Tabla2757[[#This Row],[Cantidad horas]]</f>
        <v>0</v>
      </c>
      <c r="N14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" spans="2:14" x14ac:dyDescent="0.3">
      <c r="B15" s="33" t="s">
        <v>49</v>
      </c>
      <c r="C15" s="26"/>
      <c r="D15" s="29"/>
      <c r="E15" s="26"/>
      <c r="F15" t="str">
        <f>_xlfn.XLOOKUP(Tabla2757[[#This Row],[Tipo de venta]],Tabla2329[Tipo de venta],Tabla2329[Moneda final], "Error - Seleccionar Tipo de Venta", 0,1)</f>
        <v>UF</v>
      </c>
      <c r="G15" s="27"/>
      <c r="H15" s="27"/>
      <c r="I15" s="36">
        <f>_xlfn.XLOOKUP(Tabla2757[[#This Row],[Puesto Encargado]], Tabla9[Puesto], Tabla9[Precio cliente],0,1,1)</f>
        <v>0</v>
      </c>
      <c r="J15" s="36">
        <f>_xlfn.XLOOKUP(Tabla2757[[#This Row],[Cargo]], Tabla958[Cargos], Tabla958[Ponderador Precio],0,1,1)</f>
        <v>0</v>
      </c>
      <c r="K15" s="36">
        <f>Tabla2757[[#This Row],[Precio por hora UF]]*Tabla2757[[#This Row],[Ponderador]]</f>
        <v>0</v>
      </c>
      <c r="L15" s="47">
        <f>_xlfn.XLOOKUP(Tabla2757[[#This Row],[Tarea]],Productos!$C:$C,Productos!K:K, "Error",0,1)</f>
        <v>0</v>
      </c>
      <c r="M15" s="57">
        <f>Tabla2757[[#This Row],[Precio por hora]]*Tabla2757[[#This Row],[Cantidad horas]]</f>
        <v>0</v>
      </c>
      <c r="N15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" spans="2:14" x14ac:dyDescent="0.3">
      <c r="B16" s="33" t="s">
        <v>49</v>
      </c>
      <c r="C16" s="26"/>
      <c r="D16" s="29"/>
      <c r="E16" s="26"/>
      <c r="F16" t="str">
        <f>_xlfn.XLOOKUP(Tabla2757[[#This Row],[Tipo de venta]],Tabla2329[Tipo de venta],Tabla2329[Moneda final], "Error - Seleccionar Tipo de Venta", 0,1)</f>
        <v>UF</v>
      </c>
      <c r="G16" s="27"/>
      <c r="H16" s="27"/>
      <c r="I16" s="36">
        <f>_xlfn.XLOOKUP(Tabla2757[[#This Row],[Puesto Encargado]], Tabla9[Puesto], Tabla9[Precio cliente],0,1,1)</f>
        <v>0</v>
      </c>
      <c r="J16" s="36">
        <f>_xlfn.XLOOKUP(Tabla2757[[#This Row],[Cargo]], Tabla958[Cargos], Tabla958[Ponderador Precio],0,1,1)</f>
        <v>0</v>
      </c>
      <c r="K16" s="36">
        <f>Tabla2757[[#This Row],[Precio por hora UF]]*Tabla2757[[#This Row],[Ponderador]]</f>
        <v>0</v>
      </c>
      <c r="L16" s="47">
        <f>_xlfn.XLOOKUP(Tabla2757[[#This Row],[Tarea]],Productos!$C:$C,Productos!K:K, "Error",0,1)</f>
        <v>0</v>
      </c>
      <c r="M16" s="57">
        <f>Tabla2757[[#This Row],[Precio por hora]]*Tabla2757[[#This Row],[Cantidad horas]]</f>
        <v>0</v>
      </c>
      <c r="N16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" spans="2:14" x14ac:dyDescent="0.3">
      <c r="B17" s="33" t="s">
        <v>49</v>
      </c>
      <c r="C17" s="26"/>
      <c r="D17" s="29"/>
      <c r="E17" s="26"/>
      <c r="F17" t="str">
        <f>_xlfn.XLOOKUP(Tabla2757[[#This Row],[Tipo de venta]],Tabla2329[Tipo de venta],Tabla2329[Moneda final], "Error - Seleccionar Tipo de Venta", 0,1)</f>
        <v>UF</v>
      </c>
      <c r="G17" s="27"/>
      <c r="H17" s="27"/>
      <c r="I17" s="36">
        <f>_xlfn.XLOOKUP(Tabla2757[[#This Row],[Puesto Encargado]], Tabla9[Puesto], Tabla9[Precio cliente],0,1,1)</f>
        <v>0</v>
      </c>
      <c r="J17" s="36">
        <f>_xlfn.XLOOKUP(Tabla2757[[#This Row],[Cargo]], Tabla958[Cargos], Tabla958[Ponderador Precio],0,1,1)</f>
        <v>0</v>
      </c>
      <c r="K17" s="36">
        <f>Tabla2757[[#This Row],[Precio por hora UF]]*Tabla2757[[#This Row],[Ponderador]]</f>
        <v>0</v>
      </c>
      <c r="L17" s="47">
        <f>_xlfn.XLOOKUP(Tabla2757[[#This Row],[Tarea]],Productos!$C:$C,Productos!K:K, "Error",0,1)</f>
        <v>0</v>
      </c>
      <c r="M17" s="57">
        <f>Tabla2757[[#This Row],[Precio por hora]]*Tabla2757[[#This Row],[Cantidad horas]]</f>
        <v>0</v>
      </c>
      <c r="N17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" spans="2:14" x14ac:dyDescent="0.3">
      <c r="B18" s="33" t="s">
        <v>49</v>
      </c>
      <c r="C18" s="26"/>
      <c r="D18" s="29"/>
      <c r="E18" s="26"/>
      <c r="F18" t="str">
        <f>_xlfn.XLOOKUP(Tabla2757[[#This Row],[Tipo de venta]],Tabla2329[Tipo de venta],Tabla2329[Moneda final], "Error - Seleccionar Tipo de Venta", 0,1)</f>
        <v>UF</v>
      </c>
      <c r="G18" s="27"/>
      <c r="H18" s="27"/>
      <c r="I18" s="36">
        <f>_xlfn.XLOOKUP(Tabla2757[[#This Row],[Puesto Encargado]], Tabla9[Puesto], Tabla9[Precio cliente],0,1,1)</f>
        <v>0</v>
      </c>
      <c r="J18" s="36">
        <f>_xlfn.XLOOKUP(Tabla2757[[#This Row],[Cargo]], Tabla958[Cargos], Tabla958[Ponderador Precio],0,1,1)</f>
        <v>0</v>
      </c>
      <c r="K18" s="36">
        <f>Tabla2757[[#This Row],[Precio por hora UF]]*Tabla2757[[#This Row],[Ponderador]]</f>
        <v>0</v>
      </c>
      <c r="L18" s="47">
        <f>_xlfn.XLOOKUP(Tabla2757[[#This Row],[Tarea]],Productos!$C:$C,Productos!K:K, "Error",0,1)</f>
        <v>0</v>
      </c>
      <c r="M18" s="57">
        <f>Tabla2757[[#This Row],[Precio por hora]]*Tabla2757[[#This Row],[Cantidad horas]]</f>
        <v>0</v>
      </c>
      <c r="N18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" spans="2:14" x14ac:dyDescent="0.3">
      <c r="B19" s="33" t="s">
        <v>49</v>
      </c>
      <c r="C19" s="26"/>
      <c r="D19" s="29"/>
      <c r="E19" s="26"/>
      <c r="F19" t="str">
        <f>_xlfn.XLOOKUP(Tabla2757[[#This Row],[Tipo de venta]],Tabla2329[Tipo de venta],Tabla2329[Moneda final], "Error - Seleccionar Tipo de Venta", 0,1)</f>
        <v>UF</v>
      </c>
      <c r="G19" s="27"/>
      <c r="H19" s="27"/>
      <c r="I19" s="36">
        <f>_xlfn.XLOOKUP(Tabla2757[[#This Row],[Puesto Encargado]], Tabla9[Puesto], Tabla9[Precio cliente],0,1,1)</f>
        <v>0</v>
      </c>
      <c r="J19" s="36">
        <f>_xlfn.XLOOKUP(Tabla2757[[#This Row],[Cargo]], Tabla958[Cargos], Tabla958[Ponderador Precio],0,1,1)</f>
        <v>0</v>
      </c>
      <c r="K19" s="36">
        <f>Tabla2757[[#This Row],[Precio por hora UF]]*Tabla2757[[#This Row],[Ponderador]]</f>
        <v>0</v>
      </c>
      <c r="L19" s="47">
        <f>_xlfn.XLOOKUP(Tabla2757[[#This Row],[Tarea]],Productos!$C:$C,Productos!K:K, "Error",0,1)</f>
        <v>0</v>
      </c>
      <c r="M19" s="57">
        <f>Tabla2757[[#This Row],[Precio por hora]]*Tabla2757[[#This Row],[Cantidad horas]]</f>
        <v>0</v>
      </c>
      <c r="N19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" spans="2:14" x14ac:dyDescent="0.3">
      <c r="B20" s="33" t="s">
        <v>49</v>
      </c>
      <c r="C20" s="26"/>
      <c r="D20" s="29"/>
      <c r="E20" s="26"/>
      <c r="F20" t="str">
        <f>_xlfn.XLOOKUP(Tabla2757[[#This Row],[Tipo de venta]],Tabla2329[Tipo de venta],Tabla2329[Moneda final], "Error - Seleccionar Tipo de Venta", 0,1)</f>
        <v>UF</v>
      </c>
      <c r="G20" s="27"/>
      <c r="H20" s="27"/>
      <c r="I20" s="36">
        <f>_xlfn.XLOOKUP(Tabla2757[[#This Row],[Puesto Encargado]], Tabla9[Puesto], Tabla9[Precio cliente],0,1,1)</f>
        <v>0</v>
      </c>
      <c r="J20" s="36">
        <f>_xlfn.XLOOKUP(Tabla2757[[#This Row],[Cargo]], Tabla958[Cargos], Tabla958[Ponderador Precio],0,1,1)</f>
        <v>0</v>
      </c>
      <c r="K20" s="36">
        <f>Tabla2757[[#This Row],[Precio por hora UF]]*Tabla2757[[#This Row],[Ponderador]]</f>
        <v>0</v>
      </c>
      <c r="L20" s="47">
        <f>_xlfn.XLOOKUP(Tabla2757[[#This Row],[Tarea]],Productos!$C:$C,Productos!K:K, "Error",0,1)</f>
        <v>0</v>
      </c>
      <c r="M20" s="57">
        <f>Tabla2757[[#This Row],[Precio por hora]]*Tabla2757[[#This Row],[Cantidad horas]]</f>
        <v>0</v>
      </c>
      <c r="N20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" spans="2:14" x14ac:dyDescent="0.3">
      <c r="B21" s="33" t="s">
        <v>49</v>
      </c>
      <c r="C21" s="26"/>
      <c r="D21" s="29"/>
      <c r="E21" s="26"/>
      <c r="F21" t="str">
        <f>_xlfn.XLOOKUP(Tabla2757[[#This Row],[Tipo de venta]],Tabla2329[Tipo de venta],Tabla2329[Moneda final], "Error - Seleccionar Tipo de Venta", 0,1)</f>
        <v>UF</v>
      </c>
      <c r="G21" s="27"/>
      <c r="H21" s="27"/>
      <c r="I21" s="36">
        <f>_xlfn.XLOOKUP(Tabla2757[[#This Row],[Puesto Encargado]], Tabla9[Puesto], Tabla9[Precio cliente],0,1,1)</f>
        <v>0</v>
      </c>
      <c r="J21" s="36">
        <f>_xlfn.XLOOKUP(Tabla2757[[#This Row],[Cargo]], Tabla958[Cargos], Tabla958[Ponderador Precio],0,1,1)</f>
        <v>0</v>
      </c>
      <c r="K21" s="36">
        <f>Tabla2757[[#This Row],[Precio por hora UF]]*Tabla2757[[#This Row],[Ponderador]]</f>
        <v>0</v>
      </c>
      <c r="L21" s="47">
        <f>_xlfn.XLOOKUP(Tabla2757[[#This Row],[Tarea]],Productos!$C:$C,Productos!K:K, "Error",0,1)</f>
        <v>0</v>
      </c>
      <c r="M21" s="57">
        <f>Tabla2757[[#This Row],[Precio por hora]]*Tabla2757[[#This Row],[Cantidad horas]]</f>
        <v>0</v>
      </c>
      <c r="N21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" spans="2:14" x14ac:dyDescent="0.3">
      <c r="B22" s="33" t="s">
        <v>49</v>
      </c>
      <c r="C22" s="26"/>
      <c r="D22" s="29"/>
      <c r="E22" s="26"/>
      <c r="F22" t="str">
        <f>_xlfn.XLOOKUP(Tabla2757[[#This Row],[Tipo de venta]],Tabla2329[Tipo de venta],Tabla2329[Moneda final], "Error - Seleccionar Tipo de Venta", 0,1)</f>
        <v>UF</v>
      </c>
      <c r="G22" s="27"/>
      <c r="H22" s="27"/>
      <c r="I22" s="36">
        <f>_xlfn.XLOOKUP(Tabla2757[[#This Row],[Puesto Encargado]], Tabla9[Puesto], Tabla9[Precio cliente],0,1,1)</f>
        <v>0</v>
      </c>
      <c r="J22" s="36">
        <f>_xlfn.XLOOKUP(Tabla2757[[#This Row],[Cargo]], Tabla958[Cargos], Tabla958[Ponderador Precio],0,1,1)</f>
        <v>0</v>
      </c>
      <c r="K22" s="36">
        <f>Tabla2757[[#This Row],[Precio por hora UF]]*Tabla2757[[#This Row],[Ponderador]]</f>
        <v>0</v>
      </c>
      <c r="L22" s="47">
        <f>_xlfn.XLOOKUP(Tabla2757[[#This Row],[Tarea]],Productos!$C:$C,Productos!K:K, "Error",0,1)</f>
        <v>0</v>
      </c>
      <c r="M22" s="57">
        <f>Tabla2757[[#This Row],[Precio por hora]]*Tabla2757[[#This Row],[Cantidad horas]]</f>
        <v>0</v>
      </c>
      <c r="N22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" spans="2:14" x14ac:dyDescent="0.3">
      <c r="B23" s="33" t="s">
        <v>49</v>
      </c>
      <c r="C23" s="26"/>
      <c r="D23" s="29"/>
      <c r="E23" s="26"/>
      <c r="F23" t="str">
        <f>_xlfn.XLOOKUP(Tabla2757[[#This Row],[Tipo de venta]],Tabla2329[Tipo de venta],Tabla2329[Moneda final], "Error - Seleccionar Tipo de Venta", 0,1)</f>
        <v>UF</v>
      </c>
      <c r="G23" s="27"/>
      <c r="H23" s="27"/>
      <c r="I23" s="36">
        <f>_xlfn.XLOOKUP(Tabla2757[[#This Row],[Puesto Encargado]], Tabla9[Puesto], Tabla9[Precio cliente],0,1,1)</f>
        <v>0</v>
      </c>
      <c r="J23" s="36">
        <f>_xlfn.XLOOKUP(Tabla2757[[#This Row],[Cargo]], Tabla958[Cargos], Tabla958[Ponderador Precio],0,1,1)</f>
        <v>0</v>
      </c>
      <c r="K23" s="36">
        <f>Tabla2757[[#This Row],[Precio por hora UF]]*Tabla2757[[#This Row],[Ponderador]]</f>
        <v>0</v>
      </c>
      <c r="L23" s="47">
        <f>_xlfn.XLOOKUP(Tabla2757[[#This Row],[Tarea]],Productos!$C:$C,Productos!K:K, "Error",0,1)</f>
        <v>0</v>
      </c>
      <c r="M23" s="57">
        <f>Tabla2757[[#This Row],[Precio por hora]]*Tabla2757[[#This Row],[Cantidad horas]]</f>
        <v>0</v>
      </c>
      <c r="N23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" spans="2:14" x14ac:dyDescent="0.3">
      <c r="B24" s="33" t="s">
        <v>49</v>
      </c>
      <c r="C24" s="26"/>
      <c r="D24" s="29"/>
      <c r="E24" s="26"/>
      <c r="F24" t="str">
        <f>_xlfn.XLOOKUP(Tabla2757[[#This Row],[Tipo de venta]],Tabla2329[Tipo de venta],Tabla2329[Moneda final], "Error - Seleccionar Tipo de Venta", 0,1)</f>
        <v>UF</v>
      </c>
      <c r="G24" s="27"/>
      <c r="H24" s="27"/>
      <c r="I24" s="36">
        <f>_xlfn.XLOOKUP(Tabla2757[[#This Row],[Puesto Encargado]], Tabla9[Puesto], Tabla9[Precio cliente],0,1,1)</f>
        <v>0</v>
      </c>
      <c r="J24" s="36">
        <f>_xlfn.XLOOKUP(Tabla2757[[#This Row],[Cargo]], Tabla958[Cargos], Tabla958[Ponderador Precio],0,1,1)</f>
        <v>0</v>
      </c>
      <c r="K24" s="36">
        <f>Tabla2757[[#This Row],[Precio por hora UF]]*Tabla2757[[#This Row],[Ponderador]]</f>
        <v>0</v>
      </c>
      <c r="L24" s="47">
        <f>_xlfn.XLOOKUP(Tabla2757[[#This Row],[Tarea]],Productos!$C:$C,Productos!K:K, "Error",0,1)</f>
        <v>0</v>
      </c>
      <c r="M24" s="57">
        <f>Tabla2757[[#This Row],[Precio por hora]]*Tabla2757[[#This Row],[Cantidad horas]]</f>
        <v>0</v>
      </c>
      <c r="N24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" spans="2:14" x14ac:dyDescent="0.3">
      <c r="B25" s="33" t="s">
        <v>49</v>
      </c>
      <c r="C25" s="26"/>
      <c r="D25" s="29"/>
      <c r="E25" s="26"/>
      <c r="F25" t="str">
        <f>_xlfn.XLOOKUP(Tabla2757[[#This Row],[Tipo de venta]],Tabla2329[Tipo de venta],Tabla2329[Moneda final], "Error - Seleccionar Tipo de Venta", 0,1)</f>
        <v>UF</v>
      </c>
      <c r="G25" s="27"/>
      <c r="H25" s="27"/>
      <c r="I25" s="36">
        <f>_xlfn.XLOOKUP(Tabla2757[[#This Row],[Puesto Encargado]], Tabla9[Puesto], Tabla9[Precio cliente],0,1,1)</f>
        <v>0</v>
      </c>
      <c r="J25" s="36">
        <f>_xlfn.XLOOKUP(Tabla2757[[#This Row],[Cargo]], Tabla958[Cargos], Tabla958[Ponderador Precio],0,1,1)</f>
        <v>0</v>
      </c>
      <c r="K25" s="36">
        <f>Tabla2757[[#This Row],[Precio por hora UF]]*Tabla2757[[#This Row],[Ponderador]]</f>
        <v>0</v>
      </c>
      <c r="L25" s="47">
        <f>_xlfn.XLOOKUP(Tabla2757[[#This Row],[Tarea]],Productos!$C:$C,Productos!K:K, "Error",0,1)</f>
        <v>0</v>
      </c>
      <c r="M25" s="57">
        <f>Tabla2757[[#This Row],[Precio por hora]]*Tabla2757[[#This Row],[Cantidad horas]]</f>
        <v>0</v>
      </c>
      <c r="N25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" spans="2:14" x14ac:dyDescent="0.3">
      <c r="B26" s="33" t="s">
        <v>49</v>
      </c>
      <c r="C26" s="26"/>
      <c r="D26" s="56"/>
      <c r="E26" s="26"/>
      <c r="F26" t="str">
        <f>_xlfn.XLOOKUP(Tabla2757[[#This Row],[Tipo de venta]],Tabla2329[Tipo de venta],Tabla2329[Moneda final], "Error - Seleccionar Tipo de Venta", 0,1)</f>
        <v>UF</v>
      </c>
      <c r="G26" s="27"/>
      <c r="H26" s="27"/>
      <c r="I26" s="36">
        <f>_xlfn.XLOOKUP(Tabla2757[[#This Row],[Puesto Encargado]], Tabla9[Puesto], Tabla9[Precio cliente],0,1,1)</f>
        <v>0</v>
      </c>
      <c r="J26" s="36">
        <f>_xlfn.XLOOKUP(Tabla2757[[#This Row],[Cargo]], Tabla958[Cargos], Tabla958[Ponderador Precio],0,1,1)</f>
        <v>0</v>
      </c>
      <c r="K26" s="36">
        <f>Tabla2757[[#This Row],[Precio por hora UF]]*Tabla2757[[#This Row],[Ponderador]]</f>
        <v>0</v>
      </c>
      <c r="L26" s="47">
        <f>_xlfn.XLOOKUP(Tabla2757[[#This Row],[Tarea]],Productos!$C:$C,Productos!K:K, "Error",0,1)</f>
        <v>0</v>
      </c>
      <c r="M26" s="57">
        <f>Tabla2757[[#This Row],[Precio por hora]]*Tabla2757[[#This Row],[Cantidad horas]]</f>
        <v>0</v>
      </c>
      <c r="N26" s="72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46E6B2C-48B8-45CD-B1F9-964DCCC3616C}">
          <x14:formula1>
            <xm:f>'Datos generales'!$B$8:$B$10</xm:f>
          </x14:formula1>
          <xm:sqref>B3</xm:sqref>
        </x14:dataValidation>
        <x14:dataValidation type="list" allowBlank="1" showInputMessage="1" showErrorMessage="1" xr:uid="{E6913F09-6A6F-4378-9E0B-AF03A7054BCD}">
          <x14:formula1>
            <xm:f>'Datos generales'!$L$11:$L$15</xm:f>
          </x14:formula1>
          <xm:sqref>H7:H26</xm:sqref>
        </x14:dataValidation>
        <x14:dataValidation type="list" allowBlank="1" showInputMessage="1" showErrorMessage="1" xr:uid="{4F354838-FD22-44B9-9711-4A08A9DD668D}">
          <x14:formula1>
            <xm:f>'Datos generales'!$O$12:$O$1048576</xm:f>
          </x14:formula1>
          <xm:sqref>G7:G26</xm:sqref>
        </x14:dataValidation>
        <x14:dataValidation type="list" allowBlank="1" showInputMessage="1" showErrorMessage="1" xr:uid="{FD3B6C4F-A24D-4888-8F37-673D4ED8C92E}">
          <x14:formula1>
            <xm:f>'Datos proyecto'!$I$9:$I$1048576</xm:f>
          </x14:formula1>
          <xm:sqref>B7:B26</xm:sqref>
        </x14:dataValidation>
        <x14:dataValidation type="list" allowBlank="1" showInputMessage="1" showErrorMessage="1" xr:uid="{D963B687-010E-4EF5-820E-46B4DA572296}">
          <x14:formula1>
            <xm:f>'Datos proyecto'!$F$9:$F$1048576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7DAEE-3CE5-4A1E-BCF3-4253B7319073}">
  <sheetPr codeName="Hoja10">
    <tabColor rgb="FF00B050"/>
  </sheetPr>
  <dimension ref="A1:K28"/>
  <sheetViews>
    <sheetView zoomScaleNormal="100" workbookViewId="0">
      <selection activeCell="D9" sqref="D9"/>
    </sheetView>
  </sheetViews>
  <sheetFormatPr baseColWidth="10" defaultColWidth="11.44140625" defaultRowHeight="14.4" x14ac:dyDescent="0.3"/>
  <cols>
    <col min="2" max="2" width="20.6640625" customWidth="1"/>
    <col min="3" max="3" width="20.77734375" customWidth="1"/>
    <col min="4" max="4" width="19.44140625" customWidth="1"/>
    <col min="5" max="5" width="28.44140625" customWidth="1"/>
    <col min="6" max="6" width="13.33203125" customWidth="1"/>
    <col min="7" max="7" width="17.88671875" customWidth="1"/>
    <col min="8" max="8" width="10.5546875" customWidth="1"/>
    <col min="9" max="9" width="10" customWidth="1"/>
    <col min="10" max="10" width="16.109375" customWidth="1"/>
    <col min="11" max="11" width="15.109375" customWidth="1"/>
  </cols>
  <sheetData>
    <row r="1" spans="1:11" x14ac:dyDescent="0.3">
      <c r="B1" s="134" t="s">
        <v>123</v>
      </c>
      <c r="C1" s="134" t="s">
        <v>36</v>
      </c>
      <c r="D1" s="134" t="s">
        <v>164</v>
      </c>
      <c r="E1" s="134" t="s">
        <v>168</v>
      </c>
      <c r="F1" s="134" t="s">
        <v>171</v>
      </c>
    </row>
    <row r="2" spans="1:11" ht="28.8" x14ac:dyDescent="0.3">
      <c r="B2" s="135" t="s">
        <v>163</v>
      </c>
      <c r="C2" s="135" t="s">
        <v>165</v>
      </c>
      <c r="D2" s="137">
        <v>2</v>
      </c>
      <c r="E2" s="137" t="s">
        <v>169</v>
      </c>
      <c r="F2" s="137" t="s">
        <v>169</v>
      </c>
      <c r="H2" s="139" t="s">
        <v>179</v>
      </c>
      <c r="I2" s="139"/>
      <c r="J2" s="139"/>
      <c r="K2" s="139"/>
    </row>
    <row r="3" spans="1:11" ht="28.8" x14ac:dyDescent="0.3">
      <c r="B3" s="137" t="s">
        <v>162</v>
      </c>
      <c r="C3" s="135" t="s">
        <v>166</v>
      </c>
      <c r="D3" s="137">
        <v>3</v>
      </c>
      <c r="E3" s="137" t="s">
        <v>169</v>
      </c>
      <c r="F3" s="137" t="s">
        <v>169</v>
      </c>
      <c r="H3" s="139"/>
      <c r="I3" s="139"/>
      <c r="J3" s="139"/>
      <c r="K3" s="139"/>
    </row>
    <row r="4" spans="1:11" ht="28.8" x14ac:dyDescent="0.3">
      <c r="B4" s="135" t="s">
        <v>158</v>
      </c>
      <c r="C4" s="135" t="s">
        <v>176</v>
      </c>
      <c r="D4" s="135">
        <f>(D3-1)*D2</f>
        <v>4</v>
      </c>
      <c r="E4" s="137">
        <f>_xlfn.XLOOKUP(Tabla3[[#This Row],[Columna1]], Tabla919[Tipo de viático], Tabla919[Costo UF], "Error", 0, 1)</f>
        <v>1.79</v>
      </c>
      <c r="F4" s="135">
        <f>Tabla3[[#This Row],[Costo unitario]]*Tabla3[[#This Row],[Cantidad/tipo]]</f>
        <v>7.16</v>
      </c>
      <c r="H4" s="139"/>
      <c r="I4" s="139"/>
      <c r="J4" s="139"/>
      <c r="K4" s="139"/>
    </row>
    <row r="5" spans="1:11" ht="28.8" x14ac:dyDescent="0.3">
      <c r="B5" s="135" t="s">
        <v>47</v>
      </c>
      <c r="C5" s="135" t="s">
        <v>167</v>
      </c>
      <c r="D5" s="135">
        <f>D3*D2</f>
        <v>6</v>
      </c>
      <c r="E5" s="137">
        <f>_xlfn.XLOOKUP(Tabla3[[#This Row],[Columna1]], Tabla919[Tipo de viático], Tabla919[Costo UF], "Error", 0, 1)</f>
        <v>2</v>
      </c>
      <c r="F5" s="135">
        <f>Tabla3[[#This Row],[Costo unitario]]*Tabla3[[#This Row],[Cantidad/tipo]]</f>
        <v>12</v>
      </c>
      <c r="H5" s="139"/>
      <c r="I5" s="139"/>
      <c r="J5" s="139"/>
      <c r="K5" s="139"/>
    </row>
    <row r="6" spans="1:11" x14ac:dyDescent="0.3">
      <c r="B6" s="128"/>
      <c r="C6" s="128"/>
      <c r="D6" s="130"/>
      <c r="E6" s="129"/>
    </row>
    <row r="7" spans="1:11" x14ac:dyDescent="0.3">
      <c r="B7" s="127" t="s">
        <v>57</v>
      </c>
      <c r="C7" s="127" t="s">
        <v>57</v>
      </c>
      <c r="D7" s="127" t="s">
        <v>161</v>
      </c>
      <c r="E7" s="5" t="s">
        <v>161</v>
      </c>
      <c r="F7" s="5" t="s">
        <v>59</v>
      </c>
      <c r="G7" s="127" t="s">
        <v>58</v>
      </c>
      <c r="H7" s="127" t="s">
        <v>59</v>
      </c>
      <c r="I7" s="5" t="s">
        <v>59</v>
      </c>
      <c r="J7" s="5" t="s">
        <v>59</v>
      </c>
      <c r="K7" s="5" t="s">
        <v>59</v>
      </c>
    </row>
    <row r="8" spans="1:11" ht="28.8" x14ac:dyDescent="0.3">
      <c r="B8" s="25" t="s">
        <v>37</v>
      </c>
      <c r="C8" s="25" t="s">
        <v>60</v>
      </c>
      <c r="D8" s="25" t="s">
        <v>52</v>
      </c>
      <c r="E8" s="25" t="s">
        <v>36</v>
      </c>
      <c r="F8" s="35" t="s">
        <v>137</v>
      </c>
      <c r="G8" s="35" t="s">
        <v>177</v>
      </c>
      <c r="H8" s="35" t="s">
        <v>22</v>
      </c>
      <c r="I8" s="35" t="s">
        <v>178</v>
      </c>
      <c r="J8" s="25" t="s">
        <v>117</v>
      </c>
      <c r="K8" s="25" t="s">
        <v>84</v>
      </c>
    </row>
    <row r="9" spans="1:11" ht="47.4" customHeight="1" x14ac:dyDescent="0.3">
      <c r="A9" s="138" t="s">
        <v>175</v>
      </c>
      <c r="B9" s="131" t="s">
        <v>141</v>
      </c>
      <c r="C9" s="56" t="s">
        <v>50</v>
      </c>
      <c r="D9" s="69" t="str">
        <f>B5</f>
        <v>Viático viaje largo 1n o más</v>
      </c>
      <c r="E9" s="69" t="str">
        <f>C5</f>
        <v>Cuánto se le paga a cada persona</v>
      </c>
      <c r="F9" s="81" t="str">
        <f>_xlfn.XLOOKUP(Tabla27573[[#This Row],[Tipo de venta]],Tabla2329[Tipo de venta],Tabla2329[Moneda final], "Error - Seleccionar Tipo de Venta", 0,1)</f>
        <v>CLP</v>
      </c>
      <c r="G9" s="133">
        <f>E5*'Datos generales'!$C$9</f>
        <v>76818.399999999994</v>
      </c>
      <c r="H9" s="140">
        <v>0.2</v>
      </c>
      <c r="I9" s="141">
        <f>Tabla27573[[#This Row],[Costo Unitario CLP]]/(1-Tabla27573[[#This Row],[Margen]])</f>
        <v>96022.999999999985</v>
      </c>
      <c r="J9" s="133">
        <f t="shared" ref="J9:J10" si="0">D3</f>
        <v>3</v>
      </c>
      <c r="K9" s="142">
        <f>Tabla27573[[#This Row],[Cantidad]]*Tabla27573[[#This Row],[Precio Unitario]]</f>
        <v>288068.99999999994</v>
      </c>
    </row>
    <row r="10" spans="1:11" x14ac:dyDescent="0.3">
      <c r="A10" s="138" t="s">
        <v>175</v>
      </c>
      <c r="B10" s="131" t="s">
        <v>141</v>
      </c>
      <c r="C10" s="56" t="s">
        <v>50</v>
      </c>
      <c r="D10" s="29" t="str">
        <f>B4</f>
        <v>Alojamiento</v>
      </c>
      <c r="E10" s="56"/>
      <c r="F10" s="132" t="str">
        <f>_xlfn.XLOOKUP(Tabla27573[[#This Row],[Tipo de venta]],Tabla2329[Tipo de venta],Tabla2329[Moneda final], "Error - Seleccionar Tipo de Venta", 0,1)</f>
        <v>CLP</v>
      </c>
      <c r="G10" s="133">
        <f>E4*'Datos generales'!$C$9</f>
        <v>68752.467999999993</v>
      </c>
      <c r="H10" s="140">
        <v>0.2</v>
      </c>
      <c r="I10" s="141">
        <f>Tabla27573[[#This Row],[Costo Unitario CLP]]/(1-Tabla27573[[#This Row],[Margen]])</f>
        <v>85940.584999999992</v>
      </c>
      <c r="J10" s="133">
        <f t="shared" si="0"/>
        <v>4</v>
      </c>
      <c r="K10" s="142">
        <f>Tabla27573[[#This Row],[Cantidad]]*Tabla27573[[#This Row],[Precio Unitario]]</f>
        <v>343762.33999999997</v>
      </c>
    </row>
    <row r="11" spans="1:11" x14ac:dyDescent="0.3">
      <c r="B11" s="131" t="s">
        <v>141</v>
      </c>
      <c r="C11" s="56" t="s">
        <v>50</v>
      </c>
      <c r="D11" s="29" t="s">
        <v>172</v>
      </c>
      <c r="E11" s="56" t="s">
        <v>180</v>
      </c>
      <c r="F11" s="132" t="str">
        <f>_xlfn.XLOOKUP(Tabla27573[[#This Row],[Tipo de venta]],Tabla2329[Tipo de venta],Tabla2329[Moneda final], "Error - Seleccionar Tipo de Venta", 0,1)</f>
        <v>CLP</v>
      </c>
      <c r="G11" s="133"/>
      <c r="H11" s="140"/>
      <c r="I11" s="141">
        <f>Tabla27573[[#This Row],[Costo Unitario CLP]]/(1-Tabla27573[[#This Row],[Margen]])</f>
        <v>0</v>
      </c>
      <c r="J11" s="133"/>
      <c r="K11" s="142">
        <f>Tabla27573[[#This Row],[Cantidad]]*Tabla27573[[#This Row],[Precio Unitario]]</f>
        <v>0</v>
      </c>
    </row>
    <row r="12" spans="1:11" x14ac:dyDescent="0.3">
      <c r="B12" s="131" t="s">
        <v>141</v>
      </c>
      <c r="C12" s="56" t="s">
        <v>50</v>
      </c>
      <c r="D12" s="29" t="s">
        <v>173</v>
      </c>
      <c r="E12" s="56"/>
      <c r="F12" s="132" t="str">
        <f>_xlfn.XLOOKUP(Tabla27573[[#This Row],[Tipo de venta]],Tabla2329[Tipo de venta],Tabla2329[Moneda final], "Error - Seleccionar Tipo de Venta", 0,1)</f>
        <v>CLP</v>
      </c>
      <c r="G12" s="133"/>
      <c r="H12" s="140"/>
      <c r="I12" s="141">
        <f>Tabla27573[[#This Row],[Costo Unitario CLP]]/(1-Tabla27573[[#This Row],[Margen]])</f>
        <v>0</v>
      </c>
      <c r="J12" s="133"/>
      <c r="K12" s="142">
        <f>Tabla27573[[#This Row],[Cantidad]]*Tabla27573[[#This Row],[Precio Unitario]]</f>
        <v>0</v>
      </c>
    </row>
    <row r="13" spans="1:11" x14ac:dyDescent="0.3">
      <c r="B13" s="131" t="s">
        <v>141</v>
      </c>
      <c r="C13" s="56" t="s">
        <v>50</v>
      </c>
      <c r="D13" s="29" t="s">
        <v>174</v>
      </c>
      <c r="E13" s="56"/>
      <c r="F13" s="132" t="str">
        <f>_xlfn.XLOOKUP(Tabla27573[[#This Row],[Tipo de venta]],Tabla2329[Tipo de venta],Tabla2329[Moneda final], "Error - Seleccionar Tipo de Venta", 0,1)</f>
        <v>CLP</v>
      </c>
      <c r="G13" s="133"/>
      <c r="H13" s="140"/>
      <c r="I13" s="141">
        <f>Tabla27573[[#This Row],[Costo Unitario CLP]]/(1-Tabla27573[[#This Row],[Margen]])</f>
        <v>0</v>
      </c>
      <c r="J13" s="133"/>
      <c r="K13" s="142">
        <f>Tabla27573[[#This Row],[Cantidad]]*Tabla27573[[#This Row],[Precio Unitario]]</f>
        <v>0</v>
      </c>
    </row>
    <row r="14" spans="1:11" x14ac:dyDescent="0.3">
      <c r="B14" s="131" t="s">
        <v>141</v>
      </c>
      <c r="C14" s="56"/>
      <c r="D14" s="29"/>
      <c r="E14" s="56"/>
      <c r="F14" s="132" t="str">
        <f>_xlfn.XLOOKUP(Tabla27573[[#This Row],[Tipo de venta]],Tabla2329[Tipo de venta],Tabla2329[Moneda final], "Error - Seleccionar Tipo de Venta", 0,1)</f>
        <v>CLP</v>
      </c>
      <c r="G14" s="133"/>
      <c r="H14" s="140"/>
      <c r="I14" s="141">
        <f>Tabla27573[[#This Row],[Costo Unitario CLP]]/(1-Tabla27573[[#This Row],[Margen]])</f>
        <v>0</v>
      </c>
      <c r="J14" s="133"/>
      <c r="K14" s="142">
        <f>Tabla27573[[#This Row],[Cantidad]]*Tabla27573[[#This Row],[Precio Unitario]]</f>
        <v>0</v>
      </c>
    </row>
    <row r="15" spans="1:11" x14ac:dyDescent="0.3">
      <c r="B15" s="131" t="s">
        <v>141</v>
      </c>
      <c r="C15" s="56"/>
      <c r="D15" s="29"/>
      <c r="E15" s="56"/>
      <c r="F15" s="132" t="str">
        <f>_xlfn.XLOOKUP(Tabla27573[[#This Row],[Tipo de venta]],Tabla2329[Tipo de venta],Tabla2329[Moneda final], "Error - Seleccionar Tipo de Venta", 0,1)</f>
        <v>CLP</v>
      </c>
      <c r="G15" s="133"/>
      <c r="H15" s="140"/>
      <c r="I15" s="141">
        <f>Tabla27573[[#This Row],[Costo Unitario CLP]]/(1-Tabla27573[[#This Row],[Margen]])</f>
        <v>0</v>
      </c>
      <c r="J15" s="133"/>
      <c r="K15" s="142">
        <f>Tabla27573[[#This Row],[Cantidad]]*Tabla27573[[#This Row],[Precio Unitario]]</f>
        <v>0</v>
      </c>
    </row>
    <row r="16" spans="1:11" x14ac:dyDescent="0.3">
      <c r="B16" s="131" t="s">
        <v>141</v>
      </c>
      <c r="C16" s="56"/>
      <c r="D16" s="29"/>
      <c r="E16" s="56"/>
      <c r="F16" s="132" t="str">
        <f>_xlfn.XLOOKUP(Tabla27573[[#This Row],[Tipo de venta]],Tabla2329[Tipo de venta],Tabla2329[Moneda final], "Error - Seleccionar Tipo de Venta", 0,1)</f>
        <v>CLP</v>
      </c>
      <c r="G16" s="133"/>
      <c r="H16" s="140"/>
      <c r="I16" s="141">
        <f>Tabla27573[[#This Row],[Costo Unitario CLP]]/(1-Tabla27573[[#This Row],[Margen]])</f>
        <v>0</v>
      </c>
      <c r="J16" s="133"/>
      <c r="K16" s="142">
        <f>Tabla27573[[#This Row],[Cantidad]]*Tabla27573[[#This Row],[Precio Unitario]]</f>
        <v>0</v>
      </c>
    </row>
    <row r="17" spans="2:11" x14ac:dyDescent="0.3">
      <c r="B17" s="131" t="s">
        <v>141</v>
      </c>
      <c r="C17" s="56"/>
      <c r="D17" s="29"/>
      <c r="E17" s="56"/>
      <c r="F17" s="132" t="str">
        <f>_xlfn.XLOOKUP(Tabla27573[[#This Row],[Tipo de venta]],Tabla2329[Tipo de venta],Tabla2329[Moneda final], "Error - Seleccionar Tipo de Venta", 0,1)</f>
        <v>CLP</v>
      </c>
      <c r="G17" s="133"/>
      <c r="H17" s="140"/>
      <c r="I17" s="141">
        <f>Tabla27573[[#This Row],[Costo Unitario CLP]]/(1-Tabla27573[[#This Row],[Margen]])</f>
        <v>0</v>
      </c>
      <c r="J17" s="133"/>
      <c r="K17" s="142">
        <f>Tabla27573[[#This Row],[Cantidad]]*Tabla27573[[#This Row],[Precio Unitario]]</f>
        <v>0</v>
      </c>
    </row>
    <row r="18" spans="2:11" x14ac:dyDescent="0.3">
      <c r="B18" s="131" t="s">
        <v>141</v>
      </c>
      <c r="C18" s="56"/>
      <c r="D18" s="29"/>
      <c r="E18" s="56"/>
      <c r="F18" s="132" t="str">
        <f>_xlfn.XLOOKUP(Tabla27573[[#This Row],[Tipo de venta]],Tabla2329[Tipo de venta],Tabla2329[Moneda final], "Error - Seleccionar Tipo de Venta", 0,1)</f>
        <v>CLP</v>
      </c>
      <c r="G18" s="133"/>
      <c r="H18" s="140"/>
      <c r="I18" s="141">
        <f>Tabla27573[[#This Row],[Costo Unitario CLP]]/(1-Tabla27573[[#This Row],[Margen]])</f>
        <v>0</v>
      </c>
      <c r="J18" s="133"/>
      <c r="K18" s="142">
        <f>Tabla27573[[#This Row],[Cantidad]]*Tabla27573[[#This Row],[Precio Unitario]]</f>
        <v>0</v>
      </c>
    </row>
    <row r="19" spans="2:11" x14ac:dyDescent="0.3">
      <c r="B19" s="131" t="s">
        <v>141</v>
      </c>
      <c r="C19" s="56"/>
      <c r="D19" s="29"/>
      <c r="E19" s="56"/>
      <c r="F19" s="132" t="str">
        <f>_xlfn.XLOOKUP(Tabla27573[[#This Row],[Tipo de venta]],Tabla2329[Tipo de venta],Tabla2329[Moneda final], "Error - Seleccionar Tipo de Venta", 0,1)</f>
        <v>CLP</v>
      </c>
      <c r="G19" s="133"/>
      <c r="H19" s="140"/>
      <c r="I19" s="141">
        <f>Tabla27573[[#This Row],[Costo Unitario CLP]]/(1-Tabla27573[[#This Row],[Margen]])</f>
        <v>0</v>
      </c>
      <c r="J19" s="133"/>
      <c r="K19" s="142">
        <f>Tabla27573[[#This Row],[Cantidad]]*Tabla27573[[#This Row],[Precio Unitario]]</f>
        <v>0</v>
      </c>
    </row>
    <row r="20" spans="2:11" x14ac:dyDescent="0.3">
      <c r="B20" s="131" t="s">
        <v>141</v>
      </c>
      <c r="C20" s="56"/>
      <c r="D20" s="29"/>
      <c r="E20" s="56"/>
      <c r="F20" s="132" t="str">
        <f>_xlfn.XLOOKUP(Tabla27573[[#This Row],[Tipo de venta]],Tabla2329[Tipo de venta],Tabla2329[Moneda final], "Error - Seleccionar Tipo de Venta", 0,1)</f>
        <v>CLP</v>
      </c>
      <c r="G20" s="133"/>
      <c r="H20" s="140"/>
      <c r="I20" s="141">
        <f>Tabla27573[[#This Row],[Costo Unitario CLP]]/(1-Tabla27573[[#This Row],[Margen]])</f>
        <v>0</v>
      </c>
      <c r="J20" s="133"/>
      <c r="K20" s="142">
        <f>Tabla27573[[#This Row],[Cantidad]]*Tabla27573[[#This Row],[Precio Unitario]]</f>
        <v>0</v>
      </c>
    </row>
    <row r="21" spans="2:11" x14ac:dyDescent="0.3">
      <c r="B21" s="131" t="s">
        <v>141</v>
      </c>
      <c r="C21" s="56"/>
      <c r="D21" s="29"/>
      <c r="E21" s="56"/>
      <c r="F21" s="132" t="str">
        <f>_xlfn.XLOOKUP(Tabla27573[[#This Row],[Tipo de venta]],Tabla2329[Tipo de venta],Tabla2329[Moneda final], "Error - Seleccionar Tipo de Venta", 0,1)</f>
        <v>CLP</v>
      </c>
      <c r="G21" s="133"/>
      <c r="H21" s="140"/>
      <c r="I21" s="141">
        <f>Tabla27573[[#This Row],[Costo Unitario CLP]]/(1-Tabla27573[[#This Row],[Margen]])</f>
        <v>0</v>
      </c>
      <c r="J21" s="133"/>
      <c r="K21" s="142">
        <f>Tabla27573[[#This Row],[Cantidad]]*Tabla27573[[#This Row],[Precio Unitario]]</f>
        <v>0</v>
      </c>
    </row>
    <row r="22" spans="2:11" x14ac:dyDescent="0.3">
      <c r="B22" s="131" t="s">
        <v>141</v>
      </c>
      <c r="C22" s="56"/>
      <c r="D22" s="29"/>
      <c r="E22" s="56"/>
      <c r="F22" s="132" t="str">
        <f>_xlfn.XLOOKUP(Tabla27573[[#This Row],[Tipo de venta]],Tabla2329[Tipo de venta],Tabla2329[Moneda final], "Error - Seleccionar Tipo de Venta", 0,1)</f>
        <v>CLP</v>
      </c>
      <c r="G22" s="133"/>
      <c r="H22" s="140"/>
      <c r="I22" s="141">
        <f>Tabla27573[[#This Row],[Costo Unitario CLP]]/(1-Tabla27573[[#This Row],[Margen]])</f>
        <v>0</v>
      </c>
      <c r="J22" s="133"/>
      <c r="K22" s="142">
        <f>Tabla27573[[#This Row],[Cantidad]]*Tabla27573[[#This Row],[Precio Unitario]]</f>
        <v>0</v>
      </c>
    </row>
    <row r="23" spans="2:11" x14ac:dyDescent="0.3">
      <c r="B23" s="131" t="s">
        <v>141</v>
      </c>
      <c r="C23" s="56"/>
      <c r="D23" s="29"/>
      <c r="E23" s="56"/>
      <c r="F23" s="132" t="str">
        <f>_xlfn.XLOOKUP(Tabla27573[[#This Row],[Tipo de venta]],Tabla2329[Tipo de venta],Tabla2329[Moneda final], "Error - Seleccionar Tipo de Venta", 0,1)</f>
        <v>CLP</v>
      </c>
      <c r="G23" s="133"/>
      <c r="H23" s="140"/>
      <c r="I23" s="141">
        <f>Tabla27573[[#This Row],[Costo Unitario CLP]]/(1-Tabla27573[[#This Row],[Margen]])</f>
        <v>0</v>
      </c>
      <c r="J23" s="133"/>
      <c r="K23" s="142">
        <f>Tabla27573[[#This Row],[Cantidad]]*Tabla27573[[#This Row],[Precio Unitario]]</f>
        <v>0</v>
      </c>
    </row>
    <row r="24" spans="2:11" x14ac:dyDescent="0.3">
      <c r="B24" s="131" t="s">
        <v>141</v>
      </c>
      <c r="C24" s="56"/>
      <c r="D24" s="29"/>
      <c r="E24" s="56"/>
      <c r="F24" s="132" t="str">
        <f>_xlfn.XLOOKUP(Tabla27573[[#This Row],[Tipo de venta]],Tabla2329[Tipo de venta],Tabla2329[Moneda final], "Error - Seleccionar Tipo de Venta", 0,1)</f>
        <v>CLP</v>
      </c>
      <c r="G24" s="133"/>
      <c r="H24" s="140"/>
      <c r="I24" s="141">
        <f>Tabla27573[[#This Row],[Costo Unitario CLP]]/(1-Tabla27573[[#This Row],[Margen]])</f>
        <v>0</v>
      </c>
      <c r="J24" s="133"/>
      <c r="K24" s="142">
        <f>Tabla27573[[#This Row],[Cantidad]]*Tabla27573[[#This Row],[Precio Unitario]]</f>
        <v>0</v>
      </c>
    </row>
    <row r="25" spans="2:11" x14ac:dyDescent="0.3">
      <c r="B25" s="131" t="s">
        <v>141</v>
      </c>
      <c r="C25" s="56"/>
      <c r="D25" s="29"/>
      <c r="E25" s="56"/>
      <c r="F25" s="132" t="str">
        <f>_xlfn.XLOOKUP(Tabla27573[[#This Row],[Tipo de venta]],Tabla2329[Tipo de venta],Tabla2329[Moneda final], "Error - Seleccionar Tipo de Venta", 0,1)</f>
        <v>CLP</v>
      </c>
      <c r="G25" s="133"/>
      <c r="H25" s="140"/>
      <c r="I25" s="141">
        <f>Tabla27573[[#This Row],[Costo Unitario CLP]]/(1-Tabla27573[[#This Row],[Margen]])</f>
        <v>0</v>
      </c>
      <c r="J25" s="133"/>
      <c r="K25" s="142">
        <f>Tabla27573[[#This Row],[Cantidad]]*Tabla27573[[#This Row],[Precio Unitario]]</f>
        <v>0</v>
      </c>
    </row>
    <row r="26" spans="2:11" x14ac:dyDescent="0.3">
      <c r="B26" s="131" t="s">
        <v>141</v>
      </c>
      <c r="C26" s="56"/>
      <c r="D26" s="29"/>
      <c r="E26" s="56"/>
      <c r="F26" s="132" t="str">
        <f>_xlfn.XLOOKUP(Tabla27573[[#This Row],[Tipo de venta]],Tabla2329[Tipo de venta],Tabla2329[Moneda final], "Error - Seleccionar Tipo de Venta", 0,1)</f>
        <v>CLP</v>
      </c>
      <c r="G26" s="133"/>
      <c r="H26" s="140"/>
      <c r="I26" s="141">
        <f>Tabla27573[[#This Row],[Costo Unitario CLP]]/(1-Tabla27573[[#This Row],[Margen]])</f>
        <v>0</v>
      </c>
      <c r="J26" s="133"/>
      <c r="K26" s="142">
        <f>Tabla27573[[#This Row],[Cantidad]]*Tabla27573[[#This Row],[Precio Unitario]]</f>
        <v>0</v>
      </c>
    </row>
    <row r="27" spans="2:11" x14ac:dyDescent="0.3">
      <c r="B27" s="131" t="s">
        <v>141</v>
      </c>
      <c r="C27" s="56"/>
      <c r="D27" s="29"/>
      <c r="E27" s="56"/>
      <c r="F27" s="132" t="str">
        <f>_xlfn.XLOOKUP(Tabla27573[[#This Row],[Tipo de venta]],Tabla2329[Tipo de venta],Tabla2329[Moneda final], "Error - Seleccionar Tipo de Venta", 0,1)</f>
        <v>CLP</v>
      </c>
      <c r="G27" s="133"/>
      <c r="H27" s="140"/>
      <c r="I27" s="141">
        <f>Tabla27573[[#This Row],[Costo Unitario CLP]]/(1-Tabla27573[[#This Row],[Margen]])</f>
        <v>0</v>
      </c>
      <c r="J27" s="133"/>
      <c r="K27" s="142">
        <f>Tabla27573[[#This Row],[Cantidad]]*Tabla27573[[#This Row],[Precio Unitario]]</f>
        <v>0</v>
      </c>
    </row>
    <row r="28" spans="2:11" x14ac:dyDescent="0.3">
      <c r="B28" s="131" t="s">
        <v>141</v>
      </c>
      <c r="C28" s="56"/>
      <c r="D28" s="56"/>
      <c r="E28" s="56"/>
      <c r="F28" s="132" t="str">
        <f>_xlfn.XLOOKUP(Tabla27573[[#This Row],[Tipo de venta]],Tabla2329[Tipo de venta],Tabla2329[Moneda final], "Error - Seleccionar Tipo de Venta", 0,1)</f>
        <v>CLP</v>
      </c>
      <c r="G28" s="133"/>
      <c r="H28" s="140"/>
      <c r="I28" s="141">
        <f>Tabla27573[[#This Row],[Costo Unitario CLP]]/(1-Tabla27573[[#This Row],[Margen]])</f>
        <v>0</v>
      </c>
      <c r="J28" s="133"/>
      <c r="K28" s="142">
        <f>Tabla27573[[#This Row],[Cantidad]]*Tabla27573[[#This Row],[Precio Unitario]]</f>
        <v>0</v>
      </c>
    </row>
  </sheetData>
  <mergeCells count="1">
    <mergeCell ref="H2:K5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EAC25-4B2F-4D75-8C52-AE34DBB4214B}">
          <x14:formula1>
            <xm:f>'Datos generales'!$V$8:$V$1048576</xm:f>
          </x14:formula1>
          <xm:sqref>B4:B5</xm:sqref>
        </x14:dataValidation>
        <x14:dataValidation type="list" allowBlank="1" showInputMessage="1" showErrorMessage="1" xr:uid="{2ED71F30-5068-4D42-9DA6-03E6E7BEFAF1}">
          <x14:formula1>
            <xm:f>'Datos proyecto'!$F$9:$F$1048576</xm:f>
          </x14:formula1>
          <xm:sqref>C9:C28</xm:sqref>
        </x14:dataValidation>
        <x14:dataValidation type="list" allowBlank="1" showInputMessage="1" showErrorMessage="1" xr:uid="{674C382B-6B38-4A31-BC2D-E92260845599}">
          <x14:formula1>
            <xm:f>'Datos proyecto'!$I$9:$I$1048576</xm:f>
          </x14:formula1>
          <xm:sqref>B9:B28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313F-494E-4A77-871B-F748C9E5EBA4}">
  <sheetPr codeName="Hoja7">
    <tabColor theme="6" tint="0.39997558519241921"/>
  </sheetPr>
  <dimension ref="B2:S32"/>
  <sheetViews>
    <sheetView zoomScale="85" zoomScaleNormal="85" workbookViewId="0">
      <selection activeCell="R7" sqref="R7"/>
    </sheetView>
  </sheetViews>
  <sheetFormatPr baseColWidth="10" defaultColWidth="11.44140625" defaultRowHeight="14.4" x14ac:dyDescent="0.3"/>
  <cols>
    <col min="2" max="2" width="15.6640625" customWidth="1"/>
    <col min="3" max="3" width="12.6640625" customWidth="1"/>
    <col min="4" max="4" width="14.44140625" customWidth="1"/>
    <col min="5" max="5" width="19.44140625" customWidth="1"/>
    <col min="6" max="6" width="20.5546875" customWidth="1"/>
    <col min="7" max="7" width="17.77734375" customWidth="1"/>
    <col min="8" max="8" width="18.88671875" customWidth="1"/>
    <col min="9" max="9" width="17.5546875" customWidth="1"/>
    <col min="10" max="10" width="16.5546875" customWidth="1"/>
    <col min="11" max="11" width="16.109375" customWidth="1"/>
    <col min="12" max="12" width="15.109375" customWidth="1"/>
    <col min="15" max="15" width="14" customWidth="1"/>
    <col min="16" max="16" width="17.109375" customWidth="1"/>
    <col min="17" max="17" width="19.5546875" customWidth="1"/>
    <col min="18" max="18" width="16.21875" customWidth="1"/>
  </cols>
  <sheetData>
    <row r="2" spans="2:19" x14ac:dyDescent="0.3">
      <c r="E2" s="122" t="s">
        <v>157</v>
      </c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</row>
    <row r="3" spans="2:19" x14ac:dyDescent="0.3"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</row>
    <row r="4" spans="2:19" x14ac:dyDescent="0.3">
      <c r="E4" s="111"/>
    </row>
    <row r="5" spans="2:19" x14ac:dyDescent="0.3">
      <c r="B5" t="s">
        <v>57</v>
      </c>
      <c r="C5" t="s">
        <v>57</v>
      </c>
      <c r="D5" t="s">
        <v>57</v>
      </c>
      <c r="E5" s="73" t="s">
        <v>129</v>
      </c>
      <c r="F5" s="5" t="s">
        <v>59</v>
      </c>
      <c r="G5" s="5" t="s">
        <v>59</v>
      </c>
      <c r="H5" s="5" t="s">
        <v>59</v>
      </c>
      <c r="I5" s="8" t="s">
        <v>70</v>
      </c>
      <c r="J5" s="5" t="s">
        <v>59</v>
      </c>
      <c r="K5" s="5" t="s">
        <v>59</v>
      </c>
      <c r="L5" s="5" t="s">
        <v>59</v>
      </c>
      <c r="M5" s="5" t="s">
        <v>59</v>
      </c>
      <c r="N5" s="5" t="s">
        <v>59</v>
      </c>
      <c r="O5" s="5" t="s">
        <v>59</v>
      </c>
      <c r="P5" s="5" t="s">
        <v>59</v>
      </c>
      <c r="Q5" s="5" t="s">
        <v>59</v>
      </c>
      <c r="R5" s="5" t="s">
        <v>59</v>
      </c>
    </row>
    <row r="6" spans="2:19" ht="43.2" x14ac:dyDescent="0.3">
      <c r="B6" s="35" t="s">
        <v>37</v>
      </c>
      <c r="C6" s="35" t="s">
        <v>60</v>
      </c>
      <c r="D6" s="75" t="s">
        <v>71</v>
      </c>
      <c r="E6" s="35" t="s">
        <v>72</v>
      </c>
      <c r="F6" s="35" t="s">
        <v>36</v>
      </c>
      <c r="G6" s="35" t="s">
        <v>130</v>
      </c>
      <c r="H6" s="35" t="s">
        <v>134</v>
      </c>
      <c r="I6" s="35" t="s">
        <v>73</v>
      </c>
      <c r="J6" s="35" t="s">
        <v>135</v>
      </c>
      <c r="K6" s="35" t="s">
        <v>152</v>
      </c>
      <c r="L6" s="35" t="s">
        <v>153</v>
      </c>
      <c r="M6" s="35" t="s">
        <v>154</v>
      </c>
      <c r="N6" s="35" t="s">
        <v>74</v>
      </c>
      <c r="O6" s="35" t="s">
        <v>75</v>
      </c>
      <c r="P6" s="35" t="s">
        <v>137</v>
      </c>
      <c r="Q6" s="35" t="s">
        <v>156</v>
      </c>
      <c r="R6" s="35" t="s">
        <v>136</v>
      </c>
    </row>
    <row r="7" spans="2:19" ht="66" customHeight="1" x14ac:dyDescent="0.3">
      <c r="B7" s="33" t="s">
        <v>41</v>
      </c>
      <c r="C7" s="26" t="s">
        <v>38</v>
      </c>
      <c r="D7" s="28" t="s">
        <v>76</v>
      </c>
      <c r="E7" s="29" t="s">
        <v>54</v>
      </c>
      <c r="F7" s="37" t="str">
        <f>_xlfn.XLOOKUP(Tabla27[[#This Row],[Nombre producto]],Productos!C:C,Productos!D:D, "Error",0,1)</f>
        <v>Datalogger de fabricación propia - No hay margen porque ese es el precio final</v>
      </c>
      <c r="G7" s="26" t="str">
        <f>_xlfn.XLOOKUP(Tabla27[[#This Row],[Nombre producto]], Tabla32[Nombre producto], Tabla32[Tipo de moneda],"Error - agregue producto a Productos",0,1)</f>
        <v>USD</v>
      </c>
      <c r="H7" s="30">
        <f>_xlfn.XLOOKUP(Tabla27[[#This Row],[Nombre producto]], Tabla32[Nombre producto], Tabla32[Costo producto],"Error - agregue producto a Productos",0,1)</f>
        <v>600</v>
      </c>
      <c r="I7" s="41">
        <v>4</v>
      </c>
      <c r="J7" s="41">
        <f>_xlfn.XLOOKUP(Tabla27[[#This Row],[Nombre producto]], Tabla32[Nombre producto], Tabla32[Precio USD],"Error - agregue producto a Productos",0,1)</f>
        <v>600</v>
      </c>
      <c r="K7" s="41">
        <f>_xlfn.XLOOKUP(Tabla27[[#This Row],[Nombre producto]], Tabla32[Nombre producto], Tabla32[Precio CLP],"Error - agregue producto a Productos",0,1)</f>
        <v>570000</v>
      </c>
      <c r="L7" s="41">
        <f>_xlfn.XLOOKUP(Tabla27[[#This Row],[Nombre producto]], Tabla32[Nombre producto], Tabla32[Precio UF],"Error - agregue producto a Productos",0,1)</f>
        <v>14.840194536725578</v>
      </c>
      <c r="M7" s="41">
        <f>_xlfn.XLOOKUP(Tabla27[[#This Row],[Nombre producto]], Tabla32[Nombre producto], Tabla32[Precio Euros],"Error - agregue producto a Productos",0,1)</f>
        <v>556.09756097560978</v>
      </c>
      <c r="N7" s="27">
        <f>_xlfn.XLOOKUP(Tabla27[[#This Row],[Nombre producto]],Productos!$C:$C,Productos!N:N, "Error",0,1)</f>
        <v>556.09756097560978</v>
      </c>
      <c r="O7" s="27" t="str">
        <f>_xlfn.XLOOKUP(Tabla27[[#This Row],[Nombre producto]],Productos!$C:$C,Productos!O:O, "Error",0,1)</f>
        <v>Wolke</v>
      </c>
      <c r="P7" s="74" t="str">
        <f>_xlfn.XLOOKUP(Tabla27[[#This Row],[Tipo de venta]], Tabla2329[Tipo de venta], Tabla2329[Moneda final], "Error - Seleccionar Tipo de Venta", 0,1)</f>
        <v>CLP</v>
      </c>
      <c r="Q7" s="74">
        <f>IF(Tabla27[[#This Row],[Moneda producto]]="USD",'Datos generales'!$G$3,IF(Tabla27[[#This Row],[Moneda producto]]="EUR",'Datos generales'!$G$3,0))</f>
        <v>0.05</v>
      </c>
      <c r="R7" s="76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2394000</v>
      </c>
      <c r="S7" s="30"/>
    </row>
    <row r="8" spans="2:19" ht="43.2" x14ac:dyDescent="0.3">
      <c r="B8" s="34" t="s">
        <v>45</v>
      </c>
      <c r="C8" s="26" t="s">
        <v>38</v>
      </c>
      <c r="D8" s="28" t="s">
        <v>77</v>
      </c>
      <c r="E8" s="29" t="s">
        <v>78</v>
      </c>
      <c r="F8" s="37" t="str">
        <f>_xlfn.XLOOKUP(Tabla27[[#This Row],[Nombre producto]],Productos!C:C,Productos!D:D, "Error",0,1)</f>
        <v>Water ORP sensor Modbus Range -1999mV～＋1999mV</v>
      </c>
      <c r="G8" s="26" t="str">
        <f>_xlfn.XLOOKUP(Tabla27[[#This Row],[Nombre producto]], Tabla32[Nombre producto], Tabla32[Tipo de moneda],"Error - agregue producto a Productos",0,1)</f>
        <v>USD</v>
      </c>
      <c r="H8" s="27">
        <f>_xlfn.XLOOKUP(Tabla27[[#This Row],[Nombre producto]], Tabla32[Nombre producto], Tabla32[Costo producto],"Error - agregue producto a Productos",0,1)</f>
        <v>118</v>
      </c>
      <c r="I8" s="47">
        <v>1</v>
      </c>
      <c r="J8" s="47">
        <f>_xlfn.XLOOKUP(Tabla27[[#This Row],[Nombre producto]], Tabla32[Nombre producto], Tabla32[Precio USD],"Error - agregue producto a Productos",0,1)</f>
        <v>306.8</v>
      </c>
      <c r="K8" s="47">
        <f>_xlfn.XLOOKUP(Tabla27[[#This Row],[Nombre producto]], Tabla32[Nombre producto], Tabla32[Precio CLP],"Error - agregue producto a Productos",0,1)</f>
        <v>291460</v>
      </c>
      <c r="L8" s="48">
        <f>_xlfn.XLOOKUP(Tabla27[[#This Row],[Nombre producto]], Tabla32[Nombre producto], Tabla32[Precio UF],"Error - agregue producto a Productos",0,1)</f>
        <v>7.5882861397790116</v>
      </c>
      <c r="M8" s="48">
        <f>_xlfn.XLOOKUP(Tabla27[[#This Row],[Nombre producto]], Tabla32[Nombre producto], Tabla32[Precio Euros],"Error - agregue producto a Productos",0,1)</f>
        <v>284.35121951219514</v>
      </c>
      <c r="N8" s="49">
        <f>_xlfn.XLOOKUP(Tabla27[[#This Row],[Nombre producto]],Productos!$C:$C,Productos!N:N, "Error",0,1)</f>
        <v>284.35121951219514</v>
      </c>
      <c r="O8" s="50" t="str">
        <f>_xlfn.XLOOKUP(Tabla27[[#This Row],[Nombre producto]],Productos!$C:$C,Productos!O:O, "Error",0,1)</f>
        <v>Honde Technology Co.</v>
      </c>
      <c r="P8" s="74" t="str">
        <f>_xlfn.XLOOKUP(Tabla27[[#This Row],[Tipo de venta]], Tabla2329[Tipo de venta], Tabla2329[Moneda final], "Error - Seleccionar Tipo de Venta", 0,1)</f>
        <v>USD</v>
      </c>
      <c r="Q8" s="74">
        <f>IF(Tabla27[[#This Row],[Moneda producto]]="USD",'Datos generales'!$G$3,IF(Tabla27[[#This Row],[Moneda producto]]="EUR",'Datos generales'!$G$3,0))</f>
        <v>0.05</v>
      </c>
      <c r="R8" s="76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322.14000000000004</v>
      </c>
    </row>
    <row r="9" spans="2:19" ht="43.2" x14ac:dyDescent="0.3">
      <c r="B9" s="34" t="s">
        <v>41</v>
      </c>
      <c r="C9" s="26" t="s">
        <v>51</v>
      </c>
      <c r="D9" s="28" t="s">
        <v>112</v>
      </c>
      <c r="E9" s="29" t="s">
        <v>56</v>
      </c>
      <c r="F9" s="37" t="str">
        <f>_xlfn.XLOOKUP(Tabla27[[#This Row],[Nombre producto]],Productos!C:C,Productos!D:D, "Error",0,1)</f>
        <v>Error</v>
      </c>
      <c r="G9" s="26" t="str">
        <f>_xlfn.XLOOKUP(Tabla27[[#This Row],[Nombre producto]], Tabla32[Nombre producto], Tabla32[Tipo de moneda],"Error - agregue producto a Productos",0,1)</f>
        <v>Error - agregue producto a Productos</v>
      </c>
      <c r="H9" s="41" t="str">
        <f>_xlfn.XLOOKUP(Tabla27[[#This Row],[Nombre producto]], Tabla32[Nombre producto], Tabla32[Costo producto],"Error - agregue producto a Productos",0,1)</f>
        <v>Error - agregue producto a Productos</v>
      </c>
      <c r="I9" s="41">
        <v>1</v>
      </c>
      <c r="J9" s="41" t="str">
        <f>_xlfn.XLOOKUP(Tabla27[[#This Row],[Nombre producto]], Tabla32[Nombre producto], Tabla32[Precio USD],"Error - agregue producto a Productos",0,1)</f>
        <v>Error - agregue producto a Productos</v>
      </c>
      <c r="K9" s="41" t="str">
        <f>_xlfn.XLOOKUP(Tabla27[[#This Row],[Nombre producto]], Tabla32[Nombre producto], Tabla32[Precio CLP],"Error - agregue producto a Productos",0,1)</f>
        <v>Error - agregue producto a Productos</v>
      </c>
      <c r="L9" s="41" t="str">
        <f>_xlfn.XLOOKUP(Tabla27[[#This Row],[Nombre producto]], Tabla32[Nombre producto], Tabla32[Precio UF],"Error - agregue producto a Productos",0,1)</f>
        <v>Error - agregue producto a Productos</v>
      </c>
      <c r="M9" s="41" t="str">
        <f>_xlfn.XLOOKUP(Tabla27[[#This Row],[Nombre producto]], Tabla32[Nombre producto], Tabla32[Precio Euros],"Error - agregue producto a Productos",0,1)</f>
        <v>Error - agregue producto a Productos</v>
      </c>
      <c r="N9" s="27" t="str">
        <f>_xlfn.XLOOKUP(Tabla27[[#This Row],[Nombre producto]],Productos!$C:$C,Productos!N:N, "Error",0,1)</f>
        <v>Error</v>
      </c>
      <c r="O9" s="27" t="str">
        <f>_xlfn.XLOOKUP(Tabla27[[#This Row],[Nombre producto]],Productos!$C:$C,Productos!O:O, "Error",0,1)</f>
        <v>Error</v>
      </c>
      <c r="P9" s="74" t="str">
        <f>_xlfn.XLOOKUP(Tabla27[[#This Row],[Tipo de venta]], Tabla2329[Tipo de venta], Tabla2329[Moneda final], "Error - Seleccionar Tipo de Venta", 0,1)</f>
        <v>CLP</v>
      </c>
      <c r="Q9" s="74">
        <f>IF(Tabla27[[#This Row],[Moneda producto]]="USD",'Datos generales'!$G$3,IF(Tabla27[[#This Row],[Moneda producto]]="EUR",'Datos generales'!$G$3,0))</f>
        <v>0</v>
      </c>
      <c r="R9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0" spans="2:19" ht="43.2" x14ac:dyDescent="0.3">
      <c r="B10" s="34"/>
      <c r="C10" s="26"/>
      <c r="D10" s="28" t="s">
        <v>112</v>
      </c>
      <c r="E10" s="56"/>
      <c r="F10" s="37">
        <f>_xlfn.XLOOKUP(Tabla27[[#This Row],[Nombre producto]],Productos!C:C,Productos!D:D, "Error",0,1)</f>
        <v>0</v>
      </c>
      <c r="G10" s="26" t="str">
        <f>_xlfn.XLOOKUP(Tabla27[[#This Row],[Nombre producto]], Tabla32[Nombre producto], Tabla32[Tipo de moneda],"Error - agregue producto a Productos",0,1)</f>
        <v>Error - agregue producto a Productos</v>
      </c>
      <c r="H10" s="27" t="str">
        <f>_xlfn.XLOOKUP(Tabla27[[#This Row],[Nombre producto]], Tabla32[Nombre producto], Tabla32[Costo producto],"Error - agregue producto a Productos",0,1)</f>
        <v>Error - agregue producto a Productos</v>
      </c>
      <c r="I10" s="47"/>
      <c r="J10" s="47" t="str">
        <f>_xlfn.XLOOKUP(Tabla27[[#This Row],[Nombre producto]], Tabla32[Nombre producto], Tabla32[Precio USD],"Error - agregue producto a Productos",0,1)</f>
        <v>Error - agregue producto a Productos</v>
      </c>
      <c r="K10" s="47" t="str">
        <f>_xlfn.XLOOKUP(Tabla27[[#This Row],[Nombre producto]], Tabla32[Nombre producto], Tabla32[Precio CLP],"Error - agregue producto a Productos",0,1)</f>
        <v>Error - agregue producto a Productos</v>
      </c>
      <c r="L10" s="48" t="str">
        <f>_xlfn.XLOOKUP(Tabla27[[#This Row],[Nombre producto]], Tabla32[Nombre producto], Tabla32[Precio UF],"Error - agregue producto a Productos",0,1)</f>
        <v>Error - agregue producto a Productos</v>
      </c>
      <c r="M10" s="48" t="str">
        <f>_xlfn.XLOOKUP(Tabla27[[#This Row],[Nombre producto]], Tabla32[Nombre producto], Tabla32[Precio Euros],"Error - agregue producto a Productos",0,1)</f>
        <v>Error - agregue producto a Productos</v>
      </c>
      <c r="N10" s="49">
        <f>_xlfn.XLOOKUP(Tabla27[[#This Row],[Nombre producto]],Productos!$C:$C,Productos!N:N, "Error",0,1)</f>
        <v>0</v>
      </c>
      <c r="O10" s="50">
        <f>_xlfn.XLOOKUP(Tabla27[[#This Row],[Nombre producto]],Productos!$C:$C,Productos!O:O, "Error",0,1)</f>
        <v>0</v>
      </c>
      <c r="P10" s="74" t="str">
        <f>_xlfn.XLOOKUP(Tabla27[[#This Row],[Tipo de venta]], Tabla2329[Tipo de venta], Tabla2329[Moneda final], "Error - Seleccionar Tipo de Venta", 0,1)</f>
        <v>Error - Seleccionar Tipo de Venta</v>
      </c>
      <c r="Q10" s="74">
        <f>IF(Tabla27[[#This Row],[Moneda producto]]="USD",'Datos generales'!$G$3,IF(Tabla27[[#This Row],[Moneda producto]]="EUR",'Datos generales'!$G$3,0))</f>
        <v>0</v>
      </c>
      <c r="R10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1" spans="2:19" ht="43.2" x14ac:dyDescent="0.3">
      <c r="B11" s="34"/>
      <c r="C11" s="26"/>
      <c r="D11" s="28"/>
      <c r="E11" s="29"/>
      <c r="F11" s="37">
        <f>_xlfn.XLOOKUP(Tabla27[[#This Row],[Nombre producto]],Productos!C:C,Productos!D:D, "Error",0,1)</f>
        <v>0</v>
      </c>
      <c r="G11" s="26" t="str">
        <f>_xlfn.XLOOKUP(Tabla27[[#This Row],[Nombre producto]], Tabla32[Nombre producto], Tabla32[Tipo de moneda],"Error - agregue producto a Productos",0,1)</f>
        <v>Error - agregue producto a Productos</v>
      </c>
      <c r="H11" s="27" t="str">
        <f>_xlfn.XLOOKUP(Tabla27[[#This Row],[Nombre producto]], Tabla32[Nombre producto], Tabla32[Costo producto],"Error - agregue producto a Productos",0,1)</f>
        <v>Error - agregue producto a Productos</v>
      </c>
      <c r="I11" s="47"/>
      <c r="J11" s="47" t="str">
        <f>_xlfn.XLOOKUP(Tabla27[[#This Row],[Nombre producto]], Tabla32[Nombre producto], Tabla32[Precio USD],"Error - agregue producto a Productos",0,1)</f>
        <v>Error - agregue producto a Productos</v>
      </c>
      <c r="K11" s="47" t="str">
        <f>_xlfn.XLOOKUP(Tabla27[[#This Row],[Nombre producto]], Tabla32[Nombre producto], Tabla32[Precio CLP],"Error - agregue producto a Productos",0,1)</f>
        <v>Error - agregue producto a Productos</v>
      </c>
      <c r="L11" s="48" t="str">
        <f>_xlfn.XLOOKUP(Tabla27[[#This Row],[Nombre producto]], Tabla32[Nombre producto], Tabla32[Precio UF],"Error - agregue producto a Productos",0,1)</f>
        <v>Error - agregue producto a Productos</v>
      </c>
      <c r="M11" s="48" t="str">
        <f>_xlfn.XLOOKUP(Tabla27[[#This Row],[Nombre producto]], Tabla32[Nombre producto], Tabla32[Precio Euros],"Error - agregue producto a Productos",0,1)</f>
        <v>Error - agregue producto a Productos</v>
      </c>
      <c r="N11" s="49">
        <f>_xlfn.XLOOKUP(Tabla27[[#This Row],[Nombre producto]],Productos!$C:$C,Productos!N:N, "Error",0,1)</f>
        <v>0</v>
      </c>
      <c r="O11" s="50">
        <f>_xlfn.XLOOKUP(Tabla27[[#This Row],[Nombre producto]],Productos!$C:$C,Productos!O:O, "Error",0,1)</f>
        <v>0</v>
      </c>
      <c r="P11" s="74" t="str">
        <f>_xlfn.XLOOKUP(Tabla27[[#This Row],[Tipo de venta]], Tabla2329[Tipo de venta], Tabla2329[Moneda final], "Error - Seleccionar Tipo de Venta", 0,1)</f>
        <v>Error - Seleccionar Tipo de Venta</v>
      </c>
      <c r="Q11" s="74">
        <f>IF(Tabla27[[#This Row],[Moneda producto]]="USD",'Datos generales'!$G$3,IF(Tabla27[[#This Row],[Moneda producto]]="EUR",'Datos generales'!$G$3,0))</f>
        <v>0</v>
      </c>
      <c r="R11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2" spans="2:19" ht="43.2" x14ac:dyDescent="0.3">
      <c r="B12" s="34"/>
      <c r="C12" s="26"/>
      <c r="D12" s="28"/>
      <c r="E12" s="29"/>
      <c r="F12" s="37">
        <f>_xlfn.XLOOKUP(Tabla27[[#This Row],[Nombre producto]],Productos!C:C,Productos!D:D, "Error",0,1)</f>
        <v>0</v>
      </c>
      <c r="G12" s="26" t="str">
        <f>_xlfn.XLOOKUP(Tabla27[[#This Row],[Nombre producto]], Tabla32[Nombre producto], Tabla32[Tipo de moneda],"Error - agregue producto a Productos",0,1)</f>
        <v>Error - agregue producto a Productos</v>
      </c>
      <c r="H12" s="27" t="str">
        <f>_xlfn.XLOOKUP(Tabla27[[#This Row],[Nombre producto]], Tabla32[Nombre producto], Tabla32[Costo producto],"Error - agregue producto a Productos",0,1)</f>
        <v>Error - agregue producto a Productos</v>
      </c>
      <c r="I12" s="47"/>
      <c r="J12" s="47" t="str">
        <f>_xlfn.XLOOKUP(Tabla27[[#This Row],[Nombre producto]], Tabla32[Nombre producto], Tabla32[Precio USD],"Error - agregue producto a Productos",0,1)</f>
        <v>Error - agregue producto a Productos</v>
      </c>
      <c r="K12" s="47" t="str">
        <f>_xlfn.XLOOKUP(Tabla27[[#This Row],[Nombre producto]], Tabla32[Nombre producto], Tabla32[Precio CLP],"Error - agregue producto a Productos",0,1)</f>
        <v>Error - agregue producto a Productos</v>
      </c>
      <c r="L12" s="48" t="str">
        <f>_xlfn.XLOOKUP(Tabla27[[#This Row],[Nombre producto]], Tabla32[Nombre producto], Tabla32[Precio UF],"Error - agregue producto a Productos",0,1)</f>
        <v>Error - agregue producto a Productos</v>
      </c>
      <c r="M12" s="48" t="str">
        <f>_xlfn.XLOOKUP(Tabla27[[#This Row],[Nombre producto]], Tabla32[Nombre producto], Tabla32[Precio Euros],"Error - agregue producto a Productos",0,1)</f>
        <v>Error - agregue producto a Productos</v>
      </c>
      <c r="N12" s="49">
        <f>_xlfn.XLOOKUP(Tabla27[[#This Row],[Nombre producto]],Productos!$C:$C,Productos!N:N, "Error",0,1)</f>
        <v>0</v>
      </c>
      <c r="O12" s="50">
        <f>_xlfn.XLOOKUP(Tabla27[[#This Row],[Nombre producto]],Productos!$C:$C,Productos!O:O, "Error",0,1)</f>
        <v>0</v>
      </c>
      <c r="P12" s="74" t="str">
        <f>_xlfn.XLOOKUP(Tabla27[[#This Row],[Tipo de venta]], Tabla2329[Tipo de venta], Tabla2329[Moneda final], "Error - Seleccionar Tipo de Venta", 0,1)</f>
        <v>Error - Seleccionar Tipo de Venta</v>
      </c>
      <c r="Q12" s="74">
        <f>IF(Tabla27[[#This Row],[Moneda producto]]="USD",'Datos generales'!$G$3,IF(Tabla27[[#This Row],[Moneda producto]]="EUR",'Datos generales'!$G$3,0))</f>
        <v>0</v>
      </c>
      <c r="R12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3" spans="2:19" ht="43.2" x14ac:dyDescent="0.3">
      <c r="B13" s="34"/>
      <c r="C13" s="26"/>
      <c r="D13" s="28"/>
      <c r="E13" s="29"/>
      <c r="F13" s="37">
        <f>_xlfn.XLOOKUP(Tabla27[[#This Row],[Nombre producto]],Productos!C:C,Productos!D:D, "Error",0,1)</f>
        <v>0</v>
      </c>
      <c r="G13" s="26" t="str">
        <f>_xlfn.XLOOKUP(Tabla27[[#This Row],[Nombre producto]], Tabla32[Nombre producto], Tabla32[Tipo de moneda],"Error - agregue producto a Productos",0,1)</f>
        <v>Error - agregue producto a Productos</v>
      </c>
      <c r="H13" s="27" t="str">
        <f>_xlfn.XLOOKUP(Tabla27[[#This Row],[Nombre producto]], Tabla32[Nombre producto], Tabla32[Costo producto],"Error - agregue producto a Productos",0,1)</f>
        <v>Error - agregue producto a Productos</v>
      </c>
      <c r="I13" s="47"/>
      <c r="J13" s="47" t="str">
        <f>_xlfn.XLOOKUP(Tabla27[[#This Row],[Nombre producto]], Tabla32[Nombre producto], Tabla32[Precio USD],"Error - agregue producto a Productos",0,1)</f>
        <v>Error - agregue producto a Productos</v>
      </c>
      <c r="K13" s="47" t="str">
        <f>_xlfn.XLOOKUP(Tabla27[[#This Row],[Nombre producto]], Tabla32[Nombre producto], Tabla32[Precio CLP],"Error - agregue producto a Productos",0,1)</f>
        <v>Error - agregue producto a Productos</v>
      </c>
      <c r="L13" s="48" t="str">
        <f>_xlfn.XLOOKUP(Tabla27[[#This Row],[Nombre producto]], Tabla32[Nombre producto], Tabla32[Precio UF],"Error - agregue producto a Productos",0,1)</f>
        <v>Error - agregue producto a Productos</v>
      </c>
      <c r="M13" s="48" t="str">
        <f>_xlfn.XLOOKUP(Tabla27[[#This Row],[Nombre producto]], Tabla32[Nombre producto], Tabla32[Precio Euros],"Error - agregue producto a Productos",0,1)</f>
        <v>Error - agregue producto a Productos</v>
      </c>
      <c r="N13" s="49">
        <f>_xlfn.XLOOKUP(Tabla27[[#This Row],[Nombre producto]],Productos!$C:$C,Productos!N:N, "Error",0,1)</f>
        <v>0</v>
      </c>
      <c r="O13" s="50">
        <f>_xlfn.XLOOKUP(Tabla27[[#This Row],[Nombre producto]],Productos!$C:$C,Productos!O:O, "Error",0,1)</f>
        <v>0</v>
      </c>
      <c r="P13" s="74" t="str">
        <f>_xlfn.XLOOKUP(Tabla27[[#This Row],[Tipo de venta]], Tabla2329[Tipo de venta], Tabla2329[Moneda final], "Error - Seleccionar Tipo de Venta", 0,1)</f>
        <v>Error - Seleccionar Tipo de Venta</v>
      </c>
      <c r="Q13" s="74">
        <f>IF(Tabla27[[#This Row],[Moneda producto]]="USD",'Datos generales'!$G$3,IF(Tabla27[[#This Row],[Moneda producto]]="EUR",'Datos generales'!$G$3,0))</f>
        <v>0</v>
      </c>
      <c r="R13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4" spans="2:19" ht="43.2" x14ac:dyDescent="0.3">
      <c r="B14" s="34"/>
      <c r="C14" s="26"/>
      <c r="D14" s="28"/>
      <c r="E14" s="29"/>
      <c r="F14" s="37">
        <f>_xlfn.XLOOKUP(Tabla27[[#This Row],[Nombre producto]],Productos!C:C,Productos!D:D, "Error",0,1)</f>
        <v>0</v>
      </c>
      <c r="G14" s="26" t="str">
        <f>_xlfn.XLOOKUP(Tabla27[[#This Row],[Nombre producto]], Tabla32[Nombre producto], Tabla32[Tipo de moneda],"Error - agregue producto a Productos",0,1)</f>
        <v>Error - agregue producto a Productos</v>
      </c>
      <c r="H14" s="27" t="str">
        <f>_xlfn.XLOOKUP(Tabla27[[#This Row],[Nombre producto]], Tabla32[Nombre producto], Tabla32[Costo producto],"Error - agregue producto a Productos",0,1)</f>
        <v>Error - agregue producto a Productos</v>
      </c>
      <c r="I14" s="47"/>
      <c r="J14" s="47" t="str">
        <f>_xlfn.XLOOKUP(Tabla27[[#This Row],[Nombre producto]], Tabla32[Nombre producto], Tabla32[Precio USD],"Error - agregue producto a Productos",0,1)</f>
        <v>Error - agregue producto a Productos</v>
      </c>
      <c r="K14" s="47" t="str">
        <f>_xlfn.XLOOKUP(Tabla27[[#This Row],[Nombre producto]], Tabla32[Nombre producto], Tabla32[Precio CLP],"Error - agregue producto a Productos",0,1)</f>
        <v>Error - agregue producto a Productos</v>
      </c>
      <c r="L14" s="48" t="str">
        <f>_xlfn.XLOOKUP(Tabla27[[#This Row],[Nombre producto]], Tabla32[Nombre producto], Tabla32[Precio UF],"Error - agregue producto a Productos",0,1)</f>
        <v>Error - agregue producto a Productos</v>
      </c>
      <c r="M14" s="48" t="str">
        <f>_xlfn.XLOOKUP(Tabla27[[#This Row],[Nombre producto]], Tabla32[Nombre producto], Tabla32[Precio Euros],"Error - agregue producto a Productos",0,1)</f>
        <v>Error - agregue producto a Productos</v>
      </c>
      <c r="N14" s="49">
        <f>_xlfn.XLOOKUP(Tabla27[[#This Row],[Nombre producto]],Productos!$C:$C,Productos!N:N, "Error",0,1)</f>
        <v>0</v>
      </c>
      <c r="O14" s="50">
        <f>_xlfn.XLOOKUP(Tabla27[[#This Row],[Nombre producto]],Productos!$C:$C,Productos!O:O, "Error",0,1)</f>
        <v>0</v>
      </c>
      <c r="P14" s="74" t="str">
        <f>_xlfn.XLOOKUP(Tabla27[[#This Row],[Tipo de venta]], Tabla2329[Tipo de venta], Tabla2329[Moneda final], "Error - Seleccionar Tipo de Venta", 0,1)</f>
        <v>Error - Seleccionar Tipo de Venta</v>
      </c>
      <c r="Q14" s="74">
        <f>IF(Tabla27[[#This Row],[Moneda producto]]="USD",'Datos generales'!$G$3,IF(Tabla27[[#This Row],[Moneda producto]]="EUR",'Datos generales'!$G$3,0))</f>
        <v>0</v>
      </c>
      <c r="R14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5" spans="2:19" ht="43.2" x14ac:dyDescent="0.3">
      <c r="B15" s="34"/>
      <c r="C15" s="26"/>
      <c r="D15" s="28"/>
      <c r="E15" s="29"/>
      <c r="F15" s="37">
        <f>_xlfn.XLOOKUP(Tabla27[[#This Row],[Nombre producto]],Productos!C:C,Productos!D:D, "Error",0,1)</f>
        <v>0</v>
      </c>
      <c r="G15" s="26" t="str">
        <f>_xlfn.XLOOKUP(Tabla27[[#This Row],[Nombre producto]], Tabla32[Nombre producto], Tabla32[Tipo de moneda],"Error - agregue producto a Productos",0,1)</f>
        <v>Error - agregue producto a Productos</v>
      </c>
      <c r="H15" s="27" t="str">
        <f>_xlfn.XLOOKUP(Tabla27[[#This Row],[Nombre producto]], Tabla32[Nombre producto], Tabla32[Costo producto],"Error - agregue producto a Productos",0,1)</f>
        <v>Error - agregue producto a Productos</v>
      </c>
      <c r="I15" s="47"/>
      <c r="J15" s="47" t="str">
        <f>_xlfn.XLOOKUP(Tabla27[[#This Row],[Nombre producto]], Tabla32[Nombre producto], Tabla32[Precio USD],"Error - agregue producto a Productos",0,1)</f>
        <v>Error - agregue producto a Productos</v>
      </c>
      <c r="K15" s="47" t="str">
        <f>_xlfn.XLOOKUP(Tabla27[[#This Row],[Nombre producto]], Tabla32[Nombre producto], Tabla32[Precio CLP],"Error - agregue producto a Productos",0,1)</f>
        <v>Error - agregue producto a Productos</v>
      </c>
      <c r="L15" s="48" t="str">
        <f>_xlfn.XLOOKUP(Tabla27[[#This Row],[Nombre producto]], Tabla32[Nombre producto], Tabla32[Precio UF],"Error - agregue producto a Productos",0,1)</f>
        <v>Error - agregue producto a Productos</v>
      </c>
      <c r="M15" s="48" t="str">
        <f>_xlfn.XLOOKUP(Tabla27[[#This Row],[Nombre producto]], Tabla32[Nombre producto], Tabla32[Precio Euros],"Error - agregue producto a Productos",0,1)</f>
        <v>Error - agregue producto a Productos</v>
      </c>
      <c r="N15" s="49">
        <f>_xlfn.XLOOKUP(Tabla27[[#This Row],[Nombre producto]],Productos!$C:$C,Productos!N:N, "Error",0,1)</f>
        <v>0</v>
      </c>
      <c r="O15" s="50">
        <f>_xlfn.XLOOKUP(Tabla27[[#This Row],[Nombre producto]],Productos!$C:$C,Productos!O:O, "Error",0,1)</f>
        <v>0</v>
      </c>
      <c r="P15" s="74" t="str">
        <f>_xlfn.XLOOKUP(Tabla27[[#This Row],[Tipo de venta]], Tabla2329[Tipo de venta], Tabla2329[Moneda final], "Error - Seleccionar Tipo de Venta", 0,1)</f>
        <v>Error - Seleccionar Tipo de Venta</v>
      </c>
      <c r="Q15" s="74">
        <f>IF(Tabla27[[#This Row],[Moneda producto]]="USD",'Datos generales'!$G$3,IF(Tabla27[[#This Row],[Moneda producto]]="EUR",'Datos generales'!$G$3,0))</f>
        <v>0</v>
      </c>
      <c r="R15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6" spans="2:19" ht="43.2" x14ac:dyDescent="0.3">
      <c r="B16" s="34"/>
      <c r="C16" s="26"/>
      <c r="D16" s="28"/>
      <c r="E16" s="29"/>
      <c r="F16" s="37">
        <f>_xlfn.XLOOKUP(Tabla27[[#This Row],[Nombre producto]],Productos!C:C,Productos!D:D, "Error",0,1)</f>
        <v>0</v>
      </c>
      <c r="G16" s="26" t="str">
        <f>_xlfn.XLOOKUP(Tabla27[[#This Row],[Nombre producto]], Tabla32[Nombre producto], Tabla32[Tipo de moneda],"Error - agregue producto a Productos",0,1)</f>
        <v>Error - agregue producto a Productos</v>
      </c>
      <c r="H16" s="27" t="str">
        <f>_xlfn.XLOOKUP(Tabla27[[#This Row],[Nombre producto]], Tabla32[Nombre producto], Tabla32[Costo producto],"Error - agregue producto a Productos",0,1)</f>
        <v>Error - agregue producto a Productos</v>
      </c>
      <c r="I16" s="47"/>
      <c r="J16" s="47" t="str">
        <f>_xlfn.XLOOKUP(Tabla27[[#This Row],[Nombre producto]], Tabla32[Nombre producto], Tabla32[Precio USD],"Error - agregue producto a Productos",0,1)</f>
        <v>Error - agregue producto a Productos</v>
      </c>
      <c r="K16" s="47" t="str">
        <f>_xlfn.XLOOKUP(Tabla27[[#This Row],[Nombre producto]], Tabla32[Nombre producto], Tabla32[Precio CLP],"Error - agregue producto a Productos",0,1)</f>
        <v>Error - agregue producto a Productos</v>
      </c>
      <c r="L16" s="48" t="str">
        <f>_xlfn.XLOOKUP(Tabla27[[#This Row],[Nombre producto]], Tabla32[Nombre producto], Tabla32[Precio UF],"Error - agregue producto a Productos",0,1)</f>
        <v>Error - agregue producto a Productos</v>
      </c>
      <c r="M16" s="48" t="str">
        <f>_xlfn.XLOOKUP(Tabla27[[#This Row],[Nombre producto]], Tabla32[Nombre producto], Tabla32[Precio Euros],"Error - agregue producto a Productos",0,1)</f>
        <v>Error - agregue producto a Productos</v>
      </c>
      <c r="N16" s="49">
        <f>_xlfn.XLOOKUP(Tabla27[[#This Row],[Nombre producto]],Productos!$C:$C,Productos!N:N, "Error",0,1)</f>
        <v>0</v>
      </c>
      <c r="O16" s="50">
        <f>_xlfn.XLOOKUP(Tabla27[[#This Row],[Nombre producto]],Productos!$C:$C,Productos!O:O, "Error",0,1)</f>
        <v>0</v>
      </c>
      <c r="P16" s="74" t="str">
        <f>_xlfn.XLOOKUP(Tabla27[[#This Row],[Tipo de venta]], Tabla2329[Tipo de venta], Tabla2329[Moneda final], "Error - Seleccionar Tipo de Venta", 0,1)</f>
        <v>Error - Seleccionar Tipo de Venta</v>
      </c>
      <c r="Q16" s="74">
        <f>IF(Tabla27[[#This Row],[Moneda producto]]="USD",'Datos generales'!$G$3,IF(Tabla27[[#This Row],[Moneda producto]]="EUR",'Datos generales'!$G$3,0))</f>
        <v>0</v>
      </c>
      <c r="R16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7" spans="2:18" ht="43.2" x14ac:dyDescent="0.3">
      <c r="B17" s="34"/>
      <c r="C17" s="26"/>
      <c r="D17" s="28"/>
      <c r="E17" s="29"/>
      <c r="F17" s="37">
        <f>_xlfn.XLOOKUP(Tabla27[[#This Row],[Nombre producto]],Productos!C:C,Productos!D:D, "Error",0,1)</f>
        <v>0</v>
      </c>
      <c r="G17" s="26" t="str">
        <f>_xlfn.XLOOKUP(Tabla27[[#This Row],[Nombre producto]], Tabla32[Nombre producto], Tabla32[Tipo de moneda],"Error - agregue producto a Productos",0,1)</f>
        <v>Error - agregue producto a Productos</v>
      </c>
      <c r="H17" s="27" t="str">
        <f>_xlfn.XLOOKUP(Tabla27[[#This Row],[Nombre producto]], Tabla32[Nombre producto], Tabla32[Costo producto],"Error - agregue producto a Productos",0,1)</f>
        <v>Error - agregue producto a Productos</v>
      </c>
      <c r="I17" s="47"/>
      <c r="J17" s="47" t="str">
        <f>_xlfn.XLOOKUP(Tabla27[[#This Row],[Nombre producto]], Tabla32[Nombre producto], Tabla32[Precio USD],"Error - agregue producto a Productos",0,1)</f>
        <v>Error - agregue producto a Productos</v>
      </c>
      <c r="K17" s="47" t="str">
        <f>_xlfn.XLOOKUP(Tabla27[[#This Row],[Nombre producto]], Tabla32[Nombre producto], Tabla32[Precio CLP],"Error - agregue producto a Productos",0,1)</f>
        <v>Error - agregue producto a Productos</v>
      </c>
      <c r="L17" s="48" t="str">
        <f>_xlfn.XLOOKUP(Tabla27[[#This Row],[Nombre producto]], Tabla32[Nombre producto], Tabla32[Precio UF],"Error - agregue producto a Productos",0,1)</f>
        <v>Error - agregue producto a Productos</v>
      </c>
      <c r="M17" s="48" t="str">
        <f>_xlfn.XLOOKUP(Tabla27[[#This Row],[Nombre producto]], Tabla32[Nombre producto], Tabla32[Precio Euros],"Error - agregue producto a Productos",0,1)</f>
        <v>Error - agregue producto a Productos</v>
      </c>
      <c r="N17" s="49">
        <f>_xlfn.XLOOKUP(Tabla27[[#This Row],[Nombre producto]],Productos!$C:$C,Productos!N:N, "Error",0,1)</f>
        <v>0</v>
      </c>
      <c r="O17" s="50">
        <f>_xlfn.XLOOKUP(Tabla27[[#This Row],[Nombre producto]],Productos!$C:$C,Productos!O:O, "Error",0,1)</f>
        <v>0</v>
      </c>
      <c r="P17" s="74" t="str">
        <f>_xlfn.XLOOKUP(Tabla27[[#This Row],[Tipo de venta]], Tabla2329[Tipo de venta], Tabla2329[Moneda final], "Error - Seleccionar Tipo de Venta", 0,1)</f>
        <v>Error - Seleccionar Tipo de Venta</v>
      </c>
      <c r="Q17" s="74">
        <f>IF(Tabla27[[#This Row],[Moneda producto]]="USD",'Datos generales'!$G$3,IF(Tabla27[[#This Row],[Moneda producto]]="EUR",'Datos generales'!$G$3,0))</f>
        <v>0</v>
      </c>
      <c r="R17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8" spans="2:18" ht="43.2" x14ac:dyDescent="0.3">
      <c r="B18" s="34"/>
      <c r="C18" s="26"/>
      <c r="D18" s="28"/>
      <c r="E18" s="29"/>
      <c r="F18" s="37">
        <f>_xlfn.XLOOKUP(Tabla27[[#This Row],[Nombre producto]],Productos!C:C,Productos!D:D, "Error",0,1)</f>
        <v>0</v>
      </c>
      <c r="G18" s="26" t="str">
        <f>_xlfn.XLOOKUP(Tabla27[[#This Row],[Nombre producto]], Tabla32[Nombre producto], Tabla32[Tipo de moneda],"Error - agregue producto a Productos",0,1)</f>
        <v>Error - agregue producto a Productos</v>
      </c>
      <c r="H18" s="27" t="str">
        <f>_xlfn.XLOOKUP(Tabla27[[#This Row],[Nombre producto]], Tabla32[Nombre producto], Tabla32[Costo producto],"Error - agregue producto a Productos",0,1)</f>
        <v>Error - agregue producto a Productos</v>
      </c>
      <c r="I18" s="47"/>
      <c r="J18" s="47" t="str">
        <f>_xlfn.XLOOKUP(Tabla27[[#This Row],[Nombre producto]], Tabla32[Nombre producto], Tabla32[Precio USD],"Error - agregue producto a Productos",0,1)</f>
        <v>Error - agregue producto a Productos</v>
      </c>
      <c r="K18" s="47" t="str">
        <f>_xlfn.XLOOKUP(Tabla27[[#This Row],[Nombre producto]], Tabla32[Nombre producto], Tabla32[Precio CLP],"Error - agregue producto a Productos",0,1)</f>
        <v>Error - agregue producto a Productos</v>
      </c>
      <c r="L18" s="48" t="str">
        <f>_xlfn.XLOOKUP(Tabla27[[#This Row],[Nombre producto]], Tabla32[Nombre producto], Tabla32[Precio UF],"Error - agregue producto a Productos",0,1)</f>
        <v>Error - agregue producto a Productos</v>
      </c>
      <c r="M18" s="48" t="str">
        <f>_xlfn.XLOOKUP(Tabla27[[#This Row],[Nombre producto]], Tabla32[Nombre producto], Tabla32[Precio Euros],"Error - agregue producto a Productos",0,1)</f>
        <v>Error - agregue producto a Productos</v>
      </c>
      <c r="N18" s="49">
        <f>_xlfn.XLOOKUP(Tabla27[[#This Row],[Nombre producto]],Productos!$C:$C,Productos!N:N, "Error",0,1)</f>
        <v>0</v>
      </c>
      <c r="O18" s="50">
        <f>_xlfn.XLOOKUP(Tabla27[[#This Row],[Nombre producto]],Productos!$C:$C,Productos!O:O, "Error",0,1)</f>
        <v>0</v>
      </c>
      <c r="P18" s="74" t="str">
        <f>_xlfn.XLOOKUP(Tabla27[[#This Row],[Tipo de venta]], Tabla2329[Tipo de venta], Tabla2329[Moneda final], "Error - Seleccionar Tipo de Venta", 0,1)</f>
        <v>Error - Seleccionar Tipo de Venta</v>
      </c>
      <c r="Q18" s="74">
        <f>IF(Tabla27[[#This Row],[Moneda producto]]="USD",'Datos generales'!$G$3,IF(Tabla27[[#This Row],[Moneda producto]]="EUR",'Datos generales'!$G$3,0))</f>
        <v>0</v>
      </c>
      <c r="R18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19" spans="2:18" ht="43.2" x14ac:dyDescent="0.3">
      <c r="B19" s="34"/>
      <c r="C19" s="26"/>
      <c r="D19" s="28"/>
      <c r="E19" s="29"/>
      <c r="F19" s="37">
        <f>_xlfn.XLOOKUP(Tabla27[[#This Row],[Nombre producto]],Productos!C:C,Productos!D:D, "Error",0,1)</f>
        <v>0</v>
      </c>
      <c r="G19" s="26" t="str">
        <f>_xlfn.XLOOKUP(Tabla27[[#This Row],[Nombre producto]], Tabla32[Nombre producto], Tabla32[Tipo de moneda],"Error - agregue producto a Productos",0,1)</f>
        <v>Error - agregue producto a Productos</v>
      </c>
      <c r="H19" s="27" t="str">
        <f>_xlfn.XLOOKUP(Tabla27[[#This Row],[Nombre producto]], Tabla32[Nombre producto], Tabla32[Costo producto],"Error - agregue producto a Productos",0,1)</f>
        <v>Error - agregue producto a Productos</v>
      </c>
      <c r="I19" s="47"/>
      <c r="J19" s="47" t="str">
        <f>_xlfn.XLOOKUP(Tabla27[[#This Row],[Nombre producto]], Tabla32[Nombre producto], Tabla32[Precio USD],"Error - agregue producto a Productos",0,1)</f>
        <v>Error - agregue producto a Productos</v>
      </c>
      <c r="K19" s="47" t="str">
        <f>_xlfn.XLOOKUP(Tabla27[[#This Row],[Nombre producto]], Tabla32[Nombre producto], Tabla32[Precio CLP],"Error - agregue producto a Productos",0,1)</f>
        <v>Error - agregue producto a Productos</v>
      </c>
      <c r="L19" s="48" t="str">
        <f>_xlfn.XLOOKUP(Tabla27[[#This Row],[Nombre producto]], Tabla32[Nombre producto], Tabla32[Precio UF],"Error - agregue producto a Productos",0,1)</f>
        <v>Error - agregue producto a Productos</v>
      </c>
      <c r="M19" s="48" t="str">
        <f>_xlfn.XLOOKUP(Tabla27[[#This Row],[Nombre producto]], Tabla32[Nombre producto], Tabla32[Precio Euros],"Error - agregue producto a Productos",0,1)</f>
        <v>Error - agregue producto a Productos</v>
      </c>
      <c r="N19" s="49">
        <f>_xlfn.XLOOKUP(Tabla27[[#This Row],[Nombre producto]],Productos!$C:$C,Productos!N:N, "Error",0,1)</f>
        <v>0</v>
      </c>
      <c r="O19" s="50">
        <f>_xlfn.XLOOKUP(Tabla27[[#This Row],[Nombre producto]],Productos!$C:$C,Productos!O:O, "Error",0,1)</f>
        <v>0</v>
      </c>
      <c r="P19" s="74" t="str">
        <f>_xlfn.XLOOKUP(Tabla27[[#This Row],[Tipo de venta]], Tabla2329[Tipo de venta], Tabla2329[Moneda final], "Error - Seleccionar Tipo de Venta", 0,1)</f>
        <v>Error - Seleccionar Tipo de Venta</v>
      </c>
      <c r="Q19" s="74">
        <f>IF(Tabla27[[#This Row],[Moneda producto]]="USD",'Datos generales'!$G$3,IF(Tabla27[[#This Row],[Moneda producto]]="EUR",'Datos generales'!$G$3,0))</f>
        <v>0</v>
      </c>
      <c r="R19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0" spans="2:18" ht="43.2" x14ac:dyDescent="0.3">
      <c r="B20" s="34"/>
      <c r="C20" s="26"/>
      <c r="D20" s="28"/>
      <c r="E20" s="29"/>
      <c r="F20" s="37">
        <f>_xlfn.XLOOKUP(Tabla27[[#This Row],[Nombre producto]],Productos!C:C,Productos!D:D, "Error",0,1)</f>
        <v>0</v>
      </c>
      <c r="G20" s="26" t="str">
        <f>_xlfn.XLOOKUP(Tabla27[[#This Row],[Nombre producto]], Tabla32[Nombre producto], Tabla32[Tipo de moneda],"Error - agregue producto a Productos",0,1)</f>
        <v>Error - agregue producto a Productos</v>
      </c>
      <c r="H20" s="27" t="str">
        <f>_xlfn.XLOOKUP(Tabla27[[#This Row],[Nombre producto]], Tabla32[Nombre producto], Tabla32[Costo producto],"Error - agregue producto a Productos",0,1)</f>
        <v>Error - agregue producto a Productos</v>
      </c>
      <c r="I20" s="47"/>
      <c r="J20" s="47" t="str">
        <f>_xlfn.XLOOKUP(Tabla27[[#This Row],[Nombre producto]], Tabla32[Nombre producto], Tabla32[Precio USD],"Error - agregue producto a Productos",0,1)</f>
        <v>Error - agregue producto a Productos</v>
      </c>
      <c r="K20" s="47" t="str">
        <f>_xlfn.XLOOKUP(Tabla27[[#This Row],[Nombre producto]], Tabla32[Nombre producto], Tabla32[Precio CLP],"Error - agregue producto a Productos",0,1)</f>
        <v>Error - agregue producto a Productos</v>
      </c>
      <c r="L20" s="48" t="str">
        <f>_xlfn.XLOOKUP(Tabla27[[#This Row],[Nombre producto]], Tabla32[Nombre producto], Tabla32[Precio UF],"Error - agregue producto a Productos",0,1)</f>
        <v>Error - agregue producto a Productos</v>
      </c>
      <c r="M20" s="48" t="str">
        <f>_xlfn.XLOOKUP(Tabla27[[#This Row],[Nombre producto]], Tabla32[Nombre producto], Tabla32[Precio Euros],"Error - agregue producto a Productos",0,1)</f>
        <v>Error - agregue producto a Productos</v>
      </c>
      <c r="N20" s="49">
        <f>_xlfn.XLOOKUP(Tabla27[[#This Row],[Nombre producto]],Productos!$C:$C,Productos!N:N, "Error",0,1)</f>
        <v>0</v>
      </c>
      <c r="O20" s="50">
        <f>_xlfn.XLOOKUP(Tabla27[[#This Row],[Nombre producto]],Productos!$C:$C,Productos!O:O, "Error",0,1)</f>
        <v>0</v>
      </c>
      <c r="P20" s="74" t="str">
        <f>_xlfn.XLOOKUP(Tabla27[[#This Row],[Tipo de venta]], Tabla2329[Tipo de venta], Tabla2329[Moneda final], "Error - Seleccionar Tipo de Venta", 0,1)</f>
        <v>Error - Seleccionar Tipo de Venta</v>
      </c>
      <c r="Q20" s="74">
        <f>IF(Tabla27[[#This Row],[Moneda producto]]="USD",'Datos generales'!$G$3,IF(Tabla27[[#This Row],[Moneda producto]]="EUR",'Datos generales'!$G$3,0))</f>
        <v>0</v>
      </c>
      <c r="R20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1" spans="2:18" ht="43.2" x14ac:dyDescent="0.3">
      <c r="B21" s="34"/>
      <c r="C21" s="26"/>
      <c r="D21" s="28"/>
      <c r="E21" s="29"/>
      <c r="F21" s="37">
        <f>_xlfn.XLOOKUP(Tabla27[[#This Row],[Nombre producto]],Productos!C:C,Productos!D:D, "Error",0,1)</f>
        <v>0</v>
      </c>
      <c r="G21" s="26" t="str">
        <f>_xlfn.XLOOKUP(Tabla27[[#This Row],[Nombre producto]], Tabla32[Nombre producto], Tabla32[Tipo de moneda],"Error - agregue producto a Productos",0,1)</f>
        <v>Error - agregue producto a Productos</v>
      </c>
      <c r="H21" s="27" t="str">
        <f>_xlfn.XLOOKUP(Tabla27[[#This Row],[Nombre producto]], Tabla32[Nombre producto], Tabla32[Costo producto],"Error - agregue producto a Productos",0,1)</f>
        <v>Error - agregue producto a Productos</v>
      </c>
      <c r="I21" s="47"/>
      <c r="J21" s="47" t="str">
        <f>_xlfn.XLOOKUP(Tabla27[[#This Row],[Nombre producto]], Tabla32[Nombre producto], Tabla32[Precio USD],"Error - agregue producto a Productos",0,1)</f>
        <v>Error - agregue producto a Productos</v>
      </c>
      <c r="K21" s="47" t="str">
        <f>_xlfn.XLOOKUP(Tabla27[[#This Row],[Nombre producto]], Tabla32[Nombre producto], Tabla32[Precio CLP],"Error - agregue producto a Productos",0,1)</f>
        <v>Error - agregue producto a Productos</v>
      </c>
      <c r="L21" s="48" t="str">
        <f>_xlfn.XLOOKUP(Tabla27[[#This Row],[Nombre producto]], Tabla32[Nombre producto], Tabla32[Precio UF],"Error - agregue producto a Productos",0,1)</f>
        <v>Error - agregue producto a Productos</v>
      </c>
      <c r="M21" s="48" t="str">
        <f>_xlfn.XLOOKUP(Tabla27[[#This Row],[Nombre producto]], Tabla32[Nombre producto], Tabla32[Precio Euros],"Error - agregue producto a Productos",0,1)</f>
        <v>Error - agregue producto a Productos</v>
      </c>
      <c r="N21" s="49">
        <f>_xlfn.XLOOKUP(Tabla27[[#This Row],[Nombre producto]],Productos!$C:$C,Productos!N:N, "Error",0,1)</f>
        <v>0</v>
      </c>
      <c r="O21" s="50">
        <f>_xlfn.XLOOKUP(Tabla27[[#This Row],[Nombre producto]],Productos!$C:$C,Productos!O:O, "Error",0,1)</f>
        <v>0</v>
      </c>
      <c r="P21" s="74" t="str">
        <f>_xlfn.XLOOKUP(Tabla27[[#This Row],[Tipo de venta]], Tabla2329[Tipo de venta], Tabla2329[Moneda final], "Error - Seleccionar Tipo de Venta", 0,1)</f>
        <v>Error - Seleccionar Tipo de Venta</v>
      </c>
      <c r="Q21" s="74">
        <f>IF(Tabla27[[#This Row],[Moneda producto]]="USD",'Datos generales'!$G$3,IF(Tabla27[[#This Row],[Moneda producto]]="EUR",'Datos generales'!$G$3,0))</f>
        <v>0</v>
      </c>
      <c r="R21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2" spans="2:18" ht="43.2" x14ac:dyDescent="0.3">
      <c r="B22" s="34"/>
      <c r="C22" s="26"/>
      <c r="D22" s="28"/>
      <c r="E22" s="29"/>
      <c r="F22" s="37">
        <f>_xlfn.XLOOKUP(Tabla27[[#This Row],[Nombre producto]],Productos!C:C,Productos!D:D, "Error",0,1)</f>
        <v>0</v>
      </c>
      <c r="G22" s="26" t="str">
        <f>_xlfn.XLOOKUP(Tabla27[[#This Row],[Nombre producto]], Tabla32[Nombre producto], Tabla32[Tipo de moneda],"Error - agregue producto a Productos",0,1)</f>
        <v>Error - agregue producto a Productos</v>
      </c>
      <c r="H22" s="27" t="str">
        <f>_xlfn.XLOOKUP(Tabla27[[#This Row],[Nombre producto]], Tabla32[Nombre producto], Tabla32[Costo producto],"Error - agregue producto a Productos",0,1)</f>
        <v>Error - agregue producto a Productos</v>
      </c>
      <c r="I22" s="47"/>
      <c r="J22" s="47" t="str">
        <f>_xlfn.XLOOKUP(Tabla27[[#This Row],[Nombre producto]], Tabla32[Nombre producto], Tabla32[Precio USD],"Error - agregue producto a Productos",0,1)</f>
        <v>Error - agregue producto a Productos</v>
      </c>
      <c r="K22" s="47" t="str">
        <f>_xlfn.XLOOKUP(Tabla27[[#This Row],[Nombre producto]], Tabla32[Nombre producto], Tabla32[Precio CLP],"Error - agregue producto a Productos",0,1)</f>
        <v>Error - agregue producto a Productos</v>
      </c>
      <c r="L22" s="48" t="str">
        <f>_xlfn.XLOOKUP(Tabla27[[#This Row],[Nombre producto]], Tabla32[Nombre producto], Tabla32[Precio UF],"Error - agregue producto a Productos",0,1)</f>
        <v>Error - agregue producto a Productos</v>
      </c>
      <c r="M22" s="48" t="str">
        <f>_xlfn.XLOOKUP(Tabla27[[#This Row],[Nombre producto]], Tabla32[Nombre producto], Tabla32[Precio Euros],"Error - agregue producto a Productos",0,1)</f>
        <v>Error - agregue producto a Productos</v>
      </c>
      <c r="N22" s="49">
        <f>_xlfn.XLOOKUP(Tabla27[[#This Row],[Nombre producto]],Productos!$C:$C,Productos!N:N, "Error",0,1)</f>
        <v>0</v>
      </c>
      <c r="O22" s="50">
        <f>_xlfn.XLOOKUP(Tabla27[[#This Row],[Nombre producto]],Productos!$C:$C,Productos!O:O, "Error",0,1)</f>
        <v>0</v>
      </c>
      <c r="P22" s="74" t="str">
        <f>_xlfn.XLOOKUP(Tabla27[[#This Row],[Tipo de venta]], Tabla2329[Tipo de venta], Tabla2329[Moneda final], "Error - Seleccionar Tipo de Venta", 0,1)</f>
        <v>Error - Seleccionar Tipo de Venta</v>
      </c>
      <c r="Q22" s="74">
        <f>IF(Tabla27[[#This Row],[Moneda producto]]="USD",'Datos generales'!$G$3,IF(Tabla27[[#This Row],[Moneda producto]]="EUR",'Datos generales'!$G$3,0))</f>
        <v>0</v>
      </c>
      <c r="R22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3" spans="2:18" ht="43.2" x14ac:dyDescent="0.3">
      <c r="B23" s="34"/>
      <c r="C23" s="26"/>
      <c r="D23" s="28"/>
      <c r="E23" s="29"/>
      <c r="F23" s="37">
        <f>_xlfn.XLOOKUP(Tabla27[[#This Row],[Nombre producto]],Productos!C:C,Productos!D:D, "Error",0,1)</f>
        <v>0</v>
      </c>
      <c r="G23" s="26" t="str">
        <f>_xlfn.XLOOKUP(Tabla27[[#This Row],[Nombre producto]], Tabla32[Nombre producto], Tabla32[Tipo de moneda],"Error - agregue producto a Productos",0,1)</f>
        <v>Error - agregue producto a Productos</v>
      </c>
      <c r="H23" s="27" t="str">
        <f>_xlfn.XLOOKUP(Tabla27[[#This Row],[Nombre producto]], Tabla32[Nombre producto], Tabla32[Costo producto],"Error - agregue producto a Productos",0,1)</f>
        <v>Error - agregue producto a Productos</v>
      </c>
      <c r="I23" s="47"/>
      <c r="J23" s="47" t="str">
        <f>_xlfn.XLOOKUP(Tabla27[[#This Row],[Nombre producto]], Tabla32[Nombre producto], Tabla32[Precio USD],"Error - agregue producto a Productos",0,1)</f>
        <v>Error - agregue producto a Productos</v>
      </c>
      <c r="K23" s="47" t="str">
        <f>_xlfn.XLOOKUP(Tabla27[[#This Row],[Nombre producto]], Tabla32[Nombre producto], Tabla32[Precio CLP],"Error - agregue producto a Productos",0,1)</f>
        <v>Error - agregue producto a Productos</v>
      </c>
      <c r="L23" s="48" t="str">
        <f>_xlfn.XLOOKUP(Tabla27[[#This Row],[Nombre producto]], Tabla32[Nombre producto], Tabla32[Precio UF],"Error - agregue producto a Productos",0,1)</f>
        <v>Error - agregue producto a Productos</v>
      </c>
      <c r="M23" s="48" t="str">
        <f>_xlfn.XLOOKUP(Tabla27[[#This Row],[Nombre producto]], Tabla32[Nombre producto], Tabla32[Precio Euros],"Error - agregue producto a Productos",0,1)</f>
        <v>Error - agregue producto a Productos</v>
      </c>
      <c r="N23" s="49">
        <f>_xlfn.XLOOKUP(Tabla27[[#This Row],[Nombre producto]],Productos!$C:$C,Productos!N:N, "Error",0,1)</f>
        <v>0</v>
      </c>
      <c r="O23" s="50">
        <f>_xlfn.XLOOKUP(Tabla27[[#This Row],[Nombre producto]],Productos!$C:$C,Productos!O:O, "Error",0,1)</f>
        <v>0</v>
      </c>
      <c r="P23" s="74" t="str">
        <f>_xlfn.XLOOKUP(Tabla27[[#This Row],[Tipo de venta]], Tabla2329[Tipo de venta], Tabla2329[Moneda final], "Error - Seleccionar Tipo de Venta", 0,1)</f>
        <v>Error - Seleccionar Tipo de Venta</v>
      </c>
      <c r="Q23" s="74">
        <f>IF(Tabla27[[#This Row],[Moneda producto]]="USD",'Datos generales'!$G$3,IF(Tabla27[[#This Row],[Moneda producto]]="EUR",'Datos generales'!$G$3,0))</f>
        <v>0</v>
      </c>
      <c r="R23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4" spans="2:18" ht="43.2" x14ac:dyDescent="0.3">
      <c r="B24" s="34"/>
      <c r="C24" s="26"/>
      <c r="D24" s="28"/>
      <c r="E24" s="29"/>
      <c r="F24" s="37">
        <f>_xlfn.XLOOKUP(Tabla27[[#This Row],[Nombre producto]],Productos!C:C,Productos!D:D, "Error",0,1)</f>
        <v>0</v>
      </c>
      <c r="G24" s="26" t="str">
        <f>_xlfn.XLOOKUP(Tabla27[[#This Row],[Nombre producto]], Tabla32[Nombre producto], Tabla32[Tipo de moneda],"Error - agregue producto a Productos",0,1)</f>
        <v>Error - agregue producto a Productos</v>
      </c>
      <c r="H24" s="27" t="str">
        <f>_xlfn.XLOOKUP(Tabla27[[#This Row],[Nombre producto]], Tabla32[Nombre producto], Tabla32[Costo producto],"Error - agregue producto a Productos",0,1)</f>
        <v>Error - agregue producto a Productos</v>
      </c>
      <c r="I24" s="47"/>
      <c r="J24" s="47" t="str">
        <f>_xlfn.XLOOKUP(Tabla27[[#This Row],[Nombre producto]], Tabla32[Nombre producto], Tabla32[Precio USD],"Error - agregue producto a Productos",0,1)</f>
        <v>Error - agregue producto a Productos</v>
      </c>
      <c r="K24" s="47" t="str">
        <f>_xlfn.XLOOKUP(Tabla27[[#This Row],[Nombre producto]], Tabla32[Nombre producto], Tabla32[Precio CLP],"Error - agregue producto a Productos",0,1)</f>
        <v>Error - agregue producto a Productos</v>
      </c>
      <c r="L24" s="48" t="str">
        <f>_xlfn.XLOOKUP(Tabla27[[#This Row],[Nombre producto]], Tabla32[Nombre producto], Tabla32[Precio UF],"Error - agregue producto a Productos",0,1)</f>
        <v>Error - agregue producto a Productos</v>
      </c>
      <c r="M24" s="48" t="str">
        <f>_xlfn.XLOOKUP(Tabla27[[#This Row],[Nombre producto]], Tabla32[Nombre producto], Tabla32[Precio Euros],"Error - agregue producto a Productos",0,1)</f>
        <v>Error - agregue producto a Productos</v>
      </c>
      <c r="N24" s="49">
        <f>_xlfn.XLOOKUP(Tabla27[[#This Row],[Nombre producto]],Productos!$C:$C,Productos!N:N, "Error",0,1)</f>
        <v>0</v>
      </c>
      <c r="O24" s="50">
        <f>_xlfn.XLOOKUP(Tabla27[[#This Row],[Nombre producto]],Productos!$C:$C,Productos!O:O, "Error",0,1)</f>
        <v>0</v>
      </c>
      <c r="P24" s="74" t="str">
        <f>_xlfn.XLOOKUP(Tabla27[[#This Row],[Tipo de venta]], Tabla2329[Tipo de venta], Tabla2329[Moneda final], "Error - Seleccionar Tipo de Venta", 0,1)</f>
        <v>Error - Seleccionar Tipo de Venta</v>
      </c>
      <c r="Q24" s="74">
        <f>IF(Tabla27[[#This Row],[Moneda producto]]="USD",'Datos generales'!$G$3,IF(Tabla27[[#This Row],[Moneda producto]]="EUR",'Datos generales'!$G$3,0))</f>
        <v>0</v>
      </c>
      <c r="R24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5" spans="2:18" ht="43.2" x14ac:dyDescent="0.3">
      <c r="B25" s="34"/>
      <c r="C25" s="26"/>
      <c r="D25" s="28"/>
      <c r="E25" s="29"/>
      <c r="F25" s="37">
        <f>_xlfn.XLOOKUP(Tabla27[[#This Row],[Nombre producto]],Productos!C:C,Productos!D:D, "Error",0,1)</f>
        <v>0</v>
      </c>
      <c r="G25" s="26" t="str">
        <f>_xlfn.XLOOKUP(Tabla27[[#This Row],[Nombre producto]], Tabla32[Nombre producto], Tabla32[Tipo de moneda],"Error - agregue producto a Productos",0,1)</f>
        <v>Error - agregue producto a Productos</v>
      </c>
      <c r="H25" s="27" t="str">
        <f>_xlfn.XLOOKUP(Tabla27[[#This Row],[Nombre producto]], Tabla32[Nombre producto], Tabla32[Costo producto],"Error - agregue producto a Productos",0,1)</f>
        <v>Error - agregue producto a Productos</v>
      </c>
      <c r="I25" s="47"/>
      <c r="J25" s="47" t="str">
        <f>_xlfn.XLOOKUP(Tabla27[[#This Row],[Nombre producto]], Tabla32[Nombre producto], Tabla32[Precio USD],"Error - agregue producto a Productos",0,1)</f>
        <v>Error - agregue producto a Productos</v>
      </c>
      <c r="K25" s="47" t="str">
        <f>_xlfn.XLOOKUP(Tabla27[[#This Row],[Nombre producto]], Tabla32[Nombre producto], Tabla32[Precio CLP],"Error - agregue producto a Productos",0,1)</f>
        <v>Error - agregue producto a Productos</v>
      </c>
      <c r="L25" s="48" t="str">
        <f>_xlfn.XLOOKUP(Tabla27[[#This Row],[Nombre producto]], Tabla32[Nombre producto], Tabla32[Precio UF],"Error - agregue producto a Productos",0,1)</f>
        <v>Error - agregue producto a Productos</v>
      </c>
      <c r="M25" s="48" t="str">
        <f>_xlfn.XLOOKUP(Tabla27[[#This Row],[Nombre producto]], Tabla32[Nombre producto], Tabla32[Precio Euros],"Error - agregue producto a Productos",0,1)</f>
        <v>Error - agregue producto a Productos</v>
      </c>
      <c r="N25" s="49">
        <f>_xlfn.XLOOKUP(Tabla27[[#This Row],[Nombre producto]],Productos!$C:$C,Productos!N:N, "Error",0,1)</f>
        <v>0</v>
      </c>
      <c r="O25" s="50">
        <f>_xlfn.XLOOKUP(Tabla27[[#This Row],[Nombre producto]],Productos!$C:$C,Productos!O:O, "Error",0,1)</f>
        <v>0</v>
      </c>
      <c r="P25" s="74" t="str">
        <f>_xlfn.XLOOKUP(Tabla27[[#This Row],[Tipo de venta]], Tabla2329[Tipo de venta], Tabla2329[Moneda final], "Error - Seleccionar Tipo de Venta", 0,1)</f>
        <v>Error - Seleccionar Tipo de Venta</v>
      </c>
      <c r="Q25" s="74">
        <f>IF(Tabla27[[#This Row],[Moneda producto]]="USD",'Datos generales'!$G$3,IF(Tabla27[[#This Row],[Moneda producto]]="EUR",'Datos generales'!$G$3,0))</f>
        <v>0</v>
      </c>
      <c r="R25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6" spans="2:18" ht="43.2" x14ac:dyDescent="0.3">
      <c r="B26" s="34"/>
      <c r="C26" s="26"/>
      <c r="D26" s="28"/>
      <c r="E26" s="29"/>
      <c r="F26" s="37">
        <f>_xlfn.XLOOKUP(Tabla27[[#This Row],[Nombre producto]],Productos!C:C,Productos!D:D, "Error",0,1)</f>
        <v>0</v>
      </c>
      <c r="G26" s="26" t="str">
        <f>_xlfn.XLOOKUP(Tabla27[[#This Row],[Nombre producto]], Tabla32[Nombre producto], Tabla32[Tipo de moneda],"Error - agregue producto a Productos",0,1)</f>
        <v>Error - agregue producto a Productos</v>
      </c>
      <c r="H26" s="27" t="str">
        <f>_xlfn.XLOOKUP(Tabla27[[#This Row],[Nombre producto]], Tabla32[Nombre producto], Tabla32[Costo producto],"Error - agregue producto a Productos",0,1)</f>
        <v>Error - agregue producto a Productos</v>
      </c>
      <c r="I26" s="47"/>
      <c r="J26" s="47" t="str">
        <f>_xlfn.XLOOKUP(Tabla27[[#This Row],[Nombre producto]], Tabla32[Nombre producto], Tabla32[Precio USD],"Error - agregue producto a Productos",0,1)</f>
        <v>Error - agregue producto a Productos</v>
      </c>
      <c r="K26" s="47" t="str">
        <f>_xlfn.XLOOKUP(Tabla27[[#This Row],[Nombre producto]], Tabla32[Nombre producto], Tabla32[Precio CLP],"Error - agregue producto a Productos",0,1)</f>
        <v>Error - agregue producto a Productos</v>
      </c>
      <c r="L26" s="48" t="str">
        <f>_xlfn.XLOOKUP(Tabla27[[#This Row],[Nombre producto]], Tabla32[Nombre producto], Tabla32[Precio UF],"Error - agregue producto a Productos",0,1)</f>
        <v>Error - agregue producto a Productos</v>
      </c>
      <c r="M26" s="48" t="str">
        <f>_xlfn.XLOOKUP(Tabla27[[#This Row],[Nombre producto]], Tabla32[Nombre producto], Tabla32[Precio Euros],"Error - agregue producto a Productos",0,1)</f>
        <v>Error - agregue producto a Productos</v>
      </c>
      <c r="N26" s="49">
        <f>_xlfn.XLOOKUP(Tabla27[[#This Row],[Nombre producto]],Productos!$C:$C,Productos!N:N, "Error",0,1)</f>
        <v>0</v>
      </c>
      <c r="O26" s="50">
        <f>_xlfn.XLOOKUP(Tabla27[[#This Row],[Nombre producto]],Productos!$C:$C,Productos!O:O, "Error",0,1)</f>
        <v>0</v>
      </c>
      <c r="P26" s="74" t="str">
        <f>_xlfn.XLOOKUP(Tabla27[[#This Row],[Tipo de venta]], Tabla2329[Tipo de venta], Tabla2329[Moneda final], "Error - Seleccionar Tipo de Venta", 0,1)</f>
        <v>Error - Seleccionar Tipo de Venta</v>
      </c>
      <c r="Q26" s="74">
        <f>IF(Tabla27[[#This Row],[Moneda producto]]="USD",'Datos generales'!$G$3,IF(Tabla27[[#This Row],[Moneda producto]]="EUR",'Datos generales'!$G$3,0))</f>
        <v>0</v>
      </c>
      <c r="R26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7" spans="2:18" ht="43.2" x14ac:dyDescent="0.3">
      <c r="B27" s="34"/>
      <c r="C27" s="26"/>
      <c r="D27" s="28"/>
      <c r="E27" s="29"/>
      <c r="F27" s="37">
        <f>_xlfn.XLOOKUP(Tabla27[[#This Row],[Nombre producto]],Productos!C:C,Productos!D:D, "Error",0,1)</f>
        <v>0</v>
      </c>
      <c r="G27" s="26" t="str">
        <f>_xlfn.XLOOKUP(Tabla27[[#This Row],[Nombre producto]], Tabla32[Nombre producto], Tabla32[Tipo de moneda],"Error - agregue producto a Productos",0,1)</f>
        <v>Error - agregue producto a Productos</v>
      </c>
      <c r="H27" s="27" t="str">
        <f>_xlfn.XLOOKUP(Tabla27[[#This Row],[Nombre producto]], Tabla32[Nombre producto], Tabla32[Costo producto],"Error - agregue producto a Productos",0,1)</f>
        <v>Error - agregue producto a Productos</v>
      </c>
      <c r="I27" s="47"/>
      <c r="J27" s="47" t="str">
        <f>_xlfn.XLOOKUP(Tabla27[[#This Row],[Nombre producto]], Tabla32[Nombre producto], Tabla32[Precio USD],"Error - agregue producto a Productos",0,1)</f>
        <v>Error - agregue producto a Productos</v>
      </c>
      <c r="K27" s="47" t="str">
        <f>_xlfn.XLOOKUP(Tabla27[[#This Row],[Nombre producto]], Tabla32[Nombre producto], Tabla32[Precio CLP],"Error - agregue producto a Productos",0,1)</f>
        <v>Error - agregue producto a Productos</v>
      </c>
      <c r="L27" s="48" t="str">
        <f>_xlfn.XLOOKUP(Tabla27[[#This Row],[Nombre producto]], Tabla32[Nombre producto], Tabla32[Precio UF],"Error - agregue producto a Productos",0,1)</f>
        <v>Error - agregue producto a Productos</v>
      </c>
      <c r="M27" s="48" t="str">
        <f>_xlfn.XLOOKUP(Tabla27[[#This Row],[Nombre producto]], Tabla32[Nombre producto], Tabla32[Precio Euros],"Error - agregue producto a Productos",0,1)</f>
        <v>Error - agregue producto a Productos</v>
      </c>
      <c r="N27" s="49">
        <f>_xlfn.XLOOKUP(Tabla27[[#This Row],[Nombre producto]],Productos!$C:$C,Productos!N:N, "Error",0,1)</f>
        <v>0</v>
      </c>
      <c r="O27" s="50">
        <f>_xlfn.XLOOKUP(Tabla27[[#This Row],[Nombre producto]],Productos!$C:$C,Productos!O:O, "Error",0,1)</f>
        <v>0</v>
      </c>
      <c r="P27" s="74" t="str">
        <f>_xlfn.XLOOKUP(Tabla27[[#This Row],[Tipo de venta]], Tabla2329[Tipo de venta], Tabla2329[Moneda final], "Error - Seleccionar Tipo de Venta", 0,1)</f>
        <v>Error - Seleccionar Tipo de Venta</v>
      </c>
      <c r="Q27" s="74">
        <f>IF(Tabla27[[#This Row],[Moneda producto]]="USD",'Datos generales'!$G$3,IF(Tabla27[[#This Row],[Moneda producto]]="EUR",'Datos generales'!$G$3,0))</f>
        <v>0</v>
      </c>
      <c r="R27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8" spans="2:18" ht="43.2" x14ac:dyDescent="0.3">
      <c r="B28" s="34"/>
      <c r="C28" s="26"/>
      <c r="D28" s="28"/>
      <c r="E28" s="29"/>
      <c r="F28" s="37">
        <f>_xlfn.XLOOKUP(Tabla27[[#This Row],[Nombre producto]],Productos!C:C,Productos!D:D, "Error",0,1)</f>
        <v>0</v>
      </c>
      <c r="G28" s="26" t="str">
        <f>_xlfn.XLOOKUP(Tabla27[[#This Row],[Nombre producto]], Tabla32[Nombre producto], Tabla32[Tipo de moneda],"Error - agregue producto a Productos",0,1)</f>
        <v>Error - agregue producto a Productos</v>
      </c>
      <c r="H28" s="27" t="str">
        <f>_xlfn.XLOOKUP(Tabla27[[#This Row],[Nombre producto]], Tabla32[Nombre producto], Tabla32[Costo producto],"Error - agregue producto a Productos",0,1)</f>
        <v>Error - agregue producto a Productos</v>
      </c>
      <c r="I28" s="47"/>
      <c r="J28" s="47" t="str">
        <f>_xlfn.XLOOKUP(Tabla27[[#This Row],[Nombre producto]], Tabla32[Nombre producto], Tabla32[Precio USD],"Error - agregue producto a Productos",0,1)</f>
        <v>Error - agregue producto a Productos</v>
      </c>
      <c r="K28" s="47" t="str">
        <f>_xlfn.XLOOKUP(Tabla27[[#This Row],[Nombre producto]], Tabla32[Nombre producto], Tabla32[Precio CLP],"Error - agregue producto a Productos",0,1)</f>
        <v>Error - agregue producto a Productos</v>
      </c>
      <c r="L28" s="48" t="str">
        <f>_xlfn.XLOOKUP(Tabla27[[#This Row],[Nombre producto]], Tabla32[Nombre producto], Tabla32[Precio UF],"Error - agregue producto a Productos",0,1)</f>
        <v>Error - agregue producto a Productos</v>
      </c>
      <c r="M28" s="48" t="str">
        <f>_xlfn.XLOOKUP(Tabla27[[#This Row],[Nombre producto]], Tabla32[Nombre producto], Tabla32[Precio Euros],"Error - agregue producto a Productos",0,1)</f>
        <v>Error - agregue producto a Productos</v>
      </c>
      <c r="N28" s="49">
        <f>_xlfn.XLOOKUP(Tabla27[[#This Row],[Nombre producto]],Productos!$C:$C,Productos!N:N, "Error",0,1)</f>
        <v>0</v>
      </c>
      <c r="O28" s="50">
        <f>_xlfn.XLOOKUP(Tabla27[[#This Row],[Nombre producto]],Productos!$C:$C,Productos!O:O, "Error",0,1)</f>
        <v>0</v>
      </c>
      <c r="P28" s="74" t="str">
        <f>_xlfn.XLOOKUP(Tabla27[[#This Row],[Tipo de venta]], Tabla2329[Tipo de venta], Tabla2329[Moneda final], "Error - Seleccionar Tipo de Venta", 0,1)</f>
        <v>Error - Seleccionar Tipo de Venta</v>
      </c>
      <c r="Q28" s="74">
        <f>IF(Tabla27[[#This Row],[Moneda producto]]="USD",'Datos generales'!$G$3,IF(Tabla27[[#This Row],[Moneda producto]]="EUR",'Datos generales'!$G$3,0))</f>
        <v>0</v>
      </c>
      <c r="R28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29" spans="2:18" ht="43.2" x14ac:dyDescent="0.3">
      <c r="B29" s="34"/>
      <c r="C29" s="26"/>
      <c r="D29" s="28"/>
      <c r="E29" s="29"/>
      <c r="F29" s="37">
        <f>_xlfn.XLOOKUP(Tabla27[[#This Row],[Nombre producto]],Productos!C:C,Productos!D:D, "Error",0,1)</f>
        <v>0</v>
      </c>
      <c r="G29" s="26" t="str">
        <f>_xlfn.XLOOKUP(Tabla27[[#This Row],[Nombre producto]], Tabla32[Nombre producto], Tabla32[Tipo de moneda],"Error - agregue producto a Productos",0,1)</f>
        <v>Error - agregue producto a Productos</v>
      </c>
      <c r="H29" s="27" t="str">
        <f>_xlfn.XLOOKUP(Tabla27[[#This Row],[Nombre producto]], Tabla32[Nombre producto], Tabla32[Costo producto],"Error - agregue producto a Productos",0,1)</f>
        <v>Error - agregue producto a Productos</v>
      </c>
      <c r="I29" s="47"/>
      <c r="J29" s="47" t="str">
        <f>_xlfn.XLOOKUP(Tabla27[[#This Row],[Nombre producto]], Tabla32[Nombre producto], Tabla32[Precio USD],"Error - agregue producto a Productos",0,1)</f>
        <v>Error - agregue producto a Productos</v>
      </c>
      <c r="K29" s="47" t="str">
        <f>_xlfn.XLOOKUP(Tabla27[[#This Row],[Nombre producto]], Tabla32[Nombre producto], Tabla32[Precio CLP],"Error - agregue producto a Productos",0,1)</f>
        <v>Error - agregue producto a Productos</v>
      </c>
      <c r="L29" s="48" t="str">
        <f>_xlfn.XLOOKUP(Tabla27[[#This Row],[Nombre producto]], Tabla32[Nombre producto], Tabla32[Precio UF],"Error - agregue producto a Productos",0,1)</f>
        <v>Error - agregue producto a Productos</v>
      </c>
      <c r="M29" s="48" t="str">
        <f>_xlfn.XLOOKUP(Tabla27[[#This Row],[Nombre producto]], Tabla32[Nombre producto], Tabla32[Precio Euros],"Error - agregue producto a Productos",0,1)</f>
        <v>Error - agregue producto a Productos</v>
      </c>
      <c r="N29" s="49">
        <f>_xlfn.XLOOKUP(Tabla27[[#This Row],[Nombre producto]],Productos!$C:$C,Productos!N:N, "Error",0,1)</f>
        <v>0</v>
      </c>
      <c r="O29" s="50">
        <f>_xlfn.XLOOKUP(Tabla27[[#This Row],[Nombre producto]],Productos!$C:$C,Productos!O:O, "Error",0,1)</f>
        <v>0</v>
      </c>
      <c r="P29" s="74" t="str">
        <f>_xlfn.XLOOKUP(Tabla27[[#This Row],[Tipo de venta]], Tabla2329[Tipo de venta], Tabla2329[Moneda final], "Error - Seleccionar Tipo de Venta", 0,1)</f>
        <v>Error - Seleccionar Tipo de Venta</v>
      </c>
      <c r="Q29" s="74">
        <f>IF(Tabla27[[#This Row],[Moneda producto]]="USD",'Datos generales'!$G$3,IF(Tabla27[[#This Row],[Moneda producto]]="EUR",'Datos generales'!$G$3,0))</f>
        <v>0</v>
      </c>
      <c r="R29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30" spans="2:18" ht="43.2" x14ac:dyDescent="0.3">
      <c r="B30" s="34"/>
      <c r="C30" s="26"/>
      <c r="D30" s="28"/>
      <c r="E30" s="29"/>
      <c r="F30" s="37">
        <f>_xlfn.XLOOKUP(Tabla27[[#This Row],[Nombre producto]],Productos!C:C,Productos!D:D, "Error",0,1)</f>
        <v>0</v>
      </c>
      <c r="G30" s="26" t="str">
        <f>_xlfn.XLOOKUP(Tabla27[[#This Row],[Nombre producto]], Tabla32[Nombre producto], Tabla32[Tipo de moneda],"Error - agregue producto a Productos",0,1)</f>
        <v>Error - agregue producto a Productos</v>
      </c>
      <c r="H30" s="27" t="str">
        <f>_xlfn.XLOOKUP(Tabla27[[#This Row],[Nombre producto]], Tabla32[Nombre producto], Tabla32[Costo producto],"Error - agregue producto a Productos",0,1)</f>
        <v>Error - agregue producto a Productos</v>
      </c>
      <c r="I30" s="47"/>
      <c r="J30" s="47" t="str">
        <f>_xlfn.XLOOKUP(Tabla27[[#This Row],[Nombre producto]], Tabla32[Nombre producto], Tabla32[Precio USD],"Error - agregue producto a Productos",0,1)</f>
        <v>Error - agregue producto a Productos</v>
      </c>
      <c r="K30" s="47" t="str">
        <f>_xlfn.XLOOKUP(Tabla27[[#This Row],[Nombre producto]], Tabla32[Nombre producto], Tabla32[Precio CLP],"Error - agregue producto a Productos",0,1)</f>
        <v>Error - agregue producto a Productos</v>
      </c>
      <c r="L30" s="48" t="str">
        <f>_xlfn.XLOOKUP(Tabla27[[#This Row],[Nombre producto]], Tabla32[Nombre producto], Tabla32[Precio UF],"Error - agregue producto a Productos",0,1)</f>
        <v>Error - agregue producto a Productos</v>
      </c>
      <c r="M30" s="48" t="str">
        <f>_xlfn.XLOOKUP(Tabla27[[#This Row],[Nombre producto]], Tabla32[Nombre producto], Tabla32[Precio Euros],"Error - agregue producto a Productos",0,1)</f>
        <v>Error - agregue producto a Productos</v>
      </c>
      <c r="N30" s="49">
        <f>_xlfn.XLOOKUP(Tabla27[[#This Row],[Nombre producto]],Productos!$C:$C,Productos!N:N, "Error",0,1)</f>
        <v>0</v>
      </c>
      <c r="O30" s="50">
        <f>_xlfn.XLOOKUP(Tabla27[[#This Row],[Nombre producto]],Productos!$C:$C,Productos!O:O, "Error",0,1)</f>
        <v>0</v>
      </c>
      <c r="P30" s="74" t="str">
        <f>_xlfn.XLOOKUP(Tabla27[[#This Row],[Tipo de venta]], Tabla2329[Tipo de venta], Tabla2329[Moneda final], "Error - Seleccionar Tipo de Venta", 0,1)</f>
        <v>Error - Seleccionar Tipo de Venta</v>
      </c>
      <c r="Q30" s="74">
        <f>IF(Tabla27[[#This Row],[Moneda producto]]="USD",'Datos generales'!$G$3,IF(Tabla27[[#This Row],[Moneda producto]]="EUR",'Datos generales'!$G$3,0))</f>
        <v>0</v>
      </c>
      <c r="R30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31" spans="2:18" ht="43.2" x14ac:dyDescent="0.3">
      <c r="B31" s="34"/>
      <c r="C31" s="26"/>
      <c r="D31" s="28"/>
      <c r="E31" s="29"/>
      <c r="F31" s="37">
        <f>_xlfn.XLOOKUP(Tabla27[[#This Row],[Nombre producto]],Productos!C:C,Productos!D:D, "Error",0,1)</f>
        <v>0</v>
      </c>
      <c r="G31" s="26" t="str">
        <f>_xlfn.XLOOKUP(Tabla27[[#This Row],[Nombre producto]], Tabla32[Nombre producto], Tabla32[Tipo de moneda],"Error - agregue producto a Productos",0,1)</f>
        <v>Error - agregue producto a Productos</v>
      </c>
      <c r="H31" s="27" t="str">
        <f>_xlfn.XLOOKUP(Tabla27[[#This Row],[Nombre producto]], Tabla32[Nombre producto], Tabla32[Costo producto],"Error - agregue producto a Productos",0,1)</f>
        <v>Error - agregue producto a Productos</v>
      </c>
      <c r="I31" s="47"/>
      <c r="J31" s="47" t="str">
        <f>_xlfn.XLOOKUP(Tabla27[[#This Row],[Nombre producto]], Tabla32[Nombre producto], Tabla32[Precio USD],"Error - agregue producto a Productos",0,1)</f>
        <v>Error - agregue producto a Productos</v>
      </c>
      <c r="K31" s="47" t="str">
        <f>_xlfn.XLOOKUP(Tabla27[[#This Row],[Nombre producto]], Tabla32[Nombre producto], Tabla32[Precio CLP],"Error - agregue producto a Productos",0,1)</f>
        <v>Error - agregue producto a Productos</v>
      </c>
      <c r="L31" s="48" t="str">
        <f>_xlfn.XLOOKUP(Tabla27[[#This Row],[Nombre producto]], Tabla32[Nombre producto], Tabla32[Precio UF],"Error - agregue producto a Productos",0,1)</f>
        <v>Error - agregue producto a Productos</v>
      </c>
      <c r="M31" s="48" t="str">
        <f>_xlfn.XLOOKUP(Tabla27[[#This Row],[Nombre producto]], Tabla32[Nombre producto], Tabla32[Precio Euros],"Error - agregue producto a Productos",0,1)</f>
        <v>Error - agregue producto a Productos</v>
      </c>
      <c r="N31" s="49">
        <f>_xlfn.XLOOKUP(Tabla27[[#This Row],[Nombre producto]],Productos!$C:$C,Productos!N:N, "Error",0,1)</f>
        <v>0</v>
      </c>
      <c r="O31" s="50">
        <f>_xlfn.XLOOKUP(Tabla27[[#This Row],[Nombre producto]],Productos!$C:$C,Productos!O:O, "Error",0,1)</f>
        <v>0</v>
      </c>
      <c r="P31" s="74" t="str">
        <f>_xlfn.XLOOKUP(Tabla27[[#This Row],[Tipo de venta]], Tabla2329[Tipo de venta], Tabla2329[Moneda final], "Error - Seleccionar Tipo de Venta", 0,1)</f>
        <v>Error - Seleccionar Tipo de Venta</v>
      </c>
      <c r="Q31" s="74">
        <f>IF(Tabla27[[#This Row],[Moneda producto]]="USD",'Datos generales'!$G$3,IF(Tabla27[[#This Row],[Moneda producto]]="EUR",'Datos generales'!$G$3,0))</f>
        <v>0</v>
      </c>
      <c r="R31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  <row r="32" spans="2:18" ht="43.2" x14ac:dyDescent="0.3">
      <c r="B32" s="34"/>
      <c r="C32" s="26"/>
      <c r="D32" s="28"/>
      <c r="E32" s="56"/>
      <c r="F32" s="37">
        <f>_xlfn.XLOOKUP(Tabla27[[#This Row],[Nombre producto]],Productos!C:C,Productos!D:D, "Error",0,1)</f>
        <v>0</v>
      </c>
      <c r="G32" s="26" t="str">
        <f>_xlfn.XLOOKUP(Tabla27[[#This Row],[Nombre producto]], Tabla32[Nombre producto], Tabla32[Tipo de moneda],"Error - agregue producto a Productos",0,1)</f>
        <v>Error - agregue producto a Productos</v>
      </c>
      <c r="H32" s="27" t="str">
        <f>_xlfn.XLOOKUP(Tabla27[[#This Row],[Nombre producto]], Tabla32[Nombre producto], Tabla32[Costo producto],"Error - agregue producto a Productos",0,1)</f>
        <v>Error - agregue producto a Productos</v>
      </c>
      <c r="I32" s="47"/>
      <c r="J32" s="47" t="str">
        <f>_xlfn.XLOOKUP(Tabla27[[#This Row],[Nombre producto]], Tabla32[Nombre producto], Tabla32[Precio USD],"Error - agregue producto a Productos",0,1)</f>
        <v>Error - agregue producto a Productos</v>
      </c>
      <c r="K32" s="47" t="str">
        <f>_xlfn.XLOOKUP(Tabla27[[#This Row],[Nombre producto]], Tabla32[Nombre producto], Tabla32[Precio CLP],"Error - agregue producto a Productos",0,1)</f>
        <v>Error - agregue producto a Productos</v>
      </c>
      <c r="L32" s="48" t="str">
        <f>_xlfn.XLOOKUP(Tabla27[[#This Row],[Nombre producto]], Tabla32[Nombre producto], Tabla32[Precio UF],"Error - agregue producto a Productos",0,1)</f>
        <v>Error - agregue producto a Productos</v>
      </c>
      <c r="M32" s="48" t="str">
        <f>_xlfn.XLOOKUP(Tabla27[[#This Row],[Nombre producto]], Tabla32[Nombre producto], Tabla32[Precio Euros],"Error - agregue producto a Productos",0,1)</f>
        <v>Error - agregue producto a Productos</v>
      </c>
      <c r="N32" s="49">
        <f>_xlfn.XLOOKUP(Tabla27[[#This Row],[Nombre producto]],Productos!$C:$C,Productos!N:N, "Error",0,1)</f>
        <v>0</v>
      </c>
      <c r="O32" s="50">
        <f>_xlfn.XLOOKUP(Tabla27[[#This Row],[Nombre producto]],Productos!$C:$C,Productos!O:O, "Error",0,1)</f>
        <v>0</v>
      </c>
      <c r="P32" s="74" t="str">
        <f>_xlfn.XLOOKUP(Tabla27[[#This Row],[Tipo de venta]], Tabla2329[Tipo de venta], Tabla2329[Moneda final], "Error - Seleccionar Tipo de Venta", 0,1)</f>
        <v>Error - Seleccionar Tipo de Venta</v>
      </c>
      <c r="Q32" s="74">
        <f>IF(Tabla27[[#This Row],[Moneda producto]]="USD",'Datos generales'!$G$3,IF(Tabla27[[#This Row],[Moneda producto]]="EUR",'Datos generales'!$G$3,0))</f>
        <v>0</v>
      </c>
      <c r="R32" s="76" t="e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#VALUE!</v>
      </c>
    </row>
  </sheetData>
  <mergeCells count="1">
    <mergeCell ref="E2:P3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62E933-E9CA-47E8-8279-A777B3B982DE}">
          <x14:formula1>
            <xm:f>'Datos generales'!$C$18:$C$122</xm:f>
          </x14:formula1>
          <xm:sqref>C7:C32</xm:sqref>
        </x14:dataValidation>
        <x14:dataValidation type="list" allowBlank="1" showInputMessage="1" showErrorMessage="1" xr:uid="{59A05454-E1DD-44D5-9514-2122E6F74387}">
          <x14:formula1>
            <xm:f>Productos!$B:$B</xm:f>
          </x14:formula1>
          <xm:sqref>D7:D32</xm:sqref>
        </x14:dataValidation>
        <x14:dataValidation type="list" allowBlank="1" showInputMessage="1" showErrorMessage="1" xr:uid="{7D62D9C6-F9EB-4F4D-B453-168CE2B8B269}">
          <x14:formula1>
            <xm:f>'Datos generales'!$J$18:$J$73</xm:f>
          </x14:formula1>
          <xm:sqref>B7:B32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5A4AD-7A94-4514-8B00-3F75C5A38F9C}">
  <sheetPr codeName="Hoja8">
    <tabColor rgb="FF00B050"/>
  </sheetPr>
  <dimension ref="B2:U16"/>
  <sheetViews>
    <sheetView topLeftCell="B1" zoomScale="85" zoomScaleNormal="85" workbookViewId="0">
      <selection activeCell="N8" sqref="N8"/>
    </sheetView>
  </sheetViews>
  <sheetFormatPr baseColWidth="10" defaultColWidth="11.44140625" defaultRowHeight="14.4" x14ac:dyDescent="0.3"/>
  <cols>
    <col min="2" max="2" width="14.33203125" customWidth="1"/>
    <col min="3" max="3" width="23.6640625" customWidth="1"/>
    <col min="4" max="4" width="35.109375" customWidth="1"/>
    <col min="5" max="5" width="10.44140625" customWidth="1"/>
    <col min="6" max="6" width="18.33203125" customWidth="1"/>
    <col min="7" max="7" width="16.88671875" bestFit="1" customWidth="1"/>
    <col min="8" max="8" width="17.109375" customWidth="1"/>
    <col min="9" max="9" width="12" customWidth="1"/>
    <col min="10" max="10" width="22.33203125" bestFit="1" customWidth="1"/>
    <col min="11" max="11" width="17.5546875" customWidth="1"/>
    <col min="12" max="12" width="16.109375" customWidth="1"/>
    <col min="13" max="13" width="14.88671875" customWidth="1"/>
    <col min="14" max="14" width="18.88671875" bestFit="1" customWidth="1"/>
    <col min="15" max="15" width="17.88671875" customWidth="1"/>
    <col min="16" max="16" width="23" bestFit="1" customWidth="1"/>
    <col min="17" max="17" width="27.44140625" bestFit="1" customWidth="1"/>
    <col min="18" max="18" width="12.88671875" bestFit="1" customWidth="1"/>
    <col min="19" max="19" width="19.44140625" bestFit="1" customWidth="1"/>
  </cols>
  <sheetData>
    <row r="2" spans="2:21" x14ac:dyDescent="0.3">
      <c r="E2" s="123" t="s">
        <v>149</v>
      </c>
      <c r="F2" s="123"/>
      <c r="G2" s="123"/>
      <c r="H2" s="123"/>
      <c r="I2" s="123"/>
      <c r="J2" s="123"/>
      <c r="K2" s="123"/>
    </row>
    <row r="3" spans="2:21" x14ac:dyDescent="0.3">
      <c r="E3" s="123"/>
      <c r="F3" s="123"/>
      <c r="G3" s="123"/>
      <c r="H3" s="123"/>
      <c r="I3" s="123"/>
      <c r="J3" s="123"/>
      <c r="K3" s="123"/>
    </row>
    <row r="4" spans="2:21" x14ac:dyDescent="0.3">
      <c r="E4" s="108" t="s">
        <v>151</v>
      </c>
      <c r="F4" s="124" t="s">
        <v>150</v>
      </c>
      <c r="G4" s="125"/>
      <c r="H4" s="125"/>
      <c r="I4" s="125"/>
      <c r="J4" s="125"/>
      <c r="K4" s="126"/>
    </row>
    <row r="6" spans="2:21" ht="28.8" x14ac:dyDescent="0.3">
      <c r="B6" s="25" t="s">
        <v>71</v>
      </c>
      <c r="C6" s="25" t="s">
        <v>72</v>
      </c>
      <c r="D6" s="25" t="s">
        <v>36</v>
      </c>
      <c r="E6" s="35" t="s">
        <v>79</v>
      </c>
      <c r="F6" s="25" t="s">
        <v>80</v>
      </c>
      <c r="G6" s="25" t="s">
        <v>81</v>
      </c>
      <c r="H6" s="35" t="s">
        <v>82</v>
      </c>
      <c r="I6" s="25" t="s">
        <v>22</v>
      </c>
      <c r="J6" s="25" t="s">
        <v>83</v>
      </c>
      <c r="K6" s="25" t="s">
        <v>84</v>
      </c>
      <c r="L6" s="25" t="s">
        <v>66</v>
      </c>
      <c r="M6" s="25" t="s">
        <v>85</v>
      </c>
      <c r="N6" s="25" t="s">
        <v>148</v>
      </c>
      <c r="O6" s="25" t="s">
        <v>86</v>
      </c>
      <c r="P6" s="25" t="s">
        <v>87</v>
      </c>
      <c r="Q6" s="25" t="s">
        <v>88</v>
      </c>
      <c r="R6" s="25" t="s">
        <v>74</v>
      </c>
      <c r="S6" t="s">
        <v>123</v>
      </c>
      <c r="T6" t="s">
        <v>124</v>
      </c>
      <c r="U6" t="s">
        <v>125</v>
      </c>
    </row>
    <row r="7" spans="2:21" ht="28.8" x14ac:dyDescent="0.3">
      <c r="B7" s="30" t="s">
        <v>76</v>
      </c>
      <c r="C7" s="29" t="s">
        <v>54</v>
      </c>
      <c r="D7" s="30" t="s">
        <v>89</v>
      </c>
      <c r="E7" s="30" t="s">
        <v>6</v>
      </c>
      <c r="F7" s="69" t="s">
        <v>17</v>
      </c>
      <c r="G7" s="64">
        <v>600</v>
      </c>
      <c r="H7" s="64">
        <f>IF(Tabla32[[#This Row],[CIF/FOB/Nacional]]="Nacional", Tabla32[[#This Row],[Costo producto]],IF(Tabla32[[#This Row],[CIF/FOB/Nacional]]="CIF", Tabla32[[#This Row],[Costo producto]], Tabla32[[#This Row],[Costo producto]]*1.3))</f>
        <v>600</v>
      </c>
      <c r="I7" s="65">
        <v>0</v>
      </c>
      <c r="J7" s="64">
        <f t="shared" ref="J7:J16" si="0">H7/(1-I7)</f>
        <v>600</v>
      </c>
      <c r="K7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570000</v>
      </c>
      <c r="L7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14.840194536725578</v>
      </c>
      <c r="M7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600</v>
      </c>
      <c r="N7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556.09756097560978</v>
      </c>
      <c r="O7" s="31" t="s">
        <v>90</v>
      </c>
      <c r="P7" s="29" t="s">
        <v>10</v>
      </c>
      <c r="Q7" s="32" t="s">
        <v>91</v>
      </c>
      <c r="R7" s="32" t="s">
        <v>92</v>
      </c>
    </row>
    <row r="8" spans="2:21" ht="28.8" x14ac:dyDescent="0.3">
      <c r="B8" s="30" t="s">
        <v>77</v>
      </c>
      <c r="C8" s="29" t="s">
        <v>78</v>
      </c>
      <c r="D8" s="30" t="s">
        <v>93</v>
      </c>
      <c r="E8" s="30" t="s">
        <v>6</v>
      </c>
      <c r="F8" s="69" t="s">
        <v>24</v>
      </c>
      <c r="G8" s="64">
        <v>118</v>
      </c>
      <c r="H8" s="64">
        <f>IF(Tabla32[[#This Row],[CIF/FOB/Nacional]]="Nacional", Tabla32[[#This Row],[Costo producto]],IF(Tabla32[[#This Row],[CIF/FOB/Nacional]]="CIF", Tabla32[[#This Row],[Costo producto]], Tabla32[[#This Row],[Costo producto]]*1.3))</f>
        <v>153.4</v>
      </c>
      <c r="I8" s="65">
        <v>0.5</v>
      </c>
      <c r="J8" s="64">
        <f t="shared" si="0"/>
        <v>306.8</v>
      </c>
      <c r="K8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291460</v>
      </c>
      <c r="L8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7.5882861397790116</v>
      </c>
      <c r="M8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306.8</v>
      </c>
      <c r="N8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284.35121951219514</v>
      </c>
      <c r="O8" s="31" t="s">
        <v>94</v>
      </c>
      <c r="P8" s="29" t="s">
        <v>95</v>
      </c>
      <c r="Q8" s="32" t="s">
        <v>96</v>
      </c>
      <c r="R8" s="32" t="s">
        <v>97</v>
      </c>
    </row>
    <row r="9" spans="2:21" ht="28.8" x14ac:dyDescent="0.3">
      <c r="B9" s="26" t="s">
        <v>77</v>
      </c>
      <c r="C9" s="56" t="s">
        <v>98</v>
      </c>
      <c r="D9" s="26" t="s">
        <v>99</v>
      </c>
      <c r="E9" s="26" t="s">
        <v>6</v>
      </c>
      <c r="F9" s="37" t="s">
        <v>24</v>
      </c>
      <c r="G9" s="66">
        <v>93</v>
      </c>
      <c r="H9" s="66">
        <f>IF(Tabla32[[#This Row],[CIF/FOB/Nacional]]="Nacional", Tabla32[[#This Row],[Costo producto]],IF(Tabla32[[#This Row],[CIF/FOB/Nacional]]="CIF", Tabla32[[#This Row],[Costo producto]], Tabla32[[#This Row],[Costo producto]]*1.3))</f>
        <v>120.9</v>
      </c>
      <c r="I9" s="65">
        <v>0.5</v>
      </c>
      <c r="J9" s="66">
        <f t="shared" si="0"/>
        <v>241.8</v>
      </c>
      <c r="K9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229710</v>
      </c>
      <c r="L9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5.9805983983004074</v>
      </c>
      <c r="M9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241.8</v>
      </c>
      <c r="N9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224.10731707317072</v>
      </c>
      <c r="O9" s="31" t="s">
        <v>94</v>
      </c>
      <c r="P9" s="29" t="s">
        <v>95</v>
      </c>
      <c r="Q9" s="32" t="s">
        <v>96</v>
      </c>
      <c r="R9" s="32" t="s">
        <v>97</v>
      </c>
    </row>
    <row r="10" spans="2:21" ht="28.8" x14ac:dyDescent="0.3">
      <c r="B10" s="26" t="s">
        <v>77</v>
      </c>
      <c r="C10" s="56" t="s">
        <v>100</v>
      </c>
      <c r="D10" s="26" t="s">
        <v>101</v>
      </c>
      <c r="E10" s="26" t="s">
        <v>6</v>
      </c>
      <c r="F10" s="37" t="s">
        <v>24</v>
      </c>
      <c r="G10" s="66">
        <v>490</v>
      </c>
      <c r="H10" s="66">
        <f>IF(Tabla32[[#This Row],[CIF/FOB/Nacional]]="Nacional", Tabla32[[#This Row],[Costo producto]],IF(Tabla32[[#This Row],[CIF/FOB/Nacional]]="CIF", Tabla32[[#This Row],[Costo producto]], Tabla32[[#This Row],[Costo producto]]*1.3))</f>
        <v>637</v>
      </c>
      <c r="I10" s="65">
        <v>0.5</v>
      </c>
      <c r="J10" s="66">
        <f t="shared" si="0"/>
        <v>1274</v>
      </c>
      <c r="K10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1210300</v>
      </c>
      <c r="L10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31.510679732980641</v>
      </c>
      <c r="M10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1274</v>
      </c>
      <c r="N10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1180.780487804878</v>
      </c>
      <c r="O10" s="31" t="s">
        <v>94</v>
      </c>
      <c r="P10" s="29" t="s">
        <v>95</v>
      </c>
      <c r="Q10" s="32" t="s">
        <v>96</v>
      </c>
      <c r="R10" s="32" t="s">
        <v>97</v>
      </c>
    </row>
    <row r="11" spans="2:21" ht="28.8" x14ac:dyDescent="0.3">
      <c r="B11" s="26" t="s">
        <v>77</v>
      </c>
      <c r="C11" s="37" t="s">
        <v>102</v>
      </c>
      <c r="D11" s="26" t="s">
        <v>103</v>
      </c>
      <c r="E11" s="26" t="s">
        <v>6</v>
      </c>
      <c r="F11" s="37" t="s">
        <v>24</v>
      </c>
      <c r="G11" s="66">
        <v>650</v>
      </c>
      <c r="H11" s="66">
        <f>IF(Tabla32[[#This Row],[CIF/FOB/Nacional]]="Nacional", Tabla32[[#This Row],[Costo producto]],IF(Tabla32[[#This Row],[CIF/FOB/Nacional]]="CIF", Tabla32[[#This Row],[Costo producto]], Tabla32[[#This Row],[Costo producto]]*1.3))</f>
        <v>845</v>
      </c>
      <c r="I11" s="65">
        <v>0.5</v>
      </c>
      <c r="J11" s="66">
        <f t="shared" si="0"/>
        <v>1690</v>
      </c>
      <c r="K11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1605500</v>
      </c>
      <c r="L11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41.799881278443706</v>
      </c>
      <c r="M11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1690</v>
      </c>
      <c r="N11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1566.3414634146341</v>
      </c>
      <c r="O11" s="31" t="s">
        <v>94</v>
      </c>
      <c r="P11" s="29" t="s">
        <v>95</v>
      </c>
      <c r="Q11" s="32" t="s">
        <v>96</v>
      </c>
      <c r="R11" s="32" t="s">
        <v>97</v>
      </c>
    </row>
    <row r="12" spans="2:21" x14ac:dyDescent="0.3">
      <c r="B12" s="26" t="s">
        <v>77</v>
      </c>
      <c r="C12" s="56" t="s">
        <v>104</v>
      </c>
      <c r="D12" s="26" t="s">
        <v>105</v>
      </c>
      <c r="E12" s="26" t="s">
        <v>6</v>
      </c>
      <c r="F12" s="37" t="s">
        <v>24</v>
      </c>
      <c r="G12" s="66">
        <v>850</v>
      </c>
      <c r="H12" s="66">
        <f>IF(Tabla32[[#This Row],[CIF/FOB/Nacional]]="Nacional", Tabla32[[#This Row],[Costo producto]],IF(Tabla32[[#This Row],[CIF/FOB/Nacional]]="CIF", Tabla32[[#This Row],[Costo producto]], Tabla32[[#This Row],[Costo producto]]*1.3))</f>
        <v>1105</v>
      </c>
      <c r="I12" s="65">
        <v>0.5</v>
      </c>
      <c r="J12" s="66">
        <f t="shared" si="0"/>
        <v>2210</v>
      </c>
      <c r="K12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2099500</v>
      </c>
      <c r="L12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54.66138321027254</v>
      </c>
      <c r="M12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2210</v>
      </c>
      <c r="N12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2048.2926829268295</v>
      </c>
      <c r="O12" s="31" t="s">
        <v>94</v>
      </c>
      <c r="P12" s="29" t="s">
        <v>95</v>
      </c>
      <c r="Q12" s="32" t="s">
        <v>96</v>
      </c>
      <c r="R12" s="32" t="s">
        <v>97</v>
      </c>
    </row>
    <row r="13" spans="2:21" x14ac:dyDescent="0.3">
      <c r="B13" s="26" t="s">
        <v>77</v>
      </c>
      <c r="C13" s="37" t="s">
        <v>106</v>
      </c>
      <c r="D13" s="26" t="s">
        <v>107</v>
      </c>
      <c r="E13" s="26" t="s">
        <v>6</v>
      </c>
      <c r="F13" s="37" t="s">
        <v>24</v>
      </c>
      <c r="G13" s="66">
        <v>520</v>
      </c>
      <c r="H13" s="66">
        <f>IF(Tabla32[[#This Row],[CIF/FOB/Nacional]]="Nacional", Tabla32[[#This Row],[Costo producto]],IF(Tabla32[[#This Row],[CIF/FOB/Nacional]]="CIF", Tabla32[[#This Row],[Costo producto]], Tabla32[[#This Row],[Costo producto]]*1.3))</f>
        <v>676</v>
      </c>
      <c r="I13" s="65">
        <v>0.5</v>
      </c>
      <c r="J13" s="66">
        <f t="shared" si="0"/>
        <v>1352</v>
      </c>
      <c r="K13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1284400</v>
      </c>
      <c r="L13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33.439905022754971</v>
      </c>
      <c r="M13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1352</v>
      </c>
      <c r="N13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1253.0731707317073</v>
      </c>
      <c r="O13" s="31" t="s">
        <v>94</v>
      </c>
      <c r="P13" s="29" t="s">
        <v>95</v>
      </c>
      <c r="Q13" s="32" t="s">
        <v>96</v>
      </c>
      <c r="R13" s="32" t="s">
        <v>97</v>
      </c>
    </row>
    <row r="14" spans="2:21" x14ac:dyDescent="0.3">
      <c r="B14" s="26" t="s">
        <v>77</v>
      </c>
      <c r="C14" s="56" t="s">
        <v>108</v>
      </c>
      <c r="D14" s="26" t="s">
        <v>109</v>
      </c>
      <c r="E14" s="26" t="s">
        <v>6</v>
      </c>
      <c r="F14" s="37" t="s">
        <v>24</v>
      </c>
      <c r="G14" s="66">
        <v>652</v>
      </c>
      <c r="H14" s="66">
        <f>IF(Tabla32[[#This Row],[CIF/FOB/Nacional]]="Nacional", Tabla32[[#This Row],[Costo producto]],IF(Tabla32[[#This Row],[CIF/FOB/Nacional]]="CIF", Tabla32[[#This Row],[Costo producto]], Tabla32[[#This Row],[Costo producto]]*1.3))</f>
        <v>847.6</v>
      </c>
      <c r="I14" s="65">
        <v>0.5</v>
      </c>
      <c r="J14" s="66">
        <f t="shared" si="0"/>
        <v>1695.2</v>
      </c>
      <c r="K14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1610440</v>
      </c>
      <c r="L14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41.928496297761995</v>
      </c>
      <c r="M14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1695.2</v>
      </c>
      <c r="N14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1571.1609756097562</v>
      </c>
      <c r="O14" s="31" t="s">
        <v>94</v>
      </c>
      <c r="P14" s="29" t="s">
        <v>95</v>
      </c>
      <c r="Q14" s="32" t="s">
        <v>96</v>
      </c>
      <c r="R14" s="32" t="s">
        <v>97</v>
      </c>
    </row>
    <row r="15" spans="2:21" ht="100.8" x14ac:dyDescent="0.3">
      <c r="B15" s="26" t="s">
        <v>77</v>
      </c>
      <c r="C15" s="56" t="s">
        <v>110</v>
      </c>
      <c r="D15" s="26" t="s">
        <v>111</v>
      </c>
      <c r="E15" s="26" t="s">
        <v>6</v>
      </c>
      <c r="F15" s="37" t="s">
        <v>24</v>
      </c>
      <c r="G15" s="66">
        <v>368.8</v>
      </c>
      <c r="H15" s="66">
        <f>IF(Tabla32[[#This Row],[CIF/FOB/Nacional]]="Nacional", Tabla32[[#This Row],[Costo producto]],IF(Tabla32[[#This Row],[CIF/FOB/Nacional]]="CIF", Tabla32[[#This Row],[Costo producto]], Tabla32[[#This Row],[Costo producto]]*1.3))</f>
        <v>479.44000000000005</v>
      </c>
      <c r="I15" s="65">
        <v>0.5</v>
      </c>
      <c r="J15" s="66">
        <f t="shared" si="0"/>
        <v>958.88000000000011</v>
      </c>
      <c r="K15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910936.00000000012</v>
      </c>
      <c r="L15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23.716609562292373</v>
      </c>
      <c r="M15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958.88000000000011</v>
      </c>
      <c r="N15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888.71804878048795</v>
      </c>
      <c r="O15" s="27"/>
      <c r="P15" s="56"/>
      <c r="Q15" s="67"/>
      <c r="R15" s="67"/>
    </row>
    <row r="16" spans="2:21" x14ac:dyDescent="0.3">
      <c r="B16" s="26" t="s">
        <v>112</v>
      </c>
      <c r="C16" s="56" t="s">
        <v>131</v>
      </c>
      <c r="D16" s="26" t="s">
        <v>113</v>
      </c>
      <c r="E16" s="26" t="s">
        <v>1</v>
      </c>
      <c r="F16" s="37" t="s">
        <v>27</v>
      </c>
      <c r="G16" s="66">
        <v>200000</v>
      </c>
      <c r="H16" s="66">
        <f>IF(Tabla32[[#This Row],[CIF/FOB/Nacional]]="Nacional", Tabla32[[#This Row],[Costo producto]],IF(Tabla32[[#This Row],[CIF/FOB/Nacional]]="CIF", Tabla32[[#This Row],[Costo producto]], Tabla32[[#This Row],[Costo producto]]*1.3))</f>
        <v>200000</v>
      </c>
      <c r="I16" s="65">
        <v>0.5</v>
      </c>
      <c r="J16" s="66">
        <f t="shared" si="0"/>
        <v>400000</v>
      </c>
      <c r="K16" s="66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400000</v>
      </c>
      <c r="L16" s="66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10.414171604719703</v>
      </c>
      <c r="M16" s="66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400000</v>
      </c>
      <c r="N16" s="66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390.2439024390244</v>
      </c>
      <c r="O16" s="27" t="s">
        <v>114</v>
      </c>
      <c r="P16" s="56" t="s">
        <v>115</v>
      </c>
      <c r="Q16" s="67"/>
      <c r="R16" s="67"/>
    </row>
  </sheetData>
  <mergeCells count="2">
    <mergeCell ref="E2:K3"/>
    <mergeCell ref="F4:K4"/>
  </mergeCells>
  <dataValidations count="1">
    <dataValidation type="list" allowBlank="1" showInputMessage="1" showErrorMessage="1" sqref="C3" xr:uid="{F71B8CD7-3D14-40CE-9270-B35EF4C83E60}">
      <formula1>$B$3</formula1>
    </dataValidation>
  </dataValidations>
  <hyperlinks>
    <hyperlink ref="Q7" r:id="rId1" xr:uid="{CB8D171E-CB3D-4D15-9B4A-C52C535AD811}"/>
    <hyperlink ref="R7" r:id="rId2" xr:uid="{18DB9477-4CF7-45A9-8533-F9575ADA39F6}"/>
    <hyperlink ref="Q8" r:id="rId3" xr:uid="{E6D217ED-2CF0-41AE-8410-95C7F1D2F7C7}"/>
    <hyperlink ref="Q9:Q13" r:id="rId4" display="kyla@hondetech.com" xr:uid="{83D943AB-91B6-4C24-A1D0-F2D4C2429BD8}"/>
    <hyperlink ref="R8" r:id="rId5" xr:uid="{73E53C31-0A24-40E7-8306-CB25C71100A7}"/>
    <hyperlink ref="R9:R13" r:id="rId6" display="http://www.hondetechco.com/" xr:uid="{D7C126EA-B1D8-4261-9313-DDE6BB8EB918}"/>
    <hyperlink ref="Q14" r:id="rId7" xr:uid="{90F59941-1F9A-46C0-A0F0-156378B83547}"/>
    <hyperlink ref="R14" r:id="rId8" xr:uid="{A9010D05-F144-441B-9AD8-8B30BAC73DF6}"/>
  </hyperlinks>
  <pageMargins left="0.7" right="0.7" top="0.75" bottom="0.75" header="0.3" footer="0.3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11" name="Button 5">
              <controlPr defaultSize="0" print="0" autoFill="0" autoPict="0" macro="[0]!CrearTablaDinamicaProductos">
                <anchor moveWithCells="1" sizeWithCells="1">
                  <from>
                    <xdr:col>1</xdr:col>
                    <xdr:colOff>190500</xdr:colOff>
                    <xdr:row>0</xdr:row>
                    <xdr:rowOff>137160</xdr:rowOff>
                  </from>
                  <to>
                    <xdr:col>3</xdr:col>
                    <xdr:colOff>1287780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3EA190-C74B-42BA-8C8A-F7EEA63182B0}">
          <x14:formula1>
            <xm:f>'Datos generales'!$F$7:$F$10</xm:f>
          </x14:formula1>
          <xm:sqref>F7:F16</xm:sqref>
        </x14:dataValidation>
        <x14:dataValidation type="list" allowBlank="1" showInputMessage="1" showErrorMessage="1" xr:uid="{F113163F-A343-42D0-9952-298CF978A04A}">
          <x14:formula1>
            <xm:f>'Datos generales'!$B$8:$B$13</xm:f>
          </x14:formula1>
          <xm:sqref>E7:E16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CEE5C197868B44BB872BA74166DDD1" ma:contentTypeVersion="4" ma:contentTypeDescription="Create a new document." ma:contentTypeScope="" ma:versionID="9c1dd8a49744eff909f4de76ddbc68ba">
  <xsd:schema xmlns:xsd="http://www.w3.org/2001/XMLSchema" xmlns:xs="http://www.w3.org/2001/XMLSchema" xmlns:p="http://schemas.microsoft.com/office/2006/metadata/properties" xmlns:ns2="37dafeb7-7fe1-4474-9d8b-3102c5510585" targetNamespace="http://schemas.microsoft.com/office/2006/metadata/properties" ma:root="true" ma:fieldsID="e063ccab58f85d66dc0e1b34ac7e9721" ns2:_="">
    <xsd:import namespace="37dafeb7-7fe1-4474-9d8b-3102c55105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afeb7-7fe1-4474-9d8b-3102c55105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3097E39-F679-4CB4-89FF-8AC88073F7A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B251D4E-E951-4EAB-A34A-C8B16586F5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dafeb7-7fe1-4474-9d8b-3102c5510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EF0F0B-E03D-4CCB-868D-673622C5A59D}">
  <ds:schemaRefs>
    <ds:schemaRef ds:uri="http://schemas.microsoft.com/office/infopath/2007/PartnerControls"/>
    <ds:schemaRef ds:uri="http://purl.org/dc/dcmitype/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37dafeb7-7fe1-4474-9d8b-3102c551058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Datos generales</vt:lpstr>
      <vt:lpstr>Datos proyecto</vt:lpstr>
      <vt:lpstr>Resumen</vt:lpstr>
      <vt:lpstr>Desarrollo</vt:lpstr>
      <vt:lpstr>Viajes</vt:lpstr>
      <vt:lpstr>BoM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ignacio perez</dc:creator>
  <cp:keywords/>
  <dc:description/>
  <cp:lastModifiedBy>Ignacio Perez</cp:lastModifiedBy>
  <cp:revision/>
  <dcterms:created xsi:type="dcterms:W3CDTF">2025-01-21T12:47:23Z</dcterms:created>
  <dcterms:modified xsi:type="dcterms:W3CDTF">2025-04-11T01:45:25Z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0x0101000BCEE5C197868B44BB872BA74166DDD1</vt:lpwstr>
  </property>
  <property fmtid="{D5CDD505-2E9C-101B-9397-08002B2CF9AE}" pid="3" name="MediaServiceImageTags">
    <vt:lpwstr/>
  </property>
  <property fmtid="{D5CDD505-2E9C-101B-9397-08002B2CF9AE}" pid="4" name="Order">
    <vt:r8>299400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