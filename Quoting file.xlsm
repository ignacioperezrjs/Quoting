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gnac\Downloads\"/>
    </mc:Choice>
  </mc:AlternateContent>
  <xr:revisionPtr revIDLastSave="0" documentId="13_ncr:1_{8FC33F16-1EC6-4540-892C-9E71B163A36A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Datos generales" sheetId="1" r:id="rId1"/>
    <sheet name="Datos proyecto" sheetId="14" r:id="rId2"/>
    <sheet name="Resumen" sheetId="3" r:id="rId3"/>
    <sheet name="Desarrollo" sheetId="13" r:id="rId4"/>
    <sheet name="Viajes" sheetId="16" r:id="rId5"/>
    <sheet name="BoM" sheetId="11" r:id="rId6"/>
    <sheet name="Productos" sheetId="9" r:id="rId7"/>
  </sheets>
  <definedNames>
    <definedName name="_xleta.DOLLAR" hidden="1" xlm="1">#NAME?</definedName>
    <definedName name="_xleta.T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7" i="9" l="1"/>
  <c r="H18" i="9"/>
  <c r="H19" i="9"/>
  <c r="H20" i="9"/>
  <c r="H21" i="9"/>
  <c r="H22" i="9"/>
  <c r="H23" i="9"/>
  <c r="J23" i="9" s="1"/>
  <c r="H24" i="9"/>
  <c r="H25" i="9"/>
  <c r="J25" i="9" s="1"/>
  <c r="H26" i="9"/>
  <c r="J26" i="9" s="1"/>
  <c r="H27" i="9"/>
  <c r="J27" i="9" s="1"/>
  <c r="H28" i="9"/>
  <c r="H29" i="9"/>
  <c r="H30" i="9"/>
  <c r="H31" i="9"/>
  <c r="H32" i="9"/>
  <c r="H33" i="9"/>
  <c r="H34" i="9"/>
  <c r="H35" i="9"/>
  <c r="J35" i="9" s="1"/>
  <c r="H36" i="9"/>
  <c r="H37" i="9"/>
  <c r="H38" i="9"/>
  <c r="J38" i="9" s="1"/>
  <c r="H39" i="9"/>
  <c r="J39" i="9" s="1"/>
  <c r="H40" i="9"/>
  <c r="H41" i="9"/>
  <c r="H42" i="9"/>
  <c r="H43" i="9"/>
  <c r="H44" i="9"/>
  <c r="H45" i="9"/>
  <c r="H46" i="9"/>
  <c r="H47" i="9"/>
  <c r="H48" i="9"/>
  <c r="H49" i="9"/>
  <c r="H50" i="9"/>
  <c r="J50" i="9" s="1"/>
  <c r="H51" i="9"/>
  <c r="J51" i="9" s="1"/>
  <c r="H52" i="9"/>
  <c r="I52" i="9"/>
  <c r="I51" i="9"/>
  <c r="I50" i="9"/>
  <c r="I49" i="9"/>
  <c r="I48" i="9"/>
  <c r="I47" i="9"/>
  <c r="I46" i="9"/>
  <c r="I45" i="9"/>
  <c r="J45" i="9" s="1"/>
  <c r="I44" i="9"/>
  <c r="I43" i="9"/>
  <c r="J43" i="9" s="1"/>
  <c r="I42" i="9"/>
  <c r="J42" i="9" s="1"/>
  <c r="I41" i="9"/>
  <c r="J41" i="9" s="1"/>
  <c r="I40" i="9"/>
  <c r="I39" i="9"/>
  <c r="I38" i="9"/>
  <c r="I37" i="9"/>
  <c r="I36" i="9"/>
  <c r="I35" i="9"/>
  <c r="I34" i="9"/>
  <c r="I33" i="9"/>
  <c r="J33" i="9" s="1"/>
  <c r="I32" i="9"/>
  <c r="I31" i="9"/>
  <c r="J31" i="9" s="1"/>
  <c r="I30" i="9"/>
  <c r="J30" i="9" s="1"/>
  <c r="I29" i="9"/>
  <c r="J29" i="9" s="1"/>
  <c r="I28" i="9"/>
  <c r="I27" i="9"/>
  <c r="I26" i="9"/>
  <c r="I25" i="9"/>
  <c r="I24" i="9"/>
  <c r="I23" i="9"/>
  <c r="I22" i="9"/>
  <c r="I21" i="9"/>
  <c r="I20" i="9"/>
  <c r="I19" i="9"/>
  <c r="J19" i="9" s="1"/>
  <c r="I18" i="9"/>
  <c r="J18" i="9" s="1"/>
  <c r="I17" i="9"/>
  <c r="J17" i="9" s="1"/>
  <c r="I16" i="9"/>
  <c r="I15" i="9"/>
  <c r="I14" i="9"/>
  <c r="I13" i="9"/>
  <c r="I12" i="9"/>
  <c r="I11" i="9"/>
  <c r="I10" i="9"/>
  <c r="I9" i="9"/>
  <c r="I8" i="9"/>
  <c r="I7" i="9"/>
  <c r="J40" i="9" l="1"/>
  <c r="J28" i="9"/>
  <c r="J47" i="9"/>
  <c r="N47" i="9" s="1"/>
  <c r="J46" i="9"/>
  <c r="J24" i="9"/>
  <c r="J36" i="9"/>
  <c r="K36" i="9" s="1"/>
  <c r="J48" i="9"/>
  <c r="K48" i="9" s="1"/>
  <c r="J49" i="9"/>
  <c r="L49" i="9" s="1"/>
  <c r="J32" i="9"/>
  <c r="K32" i="9" s="1"/>
  <c r="J52" i="9"/>
  <c r="N52" i="9" s="1"/>
  <c r="K52" i="9"/>
  <c r="M52" i="9"/>
  <c r="K28" i="9"/>
  <c r="L28" i="9"/>
  <c r="N28" i="9"/>
  <c r="M28" i="9"/>
  <c r="K51" i="9"/>
  <c r="M51" i="9"/>
  <c r="N51" i="9"/>
  <c r="L51" i="9"/>
  <c r="N39" i="9"/>
  <c r="M39" i="9"/>
  <c r="L39" i="9"/>
  <c r="K39" i="9"/>
  <c r="K27" i="9"/>
  <c r="N27" i="9"/>
  <c r="M27" i="9"/>
  <c r="N38" i="9"/>
  <c r="M38" i="9"/>
  <c r="L38" i="9"/>
  <c r="K38" i="9"/>
  <c r="N26" i="9"/>
  <c r="K26" i="9"/>
  <c r="M26" i="9"/>
  <c r="L26" i="9"/>
  <c r="K25" i="9"/>
  <c r="M25" i="9"/>
  <c r="L25" i="9"/>
  <c r="N25" i="9"/>
  <c r="M35" i="9"/>
  <c r="N35" i="9"/>
  <c r="L35" i="9"/>
  <c r="K35" i="9"/>
  <c r="K23" i="9"/>
  <c r="L23" i="9"/>
  <c r="N23" i="9"/>
  <c r="M23" i="9"/>
  <c r="M47" i="9"/>
  <c r="J21" i="9"/>
  <c r="L21" i="9" s="1"/>
  <c r="J20" i="9"/>
  <c r="K20" i="9" s="1"/>
  <c r="J44" i="9"/>
  <c r="L44" i="9" s="1"/>
  <c r="J37" i="9"/>
  <c r="K37" i="9" s="1"/>
  <c r="J22" i="9"/>
  <c r="K22" i="9" s="1"/>
  <c r="J34" i="9"/>
  <c r="K34" i="9" s="1"/>
  <c r="K33" i="9"/>
  <c r="N33" i="9"/>
  <c r="M33" i="9"/>
  <c r="L33" i="9"/>
  <c r="K45" i="9"/>
  <c r="L45" i="9"/>
  <c r="M45" i="9"/>
  <c r="N45" i="9"/>
  <c r="M22" i="9"/>
  <c r="N34" i="9"/>
  <c r="L34" i="9"/>
  <c r="M34" i="9"/>
  <c r="K40" i="9"/>
  <c r="L40" i="9"/>
  <c r="M40" i="9"/>
  <c r="N40" i="9"/>
  <c r="K24" i="9"/>
  <c r="L24" i="9"/>
  <c r="M24" i="9"/>
  <c r="N24" i="9"/>
  <c r="M36" i="9"/>
  <c r="M48" i="9"/>
  <c r="N48" i="9"/>
  <c r="K50" i="9"/>
  <c r="M50" i="9"/>
  <c r="L50" i="9"/>
  <c r="N50" i="9"/>
  <c r="K17" i="9"/>
  <c r="L17" i="9"/>
  <c r="M17" i="9"/>
  <c r="N17" i="9"/>
  <c r="K29" i="9"/>
  <c r="L29" i="9"/>
  <c r="M29" i="9"/>
  <c r="N29" i="9"/>
  <c r="K41" i="9"/>
  <c r="L41" i="9"/>
  <c r="M41" i="9"/>
  <c r="N41" i="9"/>
  <c r="L46" i="9"/>
  <c r="M46" i="9"/>
  <c r="K46" i="9"/>
  <c r="N46" i="9"/>
  <c r="K18" i="9"/>
  <c r="L18" i="9"/>
  <c r="M18" i="9"/>
  <c r="N18" i="9"/>
  <c r="K30" i="9"/>
  <c r="L30" i="9"/>
  <c r="M30" i="9"/>
  <c r="N30" i="9"/>
  <c r="K42" i="9"/>
  <c r="L42" i="9"/>
  <c r="M42" i="9"/>
  <c r="N42" i="9"/>
  <c r="M21" i="9"/>
  <c r="N21" i="9"/>
  <c r="K19" i="9"/>
  <c r="L19" i="9"/>
  <c r="M19" i="9"/>
  <c r="N19" i="9"/>
  <c r="M31" i="9"/>
  <c r="N31" i="9"/>
  <c r="K31" i="9"/>
  <c r="L31" i="9"/>
  <c r="K43" i="9"/>
  <c r="L43" i="9"/>
  <c r="M43" i="9"/>
  <c r="N43" i="9"/>
  <c r="L32" i="9"/>
  <c r="M32" i="9"/>
  <c r="N32" i="9"/>
  <c r="L27" i="9"/>
  <c r="N49" i="9" l="1"/>
  <c r="L48" i="9"/>
  <c r="K47" i="9"/>
  <c r="K49" i="9"/>
  <c r="N36" i="9"/>
  <c r="L47" i="9"/>
  <c r="L22" i="9"/>
  <c r="M49" i="9"/>
  <c r="L37" i="9"/>
  <c r="L36" i="9"/>
  <c r="L52" i="9"/>
  <c r="N22" i="9"/>
  <c r="N37" i="9"/>
  <c r="M37" i="9"/>
  <c r="M44" i="9"/>
  <c r="N44" i="9"/>
  <c r="K21" i="9"/>
  <c r="K44" i="9"/>
  <c r="M20" i="9"/>
  <c r="L20" i="9"/>
  <c r="N20" i="9"/>
  <c r="J9" i="16" l="1"/>
  <c r="I11" i="16"/>
  <c r="K11" i="16" s="1"/>
  <c r="I12" i="16"/>
  <c r="K12" i="16" s="1"/>
  <c r="I13" i="16"/>
  <c r="K13" i="16" s="1"/>
  <c r="D10" i="16"/>
  <c r="E9" i="16"/>
  <c r="D9" i="16"/>
  <c r="D4" i="16"/>
  <c r="J10" i="16" s="1"/>
  <c r="D5" i="16"/>
  <c r="E4" i="16"/>
  <c r="F4" i="16" s="1"/>
  <c r="E5" i="16"/>
  <c r="G9" i="16" s="1"/>
  <c r="I9" i="16" s="1"/>
  <c r="F13" i="16"/>
  <c r="F12" i="16"/>
  <c r="F11" i="16"/>
  <c r="F10" i="16"/>
  <c r="F9" i="16"/>
  <c r="F7" i="13"/>
  <c r="F8" i="13"/>
  <c r="F9" i="13"/>
  <c r="F10" i="13"/>
  <c r="F11" i="13"/>
  <c r="F12" i="13"/>
  <c r="Q11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K3" i="1"/>
  <c r="K2" i="1"/>
  <c r="K4" i="1" s="1"/>
  <c r="D3" i="1" s="1"/>
  <c r="C9" i="14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G7" i="11"/>
  <c r="Q7" i="11" s="1"/>
  <c r="G8" i="11"/>
  <c r="Q8" i="11" s="1"/>
  <c r="G9" i="11"/>
  <c r="Q9" i="11" s="1"/>
  <c r="G10" i="11"/>
  <c r="Q10" i="11" s="1"/>
  <c r="G11" i="11"/>
  <c r="G12" i="11"/>
  <c r="Q12" i="11" s="1"/>
  <c r="G13" i="11"/>
  <c r="Q13" i="11" s="1"/>
  <c r="G14" i="11"/>
  <c r="Q14" i="11" s="1"/>
  <c r="G15" i="11"/>
  <c r="Q15" i="11" s="1"/>
  <c r="G16" i="11"/>
  <c r="Q16" i="11" s="1"/>
  <c r="G17" i="11"/>
  <c r="Q17" i="11" s="1"/>
  <c r="G18" i="11"/>
  <c r="Q18" i="11" s="1"/>
  <c r="G19" i="11"/>
  <c r="Q19" i="11" s="1"/>
  <c r="G20" i="11"/>
  <c r="Q20" i="11" s="1"/>
  <c r="G21" i="11"/>
  <c r="Q21" i="11" s="1"/>
  <c r="G22" i="11"/>
  <c r="Q22" i="11" s="1"/>
  <c r="G23" i="11"/>
  <c r="Q23" i="11" s="1"/>
  <c r="G24" i="11"/>
  <c r="Q24" i="11" s="1"/>
  <c r="G25" i="11"/>
  <c r="Q25" i="11" s="1"/>
  <c r="G26" i="11"/>
  <c r="Q26" i="11" s="1"/>
  <c r="G27" i="11"/>
  <c r="Q27" i="11" s="1"/>
  <c r="G28" i="11"/>
  <c r="Q28" i="11" s="1"/>
  <c r="G29" i="11"/>
  <c r="Q29" i="11" s="1"/>
  <c r="G30" i="11"/>
  <c r="Q30" i="11" s="1"/>
  <c r="G31" i="11"/>
  <c r="Q31" i="11" s="1"/>
  <c r="G32" i="11"/>
  <c r="Q32" i="11" s="1"/>
  <c r="F11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0" i="11"/>
  <c r="F9" i="11"/>
  <c r="F8" i="11"/>
  <c r="H16" i="9"/>
  <c r="J16" i="9" s="1"/>
  <c r="M16" i="9" s="1"/>
  <c r="H15" i="9"/>
  <c r="J15" i="9" s="1"/>
  <c r="K15" i="9" s="1"/>
  <c r="K9" i="11" s="1"/>
  <c r="H14" i="9"/>
  <c r="J14" i="9" s="1"/>
  <c r="K14" i="9" s="1"/>
  <c r="H13" i="9"/>
  <c r="J13" i="9" s="1"/>
  <c r="N13" i="9" s="1"/>
  <c r="H12" i="9"/>
  <c r="J12" i="9" s="1"/>
  <c r="L12" i="9" s="1"/>
  <c r="H11" i="9"/>
  <c r="J11" i="9" s="1"/>
  <c r="L11" i="9" s="1"/>
  <c r="H10" i="9"/>
  <c r="J10" i="9" s="1"/>
  <c r="K10" i="9" s="1"/>
  <c r="H9" i="9"/>
  <c r="J9" i="9" s="1"/>
  <c r="M9" i="9" s="1"/>
  <c r="O9" i="11"/>
  <c r="H8" i="9"/>
  <c r="J8" i="9" s="1"/>
  <c r="M8" i="9" s="1"/>
  <c r="O32" i="11"/>
  <c r="N32" i="11"/>
  <c r="O31" i="11"/>
  <c r="N31" i="11"/>
  <c r="O30" i="11"/>
  <c r="N30" i="11"/>
  <c r="O29" i="11"/>
  <c r="N29" i="11"/>
  <c r="O28" i="11"/>
  <c r="N28" i="11"/>
  <c r="O27" i="11"/>
  <c r="N27" i="11"/>
  <c r="O26" i="11"/>
  <c r="N26" i="11"/>
  <c r="O25" i="11"/>
  <c r="N25" i="11"/>
  <c r="O24" i="11"/>
  <c r="N24" i="11"/>
  <c r="O23" i="11"/>
  <c r="N23" i="11"/>
  <c r="O22" i="11"/>
  <c r="N22" i="11"/>
  <c r="O21" i="11"/>
  <c r="N21" i="11"/>
  <c r="O20" i="11"/>
  <c r="N20" i="11"/>
  <c r="O19" i="11"/>
  <c r="N19" i="11"/>
  <c r="O18" i="11"/>
  <c r="N18" i="11"/>
  <c r="O17" i="11"/>
  <c r="N17" i="11"/>
  <c r="O16" i="11"/>
  <c r="N16" i="11"/>
  <c r="O15" i="11"/>
  <c r="N15" i="11"/>
  <c r="O14" i="11"/>
  <c r="N14" i="11"/>
  <c r="O13" i="11"/>
  <c r="N13" i="11"/>
  <c r="O12" i="11"/>
  <c r="N12" i="11"/>
  <c r="O11" i="11"/>
  <c r="N11" i="11"/>
  <c r="O10" i="11"/>
  <c r="N10" i="11"/>
  <c r="I12" i="13"/>
  <c r="O8" i="11"/>
  <c r="J12" i="13"/>
  <c r="J11" i="13"/>
  <c r="J10" i="13"/>
  <c r="J9" i="13"/>
  <c r="P8" i="1"/>
  <c r="I10" i="13" s="1"/>
  <c r="P9" i="1"/>
  <c r="I11" i="13" s="1"/>
  <c r="P10" i="1"/>
  <c r="P11" i="1"/>
  <c r="J8" i="13"/>
  <c r="J7" i="13"/>
  <c r="O7" i="11"/>
  <c r="H7" i="9"/>
  <c r="J7" i="9" s="1"/>
  <c r="M7" i="9" s="1"/>
  <c r="M13" i="9" l="1"/>
  <c r="R12" i="11"/>
  <c r="R11" i="11"/>
  <c r="R23" i="11"/>
  <c r="I8" i="13"/>
  <c r="K8" i="13" s="1"/>
  <c r="M8" i="13" s="1"/>
  <c r="N8" i="13" s="1"/>
  <c r="L14" i="9"/>
  <c r="K9" i="16"/>
  <c r="R15" i="11"/>
  <c r="R19" i="11"/>
  <c r="R27" i="11"/>
  <c r="R31" i="11"/>
  <c r="G10" i="16"/>
  <c r="I10" i="16" s="1"/>
  <c r="K10" i="16" s="1"/>
  <c r="F5" i="16"/>
  <c r="R30" i="11"/>
  <c r="K16" i="9"/>
  <c r="R24" i="11"/>
  <c r="R18" i="11"/>
  <c r="R25" i="11"/>
  <c r="L16" i="9"/>
  <c r="L15" i="9"/>
  <c r="L9" i="11" s="1"/>
  <c r="M12" i="9"/>
  <c r="N9" i="9"/>
  <c r="N8" i="9"/>
  <c r="M8" i="11" s="1"/>
  <c r="R28" i="11"/>
  <c r="R16" i="11"/>
  <c r="R32" i="11"/>
  <c r="R20" i="11"/>
  <c r="R29" i="11"/>
  <c r="R14" i="11"/>
  <c r="R13" i="11"/>
  <c r="R17" i="11"/>
  <c r="R26" i="11"/>
  <c r="R22" i="11"/>
  <c r="R10" i="11"/>
  <c r="R9" i="11"/>
  <c r="R21" i="11"/>
  <c r="N10" i="9"/>
  <c r="M10" i="9"/>
  <c r="K13" i="9"/>
  <c r="L10" i="9"/>
  <c r="N16" i="9"/>
  <c r="L13" i="9"/>
  <c r="K12" i="9"/>
  <c r="L9" i="9"/>
  <c r="N15" i="9"/>
  <c r="K11" i="9"/>
  <c r="L8" i="9"/>
  <c r="L8" i="11" s="1"/>
  <c r="N14" i="9"/>
  <c r="K9" i="9"/>
  <c r="M15" i="9"/>
  <c r="J9" i="11" s="1"/>
  <c r="N12" i="9"/>
  <c r="K8" i="9"/>
  <c r="K8" i="11" s="1"/>
  <c r="M14" i="9"/>
  <c r="N11" i="9"/>
  <c r="M11" i="9"/>
  <c r="N7" i="9"/>
  <c r="M7" i="11" s="1"/>
  <c r="K7" i="9"/>
  <c r="K7" i="11" s="1"/>
  <c r="R7" i="11" s="1"/>
  <c r="L7" i="9"/>
  <c r="L7" i="11" s="1"/>
  <c r="J8" i="11"/>
  <c r="R8" i="11" s="1"/>
  <c r="J7" i="11"/>
  <c r="I7" i="13"/>
  <c r="K7" i="13" s="1"/>
  <c r="M7" i="13" s="1"/>
  <c r="N7" i="13" s="1"/>
  <c r="K11" i="13"/>
  <c r="M11" i="13" s="1"/>
  <c r="N11" i="13" s="1"/>
  <c r="I9" i="13"/>
  <c r="K9" i="13" s="1"/>
  <c r="M9" i="13" s="1"/>
  <c r="N9" i="13" s="1"/>
  <c r="K10" i="13"/>
  <c r="M10" i="13" s="1"/>
  <c r="N10" i="13" s="1"/>
  <c r="K12" i="13"/>
  <c r="M12" i="13" s="1"/>
  <c r="N12" i="13" s="1"/>
  <c r="N8" i="11" l="1"/>
  <c r="M9" i="11"/>
  <c r="N9" i="11"/>
  <c r="P10" i="13"/>
  <c r="N7" i="11"/>
  <c r="F7" i="11"/>
</calcChain>
</file>

<file path=xl/sharedStrings.xml><?xml version="1.0" encoding="utf-8"?>
<sst xmlns="http://schemas.openxmlformats.org/spreadsheetml/2006/main" count="492" uniqueCount="213">
  <si>
    <t>Info general</t>
  </si>
  <si>
    <t>CLP</t>
  </si>
  <si>
    <t>"Lista automática": al apretar la casilla de la columna correspondiente a esta nota, se desplegará un calendario para ingresar la fecha</t>
  </si>
  <si>
    <t>UF</t>
  </si>
  <si>
    <t>Datos</t>
  </si>
  <si>
    <t>Valor</t>
  </si>
  <si>
    <t>USD</t>
  </si>
  <si>
    <t>"Automático": Las celdas de la columna se actualizan automáticamente, dependiendo de otros factores de la tabla presente o de las tablas de "datos importantes"</t>
  </si>
  <si>
    <t>Fecha</t>
  </si>
  <si>
    <t>Supervisor Wolke</t>
  </si>
  <si>
    <t>José Valenzuela</t>
  </si>
  <si>
    <t>Cliente</t>
  </si>
  <si>
    <t>Trefimet</t>
  </si>
  <si>
    <t>Dirección Wolke</t>
  </si>
  <si>
    <t>Avenida Pedro de Valdivia 273, of. 201</t>
  </si>
  <si>
    <t>Tipo moneda</t>
  </si>
  <si>
    <t>Tipo costo</t>
  </si>
  <si>
    <t>CIF</t>
  </si>
  <si>
    <t>Cargos</t>
  </si>
  <si>
    <t>Ponderador Precio</t>
  </si>
  <si>
    <t>Puesto</t>
  </si>
  <si>
    <t>Costo UF HH</t>
  </si>
  <si>
    <t>Margen</t>
  </si>
  <si>
    <t>Precio cliente</t>
  </si>
  <si>
    <t>FOB</t>
  </si>
  <si>
    <t>Junior</t>
  </si>
  <si>
    <t>Software</t>
  </si>
  <si>
    <t>Nacional</t>
  </si>
  <si>
    <t>Intermedio</t>
  </si>
  <si>
    <t>Electrico</t>
  </si>
  <si>
    <t>EUR</t>
  </si>
  <si>
    <t>Senior</t>
  </si>
  <si>
    <t>Técnico Instalador</t>
  </si>
  <si>
    <t>Equipo comercial</t>
  </si>
  <si>
    <t>Número grupo</t>
  </si>
  <si>
    <t>Secciones</t>
  </si>
  <si>
    <t>Descripción</t>
  </si>
  <si>
    <t>Tipo de venta</t>
  </si>
  <si>
    <t>Sensores y Soportes</t>
  </si>
  <si>
    <t>Viático dentro de santiago</t>
  </si>
  <si>
    <t>Salida en Santiago</t>
  </si>
  <si>
    <t>Productos</t>
  </si>
  <si>
    <t>Comunicaciones y Tableros</t>
  </si>
  <si>
    <t>Viático fuera de santiago por el día</t>
  </si>
  <si>
    <t>Salida diaria</t>
  </si>
  <si>
    <t>Opcional</t>
  </si>
  <si>
    <t>Integraciones Adicionales</t>
  </si>
  <si>
    <t>Viático viaje largo 1n o más</t>
  </si>
  <si>
    <t>Salida/noche</t>
  </si>
  <si>
    <t>HH</t>
  </si>
  <si>
    <t>Instalaciones</t>
  </si>
  <si>
    <t>Tarea</t>
  </si>
  <si>
    <t>Producto</t>
  </si>
  <si>
    <t>VigíaBox Neo</t>
  </si>
  <si>
    <t>Selección</t>
  </si>
  <si>
    <t>Manual</t>
  </si>
  <si>
    <t>Automático</t>
  </si>
  <si>
    <t>Sección</t>
  </si>
  <si>
    <t>Puesto Encargado</t>
  </si>
  <si>
    <t>Cargo</t>
  </si>
  <si>
    <t>Precio por hora UF</t>
  </si>
  <si>
    <t>Ponderador</t>
  </si>
  <si>
    <t>Cantidad horas</t>
  </si>
  <si>
    <t>Precio UF</t>
  </si>
  <si>
    <t>Precio Moneda</t>
  </si>
  <si>
    <t>Descripción tarea 1</t>
  </si>
  <si>
    <t>manejar por horas</t>
  </si>
  <si>
    <t>Escritura manual</t>
  </si>
  <si>
    <t>Agrupación</t>
  </si>
  <si>
    <t>Nombre producto</t>
  </si>
  <si>
    <t>Unidades</t>
  </si>
  <si>
    <t>Proveedor</t>
  </si>
  <si>
    <t>Link de compra</t>
  </si>
  <si>
    <t>RTU</t>
  </si>
  <si>
    <t>Sensor</t>
  </si>
  <si>
    <t>ORP-RDSOR</t>
  </si>
  <si>
    <t>Tipo de moneda</t>
  </si>
  <si>
    <t>CIF/FOB/Nacional</t>
  </si>
  <si>
    <t>Costo producto</t>
  </si>
  <si>
    <t>Costo de producto a oficina</t>
  </si>
  <si>
    <t>Precio Moneda compra</t>
  </si>
  <si>
    <t>Precio CLP</t>
  </si>
  <si>
    <t>Precio USD</t>
  </si>
  <si>
    <t>Fabricante</t>
  </si>
  <si>
    <t>Nombre Vendedor</t>
  </si>
  <si>
    <t>Correo ; Número</t>
  </si>
  <si>
    <t>Datalogger de fabricación propia - No hay margen porque ese es el precio final</t>
  </si>
  <si>
    <t>Wolke</t>
  </si>
  <si>
    <t>jose.valenzuela@wolke.cl</t>
  </si>
  <si>
    <t>https://www.wolke.cl/</t>
  </si>
  <si>
    <t>Water ORP sensor Modbus Range -1999mV～＋1999mV</t>
  </si>
  <si>
    <t>Honde Technology Co.</t>
  </si>
  <si>
    <t>Kyla</t>
  </si>
  <si>
    <t>kyla@hondetech.com</t>
  </si>
  <si>
    <t>http://www.hondetechco.com/</t>
  </si>
  <si>
    <t>RD-WPHIT</t>
  </si>
  <si>
    <t>Water PH
sensor Modbus Range: 0-14PH</t>
  </si>
  <si>
    <t>RD-TSS-03</t>
  </si>
  <si>
    <t>Water turbidity TSS sludge concentration sensor</t>
  </si>
  <si>
    <t>RD-WNT-02</t>
  </si>
  <si>
    <t>Stainless steelwater quality nitrate temperature 2-in-1 sensor</t>
  </si>
  <si>
    <t>RD-OIW-
01</t>
  </si>
  <si>
    <t>Oil in water sensor</t>
  </si>
  <si>
    <t>RDCBT3IN1-01</t>
  </si>
  <si>
    <t>Water COD BOD TOC Turbidity 4 in 1 type</t>
  </si>
  <si>
    <t>TUF-2000S-02</t>
  </si>
  <si>
    <t>Clamp-on portable ultrasonic flow meter</t>
  </si>
  <si>
    <t>BGT-RD101</t>
  </si>
  <si>
    <t>Radar Level Sensor
Measuring range: 10m
Radar frequency: 80GHz
Accuracy: ±2mm
Power supply: DC7~32V
Output: RS485 Modbus-RTU
Cable length: 10m</t>
  </si>
  <si>
    <t>Soporte</t>
  </si>
  <si>
    <t>Soporte simple 1 sensor INOX</t>
  </si>
  <si>
    <t>Mardinamica</t>
  </si>
  <si>
    <t>Pablo Bernal</t>
  </si>
  <si>
    <t>Moneda final</t>
  </si>
  <si>
    <t>Cantidad</t>
  </si>
  <si>
    <t>a CLP</t>
  </si>
  <si>
    <t>Tipo de Costo, ponderador y margen</t>
  </si>
  <si>
    <t>Tarea 1 - Comunicaciones</t>
  </si>
  <si>
    <t>Tarea 2 - manejo integraciones</t>
  </si>
  <si>
    <t>tarea 3 - instalaciones a realizar opcionales</t>
  </si>
  <si>
    <t>Columna1</t>
  </si>
  <si>
    <t>Columna2</t>
  </si>
  <si>
    <t>Columna3</t>
  </si>
  <si>
    <t>Borrar</t>
  </si>
  <si>
    <t>tarea 4 - instalaciones a realizar opcionales</t>
  </si>
  <si>
    <t>tarea 5 - instalaciones a realizar opcionales</t>
  </si>
  <si>
    <t>copiar y Pegar manual</t>
  </si>
  <si>
    <t>Moneda producto</t>
  </si>
  <si>
    <t>Soporte simple</t>
  </si>
  <si>
    <t>Agrupaciones</t>
  </si>
  <si>
    <t>Márgenes</t>
  </si>
  <si>
    <t>Costo producto moneda producto</t>
  </si>
  <si>
    <t>Precio USD/unitario</t>
  </si>
  <si>
    <t>Precio final moneda seleccionada</t>
  </si>
  <si>
    <t>Moneda Final</t>
  </si>
  <si>
    <t>Ponderador margen (nacional/internacional)</t>
  </si>
  <si>
    <t>Ponderador importación (CIF/FOB)</t>
  </si>
  <si>
    <t>Tipo de viático</t>
  </si>
  <si>
    <t>Viajes</t>
  </si>
  <si>
    <t>Nacional cotizacion</t>
  </si>
  <si>
    <t>Tasa transformación</t>
  </si>
  <si>
    <t>última actualización</t>
  </si>
  <si>
    <t>Fecha hoy:</t>
  </si>
  <si>
    <t>Fecha actualización</t>
  </si>
  <si>
    <t>Diferencia de días</t>
  </si>
  <si>
    <t>Precio Euros</t>
  </si>
  <si>
    <t>Importante: ¡En esta tabla no se transforma a moneda local con un x%!</t>
  </si>
  <si>
    <t>Con el mensaje de arriba me refiero a que no se agrega en esta tabla un 5% adicional por el cambio de moneda extranjera a un CLP</t>
  </si>
  <si>
    <t>Explicación:</t>
  </si>
  <si>
    <t>Precio CLP/Unitario</t>
  </si>
  <si>
    <t>Precio UF/Unitario</t>
  </si>
  <si>
    <t>Precio EUR/ Unitario</t>
  </si>
  <si>
    <t>Divisa extranjera a chilena</t>
  </si>
  <si>
    <t>Tarifa Cambio de divisa</t>
  </si>
  <si>
    <t>Nota: en la columna R se multiplica por el valor en la celda por 1+valor en la celda de la izquierda, en la columna Q -----------&gt; este es un aumento por cambio de divisa</t>
  </si>
  <si>
    <t>Alojamiento</t>
  </si>
  <si>
    <t>1 noche/1persona</t>
  </si>
  <si>
    <t>Costo UF</t>
  </si>
  <si>
    <t>Escritura Manual</t>
  </si>
  <si>
    <t>Días de Trabajo</t>
  </si>
  <si>
    <t>Número de personas</t>
  </si>
  <si>
    <t>Cantidad/tipo</t>
  </si>
  <si>
    <t>Cantidad de personas que van</t>
  </si>
  <si>
    <t>Cantidad de días que se trabajan</t>
  </si>
  <si>
    <t>Cuánto se le paga a cada persona</t>
  </si>
  <si>
    <t>Costo unitario</t>
  </si>
  <si>
    <t>N/A</t>
  </si>
  <si>
    <t>Costo cero (0)</t>
  </si>
  <si>
    <t>Precio final</t>
  </si>
  <si>
    <t>Costo vehículo</t>
  </si>
  <si>
    <t>Transporte</t>
  </si>
  <si>
    <t>Otros</t>
  </si>
  <si>
    <t>No tocar</t>
  </si>
  <si>
    <t>Lugar para que la persona se quede</t>
  </si>
  <si>
    <t>Costo Unitario CLP</t>
  </si>
  <si>
    <t>Precio Unitario</t>
  </si>
  <si>
    <t>La tabla es una ayuda, no sirve para el cálculo final</t>
  </si>
  <si>
    <t>Arriendo unitario</t>
  </si>
  <si>
    <t>Precio por hora</t>
  </si>
  <si>
    <t>Tipo de Venta</t>
  </si>
  <si>
    <t>Tarea 6 - Borrar</t>
  </si>
  <si>
    <t>Moneda</t>
  </si>
  <si>
    <t>Columna4</t>
  </si>
  <si>
    <t>Columna5</t>
  </si>
  <si>
    <t>Columna6</t>
  </si>
  <si>
    <t>SubTotales</t>
  </si>
  <si>
    <t>Claude 3,5 sonnet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</si>
  <si>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</si>
  <si>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</si>
  <si>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</si>
  <si>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</si>
  <si>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</si>
  <si>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</si>
  <si>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</si>
  <si>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</si>
  <si>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cantidad HH</t>
  </si>
  <si>
    <t>EUR 9,92</t>
  </si>
  <si>
    <t>CLP 67.780,94</t>
  </si>
  <si>
    <t>CLP 9.002,16</t>
  </si>
  <si>
    <t>CLP 3.658,02</t>
  </si>
  <si>
    <t>CLP 16.945,24</t>
  </si>
  <si>
    <t>CLP 94.448,85</t>
  </si>
  <si>
    <t>CLP 288.069,00</t>
  </si>
  <si>
    <t>CLP 343.762,34</t>
  </si>
  <si>
    <t>CLP 0,00</t>
  </si>
  <si>
    <t>CLP 55.555,56</t>
  </si>
  <si>
    <t>IVA</t>
  </si>
  <si>
    <t>Columna15</t>
  </si>
  <si>
    <t>Precio Final</t>
  </si>
  <si>
    <t>CLP 2.394.000,00</t>
  </si>
  <si>
    <t>CLP 598.500,00</t>
  </si>
  <si>
    <t>USD 322,14</t>
  </si>
  <si>
    <t>CLP 956.482,80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</si>
</sst>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"/>
    <numFmt numFmtId="166" formatCode="[$-F800]dddd\,\ mmmm\ dd\,\ yyyy"/>
    <numFmt numFmtId="167" formatCode="#,##0.000"/>
    <numFmt numFmtId="168" formatCode="dd/mm/yy;@"/>
    <numFmt numFmtId="169" formatCode="&quot;$&quot;#,##0"/>
  </numFmts>
  <fonts count="1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2"/>
      <color rgb="FF000000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5" tint="0.79998168889431442"/>
      </patternFill>
    </fill>
    <fill>
      <patternFill patternType="solid">
        <fgColor rgb="FFC0E4F5"/>
        <bgColor rgb="FFC0E4F5"/>
      </patternFill>
    </fill>
    <fill>
      <patternFill patternType="solid">
        <fgColor rgb="FFD9D9D9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BFBFBF"/>
        <bgColor indexed="64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rgb="FF43AEE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0" fillId="0" borderId="0" xfId="0" applyNumberFormat="1"/>
    <xf numFmtId="0" fontId="0" fillId="2" borderId="0" xfId="0" applyFill="1"/>
    <xf numFmtId="0" fontId="2" fillId="4" borderId="0" xfId="0" applyFont="1" applyFill="1"/>
    <xf numFmtId="0" fontId="0" fillId="0" borderId="3" xfId="0" applyBorder="1" applyAlignment="1">
      <alignment horizontal="center" vertical="center" wrapText="1"/>
    </xf>
    <xf numFmtId="0" fontId="0" fillId="6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6" borderId="0" xfId="0" applyFill="1" applyAlignment="1">
      <alignment horizontal="center" vertical="center"/>
    </xf>
    <xf numFmtId="167" fontId="0" fillId="0" borderId="1" xfId="0" applyNumberFormat="1" applyBorder="1" applyAlignment="1">
      <alignment horizontal="center" vertical="center" wrapText="1"/>
    </xf>
    <xf numFmtId="164" fontId="0" fillId="6" borderId="0" xfId="0" applyNumberFormat="1" applyFill="1"/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wrapText="1"/>
    </xf>
    <xf numFmtId="0" fontId="0" fillId="6" borderId="0" xfId="0" applyFill="1" applyAlignment="1">
      <alignment vertical="center"/>
    </xf>
    <xf numFmtId="167" fontId="0" fillId="9" borderId="0" xfId="0" applyNumberFormat="1" applyFill="1" applyAlignment="1">
      <alignment horizontal="center" vertical="center" wrapText="1"/>
    </xf>
    <xf numFmtId="167" fontId="0" fillId="6" borderId="0" xfId="0" applyNumberForma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" fillId="3" borderId="6" xfId="0" applyFont="1" applyFill="1" applyBorder="1"/>
    <xf numFmtId="0" fontId="0" fillId="5" borderId="5" xfId="0" applyFill="1" applyBorder="1" applyAlignment="1">
      <alignment horizontal="left" vertical="center" wrapText="1"/>
    </xf>
    <xf numFmtId="0" fontId="0" fillId="5" borderId="5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/>
    </xf>
    <xf numFmtId="0" fontId="3" fillId="5" borderId="2" xfId="1" applyFill="1" applyBorder="1" applyAlignment="1">
      <alignment horizontal="left" vertical="center"/>
    </xf>
    <xf numFmtId="0" fontId="4" fillId="5" borderId="0" xfId="1" applyFont="1" applyFill="1" applyBorder="1" applyAlignment="1">
      <alignment horizontal="left" vertical="center"/>
    </xf>
    <xf numFmtId="0" fontId="0" fillId="5" borderId="5" xfId="1" applyFont="1" applyFill="1" applyBorder="1" applyAlignment="1">
      <alignment horizontal="left" vertical="center"/>
    </xf>
    <xf numFmtId="0" fontId="1" fillId="3" borderId="6" xfId="0" applyFont="1" applyFill="1" applyBorder="1" applyAlignment="1">
      <alignment wrapText="1"/>
    </xf>
    <xf numFmtId="2" fontId="0" fillId="5" borderId="5" xfId="0" applyNumberFormat="1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 wrapText="1"/>
    </xf>
    <xf numFmtId="0" fontId="0" fillId="6" borderId="8" xfId="0" applyFill="1" applyBorder="1"/>
    <xf numFmtId="0" fontId="0" fillId="7" borderId="8" xfId="0" applyFill="1" applyBorder="1" applyAlignment="1">
      <alignment horizontal="left" vertical="center" wrapText="1"/>
    </xf>
    <xf numFmtId="0" fontId="0" fillId="7" borderId="8" xfId="0" applyFill="1" applyBorder="1" applyAlignment="1">
      <alignment horizontal="center" vertical="center"/>
    </xf>
    <xf numFmtId="4" fontId="0" fillId="5" borderId="5" xfId="0" applyNumberFormat="1" applyFill="1" applyBorder="1" applyAlignment="1">
      <alignment horizontal="center" vertical="center"/>
    </xf>
    <xf numFmtId="0" fontId="1" fillId="3" borderId="10" xfId="0" applyFont="1" applyFill="1" applyBorder="1" applyAlignment="1">
      <alignment wrapText="1"/>
    </xf>
    <xf numFmtId="9" fontId="0" fillId="0" borderId="0" xfId="0" applyNumberFormat="1" applyAlignment="1">
      <alignment horizontal="center" vertical="center" wrapText="1"/>
    </xf>
    <xf numFmtId="3" fontId="0" fillId="6" borderId="0" xfId="0" applyNumberFormat="1" applyFill="1"/>
    <xf numFmtId="3" fontId="0" fillId="0" borderId="0" xfId="0" applyNumberFormat="1"/>
    <xf numFmtId="4" fontId="0" fillId="5" borderId="5" xfId="0" applyNumberFormat="1" applyFill="1" applyBorder="1" applyAlignment="1">
      <alignment horizontal="left" vertical="center"/>
    </xf>
    <xf numFmtId="4" fontId="3" fillId="5" borderId="5" xfId="1" applyNumberFormat="1" applyFill="1" applyBorder="1" applyAlignment="1">
      <alignment horizontal="left" vertical="center"/>
    </xf>
    <xf numFmtId="0" fontId="3" fillId="5" borderId="5" xfId="1" applyNumberFormat="1" applyFill="1" applyBorder="1" applyAlignment="1">
      <alignment horizontal="left" vertical="center"/>
    </xf>
    <xf numFmtId="0" fontId="0" fillId="5" borderId="5" xfId="1" applyNumberFormat="1" applyFont="1" applyFill="1" applyBorder="1" applyAlignment="1">
      <alignment horizontal="left" vertical="center"/>
    </xf>
    <xf numFmtId="0" fontId="7" fillId="6" borderId="0" xfId="0" applyFont="1" applyFill="1"/>
    <xf numFmtId="3" fontId="7" fillId="6" borderId="0" xfId="0" applyNumberFormat="1" applyFont="1" applyFill="1"/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5" borderId="5" xfId="0" applyFill="1" applyBorder="1" applyAlignment="1">
      <alignment horizontal="center" vertical="center"/>
    </xf>
    <xf numFmtId="2" fontId="3" fillId="5" borderId="5" xfId="1" applyNumberForma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6" borderId="0" xfId="0" applyFill="1" applyAlignment="1">
      <alignment horizontal="left" wrapText="1"/>
    </xf>
    <xf numFmtId="0" fontId="2" fillId="6" borderId="0" xfId="0" applyFont="1" applyFill="1" applyAlignment="1">
      <alignment wrapText="1"/>
    </xf>
    <xf numFmtId="0" fontId="0" fillId="0" borderId="8" xfId="0" applyBorder="1" applyAlignment="1">
      <alignment horizontal="center" vertical="center" wrapText="1"/>
    </xf>
    <xf numFmtId="166" fontId="0" fillId="0" borderId="8" xfId="0" applyNumberFormat="1" applyBorder="1" applyAlignment="1">
      <alignment horizontal="center" vertical="center" wrapText="1"/>
    </xf>
    <xf numFmtId="4" fontId="0" fillId="5" borderId="2" xfId="0" applyNumberFormat="1" applyFill="1" applyBorder="1" applyAlignment="1">
      <alignment horizontal="right" vertical="center" indent="1"/>
    </xf>
    <xf numFmtId="10" fontId="0" fillId="5" borderId="2" xfId="0" applyNumberFormat="1" applyFill="1" applyBorder="1" applyAlignment="1">
      <alignment horizontal="right" vertical="center" indent="1"/>
    </xf>
    <xf numFmtId="4" fontId="0" fillId="5" borderId="5" xfId="0" applyNumberFormat="1" applyFill="1" applyBorder="1" applyAlignment="1">
      <alignment horizontal="right" vertical="center" indent="1"/>
    </xf>
    <xf numFmtId="0" fontId="3" fillId="5" borderId="5" xfId="1" applyFill="1" applyBorder="1" applyAlignment="1">
      <alignment horizontal="left" vertical="center"/>
    </xf>
    <xf numFmtId="0" fontId="2" fillId="6" borderId="0" xfId="0" applyFont="1" applyFill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9" fontId="0" fillId="0" borderId="0" xfId="0" applyNumberFormat="1"/>
    <xf numFmtId="4" fontId="3" fillId="10" borderId="5" xfId="1" applyNumberFormat="1" applyFill="1" applyBorder="1" applyAlignment="1">
      <alignment horizontal="left" vertical="center"/>
    </xf>
    <xf numFmtId="4" fontId="3" fillId="10" borderId="0" xfId="1" applyNumberFormat="1" applyFill="1" applyBorder="1" applyAlignment="1">
      <alignment horizontal="left" vertical="center"/>
    </xf>
    <xf numFmtId="0" fontId="0" fillId="8" borderId="0" xfId="0" applyFill="1"/>
    <xf numFmtId="0" fontId="0" fillId="5" borderId="0" xfId="0" applyFill="1" applyAlignment="1">
      <alignment horizontal="left" vertical="center"/>
    </xf>
    <xf numFmtId="0" fontId="1" fillId="3" borderId="9" xfId="0" applyFont="1" applyFill="1" applyBorder="1" applyAlignment="1">
      <alignment wrapText="1"/>
    </xf>
    <xf numFmtId="4" fontId="0" fillId="5" borderId="0" xfId="0" applyNumberFormat="1" applyFill="1" applyAlignment="1">
      <alignment horizontal="left" vertical="center"/>
    </xf>
    <xf numFmtId="0" fontId="0" fillId="6" borderId="0" xfId="0" applyFill="1" applyAlignment="1">
      <alignment horizontal="center" wrapText="1"/>
    </xf>
    <xf numFmtId="166" fontId="0" fillId="6" borderId="0" xfId="0" applyNumberForma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 applyAlignment="1">
      <alignment horizontal="left" wrapText="1"/>
    </xf>
    <xf numFmtId="164" fontId="0" fillId="6" borderId="0" xfId="0" applyNumberFormat="1" applyFill="1" applyAlignment="1">
      <alignment wrapText="1"/>
    </xf>
    <xf numFmtId="164" fontId="8" fillId="6" borderId="0" xfId="0" applyNumberFormat="1" applyFont="1" applyFill="1" applyAlignment="1">
      <alignment wrapText="1"/>
    </xf>
    <xf numFmtId="0" fontId="0" fillId="0" borderId="0" xfId="0" applyAlignment="1">
      <alignment horizontal="center" wrapText="1"/>
    </xf>
    <xf numFmtId="164" fontId="0" fillId="0" borderId="8" xfId="0" applyNumberFormat="1" applyBorder="1" applyAlignment="1">
      <alignment wrapText="1"/>
    </xf>
    <xf numFmtId="9" fontId="0" fillId="0" borderId="0" xfId="0" applyNumberFormat="1" applyAlignment="1">
      <alignment wrapText="1"/>
    </xf>
    <xf numFmtId="0" fontId="0" fillId="0" borderId="8" xfId="0" applyBorder="1" applyAlignment="1">
      <alignment horizontal="left" vertical="center" wrapText="1"/>
    </xf>
    <xf numFmtId="9" fontId="0" fillId="0" borderId="0" xfId="0" applyNumberFormat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left" vertical="center" wrapText="1"/>
    </xf>
    <xf numFmtId="0" fontId="6" fillId="0" borderId="0" xfId="0" applyFont="1" applyAlignment="1">
      <alignment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9" fontId="0" fillId="6" borderId="0" xfId="0" applyNumberFormat="1" applyFill="1" applyAlignment="1">
      <alignment horizontal="center" vertical="center"/>
    </xf>
    <xf numFmtId="9" fontId="0" fillId="6" borderId="0" xfId="0" applyNumberFormat="1" applyFill="1" applyAlignment="1">
      <alignment horizontal="left" vertical="center"/>
    </xf>
    <xf numFmtId="9" fontId="0" fillId="6" borderId="0" xfId="0" applyNumberFormat="1" applyFill="1"/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9" fontId="0" fillId="6" borderId="0" xfId="0" applyNumberFormat="1" applyFill="1" applyAlignment="1">
      <alignment wrapText="1"/>
    </xf>
    <xf numFmtId="14" fontId="0" fillId="0" borderId="0" xfId="0" applyNumberForma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168" fontId="0" fillId="0" borderId="1" xfId="0" applyNumberForma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10" fillId="6" borderId="0" xfId="0" applyFont="1" applyFill="1" applyAlignment="1">
      <alignment wrapText="1"/>
    </xf>
    <xf numFmtId="0" fontId="0" fillId="0" borderId="8" xfId="0" applyBorder="1"/>
    <xf numFmtId="0" fontId="0" fillId="0" borderId="0" xfId="0" quotePrefix="1" applyAlignment="1">
      <alignment wrapText="1"/>
    </xf>
    <xf numFmtId="0" fontId="7" fillId="12" borderId="8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167" fontId="0" fillId="0" borderId="16" xfId="0" applyNumberFormat="1" applyBorder="1" applyAlignment="1">
      <alignment horizontal="center" vertical="center" wrapText="1"/>
    </xf>
    <xf numFmtId="0" fontId="0" fillId="15" borderId="0" xfId="0" applyFill="1"/>
    <xf numFmtId="0" fontId="0" fillId="7" borderId="0" xfId="0" applyFill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5" borderId="5" xfId="0" applyNumberForma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10" fontId="0" fillId="5" borderId="5" xfId="0" applyNumberFormat="1" applyFill="1" applyBorder="1" applyAlignment="1">
      <alignment horizontal="center" vertical="center"/>
    </xf>
    <xf numFmtId="169" fontId="0" fillId="5" borderId="5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3" fontId="7" fillId="6" borderId="0" xfId="0" applyNumberFormat="1" applyFont="1" applyFill="1" applyAlignment="1">
      <alignment horizontal="center" vertical="center"/>
    </xf>
    <xf numFmtId="164" fontId="7" fillId="6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right"/>
    </xf>
    <xf numFmtId="0" fontId="5" fillId="6" borderId="0" xfId="0" applyFont="1" applyFill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3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0" fontId="7" fillId="6" borderId="0" xfId="0" applyFont="1" applyFill="1" applyAlignment="1">
      <alignment horizontal="center" vertical="center"/>
    </xf>
    <xf numFmtId="164" fontId="7" fillId="0" borderId="0" xfId="0" applyNumberFormat="1" applyFont="1"/>
    <xf numFmtId="3" fontId="7" fillId="0" borderId="0" xfId="0" applyNumberFormat="1" applyFont="1"/>
    <xf numFmtId="0" fontId="0" fillId="8" borderId="0" xfId="0" applyFill="1" applyAlignment="1">
      <alignment horizontal="center" wrapText="1"/>
    </xf>
    <xf numFmtId="166" fontId="0" fillId="13" borderId="0" xfId="0" applyNumberFormat="1" applyFill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11" fillId="8" borderId="0" xfId="0" applyFont="1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11" fillId="8" borderId="8" xfId="0" applyFont="1" applyFill="1" applyBorder="1" applyAlignment="1">
      <alignment horizontal="center"/>
    </xf>
    <xf numFmtId="0" fontId="7" fillId="14" borderId="15" xfId="0" applyFont="1" applyFill="1" applyBorder="1" applyAlignment="1">
      <alignment horizontal="center"/>
    </xf>
    <xf numFmtId="0" fontId="7" fillId="14" borderId="11" xfId="0" applyFont="1" applyFill="1" applyBorder="1" applyAlignment="1">
      <alignment horizontal="center"/>
    </xf>
    <xf numFmtId="0" fontId="7" fillId="14" borderId="13" xfId="0" applyFont="1" applyFill="1" applyBorder="1" applyAlignment="1">
      <alignment horizontal="center"/>
    </xf>
    <xf numFmtId="4" fontId="0" fillId="6" borderId="0" xfId="0" applyNumberFormat="1" applyFill="1"/>
    <xf numFmtId="4" fontId="7" fillId="6" borderId="0" xfId="0" applyNumberFormat="1" applyFont="1" applyFill="1"/>
    <xf numFmtId="4" fontId="0" fillId="0" borderId="0" xfId="0" applyNumberFormat="1"/>
    <xf numFmtId="0" fontId="0" fillId="5" borderId="5" xfId="0" applyFont="1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 wrapText="1"/>
    </xf>
    <xf numFmtId="0" fontId="0" fillId="5" borderId="5" xfId="0" applyNumberFormat="1" applyFill="1" applyBorder="1" applyAlignment="1">
      <alignment horizontal="left" vertical="center" wrapText="1"/>
    </xf>
    <xf numFmtId="0" fontId="0" fillId="5" borderId="0" xfId="0" applyNumberFormat="1" applyFill="1" applyBorder="1" applyAlignment="1">
      <alignment horizontal="left" vertical="center" wrapText="1"/>
    </xf>
    <xf numFmtId="0" fontId="0" fillId="5" borderId="5" xfId="0" applyNumberFormat="1" applyFill="1" applyBorder="1" applyAlignment="1">
      <alignment horizontal="left" vertical="center"/>
    </xf>
    <xf numFmtId="2" fontId="0" fillId="5" borderId="0" xfId="0" applyNumberFormat="1" applyFill="1" applyBorder="1" applyAlignment="1">
      <alignment horizontal="left" vertical="center"/>
    </xf>
    <xf numFmtId="4" fontId="0" fillId="5" borderId="0" xfId="0" applyNumberFormat="1" applyFill="1" applyBorder="1" applyAlignment="1">
      <alignment horizontal="left" vertical="center"/>
    </xf>
    <xf numFmtId="4" fontId="0" fillId="10" borderId="0" xfId="0" applyNumberFormat="1" applyFill="1" applyAlignment="1">
      <alignment horizontal="left" vertical="center"/>
    </xf>
    <xf numFmtId="4" fontId="0" fillId="10" borderId="0" xfId="0" applyNumberFormat="1" applyFill="1" applyBorder="1" applyAlignment="1">
      <alignment horizontal="left" vertical="center"/>
    </xf>
    <xf numFmtId="0" fontId="0" fillId="5" borderId="5" xfId="0" applyNumberFormat="1" applyFill="1" applyBorder="1" applyAlignment="1">
      <alignment horizontal="center" vertical="center"/>
    </xf>
    <xf numFmtId="164" fontId="3" fillId="5" borderId="5" xfId="1" applyNumberForma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left" vertical="center" wrapText="1"/>
    </xf>
    <xf numFmtId="0" fontId="0" fillId="5" borderId="2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 wrapText="1"/>
    </xf>
    <xf numFmtId="4" fontId="0" fillId="5" borderId="2" xfId="0" applyNumberFormat="1" applyFont="1" applyFill="1" applyBorder="1" applyAlignment="1">
      <alignment horizontal="right" vertical="center" indent="1"/>
    </xf>
    <xf numFmtId="10" fontId="0" fillId="5" borderId="2" xfId="0" applyNumberFormat="1" applyFont="1" applyFill="1" applyBorder="1" applyAlignment="1">
      <alignment horizontal="right" vertical="center" indent="1"/>
    </xf>
    <xf numFmtId="4" fontId="0" fillId="5" borderId="0" xfId="0" applyNumberFormat="1" applyFill="1" applyBorder="1" applyAlignment="1">
      <alignment horizontal="right" vertical="center" indent="1"/>
    </xf>
    <xf numFmtId="0" fontId="0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left" vertical="center"/>
    </xf>
    <xf numFmtId="0" fontId="0" fillId="5" borderId="5" xfId="0" applyFont="1" applyFill="1" applyBorder="1" applyAlignment="1">
      <alignment horizontal="left" vertical="center" wrapText="1"/>
    </xf>
    <xf numFmtId="0" fontId="0" fillId="5" borderId="5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 vertical="center" wrapText="1"/>
    </xf>
    <xf numFmtId="4" fontId="0" fillId="5" borderId="5" xfId="0" applyNumberFormat="1" applyFont="1" applyFill="1" applyBorder="1" applyAlignment="1">
      <alignment horizontal="right" vertical="center" indent="1"/>
    </xf>
    <xf numFmtId="10" fontId="0" fillId="5" borderId="5" xfId="0" applyNumberFormat="1" applyFont="1" applyFill="1" applyBorder="1" applyAlignment="1">
      <alignment horizontal="right" vertical="center" indent="1"/>
    </xf>
    <xf numFmtId="0" fontId="3" fillId="5" borderId="5" xfId="0" applyFont="1" applyFill="1" applyBorder="1" applyAlignment="1">
      <alignment horizontal="left" vertical="center"/>
    </xf>
    <xf numFmtId="0" fontId="5" fillId="17" borderId="0" xfId="0" applyFont="1" applyFill="1" applyAlignment="1">
      <alignment horizontal="left" vertical="center"/>
    </xf>
    <xf numFmtId="0" fontId="7" fillId="18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64" fontId="7" fillId="19" borderId="0" xfId="0" applyNumberFormat="1" applyFont="1" applyFill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164" fontId="7" fillId="20" borderId="0" xfId="0" applyNumberFormat="1" applyFont="1" applyFill="1" applyAlignment="1">
      <alignment horizontal="center" vertical="center"/>
    </xf>
    <xf numFmtId="164" fontId="0" fillId="6" borderId="0" xfId="0" applyNumberFormat="1" applyFill="1" applyAlignment="1">
      <alignment horizontal="left"/>
    </xf>
    <xf numFmtId="164" fontId="0" fillId="6" borderId="0" xfId="0" applyNumberFormat="1" applyFill="1" applyAlignment="1">
      <alignment horizontal="left" wrapText="1"/>
    </xf>
    <xf numFmtId="164" fontId="7" fillId="11" borderId="0" xfId="0" applyNumberFormat="1" applyFont="1" applyFill="1" applyAlignment="1">
      <alignment horizontal="center" vertical="center"/>
    </xf>
    <xf numFmtId="0" fontId="5" fillId="21" borderId="0" xfId="0" applyFont="1" applyFill="1"/>
    <xf numFmtId="0" fontId="7" fillId="22" borderId="0" xfId="0" applyFont="1" applyFill="1"/>
    <xf numFmtId="164" fontId="7" fillId="11" borderId="0" xfId="0" applyNumberFormat="1" applyFont="1" applyFill="1"/>
    <xf numFmtId="3" fontId="7" fillId="11" borderId="0" xfId="0" applyNumberFormat="1" applyFont="1" applyFill="1" applyAlignment="1">
      <alignment horizontal="center" vertical="center"/>
    </xf>
    <xf numFmtId="3" fontId="7" fillId="11" borderId="0" xfId="0" applyNumberFormat="1" applyFont="1" applyFill="1"/>
    <xf numFmtId="164" fontId="7" fillId="22" borderId="0" xfId="0" applyNumberFormat="1" applyFont="1" applyFill="1" applyAlignment="1">
      <alignment horizontal="center" vertical="center"/>
    </xf>
    <xf numFmtId="164" fontId="7" fillId="22" borderId="0" xfId="0" applyNumberFormat="1" applyFont="1" applyFill="1"/>
    <xf numFmtId="0" fontId="5" fillId="6" borderId="0" xfId="0" applyFont="1" applyFill="1" applyAlignment="1">
      <alignment horizontal="center" vertical="center"/>
    </xf>
    <xf numFmtId="164" fontId="5" fillId="21" borderId="0" xfId="0" applyNumberFormat="1" applyFont="1" applyFill="1" applyAlignment="1">
      <alignment horizontal="center" vertical="center"/>
    </xf>
    <xf numFmtId="164" fontId="5" fillId="21" borderId="0" xfId="0" applyNumberFormat="1" applyFont="1" applyFill="1"/>
    <xf numFmtId="4" fontId="7" fillId="0" borderId="0" xfId="0" applyNumberFormat="1" applyFont="1"/>
    <xf numFmtId="4" fontId="7" fillId="6" borderId="0" xfId="0" applyNumberFormat="1" applyFont="1" applyFill="1" applyAlignment="1">
      <alignment horizontal="center" vertical="center"/>
    </xf>
    <xf numFmtId="4" fontId="7" fillId="11" borderId="0" xfId="0" applyNumberFormat="1" applyFont="1" applyFill="1" applyAlignment="1">
      <alignment horizontal="center" vertical="center"/>
    </xf>
    <xf numFmtId="4" fontId="7" fillId="11" borderId="0" xfId="0" applyNumberFormat="1" applyFont="1" applyFill="1"/>
    <xf numFmtId="10" fontId="0" fillId="0" borderId="8" xfId="0" applyNumberFormat="1" applyBorder="1" applyAlignment="1">
      <alignment horizontal="center" vertical="center" wrapText="1"/>
    </xf>
    <xf numFmtId="0" fontId="5" fillId="17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14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9" formatCode="&quot;$&quot;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43AEE2"/>
        </top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43AEE2"/>
        </top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numFmt numFmtId="166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$-F800]dddd\,\ mmmm\ dd\,\ 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167" formatCode="#,##0.000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97153</xdr:colOff>
          <xdr:row>0</xdr:row>
          <xdr:rowOff>72934</xdr:rowOff>
        </xdr:from>
        <xdr:to>
          <xdr:col>21</xdr:col>
          <xdr:colOff>911678</xdr:colOff>
          <xdr:row>2</xdr:row>
          <xdr:rowOff>396784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2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Pulse para realizar las tablas resumen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137160</xdr:rowOff>
        </xdr:from>
        <xdr:to>
          <xdr:col>3</xdr:col>
          <xdr:colOff>1287780</xdr:colOff>
          <xdr:row>3</xdr:row>
          <xdr:rowOff>175260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5: crear resumen de todos los productos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3B3396-74E7-44DD-AA66-DF4513BD97E8}" name="Tabla9" displayName="Tabla9" ref="M7:P11" totalsRowShown="0" headerRowDxfId="142" dataDxfId="141">
  <autoFilter ref="M7:P11" xr:uid="{663B3396-74E7-44DD-AA66-DF4513BD97E8}">
    <filterColumn colId="0" hiddenButton="1"/>
    <filterColumn colId="1" hiddenButton="1"/>
    <filterColumn colId="2" hiddenButton="1"/>
    <filterColumn colId="3" hiddenButton="1"/>
  </autoFilter>
  <tableColumns count="4">
    <tableColumn id="1" xr3:uid="{664BEE36-532D-47D7-8EAE-AEBB461D8B45}" name="Puesto" dataDxfId="140"/>
    <tableColumn id="5" xr3:uid="{BE41CF7F-EB11-4D4B-A521-EE6EDC448943}" name="Costo UF HH" dataDxfId="139"/>
    <tableColumn id="6" xr3:uid="{84DFB6BD-2DEF-4535-AD6B-F8E485B4EC11}" name="Margen" dataDxfId="138"/>
    <tableColumn id="7" xr3:uid="{2F19B91B-72E9-493E-999A-F5523F273E2A}" name="Precio cliente" dataDxfId="137">
      <calculatedColumnFormula>Tabla9[[#This Row],[Costo UF HH]]/(1-Tabla9[[#This Row],[Margen]])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315C3CE-E5D4-4F4E-A744-96872D6CB649}" name="Tabla919" displayName="Tabla919" ref="V7:X12" totalsRowShown="0" headerRowDxfId="136" dataDxfId="135">
  <autoFilter ref="V7:X12" xr:uid="{2315C3CE-E5D4-4F4E-A744-96872D6CB649}"/>
  <tableColumns count="3">
    <tableColumn id="1" xr3:uid="{71D858E4-C389-43C7-835E-815374D42FF6}" name="Tipo de viático" dataDxfId="134"/>
    <tableColumn id="5" xr3:uid="{90456BFF-9A96-4C1F-A3F5-1FCB6EA9782A}" name="Descripción" dataDxfId="133"/>
    <tableColumn id="2" xr3:uid="{81F23D1A-B611-4136-BE3F-79C57B7E4D98}" name="Costo UF" dataDxfId="13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E49BEAE-EA84-4CB4-B02D-1BC0F3B01683}" name="Tabla50" displayName="Tabla50" ref="B7:D13" totalsRowShown="0" headerRowDxfId="131" dataDxfId="130">
  <autoFilter ref="B7:D13" xr:uid="{EE49BEAE-EA84-4CB4-B02D-1BC0F3B01683}"/>
  <tableColumns count="3">
    <tableColumn id="1" xr3:uid="{B91B5084-3D35-4431-9308-5E07D387BFAD}" name="Tipo moneda" dataDxfId="129"/>
    <tableColumn id="2" xr3:uid="{CB43FA0D-0E60-4739-8486-DBE4AA5AE90F}" name="a CLP" dataDxfId="128"/>
    <tableColumn id="3" xr3:uid="{C26A5D77-75B2-4353-B7C3-72B529866398}" name="Tasa transformación" dataDxfId="127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1E7AC26-8D2B-435E-9494-577BF1F47D8A}" name="Tabla51" displayName="Tabla51" ref="F7:H17" totalsRowShown="0" headerRowDxfId="126" dataDxfId="125">
  <autoFilter ref="F7:H17" xr:uid="{11E7AC26-8D2B-435E-9494-577BF1F47D8A}"/>
  <tableColumns count="3">
    <tableColumn id="1" xr3:uid="{9537A5BC-3097-4A61-A63A-B2E1D98A3CA3}" name="Tipo costo" dataDxfId="124"/>
    <tableColumn id="2" xr3:uid="{A4FE4AE1-0CDD-485C-B9B8-0078F0A7D066}" name="Ponderador importación (CIF/FOB)" dataDxfId="123"/>
    <tableColumn id="3" xr3:uid="{162C643B-A508-4864-9533-CEEB256A4817}" name="Ponderador margen (nacional/internacional)" dataDxfId="122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E7212DB-6930-42AF-A6F5-30172933C933}" name="Tabla958" displayName="Tabla958" ref="J7:K10" totalsRowShown="0" headerRowDxfId="121" dataDxfId="120">
  <autoFilter ref="J7:K10" xr:uid="{7E7212DB-6930-42AF-A6F5-30172933C933}"/>
  <tableColumns count="2">
    <tableColumn id="1" xr3:uid="{C6B0B59F-CE96-4C85-AC49-ABC446824C35}" name="Cargos" dataDxfId="119"/>
    <tableColumn id="5" xr3:uid="{69D7CA5D-4D3F-409A-B033-40C118112027}" name="Ponderador Precio" dataDxfId="11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8E7401-D236-48AB-B51F-BF1D5E6EDFF6}" name="Tabla2327" displayName="Tabla2327" ref="R7:T11" totalsRowShown="0" headerRowDxfId="117" dataDxfId="116">
  <autoFilter ref="R7:T11" xr:uid="{AF8E7401-D236-48AB-B51F-BF1D5E6EDFF6}"/>
  <tableColumns count="3">
    <tableColumn id="1" xr3:uid="{D19C979D-E802-428D-9DEB-5463D98DAAE5}" name="Número grupo" dataDxfId="115"/>
    <tableColumn id="2" xr3:uid="{DB8781A0-7670-4AFC-A39B-1EC2B32229A5}" name="Tipo de venta" dataDxfId="114"/>
    <tableColumn id="4" xr3:uid="{8D32ED3C-E174-4D3E-8B37-F47D4638C800}" name="Márgenes" dataDxfId="113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D5A6DB-E11A-4511-8334-FB736A404E39}" name="Tabla52" displayName="Tabla52" ref="B8:C17" totalsRowShown="0" headerRowDxfId="112" dataDxfId="111">
  <autoFilter ref="B8:C17" xr:uid="{E4F65A74-C5DE-420B-B02B-4087F8368AD7}">
    <filterColumn colId="0" hiddenButton="1"/>
    <filterColumn colId="1" hiddenButton="1"/>
  </autoFilter>
  <tableColumns count="2">
    <tableColumn id="1" xr3:uid="{6B5C948E-C5F7-4A79-B528-6D3ECB9DABB7}" name="Datos" dataDxfId="110">
      <calculatedColumnFormula>TODAY()</calculatedColumnFormula>
    </tableColumn>
    <tableColumn id="2" xr3:uid="{871BD61A-1AA3-4BF4-9D8B-DA30EC93706D}" name="Valor" dataDxfId="109">
      <calculatedColumnFormula>TODAY()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34A50A-4176-498A-915B-224E9B6B38D1}" name="Tabla25" displayName="Tabla25" ref="E8:F12" totalsRowShown="0" headerRowDxfId="108" dataDxfId="107">
  <autoFilter ref="E8:F12" xr:uid="{E8C9C3A7-D54C-46F6-BA19-6F5CF0592752}"/>
  <tableColumns count="2">
    <tableColumn id="1" xr3:uid="{6B30EB17-BECE-413A-BEFA-6B9A502BA21A}" name="Número grupo" dataDxfId="106"/>
    <tableColumn id="2" xr3:uid="{7EDEE319-A608-4932-96CC-46586FFF8EE5}" name="Secciones" dataDxfId="105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5F73B4-6292-48F9-9FB0-2B10608E8F4B}" name="Tabla2329" displayName="Tabla2329" ref="H8:J13" totalsRowShown="0" headerRowDxfId="104" dataDxfId="103">
  <autoFilter ref="H8:J13" xr:uid="{E053CC1F-40AB-4B04-B2F6-8B774E7D1097}"/>
  <tableColumns count="3">
    <tableColumn id="1" xr3:uid="{C8E2A188-C125-4539-A325-2DAB500C8A40}" name="Número grupo" dataDxfId="102"/>
    <tableColumn id="2" xr3:uid="{EFCC61F2-B479-4B5A-80EC-ACB9BB209169}" name="Tipo de venta" dataDxfId="101"/>
    <tableColumn id="3" xr3:uid="{035FE5A5-EA0D-469B-829D-F9DA4F88BF43}" name="Moneda final" dataDxfId="100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22690BC-B2BB-4C00-9A71-08753ACF8B25}" name="TablaResumen" displayName="TablaResumen" ref="A2:O15" totalsRowShown="0">
  <autoFilter ref="A2:O15" xr:uid="{022690BC-B2BB-4C00-9A71-08753ACF8B25}"/>
  <tableColumns count="15">
    <tableColumn id="1" xr3:uid="{08A22E48-1E1B-4C5B-B434-8E5782A01E15}" name="Columna1" dataDxfId="15"/>
    <tableColumn id="9" xr3:uid="{154B2E0E-9BC0-481B-B6DB-AC2284B8915E}" name="Columna2" dataDxfId="14"/>
    <tableColumn id="10" xr3:uid="{7B2E3ACE-AA2F-4A56-8D9A-FBD105051549}" name="Columna3" dataDxfId="13"/>
    <tableColumn id="16" xr3:uid="{7B9EB37C-7460-4A24-9503-C410605755AA}" name="Columna4" dataDxfId="12"/>
    <tableColumn id="17" xr3:uid="{5D669276-1BAA-4F6D-83E2-C9D44A0A8252}" name="Columna5" dataDxfId="11"/>
    <tableColumn id="18" xr3:uid="{60A750A0-E996-4E8A-B0A7-6D0C4B961BF7}" name="Columna6" dataDxfId="10"/>
    <tableColumn id="19" xr3:uid="{7E3952B6-8B05-4E07-8FD3-99C3AD681FEB}" name="Columna7" dataDxfId="9"/>
    <tableColumn id="20" xr3:uid="{C67DFABA-5BEA-439B-B9E5-8C4259C76398}" name="Columna8" dataDxfId="8"/>
    <tableColumn id="21" xr3:uid="{85737E6C-59BC-4C90-86B8-71A326DB83E7}" name="Columna9" dataDxfId="7"/>
    <tableColumn id="22" xr3:uid="{A2D1AAE4-7979-45B2-A0B4-FA22FE47BC9C}" name="Columna10" dataDxfId="6"/>
    <tableColumn id="23" xr3:uid="{A7C65F69-7B83-4E3D-8741-B9F3D158BCDD}" name="Columna11" dataDxfId="5"/>
    <tableColumn id="24" xr3:uid="{7308DC54-D54B-45D1-8A41-DA08393EA893}" name="Columna12" dataDxfId="4"/>
    <tableColumn id="25" xr3:uid="{C02791B2-90BA-430F-A8D3-B87AB43A2BC9}" name="Columna13" dataDxfId="2"/>
    <tableColumn id="26" xr3:uid="{ACD1BD3C-9B62-4872-B70D-FBB2336FF569}" name="Columna14" dataDxfId="1"/>
    <tableColumn id="27" xr3:uid="{16266E43-903D-4779-BD0E-71302A694948}" name="Columna15" dataDxfId="0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F530C3-E8A4-48F5-A011-76151A850E8E}" name="Tabla2757" displayName="Tabla2757" ref="B6:N1048576" totalsRowShown="0" headerRowDxfId="99" dataDxfId="97" headerRowBorderDxfId="98" tableBorderDxfId="96" totalsRowBorderDxfId="95">
  <autoFilter ref="B6:N1048576" xr:uid="{3AC895F3-88FC-4322-BA4D-9163F09350B5}"/>
  <tableColumns count="13">
    <tableColumn id="18" xr3:uid="{3F13ADA9-FD6B-4142-80E8-AB8AAA5B2CB2}" name="Tipo de venta" dataDxfId="94"/>
    <tableColumn id="1" xr3:uid="{4D7D62B0-AA08-4E96-99E6-A9D66C4F6065}" name="Sección" dataDxfId="93"/>
    <tableColumn id="3" xr3:uid="{919C7931-5C86-435C-9E17-078053598BC1}" name="Tarea" dataDxfId="92"/>
    <tableColumn id="4" xr3:uid="{65AD8D18-3B83-4137-95F5-A0376FF6961F}" name="Descripción" dataDxfId="91">
      <calculatedColumnFormula>_xlfn.XLOOKUP(Tabla2757[[#This Row],[Tarea]],Productos!C:C,Productos!D:D, "Error",0,1)</calculatedColumnFormula>
    </tableColumn>
    <tableColumn id="21" xr3:uid="{743D9C17-691F-449D-AA89-160A6CF17A52}" name="Moneda Final" dataDxfId="90">
      <calculatedColumnFormula>_xlfn.XLOOKUP(Tabla2757[[#This Row],[Tipo de venta]],Tabla2329[Tipo de venta],Tabla2329[Moneda final], "Error - Seleccionar Tipo de Venta", 0,1)</calculatedColumnFormula>
    </tableColumn>
    <tableColumn id="9" xr3:uid="{D8F1D102-0114-43C5-9E14-4516F638E7CB}" name="Puesto Encargado" dataDxfId="89">
      <calculatedColumnFormula>IF(Tabla2757[[#This Row],[Moneda Final]]="CLP", Tabla2757[[#This Row],[Cantidad horas]], IF(Tabla2757[[#This Row],[Moneda Final]]="USD", Tabla32[[#This Row],[Precio USD]], Tabla2757[[#This Row],[Precio UF]]))</calculatedColumnFormula>
    </tableColumn>
    <tableColumn id="19" xr3:uid="{789B8DE7-7AD6-42E2-B259-816DFDA6A125}" name="Cargo" dataDxfId="88"/>
    <tableColumn id="20" xr3:uid="{0DC370D3-CF89-4B8E-ADFE-5205D20AC699}" name="Precio por hora UF" dataDxfId="87">
      <calculatedColumnFormula>_xlfn.XLOOKUP(Tabla2757[[#This Row],[Puesto Encargado]], Tabla9[Puesto], Tabla9[Precio cliente],0,1,1)</calculatedColumnFormula>
    </tableColumn>
    <tableColumn id="22" xr3:uid="{42C69641-A3FC-4295-9CF4-85044E9E8115}" name="Ponderador" dataDxfId="86"/>
    <tableColumn id="10" xr3:uid="{C8A23C9B-7B06-480B-BBB2-2CC48552BA39}" name="Precio por hora" dataDxfId="85">
      <calculatedColumnFormula>Tabla2757[[#This Row],[Precio por hora UF]]*Tabla2757[[#This Row],[Ponderador]]</calculatedColumnFormula>
    </tableColumn>
    <tableColumn id="11" xr3:uid="{36CA9095-CE85-4692-9133-A7A809C5F832}" name="Cantidad horas" dataDxfId="84">
      <calculatedColumnFormula>_xlfn.XLOOKUP(Tabla2757[[#This Row],[Tarea]],Productos!$C:$C,Productos!K:K, "Error",0,1)</calculatedColumnFormula>
    </tableColumn>
    <tableColumn id="12" xr3:uid="{1EB52E9C-2083-4F7D-8F83-0B3DB521427A}" name="Precio UF" dataDxfId="83">
      <calculatedColumnFormula>_xlfn.XLOOKUP(Tabla2757[[#This Row],[Tarea]],Productos!$C:$C,Productos!L:L, "Error",0,1)</calculatedColumnFormula>
    </tableColumn>
    <tableColumn id="23" xr3:uid="{1A4234A9-9DD6-48E3-BE29-56F5634512BA}" name="Precio Moneda" dataDxfId="82">
      <calculatedColumnFormula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D47289-8499-4E1D-8694-E81C15DE30DE}" name="Tabla27573" displayName="Tabla27573" ref="B8:K54" totalsRowShown="0" headerRowDxfId="81" dataDxfId="79" headerRowBorderDxfId="80" tableBorderDxfId="78" totalsRowBorderDxfId="77">
  <autoFilter ref="B8:K54" xr:uid="{3AC895F3-88FC-4322-BA4D-9163F09350B5}"/>
  <tableColumns count="10">
    <tableColumn id="18" xr3:uid="{20E43334-168A-44AF-BF4F-CAD1901FFB25}" name="Tipo de venta" dataDxfId="76" dataCellStyle="Hipervínculo"/>
    <tableColumn id="1" xr3:uid="{33ACE34F-0DC1-4EE9-A5C1-3584C1D1082F}" name="Sección" dataDxfId="75"/>
    <tableColumn id="3" xr3:uid="{81B80305-6961-4FDA-92D5-6CB652EFC214}" name="Tarea" dataDxfId="74"/>
    <tableColumn id="4" xr3:uid="{55E8D677-6B9D-4B67-BFEA-79DEAAA9DE61}" name="Descripción" dataDxfId="73">
      <calculatedColumnFormula>_xlfn.XLOOKUP(Tabla27573[[#This Row],[Tarea]],Productos!C:C,Productos!D:D, "Error",0,1)</calculatedColumnFormula>
    </tableColumn>
    <tableColumn id="21" xr3:uid="{3D8F5A06-E7F7-421F-BB09-F230CC300FFE}" name="Moneda Final" dataDxfId="72">
      <calculatedColumnFormula>_xlfn.XLOOKUP(Tabla27573[[#This Row],[Tipo de venta]],Tabla2329[Tipo de venta],Tabla2329[Moneda final], "Error - Seleccionar Tipo de Venta", 0,1)</calculatedColumnFormula>
    </tableColumn>
    <tableColumn id="9" xr3:uid="{13069080-E35C-4871-A879-2897B7991AF5}" name="Costo Unitario CLP" dataDxfId="71">
      <calculatedColumnFormula>E4</calculatedColumnFormula>
    </tableColumn>
    <tableColumn id="2" xr3:uid="{6B257810-E736-404B-826C-3290AE0A2976}" name="Margen" dataDxfId="70"/>
    <tableColumn id="5" xr3:uid="{2D52AB42-77F9-4277-9267-E5CF6CB17C29}" name="Precio Unitario" dataDxfId="69">
      <calculatedColumnFormula>Tabla27573[[#This Row],[Costo Unitario CLP]]/(1-Tabla27573[[#This Row],[Margen]])</calculatedColumnFormula>
    </tableColumn>
    <tableColumn id="19" xr3:uid="{2C0ABBE5-EAB4-4809-92C1-22AF9A205A1F}" name="Cantidad" dataDxfId="68">
      <calculatedColumnFormula>D3</calculatedColumnFormula>
    </tableColumn>
    <tableColumn id="10" xr3:uid="{F96BBC02-414F-4E27-9A7A-C77FF3B3F722}" name="Precio CLP" dataDxfId="67" dataCellStyle="Hipervínculo">
      <calculatedColumnFormula>Tabla27573[[#This Row],[Precio CLP]]*#REF!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753C46-60D3-40DF-91FB-30EFEEC8BB39}" name="Tabla3" displayName="Tabla3" ref="B1:F5" totalsRowShown="0" headerRowDxfId="66" dataDxfId="65">
  <autoFilter ref="B1:F5" xr:uid="{D0753C46-60D3-40DF-91FB-30EFEEC8BB39}"/>
  <tableColumns count="5">
    <tableColumn id="1" xr3:uid="{89AC9837-666F-4CA3-BDE4-85C0A198428A}" name="Columna1" dataDxfId="64"/>
    <tableColumn id="2" xr3:uid="{8BACF59D-3028-4F57-BFD6-5729C27BD5E2}" name="Descripción" dataDxfId="63"/>
    <tableColumn id="3" xr3:uid="{BE37BB1D-1292-4B20-9BE9-AAAB4D8E672E}" name="Cantidad/tipo" dataDxfId="62"/>
    <tableColumn id="4" xr3:uid="{3BBE242B-584B-46C1-A035-6D76E40E74F4}" name="Costo unitario" dataDxfId="61">
      <calculatedColumnFormula>_xlfn.XLOOKUP(Tabla3[[#This Row],[Columna1]], Tabla919[Tipo de viático], Tabla919[Costo UF], "Error", 0, 1)</calculatedColumnFormula>
    </tableColumn>
    <tableColumn id="5" xr3:uid="{D550C0A2-A593-4F2C-8A1A-744BD95A2C0E}" name="Precio final" dataDxfId="60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AC895F3-88FC-4322-BA4D-9163F09350B5}" name="Tabla27" displayName="Tabla27" ref="B6:R32" totalsRowShown="0" headerRowDxfId="59" dataDxfId="57" headerRowBorderDxfId="58" tableBorderDxfId="56" totalsRowBorderDxfId="55">
  <autoFilter ref="B6:R32" xr:uid="{3AC895F3-88FC-4322-BA4D-9163F09350B5}"/>
  <tableColumns count="17">
    <tableColumn id="18" xr3:uid="{398E732F-4C4D-49FA-8F17-9E4751286B3A}" name="Tipo de venta" dataDxfId="54"/>
    <tableColumn id="1" xr3:uid="{46584F8C-76FE-40A7-9DFF-0080B0C3B9EE}" name="Sección" dataDxfId="53"/>
    <tableColumn id="2" xr3:uid="{76E4B631-977F-45C1-85BC-ADC35DB7CAF9}" name="Agrupación" dataDxfId="52"/>
    <tableColumn id="3" xr3:uid="{0A86979C-DDD8-4E83-84DF-1A3BF07A9996}" name="Nombre producto" dataDxfId="51"/>
    <tableColumn id="4" xr3:uid="{D940BDE9-E215-4FF5-B684-032B27CDCDCF}" name="Descripción" dataDxfId="50">
      <calculatedColumnFormula>_xlfn.XLOOKUP(Tabla27[[#This Row],[Nombre producto]],Productos!C:C,Productos!D:D, "Error",0,1)</calculatedColumnFormula>
    </tableColumn>
    <tableColumn id="21" xr3:uid="{BB206602-3C45-4ED8-9953-98010EC79BD0}" name="Moneda producto" dataDxfId="49">
      <calculatedColumnFormula>_xlfn.XLOOKUP(Tabla27[[#This Row],[Nombre producto]], Tabla32[Nombre producto], Tabla32[Tipo de moneda],"Error - agregue producto a Productos",0,1)</calculatedColumnFormula>
    </tableColumn>
    <tableColumn id="9" xr3:uid="{E75647C4-C593-4F45-A116-05E0E2F28A6F}" name="Costo producto moneda producto" dataDxfId="48">
      <calculatedColumnFormula>_xlfn.XLOOKUP(Tabla27[[#This Row],[Nombre producto]], Tabla32[Nombre producto], Tabla32[Costo producto],"Error - agregue producto a Productos",0,1)</calculatedColumnFormula>
    </tableColumn>
    <tableColumn id="19" xr3:uid="{9910A921-3DF3-43FA-BD9F-53BCAAEB5E11}" name="Unidades" dataDxfId="47"/>
    <tableColumn id="10" xr3:uid="{C0F0F0A5-7253-41D6-8D03-FB6EECBD6740}" name="Precio USD/unitario" dataDxfId="46">
      <calculatedColumnFormula>_xlfn.XLOOKUP(Tabla27[[#This Row],[Nombre producto]], Tabla32[Nombre producto], Tabla32[Precio USD],"Error - agregue producto a Productos",0,1)</calculatedColumnFormula>
    </tableColumn>
    <tableColumn id="11" xr3:uid="{1A5BBDCD-7CFD-4D46-8049-3D7B9E270CF4}" name="Precio CLP/Unitario" dataDxfId="45">
      <calculatedColumnFormula>_xlfn.XLOOKUP(Tabla27[[#This Row],[Nombre producto]], Tabla32[Nombre producto], Tabla32[Precio CLP],"Error - agregue producto a Productos",0,1)</calculatedColumnFormula>
    </tableColumn>
    <tableColumn id="12" xr3:uid="{C7459AF2-CC32-4612-B033-37FA9210D2C8}" name="Precio UF/Unitario" dataDxfId="44">
      <calculatedColumnFormula>_xlfn.XLOOKUP(Tabla27[[#This Row],[Nombre producto]], Tabla32[Nombre producto], Tabla32[Precio UF],"Error - agregue producto a Productos",0,1)</calculatedColumnFormula>
    </tableColumn>
    <tableColumn id="5" xr3:uid="{8879887C-D0E4-4DA6-8374-1AC112E08DB5}" name="Precio EUR/ Unitario" dataDxfId="43" dataCellStyle="Hipervínculo">
      <calculatedColumnFormula>_xlfn.XLOOKUP(Tabla27[[#This Row],[Nombre producto]], Tabla32[Nombre producto], Tabla32[Precio Euros],"Error - agregue producto a Productos",0,1)</calculatedColumnFormula>
    </tableColumn>
    <tableColumn id="13" xr3:uid="{0BFE22DA-5593-47B8-90BE-869DD359D22F}" name="Proveedor" dataDxfId="42">
      <calculatedColumnFormula>_xlfn.XLOOKUP(Tabla27[[#This Row],[Nombre producto]],Productos!$C:$C,Productos!N:N, "Error",0,1)</calculatedColumnFormula>
    </tableColumn>
    <tableColumn id="14" xr3:uid="{1743073C-0A79-427F-B39F-D3C8DF2698C0}" name="Link de compra" dataDxfId="41">
      <calculatedColumnFormula>_xlfn.XLOOKUP(Tabla27[[#This Row],[Nombre producto]],Productos!$C:$C,Productos!O:O, "Error",0,1)</calculatedColumnFormula>
    </tableColumn>
    <tableColumn id="6" xr3:uid="{E40E0B02-4C60-49AE-B7CF-5E088A7C683A}" name="Moneda Final" dataDxfId="40">
      <calculatedColumnFormula>_xlfn.XLOOKUP(Tabla27[[#This Row],[Tipo de venta]], Tabla2329[Tipo de venta], Tabla2329[Moneda final], "Error - Seleccionar Tipo de Venta", 0,1)</calculatedColumnFormula>
    </tableColumn>
    <tableColumn id="15" xr3:uid="{100B01F4-D328-431F-89E1-5878C5E88B4A}" name="Tarifa Cambio de divisa" dataDxfId="39">
      <calculatedColumnFormula>IF(Tabla27[[#This Row],[Moneda producto]]="USD",'Datos generales'!$G$3,IF(Tabla27[[#This Row],[Moneda producto]]="EUR",'Datos generales'!$G$3,0))</calculatedColumnFormula>
    </tableColumn>
    <tableColumn id="7" xr3:uid="{82422F20-ADEE-45B3-B5BF-FFEF3FA90D22}" name="Precio final moneda seleccionada" dataDxfId="38">
      <calculatedColumnFormula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724EC72-6126-4D13-8D28-70C9F26FE38B}" name="Tabla32" displayName="Tabla32" ref="B6:R52" totalsRowShown="0" headerRowDxfId="37" dataDxfId="35" headerRowBorderDxfId="36" tableBorderDxfId="34" totalsRowBorderDxfId="33">
  <autoFilter ref="B6:R52" xr:uid="{1724EC72-6126-4D13-8D28-70C9F26FE38B}"/>
  <tableColumns count="17">
    <tableColumn id="1" xr3:uid="{1DE849D8-6B59-4F38-98D5-F296B9CD72C4}" name="Agrupación" dataDxfId="32"/>
    <tableColumn id="2" xr3:uid="{AA3E12A7-3E4F-4AC2-BAE1-C1460147922D}" name="Nombre producto" dataDxfId="31"/>
    <tableColumn id="3" xr3:uid="{9C033A2A-2F40-41DC-A6FE-4C866FF2644D}" name="Descripción" dataDxfId="30"/>
    <tableColumn id="4" xr3:uid="{F4F40B14-77EA-432D-B482-019AF6BB4568}" name="Tipo de moneda" dataDxfId="29"/>
    <tableColumn id="16" xr3:uid="{92EA2497-1E1B-481F-B33B-4021CA4D7DB5}" name="CIF/FOB/Nacional" dataDxfId="28"/>
    <tableColumn id="5" xr3:uid="{152935D8-DDC9-48A2-9DBC-0CCB3680C457}" name="Costo producto" dataDxfId="27"/>
    <tableColumn id="17" xr3:uid="{BF22B6BC-117C-42D8-B570-E6B777ABF167}" name="Costo de producto a oficina" dataDxfId="26">
      <calculatedColumnFormula>IF(Tabla32[[#This Row],[CIF/FOB/Nacional]]="Nacional", Tabla32[[#This Row],[Costo producto]],IF(Tabla32[[#This Row],[CIF/FOB/Nacional]]="CIF", Tabla32[[#This Row],[Costo producto]], Tabla32[[#This Row],[Costo producto]]*1.3))</calculatedColumnFormula>
    </tableColumn>
    <tableColumn id="6" xr3:uid="{F2748CBA-F38C-4583-B991-69DC3E29FB9D}" name="Margen" dataDxfId="25"/>
    <tableColumn id="7" xr3:uid="{F83AFCAE-A486-4EBF-8CD3-6DBF7F9D4A1B}" name="Precio Moneda compra" dataDxfId="24">
      <calculatedColumnFormula>H7/(1-I7)</calculatedColumnFormula>
    </tableColumn>
    <tableColumn id="8" xr3:uid="{05A18D47-BB8A-4042-B070-0F20E814AFC2}" name="Precio CLP" dataDxfId="23">
      <calculatedColumnFormula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calculatedColumnFormula>
    </tableColumn>
    <tableColumn id="18" xr3:uid="{3924A73C-1265-43AE-A6FA-A64935FB8C02}" name="Precio UF" dataDxfId="22">
      <calculatedColumnFormula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calculatedColumnFormula>
    </tableColumn>
    <tableColumn id="19" xr3:uid="{A2572D95-628E-4FB8-A44C-6E7B59704869}" name="Precio USD" dataDxfId="21">
      <calculatedColumnFormula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calculatedColumnFormula>
    </tableColumn>
    <tableColumn id="20" xr3:uid="{941D34F3-C5E6-4B3F-B281-243B9DD423E0}" name="Precio Euros" dataDxfId="20">
      <calculatedColumnFormula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calculatedColumnFormula>
    </tableColumn>
    <tableColumn id="9" xr3:uid="{9C37AA84-40B3-4F50-BC73-044BEDE71018}" name="Fabricante" dataDxfId="19"/>
    <tableColumn id="10" xr3:uid="{624006BC-7B6B-4088-B911-8A604991ADDE}" name="Nombre Vendedor" dataDxfId="18"/>
    <tableColumn id="11" xr3:uid="{1C9A1178-3703-4454-9401-2300870798A7}" name="Correo ; Número" dataDxfId="17"/>
    <tableColumn id="12" xr3:uid="{D7708E6B-2526-4CE5-9022-C88DD9EE3038}" name="Proveedor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hondetechco.com/" TargetMode="External"/><Relationship Id="rId3" Type="http://schemas.openxmlformats.org/officeDocument/2006/relationships/hyperlink" Target="mailto:kyla@hondetech.com" TargetMode="External"/><Relationship Id="rId7" Type="http://schemas.openxmlformats.org/officeDocument/2006/relationships/hyperlink" Target="mailto:kyla@hondetech.com" TargetMode="External"/><Relationship Id="rId12" Type="http://schemas.openxmlformats.org/officeDocument/2006/relationships/table" Target="../tables/table15.xml"/><Relationship Id="rId2" Type="http://schemas.openxmlformats.org/officeDocument/2006/relationships/hyperlink" Target="https://www.wolke.cl/" TargetMode="External"/><Relationship Id="rId1" Type="http://schemas.openxmlformats.org/officeDocument/2006/relationships/hyperlink" Target="mailto:jose.valenzuela@wolke.cl" TargetMode="External"/><Relationship Id="rId6" Type="http://schemas.openxmlformats.org/officeDocument/2006/relationships/hyperlink" Target="http://www.hondetechco.com/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://www.hondetechco.com/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mailto:kyla@hondetech.com" TargetMode="External"/><Relationship Id="rId9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X26"/>
  <sheetViews>
    <sheetView showGridLines="0" zoomScale="70" zoomScaleNormal="70" workbookViewId="0">
      <selection activeCell="P13" sqref="P13"/>
    </sheetView>
  </sheetViews>
  <sheetFormatPr baseColWidth="10" defaultColWidth="8.88671875" defaultRowHeight="14.4" x14ac:dyDescent="0.3"/>
  <cols>
    <col min="1" max="1" width="20.109375" customWidth="1"/>
    <col min="2" max="2" width="15.44140625" customWidth="1"/>
    <col min="3" max="3" width="22.33203125" customWidth="1"/>
    <col min="4" max="4" width="30.109375" customWidth="1"/>
    <col min="5" max="5" width="21.5546875" customWidth="1"/>
    <col min="6" max="6" width="30.21875" customWidth="1"/>
    <col min="7" max="7" width="18" bestFit="1" customWidth="1"/>
    <col min="8" max="8" width="16.6640625" customWidth="1"/>
    <col min="9" max="9" width="13.88671875" bestFit="1" customWidth="1"/>
    <col min="10" max="10" width="14" customWidth="1"/>
    <col min="11" max="11" width="20.6640625" customWidth="1"/>
    <col min="12" max="12" width="18.44140625" customWidth="1"/>
    <col min="14" max="14" width="11.6640625" customWidth="1"/>
    <col min="16" max="16" width="14.33203125" customWidth="1"/>
    <col min="17" max="17" width="8.88671875" style="63"/>
    <col min="22" max="22" width="23.5546875" customWidth="1"/>
    <col min="23" max="23" width="19.44140625" customWidth="1"/>
    <col min="24" max="24" width="19.5546875" customWidth="1"/>
  </cols>
  <sheetData>
    <row r="1" spans="2:24" x14ac:dyDescent="0.3">
      <c r="B1" s="5"/>
      <c r="Q1"/>
    </row>
    <row r="2" spans="2:24" x14ac:dyDescent="0.3">
      <c r="B2" s="8"/>
      <c r="C2" s="8"/>
      <c r="D2" s="54"/>
      <c r="E2" s="54"/>
      <c r="F2" s="54"/>
      <c r="J2" t="s">
        <v>142</v>
      </c>
      <c r="K2" s="97">
        <f ca="1">TODAY()</f>
        <v>45761</v>
      </c>
      <c r="Q2"/>
    </row>
    <row r="3" spans="2:24" ht="25.2" customHeight="1" x14ac:dyDescent="0.4">
      <c r="C3" s="9"/>
      <c r="D3" s="100" t="str">
        <f ca="1">IF(K4&gt;15, "ALERTA - Actualizar datos", "Datos actualizados")</f>
        <v>Datos actualizados</v>
      </c>
      <c r="E3" s="16"/>
      <c r="F3" s="103" t="s">
        <v>152</v>
      </c>
      <c r="G3" s="103">
        <v>0.05</v>
      </c>
      <c r="J3" t="s">
        <v>143</v>
      </c>
      <c r="K3" s="98">
        <f>D6</f>
        <v>45748</v>
      </c>
      <c r="Q3" s="8"/>
      <c r="R3" s="8"/>
      <c r="S3" s="8"/>
    </row>
    <row r="4" spans="2:24" ht="28.8" x14ac:dyDescent="0.3">
      <c r="B4" s="9"/>
      <c r="C4" s="9"/>
      <c r="E4" s="7"/>
      <c r="F4" s="7"/>
      <c r="G4" s="7"/>
      <c r="J4" s="2" t="s">
        <v>144</v>
      </c>
      <c r="K4" s="99">
        <f ca="1">K2-K3</f>
        <v>13</v>
      </c>
      <c r="Q4" s="9"/>
      <c r="R4" s="9"/>
      <c r="S4" s="9"/>
    </row>
    <row r="5" spans="2:24" x14ac:dyDescent="0.3">
      <c r="B5" s="1"/>
      <c r="C5" s="1"/>
      <c r="D5" s="76"/>
      <c r="E5" s="61"/>
      <c r="F5" s="15"/>
      <c r="G5" s="15"/>
      <c r="H5" s="76"/>
      <c r="I5" s="76"/>
      <c r="J5" s="76"/>
      <c r="K5" s="10"/>
      <c r="L5" s="76"/>
      <c r="M5" s="26"/>
      <c r="N5" s="76"/>
      <c r="O5" s="76"/>
      <c r="P5" s="76"/>
      <c r="Q5" s="77"/>
      <c r="R5" s="77"/>
      <c r="S5" s="77"/>
      <c r="T5" s="76"/>
      <c r="U5" s="76"/>
      <c r="V5" s="76"/>
      <c r="W5" s="76"/>
      <c r="X5" s="76"/>
    </row>
    <row r="6" spans="2:24" ht="28.8" customHeight="1" x14ac:dyDescent="0.3">
      <c r="B6" s="129" t="s">
        <v>141</v>
      </c>
      <c r="C6" s="129"/>
      <c r="D6" s="96">
        <v>45748</v>
      </c>
      <c r="E6" s="78"/>
      <c r="F6" s="128" t="s">
        <v>116</v>
      </c>
      <c r="G6" s="128"/>
      <c r="H6" s="128"/>
      <c r="I6" s="76"/>
      <c r="J6" s="76"/>
      <c r="K6" s="76"/>
      <c r="L6" s="76"/>
      <c r="M6" s="76"/>
      <c r="N6" s="76"/>
      <c r="O6" s="76"/>
      <c r="P6" s="76"/>
      <c r="Q6" s="76"/>
      <c r="R6" s="128" t="s">
        <v>129</v>
      </c>
      <c r="S6" s="128"/>
      <c r="T6" s="128"/>
      <c r="U6" s="76"/>
      <c r="V6" s="76"/>
      <c r="W6" s="76"/>
      <c r="X6" s="76"/>
    </row>
    <row r="7" spans="2:24" ht="28.95" customHeight="1" x14ac:dyDescent="0.3">
      <c r="B7" s="76" t="s">
        <v>15</v>
      </c>
      <c r="C7" s="76" t="s">
        <v>115</v>
      </c>
      <c r="D7" s="76" t="s">
        <v>140</v>
      </c>
      <c r="E7" s="79"/>
      <c r="F7" s="76" t="s">
        <v>16</v>
      </c>
      <c r="G7" s="76" t="s">
        <v>136</v>
      </c>
      <c r="H7" s="76" t="s">
        <v>135</v>
      </c>
      <c r="I7" s="76"/>
      <c r="J7" s="1" t="s">
        <v>18</v>
      </c>
      <c r="K7" s="1" t="s">
        <v>19</v>
      </c>
      <c r="L7" s="54"/>
      <c r="M7" s="1" t="s">
        <v>20</v>
      </c>
      <c r="N7" s="1" t="s">
        <v>21</v>
      </c>
      <c r="O7" s="1" t="s">
        <v>22</v>
      </c>
      <c r="P7" s="1" t="s">
        <v>23</v>
      </c>
      <c r="Q7" s="16"/>
      <c r="R7" s="76" t="s">
        <v>34</v>
      </c>
      <c r="S7" s="80" t="s">
        <v>37</v>
      </c>
      <c r="T7" s="76" t="s">
        <v>130</v>
      </c>
      <c r="U7" s="76"/>
      <c r="V7" s="1" t="s">
        <v>137</v>
      </c>
      <c r="W7" s="1" t="s">
        <v>36</v>
      </c>
      <c r="X7" s="1" t="s">
        <v>157</v>
      </c>
    </row>
    <row r="8" spans="2:24" x14ac:dyDescent="0.3">
      <c r="B8" s="76" t="s">
        <v>1</v>
      </c>
      <c r="C8" s="81">
        <v>1</v>
      </c>
      <c r="D8" s="76">
        <v>1</v>
      </c>
      <c r="E8" s="76"/>
      <c r="F8" s="76" t="s">
        <v>17</v>
      </c>
      <c r="G8" s="76">
        <v>1</v>
      </c>
      <c r="H8" s="82">
        <v>0.4</v>
      </c>
      <c r="I8" s="76"/>
      <c r="J8" s="55" t="s">
        <v>25</v>
      </c>
      <c r="K8" s="55">
        <v>1</v>
      </c>
      <c r="L8" s="53"/>
      <c r="M8" s="2" t="s">
        <v>26</v>
      </c>
      <c r="N8" s="2">
        <v>0.3</v>
      </c>
      <c r="O8" s="39">
        <v>0.32</v>
      </c>
      <c r="P8" s="1">
        <f>Tabla9[[#This Row],[Costo UF HH]]/(1-Tabla9[[#This Row],[Margen]])</f>
        <v>0.44117647058823534</v>
      </c>
      <c r="Q8" s="16"/>
      <c r="R8" s="55">
        <v>1</v>
      </c>
      <c r="S8" s="83" t="s">
        <v>73</v>
      </c>
      <c r="T8" s="84">
        <v>0</v>
      </c>
      <c r="U8" s="76"/>
      <c r="V8" s="2" t="s">
        <v>39</v>
      </c>
      <c r="W8" s="2" t="s">
        <v>40</v>
      </c>
      <c r="X8" s="13">
        <v>0.5</v>
      </c>
    </row>
    <row r="9" spans="2:24" ht="32.4" customHeight="1" x14ac:dyDescent="0.3">
      <c r="B9" s="76" t="s">
        <v>3</v>
      </c>
      <c r="C9" s="81">
        <v>38409.199999999997</v>
      </c>
      <c r="D9" s="76">
        <v>1</v>
      </c>
      <c r="E9" s="76"/>
      <c r="F9" s="76" t="s">
        <v>24</v>
      </c>
      <c r="G9" s="76">
        <v>1.3</v>
      </c>
      <c r="H9" s="82">
        <v>0.4</v>
      </c>
      <c r="I9" s="76"/>
      <c r="J9" s="55" t="s">
        <v>28</v>
      </c>
      <c r="K9" s="55">
        <v>1.5</v>
      </c>
      <c r="L9" s="16"/>
      <c r="M9" s="2" t="s">
        <v>29</v>
      </c>
      <c r="N9" s="2">
        <v>0.3</v>
      </c>
      <c r="O9" s="39">
        <v>0.36</v>
      </c>
      <c r="P9" s="1">
        <f>Tabla9[[#This Row],[Costo UF HH]]/(1-Tabla9[[#This Row],[Margen]])</f>
        <v>0.46875</v>
      </c>
      <c r="Q9" s="16"/>
      <c r="R9" s="55">
        <v>2</v>
      </c>
      <c r="S9" s="83" t="s">
        <v>74</v>
      </c>
      <c r="T9" s="84">
        <v>0.5</v>
      </c>
      <c r="U9" s="76"/>
      <c r="V9" s="2" t="s">
        <v>43</v>
      </c>
      <c r="W9" s="2" t="s">
        <v>44</v>
      </c>
      <c r="X9" s="13">
        <v>1</v>
      </c>
    </row>
    <row r="10" spans="2:24" ht="43.2" x14ac:dyDescent="0.3">
      <c r="B10" s="76" t="s">
        <v>6</v>
      </c>
      <c r="C10" s="81">
        <v>950</v>
      </c>
      <c r="D10" s="76">
        <v>1.05</v>
      </c>
      <c r="E10" s="76"/>
      <c r="F10" s="76" t="s">
        <v>27</v>
      </c>
      <c r="G10" s="76">
        <v>1</v>
      </c>
      <c r="H10" s="82">
        <v>0.2</v>
      </c>
      <c r="I10" s="76"/>
      <c r="J10" s="55" t="s">
        <v>31</v>
      </c>
      <c r="K10" s="55">
        <v>2</v>
      </c>
      <c r="L10" s="76"/>
      <c r="M10" s="6" t="s">
        <v>32</v>
      </c>
      <c r="N10" s="2">
        <v>0.3</v>
      </c>
      <c r="O10" s="39">
        <v>0.37</v>
      </c>
      <c r="P10" s="1">
        <f>Tabla9[[#This Row],[Costo UF HH]]/(1-Tabla9[[#This Row],[Margen]])</f>
        <v>0.47619047619047616</v>
      </c>
      <c r="Q10" s="82"/>
      <c r="R10" s="55">
        <v>3</v>
      </c>
      <c r="S10" s="83" t="s">
        <v>109</v>
      </c>
      <c r="T10" s="84">
        <v>0.6</v>
      </c>
      <c r="U10" s="76"/>
      <c r="V10" s="6" t="s">
        <v>47</v>
      </c>
      <c r="W10" s="6" t="s">
        <v>48</v>
      </c>
      <c r="X10" s="13">
        <v>2</v>
      </c>
    </row>
    <row r="11" spans="2:24" ht="43.2" x14ac:dyDescent="0.3">
      <c r="B11" s="76" t="s">
        <v>30</v>
      </c>
      <c r="C11" s="81">
        <v>1025</v>
      </c>
      <c r="D11" s="76">
        <v>1.05</v>
      </c>
      <c r="E11" s="76"/>
      <c r="F11" s="76" t="s">
        <v>139</v>
      </c>
      <c r="G11" s="76">
        <v>1</v>
      </c>
      <c r="H11" s="82">
        <v>0.35</v>
      </c>
      <c r="I11" s="76"/>
      <c r="J11" s="76"/>
      <c r="K11" s="76"/>
      <c r="L11" s="76"/>
      <c r="M11" s="6" t="s">
        <v>33</v>
      </c>
      <c r="N11" s="2">
        <v>0.3</v>
      </c>
      <c r="O11" s="39">
        <v>0.39</v>
      </c>
      <c r="P11" s="1">
        <f>Tabla9[[#This Row],[Costo UF HH]]/(1-Tabla9[[#This Row],[Margen]])</f>
        <v>0.49180327868852458</v>
      </c>
      <c r="Q11" s="82"/>
      <c r="R11" s="85"/>
      <c r="S11" s="86"/>
      <c r="T11" s="84"/>
      <c r="U11" s="76"/>
      <c r="V11" s="105" t="s">
        <v>155</v>
      </c>
      <c r="W11" s="76" t="s">
        <v>156</v>
      </c>
      <c r="X11" s="106">
        <v>1.79</v>
      </c>
    </row>
    <row r="12" spans="2:24" ht="61.2" customHeight="1" x14ac:dyDescent="0.3">
      <c r="B12" s="76"/>
      <c r="C12" s="102"/>
      <c r="D12" s="76"/>
      <c r="E12" s="76"/>
      <c r="F12" s="76"/>
      <c r="G12" s="76"/>
      <c r="H12" s="82"/>
      <c r="I12" s="76"/>
      <c r="J12" s="76"/>
      <c r="K12" s="76"/>
      <c r="L12" s="76"/>
      <c r="M12" s="76"/>
      <c r="N12" s="76"/>
      <c r="O12" s="76"/>
      <c r="P12" s="76"/>
      <c r="Q12" s="82"/>
      <c r="R12" s="76"/>
      <c r="S12" s="76"/>
      <c r="T12" s="76"/>
      <c r="U12" s="76"/>
      <c r="V12" s="105" t="s">
        <v>166</v>
      </c>
      <c r="W12" s="76" t="s">
        <v>167</v>
      </c>
      <c r="X12" s="106">
        <v>0</v>
      </c>
    </row>
    <row r="13" spans="2:24" x14ac:dyDescent="0.3">
      <c r="B13" s="76"/>
      <c r="C13" s="76"/>
      <c r="D13" s="76"/>
      <c r="E13" s="76"/>
      <c r="F13" s="76"/>
      <c r="G13" s="76"/>
      <c r="H13" s="82"/>
      <c r="I13" s="76"/>
      <c r="J13" s="82"/>
      <c r="K13" s="76"/>
      <c r="L13" s="76"/>
      <c r="M13" s="76"/>
      <c r="N13" s="76"/>
      <c r="O13" s="76"/>
      <c r="P13" s="76"/>
      <c r="Q13" s="82"/>
      <c r="R13" s="76"/>
      <c r="S13" s="76"/>
      <c r="T13" s="76"/>
      <c r="U13" s="76"/>
      <c r="V13" s="76"/>
      <c r="W13" s="76"/>
      <c r="X13" s="76"/>
    </row>
    <row r="14" spans="2:24" x14ac:dyDescent="0.3">
      <c r="B14" s="71"/>
      <c r="C14" s="71"/>
      <c r="D14" s="87"/>
      <c r="E14" s="76"/>
      <c r="F14" s="76"/>
      <c r="G14" s="76"/>
      <c r="H14" s="82"/>
      <c r="I14" s="76"/>
      <c r="J14" s="76"/>
      <c r="K14" s="76"/>
      <c r="L14" s="76"/>
      <c r="M14" s="16"/>
      <c r="N14" s="76"/>
      <c r="O14" s="76"/>
      <c r="P14" s="76"/>
      <c r="Q14" s="82"/>
      <c r="R14" s="76"/>
      <c r="S14" s="76"/>
      <c r="T14" s="76"/>
      <c r="U14" s="76"/>
      <c r="V14" s="76"/>
      <c r="W14" s="76"/>
      <c r="X14" s="76"/>
    </row>
    <row r="15" spans="2:24" x14ac:dyDescent="0.3">
      <c r="B15" s="16"/>
      <c r="C15" s="16"/>
      <c r="D15" s="76"/>
      <c r="E15" s="76"/>
      <c r="F15" s="76"/>
      <c r="G15" s="76"/>
      <c r="H15" s="82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</row>
    <row r="16" spans="2:24" ht="89.4" customHeight="1" x14ac:dyDescent="0.3">
      <c r="B16" s="16"/>
      <c r="C16" s="16"/>
      <c r="D16" s="76"/>
      <c r="E16" s="76"/>
      <c r="F16" s="76"/>
      <c r="G16" s="76"/>
      <c r="H16" s="82"/>
      <c r="I16" s="76"/>
      <c r="J16" s="76"/>
      <c r="K16" s="16"/>
      <c r="L16" s="16"/>
      <c r="M16" s="16"/>
      <c r="N16" s="76"/>
      <c r="O16" s="76"/>
      <c r="P16" s="76"/>
      <c r="Q16" s="82"/>
      <c r="R16" s="76"/>
      <c r="S16" s="76"/>
      <c r="T16" s="76"/>
      <c r="U16" s="76"/>
      <c r="V16" s="76"/>
      <c r="W16" s="76"/>
      <c r="X16" s="76"/>
    </row>
    <row r="17" spans="1:24" x14ac:dyDescent="0.3">
      <c r="A17" s="11"/>
      <c r="B17" s="16"/>
      <c r="C17" s="70"/>
      <c r="D17" s="76"/>
      <c r="E17" s="76"/>
      <c r="F17" s="76"/>
      <c r="G17" s="76"/>
      <c r="H17" s="82"/>
      <c r="I17" s="76"/>
      <c r="J17" s="76"/>
      <c r="K17" s="16"/>
      <c r="L17" s="70"/>
      <c r="M17" s="16"/>
      <c r="N17" s="76"/>
      <c r="O17" s="76"/>
      <c r="P17" s="76"/>
      <c r="Q17" s="82"/>
      <c r="R17" s="76"/>
      <c r="S17" s="76"/>
      <c r="T17" s="76"/>
      <c r="U17" s="76"/>
      <c r="V17" s="76"/>
      <c r="W17" s="76"/>
      <c r="X17" s="76"/>
    </row>
    <row r="18" spans="1:24" x14ac:dyDescent="0.3">
      <c r="A18" s="11"/>
      <c r="B18" s="15"/>
      <c r="C18" s="88"/>
      <c r="D18" s="76"/>
      <c r="E18" s="76"/>
      <c r="F18" s="76"/>
      <c r="G18" s="76"/>
      <c r="H18" s="76"/>
      <c r="I18" s="76"/>
      <c r="J18" s="16"/>
      <c r="K18" s="15"/>
      <c r="L18" s="88"/>
      <c r="M18" s="88"/>
      <c r="N18" s="76"/>
      <c r="O18" s="76"/>
      <c r="P18" s="76"/>
      <c r="Q18" s="82"/>
      <c r="R18" s="76"/>
      <c r="S18" s="76"/>
      <c r="T18" s="76"/>
      <c r="U18" s="76"/>
      <c r="V18" s="76"/>
      <c r="W18" s="76"/>
      <c r="X18" s="76"/>
    </row>
    <row r="19" spans="1:24" x14ac:dyDescent="0.3">
      <c r="A19" s="11"/>
      <c r="B19" s="15"/>
      <c r="C19" s="88"/>
      <c r="D19" s="76"/>
      <c r="E19" s="76"/>
      <c r="F19" s="76"/>
      <c r="G19" s="76"/>
      <c r="H19" s="76"/>
      <c r="I19" s="76"/>
      <c r="J19" s="16"/>
      <c r="K19" s="15"/>
      <c r="L19" s="88"/>
      <c r="M19" s="88"/>
      <c r="N19" s="76"/>
      <c r="O19" s="76"/>
      <c r="P19" s="76"/>
      <c r="Q19" s="82"/>
      <c r="R19" s="76"/>
      <c r="S19" s="76"/>
      <c r="T19" s="76"/>
      <c r="U19" s="76"/>
      <c r="V19" s="76"/>
      <c r="W19" s="76"/>
      <c r="X19" s="76"/>
    </row>
    <row r="20" spans="1:24" x14ac:dyDescent="0.3">
      <c r="B20" s="15"/>
      <c r="C20" s="88"/>
      <c r="D20" s="76"/>
      <c r="E20" s="76"/>
      <c r="F20" s="76"/>
      <c r="G20" s="76"/>
      <c r="H20" s="76"/>
      <c r="I20" s="76"/>
      <c r="J20" s="76"/>
      <c r="K20" s="76"/>
      <c r="L20" s="88"/>
      <c r="M20" s="88"/>
      <c r="N20" s="76"/>
      <c r="O20" s="76"/>
      <c r="P20" s="76"/>
      <c r="Q20" s="82"/>
      <c r="R20" s="76"/>
      <c r="S20" s="76"/>
      <c r="T20" s="76"/>
      <c r="U20" s="76"/>
      <c r="V20" s="76"/>
      <c r="W20" s="76"/>
      <c r="X20" s="76"/>
    </row>
    <row r="21" spans="1:24" x14ac:dyDescent="0.3">
      <c r="B21" s="15"/>
      <c r="C21" s="88"/>
      <c r="D21" s="76"/>
      <c r="E21" s="76"/>
      <c r="F21" s="76"/>
      <c r="G21" s="76"/>
      <c r="H21" s="76"/>
      <c r="I21" s="76"/>
      <c r="J21" s="76"/>
      <c r="K21" s="76"/>
      <c r="L21" s="88"/>
      <c r="M21" s="88"/>
      <c r="N21" s="76"/>
      <c r="O21" s="76"/>
      <c r="P21" s="76"/>
      <c r="Q21" s="82"/>
      <c r="R21" s="76"/>
      <c r="S21" s="76"/>
      <c r="T21" s="76"/>
      <c r="U21" s="76"/>
      <c r="V21" s="76"/>
      <c r="W21" s="76"/>
      <c r="X21" s="76"/>
    </row>
    <row r="22" spans="1:24" ht="41.25" customHeight="1" x14ac:dyDescent="0.3">
      <c r="L22" s="7"/>
      <c r="M22" s="7"/>
    </row>
    <row r="23" spans="1:24" x14ac:dyDescent="0.3">
      <c r="F23" s="19"/>
      <c r="G23" s="15"/>
      <c r="H23" s="18"/>
    </row>
    <row r="24" spans="1:24" x14ac:dyDescent="0.3">
      <c r="F24" s="18"/>
      <c r="G24" s="20"/>
      <c r="H24" s="19"/>
    </row>
    <row r="25" spans="1:24" x14ac:dyDescent="0.3">
      <c r="F25" s="7"/>
      <c r="G25" s="7"/>
      <c r="H25" s="18"/>
    </row>
    <row r="26" spans="1:24" x14ac:dyDescent="0.3">
      <c r="H26" s="7"/>
      <c r="J26" s="18"/>
      <c r="K26" s="18"/>
    </row>
  </sheetData>
  <mergeCells count="3">
    <mergeCell ref="F6:H6"/>
    <mergeCell ref="R6:T6"/>
    <mergeCell ref="B6:C6"/>
  </mergeCells>
  <conditionalFormatting sqref="D3">
    <cfRule type="containsText" dxfId="3" priority="1" operator="containsText" text="Datos actualizados">
      <formula>NOT(ISERROR(SEARCH("Datos actualizados",D3)))</formula>
    </cfRule>
  </conditionalFormatting>
  <dataValidations count="2">
    <dataValidation type="list" allowBlank="1" showInputMessage="1" showErrorMessage="1" sqref="M5" xr:uid="{1E370577-3989-419E-B7EB-5EDE8CE983AE}">
      <formula1>$B$8:$B$10</formula1>
    </dataValidation>
    <dataValidation type="list" allowBlank="1" showInputMessage="1" showErrorMessage="1" sqref="M18:M21" xr:uid="{601E503C-C060-40FD-9C79-C1EAA069E4F3}">
      <formula1>$B$8:$B$13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0242E-B157-4ABC-8E1F-047DBD593B94}">
  <sheetPr codeName="Hoja3">
    <tabColor rgb="FF00B050"/>
  </sheetPr>
  <dimension ref="A1:S27"/>
  <sheetViews>
    <sheetView showGridLines="0" zoomScale="70" zoomScaleNormal="70" workbookViewId="0">
      <selection activeCell="D14" sqref="D14"/>
    </sheetView>
  </sheetViews>
  <sheetFormatPr baseColWidth="10" defaultColWidth="8.88671875" defaultRowHeight="14.4" x14ac:dyDescent="0.3"/>
  <cols>
    <col min="1" max="1" width="20.109375" customWidth="1"/>
    <col min="2" max="2" width="15.44140625" customWidth="1"/>
    <col min="3" max="3" width="31.88671875" customWidth="1"/>
    <col min="4" max="4" width="15.33203125" customWidth="1"/>
    <col min="5" max="5" width="21.5546875" customWidth="1"/>
    <col min="6" max="6" width="20" customWidth="1"/>
    <col min="7" max="7" width="18" bestFit="1" customWidth="1"/>
    <col min="8" max="8" width="22.21875" customWidth="1"/>
    <col min="9" max="9" width="22.6640625" customWidth="1"/>
    <col min="10" max="10" width="14" customWidth="1"/>
    <col min="11" max="11" width="13.109375" customWidth="1"/>
    <col min="12" max="12" width="18.44140625" customWidth="1"/>
    <col min="13" max="13" width="17.109375" customWidth="1"/>
    <col min="14" max="14" width="11.6640625" customWidth="1"/>
    <col min="15" max="15" width="111.5546875" customWidth="1"/>
    <col min="16" max="16" width="14.33203125" customWidth="1"/>
    <col min="17" max="17" width="8.88671875" style="63"/>
  </cols>
  <sheetData>
    <row r="1" spans="2:19" x14ac:dyDescent="0.3">
      <c r="H1" s="130"/>
      <c r="I1" s="130"/>
      <c r="J1" s="130"/>
      <c r="Q1"/>
    </row>
    <row r="2" spans="2:19" ht="14.4" customHeight="1" x14ac:dyDescent="0.3">
      <c r="B2" s="5" t="s">
        <v>0</v>
      </c>
      <c r="Q2"/>
    </row>
    <row r="3" spans="2:19" ht="14.4" customHeight="1" x14ac:dyDescent="0.3">
      <c r="B3" s="133" t="s">
        <v>2</v>
      </c>
      <c r="C3" s="133"/>
      <c r="D3" s="133"/>
      <c r="E3" s="133"/>
      <c r="F3" s="133"/>
      <c r="G3" s="133"/>
      <c r="H3" s="133"/>
      <c r="I3" s="133"/>
      <c r="J3" s="133"/>
      <c r="P3" s="8"/>
      <c r="Q3" s="8"/>
      <c r="R3" s="8"/>
      <c r="S3" s="8"/>
    </row>
    <row r="4" spans="2:19" x14ac:dyDescent="0.3">
      <c r="C4" s="76"/>
      <c r="D4" s="76"/>
      <c r="E4" s="76"/>
      <c r="F4" s="76"/>
      <c r="G4" s="76"/>
      <c r="H4" s="76"/>
      <c r="I4" s="76"/>
      <c r="J4" s="76"/>
      <c r="K4" s="16"/>
      <c r="L4" s="76"/>
      <c r="M4" s="76"/>
      <c r="N4" s="76"/>
      <c r="P4" s="9"/>
      <c r="Q4" s="9"/>
      <c r="R4" s="9"/>
      <c r="S4" s="9"/>
    </row>
    <row r="5" spans="2:19" x14ac:dyDescent="0.3">
      <c r="B5" s="134" t="s">
        <v>7</v>
      </c>
      <c r="C5" s="134"/>
      <c r="D5" s="134"/>
      <c r="E5" s="134"/>
      <c r="F5" s="134"/>
      <c r="G5" s="134"/>
      <c r="H5" s="134"/>
      <c r="I5" s="134"/>
      <c r="J5" s="134"/>
      <c r="K5" s="15"/>
      <c r="L5" s="76"/>
      <c r="M5" s="76"/>
      <c r="N5" s="76"/>
      <c r="P5" s="9"/>
      <c r="Q5" s="9"/>
      <c r="R5" s="9"/>
      <c r="S5" s="9"/>
    </row>
    <row r="6" spans="2:19" x14ac:dyDescent="0.3">
      <c r="B6" s="16"/>
      <c r="C6" s="16"/>
      <c r="D6" s="16"/>
      <c r="E6" s="16"/>
      <c r="F6" s="16"/>
      <c r="G6" s="16"/>
      <c r="H6" s="76"/>
      <c r="I6" s="76"/>
      <c r="J6" s="82"/>
      <c r="K6" s="15"/>
      <c r="L6" s="76"/>
      <c r="M6" s="76"/>
      <c r="N6" s="76"/>
      <c r="Q6"/>
    </row>
    <row r="7" spans="2:19" ht="28.95" customHeight="1" x14ac:dyDescent="0.5">
      <c r="B7" s="76"/>
      <c r="C7" s="76"/>
      <c r="D7" s="76"/>
      <c r="E7" s="131" t="s">
        <v>35</v>
      </c>
      <c r="F7" s="131"/>
      <c r="G7" s="16"/>
      <c r="H7" s="132" t="s">
        <v>37</v>
      </c>
      <c r="I7" s="132"/>
      <c r="J7" s="132"/>
      <c r="K7" s="15"/>
      <c r="O7" s="7"/>
      <c r="P7" s="7"/>
      <c r="Q7" s="7"/>
      <c r="R7" s="7"/>
    </row>
    <row r="8" spans="2:19" x14ac:dyDescent="0.3">
      <c r="B8" s="1" t="s">
        <v>4</v>
      </c>
      <c r="C8" s="1" t="s">
        <v>5</v>
      </c>
      <c r="D8" s="76"/>
      <c r="E8" s="76" t="s">
        <v>34</v>
      </c>
      <c r="F8" s="80" t="s">
        <v>35</v>
      </c>
      <c r="G8" s="15"/>
      <c r="H8" s="76" t="s">
        <v>34</v>
      </c>
      <c r="I8" s="80" t="s">
        <v>37</v>
      </c>
      <c r="J8" s="76" t="s">
        <v>113</v>
      </c>
      <c r="K8" s="15"/>
      <c r="O8" s="7"/>
      <c r="P8" s="7"/>
      <c r="Q8" s="7"/>
      <c r="R8" s="7"/>
    </row>
    <row r="9" spans="2:19" ht="32.4" customHeight="1" x14ac:dyDescent="0.3">
      <c r="B9" s="56" t="s">
        <v>8</v>
      </c>
      <c r="C9" s="56">
        <f t="shared" ref="C9" ca="1" si="0">TODAY()</f>
        <v>45761</v>
      </c>
      <c r="D9" s="76"/>
      <c r="E9" s="55">
        <v>1</v>
      </c>
      <c r="F9" s="83" t="s">
        <v>38</v>
      </c>
      <c r="G9" s="78"/>
      <c r="H9" s="93">
        <v>1</v>
      </c>
      <c r="I9" s="83" t="s">
        <v>41</v>
      </c>
      <c r="J9" s="89" t="s">
        <v>1</v>
      </c>
      <c r="K9" s="16"/>
      <c r="O9" s="7"/>
      <c r="P9" s="7"/>
      <c r="Q9" s="7"/>
    </row>
    <row r="10" spans="2:19" ht="46.2" customHeight="1" x14ac:dyDescent="0.3">
      <c r="B10" s="56" t="s">
        <v>9</v>
      </c>
      <c r="C10" s="56" t="s">
        <v>10</v>
      </c>
      <c r="D10" s="76"/>
      <c r="E10" s="55">
        <v>2</v>
      </c>
      <c r="F10" s="83" t="s">
        <v>42</v>
      </c>
      <c r="G10" s="79"/>
      <c r="H10" s="93">
        <v>2</v>
      </c>
      <c r="I10" s="83" t="s">
        <v>45</v>
      </c>
      <c r="J10" s="89" t="s">
        <v>6</v>
      </c>
      <c r="K10" s="16"/>
      <c r="O10" s="74"/>
      <c r="P10" s="74"/>
      <c r="Q10" s="74"/>
      <c r="R10" s="74"/>
    </row>
    <row r="11" spans="2:19" ht="28.8" x14ac:dyDescent="0.3">
      <c r="B11" s="56" t="s">
        <v>11</v>
      </c>
      <c r="C11" s="56" t="s">
        <v>12</v>
      </c>
      <c r="D11" s="76"/>
      <c r="E11" s="55">
        <v>3</v>
      </c>
      <c r="F11" s="83" t="s">
        <v>46</v>
      </c>
      <c r="G11" s="76"/>
      <c r="H11" s="93">
        <v>3</v>
      </c>
      <c r="I11" s="83" t="s">
        <v>49</v>
      </c>
      <c r="J11" s="89" t="s">
        <v>1</v>
      </c>
      <c r="K11" s="16"/>
      <c r="O11" s="74"/>
      <c r="P11" s="74"/>
      <c r="Q11" s="75"/>
      <c r="R11" s="74"/>
    </row>
    <row r="12" spans="2:19" ht="37.200000000000003" customHeight="1" x14ac:dyDescent="0.3">
      <c r="B12" s="56" t="s">
        <v>13</v>
      </c>
      <c r="C12" s="56" t="s">
        <v>14</v>
      </c>
      <c r="D12" s="76"/>
      <c r="E12" s="55">
        <v>4</v>
      </c>
      <c r="F12" s="83" t="s">
        <v>50</v>
      </c>
      <c r="G12" s="76"/>
      <c r="H12" s="94">
        <v>4</v>
      </c>
      <c r="I12" s="86" t="s">
        <v>123</v>
      </c>
      <c r="J12" s="89" t="s">
        <v>30</v>
      </c>
      <c r="K12" s="16"/>
      <c r="O12" s="74"/>
      <c r="P12" s="74"/>
      <c r="Q12" s="75"/>
      <c r="R12" s="74"/>
    </row>
    <row r="13" spans="2:19" x14ac:dyDescent="0.3">
      <c r="B13" s="56" t="s">
        <v>206</v>
      </c>
      <c r="C13" s="192">
        <v>0.19</v>
      </c>
      <c r="D13" s="76"/>
      <c r="E13" s="76"/>
      <c r="F13" s="78"/>
      <c r="G13" s="76"/>
      <c r="H13" s="85">
        <v>5</v>
      </c>
      <c r="I13" s="86" t="s">
        <v>138</v>
      </c>
      <c r="J13" s="84" t="s">
        <v>1</v>
      </c>
      <c r="K13" s="16"/>
      <c r="L13" s="1"/>
      <c r="M13" s="1"/>
      <c r="N13" s="76"/>
      <c r="O13" s="74"/>
      <c r="P13" s="74"/>
      <c r="Q13" s="75"/>
      <c r="R13" s="74"/>
    </row>
    <row r="14" spans="2:19" x14ac:dyDescent="0.3">
      <c r="B14" s="56"/>
      <c r="C14" s="56"/>
      <c r="D14" s="76"/>
      <c r="E14" s="76"/>
      <c r="F14" s="78"/>
      <c r="G14" s="16"/>
      <c r="H14" s="16"/>
      <c r="I14" s="16"/>
      <c r="J14" s="95"/>
      <c r="K14" s="16"/>
      <c r="L14" s="15"/>
      <c r="M14" s="15"/>
      <c r="N14" s="16"/>
      <c r="O14" s="12"/>
      <c r="P14" s="12"/>
      <c r="Q14" s="90"/>
      <c r="R14" s="74"/>
    </row>
    <row r="15" spans="2:19" x14ac:dyDescent="0.3">
      <c r="B15" s="56"/>
      <c r="C15" s="56"/>
      <c r="D15" s="76"/>
      <c r="E15" s="76"/>
      <c r="F15" s="78"/>
      <c r="G15" s="16"/>
      <c r="H15" s="16"/>
      <c r="I15" s="16"/>
      <c r="J15" s="95"/>
      <c r="K15" s="16"/>
      <c r="L15" s="15"/>
      <c r="M15" s="15"/>
      <c r="N15" s="16"/>
      <c r="O15" s="7"/>
      <c r="P15" s="7"/>
      <c r="Q15" s="7"/>
    </row>
    <row r="16" spans="2:19" ht="89.4" customHeight="1" x14ac:dyDescent="0.3">
      <c r="B16" s="56"/>
      <c r="C16" s="56"/>
      <c r="D16" s="76"/>
      <c r="E16" s="76"/>
      <c r="F16" s="16"/>
      <c r="G16" s="16"/>
      <c r="H16" s="16"/>
      <c r="I16" s="16"/>
      <c r="J16" s="16"/>
      <c r="K16" s="16"/>
      <c r="L16" s="15"/>
      <c r="M16" s="15"/>
      <c r="N16" s="16"/>
      <c r="O16" s="7"/>
      <c r="P16" s="7"/>
      <c r="Q16" s="7"/>
    </row>
    <row r="17" spans="1:17" x14ac:dyDescent="0.3">
      <c r="A17" s="11"/>
      <c r="B17" s="56"/>
      <c r="C17" s="56"/>
      <c r="D17" s="87"/>
      <c r="E17" s="76"/>
      <c r="F17" s="16"/>
      <c r="G17" s="16"/>
      <c r="H17" s="16"/>
      <c r="I17" s="16"/>
      <c r="J17" s="16"/>
      <c r="K17" s="16"/>
      <c r="L17" s="16"/>
      <c r="M17" s="16"/>
      <c r="N17" s="16"/>
      <c r="O17" s="7"/>
      <c r="P17" s="72"/>
      <c r="Q17" s="7"/>
    </row>
    <row r="18" spans="1:17" x14ac:dyDescent="0.3">
      <c r="A18" s="11"/>
      <c r="B18" s="76"/>
      <c r="C18" s="76"/>
      <c r="D18" s="76"/>
      <c r="E18" s="76"/>
      <c r="F18" s="16"/>
      <c r="G18" s="16"/>
      <c r="H18" s="16"/>
      <c r="I18" s="16"/>
      <c r="J18" s="16"/>
      <c r="K18" s="16"/>
      <c r="L18" s="16"/>
      <c r="M18" s="16"/>
      <c r="N18" s="16"/>
      <c r="O18" s="12"/>
      <c r="P18" s="73"/>
      <c r="Q18" s="91"/>
    </row>
    <row r="19" spans="1:17" x14ac:dyDescent="0.3">
      <c r="A19" s="11"/>
      <c r="B19" s="76"/>
      <c r="C19" s="76"/>
      <c r="D19" s="76"/>
      <c r="E19" s="76"/>
      <c r="F19" s="16"/>
      <c r="G19" s="16"/>
      <c r="H19" s="16"/>
      <c r="I19" s="16"/>
      <c r="J19" s="16"/>
      <c r="K19" s="16"/>
      <c r="L19" s="16"/>
      <c r="M19" s="16"/>
      <c r="N19" s="16"/>
      <c r="O19" s="12"/>
      <c r="P19" s="73"/>
      <c r="Q19" s="91"/>
    </row>
    <row r="20" spans="1:17" x14ac:dyDescent="0.3">
      <c r="B20" s="76"/>
      <c r="C20" s="76"/>
      <c r="D20" s="76"/>
      <c r="E20" s="76"/>
      <c r="F20" s="16"/>
      <c r="G20" s="16"/>
      <c r="H20" s="16"/>
      <c r="I20" s="16"/>
      <c r="J20" s="16"/>
      <c r="K20" s="16"/>
      <c r="L20" s="16"/>
      <c r="M20" s="16"/>
      <c r="N20" s="16"/>
      <c r="O20" s="12"/>
      <c r="P20" s="73"/>
      <c r="Q20" s="91"/>
    </row>
    <row r="21" spans="1:17" x14ac:dyDescent="0.3">
      <c r="B21" s="76"/>
      <c r="C21" s="76"/>
      <c r="D21" s="76"/>
      <c r="E21" s="76"/>
      <c r="F21" s="18"/>
      <c r="G21" s="16"/>
      <c r="H21" s="16"/>
      <c r="I21" s="16"/>
      <c r="J21" s="16"/>
      <c r="K21" s="16"/>
      <c r="L21" s="16"/>
      <c r="M21" s="16"/>
      <c r="N21" s="16"/>
      <c r="O21" s="12"/>
      <c r="P21" s="73"/>
      <c r="Q21" s="91"/>
    </row>
    <row r="22" spans="1:17" ht="41.25" customHeight="1" x14ac:dyDescent="0.3">
      <c r="B22" s="76"/>
      <c r="C22" s="76"/>
      <c r="D22" s="76"/>
      <c r="F22" s="19"/>
      <c r="G22" s="18"/>
      <c r="H22" s="18"/>
      <c r="I22" s="7"/>
      <c r="J22" s="7"/>
      <c r="K22" s="16"/>
      <c r="L22" s="16"/>
      <c r="M22" s="16"/>
      <c r="N22" s="16"/>
      <c r="O22" s="7"/>
      <c r="P22" s="7"/>
      <c r="Q22" s="92"/>
    </row>
    <row r="23" spans="1:17" x14ac:dyDescent="0.3">
      <c r="F23" s="18"/>
      <c r="G23" s="15"/>
      <c r="H23" s="19"/>
      <c r="I23" s="7"/>
      <c r="J23" s="7"/>
      <c r="K23" s="7"/>
      <c r="L23" s="7"/>
      <c r="M23" s="7"/>
      <c r="N23" s="7"/>
      <c r="O23" s="7"/>
      <c r="P23" s="7"/>
      <c r="Q23" s="92"/>
    </row>
    <row r="24" spans="1:17" x14ac:dyDescent="0.3">
      <c r="F24" s="7"/>
      <c r="G24" s="20"/>
      <c r="H24" s="18"/>
      <c r="I24" s="7"/>
      <c r="J24" s="7"/>
      <c r="K24" s="7"/>
      <c r="L24" s="7"/>
      <c r="M24" s="7"/>
      <c r="N24" s="7"/>
      <c r="O24" s="7"/>
      <c r="P24" s="7"/>
      <c r="Q24" s="92"/>
    </row>
    <row r="25" spans="1:17" x14ac:dyDescent="0.3"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92"/>
    </row>
    <row r="26" spans="1:17" x14ac:dyDescent="0.3"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92"/>
    </row>
    <row r="27" spans="1:17" x14ac:dyDescent="0.3">
      <c r="G27" s="7"/>
      <c r="K27" s="7"/>
      <c r="L27" s="7"/>
      <c r="M27" s="7"/>
      <c r="N27" s="7"/>
      <c r="O27" s="7"/>
      <c r="P27" s="7"/>
      <c r="Q27" s="92"/>
    </row>
  </sheetData>
  <mergeCells count="5">
    <mergeCell ref="H1:J1"/>
    <mergeCell ref="E7:F7"/>
    <mergeCell ref="H7:J7"/>
    <mergeCell ref="B3:J3"/>
    <mergeCell ref="B5:J5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A721BF-53C2-4721-BC8E-F4AC49B4AAE1}">
          <x14:formula1>
            <xm:f>'Datos generales'!$B$8:$B$1048576</xm:f>
          </x14:formula1>
          <xm:sqref>J9:J1048576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48F3-FAE2-4D05-9726-08B2B350F69F}">
  <sheetPr codeName="Hoja2">
    <tabColor rgb="FFFF0000"/>
  </sheetPr>
  <dimension ref="A1:AD1000"/>
  <sheetViews>
    <sheetView showGridLines="0" tabSelected="1" topLeftCell="J1" zoomScale="70" zoomScaleNormal="70" workbookViewId="0">
      <selection activeCell="J15" sqref="J15"/>
    </sheetView>
  </sheetViews>
  <sheetFormatPr baseColWidth="10" defaultColWidth="8.88671875" defaultRowHeight="14.4" x14ac:dyDescent="0.3"/>
  <cols>
    <col min="1" max="1" width="16.77734375" customWidth="1"/>
    <col min="2" max="2" width="16.88671875" bestFit="1" customWidth="1"/>
    <col min="3" max="3" width="13.88671875" style="41" bestFit="1" customWidth="1"/>
    <col min="4" max="4" width="24.5546875" bestFit="1" customWidth="1"/>
    <col min="5" max="5" width="32.44140625" bestFit="1" customWidth="1"/>
    <col min="6" max="6" width="30.6640625" style="52" bestFit="1" customWidth="1"/>
    <col min="7" max="7" width="16.33203125" style="11" bestFit="1" customWidth="1"/>
    <col min="8" max="8" width="18" style="48" bestFit="1" customWidth="1"/>
    <col min="9" max="9" width="10.6640625" style="49" bestFit="1" customWidth="1"/>
    <col min="10" max="10" width="14.5546875" bestFit="1" customWidth="1"/>
    <col min="11" max="11" width="14.109375" style="41" bestFit="1" customWidth="1"/>
    <col min="12" max="12" width="51.109375" style="3" bestFit="1" customWidth="1"/>
    <col min="13" max="13" width="14.5546875" bestFit="1" customWidth="1"/>
    <col min="14" max="14" width="15.21875" style="143" bestFit="1" customWidth="1"/>
    <col min="15" max="15" width="18.21875" style="143" bestFit="1" customWidth="1"/>
    <col min="16" max="16" width="5.5546875" customWidth="1"/>
    <col min="17" max="17" width="21.88671875" bestFit="1" customWidth="1"/>
    <col min="18" max="18" width="4.21875" customWidth="1"/>
    <col min="19" max="19" width="30.6640625" bestFit="1" customWidth="1"/>
    <col min="20" max="20" width="16.88671875" bestFit="1" customWidth="1"/>
    <col min="21" max="21" width="11.6640625" style="143" bestFit="1" customWidth="1"/>
    <col min="22" max="22" width="16.33203125" style="143" bestFit="1" customWidth="1"/>
    <col min="23" max="23" width="18" style="143" bestFit="1" customWidth="1"/>
    <col min="26" max="26" width="32.44140625" bestFit="1" customWidth="1"/>
    <col min="27" max="27" width="16.88671875" bestFit="1" customWidth="1"/>
    <col min="28" max="28" width="12.109375" style="143" bestFit="1" customWidth="1"/>
    <col min="29" max="29" width="18.21875" style="143" bestFit="1" customWidth="1"/>
    <col min="30" max="30" width="18" style="143" bestFit="1" customWidth="1"/>
  </cols>
  <sheetData>
    <row r="1" spans="1:30" s="120" customFormat="1" x14ac:dyDescent="0.3">
      <c r="A1" s="46"/>
      <c r="B1" s="46"/>
      <c r="C1" s="47"/>
      <c r="F1" s="121"/>
      <c r="G1" s="122"/>
      <c r="H1" s="123"/>
      <c r="I1" s="124"/>
      <c r="K1" s="127"/>
      <c r="L1" s="126"/>
      <c r="N1" s="188"/>
      <c r="O1" s="188"/>
      <c r="U1" s="188"/>
      <c r="V1" s="188"/>
      <c r="W1" s="188"/>
      <c r="AB1" s="188"/>
      <c r="AC1" s="188"/>
      <c r="AD1" s="188"/>
    </row>
    <row r="2" spans="1:30" x14ac:dyDescent="0.3">
      <c r="A2" t="s">
        <v>120</v>
      </c>
      <c r="B2" t="s">
        <v>121</v>
      </c>
      <c r="C2" s="41" t="s">
        <v>122</v>
      </c>
      <c r="D2" t="s">
        <v>182</v>
      </c>
      <c r="E2" t="s">
        <v>183</v>
      </c>
      <c r="F2" s="52" t="s">
        <v>184</v>
      </c>
      <c r="G2" s="11" t="s">
        <v>187</v>
      </c>
      <c r="H2" s="48" t="s">
        <v>188</v>
      </c>
      <c r="I2" s="49" t="s">
        <v>189</v>
      </c>
      <c r="J2" t="s">
        <v>190</v>
      </c>
      <c r="K2" s="41" t="s">
        <v>191</v>
      </c>
      <c r="L2" s="3" t="s">
        <v>192</v>
      </c>
      <c r="M2" t="s">
        <v>193</v>
      </c>
      <c r="N2" s="143" t="s">
        <v>194</v>
      </c>
      <c r="O2" s="143" t="s">
        <v>207</v>
      </c>
      <c r="Q2" s="169"/>
    </row>
    <row r="3" spans="1:30" ht="61.2" customHeight="1" x14ac:dyDescent="0.3">
      <c r="A3" s="193" t="s">
        <v>186</v>
      </c>
      <c r="B3" s="14"/>
      <c r="C3" s="14"/>
      <c r="D3" s="14"/>
      <c r="E3" s="14"/>
      <c r="F3" s="175"/>
      <c r="G3" s="176"/>
      <c r="H3" s="118"/>
      <c r="I3" s="118"/>
      <c r="J3" s="14"/>
      <c r="K3" s="40"/>
      <c r="L3" s="14"/>
      <c r="M3" s="14"/>
      <c r="N3" s="141"/>
      <c r="O3" s="141"/>
    </row>
    <row r="4" spans="1:30" s="120" customFormat="1" ht="27" customHeight="1" x14ac:dyDescent="0.3">
      <c r="A4" s="46"/>
      <c r="B4" s="125"/>
      <c r="C4" s="125"/>
      <c r="D4" s="125"/>
      <c r="E4" s="125"/>
      <c r="F4" s="125"/>
      <c r="G4" s="125"/>
      <c r="H4" s="125"/>
      <c r="I4" s="125"/>
      <c r="J4" s="125"/>
      <c r="K4" s="116"/>
      <c r="L4" s="117"/>
      <c r="M4" s="125"/>
      <c r="N4" s="189"/>
      <c r="O4" s="189"/>
      <c r="U4" s="188"/>
      <c r="V4" s="188"/>
      <c r="W4" s="188"/>
      <c r="AB4" s="188"/>
      <c r="AC4" s="188"/>
      <c r="AD4" s="188"/>
    </row>
    <row r="5" spans="1:30" ht="35.4" customHeight="1" x14ac:dyDescent="0.3">
      <c r="A5" s="17"/>
      <c r="B5" s="170" t="s">
        <v>179</v>
      </c>
      <c r="C5" s="170" t="s">
        <v>181</v>
      </c>
      <c r="D5" s="170" t="s">
        <v>38</v>
      </c>
      <c r="E5" s="170" t="s">
        <v>42</v>
      </c>
      <c r="F5" s="170" t="s">
        <v>46</v>
      </c>
      <c r="G5" s="170" t="s">
        <v>50</v>
      </c>
      <c r="H5" s="170" t="s">
        <v>185</v>
      </c>
      <c r="I5" s="185"/>
      <c r="J5" s="125"/>
      <c r="K5" s="116"/>
      <c r="L5" s="186" t="s">
        <v>42</v>
      </c>
      <c r="M5" s="125"/>
      <c r="N5" s="189"/>
      <c r="O5" s="189"/>
      <c r="S5" s="178" t="s">
        <v>50</v>
      </c>
      <c r="Z5" s="178" t="s">
        <v>38</v>
      </c>
    </row>
    <row r="6" spans="1:30" s="120" customFormat="1" x14ac:dyDescent="0.3">
      <c r="A6" s="125"/>
      <c r="B6" s="171" t="s">
        <v>41</v>
      </c>
      <c r="C6" s="171" t="s">
        <v>1</v>
      </c>
      <c r="D6" s="172">
        <v>2394000</v>
      </c>
      <c r="E6" s="172">
        <v>0</v>
      </c>
      <c r="F6" s="172">
        <v>956482.80000000016</v>
      </c>
      <c r="G6" s="172">
        <v>0</v>
      </c>
      <c r="H6" s="172">
        <v>3350482.8000000003</v>
      </c>
      <c r="I6" s="125"/>
      <c r="J6" s="125"/>
      <c r="K6" s="116"/>
      <c r="L6" s="183" t="s">
        <v>51</v>
      </c>
      <c r="M6" s="125" t="s">
        <v>52</v>
      </c>
      <c r="N6" s="189" t="s">
        <v>195</v>
      </c>
      <c r="O6" s="189" t="s">
        <v>168</v>
      </c>
      <c r="S6" s="179" t="s">
        <v>51</v>
      </c>
      <c r="T6" s="120" t="s">
        <v>179</v>
      </c>
      <c r="U6" s="188" t="s">
        <v>114</v>
      </c>
      <c r="V6" s="188" t="s">
        <v>168</v>
      </c>
      <c r="W6" s="188"/>
      <c r="Z6" s="179" t="s">
        <v>68</v>
      </c>
      <c r="AA6" s="120" t="s">
        <v>179</v>
      </c>
      <c r="AB6" s="188" t="s">
        <v>70</v>
      </c>
      <c r="AC6" s="188" t="s">
        <v>208</v>
      </c>
      <c r="AD6" s="188" t="s">
        <v>175</v>
      </c>
    </row>
    <row r="7" spans="1:30" x14ac:dyDescent="0.3">
      <c r="A7" s="12"/>
      <c r="B7" s="173" t="s">
        <v>45</v>
      </c>
      <c r="C7" s="173" t="s">
        <v>6</v>
      </c>
      <c r="D7" s="174">
        <v>0</v>
      </c>
      <c r="E7" s="174">
        <v>322.14000000000004</v>
      </c>
      <c r="F7" s="174">
        <v>0</v>
      </c>
      <c r="G7" s="174">
        <v>0</v>
      </c>
      <c r="H7" s="174">
        <v>322.14000000000004</v>
      </c>
      <c r="I7" s="125"/>
      <c r="J7" s="125"/>
      <c r="K7" s="116"/>
      <c r="L7" s="117" t="s">
        <v>117</v>
      </c>
      <c r="M7" s="125" t="s">
        <v>49</v>
      </c>
      <c r="N7" s="189">
        <v>4</v>
      </c>
      <c r="O7" s="189" t="s">
        <v>197</v>
      </c>
      <c r="S7" t="s">
        <v>47</v>
      </c>
      <c r="T7" t="s">
        <v>138</v>
      </c>
      <c r="U7" s="143">
        <v>3</v>
      </c>
      <c r="V7" s="143" t="s">
        <v>202</v>
      </c>
      <c r="Z7" t="s">
        <v>74</v>
      </c>
      <c r="AA7" t="s">
        <v>41</v>
      </c>
      <c r="AB7" s="143">
        <v>4</v>
      </c>
      <c r="AC7" s="143" t="s">
        <v>209</v>
      </c>
      <c r="AD7" s="143" t="s">
        <v>210</v>
      </c>
    </row>
    <row r="8" spans="1:30" x14ac:dyDescent="0.3">
      <c r="A8" s="125"/>
      <c r="B8" s="171" t="s">
        <v>49</v>
      </c>
      <c r="C8" s="171" t="s">
        <v>1</v>
      </c>
      <c r="D8" s="172">
        <v>20603.254341736694</v>
      </c>
      <c r="E8" s="172">
        <v>76783.097426470587</v>
      </c>
      <c r="F8" s="172">
        <v>94448.852459016387</v>
      </c>
      <c r="G8" s="172">
        <v>0</v>
      </c>
      <c r="H8" s="172">
        <v>191835.20422722367</v>
      </c>
      <c r="I8" s="125"/>
      <c r="J8" s="125"/>
      <c r="K8" s="116"/>
      <c r="L8" s="117" t="s">
        <v>125</v>
      </c>
      <c r="M8" s="125" t="s">
        <v>49</v>
      </c>
      <c r="N8" s="189">
        <v>0.5</v>
      </c>
      <c r="O8" s="189" t="s">
        <v>198</v>
      </c>
      <c r="S8" t="s">
        <v>155</v>
      </c>
      <c r="T8" t="s">
        <v>138</v>
      </c>
      <c r="U8" s="143">
        <v>4</v>
      </c>
      <c r="V8" s="143" t="s">
        <v>203</v>
      </c>
    </row>
    <row r="9" spans="1:30" s="120" customFormat="1" x14ac:dyDescent="0.3">
      <c r="A9" s="125"/>
      <c r="B9" s="173" t="s">
        <v>123</v>
      </c>
      <c r="C9" s="173" t="s">
        <v>30</v>
      </c>
      <c r="D9" s="174">
        <v>0</v>
      </c>
      <c r="E9" s="174">
        <v>0</v>
      </c>
      <c r="F9" s="174">
        <v>0</v>
      </c>
      <c r="G9" s="174">
        <v>9.9191621233859397</v>
      </c>
      <c r="H9" s="174">
        <v>9.9191621233859397</v>
      </c>
      <c r="I9" s="125"/>
      <c r="J9" s="125"/>
      <c r="K9" s="116"/>
      <c r="L9" s="177"/>
      <c r="M9" s="181"/>
      <c r="N9" s="190"/>
      <c r="O9" s="190"/>
      <c r="S9" s="120" t="s">
        <v>170</v>
      </c>
      <c r="T9" s="120" t="s">
        <v>138</v>
      </c>
      <c r="U9" s="188">
        <v>0</v>
      </c>
      <c r="V9" s="188" t="s">
        <v>204</v>
      </c>
      <c r="W9" s="188"/>
      <c r="AB9" s="188"/>
      <c r="AC9" s="188"/>
      <c r="AD9" s="188"/>
    </row>
    <row r="10" spans="1:30" x14ac:dyDescent="0.3">
      <c r="A10" s="12"/>
      <c r="B10" s="171" t="s">
        <v>138</v>
      </c>
      <c r="C10" s="171" t="s">
        <v>1</v>
      </c>
      <c r="D10" s="172">
        <v>0</v>
      </c>
      <c r="E10" s="172">
        <v>0</v>
      </c>
      <c r="F10" s="172">
        <v>55555.5556</v>
      </c>
      <c r="G10" s="172">
        <v>631831.34000000008</v>
      </c>
      <c r="H10" s="172">
        <v>687386.89560000005</v>
      </c>
      <c r="I10" s="125"/>
      <c r="J10" s="125"/>
      <c r="K10" s="116"/>
      <c r="L10" s="117"/>
      <c r="M10" s="125"/>
      <c r="N10" s="189"/>
      <c r="O10" s="189"/>
      <c r="S10" s="178" t="s">
        <v>171</v>
      </c>
      <c r="T10" t="s">
        <v>138</v>
      </c>
      <c r="U10" s="143">
        <v>0</v>
      </c>
      <c r="V10" s="143" t="s">
        <v>204</v>
      </c>
      <c r="Z10" s="178" t="s">
        <v>42</v>
      </c>
    </row>
    <row r="11" spans="1:30" s="120" customFormat="1" x14ac:dyDescent="0.3">
      <c r="A11" s="125"/>
      <c r="B11" s="125"/>
      <c r="C11" s="125"/>
      <c r="D11" s="117"/>
      <c r="E11" s="117"/>
      <c r="F11" s="117"/>
      <c r="G11" s="117"/>
      <c r="H11" s="117"/>
      <c r="I11" s="185"/>
      <c r="J11" s="125"/>
      <c r="K11" s="116"/>
      <c r="L11" s="186" t="s">
        <v>38</v>
      </c>
      <c r="M11" s="125"/>
      <c r="N11" s="189"/>
      <c r="O11" s="189"/>
      <c r="S11" s="179"/>
      <c r="U11" s="188"/>
      <c r="V11" s="188"/>
      <c r="W11" s="188"/>
      <c r="Z11" s="179" t="s">
        <v>68</v>
      </c>
      <c r="AA11" s="120" t="s">
        <v>179</v>
      </c>
      <c r="AB11" s="188" t="s">
        <v>70</v>
      </c>
      <c r="AC11" s="188" t="s">
        <v>208</v>
      </c>
      <c r="AD11" s="188" t="s">
        <v>175</v>
      </c>
    </row>
    <row r="12" spans="1:30" x14ac:dyDescent="0.3">
      <c r="A12" s="125"/>
      <c r="B12" s="125"/>
      <c r="C12" s="125"/>
      <c r="D12" s="117"/>
      <c r="E12" s="117"/>
      <c r="F12" s="117"/>
      <c r="G12" s="117"/>
      <c r="H12" s="117"/>
      <c r="I12" s="125"/>
      <c r="J12" s="125"/>
      <c r="K12" s="116"/>
      <c r="L12" s="183" t="s">
        <v>51</v>
      </c>
      <c r="M12" s="125" t="s">
        <v>52</v>
      </c>
      <c r="N12" s="189" t="s">
        <v>195</v>
      </c>
      <c r="O12" s="189" t="s">
        <v>168</v>
      </c>
      <c r="Z12" t="s">
        <v>74</v>
      </c>
      <c r="AA12" t="s">
        <v>45</v>
      </c>
      <c r="AB12" s="143">
        <v>1</v>
      </c>
      <c r="AC12" s="143" t="s">
        <v>211</v>
      </c>
      <c r="AD12" s="143" t="s">
        <v>211</v>
      </c>
    </row>
    <row r="13" spans="1:30" x14ac:dyDescent="0.3">
      <c r="A13" s="125"/>
      <c r="B13" s="125"/>
      <c r="C13" s="125"/>
      <c r="D13" s="117"/>
      <c r="E13" s="117"/>
      <c r="F13" s="117"/>
      <c r="G13" s="117"/>
      <c r="H13" s="117"/>
      <c r="I13" s="125"/>
      <c r="J13" s="125"/>
      <c r="K13" s="116"/>
      <c r="L13" s="117" t="s">
        <v>118</v>
      </c>
      <c r="M13" s="125" t="s">
        <v>49</v>
      </c>
      <c r="N13" s="189">
        <v>0.2</v>
      </c>
      <c r="O13" s="189" t="s">
        <v>199</v>
      </c>
      <c r="S13" s="178" t="s">
        <v>46</v>
      </c>
    </row>
    <row r="14" spans="1:30" s="120" customFormat="1" x14ac:dyDescent="0.3">
      <c r="A14" s="125"/>
      <c r="B14" s="125"/>
      <c r="C14" s="125"/>
      <c r="D14" s="117"/>
      <c r="E14" s="117"/>
      <c r="F14" s="117"/>
      <c r="G14" s="117"/>
      <c r="H14" s="117"/>
      <c r="I14" s="125"/>
      <c r="J14" s="125"/>
      <c r="K14" s="116"/>
      <c r="L14" s="117" t="s">
        <v>124</v>
      </c>
      <c r="M14" s="125" t="s">
        <v>49</v>
      </c>
      <c r="N14" s="189">
        <v>1</v>
      </c>
      <c r="O14" s="189" t="s">
        <v>200</v>
      </c>
      <c r="S14" s="179" t="s">
        <v>51</v>
      </c>
      <c r="T14" s="120" t="s">
        <v>179</v>
      </c>
      <c r="U14" s="188" t="s">
        <v>114</v>
      </c>
      <c r="V14" s="188" t="s">
        <v>168</v>
      </c>
      <c r="W14" s="188"/>
      <c r="AB14" s="188"/>
      <c r="AC14" s="188"/>
      <c r="AD14" s="188"/>
    </row>
    <row r="15" spans="1:30" x14ac:dyDescent="0.3">
      <c r="A15" s="125"/>
      <c r="B15" s="125"/>
      <c r="C15" s="125"/>
      <c r="D15" s="117"/>
      <c r="E15" s="117"/>
      <c r="F15" s="117"/>
      <c r="G15" s="117"/>
      <c r="H15" s="117"/>
      <c r="I15" s="125"/>
      <c r="J15" s="125"/>
      <c r="K15" s="116"/>
      <c r="L15" s="177"/>
      <c r="M15" s="181"/>
      <c r="N15" s="190"/>
      <c r="O15" s="190"/>
      <c r="S15" s="178" t="s">
        <v>169</v>
      </c>
      <c r="T15" t="s">
        <v>138</v>
      </c>
      <c r="U15" s="143">
        <v>5</v>
      </c>
      <c r="V15" s="143" t="s">
        <v>205</v>
      </c>
      <c r="Z15" s="178" t="s">
        <v>46</v>
      </c>
    </row>
    <row r="16" spans="1:30" s="120" customFormat="1" x14ac:dyDescent="0.3">
      <c r="A16" s="46"/>
      <c r="B16" s="7"/>
      <c r="C16" s="7"/>
      <c r="D16" s="7"/>
      <c r="E16" s="7"/>
      <c r="F16" s="7"/>
      <c r="G16" s="7"/>
      <c r="H16" s="7"/>
      <c r="I16" s="7"/>
      <c r="J16" s="7"/>
      <c r="K16" s="40"/>
      <c r="L16" s="14"/>
      <c r="M16" s="7"/>
      <c r="N16" s="142"/>
      <c r="O16" s="142"/>
      <c r="S16" s="179"/>
      <c r="U16" s="188"/>
      <c r="V16" s="188"/>
      <c r="W16" s="188"/>
      <c r="Z16" s="179" t="s">
        <v>68</v>
      </c>
      <c r="AA16" s="120" t="s">
        <v>179</v>
      </c>
      <c r="AB16" s="188" t="s">
        <v>70</v>
      </c>
      <c r="AC16" s="188" t="s">
        <v>208</v>
      </c>
      <c r="AD16" s="188" t="s">
        <v>175</v>
      </c>
    </row>
    <row r="17" spans="1:30" x14ac:dyDescent="0.3">
      <c r="A17" s="7"/>
      <c r="B17" s="7"/>
      <c r="C17" s="7"/>
      <c r="D17" s="7"/>
      <c r="E17" s="7"/>
      <c r="F17" s="7"/>
      <c r="G17" s="7"/>
      <c r="H17" s="7"/>
      <c r="I17" s="119"/>
      <c r="J17" s="7"/>
      <c r="K17" s="40"/>
      <c r="L17" s="187" t="s">
        <v>46</v>
      </c>
      <c r="M17" s="7"/>
      <c r="N17" s="141"/>
      <c r="O17" s="141"/>
      <c r="Z17" t="s">
        <v>109</v>
      </c>
      <c r="AA17" t="s">
        <v>41</v>
      </c>
      <c r="AB17" s="143">
        <v>1</v>
      </c>
      <c r="AC17" s="143" t="s">
        <v>212</v>
      </c>
      <c r="AD17" s="143" t="s">
        <v>212</v>
      </c>
    </row>
    <row r="18" spans="1:30" x14ac:dyDescent="0.3">
      <c r="A18" s="46"/>
      <c r="C18"/>
      <c r="F18"/>
      <c r="G18"/>
      <c r="H18"/>
      <c r="I18" s="46"/>
      <c r="J18" s="46"/>
      <c r="K18" s="47"/>
      <c r="L18" s="184" t="s">
        <v>51</v>
      </c>
      <c r="M18" s="7" t="s">
        <v>52</v>
      </c>
      <c r="N18" s="141" t="s">
        <v>195</v>
      </c>
      <c r="O18" s="141" t="s">
        <v>168</v>
      </c>
    </row>
    <row r="19" spans="1:30" s="120" customFormat="1" x14ac:dyDescent="0.3">
      <c r="A19" s="46"/>
      <c r="B19"/>
      <c r="C19"/>
      <c r="D19"/>
      <c r="E19"/>
      <c r="F19"/>
      <c r="G19"/>
      <c r="H19"/>
      <c r="I19" s="7"/>
      <c r="J19" s="7"/>
      <c r="K19" s="40"/>
      <c r="L19" s="14" t="s">
        <v>119</v>
      </c>
      <c r="M19" s="7" t="s">
        <v>49</v>
      </c>
      <c r="N19" s="142">
        <v>5</v>
      </c>
      <c r="O19" s="142" t="s">
        <v>201</v>
      </c>
      <c r="U19" s="188"/>
      <c r="V19" s="188"/>
      <c r="W19" s="188"/>
      <c r="AB19" s="188"/>
      <c r="AC19" s="188"/>
      <c r="AD19" s="188"/>
    </row>
    <row r="20" spans="1:30" x14ac:dyDescent="0.3">
      <c r="C20"/>
      <c r="F20"/>
      <c r="G20"/>
      <c r="H20"/>
      <c r="I20" s="46"/>
      <c r="J20" s="46"/>
      <c r="K20" s="47"/>
      <c r="L20" s="180"/>
      <c r="M20" s="182"/>
      <c r="N20" s="191"/>
      <c r="O20" s="191"/>
      <c r="S20" s="178"/>
      <c r="Z20" s="178" t="s">
        <v>50</v>
      </c>
    </row>
    <row r="21" spans="1:30" s="120" customFormat="1" x14ac:dyDescent="0.3">
      <c r="B21"/>
      <c r="C21"/>
      <c r="D21"/>
      <c r="E21"/>
      <c r="F21"/>
      <c r="G21"/>
      <c r="H21"/>
      <c r="I21" s="7"/>
      <c r="J21" s="7"/>
      <c r="K21" s="40"/>
      <c r="L21" s="14"/>
      <c r="M21" s="7"/>
      <c r="N21" s="142"/>
      <c r="O21" s="142"/>
      <c r="S21" s="179"/>
      <c r="U21" s="188"/>
      <c r="V21" s="188"/>
      <c r="W21" s="188"/>
      <c r="Z21" s="179" t="s">
        <v>68</v>
      </c>
      <c r="AA21" s="120" t="s">
        <v>179</v>
      </c>
      <c r="AB21" s="188" t="s">
        <v>70</v>
      </c>
      <c r="AC21" s="188" t="s">
        <v>208</v>
      </c>
      <c r="AD21" s="188" t="s">
        <v>175</v>
      </c>
    </row>
    <row r="22" spans="1:30" x14ac:dyDescent="0.3">
      <c r="C22"/>
      <c r="F22"/>
      <c r="G22"/>
      <c r="H22"/>
      <c r="I22" s="119"/>
      <c r="J22" s="7"/>
      <c r="K22" s="40"/>
      <c r="L22" s="187" t="s">
        <v>50</v>
      </c>
      <c r="M22" s="7"/>
      <c r="N22" s="141"/>
      <c r="O22" s="141"/>
      <c r="Z22" t="s">
        <v>73</v>
      </c>
      <c r="AA22" t="s">
        <v>41</v>
      </c>
      <c r="AB22" s="143">
        <v>0</v>
      </c>
      <c r="AC22" s="143" t="s">
        <v>204</v>
      </c>
      <c r="AD22" s="143" t="s">
        <v>204</v>
      </c>
    </row>
    <row r="23" spans="1:30" x14ac:dyDescent="0.3">
      <c r="A23" s="120"/>
      <c r="C23"/>
      <c r="F23"/>
      <c r="G23"/>
      <c r="H23"/>
      <c r="I23" s="46"/>
      <c r="J23" s="46"/>
      <c r="K23" s="47"/>
      <c r="L23" s="184" t="s">
        <v>51</v>
      </c>
      <c r="M23" s="7" t="s">
        <v>52</v>
      </c>
      <c r="N23" s="141" t="s">
        <v>195</v>
      </c>
      <c r="O23" s="141" t="s">
        <v>168</v>
      </c>
    </row>
    <row r="24" spans="1:30" s="120" customFormat="1" x14ac:dyDescent="0.3">
      <c r="B24"/>
      <c r="C24"/>
      <c r="D24"/>
      <c r="E24"/>
      <c r="F24"/>
      <c r="G24"/>
      <c r="H24"/>
      <c r="I24" s="7"/>
      <c r="J24" s="7"/>
      <c r="K24" s="40"/>
      <c r="L24" s="14" t="s">
        <v>180</v>
      </c>
      <c r="M24" s="7" t="s">
        <v>123</v>
      </c>
      <c r="N24" s="142">
        <v>0.6</v>
      </c>
      <c r="O24" s="142" t="s">
        <v>196</v>
      </c>
      <c r="U24" s="188"/>
      <c r="V24" s="188"/>
      <c r="W24" s="188"/>
      <c r="AB24" s="188"/>
      <c r="AC24" s="188"/>
      <c r="AD24" s="188"/>
    </row>
    <row r="25" spans="1:30" x14ac:dyDescent="0.3">
      <c r="C25"/>
      <c r="F25"/>
      <c r="G25"/>
      <c r="H25"/>
      <c r="I25" s="46"/>
      <c r="J25" s="46"/>
      <c r="K25" s="47"/>
      <c r="L25" s="180"/>
      <c r="M25" s="182"/>
      <c r="N25" s="191"/>
      <c r="O25" s="191"/>
    </row>
    <row r="26" spans="1:30" s="120" customFormat="1" x14ac:dyDescent="0.3">
      <c r="B26"/>
      <c r="C26"/>
      <c r="D26"/>
      <c r="E26"/>
      <c r="F26"/>
      <c r="G26"/>
      <c r="H26"/>
      <c r="I26" s="7"/>
      <c r="J26" s="7"/>
      <c r="K26" s="40"/>
      <c r="L26" s="14"/>
      <c r="M26" s="7"/>
      <c r="N26" s="142"/>
      <c r="O26" s="142"/>
      <c r="U26" s="188"/>
      <c r="V26" s="188"/>
      <c r="W26" s="188"/>
      <c r="AB26" s="188"/>
      <c r="AC26" s="188"/>
      <c r="AD26" s="188"/>
    </row>
    <row r="27" spans="1:30" x14ac:dyDescent="0.3">
      <c r="C27"/>
      <c r="F27"/>
      <c r="G27"/>
      <c r="H27"/>
      <c r="I27" s="7"/>
      <c r="J27" s="7"/>
      <c r="K27" s="40"/>
      <c r="L27" s="14"/>
      <c r="M27" s="7"/>
    </row>
    <row r="28" spans="1:30" x14ac:dyDescent="0.3">
      <c r="A28" s="120"/>
      <c r="C28"/>
      <c r="F28"/>
      <c r="G28"/>
      <c r="H28"/>
      <c r="I28" s="7"/>
      <c r="J28" s="7"/>
      <c r="K28" s="40"/>
      <c r="L28" s="14"/>
      <c r="M28" s="7"/>
    </row>
    <row r="29" spans="1:30" s="120" customFormat="1" x14ac:dyDescent="0.3">
      <c r="B29"/>
      <c r="C29"/>
      <c r="D29"/>
      <c r="E29"/>
      <c r="F29"/>
      <c r="G29"/>
      <c r="H29"/>
      <c r="I29" s="7"/>
      <c r="J29" s="7"/>
      <c r="K29" s="40"/>
      <c r="L29" s="14"/>
      <c r="M29" s="7"/>
      <c r="N29" s="188"/>
      <c r="O29" s="188"/>
      <c r="U29" s="188"/>
      <c r="V29" s="188"/>
      <c r="W29" s="188"/>
      <c r="AB29" s="188"/>
      <c r="AC29" s="188"/>
      <c r="AD29" s="188"/>
    </row>
    <row r="30" spans="1:30" x14ac:dyDescent="0.3">
      <c r="C30"/>
      <c r="F30"/>
      <c r="G30"/>
      <c r="H30"/>
      <c r="I30"/>
    </row>
    <row r="31" spans="1:30" s="120" customFormat="1" x14ac:dyDescent="0.3">
      <c r="B31"/>
      <c r="C31"/>
      <c r="D31"/>
      <c r="E31"/>
      <c r="F31"/>
      <c r="G31"/>
      <c r="H31"/>
      <c r="I31"/>
      <c r="J31"/>
      <c r="K31" s="41"/>
      <c r="L31" s="3"/>
      <c r="M31"/>
      <c r="N31" s="188"/>
      <c r="O31" s="188"/>
      <c r="U31" s="188"/>
      <c r="V31" s="188"/>
      <c r="W31" s="188"/>
      <c r="AB31" s="188"/>
      <c r="AC31" s="188"/>
      <c r="AD31" s="188"/>
    </row>
    <row r="32" spans="1:30" x14ac:dyDescent="0.3">
      <c r="C32"/>
      <c r="F32"/>
      <c r="G32"/>
      <c r="H32"/>
      <c r="I32"/>
    </row>
    <row r="33" spans="1:30" x14ac:dyDescent="0.3">
      <c r="A33" s="120"/>
      <c r="C33"/>
      <c r="F33"/>
      <c r="G33"/>
      <c r="H33"/>
      <c r="I33"/>
    </row>
    <row r="34" spans="1:30" s="120" customFormat="1" x14ac:dyDescent="0.3">
      <c r="B34"/>
      <c r="C34"/>
      <c r="D34"/>
      <c r="E34"/>
      <c r="F34"/>
      <c r="G34"/>
      <c r="H34"/>
      <c r="I34"/>
      <c r="J34"/>
      <c r="K34" s="41"/>
      <c r="L34" s="3"/>
      <c r="M34"/>
      <c r="N34" s="188"/>
      <c r="O34" s="188"/>
      <c r="U34" s="188"/>
      <c r="V34" s="188"/>
      <c r="W34" s="188"/>
      <c r="AB34" s="188"/>
      <c r="AC34" s="188"/>
      <c r="AD34" s="188"/>
    </row>
    <row r="35" spans="1:30" x14ac:dyDescent="0.3">
      <c r="C35"/>
      <c r="F35"/>
      <c r="G35"/>
      <c r="H35"/>
      <c r="I35"/>
    </row>
    <row r="36" spans="1:30" s="120" customFormat="1" x14ac:dyDescent="0.3">
      <c r="B36"/>
      <c r="C36"/>
      <c r="D36"/>
      <c r="E36"/>
      <c r="F36"/>
      <c r="G36"/>
      <c r="H36"/>
      <c r="I36"/>
      <c r="J36"/>
      <c r="K36" s="41"/>
      <c r="L36" s="3"/>
      <c r="M36"/>
      <c r="N36" s="188"/>
      <c r="O36" s="188"/>
      <c r="U36" s="188"/>
      <c r="V36" s="188"/>
      <c r="W36" s="188"/>
      <c r="AB36" s="188"/>
      <c r="AC36" s="188"/>
      <c r="AD36" s="188"/>
    </row>
    <row r="37" spans="1:30" x14ac:dyDescent="0.3">
      <c r="C37"/>
      <c r="F37"/>
      <c r="G37"/>
      <c r="H37"/>
      <c r="I37"/>
    </row>
    <row r="38" spans="1:30" x14ac:dyDescent="0.3">
      <c r="A38" s="120"/>
      <c r="C38"/>
      <c r="F38"/>
      <c r="G38"/>
      <c r="H38"/>
      <c r="I38"/>
    </row>
    <row r="39" spans="1:30" s="120" customFormat="1" x14ac:dyDescent="0.3">
      <c r="B39"/>
      <c r="C39"/>
      <c r="D39"/>
      <c r="E39"/>
      <c r="F39"/>
      <c r="G39"/>
      <c r="H39"/>
      <c r="I39"/>
      <c r="J39"/>
      <c r="K39" s="41"/>
      <c r="L39" s="3"/>
      <c r="M39"/>
      <c r="N39" s="188"/>
      <c r="O39" s="188"/>
      <c r="U39" s="188"/>
      <c r="V39" s="188"/>
      <c r="W39" s="188"/>
      <c r="AB39" s="188"/>
      <c r="AC39" s="188"/>
      <c r="AD39" s="188"/>
    </row>
    <row r="40" spans="1:30" s="120" customFormat="1" x14ac:dyDescent="0.3">
      <c r="B40"/>
      <c r="C40"/>
      <c r="D40"/>
      <c r="E40"/>
      <c r="F40"/>
      <c r="G40"/>
      <c r="H40"/>
      <c r="I40"/>
      <c r="J40"/>
      <c r="K40" s="41"/>
      <c r="L40" s="3"/>
      <c r="M40"/>
      <c r="N40" s="188"/>
      <c r="O40" s="188"/>
      <c r="U40" s="188"/>
      <c r="V40" s="188"/>
      <c r="W40" s="188"/>
      <c r="AB40" s="188"/>
      <c r="AC40" s="188"/>
      <c r="AD40" s="188"/>
    </row>
    <row r="41" spans="1:30" x14ac:dyDescent="0.3">
      <c r="C41"/>
      <c r="F41"/>
      <c r="G41"/>
      <c r="H41"/>
      <c r="I41"/>
    </row>
    <row r="42" spans="1:30" x14ac:dyDescent="0.3">
      <c r="A42" s="120"/>
      <c r="C42"/>
      <c r="F42"/>
      <c r="G42"/>
      <c r="H42"/>
      <c r="I42"/>
    </row>
    <row r="43" spans="1:30" s="120" customFormat="1" x14ac:dyDescent="0.3">
      <c r="B43"/>
      <c r="C43"/>
      <c r="D43"/>
      <c r="E43"/>
      <c r="F43"/>
      <c r="G43"/>
      <c r="H43"/>
      <c r="I43"/>
      <c r="J43"/>
      <c r="K43" s="41"/>
      <c r="L43" s="3"/>
      <c r="M43"/>
      <c r="N43" s="188"/>
      <c r="O43" s="188"/>
      <c r="U43" s="188"/>
      <c r="V43" s="188"/>
      <c r="W43" s="188"/>
      <c r="AB43" s="188"/>
      <c r="AC43" s="188"/>
      <c r="AD43" s="188"/>
    </row>
    <row r="44" spans="1:30" s="120" customFormat="1" x14ac:dyDescent="0.3">
      <c r="B44"/>
      <c r="C44"/>
      <c r="D44"/>
      <c r="E44"/>
      <c r="F44"/>
      <c r="G44"/>
      <c r="H44"/>
      <c r="I44"/>
      <c r="J44"/>
      <c r="K44" s="41"/>
      <c r="L44" s="3"/>
      <c r="M44"/>
      <c r="N44" s="188"/>
      <c r="O44" s="188"/>
      <c r="U44" s="188"/>
      <c r="V44" s="188"/>
      <c r="W44" s="188"/>
      <c r="AB44" s="188"/>
      <c r="AC44" s="188"/>
      <c r="AD44" s="188"/>
    </row>
    <row r="45" spans="1:30" x14ac:dyDescent="0.3">
      <c r="C45"/>
      <c r="F45"/>
      <c r="G45"/>
      <c r="H45"/>
      <c r="I45"/>
    </row>
    <row r="46" spans="1:30" x14ac:dyDescent="0.3">
      <c r="A46" s="120"/>
      <c r="C46"/>
      <c r="F46"/>
      <c r="G46"/>
      <c r="H46"/>
      <c r="I46"/>
    </row>
    <row r="47" spans="1:30" s="120" customFormat="1" x14ac:dyDescent="0.3">
      <c r="B47"/>
      <c r="C47"/>
      <c r="D47"/>
      <c r="E47"/>
      <c r="F47"/>
      <c r="G47"/>
      <c r="H47"/>
      <c r="I47"/>
      <c r="J47"/>
      <c r="K47" s="41"/>
      <c r="L47" s="3"/>
      <c r="M47"/>
      <c r="N47" s="188"/>
      <c r="O47" s="188"/>
      <c r="U47" s="188"/>
      <c r="V47" s="188"/>
      <c r="W47" s="188"/>
      <c r="AB47" s="188"/>
      <c r="AC47" s="188"/>
      <c r="AD47" s="188"/>
    </row>
    <row r="48" spans="1:30" s="120" customFormat="1" x14ac:dyDescent="0.3">
      <c r="B48"/>
      <c r="C48"/>
      <c r="D48"/>
      <c r="E48"/>
      <c r="F48"/>
      <c r="G48"/>
      <c r="H48"/>
      <c r="I48"/>
      <c r="J48"/>
      <c r="K48" s="41"/>
      <c r="L48" s="3"/>
      <c r="M48"/>
      <c r="N48" s="188"/>
      <c r="O48" s="188"/>
      <c r="U48" s="188"/>
      <c r="V48" s="188"/>
      <c r="W48" s="188"/>
      <c r="AB48" s="188"/>
      <c r="AC48" s="188"/>
      <c r="AD48" s="188"/>
    </row>
    <row r="49" spans="1:30" x14ac:dyDescent="0.3">
      <c r="C49"/>
      <c r="F49"/>
      <c r="G49"/>
      <c r="H49"/>
      <c r="I49"/>
    </row>
    <row r="50" spans="1:30" x14ac:dyDescent="0.3">
      <c r="A50" s="120"/>
      <c r="C50"/>
      <c r="F50"/>
      <c r="G50"/>
      <c r="H50"/>
      <c r="I50"/>
    </row>
    <row r="51" spans="1:30" s="120" customFormat="1" x14ac:dyDescent="0.3">
      <c r="B51"/>
      <c r="C51"/>
      <c r="D51"/>
      <c r="E51"/>
      <c r="F51"/>
      <c r="G51"/>
      <c r="H51"/>
      <c r="I51"/>
      <c r="J51"/>
      <c r="K51" s="41"/>
      <c r="L51" s="3"/>
      <c r="M51"/>
      <c r="N51" s="188"/>
      <c r="O51" s="188"/>
      <c r="U51" s="188"/>
      <c r="V51" s="188"/>
      <c r="W51" s="188"/>
      <c r="AB51" s="188"/>
      <c r="AC51" s="188"/>
      <c r="AD51" s="188"/>
    </row>
    <row r="52" spans="1:30" s="120" customFormat="1" x14ac:dyDescent="0.3">
      <c r="B52"/>
      <c r="C52"/>
      <c r="D52"/>
      <c r="E52"/>
      <c r="F52"/>
      <c r="G52"/>
      <c r="H52"/>
      <c r="I52"/>
      <c r="J52"/>
      <c r="K52" s="41"/>
      <c r="L52" s="3"/>
      <c r="M52"/>
      <c r="N52" s="188"/>
      <c r="O52" s="188"/>
      <c r="U52" s="188"/>
      <c r="V52" s="188"/>
      <c r="W52" s="188"/>
      <c r="AB52" s="188"/>
      <c r="AC52" s="188"/>
      <c r="AD52" s="188"/>
    </row>
    <row r="53" spans="1:30" x14ac:dyDescent="0.3">
      <c r="C53"/>
      <c r="F53"/>
      <c r="G53"/>
      <c r="H53"/>
      <c r="I53"/>
    </row>
    <row r="54" spans="1:30" x14ac:dyDescent="0.3">
      <c r="A54" s="120"/>
      <c r="C54"/>
      <c r="F54"/>
      <c r="G54"/>
      <c r="H54"/>
      <c r="I54"/>
    </row>
    <row r="55" spans="1:30" s="120" customFormat="1" x14ac:dyDescent="0.3">
      <c r="B55"/>
      <c r="C55"/>
      <c r="D55"/>
      <c r="E55"/>
      <c r="F55"/>
      <c r="G55"/>
      <c r="H55"/>
      <c r="I55"/>
      <c r="J55"/>
      <c r="K55" s="41"/>
      <c r="L55" s="3"/>
      <c r="M55"/>
      <c r="N55" s="188"/>
      <c r="O55" s="188"/>
      <c r="U55" s="188"/>
      <c r="V55" s="188"/>
      <c r="W55" s="188"/>
      <c r="AB55" s="188"/>
      <c r="AC55" s="188"/>
      <c r="AD55" s="188"/>
    </row>
    <row r="56" spans="1:30" s="120" customFormat="1" x14ac:dyDescent="0.3">
      <c r="B56"/>
      <c r="C56"/>
      <c r="D56"/>
      <c r="E56"/>
      <c r="F56"/>
      <c r="G56"/>
      <c r="H56"/>
      <c r="I56"/>
      <c r="J56"/>
      <c r="K56" s="41"/>
      <c r="L56" s="3"/>
      <c r="M56"/>
      <c r="N56" s="188"/>
      <c r="O56" s="188"/>
      <c r="U56" s="188"/>
      <c r="V56" s="188"/>
      <c r="W56" s="188"/>
      <c r="AB56" s="188"/>
      <c r="AC56" s="188"/>
      <c r="AD56" s="188"/>
    </row>
    <row r="57" spans="1:30" x14ac:dyDescent="0.3">
      <c r="C57"/>
      <c r="F57"/>
      <c r="G57"/>
      <c r="H57"/>
      <c r="I57"/>
    </row>
    <row r="58" spans="1:30" x14ac:dyDescent="0.3">
      <c r="A58" s="120"/>
      <c r="C58"/>
      <c r="F58"/>
      <c r="G58"/>
      <c r="H58"/>
      <c r="I58"/>
    </row>
    <row r="59" spans="1:30" s="120" customFormat="1" x14ac:dyDescent="0.3">
      <c r="B59"/>
      <c r="C59"/>
      <c r="D59"/>
      <c r="E59"/>
      <c r="F59"/>
      <c r="G59"/>
      <c r="H59"/>
      <c r="I59"/>
      <c r="J59"/>
      <c r="K59" s="41"/>
      <c r="L59" s="3"/>
      <c r="M59"/>
      <c r="N59" s="188"/>
      <c r="O59" s="188"/>
      <c r="U59" s="188"/>
      <c r="V59" s="188"/>
      <c r="W59" s="188"/>
      <c r="AB59" s="188"/>
      <c r="AC59" s="188"/>
      <c r="AD59" s="188"/>
    </row>
    <row r="60" spans="1:30" s="120" customFormat="1" x14ac:dyDescent="0.3">
      <c r="B60"/>
      <c r="C60"/>
      <c r="D60"/>
      <c r="E60"/>
      <c r="F60"/>
      <c r="G60"/>
      <c r="H60"/>
      <c r="I60"/>
      <c r="J60"/>
      <c r="K60" s="41"/>
      <c r="L60" s="3"/>
      <c r="M60"/>
      <c r="N60" s="188"/>
      <c r="O60" s="188"/>
      <c r="U60" s="188"/>
      <c r="V60" s="188"/>
      <c r="W60" s="188"/>
      <c r="AB60" s="188"/>
      <c r="AC60" s="188"/>
      <c r="AD60" s="188"/>
    </row>
    <row r="61" spans="1:30" x14ac:dyDescent="0.3">
      <c r="C61"/>
      <c r="F61"/>
      <c r="G61"/>
      <c r="H61"/>
      <c r="I61"/>
    </row>
    <row r="62" spans="1:30" x14ac:dyDescent="0.3">
      <c r="A62" s="120"/>
      <c r="C62"/>
      <c r="F62"/>
      <c r="G62"/>
      <c r="H62"/>
      <c r="I62"/>
    </row>
    <row r="63" spans="1:30" s="120" customFormat="1" x14ac:dyDescent="0.3">
      <c r="B63"/>
      <c r="C63"/>
      <c r="D63"/>
      <c r="E63"/>
      <c r="F63"/>
      <c r="G63"/>
      <c r="H63"/>
      <c r="I63"/>
      <c r="J63"/>
      <c r="K63" s="41"/>
      <c r="L63" s="3"/>
      <c r="M63"/>
      <c r="N63" s="188"/>
      <c r="O63" s="188"/>
      <c r="U63" s="188"/>
      <c r="V63" s="188"/>
      <c r="W63" s="188"/>
      <c r="AB63" s="188"/>
      <c r="AC63" s="188"/>
      <c r="AD63" s="188"/>
    </row>
    <row r="64" spans="1:30" s="120" customFormat="1" x14ac:dyDescent="0.3">
      <c r="B64"/>
      <c r="C64"/>
      <c r="D64"/>
      <c r="E64"/>
      <c r="F64"/>
      <c r="G64"/>
      <c r="H64"/>
      <c r="I64"/>
      <c r="J64"/>
      <c r="K64" s="41"/>
      <c r="L64" s="3"/>
      <c r="M64"/>
      <c r="N64" s="188"/>
      <c r="O64" s="188"/>
      <c r="U64" s="188"/>
      <c r="V64" s="188"/>
      <c r="W64" s="188"/>
      <c r="AB64" s="188"/>
      <c r="AC64" s="188"/>
      <c r="AD64" s="188"/>
    </row>
    <row r="65" spans="1:30" x14ac:dyDescent="0.3">
      <c r="C65"/>
      <c r="F65"/>
      <c r="G65"/>
      <c r="H65"/>
      <c r="I65"/>
    </row>
    <row r="66" spans="1:30" x14ac:dyDescent="0.3">
      <c r="A66" s="120"/>
      <c r="C66"/>
      <c r="F66"/>
      <c r="G66"/>
      <c r="H66"/>
      <c r="I66"/>
    </row>
    <row r="67" spans="1:30" s="120" customFormat="1" x14ac:dyDescent="0.3">
      <c r="B67"/>
      <c r="C67"/>
      <c r="D67"/>
      <c r="E67"/>
      <c r="F67"/>
      <c r="G67"/>
      <c r="H67"/>
      <c r="I67"/>
      <c r="J67"/>
      <c r="K67" s="41"/>
      <c r="L67" s="3"/>
      <c r="M67"/>
      <c r="N67" s="188"/>
      <c r="O67" s="188"/>
      <c r="U67" s="188"/>
      <c r="V67" s="188"/>
      <c r="W67" s="188"/>
      <c r="AB67" s="188"/>
      <c r="AC67" s="188"/>
      <c r="AD67" s="188"/>
    </row>
    <row r="68" spans="1:30" s="120" customFormat="1" x14ac:dyDescent="0.3">
      <c r="B68"/>
      <c r="C68"/>
      <c r="D68"/>
      <c r="E68"/>
      <c r="F68"/>
      <c r="G68"/>
      <c r="H68"/>
      <c r="I68"/>
      <c r="J68"/>
      <c r="K68" s="41"/>
      <c r="L68" s="3"/>
      <c r="M68"/>
      <c r="N68" s="188"/>
      <c r="O68" s="188"/>
      <c r="U68" s="188"/>
      <c r="V68" s="188"/>
      <c r="W68" s="188"/>
      <c r="AB68" s="188"/>
      <c r="AC68" s="188"/>
      <c r="AD68" s="188"/>
    </row>
    <row r="69" spans="1:30" x14ac:dyDescent="0.3">
      <c r="C69"/>
      <c r="F69"/>
      <c r="G69"/>
      <c r="H69"/>
      <c r="I69"/>
    </row>
    <row r="70" spans="1:30" x14ac:dyDescent="0.3">
      <c r="A70" s="120"/>
      <c r="C70"/>
      <c r="F70"/>
      <c r="G70"/>
      <c r="H70"/>
      <c r="I70"/>
    </row>
    <row r="71" spans="1:30" s="120" customFormat="1" x14ac:dyDescent="0.3">
      <c r="B71"/>
      <c r="C71"/>
      <c r="D71"/>
      <c r="E71"/>
      <c r="F71"/>
      <c r="G71"/>
      <c r="H71"/>
      <c r="I71"/>
      <c r="J71"/>
      <c r="K71" s="41"/>
      <c r="L71" s="3"/>
      <c r="M71"/>
      <c r="N71" s="188"/>
      <c r="O71" s="188"/>
      <c r="U71" s="188"/>
      <c r="V71" s="188"/>
      <c r="W71" s="188"/>
      <c r="AB71" s="188"/>
      <c r="AC71" s="188"/>
      <c r="AD71" s="188"/>
    </row>
    <row r="72" spans="1:30" s="120" customFormat="1" x14ac:dyDescent="0.3">
      <c r="B72"/>
      <c r="C72"/>
      <c r="D72"/>
      <c r="E72"/>
      <c r="F72"/>
      <c r="G72"/>
      <c r="H72"/>
      <c r="I72"/>
      <c r="J72"/>
      <c r="K72" s="41"/>
      <c r="L72" s="3"/>
      <c r="M72"/>
      <c r="N72" s="188"/>
      <c r="O72" s="188"/>
      <c r="U72" s="188"/>
      <c r="V72" s="188"/>
      <c r="W72" s="188"/>
      <c r="AB72" s="188"/>
      <c r="AC72" s="188"/>
      <c r="AD72" s="188"/>
    </row>
    <row r="73" spans="1:30" x14ac:dyDescent="0.3">
      <c r="C73"/>
      <c r="F73"/>
      <c r="G73"/>
      <c r="H73"/>
      <c r="I73"/>
    </row>
    <row r="74" spans="1:30" x14ac:dyDescent="0.3">
      <c r="A74" s="120"/>
      <c r="C74"/>
      <c r="F74"/>
      <c r="G74"/>
      <c r="H74"/>
      <c r="I74"/>
    </row>
    <row r="75" spans="1:30" s="120" customFormat="1" x14ac:dyDescent="0.3">
      <c r="B75"/>
      <c r="C75"/>
      <c r="D75"/>
      <c r="E75"/>
      <c r="F75"/>
      <c r="G75"/>
      <c r="H75"/>
      <c r="I75"/>
      <c r="J75"/>
      <c r="K75" s="41"/>
      <c r="L75" s="3"/>
      <c r="M75"/>
      <c r="N75" s="188"/>
      <c r="O75" s="188"/>
      <c r="U75" s="188"/>
      <c r="V75" s="188"/>
      <c r="W75" s="188"/>
      <c r="AB75" s="188"/>
      <c r="AC75" s="188"/>
      <c r="AD75" s="188"/>
    </row>
    <row r="76" spans="1:30" s="120" customFormat="1" x14ac:dyDescent="0.3">
      <c r="B76"/>
      <c r="C76"/>
      <c r="D76"/>
      <c r="E76"/>
      <c r="F76"/>
      <c r="G76"/>
      <c r="H76"/>
      <c r="I76"/>
      <c r="J76"/>
      <c r="K76" s="41"/>
      <c r="L76" s="3"/>
      <c r="M76"/>
      <c r="N76" s="188"/>
      <c r="O76" s="188"/>
      <c r="U76" s="188"/>
      <c r="V76" s="188"/>
      <c r="W76" s="188"/>
      <c r="AB76" s="188"/>
      <c r="AC76" s="188"/>
      <c r="AD76" s="188"/>
    </row>
    <row r="77" spans="1:30" x14ac:dyDescent="0.3">
      <c r="C77"/>
      <c r="F77"/>
      <c r="G77"/>
      <c r="H77"/>
      <c r="I77"/>
    </row>
    <row r="78" spans="1:30" x14ac:dyDescent="0.3">
      <c r="A78" s="120"/>
      <c r="C78"/>
      <c r="F78"/>
      <c r="G78"/>
      <c r="H78"/>
      <c r="I78"/>
    </row>
    <row r="79" spans="1:30" s="120" customFormat="1" x14ac:dyDescent="0.3">
      <c r="B79"/>
      <c r="C79"/>
      <c r="D79"/>
      <c r="E79"/>
      <c r="F79"/>
      <c r="G79"/>
      <c r="H79"/>
      <c r="I79"/>
      <c r="J79"/>
      <c r="K79" s="41"/>
      <c r="L79" s="3"/>
      <c r="M79"/>
      <c r="N79" s="188"/>
      <c r="O79" s="188"/>
      <c r="U79" s="188"/>
      <c r="V79" s="188"/>
      <c r="W79" s="188"/>
      <c r="AB79" s="188"/>
      <c r="AC79" s="188"/>
      <c r="AD79" s="188"/>
    </row>
    <row r="80" spans="1:30" s="120" customFormat="1" x14ac:dyDescent="0.3">
      <c r="B80"/>
      <c r="C80"/>
      <c r="D80"/>
      <c r="E80"/>
      <c r="F80"/>
      <c r="G80"/>
      <c r="H80"/>
      <c r="I80"/>
      <c r="J80"/>
      <c r="K80" s="41"/>
      <c r="L80" s="3"/>
      <c r="M80"/>
      <c r="N80" s="188"/>
      <c r="O80" s="188"/>
      <c r="U80" s="188"/>
      <c r="V80" s="188"/>
      <c r="W80" s="188"/>
      <c r="AB80" s="188"/>
      <c r="AC80" s="188"/>
      <c r="AD80" s="188"/>
    </row>
    <row r="81" spans="1:30" x14ac:dyDescent="0.3">
      <c r="C81"/>
      <c r="F81"/>
      <c r="G81"/>
      <c r="H81"/>
      <c r="I81"/>
    </row>
    <row r="82" spans="1:30" x14ac:dyDescent="0.3">
      <c r="A82" s="120"/>
      <c r="C82"/>
      <c r="F82"/>
      <c r="G82"/>
      <c r="H82"/>
      <c r="I82"/>
    </row>
    <row r="83" spans="1:30" s="120" customFormat="1" x14ac:dyDescent="0.3">
      <c r="B83"/>
      <c r="C83"/>
      <c r="D83"/>
      <c r="E83"/>
      <c r="F83"/>
      <c r="G83"/>
      <c r="H83"/>
      <c r="I83"/>
      <c r="J83"/>
      <c r="K83" s="41"/>
      <c r="L83" s="3"/>
      <c r="M83"/>
      <c r="N83" s="188"/>
      <c r="O83" s="188"/>
      <c r="U83" s="188"/>
      <c r="V83" s="188"/>
      <c r="W83" s="188"/>
      <c r="AB83" s="188"/>
      <c r="AC83" s="188"/>
      <c r="AD83" s="188"/>
    </row>
    <row r="84" spans="1:30" s="120" customFormat="1" x14ac:dyDescent="0.3">
      <c r="B84"/>
      <c r="C84"/>
      <c r="D84"/>
      <c r="E84"/>
      <c r="F84"/>
      <c r="G84"/>
      <c r="H84"/>
      <c r="I84"/>
      <c r="J84"/>
      <c r="K84" s="41"/>
      <c r="L84" s="3"/>
      <c r="M84"/>
      <c r="N84" s="188"/>
      <c r="O84" s="188"/>
      <c r="U84" s="188"/>
      <c r="V84" s="188"/>
      <c r="W84" s="188"/>
      <c r="AB84" s="188"/>
      <c r="AC84" s="188"/>
      <c r="AD84" s="188"/>
    </row>
    <row r="85" spans="1:30" x14ac:dyDescent="0.3">
      <c r="C85"/>
      <c r="F85"/>
      <c r="G85"/>
      <c r="H85"/>
      <c r="I85"/>
    </row>
    <row r="86" spans="1:30" x14ac:dyDescent="0.3">
      <c r="A86" s="120"/>
      <c r="C86"/>
      <c r="F86"/>
      <c r="G86"/>
      <c r="H86"/>
      <c r="I86"/>
    </row>
    <row r="87" spans="1:30" s="120" customFormat="1" x14ac:dyDescent="0.3">
      <c r="B87"/>
      <c r="C87"/>
      <c r="D87"/>
      <c r="E87"/>
      <c r="F87"/>
      <c r="G87"/>
      <c r="H87"/>
      <c r="I87"/>
      <c r="J87"/>
      <c r="K87" s="41"/>
      <c r="L87" s="3"/>
      <c r="M87"/>
      <c r="N87" s="188"/>
      <c r="O87" s="188"/>
      <c r="U87" s="188"/>
      <c r="V87" s="188"/>
      <c r="W87" s="188"/>
      <c r="AB87" s="188"/>
      <c r="AC87" s="188"/>
      <c r="AD87" s="188"/>
    </row>
    <row r="88" spans="1:30" s="120" customFormat="1" x14ac:dyDescent="0.3">
      <c r="B88"/>
      <c r="C88"/>
      <c r="D88"/>
      <c r="E88"/>
      <c r="F88"/>
      <c r="G88"/>
      <c r="H88"/>
      <c r="I88"/>
      <c r="J88"/>
      <c r="K88" s="41"/>
      <c r="L88" s="3"/>
      <c r="M88"/>
      <c r="N88" s="188"/>
      <c r="O88" s="188"/>
      <c r="U88" s="188"/>
      <c r="V88" s="188"/>
      <c r="W88" s="188"/>
      <c r="AB88" s="188"/>
      <c r="AC88" s="188"/>
      <c r="AD88" s="188"/>
    </row>
    <row r="89" spans="1:30" x14ac:dyDescent="0.3">
      <c r="C89"/>
      <c r="F89"/>
      <c r="G89"/>
      <c r="H89"/>
      <c r="I89"/>
    </row>
    <row r="90" spans="1:30" x14ac:dyDescent="0.3">
      <c r="A90" s="120"/>
      <c r="C90"/>
      <c r="F90"/>
      <c r="G90"/>
      <c r="H90"/>
      <c r="I90"/>
    </row>
    <row r="91" spans="1:30" s="120" customFormat="1" x14ac:dyDescent="0.3">
      <c r="B91"/>
      <c r="C91"/>
      <c r="D91"/>
      <c r="E91"/>
      <c r="F91"/>
      <c r="G91"/>
      <c r="H91"/>
      <c r="I91"/>
      <c r="J91"/>
      <c r="K91" s="41"/>
      <c r="L91" s="3"/>
      <c r="M91"/>
      <c r="N91" s="188"/>
      <c r="O91" s="188"/>
      <c r="U91" s="188"/>
      <c r="V91" s="188"/>
      <c r="W91" s="188"/>
      <c r="AB91" s="188"/>
      <c r="AC91" s="188"/>
      <c r="AD91" s="188"/>
    </row>
    <row r="92" spans="1:30" s="120" customFormat="1" x14ac:dyDescent="0.3">
      <c r="B92"/>
      <c r="C92"/>
      <c r="D92"/>
      <c r="E92"/>
      <c r="F92"/>
      <c r="G92"/>
      <c r="H92"/>
      <c r="I92"/>
      <c r="J92"/>
      <c r="K92" s="41"/>
      <c r="L92" s="3"/>
      <c r="M92"/>
      <c r="N92" s="188"/>
      <c r="O92" s="188"/>
      <c r="U92" s="188"/>
      <c r="V92" s="188"/>
      <c r="W92" s="188"/>
      <c r="AB92" s="188"/>
      <c r="AC92" s="188"/>
      <c r="AD92" s="188"/>
    </row>
    <row r="93" spans="1:30" x14ac:dyDescent="0.3">
      <c r="C93"/>
      <c r="F93"/>
      <c r="G93"/>
      <c r="H93"/>
      <c r="I93"/>
    </row>
    <row r="94" spans="1:30" x14ac:dyDescent="0.3">
      <c r="A94" s="120"/>
      <c r="C94"/>
      <c r="F94"/>
      <c r="G94"/>
      <c r="H94"/>
      <c r="I94"/>
    </row>
    <row r="95" spans="1:30" s="120" customFormat="1" x14ac:dyDescent="0.3">
      <c r="B95"/>
      <c r="C95"/>
      <c r="D95"/>
      <c r="E95"/>
      <c r="F95"/>
      <c r="G95"/>
      <c r="H95"/>
      <c r="I95"/>
      <c r="J95"/>
      <c r="K95" s="41"/>
      <c r="L95" s="3"/>
      <c r="M95"/>
      <c r="N95" s="188"/>
      <c r="O95" s="188"/>
      <c r="U95" s="188"/>
      <c r="V95" s="188"/>
      <c r="W95" s="188"/>
      <c r="AB95" s="188"/>
      <c r="AC95" s="188"/>
      <c r="AD95" s="188"/>
    </row>
    <row r="96" spans="1:30" s="120" customFormat="1" x14ac:dyDescent="0.3">
      <c r="B96"/>
      <c r="C96"/>
      <c r="D96"/>
      <c r="E96"/>
      <c r="F96"/>
      <c r="G96"/>
      <c r="H96"/>
      <c r="I96"/>
      <c r="J96"/>
      <c r="K96" s="41"/>
      <c r="L96" s="3"/>
      <c r="M96"/>
      <c r="N96" s="188"/>
      <c r="O96" s="188"/>
      <c r="U96" s="188"/>
      <c r="V96" s="188"/>
      <c r="W96" s="188"/>
      <c r="AB96" s="188"/>
      <c r="AC96" s="188"/>
      <c r="AD96" s="188"/>
    </row>
    <row r="97" spans="11:30" customFormat="1" x14ac:dyDescent="0.3">
      <c r="K97" s="41"/>
      <c r="L97" s="3"/>
      <c r="N97" s="143"/>
      <c r="O97" s="143"/>
      <c r="U97" s="143"/>
      <c r="V97" s="143"/>
      <c r="W97" s="143"/>
      <c r="AB97" s="143"/>
      <c r="AC97" s="143"/>
      <c r="AD97" s="143"/>
    </row>
    <row r="98" spans="11:30" customFormat="1" x14ac:dyDescent="0.3">
      <c r="K98" s="41"/>
      <c r="L98" s="3"/>
      <c r="N98" s="143"/>
      <c r="O98" s="143"/>
      <c r="U98" s="143"/>
      <c r="V98" s="143"/>
      <c r="W98" s="143"/>
      <c r="AB98" s="143"/>
      <c r="AC98" s="143"/>
      <c r="AD98" s="143"/>
    </row>
    <row r="99" spans="11:30" customFormat="1" x14ac:dyDescent="0.3">
      <c r="K99" s="41"/>
      <c r="L99" s="3"/>
      <c r="N99" s="143"/>
      <c r="O99" s="143"/>
      <c r="U99" s="143"/>
      <c r="V99" s="143"/>
      <c r="W99" s="143"/>
      <c r="AB99" s="143"/>
      <c r="AC99" s="143"/>
      <c r="AD99" s="143"/>
    </row>
    <row r="100" spans="11:30" customFormat="1" x14ac:dyDescent="0.3">
      <c r="K100" s="41"/>
      <c r="L100" s="3"/>
      <c r="N100" s="143"/>
      <c r="O100" s="143"/>
      <c r="U100" s="143"/>
      <c r="V100" s="143"/>
      <c r="W100" s="143"/>
      <c r="AB100" s="143"/>
      <c r="AC100" s="143"/>
      <c r="AD100" s="143"/>
    </row>
    <row r="101" spans="11:30" customFormat="1" x14ac:dyDescent="0.3">
      <c r="K101" s="41"/>
      <c r="L101" s="3"/>
      <c r="N101" s="143"/>
      <c r="O101" s="143"/>
      <c r="U101" s="143"/>
      <c r="V101" s="143"/>
      <c r="W101" s="143"/>
      <c r="AB101" s="143"/>
      <c r="AC101" s="143"/>
      <c r="AD101" s="143"/>
    </row>
    <row r="102" spans="11:30" customFormat="1" x14ac:dyDescent="0.3">
      <c r="K102" s="41"/>
      <c r="L102" s="3"/>
      <c r="N102" s="143"/>
      <c r="O102" s="143"/>
      <c r="U102" s="143"/>
      <c r="V102" s="143"/>
      <c r="W102" s="143"/>
      <c r="AB102" s="143"/>
      <c r="AC102" s="143"/>
      <c r="AD102" s="143"/>
    </row>
    <row r="103" spans="11:30" customFormat="1" x14ac:dyDescent="0.3">
      <c r="K103" s="41"/>
      <c r="L103" s="3"/>
      <c r="N103" s="143"/>
      <c r="O103" s="143"/>
      <c r="U103" s="143"/>
      <c r="V103" s="143"/>
      <c r="W103" s="143"/>
      <c r="AB103" s="143"/>
      <c r="AC103" s="143"/>
      <c r="AD103" s="143"/>
    </row>
    <row r="104" spans="11:30" customFormat="1" x14ac:dyDescent="0.3">
      <c r="K104" s="41"/>
      <c r="L104" s="3"/>
      <c r="N104" s="143"/>
      <c r="O104" s="143"/>
      <c r="U104" s="143"/>
      <c r="V104" s="143"/>
      <c r="W104" s="143"/>
      <c r="AB104" s="143"/>
      <c r="AC104" s="143"/>
      <c r="AD104" s="143"/>
    </row>
    <row r="105" spans="11:30" customFormat="1" x14ac:dyDescent="0.3">
      <c r="K105" s="41"/>
      <c r="L105" s="3"/>
      <c r="N105" s="143"/>
      <c r="O105" s="143"/>
      <c r="U105" s="143"/>
      <c r="V105" s="143"/>
      <c r="W105" s="143"/>
      <c r="AB105" s="143"/>
      <c r="AC105" s="143"/>
      <c r="AD105" s="143"/>
    </row>
    <row r="106" spans="11:30" customFormat="1" x14ac:dyDescent="0.3">
      <c r="K106" s="41"/>
      <c r="L106" s="3"/>
      <c r="N106" s="143"/>
      <c r="O106" s="143"/>
      <c r="U106" s="143"/>
      <c r="V106" s="143"/>
      <c r="W106" s="143"/>
      <c r="AB106" s="143"/>
      <c r="AC106" s="143"/>
      <c r="AD106" s="143"/>
    </row>
    <row r="107" spans="11:30" customFormat="1" x14ac:dyDescent="0.3">
      <c r="K107" s="41"/>
      <c r="L107" s="3"/>
      <c r="N107" s="143"/>
      <c r="O107" s="143"/>
      <c r="U107" s="143"/>
      <c r="V107" s="143"/>
      <c r="W107" s="143"/>
      <c r="AB107" s="143"/>
      <c r="AC107" s="143"/>
      <c r="AD107" s="143"/>
    </row>
    <row r="108" spans="11:30" customFormat="1" x14ac:dyDescent="0.3">
      <c r="K108" s="41"/>
      <c r="L108" s="3"/>
      <c r="N108" s="143"/>
      <c r="O108" s="143"/>
      <c r="U108" s="143"/>
      <c r="V108" s="143"/>
      <c r="W108" s="143"/>
      <c r="AB108" s="143"/>
      <c r="AC108" s="143"/>
      <c r="AD108" s="143"/>
    </row>
    <row r="109" spans="11:30" customFormat="1" x14ac:dyDescent="0.3">
      <c r="K109" s="41"/>
      <c r="L109" s="3"/>
      <c r="N109" s="143"/>
      <c r="O109" s="143"/>
      <c r="U109" s="143"/>
      <c r="V109" s="143"/>
      <c r="W109" s="143"/>
      <c r="AB109" s="143"/>
      <c r="AC109" s="143"/>
      <c r="AD109" s="143"/>
    </row>
    <row r="110" spans="11:30" customFormat="1" x14ac:dyDescent="0.3">
      <c r="K110" s="41"/>
      <c r="L110" s="3"/>
      <c r="N110" s="143"/>
      <c r="O110" s="143"/>
      <c r="U110" s="143"/>
      <c r="V110" s="143"/>
      <c r="W110" s="143"/>
      <c r="AB110" s="143"/>
      <c r="AC110" s="143"/>
      <c r="AD110" s="143"/>
    </row>
    <row r="111" spans="11:30" customFormat="1" x14ac:dyDescent="0.3">
      <c r="K111" s="41"/>
      <c r="L111" s="3"/>
      <c r="N111" s="143"/>
      <c r="O111" s="143"/>
      <c r="U111" s="143"/>
      <c r="V111" s="143"/>
      <c r="W111" s="143"/>
      <c r="AB111" s="143"/>
      <c r="AC111" s="143"/>
      <c r="AD111" s="143"/>
    </row>
    <row r="112" spans="11:30" customFormat="1" x14ac:dyDescent="0.3">
      <c r="K112" s="41"/>
      <c r="L112" s="3"/>
      <c r="N112" s="143"/>
      <c r="O112" s="143"/>
      <c r="U112" s="143"/>
      <c r="V112" s="143"/>
      <c r="W112" s="143"/>
      <c r="AB112" s="143"/>
      <c r="AC112" s="143"/>
      <c r="AD112" s="143"/>
    </row>
    <row r="113" spans="11:30" customFormat="1" x14ac:dyDescent="0.3">
      <c r="K113" s="41"/>
      <c r="L113" s="3"/>
      <c r="N113" s="143"/>
      <c r="O113" s="143"/>
      <c r="U113" s="143"/>
      <c r="V113" s="143"/>
      <c r="W113" s="143"/>
      <c r="AB113" s="143"/>
      <c r="AC113" s="143"/>
      <c r="AD113" s="143"/>
    </row>
    <row r="114" spans="11:30" customFormat="1" x14ac:dyDescent="0.3">
      <c r="K114" s="41"/>
      <c r="L114" s="3"/>
      <c r="N114" s="143"/>
      <c r="O114" s="143"/>
      <c r="U114" s="143"/>
      <c r="V114" s="143"/>
      <c r="W114" s="143"/>
      <c r="AB114" s="143"/>
      <c r="AC114" s="143"/>
      <c r="AD114" s="143"/>
    </row>
    <row r="115" spans="11:30" customFormat="1" x14ac:dyDescent="0.3">
      <c r="K115" s="41"/>
      <c r="L115" s="3"/>
      <c r="N115" s="143"/>
      <c r="O115" s="143"/>
      <c r="U115" s="143"/>
      <c r="V115" s="143"/>
      <c r="W115" s="143"/>
      <c r="AB115" s="143"/>
      <c r="AC115" s="143"/>
      <c r="AD115" s="143"/>
    </row>
    <row r="116" spans="11:30" customFormat="1" x14ac:dyDescent="0.3">
      <c r="K116" s="41"/>
      <c r="L116" s="3"/>
      <c r="N116" s="143"/>
      <c r="O116" s="143"/>
      <c r="U116" s="143"/>
      <c r="V116" s="143"/>
      <c r="W116" s="143"/>
      <c r="AB116" s="143"/>
      <c r="AC116" s="143"/>
      <c r="AD116" s="143"/>
    </row>
    <row r="117" spans="11:30" customFormat="1" x14ac:dyDescent="0.3">
      <c r="K117" s="41"/>
      <c r="L117" s="3"/>
      <c r="N117" s="143"/>
      <c r="O117" s="143"/>
      <c r="U117" s="143"/>
      <c r="V117" s="143"/>
      <c r="W117" s="143"/>
      <c r="AB117" s="143"/>
      <c r="AC117" s="143"/>
      <c r="AD117" s="143"/>
    </row>
    <row r="118" spans="11:30" customFormat="1" x14ac:dyDescent="0.3">
      <c r="K118" s="41"/>
      <c r="L118" s="3"/>
      <c r="N118" s="143"/>
      <c r="O118" s="143"/>
      <c r="U118" s="143"/>
      <c r="V118" s="143"/>
      <c r="W118" s="143"/>
      <c r="AB118" s="143"/>
      <c r="AC118" s="143"/>
      <c r="AD118" s="143"/>
    </row>
    <row r="119" spans="11:30" customFormat="1" x14ac:dyDescent="0.3">
      <c r="K119" s="41"/>
      <c r="L119" s="3"/>
      <c r="N119" s="143"/>
      <c r="O119" s="143"/>
      <c r="U119" s="143"/>
      <c r="V119" s="143"/>
      <c r="W119" s="143"/>
      <c r="AB119" s="143"/>
      <c r="AC119" s="143"/>
      <c r="AD119" s="143"/>
    </row>
    <row r="120" spans="11:30" customFormat="1" x14ac:dyDescent="0.3">
      <c r="K120" s="41"/>
      <c r="L120" s="3"/>
      <c r="N120" s="143"/>
      <c r="O120" s="143"/>
      <c r="U120" s="143"/>
      <c r="V120" s="143"/>
      <c r="W120" s="143"/>
      <c r="AB120" s="143"/>
      <c r="AC120" s="143"/>
      <c r="AD120" s="143"/>
    </row>
    <row r="121" spans="11:30" customFormat="1" x14ac:dyDescent="0.3">
      <c r="K121" s="41"/>
      <c r="L121" s="3"/>
      <c r="N121" s="143"/>
      <c r="O121" s="143"/>
      <c r="U121" s="143"/>
      <c r="V121" s="143"/>
      <c r="W121" s="143"/>
      <c r="AB121" s="143"/>
      <c r="AC121" s="143"/>
      <c r="AD121" s="143"/>
    </row>
    <row r="122" spans="11:30" customFormat="1" x14ac:dyDescent="0.3">
      <c r="K122" s="41"/>
      <c r="L122" s="3"/>
      <c r="N122" s="143"/>
      <c r="O122" s="143"/>
      <c r="U122" s="143"/>
      <c r="V122" s="143"/>
      <c r="W122" s="143"/>
      <c r="AB122" s="143"/>
      <c r="AC122" s="143"/>
      <c r="AD122" s="143"/>
    </row>
    <row r="123" spans="11:30" customFormat="1" x14ac:dyDescent="0.3">
      <c r="K123" s="41"/>
      <c r="L123" s="3"/>
      <c r="N123" s="143"/>
      <c r="O123" s="143"/>
      <c r="U123" s="143"/>
      <c r="V123" s="143"/>
      <c r="W123" s="143"/>
      <c r="AB123" s="143"/>
      <c r="AC123" s="143"/>
      <c r="AD123" s="143"/>
    </row>
    <row r="124" spans="11:30" customFormat="1" x14ac:dyDescent="0.3">
      <c r="K124" s="41"/>
      <c r="L124" s="3"/>
      <c r="N124" s="143"/>
      <c r="O124" s="143"/>
      <c r="U124" s="143"/>
      <c r="V124" s="143"/>
      <c r="W124" s="143"/>
      <c r="AB124" s="143"/>
      <c r="AC124" s="143"/>
      <c r="AD124" s="143"/>
    </row>
    <row r="125" spans="11:30" customFormat="1" x14ac:dyDescent="0.3">
      <c r="K125" s="41"/>
      <c r="L125" s="3"/>
      <c r="N125" s="143"/>
      <c r="O125" s="143"/>
      <c r="U125" s="143"/>
      <c r="V125" s="143"/>
      <c r="W125" s="143"/>
      <c r="AB125" s="143"/>
      <c r="AC125" s="143"/>
      <c r="AD125" s="143"/>
    </row>
    <row r="126" spans="11:30" customFormat="1" x14ac:dyDescent="0.3">
      <c r="K126" s="41"/>
      <c r="L126" s="3"/>
      <c r="N126" s="143"/>
      <c r="O126" s="143"/>
      <c r="U126" s="143"/>
      <c r="V126" s="143"/>
      <c r="W126" s="143"/>
      <c r="AB126" s="143"/>
      <c r="AC126" s="143"/>
      <c r="AD126" s="143"/>
    </row>
    <row r="127" spans="11:30" customFormat="1" x14ac:dyDescent="0.3">
      <c r="K127" s="41"/>
      <c r="L127" s="3"/>
      <c r="N127" s="143"/>
      <c r="O127" s="143"/>
      <c r="U127" s="143"/>
      <c r="V127" s="143"/>
      <c r="W127" s="143"/>
      <c r="AB127" s="143"/>
      <c r="AC127" s="143"/>
      <c r="AD127" s="143"/>
    </row>
    <row r="128" spans="11:30" customFormat="1" x14ac:dyDescent="0.3">
      <c r="K128" s="41"/>
      <c r="L128" s="3"/>
      <c r="N128" s="143"/>
      <c r="O128" s="143"/>
      <c r="U128" s="143"/>
      <c r="V128" s="143"/>
      <c r="W128" s="143"/>
      <c r="AB128" s="143"/>
      <c r="AC128" s="143"/>
      <c r="AD128" s="143"/>
    </row>
    <row r="129" spans="11:30" customFormat="1" x14ac:dyDescent="0.3">
      <c r="K129" s="41"/>
      <c r="L129" s="3"/>
      <c r="N129" s="143"/>
      <c r="O129" s="143"/>
      <c r="U129" s="143"/>
      <c r="V129" s="143"/>
      <c r="W129" s="143"/>
      <c r="AB129" s="143"/>
      <c r="AC129" s="143"/>
      <c r="AD129" s="143"/>
    </row>
    <row r="130" spans="11:30" customFormat="1" x14ac:dyDescent="0.3">
      <c r="K130" s="41"/>
      <c r="L130" s="3"/>
      <c r="N130" s="143"/>
      <c r="O130" s="143"/>
      <c r="U130" s="143"/>
      <c r="V130" s="143"/>
      <c r="W130" s="143"/>
      <c r="AB130" s="143"/>
      <c r="AC130" s="143"/>
      <c r="AD130" s="143"/>
    </row>
    <row r="131" spans="11:30" customFormat="1" x14ac:dyDescent="0.3">
      <c r="K131" s="41"/>
      <c r="L131" s="3"/>
      <c r="N131" s="143"/>
      <c r="O131" s="143"/>
      <c r="U131" s="143"/>
      <c r="V131" s="143"/>
      <c r="W131" s="143"/>
      <c r="AB131" s="143"/>
      <c r="AC131" s="143"/>
      <c r="AD131" s="143"/>
    </row>
    <row r="132" spans="11:30" customFormat="1" x14ac:dyDescent="0.3">
      <c r="K132" s="41"/>
      <c r="L132" s="3"/>
      <c r="N132" s="143"/>
      <c r="O132" s="143"/>
      <c r="U132" s="143"/>
      <c r="V132" s="143"/>
      <c r="W132" s="143"/>
      <c r="AB132" s="143"/>
      <c r="AC132" s="143"/>
      <c r="AD132" s="143"/>
    </row>
    <row r="133" spans="11:30" customFormat="1" x14ac:dyDescent="0.3">
      <c r="K133" s="41"/>
      <c r="L133" s="3"/>
      <c r="N133" s="143"/>
      <c r="O133" s="143"/>
      <c r="U133" s="143"/>
      <c r="V133" s="143"/>
      <c r="W133" s="143"/>
      <c r="AB133" s="143"/>
      <c r="AC133" s="143"/>
      <c r="AD133" s="143"/>
    </row>
    <row r="134" spans="11:30" customFormat="1" x14ac:dyDescent="0.3">
      <c r="K134" s="41"/>
      <c r="L134" s="3"/>
      <c r="N134" s="143"/>
      <c r="O134" s="143"/>
      <c r="U134" s="143"/>
      <c r="V134" s="143"/>
      <c r="W134" s="143"/>
      <c r="AB134" s="143"/>
      <c r="AC134" s="143"/>
      <c r="AD134" s="143"/>
    </row>
    <row r="135" spans="11:30" customFormat="1" x14ac:dyDescent="0.3">
      <c r="K135" s="41"/>
      <c r="L135" s="3"/>
      <c r="N135" s="143"/>
      <c r="O135" s="143"/>
      <c r="U135" s="143"/>
      <c r="V135" s="143"/>
      <c r="W135" s="143"/>
      <c r="AB135" s="143"/>
      <c r="AC135" s="143"/>
      <c r="AD135" s="143"/>
    </row>
    <row r="136" spans="11:30" customFormat="1" x14ac:dyDescent="0.3">
      <c r="K136" s="41"/>
      <c r="L136" s="3"/>
      <c r="N136" s="143"/>
      <c r="O136" s="143"/>
      <c r="U136" s="143"/>
      <c r="V136" s="143"/>
      <c r="W136" s="143"/>
      <c r="AB136" s="143"/>
      <c r="AC136" s="143"/>
      <c r="AD136" s="143"/>
    </row>
    <row r="137" spans="11:30" customFormat="1" x14ac:dyDescent="0.3">
      <c r="K137" s="41"/>
      <c r="L137" s="3"/>
      <c r="N137" s="143"/>
      <c r="O137" s="143"/>
      <c r="U137" s="143"/>
      <c r="V137" s="143"/>
      <c r="W137" s="143"/>
      <c r="AB137" s="143"/>
      <c r="AC137" s="143"/>
      <c r="AD137" s="143"/>
    </row>
    <row r="138" spans="11:30" customFormat="1" x14ac:dyDescent="0.3">
      <c r="K138" s="41"/>
      <c r="L138" s="3"/>
      <c r="N138" s="143"/>
      <c r="O138" s="143"/>
      <c r="U138" s="143"/>
      <c r="V138" s="143"/>
      <c r="W138" s="143"/>
      <c r="AB138" s="143"/>
      <c r="AC138" s="143"/>
      <c r="AD138" s="143"/>
    </row>
    <row r="139" spans="11:30" customFormat="1" x14ac:dyDescent="0.3">
      <c r="K139" s="41"/>
      <c r="L139" s="3"/>
      <c r="N139" s="143"/>
      <c r="O139" s="143"/>
      <c r="U139" s="143"/>
      <c r="V139" s="143"/>
      <c r="W139" s="143"/>
      <c r="AB139" s="143"/>
      <c r="AC139" s="143"/>
      <c r="AD139" s="143"/>
    </row>
    <row r="140" spans="11:30" customFormat="1" x14ac:dyDescent="0.3">
      <c r="K140" s="41"/>
      <c r="L140" s="3"/>
      <c r="N140" s="143"/>
      <c r="O140" s="143"/>
      <c r="U140" s="143"/>
      <c r="V140" s="143"/>
      <c r="W140" s="143"/>
      <c r="AB140" s="143"/>
      <c r="AC140" s="143"/>
      <c r="AD140" s="143"/>
    </row>
    <row r="141" spans="11:30" customFormat="1" x14ac:dyDescent="0.3">
      <c r="K141" s="41"/>
      <c r="L141" s="3"/>
      <c r="N141" s="143"/>
      <c r="O141" s="143"/>
      <c r="U141" s="143"/>
      <c r="V141" s="143"/>
      <c r="W141" s="143"/>
      <c r="AB141" s="143"/>
      <c r="AC141" s="143"/>
      <c r="AD141" s="143"/>
    </row>
    <row r="142" spans="11:30" customFormat="1" x14ac:dyDescent="0.3">
      <c r="K142" s="41"/>
      <c r="L142" s="3"/>
      <c r="N142" s="143"/>
      <c r="O142" s="143"/>
      <c r="U142" s="143"/>
      <c r="V142" s="143"/>
      <c r="W142" s="143"/>
      <c r="AB142" s="143"/>
      <c r="AC142" s="143"/>
      <c r="AD142" s="143"/>
    </row>
    <row r="143" spans="11:30" customFormat="1" x14ac:dyDescent="0.3">
      <c r="K143" s="41"/>
      <c r="L143" s="3"/>
      <c r="N143" s="143"/>
      <c r="O143" s="143"/>
      <c r="U143" s="143"/>
      <c r="V143" s="143"/>
      <c r="W143" s="143"/>
      <c r="AB143" s="143"/>
      <c r="AC143" s="143"/>
      <c r="AD143" s="143"/>
    </row>
    <row r="144" spans="11:30" customFormat="1" x14ac:dyDescent="0.3">
      <c r="K144" s="41"/>
      <c r="L144" s="3"/>
      <c r="N144" s="143"/>
      <c r="O144" s="143"/>
      <c r="U144" s="143"/>
      <c r="V144" s="143"/>
      <c r="W144" s="143"/>
      <c r="AB144" s="143"/>
      <c r="AC144" s="143"/>
      <c r="AD144" s="143"/>
    </row>
    <row r="145" spans="11:30" customFormat="1" x14ac:dyDescent="0.3">
      <c r="K145" s="41"/>
      <c r="L145" s="3"/>
      <c r="N145" s="143"/>
      <c r="O145" s="143"/>
      <c r="U145" s="143"/>
      <c r="V145" s="143"/>
      <c r="W145" s="143"/>
      <c r="AB145" s="143"/>
      <c r="AC145" s="143"/>
      <c r="AD145" s="143"/>
    </row>
    <row r="146" spans="11:30" customFormat="1" x14ac:dyDescent="0.3">
      <c r="K146" s="41"/>
      <c r="L146" s="3"/>
      <c r="N146" s="143"/>
      <c r="O146" s="143"/>
      <c r="U146" s="143"/>
      <c r="V146" s="143"/>
      <c r="W146" s="143"/>
      <c r="AB146" s="143"/>
      <c r="AC146" s="143"/>
      <c r="AD146" s="143"/>
    </row>
    <row r="147" spans="11:30" customFormat="1" x14ac:dyDescent="0.3">
      <c r="K147" s="41"/>
      <c r="L147" s="3"/>
      <c r="N147" s="143"/>
      <c r="O147" s="143"/>
      <c r="U147" s="143"/>
      <c r="V147" s="143"/>
      <c r="W147" s="143"/>
      <c r="AB147" s="143"/>
      <c r="AC147" s="143"/>
      <c r="AD147" s="143"/>
    </row>
    <row r="148" spans="11:30" customFormat="1" x14ac:dyDescent="0.3">
      <c r="K148" s="41"/>
      <c r="L148" s="3"/>
      <c r="N148" s="143"/>
      <c r="O148" s="143"/>
      <c r="U148" s="143"/>
      <c r="V148" s="143"/>
      <c r="W148" s="143"/>
      <c r="AB148" s="143"/>
      <c r="AC148" s="143"/>
      <c r="AD148" s="143"/>
    </row>
    <row r="149" spans="11:30" customFormat="1" x14ac:dyDescent="0.3">
      <c r="K149" s="41"/>
      <c r="L149" s="3"/>
      <c r="N149" s="143"/>
      <c r="O149" s="143"/>
      <c r="U149" s="143"/>
      <c r="V149" s="143"/>
      <c r="W149" s="143"/>
      <c r="AB149" s="143"/>
      <c r="AC149" s="143"/>
      <c r="AD149" s="143"/>
    </row>
    <row r="150" spans="11:30" customFormat="1" x14ac:dyDescent="0.3">
      <c r="K150" s="41"/>
      <c r="L150" s="3"/>
      <c r="N150" s="143"/>
      <c r="O150" s="143"/>
      <c r="U150" s="143"/>
      <c r="V150" s="143"/>
      <c r="W150" s="143"/>
      <c r="AB150" s="143"/>
      <c r="AC150" s="143"/>
      <c r="AD150" s="143"/>
    </row>
    <row r="151" spans="11:30" customFormat="1" x14ac:dyDescent="0.3">
      <c r="K151" s="41"/>
      <c r="L151" s="3"/>
      <c r="N151" s="143"/>
      <c r="O151" s="143"/>
      <c r="U151" s="143"/>
      <c r="V151" s="143"/>
      <c r="W151" s="143"/>
      <c r="AB151" s="143"/>
      <c r="AC151" s="143"/>
      <c r="AD151" s="143"/>
    </row>
    <row r="152" spans="11:30" customFormat="1" x14ac:dyDescent="0.3">
      <c r="K152" s="41"/>
      <c r="L152" s="3"/>
      <c r="N152" s="143"/>
      <c r="O152" s="143"/>
      <c r="U152" s="143"/>
      <c r="V152" s="143"/>
      <c r="W152" s="143"/>
      <c r="AB152" s="143"/>
      <c r="AC152" s="143"/>
      <c r="AD152" s="143"/>
    </row>
    <row r="153" spans="11:30" customFormat="1" x14ac:dyDescent="0.3">
      <c r="K153" s="41"/>
      <c r="L153" s="3"/>
      <c r="N153" s="143"/>
      <c r="O153" s="143"/>
      <c r="U153" s="143"/>
      <c r="V153" s="143"/>
      <c r="W153" s="143"/>
      <c r="AB153" s="143"/>
      <c r="AC153" s="143"/>
      <c r="AD153" s="143"/>
    </row>
    <row r="154" spans="11:30" customFormat="1" x14ac:dyDescent="0.3">
      <c r="K154" s="41"/>
      <c r="L154" s="3"/>
      <c r="N154" s="143"/>
      <c r="O154" s="143"/>
      <c r="U154" s="143"/>
      <c r="V154" s="143"/>
      <c r="W154" s="143"/>
      <c r="AB154" s="143"/>
      <c r="AC154" s="143"/>
      <c r="AD154" s="143"/>
    </row>
    <row r="155" spans="11:30" customFormat="1" x14ac:dyDescent="0.3">
      <c r="K155" s="41"/>
      <c r="L155" s="3"/>
      <c r="N155" s="143"/>
      <c r="O155" s="143"/>
      <c r="U155" s="143"/>
      <c r="V155" s="143"/>
      <c r="W155" s="143"/>
      <c r="AB155" s="143"/>
      <c r="AC155" s="143"/>
      <c r="AD155" s="143"/>
    </row>
    <row r="156" spans="11:30" customFormat="1" x14ac:dyDescent="0.3">
      <c r="K156" s="41"/>
      <c r="L156" s="3"/>
      <c r="N156" s="143"/>
      <c r="O156" s="143"/>
      <c r="U156" s="143"/>
      <c r="V156" s="143"/>
      <c r="W156" s="143"/>
      <c r="AB156" s="143"/>
      <c r="AC156" s="143"/>
      <c r="AD156" s="143"/>
    </row>
    <row r="157" spans="11:30" customFormat="1" x14ac:dyDescent="0.3">
      <c r="K157" s="41"/>
      <c r="L157" s="3"/>
      <c r="N157" s="143"/>
      <c r="O157" s="143"/>
      <c r="U157" s="143"/>
      <c r="V157" s="143"/>
      <c r="W157" s="143"/>
      <c r="AB157" s="143"/>
      <c r="AC157" s="143"/>
      <c r="AD157" s="143"/>
    </row>
    <row r="158" spans="11:30" customFormat="1" x14ac:dyDescent="0.3">
      <c r="K158" s="41"/>
      <c r="L158" s="3"/>
      <c r="N158" s="143"/>
      <c r="O158" s="143"/>
      <c r="U158" s="143"/>
      <c r="V158" s="143"/>
      <c r="W158" s="143"/>
      <c r="AB158" s="143"/>
      <c r="AC158" s="143"/>
      <c r="AD158" s="143"/>
    </row>
    <row r="159" spans="11:30" customFormat="1" x14ac:dyDescent="0.3">
      <c r="K159" s="41"/>
      <c r="L159" s="3"/>
      <c r="N159" s="143"/>
      <c r="O159" s="143"/>
      <c r="U159" s="143"/>
      <c r="V159" s="143"/>
      <c r="W159" s="143"/>
      <c r="AB159" s="143"/>
      <c r="AC159" s="143"/>
      <c r="AD159" s="143"/>
    </row>
    <row r="160" spans="11:30" customFormat="1" x14ac:dyDescent="0.3">
      <c r="K160" s="41"/>
      <c r="L160" s="3"/>
      <c r="N160" s="143"/>
      <c r="O160" s="143"/>
      <c r="U160" s="143"/>
      <c r="V160" s="143"/>
      <c r="W160" s="143"/>
      <c r="AB160" s="143"/>
      <c r="AC160" s="143"/>
      <c r="AD160" s="143"/>
    </row>
    <row r="161" spans="11:30" customFormat="1" x14ac:dyDescent="0.3">
      <c r="K161" s="41"/>
      <c r="L161" s="3"/>
      <c r="N161" s="143"/>
      <c r="O161" s="143"/>
      <c r="U161" s="143"/>
      <c r="V161" s="143"/>
      <c r="W161" s="143"/>
      <c r="AB161" s="143"/>
      <c r="AC161" s="143"/>
      <c r="AD161" s="143"/>
    </row>
    <row r="162" spans="11:30" customFormat="1" x14ac:dyDescent="0.3">
      <c r="K162" s="41"/>
      <c r="L162" s="3"/>
      <c r="N162" s="143"/>
      <c r="O162" s="143"/>
      <c r="U162" s="143"/>
      <c r="V162" s="143"/>
      <c r="W162" s="143"/>
      <c r="AB162" s="143"/>
      <c r="AC162" s="143"/>
      <c r="AD162" s="143"/>
    </row>
    <row r="163" spans="11:30" customFormat="1" x14ac:dyDescent="0.3">
      <c r="K163" s="41"/>
      <c r="L163" s="3"/>
      <c r="N163" s="143"/>
      <c r="O163" s="143"/>
      <c r="U163" s="143"/>
      <c r="V163" s="143"/>
      <c r="W163" s="143"/>
      <c r="AB163" s="143"/>
      <c r="AC163" s="143"/>
      <c r="AD163" s="143"/>
    </row>
    <row r="164" spans="11:30" customFormat="1" x14ac:dyDescent="0.3">
      <c r="K164" s="41"/>
      <c r="L164" s="3"/>
      <c r="N164" s="143"/>
      <c r="O164" s="143"/>
      <c r="U164" s="143"/>
      <c r="V164" s="143"/>
      <c r="W164" s="143"/>
      <c r="AB164" s="143"/>
      <c r="AC164" s="143"/>
      <c r="AD164" s="143"/>
    </row>
    <row r="165" spans="11:30" customFormat="1" x14ac:dyDescent="0.3">
      <c r="K165" s="41"/>
      <c r="L165" s="3"/>
      <c r="N165" s="143"/>
      <c r="O165" s="143"/>
      <c r="U165" s="143"/>
      <c r="V165" s="143"/>
      <c r="W165" s="143"/>
      <c r="AB165" s="143"/>
      <c r="AC165" s="143"/>
      <c r="AD165" s="143"/>
    </row>
    <row r="166" spans="11:30" customFormat="1" x14ac:dyDescent="0.3">
      <c r="K166" s="41"/>
      <c r="L166" s="3"/>
      <c r="N166" s="143"/>
      <c r="O166" s="143"/>
      <c r="U166" s="143"/>
      <c r="V166" s="143"/>
      <c r="W166" s="143"/>
      <c r="AB166" s="143"/>
      <c r="AC166" s="143"/>
      <c r="AD166" s="143"/>
    </row>
    <row r="167" spans="11:30" customFormat="1" x14ac:dyDescent="0.3">
      <c r="K167" s="41"/>
      <c r="L167" s="3"/>
      <c r="N167" s="143"/>
      <c r="O167" s="143"/>
      <c r="U167" s="143"/>
      <c r="V167" s="143"/>
      <c r="W167" s="143"/>
      <c r="AB167" s="143"/>
      <c r="AC167" s="143"/>
      <c r="AD167" s="143"/>
    </row>
    <row r="168" spans="11:30" customFormat="1" x14ac:dyDescent="0.3">
      <c r="K168" s="41"/>
      <c r="L168" s="3"/>
      <c r="N168" s="143"/>
      <c r="O168" s="143"/>
      <c r="U168" s="143"/>
      <c r="V168" s="143"/>
      <c r="W168" s="143"/>
      <c r="AB168" s="143"/>
      <c r="AC168" s="143"/>
      <c r="AD168" s="143"/>
    </row>
    <row r="169" spans="11:30" customFormat="1" x14ac:dyDescent="0.3">
      <c r="K169" s="41"/>
      <c r="L169" s="3"/>
      <c r="N169" s="143"/>
      <c r="O169" s="143"/>
      <c r="U169" s="143"/>
      <c r="V169" s="143"/>
      <c r="W169" s="143"/>
      <c r="AB169" s="143"/>
      <c r="AC169" s="143"/>
      <c r="AD169" s="143"/>
    </row>
    <row r="170" spans="11:30" customFormat="1" x14ac:dyDescent="0.3">
      <c r="K170" s="41"/>
      <c r="L170" s="3"/>
      <c r="N170" s="143"/>
      <c r="O170" s="143"/>
      <c r="U170" s="143"/>
      <c r="V170" s="143"/>
      <c r="W170" s="143"/>
      <c r="AB170" s="143"/>
      <c r="AC170" s="143"/>
      <c r="AD170" s="143"/>
    </row>
    <row r="171" spans="11:30" customFormat="1" x14ac:dyDescent="0.3">
      <c r="K171" s="41"/>
      <c r="L171" s="3"/>
      <c r="N171" s="143"/>
      <c r="O171" s="143"/>
      <c r="U171" s="143"/>
      <c r="V171" s="143"/>
      <c r="W171" s="143"/>
      <c r="AB171" s="143"/>
      <c r="AC171" s="143"/>
      <c r="AD171" s="143"/>
    </row>
    <row r="172" spans="11:30" customFormat="1" x14ac:dyDescent="0.3">
      <c r="K172" s="41"/>
      <c r="L172" s="3"/>
      <c r="N172" s="143"/>
      <c r="O172" s="143"/>
      <c r="U172" s="143"/>
      <c r="V172" s="143"/>
      <c r="W172" s="143"/>
      <c r="AB172" s="143"/>
      <c r="AC172" s="143"/>
      <c r="AD172" s="143"/>
    </row>
    <row r="173" spans="11:30" customFormat="1" x14ac:dyDescent="0.3">
      <c r="K173" s="41"/>
      <c r="L173" s="3"/>
      <c r="N173" s="143"/>
      <c r="O173" s="143"/>
      <c r="U173" s="143"/>
      <c r="V173" s="143"/>
      <c r="W173" s="143"/>
      <c r="AB173" s="143"/>
      <c r="AC173" s="143"/>
      <c r="AD173" s="143"/>
    </row>
    <row r="174" spans="11:30" customFormat="1" x14ac:dyDescent="0.3">
      <c r="K174" s="41"/>
      <c r="L174" s="3"/>
      <c r="N174" s="143"/>
      <c r="O174" s="143"/>
      <c r="U174" s="143"/>
      <c r="V174" s="143"/>
      <c r="W174" s="143"/>
      <c r="AB174" s="143"/>
      <c r="AC174" s="143"/>
      <c r="AD174" s="143"/>
    </row>
    <row r="175" spans="11:30" customFormat="1" x14ac:dyDescent="0.3">
      <c r="K175" s="41"/>
      <c r="L175" s="3"/>
      <c r="N175" s="143"/>
      <c r="O175" s="143"/>
      <c r="U175" s="143"/>
      <c r="V175" s="143"/>
      <c r="W175" s="143"/>
      <c r="AB175" s="143"/>
      <c r="AC175" s="143"/>
      <c r="AD175" s="143"/>
    </row>
    <row r="176" spans="11:30" customFormat="1" x14ac:dyDescent="0.3">
      <c r="K176" s="41"/>
      <c r="L176" s="3"/>
      <c r="N176" s="143"/>
      <c r="O176" s="143"/>
      <c r="U176" s="143"/>
      <c r="V176" s="143"/>
      <c r="W176" s="143"/>
      <c r="AB176" s="143"/>
      <c r="AC176" s="143"/>
      <c r="AD176" s="143"/>
    </row>
    <row r="177" spans="11:30" customFormat="1" x14ac:dyDescent="0.3">
      <c r="K177" s="41"/>
      <c r="L177" s="3"/>
      <c r="N177" s="143"/>
      <c r="O177" s="143"/>
      <c r="U177" s="143"/>
      <c r="V177" s="143"/>
      <c r="W177" s="143"/>
      <c r="AB177" s="143"/>
      <c r="AC177" s="143"/>
      <c r="AD177" s="143"/>
    </row>
    <row r="178" spans="11:30" customFormat="1" x14ac:dyDescent="0.3">
      <c r="K178" s="41"/>
      <c r="L178" s="3"/>
      <c r="N178" s="143"/>
      <c r="O178" s="143"/>
      <c r="U178" s="143"/>
      <c r="V178" s="143"/>
      <c r="W178" s="143"/>
      <c r="AB178" s="143"/>
      <c r="AC178" s="143"/>
      <c r="AD178" s="143"/>
    </row>
    <row r="179" spans="11:30" customFormat="1" x14ac:dyDescent="0.3">
      <c r="K179" s="41"/>
      <c r="L179" s="3"/>
      <c r="N179" s="143"/>
      <c r="O179" s="143"/>
      <c r="U179" s="143"/>
      <c r="V179" s="143"/>
      <c r="W179" s="143"/>
      <c r="AB179" s="143"/>
      <c r="AC179" s="143"/>
      <c r="AD179" s="143"/>
    </row>
    <row r="180" spans="11:30" customFormat="1" x14ac:dyDescent="0.3">
      <c r="K180" s="41"/>
      <c r="L180" s="3"/>
      <c r="N180" s="143"/>
      <c r="O180" s="143"/>
      <c r="U180" s="143"/>
      <c r="V180" s="143"/>
      <c r="W180" s="143"/>
      <c r="AB180" s="143"/>
      <c r="AC180" s="143"/>
      <c r="AD180" s="143"/>
    </row>
    <row r="181" spans="11:30" customFormat="1" x14ac:dyDescent="0.3">
      <c r="K181" s="41"/>
      <c r="L181" s="3"/>
      <c r="N181" s="143"/>
      <c r="O181" s="143"/>
      <c r="U181" s="143"/>
      <c r="V181" s="143"/>
      <c r="W181" s="143"/>
      <c r="AB181" s="143"/>
      <c r="AC181" s="143"/>
      <c r="AD181" s="143"/>
    </row>
    <row r="182" spans="11:30" customFormat="1" x14ac:dyDescent="0.3">
      <c r="K182" s="41"/>
      <c r="L182" s="3"/>
      <c r="N182" s="143"/>
      <c r="O182" s="143"/>
      <c r="U182" s="143"/>
      <c r="V182" s="143"/>
      <c r="W182" s="143"/>
      <c r="AB182" s="143"/>
      <c r="AC182" s="143"/>
      <c r="AD182" s="143"/>
    </row>
    <row r="183" spans="11:30" customFormat="1" x14ac:dyDescent="0.3">
      <c r="K183" s="41"/>
      <c r="L183" s="3"/>
      <c r="N183" s="143"/>
      <c r="O183" s="143"/>
      <c r="U183" s="143"/>
      <c r="V183" s="143"/>
      <c r="W183" s="143"/>
      <c r="AB183" s="143"/>
      <c r="AC183" s="143"/>
      <c r="AD183" s="143"/>
    </row>
    <row r="184" spans="11:30" customFormat="1" x14ac:dyDescent="0.3">
      <c r="K184" s="41"/>
      <c r="L184" s="3"/>
      <c r="N184" s="143"/>
      <c r="O184" s="143"/>
      <c r="U184" s="143"/>
      <c r="V184" s="143"/>
      <c r="W184" s="143"/>
      <c r="AB184" s="143"/>
      <c r="AC184" s="143"/>
      <c r="AD184" s="143"/>
    </row>
    <row r="185" spans="11:30" customFormat="1" x14ac:dyDescent="0.3">
      <c r="K185" s="41"/>
      <c r="L185" s="3"/>
      <c r="N185" s="143"/>
      <c r="O185" s="143"/>
      <c r="U185" s="143"/>
      <c r="V185" s="143"/>
      <c r="W185" s="143"/>
      <c r="AB185" s="143"/>
      <c r="AC185" s="143"/>
      <c r="AD185" s="143"/>
    </row>
    <row r="186" spans="11:30" customFormat="1" x14ac:dyDescent="0.3">
      <c r="K186" s="41"/>
      <c r="L186" s="3"/>
      <c r="N186" s="143"/>
      <c r="O186" s="143"/>
      <c r="U186" s="143"/>
      <c r="V186" s="143"/>
      <c r="W186" s="143"/>
      <c r="AB186" s="143"/>
      <c r="AC186" s="143"/>
      <c r="AD186" s="143"/>
    </row>
    <row r="187" spans="11:30" customFormat="1" x14ac:dyDescent="0.3">
      <c r="K187" s="41"/>
      <c r="L187" s="3"/>
      <c r="N187" s="143"/>
      <c r="O187" s="143"/>
      <c r="U187" s="143"/>
      <c r="V187" s="143"/>
      <c r="W187" s="143"/>
      <c r="AB187" s="143"/>
      <c r="AC187" s="143"/>
      <c r="AD187" s="143"/>
    </row>
    <row r="188" spans="11:30" customFormat="1" x14ac:dyDescent="0.3">
      <c r="K188" s="41"/>
      <c r="L188" s="3"/>
      <c r="N188" s="143"/>
      <c r="O188" s="143"/>
      <c r="U188" s="143"/>
      <c r="V188" s="143"/>
      <c r="W188" s="143"/>
      <c r="AB188" s="143"/>
      <c r="AC188" s="143"/>
      <c r="AD188" s="143"/>
    </row>
    <row r="189" spans="11:30" customFormat="1" x14ac:dyDescent="0.3">
      <c r="K189" s="41"/>
      <c r="L189" s="3"/>
      <c r="N189" s="143"/>
      <c r="O189" s="143"/>
      <c r="U189" s="143"/>
      <c r="V189" s="143"/>
      <c r="W189" s="143"/>
      <c r="AB189" s="143"/>
      <c r="AC189" s="143"/>
      <c r="AD189" s="143"/>
    </row>
    <row r="190" spans="11:30" customFormat="1" x14ac:dyDescent="0.3">
      <c r="K190" s="41"/>
      <c r="L190" s="3"/>
      <c r="N190" s="143"/>
      <c r="O190" s="143"/>
      <c r="U190" s="143"/>
      <c r="V190" s="143"/>
      <c r="W190" s="143"/>
      <c r="AB190" s="143"/>
      <c r="AC190" s="143"/>
      <c r="AD190" s="143"/>
    </row>
    <row r="191" spans="11:30" customFormat="1" x14ac:dyDescent="0.3">
      <c r="K191" s="41"/>
      <c r="L191" s="3"/>
      <c r="N191" s="143"/>
      <c r="O191" s="143"/>
      <c r="U191" s="143"/>
      <c r="V191" s="143"/>
      <c r="W191" s="143"/>
      <c r="AB191" s="143"/>
      <c r="AC191" s="143"/>
      <c r="AD191" s="143"/>
    </row>
    <row r="192" spans="11:30" customFormat="1" x14ac:dyDescent="0.3">
      <c r="K192" s="41"/>
      <c r="L192" s="3"/>
      <c r="N192" s="143"/>
      <c r="O192" s="143"/>
      <c r="U192" s="143"/>
      <c r="V192" s="143"/>
      <c r="W192" s="143"/>
      <c r="AB192" s="143"/>
      <c r="AC192" s="143"/>
      <c r="AD192" s="143"/>
    </row>
    <row r="193" spans="11:30" customFormat="1" x14ac:dyDescent="0.3">
      <c r="K193" s="41"/>
      <c r="L193" s="3"/>
      <c r="N193" s="143"/>
      <c r="O193" s="143"/>
      <c r="U193" s="143"/>
      <c r="V193" s="143"/>
      <c r="W193" s="143"/>
      <c r="AB193" s="143"/>
      <c r="AC193" s="143"/>
      <c r="AD193" s="143"/>
    </row>
    <row r="194" spans="11:30" customFormat="1" x14ac:dyDescent="0.3">
      <c r="K194" s="41"/>
      <c r="L194" s="3"/>
      <c r="N194" s="143"/>
      <c r="O194" s="143"/>
      <c r="U194" s="143"/>
      <c r="V194" s="143"/>
      <c r="W194" s="143"/>
      <c r="AB194" s="143"/>
      <c r="AC194" s="143"/>
      <c r="AD194" s="143"/>
    </row>
    <row r="195" spans="11:30" customFormat="1" x14ac:dyDescent="0.3">
      <c r="K195" s="41"/>
      <c r="L195" s="3"/>
      <c r="N195" s="143"/>
      <c r="O195" s="143"/>
      <c r="U195" s="143"/>
      <c r="V195" s="143"/>
      <c r="W195" s="143"/>
      <c r="AB195" s="143"/>
      <c r="AC195" s="143"/>
      <c r="AD195" s="143"/>
    </row>
    <row r="196" spans="11:30" customFormat="1" x14ac:dyDescent="0.3">
      <c r="K196" s="41"/>
      <c r="L196" s="3"/>
      <c r="N196" s="143"/>
      <c r="O196" s="143"/>
      <c r="U196" s="143"/>
      <c r="V196" s="143"/>
      <c r="W196" s="143"/>
      <c r="AB196" s="143"/>
      <c r="AC196" s="143"/>
      <c r="AD196" s="143"/>
    </row>
    <row r="197" spans="11:30" customFormat="1" x14ac:dyDescent="0.3">
      <c r="K197" s="41"/>
      <c r="L197" s="3"/>
      <c r="N197" s="143"/>
      <c r="O197" s="143"/>
      <c r="U197" s="143"/>
      <c r="V197" s="143"/>
      <c r="W197" s="143"/>
      <c r="AB197" s="143"/>
      <c r="AC197" s="143"/>
      <c r="AD197" s="143"/>
    </row>
    <row r="198" spans="11:30" customFormat="1" x14ac:dyDescent="0.3">
      <c r="K198" s="41"/>
      <c r="L198" s="3"/>
      <c r="N198" s="143"/>
      <c r="O198" s="143"/>
      <c r="U198" s="143"/>
      <c r="V198" s="143"/>
      <c r="W198" s="143"/>
      <c r="AB198" s="143"/>
      <c r="AC198" s="143"/>
      <c r="AD198" s="143"/>
    </row>
    <row r="199" spans="11:30" customFormat="1" x14ac:dyDescent="0.3">
      <c r="K199" s="41"/>
      <c r="L199" s="3"/>
      <c r="N199" s="143"/>
      <c r="O199" s="143"/>
      <c r="U199" s="143"/>
      <c r="V199" s="143"/>
      <c r="W199" s="143"/>
      <c r="AB199" s="143"/>
      <c r="AC199" s="143"/>
      <c r="AD199" s="143"/>
    </row>
    <row r="200" spans="11:30" customFormat="1" x14ac:dyDescent="0.3">
      <c r="K200" s="41"/>
      <c r="L200" s="3"/>
      <c r="N200" s="143"/>
      <c r="O200" s="143"/>
      <c r="U200" s="143"/>
      <c r="V200" s="143"/>
      <c r="W200" s="143"/>
      <c r="AB200" s="143"/>
      <c r="AC200" s="143"/>
      <c r="AD200" s="143"/>
    </row>
    <row r="201" spans="11:30" customFormat="1" x14ac:dyDescent="0.3">
      <c r="K201" s="41"/>
      <c r="L201" s="3"/>
      <c r="N201" s="143"/>
      <c r="O201" s="143"/>
      <c r="U201" s="143"/>
      <c r="V201" s="143"/>
      <c r="W201" s="143"/>
      <c r="AB201" s="143"/>
      <c r="AC201" s="143"/>
      <c r="AD201" s="143"/>
    </row>
    <row r="202" spans="11:30" customFormat="1" x14ac:dyDescent="0.3">
      <c r="K202" s="41"/>
      <c r="L202" s="3"/>
      <c r="N202" s="143"/>
      <c r="O202" s="143"/>
      <c r="U202" s="143"/>
      <c r="V202" s="143"/>
      <c r="W202" s="143"/>
      <c r="AB202" s="143"/>
      <c r="AC202" s="143"/>
      <c r="AD202" s="143"/>
    </row>
    <row r="203" spans="11:30" customFormat="1" x14ac:dyDescent="0.3">
      <c r="K203" s="41"/>
      <c r="L203" s="3"/>
      <c r="N203" s="143"/>
      <c r="O203" s="143"/>
      <c r="U203" s="143"/>
      <c r="V203" s="143"/>
      <c r="W203" s="143"/>
      <c r="AB203" s="143"/>
      <c r="AC203" s="143"/>
      <c r="AD203" s="143"/>
    </row>
    <row r="204" spans="11:30" customFormat="1" x14ac:dyDescent="0.3">
      <c r="K204" s="41"/>
      <c r="L204" s="3"/>
      <c r="N204" s="143"/>
      <c r="O204" s="143"/>
      <c r="U204" s="143"/>
      <c r="V204" s="143"/>
      <c r="W204" s="143"/>
      <c r="AB204" s="143"/>
      <c r="AC204" s="143"/>
      <c r="AD204" s="143"/>
    </row>
    <row r="205" spans="11:30" customFormat="1" x14ac:dyDescent="0.3">
      <c r="K205" s="41"/>
      <c r="L205" s="3"/>
      <c r="N205" s="143"/>
      <c r="O205" s="143"/>
      <c r="U205" s="143"/>
      <c r="V205" s="143"/>
      <c r="W205" s="143"/>
      <c r="AB205" s="143"/>
      <c r="AC205" s="143"/>
      <c r="AD205" s="143"/>
    </row>
    <row r="206" spans="11:30" customFormat="1" x14ac:dyDescent="0.3">
      <c r="K206" s="41"/>
      <c r="L206" s="3"/>
      <c r="N206" s="143"/>
      <c r="O206" s="143"/>
      <c r="U206" s="143"/>
      <c r="V206" s="143"/>
      <c r="W206" s="143"/>
      <c r="AB206" s="143"/>
      <c r="AC206" s="143"/>
      <c r="AD206" s="143"/>
    </row>
    <row r="207" spans="11:30" customFormat="1" x14ac:dyDescent="0.3">
      <c r="K207" s="41"/>
      <c r="L207" s="3"/>
      <c r="N207" s="143"/>
      <c r="O207" s="143"/>
      <c r="U207" s="143"/>
      <c r="V207" s="143"/>
      <c r="W207" s="143"/>
      <c r="AB207" s="143"/>
      <c r="AC207" s="143"/>
      <c r="AD207" s="143"/>
    </row>
    <row r="208" spans="11:30" customFormat="1" x14ac:dyDescent="0.3">
      <c r="K208" s="41"/>
      <c r="L208" s="3"/>
      <c r="N208" s="143"/>
      <c r="O208" s="143"/>
      <c r="U208" s="143"/>
      <c r="V208" s="143"/>
      <c r="W208" s="143"/>
      <c r="AB208" s="143"/>
      <c r="AC208" s="143"/>
      <c r="AD208" s="143"/>
    </row>
    <row r="209" spans="11:30" customFormat="1" x14ac:dyDescent="0.3">
      <c r="K209" s="41"/>
      <c r="L209" s="3"/>
      <c r="N209" s="143"/>
      <c r="O209" s="143"/>
      <c r="U209" s="143"/>
      <c r="V209" s="143"/>
      <c r="W209" s="143"/>
      <c r="AB209" s="143"/>
      <c r="AC209" s="143"/>
      <c r="AD209" s="143"/>
    </row>
    <row r="210" spans="11:30" customFormat="1" x14ac:dyDescent="0.3">
      <c r="K210" s="41"/>
      <c r="L210" s="3"/>
      <c r="N210" s="143"/>
      <c r="O210" s="143"/>
      <c r="U210" s="143"/>
      <c r="V210" s="143"/>
      <c r="W210" s="143"/>
      <c r="AB210" s="143"/>
      <c r="AC210" s="143"/>
      <c r="AD210" s="143"/>
    </row>
    <row r="211" spans="11:30" customFormat="1" x14ac:dyDescent="0.3">
      <c r="K211" s="41"/>
      <c r="L211" s="3"/>
      <c r="N211" s="143"/>
      <c r="O211" s="143"/>
      <c r="U211" s="143"/>
      <c r="V211" s="143"/>
      <c r="W211" s="143"/>
      <c r="AB211" s="143"/>
      <c r="AC211" s="143"/>
      <c r="AD211" s="143"/>
    </row>
    <row r="212" spans="11:30" customFormat="1" x14ac:dyDescent="0.3">
      <c r="K212" s="41"/>
      <c r="L212" s="3"/>
      <c r="N212" s="143"/>
      <c r="O212" s="143"/>
      <c r="U212" s="143"/>
      <c r="V212" s="143"/>
      <c r="W212" s="143"/>
      <c r="AB212" s="143"/>
      <c r="AC212" s="143"/>
      <c r="AD212" s="143"/>
    </row>
    <row r="213" spans="11:30" customFormat="1" x14ac:dyDescent="0.3">
      <c r="K213" s="41"/>
      <c r="L213" s="3"/>
      <c r="N213" s="143"/>
      <c r="O213" s="143"/>
      <c r="U213" s="143"/>
      <c r="V213" s="143"/>
      <c r="W213" s="143"/>
      <c r="AB213" s="143"/>
      <c r="AC213" s="143"/>
      <c r="AD213" s="143"/>
    </row>
    <row r="214" spans="11:30" customFormat="1" x14ac:dyDescent="0.3">
      <c r="K214" s="41"/>
      <c r="L214" s="3"/>
      <c r="N214" s="143"/>
      <c r="O214" s="143"/>
      <c r="U214" s="143"/>
      <c r="V214" s="143"/>
      <c r="W214" s="143"/>
      <c r="AB214" s="143"/>
      <c r="AC214" s="143"/>
      <c r="AD214" s="143"/>
    </row>
    <row r="215" spans="11:30" customFormat="1" x14ac:dyDescent="0.3">
      <c r="K215" s="41"/>
      <c r="L215" s="3"/>
      <c r="N215" s="143"/>
      <c r="O215" s="143"/>
      <c r="U215" s="143"/>
      <c r="V215" s="143"/>
      <c r="W215" s="143"/>
      <c r="AB215" s="143"/>
      <c r="AC215" s="143"/>
      <c r="AD215" s="143"/>
    </row>
    <row r="216" spans="11:30" customFormat="1" x14ac:dyDescent="0.3">
      <c r="K216" s="41"/>
      <c r="L216" s="3"/>
      <c r="N216" s="143"/>
      <c r="O216" s="143"/>
      <c r="U216" s="143"/>
      <c r="V216" s="143"/>
      <c r="W216" s="143"/>
      <c r="AB216" s="143"/>
      <c r="AC216" s="143"/>
      <c r="AD216" s="143"/>
    </row>
    <row r="217" spans="11:30" customFormat="1" x14ac:dyDescent="0.3">
      <c r="K217" s="41"/>
      <c r="L217" s="3"/>
      <c r="N217" s="143"/>
      <c r="O217" s="143"/>
      <c r="U217" s="143"/>
      <c r="V217" s="143"/>
      <c r="W217" s="143"/>
      <c r="AB217" s="143"/>
      <c r="AC217" s="143"/>
      <c r="AD217" s="143"/>
    </row>
    <row r="218" spans="11:30" customFormat="1" x14ac:dyDescent="0.3">
      <c r="K218" s="41"/>
      <c r="L218" s="3"/>
      <c r="N218" s="143"/>
      <c r="O218" s="143"/>
      <c r="U218" s="143"/>
      <c r="V218" s="143"/>
      <c r="W218" s="143"/>
      <c r="AB218" s="143"/>
      <c r="AC218" s="143"/>
      <c r="AD218" s="143"/>
    </row>
    <row r="219" spans="11:30" customFormat="1" x14ac:dyDescent="0.3">
      <c r="K219" s="41"/>
      <c r="L219" s="3"/>
      <c r="N219" s="143"/>
      <c r="O219" s="143"/>
      <c r="U219" s="143"/>
      <c r="V219" s="143"/>
      <c r="W219" s="143"/>
      <c r="AB219" s="143"/>
      <c r="AC219" s="143"/>
      <c r="AD219" s="143"/>
    </row>
    <row r="220" spans="11:30" customFormat="1" x14ac:dyDescent="0.3">
      <c r="K220" s="41"/>
      <c r="L220" s="3"/>
      <c r="N220" s="143"/>
      <c r="O220" s="143"/>
      <c r="U220" s="143"/>
      <c r="V220" s="143"/>
      <c r="W220" s="143"/>
      <c r="AB220" s="143"/>
      <c r="AC220" s="143"/>
      <c r="AD220" s="143"/>
    </row>
    <row r="221" spans="11:30" customFormat="1" x14ac:dyDescent="0.3">
      <c r="K221" s="41"/>
      <c r="L221" s="3"/>
      <c r="N221" s="143"/>
      <c r="O221" s="143"/>
      <c r="U221" s="143"/>
      <c r="V221" s="143"/>
      <c r="W221" s="143"/>
      <c r="AB221" s="143"/>
      <c r="AC221" s="143"/>
      <c r="AD221" s="143"/>
    </row>
    <row r="222" spans="11:30" customFormat="1" x14ac:dyDescent="0.3">
      <c r="K222" s="41"/>
      <c r="L222" s="3"/>
      <c r="N222" s="143"/>
      <c r="O222" s="143"/>
      <c r="U222" s="143"/>
      <c r="V222" s="143"/>
      <c r="W222" s="143"/>
      <c r="AB222" s="143"/>
      <c r="AC222" s="143"/>
      <c r="AD222" s="143"/>
    </row>
    <row r="223" spans="11:30" customFormat="1" x14ac:dyDescent="0.3">
      <c r="K223" s="41"/>
      <c r="L223" s="3"/>
      <c r="N223" s="143"/>
      <c r="O223" s="143"/>
      <c r="U223" s="143"/>
      <c r="V223" s="143"/>
      <c r="W223" s="143"/>
      <c r="AB223" s="143"/>
      <c r="AC223" s="143"/>
      <c r="AD223" s="143"/>
    </row>
    <row r="224" spans="11:30" customFormat="1" x14ac:dyDescent="0.3">
      <c r="K224" s="41"/>
      <c r="L224" s="3"/>
      <c r="N224" s="143"/>
      <c r="O224" s="143"/>
      <c r="U224" s="143"/>
      <c r="V224" s="143"/>
      <c r="W224" s="143"/>
      <c r="AB224" s="143"/>
      <c r="AC224" s="143"/>
      <c r="AD224" s="143"/>
    </row>
    <row r="225" spans="11:30" customFormat="1" x14ac:dyDescent="0.3">
      <c r="K225" s="41"/>
      <c r="L225" s="3"/>
      <c r="N225" s="143"/>
      <c r="O225" s="143"/>
      <c r="U225" s="143"/>
      <c r="V225" s="143"/>
      <c r="W225" s="143"/>
      <c r="AB225" s="143"/>
      <c r="AC225" s="143"/>
      <c r="AD225" s="143"/>
    </row>
    <row r="226" spans="11:30" customFormat="1" x14ac:dyDescent="0.3">
      <c r="K226" s="41"/>
      <c r="L226" s="3"/>
      <c r="N226" s="143"/>
      <c r="O226" s="143"/>
      <c r="U226" s="143"/>
      <c r="V226" s="143"/>
      <c r="W226" s="143"/>
      <c r="AB226" s="143"/>
      <c r="AC226" s="143"/>
      <c r="AD226" s="143"/>
    </row>
    <row r="227" spans="11:30" customFormat="1" x14ac:dyDescent="0.3">
      <c r="K227" s="41"/>
      <c r="L227" s="3"/>
      <c r="N227" s="143"/>
      <c r="O227" s="143"/>
      <c r="U227" s="143"/>
      <c r="V227" s="143"/>
      <c r="W227" s="143"/>
      <c r="AB227" s="143"/>
      <c r="AC227" s="143"/>
      <c r="AD227" s="143"/>
    </row>
    <row r="228" spans="11:30" customFormat="1" x14ac:dyDescent="0.3">
      <c r="K228" s="41"/>
      <c r="L228" s="3"/>
      <c r="N228" s="143"/>
      <c r="O228" s="143"/>
      <c r="U228" s="143"/>
      <c r="V228" s="143"/>
      <c r="W228" s="143"/>
      <c r="AB228" s="143"/>
      <c r="AC228" s="143"/>
      <c r="AD228" s="143"/>
    </row>
    <row r="229" spans="11:30" customFormat="1" x14ac:dyDescent="0.3">
      <c r="K229" s="41"/>
      <c r="L229" s="3"/>
      <c r="N229" s="143"/>
      <c r="O229" s="143"/>
      <c r="U229" s="143"/>
      <c r="V229" s="143"/>
      <c r="W229" s="143"/>
      <c r="AB229" s="143"/>
      <c r="AC229" s="143"/>
      <c r="AD229" s="143"/>
    </row>
    <row r="230" spans="11:30" customFormat="1" x14ac:dyDescent="0.3">
      <c r="K230" s="41"/>
      <c r="L230" s="3"/>
      <c r="N230" s="143"/>
      <c r="O230" s="143"/>
      <c r="U230" s="143"/>
      <c r="V230" s="143"/>
      <c r="W230" s="143"/>
      <c r="AB230" s="143"/>
      <c r="AC230" s="143"/>
      <c r="AD230" s="143"/>
    </row>
    <row r="231" spans="11:30" customFormat="1" x14ac:dyDescent="0.3">
      <c r="K231" s="41"/>
      <c r="L231" s="3"/>
      <c r="N231" s="143"/>
      <c r="O231" s="143"/>
      <c r="U231" s="143"/>
      <c r="V231" s="143"/>
      <c r="W231" s="143"/>
      <c r="AB231" s="143"/>
      <c r="AC231" s="143"/>
      <c r="AD231" s="143"/>
    </row>
    <row r="232" spans="11:30" customFormat="1" x14ac:dyDescent="0.3">
      <c r="K232" s="41"/>
      <c r="L232" s="3"/>
      <c r="N232" s="143"/>
      <c r="O232" s="143"/>
      <c r="U232" s="143"/>
      <c r="V232" s="143"/>
      <c r="W232" s="143"/>
      <c r="AB232" s="143"/>
      <c r="AC232" s="143"/>
      <c r="AD232" s="143"/>
    </row>
    <row r="233" spans="11:30" customFormat="1" x14ac:dyDescent="0.3">
      <c r="K233" s="41"/>
      <c r="L233" s="3"/>
      <c r="N233" s="143"/>
      <c r="O233" s="143"/>
      <c r="U233" s="143"/>
      <c r="V233" s="143"/>
      <c r="W233" s="143"/>
      <c r="AB233" s="143"/>
      <c r="AC233" s="143"/>
      <c r="AD233" s="143"/>
    </row>
    <row r="234" spans="11:30" customFormat="1" x14ac:dyDescent="0.3">
      <c r="K234" s="41"/>
      <c r="L234" s="3"/>
      <c r="N234" s="143"/>
      <c r="O234" s="143"/>
      <c r="U234" s="143"/>
      <c r="V234" s="143"/>
      <c r="W234" s="143"/>
      <c r="AB234" s="143"/>
      <c r="AC234" s="143"/>
      <c r="AD234" s="143"/>
    </row>
    <row r="235" spans="11:30" customFormat="1" x14ac:dyDescent="0.3">
      <c r="K235" s="41"/>
      <c r="L235" s="3"/>
      <c r="N235" s="143"/>
      <c r="O235" s="143"/>
      <c r="U235" s="143"/>
      <c r="V235" s="143"/>
      <c r="W235" s="143"/>
      <c r="AB235" s="143"/>
      <c r="AC235" s="143"/>
      <c r="AD235" s="143"/>
    </row>
    <row r="236" spans="11:30" customFormat="1" x14ac:dyDescent="0.3">
      <c r="K236" s="41"/>
      <c r="L236" s="3"/>
      <c r="N236" s="143"/>
      <c r="O236" s="143"/>
      <c r="U236" s="143"/>
      <c r="V236" s="143"/>
      <c r="W236" s="143"/>
      <c r="AB236" s="143"/>
      <c r="AC236" s="143"/>
      <c r="AD236" s="143"/>
    </row>
    <row r="237" spans="11:30" customFormat="1" x14ac:dyDescent="0.3">
      <c r="K237" s="41"/>
      <c r="L237" s="3"/>
      <c r="N237" s="143"/>
      <c r="O237" s="143"/>
      <c r="U237" s="143"/>
      <c r="V237" s="143"/>
      <c r="W237" s="143"/>
      <c r="AB237" s="143"/>
      <c r="AC237" s="143"/>
      <c r="AD237" s="143"/>
    </row>
    <row r="238" spans="11:30" customFormat="1" x14ac:dyDescent="0.3">
      <c r="K238" s="41"/>
      <c r="L238" s="3"/>
      <c r="N238" s="143"/>
      <c r="O238" s="143"/>
      <c r="U238" s="143"/>
      <c r="V238" s="143"/>
      <c r="W238" s="143"/>
      <c r="AB238" s="143"/>
      <c r="AC238" s="143"/>
      <c r="AD238" s="143"/>
    </row>
    <row r="239" spans="11:30" customFormat="1" x14ac:dyDescent="0.3">
      <c r="K239" s="41"/>
      <c r="L239" s="3"/>
      <c r="N239" s="143"/>
      <c r="O239" s="143"/>
      <c r="U239" s="143"/>
      <c r="V239" s="143"/>
      <c r="W239" s="143"/>
      <c r="AB239" s="143"/>
      <c r="AC239" s="143"/>
      <c r="AD239" s="143"/>
    </row>
    <row r="240" spans="11:30" customFormat="1" x14ac:dyDescent="0.3">
      <c r="K240" s="41"/>
      <c r="L240" s="3"/>
      <c r="N240" s="143"/>
      <c r="O240" s="143"/>
      <c r="U240" s="143"/>
      <c r="V240" s="143"/>
      <c r="W240" s="143"/>
      <c r="AB240" s="143"/>
      <c r="AC240" s="143"/>
      <c r="AD240" s="143"/>
    </row>
    <row r="241" spans="11:30" customFormat="1" x14ac:dyDescent="0.3">
      <c r="K241" s="41"/>
      <c r="L241" s="3"/>
      <c r="N241" s="143"/>
      <c r="O241" s="143"/>
      <c r="U241" s="143"/>
      <c r="V241" s="143"/>
      <c r="W241" s="143"/>
      <c r="AB241" s="143"/>
      <c r="AC241" s="143"/>
      <c r="AD241" s="143"/>
    </row>
    <row r="242" spans="11:30" customFormat="1" x14ac:dyDescent="0.3">
      <c r="K242" s="41"/>
      <c r="L242" s="3"/>
      <c r="N242" s="143"/>
      <c r="O242" s="143"/>
      <c r="U242" s="143"/>
      <c r="V242" s="143"/>
      <c r="W242" s="143"/>
      <c r="AB242" s="143"/>
      <c r="AC242" s="143"/>
      <c r="AD242" s="143"/>
    </row>
    <row r="243" spans="11:30" customFormat="1" x14ac:dyDescent="0.3">
      <c r="K243" s="41"/>
      <c r="L243" s="3"/>
      <c r="N243" s="143"/>
      <c r="O243" s="143"/>
      <c r="U243" s="143"/>
      <c r="V243" s="143"/>
      <c r="W243" s="143"/>
      <c r="AB243" s="143"/>
      <c r="AC243" s="143"/>
      <c r="AD243" s="143"/>
    </row>
    <row r="244" spans="11:30" customFormat="1" x14ac:dyDescent="0.3">
      <c r="K244" s="41"/>
      <c r="L244" s="3"/>
      <c r="N244" s="143"/>
      <c r="O244" s="143"/>
      <c r="U244" s="143"/>
      <c r="V244" s="143"/>
      <c r="W244" s="143"/>
      <c r="AB244" s="143"/>
      <c r="AC244" s="143"/>
      <c r="AD244" s="143"/>
    </row>
    <row r="245" spans="11:30" customFormat="1" x14ac:dyDescent="0.3">
      <c r="K245" s="41"/>
      <c r="L245" s="3"/>
      <c r="N245" s="143"/>
      <c r="O245" s="143"/>
      <c r="U245" s="143"/>
      <c r="V245" s="143"/>
      <c r="W245" s="143"/>
      <c r="AB245" s="143"/>
      <c r="AC245" s="143"/>
      <c r="AD245" s="143"/>
    </row>
    <row r="246" spans="11:30" customFormat="1" x14ac:dyDescent="0.3">
      <c r="K246" s="41"/>
      <c r="L246" s="3"/>
      <c r="N246" s="143"/>
      <c r="O246" s="143"/>
      <c r="U246" s="143"/>
      <c r="V246" s="143"/>
      <c r="W246" s="143"/>
      <c r="AB246" s="143"/>
      <c r="AC246" s="143"/>
      <c r="AD246" s="143"/>
    </row>
    <row r="247" spans="11:30" customFormat="1" x14ac:dyDescent="0.3">
      <c r="K247" s="41"/>
      <c r="L247" s="3"/>
      <c r="N247" s="143"/>
      <c r="O247" s="143"/>
      <c r="U247" s="143"/>
      <c r="V247" s="143"/>
      <c r="W247" s="143"/>
      <c r="AB247" s="143"/>
      <c r="AC247" s="143"/>
      <c r="AD247" s="143"/>
    </row>
    <row r="248" spans="11:30" customFormat="1" x14ac:dyDescent="0.3">
      <c r="K248" s="41"/>
      <c r="L248" s="3"/>
      <c r="N248" s="143"/>
      <c r="O248" s="143"/>
      <c r="U248" s="143"/>
      <c r="V248" s="143"/>
      <c r="W248" s="143"/>
      <c r="AB248" s="143"/>
      <c r="AC248" s="143"/>
      <c r="AD248" s="143"/>
    </row>
    <row r="249" spans="11:30" customFormat="1" x14ac:dyDescent="0.3">
      <c r="K249" s="41"/>
      <c r="L249" s="3"/>
      <c r="N249" s="143"/>
      <c r="O249" s="143"/>
      <c r="U249" s="143"/>
      <c r="V249" s="143"/>
      <c r="W249" s="143"/>
      <c r="AB249" s="143"/>
      <c r="AC249" s="143"/>
      <c r="AD249" s="143"/>
    </row>
    <row r="250" spans="11:30" customFormat="1" x14ac:dyDescent="0.3">
      <c r="K250" s="41"/>
      <c r="L250" s="3"/>
      <c r="N250" s="143"/>
      <c r="O250" s="143"/>
      <c r="U250" s="143"/>
      <c r="V250" s="143"/>
      <c r="W250" s="143"/>
      <c r="AB250" s="143"/>
      <c r="AC250" s="143"/>
      <c r="AD250" s="143"/>
    </row>
    <row r="251" spans="11:30" customFormat="1" x14ac:dyDescent="0.3">
      <c r="K251" s="41"/>
      <c r="L251" s="3"/>
      <c r="N251" s="143"/>
      <c r="O251" s="143"/>
      <c r="U251" s="143"/>
      <c r="V251" s="143"/>
      <c r="W251" s="143"/>
      <c r="AB251" s="143"/>
      <c r="AC251" s="143"/>
      <c r="AD251" s="143"/>
    </row>
    <row r="252" spans="11:30" customFormat="1" x14ac:dyDescent="0.3">
      <c r="K252" s="41"/>
      <c r="L252" s="3"/>
      <c r="N252" s="143"/>
      <c r="O252" s="143"/>
      <c r="U252" s="143"/>
      <c r="V252" s="143"/>
      <c r="W252" s="143"/>
      <c r="AB252" s="143"/>
      <c r="AC252" s="143"/>
      <c r="AD252" s="143"/>
    </row>
    <row r="253" spans="11:30" customFormat="1" x14ac:dyDescent="0.3">
      <c r="K253" s="41"/>
      <c r="L253" s="3"/>
      <c r="N253" s="143"/>
      <c r="O253" s="143"/>
      <c r="U253" s="143"/>
      <c r="V253" s="143"/>
      <c r="W253" s="143"/>
      <c r="AB253" s="143"/>
      <c r="AC253" s="143"/>
      <c r="AD253" s="143"/>
    </row>
    <row r="254" spans="11:30" customFormat="1" x14ac:dyDescent="0.3">
      <c r="K254" s="41"/>
      <c r="L254" s="3"/>
      <c r="N254" s="143"/>
      <c r="O254" s="143"/>
      <c r="U254" s="143"/>
      <c r="V254" s="143"/>
      <c r="W254" s="143"/>
      <c r="AB254" s="143"/>
      <c r="AC254" s="143"/>
      <c r="AD254" s="143"/>
    </row>
    <row r="255" spans="11:30" customFormat="1" x14ac:dyDescent="0.3">
      <c r="K255" s="41"/>
      <c r="L255" s="3"/>
      <c r="N255" s="143"/>
      <c r="O255" s="143"/>
      <c r="U255" s="143"/>
      <c r="V255" s="143"/>
      <c r="W255" s="143"/>
      <c r="AB255" s="143"/>
      <c r="AC255" s="143"/>
      <c r="AD255" s="143"/>
    </row>
    <row r="256" spans="11:30" customFormat="1" x14ac:dyDescent="0.3">
      <c r="K256" s="41"/>
      <c r="L256" s="3"/>
      <c r="N256" s="143"/>
      <c r="O256" s="143"/>
      <c r="U256" s="143"/>
      <c r="V256" s="143"/>
      <c r="W256" s="143"/>
      <c r="AB256" s="143"/>
      <c r="AC256" s="143"/>
      <c r="AD256" s="143"/>
    </row>
    <row r="257" spans="11:30" customFormat="1" x14ac:dyDescent="0.3">
      <c r="K257" s="41"/>
      <c r="L257" s="3"/>
      <c r="N257" s="143"/>
      <c r="O257" s="143"/>
      <c r="U257" s="143"/>
      <c r="V257" s="143"/>
      <c r="W257" s="143"/>
      <c r="AB257" s="143"/>
      <c r="AC257" s="143"/>
      <c r="AD257" s="143"/>
    </row>
    <row r="258" spans="11:30" customFormat="1" x14ac:dyDescent="0.3">
      <c r="K258" s="41"/>
      <c r="L258" s="3"/>
      <c r="N258" s="143"/>
      <c r="O258" s="143"/>
      <c r="U258" s="143"/>
      <c r="V258" s="143"/>
      <c r="W258" s="143"/>
      <c r="AB258" s="143"/>
      <c r="AC258" s="143"/>
      <c r="AD258" s="143"/>
    </row>
    <row r="259" spans="11:30" customFormat="1" x14ac:dyDescent="0.3">
      <c r="K259" s="41"/>
      <c r="L259" s="3"/>
      <c r="N259" s="143"/>
      <c r="O259" s="143"/>
      <c r="U259" s="143"/>
      <c r="V259" s="143"/>
      <c r="W259" s="143"/>
      <c r="AB259" s="143"/>
      <c r="AC259" s="143"/>
      <c r="AD259" s="143"/>
    </row>
    <row r="260" spans="11:30" customFormat="1" x14ac:dyDescent="0.3">
      <c r="K260" s="41"/>
      <c r="L260" s="3"/>
      <c r="N260" s="143"/>
      <c r="O260" s="143"/>
      <c r="U260" s="143"/>
      <c r="V260" s="143"/>
      <c r="W260" s="143"/>
      <c r="AB260" s="143"/>
      <c r="AC260" s="143"/>
      <c r="AD260" s="143"/>
    </row>
    <row r="261" spans="11:30" customFormat="1" x14ac:dyDescent="0.3">
      <c r="K261" s="41"/>
      <c r="L261" s="3"/>
      <c r="N261" s="143"/>
      <c r="O261" s="143"/>
      <c r="U261" s="143"/>
      <c r="V261" s="143"/>
      <c r="W261" s="143"/>
      <c r="AB261" s="143"/>
      <c r="AC261" s="143"/>
      <c r="AD261" s="143"/>
    </row>
    <row r="262" spans="11:30" customFormat="1" x14ac:dyDescent="0.3">
      <c r="K262" s="41"/>
      <c r="L262" s="3"/>
      <c r="N262" s="143"/>
      <c r="O262" s="143"/>
      <c r="U262" s="143"/>
      <c r="V262" s="143"/>
      <c r="W262" s="143"/>
      <c r="AB262" s="143"/>
      <c r="AC262" s="143"/>
      <c r="AD262" s="143"/>
    </row>
    <row r="263" spans="11:30" customFormat="1" x14ac:dyDescent="0.3">
      <c r="K263" s="41"/>
      <c r="L263" s="3"/>
      <c r="N263" s="143"/>
      <c r="O263" s="143"/>
      <c r="U263" s="143"/>
      <c r="V263" s="143"/>
      <c r="W263" s="143"/>
      <c r="AB263" s="143"/>
      <c r="AC263" s="143"/>
      <c r="AD263" s="143"/>
    </row>
    <row r="264" spans="11:30" customFormat="1" x14ac:dyDescent="0.3">
      <c r="K264" s="41"/>
      <c r="L264" s="3"/>
      <c r="N264" s="143"/>
      <c r="O264" s="143"/>
      <c r="U264" s="143"/>
      <c r="V264" s="143"/>
      <c r="W264" s="143"/>
      <c r="AB264" s="143"/>
      <c r="AC264" s="143"/>
      <c r="AD264" s="143"/>
    </row>
    <row r="265" spans="11:30" customFormat="1" x14ac:dyDescent="0.3">
      <c r="K265" s="41"/>
      <c r="L265" s="3"/>
      <c r="N265" s="143"/>
      <c r="O265" s="143"/>
      <c r="U265" s="143"/>
      <c r="V265" s="143"/>
      <c r="W265" s="143"/>
      <c r="AB265" s="143"/>
      <c r="AC265" s="143"/>
      <c r="AD265" s="143"/>
    </row>
    <row r="266" spans="11:30" customFormat="1" x14ac:dyDescent="0.3">
      <c r="K266" s="41"/>
      <c r="L266" s="3"/>
      <c r="N266" s="143"/>
      <c r="O266" s="143"/>
      <c r="U266" s="143"/>
      <c r="V266" s="143"/>
      <c r="W266" s="143"/>
      <c r="AB266" s="143"/>
      <c r="AC266" s="143"/>
      <c r="AD266" s="143"/>
    </row>
    <row r="267" spans="11:30" customFormat="1" x14ac:dyDescent="0.3">
      <c r="K267" s="41"/>
      <c r="L267" s="3"/>
      <c r="N267" s="143"/>
      <c r="O267" s="143"/>
      <c r="U267" s="143"/>
      <c r="V267" s="143"/>
      <c r="W267" s="143"/>
      <c r="AB267" s="143"/>
      <c r="AC267" s="143"/>
      <c r="AD267" s="143"/>
    </row>
    <row r="268" spans="11:30" customFormat="1" x14ac:dyDescent="0.3">
      <c r="K268" s="41"/>
      <c r="L268" s="3"/>
      <c r="N268" s="143"/>
      <c r="O268" s="143"/>
      <c r="U268" s="143"/>
      <c r="V268" s="143"/>
      <c r="W268" s="143"/>
      <c r="AB268" s="143"/>
      <c r="AC268" s="143"/>
      <c r="AD268" s="143"/>
    </row>
    <row r="269" spans="11:30" customFormat="1" x14ac:dyDescent="0.3">
      <c r="K269" s="41"/>
      <c r="L269" s="3"/>
      <c r="N269" s="143"/>
      <c r="O269" s="143"/>
      <c r="U269" s="143"/>
      <c r="V269" s="143"/>
      <c r="W269" s="143"/>
      <c r="AB269" s="143"/>
      <c r="AC269" s="143"/>
      <c r="AD269" s="143"/>
    </row>
    <row r="270" spans="11:30" customFormat="1" x14ac:dyDescent="0.3">
      <c r="K270" s="41"/>
      <c r="L270" s="3"/>
      <c r="N270" s="143"/>
      <c r="O270" s="143"/>
      <c r="U270" s="143"/>
      <c r="V270" s="143"/>
      <c r="W270" s="143"/>
      <c r="AB270" s="143"/>
      <c r="AC270" s="143"/>
      <c r="AD270" s="143"/>
    </row>
    <row r="271" spans="11:30" customFormat="1" x14ac:dyDescent="0.3">
      <c r="K271" s="41"/>
      <c r="L271" s="3"/>
      <c r="N271" s="143"/>
      <c r="O271" s="143"/>
      <c r="U271" s="143"/>
      <c r="V271" s="143"/>
      <c r="W271" s="143"/>
      <c r="AB271" s="143"/>
      <c r="AC271" s="143"/>
      <c r="AD271" s="143"/>
    </row>
    <row r="272" spans="11:30" customFormat="1" x14ac:dyDescent="0.3">
      <c r="K272" s="41"/>
      <c r="L272" s="3"/>
      <c r="N272" s="143"/>
      <c r="O272" s="143"/>
      <c r="U272" s="143"/>
      <c r="V272" s="143"/>
      <c r="W272" s="143"/>
      <c r="AB272" s="143"/>
      <c r="AC272" s="143"/>
      <c r="AD272" s="143"/>
    </row>
    <row r="273" spans="11:30" customFormat="1" x14ac:dyDescent="0.3">
      <c r="K273" s="41"/>
      <c r="L273" s="3"/>
      <c r="N273" s="143"/>
      <c r="O273" s="143"/>
      <c r="U273" s="143"/>
      <c r="V273" s="143"/>
      <c r="W273" s="143"/>
      <c r="AB273" s="143"/>
      <c r="AC273" s="143"/>
      <c r="AD273" s="143"/>
    </row>
    <row r="274" spans="11:30" customFormat="1" x14ac:dyDescent="0.3">
      <c r="K274" s="41"/>
      <c r="L274" s="3"/>
      <c r="N274" s="143"/>
      <c r="O274" s="143"/>
      <c r="U274" s="143"/>
      <c r="V274" s="143"/>
      <c r="W274" s="143"/>
      <c r="AB274" s="143"/>
      <c r="AC274" s="143"/>
      <c r="AD274" s="143"/>
    </row>
    <row r="275" spans="11:30" customFormat="1" x14ac:dyDescent="0.3">
      <c r="K275" s="41"/>
      <c r="L275" s="3"/>
      <c r="N275" s="143"/>
      <c r="O275" s="143"/>
      <c r="U275" s="143"/>
      <c r="V275" s="143"/>
      <c r="W275" s="143"/>
      <c r="AB275" s="143"/>
      <c r="AC275" s="143"/>
      <c r="AD275" s="143"/>
    </row>
    <row r="276" spans="11:30" customFormat="1" x14ac:dyDescent="0.3">
      <c r="K276" s="41"/>
      <c r="L276" s="3"/>
      <c r="N276" s="143"/>
      <c r="O276" s="143"/>
      <c r="U276" s="143"/>
      <c r="V276" s="143"/>
      <c r="W276" s="143"/>
      <c r="AB276" s="143"/>
      <c r="AC276" s="143"/>
      <c r="AD276" s="143"/>
    </row>
    <row r="277" spans="11:30" customFormat="1" x14ac:dyDescent="0.3">
      <c r="K277" s="41"/>
      <c r="L277" s="3"/>
      <c r="N277" s="143"/>
      <c r="O277" s="143"/>
      <c r="U277" s="143"/>
      <c r="V277" s="143"/>
      <c r="W277" s="143"/>
      <c r="AB277" s="143"/>
      <c r="AC277" s="143"/>
      <c r="AD277" s="143"/>
    </row>
    <row r="278" spans="11:30" customFormat="1" x14ac:dyDescent="0.3">
      <c r="K278" s="41"/>
      <c r="L278" s="3"/>
      <c r="N278" s="143"/>
      <c r="O278" s="143"/>
      <c r="U278" s="143"/>
      <c r="V278" s="143"/>
      <c r="W278" s="143"/>
      <c r="AB278" s="143"/>
      <c r="AC278" s="143"/>
      <c r="AD278" s="143"/>
    </row>
    <row r="279" spans="11:30" customFormat="1" x14ac:dyDescent="0.3">
      <c r="K279" s="41"/>
      <c r="L279" s="3"/>
      <c r="N279" s="143"/>
      <c r="O279" s="143"/>
      <c r="U279" s="143"/>
      <c r="V279" s="143"/>
      <c r="W279" s="143"/>
      <c r="AB279" s="143"/>
      <c r="AC279" s="143"/>
      <c r="AD279" s="143"/>
    </row>
    <row r="280" spans="11:30" customFormat="1" x14ac:dyDescent="0.3">
      <c r="K280" s="41"/>
      <c r="L280" s="3"/>
      <c r="N280" s="143"/>
      <c r="O280" s="143"/>
      <c r="U280" s="143"/>
      <c r="V280" s="143"/>
      <c r="W280" s="143"/>
      <c r="AB280" s="143"/>
      <c r="AC280" s="143"/>
      <c r="AD280" s="143"/>
    </row>
    <row r="281" spans="11:30" customFormat="1" x14ac:dyDescent="0.3">
      <c r="K281" s="41"/>
      <c r="L281" s="3"/>
      <c r="N281" s="143"/>
      <c r="O281" s="143"/>
      <c r="U281" s="143"/>
      <c r="V281" s="143"/>
      <c r="W281" s="143"/>
      <c r="AB281" s="143"/>
      <c r="AC281" s="143"/>
      <c r="AD281" s="143"/>
    </row>
    <row r="282" spans="11:30" customFormat="1" x14ac:dyDescent="0.3">
      <c r="K282" s="41"/>
      <c r="L282" s="3"/>
      <c r="N282" s="143"/>
      <c r="O282" s="143"/>
      <c r="U282" s="143"/>
      <c r="V282" s="143"/>
      <c r="W282" s="143"/>
      <c r="AB282" s="143"/>
      <c r="AC282" s="143"/>
      <c r="AD282" s="143"/>
    </row>
    <row r="283" spans="11:30" customFormat="1" x14ac:dyDescent="0.3">
      <c r="K283" s="41"/>
      <c r="L283" s="3"/>
      <c r="N283" s="143"/>
      <c r="O283" s="143"/>
      <c r="U283" s="143"/>
      <c r="V283" s="143"/>
      <c r="W283" s="143"/>
      <c r="AB283" s="143"/>
      <c r="AC283" s="143"/>
      <c r="AD283" s="143"/>
    </row>
    <row r="284" spans="11:30" customFormat="1" x14ac:dyDescent="0.3">
      <c r="K284" s="41"/>
      <c r="L284" s="3"/>
      <c r="N284" s="143"/>
      <c r="O284" s="143"/>
      <c r="U284" s="143"/>
      <c r="V284" s="143"/>
      <c r="W284" s="143"/>
      <c r="AB284" s="143"/>
      <c r="AC284" s="143"/>
      <c r="AD284" s="143"/>
    </row>
    <row r="285" spans="11:30" customFormat="1" x14ac:dyDescent="0.3">
      <c r="K285" s="41"/>
      <c r="L285" s="3"/>
      <c r="N285" s="143"/>
      <c r="O285" s="143"/>
      <c r="U285" s="143"/>
      <c r="V285" s="143"/>
      <c r="W285" s="143"/>
      <c r="AB285" s="143"/>
      <c r="AC285" s="143"/>
      <c r="AD285" s="143"/>
    </row>
    <row r="286" spans="11:30" customFormat="1" x14ac:dyDescent="0.3">
      <c r="K286" s="41"/>
      <c r="L286" s="3"/>
      <c r="N286" s="143"/>
      <c r="O286" s="143"/>
      <c r="U286" s="143"/>
      <c r="V286" s="143"/>
      <c r="W286" s="143"/>
      <c r="AB286" s="143"/>
      <c r="AC286" s="143"/>
      <c r="AD286" s="143"/>
    </row>
    <row r="287" spans="11:30" customFormat="1" x14ac:dyDescent="0.3">
      <c r="K287" s="41"/>
      <c r="L287" s="3"/>
      <c r="N287" s="143"/>
      <c r="O287" s="143"/>
      <c r="U287" s="143"/>
      <c r="V287" s="143"/>
      <c r="W287" s="143"/>
      <c r="AB287" s="143"/>
      <c r="AC287" s="143"/>
      <c r="AD287" s="143"/>
    </row>
    <row r="288" spans="11:30" customFormat="1" x14ac:dyDescent="0.3">
      <c r="K288" s="41"/>
      <c r="L288" s="3"/>
      <c r="N288" s="143"/>
      <c r="O288" s="143"/>
      <c r="U288" s="143"/>
      <c r="V288" s="143"/>
      <c r="W288" s="143"/>
      <c r="AB288" s="143"/>
      <c r="AC288" s="143"/>
      <c r="AD288" s="143"/>
    </row>
    <row r="289" spans="11:30" customFormat="1" x14ac:dyDescent="0.3">
      <c r="K289" s="41"/>
      <c r="L289" s="3"/>
      <c r="N289" s="143"/>
      <c r="O289" s="143"/>
      <c r="U289" s="143"/>
      <c r="V289" s="143"/>
      <c r="W289" s="143"/>
      <c r="AB289" s="143"/>
      <c r="AC289" s="143"/>
      <c r="AD289" s="143"/>
    </row>
    <row r="290" spans="11:30" customFormat="1" x14ac:dyDescent="0.3">
      <c r="K290" s="41"/>
      <c r="L290" s="3"/>
      <c r="N290" s="143"/>
      <c r="O290" s="143"/>
      <c r="U290" s="143"/>
      <c r="V290" s="143"/>
      <c r="W290" s="143"/>
      <c r="AB290" s="143"/>
      <c r="AC290" s="143"/>
      <c r="AD290" s="143"/>
    </row>
    <row r="291" spans="11:30" customFormat="1" x14ac:dyDescent="0.3">
      <c r="K291" s="41"/>
      <c r="L291" s="3"/>
      <c r="N291" s="143"/>
      <c r="O291" s="143"/>
      <c r="U291" s="143"/>
      <c r="V291" s="143"/>
      <c r="W291" s="143"/>
      <c r="AB291" s="143"/>
      <c r="AC291" s="143"/>
      <c r="AD291" s="143"/>
    </row>
    <row r="292" spans="11:30" customFormat="1" x14ac:dyDescent="0.3">
      <c r="K292" s="41"/>
      <c r="L292" s="3"/>
      <c r="N292" s="143"/>
      <c r="O292" s="143"/>
      <c r="U292" s="143"/>
      <c r="V292" s="143"/>
      <c r="W292" s="143"/>
      <c r="AB292" s="143"/>
      <c r="AC292" s="143"/>
      <c r="AD292" s="143"/>
    </row>
    <row r="293" spans="11:30" customFormat="1" x14ac:dyDescent="0.3">
      <c r="K293" s="41"/>
      <c r="L293" s="3"/>
      <c r="N293" s="143"/>
      <c r="O293" s="143"/>
      <c r="U293" s="143"/>
      <c r="V293" s="143"/>
      <c r="W293" s="143"/>
      <c r="AB293" s="143"/>
      <c r="AC293" s="143"/>
      <c r="AD293" s="143"/>
    </row>
    <row r="294" spans="11:30" customFormat="1" x14ac:dyDescent="0.3">
      <c r="K294" s="41"/>
      <c r="L294" s="3"/>
      <c r="N294" s="143"/>
      <c r="O294" s="143"/>
      <c r="U294" s="143"/>
      <c r="V294" s="143"/>
      <c r="W294" s="143"/>
      <c r="AB294" s="143"/>
      <c r="AC294" s="143"/>
      <c r="AD294" s="143"/>
    </row>
    <row r="295" spans="11:30" customFormat="1" x14ac:dyDescent="0.3">
      <c r="K295" s="41"/>
      <c r="L295" s="3"/>
      <c r="N295" s="143"/>
      <c r="O295" s="143"/>
      <c r="U295" s="143"/>
      <c r="V295" s="143"/>
      <c r="W295" s="143"/>
      <c r="AB295" s="143"/>
      <c r="AC295" s="143"/>
      <c r="AD295" s="143"/>
    </row>
    <row r="296" spans="11:30" customFormat="1" x14ac:dyDescent="0.3">
      <c r="K296" s="41"/>
      <c r="L296" s="3"/>
      <c r="N296" s="143"/>
      <c r="O296" s="143"/>
      <c r="U296" s="143"/>
      <c r="V296" s="143"/>
      <c r="W296" s="143"/>
      <c r="AB296" s="143"/>
      <c r="AC296" s="143"/>
      <c r="AD296" s="143"/>
    </row>
    <row r="297" spans="11:30" customFormat="1" x14ac:dyDescent="0.3">
      <c r="K297" s="41"/>
      <c r="L297" s="3"/>
      <c r="N297" s="143"/>
      <c r="O297" s="143"/>
      <c r="U297" s="143"/>
      <c r="V297" s="143"/>
      <c r="W297" s="143"/>
      <c r="AB297" s="143"/>
      <c r="AC297" s="143"/>
      <c r="AD297" s="143"/>
    </row>
    <row r="298" spans="11:30" customFormat="1" x14ac:dyDescent="0.3">
      <c r="K298" s="41"/>
      <c r="L298" s="3"/>
      <c r="N298" s="143"/>
      <c r="O298" s="143"/>
      <c r="U298" s="143"/>
      <c r="V298" s="143"/>
      <c r="W298" s="143"/>
      <c r="AB298" s="143"/>
      <c r="AC298" s="143"/>
      <c r="AD298" s="143"/>
    </row>
    <row r="299" spans="11:30" customFormat="1" x14ac:dyDescent="0.3">
      <c r="K299" s="41"/>
      <c r="L299" s="3"/>
      <c r="N299" s="143"/>
      <c r="O299" s="143"/>
      <c r="U299" s="143"/>
      <c r="V299" s="143"/>
      <c r="W299" s="143"/>
      <c r="AB299" s="143"/>
      <c r="AC299" s="143"/>
      <c r="AD299" s="143"/>
    </row>
    <row r="300" spans="11:30" customFormat="1" x14ac:dyDescent="0.3">
      <c r="K300" s="41"/>
      <c r="L300" s="3"/>
      <c r="N300" s="143"/>
      <c r="O300" s="143"/>
      <c r="U300" s="143"/>
      <c r="V300" s="143"/>
      <c r="W300" s="143"/>
      <c r="AB300" s="143"/>
      <c r="AC300" s="143"/>
      <c r="AD300" s="143"/>
    </row>
    <row r="301" spans="11:30" customFormat="1" x14ac:dyDescent="0.3">
      <c r="K301" s="41"/>
      <c r="L301" s="3"/>
      <c r="N301" s="143"/>
      <c r="O301" s="143"/>
      <c r="U301" s="143"/>
      <c r="V301" s="143"/>
      <c r="W301" s="143"/>
      <c r="AB301" s="143"/>
      <c r="AC301" s="143"/>
      <c r="AD301" s="143"/>
    </row>
    <row r="302" spans="11:30" customFormat="1" x14ac:dyDescent="0.3">
      <c r="K302" s="41"/>
      <c r="L302" s="3"/>
      <c r="N302" s="143"/>
      <c r="O302" s="143"/>
      <c r="U302" s="143"/>
      <c r="V302" s="143"/>
      <c r="W302" s="143"/>
      <c r="AB302" s="143"/>
      <c r="AC302" s="143"/>
      <c r="AD302" s="143"/>
    </row>
    <row r="303" spans="11:30" customFormat="1" x14ac:dyDescent="0.3">
      <c r="K303" s="41"/>
      <c r="L303" s="3"/>
      <c r="N303" s="143"/>
      <c r="O303" s="143"/>
      <c r="U303" s="143"/>
      <c r="V303" s="143"/>
      <c r="W303" s="143"/>
      <c r="AB303" s="143"/>
      <c r="AC303" s="143"/>
      <c r="AD303" s="143"/>
    </row>
    <row r="304" spans="11:30" customFormat="1" x14ac:dyDescent="0.3">
      <c r="K304" s="41"/>
      <c r="L304" s="3"/>
      <c r="N304" s="143"/>
      <c r="O304" s="143"/>
      <c r="U304" s="143"/>
      <c r="V304" s="143"/>
      <c r="W304" s="143"/>
      <c r="AB304" s="143"/>
      <c r="AC304" s="143"/>
      <c r="AD304" s="143"/>
    </row>
    <row r="305" spans="11:30" customFormat="1" x14ac:dyDescent="0.3">
      <c r="K305" s="41"/>
      <c r="L305" s="3"/>
      <c r="N305" s="143"/>
      <c r="O305" s="143"/>
      <c r="U305" s="143"/>
      <c r="V305" s="143"/>
      <c r="W305" s="143"/>
      <c r="AB305" s="143"/>
      <c r="AC305" s="143"/>
      <c r="AD305" s="143"/>
    </row>
    <row r="306" spans="11:30" customFormat="1" x14ac:dyDescent="0.3">
      <c r="K306" s="41"/>
      <c r="L306" s="3"/>
      <c r="N306" s="143"/>
      <c r="O306" s="143"/>
      <c r="U306" s="143"/>
      <c r="V306" s="143"/>
      <c r="W306" s="143"/>
      <c r="AB306" s="143"/>
      <c r="AC306" s="143"/>
      <c r="AD306" s="143"/>
    </row>
    <row r="307" spans="11:30" customFormat="1" x14ac:dyDescent="0.3">
      <c r="K307" s="41"/>
      <c r="L307" s="3"/>
      <c r="N307" s="143"/>
      <c r="O307" s="143"/>
      <c r="U307" s="143"/>
      <c r="V307" s="143"/>
      <c r="W307" s="143"/>
      <c r="AB307" s="143"/>
      <c r="AC307" s="143"/>
      <c r="AD307" s="143"/>
    </row>
    <row r="308" spans="11:30" customFormat="1" x14ac:dyDescent="0.3">
      <c r="K308" s="41"/>
      <c r="L308" s="3"/>
      <c r="N308" s="143"/>
      <c r="O308" s="143"/>
      <c r="U308" s="143"/>
      <c r="V308" s="143"/>
      <c r="W308" s="143"/>
      <c r="AB308" s="143"/>
      <c r="AC308" s="143"/>
      <c r="AD308" s="143"/>
    </row>
    <row r="309" spans="11:30" customFormat="1" x14ac:dyDescent="0.3">
      <c r="K309" s="41"/>
      <c r="L309" s="3"/>
      <c r="N309" s="143"/>
      <c r="O309" s="143"/>
      <c r="U309" s="143"/>
      <c r="V309" s="143"/>
      <c r="W309" s="143"/>
      <c r="AB309" s="143"/>
      <c r="AC309" s="143"/>
      <c r="AD309" s="143"/>
    </row>
    <row r="310" spans="11:30" customFormat="1" x14ac:dyDescent="0.3">
      <c r="K310" s="41"/>
      <c r="L310" s="3"/>
      <c r="N310" s="143"/>
      <c r="O310" s="143"/>
      <c r="U310" s="143"/>
      <c r="V310" s="143"/>
      <c r="W310" s="143"/>
      <c r="AB310" s="143"/>
      <c r="AC310" s="143"/>
      <c r="AD310" s="143"/>
    </row>
    <row r="311" spans="11:30" customFormat="1" x14ac:dyDescent="0.3">
      <c r="K311" s="41"/>
      <c r="L311" s="3"/>
      <c r="N311" s="143"/>
      <c r="O311" s="143"/>
      <c r="U311" s="143"/>
      <c r="V311" s="143"/>
      <c r="W311" s="143"/>
      <c r="AB311" s="143"/>
      <c r="AC311" s="143"/>
      <c r="AD311" s="143"/>
    </row>
    <row r="312" spans="11:30" customFormat="1" x14ac:dyDescent="0.3">
      <c r="K312" s="41"/>
      <c r="L312" s="3"/>
      <c r="N312" s="143"/>
      <c r="O312" s="143"/>
      <c r="U312" s="143"/>
      <c r="V312" s="143"/>
      <c r="W312" s="143"/>
      <c r="AB312" s="143"/>
      <c r="AC312" s="143"/>
      <c r="AD312" s="143"/>
    </row>
    <row r="313" spans="11:30" customFormat="1" x14ac:dyDescent="0.3">
      <c r="K313" s="41"/>
      <c r="L313" s="3"/>
      <c r="N313" s="143"/>
      <c r="O313" s="143"/>
      <c r="U313" s="143"/>
      <c r="V313" s="143"/>
      <c r="W313" s="143"/>
      <c r="AB313" s="143"/>
      <c r="AC313" s="143"/>
      <c r="AD313" s="143"/>
    </row>
    <row r="314" spans="11:30" customFormat="1" x14ac:dyDescent="0.3">
      <c r="K314" s="41"/>
      <c r="L314" s="3"/>
      <c r="N314" s="143"/>
      <c r="O314" s="143"/>
      <c r="U314" s="143"/>
      <c r="V314" s="143"/>
      <c r="W314" s="143"/>
      <c r="AB314" s="143"/>
      <c r="AC314" s="143"/>
      <c r="AD314" s="143"/>
    </row>
    <row r="315" spans="11:30" customFormat="1" x14ac:dyDescent="0.3">
      <c r="K315" s="41"/>
      <c r="L315" s="3"/>
      <c r="N315" s="143"/>
      <c r="O315" s="143"/>
      <c r="U315" s="143"/>
      <c r="V315" s="143"/>
      <c r="W315" s="143"/>
      <c r="AB315" s="143"/>
      <c r="AC315" s="143"/>
      <c r="AD315" s="143"/>
    </row>
    <row r="316" spans="11:30" customFormat="1" x14ac:dyDescent="0.3">
      <c r="K316" s="41"/>
      <c r="L316" s="3"/>
      <c r="N316" s="143"/>
      <c r="O316" s="143"/>
      <c r="U316" s="143"/>
      <c r="V316" s="143"/>
      <c r="W316" s="143"/>
      <c r="AB316" s="143"/>
      <c r="AC316" s="143"/>
      <c r="AD316" s="143"/>
    </row>
    <row r="317" spans="11:30" customFormat="1" x14ac:dyDescent="0.3">
      <c r="K317" s="41"/>
      <c r="L317" s="3"/>
      <c r="N317" s="143"/>
      <c r="O317" s="143"/>
      <c r="U317" s="143"/>
      <c r="V317" s="143"/>
      <c r="W317" s="143"/>
      <c r="AB317" s="143"/>
      <c r="AC317" s="143"/>
      <c r="AD317" s="143"/>
    </row>
    <row r="318" spans="11:30" customFormat="1" x14ac:dyDescent="0.3">
      <c r="K318" s="41"/>
      <c r="L318" s="3"/>
      <c r="N318" s="143"/>
      <c r="O318" s="143"/>
      <c r="U318" s="143"/>
      <c r="V318" s="143"/>
      <c r="W318" s="143"/>
      <c r="AB318" s="143"/>
      <c r="AC318" s="143"/>
      <c r="AD318" s="143"/>
    </row>
    <row r="319" spans="11:30" customFormat="1" x14ac:dyDescent="0.3">
      <c r="K319" s="41"/>
      <c r="L319" s="3"/>
      <c r="N319" s="143"/>
      <c r="O319" s="143"/>
      <c r="U319" s="143"/>
      <c r="V319" s="143"/>
      <c r="W319" s="143"/>
      <c r="AB319" s="143"/>
      <c r="AC319" s="143"/>
      <c r="AD319" s="143"/>
    </row>
    <row r="320" spans="11:30" customFormat="1" x14ac:dyDescent="0.3">
      <c r="K320" s="41"/>
      <c r="L320" s="3"/>
      <c r="N320" s="143"/>
      <c r="O320" s="143"/>
      <c r="U320" s="143"/>
      <c r="V320" s="143"/>
      <c r="W320" s="143"/>
      <c r="AB320" s="143"/>
      <c r="AC320" s="143"/>
      <c r="AD320" s="143"/>
    </row>
    <row r="321" spans="11:30" customFormat="1" x14ac:dyDescent="0.3">
      <c r="K321" s="41"/>
      <c r="L321" s="3"/>
      <c r="N321" s="143"/>
      <c r="O321" s="143"/>
      <c r="U321" s="143"/>
      <c r="V321" s="143"/>
      <c r="W321" s="143"/>
      <c r="AB321" s="143"/>
      <c r="AC321" s="143"/>
      <c r="AD321" s="143"/>
    </row>
    <row r="322" spans="11:30" customFormat="1" x14ac:dyDescent="0.3">
      <c r="K322" s="41"/>
      <c r="L322" s="3"/>
      <c r="N322" s="143"/>
      <c r="O322" s="143"/>
      <c r="U322" s="143"/>
      <c r="V322" s="143"/>
      <c r="W322" s="143"/>
      <c r="AB322" s="143"/>
      <c r="AC322" s="143"/>
      <c r="AD322" s="143"/>
    </row>
    <row r="323" spans="11:30" customFormat="1" x14ac:dyDescent="0.3">
      <c r="K323" s="41"/>
      <c r="L323" s="3"/>
      <c r="N323" s="143"/>
      <c r="O323" s="143"/>
      <c r="U323" s="143"/>
      <c r="V323" s="143"/>
      <c r="W323" s="143"/>
      <c r="AB323" s="143"/>
      <c r="AC323" s="143"/>
      <c r="AD323" s="143"/>
    </row>
    <row r="324" spans="11:30" customFormat="1" x14ac:dyDescent="0.3">
      <c r="K324" s="41"/>
      <c r="L324" s="3"/>
      <c r="N324" s="143"/>
      <c r="O324" s="143"/>
      <c r="U324" s="143"/>
      <c r="V324" s="143"/>
      <c r="W324" s="143"/>
      <c r="AB324" s="143"/>
      <c r="AC324" s="143"/>
      <c r="AD324" s="143"/>
    </row>
    <row r="325" spans="11:30" customFormat="1" x14ac:dyDescent="0.3">
      <c r="K325" s="41"/>
      <c r="L325" s="3"/>
      <c r="N325" s="143"/>
      <c r="O325" s="143"/>
      <c r="U325" s="143"/>
      <c r="V325" s="143"/>
      <c r="W325" s="143"/>
      <c r="AB325" s="143"/>
      <c r="AC325" s="143"/>
      <c r="AD325" s="143"/>
    </row>
    <row r="326" spans="11:30" customFormat="1" x14ac:dyDescent="0.3">
      <c r="K326" s="41"/>
      <c r="L326" s="3"/>
      <c r="N326" s="143"/>
      <c r="O326" s="143"/>
      <c r="U326" s="143"/>
      <c r="V326" s="143"/>
      <c r="W326" s="143"/>
      <c r="AB326" s="143"/>
      <c r="AC326" s="143"/>
      <c r="AD326" s="143"/>
    </row>
    <row r="327" spans="11:30" customFormat="1" x14ac:dyDescent="0.3">
      <c r="K327" s="41"/>
      <c r="L327" s="3"/>
      <c r="N327" s="143"/>
      <c r="O327" s="143"/>
      <c r="U327" s="143"/>
      <c r="V327" s="143"/>
      <c r="W327" s="143"/>
      <c r="AB327" s="143"/>
      <c r="AC327" s="143"/>
      <c r="AD327" s="143"/>
    </row>
    <row r="328" spans="11:30" customFormat="1" x14ac:dyDescent="0.3">
      <c r="K328" s="41"/>
      <c r="L328" s="3"/>
      <c r="N328" s="143"/>
      <c r="O328" s="143"/>
      <c r="U328" s="143"/>
      <c r="V328" s="143"/>
      <c r="W328" s="143"/>
      <c r="AB328" s="143"/>
      <c r="AC328" s="143"/>
      <c r="AD328" s="143"/>
    </row>
    <row r="329" spans="11:30" customFormat="1" x14ac:dyDescent="0.3">
      <c r="K329" s="41"/>
      <c r="L329" s="3"/>
      <c r="N329" s="143"/>
      <c r="O329" s="143"/>
      <c r="U329" s="143"/>
      <c r="V329" s="143"/>
      <c r="W329" s="143"/>
      <c r="AB329" s="143"/>
      <c r="AC329" s="143"/>
      <c r="AD329" s="143"/>
    </row>
    <row r="330" spans="11:30" customFormat="1" x14ac:dyDescent="0.3">
      <c r="K330" s="41"/>
      <c r="L330" s="3"/>
      <c r="N330" s="143"/>
      <c r="O330" s="143"/>
      <c r="U330" s="143"/>
      <c r="V330" s="143"/>
      <c r="W330" s="143"/>
      <c r="AB330" s="143"/>
      <c r="AC330" s="143"/>
      <c r="AD330" s="143"/>
    </row>
    <row r="331" spans="11:30" customFormat="1" x14ac:dyDescent="0.3">
      <c r="K331" s="41"/>
      <c r="L331" s="3"/>
      <c r="N331" s="143"/>
      <c r="O331" s="143"/>
      <c r="U331" s="143"/>
      <c r="V331" s="143"/>
      <c r="W331" s="143"/>
      <c r="AB331" s="143"/>
      <c r="AC331" s="143"/>
      <c r="AD331" s="143"/>
    </row>
    <row r="332" spans="11:30" customFormat="1" x14ac:dyDescent="0.3">
      <c r="K332" s="41"/>
      <c r="L332" s="3"/>
      <c r="N332" s="143"/>
      <c r="O332" s="143"/>
      <c r="U332" s="143"/>
      <c r="V332" s="143"/>
      <c r="W332" s="143"/>
      <c r="AB332" s="143"/>
      <c r="AC332" s="143"/>
      <c r="AD332" s="143"/>
    </row>
    <row r="333" spans="11:30" customFormat="1" x14ac:dyDescent="0.3">
      <c r="K333" s="41"/>
      <c r="L333" s="3"/>
      <c r="N333" s="143"/>
      <c r="O333" s="143"/>
      <c r="U333" s="143"/>
      <c r="V333" s="143"/>
      <c r="W333" s="143"/>
      <c r="AB333" s="143"/>
      <c r="AC333" s="143"/>
      <c r="AD333" s="143"/>
    </row>
    <row r="334" spans="11:30" customFormat="1" x14ac:dyDescent="0.3">
      <c r="K334" s="41"/>
      <c r="L334" s="3"/>
      <c r="N334" s="143"/>
      <c r="O334" s="143"/>
      <c r="U334" s="143"/>
      <c r="V334" s="143"/>
      <c r="W334" s="143"/>
      <c r="AB334" s="143"/>
      <c r="AC334" s="143"/>
      <c r="AD334" s="143"/>
    </row>
    <row r="335" spans="11:30" customFormat="1" x14ac:dyDescent="0.3">
      <c r="K335" s="41"/>
      <c r="L335" s="3"/>
      <c r="N335" s="143"/>
      <c r="O335" s="143"/>
      <c r="U335" s="143"/>
      <c r="V335" s="143"/>
      <c r="W335" s="143"/>
      <c r="AB335" s="143"/>
      <c r="AC335" s="143"/>
      <c r="AD335" s="143"/>
    </row>
    <row r="336" spans="11:30" customFormat="1" x14ac:dyDescent="0.3">
      <c r="K336" s="41"/>
      <c r="L336" s="3"/>
      <c r="N336" s="143"/>
      <c r="O336" s="143"/>
      <c r="U336" s="143"/>
      <c r="V336" s="143"/>
      <c r="W336" s="143"/>
      <c r="AB336" s="143"/>
      <c r="AC336" s="143"/>
      <c r="AD336" s="143"/>
    </row>
    <row r="337" spans="11:30" customFormat="1" x14ac:dyDescent="0.3">
      <c r="K337" s="41"/>
      <c r="L337" s="3"/>
      <c r="N337" s="143"/>
      <c r="O337" s="143"/>
      <c r="U337" s="143"/>
      <c r="V337" s="143"/>
      <c r="W337" s="143"/>
      <c r="AB337" s="143"/>
      <c r="AC337" s="143"/>
      <c r="AD337" s="143"/>
    </row>
    <row r="338" spans="11:30" customFormat="1" x14ac:dyDescent="0.3">
      <c r="K338" s="41"/>
      <c r="L338" s="3"/>
      <c r="N338" s="143"/>
      <c r="O338" s="143"/>
      <c r="U338" s="143"/>
      <c r="V338" s="143"/>
      <c r="W338" s="143"/>
      <c r="AB338" s="143"/>
      <c r="AC338" s="143"/>
      <c r="AD338" s="143"/>
    </row>
    <row r="339" spans="11:30" customFormat="1" x14ac:dyDescent="0.3">
      <c r="K339" s="41"/>
      <c r="L339" s="3"/>
      <c r="N339" s="143"/>
      <c r="O339" s="143"/>
      <c r="U339" s="143"/>
      <c r="V339" s="143"/>
      <c r="W339" s="143"/>
      <c r="AB339" s="143"/>
      <c r="AC339" s="143"/>
      <c r="AD339" s="143"/>
    </row>
    <row r="340" spans="11:30" customFormat="1" x14ac:dyDescent="0.3">
      <c r="K340" s="41"/>
      <c r="L340" s="3"/>
      <c r="N340" s="143"/>
      <c r="O340" s="143"/>
      <c r="U340" s="143"/>
      <c r="V340" s="143"/>
      <c r="W340" s="143"/>
      <c r="AB340" s="143"/>
      <c r="AC340" s="143"/>
      <c r="AD340" s="143"/>
    </row>
    <row r="341" spans="11:30" customFormat="1" x14ac:dyDescent="0.3">
      <c r="K341" s="41"/>
      <c r="L341" s="3"/>
      <c r="N341" s="143"/>
      <c r="O341" s="143"/>
      <c r="U341" s="143"/>
      <c r="V341" s="143"/>
      <c r="W341" s="143"/>
      <c r="AB341" s="143"/>
      <c r="AC341" s="143"/>
      <c r="AD341" s="143"/>
    </row>
    <row r="342" spans="11:30" customFormat="1" x14ac:dyDescent="0.3">
      <c r="K342" s="41"/>
      <c r="L342" s="3"/>
      <c r="N342" s="143"/>
      <c r="O342" s="143"/>
      <c r="U342" s="143"/>
      <c r="V342" s="143"/>
      <c r="W342" s="143"/>
      <c r="AB342" s="143"/>
      <c r="AC342" s="143"/>
      <c r="AD342" s="143"/>
    </row>
    <row r="343" spans="11:30" customFormat="1" x14ac:dyDescent="0.3">
      <c r="K343" s="41"/>
      <c r="L343" s="3"/>
      <c r="N343" s="143"/>
      <c r="O343" s="143"/>
      <c r="U343" s="143"/>
      <c r="V343" s="143"/>
      <c r="W343" s="143"/>
      <c r="AB343" s="143"/>
      <c r="AC343" s="143"/>
      <c r="AD343" s="143"/>
    </row>
    <row r="344" spans="11:30" customFormat="1" x14ac:dyDescent="0.3">
      <c r="K344" s="41"/>
      <c r="L344" s="3"/>
      <c r="N344" s="143"/>
      <c r="O344" s="143"/>
      <c r="U344" s="143"/>
      <c r="V344" s="143"/>
      <c r="W344" s="143"/>
      <c r="AB344" s="143"/>
      <c r="AC344" s="143"/>
      <c r="AD344" s="143"/>
    </row>
    <row r="345" spans="11:30" customFormat="1" x14ac:dyDescent="0.3">
      <c r="K345" s="41"/>
      <c r="L345" s="3"/>
      <c r="N345" s="143"/>
      <c r="O345" s="143"/>
      <c r="U345" s="143"/>
      <c r="V345" s="143"/>
      <c r="W345" s="143"/>
      <c r="AB345" s="143"/>
      <c r="AC345" s="143"/>
      <c r="AD345" s="143"/>
    </row>
    <row r="346" spans="11:30" customFormat="1" x14ac:dyDescent="0.3">
      <c r="K346" s="41"/>
      <c r="L346" s="3"/>
      <c r="N346" s="143"/>
      <c r="O346" s="143"/>
      <c r="U346" s="143"/>
      <c r="V346" s="143"/>
      <c r="W346" s="143"/>
      <c r="AB346" s="143"/>
      <c r="AC346" s="143"/>
      <c r="AD346" s="143"/>
    </row>
    <row r="347" spans="11:30" customFormat="1" x14ac:dyDescent="0.3">
      <c r="K347" s="41"/>
      <c r="L347" s="3"/>
      <c r="N347" s="143"/>
      <c r="O347" s="143"/>
      <c r="U347" s="143"/>
      <c r="V347" s="143"/>
      <c r="W347" s="143"/>
      <c r="AB347" s="143"/>
      <c r="AC347" s="143"/>
      <c r="AD347" s="143"/>
    </row>
    <row r="348" spans="11:30" customFormat="1" x14ac:dyDescent="0.3">
      <c r="K348" s="41"/>
      <c r="L348" s="3"/>
      <c r="N348" s="143"/>
      <c r="O348" s="143"/>
      <c r="U348" s="143"/>
      <c r="V348" s="143"/>
      <c r="W348" s="143"/>
      <c r="AB348" s="143"/>
      <c r="AC348" s="143"/>
      <c r="AD348" s="143"/>
    </row>
    <row r="349" spans="11:30" customFormat="1" x14ac:dyDescent="0.3">
      <c r="K349" s="41"/>
      <c r="L349" s="3"/>
      <c r="N349" s="143"/>
      <c r="O349" s="143"/>
      <c r="U349" s="143"/>
      <c r="V349" s="143"/>
      <c r="W349" s="143"/>
      <c r="AB349" s="143"/>
      <c r="AC349" s="143"/>
      <c r="AD349" s="143"/>
    </row>
    <row r="350" spans="11:30" customFormat="1" x14ac:dyDescent="0.3">
      <c r="K350" s="41"/>
      <c r="L350" s="3"/>
      <c r="N350" s="143"/>
      <c r="O350" s="143"/>
      <c r="U350" s="143"/>
      <c r="V350" s="143"/>
      <c r="W350" s="143"/>
      <c r="AB350" s="143"/>
      <c r="AC350" s="143"/>
      <c r="AD350" s="143"/>
    </row>
    <row r="351" spans="11:30" customFormat="1" x14ac:dyDescent="0.3">
      <c r="K351" s="41"/>
      <c r="L351" s="3"/>
      <c r="N351" s="143"/>
      <c r="O351" s="143"/>
      <c r="U351" s="143"/>
      <c r="V351" s="143"/>
      <c r="W351" s="143"/>
      <c r="AB351" s="143"/>
      <c r="AC351" s="143"/>
      <c r="AD351" s="143"/>
    </row>
    <row r="352" spans="11:30" customFormat="1" x14ac:dyDescent="0.3">
      <c r="K352" s="41"/>
      <c r="L352" s="3"/>
      <c r="N352" s="143"/>
      <c r="O352" s="143"/>
      <c r="U352" s="143"/>
      <c r="V352" s="143"/>
      <c r="W352" s="143"/>
      <c r="AB352" s="143"/>
      <c r="AC352" s="143"/>
      <c r="AD352" s="143"/>
    </row>
    <row r="353" spans="11:30" customFormat="1" x14ac:dyDescent="0.3">
      <c r="K353" s="41"/>
      <c r="L353" s="3"/>
      <c r="N353" s="143"/>
      <c r="O353" s="143"/>
      <c r="U353" s="143"/>
      <c r="V353" s="143"/>
      <c r="W353" s="143"/>
      <c r="AB353" s="143"/>
      <c r="AC353" s="143"/>
      <c r="AD353" s="143"/>
    </row>
    <row r="354" spans="11:30" customFormat="1" x14ac:dyDescent="0.3">
      <c r="K354" s="41"/>
      <c r="L354" s="3"/>
      <c r="N354" s="143"/>
      <c r="O354" s="143"/>
      <c r="U354" s="143"/>
      <c r="V354" s="143"/>
      <c r="W354" s="143"/>
      <c r="AB354" s="143"/>
      <c r="AC354" s="143"/>
      <c r="AD354" s="143"/>
    </row>
    <row r="355" spans="11:30" customFormat="1" x14ac:dyDescent="0.3">
      <c r="K355" s="41"/>
      <c r="L355" s="3"/>
      <c r="N355" s="143"/>
      <c r="O355" s="143"/>
      <c r="U355" s="143"/>
      <c r="V355" s="143"/>
      <c r="W355" s="143"/>
      <c r="AB355" s="143"/>
      <c r="AC355" s="143"/>
      <c r="AD355" s="143"/>
    </row>
    <row r="356" spans="11:30" customFormat="1" x14ac:dyDescent="0.3">
      <c r="K356" s="41"/>
      <c r="L356" s="3"/>
      <c r="N356" s="143"/>
      <c r="O356" s="143"/>
      <c r="U356" s="143"/>
      <c r="V356" s="143"/>
      <c r="W356" s="143"/>
      <c r="AB356" s="143"/>
      <c r="AC356" s="143"/>
      <c r="AD356" s="143"/>
    </row>
    <row r="357" spans="11:30" customFormat="1" x14ac:dyDescent="0.3">
      <c r="K357" s="41"/>
      <c r="L357" s="3"/>
      <c r="N357" s="143"/>
      <c r="O357" s="143"/>
      <c r="U357" s="143"/>
      <c r="V357" s="143"/>
      <c r="W357" s="143"/>
      <c r="AB357" s="143"/>
      <c r="AC357" s="143"/>
      <c r="AD357" s="143"/>
    </row>
    <row r="358" spans="11:30" customFormat="1" x14ac:dyDescent="0.3">
      <c r="K358" s="41"/>
      <c r="L358" s="3"/>
      <c r="N358" s="143"/>
      <c r="O358" s="143"/>
      <c r="U358" s="143"/>
      <c r="V358" s="143"/>
      <c r="W358" s="143"/>
      <c r="AB358" s="143"/>
      <c r="AC358" s="143"/>
      <c r="AD358" s="143"/>
    </row>
    <row r="359" spans="11:30" customFormat="1" x14ac:dyDescent="0.3">
      <c r="K359" s="41"/>
      <c r="L359" s="3"/>
      <c r="N359" s="143"/>
      <c r="O359" s="143"/>
      <c r="U359" s="143"/>
      <c r="V359" s="143"/>
      <c r="W359" s="143"/>
      <c r="AB359" s="143"/>
      <c r="AC359" s="143"/>
      <c r="AD359" s="143"/>
    </row>
    <row r="360" spans="11:30" customFormat="1" x14ac:dyDescent="0.3">
      <c r="K360" s="41"/>
      <c r="L360" s="3"/>
      <c r="N360" s="143"/>
      <c r="O360" s="143"/>
      <c r="U360" s="143"/>
      <c r="V360" s="143"/>
      <c r="W360" s="143"/>
      <c r="AB360" s="143"/>
      <c r="AC360" s="143"/>
      <c r="AD360" s="143"/>
    </row>
    <row r="361" spans="11:30" customFormat="1" x14ac:dyDescent="0.3">
      <c r="K361" s="41"/>
      <c r="L361" s="3"/>
      <c r="N361" s="143"/>
      <c r="O361" s="143"/>
      <c r="U361" s="143"/>
      <c r="V361" s="143"/>
      <c r="W361" s="143"/>
      <c r="AB361" s="143"/>
      <c r="AC361" s="143"/>
      <c r="AD361" s="143"/>
    </row>
    <row r="362" spans="11:30" customFormat="1" x14ac:dyDescent="0.3">
      <c r="K362" s="41"/>
      <c r="L362" s="3"/>
      <c r="N362" s="143"/>
      <c r="O362" s="143"/>
      <c r="U362" s="143"/>
      <c r="V362" s="143"/>
      <c r="W362" s="143"/>
      <c r="AB362" s="143"/>
      <c r="AC362" s="143"/>
      <c r="AD362" s="143"/>
    </row>
    <row r="363" spans="11:30" customFormat="1" x14ac:dyDescent="0.3">
      <c r="K363" s="41"/>
      <c r="L363" s="3"/>
      <c r="N363" s="143"/>
      <c r="O363" s="143"/>
      <c r="U363" s="143"/>
      <c r="V363" s="143"/>
      <c r="W363" s="143"/>
      <c r="AB363" s="143"/>
      <c r="AC363" s="143"/>
      <c r="AD363" s="143"/>
    </row>
    <row r="364" spans="11:30" customFormat="1" x14ac:dyDescent="0.3">
      <c r="K364" s="41"/>
      <c r="L364" s="3"/>
      <c r="N364" s="143"/>
      <c r="O364" s="143"/>
      <c r="U364" s="143"/>
      <c r="V364" s="143"/>
      <c r="W364" s="143"/>
      <c r="AB364" s="143"/>
      <c r="AC364" s="143"/>
      <c r="AD364" s="143"/>
    </row>
    <row r="365" spans="11:30" customFormat="1" x14ac:dyDescent="0.3">
      <c r="K365" s="41"/>
      <c r="L365" s="3"/>
      <c r="N365" s="143"/>
      <c r="O365" s="143"/>
      <c r="U365" s="143"/>
      <c r="V365" s="143"/>
      <c r="W365" s="143"/>
      <c r="AB365" s="143"/>
      <c r="AC365" s="143"/>
      <c r="AD365" s="143"/>
    </row>
    <row r="366" spans="11:30" customFormat="1" x14ac:dyDescent="0.3">
      <c r="K366" s="41"/>
      <c r="L366" s="3"/>
      <c r="N366" s="143"/>
      <c r="O366" s="143"/>
      <c r="U366" s="143"/>
      <c r="V366" s="143"/>
      <c r="W366" s="143"/>
      <c r="AB366" s="143"/>
      <c r="AC366" s="143"/>
      <c r="AD366" s="143"/>
    </row>
    <row r="367" spans="11:30" customFormat="1" x14ac:dyDescent="0.3">
      <c r="K367" s="41"/>
      <c r="L367" s="3"/>
      <c r="N367" s="143"/>
      <c r="O367" s="143"/>
      <c r="U367" s="143"/>
      <c r="V367" s="143"/>
      <c r="W367" s="143"/>
      <c r="AB367" s="143"/>
      <c r="AC367" s="143"/>
      <c r="AD367" s="143"/>
    </row>
    <row r="368" spans="11:30" customFormat="1" x14ac:dyDescent="0.3">
      <c r="K368" s="41"/>
      <c r="L368" s="3"/>
      <c r="N368" s="143"/>
      <c r="O368" s="143"/>
      <c r="U368" s="143"/>
      <c r="V368" s="143"/>
      <c r="W368" s="143"/>
      <c r="AB368" s="143"/>
      <c r="AC368" s="143"/>
      <c r="AD368" s="143"/>
    </row>
    <row r="369" spans="11:30" customFormat="1" x14ac:dyDescent="0.3">
      <c r="K369" s="41"/>
      <c r="L369" s="3"/>
      <c r="N369" s="143"/>
      <c r="O369" s="143"/>
      <c r="U369" s="143"/>
      <c r="V369" s="143"/>
      <c r="W369" s="143"/>
      <c r="AB369" s="143"/>
      <c r="AC369" s="143"/>
      <c r="AD369" s="143"/>
    </row>
    <row r="370" spans="11:30" customFormat="1" x14ac:dyDescent="0.3">
      <c r="K370" s="41"/>
      <c r="L370" s="3"/>
      <c r="N370" s="143"/>
      <c r="O370" s="143"/>
      <c r="U370" s="143"/>
      <c r="V370" s="143"/>
      <c r="W370" s="143"/>
      <c r="AB370" s="143"/>
      <c r="AC370" s="143"/>
      <c r="AD370" s="143"/>
    </row>
    <row r="371" spans="11:30" customFormat="1" x14ac:dyDescent="0.3">
      <c r="K371" s="41"/>
      <c r="L371" s="3"/>
      <c r="N371" s="143"/>
      <c r="O371" s="143"/>
      <c r="U371" s="143"/>
      <c r="V371" s="143"/>
      <c r="W371" s="143"/>
      <c r="AB371" s="143"/>
      <c r="AC371" s="143"/>
      <c r="AD371" s="143"/>
    </row>
    <row r="372" spans="11:30" customFormat="1" x14ac:dyDescent="0.3">
      <c r="K372" s="41"/>
      <c r="L372" s="3"/>
      <c r="N372" s="143"/>
      <c r="O372" s="143"/>
      <c r="U372" s="143"/>
      <c r="V372" s="143"/>
      <c r="W372" s="143"/>
      <c r="AB372" s="143"/>
      <c r="AC372" s="143"/>
      <c r="AD372" s="143"/>
    </row>
    <row r="373" spans="11:30" customFormat="1" x14ac:dyDescent="0.3">
      <c r="K373" s="41"/>
      <c r="L373" s="3"/>
      <c r="N373" s="143"/>
      <c r="O373" s="143"/>
      <c r="U373" s="143"/>
      <c r="V373" s="143"/>
      <c r="W373" s="143"/>
      <c r="AB373" s="143"/>
      <c r="AC373" s="143"/>
      <c r="AD373" s="143"/>
    </row>
    <row r="374" spans="11:30" customFormat="1" x14ac:dyDescent="0.3">
      <c r="K374" s="41"/>
      <c r="L374" s="3"/>
      <c r="N374" s="143"/>
      <c r="O374" s="143"/>
      <c r="U374" s="143"/>
      <c r="V374" s="143"/>
      <c r="W374" s="143"/>
      <c r="AB374" s="143"/>
      <c r="AC374" s="143"/>
      <c r="AD374" s="143"/>
    </row>
    <row r="375" spans="11:30" customFormat="1" x14ac:dyDescent="0.3">
      <c r="K375" s="41"/>
      <c r="L375" s="3"/>
      <c r="N375" s="143"/>
      <c r="O375" s="143"/>
      <c r="U375" s="143"/>
      <c r="V375" s="143"/>
      <c r="W375" s="143"/>
      <c r="AB375" s="143"/>
      <c r="AC375" s="143"/>
      <c r="AD375" s="143"/>
    </row>
    <row r="376" spans="11:30" customFormat="1" x14ac:dyDescent="0.3">
      <c r="K376" s="41"/>
      <c r="L376" s="3"/>
      <c r="N376" s="143"/>
      <c r="O376" s="143"/>
      <c r="U376" s="143"/>
      <c r="V376" s="143"/>
      <c r="W376" s="143"/>
      <c r="AB376" s="143"/>
      <c r="AC376" s="143"/>
      <c r="AD376" s="143"/>
    </row>
    <row r="377" spans="11:30" customFormat="1" x14ac:dyDescent="0.3">
      <c r="K377" s="41"/>
      <c r="L377" s="3"/>
      <c r="N377" s="143"/>
      <c r="O377" s="143"/>
      <c r="U377" s="143"/>
      <c r="V377" s="143"/>
      <c r="W377" s="143"/>
      <c r="AB377" s="143"/>
      <c r="AC377" s="143"/>
      <c r="AD377" s="143"/>
    </row>
    <row r="378" spans="11:30" customFormat="1" x14ac:dyDescent="0.3">
      <c r="K378" s="41"/>
      <c r="L378" s="3"/>
      <c r="N378" s="143"/>
      <c r="O378" s="143"/>
      <c r="U378" s="143"/>
      <c r="V378" s="143"/>
      <c r="W378" s="143"/>
      <c r="AB378" s="143"/>
      <c r="AC378" s="143"/>
      <c r="AD378" s="143"/>
    </row>
    <row r="379" spans="11:30" customFormat="1" x14ac:dyDescent="0.3">
      <c r="K379" s="41"/>
      <c r="L379" s="3"/>
      <c r="N379" s="143"/>
      <c r="O379" s="143"/>
      <c r="U379" s="143"/>
      <c r="V379" s="143"/>
      <c r="W379" s="143"/>
      <c r="AB379" s="143"/>
      <c r="AC379" s="143"/>
      <c r="AD379" s="143"/>
    </row>
    <row r="380" spans="11:30" customFormat="1" x14ac:dyDescent="0.3">
      <c r="K380" s="41"/>
      <c r="L380" s="3"/>
      <c r="N380" s="143"/>
      <c r="O380" s="143"/>
      <c r="U380" s="143"/>
      <c r="V380" s="143"/>
      <c r="W380" s="143"/>
      <c r="AB380" s="143"/>
      <c r="AC380" s="143"/>
      <c r="AD380" s="143"/>
    </row>
    <row r="381" spans="11:30" customFormat="1" x14ac:dyDescent="0.3">
      <c r="K381" s="41"/>
      <c r="L381" s="3"/>
      <c r="N381" s="143"/>
      <c r="O381" s="143"/>
      <c r="U381" s="143"/>
      <c r="V381" s="143"/>
      <c r="W381" s="143"/>
      <c r="AB381" s="143"/>
      <c r="AC381" s="143"/>
      <c r="AD381" s="143"/>
    </row>
    <row r="382" spans="11:30" customFormat="1" x14ac:dyDescent="0.3">
      <c r="K382" s="41"/>
      <c r="L382" s="3"/>
      <c r="N382" s="143"/>
      <c r="O382" s="143"/>
      <c r="U382" s="143"/>
      <c r="V382" s="143"/>
      <c r="W382" s="143"/>
      <c r="AB382" s="143"/>
      <c r="AC382" s="143"/>
      <c r="AD382" s="143"/>
    </row>
    <row r="383" spans="11:30" customFormat="1" x14ac:dyDescent="0.3">
      <c r="K383" s="41"/>
      <c r="L383" s="3"/>
      <c r="N383" s="143"/>
      <c r="O383" s="143"/>
      <c r="U383" s="143"/>
      <c r="V383" s="143"/>
      <c r="W383" s="143"/>
      <c r="AB383" s="143"/>
      <c r="AC383" s="143"/>
      <c r="AD383" s="143"/>
    </row>
    <row r="384" spans="11:30" customFormat="1" x14ac:dyDescent="0.3">
      <c r="K384" s="41"/>
      <c r="L384" s="3"/>
      <c r="N384" s="143"/>
      <c r="O384" s="143"/>
      <c r="U384" s="143"/>
      <c r="V384" s="143"/>
      <c r="W384" s="143"/>
      <c r="AB384" s="143"/>
      <c r="AC384" s="143"/>
      <c r="AD384" s="143"/>
    </row>
    <row r="385" spans="11:30" customFormat="1" x14ac:dyDescent="0.3">
      <c r="K385" s="41"/>
      <c r="L385" s="3"/>
      <c r="N385" s="143"/>
      <c r="O385" s="143"/>
      <c r="U385" s="143"/>
      <c r="V385" s="143"/>
      <c r="W385" s="143"/>
      <c r="AB385" s="143"/>
      <c r="AC385" s="143"/>
      <c r="AD385" s="143"/>
    </row>
    <row r="386" spans="11:30" customFormat="1" x14ac:dyDescent="0.3">
      <c r="K386" s="41"/>
      <c r="L386" s="3"/>
      <c r="N386" s="143"/>
      <c r="O386" s="143"/>
      <c r="U386" s="143"/>
      <c r="V386" s="143"/>
      <c r="W386" s="143"/>
      <c r="AB386" s="143"/>
      <c r="AC386" s="143"/>
      <c r="AD386" s="143"/>
    </row>
    <row r="387" spans="11:30" customFormat="1" x14ac:dyDescent="0.3">
      <c r="K387" s="41"/>
      <c r="L387" s="3"/>
      <c r="N387" s="143"/>
      <c r="O387" s="143"/>
      <c r="U387" s="143"/>
      <c r="V387" s="143"/>
      <c r="W387" s="143"/>
      <c r="AB387" s="143"/>
      <c r="AC387" s="143"/>
      <c r="AD387" s="143"/>
    </row>
    <row r="388" spans="11:30" customFormat="1" x14ac:dyDescent="0.3">
      <c r="K388" s="41"/>
      <c r="L388" s="3"/>
      <c r="N388" s="143"/>
      <c r="O388" s="143"/>
      <c r="U388" s="143"/>
      <c r="V388" s="143"/>
      <c r="W388" s="143"/>
      <c r="AB388" s="143"/>
      <c r="AC388" s="143"/>
      <c r="AD388" s="143"/>
    </row>
    <row r="389" spans="11:30" customFormat="1" x14ac:dyDescent="0.3">
      <c r="K389" s="41"/>
      <c r="L389" s="3"/>
      <c r="N389" s="143"/>
      <c r="O389" s="143"/>
      <c r="U389" s="143"/>
      <c r="V389" s="143"/>
      <c r="W389" s="143"/>
      <c r="AB389" s="143"/>
      <c r="AC389" s="143"/>
      <c r="AD389" s="143"/>
    </row>
    <row r="390" spans="11:30" customFormat="1" x14ac:dyDescent="0.3">
      <c r="K390" s="41"/>
      <c r="L390" s="3"/>
      <c r="N390" s="143"/>
      <c r="O390" s="143"/>
      <c r="U390" s="143"/>
      <c r="V390" s="143"/>
      <c r="W390" s="143"/>
      <c r="AB390" s="143"/>
      <c r="AC390" s="143"/>
      <c r="AD390" s="143"/>
    </row>
    <row r="391" spans="11:30" customFormat="1" x14ac:dyDescent="0.3">
      <c r="K391" s="41"/>
      <c r="L391" s="3"/>
      <c r="N391" s="143"/>
      <c r="O391" s="143"/>
      <c r="U391" s="143"/>
      <c r="V391" s="143"/>
      <c r="W391" s="143"/>
      <c r="AB391" s="143"/>
      <c r="AC391" s="143"/>
      <c r="AD391" s="143"/>
    </row>
    <row r="392" spans="11:30" customFormat="1" x14ac:dyDescent="0.3">
      <c r="K392" s="41"/>
      <c r="L392" s="3"/>
      <c r="N392" s="143"/>
      <c r="O392" s="143"/>
      <c r="U392" s="143"/>
      <c r="V392" s="143"/>
      <c r="W392" s="143"/>
      <c r="AB392" s="143"/>
      <c r="AC392" s="143"/>
      <c r="AD392" s="143"/>
    </row>
    <row r="393" spans="11:30" customFormat="1" x14ac:dyDescent="0.3">
      <c r="K393" s="41"/>
      <c r="L393" s="3"/>
      <c r="N393" s="143"/>
      <c r="O393" s="143"/>
      <c r="U393" s="143"/>
      <c r="V393" s="143"/>
      <c r="W393" s="143"/>
      <c r="AB393" s="143"/>
      <c r="AC393" s="143"/>
      <c r="AD393" s="143"/>
    </row>
    <row r="394" spans="11:30" customFormat="1" x14ac:dyDescent="0.3">
      <c r="K394" s="41"/>
      <c r="L394" s="3"/>
      <c r="N394" s="143"/>
      <c r="O394" s="143"/>
      <c r="U394" s="143"/>
      <c r="V394" s="143"/>
      <c r="W394" s="143"/>
      <c r="AB394" s="143"/>
      <c r="AC394" s="143"/>
      <c r="AD394" s="143"/>
    </row>
    <row r="395" spans="11:30" customFormat="1" x14ac:dyDescent="0.3">
      <c r="K395" s="41"/>
      <c r="L395" s="3"/>
      <c r="N395" s="143"/>
      <c r="O395" s="143"/>
      <c r="U395" s="143"/>
      <c r="V395" s="143"/>
      <c r="W395" s="143"/>
      <c r="AB395" s="143"/>
      <c r="AC395" s="143"/>
      <c r="AD395" s="143"/>
    </row>
    <row r="396" spans="11:30" customFormat="1" x14ac:dyDescent="0.3">
      <c r="K396" s="41"/>
      <c r="L396" s="3"/>
      <c r="N396" s="143"/>
      <c r="O396" s="143"/>
      <c r="U396" s="143"/>
      <c r="V396" s="143"/>
      <c r="W396" s="143"/>
      <c r="AB396" s="143"/>
      <c r="AC396" s="143"/>
      <c r="AD396" s="143"/>
    </row>
    <row r="397" spans="11:30" customFormat="1" x14ac:dyDescent="0.3">
      <c r="K397" s="41"/>
      <c r="L397" s="3"/>
      <c r="N397" s="143"/>
      <c r="O397" s="143"/>
      <c r="U397" s="143"/>
      <c r="V397" s="143"/>
      <c r="W397" s="143"/>
      <c r="AB397" s="143"/>
      <c r="AC397" s="143"/>
      <c r="AD397" s="143"/>
    </row>
    <row r="398" spans="11:30" customFormat="1" x14ac:dyDescent="0.3">
      <c r="K398" s="41"/>
      <c r="L398" s="3"/>
      <c r="N398" s="143"/>
      <c r="O398" s="143"/>
      <c r="U398" s="143"/>
      <c r="V398" s="143"/>
      <c r="W398" s="143"/>
      <c r="AB398" s="143"/>
      <c r="AC398" s="143"/>
      <c r="AD398" s="143"/>
    </row>
    <row r="399" spans="11:30" customFormat="1" x14ac:dyDescent="0.3">
      <c r="K399" s="41"/>
      <c r="L399" s="3"/>
      <c r="N399" s="143"/>
      <c r="O399" s="143"/>
      <c r="U399" s="143"/>
      <c r="V399" s="143"/>
      <c r="W399" s="143"/>
      <c r="AB399" s="143"/>
      <c r="AC399" s="143"/>
      <c r="AD399" s="143"/>
    </row>
    <row r="400" spans="11:30" customFormat="1" x14ac:dyDescent="0.3">
      <c r="K400" s="41"/>
      <c r="L400" s="3"/>
      <c r="N400" s="143"/>
      <c r="O400" s="143"/>
      <c r="U400" s="143"/>
      <c r="V400" s="143"/>
      <c r="W400" s="143"/>
      <c r="AB400" s="143"/>
      <c r="AC400" s="143"/>
      <c r="AD400" s="143"/>
    </row>
    <row r="401" spans="11:30" customFormat="1" x14ac:dyDescent="0.3">
      <c r="K401" s="41"/>
      <c r="L401" s="3"/>
      <c r="N401" s="143"/>
      <c r="O401" s="143"/>
      <c r="U401" s="143"/>
      <c r="V401" s="143"/>
      <c r="W401" s="143"/>
      <c r="AB401" s="143"/>
      <c r="AC401" s="143"/>
      <c r="AD401" s="143"/>
    </row>
    <row r="402" spans="11:30" customFormat="1" x14ac:dyDescent="0.3">
      <c r="K402" s="41"/>
      <c r="L402" s="3"/>
      <c r="N402" s="143"/>
      <c r="O402" s="143"/>
      <c r="U402" s="143"/>
      <c r="V402" s="143"/>
      <c r="W402" s="143"/>
      <c r="AB402" s="143"/>
      <c r="AC402" s="143"/>
      <c r="AD402" s="143"/>
    </row>
    <row r="403" spans="11:30" customFormat="1" x14ac:dyDescent="0.3">
      <c r="K403" s="41"/>
      <c r="L403" s="3"/>
      <c r="N403" s="143"/>
      <c r="O403" s="143"/>
      <c r="U403" s="143"/>
      <c r="V403" s="143"/>
      <c r="W403" s="143"/>
      <c r="AB403" s="143"/>
      <c r="AC403" s="143"/>
      <c r="AD403" s="143"/>
    </row>
    <row r="404" spans="11:30" customFormat="1" x14ac:dyDescent="0.3">
      <c r="K404" s="41"/>
      <c r="L404" s="3"/>
      <c r="N404" s="143"/>
      <c r="O404" s="143"/>
      <c r="U404" s="143"/>
      <c r="V404" s="143"/>
      <c r="W404" s="143"/>
      <c r="AB404" s="143"/>
      <c r="AC404" s="143"/>
      <c r="AD404" s="143"/>
    </row>
    <row r="405" spans="11:30" customFormat="1" x14ac:dyDescent="0.3">
      <c r="K405" s="41"/>
      <c r="L405" s="3"/>
      <c r="N405" s="143"/>
      <c r="O405" s="143"/>
      <c r="U405" s="143"/>
      <c r="V405" s="143"/>
      <c r="W405" s="143"/>
      <c r="AB405" s="143"/>
      <c r="AC405" s="143"/>
      <c r="AD405" s="143"/>
    </row>
    <row r="406" spans="11:30" customFormat="1" x14ac:dyDescent="0.3">
      <c r="K406" s="41"/>
      <c r="L406" s="3"/>
      <c r="N406" s="143"/>
      <c r="O406" s="143"/>
      <c r="U406" s="143"/>
      <c r="V406" s="143"/>
      <c r="W406" s="143"/>
      <c r="AB406" s="143"/>
      <c r="AC406" s="143"/>
      <c r="AD406" s="143"/>
    </row>
    <row r="407" spans="11:30" customFormat="1" x14ac:dyDescent="0.3">
      <c r="K407" s="41"/>
      <c r="L407" s="3"/>
      <c r="N407" s="143"/>
      <c r="O407" s="143"/>
      <c r="U407" s="143"/>
      <c r="V407" s="143"/>
      <c r="W407" s="143"/>
      <c r="AB407" s="143"/>
      <c r="AC407" s="143"/>
      <c r="AD407" s="143"/>
    </row>
    <row r="408" spans="11:30" customFormat="1" x14ac:dyDescent="0.3">
      <c r="K408" s="41"/>
      <c r="L408" s="3"/>
      <c r="N408" s="143"/>
      <c r="O408" s="143"/>
      <c r="U408" s="143"/>
      <c r="V408" s="143"/>
      <c r="W408" s="143"/>
      <c r="AB408" s="143"/>
      <c r="AC408" s="143"/>
      <c r="AD408" s="143"/>
    </row>
    <row r="409" spans="11:30" customFormat="1" x14ac:dyDescent="0.3">
      <c r="K409" s="41"/>
      <c r="L409" s="3"/>
      <c r="N409" s="143"/>
      <c r="O409" s="143"/>
      <c r="U409" s="143"/>
      <c r="V409" s="143"/>
      <c r="W409" s="143"/>
      <c r="AB409" s="143"/>
      <c r="AC409" s="143"/>
      <c r="AD409" s="143"/>
    </row>
    <row r="410" spans="11:30" customFormat="1" x14ac:dyDescent="0.3">
      <c r="K410" s="41"/>
      <c r="L410" s="3"/>
      <c r="N410" s="143"/>
      <c r="O410" s="143"/>
      <c r="U410" s="143"/>
      <c r="V410" s="143"/>
      <c r="W410" s="143"/>
      <c r="AB410" s="143"/>
      <c r="AC410" s="143"/>
      <c r="AD410" s="143"/>
    </row>
    <row r="411" spans="11:30" customFormat="1" x14ac:dyDescent="0.3">
      <c r="K411" s="41"/>
      <c r="L411" s="3"/>
      <c r="N411" s="143"/>
      <c r="O411" s="143"/>
      <c r="U411" s="143"/>
      <c r="V411" s="143"/>
      <c r="W411" s="143"/>
      <c r="AB411" s="143"/>
      <c r="AC411" s="143"/>
      <c r="AD411" s="143"/>
    </row>
    <row r="412" spans="11:30" customFormat="1" x14ac:dyDescent="0.3">
      <c r="K412" s="41"/>
      <c r="L412" s="3"/>
      <c r="N412" s="143"/>
      <c r="O412" s="143"/>
      <c r="U412" s="143"/>
      <c r="V412" s="143"/>
      <c r="W412" s="143"/>
      <c r="AB412" s="143"/>
      <c r="AC412" s="143"/>
      <c r="AD412" s="143"/>
    </row>
    <row r="413" spans="11:30" customFormat="1" x14ac:dyDescent="0.3">
      <c r="K413" s="41"/>
      <c r="L413" s="3"/>
      <c r="N413" s="143"/>
      <c r="O413" s="143"/>
      <c r="U413" s="143"/>
      <c r="V413" s="143"/>
      <c r="W413" s="143"/>
      <c r="AB413" s="143"/>
      <c r="AC413" s="143"/>
      <c r="AD413" s="143"/>
    </row>
    <row r="414" spans="11:30" customFormat="1" x14ac:dyDescent="0.3">
      <c r="K414" s="41"/>
      <c r="L414" s="3"/>
      <c r="N414" s="143"/>
      <c r="O414" s="143"/>
      <c r="U414" s="143"/>
      <c r="V414" s="143"/>
      <c r="W414" s="143"/>
      <c r="AB414" s="143"/>
      <c r="AC414" s="143"/>
      <c r="AD414" s="143"/>
    </row>
    <row r="415" spans="11:30" customFormat="1" x14ac:dyDescent="0.3">
      <c r="K415" s="41"/>
      <c r="L415" s="3"/>
      <c r="N415" s="143"/>
      <c r="O415" s="143"/>
      <c r="U415" s="143"/>
      <c r="V415" s="143"/>
      <c r="W415" s="143"/>
      <c r="AB415" s="143"/>
      <c r="AC415" s="143"/>
      <c r="AD415" s="143"/>
    </row>
    <row r="416" spans="11:30" customFormat="1" x14ac:dyDescent="0.3">
      <c r="K416" s="41"/>
      <c r="L416" s="3"/>
      <c r="N416" s="143"/>
      <c r="O416" s="143"/>
      <c r="U416" s="143"/>
      <c r="V416" s="143"/>
      <c r="W416" s="143"/>
      <c r="AB416" s="143"/>
      <c r="AC416" s="143"/>
      <c r="AD416" s="143"/>
    </row>
    <row r="417" spans="11:30" customFormat="1" x14ac:dyDescent="0.3">
      <c r="K417" s="41"/>
      <c r="L417" s="3"/>
      <c r="N417" s="143"/>
      <c r="O417" s="143"/>
      <c r="U417" s="143"/>
      <c r="V417" s="143"/>
      <c r="W417" s="143"/>
      <c r="AB417" s="143"/>
      <c r="AC417" s="143"/>
      <c r="AD417" s="143"/>
    </row>
    <row r="418" spans="11:30" customFormat="1" x14ac:dyDescent="0.3">
      <c r="K418" s="41"/>
      <c r="L418" s="3"/>
      <c r="N418" s="143"/>
      <c r="O418" s="143"/>
      <c r="U418" s="143"/>
      <c r="V418" s="143"/>
      <c r="W418" s="143"/>
      <c r="AB418" s="143"/>
      <c r="AC418" s="143"/>
      <c r="AD418" s="143"/>
    </row>
    <row r="419" spans="11:30" customFormat="1" x14ac:dyDescent="0.3">
      <c r="K419" s="41"/>
      <c r="L419" s="3"/>
      <c r="N419" s="143"/>
      <c r="O419" s="143"/>
      <c r="U419" s="143"/>
      <c r="V419" s="143"/>
      <c r="W419" s="143"/>
      <c r="AB419" s="143"/>
      <c r="AC419" s="143"/>
      <c r="AD419" s="143"/>
    </row>
    <row r="420" spans="11:30" customFormat="1" x14ac:dyDescent="0.3">
      <c r="K420" s="41"/>
      <c r="L420" s="3"/>
      <c r="N420" s="143"/>
      <c r="O420" s="143"/>
      <c r="U420" s="143"/>
      <c r="V420" s="143"/>
      <c r="W420" s="143"/>
      <c r="AB420" s="143"/>
      <c r="AC420" s="143"/>
      <c r="AD420" s="143"/>
    </row>
    <row r="421" spans="11:30" customFormat="1" x14ac:dyDescent="0.3">
      <c r="K421" s="41"/>
      <c r="L421" s="3"/>
      <c r="N421" s="143"/>
      <c r="O421" s="143"/>
      <c r="U421" s="143"/>
      <c r="V421" s="143"/>
      <c r="W421" s="143"/>
      <c r="AB421" s="143"/>
      <c r="AC421" s="143"/>
      <c r="AD421" s="143"/>
    </row>
    <row r="422" spans="11:30" customFormat="1" x14ac:dyDescent="0.3">
      <c r="K422" s="41"/>
      <c r="L422" s="3"/>
      <c r="N422" s="143"/>
      <c r="O422" s="143"/>
      <c r="U422" s="143"/>
      <c r="V422" s="143"/>
      <c r="W422" s="143"/>
      <c r="AB422" s="143"/>
      <c r="AC422" s="143"/>
      <c r="AD422" s="143"/>
    </row>
    <row r="423" spans="11:30" customFormat="1" x14ac:dyDescent="0.3">
      <c r="K423" s="41"/>
      <c r="L423" s="3"/>
      <c r="N423" s="143"/>
      <c r="O423" s="143"/>
      <c r="U423" s="143"/>
      <c r="V423" s="143"/>
      <c r="W423" s="143"/>
      <c r="AB423" s="143"/>
      <c r="AC423" s="143"/>
      <c r="AD423" s="143"/>
    </row>
    <row r="424" spans="11:30" customFormat="1" x14ac:dyDescent="0.3">
      <c r="K424" s="41"/>
      <c r="L424" s="3"/>
      <c r="N424" s="143"/>
      <c r="O424" s="143"/>
      <c r="U424" s="143"/>
      <c r="V424" s="143"/>
      <c r="W424" s="143"/>
      <c r="AB424" s="143"/>
      <c r="AC424" s="143"/>
      <c r="AD424" s="143"/>
    </row>
    <row r="425" spans="11:30" customFormat="1" x14ac:dyDescent="0.3">
      <c r="K425" s="41"/>
      <c r="L425" s="3"/>
      <c r="N425" s="143"/>
      <c r="O425" s="143"/>
      <c r="U425" s="143"/>
      <c r="V425" s="143"/>
      <c r="W425" s="143"/>
      <c r="AB425" s="143"/>
      <c r="AC425" s="143"/>
      <c r="AD425" s="143"/>
    </row>
    <row r="426" spans="11:30" customFormat="1" x14ac:dyDescent="0.3">
      <c r="K426" s="41"/>
      <c r="L426" s="3"/>
      <c r="N426" s="143"/>
      <c r="O426" s="143"/>
      <c r="U426" s="143"/>
      <c r="V426" s="143"/>
      <c r="W426" s="143"/>
      <c r="AB426" s="143"/>
      <c r="AC426" s="143"/>
      <c r="AD426" s="143"/>
    </row>
    <row r="427" spans="11:30" customFormat="1" x14ac:dyDescent="0.3">
      <c r="K427" s="41"/>
      <c r="L427" s="3"/>
      <c r="N427" s="143"/>
      <c r="O427" s="143"/>
      <c r="U427" s="143"/>
      <c r="V427" s="143"/>
      <c r="W427" s="143"/>
      <c r="AB427" s="143"/>
      <c r="AC427" s="143"/>
      <c r="AD427" s="143"/>
    </row>
    <row r="428" spans="11:30" customFormat="1" x14ac:dyDescent="0.3">
      <c r="K428" s="41"/>
      <c r="L428" s="3"/>
      <c r="N428" s="143"/>
      <c r="O428" s="143"/>
      <c r="U428" s="143"/>
      <c r="V428" s="143"/>
      <c r="W428" s="143"/>
      <c r="AB428" s="143"/>
      <c r="AC428" s="143"/>
      <c r="AD428" s="143"/>
    </row>
    <row r="429" spans="11:30" customFormat="1" x14ac:dyDescent="0.3">
      <c r="K429" s="41"/>
      <c r="L429" s="3"/>
      <c r="N429" s="143"/>
      <c r="O429" s="143"/>
      <c r="U429" s="143"/>
      <c r="V429" s="143"/>
      <c r="W429" s="143"/>
      <c r="AB429" s="143"/>
      <c r="AC429" s="143"/>
      <c r="AD429" s="143"/>
    </row>
    <row r="430" spans="11:30" customFormat="1" x14ac:dyDescent="0.3">
      <c r="K430" s="41"/>
      <c r="L430" s="3"/>
      <c r="N430" s="143"/>
      <c r="O430" s="143"/>
      <c r="U430" s="143"/>
      <c r="V430" s="143"/>
      <c r="W430" s="143"/>
      <c r="AB430" s="143"/>
      <c r="AC430" s="143"/>
      <c r="AD430" s="143"/>
    </row>
    <row r="431" spans="11:30" customFormat="1" x14ac:dyDescent="0.3">
      <c r="K431" s="41"/>
      <c r="L431" s="3"/>
      <c r="N431" s="143"/>
      <c r="O431" s="143"/>
      <c r="U431" s="143"/>
      <c r="V431" s="143"/>
      <c r="W431" s="143"/>
      <c r="AB431" s="143"/>
      <c r="AC431" s="143"/>
      <c r="AD431" s="143"/>
    </row>
    <row r="432" spans="11:30" customFormat="1" x14ac:dyDescent="0.3">
      <c r="K432" s="41"/>
      <c r="L432" s="3"/>
      <c r="N432" s="143"/>
      <c r="O432" s="143"/>
      <c r="U432" s="143"/>
      <c r="V432" s="143"/>
      <c r="W432" s="143"/>
      <c r="AB432" s="143"/>
      <c r="AC432" s="143"/>
      <c r="AD432" s="143"/>
    </row>
    <row r="433" spans="11:30" customFormat="1" x14ac:dyDescent="0.3">
      <c r="K433" s="41"/>
      <c r="L433" s="3"/>
      <c r="N433" s="143"/>
      <c r="O433" s="143"/>
      <c r="U433" s="143"/>
      <c r="V433" s="143"/>
      <c r="W433" s="143"/>
      <c r="AB433" s="143"/>
      <c r="AC433" s="143"/>
      <c r="AD433" s="143"/>
    </row>
    <row r="434" spans="11:30" customFormat="1" x14ac:dyDescent="0.3">
      <c r="K434" s="41"/>
      <c r="L434" s="3"/>
      <c r="N434" s="143"/>
      <c r="O434" s="143"/>
      <c r="U434" s="143"/>
      <c r="V434" s="143"/>
      <c r="W434" s="143"/>
      <c r="AB434" s="143"/>
      <c r="AC434" s="143"/>
      <c r="AD434" s="143"/>
    </row>
    <row r="435" spans="11:30" customFormat="1" x14ac:dyDescent="0.3">
      <c r="K435" s="41"/>
      <c r="L435" s="3"/>
      <c r="N435" s="143"/>
      <c r="O435" s="143"/>
      <c r="U435" s="143"/>
      <c r="V435" s="143"/>
      <c r="W435" s="143"/>
      <c r="AB435" s="143"/>
      <c r="AC435" s="143"/>
      <c r="AD435" s="143"/>
    </row>
    <row r="436" spans="11:30" customFormat="1" x14ac:dyDescent="0.3">
      <c r="K436" s="41"/>
      <c r="L436" s="3"/>
      <c r="N436" s="143"/>
      <c r="O436" s="143"/>
      <c r="U436" s="143"/>
      <c r="V436" s="143"/>
      <c r="W436" s="143"/>
      <c r="AB436" s="143"/>
      <c r="AC436" s="143"/>
      <c r="AD436" s="143"/>
    </row>
    <row r="437" spans="11:30" customFormat="1" x14ac:dyDescent="0.3">
      <c r="K437" s="41"/>
      <c r="L437" s="3"/>
      <c r="N437" s="143"/>
      <c r="O437" s="143"/>
      <c r="U437" s="143"/>
      <c r="V437" s="143"/>
      <c r="W437" s="143"/>
      <c r="AB437" s="143"/>
      <c r="AC437" s="143"/>
      <c r="AD437" s="143"/>
    </row>
    <row r="438" spans="11:30" customFormat="1" x14ac:dyDescent="0.3">
      <c r="K438" s="41"/>
      <c r="L438" s="3"/>
      <c r="N438" s="143"/>
      <c r="O438" s="143"/>
      <c r="U438" s="143"/>
      <c r="V438" s="143"/>
      <c r="W438" s="143"/>
      <c r="AB438" s="143"/>
      <c r="AC438" s="143"/>
      <c r="AD438" s="143"/>
    </row>
    <row r="439" spans="11:30" customFormat="1" x14ac:dyDescent="0.3">
      <c r="K439" s="41"/>
      <c r="L439" s="3"/>
      <c r="N439" s="143"/>
      <c r="O439" s="143"/>
      <c r="U439" s="143"/>
      <c r="V439" s="143"/>
      <c r="W439" s="143"/>
      <c r="AB439" s="143"/>
      <c r="AC439" s="143"/>
      <c r="AD439" s="143"/>
    </row>
    <row r="440" spans="11:30" customFormat="1" x14ac:dyDescent="0.3">
      <c r="K440" s="41"/>
      <c r="L440" s="3"/>
      <c r="N440" s="143"/>
      <c r="O440" s="143"/>
      <c r="U440" s="143"/>
      <c r="V440" s="143"/>
      <c r="W440" s="143"/>
      <c r="AB440" s="143"/>
      <c r="AC440" s="143"/>
      <c r="AD440" s="143"/>
    </row>
    <row r="441" spans="11:30" customFormat="1" x14ac:dyDescent="0.3">
      <c r="K441" s="41"/>
      <c r="L441" s="3"/>
      <c r="N441" s="143"/>
      <c r="O441" s="143"/>
      <c r="U441" s="143"/>
      <c r="V441" s="143"/>
      <c r="W441" s="143"/>
      <c r="AB441" s="143"/>
      <c r="AC441" s="143"/>
      <c r="AD441" s="143"/>
    </row>
    <row r="442" spans="11:30" customFormat="1" x14ac:dyDescent="0.3">
      <c r="K442" s="41"/>
      <c r="L442" s="3"/>
      <c r="N442" s="143"/>
      <c r="O442" s="143"/>
      <c r="U442" s="143"/>
      <c r="V442" s="143"/>
      <c r="W442" s="143"/>
      <c r="AB442" s="143"/>
      <c r="AC442" s="143"/>
      <c r="AD442" s="143"/>
    </row>
    <row r="443" spans="11:30" customFormat="1" x14ac:dyDescent="0.3">
      <c r="K443" s="41"/>
      <c r="L443" s="3"/>
      <c r="N443" s="143"/>
      <c r="O443" s="143"/>
      <c r="U443" s="143"/>
      <c r="V443" s="143"/>
      <c r="W443" s="143"/>
      <c r="AB443" s="143"/>
      <c r="AC443" s="143"/>
      <c r="AD443" s="143"/>
    </row>
    <row r="444" spans="11:30" customFormat="1" x14ac:dyDescent="0.3">
      <c r="K444" s="41"/>
      <c r="L444" s="3"/>
      <c r="N444" s="143"/>
      <c r="O444" s="143"/>
      <c r="U444" s="143"/>
      <c r="V444" s="143"/>
      <c r="W444" s="143"/>
      <c r="AB444" s="143"/>
      <c r="AC444" s="143"/>
      <c r="AD444" s="143"/>
    </row>
    <row r="445" spans="11:30" customFormat="1" x14ac:dyDescent="0.3">
      <c r="K445" s="41"/>
      <c r="L445" s="3"/>
      <c r="N445" s="143"/>
      <c r="O445" s="143"/>
      <c r="U445" s="143"/>
      <c r="V445" s="143"/>
      <c r="W445" s="143"/>
      <c r="AB445" s="143"/>
      <c r="AC445" s="143"/>
      <c r="AD445" s="143"/>
    </row>
    <row r="446" spans="11:30" customFormat="1" x14ac:dyDescent="0.3">
      <c r="K446" s="41"/>
      <c r="L446" s="3"/>
      <c r="N446" s="143"/>
      <c r="O446" s="143"/>
      <c r="U446" s="143"/>
      <c r="V446" s="143"/>
      <c r="W446" s="143"/>
      <c r="AB446" s="143"/>
      <c r="AC446" s="143"/>
      <c r="AD446" s="143"/>
    </row>
    <row r="447" spans="11:30" customFormat="1" x14ac:dyDescent="0.3">
      <c r="K447" s="41"/>
      <c r="L447" s="3"/>
      <c r="N447" s="143"/>
      <c r="O447" s="143"/>
      <c r="U447" s="143"/>
      <c r="V447" s="143"/>
      <c r="W447" s="143"/>
      <c r="AB447" s="143"/>
      <c r="AC447" s="143"/>
      <c r="AD447" s="143"/>
    </row>
    <row r="448" spans="11:30" customFormat="1" x14ac:dyDescent="0.3">
      <c r="K448" s="41"/>
      <c r="L448" s="3"/>
      <c r="N448" s="143"/>
      <c r="O448" s="143"/>
      <c r="U448" s="143"/>
      <c r="V448" s="143"/>
      <c r="W448" s="143"/>
      <c r="AB448" s="143"/>
      <c r="AC448" s="143"/>
      <c r="AD448" s="143"/>
    </row>
    <row r="449" spans="11:30" customFormat="1" x14ac:dyDescent="0.3">
      <c r="K449" s="41"/>
      <c r="L449" s="3"/>
      <c r="N449" s="143"/>
      <c r="O449" s="143"/>
      <c r="U449" s="143"/>
      <c r="V449" s="143"/>
      <c r="W449" s="143"/>
      <c r="AB449" s="143"/>
      <c r="AC449" s="143"/>
      <c r="AD449" s="143"/>
    </row>
    <row r="450" spans="11:30" customFormat="1" x14ac:dyDescent="0.3">
      <c r="K450" s="41"/>
      <c r="L450" s="3"/>
      <c r="N450" s="143"/>
      <c r="O450" s="143"/>
      <c r="U450" s="143"/>
      <c r="V450" s="143"/>
      <c r="W450" s="143"/>
      <c r="AB450" s="143"/>
      <c r="AC450" s="143"/>
      <c r="AD450" s="143"/>
    </row>
    <row r="451" spans="11:30" customFormat="1" x14ac:dyDescent="0.3">
      <c r="K451" s="41"/>
      <c r="L451" s="3"/>
      <c r="N451" s="143"/>
      <c r="O451" s="143"/>
      <c r="U451" s="143"/>
      <c r="V451" s="143"/>
      <c r="W451" s="143"/>
      <c r="AB451" s="143"/>
      <c r="AC451" s="143"/>
      <c r="AD451" s="143"/>
    </row>
    <row r="452" spans="11:30" customFormat="1" x14ac:dyDescent="0.3">
      <c r="K452" s="41"/>
      <c r="L452" s="3"/>
      <c r="N452" s="143"/>
      <c r="O452" s="143"/>
      <c r="U452" s="143"/>
      <c r="V452" s="143"/>
      <c r="W452" s="143"/>
      <c r="AB452" s="143"/>
      <c r="AC452" s="143"/>
      <c r="AD452" s="143"/>
    </row>
    <row r="453" spans="11:30" customFormat="1" x14ac:dyDescent="0.3">
      <c r="K453" s="41"/>
      <c r="L453" s="3"/>
      <c r="N453" s="143"/>
      <c r="O453" s="143"/>
      <c r="U453" s="143"/>
      <c r="V453" s="143"/>
      <c r="W453" s="143"/>
      <c r="AB453" s="143"/>
      <c r="AC453" s="143"/>
      <c r="AD453" s="143"/>
    </row>
    <row r="454" spans="11:30" customFormat="1" x14ac:dyDescent="0.3">
      <c r="K454" s="41"/>
      <c r="L454" s="3"/>
      <c r="N454" s="143"/>
      <c r="O454" s="143"/>
      <c r="U454" s="143"/>
      <c r="V454" s="143"/>
      <c r="W454" s="143"/>
      <c r="AB454" s="143"/>
      <c r="AC454" s="143"/>
      <c r="AD454" s="143"/>
    </row>
    <row r="455" spans="11:30" customFormat="1" x14ac:dyDescent="0.3">
      <c r="K455" s="41"/>
      <c r="L455" s="3"/>
      <c r="N455" s="143"/>
      <c r="O455" s="143"/>
      <c r="U455" s="143"/>
      <c r="V455" s="143"/>
      <c r="W455" s="143"/>
      <c r="AB455" s="143"/>
      <c r="AC455" s="143"/>
      <c r="AD455" s="143"/>
    </row>
    <row r="456" spans="11:30" customFormat="1" x14ac:dyDescent="0.3">
      <c r="K456" s="41"/>
      <c r="L456" s="3"/>
      <c r="N456" s="143"/>
      <c r="O456" s="143"/>
      <c r="U456" s="143"/>
      <c r="V456" s="143"/>
      <c r="W456" s="143"/>
      <c r="AB456" s="143"/>
      <c r="AC456" s="143"/>
      <c r="AD456" s="143"/>
    </row>
    <row r="457" spans="11:30" customFormat="1" x14ac:dyDescent="0.3">
      <c r="K457" s="41"/>
      <c r="L457" s="3"/>
      <c r="N457" s="143"/>
      <c r="O457" s="143"/>
      <c r="U457" s="143"/>
      <c r="V457" s="143"/>
      <c r="W457" s="143"/>
      <c r="AB457" s="143"/>
      <c r="AC457" s="143"/>
      <c r="AD457" s="143"/>
    </row>
    <row r="458" spans="11:30" customFormat="1" x14ac:dyDescent="0.3">
      <c r="K458" s="41"/>
      <c r="L458" s="3"/>
      <c r="N458" s="143"/>
      <c r="O458" s="143"/>
      <c r="U458" s="143"/>
      <c r="V458" s="143"/>
      <c r="W458" s="143"/>
      <c r="AB458" s="143"/>
      <c r="AC458" s="143"/>
      <c r="AD458" s="143"/>
    </row>
    <row r="459" spans="11:30" customFormat="1" x14ac:dyDescent="0.3">
      <c r="K459" s="41"/>
      <c r="L459" s="3"/>
      <c r="N459" s="143"/>
      <c r="O459" s="143"/>
      <c r="U459" s="143"/>
      <c r="V459" s="143"/>
      <c r="W459" s="143"/>
      <c r="AB459" s="143"/>
      <c r="AC459" s="143"/>
      <c r="AD459" s="143"/>
    </row>
    <row r="460" spans="11:30" customFormat="1" x14ac:dyDescent="0.3">
      <c r="K460" s="41"/>
      <c r="L460" s="3"/>
      <c r="N460" s="143"/>
      <c r="O460" s="143"/>
      <c r="U460" s="143"/>
      <c r="V460" s="143"/>
      <c r="W460" s="143"/>
      <c r="AB460" s="143"/>
      <c r="AC460" s="143"/>
      <c r="AD460" s="143"/>
    </row>
    <row r="461" spans="11:30" customFormat="1" x14ac:dyDescent="0.3">
      <c r="K461" s="41"/>
      <c r="L461" s="3"/>
      <c r="N461" s="143"/>
      <c r="O461" s="143"/>
      <c r="U461" s="143"/>
      <c r="V461" s="143"/>
      <c r="W461" s="143"/>
      <c r="AB461" s="143"/>
      <c r="AC461" s="143"/>
      <c r="AD461" s="143"/>
    </row>
    <row r="462" spans="11:30" customFormat="1" x14ac:dyDescent="0.3">
      <c r="K462" s="41"/>
      <c r="L462" s="3"/>
      <c r="N462" s="143"/>
      <c r="O462" s="143"/>
      <c r="U462" s="143"/>
      <c r="V462" s="143"/>
      <c r="W462" s="143"/>
      <c r="AB462" s="143"/>
      <c r="AC462" s="143"/>
      <c r="AD462" s="143"/>
    </row>
    <row r="463" spans="11:30" customFormat="1" x14ac:dyDescent="0.3">
      <c r="K463" s="41"/>
      <c r="L463" s="3"/>
      <c r="N463" s="143"/>
      <c r="O463" s="143"/>
      <c r="U463" s="143"/>
      <c r="V463" s="143"/>
      <c r="W463" s="143"/>
      <c r="AB463" s="143"/>
      <c r="AC463" s="143"/>
      <c r="AD463" s="143"/>
    </row>
    <row r="464" spans="11:30" customFormat="1" x14ac:dyDescent="0.3">
      <c r="K464" s="41"/>
      <c r="L464" s="3"/>
      <c r="N464" s="143"/>
      <c r="O464" s="143"/>
      <c r="U464" s="143"/>
      <c r="V464" s="143"/>
      <c r="W464" s="143"/>
      <c r="AB464" s="143"/>
      <c r="AC464" s="143"/>
      <c r="AD464" s="143"/>
    </row>
    <row r="465" spans="11:30" customFormat="1" x14ac:dyDescent="0.3">
      <c r="K465" s="41"/>
      <c r="L465" s="3"/>
      <c r="N465" s="143"/>
      <c r="O465" s="143"/>
      <c r="U465" s="143"/>
      <c r="V465" s="143"/>
      <c r="W465" s="143"/>
      <c r="AB465" s="143"/>
      <c r="AC465" s="143"/>
      <c r="AD465" s="143"/>
    </row>
    <row r="466" spans="11:30" customFormat="1" x14ac:dyDescent="0.3">
      <c r="K466" s="41"/>
      <c r="L466" s="3"/>
      <c r="N466" s="143"/>
      <c r="O466" s="143"/>
      <c r="U466" s="143"/>
      <c r="V466" s="143"/>
      <c r="W466" s="143"/>
      <c r="AB466" s="143"/>
      <c r="AC466" s="143"/>
      <c r="AD466" s="143"/>
    </row>
    <row r="467" spans="11:30" customFormat="1" x14ac:dyDescent="0.3">
      <c r="K467" s="41"/>
      <c r="L467" s="3"/>
      <c r="N467" s="143"/>
      <c r="O467" s="143"/>
      <c r="U467" s="143"/>
      <c r="V467" s="143"/>
      <c r="W467" s="143"/>
      <c r="AB467" s="143"/>
      <c r="AC467" s="143"/>
      <c r="AD467" s="143"/>
    </row>
    <row r="468" spans="11:30" customFormat="1" x14ac:dyDescent="0.3">
      <c r="K468" s="41"/>
      <c r="L468" s="3"/>
      <c r="N468" s="143"/>
      <c r="O468" s="143"/>
      <c r="U468" s="143"/>
      <c r="V468" s="143"/>
      <c r="W468" s="143"/>
      <c r="AB468" s="143"/>
      <c r="AC468" s="143"/>
      <c r="AD468" s="143"/>
    </row>
    <row r="469" spans="11:30" customFormat="1" x14ac:dyDescent="0.3">
      <c r="K469" s="41"/>
      <c r="L469" s="3"/>
      <c r="N469" s="143"/>
      <c r="O469" s="143"/>
      <c r="U469" s="143"/>
      <c r="V469" s="143"/>
      <c r="W469" s="143"/>
      <c r="AB469" s="143"/>
      <c r="AC469" s="143"/>
      <c r="AD469" s="143"/>
    </row>
    <row r="470" spans="11:30" customFormat="1" x14ac:dyDescent="0.3">
      <c r="K470" s="41"/>
      <c r="L470" s="3"/>
      <c r="N470" s="143"/>
      <c r="O470" s="143"/>
      <c r="U470" s="143"/>
      <c r="V470" s="143"/>
      <c r="W470" s="143"/>
      <c r="AB470" s="143"/>
      <c r="AC470" s="143"/>
      <c r="AD470" s="143"/>
    </row>
    <row r="471" spans="11:30" customFormat="1" x14ac:dyDescent="0.3">
      <c r="K471" s="41"/>
      <c r="L471" s="3"/>
      <c r="N471" s="143"/>
      <c r="O471" s="143"/>
      <c r="U471" s="143"/>
      <c r="V471" s="143"/>
      <c r="W471" s="143"/>
      <c r="AB471" s="143"/>
      <c r="AC471" s="143"/>
      <c r="AD471" s="143"/>
    </row>
    <row r="472" spans="11:30" customFormat="1" x14ac:dyDescent="0.3">
      <c r="K472" s="41"/>
      <c r="L472" s="3"/>
      <c r="N472" s="143"/>
      <c r="O472" s="143"/>
      <c r="U472" s="143"/>
      <c r="V472" s="143"/>
      <c r="W472" s="143"/>
      <c r="AB472" s="143"/>
      <c r="AC472" s="143"/>
      <c r="AD472" s="143"/>
    </row>
    <row r="473" spans="11:30" customFormat="1" x14ac:dyDescent="0.3">
      <c r="K473" s="41"/>
      <c r="L473" s="3"/>
      <c r="N473" s="143"/>
      <c r="O473" s="143"/>
      <c r="U473" s="143"/>
      <c r="V473" s="143"/>
      <c r="W473" s="143"/>
      <c r="AB473" s="143"/>
      <c r="AC473" s="143"/>
      <c r="AD473" s="143"/>
    </row>
    <row r="474" spans="11:30" customFormat="1" x14ac:dyDescent="0.3">
      <c r="K474" s="41"/>
      <c r="L474" s="3"/>
      <c r="N474" s="143"/>
      <c r="O474" s="143"/>
      <c r="U474" s="143"/>
      <c r="V474" s="143"/>
      <c r="W474" s="143"/>
      <c r="AB474" s="143"/>
      <c r="AC474" s="143"/>
      <c r="AD474" s="143"/>
    </row>
    <row r="475" spans="11:30" customFormat="1" x14ac:dyDescent="0.3">
      <c r="K475" s="41"/>
      <c r="L475" s="3"/>
      <c r="N475" s="143"/>
      <c r="O475" s="143"/>
      <c r="U475" s="143"/>
      <c r="V475" s="143"/>
      <c r="W475" s="143"/>
      <c r="AB475" s="143"/>
      <c r="AC475" s="143"/>
      <c r="AD475" s="143"/>
    </row>
    <row r="476" spans="11:30" customFormat="1" x14ac:dyDescent="0.3">
      <c r="K476" s="41"/>
      <c r="L476" s="3"/>
      <c r="N476" s="143"/>
      <c r="O476" s="143"/>
      <c r="U476" s="143"/>
      <c r="V476" s="143"/>
      <c r="W476" s="143"/>
      <c r="AB476" s="143"/>
      <c r="AC476" s="143"/>
      <c r="AD476" s="143"/>
    </row>
    <row r="477" spans="11:30" customFormat="1" x14ac:dyDescent="0.3">
      <c r="K477" s="41"/>
      <c r="L477" s="3"/>
      <c r="N477" s="143"/>
      <c r="O477" s="143"/>
      <c r="U477" s="143"/>
      <c r="V477" s="143"/>
      <c r="W477" s="143"/>
      <c r="AB477" s="143"/>
      <c r="AC477" s="143"/>
      <c r="AD477" s="143"/>
    </row>
    <row r="478" spans="11:30" customFormat="1" x14ac:dyDescent="0.3">
      <c r="K478" s="41"/>
      <c r="L478" s="3"/>
      <c r="N478" s="143"/>
      <c r="O478" s="143"/>
      <c r="U478" s="143"/>
      <c r="V478" s="143"/>
      <c r="W478" s="143"/>
      <c r="AB478" s="143"/>
      <c r="AC478" s="143"/>
      <c r="AD478" s="143"/>
    </row>
    <row r="479" spans="11:30" customFormat="1" x14ac:dyDescent="0.3">
      <c r="K479" s="41"/>
      <c r="L479" s="3"/>
      <c r="N479" s="143"/>
      <c r="O479" s="143"/>
      <c r="U479" s="143"/>
      <c r="V479" s="143"/>
      <c r="W479" s="143"/>
      <c r="AB479" s="143"/>
      <c r="AC479" s="143"/>
      <c r="AD479" s="143"/>
    </row>
    <row r="480" spans="11:30" customFormat="1" x14ac:dyDescent="0.3">
      <c r="K480" s="41"/>
      <c r="L480" s="3"/>
      <c r="N480" s="143"/>
      <c r="O480" s="143"/>
      <c r="U480" s="143"/>
      <c r="V480" s="143"/>
      <c r="W480" s="143"/>
      <c r="AB480" s="143"/>
      <c r="AC480" s="143"/>
      <c r="AD480" s="143"/>
    </row>
    <row r="481" spans="11:30" customFormat="1" x14ac:dyDescent="0.3">
      <c r="K481" s="41"/>
      <c r="L481" s="3"/>
      <c r="N481" s="143"/>
      <c r="O481" s="143"/>
      <c r="U481" s="143"/>
      <c r="V481" s="143"/>
      <c r="W481" s="143"/>
      <c r="AB481" s="143"/>
      <c r="AC481" s="143"/>
      <c r="AD481" s="143"/>
    </row>
    <row r="482" spans="11:30" customFormat="1" x14ac:dyDescent="0.3">
      <c r="K482" s="41"/>
      <c r="L482" s="3"/>
      <c r="N482" s="143"/>
      <c r="O482" s="143"/>
      <c r="U482" s="143"/>
      <c r="V482" s="143"/>
      <c r="W482" s="143"/>
      <c r="AB482" s="143"/>
      <c r="AC482" s="143"/>
      <c r="AD482" s="143"/>
    </row>
    <row r="483" spans="11:30" customFormat="1" x14ac:dyDescent="0.3">
      <c r="K483" s="41"/>
      <c r="L483" s="3"/>
      <c r="N483" s="143"/>
      <c r="O483" s="143"/>
      <c r="U483" s="143"/>
      <c r="V483" s="143"/>
      <c r="W483" s="143"/>
      <c r="AB483" s="143"/>
      <c r="AC483" s="143"/>
      <c r="AD483" s="143"/>
    </row>
    <row r="484" spans="11:30" customFormat="1" x14ac:dyDescent="0.3">
      <c r="K484" s="41"/>
      <c r="L484" s="3"/>
      <c r="N484" s="143"/>
      <c r="O484" s="143"/>
      <c r="U484" s="143"/>
      <c r="V484" s="143"/>
      <c r="W484" s="143"/>
      <c r="AB484" s="143"/>
      <c r="AC484" s="143"/>
      <c r="AD484" s="143"/>
    </row>
    <row r="485" spans="11:30" customFormat="1" x14ac:dyDescent="0.3">
      <c r="K485" s="41"/>
      <c r="L485" s="3"/>
      <c r="N485" s="143"/>
      <c r="O485" s="143"/>
      <c r="U485" s="143"/>
      <c r="V485" s="143"/>
      <c r="W485" s="143"/>
      <c r="AB485" s="143"/>
      <c r="AC485" s="143"/>
      <c r="AD485" s="143"/>
    </row>
    <row r="486" spans="11:30" customFormat="1" x14ac:dyDescent="0.3">
      <c r="K486" s="41"/>
      <c r="L486" s="3"/>
      <c r="N486" s="143"/>
      <c r="O486" s="143"/>
      <c r="U486" s="143"/>
      <c r="V486" s="143"/>
      <c r="W486" s="143"/>
      <c r="AB486" s="143"/>
      <c r="AC486" s="143"/>
      <c r="AD486" s="143"/>
    </row>
    <row r="487" spans="11:30" customFormat="1" x14ac:dyDescent="0.3">
      <c r="K487" s="41"/>
      <c r="L487" s="3"/>
      <c r="N487" s="143"/>
      <c r="O487" s="143"/>
      <c r="U487" s="143"/>
      <c r="V487" s="143"/>
      <c r="W487" s="143"/>
      <c r="AB487" s="143"/>
      <c r="AC487" s="143"/>
      <c r="AD487" s="143"/>
    </row>
    <row r="488" spans="11:30" customFormat="1" x14ac:dyDescent="0.3">
      <c r="K488" s="41"/>
      <c r="L488" s="3"/>
      <c r="N488" s="143"/>
      <c r="O488" s="143"/>
      <c r="U488" s="143"/>
      <c r="V488" s="143"/>
      <c r="W488" s="143"/>
      <c r="AB488" s="143"/>
      <c r="AC488" s="143"/>
      <c r="AD488" s="143"/>
    </row>
    <row r="489" spans="11:30" customFormat="1" x14ac:dyDescent="0.3">
      <c r="K489" s="41"/>
      <c r="L489" s="3"/>
      <c r="N489" s="143"/>
      <c r="O489" s="143"/>
      <c r="U489" s="143"/>
      <c r="V489" s="143"/>
      <c r="W489" s="143"/>
      <c r="AB489" s="143"/>
      <c r="AC489" s="143"/>
      <c r="AD489" s="143"/>
    </row>
    <row r="490" spans="11:30" customFormat="1" x14ac:dyDescent="0.3">
      <c r="K490" s="41"/>
      <c r="L490" s="3"/>
      <c r="N490" s="143"/>
      <c r="O490" s="143"/>
      <c r="U490" s="143"/>
      <c r="V490" s="143"/>
      <c r="W490" s="143"/>
      <c r="AB490" s="143"/>
      <c r="AC490" s="143"/>
      <c r="AD490" s="143"/>
    </row>
    <row r="491" spans="11:30" customFormat="1" x14ac:dyDescent="0.3">
      <c r="K491" s="41"/>
      <c r="L491" s="3"/>
      <c r="N491" s="143"/>
      <c r="O491" s="143"/>
      <c r="U491" s="143"/>
      <c r="V491" s="143"/>
      <c r="W491" s="143"/>
      <c r="AB491" s="143"/>
      <c r="AC491" s="143"/>
      <c r="AD491" s="143"/>
    </row>
    <row r="492" spans="11:30" customFormat="1" x14ac:dyDescent="0.3">
      <c r="K492" s="41"/>
      <c r="L492" s="3"/>
      <c r="N492" s="143"/>
      <c r="O492" s="143"/>
      <c r="U492" s="143"/>
      <c r="V492" s="143"/>
      <c r="W492" s="143"/>
      <c r="AB492" s="143"/>
      <c r="AC492" s="143"/>
      <c r="AD492" s="143"/>
    </row>
    <row r="493" spans="11:30" customFormat="1" x14ac:dyDescent="0.3">
      <c r="K493" s="41"/>
      <c r="L493" s="3"/>
      <c r="N493" s="143"/>
      <c r="O493" s="143"/>
      <c r="U493" s="143"/>
      <c r="V493" s="143"/>
      <c r="W493" s="143"/>
      <c r="AB493" s="143"/>
      <c r="AC493" s="143"/>
      <c r="AD493" s="143"/>
    </row>
    <row r="494" spans="11:30" customFormat="1" x14ac:dyDescent="0.3">
      <c r="K494" s="41"/>
      <c r="L494" s="3"/>
      <c r="N494" s="143"/>
      <c r="O494" s="143"/>
      <c r="U494" s="143"/>
      <c r="V494" s="143"/>
      <c r="W494" s="143"/>
      <c r="AB494" s="143"/>
      <c r="AC494" s="143"/>
      <c r="AD494" s="143"/>
    </row>
    <row r="495" spans="11:30" customFormat="1" x14ac:dyDescent="0.3">
      <c r="K495" s="41"/>
      <c r="L495" s="3"/>
      <c r="N495" s="143"/>
      <c r="O495" s="143"/>
      <c r="U495" s="143"/>
      <c r="V495" s="143"/>
      <c r="W495" s="143"/>
      <c r="AB495" s="143"/>
      <c r="AC495" s="143"/>
      <c r="AD495" s="143"/>
    </row>
    <row r="496" spans="11:30" customFormat="1" x14ac:dyDescent="0.3">
      <c r="K496" s="41"/>
      <c r="L496" s="3"/>
      <c r="N496" s="143"/>
      <c r="O496" s="143"/>
      <c r="U496" s="143"/>
      <c r="V496" s="143"/>
      <c r="W496" s="143"/>
      <c r="AB496" s="143"/>
      <c r="AC496" s="143"/>
      <c r="AD496" s="143"/>
    </row>
    <row r="497" spans="11:30" customFormat="1" x14ac:dyDescent="0.3">
      <c r="K497" s="41"/>
      <c r="L497" s="3"/>
      <c r="N497" s="143"/>
      <c r="O497" s="143"/>
      <c r="U497" s="143"/>
      <c r="V497" s="143"/>
      <c r="W497" s="143"/>
      <c r="AB497" s="143"/>
      <c r="AC497" s="143"/>
      <c r="AD497" s="143"/>
    </row>
    <row r="498" spans="11:30" customFormat="1" x14ac:dyDescent="0.3">
      <c r="K498" s="41"/>
      <c r="L498" s="3"/>
      <c r="N498" s="143"/>
      <c r="O498" s="143"/>
      <c r="U498" s="143"/>
      <c r="V498" s="143"/>
      <c r="W498" s="143"/>
      <c r="AB498" s="143"/>
      <c r="AC498" s="143"/>
      <c r="AD498" s="143"/>
    </row>
    <row r="499" spans="11:30" customFormat="1" x14ac:dyDescent="0.3">
      <c r="K499" s="41"/>
      <c r="L499" s="3"/>
      <c r="N499" s="143"/>
      <c r="O499" s="143"/>
      <c r="U499" s="143"/>
      <c r="V499" s="143"/>
      <c r="W499" s="143"/>
      <c r="AB499" s="143"/>
      <c r="AC499" s="143"/>
      <c r="AD499" s="143"/>
    </row>
    <row r="500" spans="11:30" customFormat="1" x14ac:dyDescent="0.3">
      <c r="K500" s="41"/>
      <c r="L500" s="3"/>
      <c r="N500" s="143"/>
      <c r="O500" s="143"/>
      <c r="U500" s="143"/>
      <c r="V500" s="143"/>
      <c r="W500" s="143"/>
      <c r="AB500" s="143"/>
      <c r="AC500" s="143"/>
      <c r="AD500" s="143"/>
    </row>
    <row r="501" spans="11:30" customFormat="1" x14ac:dyDescent="0.3">
      <c r="K501" s="41"/>
      <c r="L501" s="3"/>
      <c r="N501" s="143"/>
      <c r="O501" s="143"/>
      <c r="U501" s="143"/>
      <c r="V501" s="143"/>
      <c r="W501" s="143"/>
      <c r="AB501" s="143"/>
      <c r="AC501" s="143"/>
      <c r="AD501" s="143"/>
    </row>
    <row r="502" spans="11:30" customFormat="1" x14ac:dyDescent="0.3">
      <c r="K502" s="41"/>
      <c r="L502" s="3"/>
      <c r="N502" s="143"/>
      <c r="O502" s="143"/>
      <c r="U502" s="143"/>
      <c r="V502" s="143"/>
      <c r="W502" s="143"/>
      <c r="AB502" s="143"/>
      <c r="AC502" s="143"/>
      <c r="AD502" s="143"/>
    </row>
    <row r="503" spans="11:30" customFormat="1" x14ac:dyDescent="0.3">
      <c r="K503" s="41"/>
      <c r="L503" s="3"/>
      <c r="N503" s="143"/>
      <c r="O503" s="143"/>
      <c r="U503" s="143"/>
      <c r="V503" s="143"/>
      <c r="W503" s="143"/>
      <c r="AB503" s="143"/>
      <c r="AC503" s="143"/>
      <c r="AD503" s="143"/>
    </row>
    <row r="504" spans="11:30" customFormat="1" x14ac:dyDescent="0.3">
      <c r="K504" s="41"/>
      <c r="L504" s="3"/>
      <c r="N504" s="143"/>
      <c r="O504" s="143"/>
      <c r="U504" s="143"/>
      <c r="V504" s="143"/>
      <c r="W504" s="143"/>
      <c r="AB504" s="143"/>
      <c r="AC504" s="143"/>
      <c r="AD504" s="143"/>
    </row>
    <row r="505" spans="11:30" customFormat="1" x14ac:dyDescent="0.3">
      <c r="K505" s="41"/>
      <c r="L505" s="3"/>
      <c r="N505" s="143"/>
      <c r="O505" s="143"/>
      <c r="U505" s="143"/>
      <c r="V505" s="143"/>
      <c r="W505" s="143"/>
      <c r="AB505" s="143"/>
      <c r="AC505" s="143"/>
      <c r="AD505" s="143"/>
    </row>
    <row r="506" spans="11:30" customFormat="1" x14ac:dyDescent="0.3">
      <c r="K506" s="41"/>
      <c r="L506" s="3"/>
      <c r="N506" s="143"/>
      <c r="O506" s="143"/>
      <c r="U506" s="143"/>
      <c r="V506" s="143"/>
      <c r="W506" s="143"/>
      <c r="AB506" s="143"/>
      <c r="AC506" s="143"/>
      <c r="AD506" s="143"/>
    </row>
    <row r="507" spans="11:30" customFormat="1" x14ac:dyDescent="0.3">
      <c r="K507" s="41"/>
      <c r="L507" s="3"/>
      <c r="N507" s="143"/>
      <c r="O507" s="143"/>
      <c r="U507" s="143"/>
      <c r="V507" s="143"/>
      <c r="W507" s="143"/>
      <c r="AB507" s="143"/>
      <c r="AC507" s="143"/>
      <c r="AD507" s="143"/>
    </row>
    <row r="508" spans="11:30" customFormat="1" x14ac:dyDescent="0.3">
      <c r="K508" s="41"/>
      <c r="L508" s="3"/>
      <c r="N508" s="143"/>
      <c r="O508" s="143"/>
      <c r="U508" s="143"/>
      <c r="V508" s="143"/>
      <c r="W508" s="143"/>
      <c r="AB508" s="143"/>
      <c r="AC508" s="143"/>
      <c r="AD508" s="143"/>
    </row>
    <row r="509" spans="11:30" customFormat="1" x14ac:dyDescent="0.3">
      <c r="K509" s="41"/>
      <c r="L509" s="3"/>
      <c r="N509" s="143"/>
      <c r="O509" s="143"/>
      <c r="U509" s="143"/>
      <c r="V509" s="143"/>
      <c r="W509" s="143"/>
      <c r="AB509" s="143"/>
      <c r="AC509" s="143"/>
      <c r="AD509" s="143"/>
    </row>
    <row r="510" spans="11:30" customFormat="1" x14ac:dyDescent="0.3">
      <c r="K510" s="41"/>
      <c r="L510" s="3"/>
      <c r="N510" s="143"/>
      <c r="O510" s="143"/>
      <c r="U510" s="143"/>
      <c r="V510" s="143"/>
      <c r="W510" s="143"/>
      <c r="AB510" s="143"/>
      <c r="AC510" s="143"/>
      <c r="AD510" s="143"/>
    </row>
    <row r="511" spans="11:30" customFormat="1" x14ac:dyDescent="0.3">
      <c r="K511" s="41"/>
      <c r="L511" s="3"/>
      <c r="N511" s="143"/>
      <c r="O511" s="143"/>
      <c r="U511" s="143"/>
      <c r="V511" s="143"/>
      <c r="W511" s="143"/>
      <c r="AB511" s="143"/>
      <c r="AC511" s="143"/>
      <c r="AD511" s="143"/>
    </row>
    <row r="512" spans="11:30" customFormat="1" x14ac:dyDescent="0.3">
      <c r="K512" s="41"/>
      <c r="L512" s="3"/>
      <c r="N512" s="143"/>
      <c r="O512" s="143"/>
      <c r="U512" s="143"/>
      <c r="V512" s="143"/>
      <c r="W512" s="143"/>
      <c r="AB512" s="143"/>
      <c r="AC512" s="143"/>
      <c r="AD512" s="143"/>
    </row>
    <row r="513" spans="11:30" customFormat="1" x14ac:dyDescent="0.3">
      <c r="K513" s="41"/>
      <c r="L513" s="3"/>
      <c r="N513" s="143"/>
      <c r="O513" s="143"/>
      <c r="U513" s="143"/>
      <c r="V513" s="143"/>
      <c r="W513" s="143"/>
      <c r="AB513" s="143"/>
      <c r="AC513" s="143"/>
      <c r="AD513" s="143"/>
    </row>
    <row r="514" spans="11:30" customFormat="1" x14ac:dyDescent="0.3">
      <c r="K514" s="41"/>
      <c r="L514" s="3"/>
      <c r="N514" s="143"/>
      <c r="O514" s="143"/>
      <c r="U514" s="143"/>
      <c r="V514" s="143"/>
      <c r="W514" s="143"/>
      <c r="AB514" s="143"/>
      <c r="AC514" s="143"/>
      <c r="AD514" s="143"/>
    </row>
    <row r="515" spans="11:30" customFormat="1" x14ac:dyDescent="0.3">
      <c r="K515" s="41"/>
      <c r="L515" s="3"/>
      <c r="N515" s="143"/>
      <c r="O515" s="143"/>
      <c r="U515" s="143"/>
      <c r="V515" s="143"/>
      <c r="W515" s="143"/>
      <c r="AB515" s="143"/>
      <c r="AC515" s="143"/>
      <c r="AD515" s="143"/>
    </row>
    <row r="516" spans="11:30" customFormat="1" x14ac:dyDescent="0.3">
      <c r="K516" s="41"/>
      <c r="L516" s="3"/>
      <c r="N516" s="143"/>
      <c r="O516" s="143"/>
      <c r="U516" s="143"/>
      <c r="V516" s="143"/>
      <c r="W516" s="143"/>
      <c r="AB516" s="143"/>
      <c r="AC516" s="143"/>
      <c r="AD516" s="143"/>
    </row>
    <row r="517" spans="11:30" customFormat="1" x14ac:dyDescent="0.3">
      <c r="K517" s="41"/>
      <c r="L517" s="3"/>
      <c r="N517" s="143"/>
      <c r="O517" s="143"/>
      <c r="U517" s="143"/>
      <c r="V517" s="143"/>
      <c r="W517" s="143"/>
      <c r="AB517" s="143"/>
      <c r="AC517" s="143"/>
      <c r="AD517" s="143"/>
    </row>
    <row r="518" spans="11:30" customFormat="1" x14ac:dyDescent="0.3">
      <c r="K518" s="41"/>
      <c r="L518" s="3"/>
      <c r="N518" s="143"/>
      <c r="O518" s="143"/>
      <c r="U518" s="143"/>
      <c r="V518" s="143"/>
      <c r="W518" s="143"/>
      <c r="AB518" s="143"/>
      <c r="AC518" s="143"/>
      <c r="AD518" s="143"/>
    </row>
    <row r="519" spans="11:30" customFormat="1" x14ac:dyDescent="0.3">
      <c r="K519" s="41"/>
      <c r="L519" s="3"/>
      <c r="N519" s="143"/>
      <c r="O519" s="143"/>
      <c r="U519" s="143"/>
      <c r="V519" s="143"/>
      <c r="W519" s="143"/>
      <c r="AB519" s="143"/>
      <c r="AC519" s="143"/>
      <c r="AD519" s="143"/>
    </row>
    <row r="520" spans="11:30" customFormat="1" x14ac:dyDescent="0.3">
      <c r="K520" s="41"/>
      <c r="L520" s="3"/>
      <c r="N520" s="143"/>
      <c r="O520" s="143"/>
      <c r="U520" s="143"/>
      <c r="V520" s="143"/>
      <c r="W520" s="143"/>
      <c r="AB520" s="143"/>
      <c r="AC520" s="143"/>
      <c r="AD520" s="143"/>
    </row>
    <row r="521" spans="11:30" customFormat="1" x14ac:dyDescent="0.3">
      <c r="K521" s="41"/>
      <c r="L521" s="3"/>
      <c r="N521" s="143"/>
      <c r="O521" s="143"/>
      <c r="U521" s="143"/>
      <c r="V521" s="143"/>
      <c r="W521" s="143"/>
      <c r="AB521" s="143"/>
      <c r="AC521" s="143"/>
      <c r="AD521" s="143"/>
    </row>
    <row r="522" spans="11:30" customFormat="1" x14ac:dyDescent="0.3">
      <c r="K522" s="41"/>
      <c r="L522" s="3"/>
      <c r="N522" s="143"/>
      <c r="O522" s="143"/>
      <c r="U522" s="143"/>
      <c r="V522" s="143"/>
      <c r="W522" s="143"/>
      <c r="AB522" s="143"/>
      <c r="AC522" s="143"/>
      <c r="AD522" s="143"/>
    </row>
    <row r="523" spans="11:30" customFormat="1" x14ac:dyDescent="0.3">
      <c r="K523" s="41"/>
      <c r="L523" s="3"/>
      <c r="N523" s="143"/>
      <c r="O523" s="143"/>
      <c r="U523" s="143"/>
      <c r="V523" s="143"/>
      <c r="W523" s="143"/>
      <c r="AB523" s="143"/>
      <c r="AC523" s="143"/>
      <c r="AD523" s="143"/>
    </row>
    <row r="524" spans="11:30" customFormat="1" x14ac:dyDescent="0.3">
      <c r="K524" s="41"/>
      <c r="L524" s="3"/>
      <c r="N524" s="143"/>
      <c r="O524" s="143"/>
      <c r="U524" s="143"/>
      <c r="V524" s="143"/>
      <c r="W524" s="143"/>
      <c r="AB524" s="143"/>
      <c r="AC524" s="143"/>
      <c r="AD524" s="143"/>
    </row>
    <row r="525" spans="11:30" customFormat="1" x14ac:dyDescent="0.3">
      <c r="K525" s="41"/>
      <c r="L525" s="3"/>
      <c r="N525" s="143"/>
      <c r="O525" s="143"/>
      <c r="U525" s="143"/>
      <c r="V525" s="143"/>
      <c r="W525" s="143"/>
      <c r="AB525" s="143"/>
      <c r="AC525" s="143"/>
      <c r="AD525" s="143"/>
    </row>
    <row r="526" spans="11:30" customFormat="1" x14ac:dyDescent="0.3">
      <c r="K526" s="41"/>
      <c r="L526" s="3"/>
      <c r="N526" s="143"/>
      <c r="O526" s="143"/>
      <c r="U526" s="143"/>
      <c r="V526" s="143"/>
      <c r="W526" s="143"/>
      <c r="AB526" s="143"/>
      <c r="AC526" s="143"/>
      <c r="AD526" s="143"/>
    </row>
    <row r="527" spans="11:30" customFormat="1" x14ac:dyDescent="0.3">
      <c r="K527" s="41"/>
      <c r="L527" s="3"/>
      <c r="N527" s="143"/>
      <c r="O527" s="143"/>
      <c r="U527" s="143"/>
      <c r="V527" s="143"/>
      <c r="W527" s="143"/>
      <c r="AB527" s="143"/>
      <c r="AC527" s="143"/>
      <c r="AD527" s="143"/>
    </row>
    <row r="528" spans="11:30" customFormat="1" x14ac:dyDescent="0.3">
      <c r="K528" s="41"/>
      <c r="L528" s="3"/>
      <c r="N528" s="143"/>
      <c r="O528" s="143"/>
      <c r="U528" s="143"/>
      <c r="V528" s="143"/>
      <c r="W528" s="143"/>
      <c r="AB528" s="143"/>
      <c r="AC528" s="143"/>
      <c r="AD528" s="143"/>
    </row>
    <row r="529" spans="11:30" customFormat="1" x14ac:dyDescent="0.3">
      <c r="K529" s="41"/>
      <c r="L529" s="3"/>
      <c r="N529" s="143"/>
      <c r="O529" s="143"/>
      <c r="U529" s="143"/>
      <c r="V529" s="143"/>
      <c r="W529" s="143"/>
      <c r="AB529" s="143"/>
      <c r="AC529" s="143"/>
      <c r="AD529" s="143"/>
    </row>
    <row r="530" spans="11:30" customFormat="1" x14ac:dyDescent="0.3">
      <c r="K530" s="41"/>
      <c r="L530" s="3"/>
      <c r="N530" s="143"/>
      <c r="O530" s="143"/>
      <c r="U530" s="143"/>
      <c r="V530" s="143"/>
      <c r="W530" s="143"/>
      <c r="AB530" s="143"/>
      <c r="AC530" s="143"/>
      <c r="AD530" s="143"/>
    </row>
    <row r="531" spans="11:30" customFormat="1" x14ac:dyDescent="0.3">
      <c r="K531" s="41"/>
      <c r="L531" s="3"/>
      <c r="N531" s="143"/>
      <c r="O531" s="143"/>
      <c r="U531" s="143"/>
      <c r="V531" s="143"/>
      <c r="W531" s="143"/>
      <c r="AB531" s="143"/>
      <c r="AC531" s="143"/>
      <c r="AD531" s="143"/>
    </row>
    <row r="532" spans="11:30" customFormat="1" x14ac:dyDescent="0.3">
      <c r="K532" s="41"/>
      <c r="L532" s="3"/>
      <c r="N532" s="143"/>
      <c r="O532" s="143"/>
      <c r="U532" s="143"/>
      <c r="V532" s="143"/>
      <c r="W532" s="143"/>
      <c r="AB532" s="143"/>
      <c r="AC532" s="143"/>
      <c r="AD532" s="143"/>
    </row>
    <row r="533" spans="11:30" customFormat="1" x14ac:dyDescent="0.3">
      <c r="K533" s="41"/>
      <c r="L533" s="3"/>
      <c r="N533" s="143"/>
      <c r="O533" s="143"/>
      <c r="U533" s="143"/>
      <c r="V533" s="143"/>
      <c r="W533" s="143"/>
      <c r="AB533" s="143"/>
      <c r="AC533" s="143"/>
      <c r="AD533" s="143"/>
    </row>
    <row r="534" spans="11:30" customFormat="1" x14ac:dyDescent="0.3">
      <c r="K534" s="41"/>
      <c r="L534" s="3"/>
      <c r="N534" s="143"/>
      <c r="O534" s="143"/>
      <c r="U534" s="143"/>
      <c r="V534" s="143"/>
      <c r="W534" s="143"/>
      <c r="AB534" s="143"/>
      <c r="AC534" s="143"/>
      <c r="AD534" s="143"/>
    </row>
    <row r="535" spans="11:30" customFormat="1" x14ac:dyDescent="0.3">
      <c r="K535" s="41"/>
      <c r="L535" s="3"/>
      <c r="N535" s="143"/>
      <c r="O535" s="143"/>
      <c r="U535" s="143"/>
      <c r="V535" s="143"/>
      <c r="W535" s="143"/>
      <c r="AB535" s="143"/>
      <c r="AC535" s="143"/>
      <c r="AD535" s="143"/>
    </row>
    <row r="536" spans="11:30" customFormat="1" x14ac:dyDescent="0.3">
      <c r="K536" s="41"/>
      <c r="L536" s="3"/>
      <c r="N536" s="143"/>
      <c r="O536" s="143"/>
      <c r="U536" s="143"/>
      <c r="V536" s="143"/>
      <c r="W536" s="143"/>
      <c r="AB536" s="143"/>
      <c r="AC536" s="143"/>
      <c r="AD536" s="143"/>
    </row>
    <row r="537" spans="11:30" customFormat="1" x14ac:dyDescent="0.3">
      <c r="K537" s="41"/>
      <c r="L537" s="3"/>
      <c r="N537" s="143"/>
      <c r="O537" s="143"/>
      <c r="U537" s="143"/>
      <c r="V537" s="143"/>
      <c r="W537" s="143"/>
      <c r="AB537" s="143"/>
      <c r="AC537" s="143"/>
      <c r="AD537" s="143"/>
    </row>
    <row r="538" spans="11:30" customFormat="1" x14ac:dyDescent="0.3">
      <c r="K538" s="41"/>
      <c r="L538" s="3"/>
      <c r="N538" s="143"/>
      <c r="O538" s="143"/>
      <c r="U538" s="143"/>
      <c r="V538" s="143"/>
      <c r="W538" s="143"/>
      <c r="AB538" s="143"/>
      <c r="AC538" s="143"/>
      <c r="AD538" s="143"/>
    </row>
    <row r="539" spans="11:30" customFormat="1" x14ac:dyDescent="0.3">
      <c r="K539" s="41"/>
      <c r="L539" s="3"/>
      <c r="N539" s="143"/>
      <c r="O539" s="143"/>
      <c r="U539" s="143"/>
      <c r="V539" s="143"/>
      <c r="W539" s="143"/>
      <c r="AB539" s="143"/>
      <c r="AC539" s="143"/>
      <c r="AD539" s="143"/>
    </row>
    <row r="540" spans="11:30" customFormat="1" x14ac:dyDescent="0.3">
      <c r="K540" s="41"/>
      <c r="L540" s="3"/>
      <c r="N540" s="143"/>
      <c r="O540" s="143"/>
      <c r="U540" s="143"/>
      <c r="V540" s="143"/>
      <c r="W540" s="143"/>
      <c r="AB540" s="143"/>
      <c r="AC540" s="143"/>
      <c r="AD540" s="143"/>
    </row>
    <row r="541" spans="11:30" customFormat="1" x14ac:dyDescent="0.3">
      <c r="K541" s="41"/>
      <c r="L541" s="3"/>
      <c r="N541" s="143"/>
      <c r="O541" s="143"/>
      <c r="U541" s="143"/>
      <c r="V541" s="143"/>
      <c r="W541" s="143"/>
      <c r="AB541" s="143"/>
      <c r="AC541" s="143"/>
      <c r="AD541" s="143"/>
    </row>
    <row r="542" spans="11:30" customFormat="1" x14ac:dyDescent="0.3">
      <c r="K542" s="41"/>
      <c r="L542" s="3"/>
      <c r="N542" s="143"/>
      <c r="O542" s="143"/>
      <c r="U542" s="143"/>
      <c r="V542" s="143"/>
      <c r="W542" s="143"/>
      <c r="AB542" s="143"/>
      <c r="AC542" s="143"/>
      <c r="AD542" s="143"/>
    </row>
    <row r="543" spans="11:30" customFormat="1" x14ac:dyDescent="0.3">
      <c r="K543" s="41"/>
      <c r="L543" s="3"/>
      <c r="N543" s="143"/>
      <c r="O543" s="143"/>
      <c r="U543" s="143"/>
      <c r="V543" s="143"/>
      <c r="W543" s="143"/>
      <c r="AB543" s="143"/>
      <c r="AC543" s="143"/>
      <c r="AD543" s="143"/>
    </row>
    <row r="544" spans="11:30" customFormat="1" x14ac:dyDescent="0.3">
      <c r="K544" s="41"/>
      <c r="L544" s="3"/>
      <c r="N544" s="143"/>
      <c r="O544" s="143"/>
      <c r="U544" s="143"/>
      <c r="V544" s="143"/>
      <c r="W544" s="143"/>
      <c r="AB544" s="143"/>
      <c r="AC544" s="143"/>
      <c r="AD544" s="143"/>
    </row>
    <row r="545" spans="11:30" customFormat="1" x14ac:dyDescent="0.3">
      <c r="K545" s="41"/>
      <c r="L545" s="3"/>
      <c r="N545" s="143"/>
      <c r="O545" s="143"/>
      <c r="U545" s="143"/>
      <c r="V545" s="143"/>
      <c r="W545" s="143"/>
      <c r="AB545" s="143"/>
      <c r="AC545" s="143"/>
      <c r="AD545" s="143"/>
    </row>
    <row r="546" spans="11:30" customFormat="1" x14ac:dyDescent="0.3">
      <c r="K546" s="41"/>
      <c r="L546" s="3"/>
      <c r="N546" s="143"/>
      <c r="O546" s="143"/>
      <c r="U546" s="143"/>
      <c r="V546" s="143"/>
      <c r="W546" s="143"/>
      <c r="AB546" s="143"/>
      <c r="AC546" s="143"/>
      <c r="AD546" s="143"/>
    </row>
    <row r="547" spans="11:30" customFormat="1" x14ac:dyDescent="0.3">
      <c r="K547" s="41"/>
      <c r="L547" s="3"/>
      <c r="N547" s="143"/>
      <c r="O547" s="143"/>
      <c r="U547" s="143"/>
      <c r="V547" s="143"/>
      <c r="W547" s="143"/>
      <c r="AB547" s="143"/>
      <c r="AC547" s="143"/>
      <c r="AD547" s="143"/>
    </row>
    <row r="548" spans="11:30" customFormat="1" x14ac:dyDescent="0.3">
      <c r="K548" s="41"/>
      <c r="L548" s="3"/>
      <c r="N548" s="143"/>
      <c r="O548" s="143"/>
      <c r="U548" s="143"/>
      <c r="V548" s="143"/>
      <c r="W548" s="143"/>
      <c r="AB548" s="143"/>
      <c r="AC548" s="143"/>
      <c r="AD548" s="143"/>
    </row>
    <row r="549" spans="11:30" customFormat="1" x14ac:dyDescent="0.3">
      <c r="K549" s="41"/>
      <c r="L549" s="3"/>
      <c r="N549" s="143"/>
      <c r="O549" s="143"/>
      <c r="U549" s="143"/>
      <c r="V549" s="143"/>
      <c r="W549" s="143"/>
      <c r="AB549" s="143"/>
      <c r="AC549" s="143"/>
      <c r="AD549" s="143"/>
    </row>
    <row r="550" spans="11:30" customFormat="1" x14ac:dyDescent="0.3">
      <c r="K550" s="41"/>
      <c r="L550" s="3"/>
      <c r="N550" s="143"/>
      <c r="O550" s="143"/>
      <c r="U550" s="143"/>
      <c r="V550" s="143"/>
      <c r="W550" s="143"/>
      <c r="AB550" s="143"/>
      <c r="AC550" s="143"/>
      <c r="AD550" s="143"/>
    </row>
    <row r="551" spans="11:30" customFormat="1" x14ac:dyDescent="0.3">
      <c r="K551" s="41"/>
      <c r="L551" s="3"/>
      <c r="N551" s="143"/>
      <c r="O551" s="143"/>
      <c r="U551" s="143"/>
      <c r="V551" s="143"/>
      <c r="W551" s="143"/>
      <c r="AB551" s="143"/>
      <c r="AC551" s="143"/>
      <c r="AD551" s="143"/>
    </row>
    <row r="552" spans="11:30" customFormat="1" x14ac:dyDescent="0.3">
      <c r="K552" s="41"/>
      <c r="L552" s="3"/>
      <c r="N552" s="143"/>
      <c r="O552" s="143"/>
      <c r="U552" s="143"/>
      <c r="V552" s="143"/>
      <c r="W552" s="143"/>
      <c r="AB552" s="143"/>
      <c r="AC552" s="143"/>
      <c r="AD552" s="143"/>
    </row>
    <row r="553" spans="11:30" customFormat="1" x14ac:dyDescent="0.3">
      <c r="K553" s="41"/>
      <c r="L553" s="3"/>
      <c r="N553" s="143"/>
      <c r="O553" s="143"/>
      <c r="U553" s="143"/>
      <c r="V553" s="143"/>
      <c r="W553" s="143"/>
      <c r="AB553" s="143"/>
      <c r="AC553" s="143"/>
      <c r="AD553" s="143"/>
    </row>
    <row r="554" spans="11:30" customFormat="1" x14ac:dyDescent="0.3">
      <c r="K554" s="41"/>
      <c r="L554" s="3"/>
      <c r="N554" s="143"/>
      <c r="O554" s="143"/>
      <c r="U554" s="143"/>
      <c r="V554" s="143"/>
      <c r="W554" s="143"/>
      <c r="AB554" s="143"/>
      <c r="AC554" s="143"/>
      <c r="AD554" s="143"/>
    </row>
    <row r="555" spans="11:30" customFormat="1" x14ac:dyDescent="0.3">
      <c r="K555" s="41"/>
      <c r="L555" s="3"/>
      <c r="N555" s="143"/>
      <c r="O555" s="143"/>
      <c r="U555" s="143"/>
      <c r="V555" s="143"/>
      <c r="W555" s="143"/>
      <c r="AB555" s="143"/>
      <c r="AC555" s="143"/>
      <c r="AD555" s="143"/>
    </row>
    <row r="556" spans="11:30" customFormat="1" x14ac:dyDescent="0.3">
      <c r="K556" s="41"/>
      <c r="L556" s="3"/>
      <c r="N556" s="143"/>
      <c r="O556" s="143"/>
      <c r="U556" s="143"/>
      <c r="V556" s="143"/>
      <c r="W556" s="143"/>
      <c r="AB556" s="143"/>
      <c r="AC556" s="143"/>
      <c r="AD556" s="143"/>
    </row>
    <row r="557" spans="11:30" customFormat="1" x14ac:dyDescent="0.3">
      <c r="K557" s="41"/>
      <c r="L557" s="3"/>
      <c r="N557" s="143"/>
      <c r="O557" s="143"/>
      <c r="U557" s="143"/>
      <c r="V557" s="143"/>
      <c r="W557" s="143"/>
      <c r="AB557" s="143"/>
      <c r="AC557" s="143"/>
      <c r="AD557" s="143"/>
    </row>
    <row r="558" spans="11:30" customFormat="1" x14ac:dyDescent="0.3">
      <c r="K558" s="41"/>
      <c r="L558" s="3"/>
      <c r="N558" s="143"/>
      <c r="O558" s="143"/>
      <c r="U558" s="143"/>
      <c r="V558" s="143"/>
      <c r="W558" s="143"/>
      <c r="AB558" s="143"/>
      <c r="AC558" s="143"/>
      <c r="AD558" s="143"/>
    </row>
    <row r="559" spans="11:30" customFormat="1" x14ac:dyDescent="0.3">
      <c r="K559" s="41"/>
      <c r="L559" s="3"/>
      <c r="N559" s="143"/>
      <c r="O559" s="143"/>
      <c r="U559" s="143"/>
      <c r="V559" s="143"/>
      <c r="W559" s="143"/>
      <c r="AB559" s="143"/>
      <c r="AC559" s="143"/>
      <c r="AD559" s="143"/>
    </row>
    <row r="560" spans="11:30" customFormat="1" x14ac:dyDescent="0.3">
      <c r="K560" s="41"/>
      <c r="L560" s="3"/>
      <c r="N560" s="143"/>
      <c r="O560" s="143"/>
      <c r="U560" s="143"/>
      <c r="V560" s="143"/>
      <c r="W560" s="143"/>
      <c r="AB560" s="143"/>
      <c r="AC560" s="143"/>
      <c r="AD560" s="143"/>
    </row>
    <row r="561" spans="11:30" customFormat="1" x14ac:dyDescent="0.3">
      <c r="K561" s="41"/>
      <c r="L561" s="3"/>
      <c r="N561" s="143"/>
      <c r="O561" s="143"/>
      <c r="U561" s="143"/>
      <c r="V561" s="143"/>
      <c r="W561" s="143"/>
      <c r="AB561" s="143"/>
      <c r="AC561" s="143"/>
      <c r="AD561" s="143"/>
    </row>
    <row r="562" spans="11:30" customFormat="1" x14ac:dyDescent="0.3">
      <c r="K562" s="41"/>
      <c r="L562" s="3"/>
      <c r="N562" s="143"/>
      <c r="O562" s="143"/>
      <c r="U562" s="143"/>
      <c r="V562" s="143"/>
      <c r="W562" s="143"/>
      <c r="AB562" s="143"/>
      <c r="AC562" s="143"/>
      <c r="AD562" s="143"/>
    </row>
    <row r="563" spans="11:30" customFormat="1" x14ac:dyDescent="0.3">
      <c r="K563" s="41"/>
      <c r="L563" s="3"/>
      <c r="N563" s="143"/>
      <c r="O563" s="143"/>
      <c r="U563" s="143"/>
      <c r="V563" s="143"/>
      <c r="W563" s="143"/>
      <c r="AB563" s="143"/>
      <c r="AC563" s="143"/>
      <c r="AD563" s="143"/>
    </row>
    <row r="564" spans="11:30" customFormat="1" x14ac:dyDescent="0.3">
      <c r="K564" s="41"/>
      <c r="L564" s="3"/>
      <c r="N564" s="143"/>
      <c r="O564" s="143"/>
      <c r="U564" s="143"/>
      <c r="V564" s="143"/>
      <c r="W564" s="143"/>
      <c r="AB564" s="143"/>
      <c r="AC564" s="143"/>
      <c r="AD564" s="143"/>
    </row>
    <row r="565" spans="11:30" customFormat="1" x14ac:dyDescent="0.3">
      <c r="K565" s="41"/>
      <c r="L565" s="3"/>
      <c r="N565" s="143"/>
      <c r="O565" s="143"/>
      <c r="U565" s="143"/>
      <c r="V565" s="143"/>
      <c r="W565" s="143"/>
      <c r="AB565" s="143"/>
      <c r="AC565" s="143"/>
      <c r="AD565" s="143"/>
    </row>
    <row r="566" spans="11:30" customFormat="1" x14ac:dyDescent="0.3">
      <c r="K566" s="41"/>
      <c r="L566" s="3"/>
      <c r="N566" s="143"/>
      <c r="O566" s="143"/>
      <c r="U566" s="143"/>
      <c r="V566" s="143"/>
      <c r="W566" s="143"/>
      <c r="AB566" s="143"/>
      <c r="AC566" s="143"/>
      <c r="AD566" s="143"/>
    </row>
    <row r="567" spans="11:30" customFormat="1" x14ac:dyDescent="0.3">
      <c r="K567" s="41"/>
      <c r="L567" s="3"/>
      <c r="N567" s="143"/>
      <c r="O567" s="143"/>
      <c r="U567" s="143"/>
      <c r="V567" s="143"/>
      <c r="W567" s="143"/>
      <c r="AB567" s="143"/>
      <c r="AC567" s="143"/>
      <c r="AD567" s="143"/>
    </row>
    <row r="568" spans="11:30" customFormat="1" x14ac:dyDescent="0.3">
      <c r="K568" s="41"/>
      <c r="L568" s="3"/>
      <c r="N568" s="143"/>
      <c r="O568" s="143"/>
      <c r="U568" s="143"/>
      <c r="V568" s="143"/>
      <c r="W568" s="143"/>
      <c r="AB568" s="143"/>
      <c r="AC568" s="143"/>
      <c r="AD568" s="143"/>
    </row>
    <row r="569" spans="11:30" customFormat="1" x14ac:dyDescent="0.3">
      <c r="K569" s="41"/>
      <c r="L569" s="3"/>
      <c r="N569" s="143"/>
      <c r="O569" s="143"/>
      <c r="U569" s="143"/>
      <c r="V569" s="143"/>
      <c r="W569" s="143"/>
      <c r="AB569" s="143"/>
      <c r="AC569" s="143"/>
      <c r="AD569" s="143"/>
    </row>
    <row r="570" spans="11:30" customFormat="1" x14ac:dyDescent="0.3">
      <c r="K570" s="41"/>
      <c r="L570" s="3"/>
      <c r="N570" s="143"/>
      <c r="O570" s="143"/>
      <c r="U570" s="143"/>
      <c r="V570" s="143"/>
      <c r="W570" s="143"/>
      <c r="AB570" s="143"/>
      <c r="AC570" s="143"/>
      <c r="AD570" s="143"/>
    </row>
    <row r="571" spans="11:30" customFormat="1" x14ac:dyDescent="0.3">
      <c r="K571" s="41"/>
      <c r="L571" s="3"/>
      <c r="N571" s="143"/>
      <c r="O571" s="143"/>
      <c r="U571" s="143"/>
      <c r="V571" s="143"/>
      <c r="W571" s="143"/>
      <c r="AB571" s="143"/>
      <c r="AC571" s="143"/>
      <c r="AD571" s="143"/>
    </row>
    <row r="572" spans="11:30" customFormat="1" x14ac:dyDescent="0.3">
      <c r="K572" s="41"/>
      <c r="L572" s="3"/>
      <c r="N572" s="143"/>
      <c r="O572" s="143"/>
      <c r="U572" s="143"/>
      <c r="V572" s="143"/>
      <c r="W572" s="143"/>
      <c r="AB572" s="143"/>
      <c r="AC572" s="143"/>
      <c r="AD572" s="143"/>
    </row>
    <row r="573" spans="11:30" customFormat="1" x14ac:dyDescent="0.3">
      <c r="K573" s="41"/>
      <c r="L573" s="3"/>
      <c r="N573" s="143"/>
      <c r="O573" s="143"/>
      <c r="U573" s="143"/>
      <c r="V573" s="143"/>
      <c r="W573" s="143"/>
      <c r="AB573" s="143"/>
      <c r="AC573" s="143"/>
      <c r="AD573" s="143"/>
    </row>
    <row r="574" spans="11:30" customFormat="1" x14ac:dyDescent="0.3">
      <c r="K574" s="41"/>
      <c r="L574" s="3"/>
      <c r="N574" s="143"/>
      <c r="O574" s="143"/>
      <c r="U574" s="143"/>
      <c r="V574" s="143"/>
      <c r="W574" s="143"/>
      <c r="AB574" s="143"/>
      <c r="AC574" s="143"/>
      <c r="AD574" s="143"/>
    </row>
    <row r="575" spans="11:30" customFormat="1" x14ac:dyDescent="0.3">
      <c r="K575" s="41"/>
      <c r="L575" s="3"/>
      <c r="N575" s="143"/>
      <c r="O575" s="143"/>
      <c r="U575" s="143"/>
      <c r="V575" s="143"/>
      <c r="W575" s="143"/>
      <c r="AB575" s="143"/>
      <c r="AC575" s="143"/>
      <c r="AD575" s="143"/>
    </row>
    <row r="576" spans="11:30" customFormat="1" x14ac:dyDescent="0.3">
      <c r="K576" s="41"/>
      <c r="L576" s="3"/>
      <c r="N576" s="143"/>
      <c r="O576" s="143"/>
      <c r="U576" s="143"/>
      <c r="V576" s="143"/>
      <c r="W576" s="143"/>
      <c r="AB576" s="143"/>
      <c r="AC576" s="143"/>
      <c r="AD576" s="143"/>
    </row>
    <row r="577" spans="11:30" customFormat="1" x14ac:dyDescent="0.3">
      <c r="K577" s="41"/>
      <c r="L577" s="3"/>
      <c r="N577" s="143"/>
      <c r="O577" s="143"/>
      <c r="U577" s="143"/>
      <c r="V577" s="143"/>
      <c r="W577" s="143"/>
      <c r="AB577" s="143"/>
      <c r="AC577" s="143"/>
      <c r="AD577" s="143"/>
    </row>
    <row r="578" spans="11:30" customFormat="1" x14ac:dyDescent="0.3">
      <c r="K578" s="41"/>
      <c r="L578" s="3"/>
      <c r="N578" s="143"/>
      <c r="O578" s="143"/>
      <c r="U578" s="143"/>
      <c r="V578" s="143"/>
      <c r="W578" s="143"/>
      <c r="AB578" s="143"/>
      <c r="AC578" s="143"/>
      <c r="AD578" s="143"/>
    </row>
    <row r="579" spans="11:30" customFormat="1" x14ac:dyDescent="0.3">
      <c r="K579" s="41"/>
      <c r="L579" s="3"/>
      <c r="N579" s="143"/>
      <c r="O579" s="143"/>
      <c r="U579" s="143"/>
      <c r="V579" s="143"/>
      <c r="W579" s="143"/>
      <c r="AB579" s="143"/>
      <c r="AC579" s="143"/>
      <c r="AD579" s="143"/>
    </row>
    <row r="580" spans="11:30" customFormat="1" x14ac:dyDescent="0.3">
      <c r="K580" s="41"/>
      <c r="L580" s="3"/>
      <c r="N580" s="143"/>
      <c r="O580" s="143"/>
      <c r="U580" s="143"/>
      <c r="V580" s="143"/>
      <c r="W580" s="143"/>
      <c r="AB580" s="143"/>
      <c r="AC580" s="143"/>
      <c r="AD580" s="143"/>
    </row>
    <row r="581" spans="11:30" customFormat="1" x14ac:dyDescent="0.3">
      <c r="K581" s="41"/>
      <c r="L581" s="3"/>
      <c r="N581" s="143"/>
      <c r="O581" s="143"/>
      <c r="U581" s="143"/>
      <c r="V581" s="143"/>
      <c r="W581" s="143"/>
      <c r="AB581" s="143"/>
      <c r="AC581" s="143"/>
      <c r="AD581" s="143"/>
    </row>
    <row r="582" spans="11:30" customFormat="1" x14ac:dyDescent="0.3">
      <c r="K582" s="41"/>
      <c r="L582" s="3"/>
      <c r="N582" s="143"/>
      <c r="O582" s="143"/>
      <c r="U582" s="143"/>
      <c r="V582" s="143"/>
      <c r="W582" s="143"/>
      <c r="AB582" s="143"/>
      <c r="AC582" s="143"/>
      <c r="AD582" s="143"/>
    </row>
    <row r="583" spans="11:30" customFormat="1" x14ac:dyDescent="0.3">
      <c r="K583" s="41"/>
      <c r="L583" s="3"/>
      <c r="N583" s="143"/>
      <c r="O583" s="143"/>
      <c r="U583" s="143"/>
      <c r="V583" s="143"/>
      <c r="W583" s="143"/>
      <c r="AB583" s="143"/>
      <c r="AC583" s="143"/>
      <c r="AD583" s="143"/>
    </row>
    <row r="584" spans="11:30" customFormat="1" x14ac:dyDescent="0.3">
      <c r="K584" s="41"/>
      <c r="L584" s="3"/>
      <c r="N584" s="143"/>
      <c r="O584" s="143"/>
      <c r="U584" s="143"/>
      <c r="V584" s="143"/>
      <c r="W584" s="143"/>
      <c r="AB584" s="143"/>
      <c r="AC584" s="143"/>
      <c r="AD584" s="143"/>
    </row>
    <row r="585" spans="11:30" customFormat="1" x14ac:dyDescent="0.3">
      <c r="K585" s="41"/>
      <c r="L585" s="3"/>
      <c r="N585" s="143"/>
      <c r="O585" s="143"/>
      <c r="U585" s="143"/>
      <c r="V585" s="143"/>
      <c r="W585" s="143"/>
      <c r="AB585" s="143"/>
      <c r="AC585" s="143"/>
      <c r="AD585" s="143"/>
    </row>
    <row r="586" spans="11:30" customFormat="1" x14ac:dyDescent="0.3">
      <c r="K586" s="41"/>
      <c r="L586" s="3"/>
      <c r="N586" s="143"/>
      <c r="O586" s="143"/>
      <c r="U586" s="143"/>
      <c r="V586" s="143"/>
      <c r="W586" s="143"/>
      <c r="AB586" s="143"/>
      <c r="AC586" s="143"/>
      <c r="AD586" s="143"/>
    </row>
    <row r="587" spans="11:30" customFormat="1" x14ac:dyDescent="0.3">
      <c r="K587" s="41"/>
      <c r="L587" s="3"/>
      <c r="N587" s="143"/>
      <c r="O587" s="143"/>
      <c r="U587" s="143"/>
      <c r="V587" s="143"/>
      <c r="W587" s="143"/>
      <c r="AB587" s="143"/>
      <c r="AC587" s="143"/>
      <c r="AD587" s="143"/>
    </row>
    <row r="588" spans="11:30" customFormat="1" x14ac:dyDescent="0.3">
      <c r="K588" s="41"/>
      <c r="L588" s="3"/>
      <c r="N588" s="143"/>
      <c r="O588" s="143"/>
      <c r="U588" s="143"/>
      <c r="V588" s="143"/>
      <c r="W588" s="143"/>
      <c r="AB588" s="143"/>
      <c r="AC588" s="143"/>
      <c r="AD588" s="143"/>
    </row>
    <row r="589" spans="11:30" customFormat="1" x14ac:dyDescent="0.3">
      <c r="K589" s="41"/>
      <c r="L589" s="3"/>
      <c r="N589" s="143"/>
      <c r="O589" s="143"/>
      <c r="U589" s="143"/>
      <c r="V589" s="143"/>
      <c r="W589" s="143"/>
      <c r="AB589" s="143"/>
      <c r="AC589" s="143"/>
      <c r="AD589" s="143"/>
    </row>
    <row r="590" spans="11:30" customFormat="1" x14ac:dyDescent="0.3">
      <c r="K590" s="41"/>
      <c r="L590" s="3"/>
      <c r="N590" s="143"/>
      <c r="O590" s="143"/>
      <c r="U590" s="143"/>
      <c r="V590" s="143"/>
      <c r="W590" s="143"/>
      <c r="AB590" s="143"/>
      <c r="AC590" s="143"/>
      <c r="AD590" s="143"/>
    </row>
    <row r="591" spans="11:30" customFormat="1" x14ac:dyDescent="0.3">
      <c r="K591" s="41"/>
      <c r="L591" s="3"/>
      <c r="N591" s="143"/>
      <c r="O591" s="143"/>
      <c r="U591" s="143"/>
      <c r="V591" s="143"/>
      <c r="W591" s="143"/>
      <c r="AB591" s="143"/>
      <c r="AC591" s="143"/>
      <c r="AD591" s="143"/>
    </row>
    <row r="592" spans="11:30" customFormat="1" x14ac:dyDescent="0.3">
      <c r="K592" s="41"/>
      <c r="L592" s="3"/>
      <c r="N592" s="143"/>
      <c r="O592" s="143"/>
      <c r="U592" s="143"/>
      <c r="V592" s="143"/>
      <c r="W592" s="143"/>
      <c r="AB592" s="143"/>
      <c r="AC592" s="143"/>
      <c r="AD592" s="143"/>
    </row>
    <row r="593" spans="11:30" customFormat="1" x14ac:dyDescent="0.3">
      <c r="K593" s="41"/>
      <c r="L593" s="3"/>
      <c r="N593" s="143"/>
      <c r="O593" s="143"/>
      <c r="U593" s="143"/>
      <c r="V593" s="143"/>
      <c r="W593" s="143"/>
      <c r="AB593" s="143"/>
      <c r="AC593" s="143"/>
      <c r="AD593" s="143"/>
    </row>
    <row r="594" spans="11:30" customFormat="1" x14ac:dyDescent="0.3">
      <c r="K594" s="41"/>
      <c r="L594" s="3"/>
      <c r="N594" s="143"/>
      <c r="O594" s="143"/>
      <c r="U594" s="143"/>
      <c r="V594" s="143"/>
      <c r="W594" s="143"/>
      <c r="AB594" s="143"/>
      <c r="AC594" s="143"/>
      <c r="AD594" s="143"/>
    </row>
    <row r="595" spans="11:30" customFormat="1" x14ac:dyDescent="0.3">
      <c r="K595" s="41"/>
      <c r="L595" s="3"/>
      <c r="N595" s="143"/>
      <c r="O595" s="143"/>
      <c r="U595" s="143"/>
      <c r="V595" s="143"/>
      <c r="W595" s="143"/>
      <c r="AB595" s="143"/>
      <c r="AC595" s="143"/>
      <c r="AD595" s="143"/>
    </row>
    <row r="596" spans="11:30" customFormat="1" x14ac:dyDescent="0.3">
      <c r="K596" s="41"/>
      <c r="L596" s="3"/>
      <c r="N596" s="143"/>
      <c r="O596" s="143"/>
      <c r="U596" s="143"/>
      <c r="V596" s="143"/>
      <c r="W596" s="143"/>
      <c r="AB596" s="143"/>
      <c r="AC596" s="143"/>
      <c r="AD596" s="143"/>
    </row>
    <row r="597" spans="11:30" customFormat="1" x14ac:dyDescent="0.3">
      <c r="K597" s="41"/>
      <c r="L597" s="3"/>
      <c r="N597" s="143"/>
      <c r="O597" s="143"/>
      <c r="U597" s="143"/>
      <c r="V597" s="143"/>
      <c r="W597" s="143"/>
      <c r="AB597" s="143"/>
      <c r="AC597" s="143"/>
      <c r="AD597" s="143"/>
    </row>
    <row r="598" spans="11:30" customFormat="1" x14ac:dyDescent="0.3">
      <c r="K598" s="41"/>
      <c r="L598" s="3"/>
      <c r="N598" s="143"/>
      <c r="O598" s="143"/>
      <c r="U598" s="143"/>
      <c r="V598" s="143"/>
      <c r="W598" s="143"/>
      <c r="AB598" s="143"/>
      <c r="AC598" s="143"/>
      <c r="AD598" s="143"/>
    </row>
    <row r="599" spans="11:30" customFormat="1" x14ac:dyDescent="0.3">
      <c r="K599" s="41"/>
      <c r="L599" s="3"/>
      <c r="N599" s="143"/>
      <c r="O599" s="143"/>
      <c r="U599" s="143"/>
      <c r="V599" s="143"/>
      <c r="W599" s="143"/>
      <c r="AB599" s="143"/>
      <c r="AC599" s="143"/>
      <c r="AD599" s="143"/>
    </row>
    <row r="600" spans="11:30" customFormat="1" x14ac:dyDescent="0.3">
      <c r="K600" s="41"/>
      <c r="L600" s="3"/>
      <c r="N600" s="143"/>
      <c r="O600" s="143"/>
      <c r="U600" s="143"/>
      <c r="V600" s="143"/>
      <c r="W600" s="143"/>
      <c r="AB600" s="143"/>
      <c r="AC600" s="143"/>
      <c r="AD600" s="143"/>
    </row>
    <row r="601" spans="11:30" customFormat="1" x14ac:dyDescent="0.3">
      <c r="K601" s="41"/>
      <c r="L601" s="3"/>
      <c r="N601" s="143"/>
      <c r="O601" s="143"/>
      <c r="U601" s="143"/>
      <c r="V601" s="143"/>
      <c r="W601" s="143"/>
      <c r="AB601" s="143"/>
      <c r="AC601" s="143"/>
      <c r="AD601" s="143"/>
    </row>
    <row r="602" spans="11:30" customFormat="1" x14ac:dyDescent="0.3">
      <c r="K602" s="41"/>
      <c r="L602" s="3"/>
      <c r="N602" s="143"/>
      <c r="O602" s="143"/>
      <c r="U602" s="143"/>
      <c r="V602" s="143"/>
      <c r="W602" s="143"/>
      <c r="AB602" s="143"/>
      <c r="AC602" s="143"/>
      <c r="AD602" s="143"/>
    </row>
    <row r="603" spans="11:30" customFormat="1" x14ac:dyDescent="0.3">
      <c r="K603" s="41"/>
      <c r="L603" s="3"/>
      <c r="N603" s="143"/>
      <c r="O603" s="143"/>
      <c r="U603" s="143"/>
      <c r="V603" s="143"/>
      <c r="W603" s="143"/>
      <c r="AB603" s="143"/>
      <c r="AC603" s="143"/>
      <c r="AD603" s="143"/>
    </row>
    <row r="604" spans="11:30" customFormat="1" x14ac:dyDescent="0.3">
      <c r="K604" s="41"/>
      <c r="L604" s="3"/>
      <c r="N604" s="143"/>
      <c r="O604" s="143"/>
      <c r="U604" s="143"/>
      <c r="V604" s="143"/>
      <c r="W604" s="143"/>
      <c r="AB604" s="143"/>
      <c r="AC604" s="143"/>
      <c r="AD604" s="143"/>
    </row>
    <row r="605" spans="11:30" customFormat="1" x14ac:dyDescent="0.3">
      <c r="K605" s="41"/>
      <c r="L605" s="3"/>
      <c r="N605" s="143"/>
      <c r="O605" s="143"/>
      <c r="U605" s="143"/>
      <c r="V605" s="143"/>
      <c r="W605" s="143"/>
      <c r="AB605" s="143"/>
      <c r="AC605" s="143"/>
      <c r="AD605" s="143"/>
    </row>
    <row r="606" spans="11:30" customFormat="1" x14ac:dyDescent="0.3">
      <c r="K606" s="41"/>
      <c r="L606" s="3"/>
      <c r="N606" s="143"/>
      <c r="O606" s="143"/>
      <c r="U606" s="143"/>
      <c r="V606" s="143"/>
      <c r="W606" s="143"/>
      <c r="AB606" s="143"/>
      <c r="AC606" s="143"/>
      <c r="AD606" s="143"/>
    </row>
    <row r="607" spans="11:30" customFormat="1" x14ac:dyDescent="0.3">
      <c r="K607" s="41"/>
      <c r="L607" s="3"/>
      <c r="N607" s="143"/>
      <c r="O607" s="143"/>
      <c r="U607" s="143"/>
      <c r="V607" s="143"/>
      <c r="W607" s="143"/>
      <c r="AB607" s="143"/>
      <c r="AC607" s="143"/>
      <c r="AD607" s="143"/>
    </row>
    <row r="608" spans="11:30" customFormat="1" x14ac:dyDescent="0.3">
      <c r="K608" s="41"/>
      <c r="L608" s="3"/>
      <c r="N608" s="143"/>
      <c r="O608" s="143"/>
      <c r="U608" s="143"/>
      <c r="V608" s="143"/>
      <c r="W608" s="143"/>
      <c r="AB608" s="143"/>
      <c r="AC608" s="143"/>
      <c r="AD608" s="143"/>
    </row>
    <row r="609" spans="11:30" customFormat="1" x14ac:dyDescent="0.3">
      <c r="K609" s="41"/>
      <c r="L609" s="3"/>
      <c r="N609" s="143"/>
      <c r="O609" s="143"/>
      <c r="U609" s="143"/>
      <c r="V609" s="143"/>
      <c r="W609" s="143"/>
      <c r="AB609" s="143"/>
      <c r="AC609" s="143"/>
      <c r="AD609" s="143"/>
    </row>
    <row r="610" spans="11:30" customFormat="1" x14ac:dyDescent="0.3">
      <c r="K610" s="41"/>
      <c r="L610" s="3"/>
      <c r="N610" s="143"/>
      <c r="O610" s="143"/>
      <c r="U610" s="143"/>
      <c r="V610" s="143"/>
      <c r="W610" s="143"/>
      <c r="AB610" s="143"/>
      <c r="AC610" s="143"/>
      <c r="AD610" s="143"/>
    </row>
    <row r="611" spans="11:30" customFormat="1" x14ac:dyDescent="0.3">
      <c r="K611" s="41"/>
      <c r="L611" s="3"/>
      <c r="N611" s="143"/>
      <c r="O611" s="143"/>
      <c r="U611" s="143"/>
      <c r="V611" s="143"/>
      <c r="W611" s="143"/>
      <c r="AB611" s="143"/>
      <c r="AC611" s="143"/>
      <c r="AD611" s="143"/>
    </row>
    <row r="612" spans="11:30" customFormat="1" x14ac:dyDescent="0.3">
      <c r="K612" s="41"/>
      <c r="L612" s="3"/>
      <c r="N612" s="143"/>
      <c r="O612" s="143"/>
      <c r="U612" s="143"/>
      <c r="V612" s="143"/>
      <c r="W612" s="143"/>
      <c r="AB612" s="143"/>
      <c r="AC612" s="143"/>
      <c r="AD612" s="143"/>
    </row>
    <row r="613" spans="11:30" customFormat="1" x14ac:dyDescent="0.3">
      <c r="K613" s="41"/>
      <c r="L613" s="3"/>
      <c r="N613" s="143"/>
      <c r="O613" s="143"/>
      <c r="U613" s="143"/>
      <c r="V613" s="143"/>
      <c r="W613" s="143"/>
      <c r="AB613" s="143"/>
      <c r="AC613" s="143"/>
      <c r="AD613" s="143"/>
    </row>
    <row r="614" spans="11:30" customFormat="1" x14ac:dyDescent="0.3">
      <c r="K614" s="41"/>
      <c r="L614" s="3"/>
      <c r="N614" s="143"/>
      <c r="O614" s="143"/>
      <c r="U614" s="143"/>
      <c r="V614" s="143"/>
      <c r="W614" s="143"/>
      <c r="AB614" s="143"/>
      <c r="AC614" s="143"/>
      <c r="AD614" s="143"/>
    </row>
    <row r="615" spans="11:30" customFormat="1" x14ac:dyDescent="0.3">
      <c r="K615" s="41"/>
      <c r="L615" s="3"/>
      <c r="N615" s="143"/>
      <c r="O615" s="143"/>
      <c r="U615" s="143"/>
      <c r="V615" s="143"/>
      <c r="W615" s="143"/>
      <c r="AB615" s="143"/>
      <c r="AC615" s="143"/>
      <c r="AD615" s="143"/>
    </row>
    <row r="616" spans="11:30" customFormat="1" x14ac:dyDescent="0.3">
      <c r="K616" s="41"/>
      <c r="L616" s="3"/>
      <c r="N616" s="143"/>
      <c r="O616" s="143"/>
      <c r="U616" s="143"/>
      <c r="V616" s="143"/>
      <c r="W616" s="143"/>
      <c r="AB616" s="143"/>
      <c r="AC616" s="143"/>
      <c r="AD616" s="143"/>
    </row>
    <row r="617" spans="11:30" customFormat="1" x14ac:dyDescent="0.3">
      <c r="K617" s="41"/>
      <c r="L617" s="3"/>
      <c r="N617" s="143"/>
      <c r="O617" s="143"/>
      <c r="U617" s="143"/>
      <c r="V617" s="143"/>
      <c r="W617" s="143"/>
      <c r="AB617" s="143"/>
      <c r="AC617" s="143"/>
      <c r="AD617" s="143"/>
    </row>
    <row r="618" spans="11:30" customFormat="1" x14ac:dyDescent="0.3">
      <c r="K618" s="41"/>
      <c r="L618" s="3"/>
      <c r="N618" s="143"/>
      <c r="O618" s="143"/>
      <c r="U618" s="143"/>
      <c r="V618" s="143"/>
      <c r="W618" s="143"/>
      <c r="AB618" s="143"/>
      <c r="AC618" s="143"/>
      <c r="AD618" s="143"/>
    </row>
    <row r="619" spans="11:30" customFormat="1" x14ac:dyDescent="0.3">
      <c r="K619" s="41"/>
      <c r="L619" s="3"/>
      <c r="N619" s="143"/>
      <c r="O619" s="143"/>
      <c r="U619" s="143"/>
      <c r="V619" s="143"/>
      <c r="W619" s="143"/>
      <c r="AB619" s="143"/>
      <c r="AC619" s="143"/>
      <c r="AD619" s="143"/>
    </row>
    <row r="620" spans="11:30" customFormat="1" x14ac:dyDescent="0.3">
      <c r="K620" s="41"/>
      <c r="L620" s="3"/>
      <c r="N620" s="143"/>
      <c r="O620" s="143"/>
      <c r="U620" s="143"/>
      <c r="V620" s="143"/>
      <c r="W620" s="143"/>
      <c r="AB620" s="143"/>
      <c r="AC620" s="143"/>
      <c r="AD620" s="143"/>
    </row>
    <row r="621" spans="11:30" customFormat="1" x14ac:dyDescent="0.3">
      <c r="K621" s="41"/>
      <c r="L621" s="3"/>
      <c r="N621" s="143"/>
      <c r="O621" s="143"/>
      <c r="U621" s="143"/>
      <c r="V621" s="143"/>
      <c r="W621" s="143"/>
      <c r="AB621" s="143"/>
      <c r="AC621" s="143"/>
      <c r="AD621" s="143"/>
    </row>
    <row r="622" spans="11:30" customFormat="1" x14ac:dyDescent="0.3">
      <c r="K622" s="41"/>
      <c r="L622" s="3"/>
      <c r="N622" s="143"/>
      <c r="O622" s="143"/>
      <c r="U622" s="143"/>
      <c r="V622" s="143"/>
      <c r="W622" s="143"/>
      <c r="AB622" s="143"/>
      <c r="AC622" s="143"/>
      <c r="AD622" s="143"/>
    </row>
    <row r="623" spans="11:30" customFormat="1" x14ac:dyDescent="0.3">
      <c r="K623" s="41"/>
      <c r="L623" s="3"/>
      <c r="N623" s="143"/>
      <c r="O623" s="143"/>
      <c r="U623" s="143"/>
      <c r="V623" s="143"/>
      <c r="W623" s="143"/>
      <c r="AB623" s="143"/>
      <c r="AC623" s="143"/>
      <c r="AD623" s="143"/>
    </row>
    <row r="624" spans="11:30" customFormat="1" x14ac:dyDescent="0.3">
      <c r="K624" s="41"/>
      <c r="L624" s="3"/>
      <c r="N624" s="143"/>
      <c r="O624" s="143"/>
      <c r="U624" s="143"/>
      <c r="V624" s="143"/>
      <c r="W624" s="143"/>
      <c r="AB624" s="143"/>
      <c r="AC624" s="143"/>
      <c r="AD624" s="143"/>
    </row>
    <row r="625" spans="11:30" customFormat="1" x14ac:dyDescent="0.3">
      <c r="K625" s="41"/>
      <c r="L625" s="3"/>
      <c r="N625" s="143"/>
      <c r="O625" s="143"/>
      <c r="U625" s="143"/>
      <c r="V625" s="143"/>
      <c r="W625" s="143"/>
      <c r="AB625" s="143"/>
      <c r="AC625" s="143"/>
      <c r="AD625" s="143"/>
    </row>
    <row r="626" spans="11:30" customFormat="1" x14ac:dyDescent="0.3">
      <c r="K626" s="41"/>
      <c r="L626" s="3"/>
      <c r="N626" s="143"/>
      <c r="O626" s="143"/>
      <c r="U626" s="143"/>
      <c r="V626" s="143"/>
      <c r="W626" s="143"/>
      <c r="AB626" s="143"/>
      <c r="AC626" s="143"/>
      <c r="AD626" s="143"/>
    </row>
    <row r="627" spans="11:30" customFormat="1" x14ac:dyDescent="0.3">
      <c r="K627" s="41"/>
      <c r="L627" s="3"/>
      <c r="N627" s="143"/>
      <c r="O627" s="143"/>
      <c r="U627" s="143"/>
      <c r="V627" s="143"/>
      <c r="W627" s="143"/>
      <c r="AB627" s="143"/>
      <c r="AC627" s="143"/>
      <c r="AD627" s="143"/>
    </row>
    <row r="628" spans="11:30" customFormat="1" x14ac:dyDescent="0.3">
      <c r="K628" s="41"/>
      <c r="L628" s="3"/>
      <c r="N628" s="143"/>
      <c r="O628" s="143"/>
      <c r="U628" s="143"/>
      <c r="V628" s="143"/>
      <c r="W628" s="143"/>
      <c r="AB628" s="143"/>
      <c r="AC628" s="143"/>
      <c r="AD628" s="143"/>
    </row>
    <row r="629" spans="11:30" customFormat="1" x14ac:dyDescent="0.3">
      <c r="K629" s="41"/>
      <c r="L629" s="3"/>
      <c r="N629" s="143"/>
      <c r="O629" s="143"/>
      <c r="U629" s="143"/>
      <c r="V629" s="143"/>
      <c r="W629" s="143"/>
      <c r="AB629" s="143"/>
      <c r="AC629" s="143"/>
      <c r="AD629" s="143"/>
    </row>
    <row r="630" spans="11:30" customFormat="1" x14ac:dyDescent="0.3">
      <c r="K630" s="41"/>
      <c r="L630" s="3"/>
      <c r="N630" s="143"/>
      <c r="O630" s="143"/>
      <c r="U630" s="143"/>
      <c r="V630" s="143"/>
      <c r="W630" s="143"/>
      <c r="AB630" s="143"/>
      <c r="AC630" s="143"/>
      <c r="AD630" s="143"/>
    </row>
    <row r="631" spans="11:30" customFormat="1" x14ac:dyDescent="0.3">
      <c r="K631" s="41"/>
      <c r="L631" s="3"/>
      <c r="N631" s="143"/>
      <c r="O631" s="143"/>
      <c r="U631" s="143"/>
      <c r="V631" s="143"/>
      <c r="W631" s="143"/>
      <c r="AB631" s="143"/>
      <c r="AC631" s="143"/>
      <c r="AD631" s="143"/>
    </row>
    <row r="632" spans="11:30" customFormat="1" x14ac:dyDescent="0.3">
      <c r="K632" s="41"/>
      <c r="L632" s="3"/>
      <c r="N632" s="143"/>
      <c r="O632" s="143"/>
      <c r="U632" s="143"/>
      <c r="V632" s="143"/>
      <c r="W632" s="143"/>
      <c r="AB632" s="143"/>
      <c r="AC632" s="143"/>
      <c r="AD632" s="143"/>
    </row>
    <row r="633" spans="11:30" customFormat="1" x14ac:dyDescent="0.3">
      <c r="K633" s="41"/>
      <c r="L633" s="3"/>
      <c r="N633" s="143"/>
      <c r="O633" s="143"/>
      <c r="U633" s="143"/>
      <c r="V633" s="143"/>
      <c r="W633" s="143"/>
      <c r="AB633" s="143"/>
      <c r="AC633" s="143"/>
      <c r="AD633" s="143"/>
    </row>
    <row r="634" spans="11:30" customFormat="1" x14ac:dyDescent="0.3">
      <c r="K634" s="41"/>
      <c r="L634" s="3"/>
      <c r="N634" s="143"/>
      <c r="O634" s="143"/>
      <c r="U634" s="143"/>
      <c r="V634" s="143"/>
      <c r="W634" s="143"/>
      <c r="AB634" s="143"/>
      <c r="AC634" s="143"/>
      <c r="AD634" s="143"/>
    </row>
    <row r="635" spans="11:30" customFormat="1" x14ac:dyDescent="0.3">
      <c r="K635" s="41"/>
      <c r="L635" s="3"/>
      <c r="N635" s="143"/>
      <c r="O635" s="143"/>
      <c r="U635" s="143"/>
      <c r="V635" s="143"/>
      <c r="W635" s="143"/>
      <c r="AB635" s="143"/>
      <c r="AC635" s="143"/>
      <c r="AD635" s="143"/>
    </row>
    <row r="636" spans="11:30" customFormat="1" x14ac:dyDescent="0.3">
      <c r="K636" s="41"/>
      <c r="L636" s="3"/>
      <c r="N636" s="143"/>
      <c r="O636" s="143"/>
      <c r="U636" s="143"/>
      <c r="V636" s="143"/>
      <c r="W636" s="143"/>
      <c r="AB636" s="143"/>
      <c r="AC636" s="143"/>
      <c r="AD636" s="143"/>
    </row>
    <row r="637" spans="11:30" customFormat="1" x14ac:dyDescent="0.3">
      <c r="K637" s="41"/>
      <c r="L637" s="3"/>
      <c r="N637" s="143"/>
      <c r="O637" s="143"/>
      <c r="U637" s="143"/>
      <c r="V637" s="143"/>
      <c r="W637" s="143"/>
      <c r="AB637" s="143"/>
      <c r="AC637" s="143"/>
      <c r="AD637" s="143"/>
    </row>
    <row r="638" spans="11:30" customFormat="1" x14ac:dyDescent="0.3">
      <c r="K638" s="41"/>
      <c r="L638" s="3"/>
      <c r="N638" s="143"/>
      <c r="O638" s="143"/>
      <c r="U638" s="143"/>
      <c r="V638" s="143"/>
      <c r="W638" s="143"/>
      <c r="AB638" s="143"/>
      <c r="AC638" s="143"/>
      <c r="AD638" s="143"/>
    </row>
    <row r="639" spans="11:30" customFormat="1" x14ac:dyDescent="0.3">
      <c r="K639" s="41"/>
      <c r="L639" s="3"/>
      <c r="N639" s="143"/>
      <c r="O639" s="143"/>
      <c r="U639" s="143"/>
      <c r="V639" s="143"/>
      <c r="W639" s="143"/>
      <c r="AB639" s="143"/>
      <c r="AC639" s="143"/>
      <c r="AD639" s="143"/>
    </row>
    <row r="640" spans="11:30" customFormat="1" x14ac:dyDescent="0.3">
      <c r="K640" s="41"/>
      <c r="L640" s="3"/>
      <c r="N640" s="143"/>
      <c r="O640" s="143"/>
      <c r="U640" s="143"/>
      <c r="V640" s="143"/>
      <c r="W640" s="143"/>
      <c r="AB640" s="143"/>
      <c r="AC640" s="143"/>
      <c r="AD640" s="143"/>
    </row>
    <row r="641" spans="11:30" customFormat="1" x14ac:dyDescent="0.3">
      <c r="K641" s="41"/>
      <c r="L641" s="3"/>
      <c r="N641" s="143"/>
      <c r="O641" s="143"/>
      <c r="U641" s="143"/>
      <c r="V641" s="143"/>
      <c r="W641" s="143"/>
      <c r="AB641" s="143"/>
      <c r="AC641" s="143"/>
      <c r="AD641" s="143"/>
    </row>
    <row r="642" spans="11:30" customFormat="1" x14ac:dyDescent="0.3">
      <c r="K642" s="41"/>
      <c r="L642" s="3"/>
      <c r="N642" s="143"/>
      <c r="O642" s="143"/>
      <c r="U642" s="143"/>
      <c r="V642" s="143"/>
      <c r="W642" s="143"/>
      <c r="AB642" s="143"/>
      <c r="AC642" s="143"/>
      <c r="AD642" s="143"/>
    </row>
    <row r="643" spans="11:30" customFormat="1" x14ac:dyDescent="0.3">
      <c r="K643" s="41"/>
      <c r="L643" s="3"/>
      <c r="N643" s="143"/>
      <c r="O643" s="143"/>
      <c r="U643" s="143"/>
      <c r="V643" s="143"/>
      <c r="W643" s="143"/>
      <c r="AB643" s="143"/>
      <c r="AC643" s="143"/>
      <c r="AD643" s="143"/>
    </row>
    <row r="644" spans="11:30" customFormat="1" x14ac:dyDescent="0.3">
      <c r="K644" s="41"/>
      <c r="L644" s="3"/>
      <c r="N644" s="143"/>
      <c r="O644" s="143"/>
      <c r="U644" s="143"/>
      <c r="V644" s="143"/>
      <c r="W644" s="143"/>
      <c r="AB644" s="143"/>
      <c r="AC644" s="143"/>
      <c r="AD644" s="143"/>
    </row>
    <row r="645" spans="11:30" customFormat="1" x14ac:dyDescent="0.3">
      <c r="K645" s="41"/>
      <c r="L645" s="3"/>
      <c r="N645" s="143"/>
      <c r="O645" s="143"/>
      <c r="U645" s="143"/>
      <c r="V645" s="143"/>
      <c r="W645" s="143"/>
      <c r="AB645" s="143"/>
      <c r="AC645" s="143"/>
      <c r="AD645" s="143"/>
    </row>
    <row r="646" spans="11:30" customFormat="1" x14ac:dyDescent="0.3">
      <c r="K646" s="41"/>
      <c r="L646" s="3"/>
      <c r="N646" s="143"/>
      <c r="O646" s="143"/>
      <c r="U646" s="143"/>
      <c r="V646" s="143"/>
      <c r="W646" s="143"/>
      <c r="AB646" s="143"/>
      <c r="AC646" s="143"/>
      <c r="AD646" s="143"/>
    </row>
    <row r="647" spans="11:30" customFormat="1" x14ac:dyDescent="0.3">
      <c r="K647" s="41"/>
      <c r="L647" s="3"/>
      <c r="N647" s="143"/>
      <c r="O647" s="143"/>
      <c r="U647" s="143"/>
      <c r="V647" s="143"/>
      <c r="W647" s="143"/>
      <c r="AB647" s="143"/>
      <c r="AC647" s="143"/>
      <c r="AD647" s="143"/>
    </row>
    <row r="648" spans="11:30" customFormat="1" x14ac:dyDescent="0.3">
      <c r="K648" s="41"/>
      <c r="L648" s="3"/>
      <c r="N648" s="143"/>
      <c r="O648" s="143"/>
      <c r="U648" s="143"/>
      <c r="V648" s="143"/>
      <c r="W648" s="143"/>
      <c r="AB648" s="143"/>
      <c r="AC648" s="143"/>
      <c r="AD648" s="143"/>
    </row>
    <row r="649" spans="11:30" customFormat="1" x14ac:dyDescent="0.3">
      <c r="K649" s="41"/>
      <c r="L649" s="3"/>
      <c r="N649" s="143"/>
      <c r="O649" s="143"/>
      <c r="U649" s="143"/>
      <c r="V649" s="143"/>
      <c r="W649" s="143"/>
      <c r="AB649" s="143"/>
      <c r="AC649" s="143"/>
      <c r="AD649" s="143"/>
    </row>
    <row r="650" spans="11:30" customFormat="1" x14ac:dyDescent="0.3">
      <c r="K650" s="41"/>
      <c r="L650" s="3"/>
      <c r="N650" s="143"/>
      <c r="O650" s="143"/>
      <c r="U650" s="143"/>
      <c r="V650" s="143"/>
      <c r="W650" s="143"/>
      <c r="AB650" s="143"/>
      <c r="AC650" s="143"/>
      <c r="AD650" s="143"/>
    </row>
    <row r="651" spans="11:30" customFormat="1" x14ac:dyDescent="0.3">
      <c r="K651" s="41"/>
      <c r="L651" s="3"/>
      <c r="N651" s="143"/>
      <c r="O651" s="143"/>
      <c r="U651" s="143"/>
      <c r="V651" s="143"/>
      <c r="W651" s="143"/>
      <c r="AB651" s="143"/>
      <c r="AC651" s="143"/>
      <c r="AD651" s="143"/>
    </row>
    <row r="652" spans="11:30" customFormat="1" x14ac:dyDescent="0.3">
      <c r="K652" s="41"/>
      <c r="L652" s="3"/>
      <c r="N652" s="143"/>
      <c r="O652" s="143"/>
      <c r="U652" s="143"/>
      <c r="V652" s="143"/>
      <c r="W652" s="143"/>
      <c r="AB652" s="143"/>
      <c r="AC652" s="143"/>
      <c r="AD652" s="143"/>
    </row>
    <row r="653" spans="11:30" customFormat="1" x14ac:dyDescent="0.3">
      <c r="K653" s="41"/>
      <c r="L653" s="3"/>
      <c r="N653" s="143"/>
      <c r="O653" s="143"/>
      <c r="U653" s="143"/>
      <c r="V653" s="143"/>
      <c r="W653" s="143"/>
      <c r="AB653" s="143"/>
      <c r="AC653" s="143"/>
      <c r="AD653" s="143"/>
    </row>
    <row r="654" spans="11:30" customFormat="1" x14ac:dyDescent="0.3">
      <c r="K654" s="41"/>
      <c r="L654" s="3"/>
      <c r="N654" s="143"/>
      <c r="O654" s="143"/>
      <c r="U654" s="143"/>
      <c r="V654" s="143"/>
      <c r="W654" s="143"/>
      <c r="AB654" s="143"/>
      <c r="AC654" s="143"/>
      <c r="AD654" s="143"/>
    </row>
    <row r="655" spans="11:30" customFormat="1" x14ac:dyDescent="0.3">
      <c r="K655" s="41"/>
      <c r="L655" s="3"/>
      <c r="N655" s="143"/>
      <c r="O655" s="143"/>
      <c r="U655" s="143"/>
      <c r="V655" s="143"/>
      <c r="W655" s="143"/>
      <c r="AB655" s="143"/>
      <c r="AC655" s="143"/>
      <c r="AD655" s="143"/>
    </row>
    <row r="656" spans="11:30" customFormat="1" x14ac:dyDescent="0.3">
      <c r="K656" s="41"/>
      <c r="L656" s="3"/>
      <c r="N656" s="143"/>
      <c r="O656" s="143"/>
      <c r="U656" s="143"/>
      <c r="V656" s="143"/>
      <c r="W656" s="143"/>
      <c r="AB656" s="143"/>
      <c r="AC656" s="143"/>
      <c r="AD656" s="143"/>
    </row>
    <row r="657" spans="11:30" customFormat="1" x14ac:dyDescent="0.3">
      <c r="K657" s="41"/>
      <c r="L657" s="3"/>
      <c r="N657" s="143"/>
      <c r="O657" s="143"/>
      <c r="U657" s="143"/>
      <c r="V657" s="143"/>
      <c r="W657" s="143"/>
      <c r="AB657" s="143"/>
      <c r="AC657" s="143"/>
      <c r="AD657" s="143"/>
    </row>
    <row r="658" spans="11:30" customFormat="1" x14ac:dyDescent="0.3">
      <c r="K658" s="41"/>
      <c r="L658" s="3"/>
      <c r="N658" s="143"/>
      <c r="O658" s="143"/>
      <c r="U658" s="143"/>
      <c r="V658" s="143"/>
      <c r="W658" s="143"/>
      <c r="AB658" s="143"/>
      <c r="AC658" s="143"/>
      <c r="AD658" s="143"/>
    </row>
    <row r="659" spans="11:30" customFormat="1" x14ac:dyDescent="0.3">
      <c r="K659" s="41"/>
      <c r="L659" s="3"/>
      <c r="N659" s="143"/>
      <c r="O659" s="143"/>
      <c r="U659" s="143"/>
      <c r="V659" s="143"/>
      <c r="W659" s="143"/>
      <c r="AB659" s="143"/>
      <c r="AC659" s="143"/>
      <c r="AD659" s="143"/>
    </row>
    <row r="660" spans="11:30" customFormat="1" x14ac:dyDescent="0.3">
      <c r="K660" s="41"/>
      <c r="L660" s="3"/>
      <c r="N660" s="143"/>
      <c r="O660" s="143"/>
      <c r="U660" s="143"/>
      <c r="V660" s="143"/>
      <c r="W660" s="143"/>
      <c r="AB660" s="143"/>
      <c r="AC660" s="143"/>
      <c r="AD660" s="143"/>
    </row>
    <row r="661" spans="11:30" customFormat="1" x14ac:dyDescent="0.3">
      <c r="K661" s="41"/>
      <c r="L661" s="3"/>
      <c r="N661" s="143"/>
      <c r="O661" s="143"/>
      <c r="U661" s="143"/>
      <c r="V661" s="143"/>
      <c r="W661" s="143"/>
      <c r="AB661" s="143"/>
      <c r="AC661" s="143"/>
      <c r="AD661" s="143"/>
    </row>
    <row r="662" spans="11:30" customFormat="1" x14ac:dyDescent="0.3">
      <c r="K662" s="41"/>
      <c r="L662" s="3"/>
      <c r="N662" s="143"/>
      <c r="O662" s="143"/>
      <c r="U662" s="143"/>
      <c r="V662" s="143"/>
      <c r="W662" s="143"/>
      <c r="AB662" s="143"/>
      <c r="AC662" s="143"/>
      <c r="AD662" s="143"/>
    </row>
    <row r="663" spans="11:30" customFormat="1" x14ac:dyDescent="0.3">
      <c r="K663" s="41"/>
      <c r="L663" s="3"/>
      <c r="N663" s="143"/>
      <c r="O663" s="143"/>
      <c r="U663" s="143"/>
      <c r="V663" s="143"/>
      <c r="W663" s="143"/>
      <c r="AB663" s="143"/>
      <c r="AC663" s="143"/>
      <c r="AD663" s="143"/>
    </row>
    <row r="664" spans="11:30" customFormat="1" x14ac:dyDescent="0.3">
      <c r="K664" s="41"/>
      <c r="L664" s="3"/>
      <c r="N664" s="143"/>
      <c r="O664" s="143"/>
      <c r="U664" s="143"/>
      <c r="V664" s="143"/>
      <c r="W664" s="143"/>
      <c r="AB664" s="143"/>
      <c r="AC664" s="143"/>
      <c r="AD664" s="143"/>
    </row>
    <row r="665" spans="11:30" customFormat="1" x14ac:dyDescent="0.3">
      <c r="K665" s="41"/>
      <c r="L665" s="3"/>
      <c r="N665" s="143"/>
      <c r="O665" s="143"/>
      <c r="U665" s="143"/>
      <c r="V665" s="143"/>
      <c r="W665" s="143"/>
      <c r="AB665" s="143"/>
      <c r="AC665" s="143"/>
      <c r="AD665" s="143"/>
    </row>
    <row r="666" spans="11:30" customFormat="1" x14ac:dyDescent="0.3">
      <c r="K666" s="41"/>
      <c r="L666" s="3"/>
      <c r="N666" s="143"/>
      <c r="O666" s="143"/>
      <c r="U666" s="143"/>
      <c r="V666" s="143"/>
      <c r="W666" s="143"/>
      <c r="AB666" s="143"/>
      <c r="AC666" s="143"/>
      <c r="AD666" s="143"/>
    </row>
    <row r="667" spans="11:30" customFormat="1" x14ac:dyDescent="0.3">
      <c r="K667" s="41"/>
      <c r="L667" s="3"/>
      <c r="N667" s="143"/>
      <c r="O667" s="143"/>
      <c r="U667" s="143"/>
      <c r="V667" s="143"/>
      <c r="W667" s="143"/>
      <c r="AB667" s="143"/>
      <c r="AC667" s="143"/>
      <c r="AD667" s="143"/>
    </row>
    <row r="668" spans="11:30" customFormat="1" x14ac:dyDescent="0.3">
      <c r="K668" s="41"/>
      <c r="L668" s="3"/>
      <c r="N668" s="143"/>
      <c r="O668" s="143"/>
      <c r="U668" s="143"/>
      <c r="V668" s="143"/>
      <c r="W668" s="143"/>
      <c r="AB668" s="143"/>
      <c r="AC668" s="143"/>
      <c r="AD668" s="143"/>
    </row>
    <row r="669" spans="11:30" customFormat="1" x14ac:dyDescent="0.3">
      <c r="K669" s="41"/>
      <c r="L669" s="3"/>
      <c r="N669" s="143"/>
      <c r="O669" s="143"/>
      <c r="U669" s="143"/>
      <c r="V669" s="143"/>
      <c r="W669" s="143"/>
      <c r="AB669" s="143"/>
      <c r="AC669" s="143"/>
      <c r="AD669" s="143"/>
    </row>
    <row r="670" spans="11:30" customFormat="1" x14ac:dyDescent="0.3">
      <c r="K670" s="41"/>
      <c r="L670" s="3"/>
      <c r="N670" s="143"/>
      <c r="O670" s="143"/>
      <c r="U670" s="143"/>
      <c r="V670" s="143"/>
      <c r="W670" s="143"/>
      <c r="AB670" s="143"/>
      <c r="AC670" s="143"/>
      <c r="AD670" s="143"/>
    </row>
    <row r="671" spans="11:30" customFormat="1" x14ac:dyDescent="0.3">
      <c r="K671" s="41"/>
      <c r="L671" s="3"/>
      <c r="N671" s="143"/>
      <c r="O671" s="143"/>
      <c r="U671" s="143"/>
      <c r="V671" s="143"/>
      <c r="W671" s="143"/>
      <c r="AB671" s="143"/>
      <c r="AC671" s="143"/>
      <c r="AD671" s="143"/>
    </row>
    <row r="672" spans="11:30" customFormat="1" x14ac:dyDescent="0.3">
      <c r="K672" s="41"/>
      <c r="L672" s="3"/>
      <c r="N672" s="143"/>
      <c r="O672" s="143"/>
      <c r="U672" s="143"/>
      <c r="V672" s="143"/>
      <c r="W672" s="143"/>
      <c r="AB672" s="143"/>
      <c r="AC672" s="143"/>
      <c r="AD672" s="143"/>
    </row>
    <row r="673" spans="11:30" customFormat="1" x14ac:dyDescent="0.3">
      <c r="K673" s="41"/>
      <c r="L673" s="3"/>
      <c r="N673" s="143"/>
      <c r="O673" s="143"/>
      <c r="U673" s="143"/>
      <c r="V673" s="143"/>
      <c r="W673" s="143"/>
      <c r="AB673" s="143"/>
      <c r="AC673" s="143"/>
      <c r="AD673" s="143"/>
    </row>
    <row r="674" spans="11:30" customFormat="1" x14ac:dyDescent="0.3">
      <c r="K674" s="41"/>
      <c r="L674" s="3"/>
      <c r="N674" s="143"/>
      <c r="O674" s="143"/>
      <c r="U674" s="143"/>
      <c r="V674" s="143"/>
      <c r="W674" s="143"/>
      <c r="AB674" s="143"/>
      <c r="AC674" s="143"/>
      <c r="AD674" s="143"/>
    </row>
    <row r="675" spans="11:30" customFormat="1" x14ac:dyDescent="0.3">
      <c r="K675" s="41"/>
      <c r="L675" s="3"/>
      <c r="N675" s="143"/>
      <c r="O675" s="143"/>
      <c r="U675" s="143"/>
      <c r="V675" s="143"/>
      <c r="W675" s="143"/>
      <c r="AB675" s="143"/>
      <c r="AC675" s="143"/>
      <c r="AD675" s="143"/>
    </row>
    <row r="676" spans="11:30" customFormat="1" x14ac:dyDescent="0.3">
      <c r="K676" s="41"/>
      <c r="L676" s="3"/>
      <c r="N676" s="143"/>
      <c r="O676" s="143"/>
      <c r="U676" s="143"/>
      <c r="V676" s="143"/>
      <c r="W676" s="143"/>
      <c r="AB676" s="143"/>
      <c r="AC676" s="143"/>
      <c r="AD676" s="143"/>
    </row>
    <row r="677" spans="11:30" customFormat="1" x14ac:dyDescent="0.3">
      <c r="K677" s="41"/>
      <c r="L677" s="3"/>
      <c r="N677" s="143"/>
      <c r="O677" s="143"/>
      <c r="U677" s="143"/>
      <c r="V677" s="143"/>
      <c r="W677" s="143"/>
      <c r="AB677" s="143"/>
      <c r="AC677" s="143"/>
      <c r="AD677" s="143"/>
    </row>
    <row r="678" spans="11:30" customFormat="1" x14ac:dyDescent="0.3">
      <c r="K678" s="41"/>
      <c r="L678" s="3"/>
      <c r="N678" s="143"/>
      <c r="O678" s="143"/>
      <c r="U678" s="143"/>
      <c r="V678" s="143"/>
      <c r="W678" s="143"/>
      <c r="AB678" s="143"/>
      <c r="AC678" s="143"/>
      <c r="AD678" s="143"/>
    </row>
    <row r="679" spans="11:30" customFormat="1" x14ac:dyDescent="0.3">
      <c r="K679" s="41"/>
      <c r="L679" s="3"/>
      <c r="N679" s="143"/>
      <c r="O679" s="143"/>
      <c r="U679" s="143"/>
      <c r="V679" s="143"/>
      <c r="W679" s="143"/>
      <c r="AB679" s="143"/>
      <c r="AC679" s="143"/>
      <c r="AD679" s="143"/>
    </row>
    <row r="680" spans="11:30" customFormat="1" x14ac:dyDescent="0.3">
      <c r="K680" s="41"/>
      <c r="L680" s="3"/>
      <c r="N680" s="143"/>
      <c r="O680" s="143"/>
      <c r="U680" s="143"/>
      <c r="V680" s="143"/>
      <c r="W680" s="143"/>
      <c r="AB680" s="143"/>
      <c r="AC680" s="143"/>
      <c r="AD680" s="143"/>
    </row>
    <row r="681" spans="11:30" customFormat="1" x14ac:dyDescent="0.3">
      <c r="K681" s="41"/>
      <c r="L681" s="3"/>
      <c r="N681" s="143"/>
      <c r="O681" s="143"/>
      <c r="U681" s="143"/>
      <c r="V681" s="143"/>
      <c r="W681" s="143"/>
      <c r="AB681" s="143"/>
      <c r="AC681" s="143"/>
      <c r="AD681" s="143"/>
    </row>
    <row r="682" spans="11:30" customFormat="1" x14ac:dyDescent="0.3">
      <c r="K682" s="41"/>
      <c r="L682" s="3"/>
      <c r="N682" s="143"/>
      <c r="O682" s="143"/>
      <c r="U682" s="143"/>
      <c r="V682" s="143"/>
      <c r="W682" s="143"/>
      <c r="AB682" s="143"/>
      <c r="AC682" s="143"/>
      <c r="AD682" s="143"/>
    </row>
    <row r="683" spans="11:30" customFormat="1" x14ac:dyDescent="0.3">
      <c r="K683" s="41"/>
      <c r="L683" s="3"/>
      <c r="N683" s="143"/>
      <c r="O683" s="143"/>
      <c r="U683" s="143"/>
      <c r="V683" s="143"/>
      <c r="W683" s="143"/>
      <c r="AB683" s="143"/>
      <c r="AC683" s="143"/>
      <c r="AD683" s="143"/>
    </row>
    <row r="684" spans="11:30" customFormat="1" x14ac:dyDescent="0.3">
      <c r="K684" s="41"/>
      <c r="L684" s="3"/>
      <c r="N684" s="143"/>
      <c r="O684" s="143"/>
      <c r="U684" s="143"/>
      <c r="V684" s="143"/>
      <c r="W684" s="143"/>
      <c r="AB684" s="143"/>
      <c r="AC684" s="143"/>
      <c r="AD684" s="143"/>
    </row>
    <row r="685" spans="11:30" customFormat="1" x14ac:dyDescent="0.3">
      <c r="K685" s="41"/>
      <c r="L685" s="3"/>
      <c r="N685" s="143"/>
      <c r="O685" s="143"/>
      <c r="U685" s="143"/>
      <c r="V685" s="143"/>
      <c r="W685" s="143"/>
      <c r="AB685" s="143"/>
      <c r="AC685" s="143"/>
      <c r="AD685" s="143"/>
    </row>
    <row r="686" spans="11:30" customFormat="1" x14ac:dyDescent="0.3">
      <c r="K686" s="41"/>
      <c r="L686" s="3"/>
      <c r="N686" s="143"/>
      <c r="O686" s="143"/>
      <c r="U686" s="143"/>
      <c r="V686" s="143"/>
      <c r="W686" s="143"/>
      <c r="AB686" s="143"/>
      <c r="AC686" s="143"/>
      <c r="AD686" s="143"/>
    </row>
    <row r="687" spans="11:30" customFormat="1" x14ac:dyDescent="0.3">
      <c r="K687" s="41"/>
      <c r="L687" s="3"/>
      <c r="N687" s="143"/>
      <c r="O687" s="143"/>
      <c r="U687" s="143"/>
      <c r="V687" s="143"/>
      <c r="W687" s="143"/>
      <c r="AB687" s="143"/>
      <c r="AC687" s="143"/>
      <c r="AD687" s="143"/>
    </row>
    <row r="688" spans="11:30" customFormat="1" x14ac:dyDescent="0.3">
      <c r="K688" s="41"/>
      <c r="L688" s="3"/>
      <c r="N688" s="143"/>
      <c r="O688" s="143"/>
      <c r="U688" s="143"/>
      <c r="V688" s="143"/>
      <c r="W688" s="143"/>
      <c r="AB688" s="143"/>
      <c r="AC688" s="143"/>
      <c r="AD688" s="143"/>
    </row>
    <row r="689" spans="11:30" customFormat="1" x14ac:dyDescent="0.3">
      <c r="K689" s="41"/>
      <c r="L689" s="3"/>
      <c r="N689" s="143"/>
      <c r="O689" s="143"/>
      <c r="U689" s="143"/>
      <c r="V689" s="143"/>
      <c r="W689" s="143"/>
      <c r="AB689" s="143"/>
      <c r="AC689" s="143"/>
      <c r="AD689" s="143"/>
    </row>
    <row r="690" spans="11:30" customFormat="1" x14ac:dyDescent="0.3">
      <c r="K690" s="41"/>
      <c r="L690" s="3"/>
      <c r="N690" s="143"/>
      <c r="O690" s="143"/>
      <c r="U690" s="143"/>
      <c r="V690" s="143"/>
      <c r="W690" s="143"/>
      <c r="AB690" s="143"/>
      <c r="AC690" s="143"/>
      <c r="AD690" s="143"/>
    </row>
    <row r="691" spans="11:30" customFormat="1" x14ac:dyDescent="0.3">
      <c r="K691" s="41"/>
      <c r="L691" s="3"/>
      <c r="N691" s="143"/>
      <c r="O691" s="143"/>
      <c r="U691" s="143"/>
      <c r="V691" s="143"/>
      <c r="W691" s="143"/>
      <c r="AB691" s="143"/>
      <c r="AC691" s="143"/>
      <c r="AD691" s="143"/>
    </row>
    <row r="692" spans="11:30" customFormat="1" x14ac:dyDescent="0.3">
      <c r="K692" s="41"/>
      <c r="L692" s="3"/>
      <c r="N692" s="143"/>
      <c r="O692" s="143"/>
      <c r="U692" s="143"/>
      <c r="V692" s="143"/>
      <c r="W692" s="143"/>
      <c r="AB692" s="143"/>
      <c r="AC692" s="143"/>
      <c r="AD692" s="143"/>
    </row>
    <row r="693" spans="11:30" customFormat="1" x14ac:dyDescent="0.3">
      <c r="K693" s="41"/>
      <c r="L693" s="3"/>
      <c r="N693" s="143"/>
      <c r="O693" s="143"/>
      <c r="U693" s="143"/>
      <c r="V693" s="143"/>
      <c r="W693" s="143"/>
      <c r="AB693" s="143"/>
      <c r="AC693" s="143"/>
      <c r="AD693" s="143"/>
    </row>
    <row r="694" spans="11:30" customFormat="1" x14ac:dyDescent="0.3">
      <c r="K694" s="41"/>
      <c r="L694" s="3"/>
      <c r="N694" s="143"/>
      <c r="O694" s="143"/>
      <c r="U694" s="143"/>
      <c r="V694" s="143"/>
      <c r="W694" s="143"/>
      <c r="AB694" s="143"/>
      <c r="AC694" s="143"/>
      <c r="AD694" s="143"/>
    </row>
    <row r="695" spans="11:30" customFormat="1" x14ac:dyDescent="0.3">
      <c r="K695" s="41"/>
      <c r="L695" s="3"/>
      <c r="N695" s="143"/>
      <c r="O695" s="143"/>
      <c r="U695" s="143"/>
      <c r="V695" s="143"/>
      <c r="W695" s="143"/>
      <c r="AB695" s="143"/>
      <c r="AC695" s="143"/>
      <c r="AD695" s="143"/>
    </row>
    <row r="696" spans="11:30" customFormat="1" x14ac:dyDescent="0.3">
      <c r="K696" s="41"/>
      <c r="L696" s="3"/>
      <c r="N696" s="143"/>
      <c r="O696" s="143"/>
      <c r="U696" s="143"/>
      <c r="V696" s="143"/>
      <c r="W696" s="143"/>
      <c r="AB696" s="143"/>
      <c r="AC696" s="143"/>
      <c r="AD696" s="143"/>
    </row>
    <row r="697" spans="11:30" customFormat="1" x14ac:dyDescent="0.3">
      <c r="K697" s="41"/>
      <c r="L697" s="3"/>
      <c r="N697" s="143"/>
      <c r="O697" s="143"/>
      <c r="U697" s="143"/>
      <c r="V697" s="143"/>
      <c r="W697" s="143"/>
      <c r="AB697" s="143"/>
      <c r="AC697" s="143"/>
      <c r="AD697" s="143"/>
    </row>
    <row r="698" spans="11:30" customFormat="1" x14ac:dyDescent="0.3">
      <c r="K698" s="41"/>
      <c r="L698" s="3"/>
      <c r="N698" s="143"/>
      <c r="O698" s="143"/>
      <c r="U698" s="143"/>
      <c r="V698" s="143"/>
      <c r="W698" s="143"/>
      <c r="AB698" s="143"/>
      <c r="AC698" s="143"/>
      <c r="AD698" s="143"/>
    </row>
    <row r="699" spans="11:30" customFormat="1" x14ac:dyDescent="0.3">
      <c r="K699" s="41"/>
      <c r="L699" s="3"/>
      <c r="N699" s="143"/>
      <c r="O699" s="143"/>
      <c r="U699" s="143"/>
      <c r="V699" s="143"/>
      <c r="W699" s="143"/>
      <c r="AB699" s="143"/>
      <c r="AC699" s="143"/>
      <c r="AD699" s="143"/>
    </row>
    <row r="700" spans="11:30" customFormat="1" x14ac:dyDescent="0.3">
      <c r="K700" s="41"/>
      <c r="L700" s="3"/>
      <c r="N700" s="143"/>
      <c r="O700" s="143"/>
      <c r="U700" s="143"/>
      <c r="V700" s="143"/>
      <c r="W700" s="143"/>
      <c r="AB700" s="143"/>
      <c r="AC700" s="143"/>
      <c r="AD700" s="143"/>
    </row>
    <row r="701" spans="11:30" customFormat="1" x14ac:dyDescent="0.3">
      <c r="K701" s="41"/>
      <c r="L701" s="3"/>
      <c r="N701" s="143"/>
      <c r="O701" s="143"/>
      <c r="U701" s="143"/>
      <c r="V701" s="143"/>
      <c r="W701" s="143"/>
      <c r="AB701" s="143"/>
      <c r="AC701" s="143"/>
      <c r="AD701" s="143"/>
    </row>
    <row r="702" spans="11:30" customFormat="1" x14ac:dyDescent="0.3">
      <c r="K702" s="41"/>
      <c r="L702" s="3"/>
      <c r="N702" s="143"/>
      <c r="O702" s="143"/>
      <c r="U702" s="143"/>
      <c r="V702" s="143"/>
      <c r="W702" s="143"/>
      <c r="AB702" s="143"/>
      <c r="AC702" s="143"/>
      <c r="AD702" s="143"/>
    </row>
    <row r="703" spans="11:30" customFormat="1" x14ac:dyDescent="0.3">
      <c r="K703" s="41"/>
      <c r="L703" s="3"/>
      <c r="N703" s="143"/>
      <c r="O703" s="143"/>
      <c r="U703" s="143"/>
      <c r="V703" s="143"/>
      <c r="W703" s="143"/>
      <c r="AB703" s="143"/>
      <c r="AC703" s="143"/>
      <c r="AD703" s="143"/>
    </row>
    <row r="704" spans="11:30" customFormat="1" x14ac:dyDescent="0.3">
      <c r="K704" s="41"/>
      <c r="L704" s="3"/>
      <c r="N704" s="143"/>
      <c r="O704" s="143"/>
      <c r="U704" s="143"/>
      <c r="V704" s="143"/>
      <c r="W704" s="143"/>
      <c r="AB704" s="143"/>
      <c r="AC704" s="143"/>
      <c r="AD704" s="143"/>
    </row>
    <row r="705" spans="11:30" customFormat="1" x14ac:dyDescent="0.3">
      <c r="K705" s="41"/>
      <c r="L705" s="3"/>
      <c r="N705" s="143"/>
      <c r="O705" s="143"/>
      <c r="U705" s="143"/>
      <c r="V705" s="143"/>
      <c r="W705" s="143"/>
      <c r="AB705" s="143"/>
      <c r="AC705" s="143"/>
      <c r="AD705" s="143"/>
    </row>
    <row r="706" spans="11:30" customFormat="1" x14ac:dyDescent="0.3">
      <c r="K706" s="41"/>
      <c r="L706" s="3"/>
      <c r="N706" s="143"/>
      <c r="O706" s="143"/>
      <c r="U706" s="143"/>
      <c r="V706" s="143"/>
      <c r="W706" s="143"/>
      <c r="AB706" s="143"/>
      <c r="AC706" s="143"/>
      <c r="AD706" s="143"/>
    </row>
    <row r="707" spans="11:30" customFormat="1" x14ac:dyDescent="0.3">
      <c r="K707" s="41"/>
      <c r="L707" s="3"/>
      <c r="N707" s="143"/>
      <c r="O707" s="143"/>
      <c r="U707" s="143"/>
      <c r="V707" s="143"/>
      <c r="W707" s="143"/>
      <c r="AB707" s="143"/>
      <c r="AC707" s="143"/>
      <c r="AD707" s="143"/>
    </row>
    <row r="708" spans="11:30" customFormat="1" x14ac:dyDescent="0.3">
      <c r="K708" s="41"/>
      <c r="L708" s="3"/>
      <c r="N708" s="143"/>
      <c r="O708" s="143"/>
      <c r="U708" s="143"/>
      <c r="V708" s="143"/>
      <c r="W708" s="143"/>
      <c r="AB708" s="143"/>
      <c r="AC708" s="143"/>
      <c r="AD708" s="143"/>
    </row>
    <row r="709" spans="11:30" customFormat="1" x14ac:dyDescent="0.3">
      <c r="K709" s="41"/>
      <c r="L709" s="3"/>
      <c r="N709" s="143"/>
      <c r="O709" s="143"/>
      <c r="U709" s="143"/>
      <c r="V709" s="143"/>
      <c r="W709" s="143"/>
      <c r="AB709" s="143"/>
      <c r="AC709" s="143"/>
      <c r="AD709" s="143"/>
    </row>
    <row r="710" spans="11:30" customFormat="1" x14ac:dyDescent="0.3">
      <c r="K710" s="41"/>
      <c r="L710" s="3"/>
      <c r="N710" s="143"/>
      <c r="O710" s="143"/>
      <c r="U710" s="143"/>
      <c r="V710" s="143"/>
      <c r="W710" s="143"/>
      <c r="AB710" s="143"/>
      <c r="AC710" s="143"/>
      <c r="AD710" s="143"/>
    </row>
    <row r="711" spans="11:30" customFormat="1" x14ac:dyDescent="0.3">
      <c r="K711" s="41"/>
      <c r="L711" s="3"/>
      <c r="N711" s="143"/>
      <c r="O711" s="143"/>
      <c r="U711" s="143"/>
      <c r="V711" s="143"/>
      <c r="W711" s="143"/>
      <c r="AB711" s="143"/>
      <c r="AC711" s="143"/>
      <c r="AD711" s="143"/>
    </row>
    <row r="712" spans="11:30" customFormat="1" x14ac:dyDescent="0.3">
      <c r="K712" s="41"/>
      <c r="L712" s="3"/>
      <c r="N712" s="143"/>
      <c r="O712" s="143"/>
      <c r="U712" s="143"/>
      <c r="V712" s="143"/>
      <c r="W712" s="143"/>
      <c r="AB712" s="143"/>
      <c r="AC712" s="143"/>
      <c r="AD712" s="143"/>
    </row>
    <row r="713" spans="11:30" customFormat="1" x14ac:dyDescent="0.3">
      <c r="K713" s="41"/>
      <c r="L713" s="3"/>
      <c r="N713" s="143"/>
      <c r="O713" s="143"/>
      <c r="U713" s="143"/>
      <c r="V713" s="143"/>
      <c r="W713" s="143"/>
      <c r="AB713" s="143"/>
      <c r="AC713" s="143"/>
      <c r="AD713" s="143"/>
    </row>
    <row r="714" spans="11:30" customFormat="1" x14ac:dyDescent="0.3">
      <c r="K714" s="41"/>
      <c r="L714" s="3"/>
      <c r="N714" s="143"/>
      <c r="O714" s="143"/>
      <c r="U714" s="143"/>
      <c r="V714" s="143"/>
      <c r="W714" s="143"/>
      <c r="AB714" s="143"/>
      <c r="AC714" s="143"/>
      <c r="AD714" s="143"/>
    </row>
    <row r="715" spans="11:30" customFormat="1" x14ac:dyDescent="0.3">
      <c r="K715" s="41"/>
      <c r="L715" s="3"/>
      <c r="N715" s="143"/>
      <c r="O715" s="143"/>
      <c r="U715" s="143"/>
      <c r="V715" s="143"/>
      <c r="W715" s="143"/>
      <c r="AB715" s="143"/>
      <c r="AC715" s="143"/>
      <c r="AD715" s="143"/>
    </row>
    <row r="716" spans="11:30" customFormat="1" x14ac:dyDescent="0.3">
      <c r="K716" s="41"/>
      <c r="L716" s="3"/>
      <c r="N716" s="143"/>
      <c r="O716" s="143"/>
      <c r="U716" s="143"/>
      <c r="V716" s="143"/>
      <c r="W716" s="143"/>
      <c r="AB716" s="143"/>
      <c r="AC716" s="143"/>
      <c r="AD716" s="143"/>
    </row>
    <row r="717" spans="11:30" customFormat="1" x14ac:dyDescent="0.3">
      <c r="K717" s="41"/>
      <c r="L717" s="3"/>
      <c r="N717" s="143"/>
      <c r="O717" s="143"/>
      <c r="U717" s="143"/>
      <c r="V717" s="143"/>
      <c r="W717" s="143"/>
      <c r="AB717" s="143"/>
      <c r="AC717" s="143"/>
      <c r="AD717" s="143"/>
    </row>
    <row r="718" spans="11:30" customFormat="1" x14ac:dyDescent="0.3">
      <c r="K718" s="41"/>
      <c r="L718" s="3"/>
      <c r="N718" s="143"/>
      <c r="O718" s="143"/>
      <c r="U718" s="143"/>
      <c r="V718" s="143"/>
      <c r="W718" s="143"/>
      <c r="AB718" s="143"/>
      <c r="AC718" s="143"/>
      <c r="AD718" s="143"/>
    </row>
    <row r="719" spans="11:30" customFormat="1" x14ac:dyDescent="0.3">
      <c r="K719" s="41"/>
      <c r="L719" s="3"/>
      <c r="N719" s="143"/>
      <c r="O719" s="143"/>
      <c r="U719" s="143"/>
      <c r="V719" s="143"/>
      <c r="W719" s="143"/>
      <c r="AB719" s="143"/>
      <c r="AC719" s="143"/>
      <c r="AD719" s="143"/>
    </row>
    <row r="720" spans="11:30" customFormat="1" x14ac:dyDescent="0.3">
      <c r="K720" s="41"/>
      <c r="L720" s="3"/>
      <c r="N720" s="143"/>
      <c r="O720" s="143"/>
      <c r="U720" s="143"/>
      <c r="V720" s="143"/>
      <c r="W720" s="143"/>
      <c r="AB720" s="143"/>
      <c r="AC720" s="143"/>
      <c r="AD720" s="143"/>
    </row>
    <row r="721" spans="11:30" customFormat="1" x14ac:dyDescent="0.3">
      <c r="K721" s="41"/>
      <c r="L721" s="3"/>
      <c r="N721" s="143"/>
      <c r="O721" s="143"/>
      <c r="U721" s="143"/>
      <c r="V721" s="143"/>
      <c r="W721" s="143"/>
      <c r="AB721" s="143"/>
      <c r="AC721" s="143"/>
      <c r="AD721" s="143"/>
    </row>
    <row r="722" spans="11:30" customFormat="1" x14ac:dyDescent="0.3">
      <c r="K722" s="41"/>
      <c r="L722" s="3"/>
      <c r="N722" s="143"/>
      <c r="O722" s="143"/>
      <c r="U722" s="143"/>
      <c r="V722" s="143"/>
      <c r="W722" s="143"/>
      <c r="AB722" s="143"/>
      <c r="AC722" s="143"/>
      <c r="AD722" s="143"/>
    </row>
    <row r="723" spans="11:30" customFormat="1" x14ac:dyDescent="0.3">
      <c r="K723" s="41"/>
      <c r="L723" s="3"/>
      <c r="N723" s="143"/>
      <c r="O723" s="143"/>
      <c r="U723" s="143"/>
      <c r="V723" s="143"/>
      <c r="W723" s="143"/>
      <c r="AB723" s="143"/>
      <c r="AC723" s="143"/>
      <c r="AD723" s="143"/>
    </row>
    <row r="724" spans="11:30" customFormat="1" x14ac:dyDescent="0.3">
      <c r="K724" s="41"/>
      <c r="L724" s="3"/>
      <c r="N724" s="143"/>
      <c r="O724" s="143"/>
      <c r="U724" s="143"/>
      <c r="V724" s="143"/>
      <c r="W724" s="143"/>
      <c r="AB724" s="143"/>
      <c r="AC724" s="143"/>
      <c r="AD724" s="143"/>
    </row>
    <row r="725" spans="11:30" customFormat="1" x14ac:dyDescent="0.3">
      <c r="K725" s="41"/>
      <c r="L725" s="3"/>
      <c r="N725" s="143"/>
      <c r="O725" s="143"/>
      <c r="U725" s="143"/>
      <c r="V725" s="143"/>
      <c r="W725" s="143"/>
      <c r="AB725" s="143"/>
      <c r="AC725" s="143"/>
      <c r="AD725" s="143"/>
    </row>
    <row r="726" spans="11:30" customFormat="1" x14ac:dyDescent="0.3">
      <c r="K726" s="41"/>
      <c r="L726" s="3"/>
      <c r="N726" s="143"/>
      <c r="O726" s="143"/>
      <c r="U726" s="143"/>
      <c r="V726" s="143"/>
      <c r="W726" s="143"/>
      <c r="AB726" s="143"/>
      <c r="AC726" s="143"/>
      <c r="AD726" s="143"/>
    </row>
    <row r="727" spans="11:30" customFormat="1" x14ac:dyDescent="0.3">
      <c r="K727" s="41"/>
      <c r="L727" s="3"/>
      <c r="N727" s="143"/>
      <c r="O727" s="143"/>
      <c r="U727" s="143"/>
      <c r="V727" s="143"/>
      <c r="W727" s="143"/>
      <c r="AB727" s="143"/>
      <c r="AC727" s="143"/>
      <c r="AD727" s="143"/>
    </row>
    <row r="728" spans="11:30" customFormat="1" x14ac:dyDescent="0.3">
      <c r="K728" s="41"/>
      <c r="L728" s="3"/>
      <c r="N728" s="143"/>
      <c r="O728" s="143"/>
      <c r="U728" s="143"/>
      <c r="V728" s="143"/>
      <c r="W728" s="143"/>
      <c r="AB728" s="143"/>
      <c r="AC728" s="143"/>
      <c r="AD728" s="143"/>
    </row>
    <row r="729" spans="11:30" customFormat="1" x14ac:dyDescent="0.3">
      <c r="K729" s="41"/>
      <c r="L729" s="3"/>
      <c r="N729" s="143"/>
      <c r="O729" s="143"/>
      <c r="U729" s="143"/>
      <c r="V729" s="143"/>
      <c r="W729" s="143"/>
      <c r="AB729" s="143"/>
      <c r="AC729" s="143"/>
      <c r="AD729" s="143"/>
    </row>
    <row r="730" spans="11:30" customFormat="1" x14ac:dyDescent="0.3">
      <c r="K730" s="41"/>
      <c r="L730" s="3"/>
      <c r="N730" s="143"/>
      <c r="O730" s="143"/>
      <c r="U730" s="143"/>
      <c r="V730" s="143"/>
      <c r="W730" s="143"/>
      <c r="AB730" s="143"/>
      <c r="AC730" s="143"/>
      <c r="AD730" s="143"/>
    </row>
    <row r="731" spans="11:30" customFormat="1" x14ac:dyDescent="0.3">
      <c r="K731" s="41"/>
      <c r="L731" s="3"/>
      <c r="N731" s="143"/>
      <c r="O731" s="143"/>
      <c r="U731" s="143"/>
      <c r="V731" s="143"/>
      <c r="W731" s="143"/>
      <c r="AB731" s="143"/>
      <c r="AC731" s="143"/>
      <c r="AD731" s="143"/>
    </row>
    <row r="732" spans="11:30" customFormat="1" x14ac:dyDescent="0.3">
      <c r="K732" s="41"/>
      <c r="L732" s="3"/>
      <c r="N732" s="143"/>
      <c r="O732" s="143"/>
      <c r="U732" s="143"/>
      <c r="V732" s="143"/>
      <c r="W732" s="143"/>
      <c r="AB732" s="143"/>
      <c r="AC732" s="143"/>
      <c r="AD732" s="143"/>
    </row>
    <row r="733" spans="11:30" customFormat="1" x14ac:dyDescent="0.3">
      <c r="K733" s="41"/>
      <c r="L733" s="3"/>
      <c r="N733" s="143"/>
      <c r="O733" s="143"/>
      <c r="U733" s="143"/>
      <c r="V733" s="143"/>
      <c r="W733" s="143"/>
      <c r="AB733" s="143"/>
      <c r="AC733" s="143"/>
      <c r="AD733" s="143"/>
    </row>
    <row r="734" spans="11:30" customFormat="1" x14ac:dyDescent="0.3">
      <c r="K734" s="41"/>
      <c r="L734" s="3"/>
      <c r="N734" s="143"/>
      <c r="O734" s="143"/>
      <c r="U734" s="143"/>
      <c r="V734" s="143"/>
      <c r="W734" s="143"/>
      <c r="AB734" s="143"/>
      <c r="AC734" s="143"/>
      <c r="AD734" s="143"/>
    </row>
    <row r="735" spans="11:30" customFormat="1" x14ac:dyDescent="0.3">
      <c r="K735" s="41"/>
      <c r="L735" s="3"/>
      <c r="N735" s="143"/>
      <c r="O735" s="143"/>
      <c r="U735" s="143"/>
      <c r="V735" s="143"/>
      <c r="W735" s="143"/>
      <c r="AB735" s="143"/>
      <c r="AC735" s="143"/>
      <c r="AD735" s="143"/>
    </row>
    <row r="736" spans="11:30" customFormat="1" x14ac:dyDescent="0.3">
      <c r="K736" s="41"/>
      <c r="L736" s="3"/>
      <c r="N736" s="143"/>
      <c r="O736" s="143"/>
      <c r="U736" s="143"/>
      <c r="V736" s="143"/>
      <c r="W736" s="143"/>
      <c r="AB736" s="143"/>
      <c r="AC736" s="143"/>
      <c r="AD736" s="143"/>
    </row>
    <row r="737" spans="11:30" customFormat="1" x14ac:dyDescent="0.3">
      <c r="K737" s="41"/>
      <c r="L737" s="3"/>
      <c r="N737" s="143"/>
      <c r="O737" s="143"/>
      <c r="U737" s="143"/>
      <c r="V737" s="143"/>
      <c r="W737" s="143"/>
      <c r="AB737" s="143"/>
      <c r="AC737" s="143"/>
      <c r="AD737" s="143"/>
    </row>
    <row r="738" spans="11:30" customFormat="1" x14ac:dyDescent="0.3">
      <c r="K738" s="41"/>
      <c r="L738" s="3"/>
      <c r="N738" s="143"/>
      <c r="O738" s="143"/>
      <c r="U738" s="143"/>
      <c r="V738" s="143"/>
      <c r="W738" s="143"/>
      <c r="AB738" s="143"/>
      <c r="AC738" s="143"/>
      <c r="AD738" s="143"/>
    </row>
    <row r="739" spans="11:30" customFormat="1" x14ac:dyDescent="0.3">
      <c r="K739" s="41"/>
      <c r="L739" s="3"/>
      <c r="N739" s="143"/>
      <c r="O739" s="143"/>
      <c r="U739" s="143"/>
      <c r="V739" s="143"/>
      <c r="W739" s="143"/>
      <c r="AB739" s="143"/>
      <c r="AC739" s="143"/>
      <c r="AD739" s="143"/>
    </row>
    <row r="740" spans="11:30" customFormat="1" x14ac:dyDescent="0.3">
      <c r="K740" s="41"/>
      <c r="L740" s="3"/>
      <c r="N740" s="143"/>
      <c r="O740" s="143"/>
      <c r="U740" s="143"/>
      <c r="V740" s="143"/>
      <c r="W740" s="143"/>
      <c r="AB740" s="143"/>
      <c r="AC740" s="143"/>
      <c r="AD740" s="143"/>
    </row>
    <row r="741" spans="11:30" customFormat="1" x14ac:dyDescent="0.3">
      <c r="K741" s="41"/>
      <c r="L741" s="3"/>
      <c r="N741" s="143"/>
      <c r="O741" s="143"/>
      <c r="U741" s="143"/>
      <c r="V741" s="143"/>
      <c r="W741" s="143"/>
      <c r="AB741" s="143"/>
      <c r="AC741" s="143"/>
      <c r="AD741" s="143"/>
    </row>
    <row r="742" spans="11:30" customFormat="1" x14ac:dyDescent="0.3">
      <c r="K742" s="41"/>
      <c r="L742" s="3"/>
      <c r="N742" s="143"/>
      <c r="O742" s="143"/>
      <c r="U742" s="143"/>
      <c r="V742" s="143"/>
      <c r="W742" s="143"/>
      <c r="AB742" s="143"/>
      <c r="AC742" s="143"/>
      <c r="AD742" s="143"/>
    </row>
    <row r="743" spans="11:30" customFormat="1" x14ac:dyDescent="0.3">
      <c r="K743" s="41"/>
      <c r="L743" s="3"/>
      <c r="N743" s="143"/>
      <c r="O743" s="143"/>
      <c r="U743" s="143"/>
      <c r="V743" s="143"/>
      <c r="W743" s="143"/>
      <c r="AB743" s="143"/>
      <c r="AC743" s="143"/>
      <c r="AD743" s="143"/>
    </row>
    <row r="744" spans="11:30" customFormat="1" x14ac:dyDescent="0.3">
      <c r="K744" s="41"/>
      <c r="L744" s="3"/>
      <c r="N744" s="143"/>
      <c r="O744" s="143"/>
      <c r="U744" s="143"/>
      <c r="V744" s="143"/>
      <c r="W744" s="143"/>
      <c r="AB744" s="143"/>
      <c r="AC744" s="143"/>
      <c r="AD744" s="143"/>
    </row>
    <row r="745" spans="11:30" customFormat="1" x14ac:dyDescent="0.3">
      <c r="K745" s="41"/>
      <c r="L745" s="3"/>
      <c r="N745" s="143"/>
      <c r="O745" s="143"/>
      <c r="U745" s="143"/>
      <c r="V745" s="143"/>
      <c r="W745" s="143"/>
      <c r="AB745" s="143"/>
      <c r="AC745" s="143"/>
      <c r="AD745" s="143"/>
    </row>
    <row r="746" spans="11:30" customFormat="1" x14ac:dyDescent="0.3">
      <c r="K746" s="41"/>
      <c r="L746" s="3"/>
      <c r="N746" s="143"/>
      <c r="O746" s="143"/>
      <c r="U746" s="143"/>
      <c r="V746" s="143"/>
      <c r="W746" s="143"/>
      <c r="AB746" s="143"/>
      <c r="AC746" s="143"/>
      <c r="AD746" s="143"/>
    </row>
    <row r="747" spans="11:30" customFormat="1" x14ac:dyDescent="0.3">
      <c r="K747" s="41"/>
      <c r="L747" s="3"/>
      <c r="N747" s="143"/>
      <c r="O747" s="143"/>
      <c r="U747" s="143"/>
      <c r="V747" s="143"/>
      <c r="W747" s="143"/>
      <c r="AB747" s="143"/>
      <c r="AC747" s="143"/>
      <c r="AD747" s="143"/>
    </row>
    <row r="748" spans="11:30" customFormat="1" x14ac:dyDescent="0.3">
      <c r="K748" s="41"/>
      <c r="L748" s="3"/>
      <c r="N748" s="143"/>
      <c r="O748" s="143"/>
      <c r="U748" s="143"/>
      <c r="V748" s="143"/>
      <c r="W748" s="143"/>
      <c r="AB748" s="143"/>
      <c r="AC748" s="143"/>
      <c r="AD748" s="143"/>
    </row>
    <row r="749" spans="11:30" customFormat="1" x14ac:dyDescent="0.3">
      <c r="K749" s="41"/>
      <c r="L749" s="3"/>
      <c r="N749" s="143"/>
      <c r="O749" s="143"/>
      <c r="U749" s="143"/>
      <c r="V749" s="143"/>
      <c r="W749" s="143"/>
      <c r="AB749" s="143"/>
      <c r="AC749" s="143"/>
      <c r="AD749" s="143"/>
    </row>
    <row r="750" spans="11:30" customFormat="1" x14ac:dyDescent="0.3">
      <c r="K750" s="41"/>
      <c r="L750" s="3"/>
      <c r="N750" s="143"/>
      <c r="O750" s="143"/>
      <c r="U750" s="143"/>
      <c r="V750" s="143"/>
      <c r="W750" s="143"/>
      <c r="AB750" s="143"/>
      <c r="AC750" s="143"/>
      <c r="AD750" s="143"/>
    </row>
    <row r="751" spans="11:30" customFormat="1" x14ac:dyDescent="0.3">
      <c r="K751" s="41"/>
      <c r="L751" s="3"/>
      <c r="N751" s="143"/>
      <c r="O751" s="143"/>
      <c r="U751" s="143"/>
      <c r="V751" s="143"/>
      <c r="W751" s="143"/>
      <c r="AB751" s="143"/>
      <c r="AC751" s="143"/>
      <c r="AD751" s="143"/>
    </row>
    <row r="752" spans="11:30" customFormat="1" x14ac:dyDescent="0.3">
      <c r="K752" s="41"/>
      <c r="L752" s="3"/>
      <c r="N752" s="143"/>
      <c r="O752" s="143"/>
      <c r="U752" s="143"/>
      <c r="V752" s="143"/>
      <c r="W752" s="143"/>
      <c r="AB752" s="143"/>
      <c r="AC752" s="143"/>
      <c r="AD752" s="143"/>
    </row>
    <row r="753" spans="11:30" customFormat="1" x14ac:dyDescent="0.3">
      <c r="K753" s="41"/>
      <c r="L753" s="3"/>
      <c r="N753" s="143"/>
      <c r="O753" s="143"/>
      <c r="U753" s="143"/>
      <c r="V753" s="143"/>
      <c r="W753" s="143"/>
      <c r="AB753" s="143"/>
      <c r="AC753" s="143"/>
      <c r="AD753" s="143"/>
    </row>
    <row r="754" spans="11:30" customFormat="1" x14ac:dyDescent="0.3">
      <c r="K754" s="41"/>
      <c r="L754" s="3"/>
      <c r="N754" s="143"/>
      <c r="O754" s="143"/>
      <c r="U754" s="143"/>
      <c r="V754" s="143"/>
      <c r="W754" s="143"/>
      <c r="AB754" s="143"/>
      <c r="AC754" s="143"/>
      <c r="AD754" s="143"/>
    </row>
    <row r="755" spans="11:30" customFormat="1" x14ac:dyDescent="0.3">
      <c r="K755" s="41"/>
      <c r="L755" s="3"/>
      <c r="N755" s="143"/>
      <c r="O755" s="143"/>
      <c r="U755" s="143"/>
      <c r="V755" s="143"/>
      <c r="W755" s="143"/>
      <c r="AB755" s="143"/>
      <c r="AC755" s="143"/>
      <c r="AD755" s="143"/>
    </row>
    <row r="756" spans="11:30" customFormat="1" x14ac:dyDescent="0.3">
      <c r="K756" s="41"/>
      <c r="L756" s="3"/>
      <c r="N756" s="143"/>
      <c r="O756" s="143"/>
      <c r="U756" s="143"/>
      <c r="V756" s="143"/>
      <c r="W756" s="143"/>
      <c r="AB756" s="143"/>
      <c r="AC756" s="143"/>
      <c r="AD756" s="143"/>
    </row>
    <row r="757" spans="11:30" customFormat="1" x14ac:dyDescent="0.3">
      <c r="K757" s="41"/>
      <c r="L757" s="3"/>
      <c r="N757" s="143"/>
      <c r="O757" s="143"/>
      <c r="U757" s="143"/>
      <c r="V757" s="143"/>
      <c r="W757" s="143"/>
      <c r="AB757" s="143"/>
      <c r="AC757" s="143"/>
      <c r="AD757" s="143"/>
    </row>
    <row r="758" spans="11:30" customFormat="1" x14ac:dyDescent="0.3">
      <c r="K758" s="41"/>
      <c r="L758" s="3"/>
      <c r="N758" s="143"/>
      <c r="O758" s="143"/>
      <c r="U758" s="143"/>
      <c r="V758" s="143"/>
      <c r="W758" s="143"/>
      <c r="AB758" s="143"/>
      <c r="AC758" s="143"/>
      <c r="AD758" s="143"/>
    </row>
    <row r="759" spans="11:30" customFormat="1" x14ac:dyDescent="0.3">
      <c r="K759" s="41"/>
      <c r="L759" s="3"/>
      <c r="N759" s="143"/>
      <c r="O759" s="143"/>
      <c r="U759" s="143"/>
      <c r="V759" s="143"/>
      <c r="W759" s="143"/>
      <c r="AB759" s="143"/>
      <c r="AC759" s="143"/>
      <c r="AD759" s="143"/>
    </row>
    <row r="760" spans="11:30" customFormat="1" x14ac:dyDescent="0.3">
      <c r="K760" s="41"/>
      <c r="L760" s="3"/>
      <c r="N760" s="143"/>
      <c r="O760" s="143"/>
      <c r="U760" s="143"/>
      <c r="V760" s="143"/>
      <c r="W760" s="143"/>
      <c r="AB760" s="143"/>
      <c r="AC760" s="143"/>
      <c r="AD760" s="143"/>
    </row>
    <row r="761" spans="11:30" customFormat="1" x14ac:dyDescent="0.3">
      <c r="K761" s="41"/>
      <c r="L761" s="3"/>
      <c r="N761" s="143"/>
      <c r="O761" s="143"/>
      <c r="U761" s="143"/>
      <c r="V761" s="143"/>
      <c r="W761" s="143"/>
      <c r="AB761" s="143"/>
      <c r="AC761" s="143"/>
      <c r="AD761" s="143"/>
    </row>
    <row r="762" spans="11:30" customFormat="1" x14ac:dyDescent="0.3">
      <c r="K762" s="41"/>
      <c r="L762" s="3"/>
      <c r="N762" s="143"/>
      <c r="O762" s="143"/>
      <c r="U762" s="143"/>
      <c r="V762" s="143"/>
      <c r="W762" s="143"/>
      <c r="AB762" s="143"/>
      <c r="AC762" s="143"/>
      <c r="AD762" s="143"/>
    </row>
    <row r="763" spans="11:30" customFormat="1" x14ac:dyDescent="0.3">
      <c r="K763" s="41"/>
      <c r="L763" s="3"/>
      <c r="N763" s="143"/>
      <c r="O763" s="143"/>
      <c r="U763" s="143"/>
      <c r="V763" s="143"/>
      <c r="W763" s="143"/>
      <c r="AB763" s="143"/>
      <c r="AC763" s="143"/>
      <c r="AD763" s="143"/>
    </row>
    <row r="764" spans="11:30" customFormat="1" x14ac:dyDescent="0.3">
      <c r="K764" s="41"/>
      <c r="L764" s="3"/>
      <c r="N764" s="143"/>
      <c r="O764" s="143"/>
      <c r="U764" s="143"/>
      <c r="V764" s="143"/>
      <c r="W764" s="143"/>
      <c r="AB764" s="143"/>
      <c r="AC764" s="143"/>
      <c r="AD764" s="143"/>
    </row>
    <row r="765" spans="11:30" customFormat="1" x14ac:dyDescent="0.3">
      <c r="K765" s="41"/>
      <c r="L765" s="3"/>
      <c r="N765" s="143"/>
      <c r="O765" s="143"/>
      <c r="U765" s="143"/>
      <c r="V765" s="143"/>
      <c r="W765" s="143"/>
      <c r="AB765" s="143"/>
      <c r="AC765" s="143"/>
      <c r="AD765" s="143"/>
    </row>
    <row r="766" spans="11:30" customFormat="1" x14ac:dyDescent="0.3">
      <c r="K766" s="41"/>
      <c r="L766" s="3"/>
      <c r="N766" s="143"/>
      <c r="O766" s="143"/>
      <c r="U766" s="143"/>
      <c r="V766" s="143"/>
      <c r="W766" s="143"/>
      <c r="AB766" s="143"/>
      <c r="AC766" s="143"/>
      <c r="AD766" s="143"/>
    </row>
    <row r="767" spans="11:30" customFormat="1" x14ac:dyDescent="0.3">
      <c r="K767" s="41"/>
      <c r="L767" s="3"/>
      <c r="N767" s="143"/>
      <c r="O767" s="143"/>
      <c r="U767" s="143"/>
      <c r="V767" s="143"/>
      <c r="W767" s="143"/>
      <c r="AB767" s="143"/>
      <c r="AC767" s="143"/>
      <c r="AD767" s="143"/>
    </row>
    <row r="768" spans="11:30" customFormat="1" x14ac:dyDescent="0.3">
      <c r="K768" s="41"/>
      <c r="L768" s="3"/>
      <c r="N768" s="143"/>
      <c r="O768" s="143"/>
      <c r="U768" s="143"/>
      <c r="V768" s="143"/>
      <c r="W768" s="143"/>
      <c r="AB768" s="143"/>
      <c r="AC768" s="143"/>
      <c r="AD768" s="143"/>
    </row>
    <row r="769" spans="11:30" customFormat="1" x14ac:dyDescent="0.3">
      <c r="K769" s="41"/>
      <c r="L769" s="3"/>
      <c r="N769" s="143"/>
      <c r="O769" s="143"/>
      <c r="U769" s="143"/>
      <c r="V769" s="143"/>
      <c r="W769" s="143"/>
      <c r="AB769" s="143"/>
      <c r="AC769" s="143"/>
      <c r="AD769" s="143"/>
    </row>
    <row r="770" spans="11:30" customFormat="1" x14ac:dyDescent="0.3">
      <c r="K770" s="41"/>
      <c r="L770" s="3"/>
      <c r="N770" s="143"/>
      <c r="O770" s="143"/>
      <c r="U770" s="143"/>
      <c r="V770" s="143"/>
      <c r="W770" s="143"/>
      <c r="AB770" s="143"/>
      <c r="AC770" s="143"/>
      <c r="AD770" s="143"/>
    </row>
    <row r="771" spans="11:30" customFormat="1" x14ac:dyDescent="0.3">
      <c r="K771" s="41"/>
      <c r="L771" s="3"/>
      <c r="N771" s="143"/>
      <c r="O771" s="143"/>
      <c r="U771" s="143"/>
      <c r="V771" s="143"/>
      <c r="W771" s="143"/>
      <c r="AB771" s="143"/>
      <c r="AC771" s="143"/>
      <c r="AD771" s="143"/>
    </row>
    <row r="772" spans="11:30" customFormat="1" x14ac:dyDescent="0.3">
      <c r="K772" s="41"/>
      <c r="L772" s="3"/>
      <c r="N772" s="143"/>
      <c r="O772" s="143"/>
      <c r="U772" s="143"/>
      <c r="V772" s="143"/>
      <c r="W772" s="143"/>
      <c r="AB772" s="143"/>
      <c r="AC772" s="143"/>
      <c r="AD772" s="143"/>
    </row>
    <row r="773" spans="11:30" customFormat="1" x14ac:dyDescent="0.3">
      <c r="K773" s="41"/>
      <c r="L773" s="3"/>
      <c r="N773" s="143"/>
      <c r="O773" s="143"/>
      <c r="U773" s="143"/>
      <c r="V773" s="143"/>
      <c r="W773" s="143"/>
      <c r="AB773" s="143"/>
      <c r="AC773" s="143"/>
      <c r="AD773" s="143"/>
    </row>
    <row r="774" spans="11:30" customFormat="1" x14ac:dyDescent="0.3">
      <c r="K774" s="41"/>
      <c r="L774" s="3"/>
      <c r="N774" s="143"/>
      <c r="O774" s="143"/>
      <c r="U774" s="143"/>
      <c r="V774" s="143"/>
      <c r="W774" s="143"/>
      <c r="AB774" s="143"/>
      <c r="AC774" s="143"/>
      <c r="AD774" s="143"/>
    </row>
    <row r="775" spans="11:30" customFormat="1" x14ac:dyDescent="0.3">
      <c r="K775" s="41"/>
      <c r="L775" s="3"/>
      <c r="N775" s="143"/>
      <c r="O775" s="143"/>
      <c r="U775" s="143"/>
      <c r="V775" s="143"/>
      <c r="W775" s="143"/>
      <c r="AB775" s="143"/>
      <c r="AC775" s="143"/>
      <c r="AD775" s="143"/>
    </row>
    <row r="776" spans="11:30" customFormat="1" x14ac:dyDescent="0.3">
      <c r="K776" s="41"/>
      <c r="L776" s="3"/>
      <c r="N776" s="143"/>
      <c r="O776" s="143"/>
      <c r="U776" s="143"/>
      <c r="V776" s="143"/>
      <c r="W776" s="143"/>
      <c r="AB776" s="143"/>
      <c r="AC776" s="143"/>
      <c r="AD776" s="143"/>
    </row>
    <row r="777" spans="11:30" customFormat="1" x14ac:dyDescent="0.3">
      <c r="K777" s="41"/>
      <c r="L777" s="3"/>
      <c r="N777" s="143"/>
      <c r="O777" s="143"/>
      <c r="U777" s="143"/>
      <c r="V777" s="143"/>
      <c r="W777" s="143"/>
      <c r="AB777" s="143"/>
      <c r="AC777" s="143"/>
      <c r="AD777" s="143"/>
    </row>
    <row r="778" spans="11:30" customFormat="1" x14ac:dyDescent="0.3">
      <c r="K778" s="41"/>
      <c r="L778" s="3"/>
      <c r="N778" s="143"/>
      <c r="O778" s="143"/>
      <c r="U778" s="143"/>
      <c r="V778" s="143"/>
      <c r="W778" s="143"/>
      <c r="AB778" s="143"/>
      <c r="AC778" s="143"/>
      <c r="AD778" s="143"/>
    </row>
    <row r="779" spans="11:30" customFormat="1" x14ac:dyDescent="0.3">
      <c r="K779" s="41"/>
      <c r="L779" s="3"/>
      <c r="N779" s="143"/>
      <c r="O779" s="143"/>
      <c r="U779" s="143"/>
      <c r="V779" s="143"/>
      <c r="W779" s="143"/>
      <c r="AB779" s="143"/>
      <c r="AC779" s="143"/>
      <c r="AD779" s="143"/>
    </row>
    <row r="780" spans="11:30" customFormat="1" x14ac:dyDescent="0.3">
      <c r="K780" s="41"/>
      <c r="L780" s="3"/>
      <c r="N780" s="143"/>
      <c r="O780" s="143"/>
      <c r="U780" s="143"/>
      <c r="V780" s="143"/>
      <c r="W780" s="143"/>
      <c r="AB780" s="143"/>
      <c r="AC780" s="143"/>
      <c r="AD780" s="143"/>
    </row>
    <row r="781" spans="11:30" customFormat="1" x14ac:dyDescent="0.3">
      <c r="K781" s="41"/>
      <c r="L781" s="3"/>
      <c r="N781" s="143"/>
      <c r="O781" s="143"/>
      <c r="U781" s="143"/>
      <c r="V781" s="143"/>
      <c r="W781" s="143"/>
      <c r="AB781" s="143"/>
      <c r="AC781" s="143"/>
      <c r="AD781" s="143"/>
    </row>
    <row r="782" spans="11:30" customFormat="1" x14ac:dyDescent="0.3">
      <c r="K782" s="41"/>
      <c r="L782" s="3"/>
      <c r="N782" s="143"/>
      <c r="O782" s="143"/>
      <c r="U782" s="143"/>
      <c r="V782" s="143"/>
      <c r="W782" s="143"/>
      <c r="AB782" s="143"/>
      <c r="AC782" s="143"/>
      <c r="AD782" s="143"/>
    </row>
    <row r="783" spans="11:30" customFormat="1" x14ac:dyDescent="0.3">
      <c r="K783" s="41"/>
      <c r="L783" s="3"/>
      <c r="N783" s="143"/>
      <c r="O783" s="143"/>
      <c r="U783" s="143"/>
      <c r="V783" s="143"/>
      <c r="W783" s="143"/>
      <c r="AB783" s="143"/>
      <c r="AC783" s="143"/>
      <c r="AD783" s="143"/>
    </row>
    <row r="784" spans="11:30" customFormat="1" x14ac:dyDescent="0.3">
      <c r="K784" s="41"/>
      <c r="L784" s="3"/>
      <c r="N784" s="143"/>
      <c r="O784" s="143"/>
      <c r="U784" s="143"/>
      <c r="V784" s="143"/>
      <c r="W784" s="143"/>
      <c r="AB784" s="143"/>
      <c r="AC784" s="143"/>
      <c r="AD784" s="143"/>
    </row>
    <row r="785" spans="11:30" customFormat="1" x14ac:dyDescent="0.3">
      <c r="K785" s="41"/>
      <c r="L785" s="3"/>
      <c r="N785" s="143"/>
      <c r="O785" s="143"/>
      <c r="U785" s="143"/>
      <c r="V785" s="143"/>
      <c r="W785" s="143"/>
      <c r="AB785" s="143"/>
      <c r="AC785" s="143"/>
      <c r="AD785" s="143"/>
    </row>
    <row r="786" spans="11:30" customFormat="1" x14ac:dyDescent="0.3">
      <c r="K786" s="41"/>
      <c r="L786" s="3"/>
      <c r="N786" s="143"/>
      <c r="O786" s="143"/>
      <c r="U786" s="143"/>
      <c r="V786" s="143"/>
      <c r="W786" s="143"/>
      <c r="AB786" s="143"/>
      <c r="AC786" s="143"/>
      <c r="AD786" s="143"/>
    </row>
    <row r="787" spans="11:30" customFormat="1" x14ac:dyDescent="0.3">
      <c r="K787" s="41"/>
      <c r="L787" s="3"/>
      <c r="N787" s="143"/>
      <c r="O787" s="143"/>
      <c r="U787" s="143"/>
      <c r="V787" s="143"/>
      <c r="W787" s="143"/>
      <c r="AB787" s="143"/>
      <c r="AC787" s="143"/>
      <c r="AD787" s="143"/>
    </row>
    <row r="788" spans="11:30" customFormat="1" x14ac:dyDescent="0.3">
      <c r="K788" s="41"/>
      <c r="L788" s="3"/>
      <c r="N788" s="143"/>
      <c r="O788" s="143"/>
      <c r="U788" s="143"/>
      <c r="V788" s="143"/>
      <c r="W788" s="143"/>
      <c r="AB788" s="143"/>
      <c r="AC788" s="143"/>
      <c r="AD788" s="143"/>
    </row>
    <row r="789" spans="11:30" customFormat="1" x14ac:dyDescent="0.3">
      <c r="K789" s="41"/>
      <c r="L789" s="3"/>
      <c r="N789" s="143"/>
      <c r="O789" s="143"/>
      <c r="U789" s="143"/>
      <c r="V789" s="143"/>
      <c r="W789" s="143"/>
      <c r="AB789" s="143"/>
      <c r="AC789" s="143"/>
      <c r="AD789" s="143"/>
    </row>
    <row r="790" spans="11:30" customFormat="1" x14ac:dyDescent="0.3">
      <c r="K790" s="41"/>
      <c r="L790" s="3"/>
      <c r="N790" s="143"/>
      <c r="O790" s="143"/>
      <c r="U790" s="143"/>
      <c r="V790" s="143"/>
      <c r="W790" s="143"/>
      <c r="AB790" s="143"/>
      <c r="AC790" s="143"/>
      <c r="AD790" s="143"/>
    </row>
    <row r="791" spans="11:30" customFormat="1" x14ac:dyDescent="0.3">
      <c r="K791" s="41"/>
      <c r="L791" s="3"/>
      <c r="N791" s="143"/>
      <c r="O791" s="143"/>
      <c r="U791" s="143"/>
      <c r="V791" s="143"/>
      <c r="W791" s="143"/>
      <c r="AB791" s="143"/>
      <c r="AC791" s="143"/>
      <c r="AD791" s="143"/>
    </row>
    <row r="792" spans="11:30" customFormat="1" x14ac:dyDescent="0.3">
      <c r="K792" s="41"/>
      <c r="L792" s="3"/>
      <c r="N792" s="143"/>
      <c r="O792" s="143"/>
      <c r="U792" s="143"/>
      <c r="V792" s="143"/>
      <c r="W792" s="143"/>
      <c r="AB792" s="143"/>
      <c r="AC792" s="143"/>
      <c r="AD792" s="143"/>
    </row>
    <row r="793" spans="11:30" customFormat="1" x14ac:dyDescent="0.3">
      <c r="K793" s="41"/>
      <c r="L793" s="3"/>
      <c r="N793" s="143"/>
      <c r="O793" s="143"/>
      <c r="U793" s="143"/>
      <c r="V793" s="143"/>
      <c r="W793" s="143"/>
      <c r="AB793" s="143"/>
      <c r="AC793" s="143"/>
      <c r="AD793" s="143"/>
    </row>
    <row r="794" spans="11:30" customFormat="1" x14ac:dyDescent="0.3">
      <c r="K794" s="41"/>
      <c r="L794" s="3"/>
      <c r="N794" s="143"/>
      <c r="O794" s="143"/>
      <c r="U794" s="143"/>
      <c r="V794" s="143"/>
      <c r="W794" s="143"/>
      <c r="AB794" s="143"/>
      <c r="AC794" s="143"/>
      <c r="AD794" s="143"/>
    </row>
    <row r="795" spans="11:30" customFormat="1" x14ac:dyDescent="0.3">
      <c r="K795" s="41"/>
      <c r="L795" s="3"/>
      <c r="N795" s="143"/>
      <c r="O795" s="143"/>
      <c r="U795" s="143"/>
      <c r="V795" s="143"/>
      <c r="W795" s="143"/>
      <c r="AB795" s="143"/>
      <c r="AC795" s="143"/>
      <c r="AD795" s="143"/>
    </row>
    <row r="796" spans="11:30" customFormat="1" x14ac:dyDescent="0.3">
      <c r="K796" s="41"/>
      <c r="L796" s="3"/>
      <c r="N796" s="143"/>
      <c r="O796" s="143"/>
      <c r="U796" s="143"/>
      <c r="V796" s="143"/>
      <c r="W796" s="143"/>
      <c r="AB796" s="143"/>
      <c r="AC796" s="143"/>
      <c r="AD796" s="143"/>
    </row>
    <row r="797" spans="11:30" customFormat="1" x14ac:dyDescent="0.3">
      <c r="K797" s="41"/>
      <c r="L797" s="3"/>
      <c r="N797" s="143"/>
      <c r="O797" s="143"/>
      <c r="U797" s="143"/>
      <c r="V797" s="143"/>
      <c r="W797" s="143"/>
      <c r="AB797" s="143"/>
      <c r="AC797" s="143"/>
      <c r="AD797" s="143"/>
    </row>
    <row r="798" spans="11:30" customFormat="1" x14ac:dyDescent="0.3">
      <c r="K798" s="41"/>
      <c r="L798" s="3"/>
      <c r="N798" s="143"/>
      <c r="O798" s="143"/>
      <c r="U798" s="143"/>
      <c r="V798" s="143"/>
      <c r="W798" s="143"/>
      <c r="AB798" s="143"/>
      <c r="AC798" s="143"/>
      <c r="AD798" s="143"/>
    </row>
    <row r="799" spans="11:30" customFormat="1" x14ac:dyDescent="0.3">
      <c r="K799" s="41"/>
      <c r="L799" s="3"/>
      <c r="N799" s="143"/>
      <c r="O799" s="143"/>
      <c r="U799" s="143"/>
      <c r="V799" s="143"/>
      <c r="W799" s="143"/>
      <c r="AB799" s="143"/>
      <c r="AC799" s="143"/>
      <c r="AD799" s="143"/>
    </row>
    <row r="800" spans="11:30" customFormat="1" x14ac:dyDescent="0.3">
      <c r="K800" s="41"/>
      <c r="L800" s="3"/>
      <c r="N800" s="143"/>
      <c r="O800" s="143"/>
      <c r="U800" s="143"/>
      <c r="V800" s="143"/>
      <c r="W800" s="143"/>
      <c r="AB800" s="143"/>
      <c r="AC800" s="143"/>
      <c r="AD800" s="143"/>
    </row>
    <row r="801" spans="11:30" customFormat="1" x14ac:dyDescent="0.3">
      <c r="K801" s="41"/>
      <c r="L801" s="3"/>
      <c r="N801" s="143"/>
      <c r="O801" s="143"/>
      <c r="U801" s="143"/>
      <c r="V801" s="143"/>
      <c r="W801" s="143"/>
      <c r="AB801" s="143"/>
      <c r="AC801" s="143"/>
      <c r="AD801" s="143"/>
    </row>
    <row r="802" spans="11:30" customFormat="1" x14ac:dyDescent="0.3">
      <c r="K802" s="41"/>
      <c r="L802" s="3"/>
      <c r="N802" s="143"/>
      <c r="O802" s="143"/>
      <c r="U802" s="143"/>
      <c r="V802" s="143"/>
      <c r="W802" s="143"/>
      <c r="AB802" s="143"/>
      <c r="AC802" s="143"/>
      <c r="AD802" s="143"/>
    </row>
    <row r="803" spans="11:30" customFormat="1" x14ac:dyDescent="0.3">
      <c r="K803" s="41"/>
      <c r="L803" s="3"/>
      <c r="N803" s="143"/>
      <c r="O803" s="143"/>
      <c r="U803" s="143"/>
      <c r="V803" s="143"/>
      <c r="W803" s="143"/>
      <c r="AB803" s="143"/>
      <c r="AC803" s="143"/>
      <c r="AD803" s="143"/>
    </row>
    <row r="804" spans="11:30" customFormat="1" x14ac:dyDescent="0.3">
      <c r="K804" s="41"/>
      <c r="L804" s="3"/>
      <c r="N804" s="143"/>
      <c r="O804" s="143"/>
      <c r="U804" s="143"/>
      <c r="V804" s="143"/>
      <c r="W804" s="143"/>
      <c r="AB804" s="143"/>
      <c r="AC804" s="143"/>
      <c r="AD804" s="143"/>
    </row>
    <row r="805" spans="11:30" customFormat="1" x14ac:dyDescent="0.3">
      <c r="K805" s="41"/>
      <c r="L805" s="3"/>
      <c r="N805" s="143"/>
      <c r="O805" s="143"/>
      <c r="U805" s="143"/>
      <c r="V805" s="143"/>
      <c r="W805" s="143"/>
      <c r="AB805" s="143"/>
      <c r="AC805" s="143"/>
      <c r="AD805" s="143"/>
    </row>
    <row r="806" spans="11:30" customFormat="1" x14ac:dyDescent="0.3">
      <c r="K806" s="41"/>
      <c r="L806" s="3"/>
      <c r="N806" s="143"/>
      <c r="O806" s="143"/>
      <c r="U806" s="143"/>
      <c r="V806" s="143"/>
      <c r="W806" s="143"/>
      <c r="AB806" s="143"/>
      <c r="AC806" s="143"/>
      <c r="AD806" s="143"/>
    </row>
    <row r="807" spans="11:30" customFormat="1" x14ac:dyDescent="0.3">
      <c r="K807" s="41"/>
      <c r="L807" s="3"/>
      <c r="N807" s="143"/>
      <c r="O807" s="143"/>
      <c r="U807" s="143"/>
      <c r="V807" s="143"/>
      <c r="W807" s="143"/>
      <c r="AB807" s="143"/>
      <c r="AC807" s="143"/>
      <c r="AD807" s="143"/>
    </row>
    <row r="808" spans="11:30" customFormat="1" x14ac:dyDescent="0.3">
      <c r="K808" s="41"/>
      <c r="L808" s="3"/>
      <c r="N808" s="143"/>
      <c r="O808" s="143"/>
      <c r="U808" s="143"/>
      <c r="V808" s="143"/>
      <c r="W808" s="143"/>
      <c r="AB808" s="143"/>
      <c r="AC808" s="143"/>
      <c r="AD808" s="143"/>
    </row>
    <row r="809" spans="11:30" customFormat="1" x14ac:dyDescent="0.3">
      <c r="K809" s="41"/>
      <c r="L809" s="3"/>
      <c r="N809" s="143"/>
      <c r="O809" s="143"/>
      <c r="U809" s="143"/>
      <c r="V809" s="143"/>
      <c r="W809" s="143"/>
      <c r="AB809" s="143"/>
      <c r="AC809" s="143"/>
      <c r="AD809" s="143"/>
    </row>
    <row r="810" spans="11:30" customFormat="1" x14ac:dyDescent="0.3">
      <c r="K810" s="41"/>
      <c r="L810" s="3"/>
      <c r="N810" s="143"/>
      <c r="O810" s="143"/>
      <c r="U810" s="143"/>
      <c r="V810" s="143"/>
      <c r="W810" s="143"/>
      <c r="AB810" s="143"/>
      <c r="AC810" s="143"/>
      <c r="AD810" s="143"/>
    </row>
    <row r="811" spans="11:30" customFormat="1" x14ac:dyDescent="0.3">
      <c r="K811" s="41"/>
      <c r="L811" s="3"/>
      <c r="N811" s="143"/>
      <c r="O811" s="143"/>
      <c r="U811" s="143"/>
      <c r="V811" s="143"/>
      <c r="W811" s="143"/>
      <c r="AB811" s="143"/>
      <c r="AC811" s="143"/>
      <c r="AD811" s="143"/>
    </row>
    <row r="812" spans="11:30" customFormat="1" x14ac:dyDescent="0.3">
      <c r="K812" s="41"/>
      <c r="L812" s="3"/>
      <c r="N812" s="143"/>
      <c r="O812" s="143"/>
      <c r="U812" s="143"/>
      <c r="V812" s="143"/>
      <c r="W812" s="143"/>
      <c r="AB812" s="143"/>
      <c r="AC812" s="143"/>
      <c r="AD812" s="143"/>
    </row>
    <row r="813" spans="11:30" customFormat="1" x14ac:dyDescent="0.3">
      <c r="K813" s="41"/>
      <c r="L813" s="3"/>
      <c r="N813" s="143"/>
      <c r="O813" s="143"/>
      <c r="U813" s="143"/>
      <c r="V813" s="143"/>
      <c r="W813" s="143"/>
      <c r="AB813" s="143"/>
      <c r="AC813" s="143"/>
      <c r="AD813" s="143"/>
    </row>
    <row r="814" spans="11:30" customFormat="1" x14ac:dyDescent="0.3">
      <c r="K814" s="41"/>
      <c r="L814" s="3"/>
      <c r="N814" s="143"/>
      <c r="O814" s="143"/>
      <c r="U814" s="143"/>
      <c r="V814" s="143"/>
      <c r="W814" s="143"/>
      <c r="AB814" s="143"/>
      <c r="AC814" s="143"/>
      <c r="AD814" s="143"/>
    </row>
    <row r="815" spans="11:30" customFormat="1" x14ac:dyDescent="0.3">
      <c r="K815" s="41"/>
      <c r="L815" s="3"/>
      <c r="N815" s="143"/>
      <c r="O815" s="143"/>
      <c r="U815" s="143"/>
      <c r="V815" s="143"/>
      <c r="W815" s="143"/>
      <c r="AB815" s="143"/>
      <c r="AC815" s="143"/>
      <c r="AD815" s="143"/>
    </row>
    <row r="816" spans="11:30" customFormat="1" x14ac:dyDescent="0.3">
      <c r="K816" s="41"/>
      <c r="L816" s="3"/>
      <c r="N816" s="143"/>
      <c r="O816" s="143"/>
      <c r="U816" s="143"/>
      <c r="V816" s="143"/>
      <c r="W816" s="143"/>
      <c r="AB816" s="143"/>
      <c r="AC816" s="143"/>
      <c r="AD816" s="143"/>
    </row>
    <row r="817" spans="11:30" customFormat="1" x14ac:dyDescent="0.3">
      <c r="K817" s="41"/>
      <c r="L817" s="3"/>
      <c r="N817" s="143"/>
      <c r="O817" s="143"/>
      <c r="U817" s="143"/>
      <c r="V817" s="143"/>
      <c r="W817" s="143"/>
      <c r="AB817" s="143"/>
      <c r="AC817" s="143"/>
      <c r="AD817" s="143"/>
    </row>
    <row r="818" spans="11:30" customFormat="1" x14ac:dyDescent="0.3">
      <c r="K818" s="41"/>
      <c r="L818" s="3"/>
      <c r="N818" s="143"/>
      <c r="O818" s="143"/>
      <c r="U818" s="143"/>
      <c r="V818" s="143"/>
      <c r="W818" s="143"/>
      <c r="AB818" s="143"/>
      <c r="AC818" s="143"/>
      <c r="AD818" s="143"/>
    </row>
    <row r="819" spans="11:30" customFormat="1" x14ac:dyDescent="0.3">
      <c r="K819" s="41"/>
      <c r="L819" s="3"/>
      <c r="N819" s="143"/>
      <c r="O819" s="143"/>
      <c r="U819" s="143"/>
      <c r="V819" s="143"/>
      <c r="W819" s="143"/>
      <c r="AB819" s="143"/>
      <c r="AC819" s="143"/>
      <c r="AD819" s="143"/>
    </row>
    <row r="820" spans="11:30" customFormat="1" x14ac:dyDescent="0.3">
      <c r="K820" s="41"/>
      <c r="L820" s="3"/>
      <c r="N820" s="143"/>
      <c r="O820" s="143"/>
      <c r="U820" s="143"/>
      <c r="V820" s="143"/>
      <c r="W820" s="143"/>
      <c r="AB820" s="143"/>
      <c r="AC820" s="143"/>
      <c r="AD820" s="143"/>
    </row>
    <row r="821" spans="11:30" customFormat="1" x14ac:dyDescent="0.3">
      <c r="K821" s="41"/>
      <c r="L821" s="3"/>
      <c r="N821" s="143"/>
      <c r="O821" s="143"/>
      <c r="U821" s="143"/>
      <c r="V821" s="143"/>
      <c r="W821" s="143"/>
      <c r="AB821" s="143"/>
      <c r="AC821" s="143"/>
      <c r="AD821" s="143"/>
    </row>
    <row r="822" spans="11:30" customFormat="1" x14ac:dyDescent="0.3">
      <c r="K822" s="41"/>
      <c r="L822" s="3"/>
      <c r="N822" s="143"/>
      <c r="O822" s="143"/>
      <c r="U822" s="143"/>
      <c r="V822" s="143"/>
      <c r="W822" s="143"/>
      <c r="AB822" s="143"/>
      <c r="AC822" s="143"/>
      <c r="AD822" s="143"/>
    </row>
    <row r="823" spans="11:30" customFormat="1" x14ac:dyDescent="0.3">
      <c r="K823" s="41"/>
      <c r="L823" s="3"/>
      <c r="N823" s="143"/>
      <c r="O823" s="143"/>
      <c r="U823" s="143"/>
      <c r="V823" s="143"/>
      <c r="W823" s="143"/>
      <c r="AB823" s="143"/>
      <c r="AC823" s="143"/>
      <c r="AD823" s="143"/>
    </row>
    <row r="824" spans="11:30" customFormat="1" x14ac:dyDescent="0.3">
      <c r="K824" s="41"/>
      <c r="L824" s="3"/>
      <c r="N824" s="143"/>
      <c r="O824" s="143"/>
      <c r="U824" s="143"/>
      <c r="V824" s="143"/>
      <c r="W824" s="143"/>
      <c r="AB824" s="143"/>
      <c r="AC824" s="143"/>
      <c r="AD824" s="143"/>
    </row>
    <row r="825" spans="11:30" customFormat="1" x14ac:dyDescent="0.3">
      <c r="K825" s="41"/>
      <c r="L825" s="3"/>
      <c r="N825" s="143"/>
      <c r="O825" s="143"/>
      <c r="U825" s="143"/>
      <c r="V825" s="143"/>
      <c r="W825" s="143"/>
      <c r="AB825" s="143"/>
      <c r="AC825" s="143"/>
      <c r="AD825" s="143"/>
    </row>
    <row r="826" spans="11:30" customFormat="1" x14ac:dyDescent="0.3">
      <c r="K826" s="41"/>
      <c r="L826" s="3"/>
      <c r="N826" s="143"/>
      <c r="O826" s="143"/>
      <c r="U826" s="143"/>
      <c r="V826" s="143"/>
      <c r="W826" s="143"/>
      <c r="AB826" s="143"/>
      <c r="AC826" s="143"/>
      <c r="AD826" s="143"/>
    </row>
    <row r="827" spans="11:30" customFormat="1" x14ac:dyDescent="0.3">
      <c r="K827" s="41"/>
      <c r="L827" s="3"/>
      <c r="N827" s="143"/>
      <c r="O827" s="143"/>
      <c r="U827" s="143"/>
      <c r="V827" s="143"/>
      <c r="W827" s="143"/>
      <c r="AB827" s="143"/>
      <c r="AC827" s="143"/>
      <c r="AD827" s="143"/>
    </row>
    <row r="828" spans="11:30" customFormat="1" x14ac:dyDescent="0.3">
      <c r="K828" s="41"/>
      <c r="L828" s="3"/>
      <c r="N828" s="143"/>
      <c r="O828" s="143"/>
      <c r="U828" s="143"/>
      <c r="V828" s="143"/>
      <c r="W828" s="143"/>
      <c r="AB828" s="143"/>
      <c r="AC828" s="143"/>
      <c r="AD828" s="143"/>
    </row>
    <row r="829" spans="11:30" customFormat="1" x14ac:dyDescent="0.3">
      <c r="K829" s="41"/>
      <c r="L829" s="3"/>
      <c r="N829" s="143"/>
      <c r="O829" s="143"/>
      <c r="U829" s="143"/>
      <c r="V829" s="143"/>
      <c r="W829" s="143"/>
      <c r="AB829" s="143"/>
      <c r="AC829" s="143"/>
      <c r="AD829" s="143"/>
    </row>
    <row r="830" spans="11:30" customFormat="1" x14ac:dyDescent="0.3">
      <c r="K830" s="41"/>
      <c r="L830" s="3"/>
      <c r="N830" s="143"/>
      <c r="O830" s="143"/>
      <c r="U830" s="143"/>
      <c r="V830" s="143"/>
      <c r="W830" s="143"/>
      <c r="AB830" s="143"/>
      <c r="AC830" s="143"/>
      <c r="AD830" s="143"/>
    </row>
    <row r="831" spans="11:30" customFormat="1" x14ac:dyDescent="0.3">
      <c r="K831" s="41"/>
      <c r="L831" s="3"/>
      <c r="N831" s="143"/>
      <c r="O831" s="143"/>
      <c r="U831" s="143"/>
      <c r="V831" s="143"/>
      <c r="W831" s="143"/>
      <c r="AB831" s="143"/>
      <c r="AC831" s="143"/>
      <c r="AD831" s="143"/>
    </row>
    <row r="832" spans="11:30" customFormat="1" x14ac:dyDescent="0.3">
      <c r="K832" s="41"/>
      <c r="L832" s="3"/>
      <c r="N832" s="143"/>
      <c r="O832" s="143"/>
      <c r="U832" s="143"/>
      <c r="V832" s="143"/>
      <c r="W832" s="143"/>
      <c r="AB832" s="143"/>
      <c r="AC832" s="143"/>
      <c r="AD832" s="143"/>
    </row>
    <row r="833" spans="11:30" customFormat="1" x14ac:dyDescent="0.3">
      <c r="K833" s="41"/>
      <c r="L833" s="3"/>
      <c r="N833" s="143"/>
      <c r="O833" s="143"/>
      <c r="U833" s="143"/>
      <c r="V833" s="143"/>
      <c r="W833" s="143"/>
      <c r="AB833" s="143"/>
      <c r="AC833" s="143"/>
      <c r="AD833" s="143"/>
    </row>
    <row r="834" spans="11:30" customFormat="1" x14ac:dyDescent="0.3">
      <c r="K834" s="41"/>
      <c r="L834" s="3"/>
      <c r="N834" s="143"/>
      <c r="O834" s="143"/>
      <c r="U834" s="143"/>
      <c r="V834" s="143"/>
      <c r="W834" s="143"/>
      <c r="AB834" s="143"/>
      <c r="AC834" s="143"/>
      <c r="AD834" s="143"/>
    </row>
    <row r="835" spans="11:30" customFormat="1" x14ac:dyDescent="0.3">
      <c r="K835" s="41"/>
      <c r="L835" s="3"/>
      <c r="N835" s="143"/>
      <c r="O835" s="143"/>
      <c r="U835" s="143"/>
      <c r="V835" s="143"/>
      <c r="W835" s="143"/>
      <c r="AB835" s="143"/>
      <c r="AC835" s="143"/>
      <c r="AD835" s="143"/>
    </row>
    <row r="836" spans="11:30" customFormat="1" x14ac:dyDescent="0.3">
      <c r="K836" s="41"/>
      <c r="L836" s="3"/>
      <c r="N836" s="143"/>
      <c r="O836" s="143"/>
      <c r="U836" s="143"/>
      <c r="V836" s="143"/>
      <c r="W836" s="143"/>
      <c r="AB836" s="143"/>
      <c r="AC836" s="143"/>
      <c r="AD836" s="143"/>
    </row>
    <row r="837" spans="11:30" customFormat="1" x14ac:dyDescent="0.3">
      <c r="K837" s="41"/>
      <c r="L837" s="3"/>
      <c r="N837" s="143"/>
      <c r="O837" s="143"/>
      <c r="U837" s="143"/>
      <c r="V837" s="143"/>
      <c r="W837" s="143"/>
      <c r="AB837" s="143"/>
      <c r="AC837" s="143"/>
      <c r="AD837" s="143"/>
    </row>
    <row r="838" spans="11:30" customFormat="1" x14ac:dyDescent="0.3">
      <c r="K838" s="41"/>
      <c r="L838" s="3"/>
      <c r="N838" s="143"/>
      <c r="O838" s="143"/>
      <c r="U838" s="143"/>
      <c r="V838" s="143"/>
      <c r="W838" s="143"/>
      <c r="AB838" s="143"/>
      <c r="AC838" s="143"/>
      <c r="AD838" s="143"/>
    </row>
    <row r="839" spans="11:30" customFormat="1" x14ac:dyDescent="0.3">
      <c r="K839" s="41"/>
      <c r="L839" s="3"/>
      <c r="N839" s="143"/>
      <c r="O839" s="143"/>
      <c r="U839" s="143"/>
      <c r="V839" s="143"/>
      <c r="W839" s="143"/>
      <c r="AB839" s="143"/>
      <c r="AC839" s="143"/>
      <c r="AD839" s="143"/>
    </row>
    <row r="840" spans="11:30" customFormat="1" x14ac:dyDescent="0.3">
      <c r="K840" s="41"/>
      <c r="L840" s="3"/>
      <c r="N840" s="143"/>
      <c r="O840" s="143"/>
      <c r="U840" s="143"/>
      <c r="V840" s="143"/>
      <c r="W840" s="143"/>
      <c r="AB840" s="143"/>
      <c r="AC840" s="143"/>
      <c r="AD840" s="143"/>
    </row>
    <row r="841" spans="11:30" customFormat="1" x14ac:dyDescent="0.3">
      <c r="K841" s="41"/>
      <c r="L841" s="3"/>
      <c r="N841" s="143"/>
      <c r="O841" s="143"/>
      <c r="U841" s="143"/>
      <c r="V841" s="143"/>
      <c r="W841" s="143"/>
      <c r="AB841" s="143"/>
      <c r="AC841" s="143"/>
      <c r="AD841" s="143"/>
    </row>
    <row r="842" spans="11:30" customFormat="1" x14ac:dyDescent="0.3">
      <c r="K842" s="41"/>
      <c r="L842" s="3"/>
      <c r="N842" s="143"/>
      <c r="O842" s="143"/>
      <c r="U842" s="143"/>
      <c r="V842" s="143"/>
      <c r="W842" s="143"/>
      <c r="AB842" s="143"/>
      <c r="AC842" s="143"/>
      <c r="AD842" s="143"/>
    </row>
    <row r="843" spans="11:30" customFormat="1" x14ac:dyDescent="0.3">
      <c r="K843" s="41"/>
      <c r="L843" s="3"/>
      <c r="N843" s="143"/>
      <c r="O843" s="143"/>
      <c r="U843" s="143"/>
      <c r="V843" s="143"/>
      <c r="W843" s="143"/>
      <c r="AB843" s="143"/>
      <c r="AC843" s="143"/>
      <c r="AD843" s="143"/>
    </row>
    <row r="844" spans="11:30" customFormat="1" x14ac:dyDescent="0.3">
      <c r="K844" s="41"/>
      <c r="L844" s="3"/>
      <c r="N844" s="143"/>
      <c r="O844" s="143"/>
      <c r="U844" s="143"/>
      <c r="V844" s="143"/>
      <c r="W844" s="143"/>
      <c r="AB844" s="143"/>
      <c r="AC844" s="143"/>
      <c r="AD844" s="143"/>
    </row>
    <row r="845" spans="11:30" customFormat="1" x14ac:dyDescent="0.3">
      <c r="K845" s="41"/>
      <c r="L845" s="3"/>
      <c r="N845" s="143"/>
      <c r="O845" s="143"/>
      <c r="U845" s="143"/>
      <c r="V845" s="143"/>
      <c r="W845" s="143"/>
      <c r="AB845" s="143"/>
      <c r="AC845" s="143"/>
      <c r="AD845" s="143"/>
    </row>
    <row r="846" spans="11:30" customFormat="1" x14ac:dyDescent="0.3">
      <c r="K846" s="41"/>
      <c r="L846" s="3"/>
      <c r="N846" s="143"/>
      <c r="O846" s="143"/>
      <c r="U846" s="143"/>
      <c r="V846" s="143"/>
      <c r="W846" s="143"/>
      <c r="AB846" s="143"/>
      <c r="AC846" s="143"/>
      <c r="AD846" s="143"/>
    </row>
    <row r="847" spans="11:30" customFormat="1" x14ac:dyDescent="0.3">
      <c r="K847" s="41"/>
      <c r="L847" s="3"/>
      <c r="N847" s="143"/>
      <c r="O847" s="143"/>
      <c r="U847" s="143"/>
      <c r="V847" s="143"/>
      <c r="W847" s="143"/>
      <c r="AB847" s="143"/>
      <c r="AC847" s="143"/>
      <c r="AD847" s="143"/>
    </row>
    <row r="848" spans="11:30" customFormat="1" x14ac:dyDescent="0.3">
      <c r="K848" s="41"/>
      <c r="L848" s="3"/>
      <c r="N848" s="143"/>
      <c r="O848" s="143"/>
      <c r="U848" s="143"/>
      <c r="V848" s="143"/>
      <c r="W848" s="143"/>
      <c r="AB848" s="143"/>
      <c r="AC848" s="143"/>
      <c r="AD848" s="143"/>
    </row>
    <row r="849" spans="11:30" customFormat="1" x14ac:dyDescent="0.3">
      <c r="K849" s="41"/>
      <c r="L849" s="3"/>
      <c r="N849" s="143"/>
      <c r="O849" s="143"/>
      <c r="U849" s="143"/>
      <c r="V849" s="143"/>
      <c r="W849" s="143"/>
      <c r="AB849" s="143"/>
      <c r="AC849" s="143"/>
      <c r="AD849" s="143"/>
    </row>
    <row r="850" spans="11:30" customFormat="1" x14ac:dyDescent="0.3">
      <c r="K850" s="41"/>
      <c r="L850" s="3"/>
      <c r="N850" s="143"/>
      <c r="O850" s="143"/>
      <c r="U850" s="143"/>
      <c r="V850" s="143"/>
      <c r="W850" s="143"/>
      <c r="AB850" s="143"/>
      <c r="AC850" s="143"/>
      <c r="AD850" s="143"/>
    </row>
    <row r="851" spans="11:30" customFormat="1" x14ac:dyDescent="0.3">
      <c r="K851" s="41"/>
      <c r="L851" s="3"/>
      <c r="N851" s="143"/>
      <c r="O851" s="143"/>
      <c r="U851" s="143"/>
      <c r="V851" s="143"/>
      <c r="W851" s="143"/>
      <c r="AB851" s="143"/>
      <c r="AC851" s="143"/>
      <c r="AD851" s="143"/>
    </row>
    <row r="852" spans="11:30" customFormat="1" x14ac:dyDescent="0.3">
      <c r="K852" s="41"/>
      <c r="L852" s="3"/>
      <c r="N852" s="143"/>
      <c r="O852" s="143"/>
      <c r="U852" s="143"/>
      <c r="V852" s="143"/>
      <c r="W852" s="143"/>
      <c r="AB852" s="143"/>
      <c r="AC852" s="143"/>
      <c r="AD852" s="143"/>
    </row>
    <row r="853" spans="11:30" customFormat="1" x14ac:dyDescent="0.3">
      <c r="K853" s="41"/>
      <c r="L853" s="3"/>
      <c r="N853" s="143"/>
      <c r="O853" s="143"/>
      <c r="U853" s="143"/>
      <c r="V853" s="143"/>
      <c r="W853" s="143"/>
      <c r="AB853" s="143"/>
      <c r="AC853" s="143"/>
      <c r="AD853" s="143"/>
    </row>
    <row r="854" spans="11:30" customFormat="1" x14ac:dyDescent="0.3">
      <c r="K854" s="41"/>
      <c r="L854" s="3"/>
      <c r="N854" s="143"/>
      <c r="O854" s="143"/>
      <c r="U854" s="143"/>
      <c r="V854" s="143"/>
      <c r="W854" s="143"/>
      <c r="AB854" s="143"/>
      <c r="AC854" s="143"/>
      <c r="AD854" s="143"/>
    </row>
    <row r="855" spans="11:30" customFormat="1" x14ac:dyDescent="0.3">
      <c r="K855" s="41"/>
      <c r="L855" s="3"/>
      <c r="N855" s="143"/>
      <c r="O855" s="143"/>
      <c r="U855" s="143"/>
      <c r="V855" s="143"/>
      <c r="W855" s="143"/>
      <c r="AB855" s="143"/>
      <c r="AC855" s="143"/>
      <c r="AD855" s="143"/>
    </row>
    <row r="856" spans="11:30" customFormat="1" x14ac:dyDescent="0.3">
      <c r="K856" s="41"/>
      <c r="L856" s="3"/>
      <c r="N856" s="143"/>
      <c r="O856" s="143"/>
      <c r="U856" s="143"/>
      <c r="V856" s="143"/>
      <c r="W856" s="143"/>
      <c r="AB856" s="143"/>
      <c r="AC856" s="143"/>
      <c r="AD856" s="143"/>
    </row>
    <row r="857" spans="11:30" customFormat="1" x14ac:dyDescent="0.3">
      <c r="K857" s="41"/>
      <c r="L857" s="3"/>
      <c r="N857" s="143"/>
      <c r="O857" s="143"/>
      <c r="U857" s="143"/>
      <c r="V857" s="143"/>
      <c r="W857" s="143"/>
      <c r="AB857" s="143"/>
      <c r="AC857" s="143"/>
      <c r="AD857" s="143"/>
    </row>
    <row r="858" spans="11:30" customFormat="1" x14ac:dyDescent="0.3">
      <c r="K858" s="41"/>
      <c r="L858" s="3"/>
      <c r="N858" s="143"/>
      <c r="O858" s="143"/>
      <c r="U858" s="143"/>
      <c r="V858" s="143"/>
      <c r="W858" s="143"/>
      <c r="AB858" s="143"/>
      <c r="AC858" s="143"/>
      <c r="AD858" s="143"/>
    </row>
    <row r="859" spans="11:30" customFormat="1" x14ac:dyDescent="0.3">
      <c r="K859" s="41"/>
      <c r="L859" s="3"/>
      <c r="N859" s="143"/>
      <c r="O859" s="143"/>
      <c r="U859" s="143"/>
      <c r="V859" s="143"/>
      <c r="W859" s="143"/>
      <c r="AB859" s="143"/>
      <c r="AC859" s="143"/>
      <c r="AD859" s="143"/>
    </row>
    <row r="860" spans="11:30" customFormat="1" x14ac:dyDescent="0.3">
      <c r="K860" s="41"/>
      <c r="L860" s="3"/>
      <c r="N860" s="143"/>
      <c r="O860" s="143"/>
      <c r="U860" s="143"/>
      <c r="V860" s="143"/>
      <c r="W860" s="143"/>
      <c r="AB860" s="143"/>
      <c r="AC860" s="143"/>
      <c r="AD860" s="143"/>
    </row>
    <row r="861" spans="11:30" customFormat="1" x14ac:dyDescent="0.3">
      <c r="K861" s="41"/>
      <c r="L861" s="3"/>
      <c r="N861" s="143"/>
      <c r="O861" s="143"/>
      <c r="U861" s="143"/>
      <c r="V861" s="143"/>
      <c r="W861" s="143"/>
      <c r="AB861" s="143"/>
      <c r="AC861" s="143"/>
      <c r="AD861" s="143"/>
    </row>
    <row r="862" spans="11:30" customFormat="1" x14ac:dyDescent="0.3">
      <c r="K862" s="41"/>
      <c r="L862" s="3"/>
      <c r="N862" s="143"/>
      <c r="O862" s="143"/>
      <c r="U862" s="143"/>
      <c r="V862" s="143"/>
      <c r="W862" s="143"/>
      <c r="AB862" s="143"/>
      <c r="AC862" s="143"/>
      <c r="AD862" s="143"/>
    </row>
    <row r="863" spans="11:30" customFormat="1" x14ac:dyDescent="0.3">
      <c r="K863" s="41"/>
      <c r="L863" s="3"/>
      <c r="N863" s="143"/>
      <c r="O863" s="143"/>
      <c r="U863" s="143"/>
      <c r="V863" s="143"/>
      <c r="W863" s="143"/>
      <c r="AB863" s="143"/>
      <c r="AC863" s="143"/>
      <c r="AD863" s="143"/>
    </row>
    <row r="864" spans="11:30" customFormat="1" x14ac:dyDescent="0.3">
      <c r="K864" s="41"/>
      <c r="L864" s="3"/>
      <c r="N864" s="143"/>
      <c r="O864" s="143"/>
      <c r="U864" s="143"/>
      <c r="V864" s="143"/>
      <c r="W864" s="143"/>
      <c r="AB864" s="143"/>
      <c r="AC864" s="143"/>
      <c r="AD864" s="143"/>
    </row>
    <row r="865" spans="11:30" customFormat="1" x14ac:dyDescent="0.3">
      <c r="K865" s="41"/>
      <c r="L865" s="3"/>
      <c r="N865" s="143"/>
      <c r="O865" s="143"/>
      <c r="U865" s="143"/>
      <c r="V865" s="143"/>
      <c r="W865" s="143"/>
      <c r="AB865" s="143"/>
      <c r="AC865" s="143"/>
      <c r="AD865" s="143"/>
    </row>
    <row r="866" spans="11:30" customFormat="1" x14ac:dyDescent="0.3">
      <c r="K866" s="41"/>
      <c r="L866" s="3"/>
      <c r="N866" s="143"/>
      <c r="O866" s="143"/>
      <c r="U866" s="143"/>
      <c r="V866" s="143"/>
      <c r="W866" s="143"/>
      <c r="AB866" s="143"/>
      <c r="AC866" s="143"/>
      <c r="AD866" s="143"/>
    </row>
    <row r="867" spans="11:30" customFormat="1" x14ac:dyDescent="0.3">
      <c r="K867" s="41"/>
      <c r="L867" s="3"/>
      <c r="N867" s="143"/>
      <c r="O867" s="143"/>
      <c r="U867" s="143"/>
      <c r="V867" s="143"/>
      <c r="W867" s="143"/>
      <c r="AB867" s="143"/>
      <c r="AC867" s="143"/>
      <c r="AD867" s="143"/>
    </row>
    <row r="868" spans="11:30" customFormat="1" x14ac:dyDescent="0.3">
      <c r="K868" s="41"/>
      <c r="L868" s="3"/>
      <c r="N868" s="143"/>
      <c r="O868" s="143"/>
      <c r="U868" s="143"/>
      <c r="V868" s="143"/>
      <c r="W868" s="143"/>
      <c r="AB868" s="143"/>
      <c r="AC868" s="143"/>
      <c r="AD868" s="143"/>
    </row>
    <row r="869" spans="11:30" customFormat="1" x14ac:dyDescent="0.3">
      <c r="K869" s="41"/>
      <c r="L869" s="3"/>
      <c r="N869" s="143"/>
      <c r="O869" s="143"/>
      <c r="U869" s="143"/>
      <c r="V869" s="143"/>
      <c r="W869" s="143"/>
      <c r="AB869" s="143"/>
      <c r="AC869" s="143"/>
      <c r="AD869" s="143"/>
    </row>
    <row r="870" spans="11:30" customFormat="1" x14ac:dyDescent="0.3">
      <c r="K870" s="41"/>
      <c r="L870" s="3"/>
      <c r="N870" s="143"/>
      <c r="O870" s="143"/>
      <c r="U870" s="143"/>
      <c r="V870" s="143"/>
      <c r="W870" s="143"/>
      <c r="AB870" s="143"/>
      <c r="AC870" s="143"/>
      <c r="AD870" s="143"/>
    </row>
    <row r="871" spans="11:30" customFormat="1" x14ac:dyDescent="0.3">
      <c r="K871" s="41"/>
      <c r="L871" s="3"/>
      <c r="N871" s="143"/>
      <c r="O871" s="143"/>
      <c r="U871" s="143"/>
      <c r="V871" s="143"/>
      <c r="W871" s="143"/>
      <c r="AB871" s="143"/>
      <c r="AC871" s="143"/>
      <c r="AD871" s="143"/>
    </row>
    <row r="872" spans="11:30" customFormat="1" x14ac:dyDescent="0.3">
      <c r="K872" s="41"/>
      <c r="L872" s="3"/>
      <c r="N872" s="143"/>
      <c r="O872" s="143"/>
      <c r="U872" s="143"/>
      <c r="V872" s="143"/>
      <c r="W872" s="143"/>
      <c r="AB872" s="143"/>
      <c r="AC872" s="143"/>
      <c r="AD872" s="143"/>
    </row>
    <row r="873" spans="11:30" customFormat="1" x14ac:dyDescent="0.3">
      <c r="K873" s="41"/>
      <c r="L873" s="3"/>
      <c r="N873" s="143"/>
      <c r="O873" s="143"/>
      <c r="U873" s="143"/>
      <c r="V873" s="143"/>
      <c r="W873" s="143"/>
      <c r="AB873" s="143"/>
      <c r="AC873" s="143"/>
      <c r="AD873" s="143"/>
    </row>
    <row r="874" spans="11:30" customFormat="1" x14ac:dyDescent="0.3">
      <c r="K874" s="41"/>
      <c r="L874" s="3"/>
      <c r="N874" s="143"/>
      <c r="O874" s="143"/>
      <c r="U874" s="143"/>
      <c r="V874" s="143"/>
      <c r="W874" s="143"/>
      <c r="AB874" s="143"/>
      <c r="AC874" s="143"/>
      <c r="AD874" s="143"/>
    </row>
    <row r="875" spans="11:30" customFormat="1" x14ac:dyDescent="0.3">
      <c r="K875" s="41"/>
      <c r="L875" s="3"/>
      <c r="N875" s="143"/>
      <c r="O875" s="143"/>
      <c r="U875" s="143"/>
      <c r="V875" s="143"/>
      <c r="W875" s="143"/>
      <c r="AB875" s="143"/>
      <c r="AC875" s="143"/>
      <c r="AD875" s="143"/>
    </row>
    <row r="876" spans="11:30" customFormat="1" x14ac:dyDescent="0.3">
      <c r="K876" s="41"/>
      <c r="L876" s="3"/>
      <c r="N876" s="143"/>
      <c r="O876" s="143"/>
      <c r="U876" s="143"/>
      <c r="V876" s="143"/>
      <c r="W876" s="143"/>
      <c r="AB876" s="143"/>
      <c r="AC876" s="143"/>
      <c r="AD876" s="143"/>
    </row>
    <row r="877" spans="11:30" customFormat="1" x14ac:dyDescent="0.3">
      <c r="K877" s="41"/>
      <c r="L877" s="3"/>
      <c r="N877" s="143"/>
      <c r="O877" s="143"/>
      <c r="U877" s="143"/>
      <c r="V877" s="143"/>
      <c r="W877" s="143"/>
      <c r="AB877" s="143"/>
      <c r="AC877" s="143"/>
      <c r="AD877" s="143"/>
    </row>
    <row r="878" spans="11:30" customFormat="1" x14ac:dyDescent="0.3">
      <c r="K878" s="41"/>
      <c r="L878" s="3"/>
      <c r="N878" s="143"/>
      <c r="O878" s="143"/>
      <c r="U878" s="143"/>
      <c r="V878" s="143"/>
      <c r="W878" s="143"/>
      <c r="AB878" s="143"/>
      <c r="AC878" s="143"/>
      <c r="AD878" s="143"/>
    </row>
    <row r="879" spans="11:30" customFormat="1" x14ac:dyDescent="0.3">
      <c r="K879" s="41"/>
      <c r="L879" s="3"/>
      <c r="N879" s="143"/>
      <c r="O879" s="143"/>
      <c r="U879" s="143"/>
      <c r="V879" s="143"/>
      <c r="W879" s="143"/>
      <c r="AB879" s="143"/>
      <c r="AC879" s="143"/>
      <c r="AD879" s="143"/>
    </row>
    <row r="880" spans="11:30" customFormat="1" x14ac:dyDescent="0.3">
      <c r="K880" s="41"/>
      <c r="L880" s="3"/>
      <c r="N880" s="143"/>
      <c r="O880" s="143"/>
      <c r="U880" s="143"/>
      <c r="V880" s="143"/>
      <c r="W880" s="143"/>
      <c r="AB880" s="143"/>
      <c r="AC880" s="143"/>
      <c r="AD880" s="143"/>
    </row>
    <row r="881" spans="11:30" customFormat="1" x14ac:dyDescent="0.3">
      <c r="K881" s="41"/>
      <c r="L881" s="3"/>
      <c r="N881" s="143"/>
      <c r="O881" s="143"/>
      <c r="U881" s="143"/>
      <c r="V881" s="143"/>
      <c r="W881" s="143"/>
      <c r="AB881" s="143"/>
      <c r="AC881" s="143"/>
      <c r="AD881" s="143"/>
    </row>
    <row r="882" spans="11:30" customFormat="1" x14ac:dyDescent="0.3">
      <c r="K882" s="41"/>
      <c r="L882" s="3"/>
      <c r="N882" s="143"/>
      <c r="O882" s="143"/>
      <c r="U882" s="143"/>
      <c r="V882" s="143"/>
      <c r="W882" s="143"/>
      <c r="AB882" s="143"/>
      <c r="AC882" s="143"/>
      <c r="AD882" s="143"/>
    </row>
    <row r="883" spans="11:30" customFormat="1" x14ac:dyDescent="0.3">
      <c r="K883" s="41"/>
      <c r="L883" s="3"/>
      <c r="N883" s="143"/>
      <c r="O883" s="143"/>
      <c r="U883" s="143"/>
      <c r="V883" s="143"/>
      <c r="W883" s="143"/>
      <c r="AB883" s="143"/>
      <c r="AC883" s="143"/>
      <c r="AD883" s="143"/>
    </row>
    <row r="884" spans="11:30" customFormat="1" x14ac:dyDescent="0.3">
      <c r="K884" s="41"/>
      <c r="L884" s="3"/>
      <c r="N884" s="143"/>
      <c r="O884" s="143"/>
      <c r="U884" s="143"/>
      <c r="V884" s="143"/>
      <c r="W884" s="143"/>
      <c r="AB884" s="143"/>
      <c r="AC884" s="143"/>
      <c r="AD884" s="143"/>
    </row>
    <row r="885" spans="11:30" customFormat="1" x14ac:dyDescent="0.3">
      <c r="K885" s="41"/>
      <c r="L885" s="3"/>
      <c r="N885" s="143"/>
      <c r="O885" s="143"/>
      <c r="U885" s="143"/>
      <c r="V885" s="143"/>
      <c r="W885" s="143"/>
      <c r="AB885" s="143"/>
      <c r="AC885" s="143"/>
      <c r="AD885" s="143"/>
    </row>
    <row r="886" spans="11:30" customFormat="1" x14ac:dyDescent="0.3">
      <c r="K886" s="41"/>
      <c r="L886" s="3"/>
      <c r="N886" s="143"/>
      <c r="O886" s="143"/>
      <c r="U886" s="143"/>
      <c r="V886" s="143"/>
      <c r="W886" s="143"/>
      <c r="AB886" s="143"/>
      <c r="AC886" s="143"/>
      <c r="AD886" s="143"/>
    </row>
    <row r="887" spans="11:30" customFormat="1" x14ac:dyDescent="0.3">
      <c r="K887" s="41"/>
      <c r="L887" s="3"/>
      <c r="N887" s="143"/>
      <c r="O887" s="143"/>
      <c r="U887" s="143"/>
      <c r="V887" s="143"/>
      <c r="W887" s="143"/>
      <c r="AB887" s="143"/>
      <c r="AC887" s="143"/>
      <c r="AD887" s="143"/>
    </row>
    <row r="888" spans="11:30" customFormat="1" x14ac:dyDescent="0.3">
      <c r="K888" s="41"/>
      <c r="L888" s="3"/>
      <c r="N888" s="143"/>
      <c r="O888" s="143"/>
      <c r="U888" s="143"/>
      <c r="V888" s="143"/>
      <c r="W888" s="143"/>
      <c r="AB888" s="143"/>
      <c r="AC888" s="143"/>
      <c r="AD888" s="143"/>
    </row>
    <row r="889" spans="11:30" customFormat="1" x14ac:dyDescent="0.3">
      <c r="K889" s="41"/>
      <c r="L889" s="3"/>
      <c r="N889" s="143"/>
      <c r="O889" s="143"/>
      <c r="U889" s="143"/>
      <c r="V889" s="143"/>
      <c r="W889" s="143"/>
      <c r="AB889" s="143"/>
      <c r="AC889" s="143"/>
      <c r="AD889" s="143"/>
    </row>
    <row r="890" spans="11:30" customFormat="1" x14ac:dyDescent="0.3">
      <c r="K890" s="41"/>
      <c r="L890" s="3"/>
      <c r="N890" s="143"/>
      <c r="O890" s="143"/>
      <c r="U890" s="143"/>
      <c r="V890" s="143"/>
      <c r="W890" s="143"/>
      <c r="AB890" s="143"/>
      <c r="AC890" s="143"/>
      <c r="AD890" s="143"/>
    </row>
    <row r="891" spans="11:30" customFormat="1" x14ac:dyDescent="0.3">
      <c r="K891" s="41"/>
      <c r="L891" s="3"/>
      <c r="N891" s="143"/>
      <c r="O891" s="143"/>
      <c r="U891" s="143"/>
      <c r="V891" s="143"/>
      <c r="W891" s="143"/>
      <c r="AB891" s="143"/>
      <c r="AC891" s="143"/>
      <c r="AD891" s="143"/>
    </row>
    <row r="892" spans="11:30" customFormat="1" x14ac:dyDescent="0.3">
      <c r="K892" s="41"/>
      <c r="L892" s="3"/>
      <c r="N892" s="143"/>
      <c r="O892" s="143"/>
      <c r="U892" s="143"/>
      <c r="V892" s="143"/>
      <c r="W892" s="143"/>
      <c r="AB892" s="143"/>
      <c r="AC892" s="143"/>
      <c r="AD892" s="143"/>
    </row>
    <row r="893" spans="11:30" customFormat="1" x14ac:dyDescent="0.3">
      <c r="K893" s="41"/>
      <c r="L893" s="3"/>
      <c r="N893" s="143"/>
      <c r="O893" s="143"/>
      <c r="U893" s="143"/>
      <c r="V893" s="143"/>
      <c r="W893" s="143"/>
      <c r="AB893" s="143"/>
      <c r="AC893" s="143"/>
      <c r="AD893" s="143"/>
    </row>
    <row r="894" spans="11:30" customFormat="1" x14ac:dyDescent="0.3">
      <c r="K894" s="41"/>
      <c r="L894" s="3"/>
      <c r="N894" s="143"/>
      <c r="O894" s="143"/>
      <c r="U894" s="143"/>
      <c r="V894" s="143"/>
      <c r="W894" s="143"/>
      <c r="AB894" s="143"/>
      <c r="AC894" s="143"/>
      <c r="AD894" s="143"/>
    </row>
    <row r="895" spans="11:30" customFormat="1" x14ac:dyDescent="0.3">
      <c r="K895" s="41"/>
      <c r="L895" s="3"/>
      <c r="N895" s="143"/>
      <c r="O895" s="143"/>
      <c r="U895" s="143"/>
      <c r="V895" s="143"/>
      <c r="W895" s="143"/>
      <c r="AB895" s="143"/>
      <c r="AC895" s="143"/>
      <c r="AD895" s="143"/>
    </row>
    <row r="896" spans="11:30" customFormat="1" x14ac:dyDescent="0.3">
      <c r="K896" s="41"/>
      <c r="L896" s="3"/>
      <c r="N896" s="143"/>
      <c r="O896" s="143"/>
      <c r="U896" s="143"/>
      <c r="V896" s="143"/>
      <c r="W896" s="143"/>
      <c r="AB896" s="143"/>
      <c r="AC896" s="143"/>
      <c r="AD896" s="143"/>
    </row>
    <row r="897" spans="11:30" customFormat="1" x14ac:dyDescent="0.3">
      <c r="K897" s="41"/>
      <c r="L897" s="3"/>
      <c r="N897" s="143"/>
      <c r="O897" s="143"/>
      <c r="U897" s="143"/>
      <c r="V897" s="143"/>
      <c r="W897" s="143"/>
      <c r="AB897" s="143"/>
      <c r="AC897" s="143"/>
      <c r="AD897" s="143"/>
    </row>
    <row r="898" spans="11:30" customFormat="1" x14ac:dyDescent="0.3">
      <c r="K898" s="41"/>
      <c r="L898" s="3"/>
      <c r="N898" s="143"/>
      <c r="O898" s="143"/>
      <c r="U898" s="143"/>
      <c r="V898" s="143"/>
      <c r="W898" s="143"/>
      <c r="AB898" s="143"/>
      <c r="AC898" s="143"/>
      <c r="AD898" s="143"/>
    </row>
    <row r="899" spans="11:30" customFormat="1" x14ac:dyDescent="0.3">
      <c r="K899" s="41"/>
      <c r="L899" s="3"/>
      <c r="N899" s="143"/>
      <c r="O899" s="143"/>
      <c r="U899" s="143"/>
      <c r="V899" s="143"/>
      <c r="W899" s="143"/>
      <c r="AB899" s="143"/>
      <c r="AC899" s="143"/>
      <c r="AD899" s="143"/>
    </row>
    <row r="900" spans="11:30" customFormat="1" x14ac:dyDescent="0.3">
      <c r="K900" s="41"/>
      <c r="L900" s="3"/>
      <c r="N900" s="143"/>
      <c r="O900" s="143"/>
      <c r="U900" s="143"/>
      <c r="V900" s="143"/>
      <c r="W900" s="143"/>
      <c r="AB900" s="143"/>
      <c r="AC900" s="143"/>
      <c r="AD900" s="143"/>
    </row>
    <row r="901" spans="11:30" customFormat="1" x14ac:dyDescent="0.3">
      <c r="K901" s="41"/>
      <c r="L901" s="3"/>
      <c r="N901" s="143"/>
      <c r="O901" s="143"/>
      <c r="U901" s="143"/>
      <c r="V901" s="143"/>
      <c r="W901" s="143"/>
      <c r="AB901" s="143"/>
      <c r="AC901" s="143"/>
      <c r="AD901" s="143"/>
    </row>
    <row r="902" spans="11:30" customFormat="1" x14ac:dyDescent="0.3">
      <c r="K902" s="41"/>
      <c r="L902" s="3"/>
      <c r="N902" s="143"/>
      <c r="O902" s="143"/>
      <c r="U902" s="143"/>
      <c r="V902" s="143"/>
      <c r="W902" s="143"/>
      <c r="AB902" s="143"/>
      <c r="AC902" s="143"/>
      <c r="AD902" s="143"/>
    </row>
    <row r="903" spans="11:30" customFormat="1" x14ac:dyDescent="0.3">
      <c r="K903" s="41"/>
      <c r="L903" s="3"/>
      <c r="N903" s="143"/>
      <c r="O903" s="143"/>
      <c r="U903" s="143"/>
      <c r="V903" s="143"/>
      <c r="W903" s="143"/>
      <c r="AB903" s="143"/>
      <c r="AC903" s="143"/>
      <c r="AD903" s="143"/>
    </row>
    <row r="904" spans="11:30" customFormat="1" x14ac:dyDescent="0.3">
      <c r="K904" s="41"/>
      <c r="L904" s="3"/>
      <c r="N904" s="143"/>
      <c r="O904" s="143"/>
      <c r="U904" s="143"/>
      <c r="V904" s="143"/>
      <c r="W904" s="143"/>
      <c r="AB904" s="143"/>
      <c r="AC904" s="143"/>
      <c r="AD904" s="143"/>
    </row>
    <row r="905" spans="11:30" customFormat="1" x14ac:dyDescent="0.3">
      <c r="K905" s="41"/>
      <c r="L905" s="3"/>
      <c r="N905" s="143"/>
      <c r="O905" s="143"/>
      <c r="U905" s="143"/>
      <c r="V905" s="143"/>
      <c r="W905" s="143"/>
      <c r="AB905" s="143"/>
      <c r="AC905" s="143"/>
      <c r="AD905" s="143"/>
    </row>
    <row r="906" spans="11:30" customFormat="1" x14ac:dyDescent="0.3">
      <c r="K906" s="41"/>
      <c r="L906" s="3"/>
      <c r="N906" s="143"/>
      <c r="O906" s="143"/>
      <c r="U906" s="143"/>
      <c r="V906" s="143"/>
      <c r="W906" s="143"/>
      <c r="AB906" s="143"/>
      <c r="AC906" s="143"/>
      <c r="AD906" s="143"/>
    </row>
    <row r="907" spans="11:30" customFormat="1" x14ac:dyDescent="0.3">
      <c r="K907" s="41"/>
      <c r="L907" s="3"/>
      <c r="N907" s="143"/>
      <c r="O907" s="143"/>
      <c r="U907" s="143"/>
      <c r="V907" s="143"/>
      <c r="W907" s="143"/>
      <c r="AB907" s="143"/>
      <c r="AC907" s="143"/>
      <c r="AD907" s="143"/>
    </row>
    <row r="908" spans="11:30" customFormat="1" x14ac:dyDescent="0.3">
      <c r="K908" s="41"/>
      <c r="L908" s="3"/>
      <c r="N908" s="143"/>
      <c r="O908" s="143"/>
      <c r="U908" s="143"/>
      <c r="V908" s="143"/>
      <c r="W908" s="143"/>
      <c r="AB908" s="143"/>
      <c r="AC908" s="143"/>
      <c r="AD908" s="143"/>
    </row>
    <row r="909" spans="11:30" customFormat="1" x14ac:dyDescent="0.3">
      <c r="K909" s="41"/>
      <c r="L909" s="3"/>
      <c r="N909" s="143"/>
      <c r="O909" s="143"/>
      <c r="U909" s="143"/>
      <c r="V909" s="143"/>
      <c r="W909" s="143"/>
      <c r="AB909" s="143"/>
      <c r="AC909" s="143"/>
      <c r="AD909" s="143"/>
    </row>
    <row r="910" spans="11:30" customFormat="1" x14ac:dyDescent="0.3">
      <c r="K910" s="41"/>
      <c r="L910" s="3"/>
      <c r="N910" s="143"/>
      <c r="O910" s="143"/>
      <c r="U910" s="143"/>
      <c r="V910" s="143"/>
      <c r="W910" s="143"/>
      <c r="AB910" s="143"/>
      <c r="AC910" s="143"/>
      <c r="AD910" s="143"/>
    </row>
    <row r="911" spans="11:30" customFormat="1" x14ac:dyDescent="0.3">
      <c r="K911" s="41"/>
      <c r="L911" s="3"/>
      <c r="N911" s="143"/>
      <c r="O911" s="143"/>
      <c r="U911" s="143"/>
      <c r="V911" s="143"/>
      <c r="W911" s="143"/>
      <c r="AB911" s="143"/>
      <c r="AC911" s="143"/>
      <c r="AD911" s="143"/>
    </row>
    <row r="912" spans="11:30" customFormat="1" x14ac:dyDescent="0.3">
      <c r="K912" s="41"/>
      <c r="L912" s="3"/>
      <c r="N912" s="143"/>
      <c r="O912" s="143"/>
      <c r="U912" s="143"/>
      <c r="V912" s="143"/>
      <c r="W912" s="143"/>
      <c r="AB912" s="143"/>
      <c r="AC912" s="143"/>
      <c r="AD912" s="143"/>
    </row>
    <row r="913" spans="11:30" customFormat="1" x14ac:dyDescent="0.3">
      <c r="K913" s="41"/>
      <c r="L913" s="3"/>
      <c r="N913" s="143"/>
      <c r="O913" s="143"/>
      <c r="U913" s="143"/>
      <c r="V913" s="143"/>
      <c r="W913" s="143"/>
      <c r="AB913" s="143"/>
      <c r="AC913" s="143"/>
      <c r="AD913" s="143"/>
    </row>
    <row r="914" spans="11:30" customFormat="1" x14ac:dyDescent="0.3">
      <c r="K914" s="41"/>
      <c r="L914" s="3"/>
      <c r="N914" s="143"/>
      <c r="O914" s="143"/>
      <c r="U914" s="143"/>
      <c r="V914" s="143"/>
      <c r="W914" s="143"/>
      <c r="AB914" s="143"/>
      <c r="AC914" s="143"/>
      <c r="AD914" s="143"/>
    </row>
    <row r="915" spans="11:30" customFormat="1" x14ac:dyDescent="0.3">
      <c r="K915" s="41"/>
      <c r="L915" s="3"/>
      <c r="N915" s="143"/>
      <c r="O915" s="143"/>
      <c r="U915" s="143"/>
      <c r="V915" s="143"/>
      <c r="W915" s="143"/>
      <c r="AB915" s="143"/>
      <c r="AC915" s="143"/>
      <c r="AD915" s="143"/>
    </row>
    <row r="916" spans="11:30" customFormat="1" x14ac:dyDescent="0.3">
      <c r="K916" s="41"/>
      <c r="L916" s="3"/>
      <c r="N916" s="143"/>
      <c r="O916" s="143"/>
      <c r="U916" s="143"/>
      <c r="V916" s="143"/>
      <c r="W916" s="143"/>
      <c r="AB916" s="143"/>
      <c r="AC916" s="143"/>
      <c r="AD916" s="143"/>
    </row>
    <row r="917" spans="11:30" customFormat="1" x14ac:dyDescent="0.3">
      <c r="K917" s="41"/>
      <c r="L917" s="3"/>
      <c r="N917" s="143"/>
      <c r="O917" s="143"/>
      <c r="U917" s="143"/>
      <c r="V917" s="143"/>
      <c r="W917" s="143"/>
      <c r="AB917" s="143"/>
      <c r="AC917" s="143"/>
      <c r="AD917" s="143"/>
    </row>
    <row r="918" spans="11:30" customFormat="1" x14ac:dyDescent="0.3">
      <c r="K918" s="41"/>
      <c r="L918" s="3"/>
      <c r="N918" s="143"/>
      <c r="O918" s="143"/>
      <c r="U918" s="143"/>
      <c r="V918" s="143"/>
      <c r="W918" s="143"/>
      <c r="AB918" s="143"/>
      <c r="AC918" s="143"/>
      <c r="AD918" s="143"/>
    </row>
    <row r="919" spans="11:30" customFormat="1" x14ac:dyDescent="0.3">
      <c r="K919" s="41"/>
      <c r="L919" s="3"/>
      <c r="N919" s="143"/>
      <c r="O919" s="143"/>
      <c r="U919" s="143"/>
      <c r="V919" s="143"/>
      <c r="W919" s="143"/>
      <c r="AB919" s="143"/>
      <c r="AC919" s="143"/>
      <c r="AD919" s="143"/>
    </row>
    <row r="920" spans="11:30" customFormat="1" x14ac:dyDescent="0.3">
      <c r="K920" s="41"/>
      <c r="L920" s="3"/>
      <c r="N920" s="143"/>
      <c r="O920" s="143"/>
      <c r="U920" s="143"/>
      <c r="V920" s="143"/>
      <c r="W920" s="143"/>
      <c r="AB920" s="143"/>
      <c r="AC920" s="143"/>
      <c r="AD920" s="143"/>
    </row>
    <row r="921" spans="11:30" customFormat="1" x14ac:dyDescent="0.3">
      <c r="K921" s="41"/>
      <c r="L921" s="3"/>
      <c r="N921" s="143"/>
      <c r="O921" s="143"/>
      <c r="U921" s="143"/>
      <c r="V921" s="143"/>
      <c r="W921" s="143"/>
      <c r="AB921" s="143"/>
      <c r="AC921" s="143"/>
      <c r="AD921" s="143"/>
    </row>
    <row r="922" spans="11:30" customFormat="1" x14ac:dyDescent="0.3">
      <c r="K922" s="41"/>
      <c r="L922" s="3"/>
      <c r="N922" s="143"/>
      <c r="O922" s="143"/>
      <c r="U922" s="143"/>
      <c r="V922" s="143"/>
      <c r="W922" s="143"/>
      <c r="AB922" s="143"/>
      <c r="AC922" s="143"/>
      <c r="AD922" s="143"/>
    </row>
    <row r="923" spans="11:30" customFormat="1" x14ac:dyDescent="0.3">
      <c r="K923" s="41"/>
      <c r="L923" s="3"/>
      <c r="N923" s="143"/>
      <c r="O923" s="143"/>
      <c r="U923" s="143"/>
      <c r="V923" s="143"/>
      <c r="W923" s="143"/>
      <c r="AB923" s="143"/>
      <c r="AC923" s="143"/>
      <c r="AD923" s="143"/>
    </row>
    <row r="924" spans="11:30" customFormat="1" x14ac:dyDescent="0.3">
      <c r="K924" s="41"/>
      <c r="L924" s="3"/>
      <c r="N924" s="143"/>
      <c r="O924" s="143"/>
      <c r="U924" s="143"/>
      <c r="V924" s="143"/>
      <c r="W924" s="143"/>
      <c r="AB924" s="143"/>
      <c r="AC924" s="143"/>
      <c r="AD924" s="143"/>
    </row>
    <row r="925" spans="11:30" customFormat="1" x14ac:dyDescent="0.3">
      <c r="K925" s="41"/>
      <c r="L925" s="3"/>
      <c r="N925" s="143"/>
      <c r="O925" s="143"/>
      <c r="U925" s="143"/>
      <c r="V925" s="143"/>
      <c r="W925" s="143"/>
      <c r="AB925" s="143"/>
      <c r="AC925" s="143"/>
      <c r="AD925" s="143"/>
    </row>
    <row r="926" spans="11:30" customFormat="1" x14ac:dyDescent="0.3">
      <c r="K926" s="41"/>
      <c r="L926" s="3"/>
      <c r="N926" s="143"/>
      <c r="O926" s="143"/>
      <c r="U926" s="143"/>
      <c r="V926" s="143"/>
      <c r="W926" s="143"/>
      <c r="AB926" s="143"/>
      <c r="AC926" s="143"/>
      <c r="AD926" s="143"/>
    </row>
    <row r="927" spans="11:30" customFormat="1" x14ac:dyDescent="0.3">
      <c r="K927" s="41"/>
      <c r="L927" s="3"/>
      <c r="N927" s="143"/>
      <c r="O927" s="143"/>
      <c r="U927" s="143"/>
      <c r="V927" s="143"/>
      <c r="W927" s="143"/>
      <c r="AB927" s="143"/>
      <c r="AC927" s="143"/>
      <c r="AD927" s="143"/>
    </row>
    <row r="928" spans="11:30" customFormat="1" x14ac:dyDescent="0.3">
      <c r="K928" s="41"/>
      <c r="L928" s="3"/>
      <c r="N928" s="143"/>
      <c r="O928" s="143"/>
      <c r="U928" s="143"/>
      <c r="V928" s="143"/>
      <c r="W928" s="143"/>
      <c r="AB928" s="143"/>
      <c r="AC928" s="143"/>
      <c r="AD928" s="143"/>
    </row>
    <row r="929" spans="11:30" customFormat="1" x14ac:dyDescent="0.3">
      <c r="K929" s="41"/>
      <c r="L929" s="3"/>
      <c r="N929" s="143"/>
      <c r="O929" s="143"/>
      <c r="U929" s="143"/>
      <c r="V929" s="143"/>
      <c r="W929" s="143"/>
      <c r="AB929" s="143"/>
      <c r="AC929" s="143"/>
      <c r="AD929" s="143"/>
    </row>
    <row r="930" spans="11:30" customFormat="1" x14ac:dyDescent="0.3">
      <c r="K930" s="41"/>
      <c r="L930" s="3"/>
      <c r="N930" s="143"/>
      <c r="O930" s="143"/>
      <c r="U930" s="143"/>
      <c r="V930" s="143"/>
      <c r="W930" s="143"/>
      <c r="AB930" s="143"/>
      <c r="AC930" s="143"/>
      <c r="AD930" s="143"/>
    </row>
    <row r="931" spans="11:30" customFormat="1" x14ac:dyDescent="0.3">
      <c r="K931" s="41"/>
      <c r="L931" s="3"/>
      <c r="N931" s="143"/>
      <c r="O931" s="143"/>
      <c r="U931" s="143"/>
      <c r="V931" s="143"/>
      <c r="W931" s="143"/>
      <c r="AB931" s="143"/>
      <c r="AC931" s="143"/>
      <c r="AD931" s="143"/>
    </row>
    <row r="932" spans="11:30" customFormat="1" x14ac:dyDescent="0.3">
      <c r="K932" s="41"/>
      <c r="L932" s="3"/>
      <c r="N932" s="143"/>
      <c r="O932" s="143"/>
      <c r="U932" s="143"/>
      <c r="V932" s="143"/>
      <c r="W932" s="143"/>
      <c r="AB932" s="143"/>
      <c r="AC932" s="143"/>
      <c r="AD932" s="143"/>
    </row>
    <row r="933" spans="11:30" customFormat="1" x14ac:dyDescent="0.3">
      <c r="K933" s="41"/>
      <c r="L933" s="3"/>
      <c r="N933" s="143"/>
      <c r="O933" s="143"/>
      <c r="U933" s="143"/>
      <c r="V933" s="143"/>
      <c r="W933" s="143"/>
      <c r="AB933" s="143"/>
      <c r="AC933" s="143"/>
      <c r="AD933" s="143"/>
    </row>
    <row r="934" spans="11:30" customFormat="1" x14ac:dyDescent="0.3">
      <c r="K934" s="41"/>
      <c r="L934" s="3"/>
      <c r="N934" s="143"/>
      <c r="O934" s="143"/>
      <c r="U934" s="143"/>
      <c r="V934" s="143"/>
      <c r="W934" s="143"/>
      <c r="AB934" s="143"/>
      <c r="AC934" s="143"/>
      <c r="AD934" s="143"/>
    </row>
    <row r="935" spans="11:30" customFormat="1" x14ac:dyDescent="0.3">
      <c r="K935" s="41"/>
      <c r="L935" s="3"/>
      <c r="N935" s="143"/>
      <c r="O935" s="143"/>
      <c r="U935" s="143"/>
      <c r="V935" s="143"/>
      <c r="W935" s="143"/>
      <c r="AB935" s="143"/>
      <c r="AC935" s="143"/>
      <c r="AD935" s="143"/>
    </row>
    <row r="936" spans="11:30" customFormat="1" x14ac:dyDescent="0.3">
      <c r="K936" s="41"/>
      <c r="L936" s="3"/>
      <c r="N936" s="143"/>
      <c r="O936" s="143"/>
      <c r="U936" s="143"/>
      <c r="V936" s="143"/>
      <c r="W936" s="143"/>
      <c r="AB936" s="143"/>
      <c r="AC936" s="143"/>
      <c r="AD936" s="143"/>
    </row>
    <row r="937" spans="11:30" customFormat="1" x14ac:dyDescent="0.3">
      <c r="K937" s="41"/>
      <c r="L937" s="3"/>
      <c r="N937" s="143"/>
      <c r="O937" s="143"/>
      <c r="U937" s="143"/>
      <c r="V937" s="143"/>
      <c r="W937" s="143"/>
      <c r="AB937" s="143"/>
      <c r="AC937" s="143"/>
      <c r="AD937" s="143"/>
    </row>
    <row r="938" spans="11:30" customFormat="1" x14ac:dyDescent="0.3">
      <c r="K938" s="41"/>
      <c r="L938" s="3"/>
      <c r="N938" s="143"/>
      <c r="O938" s="143"/>
      <c r="U938" s="143"/>
      <c r="V938" s="143"/>
      <c r="W938" s="143"/>
      <c r="AB938" s="143"/>
      <c r="AC938" s="143"/>
      <c r="AD938" s="143"/>
    </row>
    <row r="939" spans="11:30" customFormat="1" x14ac:dyDescent="0.3">
      <c r="K939" s="41"/>
      <c r="L939" s="3"/>
      <c r="N939" s="143"/>
      <c r="O939" s="143"/>
      <c r="U939" s="143"/>
      <c r="V939" s="143"/>
      <c r="W939" s="143"/>
      <c r="AB939" s="143"/>
      <c r="AC939" s="143"/>
      <c r="AD939" s="143"/>
    </row>
    <row r="940" spans="11:30" customFormat="1" x14ac:dyDescent="0.3">
      <c r="K940" s="41"/>
      <c r="L940" s="3"/>
      <c r="N940" s="143"/>
      <c r="O940" s="143"/>
      <c r="U940" s="143"/>
      <c r="V940" s="143"/>
      <c r="W940" s="143"/>
      <c r="AB940" s="143"/>
      <c r="AC940" s="143"/>
      <c r="AD940" s="143"/>
    </row>
    <row r="941" spans="11:30" customFormat="1" x14ac:dyDescent="0.3">
      <c r="K941" s="41"/>
      <c r="L941" s="3"/>
      <c r="N941" s="143"/>
      <c r="O941" s="143"/>
      <c r="U941" s="143"/>
      <c r="V941" s="143"/>
      <c r="W941" s="143"/>
      <c r="AB941" s="143"/>
      <c r="AC941" s="143"/>
      <c r="AD941" s="143"/>
    </row>
    <row r="942" spans="11:30" customFormat="1" x14ac:dyDescent="0.3">
      <c r="K942" s="41"/>
      <c r="L942" s="3"/>
      <c r="N942" s="143"/>
      <c r="O942" s="143"/>
      <c r="U942" s="143"/>
      <c r="V942" s="143"/>
      <c r="W942" s="143"/>
      <c r="AB942" s="143"/>
      <c r="AC942" s="143"/>
      <c r="AD942" s="143"/>
    </row>
    <row r="943" spans="11:30" customFormat="1" x14ac:dyDescent="0.3">
      <c r="K943" s="41"/>
      <c r="L943" s="3"/>
      <c r="N943" s="143"/>
      <c r="O943" s="143"/>
      <c r="U943" s="143"/>
      <c r="V943" s="143"/>
      <c r="W943" s="143"/>
      <c r="AB943" s="143"/>
      <c r="AC943" s="143"/>
      <c r="AD943" s="143"/>
    </row>
    <row r="944" spans="11:30" customFormat="1" x14ac:dyDescent="0.3">
      <c r="K944" s="41"/>
      <c r="L944" s="3"/>
      <c r="N944" s="143"/>
      <c r="O944" s="143"/>
      <c r="U944" s="143"/>
      <c r="V944" s="143"/>
      <c r="W944" s="143"/>
      <c r="AB944" s="143"/>
      <c r="AC944" s="143"/>
      <c r="AD944" s="143"/>
    </row>
    <row r="945" spans="11:30" customFormat="1" x14ac:dyDescent="0.3">
      <c r="K945" s="41"/>
      <c r="L945" s="3"/>
      <c r="N945" s="143"/>
      <c r="O945" s="143"/>
      <c r="U945" s="143"/>
      <c r="V945" s="143"/>
      <c r="W945" s="143"/>
      <c r="AB945" s="143"/>
      <c r="AC945" s="143"/>
      <c r="AD945" s="143"/>
    </row>
    <row r="946" spans="11:30" customFormat="1" x14ac:dyDescent="0.3">
      <c r="K946" s="41"/>
      <c r="L946" s="3"/>
      <c r="N946" s="143"/>
      <c r="O946" s="143"/>
      <c r="U946" s="143"/>
      <c r="V946" s="143"/>
      <c r="W946" s="143"/>
      <c r="AB946" s="143"/>
      <c r="AC946" s="143"/>
      <c r="AD946" s="143"/>
    </row>
    <row r="947" spans="11:30" customFormat="1" x14ac:dyDescent="0.3">
      <c r="K947" s="41"/>
      <c r="L947" s="3"/>
      <c r="N947" s="143"/>
      <c r="O947" s="143"/>
      <c r="U947" s="143"/>
      <c r="V947" s="143"/>
      <c r="W947" s="143"/>
      <c r="AB947" s="143"/>
      <c r="AC947" s="143"/>
      <c r="AD947" s="143"/>
    </row>
    <row r="948" spans="11:30" customFormat="1" x14ac:dyDescent="0.3">
      <c r="K948" s="41"/>
      <c r="L948" s="3"/>
      <c r="N948" s="143"/>
      <c r="O948" s="143"/>
      <c r="U948" s="143"/>
      <c r="V948" s="143"/>
      <c r="W948" s="143"/>
      <c r="AB948" s="143"/>
      <c r="AC948" s="143"/>
      <c r="AD948" s="143"/>
    </row>
    <row r="949" spans="11:30" customFormat="1" x14ac:dyDescent="0.3">
      <c r="K949" s="41"/>
      <c r="L949" s="3"/>
      <c r="N949" s="143"/>
      <c r="O949" s="143"/>
      <c r="U949" s="143"/>
      <c r="V949" s="143"/>
      <c r="W949" s="143"/>
      <c r="AB949" s="143"/>
      <c r="AC949" s="143"/>
      <c r="AD949" s="143"/>
    </row>
    <row r="950" spans="11:30" customFormat="1" x14ac:dyDescent="0.3">
      <c r="K950" s="41"/>
      <c r="L950" s="3"/>
      <c r="N950" s="143"/>
      <c r="O950" s="143"/>
      <c r="U950" s="143"/>
      <c r="V950" s="143"/>
      <c r="W950" s="143"/>
      <c r="AB950" s="143"/>
      <c r="AC950" s="143"/>
      <c r="AD950" s="143"/>
    </row>
    <row r="951" spans="11:30" customFormat="1" x14ac:dyDescent="0.3">
      <c r="K951" s="41"/>
      <c r="L951" s="3"/>
      <c r="N951" s="143"/>
      <c r="O951" s="143"/>
      <c r="U951" s="143"/>
      <c r="V951" s="143"/>
      <c r="W951" s="143"/>
      <c r="AB951" s="143"/>
      <c r="AC951" s="143"/>
      <c r="AD951" s="143"/>
    </row>
    <row r="952" spans="11:30" customFormat="1" x14ac:dyDescent="0.3">
      <c r="K952" s="41"/>
      <c r="L952" s="3"/>
      <c r="N952" s="143"/>
      <c r="O952" s="143"/>
      <c r="U952" s="143"/>
      <c r="V952" s="143"/>
      <c r="W952" s="143"/>
      <c r="AB952" s="143"/>
      <c r="AC952" s="143"/>
      <c r="AD952" s="143"/>
    </row>
    <row r="953" spans="11:30" customFormat="1" x14ac:dyDescent="0.3">
      <c r="K953" s="41"/>
      <c r="L953" s="3"/>
      <c r="N953" s="143"/>
      <c r="O953" s="143"/>
      <c r="U953" s="143"/>
      <c r="V953" s="143"/>
      <c r="W953" s="143"/>
      <c r="AB953" s="143"/>
      <c r="AC953" s="143"/>
      <c r="AD953" s="143"/>
    </row>
    <row r="954" spans="11:30" customFormat="1" x14ac:dyDescent="0.3">
      <c r="K954" s="41"/>
      <c r="L954" s="3"/>
      <c r="N954" s="143"/>
      <c r="O954" s="143"/>
      <c r="U954" s="143"/>
      <c r="V954" s="143"/>
      <c r="W954" s="143"/>
      <c r="AB954" s="143"/>
      <c r="AC954" s="143"/>
      <c r="AD954" s="143"/>
    </row>
    <row r="955" spans="11:30" customFormat="1" x14ac:dyDescent="0.3">
      <c r="K955" s="41"/>
      <c r="L955" s="3"/>
      <c r="N955" s="143"/>
      <c r="O955" s="143"/>
      <c r="U955" s="143"/>
      <c r="V955" s="143"/>
      <c r="W955" s="143"/>
      <c r="AB955" s="143"/>
      <c r="AC955" s="143"/>
      <c r="AD955" s="143"/>
    </row>
    <row r="956" spans="11:30" customFormat="1" x14ac:dyDescent="0.3">
      <c r="K956" s="41"/>
      <c r="L956" s="3"/>
      <c r="N956" s="143"/>
      <c r="O956" s="143"/>
      <c r="U956" s="143"/>
      <c r="V956" s="143"/>
      <c r="W956" s="143"/>
      <c r="AB956" s="143"/>
      <c r="AC956" s="143"/>
      <c r="AD956" s="143"/>
    </row>
    <row r="957" spans="11:30" customFormat="1" x14ac:dyDescent="0.3">
      <c r="K957" s="41"/>
      <c r="L957" s="3"/>
      <c r="N957" s="143"/>
      <c r="O957" s="143"/>
      <c r="U957" s="143"/>
      <c r="V957" s="143"/>
      <c r="W957" s="143"/>
      <c r="AB957" s="143"/>
      <c r="AC957" s="143"/>
      <c r="AD957" s="143"/>
    </row>
    <row r="958" spans="11:30" customFormat="1" x14ac:dyDescent="0.3">
      <c r="K958" s="41"/>
      <c r="L958" s="3"/>
      <c r="N958" s="143"/>
      <c r="O958" s="143"/>
      <c r="U958" s="143"/>
      <c r="V958" s="143"/>
      <c r="W958" s="143"/>
      <c r="AB958" s="143"/>
      <c r="AC958" s="143"/>
      <c r="AD958" s="143"/>
    </row>
    <row r="959" spans="11:30" customFormat="1" x14ac:dyDescent="0.3">
      <c r="K959" s="41"/>
      <c r="L959" s="3"/>
      <c r="N959" s="143"/>
      <c r="O959" s="143"/>
      <c r="U959" s="143"/>
      <c r="V959" s="143"/>
      <c r="W959" s="143"/>
      <c r="AB959" s="143"/>
      <c r="AC959" s="143"/>
      <c r="AD959" s="143"/>
    </row>
    <row r="960" spans="11:30" customFormat="1" x14ac:dyDescent="0.3">
      <c r="K960" s="41"/>
      <c r="L960" s="3"/>
      <c r="N960" s="143"/>
      <c r="O960" s="143"/>
      <c r="U960" s="143"/>
      <c r="V960" s="143"/>
      <c r="W960" s="143"/>
      <c r="AB960" s="143"/>
      <c r="AC960" s="143"/>
      <c r="AD960" s="143"/>
    </row>
    <row r="961" spans="11:30" customFormat="1" x14ac:dyDescent="0.3">
      <c r="K961" s="41"/>
      <c r="L961" s="3"/>
      <c r="N961" s="143"/>
      <c r="O961" s="143"/>
      <c r="U961" s="143"/>
      <c r="V961" s="143"/>
      <c r="W961" s="143"/>
      <c r="AB961" s="143"/>
      <c r="AC961" s="143"/>
      <c r="AD961" s="143"/>
    </row>
    <row r="962" spans="11:30" customFormat="1" x14ac:dyDescent="0.3">
      <c r="K962" s="41"/>
      <c r="L962" s="3"/>
      <c r="N962" s="143"/>
      <c r="O962" s="143"/>
      <c r="U962" s="143"/>
      <c r="V962" s="143"/>
      <c r="W962" s="143"/>
      <c r="AB962" s="143"/>
      <c r="AC962" s="143"/>
      <c r="AD962" s="143"/>
    </row>
    <row r="963" spans="11:30" customFormat="1" x14ac:dyDescent="0.3">
      <c r="K963" s="41"/>
      <c r="L963" s="3"/>
      <c r="N963" s="143"/>
      <c r="O963" s="143"/>
      <c r="U963" s="143"/>
      <c r="V963" s="143"/>
      <c r="W963" s="143"/>
      <c r="AB963" s="143"/>
      <c r="AC963" s="143"/>
      <c r="AD963" s="143"/>
    </row>
    <row r="964" spans="11:30" customFormat="1" x14ac:dyDescent="0.3">
      <c r="K964" s="41"/>
      <c r="L964" s="3"/>
      <c r="N964" s="143"/>
      <c r="O964" s="143"/>
      <c r="U964" s="143"/>
      <c r="V964" s="143"/>
      <c r="W964" s="143"/>
      <c r="AB964" s="143"/>
      <c r="AC964" s="143"/>
      <c r="AD964" s="143"/>
    </row>
    <row r="965" spans="11:30" customFormat="1" x14ac:dyDescent="0.3">
      <c r="K965" s="41"/>
      <c r="L965" s="3"/>
      <c r="N965" s="143"/>
      <c r="O965" s="143"/>
      <c r="U965" s="143"/>
      <c r="V965" s="143"/>
      <c r="W965" s="143"/>
      <c r="AB965" s="143"/>
      <c r="AC965" s="143"/>
      <c r="AD965" s="143"/>
    </row>
    <row r="966" spans="11:30" customFormat="1" x14ac:dyDescent="0.3">
      <c r="K966" s="41"/>
      <c r="L966" s="3"/>
      <c r="N966" s="143"/>
      <c r="O966" s="143"/>
      <c r="U966" s="143"/>
      <c r="V966" s="143"/>
      <c r="W966" s="143"/>
      <c r="AB966" s="143"/>
      <c r="AC966" s="143"/>
      <c r="AD966" s="143"/>
    </row>
    <row r="967" spans="11:30" customFormat="1" x14ac:dyDescent="0.3">
      <c r="K967" s="41"/>
      <c r="L967" s="3"/>
      <c r="N967" s="143"/>
      <c r="O967" s="143"/>
      <c r="U967" s="143"/>
      <c r="V967" s="143"/>
      <c r="W967" s="143"/>
      <c r="AB967" s="143"/>
      <c r="AC967" s="143"/>
      <c r="AD967" s="143"/>
    </row>
    <row r="968" spans="11:30" customFormat="1" x14ac:dyDescent="0.3">
      <c r="K968" s="41"/>
      <c r="L968" s="3"/>
      <c r="N968" s="143"/>
      <c r="O968" s="143"/>
      <c r="U968" s="143"/>
      <c r="V968" s="143"/>
      <c r="W968" s="143"/>
      <c r="AB968" s="143"/>
      <c r="AC968" s="143"/>
      <c r="AD968" s="143"/>
    </row>
    <row r="969" spans="11:30" customFormat="1" x14ac:dyDescent="0.3">
      <c r="K969" s="41"/>
      <c r="L969" s="3"/>
      <c r="N969" s="143"/>
      <c r="O969" s="143"/>
      <c r="U969" s="143"/>
      <c r="V969" s="143"/>
      <c r="W969" s="143"/>
      <c r="AB969" s="143"/>
      <c r="AC969" s="143"/>
      <c r="AD969" s="143"/>
    </row>
    <row r="970" spans="11:30" customFormat="1" x14ac:dyDescent="0.3">
      <c r="K970" s="41"/>
      <c r="L970" s="3"/>
      <c r="N970" s="143"/>
      <c r="O970" s="143"/>
      <c r="U970" s="143"/>
      <c r="V970" s="143"/>
      <c r="W970" s="143"/>
      <c r="AB970" s="143"/>
      <c r="AC970" s="143"/>
      <c r="AD970" s="143"/>
    </row>
    <row r="971" spans="11:30" customFormat="1" x14ac:dyDescent="0.3">
      <c r="K971" s="41"/>
      <c r="L971" s="3"/>
      <c r="N971" s="143"/>
      <c r="O971" s="143"/>
      <c r="U971" s="143"/>
      <c r="V971" s="143"/>
      <c r="W971" s="143"/>
      <c r="AB971" s="143"/>
      <c r="AC971" s="143"/>
      <c r="AD971" s="143"/>
    </row>
    <row r="972" spans="11:30" customFormat="1" x14ac:dyDescent="0.3">
      <c r="K972" s="41"/>
      <c r="L972" s="3"/>
      <c r="N972" s="143"/>
      <c r="O972" s="143"/>
      <c r="U972" s="143"/>
      <c r="V972" s="143"/>
      <c r="W972" s="143"/>
      <c r="AB972" s="143"/>
      <c r="AC972" s="143"/>
      <c r="AD972" s="143"/>
    </row>
    <row r="973" spans="11:30" customFormat="1" x14ac:dyDescent="0.3">
      <c r="K973" s="41"/>
      <c r="L973" s="3"/>
      <c r="N973" s="143"/>
      <c r="O973" s="143"/>
      <c r="U973" s="143"/>
      <c r="V973" s="143"/>
      <c r="W973" s="143"/>
      <c r="AB973" s="143"/>
      <c r="AC973" s="143"/>
      <c r="AD973" s="143"/>
    </row>
    <row r="974" spans="11:30" customFormat="1" x14ac:dyDescent="0.3">
      <c r="K974" s="41"/>
      <c r="L974" s="3"/>
      <c r="N974" s="143"/>
      <c r="O974" s="143"/>
      <c r="U974" s="143"/>
      <c r="V974" s="143"/>
      <c r="W974" s="143"/>
      <c r="AB974" s="143"/>
      <c r="AC974" s="143"/>
      <c r="AD974" s="143"/>
    </row>
    <row r="975" spans="11:30" customFormat="1" x14ac:dyDescent="0.3">
      <c r="K975" s="41"/>
      <c r="L975" s="3"/>
      <c r="N975" s="143"/>
      <c r="O975" s="143"/>
      <c r="U975" s="143"/>
      <c r="V975" s="143"/>
      <c r="W975" s="143"/>
      <c r="AB975" s="143"/>
      <c r="AC975" s="143"/>
      <c r="AD975" s="143"/>
    </row>
    <row r="976" spans="11:30" customFormat="1" x14ac:dyDescent="0.3">
      <c r="K976" s="41"/>
      <c r="L976" s="3"/>
      <c r="N976" s="143"/>
      <c r="O976" s="143"/>
      <c r="U976" s="143"/>
      <c r="V976" s="143"/>
      <c r="W976" s="143"/>
      <c r="AB976" s="143"/>
      <c r="AC976" s="143"/>
      <c r="AD976" s="143"/>
    </row>
    <row r="977" spans="11:30" customFormat="1" x14ac:dyDescent="0.3">
      <c r="K977" s="41"/>
      <c r="L977" s="3"/>
      <c r="N977" s="143"/>
      <c r="O977" s="143"/>
      <c r="U977" s="143"/>
      <c r="V977" s="143"/>
      <c r="W977" s="143"/>
      <c r="AB977" s="143"/>
      <c r="AC977" s="143"/>
      <c r="AD977" s="143"/>
    </row>
    <row r="978" spans="11:30" customFormat="1" x14ac:dyDescent="0.3">
      <c r="K978" s="41"/>
      <c r="L978" s="3"/>
      <c r="N978" s="143"/>
      <c r="O978" s="143"/>
      <c r="U978" s="143"/>
      <c r="V978" s="143"/>
      <c r="W978" s="143"/>
      <c r="AB978" s="143"/>
      <c r="AC978" s="143"/>
      <c r="AD978" s="143"/>
    </row>
    <row r="979" spans="11:30" customFormat="1" x14ac:dyDescent="0.3">
      <c r="K979" s="41"/>
      <c r="L979" s="3"/>
      <c r="N979" s="143"/>
      <c r="O979" s="143"/>
      <c r="U979" s="143"/>
      <c r="V979" s="143"/>
      <c r="W979" s="143"/>
      <c r="AB979" s="143"/>
      <c r="AC979" s="143"/>
      <c r="AD979" s="143"/>
    </row>
    <row r="980" spans="11:30" customFormat="1" x14ac:dyDescent="0.3">
      <c r="K980" s="41"/>
      <c r="L980" s="3"/>
      <c r="N980" s="143"/>
      <c r="O980" s="143"/>
      <c r="U980" s="143"/>
      <c r="V980" s="143"/>
      <c r="W980" s="143"/>
      <c r="AB980" s="143"/>
      <c r="AC980" s="143"/>
      <c r="AD980" s="143"/>
    </row>
    <row r="981" spans="11:30" customFormat="1" x14ac:dyDescent="0.3">
      <c r="K981" s="41"/>
      <c r="L981" s="3"/>
      <c r="N981" s="143"/>
      <c r="O981" s="143"/>
      <c r="U981" s="143"/>
      <c r="V981" s="143"/>
      <c r="W981" s="143"/>
      <c r="AB981" s="143"/>
      <c r="AC981" s="143"/>
      <c r="AD981" s="143"/>
    </row>
    <row r="982" spans="11:30" customFormat="1" x14ac:dyDescent="0.3">
      <c r="K982" s="41"/>
      <c r="L982" s="3"/>
      <c r="N982" s="143"/>
      <c r="O982" s="143"/>
      <c r="U982" s="143"/>
      <c r="V982" s="143"/>
      <c r="W982" s="143"/>
      <c r="AB982" s="143"/>
      <c r="AC982" s="143"/>
      <c r="AD982" s="143"/>
    </row>
    <row r="983" spans="11:30" customFormat="1" x14ac:dyDescent="0.3">
      <c r="K983" s="41"/>
      <c r="L983" s="3"/>
      <c r="N983" s="143"/>
      <c r="O983" s="143"/>
      <c r="U983" s="143"/>
      <c r="V983" s="143"/>
      <c r="W983" s="143"/>
      <c r="AB983" s="143"/>
      <c r="AC983" s="143"/>
      <c r="AD983" s="143"/>
    </row>
    <row r="984" spans="11:30" customFormat="1" x14ac:dyDescent="0.3">
      <c r="K984" s="41"/>
      <c r="L984" s="3"/>
      <c r="N984" s="143"/>
      <c r="O984" s="143"/>
      <c r="U984" s="143"/>
      <c r="V984" s="143"/>
      <c r="W984" s="143"/>
      <c r="AB984" s="143"/>
      <c r="AC984" s="143"/>
      <c r="AD984" s="143"/>
    </row>
    <row r="985" spans="11:30" customFormat="1" x14ac:dyDescent="0.3">
      <c r="K985" s="41"/>
      <c r="L985" s="3"/>
      <c r="N985" s="143"/>
      <c r="O985" s="143"/>
      <c r="U985" s="143"/>
      <c r="V985" s="143"/>
      <c r="W985" s="143"/>
      <c r="AB985" s="143"/>
      <c r="AC985" s="143"/>
      <c r="AD985" s="143"/>
    </row>
    <row r="986" spans="11:30" customFormat="1" x14ac:dyDescent="0.3">
      <c r="K986" s="41"/>
      <c r="L986" s="3"/>
      <c r="N986" s="143"/>
      <c r="O986" s="143"/>
      <c r="U986" s="143"/>
      <c r="V986" s="143"/>
      <c r="W986" s="143"/>
      <c r="AB986" s="143"/>
      <c r="AC986" s="143"/>
      <c r="AD986" s="143"/>
    </row>
    <row r="987" spans="11:30" customFormat="1" x14ac:dyDescent="0.3">
      <c r="K987" s="41"/>
      <c r="L987" s="3"/>
      <c r="N987" s="143"/>
      <c r="O987" s="143"/>
      <c r="U987" s="143"/>
      <c r="V987" s="143"/>
      <c r="W987" s="143"/>
      <c r="AB987" s="143"/>
      <c r="AC987" s="143"/>
      <c r="AD987" s="143"/>
    </row>
    <row r="988" spans="11:30" customFormat="1" x14ac:dyDescent="0.3">
      <c r="K988" s="41"/>
      <c r="L988" s="3"/>
      <c r="N988" s="143"/>
      <c r="O988" s="143"/>
      <c r="U988" s="143"/>
      <c r="V988" s="143"/>
      <c r="W988" s="143"/>
      <c r="AB988" s="143"/>
      <c r="AC988" s="143"/>
      <c r="AD988" s="143"/>
    </row>
    <row r="989" spans="11:30" customFormat="1" x14ac:dyDescent="0.3">
      <c r="K989" s="41"/>
      <c r="L989" s="3"/>
      <c r="N989" s="143"/>
      <c r="O989" s="143"/>
      <c r="U989" s="143"/>
      <c r="V989" s="143"/>
      <c r="W989" s="143"/>
      <c r="AB989" s="143"/>
      <c r="AC989" s="143"/>
      <c r="AD989" s="143"/>
    </row>
    <row r="990" spans="11:30" customFormat="1" x14ac:dyDescent="0.3">
      <c r="K990" s="41"/>
      <c r="L990" s="3"/>
      <c r="N990" s="143"/>
      <c r="O990" s="143"/>
      <c r="U990" s="143"/>
      <c r="V990" s="143"/>
      <c r="W990" s="143"/>
      <c r="AB990" s="143"/>
      <c r="AC990" s="143"/>
      <c r="AD990" s="143"/>
    </row>
    <row r="991" spans="11:30" customFormat="1" x14ac:dyDescent="0.3">
      <c r="K991" s="41"/>
      <c r="L991" s="3"/>
      <c r="N991" s="143"/>
      <c r="O991" s="143"/>
      <c r="U991" s="143"/>
      <c r="V991" s="143"/>
      <c r="W991" s="143"/>
      <c r="AB991" s="143"/>
      <c r="AC991" s="143"/>
      <c r="AD991" s="143"/>
    </row>
    <row r="992" spans="11:30" customFormat="1" x14ac:dyDescent="0.3">
      <c r="K992" s="41"/>
      <c r="L992" s="3"/>
      <c r="N992" s="143"/>
      <c r="O992" s="143"/>
      <c r="U992" s="143"/>
      <c r="V992" s="143"/>
      <c r="W992" s="143"/>
      <c r="AB992" s="143"/>
      <c r="AC992" s="143"/>
      <c r="AD992" s="143"/>
    </row>
    <row r="993" spans="11:30" customFormat="1" x14ac:dyDescent="0.3">
      <c r="K993" s="41"/>
      <c r="L993" s="3"/>
      <c r="N993" s="143"/>
      <c r="O993" s="143"/>
      <c r="U993" s="143"/>
      <c r="V993" s="143"/>
      <c r="W993" s="143"/>
      <c r="AB993" s="143"/>
      <c r="AC993" s="143"/>
      <c r="AD993" s="143"/>
    </row>
    <row r="994" spans="11:30" customFormat="1" x14ac:dyDescent="0.3">
      <c r="K994" s="41"/>
      <c r="L994" s="3"/>
      <c r="N994" s="143"/>
      <c r="O994" s="143"/>
      <c r="U994" s="143"/>
      <c r="V994" s="143"/>
      <c r="W994" s="143"/>
      <c r="AB994" s="143"/>
      <c r="AC994" s="143"/>
      <c r="AD994" s="143"/>
    </row>
    <row r="995" spans="11:30" customFormat="1" x14ac:dyDescent="0.3">
      <c r="K995" s="41"/>
      <c r="L995" s="3"/>
      <c r="N995" s="143"/>
      <c r="O995" s="143"/>
      <c r="U995" s="143"/>
      <c r="V995" s="143"/>
      <c r="W995" s="143"/>
      <c r="AB995" s="143"/>
      <c r="AC995" s="143"/>
      <c r="AD995" s="143"/>
    </row>
    <row r="996" spans="11:30" customFormat="1" x14ac:dyDescent="0.3">
      <c r="K996" s="41"/>
      <c r="L996" s="3"/>
      <c r="N996" s="143"/>
      <c r="O996" s="143"/>
      <c r="U996" s="143"/>
      <c r="V996" s="143"/>
      <c r="W996" s="143"/>
      <c r="AB996" s="143"/>
      <c r="AC996" s="143"/>
      <c r="AD996" s="143"/>
    </row>
    <row r="997" spans="11:30" customFormat="1" x14ac:dyDescent="0.3">
      <c r="K997" s="41"/>
      <c r="L997" s="3"/>
      <c r="N997" s="143"/>
      <c r="O997" s="143"/>
      <c r="U997" s="143"/>
      <c r="V997" s="143"/>
      <c r="W997" s="143"/>
      <c r="AB997" s="143"/>
      <c r="AC997" s="143"/>
      <c r="AD997" s="143"/>
    </row>
    <row r="998" spans="11:30" customFormat="1" x14ac:dyDescent="0.3">
      <c r="K998" s="41"/>
      <c r="L998" s="3"/>
      <c r="N998" s="143"/>
      <c r="O998" s="143"/>
      <c r="U998" s="143"/>
      <c r="V998" s="143"/>
      <c r="W998" s="143"/>
      <c r="AB998" s="143"/>
      <c r="AC998" s="143"/>
      <c r="AD998" s="143"/>
    </row>
    <row r="999" spans="11:30" customFormat="1" x14ac:dyDescent="0.3">
      <c r="K999" s="41"/>
      <c r="L999" s="3"/>
      <c r="N999" s="143"/>
      <c r="O999" s="143"/>
      <c r="U999" s="143"/>
      <c r="V999" s="143"/>
      <c r="W999" s="143"/>
      <c r="AB999" s="143"/>
      <c r="AC999" s="143"/>
      <c r="AD999" s="143"/>
    </row>
    <row r="1000" spans="11:30" customFormat="1" x14ac:dyDescent="0.3">
      <c r="K1000" s="41"/>
      <c r="L1000" s="3"/>
      <c r="N1000" s="143"/>
      <c r="O1000" s="143"/>
      <c r="U1000" s="143"/>
      <c r="V1000" s="143"/>
      <c r="W1000" s="143"/>
      <c r="AB1000" s="143"/>
      <c r="AC1000" s="143"/>
      <c r="AD1000" s="143"/>
    </row>
  </sheetData>
  <phoneticPr fontId="1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3" name="Button 14">
              <controlPr defaultSize="0" print="0" autoFill="0" autoPict="0" macro="[0]!Módulo10.CrearTablaResumenConTotales">
                <anchor moveWithCells="1" sizeWithCells="1">
                  <from>
                    <xdr:col>1</xdr:col>
                    <xdr:colOff>99060</xdr:colOff>
                    <xdr:row>0</xdr:row>
                    <xdr:rowOff>76200</xdr:rowOff>
                  </from>
                  <to>
                    <xdr:col>21</xdr:col>
                    <xdr:colOff>914400</xdr:colOff>
                    <xdr:row>2</xdr:row>
                    <xdr:rowOff>396240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B77D-49AC-4843-B975-EC8D72F2269F}">
  <sheetPr codeName="Hoja9">
    <tabColor rgb="FF00B050"/>
  </sheetPr>
  <dimension ref="B1:P1048576"/>
  <sheetViews>
    <sheetView topLeftCell="A3" zoomScaleNormal="100" workbookViewId="0">
      <selection activeCell="L7" sqref="L7"/>
    </sheetView>
  </sheetViews>
  <sheetFormatPr baseColWidth="10" defaultColWidth="11.44140625" defaultRowHeight="14.4" x14ac:dyDescent="0.3"/>
  <cols>
    <col min="2" max="2" width="15.6640625" style="144" customWidth="1"/>
    <col min="3" max="3" width="12.6640625" style="145" customWidth="1"/>
    <col min="4" max="4" width="19.44140625" style="25" customWidth="1"/>
    <col min="5" max="5" width="28.44140625" style="145" customWidth="1"/>
    <col min="6" max="6" width="12.109375" style="147" customWidth="1"/>
    <col min="7" max="7" width="17.88671875" style="148" customWidth="1"/>
    <col min="8" max="8" width="10.5546875" style="22" customWidth="1"/>
    <col min="9" max="9" width="10" style="149" customWidth="1"/>
    <col min="10" max="10" width="16.109375" style="149" customWidth="1"/>
    <col min="11" max="11" width="15.109375" style="149" customWidth="1"/>
    <col min="12" max="12" width="11.44140625" style="150"/>
    <col min="13" max="13" width="11.44140625" style="149"/>
    <col min="14" max="14" width="11.44140625" style="151"/>
  </cols>
  <sheetData>
    <row r="1" spans="2:16" x14ac:dyDescent="0.3">
      <c r="B1" s="34"/>
      <c r="C1" s="34"/>
      <c r="D1" s="34"/>
      <c r="E1"/>
      <c r="F1"/>
      <c r="G1"/>
      <c r="H1"/>
      <c r="I1"/>
      <c r="J1"/>
      <c r="K1"/>
      <c r="L1"/>
      <c r="M1"/>
      <c r="N1"/>
    </row>
    <row r="2" spans="2:16" x14ac:dyDescent="0.3">
      <c r="B2" s="34"/>
      <c r="C2" s="34"/>
      <c r="D2" s="34"/>
      <c r="E2"/>
      <c r="F2"/>
      <c r="G2"/>
      <c r="H2"/>
      <c r="I2"/>
      <c r="J2"/>
      <c r="K2"/>
      <c r="L2"/>
      <c r="M2"/>
      <c r="N2"/>
    </row>
    <row r="3" spans="2:16" x14ac:dyDescent="0.3">
      <c r="B3" s="35"/>
      <c r="C3" s="34"/>
      <c r="D3" s="34"/>
      <c r="E3"/>
      <c r="F3"/>
      <c r="G3"/>
      <c r="H3"/>
      <c r="I3"/>
      <c r="J3"/>
      <c r="K3"/>
      <c r="L3"/>
      <c r="M3"/>
      <c r="N3"/>
    </row>
    <row r="4" spans="2:16" x14ac:dyDescent="0.3">
      <c r="B4" s="34"/>
      <c r="C4" s="34"/>
      <c r="D4" s="36"/>
      <c r="E4"/>
      <c r="F4"/>
      <c r="G4"/>
      <c r="H4"/>
      <c r="I4"/>
      <c r="J4"/>
      <c r="K4"/>
      <c r="L4"/>
      <c r="M4"/>
      <c r="N4"/>
    </row>
    <row r="5" spans="2:16" x14ac:dyDescent="0.3">
      <c r="B5" s="107" t="s">
        <v>54</v>
      </c>
      <c r="C5" s="107" t="s">
        <v>54</v>
      </c>
      <c r="D5" s="107" t="s">
        <v>158</v>
      </c>
      <c r="E5" s="4" t="s">
        <v>158</v>
      </c>
      <c r="F5" s="4" t="s">
        <v>56</v>
      </c>
      <c r="G5" s="107" t="s">
        <v>54</v>
      </c>
      <c r="H5" s="107" t="s">
        <v>54</v>
      </c>
      <c r="I5" s="4" t="s">
        <v>56</v>
      </c>
      <c r="J5" s="4" t="s">
        <v>56</v>
      </c>
      <c r="K5" s="4" t="s">
        <v>56</v>
      </c>
      <c r="L5" s="4" t="s">
        <v>56</v>
      </c>
      <c r="M5" s="4" t="s">
        <v>56</v>
      </c>
      <c r="N5" s="4" t="s">
        <v>56</v>
      </c>
    </row>
    <row r="6" spans="2:16" ht="28.8" x14ac:dyDescent="0.3">
      <c r="B6" s="21" t="s">
        <v>37</v>
      </c>
      <c r="C6" s="21" t="s">
        <v>57</v>
      </c>
      <c r="D6" s="21" t="s">
        <v>51</v>
      </c>
      <c r="E6" s="21" t="s">
        <v>36</v>
      </c>
      <c r="F6" s="21" t="s">
        <v>134</v>
      </c>
      <c r="G6" s="21" t="s">
        <v>58</v>
      </c>
      <c r="H6" s="21" t="s">
        <v>59</v>
      </c>
      <c r="I6" s="31" t="s">
        <v>60</v>
      </c>
      <c r="J6" s="21" t="s">
        <v>61</v>
      </c>
      <c r="K6" s="21" t="s">
        <v>178</v>
      </c>
      <c r="L6" s="31" t="s">
        <v>62</v>
      </c>
      <c r="M6" s="21" t="s">
        <v>63</v>
      </c>
      <c r="N6" s="38" t="s">
        <v>64</v>
      </c>
    </row>
    <row r="7" spans="2:16" ht="66" customHeight="1" x14ac:dyDescent="0.3">
      <c r="B7" s="29" t="s">
        <v>49</v>
      </c>
      <c r="C7" s="22" t="s">
        <v>42</v>
      </c>
      <c r="D7" s="62" t="s">
        <v>117</v>
      </c>
      <c r="E7" s="33" t="s">
        <v>65</v>
      </c>
      <c r="F7" t="str">
        <f>_xlfn.XLOOKUP(Tabla2757[[#This Row],[Tipo de venta]],Tabla2329[Tipo de venta],Tabla2329[Moneda final], "Error - Seleccionar Tipo de Venta", 0,1)</f>
        <v>CLP</v>
      </c>
      <c r="G7" s="22" t="s">
        <v>26</v>
      </c>
      <c r="H7" s="22" t="s">
        <v>25</v>
      </c>
      <c r="I7" s="32">
        <f>_xlfn.XLOOKUP(Tabla2757[[#This Row],[Puesto Encargado]], Tabla9[Puesto], Tabla9[Precio cliente],0,1,1)</f>
        <v>0.44117647058823534</v>
      </c>
      <c r="J7" s="32">
        <f>_xlfn.XLOOKUP(Tabla2757[[#This Row],[Cargo]], Tabla958[Cargos], Tabla958[Ponderador Precio],0,1,1)</f>
        <v>1</v>
      </c>
      <c r="K7" s="32">
        <f>Tabla2757[[#This Row],[Precio por hora UF]]*Tabla2757[[#This Row],[Ponderador]]</f>
        <v>0.44117647058823534</v>
      </c>
      <c r="L7" s="42">
        <v>4</v>
      </c>
      <c r="M7" s="32">
        <f>Tabla2757[[#This Row],[Precio por hora]]*Tabla2757[[#This Row],[Cantidad horas]]</f>
        <v>1.7647058823529413</v>
      </c>
      <c r="N7" s="64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67780.941176470587</v>
      </c>
    </row>
    <row r="8" spans="2:16" ht="28.8" x14ac:dyDescent="0.3">
      <c r="B8" s="29" t="s">
        <v>49</v>
      </c>
      <c r="C8" s="22" t="s">
        <v>38</v>
      </c>
      <c r="D8" s="62" t="s">
        <v>118</v>
      </c>
      <c r="E8" s="33" t="s">
        <v>65</v>
      </c>
      <c r="F8" t="str">
        <f>_xlfn.XLOOKUP(Tabla2757[[#This Row],[Tipo de venta]],Tabla2329[Tipo de venta],Tabla2329[Moneda final], "Error - Seleccionar Tipo de Venta", 0,1)</f>
        <v>CLP</v>
      </c>
      <c r="G8" s="22" t="s">
        <v>32</v>
      </c>
      <c r="H8" s="22" t="s">
        <v>25</v>
      </c>
      <c r="I8" s="32">
        <f>_xlfn.XLOOKUP(Tabla2757[[#This Row],[Puesto Encargado]], Tabla9[Puesto], Tabla9[Precio cliente],0,1,1)</f>
        <v>0.47619047619047616</v>
      </c>
      <c r="J8" s="32">
        <f>_xlfn.XLOOKUP(Tabla2757[[#This Row],[Cargo]], Tabla958[Cargos], Tabla958[Ponderador Precio],0,1,1)</f>
        <v>1</v>
      </c>
      <c r="K8" s="32">
        <f>Tabla2757[[#This Row],[Precio por hora UF]]*Tabla2757[[#This Row],[Ponderador]]</f>
        <v>0.47619047619047616</v>
      </c>
      <c r="L8" s="42">
        <v>0.2</v>
      </c>
      <c r="M8" s="32">
        <f>Tabla2757[[#This Row],[Precio por hora]]*Tabla2757[[#This Row],[Cantidad horas]]</f>
        <v>9.5238095238095233E-2</v>
      </c>
      <c r="N8" s="64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3658.0190476190473</v>
      </c>
    </row>
    <row r="9" spans="2:16" ht="28.8" x14ac:dyDescent="0.3">
      <c r="B9" s="29" t="s">
        <v>49</v>
      </c>
      <c r="C9" s="22" t="s">
        <v>46</v>
      </c>
      <c r="D9" s="62" t="s">
        <v>119</v>
      </c>
      <c r="E9" s="22" t="s">
        <v>66</v>
      </c>
      <c r="F9" t="str">
        <f>_xlfn.XLOOKUP(Tabla2757[[#This Row],[Tipo de venta]],Tabla2329[Tipo de venta],Tabla2329[Moneda final], "Error - Seleccionar Tipo de Venta", 0,1)</f>
        <v>CLP</v>
      </c>
      <c r="G9" s="22" t="s">
        <v>33</v>
      </c>
      <c r="H9" s="22" t="s">
        <v>25</v>
      </c>
      <c r="I9" s="32">
        <f>_xlfn.XLOOKUP(Tabla2757[[#This Row],[Puesto Encargado]], Tabla9[Puesto], Tabla9[Precio cliente],0,1,1)</f>
        <v>0.49180327868852458</v>
      </c>
      <c r="J9" s="32">
        <f>_xlfn.XLOOKUP(Tabla2757[[#This Row],[Cargo]], Tabla958[Cargos], Tabla958[Ponderador Precio],0,1,1)</f>
        <v>1</v>
      </c>
      <c r="K9" s="32">
        <f>Tabla2757[[#This Row],[Precio por hora UF]]*Tabla2757[[#This Row],[Ponderador]]</f>
        <v>0.49180327868852458</v>
      </c>
      <c r="L9" s="42">
        <v>5</v>
      </c>
      <c r="M9" s="32">
        <f>Tabla2757[[#This Row],[Precio por hora]]*Tabla2757[[#This Row],[Cantidad horas]]</f>
        <v>2.459016393442623</v>
      </c>
      <c r="N9" s="65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94448.852459016387</v>
      </c>
    </row>
    <row r="10" spans="2:16" ht="28.8" x14ac:dyDescent="0.3">
      <c r="B10" s="29" t="s">
        <v>49</v>
      </c>
      <c r="C10" s="22" t="s">
        <v>38</v>
      </c>
      <c r="D10" s="62" t="s">
        <v>124</v>
      </c>
      <c r="E10" s="22" t="s">
        <v>66</v>
      </c>
      <c r="F10" t="str">
        <f>_xlfn.XLOOKUP(Tabla2757[[#This Row],[Tipo de venta]],Tabla2329[Tipo de venta],Tabla2329[Moneda final], "Error - Seleccionar Tipo de Venta", 0,1)</f>
        <v>CLP</v>
      </c>
      <c r="G10" s="22" t="s">
        <v>26</v>
      </c>
      <c r="H10" s="22" t="s">
        <v>25</v>
      </c>
      <c r="I10" s="32">
        <f>_xlfn.XLOOKUP(Tabla2757[[#This Row],[Puesto Encargado]], Tabla9[Puesto], Tabla9[Precio cliente],0,1,1)</f>
        <v>0.44117647058823534</v>
      </c>
      <c r="J10" s="32">
        <f>_xlfn.XLOOKUP(Tabla2757[[#This Row],[Cargo]], Tabla958[Cargos], Tabla958[Ponderador Precio],0,1,1)</f>
        <v>1</v>
      </c>
      <c r="K10" s="32">
        <f>Tabla2757[[#This Row],[Precio por hora UF]]*Tabla2757[[#This Row],[Ponderador]]</f>
        <v>0.44117647058823534</v>
      </c>
      <c r="L10" s="42">
        <v>1</v>
      </c>
      <c r="M10" s="32">
        <f>Tabla2757[[#This Row],[Precio por hora]]*Tabla2757[[#This Row],[Cantidad horas]]</f>
        <v>0.44117647058823534</v>
      </c>
      <c r="N10" s="65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16945.235294117647</v>
      </c>
      <c r="P10" s="143">
        <f>N7+N11</f>
        <v>76783.097426470587</v>
      </c>
    </row>
    <row r="11" spans="2:16" ht="28.8" x14ac:dyDescent="0.3">
      <c r="B11" s="29" t="s">
        <v>49</v>
      </c>
      <c r="C11" s="22" t="s">
        <v>42</v>
      </c>
      <c r="D11" s="62" t="s">
        <v>125</v>
      </c>
      <c r="E11" s="22" t="s">
        <v>66</v>
      </c>
      <c r="F11" t="str">
        <f>_xlfn.XLOOKUP(Tabla2757[[#This Row],[Tipo de venta]],Tabla2329[Tipo de venta],Tabla2329[Moneda final], "Error - Seleccionar Tipo de Venta", 0,1)</f>
        <v>CLP</v>
      </c>
      <c r="G11" s="22" t="s">
        <v>29</v>
      </c>
      <c r="H11" s="22" t="s">
        <v>25</v>
      </c>
      <c r="I11" s="32">
        <f>_xlfn.XLOOKUP(Tabla2757[[#This Row],[Puesto Encargado]], Tabla9[Puesto], Tabla9[Precio cliente],0,1,1)</f>
        <v>0.46875</v>
      </c>
      <c r="J11" s="32">
        <f>_xlfn.XLOOKUP(Tabla2757[[#This Row],[Cargo]], Tabla958[Cargos], Tabla958[Ponderador Precio],0,1,1)</f>
        <v>1</v>
      </c>
      <c r="K11" s="32">
        <f>Tabla2757[[#This Row],[Precio por hora UF]]*Tabla2757[[#This Row],[Ponderador]]</f>
        <v>0.46875</v>
      </c>
      <c r="L11" s="42">
        <v>0.5</v>
      </c>
      <c r="M11" s="32">
        <f>Tabla2757[[#This Row],[Precio por hora]]*Tabla2757[[#This Row],[Cantidad horas]]</f>
        <v>0.234375</v>
      </c>
      <c r="N11" s="65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9002.15625</v>
      </c>
    </row>
    <row r="12" spans="2:16" x14ac:dyDescent="0.3">
      <c r="B12" s="29" t="s">
        <v>123</v>
      </c>
      <c r="C12" s="22" t="s">
        <v>50</v>
      </c>
      <c r="D12" s="25" t="s">
        <v>180</v>
      </c>
      <c r="E12" s="22"/>
      <c r="F12" t="str">
        <f>_xlfn.XLOOKUP(Tabla2757[[#This Row],[Tipo de venta]],Tabla2329[Tipo de venta],Tabla2329[Moneda final], "Error - Seleccionar Tipo de Venta", 0,1)</f>
        <v>EUR</v>
      </c>
      <c r="G12" s="22" t="s">
        <v>26</v>
      </c>
      <c r="H12" s="22" t="s">
        <v>25</v>
      </c>
      <c r="I12" s="32">
        <f>_xlfn.XLOOKUP(Tabla2757[[#This Row],[Puesto Encargado]], Tabla9[Puesto], Tabla9[Precio cliente],0,1,1)</f>
        <v>0.44117647058823534</v>
      </c>
      <c r="J12" s="32">
        <f>_xlfn.XLOOKUP(Tabla2757[[#This Row],[Cargo]], Tabla958[Cargos], Tabla958[Ponderador Precio],0,1,1)</f>
        <v>1</v>
      </c>
      <c r="K12" s="32">
        <f>Tabla2757[[#This Row],[Precio por hora UF]]*Tabla2757[[#This Row],[Ponderador]]</f>
        <v>0.44117647058823534</v>
      </c>
      <c r="L12" s="42">
        <v>0.6</v>
      </c>
      <c r="M12" s="32">
        <f>Tabla2757[[#This Row],[Precio por hora]]*Tabla2757[[#This Row],[Cantidad horas]]</f>
        <v>0.26470588235294118</v>
      </c>
      <c r="N12" s="65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9.9191621233859397</v>
      </c>
    </row>
    <row r="13" spans="2:16" x14ac:dyDescent="0.3">
      <c r="B13" s="29"/>
      <c r="C13" s="22"/>
      <c r="E13" s="22"/>
      <c r="F13"/>
      <c r="G13" s="22"/>
      <c r="I13" s="32"/>
      <c r="J13" s="32"/>
      <c r="K13" s="32"/>
      <c r="L13" s="42"/>
      <c r="M13" s="32"/>
      <c r="N13" s="65"/>
    </row>
    <row r="14" spans="2:16" x14ac:dyDescent="0.3">
      <c r="B14" s="29"/>
      <c r="C14" s="22"/>
      <c r="E14" s="22"/>
      <c r="F14"/>
      <c r="G14" s="22"/>
      <c r="I14" s="32"/>
      <c r="J14" s="32"/>
      <c r="K14" s="32"/>
      <c r="L14" s="42"/>
      <c r="M14" s="32"/>
      <c r="N14" s="65"/>
    </row>
    <row r="15" spans="2:16" x14ac:dyDescent="0.3">
      <c r="B15" s="29"/>
      <c r="C15" s="22"/>
      <c r="E15" s="22"/>
      <c r="F15"/>
      <c r="G15" s="22"/>
      <c r="I15" s="32"/>
      <c r="J15" s="32"/>
      <c r="K15" s="32"/>
      <c r="L15" s="42"/>
      <c r="M15" s="51"/>
      <c r="N15" s="65"/>
    </row>
    <row r="16" spans="2:16" x14ac:dyDescent="0.3">
      <c r="B16" s="29"/>
      <c r="C16" s="22"/>
      <c r="E16" s="22"/>
      <c r="F16"/>
      <c r="G16" s="22"/>
      <c r="I16" s="32"/>
      <c r="J16" s="32"/>
      <c r="K16" s="32"/>
      <c r="L16" s="42"/>
      <c r="M16" s="51"/>
      <c r="N16" s="65"/>
    </row>
    <row r="17" spans="2:14" x14ac:dyDescent="0.3">
      <c r="B17" s="29"/>
      <c r="C17" s="22"/>
      <c r="E17" s="22"/>
      <c r="F17"/>
      <c r="G17" s="22"/>
      <c r="I17" s="32"/>
      <c r="J17" s="32"/>
      <c r="K17" s="32"/>
      <c r="L17" s="42"/>
      <c r="M17" s="51"/>
      <c r="N17" s="65"/>
    </row>
    <row r="18" spans="2:14" x14ac:dyDescent="0.3">
      <c r="B18" s="29"/>
      <c r="C18" s="22"/>
      <c r="E18" s="22"/>
      <c r="F18"/>
      <c r="G18" s="22"/>
      <c r="I18" s="32"/>
      <c r="J18" s="32"/>
      <c r="K18" s="32"/>
      <c r="L18" s="42"/>
      <c r="M18" s="51"/>
      <c r="N18" s="65"/>
    </row>
    <row r="19" spans="2:14" x14ac:dyDescent="0.3">
      <c r="B19" s="29"/>
      <c r="C19" s="22"/>
      <c r="E19" s="22"/>
      <c r="F19"/>
      <c r="G19" s="22"/>
      <c r="I19" s="32"/>
      <c r="J19" s="32"/>
      <c r="K19" s="32"/>
      <c r="L19" s="42"/>
      <c r="M19" s="51"/>
      <c r="N19" s="65"/>
    </row>
    <row r="20" spans="2:14" x14ac:dyDescent="0.3">
      <c r="B20" s="29"/>
      <c r="C20" s="22"/>
      <c r="E20" s="22"/>
      <c r="F20"/>
      <c r="G20" s="22"/>
      <c r="I20" s="32"/>
      <c r="J20" s="32"/>
      <c r="K20" s="32"/>
      <c r="L20" s="42"/>
      <c r="M20" s="51"/>
      <c r="N20" s="65"/>
    </row>
    <row r="21" spans="2:14" x14ac:dyDescent="0.3">
      <c r="B21" s="29"/>
      <c r="C21" s="22"/>
      <c r="E21" s="22"/>
      <c r="F21"/>
      <c r="G21" s="22"/>
      <c r="I21" s="32"/>
      <c r="J21" s="32"/>
      <c r="K21" s="32"/>
      <c r="L21" s="42"/>
      <c r="M21" s="51"/>
      <c r="N21" s="65"/>
    </row>
    <row r="22" spans="2:14" x14ac:dyDescent="0.3">
      <c r="B22" s="29"/>
      <c r="C22" s="22"/>
      <c r="E22" s="22"/>
      <c r="F22"/>
      <c r="G22" s="22"/>
      <c r="I22" s="32"/>
      <c r="J22" s="32"/>
      <c r="K22" s="32"/>
      <c r="L22" s="42"/>
      <c r="M22" s="51"/>
      <c r="N22" s="65"/>
    </row>
    <row r="23" spans="2:14" x14ac:dyDescent="0.3">
      <c r="B23" s="29"/>
      <c r="C23" s="22"/>
      <c r="E23" s="22"/>
      <c r="F23"/>
      <c r="G23" s="22"/>
      <c r="I23" s="32"/>
      <c r="J23" s="32"/>
      <c r="K23" s="32"/>
      <c r="L23" s="42"/>
      <c r="M23" s="51"/>
      <c r="N23" s="65"/>
    </row>
    <row r="24" spans="2:14" x14ac:dyDescent="0.3">
      <c r="B24" s="29"/>
      <c r="C24" s="22"/>
      <c r="E24" s="22"/>
      <c r="F24"/>
      <c r="G24" s="22"/>
      <c r="I24" s="32"/>
      <c r="J24" s="32"/>
      <c r="K24" s="32"/>
      <c r="L24" s="42"/>
      <c r="M24" s="51"/>
      <c r="N24" s="65"/>
    </row>
    <row r="25" spans="2:14" x14ac:dyDescent="0.3">
      <c r="B25" s="29"/>
      <c r="C25" s="22"/>
      <c r="E25" s="22"/>
      <c r="F25"/>
      <c r="G25" s="22"/>
      <c r="I25" s="32"/>
      <c r="J25" s="32"/>
      <c r="K25" s="32"/>
      <c r="L25" s="42"/>
      <c r="M25" s="51"/>
      <c r="N25" s="65"/>
    </row>
    <row r="26" spans="2:14" x14ac:dyDescent="0.3">
      <c r="B26" s="29"/>
      <c r="C26" s="22"/>
      <c r="D26" s="50"/>
      <c r="E26" s="22"/>
      <c r="F26"/>
      <c r="G26" s="22"/>
      <c r="I26" s="32"/>
      <c r="J26" s="32"/>
      <c r="K26" s="32"/>
      <c r="L26" s="42"/>
      <c r="M26" s="51"/>
      <c r="N26" s="65"/>
    </row>
    <row r="27" spans="2:14" x14ac:dyDescent="0.3">
      <c r="C27" s="22"/>
      <c r="E27" s="22"/>
      <c r="F27" s="146"/>
      <c r="I27" s="32"/>
      <c r="J27" s="32"/>
      <c r="K27" s="32"/>
      <c r="L27" s="42"/>
      <c r="M27" s="32"/>
    </row>
    <row r="1048576" spans="4:14" x14ac:dyDescent="0.3">
      <c r="D1048576" s="50"/>
      <c r="N1048576" s="15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46E6B2C-48B8-45CD-B1F9-964DCCC3616C}">
          <x14:formula1>
            <xm:f>'Datos generales'!$B$8:$B$10</xm:f>
          </x14:formula1>
          <xm:sqref>B3</xm:sqref>
        </x14:dataValidation>
        <x14:dataValidation type="list" allowBlank="1" showInputMessage="1" showErrorMessage="1" xr:uid="{FD3B6C4F-A24D-4888-8F37-673D4ED8C92E}">
          <x14:formula1>
            <xm:f>'Datos proyecto'!$I$9:$I$1048576</xm:f>
          </x14:formula1>
          <xm:sqref>B7:B1048576</xm:sqref>
        </x14:dataValidation>
        <x14:dataValidation type="list" allowBlank="1" showInputMessage="1" showErrorMessage="1" xr:uid="{D963B687-010E-4EF5-820E-46B4DA572296}">
          <x14:formula1>
            <xm:f>'Datos proyecto'!$F$9:$F$1048576</xm:f>
          </x14:formula1>
          <xm:sqref>C7:C1048576</xm:sqref>
        </x14:dataValidation>
        <x14:dataValidation type="list" allowBlank="1" showInputMessage="1" showErrorMessage="1" xr:uid="{A7008E57-0800-47FA-B0F0-07FCFC13174C}">
          <x14:formula1>
            <xm:f>'Datos generales'!$M$8:$M$1048576</xm:f>
          </x14:formula1>
          <xm:sqref>G7:G1048576</xm:sqref>
        </x14:dataValidation>
        <x14:dataValidation type="list" allowBlank="1" showInputMessage="1" showErrorMessage="1" xr:uid="{93465AEA-81E5-43DF-A490-FD4163C44584}">
          <x14:formula1>
            <xm:f>'Datos generales'!$J$8:$J$1048576</xm:f>
          </x14:formula1>
          <xm:sqref>H7:H1048576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7DAEE-3CE5-4A1E-BCF3-4253B7319073}">
  <sheetPr codeName="Hoja10">
    <tabColor rgb="FF00B050"/>
  </sheetPr>
  <dimension ref="A1:N80"/>
  <sheetViews>
    <sheetView zoomScaleNormal="100" workbookViewId="0">
      <selection activeCell="D13" sqref="D13"/>
    </sheetView>
  </sheetViews>
  <sheetFormatPr baseColWidth="10" defaultColWidth="11.44140625" defaultRowHeight="14.4" x14ac:dyDescent="0.3"/>
  <cols>
    <col min="2" max="2" width="20.6640625" customWidth="1"/>
    <col min="3" max="3" width="20.77734375" customWidth="1"/>
    <col min="4" max="4" width="19.44140625" customWidth="1"/>
    <col min="5" max="5" width="28.44140625" customWidth="1"/>
    <col min="6" max="6" width="13.33203125" customWidth="1"/>
    <col min="7" max="7" width="17.88671875" customWidth="1"/>
    <col min="8" max="8" width="10.5546875" customWidth="1"/>
    <col min="9" max="9" width="10" customWidth="1"/>
    <col min="10" max="10" width="16.109375" customWidth="1"/>
    <col min="11" max="11" width="15.109375" customWidth="1"/>
  </cols>
  <sheetData>
    <row r="1" spans="1:14" x14ac:dyDescent="0.3">
      <c r="B1" t="s">
        <v>120</v>
      </c>
      <c r="C1" t="s">
        <v>36</v>
      </c>
      <c r="D1" t="s">
        <v>161</v>
      </c>
      <c r="E1" t="s">
        <v>165</v>
      </c>
      <c r="F1" t="s">
        <v>168</v>
      </c>
    </row>
    <row r="2" spans="1:14" ht="28.8" x14ac:dyDescent="0.3">
      <c r="B2" s="1" t="s">
        <v>160</v>
      </c>
      <c r="C2" s="1" t="s">
        <v>162</v>
      </c>
      <c r="D2" s="1">
        <v>2</v>
      </c>
      <c r="E2" s="1" t="s">
        <v>166</v>
      </c>
      <c r="F2" s="1" t="s">
        <v>166</v>
      </c>
      <c r="H2" s="135" t="s">
        <v>176</v>
      </c>
      <c r="I2" s="135"/>
      <c r="J2" s="135"/>
      <c r="K2" s="135"/>
    </row>
    <row r="3" spans="1:14" ht="28.8" x14ac:dyDescent="0.3">
      <c r="B3" s="1" t="s">
        <v>159</v>
      </c>
      <c r="C3" s="1" t="s">
        <v>163</v>
      </c>
      <c r="D3" s="1">
        <v>3</v>
      </c>
      <c r="E3" s="1" t="s">
        <v>166</v>
      </c>
      <c r="F3" s="1" t="s">
        <v>166</v>
      </c>
      <c r="H3" s="135"/>
      <c r="I3" s="135"/>
      <c r="J3" s="135"/>
      <c r="K3" s="135"/>
    </row>
    <row r="4" spans="1:14" ht="28.8" x14ac:dyDescent="0.3">
      <c r="B4" s="1" t="s">
        <v>155</v>
      </c>
      <c r="C4" s="1" t="s">
        <v>173</v>
      </c>
      <c r="D4" s="1">
        <f>(D3-1)*D2</f>
        <v>4</v>
      </c>
      <c r="E4" s="1">
        <f>_xlfn.XLOOKUP(Tabla3[[#This Row],[Columna1]], Tabla919[Tipo de viático], Tabla919[Costo UF], "Error", 0, 1)</f>
        <v>1.79</v>
      </c>
      <c r="F4" s="1">
        <f>Tabla3[[#This Row],[Costo unitario]]*Tabla3[[#This Row],[Cantidad/tipo]]</f>
        <v>7.16</v>
      </c>
      <c r="H4" s="135"/>
      <c r="I4" s="135"/>
      <c r="J4" s="135"/>
      <c r="K4" s="135"/>
    </row>
    <row r="5" spans="1:14" ht="28.8" x14ac:dyDescent="0.3">
      <c r="B5" s="1" t="s">
        <v>47</v>
      </c>
      <c r="C5" s="1" t="s">
        <v>164</v>
      </c>
      <c r="D5" s="1">
        <f>D3*D2</f>
        <v>6</v>
      </c>
      <c r="E5" s="1">
        <f>_xlfn.XLOOKUP(Tabla3[[#This Row],[Columna1]], Tabla919[Tipo de viático], Tabla919[Costo UF], "Error", 0, 1)</f>
        <v>2</v>
      </c>
      <c r="F5" s="1">
        <f>Tabla3[[#This Row],[Costo unitario]]*Tabla3[[#This Row],[Cantidad/tipo]]</f>
        <v>12</v>
      </c>
      <c r="H5" s="135"/>
      <c r="I5" s="135"/>
      <c r="J5" s="135"/>
      <c r="K5" s="135"/>
    </row>
    <row r="6" spans="1:14" x14ac:dyDescent="0.3">
      <c r="B6" s="7"/>
      <c r="C6" s="7"/>
      <c r="D6" s="108"/>
    </row>
    <row r="7" spans="1:14" x14ac:dyDescent="0.3">
      <c r="B7" s="107" t="s">
        <v>54</v>
      </c>
      <c r="C7" s="107" t="s">
        <v>54</v>
      </c>
      <c r="D7" s="107" t="s">
        <v>158</v>
      </c>
      <c r="E7" s="4" t="s">
        <v>158</v>
      </c>
      <c r="F7" s="4" t="s">
        <v>56</v>
      </c>
      <c r="G7" s="107" t="s">
        <v>55</v>
      </c>
      <c r="H7" s="107" t="s">
        <v>56</v>
      </c>
      <c r="I7" s="4" t="s">
        <v>56</v>
      </c>
      <c r="J7" s="4" t="s">
        <v>56</v>
      </c>
      <c r="K7" s="4" t="s">
        <v>56</v>
      </c>
    </row>
    <row r="8" spans="1:14" ht="28.8" x14ac:dyDescent="0.3">
      <c r="B8" s="21" t="s">
        <v>37</v>
      </c>
      <c r="C8" s="21" t="s">
        <v>57</v>
      </c>
      <c r="D8" s="21" t="s">
        <v>51</v>
      </c>
      <c r="E8" s="21" t="s">
        <v>36</v>
      </c>
      <c r="F8" s="31" t="s">
        <v>134</v>
      </c>
      <c r="G8" s="31" t="s">
        <v>174</v>
      </c>
      <c r="H8" s="31" t="s">
        <v>22</v>
      </c>
      <c r="I8" s="31" t="s">
        <v>175</v>
      </c>
      <c r="J8" s="21" t="s">
        <v>114</v>
      </c>
      <c r="K8" s="21" t="s">
        <v>81</v>
      </c>
    </row>
    <row r="9" spans="1:14" ht="47.4" customHeight="1" x14ac:dyDescent="0.3">
      <c r="A9" s="112" t="s">
        <v>172</v>
      </c>
      <c r="B9" s="109" t="s">
        <v>138</v>
      </c>
      <c r="C9" s="50" t="s">
        <v>50</v>
      </c>
      <c r="D9" s="62" t="str">
        <f>B5</f>
        <v>Viático viaje largo 1n o más</v>
      </c>
      <c r="E9" s="62" t="str">
        <f>C5</f>
        <v>Cuánto se le paga a cada persona</v>
      </c>
      <c r="F9" s="74" t="str">
        <f>_xlfn.XLOOKUP(Tabla27573[[#This Row],[Tipo de venta]],Tabla2329[Tipo de venta],Tabla2329[Moneda final], "Error - Seleccionar Tipo de Venta", 0,1)</f>
        <v>CLP</v>
      </c>
      <c r="G9" s="111">
        <f>E5*'Datos generales'!$C$9</f>
        <v>76818.399999999994</v>
      </c>
      <c r="H9" s="113">
        <v>0.2</v>
      </c>
      <c r="I9" s="114">
        <f>Tabla27573[[#This Row],[Costo Unitario CLP]]/(1-Tabla27573[[#This Row],[Margen]])</f>
        <v>96022.999999999985</v>
      </c>
      <c r="J9" s="111">
        <f t="shared" ref="J9:J10" si="0">D3</f>
        <v>3</v>
      </c>
      <c r="K9" s="115">
        <f>Tabla27573[[#This Row],[Cantidad]]*Tabla27573[[#This Row],[Precio Unitario]]</f>
        <v>288068.99999999994</v>
      </c>
      <c r="N9" s="3"/>
    </row>
    <row r="10" spans="1:14" x14ac:dyDescent="0.3">
      <c r="A10" s="112" t="s">
        <v>172</v>
      </c>
      <c r="B10" s="109" t="s">
        <v>138</v>
      </c>
      <c r="C10" s="50" t="s">
        <v>50</v>
      </c>
      <c r="D10" s="25" t="str">
        <f>B4</f>
        <v>Alojamiento</v>
      </c>
      <c r="E10" s="50"/>
      <c r="F10" s="110" t="str">
        <f>_xlfn.XLOOKUP(Tabla27573[[#This Row],[Tipo de venta]],Tabla2329[Tipo de venta],Tabla2329[Moneda final], "Error - Seleccionar Tipo de Venta", 0,1)</f>
        <v>CLP</v>
      </c>
      <c r="G10" s="111">
        <f>E4*'Datos generales'!$C$9</f>
        <v>68752.467999999993</v>
      </c>
      <c r="H10" s="113">
        <v>0.2</v>
      </c>
      <c r="I10" s="114">
        <f>Tabla27573[[#This Row],[Costo Unitario CLP]]/(1-Tabla27573[[#This Row],[Margen]])</f>
        <v>85940.584999999992</v>
      </c>
      <c r="J10" s="111">
        <f t="shared" si="0"/>
        <v>4</v>
      </c>
      <c r="K10" s="115">
        <f>Tabla27573[[#This Row],[Cantidad]]*Tabla27573[[#This Row],[Precio Unitario]]</f>
        <v>343762.33999999997</v>
      </c>
    </row>
    <row r="11" spans="1:14" x14ac:dyDescent="0.3">
      <c r="B11" s="109" t="s">
        <v>138</v>
      </c>
      <c r="C11" s="50" t="s">
        <v>46</v>
      </c>
      <c r="D11" s="25" t="s">
        <v>169</v>
      </c>
      <c r="E11" s="50" t="s">
        <v>177</v>
      </c>
      <c r="F11" s="110" t="str">
        <f>_xlfn.XLOOKUP(Tabla27573[[#This Row],[Tipo de venta]],Tabla2329[Tipo de venta],Tabla2329[Moneda final], "Error - Seleccionar Tipo de Venta", 0,1)</f>
        <v>CLP</v>
      </c>
      <c r="G11" s="111">
        <v>10000</v>
      </c>
      <c r="H11" s="113">
        <v>0.1</v>
      </c>
      <c r="I11" s="114">
        <f>Tabla27573[[#This Row],[Costo Unitario CLP]]/(1-Tabla27573[[#This Row],[Margen]])</f>
        <v>11111.111111111111</v>
      </c>
      <c r="J11" s="111">
        <v>5</v>
      </c>
      <c r="K11" s="115">
        <f>Tabla27573[[#This Row],[Cantidad]]*Tabla27573[[#This Row],[Precio Unitario]]</f>
        <v>55555.555555555555</v>
      </c>
    </row>
    <row r="12" spans="1:14" x14ac:dyDescent="0.3">
      <c r="B12" s="109" t="s">
        <v>138</v>
      </c>
      <c r="C12" s="50" t="s">
        <v>50</v>
      </c>
      <c r="D12" s="25" t="s">
        <v>170</v>
      </c>
      <c r="E12" s="50"/>
      <c r="F12" s="110" t="str">
        <f>_xlfn.XLOOKUP(Tabla27573[[#This Row],[Tipo de venta]],Tabla2329[Tipo de venta],Tabla2329[Moneda final], "Error - Seleccionar Tipo de Venta", 0,1)</f>
        <v>CLP</v>
      </c>
      <c r="G12" s="111"/>
      <c r="H12" s="113"/>
      <c r="I12" s="114">
        <f>Tabla27573[[#This Row],[Costo Unitario CLP]]/(1-Tabla27573[[#This Row],[Margen]])</f>
        <v>0</v>
      </c>
      <c r="J12" s="111"/>
      <c r="K12" s="115">
        <f>Tabla27573[[#This Row],[Cantidad]]*Tabla27573[[#This Row],[Precio Unitario]]</f>
        <v>0</v>
      </c>
    </row>
    <row r="13" spans="1:14" x14ac:dyDescent="0.3">
      <c r="B13" s="109" t="s">
        <v>138</v>
      </c>
      <c r="C13" s="50" t="s">
        <v>50</v>
      </c>
      <c r="D13" s="25" t="s">
        <v>171</v>
      </c>
      <c r="E13" s="50"/>
      <c r="F13" s="110" t="str">
        <f>_xlfn.XLOOKUP(Tabla27573[[#This Row],[Tipo de venta]],Tabla2329[Tipo de venta],Tabla2329[Moneda final], "Error - Seleccionar Tipo de Venta", 0,1)</f>
        <v>CLP</v>
      </c>
      <c r="G13" s="111"/>
      <c r="H13" s="113"/>
      <c r="I13" s="114">
        <f>Tabla27573[[#This Row],[Costo Unitario CLP]]/(1-Tabla27573[[#This Row],[Margen]])</f>
        <v>0</v>
      </c>
      <c r="J13" s="111"/>
      <c r="K13" s="115">
        <f>Tabla27573[[#This Row],[Cantidad]]*Tabla27573[[#This Row],[Precio Unitario]]</f>
        <v>0</v>
      </c>
    </row>
    <row r="14" spans="1:14" x14ac:dyDescent="0.3">
      <c r="B14" s="109"/>
      <c r="C14" s="50"/>
      <c r="D14" s="25"/>
      <c r="E14" s="50"/>
      <c r="F14" s="110"/>
      <c r="G14" s="111"/>
      <c r="H14" s="113"/>
      <c r="I14" s="114"/>
      <c r="J14" s="111"/>
      <c r="K14" s="115"/>
    </row>
    <row r="15" spans="1:14" x14ac:dyDescent="0.3">
      <c r="B15" s="109"/>
      <c r="C15" s="50"/>
      <c r="D15" s="25"/>
      <c r="E15" s="50"/>
      <c r="F15" s="110"/>
      <c r="G15" s="111"/>
      <c r="H15" s="113"/>
      <c r="I15" s="114"/>
      <c r="J15" s="111"/>
      <c r="K15" s="115"/>
    </row>
    <row r="16" spans="1:14" x14ac:dyDescent="0.3">
      <c r="B16" s="109"/>
      <c r="C16" s="50"/>
      <c r="D16" s="25"/>
      <c r="E16" s="50"/>
      <c r="F16" s="110"/>
      <c r="G16" s="111"/>
      <c r="H16" s="113"/>
      <c r="I16" s="114"/>
      <c r="J16" s="111"/>
      <c r="K16" s="115"/>
    </row>
    <row r="17" spans="2:11" x14ac:dyDescent="0.3">
      <c r="B17" s="109"/>
      <c r="C17" s="50"/>
      <c r="D17" s="25"/>
      <c r="E17" s="50"/>
      <c r="F17" s="110"/>
      <c r="G17" s="111"/>
      <c r="H17" s="113"/>
      <c r="I17" s="114"/>
      <c r="J17" s="111"/>
      <c r="K17" s="115"/>
    </row>
    <row r="18" spans="2:11" x14ac:dyDescent="0.3">
      <c r="B18" s="109"/>
      <c r="C18" s="50"/>
      <c r="D18" s="25"/>
      <c r="E18" s="50"/>
      <c r="F18" s="110"/>
      <c r="G18" s="111"/>
      <c r="H18" s="113"/>
      <c r="I18" s="114"/>
      <c r="J18" s="111"/>
      <c r="K18" s="115"/>
    </row>
    <row r="19" spans="2:11" x14ac:dyDescent="0.3">
      <c r="B19" s="109"/>
      <c r="C19" s="50"/>
      <c r="D19" s="25"/>
      <c r="E19" s="50"/>
      <c r="F19" s="110"/>
      <c r="G19" s="111"/>
      <c r="H19" s="113"/>
      <c r="I19" s="114"/>
      <c r="J19" s="111"/>
      <c r="K19" s="115"/>
    </row>
    <row r="20" spans="2:11" x14ac:dyDescent="0.3">
      <c r="B20" s="109"/>
      <c r="C20" s="50"/>
      <c r="D20" s="25"/>
      <c r="E20" s="50"/>
      <c r="F20" s="110"/>
      <c r="G20" s="111"/>
      <c r="H20" s="113"/>
      <c r="I20" s="114"/>
      <c r="J20" s="111"/>
      <c r="K20" s="115"/>
    </row>
    <row r="21" spans="2:11" x14ac:dyDescent="0.3">
      <c r="B21" s="109"/>
      <c r="C21" s="50"/>
      <c r="D21" s="25"/>
      <c r="E21" s="50"/>
      <c r="F21" s="110"/>
      <c r="G21" s="111"/>
      <c r="H21" s="113"/>
      <c r="I21" s="114"/>
      <c r="J21" s="111"/>
      <c r="K21" s="115"/>
    </row>
    <row r="22" spans="2:11" x14ac:dyDescent="0.3">
      <c r="B22" s="109"/>
      <c r="C22" s="50"/>
      <c r="D22" s="25"/>
      <c r="E22" s="50"/>
      <c r="F22" s="110"/>
      <c r="G22" s="111"/>
      <c r="H22" s="113"/>
      <c r="I22" s="114"/>
      <c r="J22" s="111"/>
      <c r="K22" s="115"/>
    </row>
    <row r="23" spans="2:11" x14ac:dyDescent="0.3">
      <c r="B23" s="109"/>
      <c r="C23" s="50"/>
      <c r="D23" s="25"/>
      <c r="E23" s="50"/>
      <c r="F23" s="110"/>
      <c r="G23" s="111"/>
      <c r="H23" s="113"/>
      <c r="I23" s="114"/>
      <c r="J23" s="111"/>
      <c r="K23" s="115"/>
    </row>
    <row r="24" spans="2:11" x14ac:dyDescent="0.3">
      <c r="B24" s="109"/>
      <c r="C24" s="50"/>
      <c r="D24" s="25"/>
      <c r="E24" s="50"/>
      <c r="F24" s="110"/>
      <c r="G24" s="111"/>
      <c r="H24" s="113"/>
      <c r="I24" s="114"/>
      <c r="J24" s="111"/>
      <c r="K24" s="115"/>
    </row>
    <row r="25" spans="2:11" x14ac:dyDescent="0.3">
      <c r="B25" s="109"/>
      <c r="C25" s="50"/>
      <c r="D25" s="25"/>
      <c r="E25" s="50"/>
      <c r="F25" s="110"/>
      <c r="G25" s="111"/>
      <c r="H25" s="113"/>
      <c r="I25" s="114"/>
      <c r="J25" s="111"/>
      <c r="K25" s="115"/>
    </row>
    <row r="26" spans="2:11" x14ac:dyDescent="0.3">
      <c r="B26" s="109"/>
      <c r="C26" s="50"/>
      <c r="D26" s="25"/>
      <c r="E26" s="50"/>
      <c r="F26" s="110"/>
      <c r="G26" s="111"/>
      <c r="H26" s="113"/>
      <c r="I26" s="114"/>
      <c r="J26" s="111"/>
      <c r="K26" s="115"/>
    </row>
    <row r="27" spans="2:11" x14ac:dyDescent="0.3">
      <c r="B27" s="109"/>
      <c r="C27" s="50"/>
      <c r="D27" s="25"/>
      <c r="E27" s="50"/>
      <c r="F27" s="110"/>
      <c r="G27" s="111"/>
      <c r="H27" s="113"/>
      <c r="I27" s="114"/>
      <c r="J27" s="111"/>
      <c r="K27" s="115"/>
    </row>
    <row r="28" spans="2:11" x14ac:dyDescent="0.3">
      <c r="B28" s="109"/>
      <c r="C28" s="50"/>
      <c r="D28" s="50"/>
      <c r="E28" s="50"/>
      <c r="F28" s="110"/>
      <c r="G28" s="111"/>
      <c r="H28" s="113"/>
      <c r="I28" s="114"/>
      <c r="J28" s="111"/>
      <c r="K28" s="115"/>
    </row>
    <row r="29" spans="2:11" x14ac:dyDescent="0.3">
      <c r="B29" s="109"/>
      <c r="C29" s="50"/>
      <c r="D29" s="25"/>
      <c r="E29" s="50"/>
      <c r="F29" s="153"/>
      <c r="G29" s="111"/>
      <c r="H29" s="113"/>
      <c r="I29" s="114"/>
      <c r="J29" s="111"/>
      <c r="K29" s="154"/>
    </row>
    <row r="30" spans="2:11" x14ac:dyDescent="0.3">
      <c r="B30" s="109"/>
      <c r="C30" s="50"/>
      <c r="D30" s="25"/>
      <c r="E30" s="50"/>
      <c r="F30" s="153"/>
      <c r="G30" s="111"/>
      <c r="H30" s="113"/>
      <c r="I30" s="114"/>
      <c r="J30" s="111"/>
      <c r="K30" s="154"/>
    </row>
    <row r="31" spans="2:11" x14ac:dyDescent="0.3">
      <c r="B31" s="109"/>
      <c r="C31" s="50"/>
      <c r="D31" s="25"/>
      <c r="E31" s="50"/>
      <c r="F31" s="153"/>
      <c r="G31" s="111"/>
      <c r="H31" s="113"/>
      <c r="I31" s="114"/>
      <c r="J31" s="111"/>
      <c r="K31" s="154"/>
    </row>
    <row r="32" spans="2:11" x14ac:dyDescent="0.3">
      <c r="B32" s="109"/>
      <c r="C32" s="50"/>
      <c r="D32" s="25"/>
      <c r="E32" s="50"/>
      <c r="F32" s="153"/>
      <c r="G32" s="111"/>
      <c r="H32" s="113"/>
      <c r="I32" s="114"/>
      <c r="J32" s="111"/>
      <c r="K32" s="154"/>
    </row>
    <row r="33" spans="2:11" x14ac:dyDescent="0.3">
      <c r="B33" s="109"/>
      <c r="C33" s="50"/>
      <c r="D33" s="25"/>
      <c r="E33" s="50"/>
      <c r="F33" s="153"/>
      <c r="G33" s="111"/>
      <c r="H33" s="113"/>
      <c r="I33" s="114"/>
      <c r="J33" s="111"/>
      <c r="K33" s="154"/>
    </row>
    <row r="34" spans="2:11" x14ac:dyDescent="0.3">
      <c r="B34" s="109"/>
      <c r="C34" s="50"/>
      <c r="D34" s="25"/>
      <c r="E34" s="50"/>
      <c r="F34" s="153"/>
      <c r="G34" s="111"/>
      <c r="H34" s="113"/>
      <c r="I34" s="114"/>
      <c r="J34" s="111"/>
      <c r="K34" s="154"/>
    </row>
    <row r="35" spans="2:11" x14ac:dyDescent="0.3">
      <c r="B35" s="109"/>
      <c r="C35" s="50"/>
      <c r="D35" s="25"/>
      <c r="E35" s="50"/>
      <c r="F35" s="153"/>
      <c r="G35" s="111"/>
      <c r="H35" s="113"/>
      <c r="I35" s="114"/>
      <c r="J35" s="111"/>
      <c r="K35" s="154"/>
    </row>
    <row r="36" spans="2:11" x14ac:dyDescent="0.3">
      <c r="B36" s="109"/>
      <c r="C36" s="50"/>
      <c r="D36" s="25"/>
      <c r="E36" s="50"/>
      <c r="F36" s="153"/>
      <c r="G36" s="111"/>
      <c r="H36" s="113"/>
      <c r="I36" s="114"/>
      <c r="J36" s="111"/>
      <c r="K36" s="154"/>
    </row>
    <row r="37" spans="2:11" x14ac:dyDescent="0.3">
      <c r="B37" s="109"/>
      <c r="C37" s="50"/>
      <c r="D37" s="25"/>
      <c r="E37" s="50"/>
      <c r="F37" s="153"/>
      <c r="G37" s="111"/>
      <c r="H37" s="113"/>
      <c r="I37" s="114"/>
      <c r="J37" s="111"/>
      <c r="K37" s="154"/>
    </row>
    <row r="38" spans="2:11" x14ac:dyDescent="0.3">
      <c r="B38" s="109"/>
      <c r="C38" s="50"/>
      <c r="D38" s="25"/>
      <c r="E38" s="50"/>
      <c r="F38" s="153"/>
      <c r="G38" s="111"/>
      <c r="H38" s="113"/>
      <c r="I38" s="114"/>
      <c r="J38" s="111"/>
      <c r="K38" s="154"/>
    </row>
    <row r="39" spans="2:11" x14ac:dyDescent="0.3">
      <c r="B39" s="109"/>
      <c r="C39" s="50"/>
      <c r="D39" s="25"/>
      <c r="E39" s="50"/>
      <c r="F39" s="153"/>
      <c r="G39" s="111"/>
      <c r="H39" s="113"/>
      <c r="I39" s="114"/>
      <c r="J39" s="111"/>
      <c r="K39" s="154"/>
    </row>
    <row r="40" spans="2:11" x14ac:dyDescent="0.3">
      <c r="B40" s="109"/>
      <c r="C40" s="50"/>
      <c r="D40" s="25"/>
      <c r="E40" s="50"/>
      <c r="F40" s="153"/>
      <c r="G40" s="111"/>
      <c r="H40" s="113"/>
      <c r="I40" s="114"/>
      <c r="J40" s="111"/>
      <c r="K40" s="154"/>
    </row>
    <row r="41" spans="2:11" x14ac:dyDescent="0.3">
      <c r="B41" s="109"/>
      <c r="C41" s="50"/>
      <c r="D41" s="25"/>
      <c r="E41" s="50"/>
      <c r="F41" s="153"/>
      <c r="G41" s="111"/>
      <c r="H41" s="113"/>
      <c r="I41" s="114"/>
      <c r="J41" s="111"/>
      <c r="K41" s="154"/>
    </row>
    <row r="42" spans="2:11" x14ac:dyDescent="0.3">
      <c r="B42" s="109"/>
      <c r="C42" s="50"/>
      <c r="D42" s="25"/>
      <c r="E42" s="50"/>
      <c r="F42" s="153"/>
      <c r="G42" s="111"/>
      <c r="H42" s="113"/>
      <c r="I42" s="114"/>
      <c r="J42" s="111"/>
      <c r="K42" s="154"/>
    </row>
    <row r="43" spans="2:11" x14ac:dyDescent="0.3">
      <c r="B43" s="109"/>
      <c r="C43" s="50"/>
      <c r="D43" s="25"/>
      <c r="E43" s="50"/>
      <c r="F43" s="153"/>
      <c r="G43" s="111"/>
      <c r="H43" s="113"/>
      <c r="I43" s="114"/>
      <c r="J43" s="111"/>
      <c r="K43" s="154"/>
    </row>
    <row r="44" spans="2:11" x14ac:dyDescent="0.3">
      <c r="B44" s="109"/>
      <c r="C44" s="50"/>
      <c r="D44" s="25"/>
      <c r="E44" s="50"/>
      <c r="F44" s="153"/>
      <c r="G44" s="111"/>
      <c r="H44" s="113"/>
      <c r="I44" s="114"/>
      <c r="J44" s="111"/>
      <c r="K44" s="154"/>
    </row>
    <row r="45" spans="2:11" x14ac:dyDescent="0.3">
      <c r="B45" s="109"/>
      <c r="C45" s="50"/>
      <c r="D45" s="25"/>
      <c r="E45" s="50"/>
      <c r="F45" s="153"/>
      <c r="G45" s="111"/>
      <c r="H45" s="113"/>
      <c r="I45" s="114"/>
      <c r="J45" s="111"/>
      <c r="K45" s="154"/>
    </row>
    <row r="46" spans="2:11" x14ac:dyDescent="0.3">
      <c r="B46" s="109"/>
      <c r="C46" s="50"/>
      <c r="D46" s="25"/>
      <c r="E46" s="50"/>
      <c r="F46" s="153"/>
      <c r="G46" s="111"/>
      <c r="H46" s="113"/>
      <c r="I46" s="114"/>
      <c r="J46" s="111"/>
      <c r="K46" s="154"/>
    </row>
    <row r="47" spans="2:11" x14ac:dyDescent="0.3">
      <c r="B47" s="109"/>
      <c r="C47" s="50"/>
      <c r="D47" s="25"/>
      <c r="E47" s="50"/>
      <c r="F47" s="153"/>
      <c r="G47" s="111"/>
      <c r="H47" s="113"/>
      <c r="I47" s="114"/>
      <c r="J47" s="111"/>
      <c r="K47" s="154"/>
    </row>
    <row r="48" spans="2:11" x14ac:dyDescent="0.3">
      <c r="B48" s="109"/>
      <c r="C48" s="50"/>
      <c r="D48" s="25"/>
      <c r="E48" s="50"/>
      <c r="F48" s="153"/>
      <c r="G48" s="111"/>
      <c r="H48" s="113"/>
      <c r="I48" s="114"/>
      <c r="J48" s="111"/>
      <c r="K48" s="154"/>
    </row>
    <row r="49" spans="2:11" x14ac:dyDescent="0.3">
      <c r="B49" s="109"/>
      <c r="C49" s="50"/>
      <c r="D49" s="25"/>
      <c r="E49" s="50"/>
      <c r="F49" s="153"/>
      <c r="G49" s="111"/>
      <c r="H49" s="113"/>
      <c r="I49" s="114"/>
      <c r="J49" s="111"/>
      <c r="K49" s="154"/>
    </row>
    <row r="50" spans="2:11" x14ac:dyDescent="0.3">
      <c r="B50" s="109"/>
      <c r="C50" s="50"/>
      <c r="D50" s="25"/>
      <c r="E50" s="50"/>
      <c r="F50" s="153"/>
      <c r="G50" s="111"/>
      <c r="H50" s="113"/>
      <c r="I50" s="114"/>
      <c r="J50" s="111"/>
      <c r="K50" s="154"/>
    </row>
    <row r="51" spans="2:11" x14ac:dyDescent="0.3">
      <c r="B51" s="109"/>
      <c r="C51" s="50"/>
      <c r="D51" s="25"/>
      <c r="E51" s="50"/>
      <c r="F51" s="153"/>
      <c r="G51" s="111"/>
      <c r="H51" s="113"/>
      <c r="I51" s="114"/>
      <c r="J51" s="111"/>
      <c r="K51" s="154"/>
    </row>
    <row r="52" spans="2:11" x14ac:dyDescent="0.3">
      <c r="B52" s="109"/>
      <c r="C52" s="50"/>
      <c r="D52" s="25"/>
      <c r="E52" s="50"/>
      <c r="F52" s="153"/>
      <c r="G52" s="111"/>
      <c r="H52" s="113"/>
      <c r="I52" s="114"/>
      <c r="J52" s="111"/>
      <c r="K52" s="154"/>
    </row>
    <row r="53" spans="2:11" x14ac:dyDescent="0.3">
      <c r="B53" s="109"/>
      <c r="C53" s="50"/>
      <c r="D53" s="25"/>
      <c r="E53" s="50"/>
      <c r="F53" s="153"/>
      <c r="G53" s="111"/>
      <c r="H53" s="113"/>
      <c r="I53" s="114"/>
      <c r="J53" s="111"/>
      <c r="K53" s="154"/>
    </row>
    <row r="54" spans="2:11" x14ac:dyDescent="0.3">
      <c r="B54" s="109"/>
      <c r="C54" s="50"/>
      <c r="D54" s="25"/>
      <c r="E54" s="50"/>
      <c r="F54" s="153"/>
      <c r="G54" s="111"/>
      <c r="H54" s="113"/>
      <c r="I54" s="114"/>
      <c r="J54" s="111"/>
      <c r="K54" s="154"/>
    </row>
    <row r="55" spans="2:11" x14ac:dyDescent="0.3">
      <c r="B55" s="109"/>
      <c r="C55" s="50"/>
      <c r="D55" s="50"/>
      <c r="E55" s="50"/>
      <c r="F55" s="110"/>
      <c r="G55" s="111"/>
      <c r="H55" s="113"/>
      <c r="I55" s="114"/>
      <c r="J55" s="111"/>
      <c r="K55" s="115"/>
    </row>
    <row r="56" spans="2:11" x14ac:dyDescent="0.3">
      <c r="B56" s="109"/>
      <c r="C56" s="50"/>
      <c r="D56" s="50"/>
      <c r="E56" s="50"/>
      <c r="F56" s="110"/>
      <c r="G56" s="111"/>
      <c r="H56" s="113"/>
      <c r="I56" s="114"/>
      <c r="J56" s="111"/>
      <c r="K56" s="115"/>
    </row>
    <row r="57" spans="2:11" x14ac:dyDescent="0.3">
      <c r="B57" s="109"/>
      <c r="C57" s="50"/>
      <c r="D57" s="50"/>
      <c r="E57" s="50"/>
      <c r="F57" s="110"/>
      <c r="G57" s="111"/>
      <c r="H57" s="113"/>
      <c r="I57" s="114"/>
      <c r="J57" s="111"/>
      <c r="K57" s="115"/>
    </row>
    <row r="58" spans="2:11" x14ac:dyDescent="0.3">
      <c r="B58" s="109"/>
      <c r="C58" s="50"/>
      <c r="D58" s="50"/>
      <c r="E58" s="50"/>
      <c r="F58" s="110"/>
      <c r="G58" s="111"/>
      <c r="H58" s="113"/>
      <c r="I58" s="114"/>
      <c r="J58" s="111"/>
      <c r="K58" s="115"/>
    </row>
    <row r="59" spans="2:11" x14ac:dyDescent="0.3">
      <c r="B59" s="109"/>
      <c r="C59" s="50"/>
      <c r="D59" s="50"/>
      <c r="E59" s="50"/>
      <c r="F59" s="110"/>
      <c r="G59" s="111"/>
      <c r="H59" s="113"/>
      <c r="I59" s="114"/>
      <c r="J59" s="111"/>
      <c r="K59" s="115"/>
    </row>
    <row r="60" spans="2:11" x14ac:dyDescent="0.3">
      <c r="B60" s="109"/>
      <c r="C60" s="50"/>
      <c r="D60" s="50"/>
      <c r="E60" s="50"/>
      <c r="F60" s="110"/>
      <c r="G60" s="111"/>
      <c r="H60" s="113"/>
      <c r="I60" s="114"/>
      <c r="J60" s="111"/>
      <c r="K60" s="115"/>
    </row>
    <row r="61" spans="2:11" x14ac:dyDescent="0.3">
      <c r="B61" s="109"/>
      <c r="C61" s="50"/>
      <c r="D61" s="50"/>
      <c r="E61" s="50"/>
      <c r="F61" s="110"/>
      <c r="G61" s="111"/>
      <c r="H61" s="113"/>
      <c r="I61" s="114"/>
      <c r="J61" s="111"/>
      <c r="K61" s="115"/>
    </row>
    <row r="62" spans="2:11" x14ac:dyDescent="0.3">
      <c r="B62" s="109"/>
      <c r="C62" s="50"/>
      <c r="D62" s="50"/>
      <c r="E62" s="50"/>
      <c r="F62" s="110"/>
      <c r="G62" s="111"/>
      <c r="H62" s="113"/>
      <c r="I62" s="114"/>
      <c r="J62" s="111"/>
      <c r="K62" s="115"/>
    </row>
    <row r="63" spans="2:11" x14ac:dyDescent="0.3">
      <c r="B63" s="109"/>
      <c r="C63" s="50"/>
      <c r="D63" s="50"/>
      <c r="E63" s="50"/>
      <c r="F63" s="110"/>
      <c r="G63" s="111"/>
      <c r="H63" s="113"/>
      <c r="I63" s="114"/>
      <c r="J63" s="111"/>
      <c r="K63" s="115"/>
    </row>
    <row r="64" spans="2:11" x14ac:dyDescent="0.3">
      <c r="B64" s="109"/>
      <c r="C64" s="50"/>
      <c r="D64" s="50"/>
      <c r="E64" s="50"/>
      <c r="F64" s="110"/>
      <c r="G64" s="111"/>
      <c r="H64" s="113"/>
      <c r="I64" s="114"/>
      <c r="J64" s="111"/>
      <c r="K64" s="115"/>
    </row>
    <row r="65" spans="2:11" x14ac:dyDescent="0.3">
      <c r="B65" s="109"/>
      <c r="C65" s="50"/>
      <c r="D65" s="50"/>
      <c r="E65" s="50"/>
      <c r="F65" s="110"/>
      <c r="G65" s="111"/>
      <c r="H65" s="113"/>
      <c r="I65" s="114"/>
      <c r="J65" s="111"/>
      <c r="K65" s="115"/>
    </row>
    <row r="66" spans="2:11" x14ac:dyDescent="0.3">
      <c r="B66" s="109"/>
      <c r="C66" s="50"/>
      <c r="D66" s="50"/>
      <c r="E66" s="50"/>
      <c r="F66" s="110"/>
      <c r="G66" s="111"/>
      <c r="H66" s="113"/>
      <c r="I66" s="114"/>
      <c r="J66" s="111"/>
      <c r="K66" s="115"/>
    </row>
    <row r="67" spans="2:11" x14ac:dyDescent="0.3">
      <c r="B67" s="109"/>
      <c r="C67" s="50"/>
      <c r="D67" s="50"/>
      <c r="E67" s="50"/>
      <c r="F67" s="110"/>
      <c r="G67" s="111"/>
      <c r="H67" s="113"/>
      <c r="I67" s="114"/>
      <c r="J67" s="111"/>
      <c r="K67" s="115"/>
    </row>
    <row r="68" spans="2:11" x14ac:dyDescent="0.3">
      <c r="B68" s="109"/>
      <c r="C68" s="50"/>
      <c r="D68" s="50"/>
      <c r="E68" s="50"/>
      <c r="F68" s="110"/>
      <c r="G68" s="111"/>
      <c r="H68" s="113"/>
      <c r="I68" s="114"/>
      <c r="J68" s="111"/>
      <c r="K68" s="115"/>
    </row>
    <row r="69" spans="2:11" x14ac:dyDescent="0.3">
      <c r="B69" s="109"/>
      <c r="C69" s="50"/>
      <c r="D69" s="50"/>
      <c r="E69" s="50"/>
      <c r="F69" s="110"/>
      <c r="G69" s="111"/>
      <c r="H69" s="113"/>
      <c r="I69" s="114"/>
      <c r="J69" s="111"/>
      <c r="K69" s="115"/>
    </row>
    <row r="70" spans="2:11" x14ac:dyDescent="0.3">
      <c r="B70" s="109"/>
      <c r="C70" s="50"/>
      <c r="D70" s="50"/>
      <c r="E70" s="50"/>
      <c r="F70" s="110"/>
      <c r="G70" s="111"/>
      <c r="H70" s="113"/>
      <c r="I70" s="114"/>
      <c r="J70" s="111"/>
      <c r="K70" s="115"/>
    </row>
    <row r="71" spans="2:11" x14ac:dyDescent="0.3">
      <c r="B71" s="109"/>
      <c r="C71" s="50"/>
      <c r="D71" s="50"/>
      <c r="E71" s="50"/>
      <c r="F71" s="110"/>
      <c r="G71" s="111"/>
      <c r="H71" s="113"/>
      <c r="I71" s="114"/>
      <c r="J71" s="111"/>
      <c r="K71" s="115"/>
    </row>
    <row r="72" spans="2:11" x14ac:dyDescent="0.3">
      <c r="B72" s="109"/>
      <c r="C72" s="50"/>
      <c r="D72" s="50"/>
      <c r="E72" s="50"/>
      <c r="F72" s="110"/>
      <c r="G72" s="111"/>
      <c r="H72" s="113"/>
      <c r="I72" s="114"/>
      <c r="J72" s="111"/>
      <c r="K72" s="115"/>
    </row>
    <row r="73" spans="2:11" x14ac:dyDescent="0.3">
      <c r="B73" s="109"/>
      <c r="C73" s="50"/>
      <c r="D73" s="50"/>
      <c r="E73" s="50"/>
      <c r="F73" s="110"/>
      <c r="G73" s="111"/>
      <c r="H73" s="113"/>
      <c r="I73" s="114"/>
      <c r="J73" s="111"/>
      <c r="K73" s="115"/>
    </row>
    <row r="74" spans="2:11" x14ac:dyDescent="0.3">
      <c r="B74" s="109"/>
      <c r="C74" s="50"/>
      <c r="D74" s="50"/>
      <c r="E74" s="50"/>
      <c r="F74" s="110"/>
      <c r="G74" s="111"/>
      <c r="H74" s="113"/>
      <c r="I74" s="114"/>
      <c r="J74" s="111"/>
      <c r="K74" s="115"/>
    </row>
    <row r="75" spans="2:11" x14ac:dyDescent="0.3">
      <c r="B75" s="109"/>
      <c r="C75" s="50"/>
      <c r="D75" s="50"/>
      <c r="E75" s="50"/>
      <c r="F75" s="110"/>
      <c r="G75" s="111"/>
      <c r="H75" s="113"/>
      <c r="I75" s="114"/>
      <c r="J75" s="111"/>
      <c r="K75" s="115"/>
    </row>
    <row r="76" spans="2:11" x14ac:dyDescent="0.3">
      <c r="B76" s="109"/>
      <c r="C76" s="50"/>
      <c r="D76" s="50"/>
      <c r="E76" s="50"/>
      <c r="F76" s="110"/>
      <c r="G76" s="111"/>
      <c r="H76" s="113"/>
      <c r="I76" s="114"/>
      <c r="J76" s="111"/>
      <c r="K76" s="115"/>
    </row>
    <row r="77" spans="2:11" x14ac:dyDescent="0.3">
      <c r="B77" s="109"/>
      <c r="C77" s="50"/>
      <c r="D77" s="50"/>
      <c r="E77" s="50"/>
      <c r="F77" s="110"/>
      <c r="G77" s="111"/>
      <c r="H77" s="113"/>
      <c r="I77" s="114"/>
      <c r="J77" s="111"/>
      <c r="K77" s="115"/>
    </row>
    <row r="78" spans="2:11" x14ac:dyDescent="0.3">
      <c r="B78" s="109"/>
      <c r="C78" s="50"/>
      <c r="D78" s="50"/>
      <c r="E78" s="50"/>
      <c r="F78" s="110"/>
      <c r="G78" s="111"/>
      <c r="H78" s="113"/>
      <c r="I78" s="114"/>
      <c r="J78" s="111"/>
      <c r="K78" s="115"/>
    </row>
    <row r="79" spans="2:11" x14ac:dyDescent="0.3">
      <c r="B79" s="109"/>
      <c r="C79" s="50"/>
      <c r="D79" s="50"/>
      <c r="E79" s="50"/>
      <c r="F79" s="110"/>
      <c r="G79" s="111"/>
      <c r="H79" s="113"/>
      <c r="I79" s="114"/>
      <c r="J79" s="111"/>
      <c r="K79" s="115"/>
    </row>
    <row r="80" spans="2:11" x14ac:dyDescent="0.3">
      <c r="B80" s="109"/>
      <c r="C80" s="50"/>
      <c r="D80" s="50"/>
      <c r="E80" s="50"/>
      <c r="F80" s="110"/>
      <c r="G80" s="111"/>
      <c r="H80" s="113"/>
      <c r="I80" s="114"/>
      <c r="J80" s="111"/>
      <c r="K80" s="115"/>
    </row>
  </sheetData>
  <mergeCells count="1">
    <mergeCell ref="H2:K5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EAC25-4B2F-4D75-8C52-AE34DBB4214B}">
          <x14:formula1>
            <xm:f>'Datos generales'!$V$8:$V$1048576</xm:f>
          </x14:formula1>
          <xm:sqref>B4:B5</xm:sqref>
        </x14:dataValidation>
        <x14:dataValidation type="list" allowBlank="1" showInputMessage="1" showErrorMessage="1" xr:uid="{2ED71F30-5068-4D42-9DA6-03E6E7BEFAF1}">
          <x14:formula1>
            <xm:f>'Datos proyecto'!$F$9:$F$1048576</xm:f>
          </x14:formula1>
          <xm:sqref>C9:C80</xm:sqref>
        </x14:dataValidation>
        <x14:dataValidation type="list" allowBlank="1" showInputMessage="1" showErrorMessage="1" xr:uid="{674C382B-6B38-4A31-BC2D-E92260845599}">
          <x14:formula1>
            <xm:f>'Datos proyecto'!$I$9:$I$1048576</xm:f>
          </x14:formula1>
          <xm:sqref>B9:B80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313F-494E-4A77-871B-F748C9E5EBA4}">
  <sheetPr codeName="Hoja7">
    <tabColor theme="6" tint="0.39997558519241921"/>
  </sheetPr>
  <dimension ref="B2:S32"/>
  <sheetViews>
    <sheetView zoomScale="85" zoomScaleNormal="85" workbookViewId="0">
      <selection activeCell="E10" sqref="E10"/>
    </sheetView>
  </sheetViews>
  <sheetFormatPr baseColWidth="10" defaultColWidth="11.44140625" defaultRowHeight="14.4" x14ac:dyDescent="0.3"/>
  <cols>
    <col min="2" max="2" width="15.6640625" customWidth="1"/>
    <col min="3" max="3" width="12.6640625" customWidth="1"/>
    <col min="4" max="4" width="14.44140625" customWidth="1"/>
    <col min="5" max="5" width="19.44140625" customWidth="1"/>
    <col min="6" max="6" width="31.6640625" customWidth="1"/>
    <col min="7" max="7" width="17.77734375" customWidth="1"/>
    <col min="8" max="8" width="18.88671875" customWidth="1"/>
    <col min="9" max="9" width="17.5546875" customWidth="1"/>
    <col min="10" max="10" width="16.5546875" customWidth="1"/>
    <col min="11" max="11" width="16.109375" customWidth="1"/>
    <col min="12" max="12" width="15.109375" customWidth="1"/>
    <col min="15" max="15" width="14" customWidth="1"/>
    <col min="16" max="16" width="17.109375" customWidth="1"/>
    <col min="17" max="17" width="19.5546875" customWidth="1"/>
    <col min="18" max="18" width="16.21875" customWidth="1"/>
  </cols>
  <sheetData>
    <row r="2" spans="2:19" x14ac:dyDescent="0.3">
      <c r="E2" s="136" t="s">
        <v>154</v>
      </c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</row>
    <row r="3" spans="2:19" x14ac:dyDescent="0.3"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</row>
    <row r="4" spans="2:19" x14ac:dyDescent="0.3">
      <c r="E4" s="104"/>
    </row>
    <row r="5" spans="2:19" x14ac:dyDescent="0.3">
      <c r="B5" t="s">
        <v>54</v>
      </c>
      <c r="C5" t="s">
        <v>54</v>
      </c>
      <c r="D5" t="s">
        <v>54</v>
      </c>
      <c r="E5" s="66" t="s">
        <v>126</v>
      </c>
      <c r="F5" s="4" t="s">
        <v>56</v>
      </c>
      <c r="G5" s="4" t="s">
        <v>56</v>
      </c>
      <c r="H5" s="4" t="s">
        <v>56</v>
      </c>
      <c r="I5" s="7" t="s">
        <v>67</v>
      </c>
      <c r="J5" s="4" t="s">
        <v>56</v>
      </c>
      <c r="K5" s="4" t="s">
        <v>56</v>
      </c>
      <c r="L5" s="4" t="s">
        <v>56</v>
      </c>
      <c r="M5" s="4" t="s">
        <v>56</v>
      </c>
      <c r="N5" s="4" t="s">
        <v>56</v>
      </c>
      <c r="O5" s="4" t="s">
        <v>56</v>
      </c>
      <c r="P5" s="4" t="s">
        <v>56</v>
      </c>
      <c r="Q5" s="4" t="s">
        <v>56</v>
      </c>
      <c r="R5" s="4" t="s">
        <v>56</v>
      </c>
    </row>
    <row r="6" spans="2:19" ht="43.2" x14ac:dyDescent="0.3">
      <c r="B6" s="31" t="s">
        <v>37</v>
      </c>
      <c r="C6" s="31" t="s">
        <v>57</v>
      </c>
      <c r="D6" s="68" t="s">
        <v>68</v>
      </c>
      <c r="E6" s="31" t="s">
        <v>69</v>
      </c>
      <c r="F6" s="31" t="s">
        <v>36</v>
      </c>
      <c r="G6" s="31" t="s">
        <v>127</v>
      </c>
      <c r="H6" s="31" t="s">
        <v>131</v>
      </c>
      <c r="I6" s="31" t="s">
        <v>70</v>
      </c>
      <c r="J6" s="31" t="s">
        <v>132</v>
      </c>
      <c r="K6" s="31" t="s">
        <v>149</v>
      </c>
      <c r="L6" s="31" t="s">
        <v>150</v>
      </c>
      <c r="M6" s="31" t="s">
        <v>151</v>
      </c>
      <c r="N6" s="31" t="s">
        <v>71</v>
      </c>
      <c r="O6" s="31" t="s">
        <v>72</v>
      </c>
      <c r="P6" s="31" t="s">
        <v>134</v>
      </c>
      <c r="Q6" s="31" t="s">
        <v>153</v>
      </c>
      <c r="R6" s="31" t="s">
        <v>133</v>
      </c>
    </row>
    <row r="7" spans="2:19" ht="66" customHeight="1" x14ac:dyDescent="0.3">
      <c r="B7" s="29" t="s">
        <v>41</v>
      </c>
      <c r="C7" s="22" t="s">
        <v>38</v>
      </c>
      <c r="D7" s="24" t="s">
        <v>74</v>
      </c>
      <c r="E7" s="25" t="s">
        <v>53</v>
      </c>
      <c r="F7" s="33" t="str">
        <f>_xlfn.XLOOKUP(Tabla27[[#This Row],[Nombre producto]],Productos!C:C,Productos!D:D, "Error",0,1)</f>
        <v>Datalogger de fabricación propia - No hay margen porque ese es el precio final</v>
      </c>
      <c r="G7" s="22" t="str">
        <f>_xlfn.XLOOKUP(Tabla27[[#This Row],[Nombre producto]], Tabla32[Nombre producto], Tabla32[Tipo de moneda],"Error - agregue producto a Productos",0,1)</f>
        <v>USD</v>
      </c>
      <c r="H7" s="26">
        <f>_xlfn.XLOOKUP(Tabla27[[#This Row],[Nombre producto]], Tabla32[Nombre producto], Tabla32[Costo producto],"Error - agregue producto a Productos",0,1)</f>
        <v>600</v>
      </c>
      <c r="I7" s="37">
        <v>4</v>
      </c>
      <c r="J7" s="37">
        <f>_xlfn.XLOOKUP(Tabla27[[#This Row],[Nombre producto]], Tabla32[Nombre producto], Tabla32[Precio USD],"Error - agregue producto a Productos",0,1)</f>
        <v>600</v>
      </c>
      <c r="K7" s="37">
        <f>_xlfn.XLOOKUP(Tabla27[[#This Row],[Nombre producto]], Tabla32[Nombre producto], Tabla32[Precio CLP],"Error - agregue producto a Productos",0,1)</f>
        <v>570000</v>
      </c>
      <c r="L7" s="37">
        <f>_xlfn.XLOOKUP(Tabla27[[#This Row],[Nombre producto]], Tabla32[Nombre producto], Tabla32[Precio UF],"Error - agregue producto a Productos",0,1)</f>
        <v>14.840194536725578</v>
      </c>
      <c r="M7" s="37">
        <f>_xlfn.XLOOKUP(Tabla27[[#This Row],[Nombre producto]], Tabla32[Nombre producto], Tabla32[Precio Euros],"Error - agregue producto a Productos",0,1)</f>
        <v>556.09756097560978</v>
      </c>
      <c r="N7" s="23">
        <f>_xlfn.XLOOKUP(Tabla27[[#This Row],[Nombre producto]],Productos!$C:$C,Productos!N:N, "Error",0,1)</f>
        <v>556.09756097560978</v>
      </c>
      <c r="O7" s="23" t="str">
        <f>_xlfn.XLOOKUP(Tabla27[[#This Row],[Nombre producto]],Productos!$C:$C,Productos!O:O, "Error",0,1)</f>
        <v>Wolke</v>
      </c>
      <c r="P7" s="67" t="str">
        <f>_xlfn.XLOOKUP(Tabla27[[#This Row],[Tipo de venta]], Tabla2329[Tipo de venta], Tabla2329[Moneda final], "Error - Seleccionar Tipo de Venta", 0,1)</f>
        <v>CLP</v>
      </c>
      <c r="Q7" s="67">
        <f>IF(Tabla27[[#This Row],[Moneda producto]]="USD",'Datos generales'!$G$3,IF(Tabla27[[#This Row],[Moneda producto]]="EUR",'Datos generales'!$G$3,0))</f>
        <v>0.05</v>
      </c>
      <c r="R7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2394000</v>
      </c>
      <c r="S7" s="26"/>
    </row>
    <row r="8" spans="2:19" ht="43.2" x14ac:dyDescent="0.3">
      <c r="B8" s="30" t="s">
        <v>45</v>
      </c>
      <c r="C8" s="22" t="s">
        <v>42</v>
      </c>
      <c r="D8" s="24" t="s">
        <v>74</v>
      </c>
      <c r="E8" s="25" t="s">
        <v>75</v>
      </c>
      <c r="F8" s="33" t="str">
        <f>_xlfn.XLOOKUP(Tabla27[[#This Row],[Nombre producto]],Productos!C:C,Productos!D:D, "Error",0,1)</f>
        <v>Water ORP sensor Modbus Range -1999mV～＋1999mV</v>
      </c>
      <c r="G8" s="22" t="str">
        <f>_xlfn.XLOOKUP(Tabla27[[#This Row],[Nombre producto]], Tabla32[Nombre producto], Tabla32[Tipo de moneda],"Error - agregue producto a Productos",0,1)</f>
        <v>USD</v>
      </c>
      <c r="H8" s="23">
        <f>_xlfn.XLOOKUP(Tabla27[[#This Row],[Nombre producto]], Tabla32[Nombre producto], Tabla32[Costo producto],"Error - agregue producto a Productos",0,1)</f>
        <v>118</v>
      </c>
      <c r="I8" s="42">
        <v>1</v>
      </c>
      <c r="J8" s="42">
        <f>_xlfn.XLOOKUP(Tabla27[[#This Row],[Nombre producto]], Tabla32[Nombre producto], Tabla32[Precio USD],"Error - agregue producto a Productos",0,1)</f>
        <v>306.8</v>
      </c>
      <c r="K8" s="42">
        <f>_xlfn.XLOOKUP(Tabla27[[#This Row],[Nombre producto]], Tabla32[Nombre producto], Tabla32[Precio CLP],"Error - agregue producto a Productos",0,1)</f>
        <v>291460</v>
      </c>
      <c r="L8" s="43">
        <f>_xlfn.XLOOKUP(Tabla27[[#This Row],[Nombre producto]], Tabla32[Nombre producto], Tabla32[Precio UF],"Error - agregue producto a Productos",0,1)</f>
        <v>7.5882861397790116</v>
      </c>
      <c r="M8" s="43">
        <f>_xlfn.XLOOKUP(Tabla27[[#This Row],[Nombre producto]], Tabla32[Nombre producto], Tabla32[Precio Euros],"Error - agregue producto a Productos",0,1)</f>
        <v>284.35121951219514</v>
      </c>
      <c r="N8" s="44">
        <f>_xlfn.XLOOKUP(Tabla27[[#This Row],[Nombre producto]],Productos!$C:$C,Productos!N:N, "Error",0,1)</f>
        <v>284.35121951219514</v>
      </c>
      <c r="O8" s="45" t="str">
        <f>_xlfn.XLOOKUP(Tabla27[[#This Row],[Nombre producto]],Productos!$C:$C,Productos!O:O, "Error",0,1)</f>
        <v>Honde Technology Co.</v>
      </c>
      <c r="P8" s="67" t="str">
        <f>_xlfn.XLOOKUP(Tabla27[[#This Row],[Tipo de venta]], Tabla2329[Tipo de venta], Tabla2329[Moneda final], "Error - Seleccionar Tipo de Venta", 0,1)</f>
        <v>USD</v>
      </c>
      <c r="Q8" s="67">
        <f>IF(Tabla27[[#This Row],[Moneda producto]]="USD",'Datos generales'!$G$3,IF(Tabla27[[#This Row],[Moneda producto]]="EUR",'Datos generales'!$G$3,0))</f>
        <v>0.05</v>
      </c>
      <c r="R8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322.14000000000004</v>
      </c>
    </row>
    <row r="9" spans="2:19" ht="66" customHeight="1" x14ac:dyDescent="0.3">
      <c r="B9" s="30" t="s">
        <v>41</v>
      </c>
      <c r="C9" s="22" t="s">
        <v>46</v>
      </c>
      <c r="D9" s="24" t="s">
        <v>109</v>
      </c>
      <c r="E9" s="25" t="s">
        <v>107</v>
      </c>
      <c r="F9" s="33" t="str">
        <f>_xlfn.XLOOKUP(Tabla27[[#This Row],[Nombre producto]],Productos!C:C,Productos!D:D, "Error",0,1)</f>
        <v>Radar Level Sensor
Measuring range: 10m
Radar frequency: 80GHz
Accuracy: ±2mm
Power supply: DC7~32V
Output: RS485 Modbus-RTU
Cable length: 10m</v>
      </c>
      <c r="G9" s="22" t="str">
        <f>_xlfn.XLOOKUP(Tabla27[[#This Row],[Nombre producto]], Tabla32[Nombre producto], Tabla32[Tipo de moneda],"Error - agregue producto a Productos",0,1)</f>
        <v>USD</v>
      </c>
      <c r="H9" s="37">
        <f>_xlfn.XLOOKUP(Tabla27[[#This Row],[Nombre producto]], Tabla32[Nombre producto], Tabla32[Costo producto],"Error - agregue producto a Productos",0,1)</f>
        <v>368.8</v>
      </c>
      <c r="I9" s="37">
        <v>1</v>
      </c>
      <c r="J9" s="37">
        <f>_xlfn.XLOOKUP(Tabla27[[#This Row],[Nombre producto]], Tabla32[Nombre producto], Tabla32[Precio USD],"Error - agregue producto a Productos",0,1)</f>
        <v>958.88000000000011</v>
      </c>
      <c r="K9" s="37">
        <f>_xlfn.XLOOKUP(Tabla27[[#This Row],[Nombre producto]], Tabla32[Nombre producto], Tabla32[Precio CLP],"Error - agregue producto a Productos",0,1)</f>
        <v>910936.00000000012</v>
      </c>
      <c r="L9" s="37">
        <f>_xlfn.XLOOKUP(Tabla27[[#This Row],[Nombre producto]], Tabla32[Nombre producto], Tabla32[Precio UF],"Error - agregue producto a Productos",0,1)</f>
        <v>23.716609562292373</v>
      </c>
      <c r="M9" s="37">
        <f>_xlfn.XLOOKUP(Tabla27[[#This Row],[Nombre producto]], Tabla32[Nombre producto], Tabla32[Precio Euros],"Error - agregue producto a Productos",0,1)</f>
        <v>888.71804878048795</v>
      </c>
      <c r="N9" s="23">
        <f>_xlfn.XLOOKUP(Tabla27[[#This Row],[Nombre producto]],Productos!$C:$C,Productos!N:N, "Error",0,1)</f>
        <v>888.71804878048795</v>
      </c>
      <c r="O9" s="23">
        <f>_xlfn.XLOOKUP(Tabla27[[#This Row],[Nombre producto]],Productos!$C:$C,Productos!O:O, "Error",0,1)</f>
        <v>0</v>
      </c>
      <c r="P9" s="67" t="str">
        <f>_xlfn.XLOOKUP(Tabla27[[#This Row],[Tipo de venta]], Tabla2329[Tipo de venta], Tabla2329[Moneda final], "Error - Seleccionar Tipo de Venta", 0,1)</f>
        <v>CLP</v>
      </c>
      <c r="Q9" s="67">
        <f>IF(Tabla27[[#This Row],[Moneda producto]]="USD",'Datos generales'!$G$3,IF(Tabla27[[#This Row],[Moneda producto]]="EUR",'Datos generales'!$G$3,0))</f>
        <v>0.05</v>
      </c>
      <c r="R9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956482.80000000016</v>
      </c>
    </row>
    <row r="10" spans="2:19" ht="43.2" x14ac:dyDescent="0.3">
      <c r="B10" s="30" t="s">
        <v>41</v>
      </c>
      <c r="C10" s="22" t="s">
        <v>50</v>
      </c>
      <c r="D10" s="24" t="s">
        <v>73</v>
      </c>
      <c r="E10" s="50"/>
      <c r="F10" s="33">
        <f>_xlfn.XLOOKUP(Tabla27[[#This Row],[Nombre producto]],Productos!C:C,Productos!D:D, "Error",0,1)</f>
        <v>0</v>
      </c>
      <c r="G10" s="22">
        <f>_xlfn.XLOOKUP(Tabla27[[#This Row],[Nombre producto]], Tabla32[Nombre producto], Tabla32[Tipo de moneda],"Error - agregue producto a Productos",0,1)</f>
        <v>0</v>
      </c>
      <c r="H10" s="23">
        <f>_xlfn.XLOOKUP(Tabla27[[#This Row],[Nombre producto]], Tabla32[Nombre producto], Tabla32[Costo producto],"Error - agregue producto a Productos",0,1)</f>
        <v>0</v>
      </c>
      <c r="I10" s="42"/>
      <c r="J10" s="42">
        <f>_xlfn.XLOOKUP(Tabla27[[#This Row],[Nombre producto]], Tabla32[Nombre producto], Tabla32[Precio USD],"Error - agregue producto a Productos",0,1)</f>
        <v>0</v>
      </c>
      <c r="K10" s="42">
        <f>_xlfn.XLOOKUP(Tabla27[[#This Row],[Nombre producto]], Tabla32[Nombre producto], Tabla32[Precio CLP],"Error - agregue producto a Productos",0,1)</f>
        <v>0</v>
      </c>
      <c r="L10" s="43">
        <f>_xlfn.XLOOKUP(Tabla27[[#This Row],[Nombre producto]], Tabla32[Nombre producto], Tabla32[Precio UF],"Error - agregue producto a Productos",0,1)</f>
        <v>0</v>
      </c>
      <c r="M10" s="43">
        <f>_xlfn.XLOOKUP(Tabla27[[#This Row],[Nombre producto]], Tabla32[Nombre producto], Tabla32[Precio Euros],"Error - agregue producto a Productos",0,1)</f>
        <v>0</v>
      </c>
      <c r="N10" s="44">
        <f>_xlfn.XLOOKUP(Tabla27[[#This Row],[Nombre producto]],Productos!$C:$C,Productos!N:N, "Error",0,1)</f>
        <v>0</v>
      </c>
      <c r="O10" s="45">
        <f>_xlfn.XLOOKUP(Tabla27[[#This Row],[Nombre producto]],Productos!$C:$C,Productos!O:O, "Error",0,1)</f>
        <v>0</v>
      </c>
      <c r="P10" s="67" t="str">
        <f>_xlfn.XLOOKUP(Tabla27[[#This Row],[Tipo de venta]], Tabla2329[Tipo de venta], Tabla2329[Moneda final], "Error - Seleccionar Tipo de Venta", 0,1)</f>
        <v>CLP</v>
      </c>
      <c r="Q10" s="67">
        <f>IF(Tabla27[[#This Row],[Moneda producto]]="USD",'Datos generales'!$G$3,IF(Tabla27[[#This Row],[Moneda producto]]="EUR",'Datos generales'!$G$3,0))</f>
        <v>0</v>
      </c>
      <c r="R10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1" spans="2:19" ht="43.2" x14ac:dyDescent="0.3">
      <c r="B11" s="30"/>
      <c r="C11" s="22"/>
      <c r="D11" s="24"/>
      <c r="E11" s="25"/>
      <c r="F11" s="33">
        <f>_xlfn.XLOOKUP(Tabla27[[#This Row],[Nombre producto]],Productos!C:C,Productos!D:D, "Error",0,1)</f>
        <v>0</v>
      </c>
      <c r="G11" s="22">
        <f>_xlfn.XLOOKUP(Tabla27[[#This Row],[Nombre producto]], Tabla32[Nombre producto], Tabla32[Tipo de moneda],"Error - agregue producto a Productos",0,1)</f>
        <v>0</v>
      </c>
      <c r="H11" s="23">
        <f>_xlfn.XLOOKUP(Tabla27[[#This Row],[Nombre producto]], Tabla32[Nombre producto], Tabla32[Costo producto],"Error - agregue producto a Productos",0,1)</f>
        <v>0</v>
      </c>
      <c r="I11" s="42"/>
      <c r="J11" s="42">
        <f>_xlfn.XLOOKUP(Tabla27[[#This Row],[Nombre producto]], Tabla32[Nombre producto], Tabla32[Precio USD],"Error - agregue producto a Productos",0,1)</f>
        <v>0</v>
      </c>
      <c r="K11" s="42">
        <f>_xlfn.XLOOKUP(Tabla27[[#This Row],[Nombre producto]], Tabla32[Nombre producto], Tabla32[Precio CLP],"Error - agregue producto a Productos",0,1)</f>
        <v>0</v>
      </c>
      <c r="L11" s="43">
        <f>_xlfn.XLOOKUP(Tabla27[[#This Row],[Nombre producto]], Tabla32[Nombre producto], Tabla32[Precio UF],"Error - agregue producto a Productos",0,1)</f>
        <v>0</v>
      </c>
      <c r="M11" s="43">
        <f>_xlfn.XLOOKUP(Tabla27[[#This Row],[Nombre producto]], Tabla32[Nombre producto], Tabla32[Precio Euros],"Error - agregue producto a Productos",0,1)</f>
        <v>0</v>
      </c>
      <c r="N11" s="44">
        <f>_xlfn.XLOOKUP(Tabla27[[#This Row],[Nombre producto]],Productos!$C:$C,Productos!N:N, "Error",0,1)</f>
        <v>0</v>
      </c>
      <c r="O11" s="45">
        <f>_xlfn.XLOOKUP(Tabla27[[#This Row],[Nombre producto]],Productos!$C:$C,Productos!O:O, "Error",0,1)</f>
        <v>0</v>
      </c>
      <c r="P11" s="67" t="str">
        <f>_xlfn.XLOOKUP(Tabla27[[#This Row],[Tipo de venta]], Tabla2329[Tipo de venta], Tabla2329[Moneda final], "Error - Seleccionar Tipo de Venta", 0,1)</f>
        <v>Error - Seleccionar Tipo de Venta</v>
      </c>
      <c r="Q11" s="67">
        <f>IF(Tabla27[[#This Row],[Moneda producto]]="USD",'Datos generales'!$G$3,IF(Tabla27[[#This Row],[Moneda producto]]="EUR",'Datos generales'!$G$3,0))</f>
        <v>0</v>
      </c>
      <c r="R11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2" spans="2:19" ht="43.2" x14ac:dyDescent="0.3">
      <c r="B12" s="30"/>
      <c r="C12" s="22"/>
      <c r="D12" s="24"/>
      <c r="E12" s="25"/>
      <c r="F12" s="33">
        <f>_xlfn.XLOOKUP(Tabla27[[#This Row],[Nombre producto]],Productos!C:C,Productos!D:D, "Error",0,1)</f>
        <v>0</v>
      </c>
      <c r="G12" s="22">
        <f>_xlfn.XLOOKUP(Tabla27[[#This Row],[Nombre producto]], Tabla32[Nombre producto], Tabla32[Tipo de moneda],"Error - agregue producto a Productos",0,1)</f>
        <v>0</v>
      </c>
      <c r="H12" s="23">
        <f>_xlfn.XLOOKUP(Tabla27[[#This Row],[Nombre producto]], Tabla32[Nombre producto], Tabla32[Costo producto],"Error - agregue producto a Productos",0,1)</f>
        <v>0</v>
      </c>
      <c r="I12" s="42"/>
      <c r="J12" s="42">
        <f>_xlfn.XLOOKUP(Tabla27[[#This Row],[Nombre producto]], Tabla32[Nombre producto], Tabla32[Precio USD],"Error - agregue producto a Productos",0,1)</f>
        <v>0</v>
      </c>
      <c r="K12" s="42">
        <f>_xlfn.XLOOKUP(Tabla27[[#This Row],[Nombre producto]], Tabla32[Nombre producto], Tabla32[Precio CLP],"Error - agregue producto a Productos",0,1)</f>
        <v>0</v>
      </c>
      <c r="L12" s="43">
        <f>_xlfn.XLOOKUP(Tabla27[[#This Row],[Nombre producto]], Tabla32[Nombre producto], Tabla32[Precio UF],"Error - agregue producto a Productos",0,1)</f>
        <v>0</v>
      </c>
      <c r="M12" s="43">
        <f>_xlfn.XLOOKUP(Tabla27[[#This Row],[Nombre producto]], Tabla32[Nombre producto], Tabla32[Precio Euros],"Error - agregue producto a Productos",0,1)</f>
        <v>0</v>
      </c>
      <c r="N12" s="44">
        <f>_xlfn.XLOOKUP(Tabla27[[#This Row],[Nombre producto]],Productos!$C:$C,Productos!N:N, "Error",0,1)</f>
        <v>0</v>
      </c>
      <c r="O12" s="45">
        <f>_xlfn.XLOOKUP(Tabla27[[#This Row],[Nombre producto]],Productos!$C:$C,Productos!O:O, "Error",0,1)</f>
        <v>0</v>
      </c>
      <c r="P12" s="67" t="str">
        <f>_xlfn.XLOOKUP(Tabla27[[#This Row],[Tipo de venta]], Tabla2329[Tipo de venta], Tabla2329[Moneda final], "Error - Seleccionar Tipo de Venta", 0,1)</f>
        <v>Error - Seleccionar Tipo de Venta</v>
      </c>
      <c r="Q12" s="67">
        <f>IF(Tabla27[[#This Row],[Moneda producto]]="USD",'Datos generales'!$G$3,IF(Tabla27[[#This Row],[Moneda producto]]="EUR",'Datos generales'!$G$3,0))</f>
        <v>0</v>
      </c>
      <c r="R12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3" spans="2:19" ht="43.2" x14ac:dyDescent="0.3">
      <c r="B13" s="30"/>
      <c r="C13" s="22"/>
      <c r="D13" s="24"/>
      <c r="E13" s="25"/>
      <c r="F13" s="33">
        <f>_xlfn.XLOOKUP(Tabla27[[#This Row],[Nombre producto]],Productos!C:C,Productos!D:D, "Error",0,1)</f>
        <v>0</v>
      </c>
      <c r="G13" s="22">
        <f>_xlfn.XLOOKUP(Tabla27[[#This Row],[Nombre producto]], Tabla32[Nombre producto], Tabla32[Tipo de moneda],"Error - agregue producto a Productos",0,1)</f>
        <v>0</v>
      </c>
      <c r="H13" s="23">
        <f>_xlfn.XLOOKUP(Tabla27[[#This Row],[Nombre producto]], Tabla32[Nombre producto], Tabla32[Costo producto],"Error - agregue producto a Productos",0,1)</f>
        <v>0</v>
      </c>
      <c r="I13" s="42"/>
      <c r="J13" s="42">
        <f>_xlfn.XLOOKUP(Tabla27[[#This Row],[Nombre producto]], Tabla32[Nombre producto], Tabla32[Precio USD],"Error - agregue producto a Productos",0,1)</f>
        <v>0</v>
      </c>
      <c r="K13" s="42">
        <f>_xlfn.XLOOKUP(Tabla27[[#This Row],[Nombre producto]], Tabla32[Nombre producto], Tabla32[Precio CLP],"Error - agregue producto a Productos",0,1)</f>
        <v>0</v>
      </c>
      <c r="L13" s="43">
        <f>_xlfn.XLOOKUP(Tabla27[[#This Row],[Nombre producto]], Tabla32[Nombre producto], Tabla32[Precio UF],"Error - agregue producto a Productos",0,1)</f>
        <v>0</v>
      </c>
      <c r="M13" s="43">
        <f>_xlfn.XLOOKUP(Tabla27[[#This Row],[Nombre producto]], Tabla32[Nombre producto], Tabla32[Precio Euros],"Error - agregue producto a Productos",0,1)</f>
        <v>0</v>
      </c>
      <c r="N13" s="44">
        <f>_xlfn.XLOOKUP(Tabla27[[#This Row],[Nombre producto]],Productos!$C:$C,Productos!N:N, "Error",0,1)</f>
        <v>0</v>
      </c>
      <c r="O13" s="45">
        <f>_xlfn.XLOOKUP(Tabla27[[#This Row],[Nombre producto]],Productos!$C:$C,Productos!O:O, "Error",0,1)</f>
        <v>0</v>
      </c>
      <c r="P13" s="67" t="str">
        <f>_xlfn.XLOOKUP(Tabla27[[#This Row],[Tipo de venta]], Tabla2329[Tipo de venta], Tabla2329[Moneda final], "Error - Seleccionar Tipo de Venta", 0,1)</f>
        <v>Error - Seleccionar Tipo de Venta</v>
      </c>
      <c r="Q13" s="67">
        <f>IF(Tabla27[[#This Row],[Moneda producto]]="USD",'Datos generales'!$G$3,IF(Tabla27[[#This Row],[Moneda producto]]="EUR",'Datos generales'!$G$3,0))</f>
        <v>0</v>
      </c>
      <c r="R13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4" spans="2:19" ht="43.2" x14ac:dyDescent="0.3">
      <c r="B14" s="30"/>
      <c r="C14" s="22"/>
      <c r="D14" s="24"/>
      <c r="E14" s="25"/>
      <c r="F14" s="33">
        <f>_xlfn.XLOOKUP(Tabla27[[#This Row],[Nombre producto]],Productos!C:C,Productos!D:D, "Error",0,1)</f>
        <v>0</v>
      </c>
      <c r="G14" s="22">
        <f>_xlfn.XLOOKUP(Tabla27[[#This Row],[Nombre producto]], Tabla32[Nombre producto], Tabla32[Tipo de moneda],"Error - agregue producto a Productos",0,1)</f>
        <v>0</v>
      </c>
      <c r="H14" s="23">
        <f>_xlfn.XLOOKUP(Tabla27[[#This Row],[Nombre producto]], Tabla32[Nombre producto], Tabla32[Costo producto],"Error - agregue producto a Productos",0,1)</f>
        <v>0</v>
      </c>
      <c r="I14" s="42"/>
      <c r="J14" s="42">
        <f>_xlfn.XLOOKUP(Tabla27[[#This Row],[Nombre producto]], Tabla32[Nombre producto], Tabla32[Precio USD],"Error - agregue producto a Productos",0,1)</f>
        <v>0</v>
      </c>
      <c r="K14" s="42">
        <f>_xlfn.XLOOKUP(Tabla27[[#This Row],[Nombre producto]], Tabla32[Nombre producto], Tabla32[Precio CLP],"Error - agregue producto a Productos",0,1)</f>
        <v>0</v>
      </c>
      <c r="L14" s="43">
        <f>_xlfn.XLOOKUP(Tabla27[[#This Row],[Nombre producto]], Tabla32[Nombre producto], Tabla32[Precio UF],"Error - agregue producto a Productos",0,1)</f>
        <v>0</v>
      </c>
      <c r="M14" s="43">
        <f>_xlfn.XLOOKUP(Tabla27[[#This Row],[Nombre producto]], Tabla32[Nombre producto], Tabla32[Precio Euros],"Error - agregue producto a Productos",0,1)</f>
        <v>0</v>
      </c>
      <c r="N14" s="44">
        <f>_xlfn.XLOOKUP(Tabla27[[#This Row],[Nombre producto]],Productos!$C:$C,Productos!N:N, "Error",0,1)</f>
        <v>0</v>
      </c>
      <c r="O14" s="45">
        <f>_xlfn.XLOOKUP(Tabla27[[#This Row],[Nombre producto]],Productos!$C:$C,Productos!O:O, "Error",0,1)</f>
        <v>0</v>
      </c>
      <c r="P14" s="67" t="str">
        <f>_xlfn.XLOOKUP(Tabla27[[#This Row],[Tipo de venta]], Tabla2329[Tipo de venta], Tabla2329[Moneda final], "Error - Seleccionar Tipo de Venta", 0,1)</f>
        <v>Error - Seleccionar Tipo de Venta</v>
      </c>
      <c r="Q14" s="67">
        <f>IF(Tabla27[[#This Row],[Moneda producto]]="USD",'Datos generales'!$G$3,IF(Tabla27[[#This Row],[Moneda producto]]="EUR",'Datos generales'!$G$3,0))</f>
        <v>0</v>
      </c>
      <c r="R14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5" spans="2:19" ht="43.2" x14ac:dyDescent="0.3">
      <c r="B15" s="30"/>
      <c r="C15" s="22"/>
      <c r="D15" s="24"/>
      <c r="E15" s="25"/>
      <c r="F15" s="33">
        <f>_xlfn.XLOOKUP(Tabla27[[#This Row],[Nombre producto]],Productos!C:C,Productos!D:D, "Error",0,1)</f>
        <v>0</v>
      </c>
      <c r="G15" s="22">
        <f>_xlfn.XLOOKUP(Tabla27[[#This Row],[Nombre producto]], Tabla32[Nombre producto], Tabla32[Tipo de moneda],"Error - agregue producto a Productos",0,1)</f>
        <v>0</v>
      </c>
      <c r="H15" s="23">
        <f>_xlfn.XLOOKUP(Tabla27[[#This Row],[Nombre producto]], Tabla32[Nombre producto], Tabla32[Costo producto],"Error - agregue producto a Productos",0,1)</f>
        <v>0</v>
      </c>
      <c r="I15" s="42"/>
      <c r="J15" s="42">
        <f>_xlfn.XLOOKUP(Tabla27[[#This Row],[Nombre producto]], Tabla32[Nombre producto], Tabla32[Precio USD],"Error - agregue producto a Productos",0,1)</f>
        <v>0</v>
      </c>
      <c r="K15" s="42">
        <f>_xlfn.XLOOKUP(Tabla27[[#This Row],[Nombre producto]], Tabla32[Nombre producto], Tabla32[Precio CLP],"Error - agregue producto a Productos",0,1)</f>
        <v>0</v>
      </c>
      <c r="L15" s="43">
        <f>_xlfn.XLOOKUP(Tabla27[[#This Row],[Nombre producto]], Tabla32[Nombre producto], Tabla32[Precio UF],"Error - agregue producto a Productos",0,1)</f>
        <v>0</v>
      </c>
      <c r="M15" s="43">
        <f>_xlfn.XLOOKUP(Tabla27[[#This Row],[Nombre producto]], Tabla32[Nombre producto], Tabla32[Precio Euros],"Error - agregue producto a Productos",0,1)</f>
        <v>0</v>
      </c>
      <c r="N15" s="44">
        <f>_xlfn.XLOOKUP(Tabla27[[#This Row],[Nombre producto]],Productos!$C:$C,Productos!N:N, "Error",0,1)</f>
        <v>0</v>
      </c>
      <c r="O15" s="45">
        <f>_xlfn.XLOOKUP(Tabla27[[#This Row],[Nombre producto]],Productos!$C:$C,Productos!O:O, "Error",0,1)</f>
        <v>0</v>
      </c>
      <c r="P15" s="67" t="str">
        <f>_xlfn.XLOOKUP(Tabla27[[#This Row],[Tipo de venta]], Tabla2329[Tipo de venta], Tabla2329[Moneda final], "Error - Seleccionar Tipo de Venta", 0,1)</f>
        <v>Error - Seleccionar Tipo de Venta</v>
      </c>
      <c r="Q15" s="67">
        <f>IF(Tabla27[[#This Row],[Moneda producto]]="USD",'Datos generales'!$G$3,IF(Tabla27[[#This Row],[Moneda producto]]="EUR",'Datos generales'!$G$3,0))</f>
        <v>0</v>
      </c>
      <c r="R15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6" spans="2:19" ht="43.2" x14ac:dyDescent="0.3">
      <c r="B16" s="30"/>
      <c r="C16" s="22"/>
      <c r="D16" s="24"/>
      <c r="E16" s="25"/>
      <c r="F16" s="33">
        <f>_xlfn.XLOOKUP(Tabla27[[#This Row],[Nombre producto]],Productos!C:C,Productos!D:D, "Error",0,1)</f>
        <v>0</v>
      </c>
      <c r="G16" s="22">
        <f>_xlfn.XLOOKUP(Tabla27[[#This Row],[Nombre producto]], Tabla32[Nombre producto], Tabla32[Tipo de moneda],"Error - agregue producto a Productos",0,1)</f>
        <v>0</v>
      </c>
      <c r="H16" s="23">
        <f>_xlfn.XLOOKUP(Tabla27[[#This Row],[Nombre producto]], Tabla32[Nombre producto], Tabla32[Costo producto],"Error - agregue producto a Productos",0,1)</f>
        <v>0</v>
      </c>
      <c r="I16" s="42"/>
      <c r="J16" s="42">
        <f>_xlfn.XLOOKUP(Tabla27[[#This Row],[Nombre producto]], Tabla32[Nombre producto], Tabla32[Precio USD],"Error - agregue producto a Productos",0,1)</f>
        <v>0</v>
      </c>
      <c r="K16" s="42">
        <f>_xlfn.XLOOKUP(Tabla27[[#This Row],[Nombre producto]], Tabla32[Nombre producto], Tabla32[Precio CLP],"Error - agregue producto a Productos",0,1)</f>
        <v>0</v>
      </c>
      <c r="L16" s="43">
        <f>_xlfn.XLOOKUP(Tabla27[[#This Row],[Nombre producto]], Tabla32[Nombre producto], Tabla32[Precio UF],"Error - agregue producto a Productos",0,1)</f>
        <v>0</v>
      </c>
      <c r="M16" s="43">
        <f>_xlfn.XLOOKUP(Tabla27[[#This Row],[Nombre producto]], Tabla32[Nombre producto], Tabla32[Precio Euros],"Error - agregue producto a Productos",0,1)</f>
        <v>0</v>
      </c>
      <c r="N16" s="44">
        <f>_xlfn.XLOOKUP(Tabla27[[#This Row],[Nombre producto]],Productos!$C:$C,Productos!N:N, "Error",0,1)</f>
        <v>0</v>
      </c>
      <c r="O16" s="45">
        <f>_xlfn.XLOOKUP(Tabla27[[#This Row],[Nombre producto]],Productos!$C:$C,Productos!O:O, "Error",0,1)</f>
        <v>0</v>
      </c>
      <c r="P16" s="67" t="str">
        <f>_xlfn.XLOOKUP(Tabla27[[#This Row],[Tipo de venta]], Tabla2329[Tipo de venta], Tabla2329[Moneda final], "Error - Seleccionar Tipo de Venta", 0,1)</f>
        <v>Error - Seleccionar Tipo de Venta</v>
      </c>
      <c r="Q16" s="67">
        <f>IF(Tabla27[[#This Row],[Moneda producto]]="USD",'Datos generales'!$G$3,IF(Tabla27[[#This Row],[Moneda producto]]="EUR",'Datos generales'!$G$3,0))</f>
        <v>0</v>
      </c>
      <c r="R16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7" spans="2:18" ht="43.2" x14ac:dyDescent="0.3">
      <c r="B17" s="30"/>
      <c r="C17" s="22"/>
      <c r="D17" s="24"/>
      <c r="E17" s="25"/>
      <c r="F17" s="33">
        <f>_xlfn.XLOOKUP(Tabla27[[#This Row],[Nombre producto]],Productos!C:C,Productos!D:D, "Error",0,1)</f>
        <v>0</v>
      </c>
      <c r="G17" s="22">
        <f>_xlfn.XLOOKUP(Tabla27[[#This Row],[Nombre producto]], Tabla32[Nombre producto], Tabla32[Tipo de moneda],"Error - agregue producto a Productos",0,1)</f>
        <v>0</v>
      </c>
      <c r="H17" s="23">
        <f>_xlfn.XLOOKUP(Tabla27[[#This Row],[Nombre producto]], Tabla32[Nombre producto], Tabla32[Costo producto],"Error - agregue producto a Productos",0,1)</f>
        <v>0</v>
      </c>
      <c r="I17" s="42"/>
      <c r="J17" s="42">
        <f>_xlfn.XLOOKUP(Tabla27[[#This Row],[Nombre producto]], Tabla32[Nombre producto], Tabla32[Precio USD],"Error - agregue producto a Productos",0,1)</f>
        <v>0</v>
      </c>
      <c r="K17" s="42">
        <f>_xlfn.XLOOKUP(Tabla27[[#This Row],[Nombre producto]], Tabla32[Nombre producto], Tabla32[Precio CLP],"Error - agregue producto a Productos",0,1)</f>
        <v>0</v>
      </c>
      <c r="L17" s="43">
        <f>_xlfn.XLOOKUP(Tabla27[[#This Row],[Nombre producto]], Tabla32[Nombre producto], Tabla32[Precio UF],"Error - agregue producto a Productos",0,1)</f>
        <v>0</v>
      </c>
      <c r="M17" s="43">
        <f>_xlfn.XLOOKUP(Tabla27[[#This Row],[Nombre producto]], Tabla32[Nombre producto], Tabla32[Precio Euros],"Error - agregue producto a Productos",0,1)</f>
        <v>0</v>
      </c>
      <c r="N17" s="44">
        <f>_xlfn.XLOOKUP(Tabla27[[#This Row],[Nombre producto]],Productos!$C:$C,Productos!N:N, "Error",0,1)</f>
        <v>0</v>
      </c>
      <c r="O17" s="45">
        <f>_xlfn.XLOOKUP(Tabla27[[#This Row],[Nombre producto]],Productos!$C:$C,Productos!O:O, "Error",0,1)</f>
        <v>0</v>
      </c>
      <c r="P17" s="67" t="str">
        <f>_xlfn.XLOOKUP(Tabla27[[#This Row],[Tipo de venta]], Tabla2329[Tipo de venta], Tabla2329[Moneda final], "Error - Seleccionar Tipo de Venta", 0,1)</f>
        <v>Error - Seleccionar Tipo de Venta</v>
      </c>
      <c r="Q17" s="67">
        <f>IF(Tabla27[[#This Row],[Moneda producto]]="USD",'Datos generales'!$G$3,IF(Tabla27[[#This Row],[Moneda producto]]="EUR",'Datos generales'!$G$3,0))</f>
        <v>0</v>
      </c>
      <c r="R17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8" spans="2:18" ht="43.2" x14ac:dyDescent="0.3">
      <c r="B18" s="30"/>
      <c r="C18" s="22"/>
      <c r="D18" s="24"/>
      <c r="E18" s="25"/>
      <c r="F18" s="33">
        <f>_xlfn.XLOOKUP(Tabla27[[#This Row],[Nombre producto]],Productos!C:C,Productos!D:D, "Error",0,1)</f>
        <v>0</v>
      </c>
      <c r="G18" s="22">
        <f>_xlfn.XLOOKUP(Tabla27[[#This Row],[Nombre producto]], Tabla32[Nombre producto], Tabla32[Tipo de moneda],"Error - agregue producto a Productos",0,1)</f>
        <v>0</v>
      </c>
      <c r="H18" s="23">
        <f>_xlfn.XLOOKUP(Tabla27[[#This Row],[Nombre producto]], Tabla32[Nombre producto], Tabla32[Costo producto],"Error - agregue producto a Productos",0,1)</f>
        <v>0</v>
      </c>
      <c r="I18" s="42"/>
      <c r="J18" s="42">
        <f>_xlfn.XLOOKUP(Tabla27[[#This Row],[Nombre producto]], Tabla32[Nombre producto], Tabla32[Precio USD],"Error - agregue producto a Productos",0,1)</f>
        <v>0</v>
      </c>
      <c r="K18" s="42">
        <f>_xlfn.XLOOKUP(Tabla27[[#This Row],[Nombre producto]], Tabla32[Nombre producto], Tabla32[Precio CLP],"Error - agregue producto a Productos",0,1)</f>
        <v>0</v>
      </c>
      <c r="L18" s="43">
        <f>_xlfn.XLOOKUP(Tabla27[[#This Row],[Nombre producto]], Tabla32[Nombre producto], Tabla32[Precio UF],"Error - agregue producto a Productos",0,1)</f>
        <v>0</v>
      </c>
      <c r="M18" s="43">
        <f>_xlfn.XLOOKUP(Tabla27[[#This Row],[Nombre producto]], Tabla32[Nombre producto], Tabla32[Precio Euros],"Error - agregue producto a Productos",0,1)</f>
        <v>0</v>
      </c>
      <c r="N18" s="44">
        <f>_xlfn.XLOOKUP(Tabla27[[#This Row],[Nombre producto]],Productos!$C:$C,Productos!N:N, "Error",0,1)</f>
        <v>0</v>
      </c>
      <c r="O18" s="45">
        <f>_xlfn.XLOOKUP(Tabla27[[#This Row],[Nombre producto]],Productos!$C:$C,Productos!O:O, "Error",0,1)</f>
        <v>0</v>
      </c>
      <c r="P18" s="67" t="str">
        <f>_xlfn.XLOOKUP(Tabla27[[#This Row],[Tipo de venta]], Tabla2329[Tipo de venta], Tabla2329[Moneda final], "Error - Seleccionar Tipo de Venta", 0,1)</f>
        <v>Error - Seleccionar Tipo de Venta</v>
      </c>
      <c r="Q18" s="67">
        <f>IF(Tabla27[[#This Row],[Moneda producto]]="USD",'Datos generales'!$G$3,IF(Tabla27[[#This Row],[Moneda producto]]="EUR",'Datos generales'!$G$3,0))</f>
        <v>0</v>
      </c>
      <c r="R18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19" spans="2:18" ht="43.2" x14ac:dyDescent="0.3">
      <c r="B19" s="30"/>
      <c r="C19" s="22"/>
      <c r="D19" s="24"/>
      <c r="E19" s="25"/>
      <c r="F19" s="33">
        <f>_xlfn.XLOOKUP(Tabla27[[#This Row],[Nombre producto]],Productos!C:C,Productos!D:D, "Error",0,1)</f>
        <v>0</v>
      </c>
      <c r="G19" s="22">
        <f>_xlfn.XLOOKUP(Tabla27[[#This Row],[Nombre producto]], Tabla32[Nombre producto], Tabla32[Tipo de moneda],"Error - agregue producto a Productos",0,1)</f>
        <v>0</v>
      </c>
      <c r="H19" s="23">
        <f>_xlfn.XLOOKUP(Tabla27[[#This Row],[Nombre producto]], Tabla32[Nombre producto], Tabla32[Costo producto],"Error - agregue producto a Productos",0,1)</f>
        <v>0</v>
      </c>
      <c r="I19" s="42"/>
      <c r="J19" s="42">
        <f>_xlfn.XLOOKUP(Tabla27[[#This Row],[Nombre producto]], Tabla32[Nombre producto], Tabla32[Precio USD],"Error - agregue producto a Productos",0,1)</f>
        <v>0</v>
      </c>
      <c r="K19" s="42">
        <f>_xlfn.XLOOKUP(Tabla27[[#This Row],[Nombre producto]], Tabla32[Nombre producto], Tabla32[Precio CLP],"Error - agregue producto a Productos",0,1)</f>
        <v>0</v>
      </c>
      <c r="L19" s="43">
        <f>_xlfn.XLOOKUP(Tabla27[[#This Row],[Nombre producto]], Tabla32[Nombre producto], Tabla32[Precio UF],"Error - agregue producto a Productos",0,1)</f>
        <v>0</v>
      </c>
      <c r="M19" s="43">
        <f>_xlfn.XLOOKUP(Tabla27[[#This Row],[Nombre producto]], Tabla32[Nombre producto], Tabla32[Precio Euros],"Error - agregue producto a Productos",0,1)</f>
        <v>0</v>
      </c>
      <c r="N19" s="44">
        <f>_xlfn.XLOOKUP(Tabla27[[#This Row],[Nombre producto]],Productos!$C:$C,Productos!N:N, "Error",0,1)</f>
        <v>0</v>
      </c>
      <c r="O19" s="45">
        <f>_xlfn.XLOOKUP(Tabla27[[#This Row],[Nombre producto]],Productos!$C:$C,Productos!O:O, "Error",0,1)</f>
        <v>0</v>
      </c>
      <c r="P19" s="67" t="str">
        <f>_xlfn.XLOOKUP(Tabla27[[#This Row],[Tipo de venta]], Tabla2329[Tipo de venta], Tabla2329[Moneda final], "Error - Seleccionar Tipo de Venta", 0,1)</f>
        <v>Error - Seleccionar Tipo de Venta</v>
      </c>
      <c r="Q19" s="67">
        <f>IF(Tabla27[[#This Row],[Moneda producto]]="USD",'Datos generales'!$G$3,IF(Tabla27[[#This Row],[Moneda producto]]="EUR",'Datos generales'!$G$3,0))</f>
        <v>0</v>
      </c>
      <c r="R19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0" spans="2:18" ht="43.2" x14ac:dyDescent="0.3">
      <c r="B20" s="30"/>
      <c r="C20" s="22"/>
      <c r="D20" s="24"/>
      <c r="E20" s="25"/>
      <c r="F20" s="33">
        <f>_xlfn.XLOOKUP(Tabla27[[#This Row],[Nombre producto]],Productos!C:C,Productos!D:D, "Error",0,1)</f>
        <v>0</v>
      </c>
      <c r="G20" s="22">
        <f>_xlfn.XLOOKUP(Tabla27[[#This Row],[Nombre producto]], Tabla32[Nombre producto], Tabla32[Tipo de moneda],"Error - agregue producto a Productos",0,1)</f>
        <v>0</v>
      </c>
      <c r="H20" s="23">
        <f>_xlfn.XLOOKUP(Tabla27[[#This Row],[Nombre producto]], Tabla32[Nombre producto], Tabla32[Costo producto],"Error - agregue producto a Productos",0,1)</f>
        <v>0</v>
      </c>
      <c r="I20" s="42"/>
      <c r="J20" s="42">
        <f>_xlfn.XLOOKUP(Tabla27[[#This Row],[Nombre producto]], Tabla32[Nombre producto], Tabla32[Precio USD],"Error - agregue producto a Productos",0,1)</f>
        <v>0</v>
      </c>
      <c r="K20" s="42">
        <f>_xlfn.XLOOKUP(Tabla27[[#This Row],[Nombre producto]], Tabla32[Nombre producto], Tabla32[Precio CLP],"Error - agregue producto a Productos",0,1)</f>
        <v>0</v>
      </c>
      <c r="L20" s="43">
        <f>_xlfn.XLOOKUP(Tabla27[[#This Row],[Nombre producto]], Tabla32[Nombre producto], Tabla32[Precio UF],"Error - agregue producto a Productos",0,1)</f>
        <v>0</v>
      </c>
      <c r="M20" s="43">
        <f>_xlfn.XLOOKUP(Tabla27[[#This Row],[Nombre producto]], Tabla32[Nombre producto], Tabla32[Precio Euros],"Error - agregue producto a Productos",0,1)</f>
        <v>0</v>
      </c>
      <c r="N20" s="44">
        <f>_xlfn.XLOOKUP(Tabla27[[#This Row],[Nombre producto]],Productos!$C:$C,Productos!N:N, "Error",0,1)</f>
        <v>0</v>
      </c>
      <c r="O20" s="45">
        <f>_xlfn.XLOOKUP(Tabla27[[#This Row],[Nombre producto]],Productos!$C:$C,Productos!O:O, "Error",0,1)</f>
        <v>0</v>
      </c>
      <c r="P20" s="67" t="str">
        <f>_xlfn.XLOOKUP(Tabla27[[#This Row],[Tipo de venta]], Tabla2329[Tipo de venta], Tabla2329[Moneda final], "Error - Seleccionar Tipo de Venta", 0,1)</f>
        <v>Error - Seleccionar Tipo de Venta</v>
      </c>
      <c r="Q20" s="67">
        <f>IF(Tabla27[[#This Row],[Moneda producto]]="USD",'Datos generales'!$G$3,IF(Tabla27[[#This Row],[Moneda producto]]="EUR",'Datos generales'!$G$3,0))</f>
        <v>0</v>
      </c>
      <c r="R20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1" spans="2:18" ht="43.2" x14ac:dyDescent="0.3">
      <c r="B21" s="30"/>
      <c r="C21" s="22"/>
      <c r="D21" s="24"/>
      <c r="E21" s="25"/>
      <c r="F21" s="33">
        <f>_xlfn.XLOOKUP(Tabla27[[#This Row],[Nombre producto]],Productos!C:C,Productos!D:D, "Error",0,1)</f>
        <v>0</v>
      </c>
      <c r="G21" s="22">
        <f>_xlfn.XLOOKUP(Tabla27[[#This Row],[Nombre producto]], Tabla32[Nombre producto], Tabla32[Tipo de moneda],"Error - agregue producto a Productos",0,1)</f>
        <v>0</v>
      </c>
      <c r="H21" s="23">
        <f>_xlfn.XLOOKUP(Tabla27[[#This Row],[Nombre producto]], Tabla32[Nombre producto], Tabla32[Costo producto],"Error - agregue producto a Productos",0,1)</f>
        <v>0</v>
      </c>
      <c r="I21" s="42"/>
      <c r="J21" s="42">
        <f>_xlfn.XLOOKUP(Tabla27[[#This Row],[Nombre producto]], Tabla32[Nombre producto], Tabla32[Precio USD],"Error - agregue producto a Productos",0,1)</f>
        <v>0</v>
      </c>
      <c r="K21" s="42">
        <f>_xlfn.XLOOKUP(Tabla27[[#This Row],[Nombre producto]], Tabla32[Nombre producto], Tabla32[Precio CLP],"Error - agregue producto a Productos",0,1)</f>
        <v>0</v>
      </c>
      <c r="L21" s="43">
        <f>_xlfn.XLOOKUP(Tabla27[[#This Row],[Nombre producto]], Tabla32[Nombre producto], Tabla32[Precio UF],"Error - agregue producto a Productos",0,1)</f>
        <v>0</v>
      </c>
      <c r="M21" s="43">
        <f>_xlfn.XLOOKUP(Tabla27[[#This Row],[Nombre producto]], Tabla32[Nombre producto], Tabla32[Precio Euros],"Error - agregue producto a Productos",0,1)</f>
        <v>0</v>
      </c>
      <c r="N21" s="44">
        <f>_xlfn.XLOOKUP(Tabla27[[#This Row],[Nombre producto]],Productos!$C:$C,Productos!N:N, "Error",0,1)</f>
        <v>0</v>
      </c>
      <c r="O21" s="45">
        <f>_xlfn.XLOOKUP(Tabla27[[#This Row],[Nombre producto]],Productos!$C:$C,Productos!O:O, "Error",0,1)</f>
        <v>0</v>
      </c>
      <c r="P21" s="67" t="str">
        <f>_xlfn.XLOOKUP(Tabla27[[#This Row],[Tipo de venta]], Tabla2329[Tipo de venta], Tabla2329[Moneda final], "Error - Seleccionar Tipo de Venta", 0,1)</f>
        <v>Error - Seleccionar Tipo de Venta</v>
      </c>
      <c r="Q21" s="67">
        <f>IF(Tabla27[[#This Row],[Moneda producto]]="USD",'Datos generales'!$G$3,IF(Tabla27[[#This Row],[Moneda producto]]="EUR",'Datos generales'!$G$3,0))</f>
        <v>0</v>
      </c>
      <c r="R21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2" spans="2:18" ht="43.2" x14ac:dyDescent="0.3">
      <c r="B22" s="30"/>
      <c r="C22" s="22"/>
      <c r="D22" s="24"/>
      <c r="E22" s="25"/>
      <c r="F22" s="33">
        <f>_xlfn.XLOOKUP(Tabla27[[#This Row],[Nombre producto]],Productos!C:C,Productos!D:D, "Error",0,1)</f>
        <v>0</v>
      </c>
      <c r="G22" s="22">
        <f>_xlfn.XLOOKUP(Tabla27[[#This Row],[Nombre producto]], Tabla32[Nombre producto], Tabla32[Tipo de moneda],"Error - agregue producto a Productos",0,1)</f>
        <v>0</v>
      </c>
      <c r="H22" s="23">
        <f>_xlfn.XLOOKUP(Tabla27[[#This Row],[Nombre producto]], Tabla32[Nombre producto], Tabla32[Costo producto],"Error - agregue producto a Productos",0,1)</f>
        <v>0</v>
      </c>
      <c r="I22" s="42"/>
      <c r="J22" s="42">
        <f>_xlfn.XLOOKUP(Tabla27[[#This Row],[Nombre producto]], Tabla32[Nombre producto], Tabla32[Precio USD],"Error - agregue producto a Productos",0,1)</f>
        <v>0</v>
      </c>
      <c r="K22" s="42">
        <f>_xlfn.XLOOKUP(Tabla27[[#This Row],[Nombre producto]], Tabla32[Nombre producto], Tabla32[Precio CLP],"Error - agregue producto a Productos",0,1)</f>
        <v>0</v>
      </c>
      <c r="L22" s="43">
        <f>_xlfn.XLOOKUP(Tabla27[[#This Row],[Nombre producto]], Tabla32[Nombre producto], Tabla32[Precio UF],"Error - agregue producto a Productos",0,1)</f>
        <v>0</v>
      </c>
      <c r="M22" s="43">
        <f>_xlfn.XLOOKUP(Tabla27[[#This Row],[Nombre producto]], Tabla32[Nombre producto], Tabla32[Precio Euros],"Error - agregue producto a Productos",0,1)</f>
        <v>0</v>
      </c>
      <c r="N22" s="44">
        <f>_xlfn.XLOOKUP(Tabla27[[#This Row],[Nombre producto]],Productos!$C:$C,Productos!N:N, "Error",0,1)</f>
        <v>0</v>
      </c>
      <c r="O22" s="45">
        <f>_xlfn.XLOOKUP(Tabla27[[#This Row],[Nombre producto]],Productos!$C:$C,Productos!O:O, "Error",0,1)</f>
        <v>0</v>
      </c>
      <c r="P22" s="67" t="str">
        <f>_xlfn.XLOOKUP(Tabla27[[#This Row],[Tipo de venta]], Tabla2329[Tipo de venta], Tabla2329[Moneda final], "Error - Seleccionar Tipo de Venta", 0,1)</f>
        <v>Error - Seleccionar Tipo de Venta</v>
      </c>
      <c r="Q22" s="67">
        <f>IF(Tabla27[[#This Row],[Moneda producto]]="USD",'Datos generales'!$G$3,IF(Tabla27[[#This Row],[Moneda producto]]="EUR",'Datos generales'!$G$3,0))</f>
        <v>0</v>
      </c>
      <c r="R22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3" spans="2:18" ht="43.2" x14ac:dyDescent="0.3">
      <c r="B23" s="30"/>
      <c r="C23" s="22"/>
      <c r="D23" s="24"/>
      <c r="E23" s="25"/>
      <c r="F23" s="33">
        <f>_xlfn.XLOOKUP(Tabla27[[#This Row],[Nombre producto]],Productos!C:C,Productos!D:D, "Error",0,1)</f>
        <v>0</v>
      </c>
      <c r="G23" s="22">
        <f>_xlfn.XLOOKUP(Tabla27[[#This Row],[Nombre producto]], Tabla32[Nombre producto], Tabla32[Tipo de moneda],"Error - agregue producto a Productos",0,1)</f>
        <v>0</v>
      </c>
      <c r="H23" s="23">
        <f>_xlfn.XLOOKUP(Tabla27[[#This Row],[Nombre producto]], Tabla32[Nombre producto], Tabla32[Costo producto],"Error - agregue producto a Productos",0,1)</f>
        <v>0</v>
      </c>
      <c r="I23" s="42"/>
      <c r="J23" s="42">
        <f>_xlfn.XLOOKUP(Tabla27[[#This Row],[Nombre producto]], Tabla32[Nombre producto], Tabla32[Precio USD],"Error - agregue producto a Productos",0,1)</f>
        <v>0</v>
      </c>
      <c r="K23" s="42">
        <f>_xlfn.XLOOKUP(Tabla27[[#This Row],[Nombre producto]], Tabla32[Nombre producto], Tabla32[Precio CLP],"Error - agregue producto a Productos",0,1)</f>
        <v>0</v>
      </c>
      <c r="L23" s="43">
        <f>_xlfn.XLOOKUP(Tabla27[[#This Row],[Nombre producto]], Tabla32[Nombre producto], Tabla32[Precio UF],"Error - agregue producto a Productos",0,1)</f>
        <v>0</v>
      </c>
      <c r="M23" s="43">
        <f>_xlfn.XLOOKUP(Tabla27[[#This Row],[Nombre producto]], Tabla32[Nombre producto], Tabla32[Precio Euros],"Error - agregue producto a Productos",0,1)</f>
        <v>0</v>
      </c>
      <c r="N23" s="44">
        <f>_xlfn.XLOOKUP(Tabla27[[#This Row],[Nombre producto]],Productos!$C:$C,Productos!N:N, "Error",0,1)</f>
        <v>0</v>
      </c>
      <c r="O23" s="45">
        <f>_xlfn.XLOOKUP(Tabla27[[#This Row],[Nombre producto]],Productos!$C:$C,Productos!O:O, "Error",0,1)</f>
        <v>0</v>
      </c>
      <c r="P23" s="67" t="str">
        <f>_xlfn.XLOOKUP(Tabla27[[#This Row],[Tipo de venta]], Tabla2329[Tipo de venta], Tabla2329[Moneda final], "Error - Seleccionar Tipo de Venta", 0,1)</f>
        <v>Error - Seleccionar Tipo de Venta</v>
      </c>
      <c r="Q23" s="67">
        <f>IF(Tabla27[[#This Row],[Moneda producto]]="USD",'Datos generales'!$G$3,IF(Tabla27[[#This Row],[Moneda producto]]="EUR",'Datos generales'!$G$3,0))</f>
        <v>0</v>
      </c>
      <c r="R23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4" spans="2:18" ht="43.2" x14ac:dyDescent="0.3">
      <c r="B24" s="30"/>
      <c r="C24" s="22"/>
      <c r="D24" s="24"/>
      <c r="E24" s="25"/>
      <c r="F24" s="33">
        <f>_xlfn.XLOOKUP(Tabla27[[#This Row],[Nombre producto]],Productos!C:C,Productos!D:D, "Error",0,1)</f>
        <v>0</v>
      </c>
      <c r="G24" s="22">
        <f>_xlfn.XLOOKUP(Tabla27[[#This Row],[Nombre producto]], Tabla32[Nombre producto], Tabla32[Tipo de moneda],"Error - agregue producto a Productos",0,1)</f>
        <v>0</v>
      </c>
      <c r="H24" s="23">
        <f>_xlfn.XLOOKUP(Tabla27[[#This Row],[Nombre producto]], Tabla32[Nombre producto], Tabla32[Costo producto],"Error - agregue producto a Productos",0,1)</f>
        <v>0</v>
      </c>
      <c r="I24" s="42"/>
      <c r="J24" s="42">
        <f>_xlfn.XLOOKUP(Tabla27[[#This Row],[Nombre producto]], Tabla32[Nombre producto], Tabla32[Precio USD],"Error - agregue producto a Productos",0,1)</f>
        <v>0</v>
      </c>
      <c r="K24" s="42">
        <f>_xlfn.XLOOKUP(Tabla27[[#This Row],[Nombre producto]], Tabla32[Nombre producto], Tabla32[Precio CLP],"Error - agregue producto a Productos",0,1)</f>
        <v>0</v>
      </c>
      <c r="L24" s="43">
        <f>_xlfn.XLOOKUP(Tabla27[[#This Row],[Nombre producto]], Tabla32[Nombre producto], Tabla32[Precio UF],"Error - agregue producto a Productos",0,1)</f>
        <v>0</v>
      </c>
      <c r="M24" s="43">
        <f>_xlfn.XLOOKUP(Tabla27[[#This Row],[Nombre producto]], Tabla32[Nombre producto], Tabla32[Precio Euros],"Error - agregue producto a Productos",0,1)</f>
        <v>0</v>
      </c>
      <c r="N24" s="44">
        <f>_xlfn.XLOOKUP(Tabla27[[#This Row],[Nombre producto]],Productos!$C:$C,Productos!N:N, "Error",0,1)</f>
        <v>0</v>
      </c>
      <c r="O24" s="45">
        <f>_xlfn.XLOOKUP(Tabla27[[#This Row],[Nombre producto]],Productos!$C:$C,Productos!O:O, "Error",0,1)</f>
        <v>0</v>
      </c>
      <c r="P24" s="67" t="str">
        <f>_xlfn.XLOOKUP(Tabla27[[#This Row],[Tipo de venta]], Tabla2329[Tipo de venta], Tabla2329[Moneda final], "Error - Seleccionar Tipo de Venta", 0,1)</f>
        <v>Error - Seleccionar Tipo de Venta</v>
      </c>
      <c r="Q24" s="67">
        <f>IF(Tabla27[[#This Row],[Moneda producto]]="USD",'Datos generales'!$G$3,IF(Tabla27[[#This Row],[Moneda producto]]="EUR",'Datos generales'!$G$3,0))</f>
        <v>0</v>
      </c>
      <c r="R24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5" spans="2:18" ht="43.2" x14ac:dyDescent="0.3">
      <c r="B25" s="30"/>
      <c r="C25" s="22"/>
      <c r="D25" s="24"/>
      <c r="E25" s="25"/>
      <c r="F25" s="33">
        <f>_xlfn.XLOOKUP(Tabla27[[#This Row],[Nombre producto]],Productos!C:C,Productos!D:D, "Error",0,1)</f>
        <v>0</v>
      </c>
      <c r="G25" s="22">
        <f>_xlfn.XLOOKUP(Tabla27[[#This Row],[Nombre producto]], Tabla32[Nombre producto], Tabla32[Tipo de moneda],"Error - agregue producto a Productos",0,1)</f>
        <v>0</v>
      </c>
      <c r="H25" s="23">
        <f>_xlfn.XLOOKUP(Tabla27[[#This Row],[Nombre producto]], Tabla32[Nombre producto], Tabla32[Costo producto],"Error - agregue producto a Productos",0,1)</f>
        <v>0</v>
      </c>
      <c r="I25" s="42"/>
      <c r="J25" s="42">
        <f>_xlfn.XLOOKUP(Tabla27[[#This Row],[Nombre producto]], Tabla32[Nombre producto], Tabla32[Precio USD],"Error - agregue producto a Productos",0,1)</f>
        <v>0</v>
      </c>
      <c r="K25" s="42">
        <f>_xlfn.XLOOKUP(Tabla27[[#This Row],[Nombre producto]], Tabla32[Nombre producto], Tabla32[Precio CLP],"Error - agregue producto a Productos",0,1)</f>
        <v>0</v>
      </c>
      <c r="L25" s="43">
        <f>_xlfn.XLOOKUP(Tabla27[[#This Row],[Nombre producto]], Tabla32[Nombre producto], Tabla32[Precio UF],"Error - agregue producto a Productos",0,1)</f>
        <v>0</v>
      </c>
      <c r="M25" s="43">
        <f>_xlfn.XLOOKUP(Tabla27[[#This Row],[Nombre producto]], Tabla32[Nombre producto], Tabla32[Precio Euros],"Error - agregue producto a Productos",0,1)</f>
        <v>0</v>
      </c>
      <c r="N25" s="44">
        <f>_xlfn.XLOOKUP(Tabla27[[#This Row],[Nombre producto]],Productos!$C:$C,Productos!N:N, "Error",0,1)</f>
        <v>0</v>
      </c>
      <c r="O25" s="45">
        <f>_xlfn.XLOOKUP(Tabla27[[#This Row],[Nombre producto]],Productos!$C:$C,Productos!O:O, "Error",0,1)</f>
        <v>0</v>
      </c>
      <c r="P25" s="67" t="str">
        <f>_xlfn.XLOOKUP(Tabla27[[#This Row],[Tipo de venta]], Tabla2329[Tipo de venta], Tabla2329[Moneda final], "Error - Seleccionar Tipo de Venta", 0,1)</f>
        <v>Error - Seleccionar Tipo de Venta</v>
      </c>
      <c r="Q25" s="67">
        <f>IF(Tabla27[[#This Row],[Moneda producto]]="USD",'Datos generales'!$G$3,IF(Tabla27[[#This Row],[Moneda producto]]="EUR",'Datos generales'!$G$3,0))</f>
        <v>0</v>
      </c>
      <c r="R25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6" spans="2:18" ht="43.2" x14ac:dyDescent="0.3">
      <c r="B26" s="30"/>
      <c r="C26" s="22"/>
      <c r="D26" s="24"/>
      <c r="E26" s="25"/>
      <c r="F26" s="33">
        <f>_xlfn.XLOOKUP(Tabla27[[#This Row],[Nombre producto]],Productos!C:C,Productos!D:D, "Error",0,1)</f>
        <v>0</v>
      </c>
      <c r="G26" s="22">
        <f>_xlfn.XLOOKUP(Tabla27[[#This Row],[Nombre producto]], Tabla32[Nombre producto], Tabla32[Tipo de moneda],"Error - agregue producto a Productos",0,1)</f>
        <v>0</v>
      </c>
      <c r="H26" s="23">
        <f>_xlfn.XLOOKUP(Tabla27[[#This Row],[Nombre producto]], Tabla32[Nombre producto], Tabla32[Costo producto],"Error - agregue producto a Productos",0,1)</f>
        <v>0</v>
      </c>
      <c r="I26" s="42"/>
      <c r="J26" s="42">
        <f>_xlfn.XLOOKUP(Tabla27[[#This Row],[Nombre producto]], Tabla32[Nombre producto], Tabla32[Precio USD],"Error - agregue producto a Productos",0,1)</f>
        <v>0</v>
      </c>
      <c r="K26" s="42">
        <f>_xlfn.XLOOKUP(Tabla27[[#This Row],[Nombre producto]], Tabla32[Nombre producto], Tabla32[Precio CLP],"Error - agregue producto a Productos",0,1)</f>
        <v>0</v>
      </c>
      <c r="L26" s="43">
        <f>_xlfn.XLOOKUP(Tabla27[[#This Row],[Nombre producto]], Tabla32[Nombre producto], Tabla32[Precio UF],"Error - agregue producto a Productos",0,1)</f>
        <v>0</v>
      </c>
      <c r="M26" s="43">
        <f>_xlfn.XLOOKUP(Tabla27[[#This Row],[Nombre producto]], Tabla32[Nombre producto], Tabla32[Precio Euros],"Error - agregue producto a Productos",0,1)</f>
        <v>0</v>
      </c>
      <c r="N26" s="44">
        <f>_xlfn.XLOOKUP(Tabla27[[#This Row],[Nombre producto]],Productos!$C:$C,Productos!N:N, "Error",0,1)</f>
        <v>0</v>
      </c>
      <c r="O26" s="45">
        <f>_xlfn.XLOOKUP(Tabla27[[#This Row],[Nombre producto]],Productos!$C:$C,Productos!O:O, "Error",0,1)</f>
        <v>0</v>
      </c>
      <c r="P26" s="67" t="str">
        <f>_xlfn.XLOOKUP(Tabla27[[#This Row],[Tipo de venta]], Tabla2329[Tipo de venta], Tabla2329[Moneda final], "Error - Seleccionar Tipo de Venta", 0,1)</f>
        <v>Error - Seleccionar Tipo de Venta</v>
      </c>
      <c r="Q26" s="67">
        <f>IF(Tabla27[[#This Row],[Moneda producto]]="USD",'Datos generales'!$G$3,IF(Tabla27[[#This Row],[Moneda producto]]="EUR",'Datos generales'!$G$3,0))</f>
        <v>0</v>
      </c>
      <c r="R26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7" spans="2:18" ht="43.2" x14ac:dyDescent="0.3">
      <c r="B27" s="30"/>
      <c r="C27" s="22"/>
      <c r="D27" s="24"/>
      <c r="E27" s="25"/>
      <c r="F27" s="33">
        <f>_xlfn.XLOOKUP(Tabla27[[#This Row],[Nombre producto]],Productos!C:C,Productos!D:D, "Error",0,1)</f>
        <v>0</v>
      </c>
      <c r="G27" s="22">
        <f>_xlfn.XLOOKUP(Tabla27[[#This Row],[Nombre producto]], Tabla32[Nombre producto], Tabla32[Tipo de moneda],"Error - agregue producto a Productos",0,1)</f>
        <v>0</v>
      </c>
      <c r="H27" s="23">
        <f>_xlfn.XLOOKUP(Tabla27[[#This Row],[Nombre producto]], Tabla32[Nombre producto], Tabla32[Costo producto],"Error - agregue producto a Productos",0,1)</f>
        <v>0</v>
      </c>
      <c r="I27" s="42"/>
      <c r="J27" s="42">
        <f>_xlfn.XLOOKUP(Tabla27[[#This Row],[Nombre producto]], Tabla32[Nombre producto], Tabla32[Precio USD],"Error - agregue producto a Productos",0,1)</f>
        <v>0</v>
      </c>
      <c r="K27" s="42">
        <f>_xlfn.XLOOKUP(Tabla27[[#This Row],[Nombre producto]], Tabla32[Nombre producto], Tabla32[Precio CLP],"Error - agregue producto a Productos",0,1)</f>
        <v>0</v>
      </c>
      <c r="L27" s="43">
        <f>_xlfn.XLOOKUP(Tabla27[[#This Row],[Nombre producto]], Tabla32[Nombre producto], Tabla32[Precio UF],"Error - agregue producto a Productos",0,1)</f>
        <v>0</v>
      </c>
      <c r="M27" s="43">
        <f>_xlfn.XLOOKUP(Tabla27[[#This Row],[Nombre producto]], Tabla32[Nombre producto], Tabla32[Precio Euros],"Error - agregue producto a Productos",0,1)</f>
        <v>0</v>
      </c>
      <c r="N27" s="44">
        <f>_xlfn.XLOOKUP(Tabla27[[#This Row],[Nombre producto]],Productos!$C:$C,Productos!N:N, "Error",0,1)</f>
        <v>0</v>
      </c>
      <c r="O27" s="45">
        <f>_xlfn.XLOOKUP(Tabla27[[#This Row],[Nombre producto]],Productos!$C:$C,Productos!O:O, "Error",0,1)</f>
        <v>0</v>
      </c>
      <c r="P27" s="67" t="str">
        <f>_xlfn.XLOOKUP(Tabla27[[#This Row],[Tipo de venta]], Tabla2329[Tipo de venta], Tabla2329[Moneda final], "Error - Seleccionar Tipo de Venta", 0,1)</f>
        <v>Error - Seleccionar Tipo de Venta</v>
      </c>
      <c r="Q27" s="67">
        <f>IF(Tabla27[[#This Row],[Moneda producto]]="USD",'Datos generales'!$G$3,IF(Tabla27[[#This Row],[Moneda producto]]="EUR",'Datos generales'!$G$3,0))</f>
        <v>0</v>
      </c>
      <c r="R27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8" spans="2:18" ht="43.2" x14ac:dyDescent="0.3">
      <c r="B28" s="30"/>
      <c r="C28" s="22"/>
      <c r="D28" s="24"/>
      <c r="E28" s="25"/>
      <c r="F28" s="33">
        <f>_xlfn.XLOOKUP(Tabla27[[#This Row],[Nombre producto]],Productos!C:C,Productos!D:D, "Error",0,1)</f>
        <v>0</v>
      </c>
      <c r="G28" s="22">
        <f>_xlfn.XLOOKUP(Tabla27[[#This Row],[Nombre producto]], Tabla32[Nombre producto], Tabla32[Tipo de moneda],"Error - agregue producto a Productos",0,1)</f>
        <v>0</v>
      </c>
      <c r="H28" s="23">
        <f>_xlfn.XLOOKUP(Tabla27[[#This Row],[Nombre producto]], Tabla32[Nombre producto], Tabla32[Costo producto],"Error - agregue producto a Productos",0,1)</f>
        <v>0</v>
      </c>
      <c r="I28" s="42"/>
      <c r="J28" s="42">
        <f>_xlfn.XLOOKUP(Tabla27[[#This Row],[Nombre producto]], Tabla32[Nombre producto], Tabla32[Precio USD],"Error - agregue producto a Productos",0,1)</f>
        <v>0</v>
      </c>
      <c r="K28" s="42">
        <f>_xlfn.XLOOKUP(Tabla27[[#This Row],[Nombre producto]], Tabla32[Nombre producto], Tabla32[Precio CLP],"Error - agregue producto a Productos",0,1)</f>
        <v>0</v>
      </c>
      <c r="L28" s="43">
        <f>_xlfn.XLOOKUP(Tabla27[[#This Row],[Nombre producto]], Tabla32[Nombre producto], Tabla32[Precio UF],"Error - agregue producto a Productos",0,1)</f>
        <v>0</v>
      </c>
      <c r="M28" s="43">
        <f>_xlfn.XLOOKUP(Tabla27[[#This Row],[Nombre producto]], Tabla32[Nombre producto], Tabla32[Precio Euros],"Error - agregue producto a Productos",0,1)</f>
        <v>0</v>
      </c>
      <c r="N28" s="44">
        <f>_xlfn.XLOOKUP(Tabla27[[#This Row],[Nombre producto]],Productos!$C:$C,Productos!N:N, "Error",0,1)</f>
        <v>0</v>
      </c>
      <c r="O28" s="45">
        <f>_xlfn.XLOOKUP(Tabla27[[#This Row],[Nombre producto]],Productos!$C:$C,Productos!O:O, "Error",0,1)</f>
        <v>0</v>
      </c>
      <c r="P28" s="67" t="str">
        <f>_xlfn.XLOOKUP(Tabla27[[#This Row],[Tipo de venta]], Tabla2329[Tipo de venta], Tabla2329[Moneda final], "Error - Seleccionar Tipo de Venta", 0,1)</f>
        <v>Error - Seleccionar Tipo de Venta</v>
      </c>
      <c r="Q28" s="67">
        <f>IF(Tabla27[[#This Row],[Moneda producto]]="USD",'Datos generales'!$G$3,IF(Tabla27[[#This Row],[Moneda producto]]="EUR",'Datos generales'!$G$3,0))</f>
        <v>0</v>
      </c>
      <c r="R28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29" spans="2:18" ht="43.2" x14ac:dyDescent="0.3">
      <c r="B29" s="30"/>
      <c r="C29" s="22"/>
      <c r="D29" s="24"/>
      <c r="E29" s="25"/>
      <c r="F29" s="33">
        <f>_xlfn.XLOOKUP(Tabla27[[#This Row],[Nombre producto]],Productos!C:C,Productos!D:D, "Error",0,1)</f>
        <v>0</v>
      </c>
      <c r="G29" s="22">
        <f>_xlfn.XLOOKUP(Tabla27[[#This Row],[Nombre producto]], Tabla32[Nombre producto], Tabla32[Tipo de moneda],"Error - agregue producto a Productos",0,1)</f>
        <v>0</v>
      </c>
      <c r="H29" s="23">
        <f>_xlfn.XLOOKUP(Tabla27[[#This Row],[Nombre producto]], Tabla32[Nombre producto], Tabla32[Costo producto],"Error - agregue producto a Productos",0,1)</f>
        <v>0</v>
      </c>
      <c r="I29" s="42"/>
      <c r="J29" s="42">
        <f>_xlfn.XLOOKUP(Tabla27[[#This Row],[Nombre producto]], Tabla32[Nombre producto], Tabla32[Precio USD],"Error - agregue producto a Productos",0,1)</f>
        <v>0</v>
      </c>
      <c r="K29" s="42">
        <f>_xlfn.XLOOKUP(Tabla27[[#This Row],[Nombre producto]], Tabla32[Nombre producto], Tabla32[Precio CLP],"Error - agregue producto a Productos",0,1)</f>
        <v>0</v>
      </c>
      <c r="L29" s="43">
        <f>_xlfn.XLOOKUP(Tabla27[[#This Row],[Nombre producto]], Tabla32[Nombre producto], Tabla32[Precio UF],"Error - agregue producto a Productos",0,1)</f>
        <v>0</v>
      </c>
      <c r="M29" s="43">
        <f>_xlfn.XLOOKUP(Tabla27[[#This Row],[Nombre producto]], Tabla32[Nombre producto], Tabla32[Precio Euros],"Error - agregue producto a Productos",0,1)</f>
        <v>0</v>
      </c>
      <c r="N29" s="44">
        <f>_xlfn.XLOOKUP(Tabla27[[#This Row],[Nombre producto]],Productos!$C:$C,Productos!N:N, "Error",0,1)</f>
        <v>0</v>
      </c>
      <c r="O29" s="45">
        <f>_xlfn.XLOOKUP(Tabla27[[#This Row],[Nombre producto]],Productos!$C:$C,Productos!O:O, "Error",0,1)</f>
        <v>0</v>
      </c>
      <c r="P29" s="67" t="str">
        <f>_xlfn.XLOOKUP(Tabla27[[#This Row],[Tipo de venta]], Tabla2329[Tipo de venta], Tabla2329[Moneda final], "Error - Seleccionar Tipo de Venta", 0,1)</f>
        <v>Error - Seleccionar Tipo de Venta</v>
      </c>
      <c r="Q29" s="67">
        <f>IF(Tabla27[[#This Row],[Moneda producto]]="USD",'Datos generales'!$G$3,IF(Tabla27[[#This Row],[Moneda producto]]="EUR",'Datos generales'!$G$3,0))</f>
        <v>0</v>
      </c>
      <c r="R29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30" spans="2:18" ht="43.2" x14ac:dyDescent="0.3">
      <c r="B30" s="30"/>
      <c r="C30" s="22"/>
      <c r="D30" s="24"/>
      <c r="E30" s="25"/>
      <c r="F30" s="33">
        <f>_xlfn.XLOOKUP(Tabla27[[#This Row],[Nombre producto]],Productos!C:C,Productos!D:D, "Error",0,1)</f>
        <v>0</v>
      </c>
      <c r="G30" s="22">
        <f>_xlfn.XLOOKUP(Tabla27[[#This Row],[Nombre producto]], Tabla32[Nombre producto], Tabla32[Tipo de moneda],"Error - agregue producto a Productos",0,1)</f>
        <v>0</v>
      </c>
      <c r="H30" s="23">
        <f>_xlfn.XLOOKUP(Tabla27[[#This Row],[Nombre producto]], Tabla32[Nombre producto], Tabla32[Costo producto],"Error - agregue producto a Productos",0,1)</f>
        <v>0</v>
      </c>
      <c r="I30" s="42"/>
      <c r="J30" s="42">
        <f>_xlfn.XLOOKUP(Tabla27[[#This Row],[Nombre producto]], Tabla32[Nombre producto], Tabla32[Precio USD],"Error - agregue producto a Productos",0,1)</f>
        <v>0</v>
      </c>
      <c r="K30" s="42">
        <f>_xlfn.XLOOKUP(Tabla27[[#This Row],[Nombre producto]], Tabla32[Nombre producto], Tabla32[Precio CLP],"Error - agregue producto a Productos",0,1)</f>
        <v>0</v>
      </c>
      <c r="L30" s="43">
        <f>_xlfn.XLOOKUP(Tabla27[[#This Row],[Nombre producto]], Tabla32[Nombre producto], Tabla32[Precio UF],"Error - agregue producto a Productos",0,1)</f>
        <v>0</v>
      </c>
      <c r="M30" s="43">
        <f>_xlfn.XLOOKUP(Tabla27[[#This Row],[Nombre producto]], Tabla32[Nombre producto], Tabla32[Precio Euros],"Error - agregue producto a Productos",0,1)</f>
        <v>0</v>
      </c>
      <c r="N30" s="44">
        <f>_xlfn.XLOOKUP(Tabla27[[#This Row],[Nombre producto]],Productos!$C:$C,Productos!N:N, "Error",0,1)</f>
        <v>0</v>
      </c>
      <c r="O30" s="45">
        <f>_xlfn.XLOOKUP(Tabla27[[#This Row],[Nombre producto]],Productos!$C:$C,Productos!O:O, "Error",0,1)</f>
        <v>0</v>
      </c>
      <c r="P30" s="67" t="str">
        <f>_xlfn.XLOOKUP(Tabla27[[#This Row],[Tipo de venta]], Tabla2329[Tipo de venta], Tabla2329[Moneda final], "Error - Seleccionar Tipo de Venta", 0,1)</f>
        <v>Error - Seleccionar Tipo de Venta</v>
      </c>
      <c r="Q30" s="67">
        <f>IF(Tabla27[[#This Row],[Moneda producto]]="USD",'Datos generales'!$G$3,IF(Tabla27[[#This Row],[Moneda producto]]="EUR",'Datos generales'!$G$3,0))</f>
        <v>0</v>
      </c>
      <c r="R30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31" spans="2:18" ht="43.2" x14ac:dyDescent="0.3">
      <c r="B31" s="30"/>
      <c r="C31" s="22"/>
      <c r="D31" s="24"/>
      <c r="E31" s="25"/>
      <c r="F31" s="33">
        <f>_xlfn.XLOOKUP(Tabla27[[#This Row],[Nombre producto]],Productos!C:C,Productos!D:D, "Error",0,1)</f>
        <v>0</v>
      </c>
      <c r="G31" s="22">
        <f>_xlfn.XLOOKUP(Tabla27[[#This Row],[Nombre producto]], Tabla32[Nombre producto], Tabla32[Tipo de moneda],"Error - agregue producto a Productos",0,1)</f>
        <v>0</v>
      </c>
      <c r="H31" s="23">
        <f>_xlfn.XLOOKUP(Tabla27[[#This Row],[Nombre producto]], Tabla32[Nombre producto], Tabla32[Costo producto],"Error - agregue producto a Productos",0,1)</f>
        <v>0</v>
      </c>
      <c r="I31" s="42"/>
      <c r="J31" s="42">
        <f>_xlfn.XLOOKUP(Tabla27[[#This Row],[Nombre producto]], Tabla32[Nombre producto], Tabla32[Precio USD],"Error - agregue producto a Productos",0,1)</f>
        <v>0</v>
      </c>
      <c r="K31" s="42">
        <f>_xlfn.XLOOKUP(Tabla27[[#This Row],[Nombre producto]], Tabla32[Nombre producto], Tabla32[Precio CLP],"Error - agregue producto a Productos",0,1)</f>
        <v>0</v>
      </c>
      <c r="L31" s="43">
        <f>_xlfn.XLOOKUP(Tabla27[[#This Row],[Nombre producto]], Tabla32[Nombre producto], Tabla32[Precio UF],"Error - agregue producto a Productos",0,1)</f>
        <v>0</v>
      </c>
      <c r="M31" s="43">
        <f>_xlfn.XLOOKUP(Tabla27[[#This Row],[Nombre producto]], Tabla32[Nombre producto], Tabla32[Precio Euros],"Error - agregue producto a Productos",0,1)</f>
        <v>0</v>
      </c>
      <c r="N31" s="44">
        <f>_xlfn.XLOOKUP(Tabla27[[#This Row],[Nombre producto]],Productos!$C:$C,Productos!N:N, "Error",0,1)</f>
        <v>0</v>
      </c>
      <c r="O31" s="45">
        <f>_xlfn.XLOOKUP(Tabla27[[#This Row],[Nombre producto]],Productos!$C:$C,Productos!O:O, "Error",0,1)</f>
        <v>0</v>
      </c>
      <c r="P31" s="67" t="str">
        <f>_xlfn.XLOOKUP(Tabla27[[#This Row],[Tipo de venta]], Tabla2329[Tipo de venta], Tabla2329[Moneda final], "Error - Seleccionar Tipo de Venta", 0,1)</f>
        <v>Error - Seleccionar Tipo de Venta</v>
      </c>
      <c r="Q31" s="67">
        <f>IF(Tabla27[[#This Row],[Moneda producto]]="USD",'Datos generales'!$G$3,IF(Tabla27[[#This Row],[Moneda producto]]="EUR",'Datos generales'!$G$3,0))</f>
        <v>0</v>
      </c>
      <c r="R31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  <row r="32" spans="2:18" ht="43.2" x14ac:dyDescent="0.3">
      <c r="B32" s="30"/>
      <c r="C32" s="22"/>
      <c r="D32" s="24"/>
      <c r="E32" s="50"/>
      <c r="F32" s="33">
        <f>_xlfn.XLOOKUP(Tabla27[[#This Row],[Nombre producto]],Productos!C:C,Productos!D:D, "Error",0,1)</f>
        <v>0</v>
      </c>
      <c r="G32" s="22">
        <f>_xlfn.XLOOKUP(Tabla27[[#This Row],[Nombre producto]], Tabla32[Nombre producto], Tabla32[Tipo de moneda],"Error - agregue producto a Productos",0,1)</f>
        <v>0</v>
      </c>
      <c r="H32" s="23">
        <f>_xlfn.XLOOKUP(Tabla27[[#This Row],[Nombre producto]], Tabla32[Nombre producto], Tabla32[Costo producto],"Error - agregue producto a Productos",0,1)</f>
        <v>0</v>
      </c>
      <c r="I32" s="42"/>
      <c r="J32" s="42">
        <f>_xlfn.XLOOKUP(Tabla27[[#This Row],[Nombre producto]], Tabla32[Nombre producto], Tabla32[Precio USD],"Error - agregue producto a Productos",0,1)</f>
        <v>0</v>
      </c>
      <c r="K32" s="42">
        <f>_xlfn.XLOOKUP(Tabla27[[#This Row],[Nombre producto]], Tabla32[Nombre producto], Tabla32[Precio CLP],"Error - agregue producto a Productos",0,1)</f>
        <v>0</v>
      </c>
      <c r="L32" s="43">
        <f>_xlfn.XLOOKUP(Tabla27[[#This Row],[Nombre producto]], Tabla32[Nombre producto], Tabla32[Precio UF],"Error - agregue producto a Productos",0,1)</f>
        <v>0</v>
      </c>
      <c r="M32" s="43">
        <f>_xlfn.XLOOKUP(Tabla27[[#This Row],[Nombre producto]], Tabla32[Nombre producto], Tabla32[Precio Euros],"Error - agregue producto a Productos",0,1)</f>
        <v>0</v>
      </c>
      <c r="N32" s="44">
        <f>_xlfn.XLOOKUP(Tabla27[[#This Row],[Nombre producto]],Productos!$C:$C,Productos!N:N, "Error",0,1)</f>
        <v>0</v>
      </c>
      <c r="O32" s="45">
        <f>_xlfn.XLOOKUP(Tabla27[[#This Row],[Nombre producto]],Productos!$C:$C,Productos!O:O, "Error",0,1)</f>
        <v>0</v>
      </c>
      <c r="P32" s="67" t="str">
        <f>_xlfn.XLOOKUP(Tabla27[[#This Row],[Tipo de venta]], Tabla2329[Tipo de venta], Tabla2329[Moneda final], "Error - Seleccionar Tipo de Venta", 0,1)</f>
        <v>Error - Seleccionar Tipo de Venta</v>
      </c>
      <c r="Q32" s="67">
        <f>IF(Tabla27[[#This Row],[Moneda producto]]="USD",'Datos generales'!$G$3,IF(Tabla27[[#This Row],[Moneda producto]]="EUR",'Datos generales'!$G$3,0))</f>
        <v>0</v>
      </c>
      <c r="R32" s="69">
        <f>IF(Tabla27[[#This Row],[Moneda Final]]="USD",Tabla27[[#This Row],[Unidades]]*Tabla27[[#This Row],[Precio USD/unitario]], IF(Tabla27[[#This Row],[Moneda Final]]="CLP",Tabla27[[#This Row],[Unidades]]*Tabla27[[#This Row],[Precio CLP/Unitario]],Tabla27[[#This Row],[Unidades]]*Tabla27[[#This Row],[Precio UF/Unitario]]))*(1+Tabla27[[#This Row],[Tarifa Cambio de divisa]])</f>
        <v>0</v>
      </c>
    </row>
  </sheetData>
  <mergeCells count="1">
    <mergeCell ref="E2:P3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9A05454-E1DD-44D5-9514-2122E6F74387}">
          <x14:formula1>
            <xm:f>Productos!$B:$B</xm:f>
          </x14:formula1>
          <xm:sqref>D7:D32</xm:sqref>
        </x14:dataValidation>
        <x14:dataValidation type="list" allowBlank="1" showInputMessage="1" showErrorMessage="1" xr:uid="{7D62D9C6-F9EB-4F4D-B453-168CE2B8B269}">
          <x14:formula1>
            <xm:f>'Datos proyecto'!$I$9:$I$531</xm:f>
          </x14:formula1>
          <xm:sqref>B7:B32</xm:sqref>
        </x14:dataValidation>
        <x14:dataValidation type="list" allowBlank="1" showInputMessage="1" showErrorMessage="1" xr:uid="{AAB75971-646D-4890-BC7D-87C5374A7A5E}">
          <x14:formula1>
            <xm:f>'Datos proyecto'!$F$9:$F$1048576</xm:f>
          </x14:formula1>
          <xm:sqref>C7:C1048576</xm:sqref>
        </x14:dataValidation>
        <x14:dataValidation type="list" allowBlank="1" showInputMessage="1" showErrorMessage="1" xr:uid="{169857F6-556C-45F6-BEA0-70083EBE209E}">
          <x14:formula1>
            <xm:f>Productos!$C:$C</xm:f>
          </x14:formula1>
          <xm:sqref>E7:E32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A4AD-7A94-4514-8B00-3F75C5A38F9C}">
  <sheetPr codeName="Hoja8">
    <tabColor rgb="FF00B050"/>
  </sheetPr>
  <dimension ref="B2:R52"/>
  <sheetViews>
    <sheetView zoomScale="85" zoomScaleNormal="85" workbookViewId="0">
      <selection activeCell="S15" sqref="S15"/>
    </sheetView>
  </sheetViews>
  <sheetFormatPr baseColWidth="10" defaultColWidth="11.44140625" defaultRowHeight="14.4" x14ac:dyDescent="0.3"/>
  <cols>
    <col min="2" max="2" width="14.33203125" customWidth="1"/>
    <col min="3" max="3" width="23.6640625" customWidth="1"/>
    <col min="4" max="4" width="35.109375" customWidth="1"/>
    <col min="5" max="5" width="10.44140625" customWidth="1"/>
    <col min="6" max="6" width="18.33203125" customWidth="1"/>
    <col min="7" max="7" width="16.88671875" bestFit="1" customWidth="1"/>
    <col min="8" max="8" width="17.109375" customWidth="1"/>
    <col min="9" max="9" width="12" customWidth="1"/>
    <col min="10" max="10" width="22.33203125" bestFit="1" customWidth="1"/>
    <col min="11" max="11" width="17.5546875" customWidth="1"/>
    <col min="12" max="12" width="16.109375" customWidth="1"/>
    <col min="13" max="13" width="14.88671875" customWidth="1"/>
    <col min="14" max="14" width="18.88671875" bestFit="1" customWidth="1"/>
    <col min="15" max="15" width="17.88671875" customWidth="1"/>
    <col min="16" max="16" width="23" bestFit="1" customWidth="1"/>
    <col min="17" max="17" width="27.44140625" bestFit="1" customWidth="1"/>
    <col min="18" max="18" width="30.21875" customWidth="1"/>
    <col min="19" max="19" width="19.44140625" bestFit="1" customWidth="1"/>
  </cols>
  <sheetData>
    <row r="2" spans="2:18" x14ac:dyDescent="0.3">
      <c r="E2" s="137" t="s">
        <v>146</v>
      </c>
      <c r="F2" s="137"/>
      <c r="G2" s="137"/>
      <c r="H2" s="137"/>
      <c r="I2" s="137"/>
      <c r="J2" s="137"/>
      <c r="K2" s="137"/>
    </row>
    <row r="3" spans="2:18" x14ac:dyDescent="0.3">
      <c r="E3" s="137"/>
      <c r="F3" s="137"/>
      <c r="G3" s="137"/>
      <c r="H3" s="137"/>
      <c r="I3" s="137"/>
      <c r="J3" s="137"/>
      <c r="K3" s="137"/>
    </row>
    <row r="4" spans="2:18" x14ac:dyDescent="0.3">
      <c r="E4" s="101" t="s">
        <v>148</v>
      </c>
      <c r="F4" s="138" t="s">
        <v>147</v>
      </c>
      <c r="G4" s="139"/>
      <c r="H4" s="139"/>
      <c r="I4" s="139"/>
      <c r="J4" s="139"/>
      <c r="K4" s="140"/>
    </row>
    <row r="6" spans="2:18" ht="28.8" x14ac:dyDescent="0.3">
      <c r="B6" s="21" t="s">
        <v>68</v>
      </c>
      <c r="C6" s="21" t="s">
        <v>69</v>
      </c>
      <c r="D6" s="21" t="s">
        <v>36</v>
      </c>
      <c r="E6" s="31" t="s">
        <v>76</v>
      </c>
      <c r="F6" s="21" t="s">
        <v>77</v>
      </c>
      <c r="G6" s="21" t="s">
        <v>78</v>
      </c>
      <c r="H6" s="31" t="s">
        <v>79</v>
      </c>
      <c r="I6" s="21" t="s">
        <v>22</v>
      </c>
      <c r="J6" s="21" t="s">
        <v>80</v>
      </c>
      <c r="K6" s="21" t="s">
        <v>81</v>
      </c>
      <c r="L6" s="21" t="s">
        <v>63</v>
      </c>
      <c r="M6" s="21" t="s">
        <v>82</v>
      </c>
      <c r="N6" s="21" t="s">
        <v>145</v>
      </c>
      <c r="O6" s="21" t="s">
        <v>83</v>
      </c>
      <c r="P6" s="21" t="s">
        <v>84</v>
      </c>
      <c r="Q6" s="21" t="s">
        <v>85</v>
      </c>
      <c r="R6" s="21" t="s">
        <v>71</v>
      </c>
    </row>
    <row r="7" spans="2:18" ht="28.8" x14ac:dyDescent="0.3">
      <c r="B7" s="26" t="s">
        <v>73</v>
      </c>
      <c r="C7" s="25" t="s">
        <v>53</v>
      </c>
      <c r="D7" s="26" t="s">
        <v>86</v>
      </c>
      <c r="E7" s="26" t="s">
        <v>6</v>
      </c>
      <c r="F7" s="62" t="s">
        <v>17</v>
      </c>
      <c r="G7" s="57">
        <v>600</v>
      </c>
      <c r="H7" s="57">
        <f>IF(Tabla32[[#This Row],[CIF/FOB/Nacional]]="Nacional", Tabla32[[#This Row],[Costo producto]],IF(Tabla32[[#This Row],[CIF/FOB/Nacional]]="CIF", Tabla32[[#This Row],[Costo producto]], Tabla32[[#This Row],[Costo producto]]*1.3))</f>
        <v>600</v>
      </c>
      <c r="I7" s="58">
        <f>_xlfn.XLOOKUP(Tabla32[[#This Row],[Agrupación]], 'Datos generales'!$S$8:$S$1048576, 'Datos generales'!$T$8:$T$1048576,"Margen en agrupación no encontrado",0, 1)</f>
        <v>0</v>
      </c>
      <c r="J7" s="57">
        <f t="shared" ref="J7:J16" si="0">H7/(1-I7)</f>
        <v>600</v>
      </c>
      <c r="K7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570000</v>
      </c>
      <c r="L7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14.840194536725578</v>
      </c>
      <c r="M7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600</v>
      </c>
      <c r="N7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556.09756097560978</v>
      </c>
      <c r="O7" s="27" t="s">
        <v>87</v>
      </c>
      <c r="P7" s="25" t="s">
        <v>10</v>
      </c>
      <c r="Q7" s="28" t="s">
        <v>88</v>
      </c>
      <c r="R7" s="28" t="s">
        <v>89</v>
      </c>
    </row>
    <row r="8" spans="2:18" ht="28.8" x14ac:dyDescent="0.3">
      <c r="B8" s="26" t="s">
        <v>74</v>
      </c>
      <c r="C8" s="25" t="s">
        <v>75</v>
      </c>
      <c r="D8" s="26" t="s">
        <v>90</v>
      </c>
      <c r="E8" s="26" t="s">
        <v>6</v>
      </c>
      <c r="F8" s="62" t="s">
        <v>24</v>
      </c>
      <c r="G8" s="57">
        <v>118</v>
      </c>
      <c r="H8" s="57">
        <f>IF(Tabla32[[#This Row],[CIF/FOB/Nacional]]="Nacional", Tabla32[[#This Row],[Costo producto]],IF(Tabla32[[#This Row],[CIF/FOB/Nacional]]="CIF", Tabla32[[#This Row],[Costo producto]], Tabla32[[#This Row],[Costo producto]]*1.3))</f>
        <v>153.4</v>
      </c>
      <c r="I8" s="58">
        <f>_xlfn.XLOOKUP(Tabla32[[#This Row],[Agrupación]], 'Datos generales'!$S$8:$S$1048576, 'Datos generales'!$T$8:$T$1048576,"Margen en agrupación no encontrado",0, 1)</f>
        <v>0.5</v>
      </c>
      <c r="J8" s="57">
        <f t="shared" si="0"/>
        <v>306.8</v>
      </c>
      <c r="K8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291460</v>
      </c>
      <c r="L8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7.5882861397790116</v>
      </c>
      <c r="M8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306.8</v>
      </c>
      <c r="N8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284.35121951219514</v>
      </c>
      <c r="O8" s="27" t="s">
        <v>91</v>
      </c>
      <c r="P8" s="25" t="s">
        <v>92</v>
      </c>
      <c r="Q8" s="28" t="s">
        <v>93</v>
      </c>
      <c r="R8" s="28" t="s">
        <v>94</v>
      </c>
    </row>
    <row r="9" spans="2:18" ht="28.8" x14ac:dyDescent="0.3">
      <c r="B9" s="22" t="s">
        <v>74</v>
      </c>
      <c r="C9" s="50" t="s">
        <v>95</v>
      </c>
      <c r="D9" s="22" t="s">
        <v>96</v>
      </c>
      <c r="E9" s="22" t="s">
        <v>6</v>
      </c>
      <c r="F9" s="33" t="s">
        <v>24</v>
      </c>
      <c r="G9" s="59">
        <v>93</v>
      </c>
      <c r="H9" s="59">
        <f>IF(Tabla32[[#This Row],[CIF/FOB/Nacional]]="Nacional", Tabla32[[#This Row],[Costo producto]],IF(Tabla32[[#This Row],[CIF/FOB/Nacional]]="CIF", Tabla32[[#This Row],[Costo producto]], Tabla32[[#This Row],[Costo producto]]*1.3))</f>
        <v>120.9</v>
      </c>
      <c r="I9" s="58">
        <f>_xlfn.XLOOKUP(Tabla32[[#This Row],[Agrupación]], 'Datos generales'!$S$8:$S$1048576, 'Datos generales'!$T$8:$T$1048576,"Margen en agrupación no encontrado",0, 1)</f>
        <v>0.5</v>
      </c>
      <c r="J9" s="59">
        <f t="shared" si="0"/>
        <v>241.8</v>
      </c>
      <c r="K9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229710</v>
      </c>
      <c r="L9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5.9805983983004074</v>
      </c>
      <c r="M9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241.8</v>
      </c>
      <c r="N9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224.10731707317072</v>
      </c>
      <c r="O9" s="27" t="s">
        <v>91</v>
      </c>
      <c r="P9" s="25" t="s">
        <v>92</v>
      </c>
      <c r="Q9" s="28" t="s">
        <v>93</v>
      </c>
      <c r="R9" s="28" t="s">
        <v>94</v>
      </c>
    </row>
    <row r="10" spans="2:18" ht="28.8" x14ac:dyDescent="0.3">
      <c r="B10" s="22" t="s">
        <v>74</v>
      </c>
      <c r="C10" s="50" t="s">
        <v>97</v>
      </c>
      <c r="D10" s="22" t="s">
        <v>98</v>
      </c>
      <c r="E10" s="22" t="s">
        <v>6</v>
      </c>
      <c r="F10" s="33" t="s">
        <v>24</v>
      </c>
      <c r="G10" s="59">
        <v>490</v>
      </c>
      <c r="H10" s="59">
        <f>IF(Tabla32[[#This Row],[CIF/FOB/Nacional]]="Nacional", Tabla32[[#This Row],[Costo producto]],IF(Tabla32[[#This Row],[CIF/FOB/Nacional]]="CIF", Tabla32[[#This Row],[Costo producto]], Tabla32[[#This Row],[Costo producto]]*1.3))</f>
        <v>637</v>
      </c>
      <c r="I10" s="58">
        <f>_xlfn.XLOOKUP(Tabla32[[#This Row],[Agrupación]], 'Datos generales'!$S$8:$S$1048576, 'Datos generales'!$T$8:$T$1048576,"Margen en agrupación no encontrado",0, 1)</f>
        <v>0.5</v>
      </c>
      <c r="J10" s="59">
        <f t="shared" si="0"/>
        <v>1274</v>
      </c>
      <c r="K10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1210300</v>
      </c>
      <c r="L10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31.510679732980641</v>
      </c>
      <c r="M10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1274</v>
      </c>
      <c r="N10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1180.780487804878</v>
      </c>
      <c r="O10" s="27" t="s">
        <v>91</v>
      </c>
      <c r="P10" s="25" t="s">
        <v>92</v>
      </c>
      <c r="Q10" s="28" t="s">
        <v>93</v>
      </c>
      <c r="R10" s="28" t="s">
        <v>94</v>
      </c>
    </row>
    <row r="11" spans="2:18" ht="28.8" x14ac:dyDescent="0.3">
      <c r="B11" s="22" t="s">
        <v>74</v>
      </c>
      <c r="C11" s="33" t="s">
        <v>99</v>
      </c>
      <c r="D11" s="22" t="s">
        <v>100</v>
      </c>
      <c r="E11" s="22" t="s">
        <v>6</v>
      </c>
      <c r="F11" s="33" t="s">
        <v>24</v>
      </c>
      <c r="G11" s="59">
        <v>650</v>
      </c>
      <c r="H11" s="59">
        <f>IF(Tabla32[[#This Row],[CIF/FOB/Nacional]]="Nacional", Tabla32[[#This Row],[Costo producto]],IF(Tabla32[[#This Row],[CIF/FOB/Nacional]]="CIF", Tabla32[[#This Row],[Costo producto]], Tabla32[[#This Row],[Costo producto]]*1.3))</f>
        <v>845</v>
      </c>
      <c r="I11" s="58">
        <f>_xlfn.XLOOKUP(Tabla32[[#This Row],[Agrupación]], 'Datos generales'!$S$8:$S$1048576, 'Datos generales'!$T$8:$T$1048576,"Margen en agrupación no encontrado",0, 1)</f>
        <v>0.5</v>
      </c>
      <c r="J11" s="59">
        <f t="shared" si="0"/>
        <v>1690</v>
      </c>
      <c r="K11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1605500</v>
      </c>
      <c r="L11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41.799881278443706</v>
      </c>
      <c r="M11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1690</v>
      </c>
      <c r="N11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1566.3414634146341</v>
      </c>
      <c r="O11" s="27" t="s">
        <v>91</v>
      </c>
      <c r="P11" s="25" t="s">
        <v>92</v>
      </c>
      <c r="Q11" s="28" t="s">
        <v>93</v>
      </c>
      <c r="R11" s="28" t="s">
        <v>94</v>
      </c>
    </row>
    <row r="12" spans="2:18" x14ac:dyDescent="0.3">
      <c r="B12" s="22" t="s">
        <v>74</v>
      </c>
      <c r="C12" s="50" t="s">
        <v>101</v>
      </c>
      <c r="D12" s="22" t="s">
        <v>102</v>
      </c>
      <c r="E12" s="22" t="s">
        <v>6</v>
      </c>
      <c r="F12" s="33" t="s">
        <v>24</v>
      </c>
      <c r="G12" s="59">
        <v>850</v>
      </c>
      <c r="H12" s="59">
        <f>IF(Tabla32[[#This Row],[CIF/FOB/Nacional]]="Nacional", Tabla32[[#This Row],[Costo producto]],IF(Tabla32[[#This Row],[CIF/FOB/Nacional]]="CIF", Tabla32[[#This Row],[Costo producto]], Tabla32[[#This Row],[Costo producto]]*1.3))</f>
        <v>1105</v>
      </c>
      <c r="I12" s="58">
        <f>_xlfn.XLOOKUP(Tabla32[[#This Row],[Agrupación]], 'Datos generales'!$S$8:$S$1048576, 'Datos generales'!$T$8:$T$1048576,"Margen en agrupación no encontrado",0, 1)</f>
        <v>0.5</v>
      </c>
      <c r="J12" s="59">
        <f t="shared" si="0"/>
        <v>2210</v>
      </c>
      <c r="K12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2099500</v>
      </c>
      <c r="L12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54.66138321027254</v>
      </c>
      <c r="M12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2210</v>
      </c>
      <c r="N12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2048.2926829268295</v>
      </c>
      <c r="O12" s="27" t="s">
        <v>91</v>
      </c>
      <c r="P12" s="25" t="s">
        <v>92</v>
      </c>
      <c r="Q12" s="28" t="s">
        <v>93</v>
      </c>
      <c r="R12" s="28" t="s">
        <v>94</v>
      </c>
    </row>
    <row r="13" spans="2:18" x14ac:dyDescent="0.3">
      <c r="B13" s="22" t="s">
        <v>74</v>
      </c>
      <c r="C13" s="33" t="s">
        <v>103</v>
      </c>
      <c r="D13" s="22" t="s">
        <v>104</v>
      </c>
      <c r="E13" s="22" t="s">
        <v>6</v>
      </c>
      <c r="F13" s="33" t="s">
        <v>24</v>
      </c>
      <c r="G13" s="59">
        <v>520</v>
      </c>
      <c r="H13" s="59">
        <f>IF(Tabla32[[#This Row],[CIF/FOB/Nacional]]="Nacional", Tabla32[[#This Row],[Costo producto]],IF(Tabla32[[#This Row],[CIF/FOB/Nacional]]="CIF", Tabla32[[#This Row],[Costo producto]], Tabla32[[#This Row],[Costo producto]]*1.3))</f>
        <v>676</v>
      </c>
      <c r="I13" s="58">
        <f>_xlfn.XLOOKUP(Tabla32[[#This Row],[Agrupación]], 'Datos generales'!$S$8:$S$1048576, 'Datos generales'!$T$8:$T$1048576,"Margen en agrupación no encontrado",0, 1)</f>
        <v>0.5</v>
      </c>
      <c r="J13" s="59">
        <f t="shared" si="0"/>
        <v>1352</v>
      </c>
      <c r="K13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1284400</v>
      </c>
      <c r="L13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33.439905022754971</v>
      </c>
      <c r="M13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1352</v>
      </c>
      <c r="N13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1253.0731707317073</v>
      </c>
      <c r="O13" s="27" t="s">
        <v>91</v>
      </c>
      <c r="P13" s="25" t="s">
        <v>92</v>
      </c>
      <c r="Q13" s="28" t="s">
        <v>93</v>
      </c>
      <c r="R13" s="28" t="s">
        <v>94</v>
      </c>
    </row>
    <row r="14" spans="2:18" x14ac:dyDescent="0.3">
      <c r="B14" s="22" t="s">
        <v>74</v>
      </c>
      <c r="C14" s="50" t="s">
        <v>105</v>
      </c>
      <c r="D14" s="22" t="s">
        <v>106</v>
      </c>
      <c r="E14" s="22" t="s">
        <v>6</v>
      </c>
      <c r="F14" s="33" t="s">
        <v>24</v>
      </c>
      <c r="G14" s="59">
        <v>652</v>
      </c>
      <c r="H14" s="59">
        <f>IF(Tabla32[[#This Row],[CIF/FOB/Nacional]]="Nacional", Tabla32[[#This Row],[Costo producto]],IF(Tabla32[[#This Row],[CIF/FOB/Nacional]]="CIF", Tabla32[[#This Row],[Costo producto]], Tabla32[[#This Row],[Costo producto]]*1.3))</f>
        <v>847.6</v>
      </c>
      <c r="I14" s="58">
        <f>_xlfn.XLOOKUP(Tabla32[[#This Row],[Agrupación]], 'Datos generales'!$S$8:$S$1048576, 'Datos generales'!$T$8:$T$1048576,"Margen en agrupación no encontrado",0, 1)</f>
        <v>0.5</v>
      </c>
      <c r="J14" s="59">
        <f t="shared" si="0"/>
        <v>1695.2</v>
      </c>
      <c r="K14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1610440</v>
      </c>
      <c r="L14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41.928496297761995</v>
      </c>
      <c r="M14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1695.2</v>
      </c>
      <c r="N14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1571.1609756097562</v>
      </c>
      <c r="O14" s="27" t="s">
        <v>91</v>
      </c>
      <c r="P14" s="25" t="s">
        <v>92</v>
      </c>
      <c r="Q14" s="28" t="s">
        <v>93</v>
      </c>
      <c r="R14" s="28" t="s">
        <v>94</v>
      </c>
    </row>
    <row r="15" spans="2:18" ht="100.8" x14ac:dyDescent="0.3">
      <c r="B15" s="22" t="s">
        <v>74</v>
      </c>
      <c r="C15" s="50" t="s">
        <v>107</v>
      </c>
      <c r="D15" s="22" t="s">
        <v>108</v>
      </c>
      <c r="E15" s="22" t="s">
        <v>6</v>
      </c>
      <c r="F15" s="33" t="s">
        <v>24</v>
      </c>
      <c r="G15" s="59">
        <v>368.8</v>
      </c>
      <c r="H15" s="59">
        <f>IF(Tabla32[[#This Row],[CIF/FOB/Nacional]]="Nacional", Tabla32[[#This Row],[Costo producto]],IF(Tabla32[[#This Row],[CIF/FOB/Nacional]]="CIF", Tabla32[[#This Row],[Costo producto]], Tabla32[[#This Row],[Costo producto]]*1.3))</f>
        <v>479.44000000000005</v>
      </c>
      <c r="I15" s="58">
        <f>_xlfn.XLOOKUP(Tabla32[[#This Row],[Agrupación]], 'Datos generales'!$S$8:$S$1048576, 'Datos generales'!$T$8:$T$1048576,"Margen en agrupación no encontrado",0, 1)</f>
        <v>0.5</v>
      </c>
      <c r="J15" s="59">
        <f t="shared" si="0"/>
        <v>958.88000000000011</v>
      </c>
      <c r="K15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910936.00000000012</v>
      </c>
      <c r="L15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23.716609562292373</v>
      </c>
      <c r="M15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958.88000000000011</v>
      </c>
      <c r="N15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888.71804878048795</v>
      </c>
      <c r="O15" s="23"/>
      <c r="P15" s="50"/>
      <c r="Q15" s="60"/>
      <c r="R15" s="60"/>
    </row>
    <row r="16" spans="2:18" x14ac:dyDescent="0.3">
      <c r="B16" s="22" t="s">
        <v>109</v>
      </c>
      <c r="C16" s="50" t="s">
        <v>128</v>
      </c>
      <c r="D16" s="22" t="s">
        <v>110</v>
      </c>
      <c r="E16" s="22" t="s">
        <v>1</v>
      </c>
      <c r="F16" s="33" t="s">
        <v>27</v>
      </c>
      <c r="G16" s="59">
        <v>200000</v>
      </c>
      <c r="H16" s="59">
        <f>IF(Tabla32[[#This Row],[CIF/FOB/Nacional]]="Nacional", Tabla32[[#This Row],[Costo producto]],IF(Tabla32[[#This Row],[CIF/FOB/Nacional]]="CIF", Tabla32[[#This Row],[Costo producto]], Tabla32[[#This Row],[Costo producto]]*1.3))</f>
        <v>200000</v>
      </c>
      <c r="I16" s="58">
        <f>_xlfn.XLOOKUP(Tabla32[[#This Row],[Agrupación]], 'Datos generales'!$S$8:$S$1048576, 'Datos generales'!$T$8:$T$1048576,"Margen en agrupación no encontrado",0, 1)</f>
        <v>0.6</v>
      </c>
      <c r="J16" s="59">
        <f t="shared" si="0"/>
        <v>500000</v>
      </c>
      <c r="K16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500000</v>
      </c>
      <c r="L16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13.01771450589963</v>
      </c>
      <c r="M16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500000</v>
      </c>
      <c r="N16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487.80487804878049</v>
      </c>
      <c r="O16" s="23" t="s">
        <v>111</v>
      </c>
      <c r="P16" s="50" t="s">
        <v>112</v>
      </c>
      <c r="Q16" s="60"/>
      <c r="R16" s="60"/>
    </row>
    <row r="17" spans="2:18" x14ac:dyDescent="0.3">
      <c r="B17" s="155"/>
      <c r="C17" s="156"/>
      <c r="D17" s="155"/>
      <c r="E17" s="155"/>
      <c r="F17" s="157"/>
      <c r="G17" s="158"/>
      <c r="H17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17" s="159">
        <f>_xlfn.XLOOKUP(Tabla32[[#This Row],[Agrupación]], 'Datos generales'!$S$8:$S$1048576, 'Datos generales'!$T$8:$T$1048576,"Margen en agrupación no encontrado",0, 1)</f>
        <v>0</v>
      </c>
      <c r="J17" s="158">
        <f t="shared" ref="J17:J52" si="1">H17/(1-I17)</f>
        <v>0</v>
      </c>
      <c r="K17" s="59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17" s="59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17" s="59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17" s="59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17" s="161"/>
      <c r="P17" s="156"/>
      <c r="Q17" s="162"/>
      <c r="R17" s="162"/>
    </row>
    <row r="18" spans="2:18" x14ac:dyDescent="0.3">
      <c r="B18" s="155"/>
      <c r="C18" s="156"/>
      <c r="D18" s="155"/>
      <c r="E18" s="155"/>
      <c r="F18" s="157"/>
      <c r="G18" s="158"/>
      <c r="H18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18" s="159">
        <f>_xlfn.XLOOKUP(Tabla32[[#This Row],[Agrupación]], 'Datos generales'!$S$8:$S$1048576, 'Datos generales'!$T$8:$T$1048576,"Margen en agrupación no encontrado",0, 1)</f>
        <v>0</v>
      </c>
      <c r="J18" s="158">
        <f t="shared" si="1"/>
        <v>0</v>
      </c>
      <c r="K18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18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18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18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18" s="161"/>
      <c r="P18" s="156"/>
      <c r="Q18" s="162"/>
      <c r="R18" s="162"/>
    </row>
    <row r="19" spans="2:18" x14ac:dyDescent="0.3">
      <c r="B19" s="155"/>
      <c r="C19" s="156"/>
      <c r="D19" s="155"/>
      <c r="E19" s="155"/>
      <c r="F19" s="157"/>
      <c r="G19" s="158"/>
      <c r="H19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19" s="159">
        <f>_xlfn.XLOOKUP(Tabla32[[#This Row],[Agrupación]], 'Datos generales'!$S$8:$S$1048576, 'Datos generales'!$T$8:$T$1048576,"Margen en agrupación no encontrado",0, 1)</f>
        <v>0</v>
      </c>
      <c r="J19" s="158">
        <f t="shared" si="1"/>
        <v>0</v>
      </c>
      <c r="K19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19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19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19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19" s="161"/>
      <c r="P19" s="156"/>
      <c r="Q19" s="162"/>
      <c r="R19" s="162"/>
    </row>
    <row r="20" spans="2:18" x14ac:dyDescent="0.3">
      <c r="B20" s="155"/>
      <c r="C20" s="156"/>
      <c r="D20" s="155"/>
      <c r="E20" s="155"/>
      <c r="F20" s="157"/>
      <c r="G20" s="158"/>
      <c r="H20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0" s="159">
        <f>_xlfn.XLOOKUP(Tabla32[[#This Row],[Agrupación]], 'Datos generales'!$S$8:$S$1048576, 'Datos generales'!$T$8:$T$1048576,"Margen en agrupación no encontrado",0, 1)</f>
        <v>0</v>
      </c>
      <c r="J20" s="158">
        <f t="shared" si="1"/>
        <v>0</v>
      </c>
      <c r="K20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0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0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0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0" s="161"/>
      <c r="P20" s="156"/>
      <c r="Q20" s="162"/>
      <c r="R20" s="162"/>
    </row>
    <row r="21" spans="2:18" x14ac:dyDescent="0.3">
      <c r="B21" s="155"/>
      <c r="C21" s="156"/>
      <c r="D21" s="155"/>
      <c r="E21" s="155"/>
      <c r="F21" s="157"/>
      <c r="G21" s="158"/>
      <c r="H21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1" s="159">
        <f>_xlfn.XLOOKUP(Tabla32[[#This Row],[Agrupación]], 'Datos generales'!$S$8:$S$1048576, 'Datos generales'!$T$8:$T$1048576,"Margen en agrupación no encontrado",0, 1)</f>
        <v>0</v>
      </c>
      <c r="J21" s="158">
        <f t="shared" si="1"/>
        <v>0</v>
      </c>
      <c r="K21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1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1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1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1" s="161"/>
      <c r="P21" s="156"/>
      <c r="Q21" s="162"/>
      <c r="R21" s="162"/>
    </row>
    <row r="22" spans="2:18" x14ac:dyDescent="0.3">
      <c r="B22" s="155"/>
      <c r="C22" s="156"/>
      <c r="D22" s="155"/>
      <c r="E22" s="155"/>
      <c r="F22" s="157"/>
      <c r="G22" s="158"/>
      <c r="H22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2" s="159">
        <f>_xlfn.XLOOKUP(Tabla32[[#This Row],[Agrupación]], 'Datos generales'!$S$8:$S$1048576, 'Datos generales'!$T$8:$T$1048576,"Margen en agrupación no encontrado",0, 1)</f>
        <v>0</v>
      </c>
      <c r="J22" s="158">
        <f t="shared" si="1"/>
        <v>0</v>
      </c>
      <c r="K22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2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2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2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2" s="161"/>
      <c r="P22" s="156"/>
      <c r="Q22" s="162"/>
      <c r="R22" s="162"/>
    </row>
    <row r="23" spans="2:18" x14ac:dyDescent="0.3">
      <c r="B23" s="155"/>
      <c r="C23" s="156"/>
      <c r="D23" s="155"/>
      <c r="E23" s="155"/>
      <c r="F23" s="157"/>
      <c r="G23" s="158"/>
      <c r="H23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3" s="159">
        <f>_xlfn.XLOOKUP(Tabla32[[#This Row],[Agrupación]], 'Datos generales'!$S$8:$S$1048576, 'Datos generales'!$T$8:$T$1048576,"Margen en agrupación no encontrado",0, 1)</f>
        <v>0</v>
      </c>
      <c r="J23" s="158">
        <f t="shared" si="1"/>
        <v>0</v>
      </c>
      <c r="K23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3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3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3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3" s="161"/>
      <c r="P23" s="156"/>
      <c r="Q23" s="162"/>
      <c r="R23" s="162"/>
    </row>
    <row r="24" spans="2:18" x14ac:dyDescent="0.3">
      <c r="B24" s="155"/>
      <c r="C24" s="156"/>
      <c r="D24" s="155"/>
      <c r="E24" s="155"/>
      <c r="F24" s="157"/>
      <c r="G24" s="158"/>
      <c r="H24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4" s="159">
        <f>_xlfn.XLOOKUP(Tabla32[[#This Row],[Agrupación]], 'Datos generales'!$S$8:$S$1048576, 'Datos generales'!$T$8:$T$1048576,"Margen en agrupación no encontrado",0, 1)</f>
        <v>0</v>
      </c>
      <c r="J24" s="158">
        <f t="shared" si="1"/>
        <v>0</v>
      </c>
      <c r="K24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4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4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4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4" s="161"/>
      <c r="P24" s="156"/>
      <c r="Q24" s="162"/>
      <c r="R24" s="162"/>
    </row>
    <row r="25" spans="2:18" x14ac:dyDescent="0.3">
      <c r="B25" s="155"/>
      <c r="C25" s="156"/>
      <c r="D25" s="155"/>
      <c r="E25" s="155"/>
      <c r="F25" s="157"/>
      <c r="G25" s="158"/>
      <c r="H25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5" s="159">
        <f>_xlfn.XLOOKUP(Tabla32[[#This Row],[Agrupación]], 'Datos generales'!$S$8:$S$1048576, 'Datos generales'!$T$8:$T$1048576,"Margen en agrupación no encontrado",0, 1)</f>
        <v>0</v>
      </c>
      <c r="J25" s="158">
        <f t="shared" si="1"/>
        <v>0</v>
      </c>
      <c r="K25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5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5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5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5" s="161"/>
      <c r="P25" s="156"/>
      <c r="Q25" s="162"/>
      <c r="R25" s="162"/>
    </row>
    <row r="26" spans="2:18" x14ac:dyDescent="0.3">
      <c r="B26" s="155"/>
      <c r="C26" s="156"/>
      <c r="D26" s="155"/>
      <c r="E26" s="155"/>
      <c r="F26" s="157"/>
      <c r="G26" s="158"/>
      <c r="H26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6" s="159">
        <f>_xlfn.XLOOKUP(Tabla32[[#This Row],[Agrupación]], 'Datos generales'!$S$8:$S$1048576, 'Datos generales'!$T$8:$T$1048576,"Margen en agrupación no encontrado",0, 1)</f>
        <v>0</v>
      </c>
      <c r="J26" s="158">
        <f t="shared" si="1"/>
        <v>0</v>
      </c>
      <c r="K26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6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6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6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6" s="161"/>
      <c r="P26" s="156"/>
      <c r="Q26" s="162"/>
      <c r="R26" s="162"/>
    </row>
    <row r="27" spans="2:18" x14ac:dyDescent="0.3">
      <c r="B27" s="155"/>
      <c r="C27" s="156"/>
      <c r="D27" s="155"/>
      <c r="E27" s="155"/>
      <c r="F27" s="157"/>
      <c r="G27" s="158"/>
      <c r="H27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7" s="159">
        <f>_xlfn.XLOOKUP(Tabla32[[#This Row],[Agrupación]], 'Datos generales'!$S$8:$S$1048576, 'Datos generales'!$T$8:$T$1048576,"Margen en agrupación no encontrado",0, 1)</f>
        <v>0</v>
      </c>
      <c r="J27" s="158">
        <f t="shared" si="1"/>
        <v>0</v>
      </c>
      <c r="K27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7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7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7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7" s="161"/>
      <c r="P27" s="156"/>
      <c r="Q27" s="162"/>
      <c r="R27" s="162"/>
    </row>
    <row r="28" spans="2:18" x14ac:dyDescent="0.3">
      <c r="B28" s="155"/>
      <c r="C28" s="156"/>
      <c r="D28" s="155"/>
      <c r="E28" s="155"/>
      <c r="F28" s="157"/>
      <c r="G28" s="158"/>
      <c r="H28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8" s="159">
        <f>_xlfn.XLOOKUP(Tabla32[[#This Row],[Agrupación]], 'Datos generales'!$S$8:$S$1048576, 'Datos generales'!$T$8:$T$1048576,"Margen en agrupación no encontrado",0, 1)</f>
        <v>0</v>
      </c>
      <c r="J28" s="158">
        <f t="shared" si="1"/>
        <v>0</v>
      </c>
      <c r="K28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8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8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8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8" s="161"/>
      <c r="P28" s="156"/>
      <c r="Q28" s="162"/>
      <c r="R28" s="162"/>
    </row>
    <row r="29" spans="2:18" x14ac:dyDescent="0.3">
      <c r="B29" s="155"/>
      <c r="C29" s="156"/>
      <c r="D29" s="155"/>
      <c r="E29" s="155"/>
      <c r="F29" s="157"/>
      <c r="G29" s="158"/>
      <c r="H29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29" s="159">
        <f>_xlfn.XLOOKUP(Tabla32[[#This Row],[Agrupación]], 'Datos generales'!$S$8:$S$1048576, 'Datos generales'!$T$8:$T$1048576,"Margen en agrupación no encontrado",0, 1)</f>
        <v>0</v>
      </c>
      <c r="J29" s="158">
        <f t="shared" si="1"/>
        <v>0</v>
      </c>
      <c r="K29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29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29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29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29" s="161"/>
      <c r="P29" s="156"/>
      <c r="Q29" s="162"/>
      <c r="R29" s="162"/>
    </row>
    <row r="30" spans="2:18" x14ac:dyDescent="0.3">
      <c r="B30" s="155"/>
      <c r="C30" s="156"/>
      <c r="D30" s="155"/>
      <c r="E30" s="155"/>
      <c r="F30" s="157"/>
      <c r="G30" s="158"/>
      <c r="H30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0" s="159">
        <f>_xlfn.XLOOKUP(Tabla32[[#This Row],[Agrupación]], 'Datos generales'!$S$8:$S$1048576, 'Datos generales'!$T$8:$T$1048576,"Margen en agrupación no encontrado",0, 1)</f>
        <v>0</v>
      </c>
      <c r="J30" s="158">
        <f t="shared" si="1"/>
        <v>0</v>
      </c>
      <c r="K30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0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0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0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0" s="161"/>
      <c r="P30" s="156"/>
      <c r="Q30" s="162"/>
      <c r="R30" s="162"/>
    </row>
    <row r="31" spans="2:18" x14ac:dyDescent="0.3">
      <c r="B31" s="155"/>
      <c r="C31" s="156"/>
      <c r="D31" s="155"/>
      <c r="E31" s="155"/>
      <c r="F31" s="157"/>
      <c r="G31" s="158"/>
      <c r="H31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1" s="159">
        <f>_xlfn.XLOOKUP(Tabla32[[#This Row],[Agrupación]], 'Datos generales'!$S$8:$S$1048576, 'Datos generales'!$T$8:$T$1048576,"Margen en agrupación no encontrado",0, 1)</f>
        <v>0</v>
      </c>
      <c r="J31" s="158">
        <f t="shared" si="1"/>
        <v>0</v>
      </c>
      <c r="K31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1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1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1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1" s="161"/>
      <c r="P31" s="156"/>
      <c r="Q31" s="162"/>
      <c r="R31" s="162"/>
    </row>
    <row r="32" spans="2:18" x14ac:dyDescent="0.3">
      <c r="B32" s="155"/>
      <c r="C32" s="156"/>
      <c r="D32" s="155"/>
      <c r="E32" s="155"/>
      <c r="F32" s="157"/>
      <c r="G32" s="158"/>
      <c r="H32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2" s="159">
        <f>_xlfn.XLOOKUP(Tabla32[[#This Row],[Agrupación]], 'Datos generales'!$S$8:$S$1048576, 'Datos generales'!$T$8:$T$1048576,"Margen en agrupación no encontrado",0, 1)</f>
        <v>0</v>
      </c>
      <c r="J32" s="158">
        <f t="shared" si="1"/>
        <v>0</v>
      </c>
      <c r="K32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2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2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2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2" s="161"/>
      <c r="P32" s="156"/>
      <c r="Q32" s="162"/>
      <c r="R32" s="162"/>
    </row>
    <row r="33" spans="2:18" x14ac:dyDescent="0.3">
      <c r="B33" s="155"/>
      <c r="C33" s="156"/>
      <c r="D33" s="155"/>
      <c r="E33" s="155"/>
      <c r="F33" s="157"/>
      <c r="G33" s="158"/>
      <c r="H33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3" s="159">
        <f>_xlfn.XLOOKUP(Tabla32[[#This Row],[Agrupación]], 'Datos generales'!$S$8:$S$1048576, 'Datos generales'!$T$8:$T$1048576,"Margen en agrupación no encontrado",0, 1)</f>
        <v>0</v>
      </c>
      <c r="J33" s="158">
        <f t="shared" si="1"/>
        <v>0</v>
      </c>
      <c r="K33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3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3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3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3" s="161"/>
      <c r="P33" s="156"/>
      <c r="Q33" s="162"/>
      <c r="R33" s="162"/>
    </row>
    <row r="34" spans="2:18" x14ac:dyDescent="0.3">
      <c r="B34" s="155"/>
      <c r="C34" s="156"/>
      <c r="D34" s="155"/>
      <c r="E34" s="155"/>
      <c r="F34" s="157"/>
      <c r="G34" s="158"/>
      <c r="H34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4" s="159">
        <f>_xlfn.XLOOKUP(Tabla32[[#This Row],[Agrupación]], 'Datos generales'!$S$8:$S$1048576, 'Datos generales'!$T$8:$T$1048576,"Margen en agrupación no encontrado",0, 1)</f>
        <v>0</v>
      </c>
      <c r="J34" s="158">
        <f t="shared" si="1"/>
        <v>0</v>
      </c>
      <c r="K34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4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4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4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4" s="161"/>
      <c r="P34" s="156"/>
      <c r="Q34" s="162"/>
      <c r="R34" s="162"/>
    </row>
    <row r="35" spans="2:18" x14ac:dyDescent="0.3">
      <c r="B35" s="155"/>
      <c r="C35" s="156"/>
      <c r="D35" s="155"/>
      <c r="E35" s="155"/>
      <c r="F35" s="157"/>
      <c r="G35" s="158"/>
      <c r="H35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5" s="159">
        <f>_xlfn.XLOOKUP(Tabla32[[#This Row],[Agrupación]], 'Datos generales'!$S$8:$S$1048576, 'Datos generales'!$T$8:$T$1048576,"Margen en agrupación no encontrado",0, 1)</f>
        <v>0</v>
      </c>
      <c r="J35" s="158">
        <f t="shared" si="1"/>
        <v>0</v>
      </c>
      <c r="K35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5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5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5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5" s="161"/>
      <c r="P35" s="156"/>
      <c r="Q35" s="162"/>
      <c r="R35" s="162"/>
    </row>
    <row r="36" spans="2:18" x14ac:dyDescent="0.3">
      <c r="B36" s="155"/>
      <c r="C36" s="156"/>
      <c r="D36" s="155"/>
      <c r="E36" s="155"/>
      <c r="F36" s="157"/>
      <c r="G36" s="158"/>
      <c r="H36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6" s="159">
        <f>_xlfn.XLOOKUP(Tabla32[[#This Row],[Agrupación]], 'Datos generales'!$S$8:$S$1048576, 'Datos generales'!$T$8:$T$1048576,"Margen en agrupación no encontrado",0, 1)</f>
        <v>0</v>
      </c>
      <c r="J36" s="158">
        <f t="shared" si="1"/>
        <v>0</v>
      </c>
      <c r="K36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6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6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6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6" s="161"/>
      <c r="P36" s="156"/>
      <c r="Q36" s="162"/>
      <c r="R36" s="162"/>
    </row>
    <row r="37" spans="2:18" x14ac:dyDescent="0.3">
      <c r="B37" s="155"/>
      <c r="C37" s="156"/>
      <c r="D37" s="155"/>
      <c r="E37" s="155"/>
      <c r="F37" s="157"/>
      <c r="G37" s="158"/>
      <c r="H37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7" s="159">
        <f>_xlfn.XLOOKUP(Tabla32[[#This Row],[Agrupación]], 'Datos generales'!$S$8:$S$1048576, 'Datos generales'!$T$8:$T$1048576,"Margen en agrupación no encontrado",0, 1)</f>
        <v>0</v>
      </c>
      <c r="J37" s="158">
        <f t="shared" si="1"/>
        <v>0</v>
      </c>
      <c r="K37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7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7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7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7" s="161"/>
      <c r="P37" s="156"/>
      <c r="Q37" s="162"/>
      <c r="R37" s="162"/>
    </row>
    <row r="38" spans="2:18" x14ac:dyDescent="0.3">
      <c r="B38" s="155"/>
      <c r="C38" s="156"/>
      <c r="D38" s="155"/>
      <c r="E38" s="155"/>
      <c r="F38" s="157"/>
      <c r="G38" s="158"/>
      <c r="H38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8" s="159">
        <f>_xlfn.XLOOKUP(Tabla32[[#This Row],[Agrupación]], 'Datos generales'!$S$8:$S$1048576, 'Datos generales'!$T$8:$T$1048576,"Margen en agrupación no encontrado",0, 1)</f>
        <v>0</v>
      </c>
      <c r="J38" s="158">
        <f t="shared" si="1"/>
        <v>0</v>
      </c>
      <c r="K38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8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8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8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8" s="161"/>
      <c r="P38" s="156"/>
      <c r="Q38" s="162"/>
      <c r="R38" s="162"/>
    </row>
    <row r="39" spans="2:18" x14ac:dyDescent="0.3">
      <c r="B39" s="155"/>
      <c r="C39" s="156"/>
      <c r="D39" s="155"/>
      <c r="E39" s="155"/>
      <c r="F39" s="157"/>
      <c r="G39" s="158"/>
      <c r="H39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39" s="159">
        <f>_xlfn.XLOOKUP(Tabla32[[#This Row],[Agrupación]], 'Datos generales'!$S$8:$S$1048576, 'Datos generales'!$T$8:$T$1048576,"Margen en agrupación no encontrado",0, 1)</f>
        <v>0</v>
      </c>
      <c r="J39" s="158">
        <f t="shared" si="1"/>
        <v>0</v>
      </c>
      <c r="K39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39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39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39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39" s="161"/>
      <c r="P39" s="156"/>
      <c r="Q39" s="162"/>
      <c r="R39" s="162"/>
    </row>
    <row r="40" spans="2:18" x14ac:dyDescent="0.3">
      <c r="B40" s="155"/>
      <c r="C40" s="156"/>
      <c r="D40" s="155"/>
      <c r="E40" s="155"/>
      <c r="F40" s="157"/>
      <c r="G40" s="158"/>
      <c r="H40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0" s="159">
        <f>_xlfn.XLOOKUP(Tabla32[[#This Row],[Agrupación]], 'Datos generales'!$S$8:$S$1048576, 'Datos generales'!$T$8:$T$1048576,"Margen en agrupación no encontrado",0, 1)</f>
        <v>0</v>
      </c>
      <c r="J40" s="158">
        <f t="shared" si="1"/>
        <v>0</v>
      </c>
      <c r="K40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0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0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0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0" s="161"/>
      <c r="P40" s="156"/>
      <c r="Q40" s="162"/>
      <c r="R40" s="162"/>
    </row>
    <row r="41" spans="2:18" x14ac:dyDescent="0.3">
      <c r="B41" s="155"/>
      <c r="C41" s="156"/>
      <c r="D41" s="155"/>
      <c r="E41" s="155"/>
      <c r="F41" s="157"/>
      <c r="G41" s="158"/>
      <c r="H41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1" s="159">
        <f>_xlfn.XLOOKUP(Tabla32[[#This Row],[Agrupación]], 'Datos generales'!$S$8:$S$1048576, 'Datos generales'!$T$8:$T$1048576,"Margen en agrupación no encontrado",0, 1)</f>
        <v>0</v>
      </c>
      <c r="J41" s="158">
        <f t="shared" si="1"/>
        <v>0</v>
      </c>
      <c r="K41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1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1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1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1" s="161"/>
      <c r="P41" s="156"/>
      <c r="Q41" s="162"/>
      <c r="R41" s="162"/>
    </row>
    <row r="42" spans="2:18" x14ac:dyDescent="0.3">
      <c r="B42" s="155"/>
      <c r="C42" s="156"/>
      <c r="D42" s="155"/>
      <c r="E42" s="155"/>
      <c r="F42" s="157"/>
      <c r="G42" s="158"/>
      <c r="H42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2" s="159">
        <f>_xlfn.XLOOKUP(Tabla32[[#This Row],[Agrupación]], 'Datos generales'!$S$8:$S$1048576, 'Datos generales'!$T$8:$T$1048576,"Margen en agrupación no encontrado",0, 1)</f>
        <v>0</v>
      </c>
      <c r="J42" s="158">
        <f t="shared" si="1"/>
        <v>0</v>
      </c>
      <c r="K42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2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2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2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2" s="161"/>
      <c r="P42" s="156"/>
      <c r="Q42" s="162"/>
      <c r="R42" s="162"/>
    </row>
    <row r="43" spans="2:18" x14ac:dyDescent="0.3">
      <c r="B43" s="155"/>
      <c r="C43" s="156"/>
      <c r="D43" s="155"/>
      <c r="E43" s="155"/>
      <c r="F43" s="157"/>
      <c r="G43" s="158"/>
      <c r="H43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3" s="159">
        <f>_xlfn.XLOOKUP(Tabla32[[#This Row],[Agrupación]], 'Datos generales'!$S$8:$S$1048576, 'Datos generales'!$T$8:$T$1048576,"Margen en agrupación no encontrado",0, 1)</f>
        <v>0</v>
      </c>
      <c r="J43" s="158">
        <f t="shared" si="1"/>
        <v>0</v>
      </c>
      <c r="K43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3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3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3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3" s="161"/>
      <c r="P43" s="156"/>
      <c r="Q43" s="162"/>
      <c r="R43" s="162"/>
    </row>
    <row r="44" spans="2:18" x14ac:dyDescent="0.3">
      <c r="B44" s="155"/>
      <c r="C44" s="156"/>
      <c r="D44" s="155"/>
      <c r="E44" s="155"/>
      <c r="F44" s="157"/>
      <c r="G44" s="158"/>
      <c r="H44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4" s="159">
        <f>_xlfn.XLOOKUP(Tabla32[[#This Row],[Agrupación]], 'Datos generales'!$S$8:$S$1048576, 'Datos generales'!$T$8:$T$1048576,"Margen en agrupación no encontrado",0, 1)</f>
        <v>0</v>
      </c>
      <c r="J44" s="158">
        <f t="shared" si="1"/>
        <v>0</v>
      </c>
      <c r="K44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4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4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4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4" s="161"/>
      <c r="P44" s="156"/>
      <c r="Q44" s="162"/>
      <c r="R44" s="162"/>
    </row>
    <row r="45" spans="2:18" x14ac:dyDescent="0.3">
      <c r="B45" s="155"/>
      <c r="C45" s="156"/>
      <c r="D45" s="155"/>
      <c r="E45" s="155"/>
      <c r="F45" s="157"/>
      <c r="G45" s="158"/>
      <c r="H45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5" s="159">
        <f>_xlfn.XLOOKUP(Tabla32[[#This Row],[Agrupación]], 'Datos generales'!$S$8:$S$1048576, 'Datos generales'!$T$8:$T$1048576,"Margen en agrupación no encontrado",0, 1)</f>
        <v>0</v>
      </c>
      <c r="J45" s="158">
        <f t="shared" si="1"/>
        <v>0</v>
      </c>
      <c r="K45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5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5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5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5" s="161"/>
      <c r="P45" s="156"/>
      <c r="Q45" s="162"/>
      <c r="R45" s="162"/>
    </row>
    <row r="46" spans="2:18" x14ac:dyDescent="0.3">
      <c r="B46" s="155"/>
      <c r="C46" s="156"/>
      <c r="D46" s="155"/>
      <c r="E46" s="155"/>
      <c r="F46" s="157"/>
      <c r="G46" s="158"/>
      <c r="H46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6" s="159">
        <f>_xlfn.XLOOKUP(Tabla32[[#This Row],[Agrupación]], 'Datos generales'!$S$8:$S$1048576, 'Datos generales'!$T$8:$T$1048576,"Margen en agrupación no encontrado",0, 1)</f>
        <v>0</v>
      </c>
      <c r="J46" s="158">
        <f t="shared" si="1"/>
        <v>0</v>
      </c>
      <c r="K46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6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6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6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6" s="161"/>
      <c r="P46" s="156"/>
      <c r="Q46" s="162"/>
      <c r="R46" s="162"/>
    </row>
    <row r="47" spans="2:18" x14ac:dyDescent="0.3">
      <c r="B47" s="155"/>
      <c r="C47" s="156"/>
      <c r="D47" s="155"/>
      <c r="E47" s="155"/>
      <c r="F47" s="157"/>
      <c r="G47" s="158"/>
      <c r="H47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7" s="159">
        <f>_xlfn.XLOOKUP(Tabla32[[#This Row],[Agrupación]], 'Datos generales'!$S$8:$S$1048576, 'Datos generales'!$T$8:$T$1048576,"Margen en agrupación no encontrado",0, 1)</f>
        <v>0</v>
      </c>
      <c r="J47" s="158">
        <f t="shared" si="1"/>
        <v>0</v>
      </c>
      <c r="K47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7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7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7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7" s="161"/>
      <c r="P47" s="156"/>
      <c r="Q47" s="162"/>
      <c r="R47" s="162"/>
    </row>
    <row r="48" spans="2:18" x14ac:dyDescent="0.3">
      <c r="B48" s="155"/>
      <c r="C48" s="156"/>
      <c r="D48" s="155"/>
      <c r="E48" s="155"/>
      <c r="F48" s="157"/>
      <c r="G48" s="158"/>
      <c r="H48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8" s="159">
        <f>_xlfn.XLOOKUP(Tabla32[[#This Row],[Agrupación]], 'Datos generales'!$S$8:$S$1048576, 'Datos generales'!$T$8:$T$1048576,"Margen en agrupación no encontrado",0, 1)</f>
        <v>0</v>
      </c>
      <c r="J48" s="158">
        <f t="shared" si="1"/>
        <v>0</v>
      </c>
      <c r="K48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8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8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8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8" s="161"/>
      <c r="P48" s="156"/>
      <c r="Q48" s="162"/>
      <c r="R48" s="162"/>
    </row>
    <row r="49" spans="2:18" x14ac:dyDescent="0.3">
      <c r="B49" s="155"/>
      <c r="C49" s="156"/>
      <c r="D49" s="155"/>
      <c r="E49" s="155"/>
      <c r="F49" s="157"/>
      <c r="G49" s="158"/>
      <c r="H49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49" s="159">
        <f>_xlfn.XLOOKUP(Tabla32[[#This Row],[Agrupación]], 'Datos generales'!$S$8:$S$1048576, 'Datos generales'!$T$8:$T$1048576,"Margen en agrupación no encontrado",0, 1)</f>
        <v>0</v>
      </c>
      <c r="J49" s="158">
        <f t="shared" si="1"/>
        <v>0</v>
      </c>
      <c r="K49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49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49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49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49" s="161"/>
      <c r="P49" s="156"/>
      <c r="Q49" s="162"/>
      <c r="R49" s="162"/>
    </row>
    <row r="50" spans="2:18" x14ac:dyDescent="0.3">
      <c r="B50" s="155"/>
      <c r="C50" s="156"/>
      <c r="D50" s="155"/>
      <c r="E50" s="155"/>
      <c r="F50" s="157"/>
      <c r="G50" s="158"/>
      <c r="H50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50" s="159">
        <f>_xlfn.XLOOKUP(Tabla32[[#This Row],[Agrupación]], 'Datos generales'!$S$8:$S$1048576, 'Datos generales'!$T$8:$T$1048576,"Margen en agrupación no encontrado",0, 1)</f>
        <v>0</v>
      </c>
      <c r="J50" s="158">
        <f t="shared" si="1"/>
        <v>0</v>
      </c>
      <c r="K50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50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50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50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50" s="161"/>
      <c r="P50" s="156"/>
      <c r="Q50" s="162"/>
      <c r="R50" s="162"/>
    </row>
    <row r="51" spans="2:18" x14ac:dyDescent="0.3">
      <c r="B51" s="155"/>
      <c r="C51" s="156"/>
      <c r="D51" s="155"/>
      <c r="E51" s="155"/>
      <c r="F51" s="157"/>
      <c r="G51" s="158"/>
      <c r="H51" s="158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51" s="159">
        <f>_xlfn.XLOOKUP(Tabla32[[#This Row],[Agrupación]], 'Datos generales'!$S$8:$S$1048576, 'Datos generales'!$T$8:$T$1048576,"Margen en agrupación no encontrado",0, 1)</f>
        <v>0</v>
      </c>
      <c r="J51" s="158">
        <f t="shared" si="1"/>
        <v>0</v>
      </c>
      <c r="K51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51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51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51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51" s="161"/>
      <c r="P51" s="156"/>
      <c r="Q51" s="162"/>
      <c r="R51" s="162"/>
    </row>
    <row r="52" spans="2:18" x14ac:dyDescent="0.3">
      <c r="B52" s="163"/>
      <c r="C52" s="164"/>
      <c r="D52" s="163"/>
      <c r="E52" s="163"/>
      <c r="F52" s="165"/>
      <c r="G52" s="166"/>
      <c r="H52" s="166">
        <f>IF(Tabla32[[#This Row],[CIF/FOB/Nacional]]="Nacional", Tabla32[[#This Row],[Costo producto]],IF(Tabla32[[#This Row],[CIF/FOB/Nacional]]="CIF", Tabla32[[#This Row],[Costo producto]], Tabla32[[#This Row],[Costo producto]]*1.3))</f>
        <v>0</v>
      </c>
      <c r="I52" s="167">
        <f>_xlfn.XLOOKUP(Tabla32[[#This Row],[Agrupación]], 'Datos generales'!$S$8:$S$1048576, 'Datos generales'!$T$8:$T$1048576,"Margen en agrupación no encontrado",0, 1)</f>
        <v>0</v>
      </c>
      <c r="J52" s="166">
        <f t="shared" si="1"/>
        <v>0</v>
      </c>
      <c r="K52" s="160">
        <f>IF(Tabla32[[#This Row],[Tipo de moneda]]="CLP", Tabla32[[#This Row],[Precio Moneda compra]], IF(Tabla32[[#This Row],[Tipo de moneda]]="USD",Tabla32[[#This Row],[Precio Moneda compra]]*'Datos generales'!$C$10,IF(Tabla32[[#This Row],[Tipo de moneda]]="EUR",Tabla32[[#This Row],[Precio Moneda compra]]*'Datos generales'!$C$11,Tabla32[[#This Row],[Precio Moneda compra]]*'Datos generales'!$C$9)))</f>
        <v>0</v>
      </c>
      <c r="L52" s="160">
        <f>IF(Tabla32[[#This Row],[Tipo de moneda]]="UF", Tabla32[[#This Row],[Precio Moneda compra]], IF(Tabla32[[#This Row],[Tipo de moneda]]="USD",Tabla32[[#This Row],[Precio Moneda compra]]*'Datos generales'!$C$10/'Datos generales'!$C$9,IF(Tabla32[[#This Row],[Tipo de moneda]]="EUR",Tabla32[[#This Row],[Precio Moneda compra]]*'Datos generales'!$C$11/'Datos generales'!$C$9,Tabla32[[#This Row],[Precio Moneda compra]]/'Datos generales'!$C$9)))</f>
        <v>0</v>
      </c>
      <c r="M52" s="160">
        <f>IF(Tabla32[[#This Row],[Tipo de moneda]]="USD", Tabla32[[#This Row],[Precio Moneda compra]], IF(Tabla32[[#This Row],[Tipo de moneda]]="CLP",Tabla32[[#This Row],[Precio Moneda compra]]/'Datos generales'!$C$8,IF(Tabla32[[#This Row],[Tipo de moneda]]="EUR",Tabla32[[#This Row],[Precio Moneda compra]]*'Datos generales'!$C$11/'Datos generales'!$C$10,Tabla32[[#This Row],[Precio Moneda compra]]*'Datos generales'!$C$9/'Datos generales'!$C$10)))</f>
        <v>0</v>
      </c>
      <c r="N52" s="160">
        <f>IF(Tabla32[[#This Row],[Tipo de moneda]]="EUR",Tabla32[[#This Row],[Precio Moneda compra]], IF(Tabla32[[#This Row],[Tipo de moneda]]="USD", Tabla32[[#This Row],[Precio Moneda compra]]*'Datos generales'!$C$10/'Datos generales'!$C$11, IF(Tabla32[[#This Row],[Tipo de moneda]]="UF",'Datos generales'!$C$9/'Datos generales'!$C$11, Tabla32[[#This Row],[Precio Moneda compra]]/'Datos generales'!$C$11)))</f>
        <v>0</v>
      </c>
      <c r="O52" s="144"/>
      <c r="P52" s="164"/>
      <c r="Q52" s="168"/>
      <c r="R52" s="168"/>
    </row>
  </sheetData>
  <mergeCells count="2">
    <mergeCell ref="E2:K3"/>
    <mergeCell ref="F4:K4"/>
  </mergeCells>
  <dataValidations count="1">
    <dataValidation type="list" allowBlank="1" showInputMessage="1" showErrorMessage="1" sqref="C3" xr:uid="{F71B8CD7-3D14-40CE-9270-B35EF4C83E60}">
      <formula1>$B$3</formula1>
    </dataValidation>
  </dataValidations>
  <hyperlinks>
    <hyperlink ref="Q7" r:id="rId1" xr:uid="{CB8D171E-CB3D-4D15-9B4A-C52C535AD811}"/>
    <hyperlink ref="R7" r:id="rId2" xr:uid="{18DB9477-4CF7-45A9-8533-F9575ADA39F6}"/>
    <hyperlink ref="Q8" r:id="rId3" xr:uid="{E6D217ED-2CF0-41AE-8410-95C7F1D2F7C7}"/>
    <hyperlink ref="Q9:Q13" r:id="rId4" display="kyla@hondetech.com" xr:uid="{83D943AB-91B6-4C24-A1D0-F2D4C2429BD8}"/>
    <hyperlink ref="R8" r:id="rId5" xr:uid="{73E53C31-0A24-40E7-8306-CB25C71100A7}"/>
    <hyperlink ref="R9:R13" r:id="rId6" display="http://www.hondetechco.com/" xr:uid="{D7C126EA-B1D8-4261-9313-DDE6BB8EB918}"/>
    <hyperlink ref="Q14" r:id="rId7" xr:uid="{90F59941-1F9A-46C0-A0F0-156378B83547}"/>
    <hyperlink ref="R14" r:id="rId8" xr:uid="{A9010D05-F144-441B-9AD8-8B30BAC73DF6}"/>
  </hyperlinks>
  <pageMargins left="0.7" right="0.7" top="0.75" bottom="0.75" header="0.3" footer="0.3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11" name="Button 5">
              <controlPr defaultSize="0" print="0" autoFill="0" autoPict="0" macro="[0]!CrearTablaDinamicaProductos">
                <anchor moveWithCells="1" sizeWithCells="1">
                  <from>
                    <xdr:col>1</xdr:col>
                    <xdr:colOff>190500</xdr:colOff>
                    <xdr:row>0</xdr:row>
                    <xdr:rowOff>137160</xdr:rowOff>
                  </from>
                  <to>
                    <xdr:col>3</xdr:col>
                    <xdr:colOff>1287780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13EA190-C74B-42BA-8C8A-F7EEA63182B0}">
          <x14:formula1>
            <xm:f>'Datos generales'!$F$7:$F$10</xm:f>
          </x14:formula1>
          <xm:sqref>F7:F52</xm:sqref>
        </x14:dataValidation>
        <x14:dataValidation type="list" allowBlank="1" showInputMessage="1" showErrorMessage="1" xr:uid="{F113163F-A343-42D0-9952-298CF978A04A}">
          <x14:formula1>
            <xm:f>'Datos generales'!$B$8:$B$13</xm:f>
          </x14:formula1>
          <xm:sqref>E7:E52</xm:sqref>
        </x14:dataValidation>
        <x14:dataValidation type="list" allowBlank="1" showInputMessage="1" showErrorMessage="1" xr:uid="{17488019-F271-4DDF-8327-0A51ECC4A32D}">
          <x14:formula1>
            <xm:f>'Datos generales'!$S$8:$S$1048576</xm:f>
          </x14:formula1>
          <xm:sqref>B7:B1048576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CEE5C197868B44BB872BA74166DDD1" ma:contentTypeVersion="4" ma:contentTypeDescription="Create a new document." ma:contentTypeScope="" ma:versionID="9c1dd8a49744eff909f4de76ddbc68ba">
  <xsd:schema xmlns:xsd="http://www.w3.org/2001/XMLSchema" xmlns:xs="http://www.w3.org/2001/XMLSchema" xmlns:p="http://schemas.microsoft.com/office/2006/metadata/properties" xmlns:ns2="37dafeb7-7fe1-4474-9d8b-3102c5510585" targetNamespace="http://schemas.microsoft.com/office/2006/metadata/properties" ma:root="true" ma:fieldsID="e063ccab58f85d66dc0e1b34ac7e9721" ns2:_="">
    <xsd:import namespace="37dafeb7-7fe1-4474-9d8b-3102c55105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afeb7-7fe1-4474-9d8b-3102c55105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3097E39-F679-4CB4-89FF-8AC88073F7A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8EF0F0B-E03D-4CCB-868D-673622C5A59D}">
  <ds:schemaRefs>
    <ds:schemaRef ds:uri="http://schemas.microsoft.com/office/infopath/2007/PartnerControls"/>
    <ds:schemaRef ds:uri="http://purl.org/dc/dcmitype/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37dafeb7-7fe1-4474-9d8b-3102c551058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B251D4E-E951-4EAB-A34A-C8B16586F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dafeb7-7fe1-4474-9d8b-3102c5510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Datos generales</vt:lpstr>
      <vt:lpstr>Datos proyecto</vt:lpstr>
      <vt:lpstr>Resumen</vt:lpstr>
      <vt:lpstr>Desarrollo</vt:lpstr>
      <vt:lpstr>Viajes</vt:lpstr>
      <vt:lpstr>BoM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ignacio perez</dc:creator>
  <cp:keywords/>
  <dc:description/>
  <cp:lastModifiedBy>ignacio perez</cp:lastModifiedBy>
  <cp:revision/>
  <dcterms:created xsi:type="dcterms:W3CDTF">2025-01-21T12:47:23Z</dcterms:created>
  <dcterms:modified xsi:type="dcterms:W3CDTF">2025-04-14T16:58:18Z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0x0101000BCEE5C197868B44BB872BA74166DDD1</vt:lpwstr>
  </property>
  <property fmtid="{D5CDD505-2E9C-101B-9397-08002B2CF9AE}" pid="3" name="MediaServiceImageTags">
    <vt:lpwstr/>
  </property>
  <property fmtid="{D5CDD505-2E9C-101B-9397-08002B2CF9AE}" pid="4" name="Order">
    <vt:r8>299400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