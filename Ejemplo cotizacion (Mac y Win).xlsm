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 codeName="{65C56A31-55D7-CBBD-CD37-7C71EA340FA4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gnacioperez/Desktop/"/>
    </mc:Choice>
  </mc:AlternateContent>
  <xr:revisionPtr revIDLastSave="0" documentId="8_{09535458-9F45-3E42-96AE-1F0084B5D7F3}" xr6:coauthVersionLast="47" xr6:coauthVersionMax="47" xr10:uidLastSave="{00000000-0000-0000-0000-000000000000}"/>
  <bookViews>
    <workbookView xWindow="-38400" yWindow="480" windowWidth="38400" windowHeight="21120" activeTab="2" xr2:uid="{00000000-000D-0000-FFFF-FFFF00000000}"/>
  </bookViews>
  <sheets>
    <sheet name="Datos generales" sheetId="1" r:id="rId1"/>
    <sheet name="Datos proyecto" sheetId="14" r:id="rId2"/>
    <sheet name="Resumen" sheetId="3" r:id="rId3"/>
    <sheet name="Desarrollo" sheetId="13" r:id="rId4"/>
    <sheet name="Viajes" sheetId="16" r:id="rId5"/>
    <sheet name="BoM" sheetId="11" r:id="rId6"/>
    <sheet name="Productos" sheetId="9" r:id="rId7"/>
  </sheets>
  <definedNames>
    <definedName name="_xleta.DOLLAR" hidden="1" xlm="1">#NAME?</definedName>
    <definedName name="_xleta.T" hidden="1" xlm="1">#NAME?</definedName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6" i="16" l="1"/>
  <c r="K23" i="16"/>
  <c r="K24" i="16"/>
  <c r="K31" i="16"/>
  <c r="K32" i="16"/>
  <c r="K40" i="16"/>
  <c r="K48" i="16"/>
  <c r="I9" i="16"/>
  <c r="K9" i="16" s="1"/>
  <c r="I10" i="16"/>
  <c r="K10" i="16" s="1"/>
  <c r="I11" i="16"/>
  <c r="K11" i="16" s="1"/>
  <c r="I12" i="16"/>
  <c r="K12" i="16" s="1"/>
  <c r="I13" i="16"/>
  <c r="K13" i="16" s="1"/>
  <c r="I14" i="16"/>
  <c r="K14" i="16" s="1"/>
  <c r="I15" i="16"/>
  <c r="K15" i="16" s="1"/>
  <c r="I16" i="16"/>
  <c r="I17" i="16"/>
  <c r="K17" i="16" s="1"/>
  <c r="I18" i="16"/>
  <c r="K18" i="16" s="1"/>
  <c r="I19" i="16"/>
  <c r="K19" i="16" s="1"/>
  <c r="I20" i="16"/>
  <c r="K20" i="16" s="1"/>
  <c r="I21" i="16"/>
  <c r="K21" i="16" s="1"/>
  <c r="I22" i="16"/>
  <c r="K22" i="16" s="1"/>
  <c r="I23" i="16"/>
  <c r="I24" i="16"/>
  <c r="I25" i="16"/>
  <c r="K25" i="16" s="1"/>
  <c r="I26" i="16"/>
  <c r="K26" i="16" s="1"/>
  <c r="I27" i="16"/>
  <c r="K27" i="16" s="1"/>
  <c r="I28" i="16"/>
  <c r="K28" i="16" s="1"/>
  <c r="I29" i="16"/>
  <c r="K29" i="16" s="1"/>
  <c r="I30" i="16"/>
  <c r="K30" i="16" s="1"/>
  <c r="I31" i="16"/>
  <c r="I32" i="16"/>
  <c r="I33" i="16"/>
  <c r="K33" i="16" s="1"/>
  <c r="I34" i="16"/>
  <c r="K34" i="16" s="1"/>
  <c r="I35" i="16"/>
  <c r="K35" i="16" s="1"/>
  <c r="I36" i="16"/>
  <c r="K36" i="16" s="1"/>
  <c r="I37" i="16"/>
  <c r="K37" i="16" s="1"/>
  <c r="I38" i="16"/>
  <c r="K38" i="16" s="1"/>
  <c r="I39" i="16"/>
  <c r="K39" i="16" s="1"/>
  <c r="I40" i="16"/>
  <c r="I41" i="16"/>
  <c r="K41" i="16" s="1"/>
  <c r="I42" i="16"/>
  <c r="K42" i="16" s="1"/>
  <c r="I43" i="16"/>
  <c r="K43" i="16" s="1"/>
  <c r="I44" i="16"/>
  <c r="K44" i="16" s="1"/>
  <c r="I45" i="16"/>
  <c r="K45" i="16" s="1"/>
  <c r="I46" i="16"/>
  <c r="K46" i="16" s="1"/>
  <c r="I47" i="16"/>
  <c r="K47" i="16" s="1"/>
  <c r="I48" i="16"/>
  <c r="I49" i="16"/>
  <c r="K49" i="16" s="1"/>
  <c r="I50" i="16"/>
  <c r="K50" i="16" s="1"/>
  <c r="I51" i="16"/>
  <c r="K51" i="16" s="1"/>
  <c r="I52" i="16"/>
  <c r="K52" i="16" s="1"/>
  <c r="I53" i="16"/>
  <c r="K53" i="16" s="1"/>
  <c r="I54" i="16"/>
  <c r="K54" i="16" s="1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35" i="11" l="1"/>
  <c r="G35" i="11"/>
  <c r="H35" i="11"/>
  <c r="P35" i="11"/>
  <c r="Q35" i="11"/>
  <c r="F26" i="11"/>
  <c r="G26" i="11"/>
  <c r="H26" i="11"/>
  <c r="P26" i="11"/>
  <c r="Q26" i="11"/>
  <c r="F19" i="11"/>
  <c r="G19" i="11"/>
  <c r="H19" i="11"/>
  <c r="P19" i="11"/>
  <c r="Q19" i="11"/>
  <c r="H29" i="9"/>
  <c r="I29" i="9"/>
  <c r="F14" i="11"/>
  <c r="G14" i="11"/>
  <c r="H14" i="11"/>
  <c r="P14" i="11"/>
  <c r="Q14" i="11"/>
  <c r="F12" i="13"/>
  <c r="J12" i="13"/>
  <c r="F11" i="13"/>
  <c r="F30" i="11"/>
  <c r="F31" i="11"/>
  <c r="F32" i="11"/>
  <c r="F33" i="11"/>
  <c r="F34" i="11"/>
  <c r="G30" i="11"/>
  <c r="G31" i="11"/>
  <c r="G32" i="11"/>
  <c r="G33" i="11"/>
  <c r="G34" i="11"/>
  <c r="H30" i="11"/>
  <c r="H31" i="11"/>
  <c r="H32" i="11"/>
  <c r="H33" i="11"/>
  <c r="H34" i="11"/>
  <c r="P30" i="11"/>
  <c r="P31" i="11"/>
  <c r="P32" i="11"/>
  <c r="P33" i="11"/>
  <c r="P34" i="11"/>
  <c r="Q30" i="11"/>
  <c r="Q31" i="11"/>
  <c r="Q32" i="11"/>
  <c r="Q33" i="11"/>
  <c r="Q34" i="11"/>
  <c r="F29" i="11"/>
  <c r="G29" i="11"/>
  <c r="H29" i="11"/>
  <c r="P29" i="11"/>
  <c r="Q29" i="11"/>
  <c r="F22" i="11"/>
  <c r="F23" i="11"/>
  <c r="F24" i="11"/>
  <c r="F25" i="11"/>
  <c r="F27" i="11"/>
  <c r="F28" i="11"/>
  <c r="G22" i="11"/>
  <c r="G23" i="11"/>
  <c r="G24" i="11"/>
  <c r="G25" i="11"/>
  <c r="G27" i="11"/>
  <c r="G28" i="11"/>
  <c r="H22" i="11"/>
  <c r="H23" i="11"/>
  <c r="H24" i="11"/>
  <c r="H25" i="11"/>
  <c r="H27" i="11"/>
  <c r="H28" i="11"/>
  <c r="P22" i="11"/>
  <c r="P23" i="11"/>
  <c r="P24" i="11"/>
  <c r="P25" i="11"/>
  <c r="P27" i="11"/>
  <c r="P28" i="11"/>
  <c r="Q22" i="11"/>
  <c r="Q23" i="11"/>
  <c r="Q24" i="11"/>
  <c r="Q25" i="11"/>
  <c r="Q27" i="11"/>
  <c r="Q28" i="11"/>
  <c r="F21" i="11"/>
  <c r="G21" i="11"/>
  <c r="H21" i="11"/>
  <c r="P21" i="11"/>
  <c r="Q21" i="11"/>
  <c r="F20" i="11"/>
  <c r="G20" i="11"/>
  <c r="H20" i="11"/>
  <c r="P20" i="11"/>
  <c r="Q20" i="11"/>
  <c r="F10" i="11"/>
  <c r="G10" i="11"/>
  <c r="H10" i="11"/>
  <c r="P10" i="11"/>
  <c r="Q10" i="11"/>
  <c r="F9" i="11"/>
  <c r="G9" i="11"/>
  <c r="H9" i="11"/>
  <c r="P9" i="11"/>
  <c r="Q9" i="11"/>
  <c r="F18" i="11"/>
  <c r="G18" i="11"/>
  <c r="H18" i="11"/>
  <c r="P18" i="11"/>
  <c r="Q18" i="11"/>
  <c r="F15" i="11"/>
  <c r="G15" i="11"/>
  <c r="H15" i="11"/>
  <c r="P15" i="11"/>
  <c r="Q15" i="11"/>
  <c r="F17" i="11"/>
  <c r="G17" i="11"/>
  <c r="H17" i="11"/>
  <c r="P17" i="11"/>
  <c r="Q17" i="11"/>
  <c r="F16" i="11"/>
  <c r="G16" i="11"/>
  <c r="H16" i="11"/>
  <c r="P16" i="11"/>
  <c r="Q16" i="11"/>
  <c r="H28" i="9"/>
  <c r="I28" i="9"/>
  <c r="H27" i="9"/>
  <c r="I27" i="9"/>
  <c r="H26" i="9"/>
  <c r="I26" i="9"/>
  <c r="H25" i="9"/>
  <c r="I25" i="9"/>
  <c r="H24" i="9"/>
  <c r="I24" i="9"/>
  <c r="H23" i="9"/>
  <c r="I23" i="9"/>
  <c r="H22" i="9"/>
  <c r="I22" i="9"/>
  <c r="H21" i="9"/>
  <c r="I21" i="9"/>
  <c r="H20" i="9"/>
  <c r="I20" i="9"/>
  <c r="H19" i="9"/>
  <c r="I19" i="9"/>
  <c r="H18" i="9"/>
  <c r="I18" i="9"/>
  <c r="F13" i="11"/>
  <c r="G13" i="11"/>
  <c r="H13" i="11"/>
  <c r="P13" i="11"/>
  <c r="Q13" i="11"/>
  <c r="H10" i="14"/>
  <c r="H11" i="14" s="1"/>
  <c r="H12" i="14" s="1"/>
  <c r="H13" i="14" s="1"/>
  <c r="J7" i="13"/>
  <c r="J8" i="13"/>
  <c r="J9" i="13"/>
  <c r="J10" i="13"/>
  <c r="J11" i="13"/>
  <c r="I7" i="9"/>
  <c r="I8" i="9"/>
  <c r="I9" i="9"/>
  <c r="I10" i="9"/>
  <c r="I11" i="9"/>
  <c r="I12" i="9"/>
  <c r="I13" i="9"/>
  <c r="I14" i="9"/>
  <c r="I15" i="9"/>
  <c r="I16" i="9"/>
  <c r="I17" i="9"/>
  <c r="H17" i="9"/>
  <c r="Q7" i="11"/>
  <c r="J28" i="9" l="1"/>
  <c r="L28" i="9" s="1"/>
  <c r="J18" i="11"/>
  <c r="J34" i="11"/>
  <c r="J20" i="11"/>
  <c r="J31" i="11"/>
  <c r="J19" i="11"/>
  <c r="J33" i="11"/>
  <c r="J17" i="11"/>
  <c r="J32" i="11"/>
  <c r="J28" i="11"/>
  <c r="J30" i="11"/>
  <c r="J14" i="11"/>
  <c r="J26" i="11"/>
  <c r="J9" i="11"/>
  <c r="J27" i="11"/>
  <c r="J25" i="11"/>
  <c r="J24" i="11"/>
  <c r="J29" i="11"/>
  <c r="J21" i="11"/>
  <c r="J13" i="11"/>
  <c r="J22" i="11"/>
  <c r="J35" i="11"/>
  <c r="J15" i="11"/>
  <c r="J23" i="11"/>
  <c r="J16" i="11"/>
  <c r="J10" i="11"/>
  <c r="J29" i="9"/>
  <c r="L29" i="9" s="1"/>
  <c r="K29" i="9"/>
  <c r="N29" i="9"/>
  <c r="M28" i="9"/>
  <c r="K28" i="9"/>
  <c r="N28" i="9"/>
  <c r="J25" i="9"/>
  <c r="L25" i="9" s="1"/>
  <c r="M23" i="11" s="1"/>
  <c r="J27" i="9"/>
  <c r="L27" i="9" s="1"/>
  <c r="M29" i="11" s="1"/>
  <c r="J26" i="9"/>
  <c r="M26" i="9" s="1"/>
  <c r="K30" i="11" s="1"/>
  <c r="R30" i="11" s="1"/>
  <c r="K25" i="9"/>
  <c r="L23" i="11" s="1"/>
  <c r="J24" i="9"/>
  <c r="L24" i="9" s="1"/>
  <c r="J22" i="9"/>
  <c r="L22" i="9" s="1"/>
  <c r="J23" i="9"/>
  <c r="K23" i="9" s="1"/>
  <c r="L32" i="11" s="1"/>
  <c r="J21" i="9"/>
  <c r="M21" i="9" s="1"/>
  <c r="J20" i="9"/>
  <c r="N20" i="9" s="1"/>
  <c r="K20" i="9"/>
  <c r="J19" i="9"/>
  <c r="L19" i="9" s="1"/>
  <c r="M10" i="11" s="1"/>
  <c r="J18" i="9"/>
  <c r="K18" i="9" s="1"/>
  <c r="L9" i="11" s="1"/>
  <c r="J17" i="9"/>
  <c r="M27" i="9" l="1"/>
  <c r="K29" i="11" s="1"/>
  <c r="R29" i="11" s="1"/>
  <c r="M29" i="9"/>
  <c r="K27" i="9"/>
  <c r="L29" i="11" s="1"/>
  <c r="K35" i="11"/>
  <c r="R35" i="11" s="1"/>
  <c r="K26" i="11"/>
  <c r="R26" i="11" s="1"/>
  <c r="K14" i="11"/>
  <c r="R14" i="11" s="1"/>
  <c r="K19" i="11"/>
  <c r="R19" i="11" s="1"/>
  <c r="K11" i="11"/>
  <c r="K17" i="11"/>
  <c r="R17" i="11" s="1"/>
  <c r="K22" i="11"/>
  <c r="R22" i="11" s="1"/>
  <c r="K24" i="11"/>
  <c r="R24" i="11" s="1"/>
  <c r="K33" i="11"/>
  <c r="R33" i="11" s="1"/>
  <c r="N27" i="9"/>
  <c r="M19" i="11"/>
  <c r="M14" i="11"/>
  <c r="M26" i="11"/>
  <c r="M35" i="11"/>
  <c r="L19" i="11"/>
  <c r="L14" i="11"/>
  <c r="L26" i="11"/>
  <c r="L35" i="11"/>
  <c r="N19" i="11"/>
  <c r="N14" i="11"/>
  <c r="O19" i="11"/>
  <c r="O14" i="11"/>
  <c r="N35" i="11"/>
  <c r="N26" i="11"/>
  <c r="O26" i="11"/>
  <c r="O35" i="11"/>
  <c r="K21" i="9"/>
  <c r="L22" i="11" s="1"/>
  <c r="L26" i="9"/>
  <c r="M30" i="11" s="1"/>
  <c r="K26" i="9"/>
  <c r="L30" i="11" s="1"/>
  <c r="N25" i="9"/>
  <c r="M25" i="9"/>
  <c r="K23" i="11" s="1"/>
  <c r="R23" i="11" s="1"/>
  <c r="N16" i="11"/>
  <c r="O16" i="11"/>
  <c r="N28" i="11"/>
  <c r="O28" i="11"/>
  <c r="L21" i="9"/>
  <c r="L24" i="11"/>
  <c r="L17" i="11"/>
  <c r="L33" i="11"/>
  <c r="N29" i="11"/>
  <c r="O29" i="11"/>
  <c r="L16" i="11"/>
  <c r="L28" i="11"/>
  <c r="N23" i="11"/>
  <c r="O23" i="11"/>
  <c r="M20" i="9"/>
  <c r="N26" i="9"/>
  <c r="L20" i="9"/>
  <c r="K24" i="9"/>
  <c r="N24" i="9"/>
  <c r="M24" i="9"/>
  <c r="K22" i="9"/>
  <c r="N22" i="9"/>
  <c r="M22" i="9"/>
  <c r="K8" i="11" s="1"/>
  <c r="N23" i="9"/>
  <c r="L23" i="9"/>
  <c r="M32" i="11" s="1"/>
  <c r="M23" i="9"/>
  <c r="K32" i="11" s="1"/>
  <c r="R32" i="11" s="1"/>
  <c r="N21" i="9"/>
  <c r="K19" i="9"/>
  <c r="L10" i="11" s="1"/>
  <c r="N19" i="9"/>
  <c r="M19" i="9"/>
  <c r="K10" i="11" s="1"/>
  <c r="R10" i="11" s="1"/>
  <c r="N18" i="9"/>
  <c r="M18" i="9"/>
  <c r="K9" i="11" s="1"/>
  <c r="R9" i="11" s="1"/>
  <c r="L18" i="9"/>
  <c r="M9" i="11" s="1"/>
  <c r="K17" i="9"/>
  <c r="M17" i="9"/>
  <c r="N17" i="9"/>
  <c r="L17" i="9"/>
  <c r="D4" i="16"/>
  <c r="D5" i="16"/>
  <c r="E4" i="16"/>
  <c r="E5" i="16"/>
  <c r="F7" i="13"/>
  <c r="F8" i="13"/>
  <c r="F9" i="13"/>
  <c r="F10" i="13"/>
  <c r="Q8" i="11"/>
  <c r="R8" i="11" s="1"/>
  <c r="Q11" i="11"/>
  <c r="R11" i="11" s="1"/>
  <c r="Q12" i="11"/>
  <c r="K3" i="1"/>
  <c r="K2" i="1"/>
  <c r="C9" i="14"/>
  <c r="H7" i="11"/>
  <c r="H8" i="11"/>
  <c r="H11" i="11"/>
  <c r="H12" i="11"/>
  <c r="G7" i="11"/>
  <c r="G8" i="11"/>
  <c r="G11" i="11"/>
  <c r="G12" i="11"/>
  <c r="F12" i="11"/>
  <c r="F11" i="11"/>
  <c r="F8" i="11"/>
  <c r="H16" i="9"/>
  <c r="J16" i="9" s="1"/>
  <c r="M16" i="9" s="1"/>
  <c r="H15" i="9"/>
  <c r="J15" i="9" s="1"/>
  <c r="H14" i="9"/>
  <c r="J14" i="9" s="1"/>
  <c r="H13" i="9"/>
  <c r="J13" i="9" s="1"/>
  <c r="H12" i="9"/>
  <c r="J12" i="9" s="1"/>
  <c r="H11" i="9"/>
  <c r="J11" i="9" s="1"/>
  <c r="H10" i="9"/>
  <c r="J10" i="9" s="1"/>
  <c r="H9" i="9"/>
  <c r="J9" i="9" s="1"/>
  <c r="M9" i="9" s="1"/>
  <c r="P11" i="11"/>
  <c r="H8" i="9"/>
  <c r="J8" i="9" s="1"/>
  <c r="M8" i="9" s="1"/>
  <c r="P12" i="11"/>
  <c r="P8" i="11"/>
  <c r="P8" i="1"/>
  <c r="P9" i="1"/>
  <c r="I12" i="13" s="1"/>
  <c r="K12" i="13" s="1"/>
  <c r="M12" i="13" s="1"/>
  <c r="N12" i="13" s="1"/>
  <c r="P10" i="1"/>
  <c r="P11" i="1"/>
  <c r="P7" i="11"/>
  <c r="H7" i="9"/>
  <c r="J7" i="9" s="1"/>
  <c r="M7" i="9" s="1"/>
  <c r="K25" i="11" l="1"/>
  <c r="R25" i="11" s="1"/>
  <c r="K34" i="11"/>
  <c r="R34" i="11" s="1"/>
  <c r="K13" i="11"/>
  <c r="R13" i="11" s="1"/>
  <c r="K18" i="11"/>
  <c r="R18" i="11" s="1"/>
  <c r="K21" i="11"/>
  <c r="R21" i="11" s="1"/>
  <c r="K12" i="11"/>
  <c r="R12" i="11" s="1"/>
  <c r="K31" i="11"/>
  <c r="R31" i="11" s="1"/>
  <c r="K16" i="11"/>
  <c r="R16" i="11" s="1"/>
  <c r="K28" i="11"/>
  <c r="R28" i="11" s="1"/>
  <c r="K7" i="11"/>
  <c r="K20" i="11"/>
  <c r="R20" i="11" s="1"/>
  <c r="K15" i="11"/>
  <c r="R15" i="11" s="1"/>
  <c r="K27" i="11"/>
  <c r="R27" i="11" s="1"/>
  <c r="J12" i="11"/>
  <c r="J11" i="11"/>
  <c r="J8" i="11"/>
  <c r="J7" i="11"/>
  <c r="I9" i="13"/>
  <c r="K9" i="13" s="1"/>
  <c r="M9" i="13" s="1"/>
  <c r="N9" i="13" s="1"/>
  <c r="I8" i="13"/>
  <c r="K8" i="13" s="1"/>
  <c r="M8" i="13" s="1"/>
  <c r="N8" i="13" s="1"/>
  <c r="I11" i="13"/>
  <c r="K11" i="13" s="1"/>
  <c r="M11" i="13" s="1"/>
  <c r="N11" i="13" s="1"/>
  <c r="N31" i="11"/>
  <c r="N21" i="11"/>
  <c r="O21" i="11"/>
  <c r="O31" i="11"/>
  <c r="N30" i="11"/>
  <c r="O30" i="11"/>
  <c r="N10" i="11"/>
  <c r="O10" i="11"/>
  <c r="M17" i="11"/>
  <c r="M33" i="11"/>
  <c r="M24" i="11"/>
  <c r="M22" i="11"/>
  <c r="M31" i="11"/>
  <c r="M21" i="11"/>
  <c r="M28" i="11"/>
  <c r="M16" i="11"/>
  <c r="O17" i="11"/>
  <c r="N22" i="11"/>
  <c r="N33" i="11"/>
  <c r="N24" i="11"/>
  <c r="O22" i="11"/>
  <c r="N17" i="11"/>
  <c r="O24" i="11"/>
  <c r="O33" i="11"/>
  <c r="L21" i="11"/>
  <c r="L31" i="11"/>
  <c r="N9" i="11"/>
  <c r="O9" i="11"/>
  <c r="N32" i="11"/>
  <c r="O32" i="11"/>
  <c r="K10" i="9"/>
  <c r="L12" i="11" s="1"/>
  <c r="M10" i="9"/>
  <c r="L11" i="9"/>
  <c r="M11" i="9"/>
  <c r="N13" i="9"/>
  <c r="M13" i="9"/>
  <c r="K14" i="9"/>
  <c r="M14" i="9"/>
  <c r="L12" i="9"/>
  <c r="M12" i="9"/>
  <c r="K15" i="9"/>
  <c r="L11" i="11" s="1"/>
  <c r="M15" i="9"/>
  <c r="I7" i="13"/>
  <c r="K7" i="13" s="1"/>
  <c r="M7" i="13" s="1"/>
  <c r="N7" i="13" s="1"/>
  <c r="I10" i="13"/>
  <c r="K10" i="13" s="1"/>
  <c r="M10" i="13" s="1"/>
  <c r="N10" i="13" s="1"/>
  <c r="F4" i="16"/>
  <c r="K4" i="1"/>
  <c r="D3" i="1" s="1"/>
  <c r="L14" i="9"/>
  <c r="F5" i="16"/>
  <c r="K16" i="9"/>
  <c r="L16" i="9"/>
  <c r="L15" i="9"/>
  <c r="M11" i="11" s="1"/>
  <c r="N9" i="9"/>
  <c r="N8" i="9"/>
  <c r="N8" i="11" s="1"/>
  <c r="N10" i="9"/>
  <c r="K13" i="9"/>
  <c r="L10" i="9"/>
  <c r="M12" i="11" s="1"/>
  <c r="N16" i="9"/>
  <c r="L13" i="9"/>
  <c r="K12" i="9"/>
  <c r="L9" i="9"/>
  <c r="N15" i="9"/>
  <c r="K11" i="9"/>
  <c r="L8" i="9"/>
  <c r="M8" i="11" s="1"/>
  <c r="N14" i="9"/>
  <c r="K9" i="9"/>
  <c r="N12" i="9"/>
  <c r="K8" i="9"/>
  <c r="L8" i="11" s="1"/>
  <c r="N11" i="9"/>
  <c r="N7" i="9"/>
  <c r="K7" i="9"/>
  <c r="L7" i="9"/>
  <c r="M13" i="11" l="1"/>
  <c r="M18" i="11"/>
  <c r="M25" i="11"/>
  <c r="M34" i="11"/>
  <c r="L13" i="11"/>
  <c r="L18" i="11"/>
  <c r="L34" i="11"/>
  <c r="L25" i="11"/>
  <c r="L7" i="11"/>
  <c r="L20" i="11"/>
  <c r="L27" i="11"/>
  <c r="L15" i="11"/>
  <c r="N34" i="11"/>
  <c r="N18" i="11"/>
  <c r="O18" i="11"/>
  <c r="O34" i="11"/>
  <c r="N25" i="11"/>
  <c r="O25" i="11"/>
  <c r="M7" i="11"/>
  <c r="M27" i="11"/>
  <c r="M20" i="11"/>
  <c r="M15" i="11"/>
  <c r="N7" i="11"/>
  <c r="R7" i="11" s="1"/>
  <c r="N20" i="11"/>
  <c r="O20" i="11"/>
  <c r="N15" i="11"/>
  <c r="N27" i="11"/>
  <c r="O27" i="11"/>
  <c r="O15" i="11"/>
  <c r="N13" i="11"/>
  <c r="O13" i="11"/>
  <c r="N12" i="11"/>
  <c r="O12" i="11"/>
  <c r="O8" i="11"/>
  <c r="N11" i="11"/>
  <c r="O11" i="11"/>
  <c r="P10" i="13"/>
  <c r="O7" i="11"/>
  <c r="F7" i="11"/>
</calcChain>
</file>

<file path=xl/sharedStrings.xml><?xml version="1.0" encoding="utf-8"?>
<sst xmlns="http://schemas.openxmlformats.org/spreadsheetml/2006/main" count="712" uniqueCount="256">
  <si>
    <t>Info general</t>
  </si>
  <si>
    <t>CLP</t>
  </si>
  <si>
    <t>"Lista automática": al apretar la casilla de la columna correspondiente a esta nota, se desplegará un calendario para ingresar la fecha</t>
  </si>
  <si>
    <t>UF</t>
  </si>
  <si>
    <t>Datos</t>
  </si>
  <si>
    <t>Valor</t>
  </si>
  <si>
    <t>USD</t>
  </si>
  <si>
    <t>"Automático": Las celdas de la columna se actualizan automáticamente, dependiendo de otros factores de la tabla presente o de las tablas de "datos importantes"</t>
  </si>
  <si>
    <t>Fecha</t>
  </si>
  <si>
    <t>Supervisor Wolke</t>
  </si>
  <si>
    <t>José Valenzuela</t>
  </si>
  <si>
    <t>Cliente</t>
  </si>
  <si>
    <t>Trefimet</t>
  </si>
  <si>
    <t>Dirección Wolke</t>
  </si>
  <si>
    <t>Avenida Pedro de Valdivia 273, of. 201</t>
  </si>
  <si>
    <t>Tipo moneda</t>
  </si>
  <si>
    <t>Tipo costo</t>
  </si>
  <si>
    <t>CIF</t>
  </si>
  <si>
    <t>Cargos</t>
  </si>
  <si>
    <t>Ponderador Precio</t>
  </si>
  <si>
    <t>Puesto</t>
  </si>
  <si>
    <t>Costo UF HH</t>
  </si>
  <si>
    <t>Margen</t>
  </si>
  <si>
    <t>Precio cliente</t>
  </si>
  <si>
    <t>FOB</t>
  </si>
  <si>
    <t>Junior</t>
  </si>
  <si>
    <t>Software</t>
  </si>
  <si>
    <t>Nacional</t>
  </si>
  <si>
    <t>Intermedio</t>
  </si>
  <si>
    <t>Electrico</t>
  </si>
  <si>
    <t>EUR</t>
  </si>
  <si>
    <t>Senior</t>
  </si>
  <si>
    <t>Técnico Instalador</t>
  </si>
  <si>
    <t>Equipo comercial</t>
  </si>
  <si>
    <t>Número grupo</t>
  </si>
  <si>
    <t>Secciones</t>
  </si>
  <si>
    <t>Descripción</t>
  </si>
  <si>
    <t>Tipo de venta</t>
  </si>
  <si>
    <t>Viático dentro de santiago</t>
  </si>
  <si>
    <t>Salida en Santiago</t>
  </si>
  <si>
    <t>Productos</t>
  </si>
  <si>
    <t>Viático fuera de santiago por el día</t>
  </si>
  <si>
    <t>Salida diaria</t>
  </si>
  <si>
    <t>Opcional</t>
  </si>
  <si>
    <t>Viático viaje largo 1n o más</t>
  </si>
  <si>
    <t>Salida/noche</t>
  </si>
  <si>
    <t>HH</t>
  </si>
  <si>
    <t>Tarea</t>
  </si>
  <si>
    <t>VigíaBox Neo</t>
  </si>
  <si>
    <t>Selección</t>
  </si>
  <si>
    <t>Automático</t>
  </si>
  <si>
    <t>Sección</t>
  </si>
  <si>
    <t>Puesto Encargado</t>
  </si>
  <si>
    <t>Cargo</t>
  </si>
  <si>
    <t>Precio por hora UF</t>
  </si>
  <si>
    <t>Ponderador</t>
  </si>
  <si>
    <t>Cantidad horas</t>
  </si>
  <si>
    <t>Precio UF</t>
  </si>
  <si>
    <t>Precio Moneda</t>
  </si>
  <si>
    <t>Escritura manual</t>
  </si>
  <si>
    <t>Agrupación</t>
  </si>
  <si>
    <t>Nombre producto</t>
  </si>
  <si>
    <t>Unidades</t>
  </si>
  <si>
    <t>Proveedor</t>
  </si>
  <si>
    <t>Link de compra</t>
  </si>
  <si>
    <t>RTU</t>
  </si>
  <si>
    <t>Sensor</t>
  </si>
  <si>
    <t>ORP-RDSOR</t>
  </si>
  <si>
    <t>Tipo de moneda</t>
  </si>
  <si>
    <t>CIF/FOB/Nacional</t>
  </si>
  <si>
    <t>Costo producto</t>
  </si>
  <si>
    <t>Costo de producto a oficina</t>
  </si>
  <si>
    <t>Precio Moneda compra</t>
  </si>
  <si>
    <t>Precio CLP</t>
  </si>
  <si>
    <t>Precio USD</t>
  </si>
  <si>
    <t>Fabricante</t>
  </si>
  <si>
    <t>Nombre Vendedor</t>
  </si>
  <si>
    <t>Correo ; Número</t>
  </si>
  <si>
    <t>Datalogger de fabricación propia - No hay margen porque ese es el precio final</t>
  </si>
  <si>
    <t>Wolke</t>
  </si>
  <si>
    <t>jose.valenzuela@wolke.cl</t>
  </si>
  <si>
    <t>Water ORP sensor Modbus Range -1999mV～＋1999mV</t>
  </si>
  <si>
    <t>Honde Technology Co.</t>
  </si>
  <si>
    <t>Kyla</t>
  </si>
  <si>
    <t>kyla@hondetech.com</t>
  </si>
  <si>
    <t>RD-WPHIT</t>
  </si>
  <si>
    <t>Water PH
sensor Modbus Range: 0-14PH</t>
  </si>
  <si>
    <t>RD-TSS-03</t>
  </si>
  <si>
    <t>Water turbidity TSS sludge concentration sensor</t>
  </si>
  <si>
    <t>RD-WNT-02</t>
  </si>
  <si>
    <t>Stainless steelwater quality nitrate temperature 2-in-1 sensor</t>
  </si>
  <si>
    <t>RD-OIW-
01</t>
  </si>
  <si>
    <t>Oil in water sensor</t>
  </si>
  <si>
    <t>RDCBT3IN1-01</t>
  </si>
  <si>
    <t>Water COD BOD TOC Turbidity 4 in 1 type</t>
  </si>
  <si>
    <t>TUF-2000S-02</t>
  </si>
  <si>
    <t>Clamp-on portable ultrasonic flow meter</t>
  </si>
  <si>
    <t>BGT-RD101</t>
  </si>
  <si>
    <t>Radar Level Sensor
Measuring range: 10m
Radar frequency: 80GHz
Accuracy: ±2mm
Power supply: DC7~32V
Output: RS485 Modbus-RTU
Cable length: 10m</t>
  </si>
  <si>
    <t>Soporte</t>
  </si>
  <si>
    <t>Soporte simple 1 sensor INOX</t>
  </si>
  <si>
    <t>Mardinamica</t>
  </si>
  <si>
    <t>Pablo Bernal</t>
  </si>
  <si>
    <t>Moneda final</t>
  </si>
  <si>
    <t>Cantidad</t>
  </si>
  <si>
    <t>a CLP</t>
  </si>
  <si>
    <t>Tipo de Costo, ponderador y margen</t>
  </si>
  <si>
    <t>Columna1</t>
  </si>
  <si>
    <t>Borrar</t>
  </si>
  <si>
    <t>copiar y Pegar manual</t>
  </si>
  <si>
    <t>Moneda producto</t>
  </si>
  <si>
    <t>Soporte simple</t>
  </si>
  <si>
    <t>Agrupaciones</t>
  </si>
  <si>
    <t>Márgenes</t>
  </si>
  <si>
    <t>Precio USD/unitario</t>
  </si>
  <si>
    <t>Moneda Final</t>
  </si>
  <si>
    <t>Ponderador margen (nacional/internacional)</t>
  </si>
  <si>
    <t>Ponderador importación (CIF/FOB)</t>
  </si>
  <si>
    <t>Tipo de viático</t>
  </si>
  <si>
    <t>Nacional cotizacion</t>
  </si>
  <si>
    <t>Tasa transformación</t>
  </si>
  <si>
    <t>última actualización</t>
  </si>
  <si>
    <t>Fecha hoy:</t>
  </si>
  <si>
    <t>Fecha actualización</t>
  </si>
  <si>
    <t>Diferencia de días</t>
  </si>
  <si>
    <t>Precio Euros</t>
  </si>
  <si>
    <t>Importante: ¡En esta tabla no se transforma a moneda local con un x%!</t>
  </si>
  <si>
    <t>Con el mensaje de arriba me refiero a que no se agrega en esta tabla un 5% adicional por el cambio de moneda extranjera a un CLP</t>
  </si>
  <si>
    <t>Explicación:</t>
  </si>
  <si>
    <t>Precio CLP/Unitario</t>
  </si>
  <si>
    <t>Precio UF/Unitario</t>
  </si>
  <si>
    <t>Precio EUR/ Unitario</t>
  </si>
  <si>
    <t>Divisa extranjera a chilena</t>
  </si>
  <si>
    <t>Tarifa Cambio de divisa</t>
  </si>
  <si>
    <t>Nota: en la columna R se multiplica por el valor en la celda por 1+valor en la celda de la izquierda, en la columna Q -----------&gt; este es un aumento por cambio de divisa</t>
  </si>
  <si>
    <t>Alojamiento</t>
  </si>
  <si>
    <t>1 noche/1persona</t>
  </si>
  <si>
    <t>Costo UF</t>
  </si>
  <si>
    <t>Escritura Manual</t>
  </si>
  <si>
    <t>Días de Trabajo</t>
  </si>
  <si>
    <t>Número de personas</t>
  </si>
  <si>
    <t>Cantidad/tipo</t>
  </si>
  <si>
    <t>Cantidad de personas que van</t>
  </si>
  <si>
    <t>Cantidad de días que se trabajan</t>
  </si>
  <si>
    <t>Cuánto se le paga a cada persona</t>
  </si>
  <si>
    <t>Costo unitario</t>
  </si>
  <si>
    <t>N/A</t>
  </si>
  <si>
    <t>Costo cero (0)</t>
  </si>
  <si>
    <t>Precio final</t>
  </si>
  <si>
    <t>No tocar</t>
  </si>
  <si>
    <t>Lugar para que la persona se quede</t>
  </si>
  <si>
    <t>Costo Unitario CLP</t>
  </si>
  <si>
    <t>Precio Unitario</t>
  </si>
  <si>
    <t>La tabla es una ayuda, no sirve para el cálculo final</t>
  </si>
  <si>
    <t>Precio por hora</t>
  </si>
  <si>
    <t>Tipo de Venta</t>
  </si>
  <si>
    <t>Moneda</t>
  </si>
  <si>
    <t>IVA</t>
  </si>
  <si>
    <t>j</t>
  </si>
  <si>
    <t>SUP-LMQ</t>
  </si>
  <si>
    <t>[Ultrasonic open channel flowmeter] [LMQ]
Water weir flume type: Parshall flume No. 1-5;
Accuracy: Class 0.5;
Output: 4-20mA+RS485;
Electrical interface, housing material and protection level: split type,
M18×1.5 cable plug, engineering plastic, IP68;
Power supply: 24VDC;
Cable length: 10m;
Level range: 0-5M
Flow range: 0.1L/s~9999.99m3/h</t>
  </si>
  <si>
    <t>Supme</t>
  </si>
  <si>
    <t>SUP-PTU-8011</t>
  </si>
  <si>
    <t>SUP-PTU8011-Pipeline Mount Kit</t>
  </si>
  <si>
    <t>Specifically for pipeline installations, compatible with turbidity sensors. DN80</t>
  </si>
  <si>
    <t>SUP-TDS-8001</t>
  </si>
  <si>
    <t>Digital conductivity seNsor
Cable:10M
Range:0-70ms/cm
Temperaure range: 0-60℃
Material:POM
IP68 RS485</t>
  </si>
  <si>
    <t>Turbidity Sensor
Cable: 10m
Measure range :0-4000NTU o 0-1000NTU
IP68
Material : 316L+PVC
9-36VDC + RS485
With self cleaning function</t>
  </si>
  <si>
    <t>SUP-PH8001</t>
  </si>
  <si>
    <t>[pH digital electrode] [pH-8001]
Electrode connector: direct lead;
Salt bridge type: single-point ceramic diaphragm;
Temperature compensation type: NTC 22K;
Output: RS485;
Power supply: 12VDC;
Cable length: 10m;
Shell material and process connection: engineering plastic, G3/4
thread;
Measuring range: (0-14)pH
Temperature range: (0-60)℃
Pressure resistance: 0.3MPa</t>
  </si>
  <si>
    <t>SUP-PTU300</t>
  </si>
  <si>
    <t>TurBidity MetEr with built SenSor
Size: 183mm*349mm*113.5mm
IP54
Power supply 24VDC
Measure range 0-100NTU
Output: 4-20mA + RS485</t>
  </si>
  <si>
    <t>SUP-ADI7000</t>
  </si>
  <si>
    <t>Residual chlorine electrode
Range: 0-10.00mg/L
temperature compensation：NTC 10K
output :RS485
power supply: 9-24VDC
Accuracy: ±3% (DPD comparison error ±10% or ±0.05mg/L, whichever
is greater)
Cable length: 10 meters</t>
  </si>
  <si>
    <t>SUP-ADI7000-Flow-Cell</t>
  </si>
  <si>
    <t>For the Residual chlorine electrode</t>
  </si>
  <si>
    <t>SUP-DO-7018</t>
  </si>
  <si>
    <t>DO seNsor(Optical)
Cable: 10m
Range:0-20mg/L
Medium:wastewater
Material : Ti
IP68
Output : RS485
Note:Immersed installation only</t>
  </si>
  <si>
    <t>SUP-ORP8001</t>
  </si>
  <si>
    <t>[pH digital electrode] [ORP-8001]
Electrode connector: direct lead;
Salt bridge type: single-point ceramic diaphragm;
Temperature compensation type: NTC 22K;
Output: RS485;
Power supply: 12VDC;
Cable length: 10m;
Shell material and process connection: engineering plastic, G3/4 thread;
Measuring range: （-1000-1000）mV
pH Temperature range: (0-60)℃
Pressure resistance: 0.3MPa</t>
  </si>
  <si>
    <t>SUP-PSS9011</t>
  </si>
  <si>
    <t>TSS seNsor
Cable: 10m
Measure range : 0.1 ~ 5000 mg/L or 0.1 ~ 500 mg/L
IP68
Material : 316L+PVC
9-36VDC + RS485
With self-cleaning function
Noted: add the pipe installation accessory for you, pressure rate lower
than 0.4MPa
Or use the Immersed installation</t>
  </si>
  <si>
    <t>KIT 1 Tratamiento</t>
  </si>
  <si>
    <t>KIT 2 Tratamiento</t>
  </si>
  <si>
    <t>KIT 1 Potabilizacion</t>
  </si>
  <si>
    <t xml:space="preserve">Instalación </t>
  </si>
  <si>
    <t>Multi-parameters water analyzer
pH: 0-14pH, Accuracy ±0.1pH
conductivity:1-2000uS/cm ;Accuracy ±1.5%FS
Temperature:-20℃ - 85℃,Accuracy ±0.5℃
Turbidity: 0-100NTU;Lower detection limit 0.02NTU
Dissolved oxygen:0-20mg/L ;Accuracy ±0.3mg/L
Residual chlorine/chlorine dioxide: 0-20mg/L ,Resolution 0.01mg/L
Working power (220±22)VAC，(50±1)Hz
Communication interface RS485 Modbus RTU communication protocol
Display 7-inch color touch screen, English</t>
  </si>
  <si>
    <t>SUP-MPP1000</t>
  </si>
  <si>
    <t>KIT 2 Potabilizacion</t>
  </si>
  <si>
    <t>Configuracion y pruebas</t>
  </si>
  <si>
    <t>Configuración de equipos, pruebas de funcionamiento y calibración.</t>
  </si>
  <si>
    <t>Tableros</t>
  </si>
  <si>
    <t>TBL-PWR-GEN</t>
  </si>
  <si>
    <t>Tablero IP65+ Fuente y accesorios</t>
  </si>
  <si>
    <t>Instalación de Técnico Instalador</t>
  </si>
  <si>
    <t>Instalador Ingeniero Eléctrico</t>
  </si>
  <si>
    <t>---</t>
  </si>
  <si>
    <t>----</t>
  </si>
  <si>
    <t>Viaje</t>
  </si>
  <si>
    <t>Precio final (sin iva - moneda)</t>
  </si>
  <si>
    <t>Ir a terreno</t>
  </si>
  <si>
    <t>Ir a terreno --- descripcion</t>
  </si>
  <si>
    <t>SubTotales (Sin IVA)</t>
  </si>
  <si>
    <t>SubTotales en CLP (Sin IVA)</t>
  </si>
  <si>
    <t>Total CLP (Con IVA)</t>
  </si>
  <si>
    <t>Costo Producto</t>
  </si>
  <si>
    <t>Esta macro se corrió por última vez 29-04-2025</t>
  </si>
  <si>
    <t>Instalación</t>
  </si>
  <si>
    <t>USD 34.053,81</t>
  </si>
  <si>
    <t>EUR 1.853,66</t>
  </si>
  <si>
    <t>Etiquetas de fila</t>
  </si>
  <si>
    <t>Total general</t>
  </si>
  <si>
    <t>Resumen Hoja BoM</t>
  </si>
  <si>
    <t>Precio final (sin IVA - moneda)</t>
  </si>
  <si>
    <t>EUR 617,89</t>
  </si>
  <si>
    <t>1.853,66</t>
  </si>
  <si>
    <t>USD 2.080,00</t>
  </si>
  <si>
    <t>USD 0,00</t>
  </si>
  <si>
    <t>USD 312,00</t>
  </si>
  <si>
    <t>USD 1.105,00</t>
  </si>
  <si>
    <t>USD 526,32</t>
  </si>
  <si>
    <t>USD 2.105,26</t>
  </si>
  <si>
    <t>USD 394,74</t>
  </si>
  <si>
    <t>USD 1.184,21</t>
  </si>
  <si>
    <t>6.786,47</t>
  </si>
  <si>
    <t>USD 666,67</t>
  </si>
  <si>
    <t>USD 1.333,33</t>
  </si>
  <si>
    <t>USD 416,00</t>
  </si>
  <si>
    <t>USD 832,00</t>
  </si>
  <si>
    <t>USD 789,47</t>
  </si>
  <si>
    <t>USD 1.052,63</t>
  </si>
  <si>
    <t>4.319,44</t>
  </si>
  <si>
    <t>USD 624,00</t>
  </si>
  <si>
    <t>USD 1.560,00</t>
  </si>
  <si>
    <t>7.517,07</t>
  </si>
  <si>
    <t>USD 2.666,67</t>
  </si>
  <si>
    <t>USD 2.340,00</t>
  </si>
  <si>
    <t>USD 4.680,00</t>
  </si>
  <si>
    <t>USD 676,00</t>
  </si>
  <si>
    <t>USD 3.684,21</t>
  </si>
  <si>
    <t>USD 1.578,95</t>
  </si>
  <si>
    <t>15.430,82</t>
  </si>
  <si>
    <t>35.907,47</t>
  </si>
  <si>
    <t>CLP 640.153,33</t>
  </si>
  <si>
    <t>USD 606,46</t>
  </si>
  <si>
    <t>UF 33,33</t>
  </si>
  <si>
    <t>Resumen Hoja Desarrollo</t>
  </si>
  <si>
    <t>Producto</t>
  </si>
  <si>
    <t>Cantidad HH</t>
  </si>
  <si>
    <t>UF 6,67</t>
  </si>
  <si>
    <t>UF 11,67</t>
  </si>
  <si>
    <t>UF 8,33</t>
  </si>
  <si>
    <t>CLP 10,00</t>
  </si>
  <si>
    <t>Resumen Hoja Viajes</t>
  </si>
  <si>
    <t>Precio final (Sin Iva)</t>
  </si>
  <si>
    <t>Precio final (sin Iva)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</si>
</sst>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$&quot;#,##0.00"/>
    <numFmt numFmtId="165" formatCode="[$-F800]dddd\,\ mmmm\ dd\,\ yyyy"/>
    <numFmt numFmtId="166" formatCode="#,##0.000"/>
    <numFmt numFmtId="167" formatCode="dd/mm/yy;@"/>
    <numFmt numFmtId="168" formatCode="&quot;$&quot;#,##0"/>
    <numFmt numFmtId="169" formatCode="#,##0.0"/>
    <numFmt numFmtId="170" formatCode="0.0"/>
  </numFmts>
  <fonts count="19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1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</font>
    <font>
      <sz val="11"/>
      <color rgb="FF000000"/>
      <name val="Aptos Narrow"/>
      <family val="2"/>
    </font>
    <font>
      <b/>
      <sz val="11"/>
      <color theme="1"/>
      <name val="Aptos Narrow"/>
      <scheme val="minor"/>
    </font>
    <font>
      <b/>
      <sz val="14"/>
      <color theme="1"/>
      <name val="Aptos Narrow"/>
      <scheme val="minor"/>
    </font>
    <font>
      <b/>
      <sz val="11"/>
      <color rgb="FF000000"/>
      <name val="Aptos Narrow"/>
      <scheme val="minor"/>
    </font>
    <font>
      <b/>
      <sz val="11"/>
      <color rgb="FFFFFFFF"/>
      <name val="Aptos Narrow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5" tint="0.79998168889431442"/>
      </patternFill>
    </fill>
    <fill>
      <patternFill patternType="solid">
        <fgColor rgb="FFC0E4F5"/>
        <bgColor rgb="FFC0E4F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5B3C11"/>
        <bgColor indexed="64"/>
      </patternFill>
    </fill>
    <fill>
      <patternFill patternType="solid">
        <fgColor rgb="FF000000"/>
        <bgColor indexed="64"/>
      </patternFill>
    </fill>
  </fills>
  <borders count="1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rgb="FF43AEE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87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4" fontId="0" fillId="0" borderId="0" xfId="0" applyNumberFormat="1"/>
    <xf numFmtId="0" fontId="0" fillId="2" borderId="0" xfId="0" applyFill="1"/>
    <xf numFmtId="0" fontId="2" fillId="4" borderId="0" xfId="0" applyFont="1" applyFill="1"/>
    <xf numFmtId="0" fontId="0" fillId="0" borderId="3" xfId="0" applyBorder="1" applyAlignment="1">
      <alignment horizontal="center" vertical="center" wrapText="1"/>
    </xf>
    <xf numFmtId="0" fontId="0" fillId="6" borderId="0" xfId="0" applyFill="1"/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 wrapText="1"/>
    </xf>
    <xf numFmtId="0" fontId="0" fillId="6" borderId="0" xfId="0" applyFill="1" applyAlignment="1">
      <alignment horizontal="center" vertical="center"/>
    </xf>
    <xf numFmtId="166" fontId="0" fillId="0" borderId="1" xfId="0" applyNumberFormat="1" applyBorder="1" applyAlignment="1">
      <alignment horizontal="center" vertical="center" wrapText="1"/>
    </xf>
    <xf numFmtId="164" fontId="0" fillId="6" borderId="0" xfId="0" applyNumberFormat="1" applyFill="1"/>
    <xf numFmtId="0" fontId="0" fillId="6" borderId="0" xfId="0" applyFill="1" applyAlignment="1">
      <alignment horizontal="center" vertical="center" wrapText="1"/>
    </xf>
    <xf numFmtId="0" fontId="0" fillId="6" borderId="0" xfId="0" applyFill="1" applyAlignment="1">
      <alignment wrapText="1"/>
    </xf>
    <xf numFmtId="166" fontId="0" fillId="9" borderId="0" xfId="0" applyNumberFormat="1" applyFill="1" applyAlignment="1">
      <alignment horizontal="center" vertical="center" wrapText="1"/>
    </xf>
    <xf numFmtId="166" fontId="0" fillId="6" borderId="0" xfId="0" applyNumberFormat="1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1" fillId="3" borderId="6" xfId="0" applyFont="1" applyFill="1" applyBorder="1"/>
    <xf numFmtId="0" fontId="0" fillId="5" borderId="5" xfId="0" applyFill="1" applyBorder="1" applyAlignment="1">
      <alignment horizontal="left" vertical="center" wrapText="1"/>
    </xf>
    <xf numFmtId="0" fontId="0" fillId="5" borderId="5" xfId="0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 wrapText="1"/>
    </xf>
    <xf numFmtId="0" fontId="0" fillId="5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left" vertical="center" wrapText="1"/>
    </xf>
    <xf numFmtId="0" fontId="0" fillId="5" borderId="2" xfId="0" applyFill="1" applyBorder="1" applyAlignment="1">
      <alignment horizontal="left" vertical="center"/>
    </xf>
    <xf numFmtId="0" fontId="3" fillId="5" borderId="2" xfId="1" applyFill="1" applyBorder="1" applyAlignment="1">
      <alignment horizontal="left" vertical="center"/>
    </xf>
    <xf numFmtId="0" fontId="4" fillId="5" borderId="0" xfId="1" applyFont="1" applyFill="1" applyBorder="1" applyAlignment="1">
      <alignment horizontal="left" vertical="center"/>
    </xf>
    <xf numFmtId="0" fontId="0" fillId="5" borderId="5" xfId="1" applyFont="1" applyFill="1" applyBorder="1" applyAlignment="1">
      <alignment horizontal="left" vertical="center"/>
    </xf>
    <xf numFmtId="0" fontId="1" fillId="3" borderId="6" xfId="0" applyFont="1" applyFill="1" applyBorder="1" applyAlignment="1">
      <alignment wrapText="1"/>
    </xf>
    <xf numFmtId="2" fontId="0" fillId="5" borderId="5" xfId="0" applyNumberFormat="1" applyFill="1" applyBorder="1" applyAlignment="1">
      <alignment horizontal="left" vertical="center"/>
    </xf>
    <xf numFmtId="0" fontId="0" fillId="5" borderId="5" xfId="0" applyFill="1" applyBorder="1" applyAlignment="1">
      <alignment horizontal="center" vertical="center" wrapText="1"/>
    </xf>
    <xf numFmtId="0" fontId="0" fillId="6" borderId="7" xfId="0" applyFill="1" applyBorder="1"/>
    <xf numFmtId="0" fontId="0" fillId="7" borderId="7" xfId="0" applyFill="1" applyBorder="1" applyAlignment="1">
      <alignment horizontal="left" vertical="center" wrapText="1"/>
    </xf>
    <xf numFmtId="0" fontId="0" fillId="7" borderId="7" xfId="0" applyFill="1" applyBorder="1" applyAlignment="1">
      <alignment horizontal="center" vertical="center"/>
    </xf>
    <xf numFmtId="4" fontId="0" fillId="5" borderId="5" xfId="0" applyNumberFormat="1" applyFill="1" applyBorder="1" applyAlignment="1">
      <alignment horizontal="center" vertical="center"/>
    </xf>
    <xf numFmtId="0" fontId="1" fillId="3" borderId="9" xfId="0" applyFont="1" applyFill="1" applyBorder="1" applyAlignment="1">
      <alignment wrapText="1"/>
    </xf>
    <xf numFmtId="9" fontId="0" fillId="0" borderId="0" xfId="0" applyNumberFormat="1" applyAlignment="1">
      <alignment horizontal="center" vertical="center" wrapText="1"/>
    </xf>
    <xf numFmtId="3" fontId="0" fillId="6" borderId="0" xfId="0" applyNumberFormat="1" applyFill="1"/>
    <xf numFmtId="3" fontId="0" fillId="0" borderId="0" xfId="0" applyNumberFormat="1"/>
    <xf numFmtId="4" fontId="0" fillId="5" borderId="5" xfId="0" applyNumberFormat="1" applyFill="1" applyBorder="1" applyAlignment="1">
      <alignment horizontal="left" vertical="center"/>
    </xf>
    <xf numFmtId="4" fontId="3" fillId="5" borderId="5" xfId="1" applyNumberFormat="1" applyFill="1" applyBorder="1" applyAlignment="1">
      <alignment horizontal="left" vertical="center"/>
    </xf>
    <xf numFmtId="0" fontId="3" fillId="5" borderId="5" xfId="1" applyNumberFormat="1" applyFill="1" applyBorder="1" applyAlignment="1">
      <alignment horizontal="left" vertical="center"/>
    </xf>
    <xf numFmtId="0" fontId="0" fillId="5" borderId="5" xfId="1" applyNumberFormat="1" applyFont="1" applyFill="1" applyBorder="1" applyAlignment="1">
      <alignment horizontal="left" vertical="center"/>
    </xf>
    <xf numFmtId="0" fontId="7" fillId="6" borderId="0" xfId="0" applyFont="1" applyFill="1"/>
    <xf numFmtId="3" fontId="7" fillId="6" borderId="0" xfId="0" applyNumberFormat="1" applyFont="1" applyFill="1"/>
    <xf numFmtId="3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0" fontId="0" fillId="5" borderId="5" xfId="0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6" borderId="0" xfId="0" applyFill="1" applyAlignment="1">
      <alignment horizontal="left" wrapText="1"/>
    </xf>
    <xf numFmtId="0" fontId="2" fillId="6" borderId="0" xfId="0" applyFont="1" applyFill="1" applyAlignment="1">
      <alignment wrapText="1"/>
    </xf>
    <xf numFmtId="0" fontId="0" fillId="0" borderId="7" xfId="0" applyBorder="1" applyAlignment="1">
      <alignment horizontal="center" vertical="center" wrapText="1"/>
    </xf>
    <xf numFmtId="165" fontId="0" fillId="0" borderId="7" xfId="0" applyNumberFormat="1" applyBorder="1" applyAlignment="1">
      <alignment horizontal="center" vertical="center" wrapText="1"/>
    </xf>
    <xf numFmtId="4" fontId="0" fillId="5" borderId="2" xfId="0" applyNumberFormat="1" applyFill="1" applyBorder="1" applyAlignment="1">
      <alignment horizontal="right" vertical="center" indent="1"/>
    </xf>
    <xf numFmtId="10" fontId="0" fillId="5" borderId="2" xfId="0" applyNumberFormat="1" applyFill="1" applyBorder="1" applyAlignment="1">
      <alignment horizontal="right" vertical="center" indent="1"/>
    </xf>
    <xf numFmtId="4" fontId="0" fillId="5" borderId="5" xfId="0" applyNumberFormat="1" applyFill="1" applyBorder="1" applyAlignment="1">
      <alignment horizontal="right" vertical="center" indent="1"/>
    </xf>
    <xf numFmtId="0" fontId="3" fillId="5" borderId="5" xfId="1" applyFill="1" applyBorder="1" applyAlignment="1">
      <alignment horizontal="left" vertical="center"/>
    </xf>
    <xf numFmtId="0" fontId="2" fillId="6" borderId="0" xfId="0" applyFont="1" applyFill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9" fontId="0" fillId="0" borderId="0" xfId="0" applyNumberFormat="1"/>
    <xf numFmtId="4" fontId="3" fillId="10" borderId="5" xfId="1" applyNumberFormat="1" applyFill="1" applyBorder="1" applyAlignment="1">
      <alignment horizontal="left" vertical="center"/>
    </xf>
    <xf numFmtId="4" fontId="3" fillId="10" borderId="0" xfId="1" applyNumberFormat="1" applyFill="1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1" fillId="3" borderId="8" xfId="0" applyFont="1" applyFill="1" applyBorder="1" applyAlignment="1">
      <alignment wrapText="1"/>
    </xf>
    <xf numFmtId="4" fontId="0" fillId="5" borderId="0" xfId="0" applyNumberFormat="1" applyFill="1" applyAlignment="1">
      <alignment horizontal="left" vertical="center"/>
    </xf>
    <xf numFmtId="0" fontId="0" fillId="6" borderId="0" xfId="0" applyFill="1" applyAlignment="1">
      <alignment horizontal="center" wrapText="1"/>
    </xf>
    <xf numFmtId="165" fontId="0" fillId="6" borderId="0" xfId="0" applyNumberFormat="1" applyFill="1" applyAlignment="1">
      <alignment horizontal="center" vertical="center" wrapText="1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left"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0" borderId="0" xfId="0" applyAlignment="1">
      <alignment wrapText="1"/>
    </xf>
    <xf numFmtId="164" fontId="0" fillId="6" borderId="0" xfId="0" applyNumberFormat="1" applyFill="1" applyAlignment="1">
      <alignment wrapText="1"/>
    </xf>
    <xf numFmtId="164" fontId="8" fillId="6" borderId="0" xfId="0" applyNumberFormat="1" applyFont="1" applyFill="1" applyAlignment="1">
      <alignment wrapText="1"/>
    </xf>
    <xf numFmtId="0" fontId="0" fillId="0" borderId="0" xfId="0" applyAlignment="1">
      <alignment horizontal="center" wrapText="1"/>
    </xf>
    <xf numFmtId="164" fontId="0" fillId="0" borderId="7" xfId="0" applyNumberFormat="1" applyBorder="1" applyAlignment="1">
      <alignment wrapText="1"/>
    </xf>
    <xf numFmtId="9" fontId="0" fillId="0" borderId="0" xfId="0" applyNumberFormat="1" applyAlignment="1">
      <alignment wrapText="1"/>
    </xf>
    <xf numFmtId="0" fontId="0" fillId="0" borderId="7" xfId="0" applyBorder="1" applyAlignment="1">
      <alignment horizontal="left" vertical="center" wrapText="1"/>
    </xf>
    <xf numFmtId="9" fontId="0" fillId="0" borderId="0" xfId="0" applyNumberFormat="1" applyAlignment="1">
      <alignment horizontal="left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1" xfId="0" applyBorder="1" applyAlignment="1">
      <alignment horizontal="left" vertical="center" wrapText="1"/>
    </xf>
    <xf numFmtId="0" fontId="6" fillId="0" borderId="0" xfId="0" applyFont="1" applyAlignment="1">
      <alignment wrapText="1"/>
    </xf>
    <xf numFmtId="0" fontId="0" fillId="6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9" fontId="0" fillId="6" borderId="0" xfId="0" applyNumberFormat="1" applyFill="1" applyAlignment="1">
      <alignment horizontal="center" vertical="center"/>
    </xf>
    <xf numFmtId="9" fontId="0" fillId="6" borderId="0" xfId="0" applyNumberFormat="1" applyFill="1" applyAlignment="1">
      <alignment horizontal="left" vertical="center"/>
    </xf>
    <xf numFmtId="9" fontId="0" fillId="6" borderId="0" xfId="0" applyNumberFormat="1" applyFill="1"/>
    <xf numFmtId="0" fontId="0" fillId="0" borderId="12" xfId="0" applyBorder="1" applyAlignment="1">
      <alignment horizontal="center" vertical="center" wrapText="1"/>
    </xf>
    <xf numFmtId="0" fontId="9" fillId="6" borderId="0" xfId="0" applyFont="1" applyFill="1" applyAlignment="1">
      <alignment wrapText="1"/>
    </xf>
    <xf numFmtId="0" fontId="0" fillId="0" borderId="7" xfId="0" applyBorder="1"/>
    <xf numFmtId="0" fontId="0" fillId="0" borderId="0" xfId="0" quotePrefix="1" applyAlignment="1">
      <alignment wrapText="1"/>
    </xf>
    <xf numFmtId="0" fontId="7" fillId="11" borderId="7" xfId="0" applyFont="1" applyFill="1" applyBorder="1" applyAlignment="1">
      <alignment horizontal="center" vertical="center" wrapText="1"/>
    </xf>
    <xf numFmtId="0" fontId="0" fillId="5" borderId="6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166" fontId="0" fillId="0" borderId="14" xfId="0" applyNumberFormat="1" applyBorder="1" applyAlignment="1">
      <alignment horizontal="center" vertical="center" wrapText="1"/>
    </xf>
    <xf numFmtId="0" fontId="0" fillId="14" borderId="0" xfId="0" applyFill="1"/>
    <xf numFmtId="0" fontId="0" fillId="7" borderId="0" xfId="0" applyFill="1" applyAlignment="1">
      <alignment horizontal="center" vertical="center"/>
    </xf>
    <xf numFmtId="0" fontId="4" fillId="5" borderId="0" xfId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5" borderId="5" xfId="0" applyNumberFormat="1" applyFill="1" applyBorder="1" applyAlignment="1">
      <alignment horizontal="center" vertical="center"/>
    </xf>
    <xf numFmtId="0" fontId="1" fillId="15" borderId="7" xfId="0" applyFont="1" applyFill="1" applyBorder="1" applyAlignment="1">
      <alignment horizontal="center" vertical="center"/>
    </xf>
    <xf numFmtId="10" fontId="0" fillId="5" borderId="5" xfId="0" applyNumberFormat="1" applyFill="1" applyBorder="1" applyAlignment="1">
      <alignment horizontal="center" vertical="center"/>
    </xf>
    <xf numFmtId="168" fontId="0" fillId="5" borderId="5" xfId="0" applyNumberFormat="1" applyFill="1" applyBorder="1" applyAlignment="1">
      <alignment horizontal="center" vertical="center"/>
    </xf>
    <xf numFmtId="164" fontId="0" fillId="5" borderId="5" xfId="0" applyNumberFormat="1" applyFill="1" applyBorder="1" applyAlignment="1">
      <alignment horizontal="center" vertical="center"/>
    </xf>
    <xf numFmtId="164" fontId="0" fillId="6" borderId="0" xfId="0" applyNumberFormat="1" applyFill="1" applyAlignment="1">
      <alignment horizontal="right"/>
    </xf>
    <xf numFmtId="0" fontId="0" fillId="6" borderId="0" xfId="0" applyFill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left" wrapText="1"/>
    </xf>
    <xf numFmtId="3" fontId="7" fillId="0" borderId="0" xfId="0" applyNumberFormat="1" applyFont="1" applyAlignment="1">
      <alignment horizontal="right"/>
    </xf>
    <xf numFmtId="164" fontId="7" fillId="0" borderId="0" xfId="0" applyNumberFormat="1" applyFont="1" applyAlignment="1">
      <alignment horizontal="right"/>
    </xf>
    <xf numFmtId="164" fontId="7" fillId="0" borderId="0" xfId="0" applyNumberFormat="1" applyFont="1"/>
    <xf numFmtId="3" fontId="7" fillId="0" borderId="0" xfId="0" applyNumberFormat="1" applyFont="1"/>
    <xf numFmtId="4" fontId="0" fillId="6" borderId="0" xfId="0" applyNumberFormat="1" applyFill="1"/>
    <xf numFmtId="4" fontId="0" fillId="0" borderId="0" xfId="0" applyNumberFormat="1"/>
    <xf numFmtId="0" fontId="0" fillId="5" borderId="0" xfId="0" applyFill="1" applyAlignment="1">
      <alignment horizontal="left" vertical="center" wrapText="1"/>
    </xf>
    <xf numFmtId="2" fontId="0" fillId="5" borderId="0" xfId="0" applyNumberFormat="1" applyFill="1" applyAlignment="1">
      <alignment horizontal="left" vertical="center"/>
    </xf>
    <xf numFmtId="4" fontId="0" fillId="10" borderId="0" xfId="0" applyNumberFormat="1" applyFill="1" applyAlignment="1">
      <alignment horizontal="left" vertical="center"/>
    </xf>
    <xf numFmtId="164" fontId="3" fillId="5" borderId="5" xfId="1" applyNumberForma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left" vertical="center"/>
    </xf>
    <xf numFmtId="0" fontId="5" fillId="16" borderId="0" xfId="0" applyFont="1" applyFill="1" applyAlignment="1">
      <alignment horizontal="left" vertical="center"/>
    </xf>
    <xf numFmtId="164" fontId="0" fillId="6" borderId="0" xfId="0" applyNumberFormat="1" applyFill="1" applyAlignment="1">
      <alignment horizontal="left"/>
    </xf>
    <xf numFmtId="164" fontId="0" fillId="6" borderId="0" xfId="0" applyNumberFormat="1" applyFill="1" applyAlignment="1">
      <alignment horizontal="left" wrapText="1"/>
    </xf>
    <xf numFmtId="4" fontId="7" fillId="0" borderId="0" xfId="0" applyNumberFormat="1" applyFont="1"/>
    <xf numFmtId="0" fontId="5" fillId="16" borderId="0" xfId="0" applyFont="1" applyFill="1" applyAlignment="1">
      <alignment horizontal="center" vertical="center" wrapText="1"/>
    </xf>
    <xf numFmtId="2" fontId="0" fillId="0" borderId="7" xfId="0" applyNumberFormat="1" applyBorder="1" applyAlignment="1">
      <alignment horizontal="center" vertical="center" wrapText="1"/>
    </xf>
    <xf numFmtId="0" fontId="1" fillId="18" borderId="0" xfId="0" applyFont="1" applyFill="1"/>
    <xf numFmtId="0" fontId="1" fillId="15" borderId="0" xfId="0" applyFont="1" applyFill="1"/>
    <xf numFmtId="0" fontId="1" fillId="19" borderId="7" xfId="0" applyFont="1" applyFill="1" applyBorder="1" applyAlignment="1">
      <alignment horizontal="center" vertical="center"/>
    </xf>
    <xf numFmtId="14" fontId="1" fillId="21" borderId="0" xfId="0" applyNumberFormat="1" applyFont="1" applyFill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167" fontId="0" fillId="0" borderId="7" xfId="0" applyNumberFormat="1" applyBorder="1" applyAlignment="1">
      <alignment horizontal="center" vertical="center" wrapText="1"/>
    </xf>
    <xf numFmtId="4" fontId="0" fillId="0" borderId="7" xfId="0" applyNumberFormat="1" applyBorder="1" applyAlignment="1">
      <alignment horizontal="center" vertical="center" wrapText="1"/>
    </xf>
    <xf numFmtId="0" fontId="0" fillId="7" borderId="0" xfId="0" applyFill="1" applyAlignment="1">
      <alignment horizontal="left" vertical="center" wrapText="1"/>
    </xf>
    <xf numFmtId="0" fontId="0" fillId="6" borderId="11" xfId="0" applyFill="1" applyBorder="1" applyAlignment="1">
      <alignment horizontal="left" vertical="center" wrapText="1"/>
    </xf>
    <xf numFmtId="9" fontId="0" fillId="6" borderId="0" xfId="0" applyNumberFormat="1" applyFill="1" applyAlignment="1">
      <alignment horizontal="left" vertical="center" wrapText="1"/>
    </xf>
    <xf numFmtId="10" fontId="0" fillId="5" borderId="5" xfId="0" applyNumberFormat="1" applyFill="1" applyBorder="1" applyAlignment="1">
      <alignment horizontal="right" vertical="center" indent="1"/>
    </xf>
    <xf numFmtId="164" fontId="0" fillId="6" borderId="11" xfId="0" applyNumberFormat="1" applyFill="1" applyBorder="1" applyAlignment="1">
      <alignment horizontal="left" vertical="center" wrapText="1"/>
    </xf>
    <xf numFmtId="169" fontId="0" fillId="5" borderId="5" xfId="0" applyNumberFormat="1" applyFill="1" applyBorder="1" applyAlignment="1">
      <alignment horizontal="right" vertical="center"/>
    </xf>
    <xf numFmtId="170" fontId="0" fillId="5" borderId="2" xfId="0" applyNumberFormat="1" applyFill="1" applyBorder="1" applyAlignment="1">
      <alignment horizontal="right" vertical="center" wrapText="1"/>
    </xf>
    <xf numFmtId="170" fontId="0" fillId="5" borderId="5" xfId="0" applyNumberFormat="1" applyFill="1" applyBorder="1" applyAlignment="1">
      <alignment horizontal="right" vertical="center"/>
    </xf>
    <xf numFmtId="4" fontId="3" fillId="5" borderId="0" xfId="1" applyNumberFormat="1" applyFill="1" applyBorder="1" applyAlignment="1">
      <alignment horizontal="left" vertical="center"/>
    </xf>
    <xf numFmtId="0" fontId="0" fillId="5" borderId="16" xfId="0" applyFill="1" applyBorder="1" applyAlignment="1">
      <alignment horizontal="left" vertical="center" wrapText="1"/>
    </xf>
    <xf numFmtId="0" fontId="6" fillId="5" borderId="0" xfId="0" applyFont="1" applyFill="1" applyAlignment="1">
      <alignment horizontal="left" vertical="center" wrapText="1"/>
    </xf>
    <xf numFmtId="2" fontId="0" fillId="0" borderId="0" xfId="0" applyNumberFormat="1" applyAlignment="1">
      <alignment horizontal="center" vertical="center" wrapText="1"/>
    </xf>
    <xf numFmtId="0" fontId="0" fillId="5" borderId="5" xfId="0" quotePrefix="1" applyFill="1" applyBorder="1" applyAlignment="1">
      <alignment horizontal="left" vertical="center" wrapText="1"/>
    </xf>
    <xf numFmtId="166" fontId="0" fillId="5" borderId="5" xfId="0" applyNumberFormat="1" applyFill="1" applyBorder="1" applyAlignment="1">
      <alignment horizontal="right" vertical="center"/>
    </xf>
    <xf numFmtId="0" fontId="6" fillId="0" borderId="7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6" borderId="0" xfId="0" applyFont="1" applyFill="1" applyAlignment="1">
      <alignment wrapText="1"/>
    </xf>
    <xf numFmtId="164" fontId="7" fillId="20" borderId="0" xfId="0" applyNumberFormat="1" applyFont="1" applyFill="1" applyAlignment="1">
      <alignment horizontal="center" vertical="center" wrapText="1"/>
    </xf>
    <xf numFmtId="0" fontId="0" fillId="8" borderId="0" xfId="0" applyFill="1" applyAlignment="1">
      <alignment horizontal="center" wrapText="1"/>
    </xf>
    <xf numFmtId="165" fontId="0" fillId="12" borderId="0" xfId="0" applyNumberFormat="1" applyFill="1" applyAlignment="1">
      <alignment horizontal="center" vertical="center" wrapText="1"/>
    </xf>
    <xf numFmtId="0" fontId="0" fillId="8" borderId="0" xfId="0" applyFill="1" applyAlignment="1">
      <alignment horizontal="center"/>
    </xf>
    <xf numFmtId="0" fontId="11" fillId="8" borderId="0" xfId="0" applyFont="1" applyFill="1" applyAlignment="1">
      <alignment horizontal="center" wrapText="1"/>
    </xf>
    <xf numFmtId="0" fontId="10" fillId="8" borderId="0" xfId="0" applyFont="1" applyFill="1" applyAlignment="1">
      <alignment horizontal="center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7" fillId="8" borderId="0" xfId="0" applyFont="1" applyFill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/>
    </xf>
    <xf numFmtId="0" fontId="7" fillId="13" borderId="13" xfId="0" applyFont="1" applyFill="1" applyBorder="1" applyAlignment="1">
      <alignment horizontal="center"/>
    </xf>
    <xf numFmtId="0" fontId="7" fillId="13" borderId="10" xfId="0" applyFont="1" applyFill="1" applyBorder="1" applyAlignment="1">
      <alignment horizontal="center"/>
    </xf>
    <xf numFmtId="0" fontId="7" fillId="13" borderId="12" xfId="0" applyFont="1" applyFill="1" applyBorder="1" applyAlignment="1">
      <alignment horizontal="center"/>
    </xf>
    <xf numFmtId="0" fontId="0" fillId="17" borderId="0" xfId="0" applyFill="1" applyBorder="1"/>
    <xf numFmtId="0" fontId="0" fillId="17" borderId="17" xfId="0" applyFill="1" applyBorder="1"/>
    <xf numFmtId="0" fontId="15" fillId="22" borderId="17" xfId="0" applyFont="1" applyFill="1" applyBorder="1" applyAlignment="1">
      <alignment horizontal="center" vertical="center"/>
    </xf>
    <xf numFmtId="0" fontId="0" fillId="23" borderId="17" xfId="0" applyFill="1" applyBorder="1" applyAlignment="1">
      <alignment horizontal="center"/>
    </xf>
    <xf numFmtId="164" fontId="0" fillId="17" borderId="17" xfId="0" applyNumberFormat="1" applyFill="1" applyBorder="1" applyAlignment="1">
      <alignment horizontal="righ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15" fillId="0" borderId="0" xfId="0" applyFont="1"/>
    <xf numFmtId="0" fontId="16" fillId="24" borderId="0" xfId="0" applyFont="1" applyFill="1"/>
    <xf numFmtId="0" fontId="15" fillId="25" borderId="0" xfId="0" applyFont="1" applyFill="1"/>
    <xf numFmtId="0" fontId="17" fillId="0" borderId="0" xfId="0" applyFont="1" applyFill="1"/>
    <xf numFmtId="0" fontId="18" fillId="26" borderId="0" xfId="0" applyFont="1" applyFill="1"/>
    <xf numFmtId="0" fontId="18" fillId="27" borderId="0" xfId="0" applyFont="1" applyFill="1"/>
    <xf numFmtId="0" fontId="18" fillId="28" borderId="0" xfId="0" applyFont="1" applyFill="1"/>
    <xf numFmtId="0" fontId="18" fillId="29" borderId="0" xfId="0" applyFont="1" applyFill="1"/>
    <xf numFmtId="4" fontId="15" fillId="25" borderId="0" xfId="0" applyNumberFormat="1" applyFont="1" applyFill="1"/>
    <xf numFmtId="4" fontId="15" fillId="0" borderId="0" xfId="0" applyNumberFormat="1" applyFont="1"/>
    <xf numFmtId="0" fontId="16" fillId="24" borderId="0" xfId="0" applyFont="1" applyFill="1" applyBorder="1"/>
    <xf numFmtId="0" fontId="15" fillId="25" borderId="0" xfId="0" applyFont="1" applyFill="1" applyBorder="1"/>
    <xf numFmtId="0" fontId="18" fillId="26" borderId="0" xfId="0" applyFont="1" applyFill="1" applyBorder="1"/>
    <xf numFmtId="4" fontId="0" fillId="17" borderId="0" xfId="0" applyNumberFormat="1" applyFill="1" applyBorder="1"/>
    <xf numFmtId="4" fontId="15" fillId="25" borderId="0" xfId="0" applyNumberFormat="1" applyFont="1" applyFill="1" applyBorder="1"/>
  </cellXfs>
  <cellStyles count="2">
    <cellStyle name="Hipervínculo" xfId="1" builtinId="8"/>
    <cellStyle name="Normal" xfId="0" builtinId="0"/>
  </cellStyles>
  <dxfs count="127"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166" formatCode="#,##0.0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69" formatCode="#,##0.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0.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numFmt numFmtId="164" formatCode="&quot;$&quot;#,##0.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68" formatCode="&quot;$&quot;#,##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4" formatCode="0.00%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rgb="FF43AEE2"/>
        </top>
      </border>
    </dxf>
    <dxf>
      <border outline="0">
        <left style="thin">
          <color rgb="FF43AEE2"/>
        </left>
        <top style="thin">
          <color rgb="FF43AEE2"/>
        </top>
        <bottom style="thin">
          <color rgb="FF43AEE2"/>
        </bottom>
      </border>
    </dxf>
    <dxf>
      <fill>
        <patternFill patternType="solid">
          <fgColor rgb="FFC0E4F5"/>
          <bgColor rgb="FFC0E4F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43AEE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numFmt numFmtId="4" formatCode="#,##0.00"/>
      <fill>
        <patternFill patternType="solid">
          <fgColor rgb="FFC0E4F5"/>
          <bgColor rgb="FFC0E4F5"/>
        </patternFill>
      </fill>
      <alignment horizontal="left" vertical="center" textRotation="0" wrapText="0" indent="0" justifyLastLine="0" shrinkToFit="0" readingOrder="0"/>
    </dxf>
    <dxf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rgb="FF43AEE2"/>
        </top>
      </border>
    </dxf>
    <dxf>
      <border outline="0">
        <left style="thin">
          <color rgb="FF43AEE2"/>
        </left>
        <top style="thin">
          <color rgb="FF43AEE2"/>
        </top>
        <bottom style="thin">
          <color rgb="FF43AEE2"/>
        </bottom>
      </border>
    </dxf>
    <dxf>
      <fill>
        <patternFill patternType="solid">
          <fgColor rgb="FFC0E4F5"/>
          <bgColor rgb="FFC0E4F5"/>
        </patternFill>
      </fill>
      <alignment horizontal="left" vertical="center" textRotation="0" wrapText="0" indent="0" justifyLastLine="0" shrinkToFit="0" readingOrder="0"/>
    </dxf>
    <dxf>
      <border outline="0">
        <bottom style="thin">
          <color rgb="FF43AEE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1" indent="0" justifyLastLine="0" shrinkToFit="0" readingOrder="0"/>
    </dxf>
    <dxf>
      <alignment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1" indent="0" justifyLastLine="0" shrinkToFit="0" readingOrder="0"/>
    </dxf>
    <dxf>
      <alignment textRotation="0" wrapText="1" indent="0" justifyLastLine="0" shrinkToFit="0" readingOrder="0"/>
    </dxf>
    <dxf>
      <numFmt numFmtId="165" formatCode="[$-F800]dddd\,\ mmmm\ dd\,\ 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[$-F800]dddd\,\ mmmm\ dd\,\ 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[$-F800]dddd\,\ mmmm\ dd\,\ 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3" formatCode="0%"/>
      <alignment horizontal="left" vertical="center" textRotation="0" wrapText="1" indent="0" justifyLastLine="0" shrinkToFit="0" readingOrder="0"/>
      <border outline="0">
        <left style="thin">
          <color indexed="64"/>
        </left>
      </border>
    </dxf>
    <dxf>
      <font>
        <strike val="0"/>
        <outline val="0"/>
        <shadow val="0"/>
        <u/>
        <vertAlign val="baseline"/>
        <sz val="11"/>
        <color theme="1"/>
        <name val="Aptos Narrow"/>
        <family val="2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3" formatCode="0%"/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numFmt numFmtId="166" formatCode="#,##0.000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</dxf>
    <dxf>
      <alignment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color theme="0"/>
      </font>
      <fill>
        <patternFill>
          <bgColor theme="6" tint="-0.2499465926084170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1196621</xdr:colOff>
          <xdr:row>2</xdr:row>
          <xdr:rowOff>49388</xdr:rowOff>
        </xdr:from>
        <xdr:to>
          <xdr:col>9</xdr:col>
          <xdr:colOff>1227666</xdr:colOff>
          <xdr:row>2</xdr:row>
          <xdr:rowOff>719665</xdr:rowOff>
        </xdr:to>
        <xdr:sp macro="" textlink="">
          <xdr:nvSpPr>
            <xdr:cNvPr id="3091" name="Button 19" descr="Correr el código para habilitar la macros&#10;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Botón 17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0</xdr:row>
          <xdr:rowOff>139700</xdr:rowOff>
        </xdr:from>
        <xdr:to>
          <xdr:col>3</xdr:col>
          <xdr:colOff>1282700</xdr:colOff>
          <xdr:row>3</xdr:row>
          <xdr:rowOff>177800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Botón 5: crear resumen de todos los productos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63B3396-74E7-44DD-AA66-DF4513BD97E8}" name="Tabla9" displayName="Tabla9" ref="M7:P11" totalsRowShown="0" headerRowDxfId="125" dataDxfId="124">
  <autoFilter ref="M7:P11" xr:uid="{663B3396-74E7-44DD-AA66-DF4513BD97E8}">
    <filterColumn colId="0" hiddenButton="1"/>
    <filterColumn colId="1" hiddenButton="1"/>
    <filterColumn colId="2" hiddenButton="1"/>
    <filterColumn colId="3" hiddenButton="1"/>
  </autoFilter>
  <tableColumns count="4">
    <tableColumn id="1" xr3:uid="{664BEE36-532D-47D7-8EAE-AEBB461D8B45}" name="Puesto" dataDxfId="123"/>
    <tableColumn id="5" xr3:uid="{BE41CF7F-EB11-4D4B-A521-EE6EDC448943}" name="Costo UF HH" dataDxfId="122"/>
    <tableColumn id="6" xr3:uid="{84DFB6BD-2DEF-4535-AD6B-F8E485B4EC11}" name="Margen" dataDxfId="121"/>
    <tableColumn id="7" xr3:uid="{2F19B91B-72E9-493E-999A-F5523F273E2A}" name="Precio cliente" dataDxfId="120">
      <calculatedColumnFormula>Tabla9[[#This Row],[Costo UF HH]]/(1-Tabla9[[#This Row],[Margen]])</calculatedColumnFormula>
    </tableColumn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315C3CE-E5D4-4F4E-A744-96872D6CB649}" name="Tabla919" displayName="Tabla919" ref="V7:X12" totalsRowShown="0" headerRowDxfId="119" dataDxfId="118">
  <autoFilter ref="V7:X12" xr:uid="{2315C3CE-E5D4-4F4E-A744-96872D6CB649}"/>
  <tableColumns count="3">
    <tableColumn id="1" xr3:uid="{71D858E4-C389-43C7-835E-815374D42FF6}" name="Tipo de viático" dataDxfId="117"/>
    <tableColumn id="5" xr3:uid="{90456BFF-9A96-4C1F-A3F5-1FCB6EA9782A}" name="Descripción" dataDxfId="116"/>
    <tableColumn id="2" xr3:uid="{81F23D1A-B611-4136-BE3F-79C57B7E4D98}" name="Costo UF" dataDxfId="115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EE49BEAE-EA84-4CB4-B02D-1BC0F3B01683}" name="Tabla50" displayName="Tabla50" ref="B7:D13" totalsRowShown="0" headerRowDxfId="114" dataDxfId="113">
  <autoFilter ref="B7:D13" xr:uid="{EE49BEAE-EA84-4CB4-B02D-1BC0F3B01683}"/>
  <tableColumns count="3">
    <tableColumn id="1" xr3:uid="{B91B5084-3D35-4431-9308-5E07D387BFAD}" name="Tipo moneda" dataDxfId="112"/>
    <tableColumn id="2" xr3:uid="{CB43FA0D-0E60-4739-8486-DBE4AA5AE90F}" name="a CLP" dataDxfId="111"/>
    <tableColumn id="3" xr3:uid="{C26A5D77-75B2-4353-B7C3-72B529866398}" name="Tasa transformación" dataDxfId="110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11E7AC26-8D2B-435E-9494-577BF1F47D8A}" name="Tabla51" displayName="Tabla51" ref="F7:H12" totalsRowShown="0" headerRowDxfId="109" dataDxfId="108">
  <autoFilter ref="F7:H12" xr:uid="{11E7AC26-8D2B-435E-9494-577BF1F47D8A}"/>
  <tableColumns count="3">
    <tableColumn id="1" xr3:uid="{9537A5BC-3097-4A61-A63A-B2E1D98A3CA3}" name="Tipo costo" dataDxfId="107"/>
    <tableColumn id="2" xr3:uid="{A4FE4AE1-0CDD-485C-B9B8-0078F0A7D066}" name="Ponderador importación (CIF/FOB)" dataDxfId="106"/>
    <tableColumn id="3" xr3:uid="{162C643B-A508-4864-9533-CEEB256A4817}" name="Ponderador margen (nacional/internacional)" dataDxfId="105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7E7212DB-6930-42AF-A6F5-30172933C933}" name="Tabla958" displayName="Tabla958" ref="J7:K10" totalsRowShown="0" headerRowDxfId="104" dataDxfId="103">
  <autoFilter ref="J7:K10" xr:uid="{7E7212DB-6930-42AF-A6F5-30172933C933}"/>
  <tableColumns count="2">
    <tableColumn id="1" xr3:uid="{C6B0B59F-CE96-4C85-AC49-ABC446824C35}" name="Cargos" dataDxfId="102"/>
    <tableColumn id="5" xr3:uid="{69D7CA5D-4D3F-409A-B033-40C118112027}" name="Ponderador Precio" dataDxfId="101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F8E7401-D236-48AB-B51F-BF1D5E6EDFF6}" name="Tabla2327" displayName="Tabla2327" ref="R7:T11" totalsRowShown="0" headerRowDxfId="100" dataDxfId="99">
  <autoFilter ref="R7:T11" xr:uid="{AF8E7401-D236-48AB-B51F-BF1D5E6EDFF6}"/>
  <tableColumns count="3">
    <tableColumn id="1" xr3:uid="{D19C979D-E802-428D-9DEB-5463D98DAAE5}" name="Número grupo" dataDxfId="98"/>
    <tableColumn id="2" xr3:uid="{DB8781A0-7670-4AFC-A39B-1EC2B32229A5}" name="Tipo de venta" dataDxfId="97"/>
    <tableColumn id="4" xr3:uid="{8D32ED3C-E174-4D3E-8B37-F47D4638C800}" name="Márgenes" dataDxfId="96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D5A6DB-E11A-4511-8334-FB736A404E39}" name="Tabla52" displayName="Tabla52" ref="B8:C17" totalsRowShown="0" headerRowDxfId="95" dataDxfId="94">
  <autoFilter ref="B8:C17" xr:uid="{E4F65A74-C5DE-420B-B02B-4087F8368AD7}">
    <filterColumn colId="0" hiddenButton="1"/>
    <filterColumn colId="1" hiddenButton="1"/>
  </autoFilter>
  <tableColumns count="2">
    <tableColumn id="1" xr3:uid="{6B5C948E-C5F7-4A79-B528-6D3ECB9DABB7}" name="Datos" dataDxfId="93">
      <calculatedColumnFormula>TODAY()</calculatedColumnFormula>
    </tableColumn>
    <tableColumn id="2" xr3:uid="{871BD61A-1AA3-4BF4-9D8B-DA30EC93706D}" name="Valor" dataDxfId="92">
      <calculatedColumnFormula>TODAY()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D5F73B4-6292-48F9-9FB0-2B10608E8F4B}" name="Tabla2329" displayName="Tabla2329" ref="H8:J14" totalsRowShown="0" headerRowDxfId="91" dataDxfId="90">
  <autoFilter ref="H8:J14" xr:uid="{E053CC1F-40AB-4B04-B2F6-8B774E7D1097}"/>
  <tableColumns count="3">
    <tableColumn id="1" xr3:uid="{C8E2A188-C125-4539-A325-2DAB500C8A40}" name="Número grupo" dataDxfId="89"/>
    <tableColumn id="2" xr3:uid="{EFCC61F2-B479-4B5A-80EC-ACB9BB209169}" name="Tipo de venta" dataDxfId="88"/>
    <tableColumn id="3" xr3:uid="{035FE5A5-EA0D-469B-829D-F9DA4F88BF43}" name="Moneda final" dataDxfId="87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734A50A-4176-498A-915B-224E9B6B38D1}" name="Tabla25" displayName="Tabla25" ref="E8:F13" totalsRowShown="0" headerRowDxfId="86" dataDxfId="85">
  <autoFilter ref="E8:F13" xr:uid="{E8C9C3A7-D54C-46F6-BA19-6F5CF0592752}"/>
  <tableColumns count="2">
    <tableColumn id="1" xr3:uid="{6B30EB17-BECE-413A-BEFA-6B9A502BA21A}" name="Número grupo" dataDxfId="84"/>
    <tableColumn id="2" xr3:uid="{7EDEE319-A608-4932-96CC-46586FFF8EE5}" name="Secciones" dataDxfId="83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0F530C3-E8A4-48F5-A011-76151A850E8E}" name="Tabla2757" displayName="Tabla2757" ref="B6:N12" totalsRowShown="0" headerRowDxfId="82" dataDxfId="80" headerRowBorderDxfId="81" tableBorderDxfId="79" totalsRowBorderDxfId="78">
  <autoFilter ref="B6:N12" xr:uid="{3AC895F3-88FC-4322-BA4D-9163F09350B5}"/>
  <tableColumns count="13">
    <tableColumn id="18" xr3:uid="{3F13ADA9-FD6B-4142-80E8-AB8AAA5B2CB2}" name="Tipo de venta" dataDxfId="77"/>
    <tableColumn id="1" xr3:uid="{4D7D62B0-AA08-4E96-99E6-A9D66C4F6065}" name="Sección" dataDxfId="76"/>
    <tableColumn id="3" xr3:uid="{919C7931-5C86-435C-9E17-078053598BC1}" name="Tarea" dataDxfId="75"/>
    <tableColumn id="4" xr3:uid="{65AD8D18-3B83-4137-95F5-A0376FF6961F}" name="Descripción" dataDxfId="74">
      <calculatedColumnFormula>_xlfn.XLOOKUP(Tabla2757[[#This Row],[Tarea]],Productos!C:C,Productos!D:D, "Error",0,1)</calculatedColumnFormula>
    </tableColumn>
    <tableColumn id="21" xr3:uid="{743D9C17-691F-449D-AA89-160A6CF17A52}" name="Moneda Final" dataDxfId="73">
      <calculatedColumnFormula>_xlfn.XLOOKUP(Tabla2757[[#This Row],[Tipo de venta]],Tabla2329[Tipo de venta],Tabla2329[Moneda final], "Error - Seleccionar Tipo de Venta", 0,1)</calculatedColumnFormula>
    </tableColumn>
    <tableColumn id="9" xr3:uid="{D8F1D102-0114-43C5-9E14-4516F638E7CB}" name="Puesto Encargado" dataDxfId="72">
      <calculatedColumnFormula>IF(Tabla2757[[#This Row],[Moneda Final]]="CLP", Tabla2757[[#This Row],[Cantidad horas]], IF(Tabla2757[[#This Row],[Moneda Final]]="USD", Tabla32[[#This Row],[Precio USD]], Tabla2757[[#This Row],[Precio UF]]))</calculatedColumnFormula>
    </tableColumn>
    <tableColumn id="19" xr3:uid="{789B8DE7-7AD6-42E2-B259-816DFDA6A125}" name="Cargo" dataDxfId="71"/>
    <tableColumn id="20" xr3:uid="{0DC370D3-CF89-4B8E-ADFE-5205D20AC699}" name="Precio por hora UF" dataDxfId="70">
      <calculatedColumnFormula>_xlfn.XLOOKUP(Tabla2757[[#This Row],[Puesto Encargado]], Tabla9[Puesto], Tabla9[Precio cliente],0,1,1)</calculatedColumnFormula>
    </tableColumn>
    <tableColumn id="22" xr3:uid="{42C69641-A3FC-4295-9CF4-85044E9E8115}" name="Ponderador" dataDxfId="69">
      <calculatedColumnFormula>_xlfn.XLOOKUP(Tabla2757[[#This Row],[Cargo]], Tabla958[Cargos], Tabla958[Ponderador Precio],0,1,1)</calculatedColumnFormula>
    </tableColumn>
    <tableColumn id="10" xr3:uid="{C8A23C9B-7B06-480B-BBB2-2CC48552BA39}" name="Precio por hora" dataDxfId="68">
      <calculatedColumnFormula>Tabla2757[[#This Row],[Precio por hora UF]]*Tabla2757[[#This Row],[Ponderador]]</calculatedColumnFormula>
    </tableColumn>
    <tableColumn id="11" xr3:uid="{36CA9095-CE85-4692-9133-A7A809C5F832}" name="Cantidad horas" dataDxfId="67">
      <calculatedColumnFormula>_xlfn.XLOOKUP(Tabla2757[[#This Row],[Tarea]],Productos!$C:$C,Productos!K:K, "Error",0,1)</calculatedColumnFormula>
    </tableColumn>
    <tableColumn id="12" xr3:uid="{1EB52E9C-2083-4F7D-8F83-0B3DB521427A}" name="Precio UF" dataDxfId="66">
      <calculatedColumnFormula>_xlfn.XLOOKUP(Tabla2757[[#This Row],[Tarea]],Productos!$C:$C,Productos!L:L, "Error",0,1)</calculatedColumnFormula>
    </tableColumn>
    <tableColumn id="23" xr3:uid="{1A4234A9-9DD6-48E3-BE29-56F5634512BA}" name="Precio Moneda" dataDxfId="65">
      <calculatedColumnFormula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D47289-8499-4E1D-8694-E81C15DE30DE}" name="Tabla27573" displayName="Tabla27573" ref="B8:K54" totalsRowShown="0" headerRowDxfId="64" dataDxfId="62" headerRowBorderDxfId="63" tableBorderDxfId="61" totalsRowBorderDxfId="60">
  <autoFilter ref="B8:K54" xr:uid="{3AC895F3-88FC-4322-BA4D-9163F09350B5}"/>
  <tableColumns count="10">
    <tableColumn id="18" xr3:uid="{20E43334-168A-44AF-BF4F-CAD1901FFB25}" name="Tipo de venta" dataDxfId="59" dataCellStyle="Hipervínculo"/>
    <tableColumn id="1" xr3:uid="{33ACE34F-0DC1-4EE9-A5C1-3584C1D1082F}" name="Sección" dataDxfId="58"/>
    <tableColumn id="3" xr3:uid="{81B80305-6961-4FDA-92D5-6CB652EFC214}" name="Tarea" dataDxfId="57"/>
    <tableColumn id="4" xr3:uid="{55E8D677-6B9D-4B67-BFEA-79DEAAA9DE61}" name="Descripción" dataDxfId="56">
      <calculatedColumnFormula>_xlfn.XLOOKUP(Tabla27573[[#This Row],[Tarea]],Productos!C:C,Productos!D:D, "Error",0,1)</calculatedColumnFormula>
    </tableColumn>
    <tableColumn id="21" xr3:uid="{3D8F5A06-E7F7-421F-BB09-F230CC300FFE}" name="Moneda Final" dataDxfId="55">
      <calculatedColumnFormula>_xlfn.XLOOKUP(Tabla27573[[#This Row],[Tipo de venta]],Tabla2329[Tipo de venta],Tabla2329[Moneda final], "Error - Seleccionar Tipo de Venta", 0,1)</calculatedColumnFormula>
    </tableColumn>
    <tableColumn id="9" xr3:uid="{13069080-E35C-4871-A879-2897B7991AF5}" name="Costo Unitario CLP" dataDxfId="54">
      <calculatedColumnFormula>E4</calculatedColumnFormula>
    </tableColumn>
    <tableColumn id="2" xr3:uid="{6B257810-E736-404B-826C-3290AE0A2976}" name="Margen" dataDxfId="53"/>
    <tableColumn id="5" xr3:uid="{2D52AB42-77F9-4277-9267-E5CF6CB17C29}" name="Precio Unitario" dataDxfId="52">
      <calculatedColumnFormula>Tabla27573[[#This Row],[Costo Unitario CLP]]/(1-Tabla27573[[#This Row],[Margen]])</calculatedColumnFormula>
    </tableColumn>
    <tableColumn id="19" xr3:uid="{2C0ABBE5-EAB4-4809-92C1-22AF9A205A1F}" name="Cantidad" dataDxfId="51">
      <calculatedColumnFormula>D3</calculatedColumnFormula>
    </tableColumn>
    <tableColumn id="10" xr3:uid="{F96BBC02-414F-4E27-9A7A-C77FF3B3F722}" name="Precio CLP" dataDxfId="50" dataCellStyle="Hipervínculo">
      <calculatedColumnFormula>Tabla27573[[#This Row],[Cantidad]]*Tabla27573[[#This Row],[Precio Unitario]]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0753C46-60D3-40DF-91FB-30EFEEC8BB39}" name="Tabla3" displayName="Tabla3" ref="B1:F5" totalsRowShown="0" headerRowDxfId="49" dataDxfId="48">
  <autoFilter ref="B1:F5" xr:uid="{D0753C46-60D3-40DF-91FB-30EFEEC8BB39}"/>
  <tableColumns count="5">
    <tableColumn id="1" xr3:uid="{89AC9837-666F-4CA3-BDE4-85C0A198428A}" name="Columna1" dataDxfId="47"/>
    <tableColumn id="2" xr3:uid="{8BACF59D-3028-4F57-BFD6-5729C27BD5E2}" name="Descripción" dataDxfId="46"/>
    <tableColumn id="3" xr3:uid="{BE37BB1D-1292-4B20-9BE9-AAAB4D8E672E}" name="Cantidad/tipo" dataDxfId="45"/>
    <tableColumn id="4" xr3:uid="{3BBE242B-584B-46C1-A035-6D76E40E74F4}" name="Costo unitario" dataDxfId="44">
      <calculatedColumnFormula>_xlfn.XLOOKUP(Tabla3[[#This Row],[Columna1]], Tabla919[Tipo de viático], Tabla919[Costo UF], "Error", 0, 1)</calculatedColumnFormula>
    </tableColumn>
    <tableColumn id="5" xr3:uid="{D550C0A2-A593-4F2C-8A1A-744BD95A2C0E}" name="Precio final" dataDxfId="43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3AC895F3-88FC-4322-BA4D-9163F09350B5}" name="Tabla27" displayName="Tabla27" ref="B6:R35" totalsRowShown="0" headerRowDxfId="42" dataDxfId="40" headerRowBorderDxfId="41" tableBorderDxfId="39" totalsRowBorderDxfId="38">
  <autoFilter ref="B6:R35" xr:uid="{3AC895F3-88FC-4322-BA4D-9163F09350B5}"/>
  <tableColumns count="17">
    <tableColumn id="18" xr3:uid="{398E732F-4C4D-49FA-8F17-9E4751286B3A}" name="Tipo de venta" dataDxfId="37"/>
    <tableColumn id="1" xr3:uid="{46584F8C-76FE-40A7-9DFF-0080B0C3B9EE}" name="Sección" dataDxfId="36"/>
    <tableColumn id="2" xr3:uid="{76E4B631-977F-45C1-85BC-ADC35DB7CAF9}" name="Agrupación" dataDxfId="35"/>
    <tableColumn id="3" xr3:uid="{0A86979C-DDD8-4E83-84DF-1A3BF07A9996}" name="Nombre producto" dataDxfId="34"/>
    <tableColumn id="4" xr3:uid="{D940BDE9-E215-4FF5-B684-032B27CDCDCF}" name="Descripción" dataDxfId="33">
      <calculatedColumnFormula>_xlfn.XLOOKUP(Tabla27[[#This Row],[Nombre producto]],Productos!C:C,Productos!D:D, "Error",0,1)</calculatedColumnFormula>
    </tableColumn>
    <tableColumn id="21" xr3:uid="{BB206602-3C45-4ED8-9953-98010EC79BD0}" name="Moneda producto" dataDxfId="32">
      <calculatedColumnFormula>_xlfn.XLOOKUP(Tabla27[[#This Row],[Nombre producto]], Tabla32[Nombre producto], Tabla32[Tipo de moneda],"Error - agregue producto a Productos",0,1)</calculatedColumnFormula>
    </tableColumn>
    <tableColumn id="9" xr3:uid="{E75647C4-C593-4F45-A116-05E0E2F28A6F}" name="Costo Producto" dataDxfId="31">
      <calculatedColumnFormula>_xlfn.XLOOKUP(Tabla27[[#This Row],[Nombre producto]], Tabla32[Nombre producto], Tabla32[Costo producto],"Error - agregue producto a Productos",0,1)</calculatedColumnFormula>
    </tableColumn>
    <tableColumn id="19" xr3:uid="{9910A921-3DF3-43FA-BD9F-53BCAAEB5E11}" name="Unidades" dataDxfId="30"/>
    <tableColumn id="8" xr3:uid="{C9C9F1AF-C47E-4A9B-A37B-0A15F712B2C2}" name="Tarifa Cambio de divisa" dataDxfId="29">
      <calculatedColumnFormula>IF(Tabla27[[#This Row],[Moneda producto]]="USD",'Datos generales'!$G$3,IF(Tabla27[[#This Row],[Moneda producto]]="EUR",'Datos generales'!$G$3,0))</calculatedColumnFormula>
    </tableColumn>
    <tableColumn id="10" xr3:uid="{C0F0F0A5-7253-41D6-8D03-FB6EECBD6740}" name="Precio USD/unitario" dataDxfId="28">
      <calculatedColumnFormula>_xlfn.XLOOKUP(Tabla27[[#This Row],[Nombre producto]], Tabla32[Nombre producto], Tabla32[Precio USD],"Error - agregue producto a Productos",0,1)*(1)</calculatedColumnFormula>
    </tableColumn>
    <tableColumn id="11" xr3:uid="{1A5BBDCD-7CFD-4D46-8049-3D7B9E270CF4}" name="Precio CLP/Unitario" dataDxfId="27">
      <calculatedColumnFormula>_xlfn.XLOOKUP(Tabla27[[#This Row],[Nombre producto]], Tabla32[Nombre producto], Tabla32[Precio CLP],"Error - agregue producto a Productos",0,1)</calculatedColumnFormula>
    </tableColumn>
    <tableColumn id="12" xr3:uid="{C7459AF2-CC32-4612-B033-37FA9210D2C8}" name="Precio UF/Unitario" dataDxfId="26">
      <calculatedColumnFormula>_xlfn.XLOOKUP(Tabla27[[#This Row],[Nombre producto]], Tabla32[Nombre producto], Tabla32[Precio UF],"Error - agregue producto a Productos",0,1)</calculatedColumnFormula>
    </tableColumn>
    <tableColumn id="5" xr3:uid="{8879887C-D0E4-4DA6-8374-1AC112E08DB5}" name="Precio EUR/ Unitario" dataDxfId="25" dataCellStyle="Hipervínculo">
      <calculatedColumnFormula>_xlfn.XLOOKUP(Tabla27[[#This Row],[Nombre producto]], Tabla32[Nombre producto], Tabla32[Precio Euros],"Error - agregue producto a Productos",0,1)</calculatedColumnFormula>
    </tableColumn>
    <tableColumn id="13" xr3:uid="{0BFE22DA-5593-47B8-90BE-869DD359D22F}" name="Proveedor" dataDxfId="24">
      <calculatedColumnFormula>_xlfn.XLOOKUP(Tabla27[[#This Row],[Nombre producto]],Productos!$C:$C,Productos!N:N, "Error",0,1)</calculatedColumnFormula>
    </tableColumn>
    <tableColumn id="14" xr3:uid="{1743073C-0A79-427F-B39F-D3C8DF2698C0}" name="Link de compra" dataDxfId="23">
      <calculatedColumnFormula>_xlfn.XLOOKUP(Tabla27[[#This Row],[Nombre producto]],Productos!$C:$C,Productos!O:O, "Error",0,1)</calculatedColumnFormula>
    </tableColumn>
    <tableColumn id="6" xr3:uid="{E40E0B02-4C60-49AE-B7CF-5E088A7C683A}" name="Moneda Final" dataDxfId="22">
      <calculatedColumnFormula>_xlfn.XLOOKUP(Tabla27[[#This Row],[Tipo de venta]], Tabla2329[Tipo de venta], Tabla2329[Moneda final], "Error - Seleccionar Tipo de Venta", 0,1)</calculatedColumnFormula>
    </tableColumn>
    <tableColumn id="15" xr3:uid="{100B01F4-D328-431F-89E1-5878C5E88B4A}" name="Precio final (sin iva - moneda)" dataDxfId="21">
      <calculatedColumnFormula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1724EC72-6126-4D13-8D28-70C9F26FE38B}" name="Tabla32" displayName="Tabla32" ref="B6:R29" totalsRowShown="0" headerRowDxfId="20" dataDxfId="18" headerRowBorderDxfId="19" tableBorderDxfId="17" totalsRowBorderDxfId="16">
  <autoFilter ref="B6:R29" xr:uid="{1724EC72-6126-4D13-8D28-70C9F26FE38B}"/>
  <tableColumns count="17">
    <tableColumn id="1" xr3:uid="{1DE849D8-6B59-4F38-98D5-F296B9CD72C4}" name="Agrupación" dataDxfId="15"/>
    <tableColumn id="2" xr3:uid="{AA3E12A7-3E4F-4AC2-BAE1-C1460147922D}" name="Nombre producto" dataDxfId="14"/>
    <tableColumn id="3" xr3:uid="{9C033A2A-2F40-41DC-A6FE-4C866FF2644D}" name="Descripción" dataDxfId="13"/>
    <tableColumn id="4" xr3:uid="{F4F40B14-77EA-432D-B482-019AF6BB4568}" name="Tipo de moneda" dataDxfId="12"/>
    <tableColumn id="16" xr3:uid="{92EA2497-1E1B-481F-B33B-4021CA4D7DB5}" name="CIF/FOB/Nacional" dataDxfId="11"/>
    <tableColumn id="5" xr3:uid="{152935D8-DDC9-48A2-9DBC-0CCB3680C457}" name="Costo producto" dataDxfId="10"/>
    <tableColumn id="17" xr3:uid="{BF22B6BC-117C-42D8-B570-E6B777ABF167}" name="Costo de producto a oficina" dataDxfId="9">
      <calculatedColumnFormula>IF(Tabla32[[#This Row],[CIF/FOB/Nacional]]="Nacional", Tabla32[[#This Row],[Costo producto]],IF(Tabla32[[#This Row],[CIF/FOB/Nacional]]="CIF", Tabla32[[#This Row],[Costo producto]], Tabla32[[#This Row],[Costo producto]]*1.3))</calculatedColumnFormula>
    </tableColumn>
    <tableColumn id="6" xr3:uid="{F2748CBA-F38C-4583-B991-69DC3E29FB9D}" name="Margen" dataDxfId="8">
      <calculatedColumnFormula>_xlfn.XLOOKUP(Tabla32[[#This Row],[Agrupación]], 'Datos generales'!$S$8:$S$1048576, 'Datos generales'!$T$8:$T$1048576,"Margen en agrupación no encontrado",0, 1)</calculatedColumnFormula>
    </tableColumn>
    <tableColumn id="7" xr3:uid="{F83AFCAE-A486-4EBF-8CD3-6DBF7F9D4A1B}" name="Precio Moneda compra" dataDxfId="7">
      <calculatedColumnFormula>H7/(1-I7)</calculatedColumnFormula>
    </tableColumn>
    <tableColumn id="8" xr3:uid="{05A18D47-BB8A-4042-B070-0F20E814AFC2}" name="Precio CLP" dataDxfId="6">
      <calculatedColumnFormula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calculatedColumnFormula>
    </tableColumn>
    <tableColumn id="18" xr3:uid="{3924A73C-1265-43AE-A6FA-A64935FB8C02}" name="Precio UF" dataDxfId="5">
      <calculatedColumnFormula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calculatedColumnFormula>
    </tableColumn>
    <tableColumn id="19" xr3:uid="{A2572D95-628E-4FB8-A44C-6E7B59704869}" name="Precio USD" dataDxfId="4">
      <calculatedColumnFormula>IF(Tabla32[[#This Row],[Tipo de moneda]]="USD", Tabla32[[#This Row],[Precio Moneda compra]], IF(Tabla32[[#This Row],[Tipo de moneda]]="CLP",Tabla32[[#This Row],[Precio Moneda compra]]/'Datos generales'!$C$10,IF(Tabla32[[#This Row],[Tipo de moneda]]="EUR",Tabla32[[#This Row],[Precio Moneda compra]]*'Datos generales'!$C$11/'Datos generales'!$C$10,Tabla32[[#This Row],[Precio Moneda compra]]*'Datos generales'!$C$9/'Datos generales'!$C$10)))</calculatedColumnFormula>
    </tableColumn>
    <tableColumn id="20" xr3:uid="{941D34F3-C5E6-4B3F-B281-243B9DD423E0}" name="Precio Euros" dataDxfId="3">
      <calculatedColumnFormula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calculatedColumnFormula>
    </tableColumn>
    <tableColumn id="9" xr3:uid="{9C37AA84-40B3-4F50-BC73-044BEDE71018}" name="Fabricante" dataDxfId="2"/>
    <tableColumn id="10" xr3:uid="{624006BC-7B6B-4088-B911-8A604991ADDE}" name="Nombre Vendedor" dataDxfId="1"/>
    <tableColumn id="11" xr3:uid="{1C9A1178-3703-4454-9401-2300870798A7}" name="Correo ; Número" dataDxfId="0"/>
    <tableColumn id="12" xr3:uid="{D7708E6B-2526-4CE5-9022-C88DD9EE3038}" name="Columna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hyperlink" Target="mailto:kyla@hondetech.com" TargetMode="External"/><Relationship Id="rId7" Type="http://schemas.openxmlformats.org/officeDocument/2006/relationships/ctrlProp" Target="../ctrlProps/ctrlProp2.xml"/><Relationship Id="rId2" Type="http://schemas.openxmlformats.org/officeDocument/2006/relationships/hyperlink" Target="mailto:kyla@hondetech.com" TargetMode="External"/><Relationship Id="rId1" Type="http://schemas.openxmlformats.org/officeDocument/2006/relationships/hyperlink" Target="mailto:jose.valenzuela@wolke.cl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hyperlink" Target="mailto:kyla@hondetech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B050"/>
  </sheetPr>
  <dimension ref="A1:X26"/>
  <sheetViews>
    <sheetView showGridLines="0" topLeftCell="D1" zoomScale="70" zoomScaleNormal="70" workbookViewId="0">
      <selection activeCell="J19" sqref="J19"/>
    </sheetView>
  </sheetViews>
  <sheetFormatPr baseColWidth="10" defaultColWidth="8.83203125" defaultRowHeight="15" x14ac:dyDescent="0.2"/>
  <cols>
    <col min="1" max="1" width="20.1640625" customWidth="1"/>
    <col min="2" max="2" width="15.5" customWidth="1"/>
    <col min="3" max="3" width="22.33203125" customWidth="1"/>
    <col min="4" max="4" width="30.1640625" customWidth="1"/>
    <col min="5" max="5" width="21.5" customWidth="1"/>
    <col min="6" max="6" width="30.1640625" customWidth="1"/>
    <col min="7" max="7" width="18" bestFit="1" customWidth="1"/>
    <col min="8" max="8" width="16.6640625" customWidth="1"/>
    <col min="9" max="9" width="13.83203125" bestFit="1" customWidth="1"/>
    <col min="10" max="10" width="14" customWidth="1"/>
    <col min="11" max="11" width="20.6640625" customWidth="1"/>
    <col min="12" max="12" width="18.5" customWidth="1"/>
    <col min="14" max="14" width="11.6640625" customWidth="1"/>
    <col min="16" max="16" width="14.33203125" customWidth="1"/>
    <col min="17" max="17" width="8.83203125" style="60"/>
    <col min="22" max="22" width="23.5" customWidth="1"/>
    <col min="23" max="24" width="19.5" customWidth="1"/>
  </cols>
  <sheetData>
    <row r="1" spans="2:24" x14ac:dyDescent="0.2">
      <c r="B1" s="5"/>
      <c r="Q1"/>
    </row>
    <row r="2" spans="2:24" x14ac:dyDescent="0.2">
      <c r="B2" s="8"/>
      <c r="C2" s="8"/>
      <c r="D2" s="51"/>
      <c r="E2" s="51"/>
      <c r="F2" s="51"/>
      <c r="J2" s="90" t="s">
        <v>122</v>
      </c>
      <c r="K2" s="132">
        <f ca="1">TODAY()</f>
        <v>45776</v>
      </c>
      <c r="Q2"/>
    </row>
    <row r="3" spans="2:24" ht="25.25" customHeight="1" x14ac:dyDescent="0.3">
      <c r="C3" s="9"/>
      <c r="D3" s="89" t="str">
        <f ca="1">IF(K4&gt;15, "ALERTA - Actualizar datos", "Datos actualizados")</f>
        <v>ALERTA - Actualizar datos</v>
      </c>
      <c r="E3" s="15"/>
      <c r="F3" s="92" t="s">
        <v>132</v>
      </c>
      <c r="G3" s="92">
        <v>0.05</v>
      </c>
      <c r="J3" s="90" t="s">
        <v>123</v>
      </c>
      <c r="K3" s="132">
        <f>D6</f>
        <v>45748</v>
      </c>
      <c r="M3" s="7"/>
      <c r="N3" s="7"/>
      <c r="O3" s="7"/>
      <c r="P3" s="7"/>
      <c r="Q3" s="69"/>
      <c r="R3" s="69"/>
      <c r="S3" s="69"/>
      <c r="T3" s="7"/>
      <c r="U3" s="7"/>
      <c r="V3" s="7"/>
    </row>
    <row r="4" spans="2:24" ht="16" x14ac:dyDescent="0.2">
      <c r="B4" s="9"/>
      <c r="C4" s="9"/>
      <c r="E4" s="7"/>
      <c r="F4" s="7"/>
      <c r="G4" s="7"/>
      <c r="J4" s="52" t="s">
        <v>124</v>
      </c>
      <c r="K4" s="133">
        <f ca="1">K2-K3</f>
        <v>28</v>
      </c>
      <c r="M4" s="7"/>
      <c r="N4" s="15"/>
      <c r="O4" s="7"/>
      <c r="P4" s="7"/>
      <c r="Q4" s="106"/>
      <c r="R4" s="106"/>
      <c r="S4" s="106"/>
      <c r="T4" s="7"/>
      <c r="U4" s="7"/>
      <c r="V4" s="7"/>
    </row>
    <row r="5" spans="2:24" x14ac:dyDescent="0.2">
      <c r="B5" s="1"/>
      <c r="C5" s="1"/>
      <c r="D5" s="72"/>
      <c r="E5" s="58"/>
      <c r="F5" s="14"/>
      <c r="G5" s="14"/>
      <c r="H5" s="72"/>
      <c r="I5" s="72"/>
      <c r="J5" s="72"/>
      <c r="K5" s="131"/>
      <c r="L5" s="72"/>
      <c r="M5" s="134"/>
      <c r="N5" s="15"/>
      <c r="O5" s="15"/>
      <c r="P5" s="15"/>
      <c r="Q5" s="50"/>
      <c r="R5" s="50"/>
      <c r="S5" s="50"/>
      <c r="T5" s="7"/>
      <c r="U5" s="15"/>
      <c r="V5" s="15"/>
      <c r="W5" s="72"/>
      <c r="X5" s="72"/>
    </row>
    <row r="6" spans="2:24" ht="28.75" customHeight="1" x14ac:dyDescent="0.2">
      <c r="B6" s="153" t="s">
        <v>121</v>
      </c>
      <c r="C6" s="153"/>
      <c r="D6" s="130">
        <v>45748</v>
      </c>
      <c r="E6" s="73"/>
      <c r="F6" s="152" t="s">
        <v>106</v>
      </c>
      <c r="G6" s="152"/>
      <c r="H6" s="152"/>
      <c r="I6" s="72"/>
      <c r="J6" s="72"/>
      <c r="K6" s="72"/>
      <c r="L6" s="72"/>
      <c r="M6" s="72"/>
      <c r="N6" s="72"/>
      <c r="O6" s="72"/>
      <c r="P6" s="72"/>
      <c r="Q6" s="72"/>
      <c r="R6" s="152" t="s">
        <v>112</v>
      </c>
      <c r="S6" s="152"/>
      <c r="T6" s="152"/>
      <c r="U6" s="72"/>
      <c r="V6" s="72"/>
      <c r="W6" s="72"/>
      <c r="X6" s="72"/>
    </row>
    <row r="7" spans="2:24" ht="29" customHeight="1" x14ac:dyDescent="0.2">
      <c r="B7" s="72" t="s">
        <v>15</v>
      </c>
      <c r="C7" s="72" t="s">
        <v>105</v>
      </c>
      <c r="D7" s="72" t="s">
        <v>120</v>
      </c>
      <c r="E7" s="74"/>
      <c r="F7" s="72" t="s">
        <v>16</v>
      </c>
      <c r="G7" s="72" t="s">
        <v>117</v>
      </c>
      <c r="H7" s="72" t="s">
        <v>116</v>
      </c>
      <c r="I7" s="72"/>
      <c r="J7" s="1" t="s">
        <v>18</v>
      </c>
      <c r="K7" s="1" t="s">
        <v>19</v>
      </c>
      <c r="L7" s="51"/>
      <c r="M7" s="1" t="s">
        <v>20</v>
      </c>
      <c r="N7" s="1" t="s">
        <v>21</v>
      </c>
      <c r="O7" s="1" t="s">
        <v>22</v>
      </c>
      <c r="P7" s="1" t="s">
        <v>23</v>
      </c>
      <c r="Q7" s="15"/>
      <c r="R7" s="72" t="s">
        <v>34</v>
      </c>
      <c r="S7" s="75" t="s">
        <v>37</v>
      </c>
      <c r="T7" s="72" t="s">
        <v>113</v>
      </c>
      <c r="U7" s="72"/>
      <c r="V7" s="1" t="s">
        <v>118</v>
      </c>
      <c r="W7" s="1" t="s">
        <v>36</v>
      </c>
      <c r="X7" s="1" t="s">
        <v>137</v>
      </c>
    </row>
    <row r="8" spans="2:24" ht="16" x14ac:dyDescent="0.2">
      <c r="B8" s="72" t="s">
        <v>1</v>
      </c>
      <c r="C8" s="76">
        <v>1</v>
      </c>
      <c r="D8" s="72">
        <v>1</v>
      </c>
      <c r="E8" s="72"/>
      <c r="F8" s="72" t="s">
        <v>17</v>
      </c>
      <c r="G8" s="72">
        <v>1</v>
      </c>
      <c r="H8" s="77">
        <v>0.4</v>
      </c>
      <c r="I8" s="72"/>
      <c r="J8" s="52" t="s">
        <v>25</v>
      </c>
      <c r="K8" s="52">
        <v>1</v>
      </c>
      <c r="L8" s="50"/>
      <c r="M8" s="2" t="s">
        <v>26</v>
      </c>
      <c r="N8" s="2">
        <v>0.5</v>
      </c>
      <c r="O8" s="37">
        <v>0.4</v>
      </c>
      <c r="P8" s="145">
        <f>Tabla9[[#This Row],[Costo UF HH]]/(1-Tabla9[[#This Row],[Margen]])</f>
        <v>0.83333333333333337</v>
      </c>
      <c r="Q8" s="15"/>
      <c r="R8" s="52">
        <v>1</v>
      </c>
      <c r="S8" s="148" t="s">
        <v>65</v>
      </c>
      <c r="T8" s="79">
        <v>0.1</v>
      </c>
      <c r="U8" s="72"/>
      <c r="V8" s="2" t="s">
        <v>38</v>
      </c>
      <c r="W8" s="2" t="s">
        <v>39</v>
      </c>
      <c r="X8" s="12">
        <v>0.5</v>
      </c>
    </row>
    <row r="9" spans="2:24" ht="32.5" customHeight="1" x14ac:dyDescent="0.2">
      <c r="B9" s="72" t="s">
        <v>3</v>
      </c>
      <c r="C9" s="76">
        <v>38409.199999999997</v>
      </c>
      <c r="D9" s="72">
        <v>1</v>
      </c>
      <c r="E9" s="72"/>
      <c r="F9" s="72" t="s">
        <v>24</v>
      </c>
      <c r="G9" s="72">
        <v>1.3</v>
      </c>
      <c r="H9" s="77">
        <v>0.4</v>
      </c>
      <c r="I9" s="72"/>
      <c r="J9" s="52" t="s">
        <v>28</v>
      </c>
      <c r="K9" s="52">
        <v>1.5</v>
      </c>
      <c r="L9" s="15"/>
      <c r="M9" s="2" t="s">
        <v>29</v>
      </c>
      <c r="N9" s="2">
        <v>0.5</v>
      </c>
      <c r="O9" s="37">
        <v>0.4</v>
      </c>
      <c r="P9" s="145">
        <f>Tabla9[[#This Row],[Costo UF HH]]/(1-Tabla9[[#This Row],[Margen]])</f>
        <v>0.83333333333333337</v>
      </c>
      <c r="Q9" s="15"/>
      <c r="R9" s="52">
        <v>2</v>
      </c>
      <c r="S9" s="148" t="s">
        <v>66</v>
      </c>
      <c r="T9" s="79">
        <v>0.5</v>
      </c>
      <c r="U9" s="72"/>
      <c r="V9" s="2" t="s">
        <v>41</v>
      </c>
      <c r="W9" s="2" t="s">
        <v>42</v>
      </c>
      <c r="X9" s="12">
        <v>1</v>
      </c>
    </row>
    <row r="10" spans="2:24" ht="32" x14ac:dyDescent="0.2">
      <c r="B10" s="72" t="s">
        <v>6</v>
      </c>
      <c r="C10" s="76">
        <v>950</v>
      </c>
      <c r="D10" s="72">
        <v>1.05</v>
      </c>
      <c r="E10" s="72"/>
      <c r="F10" s="72" t="s">
        <v>27</v>
      </c>
      <c r="G10" s="72">
        <v>1</v>
      </c>
      <c r="H10" s="77">
        <v>0.2</v>
      </c>
      <c r="I10" s="72"/>
      <c r="J10" s="52" t="s">
        <v>31</v>
      </c>
      <c r="K10" s="52">
        <v>2</v>
      </c>
      <c r="L10" s="72"/>
      <c r="M10" s="6" t="s">
        <v>32</v>
      </c>
      <c r="N10" s="2">
        <v>0.3</v>
      </c>
      <c r="O10" s="37">
        <v>0.4</v>
      </c>
      <c r="P10" s="145">
        <f>Tabla9[[#This Row],[Costo UF HH]]/(1-Tabla9[[#This Row],[Margen]])</f>
        <v>0.5</v>
      </c>
      <c r="Q10" s="77"/>
      <c r="R10" s="52">
        <v>3</v>
      </c>
      <c r="S10" s="148" t="s">
        <v>99</v>
      </c>
      <c r="T10" s="79">
        <v>0.6</v>
      </c>
      <c r="U10" s="72"/>
      <c r="V10" s="6" t="s">
        <v>44</v>
      </c>
      <c r="W10" s="6" t="s">
        <v>45</v>
      </c>
      <c r="X10" s="12">
        <v>2</v>
      </c>
    </row>
    <row r="11" spans="2:24" ht="32" x14ac:dyDescent="0.2">
      <c r="B11" s="72" t="s">
        <v>30</v>
      </c>
      <c r="C11" s="76">
        <v>1025</v>
      </c>
      <c r="D11" s="72">
        <v>1.05</v>
      </c>
      <c r="E11" s="72"/>
      <c r="F11" s="72" t="s">
        <v>119</v>
      </c>
      <c r="G11" s="72">
        <v>1</v>
      </c>
      <c r="H11" s="77">
        <v>0.35</v>
      </c>
      <c r="I11" s="72"/>
      <c r="J11" s="72"/>
      <c r="K11" s="72"/>
      <c r="L11" s="72"/>
      <c r="M11" s="6" t="s">
        <v>33</v>
      </c>
      <c r="N11" s="2">
        <v>0.5</v>
      </c>
      <c r="O11" s="37">
        <v>0.4</v>
      </c>
      <c r="P11" s="145">
        <f>Tabla9[[#This Row],[Costo UF HH]]/(1-Tabla9[[#This Row],[Margen]])</f>
        <v>0.83333333333333337</v>
      </c>
      <c r="Q11" s="77"/>
      <c r="R11" s="80">
        <v>4</v>
      </c>
      <c r="S11" s="149" t="s">
        <v>191</v>
      </c>
      <c r="T11" s="79">
        <v>0.5</v>
      </c>
      <c r="U11" s="72"/>
      <c r="V11" s="94" t="s">
        <v>135</v>
      </c>
      <c r="W11" s="72" t="s">
        <v>136</v>
      </c>
      <c r="X11" s="95">
        <v>1.79</v>
      </c>
    </row>
    <row r="12" spans="2:24" ht="61.25" customHeight="1" x14ac:dyDescent="0.2">
      <c r="B12" s="72"/>
      <c r="C12" s="91"/>
      <c r="D12" s="72"/>
      <c r="E12" s="72"/>
      <c r="F12" s="72" t="s">
        <v>158</v>
      </c>
      <c r="G12" s="72">
        <v>1</v>
      </c>
      <c r="H12" s="77">
        <v>0.4</v>
      </c>
      <c r="I12" s="72"/>
      <c r="J12" s="72"/>
      <c r="K12" s="72"/>
      <c r="L12" s="72"/>
      <c r="M12" s="72"/>
      <c r="N12" s="72"/>
      <c r="O12" s="72"/>
      <c r="P12" s="72"/>
      <c r="Q12" s="77"/>
      <c r="R12" s="72"/>
      <c r="S12" s="72"/>
      <c r="T12" s="72"/>
      <c r="U12" s="72"/>
      <c r="V12" s="94" t="s">
        <v>146</v>
      </c>
      <c r="W12" s="72" t="s">
        <v>147</v>
      </c>
      <c r="X12" s="95">
        <v>0</v>
      </c>
    </row>
    <row r="13" spans="2:24" x14ac:dyDescent="0.2">
      <c r="B13" s="72"/>
      <c r="C13" s="72"/>
      <c r="D13" s="72"/>
      <c r="E13" s="72"/>
      <c r="F13" s="72"/>
      <c r="G13" s="72"/>
      <c r="H13" s="72"/>
      <c r="I13" s="72"/>
      <c r="J13" s="77"/>
      <c r="K13" s="72"/>
      <c r="L13" s="72"/>
      <c r="M13" s="72"/>
      <c r="N13" s="72"/>
      <c r="O13" s="72"/>
      <c r="P13" s="72"/>
      <c r="Q13" s="77"/>
      <c r="R13" s="72"/>
      <c r="S13" s="72"/>
      <c r="T13" s="72"/>
      <c r="U13" s="72"/>
      <c r="V13" s="72"/>
      <c r="W13" s="72"/>
      <c r="X13" s="72"/>
    </row>
    <row r="14" spans="2:24" x14ac:dyDescent="0.2">
      <c r="B14" s="67"/>
      <c r="C14" s="67"/>
      <c r="D14" s="82"/>
      <c r="E14" s="72"/>
      <c r="F14" s="72"/>
      <c r="G14" s="72"/>
      <c r="H14" s="72"/>
      <c r="I14" s="72"/>
      <c r="J14" s="72"/>
      <c r="K14" s="72"/>
      <c r="L14" s="72"/>
      <c r="M14" s="15"/>
      <c r="N14" s="72"/>
      <c r="O14" s="72"/>
      <c r="P14" s="72"/>
      <c r="Q14" s="77"/>
      <c r="R14" s="72"/>
      <c r="S14" s="72"/>
      <c r="T14" s="72"/>
      <c r="U14" s="72"/>
      <c r="V14" s="72"/>
      <c r="W14" s="72"/>
      <c r="X14" s="72"/>
    </row>
    <row r="15" spans="2:24" x14ac:dyDescent="0.2">
      <c r="B15" s="15"/>
      <c r="C15" s="15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</row>
    <row r="16" spans="2:24" ht="89.5" customHeight="1" x14ac:dyDescent="0.2">
      <c r="B16" s="15"/>
      <c r="C16" s="15"/>
      <c r="D16" s="72"/>
      <c r="E16" s="72"/>
      <c r="I16" s="72"/>
      <c r="J16" s="72"/>
      <c r="K16" s="15"/>
      <c r="L16" s="15"/>
      <c r="M16" s="15"/>
      <c r="N16" s="72"/>
      <c r="O16" s="72"/>
      <c r="P16" s="72"/>
      <c r="Q16" s="77"/>
      <c r="R16" s="72"/>
      <c r="S16" s="72"/>
      <c r="T16" s="72"/>
      <c r="U16" s="72"/>
      <c r="V16" s="72"/>
      <c r="W16" s="72"/>
      <c r="X16" s="72"/>
    </row>
    <row r="17" spans="1:24" x14ac:dyDescent="0.2">
      <c r="A17" s="10"/>
      <c r="B17" s="15"/>
      <c r="C17" s="66"/>
      <c r="D17" s="72"/>
      <c r="E17" s="72"/>
      <c r="F17" s="17"/>
      <c r="G17" s="14"/>
      <c r="H17" s="16"/>
      <c r="I17" s="72"/>
      <c r="J17" s="72"/>
      <c r="K17" s="15"/>
      <c r="L17" s="66"/>
      <c r="M17" s="15"/>
      <c r="N17" s="72"/>
      <c r="O17" s="72"/>
      <c r="P17" s="72"/>
      <c r="Q17" s="77"/>
      <c r="R17" s="72"/>
      <c r="S17" s="72"/>
      <c r="T17" s="72"/>
      <c r="U17" s="72"/>
      <c r="V17" s="72"/>
      <c r="W17" s="72"/>
      <c r="X17" s="72"/>
    </row>
    <row r="18" spans="1:24" x14ac:dyDescent="0.2">
      <c r="A18" s="10"/>
      <c r="B18" s="14"/>
      <c r="C18" s="83"/>
      <c r="D18" s="72"/>
      <c r="E18" s="72"/>
      <c r="F18" s="16"/>
      <c r="G18" s="18"/>
      <c r="H18" s="17"/>
      <c r="I18" s="72"/>
      <c r="J18" s="15"/>
      <c r="K18" s="14"/>
      <c r="L18" s="83"/>
      <c r="M18" s="83"/>
      <c r="N18" s="72"/>
      <c r="O18" s="72"/>
      <c r="P18" s="72"/>
      <c r="Q18" s="77"/>
      <c r="R18" s="72"/>
      <c r="S18" s="72"/>
      <c r="T18" s="72"/>
      <c r="U18" s="72"/>
      <c r="V18" s="72"/>
      <c r="W18" s="72"/>
      <c r="X18" s="72"/>
    </row>
    <row r="19" spans="1:24" x14ac:dyDescent="0.2">
      <c r="A19" s="10"/>
      <c r="B19" s="14"/>
      <c r="C19" s="83"/>
      <c r="D19" s="72"/>
      <c r="E19" s="72"/>
      <c r="F19" s="7"/>
      <c r="G19" s="7"/>
      <c r="H19" s="16"/>
      <c r="I19" s="72"/>
      <c r="J19" s="150"/>
      <c r="K19" s="14"/>
      <c r="L19" s="83"/>
      <c r="M19" s="83"/>
      <c r="N19" s="72"/>
      <c r="O19" s="72"/>
      <c r="P19" s="72"/>
      <c r="Q19" s="77"/>
      <c r="R19" s="72"/>
      <c r="S19" s="72"/>
      <c r="T19" s="72"/>
      <c r="U19" s="72"/>
      <c r="V19" s="72"/>
      <c r="W19" s="72"/>
      <c r="X19" s="72"/>
    </row>
    <row r="20" spans="1:24" x14ac:dyDescent="0.2">
      <c r="B20" s="14"/>
      <c r="C20" s="83"/>
      <c r="D20" s="72"/>
      <c r="E20" s="72"/>
      <c r="H20" s="7"/>
      <c r="I20" s="72"/>
      <c r="J20" s="72"/>
      <c r="K20" s="72"/>
      <c r="L20" s="83"/>
      <c r="M20" s="83"/>
      <c r="N20" s="72"/>
      <c r="O20" s="72"/>
      <c r="P20" s="72"/>
      <c r="Q20" s="77"/>
      <c r="R20" s="72"/>
      <c r="S20" s="72"/>
      <c r="T20" s="72"/>
      <c r="U20" s="72"/>
      <c r="V20" s="72"/>
      <c r="W20" s="72"/>
      <c r="X20" s="72"/>
    </row>
    <row r="21" spans="1:24" x14ac:dyDescent="0.2">
      <c r="B21" s="14"/>
      <c r="C21" s="83"/>
      <c r="D21" s="72"/>
      <c r="E21" s="72"/>
      <c r="I21" s="72"/>
      <c r="J21" s="72"/>
      <c r="K21" s="72"/>
      <c r="L21" s="83"/>
      <c r="M21" s="83"/>
      <c r="N21" s="72"/>
      <c r="O21" s="72"/>
      <c r="P21" s="72"/>
      <c r="Q21" s="77"/>
      <c r="R21" s="72"/>
      <c r="S21" s="72"/>
      <c r="T21" s="72"/>
      <c r="U21" s="72"/>
      <c r="V21" s="72"/>
      <c r="W21" s="72"/>
      <c r="X21" s="72"/>
    </row>
    <row r="22" spans="1:24" ht="41.25" customHeight="1" x14ac:dyDescent="0.2">
      <c r="L22" s="7"/>
      <c r="M22" s="7"/>
    </row>
    <row r="26" spans="1:24" x14ac:dyDescent="0.2">
      <c r="J26" s="16"/>
      <c r="K26" s="16"/>
    </row>
  </sheetData>
  <mergeCells count="3">
    <mergeCell ref="F6:H6"/>
    <mergeCell ref="R6:T6"/>
    <mergeCell ref="B6:C6"/>
  </mergeCells>
  <conditionalFormatting sqref="D3">
    <cfRule type="containsText" dxfId="126" priority="1" operator="containsText" text="Datos actualizados">
      <formula>NOT(ISERROR(SEARCH("Datos actualizados",D3)))</formula>
    </cfRule>
  </conditionalFormatting>
  <dataValidations count="2">
    <dataValidation type="list" allowBlank="1" showInputMessage="1" showErrorMessage="1" sqref="M5" xr:uid="{1E370577-3989-419E-B7EB-5EDE8CE983AE}">
      <formula1>$B$8:$B$10</formula1>
    </dataValidation>
    <dataValidation type="list" allowBlank="1" showInputMessage="1" showErrorMessage="1" sqref="M18:M21" xr:uid="{601E503C-C060-40FD-9C79-C1EAA069E4F3}">
      <formula1>$B$8:$B$13</formula1>
    </dataValidation>
  </dataValidations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0242E-B157-4ABC-8E1F-047DBD593B94}">
  <sheetPr codeName="Hoja3">
    <tabColor rgb="FF00B050"/>
  </sheetPr>
  <dimension ref="A1:S27"/>
  <sheetViews>
    <sheetView showGridLines="0" zoomScale="70" zoomScaleNormal="70" workbookViewId="0">
      <selection activeCell="I12" sqref="I12"/>
    </sheetView>
  </sheetViews>
  <sheetFormatPr baseColWidth="10" defaultColWidth="8.83203125" defaultRowHeight="15" x14ac:dyDescent="0.2"/>
  <cols>
    <col min="1" max="1" width="20.1640625" customWidth="1"/>
    <col min="2" max="2" width="15.5" customWidth="1"/>
    <col min="3" max="3" width="31.83203125" customWidth="1"/>
    <col min="4" max="4" width="15.33203125" customWidth="1"/>
    <col min="5" max="5" width="21.5" customWidth="1"/>
    <col min="6" max="6" width="20" customWidth="1"/>
    <col min="7" max="7" width="18" bestFit="1" customWidth="1"/>
    <col min="8" max="8" width="22.1640625" customWidth="1"/>
    <col min="9" max="9" width="22.6640625" customWidth="1"/>
    <col min="10" max="10" width="14" customWidth="1"/>
    <col min="11" max="11" width="13.1640625" customWidth="1"/>
    <col min="12" max="12" width="18.5" customWidth="1"/>
    <col min="13" max="13" width="17.1640625" customWidth="1"/>
    <col min="14" max="14" width="11.6640625" customWidth="1"/>
    <col min="15" max="15" width="111.5" customWidth="1"/>
    <col min="16" max="16" width="14.33203125" customWidth="1"/>
    <col min="17" max="17" width="8.83203125" style="60"/>
  </cols>
  <sheetData>
    <row r="1" spans="2:19" x14ac:dyDescent="0.2">
      <c r="H1" s="154"/>
      <c r="I1" s="154"/>
      <c r="J1" s="154"/>
      <c r="Q1"/>
    </row>
    <row r="2" spans="2:19" ht="14.5" customHeight="1" x14ac:dyDescent="0.2">
      <c r="B2" s="5" t="s">
        <v>0</v>
      </c>
      <c r="Q2"/>
    </row>
    <row r="3" spans="2:19" ht="14.5" customHeight="1" x14ac:dyDescent="0.2">
      <c r="B3" s="157" t="s">
        <v>2</v>
      </c>
      <c r="C3" s="157"/>
      <c r="D3" s="157"/>
      <c r="E3" s="157"/>
      <c r="F3" s="157"/>
      <c r="G3" s="157"/>
      <c r="H3" s="157"/>
      <c r="I3" s="157"/>
      <c r="J3" s="157"/>
      <c r="P3" s="8"/>
      <c r="Q3" s="8"/>
      <c r="R3" s="8"/>
      <c r="S3" s="8"/>
    </row>
    <row r="4" spans="2:19" x14ac:dyDescent="0.2">
      <c r="C4" s="72"/>
      <c r="D4" s="72"/>
      <c r="E4" s="72"/>
      <c r="F4" s="72"/>
      <c r="G4" s="72"/>
      <c r="H4" s="72"/>
      <c r="I4" s="72"/>
      <c r="J4" s="72"/>
      <c r="K4" s="15"/>
      <c r="L4" s="72"/>
      <c r="M4" s="72"/>
      <c r="N4" s="72"/>
      <c r="P4" s="9"/>
      <c r="Q4" s="9"/>
      <c r="R4" s="9"/>
      <c r="S4" s="9"/>
    </row>
    <row r="5" spans="2:19" x14ac:dyDescent="0.2">
      <c r="B5" s="158" t="s">
        <v>7</v>
      </c>
      <c r="C5" s="158"/>
      <c r="D5" s="158"/>
      <c r="E5" s="158"/>
      <c r="F5" s="158"/>
      <c r="G5" s="158"/>
      <c r="H5" s="158"/>
      <c r="I5" s="158"/>
      <c r="J5" s="158"/>
      <c r="K5" s="14"/>
      <c r="L5" s="72"/>
      <c r="M5" s="72"/>
      <c r="N5" s="72"/>
      <c r="P5" s="9"/>
      <c r="Q5" s="9"/>
      <c r="R5" s="9"/>
      <c r="S5" s="9"/>
    </row>
    <row r="6" spans="2:19" x14ac:dyDescent="0.2">
      <c r="B6" s="15"/>
      <c r="C6" s="15"/>
      <c r="D6" s="15"/>
      <c r="E6" s="15"/>
      <c r="F6" s="15"/>
      <c r="G6" s="15"/>
      <c r="H6" s="72"/>
      <c r="I6" s="72"/>
      <c r="J6" s="77"/>
      <c r="K6" s="14"/>
      <c r="L6" s="72"/>
      <c r="M6" s="72"/>
      <c r="N6" s="72"/>
      <c r="Q6"/>
    </row>
    <row r="7" spans="2:19" ht="29" customHeight="1" x14ac:dyDescent="0.35">
      <c r="B7" s="72"/>
      <c r="C7" s="72"/>
      <c r="D7" s="72"/>
      <c r="E7" s="155" t="s">
        <v>35</v>
      </c>
      <c r="F7" s="155"/>
      <c r="G7" s="15"/>
      <c r="H7" s="156" t="s">
        <v>37</v>
      </c>
      <c r="I7" s="156"/>
      <c r="J7" s="156"/>
      <c r="K7" s="14"/>
      <c r="O7" s="7"/>
      <c r="P7" s="7"/>
      <c r="Q7" s="7"/>
      <c r="R7" s="7"/>
    </row>
    <row r="8" spans="2:19" ht="16" x14ac:dyDescent="0.2">
      <c r="B8" s="1" t="s">
        <v>4</v>
      </c>
      <c r="C8" s="1" t="s">
        <v>5</v>
      </c>
      <c r="D8" s="72"/>
      <c r="E8" s="72" t="s">
        <v>34</v>
      </c>
      <c r="F8" s="75" t="s">
        <v>35</v>
      </c>
      <c r="G8" s="14"/>
      <c r="H8" s="72" t="s">
        <v>34</v>
      </c>
      <c r="I8" s="75" t="s">
        <v>37</v>
      </c>
      <c r="J8" s="72" t="s">
        <v>103</v>
      </c>
      <c r="K8" s="14"/>
      <c r="O8" s="7"/>
      <c r="P8" s="7"/>
      <c r="Q8" s="7"/>
      <c r="R8" s="7"/>
    </row>
    <row r="9" spans="2:19" ht="32.5" customHeight="1" x14ac:dyDescent="0.2">
      <c r="B9" s="53" t="s">
        <v>8</v>
      </c>
      <c r="C9" s="53">
        <f t="shared" ref="C9" ca="1" si="0">TODAY()</f>
        <v>45776</v>
      </c>
      <c r="D9" s="72"/>
      <c r="E9" s="52">
        <v>1</v>
      </c>
      <c r="F9" s="78" t="s">
        <v>182</v>
      </c>
      <c r="G9" s="73"/>
      <c r="H9" s="88">
        <v>1</v>
      </c>
      <c r="I9" s="78" t="s">
        <v>40</v>
      </c>
      <c r="J9" s="84" t="s">
        <v>6</v>
      </c>
      <c r="K9" s="15"/>
      <c r="O9" s="7"/>
      <c r="P9" s="7"/>
      <c r="Q9" s="7"/>
    </row>
    <row r="10" spans="2:19" ht="46.25" customHeight="1" x14ac:dyDescent="0.2">
      <c r="B10" s="53" t="s">
        <v>9</v>
      </c>
      <c r="C10" s="53" t="s">
        <v>10</v>
      </c>
      <c r="D10" s="72"/>
      <c r="E10" s="52">
        <v>2</v>
      </c>
      <c r="F10" s="78" t="s">
        <v>183</v>
      </c>
      <c r="G10" s="74"/>
      <c r="H10" s="88">
        <f>H9+1</f>
        <v>2</v>
      </c>
      <c r="I10" s="78" t="s">
        <v>43</v>
      </c>
      <c r="J10" s="84" t="s">
        <v>6</v>
      </c>
      <c r="K10" s="15"/>
      <c r="O10" s="70"/>
      <c r="P10" s="70"/>
      <c r="Q10" s="70"/>
      <c r="R10" s="70"/>
    </row>
    <row r="11" spans="2:19" ht="16" x14ac:dyDescent="0.2">
      <c r="B11" s="53" t="s">
        <v>11</v>
      </c>
      <c r="C11" s="53" t="s">
        <v>12</v>
      </c>
      <c r="D11" s="72"/>
      <c r="E11" s="52">
        <v>3</v>
      </c>
      <c r="F11" s="78" t="s">
        <v>184</v>
      </c>
      <c r="G11" s="72"/>
      <c r="H11" s="88">
        <f t="shared" ref="H11:H13" si="1">H10+1</f>
        <v>3</v>
      </c>
      <c r="I11" s="78" t="s">
        <v>46</v>
      </c>
      <c r="J11" s="84" t="s">
        <v>3</v>
      </c>
      <c r="K11" s="15"/>
      <c r="O11" s="70"/>
      <c r="P11" s="70"/>
      <c r="Q11" s="71"/>
      <c r="R11" s="70"/>
    </row>
    <row r="12" spans="2:19" ht="37.25" customHeight="1" x14ac:dyDescent="0.2">
      <c r="B12" s="53" t="s">
        <v>13</v>
      </c>
      <c r="C12" s="53" t="s">
        <v>14</v>
      </c>
      <c r="D12" s="72"/>
      <c r="E12" s="52">
        <v>4</v>
      </c>
      <c r="F12" s="78" t="s">
        <v>188</v>
      </c>
      <c r="G12" s="72"/>
      <c r="H12" s="88">
        <f t="shared" si="1"/>
        <v>4</v>
      </c>
      <c r="I12" s="81" t="s">
        <v>108</v>
      </c>
      <c r="J12" s="84" t="s">
        <v>30</v>
      </c>
      <c r="K12" s="15"/>
      <c r="O12" s="70"/>
      <c r="P12" s="70"/>
      <c r="Q12" s="71"/>
      <c r="R12" s="70"/>
    </row>
    <row r="13" spans="2:19" ht="16" x14ac:dyDescent="0.2">
      <c r="B13" s="53" t="s">
        <v>157</v>
      </c>
      <c r="C13" s="126">
        <v>0.19</v>
      </c>
      <c r="D13" s="72"/>
      <c r="E13" s="80">
        <v>5</v>
      </c>
      <c r="F13" s="138" t="s">
        <v>185</v>
      </c>
      <c r="G13" s="72"/>
      <c r="H13" s="88">
        <f t="shared" si="1"/>
        <v>5</v>
      </c>
      <c r="I13" s="81" t="s">
        <v>198</v>
      </c>
      <c r="J13" s="79" t="s">
        <v>1</v>
      </c>
      <c r="K13" s="15"/>
      <c r="L13" s="1"/>
      <c r="M13" s="1"/>
      <c r="N13" s="72"/>
      <c r="O13" s="70"/>
      <c r="P13" s="70"/>
      <c r="Q13" s="71"/>
      <c r="R13" s="70"/>
    </row>
    <row r="14" spans="2:19" ht="16" x14ac:dyDescent="0.2">
      <c r="B14" s="53"/>
      <c r="C14" s="53"/>
      <c r="D14" s="72"/>
      <c r="E14" s="72"/>
      <c r="F14" s="73"/>
      <c r="G14" s="15"/>
      <c r="H14" s="88">
        <v>6</v>
      </c>
      <c r="I14" s="135" t="s">
        <v>99</v>
      </c>
      <c r="J14" s="136" t="s">
        <v>1</v>
      </c>
      <c r="K14" s="15"/>
      <c r="L14" s="14"/>
      <c r="M14" s="14"/>
      <c r="N14" s="15"/>
      <c r="O14" s="11"/>
      <c r="P14" s="11"/>
      <c r="Q14" s="85"/>
      <c r="R14" s="70"/>
    </row>
    <row r="15" spans="2:19" x14ac:dyDescent="0.2">
      <c r="B15" s="53"/>
      <c r="C15" s="53"/>
      <c r="D15" s="72"/>
      <c r="E15" s="72"/>
      <c r="F15" s="15"/>
      <c r="G15" s="15"/>
      <c r="H15" s="15"/>
      <c r="I15" s="15"/>
      <c r="J15" s="15"/>
      <c r="K15" s="15"/>
      <c r="L15" s="14"/>
      <c r="M15" s="14"/>
      <c r="N15" s="15"/>
      <c r="O15" s="7"/>
      <c r="P15" s="7"/>
      <c r="Q15" s="7"/>
    </row>
    <row r="16" spans="2:19" ht="89.5" customHeight="1" x14ac:dyDescent="0.2">
      <c r="B16" s="53"/>
      <c r="C16" s="53"/>
      <c r="D16" s="72"/>
      <c r="E16" s="72"/>
      <c r="F16" s="15"/>
      <c r="G16" s="15"/>
      <c r="H16" s="15"/>
      <c r="I16" s="15"/>
      <c r="J16" s="15"/>
      <c r="K16" s="15"/>
      <c r="L16" s="14"/>
      <c r="M16" s="14"/>
      <c r="N16" s="15"/>
      <c r="O16" s="7"/>
      <c r="P16" s="7"/>
      <c r="Q16" s="7"/>
    </row>
    <row r="17" spans="1:17" x14ac:dyDescent="0.2">
      <c r="A17" s="10"/>
      <c r="B17" s="53"/>
      <c r="C17" s="53"/>
      <c r="D17" s="82"/>
      <c r="E17" s="72"/>
      <c r="F17" s="15"/>
      <c r="G17" s="15"/>
      <c r="H17" s="15"/>
      <c r="I17" s="15"/>
      <c r="J17" s="15"/>
      <c r="K17" s="15"/>
      <c r="L17" s="15"/>
      <c r="M17" s="15"/>
      <c r="N17" s="15"/>
      <c r="O17" s="7"/>
      <c r="P17" s="68"/>
      <c r="Q17" s="7"/>
    </row>
    <row r="18" spans="1:17" x14ac:dyDescent="0.2">
      <c r="A18" s="10"/>
      <c r="B18" s="72"/>
      <c r="C18" s="72"/>
      <c r="D18" s="72"/>
      <c r="E18" s="72"/>
      <c r="F18" s="15"/>
      <c r="G18" s="15"/>
      <c r="H18" s="15"/>
      <c r="I18" s="15"/>
      <c r="J18" s="15"/>
      <c r="K18" s="15"/>
      <c r="L18" s="15"/>
      <c r="M18" s="15"/>
      <c r="N18" s="15"/>
      <c r="O18" s="11"/>
      <c r="P18" s="69"/>
      <c r="Q18" s="86"/>
    </row>
    <row r="19" spans="1:17" x14ac:dyDescent="0.2">
      <c r="A19" s="10"/>
      <c r="B19" s="72"/>
      <c r="C19" s="72"/>
      <c r="D19" s="72"/>
      <c r="E19" s="72"/>
      <c r="F19" s="15"/>
      <c r="G19" s="15"/>
      <c r="H19" s="15"/>
      <c r="I19" s="15"/>
      <c r="J19" s="15"/>
      <c r="K19" s="15"/>
      <c r="L19" s="15"/>
      <c r="M19" s="15"/>
      <c r="N19" s="15"/>
      <c r="O19" s="11"/>
      <c r="P19" s="69"/>
      <c r="Q19" s="86"/>
    </row>
    <row r="20" spans="1:17" x14ac:dyDescent="0.2">
      <c r="B20" s="72"/>
      <c r="C20" s="72"/>
      <c r="D20" s="72"/>
      <c r="E20" s="72"/>
      <c r="F20" s="16"/>
      <c r="G20" s="15"/>
      <c r="H20" s="15"/>
      <c r="I20" s="15"/>
      <c r="J20" s="15"/>
      <c r="K20" s="15"/>
      <c r="L20" s="15"/>
      <c r="M20" s="15"/>
      <c r="N20" s="15"/>
      <c r="O20" s="11"/>
      <c r="P20" s="69"/>
      <c r="Q20" s="86"/>
    </row>
    <row r="21" spans="1:17" x14ac:dyDescent="0.2">
      <c r="B21" s="72"/>
      <c r="C21" s="72"/>
      <c r="D21" s="72"/>
      <c r="F21" s="17"/>
      <c r="G21" s="15"/>
      <c r="H21" s="16"/>
      <c r="I21" s="7"/>
      <c r="J21" s="7"/>
      <c r="K21" s="15"/>
      <c r="L21" s="15"/>
      <c r="M21" s="15"/>
      <c r="N21" s="15"/>
      <c r="O21" s="11"/>
      <c r="P21" s="69"/>
      <c r="Q21" s="86"/>
    </row>
    <row r="22" spans="1:17" ht="41.25" customHeight="1" x14ac:dyDescent="0.2">
      <c r="B22" s="72"/>
      <c r="C22" s="72"/>
      <c r="D22" s="72"/>
      <c r="F22" s="16"/>
      <c r="G22" s="16"/>
      <c r="H22" s="17"/>
      <c r="I22" s="7"/>
      <c r="J22" s="7"/>
      <c r="K22" s="15"/>
      <c r="L22" s="15"/>
      <c r="M22" s="15"/>
      <c r="N22" s="15"/>
      <c r="O22" s="7"/>
      <c r="P22" s="7"/>
      <c r="Q22" s="87"/>
    </row>
    <row r="23" spans="1:17" x14ac:dyDescent="0.2">
      <c r="F23" s="7"/>
      <c r="G23" s="14"/>
      <c r="H23" s="16"/>
      <c r="I23" s="7"/>
      <c r="J23" s="7"/>
      <c r="K23" s="7"/>
      <c r="L23" s="7"/>
      <c r="M23" s="7"/>
      <c r="N23" s="7"/>
      <c r="O23" s="7"/>
      <c r="P23" s="7"/>
      <c r="Q23" s="87"/>
    </row>
    <row r="24" spans="1:17" x14ac:dyDescent="0.2">
      <c r="F24" s="7"/>
      <c r="G24" s="18"/>
      <c r="H24" s="7"/>
      <c r="I24" s="7"/>
      <c r="J24" s="7"/>
      <c r="K24" s="7"/>
      <c r="L24" s="7"/>
      <c r="M24" s="7"/>
      <c r="N24" s="7"/>
      <c r="O24" s="7"/>
      <c r="P24" s="7"/>
      <c r="Q24" s="87"/>
    </row>
    <row r="25" spans="1:17" x14ac:dyDescent="0.2"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87"/>
    </row>
    <row r="26" spans="1:17" x14ac:dyDescent="0.2">
      <c r="G26" s="7"/>
      <c r="K26" s="7"/>
      <c r="L26" s="7"/>
      <c r="M26" s="7"/>
      <c r="N26" s="7"/>
      <c r="O26" s="7"/>
      <c r="P26" s="7"/>
      <c r="Q26" s="87"/>
    </row>
    <row r="27" spans="1:17" x14ac:dyDescent="0.2">
      <c r="G27" s="7"/>
      <c r="K27" s="7"/>
      <c r="L27" s="7"/>
      <c r="M27" s="7"/>
      <c r="N27" s="7"/>
      <c r="O27" s="7"/>
      <c r="P27" s="7"/>
      <c r="Q27" s="87"/>
    </row>
  </sheetData>
  <mergeCells count="5">
    <mergeCell ref="H1:J1"/>
    <mergeCell ref="E7:F7"/>
    <mergeCell ref="H7:J7"/>
    <mergeCell ref="B3:J3"/>
    <mergeCell ref="B5:J5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5A721BF-53C2-4721-BC8E-F4AC49B4AAE1}">
          <x14:formula1>
            <xm:f>'Datos generales'!$B$8:$B$1048576</xm:f>
          </x14:formula1>
          <xm:sqref>J9:J1048576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248F3-FAE2-4D05-9726-08B2B350F69F}">
  <sheetPr codeName="Hoja2">
    <tabColor rgb="FF00B050"/>
  </sheetPr>
  <dimension ref="A1:AE1000"/>
  <sheetViews>
    <sheetView showGridLines="0" tabSelected="1" topLeftCell="G1" zoomScale="90" zoomScaleNormal="70" workbookViewId="0">
      <selection activeCell="V15" sqref="V15"/>
    </sheetView>
  </sheetViews>
  <sheetFormatPr baseColWidth="10" defaultColWidth="8.83203125" defaultRowHeight="15" x14ac:dyDescent="0.2"/>
  <cols>
    <col min="1" max="1" width="11.1640625" style="165" bestFit="1" customWidth="1"/>
    <col min="2" max="2" width="7.1640625" style="165" bestFit="1" customWidth="1"/>
    <col min="3" max="3" width="31.5" style="165" bestFit="1" customWidth="1"/>
    <col min="4" max="4" width="13.83203125" style="165" bestFit="1" customWidth="1"/>
    <col min="5" max="6" width="15.33203125" style="165" bestFit="1" customWidth="1"/>
    <col min="7" max="7" width="11.1640625" style="165" bestFit="1" customWidth="1"/>
    <col min="8" max="8" width="16" style="165" bestFit="1" customWidth="1"/>
    <col min="9" max="9" width="21.83203125" style="165" bestFit="1" customWidth="1"/>
    <col min="10" max="10" width="15.5" style="165" bestFit="1" customWidth="1"/>
    <col min="11" max="11" width="18.5" style="165" bestFit="1" customWidth="1"/>
    <col min="12" max="12" width="28" bestFit="1" customWidth="1"/>
    <col min="13" max="13" width="11.83203125" style="115" bestFit="1" customWidth="1"/>
    <col min="14" max="14" width="12.83203125" bestFit="1" customWidth="1"/>
    <col min="15" max="15" width="24.6640625" bestFit="1" customWidth="1"/>
    <col min="16" max="16" width="14.1640625" style="165" bestFit="1" customWidth="1"/>
    <col min="17" max="17" width="27" style="165" bestFit="1" customWidth="1"/>
    <col min="18" max="18" width="8.33203125" style="165" bestFit="1" customWidth="1"/>
    <col min="19" max="19" width="16.83203125" style="185" bestFit="1" customWidth="1"/>
    <col min="20" max="20" width="16.6640625" style="165" bestFit="1" customWidth="1"/>
    <col min="21" max="21" width="14.1640625" style="165" bestFit="1" customWidth="1"/>
    <col min="22" max="22" width="22.1640625" style="165" bestFit="1" customWidth="1"/>
    <col min="23" max="23" width="11.6640625" style="165" bestFit="1" customWidth="1"/>
    <col min="24" max="24" width="13.5" style="185" customWidth="1"/>
    <col min="25" max="25" width="16.6640625" style="165" bestFit="1" customWidth="1"/>
    <col min="26" max="26" width="18" style="165" bestFit="1" customWidth="1"/>
    <col min="27" max="27" width="35.6640625" style="165" bestFit="1" customWidth="1"/>
    <col min="28" max="28" width="12.1640625" style="165" bestFit="1" customWidth="1"/>
    <col min="29" max="29" width="38.1640625" style="165" bestFit="1" customWidth="1"/>
    <col min="30" max="30" width="23" style="165" bestFit="1" customWidth="1"/>
    <col min="31" max="31" width="47.83203125" style="165" bestFit="1" customWidth="1"/>
    <col min="32" max="32" width="33.33203125" style="165" bestFit="1" customWidth="1"/>
    <col min="33" max="16384" width="8.83203125" style="165"/>
  </cols>
  <sheetData>
    <row r="1" spans="1:31" s="107" customFormat="1" x14ac:dyDescent="0.2">
      <c r="A1" s="44"/>
      <c r="B1" s="44"/>
      <c r="C1" s="45"/>
      <c r="F1" s="108"/>
      <c r="G1" s="109"/>
      <c r="H1" s="110"/>
      <c r="I1" s="111"/>
      <c r="K1" s="113"/>
      <c r="L1" s="112"/>
      <c r="M1" s="124"/>
      <c r="N1" s="124"/>
      <c r="O1" s="124"/>
      <c r="P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</row>
    <row r="2" spans="1:31" customFormat="1" ht="52.25" customHeight="1" x14ac:dyDescent="0.2">
      <c r="C2" s="39"/>
      <c r="F2" s="49"/>
      <c r="G2" s="10"/>
      <c r="H2" s="46"/>
      <c r="I2" s="47"/>
      <c r="K2" s="39"/>
      <c r="L2" s="3"/>
      <c r="M2" s="115"/>
      <c r="N2" s="115"/>
      <c r="O2" s="115"/>
      <c r="P2" s="115"/>
      <c r="Q2" s="121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</row>
    <row r="3" spans="1:31" customFormat="1" ht="61.25" customHeight="1" x14ac:dyDescent="0.2">
      <c r="A3" s="125"/>
      <c r="B3" s="13"/>
      <c r="C3" s="151" t="s">
        <v>206</v>
      </c>
      <c r="D3" s="13"/>
      <c r="E3" s="13"/>
      <c r="F3" s="122"/>
      <c r="G3" s="123"/>
      <c r="H3" s="105"/>
      <c r="I3" s="105"/>
      <c r="J3" s="13"/>
      <c r="K3" s="38"/>
      <c r="L3" s="13"/>
      <c r="M3" s="114"/>
      <c r="N3" s="114"/>
      <c r="O3" s="114"/>
      <c r="P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  <c r="AE3" s="115"/>
    </row>
    <row r="4" spans="1:31" ht="27" customHeight="1" x14ac:dyDescent="0.25">
      <c r="L4" s="173" t="s">
        <v>212</v>
      </c>
      <c r="Q4" s="182" t="s">
        <v>246</v>
      </c>
      <c r="V4" s="173" t="s">
        <v>253</v>
      </c>
      <c r="W4"/>
      <c r="X4" s="115"/>
      <c r="Y4"/>
    </row>
    <row r="5" spans="1:31" ht="35.5" customHeight="1" x14ac:dyDescent="0.2">
      <c r="A5" s="167" t="s">
        <v>155</v>
      </c>
      <c r="B5" s="167" t="s">
        <v>156</v>
      </c>
      <c r="C5" s="167" t="s">
        <v>182</v>
      </c>
      <c r="D5" s="167" t="s">
        <v>183</v>
      </c>
      <c r="E5" s="167" t="s">
        <v>184</v>
      </c>
      <c r="F5" s="167" t="s">
        <v>188</v>
      </c>
      <c r="G5" s="167" t="s">
        <v>207</v>
      </c>
      <c r="H5" s="167" t="s">
        <v>202</v>
      </c>
      <c r="I5" s="167" t="s">
        <v>203</v>
      </c>
      <c r="J5" s="167" t="s">
        <v>204</v>
      </c>
      <c r="L5" s="174" t="s">
        <v>210</v>
      </c>
      <c r="M5" s="180" t="s">
        <v>62</v>
      </c>
      <c r="N5" s="174" t="s">
        <v>152</v>
      </c>
      <c r="O5" s="174" t="s">
        <v>213</v>
      </c>
      <c r="Q5" s="183" t="s">
        <v>47</v>
      </c>
      <c r="R5" s="183" t="s">
        <v>247</v>
      </c>
      <c r="S5" s="186" t="s">
        <v>248</v>
      </c>
      <c r="T5" s="183" t="s">
        <v>254</v>
      </c>
      <c r="V5" s="174" t="s">
        <v>47</v>
      </c>
      <c r="W5" s="174" t="s">
        <v>155</v>
      </c>
      <c r="X5" s="180" t="s">
        <v>104</v>
      </c>
      <c r="Y5" s="174" t="s">
        <v>255</v>
      </c>
    </row>
    <row r="6" spans="1:31" x14ac:dyDescent="0.2">
      <c r="A6" s="166" t="s">
        <v>40</v>
      </c>
      <c r="B6" s="168" t="s">
        <v>6</v>
      </c>
      <c r="C6" s="169">
        <v>7517.0701754385964</v>
      </c>
      <c r="D6" s="169">
        <v>15430.824561403508</v>
      </c>
      <c r="E6" s="169">
        <v>6786.4736842105267</v>
      </c>
      <c r="F6" s="169">
        <v>4319.4385964912281</v>
      </c>
      <c r="G6" s="169">
        <v>0</v>
      </c>
      <c r="H6" s="169" t="s">
        <v>208</v>
      </c>
      <c r="I6" s="169">
        <v>32351116.666666664</v>
      </c>
      <c r="J6" s="169">
        <v>38497828.833333328</v>
      </c>
      <c r="L6" s="175" t="s">
        <v>108</v>
      </c>
      <c r="Q6" s="184" t="s">
        <v>182</v>
      </c>
      <c r="V6" s="176" t="s">
        <v>207</v>
      </c>
      <c r="W6"/>
      <c r="X6" s="115"/>
      <c r="Y6"/>
    </row>
    <row r="7" spans="1:31" x14ac:dyDescent="0.2">
      <c r="A7" s="166" t="s">
        <v>43</v>
      </c>
      <c r="B7" s="168" t="s">
        <v>6</v>
      </c>
      <c r="C7" s="169">
        <v>0</v>
      </c>
      <c r="D7" s="169">
        <v>0</v>
      </c>
      <c r="E7" s="169">
        <v>0</v>
      </c>
      <c r="F7" s="169">
        <v>0</v>
      </c>
      <c r="G7" s="169">
        <v>606.46105263157892</v>
      </c>
      <c r="H7" s="169" t="s">
        <v>244</v>
      </c>
      <c r="I7" s="169">
        <v>576138</v>
      </c>
      <c r="J7" s="169">
        <v>685604.22</v>
      </c>
      <c r="L7" s="176" t="s">
        <v>184</v>
      </c>
      <c r="Q7" s="165" t="s">
        <v>189</v>
      </c>
      <c r="R7" s="165" t="s">
        <v>46</v>
      </c>
      <c r="S7" s="185">
        <v>8</v>
      </c>
      <c r="T7" s="165" t="s">
        <v>249</v>
      </c>
      <c r="V7" t="s">
        <v>200</v>
      </c>
      <c r="W7" t="s">
        <v>198</v>
      </c>
      <c r="X7" s="115">
        <v>5</v>
      </c>
      <c r="Y7" t="s">
        <v>252</v>
      </c>
    </row>
    <row r="8" spans="1:31" x14ac:dyDescent="0.2">
      <c r="A8" s="166" t="s">
        <v>46</v>
      </c>
      <c r="B8" s="168" t="s">
        <v>3</v>
      </c>
      <c r="C8" s="169">
        <v>6.666666666666667</v>
      </c>
      <c r="D8" s="169">
        <v>11.666666666666668</v>
      </c>
      <c r="E8" s="169">
        <v>8.3333333333333339</v>
      </c>
      <c r="F8" s="169">
        <v>6.666666666666667</v>
      </c>
      <c r="G8" s="169">
        <v>0</v>
      </c>
      <c r="H8" s="169" t="s">
        <v>245</v>
      </c>
      <c r="I8" s="169">
        <v>1280306.6666666667</v>
      </c>
      <c r="J8" s="169">
        <v>1523564.9333333333</v>
      </c>
      <c r="L8" s="170" t="s">
        <v>66</v>
      </c>
      <c r="V8"/>
      <c r="W8"/>
      <c r="X8" s="115"/>
      <c r="Y8"/>
    </row>
    <row r="9" spans="1:31" x14ac:dyDescent="0.2">
      <c r="A9" s="166" t="s">
        <v>108</v>
      </c>
      <c r="B9" s="168" t="s">
        <v>30</v>
      </c>
      <c r="C9" s="169">
        <v>0</v>
      </c>
      <c r="D9" s="169">
        <v>0</v>
      </c>
      <c r="E9" s="169">
        <v>1853.6585365853655</v>
      </c>
      <c r="F9" s="169">
        <v>0</v>
      </c>
      <c r="G9" s="169">
        <v>0</v>
      </c>
      <c r="H9" s="169" t="s">
        <v>209</v>
      </c>
      <c r="I9" s="169">
        <v>1853.6585365853655</v>
      </c>
      <c r="J9" s="169">
        <v>2205.853658536585</v>
      </c>
      <c r="L9" s="171" t="s">
        <v>48</v>
      </c>
      <c r="M9" s="115">
        <v>3</v>
      </c>
      <c r="N9" t="s">
        <v>214</v>
      </c>
      <c r="O9" t="s">
        <v>209</v>
      </c>
      <c r="Q9" s="184" t="s">
        <v>183</v>
      </c>
      <c r="V9"/>
      <c r="W9"/>
      <c r="X9" s="115"/>
      <c r="Y9"/>
    </row>
    <row r="10" spans="1:31" x14ac:dyDescent="0.2">
      <c r="A10" s="166" t="s">
        <v>198</v>
      </c>
      <c r="B10" s="168" t="s">
        <v>1</v>
      </c>
      <c r="C10" s="169">
        <v>0</v>
      </c>
      <c r="D10" s="169">
        <v>0</v>
      </c>
      <c r="E10" s="169">
        <v>0</v>
      </c>
      <c r="F10" s="169">
        <v>0</v>
      </c>
      <c r="G10" s="169">
        <v>10</v>
      </c>
      <c r="H10" s="169" t="s">
        <v>252</v>
      </c>
      <c r="I10" s="169">
        <v>10</v>
      </c>
      <c r="J10" s="169">
        <v>11.899999999999999</v>
      </c>
      <c r="L10" s="177" t="s">
        <v>184</v>
      </c>
      <c r="M10" s="181">
        <v>3</v>
      </c>
      <c r="N10" s="172"/>
      <c r="O10" s="172" t="s">
        <v>215</v>
      </c>
      <c r="Q10" s="165" t="s">
        <v>189</v>
      </c>
      <c r="R10" s="165" t="s">
        <v>46</v>
      </c>
      <c r="S10" s="185">
        <v>14</v>
      </c>
      <c r="T10" s="165" t="s">
        <v>250</v>
      </c>
      <c r="V10"/>
      <c r="W10"/>
      <c r="X10" s="115"/>
      <c r="Y10"/>
    </row>
    <row r="11" spans="1:31" x14ac:dyDescent="0.2">
      <c r="A11" s="166" t="s">
        <v>99</v>
      </c>
      <c r="B11" s="168" t="s">
        <v>1</v>
      </c>
      <c r="C11" s="169">
        <v>0</v>
      </c>
      <c r="D11" s="169">
        <v>0</v>
      </c>
      <c r="E11" s="169">
        <v>0</v>
      </c>
      <c r="F11" s="169">
        <v>0</v>
      </c>
      <c r="G11" s="169">
        <v>640153.33333333337</v>
      </c>
      <c r="H11" s="169" t="s">
        <v>243</v>
      </c>
      <c r="I11" s="169">
        <v>640153.33333333337</v>
      </c>
      <c r="J11" s="169">
        <v>761782.46666666667</v>
      </c>
      <c r="V11"/>
      <c r="W11"/>
      <c r="X11" s="115"/>
      <c r="Y11"/>
    </row>
    <row r="12" spans="1:31" x14ac:dyDescent="0.2">
      <c r="L12" s="178" t="s">
        <v>40</v>
      </c>
      <c r="Q12" s="184" t="s">
        <v>184</v>
      </c>
      <c r="V12"/>
      <c r="W12"/>
      <c r="X12" s="115"/>
      <c r="Y12"/>
    </row>
    <row r="13" spans="1:31" x14ac:dyDescent="0.2">
      <c r="L13" s="176" t="s">
        <v>184</v>
      </c>
      <c r="Q13" s="165" t="s">
        <v>189</v>
      </c>
      <c r="R13" s="165" t="s">
        <v>46</v>
      </c>
      <c r="S13" s="185">
        <v>10</v>
      </c>
      <c r="T13" s="165" t="s">
        <v>251</v>
      </c>
      <c r="V13"/>
      <c r="W13"/>
      <c r="X13" s="115"/>
      <c r="Y13"/>
    </row>
    <row r="14" spans="1:31" x14ac:dyDescent="0.2">
      <c r="L14" s="170" t="s">
        <v>66</v>
      </c>
      <c r="V14"/>
      <c r="W14"/>
      <c r="X14" s="115"/>
      <c r="Y14"/>
    </row>
    <row r="15" spans="1:31" x14ac:dyDescent="0.2">
      <c r="L15" s="171" t="s">
        <v>170</v>
      </c>
      <c r="M15" s="115">
        <v>1</v>
      </c>
      <c r="N15" t="s">
        <v>216</v>
      </c>
      <c r="O15" t="s">
        <v>216</v>
      </c>
      <c r="Q15" s="184" t="s">
        <v>188</v>
      </c>
      <c r="V15"/>
      <c r="W15"/>
      <c r="X15" s="115"/>
      <c r="Y15"/>
    </row>
    <row r="16" spans="1:31" x14ac:dyDescent="0.2">
      <c r="L16" s="171" t="s">
        <v>162</v>
      </c>
      <c r="M16" s="115">
        <v>0</v>
      </c>
      <c r="N16" t="s">
        <v>217</v>
      </c>
      <c r="O16" t="s">
        <v>217</v>
      </c>
      <c r="Q16" s="165" t="s">
        <v>189</v>
      </c>
      <c r="R16" s="165" t="s">
        <v>46</v>
      </c>
      <c r="S16" s="185">
        <v>8</v>
      </c>
      <c r="T16" s="165" t="s">
        <v>249</v>
      </c>
      <c r="V16"/>
      <c r="W16"/>
      <c r="X16" s="115"/>
      <c r="Y16"/>
    </row>
    <row r="17" spans="12:25" x14ac:dyDescent="0.2">
      <c r="L17" s="171" t="s">
        <v>168</v>
      </c>
      <c r="M17" s="115">
        <v>1</v>
      </c>
      <c r="N17" t="s">
        <v>218</v>
      </c>
      <c r="O17" t="s">
        <v>218</v>
      </c>
      <c r="V17"/>
      <c r="W17"/>
      <c r="X17" s="115"/>
      <c r="Y17"/>
    </row>
    <row r="18" spans="12:25" x14ac:dyDescent="0.2">
      <c r="L18" s="171" t="s">
        <v>159</v>
      </c>
      <c r="M18" s="115">
        <v>1</v>
      </c>
      <c r="N18" t="s">
        <v>219</v>
      </c>
      <c r="O18" t="s">
        <v>219</v>
      </c>
      <c r="Q18" s="184" t="s">
        <v>207</v>
      </c>
      <c r="V18"/>
      <c r="W18"/>
      <c r="X18" s="115"/>
      <c r="Y18"/>
    </row>
    <row r="19" spans="12:25" x14ac:dyDescent="0.2">
      <c r="L19" s="170" t="s">
        <v>99</v>
      </c>
      <c r="Q19" s="165" t="s">
        <v>194</v>
      </c>
      <c r="R19" s="165" t="s">
        <v>43</v>
      </c>
      <c r="S19" s="185">
        <v>20</v>
      </c>
      <c r="T19" s="165" t="s">
        <v>244</v>
      </c>
      <c r="V19"/>
      <c r="W19"/>
      <c r="X19" s="115"/>
      <c r="Y19"/>
    </row>
    <row r="20" spans="12:25" x14ac:dyDescent="0.2">
      <c r="L20" s="171" t="s">
        <v>163</v>
      </c>
      <c r="M20" s="115">
        <v>0</v>
      </c>
      <c r="N20" t="s">
        <v>217</v>
      </c>
      <c r="O20" t="s">
        <v>217</v>
      </c>
      <c r="Q20" s="165" t="s">
        <v>195</v>
      </c>
      <c r="R20" s="165" t="s">
        <v>99</v>
      </c>
      <c r="S20" s="185">
        <v>20</v>
      </c>
      <c r="T20" s="165" t="s">
        <v>243</v>
      </c>
      <c r="V20"/>
      <c r="W20"/>
      <c r="X20" s="115"/>
      <c r="Y20"/>
    </row>
    <row r="21" spans="12:25" x14ac:dyDescent="0.2">
      <c r="L21" s="171" t="s">
        <v>111</v>
      </c>
      <c r="M21" s="115">
        <v>4</v>
      </c>
      <c r="N21" t="s">
        <v>220</v>
      </c>
      <c r="O21" t="s">
        <v>221</v>
      </c>
      <c r="V21"/>
      <c r="W21"/>
      <c r="X21" s="115"/>
      <c r="Y21"/>
    </row>
    <row r="22" spans="12:25" x14ac:dyDescent="0.2">
      <c r="L22" s="171" t="s">
        <v>192</v>
      </c>
      <c r="M22" s="115">
        <v>3</v>
      </c>
      <c r="N22" t="s">
        <v>222</v>
      </c>
      <c r="O22" t="s">
        <v>223</v>
      </c>
      <c r="V22"/>
      <c r="W22"/>
      <c r="X22" s="115"/>
      <c r="Y22"/>
    </row>
    <row r="23" spans="12:25" x14ac:dyDescent="0.2">
      <c r="L23" s="177" t="s">
        <v>184</v>
      </c>
      <c r="M23" s="181">
        <v>10</v>
      </c>
      <c r="N23" s="172"/>
      <c r="O23" s="172" t="s">
        <v>224</v>
      </c>
      <c r="V23"/>
      <c r="W23"/>
      <c r="X23" s="115"/>
      <c r="Y23"/>
    </row>
    <row r="24" spans="12:25" x14ac:dyDescent="0.2">
      <c r="V24"/>
      <c r="W24"/>
      <c r="X24" s="115"/>
      <c r="Y24"/>
    </row>
    <row r="25" spans="12:25" x14ac:dyDescent="0.2">
      <c r="L25" s="176" t="s">
        <v>188</v>
      </c>
      <c r="V25"/>
      <c r="W25"/>
      <c r="X25" s="115"/>
      <c r="Y25"/>
    </row>
    <row r="26" spans="12:25" x14ac:dyDescent="0.2">
      <c r="L26" s="170" t="s">
        <v>65</v>
      </c>
      <c r="V26"/>
      <c r="W26"/>
      <c r="X26" s="115"/>
      <c r="Y26"/>
    </row>
    <row r="27" spans="12:25" x14ac:dyDescent="0.2">
      <c r="L27" s="171" t="s">
        <v>48</v>
      </c>
      <c r="M27" s="115">
        <v>2</v>
      </c>
      <c r="N27" t="s">
        <v>225</v>
      </c>
      <c r="O27" t="s">
        <v>226</v>
      </c>
      <c r="V27"/>
      <c r="W27"/>
      <c r="X27" s="115"/>
      <c r="Y27"/>
    </row>
    <row r="28" spans="12:25" x14ac:dyDescent="0.2">
      <c r="L28" s="170" t="s">
        <v>66</v>
      </c>
      <c r="V28"/>
      <c r="W28"/>
      <c r="X28" s="115"/>
      <c r="Y28"/>
    </row>
    <row r="29" spans="12:25" x14ac:dyDescent="0.2">
      <c r="L29" s="171" t="s">
        <v>165</v>
      </c>
      <c r="M29" s="115">
        <v>2</v>
      </c>
      <c r="N29" t="s">
        <v>227</v>
      </c>
      <c r="O29" t="s">
        <v>228</v>
      </c>
      <c r="V29"/>
      <c r="W29"/>
      <c r="X29" s="115"/>
      <c r="Y29"/>
    </row>
    <row r="30" spans="12:25" x14ac:dyDescent="0.2">
      <c r="L30" s="171" t="s">
        <v>168</v>
      </c>
      <c r="M30" s="115">
        <v>1</v>
      </c>
      <c r="N30" t="s">
        <v>218</v>
      </c>
      <c r="O30" t="s">
        <v>218</v>
      </c>
      <c r="V30"/>
      <c r="W30"/>
      <c r="X30" s="115"/>
      <c r="Y30"/>
    </row>
    <row r="31" spans="12:25" x14ac:dyDescent="0.2">
      <c r="L31" s="171" t="s">
        <v>192</v>
      </c>
      <c r="M31" s="115">
        <v>2</v>
      </c>
      <c r="N31" t="s">
        <v>222</v>
      </c>
      <c r="O31" t="s">
        <v>229</v>
      </c>
      <c r="V31"/>
      <c r="W31"/>
      <c r="X31" s="115"/>
      <c r="Y31"/>
    </row>
    <row r="32" spans="12:25" x14ac:dyDescent="0.2">
      <c r="L32" s="170" t="s">
        <v>99</v>
      </c>
      <c r="V32"/>
      <c r="W32"/>
      <c r="X32" s="115"/>
      <c r="Y32"/>
    </row>
    <row r="33" spans="12:25" x14ac:dyDescent="0.2">
      <c r="L33" s="171" t="s">
        <v>111</v>
      </c>
      <c r="M33" s="115">
        <v>2</v>
      </c>
      <c r="N33" t="s">
        <v>220</v>
      </c>
      <c r="O33" t="s">
        <v>230</v>
      </c>
      <c r="V33"/>
      <c r="W33"/>
      <c r="X33" s="115"/>
      <c r="Y33"/>
    </row>
    <row r="34" spans="12:25" x14ac:dyDescent="0.2">
      <c r="L34" s="177" t="s">
        <v>188</v>
      </c>
      <c r="M34" s="181">
        <v>9</v>
      </c>
      <c r="N34" s="172"/>
      <c r="O34" s="172" t="s">
        <v>231</v>
      </c>
      <c r="V34"/>
      <c r="W34"/>
      <c r="X34" s="115"/>
      <c r="Y34"/>
    </row>
    <row r="35" spans="12:25" x14ac:dyDescent="0.2">
      <c r="V35"/>
      <c r="W35"/>
      <c r="X35" s="115"/>
      <c r="Y35"/>
    </row>
    <row r="36" spans="12:25" x14ac:dyDescent="0.2">
      <c r="L36" s="176" t="s">
        <v>182</v>
      </c>
      <c r="V36"/>
      <c r="W36"/>
      <c r="X36" s="115"/>
      <c r="Y36"/>
    </row>
    <row r="37" spans="12:25" x14ac:dyDescent="0.2">
      <c r="L37" s="170" t="s">
        <v>65</v>
      </c>
      <c r="V37"/>
      <c r="W37"/>
      <c r="X37" s="115"/>
      <c r="Y37"/>
    </row>
    <row r="38" spans="12:25" x14ac:dyDescent="0.2">
      <c r="L38" s="171" t="s">
        <v>48</v>
      </c>
      <c r="M38" s="115">
        <v>2</v>
      </c>
      <c r="N38" t="s">
        <v>225</v>
      </c>
      <c r="O38" t="s">
        <v>226</v>
      </c>
      <c r="V38"/>
      <c r="W38"/>
      <c r="X38" s="115"/>
      <c r="Y38"/>
    </row>
    <row r="39" spans="12:25" x14ac:dyDescent="0.2">
      <c r="L39" s="170" t="s">
        <v>66</v>
      </c>
      <c r="V39"/>
      <c r="W39"/>
      <c r="X39" s="115"/>
      <c r="Y39"/>
    </row>
    <row r="40" spans="12:25" x14ac:dyDescent="0.2">
      <c r="L40" s="171" t="s">
        <v>159</v>
      </c>
      <c r="M40" s="115">
        <v>1</v>
      </c>
      <c r="N40" t="s">
        <v>219</v>
      </c>
      <c r="O40" t="s">
        <v>219</v>
      </c>
      <c r="V40"/>
      <c r="W40"/>
      <c r="X40" s="115"/>
      <c r="Y40"/>
    </row>
    <row r="41" spans="12:25" x14ac:dyDescent="0.2">
      <c r="L41" s="171" t="s">
        <v>168</v>
      </c>
      <c r="M41" s="115">
        <v>2</v>
      </c>
      <c r="N41" t="s">
        <v>218</v>
      </c>
      <c r="O41" t="s">
        <v>232</v>
      </c>
      <c r="V41"/>
      <c r="W41"/>
      <c r="X41" s="115"/>
      <c r="Y41"/>
    </row>
    <row r="42" spans="12:25" x14ac:dyDescent="0.2">
      <c r="L42" s="171" t="s">
        <v>176</v>
      </c>
      <c r="M42" s="115">
        <v>1</v>
      </c>
      <c r="N42" t="s">
        <v>233</v>
      </c>
      <c r="O42" t="s">
        <v>233</v>
      </c>
      <c r="V42"/>
      <c r="W42"/>
      <c r="X42" s="115"/>
      <c r="Y42"/>
    </row>
    <row r="43" spans="12:25" x14ac:dyDescent="0.2">
      <c r="L43" s="170" t="s">
        <v>99</v>
      </c>
      <c r="V43"/>
      <c r="W43"/>
      <c r="X43" s="115"/>
      <c r="Y43"/>
    </row>
    <row r="44" spans="12:25" x14ac:dyDescent="0.2">
      <c r="L44" s="171" t="s">
        <v>111</v>
      </c>
      <c r="M44" s="115">
        <v>4</v>
      </c>
      <c r="N44" t="s">
        <v>220</v>
      </c>
      <c r="O44" t="s">
        <v>221</v>
      </c>
      <c r="V44"/>
      <c r="W44"/>
      <c r="X44" s="115"/>
      <c r="Y44"/>
    </row>
    <row r="45" spans="12:25" x14ac:dyDescent="0.2">
      <c r="L45" s="171" t="s">
        <v>192</v>
      </c>
      <c r="M45" s="115">
        <v>2</v>
      </c>
      <c r="N45" t="s">
        <v>222</v>
      </c>
      <c r="O45" t="s">
        <v>229</v>
      </c>
      <c r="V45"/>
      <c r="W45"/>
      <c r="X45" s="115"/>
      <c r="Y45"/>
    </row>
    <row r="46" spans="12:25" x14ac:dyDescent="0.2">
      <c r="L46" s="177" t="s">
        <v>182</v>
      </c>
      <c r="M46" s="181">
        <v>12</v>
      </c>
      <c r="N46" s="172"/>
      <c r="O46" s="172" t="s">
        <v>234</v>
      </c>
      <c r="V46"/>
      <c r="W46"/>
      <c r="X46" s="115"/>
      <c r="Y46"/>
    </row>
    <row r="47" spans="12:25" x14ac:dyDescent="0.2">
      <c r="V47"/>
      <c r="W47"/>
      <c r="X47" s="115"/>
      <c r="Y47"/>
    </row>
    <row r="48" spans="12:25" x14ac:dyDescent="0.2">
      <c r="L48" s="176" t="s">
        <v>183</v>
      </c>
      <c r="V48"/>
      <c r="W48"/>
      <c r="X48" s="115"/>
      <c r="Y48"/>
    </row>
    <row r="49" spans="12:25" x14ac:dyDescent="0.2">
      <c r="L49" s="170" t="s">
        <v>65</v>
      </c>
      <c r="V49"/>
      <c r="W49"/>
      <c r="X49" s="115"/>
      <c r="Y49"/>
    </row>
    <row r="50" spans="12:25" x14ac:dyDescent="0.2">
      <c r="L50" s="171" t="s">
        <v>48</v>
      </c>
      <c r="M50" s="115">
        <v>4</v>
      </c>
      <c r="N50" t="s">
        <v>225</v>
      </c>
      <c r="O50" t="s">
        <v>235</v>
      </c>
      <c r="V50"/>
      <c r="W50"/>
      <c r="X50" s="115"/>
      <c r="Y50"/>
    </row>
    <row r="51" spans="12:25" x14ac:dyDescent="0.2">
      <c r="L51" s="170" t="s">
        <v>66</v>
      </c>
      <c r="V51"/>
      <c r="W51"/>
      <c r="X51" s="115"/>
      <c r="Y51"/>
    </row>
    <row r="52" spans="12:25" x14ac:dyDescent="0.2">
      <c r="L52" s="171" t="s">
        <v>165</v>
      </c>
      <c r="M52" s="115">
        <v>1</v>
      </c>
      <c r="N52" t="s">
        <v>227</v>
      </c>
      <c r="O52" t="s">
        <v>227</v>
      </c>
      <c r="V52"/>
      <c r="W52"/>
      <c r="X52" s="115"/>
      <c r="Y52"/>
    </row>
    <row r="53" spans="12:25" x14ac:dyDescent="0.2">
      <c r="L53" s="171" t="s">
        <v>180</v>
      </c>
      <c r="M53" s="115">
        <v>2</v>
      </c>
      <c r="N53" t="s">
        <v>236</v>
      </c>
      <c r="O53" t="s">
        <v>237</v>
      </c>
      <c r="V53"/>
      <c r="W53"/>
      <c r="X53" s="115"/>
      <c r="Y53"/>
    </row>
    <row r="54" spans="12:25" x14ac:dyDescent="0.2">
      <c r="L54" s="171" t="s">
        <v>178</v>
      </c>
      <c r="M54" s="115">
        <v>1</v>
      </c>
      <c r="N54" t="s">
        <v>218</v>
      </c>
      <c r="O54" t="s">
        <v>218</v>
      </c>
      <c r="V54"/>
      <c r="W54"/>
      <c r="X54" s="115"/>
      <c r="Y54"/>
    </row>
    <row r="55" spans="12:25" x14ac:dyDescent="0.2">
      <c r="L55" s="171" t="s">
        <v>159</v>
      </c>
      <c r="M55" s="115">
        <v>1</v>
      </c>
      <c r="N55" t="s">
        <v>219</v>
      </c>
      <c r="O55" t="s">
        <v>219</v>
      </c>
      <c r="V55"/>
      <c r="W55"/>
      <c r="X55" s="115"/>
      <c r="Y55"/>
    </row>
    <row r="56" spans="12:25" x14ac:dyDescent="0.2">
      <c r="L56" s="171" t="s">
        <v>172</v>
      </c>
      <c r="M56" s="115">
        <v>1</v>
      </c>
      <c r="N56" t="s">
        <v>238</v>
      </c>
      <c r="O56" t="s">
        <v>238</v>
      </c>
      <c r="V56"/>
      <c r="W56"/>
      <c r="X56" s="115"/>
      <c r="Y56"/>
    </row>
    <row r="57" spans="12:25" x14ac:dyDescent="0.2">
      <c r="L57" s="171" t="s">
        <v>168</v>
      </c>
      <c r="M57" s="115">
        <v>1</v>
      </c>
      <c r="N57" t="s">
        <v>218</v>
      </c>
      <c r="O57" t="s">
        <v>218</v>
      </c>
      <c r="V57"/>
      <c r="W57"/>
      <c r="X57" s="115"/>
      <c r="Y57"/>
    </row>
    <row r="58" spans="12:25" x14ac:dyDescent="0.2">
      <c r="L58" s="170" t="s">
        <v>99</v>
      </c>
      <c r="V58"/>
      <c r="W58"/>
      <c r="X58" s="115"/>
      <c r="Y58"/>
    </row>
    <row r="59" spans="12:25" x14ac:dyDescent="0.2">
      <c r="L59" s="171" t="s">
        <v>111</v>
      </c>
      <c r="M59" s="115">
        <v>7</v>
      </c>
      <c r="N59" t="s">
        <v>220</v>
      </c>
      <c r="O59" t="s">
        <v>239</v>
      </c>
      <c r="V59"/>
      <c r="W59"/>
      <c r="X59" s="115"/>
      <c r="Y59"/>
    </row>
    <row r="60" spans="12:25" x14ac:dyDescent="0.2">
      <c r="L60" s="171" t="s">
        <v>192</v>
      </c>
      <c r="M60" s="115">
        <v>4</v>
      </c>
      <c r="N60" t="s">
        <v>222</v>
      </c>
      <c r="O60" t="s">
        <v>240</v>
      </c>
      <c r="V60"/>
      <c r="W60"/>
      <c r="X60" s="115"/>
      <c r="Y60"/>
    </row>
    <row r="61" spans="12:25" x14ac:dyDescent="0.2">
      <c r="L61" s="177" t="s">
        <v>183</v>
      </c>
      <c r="M61" s="181">
        <v>22</v>
      </c>
      <c r="N61" s="172"/>
      <c r="O61" s="172" t="s">
        <v>241</v>
      </c>
      <c r="V61"/>
      <c r="W61"/>
      <c r="X61" s="115"/>
      <c r="Y61"/>
    </row>
    <row r="62" spans="12:25" x14ac:dyDescent="0.2">
      <c r="V62"/>
      <c r="W62"/>
      <c r="X62" s="115"/>
      <c r="Y62"/>
    </row>
    <row r="63" spans="12:25" x14ac:dyDescent="0.2">
      <c r="L63" s="179" t="s">
        <v>211</v>
      </c>
      <c r="M63" s="181">
        <v>56</v>
      </c>
      <c r="N63" s="172"/>
      <c r="O63" s="172" t="s">
        <v>242</v>
      </c>
      <c r="V63"/>
      <c r="W63"/>
      <c r="X63" s="115"/>
      <c r="Y63"/>
    </row>
    <row r="64" spans="12:25" x14ac:dyDescent="0.2">
      <c r="V64"/>
      <c r="W64"/>
      <c r="X64" s="115"/>
      <c r="Y64"/>
    </row>
    <row r="65" spans="22:25" x14ac:dyDescent="0.2">
      <c r="V65"/>
      <c r="W65"/>
      <c r="X65" s="115"/>
      <c r="Y65"/>
    </row>
    <row r="66" spans="22:25" x14ac:dyDescent="0.2">
      <c r="V66"/>
      <c r="W66"/>
      <c r="X66" s="115"/>
      <c r="Y66"/>
    </row>
    <row r="67" spans="22:25" x14ac:dyDescent="0.2">
      <c r="V67"/>
      <c r="W67"/>
      <c r="X67" s="115"/>
      <c r="Y67"/>
    </row>
    <row r="68" spans="22:25" x14ac:dyDescent="0.2">
      <c r="V68"/>
      <c r="W68"/>
      <c r="X68" s="115"/>
      <c r="Y68"/>
    </row>
    <row r="69" spans="22:25" x14ac:dyDescent="0.2">
      <c r="V69"/>
      <c r="W69"/>
      <c r="X69" s="115"/>
      <c r="Y69"/>
    </row>
    <row r="70" spans="22:25" x14ac:dyDescent="0.2">
      <c r="V70"/>
      <c r="W70"/>
      <c r="X70" s="115"/>
      <c r="Y70"/>
    </row>
    <row r="71" spans="22:25" x14ac:dyDescent="0.2">
      <c r="V71"/>
      <c r="W71"/>
      <c r="X71" s="115"/>
      <c r="Y71"/>
    </row>
    <row r="72" spans="22:25" x14ac:dyDescent="0.2">
      <c r="V72"/>
      <c r="W72"/>
      <c r="X72" s="115"/>
      <c r="Y72"/>
    </row>
    <row r="73" spans="22:25" x14ac:dyDescent="0.2">
      <c r="V73"/>
      <c r="W73"/>
      <c r="X73" s="115"/>
      <c r="Y73"/>
    </row>
    <row r="74" spans="22:25" x14ac:dyDescent="0.2">
      <c r="V74"/>
      <c r="W74"/>
      <c r="X74" s="115"/>
      <c r="Y74"/>
    </row>
    <row r="75" spans="22:25" x14ac:dyDescent="0.2">
      <c r="V75"/>
      <c r="W75"/>
      <c r="X75" s="115"/>
      <c r="Y75"/>
    </row>
    <row r="76" spans="22:25" x14ac:dyDescent="0.2">
      <c r="V76"/>
      <c r="W76"/>
      <c r="X76" s="115"/>
      <c r="Y76"/>
    </row>
    <row r="77" spans="22:25" x14ac:dyDescent="0.2">
      <c r="V77"/>
      <c r="W77"/>
      <c r="X77" s="115"/>
      <c r="Y77"/>
    </row>
    <row r="78" spans="22:25" x14ac:dyDescent="0.2">
      <c r="V78"/>
      <c r="W78"/>
      <c r="X78" s="115"/>
      <c r="Y78"/>
    </row>
    <row r="79" spans="22:25" x14ac:dyDescent="0.2">
      <c r="V79"/>
      <c r="W79"/>
      <c r="X79" s="115"/>
      <c r="Y79"/>
    </row>
    <row r="80" spans="22:25" x14ac:dyDescent="0.2">
      <c r="V80"/>
      <c r="W80"/>
      <c r="X80" s="115"/>
      <c r="Y80"/>
    </row>
    <row r="81" spans="22:25" x14ac:dyDescent="0.2">
      <c r="V81"/>
      <c r="W81"/>
      <c r="X81" s="115"/>
      <c r="Y81"/>
    </row>
    <row r="82" spans="22:25" x14ac:dyDescent="0.2">
      <c r="V82"/>
      <c r="W82"/>
      <c r="X82" s="115"/>
      <c r="Y82"/>
    </row>
    <row r="83" spans="22:25" x14ac:dyDescent="0.2">
      <c r="V83"/>
      <c r="W83"/>
      <c r="X83" s="115"/>
      <c r="Y83"/>
    </row>
    <row r="84" spans="22:25" x14ac:dyDescent="0.2">
      <c r="V84"/>
      <c r="W84"/>
      <c r="X84" s="115"/>
      <c r="Y84"/>
    </row>
    <row r="85" spans="22:25" x14ac:dyDescent="0.2">
      <c r="V85"/>
      <c r="W85"/>
      <c r="X85" s="115"/>
      <c r="Y85"/>
    </row>
    <row r="86" spans="22:25" x14ac:dyDescent="0.2">
      <c r="V86"/>
      <c r="W86"/>
      <c r="X86" s="115"/>
      <c r="Y86"/>
    </row>
    <row r="87" spans="22:25" x14ac:dyDescent="0.2">
      <c r="V87"/>
      <c r="W87"/>
      <c r="X87" s="115"/>
      <c r="Y87"/>
    </row>
    <row r="88" spans="22:25" x14ac:dyDescent="0.2">
      <c r="V88"/>
      <c r="W88"/>
      <c r="X88" s="115"/>
      <c r="Y88"/>
    </row>
    <row r="89" spans="22:25" x14ac:dyDescent="0.2">
      <c r="V89"/>
      <c r="W89"/>
      <c r="X89" s="115"/>
      <c r="Y89"/>
    </row>
    <row r="90" spans="22:25" x14ac:dyDescent="0.2">
      <c r="V90"/>
      <c r="W90"/>
      <c r="X90" s="115"/>
      <c r="Y90"/>
    </row>
    <row r="91" spans="22:25" x14ac:dyDescent="0.2">
      <c r="V91"/>
      <c r="W91"/>
      <c r="X91" s="115"/>
      <c r="Y91"/>
    </row>
    <row r="92" spans="22:25" x14ac:dyDescent="0.2">
      <c r="V92"/>
      <c r="W92"/>
      <c r="X92" s="115"/>
      <c r="Y92"/>
    </row>
    <row r="93" spans="22:25" x14ac:dyDescent="0.2">
      <c r="V93"/>
      <c r="W93"/>
      <c r="X93" s="115"/>
      <c r="Y93"/>
    </row>
    <row r="94" spans="22:25" x14ac:dyDescent="0.2">
      <c r="V94"/>
      <c r="W94"/>
      <c r="X94" s="115"/>
      <c r="Y94"/>
    </row>
    <row r="95" spans="22:25" x14ac:dyDescent="0.2">
      <c r="V95"/>
      <c r="W95"/>
      <c r="X95" s="115"/>
      <c r="Y95"/>
    </row>
    <row r="96" spans="22:25" x14ac:dyDescent="0.2">
      <c r="V96"/>
      <c r="W96"/>
      <c r="X96" s="115"/>
      <c r="Y96"/>
    </row>
    <row r="97" spans="22:25" x14ac:dyDescent="0.2">
      <c r="V97"/>
      <c r="W97"/>
      <c r="X97" s="115"/>
      <c r="Y97"/>
    </row>
    <row r="98" spans="22:25" x14ac:dyDescent="0.2">
      <c r="V98"/>
      <c r="W98"/>
      <c r="X98" s="115"/>
      <c r="Y98"/>
    </row>
    <row r="99" spans="22:25" x14ac:dyDescent="0.2">
      <c r="V99"/>
      <c r="W99"/>
      <c r="X99" s="115"/>
      <c r="Y99"/>
    </row>
    <row r="100" spans="22:25" x14ac:dyDescent="0.2">
      <c r="V100"/>
      <c r="W100"/>
      <c r="X100" s="115"/>
      <c r="Y100"/>
    </row>
    <row r="101" spans="22:25" x14ac:dyDescent="0.2">
      <c r="V101"/>
      <c r="W101"/>
      <c r="X101" s="115"/>
      <c r="Y101"/>
    </row>
    <row r="102" spans="22:25" x14ac:dyDescent="0.2">
      <c r="V102"/>
      <c r="W102"/>
      <c r="X102" s="115"/>
      <c r="Y102"/>
    </row>
    <row r="103" spans="22:25" x14ac:dyDescent="0.2">
      <c r="V103"/>
      <c r="W103"/>
      <c r="X103" s="115"/>
      <c r="Y103"/>
    </row>
    <row r="104" spans="22:25" x14ac:dyDescent="0.2">
      <c r="V104"/>
      <c r="W104"/>
      <c r="X104" s="115"/>
      <c r="Y104"/>
    </row>
    <row r="105" spans="22:25" x14ac:dyDescent="0.2">
      <c r="V105"/>
      <c r="W105"/>
      <c r="X105" s="115"/>
      <c r="Y105"/>
    </row>
    <row r="106" spans="22:25" x14ac:dyDescent="0.2">
      <c r="V106"/>
      <c r="W106"/>
      <c r="X106" s="115"/>
      <c r="Y106"/>
    </row>
    <row r="107" spans="22:25" x14ac:dyDescent="0.2">
      <c r="V107"/>
      <c r="W107"/>
      <c r="X107" s="115"/>
      <c r="Y107"/>
    </row>
    <row r="108" spans="22:25" x14ac:dyDescent="0.2">
      <c r="V108"/>
      <c r="W108"/>
      <c r="X108" s="115"/>
      <c r="Y108"/>
    </row>
    <row r="109" spans="22:25" x14ac:dyDescent="0.2">
      <c r="V109"/>
      <c r="W109"/>
      <c r="X109" s="115"/>
      <c r="Y109"/>
    </row>
    <row r="110" spans="22:25" x14ac:dyDescent="0.2">
      <c r="V110"/>
      <c r="W110"/>
      <c r="X110" s="115"/>
      <c r="Y110"/>
    </row>
    <row r="111" spans="22:25" x14ac:dyDescent="0.2">
      <c r="V111"/>
      <c r="W111"/>
      <c r="X111" s="115"/>
      <c r="Y111"/>
    </row>
    <row r="112" spans="22:25" x14ac:dyDescent="0.2">
      <c r="V112"/>
      <c r="W112"/>
      <c r="X112" s="115"/>
      <c r="Y112"/>
    </row>
    <row r="113" spans="22:25" x14ac:dyDescent="0.2">
      <c r="V113"/>
      <c r="W113"/>
      <c r="X113" s="115"/>
      <c r="Y113"/>
    </row>
    <row r="114" spans="22:25" x14ac:dyDescent="0.2">
      <c r="V114"/>
      <c r="W114"/>
      <c r="X114" s="115"/>
      <c r="Y114"/>
    </row>
    <row r="115" spans="22:25" x14ac:dyDescent="0.2">
      <c r="V115"/>
      <c r="W115"/>
      <c r="X115" s="115"/>
      <c r="Y115"/>
    </row>
    <row r="116" spans="22:25" x14ac:dyDescent="0.2">
      <c r="V116"/>
      <c r="W116"/>
      <c r="X116" s="115"/>
      <c r="Y116"/>
    </row>
    <row r="117" spans="22:25" x14ac:dyDescent="0.2">
      <c r="V117"/>
      <c r="W117"/>
      <c r="X117" s="115"/>
      <c r="Y117"/>
    </row>
    <row r="118" spans="22:25" x14ac:dyDescent="0.2">
      <c r="V118"/>
      <c r="W118"/>
      <c r="X118" s="115"/>
      <c r="Y118"/>
    </row>
    <row r="119" spans="22:25" x14ac:dyDescent="0.2">
      <c r="V119"/>
      <c r="W119"/>
      <c r="X119" s="115"/>
      <c r="Y119"/>
    </row>
    <row r="120" spans="22:25" x14ac:dyDescent="0.2">
      <c r="V120"/>
      <c r="W120"/>
      <c r="X120" s="115"/>
      <c r="Y120"/>
    </row>
    <row r="121" spans="22:25" x14ac:dyDescent="0.2">
      <c r="V121"/>
      <c r="W121"/>
      <c r="X121" s="115"/>
      <c r="Y121"/>
    </row>
    <row r="122" spans="22:25" x14ac:dyDescent="0.2">
      <c r="V122"/>
      <c r="W122"/>
      <c r="X122" s="115"/>
      <c r="Y122"/>
    </row>
    <row r="123" spans="22:25" x14ac:dyDescent="0.2">
      <c r="V123"/>
      <c r="W123"/>
      <c r="X123" s="115"/>
      <c r="Y123"/>
    </row>
    <row r="124" spans="22:25" x14ac:dyDescent="0.2">
      <c r="V124"/>
      <c r="W124"/>
      <c r="X124" s="115"/>
      <c r="Y124"/>
    </row>
    <row r="125" spans="22:25" x14ac:dyDescent="0.2">
      <c r="V125"/>
      <c r="W125"/>
      <c r="X125" s="115"/>
      <c r="Y125"/>
    </row>
    <row r="126" spans="22:25" x14ac:dyDescent="0.2">
      <c r="V126"/>
      <c r="W126"/>
      <c r="X126" s="115"/>
      <c r="Y126"/>
    </row>
    <row r="127" spans="22:25" x14ac:dyDescent="0.2">
      <c r="V127"/>
      <c r="W127"/>
      <c r="X127" s="115"/>
      <c r="Y127"/>
    </row>
    <row r="128" spans="22:25" x14ac:dyDescent="0.2">
      <c r="V128"/>
      <c r="W128"/>
      <c r="X128" s="115"/>
      <c r="Y128"/>
    </row>
    <row r="129" spans="22:25" x14ac:dyDescent="0.2">
      <c r="V129"/>
      <c r="W129"/>
      <c r="X129" s="115"/>
      <c r="Y129"/>
    </row>
    <row r="130" spans="22:25" x14ac:dyDescent="0.2">
      <c r="V130"/>
      <c r="W130"/>
      <c r="X130" s="115"/>
      <c r="Y130"/>
    </row>
    <row r="131" spans="22:25" x14ac:dyDescent="0.2">
      <c r="V131"/>
      <c r="W131"/>
      <c r="X131" s="115"/>
      <c r="Y131"/>
    </row>
    <row r="132" spans="22:25" x14ac:dyDescent="0.2">
      <c r="V132"/>
      <c r="W132"/>
      <c r="X132" s="115"/>
      <c r="Y132"/>
    </row>
    <row r="133" spans="22:25" x14ac:dyDescent="0.2">
      <c r="V133"/>
      <c r="W133"/>
      <c r="X133" s="115"/>
      <c r="Y133"/>
    </row>
    <row r="134" spans="22:25" x14ac:dyDescent="0.2">
      <c r="V134"/>
      <c r="W134"/>
      <c r="X134" s="115"/>
      <c r="Y134"/>
    </row>
    <row r="135" spans="22:25" x14ac:dyDescent="0.2">
      <c r="V135"/>
      <c r="W135"/>
      <c r="X135" s="115"/>
      <c r="Y135"/>
    </row>
    <row r="136" spans="22:25" x14ac:dyDescent="0.2">
      <c r="V136"/>
      <c r="W136"/>
      <c r="X136" s="115"/>
      <c r="Y136"/>
    </row>
    <row r="137" spans="22:25" x14ac:dyDescent="0.2">
      <c r="V137"/>
      <c r="W137"/>
      <c r="X137" s="115"/>
      <c r="Y137"/>
    </row>
    <row r="138" spans="22:25" x14ac:dyDescent="0.2">
      <c r="V138"/>
      <c r="W138"/>
      <c r="X138" s="115"/>
      <c r="Y138"/>
    </row>
    <row r="139" spans="22:25" x14ac:dyDescent="0.2">
      <c r="V139"/>
      <c r="W139"/>
      <c r="X139" s="115"/>
      <c r="Y139"/>
    </row>
    <row r="140" spans="22:25" x14ac:dyDescent="0.2">
      <c r="V140"/>
      <c r="W140"/>
      <c r="X140" s="115"/>
      <c r="Y140"/>
    </row>
    <row r="141" spans="22:25" x14ac:dyDescent="0.2">
      <c r="V141"/>
      <c r="W141"/>
      <c r="X141" s="115"/>
      <c r="Y141"/>
    </row>
    <row r="142" spans="22:25" x14ac:dyDescent="0.2">
      <c r="V142"/>
      <c r="W142"/>
      <c r="X142" s="115"/>
      <c r="Y142"/>
    </row>
    <row r="143" spans="22:25" x14ac:dyDescent="0.2">
      <c r="V143"/>
      <c r="W143"/>
      <c r="X143" s="115"/>
      <c r="Y143"/>
    </row>
    <row r="144" spans="22:25" x14ac:dyDescent="0.2">
      <c r="V144"/>
      <c r="W144"/>
      <c r="X144" s="115"/>
      <c r="Y144"/>
    </row>
    <row r="145" spans="22:25" x14ac:dyDescent="0.2">
      <c r="V145"/>
      <c r="W145"/>
      <c r="X145" s="115"/>
      <c r="Y145"/>
    </row>
    <row r="146" spans="22:25" x14ac:dyDescent="0.2">
      <c r="V146"/>
      <c r="W146"/>
      <c r="X146" s="115"/>
      <c r="Y146"/>
    </row>
    <row r="147" spans="22:25" x14ac:dyDescent="0.2">
      <c r="V147"/>
      <c r="W147"/>
      <c r="X147" s="115"/>
      <c r="Y147"/>
    </row>
    <row r="148" spans="22:25" x14ac:dyDescent="0.2">
      <c r="V148"/>
      <c r="W148"/>
      <c r="X148" s="115"/>
      <c r="Y148"/>
    </row>
    <row r="149" spans="22:25" x14ac:dyDescent="0.2">
      <c r="V149"/>
      <c r="W149"/>
      <c r="X149" s="115"/>
      <c r="Y149"/>
    </row>
    <row r="150" spans="22:25" x14ac:dyDescent="0.2">
      <c r="V150"/>
      <c r="W150"/>
      <c r="X150" s="115"/>
      <c r="Y150"/>
    </row>
    <row r="151" spans="22:25" x14ac:dyDescent="0.2">
      <c r="V151"/>
      <c r="W151"/>
      <c r="X151" s="115"/>
      <c r="Y151"/>
    </row>
    <row r="152" spans="22:25" x14ac:dyDescent="0.2">
      <c r="V152"/>
      <c r="W152"/>
      <c r="X152" s="115"/>
      <c r="Y152"/>
    </row>
    <row r="153" spans="22:25" x14ac:dyDescent="0.2">
      <c r="V153"/>
      <c r="W153"/>
      <c r="X153" s="115"/>
      <c r="Y153"/>
    </row>
    <row r="154" spans="22:25" x14ac:dyDescent="0.2">
      <c r="V154"/>
      <c r="W154"/>
      <c r="X154" s="115"/>
      <c r="Y154"/>
    </row>
    <row r="155" spans="22:25" x14ac:dyDescent="0.2">
      <c r="V155"/>
      <c r="W155"/>
      <c r="X155" s="115"/>
      <c r="Y155"/>
    </row>
    <row r="156" spans="22:25" x14ac:dyDescent="0.2">
      <c r="V156"/>
      <c r="W156"/>
      <c r="X156" s="115"/>
      <c r="Y156"/>
    </row>
    <row r="157" spans="22:25" x14ac:dyDescent="0.2">
      <c r="V157"/>
      <c r="W157"/>
      <c r="X157" s="115"/>
      <c r="Y157"/>
    </row>
    <row r="158" spans="22:25" x14ac:dyDescent="0.2">
      <c r="V158"/>
      <c r="W158"/>
      <c r="X158" s="115"/>
      <c r="Y158"/>
    </row>
    <row r="159" spans="22:25" x14ac:dyDescent="0.2">
      <c r="V159"/>
      <c r="W159"/>
      <c r="X159" s="115"/>
      <c r="Y159"/>
    </row>
    <row r="160" spans="22:25" x14ac:dyDescent="0.2">
      <c r="V160"/>
      <c r="W160"/>
      <c r="X160" s="115"/>
      <c r="Y160"/>
    </row>
    <row r="161" spans="22:25" x14ac:dyDescent="0.2">
      <c r="V161"/>
      <c r="W161"/>
      <c r="X161" s="115"/>
      <c r="Y161"/>
    </row>
    <row r="162" spans="22:25" x14ac:dyDescent="0.2">
      <c r="V162"/>
      <c r="W162"/>
      <c r="X162" s="115"/>
      <c r="Y162"/>
    </row>
    <row r="163" spans="22:25" x14ac:dyDescent="0.2">
      <c r="V163"/>
      <c r="W163"/>
      <c r="X163" s="115"/>
      <c r="Y163"/>
    </row>
    <row r="164" spans="22:25" x14ac:dyDescent="0.2">
      <c r="V164"/>
      <c r="W164"/>
      <c r="X164" s="115"/>
      <c r="Y164"/>
    </row>
    <row r="165" spans="22:25" x14ac:dyDescent="0.2">
      <c r="V165"/>
      <c r="W165"/>
      <c r="X165" s="115"/>
      <c r="Y165"/>
    </row>
    <row r="166" spans="22:25" x14ac:dyDescent="0.2">
      <c r="V166"/>
      <c r="W166"/>
      <c r="X166" s="115"/>
      <c r="Y166"/>
    </row>
    <row r="167" spans="22:25" x14ac:dyDescent="0.2">
      <c r="V167"/>
      <c r="W167"/>
      <c r="X167" s="115"/>
      <c r="Y167"/>
    </row>
    <row r="168" spans="22:25" x14ac:dyDescent="0.2">
      <c r="V168"/>
      <c r="W168"/>
      <c r="X168" s="115"/>
      <c r="Y168"/>
    </row>
    <row r="169" spans="22:25" x14ac:dyDescent="0.2">
      <c r="V169"/>
      <c r="W169"/>
      <c r="X169" s="115"/>
      <c r="Y169"/>
    </row>
    <row r="170" spans="22:25" x14ac:dyDescent="0.2">
      <c r="V170"/>
      <c r="W170"/>
      <c r="X170" s="115"/>
      <c r="Y170"/>
    </row>
    <row r="171" spans="22:25" x14ac:dyDescent="0.2">
      <c r="V171"/>
      <c r="W171"/>
      <c r="X171" s="115"/>
      <c r="Y171"/>
    </row>
    <row r="172" spans="22:25" x14ac:dyDescent="0.2">
      <c r="V172"/>
      <c r="W172"/>
      <c r="X172" s="115"/>
      <c r="Y172"/>
    </row>
    <row r="173" spans="22:25" x14ac:dyDescent="0.2">
      <c r="V173"/>
      <c r="W173"/>
      <c r="X173" s="115"/>
      <c r="Y173"/>
    </row>
    <row r="174" spans="22:25" x14ac:dyDescent="0.2">
      <c r="V174"/>
      <c r="W174"/>
      <c r="X174" s="115"/>
      <c r="Y174"/>
    </row>
    <row r="175" spans="22:25" x14ac:dyDescent="0.2">
      <c r="V175"/>
      <c r="W175"/>
      <c r="X175" s="115"/>
      <c r="Y175"/>
    </row>
    <row r="176" spans="22:25" x14ac:dyDescent="0.2">
      <c r="V176"/>
      <c r="W176"/>
      <c r="X176" s="115"/>
      <c r="Y176"/>
    </row>
    <row r="177" spans="22:25" x14ac:dyDescent="0.2">
      <c r="V177"/>
      <c r="W177"/>
      <c r="X177" s="115"/>
      <c r="Y177"/>
    </row>
    <row r="178" spans="22:25" x14ac:dyDescent="0.2">
      <c r="V178"/>
      <c r="W178"/>
      <c r="X178" s="115"/>
      <c r="Y178"/>
    </row>
    <row r="179" spans="22:25" x14ac:dyDescent="0.2">
      <c r="V179"/>
      <c r="W179"/>
      <c r="X179" s="115"/>
      <c r="Y179"/>
    </row>
    <row r="180" spans="22:25" x14ac:dyDescent="0.2">
      <c r="V180"/>
      <c r="W180"/>
      <c r="X180" s="115"/>
      <c r="Y180"/>
    </row>
    <row r="181" spans="22:25" x14ac:dyDescent="0.2">
      <c r="V181"/>
      <c r="W181"/>
      <c r="X181" s="115"/>
      <c r="Y181"/>
    </row>
    <row r="182" spans="22:25" x14ac:dyDescent="0.2">
      <c r="V182"/>
      <c r="W182"/>
      <c r="X182" s="115"/>
      <c r="Y182"/>
    </row>
    <row r="183" spans="22:25" x14ac:dyDescent="0.2">
      <c r="V183"/>
      <c r="W183"/>
      <c r="X183" s="115"/>
      <c r="Y183"/>
    </row>
    <row r="184" spans="22:25" x14ac:dyDescent="0.2">
      <c r="V184"/>
      <c r="W184"/>
      <c r="X184" s="115"/>
      <c r="Y184"/>
    </row>
    <row r="185" spans="22:25" x14ac:dyDescent="0.2">
      <c r="V185"/>
      <c r="W185"/>
      <c r="X185" s="115"/>
      <c r="Y185"/>
    </row>
    <row r="186" spans="22:25" x14ac:dyDescent="0.2">
      <c r="V186"/>
      <c r="W186"/>
      <c r="X186" s="115"/>
      <c r="Y186"/>
    </row>
    <row r="187" spans="22:25" x14ac:dyDescent="0.2">
      <c r="V187"/>
      <c r="W187"/>
      <c r="X187" s="115"/>
      <c r="Y187"/>
    </row>
    <row r="188" spans="22:25" x14ac:dyDescent="0.2">
      <c r="V188"/>
      <c r="W188"/>
      <c r="X188" s="115"/>
      <c r="Y188"/>
    </row>
    <row r="189" spans="22:25" x14ac:dyDescent="0.2">
      <c r="V189"/>
      <c r="W189"/>
      <c r="X189" s="115"/>
      <c r="Y189"/>
    </row>
    <row r="190" spans="22:25" x14ac:dyDescent="0.2">
      <c r="V190"/>
      <c r="W190"/>
      <c r="X190" s="115"/>
      <c r="Y190"/>
    </row>
    <row r="191" spans="22:25" x14ac:dyDescent="0.2">
      <c r="V191"/>
      <c r="W191"/>
      <c r="X191" s="115"/>
      <c r="Y191"/>
    </row>
    <row r="192" spans="22:25" x14ac:dyDescent="0.2">
      <c r="V192"/>
      <c r="W192"/>
      <c r="X192" s="115"/>
      <c r="Y192"/>
    </row>
    <row r="193" spans="22:25" x14ac:dyDescent="0.2">
      <c r="V193"/>
      <c r="W193"/>
      <c r="X193" s="115"/>
      <c r="Y193"/>
    </row>
    <row r="194" spans="22:25" x14ac:dyDescent="0.2">
      <c r="V194"/>
      <c r="W194"/>
      <c r="X194" s="115"/>
      <c r="Y194"/>
    </row>
    <row r="195" spans="22:25" x14ac:dyDescent="0.2">
      <c r="V195"/>
      <c r="W195"/>
      <c r="X195" s="115"/>
      <c r="Y195"/>
    </row>
    <row r="196" spans="22:25" x14ac:dyDescent="0.2">
      <c r="V196"/>
      <c r="W196"/>
      <c r="X196" s="115"/>
      <c r="Y196"/>
    </row>
    <row r="197" spans="22:25" x14ac:dyDescent="0.2">
      <c r="V197"/>
      <c r="W197"/>
      <c r="X197" s="115"/>
      <c r="Y197"/>
    </row>
    <row r="198" spans="22:25" x14ac:dyDescent="0.2">
      <c r="V198"/>
      <c r="W198"/>
      <c r="X198" s="115"/>
      <c r="Y198"/>
    </row>
    <row r="199" spans="22:25" x14ac:dyDescent="0.2">
      <c r="V199"/>
      <c r="W199"/>
      <c r="X199" s="115"/>
      <c r="Y199"/>
    </row>
    <row r="200" spans="22:25" x14ac:dyDescent="0.2">
      <c r="V200"/>
      <c r="W200"/>
      <c r="X200" s="115"/>
      <c r="Y200"/>
    </row>
    <row r="201" spans="22:25" x14ac:dyDescent="0.2">
      <c r="V201"/>
      <c r="W201"/>
      <c r="X201" s="115"/>
      <c r="Y201"/>
    </row>
    <row r="202" spans="22:25" x14ac:dyDescent="0.2">
      <c r="V202"/>
      <c r="W202"/>
      <c r="X202" s="115"/>
      <c r="Y202"/>
    </row>
    <row r="203" spans="22:25" x14ac:dyDescent="0.2">
      <c r="V203"/>
      <c r="W203"/>
      <c r="X203" s="115"/>
      <c r="Y203"/>
    </row>
    <row r="204" spans="22:25" x14ac:dyDescent="0.2">
      <c r="V204"/>
      <c r="W204"/>
      <c r="X204" s="115"/>
      <c r="Y204"/>
    </row>
    <row r="205" spans="22:25" x14ac:dyDescent="0.2">
      <c r="V205"/>
      <c r="W205"/>
      <c r="X205" s="115"/>
      <c r="Y205"/>
    </row>
    <row r="206" spans="22:25" x14ac:dyDescent="0.2">
      <c r="V206"/>
      <c r="W206"/>
      <c r="X206" s="115"/>
      <c r="Y206"/>
    </row>
    <row r="207" spans="22:25" x14ac:dyDescent="0.2">
      <c r="V207"/>
      <c r="W207"/>
      <c r="X207" s="115"/>
      <c r="Y207"/>
    </row>
    <row r="208" spans="22:25" x14ac:dyDescent="0.2">
      <c r="V208"/>
      <c r="W208"/>
      <c r="X208" s="115"/>
      <c r="Y208"/>
    </row>
    <row r="209" spans="22:25" x14ac:dyDescent="0.2">
      <c r="V209"/>
      <c r="W209"/>
      <c r="X209" s="115"/>
      <c r="Y209"/>
    </row>
    <row r="210" spans="22:25" x14ac:dyDescent="0.2">
      <c r="V210"/>
      <c r="W210"/>
      <c r="X210" s="115"/>
      <c r="Y210"/>
    </row>
    <row r="211" spans="22:25" x14ac:dyDescent="0.2">
      <c r="V211"/>
      <c r="W211"/>
      <c r="X211" s="115"/>
      <c r="Y211"/>
    </row>
    <row r="212" spans="22:25" x14ac:dyDescent="0.2">
      <c r="V212"/>
      <c r="W212"/>
      <c r="X212" s="115"/>
      <c r="Y212"/>
    </row>
    <row r="213" spans="22:25" x14ac:dyDescent="0.2">
      <c r="V213"/>
      <c r="W213"/>
      <c r="X213" s="115"/>
      <c r="Y213"/>
    </row>
    <row r="214" spans="22:25" x14ac:dyDescent="0.2">
      <c r="V214"/>
      <c r="W214"/>
      <c r="X214" s="115"/>
      <c r="Y214"/>
    </row>
    <row r="215" spans="22:25" x14ac:dyDescent="0.2">
      <c r="V215"/>
      <c r="W215"/>
      <c r="X215" s="115"/>
      <c r="Y215"/>
    </row>
    <row r="216" spans="22:25" x14ac:dyDescent="0.2">
      <c r="V216"/>
      <c r="W216"/>
      <c r="X216" s="115"/>
      <c r="Y216"/>
    </row>
    <row r="217" spans="22:25" x14ac:dyDescent="0.2">
      <c r="V217"/>
      <c r="W217"/>
      <c r="X217" s="115"/>
      <c r="Y217"/>
    </row>
    <row r="218" spans="22:25" x14ac:dyDescent="0.2">
      <c r="V218"/>
      <c r="W218"/>
      <c r="X218" s="115"/>
      <c r="Y218"/>
    </row>
    <row r="219" spans="22:25" x14ac:dyDescent="0.2">
      <c r="V219"/>
      <c r="W219"/>
      <c r="X219" s="115"/>
      <c r="Y219"/>
    </row>
    <row r="220" spans="22:25" x14ac:dyDescent="0.2">
      <c r="V220"/>
      <c r="W220"/>
      <c r="X220" s="115"/>
      <c r="Y220"/>
    </row>
    <row r="221" spans="22:25" x14ac:dyDescent="0.2">
      <c r="V221"/>
      <c r="W221"/>
      <c r="X221" s="115"/>
      <c r="Y221"/>
    </row>
    <row r="222" spans="22:25" x14ac:dyDescent="0.2">
      <c r="V222"/>
      <c r="W222"/>
      <c r="X222" s="115"/>
      <c r="Y222"/>
    </row>
    <row r="223" spans="22:25" x14ac:dyDescent="0.2">
      <c r="V223"/>
      <c r="W223"/>
      <c r="X223" s="115"/>
      <c r="Y223"/>
    </row>
    <row r="224" spans="22:25" x14ac:dyDescent="0.2">
      <c r="V224"/>
      <c r="W224"/>
      <c r="X224" s="115"/>
      <c r="Y224"/>
    </row>
    <row r="225" spans="22:25" x14ac:dyDescent="0.2">
      <c r="V225"/>
      <c r="W225"/>
      <c r="X225" s="115"/>
      <c r="Y225"/>
    </row>
    <row r="226" spans="22:25" x14ac:dyDescent="0.2">
      <c r="V226"/>
      <c r="W226"/>
      <c r="X226" s="115"/>
      <c r="Y226"/>
    </row>
    <row r="227" spans="22:25" x14ac:dyDescent="0.2">
      <c r="V227"/>
      <c r="W227"/>
      <c r="X227" s="115"/>
      <c r="Y227"/>
    </row>
    <row r="228" spans="22:25" x14ac:dyDescent="0.2">
      <c r="V228"/>
      <c r="W228"/>
      <c r="X228" s="115"/>
      <c r="Y228"/>
    </row>
    <row r="229" spans="22:25" x14ac:dyDescent="0.2">
      <c r="V229"/>
      <c r="W229"/>
      <c r="X229" s="115"/>
      <c r="Y229"/>
    </row>
    <row r="230" spans="22:25" x14ac:dyDescent="0.2">
      <c r="V230"/>
      <c r="W230"/>
      <c r="X230" s="115"/>
      <c r="Y230"/>
    </row>
    <row r="231" spans="22:25" x14ac:dyDescent="0.2">
      <c r="V231"/>
      <c r="W231"/>
      <c r="X231" s="115"/>
      <c r="Y231"/>
    </row>
    <row r="232" spans="22:25" x14ac:dyDescent="0.2">
      <c r="V232"/>
      <c r="W232"/>
      <c r="X232" s="115"/>
      <c r="Y232"/>
    </row>
    <row r="233" spans="22:25" x14ac:dyDescent="0.2">
      <c r="V233"/>
      <c r="W233"/>
      <c r="X233" s="115"/>
      <c r="Y233"/>
    </row>
    <row r="234" spans="22:25" x14ac:dyDescent="0.2">
      <c r="V234"/>
      <c r="W234"/>
      <c r="X234" s="115"/>
      <c r="Y234"/>
    </row>
    <row r="235" spans="22:25" x14ac:dyDescent="0.2">
      <c r="V235"/>
      <c r="W235"/>
      <c r="X235" s="115"/>
      <c r="Y235"/>
    </row>
    <row r="236" spans="22:25" x14ac:dyDescent="0.2">
      <c r="V236"/>
      <c r="W236"/>
      <c r="X236" s="115"/>
      <c r="Y236"/>
    </row>
    <row r="237" spans="22:25" x14ac:dyDescent="0.2">
      <c r="V237"/>
      <c r="W237"/>
      <c r="X237" s="115"/>
      <c r="Y237"/>
    </row>
    <row r="238" spans="22:25" x14ac:dyDescent="0.2">
      <c r="V238"/>
      <c r="W238"/>
      <c r="X238" s="115"/>
      <c r="Y238"/>
    </row>
    <row r="239" spans="22:25" x14ac:dyDescent="0.2">
      <c r="V239"/>
      <c r="W239"/>
      <c r="X239" s="115"/>
      <c r="Y239"/>
    </row>
    <row r="240" spans="22:25" x14ac:dyDescent="0.2">
      <c r="V240"/>
      <c r="W240"/>
      <c r="X240" s="115"/>
      <c r="Y240"/>
    </row>
    <row r="241" spans="22:25" x14ac:dyDescent="0.2">
      <c r="V241"/>
      <c r="W241"/>
      <c r="X241" s="115"/>
      <c r="Y241"/>
    </row>
    <row r="242" spans="22:25" x14ac:dyDescent="0.2">
      <c r="V242"/>
      <c r="W242"/>
      <c r="X242" s="115"/>
      <c r="Y242"/>
    </row>
    <row r="243" spans="22:25" x14ac:dyDescent="0.2">
      <c r="V243"/>
      <c r="W243"/>
      <c r="X243" s="115"/>
      <c r="Y243"/>
    </row>
    <row r="244" spans="22:25" x14ac:dyDescent="0.2">
      <c r="V244"/>
      <c r="W244"/>
      <c r="X244" s="115"/>
      <c r="Y244"/>
    </row>
    <row r="245" spans="22:25" x14ac:dyDescent="0.2">
      <c r="V245"/>
      <c r="W245"/>
      <c r="X245" s="115"/>
      <c r="Y245"/>
    </row>
    <row r="246" spans="22:25" x14ac:dyDescent="0.2">
      <c r="V246"/>
      <c r="W246"/>
      <c r="X246" s="115"/>
      <c r="Y246"/>
    </row>
    <row r="247" spans="22:25" x14ac:dyDescent="0.2">
      <c r="V247"/>
      <c r="W247"/>
      <c r="X247" s="115"/>
      <c r="Y247"/>
    </row>
    <row r="248" spans="22:25" x14ac:dyDescent="0.2">
      <c r="V248"/>
      <c r="W248"/>
      <c r="X248" s="115"/>
      <c r="Y248"/>
    </row>
    <row r="249" spans="22:25" x14ac:dyDescent="0.2">
      <c r="V249"/>
      <c r="W249"/>
      <c r="X249" s="115"/>
      <c r="Y249"/>
    </row>
    <row r="250" spans="22:25" x14ac:dyDescent="0.2">
      <c r="V250"/>
      <c r="W250"/>
      <c r="X250" s="115"/>
      <c r="Y250"/>
    </row>
    <row r="251" spans="22:25" x14ac:dyDescent="0.2">
      <c r="V251"/>
      <c r="W251"/>
      <c r="X251" s="115"/>
      <c r="Y251"/>
    </row>
    <row r="252" spans="22:25" x14ac:dyDescent="0.2">
      <c r="V252"/>
      <c r="W252"/>
      <c r="X252" s="115"/>
      <c r="Y252"/>
    </row>
    <row r="253" spans="22:25" x14ac:dyDescent="0.2">
      <c r="V253"/>
      <c r="W253"/>
      <c r="X253" s="115"/>
      <c r="Y253"/>
    </row>
    <row r="254" spans="22:25" x14ac:dyDescent="0.2">
      <c r="V254"/>
      <c r="W254"/>
      <c r="X254" s="115"/>
      <c r="Y254"/>
    </row>
    <row r="255" spans="22:25" x14ac:dyDescent="0.2">
      <c r="V255"/>
      <c r="W255"/>
      <c r="X255" s="115"/>
      <c r="Y255"/>
    </row>
    <row r="256" spans="22:25" x14ac:dyDescent="0.2">
      <c r="V256"/>
      <c r="W256"/>
      <c r="X256" s="115"/>
      <c r="Y256"/>
    </row>
    <row r="257" spans="22:25" x14ac:dyDescent="0.2">
      <c r="V257"/>
      <c r="W257"/>
      <c r="X257" s="115"/>
      <c r="Y257"/>
    </row>
    <row r="258" spans="22:25" x14ac:dyDescent="0.2">
      <c r="V258"/>
      <c r="W258"/>
      <c r="X258" s="115"/>
      <c r="Y258"/>
    </row>
    <row r="259" spans="22:25" x14ac:dyDescent="0.2">
      <c r="V259"/>
      <c r="W259"/>
      <c r="X259" s="115"/>
      <c r="Y259"/>
    </row>
    <row r="260" spans="22:25" x14ac:dyDescent="0.2">
      <c r="V260"/>
      <c r="W260"/>
      <c r="X260" s="115"/>
      <c r="Y260"/>
    </row>
    <row r="261" spans="22:25" x14ac:dyDescent="0.2">
      <c r="V261"/>
      <c r="W261"/>
      <c r="X261" s="115"/>
      <c r="Y261"/>
    </row>
    <row r="262" spans="22:25" x14ac:dyDescent="0.2">
      <c r="V262"/>
      <c r="W262"/>
      <c r="X262" s="115"/>
      <c r="Y262"/>
    </row>
    <row r="263" spans="22:25" x14ac:dyDescent="0.2">
      <c r="V263"/>
      <c r="W263"/>
      <c r="X263" s="115"/>
      <c r="Y263"/>
    </row>
    <row r="264" spans="22:25" x14ac:dyDescent="0.2">
      <c r="V264"/>
      <c r="W264"/>
      <c r="X264" s="115"/>
      <c r="Y264"/>
    </row>
    <row r="265" spans="22:25" x14ac:dyDescent="0.2">
      <c r="V265"/>
      <c r="W265"/>
      <c r="X265" s="115"/>
      <c r="Y265"/>
    </row>
    <row r="266" spans="22:25" x14ac:dyDescent="0.2">
      <c r="V266"/>
      <c r="W266"/>
      <c r="X266" s="115"/>
      <c r="Y266"/>
    </row>
    <row r="267" spans="22:25" x14ac:dyDescent="0.2">
      <c r="V267"/>
      <c r="W267"/>
      <c r="X267" s="115"/>
      <c r="Y267"/>
    </row>
    <row r="268" spans="22:25" x14ac:dyDescent="0.2">
      <c r="V268"/>
      <c r="W268"/>
      <c r="X268" s="115"/>
      <c r="Y268"/>
    </row>
    <row r="269" spans="22:25" x14ac:dyDescent="0.2">
      <c r="V269"/>
      <c r="W269"/>
      <c r="X269" s="115"/>
      <c r="Y269"/>
    </row>
    <row r="270" spans="22:25" x14ac:dyDescent="0.2">
      <c r="V270"/>
      <c r="W270"/>
      <c r="X270" s="115"/>
      <c r="Y270"/>
    </row>
    <row r="271" spans="22:25" x14ac:dyDescent="0.2">
      <c r="V271"/>
      <c r="W271"/>
      <c r="X271" s="115"/>
      <c r="Y271"/>
    </row>
    <row r="272" spans="22:25" x14ac:dyDescent="0.2">
      <c r="V272"/>
      <c r="W272"/>
      <c r="X272" s="115"/>
      <c r="Y272"/>
    </row>
    <row r="273" spans="22:25" x14ac:dyDescent="0.2">
      <c r="V273"/>
      <c r="W273"/>
      <c r="X273" s="115"/>
      <c r="Y273"/>
    </row>
    <row r="274" spans="22:25" x14ac:dyDescent="0.2">
      <c r="V274"/>
      <c r="W274"/>
      <c r="X274" s="115"/>
      <c r="Y274"/>
    </row>
    <row r="275" spans="22:25" x14ac:dyDescent="0.2">
      <c r="V275"/>
      <c r="W275"/>
      <c r="X275" s="115"/>
      <c r="Y275"/>
    </row>
    <row r="276" spans="22:25" x14ac:dyDescent="0.2">
      <c r="V276"/>
      <c r="W276"/>
      <c r="X276" s="115"/>
      <c r="Y276"/>
    </row>
    <row r="277" spans="22:25" x14ac:dyDescent="0.2">
      <c r="V277"/>
      <c r="W277"/>
      <c r="X277" s="115"/>
      <c r="Y277"/>
    </row>
    <row r="278" spans="22:25" x14ac:dyDescent="0.2">
      <c r="V278"/>
      <c r="W278"/>
      <c r="X278" s="115"/>
      <c r="Y278"/>
    </row>
    <row r="279" spans="22:25" x14ac:dyDescent="0.2">
      <c r="V279"/>
      <c r="W279"/>
      <c r="X279" s="115"/>
      <c r="Y279"/>
    </row>
    <row r="280" spans="22:25" x14ac:dyDescent="0.2">
      <c r="V280"/>
      <c r="W280"/>
      <c r="X280" s="115"/>
      <c r="Y280"/>
    </row>
    <row r="281" spans="22:25" x14ac:dyDescent="0.2">
      <c r="V281"/>
      <c r="W281"/>
      <c r="X281" s="115"/>
      <c r="Y281"/>
    </row>
    <row r="282" spans="22:25" x14ac:dyDescent="0.2">
      <c r="V282"/>
      <c r="W282"/>
      <c r="X282" s="115"/>
      <c r="Y282"/>
    </row>
    <row r="283" spans="22:25" x14ac:dyDescent="0.2">
      <c r="V283"/>
      <c r="W283"/>
      <c r="X283" s="115"/>
      <c r="Y283"/>
    </row>
    <row r="284" spans="22:25" x14ac:dyDescent="0.2">
      <c r="V284"/>
      <c r="W284"/>
      <c r="X284" s="115"/>
      <c r="Y284"/>
    </row>
    <row r="285" spans="22:25" x14ac:dyDescent="0.2">
      <c r="V285"/>
      <c r="W285"/>
      <c r="X285" s="115"/>
      <c r="Y285"/>
    </row>
    <row r="286" spans="22:25" x14ac:dyDescent="0.2">
      <c r="V286"/>
      <c r="W286"/>
      <c r="X286" s="115"/>
      <c r="Y286"/>
    </row>
    <row r="287" spans="22:25" x14ac:dyDescent="0.2">
      <c r="V287"/>
      <c r="W287"/>
      <c r="X287" s="115"/>
      <c r="Y287"/>
    </row>
    <row r="288" spans="22:25" x14ac:dyDescent="0.2">
      <c r="V288"/>
      <c r="W288"/>
      <c r="X288" s="115"/>
      <c r="Y288"/>
    </row>
    <row r="289" spans="22:25" x14ac:dyDescent="0.2">
      <c r="V289"/>
      <c r="W289"/>
      <c r="X289" s="115"/>
      <c r="Y289"/>
    </row>
    <row r="290" spans="22:25" x14ac:dyDescent="0.2">
      <c r="V290"/>
      <c r="W290"/>
      <c r="X290" s="115"/>
      <c r="Y290"/>
    </row>
    <row r="291" spans="22:25" x14ac:dyDescent="0.2">
      <c r="V291"/>
      <c r="W291"/>
      <c r="X291" s="115"/>
      <c r="Y291"/>
    </row>
    <row r="292" spans="22:25" x14ac:dyDescent="0.2">
      <c r="V292"/>
      <c r="W292"/>
      <c r="X292" s="115"/>
      <c r="Y292"/>
    </row>
    <row r="293" spans="22:25" x14ac:dyDescent="0.2">
      <c r="V293"/>
      <c r="W293"/>
      <c r="X293" s="115"/>
      <c r="Y293"/>
    </row>
    <row r="294" spans="22:25" x14ac:dyDescent="0.2">
      <c r="V294"/>
      <c r="W294"/>
      <c r="X294" s="115"/>
      <c r="Y294"/>
    </row>
    <row r="295" spans="22:25" x14ac:dyDescent="0.2">
      <c r="V295"/>
      <c r="W295"/>
      <c r="X295" s="115"/>
      <c r="Y295"/>
    </row>
    <row r="296" spans="22:25" x14ac:dyDescent="0.2">
      <c r="V296"/>
      <c r="W296"/>
      <c r="X296" s="115"/>
      <c r="Y296"/>
    </row>
    <row r="297" spans="22:25" x14ac:dyDescent="0.2">
      <c r="V297"/>
      <c r="W297"/>
      <c r="X297" s="115"/>
      <c r="Y297"/>
    </row>
    <row r="298" spans="22:25" x14ac:dyDescent="0.2">
      <c r="V298"/>
      <c r="W298"/>
      <c r="X298" s="115"/>
      <c r="Y298"/>
    </row>
    <row r="299" spans="22:25" x14ac:dyDescent="0.2">
      <c r="V299"/>
      <c r="W299"/>
      <c r="X299" s="115"/>
      <c r="Y299"/>
    </row>
    <row r="300" spans="22:25" x14ac:dyDescent="0.2">
      <c r="V300"/>
      <c r="W300"/>
      <c r="X300" s="115"/>
      <c r="Y300"/>
    </row>
    <row r="301" spans="22:25" x14ac:dyDescent="0.2">
      <c r="V301"/>
      <c r="W301"/>
      <c r="X301" s="115"/>
      <c r="Y301"/>
    </row>
    <row r="302" spans="22:25" x14ac:dyDescent="0.2">
      <c r="V302"/>
      <c r="W302"/>
      <c r="X302" s="115"/>
      <c r="Y302"/>
    </row>
    <row r="303" spans="22:25" x14ac:dyDescent="0.2">
      <c r="V303"/>
      <c r="W303"/>
      <c r="X303" s="115"/>
      <c r="Y303"/>
    </row>
    <row r="304" spans="22:25" x14ac:dyDescent="0.2">
      <c r="V304"/>
      <c r="W304"/>
      <c r="X304" s="115"/>
      <c r="Y304"/>
    </row>
    <row r="305" spans="22:25" x14ac:dyDescent="0.2">
      <c r="V305"/>
      <c r="W305"/>
      <c r="X305" s="115"/>
      <c r="Y305"/>
    </row>
    <row r="306" spans="22:25" x14ac:dyDescent="0.2">
      <c r="V306"/>
      <c r="W306"/>
      <c r="X306" s="115"/>
      <c r="Y306"/>
    </row>
    <row r="307" spans="22:25" x14ac:dyDescent="0.2">
      <c r="V307"/>
      <c r="W307"/>
      <c r="X307" s="115"/>
      <c r="Y307"/>
    </row>
    <row r="308" spans="22:25" x14ac:dyDescent="0.2">
      <c r="V308"/>
      <c r="W308"/>
      <c r="X308" s="115"/>
      <c r="Y308"/>
    </row>
    <row r="309" spans="22:25" x14ac:dyDescent="0.2">
      <c r="V309"/>
      <c r="W309"/>
      <c r="X309" s="115"/>
      <c r="Y309"/>
    </row>
    <row r="310" spans="22:25" x14ac:dyDescent="0.2">
      <c r="V310"/>
      <c r="W310"/>
      <c r="X310" s="115"/>
      <c r="Y310"/>
    </row>
    <row r="311" spans="22:25" x14ac:dyDescent="0.2">
      <c r="V311"/>
      <c r="W311"/>
      <c r="X311" s="115"/>
      <c r="Y311"/>
    </row>
    <row r="312" spans="22:25" x14ac:dyDescent="0.2">
      <c r="V312"/>
      <c r="W312"/>
      <c r="X312" s="115"/>
      <c r="Y312"/>
    </row>
    <row r="313" spans="22:25" x14ac:dyDescent="0.2">
      <c r="V313"/>
      <c r="W313"/>
      <c r="X313" s="115"/>
      <c r="Y313"/>
    </row>
    <row r="314" spans="22:25" x14ac:dyDescent="0.2">
      <c r="V314"/>
      <c r="W314"/>
      <c r="X314" s="115"/>
      <c r="Y314"/>
    </row>
    <row r="315" spans="22:25" x14ac:dyDescent="0.2">
      <c r="V315"/>
      <c r="W315"/>
      <c r="X315" s="115"/>
      <c r="Y315"/>
    </row>
    <row r="316" spans="22:25" x14ac:dyDescent="0.2">
      <c r="V316"/>
      <c r="W316"/>
      <c r="X316" s="115"/>
      <c r="Y316"/>
    </row>
    <row r="317" spans="22:25" x14ac:dyDescent="0.2">
      <c r="V317"/>
      <c r="W317"/>
      <c r="X317" s="115"/>
      <c r="Y317"/>
    </row>
    <row r="318" spans="22:25" x14ac:dyDescent="0.2">
      <c r="V318"/>
      <c r="W318"/>
      <c r="X318" s="115"/>
      <c r="Y318"/>
    </row>
    <row r="319" spans="22:25" x14ac:dyDescent="0.2">
      <c r="V319"/>
      <c r="W319"/>
      <c r="X319" s="115"/>
      <c r="Y319"/>
    </row>
    <row r="320" spans="22:25" x14ac:dyDescent="0.2">
      <c r="V320"/>
      <c r="W320"/>
      <c r="X320" s="115"/>
      <c r="Y320"/>
    </row>
    <row r="321" spans="22:25" x14ac:dyDescent="0.2">
      <c r="V321"/>
      <c r="W321"/>
      <c r="X321" s="115"/>
      <c r="Y321"/>
    </row>
    <row r="322" spans="22:25" x14ac:dyDescent="0.2">
      <c r="V322"/>
      <c r="W322"/>
      <c r="X322" s="115"/>
      <c r="Y322"/>
    </row>
    <row r="323" spans="22:25" x14ac:dyDescent="0.2">
      <c r="V323"/>
      <c r="W323"/>
      <c r="X323" s="115"/>
      <c r="Y323"/>
    </row>
    <row r="324" spans="22:25" x14ac:dyDescent="0.2">
      <c r="V324"/>
      <c r="W324"/>
      <c r="X324" s="115"/>
      <c r="Y324"/>
    </row>
    <row r="325" spans="22:25" x14ac:dyDescent="0.2">
      <c r="V325"/>
      <c r="W325"/>
      <c r="X325" s="115"/>
      <c r="Y325"/>
    </row>
    <row r="326" spans="22:25" x14ac:dyDescent="0.2">
      <c r="V326"/>
      <c r="W326"/>
      <c r="X326" s="115"/>
      <c r="Y326"/>
    </row>
    <row r="327" spans="22:25" x14ac:dyDescent="0.2">
      <c r="V327"/>
      <c r="W327"/>
      <c r="X327" s="115"/>
      <c r="Y327"/>
    </row>
    <row r="328" spans="22:25" x14ac:dyDescent="0.2">
      <c r="V328"/>
      <c r="W328"/>
      <c r="X328" s="115"/>
      <c r="Y328"/>
    </row>
    <row r="329" spans="22:25" x14ac:dyDescent="0.2">
      <c r="V329"/>
      <c r="W329"/>
      <c r="X329" s="115"/>
      <c r="Y329"/>
    </row>
    <row r="330" spans="22:25" x14ac:dyDescent="0.2">
      <c r="V330"/>
      <c r="W330"/>
      <c r="X330" s="115"/>
      <c r="Y330"/>
    </row>
    <row r="331" spans="22:25" x14ac:dyDescent="0.2">
      <c r="V331"/>
      <c r="W331"/>
      <c r="X331" s="115"/>
      <c r="Y331"/>
    </row>
    <row r="332" spans="22:25" x14ac:dyDescent="0.2">
      <c r="V332"/>
      <c r="W332"/>
      <c r="X332" s="115"/>
      <c r="Y332"/>
    </row>
    <row r="333" spans="22:25" x14ac:dyDescent="0.2">
      <c r="V333"/>
      <c r="W333"/>
      <c r="X333" s="115"/>
      <c r="Y333"/>
    </row>
    <row r="334" spans="22:25" x14ac:dyDescent="0.2">
      <c r="V334"/>
      <c r="W334"/>
      <c r="X334" s="115"/>
      <c r="Y334"/>
    </row>
    <row r="335" spans="22:25" x14ac:dyDescent="0.2">
      <c r="V335"/>
      <c r="W335"/>
      <c r="X335" s="115"/>
      <c r="Y335"/>
    </row>
    <row r="336" spans="22:25" x14ac:dyDescent="0.2">
      <c r="V336"/>
      <c r="W336"/>
      <c r="X336" s="115"/>
      <c r="Y336"/>
    </row>
    <row r="337" spans="22:25" x14ac:dyDescent="0.2">
      <c r="V337"/>
      <c r="W337"/>
      <c r="X337" s="115"/>
      <c r="Y337"/>
    </row>
    <row r="338" spans="22:25" x14ac:dyDescent="0.2">
      <c r="V338"/>
      <c r="W338"/>
      <c r="X338" s="115"/>
      <c r="Y338"/>
    </row>
    <row r="339" spans="22:25" x14ac:dyDescent="0.2">
      <c r="V339"/>
      <c r="W339"/>
      <c r="X339" s="115"/>
      <c r="Y339"/>
    </row>
    <row r="340" spans="22:25" x14ac:dyDescent="0.2">
      <c r="V340"/>
      <c r="W340"/>
      <c r="X340" s="115"/>
      <c r="Y340"/>
    </row>
    <row r="341" spans="22:25" x14ac:dyDescent="0.2">
      <c r="V341"/>
      <c r="W341"/>
      <c r="X341" s="115"/>
      <c r="Y341"/>
    </row>
    <row r="342" spans="22:25" x14ac:dyDescent="0.2">
      <c r="V342"/>
      <c r="W342"/>
      <c r="X342" s="115"/>
      <c r="Y342"/>
    </row>
    <row r="343" spans="22:25" x14ac:dyDescent="0.2">
      <c r="V343"/>
      <c r="W343"/>
      <c r="X343" s="115"/>
      <c r="Y343"/>
    </row>
    <row r="344" spans="22:25" x14ac:dyDescent="0.2">
      <c r="V344"/>
      <c r="W344"/>
      <c r="X344" s="115"/>
      <c r="Y344"/>
    </row>
    <row r="345" spans="22:25" x14ac:dyDescent="0.2">
      <c r="V345"/>
      <c r="W345"/>
      <c r="X345" s="115"/>
      <c r="Y345"/>
    </row>
    <row r="346" spans="22:25" x14ac:dyDescent="0.2">
      <c r="V346"/>
      <c r="W346"/>
      <c r="X346" s="115"/>
      <c r="Y346"/>
    </row>
    <row r="347" spans="22:25" x14ac:dyDescent="0.2">
      <c r="V347"/>
      <c r="W347"/>
      <c r="X347" s="115"/>
      <c r="Y347"/>
    </row>
    <row r="348" spans="22:25" x14ac:dyDescent="0.2">
      <c r="V348"/>
      <c r="W348"/>
      <c r="X348" s="115"/>
      <c r="Y348"/>
    </row>
    <row r="349" spans="22:25" x14ac:dyDescent="0.2">
      <c r="V349"/>
      <c r="W349"/>
      <c r="X349" s="115"/>
      <c r="Y349"/>
    </row>
    <row r="350" spans="22:25" x14ac:dyDescent="0.2">
      <c r="V350"/>
      <c r="W350"/>
      <c r="X350" s="115"/>
      <c r="Y350"/>
    </row>
    <row r="351" spans="22:25" x14ac:dyDescent="0.2">
      <c r="V351"/>
      <c r="W351"/>
      <c r="X351" s="115"/>
      <c r="Y351"/>
    </row>
    <row r="352" spans="22:25" x14ac:dyDescent="0.2">
      <c r="V352"/>
      <c r="W352"/>
      <c r="X352" s="115"/>
      <c r="Y352"/>
    </row>
    <row r="353" spans="22:25" x14ac:dyDescent="0.2">
      <c r="V353"/>
      <c r="W353"/>
      <c r="X353" s="115"/>
      <c r="Y353"/>
    </row>
    <row r="354" spans="22:25" x14ac:dyDescent="0.2">
      <c r="V354"/>
      <c r="W354"/>
      <c r="X354" s="115"/>
      <c r="Y354"/>
    </row>
    <row r="355" spans="22:25" x14ac:dyDescent="0.2">
      <c r="V355"/>
      <c r="W355"/>
      <c r="X355" s="115"/>
      <c r="Y355"/>
    </row>
    <row r="356" spans="22:25" x14ac:dyDescent="0.2">
      <c r="V356"/>
      <c r="W356"/>
      <c r="X356" s="115"/>
      <c r="Y356"/>
    </row>
    <row r="357" spans="22:25" x14ac:dyDescent="0.2">
      <c r="V357"/>
      <c r="W357"/>
      <c r="X357" s="115"/>
      <c r="Y357"/>
    </row>
    <row r="358" spans="22:25" x14ac:dyDescent="0.2">
      <c r="V358"/>
      <c r="W358"/>
      <c r="X358" s="115"/>
      <c r="Y358"/>
    </row>
    <row r="359" spans="22:25" x14ac:dyDescent="0.2">
      <c r="V359"/>
      <c r="W359"/>
      <c r="X359" s="115"/>
      <c r="Y359"/>
    </row>
    <row r="360" spans="22:25" x14ac:dyDescent="0.2">
      <c r="V360"/>
      <c r="W360"/>
      <c r="X360" s="115"/>
      <c r="Y360"/>
    </row>
    <row r="361" spans="22:25" x14ac:dyDescent="0.2">
      <c r="V361"/>
      <c r="W361"/>
      <c r="X361" s="115"/>
      <c r="Y361"/>
    </row>
    <row r="362" spans="22:25" x14ac:dyDescent="0.2">
      <c r="V362"/>
      <c r="W362"/>
      <c r="X362" s="115"/>
      <c r="Y362"/>
    </row>
    <row r="363" spans="22:25" x14ac:dyDescent="0.2">
      <c r="V363"/>
      <c r="W363"/>
      <c r="X363" s="115"/>
      <c r="Y363"/>
    </row>
    <row r="364" spans="22:25" x14ac:dyDescent="0.2">
      <c r="V364"/>
      <c r="W364"/>
      <c r="X364" s="115"/>
      <c r="Y364"/>
    </row>
    <row r="365" spans="22:25" x14ac:dyDescent="0.2">
      <c r="V365"/>
      <c r="W365"/>
      <c r="X365" s="115"/>
      <c r="Y365"/>
    </row>
    <row r="366" spans="22:25" x14ac:dyDescent="0.2">
      <c r="V366"/>
      <c r="W366"/>
      <c r="X366" s="115"/>
      <c r="Y366"/>
    </row>
    <row r="367" spans="22:25" x14ac:dyDescent="0.2">
      <c r="V367"/>
      <c r="W367"/>
      <c r="X367" s="115"/>
      <c r="Y367"/>
    </row>
    <row r="368" spans="22:25" x14ac:dyDescent="0.2">
      <c r="V368"/>
      <c r="W368"/>
      <c r="X368" s="115"/>
      <c r="Y368"/>
    </row>
    <row r="369" spans="22:25" x14ac:dyDescent="0.2">
      <c r="V369"/>
      <c r="W369"/>
      <c r="X369" s="115"/>
      <c r="Y369"/>
    </row>
    <row r="370" spans="22:25" x14ac:dyDescent="0.2">
      <c r="V370"/>
      <c r="W370"/>
      <c r="X370" s="115"/>
      <c r="Y370"/>
    </row>
    <row r="371" spans="22:25" x14ac:dyDescent="0.2">
      <c r="V371"/>
      <c r="W371"/>
      <c r="X371" s="115"/>
      <c r="Y371"/>
    </row>
    <row r="372" spans="22:25" x14ac:dyDescent="0.2">
      <c r="V372"/>
      <c r="W372"/>
      <c r="X372" s="115"/>
      <c r="Y372"/>
    </row>
    <row r="373" spans="22:25" x14ac:dyDescent="0.2">
      <c r="V373"/>
      <c r="W373"/>
      <c r="X373" s="115"/>
      <c r="Y373"/>
    </row>
    <row r="374" spans="22:25" x14ac:dyDescent="0.2">
      <c r="V374"/>
      <c r="W374"/>
      <c r="X374" s="115"/>
      <c r="Y374"/>
    </row>
    <row r="375" spans="22:25" x14ac:dyDescent="0.2">
      <c r="V375"/>
      <c r="W375"/>
      <c r="X375" s="115"/>
      <c r="Y375"/>
    </row>
    <row r="376" spans="22:25" x14ac:dyDescent="0.2">
      <c r="V376"/>
      <c r="W376"/>
      <c r="X376" s="115"/>
      <c r="Y376"/>
    </row>
    <row r="377" spans="22:25" x14ac:dyDescent="0.2">
      <c r="V377"/>
      <c r="W377"/>
      <c r="X377" s="115"/>
      <c r="Y377"/>
    </row>
    <row r="378" spans="22:25" x14ac:dyDescent="0.2">
      <c r="V378"/>
      <c r="W378"/>
      <c r="X378" s="115"/>
      <c r="Y378"/>
    </row>
    <row r="379" spans="22:25" x14ac:dyDescent="0.2">
      <c r="V379"/>
      <c r="W379"/>
      <c r="X379" s="115"/>
      <c r="Y379"/>
    </row>
    <row r="380" spans="22:25" x14ac:dyDescent="0.2">
      <c r="V380"/>
      <c r="W380"/>
      <c r="X380" s="115"/>
      <c r="Y380"/>
    </row>
    <row r="381" spans="22:25" x14ac:dyDescent="0.2">
      <c r="V381"/>
      <c r="W381"/>
      <c r="X381" s="115"/>
      <c r="Y381"/>
    </row>
    <row r="382" spans="22:25" x14ac:dyDescent="0.2">
      <c r="V382"/>
      <c r="W382"/>
      <c r="X382" s="115"/>
      <c r="Y382"/>
    </row>
    <row r="383" spans="22:25" x14ac:dyDescent="0.2">
      <c r="V383"/>
      <c r="W383"/>
      <c r="X383" s="115"/>
      <c r="Y383"/>
    </row>
    <row r="384" spans="22:25" x14ac:dyDescent="0.2">
      <c r="V384"/>
      <c r="W384"/>
      <c r="X384" s="115"/>
      <c r="Y384"/>
    </row>
    <row r="385" spans="22:25" x14ac:dyDescent="0.2">
      <c r="V385"/>
      <c r="W385"/>
      <c r="X385" s="115"/>
      <c r="Y385"/>
    </row>
    <row r="386" spans="22:25" x14ac:dyDescent="0.2">
      <c r="V386"/>
      <c r="W386"/>
      <c r="X386" s="115"/>
      <c r="Y386"/>
    </row>
    <row r="387" spans="22:25" x14ac:dyDescent="0.2">
      <c r="V387"/>
      <c r="W387"/>
      <c r="X387" s="115"/>
      <c r="Y387"/>
    </row>
    <row r="388" spans="22:25" x14ac:dyDescent="0.2">
      <c r="V388"/>
      <c r="W388"/>
      <c r="X388" s="115"/>
      <c r="Y388"/>
    </row>
    <row r="389" spans="22:25" x14ac:dyDescent="0.2">
      <c r="V389"/>
      <c r="W389"/>
      <c r="X389" s="115"/>
      <c r="Y389"/>
    </row>
    <row r="390" spans="22:25" x14ac:dyDescent="0.2">
      <c r="V390"/>
      <c r="W390"/>
      <c r="X390" s="115"/>
      <c r="Y390"/>
    </row>
    <row r="391" spans="22:25" x14ac:dyDescent="0.2">
      <c r="V391"/>
      <c r="W391"/>
      <c r="X391" s="115"/>
      <c r="Y391"/>
    </row>
    <row r="392" spans="22:25" x14ac:dyDescent="0.2">
      <c r="V392"/>
      <c r="W392"/>
      <c r="X392" s="115"/>
      <c r="Y392"/>
    </row>
    <row r="393" spans="22:25" x14ac:dyDescent="0.2">
      <c r="V393"/>
      <c r="W393"/>
      <c r="X393" s="115"/>
      <c r="Y393"/>
    </row>
    <row r="394" spans="22:25" x14ac:dyDescent="0.2">
      <c r="V394"/>
      <c r="W394"/>
      <c r="X394" s="115"/>
      <c r="Y394"/>
    </row>
    <row r="395" spans="22:25" x14ac:dyDescent="0.2">
      <c r="V395"/>
      <c r="W395"/>
      <c r="X395" s="115"/>
      <c r="Y395"/>
    </row>
    <row r="396" spans="22:25" x14ac:dyDescent="0.2">
      <c r="V396"/>
      <c r="W396"/>
      <c r="X396" s="115"/>
      <c r="Y396"/>
    </row>
    <row r="397" spans="22:25" x14ac:dyDescent="0.2">
      <c r="V397"/>
      <c r="W397"/>
      <c r="X397" s="115"/>
      <c r="Y397"/>
    </row>
    <row r="398" spans="22:25" x14ac:dyDescent="0.2">
      <c r="V398"/>
      <c r="W398"/>
      <c r="X398" s="115"/>
      <c r="Y398"/>
    </row>
    <row r="399" spans="22:25" x14ac:dyDescent="0.2">
      <c r="V399"/>
      <c r="W399"/>
      <c r="X399" s="115"/>
      <c r="Y399"/>
    </row>
    <row r="400" spans="22:25" x14ac:dyDescent="0.2">
      <c r="V400"/>
      <c r="W400"/>
      <c r="X400" s="115"/>
      <c r="Y400"/>
    </row>
    <row r="401" spans="22:25" x14ac:dyDescent="0.2">
      <c r="V401"/>
      <c r="W401"/>
      <c r="X401" s="115"/>
      <c r="Y401"/>
    </row>
    <row r="402" spans="22:25" x14ac:dyDescent="0.2">
      <c r="V402"/>
      <c r="W402"/>
      <c r="X402" s="115"/>
      <c r="Y402"/>
    </row>
    <row r="403" spans="22:25" x14ac:dyDescent="0.2">
      <c r="V403"/>
      <c r="W403"/>
      <c r="X403" s="115"/>
      <c r="Y403"/>
    </row>
    <row r="404" spans="22:25" x14ac:dyDescent="0.2">
      <c r="V404"/>
      <c r="W404"/>
      <c r="X404" s="115"/>
      <c r="Y404"/>
    </row>
    <row r="405" spans="22:25" x14ac:dyDescent="0.2">
      <c r="V405"/>
      <c r="W405"/>
      <c r="X405" s="115"/>
      <c r="Y405"/>
    </row>
    <row r="406" spans="22:25" x14ac:dyDescent="0.2">
      <c r="V406"/>
      <c r="W406"/>
      <c r="X406" s="115"/>
      <c r="Y406"/>
    </row>
    <row r="407" spans="22:25" x14ac:dyDescent="0.2">
      <c r="V407"/>
      <c r="W407"/>
      <c r="X407" s="115"/>
      <c r="Y407"/>
    </row>
    <row r="408" spans="22:25" x14ac:dyDescent="0.2">
      <c r="V408"/>
      <c r="W408"/>
      <c r="X408" s="115"/>
      <c r="Y408"/>
    </row>
    <row r="409" spans="22:25" x14ac:dyDescent="0.2">
      <c r="V409"/>
      <c r="W409"/>
      <c r="X409" s="115"/>
      <c r="Y409"/>
    </row>
    <row r="410" spans="22:25" x14ac:dyDescent="0.2">
      <c r="V410"/>
      <c r="W410"/>
      <c r="X410" s="115"/>
      <c r="Y410"/>
    </row>
    <row r="411" spans="22:25" x14ac:dyDescent="0.2">
      <c r="V411"/>
      <c r="W411"/>
      <c r="X411" s="115"/>
      <c r="Y411"/>
    </row>
    <row r="412" spans="22:25" x14ac:dyDescent="0.2">
      <c r="V412"/>
      <c r="W412"/>
      <c r="X412" s="115"/>
      <c r="Y412"/>
    </row>
    <row r="413" spans="22:25" x14ac:dyDescent="0.2">
      <c r="V413"/>
      <c r="W413"/>
      <c r="X413" s="115"/>
      <c r="Y413"/>
    </row>
    <row r="414" spans="22:25" x14ac:dyDescent="0.2">
      <c r="V414"/>
      <c r="W414"/>
      <c r="X414" s="115"/>
      <c r="Y414"/>
    </row>
    <row r="415" spans="22:25" x14ac:dyDescent="0.2">
      <c r="V415"/>
      <c r="W415"/>
      <c r="X415" s="115"/>
      <c r="Y415"/>
    </row>
    <row r="416" spans="22:25" x14ac:dyDescent="0.2">
      <c r="V416"/>
      <c r="W416"/>
      <c r="X416" s="115"/>
      <c r="Y416"/>
    </row>
    <row r="417" spans="22:25" x14ac:dyDescent="0.2">
      <c r="V417"/>
      <c r="W417"/>
      <c r="X417" s="115"/>
      <c r="Y417"/>
    </row>
    <row r="418" spans="22:25" x14ac:dyDescent="0.2">
      <c r="V418"/>
      <c r="W418"/>
      <c r="X418" s="115"/>
      <c r="Y418"/>
    </row>
    <row r="419" spans="22:25" x14ac:dyDescent="0.2">
      <c r="V419"/>
      <c r="W419"/>
      <c r="X419" s="115"/>
      <c r="Y419"/>
    </row>
    <row r="420" spans="22:25" x14ac:dyDescent="0.2">
      <c r="V420"/>
      <c r="W420"/>
      <c r="X420" s="115"/>
      <c r="Y420"/>
    </row>
    <row r="421" spans="22:25" x14ac:dyDescent="0.2">
      <c r="V421"/>
      <c r="W421"/>
      <c r="X421" s="115"/>
      <c r="Y421"/>
    </row>
    <row r="422" spans="22:25" x14ac:dyDescent="0.2">
      <c r="V422"/>
      <c r="W422"/>
      <c r="X422" s="115"/>
      <c r="Y422"/>
    </row>
    <row r="423" spans="22:25" x14ac:dyDescent="0.2">
      <c r="V423"/>
      <c r="W423"/>
      <c r="X423" s="115"/>
      <c r="Y423"/>
    </row>
    <row r="424" spans="22:25" x14ac:dyDescent="0.2">
      <c r="V424"/>
      <c r="W424"/>
      <c r="X424" s="115"/>
      <c r="Y424"/>
    </row>
    <row r="425" spans="22:25" x14ac:dyDescent="0.2">
      <c r="V425"/>
      <c r="W425"/>
      <c r="X425" s="115"/>
      <c r="Y425"/>
    </row>
    <row r="426" spans="22:25" x14ac:dyDescent="0.2">
      <c r="V426"/>
      <c r="W426"/>
      <c r="X426" s="115"/>
      <c r="Y426"/>
    </row>
    <row r="427" spans="22:25" x14ac:dyDescent="0.2">
      <c r="V427"/>
      <c r="W427"/>
      <c r="X427" s="115"/>
      <c r="Y427"/>
    </row>
    <row r="428" spans="22:25" x14ac:dyDescent="0.2">
      <c r="V428"/>
      <c r="W428"/>
      <c r="X428" s="115"/>
      <c r="Y428"/>
    </row>
    <row r="429" spans="22:25" x14ac:dyDescent="0.2">
      <c r="V429"/>
      <c r="W429"/>
      <c r="X429" s="115"/>
      <c r="Y429"/>
    </row>
    <row r="430" spans="22:25" x14ac:dyDescent="0.2">
      <c r="V430"/>
      <c r="W430"/>
      <c r="X430" s="115"/>
      <c r="Y430"/>
    </row>
    <row r="431" spans="22:25" x14ac:dyDescent="0.2">
      <c r="V431"/>
      <c r="W431"/>
      <c r="X431" s="115"/>
      <c r="Y431"/>
    </row>
    <row r="432" spans="22:25" x14ac:dyDescent="0.2">
      <c r="V432"/>
      <c r="W432"/>
      <c r="X432" s="115"/>
      <c r="Y432"/>
    </row>
    <row r="433" spans="22:25" x14ac:dyDescent="0.2">
      <c r="V433"/>
      <c r="W433"/>
      <c r="X433" s="115"/>
      <c r="Y433"/>
    </row>
    <row r="434" spans="22:25" x14ac:dyDescent="0.2">
      <c r="V434"/>
      <c r="W434"/>
      <c r="X434" s="115"/>
      <c r="Y434"/>
    </row>
    <row r="435" spans="22:25" x14ac:dyDescent="0.2">
      <c r="V435"/>
      <c r="W435"/>
      <c r="X435" s="115"/>
      <c r="Y435"/>
    </row>
    <row r="436" spans="22:25" x14ac:dyDescent="0.2">
      <c r="V436"/>
      <c r="W436"/>
      <c r="X436" s="115"/>
      <c r="Y436"/>
    </row>
    <row r="437" spans="22:25" x14ac:dyDescent="0.2">
      <c r="V437"/>
      <c r="W437"/>
      <c r="X437" s="115"/>
      <c r="Y437"/>
    </row>
    <row r="438" spans="22:25" x14ac:dyDescent="0.2">
      <c r="V438"/>
      <c r="W438"/>
      <c r="X438" s="115"/>
      <c r="Y438"/>
    </row>
    <row r="439" spans="22:25" x14ac:dyDescent="0.2">
      <c r="V439"/>
      <c r="W439"/>
      <c r="X439" s="115"/>
      <c r="Y439"/>
    </row>
    <row r="440" spans="22:25" x14ac:dyDescent="0.2">
      <c r="V440"/>
      <c r="W440"/>
      <c r="X440" s="115"/>
      <c r="Y440"/>
    </row>
    <row r="441" spans="22:25" x14ac:dyDescent="0.2">
      <c r="V441"/>
      <c r="W441"/>
      <c r="X441" s="115"/>
      <c r="Y441"/>
    </row>
    <row r="442" spans="22:25" x14ac:dyDescent="0.2">
      <c r="V442"/>
      <c r="W442"/>
      <c r="X442" s="115"/>
      <c r="Y442"/>
    </row>
    <row r="443" spans="22:25" x14ac:dyDescent="0.2">
      <c r="V443"/>
      <c r="W443"/>
      <c r="X443" s="115"/>
      <c r="Y443"/>
    </row>
    <row r="444" spans="22:25" x14ac:dyDescent="0.2">
      <c r="V444"/>
      <c r="W444"/>
      <c r="X444" s="115"/>
      <c r="Y444"/>
    </row>
    <row r="445" spans="22:25" x14ac:dyDescent="0.2">
      <c r="V445"/>
      <c r="W445"/>
      <c r="X445" s="115"/>
      <c r="Y445"/>
    </row>
    <row r="446" spans="22:25" x14ac:dyDescent="0.2">
      <c r="V446"/>
      <c r="W446"/>
      <c r="X446" s="115"/>
      <c r="Y446"/>
    </row>
    <row r="447" spans="22:25" x14ac:dyDescent="0.2">
      <c r="V447"/>
      <c r="W447"/>
      <c r="X447" s="115"/>
      <c r="Y447"/>
    </row>
    <row r="448" spans="22:25" x14ac:dyDescent="0.2">
      <c r="V448"/>
      <c r="W448"/>
      <c r="X448" s="115"/>
      <c r="Y448"/>
    </row>
    <row r="449" spans="22:25" x14ac:dyDescent="0.2">
      <c r="V449"/>
      <c r="W449"/>
      <c r="X449" s="115"/>
      <c r="Y449"/>
    </row>
    <row r="450" spans="22:25" x14ac:dyDescent="0.2">
      <c r="V450"/>
      <c r="W450"/>
      <c r="X450" s="115"/>
      <c r="Y450"/>
    </row>
    <row r="451" spans="22:25" x14ac:dyDescent="0.2">
      <c r="V451"/>
      <c r="W451"/>
      <c r="X451" s="115"/>
      <c r="Y451"/>
    </row>
    <row r="452" spans="22:25" x14ac:dyDescent="0.2">
      <c r="V452"/>
      <c r="W452"/>
      <c r="X452" s="115"/>
      <c r="Y452"/>
    </row>
    <row r="453" spans="22:25" x14ac:dyDescent="0.2">
      <c r="V453"/>
      <c r="W453"/>
      <c r="X453" s="115"/>
      <c r="Y453"/>
    </row>
    <row r="454" spans="22:25" x14ac:dyDescent="0.2">
      <c r="V454"/>
      <c r="W454"/>
      <c r="X454" s="115"/>
      <c r="Y454"/>
    </row>
    <row r="455" spans="22:25" x14ac:dyDescent="0.2">
      <c r="V455"/>
      <c r="W455"/>
      <c r="X455" s="115"/>
      <c r="Y455"/>
    </row>
    <row r="456" spans="22:25" x14ac:dyDescent="0.2">
      <c r="V456"/>
      <c r="W456"/>
      <c r="X456" s="115"/>
      <c r="Y456"/>
    </row>
    <row r="457" spans="22:25" x14ac:dyDescent="0.2">
      <c r="V457"/>
      <c r="W457"/>
      <c r="X457" s="115"/>
      <c r="Y457"/>
    </row>
    <row r="458" spans="22:25" x14ac:dyDescent="0.2">
      <c r="V458"/>
      <c r="W458"/>
      <c r="X458" s="115"/>
      <c r="Y458"/>
    </row>
    <row r="459" spans="22:25" x14ac:dyDescent="0.2">
      <c r="V459"/>
      <c r="W459"/>
      <c r="X459" s="115"/>
      <c r="Y459"/>
    </row>
    <row r="460" spans="22:25" x14ac:dyDescent="0.2">
      <c r="V460"/>
      <c r="W460"/>
      <c r="X460" s="115"/>
      <c r="Y460"/>
    </row>
    <row r="461" spans="22:25" x14ac:dyDescent="0.2">
      <c r="V461"/>
      <c r="W461"/>
      <c r="X461" s="115"/>
      <c r="Y461"/>
    </row>
    <row r="462" spans="22:25" x14ac:dyDescent="0.2">
      <c r="V462"/>
      <c r="W462"/>
      <c r="X462" s="115"/>
      <c r="Y462"/>
    </row>
    <row r="463" spans="22:25" x14ac:dyDescent="0.2">
      <c r="V463"/>
      <c r="W463"/>
      <c r="X463" s="115"/>
      <c r="Y463"/>
    </row>
    <row r="464" spans="22:25" x14ac:dyDescent="0.2">
      <c r="V464"/>
      <c r="W464"/>
      <c r="X464" s="115"/>
      <c r="Y464"/>
    </row>
    <row r="465" spans="22:25" x14ac:dyDescent="0.2">
      <c r="V465"/>
      <c r="W465"/>
      <c r="X465" s="115"/>
      <c r="Y465"/>
    </row>
    <row r="466" spans="22:25" x14ac:dyDescent="0.2">
      <c r="V466"/>
      <c r="W466"/>
      <c r="X466" s="115"/>
      <c r="Y466"/>
    </row>
    <row r="467" spans="22:25" x14ac:dyDescent="0.2">
      <c r="V467"/>
      <c r="W467"/>
      <c r="X467" s="115"/>
      <c r="Y467"/>
    </row>
    <row r="468" spans="22:25" x14ac:dyDescent="0.2">
      <c r="V468"/>
      <c r="W468"/>
      <c r="X468" s="115"/>
      <c r="Y468"/>
    </row>
    <row r="469" spans="22:25" x14ac:dyDescent="0.2">
      <c r="V469"/>
      <c r="W469"/>
      <c r="X469" s="115"/>
      <c r="Y469"/>
    </row>
    <row r="470" spans="22:25" x14ac:dyDescent="0.2">
      <c r="V470"/>
      <c r="W470"/>
      <c r="X470" s="115"/>
      <c r="Y470"/>
    </row>
    <row r="471" spans="22:25" x14ac:dyDescent="0.2">
      <c r="V471"/>
      <c r="W471"/>
      <c r="X471" s="115"/>
      <c r="Y471"/>
    </row>
    <row r="472" spans="22:25" x14ac:dyDescent="0.2">
      <c r="V472"/>
      <c r="W472"/>
      <c r="X472" s="115"/>
      <c r="Y472"/>
    </row>
    <row r="473" spans="22:25" x14ac:dyDescent="0.2">
      <c r="V473"/>
      <c r="W473"/>
      <c r="X473" s="115"/>
      <c r="Y473"/>
    </row>
    <row r="474" spans="22:25" x14ac:dyDescent="0.2">
      <c r="V474"/>
      <c r="W474"/>
      <c r="X474" s="115"/>
      <c r="Y474"/>
    </row>
    <row r="475" spans="22:25" x14ac:dyDescent="0.2">
      <c r="V475"/>
      <c r="W475"/>
      <c r="X475" s="115"/>
      <c r="Y475"/>
    </row>
    <row r="476" spans="22:25" x14ac:dyDescent="0.2">
      <c r="V476"/>
      <c r="W476"/>
      <c r="X476" s="115"/>
      <c r="Y476"/>
    </row>
    <row r="477" spans="22:25" x14ac:dyDescent="0.2">
      <c r="V477"/>
      <c r="W477"/>
      <c r="X477" s="115"/>
      <c r="Y477"/>
    </row>
    <row r="478" spans="22:25" x14ac:dyDescent="0.2">
      <c r="V478"/>
      <c r="W478"/>
      <c r="X478" s="115"/>
      <c r="Y478"/>
    </row>
    <row r="479" spans="22:25" x14ac:dyDescent="0.2">
      <c r="V479"/>
      <c r="W479"/>
      <c r="X479" s="115"/>
      <c r="Y479"/>
    </row>
    <row r="480" spans="22:25" x14ac:dyDescent="0.2">
      <c r="V480"/>
      <c r="W480"/>
      <c r="X480" s="115"/>
      <c r="Y480"/>
    </row>
    <row r="481" spans="22:25" x14ac:dyDescent="0.2">
      <c r="V481"/>
      <c r="W481"/>
      <c r="X481" s="115"/>
      <c r="Y481"/>
    </row>
    <row r="482" spans="22:25" x14ac:dyDescent="0.2">
      <c r="V482"/>
      <c r="W482"/>
      <c r="X482" s="115"/>
      <c r="Y482"/>
    </row>
    <row r="483" spans="22:25" x14ac:dyDescent="0.2">
      <c r="V483"/>
      <c r="W483"/>
      <c r="X483" s="115"/>
      <c r="Y483"/>
    </row>
    <row r="484" spans="22:25" x14ac:dyDescent="0.2">
      <c r="V484"/>
      <c r="W484"/>
      <c r="X484" s="115"/>
      <c r="Y484"/>
    </row>
    <row r="485" spans="22:25" x14ac:dyDescent="0.2">
      <c r="V485"/>
      <c r="W485"/>
      <c r="X485" s="115"/>
      <c r="Y485"/>
    </row>
    <row r="486" spans="22:25" x14ac:dyDescent="0.2">
      <c r="V486"/>
      <c r="W486"/>
      <c r="X486" s="115"/>
      <c r="Y486"/>
    </row>
    <row r="487" spans="22:25" x14ac:dyDescent="0.2">
      <c r="V487"/>
      <c r="W487"/>
      <c r="X487" s="115"/>
      <c r="Y487"/>
    </row>
    <row r="488" spans="22:25" x14ac:dyDescent="0.2">
      <c r="V488"/>
      <c r="W488"/>
      <c r="X488" s="115"/>
      <c r="Y488"/>
    </row>
    <row r="489" spans="22:25" x14ac:dyDescent="0.2">
      <c r="V489"/>
      <c r="W489"/>
      <c r="X489" s="115"/>
      <c r="Y489"/>
    </row>
    <row r="490" spans="22:25" x14ac:dyDescent="0.2">
      <c r="V490"/>
      <c r="W490"/>
      <c r="X490" s="115"/>
      <c r="Y490"/>
    </row>
    <row r="491" spans="22:25" x14ac:dyDescent="0.2">
      <c r="V491"/>
      <c r="W491"/>
      <c r="X491" s="115"/>
      <c r="Y491"/>
    </row>
    <row r="492" spans="22:25" x14ac:dyDescent="0.2">
      <c r="V492"/>
      <c r="W492"/>
      <c r="X492" s="115"/>
      <c r="Y492"/>
    </row>
    <row r="493" spans="22:25" x14ac:dyDescent="0.2">
      <c r="V493"/>
      <c r="W493"/>
      <c r="X493" s="115"/>
      <c r="Y493"/>
    </row>
    <row r="494" spans="22:25" x14ac:dyDescent="0.2">
      <c r="V494"/>
      <c r="W494"/>
      <c r="X494" s="115"/>
      <c r="Y494"/>
    </row>
    <row r="495" spans="22:25" x14ac:dyDescent="0.2">
      <c r="V495"/>
      <c r="W495"/>
      <c r="X495" s="115"/>
      <c r="Y495"/>
    </row>
    <row r="496" spans="22:25" x14ac:dyDescent="0.2">
      <c r="V496"/>
      <c r="W496"/>
      <c r="X496" s="115"/>
      <c r="Y496"/>
    </row>
    <row r="497" spans="22:25" x14ac:dyDescent="0.2">
      <c r="V497"/>
      <c r="W497"/>
      <c r="X497" s="115"/>
      <c r="Y497"/>
    </row>
    <row r="498" spans="22:25" x14ac:dyDescent="0.2">
      <c r="V498"/>
      <c r="W498"/>
      <c r="X498" s="115"/>
      <c r="Y498"/>
    </row>
    <row r="499" spans="22:25" x14ac:dyDescent="0.2">
      <c r="V499"/>
      <c r="W499"/>
      <c r="X499" s="115"/>
      <c r="Y499"/>
    </row>
    <row r="500" spans="22:25" x14ac:dyDescent="0.2">
      <c r="V500"/>
      <c r="W500"/>
      <c r="X500" s="115"/>
      <c r="Y500"/>
    </row>
    <row r="501" spans="22:25" x14ac:dyDescent="0.2">
      <c r="V501"/>
      <c r="W501"/>
      <c r="X501" s="115"/>
      <c r="Y501"/>
    </row>
    <row r="502" spans="22:25" x14ac:dyDescent="0.2">
      <c r="V502"/>
      <c r="W502"/>
      <c r="X502" s="115"/>
      <c r="Y502"/>
    </row>
    <row r="503" spans="22:25" x14ac:dyDescent="0.2">
      <c r="V503"/>
      <c r="W503"/>
      <c r="X503" s="115"/>
      <c r="Y503"/>
    </row>
    <row r="504" spans="22:25" x14ac:dyDescent="0.2">
      <c r="V504"/>
      <c r="W504"/>
      <c r="X504" s="115"/>
      <c r="Y504"/>
    </row>
    <row r="505" spans="22:25" x14ac:dyDescent="0.2">
      <c r="V505"/>
      <c r="W505"/>
      <c r="X505" s="115"/>
      <c r="Y505"/>
    </row>
    <row r="506" spans="22:25" x14ac:dyDescent="0.2">
      <c r="V506"/>
      <c r="W506"/>
      <c r="X506" s="115"/>
      <c r="Y506"/>
    </row>
    <row r="507" spans="22:25" x14ac:dyDescent="0.2">
      <c r="V507"/>
      <c r="W507"/>
      <c r="X507" s="115"/>
      <c r="Y507"/>
    </row>
    <row r="508" spans="22:25" x14ac:dyDescent="0.2">
      <c r="V508"/>
      <c r="W508"/>
      <c r="X508" s="115"/>
      <c r="Y508"/>
    </row>
    <row r="509" spans="22:25" x14ac:dyDescent="0.2">
      <c r="V509"/>
      <c r="W509"/>
      <c r="X509" s="115"/>
      <c r="Y509"/>
    </row>
    <row r="510" spans="22:25" x14ac:dyDescent="0.2">
      <c r="V510"/>
      <c r="W510"/>
      <c r="X510" s="115"/>
      <c r="Y510"/>
    </row>
    <row r="511" spans="22:25" x14ac:dyDescent="0.2">
      <c r="V511"/>
      <c r="W511"/>
      <c r="X511" s="115"/>
      <c r="Y511"/>
    </row>
    <row r="512" spans="22:25" x14ac:dyDescent="0.2">
      <c r="V512"/>
      <c r="W512"/>
      <c r="X512" s="115"/>
      <c r="Y512"/>
    </row>
    <row r="513" spans="22:25" x14ac:dyDescent="0.2">
      <c r="V513"/>
      <c r="W513"/>
      <c r="X513" s="115"/>
      <c r="Y513"/>
    </row>
    <row r="514" spans="22:25" x14ac:dyDescent="0.2">
      <c r="V514"/>
      <c r="W514"/>
      <c r="X514" s="115"/>
      <c r="Y514"/>
    </row>
    <row r="515" spans="22:25" x14ac:dyDescent="0.2">
      <c r="V515"/>
      <c r="W515"/>
      <c r="X515" s="115"/>
      <c r="Y515"/>
    </row>
    <row r="516" spans="22:25" x14ac:dyDescent="0.2">
      <c r="V516"/>
      <c r="W516"/>
      <c r="X516" s="115"/>
      <c r="Y516"/>
    </row>
    <row r="517" spans="22:25" x14ac:dyDescent="0.2">
      <c r="V517"/>
      <c r="W517"/>
      <c r="X517" s="115"/>
      <c r="Y517"/>
    </row>
    <row r="518" spans="22:25" x14ac:dyDescent="0.2">
      <c r="V518"/>
      <c r="W518"/>
      <c r="X518" s="115"/>
      <c r="Y518"/>
    </row>
    <row r="519" spans="22:25" x14ac:dyDescent="0.2">
      <c r="V519"/>
      <c r="W519"/>
      <c r="X519" s="115"/>
      <c r="Y519"/>
    </row>
    <row r="520" spans="22:25" x14ac:dyDescent="0.2">
      <c r="V520"/>
      <c r="W520"/>
      <c r="X520" s="115"/>
      <c r="Y520"/>
    </row>
    <row r="521" spans="22:25" x14ac:dyDescent="0.2">
      <c r="V521"/>
      <c r="W521"/>
      <c r="X521" s="115"/>
      <c r="Y521"/>
    </row>
    <row r="522" spans="22:25" x14ac:dyDescent="0.2">
      <c r="V522"/>
      <c r="W522"/>
      <c r="X522" s="115"/>
      <c r="Y522"/>
    </row>
    <row r="523" spans="22:25" x14ac:dyDescent="0.2">
      <c r="V523"/>
      <c r="W523"/>
      <c r="X523" s="115"/>
      <c r="Y523"/>
    </row>
    <row r="524" spans="22:25" x14ac:dyDescent="0.2">
      <c r="V524"/>
      <c r="W524"/>
      <c r="X524" s="115"/>
      <c r="Y524"/>
    </row>
    <row r="525" spans="22:25" x14ac:dyDescent="0.2">
      <c r="V525"/>
      <c r="W525"/>
      <c r="X525" s="115"/>
      <c r="Y525"/>
    </row>
    <row r="526" spans="22:25" x14ac:dyDescent="0.2">
      <c r="V526"/>
      <c r="W526"/>
      <c r="X526" s="115"/>
      <c r="Y526"/>
    </row>
    <row r="527" spans="22:25" x14ac:dyDescent="0.2">
      <c r="V527"/>
      <c r="W527"/>
      <c r="X527" s="115"/>
      <c r="Y527"/>
    </row>
    <row r="528" spans="22:25" x14ac:dyDescent="0.2">
      <c r="V528"/>
      <c r="W528"/>
      <c r="X528" s="115"/>
      <c r="Y528"/>
    </row>
    <row r="529" spans="22:25" x14ac:dyDescent="0.2">
      <c r="V529"/>
      <c r="W529"/>
      <c r="X529" s="115"/>
      <c r="Y529"/>
    </row>
    <row r="530" spans="22:25" x14ac:dyDescent="0.2">
      <c r="V530"/>
      <c r="W530"/>
      <c r="X530" s="115"/>
      <c r="Y530"/>
    </row>
    <row r="531" spans="22:25" x14ac:dyDescent="0.2">
      <c r="V531"/>
      <c r="W531"/>
      <c r="X531" s="115"/>
      <c r="Y531"/>
    </row>
    <row r="532" spans="22:25" x14ac:dyDescent="0.2">
      <c r="V532"/>
      <c r="W532"/>
      <c r="X532" s="115"/>
      <c r="Y532"/>
    </row>
    <row r="533" spans="22:25" x14ac:dyDescent="0.2">
      <c r="V533"/>
      <c r="W533"/>
      <c r="X533" s="115"/>
      <c r="Y533"/>
    </row>
    <row r="534" spans="22:25" x14ac:dyDescent="0.2">
      <c r="V534"/>
      <c r="W534"/>
      <c r="X534" s="115"/>
      <c r="Y534"/>
    </row>
    <row r="535" spans="22:25" x14ac:dyDescent="0.2">
      <c r="V535"/>
      <c r="W535"/>
      <c r="X535" s="115"/>
      <c r="Y535"/>
    </row>
    <row r="536" spans="22:25" x14ac:dyDescent="0.2">
      <c r="V536"/>
      <c r="W536"/>
      <c r="X536" s="115"/>
      <c r="Y536"/>
    </row>
    <row r="537" spans="22:25" x14ac:dyDescent="0.2">
      <c r="V537"/>
      <c r="W537"/>
      <c r="X537" s="115"/>
      <c r="Y537"/>
    </row>
    <row r="538" spans="22:25" x14ac:dyDescent="0.2">
      <c r="V538"/>
      <c r="W538"/>
      <c r="X538" s="115"/>
      <c r="Y538"/>
    </row>
    <row r="539" spans="22:25" x14ac:dyDescent="0.2">
      <c r="V539"/>
      <c r="W539"/>
      <c r="X539" s="115"/>
      <c r="Y539"/>
    </row>
    <row r="540" spans="22:25" x14ac:dyDescent="0.2">
      <c r="V540"/>
      <c r="W540"/>
      <c r="X540" s="115"/>
      <c r="Y540"/>
    </row>
    <row r="541" spans="22:25" x14ac:dyDescent="0.2">
      <c r="V541"/>
      <c r="W541"/>
      <c r="X541" s="115"/>
      <c r="Y541"/>
    </row>
    <row r="542" spans="22:25" x14ac:dyDescent="0.2">
      <c r="V542"/>
      <c r="W542"/>
      <c r="X542" s="115"/>
      <c r="Y542"/>
    </row>
    <row r="543" spans="22:25" x14ac:dyDescent="0.2">
      <c r="V543"/>
      <c r="W543"/>
      <c r="X543" s="115"/>
      <c r="Y543"/>
    </row>
    <row r="544" spans="22:25" x14ac:dyDescent="0.2">
      <c r="V544"/>
      <c r="W544"/>
      <c r="X544" s="115"/>
      <c r="Y544"/>
    </row>
    <row r="545" spans="22:25" x14ac:dyDescent="0.2">
      <c r="V545"/>
      <c r="W545"/>
      <c r="X545" s="115"/>
      <c r="Y545"/>
    </row>
    <row r="546" spans="22:25" x14ac:dyDescent="0.2">
      <c r="V546"/>
      <c r="W546"/>
      <c r="X546" s="115"/>
      <c r="Y546"/>
    </row>
    <row r="547" spans="22:25" x14ac:dyDescent="0.2">
      <c r="V547"/>
      <c r="W547"/>
      <c r="X547" s="115"/>
      <c r="Y547"/>
    </row>
    <row r="548" spans="22:25" x14ac:dyDescent="0.2">
      <c r="V548"/>
      <c r="W548"/>
      <c r="X548" s="115"/>
      <c r="Y548"/>
    </row>
    <row r="549" spans="22:25" x14ac:dyDescent="0.2">
      <c r="V549"/>
      <c r="W549"/>
      <c r="X549" s="115"/>
      <c r="Y549"/>
    </row>
    <row r="550" spans="22:25" x14ac:dyDescent="0.2">
      <c r="V550"/>
      <c r="W550"/>
      <c r="X550" s="115"/>
      <c r="Y550"/>
    </row>
    <row r="551" spans="22:25" x14ac:dyDescent="0.2">
      <c r="V551"/>
      <c r="W551"/>
      <c r="X551" s="115"/>
      <c r="Y551"/>
    </row>
    <row r="552" spans="22:25" x14ac:dyDescent="0.2">
      <c r="V552"/>
      <c r="W552"/>
      <c r="X552" s="115"/>
      <c r="Y552"/>
    </row>
    <row r="553" spans="22:25" x14ac:dyDescent="0.2">
      <c r="V553"/>
      <c r="W553"/>
      <c r="X553" s="115"/>
      <c r="Y553"/>
    </row>
    <row r="554" spans="22:25" x14ac:dyDescent="0.2">
      <c r="V554"/>
      <c r="W554"/>
      <c r="X554" s="115"/>
      <c r="Y554"/>
    </row>
    <row r="555" spans="22:25" x14ac:dyDescent="0.2">
      <c r="V555"/>
      <c r="W555"/>
      <c r="X555" s="115"/>
      <c r="Y555"/>
    </row>
    <row r="556" spans="22:25" x14ac:dyDescent="0.2">
      <c r="V556"/>
      <c r="W556"/>
      <c r="X556" s="115"/>
      <c r="Y556"/>
    </row>
    <row r="557" spans="22:25" x14ac:dyDescent="0.2">
      <c r="V557"/>
      <c r="W557"/>
      <c r="X557" s="115"/>
      <c r="Y557"/>
    </row>
    <row r="558" spans="22:25" x14ac:dyDescent="0.2">
      <c r="V558"/>
      <c r="W558"/>
      <c r="X558" s="115"/>
      <c r="Y558"/>
    </row>
    <row r="559" spans="22:25" x14ac:dyDescent="0.2">
      <c r="V559"/>
      <c r="W559"/>
      <c r="X559" s="115"/>
      <c r="Y559"/>
    </row>
    <row r="560" spans="22:25" x14ac:dyDescent="0.2">
      <c r="V560"/>
      <c r="W560"/>
      <c r="X560" s="115"/>
      <c r="Y560"/>
    </row>
    <row r="561" spans="22:25" x14ac:dyDescent="0.2">
      <c r="V561"/>
      <c r="W561"/>
      <c r="X561" s="115"/>
      <c r="Y561"/>
    </row>
    <row r="562" spans="22:25" x14ac:dyDescent="0.2">
      <c r="V562"/>
      <c r="W562"/>
      <c r="X562" s="115"/>
      <c r="Y562"/>
    </row>
    <row r="563" spans="22:25" x14ac:dyDescent="0.2">
      <c r="V563"/>
      <c r="W563"/>
      <c r="X563" s="115"/>
      <c r="Y563"/>
    </row>
    <row r="564" spans="22:25" x14ac:dyDescent="0.2">
      <c r="V564"/>
      <c r="W564"/>
      <c r="X564" s="115"/>
      <c r="Y564"/>
    </row>
    <row r="565" spans="22:25" x14ac:dyDescent="0.2">
      <c r="V565"/>
      <c r="W565"/>
      <c r="X565" s="115"/>
      <c r="Y565"/>
    </row>
    <row r="566" spans="22:25" x14ac:dyDescent="0.2">
      <c r="V566"/>
      <c r="W566"/>
      <c r="X566" s="115"/>
      <c r="Y566"/>
    </row>
    <row r="567" spans="22:25" x14ac:dyDescent="0.2">
      <c r="V567"/>
      <c r="W567"/>
      <c r="X567" s="115"/>
      <c r="Y567"/>
    </row>
    <row r="568" spans="22:25" x14ac:dyDescent="0.2">
      <c r="V568"/>
      <c r="W568"/>
      <c r="X568" s="115"/>
      <c r="Y568"/>
    </row>
    <row r="569" spans="22:25" x14ac:dyDescent="0.2">
      <c r="V569"/>
      <c r="W569"/>
      <c r="X569" s="115"/>
      <c r="Y569"/>
    </row>
    <row r="570" spans="22:25" x14ac:dyDescent="0.2">
      <c r="V570"/>
      <c r="W570"/>
      <c r="X570" s="115"/>
      <c r="Y570"/>
    </row>
    <row r="571" spans="22:25" x14ac:dyDescent="0.2">
      <c r="V571"/>
      <c r="W571"/>
      <c r="X571" s="115"/>
      <c r="Y571"/>
    </row>
    <row r="572" spans="22:25" x14ac:dyDescent="0.2">
      <c r="V572"/>
      <c r="W572"/>
      <c r="X572" s="115"/>
      <c r="Y572"/>
    </row>
    <row r="573" spans="22:25" x14ac:dyDescent="0.2">
      <c r="V573"/>
      <c r="W573"/>
      <c r="X573" s="115"/>
      <c r="Y573"/>
    </row>
    <row r="574" spans="22:25" x14ac:dyDescent="0.2">
      <c r="V574"/>
      <c r="W574"/>
      <c r="X574" s="115"/>
      <c r="Y574"/>
    </row>
    <row r="575" spans="22:25" x14ac:dyDescent="0.2">
      <c r="V575"/>
      <c r="W575"/>
      <c r="X575" s="115"/>
      <c r="Y575"/>
    </row>
    <row r="576" spans="22:25" x14ac:dyDescent="0.2">
      <c r="V576"/>
      <c r="W576"/>
      <c r="X576" s="115"/>
      <c r="Y576"/>
    </row>
    <row r="577" spans="22:25" x14ac:dyDescent="0.2">
      <c r="V577"/>
      <c r="W577"/>
      <c r="X577" s="115"/>
      <c r="Y577"/>
    </row>
    <row r="578" spans="22:25" x14ac:dyDescent="0.2">
      <c r="V578"/>
      <c r="W578"/>
      <c r="X578" s="115"/>
      <c r="Y578"/>
    </row>
    <row r="579" spans="22:25" x14ac:dyDescent="0.2">
      <c r="V579"/>
      <c r="W579"/>
      <c r="X579" s="115"/>
      <c r="Y579"/>
    </row>
    <row r="580" spans="22:25" x14ac:dyDescent="0.2">
      <c r="V580"/>
      <c r="W580"/>
      <c r="X580" s="115"/>
      <c r="Y580"/>
    </row>
    <row r="581" spans="22:25" x14ac:dyDescent="0.2">
      <c r="V581"/>
      <c r="W581"/>
      <c r="X581" s="115"/>
      <c r="Y581"/>
    </row>
    <row r="582" spans="22:25" x14ac:dyDescent="0.2">
      <c r="V582"/>
      <c r="W582"/>
      <c r="X582" s="115"/>
      <c r="Y582"/>
    </row>
    <row r="583" spans="22:25" x14ac:dyDescent="0.2">
      <c r="V583"/>
      <c r="W583"/>
      <c r="X583" s="115"/>
      <c r="Y583"/>
    </row>
    <row r="584" spans="22:25" x14ac:dyDescent="0.2">
      <c r="V584"/>
      <c r="W584"/>
      <c r="X584" s="115"/>
      <c r="Y584"/>
    </row>
    <row r="585" spans="22:25" x14ac:dyDescent="0.2">
      <c r="V585"/>
      <c r="W585"/>
      <c r="X585" s="115"/>
      <c r="Y585"/>
    </row>
    <row r="586" spans="22:25" x14ac:dyDescent="0.2">
      <c r="V586"/>
      <c r="W586"/>
      <c r="X586" s="115"/>
      <c r="Y586"/>
    </row>
    <row r="587" spans="22:25" x14ac:dyDescent="0.2">
      <c r="V587"/>
      <c r="W587"/>
      <c r="X587" s="115"/>
      <c r="Y587"/>
    </row>
    <row r="588" spans="22:25" x14ac:dyDescent="0.2">
      <c r="V588"/>
      <c r="W588"/>
      <c r="X588" s="115"/>
      <c r="Y588"/>
    </row>
    <row r="589" spans="22:25" x14ac:dyDescent="0.2">
      <c r="V589"/>
      <c r="W589"/>
      <c r="X589" s="115"/>
      <c r="Y589"/>
    </row>
    <row r="590" spans="22:25" x14ac:dyDescent="0.2">
      <c r="V590"/>
      <c r="W590"/>
      <c r="X590" s="115"/>
      <c r="Y590"/>
    </row>
    <row r="591" spans="22:25" x14ac:dyDescent="0.2">
      <c r="V591"/>
      <c r="W591"/>
      <c r="X591" s="115"/>
      <c r="Y591"/>
    </row>
    <row r="592" spans="22:25" x14ac:dyDescent="0.2">
      <c r="V592"/>
      <c r="W592"/>
      <c r="X592" s="115"/>
      <c r="Y592"/>
    </row>
    <row r="593" spans="22:25" x14ac:dyDescent="0.2">
      <c r="V593"/>
      <c r="W593"/>
      <c r="X593" s="115"/>
      <c r="Y593"/>
    </row>
    <row r="594" spans="22:25" x14ac:dyDescent="0.2">
      <c r="V594"/>
      <c r="W594"/>
      <c r="X594" s="115"/>
      <c r="Y594"/>
    </row>
    <row r="595" spans="22:25" x14ac:dyDescent="0.2">
      <c r="V595"/>
      <c r="W595"/>
      <c r="X595" s="115"/>
      <c r="Y595"/>
    </row>
    <row r="596" spans="22:25" x14ac:dyDescent="0.2">
      <c r="V596"/>
      <c r="W596"/>
      <c r="X596" s="115"/>
      <c r="Y596"/>
    </row>
    <row r="597" spans="22:25" x14ac:dyDescent="0.2">
      <c r="V597"/>
      <c r="W597"/>
      <c r="X597" s="115"/>
      <c r="Y597"/>
    </row>
    <row r="598" spans="22:25" x14ac:dyDescent="0.2">
      <c r="V598"/>
      <c r="W598"/>
      <c r="X598" s="115"/>
      <c r="Y598"/>
    </row>
    <row r="599" spans="22:25" x14ac:dyDescent="0.2">
      <c r="V599"/>
      <c r="W599"/>
      <c r="X599" s="115"/>
      <c r="Y599"/>
    </row>
    <row r="600" spans="22:25" x14ac:dyDescent="0.2">
      <c r="V600"/>
      <c r="W600"/>
      <c r="X600" s="115"/>
      <c r="Y600"/>
    </row>
    <row r="601" spans="22:25" x14ac:dyDescent="0.2">
      <c r="V601"/>
      <c r="W601"/>
      <c r="X601" s="115"/>
      <c r="Y601"/>
    </row>
    <row r="602" spans="22:25" x14ac:dyDescent="0.2">
      <c r="V602"/>
      <c r="W602"/>
      <c r="X602" s="115"/>
      <c r="Y602"/>
    </row>
    <row r="603" spans="22:25" x14ac:dyDescent="0.2">
      <c r="V603"/>
      <c r="W603"/>
      <c r="X603" s="115"/>
      <c r="Y603"/>
    </row>
    <row r="604" spans="22:25" x14ac:dyDescent="0.2">
      <c r="V604"/>
      <c r="W604"/>
      <c r="X604" s="115"/>
      <c r="Y604"/>
    </row>
    <row r="605" spans="22:25" x14ac:dyDescent="0.2">
      <c r="V605"/>
      <c r="W605"/>
      <c r="X605" s="115"/>
      <c r="Y605"/>
    </row>
    <row r="606" spans="22:25" x14ac:dyDescent="0.2">
      <c r="V606"/>
      <c r="W606"/>
      <c r="X606" s="115"/>
      <c r="Y606"/>
    </row>
    <row r="607" spans="22:25" x14ac:dyDescent="0.2">
      <c r="V607"/>
      <c r="W607"/>
      <c r="X607" s="115"/>
      <c r="Y607"/>
    </row>
    <row r="608" spans="22:25" x14ac:dyDescent="0.2">
      <c r="V608"/>
      <c r="W608"/>
      <c r="X608" s="115"/>
      <c r="Y608"/>
    </row>
    <row r="609" spans="22:25" x14ac:dyDescent="0.2">
      <c r="V609"/>
      <c r="W609"/>
      <c r="X609" s="115"/>
      <c r="Y609"/>
    </row>
    <row r="610" spans="22:25" x14ac:dyDescent="0.2">
      <c r="V610"/>
      <c r="W610"/>
      <c r="X610" s="115"/>
      <c r="Y610"/>
    </row>
    <row r="611" spans="22:25" x14ac:dyDescent="0.2">
      <c r="V611"/>
      <c r="W611"/>
      <c r="X611" s="115"/>
      <c r="Y611"/>
    </row>
    <row r="612" spans="22:25" x14ac:dyDescent="0.2">
      <c r="V612"/>
      <c r="W612"/>
      <c r="X612" s="115"/>
      <c r="Y612"/>
    </row>
    <row r="613" spans="22:25" x14ac:dyDescent="0.2">
      <c r="V613"/>
      <c r="W613"/>
      <c r="X613" s="115"/>
      <c r="Y613"/>
    </row>
    <row r="614" spans="22:25" x14ac:dyDescent="0.2">
      <c r="V614"/>
      <c r="W614"/>
      <c r="X614" s="115"/>
      <c r="Y614"/>
    </row>
    <row r="615" spans="22:25" x14ac:dyDescent="0.2">
      <c r="V615"/>
      <c r="W615"/>
      <c r="X615" s="115"/>
      <c r="Y615"/>
    </row>
    <row r="616" spans="22:25" x14ac:dyDescent="0.2">
      <c r="V616"/>
      <c r="W616"/>
      <c r="X616" s="115"/>
      <c r="Y616"/>
    </row>
    <row r="617" spans="22:25" x14ac:dyDescent="0.2">
      <c r="V617"/>
      <c r="W617"/>
      <c r="X617" s="115"/>
      <c r="Y617"/>
    </row>
    <row r="618" spans="22:25" x14ac:dyDescent="0.2">
      <c r="V618"/>
      <c r="W618"/>
      <c r="X618" s="115"/>
      <c r="Y618"/>
    </row>
    <row r="619" spans="22:25" x14ac:dyDescent="0.2">
      <c r="V619"/>
      <c r="W619"/>
      <c r="X619" s="115"/>
      <c r="Y619"/>
    </row>
    <row r="620" spans="22:25" x14ac:dyDescent="0.2">
      <c r="V620"/>
      <c r="W620"/>
      <c r="X620" s="115"/>
      <c r="Y620"/>
    </row>
    <row r="621" spans="22:25" x14ac:dyDescent="0.2">
      <c r="V621"/>
      <c r="W621"/>
      <c r="X621" s="115"/>
      <c r="Y621"/>
    </row>
    <row r="622" spans="22:25" x14ac:dyDescent="0.2">
      <c r="V622"/>
      <c r="W622"/>
      <c r="X622" s="115"/>
      <c r="Y622"/>
    </row>
    <row r="623" spans="22:25" x14ac:dyDescent="0.2">
      <c r="V623"/>
      <c r="W623"/>
      <c r="X623" s="115"/>
      <c r="Y623"/>
    </row>
    <row r="624" spans="22:25" x14ac:dyDescent="0.2">
      <c r="V624"/>
      <c r="W624"/>
      <c r="X624" s="115"/>
      <c r="Y624"/>
    </row>
    <row r="625" spans="22:25" x14ac:dyDescent="0.2">
      <c r="V625"/>
      <c r="W625"/>
      <c r="X625" s="115"/>
      <c r="Y625"/>
    </row>
    <row r="626" spans="22:25" x14ac:dyDescent="0.2">
      <c r="V626"/>
      <c r="W626"/>
      <c r="X626" s="115"/>
      <c r="Y626"/>
    </row>
    <row r="627" spans="22:25" x14ac:dyDescent="0.2">
      <c r="V627"/>
      <c r="W627"/>
      <c r="X627" s="115"/>
      <c r="Y627"/>
    </row>
    <row r="628" spans="22:25" x14ac:dyDescent="0.2">
      <c r="V628"/>
      <c r="W628"/>
      <c r="X628" s="115"/>
      <c r="Y628"/>
    </row>
    <row r="629" spans="22:25" x14ac:dyDescent="0.2">
      <c r="V629"/>
      <c r="W629"/>
      <c r="X629" s="115"/>
      <c r="Y629"/>
    </row>
    <row r="630" spans="22:25" x14ac:dyDescent="0.2">
      <c r="V630"/>
      <c r="W630"/>
      <c r="X630" s="115"/>
      <c r="Y630"/>
    </row>
    <row r="631" spans="22:25" x14ac:dyDescent="0.2">
      <c r="V631"/>
      <c r="W631"/>
      <c r="X631" s="115"/>
      <c r="Y631"/>
    </row>
    <row r="632" spans="22:25" x14ac:dyDescent="0.2">
      <c r="V632"/>
      <c r="W632"/>
      <c r="X632" s="115"/>
      <c r="Y632"/>
    </row>
    <row r="633" spans="22:25" x14ac:dyDescent="0.2">
      <c r="V633"/>
      <c r="W633"/>
      <c r="X633" s="115"/>
      <c r="Y633"/>
    </row>
    <row r="634" spans="22:25" x14ac:dyDescent="0.2">
      <c r="V634"/>
      <c r="W634"/>
      <c r="X634" s="115"/>
      <c r="Y634"/>
    </row>
    <row r="635" spans="22:25" x14ac:dyDescent="0.2">
      <c r="V635"/>
      <c r="W635"/>
      <c r="X635" s="115"/>
      <c r="Y635"/>
    </row>
    <row r="636" spans="22:25" x14ac:dyDescent="0.2">
      <c r="V636"/>
      <c r="W636"/>
      <c r="X636" s="115"/>
      <c r="Y636"/>
    </row>
    <row r="637" spans="22:25" x14ac:dyDescent="0.2">
      <c r="V637"/>
      <c r="W637"/>
      <c r="X637" s="115"/>
      <c r="Y637"/>
    </row>
    <row r="638" spans="22:25" x14ac:dyDescent="0.2">
      <c r="V638"/>
      <c r="W638"/>
      <c r="X638" s="115"/>
      <c r="Y638"/>
    </row>
    <row r="639" spans="22:25" x14ac:dyDescent="0.2">
      <c r="V639"/>
      <c r="W639"/>
      <c r="X639" s="115"/>
      <c r="Y639"/>
    </row>
    <row r="640" spans="22:25" x14ac:dyDescent="0.2">
      <c r="V640"/>
      <c r="W640"/>
      <c r="X640" s="115"/>
      <c r="Y640"/>
    </row>
    <row r="641" spans="22:25" x14ac:dyDescent="0.2">
      <c r="V641"/>
      <c r="W641"/>
      <c r="X641" s="115"/>
      <c r="Y641"/>
    </row>
    <row r="642" spans="22:25" x14ac:dyDescent="0.2">
      <c r="V642"/>
      <c r="W642"/>
      <c r="X642" s="115"/>
      <c r="Y642"/>
    </row>
    <row r="643" spans="22:25" x14ac:dyDescent="0.2">
      <c r="V643"/>
      <c r="W643"/>
      <c r="X643" s="115"/>
      <c r="Y643"/>
    </row>
    <row r="644" spans="22:25" x14ac:dyDescent="0.2">
      <c r="V644"/>
      <c r="W644"/>
      <c r="X644" s="115"/>
      <c r="Y644"/>
    </row>
    <row r="645" spans="22:25" x14ac:dyDescent="0.2">
      <c r="V645"/>
      <c r="W645"/>
      <c r="X645" s="115"/>
      <c r="Y645"/>
    </row>
    <row r="646" spans="22:25" x14ac:dyDescent="0.2">
      <c r="V646"/>
      <c r="W646"/>
      <c r="X646" s="115"/>
      <c r="Y646"/>
    </row>
    <row r="647" spans="22:25" x14ac:dyDescent="0.2">
      <c r="V647"/>
      <c r="W647"/>
      <c r="X647" s="115"/>
      <c r="Y647"/>
    </row>
    <row r="648" spans="22:25" x14ac:dyDescent="0.2">
      <c r="V648"/>
      <c r="W648"/>
      <c r="X648" s="115"/>
      <c r="Y648"/>
    </row>
    <row r="649" spans="22:25" x14ac:dyDescent="0.2">
      <c r="V649"/>
      <c r="W649"/>
      <c r="X649" s="115"/>
      <c r="Y649"/>
    </row>
    <row r="650" spans="22:25" x14ac:dyDescent="0.2">
      <c r="V650"/>
      <c r="W650"/>
      <c r="X650" s="115"/>
      <c r="Y650"/>
    </row>
    <row r="651" spans="22:25" x14ac:dyDescent="0.2">
      <c r="V651"/>
      <c r="W651"/>
      <c r="X651" s="115"/>
      <c r="Y651"/>
    </row>
    <row r="652" spans="22:25" x14ac:dyDescent="0.2">
      <c r="V652"/>
      <c r="W652"/>
      <c r="X652" s="115"/>
      <c r="Y652"/>
    </row>
    <row r="653" spans="22:25" x14ac:dyDescent="0.2">
      <c r="V653"/>
      <c r="W653"/>
      <c r="X653" s="115"/>
      <c r="Y653"/>
    </row>
    <row r="654" spans="22:25" x14ac:dyDescent="0.2">
      <c r="V654"/>
      <c r="W654"/>
      <c r="X654" s="115"/>
      <c r="Y654"/>
    </row>
    <row r="655" spans="22:25" x14ac:dyDescent="0.2">
      <c r="V655"/>
      <c r="W655"/>
      <c r="X655" s="115"/>
      <c r="Y655"/>
    </row>
    <row r="656" spans="22:25" x14ac:dyDescent="0.2">
      <c r="V656"/>
      <c r="W656"/>
      <c r="X656" s="115"/>
      <c r="Y656"/>
    </row>
    <row r="657" spans="22:25" x14ac:dyDescent="0.2">
      <c r="V657"/>
      <c r="W657"/>
      <c r="X657" s="115"/>
      <c r="Y657"/>
    </row>
    <row r="658" spans="22:25" x14ac:dyDescent="0.2">
      <c r="V658"/>
      <c r="W658"/>
      <c r="X658" s="115"/>
      <c r="Y658"/>
    </row>
    <row r="659" spans="22:25" x14ac:dyDescent="0.2">
      <c r="V659"/>
      <c r="W659"/>
      <c r="X659" s="115"/>
      <c r="Y659"/>
    </row>
    <row r="660" spans="22:25" x14ac:dyDescent="0.2">
      <c r="V660"/>
      <c r="W660"/>
      <c r="X660" s="115"/>
      <c r="Y660"/>
    </row>
    <row r="661" spans="22:25" x14ac:dyDescent="0.2">
      <c r="V661"/>
      <c r="W661"/>
      <c r="X661" s="115"/>
      <c r="Y661"/>
    </row>
    <row r="662" spans="22:25" x14ac:dyDescent="0.2">
      <c r="V662"/>
      <c r="W662"/>
      <c r="X662" s="115"/>
      <c r="Y662"/>
    </row>
    <row r="663" spans="22:25" x14ac:dyDescent="0.2">
      <c r="V663"/>
      <c r="W663"/>
      <c r="X663" s="115"/>
      <c r="Y663"/>
    </row>
    <row r="664" spans="22:25" x14ac:dyDescent="0.2">
      <c r="V664"/>
      <c r="W664"/>
      <c r="X664" s="115"/>
      <c r="Y664"/>
    </row>
    <row r="665" spans="22:25" x14ac:dyDescent="0.2">
      <c r="V665"/>
      <c r="W665"/>
      <c r="X665" s="115"/>
      <c r="Y665"/>
    </row>
    <row r="666" spans="22:25" x14ac:dyDescent="0.2">
      <c r="V666"/>
      <c r="W666"/>
      <c r="X666" s="115"/>
      <c r="Y666"/>
    </row>
    <row r="667" spans="22:25" x14ac:dyDescent="0.2">
      <c r="V667"/>
      <c r="W667"/>
      <c r="X667" s="115"/>
      <c r="Y667"/>
    </row>
    <row r="668" spans="22:25" x14ac:dyDescent="0.2">
      <c r="V668"/>
      <c r="W668"/>
      <c r="X668" s="115"/>
      <c r="Y668"/>
    </row>
    <row r="669" spans="22:25" x14ac:dyDescent="0.2">
      <c r="V669"/>
      <c r="W669"/>
      <c r="X669" s="115"/>
      <c r="Y669"/>
    </row>
    <row r="670" spans="22:25" x14ac:dyDescent="0.2">
      <c r="V670"/>
      <c r="W670"/>
      <c r="X670" s="115"/>
      <c r="Y670"/>
    </row>
    <row r="671" spans="22:25" x14ac:dyDescent="0.2">
      <c r="V671"/>
      <c r="W671"/>
      <c r="X671" s="115"/>
      <c r="Y671"/>
    </row>
    <row r="672" spans="22:25" x14ac:dyDescent="0.2">
      <c r="V672"/>
      <c r="W672"/>
      <c r="X672" s="115"/>
      <c r="Y672"/>
    </row>
    <row r="673" spans="22:25" x14ac:dyDescent="0.2">
      <c r="V673"/>
      <c r="W673"/>
      <c r="X673" s="115"/>
      <c r="Y673"/>
    </row>
    <row r="674" spans="22:25" x14ac:dyDescent="0.2">
      <c r="V674"/>
      <c r="W674"/>
      <c r="X674" s="115"/>
      <c r="Y674"/>
    </row>
    <row r="675" spans="22:25" x14ac:dyDescent="0.2">
      <c r="V675"/>
      <c r="W675"/>
      <c r="X675" s="115"/>
      <c r="Y675"/>
    </row>
    <row r="676" spans="22:25" x14ac:dyDescent="0.2">
      <c r="V676"/>
      <c r="W676"/>
      <c r="X676" s="115"/>
      <c r="Y676"/>
    </row>
    <row r="677" spans="22:25" x14ac:dyDescent="0.2">
      <c r="V677"/>
      <c r="W677"/>
      <c r="X677" s="115"/>
      <c r="Y677"/>
    </row>
    <row r="678" spans="22:25" x14ac:dyDescent="0.2">
      <c r="V678"/>
      <c r="W678"/>
      <c r="X678" s="115"/>
      <c r="Y678"/>
    </row>
    <row r="679" spans="22:25" x14ac:dyDescent="0.2">
      <c r="V679"/>
      <c r="W679"/>
      <c r="X679" s="115"/>
      <c r="Y679"/>
    </row>
    <row r="680" spans="22:25" x14ac:dyDescent="0.2">
      <c r="V680"/>
      <c r="W680"/>
      <c r="X680" s="115"/>
      <c r="Y680"/>
    </row>
    <row r="681" spans="22:25" x14ac:dyDescent="0.2">
      <c r="V681"/>
      <c r="W681"/>
      <c r="X681" s="115"/>
      <c r="Y681"/>
    </row>
    <row r="682" spans="22:25" x14ac:dyDescent="0.2">
      <c r="V682"/>
      <c r="W682"/>
      <c r="X682" s="115"/>
      <c r="Y682"/>
    </row>
    <row r="683" spans="22:25" x14ac:dyDescent="0.2">
      <c r="V683"/>
      <c r="W683"/>
      <c r="X683" s="115"/>
      <c r="Y683"/>
    </row>
    <row r="684" spans="22:25" x14ac:dyDescent="0.2">
      <c r="V684"/>
      <c r="W684"/>
      <c r="X684" s="115"/>
      <c r="Y684"/>
    </row>
    <row r="685" spans="22:25" x14ac:dyDescent="0.2">
      <c r="V685"/>
      <c r="W685"/>
      <c r="X685" s="115"/>
      <c r="Y685"/>
    </row>
    <row r="686" spans="22:25" x14ac:dyDescent="0.2">
      <c r="V686"/>
      <c r="W686"/>
      <c r="X686" s="115"/>
      <c r="Y686"/>
    </row>
    <row r="687" spans="22:25" x14ac:dyDescent="0.2">
      <c r="V687"/>
      <c r="W687"/>
      <c r="X687" s="115"/>
      <c r="Y687"/>
    </row>
    <row r="688" spans="22:25" x14ac:dyDescent="0.2">
      <c r="V688"/>
      <c r="W688"/>
      <c r="X688" s="115"/>
      <c r="Y688"/>
    </row>
    <row r="689" spans="22:25" x14ac:dyDescent="0.2">
      <c r="V689"/>
      <c r="W689"/>
      <c r="X689" s="115"/>
      <c r="Y689"/>
    </row>
    <row r="690" spans="22:25" x14ac:dyDescent="0.2">
      <c r="V690"/>
      <c r="W690"/>
      <c r="X690" s="115"/>
      <c r="Y690"/>
    </row>
    <row r="691" spans="22:25" x14ac:dyDescent="0.2">
      <c r="V691"/>
      <c r="W691"/>
      <c r="X691" s="115"/>
      <c r="Y691"/>
    </row>
    <row r="692" spans="22:25" x14ac:dyDescent="0.2">
      <c r="V692"/>
      <c r="W692"/>
      <c r="X692" s="115"/>
      <c r="Y692"/>
    </row>
    <row r="693" spans="22:25" x14ac:dyDescent="0.2">
      <c r="V693"/>
      <c r="W693"/>
      <c r="X693" s="115"/>
      <c r="Y693"/>
    </row>
    <row r="694" spans="22:25" x14ac:dyDescent="0.2">
      <c r="V694"/>
      <c r="W694"/>
      <c r="X694" s="115"/>
      <c r="Y694"/>
    </row>
    <row r="695" spans="22:25" x14ac:dyDescent="0.2">
      <c r="V695"/>
      <c r="W695"/>
      <c r="X695" s="115"/>
      <c r="Y695"/>
    </row>
    <row r="696" spans="22:25" x14ac:dyDescent="0.2">
      <c r="V696"/>
      <c r="W696"/>
      <c r="X696" s="115"/>
      <c r="Y696"/>
    </row>
    <row r="697" spans="22:25" x14ac:dyDescent="0.2">
      <c r="V697"/>
      <c r="W697"/>
      <c r="X697" s="115"/>
      <c r="Y697"/>
    </row>
    <row r="698" spans="22:25" x14ac:dyDescent="0.2">
      <c r="V698"/>
      <c r="W698"/>
      <c r="X698" s="115"/>
      <c r="Y698"/>
    </row>
    <row r="699" spans="22:25" x14ac:dyDescent="0.2">
      <c r="V699"/>
      <c r="W699"/>
      <c r="X699" s="115"/>
      <c r="Y699"/>
    </row>
    <row r="700" spans="22:25" x14ac:dyDescent="0.2">
      <c r="V700"/>
      <c r="W700"/>
      <c r="X700" s="115"/>
      <c r="Y700"/>
    </row>
    <row r="701" spans="22:25" x14ac:dyDescent="0.2">
      <c r="V701"/>
      <c r="W701"/>
      <c r="X701" s="115"/>
      <c r="Y701"/>
    </row>
    <row r="702" spans="22:25" x14ac:dyDescent="0.2">
      <c r="V702"/>
      <c r="W702"/>
      <c r="X702" s="115"/>
      <c r="Y702"/>
    </row>
    <row r="703" spans="22:25" x14ac:dyDescent="0.2">
      <c r="V703"/>
      <c r="W703"/>
      <c r="X703" s="115"/>
      <c r="Y703"/>
    </row>
    <row r="704" spans="22:25" x14ac:dyDescent="0.2">
      <c r="V704"/>
      <c r="W704"/>
      <c r="X704" s="115"/>
      <c r="Y704"/>
    </row>
    <row r="705" spans="22:25" x14ac:dyDescent="0.2">
      <c r="V705"/>
      <c r="W705"/>
      <c r="X705" s="115"/>
      <c r="Y705"/>
    </row>
    <row r="706" spans="22:25" x14ac:dyDescent="0.2">
      <c r="V706"/>
      <c r="W706"/>
      <c r="X706" s="115"/>
      <c r="Y706"/>
    </row>
    <row r="707" spans="22:25" x14ac:dyDescent="0.2">
      <c r="V707"/>
      <c r="W707"/>
      <c r="X707" s="115"/>
      <c r="Y707"/>
    </row>
    <row r="708" spans="22:25" x14ac:dyDescent="0.2">
      <c r="V708"/>
      <c r="W708"/>
      <c r="X708" s="115"/>
      <c r="Y708"/>
    </row>
    <row r="709" spans="22:25" x14ac:dyDescent="0.2">
      <c r="V709"/>
      <c r="W709"/>
      <c r="X709" s="115"/>
      <c r="Y709"/>
    </row>
    <row r="710" spans="22:25" x14ac:dyDescent="0.2">
      <c r="V710"/>
      <c r="W710"/>
      <c r="X710" s="115"/>
      <c r="Y710"/>
    </row>
    <row r="711" spans="22:25" x14ac:dyDescent="0.2">
      <c r="V711"/>
      <c r="W711"/>
      <c r="X711" s="115"/>
      <c r="Y711"/>
    </row>
    <row r="712" spans="22:25" x14ac:dyDescent="0.2">
      <c r="V712"/>
      <c r="W712"/>
      <c r="X712" s="115"/>
      <c r="Y712"/>
    </row>
    <row r="713" spans="22:25" x14ac:dyDescent="0.2">
      <c r="V713"/>
      <c r="W713"/>
      <c r="X713" s="115"/>
      <c r="Y713"/>
    </row>
    <row r="714" spans="22:25" x14ac:dyDescent="0.2">
      <c r="V714"/>
      <c r="W714"/>
      <c r="X714" s="115"/>
      <c r="Y714"/>
    </row>
    <row r="715" spans="22:25" x14ac:dyDescent="0.2">
      <c r="V715"/>
      <c r="W715"/>
      <c r="X715" s="115"/>
      <c r="Y715"/>
    </row>
    <row r="716" spans="22:25" x14ac:dyDescent="0.2">
      <c r="V716"/>
      <c r="W716"/>
      <c r="X716" s="115"/>
      <c r="Y716"/>
    </row>
    <row r="717" spans="22:25" x14ac:dyDescent="0.2">
      <c r="V717"/>
      <c r="W717"/>
      <c r="X717" s="115"/>
      <c r="Y717"/>
    </row>
    <row r="718" spans="22:25" x14ac:dyDescent="0.2">
      <c r="V718"/>
      <c r="W718"/>
      <c r="X718" s="115"/>
      <c r="Y718"/>
    </row>
    <row r="719" spans="22:25" x14ac:dyDescent="0.2">
      <c r="V719"/>
      <c r="W719"/>
      <c r="X719" s="115"/>
      <c r="Y719"/>
    </row>
    <row r="720" spans="22:25" x14ac:dyDescent="0.2">
      <c r="V720"/>
      <c r="W720"/>
      <c r="X720" s="115"/>
      <c r="Y720"/>
    </row>
    <row r="721" spans="22:25" x14ac:dyDescent="0.2">
      <c r="V721"/>
      <c r="W721"/>
      <c r="X721" s="115"/>
      <c r="Y721"/>
    </row>
    <row r="722" spans="22:25" x14ac:dyDescent="0.2">
      <c r="V722"/>
      <c r="W722"/>
      <c r="X722" s="115"/>
      <c r="Y722"/>
    </row>
    <row r="723" spans="22:25" x14ac:dyDescent="0.2">
      <c r="V723"/>
      <c r="W723"/>
      <c r="X723" s="115"/>
      <c r="Y723"/>
    </row>
    <row r="724" spans="22:25" x14ac:dyDescent="0.2">
      <c r="V724"/>
      <c r="W724"/>
      <c r="X724" s="115"/>
      <c r="Y724"/>
    </row>
    <row r="725" spans="22:25" x14ac:dyDescent="0.2">
      <c r="V725"/>
      <c r="W725"/>
      <c r="X725" s="115"/>
      <c r="Y725"/>
    </row>
    <row r="726" spans="22:25" x14ac:dyDescent="0.2">
      <c r="V726"/>
      <c r="W726"/>
      <c r="X726" s="115"/>
      <c r="Y726"/>
    </row>
    <row r="727" spans="22:25" x14ac:dyDescent="0.2">
      <c r="V727"/>
      <c r="W727"/>
      <c r="X727" s="115"/>
      <c r="Y727"/>
    </row>
    <row r="728" spans="22:25" x14ac:dyDescent="0.2">
      <c r="V728"/>
      <c r="W728"/>
      <c r="X728" s="115"/>
      <c r="Y728"/>
    </row>
    <row r="729" spans="22:25" x14ac:dyDescent="0.2">
      <c r="V729"/>
      <c r="W729"/>
      <c r="X729" s="115"/>
      <c r="Y729"/>
    </row>
    <row r="730" spans="22:25" x14ac:dyDescent="0.2">
      <c r="V730"/>
      <c r="W730"/>
      <c r="X730" s="115"/>
      <c r="Y730"/>
    </row>
    <row r="731" spans="22:25" x14ac:dyDescent="0.2">
      <c r="V731"/>
      <c r="W731"/>
      <c r="X731" s="115"/>
      <c r="Y731"/>
    </row>
    <row r="732" spans="22:25" x14ac:dyDescent="0.2">
      <c r="V732"/>
      <c r="W732"/>
      <c r="X732" s="115"/>
      <c r="Y732"/>
    </row>
    <row r="733" spans="22:25" x14ac:dyDescent="0.2">
      <c r="V733"/>
      <c r="W733"/>
      <c r="X733" s="115"/>
      <c r="Y733"/>
    </row>
    <row r="734" spans="22:25" x14ac:dyDescent="0.2">
      <c r="V734"/>
      <c r="W734"/>
      <c r="X734" s="115"/>
      <c r="Y734"/>
    </row>
    <row r="735" spans="22:25" x14ac:dyDescent="0.2">
      <c r="V735"/>
      <c r="W735"/>
      <c r="X735" s="115"/>
      <c r="Y735"/>
    </row>
    <row r="736" spans="22:25" x14ac:dyDescent="0.2">
      <c r="V736"/>
      <c r="W736"/>
      <c r="X736" s="115"/>
      <c r="Y736"/>
    </row>
    <row r="737" spans="22:25" x14ac:dyDescent="0.2">
      <c r="V737"/>
      <c r="W737"/>
      <c r="X737" s="115"/>
      <c r="Y737"/>
    </row>
    <row r="738" spans="22:25" x14ac:dyDescent="0.2">
      <c r="V738"/>
      <c r="W738"/>
      <c r="X738" s="115"/>
      <c r="Y738"/>
    </row>
    <row r="739" spans="22:25" x14ac:dyDescent="0.2">
      <c r="V739"/>
      <c r="W739"/>
      <c r="X739" s="115"/>
      <c r="Y739"/>
    </row>
    <row r="740" spans="22:25" x14ac:dyDescent="0.2">
      <c r="V740"/>
      <c r="W740"/>
      <c r="X740" s="115"/>
      <c r="Y740"/>
    </row>
    <row r="741" spans="22:25" x14ac:dyDescent="0.2">
      <c r="V741"/>
      <c r="W741"/>
      <c r="X741" s="115"/>
      <c r="Y741"/>
    </row>
    <row r="742" spans="22:25" x14ac:dyDescent="0.2">
      <c r="V742"/>
      <c r="W742"/>
      <c r="X742" s="115"/>
      <c r="Y742"/>
    </row>
    <row r="743" spans="22:25" x14ac:dyDescent="0.2">
      <c r="V743"/>
      <c r="W743"/>
      <c r="X743" s="115"/>
      <c r="Y743"/>
    </row>
    <row r="744" spans="22:25" x14ac:dyDescent="0.2">
      <c r="V744"/>
      <c r="W744"/>
      <c r="X744" s="115"/>
      <c r="Y744"/>
    </row>
    <row r="745" spans="22:25" x14ac:dyDescent="0.2">
      <c r="V745"/>
      <c r="W745"/>
      <c r="X745" s="115"/>
      <c r="Y745"/>
    </row>
    <row r="746" spans="22:25" x14ac:dyDescent="0.2">
      <c r="V746"/>
      <c r="W746"/>
      <c r="X746" s="115"/>
      <c r="Y746"/>
    </row>
    <row r="747" spans="22:25" x14ac:dyDescent="0.2">
      <c r="V747"/>
      <c r="W747"/>
      <c r="X747" s="115"/>
      <c r="Y747"/>
    </row>
    <row r="748" spans="22:25" x14ac:dyDescent="0.2">
      <c r="V748"/>
      <c r="W748"/>
      <c r="X748" s="115"/>
      <c r="Y748"/>
    </row>
    <row r="749" spans="22:25" x14ac:dyDescent="0.2">
      <c r="V749"/>
      <c r="W749"/>
      <c r="X749" s="115"/>
      <c r="Y749"/>
    </row>
    <row r="750" spans="22:25" x14ac:dyDescent="0.2">
      <c r="V750"/>
      <c r="W750"/>
      <c r="X750" s="115"/>
      <c r="Y750"/>
    </row>
    <row r="751" spans="22:25" x14ac:dyDescent="0.2">
      <c r="V751"/>
      <c r="W751"/>
      <c r="X751" s="115"/>
      <c r="Y751"/>
    </row>
    <row r="752" spans="22:25" x14ac:dyDescent="0.2">
      <c r="V752"/>
      <c r="W752"/>
      <c r="X752" s="115"/>
      <c r="Y752"/>
    </row>
    <row r="753" spans="22:25" x14ac:dyDescent="0.2">
      <c r="V753"/>
      <c r="W753"/>
      <c r="X753" s="115"/>
      <c r="Y753"/>
    </row>
    <row r="754" spans="22:25" x14ac:dyDescent="0.2">
      <c r="V754"/>
      <c r="W754"/>
      <c r="X754" s="115"/>
      <c r="Y754"/>
    </row>
    <row r="755" spans="22:25" x14ac:dyDescent="0.2">
      <c r="V755"/>
      <c r="W755"/>
      <c r="X755" s="115"/>
      <c r="Y755"/>
    </row>
    <row r="756" spans="22:25" x14ac:dyDescent="0.2">
      <c r="V756"/>
      <c r="W756"/>
      <c r="X756" s="115"/>
      <c r="Y756"/>
    </row>
    <row r="757" spans="22:25" x14ac:dyDescent="0.2">
      <c r="V757"/>
      <c r="W757"/>
      <c r="X757" s="115"/>
      <c r="Y757"/>
    </row>
    <row r="758" spans="22:25" x14ac:dyDescent="0.2">
      <c r="V758"/>
      <c r="W758"/>
      <c r="X758" s="115"/>
      <c r="Y758"/>
    </row>
    <row r="759" spans="22:25" x14ac:dyDescent="0.2">
      <c r="V759"/>
      <c r="W759"/>
      <c r="X759" s="115"/>
      <c r="Y759"/>
    </row>
    <row r="760" spans="22:25" x14ac:dyDescent="0.2">
      <c r="V760"/>
      <c r="W760"/>
      <c r="X760" s="115"/>
      <c r="Y760"/>
    </row>
    <row r="761" spans="22:25" x14ac:dyDescent="0.2">
      <c r="V761"/>
      <c r="W761"/>
      <c r="X761" s="115"/>
      <c r="Y761"/>
    </row>
    <row r="762" spans="22:25" x14ac:dyDescent="0.2">
      <c r="V762"/>
      <c r="W762"/>
      <c r="X762" s="115"/>
      <c r="Y762"/>
    </row>
    <row r="763" spans="22:25" x14ac:dyDescent="0.2">
      <c r="V763"/>
      <c r="W763"/>
      <c r="X763" s="115"/>
      <c r="Y763"/>
    </row>
    <row r="764" spans="22:25" x14ac:dyDescent="0.2">
      <c r="V764"/>
      <c r="W764"/>
      <c r="X764" s="115"/>
      <c r="Y764"/>
    </row>
    <row r="765" spans="22:25" x14ac:dyDescent="0.2">
      <c r="V765"/>
      <c r="W765"/>
      <c r="X765" s="115"/>
      <c r="Y765"/>
    </row>
    <row r="766" spans="22:25" x14ac:dyDescent="0.2">
      <c r="V766"/>
      <c r="W766"/>
      <c r="X766" s="115"/>
      <c r="Y766"/>
    </row>
    <row r="767" spans="22:25" x14ac:dyDescent="0.2">
      <c r="V767"/>
      <c r="W767"/>
      <c r="X767" s="115"/>
      <c r="Y767"/>
    </row>
    <row r="768" spans="22:25" x14ac:dyDescent="0.2">
      <c r="V768"/>
      <c r="W768"/>
      <c r="X768" s="115"/>
      <c r="Y768"/>
    </row>
    <row r="769" spans="22:25" x14ac:dyDescent="0.2">
      <c r="V769"/>
      <c r="W769"/>
      <c r="X769" s="115"/>
      <c r="Y769"/>
    </row>
    <row r="770" spans="22:25" x14ac:dyDescent="0.2">
      <c r="V770"/>
      <c r="W770"/>
      <c r="X770" s="115"/>
      <c r="Y770"/>
    </row>
    <row r="771" spans="22:25" x14ac:dyDescent="0.2">
      <c r="V771"/>
      <c r="W771"/>
      <c r="X771" s="115"/>
      <c r="Y771"/>
    </row>
    <row r="772" spans="22:25" x14ac:dyDescent="0.2">
      <c r="V772"/>
      <c r="W772"/>
      <c r="X772" s="115"/>
      <c r="Y772"/>
    </row>
    <row r="773" spans="22:25" x14ac:dyDescent="0.2">
      <c r="V773"/>
      <c r="W773"/>
      <c r="X773" s="115"/>
      <c r="Y773"/>
    </row>
    <row r="774" spans="22:25" x14ac:dyDescent="0.2">
      <c r="V774"/>
      <c r="W774"/>
      <c r="X774" s="115"/>
      <c r="Y774"/>
    </row>
    <row r="775" spans="22:25" x14ac:dyDescent="0.2">
      <c r="V775"/>
      <c r="W775"/>
      <c r="X775" s="115"/>
      <c r="Y775"/>
    </row>
    <row r="776" spans="22:25" x14ac:dyDescent="0.2">
      <c r="V776"/>
      <c r="W776"/>
      <c r="X776" s="115"/>
      <c r="Y776"/>
    </row>
    <row r="777" spans="22:25" x14ac:dyDescent="0.2">
      <c r="V777"/>
      <c r="W777"/>
      <c r="X777" s="115"/>
      <c r="Y777"/>
    </row>
    <row r="778" spans="22:25" x14ac:dyDescent="0.2">
      <c r="V778"/>
      <c r="W778"/>
      <c r="X778" s="115"/>
      <c r="Y778"/>
    </row>
    <row r="779" spans="22:25" x14ac:dyDescent="0.2">
      <c r="V779"/>
      <c r="W779"/>
      <c r="X779" s="115"/>
      <c r="Y779"/>
    </row>
    <row r="780" spans="22:25" x14ac:dyDescent="0.2">
      <c r="V780"/>
      <c r="W780"/>
      <c r="X780" s="115"/>
      <c r="Y780"/>
    </row>
    <row r="781" spans="22:25" x14ac:dyDescent="0.2">
      <c r="V781"/>
      <c r="W781"/>
      <c r="X781" s="115"/>
      <c r="Y781"/>
    </row>
    <row r="782" spans="22:25" x14ac:dyDescent="0.2">
      <c r="V782"/>
      <c r="W782"/>
      <c r="X782" s="115"/>
      <c r="Y782"/>
    </row>
    <row r="783" spans="22:25" x14ac:dyDescent="0.2">
      <c r="V783"/>
      <c r="W783"/>
      <c r="X783" s="115"/>
      <c r="Y783"/>
    </row>
    <row r="784" spans="22:25" x14ac:dyDescent="0.2">
      <c r="V784"/>
      <c r="W784"/>
      <c r="X784" s="115"/>
      <c r="Y784"/>
    </row>
    <row r="785" spans="22:25" x14ac:dyDescent="0.2">
      <c r="V785"/>
      <c r="W785"/>
      <c r="X785" s="115"/>
      <c r="Y785"/>
    </row>
    <row r="786" spans="22:25" x14ac:dyDescent="0.2">
      <c r="V786"/>
      <c r="W786"/>
      <c r="X786" s="115"/>
      <c r="Y786"/>
    </row>
    <row r="787" spans="22:25" x14ac:dyDescent="0.2">
      <c r="V787"/>
      <c r="W787"/>
      <c r="X787" s="115"/>
      <c r="Y787"/>
    </row>
    <row r="788" spans="22:25" x14ac:dyDescent="0.2">
      <c r="V788"/>
      <c r="W788"/>
      <c r="X788" s="115"/>
      <c r="Y788"/>
    </row>
    <row r="789" spans="22:25" x14ac:dyDescent="0.2">
      <c r="V789"/>
      <c r="W789"/>
      <c r="X789" s="115"/>
      <c r="Y789"/>
    </row>
    <row r="790" spans="22:25" x14ac:dyDescent="0.2">
      <c r="V790"/>
      <c r="W790"/>
      <c r="X790" s="115"/>
      <c r="Y790"/>
    </row>
    <row r="791" spans="22:25" x14ac:dyDescent="0.2">
      <c r="V791"/>
      <c r="W791"/>
      <c r="X791" s="115"/>
      <c r="Y791"/>
    </row>
    <row r="792" spans="22:25" x14ac:dyDescent="0.2">
      <c r="V792"/>
      <c r="W792"/>
      <c r="X792" s="115"/>
      <c r="Y792"/>
    </row>
    <row r="793" spans="22:25" x14ac:dyDescent="0.2">
      <c r="V793"/>
      <c r="W793"/>
      <c r="X793" s="115"/>
      <c r="Y793"/>
    </row>
    <row r="794" spans="22:25" x14ac:dyDescent="0.2">
      <c r="V794"/>
      <c r="W794"/>
      <c r="X794" s="115"/>
      <c r="Y794"/>
    </row>
    <row r="795" spans="22:25" x14ac:dyDescent="0.2">
      <c r="V795"/>
      <c r="W795"/>
      <c r="X795" s="115"/>
      <c r="Y795"/>
    </row>
    <row r="796" spans="22:25" x14ac:dyDescent="0.2">
      <c r="V796"/>
      <c r="W796"/>
      <c r="X796" s="115"/>
      <c r="Y796"/>
    </row>
    <row r="797" spans="22:25" x14ac:dyDescent="0.2">
      <c r="V797"/>
      <c r="W797"/>
      <c r="X797" s="115"/>
      <c r="Y797"/>
    </row>
    <row r="798" spans="22:25" x14ac:dyDescent="0.2">
      <c r="V798"/>
      <c r="W798"/>
      <c r="X798" s="115"/>
      <c r="Y798"/>
    </row>
    <row r="799" spans="22:25" x14ac:dyDescent="0.2">
      <c r="V799"/>
      <c r="W799"/>
      <c r="X799" s="115"/>
      <c r="Y799"/>
    </row>
    <row r="800" spans="22:25" x14ac:dyDescent="0.2">
      <c r="V800"/>
      <c r="W800"/>
      <c r="X800" s="115"/>
      <c r="Y800"/>
    </row>
    <row r="801" spans="22:25" x14ac:dyDescent="0.2">
      <c r="V801"/>
      <c r="W801"/>
      <c r="X801" s="115"/>
      <c r="Y801"/>
    </row>
    <row r="802" spans="22:25" x14ac:dyDescent="0.2">
      <c r="V802"/>
      <c r="W802"/>
      <c r="X802" s="115"/>
      <c r="Y802"/>
    </row>
    <row r="803" spans="22:25" x14ac:dyDescent="0.2">
      <c r="V803"/>
      <c r="W803"/>
      <c r="X803" s="115"/>
      <c r="Y803"/>
    </row>
    <row r="804" spans="22:25" x14ac:dyDescent="0.2">
      <c r="V804"/>
      <c r="W804"/>
      <c r="X804" s="115"/>
      <c r="Y804"/>
    </row>
    <row r="805" spans="22:25" x14ac:dyDescent="0.2">
      <c r="V805"/>
      <c r="W805"/>
      <c r="X805" s="115"/>
      <c r="Y805"/>
    </row>
    <row r="806" spans="22:25" x14ac:dyDescent="0.2">
      <c r="V806"/>
      <c r="W806"/>
      <c r="X806" s="115"/>
      <c r="Y806"/>
    </row>
    <row r="807" spans="22:25" x14ac:dyDescent="0.2">
      <c r="V807"/>
      <c r="W807"/>
      <c r="X807" s="115"/>
      <c r="Y807"/>
    </row>
    <row r="808" spans="22:25" x14ac:dyDescent="0.2">
      <c r="V808"/>
      <c r="W808"/>
      <c r="X808" s="115"/>
      <c r="Y808"/>
    </row>
    <row r="809" spans="22:25" x14ac:dyDescent="0.2">
      <c r="V809"/>
      <c r="W809"/>
      <c r="X809" s="115"/>
      <c r="Y809"/>
    </row>
    <row r="810" spans="22:25" x14ac:dyDescent="0.2">
      <c r="V810"/>
      <c r="W810"/>
      <c r="X810" s="115"/>
      <c r="Y810"/>
    </row>
    <row r="811" spans="22:25" x14ac:dyDescent="0.2">
      <c r="V811"/>
      <c r="W811"/>
      <c r="X811" s="115"/>
      <c r="Y811"/>
    </row>
    <row r="812" spans="22:25" x14ac:dyDescent="0.2">
      <c r="V812"/>
      <c r="W812"/>
      <c r="X812" s="115"/>
      <c r="Y812"/>
    </row>
    <row r="813" spans="22:25" x14ac:dyDescent="0.2">
      <c r="V813"/>
      <c r="W813"/>
      <c r="X813" s="115"/>
      <c r="Y813"/>
    </row>
    <row r="814" spans="22:25" x14ac:dyDescent="0.2">
      <c r="V814"/>
      <c r="W814"/>
      <c r="X814" s="115"/>
      <c r="Y814"/>
    </row>
    <row r="815" spans="22:25" x14ac:dyDescent="0.2">
      <c r="V815"/>
      <c r="W815"/>
      <c r="X815" s="115"/>
      <c r="Y815"/>
    </row>
    <row r="816" spans="22:25" x14ac:dyDescent="0.2">
      <c r="V816"/>
      <c r="W816"/>
      <c r="X816" s="115"/>
      <c r="Y816"/>
    </row>
    <row r="817" spans="22:25" x14ac:dyDescent="0.2">
      <c r="V817"/>
      <c r="W817"/>
      <c r="X817" s="115"/>
      <c r="Y817"/>
    </row>
    <row r="818" spans="22:25" x14ac:dyDescent="0.2">
      <c r="V818"/>
      <c r="W818"/>
      <c r="X818" s="115"/>
      <c r="Y818"/>
    </row>
    <row r="819" spans="22:25" x14ac:dyDescent="0.2">
      <c r="V819"/>
      <c r="W819"/>
      <c r="X819" s="115"/>
      <c r="Y819"/>
    </row>
    <row r="820" spans="22:25" x14ac:dyDescent="0.2">
      <c r="V820"/>
      <c r="W820"/>
      <c r="X820" s="115"/>
      <c r="Y820"/>
    </row>
    <row r="821" spans="22:25" x14ac:dyDescent="0.2">
      <c r="V821"/>
      <c r="W821"/>
      <c r="X821" s="115"/>
      <c r="Y821"/>
    </row>
    <row r="822" spans="22:25" x14ac:dyDescent="0.2">
      <c r="V822"/>
      <c r="W822"/>
      <c r="X822" s="115"/>
      <c r="Y822"/>
    </row>
    <row r="823" spans="22:25" x14ac:dyDescent="0.2">
      <c r="V823"/>
      <c r="W823"/>
      <c r="X823" s="115"/>
      <c r="Y823"/>
    </row>
    <row r="824" spans="22:25" x14ac:dyDescent="0.2">
      <c r="V824"/>
      <c r="W824"/>
      <c r="X824" s="115"/>
      <c r="Y824"/>
    </row>
    <row r="825" spans="22:25" x14ac:dyDescent="0.2">
      <c r="V825"/>
      <c r="W825"/>
      <c r="X825" s="115"/>
      <c r="Y825"/>
    </row>
    <row r="826" spans="22:25" x14ac:dyDescent="0.2">
      <c r="V826"/>
      <c r="W826"/>
      <c r="X826" s="115"/>
      <c r="Y826"/>
    </row>
    <row r="827" spans="22:25" x14ac:dyDescent="0.2">
      <c r="V827"/>
      <c r="W827"/>
      <c r="X827" s="115"/>
      <c r="Y827"/>
    </row>
    <row r="828" spans="22:25" x14ac:dyDescent="0.2">
      <c r="V828"/>
      <c r="W828"/>
      <c r="X828" s="115"/>
      <c r="Y828"/>
    </row>
    <row r="829" spans="22:25" x14ac:dyDescent="0.2">
      <c r="V829"/>
      <c r="W829"/>
      <c r="X829" s="115"/>
      <c r="Y829"/>
    </row>
    <row r="830" spans="22:25" x14ac:dyDescent="0.2">
      <c r="V830"/>
      <c r="W830"/>
      <c r="X830" s="115"/>
      <c r="Y830"/>
    </row>
    <row r="831" spans="22:25" x14ac:dyDescent="0.2">
      <c r="V831"/>
      <c r="W831"/>
      <c r="X831" s="115"/>
      <c r="Y831"/>
    </row>
    <row r="832" spans="22:25" x14ac:dyDescent="0.2">
      <c r="V832"/>
      <c r="W832"/>
      <c r="X832" s="115"/>
      <c r="Y832"/>
    </row>
    <row r="833" spans="22:25" x14ac:dyDescent="0.2">
      <c r="V833"/>
      <c r="W833"/>
      <c r="X833" s="115"/>
      <c r="Y833"/>
    </row>
    <row r="834" spans="22:25" x14ac:dyDescent="0.2">
      <c r="V834"/>
      <c r="W834"/>
      <c r="X834" s="115"/>
      <c r="Y834"/>
    </row>
    <row r="835" spans="22:25" x14ac:dyDescent="0.2">
      <c r="V835"/>
      <c r="W835"/>
      <c r="X835" s="115"/>
      <c r="Y835"/>
    </row>
    <row r="836" spans="22:25" x14ac:dyDescent="0.2">
      <c r="V836"/>
      <c r="W836"/>
      <c r="X836" s="115"/>
      <c r="Y836"/>
    </row>
    <row r="837" spans="22:25" x14ac:dyDescent="0.2">
      <c r="V837"/>
      <c r="W837"/>
      <c r="X837" s="115"/>
      <c r="Y837"/>
    </row>
    <row r="838" spans="22:25" x14ac:dyDescent="0.2">
      <c r="V838"/>
      <c r="W838"/>
      <c r="X838" s="115"/>
      <c r="Y838"/>
    </row>
    <row r="839" spans="22:25" x14ac:dyDescent="0.2">
      <c r="V839"/>
      <c r="W839"/>
      <c r="X839" s="115"/>
      <c r="Y839"/>
    </row>
    <row r="840" spans="22:25" x14ac:dyDescent="0.2">
      <c r="V840"/>
      <c r="W840"/>
      <c r="X840" s="115"/>
      <c r="Y840"/>
    </row>
    <row r="841" spans="22:25" x14ac:dyDescent="0.2">
      <c r="V841"/>
      <c r="W841"/>
      <c r="X841" s="115"/>
      <c r="Y841"/>
    </row>
    <row r="842" spans="22:25" x14ac:dyDescent="0.2">
      <c r="V842"/>
      <c r="W842"/>
      <c r="X842" s="115"/>
      <c r="Y842"/>
    </row>
    <row r="843" spans="22:25" x14ac:dyDescent="0.2">
      <c r="V843"/>
      <c r="W843"/>
      <c r="X843" s="115"/>
      <c r="Y843"/>
    </row>
    <row r="844" spans="22:25" x14ac:dyDescent="0.2">
      <c r="V844"/>
      <c r="W844"/>
      <c r="X844" s="115"/>
      <c r="Y844"/>
    </row>
    <row r="845" spans="22:25" x14ac:dyDescent="0.2">
      <c r="V845"/>
      <c r="W845"/>
      <c r="X845" s="115"/>
      <c r="Y845"/>
    </row>
    <row r="846" spans="22:25" x14ac:dyDescent="0.2">
      <c r="V846"/>
      <c r="W846"/>
      <c r="X846" s="115"/>
      <c r="Y846"/>
    </row>
    <row r="847" spans="22:25" x14ac:dyDescent="0.2">
      <c r="V847"/>
      <c r="W847"/>
      <c r="X847" s="115"/>
      <c r="Y847"/>
    </row>
    <row r="848" spans="22:25" x14ac:dyDescent="0.2">
      <c r="V848"/>
      <c r="W848"/>
      <c r="X848" s="115"/>
      <c r="Y848"/>
    </row>
    <row r="849" spans="22:25" x14ac:dyDescent="0.2">
      <c r="V849"/>
      <c r="W849"/>
      <c r="X849" s="115"/>
      <c r="Y849"/>
    </row>
    <row r="850" spans="22:25" x14ac:dyDescent="0.2">
      <c r="V850"/>
      <c r="W850"/>
      <c r="X850" s="115"/>
      <c r="Y850"/>
    </row>
    <row r="851" spans="22:25" x14ac:dyDescent="0.2">
      <c r="V851"/>
      <c r="W851"/>
      <c r="X851" s="115"/>
      <c r="Y851"/>
    </row>
    <row r="852" spans="22:25" x14ac:dyDescent="0.2">
      <c r="V852"/>
      <c r="W852"/>
      <c r="X852" s="115"/>
      <c r="Y852"/>
    </row>
    <row r="853" spans="22:25" x14ac:dyDescent="0.2">
      <c r="V853"/>
      <c r="W853"/>
      <c r="X853" s="115"/>
      <c r="Y853"/>
    </row>
    <row r="854" spans="22:25" x14ac:dyDescent="0.2">
      <c r="V854"/>
      <c r="W854"/>
      <c r="X854" s="115"/>
      <c r="Y854"/>
    </row>
    <row r="855" spans="22:25" x14ac:dyDescent="0.2">
      <c r="V855"/>
      <c r="W855"/>
      <c r="X855" s="115"/>
      <c r="Y855"/>
    </row>
    <row r="856" spans="22:25" x14ac:dyDescent="0.2">
      <c r="V856"/>
      <c r="W856"/>
      <c r="X856" s="115"/>
      <c r="Y856"/>
    </row>
    <row r="857" spans="22:25" x14ac:dyDescent="0.2">
      <c r="V857"/>
      <c r="W857"/>
      <c r="X857" s="115"/>
      <c r="Y857"/>
    </row>
    <row r="858" spans="22:25" x14ac:dyDescent="0.2">
      <c r="V858"/>
      <c r="W858"/>
      <c r="X858" s="115"/>
      <c r="Y858"/>
    </row>
    <row r="859" spans="22:25" x14ac:dyDescent="0.2">
      <c r="V859"/>
      <c r="W859"/>
      <c r="X859" s="115"/>
      <c r="Y859"/>
    </row>
    <row r="860" spans="22:25" x14ac:dyDescent="0.2">
      <c r="V860"/>
      <c r="W860"/>
      <c r="X860" s="115"/>
      <c r="Y860"/>
    </row>
    <row r="861" spans="22:25" x14ac:dyDescent="0.2">
      <c r="V861"/>
      <c r="W861"/>
      <c r="X861" s="115"/>
      <c r="Y861"/>
    </row>
    <row r="862" spans="22:25" x14ac:dyDescent="0.2">
      <c r="V862"/>
      <c r="W862"/>
      <c r="X862" s="115"/>
      <c r="Y862"/>
    </row>
    <row r="863" spans="22:25" x14ac:dyDescent="0.2">
      <c r="V863"/>
      <c r="W863"/>
      <c r="X863" s="115"/>
      <c r="Y863"/>
    </row>
    <row r="864" spans="22:25" x14ac:dyDescent="0.2">
      <c r="V864"/>
      <c r="W864"/>
      <c r="X864" s="115"/>
      <c r="Y864"/>
    </row>
    <row r="865" spans="22:25" x14ac:dyDescent="0.2">
      <c r="V865"/>
      <c r="W865"/>
      <c r="X865" s="115"/>
      <c r="Y865"/>
    </row>
    <row r="866" spans="22:25" x14ac:dyDescent="0.2">
      <c r="V866"/>
      <c r="W866"/>
      <c r="X866" s="115"/>
      <c r="Y866"/>
    </row>
    <row r="867" spans="22:25" x14ac:dyDescent="0.2">
      <c r="V867"/>
      <c r="W867"/>
      <c r="X867" s="115"/>
      <c r="Y867"/>
    </row>
    <row r="868" spans="22:25" x14ac:dyDescent="0.2">
      <c r="V868"/>
      <c r="W868"/>
      <c r="X868" s="115"/>
      <c r="Y868"/>
    </row>
    <row r="869" spans="22:25" x14ac:dyDescent="0.2">
      <c r="V869"/>
      <c r="W869"/>
      <c r="X869" s="115"/>
      <c r="Y869"/>
    </row>
    <row r="870" spans="22:25" x14ac:dyDescent="0.2">
      <c r="V870"/>
      <c r="W870"/>
      <c r="X870" s="115"/>
      <c r="Y870"/>
    </row>
    <row r="871" spans="22:25" x14ac:dyDescent="0.2">
      <c r="V871"/>
      <c r="W871"/>
      <c r="X871" s="115"/>
      <c r="Y871"/>
    </row>
    <row r="872" spans="22:25" x14ac:dyDescent="0.2">
      <c r="V872"/>
      <c r="W872"/>
      <c r="X872" s="115"/>
      <c r="Y872"/>
    </row>
    <row r="873" spans="22:25" x14ac:dyDescent="0.2">
      <c r="V873"/>
      <c r="W873"/>
      <c r="X873" s="115"/>
      <c r="Y873"/>
    </row>
    <row r="874" spans="22:25" x14ac:dyDescent="0.2">
      <c r="V874"/>
      <c r="W874"/>
      <c r="X874" s="115"/>
      <c r="Y874"/>
    </row>
    <row r="875" spans="22:25" x14ac:dyDescent="0.2">
      <c r="V875"/>
      <c r="W875"/>
      <c r="X875" s="115"/>
      <c r="Y875"/>
    </row>
    <row r="876" spans="22:25" x14ac:dyDescent="0.2">
      <c r="V876"/>
      <c r="W876"/>
      <c r="X876" s="115"/>
      <c r="Y876"/>
    </row>
    <row r="877" spans="22:25" x14ac:dyDescent="0.2">
      <c r="V877"/>
      <c r="W877"/>
      <c r="X877" s="115"/>
      <c r="Y877"/>
    </row>
    <row r="878" spans="22:25" x14ac:dyDescent="0.2">
      <c r="V878"/>
      <c r="W878"/>
      <c r="X878" s="115"/>
      <c r="Y878"/>
    </row>
    <row r="879" spans="22:25" x14ac:dyDescent="0.2">
      <c r="V879"/>
      <c r="W879"/>
      <c r="X879" s="115"/>
      <c r="Y879"/>
    </row>
    <row r="880" spans="22:25" x14ac:dyDescent="0.2">
      <c r="V880"/>
      <c r="W880"/>
      <c r="X880" s="115"/>
      <c r="Y880"/>
    </row>
    <row r="881" spans="22:25" x14ac:dyDescent="0.2">
      <c r="V881"/>
      <c r="W881"/>
      <c r="X881" s="115"/>
      <c r="Y881"/>
    </row>
    <row r="882" spans="22:25" x14ac:dyDescent="0.2">
      <c r="V882"/>
      <c r="W882"/>
      <c r="X882" s="115"/>
      <c r="Y882"/>
    </row>
    <row r="883" spans="22:25" x14ac:dyDescent="0.2">
      <c r="V883"/>
      <c r="W883"/>
      <c r="X883" s="115"/>
      <c r="Y883"/>
    </row>
    <row r="884" spans="22:25" x14ac:dyDescent="0.2">
      <c r="V884"/>
      <c r="W884"/>
      <c r="X884" s="115"/>
      <c r="Y884"/>
    </row>
    <row r="885" spans="22:25" x14ac:dyDescent="0.2">
      <c r="V885"/>
      <c r="W885"/>
      <c r="X885" s="115"/>
      <c r="Y885"/>
    </row>
    <row r="886" spans="22:25" x14ac:dyDescent="0.2">
      <c r="V886"/>
      <c r="W886"/>
      <c r="X886" s="115"/>
      <c r="Y886"/>
    </row>
    <row r="887" spans="22:25" x14ac:dyDescent="0.2">
      <c r="V887"/>
      <c r="W887"/>
      <c r="X887" s="115"/>
      <c r="Y887"/>
    </row>
    <row r="888" spans="22:25" x14ac:dyDescent="0.2">
      <c r="V888"/>
      <c r="W888"/>
      <c r="X888" s="115"/>
      <c r="Y888"/>
    </row>
    <row r="889" spans="22:25" x14ac:dyDescent="0.2">
      <c r="V889"/>
      <c r="W889"/>
      <c r="X889" s="115"/>
      <c r="Y889"/>
    </row>
    <row r="890" spans="22:25" x14ac:dyDescent="0.2">
      <c r="V890"/>
      <c r="W890"/>
      <c r="X890" s="115"/>
      <c r="Y890"/>
    </row>
    <row r="891" spans="22:25" x14ac:dyDescent="0.2">
      <c r="V891"/>
      <c r="W891"/>
      <c r="X891" s="115"/>
      <c r="Y891"/>
    </row>
    <row r="892" spans="22:25" x14ac:dyDescent="0.2">
      <c r="V892"/>
      <c r="W892"/>
      <c r="X892" s="115"/>
      <c r="Y892"/>
    </row>
    <row r="893" spans="22:25" x14ac:dyDescent="0.2">
      <c r="V893"/>
      <c r="W893"/>
      <c r="X893" s="115"/>
      <c r="Y893"/>
    </row>
    <row r="894" spans="22:25" x14ac:dyDescent="0.2">
      <c r="V894"/>
      <c r="W894"/>
      <c r="X894" s="115"/>
      <c r="Y894"/>
    </row>
    <row r="895" spans="22:25" x14ac:dyDescent="0.2">
      <c r="V895"/>
      <c r="W895"/>
      <c r="X895" s="115"/>
      <c r="Y895"/>
    </row>
    <row r="896" spans="22:25" x14ac:dyDescent="0.2">
      <c r="V896"/>
      <c r="W896"/>
      <c r="X896" s="115"/>
      <c r="Y896"/>
    </row>
    <row r="897" spans="22:25" x14ac:dyDescent="0.2">
      <c r="V897"/>
      <c r="W897"/>
      <c r="X897" s="115"/>
      <c r="Y897"/>
    </row>
    <row r="898" spans="22:25" x14ac:dyDescent="0.2">
      <c r="V898"/>
      <c r="W898"/>
      <c r="X898" s="115"/>
      <c r="Y898"/>
    </row>
    <row r="899" spans="22:25" x14ac:dyDescent="0.2">
      <c r="V899"/>
      <c r="W899"/>
      <c r="X899" s="115"/>
      <c r="Y899"/>
    </row>
    <row r="900" spans="22:25" x14ac:dyDescent="0.2">
      <c r="V900"/>
      <c r="W900"/>
      <c r="X900" s="115"/>
      <c r="Y900"/>
    </row>
    <row r="901" spans="22:25" x14ac:dyDescent="0.2">
      <c r="V901"/>
      <c r="W901"/>
      <c r="X901" s="115"/>
      <c r="Y901"/>
    </row>
    <row r="902" spans="22:25" x14ac:dyDescent="0.2">
      <c r="V902"/>
      <c r="W902"/>
      <c r="X902" s="115"/>
      <c r="Y902"/>
    </row>
    <row r="903" spans="22:25" x14ac:dyDescent="0.2">
      <c r="V903"/>
      <c r="W903"/>
      <c r="X903" s="115"/>
      <c r="Y903"/>
    </row>
    <row r="904" spans="22:25" x14ac:dyDescent="0.2">
      <c r="V904"/>
      <c r="W904"/>
      <c r="X904" s="115"/>
      <c r="Y904"/>
    </row>
    <row r="905" spans="22:25" x14ac:dyDescent="0.2">
      <c r="V905"/>
      <c r="W905"/>
      <c r="X905" s="115"/>
      <c r="Y905"/>
    </row>
    <row r="906" spans="22:25" x14ac:dyDescent="0.2">
      <c r="V906"/>
      <c r="W906"/>
      <c r="X906" s="115"/>
      <c r="Y906"/>
    </row>
    <row r="907" spans="22:25" x14ac:dyDescent="0.2">
      <c r="V907"/>
      <c r="W907"/>
      <c r="X907" s="115"/>
      <c r="Y907"/>
    </row>
    <row r="908" spans="22:25" x14ac:dyDescent="0.2">
      <c r="V908"/>
      <c r="W908"/>
      <c r="X908" s="115"/>
      <c r="Y908"/>
    </row>
    <row r="909" spans="22:25" x14ac:dyDescent="0.2">
      <c r="V909"/>
      <c r="W909"/>
      <c r="X909" s="115"/>
      <c r="Y909"/>
    </row>
    <row r="910" spans="22:25" x14ac:dyDescent="0.2">
      <c r="V910"/>
      <c r="W910"/>
      <c r="X910" s="115"/>
      <c r="Y910"/>
    </row>
    <row r="911" spans="22:25" x14ac:dyDescent="0.2">
      <c r="V911"/>
      <c r="W911"/>
      <c r="X911" s="115"/>
      <c r="Y911"/>
    </row>
    <row r="912" spans="22:25" x14ac:dyDescent="0.2">
      <c r="V912"/>
      <c r="W912"/>
      <c r="X912" s="115"/>
      <c r="Y912"/>
    </row>
    <row r="913" spans="22:25" x14ac:dyDescent="0.2">
      <c r="V913"/>
      <c r="W913"/>
      <c r="X913" s="115"/>
      <c r="Y913"/>
    </row>
    <row r="914" spans="22:25" x14ac:dyDescent="0.2">
      <c r="V914"/>
      <c r="W914"/>
      <c r="X914" s="115"/>
      <c r="Y914"/>
    </row>
    <row r="915" spans="22:25" x14ac:dyDescent="0.2">
      <c r="V915"/>
      <c r="W915"/>
      <c r="X915" s="115"/>
      <c r="Y915"/>
    </row>
    <row r="916" spans="22:25" x14ac:dyDescent="0.2">
      <c r="V916"/>
      <c r="W916"/>
      <c r="X916" s="115"/>
      <c r="Y916"/>
    </row>
    <row r="917" spans="22:25" x14ac:dyDescent="0.2">
      <c r="V917"/>
      <c r="W917"/>
      <c r="X917" s="115"/>
      <c r="Y917"/>
    </row>
    <row r="918" spans="22:25" x14ac:dyDescent="0.2">
      <c r="V918"/>
      <c r="W918"/>
      <c r="X918" s="115"/>
      <c r="Y918"/>
    </row>
    <row r="919" spans="22:25" x14ac:dyDescent="0.2">
      <c r="V919"/>
      <c r="W919"/>
      <c r="X919" s="115"/>
      <c r="Y919"/>
    </row>
    <row r="920" spans="22:25" x14ac:dyDescent="0.2">
      <c r="V920"/>
      <c r="W920"/>
      <c r="X920" s="115"/>
      <c r="Y920"/>
    </row>
    <row r="921" spans="22:25" x14ac:dyDescent="0.2">
      <c r="V921"/>
      <c r="W921"/>
      <c r="X921" s="115"/>
      <c r="Y921"/>
    </row>
    <row r="922" spans="22:25" x14ac:dyDescent="0.2">
      <c r="V922"/>
      <c r="W922"/>
      <c r="X922" s="115"/>
      <c r="Y922"/>
    </row>
    <row r="923" spans="22:25" x14ac:dyDescent="0.2">
      <c r="V923"/>
      <c r="W923"/>
      <c r="X923" s="115"/>
      <c r="Y923"/>
    </row>
    <row r="924" spans="22:25" x14ac:dyDescent="0.2">
      <c r="V924"/>
      <c r="W924"/>
      <c r="X924" s="115"/>
      <c r="Y924"/>
    </row>
    <row r="925" spans="22:25" x14ac:dyDescent="0.2">
      <c r="V925"/>
      <c r="W925"/>
      <c r="X925" s="115"/>
      <c r="Y925"/>
    </row>
    <row r="926" spans="22:25" x14ac:dyDescent="0.2">
      <c r="V926"/>
      <c r="W926"/>
      <c r="X926" s="115"/>
      <c r="Y926"/>
    </row>
    <row r="927" spans="22:25" x14ac:dyDescent="0.2">
      <c r="V927"/>
      <c r="W927"/>
      <c r="X927" s="115"/>
      <c r="Y927"/>
    </row>
    <row r="928" spans="22:25" x14ac:dyDescent="0.2">
      <c r="V928"/>
      <c r="W928"/>
      <c r="X928" s="115"/>
      <c r="Y928"/>
    </row>
    <row r="929" spans="22:25" x14ac:dyDescent="0.2">
      <c r="V929"/>
      <c r="W929"/>
      <c r="X929" s="115"/>
      <c r="Y929"/>
    </row>
    <row r="930" spans="22:25" x14ac:dyDescent="0.2">
      <c r="V930"/>
      <c r="W930"/>
      <c r="X930" s="115"/>
      <c r="Y930"/>
    </row>
    <row r="931" spans="22:25" x14ac:dyDescent="0.2">
      <c r="V931"/>
      <c r="W931"/>
      <c r="X931" s="115"/>
      <c r="Y931"/>
    </row>
    <row r="932" spans="22:25" x14ac:dyDescent="0.2">
      <c r="V932"/>
      <c r="W932"/>
      <c r="X932" s="115"/>
      <c r="Y932"/>
    </row>
    <row r="933" spans="22:25" x14ac:dyDescent="0.2">
      <c r="V933"/>
      <c r="W933"/>
      <c r="X933" s="115"/>
      <c r="Y933"/>
    </row>
    <row r="934" spans="22:25" x14ac:dyDescent="0.2">
      <c r="V934"/>
      <c r="W934"/>
      <c r="X934" s="115"/>
      <c r="Y934"/>
    </row>
    <row r="935" spans="22:25" x14ac:dyDescent="0.2">
      <c r="V935"/>
      <c r="W935"/>
      <c r="X935" s="115"/>
      <c r="Y935"/>
    </row>
    <row r="936" spans="22:25" x14ac:dyDescent="0.2">
      <c r="V936"/>
      <c r="W936"/>
      <c r="X936" s="115"/>
      <c r="Y936"/>
    </row>
    <row r="937" spans="22:25" x14ac:dyDescent="0.2">
      <c r="V937"/>
      <c r="W937"/>
      <c r="X937" s="115"/>
      <c r="Y937"/>
    </row>
    <row r="938" spans="22:25" x14ac:dyDescent="0.2">
      <c r="V938"/>
      <c r="W938"/>
      <c r="X938" s="115"/>
      <c r="Y938"/>
    </row>
    <row r="939" spans="22:25" x14ac:dyDescent="0.2">
      <c r="V939"/>
      <c r="W939"/>
      <c r="X939" s="115"/>
      <c r="Y939"/>
    </row>
    <row r="940" spans="22:25" x14ac:dyDescent="0.2">
      <c r="V940"/>
      <c r="W940"/>
      <c r="X940" s="115"/>
      <c r="Y940"/>
    </row>
    <row r="941" spans="22:25" x14ac:dyDescent="0.2">
      <c r="V941"/>
      <c r="W941"/>
      <c r="X941" s="115"/>
      <c r="Y941"/>
    </row>
    <row r="942" spans="22:25" x14ac:dyDescent="0.2">
      <c r="V942"/>
      <c r="W942"/>
      <c r="X942" s="115"/>
      <c r="Y942"/>
    </row>
    <row r="943" spans="22:25" x14ac:dyDescent="0.2">
      <c r="V943"/>
      <c r="W943"/>
      <c r="X943" s="115"/>
      <c r="Y943"/>
    </row>
    <row r="944" spans="22:25" x14ac:dyDescent="0.2">
      <c r="V944"/>
      <c r="W944"/>
      <c r="X944" s="115"/>
      <c r="Y944"/>
    </row>
    <row r="945" spans="22:25" x14ac:dyDescent="0.2">
      <c r="V945"/>
      <c r="W945"/>
      <c r="X945" s="115"/>
      <c r="Y945"/>
    </row>
    <row r="946" spans="22:25" x14ac:dyDescent="0.2">
      <c r="V946"/>
      <c r="W946"/>
      <c r="X946" s="115"/>
      <c r="Y946"/>
    </row>
    <row r="947" spans="22:25" x14ac:dyDescent="0.2">
      <c r="V947"/>
      <c r="W947"/>
      <c r="X947" s="115"/>
      <c r="Y947"/>
    </row>
    <row r="948" spans="22:25" x14ac:dyDescent="0.2">
      <c r="V948"/>
      <c r="W948"/>
      <c r="X948" s="115"/>
      <c r="Y948"/>
    </row>
    <row r="949" spans="22:25" x14ac:dyDescent="0.2">
      <c r="V949"/>
      <c r="W949"/>
      <c r="X949" s="115"/>
      <c r="Y949"/>
    </row>
    <row r="950" spans="22:25" x14ac:dyDescent="0.2">
      <c r="V950"/>
      <c r="W950"/>
      <c r="X950" s="115"/>
      <c r="Y950"/>
    </row>
    <row r="951" spans="22:25" x14ac:dyDescent="0.2">
      <c r="V951"/>
      <c r="W951"/>
      <c r="X951" s="115"/>
      <c r="Y951"/>
    </row>
    <row r="952" spans="22:25" x14ac:dyDescent="0.2">
      <c r="V952"/>
      <c r="W952"/>
      <c r="X952" s="115"/>
      <c r="Y952"/>
    </row>
    <row r="953" spans="22:25" x14ac:dyDescent="0.2">
      <c r="V953"/>
      <c r="W953"/>
      <c r="X953" s="115"/>
      <c r="Y953"/>
    </row>
    <row r="954" spans="22:25" x14ac:dyDescent="0.2">
      <c r="V954"/>
      <c r="W954"/>
      <c r="X954" s="115"/>
      <c r="Y954"/>
    </row>
    <row r="955" spans="22:25" x14ac:dyDescent="0.2">
      <c r="V955"/>
      <c r="W955"/>
      <c r="X955" s="115"/>
      <c r="Y955"/>
    </row>
    <row r="956" spans="22:25" x14ac:dyDescent="0.2">
      <c r="V956"/>
      <c r="W956"/>
      <c r="X956" s="115"/>
      <c r="Y956"/>
    </row>
    <row r="957" spans="22:25" x14ac:dyDescent="0.2">
      <c r="V957"/>
      <c r="W957"/>
      <c r="X957" s="115"/>
      <c r="Y957"/>
    </row>
    <row r="958" spans="22:25" x14ac:dyDescent="0.2">
      <c r="V958"/>
      <c r="W958"/>
      <c r="X958" s="115"/>
      <c r="Y958"/>
    </row>
    <row r="959" spans="22:25" x14ac:dyDescent="0.2">
      <c r="V959"/>
      <c r="W959"/>
      <c r="X959" s="115"/>
      <c r="Y959"/>
    </row>
    <row r="960" spans="22:25" x14ac:dyDescent="0.2">
      <c r="V960"/>
      <c r="W960"/>
      <c r="X960" s="115"/>
      <c r="Y960"/>
    </row>
    <row r="961" spans="22:25" x14ac:dyDescent="0.2">
      <c r="V961"/>
      <c r="W961"/>
      <c r="X961" s="115"/>
      <c r="Y961"/>
    </row>
    <row r="962" spans="22:25" x14ac:dyDescent="0.2">
      <c r="V962"/>
      <c r="W962"/>
      <c r="X962" s="115"/>
      <c r="Y962"/>
    </row>
    <row r="963" spans="22:25" x14ac:dyDescent="0.2">
      <c r="V963"/>
      <c r="W963"/>
      <c r="X963" s="115"/>
      <c r="Y963"/>
    </row>
    <row r="964" spans="22:25" x14ac:dyDescent="0.2">
      <c r="V964"/>
      <c r="W964"/>
      <c r="X964" s="115"/>
      <c r="Y964"/>
    </row>
    <row r="965" spans="22:25" x14ac:dyDescent="0.2">
      <c r="V965"/>
      <c r="W965"/>
      <c r="X965" s="115"/>
      <c r="Y965"/>
    </row>
    <row r="966" spans="22:25" x14ac:dyDescent="0.2">
      <c r="V966"/>
      <c r="W966"/>
      <c r="X966" s="115"/>
      <c r="Y966"/>
    </row>
    <row r="967" spans="22:25" x14ac:dyDescent="0.2">
      <c r="V967"/>
      <c r="W967"/>
      <c r="X967" s="115"/>
      <c r="Y967"/>
    </row>
    <row r="968" spans="22:25" x14ac:dyDescent="0.2">
      <c r="V968"/>
      <c r="W968"/>
      <c r="X968" s="115"/>
      <c r="Y968"/>
    </row>
    <row r="969" spans="22:25" x14ac:dyDescent="0.2">
      <c r="V969"/>
      <c r="W969"/>
      <c r="X969" s="115"/>
      <c r="Y969"/>
    </row>
    <row r="970" spans="22:25" x14ac:dyDescent="0.2">
      <c r="V970"/>
      <c r="W970"/>
      <c r="X970" s="115"/>
      <c r="Y970"/>
    </row>
    <row r="971" spans="22:25" x14ac:dyDescent="0.2">
      <c r="V971"/>
      <c r="W971"/>
      <c r="X971" s="115"/>
      <c r="Y971"/>
    </row>
    <row r="972" spans="22:25" x14ac:dyDescent="0.2">
      <c r="V972"/>
      <c r="W972"/>
      <c r="X972" s="115"/>
      <c r="Y972"/>
    </row>
    <row r="973" spans="22:25" x14ac:dyDescent="0.2">
      <c r="V973"/>
      <c r="W973"/>
      <c r="X973" s="115"/>
      <c r="Y973"/>
    </row>
    <row r="974" spans="22:25" x14ac:dyDescent="0.2">
      <c r="V974"/>
      <c r="W974"/>
      <c r="X974" s="115"/>
      <c r="Y974"/>
    </row>
    <row r="975" spans="22:25" x14ac:dyDescent="0.2">
      <c r="V975"/>
      <c r="W975"/>
      <c r="X975" s="115"/>
      <c r="Y975"/>
    </row>
    <row r="976" spans="22:25" x14ac:dyDescent="0.2">
      <c r="V976"/>
      <c r="W976"/>
      <c r="X976" s="115"/>
      <c r="Y976"/>
    </row>
    <row r="977" spans="22:25" x14ac:dyDescent="0.2">
      <c r="V977"/>
      <c r="W977"/>
      <c r="X977" s="115"/>
      <c r="Y977"/>
    </row>
    <row r="978" spans="22:25" x14ac:dyDescent="0.2">
      <c r="V978"/>
      <c r="W978"/>
      <c r="X978" s="115"/>
      <c r="Y978"/>
    </row>
    <row r="979" spans="22:25" x14ac:dyDescent="0.2">
      <c r="V979"/>
      <c r="W979"/>
      <c r="X979" s="115"/>
      <c r="Y979"/>
    </row>
    <row r="980" spans="22:25" x14ac:dyDescent="0.2">
      <c r="V980"/>
      <c r="W980"/>
      <c r="X980" s="115"/>
      <c r="Y980"/>
    </row>
    <row r="981" spans="22:25" x14ac:dyDescent="0.2">
      <c r="V981"/>
      <c r="W981"/>
      <c r="X981" s="115"/>
      <c r="Y981"/>
    </row>
    <row r="982" spans="22:25" x14ac:dyDescent="0.2">
      <c r="V982"/>
      <c r="W982"/>
      <c r="X982" s="115"/>
      <c r="Y982"/>
    </row>
    <row r="983" spans="22:25" x14ac:dyDescent="0.2">
      <c r="V983"/>
      <c r="W983"/>
      <c r="X983" s="115"/>
      <c r="Y983"/>
    </row>
    <row r="984" spans="22:25" x14ac:dyDescent="0.2">
      <c r="V984"/>
      <c r="W984"/>
      <c r="X984" s="115"/>
      <c r="Y984"/>
    </row>
    <row r="985" spans="22:25" x14ac:dyDescent="0.2">
      <c r="V985"/>
      <c r="W985"/>
      <c r="X985" s="115"/>
      <c r="Y985"/>
    </row>
    <row r="986" spans="22:25" x14ac:dyDescent="0.2">
      <c r="V986"/>
      <c r="W986"/>
      <c r="X986" s="115"/>
      <c r="Y986"/>
    </row>
    <row r="987" spans="22:25" x14ac:dyDescent="0.2">
      <c r="V987"/>
      <c r="W987"/>
      <c r="X987" s="115"/>
      <c r="Y987"/>
    </row>
    <row r="988" spans="22:25" x14ac:dyDescent="0.2">
      <c r="V988"/>
      <c r="W988"/>
      <c r="X988" s="115"/>
      <c r="Y988"/>
    </row>
    <row r="989" spans="22:25" x14ac:dyDescent="0.2">
      <c r="V989"/>
      <c r="W989"/>
      <c r="X989" s="115"/>
      <c r="Y989"/>
    </row>
    <row r="990" spans="22:25" x14ac:dyDescent="0.2">
      <c r="V990"/>
      <c r="W990"/>
      <c r="X990" s="115"/>
      <c r="Y990"/>
    </row>
    <row r="991" spans="22:25" x14ac:dyDescent="0.2">
      <c r="V991"/>
      <c r="W991"/>
      <c r="X991" s="115"/>
      <c r="Y991"/>
    </row>
    <row r="992" spans="22:25" x14ac:dyDescent="0.2">
      <c r="V992"/>
      <c r="W992"/>
      <c r="X992" s="115"/>
      <c r="Y992"/>
    </row>
    <row r="993" spans="22:25" x14ac:dyDescent="0.2">
      <c r="V993"/>
      <c r="W993"/>
      <c r="X993" s="115"/>
      <c r="Y993"/>
    </row>
    <row r="994" spans="22:25" x14ac:dyDescent="0.2">
      <c r="V994"/>
      <c r="W994"/>
      <c r="X994" s="115"/>
      <c r="Y994"/>
    </row>
    <row r="995" spans="22:25" x14ac:dyDescent="0.2">
      <c r="V995"/>
      <c r="W995"/>
      <c r="X995" s="115"/>
      <c r="Y995"/>
    </row>
    <row r="996" spans="22:25" x14ac:dyDescent="0.2">
      <c r="V996"/>
      <c r="W996"/>
      <c r="X996" s="115"/>
      <c r="Y996"/>
    </row>
    <row r="997" spans="22:25" x14ac:dyDescent="0.2">
      <c r="V997"/>
      <c r="W997"/>
      <c r="X997" s="115"/>
      <c r="Y997"/>
    </row>
    <row r="998" spans="22:25" x14ac:dyDescent="0.2">
      <c r="V998"/>
      <c r="W998"/>
      <c r="X998" s="115"/>
      <c r="Y998"/>
    </row>
    <row r="999" spans="22:25" x14ac:dyDescent="0.2">
      <c r="V999"/>
      <c r="W999"/>
      <c r="X999" s="115"/>
      <c r="Y999"/>
    </row>
    <row r="1000" spans="22:25" x14ac:dyDescent="0.2">
      <c r="V1000"/>
      <c r="W1000"/>
      <c r="X1000" s="115"/>
      <c r="Y1000"/>
    </row>
  </sheetData>
  <phoneticPr fontId="1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1" r:id="rId3" name="Button 19">
              <controlPr defaultSize="0" print="0" autoFill="0" autoPict="0" macro="[0]!Module1.CrearTablaResumenConTotales" altText="Correr el código para habilitar la macros_x000a_">
                <anchor moveWithCells="1" sizeWithCells="1">
                  <from>
                    <xdr:col>3</xdr:col>
                    <xdr:colOff>1193800</xdr:colOff>
                    <xdr:row>2</xdr:row>
                    <xdr:rowOff>50800</xdr:rowOff>
                  </from>
                  <to>
                    <xdr:col>9</xdr:col>
                    <xdr:colOff>1231900</xdr:colOff>
                    <xdr:row>2</xdr:row>
                    <xdr:rowOff>723900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B77D-49AC-4843-B975-EC8D72F2269F}">
  <sheetPr codeName="Hoja9">
    <tabColor rgb="FF00B050"/>
  </sheetPr>
  <dimension ref="B1:P23"/>
  <sheetViews>
    <sheetView zoomScaleNormal="100" workbookViewId="0">
      <selection activeCell="B11" sqref="B11"/>
    </sheetView>
  </sheetViews>
  <sheetFormatPr baseColWidth="10" defaultColWidth="11.5" defaultRowHeight="15" x14ac:dyDescent="0.2"/>
  <cols>
    <col min="2" max="2" width="15.6640625" style="21" customWidth="1"/>
    <col min="3" max="3" width="12.6640625" style="116" customWidth="1"/>
    <col min="4" max="4" width="19.5" style="23" customWidth="1"/>
    <col min="5" max="5" width="28.5" style="116" customWidth="1"/>
    <col min="6" max="6" width="12.1640625" style="116" customWidth="1"/>
    <col min="7" max="7" width="17.83203125" style="21" customWidth="1"/>
    <col min="8" max="8" width="10.5" style="20" customWidth="1"/>
    <col min="9" max="9" width="10" style="117" customWidth="1"/>
    <col min="10" max="10" width="16.1640625" style="117" customWidth="1"/>
    <col min="11" max="11" width="15.1640625" style="117" customWidth="1"/>
    <col min="12" max="12" width="11.5" style="65"/>
    <col min="13" max="13" width="11.5" style="117"/>
    <col min="14" max="14" width="11.5" style="118"/>
  </cols>
  <sheetData>
    <row r="1" spans="2:16" x14ac:dyDescent="0.2">
      <c r="B1" s="32"/>
      <c r="C1" s="32"/>
      <c r="D1" s="32"/>
      <c r="E1"/>
      <c r="F1"/>
      <c r="G1"/>
      <c r="H1"/>
      <c r="I1"/>
      <c r="J1"/>
      <c r="K1"/>
      <c r="L1"/>
      <c r="M1"/>
      <c r="N1"/>
    </row>
    <row r="2" spans="2:16" x14ac:dyDescent="0.2">
      <c r="B2" s="32"/>
      <c r="C2" s="32"/>
      <c r="D2" s="32"/>
      <c r="E2"/>
      <c r="F2"/>
      <c r="G2"/>
      <c r="H2"/>
      <c r="I2"/>
      <c r="J2"/>
      <c r="K2"/>
      <c r="L2"/>
      <c r="M2"/>
      <c r="N2"/>
    </row>
    <row r="3" spans="2:16" x14ac:dyDescent="0.2">
      <c r="B3" s="33"/>
      <c r="C3" s="32"/>
      <c r="D3" s="32"/>
      <c r="E3"/>
      <c r="F3"/>
      <c r="G3"/>
      <c r="H3"/>
      <c r="I3"/>
      <c r="J3"/>
      <c r="K3"/>
      <c r="L3"/>
      <c r="M3"/>
      <c r="N3"/>
    </row>
    <row r="4" spans="2:16" x14ac:dyDescent="0.2">
      <c r="B4" s="32"/>
      <c r="C4" s="32"/>
      <c r="D4" s="34"/>
      <c r="E4"/>
      <c r="F4"/>
      <c r="G4"/>
      <c r="H4"/>
      <c r="I4"/>
      <c r="J4"/>
      <c r="K4"/>
      <c r="L4"/>
      <c r="M4"/>
      <c r="N4"/>
    </row>
    <row r="5" spans="2:16" x14ac:dyDescent="0.2">
      <c r="B5" s="96" t="s">
        <v>49</v>
      </c>
      <c r="C5" s="96" t="s">
        <v>49</v>
      </c>
      <c r="D5" s="96" t="s">
        <v>138</v>
      </c>
      <c r="E5" s="4" t="s">
        <v>138</v>
      </c>
      <c r="F5" s="4" t="s">
        <v>50</v>
      </c>
      <c r="G5" s="96" t="s">
        <v>49</v>
      </c>
      <c r="H5" s="96" t="s">
        <v>49</v>
      </c>
      <c r="I5" s="4" t="s">
        <v>50</v>
      </c>
      <c r="J5" s="4" t="s">
        <v>50</v>
      </c>
      <c r="K5" s="4" t="s">
        <v>50</v>
      </c>
      <c r="L5" s="4" t="s">
        <v>50</v>
      </c>
      <c r="M5" s="4" t="s">
        <v>50</v>
      </c>
      <c r="N5" s="4" t="s">
        <v>50</v>
      </c>
    </row>
    <row r="6" spans="2:16" ht="32" x14ac:dyDescent="0.2">
      <c r="B6" s="19" t="s">
        <v>37</v>
      </c>
      <c r="C6" s="19" t="s">
        <v>51</v>
      </c>
      <c r="D6" s="19" t="s">
        <v>47</v>
      </c>
      <c r="E6" s="19" t="s">
        <v>36</v>
      </c>
      <c r="F6" s="19" t="s">
        <v>115</v>
      </c>
      <c r="G6" s="19" t="s">
        <v>52</v>
      </c>
      <c r="H6" s="19" t="s">
        <v>53</v>
      </c>
      <c r="I6" s="29" t="s">
        <v>54</v>
      </c>
      <c r="J6" s="19" t="s">
        <v>55</v>
      </c>
      <c r="K6" s="19" t="s">
        <v>154</v>
      </c>
      <c r="L6" s="29" t="s">
        <v>56</v>
      </c>
      <c r="M6" s="19" t="s">
        <v>57</v>
      </c>
      <c r="N6" s="36" t="s">
        <v>58</v>
      </c>
    </row>
    <row r="7" spans="2:16" ht="66" customHeight="1" x14ac:dyDescent="0.2">
      <c r="B7" s="27" t="s">
        <v>46</v>
      </c>
      <c r="C7" s="20" t="s">
        <v>182</v>
      </c>
      <c r="D7" s="59" t="s">
        <v>189</v>
      </c>
      <c r="E7" s="31" t="s">
        <v>190</v>
      </c>
      <c r="F7" t="str">
        <f>_xlfn.XLOOKUP(Tabla2757[[#This Row],[Tipo de venta]],Tabla2329[Tipo de venta],Tabla2329[Moneda final], "Error - Seleccionar Tipo de Venta", 0,1)</f>
        <v>UF</v>
      </c>
      <c r="G7" s="20" t="s">
        <v>29</v>
      </c>
      <c r="H7" s="20" t="s">
        <v>25</v>
      </c>
      <c r="I7" s="30">
        <f>_xlfn.XLOOKUP(Tabla2757[[#This Row],[Puesto Encargado]], Tabla9[Puesto], Tabla9[Precio cliente],0,1,1)</f>
        <v>0.83333333333333337</v>
      </c>
      <c r="J7" s="30">
        <f>_xlfn.XLOOKUP(Tabla2757[[#This Row],[Cargo]], Tabla958[Cargos], Tabla958[Ponderador Precio],0,1,1)</f>
        <v>1</v>
      </c>
      <c r="K7" s="30">
        <f>Tabla2757[[#This Row],[Precio por hora UF]]*Tabla2757[[#This Row],[Ponderador]]</f>
        <v>0.83333333333333337</v>
      </c>
      <c r="L7" s="40">
        <v>8</v>
      </c>
      <c r="M7" s="30">
        <f>Tabla2757[[#This Row],[Precio por hora]]*Tabla2757[[#This Row],[Cantidad horas]]</f>
        <v>6.666666666666667</v>
      </c>
      <c r="N7" s="61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6.666666666666667</v>
      </c>
    </row>
    <row r="8" spans="2:16" ht="32" x14ac:dyDescent="0.2">
      <c r="B8" s="27" t="s">
        <v>46</v>
      </c>
      <c r="C8" s="20" t="s">
        <v>183</v>
      </c>
      <c r="D8" s="59" t="s">
        <v>189</v>
      </c>
      <c r="E8" s="31" t="s">
        <v>190</v>
      </c>
      <c r="F8" t="str">
        <f>_xlfn.XLOOKUP(Tabla2757[[#This Row],[Tipo de venta]],Tabla2329[Tipo de venta],Tabla2329[Moneda final], "Error - Seleccionar Tipo de Venta", 0,1)</f>
        <v>UF</v>
      </c>
      <c r="G8" s="20" t="s">
        <v>29</v>
      </c>
      <c r="H8" s="20" t="s">
        <v>25</v>
      </c>
      <c r="I8" s="30">
        <f>_xlfn.XLOOKUP(Tabla2757[[#This Row],[Puesto Encargado]], Tabla9[Puesto], Tabla9[Precio cliente],0,1,1)</f>
        <v>0.83333333333333337</v>
      </c>
      <c r="J8" s="30">
        <f>_xlfn.XLOOKUP(Tabla2757[[#This Row],[Cargo]], Tabla958[Cargos], Tabla958[Ponderador Precio],0,1,1)</f>
        <v>1</v>
      </c>
      <c r="K8" s="30">
        <f>Tabla2757[[#This Row],[Precio por hora UF]]*Tabla2757[[#This Row],[Ponderador]]</f>
        <v>0.83333333333333337</v>
      </c>
      <c r="L8" s="40">
        <v>14</v>
      </c>
      <c r="M8" s="30">
        <f>Tabla2757[[#This Row],[Precio por hora]]*Tabla2757[[#This Row],[Cantidad horas]]</f>
        <v>11.666666666666668</v>
      </c>
      <c r="N8" s="61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11.666666666666668</v>
      </c>
    </row>
    <row r="9" spans="2:16" ht="32" x14ac:dyDescent="0.2">
      <c r="B9" s="27" t="s">
        <v>46</v>
      </c>
      <c r="C9" s="20" t="s">
        <v>184</v>
      </c>
      <c r="D9" s="59" t="s">
        <v>189</v>
      </c>
      <c r="E9" s="31" t="s">
        <v>190</v>
      </c>
      <c r="F9" t="str">
        <f>_xlfn.XLOOKUP(Tabla2757[[#This Row],[Tipo de venta]],Tabla2329[Tipo de venta],Tabla2329[Moneda final], "Error - Seleccionar Tipo de Venta", 0,1)</f>
        <v>UF</v>
      </c>
      <c r="G9" s="20" t="s">
        <v>29</v>
      </c>
      <c r="H9" s="20" t="s">
        <v>25</v>
      </c>
      <c r="I9" s="30">
        <f>_xlfn.XLOOKUP(Tabla2757[[#This Row],[Puesto Encargado]], Tabla9[Puesto], Tabla9[Precio cliente],0,1,1)</f>
        <v>0.83333333333333337</v>
      </c>
      <c r="J9" s="30">
        <f>_xlfn.XLOOKUP(Tabla2757[[#This Row],[Cargo]], Tabla958[Cargos], Tabla958[Ponderador Precio],0,1,1)</f>
        <v>1</v>
      </c>
      <c r="K9" s="30">
        <f>Tabla2757[[#This Row],[Precio por hora UF]]*Tabla2757[[#This Row],[Ponderador]]</f>
        <v>0.83333333333333337</v>
      </c>
      <c r="L9" s="40">
        <v>10</v>
      </c>
      <c r="M9" s="30">
        <f>Tabla2757[[#This Row],[Precio por hora]]*Tabla2757[[#This Row],[Cantidad horas]]</f>
        <v>8.3333333333333339</v>
      </c>
      <c r="N9" s="62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8.3333333333333339</v>
      </c>
    </row>
    <row r="10" spans="2:16" ht="32" x14ac:dyDescent="0.2">
      <c r="B10" s="27" t="s">
        <v>46</v>
      </c>
      <c r="C10" s="20" t="s">
        <v>188</v>
      </c>
      <c r="D10" s="59" t="s">
        <v>189</v>
      </c>
      <c r="E10" s="31" t="s">
        <v>190</v>
      </c>
      <c r="F10" t="str">
        <f>_xlfn.XLOOKUP(Tabla2757[[#This Row],[Tipo de venta]],Tabla2329[Tipo de venta],Tabla2329[Moneda final], "Error - Seleccionar Tipo de Venta", 0,1)</f>
        <v>UF</v>
      </c>
      <c r="G10" s="20" t="s">
        <v>29</v>
      </c>
      <c r="H10" s="20" t="s">
        <v>25</v>
      </c>
      <c r="I10" s="30">
        <f>_xlfn.XLOOKUP(Tabla2757[[#This Row],[Puesto Encargado]], Tabla9[Puesto], Tabla9[Precio cliente],0,1,1)</f>
        <v>0.83333333333333337</v>
      </c>
      <c r="J10" s="30">
        <f>_xlfn.XLOOKUP(Tabla2757[[#This Row],[Cargo]], Tabla958[Cargos], Tabla958[Ponderador Precio],0,1,1)</f>
        <v>1</v>
      </c>
      <c r="K10" s="30">
        <f>Tabla2757[[#This Row],[Precio por hora UF]]*Tabla2757[[#This Row],[Ponderador]]</f>
        <v>0.83333333333333337</v>
      </c>
      <c r="L10" s="40">
        <v>8</v>
      </c>
      <c r="M10" s="30">
        <f>Tabla2757[[#This Row],[Precio por hora]]*Tabla2757[[#This Row],[Cantidad horas]]</f>
        <v>6.666666666666667</v>
      </c>
      <c r="N10" s="62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6.666666666666667</v>
      </c>
      <c r="P10" s="115" t="e">
        <f>N7+#REF!</f>
        <v>#REF!</v>
      </c>
    </row>
    <row r="11" spans="2:16" ht="16" x14ac:dyDescent="0.2">
      <c r="B11" s="27" t="s">
        <v>43</v>
      </c>
      <c r="C11" s="20" t="s">
        <v>185</v>
      </c>
      <c r="D11" s="23" t="s">
        <v>194</v>
      </c>
      <c r="E11" s="146" t="s">
        <v>196</v>
      </c>
      <c r="F11" t="str">
        <f>_xlfn.XLOOKUP(Tabla2757[[#This Row],[Tipo de venta]],Tabla2329[Tipo de venta],Tabla2329[Moneda final], "Error - Seleccionar Tipo de Venta", 0,1)</f>
        <v>USD</v>
      </c>
      <c r="G11" s="20" t="s">
        <v>32</v>
      </c>
      <c r="H11" s="20" t="s">
        <v>28</v>
      </c>
      <c r="I11" s="30">
        <f>_xlfn.XLOOKUP(Tabla2757[[#This Row],[Puesto Encargado]], Tabla9[Puesto], Tabla9[Precio cliente],0,1,1)</f>
        <v>0.5</v>
      </c>
      <c r="J11" s="30">
        <f>_xlfn.XLOOKUP(Tabla2757[[#This Row],[Cargo]], Tabla958[Cargos], Tabla958[Ponderador Precio],0,1,1)</f>
        <v>1.5</v>
      </c>
      <c r="K11" s="30">
        <f>Tabla2757[[#This Row],[Precio por hora UF]]*Tabla2757[[#This Row],[Ponderador]]</f>
        <v>0.75</v>
      </c>
      <c r="L11" s="40">
        <v>20</v>
      </c>
      <c r="M11" s="30">
        <f>Tabla2757[[#This Row],[Precio por hora]]*Tabla2757[[#This Row],[Cantidad horas]]</f>
        <v>15</v>
      </c>
      <c r="N11" s="62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606.46105263157892</v>
      </c>
    </row>
    <row r="12" spans="2:16" ht="16" x14ac:dyDescent="0.2">
      <c r="B12" s="27" t="s">
        <v>99</v>
      </c>
      <c r="C12" s="20" t="s">
        <v>185</v>
      </c>
      <c r="D12" s="23" t="s">
        <v>195</v>
      </c>
      <c r="E12" s="146" t="s">
        <v>197</v>
      </c>
      <c r="F12" s="20" t="str">
        <f>_xlfn.XLOOKUP(Tabla2757[[#This Row],[Tipo de venta]],Tabla2329[Tipo de venta],Tabla2329[Moneda final], "Error - Seleccionar Tipo de Venta", 0,1)</f>
        <v>CLP</v>
      </c>
      <c r="G12" s="21" t="s">
        <v>29</v>
      </c>
      <c r="H12" s="21" t="s">
        <v>25</v>
      </c>
      <c r="I12" s="30">
        <f>_xlfn.XLOOKUP(Tabla2757[[#This Row],[Puesto Encargado]], Tabla9[Puesto], Tabla9[Precio cliente],0,1,1)</f>
        <v>0.83333333333333337</v>
      </c>
      <c r="J12" s="30">
        <f>_xlfn.XLOOKUP(Tabla2757[[#This Row],[Cargo]], Tabla958[Cargos], Tabla958[Ponderador Precio],0,1,1)</f>
        <v>1</v>
      </c>
      <c r="K12" s="30">
        <f>Tabla2757[[#This Row],[Precio por hora UF]]*Tabla2757[[#This Row],[Ponderador]]</f>
        <v>0.83333333333333337</v>
      </c>
      <c r="L12" s="40">
        <v>20</v>
      </c>
      <c r="M12" s="30">
        <f>Tabla2757[[#This Row],[Precio por hora]]*Tabla2757[[#This Row],[Cantidad horas]]</f>
        <v>16.666666666666668</v>
      </c>
      <c r="N12" s="118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640153.33333333337</v>
      </c>
    </row>
    <row r="23" spans="5:5" x14ac:dyDescent="0.2">
      <c r="E23" s="144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46E6B2C-48B8-45CD-B1F9-964DCCC3616C}">
          <x14:formula1>
            <xm:f>'Datos generales'!$B$8:$B$10</xm:f>
          </x14:formula1>
          <xm:sqref>B3</xm:sqref>
        </x14:dataValidation>
        <x14:dataValidation type="list" allowBlank="1" showInputMessage="1" showErrorMessage="1" xr:uid="{A7008E57-0800-47FA-B0F0-07FCFC13174C}">
          <x14:formula1>
            <xm:f>'Datos generales'!$M$8:$M$1048576</xm:f>
          </x14:formula1>
          <xm:sqref>G7:G12</xm:sqref>
        </x14:dataValidation>
        <x14:dataValidation type="list" allowBlank="1" showInputMessage="1" showErrorMessage="1" xr:uid="{93465AEA-81E5-43DF-A490-FD4163C44584}">
          <x14:formula1>
            <xm:f>'Datos generales'!$J$8:$J$1048576</xm:f>
          </x14:formula1>
          <xm:sqref>H7:H12</xm:sqref>
        </x14:dataValidation>
        <x14:dataValidation type="list" allowBlank="1" showInputMessage="1" showErrorMessage="1" xr:uid="{FD3B6C4F-A24D-4888-8F37-673D4ED8C92E}">
          <x14:formula1>
            <xm:f>'Datos proyecto'!$I$9:$I$1048576</xm:f>
          </x14:formula1>
          <xm:sqref>B7:B12</xm:sqref>
        </x14:dataValidation>
        <x14:dataValidation type="list" allowBlank="1" showInputMessage="1" showErrorMessage="1" xr:uid="{D963B687-010E-4EF5-820E-46B4DA572296}">
          <x14:formula1>
            <xm:f>'Datos proyecto'!$F$9:$F$1048576</xm:f>
          </x14:formula1>
          <xm:sqref>C7:C12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7DAEE-3CE5-4A1E-BCF3-4253B7319073}">
  <sheetPr codeName="Hoja10">
    <tabColor rgb="FF00B050"/>
  </sheetPr>
  <dimension ref="A1:N80"/>
  <sheetViews>
    <sheetView zoomScaleNormal="100" workbookViewId="0">
      <selection activeCell="M14" sqref="M14"/>
    </sheetView>
  </sheetViews>
  <sheetFormatPr baseColWidth="10" defaultColWidth="11.5" defaultRowHeight="15" x14ac:dyDescent="0.2"/>
  <cols>
    <col min="2" max="2" width="20.6640625" customWidth="1"/>
    <col min="3" max="3" width="20.83203125" customWidth="1"/>
    <col min="4" max="4" width="19.5" customWidth="1"/>
    <col min="5" max="5" width="28.5" customWidth="1"/>
    <col min="6" max="6" width="13.33203125" customWidth="1"/>
    <col min="7" max="7" width="17.83203125" customWidth="1"/>
    <col min="8" max="8" width="10.5" customWidth="1"/>
    <col min="9" max="9" width="10" customWidth="1"/>
    <col min="10" max="10" width="16.1640625" customWidth="1"/>
    <col min="11" max="11" width="15.1640625" customWidth="1"/>
  </cols>
  <sheetData>
    <row r="1" spans="1:14" x14ac:dyDescent="0.2">
      <c r="B1" t="s">
        <v>107</v>
      </c>
      <c r="C1" t="s">
        <v>36</v>
      </c>
      <c r="D1" t="s">
        <v>141</v>
      </c>
      <c r="E1" t="s">
        <v>145</v>
      </c>
      <c r="F1" t="s">
        <v>148</v>
      </c>
    </row>
    <row r="2" spans="1:14" ht="32" x14ac:dyDescent="0.2">
      <c r="B2" s="1" t="s">
        <v>140</v>
      </c>
      <c r="C2" s="1" t="s">
        <v>142</v>
      </c>
      <c r="D2" s="1">
        <v>2</v>
      </c>
      <c r="E2" s="1" t="s">
        <v>146</v>
      </c>
      <c r="F2" s="1" t="s">
        <v>146</v>
      </c>
      <c r="H2" s="159" t="s">
        <v>153</v>
      </c>
      <c r="I2" s="159"/>
      <c r="J2" s="159"/>
      <c r="K2" s="159"/>
    </row>
    <row r="3" spans="1:14" ht="32" x14ac:dyDescent="0.2">
      <c r="B3" s="1" t="s">
        <v>139</v>
      </c>
      <c r="C3" s="1" t="s">
        <v>143</v>
      </c>
      <c r="D3" s="1">
        <v>3</v>
      </c>
      <c r="E3" s="1" t="s">
        <v>146</v>
      </c>
      <c r="F3" s="1" t="s">
        <v>146</v>
      </c>
      <c r="H3" s="159"/>
      <c r="I3" s="159"/>
      <c r="J3" s="159"/>
      <c r="K3" s="159"/>
    </row>
    <row r="4" spans="1:14" ht="32" x14ac:dyDescent="0.2">
      <c r="B4" s="1" t="s">
        <v>135</v>
      </c>
      <c r="C4" s="1" t="s">
        <v>150</v>
      </c>
      <c r="D4" s="1">
        <f>(D3-1)*D2</f>
        <v>4</v>
      </c>
      <c r="E4" s="1">
        <f>_xlfn.XLOOKUP(Tabla3[[#This Row],[Columna1]], Tabla919[Tipo de viático], Tabla919[Costo UF], "Error", 0, 1)</f>
        <v>1.79</v>
      </c>
      <c r="F4" s="1">
        <f>Tabla3[[#This Row],[Costo unitario]]*Tabla3[[#This Row],[Cantidad/tipo]]</f>
        <v>7.16</v>
      </c>
      <c r="H4" s="159"/>
      <c r="I4" s="159"/>
      <c r="J4" s="159"/>
      <c r="K4" s="159"/>
    </row>
    <row r="5" spans="1:14" ht="32" x14ac:dyDescent="0.2">
      <c r="B5" s="1" t="s">
        <v>44</v>
      </c>
      <c r="C5" s="1" t="s">
        <v>144</v>
      </c>
      <c r="D5" s="1">
        <f>D3*D2</f>
        <v>6</v>
      </c>
      <c r="E5" s="1">
        <f>_xlfn.XLOOKUP(Tabla3[[#This Row],[Columna1]], Tabla919[Tipo de viático], Tabla919[Costo UF], "Error", 0, 1)</f>
        <v>2</v>
      </c>
      <c r="F5" s="1">
        <f>Tabla3[[#This Row],[Costo unitario]]*Tabla3[[#This Row],[Cantidad/tipo]]</f>
        <v>12</v>
      </c>
      <c r="H5" s="159"/>
      <c r="I5" s="159"/>
      <c r="J5" s="159"/>
      <c r="K5" s="159"/>
    </row>
    <row r="6" spans="1:14" x14ac:dyDescent="0.2">
      <c r="B6" s="7"/>
      <c r="C6" s="7"/>
      <c r="D6" s="97"/>
    </row>
    <row r="7" spans="1:14" x14ac:dyDescent="0.2">
      <c r="B7" s="96" t="s">
        <v>49</v>
      </c>
      <c r="C7" s="96" t="s">
        <v>49</v>
      </c>
      <c r="D7" s="96" t="s">
        <v>138</v>
      </c>
      <c r="E7" s="96" t="s">
        <v>138</v>
      </c>
      <c r="F7" s="4" t="s">
        <v>50</v>
      </c>
      <c r="G7" s="96" t="s">
        <v>138</v>
      </c>
      <c r="H7" s="96" t="s">
        <v>138</v>
      </c>
      <c r="I7" s="96" t="s">
        <v>138</v>
      </c>
      <c r="J7" s="96" t="s">
        <v>138</v>
      </c>
      <c r="K7" s="4" t="s">
        <v>50</v>
      </c>
    </row>
    <row r="8" spans="1:14" ht="32" x14ac:dyDescent="0.2">
      <c r="B8" s="19" t="s">
        <v>37</v>
      </c>
      <c r="C8" s="19" t="s">
        <v>51</v>
      </c>
      <c r="D8" s="19" t="s">
        <v>47</v>
      </c>
      <c r="E8" s="19" t="s">
        <v>36</v>
      </c>
      <c r="F8" s="29" t="s">
        <v>115</v>
      </c>
      <c r="G8" s="29" t="s">
        <v>151</v>
      </c>
      <c r="H8" s="29" t="s">
        <v>22</v>
      </c>
      <c r="I8" s="29" t="s">
        <v>152</v>
      </c>
      <c r="J8" s="19" t="s">
        <v>104</v>
      </c>
      <c r="K8" s="19" t="s">
        <v>73</v>
      </c>
    </row>
    <row r="9" spans="1:14" ht="47.5" customHeight="1" x14ac:dyDescent="0.2">
      <c r="A9" s="101" t="s">
        <v>149</v>
      </c>
      <c r="B9" s="98" t="s">
        <v>198</v>
      </c>
      <c r="C9" s="48" t="s">
        <v>185</v>
      </c>
      <c r="D9" s="59" t="s">
        <v>200</v>
      </c>
      <c r="E9" s="59" t="s">
        <v>201</v>
      </c>
      <c r="F9" s="70" t="str">
        <f>_xlfn.XLOOKUP(Tabla27573[[#This Row],[Tipo de venta]],Tabla2329[Tipo de venta],Tabla2329[Moneda final], "Error - Seleccionar Tipo de Venta", 0,1)</f>
        <v>CLP</v>
      </c>
      <c r="G9" s="35">
        <v>1</v>
      </c>
      <c r="H9" s="102">
        <v>0.5</v>
      </c>
      <c r="I9" s="103">
        <f>Tabla27573[[#This Row],[Costo Unitario CLP]]/(1-Tabla27573[[#This Row],[Margen]])</f>
        <v>2</v>
      </c>
      <c r="J9" s="100">
        <v>5</v>
      </c>
      <c r="K9" s="104">
        <f>Tabla27573[[#This Row],[Cantidad]]*Tabla27573[[#This Row],[Precio Unitario]]</f>
        <v>10</v>
      </c>
      <c r="N9" s="3"/>
    </row>
    <row r="10" spans="1:14" x14ac:dyDescent="0.2">
      <c r="A10" s="101" t="s">
        <v>149</v>
      </c>
      <c r="B10" s="98"/>
      <c r="C10" s="48"/>
      <c r="D10" s="23"/>
      <c r="E10" s="48"/>
      <c r="F10" s="99" t="str">
        <f>_xlfn.XLOOKUP(Tabla27573[[#This Row],[Tipo de venta]],Tabla2329[Tipo de venta],Tabla2329[Moneda final], "Error - Seleccionar Tipo de Venta", 0,1)</f>
        <v>Error - Seleccionar Tipo de Venta</v>
      </c>
      <c r="G10" s="35"/>
      <c r="H10" s="102"/>
      <c r="I10" s="103">
        <f>Tabla27573[[#This Row],[Costo Unitario CLP]]/(1-Tabla27573[[#This Row],[Margen]])</f>
        <v>0</v>
      </c>
      <c r="J10" s="100"/>
      <c r="K10" s="104">
        <f>Tabla27573[[#This Row],[Cantidad]]*Tabla27573[[#This Row],[Precio Unitario]]</f>
        <v>0</v>
      </c>
      <c r="M10" s="3"/>
    </row>
    <row r="11" spans="1:14" x14ac:dyDescent="0.2">
      <c r="B11" s="98"/>
      <c r="C11" s="48"/>
      <c r="D11" s="23"/>
      <c r="E11" s="48"/>
      <c r="F11" s="99" t="str">
        <f>_xlfn.XLOOKUP(Tabla27573[[#This Row],[Tipo de venta]],Tabla2329[Tipo de venta],Tabla2329[Moneda final], "Error - Seleccionar Tipo de Venta", 0,1)</f>
        <v>Error - Seleccionar Tipo de Venta</v>
      </c>
      <c r="G11" s="35"/>
      <c r="H11" s="102"/>
      <c r="I11" s="103">
        <f>Tabla27573[[#This Row],[Costo Unitario CLP]]/(1-Tabla27573[[#This Row],[Margen]])</f>
        <v>0</v>
      </c>
      <c r="J11" s="100"/>
      <c r="K11" s="104">
        <f>Tabla27573[[#This Row],[Cantidad]]*Tabla27573[[#This Row],[Precio Unitario]]</f>
        <v>0</v>
      </c>
    </row>
    <row r="12" spans="1:14" x14ac:dyDescent="0.2">
      <c r="B12" s="98"/>
      <c r="C12" s="48"/>
      <c r="D12" s="23"/>
      <c r="E12" s="48"/>
      <c r="F12" s="99" t="str">
        <f>_xlfn.XLOOKUP(Tabla27573[[#This Row],[Tipo de venta]],Tabla2329[Tipo de venta],Tabla2329[Moneda final], "Error - Seleccionar Tipo de Venta", 0,1)</f>
        <v>Error - Seleccionar Tipo de Venta</v>
      </c>
      <c r="G12" s="35"/>
      <c r="H12" s="102"/>
      <c r="I12" s="103">
        <f>Tabla27573[[#This Row],[Costo Unitario CLP]]/(1-Tabla27573[[#This Row],[Margen]])</f>
        <v>0</v>
      </c>
      <c r="J12" s="100"/>
      <c r="K12" s="104">
        <f>Tabla27573[[#This Row],[Cantidad]]*Tabla27573[[#This Row],[Precio Unitario]]</f>
        <v>0</v>
      </c>
    </row>
    <row r="13" spans="1:14" x14ac:dyDescent="0.2">
      <c r="B13" s="98"/>
      <c r="C13" s="48"/>
      <c r="D13" s="23"/>
      <c r="E13" s="48"/>
      <c r="F13" s="99" t="str">
        <f>_xlfn.XLOOKUP(Tabla27573[[#This Row],[Tipo de venta]],Tabla2329[Tipo de venta],Tabla2329[Moneda final], "Error - Seleccionar Tipo de Venta", 0,1)</f>
        <v>Error - Seleccionar Tipo de Venta</v>
      </c>
      <c r="G13" s="35"/>
      <c r="H13" s="102"/>
      <c r="I13" s="103">
        <f>Tabla27573[[#This Row],[Costo Unitario CLP]]/(1-Tabla27573[[#This Row],[Margen]])</f>
        <v>0</v>
      </c>
      <c r="J13" s="100"/>
      <c r="K13" s="104">
        <f>Tabla27573[[#This Row],[Cantidad]]*Tabla27573[[#This Row],[Precio Unitario]]</f>
        <v>0</v>
      </c>
    </row>
    <row r="14" spans="1:14" x14ac:dyDescent="0.2">
      <c r="B14" s="98"/>
      <c r="C14" s="48"/>
      <c r="D14" s="23"/>
      <c r="E14" s="48"/>
      <c r="F14" s="99" t="str">
        <f>_xlfn.XLOOKUP(Tabla27573[[#This Row],[Tipo de venta]],Tabla2329[Tipo de venta],Tabla2329[Moneda final], "Error - Seleccionar Tipo de Venta", 0,1)</f>
        <v>Error - Seleccionar Tipo de Venta</v>
      </c>
      <c r="G14" s="35"/>
      <c r="H14" s="102"/>
      <c r="I14" s="103">
        <f>Tabla27573[[#This Row],[Costo Unitario CLP]]/(1-Tabla27573[[#This Row],[Margen]])</f>
        <v>0</v>
      </c>
      <c r="J14" s="100"/>
      <c r="K14" s="104">
        <f>Tabla27573[[#This Row],[Cantidad]]*Tabla27573[[#This Row],[Precio Unitario]]</f>
        <v>0</v>
      </c>
    </row>
    <row r="15" spans="1:14" x14ac:dyDescent="0.2">
      <c r="B15" s="98"/>
      <c r="C15" s="48"/>
      <c r="D15" s="23"/>
      <c r="E15" s="48"/>
      <c r="F15" s="99" t="str">
        <f>_xlfn.XLOOKUP(Tabla27573[[#This Row],[Tipo de venta]],Tabla2329[Tipo de venta],Tabla2329[Moneda final], "Error - Seleccionar Tipo de Venta", 0,1)</f>
        <v>Error - Seleccionar Tipo de Venta</v>
      </c>
      <c r="G15" s="35"/>
      <c r="H15" s="102"/>
      <c r="I15" s="103">
        <f>Tabla27573[[#This Row],[Costo Unitario CLP]]/(1-Tabla27573[[#This Row],[Margen]])</f>
        <v>0</v>
      </c>
      <c r="J15" s="100"/>
      <c r="K15" s="104">
        <f>Tabla27573[[#This Row],[Cantidad]]*Tabla27573[[#This Row],[Precio Unitario]]</f>
        <v>0</v>
      </c>
    </row>
    <row r="16" spans="1:14" x14ac:dyDescent="0.2">
      <c r="B16" s="98"/>
      <c r="C16" s="48"/>
      <c r="D16" s="23"/>
      <c r="E16" s="48"/>
      <c r="F16" s="99" t="str">
        <f>_xlfn.XLOOKUP(Tabla27573[[#This Row],[Tipo de venta]],Tabla2329[Tipo de venta],Tabla2329[Moneda final], "Error - Seleccionar Tipo de Venta", 0,1)</f>
        <v>Error - Seleccionar Tipo de Venta</v>
      </c>
      <c r="G16" s="35"/>
      <c r="H16" s="102"/>
      <c r="I16" s="103">
        <f>Tabla27573[[#This Row],[Costo Unitario CLP]]/(1-Tabla27573[[#This Row],[Margen]])</f>
        <v>0</v>
      </c>
      <c r="J16" s="100"/>
      <c r="K16" s="104">
        <f>Tabla27573[[#This Row],[Cantidad]]*Tabla27573[[#This Row],[Precio Unitario]]</f>
        <v>0</v>
      </c>
    </row>
    <row r="17" spans="2:11" x14ac:dyDescent="0.2">
      <c r="B17" s="98"/>
      <c r="C17" s="48"/>
      <c r="D17" s="23"/>
      <c r="E17" s="48"/>
      <c r="F17" s="99" t="str">
        <f>_xlfn.XLOOKUP(Tabla27573[[#This Row],[Tipo de venta]],Tabla2329[Tipo de venta],Tabla2329[Moneda final], "Error - Seleccionar Tipo de Venta", 0,1)</f>
        <v>Error - Seleccionar Tipo de Venta</v>
      </c>
      <c r="G17" s="35"/>
      <c r="H17" s="102"/>
      <c r="I17" s="103">
        <f>Tabla27573[[#This Row],[Costo Unitario CLP]]/(1-Tabla27573[[#This Row],[Margen]])</f>
        <v>0</v>
      </c>
      <c r="J17" s="100"/>
      <c r="K17" s="104">
        <f>Tabla27573[[#This Row],[Cantidad]]*Tabla27573[[#This Row],[Precio Unitario]]</f>
        <v>0</v>
      </c>
    </row>
    <row r="18" spans="2:11" x14ac:dyDescent="0.2">
      <c r="B18" s="98"/>
      <c r="C18" s="48"/>
      <c r="D18" s="23"/>
      <c r="E18" s="48"/>
      <c r="F18" s="99" t="str">
        <f>_xlfn.XLOOKUP(Tabla27573[[#This Row],[Tipo de venta]],Tabla2329[Tipo de venta],Tabla2329[Moneda final], "Error - Seleccionar Tipo de Venta", 0,1)</f>
        <v>Error - Seleccionar Tipo de Venta</v>
      </c>
      <c r="G18" s="35"/>
      <c r="H18" s="102"/>
      <c r="I18" s="103">
        <f>Tabla27573[[#This Row],[Costo Unitario CLP]]/(1-Tabla27573[[#This Row],[Margen]])</f>
        <v>0</v>
      </c>
      <c r="J18" s="100"/>
      <c r="K18" s="104">
        <f>Tabla27573[[#This Row],[Cantidad]]*Tabla27573[[#This Row],[Precio Unitario]]</f>
        <v>0</v>
      </c>
    </row>
    <row r="19" spans="2:11" x14ac:dyDescent="0.2">
      <c r="B19" s="98"/>
      <c r="C19" s="48"/>
      <c r="D19" s="23"/>
      <c r="E19" s="48"/>
      <c r="F19" s="99" t="str">
        <f>_xlfn.XLOOKUP(Tabla27573[[#This Row],[Tipo de venta]],Tabla2329[Tipo de venta],Tabla2329[Moneda final], "Error - Seleccionar Tipo de Venta", 0,1)</f>
        <v>Error - Seleccionar Tipo de Venta</v>
      </c>
      <c r="G19" s="35"/>
      <c r="H19" s="102"/>
      <c r="I19" s="103">
        <f>Tabla27573[[#This Row],[Costo Unitario CLP]]/(1-Tabla27573[[#This Row],[Margen]])</f>
        <v>0</v>
      </c>
      <c r="J19" s="100"/>
      <c r="K19" s="104">
        <f>Tabla27573[[#This Row],[Cantidad]]*Tabla27573[[#This Row],[Precio Unitario]]</f>
        <v>0</v>
      </c>
    </row>
    <row r="20" spans="2:11" x14ac:dyDescent="0.2">
      <c r="B20" s="98"/>
      <c r="C20" s="48"/>
      <c r="D20" s="23"/>
      <c r="E20" s="48"/>
      <c r="F20" s="99" t="str">
        <f>_xlfn.XLOOKUP(Tabla27573[[#This Row],[Tipo de venta]],Tabla2329[Tipo de venta],Tabla2329[Moneda final], "Error - Seleccionar Tipo de Venta", 0,1)</f>
        <v>Error - Seleccionar Tipo de Venta</v>
      </c>
      <c r="G20" s="35"/>
      <c r="H20" s="102"/>
      <c r="I20" s="103">
        <f>Tabla27573[[#This Row],[Costo Unitario CLP]]/(1-Tabla27573[[#This Row],[Margen]])</f>
        <v>0</v>
      </c>
      <c r="J20" s="100"/>
      <c r="K20" s="104">
        <f>Tabla27573[[#This Row],[Cantidad]]*Tabla27573[[#This Row],[Precio Unitario]]</f>
        <v>0</v>
      </c>
    </row>
    <row r="21" spans="2:11" x14ac:dyDescent="0.2">
      <c r="B21" s="98"/>
      <c r="C21" s="48"/>
      <c r="D21" s="23"/>
      <c r="E21" s="48"/>
      <c r="F21" s="99" t="str">
        <f>_xlfn.XLOOKUP(Tabla27573[[#This Row],[Tipo de venta]],Tabla2329[Tipo de venta],Tabla2329[Moneda final], "Error - Seleccionar Tipo de Venta", 0,1)</f>
        <v>Error - Seleccionar Tipo de Venta</v>
      </c>
      <c r="G21" s="35"/>
      <c r="H21" s="102"/>
      <c r="I21" s="103">
        <f>Tabla27573[[#This Row],[Costo Unitario CLP]]/(1-Tabla27573[[#This Row],[Margen]])</f>
        <v>0</v>
      </c>
      <c r="J21" s="100"/>
      <c r="K21" s="104">
        <f>Tabla27573[[#This Row],[Cantidad]]*Tabla27573[[#This Row],[Precio Unitario]]</f>
        <v>0</v>
      </c>
    </row>
    <row r="22" spans="2:11" x14ac:dyDescent="0.2">
      <c r="B22" s="98"/>
      <c r="C22" s="48"/>
      <c r="D22" s="23"/>
      <c r="E22" s="48"/>
      <c r="F22" s="99" t="str">
        <f>_xlfn.XLOOKUP(Tabla27573[[#This Row],[Tipo de venta]],Tabla2329[Tipo de venta],Tabla2329[Moneda final], "Error - Seleccionar Tipo de Venta", 0,1)</f>
        <v>Error - Seleccionar Tipo de Venta</v>
      </c>
      <c r="G22" s="35"/>
      <c r="H22" s="102"/>
      <c r="I22" s="103">
        <f>Tabla27573[[#This Row],[Costo Unitario CLP]]/(1-Tabla27573[[#This Row],[Margen]])</f>
        <v>0</v>
      </c>
      <c r="J22" s="100"/>
      <c r="K22" s="104">
        <f>Tabla27573[[#This Row],[Cantidad]]*Tabla27573[[#This Row],[Precio Unitario]]</f>
        <v>0</v>
      </c>
    </row>
    <row r="23" spans="2:11" x14ac:dyDescent="0.2">
      <c r="B23" s="98"/>
      <c r="C23" s="48"/>
      <c r="D23" s="23"/>
      <c r="E23" s="48"/>
      <c r="F23" s="99" t="str">
        <f>_xlfn.XLOOKUP(Tabla27573[[#This Row],[Tipo de venta]],Tabla2329[Tipo de venta],Tabla2329[Moneda final], "Error - Seleccionar Tipo de Venta", 0,1)</f>
        <v>Error - Seleccionar Tipo de Venta</v>
      </c>
      <c r="G23" s="35"/>
      <c r="H23" s="102"/>
      <c r="I23" s="103">
        <f>Tabla27573[[#This Row],[Costo Unitario CLP]]/(1-Tabla27573[[#This Row],[Margen]])</f>
        <v>0</v>
      </c>
      <c r="J23" s="100"/>
      <c r="K23" s="104">
        <f>Tabla27573[[#This Row],[Cantidad]]*Tabla27573[[#This Row],[Precio Unitario]]</f>
        <v>0</v>
      </c>
    </row>
    <row r="24" spans="2:11" x14ac:dyDescent="0.2">
      <c r="B24" s="98"/>
      <c r="C24" s="48"/>
      <c r="D24" s="23"/>
      <c r="E24" s="48"/>
      <c r="F24" s="99" t="str">
        <f>_xlfn.XLOOKUP(Tabla27573[[#This Row],[Tipo de venta]],Tabla2329[Tipo de venta],Tabla2329[Moneda final], "Error - Seleccionar Tipo de Venta", 0,1)</f>
        <v>Error - Seleccionar Tipo de Venta</v>
      </c>
      <c r="G24" s="35"/>
      <c r="H24" s="102"/>
      <c r="I24" s="103">
        <f>Tabla27573[[#This Row],[Costo Unitario CLP]]/(1-Tabla27573[[#This Row],[Margen]])</f>
        <v>0</v>
      </c>
      <c r="J24" s="100"/>
      <c r="K24" s="104">
        <f>Tabla27573[[#This Row],[Cantidad]]*Tabla27573[[#This Row],[Precio Unitario]]</f>
        <v>0</v>
      </c>
    </row>
    <row r="25" spans="2:11" x14ac:dyDescent="0.2">
      <c r="B25" s="98"/>
      <c r="C25" s="48"/>
      <c r="D25" s="23"/>
      <c r="E25" s="48"/>
      <c r="F25" s="99" t="str">
        <f>_xlfn.XLOOKUP(Tabla27573[[#This Row],[Tipo de venta]],Tabla2329[Tipo de venta],Tabla2329[Moneda final], "Error - Seleccionar Tipo de Venta", 0,1)</f>
        <v>Error - Seleccionar Tipo de Venta</v>
      </c>
      <c r="G25" s="35"/>
      <c r="H25" s="102"/>
      <c r="I25" s="103">
        <f>Tabla27573[[#This Row],[Costo Unitario CLP]]/(1-Tabla27573[[#This Row],[Margen]])</f>
        <v>0</v>
      </c>
      <c r="J25" s="100"/>
      <c r="K25" s="104">
        <f>Tabla27573[[#This Row],[Cantidad]]*Tabla27573[[#This Row],[Precio Unitario]]</f>
        <v>0</v>
      </c>
    </row>
    <row r="26" spans="2:11" x14ac:dyDescent="0.2">
      <c r="B26" s="98"/>
      <c r="C26" s="48"/>
      <c r="D26" s="23"/>
      <c r="E26" s="48"/>
      <c r="F26" s="99" t="str">
        <f>_xlfn.XLOOKUP(Tabla27573[[#This Row],[Tipo de venta]],Tabla2329[Tipo de venta],Tabla2329[Moneda final], "Error - Seleccionar Tipo de Venta", 0,1)</f>
        <v>Error - Seleccionar Tipo de Venta</v>
      </c>
      <c r="G26" s="35"/>
      <c r="H26" s="102"/>
      <c r="I26" s="103">
        <f>Tabla27573[[#This Row],[Costo Unitario CLP]]/(1-Tabla27573[[#This Row],[Margen]])</f>
        <v>0</v>
      </c>
      <c r="J26" s="100"/>
      <c r="K26" s="104">
        <f>Tabla27573[[#This Row],[Cantidad]]*Tabla27573[[#This Row],[Precio Unitario]]</f>
        <v>0</v>
      </c>
    </row>
    <row r="27" spans="2:11" x14ac:dyDescent="0.2">
      <c r="B27" s="98"/>
      <c r="C27" s="48"/>
      <c r="D27" s="23"/>
      <c r="E27" s="48"/>
      <c r="F27" s="99" t="str">
        <f>_xlfn.XLOOKUP(Tabla27573[[#This Row],[Tipo de venta]],Tabla2329[Tipo de venta],Tabla2329[Moneda final], "Error - Seleccionar Tipo de Venta", 0,1)</f>
        <v>Error - Seleccionar Tipo de Venta</v>
      </c>
      <c r="G27" s="35"/>
      <c r="H27" s="102"/>
      <c r="I27" s="103">
        <f>Tabla27573[[#This Row],[Costo Unitario CLP]]/(1-Tabla27573[[#This Row],[Margen]])</f>
        <v>0</v>
      </c>
      <c r="J27" s="100"/>
      <c r="K27" s="104">
        <f>Tabla27573[[#This Row],[Cantidad]]*Tabla27573[[#This Row],[Precio Unitario]]</f>
        <v>0</v>
      </c>
    </row>
    <row r="28" spans="2:11" x14ac:dyDescent="0.2">
      <c r="B28" s="98"/>
      <c r="C28" s="48"/>
      <c r="D28" s="48"/>
      <c r="E28" s="48"/>
      <c r="F28" s="99" t="str">
        <f>_xlfn.XLOOKUP(Tabla27573[[#This Row],[Tipo de venta]],Tabla2329[Tipo de venta],Tabla2329[Moneda final], "Error - Seleccionar Tipo de Venta", 0,1)</f>
        <v>Error - Seleccionar Tipo de Venta</v>
      </c>
      <c r="G28" s="35"/>
      <c r="H28" s="102"/>
      <c r="I28" s="103">
        <f>Tabla27573[[#This Row],[Costo Unitario CLP]]/(1-Tabla27573[[#This Row],[Margen]])</f>
        <v>0</v>
      </c>
      <c r="J28" s="100"/>
      <c r="K28" s="104">
        <f>Tabla27573[[#This Row],[Cantidad]]*Tabla27573[[#This Row],[Precio Unitario]]</f>
        <v>0</v>
      </c>
    </row>
    <row r="29" spans="2:11" x14ac:dyDescent="0.2">
      <c r="B29" s="98"/>
      <c r="C29" s="48"/>
      <c r="D29" s="23"/>
      <c r="E29" s="48"/>
      <c r="F29" s="48" t="str">
        <f>_xlfn.XLOOKUP(Tabla27573[[#This Row],[Tipo de venta]],Tabla2329[Tipo de venta],Tabla2329[Moneda final], "Error - Seleccionar Tipo de Venta", 0,1)</f>
        <v>Error - Seleccionar Tipo de Venta</v>
      </c>
      <c r="G29" s="35"/>
      <c r="H29" s="102"/>
      <c r="I29" s="103">
        <f>Tabla27573[[#This Row],[Costo Unitario CLP]]/(1-Tabla27573[[#This Row],[Margen]])</f>
        <v>0</v>
      </c>
      <c r="J29" s="100"/>
      <c r="K29" s="119">
        <f>Tabla27573[[#This Row],[Cantidad]]*Tabla27573[[#This Row],[Precio Unitario]]</f>
        <v>0</v>
      </c>
    </row>
    <row r="30" spans="2:11" x14ac:dyDescent="0.2">
      <c r="B30" s="98"/>
      <c r="C30" s="48"/>
      <c r="D30" s="23"/>
      <c r="E30" s="48"/>
      <c r="F30" s="48" t="str">
        <f>_xlfn.XLOOKUP(Tabla27573[[#This Row],[Tipo de venta]],Tabla2329[Tipo de venta],Tabla2329[Moneda final], "Error - Seleccionar Tipo de Venta", 0,1)</f>
        <v>Error - Seleccionar Tipo de Venta</v>
      </c>
      <c r="G30" s="35"/>
      <c r="H30" s="102"/>
      <c r="I30" s="103">
        <f>Tabla27573[[#This Row],[Costo Unitario CLP]]/(1-Tabla27573[[#This Row],[Margen]])</f>
        <v>0</v>
      </c>
      <c r="J30" s="100"/>
      <c r="K30" s="119">
        <f>Tabla27573[[#This Row],[Cantidad]]*Tabla27573[[#This Row],[Precio Unitario]]</f>
        <v>0</v>
      </c>
    </row>
    <row r="31" spans="2:11" x14ac:dyDescent="0.2">
      <c r="B31" s="98"/>
      <c r="C31" s="48"/>
      <c r="D31" s="23"/>
      <c r="E31" s="48"/>
      <c r="F31" s="48" t="str">
        <f>_xlfn.XLOOKUP(Tabla27573[[#This Row],[Tipo de venta]],Tabla2329[Tipo de venta],Tabla2329[Moneda final], "Error - Seleccionar Tipo de Venta", 0,1)</f>
        <v>Error - Seleccionar Tipo de Venta</v>
      </c>
      <c r="G31" s="35"/>
      <c r="H31" s="102"/>
      <c r="I31" s="103">
        <f>Tabla27573[[#This Row],[Costo Unitario CLP]]/(1-Tabla27573[[#This Row],[Margen]])</f>
        <v>0</v>
      </c>
      <c r="J31" s="100"/>
      <c r="K31" s="119">
        <f>Tabla27573[[#This Row],[Cantidad]]*Tabla27573[[#This Row],[Precio Unitario]]</f>
        <v>0</v>
      </c>
    </row>
    <row r="32" spans="2:11" x14ac:dyDescent="0.2">
      <c r="B32" s="98"/>
      <c r="C32" s="48"/>
      <c r="D32" s="23"/>
      <c r="E32" s="48"/>
      <c r="F32" s="48" t="str">
        <f>_xlfn.XLOOKUP(Tabla27573[[#This Row],[Tipo de venta]],Tabla2329[Tipo de venta],Tabla2329[Moneda final], "Error - Seleccionar Tipo de Venta", 0,1)</f>
        <v>Error - Seleccionar Tipo de Venta</v>
      </c>
      <c r="G32" s="35"/>
      <c r="H32" s="102"/>
      <c r="I32" s="103">
        <f>Tabla27573[[#This Row],[Costo Unitario CLP]]/(1-Tabla27573[[#This Row],[Margen]])</f>
        <v>0</v>
      </c>
      <c r="J32" s="100"/>
      <c r="K32" s="119">
        <f>Tabla27573[[#This Row],[Cantidad]]*Tabla27573[[#This Row],[Precio Unitario]]</f>
        <v>0</v>
      </c>
    </row>
    <row r="33" spans="2:11" x14ac:dyDescent="0.2">
      <c r="B33" s="98"/>
      <c r="C33" s="48"/>
      <c r="D33" s="23"/>
      <c r="E33" s="48"/>
      <c r="F33" s="48" t="str">
        <f>_xlfn.XLOOKUP(Tabla27573[[#This Row],[Tipo de venta]],Tabla2329[Tipo de venta],Tabla2329[Moneda final], "Error - Seleccionar Tipo de Venta", 0,1)</f>
        <v>Error - Seleccionar Tipo de Venta</v>
      </c>
      <c r="G33" s="35"/>
      <c r="H33" s="102"/>
      <c r="I33" s="103">
        <f>Tabla27573[[#This Row],[Costo Unitario CLP]]/(1-Tabla27573[[#This Row],[Margen]])</f>
        <v>0</v>
      </c>
      <c r="J33" s="100"/>
      <c r="K33" s="119">
        <f>Tabla27573[[#This Row],[Cantidad]]*Tabla27573[[#This Row],[Precio Unitario]]</f>
        <v>0</v>
      </c>
    </row>
    <row r="34" spans="2:11" x14ac:dyDescent="0.2">
      <c r="B34" s="98"/>
      <c r="C34" s="48"/>
      <c r="D34" s="23"/>
      <c r="E34" s="48"/>
      <c r="F34" s="48" t="str">
        <f>_xlfn.XLOOKUP(Tabla27573[[#This Row],[Tipo de venta]],Tabla2329[Tipo de venta],Tabla2329[Moneda final], "Error - Seleccionar Tipo de Venta", 0,1)</f>
        <v>Error - Seleccionar Tipo de Venta</v>
      </c>
      <c r="G34" s="35"/>
      <c r="H34" s="102"/>
      <c r="I34" s="103">
        <f>Tabla27573[[#This Row],[Costo Unitario CLP]]/(1-Tabla27573[[#This Row],[Margen]])</f>
        <v>0</v>
      </c>
      <c r="J34" s="100"/>
      <c r="K34" s="119">
        <f>Tabla27573[[#This Row],[Cantidad]]*Tabla27573[[#This Row],[Precio Unitario]]</f>
        <v>0</v>
      </c>
    </row>
    <row r="35" spans="2:11" x14ac:dyDescent="0.2">
      <c r="B35" s="98"/>
      <c r="C35" s="48"/>
      <c r="D35" s="23"/>
      <c r="E35" s="48"/>
      <c r="F35" s="48" t="str">
        <f>_xlfn.XLOOKUP(Tabla27573[[#This Row],[Tipo de venta]],Tabla2329[Tipo de venta],Tabla2329[Moneda final], "Error - Seleccionar Tipo de Venta", 0,1)</f>
        <v>Error - Seleccionar Tipo de Venta</v>
      </c>
      <c r="G35" s="35"/>
      <c r="H35" s="102"/>
      <c r="I35" s="103">
        <f>Tabla27573[[#This Row],[Costo Unitario CLP]]/(1-Tabla27573[[#This Row],[Margen]])</f>
        <v>0</v>
      </c>
      <c r="J35" s="100"/>
      <c r="K35" s="119">
        <f>Tabla27573[[#This Row],[Cantidad]]*Tabla27573[[#This Row],[Precio Unitario]]</f>
        <v>0</v>
      </c>
    </row>
    <row r="36" spans="2:11" x14ac:dyDescent="0.2">
      <c r="B36" s="98"/>
      <c r="C36" s="48"/>
      <c r="D36" s="23"/>
      <c r="E36" s="48"/>
      <c r="F36" s="48" t="str">
        <f>_xlfn.XLOOKUP(Tabla27573[[#This Row],[Tipo de venta]],Tabla2329[Tipo de venta],Tabla2329[Moneda final], "Error - Seleccionar Tipo de Venta", 0,1)</f>
        <v>Error - Seleccionar Tipo de Venta</v>
      </c>
      <c r="G36" s="35"/>
      <c r="H36" s="102"/>
      <c r="I36" s="103">
        <f>Tabla27573[[#This Row],[Costo Unitario CLP]]/(1-Tabla27573[[#This Row],[Margen]])</f>
        <v>0</v>
      </c>
      <c r="J36" s="100"/>
      <c r="K36" s="119">
        <f>Tabla27573[[#This Row],[Cantidad]]*Tabla27573[[#This Row],[Precio Unitario]]</f>
        <v>0</v>
      </c>
    </row>
    <row r="37" spans="2:11" x14ac:dyDescent="0.2">
      <c r="B37" s="98"/>
      <c r="C37" s="48"/>
      <c r="D37" s="23"/>
      <c r="E37" s="48"/>
      <c r="F37" s="48" t="str">
        <f>_xlfn.XLOOKUP(Tabla27573[[#This Row],[Tipo de venta]],Tabla2329[Tipo de venta],Tabla2329[Moneda final], "Error - Seleccionar Tipo de Venta", 0,1)</f>
        <v>Error - Seleccionar Tipo de Venta</v>
      </c>
      <c r="G37" s="35"/>
      <c r="H37" s="102"/>
      <c r="I37" s="103">
        <f>Tabla27573[[#This Row],[Costo Unitario CLP]]/(1-Tabla27573[[#This Row],[Margen]])</f>
        <v>0</v>
      </c>
      <c r="J37" s="100"/>
      <c r="K37" s="119">
        <f>Tabla27573[[#This Row],[Cantidad]]*Tabla27573[[#This Row],[Precio Unitario]]</f>
        <v>0</v>
      </c>
    </row>
    <row r="38" spans="2:11" x14ac:dyDescent="0.2">
      <c r="B38" s="98"/>
      <c r="C38" s="48"/>
      <c r="D38" s="23"/>
      <c r="E38" s="48"/>
      <c r="F38" s="48" t="str">
        <f>_xlfn.XLOOKUP(Tabla27573[[#This Row],[Tipo de venta]],Tabla2329[Tipo de venta],Tabla2329[Moneda final], "Error - Seleccionar Tipo de Venta", 0,1)</f>
        <v>Error - Seleccionar Tipo de Venta</v>
      </c>
      <c r="G38" s="35"/>
      <c r="H38" s="102"/>
      <c r="I38" s="103">
        <f>Tabla27573[[#This Row],[Costo Unitario CLP]]/(1-Tabla27573[[#This Row],[Margen]])</f>
        <v>0</v>
      </c>
      <c r="J38" s="100"/>
      <c r="K38" s="119">
        <f>Tabla27573[[#This Row],[Cantidad]]*Tabla27573[[#This Row],[Precio Unitario]]</f>
        <v>0</v>
      </c>
    </row>
    <row r="39" spans="2:11" x14ac:dyDescent="0.2">
      <c r="B39" s="98"/>
      <c r="C39" s="48"/>
      <c r="D39" s="23"/>
      <c r="E39" s="48"/>
      <c r="F39" s="48" t="str">
        <f>_xlfn.XLOOKUP(Tabla27573[[#This Row],[Tipo de venta]],Tabla2329[Tipo de venta],Tabla2329[Moneda final], "Error - Seleccionar Tipo de Venta", 0,1)</f>
        <v>Error - Seleccionar Tipo de Venta</v>
      </c>
      <c r="G39" s="35"/>
      <c r="H39" s="102"/>
      <c r="I39" s="103">
        <f>Tabla27573[[#This Row],[Costo Unitario CLP]]/(1-Tabla27573[[#This Row],[Margen]])</f>
        <v>0</v>
      </c>
      <c r="J39" s="100"/>
      <c r="K39" s="119">
        <f>Tabla27573[[#This Row],[Cantidad]]*Tabla27573[[#This Row],[Precio Unitario]]</f>
        <v>0</v>
      </c>
    </row>
    <row r="40" spans="2:11" x14ac:dyDescent="0.2">
      <c r="B40" s="98"/>
      <c r="C40" s="48"/>
      <c r="D40" s="23"/>
      <c r="E40" s="48"/>
      <c r="F40" s="48" t="str">
        <f>_xlfn.XLOOKUP(Tabla27573[[#This Row],[Tipo de venta]],Tabla2329[Tipo de venta],Tabla2329[Moneda final], "Error - Seleccionar Tipo de Venta", 0,1)</f>
        <v>Error - Seleccionar Tipo de Venta</v>
      </c>
      <c r="G40" s="35"/>
      <c r="H40" s="102"/>
      <c r="I40" s="103">
        <f>Tabla27573[[#This Row],[Costo Unitario CLP]]/(1-Tabla27573[[#This Row],[Margen]])</f>
        <v>0</v>
      </c>
      <c r="J40" s="100"/>
      <c r="K40" s="119">
        <f>Tabla27573[[#This Row],[Cantidad]]*Tabla27573[[#This Row],[Precio Unitario]]</f>
        <v>0</v>
      </c>
    </row>
    <row r="41" spans="2:11" x14ac:dyDescent="0.2">
      <c r="B41" s="98"/>
      <c r="C41" s="48"/>
      <c r="D41" s="23"/>
      <c r="E41" s="48"/>
      <c r="F41" s="48" t="str">
        <f>_xlfn.XLOOKUP(Tabla27573[[#This Row],[Tipo de venta]],Tabla2329[Tipo de venta],Tabla2329[Moneda final], "Error - Seleccionar Tipo de Venta", 0,1)</f>
        <v>Error - Seleccionar Tipo de Venta</v>
      </c>
      <c r="G41" s="35"/>
      <c r="H41" s="102"/>
      <c r="I41" s="103">
        <f>Tabla27573[[#This Row],[Costo Unitario CLP]]/(1-Tabla27573[[#This Row],[Margen]])</f>
        <v>0</v>
      </c>
      <c r="J41" s="100"/>
      <c r="K41" s="119">
        <f>Tabla27573[[#This Row],[Cantidad]]*Tabla27573[[#This Row],[Precio Unitario]]</f>
        <v>0</v>
      </c>
    </row>
    <row r="42" spans="2:11" x14ac:dyDescent="0.2">
      <c r="B42" s="98"/>
      <c r="C42" s="48"/>
      <c r="D42" s="23"/>
      <c r="E42" s="48"/>
      <c r="F42" s="48" t="str">
        <f>_xlfn.XLOOKUP(Tabla27573[[#This Row],[Tipo de venta]],Tabla2329[Tipo de venta],Tabla2329[Moneda final], "Error - Seleccionar Tipo de Venta", 0,1)</f>
        <v>Error - Seleccionar Tipo de Venta</v>
      </c>
      <c r="G42" s="35"/>
      <c r="H42" s="102"/>
      <c r="I42" s="103">
        <f>Tabla27573[[#This Row],[Costo Unitario CLP]]/(1-Tabla27573[[#This Row],[Margen]])</f>
        <v>0</v>
      </c>
      <c r="J42" s="100"/>
      <c r="K42" s="119">
        <f>Tabla27573[[#This Row],[Cantidad]]*Tabla27573[[#This Row],[Precio Unitario]]</f>
        <v>0</v>
      </c>
    </row>
    <row r="43" spans="2:11" x14ac:dyDescent="0.2">
      <c r="B43" s="98"/>
      <c r="C43" s="48"/>
      <c r="D43" s="23"/>
      <c r="E43" s="48"/>
      <c r="F43" s="48" t="str">
        <f>_xlfn.XLOOKUP(Tabla27573[[#This Row],[Tipo de venta]],Tabla2329[Tipo de venta],Tabla2329[Moneda final], "Error - Seleccionar Tipo de Venta", 0,1)</f>
        <v>Error - Seleccionar Tipo de Venta</v>
      </c>
      <c r="G43" s="35"/>
      <c r="H43" s="102"/>
      <c r="I43" s="103">
        <f>Tabla27573[[#This Row],[Costo Unitario CLP]]/(1-Tabla27573[[#This Row],[Margen]])</f>
        <v>0</v>
      </c>
      <c r="J43" s="100"/>
      <c r="K43" s="119">
        <f>Tabla27573[[#This Row],[Cantidad]]*Tabla27573[[#This Row],[Precio Unitario]]</f>
        <v>0</v>
      </c>
    </row>
    <row r="44" spans="2:11" x14ac:dyDescent="0.2">
      <c r="B44" s="98"/>
      <c r="C44" s="48"/>
      <c r="D44" s="23"/>
      <c r="E44" s="48"/>
      <c r="F44" s="48" t="str">
        <f>_xlfn.XLOOKUP(Tabla27573[[#This Row],[Tipo de venta]],Tabla2329[Tipo de venta],Tabla2329[Moneda final], "Error - Seleccionar Tipo de Venta", 0,1)</f>
        <v>Error - Seleccionar Tipo de Venta</v>
      </c>
      <c r="G44" s="35"/>
      <c r="H44" s="102"/>
      <c r="I44" s="103">
        <f>Tabla27573[[#This Row],[Costo Unitario CLP]]/(1-Tabla27573[[#This Row],[Margen]])</f>
        <v>0</v>
      </c>
      <c r="J44" s="100"/>
      <c r="K44" s="119">
        <f>Tabla27573[[#This Row],[Cantidad]]*Tabla27573[[#This Row],[Precio Unitario]]</f>
        <v>0</v>
      </c>
    </row>
    <row r="45" spans="2:11" x14ac:dyDescent="0.2">
      <c r="B45" s="98"/>
      <c r="C45" s="48"/>
      <c r="D45" s="23"/>
      <c r="E45" s="48"/>
      <c r="F45" s="48" t="str">
        <f>_xlfn.XLOOKUP(Tabla27573[[#This Row],[Tipo de venta]],Tabla2329[Tipo de venta],Tabla2329[Moneda final], "Error - Seleccionar Tipo de Venta", 0,1)</f>
        <v>Error - Seleccionar Tipo de Venta</v>
      </c>
      <c r="G45" s="35"/>
      <c r="H45" s="102"/>
      <c r="I45" s="103">
        <f>Tabla27573[[#This Row],[Costo Unitario CLP]]/(1-Tabla27573[[#This Row],[Margen]])</f>
        <v>0</v>
      </c>
      <c r="J45" s="100"/>
      <c r="K45" s="119">
        <f>Tabla27573[[#This Row],[Cantidad]]*Tabla27573[[#This Row],[Precio Unitario]]</f>
        <v>0</v>
      </c>
    </row>
    <row r="46" spans="2:11" x14ac:dyDescent="0.2">
      <c r="B46" s="98"/>
      <c r="C46" s="48"/>
      <c r="D46" s="23"/>
      <c r="E46" s="48"/>
      <c r="F46" s="48" t="str">
        <f>_xlfn.XLOOKUP(Tabla27573[[#This Row],[Tipo de venta]],Tabla2329[Tipo de venta],Tabla2329[Moneda final], "Error - Seleccionar Tipo de Venta", 0,1)</f>
        <v>Error - Seleccionar Tipo de Venta</v>
      </c>
      <c r="G46" s="35"/>
      <c r="H46" s="102"/>
      <c r="I46" s="103">
        <f>Tabla27573[[#This Row],[Costo Unitario CLP]]/(1-Tabla27573[[#This Row],[Margen]])</f>
        <v>0</v>
      </c>
      <c r="J46" s="100"/>
      <c r="K46" s="119">
        <f>Tabla27573[[#This Row],[Cantidad]]*Tabla27573[[#This Row],[Precio Unitario]]</f>
        <v>0</v>
      </c>
    </row>
    <row r="47" spans="2:11" x14ac:dyDescent="0.2">
      <c r="B47" s="98"/>
      <c r="C47" s="48"/>
      <c r="D47" s="23"/>
      <c r="E47" s="48"/>
      <c r="F47" s="48" t="str">
        <f>_xlfn.XLOOKUP(Tabla27573[[#This Row],[Tipo de venta]],Tabla2329[Tipo de venta],Tabla2329[Moneda final], "Error - Seleccionar Tipo de Venta", 0,1)</f>
        <v>Error - Seleccionar Tipo de Venta</v>
      </c>
      <c r="G47" s="35"/>
      <c r="H47" s="102"/>
      <c r="I47" s="103">
        <f>Tabla27573[[#This Row],[Costo Unitario CLP]]/(1-Tabla27573[[#This Row],[Margen]])</f>
        <v>0</v>
      </c>
      <c r="J47" s="100"/>
      <c r="K47" s="119">
        <f>Tabla27573[[#This Row],[Cantidad]]*Tabla27573[[#This Row],[Precio Unitario]]</f>
        <v>0</v>
      </c>
    </row>
    <row r="48" spans="2:11" x14ac:dyDescent="0.2">
      <c r="B48" s="98"/>
      <c r="C48" s="48"/>
      <c r="D48" s="23"/>
      <c r="E48" s="48"/>
      <c r="F48" s="48" t="str">
        <f>_xlfn.XLOOKUP(Tabla27573[[#This Row],[Tipo de venta]],Tabla2329[Tipo de venta],Tabla2329[Moneda final], "Error - Seleccionar Tipo de Venta", 0,1)</f>
        <v>Error - Seleccionar Tipo de Venta</v>
      </c>
      <c r="G48" s="35"/>
      <c r="H48" s="102"/>
      <c r="I48" s="103">
        <f>Tabla27573[[#This Row],[Costo Unitario CLP]]/(1-Tabla27573[[#This Row],[Margen]])</f>
        <v>0</v>
      </c>
      <c r="J48" s="100"/>
      <c r="K48" s="119">
        <f>Tabla27573[[#This Row],[Cantidad]]*Tabla27573[[#This Row],[Precio Unitario]]</f>
        <v>0</v>
      </c>
    </row>
    <row r="49" spans="2:11" x14ac:dyDescent="0.2">
      <c r="B49" s="98"/>
      <c r="C49" s="48"/>
      <c r="D49" s="23"/>
      <c r="E49" s="48"/>
      <c r="F49" s="48" t="str">
        <f>_xlfn.XLOOKUP(Tabla27573[[#This Row],[Tipo de venta]],Tabla2329[Tipo de venta],Tabla2329[Moneda final], "Error - Seleccionar Tipo de Venta", 0,1)</f>
        <v>Error - Seleccionar Tipo de Venta</v>
      </c>
      <c r="G49" s="35"/>
      <c r="H49" s="102"/>
      <c r="I49" s="103">
        <f>Tabla27573[[#This Row],[Costo Unitario CLP]]/(1-Tabla27573[[#This Row],[Margen]])</f>
        <v>0</v>
      </c>
      <c r="J49" s="100"/>
      <c r="K49" s="119">
        <f>Tabla27573[[#This Row],[Cantidad]]*Tabla27573[[#This Row],[Precio Unitario]]</f>
        <v>0</v>
      </c>
    </row>
    <row r="50" spans="2:11" x14ac:dyDescent="0.2">
      <c r="B50" s="98"/>
      <c r="C50" s="48"/>
      <c r="D50" s="23"/>
      <c r="E50" s="48"/>
      <c r="F50" s="48" t="str">
        <f>_xlfn.XLOOKUP(Tabla27573[[#This Row],[Tipo de venta]],Tabla2329[Tipo de venta],Tabla2329[Moneda final], "Error - Seleccionar Tipo de Venta", 0,1)</f>
        <v>Error - Seleccionar Tipo de Venta</v>
      </c>
      <c r="G50" s="35"/>
      <c r="H50" s="102"/>
      <c r="I50" s="103">
        <f>Tabla27573[[#This Row],[Costo Unitario CLP]]/(1-Tabla27573[[#This Row],[Margen]])</f>
        <v>0</v>
      </c>
      <c r="J50" s="100"/>
      <c r="K50" s="119">
        <f>Tabla27573[[#This Row],[Cantidad]]*Tabla27573[[#This Row],[Precio Unitario]]</f>
        <v>0</v>
      </c>
    </row>
    <row r="51" spans="2:11" x14ac:dyDescent="0.2">
      <c r="B51" s="98"/>
      <c r="C51" s="48"/>
      <c r="D51" s="23"/>
      <c r="E51" s="48"/>
      <c r="F51" s="48" t="str">
        <f>_xlfn.XLOOKUP(Tabla27573[[#This Row],[Tipo de venta]],Tabla2329[Tipo de venta],Tabla2329[Moneda final], "Error - Seleccionar Tipo de Venta", 0,1)</f>
        <v>Error - Seleccionar Tipo de Venta</v>
      </c>
      <c r="G51" s="35"/>
      <c r="H51" s="102"/>
      <c r="I51" s="103">
        <f>Tabla27573[[#This Row],[Costo Unitario CLP]]/(1-Tabla27573[[#This Row],[Margen]])</f>
        <v>0</v>
      </c>
      <c r="J51" s="100"/>
      <c r="K51" s="119">
        <f>Tabla27573[[#This Row],[Cantidad]]*Tabla27573[[#This Row],[Precio Unitario]]</f>
        <v>0</v>
      </c>
    </row>
    <row r="52" spans="2:11" x14ac:dyDescent="0.2">
      <c r="B52" s="98"/>
      <c r="C52" s="48"/>
      <c r="D52" s="23"/>
      <c r="E52" s="48"/>
      <c r="F52" s="48" t="str">
        <f>_xlfn.XLOOKUP(Tabla27573[[#This Row],[Tipo de venta]],Tabla2329[Tipo de venta],Tabla2329[Moneda final], "Error - Seleccionar Tipo de Venta", 0,1)</f>
        <v>Error - Seleccionar Tipo de Venta</v>
      </c>
      <c r="G52" s="35"/>
      <c r="H52" s="102"/>
      <c r="I52" s="103">
        <f>Tabla27573[[#This Row],[Costo Unitario CLP]]/(1-Tabla27573[[#This Row],[Margen]])</f>
        <v>0</v>
      </c>
      <c r="J52" s="100"/>
      <c r="K52" s="119">
        <f>Tabla27573[[#This Row],[Cantidad]]*Tabla27573[[#This Row],[Precio Unitario]]</f>
        <v>0</v>
      </c>
    </row>
    <row r="53" spans="2:11" x14ac:dyDescent="0.2">
      <c r="B53" s="98"/>
      <c r="C53" s="48"/>
      <c r="D53" s="23"/>
      <c r="E53" s="48"/>
      <c r="F53" s="48" t="str">
        <f>_xlfn.XLOOKUP(Tabla27573[[#This Row],[Tipo de venta]],Tabla2329[Tipo de venta],Tabla2329[Moneda final], "Error - Seleccionar Tipo de Venta", 0,1)</f>
        <v>Error - Seleccionar Tipo de Venta</v>
      </c>
      <c r="G53" s="35"/>
      <c r="H53" s="102"/>
      <c r="I53" s="103">
        <f>Tabla27573[[#This Row],[Costo Unitario CLP]]/(1-Tabla27573[[#This Row],[Margen]])</f>
        <v>0</v>
      </c>
      <c r="J53" s="100"/>
      <c r="K53" s="119">
        <f>Tabla27573[[#This Row],[Cantidad]]*Tabla27573[[#This Row],[Precio Unitario]]</f>
        <v>0</v>
      </c>
    </row>
    <row r="54" spans="2:11" x14ac:dyDescent="0.2">
      <c r="B54" s="98"/>
      <c r="C54" s="48"/>
      <c r="D54" s="23"/>
      <c r="E54" s="48"/>
      <c r="F54" s="48" t="str">
        <f>_xlfn.XLOOKUP(Tabla27573[[#This Row],[Tipo de venta]],Tabla2329[Tipo de venta],Tabla2329[Moneda final], "Error - Seleccionar Tipo de Venta", 0,1)</f>
        <v>Error - Seleccionar Tipo de Venta</v>
      </c>
      <c r="G54" s="35"/>
      <c r="H54" s="102"/>
      <c r="I54" s="103">
        <f>Tabla27573[[#This Row],[Costo Unitario CLP]]/(1-Tabla27573[[#This Row],[Margen]])</f>
        <v>0</v>
      </c>
      <c r="J54" s="100"/>
      <c r="K54" s="119">
        <f>Tabla27573[[#This Row],[Cantidad]]*Tabla27573[[#This Row],[Precio Unitario]]</f>
        <v>0</v>
      </c>
    </row>
    <row r="55" spans="2:11" x14ac:dyDescent="0.2">
      <c r="B55" s="98"/>
      <c r="C55" s="48"/>
      <c r="D55" s="48"/>
      <c r="E55" s="48"/>
      <c r="F55" s="99"/>
      <c r="G55" s="35"/>
      <c r="H55" s="102"/>
      <c r="I55" s="103"/>
      <c r="J55" s="100"/>
      <c r="K55" s="104"/>
    </row>
    <row r="56" spans="2:11" x14ac:dyDescent="0.2">
      <c r="B56" s="98"/>
      <c r="C56" s="48"/>
      <c r="D56" s="48"/>
      <c r="E56" s="48"/>
      <c r="F56" s="99"/>
      <c r="G56" s="35"/>
      <c r="H56" s="102"/>
      <c r="I56" s="103"/>
      <c r="J56" s="100"/>
      <c r="K56" s="104"/>
    </row>
    <row r="57" spans="2:11" x14ac:dyDescent="0.2">
      <c r="B57" s="98"/>
      <c r="C57" s="48"/>
      <c r="D57" s="48"/>
      <c r="E57" s="48"/>
      <c r="F57" s="99"/>
      <c r="G57" s="35"/>
      <c r="H57" s="102"/>
      <c r="I57" s="103"/>
      <c r="J57" s="100"/>
      <c r="K57" s="104"/>
    </row>
    <row r="58" spans="2:11" x14ac:dyDescent="0.2">
      <c r="B58" s="98"/>
      <c r="C58" s="48"/>
      <c r="D58" s="48"/>
      <c r="E58" s="48"/>
      <c r="F58" s="99"/>
      <c r="G58" s="35"/>
      <c r="H58" s="102"/>
      <c r="I58" s="103"/>
      <c r="J58" s="100"/>
      <c r="K58" s="104"/>
    </row>
    <row r="59" spans="2:11" x14ac:dyDescent="0.2">
      <c r="B59" s="98"/>
      <c r="C59" s="48"/>
      <c r="D59" s="48"/>
      <c r="E59" s="48"/>
      <c r="F59" s="99"/>
      <c r="G59" s="35"/>
      <c r="H59" s="102"/>
      <c r="I59" s="103"/>
      <c r="J59" s="100"/>
      <c r="K59" s="104"/>
    </row>
    <row r="60" spans="2:11" x14ac:dyDescent="0.2">
      <c r="B60" s="98"/>
      <c r="C60" s="48"/>
      <c r="D60" s="48"/>
      <c r="E60" s="48"/>
      <c r="F60" s="99"/>
      <c r="G60" s="35"/>
      <c r="H60" s="102"/>
      <c r="I60" s="103"/>
      <c r="J60" s="100"/>
      <c r="K60" s="104"/>
    </row>
    <row r="61" spans="2:11" x14ac:dyDescent="0.2">
      <c r="B61" s="98"/>
      <c r="C61" s="48"/>
      <c r="D61" s="48"/>
      <c r="E61" s="48"/>
      <c r="F61" s="99"/>
      <c r="G61" s="35"/>
      <c r="H61" s="102"/>
      <c r="I61" s="103"/>
      <c r="J61" s="100"/>
      <c r="K61" s="104"/>
    </row>
    <row r="62" spans="2:11" x14ac:dyDescent="0.2">
      <c r="B62" s="98"/>
      <c r="C62" s="48"/>
      <c r="D62" s="48"/>
      <c r="E62" s="48"/>
      <c r="F62" s="99"/>
      <c r="G62" s="35"/>
      <c r="H62" s="102"/>
      <c r="I62" s="103"/>
      <c r="J62" s="100"/>
      <c r="K62" s="104"/>
    </row>
    <row r="63" spans="2:11" x14ac:dyDescent="0.2">
      <c r="B63" s="98"/>
      <c r="C63" s="48"/>
      <c r="D63" s="48"/>
      <c r="E63" s="48"/>
      <c r="F63" s="99"/>
      <c r="G63" s="35"/>
      <c r="H63" s="102"/>
      <c r="I63" s="103"/>
      <c r="J63" s="100"/>
      <c r="K63" s="104"/>
    </row>
    <row r="64" spans="2:11" x14ac:dyDescent="0.2">
      <c r="B64" s="98"/>
      <c r="C64" s="48"/>
      <c r="D64" s="48"/>
      <c r="E64" s="48"/>
      <c r="F64" s="99"/>
      <c r="G64" s="35"/>
      <c r="H64" s="102"/>
      <c r="I64" s="103"/>
      <c r="J64" s="100"/>
      <c r="K64" s="104"/>
    </row>
    <row r="65" spans="2:11" x14ac:dyDescent="0.2">
      <c r="B65" s="98"/>
      <c r="C65" s="48"/>
      <c r="D65" s="48"/>
      <c r="E65" s="48"/>
      <c r="F65" s="99"/>
      <c r="G65" s="35"/>
      <c r="H65" s="102"/>
      <c r="I65" s="103"/>
      <c r="J65" s="100"/>
      <c r="K65" s="104"/>
    </row>
    <row r="66" spans="2:11" x14ac:dyDescent="0.2">
      <c r="B66" s="98"/>
      <c r="C66" s="48"/>
      <c r="D66" s="48"/>
      <c r="E66" s="48"/>
      <c r="F66" s="99"/>
      <c r="G66" s="35"/>
      <c r="H66" s="102"/>
      <c r="I66" s="103"/>
      <c r="J66" s="100"/>
      <c r="K66" s="104"/>
    </row>
    <row r="67" spans="2:11" x14ac:dyDescent="0.2">
      <c r="B67" s="98"/>
      <c r="C67" s="48"/>
      <c r="D67" s="48"/>
      <c r="E67" s="48"/>
      <c r="F67" s="99"/>
      <c r="G67" s="35"/>
      <c r="H67" s="102"/>
      <c r="I67" s="103"/>
      <c r="J67" s="100"/>
      <c r="K67" s="104"/>
    </row>
    <row r="68" spans="2:11" x14ac:dyDescent="0.2">
      <c r="B68" s="98"/>
      <c r="C68" s="48"/>
      <c r="D68" s="48"/>
      <c r="E68" s="48"/>
      <c r="F68" s="99"/>
      <c r="G68" s="35"/>
      <c r="H68" s="102"/>
      <c r="I68" s="103"/>
      <c r="J68" s="100"/>
      <c r="K68" s="104"/>
    </row>
    <row r="69" spans="2:11" x14ac:dyDescent="0.2">
      <c r="B69" s="98"/>
      <c r="C69" s="48"/>
      <c r="D69" s="48"/>
      <c r="E69" s="48"/>
      <c r="F69" s="99"/>
      <c r="G69" s="35"/>
      <c r="H69" s="102"/>
      <c r="I69" s="103"/>
      <c r="J69" s="100"/>
      <c r="K69" s="104"/>
    </row>
    <row r="70" spans="2:11" x14ac:dyDescent="0.2">
      <c r="B70" s="98"/>
      <c r="C70" s="48"/>
      <c r="D70" s="48"/>
      <c r="E70" s="48"/>
      <c r="F70" s="99"/>
      <c r="G70" s="35"/>
      <c r="H70" s="102"/>
      <c r="I70" s="103"/>
      <c r="J70" s="100"/>
      <c r="K70" s="104"/>
    </row>
    <row r="71" spans="2:11" x14ac:dyDescent="0.2">
      <c r="B71" s="98"/>
      <c r="C71" s="48"/>
      <c r="D71" s="48"/>
      <c r="E71" s="48"/>
      <c r="F71" s="99"/>
      <c r="G71" s="35"/>
      <c r="H71" s="102"/>
      <c r="I71" s="103"/>
      <c r="J71" s="100"/>
      <c r="K71" s="104"/>
    </row>
    <row r="72" spans="2:11" x14ac:dyDescent="0.2">
      <c r="B72" s="98"/>
      <c r="C72" s="48"/>
      <c r="D72" s="48"/>
      <c r="E72" s="48"/>
      <c r="F72" s="99"/>
      <c r="G72" s="35"/>
      <c r="H72" s="102"/>
      <c r="I72" s="103"/>
      <c r="J72" s="100"/>
      <c r="K72" s="104"/>
    </row>
    <row r="73" spans="2:11" x14ac:dyDescent="0.2">
      <c r="B73" s="98"/>
      <c r="C73" s="48"/>
      <c r="D73" s="48"/>
      <c r="E73" s="48"/>
      <c r="F73" s="99"/>
      <c r="G73" s="35"/>
      <c r="H73" s="102"/>
      <c r="I73" s="103"/>
      <c r="J73" s="100"/>
      <c r="K73" s="104"/>
    </row>
    <row r="74" spans="2:11" x14ac:dyDescent="0.2">
      <c r="B74" s="98"/>
      <c r="C74" s="48"/>
      <c r="D74" s="48"/>
      <c r="E74" s="48"/>
      <c r="F74" s="99"/>
      <c r="G74" s="35"/>
      <c r="H74" s="102"/>
      <c r="I74" s="103"/>
      <c r="J74" s="100"/>
      <c r="K74" s="104"/>
    </row>
    <row r="75" spans="2:11" x14ac:dyDescent="0.2">
      <c r="B75" s="98"/>
      <c r="C75" s="48"/>
      <c r="D75" s="48"/>
      <c r="E75" s="48"/>
      <c r="F75" s="99"/>
      <c r="G75" s="35"/>
      <c r="H75" s="102"/>
      <c r="I75" s="103"/>
      <c r="J75" s="100"/>
      <c r="K75" s="104"/>
    </row>
    <row r="76" spans="2:11" x14ac:dyDescent="0.2">
      <c r="B76" s="98"/>
      <c r="C76" s="48"/>
      <c r="D76" s="48"/>
      <c r="E76" s="48"/>
      <c r="F76" s="99"/>
      <c r="G76" s="35"/>
      <c r="H76" s="102"/>
      <c r="I76" s="103"/>
      <c r="J76" s="100"/>
      <c r="K76" s="104"/>
    </row>
    <row r="77" spans="2:11" x14ac:dyDescent="0.2">
      <c r="B77" s="98"/>
      <c r="C77" s="48"/>
      <c r="D77" s="48"/>
      <c r="E77" s="48"/>
      <c r="F77" s="99"/>
      <c r="G77" s="35"/>
      <c r="H77" s="102"/>
      <c r="I77" s="103"/>
      <c r="J77" s="100"/>
      <c r="K77" s="104"/>
    </row>
    <row r="78" spans="2:11" x14ac:dyDescent="0.2">
      <c r="B78" s="98"/>
      <c r="C78" s="48"/>
      <c r="D78" s="48"/>
      <c r="E78" s="48"/>
      <c r="F78" s="99"/>
      <c r="G78" s="35"/>
      <c r="H78" s="102"/>
      <c r="I78" s="103"/>
      <c r="J78" s="100"/>
      <c r="K78" s="104"/>
    </row>
    <row r="79" spans="2:11" x14ac:dyDescent="0.2">
      <c r="B79" s="98"/>
      <c r="C79" s="48"/>
      <c r="D79" s="48"/>
      <c r="E79" s="48"/>
      <c r="F79" s="99"/>
      <c r="G79" s="35"/>
      <c r="H79" s="102"/>
      <c r="I79" s="103"/>
      <c r="J79" s="100"/>
      <c r="K79" s="104"/>
    </row>
    <row r="80" spans="2:11" x14ac:dyDescent="0.2">
      <c r="B80" s="98"/>
      <c r="C80" s="48"/>
      <c r="D80" s="48"/>
      <c r="E80" s="48"/>
      <c r="F80" s="99"/>
      <c r="G80" s="35"/>
      <c r="H80" s="102"/>
      <c r="I80" s="103"/>
      <c r="J80" s="100"/>
      <c r="K80" s="104"/>
    </row>
  </sheetData>
  <mergeCells count="1">
    <mergeCell ref="H2:K5"/>
  </mergeCells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FEAC25-4B2F-4D75-8C52-AE34DBB4214B}">
          <x14:formula1>
            <xm:f>'Datos generales'!$V$8:$V$1048576</xm:f>
          </x14:formula1>
          <xm:sqref>B4:B5</xm:sqref>
        </x14:dataValidation>
        <x14:dataValidation type="list" allowBlank="1" showInputMessage="1" showErrorMessage="1" xr:uid="{2ED71F30-5068-4D42-9DA6-03E6E7BEFAF1}">
          <x14:formula1>
            <xm:f>'Datos proyecto'!$F$9:$F$1048576</xm:f>
          </x14:formula1>
          <xm:sqref>C9:C80</xm:sqref>
        </x14:dataValidation>
        <x14:dataValidation type="list" allowBlank="1" showInputMessage="1" showErrorMessage="1" xr:uid="{674C382B-6B38-4A31-BC2D-E92260845599}">
          <x14:formula1>
            <xm:f>'Datos proyecto'!$I$9:$I$1048576</xm:f>
          </x14:formula1>
          <xm:sqref>B9:B80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5313F-494E-4A77-871B-F748C9E5EBA4}">
  <sheetPr codeName="Hoja7">
    <tabColor theme="6" tint="0.39997558519241921"/>
  </sheetPr>
  <dimension ref="B2:S35"/>
  <sheetViews>
    <sheetView zoomScale="70" zoomScaleNormal="70" workbookViewId="0">
      <selection activeCell="O7" sqref="O7"/>
    </sheetView>
  </sheetViews>
  <sheetFormatPr baseColWidth="10" defaultColWidth="11.5" defaultRowHeight="15" x14ac:dyDescent="0.2"/>
  <cols>
    <col min="2" max="2" width="15.6640625" customWidth="1"/>
    <col min="3" max="3" width="12.6640625" customWidth="1"/>
    <col min="4" max="4" width="14.5" customWidth="1"/>
    <col min="5" max="5" width="19.5" customWidth="1"/>
    <col min="6" max="6" width="31.6640625" customWidth="1"/>
    <col min="7" max="7" width="17.83203125" customWidth="1"/>
    <col min="8" max="8" width="18.83203125" customWidth="1"/>
    <col min="9" max="10" width="17.5" customWidth="1"/>
    <col min="11" max="11" width="16.5" customWidth="1"/>
    <col min="12" max="12" width="16.1640625" customWidth="1"/>
    <col min="13" max="13" width="15.1640625" customWidth="1"/>
    <col min="16" max="16" width="14" customWidth="1"/>
    <col min="17" max="17" width="17.1640625" customWidth="1"/>
    <col min="18" max="18" width="19.5" customWidth="1"/>
  </cols>
  <sheetData>
    <row r="2" spans="2:19" x14ac:dyDescent="0.2">
      <c r="E2" s="160" t="s">
        <v>134</v>
      </c>
      <c r="F2" s="160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160"/>
    </row>
    <row r="3" spans="2:19" x14ac:dyDescent="0.2">
      <c r="E3" s="160"/>
      <c r="F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</row>
    <row r="4" spans="2:19" x14ac:dyDescent="0.2">
      <c r="E4" s="93"/>
    </row>
    <row r="5" spans="2:19" x14ac:dyDescent="0.2">
      <c r="B5" t="s">
        <v>49</v>
      </c>
      <c r="C5" t="s">
        <v>49</v>
      </c>
      <c r="D5" t="s">
        <v>49</v>
      </c>
      <c r="E5" s="127" t="s">
        <v>109</v>
      </c>
      <c r="F5" s="4" t="s">
        <v>50</v>
      </c>
      <c r="G5" s="4" t="s">
        <v>50</v>
      </c>
      <c r="H5" s="4" t="s">
        <v>50</v>
      </c>
      <c r="I5" s="127" t="s">
        <v>59</v>
      </c>
      <c r="J5" s="127"/>
      <c r="K5" s="4" t="s">
        <v>50</v>
      </c>
      <c r="L5" s="4" t="s">
        <v>50</v>
      </c>
      <c r="M5" s="4" t="s">
        <v>50</v>
      </c>
      <c r="N5" s="4" t="s">
        <v>50</v>
      </c>
      <c r="O5" s="4" t="s">
        <v>50</v>
      </c>
      <c r="P5" s="4" t="s">
        <v>50</v>
      </c>
      <c r="Q5" s="4" t="s">
        <v>50</v>
      </c>
      <c r="R5" s="4" t="s">
        <v>50</v>
      </c>
    </row>
    <row r="6" spans="2:19" ht="32" x14ac:dyDescent="0.2">
      <c r="B6" s="29" t="s">
        <v>37</v>
      </c>
      <c r="C6" s="29" t="s">
        <v>51</v>
      </c>
      <c r="D6" s="64" t="s">
        <v>60</v>
      </c>
      <c r="E6" s="29" t="s">
        <v>61</v>
      </c>
      <c r="F6" s="29" t="s">
        <v>36</v>
      </c>
      <c r="G6" s="29" t="s">
        <v>110</v>
      </c>
      <c r="H6" s="29" t="s">
        <v>205</v>
      </c>
      <c r="I6" s="29" t="s">
        <v>62</v>
      </c>
      <c r="J6" s="29" t="s">
        <v>133</v>
      </c>
      <c r="K6" s="29" t="s">
        <v>114</v>
      </c>
      <c r="L6" s="29" t="s">
        <v>129</v>
      </c>
      <c r="M6" s="29" t="s">
        <v>130</v>
      </c>
      <c r="N6" s="29" t="s">
        <v>131</v>
      </c>
      <c r="O6" s="29" t="s">
        <v>63</v>
      </c>
      <c r="P6" s="29" t="s">
        <v>64</v>
      </c>
      <c r="Q6" s="29" t="s">
        <v>115</v>
      </c>
      <c r="R6" s="29" t="s">
        <v>199</v>
      </c>
    </row>
    <row r="7" spans="2:19" ht="66" customHeight="1" x14ac:dyDescent="0.2">
      <c r="B7" s="27" t="s">
        <v>108</v>
      </c>
      <c r="C7" s="20" t="s">
        <v>184</v>
      </c>
      <c r="D7" s="22" t="s">
        <v>66</v>
      </c>
      <c r="E7" s="23" t="s">
        <v>48</v>
      </c>
      <c r="F7" s="31" t="str">
        <f>_xlfn.XLOOKUP(Tabla27[[#This Row],[Nombre producto]],Productos!C:C,Productos!D:D, "Error",0,1)</f>
        <v>Datalogger de fabricación propia - No hay margen porque ese es el precio final</v>
      </c>
      <c r="G7" s="20" t="str">
        <f>_xlfn.XLOOKUP(Tabla27[[#This Row],[Nombre producto]], Tabla32[Nombre producto], Tabla32[Tipo de moneda],"Error - agregue producto a Productos",0,1)</f>
        <v>USD</v>
      </c>
      <c r="H7" s="140">
        <f>_xlfn.XLOOKUP(Tabla27[[#This Row],[Nombre producto]], Tabla32[Nombre producto], Tabla32[Costo producto],"Error - agregue producto a Productos",0,1)</f>
        <v>600</v>
      </c>
      <c r="I7" s="139">
        <v>3</v>
      </c>
      <c r="J7" s="147">
        <f>IF(Tabla27[[#This Row],[Moneda producto]]="USD",'Datos generales'!$G$3,IF(Tabla27[[#This Row],[Moneda producto]]="EUR",'Datos generales'!$G$3,0))</f>
        <v>0.05</v>
      </c>
      <c r="K7" s="56">
        <f>_xlfn.XLOOKUP(Tabla27[[#This Row],[Nombre producto]], Tabla32[Nombre producto], Tabla32[Precio USD],"Error - agregue producto a Productos",0,1)*(1)</f>
        <v>666.66666666666663</v>
      </c>
      <c r="L7" s="35">
        <f>_xlfn.XLOOKUP(Tabla27[[#This Row],[Nombre producto]], Tabla32[Nombre producto], Tabla32[Precio CLP],"Error - agregue producto a Productos",0,1)</f>
        <v>633333.33333333326</v>
      </c>
      <c r="M7" s="35">
        <f>_xlfn.XLOOKUP(Tabla27[[#This Row],[Nombre producto]], Tabla32[Nombre producto], Tabla32[Precio UF],"Error - agregue producto a Productos",0,1)</f>
        <v>16.489105040806194</v>
      </c>
      <c r="N7" s="35">
        <f>_xlfn.XLOOKUP(Tabla27[[#This Row],[Nombre producto]], Tabla32[Nombre producto], Tabla32[Precio Euros],"Error - agregue producto a Productos",0,1)</f>
        <v>617.88617886178849</v>
      </c>
      <c r="O7" s="21">
        <f>_xlfn.XLOOKUP(Tabla27[[#This Row],[Nombre producto]],Productos!$C:$C,Productos!N:N, "Error",0,1)</f>
        <v>617.88617886178849</v>
      </c>
      <c r="P7" s="21" t="str">
        <f>_xlfn.XLOOKUP(Tabla27[[#This Row],[Nombre producto]],Productos!$C:$C,Productos!O:O, "Error",0,1)</f>
        <v>Wolke</v>
      </c>
      <c r="Q7" s="63" t="str">
        <f>_xlfn.XLOOKUP(Tabla27[[#This Row],[Tipo de venta]], Tabla2329[Tipo de venta], Tabla2329[Moneda final], "Error - Seleccionar Tipo de Venta", 0,1)</f>
        <v>EUR</v>
      </c>
      <c r="R7" s="6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1853.6585365853655</v>
      </c>
      <c r="S7" s="24"/>
    </row>
    <row r="8" spans="2:19" ht="96" x14ac:dyDescent="0.2">
      <c r="B8" s="28" t="s">
        <v>40</v>
      </c>
      <c r="C8" s="20" t="s">
        <v>184</v>
      </c>
      <c r="D8" s="22" t="s">
        <v>66</v>
      </c>
      <c r="E8" s="23" t="s">
        <v>170</v>
      </c>
      <c r="F8" s="31" t="str">
        <f>_xlfn.XLOOKUP(Tabla27[[#This Row],[Nombre producto]],Productos!C:C,Productos!D:D, "Error",0,1)</f>
        <v>TurBidity MetEr with built SenSor
Size: 183mm*349mm*113.5mm
IP54
Power supply 24VDC
Measure range 0-100NTU
Output: 4-20mA + RS485</v>
      </c>
      <c r="G8" s="20" t="str">
        <f>_xlfn.XLOOKUP(Tabla27[[#This Row],[Nombre producto]], Tabla32[Nombre producto], Tabla32[Tipo de moneda],"Error - agregue producto a Productos",0,1)</f>
        <v>USD</v>
      </c>
      <c r="H8" s="141">
        <f>_xlfn.XLOOKUP(Tabla27[[#This Row],[Nombre producto]], Tabla32[Nombre producto], Tabla32[Costo producto],"Error - agregue producto a Productos",0,1)</f>
        <v>800</v>
      </c>
      <c r="I8" s="139">
        <v>1</v>
      </c>
      <c r="J8" s="147">
        <f>IF(Tabla27[[#This Row],[Moneda producto]]="USD",'Datos generales'!$G$3,IF(Tabla27[[#This Row],[Moneda producto]]="EUR",'Datos generales'!$G$3,0))</f>
        <v>0.05</v>
      </c>
      <c r="K8" s="56">
        <f>_xlfn.XLOOKUP(Tabla27[[#This Row],[Nombre producto]], Tabla32[Nombre producto], Tabla32[Precio USD],"Error - agregue producto a Productos",0,1)*(1)</f>
        <v>2080</v>
      </c>
      <c r="L8" s="40">
        <f>_xlfn.XLOOKUP(Tabla27[[#This Row],[Nombre producto]], Tabla32[Nombre producto], Tabla32[Precio CLP],"Error - agregue producto a Productos",0,1)</f>
        <v>1976000</v>
      </c>
      <c r="M8" s="41">
        <f>_xlfn.XLOOKUP(Tabla27[[#This Row],[Nombre producto]], Tabla32[Nombre producto], Tabla32[Precio UF],"Error - agregue producto a Productos",0,1)</f>
        <v>51.446007727315333</v>
      </c>
      <c r="N8" s="41">
        <f>_xlfn.XLOOKUP(Tabla27[[#This Row],[Nombre producto]], Tabla32[Nombre producto], Tabla32[Precio Euros],"Error - agregue producto a Productos",0,1)</f>
        <v>1927.8048780487804</v>
      </c>
      <c r="O8" s="42">
        <f>_xlfn.XLOOKUP(Tabla27[[#This Row],[Nombre producto]],Productos!$C:$C,Productos!N:N, "Error",0,1)</f>
        <v>1927.8048780487804</v>
      </c>
      <c r="P8" s="43">
        <f>_xlfn.XLOOKUP(Tabla27[[#This Row],[Nombre producto]],Productos!$C:$C,Productos!O:O, "Error",0,1)</f>
        <v>0</v>
      </c>
      <c r="Q8" s="63" t="str">
        <f>_xlfn.XLOOKUP(Tabla27[[#This Row],[Tipo de venta]], Tabla2329[Tipo de venta], Tabla2329[Moneda final], "Error - Seleccionar Tipo de Venta", 0,1)</f>
        <v>USD</v>
      </c>
      <c r="R8" s="6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2080</v>
      </c>
    </row>
    <row r="9" spans="2:19" ht="128" x14ac:dyDescent="0.2">
      <c r="B9" s="28" t="s">
        <v>40</v>
      </c>
      <c r="C9" s="20" t="s">
        <v>184</v>
      </c>
      <c r="D9" s="22" t="s">
        <v>66</v>
      </c>
      <c r="E9" s="23" t="s">
        <v>162</v>
      </c>
      <c r="F9" s="20" t="str">
        <f>_xlfn.XLOOKUP(Tabla27[[#This Row],[Nombre producto]],Productos!C:C,Productos!D:D, "Error",0,1)</f>
        <v>Turbidity Sensor
Cable: 10m
Measure range :0-4000NTU o 0-1000NTU
IP68
Material : 316L+PVC
9-36VDC + RS485
With self cleaning function</v>
      </c>
      <c r="G9" s="20" t="str">
        <f>_xlfn.XLOOKUP(Tabla27[[#This Row],[Nombre producto]], Tabla32[Nombre producto], Tabla32[Tipo de moneda],"Error - agregue producto a Productos",0,1)</f>
        <v>USD</v>
      </c>
      <c r="H9" s="141">
        <f>_xlfn.XLOOKUP(Tabla27[[#This Row],[Nombre producto]], Tabla32[Nombre producto], Tabla32[Costo producto],"Error - agregue producto a Productos",0,1)</f>
        <v>1000</v>
      </c>
      <c r="I9" s="139"/>
      <c r="J9" s="147">
        <f>IF(Tabla27[[#This Row],[Moneda producto]]="USD",'Datos generales'!$G$3,IF(Tabla27[[#This Row],[Moneda producto]]="EUR",'Datos generales'!$G$3,0))</f>
        <v>0.05</v>
      </c>
      <c r="K9" s="56">
        <f>_xlfn.XLOOKUP(Tabla27[[#This Row],[Nombre producto]], Tabla32[Nombre producto], Tabla32[Precio USD],"Error - agregue producto a Productos",0,1)*(1)</f>
        <v>2600</v>
      </c>
      <c r="L9" s="40">
        <f>_xlfn.XLOOKUP(Tabla27[[#This Row],[Nombre producto]], Tabla32[Nombre producto], Tabla32[Precio CLP],"Error - agregue producto a Productos",0,1)</f>
        <v>2470000</v>
      </c>
      <c r="M9" s="41">
        <f>_xlfn.XLOOKUP(Tabla27[[#This Row],[Nombre producto]], Tabla32[Nombre producto], Tabla32[Precio UF],"Error - agregue producto a Productos",0,1)</f>
        <v>64.307509659144173</v>
      </c>
      <c r="N9" s="41">
        <f>_xlfn.XLOOKUP(Tabla27[[#This Row],[Nombre producto]], Tabla32[Nombre producto], Tabla32[Precio Euros],"Error - agregue producto a Productos",0,1)</f>
        <v>2409.7560975609758</v>
      </c>
      <c r="O9" s="42">
        <f>_xlfn.XLOOKUP(Tabla27[[#This Row],[Nombre producto]],Productos!$C:$C,Productos!N:N, "Error",0,1)</f>
        <v>2409.7560975609758</v>
      </c>
      <c r="P9" s="43">
        <f>_xlfn.XLOOKUP(Tabla27[[#This Row],[Nombre producto]],Productos!$C:$C,Productos!O:O, "Error",0,1)</f>
        <v>0</v>
      </c>
      <c r="Q9" s="63" t="str">
        <f>_xlfn.XLOOKUP(Tabla27[[#This Row],[Tipo de venta]], Tabla2329[Tipo de venta], Tabla2329[Moneda final], "Error - Seleccionar Tipo de Venta", 0,1)</f>
        <v>USD</v>
      </c>
      <c r="R9" s="6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0</v>
      </c>
    </row>
    <row r="10" spans="2:19" ht="32" x14ac:dyDescent="0.2">
      <c r="B10" s="28" t="s">
        <v>40</v>
      </c>
      <c r="C10" s="20" t="s">
        <v>184</v>
      </c>
      <c r="D10" s="22" t="s">
        <v>99</v>
      </c>
      <c r="E10" s="23" t="s">
        <v>163</v>
      </c>
      <c r="F10" s="20" t="str">
        <f>_xlfn.XLOOKUP(Tabla27[[#This Row],[Nombre producto]],Productos!C:C,Productos!D:D, "Error",0,1)</f>
        <v>Specifically for pipeline installations, compatible with turbidity sensors. DN80</v>
      </c>
      <c r="G10" s="20" t="str">
        <f>_xlfn.XLOOKUP(Tabla27[[#This Row],[Nombre producto]], Tabla32[Nombre producto], Tabla32[Tipo de moneda],"Error - agregue producto a Productos",0,1)</f>
        <v>USD</v>
      </c>
      <c r="H10" s="141">
        <f>_xlfn.XLOOKUP(Tabla27[[#This Row],[Nombre producto]], Tabla32[Nombre producto], Tabla32[Costo producto],"Error - agregue producto a Productos",0,1)</f>
        <v>250</v>
      </c>
      <c r="I10" s="139"/>
      <c r="J10" s="147">
        <f>IF(Tabla27[[#This Row],[Moneda producto]]="USD",'Datos generales'!$G$3,IF(Tabla27[[#This Row],[Moneda producto]]="EUR",'Datos generales'!$G$3,0))</f>
        <v>0.05</v>
      </c>
      <c r="K10" s="56">
        <f>_xlfn.XLOOKUP(Tabla27[[#This Row],[Nombre producto]], Tabla32[Nombre producto], Tabla32[Precio USD],"Error - agregue producto a Productos",0,1)*(1)</f>
        <v>812.5</v>
      </c>
      <c r="L10" s="40">
        <f>_xlfn.XLOOKUP(Tabla27[[#This Row],[Nombre producto]], Tabla32[Nombre producto], Tabla32[Precio CLP],"Error - agregue producto a Productos",0,1)</f>
        <v>771875</v>
      </c>
      <c r="M10" s="41">
        <f>_xlfn.XLOOKUP(Tabla27[[#This Row],[Nombre producto]], Tabla32[Nombre producto], Tabla32[Precio UF],"Error - agregue producto a Productos",0,1)</f>
        <v>20.096096768482553</v>
      </c>
      <c r="N10" s="41">
        <f>_xlfn.XLOOKUP(Tabla27[[#This Row],[Nombre producto]], Tabla32[Nombre producto], Tabla32[Precio Euros],"Error - agregue producto a Productos",0,1)</f>
        <v>753.04878048780483</v>
      </c>
      <c r="O10" s="42">
        <f>_xlfn.XLOOKUP(Tabla27[[#This Row],[Nombre producto]],Productos!$C:$C,Productos!N:N, "Error",0,1)</f>
        <v>753.04878048780483</v>
      </c>
      <c r="P10" s="43">
        <f>_xlfn.XLOOKUP(Tabla27[[#This Row],[Nombre producto]],Productos!$C:$C,Productos!O:O, "Error",0,1)</f>
        <v>0</v>
      </c>
      <c r="Q10" s="63" t="str">
        <f>_xlfn.XLOOKUP(Tabla27[[#This Row],[Tipo de venta]], Tabla2329[Tipo de venta], Tabla2329[Moneda final], "Error - Seleccionar Tipo de Venta", 0,1)</f>
        <v>USD</v>
      </c>
      <c r="R10" s="6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0</v>
      </c>
    </row>
    <row r="11" spans="2:19" ht="66" customHeight="1" x14ac:dyDescent="0.2">
      <c r="B11" s="28" t="s">
        <v>40</v>
      </c>
      <c r="C11" s="20" t="s">
        <v>184</v>
      </c>
      <c r="D11" s="22" t="s">
        <v>66</v>
      </c>
      <c r="E11" s="23" t="s">
        <v>168</v>
      </c>
      <c r="F11" s="31" t="str">
        <f>_xlfn.XLOOKUP(Tabla27[[#This Row],[Nombre producto]],Productos!C:C,Productos!D:D, "Error",0,1)</f>
        <v>[pH digital electrode] [pH-8001]
Electrode connector: direct lead;
Salt bridge type: single-point ceramic diaphragm;
Temperature compensation type: NTC 22K;
Output: RS485;
Power supply: 12VDC;
Cable length: 10m;
Shell material and process connection: engineering plastic, G3/4
thread;
Measuring range: (0-14)pH
Temperature range: (0-60)℃
Pressure resistance: 0.3MPa</v>
      </c>
      <c r="G11" s="20" t="str">
        <f>_xlfn.XLOOKUP(Tabla27[[#This Row],[Nombre producto]], Tabla32[Nombre producto], Tabla32[Tipo de moneda],"Error - agregue producto a Productos",0,1)</f>
        <v>USD</v>
      </c>
      <c r="H11" s="141">
        <f>_xlfn.XLOOKUP(Tabla27[[#This Row],[Nombre producto]], Tabla32[Nombre producto], Tabla32[Costo producto],"Error - agregue producto a Productos",0,1)</f>
        <v>120</v>
      </c>
      <c r="I11" s="139">
        <v>1</v>
      </c>
      <c r="J11" s="147">
        <f>IF(Tabla27[[#This Row],[Moneda producto]]="USD",'Datos generales'!$G$3,IF(Tabla27[[#This Row],[Moneda producto]]="EUR",'Datos generales'!$G$3,0))</f>
        <v>0.05</v>
      </c>
      <c r="K11" s="56">
        <f>_xlfn.XLOOKUP(Tabla27[[#This Row],[Nombre producto]], Tabla32[Nombre producto], Tabla32[Precio USD],"Error - agregue producto a Productos",0,1)*(1)</f>
        <v>312</v>
      </c>
      <c r="L11" s="35">
        <f>_xlfn.XLOOKUP(Tabla27[[#This Row],[Nombre producto]], Tabla32[Nombre producto], Tabla32[Precio CLP],"Error - agregue producto a Productos",0,1)</f>
        <v>296400</v>
      </c>
      <c r="M11" s="35">
        <f>_xlfn.XLOOKUP(Tabla27[[#This Row],[Nombre producto]], Tabla32[Nombre producto], Tabla32[Precio UF],"Error - agregue producto a Productos",0,1)</f>
        <v>7.7169011590972998</v>
      </c>
      <c r="N11" s="35">
        <f>_xlfn.XLOOKUP(Tabla27[[#This Row],[Nombre producto]], Tabla32[Nombre producto], Tabla32[Precio Euros],"Error - agregue producto a Productos",0,1)</f>
        <v>289.17073170731709</v>
      </c>
      <c r="O11" s="21">
        <f>_xlfn.XLOOKUP(Tabla27[[#This Row],[Nombre producto]],Productos!$C:$C,Productos!N:N, "Error",0,1)</f>
        <v>289.17073170731709</v>
      </c>
      <c r="P11" s="21">
        <f>_xlfn.XLOOKUP(Tabla27[[#This Row],[Nombre producto]],Productos!$C:$C,Productos!O:O, "Error",0,1)</f>
        <v>0</v>
      </c>
      <c r="Q11" s="63" t="str">
        <f>_xlfn.XLOOKUP(Tabla27[[#This Row],[Tipo de venta]], Tabla2329[Tipo de venta], Tabla2329[Moneda final], "Error - Seleccionar Tipo de Venta", 0,1)</f>
        <v>USD</v>
      </c>
      <c r="R11" s="6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312</v>
      </c>
    </row>
    <row r="12" spans="2:19" ht="224" x14ac:dyDescent="0.2">
      <c r="B12" s="28" t="s">
        <v>40</v>
      </c>
      <c r="C12" s="20" t="s">
        <v>184</v>
      </c>
      <c r="D12" s="22" t="s">
        <v>66</v>
      </c>
      <c r="E12" s="48" t="s">
        <v>159</v>
      </c>
      <c r="F12" s="31" t="str">
        <f>_xlfn.XLOOKUP(Tabla27[[#This Row],[Nombre producto]],Productos!C:C,Productos!D:D, "Error",0,1)</f>
        <v>[Ultrasonic open channel flowmeter] [LMQ]
Water weir flume type: Parshall flume No. 1-5;
Accuracy: Class 0.5;
Output: 4-20mA+RS485;
Electrical interface, housing material and protection level: split type,
M18×1.5 cable plug, engineering plastic, IP68;
Power supply: 24VDC;
Cable length: 10m;
Level range: 0-5M
Flow range: 0.1L/s~9999.99m3/h</v>
      </c>
      <c r="G12" s="20" t="str">
        <f>_xlfn.XLOOKUP(Tabla27[[#This Row],[Nombre producto]], Tabla32[Nombre producto], Tabla32[Tipo de moneda],"Error - agregue producto a Productos",0,1)</f>
        <v>USD</v>
      </c>
      <c r="H12" s="141">
        <f>_xlfn.XLOOKUP(Tabla27[[#This Row],[Nombre producto]], Tabla32[Nombre producto], Tabla32[Costo producto],"Error - agregue producto a Productos",0,1)</f>
        <v>425</v>
      </c>
      <c r="I12" s="139">
        <v>1</v>
      </c>
      <c r="J12" s="147">
        <f>IF(Tabla27[[#This Row],[Moneda producto]]="USD",'Datos generales'!$G$3,IF(Tabla27[[#This Row],[Moneda producto]]="EUR",'Datos generales'!$G$3,0))</f>
        <v>0.05</v>
      </c>
      <c r="K12" s="56">
        <f>_xlfn.XLOOKUP(Tabla27[[#This Row],[Nombre producto]], Tabla32[Nombre producto], Tabla32[Precio USD],"Error - agregue producto a Productos",0,1)*(1)</f>
        <v>1105</v>
      </c>
      <c r="L12" s="40">
        <f>_xlfn.XLOOKUP(Tabla27[[#This Row],[Nombre producto]], Tabla32[Nombre producto], Tabla32[Precio CLP],"Error - agregue producto a Productos",0,1)</f>
        <v>1049750</v>
      </c>
      <c r="M12" s="41">
        <f>_xlfn.XLOOKUP(Tabla27[[#This Row],[Nombre producto]], Tabla32[Nombre producto], Tabla32[Precio UF],"Error - agregue producto a Productos",0,1)</f>
        <v>27.33069160513627</v>
      </c>
      <c r="N12" s="41">
        <f>_xlfn.XLOOKUP(Tabla27[[#This Row],[Nombre producto]], Tabla32[Nombre producto], Tabla32[Precio Euros],"Error - agregue producto a Productos",0,1)</f>
        <v>1024.1463414634147</v>
      </c>
      <c r="O12" s="42">
        <f>_xlfn.XLOOKUP(Tabla27[[#This Row],[Nombre producto]],Productos!$C:$C,Productos!N:N, "Error",0,1)</f>
        <v>1024.1463414634147</v>
      </c>
      <c r="P12" s="43" t="str">
        <f>_xlfn.XLOOKUP(Tabla27[[#This Row],[Nombre producto]],Productos!$C:$C,Productos!O:O, "Error",0,1)</f>
        <v>Supme</v>
      </c>
      <c r="Q12" s="63" t="str">
        <f>_xlfn.XLOOKUP(Tabla27[[#This Row],[Tipo de venta]], Tabla2329[Tipo de venta], Tabla2329[Moneda final], "Error - Seleccionar Tipo de Venta", 0,1)</f>
        <v>USD</v>
      </c>
      <c r="R12" s="6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1105</v>
      </c>
    </row>
    <row r="13" spans="2:19" ht="32" x14ac:dyDescent="0.2">
      <c r="B13" s="21" t="s">
        <v>40</v>
      </c>
      <c r="C13" s="20" t="s">
        <v>184</v>
      </c>
      <c r="D13" s="22" t="s">
        <v>99</v>
      </c>
      <c r="E13" s="48" t="s">
        <v>111</v>
      </c>
      <c r="F13" s="20" t="str">
        <f>_xlfn.XLOOKUP(Tabla27[[#This Row],[Nombre producto]],Productos!C:C,Productos!D:D, "Error",0,1)</f>
        <v>Soporte simple 1 sensor INOX</v>
      </c>
      <c r="G13" s="20" t="str">
        <f>_xlfn.XLOOKUP(Tabla27[[#This Row],[Nombre producto]], Tabla32[Nombre producto], Tabla32[Tipo de moneda],"Error - agregue producto a Productos",0,1)</f>
        <v>CLP</v>
      </c>
      <c r="H13" s="141">
        <f>_xlfn.XLOOKUP(Tabla27[[#This Row],[Nombre producto]], Tabla32[Nombre producto], Tabla32[Costo producto],"Error - agregue producto a Productos",0,1)</f>
        <v>200000</v>
      </c>
      <c r="I13" s="139">
        <v>4</v>
      </c>
      <c r="J13" s="147">
        <f>IF(Tabla27[[#This Row],[Moneda producto]]="USD",'Datos generales'!$G$3,IF(Tabla27[[#This Row],[Moneda producto]]="EUR",'Datos generales'!$G$3,0))</f>
        <v>0</v>
      </c>
      <c r="K13" s="56">
        <f>_xlfn.XLOOKUP(Tabla27[[#This Row],[Nombre producto]], Tabla32[Nombre producto], Tabla32[Precio USD],"Error - agregue producto a Productos",0,1)*(1)</f>
        <v>526.31578947368416</v>
      </c>
      <c r="L13" s="40">
        <f>_xlfn.XLOOKUP(Tabla27[[#This Row],[Nombre producto]], Tabla32[Nombre producto], Tabla32[Precio CLP],"Error - agregue producto a Productos",0,1)</f>
        <v>500000</v>
      </c>
      <c r="M13" s="40">
        <f>_xlfn.XLOOKUP(Tabla27[[#This Row],[Nombre producto]], Tabla32[Nombre producto], Tabla32[Precio UF],"Error - agregue producto a Productos",0,1)</f>
        <v>13.01771450589963</v>
      </c>
      <c r="N13" s="41">
        <f>_xlfn.XLOOKUP(Tabla27[[#This Row],[Nombre producto]], Tabla32[Nombre producto], Tabla32[Precio Euros],"Error - agregue producto a Productos",0,1)</f>
        <v>487.80487804878049</v>
      </c>
      <c r="O13" s="21">
        <f>_xlfn.XLOOKUP(Tabla27[[#This Row],[Nombre producto]],Productos!$C:$C,Productos!N:N, "Error",0,1)</f>
        <v>487.80487804878049</v>
      </c>
      <c r="P13" s="21" t="str">
        <f>_xlfn.XLOOKUP(Tabla27[[#This Row],[Nombre producto]],Productos!$C:$C,Productos!O:O, "Error",0,1)</f>
        <v>Mardinamica</v>
      </c>
      <c r="Q13" s="63" t="str">
        <f>_xlfn.XLOOKUP(Tabla27[[#This Row],[Tipo de venta]], Tabla2329[Tipo de venta], Tabla2329[Moneda final], "Error - Seleccionar Tipo de Venta", 0,1)</f>
        <v>USD</v>
      </c>
      <c r="R13" s="6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2105.2631578947367</v>
      </c>
    </row>
    <row r="14" spans="2:19" ht="32" x14ac:dyDescent="0.2">
      <c r="B14" s="21" t="s">
        <v>40</v>
      </c>
      <c r="C14" s="20" t="s">
        <v>184</v>
      </c>
      <c r="D14" s="22" t="s">
        <v>99</v>
      </c>
      <c r="E14" s="23" t="s">
        <v>192</v>
      </c>
      <c r="F14" s="20" t="str">
        <f>_xlfn.XLOOKUP(Tabla27[[#This Row],[Nombre producto]],Productos!C:C,Productos!D:D, "Error",0,1)</f>
        <v>Tablero IP65+ Fuente y accesorios</v>
      </c>
      <c r="G14" s="20" t="str">
        <f>_xlfn.XLOOKUP(Tabla27[[#This Row],[Nombre producto]], Tabla32[Nombre producto], Tabla32[Tipo de moneda],"Error - agregue producto a Productos",0,1)</f>
        <v>CLP</v>
      </c>
      <c r="H14" s="141">
        <f>_xlfn.XLOOKUP(Tabla27[[#This Row],[Nombre producto]], Tabla32[Nombre producto], Tabla32[Costo producto],"Error - agregue producto a Productos",0,1)</f>
        <v>150000</v>
      </c>
      <c r="I14" s="139">
        <v>3</v>
      </c>
      <c r="J14" s="147">
        <f>IF(Tabla27[[#This Row],[Moneda producto]]="USD",'Datos generales'!$G$3,IF(Tabla27[[#This Row],[Moneda producto]]="EUR",'Datos generales'!$G$3,0))</f>
        <v>0</v>
      </c>
      <c r="K14" s="56">
        <f>_xlfn.XLOOKUP(Tabla27[[#This Row],[Nombre producto]], Tabla32[Nombre producto], Tabla32[Precio USD],"Error - agregue producto a Productos",0,1)*(1)</f>
        <v>394.73684210526318</v>
      </c>
      <c r="L14" s="40">
        <f>_xlfn.XLOOKUP(Tabla27[[#This Row],[Nombre producto]], Tabla32[Nombre producto], Tabla32[Precio CLP],"Error - agregue producto a Productos",0,1)</f>
        <v>375000</v>
      </c>
      <c r="M14" s="40">
        <f>_xlfn.XLOOKUP(Tabla27[[#This Row],[Nombre producto]], Tabla32[Nombre producto], Tabla32[Precio UF],"Error - agregue producto a Productos",0,1)</f>
        <v>9.7632858794247213</v>
      </c>
      <c r="N14" s="41">
        <f>_xlfn.XLOOKUP(Tabla27[[#This Row],[Nombre producto]], Tabla32[Nombre producto], Tabla32[Precio Euros],"Error - agregue producto a Productos",0,1)</f>
        <v>365.85365853658539</v>
      </c>
      <c r="O14" s="21">
        <f>_xlfn.XLOOKUP(Tabla27[[#This Row],[Nombre producto]],Productos!$C:$C,Productos!N:N, "Error",0,1)</f>
        <v>365.85365853658539</v>
      </c>
      <c r="P14" s="21" t="str">
        <f>_xlfn.XLOOKUP(Tabla27[[#This Row],[Nombre producto]],Productos!$C:$C,Productos!O:O, "Error",0,1)</f>
        <v>Wolke</v>
      </c>
      <c r="Q14" s="63" t="str">
        <f>_xlfn.XLOOKUP(Tabla27[[#This Row],[Tipo de venta]], Tabla2329[Tipo de venta], Tabla2329[Moneda final], "Error - Seleccionar Tipo de Venta", 0,1)</f>
        <v>USD</v>
      </c>
      <c r="R14" s="6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1184.2105263157896</v>
      </c>
    </row>
    <row r="15" spans="2:19" ht="32" x14ac:dyDescent="0.2">
      <c r="B15" s="21" t="s">
        <v>40</v>
      </c>
      <c r="C15" s="20" t="s">
        <v>188</v>
      </c>
      <c r="D15" s="22" t="s">
        <v>65</v>
      </c>
      <c r="E15" s="23" t="s">
        <v>48</v>
      </c>
      <c r="F15" s="20" t="str">
        <f>_xlfn.XLOOKUP(Tabla27[[#This Row],[Nombre producto]],Productos!C:C,Productos!D:D, "Error",0,1)</f>
        <v>Datalogger de fabricación propia - No hay margen porque ese es el precio final</v>
      </c>
      <c r="G15" s="20" t="str">
        <f>_xlfn.XLOOKUP(Tabla27[[#This Row],[Nombre producto]], Tabla32[Nombre producto], Tabla32[Tipo de moneda],"Error - agregue producto a Productos",0,1)</f>
        <v>USD</v>
      </c>
      <c r="H15" s="141">
        <f>_xlfn.XLOOKUP(Tabla27[[#This Row],[Nombre producto]], Tabla32[Nombre producto], Tabla32[Costo producto],"Error - agregue producto a Productos",0,1)</f>
        <v>600</v>
      </c>
      <c r="I15" s="139">
        <v>2</v>
      </c>
      <c r="J15" s="147">
        <f>IF(Tabla27[[#This Row],[Moneda producto]]="USD",'Datos generales'!$G$3,IF(Tabla27[[#This Row],[Moneda producto]]="EUR",'Datos generales'!$G$3,0))</f>
        <v>0.05</v>
      </c>
      <c r="K15" s="56">
        <f>_xlfn.XLOOKUP(Tabla27[[#This Row],[Nombre producto]], Tabla32[Nombre producto], Tabla32[Precio USD],"Error - agregue producto a Productos",0,1)*(1)</f>
        <v>666.66666666666663</v>
      </c>
      <c r="L15" s="40">
        <f>_xlfn.XLOOKUP(Tabla27[[#This Row],[Nombre producto]], Tabla32[Nombre producto], Tabla32[Precio CLP],"Error - agregue producto a Productos",0,1)</f>
        <v>633333.33333333326</v>
      </c>
      <c r="M15" s="40">
        <f>_xlfn.XLOOKUP(Tabla27[[#This Row],[Nombre producto]], Tabla32[Nombre producto], Tabla32[Precio UF],"Error - agregue producto a Productos",0,1)</f>
        <v>16.489105040806194</v>
      </c>
      <c r="N15" s="41">
        <f>_xlfn.XLOOKUP(Tabla27[[#This Row],[Nombre producto]], Tabla32[Nombre producto], Tabla32[Precio Euros],"Error - agregue producto a Productos",0,1)</f>
        <v>617.88617886178849</v>
      </c>
      <c r="O15" s="21">
        <f>_xlfn.XLOOKUP(Tabla27[[#This Row],[Nombre producto]],Productos!$C:$C,Productos!N:N, "Error",0,1)</f>
        <v>617.88617886178849</v>
      </c>
      <c r="P15" s="21" t="str">
        <f>_xlfn.XLOOKUP(Tabla27[[#This Row],[Nombre producto]],Productos!$C:$C,Productos!O:O, "Error",0,1)</f>
        <v>Wolke</v>
      </c>
      <c r="Q15" s="63" t="str">
        <f>_xlfn.XLOOKUP(Tabla27[[#This Row],[Tipo de venta]], Tabla2329[Tipo de venta], Tabla2329[Moneda final], "Error - Seleccionar Tipo de Venta", 0,1)</f>
        <v>USD</v>
      </c>
      <c r="R15" s="6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1333.3333333333333</v>
      </c>
    </row>
    <row r="16" spans="2:19" ht="96" x14ac:dyDescent="0.2">
      <c r="B16" s="21" t="s">
        <v>40</v>
      </c>
      <c r="C16" s="20" t="s">
        <v>188</v>
      </c>
      <c r="D16" s="22" t="s">
        <v>66</v>
      </c>
      <c r="E16" s="48" t="s">
        <v>165</v>
      </c>
      <c r="F16" s="20" t="str">
        <f>_xlfn.XLOOKUP(Tabla27[[#This Row],[Nombre producto]],Productos!C:C,Productos!D:D, "Error",0,1)</f>
        <v>Digital conductivity seNsor
Cable:10M
Range:0-70ms/cm
Temperaure range: 0-60℃
Material:POM
IP68 RS485</v>
      </c>
      <c r="G16" s="20" t="str">
        <f>_xlfn.XLOOKUP(Tabla27[[#This Row],[Nombre producto]], Tabla32[Nombre producto], Tabla32[Tipo de moneda],"Error - agregue producto a Productos",0,1)</f>
        <v>USD</v>
      </c>
      <c r="H16" s="141">
        <f>_xlfn.XLOOKUP(Tabla27[[#This Row],[Nombre producto]], Tabla32[Nombre producto], Tabla32[Costo producto],"Error - agregue producto a Productos",0,1)</f>
        <v>160</v>
      </c>
      <c r="I16" s="139">
        <v>2</v>
      </c>
      <c r="J16" s="147">
        <f>IF(Tabla27[[#This Row],[Moneda producto]]="USD",'Datos generales'!$G$3,IF(Tabla27[[#This Row],[Moneda producto]]="EUR",'Datos generales'!$G$3,0))</f>
        <v>0.05</v>
      </c>
      <c r="K16" s="56">
        <f>_xlfn.XLOOKUP(Tabla27[[#This Row],[Nombre producto]], Tabla32[Nombre producto], Tabla32[Precio USD],"Error - agregue producto a Productos",0,1)*(1)</f>
        <v>416</v>
      </c>
      <c r="L16" s="40">
        <f>_xlfn.XLOOKUP(Tabla27[[#This Row],[Nombre producto]], Tabla32[Nombre producto], Tabla32[Precio CLP],"Error - agregue producto a Productos",0,1)</f>
        <v>395200</v>
      </c>
      <c r="M16" s="40">
        <f>_xlfn.XLOOKUP(Tabla27[[#This Row],[Nombre producto]], Tabla32[Nombre producto], Tabla32[Precio UF],"Error - agregue producto a Productos",0,1)</f>
        <v>10.289201545463067</v>
      </c>
      <c r="N16" s="41">
        <f>_xlfn.XLOOKUP(Tabla27[[#This Row],[Nombre producto]], Tabla32[Nombre producto], Tabla32[Precio Euros],"Error - agregue producto a Productos",0,1)</f>
        <v>385.5609756097561</v>
      </c>
      <c r="O16" s="21">
        <f>_xlfn.XLOOKUP(Tabla27[[#This Row],[Nombre producto]],Productos!$C:$C,Productos!N:N, "Error",0,1)</f>
        <v>385.5609756097561</v>
      </c>
      <c r="P16" s="21">
        <f>_xlfn.XLOOKUP(Tabla27[[#This Row],[Nombre producto]],Productos!$C:$C,Productos!O:O, "Error",0,1)</f>
        <v>0</v>
      </c>
      <c r="Q16" s="63" t="str">
        <f>_xlfn.XLOOKUP(Tabla27[[#This Row],[Tipo de venta]], Tabla2329[Tipo de venta], Tabla2329[Moneda final], "Error - Seleccionar Tipo de Venta", 0,1)</f>
        <v>USD</v>
      </c>
      <c r="R16" s="6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832</v>
      </c>
    </row>
    <row r="17" spans="2:18" ht="240" x14ac:dyDescent="0.2">
      <c r="B17" s="21" t="s">
        <v>40</v>
      </c>
      <c r="C17" s="20" t="s">
        <v>188</v>
      </c>
      <c r="D17" s="22" t="s">
        <v>66</v>
      </c>
      <c r="E17" s="23" t="s">
        <v>168</v>
      </c>
      <c r="F17" s="20" t="str">
        <f>_xlfn.XLOOKUP(Tabla27[[#This Row],[Nombre producto]],Productos!C:C,Productos!D:D, "Error",0,1)</f>
        <v>[pH digital electrode] [pH-8001]
Electrode connector: direct lead;
Salt bridge type: single-point ceramic diaphragm;
Temperature compensation type: NTC 22K;
Output: RS485;
Power supply: 12VDC;
Cable length: 10m;
Shell material and process connection: engineering plastic, G3/4
thread;
Measuring range: (0-14)pH
Temperature range: (0-60)℃
Pressure resistance: 0.3MPa</v>
      </c>
      <c r="G17" s="20" t="str">
        <f>_xlfn.XLOOKUP(Tabla27[[#This Row],[Nombre producto]], Tabla32[Nombre producto], Tabla32[Tipo de moneda],"Error - agregue producto a Productos",0,1)</f>
        <v>USD</v>
      </c>
      <c r="H17" s="141">
        <f>_xlfn.XLOOKUP(Tabla27[[#This Row],[Nombre producto]], Tabla32[Nombre producto], Tabla32[Costo producto],"Error - agregue producto a Productos",0,1)</f>
        <v>120</v>
      </c>
      <c r="I17" s="139">
        <v>1</v>
      </c>
      <c r="J17" s="147">
        <f>IF(Tabla27[[#This Row],[Moneda producto]]="USD",'Datos generales'!$G$3,IF(Tabla27[[#This Row],[Moneda producto]]="EUR",'Datos generales'!$G$3,0))</f>
        <v>0.05</v>
      </c>
      <c r="K17" s="56">
        <f>_xlfn.XLOOKUP(Tabla27[[#This Row],[Nombre producto]], Tabla32[Nombre producto], Tabla32[Precio USD],"Error - agregue producto a Productos",0,1)*(1)</f>
        <v>312</v>
      </c>
      <c r="L17" s="40">
        <f>_xlfn.XLOOKUP(Tabla27[[#This Row],[Nombre producto]], Tabla32[Nombre producto], Tabla32[Precio CLP],"Error - agregue producto a Productos",0,1)</f>
        <v>296400</v>
      </c>
      <c r="M17" s="40">
        <f>_xlfn.XLOOKUP(Tabla27[[#This Row],[Nombre producto]], Tabla32[Nombre producto], Tabla32[Precio UF],"Error - agregue producto a Productos",0,1)</f>
        <v>7.7169011590972998</v>
      </c>
      <c r="N17" s="41">
        <f>_xlfn.XLOOKUP(Tabla27[[#This Row],[Nombre producto]], Tabla32[Nombre producto], Tabla32[Precio Euros],"Error - agregue producto a Productos",0,1)</f>
        <v>289.17073170731709</v>
      </c>
      <c r="O17" s="21">
        <f>_xlfn.XLOOKUP(Tabla27[[#This Row],[Nombre producto]],Productos!$C:$C,Productos!N:N, "Error",0,1)</f>
        <v>289.17073170731709</v>
      </c>
      <c r="P17" s="21">
        <f>_xlfn.XLOOKUP(Tabla27[[#This Row],[Nombre producto]],Productos!$C:$C,Productos!O:O, "Error",0,1)</f>
        <v>0</v>
      </c>
      <c r="Q17" s="63" t="str">
        <f>_xlfn.XLOOKUP(Tabla27[[#This Row],[Tipo de venta]], Tabla2329[Tipo de venta], Tabla2329[Moneda final], "Error - Seleccionar Tipo de Venta", 0,1)</f>
        <v>USD</v>
      </c>
      <c r="R17" s="6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312</v>
      </c>
    </row>
    <row r="18" spans="2:18" ht="32" x14ac:dyDescent="0.2">
      <c r="B18" s="21" t="s">
        <v>40</v>
      </c>
      <c r="C18" s="20" t="s">
        <v>188</v>
      </c>
      <c r="D18" s="22" t="s">
        <v>99</v>
      </c>
      <c r="E18" s="48" t="s">
        <v>111</v>
      </c>
      <c r="F18" s="20" t="str">
        <f>_xlfn.XLOOKUP(Tabla27[[#This Row],[Nombre producto]],Productos!C:C,Productos!D:D, "Error",0,1)</f>
        <v>Soporte simple 1 sensor INOX</v>
      </c>
      <c r="G18" s="20" t="str">
        <f>_xlfn.XLOOKUP(Tabla27[[#This Row],[Nombre producto]], Tabla32[Nombre producto], Tabla32[Tipo de moneda],"Error - agregue producto a Productos",0,1)</f>
        <v>CLP</v>
      </c>
      <c r="H18" s="141">
        <f>_xlfn.XLOOKUP(Tabla27[[#This Row],[Nombre producto]], Tabla32[Nombre producto], Tabla32[Costo producto],"Error - agregue producto a Productos",0,1)</f>
        <v>200000</v>
      </c>
      <c r="I18" s="139">
        <v>2</v>
      </c>
      <c r="J18" s="147">
        <f>IF(Tabla27[[#This Row],[Moneda producto]]="USD",'Datos generales'!$G$3,IF(Tabla27[[#This Row],[Moneda producto]]="EUR",'Datos generales'!$G$3,0))</f>
        <v>0</v>
      </c>
      <c r="K18" s="56">
        <f>_xlfn.XLOOKUP(Tabla27[[#This Row],[Nombre producto]], Tabla32[Nombre producto], Tabla32[Precio USD],"Error - agregue producto a Productos",0,1)*(1)</f>
        <v>526.31578947368416</v>
      </c>
      <c r="L18" s="40">
        <f>_xlfn.XLOOKUP(Tabla27[[#This Row],[Nombre producto]], Tabla32[Nombre producto], Tabla32[Precio CLP],"Error - agregue producto a Productos",0,1)</f>
        <v>500000</v>
      </c>
      <c r="M18" s="40">
        <f>_xlfn.XLOOKUP(Tabla27[[#This Row],[Nombre producto]], Tabla32[Nombre producto], Tabla32[Precio UF],"Error - agregue producto a Productos",0,1)</f>
        <v>13.01771450589963</v>
      </c>
      <c r="N18" s="41">
        <f>_xlfn.XLOOKUP(Tabla27[[#This Row],[Nombre producto]], Tabla32[Nombre producto], Tabla32[Precio Euros],"Error - agregue producto a Productos",0,1)</f>
        <v>487.80487804878049</v>
      </c>
      <c r="O18" s="21">
        <f>_xlfn.XLOOKUP(Tabla27[[#This Row],[Nombre producto]],Productos!$C:$C,Productos!N:N, "Error",0,1)</f>
        <v>487.80487804878049</v>
      </c>
      <c r="P18" s="21" t="str">
        <f>_xlfn.XLOOKUP(Tabla27[[#This Row],[Nombre producto]],Productos!$C:$C,Productos!O:O, "Error",0,1)</f>
        <v>Mardinamica</v>
      </c>
      <c r="Q18" s="63" t="str">
        <f>_xlfn.XLOOKUP(Tabla27[[#This Row],[Tipo de venta]], Tabla2329[Tipo de venta], Tabla2329[Moneda final], "Error - Seleccionar Tipo de Venta", 0,1)</f>
        <v>USD</v>
      </c>
      <c r="R18" s="6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1052.6315789473683</v>
      </c>
    </row>
    <row r="19" spans="2:18" ht="32" x14ac:dyDescent="0.2">
      <c r="B19" s="21" t="s">
        <v>40</v>
      </c>
      <c r="C19" s="20" t="s">
        <v>188</v>
      </c>
      <c r="D19" s="22" t="s">
        <v>66</v>
      </c>
      <c r="E19" s="23" t="s">
        <v>192</v>
      </c>
      <c r="F19" s="20" t="str">
        <f>_xlfn.XLOOKUP(Tabla27[[#This Row],[Nombre producto]],Productos!C:C,Productos!D:D, "Error",0,1)</f>
        <v>Tablero IP65+ Fuente y accesorios</v>
      </c>
      <c r="G19" s="20" t="str">
        <f>_xlfn.XLOOKUP(Tabla27[[#This Row],[Nombre producto]], Tabla32[Nombre producto], Tabla32[Tipo de moneda],"Error - agregue producto a Productos",0,1)</f>
        <v>CLP</v>
      </c>
      <c r="H19" s="141">
        <f>_xlfn.XLOOKUP(Tabla27[[#This Row],[Nombre producto]], Tabla32[Nombre producto], Tabla32[Costo producto],"Error - agregue producto a Productos",0,1)</f>
        <v>150000</v>
      </c>
      <c r="I19" s="139">
        <v>2</v>
      </c>
      <c r="J19" s="147">
        <f>IF(Tabla27[[#This Row],[Moneda producto]]="USD",'Datos generales'!$G$3,IF(Tabla27[[#This Row],[Moneda producto]]="EUR",'Datos generales'!$G$3,0))</f>
        <v>0</v>
      </c>
      <c r="K19" s="56">
        <f>_xlfn.XLOOKUP(Tabla27[[#This Row],[Nombre producto]], Tabla32[Nombre producto], Tabla32[Precio USD],"Error - agregue producto a Productos",0,1)*(1)</f>
        <v>394.73684210526318</v>
      </c>
      <c r="L19" s="40">
        <f>_xlfn.XLOOKUP(Tabla27[[#This Row],[Nombre producto]], Tabla32[Nombre producto], Tabla32[Precio CLP],"Error - agregue producto a Productos",0,1)</f>
        <v>375000</v>
      </c>
      <c r="M19" s="40">
        <f>_xlfn.XLOOKUP(Tabla27[[#This Row],[Nombre producto]], Tabla32[Nombre producto], Tabla32[Precio UF],"Error - agregue producto a Productos",0,1)</f>
        <v>9.7632858794247213</v>
      </c>
      <c r="N19" s="41">
        <f>_xlfn.XLOOKUP(Tabla27[[#This Row],[Nombre producto]], Tabla32[Nombre producto], Tabla32[Precio Euros],"Error - agregue producto a Productos",0,1)</f>
        <v>365.85365853658539</v>
      </c>
      <c r="O19" s="21">
        <f>_xlfn.XLOOKUP(Tabla27[[#This Row],[Nombre producto]],Productos!$C:$C,Productos!N:N, "Error",0,1)</f>
        <v>365.85365853658539</v>
      </c>
      <c r="P19" s="21" t="str">
        <f>_xlfn.XLOOKUP(Tabla27[[#This Row],[Nombre producto]],Productos!$C:$C,Productos!O:O, "Error",0,1)</f>
        <v>Wolke</v>
      </c>
      <c r="Q19" s="63" t="str">
        <f>_xlfn.XLOOKUP(Tabla27[[#This Row],[Tipo de venta]], Tabla2329[Tipo de venta], Tabla2329[Moneda final], "Error - Seleccionar Tipo de Venta", 0,1)</f>
        <v>USD</v>
      </c>
      <c r="R19" s="6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789.47368421052636</v>
      </c>
    </row>
    <row r="20" spans="2:18" ht="32" x14ac:dyDescent="0.2">
      <c r="B20" s="21" t="s">
        <v>40</v>
      </c>
      <c r="C20" s="20" t="s">
        <v>182</v>
      </c>
      <c r="D20" s="22" t="s">
        <v>65</v>
      </c>
      <c r="E20" s="48" t="s">
        <v>48</v>
      </c>
      <c r="F20" s="20" t="str">
        <f>_xlfn.XLOOKUP(Tabla27[[#This Row],[Nombre producto]],Productos!C:C,Productos!D:D, "Error",0,1)</f>
        <v>Datalogger de fabricación propia - No hay margen porque ese es el precio final</v>
      </c>
      <c r="G20" s="20" t="str">
        <f>_xlfn.XLOOKUP(Tabla27[[#This Row],[Nombre producto]], Tabla32[Nombre producto], Tabla32[Tipo de moneda],"Error - agregue producto a Productos",0,1)</f>
        <v>USD</v>
      </c>
      <c r="H20" s="141">
        <f>_xlfn.XLOOKUP(Tabla27[[#This Row],[Nombre producto]], Tabla32[Nombre producto], Tabla32[Costo producto],"Error - agregue producto a Productos",0,1)</f>
        <v>600</v>
      </c>
      <c r="I20" s="139">
        <v>2</v>
      </c>
      <c r="J20" s="147">
        <f>IF(Tabla27[[#This Row],[Moneda producto]]="USD",'Datos generales'!$G$3,IF(Tabla27[[#This Row],[Moneda producto]]="EUR",'Datos generales'!$G$3,0))</f>
        <v>0.05</v>
      </c>
      <c r="K20" s="56">
        <f>_xlfn.XLOOKUP(Tabla27[[#This Row],[Nombre producto]], Tabla32[Nombre producto], Tabla32[Precio USD],"Error - agregue producto a Productos",0,1)*(1)</f>
        <v>666.66666666666663</v>
      </c>
      <c r="L20" s="40">
        <f>_xlfn.XLOOKUP(Tabla27[[#This Row],[Nombre producto]], Tabla32[Nombre producto], Tabla32[Precio CLP],"Error - agregue producto a Productos",0,1)</f>
        <v>633333.33333333326</v>
      </c>
      <c r="M20" s="40">
        <f>_xlfn.XLOOKUP(Tabla27[[#This Row],[Nombre producto]], Tabla32[Nombre producto], Tabla32[Precio UF],"Error - agregue producto a Productos",0,1)</f>
        <v>16.489105040806194</v>
      </c>
      <c r="N20" s="41">
        <f>_xlfn.XLOOKUP(Tabla27[[#This Row],[Nombre producto]], Tabla32[Nombre producto], Tabla32[Precio Euros],"Error - agregue producto a Productos",0,1)</f>
        <v>617.88617886178849</v>
      </c>
      <c r="O20" s="21">
        <f>_xlfn.XLOOKUP(Tabla27[[#This Row],[Nombre producto]],Productos!$C:$C,Productos!N:N, "Error",0,1)</f>
        <v>617.88617886178849</v>
      </c>
      <c r="P20" s="21" t="str">
        <f>_xlfn.XLOOKUP(Tabla27[[#This Row],[Nombre producto]],Productos!$C:$C,Productos!O:O, "Error",0,1)</f>
        <v>Wolke</v>
      </c>
      <c r="Q20" s="63" t="str">
        <f>_xlfn.XLOOKUP(Tabla27[[#This Row],[Tipo de venta]], Tabla2329[Tipo de venta], Tabla2329[Moneda final], "Error - Seleccionar Tipo de Venta", 0,1)</f>
        <v>USD</v>
      </c>
      <c r="R20" s="6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1333.3333333333333</v>
      </c>
    </row>
    <row r="21" spans="2:18" ht="224" x14ac:dyDescent="0.2">
      <c r="B21" s="21" t="s">
        <v>40</v>
      </c>
      <c r="C21" s="20" t="s">
        <v>182</v>
      </c>
      <c r="D21" s="22" t="s">
        <v>66</v>
      </c>
      <c r="E21" s="48" t="s">
        <v>159</v>
      </c>
      <c r="F21" s="20" t="str">
        <f>_xlfn.XLOOKUP(Tabla27[[#This Row],[Nombre producto]],Productos!C:C,Productos!D:D, "Error",0,1)</f>
        <v>[Ultrasonic open channel flowmeter] [LMQ]
Water weir flume type: Parshall flume No. 1-5;
Accuracy: Class 0.5;
Output: 4-20mA+RS485;
Electrical interface, housing material and protection level: split type,
M18×1.5 cable plug, engineering plastic, IP68;
Power supply: 24VDC;
Cable length: 10m;
Level range: 0-5M
Flow range: 0.1L/s~9999.99m3/h</v>
      </c>
      <c r="G21" s="20" t="str">
        <f>_xlfn.XLOOKUP(Tabla27[[#This Row],[Nombre producto]], Tabla32[Nombre producto], Tabla32[Tipo de moneda],"Error - agregue producto a Productos",0,1)</f>
        <v>USD</v>
      </c>
      <c r="H21" s="141">
        <f>_xlfn.XLOOKUP(Tabla27[[#This Row],[Nombre producto]], Tabla32[Nombre producto], Tabla32[Costo producto],"Error - agregue producto a Productos",0,1)</f>
        <v>425</v>
      </c>
      <c r="I21" s="139">
        <v>1</v>
      </c>
      <c r="J21" s="147">
        <f>IF(Tabla27[[#This Row],[Moneda producto]]="USD",'Datos generales'!$G$3,IF(Tabla27[[#This Row],[Moneda producto]]="EUR",'Datos generales'!$G$3,0))</f>
        <v>0.05</v>
      </c>
      <c r="K21" s="56">
        <f>_xlfn.XLOOKUP(Tabla27[[#This Row],[Nombre producto]], Tabla32[Nombre producto], Tabla32[Precio USD],"Error - agregue producto a Productos",0,1)*(1)</f>
        <v>1105</v>
      </c>
      <c r="L21" s="40">
        <f>_xlfn.XLOOKUP(Tabla27[[#This Row],[Nombre producto]], Tabla32[Nombre producto], Tabla32[Precio CLP],"Error - agregue producto a Productos",0,1)</f>
        <v>1049750</v>
      </c>
      <c r="M21" s="40">
        <f>_xlfn.XLOOKUP(Tabla27[[#This Row],[Nombre producto]], Tabla32[Nombre producto], Tabla32[Precio UF],"Error - agregue producto a Productos",0,1)</f>
        <v>27.33069160513627</v>
      </c>
      <c r="N21" s="41">
        <f>_xlfn.XLOOKUP(Tabla27[[#This Row],[Nombre producto]], Tabla32[Nombre producto], Tabla32[Precio Euros],"Error - agregue producto a Productos",0,1)</f>
        <v>1024.1463414634147</v>
      </c>
      <c r="O21" s="21">
        <f>_xlfn.XLOOKUP(Tabla27[[#This Row],[Nombre producto]],Productos!$C:$C,Productos!N:N, "Error",0,1)</f>
        <v>1024.1463414634147</v>
      </c>
      <c r="P21" s="21" t="str">
        <f>_xlfn.XLOOKUP(Tabla27[[#This Row],[Nombre producto]],Productos!$C:$C,Productos!O:O, "Error",0,1)</f>
        <v>Supme</v>
      </c>
      <c r="Q21" s="63" t="str">
        <f>_xlfn.XLOOKUP(Tabla27[[#This Row],[Tipo de venta]], Tabla2329[Tipo de venta], Tabla2329[Moneda final], "Error - Seleccionar Tipo de Venta", 0,1)</f>
        <v>USD</v>
      </c>
      <c r="R21" s="6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1105</v>
      </c>
    </row>
    <row r="22" spans="2:18" ht="240" x14ac:dyDescent="0.2">
      <c r="B22" s="21" t="s">
        <v>40</v>
      </c>
      <c r="C22" s="20" t="s">
        <v>182</v>
      </c>
      <c r="D22" s="22" t="s">
        <v>66</v>
      </c>
      <c r="E22" s="23" t="s">
        <v>168</v>
      </c>
      <c r="F22" s="20" t="str">
        <f>_xlfn.XLOOKUP(Tabla27[[#This Row],[Nombre producto]],Productos!C:C,Productos!D:D, "Error",0,1)</f>
        <v>[pH digital electrode] [pH-8001]
Electrode connector: direct lead;
Salt bridge type: single-point ceramic diaphragm;
Temperature compensation type: NTC 22K;
Output: RS485;
Power supply: 12VDC;
Cable length: 10m;
Shell material and process connection: engineering plastic, G3/4
thread;
Measuring range: (0-14)pH
Temperature range: (0-60)℃
Pressure resistance: 0.3MPa</v>
      </c>
      <c r="G22" s="20" t="str">
        <f>_xlfn.XLOOKUP(Tabla27[[#This Row],[Nombre producto]], Tabla32[Nombre producto], Tabla32[Tipo de moneda],"Error - agregue producto a Productos",0,1)</f>
        <v>USD</v>
      </c>
      <c r="H22" s="141">
        <f>_xlfn.XLOOKUP(Tabla27[[#This Row],[Nombre producto]], Tabla32[Nombre producto], Tabla32[Costo producto],"Error - agregue producto a Productos",0,1)</f>
        <v>120</v>
      </c>
      <c r="I22" s="139">
        <v>1</v>
      </c>
      <c r="J22" s="147">
        <f>IF(Tabla27[[#This Row],[Moneda producto]]="USD",'Datos generales'!$G$3,IF(Tabla27[[#This Row],[Moneda producto]]="EUR",'Datos generales'!$G$3,0))</f>
        <v>0.05</v>
      </c>
      <c r="K22" s="56">
        <f>_xlfn.XLOOKUP(Tabla27[[#This Row],[Nombre producto]], Tabla32[Nombre producto], Tabla32[Precio USD],"Error - agregue producto a Productos",0,1)*(1)</f>
        <v>312</v>
      </c>
      <c r="L22" s="40">
        <f>_xlfn.XLOOKUP(Tabla27[[#This Row],[Nombre producto]], Tabla32[Nombre producto], Tabla32[Precio CLP],"Error - agregue producto a Productos",0,1)</f>
        <v>296400</v>
      </c>
      <c r="M22" s="40">
        <f>_xlfn.XLOOKUP(Tabla27[[#This Row],[Nombre producto]], Tabla32[Nombre producto], Tabla32[Precio UF],"Error - agregue producto a Productos",0,1)</f>
        <v>7.7169011590972998</v>
      </c>
      <c r="N22" s="41">
        <f>_xlfn.XLOOKUP(Tabla27[[#This Row],[Nombre producto]], Tabla32[Nombre producto], Tabla32[Precio Euros],"Error - agregue producto a Productos",0,1)</f>
        <v>289.17073170731709</v>
      </c>
      <c r="O22" s="21">
        <f>_xlfn.XLOOKUP(Tabla27[[#This Row],[Nombre producto]],Productos!$C:$C,Productos!N:N, "Error",0,1)</f>
        <v>289.17073170731709</v>
      </c>
      <c r="P22" s="21">
        <f>_xlfn.XLOOKUP(Tabla27[[#This Row],[Nombre producto]],Productos!$C:$C,Productos!O:O, "Error",0,1)</f>
        <v>0</v>
      </c>
      <c r="Q22" s="63" t="str">
        <f>_xlfn.XLOOKUP(Tabla27[[#This Row],[Tipo de venta]], Tabla2329[Tipo de venta], Tabla2329[Moneda final], "Error - Seleccionar Tipo de Venta", 0,1)</f>
        <v>USD</v>
      </c>
      <c r="R22" s="6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312</v>
      </c>
    </row>
    <row r="23" spans="2:18" ht="128" x14ac:dyDescent="0.2">
      <c r="B23" s="21" t="s">
        <v>40</v>
      </c>
      <c r="C23" s="20" t="s">
        <v>182</v>
      </c>
      <c r="D23" s="143" t="s">
        <v>66</v>
      </c>
      <c r="E23" s="23" t="s">
        <v>176</v>
      </c>
      <c r="F23" s="20" t="str">
        <f>_xlfn.XLOOKUP(Tabla27[[#This Row],[Nombre producto]],Productos!C:C,Productos!D:D, "Error",0,1)</f>
        <v>DO seNsor(Optical)
Cable: 10m
Range:0-20mg/L
Medium:wastewater
Material : Ti
IP68
Output : RS485
Note:Immersed installation only</v>
      </c>
      <c r="G23" s="20" t="str">
        <f>_xlfn.XLOOKUP(Tabla27[[#This Row],[Nombre producto]], Tabla32[Nombre producto], Tabla32[Tipo de moneda],"Error - agregue producto a Productos",0,1)</f>
        <v>USD</v>
      </c>
      <c r="H23" s="141">
        <f>_xlfn.XLOOKUP(Tabla27[[#This Row],[Nombre producto]], Tabla32[Nombre producto], Tabla32[Costo producto],"Error - agregue producto a Productos",0,1)</f>
        <v>600</v>
      </c>
      <c r="I23" s="139">
        <v>1</v>
      </c>
      <c r="J23" s="147">
        <f>IF(Tabla27[[#This Row],[Moneda producto]]="USD",'Datos generales'!$G$3,IF(Tabla27[[#This Row],[Moneda producto]]="EUR",'Datos generales'!$G$3,0))</f>
        <v>0.05</v>
      </c>
      <c r="K23" s="56">
        <f>_xlfn.XLOOKUP(Tabla27[[#This Row],[Nombre producto]], Tabla32[Nombre producto], Tabla32[Precio USD],"Error - agregue producto a Productos",0,1)*(1)</f>
        <v>1560</v>
      </c>
      <c r="L23" s="40">
        <f>_xlfn.XLOOKUP(Tabla27[[#This Row],[Nombre producto]], Tabla32[Nombre producto], Tabla32[Precio CLP],"Error - agregue producto a Productos",0,1)</f>
        <v>1482000</v>
      </c>
      <c r="M23" s="65">
        <f>_xlfn.XLOOKUP(Tabla27[[#This Row],[Nombre producto]], Tabla32[Nombre producto], Tabla32[Precio UF],"Error - agregue producto a Productos",0,1)</f>
        <v>38.5845057954865</v>
      </c>
      <c r="N23" s="142">
        <f>_xlfn.XLOOKUP(Tabla27[[#This Row],[Nombre producto]], Tabla32[Nombre producto], Tabla32[Precio Euros],"Error - agregue producto a Productos",0,1)</f>
        <v>1445.8536585365853</v>
      </c>
      <c r="O23" s="63">
        <f>_xlfn.XLOOKUP(Tabla27[[#This Row],[Nombre producto]],Productos!$C:$C,Productos!N:N, "Error",0,1)</f>
        <v>1445.8536585365853</v>
      </c>
      <c r="P23" s="63">
        <f>_xlfn.XLOOKUP(Tabla27[[#This Row],[Nombre producto]],Productos!$C:$C,Productos!O:O, "Error",0,1)</f>
        <v>0</v>
      </c>
      <c r="Q23" s="63" t="str">
        <f>_xlfn.XLOOKUP(Tabla27[[#This Row],[Tipo de venta]], Tabla2329[Tipo de venta], Tabla2329[Moneda final], "Error - Seleccionar Tipo de Venta", 0,1)</f>
        <v>USD</v>
      </c>
      <c r="R23" s="6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1560</v>
      </c>
    </row>
    <row r="24" spans="2:18" ht="240" x14ac:dyDescent="0.2">
      <c r="B24" s="21" t="s">
        <v>40</v>
      </c>
      <c r="C24" s="20" t="s">
        <v>182</v>
      </c>
      <c r="D24" s="143" t="s">
        <v>66</v>
      </c>
      <c r="E24" s="23" t="s">
        <v>168</v>
      </c>
      <c r="F24" s="20" t="str">
        <f>_xlfn.XLOOKUP(Tabla27[[#This Row],[Nombre producto]],Productos!C:C,Productos!D:D, "Error",0,1)</f>
        <v>[pH digital electrode] [pH-8001]
Electrode connector: direct lead;
Salt bridge type: single-point ceramic diaphragm;
Temperature compensation type: NTC 22K;
Output: RS485;
Power supply: 12VDC;
Cable length: 10m;
Shell material and process connection: engineering plastic, G3/4
thread;
Measuring range: (0-14)pH
Temperature range: (0-60)℃
Pressure resistance: 0.3MPa</v>
      </c>
      <c r="G24" s="20" t="str">
        <f>_xlfn.XLOOKUP(Tabla27[[#This Row],[Nombre producto]], Tabla32[Nombre producto], Tabla32[Tipo de moneda],"Error - agregue producto a Productos",0,1)</f>
        <v>USD</v>
      </c>
      <c r="H24" s="141">
        <f>_xlfn.XLOOKUP(Tabla27[[#This Row],[Nombre producto]], Tabla32[Nombre producto], Tabla32[Costo producto],"Error - agregue producto a Productos",0,1)</f>
        <v>120</v>
      </c>
      <c r="I24" s="139">
        <v>1</v>
      </c>
      <c r="J24" s="147">
        <f>IF(Tabla27[[#This Row],[Moneda producto]]="USD",'Datos generales'!$G$3,IF(Tabla27[[#This Row],[Moneda producto]]="EUR",'Datos generales'!$G$3,0))</f>
        <v>0.05</v>
      </c>
      <c r="K24" s="56">
        <f>_xlfn.XLOOKUP(Tabla27[[#This Row],[Nombre producto]], Tabla32[Nombre producto], Tabla32[Precio USD],"Error - agregue producto a Productos",0,1)*(1)</f>
        <v>312</v>
      </c>
      <c r="L24" s="40">
        <f>_xlfn.XLOOKUP(Tabla27[[#This Row],[Nombre producto]], Tabla32[Nombre producto], Tabla32[Precio CLP],"Error - agregue producto a Productos",0,1)</f>
        <v>296400</v>
      </c>
      <c r="M24" s="65">
        <f>_xlfn.XLOOKUP(Tabla27[[#This Row],[Nombre producto]], Tabla32[Nombre producto], Tabla32[Precio UF],"Error - agregue producto a Productos",0,1)</f>
        <v>7.7169011590972998</v>
      </c>
      <c r="N24" s="142">
        <f>_xlfn.XLOOKUP(Tabla27[[#This Row],[Nombre producto]], Tabla32[Nombre producto], Tabla32[Precio Euros],"Error - agregue producto a Productos",0,1)</f>
        <v>289.17073170731709</v>
      </c>
      <c r="O24" s="63">
        <f>_xlfn.XLOOKUP(Tabla27[[#This Row],[Nombre producto]],Productos!$C:$C,Productos!N:N, "Error",0,1)</f>
        <v>289.17073170731709</v>
      </c>
      <c r="P24" s="63">
        <f>_xlfn.XLOOKUP(Tabla27[[#This Row],[Nombre producto]],Productos!$C:$C,Productos!O:O, "Error",0,1)</f>
        <v>0</v>
      </c>
      <c r="Q24" s="63" t="str">
        <f>_xlfn.XLOOKUP(Tabla27[[#This Row],[Tipo de venta]], Tabla2329[Tipo de venta], Tabla2329[Moneda final], "Error - Seleccionar Tipo de Venta", 0,1)</f>
        <v>USD</v>
      </c>
      <c r="R24" s="6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312</v>
      </c>
    </row>
    <row r="25" spans="2:18" ht="32" x14ac:dyDescent="0.2">
      <c r="B25" s="21" t="s">
        <v>40</v>
      </c>
      <c r="C25" s="20" t="s">
        <v>182</v>
      </c>
      <c r="D25" s="143" t="s">
        <v>99</v>
      </c>
      <c r="E25" s="23" t="s">
        <v>111</v>
      </c>
      <c r="F25" s="20" t="str">
        <f>_xlfn.XLOOKUP(Tabla27[[#This Row],[Nombre producto]],Productos!C:C,Productos!D:D, "Error",0,1)</f>
        <v>Soporte simple 1 sensor INOX</v>
      </c>
      <c r="G25" s="20" t="str">
        <f>_xlfn.XLOOKUP(Tabla27[[#This Row],[Nombre producto]], Tabla32[Nombre producto], Tabla32[Tipo de moneda],"Error - agregue producto a Productos",0,1)</f>
        <v>CLP</v>
      </c>
      <c r="H25" s="141">
        <f>_xlfn.XLOOKUP(Tabla27[[#This Row],[Nombre producto]], Tabla32[Nombre producto], Tabla32[Costo producto],"Error - agregue producto a Productos",0,1)</f>
        <v>200000</v>
      </c>
      <c r="I25" s="139">
        <v>4</v>
      </c>
      <c r="J25" s="147">
        <f>IF(Tabla27[[#This Row],[Moneda producto]]="USD",'Datos generales'!$G$3,IF(Tabla27[[#This Row],[Moneda producto]]="EUR",'Datos generales'!$G$3,0))</f>
        <v>0</v>
      </c>
      <c r="K25" s="56">
        <f>_xlfn.XLOOKUP(Tabla27[[#This Row],[Nombre producto]], Tabla32[Nombre producto], Tabla32[Precio USD],"Error - agregue producto a Productos",0,1)*(1)</f>
        <v>526.31578947368416</v>
      </c>
      <c r="L25" s="40">
        <f>_xlfn.XLOOKUP(Tabla27[[#This Row],[Nombre producto]], Tabla32[Nombre producto], Tabla32[Precio CLP],"Error - agregue producto a Productos",0,1)</f>
        <v>500000</v>
      </c>
      <c r="M25" s="65">
        <f>_xlfn.XLOOKUP(Tabla27[[#This Row],[Nombre producto]], Tabla32[Nombre producto], Tabla32[Precio UF],"Error - agregue producto a Productos",0,1)</f>
        <v>13.01771450589963</v>
      </c>
      <c r="N25" s="142">
        <f>_xlfn.XLOOKUP(Tabla27[[#This Row],[Nombre producto]], Tabla32[Nombre producto], Tabla32[Precio Euros],"Error - agregue producto a Productos",0,1)</f>
        <v>487.80487804878049</v>
      </c>
      <c r="O25" s="63">
        <f>_xlfn.XLOOKUP(Tabla27[[#This Row],[Nombre producto]],Productos!$C:$C,Productos!N:N, "Error",0,1)</f>
        <v>487.80487804878049</v>
      </c>
      <c r="P25" s="63" t="str">
        <f>_xlfn.XLOOKUP(Tabla27[[#This Row],[Nombre producto]],Productos!$C:$C,Productos!O:O, "Error",0,1)</f>
        <v>Mardinamica</v>
      </c>
      <c r="Q25" s="63" t="str">
        <f>_xlfn.XLOOKUP(Tabla27[[#This Row],[Tipo de venta]], Tabla2329[Tipo de venta], Tabla2329[Moneda final], "Error - Seleccionar Tipo de Venta", 0,1)</f>
        <v>USD</v>
      </c>
      <c r="R25" s="6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2105.2631578947367</v>
      </c>
    </row>
    <row r="26" spans="2:18" ht="32" x14ac:dyDescent="0.2">
      <c r="B26" s="21" t="s">
        <v>40</v>
      </c>
      <c r="C26" s="20" t="s">
        <v>182</v>
      </c>
      <c r="D26" s="22" t="s">
        <v>99</v>
      </c>
      <c r="E26" s="23" t="s">
        <v>192</v>
      </c>
      <c r="F26" s="20" t="str">
        <f>_xlfn.XLOOKUP(Tabla27[[#This Row],[Nombre producto]],Productos!C:C,Productos!D:D, "Error",0,1)</f>
        <v>Tablero IP65+ Fuente y accesorios</v>
      </c>
      <c r="G26" s="20" t="str">
        <f>_xlfn.XLOOKUP(Tabla27[[#This Row],[Nombre producto]], Tabla32[Nombre producto], Tabla32[Tipo de moneda],"Error - agregue producto a Productos",0,1)</f>
        <v>CLP</v>
      </c>
      <c r="H26" s="141">
        <f>_xlfn.XLOOKUP(Tabla27[[#This Row],[Nombre producto]], Tabla32[Nombre producto], Tabla32[Costo producto],"Error - agregue producto a Productos",0,1)</f>
        <v>150000</v>
      </c>
      <c r="I26" s="139">
        <v>2</v>
      </c>
      <c r="J26" s="147">
        <f>IF(Tabla27[[#This Row],[Moneda producto]]="USD",'Datos generales'!$G$3,IF(Tabla27[[#This Row],[Moneda producto]]="EUR",'Datos generales'!$G$3,0))</f>
        <v>0</v>
      </c>
      <c r="K26" s="56">
        <f>_xlfn.XLOOKUP(Tabla27[[#This Row],[Nombre producto]], Tabla32[Nombre producto], Tabla32[Precio USD],"Error - agregue producto a Productos",0,1)*(1)</f>
        <v>394.73684210526318</v>
      </c>
      <c r="L26" s="40">
        <f>_xlfn.XLOOKUP(Tabla27[[#This Row],[Nombre producto]], Tabla32[Nombre producto], Tabla32[Precio CLP],"Error - agregue producto a Productos",0,1)</f>
        <v>375000</v>
      </c>
      <c r="M26" s="40">
        <f>_xlfn.XLOOKUP(Tabla27[[#This Row],[Nombre producto]], Tabla32[Nombre producto], Tabla32[Precio UF],"Error - agregue producto a Productos",0,1)</f>
        <v>9.7632858794247213</v>
      </c>
      <c r="N26" s="41">
        <f>_xlfn.XLOOKUP(Tabla27[[#This Row],[Nombre producto]], Tabla32[Nombre producto], Tabla32[Precio Euros],"Error - agregue producto a Productos",0,1)</f>
        <v>365.85365853658539</v>
      </c>
      <c r="O26" s="21">
        <f>_xlfn.XLOOKUP(Tabla27[[#This Row],[Nombre producto]],Productos!$C:$C,Productos!N:N, "Error",0,1)</f>
        <v>365.85365853658539</v>
      </c>
      <c r="P26" s="21" t="str">
        <f>_xlfn.XLOOKUP(Tabla27[[#This Row],[Nombre producto]],Productos!$C:$C,Productos!O:O, "Error",0,1)</f>
        <v>Wolke</v>
      </c>
      <c r="Q26" s="63" t="str">
        <f>_xlfn.XLOOKUP(Tabla27[[#This Row],[Tipo de venta]], Tabla2329[Tipo de venta], Tabla2329[Moneda final], "Error - Seleccionar Tipo de Venta", 0,1)</f>
        <v>USD</v>
      </c>
      <c r="R26" s="6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789.47368421052636</v>
      </c>
    </row>
    <row r="27" spans="2:18" ht="32" x14ac:dyDescent="0.2">
      <c r="B27" s="21" t="s">
        <v>40</v>
      </c>
      <c r="C27" s="20" t="s">
        <v>183</v>
      </c>
      <c r="D27" s="143" t="s">
        <v>65</v>
      </c>
      <c r="E27" s="23" t="s">
        <v>48</v>
      </c>
      <c r="F27" s="20" t="str">
        <f>_xlfn.XLOOKUP(Tabla27[[#This Row],[Nombre producto]],Productos!C:C,Productos!D:D, "Error",0,1)</f>
        <v>Datalogger de fabricación propia - No hay margen porque ese es el precio final</v>
      </c>
      <c r="G27" s="20" t="str">
        <f>_xlfn.XLOOKUP(Tabla27[[#This Row],[Nombre producto]], Tabla32[Nombre producto], Tabla32[Tipo de moneda],"Error - agregue producto a Productos",0,1)</f>
        <v>USD</v>
      </c>
      <c r="H27" s="141">
        <f>_xlfn.XLOOKUP(Tabla27[[#This Row],[Nombre producto]], Tabla32[Nombre producto], Tabla32[Costo producto],"Error - agregue producto a Productos",0,1)</f>
        <v>600</v>
      </c>
      <c r="I27" s="139">
        <v>4</v>
      </c>
      <c r="J27" s="147">
        <f>IF(Tabla27[[#This Row],[Moneda producto]]="USD",'Datos generales'!$G$3,IF(Tabla27[[#This Row],[Moneda producto]]="EUR",'Datos generales'!$G$3,0))</f>
        <v>0.05</v>
      </c>
      <c r="K27" s="56">
        <f>_xlfn.XLOOKUP(Tabla27[[#This Row],[Nombre producto]], Tabla32[Nombre producto], Tabla32[Precio USD],"Error - agregue producto a Productos",0,1)*(1)</f>
        <v>666.66666666666663</v>
      </c>
      <c r="L27" s="40">
        <f>_xlfn.XLOOKUP(Tabla27[[#This Row],[Nombre producto]], Tabla32[Nombre producto], Tabla32[Precio CLP],"Error - agregue producto a Productos",0,1)</f>
        <v>633333.33333333326</v>
      </c>
      <c r="M27" s="65">
        <f>_xlfn.XLOOKUP(Tabla27[[#This Row],[Nombre producto]], Tabla32[Nombre producto], Tabla32[Precio UF],"Error - agregue producto a Productos",0,1)</f>
        <v>16.489105040806194</v>
      </c>
      <c r="N27" s="142">
        <f>_xlfn.XLOOKUP(Tabla27[[#This Row],[Nombre producto]], Tabla32[Nombre producto], Tabla32[Precio Euros],"Error - agregue producto a Productos",0,1)</f>
        <v>617.88617886178849</v>
      </c>
      <c r="O27" s="63">
        <f>_xlfn.XLOOKUP(Tabla27[[#This Row],[Nombre producto]],Productos!$C:$C,Productos!N:N, "Error",0,1)</f>
        <v>617.88617886178849</v>
      </c>
      <c r="P27" s="63" t="str">
        <f>_xlfn.XLOOKUP(Tabla27[[#This Row],[Nombre producto]],Productos!$C:$C,Productos!O:O, "Error",0,1)</f>
        <v>Wolke</v>
      </c>
      <c r="Q27" s="63" t="str">
        <f>_xlfn.XLOOKUP(Tabla27[[#This Row],[Tipo de venta]], Tabla2329[Tipo de venta], Tabla2329[Moneda final], "Error - Seleccionar Tipo de Venta", 0,1)</f>
        <v>USD</v>
      </c>
      <c r="R27" s="6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2666.6666666666665</v>
      </c>
    </row>
    <row r="28" spans="2:18" ht="96" x14ac:dyDescent="0.2">
      <c r="B28" s="21" t="s">
        <v>40</v>
      </c>
      <c r="C28" s="20" t="s">
        <v>183</v>
      </c>
      <c r="D28" s="143" t="s">
        <v>66</v>
      </c>
      <c r="E28" s="23" t="s">
        <v>165</v>
      </c>
      <c r="F28" s="20" t="str">
        <f>_xlfn.XLOOKUP(Tabla27[[#This Row],[Nombre producto]],Productos!C:C,Productos!D:D, "Error",0,1)</f>
        <v>Digital conductivity seNsor
Cable:10M
Range:0-70ms/cm
Temperaure range: 0-60℃
Material:POM
IP68 RS485</v>
      </c>
      <c r="G28" s="20" t="str">
        <f>_xlfn.XLOOKUP(Tabla27[[#This Row],[Nombre producto]], Tabla32[Nombre producto], Tabla32[Tipo de moneda],"Error - agregue producto a Productos",0,1)</f>
        <v>USD</v>
      </c>
      <c r="H28" s="141">
        <f>_xlfn.XLOOKUP(Tabla27[[#This Row],[Nombre producto]], Tabla32[Nombre producto], Tabla32[Costo producto],"Error - agregue producto a Productos",0,1)</f>
        <v>160</v>
      </c>
      <c r="I28" s="139">
        <v>1</v>
      </c>
      <c r="J28" s="147">
        <f>IF(Tabla27[[#This Row],[Moneda producto]]="USD",'Datos generales'!$G$3,IF(Tabla27[[#This Row],[Moneda producto]]="EUR",'Datos generales'!$G$3,0))</f>
        <v>0.05</v>
      </c>
      <c r="K28" s="56">
        <f>_xlfn.XLOOKUP(Tabla27[[#This Row],[Nombre producto]], Tabla32[Nombre producto], Tabla32[Precio USD],"Error - agregue producto a Productos",0,1)*(1)</f>
        <v>416</v>
      </c>
      <c r="L28" s="40">
        <f>_xlfn.XLOOKUP(Tabla27[[#This Row],[Nombre producto]], Tabla32[Nombre producto], Tabla32[Precio CLP],"Error - agregue producto a Productos",0,1)</f>
        <v>395200</v>
      </c>
      <c r="M28" s="65">
        <f>_xlfn.XLOOKUP(Tabla27[[#This Row],[Nombre producto]], Tabla32[Nombre producto], Tabla32[Precio UF],"Error - agregue producto a Productos",0,1)</f>
        <v>10.289201545463067</v>
      </c>
      <c r="N28" s="142">
        <f>_xlfn.XLOOKUP(Tabla27[[#This Row],[Nombre producto]], Tabla32[Nombre producto], Tabla32[Precio Euros],"Error - agregue producto a Productos",0,1)</f>
        <v>385.5609756097561</v>
      </c>
      <c r="O28" s="63">
        <f>_xlfn.XLOOKUP(Tabla27[[#This Row],[Nombre producto]],Productos!$C:$C,Productos!N:N, "Error",0,1)</f>
        <v>385.5609756097561</v>
      </c>
      <c r="P28" s="63">
        <f>_xlfn.XLOOKUP(Tabla27[[#This Row],[Nombre producto]],Productos!$C:$C,Productos!O:O, "Error",0,1)</f>
        <v>0</v>
      </c>
      <c r="Q28" s="63" t="str">
        <f>_xlfn.XLOOKUP(Tabla27[[#This Row],[Tipo de venta]], Tabla2329[Tipo de venta], Tabla2329[Moneda final], "Error - Seleccionar Tipo de Venta", 0,1)</f>
        <v>USD</v>
      </c>
      <c r="R28" s="6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416</v>
      </c>
    </row>
    <row r="29" spans="2:18" ht="192" x14ac:dyDescent="0.2">
      <c r="B29" s="21" t="s">
        <v>40</v>
      </c>
      <c r="C29" s="20" t="s">
        <v>183</v>
      </c>
      <c r="D29" s="22" t="s">
        <v>66</v>
      </c>
      <c r="E29" s="48" t="s">
        <v>180</v>
      </c>
      <c r="F29" s="20" t="str">
        <f>_xlfn.XLOOKUP(Tabla27[[#This Row],[Nombre producto]],Productos!C:C,Productos!D:D, "Error",0,1)</f>
        <v>TSS seNsor
Cable: 10m
Measure range : 0.1 ~ 5000 mg/L or 0.1 ~ 500 mg/L
IP68
Material : 316L+PVC
9-36VDC + RS485
With self-cleaning function
Noted: add the pipe installation accessory for you, pressure rate lower
than 0.4MPa
Or use the Immersed installation</v>
      </c>
      <c r="G29" s="20" t="str">
        <f>_xlfn.XLOOKUP(Tabla27[[#This Row],[Nombre producto]], Tabla32[Nombre producto], Tabla32[Tipo de moneda],"Error - agregue producto a Productos",0,1)</f>
        <v>USD</v>
      </c>
      <c r="H29" s="141">
        <f>_xlfn.XLOOKUP(Tabla27[[#This Row],[Nombre producto]], Tabla32[Nombre producto], Tabla32[Costo producto],"Error - agregue producto a Productos",0,1)</f>
        <v>900</v>
      </c>
      <c r="I29" s="139">
        <v>2</v>
      </c>
      <c r="J29" s="147">
        <f>IF(Tabla27[[#This Row],[Moneda producto]]="USD",'Datos generales'!$G$3,IF(Tabla27[[#This Row],[Moneda producto]]="EUR",'Datos generales'!$G$3,0))</f>
        <v>0.05</v>
      </c>
      <c r="K29" s="56">
        <f>_xlfn.XLOOKUP(Tabla27[[#This Row],[Nombre producto]], Tabla32[Nombre producto], Tabla32[Precio USD],"Error - agregue producto a Productos",0,1)*(1)</f>
        <v>2340</v>
      </c>
      <c r="L29" s="40">
        <f>_xlfn.XLOOKUP(Tabla27[[#This Row],[Nombre producto]], Tabla32[Nombre producto], Tabla32[Precio CLP],"Error - agregue producto a Productos",0,1)</f>
        <v>2223000</v>
      </c>
      <c r="M29" s="40">
        <f>_xlfn.XLOOKUP(Tabla27[[#This Row],[Nombre producto]], Tabla32[Nombre producto], Tabla32[Precio UF],"Error - agregue producto a Productos",0,1)</f>
        <v>57.876758693229753</v>
      </c>
      <c r="N29" s="41">
        <f>_xlfn.XLOOKUP(Tabla27[[#This Row],[Nombre producto]], Tabla32[Nombre producto], Tabla32[Precio Euros],"Error - agregue producto a Productos",0,1)</f>
        <v>2168.7804878048782</v>
      </c>
      <c r="O29" s="21">
        <f>_xlfn.XLOOKUP(Tabla27[[#This Row],[Nombre producto]],Productos!$C:$C,Productos!N:N, "Error",0,1)</f>
        <v>2168.7804878048782</v>
      </c>
      <c r="P29" s="21">
        <f>_xlfn.XLOOKUP(Tabla27[[#This Row],[Nombre producto]],Productos!$C:$C,Productos!O:O, "Error",0,1)</f>
        <v>0</v>
      </c>
      <c r="Q29" s="63" t="str">
        <f>_xlfn.XLOOKUP(Tabla27[[#This Row],[Tipo de venta]], Tabla2329[Tipo de venta], Tabla2329[Moneda final], "Error - Seleccionar Tipo de Venta", 0,1)</f>
        <v>USD</v>
      </c>
      <c r="R29" s="6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4680</v>
      </c>
    </row>
    <row r="30" spans="2:18" ht="224" x14ac:dyDescent="0.2">
      <c r="B30" s="21" t="s">
        <v>40</v>
      </c>
      <c r="C30" s="20" t="s">
        <v>183</v>
      </c>
      <c r="D30" s="22" t="s">
        <v>66</v>
      </c>
      <c r="E30" s="23" t="s">
        <v>178</v>
      </c>
      <c r="F30" s="20" t="str">
        <f>_xlfn.XLOOKUP(Tabla27[[#This Row],[Nombre producto]],Productos!C:C,Productos!D:D, "Error",0,1)</f>
        <v>[pH digital electrode] [ORP-8001]
Electrode connector: direct lead;
Salt bridge type: single-point ceramic diaphragm;
Temperature compensation type: NTC 22K;
Output: RS485;
Power supply: 12VDC;
Cable length: 10m;
Shell material and process connection: engineering plastic, G3/4 thread;
Measuring range: （-1000-1000）mV
pH Temperature range: (0-60)℃
Pressure resistance: 0.3MPa</v>
      </c>
      <c r="G30" s="20" t="str">
        <f>_xlfn.XLOOKUP(Tabla27[[#This Row],[Nombre producto]], Tabla32[Nombre producto], Tabla32[Tipo de moneda],"Error - agregue producto a Productos",0,1)</f>
        <v>USD</v>
      </c>
      <c r="H30" s="141">
        <f>_xlfn.XLOOKUP(Tabla27[[#This Row],[Nombre producto]], Tabla32[Nombre producto], Tabla32[Costo producto],"Error - agregue producto a Productos",0,1)</f>
        <v>120</v>
      </c>
      <c r="I30" s="139">
        <v>1</v>
      </c>
      <c r="J30" s="147">
        <f>IF(Tabla27[[#This Row],[Moneda producto]]="USD",'Datos generales'!$G$3,IF(Tabla27[[#This Row],[Moneda producto]]="EUR",'Datos generales'!$G$3,0))</f>
        <v>0.05</v>
      </c>
      <c r="K30" s="56">
        <f>_xlfn.XLOOKUP(Tabla27[[#This Row],[Nombre producto]], Tabla32[Nombre producto], Tabla32[Precio USD],"Error - agregue producto a Productos",0,1)*(1)</f>
        <v>312</v>
      </c>
      <c r="L30" s="40">
        <f>_xlfn.XLOOKUP(Tabla27[[#This Row],[Nombre producto]], Tabla32[Nombre producto], Tabla32[Precio CLP],"Error - agregue producto a Productos",0,1)</f>
        <v>296400</v>
      </c>
      <c r="M30" s="40">
        <f>_xlfn.XLOOKUP(Tabla27[[#This Row],[Nombre producto]], Tabla32[Nombre producto], Tabla32[Precio UF],"Error - agregue producto a Productos",0,1)</f>
        <v>7.7169011590972998</v>
      </c>
      <c r="N30" s="41">
        <f>_xlfn.XLOOKUP(Tabla27[[#This Row],[Nombre producto]], Tabla32[Nombre producto], Tabla32[Precio Euros],"Error - agregue producto a Productos",0,1)</f>
        <v>289.17073170731709</v>
      </c>
      <c r="O30" s="21">
        <f>_xlfn.XLOOKUP(Tabla27[[#This Row],[Nombre producto]],Productos!$C:$C,Productos!N:N, "Error",0,1)</f>
        <v>289.17073170731709</v>
      </c>
      <c r="P30" s="21">
        <f>_xlfn.XLOOKUP(Tabla27[[#This Row],[Nombre producto]],Productos!$C:$C,Productos!O:O, "Error",0,1)</f>
        <v>0</v>
      </c>
      <c r="Q30" s="63" t="str">
        <f>_xlfn.XLOOKUP(Tabla27[[#This Row],[Tipo de venta]], Tabla2329[Tipo de venta], Tabla2329[Moneda final], "Error - Seleccionar Tipo de Venta", 0,1)</f>
        <v>USD</v>
      </c>
      <c r="R30" s="6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312</v>
      </c>
    </row>
    <row r="31" spans="2:18" ht="224" x14ac:dyDescent="0.2">
      <c r="B31" s="21" t="s">
        <v>40</v>
      </c>
      <c r="C31" s="20" t="s">
        <v>183</v>
      </c>
      <c r="D31" s="143" t="s">
        <v>66</v>
      </c>
      <c r="E31" s="23" t="s">
        <v>159</v>
      </c>
      <c r="F31" s="20" t="str">
        <f>_xlfn.XLOOKUP(Tabla27[[#This Row],[Nombre producto]],Productos!C:C,Productos!D:D, "Error",0,1)</f>
        <v>[Ultrasonic open channel flowmeter] [LMQ]
Water weir flume type: Parshall flume No. 1-5;
Accuracy: Class 0.5;
Output: 4-20mA+RS485;
Electrical interface, housing material and protection level: split type,
M18×1.5 cable plug, engineering plastic, IP68;
Power supply: 24VDC;
Cable length: 10m;
Level range: 0-5M
Flow range: 0.1L/s~9999.99m3/h</v>
      </c>
      <c r="G31" s="20" t="str">
        <f>_xlfn.XLOOKUP(Tabla27[[#This Row],[Nombre producto]], Tabla32[Nombre producto], Tabla32[Tipo de moneda],"Error - agregue producto a Productos",0,1)</f>
        <v>USD</v>
      </c>
      <c r="H31" s="141">
        <f>_xlfn.XLOOKUP(Tabla27[[#This Row],[Nombre producto]], Tabla32[Nombre producto], Tabla32[Costo producto],"Error - agregue producto a Productos",0,1)</f>
        <v>425</v>
      </c>
      <c r="I31" s="139">
        <v>1</v>
      </c>
      <c r="J31" s="147">
        <f>IF(Tabla27[[#This Row],[Moneda producto]]="USD",'Datos generales'!$G$3,IF(Tabla27[[#This Row],[Moneda producto]]="EUR",'Datos generales'!$G$3,0))</f>
        <v>0.05</v>
      </c>
      <c r="K31" s="56">
        <f>_xlfn.XLOOKUP(Tabla27[[#This Row],[Nombre producto]], Tabla32[Nombre producto], Tabla32[Precio USD],"Error - agregue producto a Productos",0,1)*(1)</f>
        <v>1105</v>
      </c>
      <c r="L31" s="40">
        <f>_xlfn.XLOOKUP(Tabla27[[#This Row],[Nombre producto]], Tabla32[Nombre producto], Tabla32[Precio CLP],"Error - agregue producto a Productos",0,1)</f>
        <v>1049750</v>
      </c>
      <c r="M31" s="65">
        <f>_xlfn.XLOOKUP(Tabla27[[#This Row],[Nombre producto]], Tabla32[Nombre producto], Tabla32[Precio UF],"Error - agregue producto a Productos",0,1)</f>
        <v>27.33069160513627</v>
      </c>
      <c r="N31" s="142">
        <f>_xlfn.XLOOKUP(Tabla27[[#This Row],[Nombre producto]], Tabla32[Nombre producto], Tabla32[Precio Euros],"Error - agregue producto a Productos",0,1)</f>
        <v>1024.1463414634147</v>
      </c>
      <c r="O31" s="63">
        <f>_xlfn.XLOOKUP(Tabla27[[#This Row],[Nombre producto]],Productos!$C:$C,Productos!N:N, "Error",0,1)</f>
        <v>1024.1463414634147</v>
      </c>
      <c r="P31" s="63" t="str">
        <f>_xlfn.XLOOKUP(Tabla27[[#This Row],[Nombre producto]],Productos!$C:$C,Productos!O:O, "Error",0,1)</f>
        <v>Supme</v>
      </c>
      <c r="Q31" s="63" t="str">
        <f>_xlfn.XLOOKUP(Tabla27[[#This Row],[Tipo de venta]], Tabla2329[Tipo de venta], Tabla2329[Moneda final], "Error - Seleccionar Tipo de Venta", 0,1)</f>
        <v>USD</v>
      </c>
      <c r="R31" s="6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1105</v>
      </c>
    </row>
    <row r="32" spans="2:18" ht="144" x14ac:dyDescent="0.2">
      <c r="B32" s="21" t="s">
        <v>40</v>
      </c>
      <c r="C32" s="20" t="s">
        <v>183</v>
      </c>
      <c r="D32" s="143" t="s">
        <v>66</v>
      </c>
      <c r="E32" s="23" t="s">
        <v>172</v>
      </c>
      <c r="F32" s="20" t="str">
        <f>_xlfn.XLOOKUP(Tabla27[[#This Row],[Nombre producto]],Productos!C:C,Productos!D:D, "Error",0,1)</f>
        <v>Residual chlorine electrode
Range: 0-10.00mg/L
temperature compensation：NTC 10K
output :RS485
power supply: 9-24VDC
Accuracy: ±3% (DPD comparison error ±10% or ±0.05mg/L, whichever
is greater)
Cable length: 10 meters</v>
      </c>
      <c r="G32" s="20" t="str">
        <f>_xlfn.XLOOKUP(Tabla27[[#This Row],[Nombre producto]], Tabla32[Nombre producto], Tabla32[Tipo de moneda],"Error - agregue producto a Productos",0,1)</f>
        <v>USD</v>
      </c>
      <c r="H32" s="141">
        <f>_xlfn.XLOOKUP(Tabla27[[#This Row],[Nombre producto]], Tabla32[Nombre producto], Tabla32[Costo producto],"Error - agregue producto a Productos",0,1)</f>
        <v>260</v>
      </c>
      <c r="I32" s="139">
        <v>1</v>
      </c>
      <c r="J32" s="147">
        <f>IF(Tabla27[[#This Row],[Moneda producto]]="USD",'Datos generales'!$G$3,IF(Tabla27[[#This Row],[Moneda producto]]="EUR",'Datos generales'!$G$3,0))</f>
        <v>0.05</v>
      </c>
      <c r="K32" s="56">
        <f>_xlfn.XLOOKUP(Tabla27[[#This Row],[Nombre producto]], Tabla32[Nombre producto], Tabla32[Precio USD],"Error - agregue producto a Productos",0,1)*(1)</f>
        <v>676</v>
      </c>
      <c r="L32" s="40">
        <f>_xlfn.XLOOKUP(Tabla27[[#This Row],[Nombre producto]], Tabla32[Nombre producto], Tabla32[Precio CLP],"Error - agregue producto a Productos",0,1)</f>
        <v>642200</v>
      </c>
      <c r="M32" s="65">
        <f>_xlfn.XLOOKUP(Tabla27[[#This Row],[Nombre producto]], Tabla32[Nombre producto], Tabla32[Precio UF],"Error - agregue producto a Productos",0,1)</f>
        <v>16.719952511377485</v>
      </c>
      <c r="N32" s="142">
        <f>_xlfn.XLOOKUP(Tabla27[[#This Row],[Nombre producto]], Tabla32[Nombre producto], Tabla32[Precio Euros],"Error - agregue producto a Productos",0,1)</f>
        <v>626.53658536585363</v>
      </c>
      <c r="O32" s="63">
        <f>_xlfn.XLOOKUP(Tabla27[[#This Row],[Nombre producto]],Productos!$C:$C,Productos!N:N, "Error",0,1)</f>
        <v>626.53658536585363</v>
      </c>
      <c r="P32" s="63">
        <f>_xlfn.XLOOKUP(Tabla27[[#This Row],[Nombre producto]],Productos!$C:$C,Productos!O:O, "Error",0,1)</f>
        <v>0</v>
      </c>
      <c r="Q32" s="63" t="str">
        <f>_xlfn.XLOOKUP(Tabla27[[#This Row],[Tipo de venta]], Tabla2329[Tipo de venta], Tabla2329[Moneda final], "Error - Seleccionar Tipo de Venta", 0,1)</f>
        <v>USD</v>
      </c>
      <c r="R32" s="6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676</v>
      </c>
    </row>
    <row r="33" spans="2:18" ht="240" x14ac:dyDescent="0.2">
      <c r="B33" s="21" t="s">
        <v>40</v>
      </c>
      <c r="C33" s="20" t="s">
        <v>183</v>
      </c>
      <c r="D33" s="143" t="s">
        <v>66</v>
      </c>
      <c r="E33" s="23" t="s">
        <v>168</v>
      </c>
      <c r="F33" s="20" t="str">
        <f>_xlfn.XLOOKUP(Tabla27[[#This Row],[Nombre producto]],Productos!C:C,Productos!D:D, "Error",0,1)</f>
        <v>[pH digital electrode] [pH-8001]
Electrode connector: direct lead;
Salt bridge type: single-point ceramic diaphragm;
Temperature compensation type: NTC 22K;
Output: RS485;
Power supply: 12VDC;
Cable length: 10m;
Shell material and process connection: engineering plastic, G3/4
thread;
Measuring range: (0-14)pH
Temperature range: (0-60)℃
Pressure resistance: 0.3MPa</v>
      </c>
      <c r="G33" s="20" t="str">
        <f>_xlfn.XLOOKUP(Tabla27[[#This Row],[Nombre producto]], Tabla32[Nombre producto], Tabla32[Tipo de moneda],"Error - agregue producto a Productos",0,1)</f>
        <v>USD</v>
      </c>
      <c r="H33" s="141">
        <f>_xlfn.XLOOKUP(Tabla27[[#This Row],[Nombre producto]], Tabla32[Nombre producto], Tabla32[Costo producto],"Error - agregue producto a Productos",0,1)</f>
        <v>120</v>
      </c>
      <c r="I33" s="139">
        <v>1</v>
      </c>
      <c r="J33" s="147">
        <f>IF(Tabla27[[#This Row],[Moneda producto]]="USD",'Datos generales'!$G$3,IF(Tabla27[[#This Row],[Moneda producto]]="EUR",'Datos generales'!$G$3,0))</f>
        <v>0.05</v>
      </c>
      <c r="K33" s="56">
        <f>_xlfn.XLOOKUP(Tabla27[[#This Row],[Nombre producto]], Tabla32[Nombre producto], Tabla32[Precio USD],"Error - agregue producto a Productos",0,1)*(1)</f>
        <v>312</v>
      </c>
      <c r="L33" s="40">
        <f>_xlfn.XLOOKUP(Tabla27[[#This Row],[Nombre producto]], Tabla32[Nombre producto], Tabla32[Precio CLP],"Error - agregue producto a Productos",0,1)</f>
        <v>296400</v>
      </c>
      <c r="M33" s="65">
        <f>_xlfn.XLOOKUP(Tabla27[[#This Row],[Nombre producto]], Tabla32[Nombre producto], Tabla32[Precio UF],"Error - agregue producto a Productos",0,1)</f>
        <v>7.7169011590972998</v>
      </c>
      <c r="N33" s="142">
        <f>_xlfn.XLOOKUP(Tabla27[[#This Row],[Nombre producto]], Tabla32[Nombre producto], Tabla32[Precio Euros],"Error - agregue producto a Productos",0,1)</f>
        <v>289.17073170731709</v>
      </c>
      <c r="O33" s="63">
        <f>_xlfn.XLOOKUP(Tabla27[[#This Row],[Nombre producto]],Productos!$C:$C,Productos!N:N, "Error",0,1)</f>
        <v>289.17073170731709</v>
      </c>
      <c r="P33" s="63">
        <f>_xlfn.XLOOKUP(Tabla27[[#This Row],[Nombre producto]],Productos!$C:$C,Productos!O:O, "Error",0,1)</f>
        <v>0</v>
      </c>
      <c r="Q33" s="63" t="str">
        <f>_xlfn.XLOOKUP(Tabla27[[#This Row],[Tipo de venta]], Tabla2329[Tipo de venta], Tabla2329[Moneda final], "Error - Seleccionar Tipo de Venta", 0,1)</f>
        <v>USD</v>
      </c>
      <c r="R33" s="6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312</v>
      </c>
    </row>
    <row r="34" spans="2:18" ht="32" x14ac:dyDescent="0.2">
      <c r="B34" s="21" t="s">
        <v>40</v>
      </c>
      <c r="C34" s="20" t="s">
        <v>183</v>
      </c>
      <c r="D34" s="143" t="s">
        <v>99</v>
      </c>
      <c r="E34" s="23" t="s">
        <v>111</v>
      </c>
      <c r="F34" s="20" t="str">
        <f>_xlfn.XLOOKUP(Tabla27[[#This Row],[Nombre producto]],Productos!C:C,Productos!D:D, "Error",0,1)</f>
        <v>Soporte simple 1 sensor INOX</v>
      </c>
      <c r="G34" s="20" t="str">
        <f>_xlfn.XLOOKUP(Tabla27[[#This Row],[Nombre producto]], Tabla32[Nombre producto], Tabla32[Tipo de moneda],"Error - agregue producto a Productos",0,1)</f>
        <v>CLP</v>
      </c>
      <c r="H34" s="141">
        <f>_xlfn.XLOOKUP(Tabla27[[#This Row],[Nombre producto]], Tabla32[Nombre producto], Tabla32[Costo producto],"Error - agregue producto a Productos",0,1)</f>
        <v>200000</v>
      </c>
      <c r="I34" s="139">
        <v>7</v>
      </c>
      <c r="J34" s="147">
        <f>IF(Tabla27[[#This Row],[Moneda producto]]="USD",'Datos generales'!$G$3,IF(Tabla27[[#This Row],[Moneda producto]]="EUR",'Datos generales'!$G$3,0))</f>
        <v>0</v>
      </c>
      <c r="K34" s="56">
        <f>_xlfn.XLOOKUP(Tabla27[[#This Row],[Nombre producto]], Tabla32[Nombre producto], Tabla32[Precio USD],"Error - agregue producto a Productos",0,1)*(1)</f>
        <v>526.31578947368416</v>
      </c>
      <c r="L34" s="40">
        <f>_xlfn.XLOOKUP(Tabla27[[#This Row],[Nombre producto]], Tabla32[Nombre producto], Tabla32[Precio CLP],"Error - agregue producto a Productos",0,1)</f>
        <v>500000</v>
      </c>
      <c r="M34" s="65">
        <f>_xlfn.XLOOKUP(Tabla27[[#This Row],[Nombre producto]], Tabla32[Nombre producto], Tabla32[Precio UF],"Error - agregue producto a Productos",0,1)</f>
        <v>13.01771450589963</v>
      </c>
      <c r="N34" s="142">
        <f>_xlfn.XLOOKUP(Tabla27[[#This Row],[Nombre producto]], Tabla32[Nombre producto], Tabla32[Precio Euros],"Error - agregue producto a Productos",0,1)</f>
        <v>487.80487804878049</v>
      </c>
      <c r="O34" s="63">
        <f>_xlfn.XLOOKUP(Tabla27[[#This Row],[Nombre producto]],Productos!$C:$C,Productos!N:N, "Error",0,1)</f>
        <v>487.80487804878049</v>
      </c>
      <c r="P34" s="63" t="str">
        <f>_xlfn.XLOOKUP(Tabla27[[#This Row],[Nombre producto]],Productos!$C:$C,Productos!O:O, "Error",0,1)</f>
        <v>Mardinamica</v>
      </c>
      <c r="Q34" s="63" t="str">
        <f>_xlfn.XLOOKUP(Tabla27[[#This Row],[Tipo de venta]], Tabla2329[Tipo de venta], Tabla2329[Moneda final], "Error - Seleccionar Tipo de Venta", 0,1)</f>
        <v>USD</v>
      </c>
      <c r="R34" s="6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3684.2105263157891</v>
      </c>
    </row>
    <row r="35" spans="2:18" ht="32" x14ac:dyDescent="0.2">
      <c r="B35" s="21" t="s">
        <v>40</v>
      </c>
      <c r="C35" s="20" t="s">
        <v>183</v>
      </c>
      <c r="D35" s="22" t="s">
        <v>99</v>
      </c>
      <c r="E35" s="48" t="s">
        <v>192</v>
      </c>
      <c r="F35" s="20" t="str">
        <f>_xlfn.XLOOKUP(Tabla27[[#This Row],[Nombre producto]],Productos!C:C,Productos!D:D, "Error",0,1)</f>
        <v>Tablero IP65+ Fuente y accesorios</v>
      </c>
      <c r="G35" s="20" t="str">
        <f>_xlfn.XLOOKUP(Tabla27[[#This Row],[Nombre producto]], Tabla32[Nombre producto], Tabla32[Tipo de moneda],"Error - agregue producto a Productos",0,1)</f>
        <v>CLP</v>
      </c>
      <c r="H35" s="141">
        <f>_xlfn.XLOOKUP(Tabla27[[#This Row],[Nombre producto]], Tabla32[Nombre producto], Tabla32[Costo producto],"Error - agregue producto a Productos",0,1)</f>
        <v>150000</v>
      </c>
      <c r="I35" s="139">
        <v>4</v>
      </c>
      <c r="J35" s="147">
        <f>IF(Tabla27[[#This Row],[Moneda producto]]="USD",'Datos generales'!$G$3,IF(Tabla27[[#This Row],[Moneda producto]]="EUR",'Datos generales'!$G$3,0))</f>
        <v>0</v>
      </c>
      <c r="K35" s="56">
        <f>_xlfn.XLOOKUP(Tabla27[[#This Row],[Nombre producto]], Tabla32[Nombre producto], Tabla32[Precio USD],"Error - agregue producto a Productos",0,1)*(1)</f>
        <v>394.73684210526318</v>
      </c>
      <c r="L35" s="40">
        <f>_xlfn.XLOOKUP(Tabla27[[#This Row],[Nombre producto]], Tabla32[Nombre producto], Tabla32[Precio CLP],"Error - agregue producto a Productos",0,1)</f>
        <v>375000</v>
      </c>
      <c r="M35" s="40">
        <f>_xlfn.XLOOKUP(Tabla27[[#This Row],[Nombre producto]], Tabla32[Nombre producto], Tabla32[Precio UF],"Error - agregue producto a Productos",0,1)</f>
        <v>9.7632858794247213</v>
      </c>
      <c r="N35" s="41">
        <f>_xlfn.XLOOKUP(Tabla27[[#This Row],[Nombre producto]], Tabla32[Nombre producto], Tabla32[Precio Euros],"Error - agregue producto a Productos",0,1)</f>
        <v>365.85365853658539</v>
      </c>
      <c r="O35" s="21">
        <f>_xlfn.XLOOKUP(Tabla27[[#This Row],[Nombre producto]],Productos!$C:$C,Productos!N:N, "Error",0,1)</f>
        <v>365.85365853658539</v>
      </c>
      <c r="P35" s="21" t="str">
        <f>_xlfn.XLOOKUP(Tabla27[[#This Row],[Nombre producto]],Productos!$C:$C,Productos!O:O, "Error",0,1)</f>
        <v>Wolke</v>
      </c>
      <c r="Q35" s="63" t="str">
        <f>_xlfn.XLOOKUP(Tabla27[[#This Row],[Tipo de venta]], Tabla2329[Tipo de venta], Tabla2329[Moneda final], "Error - Seleccionar Tipo de Venta", 0,1)</f>
        <v>USD</v>
      </c>
      <c r="R35" s="6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1578.9473684210527</v>
      </c>
    </row>
  </sheetData>
  <mergeCells count="1">
    <mergeCell ref="E2:Q3"/>
  </mergeCell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D62D9C6-F9EB-4F4D-B453-168CE2B8B269}">
          <x14:formula1>
            <xm:f>'Datos proyecto'!$I$9:$I$530</xm:f>
          </x14:formula1>
          <xm:sqref>B7:B35</xm:sqref>
        </x14:dataValidation>
        <x14:dataValidation type="list" allowBlank="1" showInputMessage="1" showErrorMessage="1" xr:uid="{59A05454-E1DD-44D5-9514-2122E6F74387}">
          <x14:formula1>
            <xm:f>Productos!$B:$B</xm:f>
          </x14:formula1>
          <xm:sqref>D7:D35</xm:sqref>
        </x14:dataValidation>
        <x14:dataValidation type="list" allowBlank="1" showInputMessage="1" showErrorMessage="1" xr:uid="{169857F6-556C-45F6-BEA0-70083EBE209E}">
          <x14:formula1>
            <xm:f>Productos!$C:$C</xm:f>
          </x14:formula1>
          <xm:sqref>E7:E393</xm:sqref>
        </x14:dataValidation>
        <x14:dataValidation type="list" allowBlank="1" showInputMessage="1" showErrorMessage="1" xr:uid="{AAB75971-646D-4890-BC7D-87C5374A7A5E}">
          <x14:formula1>
            <xm:f>'Datos proyecto'!$F$9:$F$1048576</xm:f>
          </x14:formula1>
          <xm:sqref>C7:C1048576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5A4AD-7A94-4514-8B00-3F75C5A38F9C}">
  <sheetPr codeName="Hoja8">
    <tabColor rgb="FF00B050"/>
  </sheetPr>
  <dimension ref="B2:R29"/>
  <sheetViews>
    <sheetView topLeftCell="A6" zoomScale="85" zoomScaleNormal="85" workbookViewId="0">
      <selection activeCell="B7" sqref="B7"/>
    </sheetView>
  </sheetViews>
  <sheetFormatPr baseColWidth="10" defaultColWidth="11.5" defaultRowHeight="15" x14ac:dyDescent="0.2"/>
  <cols>
    <col min="2" max="2" width="14.33203125" customWidth="1"/>
    <col min="3" max="3" width="23.6640625" customWidth="1"/>
    <col min="4" max="4" width="35.1640625" customWidth="1"/>
    <col min="5" max="5" width="17.1640625" customWidth="1"/>
    <col min="6" max="6" width="18.33203125" customWidth="1"/>
    <col min="7" max="7" width="16.83203125" bestFit="1" customWidth="1"/>
    <col min="8" max="8" width="17.1640625" customWidth="1"/>
    <col min="9" max="9" width="12" customWidth="1"/>
    <col min="10" max="10" width="22.33203125" bestFit="1" customWidth="1"/>
    <col min="11" max="11" width="17.5" customWidth="1"/>
    <col min="12" max="12" width="16.1640625" customWidth="1"/>
    <col min="13" max="13" width="14.83203125" customWidth="1"/>
    <col min="14" max="14" width="18.83203125" bestFit="1" customWidth="1"/>
    <col min="15" max="15" width="17.83203125" customWidth="1"/>
    <col min="16" max="16" width="23" bestFit="1" customWidth="1"/>
    <col min="17" max="17" width="27.5" bestFit="1" customWidth="1"/>
    <col min="18" max="18" width="30.1640625" customWidth="1"/>
    <col min="19" max="19" width="19.5" bestFit="1" customWidth="1"/>
  </cols>
  <sheetData>
    <row r="2" spans="2:18" x14ac:dyDescent="0.2">
      <c r="E2" s="161" t="s">
        <v>126</v>
      </c>
      <c r="F2" s="161"/>
      <c r="G2" s="161"/>
      <c r="H2" s="161"/>
      <c r="I2" s="161"/>
      <c r="J2" s="161"/>
      <c r="K2" s="161"/>
    </row>
    <row r="3" spans="2:18" x14ac:dyDescent="0.2">
      <c r="E3" s="161"/>
      <c r="F3" s="161"/>
      <c r="G3" s="161"/>
      <c r="H3" s="161"/>
      <c r="I3" s="161"/>
      <c r="J3" s="161"/>
      <c r="K3" s="161"/>
    </row>
    <row r="4" spans="2:18" x14ac:dyDescent="0.2">
      <c r="E4" s="129" t="s">
        <v>128</v>
      </c>
      <c r="F4" s="162" t="s">
        <v>127</v>
      </c>
      <c r="G4" s="163"/>
      <c r="H4" s="163"/>
      <c r="I4" s="163"/>
      <c r="J4" s="163"/>
      <c r="K4" s="164"/>
    </row>
    <row r="5" spans="2:18" x14ac:dyDescent="0.2">
      <c r="B5" s="128" t="s">
        <v>49</v>
      </c>
      <c r="C5" s="127" t="s">
        <v>59</v>
      </c>
      <c r="D5" s="127" t="s">
        <v>59</v>
      </c>
      <c r="E5" s="127" t="s">
        <v>59</v>
      </c>
      <c r="F5" s="127" t="s">
        <v>59</v>
      </c>
      <c r="G5" s="127" t="s">
        <v>59</v>
      </c>
      <c r="H5" s="127" t="s">
        <v>59</v>
      </c>
      <c r="I5" s="127" t="s">
        <v>59</v>
      </c>
      <c r="J5" s="127" t="s">
        <v>59</v>
      </c>
      <c r="K5" s="127" t="s">
        <v>59</v>
      </c>
      <c r="L5" s="127" t="s">
        <v>59</v>
      </c>
      <c r="M5" s="127" t="s">
        <v>59</v>
      </c>
      <c r="N5" s="127" t="s">
        <v>59</v>
      </c>
      <c r="O5" s="127" t="s">
        <v>59</v>
      </c>
      <c r="P5" s="127" t="s">
        <v>59</v>
      </c>
      <c r="Q5" s="127" t="s">
        <v>59</v>
      </c>
    </row>
    <row r="6" spans="2:18" ht="32" x14ac:dyDescent="0.2">
      <c r="B6" s="19" t="s">
        <v>60</v>
      </c>
      <c r="C6" s="19" t="s">
        <v>61</v>
      </c>
      <c r="D6" s="19" t="s">
        <v>36</v>
      </c>
      <c r="E6" s="29" t="s">
        <v>68</v>
      </c>
      <c r="F6" s="19" t="s">
        <v>69</v>
      </c>
      <c r="G6" s="19" t="s">
        <v>70</v>
      </c>
      <c r="H6" s="29" t="s">
        <v>71</v>
      </c>
      <c r="I6" s="19" t="s">
        <v>22</v>
      </c>
      <c r="J6" s="19" t="s">
        <v>72</v>
      </c>
      <c r="K6" s="19" t="s">
        <v>73</v>
      </c>
      <c r="L6" s="19" t="s">
        <v>57</v>
      </c>
      <c r="M6" s="19" t="s">
        <v>74</v>
      </c>
      <c r="N6" s="19" t="s">
        <v>125</v>
      </c>
      <c r="O6" s="19" t="s">
        <v>75</v>
      </c>
      <c r="P6" s="19" t="s">
        <v>76</v>
      </c>
      <c r="Q6" s="19" t="s">
        <v>77</v>
      </c>
      <c r="R6" t="s">
        <v>107</v>
      </c>
    </row>
    <row r="7" spans="2:18" ht="32" x14ac:dyDescent="0.2">
      <c r="B7" s="24" t="s">
        <v>65</v>
      </c>
      <c r="C7" s="23" t="s">
        <v>48</v>
      </c>
      <c r="D7" s="24" t="s">
        <v>78</v>
      </c>
      <c r="E7" s="24" t="s">
        <v>6</v>
      </c>
      <c r="F7" s="59" t="s">
        <v>17</v>
      </c>
      <c r="G7" s="54">
        <v>600</v>
      </c>
      <c r="H7" s="54">
        <f>IF(Tabla32[[#This Row],[CIF/FOB/Nacional]]="Nacional", Tabla32[[#This Row],[Costo producto]],IF(Tabla32[[#This Row],[CIF/FOB/Nacional]]="CIF", Tabla32[[#This Row],[Costo producto]], Tabla32[[#This Row],[Costo producto]]*1.3))</f>
        <v>600</v>
      </c>
      <c r="I7" s="55">
        <f>_xlfn.XLOOKUP(Tabla32[[#This Row],[Agrupación]], 'Datos generales'!$S$8:$S$1048576, 'Datos generales'!$T$8:$T$1048576,"Margen en agrupación no encontrado",0, 1)</f>
        <v>0.1</v>
      </c>
      <c r="J7" s="54">
        <f t="shared" ref="J7:J16" si="0">H7/(1-I7)</f>
        <v>666.66666666666663</v>
      </c>
      <c r="K7" s="56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633333.33333333326</v>
      </c>
      <c r="L7" s="56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16.489105040806194</v>
      </c>
      <c r="M7" s="56">
        <f>IF(Tabla32[[#This Row],[Tipo de moneda]]="USD", Tabla32[[#This Row],[Precio Moneda compra]], IF(Tabla32[[#This Row],[Tipo de moneda]]="CLP",Tabla32[[#This Row],[Precio Moneda compra]]/'Datos generales'!$C$10,IF(Tabla32[[#This Row],[Tipo de moneda]]="EUR",Tabla32[[#This Row],[Precio Moneda compra]]*'Datos generales'!$C$11/'Datos generales'!$C$10,Tabla32[[#This Row],[Precio Moneda compra]]*'Datos generales'!$C$9/'Datos generales'!$C$10)))</f>
        <v>666.66666666666663</v>
      </c>
      <c r="N7" s="56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617.88617886178849</v>
      </c>
      <c r="O7" s="25" t="s">
        <v>79</v>
      </c>
      <c r="P7" s="23" t="s">
        <v>10</v>
      </c>
      <c r="Q7" s="26" t="s">
        <v>80</v>
      </c>
    </row>
    <row r="8" spans="2:18" ht="32" x14ac:dyDescent="0.2">
      <c r="B8" s="24" t="s">
        <v>66</v>
      </c>
      <c r="C8" s="23" t="s">
        <v>67</v>
      </c>
      <c r="D8" s="24" t="s">
        <v>81</v>
      </c>
      <c r="E8" s="24" t="s">
        <v>6</v>
      </c>
      <c r="F8" s="59" t="s">
        <v>24</v>
      </c>
      <c r="G8" s="54">
        <v>118</v>
      </c>
      <c r="H8" s="54">
        <f>IF(Tabla32[[#This Row],[CIF/FOB/Nacional]]="Nacional", Tabla32[[#This Row],[Costo producto]],IF(Tabla32[[#This Row],[CIF/FOB/Nacional]]="CIF", Tabla32[[#This Row],[Costo producto]], Tabla32[[#This Row],[Costo producto]]*1.3))</f>
        <v>153.4</v>
      </c>
      <c r="I8" s="55">
        <f>_xlfn.XLOOKUP(Tabla32[[#This Row],[Agrupación]], 'Datos generales'!$S$8:$S$1048576, 'Datos generales'!$T$8:$T$1048576,"Margen en agrupación no encontrado",0, 1)</f>
        <v>0.5</v>
      </c>
      <c r="J8" s="54">
        <f t="shared" si="0"/>
        <v>306.8</v>
      </c>
      <c r="K8" s="56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291460</v>
      </c>
      <c r="L8" s="56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7.5882861397790116</v>
      </c>
      <c r="M8" s="56">
        <f>IF(Tabla32[[#This Row],[Tipo de moneda]]="USD", Tabla32[[#This Row],[Precio Moneda compra]], IF(Tabla32[[#This Row],[Tipo de moneda]]="CLP",Tabla32[[#This Row],[Precio Moneda compra]]/'Datos generales'!$C$10,IF(Tabla32[[#This Row],[Tipo de moneda]]="EUR",Tabla32[[#This Row],[Precio Moneda compra]]*'Datos generales'!$C$11/'Datos generales'!$C$10,Tabla32[[#This Row],[Precio Moneda compra]]*'Datos generales'!$C$9/'Datos generales'!$C$10)))</f>
        <v>306.8</v>
      </c>
      <c r="N8" s="56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284.35121951219514</v>
      </c>
      <c r="O8" s="25" t="s">
        <v>82</v>
      </c>
      <c r="P8" s="23" t="s">
        <v>83</v>
      </c>
      <c r="Q8" s="26" t="s">
        <v>84</v>
      </c>
    </row>
    <row r="9" spans="2:18" ht="32" x14ac:dyDescent="0.2">
      <c r="B9" s="20" t="s">
        <v>66</v>
      </c>
      <c r="C9" s="48" t="s">
        <v>85</v>
      </c>
      <c r="D9" s="20" t="s">
        <v>86</v>
      </c>
      <c r="E9" s="20" t="s">
        <v>6</v>
      </c>
      <c r="F9" s="31" t="s">
        <v>24</v>
      </c>
      <c r="G9" s="56">
        <v>93</v>
      </c>
      <c r="H9" s="56">
        <f>IF(Tabla32[[#This Row],[CIF/FOB/Nacional]]="Nacional", Tabla32[[#This Row],[Costo producto]],IF(Tabla32[[#This Row],[CIF/FOB/Nacional]]="CIF", Tabla32[[#This Row],[Costo producto]], Tabla32[[#This Row],[Costo producto]]*1.3))</f>
        <v>120.9</v>
      </c>
      <c r="I9" s="55">
        <f>_xlfn.XLOOKUP(Tabla32[[#This Row],[Agrupación]], 'Datos generales'!$S$8:$S$1048576, 'Datos generales'!$T$8:$T$1048576,"Margen en agrupación no encontrado",0, 1)</f>
        <v>0.5</v>
      </c>
      <c r="J9" s="56">
        <f t="shared" si="0"/>
        <v>241.8</v>
      </c>
      <c r="K9" s="56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229710</v>
      </c>
      <c r="L9" s="56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5.9805983983004074</v>
      </c>
      <c r="M9" s="56">
        <f>IF(Tabla32[[#This Row],[Tipo de moneda]]="USD", Tabla32[[#This Row],[Precio Moneda compra]], IF(Tabla32[[#This Row],[Tipo de moneda]]="CLP",Tabla32[[#This Row],[Precio Moneda compra]]/'Datos generales'!$C$10,IF(Tabla32[[#This Row],[Tipo de moneda]]="EUR",Tabla32[[#This Row],[Precio Moneda compra]]*'Datos generales'!$C$11/'Datos generales'!$C$10,Tabla32[[#This Row],[Precio Moneda compra]]*'Datos generales'!$C$9/'Datos generales'!$C$10)))</f>
        <v>241.8</v>
      </c>
      <c r="N9" s="56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224.10731707317072</v>
      </c>
      <c r="O9" s="25" t="s">
        <v>82</v>
      </c>
      <c r="P9" s="23" t="s">
        <v>83</v>
      </c>
      <c r="Q9" s="26" t="s">
        <v>84</v>
      </c>
    </row>
    <row r="10" spans="2:18" ht="32" x14ac:dyDescent="0.2">
      <c r="B10" s="20" t="s">
        <v>66</v>
      </c>
      <c r="C10" s="48" t="s">
        <v>87</v>
      </c>
      <c r="D10" s="20" t="s">
        <v>88</v>
      </c>
      <c r="E10" s="20" t="s">
        <v>6</v>
      </c>
      <c r="F10" s="31" t="s">
        <v>24</v>
      </c>
      <c r="G10" s="56">
        <v>490</v>
      </c>
      <c r="H10" s="56">
        <f>IF(Tabla32[[#This Row],[CIF/FOB/Nacional]]="Nacional", Tabla32[[#This Row],[Costo producto]],IF(Tabla32[[#This Row],[CIF/FOB/Nacional]]="CIF", Tabla32[[#This Row],[Costo producto]], Tabla32[[#This Row],[Costo producto]]*1.3))</f>
        <v>637</v>
      </c>
      <c r="I10" s="55">
        <f>_xlfn.XLOOKUP(Tabla32[[#This Row],[Agrupación]], 'Datos generales'!$S$8:$S$1048576, 'Datos generales'!$T$8:$T$1048576,"Margen en agrupación no encontrado",0, 1)</f>
        <v>0.5</v>
      </c>
      <c r="J10" s="56">
        <f t="shared" si="0"/>
        <v>1274</v>
      </c>
      <c r="K10" s="56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1210300</v>
      </c>
      <c r="L10" s="56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31.510679732980641</v>
      </c>
      <c r="M10" s="56">
        <f>IF(Tabla32[[#This Row],[Tipo de moneda]]="USD", Tabla32[[#This Row],[Precio Moneda compra]], IF(Tabla32[[#This Row],[Tipo de moneda]]="CLP",Tabla32[[#This Row],[Precio Moneda compra]]/'Datos generales'!$C$10,IF(Tabla32[[#This Row],[Tipo de moneda]]="EUR",Tabla32[[#This Row],[Precio Moneda compra]]*'Datos generales'!$C$11/'Datos generales'!$C$10,Tabla32[[#This Row],[Precio Moneda compra]]*'Datos generales'!$C$9/'Datos generales'!$C$10)))</f>
        <v>1274</v>
      </c>
      <c r="N10" s="56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1180.780487804878</v>
      </c>
      <c r="O10" s="25" t="s">
        <v>82</v>
      </c>
      <c r="P10" s="23" t="s">
        <v>83</v>
      </c>
      <c r="Q10" s="26" t="s">
        <v>84</v>
      </c>
    </row>
    <row r="11" spans="2:18" ht="32" x14ac:dyDescent="0.2">
      <c r="B11" s="20" t="s">
        <v>66</v>
      </c>
      <c r="C11" s="31" t="s">
        <v>89</v>
      </c>
      <c r="D11" s="20" t="s">
        <v>90</v>
      </c>
      <c r="E11" s="20" t="s">
        <v>6</v>
      </c>
      <c r="F11" s="31" t="s">
        <v>24</v>
      </c>
      <c r="G11" s="56">
        <v>650</v>
      </c>
      <c r="H11" s="56">
        <f>IF(Tabla32[[#This Row],[CIF/FOB/Nacional]]="Nacional", Tabla32[[#This Row],[Costo producto]],IF(Tabla32[[#This Row],[CIF/FOB/Nacional]]="CIF", Tabla32[[#This Row],[Costo producto]], Tabla32[[#This Row],[Costo producto]]*1.3))</f>
        <v>845</v>
      </c>
      <c r="I11" s="55">
        <f>_xlfn.XLOOKUP(Tabla32[[#This Row],[Agrupación]], 'Datos generales'!$S$8:$S$1048576, 'Datos generales'!$T$8:$T$1048576,"Margen en agrupación no encontrado",0, 1)</f>
        <v>0.5</v>
      </c>
      <c r="J11" s="56">
        <f t="shared" si="0"/>
        <v>1690</v>
      </c>
      <c r="K11" s="56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1605500</v>
      </c>
      <c r="L11" s="56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41.799881278443706</v>
      </c>
      <c r="M11" s="56">
        <f>IF(Tabla32[[#This Row],[Tipo de moneda]]="USD", Tabla32[[#This Row],[Precio Moneda compra]], IF(Tabla32[[#This Row],[Tipo de moneda]]="CLP",Tabla32[[#This Row],[Precio Moneda compra]]/'Datos generales'!$C$10,IF(Tabla32[[#This Row],[Tipo de moneda]]="EUR",Tabla32[[#This Row],[Precio Moneda compra]]*'Datos generales'!$C$11/'Datos generales'!$C$10,Tabla32[[#This Row],[Precio Moneda compra]]*'Datos generales'!$C$9/'Datos generales'!$C$10)))</f>
        <v>1690</v>
      </c>
      <c r="N11" s="56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1566.3414634146341</v>
      </c>
      <c r="O11" s="25" t="s">
        <v>82</v>
      </c>
      <c r="P11" s="23" t="s">
        <v>83</v>
      </c>
      <c r="Q11" s="26" t="s">
        <v>84</v>
      </c>
    </row>
    <row r="12" spans="2:18" ht="16" x14ac:dyDescent="0.2">
      <c r="B12" s="20" t="s">
        <v>66</v>
      </c>
      <c r="C12" s="48" t="s">
        <v>91</v>
      </c>
      <c r="D12" s="20" t="s">
        <v>92</v>
      </c>
      <c r="E12" s="20" t="s">
        <v>6</v>
      </c>
      <c r="F12" s="31" t="s">
        <v>24</v>
      </c>
      <c r="G12" s="56">
        <v>850</v>
      </c>
      <c r="H12" s="56">
        <f>IF(Tabla32[[#This Row],[CIF/FOB/Nacional]]="Nacional", Tabla32[[#This Row],[Costo producto]],IF(Tabla32[[#This Row],[CIF/FOB/Nacional]]="CIF", Tabla32[[#This Row],[Costo producto]], Tabla32[[#This Row],[Costo producto]]*1.3))</f>
        <v>1105</v>
      </c>
      <c r="I12" s="55">
        <f>_xlfn.XLOOKUP(Tabla32[[#This Row],[Agrupación]], 'Datos generales'!$S$8:$S$1048576, 'Datos generales'!$T$8:$T$1048576,"Margen en agrupación no encontrado",0, 1)</f>
        <v>0.5</v>
      </c>
      <c r="J12" s="56">
        <f t="shared" si="0"/>
        <v>2210</v>
      </c>
      <c r="K12" s="56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2099500</v>
      </c>
      <c r="L12" s="56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54.66138321027254</v>
      </c>
      <c r="M12" s="56">
        <f>IF(Tabla32[[#This Row],[Tipo de moneda]]="USD", Tabla32[[#This Row],[Precio Moneda compra]], IF(Tabla32[[#This Row],[Tipo de moneda]]="CLP",Tabla32[[#This Row],[Precio Moneda compra]]/'Datos generales'!$C$10,IF(Tabla32[[#This Row],[Tipo de moneda]]="EUR",Tabla32[[#This Row],[Precio Moneda compra]]*'Datos generales'!$C$11/'Datos generales'!$C$10,Tabla32[[#This Row],[Precio Moneda compra]]*'Datos generales'!$C$9/'Datos generales'!$C$10)))</f>
        <v>2210</v>
      </c>
      <c r="N12" s="56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2048.2926829268295</v>
      </c>
      <c r="O12" s="25" t="s">
        <v>82</v>
      </c>
      <c r="P12" s="23" t="s">
        <v>83</v>
      </c>
      <c r="Q12" s="26" t="s">
        <v>84</v>
      </c>
    </row>
    <row r="13" spans="2:18" ht="16" x14ac:dyDescent="0.2">
      <c r="B13" s="20" t="s">
        <v>66</v>
      </c>
      <c r="C13" s="31" t="s">
        <v>93</v>
      </c>
      <c r="D13" s="20" t="s">
        <v>94</v>
      </c>
      <c r="E13" s="20" t="s">
        <v>6</v>
      </c>
      <c r="F13" s="31" t="s">
        <v>24</v>
      </c>
      <c r="G13" s="56">
        <v>520</v>
      </c>
      <c r="H13" s="56">
        <f>IF(Tabla32[[#This Row],[CIF/FOB/Nacional]]="Nacional", Tabla32[[#This Row],[Costo producto]],IF(Tabla32[[#This Row],[CIF/FOB/Nacional]]="CIF", Tabla32[[#This Row],[Costo producto]], Tabla32[[#This Row],[Costo producto]]*1.3))</f>
        <v>676</v>
      </c>
      <c r="I13" s="55">
        <f>_xlfn.XLOOKUP(Tabla32[[#This Row],[Agrupación]], 'Datos generales'!$S$8:$S$1048576, 'Datos generales'!$T$8:$T$1048576,"Margen en agrupación no encontrado",0, 1)</f>
        <v>0.5</v>
      </c>
      <c r="J13" s="56">
        <f t="shared" si="0"/>
        <v>1352</v>
      </c>
      <c r="K13" s="56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1284400</v>
      </c>
      <c r="L13" s="56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33.439905022754971</v>
      </c>
      <c r="M13" s="56">
        <f>IF(Tabla32[[#This Row],[Tipo de moneda]]="USD", Tabla32[[#This Row],[Precio Moneda compra]], IF(Tabla32[[#This Row],[Tipo de moneda]]="CLP",Tabla32[[#This Row],[Precio Moneda compra]]/'Datos generales'!$C$10,IF(Tabla32[[#This Row],[Tipo de moneda]]="EUR",Tabla32[[#This Row],[Precio Moneda compra]]*'Datos generales'!$C$11/'Datos generales'!$C$10,Tabla32[[#This Row],[Precio Moneda compra]]*'Datos generales'!$C$9/'Datos generales'!$C$10)))</f>
        <v>1352</v>
      </c>
      <c r="N13" s="56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1253.0731707317073</v>
      </c>
      <c r="O13" s="25" t="s">
        <v>82</v>
      </c>
      <c r="P13" s="23" t="s">
        <v>83</v>
      </c>
      <c r="Q13" s="26" t="s">
        <v>84</v>
      </c>
    </row>
    <row r="14" spans="2:18" ht="16" x14ac:dyDescent="0.2">
      <c r="B14" s="20" t="s">
        <v>66</v>
      </c>
      <c r="C14" s="48" t="s">
        <v>95</v>
      </c>
      <c r="D14" s="20" t="s">
        <v>96</v>
      </c>
      <c r="E14" s="20" t="s">
        <v>6</v>
      </c>
      <c r="F14" s="31" t="s">
        <v>24</v>
      </c>
      <c r="G14" s="56">
        <v>652</v>
      </c>
      <c r="H14" s="56">
        <f>IF(Tabla32[[#This Row],[CIF/FOB/Nacional]]="Nacional", Tabla32[[#This Row],[Costo producto]],IF(Tabla32[[#This Row],[CIF/FOB/Nacional]]="CIF", Tabla32[[#This Row],[Costo producto]], Tabla32[[#This Row],[Costo producto]]*1.3))</f>
        <v>847.6</v>
      </c>
      <c r="I14" s="55">
        <f>_xlfn.XLOOKUP(Tabla32[[#This Row],[Agrupación]], 'Datos generales'!$S$8:$S$1048576, 'Datos generales'!$T$8:$T$1048576,"Margen en agrupación no encontrado",0, 1)</f>
        <v>0.5</v>
      </c>
      <c r="J14" s="56">
        <f t="shared" si="0"/>
        <v>1695.2</v>
      </c>
      <c r="K14" s="56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1610440</v>
      </c>
      <c r="L14" s="56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41.928496297761995</v>
      </c>
      <c r="M14" s="56">
        <f>IF(Tabla32[[#This Row],[Tipo de moneda]]="USD", Tabla32[[#This Row],[Precio Moneda compra]], IF(Tabla32[[#This Row],[Tipo de moneda]]="CLP",Tabla32[[#This Row],[Precio Moneda compra]]/'Datos generales'!$C$10,IF(Tabla32[[#This Row],[Tipo de moneda]]="EUR",Tabla32[[#This Row],[Precio Moneda compra]]*'Datos generales'!$C$11/'Datos generales'!$C$10,Tabla32[[#This Row],[Precio Moneda compra]]*'Datos generales'!$C$9/'Datos generales'!$C$10)))</f>
        <v>1695.2</v>
      </c>
      <c r="N14" s="56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1571.1609756097562</v>
      </c>
      <c r="O14" s="25" t="s">
        <v>82</v>
      </c>
      <c r="P14" s="23" t="s">
        <v>83</v>
      </c>
      <c r="Q14" s="26" t="s">
        <v>84</v>
      </c>
    </row>
    <row r="15" spans="2:18" ht="112" x14ac:dyDescent="0.2">
      <c r="B15" s="20" t="s">
        <v>66</v>
      </c>
      <c r="C15" s="48" t="s">
        <v>97</v>
      </c>
      <c r="D15" s="20" t="s">
        <v>98</v>
      </c>
      <c r="E15" s="20" t="s">
        <v>6</v>
      </c>
      <c r="F15" s="31" t="s">
        <v>24</v>
      </c>
      <c r="G15" s="56">
        <v>368.8</v>
      </c>
      <c r="H15" s="56">
        <f>IF(Tabla32[[#This Row],[CIF/FOB/Nacional]]="Nacional", Tabla32[[#This Row],[Costo producto]],IF(Tabla32[[#This Row],[CIF/FOB/Nacional]]="CIF", Tabla32[[#This Row],[Costo producto]], Tabla32[[#This Row],[Costo producto]]*1.3))</f>
        <v>479.44000000000005</v>
      </c>
      <c r="I15" s="55">
        <f>_xlfn.XLOOKUP(Tabla32[[#This Row],[Agrupación]], 'Datos generales'!$S$8:$S$1048576, 'Datos generales'!$T$8:$T$1048576,"Margen en agrupación no encontrado",0, 1)</f>
        <v>0.5</v>
      </c>
      <c r="J15" s="56">
        <f t="shared" si="0"/>
        <v>958.88000000000011</v>
      </c>
      <c r="K15" s="56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910936.00000000012</v>
      </c>
      <c r="L15" s="56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23.716609562292373</v>
      </c>
      <c r="M15" s="56">
        <f>IF(Tabla32[[#This Row],[Tipo de moneda]]="USD", Tabla32[[#This Row],[Precio Moneda compra]], IF(Tabla32[[#This Row],[Tipo de moneda]]="CLP",Tabla32[[#This Row],[Precio Moneda compra]]/'Datos generales'!$C$10,IF(Tabla32[[#This Row],[Tipo de moneda]]="EUR",Tabla32[[#This Row],[Precio Moneda compra]]*'Datos generales'!$C$11/'Datos generales'!$C$10,Tabla32[[#This Row],[Precio Moneda compra]]*'Datos generales'!$C$9/'Datos generales'!$C$10)))</f>
        <v>958.88000000000011</v>
      </c>
      <c r="N15" s="56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888.71804878048795</v>
      </c>
      <c r="O15" s="21"/>
      <c r="P15" s="48"/>
      <c r="Q15" s="57"/>
    </row>
    <row r="16" spans="2:18" ht="16" x14ac:dyDescent="0.2">
      <c r="B16" s="20" t="s">
        <v>99</v>
      </c>
      <c r="C16" s="48" t="s">
        <v>111</v>
      </c>
      <c r="D16" s="20" t="s">
        <v>100</v>
      </c>
      <c r="E16" s="20" t="s">
        <v>1</v>
      </c>
      <c r="F16" s="31" t="s">
        <v>27</v>
      </c>
      <c r="G16" s="56">
        <v>200000</v>
      </c>
      <c r="H16" s="56">
        <f>IF(Tabla32[[#This Row],[CIF/FOB/Nacional]]="Nacional", Tabla32[[#This Row],[Costo producto]],IF(Tabla32[[#This Row],[CIF/FOB/Nacional]]="CIF", Tabla32[[#This Row],[Costo producto]], Tabla32[[#This Row],[Costo producto]]*1.3))</f>
        <v>200000</v>
      </c>
      <c r="I16" s="55">
        <f>_xlfn.XLOOKUP(Tabla32[[#This Row],[Agrupación]], 'Datos generales'!$S$8:$S$1048576, 'Datos generales'!$T$8:$T$1048576,"Margen en agrupación no encontrado",0, 1)</f>
        <v>0.6</v>
      </c>
      <c r="J16" s="56">
        <f t="shared" si="0"/>
        <v>500000</v>
      </c>
      <c r="K16" s="56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500000</v>
      </c>
      <c r="L16" s="56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13.01771450589963</v>
      </c>
      <c r="M16" s="56">
        <f>IF(Tabla32[[#This Row],[Tipo de moneda]]="USD", Tabla32[[#This Row],[Precio Moneda compra]], IF(Tabla32[[#This Row],[Tipo de moneda]]="CLP",Tabla32[[#This Row],[Precio Moneda compra]]/'Datos generales'!$C$10,IF(Tabla32[[#This Row],[Tipo de moneda]]="EUR",Tabla32[[#This Row],[Precio Moneda compra]]*'Datos generales'!$C$11/'Datos generales'!$C$10,Tabla32[[#This Row],[Precio Moneda compra]]*'Datos generales'!$C$9/'Datos generales'!$C$10)))</f>
        <v>526.31578947368416</v>
      </c>
      <c r="N16" s="56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487.80487804878049</v>
      </c>
      <c r="O16" s="21" t="s">
        <v>101</v>
      </c>
      <c r="P16" s="48" t="s">
        <v>102</v>
      </c>
      <c r="Q16" s="57"/>
    </row>
    <row r="17" spans="2:17" ht="192" x14ac:dyDescent="0.2">
      <c r="B17" s="20" t="s">
        <v>66</v>
      </c>
      <c r="C17" s="23" t="s">
        <v>159</v>
      </c>
      <c r="D17" s="20" t="s">
        <v>160</v>
      </c>
      <c r="E17" s="20" t="s">
        <v>6</v>
      </c>
      <c r="F17" s="31" t="s">
        <v>24</v>
      </c>
      <c r="G17" s="56">
        <v>425</v>
      </c>
      <c r="H17" s="56">
        <f>IF(Tabla32[[#This Row],[CIF/FOB/Nacional]]="Nacional", Tabla32[[#This Row],[Costo producto]],IF(Tabla32[[#This Row],[CIF/FOB/Nacional]]="CIF", Tabla32[[#This Row],[Costo producto]], Tabla32[[#This Row],[Costo producto]]*1.3))</f>
        <v>552.5</v>
      </c>
      <c r="I17" s="55">
        <f>_xlfn.XLOOKUP(Tabla32[[#This Row],[Agrupación]], 'Datos generales'!$S$8:$S$1048576, 'Datos generales'!$T$8:$T$1048576,"Margen en agrupación no encontrado",0, 1)</f>
        <v>0.5</v>
      </c>
      <c r="J17" s="56">
        <f t="shared" ref="J17:J28" si="1">H17/(1-I17)</f>
        <v>1105</v>
      </c>
      <c r="K17" s="56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1049750</v>
      </c>
      <c r="L17" s="56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27.33069160513627</v>
      </c>
      <c r="M17" s="56">
        <f>IF(Tabla32[[#This Row],[Tipo de moneda]]="USD", Tabla32[[#This Row],[Precio Moneda compra]], IF(Tabla32[[#This Row],[Tipo de moneda]]="CLP",Tabla32[[#This Row],[Precio Moneda compra]]/'Datos generales'!$C$10,IF(Tabla32[[#This Row],[Tipo de moneda]]="EUR",Tabla32[[#This Row],[Precio Moneda compra]]*'Datos generales'!$C$11/'Datos generales'!$C$10,Tabla32[[#This Row],[Precio Moneda compra]]*'Datos generales'!$C$9/'Datos generales'!$C$10)))</f>
        <v>1105</v>
      </c>
      <c r="N17" s="56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1024.1463414634147</v>
      </c>
      <c r="O17" s="21" t="s">
        <v>161</v>
      </c>
      <c r="P17" s="48"/>
      <c r="Q17" s="120"/>
    </row>
    <row r="18" spans="2:17" ht="112" x14ac:dyDescent="0.2">
      <c r="B18" s="20" t="s">
        <v>66</v>
      </c>
      <c r="C18" s="48" t="s">
        <v>162</v>
      </c>
      <c r="D18" s="20" t="s">
        <v>167</v>
      </c>
      <c r="E18" s="20" t="s">
        <v>6</v>
      </c>
      <c r="F18" s="31" t="s">
        <v>24</v>
      </c>
      <c r="G18" s="56">
        <v>1000</v>
      </c>
      <c r="H18" s="56">
        <f>IF(Tabla32[[#This Row],[CIF/FOB/Nacional]]="Nacional", Tabla32[[#This Row],[Costo producto]],IF(Tabla32[[#This Row],[CIF/FOB/Nacional]]="CIF", Tabla32[[#This Row],[Costo producto]], Tabla32[[#This Row],[Costo producto]]*1.3))</f>
        <v>1300</v>
      </c>
      <c r="I18" s="137">
        <f>_xlfn.XLOOKUP(Tabla32[[#This Row],[Agrupación]], 'Datos generales'!$S$8:$S$1048576, 'Datos generales'!$T$8:$T$1048576,"Margen en agrupación no encontrado",0, 1)</f>
        <v>0.5</v>
      </c>
      <c r="J18" s="56">
        <f t="shared" si="1"/>
        <v>2600</v>
      </c>
      <c r="K18" s="56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2470000</v>
      </c>
      <c r="L18" s="56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64.307509659144173</v>
      </c>
      <c r="M18" s="56">
        <f>IF(Tabla32[[#This Row],[Tipo de moneda]]="USD", Tabla32[[#This Row],[Precio Moneda compra]], IF(Tabla32[[#This Row],[Tipo de moneda]]="CLP",Tabla32[[#This Row],[Precio Moneda compra]]/'Datos generales'!$C$10,IF(Tabla32[[#This Row],[Tipo de moneda]]="EUR",Tabla32[[#This Row],[Precio Moneda compra]]*'Datos generales'!$C$11/'Datos generales'!$C$10,Tabla32[[#This Row],[Precio Moneda compra]]*'Datos generales'!$C$9/'Datos generales'!$C$10)))</f>
        <v>2600</v>
      </c>
      <c r="N18" s="56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2409.7560975609758</v>
      </c>
      <c r="O18" s="21"/>
      <c r="P18" s="48"/>
      <c r="Q18" s="120"/>
    </row>
    <row r="19" spans="2:17" ht="32" x14ac:dyDescent="0.2">
      <c r="B19" s="20" t="s">
        <v>99</v>
      </c>
      <c r="C19" s="48" t="s">
        <v>163</v>
      </c>
      <c r="D19" s="20" t="s">
        <v>164</v>
      </c>
      <c r="E19" s="20" t="s">
        <v>6</v>
      </c>
      <c r="F19" s="31" t="s">
        <v>24</v>
      </c>
      <c r="G19" s="56">
        <v>250</v>
      </c>
      <c r="H19" s="56">
        <f>IF(Tabla32[[#This Row],[CIF/FOB/Nacional]]="Nacional", Tabla32[[#This Row],[Costo producto]],IF(Tabla32[[#This Row],[CIF/FOB/Nacional]]="CIF", Tabla32[[#This Row],[Costo producto]], Tabla32[[#This Row],[Costo producto]]*1.3))</f>
        <v>325</v>
      </c>
      <c r="I19" s="137">
        <f>_xlfn.XLOOKUP(Tabla32[[#This Row],[Agrupación]], 'Datos generales'!$S$8:$S$1048576, 'Datos generales'!$T$8:$T$1048576,"Margen en agrupación no encontrado",0, 1)</f>
        <v>0.6</v>
      </c>
      <c r="J19" s="56">
        <f t="shared" si="1"/>
        <v>812.5</v>
      </c>
      <c r="K19" s="56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771875</v>
      </c>
      <c r="L19" s="56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20.096096768482553</v>
      </c>
      <c r="M19" s="56">
        <f>IF(Tabla32[[#This Row],[Tipo de moneda]]="USD", Tabla32[[#This Row],[Precio Moneda compra]], IF(Tabla32[[#This Row],[Tipo de moneda]]="CLP",Tabla32[[#This Row],[Precio Moneda compra]]/'Datos generales'!$C$10,IF(Tabla32[[#This Row],[Tipo de moneda]]="EUR",Tabla32[[#This Row],[Precio Moneda compra]]*'Datos generales'!$C$11/'Datos generales'!$C$10,Tabla32[[#This Row],[Precio Moneda compra]]*'Datos generales'!$C$9/'Datos generales'!$C$10)))</f>
        <v>812.5</v>
      </c>
      <c r="N19" s="56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753.04878048780483</v>
      </c>
      <c r="O19" s="21"/>
      <c r="P19" s="48"/>
      <c r="Q19" s="120"/>
    </row>
    <row r="20" spans="2:17" ht="96" x14ac:dyDescent="0.2">
      <c r="B20" s="20" t="s">
        <v>66</v>
      </c>
      <c r="C20" s="48" t="s">
        <v>165</v>
      </c>
      <c r="D20" s="20" t="s">
        <v>166</v>
      </c>
      <c r="E20" s="20" t="s">
        <v>6</v>
      </c>
      <c r="F20" s="31" t="s">
        <v>24</v>
      </c>
      <c r="G20" s="56">
        <v>160</v>
      </c>
      <c r="H20" s="56">
        <f>IF(Tabla32[[#This Row],[CIF/FOB/Nacional]]="Nacional", Tabla32[[#This Row],[Costo producto]],IF(Tabla32[[#This Row],[CIF/FOB/Nacional]]="CIF", Tabla32[[#This Row],[Costo producto]], Tabla32[[#This Row],[Costo producto]]*1.3))</f>
        <v>208</v>
      </c>
      <c r="I20" s="137">
        <f>_xlfn.XLOOKUP(Tabla32[[#This Row],[Agrupación]], 'Datos generales'!$S$8:$S$1048576, 'Datos generales'!$T$8:$T$1048576,"Margen en agrupación no encontrado",0, 1)</f>
        <v>0.5</v>
      </c>
      <c r="J20" s="56">
        <f t="shared" si="1"/>
        <v>416</v>
      </c>
      <c r="K20" s="56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395200</v>
      </c>
      <c r="L20" s="56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10.289201545463067</v>
      </c>
      <c r="M20" s="56">
        <f>IF(Tabla32[[#This Row],[Tipo de moneda]]="USD", Tabla32[[#This Row],[Precio Moneda compra]], IF(Tabla32[[#This Row],[Tipo de moneda]]="CLP",Tabla32[[#This Row],[Precio Moneda compra]]/'Datos generales'!$C$10,IF(Tabla32[[#This Row],[Tipo de moneda]]="EUR",Tabla32[[#This Row],[Precio Moneda compra]]*'Datos generales'!$C$11/'Datos generales'!$C$10,Tabla32[[#This Row],[Precio Moneda compra]]*'Datos generales'!$C$9/'Datos generales'!$C$10)))</f>
        <v>416</v>
      </c>
      <c r="N20" s="56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385.5609756097561</v>
      </c>
      <c r="O20" s="21"/>
      <c r="P20" s="48"/>
      <c r="Q20" s="120"/>
    </row>
    <row r="21" spans="2:17" ht="224" x14ac:dyDescent="0.2">
      <c r="B21" s="20" t="s">
        <v>66</v>
      </c>
      <c r="C21" s="48" t="s">
        <v>168</v>
      </c>
      <c r="D21" s="20" t="s">
        <v>169</v>
      </c>
      <c r="E21" s="20" t="s">
        <v>6</v>
      </c>
      <c r="F21" s="31" t="s">
        <v>24</v>
      </c>
      <c r="G21" s="56">
        <v>120</v>
      </c>
      <c r="H21" s="56">
        <f>IF(Tabla32[[#This Row],[CIF/FOB/Nacional]]="Nacional", Tabla32[[#This Row],[Costo producto]],IF(Tabla32[[#This Row],[CIF/FOB/Nacional]]="CIF", Tabla32[[#This Row],[Costo producto]], Tabla32[[#This Row],[Costo producto]]*1.3))</f>
        <v>156</v>
      </c>
      <c r="I21" s="137">
        <f>_xlfn.XLOOKUP(Tabla32[[#This Row],[Agrupación]], 'Datos generales'!$S$8:$S$1048576, 'Datos generales'!$T$8:$T$1048576,"Margen en agrupación no encontrado",0, 1)</f>
        <v>0.5</v>
      </c>
      <c r="J21" s="56">
        <f t="shared" si="1"/>
        <v>312</v>
      </c>
      <c r="K21" s="56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296400</v>
      </c>
      <c r="L21" s="56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7.7169011590972998</v>
      </c>
      <c r="M21" s="56">
        <f>IF(Tabla32[[#This Row],[Tipo de moneda]]="USD", Tabla32[[#This Row],[Precio Moneda compra]], IF(Tabla32[[#This Row],[Tipo de moneda]]="CLP",Tabla32[[#This Row],[Precio Moneda compra]]/'Datos generales'!$C$10,IF(Tabla32[[#This Row],[Tipo de moneda]]="EUR",Tabla32[[#This Row],[Precio Moneda compra]]*'Datos generales'!$C$11/'Datos generales'!$C$10,Tabla32[[#This Row],[Precio Moneda compra]]*'Datos generales'!$C$9/'Datos generales'!$C$10)))</f>
        <v>312</v>
      </c>
      <c r="N21" s="56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289.17073170731709</v>
      </c>
      <c r="O21" s="21"/>
      <c r="P21" s="48"/>
      <c r="Q21" s="120"/>
    </row>
    <row r="22" spans="2:17" ht="96" x14ac:dyDescent="0.2">
      <c r="B22" s="20" t="s">
        <v>66</v>
      </c>
      <c r="C22" s="48" t="s">
        <v>170</v>
      </c>
      <c r="D22" s="20" t="s">
        <v>171</v>
      </c>
      <c r="E22" s="20" t="s">
        <v>6</v>
      </c>
      <c r="F22" s="31" t="s">
        <v>24</v>
      </c>
      <c r="G22" s="56">
        <v>800</v>
      </c>
      <c r="H22" s="56">
        <f>IF(Tabla32[[#This Row],[CIF/FOB/Nacional]]="Nacional", Tabla32[[#This Row],[Costo producto]],IF(Tabla32[[#This Row],[CIF/FOB/Nacional]]="CIF", Tabla32[[#This Row],[Costo producto]], Tabla32[[#This Row],[Costo producto]]*1.3))</f>
        <v>1040</v>
      </c>
      <c r="I22" s="137">
        <f>_xlfn.XLOOKUP(Tabla32[[#This Row],[Agrupación]], 'Datos generales'!$S$8:$S$1048576, 'Datos generales'!$T$8:$T$1048576,"Margen en agrupación no encontrado",0, 1)</f>
        <v>0.5</v>
      </c>
      <c r="J22" s="56">
        <f t="shared" si="1"/>
        <v>2080</v>
      </c>
      <c r="K22" s="56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1976000</v>
      </c>
      <c r="L22" s="56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51.446007727315333</v>
      </c>
      <c r="M22" s="56">
        <f>IF(Tabla32[[#This Row],[Tipo de moneda]]="USD", Tabla32[[#This Row],[Precio Moneda compra]], IF(Tabla32[[#This Row],[Tipo de moneda]]="CLP",Tabla32[[#This Row],[Precio Moneda compra]]/'Datos generales'!$C$10,IF(Tabla32[[#This Row],[Tipo de moneda]]="EUR",Tabla32[[#This Row],[Precio Moneda compra]]*'Datos generales'!$C$11/'Datos generales'!$C$10,Tabla32[[#This Row],[Precio Moneda compra]]*'Datos generales'!$C$9/'Datos generales'!$C$10)))</f>
        <v>2080</v>
      </c>
      <c r="N22" s="56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1927.8048780487804</v>
      </c>
      <c r="O22" s="21"/>
      <c r="P22" s="48"/>
      <c r="Q22" s="120"/>
    </row>
    <row r="23" spans="2:17" ht="144" x14ac:dyDescent="0.2">
      <c r="B23" s="20" t="s">
        <v>66</v>
      </c>
      <c r="C23" s="48" t="s">
        <v>172</v>
      </c>
      <c r="D23" s="20" t="s">
        <v>173</v>
      </c>
      <c r="E23" s="20" t="s">
        <v>6</v>
      </c>
      <c r="F23" s="31" t="s">
        <v>24</v>
      </c>
      <c r="G23" s="56">
        <v>260</v>
      </c>
      <c r="H23" s="56">
        <f>IF(Tabla32[[#This Row],[CIF/FOB/Nacional]]="Nacional", Tabla32[[#This Row],[Costo producto]],IF(Tabla32[[#This Row],[CIF/FOB/Nacional]]="CIF", Tabla32[[#This Row],[Costo producto]], Tabla32[[#This Row],[Costo producto]]*1.3))</f>
        <v>338</v>
      </c>
      <c r="I23" s="137">
        <f>_xlfn.XLOOKUP(Tabla32[[#This Row],[Agrupación]], 'Datos generales'!$S$8:$S$1048576, 'Datos generales'!$T$8:$T$1048576,"Margen en agrupación no encontrado",0, 1)</f>
        <v>0.5</v>
      </c>
      <c r="J23" s="56">
        <f t="shared" si="1"/>
        <v>676</v>
      </c>
      <c r="K23" s="56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642200</v>
      </c>
      <c r="L23" s="56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16.719952511377485</v>
      </c>
      <c r="M23" s="56">
        <f>IF(Tabla32[[#This Row],[Tipo de moneda]]="USD", Tabla32[[#This Row],[Precio Moneda compra]], IF(Tabla32[[#This Row],[Tipo de moneda]]="CLP",Tabla32[[#This Row],[Precio Moneda compra]]/'Datos generales'!$C$10,IF(Tabla32[[#This Row],[Tipo de moneda]]="EUR",Tabla32[[#This Row],[Precio Moneda compra]]*'Datos generales'!$C$11/'Datos generales'!$C$10,Tabla32[[#This Row],[Precio Moneda compra]]*'Datos generales'!$C$9/'Datos generales'!$C$10)))</f>
        <v>676</v>
      </c>
      <c r="N23" s="56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626.53658536585363</v>
      </c>
      <c r="O23" s="21"/>
      <c r="P23" s="48"/>
      <c r="Q23" s="120"/>
    </row>
    <row r="24" spans="2:17" ht="16" x14ac:dyDescent="0.2">
      <c r="B24" s="20" t="s">
        <v>99</v>
      </c>
      <c r="C24" s="48" t="s">
        <v>174</v>
      </c>
      <c r="D24" s="20" t="s">
        <v>175</v>
      </c>
      <c r="E24" s="20" t="s">
        <v>6</v>
      </c>
      <c r="F24" s="31" t="s">
        <v>24</v>
      </c>
      <c r="G24" s="56">
        <v>50</v>
      </c>
      <c r="H24" s="56">
        <f>IF(Tabla32[[#This Row],[CIF/FOB/Nacional]]="Nacional", Tabla32[[#This Row],[Costo producto]],IF(Tabla32[[#This Row],[CIF/FOB/Nacional]]="CIF", Tabla32[[#This Row],[Costo producto]], Tabla32[[#This Row],[Costo producto]]*1.3))</f>
        <v>65</v>
      </c>
      <c r="I24" s="137">
        <f>_xlfn.XLOOKUP(Tabla32[[#This Row],[Agrupación]], 'Datos generales'!$S$8:$S$1048576, 'Datos generales'!$T$8:$T$1048576,"Margen en agrupación no encontrado",0, 1)</f>
        <v>0.6</v>
      </c>
      <c r="J24" s="56">
        <f t="shared" si="1"/>
        <v>162.5</v>
      </c>
      <c r="K24" s="56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154375</v>
      </c>
      <c r="L24" s="56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4.0192193536965108</v>
      </c>
      <c r="M24" s="56">
        <f>IF(Tabla32[[#This Row],[Tipo de moneda]]="USD", Tabla32[[#This Row],[Precio Moneda compra]], IF(Tabla32[[#This Row],[Tipo de moneda]]="CLP",Tabla32[[#This Row],[Precio Moneda compra]]/'Datos generales'!$C$10,IF(Tabla32[[#This Row],[Tipo de moneda]]="EUR",Tabla32[[#This Row],[Precio Moneda compra]]*'Datos generales'!$C$11/'Datos generales'!$C$10,Tabla32[[#This Row],[Precio Moneda compra]]*'Datos generales'!$C$9/'Datos generales'!$C$10)))</f>
        <v>162.5</v>
      </c>
      <c r="N24" s="56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150.60975609756099</v>
      </c>
      <c r="O24" s="21"/>
      <c r="P24" s="48"/>
      <c r="Q24" s="120"/>
    </row>
    <row r="25" spans="2:17" ht="128" x14ac:dyDescent="0.2">
      <c r="B25" s="20" t="s">
        <v>66</v>
      </c>
      <c r="C25" s="48" t="s">
        <v>176</v>
      </c>
      <c r="D25" s="20" t="s">
        <v>177</v>
      </c>
      <c r="E25" s="20" t="s">
        <v>6</v>
      </c>
      <c r="F25" s="31" t="s">
        <v>24</v>
      </c>
      <c r="G25" s="56">
        <v>600</v>
      </c>
      <c r="H25" s="56">
        <f>IF(Tabla32[[#This Row],[CIF/FOB/Nacional]]="Nacional", Tabla32[[#This Row],[Costo producto]],IF(Tabla32[[#This Row],[CIF/FOB/Nacional]]="CIF", Tabla32[[#This Row],[Costo producto]], Tabla32[[#This Row],[Costo producto]]*1.3))</f>
        <v>780</v>
      </c>
      <c r="I25" s="137">
        <f>_xlfn.XLOOKUP(Tabla32[[#This Row],[Agrupación]], 'Datos generales'!$S$8:$S$1048576, 'Datos generales'!$T$8:$T$1048576,"Margen en agrupación no encontrado",0, 1)</f>
        <v>0.5</v>
      </c>
      <c r="J25" s="56">
        <f t="shared" si="1"/>
        <v>1560</v>
      </c>
      <c r="K25" s="56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1482000</v>
      </c>
      <c r="L25" s="56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38.5845057954865</v>
      </c>
      <c r="M25" s="56">
        <f>IF(Tabla32[[#This Row],[Tipo de moneda]]="USD", Tabla32[[#This Row],[Precio Moneda compra]], IF(Tabla32[[#This Row],[Tipo de moneda]]="CLP",Tabla32[[#This Row],[Precio Moneda compra]]/'Datos generales'!$C$10,IF(Tabla32[[#This Row],[Tipo de moneda]]="EUR",Tabla32[[#This Row],[Precio Moneda compra]]*'Datos generales'!$C$11/'Datos generales'!$C$10,Tabla32[[#This Row],[Precio Moneda compra]]*'Datos generales'!$C$9/'Datos generales'!$C$10)))</f>
        <v>1560</v>
      </c>
      <c r="N25" s="56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1445.8536585365853</v>
      </c>
      <c r="O25" s="21"/>
      <c r="P25" s="48"/>
      <c r="Q25" s="120"/>
    </row>
    <row r="26" spans="2:17" ht="208" x14ac:dyDescent="0.2">
      <c r="B26" s="20" t="s">
        <v>66</v>
      </c>
      <c r="C26" s="48" t="s">
        <v>178</v>
      </c>
      <c r="D26" s="20" t="s">
        <v>179</v>
      </c>
      <c r="E26" s="20" t="s">
        <v>6</v>
      </c>
      <c r="F26" s="31" t="s">
        <v>24</v>
      </c>
      <c r="G26" s="56">
        <v>120</v>
      </c>
      <c r="H26" s="56">
        <f>IF(Tabla32[[#This Row],[CIF/FOB/Nacional]]="Nacional", Tabla32[[#This Row],[Costo producto]],IF(Tabla32[[#This Row],[CIF/FOB/Nacional]]="CIF", Tabla32[[#This Row],[Costo producto]], Tabla32[[#This Row],[Costo producto]]*1.3))</f>
        <v>156</v>
      </c>
      <c r="I26" s="137">
        <f>_xlfn.XLOOKUP(Tabla32[[#This Row],[Agrupación]], 'Datos generales'!$S$8:$S$1048576, 'Datos generales'!$T$8:$T$1048576,"Margen en agrupación no encontrado",0, 1)</f>
        <v>0.5</v>
      </c>
      <c r="J26" s="56">
        <f t="shared" si="1"/>
        <v>312</v>
      </c>
      <c r="K26" s="56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296400</v>
      </c>
      <c r="L26" s="56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7.7169011590972998</v>
      </c>
      <c r="M26" s="56">
        <f>IF(Tabla32[[#This Row],[Tipo de moneda]]="USD", Tabla32[[#This Row],[Precio Moneda compra]], IF(Tabla32[[#This Row],[Tipo de moneda]]="CLP",Tabla32[[#This Row],[Precio Moneda compra]]/'Datos generales'!$C$10,IF(Tabla32[[#This Row],[Tipo de moneda]]="EUR",Tabla32[[#This Row],[Precio Moneda compra]]*'Datos generales'!$C$11/'Datos generales'!$C$10,Tabla32[[#This Row],[Precio Moneda compra]]*'Datos generales'!$C$9/'Datos generales'!$C$10)))</f>
        <v>312</v>
      </c>
      <c r="N26" s="56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289.17073170731709</v>
      </c>
      <c r="O26" s="21"/>
      <c r="P26" s="48"/>
      <c r="Q26" s="120"/>
    </row>
    <row r="27" spans="2:17" ht="192" x14ac:dyDescent="0.2">
      <c r="B27" s="20" t="s">
        <v>66</v>
      </c>
      <c r="C27" s="48" t="s">
        <v>180</v>
      </c>
      <c r="D27" s="20" t="s">
        <v>181</v>
      </c>
      <c r="E27" s="20" t="s">
        <v>6</v>
      </c>
      <c r="F27" s="31" t="s">
        <v>24</v>
      </c>
      <c r="G27" s="56">
        <v>900</v>
      </c>
      <c r="H27" s="56">
        <f>IF(Tabla32[[#This Row],[CIF/FOB/Nacional]]="Nacional", Tabla32[[#This Row],[Costo producto]],IF(Tabla32[[#This Row],[CIF/FOB/Nacional]]="CIF", Tabla32[[#This Row],[Costo producto]], Tabla32[[#This Row],[Costo producto]]*1.3))</f>
        <v>1170</v>
      </c>
      <c r="I27" s="137">
        <f>_xlfn.XLOOKUP(Tabla32[[#This Row],[Agrupación]], 'Datos generales'!$S$8:$S$1048576, 'Datos generales'!$T$8:$T$1048576,"Margen en agrupación no encontrado",0, 1)</f>
        <v>0.5</v>
      </c>
      <c r="J27" s="56">
        <f t="shared" si="1"/>
        <v>2340</v>
      </c>
      <c r="K27" s="56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2223000</v>
      </c>
      <c r="L27" s="56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57.876758693229753</v>
      </c>
      <c r="M27" s="56">
        <f>IF(Tabla32[[#This Row],[Tipo de moneda]]="USD", Tabla32[[#This Row],[Precio Moneda compra]], IF(Tabla32[[#This Row],[Tipo de moneda]]="CLP",Tabla32[[#This Row],[Precio Moneda compra]]/'Datos generales'!$C$10,IF(Tabla32[[#This Row],[Tipo de moneda]]="EUR",Tabla32[[#This Row],[Precio Moneda compra]]*'Datos generales'!$C$11/'Datos generales'!$C$10,Tabla32[[#This Row],[Precio Moneda compra]]*'Datos generales'!$C$9/'Datos generales'!$C$10)))</f>
        <v>2340</v>
      </c>
      <c r="N27" s="56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2168.7804878048782</v>
      </c>
      <c r="O27" s="21"/>
      <c r="P27" s="48"/>
      <c r="Q27" s="120"/>
    </row>
    <row r="28" spans="2:17" ht="240" x14ac:dyDescent="0.2">
      <c r="B28" s="20" t="s">
        <v>66</v>
      </c>
      <c r="C28" s="48" t="s">
        <v>187</v>
      </c>
      <c r="D28" s="20" t="s">
        <v>186</v>
      </c>
      <c r="E28" s="24"/>
      <c r="F28" s="31" t="s">
        <v>24</v>
      </c>
      <c r="G28" s="56">
        <v>3400</v>
      </c>
      <c r="H28" s="56">
        <f>IF(Tabla32[[#This Row],[CIF/FOB/Nacional]]="Nacional", Tabla32[[#This Row],[Costo producto]],IF(Tabla32[[#This Row],[CIF/FOB/Nacional]]="CIF", Tabla32[[#This Row],[Costo producto]], Tabla32[[#This Row],[Costo producto]]*1.3))</f>
        <v>4420</v>
      </c>
      <c r="I28" s="137">
        <f>_xlfn.XLOOKUP(Tabla32[[#This Row],[Agrupación]], 'Datos generales'!$S$8:$S$1048576, 'Datos generales'!$T$8:$T$1048576,"Margen en agrupación no encontrado",0, 1)</f>
        <v>0.5</v>
      </c>
      <c r="J28" s="56">
        <f t="shared" si="1"/>
        <v>8840</v>
      </c>
      <c r="K28" s="56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339537328</v>
      </c>
      <c r="L28" s="56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0.23015319246430543</v>
      </c>
      <c r="M28" s="56">
        <f>IF(Tabla32[[#This Row],[Tipo de moneda]]="USD", Tabla32[[#This Row],[Precio Moneda compra]], IF(Tabla32[[#This Row],[Tipo de moneda]]="CLP",Tabla32[[#This Row],[Precio Moneda compra]]/'Datos generales'!$C$10,IF(Tabla32[[#This Row],[Tipo de moneda]]="EUR",Tabla32[[#This Row],[Precio Moneda compra]]*'Datos generales'!$C$11/'Datos generales'!$C$10,Tabla32[[#This Row],[Precio Moneda compra]]*'Datos generales'!$C$9/'Datos generales'!$C$10)))</f>
        <v>357407.71368421055</v>
      </c>
      <c r="N28" s="56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8.6243902439024396</v>
      </c>
      <c r="O28" s="21"/>
      <c r="P28" s="48"/>
      <c r="Q28" s="120"/>
    </row>
    <row r="29" spans="2:17" ht="16" x14ac:dyDescent="0.2">
      <c r="B29" s="20" t="s">
        <v>99</v>
      </c>
      <c r="C29" s="48" t="s">
        <v>192</v>
      </c>
      <c r="D29" s="20" t="s">
        <v>193</v>
      </c>
      <c r="E29" s="20" t="s">
        <v>1</v>
      </c>
      <c r="F29" s="31" t="s">
        <v>27</v>
      </c>
      <c r="G29" s="56">
        <v>150000</v>
      </c>
      <c r="H29" s="56">
        <f>IF(Tabla32[[#This Row],[CIF/FOB/Nacional]]="Nacional", Tabla32[[#This Row],[Costo producto]],IF(Tabla32[[#This Row],[CIF/FOB/Nacional]]="CIF", Tabla32[[#This Row],[Costo producto]], Tabla32[[#This Row],[Costo producto]]*1.3))</f>
        <v>150000</v>
      </c>
      <c r="I29" s="137">
        <f>_xlfn.XLOOKUP(Tabla32[[#This Row],[Agrupación]], 'Datos generales'!$S$8:$S$1048576, 'Datos generales'!$T$8:$T$1048576,"Margen en agrupación no encontrado",0, 1)</f>
        <v>0.6</v>
      </c>
      <c r="J29" s="56">
        <f>H29/(1-I29)</f>
        <v>375000</v>
      </c>
      <c r="K29" s="56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375000</v>
      </c>
      <c r="L29" s="56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9.7632858794247213</v>
      </c>
      <c r="M29" s="56">
        <f>IF(Tabla32[[#This Row],[Tipo de moneda]]="USD", Tabla32[[#This Row],[Precio Moneda compra]], IF(Tabla32[[#This Row],[Tipo de moneda]]="CLP",Tabla32[[#This Row],[Precio Moneda compra]]/'Datos generales'!$C$10,IF(Tabla32[[#This Row],[Tipo de moneda]]="EUR",Tabla32[[#This Row],[Precio Moneda compra]]*'Datos generales'!$C$11/'Datos generales'!$C$10,Tabla32[[#This Row],[Precio Moneda compra]]*'Datos generales'!$C$9/'Datos generales'!$C$10)))</f>
        <v>394.73684210526318</v>
      </c>
      <c r="N29" s="56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365.85365853658539</v>
      </c>
      <c r="O29" s="25" t="s">
        <v>79</v>
      </c>
      <c r="P29" s="48"/>
      <c r="Q29" s="120"/>
    </row>
  </sheetData>
  <mergeCells count="2">
    <mergeCell ref="E2:K3"/>
    <mergeCell ref="F4:K4"/>
  </mergeCells>
  <dataValidations count="1">
    <dataValidation type="list" allowBlank="1" showInputMessage="1" showErrorMessage="1" sqref="C3" xr:uid="{F71B8CD7-3D14-40CE-9270-B35EF4C83E60}">
      <formula1>$B$3</formula1>
    </dataValidation>
  </dataValidations>
  <hyperlinks>
    <hyperlink ref="Q7" r:id="rId1" xr:uid="{CB8D171E-CB3D-4D15-9B4A-C52C535AD811}"/>
    <hyperlink ref="Q8" r:id="rId2" xr:uid="{E6D217ED-2CF0-41AE-8410-95C7F1D2F7C7}"/>
    <hyperlink ref="Q9:Q13" r:id="rId3" display="kyla@hondetech.com" xr:uid="{83D943AB-91B6-4C24-A1D0-F2D4C2429BD8}"/>
    <hyperlink ref="Q14" r:id="rId4" xr:uid="{90F59941-1F9A-46C0-A0F0-156378B83547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CrearTablaDinamicaProductos">
                <anchor moveWithCells="1" sizeWithCells="1">
                  <from>
                    <xdr:col>1</xdr:col>
                    <xdr:colOff>190500</xdr:colOff>
                    <xdr:row>0</xdr:row>
                    <xdr:rowOff>139700</xdr:rowOff>
                  </from>
                  <to>
                    <xdr:col>3</xdr:col>
                    <xdr:colOff>1282700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2C61AC4-ADC8-4000-8369-DFA2E060DACC}">
          <x14:formula1>
            <xm:f>'Datos generales'!$F$8:$F$1048576</xm:f>
          </x14:formula1>
          <xm:sqref>F7:F1048576</xm:sqref>
        </x14:dataValidation>
        <x14:dataValidation type="list" allowBlank="1" showInputMessage="1" showErrorMessage="1" xr:uid="{17488019-F271-4DDF-8327-0A51ECC4A32D}">
          <x14:formula1>
            <xm:f>'Datos generales'!$S$8:$S$1048576</xm:f>
          </x14:formula1>
          <xm:sqref>B7:B1048576</xm:sqref>
        </x14:dataValidation>
        <x14:dataValidation type="list" allowBlank="1" showInputMessage="1" showErrorMessage="1" xr:uid="{F113163F-A343-42D0-9952-298CF978A04A}">
          <x14:formula1>
            <xm:f>'Datos generales'!$B$8:$B$13</xm:f>
          </x14:formula1>
          <xm:sqref>E7:E27 E29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CEE5C197868B44BB872BA74166DDD1" ma:contentTypeVersion="4" ma:contentTypeDescription="Create a new document." ma:contentTypeScope="" ma:versionID="9c1dd8a49744eff909f4de76ddbc68ba">
  <xsd:schema xmlns:xsd="http://www.w3.org/2001/XMLSchema" xmlns:xs="http://www.w3.org/2001/XMLSchema" xmlns:p="http://schemas.microsoft.com/office/2006/metadata/properties" xmlns:ns2="37dafeb7-7fe1-4474-9d8b-3102c5510585" targetNamespace="http://schemas.microsoft.com/office/2006/metadata/properties" ma:root="true" ma:fieldsID="e063ccab58f85d66dc0e1b34ac7e9721" ns2:_="">
    <xsd:import namespace="37dafeb7-7fe1-4474-9d8b-3102c551058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dafeb7-7fe1-4474-9d8b-3102c551058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B251D4E-E951-4EAB-A34A-C8B16586F5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7dafeb7-7fe1-4474-9d8b-3102c551058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3097E39-F679-4CB4-89FF-8AC88073F7A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8EF0F0B-E03D-4CCB-868D-673622C5A59D}">
  <ds:schemaRefs>
    <ds:schemaRef ds:uri="http://schemas.microsoft.com/office/infopath/2007/PartnerControls"/>
    <ds:schemaRef ds:uri="http://purl.org/dc/dcmitype/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37dafeb7-7fe1-4474-9d8b-3102c5510585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Datos generales</vt:lpstr>
      <vt:lpstr>Datos proyecto</vt:lpstr>
      <vt:lpstr>Resumen</vt:lpstr>
      <vt:lpstr>Desarrollo</vt:lpstr>
      <vt:lpstr>Viajes</vt:lpstr>
      <vt:lpstr>BoM</vt:lpstr>
      <vt:lpstr>Productos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ignacio perez</dc:creator>
  <cp:keywords/>
  <dc:description/>
  <cp:lastModifiedBy>IGNACIO PÉREZ</cp:lastModifiedBy>
  <cp:revision/>
  <dcterms:created xsi:type="dcterms:W3CDTF">2025-01-21T12:47:23Z</dcterms:created>
  <dcterms:modified xsi:type="dcterms:W3CDTF">2025-04-29T21:41:48Z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0x0101000BCEE5C197868B44BB872BA74166DDD1</vt:lpwstr>
  </property>
  <property fmtid="{D5CDD505-2E9C-101B-9397-08002B2CF9AE}" pid="3" name="MediaServiceImageTags">
    <vt:lpwstr/>
  </property>
  <property fmtid="{D5CDD505-2E9C-101B-9397-08002B2CF9AE}" pid="4" name="Order">
    <vt:r8>299400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  <property fmtid="{D5CDD505-2E9C-101B-9397-08002B2CF9AE}" pid="10" name="TriggerFlowInfo">
    <vt:lpwstr/>
  </property>
</Properties>
</file>