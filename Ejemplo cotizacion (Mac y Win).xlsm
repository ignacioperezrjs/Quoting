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gnacioperez/Desktop/"/>
    </mc:Choice>
  </mc:AlternateContent>
  <xr:revisionPtr revIDLastSave="0" documentId="8_{DB4C6EB7-FE8F-2544-AE98-29A7A0D3D16F}" xr6:coauthVersionLast="47" xr6:coauthVersionMax="47" xr10:uidLastSave="{00000000-0000-0000-0000-000000000000}"/>
  <bookViews>
    <workbookView xWindow="0" yWindow="480" windowWidth="28800" windowHeight="17520" activeTab="5" xr2:uid="{00000000-000D-0000-FFFF-FFFF00000000}"/>
  </bookViews>
  <sheets>
    <sheet name="Datos generales" sheetId="1" r:id="rId1"/>
    <sheet name="Datos proyecto" sheetId="14" r:id="rId2"/>
    <sheet name="Resumen" sheetId="3" r:id="rId3"/>
    <sheet name="Desarrollo" sheetId="13" r:id="rId4"/>
    <sheet name="Viajes" sheetId="16" r:id="rId5"/>
    <sheet name="BoM" sheetId="11" r:id="rId6"/>
    <sheet name="Productos" sheetId="9" r:id="rId7"/>
    <sheet name="ProductosPivot" sheetId="20" r:id="rId8"/>
  </sheets>
  <definedNames>
    <definedName name="_xleta.DOLLAR" hidden="1" xlm="1">#NAME?</definedName>
    <definedName name="_xleta.T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00" i="20" l="1" a="1"/>
  <c r="H1000" i="20" s="1"/>
  <c r="H999" i="20" a="1"/>
  <c r="H999" i="20" s="1"/>
  <c r="H998" i="20" a="1"/>
  <c r="H998" i="20" s="1"/>
  <c r="H997" i="20" a="1"/>
  <c r="H997" i="20" s="1"/>
  <c r="H996" i="20" a="1"/>
  <c r="H996" i="20" s="1"/>
  <c r="H995" i="20" a="1"/>
  <c r="H995" i="20" s="1"/>
  <c r="H994" i="20" a="1"/>
  <c r="H994" i="20" s="1"/>
  <c r="H993" i="20" a="1"/>
  <c r="H993" i="20" s="1"/>
  <c r="H992" i="20" a="1"/>
  <c r="H992" i="20" s="1"/>
  <c r="H991" i="20" a="1"/>
  <c r="H991" i="20" s="1"/>
  <c r="H990" i="20" a="1"/>
  <c r="H990" i="20" s="1"/>
  <c r="H989" i="20" a="1"/>
  <c r="H989" i="20" s="1"/>
  <c r="H988" i="20" a="1"/>
  <c r="H988" i="20" s="1"/>
  <c r="H987" i="20" a="1"/>
  <c r="H987" i="20" s="1"/>
  <c r="H986" i="20" a="1"/>
  <c r="H986" i="20" s="1"/>
  <c r="H985" i="20" a="1"/>
  <c r="H985" i="20" s="1"/>
  <c r="H984" i="20" a="1"/>
  <c r="H984" i="20" s="1"/>
  <c r="H983" i="20" a="1"/>
  <c r="H983" i="20" s="1"/>
  <c r="H982" i="20" a="1"/>
  <c r="H982" i="20" s="1"/>
  <c r="H981" i="20" a="1"/>
  <c r="H981" i="20" s="1"/>
  <c r="H980" i="20" a="1"/>
  <c r="H980" i="20" s="1"/>
  <c r="H979" i="20" a="1"/>
  <c r="H979" i="20" s="1"/>
  <c r="H978" i="20" a="1"/>
  <c r="H978" i="20" s="1"/>
  <c r="H977" i="20" a="1"/>
  <c r="H977" i="20" s="1"/>
  <c r="H976" i="20" a="1"/>
  <c r="H976" i="20" s="1"/>
  <c r="H975" i="20" a="1"/>
  <c r="H975" i="20" s="1"/>
  <c r="H974" i="20" a="1"/>
  <c r="H974" i="20" s="1"/>
  <c r="H973" i="20" a="1"/>
  <c r="H973" i="20" s="1"/>
  <c r="H972" i="20" a="1"/>
  <c r="H972" i="20" s="1"/>
  <c r="H971" i="20" a="1"/>
  <c r="H971" i="20" s="1"/>
  <c r="H970" i="20" a="1"/>
  <c r="H970" i="20" s="1"/>
  <c r="H969" i="20" a="1"/>
  <c r="H969" i="20" s="1"/>
  <c r="H968" i="20" a="1"/>
  <c r="H968" i="20" s="1"/>
  <c r="H967" i="20" a="1"/>
  <c r="H967" i="20" s="1"/>
  <c r="H966" i="20" a="1"/>
  <c r="H966" i="20" s="1"/>
  <c r="H965" i="20" a="1"/>
  <c r="H965" i="20" s="1"/>
  <c r="H964" i="20" a="1"/>
  <c r="H964" i="20" s="1"/>
  <c r="H963" i="20" a="1"/>
  <c r="H963" i="20" s="1"/>
  <c r="H962" i="20" a="1"/>
  <c r="H962" i="20" s="1"/>
  <c r="H961" i="20" a="1"/>
  <c r="H961" i="20" s="1"/>
  <c r="H960" i="20" a="1"/>
  <c r="H960" i="20" s="1"/>
  <c r="H959" i="20" a="1"/>
  <c r="H959" i="20" s="1"/>
  <c r="H958" i="20" a="1"/>
  <c r="H958" i="20" s="1"/>
  <c r="H957" i="20" a="1"/>
  <c r="H957" i="20" s="1"/>
  <c r="H956" i="20" a="1"/>
  <c r="H956" i="20" s="1"/>
  <c r="H955" i="20" a="1"/>
  <c r="H955" i="20" s="1"/>
  <c r="H954" i="20" a="1"/>
  <c r="H954" i="20" s="1"/>
  <c r="H953" i="20" a="1"/>
  <c r="H953" i="20" s="1"/>
  <c r="H952" i="20" a="1"/>
  <c r="H952" i="20" s="1"/>
  <c r="H951" i="20" a="1"/>
  <c r="H951" i="20" s="1"/>
  <c r="H950" i="20" a="1"/>
  <c r="H950" i="20" s="1"/>
  <c r="H949" i="20" a="1"/>
  <c r="H949" i="20" s="1"/>
  <c r="H948" i="20" a="1"/>
  <c r="H948" i="20" s="1"/>
  <c r="H947" i="20" a="1"/>
  <c r="H947" i="20" s="1"/>
  <c r="H946" i="20" a="1"/>
  <c r="H946" i="20" s="1"/>
  <c r="H945" i="20" a="1"/>
  <c r="H945" i="20" s="1"/>
  <c r="H944" i="20" a="1"/>
  <c r="H944" i="20" s="1"/>
  <c r="H943" i="20" a="1"/>
  <c r="H943" i="20" s="1"/>
  <c r="H942" i="20" a="1"/>
  <c r="H942" i="20" s="1"/>
  <c r="H941" i="20" a="1"/>
  <c r="H941" i="20" s="1"/>
  <c r="H940" i="20" a="1"/>
  <c r="H940" i="20" s="1"/>
  <c r="H939" i="20" a="1"/>
  <c r="H939" i="20" s="1"/>
  <c r="H938" i="20" a="1"/>
  <c r="H938" i="20" s="1"/>
  <c r="H937" i="20" a="1"/>
  <c r="H937" i="20" s="1"/>
  <c r="H936" i="20" a="1"/>
  <c r="H936" i="20" s="1"/>
  <c r="H935" i="20" a="1"/>
  <c r="H935" i="20" s="1"/>
  <c r="H934" i="20" a="1"/>
  <c r="H934" i="20" s="1"/>
  <c r="H933" i="20" a="1"/>
  <c r="H933" i="20" s="1"/>
  <c r="H932" i="20" a="1"/>
  <c r="H932" i="20" s="1"/>
  <c r="H931" i="20" a="1"/>
  <c r="H931" i="20" s="1"/>
  <c r="H930" i="20" a="1"/>
  <c r="H930" i="20" s="1"/>
  <c r="H929" i="20" a="1"/>
  <c r="H929" i="20" s="1"/>
  <c r="H928" i="20" a="1"/>
  <c r="H928" i="20" s="1"/>
  <c r="H927" i="20" a="1"/>
  <c r="H927" i="20" s="1"/>
  <c r="H926" i="20" a="1"/>
  <c r="H926" i="20" s="1"/>
  <c r="H925" i="20" a="1"/>
  <c r="H925" i="20" s="1"/>
  <c r="H924" i="20" a="1"/>
  <c r="H924" i="20" s="1"/>
  <c r="H923" i="20" a="1"/>
  <c r="H923" i="20" s="1"/>
  <c r="H922" i="20" a="1"/>
  <c r="H922" i="20" s="1"/>
  <c r="H921" i="20" a="1"/>
  <c r="H921" i="20" s="1"/>
  <c r="H920" i="20" a="1"/>
  <c r="H920" i="20" s="1"/>
  <c r="H919" i="20" a="1"/>
  <c r="H919" i="20" s="1"/>
  <c r="H918" i="20" a="1"/>
  <c r="H918" i="20" s="1"/>
  <c r="H917" i="20" a="1"/>
  <c r="H917" i="20" s="1"/>
  <c r="H916" i="20" a="1"/>
  <c r="H916" i="20" s="1"/>
  <c r="H915" i="20" a="1"/>
  <c r="H915" i="20" s="1"/>
  <c r="H914" i="20" a="1"/>
  <c r="H914" i="20" s="1"/>
  <c r="H913" i="20" a="1"/>
  <c r="H913" i="20" s="1"/>
  <c r="H912" i="20" a="1"/>
  <c r="H912" i="20" s="1"/>
  <c r="H911" i="20" a="1"/>
  <c r="H911" i="20" s="1"/>
  <c r="H910" i="20" a="1"/>
  <c r="H910" i="20" s="1"/>
  <c r="H909" i="20" a="1"/>
  <c r="H909" i="20" s="1"/>
  <c r="H908" i="20" a="1"/>
  <c r="H908" i="20" s="1"/>
  <c r="H907" i="20" a="1"/>
  <c r="H907" i="20" s="1"/>
  <c r="H906" i="20" a="1"/>
  <c r="H906" i="20" s="1"/>
  <c r="H905" i="20" a="1"/>
  <c r="H905" i="20" s="1"/>
  <c r="H904" i="20" a="1"/>
  <c r="H904" i="20" s="1"/>
  <c r="H903" i="20" a="1"/>
  <c r="H903" i="20" s="1"/>
  <c r="H902" i="20" a="1"/>
  <c r="H902" i="20" s="1"/>
  <c r="H901" i="20" a="1"/>
  <c r="H901" i="20" s="1"/>
  <c r="H900" i="20" a="1"/>
  <c r="H900" i="20" s="1"/>
  <c r="H899" i="20" a="1"/>
  <c r="H899" i="20" s="1"/>
  <c r="H898" i="20" a="1"/>
  <c r="H898" i="20" s="1"/>
  <c r="H897" i="20" a="1"/>
  <c r="H897" i="20" s="1"/>
  <c r="H896" i="20" a="1"/>
  <c r="H896" i="20" s="1"/>
  <c r="H895" i="20" a="1"/>
  <c r="H895" i="20" s="1"/>
  <c r="H894" i="20" a="1"/>
  <c r="H894" i="20" s="1"/>
  <c r="H893" i="20" a="1"/>
  <c r="H893" i="20" s="1"/>
  <c r="H892" i="20" a="1"/>
  <c r="H892" i="20" s="1"/>
  <c r="H891" i="20" a="1"/>
  <c r="H891" i="20" s="1"/>
  <c r="H890" i="20" a="1"/>
  <c r="H890" i="20" s="1"/>
  <c r="H889" i="20" a="1"/>
  <c r="H889" i="20" s="1"/>
  <c r="H888" i="20" a="1"/>
  <c r="H888" i="20" s="1"/>
  <c r="H887" i="20" a="1"/>
  <c r="H887" i="20" s="1"/>
  <c r="H886" i="20" a="1"/>
  <c r="H886" i="20" s="1"/>
  <c r="H885" i="20" a="1"/>
  <c r="H885" i="20" s="1"/>
  <c r="H884" i="20" a="1"/>
  <c r="H884" i="20" s="1"/>
  <c r="H883" i="20" a="1"/>
  <c r="H883" i="20" s="1"/>
  <c r="H882" i="20" a="1"/>
  <c r="H882" i="20" s="1"/>
  <c r="H881" i="20" a="1"/>
  <c r="H881" i="20" s="1"/>
  <c r="H880" i="20" a="1"/>
  <c r="H880" i="20" s="1"/>
  <c r="H879" i="20" a="1"/>
  <c r="H879" i="20" s="1"/>
  <c r="H878" i="20" a="1"/>
  <c r="H878" i="20" s="1"/>
  <c r="H877" i="20" a="1"/>
  <c r="H877" i="20" s="1"/>
  <c r="H876" i="20" a="1"/>
  <c r="H876" i="20" s="1"/>
  <c r="H875" i="20" a="1"/>
  <c r="H875" i="20" s="1"/>
  <c r="H874" i="20" a="1"/>
  <c r="H874" i="20" s="1"/>
  <c r="H873" i="20" a="1"/>
  <c r="H873" i="20" s="1"/>
  <c r="H872" i="20" a="1"/>
  <c r="H872" i="20" s="1"/>
  <c r="H871" i="20" a="1"/>
  <c r="H871" i="20" s="1"/>
  <c r="H870" i="20" a="1"/>
  <c r="H870" i="20" s="1"/>
  <c r="H869" i="20" a="1"/>
  <c r="H869" i="20" s="1"/>
  <c r="H868" i="20" a="1"/>
  <c r="H868" i="20" s="1"/>
  <c r="H867" i="20" a="1"/>
  <c r="H867" i="20" s="1"/>
  <c r="H866" i="20" a="1"/>
  <c r="H866" i="20" s="1"/>
  <c r="H865" i="20" a="1"/>
  <c r="H865" i="20" s="1"/>
  <c r="H864" i="20" a="1"/>
  <c r="H864" i="20" s="1"/>
  <c r="H863" i="20" a="1"/>
  <c r="H863" i="20" s="1"/>
  <c r="H862" i="20" a="1"/>
  <c r="H862" i="20" s="1"/>
  <c r="H861" i="20" a="1"/>
  <c r="H861" i="20" s="1"/>
  <c r="H860" i="20" a="1"/>
  <c r="H860" i="20" s="1"/>
  <c r="H859" i="20" a="1"/>
  <c r="H859" i="20" s="1"/>
  <c r="H858" i="20" a="1"/>
  <c r="H858" i="20" s="1"/>
  <c r="H857" i="20" a="1"/>
  <c r="H857" i="20" s="1"/>
  <c r="H856" i="20" a="1"/>
  <c r="H856" i="20" s="1"/>
  <c r="H855" i="20" a="1"/>
  <c r="H855" i="20" s="1"/>
  <c r="H854" i="20" a="1"/>
  <c r="H854" i="20" s="1"/>
  <c r="H853" i="20" a="1"/>
  <c r="H853" i="20" s="1"/>
  <c r="H852" i="20" a="1"/>
  <c r="H852" i="20" s="1"/>
  <c r="H851" i="20" a="1"/>
  <c r="H851" i="20" s="1"/>
  <c r="H850" i="20" a="1"/>
  <c r="H850" i="20" s="1"/>
  <c r="H849" i="20" a="1"/>
  <c r="H849" i="20" s="1"/>
  <c r="H848" i="20" a="1"/>
  <c r="H848" i="20" s="1"/>
  <c r="H847" i="20" a="1"/>
  <c r="H847" i="20" s="1"/>
  <c r="H846" i="20" a="1"/>
  <c r="H846" i="20" s="1"/>
  <c r="H845" i="20" a="1"/>
  <c r="H845" i="20" s="1"/>
  <c r="H844" i="20" a="1"/>
  <c r="H844" i="20" s="1"/>
  <c r="H843" i="20" a="1"/>
  <c r="H843" i="20" s="1"/>
  <c r="H842" i="20" a="1"/>
  <c r="H842" i="20" s="1"/>
  <c r="H841" i="20" a="1"/>
  <c r="H841" i="20" s="1"/>
  <c r="H840" i="20" a="1"/>
  <c r="H840" i="20" s="1"/>
  <c r="H839" i="20" a="1"/>
  <c r="H839" i="20" s="1"/>
  <c r="H838" i="20" a="1"/>
  <c r="H838" i="20" s="1"/>
  <c r="H837" i="20" a="1"/>
  <c r="H837" i="20" s="1"/>
  <c r="H836" i="20" a="1"/>
  <c r="H836" i="20" s="1"/>
  <c r="H835" i="20" a="1"/>
  <c r="H835" i="20" s="1"/>
  <c r="H834" i="20" a="1"/>
  <c r="H834" i="20" s="1"/>
  <c r="H833" i="20" a="1"/>
  <c r="H833" i="20" s="1"/>
  <c r="H832" i="20" a="1"/>
  <c r="H832" i="20" s="1"/>
  <c r="H831" i="20" a="1"/>
  <c r="H831" i="20" s="1"/>
  <c r="H830" i="20" a="1"/>
  <c r="H830" i="20" s="1"/>
  <c r="H829" i="20" a="1"/>
  <c r="H829" i="20" s="1"/>
  <c r="H828" i="20" a="1"/>
  <c r="H828" i="20" s="1"/>
  <c r="H827" i="20" a="1"/>
  <c r="H827" i="20" s="1"/>
  <c r="H826" i="20" a="1"/>
  <c r="H826" i="20" s="1"/>
  <c r="H825" i="20" a="1"/>
  <c r="H825" i="20" s="1"/>
  <c r="H824" i="20" a="1"/>
  <c r="H824" i="20" s="1"/>
  <c r="H823" i="20" a="1"/>
  <c r="H823" i="20" s="1"/>
  <c r="H822" i="20" a="1"/>
  <c r="H822" i="20" s="1"/>
  <c r="H821" i="20" a="1"/>
  <c r="H821" i="20" s="1"/>
  <c r="H820" i="20" a="1"/>
  <c r="H820" i="20" s="1"/>
  <c r="H819" i="20" a="1"/>
  <c r="H819" i="20" s="1"/>
  <c r="H818" i="20" a="1"/>
  <c r="H818" i="20" s="1"/>
  <c r="H817" i="20" a="1"/>
  <c r="H817" i="20" s="1"/>
  <c r="H816" i="20" a="1"/>
  <c r="H816" i="20" s="1"/>
  <c r="H815" i="20" a="1"/>
  <c r="H815" i="20" s="1"/>
  <c r="H814" i="20" a="1"/>
  <c r="H814" i="20" s="1"/>
  <c r="H813" i="20" a="1"/>
  <c r="H813" i="20" s="1"/>
  <c r="H812" i="20" a="1"/>
  <c r="H812" i="20" s="1"/>
  <c r="H811" i="20" a="1"/>
  <c r="H811" i="20" s="1"/>
  <c r="H810" i="20" a="1"/>
  <c r="H810" i="20" s="1"/>
  <c r="H809" i="20" a="1"/>
  <c r="H809" i="20" s="1"/>
  <c r="H808" i="20" a="1"/>
  <c r="H808" i="20" s="1"/>
  <c r="H807" i="20" a="1"/>
  <c r="H807" i="20" s="1"/>
  <c r="H806" i="20" a="1"/>
  <c r="H806" i="20" s="1"/>
  <c r="H805" i="20" a="1"/>
  <c r="H805" i="20" s="1"/>
  <c r="H804" i="20" a="1"/>
  <c r="H804" i="20" s="1"/>
  <c r="H803" i="20" a="1"/>
  <c r="H803" i="20" s="1"/>
  <c r="H802" i="20" a="1"/>
  <c r="H802" i="20" s="1"/>
  <c r="H801" i="20" a="1"/>
  <c r="H801" i="20" s="1"/>
  <c r="H800" i="20" a="1"/>
  <c r="H800" i="20" s="1"/>
  <c r="H799" i="20" a="1"/>
  <c r="H799" i="20" s="1"/>
  <c r="H798" i="20" a="1"/>
  <c r="H798" i="20" s="1"/>
  <c r="H797" i="20" a="1"/>
  <c r="H797" i="20" s="1"/>
  <c r="H796" i="20" a="1"/>
  <c r="H796" i="20" s="1"/>
  <c r="H795" i="20" a="1"/>
  <c r="H795" i="20" s="1"/>
  <c r="H794" i="20" a="1"/>
  <c r="H794" i="20" s="1"/>
  <c r="H793" i="20" a="1"/>
  <c r="H793" i="20" s="1"/>
  <c r="H792" i="20" a="1"/>
  <c r="H792" i="20" s="1"/>
  <c r="H791" i="20" a="1"/>
  <c r="H791" i="20" s="1"/>
  <c r="H790" i="20" a="1"/>
  <c r="H790" i="20" s="1"/>
  <c r="H789" i="20" a="1"/>
  <c r="H789" i="20" s="1"/>
  <c r="H788" i="20" a="1"/>
  <c r="H788" i="20" s="1"/>
  <c r="H787" i="20" a="1"/>
  <c r="H787" i="20" s="1"/>
  <c r="H786" i="20" a="1"/>
  <c r="H786" i="20" s="1"/>
  <c r="H785" i="20" a="1"/>
  <c r="H785" i="20" s="1"/>
  <c r="H784" i="20" a="1"/>
  <c r="H784" i="20" s="1"/>
  <c r="H783" i="20" a="1"/>
  <c r="H783" i="20" s="1"/>
  <c r="H782" i="20" a="1"/>
  <c r="H782" i="20" s="1"/>
  <c r="H781" i="20" a="1"/>
  <c r="H781" i="20" s="1"/>
  <c r="H780" i="20" a="1"/>
  <c r="H780" i="20" s="1"/>
  <c r="H779" i="20" a="1"/>
  <c r="H779" i="20" s="1"/>
  <c r="H778" i="20" a="1"/>
  <c r="H778" i="20" s="1"/>
  <c r="H777" i="20" a="1"/>
  <c r="H777" i="20" s="1"/>
  <c r="H776" i="20" a="1"/>
  <c r="H776" i="20" s="1"/>
  <c r="H775" i="20" a="1"/>
  <c r="H775" i="20" s="1"/>
  <c r="H774" i="20" a="1"/>
  <c r="H774" i="20" s="1"/>
  <c r="H773" i="20" a="1"/>
  <c r="H773" i="20" s="1"/>
  <c r="H772" i="20" a="1"/>
  <c r="H772" i="20" s="1"/>
  <c r="H771" i="20" a="1"/>
  <c r="H771" i="20" s="1"/>
  <c r="H770" i="20" a="1"/>
  <c r="H770" i="20" s="1"/>
  <c r="H769" i="20" a="1"/>
  <c r="H769" i="20" s="1"/>
  <c r="H768" i="20" a="1"/>
  <c r="H768" i="20" s="1"/>
  <c r="H767" i="20" a="1"/>
  <c r="H767" i="20" s="1"/>
  <c r="H766" i="20" a="1"/>
  <c r="H766" i="20" s="1"/>
  <c r="H765" i="20" a="1"/>
  <c r="H765" i="20" s="1"/>
  <c r="H764" i="20" a="1"/>
  <c r="H764" i="20" s="1"/>
  <c r="H763" i="20" a="1"/>
  <c r="H763" i="20" s="1"/>
  <c r="H762" i="20" a="1"/>
  <c r="H762" i="20" s="1"/>
  <c r="H761" i="20" a="1"/>
  <c r="H761" i="20" s="1"/>
  <c r="H760" i="20" a="1"/>
  <c r="H760" i="20" s="1"/>
  <c r="H759" i="20" a="1"/>
  <c r="H759" i="20" s="1"/>
  <c r="H758" i="20" a="1"/>
  <c r="H758" i="20" s="1"/>
  <c r="H757" i="20" a="1"/>
  <c r="H757" i="20" s="1"/>
  <c r="H756" i="20" a="1"/>
  <c r="H756" i="20" s="1"/>
  <c r="H755" i="20" a="1"/>
  <c r="H755" i="20" s="1"/>
  <c r="H754" i="20" a="1"/>
  <c r="H754" i="20" s="1"/>
  <c r="H753" i="20" a="1"/>
  <c r="H753" i="20" s="1"/>
  <c r="H752" i="20" a="1"/>
  <c r="H752" i="20" s="1"/>
  <c r="H751" i="20" a="1"/>
  <c r="H751" i="20" s="1"/>
  <c r="H750" i="20" a="1"/>
  <c r="H750" i="20" s="1"/>
  <c r="H749" i="20" a="1"/>
  <c r="H749" i="20" s="1"/>
  <c r="H748" i="20" a="1"/>
  <c r="H748" i="20" s="1"/>
  <c r="H747" i="20" a="1"/>
  <c r="H747" i="20" s="1"/>
  <c r="H746" i="20" a="1"/>
  <c r="H746" i="20" s="1"/>
  <c r="H745" i="20" a="1"/>
  <c r="H745" i="20" s="1"/>
  <c r="H744" i="20" a="1"/>
  <c r="H744" i="20" s="1"/>
  <c r="H743" i="20" a="1"/>
  <c r="H743" i="20" s="1"/>
  <c r="H742" i="20" a="1"/>
  <c r="H742" i="20" s="1"/>
  <c r="H741" i="20" a="1"/>
  <c r="H741" i="20" s="1"/>
  <c r="H740" i="20" a="1"/>
  <c r="H740" i="20" s="1"/>
  <c r="H739" i="20" a="1"/>
  <c r="H739" i="20" s="1"/>
  <c r="H738" i="20" a="1"/>
  <c r="H738" i="20" s="1"/>
  <c r="H737" i="20" a="1"/>
  <c r="H737" i="20" s="1"/>
  <c r="H736" i="20" a="1"/>
  <c r="H736" i="20" s="1"/>
  <c r="H735" i="20" a="1"/>
  <c r="H735" i="20" s="1"/>
  <c r="H734" i="20" a="1"/>
  <c r="H734" i="20" s="1"/>
  <c r="H733" i="20" a="1"/>
  <c r="H733" i="20" s="1"/>
  <c r="H732" i="20" a="1"/>
  <c r="H732" i="20" s="1"/>
  <c r="H731" i="20" a="1"/>
  <c r="H731" i="20" s="1"/>
  <c r="H730" i="20" a="1"/>
  <c r="H730" i="20" s="1"/>
  <c r="H729" i="20" a="1"/>
  <c r="H729" i="20" s="1"/>
  <c r="H728" i="20" a="1"/>
  <c r="H728" i="20" s="1"/>
  <c r="H727" i="20" a="1"/>
  <c r="H727" i="20" s="1"/>
  <c r="H726" i="20" a="1"/>
  <c r="H726" i="20" s="1"/>
  <c r="H725" i="20" a="1"/>
  <c r="H725" i="20" s="1"/>
  <c r="H724" i="20" a="1"/>
  <c r="H724" i="20" s="1"/>
  <c r="H723" i="20" a="1"/>
  <c r="H723" i="20" s="1"/>
  <c r="H722" i="20" a="1"/>
  <c r="H722" i="20" s="1"/>
  <c r="H721" i="20" a="1"/>
  <c r="H721" i="20" s="1"/>
  <c r="H720" i="20" a="1"/>
  <c r="H720" i="20" s="1"/>
  <c r="H719" i="20" a="1"/>
  <c r="H719" i="20" s="1"/>
  <c r="H718" i="20" a="1"/>
  <c r="H718" i="20" s="1"/>
  <c r="H717" i="20" a="1"/>
  <c r="H717" i="20" s="1"/>
  <c r="H716" i="20" a="1"/>
  <c r="H716" i="20" s="1"/>
  <c r="H715" i="20" a="1"/>
  <c r="H715" i="20" s="1"/>
  <c r="H714" i="20" a="1"/>
  <c r="H714" i="20" s="1"/>
  <c r="H713" i="20" a="1"/>
  <c r="H713" i="20" s="1"/>
  <c r="H712" i="20" a="1"/>
  <c r="H712" i="20" s="1"/>
  <c r="H711" i="20" a="1"/>
  <c r="H711" i="20" s="1"/>
  <c r="H710" i="20" a="1"/>
  <c r="H710" i="20" s="1"/>
  <c r="H709" i="20" a="1"/>
  <c r="H709" i="20" s="1"/>
  <c r="H708" i="20" a="1"/>
  <c r="H708" i="20" s="1"/>
  <c r="H707" i="20" a="1"/>
  <c r="H707" i="20" s="1"/>
  <c r="H706" i="20" a="1"/>
  <c r="H706" i="20" s="1"/>
  <c r="H705" i="20" a="1"/>
  <c r="H705" i="20" s="1"/>
  <c r="H704" i="20" a="1"/>
  <c r="H704" i="20" s="1"/>
  <c r="H703" i="20" a="1"/>
  <c r="H703" i="20" s="1"/>
  <c r="H702" i="20" a="1"/>
  <c r="H702" i="20" s="1"/>
  <c r="H701" i="20" a="1"/>
  <c r="H701" i="20" s="1"/>
  <c r="H700" i="20" a="1"/>
  <c r="H700" i="20" s="1"/>
  <c r="H699" i="20" a="1"/>
  <c r="H699" i="20" s="1"/>
  <c r="H698" i="20" a="1"/>
  <c r="H698" i="20" s="1"/>
  <c r="H697" i="20" a="1"/>
  <c r="H697" i="20" s="1"/>
  <c r="H696" i="20" a="1"/>
  <c r="H696" i="20" s="1"/>
  <c r="H695" i="20" a="1"/>
  <c r="H695" i="20" s="1"/>
  <c r="H694" i="20" a="1"/>
  <c r="H694" i="20" s="1"/>
  <c r="H693" i="20" a="1"/>
  <c r="H693" i="20" s="1"/>
  <c r="H692" i="20" a="1"/>
  <c r="H692" i="20" s="1"/>
  <c r="H691" i="20" a="1"/>
  <c r="H691" i="20" s="1"/>
  <c r="H690" i="20" a="1"/>
  <c r="H690" i="20" s="1"/>
  <c r="H689" i="20" a="1"/>
  <c r="H689" i="20" s="1"/>
  <c r="H688" i="20" a="1"/>
  <c r="H688" i="20" s="1"/>
  <c r="H687" i="20" a="1"/>
  <c r="H687" i="20" s="1"/>
  <c r="H686" i="20" a="1"/>
  <c r="H686" i="20" s="1"/>
  <c r="H685" i="20" a="1"/>
  <c r="H685" i="20" s="1"/>
  <c r="H684" i="20" a="1"/>
  <c r="H684" i="20" s="1"/>
  <c r="H683" i="20" a="1"/>
  <c r="H683" i="20" s="1"/>
  <c r="H682" i="20" a="1"/>
  <c r="H682" i="20" s="1"/>
  <c r="H681" i="20" a="1"/>
  <c r="H681" i="20" s="1"/>
  <c r="H680" i="20" a="1"/>
  <c r="H680" i="20" s="1"/>
  <c r="H679" i="20" a="1"/>
  <c r="H679" i="20" s="1"/>
  <c r="H678" i="20" a="1"/>
  <c r="H678" i="20" s="1"/>
  <c r="H677" i="20" a="1"/>
  <c r="H677" i="20" s="1"/>
  <c r="H676" i="20" a="1"/>
  <c r="H676" i="20" s="1"/>
  <c r="H675" i="20" a="1"/>
  <c r="H675" i="20" s="1"/>
  <c r="H674" i="20" a="1"/>
  <c r="H674" i="20" s="1"/>
  <c r="H673" i="20" a="1"/>
  <c r="H673" i="20" s="1"/>
  <c r="H672" i="20" a="1"/>
  <c r="H672" i="20" s="1"/>
  <c r="H671" i="20" a="1"/>
  <c r="H671" i="20" s="1"/>
  <c r="H670" i="20" a="1"/>
  <c r="H670" i="20" s="1"/>
  <c r="H669" i="20" a="1"/>
  <c r="H669" i="20" s="1"/>
  <c r="H668" i="20" a="1"/>
  <c r="H668" i="20" s="1"/>
  <c r="H667" i="20" a="1"/>
  <c r="H667" i="20" s="1"/>
  <c r="H666" i="20" a="1"/>
  <c r="H666" i="20" s="1"/>
  <c r="H665" i="20" a="1"/>
  <c r="H665" i="20" s="1"/>
  <c r="H664" i="20" a="1"/>
  <c r="H664" i="20" s="1"/>
  <c r="H663" i="20" a="1"/>
  <c r="H663" i="20" s="1"/>
  <c r="H662" i="20" a="1"/>
  <c r="H662" i="20" s="1"/>
  <c r="H661" i="20" a="1"/>
  <c r="H661" i="20" s="1"/>
  <c r="H660" i="20" a="1"/>
  <c r="H660" i="20" s="1"/>
  <c r="H659" i="20" a="1"/>
  <c r="H659" i="20" s="1"/>
  <c r="H658" i="20" a="1"/>
  <c r="H658" i="20" s="1"/>
  <c r="H657" i="20" a="1"/>
  <c r="H657" i="20" s="1"/>
  <c r="H656" i="20" a="1"/>
  <c r="H656" i="20" s="1"/>
  <c r="H655" i="20" a="1"/>
  <c r="H655" i="20" s="1"/>
  <c r="H654" i="20" a="1"/>
  <c r="H654" i="20" s="1"/>
  <c r="H653" i="20" a="1"/>
  <c r="H653" i="20" s="1"/>
  <c r="H652" i="20" a="1"/>
  <c r="H652" i="20" s="1"/>
  <c r="H651" i="20" a="1"/>
  <c r="H651" i="20" s="1"/>
  <c r="H650" i="20" a="1"/>
  <c r="H650" i="20" s="1"/>
  <c r="H649" i="20" a="1"/>
  <c r="H649" i="20" s="1"/>
  <c r="H648" i="20" a="1"/>
  <c r="H648" i="20" s="1"/>
  <c r="H647" i="20" a="1"/>
  <c r="H647" i="20" s="1"/>
  <c r="H646" i="20" a="1"/>
  <c r="H646" i="20" s="1"/>
  <c r="H645" i="20" a="1"/>
  <c r="H645" i="20" s="1"/>
  <c r="H644" i="20" a="1"/>
  <c r="H644" i="20" s="1"/>
  <c r="H643" i="20" a="1"/>
  <c r="H643" i="20" s="1"/>
  <c r="H642" i="20" a="1"/>
  <c r="H642" i="20" s="1"/>
  <c r="H641" i="20" a="1"/>
  <c r="H641" i="20" s="1"/>
  <c r="H640" i="20" a="1"/>
  <c r="H640" i="20" s="1"/>
  <c r="H639" i="20" a="1"/>
  <c r="H639" i="20" s="1"/>
  <c r="H638" i="20" a="1"/>
  <c r="H638" i="20" s="1"/>
  <c r="H637" i="20" a="1"/>
  <c r="H637" i="20" s="1"/>
  <c r="H636" i="20" a="1"/>
  <c r="H636" i="20" s="1"/>
  <c r="H635" i="20" a="1"/>
  <c r="H635" i="20" s="1"/>
  <c r="H634" i="20" a="1"/>
  <c r="H634" i="20" s="1"/>
  <c r="H633" i="20" a="1"/>
  <c r="H633" i="20" s="1"/>
  <c r="H632" i="20" a="1"/>
  <c r="H632" i="20" s="1"/>
  <c r="H631" i="20" a="1"/>
  <c r="H631" i="20" s="1"/>
  <c r="H630" i="20" a="1"/>
  <c r="H630" i="20" s="1"/>
  <c r="H629" i="20" a="1"/>
  <c r="H629" i="20" s="1"/>
  <c r="H628" i="20" a="1"/>
  <c r="H628" i="20" s="1"/>
  <c r="H627" i="20" a="1"/>
  <c r="H627" i="20" s="1"/>
  <c r="H626" i="20" a="1"/>
  <c r="H626" i="20" s="1"/>
  <c r="H625" i="20" a="1"/>
  <c r="H625" i="20" s="1"/>
  <c r="H624" i="20" a="1"/>
  <c r="H624" i="20" s="1"/>
  <c r="H623" i="20" a="1"/>
  <c r="H623" i="20" s="1"/>
  <c r="H622" i="20" a="1"/>
  <c r="H622" i="20" s="1"/>
  <c r="H621" i="20" a="1"/>
  <c r="H621" i="20" s="1"/>
  <c r="H620" i="20" a="1"/>
  <c r="H620" i="20" s="1"/>
  <c r="H619" i="20" a="1"/>
  <c r="H619" i="20" s="1"/>
  <c r="H618" i="20" a="1"/>
  <c r="H618" i="20" s="1"/>
  <c r="H617" i="20" a="1"/>
  <c r="H617" i="20" s="1"/>
  <c r="H616" i="20" a="1"/>
  <c r="H616" i="20" s="1"/>
  <c r="H615" i="20" a="1"/>
  <c r="H615" i="20" s="1"/>
  <c r="H614" i="20" a="1"/>
  <c r="H614" i="20" s="1"/>
  <c r="H613" i="20" a="1"/>
  <c r="H613" i="20" s="1"/>
  <c r="H612" i="20" a="1"/>
  <c r="H612" i="20" s="1"/>
  <c r="H611" i="20" a="1"/>
  <c r="H611" i="20" s="1"/>
  <c r="H610" i="20" a="1"/>
  <c r="H610" i="20" s="1"/>
  <c r="H609" i="20" a="1"/>
  <c r="H609" i="20" s="1"/>
  <c r="H608" i="20" a="1"/>
  <c r="H608" i="20" s="1"/>
  <c r="H607" i="20" a="1"/>
  <c r="H607" i="20" s="1"/>
  <c r="H606" i="20" a="1"/>
  <c r="H606" i="20" s="1"/>
  <c r="H605" i="20" a="1"/>
  <c r="H605" i="20" s="1"/>
  <c r="H604" i="20" a="1"/>
  <c r="H604" i="20" s="1"/>
  <c r="H603" i="20" a="1"/>
  <c r="H603" i="20" s="1"/>
  <c r="H602" i="20" a="1"/>
  <c r="H602" i="20" s="1"/>
  <c r="H601" i="20" a="1"/>
  <c r="H601" i="20" s="1"/>
  <c r="H600" i="20" a="1"/>
  <c r="H600" i="20" s="1"/>
  <c r="H599" i="20" a="1"/>
  <c r="H599" i="20" s="1"/>
  <c r="H598" i="20" a="1"/>
  <c r="H598" i="20" s="1"/>
  <c r="H597" i="20" a="1"/>
  <c r="H597" i="20" s="1"/>
  <c r="H596" i="20" a="1"/>
  <c r="H596" i="20" s="1"/>
  <c r="H595" i="20" a="1"/>
  <c r="H595" i="20" s="1"/>
  <c r="H594" i="20" a="1"/>
  <c r="H594" i="20" s="1"/>
  <c r="H593" i="20" a="1"/>
  <c r="H593" i="20" s="1"/>
  <c r="H592" i="20" a="1"/>
  <c r="H592" i="20" s="1"/>
  <c r="H591" i="20" a="1"/>
  <c r="H591" i="20" s="1"/>
  <c r="H590" i="20" a="1"/>
  <c r="H590" i="20" s="1"/>
  <c r="H589" i="20" a="1"/>
  <c r="H589" i="20" s="1"/>
  <c r="H588" i="20" a="1"/>
  <c r="H588" i="20" s="1"/>
  <c r="H587" i="20" a="1"/>
  <c r="H587" i="20" s="1"/>
  <c r="H586" i="20" a="1"/>
  <c r="H586" i="20" s="1"/>
  <c r="H585" i="20" a="1"/>
  <c r="H585" i="20" s="1"/>
  <c r="H584" i="20" a="1"/>
  <c r="H584" i="20" s="1"/>
  <c r="H583" i="20" a="1"/>
  <c r="H583" i="20" s="1"/>
  <c r="H582" i="20" a="1"/>
  <c r="H582" i="20" s="1"/>
  <c r="H581" i="20" a="1"/>
  <c r="H581" i="20" s="1"/>
  <c r="H580" i="20" a="1"/>
  <c r="H580" i="20" s="1"/>
  <c r="H579" i="20" a="1"/>
  <c r="H579" i="20" s="1"/>
  <c r="H578" i="20" a="1"/>
  <c r="H578" i="20" s="1"/>
  <c r="H577" i="20" a="1"/>
  <c r="H577" i="20" s="1"/>
  <c r="H576" i="20" a="1"/>
  <c r="H576" i="20" s="1"/>
  <c r="H575" i="20" a="1"/>
  <c r="H575" i="20" s="1"/>
  <c r="H574" i="20" a="1"/>
  <c r="H574" i="20" s="1"/>
  <c r="H573" i="20" a="1"/>
  <c r="H573" i="20" s="1"/>
  <c r="H572" i="20" a="1"/>
  <c r="H572" i="20" s="1"/>
  <c r="H571" i="20" a="1"/>
  <c r="H571" i="20" s="1"/>
  <c r="H570" i="20" a="1"/>
  <c r="H570" i="20" s="1"/>
  <c r="H569" i="20" a="1"/>
  <c r="H569" i="20" s="1"/>
  <c r="H568" i="20" a="1"/>
  <c r="H568" i="20" s="1"/>
  <c r="H567" i="20" a="1"/>
  <c r="H567" i="20" s="1"/>
  <c r="H566" i="20" a="1"/>
  <c r="H566" i="20" s="1"/>
  <c r="H565" i="20" a="1"/>
  <c r="H565" i="20" s="1"/>
  <c r="H564" i="20" a="1"/>
  <c r="H564" i="20" s="1"/>
  <c r="H563" i="20" a="1"/>
  <c r="H563" i="20" s="1"/>
  <c r="H562" i="20" a="1"/>
  <c r="H562" i="20" s="1"/>
  <c r="H561" i="20" a="1"/>
  <c r="H561" i="20" s="1"/>
  <c r="H560" i="20" a="1"/>
  <c r="H560" i="20" s="1"/>
  <c r="H559" i="20" a="1"/>
  <c r="H559" i="20" s="1"/>
  <c r="H558" i="20" a="1"/>
  <c r="H558" i="20" s="1"/>
  <c r="H557" i="20" a="1"/>
  <c r="H557" i="20" s="1"/>
  <c r="H556" i="20" a="1"/>
  <c r="H556" i="20" s="1"/>
  <c r="H555" i="20" a="1"/>
  <c r="H555" i="20" s="1"/>
  <c r="H554" i="20" a="1"/>
  <c r="H554" i="20" s="1"/>
  <c r="H553" i="20" a="1"/>
  <c r="H553" i="20" s="1"/>
  <c r="H552" i="20" a="1"/>
  <c r="H552" i="20" s="1"/>
  <c r="H551" i="20" a="1"/>
  <c r="H551" i="20" s="1"/>
  <c r="H550" i="20" a="1"/>
  <c r="H550" i="20" s="1"/>
  <c r="H549" i="20" a="1"/>
  <c r="H549" i="20" s="1"/>
  <c r="H548" i="20" a="1"/>
  <c r="H548" i="20" s="1"/>
  <c r="H547" i="20" a="1"/>
  <c r="H547" i="20" s="1"/>
  <c r="H546" i="20" a="1"/>
  <c r="H546" i="20" s="1"/>
  <c r="H545" i="20" a="1"/>
  <c r="H545" i="20" s="1"/>
  <c r="H544" i="20" a="1"/>
  <c r="H544" i="20" s="1"/>
  <c r="H543" i="20" a="1"/>
  <c r="H543" i="20" s="1"/>
  <c r="H542" i="20" a="1"/>
  <c r="H542" i="20" s="1"/>
  <c r="H541" i="20" a="1"/>
  <c r="H541" i="20" s="1"/>
  <c r="H540" i="20" a="1"/>
  <c r="H540" i="20" s="1"/>
  <c r="H539" i="20" a="1"/>
  <c r="H539" i="20" s="1"/>
  <c r="H538" i="20" a="1"/>
  <c r="H538" i="20" s="1"/>
  <c r="H537" i="20" a="1"/>
  <c r="H537" i="20" s="1"/>
  <c r="H536" i="20" a="1"/>
  <c r="H536" i="20" s="1"/>
  <c r="H535" i="20" a="1"/>
  <c r="H535" i="20" s="1"/>
  <c r="H534" i="20" a="1"/>
  <c r="H534" i="20" s="1"/>
  <c r="H533" i="20" a="1"/>
  <c r="H533" i="20" s="1"/>
  <c r="H532" i="20" a="1"/>
  <c r="H532" i="20" s="1"/>
  <c r="H531" i="20" a="1"/>
  <c r="H531" i="20" s="1"/>
  <c r="H530" i="20" a="1"/>
  <c r="H530" i="20" s="1"/>
  <c r="H529" i="20" a="1"/>
  <c r="H529" i="20" s="1"/>
  <c r="H528" i="20" a="1"/>
  <c r="H528" i="20" s="1"/>
  <c r="H527" i="20" a="1"/>
  <c r="H527" i="20" s="1"/>
  <c r="H526" i="20" a="1"/>
  <c r="H526" i="20" s="1"/>
  <c r="H525" i="20" a="1"/>
  <c r="H525" i="20" s="1"/>
  <c r="H524" i="20" a="1"/>
  <c r="H524" i="20" s="1"/>
  <c r="H523" i="20" a="1"/>
  <c r="H523" i="20" s="1"/>
  <c r="H522" i="20" a="1"/>
  <c r="H522" i="20" s="1"/>
  <c r="H521" i="20" a="1"/>
  <c r="H521" i="20" s="1"/>
  <c r="H520" i="20" a="1"/>
  <c r="H520" i="20" s="1"/>
  <c r="H519" i="20" a="1"/>
  <c r="H519" i="20" s="1"/>
  <c r="H518" i="20" a="1"/>
  <c r="H518" i="20" s="1"/>
  <c r="H517" i="20" a="1"/>
  <c r="H517" i="20" s="1"/>
  <c r="H516" i="20" a="1"/>
  <c r="H516" i="20" s="1"/>
  <c r="H515" i="20" a="1"/>
  <c r="H515" i="20" s="1"/>
  <c r="H514" i="20" a="1"/>
  <c r="H514" i="20" s="1"/>
  <c r="H513" i="20" a="1"/>
  <c r="H513" i="20" s="1"/>
  <c r="H512" i="20" a="1"/>
  <c r="H512" i="20" s="1"/>
  <c r="H511" i="20" a="1"/>
  <c r="H511" i="20" s="1"/>
  <c r="H510" i="20" a="1"/>
  <c r="H510" i="20" s="1"/>
  <c r="H509" i="20" a="1"/>
  <c r="H509" i="20" s="1"/>
  <c r="H508" i="20" a="1"/>
  <c r="H508" i="20" s="1"/>
  <c r="H507" i="20" a="1"/>
  <c r="H507" i="20" s="1"/>
  <c r="H506" i="20" a="1"/>
  <c r="H506" i="20" s="1"/>
  <c r="H505" i="20" a="1"/>
  <c r="H505" i="20" s="1"/>
  <c r="H504" i="20" a="1"/>
  <c r="H504" i="20" s="1"/>
  <c r="H503" i="20" a="1"/>
  <c r="H503" i="20" s="1"/>
  <c r="H502" i="20" a="1"/>
  <c r="H502" i="20" s="1"/>
  <c r="H501" i="20" a="1"/>
  <c r="H501" i="20" s="1"/>
  <c r="H500" i="20" a="1"/>
  <c r="H500" i="20" s="1"/>
  <c r="H499" i="20" a="1"/>
  <c r="H499" i="20" s="1"/>
  <c r="H498" i="20" a="1"/>
  <c r="H498" i="20" s="1"/>
  <c r="H497" i="20" a="1"/>
  <c r="H497" i="20" s="1"/>
  <c r="H496" i="20" a="1"/>
  <c r="H496" i="20" s="1"/>
  <c r="H495" i="20" a="1"/>
  <c r="H495" i="20" s="1"/>
  <c r="H494" i="20" a="1"/>
  <c r="H494" i="20" s="1"/>
  <c r="H493" i="20" a="1"/>
  <c r="H493" i="20" s="1"/>
  <c r="H492" i="20" a="1"/>
  <c r="H492" i="20" s="1"/>
  <c r="H491" i="20" a="1"/>
  <c r="H491" i="20" s="1"/>
  <c r="H490" i="20" a="1"/>
  <c r="H490" i="20" s="1"/>
  <c r="H489" i="20" a="1"/>
  <c r="H489" i="20" s="1"/>
  <c r="H488" i="20" a="1"/>
  <c r="H488" i="20" s="1"/>
  <c r="H487" i="20" a="1"/>
  <c r="H487" i="20" s="1"/>
  <c r="H486" i="20" a="1"/>
  <c r="H486" i="20" s="1"/>
  <c r="H485" i="20" a="1"/>
  <c r="H485" i="20" s="1"/>
  <c r="H484" i="20" a="1"/>
  <c r="H484" i="20" s="1"/>
  <c r="H483" i="20" a="1"/>
  <c r="H483" i="20" s="1"/>
  <c r="H482" i="20" a="1"/>
  <c r="H482" i="20" s="1"/>
  <c r="H481" i="20" a="1"/>
  <c r="H481" i="20" s="1"/>
  <c r="H480" i="20" a="1"/>
  <c r="H480" i="20" s="1"/>
  <c r="H479" i="20" a="1"/>
  <c r="H479" i="20" s="1"/>
  <c r="H478" i="20" a="1"/>
  <c r="H478" i="20" s="1"/>
  <c r="H477" i="20" a="1"/>
  <c r="H477" i="20" s="1"/>
  <c r="H476" i="20" a="1"/>
  <c r="H476" i="20" s="1"/>
  <c r="H475" i="20" a="1"/>
  <c r="H475" i="20" s="1"/>
  <c r="H474" i="20" a="1"/>
  <c r="H474" i="20" s="1"/>
  <c r="H473" i="20" a="1"/>
  <c r="H473" i="20" s="1"/>
  <c r="H472" i="20" a="1"/>
  <c r="H472" i="20" s="1"/>
  <c r="H471" i="20" a="1"/>
  <c r="H471" i="20" s="1"/>
  <c r="H470" i="20" a="1"/>
  <c r="H470" i="20" s="1"/>
  <c r="H469" i="20" a="1"/>
  <c r="H469" i="20" s="1"/>
  <c r="H468" i="20" a="1"/>
  <c r="H468" i="20" s="1"/>
  <c r="H467" i="20" a="1"/>
  <c r="H467" i="20" s="1"/>
  <c r="H466" i="20" a="1"/>
  <c r="H466" i="20" s="1"/>
  <c r="H465" i="20" a="1"/>
  <c r="H465" i="20" s="1"/>
  <c r="H464" i="20" a="1"/>
  <c r="H464" i="20" s="1"/>
  <c r="H463" i="20" a="1"/>
  <c r="H463" i="20" s="1"/>
  <c r="H462" i="20" a="1"/>
  <c r="H462" i="20" s="1"/>
  <c r="H461" i="20" a="1"/>
  <c r="H461" i="20" s="1"/>
  <c r="H460" i="20" a="1"/>
  <c r="H460" i="20" s="1"/>
  <c r="H459" i="20" a="1"/>
  <c r="H459" i="20" s="1"/>
  <c r="H458" i="20" a="1"/>
  <c r="H458" i="20" s="1"/>
  <c r="H457" i="20" a="1"/>
  <c r="H457" i="20" s="1"/>
  <c r="H456" i="20" a="1"/>
  <c r="H456" i="20" s="1"/>
  <c r="H455" i="20" a="1"/>
  <c r="H455" i="20" s="1"/>
  <c r="H454" i="20" a="1"/>
  <c r="H454" i="20" s="1"/>
  <c r="H453" i="20" a="1"/>
  <c r="H453" i="20" s="1"/>
  <c r="H452" i="20" a="1"/>
  <c r="H452" i="20" s="1"/>
  <c r="H451" i="20" a="1"/>
  <c r="H451" i="20" s="1"/>
  <c r="H450" i="20" a="1"/>
  <c r="H450" i="20" s="1"/>
  <c r="H449" i="20" a="1"/>
  <c r="H449" i="20" s="1"/>
  <c r="H448" i="20" a="1"/>
  <c r="H448" i="20" s="1"/>
  <c r="H447" i="20" a="1"/>
  <c r="H447" i="20" s="1"/>
  <c r="H446" i="20" a="1"/>
  <c r="H446" i="20" s="1"/>
  <c r="H445" i="20" a="1"/>
  <c r="H445" i="20" s="1"/>
  <c r="H444" i="20" a="1"/>
  <c r="H444" i="20" s="1"/>
  <c r="H443" i="20" a="1"/>
  <c r="H443" i="20" s="1"/>
  <c r="H442" i="20" a="1"/>
  <c r="H442" i="20" s="1"/>
  <c r="H441" i="20" a="1"/>
  <c r="H441" i="20" s="1"/>
  <c r="H440" i="20" a="1"/>
  <c r="H440" i="20" s="1"/>
  <c r="H439" i="20" a="1"/>
  <c r="H439" i="20" s="1"/>
  <c r="H438" i="20" a="1"/>
  <c r="H438" i="20" s="1"/>
  <c r="H437" i="20" a="1"/>
  <c r="H437" i="20" s="1"/>
  <c r="H436" i="20" a="1"/>
  <c r="H436" i="20" s="1"/>
  <c r="H435" i="20" a="1"/>
  <c r="H435" i="20" s="1"/>
  <c r="H434" i="20" a="1"/>
  <c r="H434" i="20" s="1"/>
  <c r="H433" i="20" a="1"/>
  <c r="H433" i="20" s="1"/>
  <c r="H432" i="20" a="1"/>
  <c r="H432" i="20" s="1"/>
  <c r="H431" i="20" a="1"/>
  <c r="H431" i="20" s="1"/>
  <c r="H430" i="20" a="1"/>
  <c r="H430" i="20" s="1"/>
  <c r="H429" i="20" a="1"/>
  <c r="H429" i="20" s="1"/>
  <c r="H428" i="20" a="1"/>
  <c r="H428" i="20" s="1"/>
  <c r="H427" i="20" a="1"/>
  <c r="H427" i="20" s="1"/>
  <c r="H426" i="20" a="1"/>
  <c r="H426" i="20" s="1"/>
  <c r="H425" i="20" a="1"/>
  <c r="H425" i="20" s="1"/>
  <c r="H424" i="20" a="1"/>
  <c r="H424" i="20" s="1"/>
  <c r="H423" i="20" a="1"/>
  <c r="H423" i="20" s="1"/>
  <c r="H422" i="20" a="1"/>
  <c r="H422" i="20" s="1"/>
  <c r="H421" i="20" a="1"/>
  <c r="H421" i="20" s="1"/>
  <c r="H420" i="20" a="1"/>
  <c r="H420" i="20" s="1"/>
  <c r="H419" i="20" a="1"/>
  <c r="H419" i="20" s="1"/>
  <c r="H418" i="20" a="1"/>
  <c r="H418" i="20" s="1"/>
  <c r="H417" i="20" a="1"/>
  <c r="H417" i="20" s="1"/>
  <c r="H416" i="20" a="1"/>
  <c r="H416" i="20" s="1"/>
  <c r="H415" i="20" a="1"/>
  <c r="H415" i="20" s="1"/>
  <c r="H414" i="20" a="1"/>
  <c r="H414" i="20" s="1"/>
  <c r="H413" i="20" a="1"/>
  <c r="H413" i="20" s="1"/>
  <c r="H412" i="20" a="1"/>
  <c r="H412" i="20" s="1"/>
  <c r="H411" i="20" a="1"/>
  <c r="H411" i="20" s="1"/>
  <c r="H410" i="20" a="1"/>
  <c r="H410" i="20" s="1"/>
  <c r="H409" i="20" a="1"/>
  <c r="H409" i="20" s="1"/>
  <c r="H408" i="20" a="1"/>
  <c r="H408" i="20" s="1"/>
  <c r="H407" i="20" a="1"/>
  <c r="H407" i="20" s="1"/>
  <c r="H406" i="20" a="1"/>
  <c r="H406" i="20" s="1"/>
  <c r="H405" i="20" a="1"/>
  <c r="H405" i="20" s="1"/>
  <c r="H404" i="20" a="1"/>
  <c r="H404" i="20" s="1"/>
  <c r="H403" i="20" a="1"/>
  <c r="H403" i="20" s="1"/>
  <c r="H402" i="20" a="1"/>
  <c r="H402" i="20" s="1"/>
  <c r="H401" i="20" a="1"/>
  <c r="H401" i="20" s="1"/>
  <c r="H400" i="20" a="1"/>
  <c r="H400" i="20" s="1"/>
  <c r="H399" i="20" a="1"/>
  <c r="H399" i="20" s="1"/>
  <c r="H398" i="20" a="1"/>
  <c r="H398" i="20" s="1"/>
  <c r="H397" i="20" a="1"/>
  <c r="H397" i="20" s="1"/>
  <c r="H396" i="20" a="1"/>
  <c r="H396" i="20" s="1"/>
  <c r="H395" i="20" a="1"/>
  <c r="H395" i="20" s="1"/>
  <c r="H394" i="20" a="1"/>
  <c r="H394" i="20" s="1"/>
  <c r="H393" i="20" a="1"/>
  <c r="H393" i="20" s="1"/>
  <c r="H392" i="20" a="1"/>
  <c r="H392" i="20" s="1"/>
  <c r="H391" i="20" a="1"/>
  <c r="H391" i="20" s="1"/>
  <c r="H390" i="20" a="1"/>
  <c r="H390" i="20" s="1"/>
  <c r="H389" i="20" a="1"/>
  <c r="H389" i="20" s="1"/>
  <c r="H388" i="20" a="1"/>
  <c r="H388" i="20" s="1"/>
  <c r="H387" i="20" a="1"/>
  <c r="H387" i="20" s="1"/>
  <c r="H386" i="20" a="1"/>
  <c r="H386" i="20" s="1"/>
  <c r="H385" i="20" a="1"/>
  <c r="H385" i="20" s="1"/>
  <c r="H384" i="20" a="1"/>
  <c r="H384" i="20" s="1"/>
  <c r="H383" i="20" a="1"/>
  <c r="H383" i="20" s="1"/>
  <c r="H382" i="20" a="1"/>
  <c r="H382" i="20" s="1"/>
  <c r="H381" i="20" a="1"/>
  <c r="H381" i="20" s="1"/>
  <c r="H380" i="20" a="1"/>
  <c r="H380" i="20" s="1"/>
  <c r="H379" i="20" a="1"/>
  <c r="H379" i="20" s="1"/>
  <c r="H378" i="20" a="1"/>
  <c r="H378" i="20" s="1"/>
  <c r="H377" i="20" a="1"/>
  <c r="H377" i="20" s="1"/>
  <c r="H376" i="20" a="1"/>
  <c r="H376" i="20" s="1"/>
  <c r="H375" i="20" a="1"/>
  <c r="H375" i="20" s="1"/>
  <c r="H374" i="20" a="1"/>
  <c r="H374" i="20" s="1"/>
  <c r="H373" i="20" a="1"/>
  <c r="H373" i="20" s="1"/>
  <c r="H372" i="20" a="1"/>
  <c r="H372" i="20" s="1"/>
  <c r="H371" i="20" a="1"/>
  <c r="H371" i="20" s="1"/>
  <c r="H370" i="20" a="1"/>
  <c r="H370" i="20" s="1"/>
  <c r="H369" i="20" a="1"/>
  <c r="H369" i="20" s="1"/>
  <c r="H368" i="20" a="1"/>
  <c r="H368" i="20" s="1"/>
  <c r="H367" i="20" a="1"/>
  <c r="H367" i="20" s="1"/>
  <c r="H366" i="20" a="1"/>
  <c r="H366" i="20" s="1"/>
  <c r="H365" i="20" a="1"/>
  <c r="H365" i="20" s="1"/>
  <c r="H364" i="20" a="1"/>
  <c r="H364" i="20" s="1"/>
  <c r="H363" i="20" a="1"/>
  <c r="H363" i="20" s="1"/>
  <c r="H362" i="20" a="1"/>
  <c r="H362" i="20" s="1"/>
  <c r="H361" i="20" a="1"/>
  <c r="H361" i="20" s="1"/>
  <c r="H360" i="20" a="1"/>
  <c r="H360" i="20" s="1"/>
  <c r="H359" i="20" a="1"/>
  <c r="H359" i="20" s="1"/>
  <c r="H358" i="20" a="1"/>
  <c r="H358" i="20" s="1"/>
  <c r="H357" i="20" a="1"/>
  <c r="H357" i="20" s="1"/>
  <c r="H356" i="20" a="1"/>
  <c r="H356" i="20" s="1"/>
  <c r="H355" i="20" a="1"/>
  <c r="H355" i="20" s="1"/>
  <c r="H354" i="20" a="1"/>
  <c r="H354" i="20" s="1"/>
  <c r="H353" i="20" a="1"/>
  <c r="H353" i="20" s="1"/>
  <c r="H352" i="20" a="1"/>
  <c r="H352" i="20" s="1"/>
  <c r="H351" i="20" a="1"/>
  <c r="H351" i="20" s="1"/>
  <c r="H350" i="20" a="1"/>
  <c r="H350" i="20" s="1"/>
  <c r="H349" i="20" a="1"/>
  <c r="H349" i="20" s="1"/>
  <c r="H348" i="20" a="1"/>
  <c r="H348" i="20" s="1"/>
  <c r="H347" i="20" a="1"/>
  <c r="H347" i="20" s="1"/>
  <c r="H346" i="20" a="1"/>
  <c r="H346" i="20" s="1"/>
  <c r="H345" i="20" a="1"/>
  <c r="H345" i="20" s="1"/>
  <c r="H344" i="20" a="1"/>
  <c r="H344" i="20" s="1"/>
  <c r="H343" i="20" a="1"/>
  <c r="H343" i="20" s="1"/>
  <c r="H342" i="20" a="1"/>
  <c r="H342" i="20" s="1"/>
  <c r="H341" i="20" a="1"/>
  <c r="H341" i="20" s="1"/>
  <c r="H340" i="20" a="1"/>
  <c r="H340" i="20" s="1"/>
  <c r="H339" i="20" a="1"/>
  <c r="H339" i="20" s="1"/>
  <c r="H338" i="20" a="1"/>
  <c r="H338" i="20" s="1"/>
  <c r="H337" i="20" a="1"/>
  <c r="H337" i="20" s="1"/>
  <c r="H336" i="20" a="1"/>
  <c r="H336" i="20" s="1"/>
  <c r="H335" i="20" a="1"/>
  <c r="H335" i="20" s="1"/>
  <c r="H334" i="20" a="1"/>
  <c r="H334" i="20" s="1"/>
  <c r="H333" i="20" a="1"/>
  <c r="H333" i="20" s="1"/>
  <c r="H332" i="20" a="1"/>
  <c r="H332" i="20" s="1"/>
  <c r="H331" i="20" a="1"/>
  <c r="H331" i="20" s="1"/>
  <c r="H330" i="20" a="1"/>
  <c r="H330" i="20" s="1"/>
  <c r="H329" i="20" a="1"/>
  <c r="H329" i="20" s="1"/>
  <c r="H328" i="20" a="1"/>
  <c r="H328" i="20" s="1"/>
  <c r="H327" i="20" a="1"/>
  <c r="H327" i="20" s="1"/>
  <c r="H326" i="20" a="1"/>
  <c r="H326" i="20" s="1"/>
  <c r="H325" i="20" a="1"/>
  <c r="H325" i="20" s="1"/>
  <c r="H324" i="20" a="1"/>
  <c r="H324" i="20" s="1"/>
  <c r="H323" i="20" a="1"/>
  <c r="H323" i="20" s="1"/>
  <c r="H322" i="20" a="1"/>
  <c r="H322" i="20" s="1"/>
  <c r="H321" i="20" a="1"/>
  <c r="H321" i="20" s="1"/>
  <c r="H320" i="20" a="1"/>
  <c r="H320" i="20" s="1"/>
  <c r="H319" i="20" a="1"/>
  <c r="H319" i="20" s="1"/>
  <c r="H318" i="20" a="1"/>
  <c r="H318" i="20" s="1"/>
  <c r="H317" i="20" a="1"/>
  <c r="H317" i="20" s="1"/>
  <c r="H316" i="20" a="1"/>
  <c r="H316" i="20" s="1"/>
  <c r="H315" i="20" a="1"/>
  <c r="H315" i="20" s="1"/>
  <c r="H314" i="20" a="1"/>
  <c r="H314" i="20" s="1"/>
  <c r="H313" i="20" a="1"/>
  <c r="H313" i="20" s="1"/>
  <c r="H312" i="20" a="1"/>
  <c r="H312" i="20" s="1"/>
  <c r="H311" i="20" a="1"/>
  <c r="H311" i="20" s="1"/>
  <c r="H310" i="20" a="1"/>
  <c r="H310" i="20" s="1"/>
  <c r="H309" i="20" a="1"/>
  <c r="H309" i="20" s="1"/>
  <c r="H308" i="20" a="1"/>
  <c r="H308" i="20" s="1"/>
  <c r="H307" i="20" a="1"/>
  <c r="H307" i="20" s="1"/>
  <c r="H306" i="20" a="1"/>
  <c r="H306" i="20" s="1"/>
  <c r="H305" i="20" a="1"/>
  <c r="H305" i="20" s="1"/>
  <c r="H304" i="20" a="1"/>
  <c r="H304" i="20" s="1"/>
  <c r="H303" i="20" a="1"/>
  <c r="H303" i="20" s="1"/>
  <c r="H302" i="20" a="1"/>
  <c r="H302" i="20" s="1"/>
  <c r="H301" i="20" a="1"/>
  <c r="H301" i="20" s="1"/>
  <c r="H300" i="20" a="1"/>
  <c r="H300" i="20" s="1"/>
  <c r="H299" i="20" a="1"/>
  <c r="H299" i="20" s="1"/>
  <c r="H298" i="20" a="1"/>
  <c r="H298" i="20" s="1"/>
  <c r="H297" i="20" a="1"/>
  <c r="H297" i="20" s="1"/>
  <c r="H296" i="20" a="1"/>
  <c r="H296" i="20" s="1"/>
  <c r="H295" i="20" a="1"/>
  <c r="H295" i="20" s="1"/>
  <c r="H294" i="20" a="1"/>
  <c r="H294" i="20" s="1"/>
  <c r="H293" i="20" a="1"/>
  <c r="H293" i="20" s="1"/>
  <c r="H292" i="20" a="1"/>
  <c r="H292" i="20" s="1"/>
  <c r="H291" i="20" a="1"/>
  <c r="H291" i="20" s="1"/>
  <c r="H290" i="20" a="1"/>
  <c r="H290" i="20" s="1"/>
  <c r="H289" i="20" a="1"/>
  <c r="H289" i="20" s="1"/>
  <c r="H288" i="20" a="1"/>
  <c r="H288" i="20" s="1"/>
  <c r="H287" i="20" a="1"/>
  <c r="H287" i="20" s="1"/>
  <c r="H286" i="20" a="1"/>
  <c r="H286" i="20" s="1"/>
  <c r="H285" i="20" a="1"/>
  <c r="H285" i="20" s="1"/>
  <c r="H284" i="20" a="1"/>
  <c r="H284" i="20" s="1"/>
  <c r="H283" i="20" a="1"/>
  <c r="H283" i="20" s="1"/>
  <c r="H282" i="20" a="1"/>
  <c r="H282" i="20" s="1"/>
  <c r="H281" i="20" a="1"/>
  <c r="H281" i="20" s="1"/>
  <c r="H280" i="20" a="1"/>
  <c r="H280" i="20" s="1"/>
  <c r="H279" i="20" a="1"/>
  <c r="H279" i="20" s="1"/>
  <c r="H278" i="20" a="1"/>
  <c r="H278" i="20" s="1"/>
  <c r="H277" i="20" a="1"/>
  <c r="H277" i="20" s="1"/>
  <c r="H276" i="20" a="1"/>
  <c r="H276" i="20" s="1"/>
  <c r="H275" i="20" a="1"/>
  <c r="H275" i="20" s="1"/>
  <c r="H274" i="20" a="1"/>
  <c r="H274" i="20" s="1"/>
  <c r="H273" i="20" a="1"/>
  <c r="H273" i="20" s="1"/>
  <c r="H272" i="20" a="1"/>
  <c r="H272" i="20" s="1"/>
  <c r="H271" i="20" a="1"/>
  <c r="H271" i="20" s="1"/>
  <c r="H270" i="20" a="1"/>
  <c r="H270" i="20" s="1"/>
  <c r="H269" i="20" a="1"/>
  <c r="H269" i="20" s="1"/>
  <c r="H268" i="20" a="1"/>
  <c r="H268" i="20" s="1"/>
  <c r="H267" i="20" a="1"/>
  <c r="H267" i="20" s="1"/>
  <c r="H266" i="20" a="1"/>
  <c r="H266" i="20" s="1"/>
  <c r="H265" i="20" a="1"/>
  <c r="H265" i="20" s="1"/>
  <c r="H264" i="20" a="1"/>
  <c r="H264" i="20" s="1"/>
  <c r="H263" i="20" a="1"/>
  <c r="H263" i="20" s="1"/>
  <c r="H262" i="20" a="1"/>
  <c r="H262" i="20" s="1"/>
  <c r="H261" i="20" a="1"/>
  <c r="H261" i="20" s="1"/>
  <c r="H260" i="20" a="1"/>
  <c r="H260" i="20" s="1"/>
  <c r="H259" i="20" a="1"/>
  <c r="H259" i="20" s="1"/>
  <c r="H258" i="20" a="1"/>
  <c r="H258" i="20" s="1"/>
  <c r="H257" i="20" a="1"/>
  <c r="H257" i="20" s="1"/>
  <c r="H256" i="20" a="1"/>
  <c r="H256" i="20" s="1"/>
  <c r="H255" i="20" a="1"/>
  <c r="H255" i="20" s="1"/>
  <c r="H254" i="20" a="1"/>
  <c r="H254" i="20" s="1"/>
  <c r="H253" i="20" a="1"/>
  <c r="H253" i="20" s="1"/>
  <c r="H252" i="20" a="1"/>
  <c r="H252" i="20" s="1"/>
  <c r="H251" i="20" a="1"/>
  <c r="H251" i="20" s="1"/>
  <c r="H250" i="20" a="1"/>
  <c r="H250" i="20" s="1"/>
  <c r="H249" i="20" a="1"/>
  <c r="H249" i="20" s="1"/>
  <c r="H248" i="20" a="1"/>
  <c r="H248" i="20" s="1"/>
  <c r="H247" i="20" a="1"/>
  <c r="H247" i="20" s="1"/>
  <c r="H246" i="20" a="1"/>
  <c r="H246" i="20" s="1"/>
  <c r="H245" i="20" a="1"/>
  <c r="H245" i="20" s="1"/>
  <c r="H244" i="20" a="1"/>
  <c r="H244" i="20" s="1"/>
  <c r="H243" i="20" a="1"/>
  <c r="H243" i="20" s="1"/>
  <c r="H242" i="20" a="1"/>
  <c r="H242" i="20" s="1"/>
  <c r="H241" i="20" a="1"/>
  <c r="H241" i="20" s="1"/>
  <c r="H240" i="20" a="1"/>
  <c r="H240" i="20" s="1"/>
  <c r="H239" i="20" a="1"/>
  <c r="H239" i="20" s="1"/>
  <c r="H238" i="20" a="1"/>
  <c r="H238" i="20" s="1"/>
  <c r="H237" i="20" a="1"/>
  <c r="H237" i="20" s="1"/>
  <c r="H236" i="20" a="1"/>
  <c r="H236" i="20" s="1"/>
  <c r="H235" i="20" a="1"/>
  <c r="H235" i="20" s="1"/>
  <c r="H234" i="20" a="1"/>
  <c r="H234" i="20" s="1"/>
  <c r="H233" i="20" a="1"/>
  <c r="H233" i="20" s="1"/>
  <c r="H232" i="20" a="1"/>
  <c r="H232" i="20" s="1"/>
  <c r="H231" i="20" a="1"/>
  <c r="H231" i="20" s="1"/>
  <c r="H230" i="20" a="1"/>
  <c r="H230" i="20" s="1"/>
  <c r="H229" i="20" a="1"/>
  <c r="H229" i="20" s="1"/>
  <c r="H228" i="20" a="1"/>
  <c r="H228" i="20" s="1"/>
  <c r="H227" i="20" a="1"/>
  <c r="H227" i="20" s="1"/>
  <c r="H226" i="20" a="1"/>
  <c r="H226" i="20" s="1"/>
  <c r="H225" i="20" a="1"/>
  <c r="H225" i="20" s="1"/>
  <c r="H224" i="20" a="1"/>
  <c r="H224" i="20" s="1"/>
  <c r="H223" i="20" a="1"/>
  <c r="H223" i="20" s="1"/>
  <c r="H222" i="20" a="1"/>
  <c r="H222" i="20" s="1"/>
  <c r="H221" i="20" a="1"/>
  <c r="H221" i="20" s="1"/>
  <c r="H220" i="20" a="1"/>
  <c r="H220" i="20" s="1"/>
  <c r="H219" i="20" a="1"/>
  <c r="H219" i="20" s="1"/>
  <c r="H218" i="20" a="1"/>
  <c r="H218" i="20" s="1"/>
  <c r="H217" i="20" a="1"/>
  <c r="H217" i="20" s="1"/>
  <c r="H216" i="20" a="1"/>
  <c r="H216" i="20" s="1"/>
  <c r="H215" i="20" a="1"/>
  <c r="H215" i="20" s="1"/>
  <c r="H214" i="20" a="1"/>
  <c r="H214" i="20" s="1"/>
  <c r="H213" i="20" a="1"/>
  <c r="H213" i="20" s="1"/>
  <c r="H212" i="20" a="1"/>
  <c r="H212" i="20" s="1"/>
  <c r="H211" i="20" a="1"/>
  <c r="H211" i="20" s="1"/>
  <c r="H210" i="20" a="1"/>
  <c r="H210" i="20" s="1"/>
  <c r="H209" i="20" a="1"/>
  <c r="H209" i="20" s="1"/>
  <c r="H208" i="20" a="1"/>
  <c r="H208" i="20" s="1"/>
  <c r="H207" i="20" a="1"/>
  <c r="H207" i="20" s="1"/>
  <c r="H206" i="20" a="1"/>
  <c r="H206" i="20" s="1"/>
  <c r="H205" i="20" a="1"/>
  <c r="H205" i="20" s="1"/>
  <c r="H204" i="20" a="1"/>
  <c r="H204" i="20" s="1"/>
  <c r="H203" i="20" a="1"/>
  <c r="H203" i="20" s="1"/>
  <c r="H202" i="20" a="1"/>
  <c r="H202" i="20" s="1"/>
  <c r="H201" i="20" a="1"/>
  <c r="H201" i="20" s="1"/>
  <c r="H200" i="20" a="1"/>
  <c r="H200" i="20" s="1"/>
  <c r="H199" i="20" a="1"/>
  <c r="H199" i="20" s="1"/>
  <c r="H198" i="20" a="1"/>
  <c r="H198" i="20" s="1"/>
  <c r="H197" i="20" a="1"/>
  <c r="H197" i="20" s="1"/>
  <c r="H196" i="20" a="1"/>
  <c r="H196" i="20" s="1"/>
  <c r="H195" i="20" a="1"/>
  <c r="H195" i="20" s="1"/>
  <c r="H194" i="20" a="1"/>
  <c r="H194" i="20" s="1"/>
  <c r="H193" i="20" a="1"/>
  <c r="H193" i="20" s="1"/>
  <c r="H192" i="20" a="1"/>
  <c r="H192" i="20" s="1"/>
  <c r="H191" i="20" a="1"/>
  <c r="H191" i="20" s="1"/>
  <c r="H190" i="20" a="1"/>
  <c r="H190" i="20" s="1"/>
  <c r="H189" i="20" a="1"/>
  <c r="H189" i="20" s="1"/>
  <c r="H188" i="20" a="1"/>
  <c r="H188" i="20" s="1"/>
  <c r="H187" i="20" a="1"/>
  <c r="H187" i="20" s="1"/>
  <c r="H186" i="20" a="1"/>
  <c r="H186" i="20" s="1"/>
  <c r="H185" i="20" a="1"/>
  <c r="H185" i="20" s="1"/>
  <c r="H184" i="20" a="1"/>
  <c r="H184" i="20" s="1"/>
  <c r="H183" i="20" a="1"/>
  <c r="H183" i="20" s="1"/>
  <c r="H182" i="20" a="1"/>
  <c r="H182" i="20" s="1"/>
  <c r="H181" i="20" a="1"/>
  <c r="H181" i="20" s="1"/>
  <c r="H180" i="20" a="1"/>
  <c r="H180" i="20" s="1"/>
  <c r="H179" i="20" a="1"/>
  <c r="H179" i="20" s="1"/>
  <c r="H178" i="20" a="1"/>
  <c r="H178" i="20" s="1"/>
  <c r="H177" i="20" a="1"/>
  <c r="H177" i="20" s="1"/>
  <c r="H176" i="20" a="1"/>
  <c r="H176" i="20" s="1"/>
  <c r="H175" i="20" a="1"/>
  <c r="H175" i="20" s="1"/>
  <c r="H174" i="20" a="1"/>
  <c r="H174" i="20" s="1"/>
  <c r="H173" i="20" a="1"/>
  <c r="H173" i="20" s="1"/>
  <c r="H172" i="20" a="1"/>
  <c r="H172" i="20" s="1"/>
  <c r="H171" i="20" a="1"/>
  <c r="H171" i="20" s="1"/>
  <c r="H170" i="20" a="1"/>
  <c r="H170" i="20" s="1"/>
  <c r="H169" i="20" a="1"/>
  <c r="H169" i="20" s="1"/>
  <c r="H168" i="20" a="1"/>
  <c r="H168" i="20" s="1"/>
  <c r="H167" i="20" a="1"/>
  <c r="H167" i="20" s="1"/>
  <c r="H166" i="20" a="1"/>
  <c r="H166" i="20" s="1"/>
  <c r="H165" i="20" a="1"/>
  <c r="H165" i="20" s="1"/>
  <c r="H164" i="20" a="1"/>
  <c r="H164" i="20" s="1"/>
  <c r="H163" i="20" a="1"/>
  <c r="H163" i="20" s="1"/>
  <c r="H162" i="20" a="1"/>
  <c r="H162" i="20" s="1"/>
  <c r="H161" i="20" a="1"/>
  <c r="H161" i="20" s="1"/>
  <c r="H160" i="20" a="1"/>
  <c r="H160" i="20" s="1"/>
  <c r="H159" i="20" a="1"/>
  <c r="H159" i="20" s="1"/>
  <c r="H158" i="20" a="1"/>
  <c r="H158" i="20" s="1"/>
  <c r="H157" i="20" a="1"/>
  <c r="H157" i="20" s="1"/>
  <c r="H156" i="20" a="1"/>
  <c r="H156" i="20" s="1"/>
  <c r="H155" i="20" a="1"/>
  <c r="H155" i="20" s="1"/>
  <c r="H154" i="20" a="1"/>
  <c r="H154" i="20" s="1"/>
  <c r="H153" i="20" a="1"/>
  <c r="H153" i="20" s="1"/>
  <c r="H152" i="20" a="1"/>
  <c r="H152" i="20" s="1"/>
  <c r="H151" i="20" a="1"/>
  <c r="H151" i="20" s="1"/>
  <c r="H150" i="20" a="1"/>
  <c r="H150" i="20" s="1"/>
  <c r="H149" i="20" a="1"/>
  <c r="H149" i="20" s="1"/>
  <c r="H148" i="20" a="1"/>
  <c r="H148" i="20" s="1"/>
  <c r="H147" i="20" a="1"/>
  <c r="H147" i="20" s="1"/>
  <c r="H146" i="20" a="1"/>
  <c r="H146" i="20" s="1"/>
  <c r="H145" i="20" a="1"/>
  <c r="H145" i="20" s="1"/>
  <c r="H144" i="20" a="1"/>
  <c r="H144" i="20" s="1"/>
  <c r="H143" i="20" a="1"/>
  <c r="H143" i="20" s="1"/>
  <c r="H142" i="20" a="1"/>
  <c r="H142" i="20" s="1"/>
  <c r="H141" i="20" a="1"/>
  <c r="H141" i="20" s="1"/>
  <c r="H140" i="20" a="1"/>
  <c r="H140" i="20" s="1"/>
  <c r="H139" i="20" a="1"/>
  <c r="H139" i="20" s="1"/>
  <c r="H138" i="20" a="1"/>
  <c r="H138" i="20" s="1"/>
  <c r="H137" i="20" a="1"/>
  <c r="H137" i="20" s="1"/>
  <c r="H136" i="20" a="1"/>
  <c r="H136" i="20" s="1"/>
  <c r="H135" i="20" a="1"/>
  <c r="H135" i="20" s="1"/>
  <c r="H134" i="20" a="1"/>
  <c r="H134" i="20" s="1"/>
  <c r="H133" i="20" a="1"/>
  <c r="H133" i="20" s="1"/>
  <c r="H132" i="20" a="1"/>
  <c r="H132" i="20" s="1"/>
  <c r="H131" i="20" a="1"/>
  <c r="H131" i="20" s="1"/>
  <c r="H130" i="20" a="1"/>
  <c r="H130" i="20" s="1"/>
  <c r="H129" i="20" a="1"/>
  <c r="H129" i="20" s="1"/>
  <c r="H128" i="20" a="1"/>
  <c r="H128" i="20" s="1"/>
  <c r="H127" i="20" a="1"/>
  <c r="H127" i="20" s="1"/>
  <c r="H126" i="20" a="1"/>
  <c r="H126" i="20" s="1"/>
  <c r="H125" i="20" a="1"/>
  <c r="H125" i="20" s="1"/>
  <c r="H124" i="20" a="1"/>
  <c r="H124" i="20" s="1"/>
  <c r="H123" i="20" a="1"/>
  <c r="H123" i="20" s="1"/>
  <c r="H122" i="20" a="1"/>
  <c r="H122" i="20" s="1"/>
  <c r="H121" i="20" a="1"/>
  <c r="H121" i="20" s="1"/>
  <c r="H120" i="20" a="1"/>
  <c r="H120" i="20" s="1"/>
  <c r="H119" i="20" a="1"/>
  <c r="H119" i="20" s="1"/>
  <c r="H118" i="20" a="1"/>
  <c r="H118" i="20" s="1"/>
  <c r="H117" i="20" a="1"/>
  <c r="H117" i="20" s="1"/>
  <c r="H116" i="20" a="1"/>
  <c r="H116" i="20" s="1"/>
  <c r="H115" i="20" a="1"/>
  <c r="H115" i="20" s="1"/>
  <c r="H114" i="20" a="1"/>
  <c r="H114" i="20" s="1"/>
  <c r="H113" i="20" a="1"/>
  <c r="H113" i="20" s="1"/>
  <c r="H112" i="20" a="1"/>
  <c r="H112" i="20" s="1"/>
  <c r="H111" i="20" a="1"/>
  <c r="H111" i="20" s="1"/>
  <c r="H110" i="20" a="1"/>
  <c r="H110" i="20" s="1"/>
  <c r="H109" i="20" a="1"/>
  <c r="H109" i="20" s="1"/>
  <c r="H108" i="20" a="1"/>
  <c r="H108" i="20" s="1"/>
  <c r="H107" i="20" a="1"/>
  <c r="H107" i="20" s="1"/>
  <c r="H106" i="20" a="1"/>
  <c r="H106" i="20" s="1"/>
  <c r="H105" i="20" a="1"/>
  <c r="H105" i="20" s="1"/>
  <c r="H104" i="20" a="1"/>
  <c r="H104" i="20" s="1"/>
  <c r="H103" i="20" a="1"/>
  <c r="H103" i="20" s="1"/>
  <c r="H102" i="20" a="1"/>
  <c r="H102" i="20" s="1"/>
  <c r="H101" i="20" a="1"/>
  <c r="H101" i="20" s="1"/>
  <c r="H100" i="20" a="1"/>
  <c r="H100" i="20" s="1"/>
  <c r="H99" i="20" a="1"/>
  <c r="H99" i="20" s="1"/>
  <c r="H98" i="20" a="1"/>
  <c r="H98" i="20" s="1"/>
  <c r="H97" i="20" a="1"/>
  <c r="H97" i="20" s="1"/>
  <c r="H96" i="20" a="1"/>
  <c r="H96" i="20" s="1"/>
  <c r="H95" i="20" a="1"/>
  <c r="H95" i="20" s="1"/>
  <c r="H94" i="20" a="1"/>
  <c r="H94" i="20" s="1"/>
  <c r="H93" i="20" a="1"/>
  <c r="H93" i="20" s="1"/>
  <c r="H92" i="20" a="1"/>
  <c r="H92" i="20" s="1"/>
  <c r="H91" i="20" a="1"/>
  <c r="H91" i="20" s="1"/>
  <c r="H90" i="20" a="1"/>
  <c r="H90" i="20" s="1"/>
  <c r="H89" i="20" a="1"/>
  <c r="H89" i="20" s="1"/>
  <c r="H88" i="20" a="1"/>
  <c r="H88" i="20" s="1"/>
  <c r="H87" i="20" a="1"/>
  <c r="H87" i="20" s="1"/>
  <c r="H86" i="20" a="1"/>
  <c r="H86" i="20" s="1"/>
  <c r="H85" i="20" a="1"/>
  <c r="H85" i="20" s="1"/>
  <c r="H84" i="20" a="1"/>
  <c r="H84" i="20" s="1"/>
  <c r="H83" i="20" a="1"/>
  <c r="H83" i="20" s="1"/>
  <c r="H82" i="20" a="1"/>
  <c r="H82" i="20" s="1"/>
  <c r="H81" i="20" a="1"/>
  <c r="H81" i="20" s="1"/>
  <c r="H80" i="20" a="1"/>
  <c r="H80" i="20" s="1"/>
  <c r="H79" i="20" a="1"/>
  <c r="H79" i="20" s="1"/>
  <c r="H78" i="20" a="1"/>
  <c r="H78" i="20" s="1"/>
  <c r="H77" i="20" a="1"/>
  <c r="H77" i="20" s="1"/>
  <c r="H76" i="20" a="1"/>
  <c r="H76" i="20" s="1"/>
  <c r="H75" i="20" a="1"/>
  <c r="H75" i="20" s="1"/>
  <c r="H74" i="20" a="1"/>
  <c r="H74" i="20" s="1"/>
  <c r="H73" i="20" a="1"/>
  <c r="H73" i="20" s="1"/>
  <c r="H72" i="20" a="1"/>
  <c r="H72" i="20" s="1"/>
  <c r="H71" i="20" a="1"/>
  <c r="H71" i="20" s="1"/>
  <c r="H70" i="20" a="1"/>
  <c r="H70" i="20" s="1"/>
  <c r="H69" i="20" a="1"/>
  <c r="H69" i="20" s="1"/>
  <c r="H68" i="20" a="1"/>
  <c r="H68" i="20" s="1"/>
  <c r="H67" i="20" a="1"/>
  <c r="H67" i="20" s="1"/>
  <c r="H66" i="20" a="1"/>
  <c r="H66" i="20" s="1"/>
  <c r="H65" i="20" a="1"/>
  <c r="H65" i="20" s="1"/>
  <c r="H64" i="20" a="1"/>
  <c r="H64" i="20" s="1"/>
  <c r="H63" i="20" a="1"/>
  <c r="H63" i="20" s="1"/>
  <c r="H62" i="20" a="1"/>
  <c r="H62" i="20" s="1"/>
  <c r="H61" i="20" a="1"/>
  <c r="H61" i="20" s="1"/>
  <c r="H60" i="20" a="1"/>
  <c r="H60" i="20" s="1"/>
  <c r="H59" i="20" a="1"/>
  <c r="H59" i="20" s="1"/>
  <c r="H58" i="20" a="1"/>
  <c r="H58" i="20" s="1"/>
  <c r="H57" i="20" a="1"/>
  <c r="H57" i="20" s="1"/>
  <c r="H56" i="20" a="1"/>
  <c r="H56" i="20" s="1"/>
  <c r="H55" i="20" a="1"/>
  <c r="H55" i="20" s="1"/>
  <c r="H54" i="20" a="1"/>
  <c r="H54" i="20" s="1"/>
  <c r="H53" i="20" a="1"/>
  <c r="H53" i="20" s="1"/>
  <c r="H52" i="20" a="1"/>
  <c r="H52" i="20" s="1"/>
  <c r="H51" i="20" a="1"/>
  <c r="H51" i="20" s="1"/>
  <c r="H50" i="20" a="1"/>
  <c r="H50" i="20" s="1"/>
  <c r="H49" i="20" a="1"/>
  <c r="H49" i="20" s="1"/>
  <c r="H48" i="20" a="1"/>
  <c r="H48" i="20" s="1"/>
  <c r="H47" i="20" a="1"/>
  <c r="H47" i="20" s="1"/>
  <c r="H46" i="20" a="1"/>
  <c r="H46" i="20" s="1"/>
  <c r="H45" i="20" a="1"/>
  <c r="H45" i="20" s="1"/>
  <c r="H44" i="20" a="1"/>
  <c r="H44" i="20" s="1"/>
  <c r="H43" i="20" a="1"/>
  <c r="H43" i="20" s="1"/>
  <c r="H42" i="20" a="1"/>
  <c r="H42" i="20" s="1"/>
  <c r="H41" i="20" a="1"/>
  <c r="H41" i="20" s="1"/>
  <c r="H40" i="20" a="1"/>
  <c r="H40" i="20" s="1"/>
  <c r="H39" i="20" a="1"/>
  <c r="H39" i="20" s="1"/>
  <c r="H38" i="20" a="1"/>
  <c r="H38" i="20" s="1"/>
  <c r="H37" i="20" a="1"/>
  <c r="H37" i="20" s="1"/>
  <c r="H36" i="20" a="1"/>
  <c r="H36" i="20" s="1"/>
  <c r="H35" i="20" a="1"/>
  <c r="H35" i="20" s="1"/>
  <c r="H34" i="20" a="1"/>
  <c r="H34" i="20" s="1"/>
  <c r="H33" i="20" a="1"/>
  <c r="H33" i="20" s="1"/>
  <c r="H32" i="20" a="1"/>
  <c r="H32" i="20" s="1"/>
  <c r="H31" i="20" a="1"/>
  <c r="H31" i="20" s="1"/>
  <c r="H30" i="20" a="1"/>
  <c r="H30" i="20" s="1"/>
  <c r="H29" i="20" a="1"/>
  <c r="H29" i="20" s="1"/>
  <c r="H28" i="20" a="1"/>
  <c r="H28" i="20" s="1"/>
  <c r="H27" i="20" a="1"/>
  <c r="H27" i="20" s="1"/>
  <c r="H26" i="20" a="1"/>
  <c r="H26" i="20" s="1"/>
  <c r="H25" i="20" a="1"/>
  <c r="H25" i="20" s="1"/>
  <c r="H24" i="20" a="1"/>
  <c r="H24" i="20" s="1"/>
  <c r="H23" i="20" a="1"/>
  <c r="H23" i="20" s="1"/>
  <c r="H22" i="20" a="1"/>
  <c r="H22" i="20" s="1"/>
  <c r="H21" i="20" a="1"/>
  <c r="H21" i="20" s="1"/>
  <c r="H20" i="20" a="1"/>
  <c r="H20" i="20" s="1"/>
  <c r="H19" i="20" a="1"/>
  <c r="H19" i="20" s="1"/>
  <c r="H18" i="20" a="1"/>
  <c r="H18" i="20" s="1"/>
  <c r="H17" i="20" a="1"/>
  <c r="H17" i="20" s="1"/>
  <c r="H16" i="20" a="1"/>
  <c r="H16" i="20" s="1"/>
  <c r="H15" i="20" a="1"/>
  <c r="H15" i="20" s="1"/>
  <c r="H14" i="20" a="1"/>
  <c r="H14" i="20" s="1"/>
  <c r="H13" i="20" a="1"/>
  <c r="H13" i="20" s="1"/>
  <c r="H12" i="20" a="1"/>
  <c r="H12" i="20" s="1"/>
  <c r="H11" i="20" a="1"/>
  <c r="H11" i="20" s="1"/>
  <c r="H10" i="20" a="1"/>
  <c r="H10" i="20" s="1"/>
  <c r="H9" i="20" a="1"/>
  <c r="H9" i="20" s="1"/>
  <c r="H8" i="20" a="1"/>
  <c r="H8" i="20" s="1"/>
  <c r="H7" i="20" a="1"/>
  <c r="H7" i="20" s="1"/>
  <c r="G1000" i="20"/>
  <c r="G999" i="20"/>
  <c r="G998" i="20"/>
  <c r="G997" i="20"/>
  <c r="G996" i="20"/>
  <c r="G995" i="20"/>
  <c r="G994" i="20"/>
  <c r="G993" i="20"/>
  <c r="G992" i="20"/>
  <c r="G991" i="20"/>
  <c r="G990" i="20"/>
  <c r="G989" i="20"/>
  <c r="G988" i="20"/>
  <c r="G987" i="20"/>
  <c r="G986" i="20"/>
  <c r="G985" i="20"/>
  <c r="G984" i="20"/>
  <c r="G983" i="20"/>
  <c r="G982" i="20"/>
  <c r="G981" i="20"/>
  <c r="G980" i="20"/>
  <c r="G979" i="20"/>
  <c r="G978" i="20"/>
  <c r="G977" i="20"/>
  <c r="G976" i="20"/>
  <c r="G975" i="20"/>
  <c r="G974" i="20"/>
  <c r="G973" i="20"/>
  <c r="G972" i="20"/>
  <c r="G971" i="20"/>
  <c r="G970" i="20"/>
  <c r="G969" i="20"/>
  <c r="G968" i="20"/>
  <c r="G967" i="20"/>
  <c r="G966" i="20"/>
  <c r="G965" i="20"/>
  <c r="G964" i="20"/>
  <c r="G963" i="20"/>
  <c r="G962" i="20"/>
  <c r="G961" i="20"/>
  <c r="G960" i="20"/>
  <c r="G959" i="20"/>
  <c r="G958" i="20"/>
  <c r="G957" i="20"/>
  <c r="G956" i="20"/>
  <c r="G955" i="20"/>
  <c r="G954" i="20"/>
  <c r="G953" i="20"/>
  <c r="G952" i="20"/>
  <c r="G951" i="20"/>
  <c r="G950" i="20"/>
  <c r="G949" i="20"/>
  <c r="G948" i="20"/>
  <c r="G947" i="20"/>
  <c r="G946" i="20"/>
  <c r="G945" i="20"/>
  <c r="G944" i="20"/>
  <c r="G943" i="20"/>
  <c r="G942" i="20"/>
  <c r="G941" i="20"/>
  <c r="G940" i="20"/>
  <c r="G939" i="20"/>
  <c r="G938" i="20"/>
  <c r="G937" i="20"/>
  <c r="G936" i="20"/>
  <c r="G935" i="20"/>
  <c r="G934" i="20"/>
  <c r="G933" i="20"/>
  <c r="G932" i="20"/>
  <c r="G931" i="20"/>
  <c r="G930" i="20"/>
  <c r="G929" i="20"/>
  <c r="G928" i="20"/>
  <c r="G927" i="20"/>
  <c r="G926" i="20"/>
  <c r="G925" i="20"/>
  <c r="G924" i="20"/>
  <c r="G923" i="20"/>
  <c r="G922" i="20"/>
  <c r="G921" i="20"/>
  <c r="G920" i="20"/>
  <c r="G919" i="20"/>
  <c r="G918" i="20"/>
  <c r="G917" i="20"/>
  <c r="G916" i="20"/>
  <c r="G915" i="20"/>
  <c r="G914" i="20"/>
  <c r="G913" i="20"/>
  <c r="G912" i="20"/>
  <c r="G911" i="20"/>
  <c r="G910" i="20"/>
  <c r="G909" i="20"/>
  <c r="G908" i="20"/>
  <c r="G907" i="20"/>
  <c r="G906" i="20"/>
  <c r="G905" i="20"/>
  <c r="G904" i="20"/>
  <c r="G903" i="20"/>
  <c r="G902" i="20"/>
  <c r="G901" i="20"/>
  <c r="G900" i="20"/>
  <c r="G899" i="20"/>
  <c r="G898" i="20"/>
  <c r="G897" i="20"/>
  <c r="G896" i="20"/>
  <c r="G895" i="20"/>
  <c r="G894" i="20"/>
  <c r="G893" i="20"/>
  <c r="G892" i="20"/>
  <c r="G891" i="20"/>
  <c r="G890" i="20"/>
  <c r="G889" i="20"/>
  <c r="G888" i="20"/>
  <c r="G887" i="20"/>
  <c r="G886" i="20"/>
  <c r="G885" i="20"/>
  <c r="G884" i="20"/>
  <c r="G883" i="20"/>
  <c r="G882" i="20"/>
  <c r="G881" i="20"/>
  <c r="G880" i="20"/>
  <c r="G879" i="20"/>
  <c r="G878" i="20"/>
  <c r="G877" i="20"/>
  <c r="G876" i="20"/>
  <c r="G875" i="20"/>
  <c r="G874" i="20"/>
  <c r="G873" i="20"/>
  <c r="G872" i="20"/>
  <c r="G871" i="20"/>
  <c r="G870" i="20"/>
  <c r="G869" i="20"/>
  <c r="G868" i="20"/>
  <c r="G867" i="20"/>
  <c r="G866" i="20"/>
  <c r="G865" i="20"/>
  <c r="G864" i="20"/>
  <c r="G863" i="20"/>
  <c r="G862" i="20"/>
  <c r="G861" i="20"/>
  <c r="G860" i="20"/>
  <c r="G859" i="20"/>
  <c r="G858" i="20"/>
  <c r="G857" i="20"/>
  <c r="G856" i="20"/>
  <c r="G855" i="20"/>
  <c r="G854" i="20"/>
  <c r="G853" i="20"/>
  <c r="G852" i="20"/>
  <c r="G851" i="20"/>
  <c r="G850" i="20"/>
  <c r="G849" i="20"/>
  <c r="G848" i="20"/>
  <c r="G847" i="20"/>
  <c r="G846" i="20"/>
  <c r="G845" i="20"/>
  <c r="G844" i="20"/>
  <c r="G843" i="20"/>
  <c r="G842" i="20"/>
  <c r="G841" i="20"/>
  <c r="G840" i="20"/>
  <c r="G839" i="20"/>
  <c r="G838" i="20"/>
  <c r="G837" i="20"/>
  <c r="G836" i="20"/>
  <c r="G835" i="20"/>
  <c r="G834" i="20"/>
  <c r="G833" i="20"/>
  <c r="G832" i="20"/>
  <c r="G831" i="20"/>
  <c r="G830" i="20"/>
  <c r="G829" i="20"/>
  <c r="G828" i="20"/>
  <c r="G827" i="20"/>
  <c r="G826" i="20"/>
  <c r="G825" i="20"/>
  <c r="G824" i="20"/>
  <c r="G823" i="20"/>
  <c r="G822" i="20"/>
  <c r="G821" i="20"/>
  <c r="G820" i="20"/>
  <c r="G819" i="20"/>
  <c r="G818" i="20"/>
  <c r="G817" i="20"/>
  <c r="G816" i="20"/>
  <c r="G815" i="20"/>
  <c r="G814" i="20"/>
  <c r="G813" i="20"/>
  <c r="G812" i="20"/>
  <c r="G811" i="20"/>
  <c r="G810" i="20"/>
  <c r="G809" i="20"/>
  <c r="G808" i="20"/>
  <c r="G807" i="20"/>
  <c r="G806" i="20"/>
  <c r="G805" i="20"/>
  <c r="G804" i="20"/>
  <c r="G803" i="20"/>
  <c r="G802" i="20"/>
  <c r="G801" i="20"/>
  <c r="G800" i="20"/>
  <c r="G799" i="20"/>
  <c r="G798" i="20"/>
  <c r="G797" i="20"/>
  <c r="G796" i="20"/>
  <c r="G795" i="20"/>
  <c r="G794" i="20"/>
  <c r="G793" i="20"/>
  <c r="G792" i="20"/>
  <c r="G791" i="20"/>
  <c r="G790" i="20"/>
  <c r="G789" i="20"/>
  <c r="G788" i="20"/>
  <c r="G787" i="20"/>
  <c r="G786" i="20"/>
  <c r="G785" i="20"/>
  <c r="G784" i="20"/>
  <c r="G783" i="20"/>
  <c r="G782" i="20"/>
  <c r="G781" i="20"/>
  <c r="G780" i="20"/>
  <c r="G779" i="20"/>
  <c r="G778" i="20"/>
  <c r="G777" i="20"/>
  <c r="G776" i="20"/>
  <c r="G775" i="20"/>
  <c r="G774" i="20"/>
  <c r="G773" i="20"/>
  <c r="G772" i="20"/>
  <c r="G771" i="20"/>
  <c r="G770" i="20"/>
  <c r="G769" i="20"/>
  <c r="G768" i="20"/>
  <c r="G767" i="20"/>
  <c r="G766" i="20"/>
  <c r="G765" i="20"/>
  <c r="G764" i="20"/>
  <c r="G763" i="20"/>
  <c r="G762" i="20"/>
  <c r="G761" i="20"/>
  <c r="G760" i="20"/>
  <c r="G759" i="20"/>
  <c r="G758" i="20"/>
  <c r="G757" i="20"/>
  <c r="G756" i="20"/>
  <c r="G755" i="20"/>
  <c r="G754" i="20"/>
  <c r="G753" i="20"/>
  <c r="G752" i="20"/>
  <c r="G751" i="20"/>
  <c r="G750" i="20"/>
  <c r="G749" i="20"/>
  <c r="G748" i="20"/>
  <c r="G747" i="20"/>
  <c r="G746" i="20"/>
  <c r="G745" i="20"/>
  <c r="G744" i="20"/>
  <c r="G743" i="20"/>
  <c r="G742" i="20"/>
  <c r="G741" i="20"/>
  <c r="G740" i="20"/>
  <c r="G739" i="20"/>
  <c r="G738" i="20"/>
  <c r="G737" i="20"/>
  <c r="G736" i="20"/>
  <c r="G735" i="20"/>
  <c r="G734" i="20"/>
  <c r="G733" i="20"/>
  <c r="G732" i="20"/>
  <c r="G731" i="20"/>
  <c r="G730" i="20"/>
  <c r="G729" i="20"/>
  <c r="G728" i="20"/>
  <c r="G727" i="20"/>
  <c r="G726" i="20"/>
  <c r="G725" i="20"/>
  <c r="G724" i="20"/>
  <c r="G723" i="20"/>
  <c r="G722" i="20"/>
  <c r="G721" i="20"/>
  <c r="G720" i="20"/>
  <c r="G719" i="20"/>
  <c r="G718" i="20"/>
  <c r="G717" i="20"/>
  <c r="G716" i="20"/>
  <c r="G715" i="20"/>
  <c r="G714" i="20"/>
  <c r="G713" i="20"/>
  <c r="G712" i="20"/>
  <c r="G711" i="20"/>
  <c r="G710" i="20"/>
  <c r="G709" i="20"/>
  <c r="G708" i="20"/>
  <c r="G707" i="20"/>
  <c r="G706" i="20"/>
  <c r="G705" i="20"/>
  <c r="G704" i="20"/>
  <c r="G703" i="20"/>
  <c r="G702" i="20"/>
  <c r="G701" i="20"/>
  <c r="G700" i="20"/>
  <c r="G699" i="20"/>
  <c r="G698" i="20"/>
  <c r="G697" i="20"/>
  <c r="G696" i="20"/>
  <c r="G695" i="20"/>
  <c r="G694" i="20"/>
  <c r="G693" i="20"/>
  <c r="G692" i="20"/>
  <c r="G691" i="20"/>
  <c r="G690" i="20"/>
  <c r="G689" i="20"/>
  <c r="G688" i="20"/>
  <c r="G687" i="20"/>
  <c r="G686" i="20"/>
  <c r="G685" i="20"/>
  <c r="G684" i="20"/>
  <c r="G683" i="20"/>
  <c r="G682" i="20"/>
  <c r="G681" i="20"/>
  <c r="G680" i="20"/>
  <c r="G679" i="20"/>
  <c r="G678" i="20"/>
  <c r="G677" i="20"/>
  <c r="G676" i="20"/>
  <c r="G675" i="20"/>
  <c r="G674" i="20"/>
  <c r="G673" i="20"/>
  <c r="G672" i="20"/>
  <c r="G671" i="20"/>
  <c r="G670" i="20"/>
  <c r="G669" i="20"/>
  <c r="G668" i="20"/>
  <c r="G667" i="20"/>
  <c r="G666" i="20"/>
  <c r="G665" i="20"/>
  <c r="G664" i="20"/>
  <c r="G663" i="20"/>
  <c r="G662" i="20"/>
  <c r="G661" i="20"/>
  <c r="G660" i="20"/>
  <c r="G659" i="20"/>
  <c r="G658" i="20"/>
  <c r="G657" i="20"/>
  <c r="G656" i="20"/>
  <c r="G655" i="20"/>
  <c r="G654" i="20"/>
  <c r="G653" i="20"/>
  <c r="G652" i="20"/>
  <c r="G651" i="20"/>
  <c r="G650" i="20"/>
  <c r="G649" i="20"/>
  <c r="G648" i="20"/>
  <c r="G647" i="20"/>
  <c r="G646" i="20"/>
  <c r="G645" i="20"/>
  <c r="G644" i="20"/>
  <c r="G643" i="20"/>
  <c r="G642" i="20"/>
  <c r="G641" i="20"/>
  <c r="G640" i="20"/>
  <c r="G639" i="20"/>
  <c r="G638" i="20"/>
  <c r="G637" i="20"/>
  <c r="G636" i="20"/>
  <c r="G635" i="20"/>
  <c r="G634" i="20"/>
  <c r="G633" i="20"/>
  <c r="G632" i="20"/>
  <c r="G631" i="20"/>
  <c r="G630" i="20"/>
  <c r="G629" i="20"/>
  <c r="G628" i="20"/>
  <c r="G627" i="20"/>
  <c r="G626" i="20"/>
  <c r="G625" i="20"/>
  <c r="G624" i="20"/>
  <c r="G623" i="20"/>
  <c r="G622" i="20"/>
  <c r="G621" i="20"/>
  <c r="G620" i="20"/>
  <c r="G619" i="20"/>
  <c r="G618" i="20"/>
  <c r="G617" i="20"/>
  <c r="G616" i="20"/>
  <c r="G615" i="20"/>
  <c r="G614" i="20"/>
  <c r="G613" i="20"/>
  <c r="G612" i="20"/>
  <c r="G611" i="20"/>
  <c r="G610" i="20"/>
  <c r="G609" i="20"/>
  <c r="G608" i="20"/>
  <c r="G607" i="20"/>
  <c r="G606" i="20"/>
  <c r="G605" i="20"/>
  <c r="G604" i="20"/>
  <c r="G603" i="20"/>
  <c r="G602" i="20"/>
  <c r="G601" i="20"/>
  <c r="G600" i="20"/>
  <c r="G599" i="20"/>
  <c r="G598" i="20"/>
  <c r="G597" i="20"/>
  <c r="G596" i="20"/>
  <c r="G595" i="20"/>
  <c r="G594" i="20"/>
  <c r="G593" i="20"/>
  <c r="G592" i="20"/>
  <c r="G591" i="20"/>
  <c r="G590" i="20"/>
  <c r="G589" i="20"/>
  <c r="G588" i="20"/>
  <c r="G587" i="20"/>
  <c r="G586" i="20"/>
  <c r="G585" i="20"/>
  <c r="G584" i="20"/>
  <c r="G583" i="20"/>
  <c r="G582" i="20"/>
  <c r="G581" i="20"/>
  <c r="G580" i="20"/>
  <c r="G579" i="20"/>
  <c r="G578" i="20"/>
  <c r="G577" i="20"/>
  <c r="G576" i="20"/>
  <c r="G575" i="20"/>
  <c r="G574" i="20"/>
  <c r="G573" i="20"/>
  <c r="G572" i="20"/>
  <c r="G571" i="20"/>
  <c r="G570" i="20"/>
  <c r="G569" i="20"/>
  <c r="G568" i="20"/>
  <c r="G567" i="20"/>
  <c r="G566" i="20"/>
  <c r="G565" i="20"/>
  <c r="G564" i="20"/>
  <c r="G563" i="20"/>
  <c r="G562" i="20"/>
  <c r="G561" i="20"/>
  <c r="G560" i="20"/>
  <c r="G559" i="20"/>
  <c r="G558" i="20"/>
  <c r="G557" i="20"/>
  <c r="G556" i="20"/>
  <c r="G555" i="20"/>
  <c r="G554" i="20"/>
  <c r="G553" i="20"/>
  <c r="G552" i="20"/>
  <c r="G551" i="20"/>
  <c r="G550" i="20"/>
  <c r="G549" i="20"/>
  <c r="G548" i="20"/>
  <c r="G547" i="20"/>
  <c r="G546" i="20"/>
  <c r="G545" i="20"/>
  <c r="G544" i="20"/>
  <c r="G543" i="20"/>
  <c r="G542" i="20"/>
  <c r="G541" i="20"/>
  <c r="G540" i="20"/>
  <c r="G539" i="20"/>
  <c r="G538" i="20"/>
  <c r="G537" i="20"/>
  <c r="G536" i="20"/>
  <c r="G535" i="20"/>
  <c r="G534" i="20"/>
  <c r="G533" i="20"/>
  <c r="G532" i="20"/>
  <c r="G531" i="20"/>
  <c r="G530" i="20"/>
  <c r="G529" i="20"/>
  <c r="G528" i="20"/>
  <c r="G527" i="20"/>
  <c r="G526" i="20"/>
  <c r="G525" i="20"/>
  <c r="G524" i="20"/>
  <c r="G523" i="20"/>
  <c r="G522" i="20"/>
  <c r="G521" i="20"/>
  <c r="G520" i="20"/>
  <c r="G519" i="20"/>
  <c r="G518" i="20"/>
  <c r="G517" i="20"/>
  <c r="G516" i="20"/>
  <c r="G515" i="20"/>
  <c r="G514" i="20"/>
  <c r="G513" i="20"/>
  <c r="G512" i="20"/>
  <c r="G511" i="20"/>
  <c r="G510" i="20"/>
  <c r="G509" i="20"/>
  <c r="G508" i="20"/>
  <c r="G507" i="20"/>
  <c r="G506" i="20"/>
  <c r="G505" i="20"/>
  <c r="G504" i="20"/>
  <c r="G503" i="20"/>
  <c r="G502" i="20"/>
  <c r="G501" i="20"/>
  <c r="G500" i="20"/>
  <c r="G499" i="20"/>
  <c r="G498" i="20"/>
  <c r="G497" i="20"/>
  <c r="G496" i="20"/>
  <c r="G495" i="20"/>
  <c r="G494" i="20"/>
  <c r="G493" i="20"/>
  <c r="G492" i="20"/>
  <c r="G491" i="20"/>
  <c r="G490" i="20"/>
  <c r="G489" i="20"/>
  <c r="G488" i="20"/>
  <c r="G487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1" i="20"/>
  <c r="G470" i="20"/>
  <c r="G469" i="20"/>
  <c r="G468" i="20"/>
  <c r="G467" i="20"/>
  <c r="G466" i="20"/>
  <c r="G465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6" i="20"/>
  <c r="G405" i="20"/>
  <c r="G404" i="20"/>
  <c r="G403" i="20"/>
  <c r="G402" i="20"/>
  <c r="G401" i="20"/>
  <c r="G400" i="20"/>
  <c r="G399" i="20"/>
  <c r="G398" i="20"/>
  <c r="G397" i="20"/>
  <c r="G396" i="20"/>
  <c r="G395" i="20"/>
  <c r="G394" i="20"/>
  <c r="G393" i="20"/>
  <c r="G392" i="20"/>
  <c r="G391" i="20"/>
  <c r="G390" i="20"/>
  <c r="G389" i="20"/>
  <c r="G388" i="20"/>
  <c r="G387" i="20"/>
  <c r="G386" i="20"/>
  <c r="G385" i="20"/>
  <c r="G384" i="20"/>
  <c r="G383" i="20"/>
  <c r="G382" i="20"/>
  <c r="G381" i="20"/>
  <c r="G380" i="20"/>
  <c r="G379" i="20"/>
  <c r="G378" i="20"/>
  <c r="G377" i="20"/>
  <c r="G376" i="20"/>
  <c r="G375" i="20"/>
  <c r="G374" i="20"/>
  <c r="G373" i="20"/>
  <c r="G372" i="20"/>
  <c r="G371" i="20"/>
  <c r="G370" i="20"/>
  <c r="G369" i="20"/>
  <c r="G368" i="20"/>
  <c r="G367" i="20"/>
  <c r="G366" i="20"/>
  <c r="G365" i="20"/>
  <c r="G364" i="20"/>
  <c r="G363" i="20"/>
  <c r="G362" i="20"/>
  <c r="G361" i="20"/>
  <c r="G360" i="20"/>
  <c r="G359" i="20"/>
  <c r="G358" i="20"/>
  <c r="G357" i="20"/>
  <c r="G356" i="20"/>
  <c r="G355" i="20"/>
  <c r="G354" i="20"/>
  <c r="G353" i="20"/>
  <c r="G352" i="20"/>
  <c r="G351" i="20"/>
  <c r="G350" i="20"/>
  <c r="G349" i="20"/>
  <c r="G348" i="20"/>
  <c r="G347" i="20"/>
  <c r="G346" i="20"/>
  <c r="G345" i="20"/>
  <c r="G344" i="20"/>
  <c r="G343" i="20"/>
  <c r="G342" i="20"/>
  <c r="G341" i="20"/>
  <c r="G340" i="20"/>
  <c r="G339" i="20"/>
  <c r="G338" i="20"/>
  <c r="G337" i="20"/>
  <c r="G336" i="20"/>
  <c r="G335" i="20"/>
  <c r="G334" i="20"/>
  <c r="G333" i="20"/>
  <c r="G332" i="20"/>
  <c r="G331" i="20"/>
  <c r="G330" i="20"/>
  <c r="G329" i="20"/>
  <c r="G328" i="20"/>
  <c r="G327" i="20"/>
  <c r="G326" i="20"/>
  <c r="G325" i="20"/>
  <c r="G324" i="20"/>
  <c r="G323" i="20"/>
  <c r="G322" i="20"/>
  <c r="G321" i="20"/>
  <c r="G320" i="20"/>
  <c r="G319" i="20"/>
  <c r="G318" i="20"/>
  <c r="G317" i="20"/>
  <c r="G316" i="20"/>
  <c r="G315" i="20"/>
  <c r="G314" i="20"/>
  <c r="G313" i="20"/>
  <c r="G312" i="20"/>
  <c r="G311" i="20"/>
  <c r="G310" i="20"/>
  <c r="G309" i="20"/>
  <c r="G308" i="20"/>
  <c r="G307" i="20"/>
  <c r="G306" i="20"/>
  <c r="G305" i="20"/>
  <c r="G304" i="20"/>
  <c r="G303" i="20"/>
  <c r="G302" i="20"/>
  <c r="G301" i="20"/>
  <c r="G300" i="20"/>
  <c r="G299" i="20"/>
  <c r="G298" i="20"/>
  <c r="G297" i="20"/>
  <c r="G296" i="20"/>
  <c r="G295" i="20"/>
  <c r="G294" i="20"/>
  <c r="G293" i="20"/>
  <c r="G292" i="20"/>
  <c r="G291" i="20"/>
  <c r="G290" i="20"/>
  <c r="G289" i="20"/>
  <c r="G288" i="20"/>
  <c r="G287" i="20"/>
  <c r="G286" i="20"/>
  <c r="G285" i="20"/>
  <c r="G284" i="20"/>
  <c r="G283" i="20"/>
  <c r="G282" i="20"/>
  <c r="G281" i="20"/>
  <c r="G280" i="20"/>
  <c r="G279" i="20"/>
  <c r="G278" i="20"/>
  <c r="G277" i="20"/>
  <c r="G276" i="20"/>
  <c r="G275" i="20"/>
  <c r="G274" i="20"/>
  <c r="G273" i="20"/>
  <c r="G272" i="20"/>
  <c r="G271" i="20"/>
  <c r="G270" i="20"/>
  <c r="G269" i="20"/>
  <c r="G268" i="20"/>
  <c r="G267" i="20"/>
  <c r="G266" i="20"/>
  <c r="G265" i="20"/>
  <c r="G264" i="20"/>
  <c r="G263" i="20"/>
  <c r="G262" i="20"/>
  <c r="G261" i="20"/>
  <c r="G260" i="20"/>
  <c r="G259" i="20"/>
  <c r="G258" i="20"/>
  <c r="G257" i="20"/>
  <c r="G256" i="20"/>
  <c r="G255" i="20"/>
  <c r="G254" i="20"/>
  <c r="G253" i="20"/>
  <c r="G252" i="20"/>
  <c r="G251" i="20"/>
  <c r="G250" i="20"/>
  <c r="G249" i="20"/>
  <c r="G248" i="20"/>
  <c r="G247" i="20"/>
  <c r="G246" i="20"/>
  <c r="G245" i="20"/>
  <c r="G244" i="20"/>
  <c r="G243" i="20"/>
  <c r="G242" i="20"/>
  <c r="G241" i="20"/>
  <c r="G240" i="20"/>
  <c r="G239" i="20"/>
  <c r="G238" i="20"/>
  <c r="G237" i="20"/>
  <c r="G236" i="20"/>
  <c r="G235" i="20"/>
  <c r="G234" i="20"/>
  <c r="G233" i="20"/>
  <c r="G232" i="20"/>
  <c r="G231" i="20"/>
  <c r="G230" i="20"/>
  <c r="G229" i="20"/>
  <c r="G228" i="20"/>
  <c r="G227" i="20"/>
  <c r="G226" i="20"/>
  <c r="G225" i="20"/>
  <c r="G224" i="20"/>
  <c r="G223" i="20"/>
  <c r="G222" i="20"/>
  <c r="G221" i="20"/>
  <c r="G220" i="20"/>
  <c r="G219" i="20"/>
  <c r="G218" i="20"/>
  <c r="G217" i="20"/>
  <c r="G216" i="20"/>
  <c r="G215" i="20"/>
  <c r="G214" i="20"/>
  <c r="G213" i="20"/>
  <c r="G212" i="20"/>
  <c r="G211" i="20"/>
  <c r="G210" i="20"/>
  <c r="G209" i="20"/>
  <c r="G208" i="20"/>
  <c r="G207" i="20"/>
  <c r="G206" i="20"/>
  <c r="G205" i="20"/>
  <c r="G204" i="20"/>
  <c r="G203" i="20"/>
  <c r="G202" i="20"/>
  <c r="G201" i="20"/>
  <c r="G200" i="20"/>
  <c r="G199" i="20"/>
  <c r="G198" i="20"/>
  <c r="G197" i="20"/>
  <c r="G196" i="20"/>
  <c r="G195" i="20"/>
  <c r="G194" i="20"/>
  <c r="G193" i="20"/>
  <c r="G192" i="20"/>
  <c r="G191" i="20"/>
  <c r="G190" i="20"/>
  <c r="G189" i="20"/>
  <c r="G188" i="20"/>
  <c r="G187" i="20"/>
  <c r="G186" i="20"/>
  <c r="G185" i="20"/>
  <c r="G184" i="20"/>
  <c r="G183" i="20"/>
  <c r="G182" i="20"/>
  <c r="G181" i="20"/>
  <c r="G180" i="20"/>
  <c r="G179" i="20"/>
  <c r="G178" i="20"/>
  <c r="G177" i="20"/>
  <c r="G176" i="20"/>
  <c r="G175" i="20"/>
  <c r="G174" i="20"/>
  <c r="G173" i="20"/>
  <c r="G172" i="20"/>
  <c r="G171" i="20"/>
  <c r="G170" i="20"/>
  <c r="G169" i="20"/>
  <c r="G168" i="20"/>
  <c r="G167" i="20"/>
  <c r="G166" i="20"/>
  <c r="G165" i="20"/>
  <c r="G164" i="20"/>
  <c r="G163" i="20"/>
  <c r="G162" i="20"/>
  <c r="G161" i="20"/>
  <c r="G160" i="20"/>
  <c r="G159" i="20"/>
  <c r="G158" i="20"/>
  <c r="G157" i="20"/>
  <c r="G156" i="20"/>
  <c r="G155" i="20"/>
  <c r="G154" i="20"/>
  <c r="G153" i="20"/>
  <c r="G152" i="20"/>
  <c r="G151" i="20"/>
  <c r="G150" i="20"/>
  <c r="G149" i="20"/>
  <c r="G148" i="20"/>
  <c r="G147" i="20"/>
  <c r="G146" i="20"/>
  <c r="G145" i="20"/>
  <c r="G144" i="20"/>
  <c r="G143" i="20"/>
  <c r="G142" i="20"/>
  <c r="G141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C5" i="20" a="1"/>
  <c r="C5" i="20" s="1"/>
  <c r="C6" i="20" s="1" a="1"/>
  <c r="C6" i="20" s="1"/>
  <c r="D6" i="20" l="1" a="1"/>
  <c r="D6" i="20" s="1"/>
  <c r="E6" i="20" a="1"/>
  <c r="E6" i="20" s="1"/>
  <c r="I9" i="16"/>
  <c r="K9" i="16" s="1"/>
  <c r="I10" i="16"/>
  <c r="K10" i="16" s="1"/>
  <c r="I11" i="16"/>
  <c r="K11" i="16" s="1"/>
  <c r="I12" i="16"/>
  <c r="K12" i="16" s="1"/>
  <c r="I13" i="16"/>
  <c r="K13" i="16" s="1"/>
  <c r="I14" i="16"/>
  <c r="K14" i="16" s="1"/>
  <c r="I15" i="16"/>
  <c r="K15" i="16" s="1"/>
  <c r="I16" i="16"/>
  <c r="K16" i="16" s="1"/>
  <c r="I17" i="16"/>
  <c r="K17" i="16" s="1"/>
  <c r="I18" i="16"/>
  <c r="K18" i="16" s="1"/>
  <c r="I19" i="16"/>
  <c r="K19" i="16" s="1"/>
  <c r="I20" i="16"/>
  <c r="K20" i="16" s="1"/>
  <c r="I21" i="16"/>
  <c r="K21" i="16" s="1"/>
  <c r="I22" i="16"/>
  <c r="K22" i="16" s="1"/>
  <c r="I23" i="16"/>
  <c r="K23" i="16" s="1"/>
  <c r="I24" i="16"/>
  <c r="K24" i="16" s="1"/>
  <c r="I25" i="16"/>
  <c r="K25" i="16" s="1"/>
  <c r="I26" i="16"/>
  <c r="K26" i="16" s="1"/>
  <c r="I27" i="16"/>
  <c r="K27" i="16" s="1"/>
  <c r="I28" i="16"/>
  <c r="K28" i="16" s="1"/>
  <c r="I29" i="16"/>
  <c r="K29" i="16" s="1"/>
  <c r="I30" i="16"/>
  <c r="K30" i="16" s="1"/>
  <c r="I31" i="16"/>
  <c r="K31" i="16" s="1"/>
  <c r="I32" i="16"/>
  <c r="K32" i="16" s="1"/>
  <c r="I33" i="16"/>
  <c r="K33" i="16" s="1"/>
  <c r="I34" i="16"/>
  <c r="K34" i="16" s="1"/>
  <c r="I35" i="16"/>
  <c r="K35" i="16" s="1"/>
  <c r="I36" i="16"/>
  <c r="K36" i="16" s="1"/>
  <c r="I37" i="16"/>
  <c r="K37" i="16" s="1"/>
  <c r="I38" i="16"/>
  <c r="K38" i="16" s="1"/>
  <c r="I39" i="16"/>
  <c r="K39" i="16" s="1"/>
  <c r="I40" i="16"/>
  <c r="K40" i="16" s="1"/>
  <c r="I41" i="16"/>
  <c r="K41" i="16" s="1"/>
  <c r="I42" i="16"/>
  <c r="K42" i="16" s="1"/>
  <c r="I43" i="16"/>
  <c r="K43" i="16" s="1"/>
  <c r="I44" i="16"/>
  <c r="K44" i="16" s="1"/>
  <c r="I45" i="16"/>
  <c r="K45" i="16" s="1"/>
  <c r="I46" i="16"/>
  <c r="K46" i="16" s="1"/>
  <c r="I47" i="16"/>
  <c r="K47" i="16" s="1"/>
  <c r="I48" i="16"/>
  <c r="K48" i="16" s="1"/>
  <c r="I49" i="16"/>
  <c r="K49" i="16" s="1"/>
  <c r="I50" i="16"/>
  <c r="K50" i="16" s="1"/>
  <c r="I51" i="16"/>
  <c r="K51" i="16" s="1"/>
  <c r="I52" i="16"/>
  <c r="K52" i="16" s="1"/>
  <c r="I53" i="16"/>
  <c r="K53" i="16" s="1"/>
  <c r="I54" i="16"/>
  <c r="K54" i="16" s="1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H29" i="9" l="1"/>
  <c r="I29" i="9"/>
  <c r="F12" i="13"/>
  <c r="J12" i="13"/>
  <c r="F11" i="13"/>
  <c r="H28" i="9"/>
  <c r="I28" i="9"/>
  <c r="H27" i="9"/>
  <c r="I27" i="9"/>
  <c r="H26" i="9"/>
  <c r="I26" i="9"/>
  <c r="H25" i="9"/>
  <c r="I25" i="9"/>
  <c r="H24" i="9"/>
  <c r="I24" i="9"/>
  <c r="H23" i="9"/>
  <c r="I23" i="9"/>
  <c r="H22" i="9"/>
  <c r="I22" i="9"/>
  <c r="H21" i="9"/>
  <c r="I21" i="9"/>
  <c r="H20" i="9"/>
  <c r="I20" i="9"/>
  <c r="H19" i="9"/>
  <c r="I19" i="9"/>
  <c r="H18" i="9"/>
  <c r="I18" i="9"/>
  <c r="H10" i="14"/>
  <c r="H11" i="14" s="1"/>
  <c r="H12" i="14" s="1"/>
  <c r="H13" i="14" s="1"/>
  <c r="J7" i="13"/>
  <c r="J8" i="13"/>
  <c r="J9" i="13"/>
  <c r="J10" i="13"/>
  <c r="J11" i="13"/>
  <c r="I7" i="9"/>
  <c r="I8" i="9"/>
  <c r="I9" i="9"/>
  <c r="I10" i="9"/>
  <c r="I11" i="9"/>
  <c r="I12" i="9"/>
  <c r="I13" i="9"/>
  <c r="I14" i="9"/>
  <c r="I15" i="9"/>
  <c r="I16" i="9"/>
  <c r="I17" i="9"/>
  <c r="H17" i="9"/>
  <c r="Q7" i="11"/>
  <c r="J28" i="9" l="1"/>
  <c r="L28" i="9" s="1"/>
  <c r="J29" i="9"/>
  <c r="L29" i="9" s="1"/>
  <c r="M28" i="9"/>
  <c r="K28" i="9"/>
  <c r="N28" i="9"/>
  <c r="J25" i="9"/>
  <c r="L25" i="9" s="1"/>
  <c r="J27" i="9"/>
  <c r="L27" i="9" s="1"/>
  <c r="J26" i="9"/>
  <c r="M26" i="9" s="1"/>
  <c r="J24" i="9"/>
  <c r="L24" i="9" s="1"/>
  <c r="J22" i="9"/>
  <c r="L22" i="9" s="1"/>
  <c r="J23" i="9"/>
  <c r="K23" i="9" s="1"/>
  <c r="J21" i="9"/>
  <c r="M21" i="9" s="1"/>
  <c r="J20" i="9"/>
  <c r="N20" i="9" s="1"/>
  <c r="J19" i="9"/>
  <c r="L19" i="9" s="1"/>
  <c r="J18" i="9"/>
  <c r="K18" i="9" s="1"/>
  <c r="J17" i="9"/>
  <c r="K29" i="9" l="1"/>
  <c r="K25" i="9"/>
  <c r="K20" i="9"/>
  <c r="N29" i="9"/>
  <c r="M27" i="9"/>
  <c r="M29" i="9"/>
  <c r="K27" i="9"/>
  <c r="N27" i="9"/>
  <c r="K21" i="9"/>
  <c r="L26" i="9"/>
  <c r="K26" i="9"/>
  <c r="N25" i="9"/>
  <c r="M25" i="9"/>
  <c r="L21" i="9"/>
  <c r="M20" i="9"/>
  <c r="N26" i="9"/>
  <c r="L20" i="9"/>
  <c r="K24" i="9"/>
  <c r="N24" i="9"/>
  <c r="M24" i="9"/>
  <c r="K22" i="9"/>
  <c r="N22" i="9"/>
  <c r="M22" i="9"/>
  <c r="N23" i="9"/>
  <c r="L23" i="9"/>
  <c r="M23" i="9"/>
  <c r="N21" i="9"/>
  <c r="K19" i="9"/>
  <c r="N19" i="9"/>
  <c r="M19" i="9"/>
  <c r="N18" i="9"/>
  <c r="M18" i="9"/>
  <c r="L18" i="9"/>
  <c r="K17" i="9"/>
  <c r="M17" i="9"/>
  <c r="N17" i="9"/>
  <c r="L17" i="9"/>
  <c r="D4" i="16"/>
  <c r="D5" i="16"/>
  <c r="E4" i="16"/>
  <c r="E5" i="16"/>
  <c r="F7" i="13"/>
  <c r="F8" i="13"/>
  <c r="F9" i="13"/>
  <c r="F10" i="13"/>
  <c r="K3" i="1"/>
  <c r="K2" i="1"/>
  <c r="C9" i="14"/>
  <c r="H7" i="11"/>
  <c r="G7" i="11"/>
  <c r="H16" i="9"/>
  <c r="J16" i="9" s="1"/>
  <c r="M16" i="9" s="1"/>
  <c r="H15" i="9"/>
  <c r="J15" i="9" s="1"/>
  <c r="H14" i="9"/>
  <c r="J14" i="9" s="1"/>
  <c r="H13" i="9"/>
  <c r="J13" i="9" s="1"/>
  <c r="H12" i="9"/>
  <c r="J12" i="9" s="1"/>
  <c r="H11" i="9"/>
  <c r="J11" i="9" s="1"/>
  <c r="H10" i="9"/>
  <c r="J10" i="9" s="1"/>
  <c r="H9" i="9"/>
  <c r="J9" i="9" s="1"/>
  <c r="M9" i="9" s="1"/>
  <c r="H8" i="9"/>
  <c r="J8" i="9" s="1"/>
  <c r="M8" i="9" s="1"/>
  <c r="P8" i="1"/>
  <c r="P9" i="1"/>
  <c r="I12" i="13" s="1"/>
  <c r="K12" i="13" s="1"/>
  <c r="M12" i="13" s="1"/>
  <c r="N12" i="13" s="1"/>
  <c r="P10" i="1"/>
  <c r="P11" i="1"/>
  <c r="P7" i="11"/>
  <c r="H7" i="9"/>
  <c r="J7" i="9" s="1"/>
  <c r="M7" i="9" s="1"/>
  <c r="K7" i="11" l="1"/>
  <c r="J7" i="11"/>
  <c r="I9" i="13"/>
  <c r="K9" i="13" s="1"/>
  <c r="M9" i="13" s="1"/>
  <c r="N9" i="13" s="1"/>
  <c r="I8" i="13"/>
  <c r="K8" i="13" s="1"/>
  <c r="M8" i="13" s="1"/>
  <c r="N8" i="13" s="1"/>
  <c r="I11" i="13"/>
  <c r="K11" i="13" s="1"/>
  <c r="M11" i="13" s="1"/>
  <c r="N11" i="13" s="1"/>
  <c r="K10" i="9"/>
  <c r="M10" i="9"/>
  <c r="L11" i="9"/>
  <c r="M11" i="9"/>
  <c r="N13" i="9"/>
  <c r="M13" i="9"/>
  <c r="K14" i="9"/>
  <c r="M14" i="9"/>
  <c r="L12" i="9"/>
  <c r="M12" i="9"/>
  <c r="K15" i="9"/>
  <c r="M15" i="9"/>
  <c r="I7" i="13"/>
  <c r="K7" i="13" s="1"/>
  <c r="M7" i="13" s="1"/>
  <c r="N7" i="13" s="1"/>
  <c r="I10" i="13"/>
  <c r="K10" i="13" s="1"/>
  <c r="M10" i="13" s="1"/>
  <c r="N10" i="13" s="1"/>
  <c r="F4" i="16"/>
  <c r="K4" i="1"/>
  <c r="D3" i="1" s="1"/>
  <c r="L14" i="9"/>
  <c r="F5" i="16"/>
  <c r="K16" i="9"/>
  <c r="L16" i="9"/>
  <c r="L15" i="9"/>
  <c r="N9" i="9"/>
  <c r="N8" i="9"/>
  <c r="N10" i="9"/>
  <c r="K13" i="9"/>
  <c r="L10" i="9"/>
  <c r="N16" i="9"/>
  <c r="L13" i="9"/>
  <c r="K12" i="9"/>
  <c r="L9" i="9"/>
  <c r="N15" i="9"/>
  <c r="K11" i="9"/>
  <c r="L8" i="9"/>
  <c r="N14" i="9"/>
  <c r="K9" i="9"/>
  <c r="N12" i="9"/>
  <c r="K8" i="9"/>
  <c r="N11" i="9"/>
  <c r="N7" i="9"/>
  <c r="K7" i="9"/>
  <c r="L7" i="9"/>
  <c r="L7" i="11" l="1"/>
  <c r="M7" i="11"/>
  <c r="N7" i="11"/>
  <c r="R7" i="11" s="1"/>
  <c r="P10" i="13"/>
  <c r="O7" i="11"/>
  <c r="F7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<sst xmlns="http://schemas.openxmlformats.org/spreadsheetml/2006/main" count="605" uniqueCount="258">
  <si>
    <t>Info general</t>
  </si>
  <si>
    <t>CLP</t>
  </si>
  <si>
    <t>"Lista automática": al apretar la casilla de la columna correspondiente a esta nota, se desplegará un calendario para ingresar la fecha</t>
  </si>
  <si>
    <t>UF</t>
  </si>
  <si>
    <t>Datos</t>
  </si>
  <si>
    <t>Valor</t>
  </si>
  <si>
    <t>USD</t>
  </si>
  <si>
    <t>"Automático": Las celdas de la columna se actualizan automáticamente, dependiendo de otros factores de la tabla presente o de las tablas de "datos importantes"</t>
  </si>
  <si>
    <t>Fecha</t>
  </si>
  <si>
    <t>Supervisor Wolke</t>
  </si>
  <si>
    <t>José Valenzuela</t>
  </si>
  <si>
    <t>Cliente</t>
  </si>
  <si>
    <t>Trefimet</t>
  </si>
  <si>
    <t>Dirección Wolke</t>
  </si>
  <si>
    <t>Avenida Pedro de Valdivia 273, of. 201</t>
  </si>
  <si>
    <t>Tipo moneda</t>
  </si>
  <si>
    <t>Tipo costo</t>
  </si>
  <si>
    <t>CIF</t>
  </si>
  <si>
    <t>Cargos</t>
  </si>
  <si>
    <t>Ponderador Precio</t>
  </si>
  <si>
    <t>Puesto</t>
  </si>
  <si>
    <t>Costo UF HH</t>
  </si>
  <si>
    <t>Margen</t>
  </si>
  <si>
    <t>Precio cliente</t>
  </si>
  <si>
    <t>FOB</t>
  </si>
  <si>
    <t>Junior</t>
  </si>
  <si>
    <t>Software</t>
  </si>
  <si>
    <t>Nacional</t>
  </si>
  <si>
    <t>Intermedio</t>
  </si>
  <si>
    <t>Electrico</t>
  </si>
  <si>
    <t>EUR</t>
  </si>
  <si>
    <t>Senior</t>
  </si>
  <si>
    <t>Técnico Instalador</t>
  </si>
  <si>
    <t>Equipo comercial</t>
  </si>
  <si>
    <t>Número grupo</t>
  </si>
  <si>
    <t>Secciones</t>
  </si>
  <si>
    <t>Descripción</t>
  </si>
  <si>
    <t>Tipo de venta</t>
  </si>
  <si>
    <t>Viático dentro de santiago</t>
  </si>
  <si>
    <t>Salida en Santiago</t>
  </si>
  <si>
    <t>Productos</t>
  </si>
  <si>
    <t>Viático fuera de santiago por el día</t>
  </si>
  <si>
    <t>Salida diaria</t>
  </si>
  <si>
    <t>Opcional</t>
  </si>
  <si>
    <t>Viático viaje largo 1n o más</t>
  </si>
  <si>
    <t>Salida/noche</t>
  </si>
  <si>
    <t>HH</t>
  </si>
  <si>
    <t>Tarea</t>
  </si>
  <si>
    <t>VigíaBox Neo</t>
  </si>
  <si>
    <t>Selección</t>
  </si>
  <si>
    <t>Automático</t>
  </si>
  <si>
    <t>Sección</t>
  </si>
  <si>
    <t>Puesto Encargado</t>
  </si>
  <si>
    <t>Cargo</t>
  </si>
  <si>
    <t>Precio por hora UF</t>
  </si>
  <si>
    <t>Ponderador</t>
  </si>
  <si>
    <t>Cantidad horas</t>
  </si>
  <si>
    <t>Precio UF</t>
  </si>
  <si>
    <t>Precio Moneda</t>
  </si>
  <si>
    <t>Escritura manual</t>
  </si>
  <si>
    <t>Agrupación</t>
  </si>
  <si>
    <t>Nombre producto</t>
  </si>
  <si>
    <t>Unidades</t>
  </si>
  <si>
    <t>Proveedor</t>
  </si>
  <si>
    <t>Link de compra</t>
  </si>
  <si>
    <t>RTU</t>
  </si>
  <si>
    <t>Sensor</t>
  </si>
  <si>
    <t>ORP-RDSOR</t>
  </si>
  <si>
    <t>Tipo de moneda</t>
  </si>
  <si>
    <t>CIF/FOB/Nacional</t>
  </si>
  <si>
    <t>Costo producto</t>
  </si>
  <si>
    <t>Costo de producto a oficina</t>
  </si>
  <si>
    <t>Precio Moneda compra</t>
  </si>
  <si>
    <t>Precio CLP</t>
  </si>
  <si>
    <t>Precio USD</t>
  </si>
  <si>
    <t>Fabricante</t>
  </si>
  <si>
    <t>Nombre Vendedor</t>
  </si>
  <si>
    <t>Correo ; Número</t>
  </si>
  <si>
    <t>Datalogger de fabricación propia - No hay margen porque ese es el precio final</t>
  </si>
  <si>
    <t>Wolke</t>
  </si>
  <si>
    <t>jose.valenzuela@wolke.cl</t>
  </si>
  <si>
    <t>Water ORP sensor Modbus Range -1999mV～＋1999mV</t>
  </si>
  <si>
    <t>Honde Technology Co.</t>
  </si>
  <si>
    <t>Kyla</t>
  </si>
  <si>
    <t>kyla@hondetech.com</t>
  </si>
  <si>
    <t>RD-WPHIT</t>
  </si>
  <si>
    <t>Water PH
sensor Modbus Range: 0-14PH</t>
  </si>
  <si>
    <t>RD-TSS-03</t>
  </si>
  <si>
    <t>Water turbidity TSS sludge concentration sensor</t>
  </si>
  <si>
    <t>RD-WNT-02</t>
  </si>
  <si>
    <t>Stainless steelwater quality nitrate temperature 2-in-1 sensor</t>
  </si>
  <si>
    <t>RD-OIW-
01</t>
  </si>
  <si>
    <t>Oil in water sensor</t>
  </si>
  <si>
    <t>RDCBT3IN1-01</t>
  </si>
  <si>
    <t>Water COD BOD TOC Turbidity 4 in 1 type</t>
  </si>
  <si>
    <t>TUF-2000S-02</t>
  </si>
  <si>
    <t>Clamp-on portable ultrasonic flow meter</t>
  </si>
  <si>
    <t>BGT-RD101</t>
  </si>
  <si>
    <t>Radar Level Sensor
Measuring range: 10m
Radar frequency: 80GHz
Accuracy: ±2mm
Power supply: DC7~32V
Output: RS485 Modbus-RTU
Cable length: 10m</t>
  </si>
  <si>
    <t>Soporte</t>
  </si>
  <si>
    <t>Soporte simple 1 sensor INOX</t>
  </si>
  <si>
    <t>Mardinamica</t>
  </si>
  <si>
    <t>Pablo Bernal</t>
  </si>
  <si>
    <t>Moneda final</t>
  </si>
  <si>
    <t>Cantidad</t>
  </si>
  <si>
    <t>a CLP</t>
  </si>
  <si>
    <t>Tipo de Costo, ponderador y margen</t>
  </si>
  <si>
    <t>Columna1</t>
  </si>
  <si>
    <t>Borrar</t>
  </si>
  <si>
    <t>copiar y Pegar manual</t>
  </si>
  <si>
    <t>Moneda producto</t>
  </si>
  <si>
    <t>Soporte simple</t>
  </si>
  <si>
    <t>Agrupaciones</t>
  </si>
  <si>
    <t>Márgenes</t>
  </si>
  <si>
    <t>Precio USD/unitario</t>
  </si>
  <si>
    <t>Moneda Final</t>
  </si>
  <si>
    <t>Ponderador margen (nacional/internacional)</t>
  </si>
  <si>
    <t>Ponderador importación (CIF/FOB)</t>
  </si>
  <si>
    <t>Tipo de viático</t>
  </si>
  <si>
    <t>Nacional cotizacion</t>
  </si>
  <si>
    <t>Tasa transformación</t>
  </si>
  <si>
    <t>última actualización</t>
  </si>
  <si>
    <t>Fecha hoy:</t>
  </si>
  <si>
    <t>Fecha actualización</t>
  </si>
  <si>
    <t>Diferencia de días</t>
  </si>
  <si>
    <t>Precio Euros</t>
  </si>
  <si>
    <t>Importante: ¡En esta tabla no se transforma a moneda local con un x%!</t>
  </si>
  <si>
    <t>Con el mensaje de arriba me refiero a que no se agrega en esta tabla un 5% adicional por el cambio de moneda extranjera a un CLP</t>
  </si>
  <si>
    <t>Explicación:</t>
  </si>
  <si>
    <t>Precio CLP/Unitario</t>
  </si>
  <si>
    <t>Precio UF/Unitario</t>
  </si>
  <si>
    <t>Precio EUR/ Unitario</t>
  </si>
  <si>
    <t>Divisa extranjera a chilena</t>
  </si>
  <si>
    <t>Tarifa Cambio de divisa</t>
  </si>
  <si>
    <t>Nota: en la columna R se multiplica por el valor en la celda por 1+valor en la celda de la izquierda, en la columna Q -----------&gt; este es un aumento por cambio de divisa</t>
  </si>
  <si>
    <t>Alojamiento</t>
  </si>
  <si>
    <t>1 noche/1persona</t>
  </si>
  <si>
    <t>Costo UF</t>
  </si>
  <si>
    <t>Escritura Manual</t>
  </si>
  <si>
    <t>Días de Trabajo</t>
  </si>
  <si>
    <t>Número de personas</t>
  </si>
  <si>
    <t>Cantidad/tipo</t>
  </si>
  <si>
    <t>Cantidad de personas que van</t>
  </si>
  <si>
    <t>Cantidad de días que se trabajan</t>
  </si>
  <si>
    <t>Cuánto se le paga a cada persona</t>
  </si>
  <si>
    <t>Costo unitario</t>
  </si>
  <si>
    <t>N/A</t>
  </si>
  <si>
    <t>Costo cero (0)</t>
  </si>
  <si>
    <t>Precio final</t>
  </si>
  <si>
    <t>No tocar</t>
  </si>
  <si>
    <t>Lugar para que la persona se quede</t>
  </si>
  <si>
    <t>Costo Unitario CLP</t>
  </si>
  <si>
    <t>Precio Unitario</t>
  </si>
  <si>
    <t>La tabla es una ayuda, no sirve para el cálculo final</t>
  </si>
  <si>
    <t>Precio por hora</t>
  </si>
  <si>
    <t>Tipo de Venta</t>
  </si>
  <si>
    <t>Moneda</t>
  </si>
  <si>
    <t>IVA</t>
  </si>
  <si>
    <t>j</t>
  </si>
  <si>
    <t>SUP-LMQ</t>
  </si>
  <si>
    <t>[Ultrasonic open channel flowmeter] [LMQ]
Water weir flume type: Parshall flume No. 1-5;
Accuracy: Class 0.5;
Output: 4-20mA+RS485;
Electrical interface, housing material and protection level: split type,
M18×1.5 cable plug, engineering plastic, IP68;
Power supply: 24VDC;
Cable length: 10m;
Level range: 0-5M
Flow range: 0.1L/s~9999.99m3/h</t>
  </si>
  <si>
    <t>Supme</t>
  </si>
  <si>
    <t>SUP-PTU-8011</t>
  </si>
  <si>
    <t>SUP-PTU8011-Pipeline Mount Kit</t>
  </si>
  <si>
    <t>Specifically for pipeline installations, compatible with turbidity sensors. DN80</t>
  </si>
  <si>
    <t>SUP-TDS-8001</t>
  </si>
  <si>
    <t>Digital conductivity seNsor
Cable:10M
Range:0-70ms/cm
Temperaure range: 0-60℃
Material:POM
IP68 RS485</t>
  </si>
  <si>
    <t>Turbidity Sensor
Cable: 10m
Measure range :0-4000NTU o 0-1000NTU
IP68
Material : 316L+PVC
9-36VDC + RS485
With self cleaning function</t>
  </si>
  <si>
    <t>SUP-PH8001</t>
  </si>
  <si>
    <t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t>
  </si>
  <si>
    <t>SUP-PTU300</t>
  </si>
  <si>
    <t>TurBidity MetEr with built SenSor
Size: 183mm*349mm*113.5mm
IP54
Power supply 24VDC
Measure range 0-100NTU
Output: 4-20mA + RS485</t>
  </si>
  <si>
    <t>SUP-ADI7000</t>
  </si>
  <si>
    <t>Residual chlorine electrode
Range: 0-10.00mg/L
temperature compensation：NTC 10K
output :RS485
power supply: 9-24VDC
Accuracy: ±3% (DPD comparison error ±10% or ±0.05mg/L, whichever
is greater)
Cable length: 10 meters</t>
  </si>
  <si>
    <t>SUP-ADI7000-Flow-Cell</t>
  </si>
  <si>
    <t>For the Residual chlorine electrode</t>
  </si>
  <si>
    <t>SUP-DO-7018</t>
  </si>
  <si>
    <t>DO seNsor(Optical)
Cable: 10m
Range:0-20mg/L
Medium:wastewater
Material : Ti
IP68
Output : RS485
Note:Immersed installation only</t>
  </si>
  <si>
    <t>SUP-ORP8001</t>
  </si>
  <si>
    <t>[pH digital electrode] [ORP-8001]
Electrode connector: direct lead;
Salt bridge type: single-point ceramic diaphragm;
Temperature compensation type: NTC 22K;
Output: RS485;
Power supply: 12VDC;
Cable length: 10m;
Shell material and process connection: engineering plastic, G3/4 thread;
Measuring range: （-1000-1000）mV
pH Temperature range: (0-60)℃
Pressure resistance: 0.3MPa</t>
  </si>
  <si>
    <t>SUP-PSS9011</t>
  </si>
  <si>
    <t>TSS seNsor
Cable: 10m
Measure range : 0.1 ~ 5000 mg/L or 0.1 ~ 500 mg/L
IP68
Material : 316L+PVC
9-36VDC + RS485
With self-cleaning function
Noted: add the pipe installation accessory for you, pressure rate lower
than 0.4MPa
Or use the Immersed installation</t>
  </si>
  <si>
    <t>KIT 1 Tratamiento</t>
  </si>
  <si>
    <t>KIT 2 Tratamiento</t>
  </si>
  <si>
    <t>KIT 1 Potabilizacion</t>
  </si>
  <si>
    <t xml:space="preserve">Instalación </t>
  </si>
  <si>
    <t>Multi-parameters water analyzer
pH: 0-14pH, Accuracy ±0.1pH
conductivity:1-2000uS/cm ;Accuracy ±1.5%FS
Temperature:-20℃ - 85℃,Accuracy ±0.5℃
Turbidity: 0-100NTU;Lower detection limit 0.02NTU
Dissolved oxygen:0-20mg/L ;Accuracy ±0.3mg/L
Residual chlorine/chlorine dioxide: 0-20mg/L ,Resolution 0.01mg/L
Working power (220±22)VAC，(50±1)Hz
Communication interface RS485 Modbus RTU communication protocol
Display 7-inch color touch screen, English</t>
  </si>
  <si>
    <t>SUP-MPP1000</t>
  </si>
  <si>
    <t>KIT 2 Potabilizacion</t>
  </si>
  <si>
    <t>Configuracion y pruebas</t>
  </si>
  <si>
    <t>Configuración de equipos, pruebas de funcionamiento y calibración.</t>
  </si>
  <si>
    <t>Tableros</t>
  </si>
  <si>
    <t>TBL-PWR-GEN</t>
  </si>
  <si>
    <t>Tablero IP65+ Fuente y accesorios</t>
  </si>
  <si>
    <t>Instalación de Técnico Instalador</t>
  </si>
  <si>
    <t>Instalador Ingeniero Eléctrico</t>
  </si>
  <si>
    <t>---</t>
  </si>
  <si>
    <t>----</t>
  </si>
  <si>
    <t>Viaje</t>
  </si>
  <si>
    <t>Precio final (sin iva - moneda)</t>
  </si>
  <si>
    <t>Ir a terreno</t>
  </si>
  <si>
    <t>Ir a terreno --- descripcion</t>
  </si>
  <si>
    <t>SubTotales (Sin IVA)</t>
  </si>
  <si>
    <t>SubTotales en CLP (Sin IVA)</t>
  </si>
  <si>
    <t>Total CLP (Con IVA)</t>
  </si>
  <si>
    <t>Costo Producto</t>
  </si>
  <si>
    <t>Esta macro se corrió por última vez 29-04-2025</t>
  </si>
  <si>
    <t>Instalación</t>
  </si>
  <si>
    <t>USD 34.053,81</t>
  </si>
  <si>
    <t>EUR 1.853,66</t>
  </si>
  <si>
    <t>Etiquetas de fila</t>
  </si>
  <si>
    <t>Total general</t>
  </si>
  <si>
    <t>Resumen Hoja BoM</t>
  </si>
  <si>
    <t>Precio final (sin IVA - moneda)</t>
  </si>
  <si>
    <t>EUR 617,89</t>
  </si>
  <si>
    <t>1.853,66</t>
  </si>
  <si>
    <t>USD 2.080,00</t>
  </si>
  <si>
    <t>USD 0,00</t>
  </si>
  <si>
    <t>USD 312,00</t>
  </si>
  <si>
    <t>USD 1.105,00</t>
  </si>
  <si>
    <t>USD 526,32</t>
  </si>
  <si>
    <t>USD 2.105,26</t>
  </si>
  <si>
    <t>USD 394,74</t>
  </si>
  <si>
    <t>USD 1.184,21</t>
  </si>
  <si>
    <t>6.786,47</t>
  </si>
  <si>
    <t>USD 666,67</t>
  </si>
  <si>
    <t>USD 1.333,33</t>
  </si>
  <si>
    <t>USD 416,00</t>
  </si>
  <si>
    <t>USD 832,00</t>
  </si>
  <si>
    <t>USD 789,47</t>
  </si>
  <si>
    <t>USD 1.052,63</t>
  </si>
  <si>
    <t>4.319,44</t>
  </si>
  <si>
    <t>USD 624,00</t>
  </si>
  <si>
    <t>USD 1.560,00</t>
  </si>
  <si>
    <t>7.517,07</t>
  </si>
  <si>
    <t>USD 2.666,67</t>
  </si>
  <si>
    <t>USD 2.340,00</t>
  </si>
  <si>
    <t>USD 4.680,00</t>
  </si>
  <si>
    <t>USD 676,00</t>
  </si>
  <si>
    <t>USD 3.684,21</t>
  </si>
  <si>
    <t>USD 1.578,95</t>
  </si>
  <si>
    <t>15.430,82</t>
  </si>
  <si>
    <t>35.907,47</t>
  </si>
  <si>
    <t>CLP 640.153,33</t>
  </si>
  <si>
    <t>USD 606,46</t>
  </si>
  <si>
    <t>UF 33,33</t>
  </si>
  <si>
    <t>Resumen Hoja Desarrollo</t>
  </si>
  <si>
    <t>Producto</t>
  </si>
  <si>
    <t>Cantidad HH</t>
  </si>
  <si>
    <t>UF 6,67</t>
  </si>
  <si>
    <t>UF 11,67</t>
  </si>
  <si>
    <t>UF 8,33</t>
  </si>
  <si>
    <t>CLP 10,00</t>
  </si>
  <si>
    <t>Resumen Hoja Viajes</t>
  </si>
  <si>
    <t>Precio final (Sin Iva)</t>
  </si>
  <si>
    <t>Precio final (sin Iva)</t>
  </si>
  <si>
    <t>Agrupacion</t>
  </si>
  <si>
    <t>Lista a seleccionar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</si>
</sst>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.00"/>
    <numFmt numFmtId="165" formatCode="[$-F800]dddd\,\ mmmm\ dd\,\ yyyy"/>
    <numFmt numFmtId="166" formatCode="#,##0.000"/>
    <numFmt numFmtId="167" formatCode="dd/mm/yy;@"/>
    <numFmt numFmtId="168" formatCode="&quot;$&quot;#,##0"/>
    <numFmt numFmtId="169" formatCode="#,##0.0"/>
    <numFmt numFmtId="170" formatCode="0.0"/>
  </numFmts>
  <fonts count="1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</font>
    <font>
      <sz val="11"/>
      <color rgb="FF000000"/>
      <name val="Aptos Narrow"/>
      <family val="2"/>
    </font>
    <font>
      <b/>
      <sz val="11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11"/>
      <color rgb="FF000000"/>
      <name val="Aptos Narrow"/>
      <scheme val="minor"/>
    </font>
    <font>
      <b/>
      <sz val="11"/>
      <color rgb="FFFFFFFF"/>
      <name val="Aptos Narrow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5" tint="0.79998168889431442"/>
      </patternFill>
    </fill>
    <fill>
      <patternFill patternType="solid">
        <fgColor rgb="FFC0E4F5"/>
        <bgColor rgb="FFC0E4F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B3C1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rgb="FF43AEE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4" fontId="0" fillId="0" borderId="0" xfId="0" applyNumberFormat="1"/>
    <xf numFmtId="0" fontId="0" fillId="2" borderId="0" xfId="0" applyFill="1"/>
    <xf numFmtId="0" fontId="2" fillId="4" borderId="0" xfId="0" applyFont="1" applyFill="1"/>
    <xf numFmtId="0" fontId="0" fillId="0" borderId="3" xfId="0" applyBorder="1" applyAlignment="1">
      <alignment horizontal="center" vertical="center" wrapText="1"/>
    </xf>
    <xf numFmtId="0" fontId="0" fillId="6" borderId="0" xfId="0" applyFill="1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 wrapText="1"/>
    </xf>
    <xf numFmtId="0" fontId="0" fillId="6" borderId="0" xfId="0" applyFill="1" applyAlignment="1">
      <alignment horizontal="center" vertical="center"/>
    </xf>
    <xf numFmtId="166" fontId="0" fillId="0" borderId="1" xfId="0" applyNumberFormat="1" applyBorder="1" applyAlignment="1">
      <alignment horizontal="center" vertical="center" wrapText="1"/>
    </xf>
    <xf numFmtId="164" fontId="0" fillId="6" borderId="0" xfId="0" applyNumberFormat="1" applyFill="1"/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wrapText="1"/>
    </xf>
    <xf numFmtId="166" fontId="0" fillId="9" borderId="0" xfId="0" applyNumberFormat="1" applyFill="1" applyAlignment="1">
      <alignment horizontal="center" vertical="center" wrapText="1"/>
    </xf>
    <xf numFmtId="166" fontId="0" fillId="6" borderId="0" xfId="0" applyNumberFormat="1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1" fillId="3" borderId="6" xfId="0" applyFont="1" applyFill="1" applyBorder="1"/>
    <xf numFmtId="0" fontId="0" fillId="5" borderId="5" xfId="0" applyFill="1" applyBorder="1" applyAlignment="1">
      <alignment horizontal="left" vertical="center" wrapText="1"/>
    </xf>
    <xf numFmtId="0" fontId="0" fillId="5" borderId="5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/>
    </xf>
    <xf numFmtId="0" fontId="3" fillId="5" borderId="2" xfId="1" applyFill="1" applyBorder="1" applyAlignment="1">
      <alignment horizontal="left" vertical="center"/>
    </xf>
    <xf numFmtId="0" fontId="4" fillId="5" borderId="0" xfId="1" applyFont="1" applyFill="1" applyBorder="1" applyAlignment="1">
      <alignment horizontal="left" vertical="center"/>
    </xf>
    <xf numFmtId="0" fontId="0" fillId="5" borderId="5" xfId="1" applyFont="1" applyFill="1" applyBorder="1" applyAlignment="1">
      <alignment horizontal="left" vertical="center"/>
    </xf>
    <xf numFmtId="0" fontId="1" fillId="3" borderId="6" xfId="0" applyFont="1" applyFill="1" applyBorder="1" applyAlignment="1">
      <alignment wrapText="1"/>
    </xf>
    <xf numFmtId="2" fontId="0" fillId="5" borderId="5" xfId="0" applyNumberFormat="1" applyFill="1" applyBorder="1" applyAlignment="1">
      <alignment horizontal="left" vertical="center"/>
    </xf>
    <xf numFmtId="0" fontId="0" fillId="5" borderId="5" xfId="0" applyFill="1" applyBorder="1" applyAlignment="1">
      <alignment horizontal="center" vertical="center" wrapText="1"/>
    </xf>
    <xf numFmtId="0" fontId="0" fillId="6" borderId="7" xfId="0" applyFill="1" applyBorder="1"/>
    <xf numFmtId="0" fontId="0" fillId="7" borderId="7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center" vertical="center"/>
    </xf>
    <xf numFmtId="4" fontId="0" fillId="5" borderId="5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wrapText="1"/>
    </xf>
    <xf numFmtId="9" fontId="0" fillId="0" borderId="0" xfId="0" applyNumberFormat="1" applyAlignment="1">
      <alignment horizontal="center" vertical="center" wrapText="1"/>
    </xf>
    <xf numFmtId="3" fontId="0" fillId="6" borderId="0" xfId="0" applyNumberFormat="1" applyFill="1"/>
    <xf numFmtId="3" fontId="0" fillId="0" borderId="0" xfId="0" applyNumberFormat="1"/>
    <xf numFmtId="4" fontId="0" fillId="5" borderId="5" xfId="0" applyNumberFormat="1" applyFill="1" applyBorder="1" applyAlignment="1">
      <alignment horizontal="left" vertical="center"/>
    </xf>
    <xf numFmtId="4" fontId="3" fillId="5" borderId="5" xfId="1" applyNumberFormat="1" applyFill="1" applyBorder="1" applyAlignment="1">
      <alignment horizontal="left" vertical="center"/>
    </xf>
    <xf numFmtId="0" fontId="3" fillId="5" borderId="5" xfId="1" applyNumberFormat="1" applyFill="1" applyBorder="1" applyAlignment="1">
      <alignment horizontal="left" vertical="center"/>
    </xf>
    <xf numFmtId="0" fontId="0" fillId="5" borderId="5" xfId="1" applyNumberFormat="1" applyFont="1" applyFill="1" applyBorder="1" applyAlignment="1">
      <alignment horizontal="left" vertical="center"/>
    </xf>
    <xf numFmtId="0" fontId="7" fillId="6" borderId="0" xfId="0" applyFont="1" applyFill="1"/>
    <xf numFmtId="3" fontId="7" fillId="6" borderId="0" xfId="0" applyNumberFormat="1" applyFont="1" applyFill="1"/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5" borderId="5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6" borderId="0" xfId="0" applyFill="1" applyAlignment="1">
      <alignment horizontal="left" wrapText="1"/>
    </xf>
    <xf numFmtId="0" fontId="2" fillId="6" borderId="0" xfId="0" applyFont="1" applyFill="1" applyAlignment="1">
      <alignment wrapText="1"/>
    </xf>
    <xf numFmtId="0" fontId="0" fillId="0" borderId="7" xfId="0" applyBorder="1" applyAlignment="1">
      <alignment horizontal="center" vertical="center" wrapText="1"/>
    </xf>
    <xf numFmtId="165" fontId="0" fillId="0" borderId="7" xfId="0" applyNumberFormat="1" applyBorder="1" applyAlignment="1">
      <alignment horizontal="center" vertical="center" wrapText="1"/>
    </xf>
    <xf numFmtId="4" fontId="0" fillId="5" borderId="2" xfId="0" applyNumberFormat="1" applyFill="1" applyBorder="1" applyAlignment="1">
      <alignment horizontal="right" vertical="center" indent="1"/>
    </xf>
    <xf numFmtId="10" fontId="0" fillId="5" borderId="2" xfId="0" applyNumberFormat="1" applyFill="1" applyBorder="1" applyAlignment="1">
      <alignment horizontal="right" vertical="center" indent="1"/>
    </xf>
    <xf numFmtId="4" fontId="0" fillId="5" borderId="5" xfId="0" applyNumberFormat="1" applyFill="1" applyBorder="1" applyAlignment="1">
      <alignment horizontal="right" vertical="center" indent="1"/>
    </xf>
    <xf numFmtId="0" fontId="3" fillId="5" borderId="5" xfId="1" applyFill="1" applyBorder="1" applyAlignment="1">
      <alignment horizontal="left" vertical="center"/>
    </xf>
    <xf numFmtId="0" fontId="2" fillId="6" borderId="0" xfId="0" applyFont="1" applyFill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9" fontId="0" fillId="0" borderId="0" xfId="0" applyNumberFormat="1"/>
    <xf numFmtId="4" fontId="3" fillId="10" borderId="5" xfId="1" applyNumberFormat="1" applyFill="1" applyBorder="1" applyAlignment="1">
      <alignment horizontal="left" vertical="center"/>
    </xf>
    <xf numFmtId="4" fontId="3" fillId="10" borderId="0" xfId="1" applyNumberFormat="1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1" fillId="3" borderId="8" xfId="0" applyFont="1" applyFill="1" applyBorder="1" applyAlignment="1">
      <alignment wrapText="1"/>
    </xf>
    <xf numFmtId="4" fontId="0" fillId="5" borderId="0" xfId="0" applyNumberFormat="1" applyFill="1" applyAlignment="1">
      <alignment horizontal="left" vertical="center"/>
    </xf>
    <xf numFmtId="0" fontId="0" fillId="6" borderId="0" xfId="0" applyFill="1" applyAlignment="1">
      <alignment horizontal="center" wrapText="1"/>
    </xf>
    <xf numFmtId="165" fontId="0" fillId="6" borderId="0" xfId="0" applyNumberFormat="1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164" fontId="0" fillId="6" borderId="0" xfId="0" applyNumberFormat="1" applyFill="1" applyAlignment="1">
      <alignment wrapText="1"/>
    </xf>
    <xf numFmtId="164" fontId="8" fillId="6" borderId="0" xfId="0" applyNumberFormat="1" applyFont="1" applyFill="1" applyAlignment="1">
      <alignment wrapText="1"/>
    </xf>
    <xf numFmtId="0" fontId="0" fillId="0" borderId="0" xfId="0" applyAlignment="1">
      <alignment horizontal="center" wrapText="1"/>
    </xf>
    <xf numFmtId="164" fontId="0" fillId="0" borderId="7" xfId="0" applyNumberFormat="1" applyBorder="1" applyAlignment="1">
      <alignment wrapText="1"/>
    </xf>
    <xf numFmtId="9" fontId="0" fillId="0" borderId="0" xfId="0" applyNumberFormat="1" applyAlignment="1">
      <alignment wrapText="1"/>
    </xf>
    <xf numFmtId="0" fontId="0" fillId="0" borderId="7" xfId="0" applyBorder="1" applyAlignment="1">
      <alignment horizontal="left" vertical="center" wrapText="1"/>
    </xf>
    <xf numFmtId="9" fontId="0" fillId="0" borderId="0" xfId="0" applyNumberFormat="1" applyAlignment="1">
      <alignment horizontal="left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horizontal="left" vertical="center" wrapText="1"/>
    </xf>
    <xf numFmtId="0" fontId="6" fillId="0" borderId="0" xfId="0" applyFont="1" applyAlignment="1">
      <alignment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9" fontId="0" fillId="6" borderId="0" xfId="0" applyNumberFormat="1" applyFill="1" applyAlignment="1">
      <alignment horizontal="center" vertical="center"/>
    </xf>
    <xf numFmtId="9" fontId="0" fillId="6" borderId="0" xfId="0" applyNumberFormat="1" applyFill="1" applyAlignment="1">
      <alignment horizontal="left" vertical="center"/>
    </xf>
    <xf numFmtId="9" fontId="0" fillId="6" borderId="0" xfId="0" applyNumberFormat="1" applyFill="1"/>
    <xf numFmtId="0" fontId="0" fillId="0" borderId="12" xfId="0" applyBorder="1" applyAlignment="1">
      <alignment horizontal="center" vertical="center" wrapText="1"/>
    </xf>
    <xf numFmtId="0" fontId="9" fillId="6" borderId="0" xfId="0" applyFont="1" applyFill="1" applyAlignment="1">
      <alignment wrapText="1"/>
    </xf>
    <xf numFmtId="0" fontId="0" fillId="0" borderId="7" xfId="0" applyBorder="1"/>
    <xf numFmtId="0" fontId="0" fillId="0" borderId="0" xfId="0" quotePrefix="1" applyAlignment="1">
      <alignment wrapText="1"/>
    </xf>
    <xf numFmtId="0" fontId="7" fillId="11" borderId="7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166" fontId="0" fillId="0" borderId="14" xfId="0" applyNumberFormat="1" applyBorder="1" applyAlignment="1">
      <alignment horizontal="center" vertical="center" wrapText="1"/>
    </xf>
    <xf numFmtId="0" fontId="0" fillId="14" borderId="0" xfId="0" applyFill="1"/>
    <xf numFmtId="0" fontId="0" fillId="7" borderId="0" xfId="0" applyFill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5" borderId="5" xfId="0" applyNumberFormat="1" applyFill="1" applyBorder="1" applyAlignment="1">
      <alignment horizontal="center" vertical="center"/>
    </xf>
    <xf numFmtId="0" fontId="1" fillId="15" borderId="7" xfId="0" applyFont="1" applyFill="1" applyBorder="1" applyAlignment="1">
      <alignment horizontal="center" vertical="center"/>
    </xf>
    <xf numFmtId="10" fontId="0" fillId="5" borderId="5" xfId="0" applyNumberFormat="1" applyFill="1" applyBorder="1" applyAlignment="1">
      <alignment horizontal="center" vertical="center"/>
    </xf>
    <xf numFmtId="168" fontId="0" fillId="5" borderId="5" xfId="0" applyNumberForma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64" fontId="0" fillId="6" borderId="0" xfId="0" applyNumberFormat="1" applyFill="1" applyAlignment="1">
      <alignment horizontal="right"/>
    </xf>
    <xf numFmtId="0" fontId="0" fillId="6" borderId="0" xfId="0" applyFill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3" fontId="7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right"/>
    </xf>
    <xf numFmtId="164" fontId="7" fillId="0" borderId="0" xfId="0" applyNumberFormat="1" applyFont="1"/>
    <xf numFmtId="3" fontId="7" fillId="0" borderId="0" xfId="0" applyNumberFormat="1" applyFont="1"/>
    <xf numFmtId="4" fontId="0" fillId="6" borderId="0" xfId="0" applyNumberFormat="1" applyFill="1"/>
    <xf numFmtId="4" fontId="0" fillId="0" borderId="0" xfId="0" applyNumberFormat="1"/>
    <xf numFmtId="0" fontId="0" fillId="5" borderId="0" xfId="0" applyFill="1" applyAlignment="1">
      <alignment horizontal="left" vertical="center" wrapText="1"/>
    </xf>
    <xf numFmtId="2" fontId="0" fillId="5" borderId="0" xfId="0" applyNumberFormat="1" applyFill="1" applyAlignment="1">
      <alignment horizontal="left" vertical="center"/>
    </xf>
    <xf numFmtId="4" fontId="0" fillId="10" borderId="0" xfId="0" applyNumberFormat="1" applyFill="1" applyAlignment="1">
      <alignment horizontal="left" vertical="center"/>
    </xf>
    <xf numFmtId="164" fontId="3" fillId="5" borderId="5" xfId="1" applyNumberForma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left" vertical="center"/>
    </xf>
    <xf numFmtId="0" fontId="5" fillId="16" borderId="0" xfId="0" applyFont="1" applyFill="1" applyAlignment="1">
      <alignment horizontal="left" vertical="center"/>
    </xf>
    <xf numFmtId="164" fontId="0" fillId="6" borderId="0" xfId="0" applyNumberFormat="1" applyFill="1" applyAlignment="1">
      <alignment horizontal="left"/>
    </xf>
    <xf numFmtId="164" fontId="0" fillId="6" borderId="0" xfId="0" applyNumberFormat="1" applyFill="1" applyAlignment="1">
      <alignment horizontal="left" wrapText="1"/>
    </xf>
    <xf numFmtId="4" fontId="7" fillId="0" borderId="0" xfId="0" applyNumberFormat="1" applyFont="1"/>
    <xf numFmtId="0" fontId="5" fillId="16" borderId="0" xfId="0" applyFont="1" applyFill="1" applyAlignment="1">
      <alignment horizontal="center" vertical="center" wrapText="1"/>
    </xf>
    <xf numFmtId="2" fontId="0" fillId="0" borderId="7" xfId="0" applyNumberFormat="1" applyBorder="1" applyAlignment="1">
      <alignment horizontal="center" vertical="center" wrapText="1"/>
    </xf>
    <xf numFmtId="0" fontId="1" fillId="18" borderId="0" xfId="0" applyFont="1" applyFill="1"/>
    <xf numFmtId="0" fontId="1" fillId="15" borderId="0" xfId="0" applyFont="1" applyFill="1"/>
    <xf numFmtId="0" fontId="1" fillId="19" borderId="7" xfId="0" applyFont="1" applyFill="1" applyBorder="1" applyAlignment="1">
      <alignment horizontal="center" vertical="center"/>
    </xf>
    <xf numFmtId="14" fontId="1" fillId="21" borderId="0" xfId="0" applyNumberFormat="1" applyFont="1" applyFill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167" fontId="0" fillId="0" borderId="7" xfId="0" applyNumberFormat="1" applyBorder="1" applyAlignment="1">
      <alignment horizontal="center" vertical="center" wrapText="1"/>
    </xf>
    <xf numFmtId="4" fontId="0" fillId="0" borderId="7" xfId="0" applyNumberFormat="1" applyBorder="1" applyAlignment="1">
      <alignment horizontal="center" vertical="center" wrapText="1"/>
    </xf>
    <xf numFmtId="0" fontId="0" fillId="7" borderId="0" xfId="0" applyFill="1" applyAlignment="1">
      <alignment horizontal="left" vertical="center" wrapText="1"/>
    </xf>
    <xf numFmtId="0" fontId="0" fillId="6" borderId="11" xfId="0" applyFill="1" applyBorder="1" applyAlignment="1">
      <alignment horizontal="left" vertical="center" wrapText="1"/>
    </xf>
    <xf numFmtId="9" fontId="0" fillId="6" borderId="0" xfId="0" applyNumberFormat="1" applyFill="1" applyAlignment="1">
      <alignment horizontal="left" vertical="center" wrapText="1"/>
    </xf>
    <xf numFmtId="10" fontId="0" fillId="5" borderId="5" xfId="0" applyNumberFormat="1" applyFill="1" applyBorder="1" applyAlignment="1">
      <alignment horizontal="right" vertical="center" indent="1"/>
    </xf>
    <xf numFmtId="164" fontId="0" fillId="6" borderId="11" xfId="0" applyNumberFormat="1" applyFill="1" applyBorder="1" applyAlignment="1">
      <alignment horizontal="left" vertical="center" wrapText="1"/>
    </xf>
    <xf numFmtId="169" fontId="0" fillId="5" borderId="5" xfId="0" applyNumberFormat="1" applyFill="1" applyBorder="1" applyAlignment="1">
      <alignment horizontal="right" vertical="center"/>
    </xf>
    <xf numFmtId="170" fontId="0" fillId="5" borderId="2" xfId="0" applyNumberFormat="1" applyFill="1" applyBorder="1" applyAlignment="1">
      <alignment horizontal="right" vertical="center" wrapText="1"/>
    </xf>
    <xf numFmtId="170" fontId="0" fillId="5" borderId="5" xfId="0" applyNumberFormat="1" applyFill="1" applyBorder="1" applyAlignment="1">
      <alignment horizontal="right" vertical="center"/>
    </xf>
    <xf numFmtId="4" fontId="3" fillId="5" borderId="0" xfId="1" applyNumberFormat="1" applyFill="1" applyBorder="1" applyAlignment="1">
      <alignment horizontal="left" vertical="center"/>
    </xf>
    <xf numFmtId="0" fontId="6" fillId="5" borderId="0" xfId="0" applyFont="1" applyFill="1" applyAlignment="1">
      <alignment horizontal="left" vertical="center" wrapText="1"/>
    </xf>
    <xf numFmtId="2" fontId="0" fillId="0" borderId="0" xfId="0" applyNumberFormat="1" applyAlignment="1">
      <alignment horizontal="center" vertical="center" wrapText="1"/>
    </xf>
    <xf numFmtId="0" fontId="0" fillId="5" borderId="5" xfId="0" quotePrefix="1" applyFill="1" applyBorder="1" applyAlignment="1">
      <alignment horizontal="left" vertical="center" wrapText="1"/>
    </xf>
    <xf numFmtId="166" fontId="0" fillId="5" borderId="5" xfId="0" applyNumberFormat="1" applyFill="1" applyBorder="1" applyAlignment="1">
      <alignment horizontal="right" vertical="center"/>
    </xf>
    <xf numFmtId="0" fontId="6" fillId="0" borderId="7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6" borderId="0" xfId="0" applyFont="1" applyFill="1" applyAlignment="1">
      <alignment wrapText="1"/>
    </xf>
    <xf numFmtId="164" fontId="7" fillId="20" borderId="0" xfId="0" applyNumberFormat="1" applyFont="1" applyFill="1" applyAlignment="1">
      <alignment horizontal="center" vertical="center" wrapText="1"/>
    </xf>
    <xf numFmtId="0" fontId="0" fillId="17" borderId="0" xfId="0" applyFill="1"/>
    <xf numFmtId="0" fontId="0" fillId="17" borderId="16" xfId="0" applyFill="1" applyBorder="1"/>
    <xf numFmtId="0" fontId="15" fillId="22" borderId="16" xfId="0" applyFont="1" applyFill="1" applyBorder="1" applyAlignment="1">
      <alignment horizontal="center" vertical="center"/>
    </xf>
    <xf numFmtId="0" fontId="0" fillId="23" borderId="16" xfId="0" applyFill="1" applyBorder="1" applyAlignment="1">
      <alignment horizontal="center"/>
    </xf>
    <xf numFmtId="164" fontId="0" fillId="17" borderId="16" xfId="0" applyNumberFormat="1" applyFill="1" applyBorder="1" applyAlignment="1">
      <alignment horizontal="righ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5" fillId="0" borderId="0" xfId="0" applyFont="1"/>
    <xf numFmtId="0" fontId="16" fillId="24" borderId="0" xfId="0" applyFont="1" applyFill="1"/>
    <xf numFmtId="0" fontId="15" fillId="25" borderId="0" xfId="0" applyFont="1" applyFill="1"/>
    <xf numFmtId="0" fontId="17" fillId="0" borderId="0" xfId="0" applyFont="1"/>
    <xf numFmtId="0" fontId="18" fillId="26" borderId="0" xfId="0" applyFont="1" applyFill="1"/>
    <xf numFmtId="0" fontId="18" fillId="27" borderId="0" xfId="0" applyFont="1" applyFill="1"/>
    <xf numFmtId="0" fontId="18" fillId="28" borderId="0" xfId="0" applyFont="1" applyFill="1"/>
    <xf numFmtId="0" fontId="18" fillId="29" borderId="0" xfId="0" applyFont="1" applyFill="1"/>
    <xf numFmtId="4" fontId="15" fillId="25" borderId="0" xfId="0" applyNumberFormat="1" applyFont="1" applyFill="1"/>
    <xf numFmtId="4" fontId="15" fillId="0" borderId="0" xfId="0" applyNumberFormat="1" applyFont="1"/>
    <xf numFmtId="4" fontId="0" fillId="17" borderId="0" xfId="0" applyNumberFormat="1" applyFill="1"/>
    <xf numFmtId="0" fontId="0" fillId="30" borderId="0" xfId="0" applyFill="1" applyAlignment="1">
      <alignment wrapText="1"/>
    </xf>
    <xf numFmtId="0" fontId="0" fillId="8" borderId="0" xfId="0" applyFill="1" applyAlignment="1">
      <alignment horizontal="center" wrapText="1"/>
    </xf>
    <xf numFmtId="165" fontId="0" fillId="12" borderId="0" xfId="0" applyNumberFormat="1" applyFill="1" applyAlignment="1">
      <alignment horizontal="center" vertical="center" wrapText="1"/>
    </xf>
    <xf numFmtId="0" fontId="0" fillId="8" borderId="0" xfId="0" applyFill="1" applyAlignment="1">
      <alignment horizontal="center"/>
    </xf>
    <xf numFmtId="0" fontId="11" fillId="8" borderId="0" xfId="0" applyFont="1" applyFill="1" applyAlignment="1">
      <alignment horizontal="center" wrapText="1"/>
    </xf>
    <xf numFmtId="0" fontId="10" fillId="8" borderId="0" xfId="0" applyFont="1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/>
    </xf>
    <xf numFmtId="0" fontId="7" fillId="13" borderId="13" xfId="0" applyFont="1" applyFill="1" applyBorder="1" applyAlignment="1">
      <alignment horizontal="center"/>
    </xf>
    <xf numFmtId="0" fontId="7" fillId="13" borderId="10" xfId="0" applyFont="1" applyFill="1" applyBorder="1" applyAlignment="1">
      <alignment horizontal="center"/>
    </xf>
    <xf numFmtId="0" fontId="7" fillId="13" borderId="12" xfId="0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5" borderId="5" xfId="0" applyFont="1" applyFill="1" applyBorder="1" applyAlignment="1">
      <alignment horizontal="left" vertical="center"/>
    </xf>
    <xf numFmtId="0" fontId="0" fillId="5" borderId="5" xfId="0" applyNumberFormat="1" applyFill="1" applyBorder="1" applyAlignment="1">
      <alignment horizontal="left" vertical="center"/>
    </xf>
    <xf numFmtId="0" fontId="0" fillId="5" borderId="5" xfId="0" applyNumberFormat="1" applyFont="1" applyFill="1" applyBorder="1" applyAlignment="1">
      <alignment horizontal="left" vertical="center"/>
    </xf>
    <xf numFmtId="0" fontId="0" fillId="5" borderId="0" xfId="0" applyNumberFormat="1" applyFill="1" applyBorder="1" applyAlignment="1">
      <alignment horizontal="left" vertical="center"/>
    </xf>
    <xf numFmtId="4" fontId="0" fillId="5" borderId="0" xfId="0" applyNumberFormat="1" applyFill="1" applyBorder="1" applyAlignment="1">
      <alignment horizontal="left" vertical="center"/>
    </xf>
  </cellXfs>
  <cellStyles count="2">
    <cellStyle name="Hipervínculo" xfId="1" builtinId="8"/>
    <cellStyle name="Normal" xfId="0" builtinId="0"/>
  </cellStyles>
  <dxfs count="127">
    <dxf>
      <font>
        <b/>
        <i val="0"/>
        <color theme="0"/>
      </font>
      <fill>
        <patternFill>
          <bgColor theme="6" tint="-0.24994659260841701"/>
        </patternFill>
      </fill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66" formatCode="#,##0.0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9" formatCode="#,##0.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0.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8" formatCode="&quot;$&quot;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43AEE2"/>
        </top>
      </border>
    </dxf>
    <dxf>
      <border outline="0">
        <left style="thin">
          <color rgb="FF43AEE2"/>
        </left>
        <top style="thin">
          <color rgb="FF43AEE2"/>
        </top>
        <bottom style="thin">
          <color rgb="FF43AEE2"/>
        </bottom>
      </border>
    </dxf>
    <dxf>
      <fill>
        <patternFill patternType="solid">
          <fgColor rgb="FFC0E4F5"/>
          <bgColor rgb="FFC0E4F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43AEE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4" formatCode="#,##0.00"/>
      <fill>
        <patternFill patternType="solid">
          <fgColor rgb="FFC0E4F5"/>
          <bgColor rgb="FFC0E4F5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43AEE2"/>
        </top>
      </border>
    </dxf>
    <dxf>
      <border outline="0">
        <left style="thin">
          <color rgb="FF43AEE2"/>
        </left>
        <top style="thin">
          <color rgb="FF43AEE2"/>
        </top>
        <bottom style="thin">
          <color rgb="FF43AEE2"/>
        </bottom>
      </border>
    </dxf>
    <dxf>
      <fill>
        <patternFill patternType="solid">
          <fgColor rgb="FFC0E4F5"/>
          <bgColor rgb="FFC0E4F5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rgb="FF43AEE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numFmt numFmtId="165" formatCode="[$-F800]dddd\,\ mmmm\ dd\,\ 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F800]dddd\,\ mmmm\ dd\,\ 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F800]dddd\,\ mmmm\ dd\,\ 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horizontal="left" vertical="center" textRotation="0" wrapText="1" indent="0" justifyLastLine="0" shrinkToFit="0" readingOrder="0"/>
      <border outline="0">
        <left style="thin">
          <color indexed="64"/>
        </left>
      </border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166" formatCode="#,##0.000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1193800</xdr:colOff>
          <xdr:row>2</xdr:row>
          <xdr:rowOff>50800</xdr:rowOff>
        </xdr:from>
        <xdr:to>
          <xdr:col>9</xdr:col>
          <xdr:colOff>1231900</xdr:colOff>
          <xdr:row>2</xdr:row>
          <xdr:rowOff>723900</xdr:rowOff>
        </xdr:to>
        <xdr:sp macro="" textlink="">
          <xdr:nvSpPr>
            <xdr:cNvPr id="3091" name="Button 19" descr="Correr el código para habilitar la macros&#10;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Botón 17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139700</xdr:rowOff>
        </xdr:from>
        <xdr:to>
          <xdr:col>3</xdr:col>
          <xdr:colOff>1282700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Botón 5: crear resumen de todos los productos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3B3396-74E7-44DD-AA66-DF4513BD97E8}" name="Tabla9" displayName="Tabla9" ref="M7:P11" totalsRowShown="0" headerRowDxfId="126" dataDxfId="125">
  <autoFilter ref="M7:P11" xr:uid="{663B3396-74E7-44DD-AA66-DF4513BD97E8}">
    <filterColumn colId="0" hiddenButton="1"/>
    <filterColumn colId="1" hiddenButton="1"/>
    <filterColumn colId="2" hiddenButton="1"/>
    <filterColumn colId="3" hiddenButton="1"/>
  </autoFilter>
  <tableColumns count="4">
    <tableColumn id="1" xr3:uid="{664BEE36-532D-47D7-8EAE-AEBB461D8B45}" name="Puesto" dataDxfId="124"/>
    <tableColumn id="5" xr3:uid="{BE41CF7F-EB11-4D4B-A521-EE6EDC448943}" name="Costo UF HH" dataDxfId="123"/>
    <tableColumn id="6" xr3:uid="{84DFB6BD-2DEF-4535-AD6B-F8E485B4EC11}" name="Margen" dataDxfId="122"/>
    <tableColumn id="7" xr3:uid="{2F19B91B-72E9-493E-999A-F5523F273E2A}" name="Precio cliente" dataDxfId="121">
      <calculatedColumnFormula>Tabla9[[#This Row],[Costo UF HH]]/(1-Tabla9[[#This Row],[Margen]])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315C3CE-E5D4-4F4E-A744-96872D6CB649}" name="Tabla919" displayName="Tabla919" ref="V7:X12" totalsRowShown="0" headerRowDxfId="120" dataDxfId="119">
  <autoFilter ref="V7:X12" xr:uid="{2315C3CE-E5D4-4F4E-A744-96872D6CB649}"/>
  <tableColumns count="3">
    <tableColumn id="1" xr3:uid="{71D858E4-C389-43C7-835E-815374D42FF6}" name="Tipo de viático" dataDxfId="118"/>
    <tableColumn id="5" xr3:uid="{90456BFF-9A96-4C1F-A3F5-1FCB6EA9782A}" name="Descripción" dataDxfId="117"/>
    <tableColumn id="2" xr3:uid="{81F23D1A-B611-4136-BE3F-79C57B7E4D98}" name="Costo UF" dataDxfId="116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E49BEAE-EA84-4CB4-B02D-1BC0F3B01683}" name="Tabla50" displayName="Tabla50" ref="B7:D13" totalsRowShown="0" headerRowDxfId="115" dataDxfId="114">
  <autoFilter ref="B7:D13" xr:uid="{EE49BEAE-EA84-4CB4-B02D-1BC0F3B01683}"/>
  <tableColumns count="3">
    <tableColumn id="1" xr3:uid="{B91B5084-3D35-4431-9308-5E07D387BFAD}" name="Tipo moneda" dataDxfId="113"/>
    <tableColumn id="2" xr3:uid="{CB43FA0D-0E60-4739-8486-DBE4AA5AE90F}" name="a CLP" dataDxfId="112"/>
    <tableColumn id="3" xr3:uid="{C26A5D77-75B2-4353-B7C3-72B529866398}" name="Tasa transformación" dataDxfId="111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1E7AC26-8D2B-435E-9494-577BF1F47D8A}" name="Tabla51" displayName="Tabla51" ref="F7:H12" totalsRowShown="0" headerRowDxfId="110" dataDxfId="109">
  <autoFilter ref="F7:H12" xr:uid="{11E7AC26-8D2B-435E-9494-577BF1F47D8A}"/>
  <tableColumns count="3">
    <tableColumn id="1" xr3:uid="{9537A5BC-3097-4A61-A63A-B2E1D98A3CA3}" name="Tipo costo" dataDxfId="108"/>
    <tableColumn id="2" xr3:uid="{A4FE4AE1-0CDD-485C-B9B8-0078F0A7D066}" name="Ponderador importación (CIF/FOB)" dataDxfId="107"/>
    <tableColumn id="3" xr3:uid="{162C643B-A508-4864-9533-CEEB256A4817}" name="Ponderador margen (nacional/internacional)" dataDxfId="106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E7212DB-6930-42AF-A6F5-30172933C933}" name="Tabla958" displayName="Tabla958" ref="J7:K10" totalsRowShown="0" headerRowDxfId="105" dataDxfId="104">
  <autoFilter ref="J7:K10" xr:uid="{7E7212DB-6930-42AF-A6F5-30172933C933}"/>
  <tableColumns count="2">
    <tableColumn id="1" xr3:uid="{C6B0B59F-CE96-4C85-AC49-ABC446824C35}" name="Cargos" dataDxfId="103"/>
    <tableColumn id="5" xr3:uid="{69D7CA5D-4D3F-409A-B033-40C118112027}" name="Ponderador Precio" dataDxfId="102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8E7401-D236-48AB-B51F-BF1D5E6EDFF6}" name="Tabla2327" displayName="Tabla2327" ref="R7:T11" totalsRowShown="0" headerRowDxfId="101" dataDxfId="100">
  <autoFilter ref="R7:T11" xr:uid="{AF8E7401-D236-48AB-B51F-BF1D5E6EDFF6}"/>
  <tableColumns count="3">
    <tableColumn id="1" xr3:uid="{D19C979D-E802-428D-9DEB-5463D98DAAE5}" name="Número grupo" dataDxfId="99"/>
    <tableColumn id="2" xr3:uid="{DB8781A0-7670-4AFC-A39B-1EC2B32229A5}" name="Tipo de venta" dataDxfId="98"/>
    <tableColumn id="4" xr3:uid="{8D32ED3C-E174-4D3E-8B37-F47D4638C800}" name="Márgenes" dataDxfId="97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D5A6DB-E11A-4511-8334-FB736A404E39}" name="Tabla52" displayName="Tabla52" ref="B8:C17" totalsRowShown="0" headerRowDxfId="96" dataDxfId="95">
  <autoFilter ref="B8:C17" xr:uid="{E4F65A74-C5DE-420B-B02B-4087F8368AD7}">
    <filterColumn colId="0" hiddenButton="1"/>
    <filterColumn colId="1" hiddenButton="1"/>
  </autoFilter>
  <tableColumns count="2">
    <tableColumn id="1" xr3:uid="{6B5C948E-C5F7-4A79-B528-6D3ECB9DABB7}" name="Datos" dataDxfId="94">
      <calculatedColumnFormula>TODAY()</calculatedColumnFormula>
    </tableColumn>
    <tableColumn id="2" xr3:uid="{871BD61A-1AA3-4BF4-9D8B-DA30EC93706D}" name="Valor" dataDxfId="93">
      <calculatedColumnFormula>TODAY()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5F73B4-6292-48F9-9FB0-2B10608E8F4B}" name="Tabla2329" displayName="Tabla2329" ref="H8:J14" totalsRowShown="0" headerRowDxfId="92" dataDxfId="91">
  <autoFilter ref="H8:J14" xr:uid="{E053CC1F-40AB-4B04-B2F6-8B774E7D1097}"/>
  <tableColumns count="3">
    <tableColumn id="1" xr3:uid="{C8E2A188-C125-4539-A325-2DAB500C8A40}" name="Número grupo" dataDxfId="90"/>
    <tableColumn id="2" xr3:uid="{EFCC61F2-B479-4B5A-80EC-ACB9BB209169}" name="Tipo de venta" dataDxfId="89"/>
    <tableColumn id="3" xr3:uid="{035FE5A5-EA0D-469B-829D-F9DA4F88BF43}" name="Moneda final" dataDxfId="88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34A50A-4176-498A-915B-224E9B6B38D1}" name="Tabla25" displayName="Tabla25" ref="E8:F13" totalsRowShown="0" headerRowDxfId="87" dataDxfId="86">
  <autoFilter ref="E8:F13" xr:uid="{E8C9C3A7-D54C-46F6-BA19-6F5CF0592752}"/>
  <tableColumns count="2">
    <tableColumn id="1" xr3:uid="{6B30EB17-BECE-413A-BEFA-6B9A502BA21A}" name="Número grupo" dataDxfId="85"/>
    <tableColumn id="2" xr3:uid="{7EDEE319-A608-4932-96CC-46586FFF8EE5}" name="Secciones" dataDxfId="84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F530C3-E8A4-48F5-A011-76151A850E8E}" name="Tabla2757" displayName="Tabla2757" ref="B6:N12" totalsRowShown="0" headerRowDxfId="83" dataDxfId="81" headerRowBorderDxfId="82" tableBorderDxfId="80" totalsRowBorderDxfId="79">
  <autoFilter ref="B6:N12" xr:uid="{3AC895F3-88FC-4322-BA4D-9163F09350B5}"/>
  <tableColumns count="13">
    <tableColumn id="18" xr3:uid="{3F13ADA9-FD6B-4142-80E8-AB8AAA5B2CB2}" name="Tipo de venta" dataDxfId="78"/>
    <tableColumn id="1" xr3:uid="{4D7D62B0-AA08-4E96-99E6-A9D66C4F6065}" name="Sección" dataDxfId="77"/>
    <tableColumn id="3" xr3:uid="{919C7931-5C86-435C-9E17-078053598BC1}" name="Tarea" dataDxfId="76"/>
    <tableColumn id="4" xr3:uid="{65AD8D18-3B83-4137-95F5-A0376FF6961F}" name="Descripción" dataDxfId="75">
      <calculatedColumnFormula>_xlfn.XLOOKUP(Tabla2757[[#This Row],[Tarea]],Productos!C:C,Productos!D:D, "Error",0,1)</calculatedColumnFormula>
    </tableColumn>
    <tableColumn id="21" xr3:uid="{743D9C17-691F-449D-AA89-160A6CF17A52}" name="Moneda Final" dataDxfId="74">
      <calculatedColumnFormula>_xlfn.XLOOKUP(Tabla2757[[#This Row],[Tipo de venta]],Tabla2329[Tipo de venta],Tabla2329[Moneda final], "Error - Seleccionar Tipo de Venta", 0,1)</calculatedColumnFormula>
    </tableColumn>
    <tableColumn id="9" xr3:uid="{D8F1D102-0114-43C5-9E14-4516F638E7CB}" name="Puesto Encargado" dataDxfId="73">
      <calculatedColumnFormula>IF(Tabla2757[[#This Row],[Moneda Final]]="CLP", Tabla2757[[#This Row],[Cantidad horas]], IF(Tabla2757[[#This Row],[Moneda Final]]="USD", TablaProductos[[#This Row],[Precio USD]], Tabla2757[[#This Row],[Precio UF]]))</calculatedColumnFormula>
    </tableColumn>
    <tableColumn id="19" xr3:uid="{789B8DE7-7AD6-42E2-B259-816DFDA6A125}" name="Cargo" dataDxfId="72"/>
    <tableColumn id="20" xr3:uid="{0DC370D3-CF89-4B8E-ADFE-5205D20AC699}" name="Precio por hora UF" dataDxfId="71">
      <calculatedColumnFormula>_xlfn.XLOOKUP(Tabla2757[[#This Row],[Puesto Encargado]], Tabla9[Puesto], Tabla9[Precio cliente],0,1,1)</calculatedColumnFormula>
    </tableColumn>
    <tableColumn id="22" xr3:uid="{42C69641-A3FC-4295-9CF4-85044E9E8115}" name="Ponderador" dataDxfId="70">
      <calculatedColumnFormula>_xlfn.XLOOKUP(Tabla2757[[#This Row],[Cargo]], Tabla958[Cargos], Tabla958[Ponderador Precio],0,1,1)</calculatedColumnFormula>
    </tableColumn>
    <tableColumn id="10" xr3:uid="{C8A23C9B-7B06-480B-BBB2-2CC48552BA39}" name="Precio por hora" dataDxfId="69">
      <calculatedColumnFormula>Tabla2757[[#This Row],[Precio por hora UF]]*Tabla2757[[#This Row],[Ponderador]]</calculatedColumnFormula>
    </tableColumn>
    <tableColumn id="11" xr3:uid="{36CA9095-CE85-4692-9133-A7A809C5F832}" name="Cantidad horas" dataDxfId="68">
      <calculatedColumnFormula>_xlfn.XLOOKUP(Tabla2757[[#This Row],[Tarea]],Productos!$C:$C,Productos!K:K, "Error",0,1)</calculatedColumnFormula>
    </tableColumn>
    <tableColumn id="12" xr3:uid="{1EB52E9C-2083-4F7D-8F83-0B3DB521427A}" name="Precio UF" dataDxfId="67">
      <calculatedColumnFormula>_xlfn.XLOOKUP(Tabla2757[[#This Row],[Tarea]],Productos!$C:$C,Productos!L:L, "Error",0,1)</calculatedColumnFormula>
    </tableColumn>
    <tableColumn id="23" xr3:uid="{1A4234A9-9DD6-48E3-BE29-56F5634512BA}" name="Precio Moneda" dataDxfId="66">
      <calculatedColumnFormula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D47289-8499-4E1D-8694-E81C15DE30DE}" name="Tabla27573" displayName="Tabla27573" ref="B8:K54" totalsRowShown="0" headerRowDxfId="65" dataDxfId="63" headerRowBorderDxfId="64" tableBorderDxfId="62" totalsRowBorderDxfId="61">
  <autoFilter ref="B8:K54" xr:uid="{3AC895F3-88FC-4322-BA4D-9163F09350B5}"/>
  <tableColumns count="10">
    <tableColumn id="18" xr3:uid="{20E43334-168A-44AF-BF4F-CAD1901FFB25}" name="Tipo de venta" dataDxfId="60" dataCellStyle="Hipervínculo"/>
    <tableColumn id="1" xr3:uid="{33ACE34F-0DC1-4EE9-A5C1-3584C1D1082F}" name="Sección" dataDxfId="59"/>
    <tableColumn id="3" xr3:uid="{81B80305-6961-4FDA-92D5-6CB652EFC214}" name="Tarea" dataDxfId="58"/>
    <tableColumn id="4" xr3:uid="{55E8D677-6B9D-4B67-BFEA-79DEAAA9DE61}" name="Descripción" dataDxfId="57">
      <calculatedColumnFormula>_xlfn.XLOOKUP(Tabla27573[[#This Row],[Tarea]],Productos!C:C,Productos!D:D, "Error",0,1)</calculatedColumnFormula>
    </tableColumn>
    <tableColumn id="21" xr3:uid="{3D8F5A06-E7F7-421F-BB09-F230CC300FFE}" name="Moneda Final" dataDxfId="56">
      <calculatedColumnFormula>_xlfn.XLOOKUP(Tabla27573[[#This Row],[Tipo de venta]],Tabla2329[Tipo de venta],Tabla2329[Moneda final], "Error - Seleccionar Tipo de Venta", 0,1)</calculatedColumnFormula>
    </tableColumn>
    <tableColumn id="9" xr3:uid="{13069080-E35C-4871-A879-2897B7991AF5}" name="Costo Unitario CLP" dataDxfId="55">
      <calculatedColumnFormula>E4</calculatedColumnFormula>
    </tableColumn>
    <tableColumn id="2" xr3:uid="{6B257810-E736-404B-826C-3290AE0A2976}" name="Margen" dataDxfId="54"/>
    <tableColumn id="5" xr3:uid="{2D52AB42-77F9-4277-9267-E5CF6CB17C29}" name="Precio Unitario" dataDxfId="53">
      <calculatedColumnFormula>Tabla27573[[#This Row],[Costo Unitario CLP]]/(1-Tabla27573[[#This Row],[Margen]])</calculatedColumnFormula>
    </tableColumn>
    <tableColumn id="19" xr3:uid="{2C0ABBE5-EAB4-4809-92C1-22AF9A205A1F}" name="Cantidad" dataDxfId="52">
      <calculatedColumnFormula>D3</calculatedColumnFormula>
    </tableColumn>
    <tableColumn id="10" xr3:uid="{F96BBC02-414F-4E27-9A7A-C77FF3B3F722}" name="Precio CLP" dataDxfId="51" dataCellStyle="Hipervínculo">
      <calculatedColumnFormula>Tabla27573[[#This Row],[Cantidad]]*Tabla27573[[#This Row],[Precio Unitario]]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0753C46-60D3-40DF-91FB-30EFEEC8BB39}" name="Tabla3" displayName="Tabla3" ref="B1:F5" totalsRowShown="0" headerRowDxfId="50" dataDxfId="49">
  <autoFilter ref="B1:F5" xr:uid="{D0753C46-60D3-40DF-91FB-30EFEEC8BB39}"/>
  <tableColumns count="5">
    <tableColumn id="1" xr3:uid="{89AC9837-666F-4CA3-BDE4-85C0A198428A}" name="Columna1" dataDxfId="48"/>
    <tableColumn id="2" xr3:uid="{8BACF59D-3028-4F57-BFD6-5729C27BD5E2}" name="Descripción" dataDxfId="47"/>
    <tableColumn id="3" xr3:uid="{BE37BB1D-1292-4B20-9BE9-AAAB4D8E672E}" name="Cantidad/tipo" dataDxfId="46"/>
    <tableColumn id="4" xr3:uid="{3BBE242B-584B-46C1-A035-6D76E40E74F4}" name="Costo unitario" dataDxfId="45">
      <calculatedColumnFormula>_xlfn.XLOOKUP(Tabla3[[#This Row],[Columna1]], Tabla919[Tipo de viático], Tabla919[Costo UF], "Error", 0, 1)</calculatedColumnFormula>
    </tableColumn>
    <tableColumn id="5" xr3:uid="{D550C0A2-A593-4F2C-8A1A-744BD95A2C0E}" name="Precio final" dataDxfId="44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AC895F3-88FC-4322-BA4D-9163F09350B5}" name="Tabla27" displayName="Tabla27" ref="B6:R36" totalsRowShown="0" headerRowDxfId="22" dataDxfId="21" headerRowBorderDxfId="19" tableBorderDxfId="20" totalsRowBorderDxfId="18">
  <autoFilter ref="B6:R36" xr:uid="{3AC895F3-88FC-4322-BA4D-9163F09350B5}"/>
  <tableColumns count="17">
    <tableColumn id="18" xr3:uid="{398E732F-4C4D-49FA-8F17-9E4751286B3A}" name="Tipo de venta" dataDxfId="17"/>
    <tableColumn id="1" xr3:uid="{46584F8C-76FE-40A7-9DFF-0080B0C3B9EE}" name="Sección" dataDxfId="16"/>
    <tableColumn id="2" xr3:uid="{76E4B631-977F-45C1-85BC-ADC35DB7CAF9}" name="Agrupación" dataDxfId="15"/>
    <tableColumn id="3" xr3:uid="{0A86979C-DDD8-4E83-84DF-1A3BF07A9996}" name="Nombre producto" dataDxfId="14"/>
    <tableColumn id="4" xr3:uid="{D940BDE9-E215-4FF5-B684-032B27CDCDCF}" name="Descripción" dataDxfId="13">
      <calculatedColumnFormula>_xlfn.XLOOKUP(Tabla27[[#This Row],[Nombre producto]],Productos!C:C,Productos!D:D, "Error",0,1)</calculatedColumnFormula>
    </tableColumn>
    <tableColumn id="21" xr3:uid="{BB206602-3C45-4ED8-9953-98010EC79BD0}" name="Moneda producto" dataDxfId="12">
      <calculatedColumnFormula>_xlfn.XLOOKUP(Tabla27[[#This Row],[Nombre producto]], TablaProductos[Nombre producto], TablaProductos[Tipo de moneda],"Error - agregue producto a Productos",0,1)</calculatedColumnFormula>
    </tableColumn>
    <tableColumn id="9" xr3:uid="{E75647C4-C593-4F45-A116-05E0E2F28A6F}" name="Costo Producto" dataDxfId="11">
      <calculatedColumnFormula>_xlfn.XLOOKUP(Tabla27[[#This Row],[Nombre producto]], TablaProductos[Nombre producto], TablaProductos[Costo producto],"Error - agregue producto a Productos",0,1)</calculatedColumnFormula>
    </tableColumn>
    <tableColumn id="19" xr3:uid="{9910A921-3DF3-43FA-BD9F-53BCAAEB5E11}" name="Unidades" dataDxfId="10"/>
    <tableColumn id="8" xr3:uid="{C9C9F1AF-C47E-4A9B-A37B-0A15F712B2C2}" name="Tarifa Cambio de divisa" dataDxfId="9">
      <calculatedColumnFormula>IF(Tabla27[[#This Row],[Moneda producto]]="USD",'Datos generales'!$G$3,IF(Tabla27[[#This Row],[Moneda producto]]="EUR",'Datos generales'!$G$3,0))</calculatedColumnFormula>
    </tableColumn>
    <tableColumn id="10" xr3:uid="{C0F0F0A5-7253-41D6-8D03-FB6EECBD6740}" name="Precio USD/unitario" dataDxfId="8">
      <calculatedColumnFormula>_xlfn.XLOOKUP(Tabla27[[#This Row],[Nombre producto]], TablaProductos[Nombre producto], TablaProductos[Precio USD],"Error - agregue producto a Productos",0,1)*(1)</calculatedColumnFormula>
    </tableColumn>
    <tableColumn id="11" xr3:uid="{1A5BBDCD-7CFD-4D46-8049-3D7B9E270CF4}" name="Precio CLP/Unitario" dataDxfId="7">
      <calculatedColumnFormula>_xlfn.XLOOKUP(Tabla27[[#This Row],[Nombre producto]], TablaProductos[Nombre producto], TablaProductos[Precio CLP],"Error - agregue producto a Productos",0,1)</calculatedColumnFormula>
    </tableColumn>
    <tableColumn id="12" xr3:uid="{C7459AF2-CC32-4612-B033-37FA9210D2C8}" name="Precio UF/Unitario" dataDxfId="6">
      <calculatedColumnFormula>_xlfn.XLOOKUP(Tabla27[[#This Row],[Nombre producto]], TablaProductos[Nombre producto], TablaProductos[Precio UF],"Error - agregue producto a Productos",0,1)</calculatedColumnFormula>
    </tableColumn>
    <tableColumn id="5" xr3:uid="{8879887C-D0E4-4DA6-8374-1AC112E08DB5}" name="Precio EUR/ Unitario" dataDxfId="5" dataCellStyle="Hipervínculo">
      <calculatedColumnFormula>_xlfn.XLOOKUP(Tabla27[[#This Row],[Nombre producto]], TablaProductos[Nombre producto], TablaProductos[Precio Euros],"Error - agregue producto a Productos",0,1)</calculatedColumnFormula>
    </tableColumn>
    <tableColumn id="13" xr3:uid="{0BFE22DA-5593-47B8-90BE-869DD359D22F}" name="Proveedor" dataDxfId="4">
      <calculatedColumnFormula>_xlfn.XLOOKUP(Tabla27[[#This Row],[Nombre producto]],Productos!$C:$C,Productos!N:N, "Error",0,1)</calculatedColumnFormula>
    </tableColumn>
    <tableColumn id="14" xr3:uid="{1743073C-0A79-427F-B39F-D3C8DF2698C0}" name="Link de compra" dataDxfId="3">
      <calculatedColumnFormula>_xlfn.XLOOKUP(Tabla27[[#This Row],[Nombre producto]],Productos!$C:$C,Productos!O:O, "Error",0,1)</calculatedColumnFormula>
    </tableColumn>
    <tableColumn id="6" xr3:uid="{E40E0B02-4C60-49AE-B7CF-5E088A7C683A}" name="Moneda Final" dataDxfId="2">
      <calculatedColumnFormula>_xlfn.XLOOKUP(Tabla27[[#This Row],[Tipo de venta]], Tabla2329[Tipo de venta], Tabla2329[Moneda final], "Error - Seleccionar Tipo de Venta", 0,1)</calculatedColumnFormula>
    </tableColumn>
    <tableColumn id="15" xr3:uid="{100B01F4-D328-431F-89E1-5878C5E88B4A}" name="Precio final (sin iva - moneda)" dataDxfId="1">
      <calculatedColumnFormula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724EC72-6126-4D13-8D28-70C9F26FE38B}" name="TablaProductos" displayName="TablaProductos" ref="B6:R29" totalsRowShown="0" headerRowDxfId="43" dataDxfId="41" headerRowBorderDxfId="42" tableBorderDxfId="40" totalsRowBorderDxfId="39">
  <autoFilter ref="B6:R29" xr:uid="{1724EC72-6126-4D13-8D28-70C9F26FE38B}"/>
  <tableColumns count="17">
    <tableColumn id="1" xr3:uid="{1DE849D8-6B59-4F38-98D5-F296B9CD72C4}" name="Agrupación" dataDxfId="38"/>
    <tableColumn id="2" xr3:uid="{AA3E12A7-3E4F-4AC2-BAE1-C1460147922D}" name="Nombre producto" dataDxfId="37"/>
    <tableColumn id="3" xr3:uid="{9C033A2A-2F40-41DC-A6FE-4C866FF2644D}" name="Descripción" dataDxfId="36"/>
    <tableColumn id="4" xr3:uid="{F4F40B14-77EA-432D-B482-019AF6BB4568}" name="Tipo de moneda" dataDxfId="35"/>
    <tableColumn id="16" xr3:uid="{92EA2497-1E1B-481F-B33B-4021CA4D7DB5}" name="CIF/FOB/Nacional" dataDxfId="34"/>
    <tableColumn id="5" xr3:uid="{152935D8-DDC9-48A2-9DBC-0CCB3680C457}" name="Costo producto" dataDxfId="33"/>
    <tableColumn id="17" xr3:uid="{BF22B6BC-117C-42D8-B570-E6B777ABF167}" name="Costo de producto a oficina" dataDxfId="32">
      <calculatedColumnFormula>IF(TablaProductos[[#This Row],[CIF/FOB/Nacional]]="Nacional", TablaProductos[[#This Row],[Costo producto]],IF(TablaProductos[[#This Row],[CIF/FOB/Nacional]]="CIF", TablaProductos[[#This Row],[Costo producto]], TablaProductos[[#This Row],[Costo producto]]*1.3))</calculatedColumnFormula>
    </tableColumn>
    <tableColumn id="6" xr3:uid="{F2748CBA-F38C-4583-B991-69DC3E29FB9D}" name="Margen" dataDxfId="31">
      <calculatedColumnFormula>_xlfn.XLOOKUP(TablaProductos[[#This Row],[Agrupación]], 'Datos generales'!$S$8:$S$1048576, 'Datos generales'!$T$8:$T$1048576,"Margen en agrupación no encontrado",0, 1)</calculatedColumnFormula>
    </tableColumn>
    <tableColumn id="7" xr3:uid="{F83AFCAE-A486-4EBF-8CD3-6DBF7F9D4A1B}" name="Precio Moneda compra" dataDxfId="30">
      <calculatedColumnFormula>H7/(1-I7)</calculatedColumnFormula>
    </tableColumn>
    <tableColumn id="8" xr3:uid="{05A18D47-BB8A-4042-B070-0F20E814AFC2}" name="Precio CLP" dataDxfId="29">
      <calculatedColumnFormula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calculatedColumnFormula>
    </tableColumn>
    <tableColumn id="18" xr3:uid="{3924A73C-1265-43AE-A6FA-A64935FB8C02}" name="Precio UF" dataDxfId="28">
      <calculatedColumnFormula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calculatedColumnFormula>
    </tableColumn>
    <tableColumn id="19" xr3:uid="{A2572D95-628E-4FB8-A44C-6E7B59704869}" name="Precio USD" dataDxfId="27">
      <calculatedColumnFormula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calculatedColumnFormula>
    </tableColumn>
    <tableColumn id="20" xr3:uid="{941D34F3-C5E6-4B3F-B281-243B9DD423E0}" name="Precio Euros" dataDxfId="26">
      <calculatedColumnFormula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calculatedColumnFormula>
    </tableColumn>
    <tableColumn id="9" xr3:uid="{9C37AA84-40B3-4F50-BC73-044BEDE71018}" name="Fabricante" dataDxfId="25"/>
    <tableColumn id="10" xr3:uid="{624006BC-7B6B-4088-B911-8A604991ADDE}" name="Nombre Vendedor" dataDxfId="24"/>
    <tableColumn id="11" xr3:uid="{1C9A1178-3703-4454-9401-2300870798A7}" name="Correo ; Número" dataDxfId="23"/>
    <tableColumn id="12" xr3:uid="{D7708E6B-2526-4CE5-9022-C88DD9EE3038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kyla@hondetech.com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mailto:kyla@hondetech.com" TargetMode="External"/><Relationship Id="rId1" Type="http://schemas.openxmlformats.org/officeDocument/2006/relationships/hyperlink" Target="mailto:jose.valenzuela@wolke.cl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mailto:kyla@hondetech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X26"/>
  <sheetViews>
    <sheetView showGridLines="0" topLeftCell="E1" zoomScale="92" zoomScaleNormal="70" workbookViewId="0">
      <selection activeCell="W13" sqref="W13"/>
    </sheetView>
  </sheetViews>
  <sheetFormatPr baseColWidth="10" defaultColWidth="8.83203125" defaultRowHeight="15" x14ac:dyDescent="0.2"/>
  <cols>
    <col min="1" max="1" width="20.1640625" customWidth="1"/>
    <col min="2" max="2" width="15.5" customWidth="1"/>
    <col min="3" max="3" width="22.33203125" customWidth="1"/>
    <col min="4" max="4" width="30.1640625" customWidth="1"/>
    <col min="5" max="5" width="21.5" customWidth="1"/>
    <col min="6" max="6" width="30.1640625" customWidth="1"/>
    <col min="7" max="7" width="18" bestFit="1" customWidth="1"/>
    <col min="8" max="8" width="16.6640625" customWidth="1"/>
    <col min="9" max="9" width="13.83203125" bestFit="1" customWidth="1"/>
    <col min="10" max="10" width="14" customWidth="1"/>
    <col min="11" max="11" width="20.6640625" customWidth="1"/>
    <col min="12" max="12" width="18.5" customWidth="1"/>
    <col min="14" max="14" width="11.6640625" customWidth="1"/>
    <col min="16" max="16" width="14.33203125" customWidth="1"/>
    <col min="17" max="17" width="8.83203125" style="60"/>
    <col min="22" max="22" width="23.5" customWidth="1"/>
    <col min="23" max="24" width="19.5" customWidth="1"/>
  </cols>
  <sheetData>
    <row r="1" spans="2:24" x14ac:dyDescent="0.2">
      <c r="B1" s="5"/>
      <c r="Q1"/>
    </row>
    <row r="2" spans="2:24" x14ac:dyDescent="0.2">
      <c r="B2" s="8"/>
      <c r="C2" s="8"/>
      <c r="D2" s="51"/>
      <c r="E2" s="51"/>
      <c r="F2" s="51"/>
      <c r="J2" s="90" t="s">
        <v>122</v>
      </c>
      <c r="K2" s="132">
        <f ca="1">TODAY()</f>
        <v>45776</v>
      </c>
      <c r="Q2"/>
    </row>
    <row r="3" spans="2:24" ht="25.25" customHeight="1" x14ac:dyDescent="0.3">
      <c r="C3" s="9"/>
      <c r="D3" s="89" t="str">
        <f ca="1">IF(K4&gt;15, "ALERTA - Actualizar datos", "Datos actualizados")</f>
        <v>ALERTA - Actualizar datos</v>
      </c>
      <c r="E3" s="15"/>
      <c r="F3" s="92" t="s">
        <v>132</v>
      </c>
      <c r="G3" s="92">
        <v>0.05</v>
      </c>
      <c r="J3" s="90" t="s">
        <v>123</v>
      </c>
      <c r="K3" s="132">
        <f>D6</f>
        <v>45748</v>
      </c>
      <c r="M3" s="7"/>
      <c r="N3" s="7"/>
      <c r="O3" s="7"/>
      <c r="P3" s="7"/>
      <c r="Q3" s="69"/>
      <c r="R3" s="69"/>
      <c r="S3" s="69"/>
      <c r="T3" s="7"/>
      <c r="U3" s="7"/>
      <c r="V3" s="7"/>
    </row>
    <row r="4" spans="2:24" ht="16" x14ac:dyDescent="0.2">
      <c r="B4" s="9"/>
      <c r="C4" s="9"/>
      <c r="E4" s="7"/>
      <c r="F4" s="7"/>
      <c r="G4" s="7"/>
      <c r="J4" s="52" t="s">
        <v>124</v>
      </c>
      <c r="K4" s="133">
        <f ca="1">K2-K3</f>
        <v>28</v>
      </c>
      <c r="M4" s="7"/>
      <c r="N4" s="15"/>
      <c r="O4" s="7"/>
      <c r="P4" s="7"/>
      <c r="Q4" s="106"/>
      <c r="R4" s="106"/>
      <c r="S4" s="106"/>
      <c r="T4" s="7"/>
      <c r="U4" s="7"/>
      <c r="V4" s="7"/>
    </row>
    <row r="5" spans="2:24" x14ac:dyDescent="0.2">
      <c r="B5" s="1"/>
      <c r="C5" s="1"/>
      <c r="D5" s="72"/>
      <c r="E5" s="58"/>
      <c r="F5" s="14"/>
      <c r="G5" s="14"/>
      <c r="H5" s="72"/>
      <c r="I5" s="72"/>
      <c r="J5" s="72"/>
      <c r="K5" s="131"/>
      <c r="L5" s="72"/>
      <c r="M5" s="134"/>
      <c r="N5" s="15"/>
      <c r="O5" s="15"/>
      <c r="P5" s="15"/>
      <c r="Q5" s="50"/>
      <c r="R5" s="50"/>
      <c r="S5" s="50"/>
      <c r="T5" s="7"/>
      <c r="U5" s="15"/>
      <c r="V5" s="15"/>
      <c r="W5" s="72"/>
      <c r="X5" s="72"/>
    </row>
    <row r="6" spans="2:24" ht="28.75" customHeight="1" x14ac:dyDescent="0.2">
      <c r="B6" s="171" t="s">
        <v>121</v>
      </c>
      <c r="C6" s="171"/>
      <c r="D6" s="130">
        <v>45748</v>
      </c>
      <c r="E6" s="73"/>
      <c r="F6" s="170" t="s">
        <v>106</v>
      </c>
      <c r="G6" s="170"/>
      <c r="H6" s="170"/>
      <c r="I6" s="72"/>
      <c r="J6" s="72"/>
      <c r="K6" s="72"/>
      <c r="L6" s="72"/>
      <c r="M6" s="72"/>
      <c r="N6" s="72"/>
      <c r="O6" s="72"/>
      <c r="P6" s="72"/>
      <c r="Q6" s="72"/>
      <c r="R6" s="170" t="s">
        <v>112</v>
      </c>
      <c r="S6" s="170"/>
      <c r="T6" s="170"/>
      <c r="U6" s="72"/>
      <c r="V6" s="72"/>
      <c r="W6" s="72"/>
      <c r="X6" s="72"/>
    </row>
    <row r="7" spans="2:24" ht="29" customHeight="1" x14ac:dyDescent="0.2">
      <c r="B7" s="72" t="s">
        <v>15</v>
      </c>
      <c r="C7" s="72" t="s">
        <v>105</v>
      </c>
      <c r="D7" s="72" t="s">
        <v>120</v>
      </c>
      <c r="E7" s="74"/>
      <c r="F7" s="72" t="s">
        <v>16</v>
      </c>
      <c r="G7" s="72" t="s">
        <v>117</v>
      </c>
      <c r="H7" s="72" t="s">
        <v>116</v>
      </c>
      <c r="I7" s="72"/>
      <c r="J7" s="1" t="s">
        <v>18</v>
      </c>
      <c r="K7" s="1" t="s">
        <v>19</v>
      </c>
      <c r="L7" s="51"/>
      <c r="M7" s="1" t="s">
        <v>20</v>
      </c>
      <c r="N7" s="1" t="s">
        <v>21</v>
      </c>
      <c r="O7" s="1" t="s">
        <v>22</v>
      </c>
      <c r="P7" s="1" t="s">
        <v>23</v>
      </c>
      <c r="Q7" s="15"/>
      <c r="R7" s="72" t="s">
        <v>34</v>
      </c>
      <c r="S7" s="75" t="s">
        <v>37</v>
      </c>
      <c r="T7" s="72" t="s">
        <v>113</v>
      </c>
      <c r="U7" s="72"/>
      <c r="V7" s="1" t="s">
        <v>118</v>
      </c>
      <c r="W7" s="1" t="s">
        <v>36</v>
      </c>
      <c r="X7" s="1" t="s">
        <v>137</v>
      </c>
    </row>
    <row r="8" spans="2:24" ht="16" x14ac:dyDescent="0.2">
      <c r="B8" s="72" t="s">
        <v>1</v>
      </c>
      <c r="C8" s="76">
        <v>1</v>
      </c>
      <c r="D8" s="72">
        <v>1</v>
      </c>
      <c r="E8" s="72"/>
      <c r="F8" s="72" t="s">
        <v>17</v>
      </c>
      <c r="G8" s="72">
        <v>1</v>
      </c>
      <c r="H8" s="77">
        <v>0.4</v>
      </c>
      <c r="I8" s="72"/>
      <c r="J8" s="52" t="s">
        <v>25</v>
      </c>
      <c r="K8" s="52">
        <v>1</v>
      </c>
      <c r="L8" s="50"/>
      <c r="M8" s="2" t="s">
        <v>26</v>
      </c>
      <c r="N8" s="2">
        <v>0.5</v>
      </c>
      <c r="O8" s="37">
        <v>0.4</v>
      </c>
      <c r="P8" s="144">
        <f>Tabla9[[#This Row],[Costo UF HH]]/(1-Tabla9[[#This Row],[Margen]])</f>
        <v>0.83333333333333337</v>
      </c>
      <c r="Q8" s="15"/>
      <c r="R8" s="52">
        <v>1</v>
      </c>
      <c r="S8" s="147" t="s">
        <v>65</v>
      </c>
      <c r="T8" s="79">
        <v>0.1</v>
      </c>
      <c r="U8" s="72"/>
      <c r="V8" s="2" t="s">
        <v>38</v>
      </c>
      <c r="W8" s="2" t="s">
        <v>39</v>
      </c>
      <c r="X8" s="12">
        <v>0.5</v>
      </c>
    </row>
    <row r="9" spans="2:24" ht="32.5" customHeight="1" x14ac:dyDescent="0.2">
      <c r="B9" s="72" t="s">
        <v>3</v>
      </c>
      <c r="C9" s="76">
        <v>38409.199999999997</v>
      </c>
      <c r="D9" s="72">
        <v>1</v>
      </c>
      <c r="E9" s="72"/>
      <c r="F9" s="72" t="s">
        <v>24</v>
      </c>
      <c r="G9" s="72">
        <v>1.3</v>
      </c>
      <c r="H9" s="77">
        <v>0.4</v>
      </c>
      <c r="I9" s="72"/>
      <c r="J9" s="52" t="s">
        <v>28</v>
      </c>
      <c r="K9" s="52">
        <v>1.5</v>
      </c>
      <c r="L9" s="15"/>
      <c r="M9" s="2" t="s">
        <v>29</v>
      </c>
      <c r="N9" s="2">
        <v>0.5</v>
      </c>
      <c r="O9" s="37">
        <v>0.4</v>
      </c>
      <c r="P9" s="144">
        <f>Tabla9[[#This Row],[Costo UF HH]]/(1-Tabla9[[#This Row],[Margen]])</f>
        <v>0.83333333333333337</v>
      </c>
      <c r="Q9" s="15"/>
      <c r="R9" s="52">
        <v>2</v>
      </c>
      <c r="S9" s="147" t="s">
        <v>66</v>
      </c>
      <c r="T9" s="79">
        <v>0.5</v>
      </c>
      <c r="U9" s="72"/>
      <c r="V9" s="2" t="s">
        <v>41</v>
      </c>
      <c r="W9" s="2" t="s">
        <v>42</v>
      </c>
      <c r="X9" s="12">
        <v>1</v>
      </c>
    </row>
    <row r="10" spans="2:24" ht="32" x14ac:dyDescent="0.2">
      <c r="B10" s="72" t="s">
        <v>6</v>
      </c>
      <c r="C10" s="76">
        <v>950</v>
      </c>
      <c r="D10" s="72">
        <v>1.05</v>
      </c>
      <c r="E10" s="72"/>
      <c r="F10" s="72" t="s">
        <v>27</v>
      </c>
      <c r="G10" s="72">
        <v>1</v>
      </c>
      <c r="H10" s="77">
        <v>0.2</v>
      </c>
      <c r="I10" s="72"/>
      <c r="J10" s="52" t="s">
        <v>31</v>
      </c>
      <c r="K10" s="52">
        <v>2</v>
      </c>
      <c r="L10" s="72"/>
      <c r="M10" s="6" t="s">
        <v>32</v>
      </c>
      <c r="N10" s="2">
        <v>0.3</v>
      </c>
      <c r="O10" s="37">
        <v>0.4</v>
      </c>
      <c r="P10" s="144">
        <f>Tabla9[[#This Row],[Costo UF HH]]/(1-Tabla9[[#This Row],[Margen]])</f>
        <v>0.5</v>
      </c>
      <c r="Q10" s="77"/>
      <c r="R10" s="52">
        <v>3</v>
      </c>
      <c r="S10" s="147" t="s">
        <v>99</v>
      </c>
      <c r="T10" s="79">
        <v>0.6</v>
      </c>
      <c r="U10" s="72"/>
      <c r="V10" s="6" t="s">
        <v>44</v>
      </c>
      <c r="W10" s="6" t="s">
        <v>45</v>
      </c>
      <c r="X10" s="12">
        <v>2</v>
      </c>
    </row>
    <row r="11" spans="2:24" ht="32" x14ac:dyDescent="0.2">
      <c r="B11" s="72" t="s">
        <v>30</v>
      </c>
      <c r="C11" s="76">
        <v>1025</v>
      </c>
      <c r="D11" s="72">
        <v>1.05</v>
      </c>
      <c r="E11" s="72"/>
      <c r="F11" s="72" t="s">
        <v>119</v>
      </c>
      <c r="G11" s="72">
        <v>1</v>
      </c>
      <c r="H11" s="77">
        <v>0.35</v>
      </c>
      <c r="I11" s="72"/>
      <c r="J11" s="72"/>
      <c r="K11" s="72"/>
      <c r="L11" s="72"/>
      <c r="M11" s="6" t="s">
        <v>33</v>
      </c>
      <c r="N11" s="2">
        <v>0.5</v>
      </c>
      <c r="O11" s="37">
        <v>0.4</v>
      </c>
      <c r="P11" s="144">
        <f>Tabla9[[#This Row],[Costo UF HH]]/(1-Tabla9[[#This Row],[Margen]])</f>
        <v>0.83333333333333337</v>
      </c>
      <c r="Q11" s="77"/>
      <c r="R11" s="80">
        <v>4</v>
      </c>
      <c r="S11" s="148" t="s">
        <v>191</v>
      </c>
      <c r="T11" s="79">
        <v>0.5</v>
      </c>
      <c r="U11" s="72"/>
      <c r="V11" s="94" t="s">
        <v>135</v>
      </c>
      <c r="W11" s="72" t="s">
        <v>136</v>
      </c>
      <c r="X11" s="95">
        <v>1.79</v>
      </c>
    </row>
    <row r="12" spans="2:24" ht="61.25" customHeight="1" x14ac:dyDescent="0.2">
      <c r="B12" s="72"/>
      <c r="C12" s="91"/>
      <c r="D12" s="72"/>
      <c r="E12" s="72"/>
      <c r="F12" s="72" t="s">
        <v>158</v>
      </c>
      <c r="G12" s="72">
        <v>1</v>
      </c>
      <c r="H12" s="77">
        <v>0.4</v>
      </c>
      <c r="I12" s="72"/>
      <c r="J12" s="72"/>
      <c r="K12" s="72"/>
      <c r="L12" s="72"/>
      <c r="M12" s="72"/>
      <c r="N12" s="72"/>
      <c r="O12" s="72"/>
      <c r="P12" s="72"/>
      <c r="Q12" s="77"/>
      <c r="R12" s="72"/>
      <c r="S12" s="72"/>
      <c r="T12" s="72"/>
      <c r="U12" s="72"/>
      <c r="V12" s="94" t="s">
        <v>146</v>
      </c>
      <c r="W12" s="72" t="s">
        <v>147</v>
      </c>
      <c r="X12" s="95">
        <v>0</v>
      </c>
    </row>
    <row r="13" spans="2:24" x14ac:dyDescent="0.2">
      <c r="B13" s="72"/>
      <c r="C13" s="72"/>
      <c r="D13" s="72"/>
      <c r="E13" s="72"/>
      <c r="F13" s="72"/>
      <c r="G13" s="72"/>
      <c r="H13" s="72"/>
      <c r="I13" s="72"/>
      <c r="J13" s="77"/>
      <c r="K13" s="72"/>
      <c r="L13" s="72"/>
      <c r="M13" s="72"/>
      <c r="N13" s="72"/>
      <c r="O13" s="72"/>
      <c r="P13" s="72"/>
      <c r="Q13" s="77"/>
      <c r="R13" s="72"/>
      <c r="S13" s="72"/>
      <c r="T13" s="72"/>
      <c r="U13" s="72"/>
      <c r="V13" s="72"/>
      <c r="W13" s="72"/>
      <c r="X13" s="72"/>
    </row>
    <row r="14" spans="2:24" x14ac:dyDescent="0.2">
      <c r="B14" s="67"/>
      <c r="C14" s="67"/>
      <c r="D14" s="82"/>
      <c r="E14" s="72"/>
      <c r="F14" s="72"/>
      <c r="G14" s="72"/>
      <c r="H14" s="72"/>
      <c r="I14" s="72"/>
      <c r="J14" s="72"/>
      <c r="K14" s="72"/>
      <c r="L14" s="72"/>
      <c r="M14" s="15"/>
      <c r="N14" s="72"/>
      <c r="O14" s="72"/>
      <c r="P14" s="72"/>
      <c r="Q14" s="77"/>
      <c r="R14" s="72"/>
      <c r="S14" s="72"/>
      <c r="T14" s="72"/>
      <c r="U14" s="72"/>
      <c r="V14" s="72"/>
      <c r="W14" s="72"/>
      <c r="X14" s="72"/>
    </row>
    <row r="15" spans="2:24" x14ac:dyDescent="0.2">
      <c r="B15" s="15"/>
      <c r="C15" s="15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</row>
    <row r="16" spans="2:24" ht="89.5" customHeight="1" x14ac:dyDescent="0.2">
      <c r="B16" s="15"/>
      <c r="C16" s="15"/>
      <c r="D16" s="72"/>
      <c r="E16" s="72"/>
      <c r="I16" s="72"/>
      <c r="J16" s="72"/>
      <c r="K16" s="15"/>
      <c r="L16" s="15"/>
      <c r="M16" s="15"/>
      <c r="N16" s="72"/>
      <c r="O16" s="72"/>
      <c r="P16" s="72"/>
      <c r="Q16" s="77"/>
      <c r="R16" s="72"/>
      <c r="S16" s="72"/>
      <c r="T16" s="72"/>
      <c r="U16" s="72"/>
      <c r="V16" s="72"/>
      <c r="W16" s="72"/>
      <c r="X16" s="72"/>
    </row>
    <row r="17" spans="1:24" x14ac:dyDescent="0.2">
      <c r="A17" s="10"/>
      <c r="B17" s="15"/>
      <c r="C17" s="66"/>
      <c r="D17" s="72"/>
      <c r="E17" s="72"/>
      <c r="F17" s="17"/>
      <c r="G17" s="14"/>
      <c r="H17" s="16"/>
      <c r="I17" s="72"/>
      <c r="J17" s="72"/>
      <c r="K17" s="15"/>
      <c r="L17" s="66"/>
      <c r="M17" s="15"/>
      <c r="N17" s="72"/>
      <c r="O17" s="72"/>
      <c r="P17" s="72"/>
      <c r="Q17" s="77"/>
      <c r="R17" s="72"/>
      <c r="S17" s="72"/>
      <c r="T17" s="72"/>
      <c r="U17" s="72"/>
      <c r="V17" s="72"/>
      <c r="W17" s="72"/>
      <c r="X17" s="72"/>
    </row>
    <row r="18" spans="1:24" x14ac:dyDescent="0.2">
      <c r="A18" s="10"/>
      <c r="B18" s="14"/>
      <c r="C18" s="83"/>
      <c r="D18" s="72"/>
      <c r="E18" s="72"/>
      <c r="F18" s="16"/>
      <c r="G18" s="18"/>
      <c r="H18" s="17"/>
      <c r="I18" s="72"/>
      <c r="J18" s="15"/>
      <c r="K18" s="14"/>
      <c r="L18" s="83"/>
      <c r="M18" s="83"/>
      <c r="N18" s="72"/>
      <c r="O18" s="72"/>
      <c r="P18" s="72"/>
      <c r="Q18" s="77"/>
      <c r="R18" s="72"/>
      <c r="S18" s="72"/>
      <c r="T18" s="72"/>
      <c r="U18" s="72"/>
      <c r="V18" s="72"/>
      <c r="W18" s="72"/>
      <c r="X18" s="72"/>
    </row>
    <row r="19" spans="1:24" x14ac:dyDescent="0.2">
      <c r="A19" s="10"/>
      <c r="B19" s="14"/>
      <c r="C19" s="83"/>
      <c r="D19" s="72"/>
      <c r="E19" s="72"/>
      <c r="F19" s="7"/>
      <c r="G19" s="7"/>
      <c r="H19" s="16"/>
      <c r="I19" s="72"/>
      <c r="J19" s="149"/>
      <c r="K19" s="14"/>
      <c r="L19" s="83"/>
      <c r="M19" s="83"/>
      <c r="N19" s="72"/>
      <c r="O19" s="72"/>
      <c r="P19" s="72"/>
      <c r="Q19" s="77"/>
      <c r="R19" s="72"/>
      <c r="S19" s="72"/>
      <c r="T19" s="72"/>
      <c r="U19" s="72"/>
      <c r="V19" s="72"/>
      <c r="W19" s="72"/>
      <c r="X19" s="72"/>
    </row>
    <row r="20" spans="1:24" x14ac:dyDescent="0.2">
      <c r="B20" s="14"/>
      <c r="C20" s="83"/>
      <c r="D20" s="72"/>
      <c r="E20" s="72"/>
      <c r="H20" s="7"/>
      <c r="I20" s="72"/>
      <c r="J20" s="72"/>
      <c r="K20" s="72"/>
      <c r="L20" s="83"/>
      <c r="M20" s="83"/>
      <c r="N20" s="72"/>
      <c r="O20" s="72"/>
      <c r="P20" s="72"/>
      <c r="Q20" s="77"/>
      <c r="R20" s="72"/>
      <c r="S20" s="72"/>
      <c r="T20" s="72"/>
      <c r="U20" s="72"/>
      <c r="V20" s="72"/>
      <c r="W20" s="72"/>
      <c r="X20" s="72"/>
    </row>
    <row r="21" spans="1:24" x14ac:dyDescent="0.2">
      <c r="B21" s="14"/>
      <c r="C21" s="83"/>
      <c r="D21" s="72"/>
      <c r="E21" s="72"/>
      <c r="I21" s="72"/>
      <c r="J21" s="72"/>
      <c r="K21" s="72"/>
      <c r="L21" s="83"/>
      <c r="M21" s="83"/>
      <c r="N21" s="72"/>
      <c r="O21" s="72"/>
      <c r="P21" s="72"/>
      <c r="Q21" s="77"/>
      <c r="R21" s="72"/>
      <c r="S21" s="72"/>
      <c r="T21" s="72"/>
      <c r="U21" s="72"/>
      <c r="V21" s="72"/>
      <c r="W21" s="72"/>
      <c r="X21" s="72"/>
    </row>
    <row r="22" spans="1:24" ht="41.25" customHeight="1" x14ac:dyDescent="0.2">
      <c r="L22" s="7"/>
      <c r="M22" s="7"/>
    </row>
    <row r="26" spans="1:24" x14ac:dyDescent="0.2">
      <c r="J26" s="16"/>
      <c r="K26" s="16"/>
    </row>
  </sheetData>
  <mergeCells count="3">
    <mergeCell ref="F6:H6"/>
    <mergeCell ref="R6:T6"/>
    <mergeCell ref="B6:C6"/>
  </mergeCells>
  <conditionalFormatting sqref="D3">
    <cfRule type="containsText" dxfId="0" priority="1" operator="containsText" text="Datos actualizados">
      <formula>NOT(ISERROR(SEARCH("Datos actualizados",D3)))</formula>
    </cfRule>
  </conditionalFormatting>
  <dataValidations count="2">
    <dataValidation type="list" allowBlank="1" showInputMessage="1" showErrorMessage="1" sqref="M5" xr:uid="{1E370577-3989-419E-B7EB-5EDE8CE983AE}">
      <formula1>$B$8:$B$10</formula1>
    </dataValidation>
    <dataValidation type="list" allowBlank="1" showInputMessage="1" showErrorMessage="1" sqref="M18:M21" xr:uid="{601E503C-C060-40FD-9C79-C1EAA069E4F3}">
      <formula1>$B$8:$B$13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0242E-B157-4ABC-8E1F-047DBD593B94}">
  <sheetPr codeName="Hoja3">
    <tabColor rgb="FF00B050"/>
  </sheetPr>
  <dimension ref="A1:S27"/>
  <sheetViews>
    <sheetView showGridLines="0" zoomScale="70" zoomScaleNormal="70" workbookViewId="0">
      <selection activeCell="I12" sqref="I12"/>
    </sheetView>
  </sheetViews>
  <sheetFormatPr baseColWidth="10" defaultColWidth="8.83203125" defaultRowHeight="15" x14ac:dyDescent="0.2"/>
  <cols>
    <col min="1" max="1" width="20.1640625" customWidth="1"/>
    <col min="2" max="2" width="15.5" customWidth="1"/>
    <col min="3" max="3" width="31.83203125" customWidth="1"/>
    <col min="4" max="4" width="15.33203125" customWidth="1"/>
    <col min="5" max="5" width="21.5" customWidth="1"/>
    <col min="6" max="6" width="20" customWidth="1"/>
    <col min="7" max="7" width="18" bestFit="1" customWidth="1"/>
    <col min="8" max="8" width="22.1640625" customWidth="1"/>
    <col min="9" max="9" width="22.6640625" customWidth="1"/>
    <col min="10" max="10" width="14" customWidth="1"/>
    <col min="11" max="11" width="13.1640625" customWidth="1"/>
    <col min="12" max="12" width="18.5" customWidth="1"/>
    <col min="13" max="13" width="17.1640625" customWidth="1"/>
    <col min="14" max="14" width="11.6640625" customWidth="1"/>
    <col min="15" max="15" width="111.5" customWidth="1"/>
    <col min="16" max="16" width="14.33203125" customWidth="1"/>
    <col min="17" max="17" width="8.83203125" style="60"/>
  </cols>
  <sheetData>
    <row r="1" spans="2:19" x14ac:dyDescent="0.2">
      <c r="H1" s="172"/>
      <c r="I1" s="172"/>
      <c r="J1" s="172"/>
      <c r="Q1"/>
    </row>
    <row r="2" spans="2:19" ht="14.5" customHeight="1" x14ac:dyDescent="0.2">
      <c r="B2" s="5" t="s">
        <v>0</v>
      </c>
      <c r="Q2"/>
    </row>
    <row r="3" spans="2:19" ht="14.5" customHeight="1" x14ac:dyDescent="0.2">
      <c r="B3" s="175" t="s">
        <v>2</v>
      </c>
      <c r="C3" s="175"/>
      <c r="D3" s="175"/>
      <c r="E3" s="175"/>
      <c r="F3" s="175"/>
      <c r="G3" s="175"/>
      <c r="H3" s="175"/>
      <c r="I3" s="175"/>
      <c r="J3" s="175"/>
      <c r="P3" s="8"/>
      <c r="Q3" s="8"/>
      <c r="R3" s="8"/>
      <c r="S3" s="8"/>
    </row>
    <row r="4" spans="2:19" x14ac:dyDescent="0.2">
      <c r="C4" s="72"/>
      <c r="D4" s="72"/>
      <c r="E4" s="72"/>
      <c r="F4" s="72"/>
      <c r="G4" s="72"/>
      <c r="H4" s="72"/>
      <c r="I4" s="72"/>
      <c r="J4" s="72"/>
      <c r="K4" s="15"/>
      <c r="L4" s="72"/>
      <c r="M4" s="72"/>
      <c r="N4" s="72"/>
      <c r="P4" s="9"/>
      <c r="Q4" s="9"/>
      <c r="R4" s="9"/>
      <c r="S4" s="9"/>
    </row>
    <row r="5" spans="2:19" x14ac:dyDescent="0.2">
      <c r="B5" s="176" t="s">
        <v>7</v>
      </c>
      <c r="C5" s="176"/>
      <c r="D5" s="176"/>
      <c r="E5" s="176"/>
      <c r="F5" s="176"/>
      <c r="G5" s="176"/>
      <c r="H5" s="176"/>
      <c r="I5" s="176"/>
      <c r="J5" s="176"/>
      <c r="K5" s="14"/>
      <c r="L5" s="72"/>
      <c r="M5" s="72"/>
      <c r="N5" s="72"/>
      <c r="P5" s="9"/>
      <c r="Q5" s="9"/>
      <c r="R5" s="9"/>
      <c r="S5" s="9"/>
    </row>
    <row r="6" spans="2:19" x14ac:dyDescent="0.2">
      <c r="B6" s="15"/>
      <c r="C6" s="15"/>
      <c r="D6" s="15"/>
      <c r="E6" s="15"/>
      <c r="F6" s="15"/>
      <c r="G6" s="15"/>
      <c r="H6" s="72"/>
      <c r="I6" s="72"/>
      <c r="J6" s="77"/>
      <c r="K6" s="14"/>
      <c r="L6" s="72"/>
      <c r="M6" s="72"/>
      <c r="N6" s="72"/>
      <c r="Q6"/>
    </row>
    <row r="7" spans="2:19" ht="29" customHeight="1" x14ac:dyDescent="0.35">
      <c r="B7" s="72"/>
      <c r="C7" s="72"/>
      <c r="D7" s="72"/>
      <c r="E7" s="173" t="s">
        <v>35</v>
      </c>
      <c r="F7" s="173"/>
      <c r="G7" s="15"/>
      <c r="H7" s="174" t="s">
        <v>37</v>
      </c>
      <c r="I7" s="174"/>
      <c r="J7" s="174"/>
      <c r="K7" s="14"/>
      <c r="O7" s="7"/>
      <c r="P7" s="7"/>
      <c r="Q7" s="7"/>
      <c r="R7" s="7"/>
    </row>
    <row r="8" spans="2:19" ht="16" x14ac:dyDescent="0.2">
      <c r="B8" s="1" t="s">
        <v>4</v>
      </c>
      <c r="C8" s="1" t="s">
        <v>5</v>
      </c>
      <c r="D8" s="72"/>
      <c r="E8" s="72" t="s">
        <v>34</v>
      </c>
      <c r="F8" s="75" t="s">
        <v>35</v>
      </c>
      <c r="G8" s="14"/>
      <c r="H8" s="72" t="s">
        <v>34</v>
      </c>
      <c r="I8" s="75" t="s">
        <v>37</v>
      </c>
      <c r="J8" s="72" t="s">
        <v>103</v>
      </c>
      <c r="K8" s="14"/>
      <c r="O8" s="7"/>
      <c r="P8" s="7"/>
      <c r="Q8" s="7"/>
      <c r="R8" s="7"/>
    </row>
    <row r="9" spans="2:19" ht="32.5" customHeight="1" x14ac:dyDescent="0.2">
      <c r="B9" s="53" t="s">
        <v>8</v>
      </c>
      <c r="C9" s="53">
        <f t="shared" ref="C9" ca="1" si="0">TODAY()</f>
        <v>45776</v>
      </c>
      <c r="D9" s="72"/>
      <c r="E9" s="52">
        <v>1</v>
      </c>
      <c r="F9" s="78" t="s">
        <v>182</v>
      </c>
      <c r="G9" s="73"/>
      <c r="H9" s="88">
        <v>1</v>
      </c>
      <c r="I9" s="78" t="s">
        <v>40</v>
      </c>
      <c r="J9" s="84" t="s">
        <v>6</v>
      </c>
      <c r="K9" s="15"/>
      <c r="O9" s="7"/>
      <c r="P9" s="7"/>
      <c r="Q9" s="7"/>
    </row>
    <row r="10" spans="2:19" ht="46.25" customHeight="1" x14ac:dyDescent="0.2">
      <c r="B10" s="53" t="s">
        <v>9</v>
      </c>
      <c r="C10" s="53" t="s">
        <v>10</v>
      </c>
      <c r="D10" s="72"/>
      <c r="E10" s="52">
        <v>2</v>
      </c>
      <c r="F10" s="78" t="s">
        <v>183</v>
      </c>
      <c r="G10" s="74"/>
      <c r="H10" s="88">
        <f>H9+1</f>
        <v>2</v>
      </c>
      <c r="I10" s="78" t="s">
        <v>43</v>
      </c>
      <c r="J10" s="84" t="s">
        <v>6</v>
      </c>
      <c r="K10" s="15"/>
      <c r="O10" s="70"/>
      <c r="P10" s="70"/>
      <c r="Q10" s="70"/>
      <c r="R10" s="70"/>
    </row>
    <row r="11" spans="2:19" ht="16" x14ac:dyDescent="0.2">
      <c r="B11" s="53" t="s">
        <v>11</v>
      </c>
      <c r="C11" s="53" t="s">
        <v>12</v>
      </c>
      <c r="D11" s="72"/>
      <c r="E11" s="52">
        <v>3</v>
      </c>
      <c r="F11" s="78" t="s">
        <v>184</v>
      </c>
      <c r="G11" s="72"/>
      <c r="H11" s="88">
        <f t="shared" ref="H11:H13" si="1">H10+1</f>
        <v>3</v>
      </c>
      <c r="I11" s="78" t="s">
        <v>46</v>
      </c>
      <c r="J11" s="84" t="s">
        <v>3</v>
      </c>
      <c r="K11" s="15"/>
      <c r="O11" s="70"/>
      <c r="P11" s="70"/>
      <c r="Q11" s="71"/>
      <c r="R11" s="70"/>
    </row>
    <row r="12" spans="2:19" ht="37.25" customHeight="1" x14ac:dyDescent="0.2">
      <c r="B12" s="53" t="s">
        <v>13</v>
      </c>
      <c r="C12" s="53" t="s">
        <v>14</v>
      </c>
      <c r="D12" s="72"/>
      <c r="E12" s="52">
        <v>4</v>
      </c>
      <c r="F12" s="78" t="s">
        <v>188</v>
      </c>
      <c r="G12" s="72"/>
      <c r="H12" s="88">
        <f t="shared" si="1"/>
        <v>4</v>
      </c>
      <c r="I12" s="81" t="s">
        <v>108</v>
      </c>
      <c r="J12" s="84" t="s">
        <v>30</v>
      </c>
      <c r="K12" s="15"/>
      <c r="O12" s="70"/>
      <c r="P12" s="70"/>
      <c r="Q12" s="71"/>
      <c r="R12" s="70"/>
    </row>
    <row r="13" spans="2:19" ht="16" x14ac:dyDescent="0.2">
      <c r="B13" s="53" t="s">
        <v>157</v>
      </c>
      <c r="C13" s="126">
        <v>0.19</v>
      </c>
      <c r="D13" s="72"/>
      <c r="E13" s="80">
        <v>5</v>
      </c>
      <c r="F13" s="138" t="s">
        <v>185</v>
      </c>
      <c r="G13" s="72"/>
      <c r="H13" s="88">
        <f t="shared" si="1"/>
        <v>5</v>
      </c>
      <c r="I13" s="81" t="s">
        <v>198</v>
      </c>
      <c r="J13" s="79" t="s">
        <v>1</v>
      </c>
      <c r="K13" s="15"/>
      <c r="L13" s="1"/>
      <c r="M13" s="1"/>
      <c r="N13" s="72"/>
      <c r="O13" s="70"/>
      <c r="P13" s="70"/>
      <c r="Q13" s="71"/>
      <c r="R13" s="70"/>
    </row>
    <row r="14" spans="2:19" ht="16" x14ac:dyDescent="0.2">
      <c r="B14" s="53"/>
      <c r="C14" s="53"/>
      <c r="D14" s="72"/>
      <c r="E14" s="72"/>
      <c r="F14" s="73"/>
      <c r="G14" s="15"/>
      <c r="H14" s="88">
        <v>6</v>
      </c>
      <c r="I14" s="135" t="s">
        <v>99</v>
      </c>
      <c r="J14" s="136" t="s">
        <v>1</v>
      </c>
      <c r="K14" s="15"/>
      <c r="L14" s="14"/>
      <c r="M14" s="14"/>
      <c r="N14" s="15"/>
      <c r="O14" s="11"/>
      <c r="P14" s="11"/>
      <c r="Q14" s="85"/>
      <c r="R14" s="70"/>
    </row>
    <row r="15" spans="2:19" x14ac:dyDescent="0.2">
      <c r="B15" s="53"/>
      <c r="C15" s="53"/>
      <c r="D15" s="72"/>
      <c r="E15" s="72"/>
      <c r="F15" s="15"/>
      <c r="G15" s="15"/>
      <c r="H15" s="15"/>
      <c r="I15" s="15"/>
      <c r="J15" s="15"/>
      <c r="K15" s="15"/>
      <c r="L15" s="14"/>
      <c r="M15" s="14"/>
      <c r="N15" s="15"/>
      <c r="O15" s="7"/>
      <c r="P15" s="7"/>
      <c r="Q15" s="7"/>
    </row>
    <row r="16" spans="2:19" ht="89.5" customHeight="1" x14ac:dyDescent="0.2">
      <c r="B16" s="53"/>
      <c r="C16" s="53"/>
      <c r="D16" s="72"/>
      <c r="E16" s="72"/>
      <c r="F16" s="15"/>
      <c r="G16" s="15"/>
      <c r="H16" s="15"/>
      <c r="I16" s="15"/>
      <c r="J16" s="15"/>
      <c r="K16" s="15"/>
      <c r="L16" s="14"/>
      <c r="M16" s="14"/>
      <c r="N16" s="15"/>
      <c r="O16" s="7"/>
      <c r="P16" s="7"/>
      <c r="Q16" s="7"/>
    </row>
    <row r="17" spans="1:17" x14ac:dyDescent="0.2">
      <c r="A17" s="10"/>
      <c r="B17" s="53"/>
      <c r="C17" s="53"/>
      <c r="D17" s="82"/>
      <c r="E17" s="72"/>
      <c r="F17" s="15"/>
      <c r="G17" s="15"/>
      <c r="H17" s="15"/>
      <c r="I17" s="15"/>
      <c r="J17" s="15"/>
      <c r="K17" s="15"/>
      <c r="L17" s="15"/>
      <c r="M17" s="15"/>
      <c r="N17" s="15"/>
      <c r="O17" s="7"/>
      <c r="P17" s="68"/>
      <c r="Q17" s="7"/>
    </row>
    <row r="18" spans="1:17" x14ac:dyDescent="0.2">
      <c r="A18" s="10"/>
      <c r="B18" s="72"/>
      <c r="C18" s="72"/>
      <c r="D18" s="72"/>
      <c r="E18" s="72"/>
      <c r="F18" s="15"/>
      <c r="G18" s="15"/>
      <c r="H18" s="15"/>
      <c r="I18" s="15"/>
      <c r="J18" s="15"/>
      <c r="K18" s="15"/>
      <c r="L18" s="15"/>
      <c r="M18" s="15"/>
      <c r="N18" s="15"/>
      <c r="O18" s="11"/>
      <c r="P18" s="69"/>
      <c r="Q18" s="86"/>
    </row>
    <row r="19" spans="1:17" x14ac:dyDescent="0.2">
      <c r="A19" s="10"/>
      <c r="B19" s="72"/>
      <c r="C19" s="72"/>
      <c r="D19" s="72"/>
      <c r="E19" s="72"/>
      <c r="F19" s="15"/>
      <c r="G19" s="15"/>
      <c r="H19" s="15"/>
      <c r="I19" s="15"/>
      <c r="J19" s="15"/>
      <c r="K19" s="15"/>
      <c r="L19" s="15"/>
      <c r="M19" s="15"/>
      <c r="N19" s="15"/>
      <c r="O19" s="11"/>
      <c r="P19" s="69"/>
      <c r="Q19" s="86"/>
    </row>
    <row r="20" spans="1:17" x14ac:dyDescent="0.2">
      <c r="B20" s="72"/>
      <c r="C20" s="72"/>
      <c r="D20" s="72"/>
      <c r="E20" s="72"/>
      <c r="F20" s="16"/>
      <c r="G20" s="15"/>
      <c r="H20" s="15"/>
      <c r="I20" s="15"/>
      <c r="J20" s="15"/>
      <c r="K20" s="15"/>
      <c r="L20" s="15"/>
      <c r="M20" s="15"/>
      <c r="N20" s="15"/>
      <c r="O20" s="11"/>
      <c r="P20" s="69"/>
      <c r="Q20" s="86"/>
    </row>
    <row r="21" spans="1:17" x14ac:dyDescent="0.2">
      <c r="B21" s="72"/>
      <c r="C21" s="72"/>
      <c r="D21" s="72"/>
      <c r="F21" s="17"/>
      <c r="G21" s="15"/>
      <c r="H21" s="16"/>
      <c r="I21" s="7"/>
      <c r="J21" s="7"/>
      <c r="K21" s="15"/>
      <c r="L21" s="15"/>
      <c r="M21" s="15"/>
      <c r="N21" s="15"/>
      <c r="O21" s="11"/>
      <c r="P21" s="69"/>
      <c r="Q21" s="86"/>
    </row>
    <row r="22" spans="1:17" ht="41.25" customHeight="1" x14ac:dyDescent="0.2">
      <c r="B22" s="72"/>
      <c r="C22" s="72"/>
      <c r="D22" s="72"/>
      <c r="F22" s="16"/>
      <c r="G22" s="16"/>
      <c r="H22" s="17"/>
      <c r="I22" s="7"/>
      <c r="J22" s="7"/>
      <c r="K22" s="15"/>
      <c r="L22" s="15"/>
      <c r="M22" s="15"/>
      <c r="N22" s="15"/>
      <c r="O22" s="7"/>
      <c r="P22" s="7"/>
      <c r="Q22" s="87"/>
    </row>
    <row r="23" spans="1:17" x14ac:dyDescent="0.2">
      <c r="F23" s="7"/>
      <c r="G23" s="14"/>
      <c r="H23" s="16"/>
      <c r="I23" s="7"/>
      <c r="J23" s="7"/>
      <c r="K23" s="7"/>
      <c r="L23" s="7"/>
      <c r="M23" s="7"/>
      <c r="N23" s="7"/>
      <c r="O23" s="7"/>
      <c r="P23" s="7"/>
      <c r="Q23" s="87"/>
    </row>
    <row r="24" spans="1:17" x14ac:dyDescent="0.2">
      <c r="F24" s="7"/>
      <c r="G24" s="18"/>
      <c r="H24" s="7"/>
      <c r="I24" s="7"/>
      <c r="J24" s="7"/>
      <c r="K24" s="7"/>
      <c r="L24" s="7"/>
      <c r="M24" s="7"/>
      <c r="N24" s="7"/>
      <c r="O24" s="7"/>
      <c r="P24" s="7"/>
      <c r="Q24" s="87"/>
    </row>
    <row r="25" spans="1:17" x14ac:dyDescent="0.2"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87"/>
    </row>
    <row r="26" spans="1:17" x14ac:dyDescent="0.2">
      <c r="G26" s="7"/>
      <c r="K26" s="7"/>
      <c r="L26" s="7"/>
      <c r="M26" s="7"/>
      <c r="N26" s="7"/>
      <c r="O26" s="7"/>
      <c r="P26" s="7"/>
      <c r="Q26" s="87"/>
    </row>
    <row r="27" spans="1:17" x14ac:dyDescent="0.2">
      <c r="G27" s="7"/>
      <c r="K27" s="7"/>
      <c r="L27" s="7"/>
      <c r="M27" s="7"/>
      <c r="N27" s="7"/>
      <c r="O27" s="7"/>
      <c r="P27" s="7"/>
      <c r="Q27" s="87"/>
    </row>
  </sheetData>
  <mergeCells count="5">
    <mergeCell ref="H1:J1"/>
    <mergeCell ref="E7:F7"/>
    <mergeCell ref="H7:J7"/>
    <mergeCell ref="B3:J3"/>
    <mergeCell ref="B5:J5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A721BF-53C2-4721-BC8E-F4AC49B4AAE1}">
          <x14:formula1>
            <xm:f>'Datos generales'!$B$8:$B$1048576</xm:f>
          </x14:formula1>
          <xm:sqref>J9:J1048576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48F3-FAE2-4D05-9726-08B2B350F69F}">
  <sheetPr codeName="Hoja2">
    <tabColor rgb="FF00B050"/>
  </sheetPr>
  <dimension ref="A1:AE1000"/>
  <sheetViews>
    <sheetView showGridLines="0" topLeftCell="G1" zoomScale="90" zoomScaleNormal="70" workbookViewId="0">
      <selection activeCell="V15" sqref="V15"/>
    </sheetView>
  </sheetViews>
  <sheetFormatPr baseColWidth="10" defaultColWidth="8.83203125" defaultRowHeight="15" x14ac:dyDescent="0.2"/>
  <cols>
    <col min="1" max="1" width="11.1640625" style="151" bestFit="1" customWidth="1"/>
    <col min="2" max="2" width="7.1640625" style="151" bestFit="1" customWidth="1"/>
    <col min="3" max="3" width="31.5" style="151" bestFit="1" customWidth="1"/>
    <col min="4" max="4" width="13.83203125" style="151" bestFit="1" customWidth="1"/>
    <col min="5" max="6" width="15.33203125" style="151" bestFit="1" customWidth="1"/>
    <col min="7" max="7" width="11.1640625" style="151" bestFit="1" customWidth="1"/>
    <col min="8" max="8" width="16" style="151" bestFit="1" customWidth="1"/>
    <col min="9" max="9" width="21.83203125" style="151" bestFit="1" customWidth="1"/>
    <col min="10" max="10" width="15.5" style="151" bestFit="1" customWidth="1"/>
    <col min="11" max="11" width="18.5" style="151" bestFit="1" customWidth="1"/>
    <col min="12" max="12" width="28" bestFit="1" customWidth="1"/>
    <col min="13" max="13" width="11.83203125" style="115" bestFit="1" customWidth="1"/>
    <col min="14" max="14" width="12.83203125" bestFit="1" customWidth="1"/>
    <col min="15" max="15" width="24.6640625" bestFit="1" customWidth="1"/>
    <col min="16" max="16" width="14.1640625" style="151" bestFit="1" customWidth="1"/>
    <col min="17" max="17" width="27" style="151" bestFit="1" customWidth="1"/>
    <col min="18" max="18" width="8.33203125" style="151" bestFit="1" customWidth="1"/>
    <col min="19" max="19" width="16.83203125" style="168" bestFit="1" customWidth="1"/>
    <col min="20" max="20" width="16.6640625" style="151" bestFit="1" customWidth="1"/>
    <col min="21" max="21" width="14.1640625" style="151" bestFit="1" customWidth="1"/>
    <col min="22" max="22" width="22.1640625" style="151" bestFit="1" customWidth="1"/>
    <col min="23" max="23" width="11.6640625" style="151" bestFit="1" customWidth="1"/>
    <col min="24" max="24" width="13.5" style="168" customWidth="1"/>
    <col min="25" max="25" width="16.6640625" style="151" bestFit="1" customWidth="1"/>
    <col min="26" max="26" width="18" style="151" bestFit="1" customWidth="1"/>
    <col min="27" max="27" width="35.6640625" style="151" bestFit="1" customWidth="1"/>
    <col min="28" max="28" width="12.1640625" style="151" bestFit="1" customWidth="1"/>
    <col min="29" max="29" width="38.1640625" style="151" bestFit="1" customWidth="1"/>
    <col min="30" max="30" width="23" style="151" bestFit="1" customWidth="1"/>
    <col min="31" max="31" width="47.83203125" style="151" bestFit="1" customWidth="1"/>
    <col min="32" max="32" width="33.33203125" style="151" bestFit="1" customWidth="1"/>
    <col min="33" max="16384" width="8.83203125" style="151"/>
  </cols>
  <sheetData>
    <row r="1" spans="1:31" s="107" customFormat="1" x14ac:dyDescent="0.2">
      <c r="A1" s="44"/>
      <c r="B1" s="44"/>
      <c r="C1" s="45"/>
      <c r="F1" s="108"/>
      <c r="G1" s="109"/>
      <c r="H1" s="110"/>
      <c r="I1" s="111"/>
      <c r="K1" s="113"/>
      <c r="L1" s="112"/>
      <c r="M1" s="124"/>
      <c r="N1" s="124"/>
      <c r="O1" s="124"/>
      <c r="P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</row>
    <row r="2" spans="1:31" customFormat="1" ht="52.25" customHeight="1" x14ac:dyDescent="0.2">
      <c r="C2" s="39"/>
      <c r="F2" s="49"/>
      <c r="G2" s="10"/>
      <c r="H2" s="46"/>
      <c r="I2" s="47"/>
      <c r="K2" s="39"/>
      <c r="L2" s="3"/>
      <c r="M2" s="115"/>
      <c r="N2" s="115"/>
      <c r="O2" s="115"/>
      <c r="P2" s="115"/>
      <c r="Q2" s="121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</row>
    <row r="3" spans="1:31" customFormat="1" ht="61.25" customHeight="1" x14ac:dyDescent="0.2">
      <c r="A3" s="125"/>
      <c r="B3" s="13"/>
      <c r="C3" s="150" t="s">
        <v>206</v>
      </c>
      <c r="D3" s="13"/>
      <c r="E3" s="13"/>
      <c r="F3" s="122"/>
      <c r="G3" s="123"/>
      <c r="H3" s="105"/>
      <c r="I3" s="105"/>
      <c r="J3" s="13"/>
      <c r="K3" s="38"/>
      <c r="L3" s="13"/>
      <c r="M3" s="114"/>
      <c r="N3" s="114"/>
      <c r="O3" s="114"/>
      <c r="P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</row>
    <row r="4" spans="1:31" ht="27" customHeight="1" x14ac:dyDescent="0.25">
      <c r="L4" s="159" t="s">
        <v>212</v>
      </c>
      <c r="Q4" s="159" t="s">
        <v>246</v>
      </c>
      <c r="V4" s="159" t="s">
        <v>253</v>
      </c>
      <c r="W4"/>
      <c r="X4" s="115"/>
      <c r="Y4"/>
    </row>
    <row r="5" spans="1:31" ht="35.5" customHeight="1" x14ac:dyDescent="0.2">
      <c r="A5" s="153" t="s">
        <v>155</v>
      </c>
      <c r="B5" s="153" t="s">
        <v>156</v>
      </c>
      <c r="C5" s="153" t="s">
        <v>182</v>
      </c>
      <c r="D5" s="153" t="s">
        <v>183</v>
      </c>
      <c r="E5" s="153" t="s">
        <v>184</v>
      </c>
      <c r="F5" s="153" t="s">
        <v>188</v>
      </c>
      <c r="G5" s="153" t="s">
        <v>207</v>
      </c>
      <c r="H5" s="153" t="s">
        <v>202</v>
      </c>
      <c r="I5" s="153" t="s">
        <v>203</v>
      </c>
      <c r="J5" s="153" t="s">
        <v>204</v>
      </c>
      <c r="L5" s="160" t="s">
        <v>210</v>
      </c>
      <c r="M5" s="166" t="s">
        <v>62</v>
      </c>
      <c r="N5" s="160" t="s">
        <v>152</v>
      </c>
      <c r="O5" s="160" t="s">
        <v>213</v>
      </c>
      <c r="Q5" s="160" t="s">
        <v>47</v>
      </c>
      <c r="R5" s="160" t="s">
        <v>247</v>
      </c>
      <c r="S5" s="166" t="s">
        <v>248</v>
      </c>
      <c r="T5" s="160" t="s">
        <v>254</v>
      </c>
      <c r="V5" s="160" t="s">
        <v>47</v>
      </c>
      <c r="W5" s="160" t="s">
        <v>155</v>
      </c>
      <c r="X5" s="166" t="s">
        <v>104</v>
      </c>
      <c r="Y5" s="160" t="s">
        <v>255</v>
      </c>
    </row>
    <row r="6" spans="1:31" x14ac:dyDescent="0.2">
      <c r="A6" s="152" t="s">
        <v>40</v>
      </c>
      <c r="B6" s="154" t="s">
        <v>6</v>
      </c>
      <c r="C6" s="155">
        <v>7517.0701754385964</v>
      </c>
      <c r="D6" s="155">
        <v>15430.824561403508</v>
      </c>
      <c r="E6" s="155">
        <v>6786.4736842105267</v>
      </c>
      <c r="F6" s="155">
        <v>4319.4385964912281</v>
      </c>
      <c r="G6" s="155">
        <v>0</v>
      </c>
      <c r="H6" s="155" t="s">
        <v>208</v>
      </c>
      <c r="I6" s="155">
        <v>32351116.666666664</v>
      </c>
      <c r="J6" s="155">
        <v>38497828.833333328</v>
      </c>
      <c r="L6" s="161" t="s">
        <v>108</v>
      </c>
      <c r="Q6" s="162" t="s">
        <v>182</v>
      </c>
      <c r="V6" s="162" t="s">
        <v>207</v>
      </c>
      <c r="W6"/>
      <c r="X6" s="115"/>
      <c r="Y6"/>
    </row>
    <row r="7" spans="1:31" x14ac:dyDescent="0.2">
      <c r="A7" s="152" t="s">
        <v>43</v>
      </c>
      <c r="B7" s="154" t="s">
        <v>6</v>
      </c>
      <c r="C7" s="155">
        <v>0</v>
      </c>
      <c r="D7" s="155">
        <v>0</v>
      </c>
      <c r="E7" s="155">
        <v>0</v>
      </c>
      <c r="F7" s="155">
        <v>0</v>
      </c>
      <c r="G7" s="155">
        <v>606.46105263157892</v>
      </c>
      <c r="H7" s="155" t="s">
        <v>244</v>
      </c>
      <c r="I7" s="155">
        <v>576138</v>
      </c>
      <c r="J7" s="155">
        <v>685604.22</v>
      </c>
      <c r="L7" s="162" t="s">
        <v>184</v>
      </c>
      <c r="Q7" s="151" t="s">
        <v>189</v>
      </c>
      <c r="R7" s="151" t="s">
        <v>46</v>
      </c>
      <c r="S7" s="168">
        <v>8</v>
      </c>
      <c r="T7" s="151" t="s">
        <v>249</v>
      </c>
      <c r="V7" t="s">
        <v>200</v>
      </c>
      <c r="W7" t="s">
        <v>198</v>
      </c>
      <c r="X7" s="115">
        <v>5</v>
      </c>
      <c r="Y7" t="s">
        <v>252</v>
      </c>
    </row>
    <row r="8" spans="1:31" x14ac:dyDescent="0.2">
      <c r="A8" s="152" t="s">
        <v>46</v>
      </c>
      <c r="B8" s="154" t="s">
        <v>3</v>
      </c>
      <c r="C8" s="155">
        <v>6.666666666666667</v>
      </c>
      <c r="D8" s="155">
        <v>11.666666666666668</v>
      </c>
      <c r="E8" s="155">
        <v>8.3333333333333339</v>
      </c>
      <c r="F8" s="155">
        <v>6.666666666666667</v>
      </c>
      <c r="G8" s="155">
        <v>0</v>
      </c>
      <c r="H8" s="155" t="s">
        <v>245</v>
      </c>
      <c r="I8" s="155">
        <v>1280306.6666666667</v>
      </c>
      <c r="J8" s="155">
        <v>1523564.9333333333</v>
      </c>
      <c r="L8" s="156" t="s">
        <v>66</v>
      </c>
      <c r="V8"/>
      <c r="W8"/>
      <c r="X8" s="115"/>
      <c r="Y8"/>
    </row>
    <row r="9" spans="1:31" x14ac:dyDescent="0.2">
      <c r="A9" s="152" t="s">
        <v>108</v>
      </c>
      <c r="B9" s="154" t="s">
        <v>30</v>
      </c>
      <c r="C9" s="155">
        <v>0</v>
      </c>
      <c r="D9" s="155">
        <v>0</v>
      </c>
      <c r="E9" s="155">
        <v>1853.6585365853655</v>
      </c>
      <c r="F9" s="155">
        <v>0</v>
      </c>
      <c r="G9" s="155">
        <v>0</v>
      </c>
      <c r="H9" s="155" t="s">
        <v>209</v>
      </c>
      <c r="I9" s="155">
        <v>1853.6585365853655</v>
      </c>
      <c r="J9" s="155">
        <v>2205.853658536585</v>
      </c>
      <c r="L9" s="157" t="s">
        <v>48</v>
      </c>
      <c r="M9" s="115">
        <v>3</v>
      </c>
      <c r="N9" t="s">
        <v>214</v>
      </c>
      <c r="O9" t="s">
        <v>209</v>
      </c>
      <c r="Q9" s="162" t="s">
        <v>183</v>
      </c>
      <c r="V9"/>
      <c r="W9"/>
      <c r="X9" s="115"/>
      <c r="Y9"/>
    </row>
    <row r="10" spans="1:31" x14ac:dyDescent="0.2">
      <c r="A10" s="152" t="s">
        <v>198</v>
      </c>
      <c r="B10" s="154" t="s">
        <v>1</v>
      </c>
      <c r="C10" s="155">
        <v>0</v>
      </c>
      <c r="D10" s="155">
        <v>0</v>
      </c>
      <c r="E10" s="155">
        <v>0</v>
      </c>
      <c r="F10" s="155">
        <v>0</v>
      </c>
      <c r="G10" s="155">
        <v>10</v>
      </c>
      <c r="H10" s="155" t="s">
        <v>252</v>
      </c>
      <c r="I10" s="155">
        <v>10</v>
      </c>
      <c r="J10" s="155">
        <v>11.899999999999999</v>
      </c>
      <c r="L10" s="163" t="s">
        <v>184</v>
      </c>
      <c r="M10" s="167">
        <v>3</v>
      </c>
      <c r="N10" s="158"/>
      <c r="O10" s="158" t="s">
        <v>215</v>
      </c>
      <c r="Q10" s="151" t="s">
        <v>189</v>
      </c>
      <c r="R10" s="151" t="s">
        <v>46</v>
      </c>
      <c r="S10" s="168">
        <v>14</v>
      </c>
      <c r="T10" s="151" t="s">
        <v>250</v>
      </c>
      <c r="V10"/>
      <c r="W10"/>
      <c r="X10" s="115"/>
      <c r="Y10"/>
    </row>
    <row r="11" spans="1:31" x14ac:dyDescent="0.2">
      <c r="A11" s="152" t="s">
        <v>99</v>
      </c>
      <c r="B11" s="154" t="s">
        <v>1</v>
      </c>
      <c r="C11" s="155">
        <v>0</v>
      </c>
      <c r="D11" s="155">
        <v>0</v>
      </c>
      <c r="E11" s="155">
        <v>0</v>
      </c>
      <c r="F11" s="155">
        <v>0</v>
      </c>
      <c r="G11" s="155">
        <v>640153.33333333337</v>
      </c>
      <c r="H11" s="155" t="s">
        <v>243</v>
      </c>
      <c r="I11" s="155">
        <v>640153.33333333337</v>
      </c>
      <c r="J11" s="155">
        <v>761782.46666666667</v>
      </c>
      <c r="V11"/>
      <c r="W11"/>
      <c r="X11" s="115"/>
      <c r="Y11"/>
    </row>
    <row r="12" spans="1:31" x14ac:dyDescent="0.2">
      <c r="L12" s="164" t="s">
        <v>40</v>
      </c>
      <c r="Q12" s="162" t="s">
        <v>184</v>
      </c>
      <c r="V12"/>
      <c r="W12"/>
      <c r="X12" s="115"/>
      <c r="Y12"/>
    </row>
    <row r="13" spans="1:31" x14ac:dyDescent="0.2">
      <c r="L13" s="162" t="s">
        <v>184</v>
      </c>
      <c r="Q13" s="151" t="s">
        <v>189</v>
      </c>
      <c r="R13" s="151" t="s">
        <v>46</v>
      </c>
      <c r="S13" s="168">
        <v>10</v>
      </c>
      <c r="T13" s="151" t="s">
        <v>251</v>
      </c>
      <c r="V13"/>
      <c r="W13"/>
      <c r="X13" s="115"/>
      <c r="Y13"/>
    </row>
    <row r="14" spans="1:31" x14ac:dyDescent="0.2">
      <c r="L14" s="156" t="s">
        <v>66</v>
      </c>
      <c r="V14"/>
      <c r="W14"/>
      <c r="X14" s="115"/>
      <c r="Y14"/>
    </row>
    <row r="15" spans="1:31" x14ac:dyDescent="0.2">
      <c r="L15" s="157" t="s">
        <v>170</v>
      </c>
      <c r="M15" s="115">
        <v>1</v>
      </c>
      <c r="N15" t="s">
        <v>216</v>
      </c>
      <c r="O15" t="s">
        <v>216</v>
      </c>
      <c r="Q15" s="162" t="s">
        <v>188</v>
      </c>
      <c r="V15"/>
      <c r="W15"/>
      <c r="X15" s="115"/>
      <c r="Y15"/>
    </row>
    <row r="16" spans="1:31" x14ac:dyDescent="0.2">
      <c r="L16" s="157" t="s">
        <v>162</v>
      </c>
      <c r="M16" s="115">
        <v>0</v>
      </c>
      <c r="N16" t="s">
        <v>217</v>
      </c>
      <c r="O16" t="s">
        <v>217</v>
      </c>
      <c r="Q16" s="151" t="s">
        <v>189</v>
      </c>
      <c r="R16" s="151" t="s">
        <v>46</v>
      </c>
      <c r="S16" s="168">
        <v>8</v>
      </c>
      <c r="T16" s="151" t="s">
        <v>249</v>
      </c>
      <c r="V16"/>
      <c r="W16"/>
      <c r="X16" s="115"/>
      <c r="Y16"/>
    </row>
    <row r="17" spans="12:25" x14ac:dyDescent="0.2">
      <c r="L17" s="157" t="s">
        <v>168</v>
      </c>
      <c r="M17" s="115">
        <v>1</v>
      </c>
      <c r="N17" t="s">
        <v>218</v>
      </c>
      <c r="O17" t="s">
        <v>218</v>
      </c>
      <c r="V17"/>
      <c r="W17"/>
      <c r="X17" s="115"/>
      <c r="Y17"/>
    </row>
    <row r="18" spans="12:25" x14ac:dyDescent="0.2">
      <c r="L18" s="157" t="s">
        <v>159</v>
      </c>
      <c r="M18" s="115">
        <v>1</v>
      </c>
      <c r="N18" t="s">
        <v>219</v>
      </c>
      <c r="O18" t="s">
        <v>219</v>
      </c>
      <c r="Q18" s="162" t="s">
        <v>207</v>
      </c>
      <c r="V18"/>
      <c r="W18"/>
      <c r="X18" s="115"/>
      <c r="Y18"/>
    </row>
    <row r="19" spans="12:25" x14ac:dyDescent="0.2">
      <c r="L19" s="156" t="s">
        <v>99</v>
      </c>
      <c r="Q19" s="151" t="s">
        <v>194</v>
      </c>
      <c r="R19" s="151" t="s">
        <v>43</v>
      </c>
      <c r="S19" s="168">
        <v>20</v>
      </c>
      <c r="T19" s="151" t="s">
        <v>244</v>
      </c>
      <c r="V19"/>
      <c r="W19"/>
      <c r="X19" s="115"/>
      <c r="Y19"/>
    </row>
    <row r="20" spans="12:25" x14ac:dyDescent="0.2">
      <c r="L20" s="157" t="s">
        <v>163</v>
      </c>
      <c r="M20" s="115">
        <v>0</v>
      </c>
      <c r="N20" t="s">
        <v>217</v>
      </c>
      <c r="O20" t="s">
        <v>217</v>
      </c>
      <c r="Q20" s="151" t="s">
        <v>195</v>
      </c>
      <c r="R20" s="151" t="s">
        <v>99</v>
      </c>
      <c r="S20" s="168">
        <v>20</v>
      </c>
      <c r="T20" s="151" t="s">
        <v>243</v>
      </c>
      <c r="V20"/>
      <c r="W20"/>
      <c r="X20" s="115"/>
      <c r="Y20"/>
    </row>
    <row r="21" spans="12:25" x14ac:dyDescent="0.2">
      <c r="L21" s="157" t="s">
        <v>111</v>
      </c>
      <c r="M21" s="115">
        <v>4</v>
      </c>
      <c r="N21" t="s">
        <v>220</v>
      </c>
      <c r="O21" t="s">
        <v>221</v>
      </c>
      <c r="V21"/>
      <c r="W21"/>
      <c r="X21" s="115"/>
      <c r="Y21"/>
    </row>
    <row r="22" spans="12:25" x14ac:dyDescent="0.2">
      <c r="L22" s="157" t="s">
        <v>192</v>
      </c>
      <c r="M22" s="115">
        <v>3</v>
      </c>
      <c r="N22" t="s">
        <v>222</v>
      </c>
      <c r="O22" t="s">
        <v>223</v>
      </c>
      <c r="V22"/>
      <c r="W22"/>
      <c r="X22" s="115"/>
      <c r="Y22"/>
    </row>
    <row r="23" spans="12:25" x14ac:dyDescent="0.2">
      <c r="L23" s="163" t="s">
        <v>184</v>
      </c>
      <c r="M23" s="167">
        <v>10</v>
      </c>
      <c r="N23" s="158"/>
      <c r="O23" s="158" t="s">
        <v>224</v>
      </c>
      <c r="V23"/>
      <c r="W23"/>
      <c r="X23" s="115"/>
      <c r="Y23"/>
    </row>
    <row r="24" spans="12:25" x14ac:dyDescent="0.2">
      <c r="V24"/>
      <c r="W24"/>
      <c r="X24" s="115"/>
      <c r="Y24"/>
    </row>
    <row r="25" spans="12:25" x14ac:dyDescent="0.2">
      <c r="L25" s="162" t="s">
        <v>188</v>
      </c>
      <c r="V25"/>
      <c r="W25"/>
      <c r="X25" s="115"/>
      <c r="Y25"/>
    </row>
    <row r="26" spans="12:25" x14ac:dyDescent="0.2">
      <c r="L26" s="156" t="s">
        <v>65</v>
      </c>
      <c r="V26"/>
      <c r="W26"/>
      <c r="X26" s="115"/>
      <c r="Y26"/>
    </row>
    <row r="27" spans="12:25" x14ac:dyDescent="0.2">
      <c r="L27" s="157" t="s">
        <v>48</v>
      </c>
      <c r="M27" s="115">
        <v>2</v>
      </c>
      <c r="N27" t="s">
        <v>225</v>
      </c>
      <c r="O27" t="s">
        <v>226</v>
      </c>
      <c r="V27"/>
      <c r="W27"/>
      <c r="X27" s="115"/>
      <c r="Y27"/>
    </row>
    <row r="28" spans="12:25" x14ac:dyDescent="0.2">
      <c r="L28" s="156" t="s">
        <v>66</v>
      </c>
      <c r="V28"/>
      <c r="W28"/>
      <c r="X28" s="115"/>
      <c r="Y28"/>
    </row>
    <row r="29" spans="12:25" x14ac:dyDescent="0.2">
      <c r="L29" s="157" t="s">
        <v>165</v>
      </c>
      <c r="M29" s="115">
        <v>2</v>
      </c>
      <c r="N29" t="s">
        <v>227</v>
      </c>
      <c r="O29" t="s">
        <v>228</v>
      </c>
      <c r="V29"/>
      <c r="W29"/>
      <c r="X29" s="115"/>
      <c r="Y29"/>
    </row>
    <row r="30" spans="12:25" x14ac:dyDescent="0.2">
      <c r="L30" s="157" t="s">
        <v>168</v>
      </c>
      <c r="M30" s="115">
        <v>1</v>
      </c>
      <c r="N30" t="s">
        <v>218</v>
      </c>
      <c r="O30" t="s">
        <v>218</v>
      </c>
      <c r="V30"/>
      <c r="W30"/>
      <c r="X30" s="115"/>
      <c r="Y30"/>
    </row>
    <row r="31" spans="12:25" x14ac:dyDescent="0.2">
      <c r="L31" s="157" t="s">
        <v>192</v>
      </c>
      <c r="M31" s="115">
        <v>2</v>
      </c>
      <c r="N31" t="s">
        <v>222</v>
      </c>
      <c r="O31" t="s">
        <v>229</v>
      </c>
      <c r="V31"/>
      <c r="W31"/>
      <c r="X31" s="115"/>
      <c r="Y31"/>
    </row>
    <row r="32" spans="12:25" x14ac:dyDescent="0.2">
      <c r="L32" s="156" t="s">
        <v>99</v>
      </c>
      <c r="V32"/>
      <c r="W32"/>
      <c r="X32" s="115"/>
      <c r="Y32"/>
    </row>
    <row r="33" spans="12:25" x14ac:dyDescent="0.2">
      <c r="L33" s="157" t="s">
        <v>111</v>
      </c>
      <c r="M33" s="115">
        <v>2</v>
      </c>
      <c r="N33" t="s">
        <v>220</v>
      </c>
      <c r="O33" t="s">
        <v>230</v>
      </c>
      <c r="V33"/>
      <c r="W33"/>
      <c r="X33" s="115"/>
      <c r="Y33"/>
    </row>
    <row r="34" spans="12:25" x14ac:dyDescent="0.2">
      <c r="L34" s="163" t="s">
        <v>188</v>
      </c>
      <c r="M34" s="167">
        <v>9</v>
      </c>
      <c r="N34" s="158"/>
      <c r="O34" s="158" t="s">
        <v>231</v>
      </c>
      <c r="V34"/>
      <c r="W34"/>
      <c r="X34" s="115"/>
      <c r="Y34"/>
    </row>
    <row r="35" spans="12:25" x14ac:dyDescent="0.2">
      <c r="V35"/>
      <c r="W35"/>
      <c r="X35" s="115"/>
      <c r="Y35"/>
    </row>
    <row r="36" spans="12:25" x14ac:dyDescent="0.2">
      <c r="L36" s="162" t="s">
        <v>182</v>
      </c>
      <c r="V36"/>
      <c r="W36"/>
      <c r="X36" s="115"/>
      <c r="Y36"/>
    </row>
    <row r="37" spans="12:25" x14ac:dyDescent="0.2">
      <c r="L37" s="156" t="s">
        <v>65</v>
      </c>
      <c r="V37"/>
      <c r="W37"/>
      <c r="X37" s="115"/>
      <c r="Y37"/>
    </row>
    <row r="38" spans="12:25" x14ac:dyDescent="0.2">
      <c r="L38" s="157" t="s">
        <v>48</v>
      </c>
      <c r="M38" s="115">
        <v>2</v>
      </c>
      <c r="N38" t="s">
        <v>225</v>
      </c>
      <c r="O38" t="s">
        <v>226</v>
      </c>
      <c r="V38"/>
      <c r="W38"/>
      <c r="X38" s="115"/>
      <c r="Y38"/>
    </row>
    <row r="39" spans="12:25" x14ac:dyDescent="0.2">
      <c r="L39" s="156" t="s">
        <v>66</v>
      </c>
      <c r="V39"/>
      <c r="W39"/>
      <c r="X39" s="115"/>
      <c r="Y39"/>
    </row>
    <row r="40" spans="12:25" x14ac:dyDescent="0.2">
      <c r="L40" s="157" t="s">
        <v>159</v>
      </c>
      <c r="M40" s="115">
        <v>1</v>
      </c>
      <c r="N40" t="s">
        <v>219</v>
      </c>
      <c r="O40" t="s">
        <v>219</v>
      </c>
      <c r="V40"/>
      <c r="W40"/>
      <c r="X40" s="115"/>
      <c r="Y40"/>
    </row>
    <row r="41" spans="12:25" x14ac:dyDescent="0.2">
      <c r="L41" s="157" t="s">
        <v>168</v>
      </c>
      <c r="M41" s="115">
        <v>2</v>
      </c>
      <c r="N41" t="s">
        <v>218</v>
      </c>
      <c r="O41" t="s">
        <v>232</v>
      </c>
      <c r="V41"/>
      <c r="W41"/>
      <c r="X41" s="115"/>
      <c r="Y41"/>
    </row>
    <row r="42" spans="12:25" x14ac:dyDescent="0.2">
      <c r="L42" s="157" t="s">
        <v>176</v>
      </c>
      <c r="M42" s="115">
        <v>1</v>
      </c>
      <c r="N42" t="s">
        <v>233</v>
      </c>
      <c r="O42" t="s">
        <v>233</v>
      </c>
      <c r="V42"/>
      <c r="W42"/>
      <c r="X42" s="115"/>
      <c r="Y42"/>
    </row>
    <row r="43" spans="12:25" x14ac:dyDescent="0.2">
      <c r="L43" s="156" t="s">
        <v>99</v>
      </c>
      <c r="V43"/>
      <c r="W43"/>
      <c r="X43" s="115"/>
      <c r="Y43"/>
    </row>
    <row r="44" spans="12:25" x14ac:dyDescent="0.2">
      <c r="L44" s="157" t="s">
        <v>111</v>
      </c>
      <c r="M44" s="115">
        <v>4</v>
      </c>
      <c r="N44" t="s">
        <v>220</v>
      </c>
      <c r="O44" t="s">
        <v>221</v>
      </c>
      <c r="V44"/>
      <c r="W44"/>
      <c r="X44" s="115"/>
      <c r="Y44"/>
    </row>
    <row r="45" spans="12:25" x14ac:dyDescent="0.2">
      <c r="L45" s="157" t="s">
        <v>192</v>
      </c>
      <c r="M45" s="115">
        <v>2</v>
      </c>
      <c r="N45" t="s">
        <v>222</v>
      </c>
      <c r="O45" t="s">
        <v>229</v>
      </c>
      <c r="V45"/>
      <c r="W45"/>
      <c r="X45" s="115"/>
      <c r="Y45"/>
    </row>
    <row r="46" spans="12:25" x14ac:dyDescent="0.2">
      <c r="L46" s="163" t="s">
        <v>182</v>
      </c>
      <c r="M46" s="167">
        <v>12</v>
      </c>
      <c r="N46" s="158"/>
      <c r="O46" s="158" t="s">
        <v>234</v>
      </c>
      <c r="V46"/>
      <c r="W46"/>
      <c r="X46" s="115"/>
      <c r="Y46"/>
    </row>
    <row r="47" spans="12:25" x14ac:dyDescent="0.2">
      <c r="V47"/>
      <c r="W47"/>
      <c r="X47" s="115"/>
      <c r="Y47"/>
    </row>
    <row r="48" spans="12:25" x14ac:dyDescent="0.2">
      <c r="L48" s="162" t="s">
        <v>183</v>
      </c>
      <c r="V48"/>
      <c r="W48"/>
      <c r="X48" s="115"/>
      <c r="Y48"/>
    </row>
    <row r="49" spans="12:25" x14ac:dyDescent="0.2">
      <c r="L49" s="156" t="s">
        <v>65</v>
      </c>
      <c r="V49"/>
      <c r="W49"/>
      <c r="X49" s="115"/>
      <c r="Y49"/>
    </row>
    <row r="50" spans="12:25" x14ac:dyDescent="0.2">
      <c r="L50" s="157" t="s">
        <v>48</v>
      </c>
      <c r="M50" s="115">
        <v>4</v>
      </c>
      <c r="N50" t="s">
        <v>225</v>
      </c>
      <c r="O50" t="s">
        <v>235</v>
      </c>
      <c r="V50"/>
      <c r="W50"/>
      <c r="X50" s="115"/>
      <c r="Y50"/>
    </row>
    <row r="51" spans="12:25" x14ac:dyDescent="0.2">
      <c r="L51" s="156" t="s">
        <v>66</v>
      </c>
      <c r="V51"/>
      <c r="W51"/>
      <c r="X51" s="115"/>
      <c r="Y51"/>
    </row>
    <row r="52" spans="12:25" x14ac:dyDescent="0.2">
      <c r="L52" s="157" t="s">
        <v>165</v>
      </c>
      <c r="M52" s="115">
        <v>1</v>
      </c>
      <c r="N52" t="s">
        <v>227</v>
      </c>
      <c r="O52" t="s">
        <v>227</v>
      </c>
      <c r="V52"/>
      <c r="W52"/>
      <c r="X52" s="115"/>
      <c r="Y52"/>
    </row>
    <row r="53" spans="12:25" x14ac:dyDescent="0.2">
      <c r="L53" s="157" t="s">
        <v>180</v>
      </c>
      <c r="M53" s="115">
        <v>2</v>
      </c>
      <c r="N53" t="s">
        <v>236</v>
      </c>
      <c r="O53" t="s">
        <v>237</v>
      </c>
      <c r="V53"/>
      <c r="W53"/>
      <c r="X53" s="115"/>
      <c r="Y53"/>
    </row>
    <row r="54" spans="12:25" x14ac:dyDescent="0.2">
      <c r="L54" s="157" t="s">
        <v>178</v>
      </c>
      <c r="M54" s="115">
        <v>1</v>
      </c>
      <c r="N54" t="s">
        <v>218</v>
      </c>
      <c r="O54" t="s">
        <v>218</v>
      </c>
      <c r="V54"/>
      <c r="W54"/>
      <c r="X54" s="115"/>
      <c r="Y54"/>
    </row>
    <row r="55" spans="12:25" x14ac:dyDescent="0.2">
      <c r="L55" s="157" t="s">
        <v>159</v>
      </c>
      <c r="M55" s="115">
        <v>1</v>
      </c>
      <c r="N55" t="s">
        <v>219</v>
      </c>
      <c r="O55" t="s">
        <v>219</v>
      </c>
      <c r="V55"/>
      <c r="W55"/>
      <c r="X55" s="115"/>
      <c r="Y55"/>
    </row>
    <row r="56" spans="12:25" x14ac:dyDescent="0.2">
      <c r="L56" s="157" t="s">
        <v>172</v>
      </c>
      <c r="M56" s="115">
        <v>1</v>
      </c>
      <c r="N56" t="s">
        <v>238</v>
      </c>
      <c r="O56" t="s">
        <v>238</v>
      </c>
      <c r="V56"/>
      <c r="W56"/>
      <c r="X56" s="115"/>
      <c r="Y56"/>
    </row>
    <row r="57" spans="12:25" x14ac:dyDescent="0.2">
      <c r="L57" s="157" t="s">
        <v>168</v>
      </c>
      <c r="M57" s="115">
        <v>1</v>
      </c>
      <c r="N57" t="s">
        <v>218</v>
      </c>
      <c r="O57" t="s">
        <v>218</v>
      </c>
      <c r="V57"/>
      <c r="W57"/>
      <c r="X57" s="115"/>
      <c r="Y57"/>
    </row>
    <row r="58" spans="12:25" x14ac:dyDescent="0.2">
      <c r="L58" s="156" t="s">
        <v>99</v>
      </c>
      <c r="V58"/>
      <c r="W58"/>
      <c r="X58" s="115"/>
      <c r="Y58"/>
    </row>
    <row r="59" spans="12:25" x14ac:dyDescent="0.2">
      <c r="L59" s="157" t="s">
        <v>111</v>
      </c>
      <c r="M59" s="115">
        <v>7</v>
      </c>
      <c r="N59" t="s">
        <v>220</v>
      </c>
      <c r="O59" t="s">
        <v>239</v>
      </c>
      <c r="V59"/>
      <c r="W59"/>
      <c r="X59" s="115"/>
      <c r="Y59"/>
    </row>
    <row r="60" spans="12:25" x14ac:dyDescent="0.2">
      <c r="L60" s="157" t="s">
        <v>192</v>
      </c>
      <c r="M60" s="115">
        <v>4</v>
      </c>
      <c r="N60" t="s">
        <v>222</v>
      </c>
      <c r="O60" t="s">
        <v>240</v>
      </c>
      <c r="V60"/>
      <c r="W60"/>
      <c r="X60" s="115"/>
      <c r="Y60"/>
    </row>
    <row r="61" spans="12:25" x14ac:dyDescent="0.2">
      <c r="L61" s="163" t="s">
        <v>183</v>
      </c>
      <c r="M61" s="167">
        <v>22</v>
      </c>
      <c r="N61" s="158"/>
      <c r="O61" s="158" t="s">
        <v>241</v>
      </c>
      <c r="V61"/>
      <c r="W61"/>
      <c r="X61" s="115"/>
      <c r="Y61"/>
    </row>
    <row r="62" spans="12:25" x14ac:dyDescent="0.2">
      <c r="V62"/>
      <c r="W62"/>
      <c r="X62" s="115"/>
      <c r="Y62"/>
    </row>
    <row r="63" spans="12:25" x14ac:dyDescent="0.2">
      <c r="L63" s="165" t="s">
        <v>211</v>
      </c>
      <c r="M63" s="167">
        <v>56</v>
      </c>
      <c r="N63" s="158"/>
      <c r="O63" s="158" t="s">
        <v>242</v>
      </c>
      <c r="V63"/>
      <c r="W63"/>
      <c r="X63" s="115"/>
      <c r="Y63"/>
    </row>
    <row r="64" spans="12:25" x14ac:dyDescent="0.2">
      <c r="V64"/>
      <c r="W64"/>
      <c r="X64" s="115"/>
      <c r="Y64"/>
    </row>
    <row r="65" spans="22:25" x14ac:dyDescent="0.2">
      <c r="V65"/>
      <c r="W65"/>
      <c r="X65" s="115"/>
      <c r="Y65"/>
    </row>
    <row r="66" spans="22:25" x14ac:dyDescent="0.2">
      <c r="V66"/>
      <c r="W66"/>
      <c r="X66" s="115"/>
      <c r="Y66"/>
    </row>
    <row r="67" spans="22:25" x14ac:dyDescent="0.2">
      <c r="V67"/>
      <c r="W67"/>
      <c r="X67" s="115"/>
      <c r="Y67"/>
    </row>
    <row r="68" spans="22:25" x14ac:dyDescent="0.2">
      <c r="V68"/>
      <c r="W68"/>
      <c r="X68" s="115"/>
      <c r="Y68"/>
    </row>
    <row r="69" spans="22:25" x14ac:dyDescent="0.2">
      <c r="V69"/>
      <c r="W69"/>
      <c r="X69" s="115"/>
      <c r="Y69"/>
    </row>
    <row r="70" spans="22:25" x14ac:dyDescent="0.2">
      <c r="V70"/>
      <c r="W70"/>
      <c r="X70" s="115"/>
      <c r="Y70"/>
    </row>
    <row r="71" spans="22:25" x14ac:dyDescent="0.2">
      <c r="V71"/>
      <c r="W71"/>
      <c r="X71" s="115"/>
      <c r="Y71"/>
    </row>
    <row r="72" spans="22:25" x14ac:dyDescent="0.2">
      <c r="V72"/>
      <c r="W72"/>
      <c r="X72" s="115"/>
      <c r="Y72"/>
    </row>
    <row r="73" spans="22:25" x14ac:dyDescent="0.2">
      <c r="V73"/>
      <c r="W73"/>
      <c r="X73" s="115"/>
      <c r="Y73"/>
    </row>
    <row r="74" spans="22:25" x14ac:dyDescent="0.2">
      <c r="V74"/>
      <c r="W74"/>
      <c r="X74" s="115"/>
      <c r="Y74"/>
    </row>
    <row r="75" spans="22:25" x14ac:dyDescent="0.2">
      <c r="V75"/>
      <c r="W75"/>
      <c r="X75" s="115"/>
      <c r="Y75"/>
    </row>
    <row r="76" spans="22:25" x14ac:dyDescent="0.2">
      <c r="V76"/>
      <c r="W76"/>
      <c r="X76" s="115"/>
      <c r="Y76"/>
    </row>
    <row r="77" spans="22:25" x14ac:dyDescent="0.2">
      <c r="V77"/>
      <c r="W77"/>
      <c r="X77" s="115"/>
      <c r="Y77"/>
    </row>
    <row r="78" spans="22:25" x14ac:dyDescent="0.2">
      <c r="V78"/>
      <c r="W78"/>
      <c r="X78" s="115"/>
      <c r="Y78"/>
    </row>
    <row r="79" spans="22:25" x14ac:dyDescent="0.2">
      <c r="V79"/>
      <c r="W79"/>
      <c r="X79" s="115"/>
      <c r="Y79"/>
    </row>
    <row r="80" spans="22:25" x14ac:dyDescent="0.2">
      <c r="V80"/>
      <c r="W80"/>
      <c r="X80" s="115"/>
      <c r="Y80"/>
    </row>
    <row r="81" spans="22:25" x14ac:dyDescent="0.2">
      <c r="V81"/>
      <c r="W81"/>
      <c r="X81" s="115"/>
      <c r="Y81"/>
    </row>
    <row r="82" spans="22:25" x14ac:dyDescent="0.2">
      <c r="V82"/>
      <c r="W82"/>
      <c r="X82" s="115"/>
      <c r="Y82"/>
    </row>
    <row r="83" spans="22:25" x14ac:dyDescent="0.2">
      <c r="V83"/>
      <c r="W83"/>
      <c r="X83" s="115"/>
      <c r="Y83"/>
    </row>
    <row r="84" spans="22:25" x14ac:dyDescent="0.2">
      <c r="V84"/>
      <c r="W84"/>
      <c r="X84" s="115"/>
      <c r="Y84"/>
    </row>
    <row r="85" spans="22:25" x14ac:dyDescent="0.2">
      <c r="V85"/>
      <c r="W85"/>
      <c r="X85" s="115"/>
      <c r="Y85"/>
    </row>
    <row r="86" spans="22:25" x14ac:dyDescent="0.2">
      <c r="V86"/>
      <c r="W86"/>
      <c r="X86" s="115"/>
      <c r="Y86"/>
    </row>
    <row r="87" spans="22:25" x14ac:dyDescent="0.2">
      <c r="V87"/>
      <c r="W87"/>
      <c r="X87" s="115"/>
      <c r="Y87"/>
    </row>
    <row r="88" spans="22:25" x14ac:dyDescent="0.2">
      <c r="V88"/>
      <c r="W88"/>
      <c r="X88" s="115"/>
      <c r="Y88"/>
    </row>
    <row r="89" spans="22:25" x14ac:dyDescent="0.2">
      <c r="V89"/>
      <c r="W89"/>
      <c r="X89" s="115"/>
      <c r="Y89"/>
    </row>
    <row r="90" spans="22:25" x14ac:dyDescent="0.2">
      <c r="V90"/>
      <c r="W90"/>
      <c r="X90" s="115"/>
      <c r="Y90"/>
    </row>
    <row r="91" spans="22:25" x14ac:dyDescent="0.2">
      <c r="V91"/>
      <c r="W91"/>
      <c r="X91" s="115"/>
      <c r="Y91"/>
    </row>
    <row r="92" spans="22:25" x14ac:dyDescent="0.2">
      <c r="V92"/>
      <c r="W92"/>
      <c r="X92" s="115"/>
      <c r="Y92"/>
    </row>
    <row r="93" spans="22:25" x14ac:dyDescent="0.2">
      <c r="V93"/>
      <c r="W93"/>
      <c r="X93" s="115"/>
      <c r="Y93"/>
    </row>
    <row r="94" spans="22:25" x14ac:dyDescent="0.2">
      <c r="V94"/>
      <c r="W94"/>
      <c r="X94" s="115"/>
      <c r="Y94"/>
    </row>
    <row r="95" spans="22:25" x14ac:dyDescent="0.2">
      <c r="V95"/>
      <c r="W95"/>
      <c r="X95" s="115"/>
      <c r="Y95"/>
    </row>
    <row r="96" spans="22:25" x14ac:dyDescent="0.2">
      <c r="V96"/>
      <c r="W96"/>
      <c r="X96" s="115"/>
      <c r="Y96"/>
    </row>
    <row r="97" spans="22:25" x14ac:dyDescent="0.2">
      <c r="V97"/>
      <c r="W97"/>
      <c r="X97" s="115"/>
      <c r="Y97"/>
    </row>
    <row r="98" spans="22:25" x14ac:dyDescent="0.2">
      <c r="V98"/>
      <c r="W98"/>
      <c r="X98" s="115"/>
      <c r="Y98"/>
    </row>
    <row r="99" spans="22:25" x14ac:dyDescent="0.2">
      <c r="V99"/>
      <c r="W99"/>
      <c r="X99" s="115"/>
      <c r="Y99"/>
    </row>
    <row r="100" spans="22:25" x14ac:dyDescent="0.2">
      <c r="V100"/>
      <c r="W100"/>
      <c r="X100" s="115"/>
      <c r="Y100"/>
    </row>
    <row r="101" spans="22:25" x14ac:dyDescent="0.2">
      <c r="V101"/>
      <c r="W101"/>
      <c r="X101" s="115"/>
      <c r="Y101"/>
    </row>
    <row r="102" spans="22:25" x14ac:dyDescent="0.2">
      <c r="V102"/>
      <c r="W102"/>
      <c r="X102" s="115"/>
      <c r="Y102"/>
    </row>
    <row r="103" spans="22:25" x14ac:dyDescent="0.2">
      <c r="V103"/>
      <c r="W103"/>
      <c r="X103" s="115"/>
      <c r="Y103"/>
    </row>
    <row r="104" spans="22:25" x14ac:dyDescent="0.2">
      <c r="V104"/>
      <c r="W104"/>
      <c r="X104" s="115"/>
      <c r="Y104"/>
    </row>
    <row r="105" spans="22:25" x14ac:dyDescent="0.2">
      <c r="V105"/>
      <c r="W105"/>
      <c r="X105" s="115"/>
      <c r="Y105"/>
    </row>
    <row r="106" spans="22:25" x14ac:dyDescent="0.2">
      <c r="V106"/>
      <c r="W106"/>
      <c r="X106" s="115"/>
      <c r="Y106"/>
    </row>
    <row r="107" spans="22:25" x14ac:dyDescent="0.2">
      <c r="V107"/>
      <c r="W107"/>
      <c r="X107" s="115"/>
      <c r="Y107"/>
    </row>
    <row r="108" spans="22:25" x14ac:dyDescent="0.2">
      <c r="V108"/>
      <c r="W108"/>
      <c r="X108" s="115"/>
      <c r="Y108"/>
    </row>
    <row r="109" spans="22:25" x14ac:dyDescent="0.2">
      <c r="V109"/>
      <c r="W109"/>
      <c r="X109" s="115"/>
      <c r="Y109"/>
    </row>
    <row r="110" spans="22:25" x14ac:dyDescent="0.2">
      <c r="V110"/>
      <c r="W110"/>
      <c r="X110" s="115"/>
      <c r="Y110"/>
    </row>
    <row r="111" spans="22:25" x14ac:dyDescent="0.2">
      <c r="V111"/>
      <c r="W111"/>
      <c r="X111" s="115"/>
      <c r="Y111"/>
    </row>
    <row r="112" spans="22:25" x14ac:dyDescent="0.2">
      <c r="V112"/>
      <c r="W112"/>
      <c r="X112" s="115"/>
      <c r="Y112"/>
    </row>
    <row r="113" spans="22:25" x14ac:dyDescent="0.2">
      <c r="V113"/>
      <c r="W113"/>
      <c r="X113" s="115"/>
      <c r="Y113"/>
    </row>
    <row r="114" spans="22:25" x14ac:dyDescent="0.2">
      <c r="V114"/>
      <c r="W114"/>
      <c r="X114" s="115"/>
      <c r="Y114"/>
    </row>
    <row r="115" spans="22:25" x14ac:dyDescent="0.2">
      <c r="V115"/>
      <c r="W115"/>
      <c r="X115" s="115"/>
      <c r="Y115"/>
    </row>
    <row r="116" spans="22:25" x14ac:dyDescent="0.2">
      <c r="V116"/>
      <c r="W116"/>
      <c r="X116" s="115"/>
      <c r="Y116"/>
    </row>
    <row r="117" spans="22:25" x14ac:dyDescent="0.2">
      <c r="V117"/>
      <c r="W117"/>
      <c r="X117" s="115"/>
      <c r="Y117"/>
    </row>
    <row r="118" spans="22:25" x14ac:dyDescent="0.2">
      <c r="V118"/>
      <c r="W118"/>
      <c r="X118" s="115"/>
      <c r="Y118"/>
    </row>
    <row r="119" spans="22:25" x14ac:dyDescent="0.2">
      <c r="V119"/>
      <c r="W119"/>
      <c r="X119" s="115"/>
      <c r="Y119"/>
    </row>
    <row r="120" spans="22:25" x14ac:dyDescent="0.2">
      <c r="V120"/>
      <c r="W120"/>
      <c r="X120" s="115"/>
      <c r="Y120"/>
    </row>
    <row r="121" spans="22:25" x14ac:dyDescent="0.2">
      <c r="V121"/>
      <c r="W121"/>
      <c r="X121" s="115"/>
      <c r="Y121"/>
    </row>
    <row r="122" spans="22:25" x14ac:dyDescent="0.2">
      <c r="V122"/>
      <c r="W122"/>
      <c r="X122" s="115"/>
      <c r="Y122"/>
    </row>
    <row r="123" spans="22:25" x14ac:dyDescent="0.2">
      <c r="V123"/>
      <c r="W123"/>
      <c r="X123" s="115"/>
      <c r="Y123"/>
    </row>
    <row r="124" spans="22:25" x14ac:dyDescent="0.2">
      <c r="V124"/>
      <c r="W124"/>
      <c r="X124" s="115"/>
      <c r="Y124"/>
    </row>
    <row r="125" spans="22:25" x14ac:dyDescent="0.2">
      <c r="V125"/>
      <c r="W125"/>
      <c r="X125" s="115"/>
      <c r="Y125"/>
    </row>
    <row r="126" spans="22:25" x14ac:dyDescent="0.2">
      <c r="V126"/>
      <c r="W126"/>
      <c r="X126" s="115"/>
      <c r="Y126"/>
    </row>
    <row r="127" spans="22:25" x14ac:dyDescent="0.2">
      <c r="V127"/>
      <c r="W127"/>
      <c r="X127" s="115"/>
      <c r="Y127"/>
    </row>
    <row r="128" spans="22:25" x14ac:dyDescent="0.2">
      <c r="V128"/>
      <c r="W128"/>
      <c r="X128" s="115"/>
      <c r="Y128"/>
    </row>
    <row r="129" spans="22:25" x14ac:dyDescent="0.2">
      <c r="V129"/>
      <c r="W129"/>
      <c r="X129" s="115"/>
      <c r="Y129"/>
    </row>
    <row r="130" spans="22:25" x14ac:dyDescent="0.2">
      <c r="V130"/>
      <c r="W130"/>
      <c r="X130" s="115"/>
      <c r="Y130"/>
    </row>
    <row r="131" spans="22:25" x14ac:dyDescent="0.2">
      <c r="V131"/>
      <c r="W131"/>
      <c r="X131" s="115"/>
      <c r="Y131"/>
    </row>
    <row r="132" spans="22:25" x14ac:dyDescent="0.2">
      <c r="V132"/>
      <c r="W132"/>
      <c r="X132" s="115"/>
      <c r="Y132"/>
    </row>
    <row r="133" spans="22:25" x14ac:dyDescent="0.2">
      <c r="V133"/>
      <c r="W133"/>
      <c r="X133" s="115"/>
      <c r="Y133"/>
    </row>
    <row r="134" spans="22:25" x14ac:dyDescent="0.2">
      <c r="V134"/>
      <c r="W134"/>
      <c r="X134" s="115"/>
      <c r="Y134"/>
    </row>
    <row r="135" spans="22:25" x14ac:dyDescent="0.2">
      <c r="V135"/>
      <c r="W135"/>
      <c r="X135" s="115"/>
      <c r="Y135"/>
    </row>
    <row r="136" spans="22:25" x14ac:dyDescent="0.2">
      <c r="V136"/>
      <c r="W136"/>
      <c r="X136" s="115"/>
      <c r="Y136"/>
    </row>
    <row r="137" spans="22:25" x14ac:dyDescent="0.2">
      <c r="V137"/>
      <c r="W137"/>
      <c r="X137" s="115"/>
      <c r="Y137"/>
    </row>
    <row r="138" spans="22:25" x14ac:dyDescent="0.2">
      <c r="V138"/>
      <c r="W138"/>
      <c r="X138" s="115"/>
      <c r="Y138"/>
    </row>
    <row r="139" spans="22:25" x14ac:dyDescent="0.2">
      <c r="V139"/>
      <c r="W139"/>
      <c r="X139" s="115"/>
      <c r="Y139"/>
    </row>
    <row r="140" spans="22:25" x14ac:dyDescent="0.2">
      <c r="V140"/>
      <c r="W140"/>
      <c r="X140" s="115"/>
      <c r="Y140"/>
    </row>
    <row r="141" spans="22:25" x14ac:dyDescent="0.2">
      <c r="V141"/>
      <c r="W141"/>
      <c r="X141" s="115"/>
      <c r="Y141"/>
    </row>
    <row r="142" spans="22:25" x14ac:dyDescent="0.2">
      <c r="V142"/>
      <c r="W142"/>
      <c r="X142" s="115"/>
      <c r="Y142"/>
    </row>
    <row r="143" spans="22:25" x14ac:dyDescent="0.2">
      <c r="V143"/>
      <c r="W143"/>
      <c r="X143" s="115"/>
      <c r="Y143"/>
    </row>
    <row r="144" spans="22:25" x14ac:dyDescent="0.2">
      <c r="V144"/>
      <c r="W144"/>
      <c r="X144" s="115"/>
      <c r="Y144"/>
    </row>
    <row r="145" spans="22:25" x14ac:dyDescent="0.2">
      <c r="V145"/>
      <c r="W145"/>
      <c r="X145" s="115"/>
      <c r="Y145"/>
    </row>
    <row r="146" spans="22:25" x14ac:dyDescent="0.2">
      <c r="V146"/>
      <c r="W146"/>
      <c r="X146" s="115"/>
      <c r="Y146"/>
    </row>
    <row r="147" spans="22:25" x14ac:dyDescent="0.2">
      <c r="V147"/>
      <c r="W147"/>
      <c r="X147" s="115"/>
      <c r="Y147"/>
    </row>
    <row r="148" spans="22:25" x14ac:dyDescent="0.2">
      <c r="V148"/>
      <c r="W148"/>
      <c r="X148" s="115"/>
      <c r="Y148"/>
    </row>
    <row r="149" spans="22:25" x14ac:dyDescent="0.2">
      <c r="V149"/>
      <c r="W149"/>
      <c r="X149" s="115"/>
      <c r="Y149"/>
    </row>
    <row r="150" spans="22:25" x14ac:dyDescent="0.2">
      <c r="V150"/>
      <c r="W150"/>
      <c r="X150" s="115"/>
      <c r="Y150"/>
    </row>
    <row r="151" spans="22:25" x14ac:dyDescent="0.2">
      <c r="V151"/>
      <c r="W151"/>
      <c r="X151" s="115"/>
      <c r="Y151"/>
    </row>
    <row r="152" spans="22:25" x14ac:dyDescent="0.2">
      <c r="V152"/>
      <c r="W152"/>
      <c r="X152" s="115"/>
      <c r="Y152"/>
    </row>
    <row r="153" spans="22:25" x14ac:dyDescent="0.2">
      <c r="V153"/>
      <c r="W153"/>
      <c r="X153" s="115"/>
      <c r="Y153"/>
    </row>
    <row r="154" spans="22:25" x14ac:dyDescent="0.2">
      <c r="V154"/>
      <c r="W154"/>
      <c r="X154" s="115"/>
      <c r="Y154"/>
    </row>
    <row r="155" spans="22:25" x14ac:dyDescent="0.2">
      <c r="V155"/>
      <c r="W155"/>
      <c r="X155" s="115"/>
      <c r="Y155"/>
    </row>
    <row r="156" spans="22:25" x14ac:dyDescent="0.2">
      <c r="V156"/>
      <c r="W156"/>
      <c r="X156" s="115"/>
      <c r="Y156"/>
    </row>
    <row r="157" spans="22:25" x14ac:dyDescent="0.2">
      <c r="V157"/>
      <c r="W157"/>
      <c r="X157" s="115"/>
      <c r="Y157"/>
    </row>
    <row r="158" spans="22:25" x14ac:dyDescent="0.2">
      <c r="V158"/>
      <c r="W158"/>
      <c r="X158" s="115"/>
      <c r="Y158"/>
    </row>
    <row r="159" spans="22:25" x14ac:dyDescent="0.2">
      <c r="V159"/>
      <c r="W159"/>
      <c r="X159" s="115"/>
      <c r="Y159"/>
    </row>
    <row r="160" spans="22:25" x14ac:dyDescent="0.2">
      <c r="V160"/>
      <c r="W160"/>
      <c r="X160" s="115"/>
      <c r="Y160"/>
    </row>
    <row r="161" spans="22:25" x14ac:dyDescent="0.2">
      <c r="V161"/>
      <c r="W161"/>
      <c r="X161" s="115"/>
      <c r="Y161"/>
    </row>
    <row r="162" spans="22:25" x14ac:dyDescent="0.2">
      <c r="V162"/>
      <c r="W162"/>
      <c r="X162" s="115"/>
      <c r="Y162"/>
    </row>
    <row r="163" spans="22:25" x14ac:dyDescent="0.2">
      <c r="V163"/>
      <c r="W163"/>
      <c r="X163" s="115"/>
      <c r="Y163"/>
    </row>
    <row r="164" spans="22:25" x14ac:dyDescent="0.2">
      <c r="V164"/>
      <c r="W164"/>
      <c r="X164" s="115"/>
      <c r="Y164"/>
    </row>
    <row r="165" spans="22:25" x14ac:dyDescent="0.2">
      <c r="V165"/>
      <c r="W165"/>
      <c r="X165" s="115"/>
      <c r="Y165"/>
    </row>
    <row r="166" spans="22:25" x14ac:dyDescent="0.2">
      <c r="V166"/>
      <c r="W166"/>
      <c r="X166" s="115"/>
      <c r="Y166"/>
    </row>
    <row r="167" spans="22:25" x14ac:dyDescent="0.2">
      <c r="V167"/>
      <c r="W167"/>
      <c r="X167" s="115"/>
      <c r="Y167"/>
    </row>
    <row r="168" spans="22:25" x14ac:dyDescent="0.2">
      <c r="V168"/>
      <c r="W168"/>
      <c r="X168" s="115"/>
      <c r="Y168"/>
    </row>
    <row r="169" spans="22:25" x14ac:dyDescent="0.2">
      <c r="V169"/>
      <c r="W169"/>
      <c r="X169" s="115"/>
      <c r="Y169"/>
    </row>
    <row r="170" spans="22:25" x14ac:dyDescent="0.2">
      <c r="V170"/>
      <c r="W170"/>
      <c r="X170" s="115"/>
      <c r="Y170"/>
    </row>
    <row r="171" spans="22:25" x14ac:dyDescent="0.2">
      <c r="V171"/>
      <c r="W171"/>
      <c r="X171" s="115"/>
      <c r="Y171"/>
    </row>
    <row r="172" spans="22:25" x14ac:dyDescent="0.2">
      <c r="V172"/>
      <c r="W172"/>
      <c r="X172" s="115"/>
      <c r="Y172"/>
    </row>
    <row r="173" spans="22:25" x14ac:dyDescent="0.2">
      <c r="V173"/>
      <c r="W173"/>
      <c r="X173" s="115"/>
      <c r="Y173"/>
    </row>
    <row r="174" spans="22:25" x14ac:dyDescent="0.2">
      <c r="V174"/>
      <c r="W174"/>
      <c r="X174" s="115"/>
      <c r="Y174"/>
    </row>
    <row r="175" spans="22:25" x14ac:dyDescent="0.2">
      <c r="V175"/>
      <c r="W175"/>
      <c r="X175" s="115"/>
      <c r="Y175"/>
    </row>
    <row r="176" spans="22:25" x14ac:dyDescent="0.2">
      <c r="V176"/>
      <c r="W176"/>
      <c r="X176" s="115"/>
      <c r="Y176"/>
    </row>
    <row r="177" spans="22:25" x14ac:dyDescent="0.2">
      <c r="V177"/>
      <c r="W177"/>
      <c r="X177" s="115"/>
      <c r="Y177"/>
    </row>
    <row r="178" spans="22:25" x14ac:dyDescent="0.2">
      <c r="V178"/>
      <c r="W178"/>
      <c r="X178" s="115"/>
      <c r="Y178"/>
    </row>
    <row r="179" spans="22:25" x14ac:dyDescent="0.2">
      <c r="V179"/>
      <c r="W179"/>
      <c r="X179" s="115"/>
      <c r="Y179"/>
    </row>
    <row r="180" spans="22:25" x14ac:dyDescent="0.2">
      <c r="V180"/>
      <c r="W180"/>
      <c r="X180" s="115"/>
      <c r="Y180"/>
    </row>
    <row r="181" spans="22:25" x14ac:dyDescent="0.2">
      <c r="V181"/>
      <c r="W181"/>
      <c r="X181" s="115"/>
      <c r="Y181"/>
    </row>
    <row r="182" spans="22:25" x14ac:dyDescent="0.2">
      <c r="V182"/>
      <c r="W182"/>
      <c r="X182" s="115"/>
      <c r="Y182"/>
    </row>
    <row r="183" spans="22:25" x14ac:dyDescent="0.2">
      <c r="V183"/>
      <c r="W183"/>
      <c r="X183" s="115"/>
      <c r="Y183"/>
    </row>
    <row r="184" spans="22:25" x14ac:dyDescent="0.2">
      <c r="V184"/>
      <c r="W184"/>
      <c r="X184" s="115"/>
      <c r="Y184"/>
    </row>
    <row r="185" spans="22:25" x14ac:dyDescent="0.2">
      <c r="V185"/>
      <c r="W185"/>
      <c r="X185" s="115"/>
      <c r="Y185"/>
    </row>
    <row r="186" spans="22:25" x14ac:dyDescent="0.2">
      <c r="V186"/>
      <c r="W186"/>
      <c r="X186" s="115"/>
      <c r="Y186"/>
    </row>
    <row r="187" spans="22:25" x14ac:dyDescent="0.2">
      <c r="V187"/>
      <c r="W187"/>
      <c r="X187" s="115"/>
      <c r="Y187"/>
    </row>
    <row r="188" spans="22:25" x14ac:dyDescent="0.2">
      <c r="V188"/>
      <c r="W188"/>
      <c r="X188" s="115"/>
      <c r="Y188"/>
    </row>
    <row r="189" spans="22:25" x14ac:dyDescent="0.2">
      <c r="V189"/>
      <c r="W189"/>
      <c r="X189" s="115"/>
      <c r="Y189"/>
    </row>
    <row r="190" spans="22:25" x14ac:dyDescent="0.2">
      <c r="V190"/>
      <c r="W190"/>
      <c r="X190" s="115"/>
      <c r="Y190"/>
    </row>
    <row r="191" spans="22:25" x14ac:dyDescent="0.2">
      <c r="V191"/>
      <c r="W191"/>
      <c r="X191" s="115"/>
      <c r="Y191"/>
    </row>
    <row r="192" spans="22:25" x14ac:dyDescent="0.2">
      <c r="V192"/>
      <c r="W192"/>
      <c r="X192" s="115"/>
      <c r="Y192"/>
    </row>
    <row r="193" spans="22:25" x14ac:dyDescent="0.2">
      <c r="V193"/>
      <c r="W193"/>
      <c r="X193" s="115"/>
      <c r="Y193"/>
    </row>
    <row r="194" spans="22:25" x14ac:dyDescent="0.2">
      <c r="V194"/>
      <c r="W194"/>
      <c r="X194" s="115"/>
      <c r="Y194"/>
    </row>
    <row r="195" spans="22:25" x14ac:dyDescent="0.2">
      <c r="V195"/>
      <c r="W195"/>
      <c r="X195" s="115"/>
      <c r="Y195"/>
    </row>
    <row r="196" spans="22:25" x14ac:dyDescent="0.2">
      <c r="V196"/>
      <c r="W196"/>
      <c r="X196" s="115"/>
      <c r="Y196"/>
    </row>
    <row r="197" spans="22:25" x14ac:dyDescent="0.2">
      <c r="V197"/>
      <c r="W197"/>
      <c r="X197" s="115"/>
      <c r="Y197"/>
    </row>
    <row r="198" spans="22:25" x14ac:dyDescent="0.2">
      <c r="V198"/>
      <c r="W198"/>
      <c r="X198" s="115"/>
      <c r="Y198"/>
    </row>
    <row r="199" spans="22:25" x14ac:dyDescent="0.2">
      <c r="V199"/>
      <c r="W199"/>
      <c r="X199" s="115"/>
      <c r="Y199"/>
    </row>
    <row r="200" spans="22:25" x14ac:dyDescent="0.2">
      <c r="V200"/>
      <c r="W200"/>
      <c r="X200" s="115"/>
      <c r="Y200"/>
    </row>
    <row r="201" spans="22:25" x14ac:dyDescent="0.2">
      <c r="V201"/>
      <c r="W201"/>
      <c r="X201" s="115"/>
      <c r="Y201"/>
    </row>
    <row r="202" spans="22:25" x14ac:dyDescent="0.2">
      <c r="V202"/>
      <c r="W202"/>
      <c r="X202" s="115"/>
      <c r="Y202"/>
    </row>
    <row r="203" spans="22:25" x14ac:dyDescent="0.2">
      <c r="V203"/>
      <c r="W203"/>
      <c r="X203" s="115"/>
      <c r="Y203"/>
    </row>
    <row r="204" spans="22:25" x14ac:dyDescent="0.2">
      <c r="V204"/>
      <c r="W204"/>
      <c r="X204" s="115"/>
      <c r="Y204"/>
    </row>
    <row r="205" spans="22:25" x14ac:dyDescent="0.2">
      <c r="V205"/>
      <c r="W205"/>
      <c r="X205" s="115"/>
      <c r="Y205"/>
    </row>
    <row r="206" spans="22:25" x14ac:dyDescent="0.2">
      <c r="V206"/>
      <c r="W206"/>
      <c r="X206" s="115"/>
      <c r="Y206"/>
    </row>
    <row r="207" spans="22:25" x14ac:dyDescent="0.2">
      <c r="V207"/>
      <c r="W207"/>
      <c r="X207" s="115"/>
      <c r="Y207"/>
    </row>
    <row r="208" spans="22:25" x14ac:dyDescent="0.2">
      <c r="V208"/>
      <c r="W208"/>
      <c r="X208" s="115"/>
      <c r="Y208"/>
    </row>
    <row r="209" spans="22:25" x14ac:dyDescent="0.2">
      <c r="V209"/>
      <c r="W209"/>
      <c r="X209" s="115"/>
      <c r="Y209"/>
    </row>
    <row r="210" spans="22:25" x14ac:dyDescent="0.2">
      <c r="V210"/>
      <c r="W210"/>
      <c r="X210" s="115"/>
      <c r="Y210"/>
    </row>
    <row r="211" spans="22:25" x14ac:dyDescent="0.2">
      <c r="V211"/>
      <c r="W211"/>
      <c r="X211" s="115"/>
      <c r="Y211"/>
    </row>
    <row r="212" spans="22:25" x14ac:dyDescent="0.2">
      <c r="V212"/>
      <c r="W212"/>
      <c r="X212" s="115"/>
      <c r="Y212"/>
    </row>
    <row r="213" spans="22:25" x14ac:dyDescent="0.2">
      <c r="V213"/>
      <c r="W213"/>
      <c r="X213" s="115"/>
      <c r="Y213"/>
    </row>
    <row r="214" spans="22:25" x14ac:dyDescent="0.2">
      <c r="V214"/>
      <c r="W214"/>
      <c r="X214" s="115"/>
      <c r="Y214"/>
    </row>
    <row r="215" spans="22:25" x14ac:dyDescent="0.2">
      <c r="V215"/>
      <c r="W215"/>
      <c r="X215" s="115"/>
      <c r="Y215"/>
    </row>
    <row r="216" spans="22:25" x14ac:dyDescent="0.2">
      <c r="V216"/>
      <c r="W216"/>
      <c r="X216" s="115"/>
      <c r="Y216"/>
    </row>
    <row r="217" spans="22:25" x14ac:dyDescent="0.2">
      <c r="V217"/>
      <c r="W217"/>
      <c r="X217" s="115"/>
      <c r="Y217"/>
    </row>
    <row r="218" spans="22:25" x14ac:dyDescent="0.2">
      <c r="V218"/>
      <c r="W218"/>
      <c r="X218" s="115"/>
      <c r="Y218"/>
    </row>
    <row r="219" spans="22:25" x14ac:dyDescent="0.2">
      <c r="V219"/>
      <c r="W219"/>
      <c r="X219" s="115"/>
      <c r="Y219"/>
    </row>
    <row r="220" spans="22:25" x14ac:dyDescent="0.2">
      <c r="V220"/>
      <c r="W220"/>
      <c r="X220" s="115"/>
      <c r="Y220"/>
    </row>
    <row r="221" spans="22:25" x14ac:dyDescent="0.2">
      <c r="V221"/>
      <c r="W221"/>
      <c r="X221" s="115"/>
      <c r="Y221"/>
    </row>
    <row r="222" spans="22:25" x14ac:dyDescent="0.2">
      <c r="V222"/>
      <c r="W222"/>
      <c r="X222" s="115"/>
      <c r="Y222"/>
    </row>
    <row r="223" spans="22:25" x14ac:dyDescent="0.2">
      <c r="V223"/>
      <c r="W223"/>
      <c r="X223" s="115"/>
      <c r="Y223"/>
    </row>
    <row r="224" spans="22:25" x14ac:dyDescent="0.2">
      <c r="V224"/>
      <c r="W224"/>
      <c r="X224" s="115"/>
      <c r="Y224"/>
    </row>
    <row r="225" spans="22:25" x14ac:dyDescent="0.2">
      <c r="V225"/>
      <c r="W225"/>
      <c r="X225" s="115"/>
      <c r="Y225"/>
    </row>
    <row r="226" spans="22:25" x14ac:dyDescent="0.2">
      <c r="V226"/>
      <c r="W226"/>
      <c r="X226" s="115"/>
      <c r="Y226"/>
    </row>
    <row r="227" spans="22:25" x14ac:dyDescent="0.2">
      <c r="V227"/>
      <c r="W227"/>
      <c r="X227" s="115"/>
      <c r="Y227"/>
    </row>
    <row r="228" spans="22:25" x14ac:dyDescent="0.2">
      <c r="V228"/>
      <c r="W228"/>
      <c r="X228" s="115"/>
      <c r="Y228"/>
    </row>
    <row r="229" spans="22:25" x14ac:dyDescent="0.2">
      <c r="V229"/>
      <c r="W229"/>
      <c r="X229" s="115"/>
      <c r="Y229"/>
    </row>
    <row r="230" spans="22:25" x14ac:dyDescent="0.2">
      <c r="V230"/>
      <c r="W230"/>
      <c r="X230" s="115"/>
      <c r="Y230"/>
    </row>
    <row r="231" spans="22:25" x14ac:dyDescent="0.2">
      <c r="V231"/>
      <c r="W231"/>
      <c r="X231" s="115"/>
      <c r="Y231"/>
    </row>
    <row r="232" spans="22:25" x14ac:dyDescent="0.2">
      <c r="V232"/>
      <c r="W232"/>
      <c r="X232" s="115"/>
      <c r="Y232"/>
    </row>
    <row r="233" spans="22:25" x14ac:dyDescent="0.2">
      <c r="V233"/>
      <c r="W233"/>
      <c r="X233" s="115"/>
      <c r="Y233"/>
    </row>
    <row r="234" spans="22:25" x14ac:dyDescent="0.2">
      <c r="V234"/>
      <c r="W234"/>
      <c r="X234" s="115"/>
      <c r="Y234"/>
    </row>
    <row r="235" spans="22:25" x14ac:dyDescent="0.2">
      <c r="V235"/>
      <c r="W235"/>
      <c r="X235" s="115"/>
      <c r="Y235"/>
    </row>
    <row r="236" spans="22:25" x14ac:dyDescent="0.2">
      <c r="V236"/>
      <c r="W236"/>
      <c r="X236" s="115"/>
      <c r="Y236"/>
    </row>
    <row r="237" spans="22:25" x14ac:dyDescent="0.2">
      <c r="V237"/>
      <c r="W237"/>
      <c r="X237" s="115"/>
      <c r="Y237"/>
    </row>
    <row r="238" spans="22:25" x14ac:dyDescent="0.2">
      <c r="V238"/>
      <c r="W238"/>
      <c r="X238" s="115"/>
      <c r="Y238"/>
    </row>
    <row r="239" spans="22:25" x14ac:dyDescent="0.2">
      <c r="V239"/>
      <c r="W239"/>
      <c r="X239" s="115"/>
      <c r="Y239"/>
    </row>
    <row r="240" spans="22:25" x14ac:dyDescent="0.2">
      <c r="V240"/>
      <c r="W240"/>
      <c r="X240" s="115"/>
      <c r="Y240"/>
    </row>
    <row r="241" spans="22:25" x14ac:dyDescent="0.2">
      <c r="V241"/>
      <c r="W241"/>
      <c r="X241" s="115"/>
      <c r="Y241"/>
    </row>
    <row r="242" spans="22:25" x14ac:dyDescent="0.2">
      <c r="V242"/>
      <c r="W242"/>
      <c r="X242" s="115"/>
      <c r="Y242"/>
    </row>
    <row r="243" spans="22:25" x14ac:dyDescent="0.2">
      <c r="V243"/>
      <c r="W243"/>
      <c r="X243" s="115"/>
      <c r="Y243"/>
    </row>
    <row r="244" spans="22:25" x14ac:dyDescent="0.2">
      <c r="V244"/>
      <c r="W244"/>
      <c r="X244" s="115"/>
      <c r="Y244"/>
    </row>
    <row r="245" spans="22:25" x14ac:dyDescent="0.2">
      <c r="V245"/>
      <c r="W245"/>
      <c r="X245" s="115"/>
      <c r="Y245"/>
    </row>
    <row r="246" spans="22:25" x14ac:dyDescent="0.2">
      <c r="V246"/>
      <c r="W246"/>
      <c r="X246" s="115"/>
      <c r="Y246"/>
    </row>
    <row r="247" spans="22:25" x14ac:dyDescent="0.2">
      <c r="V247"/>
      <c r="W247"/>
      <c r="X247" s="115"/>
      <c r="Y247"/>
    </row>
    <row r="248" spans="22:25" x14ac:dyDescent="0.2">
      <c r="V248"/>
      <c r="W248"/>
      <c r="X248" s="115"/>
      <c r="Y248"/>
    </row>
    <row r="249" spans="22:25" x14ac:dyDescent="0.2">
      <c r="V249"/>
      <c r="W249"/>
      <c r="X249" s="115"/>
      <c r="Y249"/>
    </row>
    <row r="250" spans="22:25" x14ac:dyDescent="0.2">
      <c r="V250"/>
      <c r="W250"/>
      <c r="X250" s="115"/>
      <c r="Y250"/>
    </row>
    <row r="251" spans="22:25" x14ac:dyDescent="0.2">
      <c r="V251"/>
      <c r="W251"/>
      <c r="X251" s="115"/>
      <c r="Y251"/>
    </row>
    <row r="252" spans="22:25" x14ac:dyDescent="0.2">
      <c r="V252"/>
      <c r="W252"/>
      <c r="X252" s="115"/>
      <c r="Y252"/>
    </row>
    <row r="253" spans="22:25" x14ac:dyDescent="0.2">
      <c r="V253"/>
      <c r="W253"/>
      <c r="X253" s="115"/>
      <c r="Y253"/>
    </row>
    <row r="254" spans="22:25" x14ac:dyDescent="0.2">
      <c r="V254"/>
      <c r="W254"/>
      <c r="X254" s="115"/>
      <c r="Y254"/>
    </row>
    <row r="255" spans="22:25" x14ac:dyDescent="0.2">
      <c r="V255"/>
      <c r="W255"/>
      <c r="X255" s="115"/>
      <c r="Y255"/>
    </row>
    <row r="256" spans="22:25" x14ac:dyDescent="0.2">
      <c r="V256"/>
      <c r="W256"/>
      <c r="X256" s="115"/>
      <c r="Y256"/>
    </row>
    <row r="257" spans="22:25" x14ac:dyDescent="0.2">
      <c r="V257"/>
      <c r="W257"/>
      <c r="X257" s="115"/>
      <c r="Y257"/>
    </row>
    <row r="258" spans="22:25" x14ac:dyDescent="0.2">
      <c r="V258"/>
      <c r="W258"/>
      <c r="X258" s="115"/>
      <c r="Y258"/>
    </row>
    <row r="259" spans="22:25" x14ac:dyDescent="0.2">
      <c r="V259"/>
      <c r="W259"/>
      <c r="X259" s="115"/>
      <c r="Y259"/>
    </row>
    <row r="260" spans="22:25" x14ac:dyDescent="0.2">
      <c r="V260"/>
      <c r="W260"/>
      <c r="X260" s="115"/>
      <c r="Y260"/>
    </row>
    <row r="261" spans="22:25" x14ac:dyDescent="0.2">
      <c r="V261"/>
      <c r="W261"/>
      <c r="X261" s="115"/>
      <c r="Y261"/>
    </row>
    <row r="262" spans="22:25" x14ac:dyDescent="0.2">
      <c r="V262"/>
      <c r="W262"/>
      <c r="X262" s="115"/>
      <c r="Y262"/>
    </row>
    <row r="263" spans="22:25" x14ac:dyDescent="0.2">
      <c r="V263"/>
      <c r="W263"/>
      <c r="X263" s="115"/>
      <c r="Y263"/>
    </row>
    <row r="264" spans="22:25" x14ac:dyDescent="0.2">
      <c r="V264"/>
      <c r="W264"/>
      <c r="X264" s="115"/>
      <c r="Y264"/>
    </row>
    <row r="265" spans="22:25" x14ac:dyDescent="0.2">
      <c r="V265"/>
      <c r="W265"/>
      <c r="X265" s="115"/>
      <c r="Y265"/>
    </row>
    <row r="266" spans="22:25" x14ac:dyDescent="0.2">
      <c r="V266"/>
      <c r="W266"/>
      <c r="X266" s="115"/>
      <c r="Y266"/>
    </row>
    <row r="267" spans="22:25" x14ac:dyDescent="0.2">
      <c r="V267"/>
      <c r="W267"/>
      <c r="X267" s="115"/>
      <c r="Y267"/>
    </row>
    <row r="268" spans="22:25" x14ac:dyDescent="0.2">
      <c r="V268"/>
      <c r="W268"/>
      <c r="X268" s="115"/>
      <c r="Y268"/>
    </row>
    <row r="269" spans="22:25" x14ac:dyDescent="0.2">
      <c r="V269"/>
      <c r="W269"/>
      <c r="X269" s="115"/>
      <c r="Y269"/>
    </row>
    <row r="270" spans="22:25" x14ac:dyDescent="0.2">
      <c r="V270"/>
      <c r="W270"/>
      <c r="X270" s="115"/>
      <c r="Y270"/>
    </row>
    <row r="271" spans="22:25" x14ac:dyDescent="0.2">
      <c r="V271"/>
      <c r="W271"/>
      <c r="X271" s="115"/>
      <c r="Y271"/>
    </row>
    <row r="272" spans="22:25" x14ac:dyDescent="0.2">
      <c r="V272"/>
      <c r="W272"/>
      <c r="X272" s="115"/>
      <c r="Y272"/>
    </row>
    <row r="273" spans="22:25" x14ac:dyDescent="0.2">
      <c r="V273"/>
      <c r="W273"/>
      <c r="X273" s="115"/>
      <c r="Y273"/>
    </row>
    <row r="274" spans="22:25" x14ac:dyDescent="0.2">
      <c r="V274"/>
      <c r="W274"/>
      <c r="X274" s="115"/>
      <c r="Y274"/>
    </row>
    <row r="275" spans="22:25" x14ac:dyDescent="0.2">
      <c r="V275"/>
      <c r="W275"/>
      <c r="X275" s="115"/>
      <c r="Y275"/>
    </row>
    <row r="276" spans="22:25" x14ac:dyDescent="0.2">
      <c r="V276"/>
      <c r="W276"/>
      <c r="X276" s="115"/>
      <c r="Y276"/>
    </row>
    <row r="277" spans="22:25" x14ac:dyDescent="0.2">
      <c r="V277"/>
      <c r="W277"/>
      <c r="X277" s="115"/>
      <c r="Y277"/>
    </row>
    <row r="278" spans="22:25" x14ac:dyDescent="0.2">
      <c r="V278"/>
      <c r="W278"/>
      <c r="X278" s="115"/>
      <c r="Y278"/>
    </row>
    <row r="279" spans="22:25" x14ac:dyDescent="0.2">
      <c r="V279"/>
      <c r="W279"/>
      <c r="X279" s="115"/>
      <c r="Y279"/>
    </row>
    <row r="280" spans="22:25" x14ac:dyDescent="0.2">
      <c r="V280"/>
      <c r="W280"/>
      <c r="X280" s="115"/>
      <c r="Y280"/>
    </row>
    <row r="281" spans="22:25" x14ac:dyDescent="0.2">
      <c r="V281"/>
      <c r="W281"/>
      <c r="X281" s="115"/>
      <c r="Y281"/>
    </row>
    <row r="282" spans="22:25" x14ac:dyDescent="0.2">
      <c r="V282"/>
      <c r="W282"/>
      <c r="X282" s="115"/>
      <c r="Y282"/>
    </row>
    <row r="283" spans="22:25" x14ac:dyDescent="0.2">
      <c r="V283"/>
      <c r="W283"/>
      <c r="X283" s="115"/>
      <c r="Y283"/>
    </row>
    <row r="284" spans="22:25" x14ac:dyDescent="0.2">
      <c r="V284"/>
      <c r="W284"/>
      <c r="X284" s="115"/>
      <c r="Y284"/>
    </row>
    <row r="285" spans="22:25" x14ac:dyDescent="0.2">
      <c r="V285"/>
      <c r="W285"/>
      <c r="X285" s="115"/>
      <c r="Y285"/>
    </row>
    <row r="286" spans="22:25" x14ac:dyDescent="0.2">
      <c r="V286"/>
      <c r="W286"/>
      <c r="X286" s="115"/>
      <c r="Y286"/>
    </row>
    <row r="287" spans="22:25" x14ac:dyDescent="0.2">
      <c r="V287"/>
      <c r="W287"/>
      <c r="X287" s="115"/>
      <c r="Y287"/>
    </row>
    <row r="288" spans="22:25" x14ac:dyDescent="0.2">
      <c r="V288"/>
      <c r="W288"/>
      <c r="X288" s="115"/>
      <c r="Y288"/>
    </row>
    <row r="289" spans="22:25" x14ac:dyDescent="0.2">
      <c r="V289"/>
      <c r="W289"/>
      <c r="X289" s="115"/>
      <c r="Y289"/>
    </row>
    <row r="290" spans="22:25" x14ac:dyDescent="0.2">
      <c r="V290"/>
      <c r="W290"/>
      <c r="X290" s="115"/>
      <c r="Y290"/>
    </row>
    <row r="291" spans="22:25" x14ac:dyDescent="0.2">
      <c r="V291"/>
      <c r="W291"/>
      <c r="X291" s="115"/>
      <c r="Y291"/>
    </row>
    <row r="292" spans="22:25" x14ac:dyDescent="0.2">
      <c r="V292"/>
      <c r="W292"/>
      <c r="X292" s="115"/>
      <c r="Y292"/>
    </row>
    <row r="293" spans="22:25" x14ac:dyDescent="0.2">
      <c r="V293"/>
      <c r="W293"/>
      <c r="X293" s="115"/>
      <c r="Y293"/>
    </row>
    <row r="294" spans="22:25" x14ac:dyDescent="0.2">
      <c r="V294"/>
      <c r="W294"/>
      <c r="X294" s="115"/>
      <c r="Y294"/>
    </row>
    <row r="295" spans="22:25" x14ac:dyDescent="0.2">
      <c r="V295"/>
      <c r="W295"/>
      <c r="X295" s="115"/>
      <c r="Y295"/>
    </row>
    <row r="296" spans="22:25" x14ac:dyDescent="0.2">
      <c r="V296"/>
      <c r="W296"/>
      <c r="X296" s="115"/>
      <c r="Y296"/>
    </row>
    <row r="297" spans="22:25" x14ac:dyDescent="0.2">
      <c r="V297"/>
      <c r="W297"/>
      <c r="X297" s="115"/>
      <c r="Y297"/>
    </row>
    <row r="298" spans="22:25" x14ac:dyDescent="0.2">
      <c r="V298"/>
      <c r="W298"/>
      <c r="X298" s="115"/>
      <c r="Y298"/>
    </row>
    <row r="299" spans="22:25" x14ac:dyDescent="0.2">
      <c r="V299"/>
      <c r="W299"/>
      <c r="X299" s="115"/>
      <c r="Y299"/>
    </row>
    <row r="300" spans="22:25" x14ac:dyDescent="0.2">
      <c r="V300"/>
      <c r="W300"/>
      <c r="X300" s="115"/>
      <c r="Y300"/>
    </row>
    <row r="301" spans="22:25" x14ac:dyDescent="0.2">
      <c r="V301"/>
      <c r="W301"/>
      <c r="X301" s="115"/>
      <c r="Y301"/>
    </row>
    <row r="302" spans="22:25" x14ac:dyDescent="0.2">
      <c r="V302"/>
      <c r="W302"/>
      <c r="X302" s="115"/>
      <c r="Y302"/>
    </row>
    <row r="303" spans="22:25" x14ac:dyDescent="0.2">
      <c r="V303"/>
      <c r="W303"/>
      <c r="X303" s="115"/>
      <c r="Y303"/>
    </row>
    <row r="304" spans="22:25" x14ac:dyDescent="0.2">
      <c r="V304"/>
      <c r="W304"/>
      <c r="X304" s="115"/>
      <c r="Y304"/>
    </row>
    <row r="305" spans="22:25" x14ac:dyDescent="0.2">
      <c r="V305"/>
      <c r="W305"/>
      <c r="X305" s="115"/>
      <c r="Y305"/>
    </row>
    <row r="306" spans="22:25" x14ac:dyDescent="0.2">
      <c r="V306"/>
      <c r="W306"/>
      <c r="X306" s="115"/>
      <c r="Y306"/>
    </row>
    <row r="307" spans="22:25" x14ac:dyDescent="0.2">
      <c r="V307"/>
      <c r="W307"/>
      <c r="X307" s="115"/>
      <c r="Y307"/>
    </row>
    <row r="308" spans="22:25" x14ac:dyDescent="0.2">
      <c r="V308"/>
      <c r="W308"/>
      <c r="X308" s="115"/>
      <c r="Y308"/>
    </row>
    <row r="309" spans="22:25" x14ac:dyDescent="0.2">
      <c r="V309"/>
      <c r="W309"/>
      <c r="X309" s="115"/>
      <c r="Y309"/>
    </row>
    <row r="310" spans="22:25" x14ac:dyDescent="0.2">
      <c r="V310"/>
      <c r="W310"/>
      <c r="X310" s="115"/>
      <c r="Y310"/>
    </row>
    <row r="311" spans="22:25" x14ac:dyDescent="0.2">
      <c r="V311"/>
      <c r="W311"/>
      <c r="X311" s="115"/>
      <c r="Y311"/>
    </row>
    <row r="312" spans="22:25" x14ac:dyDescent="0.2">
      <c r="V312"/>
      <c r="W312"/>
      <c r="X312" s="115"/>
      <c r="Y312"/>
    </row>
    <row r="313" spans="22:25" x14ac:dyDescent="0.2">
      <c r="V313"/>
      <c r="W313"/>
      <c r="X313" s="115"/>
      <c r="Y313"/>
    </row>
    <row r="314" spans="22:25" x14ac:dyDescent="0.2">
      <c r="V314"/>
      <c r="W314"/>
      <c r="X314" s="115"/>
      <c r="Y314"/>
    </row>
    <row r="315" spans="22:25" x14ac:dyDescent="0.2">
      <c r="V315"/>
      <c r="W315"/>
      <c r="X315" s="115"/>
      <c r="Y315"/>
    </row>
    <row r="316" spans="22:25" x14ac:dyDescent="0.2">
      <c r="V316"/>
      <c r="W316"/>
      <c r="X316" s="115"/>
      <c r="Y316"/>
    </row>
    <row r="317" spans="22:25" x14ac:dyDescent="0.2">
      <c r="V317"/>
      <c r="W317"/>
      <c r="X317" s="115"/>
      <c r="Y317"/>
    </row>
    <row r="318" spans="22:25" x14ac:dyDescent="0.2">
      <c r="V318"/>
      <c r="W318"/>
      <c r="X318" s="115"/>
      <c r="Y318"/>
    </row>
    <row r="319" spans="22:25" x14ac:dyDescent="0.2">
      <c r="V319"/>
      <c r="W319"/>
      <c r="X319" s="115"/>
      <c r="Y319"/>
    </row>
    <row r="320" spans="22:25" x14ac:dyDescent="0.2">
      <c r="V320"/>
      <c r="W320"/>
      <c r="X320" s="115"/>
      <c r="Y320"/>
    </row>
    <row r="321" spans="22:25" x14ac:dyDescent="0.2">
      <c r="V321"/>
      <c r="W321"/>
      <c r="X321" s="115"/>
      <c r="Y321"/>
    </row>
    <row r="322" spans="22:25" x14ac:dyDescent="0.2">
      <c r="V322"/>
      <c r="W322"/>
      <c r="X322" s="115"/>
      <c r="Y322"/>
    </row>
    <row r="323" spans="22:25" x14ac:dyDescent="0.2">
      <c r="V323"/>
      <c r="W323"/>
      <c r="X323" s="115"/>
      <c r="Y323"/>
    </row>
    <row r="324" spans="22:25" x14ac:dyDescent="0.2">
      <c r="V324"/>
      <c r="W324"/>
      <c r="X324" s="115"/>
      <c r="Y324"/>
    </row>
    <row r="325" spans="22:25" x14ac:dyDescent="0.2">
      <c r="V325"/>
      <c r="W325"/>
      <c r="X325" s="115"/>
      <c r="Y325"/>
    </row>
    <row r="326" spans="22:25" x14ac:dyDescent="0.2">
      <c r="V326"/>
      <c r="W326"/>
      <c r="X326" s="115"/>
      <c r="Y326"/>
    </row>
    <row r="327" spans="22:25" x14ac:dyDescent="0.2">
      <c r="V327"/>
      <c r="W327"/>
      <c r="X327" s="115"/>
      <c r="Y327"/>
    </row>
    <row r="328" spans="22:25" x14ac:dyDescent="0.2">
      <c r="V328"/>
      <c r="W328"/>
      <c r="X328" s="115"/>
      <c r="Y328"/>
    </row>
    <row r="329" spans="22:25" x14ac:dyDescent="0.2">
      <c r="V329"/>
      <c r="W329"/>
      <c r="X329" s="115"/>
      <c r="Y329"/>
    </row>
    <row r="330" spans="22:25" x14ac:dyDescent="0.2">
      <c r="V330"/>
      <c r="W330"/>
      <c r="X330" s="115"/>
      <c r="Y330"/>
    </row>
    <row r="331" spans="22:25" x14ac:dyDescent="0.2">
      <c r="V331"/>
      <c r="W331"/>
      <c r="X331" s="115"/>
      <c r="Y331"/>
    </row>
    <row r="332" spans="22:25" x14ac:dyDescent="0.2">
      <c r="V332"/>
      <c r="W332"/>
      <c r="X332" s="115"/>
      <c r="Y332"/>
    </row>
    <row r="333" spans="22:25" x14ac:dyDescent="0.2">
      <c r="V333"/>
      <c r="W333"/>
      <c r="X333" s="115"/>
      <c r="Y333"/>
    </row>
    <row r="334" spans="22:25" x14ac:dyDescent="0.2">
      <c r="V334"/>
      <c r="W334"/>
      <c r="X334" s="115"/>
      <c r="Y334"/>
    </row>
    <row r="335" spans="22:25" x14ac:dyDescent="0.2">
      <c r="V335"/>
      <c r="W335"/>
      <c r="X335" s="115"/>
      <c r="Y335"/>
    </row>
    <row r="336" spans="22:25" x14ac:dyDescent="0.2">
      <c r="V336"/>
      <c r="W336"/>
      <c r="X336" s="115"/>
      <c r="Y336"/>
    </row>
    <row r="337" spans="22:25" x14ac:dyDescent="0.2">
      <c r="V337"/>
      <c r="W337"/>
      <c r="X337" s="115"/>
      <c r="Y337"/>
    </row>
    <row r="338" spans="22:25" x14ac:dyDescent="0.2">
      <c r="V338"/>
      <c r="W338"/>
      <c r="X338" s="115"/>
      <c r="Y338"/>
    </row>
    <row r="339" spans="22:25" x14ac:dyDescent="0.2">
      <c r="V339"/>
      <c r="W339"/>
      <c r="X339" s="115"/>
      <c r="Y339"/>
    </row>
    <row r="340" spans="22:25" x14ac:dyDescent="0.2">
      <c r="V340"/>
      <c r="W340"/>
      <c r="X340" s="115"/>
      <c r="Y340"/>
    </row>
    <row r="341" spans="22:25" x14ac:dyDescent="0.2">
      <c r="V341"/>
      <c r="W341"/>
      <c r="X341" s="115"/>
      <c r="Y341"/>
    </row>
    <row r="342" spans="22:25" x14ac:dyDescent="0.2">
      <c r="V342"/>
      <c r="W342"/>
      <c r="X342" s="115"/>
      <c r="Y342"/>
    </row>
    <row r="343" spans="22:25" x14ac:dyDescent="0.2">
      <c r="V343"/>
      <c r="W343"/>
      <c r="X343" s="115"/>
      <c r="Y343"/>
    </row>
    <row r="344" spans="22:25" x14ac:dyDescent="0.2">
      <c r="V344"/>
      <c r="W344"/>
      <c r="X344" s="115"/>
      <c r="Y344"/>
    </row>
    <row r="345" spans="22:25" x14ac:dyDescent="0.2">
      <c r="V345"/>
      <c r="W345"/>
      <c r="X345" s="115"/>
      <c r="Y345"/>
    </row>
    <row r="346" spans="22:25" x14ac:dyDescent="0.2">
      <c r="V346"/>
      <c r="W346"/>
      <c r="X346" s="115"/>
      <c r="Y346"/>
    </row>
    <row r="347" spans="22:25" x14ac:dyDescent="0.2">
      <c r="V347"/>
      <c r="W347"/>
      <c r="X347" s="115"/>
      <c r="Y347"/>
    </row>
    <row r="348" spans="22:25" x14ac:dyDescent="0.2">
      <c r="V348"/>
      <c r="W348"/>
      <c r="X348" s="115"/>
      <c r="Y348"/>
    </row>
    <row r="349" spans="22:25" x14ac:dyDescent="0.2">
      <c r="V349"/>
      <c r="W349"/>
      <c r="X349" s="115"/>
      <c r="Y349"/>
    </row>
    <row r="350" spans="22:25" x14ac:dyDescent="0.2">
      <c r="V350"/>
      <c r="W350"/>
      <c r="X350" s="115"/>
      <c r="Y350"/>
    </row>
    <row r="351" spans="22:25" x14ac:dyDescent="0.2">
      <c r="V351"/>
      <c r="W351"/>
      <c r="X351" s="115"/>
      <c r="Y351"/>
    </row>
    <row r="352" spans="22:25" x14ac:dyDescent="0.2">
      <c r="V352"/>
      <c r="W352"/>
      <c r="X352" s="115"/>
      <c r="Y352"/>
    </row>
    <row r="353" spans="22:25" x14ac:dyDescent="0.2">
      <c r="V353"/>
      <c r="W353"/>
      <c r="X353" s="115"/>
      <c r="Y353"/>
    </row>
    <row r="354" spans="22:25" x14ac:dyDescent="0.2">
      <c r="V354"/>
      <c r="W354"/>
      <c r="X354" s="115"/>
      <c r="Y354"/>
    </row>
    <row r="355" spans="22:25" x14ac:dyDescent="0.2">
      <c r="V355"/>
      <c r="W355"/>
      <c r="X355" s="115"/>
      <c r="Y355"/>
    </row>
    <row r="356" spans="22:25" x14ac:dyDescent="0.2">
      <c r="V356"/>
      <c r="W356"/>
      <c r="X356" s="115"/>
      <c r="Y356"/>
    </row>
    <row r="357" spans="22:25" x14ac:dyDescent="0.2">
      <c r="V357"/>
      <c r="W357"/>
      <c r="X357" s="115"/>
      <c r="Y357"/>
    </row>
    <row r="358" spans="22:25" x14ac:dyDescent="0.2">
      <c r="V358"/>
      <c r="W358"/>
      <c r="X358" s="115"/>
      <c r="Y358"/>
    </row>
    <row r="359" spans="22:25" x14ac:dyDescent="0.2">
      <c r="V359"/>
      <c r="W359"/>
      <c r="X359" s="115"/>
      <c r="Y359"/>
    </row>
    <row r="360" spans="22:25" x14ac:dyDescent="0.2">
      <c r="V360"/>
      <c r="W360"/>
      <c r="X360" s="115"/>
      <c r="Y360"/>
    </row>
    <row r="361" spans="22:25" x14ac:dyDescent="0.2">
      <c r="V361"/>
      <c r="W361"/>
      <c r="X361" s="115"/>
      <c r="Y361"/>
    </row>
    <row r="362" spans="22:25" x14ac:dyDescent="0.2">
      <c r="V362"/>
      <c r="W362"/>
      <c r="X362" s="115"/>
      <c r="Y362"/>
    </row>
    <row r="363" spans="22:25" x14ac:dyDescent="0.2">
      <c r="V363"/>
      <c r="W363"/>
      <c r="X363" s="115"/>
      <c r="Y363"/>
    </row>
    <row r="364" spans="22:25" x14ac:dyDescent="0.2">
      <c r="V364"/>
      <c r="W364"/>
      <c r="X364" s="115"/>
      <c r="Y364"/>
    </row>
    <row r="365" spans="22:25" x14ac:dyDescent="0.2">
      <c r="V365"/>
      <c r="W365"/>
      <c r="X365" s="115"/>
      <c r="Y365"/>
    </row>
    <row r="366" spans="22:25" x14ac:dyDescent="0.2">
      <c r="V366"/>
      <c r="W366"/>
      <c r="X366" s="115"/>
      <c r="Y366"/>
    </row>
    <row r="367" spans="22:25" x14ac:dyDescent="0.2">
      <c r="V367"/>
      <c r="W367"/>
      <c r="X367" s="115"/>
      <c r="Y367"/>
    </row>
    <row r="368" spans="22:25" x14ac:dyDescent="0.2">
      <c r="V368"/>
      <c r="W368"/>
      <c r="X368" s="115"/>
      <c r="Y368"/>
    </row>
    <row r="369" spans="22:25" x14ac:dyDescent="0.2">
      <c r="V369"/>
      <c r="W369"/>
      <c r="X369" s="115"/>
      <c r="Y369"/>
    </row>
    <row r="370" spans="22:25" x14ac:dyDescent="0.2">
      <c r="V370"/>
      <c r="W370"/>
      <c r="X370" s="115"/>
      <c r="Y370"/>
    </row>
    <row r="371" spans="22:25" x14ac:dyDescent="0.2">
      <c r="V371"/>
      <c r="W371"/>
      <c r="X371" s="115"/>
      <c r="Y371"/>
    </row>
    <row r="372" spans="22:25" x14ac:dyDescent="0.2">
      <c r="V372"/>
      <c r="W372"/>
      <c r="X372" s="115"/>
      <c r="Y372"/>
    </row>
    <row r="373" spans="22:25" x14ac:dyDescent="0.2">
      <c r="V373"/>
      <c r="W373"/>
      <c r="X373" s="115"/>
      <c r="Y373"/>
    </row>
    <row r="374" spans="22:25" x14ac:dyDescent="0.2">
      <c r="V374"/>
      <c r="W374"/>
      <c r="X374" s="115"/>
      <c r="Y374"/>
    </row>
    <row r="375" spans="22:25" x14ac:dyDescent="0.2">
      <c r="V375"/>
      <c r="W375"/>
      <c r="X375" s="115"/>
      <c r="Y375"/>
    </row>
    <row r="376" spans="22:25" x14ac:dyDescent="0.2">
      <c r="V376"/>
      <c r="W376"/>
      <c r="X376" s="115"/>
      <c r="Y376"/>
    </row>
    <row r="377" spans="22:25" x14ac:dyDescent="0.2">
      <c r="V377"/>
      <c r="W377"/>
      <c r="X377" s="115"/>
      <c r="Y377"/>
    </row>
    <row r="378" spans="22:25" x14ac:dyDescent="0.2">
      <c r="V378"/>
      <c r="W378"/>
      <c r="X378" s="115"/>
      <c r="Y378"/>
    </row>
    <row r="379" spans="22:25" x14ac:dyDescent="0.2">
      <c r="V379"/>
      <c r="W379"/>
      <c r="X379" s="115"/>
      <c r="Y379"/>
    </row>
    <row r="380" spans="22:25" x14ac:dyDescent="0.2">
      <c r="V380"/>
      <c r="W380"/>
      <c r="X380" s="115"/>
      <c r="Y380"/>
    </row>
    <row r="381" spans="22:25" x14ac:dyDescent="0.2">
      <c r="V381"/>
      <c r="W381"/>
      <c r="X381" s="115"/>
      <c r="Y381"/>
    </row>
    <row r="382" spans="22:25" x14ac:dyDescent="0.2">
      <c r="V382"/>
      <c r="W382"/>
      <c r="X382" s="115"/>
      <c r="Y382"/>
    </row>
    <row r="383" spans="22:25" x14ac:dyDescent="0.2">
      <c r="V383"/>
      <c r="W383"/>
      <c r="X383" s="115"/>
      <c r="Y383"/>
    </row>
    <row r="384" spans="22:25" x14ac:dyDescent="0.2">
      <c r="V384"/>
      <c r="W384"/>
      <c r="X384" s="115"/>
      <c r="Y384"/>
    </row>
    <row r="385" spans="22:25" x14ac:dyDescent="0.2">
      <c r="V385"/>
      <c r="W385"/>
      <c r="X385" s="115"/>
      <c r="Y385"/>
    </row>
    <row r="386" spans="22:25" x14ac:dyDescent="0.2">
      <c r="V386"/>
      <c r="W386"/>
      <c r="X386" s="115"/>
      <c r="Y386"/>
    </row>
    <row r="387" spans="22:25" x14ac:dyDescent="0.2">
      <c r="V387"/>
      <c r="W387"/>
      <c r="X387" s="115"/>
      <c r="Y387"/>
    </row>
    <row r="388" spans="22:25" x14ac:dyDescent="0.2">
      <c r="V388"/>
      <c r="W388"/>
      <c r="X388" s="115"/>
      <c r="Y388"/>
    </row>
    <row r="389" spans="22:25" x14ac:dyDescent="0.2">
      <c r="V389"/>
      <c r="W389"/>
      <c r="X389" s="115"/>
      <c r="Y389"/>
    </row>
    <row r="390" spans="22:25" x14ac:dyDescent="0.2">
      <c r="V390"/>
      <c r="W390"/>
      <c r="X390" s="115"/>
      <c r="Y390"/>
    </row>
    <row r="391" spans="22:25" x14ac:dyDescent="0.2">
      <c r="V391"/>
      <c r="W391"/>
      <c r="X391" s="115"/>
      <c r="Y391"/>
    </row>
    <row r="392" spans="22:25" x14ac:dyDescent="0.2">
      <c r="V392"/>
      <c r="W392"/>
      <c r="X392" s="115"/>
      <c r="Y392"/>
    </row>
    <row r="393" spans="22:25" x14ac:dyDescent="0.2">
      <c r="V393"/>
      <c r="W393"/>
      <c r="X393" s="115"/>
      <c r="Y393"/>
    </row>
    <row r="394" spans="22:25" x14ac:dyDescent="0.2">
      <c r="V394"/>
      <c r="W394"/>
      <c r="X394" s="115"/>
      <c r="Y394"/>
    </row>
    <row r="395" spans="22:25" x14ac:dyDescent="0.2">
      <c r="V395"/>
      <c r="W395"/>
      <c r="X395" s="115"/>
      <c r="Y395"/>
    </row>
    <row r="396" spans="22:25" x14ac:dyDescent="0.2">
      <c r="V396"/>
      <c r="W396"/>
      <c r="X396" s="115"/>
      <c r="Y396"/>
    </row>
    <row r="397" spans="22:25" x14ac:dyDescent="0.2">
      <c r="V397"/>
      <c r="W397"/>
      <c r="X397" s="115"/>
      <c r="Y397"/>
    </row>
    <row r="398" spans="22:25" x14ac:dyDescent="0.2">
      <c r="V398"/>
      <c r="W398"/>
      <c r="X398" s="115"/>
      <c r="Y398"/>
    </row>
    <row r="399" spans="22:25" x14ac:dyDescent="0.2">
      <c r="V399"/>
      <c r="W399"/>
      <c r="X399" s="115"/>
      <c r="Y399"/>
    </row>
    <row r="400" spans="22:25" x14ac:dyDescent="0.2">
      <c r="V400"/>
      <c r="W400"/>
      <c r="X400" s="115"/>
      <c r="Y400"/>
    </row>
    <row r="401" spans="22:25" x14ac:dyDescent="0.2">
      <c r="V401"/>
      <c r="W401"/>
      <c r="X401" s="115"/>
      <c r="Y401"/>
    </row>
    <row r="402" spans="22:25" x14ac:dyDescent="0.2">
      <c r="V402"/>
      <c r="W402"/>
      <c r="X402" s="115"/>
      <c r="Y402"/>
    </row>
    <row r="403" spans="22:25" x14ac:dyDescent="0.2">
      <c r="V403"/>
      <c r="W403"/>
      <c r="X403" s="115"/>
      <c r="Y403"/>
    </row>
    <row r="404" spans="22:25" x14ac:dyDescent="0.2">
      <c r="V404"/>
      <c r="W404"/>
      <c r="X404" s="115"/>
      <c r="Y404"/>
    </row>
    <row r="405" spans="22:25" x14ac:dyDescent="0.2">
      <c r="V405"/>
      <c r="W405"/>
      <c r="X405" s="115"/>
      <c r="Y405"/>
    </row>
    <row r="406" spans="22:25" x14ac:dyDescent="0.2">
      <c r="V406"/>
      <c r="W406"/>
      <c r="X406" s="115"/>
      <c r="Y406"/>
    </row>
    <row r="407" spans="22:25" x14ac:dyDescent="0.2">
      <c r="V407"/>
      <c r="W407"/>
      <c r="X407" s="115"/>
      <c r="Y407"/>
    </row>
    <row r="408" spans="22:25" x14ac:dyDescent="0.2">
      <c r="V408"/>
      <c r="W408"/>
      <c r="X408" s="115"/>
      <c r="Y408"/>
    </row>
    <row r="409" spans="22:25" x14ac:dyDescent="0.2">
      <c r="V409"/>
      <c r="W409"/>
      <c r="X409" s="115"/>
      <c r="Y409"/>
    </row>
    <row r="410" spans="22:25" x14ac:dyDescent="0.2">
      <c r="V410"/>
      <c r="W410"/>
      <c r="X410" s="115"/>
      <c r="Y410"/>
    </row>
    <row r="411" spans="22:25" x14ac:dyDescent="0.2">
      <c r="V411"/>
      <c r="W411"/>
      <c r="X411" s="115"/>
      <c r="Y411"/>
    </row>
    <row r="412" spans="22:25" x14ac:dyDescent="0.2">
      <c r="V412"/>
      <c r="W412"/>
      <c r="X412" s="115"/>
      <c r="Y412"/>
    </row>
    <row r="413" spans="22:25" x14ac:dyDescent="0.2">
      <c r="V413"/>
      <c r="W413"/>
      <c r="X413" s="115"/>
      <c r="Y413"/>
    </row>
    <row r="414" spans="22:25" x14ac:dyDescent="0.2">
      <c r="V414"/>
      <c r="W414"/>
      <c r="X414" s="115"/>
      <c r="Y414"/>
    </row>
    <row r="415" spans="22:25" x14ac:dyDescent="0.2">
      <c r="V415"/>
      <c r="W415"/>
      <c r="X415" s="115"/>
      <c r="Y415"/>
    </row>
    <row r="416" spans="22:25" x14ac:dyDescent="0.2">
      <c r="V416"/>
      <c r="W416"/>
      <c r="X416" s="115"/>
      <c r="Y416"/>
    </row>
    <row r="417" spans="22:25" x14ac:dyDescent="0.2">
      <c r="V417"/>
      <c r="W417"/>
      <c r="X417" s="115"/>
      <c r="Y417"/>
    </row>
    <row r="418" spans="22:25" x14ac:dyDescent="0.2">
      <c r="V418"/>
      <c r="W418"/>
      <c r="X418" s="115"/>
      <c r="Y418"/>
    </row>
    <row r="419" spans="22:25" x14ac:dyDescent="0.2">
      <c r="V419"/>
      <c r="W419"/>
      <c r="X419" s="115"/>
      <c r="Y419"/>
    </row>
    <row r="420" spans="22:25" x14ac:dyDescent="0.2">
      <c r="V420"/>
      <c r="W420"/>
      <c r="X420" s="115"/>
      <c r="Y420"/>
    </row>
    <row r="421" spans="22:25" x14ac:dyDescent="0.2">
      <c r="V421"/>
      <c r="W421"/>
      <c r="X421" s="115"/>
      <c r="Y421"/>
    </row>
    <row r="422" spans="22:25" x14ac:dyDescent="0.2">
      <c r="V422"/>
      <c r="W422"/>
      <c r="X422" s="115"/>
      <c r="Y422"/>
    </row>
    <row r="423" spans="22:25" x14ac:dyDescent="0.2">
      <c r="V423"/>
      <c r="W423"/>
      <c r="X423" s="115"/>
      <c r="Y423"/>
    </row>
    <row r="424" spans="22:25" x14ac:dyDescent="0.2">
      <c r="V424"/>
      <c r="W424"/>
      <c r="X424" s="115"/>
      <c r="Y424"/>
    </row>
    <row r="425" spans="22:25" x14ac:dyDescent="0.2">
      <c r="V425"/>
      <c r="W425"/>
      <c r="X425" s="115"/>
      <c r="Y425"/>
    </row>
    <row r="426" spans="22:25" x14ac:dyDescent="0.2">
      <c r="V426"/>
      <c r="W426"/>
      <c r="X426" s="115"/>
      <c r="Y426"/>
    </row>
    <row r="427" spans="22:25" x14ac:dyDescent="0.2">
      <c r="V427"/>
      <c r="W427"/>
      <c r="X427" s="115"/>
      <c r="Y427"/>
    </row>
    <row r="428" spans="22:25" x14ac:dyDescent="0.2">
      <c r="V428"/>
      <c r="W428"/>
      <c r="X428" s="115"/>
      <c r="Y428"/>
    </row>
    <row r="429" spans="22:25" x14ac:dyDescent="0.2">
      <c r="V429"/>
      <c r="W429"/>
      <c r="X429" s="115"/>
      <c r="Y429"/>
    </row>
    <row r="430" spans="22:25" x14ac:dyDescent="0.2">
      <c r="V430"/>
      <c r="W430"/>
      <c r="X430" s="115"/>
      <c r="Y430"/>
    </row>
    <row r="431" spans="22:25" x14ac:dyDescent="0.2">
      <c r="V431"/>
      <c r="W431"/>
      <c r="X431" s="115"/>
      <c r="Y431"/>
    </row>
    <row r="432" spans="22:25" x14ac:dyDescent="0.2">
      <c r="V432"/>
      <c r="W432"/>
      <c r="X432" s="115"/>
      <c r="Y432"/>
    </row>
    <row r="433" spans="22:25" x14ac:dyDescent="0.2">
      <c r="V433"/>
      <c r="W433"/>
      <c r="X433" s="115"/>
      <c r="Y433"/>
    </row>
    <row r="434" spans="22:25" x14ac:dyDescent="0.2">
      <c r="V434"/>
      <c r="W434"/>
      <c r="X434" s="115"/>
      <c r="Y434"/>
    </row>
    <row r="435" spans="22:25" x14ac:dyDescent="0.2">
      <c r="V435"/>
      <c r="W435"/>
      <c r="X435" s="115"/>
      <c r="Y435"/>
    </row>
    <row r="436" spans="22:25" x14ac:dyDescent="0.2">
      <c r="V436"/>
      <c r="W436"/>
      <c r="X436" s="115"/>
      <c r="Y436"/>
    </row>
    <row r="437" spans="22:25" x14ac:dyDescent="0.2">
      <c r="V437"/>
      <c r="W437"/>
      <c r="X437" s="115"/>
      <c r="Y437"/>
    </row>
    <row r="438" spans="22:25" x14ac:dyDescent="0.2">
      <c r="V438"/>
      <c r="W438"/>
      <c r="X438" s="115"/>
      <c r="Y438"/>
    </row>
    <row r="439" spans="22:25" x14ac:dyDescent="0.2">
      <c r="V439"/>
      <c r="W439"/>
      <c r="X439" s="115"/>
      <c r="Y439"/>
    </row>
    <row r="440" spans="22:25" x14ac:dyDescent="0.2">
      <c r="V440"/>
      <c r="W440"/>
      <c r="X440" s="115"/>
      <c r="Y440"/>
    </row>
    <row r="441" spans="22:25" x14ac:dyDescent="0.2">
      <c r="V441"/>
      <c r="W441"/>
      <c r="X441" s="115"/>
      <c r="Y441"/>
    </row>
    <row r="442" spans="22:25" x14ac:dyDescent="0.2">
      <c r="V442"/>
      <c r="W442"/>
      <c r="X442" s="115"/>
      <c r="Y442"/>
    </row>
    <row r="443" spans="22:25" x14ac:dyDescent="0.2">
      <c r="V443"/>
      <c r="W443"/>
      <c r="X443" s="115"/>
      <c r="Y443"/>
    </row>
    <row r="444" spans="22:25" x14ac:dyDescent="0.2">
      <c r="V444"/>
      <c r="W444"/>
      <c r="X444" s="115"/>
      <c r="Y444"/>
    </row>
    <row r="445" spans="22:25" x14ac:dyDescent="0.2">
      <c r="V445"/>
      <c r="W445"/>
      <c r="X445" s="115"/>
      <c r="Y445"/>
    </row>
    <row r="446" spans="22:25" x14ac:dyDescent="0.2">
      <c r="V446"/>
      <c r="W446"/>
      <c r="X446" s="115"/>
      <c r="Y446"/>
    </row>
    <row r="447" spans="22:25" x14ac:dyDescent="0.2">
      <c r="V447"/>
      <c r="W447"/>
      <c r="X447" s="115"/>
      <c r="Y447"/>
    </row>
    <row r="448" spans="22:25" x14ac:dyDescent="0.2">
      <c r="V448"/>
      <c r="W448"/>
      <c r="X448" s="115"/>
      <c r="Y448"/>
    </row>
    <row r="449" spans="22:25" x14ac:dyDescent="0.2">
      <c r="V449"/>
      <c r="W449"/>
      <c r="X449" s="115"/>
      <c r="Y449"/>
    </row>
    <row r="450" spans="22:25" x14ac:dyDescent="0.2">
      <c r="V450"/>
      <c r="W450"/>
      <c r="X450" s="115"/>
      <c r="Y450"/>
    </row>
    <row r="451" spans="22:25" x14ac:dyDescent="0.2">
      <c r="V451"/>
      <c r="W451"/>
      <c r="X451" s="115"/>
      <c r="Y451"/>
    </row>
    <row r="452" spans="22:25" x14ac:dyDescent="0.2">
      <c r="V452"/>
      <c r="W452"/>
      <c r="X452" s="115"/>
      <c r="Y452"/>
    </row>
    <row r="453" spans="22:25" x14ac:dyDescent="0.2">
      <c r="V453"/>
      <c r="W453"/>
      <c r="X453" s="115"/>
      <c r="Y453"/>
    </row>
    <row r="454" spans="22:25" x14ac:dyDescent="0.2">
      <c r="V454"/>
      <c r="W454"/>
      <c r="X454" s="115"/>
      <c r="Y454"/>
    </row>
    <row r="455" spans="22:25" x14ac:dyDescent="0.2">
      <c r="V455"/>
      <c r="W455"/>
      <c r="X455" s="115"/>
      <c r="Y455"/>
    </row>
    <row r="456" spans="22:25" x14ac:dyDescent="0.2">
      <c r="V456"/>
      <c r="W456"/>
      <c r="X456" s="115"/>
      <c r="Y456"/>
    </row>
    <row r="457" spans="22:25" x14ac:dyDescent="0.2">
      <c r="V457"/>
      <c r="W457"/>
      <c r="X457" s="115"/>
      <c r="Y457"/>
    </row>
    <row r="458" spans="22:25" x14ac:dyDescent="0.2">
      <c r="V458"/>
      <c r="W458"/>
      <c r="X458" s="115"/>
      <c r="Y458"/>
    </row>
    <row r="459" spans="22:25" x14ac:dyDescent="0.2">
      <c r="V459"/>
      <c r="W459"/>
      <c r="X459" s="115"/>
      <c r="Y459"/>
    </row>
    <row r="460" spans="22:25" x14ac:dyDescent="0.2">
      <c r="V460"/>
      <c r="W460"/>
      <c r="X460" s="115"/>
      <c r="Y460"/>
    </row>
    <row r="461" spans="22:25" x14ac:dyDescent="0.2">
      <c r="V461"/>
      <c r="W461"/>
      <c r="X461" s="115"/>
      <c r="Y461"/>
    </row>
    <row r="462" spans="22:25" x14ac:dyDescent="0.2">
      <c r="V462"/>
      <c r="W462"/>
      <c r="X462" s="115"/>
      <c r="Y462"/>
    </row>
    <row r="463" spans="22:25" x14ac:dyDescent="0.2">
      <c r="V463"/>
      <c r="W463"/>
      <c r="X463" s="115"/>
      <c r="Y463"/>
    </row>
    <row r="464" spans="22:25" x14ac:dyDescent="0.2">
      <c r="V464"/>
      <c r="W464"/>
      <c r="X464" s="115"/>
      <c r="Y464"/>
    </row>
    <row r="465" spans="22:25" x14ac:dyDescent="0.2">
      <c r="V465"/>
      <c r="W465"/>
      <c r="X465" s="115"/>
      <c r="Y465"/>
    </row>
    <row r="466" spans="22:25" x14ac:dyDescent="0.2">
      <c r="V466"/>
      <c r="W466"/>
      <c r="X466" s="115"/>
      <c r="Y466"/>
    </row>
    <row r="467" spans="22:25" x14ac:dyDescent="0.2">
      <c r="V467"/>
      <c r="W467"/>
      <c r="X467" s="115"/>
      <c r="Y467"/>
    </row>
    <row r="468" spans="22:25" x14ac:dyDescent="0.2">
      <c r="V468"/>
      <c r="W468"/>
      <c r="X468" s="115"/>
      <c r="Y468"/>
    </row>
    <row r="469" spans="22:25" x14ac:dyDescent="0.2">
      <c r="V469"/>
      <c r="W469"/>
      <c r="X469" s="115"/>
      <c r="Y469"/>
    </row>
    <row r="470" spans="22:25" x14ac:dyDescent="0.2">
      <c r="V470"/>
      <c r="W470"/>
      <c r="X470" s="115"/>
      <c r="Y470"/>
    </row>
    <row r="471" spans="22:25" x14ac:dyDescent="0.2">
      <c r="V471"/>
      <c r="W471"/>
      <c r="X471" s="115"/>
      <c r="Y471"/>
    </row>
    <row r="472" spans="22:25" x14ac:dyDescent="0.2">
      <c r="V472"/>
      <c r="W472"/>
      <c r="X472" s="115"/>
      <c r="Y472"/>
    </row>
    <row r="473" spans="22:25" x14ac:dyDescent="0.2">
      <c r="V473"/>
      <c r="W473"/>
      <c r="X473" s="115"/>
      <c r="Y473"/>
    </row>
    <row r="474" spans="22:25" x14ac:dyDescent="0.2">
      <c r="V474"/>
      <c r="W474"/>
      <c r="X474" s="115"/>
      <c r="Y474"/>
    </row>
    <row r="475" spans="22:25" x14ac:dyDescent="0.2">
      <c r="V475"/>
      <c r="W475"/>
      <c r="X475" s="115"/>
      <c r="Y475"/>
    </row>
    <row r="476" spans="22:25" x14ac:dyDescent="0.2">
      <c r="V476"/>
      <c r="W476"/>
      <c r="X476" s="115"/>
      <c r="Y476"/>
    </row>
    <row r="477" spans="22:25" x14ac:dyDescent="0.2">
      <c r="V477"/>
      <c r="W477"/>
      <c r="X477" s="115"/>
      <c r="Y477"/>
    </row>
    <row r="478" spans="22:25" x14ac:dyDescent="0.2">
      <c r="V478"/>
      <c r="W478"/>
      <c r="X478" s="115"/>
      <c r="Y478"/>
    </row>
    <row r="479" spans="22:25" x14ac:dyDescent="0.2">
      <c r="V479"/>
      <c r="W479"/>
      <c r="X479" s="115"/>
      <c r="Y479"/>
    </row>
    <row r="480" spans="22:25" x14ac:dyDescent="0.2">
      <c r="V480"/>
      <c r="W480"/>
      <c r="X480" s="115"/>
      <c r="Y480"/>
    </row>
    <row r="481" spans="22:25" x14ac:dyDescent="0.2">
      <c r="V481"/>
      <c r="W481"/>
      <c r="X481" s="115"/>
      <c r="Y481"/>
    </row>
    <row r="482" spans="22:25" x14ac:dyDescent="0.2">
      <c r="V482"/>
      <c r="W482"/>
      <c r="X482" s="115"/>
      <c r="Y482"/>
    </row>
    <row r="483" spans="22:25" x14ac:dyDescent="0.2">
      <c r="V483"/>
      <c r="W483"/>
      <c r="X483" s="115"/>
      <c r="Y483"/>
    </row>
    <row r="484" spans="22:25" x14ac:dyDescent="0.2">
      <c r="V484"/>
      <c r="W484"/>
      <c r="X484" s="115"/>
      <c r="Y484"/>
    </row>
    <row r="485" spans="22:25" x14ac:dyDescent="0.2">
      <c r="V485"/>
      <c r="W485"/>
      <c r="X485" s="115"/>
      <c r="Y485"/>
    </row>
    <row r="486" spans="22:25" x14ac:dyDescent="0.2">
      <c r="V486"/>
      <c r="W486"/>
      <c r="X486" s="115"/>
      <c r="Y486"/>
    </row>
    <row r="487" spans="22:25" x14ac:dyDescent="0.2">
      <c r="V487"/>
      <c r="W487"/>
      <c r="X487" s="115"/>
      <c r="Y487"/>
    </row>
    <row r="488" spans="22:25" x14ac:dyDescent="0.2">
      <c r="V488"/>
      <c r="W488"/>
      <c r="X488" s="115"/>
      <c r="Y488"/>
    </row>
    <row r="489" spans="22:25" x14ac:dyDescent="0.2">
      <c r="V489"/>
      <c r="W489"/>
      <c r="X489" s="115"/>
      <c r="Y489"/>
    </row>
    <row r="490" spans="22:25" x14ac:dyDescent="0.2">
      <c r="V490"/>
      <c r="W490"/>
      <c r="X490" s="115"/>
      <c r="Y490"/>
    </row>
    <row r="491" spans="22:25" x14ac:dyDescent="0.2">
      <c r="V491"/>
      <c r="W491"/>
      <c r="X491" s="115"/>
      <c r="Y491"/>
    </row>
    <row r="492" spans="22:25" x14ac:dyDescent="0.2">
      <c r="V492"/>
      <c r="W492"/>
      <c r="X492" s="115"/>
      <c r="Y492"/>
    </row>
    <row r="493" spans="22:25" x14ac:dyDescent="0.2">
      <c r="V493"/>
      <c r="W493"/>
      <c r="X493" s="115"/>
      <c r="Y493"/>
    </row>
    <row r="494" spans="22:25" x14ac:dyDescent="0.2">
      <c r="V494"/>
      <c r="W494"/>
      <c r="X494" s="115"/>
      <c r="Y494"/>
    </row>
    <row r="495" spans="22:25" x14ac:dyDescent="0.2">
      <c r="V495"/>
      <c r="W495"/>
      <c r="X495" s="115"/>
      <c r="Y495"/>
    </row>
    <row r="496" spans="22:25" x14ac:dyDescent="0.2">
      <c r="V496"/>
      <c r="W496"/>
      <c r="X496" s="115"/>
      <c r="Y496"/>
    </row>
    <row r="497" spans="22:25" x14ac:dyDescent="0.2">
      <c r="V497"/>
      <c r="W497"/>
      <c r="X497" s="115"/>
      <c r="Y497"/>
    </row>
    <row r="498" spans="22:25" x14ac:dyDescent="0.2">
      <c r="V498"/>
      <c r="W498"/>
      <c r="X498" s="115"/>
      <c r="Y498"/>
    </row>
    <row r="499" spans="22:25" x14ac:dyDescent="0.2">
      <c r="V499"/>
      <c r="W499"/>
      <c r="X499" s="115"/>
      <c r="Y499"/>
    </row>
    <row r="500" spans="22:25" x14ac:dyDescent="0.2">
      <c r="V500"/>
      <c r="W500"/>
      <c r="X500" s="115"/>
      <c r="Y500"/>
    </row>
    <row r="501" spans="22:25" x14ac:dyDescent="0.2">
      <c r="V501"/>
      <c r="W501"/>
      <c r="X501" s="115"/>
      <c r="Y501"/>
    </row>
    <row r="502" spans="22:25" x14ac:dyDescent="0.2">
      <c r="V502"/>
      <c r="W502"/>
      <c r="X502" s="115"/>
      <c r="Y502"/>
    </row>
    <row r="503" spans="22:25" x14ac:dyDescent="0.2">
      <c r="V503"/>
      <c r="W503"/>
      <c r="X503" s="115"/>
      <c r="Y503"/>
    </row>
    <row r="504" spans="22:25" x14ac:dyDescent="0.2">
      <c r="V504"/>
      <c r="W504"/>
      <c r="X504" s="115"/>
      <c r="Y504"/>
    </row>
    <row r="505" spans="22:25" x14ac:dyDescent="0.2">
      <c r="V505"/>
      <c r="W505"/>
      <c r="X505" s="115"/>
      <c r="Y505"/>
    </row>
    <row r="506" spans="22:25" x14ac:dyDescent="0.2">
      <c r="V506"/>
      <c r="W506"/>
      <c r="X506" s="115"/>
      <c r="Y506"/>
    </row>
    <row r="507" spans="22:25" x14ac:dyDescent="0.2">
      <c r="V507"/>
      <c r="W507"/>
      <c r="X507" s="115"/>
      <c r="Y507"/>
    </row>
    <row r="508" spans="22:25" x14ac:dyDescent="0.2">
      <c r="V508"/>
      <c r="W508"/>
      <c r="X508" s="115"/>
      <c r="Y508"/>
    </row>
    <row r="509" spans="22:25" x14ac:dyDescent="0.2">
      <c r="V509"/>
      <c r="W509"/>
      <c r="X509" s="115"/>
      <c r="Y509"/>
    </row>
    <row r="510" spans="22:25" x14ac:dyDescent="0.2">
      <c r="V510"/>
      <c r="W510"/>
      <c r="X510" s="115"/>
      <c r="Y510"/>
    </row>
    <row r="511" spans="22:25" x14ac:dyDescent="0.2">
      <c r="V511"/>
      <c r="W511"/>
      <c r="X511" s="115"/>
      <c r="Y511"/>
    </row>
    <row r="512" spans="22:25" x14ac:dyDescent="0.2">
      <c r="V512"/>
      <c r="W512"/>
      <c r="X512" s="115"/>
      <c r="Y512"/>
    </row>
    <row r="513" spans="22:25" x14ac:dyDescent="0.2">
      <c r="V513"/>
      <c r="W513"/>
      <c r="X513" s="115"/>
      <c r="Y513"/>
    </row>
    <row r="514" spans="22:25" x14ac:dyDescent="0.2">
      <c r="V514"/>
      <c r="W514"/>
      <c r="X514" s="115"/>
      <c r="Y514"/>
    </row>
    <row r="515" spans="22:25" x14ac:dyDescent="0.2">
      <c r="V515"/>
      <c r="W515"/>
      <c r="X515" s="115"/>
      <c r="Y515"/>
    </row>
    <row r="516" spans="22:25" x14ac:dyDescent="0.2">
      <c r="V516"/>
      <c r="W516"/>
      <c r="X516" s="115"/>
      <c r="Y516"/>
    </row>
    <row r="517" spans="22:25" x14ac:dyDescent="0.2">
      <c r="V517"/>
      <c r="W517"/>
      <c r="X517" s="115"/>
      <c r="Y517"/>
    </row>
    <row r="518" spans="22:25" x14ac:dyDescent="0.2">
      <c r="V518"/>
      <c r="W518"/>
      <c r="X518" s="115"/>
      <c r="Y518"/>
    </row>
    <row r="519" spans="22:25" x14ac:dyDescent="0.2">
      <c r="V519"/>
      <c r="W519"/>
      <c r="X519" s="115"/>
      <c r="Y519"/>
    </row>
    <row r="520" spans="22:25" x14ac:dyDescent="0.2">
      <c r="V520"/>
      <c r="W520"/>
      <c r="X520" s="115"/>
      <c r="Y520"/>
    </row>
    <row r="521" spans="22:25" x14ac:dyDescent="0.2">
      <c r="V521"/>
      <c r="W521"/>
      <c r="X521" s="115"/>
      <c r="Y521"/>
    </row>
    <row r="522" spans="22:25" x14ac:dyDescent="0.2">
      <c r="V522"/>
      <c r="W522"/>
      <c r="X522" s="115"/>
      <c r="Y522"/>
    </row>
    <row r="523" spans="22:25" x14ac:dyDescent="0.2">
      <c r="V523"/>
      <c r="W523"/>
      <c r="X523" s="115"/>
      <c r="Y523"/>
    </row>
    <row r="524" spans="22:25" x14ac:dyDescent="0.2">
      <c r="V524"/>
      <c r="W524"/>
      <c r="X524" s="115"/>
      <c r="Y524"/>
    </row>
    <row r="525" spans="22:25" x14ac:dyDescent="0.2">
      <c r="V525"/>
      <c r="W525"/>
      <c r="X525" s="115"/>
      <c r="Y525"/>
    </row>
    <row r="526" spans="22:25" x14ac:dyDescent="0.2">
      <c r="V526"/>
      <c r="W526"/>
      <c r="X526" s="115"/>
      <c r="Y526"/>
    </row>
    <row r="527" spans="22:25" x14ac:dyDescent="0.2">
      <c r="V527"/>
      <c r="W527"/>
      <c r="X527" s="115"/>
      <c r="Y527"/>
    </row>
    <row r="528" spans="22:25" x14ac:dyDescent="0.2">
      <c r="V528"/>
      <c r="W528"/>
      <c r="X528" s="115"/>
      <c r="Y528"/>
    </row>
    <row r="529" spans="22:25" x14ac:dyDescent="0.2">
      <c r="V529"/>
      <c r="W529"/>
      <c r="X529" s="115"/>
      <c r="Y529"/>
    </row>
    <row r="530" spans="22:25" x14ac:dyDescent="0.2">
      <c r="V530"/>
      <c r="W530"/>
      <c r="X530" s="115"/>
      <c r="Y530"/>
    </row>
    <row r="531" spans="22:25" x14ac:dyDescent="0.2">
      <c r="V531"/>
      <c r="W531"/>
      <c r="X531" s="115"/>
      <c r="Y531"/>
    </row>
    <row r="532" spans="22:25" x14ac:dyDescent="0.2">
      <c r="V532"/>
      <c r="W532"/>
      <c r="X532" s="115"/>
      <c r="Y532"/>
    </row>
    <row r="533" spans="22:25" x14ac:dyDescent="0.2">
      <c r="V533"/>
      <c r="W533"/>
      <c r="X533" s="115"/>
      <c r="Y533"/>
    </row>
    <row r="534" spans="22:25" x14ac:dyDescent="0.2">
      <c r="V534"/>
      <c r="W534"/>
      <c r="X534" s="115"/>
      <c r="Y534"/>
    </row>
    <row r="535" spans="22:25" x14ac:dyDescent="0.2">
      <c r="V535"/>
      <c r="W535"/>
      <c r="X535" s="115"/>
      <c r="Y535"/>
    </row>
    <row r="536" spans="22:25" x14ac:dyDescent="0.2">
      <c r="V536"/>
      <c r="W536"/>
      <c r="X536" s="115"/>
      <c r="Y536"/>
    </row>
    <row r="537" spans="22:25" x14ac:dyDescent="0.2">
      <c r="V537"/>
      <c r="W537"/>
      <c r="X537" s="115"/>
      <c r="Y537"/>
    </row>
    <row r="538" spans="22:25" x14ac:dyDescent="0.2">
      <c r="V538"/>
      <c r="W538"/>
      <c r="X538" s="115"/>
      <c r="Y538"/>
    </row>
    <row r="539" spans="22:25" x14ac:dyDescent="0.2">
      <c r="V539"/>
      <c r="W539"/>
      <c r="X539" s="115"/>
      <c r="Y539"/>
    </row>
    <row r="540" spans="22:25" x14ac:dyDescent="0.2">
      <c r="V540"/>
      <c r="W540"/>
      <c r="X540" s="115"/>
      <c r="Y540"/>
    </row>
    <row r="541" spans="22:25" x14ac:dyDescent="0.2">
      <c r="V541"/>
      <c r="W541"/>
      <c r="X541" s="115"/>
      <c r="Y541"/>
    </row>
    <row r="542" spans="22:25" x14ac:dyDescent="0.2">
      <c r="V542"/>
      <c r="W542"/>
      <c r="X542" s="115"/>
      <c r="Y542"/>
    </row>
    <row r="543" spans="22:25" x14ac:dyDescent="0.2">
      <c r="V543"/>
      <c r="W543"/>
      <c r="X543" s="115"/>
      <c r="Y543"/>
    </row>
    <row r="544" spans="22:25" x14ac:dyDescent="0.2">
      <c r="V544"/>
      <c r="W544"/>
      <c r="X544" s="115"/>
      <c r="Y544"/>
    </row>
    <row r="545" spans="22:25" x14ac:dyDescent="0.2">
      <c r="V545"/>
      <c r="W545"/>
      <c r="X545" s="115"/>
      <c r="Y545"/>
    </row>
    <row r="546" spans="22:25" x14ac:dyDescent="0.2">
      <c r="V546"/>
      <c r="W546"/>
      <c r="X546" s="115"/>
      <c r="Y546"/>
    </row>
    <row r="547" spans="22:25" x14ac:dyDescent="0.2">
      <c r="V547"/>
      <c r="W547"/>
      <c r="X547" s="115"/>
      <c r="Y547"/>
    </row>
    <row r="548" spans="22:25" x14ac:dyDescent="0.2">
      <c r="V548"/>
      <c r="W548"/>
      <c r="X548" s="115"/>
      <c r="Y548"/>
    </row>
    <row r="549" spans="22:25" x14ac:dyDescent="0.2">
      <c r="V549"/>
      <c r="W549"/>
      <c r="X549" s="115"/>
      <c r="Y549"/>
    </row>
    <row r="550" spans="22:25" x14ac:dyDescent="0.2">
      <c r="V550"/>
      <c r="W550"/>
      <c r="X550" s="115"/>
      <c r="Y550"/>
    </row>
    <row r="551" spans="22:25" x14ac:dyDescent="0.2">
      <c r="V551"/>
      <c r="W551"/>
      <c r="X551" s="115"/>
      <c r="Y551"/>
    </row>
    <row r="552" spans="22:25" x14ac:dyDescent="0.2">
      <c r="V552"/>
      <c r="W552"/>
      <c r="X552" s="115"/>
      <c r="Y552"/>
    </row>
    <row r="553" spans="22:25" x14ac:dyDescent="0.2">
      <c r="V553"/>
      <c r="W553"/>
      <c r="X553" s="115"/>
      <c r="Y553"/>
    </row>
    <row r="554" spans="22:25" x14ac:dyDescent="0.2">
      <c r="V554"/>
      <c r="W554"/>
      <c r="X554" s="115"/>
      <c r="Y554"/>
    </row>
    <row r="555" spans="22:25" x14ac:dyDescent="0.2">
      <c r="V555"/>
      <c r="W555"/>
      <c r="X555" s="115"/>
      <c r="Y555"/>
    </row>
    <row r="556" spans="22:25" x14ac:dyDescent="0.2">
      <c r="V556"/>
      <c r="W556"/>
      <c r="X556" s="115"/>
      <c r="Y556"/>
    </row>
    <row r="557" spans="22:25" x14ac:dyDescent="0.2">
      <c r="V557"/>
      <c r="W557"/>
      <c r="X557" s="115"/>
      <c r="Y557"/>
    </row>
    <row r="558" spans="22:25" x14ac:dyDescent="0.2">
      <c r="V558"/>
      <c r="W558"/>
      <c r="X558" s="115"/>
      <c r="Y558"/>
    </row>
    <row r="559" spans="22:25" x14ac:dyDescent="0.2">
      <c r="V559"/>
      <c r="W559"/>
      <c r="X559" s="115"/>
      <c r="Y559"/>
    </row>
    <row r="560" spans="22:25" x14ac:dyDescent="0.2">
      <c r="V560"/>
      <c r="W560"/>
      <c r="X560" s="115"/>
      <c r="Y560"/>
    </row>
    <row r="561" spans="22:25" x14ac:dyDescent="0.2">
      <c r="V561"/>
      <c r="W561"/>
      <c r="X561" s="115"/>
      <c r="Y561"/>
    </row>
    <row r="562" spans="22:25" x14ac:dyDescent="0.2">
      <c r="V562"/>
      <c r="W562"/>
      <c r="X562" s="115"/>
      <c r="Y562"/>
    </row>
    <row r="563" spans="22:25" x14ac:dyDescent="0.2">
      <c r="V563"/>
      <c r="W563"/>
      <c r="X563" s="115"/>
      <c r="Y563"/>
    </row>
    <row r="564" spans="22:25" x14ac:dyDescent="0.2">
      <c r="V564"/>
      <c r="W564"/>
      <c r="X564" s="115"/>
      <c r="Y564"/>
    </row>
    <row r="565" spans="22:25" x14ac:dyDescent="0.2">
      <c r="V565"/>
      <c r="W565"/>
      <c r="X565" s="115"/>
      <c r="Y565"/>
    </row>
    <row r="566" spans="22:25" x14ac:dyDescent="0.2">
      <c r="V566"/>
      <c r="W566"/>
      <c r="X566" s="115"/>
      <c r="Y566"/>
    </row>
    <row r="567" spans="22:25" x14ac:dyDescent="0.2">
      <c r="V567"/>
      <c r="W567"/>
      <c r="X567" s="115"/>
      <c r="Y567"/>
    </row>
    <row r="568" spans="22:25" x14ac:dyDescent="0.2">
      <c r="V568"/>
      <c r="W568"/>
      <c r="X568" s="115"/>
      <c r="Y568"/>
    </row>
    <row r="569" spans="22:25" x14ac:dyDescent="0.2">
      <c r="V569"/>
      <c r="W569"/>
      <c r="X569" s="115"/>
      <c r="Y569"/>
    </row>
    <row r="570" spans="22:25" x14ac:dyDescent="0.2">
      <c r="V570"/>
      <c r="W570"/>
      <c r="X570" s="115"/>
      <c r="Y570"/>
    </row>
    <row r="571" spans="22:25" x14ac:dyDescent="0.2">
      <c r="V571"/>
      <c r="W571"/>
      <c r="X571" s="115"/>
      <c r="Y571"/>
    </row>
    <row r="572" spans="22:25" x14ac:dyDescent="0.2">
      <c r="V572"/>
      <c r="W572"/>
      <c r="X572" s="115"/>
      <c r="Y572"/>
    </row>
    <row r="573" spans="22:25" x14ac:dyDescent="0.2">
      <c r="V573"/>
      <c r="W573"/>
      <c r="X573" s="115"/>
      <c r="Y573"/>
    </row>
    <row r="574" spans="22:25" x14ac:dyDescent="0.2">
      <c r="V574"/>
      <c r="W574"/>
      <c r="X574" s="115"/>
      <c r="Y574"/>
    </row>
    <row r="575" spans="22:25" x14ac:dyDescent="0.2">
      <c r="V575"/>
      <c r="W575"/>
      <c r="X575" s="115"/>
      <c r="Y575"/>
    </row>
    <row r="576" spans="22:25" x14ac:dyDescent="0.2">
      <c r="V576"/>
      <c r="W576"/>
      <c r="X576" s="115"/>
      <c r="Y576"/>
    </row>
    <row r="577" spans="22:25" x14ac:dyDescent="0.2">
      <c r="V577"/>
      <c r="W577"/>
      <c r="X577" s="115"/>
      <c r="Y577"/>
    </row>
    <row r="578" spans="22:25" x14ac:dyDescent="0.2">
      <c r="V578"/>
      <c r="W578"/>
      <c r="X578" s="115"/>
      <c r="Y578"/>
    </row>
    <row r="579" spans="22:25" x14ac:dyDescent="0.2">
      <c r="V579"/>
      <c r="W579"/>
      <c r="X579" s="115"/>
      <c r="Y579"/>
    </row>
    <row r="580" spans="22:25" x14ac:dyDescent="0.2">
      <c r="V580"/>
      <c r="W580"/>
      <c r="X580" s="115"/>
      <c r="Y580"/>
    </row>
    <row r="581" spans="22:25" x14ac:dyDescent="0.2">
      <c r="V581"/>
      <c r="W581"/>
      <c r="X581" s="115"/>
      <c r="Y581"/>
    </row>
    <row r="582" spans="22:25" x14ac:dyDescent="0.2">
      <c r="V582"/>
      <c r="W582"/>
      <c r="X582" s="115"/>
      <c r="Y582"/>
    </row>
    <row r="583" spans="22:25" x14ac:dyDescent="0.2">
      <c r="V583"/>
      <c r="W583"/>
      <c r="X583" s="115"/>
      <c r="Y583"/>
    </row>
    <row r="584" spans="22:25" x14ac:dyDescent="0.2">
      <c r="V584"/>
      <c r="W584"/>
      <c r="X584" s="115"/>
      <c r="Y584"/>
    </row>
    <row r="585" spans="22:25" x14ac:dyDescent="0.2">
      <c r="V585"/>
      <c r="W585"/>
      <c r="X585" s="115"/>
      <c r="Y585"/>
    </row>
    <row r="586" spans="22:25" x14ac:dyDescent="0.2">
      <c r="V586"/>
      <c r="W586"/>
      <c r="X586" s="115"/>
      <c r="Y586"/>
    </row>
    <row r="587" spans="22:25" x14ac:dyDescent="0.2">
      <c r="V587"/>
      <c r="W587"/>
      <c r="X587" s="115"/>
      <c r="Y587"/>
    </row>
    <row r="588" spans="22:25" x14ac:dyDescent="0.2">
      <c r="V588"/>
      <c r="W588"/>
      <c r="X588" s="115"/>
      <c r="Y588"/>
    </row>
    <row r="589" spans="22:25" x14ac:dyDescent="0.2">
      <c r="V589"/>
      <c r="W589"/>
      <c r="X589" s="115"/>
      <c r="Y589"/>
    </row>
    <row r="590" spans="22:25" x14ac:dyDescent="0.2">
      <c r="V590"/>
      <c r="W590"/>
      <c r="X590" s="115"/>
      <c r="Y590"/>
    </row>
    <row r="591" spans="22:25" x14ac:dyDescent="0.2">
      <c r="V591"/>
      <c r="W591"/>
      <c r="X591" s="115"/>
      <c r="Y591"/>
    </row>
    <row r="592" spans="22:25" x14ac:dyDescent="0.2">
      <c r="V592"/>
      <c r="W592"/>
      <c r="X592" s="115"/>
      <c r="Y592"/>
    </row>
    <row r="593" spans="22:25" x14ac:dyDescent="0.2">
      <c r="V593"/>
      <c r="W593"/>
      <c r="X593" s="115"/>
      <c r="Y593"/>
    </row>
    <row r="594" spans="22:25" x14ac:dyDescent="0.2">
      <c r="V594"/>
      <c r="W594"/>
      <c r="X594" s="115"/>
      <c r="Y594"/>
    </row>
    <row r="595" spans="22:25" x14ac:dyDescent="0.2">
      <c r="V595"/>
      <c r="W595"/>
      <c r="X595" s="115"/>
      <c r="Y595"/>
    </row>
    <row r="596" spans="22:25" x14ac:dyDescent="0.2">
      <c r="V596"/>
      <c r="W596"/>
      <c r="X596" s="115"/>
      <c r="Y596"/>
    </row>
    <row r="597" spans="22:25" x14ac:dyDescent="0.2">
      <c r="V597"/>
      <c r="W597"/>
      <c r="X597" s="115"/>
      <c r="Y597"/>
    </row>
    <row r="598" spans="22:25" x14ac:dyDescent="0.2">
      <c r="V598"/>
      <c r="W598"/>
      <c r="X598" s="115"/>
      <c r="Y598"/>
    </row>
    <row r="599" spans="22:25" x14ac:dyDescent="0.2">
      <c r="V599"/>
      <c r="W599"/>
      <c r="X599" s="115"/>
      <c r="Y599"/>
    </row>
    <row r="600" spans="22:25" x14ac:dyDescent="0.2">
      <c r="V600"/>
      <c r="W600"/>
      <c r="X600" s="115"/>
      <c r="Y600"/>
    </row>
    <row r="601" spans="22:25" x14ac:dyDescent="0.2">
      <c r="V601"/>
      <c r="W601"/>
      <c r="X601" s="115"/>
      <c r="Y601"/>
    </row>
    <row r="602" spans="22:25" x14ac:dyDescent="0.2">
      <c r="V602"/>
      <c r="W602"/>
      <c r="X602" s="115"/>
      <c r="Y602"/>
    </row>
    <row r="603" spans="22:25" x14ac:dyDescent="0.2">
      <c r="V603"/>
      <c r="W603"/>
      <c r="X603" s="115"/>
      <c r="Y603"/>
    </row>
    <row r="604" spans="22:25" x14ac:dyDescent="0.2">
      <c r="V604"/>
      <c r="W604"/>
      <c r="X604" s="115"/>
      <c r="Y604"/>
    </row>
    <row r="605" spans="22:25" x14ac:dyDescent="0.2">
      <c r="V605"/>
      <c r="W605"/>
      <c r="X605" s="115"/>
      <c r="Y605"/>
    </row>
    <row r="606" spans="22:25" x14ac:dyDescent="0.2">
      <c r="V606"/>
      <c r="W606"/>
      <c r="X606" s="115"/>
      <c r="Y606"/>
    </row>
    <row r="607" spans="22:25" x14ac:dyDescent="0.2">
      <c r="V607"/>
      <c r="W607"/>
      <c r="X607" s="115"/>
      <c r="Y607"/>
    </row>
    <row r="608" spans="22:25" x14ac:dyDescent="0.2">
      <c r="V608"/>
      <c r="W608"/>
      <c r="X608" s="115"/>
      <c r="Y608"/>
    </row>
    <row r="609" spans="22:25" x14ac:dyDescent="0.2">
      <c r="V609"/>
      <c r="W609"/>
      <c r="X609" s="115"/>
      <c r="Y609"/>
    </row>
    <row r="610" spans="22:25" x14ac:dyDescent="0.2">
      <c r="V610"/>
      <c r="W610"/>
      <c r="X610" s="115"/>
      <c r="Y610"/>
    </row>
    <row r="611" spans="22:25" x14ac:dyDescent="0.2">
      <c r="V611"/>
      <c r="W611"/>
      <c r="X611" s="115"/>
      <c r="Y611"/>
    </row>
    <row r="612" spans="22:25" x14ac:dyDescent="0.2">
      <c r="V612"/>
      <c r="W612"/>
      <c r="X612" s="115"/>
      <c r="Y612"/>
    </row>
    <row r="613" spans="22:25" x14ac:dyDescent="0.2">
      <c r="V613"/>
      <c r="W613"/>
      <c r="X613" s="115"/>
      <c r="Y613"/>
    </row>
    <row r="614" spans="22:25" x14ac:dyDescent="0.2">
      <c r="V614"/>
      <c r="W614"/>
      <c r="X614" s="115"/>
      <c r="Y614"/>
    </row>
    <row r="615" spans="22:25" x14ac:dyDescent="0.2">
      <c r="V615"/>
      <c r="W615"/>
      <c r="X615" s="115"/>
      <c r="Y615"/>
    </row>
    <row r="616" spans="22:25" x14ac:dyDescent="0.2">
      <c r="V616"/>
      <c r="W616"/>
      <c r="X616" s="115"/>
      <c r="Y616"/>
    </row>
    <row r="617" spans="22:25" x14ac:dyDescent="0.2">
      <c r="V617"/>
      <c r="W617"/>
      <c r="X617" s="115"/>
      <c r="Y617"/>
    </row>
    <row r="618" spans="22:25" x14ac:dyDescent="0.2">
      <c r="V618"/>
      <c r="W618"/>
      <c r="X618" s="115"/>
      <c r="Y618"/>
    </row>
    <row r="619" spans="22:25" x14ac:dyDescent="0.2">
      <c r="V619"/>
      <c r="W619"/>
      <c r="X619" s="115"/>
      <c r="Y619"/>
    </row>
    <row r="620" spans="22:25" x14ac:dyDescent="0.2">
      <c r="V620"/>
      <c r="W620"/>
      <c r="X620" s="115"/>
      <c r="Y620"/>
    </row>
    <row r="621" spans="22:25" x14ac:dyDescent="0.2">
      <c r="V621"/>
      <c r="W621"/>
      <c r="X621" s="115"/>
      <c r="Y621"/>
    </row>
    <row r="622" spans="22:25" x14ac:dyDescent="0.2">
      <c r="V622"/>
      <c r="W622"/>
      <c r="X622" s="115"/>
      <c r="Y622"/>
    </row>
    <row r="623" spans="22:25" x14ac:dyDescent="0.2">
      <c r="V623"/>
      <c r="W623"/>
      <c r="X623" s="115"/>
      <c r="Y623"/>
    </row>
    <row r="624" spans="22:25" x14ac:dyDescent="0.2">
      <c r="V624"/>
      <c r="W624"/>
      <c r="X624" s="115"/>
      <c r="Y624"/>
    </row>
    <row r="625" spans="22:25" x14ac:dyDescent="0.2">
      <c r="V625"/>
      <c r="W625"/>
      <c r="X625" s="115"/>
      <c r="Y625"/>
    </row>
    <row r="626" spans="22:25" x14ac:dyDescent="0.2">
      <c r="V626"/>
      <c r="W626"/>
      <c r="X626" s="115"/>
      <c r="Y626"/>
    </row>
    <row r="627" spans="22:25" x14ac:dyDescent="0.2">
      <c r="V627"/>
      <c r="W627"/>
      <c r="X627" s="115"/>
      <c r="Y627"/>
    </row>
    <row r="628" spans="22:25" x14ac:dyDescent="0.2">
      <c r="V628"/>
      <c r="W628"/>
      <c r="X628" s="115"/>
      <c r="Y628"/>
    </row>
    <row r="629" spans="22:25" x14ac:dyDescent="0.2">
      <c r="V629"/>
      <c r="W629"/>
      <c r="X629" s="115"/>
      <c r="Y629"/>
    </row>
    <row r="630" spans="22:25" x14ac:dyDescent="0.2">
      <c r="V630"/>
      <c r="W630"/>
      <c r="X630" s="115"/>
      <c r="Y630"/>
    </row>
    <row r="631" spans="22:25" x14ac:dyDescent="0.2">
      <c r="V631"/>
      <c r="W631"/>
      <c r="X631" s="115"/>
      <c r="Y631"/>
    </row>
    <row r="632" spans="22:25" x14ac:dyDescent="0.2">
      <c r="V632"/>
      <c r="W632"/>
      <c r="X632" s="115"/>
      <c r="Y632"/>
    </row>
    <row r="633" spans="22:25" x14ac:dyDescent="0.2">
      <c r="V633"/>
      <c r="W633"/>
      <c r="X633" s="115"/>
      <c r="Y633"/>
    </row>
    <row r="634" spans="22:25" x14ac:dyDescent="0.2">
      <c r="V634"/>
      <c r="W634"/>
      <c r="X634" s="115"/>
      <c r="Y634"/>
    </row>
    <row r="635" spans="22:25" x14ac:dyDescent="0.2">
      <c r="V635"/>
      <c r="W635"/>
      <c r="X635" s="115"/>
      <c r="Y635"/>
    </row>
    <row r="636" spans="22:25" x14ac:dyDescent="0.2">
      <c r="V636"/>
      <c r="W636"/>
      <c r="X636" s="115"/>
      <c r="Y636"/>
    </row>
    <row r="637" spans="22:25" x14ac:dyDescent="0.2">
      <c r="V637"/>
      <c r="W637"/>
      <c r="X637" s="115"/>
      <c r="Y637"/>
    </row>
    <row r="638" spans="22:25" x14ac:dyDescent="0.2">
      <c r="V638"/>
      <c r="W638"/>
      <c r="X638" s="115"/>
      <c r="Y638"/>
    </row>
    <row r="639" spans="22:25" x14ac:dyDescent="0.2">
      <c r="V639"/>
      <c r="W639"/>
      <c r="X639" s="115"/>
      <c r="Y639"/>
    </row>
    <row r="640" spans="22:25" x14ac:dyDescent="0.2">
      <c r="V640"/>
      <c r="W640"/>
      <c r="X640" s="115"/>
      <c r="Y640"/>
    </row>
    <row r="641" spans="22:25" x14ac:dyDescent="0.2">
      <c r="V641"/>
      <c r="W641"/>
      <c r="X641" s="115"/>
      <c r="Y641"/>
    </row>
    <row r="642" spans="22:25" x14ac:dyDescent="0.2">
      <c r="V642"/>
      <c r="W642"/>
      <c r="X642" s="115"/>
      <c r="Y642"/>
    </row>
    <row r="643" spans="22:25" x14ac:dyDescent="0.2">
      <c r="V643"/>
      <c r="W643"/>
      <c r="X643" s="115"/>
      <c r="Y643"/>
    </row>
    <row r="644" spans="22:25" x14ac:dyDescent="0.2">
      <c r="V644"/>
      <c r="W644"/>
      <c r="X644" s="115"/>
      <c r="Y644"/>
    </row>
    <row r="645" spans="22:25" x14ac:dyDescent="0.2">
      <c r="V645"/>
      <c r="W645"/>
      <c r="X645" s="115"/>
      <c r="Y645"/>
    </row>
    <row r="646" spans="22:25" x14ac:dyDescent="0.2">
      <c r="V646"/>
      <c r="W646"/>
      <c r="X646" s="115"/>
      <c r="Y646"/>
    </row>
    <row r="647" spans="22:25" x14ac:dyDescent="0.2">
      <c r="V647"/>
      <c r="W647"/>
      <c r="X647" s="115"/>
      <c r="Y647"/>
    </row>
    <row r="648" spans="22:25" x14ac:dyDescent="0.2">
      <c r="V648"/>
      <c r="W648"/>
      <c r="X648" s="115"/>
      <c r="Y648"/>
    </row>
    <row r="649" spans="22:25" x14ac:dyDescent="0.2">
      <c r="V649"/>
      <c r="W649"/>
      <c r="X649" s="115"/>
      <c r="Y649"/>
    </row>
    <row r="650" spans="22:25" x14ac:dyDescent="0.2">
      <c r="V650"/>
      <c r="W650"/>
      <c r="X650" s="115"/>
      <c r="Y650"/>
    </row>
    <row r="651" spans="22:25" x14ac:dyDescent="0.2">
      <c r="V651"/>
      <c r="W651"/>
      <c r="X651" s="115"/>
      <c r="Y651"/>
    </row>
    <row r="652" spans="22:25" x14ac:dyDescent="0.2">
      <c r="V652"/>
      <c r="W652"/>
      <c r="X652" s="115"/>
      <c r="Y652"/>
    </row>
    <row r="653" spans="22:25" x14ac:dyDescent="0.2">
      <c r="V653"/>
      <c r="W653"/>
      <c r="X653" s="115"/>
      <c r="Y653"/>
    </row>
    <row r="654" spans="22:25" x14ac:dyDescent="0.2">
      <c r="V654"/>
      <c r="W654"/>
      <c r="X654" s="115"/>
      <c r="Y654"/>
    </row>
    <row r="655" spans="22:25" x14ac:dyDescent="0.2">
      <c r="V655"/>
      <c r="W655"/>
      <c r="X655" s="115"/>
      <c r="Y655"/>
    </row>
    <row r="656" spans="22:25" x14ac:dyDescent="0.2">
      <c r="V656"/>
      <c r="W656"/>
      <c r="X656" s="115"/>
      <c r="Y656"/>
    </row>
    <row r="657" spans="22:25" x14ac:dyDescent="0.2">
      <c r="V657"/>
      <c r="W657"/>
      <c r="X657" s="115"/>
      <c r="Y657"/>
    </row>
    <row r="658" spans="22:25" x14ac:dyDescent="0.2">
      <c r="V658"/>
      <c r="W658"/>
      <c r="X658" s="115"/>
      <c r="Y658"/>
    </row>
    <row r="659" spans="22:25" x14ac:dyDescent="0.2">
      <c r="V659"/>
      <c r="W659"/>
      <c r="X659" s="115"/>
      <c r="Y659"/>
    </row>
    <row r="660" spans="22:25" x14ac:dyDescent="0.2">
      <c r="V660"/>
      <c r="W660"/>
      <c r="X660" s="115"/>
      <c r="Y660"/>
    </row>
    <row r="661" spans="22:25" x14ac:dyDescent="0.2">
      <c r="V661"/>
      <c r="W661"/>
      <c r="X661" s="115"/>
      <c r="Y661"/>
    </row>
    <row r="662" spans="22:25" x14ac:dyDescent="0.2">
      <c r="V662"/>
      <c r="W662"/>
      <c r="X662" s="115"/>
      <c r="Y662"/>
    </row>
    <row r="663" spans="22:25" x14ac:dyDescent="0.2">
      <c r="V663"/>
      <c r="W663"/>
      <c r="X663" s="115"/>
      <c r="Y663"/>
    </row>
    <row r="664" spans="22:25" x14ac:dyDescent="0.2">
      <c r="V664"/>
      <c r="W664"/>
      <c r="X664" s="115"/>
      <c r="Y664"/>
    </row>
    <row r="665" spans="22:25" x14ac:dyDescent="0.2">
      <c r="V665"/>
      <c r="W665"/>
      <c r="X665" s="115"/>
      <c r="Y665"/>
    </row>
    <row r="666" spans="22:25" x14ac:dyDescent="0.2">
      <c r="V666"/>
      <c r="W666"/>
      <c r="X666" s="115"/>
      <c r="Y666"/>
    </row>
    <row r="667" spans="22:25" x14ac:dyDescent="0.2">
      <c r="V667"/>
      <c r="W667"/>
      <c r="X667" s="115"/>
      <c r="Y667"/>
    </row>
    <row r="668" spans="22:25" x14ac:dyDescent="0.2">
      <c r="V668"/>
      <c r="W668"/>
      <c r="X668" s="115"/>
      <c r="Y668"/>
    </row>
    <row r="669" spans="22:25" x14ac:dyDescent="0.2">
      <c r="V669"/>
      <c r="W669"/>
      <c r="X669" s="115"/>
      <c r="Y669"/>
    </row>
    <row r="670" spans="22:25" x14ac:dyDescent="0.2">
      <c r="V670"/>
      <c r="W670"/>
      <c r="X670" s="115"/>
      <c r="Y670"/>
    </row>
    <row r="671" spans="22:25" x14ac:dyDescent="0.2">
      <c r="V671"/>
      <c r="W671"/>
      <c r="X671" s="115"/>
      <c r="Y671"/>
    </row>
    <row r="672" spans="22:25" x14ac:dyDescent="0.2">
      <c r="V672"/>
      <c r="W672"/>
      <c r="X672" s="115"/>
      <c r="Y672"/>
    </row>
    <row r="673" spans="22:25" x14ac:dyDescent="0.2">
      <c r="V673"/>
      <c r="W673"/>
      <c r="X673" s="115"/>
      <c r="Y673"/>
    </row>
    <row r="674" spans="22:25" x14ac:dyDescent="0.2">
      <c r="V674"/>
      <c r="W674"/>
      <c r="X674" s="115"/>
      <c r="Y674"/>
    </row>
    <row r="675" spans="22:25" x14ac:dyDescent="0.2">
      <c r="V675"/>
      <c r="W675"/>
      <c r="X675" s="115"/>
      <c r="Y675"/>
    </row>
    <row r="676" spans="22:25" x14ac:dyDescent="0.2">
      <c r="V676"/>
      <c r="W676"/>
      <c r="X676" s="115"/>
      <c r="Y676"/>
    </row>
    <row r="677" spans="22:25" x14ac:dyDescent="0.2">
      <c r="V677"/>
      <c r="W677"/>
      <c r="X677" s="115"/>
      <c r="Y677"/>
    </row>
    <row r="678" spans="22:25" x14ac:dyDescent="0.2">
      <c r="V678"/>
      <c r="W678"/>
      <c r="X678" s="115"/>
      <c r="Y678"/>
    </row>
    <row r="679" spans="22:25" x14ac:dyDescent="0.2">
      <c r="V679"/>
      <c r="W679"/>
      <c r="X679" s="115"/>
      <c r="Y679"/>
    </row>
    <row r="680" spans="22:25" x14ac:dyDescent="0.2">
      <c r="V680"/>
      <c r="W680"/>
      <c r="X680" s="115"/>
      <c r="Y680"/>
    </row>
    <row r="681" spans="22:25" x14ac:dyDescent="0.2">
      <c r="V681"/>
      <c r="W681"/>
      <c r="X681" s="115"/>
      <c r="Y681"/>
    </row>
    <row r="682" spans="22:25" x14ac:dyDescent="0.2">
      <c r="V682"/>
      <c r="W682"/>
      <c r="X682" s="115"/>
      <c r="Y682"/>
    </row>
    <row r="683" spans="22:25" x14ac:dyDescent="0.2">
      <c r="V683"/>
      <c r="W683"/>
      <c r="X683" s="115"/>
      <c r="Y683"/>
    </row>
    <row r="684" spans="22:25" x14ac:dyDescent="0.2">
      <c r="V684"/>
      <c r="W684"/>
      <c r="X684" s="115"/>
      <c r="Y684"/>
    </row>
    <row r="685" spans="22:25" x14ac:dyDescent="0.2">
      <c r="V685"/>
      <c r="W685"/>
      <c r="X685" s="115"/>
      <c r="Y685"/>
    </row>
    <row r="686" spans="22:25" x14ac:dyDescent="0.2">
      <c r="V686"/>
      <c r="W686"/>
      <c r="X686" s="115"/>
      <c r="Y686"/>
    </row>
    <row r="687" spans="22:25" x14ac:dyDescent="0.2">
      <c r="V687"/>
      <c r="W687"/>
      <c r="X687" s="115"/>
      <c r="Y687"/>
    </row>
    <row r="688" spans="22:25" x14ac:dyDescent="0.2">
      <c r="V688"/>
      <c r="W688"/>
      <c r="X688" s="115"/>
      <c r="Y688"/>
    </row>
    <row r="689" spans="22:25" x14ac:dyDescent="0.2">
      <c r="V689"/>
      <c r="W689"/>
      <c r="X689" s="115"/>
      <c r="Y689"/>
    </row>
    <row r="690" spans="22:25" x14ac:dyDescent="0.2">
      <c r="V690"/>
      <c r="W690"/>
      <c r="X690" s="115"/>
      <c r="Y690"/>
    </row>
    <row r="691" spans="22:25" x14ac:dyDescent="0.2">
      <c r="V691"/>
      <c r="W691"/>
      <c r="X691" s="115"/>
      <c r="Y691"/>
    </row>
    <row r="692" spans="22:25" x14ac:dyDescent="0.2">
      <c r="V692"/>
      <c r="W692"/>
      <c r="X692" s="115"/>
      <c r="Y692"/>
    </row>
    <row r="693" spans="22:25" x14ac:dyDescent="0.2">
      <c r="V693"/>
      <c r="W693"/>
      <c r="X693" s="115"/>
      <c r="Y693"/>
    </row>
    <row r="694" spans="22:25" x14ac:dyDescent="0.2">
      <c r="V694"/>
      <c r="W694"/>
      <c r="X694" s="115"/>
      <c r="Y694"/>
    </row>
    <row r="695" spans="22:25" x14ac:dyDescent="0.2">
      <c r="V695"/>
      <c r="W695"/>
      <c r="X695" s="115"/>
      <c r="Y695"/>
    </row>
    <row r="696" spans="22:25" x14ac:dyDescent="0.2">
      <c r="V696"/>
      <c r="W696"/>
      <c r="X696" s="115"/>
      <c r="Y696"/>
    </row>
    <row r="697" spans="22:25" x14ac:dyDescent="0.2">
      <c r="V697"/>
      <c r="W697"/>
      <c r="X697" s="115"/>
      <c r="Y697"/>
    </row>
    <row r="698" spans="22:25" x14ac:dyDescent="0.2">
      <c r="V698"/>
      <c r="W698"/>
      <c r="X698" s="115"/>
      <c r="Y698"/>
    </row>
    <row r="699" spans="22:25" x14ac:dyDescent="0.2">
      <c r="V699"/>
      <c r="W699"/>
      <c r="X699" s="115"/>
      <c r="Y699"/>
    </row>
    <row r="700" spans="22:25" x14ac:dyDescent="0.2">
      <c r="V700"/>
      <c r="W700"/>
      <c r="X700" s="115"/>
      <c r="Y700"/>
    </row>
    <row r="701" spans="22:25" x14ac:dyDescent="0.2">
      <c r="V701"/>
      <c r="W701"/>
      <c r="X701" s="115"/>
      <c r="Y701"/>
    </row>
    <row r="702" spans="22:25" x14ac:dyDescent="0.2">
      <c r="V702"/>
      <c r="W702"/>
      <c r="X702" s="115"/>
      <c r="Y702"/>
    </row>
    <row r="703" spans="22:25" x14ac:dyDescent="0.2">
      <c r="V703"/>
      <c r="W703"/>
      <c r="X703" s="115"/>
      <c r="Y703"/>
    </row>
    <row r="704" spans="22:25" x14ac:dyDescent="0.2">
      <c r="V704"/>
      <c r="W704"/>
      <c r="X704" s="115"/>
      <c r="Y704"/>
    </row>
    <row r="705" spans="22:25" x14ac:dyDescent="0.2">
      <c r="V705"/>
      <c r="W705"/>
      <c r="X705" s="115"/>
      <c r="Y705"/>
    </row>
    <row r="706" spans="22:25" x14ac:dyDescent="0.2">
      <c r="V706"/>
      <c r="W706"/>
      <c r="X706" s="115"/>
      <c r="Y706"/>
    </row>
    <row r="707" spans="22:25" x14ac:dyDescent="0.2">
      <c r="V707"/>
      <c r="W707"/>
      <c r="X707" s="115"/>
      <c r="Y707"/>
    </row>
    <row r="708" spans="22:25" x14ac:dyDescent="0.2">
      <c r="V708"/>
      <c r="W708"/>
      <c r="X708" s="115"/>
      <c r="Y708"/>
    </row>
    <row r="709" spans="22:25" x14ac:dyDescent="0.2">
      <c r="V709"/>
      <c r="W709"/>
      <c r="X709" s="115"/>
      <c r="Y709"/>
    </row>
    <row r="710" spans="22:25" x14ac:dyDescent="0.2">
      <c r="V710"/>
      <c r="W710"/>
      <c r="X710" s="115"/>
      <c r="Y710"/>
    </row>
    <row r="711" spans="22:25" x14ac:dyDescent="0.2">
      <c r="V711"/>
      <c r="W711"/>
      <c r="X711" s="115"/>
      <c r="Y711"/>
    </row>
    <row r="712" spans="22:25" x14ac:dyDescent="0.2">
      <c r="V712"/>
      <c r="W712"/>
      <c r="X712" s="115"/>
      <c r="Y712"/>
    </row>
    <row r="713" spans="22:25" x14ac:dyDescent="0.2">
      <c r="V713"/>
      <c r="W713"/>
      <c r="X713" s="115"/>
      <c r="Y713"/>
    </row>
    <row r="714" spans="22:25" x14ac:dyDescent="0.2">
      <c r="V714"/>
      <c r="W714"/>
      <c r="X714" s="115"/>
      <c r="Y714"/>
    </row>
    <row r="715" spans="22:25" x14ac:dyDescent="0.2">
      <c r="V715"/>
      <c r="W715"/>
      <c r="X715" s="115"/>
      <c r="Y715"/>
    </row>
    <row r="716" spans="22:25" x14ac:dyDescent="0.2">
      <c r="V716"/>
      <c r="W716"/>
      <c r="X716" s="115"/>
      <c r="Y716"/>
    </row>
    <row r="717" spans="22:25" x14ac:dyDescent="0.2">
      <c r="V717"/>
      <c r="W717"/>
      <c r="X717" s="115"/>
      <c r="Y717"/>
    </row>
    <row r="718" spans="22:25" x14ac:dyDescent="0.2">
      <c r="V718"/>
      <c r="W718"/>
      <c r="X718" s="115"/>
      <c r="Y718"/>
    </row>
    <row r="719" spans="22:25" x14ac:dyDescent="0.2">
      <c r="V719"/>
      <c r="W719"/>
      <c r="X719" s="115"/>
      <c r="Y719"/>
    </row>
    <row r="720" spans="22:25" x14ac:dyDescent="0.2">
      <c r="V720"/>
      <c r="W720"/>
      <c r="X720" s="115"/>
      <c r="Y720"/>
    </row>
    <row r="721" spans="22:25" x14ac:dyDescent="0.2">
      <c r="V721"/>
      <c r="W721"/>
      <c r="X721" s="115"/>
      <c r="Y721"/>
    </row>
    <row r="722" spans="22:25" x14ac:dyDescent="0.2">
      <c r="V722"/>
      <c r="W722"/>
      <c r="X722" s="115"/>
      <c r="Y722"/>
    </row>
    <row r="723" spans="22:25" x14ac:dyDescent="0.2">
      <c r="V723"/>
      <c r="W723"/>
      <c r="X723" s="115"/>
      <c r="Y723"/>
    </row>
    <row r="724" spans="22:25" x14ac:dyDescent="0.2">
      <c r="V724"/>
      <c r="W724"/>
      <c r="X724" s="115"/>
      <c r="Y724"/>
    </row>
    <row r="725" spans="22:25" x14ac:dyDescent="0.2">
      <c r="V725"/>
      <c r="W725"/>
      <c r="X725" s="115"/>
      <c r="Y725"/>
    </row>
    <row r="726" spans="22:25" x14ac:dyDescent="0.2">
      <c r="V726"/>
      <c r="W726"/>
      <c r="X726" s="115"/>
      <c r="Y726"/>
    </row>
    <row r="727" spans="22:25" x14ac:dyDescent="0.2">
      <c r="V727"/>
      <c r="W727"/>
      <c r="X727" s="115"/>
      <c r="Y727"/>
    </row>
    <row r="728" spans="22:25" x14ac:dyDescent="0.2">
      <c r="V728"/>
      <c r="W728"/>
      <c r="X728" s="115"/>
      <c r="Y728"/>
    </row>
    <row r="729" spans="22:25" x14ac:dyDescent="0.2">
      <c r="V729"/>
      <c r="W729"/>
      <c r="X729" s="115"/>
      <c r="Y729"/>
    </row>
    <row r="730" spans="22:25" x14ac:dyDescent="0.2">
      <c r="V730"/>
      <c r="W730"/>
      <c r="X730" s="115"/>
      <c r="Y730"/>
    </row>
    <row r="731" spans="22:25" x14ac:dyDescent="0.2">
      <c r="V731"/>
      <c r="W731"/>
      <c r="X731" s="115"/>
      <c r="Y731"/>
    </row>
    <row r="732" spans="22:25" x14ac:dyDescent="0.2">
      <c r="V732"/>
      <c r="W732"/>
      <c r="X732" s="115"/>
      <c r="Y732"/>
    </row>
    <row r="733" spans="22:25" x14ac:dyDescent="0.2">
      <c r="V733"/>
      <c r="W733"/>
      <c r="X733" s="115"/>
      <c r="Y733"/>
    </row>
    <row r="734" spans="22:25" x14ac:dyDescent="0.2">
      <c r="V734"/>
      <c r="W734"/>
      <c r="X734" s="115"/>
      <c r="Y734"/>
    </row>
    <row r="735" spans="22:25" x14ac:dyDescent="0.2">
      <c r="V735"/>
      <c r="W735"/>
      <c r="X735" s="115"/>
      <c r="Y735"/>
    </row>
    <row r="736" spans="22:25" x14ac:dyDescent="0.2">
      <c r="V736"/>
      <c r="W736"/>
      <c r="X736" s="115"/>
      <c r="Y736"/>
    </row>
    <row r="737" spans="22:25" x14ac:dyDescent="0.2">
      <c r="V737"/>
      <c r="W737"/>
      <c r="X737" s="115"/>
      <c r="Y737"/>
    </row>
    <row r="738" spans="22:25" x14ac:dyDescent="0.2">
      <c r="V738"/>
      <c r="W738"/>
      <c r="X738" s="115"/>
      <c r="Y738"/>
    </row>
    <row r="739" spans="22:25" x14ac:dyDescent="0.2">
      <c r="V739"/>
      <c r="W739"/>
      <c r="X739" s="115"/>
      <c r="Y739"/>
    </row>
    <row r="740" spans="22:25" x14ac:dyDescent="0.2">
      <c r="V740"/>
      <c r="W740"/>
      <c r="X740" s="115"/>
      <c r="Y740"/>
    </row>
    <row r="741" spans="22:25" x14ac:dyDescent="0.2">
      <c r="V741"/>
      <c r="W741"/>
      <c r="X741" s="115"/>
      <c r="Y741"/>
    </row>
    <row r="742" spans="22:25" x14ac:dyDescent="0.2">
      <c r="V742"/>
      <c r="W742"/>
      <c r="X742" s="115"/>
      <c r="Y742"/>
    </row>
    <row r="743" spans="22:25" x14ac:dyDescent="0.2">
      <c r="V743"/>
      <c r="W743"/>
      <c r="X743" s="115"/>
      <c r="Y743"/>
    </row>
    <row r="744" spans="22:25" x14ac:dyDescent="0.2">
      <c r="V744"/>
      <c r="W744"/>
      <c r="X744" s="115"/>
      <c r="Y744"/>
    </row>
    <row r="745" spans="22:25" x14ac:dyDescent="0.2">
      <c r="V745"/>
      <c r="W745"/>
      <c r="X745" s="115"/>
      <c r="Y745"/>
    </row>
    <row r="746" spans="22:25" x14ac:dyDescent="0.2">
      <c r="V746"/>
      <c r="W746"/>
      <c r="X746" s="115"/>
      <c r="Y746"/>
    </row>
    <row r="747" spans="22:25" x14ac:dyDescent="0.2">
      <c r="V747"/>
      <c r="W747"/>
      <c r="X747" s="115"/>
      <c r="Y747"/>
    </row>
    <row r="748" spans="22:25" x14ac:dyDescent="0.2">
      <c r="V748"/>
      <c r="W748"/>
      <c r="X748" s="115"/>
      <c r="Y748"/>
    </row>
    <row r="749" spans="22:25" x14ac:dyDescent="0.2">
      <c r="V749"/>
      <c r="W749"/>
      <c r="X749" s="115"/>
      <c r="Y749"/>
    </row>
    <row r="750" spans="22:25" x14ac:dyDescent="0.2">
      <c r="V750"/>
      <c r="W750"/>
      <c r="X750" s="115"/>
      <c r="Y750"/>
    </row>
    <row r="751" spans="22:25" x14ac:dyDescent="0.2">
      <c r="V751"/>
      <c r="W751"/>
      <c r="X751" s="115"/>
      <c r="Y751"/>
    </row>
    <row r="752" spans="22:25" x14ac:dyDescent="0.2">
      <c r="V752"/>
      <c r="W752"/>
      <c r="X752" s="115"/>
      <c r="Y752"/>
    </row>
    <row r="753" spans="22:25" x14ac:dyDescent="0.2">
      <c r="V753"/>
      <c r="W753"/>
      <c r="X753" s="115"/>
      <c r="Y753"/>
    </row>
    <row r="754" spans="22:25" x14ac:dyDescent="0.2">
      <c r="V754"/>
      <c r="W754"/>
      <c r="X754" s="115"/>
      <c r="Y754"/>
    </row>
    <row r="755" spans="22:25" x14ac:dyDescent="0.2">
      <c r="V755"/>
      <c r="W755"/>
      <c r="X755" s="115"/>
      <c r="Y755"/>
    </row>
    <row r="756" spans="22:25" x14ac:dyDescent="0.2">
      <c r="V756"/>
      <c r="W756"/>
      <c r="X756" s="115"/>
      <c r="Y756"/>
    </row>
    <row r="757" spans="22:25" x14ac:dyDescent="0.2">
      <c r="V757"/>
      <c r="W757"/>
      <c r="X757" s="115"/>
      <c r="Y757"/>
    </row>
    <row r="758" spans="22:25" x14ac:dyDescent="0.2">
      <c r="V758"/>
      <c r="W758"/>
      <c r="X758" s="115"/>
      <c r="Y758"/>
    </row>
    <row r="759" spans="22:25" x14ac:dyDescent="0.2">
      <c r="V759"/>
      <c r="W759"/>
      <c r="X759" s="115"/>
      <c r="Y759"/>
    </row>
    <row r="760" spans="22:25" x14ac:dyDescent="0.2">
      <c r="V760"/>
      <c r="W760"/>
      <c r="X760" s="115"/>
      <c r="Y760"/>
    </row>
    <row r="761" spans="22:25" x14ac:dyDescent="0.2">
      <c r="V761"/>
      <c r="W761"/>
      <c r="X761" s="115"/>
      <c r="Y761"/>
    </row>
    <row r="762" spans="22:25" x14ac:dyDescent="0.2">
      <c r="V762"/>
      <c r="W762"/>
      <c r="X762" s="115"/>
      <c r="Y762"/>
    </row>
    <row r="763" spans="22:25" x14ac:dyDescent="0.2">
      <c r="V763"/>
      <c r="W763"/>
      <c r="X763" s="115"/>
      <c r="Y763"/>
    </row>
    <row r="764" spans="22:25" x14ac:dyDescent="0.2">
      <c r="V764"/>
      <c r="W764"/>
      <c r="X764" s="115"/>
      <c r="Y764"/>
    </row>
    <row r="765" spans="22:25" x14ac:dyDescent="0.2">
      <c r="V765"/>
      <c r="W765"/>
      <c r="X765" s="115"/>
      <c r="Y765"/>
    </row>
    <row r="766" spans="22:25" x14ac:dyDescent="0.2">
      <c r="V766"/>
      <c r="W766"/>
      <c r="X766" s="115"/>
      <c r="Y766"/>
    </row>
    <row r="767" spans="22:25" x14ac:dyDescent="0.2">
      <c r="V767"/>
      <c r="W767"/>
      <c r="X767" s="115"/>
      <c r="Y767"/>
    </row>
    <row r="768" spans="22:25" x14ac:dyDescent="0.2">
      <c r="V768"/>
      <c r="W768"/>
      <c r="X768" s="115"/>
      <c r="Y768"/>
    </row>
    <row r="769" spans="22:25" x14ac:dyDescent="0.2">
      <c r="V769"/>
      <c r="W769"/>
      <c r="X769" s="115"/>
      <c r="Y769"/>
    </row>
    <row r="770" spans="22:25" x14ac:dyDescent="0.2">
      <c r="V770"/>
      <c r="W770"/>
      <c r="X770" s="115"/>
      <c r="Y770"/>
    </row>
    <row r="771" spans="22:25" x14ac:dyDescent="0.2">
      <c r="V771"/>
      <c r="W771"/>
      <c r="X771" s="115"/>
      <c r="Y771"/>
    </row>
    <row r="772" spans="22:25" x14ac:dyDescent="0.2">
      <c r="V772"/>
      <c r="W772"/>
      <c r="X772" s="115"/>
      <c r="Y772"/>
    </row>
    <row r="773" spans="22:25" x14ac:dyDescent="0.2">
      <c r="V773"/>
      <c r="W773"/>
      <c r="X773" s="115"/>
      <c r="Y773"/>
    </row>
    <row r="774" spans="22:25" x14ac:dyDescent="0.2">
      <c r="V774"/>
      <c r="W774"/>
      <c r="X774" s="115"/>
      <c r="Y774"/>
    </row>
    <row r="775" spans="22:25" x14ac:dyDescent="0.2">
      <c r="V775"/>
      <c r="W775"/>
      <c r="X775" s="115"/>
      <c r="Y775"/>
    </row>
    <row r="776" spans="22:25" x14ac:dyDescent="0.2">
      <c r="V776"/>
      <c r="W776"/>
      <c r="X776" s="115"/>
      <c r="Y776"/>
    </row>
    <row r="777" spans="22:25" x14ac:dyDescent="0.2">
      <c r="V777"/>
      <c r="W777"/>
      <c r="X777" s="115"/>
      <c r="Y777"/>
    </row>
    <row r="778" spans="22:25" x14ac:dyDescent="0.2">
      <c r="V778"/>
      <c r="W778"/>
      <c r="X778" s="115"/>
      <c r="Y778"/>
    </row>
    <row r="779" spans="22:25" x14ac:dyDescent="0.2">
      <c r="V779"/>
      <c r="W779"/>
      <c r="X779" s="115"/>
      <c r="Y779"/>
    </row>
    <row r="780" spans="22:25" x14ac:dyDescent="0.2">
      <c r="V780"/>
      <c r="W780"/>
      <c r="X780" s="115"/>
      <c r="Y780"/>
    </row>
    <row r="781" spans="22:25" x14ac:dyDescent="0.2">
      <c r="V781"/>
      <c r="W781"/>
      <c r="X781" s="115"/>
      <c r="Y781"/>
    </row>
    <row r="782" spans="22:25" x14ac:dyDescent="0.2">
      <c r="V782"/>
      <c r="W782"/>
      <c r="X782" s="115"/>
      <c r="Y782"/>
    </row>
    <row r="783" spans="22:25" x14ac:dyDescent="0.2">
      <c r="V783"/>
      <c r="W783"/>
      <c r="X783" s="115"/>
      <c r="Y783"/>
    </row>
    <row r="784" spans="22:25" x14ac:dyDescent="0.2">
      <c r="V784"/>
      <c r="W784"/>
      <c r="X784" s="115"/>
      <c r="Y784"/>
    </row>
    <row r="785" spans="22:25" x14ac:dyDescent="0.2">
      <c r="V785"/>
      <c r="W785"/>
      <c r="X785" s="115"/>
      <c r="Y785"/>
    </row>
    <row r="786" spans="22:25" x14ac:dyDescent="0.2">
      <c r="V786"/>
      <c r="W786"/>
      <c r="X786" s="115"/>
      <c r="Y786"/>
    </row>
    <row r="787" spans="22:25" x14ac:dyDescent="0.2">
      <c r="V787"/>
      <c r="W787"/>
      <c r="X787" s="115"/>
      <c r="Y787"/>
    </row>
    <row r="788" spans="22:25" x14ac:dyDescent="0.2">
      <c r="V788"/>
      <c r="W788"/>
      <c r="X788" s="115"/>
      <c r="Y788"/>
    </row>
    <row r="789" spans="22:25" x14ac:dyDescent="0.2">
      <c r="V789"/>
      <c r="W789"/>
      <c r="X789" s="115"/>
      <c r="Y789"/>
    </row>
    <row r="790" spans="22:25" x14ac:dyDescent="0.2">
      <c r="V790"/>
      <c r="W790"/>
      <c r="X790" s="115"/>
      <c r="Y790"/>
    </row>
    <row r="791" spans="22:25" x14ac:dyDescent="0.2">
      <c r="V791"/>
      <c r="W791"/>
      <c r="X791" s="115"/>
      <c r="Y791"/>
    </row>
    <row r="792" spans="22:25" x14ac:dyDescent="0.2">
      <c r="V792"/>
      <c r="W792"/>
      <c r="X792" s="115"/>
      <c r="Y792"/>
    </row>
    <row r="793" spans="22:25" x14ac:dyDescent="0.2">
      <c r="V793"/>
      <c r="W793"/>
      <c r="X793" s="115"/>
      <c r="Y793"/>
    </row>
    <row r="794" spans="22:25" x14ac:dyDescent="0.2">
      <c r="V794"/>
      <c r="W794"/>
      <c r="X794" s="115"/>
      <c r="Y794"/>
    </row>
    <row r="795" spans="22:25" x14ac:dyDescent="0.2">
      <c r="V795"/>
      <c r="W795"/>
      <c r="X795" s="115"/>
      <c r="Y795"/>
    </row>
    <row r="796" spans="22:25" x14ac:dyDescent="0.2">
      <c r="V796"/>
      <c r="W796"/>
      <c r="X796" s="115"/>
      <c r="Y796"/>
    </row>
    <row r="797" spans="22:25" x14ac:dyDescent="0.2">
      <c r="V797"/>
      <c r="W797"/>
      <c r="X797" s="115"/>
      <c r="Y797"/>
    </row>
    <row r="798" spans="22:25" x14ac:dyDescent="0.2">
      <c r="V798"/>
      <c r="W798"/>
      <c r="X798" s="115"/>
      <c r="Y798"/>
    </row>
    <row r="799" spans="22:25" x14ac:dyDescent="0.2">
      <c r="V799"/>
      <c r="W799"/>
      <c r="X799" s="115"/>
      <c r="Y799"/>
    </row>
    <row r="800" spans="22:25" x14ac:dyDescent="0.2">
      <c r="V800"/>
      <c r="W800"/>
      <c r="X800" s="115"/>
      <c r="Y800"/>
    </row>
    <row r="801" spans="22:25" x14ac:dyDescent="0.2">
      <c r="V801"/>
      <c r="W801"/>
      <c r="X801" s="115"/>
      <c r="Y801"/>
    </row>
    <row r="802" spans="22:25" x14ac:dyDescent="0.2">
      <c r="V802"/>
      <c r="W802"/>
      <c r="X802" s="115"/>
      <c r="Y802"/>
    </row>
    <row r="803" spans="22:25" x14ac:dyDescent="0.2">
      <c r="V803"/>
      <c r="W803"/>
      <c r="X803" s="115"/>
      <c r="Y803"/>
    </row>
    <row r="804" spans="22:25" x14ac:dyDescent="0.2">
      <c r="V804"/>
      <c r="W804"/>
      <c r="X804" s="115"/>
      <c r="Y804"/>
    </row>
    <row r="805" spans="22:25" x14ac:dyDescent="0.2">
      <c r="V805"/>
      <c r="W805"/>
      <c r="X805" s="115"/>
      <c r="Y805"/>
    </row>
    <row r="806" spans="22:25" x14ac:dyDescent="0.2">
      <c r="V806"/>
      <c r="W806"/>
      <c r="X806" s="115"/>
      <c r="Y806"/>
    </row>
    <row r="807" spans="22:25" x14ac:dyDescent="0.2">
      <c r="V807"/>
      <c r="W807"/>
      <c r="X807" s="115"/>
      <c r="Y807"/>
    </row>
    <row r="808" spans="22:25" x14ac:dyDescent="0.2">
      <c r="V808"/>
      <c r="W808"/>
      <c r="X808" s="115"/>
      <c r="Y808"/>
    </row>
    <row r="809" spans="22:25" x14ac:dyDescent="0.2">
      <c r="V809"/>
      <c r="W809"/>
      <c r="X809" s="115"/>
      <c r="Y809"/>
    </row>
    <row r="810" spans="22:25" x14ac:dyDescent="0.2">
      <c r="V810"/>
      <c r="W810"/>
      <c r="X810" s="115"/>
      <c r="Y810"/>
    </row>
    <row r="811" spans="22:25" x14ac:dyDescent="0.2">
      <c r="V811"/>
      <c r="W811"/>
      <c r="X811" s="115"/>
      <c r="Y811"/>
    </row>
    <row r="812" spans="22:25" x14ac:dyDescent="0.2">
      <c r="V812"/>
      <c r="W812"/>
      <c r="X812" s="115"/>
      <c r="Y812"/>
    </row>
    <row r="813" spans="22:25" x14ac:dyDescent="0.2">
      <c r="V813"/>
      <c r="W813"/>
      <c r="X813" s="115"/>
      <c r="Y813"/>
    </row>
    <row r="814" spans="22:25" x14ac:dyDescent="0.2">
      <c r="V814"/>
      <c r="W814"/>
      <c r="X814" s="115"/>
      <c r="Y814"/>
    </row>
    <row r="815" spans="22:25" x14ac:dyDescent="0.2">
      <c r="V815"/>
      <c r="W815"/>
      <c r="X815" s="115"/>
      <c r="Y815"/>
    </row>
    <row r="816" spans="22:25" x14ac:dyDescent="0.2">
      <c r="V816"/>
      <c r="W816"/>
      <c r="X816" s="115"/>
      <c r="Y816"/>
    </row>
    <row r="817" spans="22:25" x14ac:dyDescent="0.2">
      <c r="V817"/>
      <c r="W817"/>
      <c r="X817" s="115"/>
      <c r="Y817"/>
    </row>
    <row r="818" spans="22:25" x14ac:dyDescent="0.2">
      <c r="V818"/>
      <c r="W818"/>
      <c r="X818" s="115"/>
      <c r="Y818"/>
    </row>
    <row r="819" spans="22:25" x14ac:dyDescent="0.2">
      <c r="V819"/>
      <c r="W819"/>
      <c r="X819" s="115"/>
      <c r="Y819"/>
    </row>
    <row r="820" spans="22:25" x14ac:dyDescent="0.2">
      <c r="V820"/>
      <c r="W820"/>
      <c r="X820" s="115"/>
      <c r="Y820"/>
    </row>
    <row r="821" spans="22:25" x14ac:dyDescent="0.2">
      <c r="V821"/>
      <c r="W821"/>
      <c r="X821" s="115"/>
      <c r="Y821"/>
    </row>
    <row r="822" spans="22:25" x14ac:dyDescent="0.2">
      <c r="V822"/>
      <c r="W822"/>
      <c r="X822" s="115"/>
      <c r="Y822"/>
    </row>
    <row r="823" spans="22:25" x14ac:dyDescent="0.2">
      <c r="V823"/>
      <c r="W823"/>
      <c r="X823" s="115"/>
      <c r="Y823"/>
    </row>
    <row r="824" spans="22:25" x14ac:dyDescent="0.2">
      <c r="V824"/>
      <c r="W824"/>
      <c r="X824" s="115"/>
      <c r="Y824"/>
    </row>
    <row r="825" spans="22:25" x14ac:dyDescent="0.2">
      <c r="V825"/>
      <c r="W825"/>
      <c r="X825" s="115"/>
      <c r="Y825"/>
    </row>
    <row r="826" spans="22:25" x14ac:dyDescent="0.2">
      <c r="V826"/>
      <c r="W826"/>
      <c r="X826" s="115"/>
      <c r="Y826"/>
    </row>
    <row r="827" spans="22:25" x14ac:dyDescent="0.2">
      <c r="V827"/>
      <c r="W827"/>
      <c r="X827" s="115"/>
      <c r="Y827"/>
    </row>
    <row r="828" spans="22:25" x14ac:dyDescent="0.2">
      <c r="V828"/>
      <c r="W828"/>
      <c r="X828" s="115"/>
      <c r="Y828"/>
    </row>
    <row r="829" spans="22:25" x14ac:dyDescent="0.2">
      <c r="V829"/>
      <c r="W829"/>
      <c r="X829" s="115"/>
      <c r="Y829"/>
    </row>
    <row r="830" spans="22:25" x14ac:dyDescent="0.2">
      <c r="V830"/>
      <c r="W830"/>
      <c r="X830" s="115"/>
      <c r="Y830"/>
    </row>
    <row r="831" spans="22:25" x14ac:dyDescent="0.2">
      <c r="V831"/>
      <c r="W831"/>
      <c r="X831" s="115"/>
      <c r="Y831"/>
    </row>
    <row r="832" spans="22:25" x14ac:dyDescent="0.2">
      <c r="V832"/>
      <c r="W832"/>
      <c r="X832" s="115"/>
      <c r="Y832"/>
    </row>
    <row r="833" spans="22:25" x14ac:dyDescent="0.2">
      <c r="V833"/>
      <c r="W833"/>
      <c r="X833" s="115"/>
      <c r="Y833"/>
    </row>
    <row r="834" spans="22:25" x14ac:dyDescent="0.2">
      <c r="V834"/>
      <c r="W834"/>
      <c r="X834" s="115"/>
      <c r="Y834"/>
    </row>
    <row r="835" spans="22:25" x14ac:dyDescent="0.2">
      <c r="V835"/>
      <c r="W835"/>
      <c r="X835" s="115"/>
      <c r="Y835"/>
    </row>
    <row r="836" spans="22:25" x14ac:dyDescent="0.2">
      <c r="V836"/>
      <c r="W836"/>
      <c r="X836" s="115"/>
      <c r="Y836"/>
    </row>
    <row r="837" spans="22:25" x14ac:dyDescent="0.2">
      <c r="V837"/>
      <c r="W837"/>
      <c r="X837" s="115"/>
      <c r="Y837"/>
    </row>
    <row r="838" spans="22:25" x14ac:dyDescent="0.2">
      <c r="V838"/>
      <c r="W838"/>
      <c r="X838" s="115"/>
      <c r="Y838"/>
    </row>
    <row r="839" spans="22:25" x14ac:dyDescent="0.2">
      <c r="V839"/>
      <c r="W839"/>
      <c r="X839" s="115"/>
      <c r="Y839"/>
    </row>
    <row r="840" spans="22:25" x14ac:dyDescent="0.2">
      <c r="V840"/>
      <c r="W840"/>
      <c r="X840" s="115"/>
      <c r="Y840"/>
    </row>
    <row r="841" spans="22:25" x14ac:dyDescent="0.2">
      <c r="V841"/>
      <c r="W841"/>
      <c r="X841" s="115"/>
      <c r="Y841"/>
    </row>
    <row r="842" spans="22:25" x14ac:dyDescent="0.2">
      <c r="V842"/>
      <c r="W842"/>
      <c r="X842" s="115"/>
      <c r="Y842"/>
    </row>
    <row r="843" spans="22:25" x14ac:dyDescent="0.2">
      <c r="V843"/>
      <c r="W843"/>
      <c r="X843" s="115"/>
      <c r="Y843"/>
    </row>
    <row r="844" spans="22:25" x14ac:dyDescent="0.2">
      <c r="V844"/>
      <c r="W844"/>
      <c r="X844" s="115"/>
      <c r="Y844"/>
    </row>
    <row r="845" spans="22:25" x14ac:dyDescent="0.2">
      <c r="V845"/>
      <c r="W845"/>
      <c r="X845" s="115"/>
      <c r="Y845"/>
    </row>
    <row r="846" spans="22:25" x14ac:dyDescent="0.2">
      <c r="V846"/>
      <c r="W846"/>
      <c r="X846" s="115"/>
      <c r="Y846"/>
    </row>
    <row r="847" spans="22:25" x14ac:dyDescent="0.2">
      <c r="V847"/>
      <c r="W847"/>
      <c r="X847" s="115"/>
      <c r="Y847"/>
    </row>
    <row r="848" spans="22:25" x14ac:dyDescent="0.2">
      <c r="V848"/>
      <c r="W848"/>
      <c r="X848" s="115"/>
      <c r="Y848"/>
    </row>
    <row r="849" spans="22:25" x14ac:dyDescent="0.2">
      <c r="V849"/>
      <c r="W849"/>
      <c r="X849" s="115"/>
      <c r="Y849"/>
    </row>
    <row r="850" spans="22:25" x14ac:dyDescent="0.2">
      <c r="V850"/>
      <c r="W850"/>
      <c r="X850" s="115"/>
      <c r="Y850"/>
    </row>
    <row r="851" spans="22:25" x14ac:dyDescent="0.2">
      <c r="V851"/>
      <c r="W851"/>
      <c r="X851" s="115"/>
      <c r="Y851"/>
    </row>
    <row r="852" spans="22:25" x14ac:dyDescent="0.2">
      <c r="V852"/>
      <c r="W852"/>
      <c r="X852" s="115"/>
      <c r="Y852"/>
    </row>
    <row r="853" spans="22:25" x14ac:dyDescent="0.2">
      <c r="V853"/>
      <c r="W853"/>
      <c r="X853" s="115"/>
      <c r="Y853"/>
    </row>
    <row r="854" spans="22:25" x14ac:dyDescent="0.2">
      <c r="V854"/>
      <c r="W854"/>
      <c r="X854" s="115"/>
      <c r="Y854"/>
    </row>
    <row r="855" spans="22:25" x14ac:dyDescent="0.2">
      <c r="V855"/>
      <c r="W855"/>
      <c r="X855" s="115"/>
      <c r="Y855"/>
    </row>
    <row r="856" spans="22:25" x14ac:dyDescent="0.2">
      <c r="V856"/>
      <c r="W856"/>
      <c r="X856" s="115"/>
      <c r="Y856"/>
    </row>
    <row r="857" spans="22:25" x14ac:dyDescent="0.2">
      <c r="V857"/>
      <c r="W857"/>
      <c r="X857" s="115"/>
      <c r="Y857"/>
    </row>
    <row r="858" spans="22:25" x14ac:dyDescent="0.2">
      <c r="V858"/>
      <c r="W858"/>
      <c r="X858" s="115"/>
      <c r="Y858"/>
    </row>
    <row r="859" spans="22:25" x14ac:dyDescent="0.2">
      <c r="V859"/>
      <c r="W859"/>
      <c r="X859" s="115"/>
      <c r="Y859"/>
    </row>
    <row r="860" spans="22:25" x14ac:dyDescent="0.2">
      <c r="V860"/>
      <c r="W860"/>
      <c r="X860" s="115"/>
      <c r="Y860"/>
    </row>
    <row r="861" spans="22:25" x14ac:dyDescent="0.2">
      <c r="V861"/>
      <c r="W861"/>
      <c r="X861" s="115"/>
      <c r="Y861"/>
    </row>
    <row r="862" spans="22:25" x14ac:dyDescent="0.2">
      <c r="V862"/>
      <c r="W862"/>
      <c r="X862" s="115"/>
      <c r="Y862"/>
    </row>
    <row r="863" spans="22:25" x14ac:dyDescent="0.2">
      <c r="V863"/>
      <c r="W863"/>
      <c r="X863" s="115"/>
      <c r="Y863"/>
    </row>
    <row r="864" spans="22:25" x14ac:dyDescent="0.2">
      <c r="V864"/>
      <c r="W864"/>
      <c r="X864" s="115"/>
      <c r="Y864"/>
    </row>
    <row r="865" spans="22:25" x14ac:dyDescent="0.2">
      <c r="V865"/>
      <c r="W865"/>
      <c r="X865" s="115"/>
      <c r="Y865"/>
    </row>
    <row r="866" spans="22:25" x14ac:dyDescent="0.2">
      <c r="V866"/>
      <c r="W866"/>
      <c r="X866" s="115"/>
      <c r="Y866"/>
    </row>
    <row r="867" spans="22:25" x14ac:dyDescent="0.2">
      <c r="V867"/>
      <c r="W867"/>
      <c r="X867" s="115"/>
      <c r="Y867"/>
    </row>
    <row r="868" spans="22:25" x14ac:dyDescent="0.2">
      <c r="V868"/>
      <c r="W868"/>
      <c r="X868" s="115"/>
      <c r="Y868"/>
    </row>
    <row r="869" spans="22:25" x14ac:dyDescent="0.2">
      <c r="V869"/>
      <c r="W869"/>
      <c r="X869" s="115"/>
      <c r="Y869"/>
    </row>
    <row r="870" spans="22:25" x14ac:dyDescent="0.2">
      <c r="V870"/>
      <c r="W870"/>
      <c r="X870" s="115"/>
      <c r="Y870"/>
    </row>
    <row r="871" spans="22:25" x14ac:dyDescent="0.2">
      <c r="V871"/>
      <c r="W871"/>
      <c r="X871" s="115"/>
      <c r="Y871"/>
    </row>
    <row r="872" spans="22:25" x14ac:dyDescent="0.2">
      <c r="V872"/>
      <c r="W872"/>
      <c r="X872" s="115"/>
      <c r="Y872"/>
    </row>
    <row r="873" spans="22:25" x14ac:dyDescent="0.2">
      <c r="V873"/>
      <c r="W873"/>
      <c r="X873" s="115"/>
      <c r="Y873"/>
    </row>
    <row r="874" spans="22:25" x14ac:dyDescent="0.2">
      <c r="V874"/>
      <c r="W874"/>
      <c r="X874" s="115"/>
      <c r="Y874"/>
    </row>
    <row r="875" spans="22:25" x14ac:dyDescent="0.2">
      <c r="V875"/>
      <c r="W875"/>
      <c r="X875" s="115"/>
      <c r="Y875"/>
    </row>
    <row r="876" spans="22:25" x14ac:dyDescent="0.2">
      <c r="V876"/>
      <c r="W876"/>
      <c r="X876" s="115"/>
      <c r="Y876"/>
    </row>
    <row r="877" spans="22:25" x14ac:dyDescent="0.2">
      <c r="V877"/>
      <c r="W877"/>
      <c r="X877" s="115"/>
      <c r="Y877"/>
    </row>
    <row r="878" spans="22:25" x14ac:dyDescent="0.2">
      <c r="V878"/>
      <c r="W878"/>
      <c r="X878" s="115"/>
      <c r="Y878"/>
    </row>
    <row r="879" spans="22:25" x14ac:dyDescent="0.2">
      <c r="V879"/>
      <c r="W879"/>
      <c r="X879" s="115"/>
      <c r="Y879"/>
    </row>
    <row r="880" spans="22:25" x14ac:dyDescent="0.2">
      <c r="V880"/>
      <c r="W880"/>
      <c r="X880" s="115"/>
      <c r="Y880"/>
    </row>
    <row r="881" spans="22:25" x14ac:dyDescent="0.2">
      <c r="V881"/>
      <c r="W881"/>
      <c r="X881" s="115"/>
      <c r="Y881"/>
    </row>
    <row r="882" spans="22:25" x14ac:dyDescent="0.2">
      <c r="V882"/>
      <c r="W882"/>
      <c r="X882" s="115"/>
      <c r="Y882"/>
    </row>
    <row r="883" spans="22:25" x14ac:dyDescent="0.2">
      <c r="V883"/>
      <c r="W883"/>
      <c r="X883" s="115"/>
      <c r="Y883"/>
    </row>
    <row r="884" spans="22:25" x14ac:dyDescent="0.2">
      <c r="V884"/>
      <c r="W884"/>
      <c r="X884" s="115"/>
      <c r="Y884"/>
    </row>
    <row r="885" spans="22:25" x14ac:dyDescent="0.2">
      <c r="V885"/>
      <c r="W885"/>
      <c r="X885" s="115"/>
      <c r="Y885"/>
    </row>
    <row r="886" spans="22:25" x14ac:dyDescent="0.2">
      <c r="V886"/>
      <c r="W886"/>
      <c r="X886" s="115"/>
      <c r="Y886"/>
    </row>
    <row r="887" spans="22:25" x14ac:dyDescent="0.2">
      <c r="V887"/>
      <c r="W887"/>
      <c r="X887" s="115"/>
      <c r="Y887"/>
    </row>
    <row r="888" spans="22:25" x14ac:dyDescent="0.2">
      <c r="V888"/>
      <c r="W888"/>
      <c r="X888" s="115"/>
      <c r="Y888"/>
    </row>
    <row r="889" spans="22:25" x14ac:dyDescent="0.2">
      <c r="V889"/>
      <c r="W889"/>
      <c r="X889" s="115"/>
      <c r="Y889"/>
    </row>
    <row r="890" spans="22:25" x14ac:dyDescent="0.2">
      <c r="V890"/>
      <c r="W890"/>
      <c r="X890" s="115"/>
      <c r="Y890"/>
    </row>
    <row r="891" spans="22:25" x14ac:dyDescent="0.2">
      <c r="V891"/>
      <c r="W891"/>
      <c r="X891" s="115"/>
      <c r="Y891"/>
    </row>
    <row r="892" spans="22:25" x14ac:dyDescent="0.2">
      <c r="V892"/>
      <c r="W892"/>
      <c r="X892" s="115"/>
      <c r="Y892"/>
    </row>
    <row r="893" spans="22:25" x14ac:dyDescent="0.2">
      <c r="V893"/>
      <c r="W893"/>
      <c r="X893" s="115"/>
      <c r="Y893"/>
    </row>
    <row r="894" spans="22:25" x14ac:dyDescent="0.2">
      <c r="V894"/>
      <c r="W894"/>
      <c r="X894" s="115"/>
      <c r="Y894"/>
    </row>
    <row r="895" spans="22:25" x14ac:dyDescent="0.2">
      <c r="V895"/>
      <c r="W895"/>
      <c r="X895" s="115"/>
      <c r="Y895"/>
    </row>
    <row r="896" spans="22:25" x14ac:dyDescent="0.2">
      <c r="V896"/>
      <c r="W896"/>
      <c r="X896" s="115"/>
      <c r="Y896"/>
    </row>
    <row r="897" spans="22:25" x14ac:dyDescent="0.2">
      <c r="V897"/>
      <c r="W897"/>
      <c r="X897" s="115"/>
      <c r="Y897"/>
    </row>
    <row r="898" spans="22:25" x14ac:dyDescent="0.2">
      <c r="V898"/>
      <c r="W898"/>
      <c r="X898" s="115"/>
      <c r="Y898"/>
    </row>
    <row r="899" spans="22:25" x14ac:dyDescent="0.2">
      <c r="V899"/>
      <c r="W899"/>
      <c r="X899" s="115"/>
      <c r="Y899"/>
    </row>
    <row r="900" spans="22:25" x14ac:dyDescent="0.2">
      <c r="V900"/>
      <c r="W900"/>
      <c r="X900" s="115"/>
      <c r="Y900"/>
    </row>
    <row r="901" spans="22:25" x14ac:dyDescent="0.2">
      <c r="V901"/>
      <c r="W901"/>
      <c r="X901" s="115"/>
      <c r="Y901"/>
    </row>
    <row r="902" spans="22:25" x14ac:dyDescent="0.2">
      <c r="V902"/>
      <c r="W902"/>
      <c r="X902" s="115"/>
      <c r="Y902"/>
    </row>
    <row r="903" spans="22:25" x14ac:dyDescent="0.2">
      <c r="V903"/>
      <c r="W903"/>
      <c r="X903" s="115"/>
      <c r="Y903"/>
    </row>
    <row r="904" spans="22:25" x14ac:dyDescent="0.2">
      <c r="V904"/>
      <c r="W904"/>
      <c r="X904" s="115"/>
      <c r="Y904"/>
    </row>
    <row r="905" spans="22:25" x14ac:dyDescent="0.2">
      <c r="V905"/>
      <c r="W905"/>
      <c r="X905" s="115"/>
      <c r="Y905"/>
    </row>
    <row r="906" spans="22:25" x14ac:dyDescent="0.2">
      <c r="V906"/>
      <c r="W906"/>
      <c r="X906" s="115"/>
      <c r="Y906"/>
    </row>
    <row r="907" spans="22:25" x14ac:dyDescent="0.2">
      <c r="V907"/>
      <c r="W907"/>
      <c r="X907" s="115"/>
      <c r="Y907"/>
    </row>
    <row r="908" spans="22:25" x14ac:dyDescent="0.2">
      <c r="V908"/>
      <c r="W908"/>
      <c r="X908" s="115"/>
      <c r="Y908"/>
    </row>
    <row r="909" spans="22:25" x14ac:dyDescent="0.2">
      <c r="V909"/>
      <c r="W909"/>
      <c r="X909" s="115"/>
      <c r="Y909"/>
    </row>
    <row r="910" spans="22:25" x14ac:dyDescent="0.2">
      <c r="V910"/>
      <c r="W910"/>
      <c r="X910" s="115"/>
      <c r="Y910"/>
    </row>
    <row r="911" spans="22:25" x14ac:dyDescent="0.2">
      <c r="V911"/>
      <c r="W911"/>
      <c r="X911" s="115"/>
      <c r="Y911"/>
    </row>
    <row r="912" spans="22:25" x14ac:dyDescent="0.2">
      <c r="V912"/>
      <c r="W912"/>
      <c r="X912" s="115"/>
      <c r="Y912"/>
    </row>
    <row r="913" spans="22:25" x14ac:dyDescent="0.2">
      <c r="V913"/>
      <c r="W913"/>
      <c r="X913" s="115"/>
      <c r="Y913"/>
    </row>
    <row r="914" spans="22:25" x14ac:dyDescent="0.2">
      <c r="V914"/>
      <c r="W914"/>
      <c r="X914" s="115"/>
      <c r="Y914"/>
    </row>
    <row r="915" spans="22:25" x14ac:dyDescent="0.2">
      <c r="V915"/>
      <c r="W915"/>
      <c r="X915" s="115"/>
      <c r="Y915"/>
    </row>
    <row r="916" spans="22:25" x14ac:dyDescent="0.2">
      <c r="V916"/>
      <c r="W916"/>
      <c r="X916" s="115"/>
      <c r="Y916"/>
    </row>
    <row r="917" spans="22:25" x14ac:dyDescent="0.2">
      <c r="V917"/>
      <c r="W917"/>
      <c r="X917" s="115"/>
      <c r="Y917"/>
    </row>
    <row r="918" spans="22:25" x14ac:dyDescent="0.2">
      <c r="V918"/>
      <c r="W918"/>
      <c r="X918" s="115"/>
      <c r="Y918"/>
    </row>
    <row r="919" spans="22:25" x14ac:dyDescent="0.2">
      <c r="V919"/>
      <c r="W919"/>
      <c r="X919" s="115"/>
      <c r="Y919"/>
    </row>
    <row r="920" spans="22:25" x14ac:dyDescent="0.2">
      <c r="V920"/>
      <c r="W920"/>
      <c r="X920" s="115"/>
      <c r="Y920"/>
    </row>
    <row r="921" spans="22:25" x14ac:dyDescent="0.2">
      <c r="V921"/>
      <c r="W921"/>
      <c r="X921" s="115"/>
      <c r="Y921"/>
    </row>
    <row r="922" spans="22:25" x14ac:dyDescent="0.2">
      <c r="V922"/>
      <c r="W922"/>
      <c r="X922" s="115"/>
      <c r="Y922"/>
    </row>
    <row r="923" spans="22:25" x14ac:dyDescent="0.2">
      <c r="V923"/>
      <c r="W923"/>
      <c r="X923" s="115"/>
      <c r="Y923"/>
    </row>
    <row r="924" spans="22:25" x14ac:dyDescent="0.2">
      <c r="V924"/>
      <c r="W924"/>
      <c r="X924" s="115"/>
      <c r="Y924"/>
    </row>
    <row r="925" spans="22:25" x14ac:dyDescent="0.2">
      <c r="V925"/>
      <c r="W925"/>
      <c r="X925" s="115"/>
      <c r="Y925"/>
    </row>
    <row r="926" spans="22:25" x14ac:dyDescent="0.2">
      <c r="V926"/>
      <c r="W926"/>
      <c r="X926" s="115"/>
      <c r="Y926"/>
    </row>
    <row r="927" spans="22:25" x14ac:dyDescent="0.2">
      <c r="V927"/>
      <c r="W927"/>
      <c r="X927" s="115"/>
      <c r="Y927"/>
    </row>
    <row r="928" spans="22:25" x14ac:dyDescent="0.2">
      <c r="V928"/>
      <c r="W928"/>
      <c r="X928" s="115"/>
      <c r="Y928"/>
    </row>
    <row r="929" spans="22:25" x14ac:dyDescent="0.2">
      <c r="V929"/>
      <c r="W929"/>
      <c r="X929" s="115"/>
      <c r="Y929"/>
    </row>
    <row r="930" spans="22:25" x14ac:dyDescent="0.2">
      <c r="V930"/>
      <c r="W930"/>
      <c r="X930" s="115"/>
      <c r="Y930"/>
    </row>
    <row r="931" spans="22:25" x14ac:dyDescent="0.2">
      <c r="V931"/>
      <c r="W931"/>
      <c r="X931" s="115"/>
      <c r="Y931"/>
    </row>
    <row r="932" spans="22:25" x14ac:dyDescent="0.2">
      <c r="V932"/>
      <c r="W932"/>
      <c r="X932" s="115"/>
      <c r="Y932"/>
    </row>
    <row r="933" spans="22:25" x14ac:dyDescent="0.2">
      <c r="V933"/>
      <c r="W933"/>
      <c r="X933" s="115"/>
      <c r="Y933"/>
    </row>
    <row r="934" spans="22:25" x14ac:dyDescent="0.2">
      <c r="V934"/>
      <c r="W934"/>
      <c r="X934" s="115"/>
      <c r="Y934"/>
    </row>
    <row r="935" spans="22:25" x14ac:dyDescent="0.2">
      <c r="V935"/>
      <c r="W935"/>
      <c r="X935" s="115"/>
      <c r="Y935"/>
    </row>
    <row r="936" spans="22:25" x14ac:dyDescent="0.2">
      <c r="V936"/>
      <c r="W936"/>
      <c r="X936" s="115"/>
      <c r="Y936"/>
    </row>
    <row r="937" spans="22:25" x14ac:dyDescent="0.2">
      <c r="V937"/>
      <c r="W937"/>
      <c r="X937" s="115"/>
      <c r="Y937"/>
    </row>
    <row r="938" spans="22:25" x14ac:dyDescent="0.2">
      <c r="V938"/>
      <c r="W938"/>
      <c r="X938" s="115"/>
      <c r="Y938"/>
    </row>
    <row r="939" spans="22:25" x14ac:dyDescent="0.2">
      <c r="V939"/>
      <c r="W939"/>
      <c r="X939" s="115"/>
      <c r="Y939"/>
    </row>
    <row r="940" spans="22:25" x14ac:dyDescent="0.2">
      <c r="V940"/>
      <c r="W940"/>
      <c r="X940" s="115"/>
      <c r="Y940"/>
    </row>
    <row r="941" spans="22:25" x14ac:dyDescent="0.2">
      <c r="V941"/>
      <c r="W941"/>
      <c r="X941" s="115"/>
      <c r="Y941"/>
    </row>
    <row r="942" spans="22:25" x14ac:dyDescent="0.2">
      <c r="V942"/>
      <c r="W942"/>
      <c r="X942" s="115"/>
      <c r="Y942"/>
    </row>
    <row r="943" spans="22:25" x14ac:dyDescent="0.2">
      <c r="V943"/>
      <c r="W943"/>
      <c r="X943" s="115"/>
      <c r="Y943"/>
    </row>
    <row r="944" spans="22:25" x14ac:dyDescent="0.2">
      <c r="V944"/>
      <c r="W944"/>
      <c r="X944" s="115"/>
      <c r="Y944"/>
    </row>
    <row r="945" spans="22:25" x14ac:dyDescent="0.2">
      <c r="V945"/>
      <c r="W945"/>
      <c r="X945" s="115"/>
      <c r="Y945"/>
    </row>
    <row r="946" spans="22:25" x14ac:dyDescent="0.2">
      <c r="V946"/>
      <c r="W946"/>
      <c r="X946" s="115"/>
      <c r="Y946"/>
    </row>
    <row r="947" spans="22:25" x14ac:dyDescent="0.2">
      <c r="V947"/>
      <c r="W947"/>
      <c r="X947" s="115"/>
      <c r="Y947"/>
    </row>
    <row r="948" spans="22:25" x14ac:dyDescent="0.2">
      <c r="V948"/>
      <c r="W948"/>
      <c r="X948" s="115"/>
      <c r="Y948"/>
    </row>
    <row r="949" spans="22:25" x14ac:dyDescent="0.2">
      <c r="V949"/>
      <c r="W949"/>
      <c r="X949" s="115"/>
      <c r="Y949"/>
    </row>
    <row r="950" spans="22:25" x14ac:dyDescent="0.2">
      <c r="V950"/>
      <c r="W950"/>
      <c r="X950" s="115"/>
      <c r="Y950"/>
    </row>
    <row r="951" spans="22:25" x14ac:dyDescent="0.2">
      <c r="V951"/>
      <c r="W951"/>
      <c r="X951" s="115"/>
      <c r="Y951"/>
    </row>
    <row r="952" spans="22:25" x14ac:dyDescent="0.2">
      <c r="V952"/>
      <c r="W952"/>
      <c r="X952" s="115"/>
      <c r="Y952"/>
    </row>
    <row r="953" spans="22:25" x14ac:dyDescent="0.2">
      <c r="V953"/>
      <c r="W953"/>
      <c r="X953" s="115"/>
      <c r="Y953"/>
    </row>
    <row r="954" spans="22:25" x14ac:dyDescent="0.2">
      <c r="V954"/>
      <c r="W954"/>
      <c r="X954" s="115"/>
      <c r="Y954"/>
    </row>
    <row r="955" spans="22:25" x14ac:dyDescent="0.2">
      <c r="V955"/>
      <c r="W955"/>
      <c r="X955" s="115"/>
      <c r="Y955"/>
    </row>
    <row r="956" spans="22:25" x14ac:dyDescent="0.2">
      <c r="V956"/>
      <c r="W956"/>
      <c r="X956" s="115"/>
      <c r="Y956"/>
    </row>
    <row r="957" spans="22:25" x14ac:dyDescent="0.2">
      <c r="V957"/>
      <c r="W957"/>
      <c r="X957" s="115"/>
      <c r="Y957"/>
    </row>
    <row r="958" spans="22:25" x14ac:dyDescent="0.2">
      <c r="V958"/>
      <c r="W958"/>
      <c r="X958" s="115"/>
      <c r="Y958"/>
    </row>
    <row r="959" spans="22:25" x14ac:dyDescent="0.2">
      <c r="V959"/>
      <c r="W959"/>
      <c r="X959" s="115"/>
      <c r="Y959"/>
    </row>
    <row r="960" spans="22:25" x14ac:dyDescent="0.2">
      <c r="V960"/>
      <c r="W960"/>
      <c r="X960" s="115"/>
      <c r="Y960"/>
    </row>
    <row r="961" spans="22:25" x14ac:dyDescent="0.2">
      <c r="V961"/>
      <c r="W961"/>
      <c r="X961" s="115"/>
      <c r="Y961"/>
    </row>
    <row r="962" spans="22:25" x14ac:dyDescent="0.2">
      <c r="V962"/>
      <c r="W962"/>
      <c r="X962" s="115"/>
      <c r="Y962"/>
    </row>
    <row r="963" spans="22:25" x14ac:dyDescent="0.2">
      <c r="V963"/>
      <c r="W963"/>
      <c r="X963" s="115"/>
      <c r="Y963"/>
    </row>
    <row r="964" spans="22:25" x14ac:dyDescent="0.2">
      <c r="V964"/>
      <c r="W964"/>
      <c r="X964" s="115"/>
      <c r="Y964"/>
    </row>
    <row r="965" spans="22:25" x14ac:dyDescent="0.2">
      <c r="V965"/>
      <c r="W965"/>
      <c r="X965" s="115"/>
      <c r="Y965"/>
    </row>
    <row r="966" spans="22:25" x14ac:dyDescent="0.2">
      <c r="V966"/>
      <c r="W966"/>
      <c r="X966" s="115"/>
      <c r="Y966"/>
    </row>
    <row r="967" spans="22:25" x14ac:dyDescent="0.2">
      <c r="V967"/>
      <c r="W967"/>
      <c r="X967" s="115"/>
      <c r="Y967"/>
    </row>
    <row r="968" spans="22:25" x14ac:dyDescent="0.2">
      <c r="V968"/>
      <c r="W968"/>
      <c r="X968" s="115"/>
      <c r="Y968"/>
    </row>
    <row r="969" spans="22:25" x14ac:dyDescent="0.2">
      <c r="V969"/>
      <c r="W969"/>
      <c r="X969" s="115"/>
      <c r="Y969"/>
    </row>
    <row r="970" spans="22:25" x14ac:dyDescent="0.2">
      <c r="V970"/>
      <c r="W970"/>
      <c r="X970" s="115"/>
      <c r="Y970"/>
    </row>
    <row r="971" spans="22:25" x14ac:dyDescent="0.2">
      <c r="V971"/>
      <c r="W971"/>
      <c r="X971" s="115"/>
      <c r="Y971"/>
    </row>
    <row r="972" spans="22:25" x14ac:dyDescent="0.2">
      <c r="V972"/>
      <c r="W972"/>
      <c r="X972" s="115"/>
      <c r="Y972"/>
    </row>
    <row r="973" spans="22:25" x14ac:dyDescent="0.2">
      <c r="V973"/>
      <c r="W973"/>
      <c r="X973" s="115"/>
      <c r="Y973"/>
    </row>
    <row r="974" spans="22:25" x14ac:dyDescent="0.2">
      <c r="V974"/>
      <c r="W974"/>
      <c r="X974" s="115"/>
      <c r="Y974"/>
    </row>
    <row r="975" spans="22:25" x14ac:dyDescent="0.2">
      <c r="V975"/>
      <c r="W975"/>
      <c r="X975" s="115"/>
      <c r="Y975"/>
    </row>
    <row r="976" spans="22:25" x14ac:dyDescent="0.2">
      <c r="V976"/>
      <c r="W976"/>
      <c r="X976" s="115"/>
      <c r="Y976"/>
    </row>
    <row r="977" spans="22:25" x14ac:dyDescent="0.2">
      <c r="V977"/>
      <c r="W977"/>
      <c r="X977" s="115"/>
      <c r="Y977"/>
    </row>
    <row r="978" spans="22:25" x14ac:dyDescent="0.2">
      <c r="V978"/>
      <c r="W978"/>
      <c r="X978" s="115"/>
      <c r="Y978"/>
    </row>
    <row r="979" spans="22:25" x14ac:dyDescent="0.2">
      <c r="V979"/>
      <c r="W979"/>
      <c r="X979" s="115"/>
      <c r="Y979"/>
    </row>
    <row r="980" spans="22:25" x14ac:dyDescent="0.2">
      <c r="V980"/>
      <c r="W980"/>
      <c r="X980" s="115"/>
      <c r="Y980"/>
    </row>
    <row r="981" spans="22:25" x14ac:dyDescent="0.2">
      <c r="V981"/>
      <c r="W981"/>
      <c r="X981" s="115"/>
      <c r="Y981"/>
    </row>
    <row r="982" spans="22:25" x14ac:dyDescent="0.2">
      <c r="V982"/>
      <c r="W982"/>
      <c r="X982" s="115"/>
      <c r="Y982"/>
    </row>
    <row r="983" spans="22:25" x14ac:dyDescent="0.2">
      <c r="V983"/>
      <c r="W983"/>
      <c r="X983" s="115"/>
      <c r="Y983"/>
    </row>
    <row r="984" spans="22:25" x14ac:dyDescent="0.2">
      <c r="V984"/>
      <c r="W984"/>
      <c r="X984" s="115"/>
      <c r="Y984"/>
    </row>
    <row r="985" spans="22:25" x14ac:dyDescent="0.2">
      <c r="V985"/>
      <c r="W985"/>
      <c r="X985" s="115"/>
      <c r="Y985"/>
    </row>
    <row r="986" spans="22:25" x14ac:dyDescent="0.2">
      <c r="V986"/>
      <c r="W986"/>
      <c r="X986" s="115"/>
      <c r="Y986"/>
    </row>
    <row r="987" spans="22:25" x14ac:dyDescent="0.2">
      <c r="V987"/>
      <c r="W987"/>
      <c r="X987" s="115"/>
      <c r="Y987"/>
    </row>
    <row r="988" spans="22:25" x14ac:dyDescent="0.2">
      <c r="V988"/>
      <c r="W988"/>
      <c r="X988" s="115"/>
      <c r="Y988"/>
    </row>
    <row r="989" spans="22:25" x14ac:dyDescent="0.2">
      <c r="V989"/>
      <c r="W989"/>
      <c r="X989" s="115"/>
      <c r="Y989"/>
    </row>
    <row r="990" spans="22:25" x14ac:dyDescent="0.2">
      <c r="V990"/>
      <c r="W990"/>
      <c r="X990" s="115"/>
      <c r="Y990"/>
    </row>
    <row r="991" spans="22:25" x14ac:dyDescent="0.2">
      <c r="V991"/>
      <c r="W991"/>
      <c r="X991" s="115"/>
      <c r="Y991"/>
    </row>
    <row r="992" spans="22:25" x14ac:dyDescent="0.2">
      <c r="V992"/>
      <c r="W992"/>
      <c r="X992" s="115"/>
      <c r="Y992"/>
    </row>
    <row r="993" spans="22:25" x14ac:dyDescent="0.2">
      <c r="V993"/>
      <c r="W993"/>
      <c r="X993" s="115"/>
      <c r="Y993"/>
    </row>
    <row r="994" spans="22:25" x14ac:dyDescent="0.2">
      <c r="V994"/>
      <c r="W994"/>
      <c r="X994" s="115"/>
      <c r="Y994"/>
    </row>
    <row r="995" spans="22:25" x14ac:dyDescent="0.2">
      <c r="V995"/>
      <c r="W995"/>
      <c r="X995" s="115"/>
      <c r="Y995"/>
    </row>
    <row r="996" spans="22:25" x14ac:dyDescent="0.2">
      <c r="V996"/>
      <c r="W996"/>
      <c r="X996" s="115"/>
      <c r="Y996"/>
    </row>
    <row r="997" spans="22:25" x14ac:dyDescent="0.2">
      <c r="V997"/>
      <c r="W997"/>
      <c r="X997" s="115"/>
      <c r="Y997"/>
    </row>
    <row r="998" spans="22:25" x14ac:dyDescent="0.2">
      <c r="V998"/>
      <c r="W998"/>
      <c r="X998" s="115"/>
      <c r="Y998"/>
    </row>
    <row r="999" spans="22:25" x14ac:dyDescent="0.2">
      <c r="V999"/>
      <c r="W999"/>
      <c r="X999" s="115"/>
      <c r="Y999"/>
    </row>
    <row r="1000" spans="22:25" x14ac:dyDescent="0.2">
      <c r="V1000"/>
      <c r="W1000"/>
      <c r="X1000" s="115"/>
      <c r="Y1000"/>
    </row>
  </sheetData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3" name="Button 19">
              <controlPr defaultSize="0" print="0" autoFill="0" autoPict="0" macro="[0]!Module1.CrearTablaResumenConTotales" altText="Correr el código para habilitar la macros_x000a_">
                <anchor moveWithCells="1" sizeWithCells="1">
                  <from>
                    <xdr:col>3</xdr:col>
                    <xdr:colOff>1193800</xdr:colOff>
                    <xdr:row>2</xdr:row>
                    <xdr:rowOff>50800</xdr:rowOff>
                  </from>
                  <to>
                    <xdr:col>9</xdr:col>
                    <xdr:colOff>1231900</xdr:colOff>
                    <xdr:row>2</xdr:row>
                    <xdr:rowOff>723900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B77D-49AC-4843-B975-EC8D72F2269F}">
  <sheetPr codeName="Hoja9">
    <tabColor rgb="FF00B050"/>
  </sheetPr>
  <dimension ref="B1:P23"/>
  <sheetViews>
    <sheetView zoomScaleNormal="100" workbookViewId="0">
      <selection activeCell="B11" sqref="B11"/>
    </sheetView>
  </sheetViews>
  <sheetFormatPr baseColWidth="10" defaultColWidth="11.5" defaultRowHeight="15" x14ac:dyDescent="0.2"/>
  <cols>
    <col min="2" max="2" width="15.6640625" style="21" customWidth="1"/>
    <col min="3" max="3" width="12.6640625" style="116" customWidth="1"/>
    <col min="4" max="4" width="19.5" style="23" customWidth="1"/>
    <col min="5" max="5" width="28.5" style="116" customWidth="1"/>
    <col min="6" max="6" width="12.1640625" style="116" customWidth="1"/>
    <col min="7" max="7" width="17.83203125" style="21" customWidth="1"/>
    <col min="8" max="8" width="10.5" style="20" customWidth="1"/>
    <col min="9" max="9" width="10" style="117" customWidth="1"/>
    <col min="10" max="10" width="16.1640625" style="117" customWidth="1"/>
    <col min="11" max="11" width="15.1640625" style="117" customWidth="1"/>
    <col min="12" max="12" width="11.5" style="65"/>
    <col min="13" max="13" width="11.5" style="117"/>
    <col min="14" max="14" width="11.5" style="118"/>
  </cols>
  <sheetData>
    <row r="1" spans="2:16" x14ac:dyDescent="0.2">
      <c r="B1" s="32"/>
      <c r="C1" s="32"/>
      <c r="D1" s="32"/>
      <c r="E1"/>
      <c r="F1"/>
      <c r="G1"/>
      <c r="H1"/>
      <c r="I1"/>
      <c r="J1"/>
      <c r="K1"/>
      <c r="L1"/>
      <c r="M1"/>
      <c r="N1"/>
    </row>
    <row r="2" spans="2:16" x14ac:dyDescent="0.2">
      <c r="B2" s="32"/>
      <c r="C2" s="32"/>
      <c r="D2" s="32"/>
      <c r="E2"/>
      <c r="F2"/>
      <c r="G2"/>
      <c r="H2"/>
      <c r="I2"/>
      <c r="J2"/>
      <c r="K2"/>
      <c r="L2"/>
      <c r="M2"/>
      <c r="N2"/>
    </row>
    <row r="3" spans="2:16" x14ac:dyDescent="0.2">
      <c r="B3" s="33"/>
      <c r="C3" s="32"/>
      <c r="D3" s="32"/>
      <c r="E3"/>
      <c r="F3"/>
      <c r="G3"/>
      <c r="H3"/>
      <c r="I3"/>
      <c r="J3"/>
      <c r="K3"/>
      <c r="L3"/>
      <c r="M3"/>
      <c r="N3"/>
    </row>
    <row r="4" spans="2:16" x14ac:dyDescent="0.2">
      <c r="B4" s="32"/>
      <c r="C4" s="32"/>
      <c r="D4" s="34"/>
      <c r="E4"/>
      <c r="F4"/>
      <c r="G4"/>
      <c r="H4"/>
      <c r="I4"/>
      <c r="J4"/>
      <c r="K4"/>
      <c r="L4"/>
      <c r="M4"/>
      <c r="N4"/>
    </row>
    <row r="5" spans="2:16" x14ac:dyDescent="0.2">
      <c r="B5" s="96" t="s">
        <v>49</v>
      </c>
      <c r="C5" s="96" t="s">
        <v>49</v>
      </c>
      <c r="D5" s="96" t="s">
        <v>138</v>
      </c>
      <c r="E5" s="4" t="s">
        <v>138</v>
      </c>
      <c r="F5" s="4" t="s">
        <v>50</v>
      </c>
      <c r="G5" s="96" t="s">
        <v>49</v>
      </c>
      <c r="H5" s="96" t="s">
        <v>49</v>
      </c>
      <c r="I5" s="4" t="s">
        <v>50</v>
      </c>
      <c r="J5" s="4" t="s">
        <v>50</v>
      </c>
      <c r="K5" s="4" t="s">
        <v>50</v>
      </c>
      <c r="L5" s="4" t="s">
        <v>50</v>
      </c>
      <c r="M5" s="4" t="s">
        <v>50</v>
      </c>
      <c r="N5" s="4" t="s">
        <v>50</v>
      </c>
    </row>
    <row r="6" spans="2:16" ht="32" x14ac:dyDescent="0.2">
      <c r="B6" s="19" t="s">
        <v>37</v>
      </c>
      <c r="C6" s="19" t="s">
        <v>51</v>
      </c>
      <c r="D6" s="19" t="s">
        <v>47</v>
      </c>
      <c r="E6" s="19" t="s">
        <v>36</v>
      </c>
      <c r="F6" s="19" t="s">
        <v>115</v>
      </c>
      <c r="G6" s="19" t="s">
        <v>52</v>
      </c>
      <c r="H6" s="19" t="s">
        <v>53</v>
      </c>
      <c r="I6" s="29" t="s">
        <v>54</v>
      </c>
      <c r="J6" s="19" t="s">
        <v>55</v>
      </c>
      <c r="K6" s="19" t="s">
        <v>154</v>
      </c>
      <c r="L6" s="29" t="s">
        <v>56</v>
      </c>
      <c r="M6" s="19" t="s">
        <v>57</v>
      </c>
      <c r="N6" s="36" t="s">
        <v>58</v>
      </c>
    </row>
    <row r="7" spans="2:16" ht="66" customHeight="1" x14ac:dyDescent="0.2">
      <c r="B7" s="27" t="s">
        <v>46</v>
      </c>
      <c r="C7" s="20" t="s">
        <v>182</v>
      </c>
      <c r="D7" s="59" t="s">
        <v>189</v>
      </c>
      <c r="E7" s="31" t="s">
        <v>190</v>
      </c>
      <c r="F7" t="str">
        <f>_xlfn.XLOOKUP(Tabla2757[[#This Row],[Tipo de venta]],Tabla2329[Tipo de venta],Tabla2329[Moneda final], "Error - Seleccionar Tipo de Venta", 0,1)</f>
        <v>UF</v>
      </c>
      <c r="G7" s="20" t="s">
        <v>29</v>
      </c>
      <c r="H7" s="20" t="s">
        <v>25</v>
      </c>
      <c r="I7" s="30">
        <f>_xlfn.XLOOKUP(Tabla2757[[#This Row],[Puesto Encargado]], Tabla9[Puesto], Tabla9[Precio cliente],0,1,1)</f>
        <v>0.83333333333333337</v>
      </c>
      <c r="J7" s="30">
        <f>_xlfn.XLOOKUP(Tabla2757[[#This Row],[Cargo]], Tabla958[Cargos], Tabla958[Ponderador Precio],0,1,1)</f>
        <v>1</v>
      </c>
      <c r="K7" s="30">
        <f>Tabla2757[[#This Row],[Precio por hora UF]]*Tabla2757[[#This Row],[Ponderador]]</f>
        <v>0.83333333333333337</v>
      </c>
      <c r="L7" s="40">
        <v>8</v>
      </c>
      <c r="M7" s="30">
        <f>Tabla2757[[#This Row],[Precio por hora]]*Tabla2757[[#This Row],[Cantidad horas]]</f>
        <v>6.666666666666667</v>
      </c>
      <c r="N7" s="61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6.666666666666667</v>
      </c>
    </row>
    <row r="8" spans="2:16" ht="32" x14ac:dyDescent="0.2">
      <c r="B8" s="27" t="s">
        <v>46</v>
      </c>
      <c r="C8" s="20" t="s">
        <v>183</v>
      </c>
      <c r="D8" s="59" t="s">
        <v>189</v>
      </c>
      <c r="E8" s="31" t="s">
        <v>190</v>
      </c>
      <c r="F8" t="str">
        <f>_xlfn.XLOOKUP(Tabla2757[[#This Row],[Tipo de venta]],Tabla2329[Tipo de venta],Tabla2329[Moneda final], "Error - Seleccionar Tipo de Venta", 0,1)</f>
        <v>UF</v>
      </c>
      <c r="G8" s="20" t="s">
        <v>29</v>
      </c>
      <c r="H8" s="20" t="s">
        <v>25</v>
      </c>
      <c r="I8" s="30">
        <f>_xlfn.XLOOKUP(Tabla2757[[#This Row],[Puesto Encargado]], Tabla9[Puesto], Tabla9[Precio cliente],0,1,1)</f>
        <v>0.83333333333333337</v>
      </c>
      <c r="J8" s="30">
        <f>_xlfn.XLOOKUP(Tabla2757[[#This Row],[Cargo]], Tabla958[Cargos], Tabla958[Ponderador Precio],0,1,1)</f>
        <v>1</v>
      </c>
      <c r="K8" s="30">
        <f>Tabla2757[[#This Row],[Precio por hora UF]]*Tabla2757[[#This Row],[Ponderador]]</f>
        <v>0.83333333333333337</v>
      </c>
      <c r="L8" s="40">
        <v>14</v>
      </c>
      <c r="M8" s="30">
        <f>Tabla2757[[#This Row],[Precio por hora]]*Tabla2757[[#This Row],[Cantidad horas]]</f>
        <v>11.666666666666668</v>
      </c>
      <c r="N8" s="61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11.666666666666668</v>
      </c>
    </row>
    <row r="9" spans="2:16" ht="32" x14ac:dyDescent="0.2">
      <c r="B9" s="27" t="s">
        <v>46</v>
      </c>
      <c r="C9" s="20" t="s">
        <v>184</v>
      </c>
      <c r="D9" s="59" t="s">
        <v>189</v>
      </c>
      <c r="E9" s="31" t="s">
        <v>190</v>
      </c>
      <c r="F9" t="str">
        <f>_xlfn.XLOOKUP(Tabla2757[[#This Row],[Tipo de venta]],Tabla2329[Tipo de venta],Tabla2329[Moneda final], "Error - Seleccionar Tipo de Venta", 0,1)</f>
        <v>UF</v>
      </c>
      <c r="G9" s="20" t="s">
        <v>29</v>
      </c>
      <c r="H9" s="20" t="s">
        <v>25</v>
      </c>
      <c r="I9" s="30">
        <f>_xlfn.XLOOKUP(Tabla2757[[#This Row],[Puesto Encargado]], Tabla9[Puesto], Tabla9[Precio cliente],0,1,1)</f>
        <v>0.83333333333333337</v>
      </c>
      <c r="J9" s="30">
        <f>_xlfn.XLOOKUP(Tabla2757[[#This Row],[Cargo]], Tabla958[Cargos], Tabla958[Ponderador Precio],0,1,1)</f>
        <v>1</v>
      </c>
      <c r="K9" s="30">
        <f>Tabla2757[[#This Row],[Precio por hora UF]]*Tabla2757[[#This Row],[Ponderador]]</f>
        <v>0.83333333333333337</v>
      </c>
      <c r="L9" s="40">
        <v>10</v>
      </c>
      <c r="M9" s="30">
        <f>Tabla2757[[#This Row],[Precio por hora]]*Tabla2757[[#This Row],[Cantidad horas]]</f>
        <v>8.3333333333333339</v>
      </c>
      <c r="N9" s="6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8.3333333333333339</v>
      </c>
    </row>
    <row r="10" spans="2:16" ht="32" x14ac:dyDescent="0.2">
      <c r="B10" s="27" t="s">
        <v>46</v>
      </c>
      <c r="C10" s="20" t="s">
        <v>188</v>
      </c>
      <c r="D10" s="59" t="s">
        <v>189</v>
      </c>
      <c r="E10" s="31" t="s">
        <v>190</v>
      </c>
      <c r="F10" t="str">
        <f>_xlfn.XLOOKUP(Tabla2757[[#This Row],[Tipo de venta]],Tabla2329[Tipo de venta],Tabla2329[Moneda final], "Error - Seleccionar Tipo de Venta", 0,1)</f>
        <v>UF</v>
      </c>
      <c r="G10" s="20" t="s">
        <v>29</v>
      </c>
      <c r="H10" s="20" t="s">
        <v>25</v>
      </c>
      <c r="I10" s="30">
        <f>_xlfn.XLOOKUP(Tabla2757[[#This Row],[Puesto Encargado]], Tabla9[Puesto], Tabla9[Precio cliente],0,1,1)</f>
        <v>0.83333333333333337</v>
      </c>
      <c r="J10" s="30">
        <f>_xlfn.XLOOKUP(Tabla2757[[#This Row],[Cargo]], Tabla958[Cargos], Tabla958[Ponderador Precio],0,1,1)</f>
        <v>1</v>
      </c>
      <c r="K10" s="30">
        <f>Tabla2757[[#This Row],[Precio por hora UF]]*Tabla2757[[#This Row],[Ponderador]]</f>
        <v>0.83333333333333337</v>
      </c>
      <c r="L10" s="40">
        <v>8</v>
      </c>
      <c r="M10" s="30">
        <f>Tabla2757[[#This Row],[Precio por hora]]*Tabla2757[[#This Row],[Cantidad horas]]</f>
        <v>6.666666666666667</v>
      </c>
      <c r="N10" s="6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6.666666666666667</v>
      </c>
      <c r="P10" s="115" t="e">
        <f>N7+#REF!</f>
        <v>#REF!</v>
      </c>
    </row>
    <row r="11" spans="2:16" ht="16" x14ac:dyDescent="0.2">
      <c r="B11" s="27" t="s">
        <v>43</v>
      </c>
      <c r="C11" s="20" t="s">
        <v>185</v>
      </c>
      <c r="D11" s="23" t="s">
        <v>194</v>
      </c>
      <c r="E11" s="145" t="s">
        <v>196</v>
      </c>
      <c r="F11" t="str">
        <f>_xlfn.XLOOKUP(Tabla2757[[#This Row],[Tipo de venta]],Tabla2329[Tipo de venta],Tabla2329[Moneda final], "Error - Seleccionar Tipo de Venta", 0,1)</f>
        <v>USD</v>
      </c>
      <c r="G11" s="20" t="s">
        <v>32</v>
      </c>
      <c r="H11" s="20" t="s">
        <v>28</v>
      </c>
      <c r="I11" s="30">
        <f>_xlfn.XLOOKUP(Tabla2757[[#This Row],[Puesto Encargado]], Tabla9[Puesto], Tabla9[Precio cliente],0,1,1)</f>
        <v>0.5</v>
      </c>
      <c r="J11" s="30">
        <f>_xlfn.XLOOKUP(Tabla2757[[#This Row],[Cargo]], Tabla958[Cargos], Tabla958[Ponderador Precio],0,1,1)</f>
        <v>1.5</v>
      </c>
      <c r="K11" s="30">
        <f>Tabla2757[[#This Row],[Precio por hora UF]]*Tabla2757[[#This Row],[Ponderador]]</f>
        <v>0.75</v>
      </c>
      <c r="L11" s="40">
        <v>20</v>
      </c>
      <c r="M11" s="30">
        <f>Tabla2757[[#This Row],[Precio por hora]]*Tabla2757[[#This Row],[Cantidad horas]]</f>
        <v>15</v>
      </c>
      <c r="N11" s="6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606.46105263157892</v>
      </c>
    </row>
    <row r="12" spans="2:16" ht="16" x14ac:dyDescent="0.2">
      <c r="B12" s="27" t="s">
        <v>99</v>
      </c>
      <c r="C12" s="20" t="s">
        <v>185</v>
      </c>
      <c r="D12" s="23" t="s">
        <v>195</v>
      </c>
      <c r="E12" s="145" t="s">
        <v>197</v>
      </c>
      <c r="F12" s="20" t="str">
        <f>_xlfn.XLOOKUP(Tabla2757[[#This Row],[Tipo de venta]],Tabla2329[Tipo de venta],Tabla2329[Moneda final], "Error - Seleccionar Tipo de Venta", 0,1)</f>
        <v>CLP</v>
      </c>
      <c r="G12" s="21" t="s">
        <v>29</v>
      </c>
      <c r="H12" s="21" t="s">
        <v>25</v>
      </c>
      <c r="I12" s="30">
        <f>_xlfn.XLOOKUP(Tabla2757[[#This Row],[Puesto Encargado]], Tabla9[Puesto], Tabla9[Precio cliente],0,1,1)</f>
        <v>0.83333333333333337</v>
      </c>
      <c r="J12" s="30">
        <f>_xlfn.XLOOKUP(Tabla2757[[#This Row],[Cargo]], Tabla958[Cargos], Tabla958[Ponderador Precio],0,1,1)</f>
        <v>1</v>
      </c>
      <c r="K12" s="30">
        <f>Tabla2757[[#This Row],[Precio por hora UF]]*Tabla2757[[#This Row],[Ponderador]]</f>
        <v>0.83333333333333337</v>
      </c>
      <c r="L12" s="40">
        <v>20</v>
      </c>
      <c r="M12" s="30">
        <f>Tabla2757[[#This Row],[Precio por hora]]*Tabla2757[[#This Row],[Cantidad horas]]</f>
        <v>16.666666666666668</v>
      </c>
      <c r="N12" s="118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640153.33333333337</v>
      </c>
    </row>
    <row r="23" spans="5:5" x14ac:dyDescent="0.2">
      <c r="E23" s="14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46E6B2C-48B8-45CD-B1F9-964DCCC3616C}">
          <x14:formula1>
            <xm:f>'Datos generales'!$B$8:$B$10</xm:f>
          </x14:formula1>
          <xm:sqref>B3</xm:sqref>
        </x14:dataValidation>
        <x14:dataValidation type="list" allowBlank="1" showInputMessage="1" showErrorMessage="1" xr:uid="{A7008E57-0800-47FA-B0F0-07FCFC13174C}">
          <x14:formula1>
            <xm:f>'Datos generales'!$M$8:$M$1048576</xm:f>
          </x14:formula1>
          <xm:sqref>G7:G12</xm:sqref>
        </x14:dataValidation>
        <x14:dataValidation type="list" allowBlank="1" showInputMessage="1" showErrorMessage="1" xr:uid="{93465AEA-81E5-43DF-A490-FD4163C44584}">
          <x14:formula1>
            <xm:f>'Datos generales'!$J$8:$J$1048576</xm:f>
          </x14:formula1>
          <xm:sqref>H7:H12</xm:sqref>
        </x14:dataValidation>
        <x14:dataValidation type="list" allowBlank="1" showInputMessage="1" showErrorMessage="1" xr:uid="{FD3B6C4F-A24D-4888-8F37-673D4ED8C92E}">
          <x14:formula1>
            <xm:f>'Datos proyecto'!$I$9:$I$1048576</xm:f>
          </x14:formula1>
          <xm:sqref>B7:B12</xm:sqref>
        </x14:dataValidation>
        <x14:dataValidation type="list" allowBlank="1" showInputMessage="1" showErrorMessage="1" xr:uid="{D963B687-010E-4EF5-820E-46B4DA572296}">
          <x14:formula1>
            <xm:f>'Datos proyecto'!$F$9:$F$1048576</xm:f>
          </x14:formula1>
          <xm:sqref>C7:C12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7DAEE-3CE5-4A1E-BCF3-4253B7319073}">
  <sheetPr codeName="Hoja10">
    <tabColor rgb="FF00B050"/>
  </sheetPr>
  <dimension ref="A1:N80"/>
  <sheetViews>
    <sheetView zoomScaleNormal="100" workbookViewId="0">
      <selection activeCell="M14" sqref="M14"/>
    </sheetView>
  </sheetViews>
  <sheetFormatPr baseColWidth="10" defaultColWidth="11.5" defaultRowHeight="15" x14ac:dyDescent="0.2"/>
  <cols>
    <col min="2" max="2" width="20.6640625" customWidth="1"/>
    <col min="3" max="3" width="20.83203125" customWidth="1"/>
    <col min="4" max="4" width="19.5" customWidth="1"/>
    <col min="5" max="5" width="28.5" customWidth="1"/>
    <col min="6" max="6" width="13.33203125" customWidth="1"/>
    <col min="7" max="7" width="17.83203125" customWidth="1"/>
    <col min="8" max="8" width="10.5" customWidth="1"/>
    <col min="9" max="9" width="10" customWidth="1"/>
    <col min="10" max="10" width="16.1640625" customWidth="1"/>
    <col min="11" max="11" width="15.1640625" customWidth="1"/>
  </cols>
  <sheetData>
    <row r="1" spans="1:14" x14ac:dyDescent="0.2">
      <c r="B1" t="s">
        <v>107</v>
      </c>
      <c r="C1" t="s">
        <v>36</v>
      </c>
      <c r="D1" t="s">
        <v>141</v>
      </c>
      <c r="E1" t="s">
        <v>145</v>
      </c>
      <c r="F1" t="s">
        <v>148</v>
      </c>
    </row>
    <row r="2" spans="1:14" ht="32" x14ac:dyDescent="0.2">
      <c r="B2" s="1" t="s">
        <v>140</v>
      </c>
      <c r="C2" s="1" t="s">
        <v>142</v>
      </c>
      <c r="D2" s="1">
        <v>2</v>
      </c>
      <c r="E2" s="1" t="s">
        <v>146</v>
      </c>
      <c r="F2" s="1" t="s">
        <v>146</v>
      </c>
      <c r="H2" s="177" t="s">
        <v>153</v>
      </c>
      <c r="I2" s="177"/>
      <c r="J2" s="177"/>
      <c r="K2" s="177"/>
    </row>
    <row r="3" spans="1:14" ht="32" x14ac:dyDescent="0.2">
      <c r="B3" s="1" t="s">
        <v>139</v>
      </c>
      <c r="C3" s="1" t="s">
        <v>143</v>
      </c>
      <c r="D3" s="1">
        <v>3</v>
      </c>
      <c r="E3" s="1" t="s">
        <v>146</v>
      </c>
      <c r="F3" s="1" t="s">
        <v>146</v>
      </c>
      <c r="H3" s="177"/>
      <c r="I3" s="177"/>
      <c r="J3" s="177"/>
      <c r="K3" s="177"/>
    </row>
    <row r="4" spans="1:14" ht="32" x14ac:dyDescent="0.2">
      <c r="B4" s="1" t="s">
        <v>135</v>
      </c>
      <c r="C4" s="1" t="s">
        <v>150</v>
      </c>
      <c r="D4" s="1">
        <f>(D3-1)*D2</f>
        <v>4</v>
      </c>
      <c r="E4" s="1">
        <f>_xlfn.XLOOKUP(Tabla3[[#This Row],[Columna1]], Tabla919[Tipo de viático], Tabla919[Costo UF], "Error", 0, 1)</f>
        <v>1.79</v>
      </c>
      <c r="F4" s="1">
        <f>Tabla3[[#This Row],[Costo unitario]]*Tabla3[[#This Row],[Cantidad/tipo]]</f>
        <v>7.16</v>
      </c>
      <c r="H4" s="177"/>
      <c r="I4" s="177"/>
      <c r="J4" s="177"/>
      <c r="K4" s="177"/>
    </row>
    <row r="5" spans="1:14" ht="32" x14ac:dyDescent="0.2">
      <c r="B5" s="1" t="s">
        <v>44</v>
      </c>
      <c r="C5" s="1" t="s">
        <v>144</v>
      </c>
      <c r="D5" s="1">
        <f>D3*D2</f>
        <v>6</v>
      </c>
      <c r="E5" s="1">
        <f>_xlfn.XLOOKUP(Tabla3[[#This Row],[Columna1]], Tabla919[Tipo de viático], Tabla919[Costo UF], "Error", 0, 1)</f>
        <v>2</v>
      </c>
      <c r="F5" s="1">
        <f>Tabla3[[#This Row],[Costo unitario]]*Tabla3[[#This Row],[Cantidad/tipo]]</f>
        <v>12</v>
      </c>
      <c r="H5" s="177"/>
      <c r="I5" s="177"/>
      <c r="J5" s="177"/>
      <c r="K5" s="177"/>
    </row>
    <row r="6" spans="1:14" x14ac:dyDescent="0.2">
      <c r="B6" s="7"/>
      <c r="C6" s="7"/>
      <c r="D6" s="97"/>
    </row>
    <row r="7" spans="1:14" x14ac:dyDescent="0.2">
      <c r="B7" s="96" t="s">
        <v>49</v>
      </c>
      <c r="C7" s="96" t="s">
        <v>49</v>
      </c>
      <c r="D7" s="96" t="s">
        <v>138</v>
      </c>
      <c r="E7" s="96" t="s">
        <v>138</v>
      </c>
      <c r="F7" s="4" t="s">
        <v>50</v>
      </c>
      <c r="G7" s="96" t="s">
        <v>138</v>
      </c>
      <c r="H7" s="96" t="s">
        <v>138</v>
      </c>
      <c r="I7" s="96" t="s">
        <v>138</v>
      </c>
      <c r="J7" s="96" t="s">
        <v>138</v>
      </c>
      <c r="K7" s="4" t="s">
        <v>50</v>
      </c>
    </row>
    <row r="8" spans="1:14" ht="32" x14ac:dyDescent="0.2">
      <c r="B8" s="19" t="s">
        <v>37</v>
      </c>
      <c r="C8" s="19" t="s">
        <v>51</v>
      </c>
      <c r="D8" s="19" t="s">
        <v>47</v>
      </c>
      <c r="E8" s="19" t="s">
        <v>36</v>
      </c>
      <c r="F8" s="29" t="s">
        <v>115</v>
      </c>
      <c r="G8" s="29" t="s">
        <v>151</v>
      </c>
      <c r="H8" s="29" t="s">
        <v>22</v>
      </c>
      <c r="I8" s="29" t="s">
        <v>152</v>
      </c>
      <c r="J8" s="19" t="s">
        <v>104</v>
      </c>
      <c r="K8" s="19" t="s">
        <v>73</v>
      </c>
    </row>
    <row r="9" spans="1:14" ht="47.5" customHeight="1" x14ac:dyDescent="0.2">
      <c r="A9" s="101" t="s">
        <v>149</v>
      </c>
      <c r="B9" s="98" t="s">
        <v>198</v>
      </c>
      <c r="C9" s="48" t="s">
        <v>185</v>
      </c>
      <c r="D9" s="59" t="s">
        <v>200</v>
      </c>
      <c r="E9" s="59" t="s">
        <v>201</v>
      </c>
      <c r="F9" s="70" t="str">
        <f>_xlfn.XLOOKUP(Tabla27573[[#This Row],[Tipo de venta]],Tabla2329[Tipo de venta],Tabla2329[Moneda final], "Error - Seleccionar Tipo de Venta", 0,1)</f>
        <v>CLP</v>
      </c>
      <c r="G9" s="35">
        <v>1</v>
      </c>
      <c r="H9" s="102">
        <v>0.5</v>
      </c>
      <c r="I9" s="103">
        <f>Tabla27573[[#This Row],[Costo Unitario CLP]]/(1-Tabla27573[[#This Row],[Margen]])</f>
        <v>2</v>
      </c>
      <c r="J9" s="100">
        <v>5</v>
      </c>
      <c r="K9" s="104">
        <f>Tabla27573[[#This Row],[Cantidad]]*Tabla27573[[#This Row],[Precio Unitario]]</f>
        <v>10</v>
      </c>
      <c r="N9" s="3"/>
    </row>
    <row r="10" spans="1:14" x14ac:dyDescent="0.2">
      <c r="A10" s="101" t="s">
        <v>149</v>
      </c>
      <c r="B10" s="98"/>
      <c r="C10" s="48"/>
      <c r="D10" s="23"/>
      <c r="E10" s="48"/>
      <c r="F10" s="99" t="str">
        <f>_xlfn.XLOOKUP(Tabla27573[[#This Row],[Tipo de venta]],Tabla2329[Tipo de venta],Tabla2329[Moneda final], "Error - Seleccionar Tipo de Venta", 0,1)</f>
        <v>Error - Seleccionar Tipo de Venta</v>
      </c>
      <c r="G10" s="35"/>
      <c r="H10" s="102"/>
      <c r="I10" s="103">
        <f>Tabla27573[[#This Row],[Costo Unitario CLP]]/(1-Tabla27573[[#This Row],[Margen]])</f>
        <v>0</v>
      </c>
      <c r="J10" s="100"/>
      <c r="K10" s="104">
        <f>Tabla27573[[#This Row],[Cantidad]]*Tabla27573[[#This Row],[Precio Unitario]]</f>
        <v>0</v>
      </c>
      <c r="M10" s="3"/>
    </row>
    <row r="11" spans="1:14" x14ac:dyDescent="0.2">
      <c r="B11" s="98"/>
      <c r="C11" s="48"/>
      <c r="D11" s="23"/>
      <c r="E11" s="48"/>
      <c r="F11" s="99" t="str">
        <f>_xlfn.XLOOKUP(Tabla27573[[#This Row],[Tipo de venta]],Tabla2329[Tipo de venta],Tabla2329[Moneda final], "Error - Seleccionar Tipo de Venta", 0,1)</f>
        <v>Error - Seleccionar Tipo de Venta</v>
      </c>
      <c r="G11" s="35"/>
      <c r="H11" s="102"/>
      <c r="I11" s="103">
        <f>Tabla27573[[#This Row],[Costo Unitario CLP]]/(1-Tabla27573[[#This Row],[Margen]])</f>
        <v>0</v>
      </c>
      <c r="J11" s="100"/>
      <c r="K11" s="104">
        <f>Tabla27573[[#This Row],[Cantidad]]*Tabla27573[[#This Row],[Precio Unitario]]</f>
        <v>0</v>
      </c>
    </row>
    <row r="12" spans="1:14" x14ac:dyDescent="0.2">
      <c r="B12" s="98"/>
      <c r="C12" s="48"/>
      <c r="D12" s="23"/>
      <c r="E12" s="48"/>
      <c r="F12" s="99" t="str">
        <f>_xlfn.XLOOKUP(Tabla27573[[#This Row],[Tipo de venta]],Tabla2329[Tipo de venta],Tabla2329[Moneda final], "Error - Seleccionar Tipo de Venta", 0,1)</f>
        <v>Error - Seleccionar Tipo de Venta</v>
      </c>
      <c r="G12" s="35"/>
      <c r="H12" s="102"/>
      <c r="I12" s="103">
        <f>Tabla27573[[#This Row],[Costo Unitario CLP]]/(1-Tabla27573[[#This Row],[Margen]])</f>
        <v>0</v>
      </c>
      <c r="J12" s="100"/>
      <c r="K12" s="104">
        <f>Tabla27573[[#This Row],[Cantidad]]*Tabla27573[[#This Row],[Precio Unitario]]</f>
        <v>0</v>
      </c>
    </row>
    <row r="13" spans="1:14" x14ac:dyDescent="0.2">
      <c r="B13" s="98"/>
      <c r="C13" s="48"/>
      <c r="D13" s="23"/>
      <c r="E13" s="48"/>
      <c r="F13" s="99" t="str">
        <f>_xlfn.XLOOKUP(Tabla27573[[#This Row],[Tipo de venta]],Tabla2329[Tipo de venta],Tabla2329[Moneda final], "Error - Seleccionar Tipo de Venta", 0,1)</f>
        <v>Error - Seleccionar Tipo de Venta</v>
      </c>
      <c r="G13" s="35"/>
      <c r="H13" s="102"/>
      <c r="I13" s="103">
        <f>Tabla27573[[#This Row],[Costo Unitario CLP]]/(1-Tabla27573[[#This Row],[Margen]])</f>
        <v>0</v>
      </c>
      <c r="J13" s="100"/>
      <c r="K13" s="104">
        <f>Tabla27573[[#This Row],[Cantidad]]*Tabla27573[[#This Row],[Precio Unitario]]</f>
        <v>0</v>
      </c>
    </row>
    <row r="14" spans="1:14" x14ac:dyDescent="0.2">
      <c r="B14" s="98"/>
      <c r="C14" s="48"/>
      <c r="D14" s="23"/>
      <c r="E14" s="48"/>
      <c r="F14" s="99" t="str">
        <f>_xlfn.XLOOKUP(Tabla27573[[#This Row],[Tipo de venta]],Tabla2329[Tipo de venta],Tabla2329[Moneda final], "Error - Seleccionar Tipo de Venta", 0,1)</f>
        <v>Error - Seleccionar Tipo de Venta</v>
      </c>
      <c r="G14" s="35"/>
      <c r="H14" s="102"/>
      <c r="I14" s="103">
        <f>Tabla27573[[#This Row],[Costo Unitario CLP]]/(1-Tabla27573[[#This Row],[Margen]])</f>
        <v>0</v>
      </c>
      <c r="J14" s="100"/>
      <c r="K14" s="104">
        <f>Tabla27573[[#This Row],[Cantidad]]*Tabla27573[[#This Row],[Precio Unitario]]</f>
        <v>0</v>
      </c>
    </row>
    <row r="15" spans="1:14" x14ac:dyDescent="0.2">
      <c r="B15" s="98"/>
      <c r="C15" s="48"/>
      <c r="D15" s="23"/>
      <c r="E15" s="48"/>
      <c r="F15" s="99" t="str">
        <f>_xlfn.XLOOKUP(Tabla27573[[#This Row],[Tipo de venta]],Tabla2329[Tipo de venta],Tabla2329[Moneda final], "Error - Seleccionar Tipo de Venta", 0,1)</f>
        <v>Error - Seleccionar Tipo de Venta</v>
      </c>
      <c r="G15" s="35"/>
      <c r="H15" s="102"/>
      <c r="I15" s="103">
        <f>Tabla27573[[#This Row],[Costo Unitario CLP]]/(1-Tabla27573[[#This Row],[Margen]])</f>
        <v>0</v>
      </c>
      <c r="J15" s="100"/>
      <c r="K15" s="104">
        <f>Tabla27573[[#This Row],[Cantidad]]*Tabla27573[[#This Row],[Precio Unitario]]</f>
        <v>0</v>
      </c>
    </row>
    <row r="16" spans="1:14" x14ac:dyDescent="0.2">
      <c r="B16" s="98"/>
      <c r="C16" s="48"/>
      <c r="D16" s="23"/>
      <c r="E16" s="48"/>
      <c r="F16" s="99" t="str">
        <f>_xlfn.XLOOKUP(Tabla27573[[#This Row],[Tipo de venta]],Tabla2329[Tipo de venta],Tabla2329[Moneda final], "Error - Seleccionar Tipo de Venta", 0,1)</f>
        <v>Error - Seleccionar Tipo de Venta</v>
      </c>
      <c r="G16" s="35"/>
      <c r="H16" s="102"/>
      <c r="I16" s="103">
        <f>Tabla27573[[#This Row],[Costo Unitario CLP]]/(1-Tabla27573[[#This Row],[Margen]])</f>
        <v>0</v>
      </c>
      <c r="J16" s="100"/>
      <c r="K16" s="104">
        <f>Tabla27573[[#This Row],[Cantidad]]*Tabla27573[[#This Row],[Precio Unitario]]</f>
        <v>0</v>
      </c>
    </row>
    <row r="17" spans="2:11" x14ac:dyDescent="0.2">
      <c r="B17" s="98"/>
      <c r="C17" s="48"/>
      <c r="D17" s="23"/>
      <c r="E17" s="48"/>
      <c r="F17" s="99" t="str">
        <f>_xlfn.XLOOKUP(Tabla27573[[#This Row],[Tipo de venta]],Tabla2329[Tipo de venta],Tabla2329[Moneda final], "Error - Seleccionar Tipo de Venta", 0,1)</f>
        <v>Error - Seleccionar Tipo de Venta</v>
      </c>
      <c r="G17" s="35"/>
      <c r="H17" s="102"/>
      <c r="I17" s="103">
        <f>Tabla27573[[#This Row],[Costo Unitario CLP]]/(1-Tabla27573[[#This Row],[Margen]])</f>
        <v>0</v>
      </c>
      <c r="J17" s="100"/>
      <c r="K17" s="104">
        <f>Tabla27573[[#This Row],[Cantidad]]*Tabla27573[[#This Row],[Precio Unitario]]</f>
        <v>0</v>
      </c>
    </row>
    <row r="18" spans="2:11" x14ac:dyDescent="0.2">
      <c r="B18" s="98"/>
      <c r="C18" s="48"/>
      <c r="D18" s="23"/>
      <c r="E18" s="48"/>
      <c r="F18" s="99" t="str">
        <f>_xlfn.XLOOKUP(Tabla27573[[#This Row],[Tipo de venta]],Tabla2329[Tipo de venta],Tabla2329[Moneda final], "Error - Seleccionar Tipo de Venta", 0,1)</f>
        <v>Error - Seleccionar Tipo de Venta</v>
      </c>
      <c r="G18" s="35"/>
      <c r="H18" s="102"/>
      <c r="I18" s="103">
        <f>Tabla27573[[#This Row],[Costo Unitario CLP]]/(1-Tabla27573[[#This Row],[Margen]])</f>
        <v>0</v>
      </c>
      <c r="J18" s="100"/>
      <c r="K18" s="104">
        <f>Tabla27573[[#This Row],[Cantidad]]*Tabla27573[[#This Row],[Precio Unitario]]</f>
        <v>0</v>
      </c>
    </row>
    <row r="19" spans="2:11" x14ac:dyDescent="0.2">
      <c r="B19" s="98"/>
      <c r="C19" s="48"/>
      <c r="D19" s="23"/>
      <c r="E19" s="48"/>
      <c r="F19" s="99" t="str">
        <f>_xlfn.XLOOKUP(Tabla27573[[#This Row],[Tipo de venta]],Tabla2329[Tipo de venta],Tabla2329[Moneda final], "Error - Seleccionar Tipo de Venta", 0,1)</f>
        <v>Error - Seleccionar Tipo de Venta</v>
      </c>
      <c r="G19" s="35"/>
      <c r="H19" s="102"/>
      <c r="I19" s="103">
        <f>Tabla27573[[#This Row],[Costo Unitario CLP]]/(1-Tabla27573[[#This Row],[Margen]])</f>
        <v>0</v>
      </c>
      <c r="J19" s="100"/>
      <c r="K19" s="104">
        <f>Tabla27573[[#This Row],[Cantidad]]*Tabla27573[[#This Row],[Precio Unitario]]</f>
        <v>0</v>
      </c>
    </row>
    <row r="20" spans="2:11" x14ac:dyDescent="0.2">
      <c r="B20" s="98"/>
      <c r="C20" s="48"/>
      <c r="D20" s="23"/>
      <c r="E20" s="48"/>
      <c r="F20" s="99" t="str">
        <f>_xlfn.XLOOKUP(Tabla27573[[#This Row],[Tipo de venta]],Tabla2329[Tipo de venta],Tabla2329[Moneda final], "Error - Seleccionar Tipo de Venta", 0,1)</f>
        <v>Error - Seleccionar Tipo de Venta</v>
      </c>
      <c r="G20" s="35"/>
      <c r="H20" s="102"/>
      <c r="I20" s="103">
        <f>Tabla27573[[#This Row],[Costo Unitario CLP]]/(1-Tabla27573[[#This Row],[Margen]])</f>
        <v>0</v>
      </c>
      <c r="J20" s="100"/>
      <c r="K20" s="104">
        <f>Tabla27573[[#This Row],[Cantidad]]*Tabla27573[[#This Row],[Precio Unitario]]</f>
        <v>0</v>
      </c>
    </row>
    <row r="21" spans="2:11" x14ac:dyDescent="0.2">
      <c r="B21" s="98"/>
      <c r="C21" s="48"/>
      <c r="D21" s="23"/>
      <c r="E21" s="48"/>
      <c r="F21" s="99" t="str">
        <f>_xlfn.XLOOKUP(Tabla27573[[#This Row],[Tipo de venta]],Tabla2329[Tipo de venta],Tabla2329[Moneda final], "Error - Seleccionar Tipo de Venta", 0,1)</f>
        <v>Error - Seleccionar Tipo de Venta</v>
      </c>
      <c r="G21" s="35"/>
      <c r="H21" s="102"/>
      <c r="I21" s="103">
        <f>Tabla27573[[#This Row],[Costo Unitario CLP]]/(1-Tabla27573[[#This Row],[Margen]])</f>
        <v>0</v>
      </c>
      <c r="J21" s="100"/>
      <c r="K21" s="104">
        <f>Tabla27573[[#This Row],[Cantidad]]*Tabla27573[[#This Row],[Precio Unitario]]</f>
        <v>0</v>
      </c>
    </row>
    <row r="22" spans="2:11" x14ac:dyDescent="0.2">
      <c r="B22" s="98"/>
      <c r="C22" s="48"/>
      <c r="D22" s="23"/>
      <c r="E22" s="48"/>
      <c r="F22" s="99" t="str">
        <f>_xlfn.XLOOKUP(Tabla27573[[#This Row],[Tipo de venta]],Tabla2329[Tipo de venta],Tabla2329[Moneda final], "Error - Seleccionar Tipo de Venta", 0,1)</f>
        <v>Error - Seleccionar Tipo de Venta</v>
      </c>
      <c r="G22" s="35"/>
      <c r="H22" s="102"/>
      <c r="I22" s="103">
        <f>Tabla27573[[#This Row],[Costo Unitario CLP]]/(1-Tabla27573[[#This Row],[Margen]])</f>
        <v>0</v>
      </c>
      <c r="J22" s="100"/>
      <c r="K22" s="104">
        <f>Tabla27573[[#This Row],[Cantidad]]*Tabla27573[[#This Row],[Precio Unitario]]</f>
        <v>0</v>
      </c>
    </row>
    <row r="23" spans="2:11" x14ac:dyDescent="0.2">
      <c r="B23" s="98"/>
      <c r="C23" s="48"/>
      <c r="D23" s="23"/>
      <c r="E23" s="48"/>
      <c r="F23" s="99" t="str">
        <f>_xlfn.XLOOKUP(Tabla27573[[#This Row],[Tipo de venta]],Tabla2329[Tipo de venta],Tabla2329[Moneda final], "Error - Seleccionar Tipo de Venta", 0,1)</f>
        <v>Error - Seleccionar Tipo de Venta</v>
      </c>
      <c r="G23" s="35"/>
      <c r="H23" s="102"/>
      <c r="I23" s="103">
        <f>Tabla27573[[#This Row],[Costo Unitario CLP]]/(1-Tabla27573[[#This Row],[Margen]])</f>
        <v>0</v>
      </c>
      <c r="J23" s="100"/>
      <c r="K23" s="104">
        <f>Tabla27573[[#This Row],[Cantidad]]*Tabla27573[[#This Row],[Precio Unitario]]</f>
        <v>0</v>
      </c>
    </row>
    <row r="24" spans="2:11" x14ac:dyDescent="0.2">
      <c r="B24" s="98"/>
      <c r="C24" s="48"/>
      <c r="D24" s="23"/>
      <c r="E24" s="48"/>
      <c r="F24" s="99" t="str">
        <f>_xlfn.XLOOKUP(Tabla27573[[#This Row],[Tipo de venta]],Tabla2329[Tipo de venta],Tabla2329[Moneda final], "Error - Seleccionar Tipo de Venta", 0,1)</f>
        <v>Error - Seleccionar Tipo de Venta</v>
      </c>
      <c r="G24" s="35"/>
      <c r="H24" s="102"/>
      <c r="I24" s="103">
        <f>Tabla27573[[#This Row],[Costo Unitario CLP]]/(1-Tabla27573[[#This Row],[Margen]])</f>
        <v>0</v>
      </c>
      <c r="J24" s="100"/>
      <c r="K24" s="104">
        <f>Tabla27573[[#This Row],[Cantidad]]*Tabla27573[[#This Row],[Precio Unitario]]</f>
        <v>0</v>
      </c>
    </row>
    <row r="25" spans="2:11" x14ac:dyDescent="0.2">
      <c r="B25" s="98"/>
      <c r="C25" s="48"/>
      <c r="D25" s="23"/>
      <c r="E25" s="48"/>
      <c r="F25" s="99" t="str">
        <f>_xlfn.XLOOKUP(Tabla27573[[#This Row],[Tipo de venta]],Tabla2329[Tipo de venta],Tabla2329[Moneda final], "Error - Seleccionar Tipo de Venta", 0,1)</f>
        <v>Error - Seleccionar Tipo de Venta</v>
      </c>
      <c r="G25" s="35"/>
      <c r="H25" s="102"/>
      <c r="I25" s="103">
        <f>Tabla27573[[#This Row],[Costo Unitario CLP]]/(1-Tabla27573[[#This Row],[Margen]])</f>
        <v>0</v>
      </c>
      <c r="J25" s="100"/>
      <c r="K25" s="104">
        <f>Tabla27573[[#This Row],[Cantidad]]*Tabla27573[[#This Row],[Precio Unitario]]</f>
        <v>0</v>
      </c>
    </row>
    <row r="26" spans="2:11" x14ac:dyDescent="0.2">
      <c r="B26" s="98"/>
      <c r="C26" s="48"/>
      <c r="D26" s="23"/>
      <c r="E26" s="48"/>
      <c r="F26" s="99" t="str">
        <f>_xlfn.XLOOKUP(Tabla27573[[#This Row],[Tipo de venta]],Tabla2329[Tipo de venta],Tabla2329[Moneda final], "Error - Seleccionar Tipo de Venta", 0,1)</f>
        <v>Error - Seleccionar Tipo de Venta</v>
      </c>
      <c r="G26" s="35"/>
      <c r="H26" s="102"/>
      <c r="I26" s="103">
        <f>Tabla27573[[#This Row],[Costo Unitario CLP]]/(1-Tabla27573[[#This Row],[Margen]])</f>
        <v>0</v>
      </c>
      <c r="J26" s="100"/>
      <c r="K26" s="104">
        <f>Tabla27573[[#This Row],[Cantidad]]*Tabla27573[[#This Row],[Precio Unitario]]</f>
        <v>0</v>
      </c>
    </row>
    <row r="27" spans="2:11" x14ac:dyDescent="0.2">
      <c r="B27" s="98"/>
      <c r="C27" s="48"/>
      <c r="D27" s="23"/>
      <c r="E27" s="48"/>
      <c r="F27" s="99" t="str">
        <f>_xlfn.XLOOKUP(Tabla27573[[#This Row],[Tipo de venta]],Tabla2329[Tipo de venta],Tabla2329[Moneda final], "Error - Seleccionar Tipo de Venta", 0,1)</f>
        <v>Error - Seleccionar Tipo de Venta</v>
      </c>
      <c r="G27" s="35"/>
      <c r="H27" s="102"/>
      <c r="I27" s="103">
        <f>Tabla27573[[#This Row],[Costo Unitario CLP]]/(1-Tabla27573[[#This Row],[Margen]])</f>
        <v>0</v>
      </c>
      <c r="J27" s="100"/>
      <c r="K27" s="104">
        <f>Tabla27573[[#This Row],[Cantidad]]*Tabla27573[[#This Row],[Precio Unitario]]</f>
        <v>0</v>
      </c>
    </row>
    <row r="28" spans="2:11" x14ac:dyDescent="0.2">
      <c r="B28" s="98"/>
      <c r="C28" s="48"/>
      <c r="D28" s="48"/>
      <c r="E28" s="48"/>
      <c r="F28" s="99" t="str">
        <f>_xlfn.XLOOKUP(Tabla27573[[#This Row],[Tipo de venta]],Tabla2329[Tipo de venta],Tabla2329[Moneda final], "Error - Seleccionar Tipo de Venta", 0,1)</f>
        <v>Error - Seleccionar Tipo de Venta</v>
      </c>
      <c r="G28" s="35"/>
      <c r="H28" s="102"/>
      <c r="I28" s="103">
        <f>Tabla27573[[#This Row],[Costo Unitario CLP]]/(1-Tabla27573[[#This Row],[Margen]])</f>
        <v>0</v>
      </c>
      <c r="J28" s="100"/>
      <c r="K28" s="104">
        <f>Tabla27573[[#This Row],[Cantidad]]*Tabla27573[[#This Row],[Precio Unitario]]</f>
        <v>0</v>
      </c>
    </row>
    <row r="29" spans="2:11" x14ac:dyDescent="0.2">
      <c r="B29" s="98"/>
      <c r="C29" s="48"/>
      <c r="D29" s="23"/>
      <c r="E29" s="48"/>
      <c r="F29" s="48" t="str">
        <f>_xlfn.XLOOKUP(Tabla27573[[#This Row],[Tipo de venta]],Tabla2329[Tipo de venta],Tabla2329[Moneda final], "Error - Seleccionar Tipo de Venta", 0,1)</f>
        <v>Error - Seleccionar Tipo de Venta</v>
      </c>
      <c r="G29" s="35"/>
      <c r="H29" s="102"/>
      <c r="I29" s="103">
        <f>Tabla27573[[#This Row],[Costo Unitario CLP]]/(1-Tabla27573[[#This Row],[Margen]])</f>
        <v>0</v>
      </c>
      <c r="J29" s="100"/>
      <c r="K29" s="119">
        <f>Tabla27573[[#This Row],[Cantidad]]*Tabla27573[[#This Row],[Precio Unitario]]</f>
        <v>0</v>
      </c>
    </row>
    <row r="30" spans="2:11" x14ac:dyDescent="0.2">
      <c r="B30" s="98"/>
      <c r="C30" s="48"/>
      <c r="D30" s="23"/>
      <c r="E30" s="48"/>
      <c r="F30" s="48" t="str">
        <f>_xlfn.XLOOKUP(Tabla27573[[#This Row],[Tipo de venta]],Tabla2329[Tipo de venta],Tabla2329[Moneda final], "Error - Seleccionar Tipo de Venta", 0,1)</f>
        <v>Error - Seleccionar Tipo de Venta</v>
      </c>
      <c r="G30" s="35"/>
      <c r="H30" s="102"/>
      <c r="I30" s="103">
        <f>Tabla27573[[#This Row],[Costo Unitario CLP]]/(1-Tabla27573[[#This Row],[Margen]])</f>
        <v>0</v>
      </c>
      <c r="J30" s="100"/>
      <c r="K30" s="119">
        <f>Tabla27573[[#This Row],[Cantidad]]*Tabla27573[[#This Row],[Precio Unitario]]</f>
        <v>0</v>
      </c>
    </row>
    <row r="31" spans="2:11" x14ac:dyDescent="0.2">
      <c r="B31" s="98"/>
      <c r="C31" s="48"/>
      <c r="D31" s="23"/>
      <c r="E31" s="48"/>
      <c r="F31" s="48" t="str">
        <f>_xlfn.XLOOKUP(Tabla27573[[#This Row],[Tipo de venta]],Tabla2329[Tipo de venta],Tabla2329[Moneda final], "Error - Seleccionar Tipo de Venta", 0,1)</f>
        <v>Error - Seleccionar Tipo de Venta</v>
      </c>
      <c r="G31" s="35"/>
      <c r="H31" s="102"/>
      <c r="I31" s="103">
        <f>Tabla27573[[#This Row],[Costo Unitario CLP]]/(1-Tabla27573[[#This Row],[Margen]])</f>
        <v>0</v>
      </c>
      <c r="J31" s="100"/>
      <c r="K31" s="119">
        <f>Tabla27573[[#This Row],[Cantidad]]*Tabla27573[[#This Row],[Precio Unitario]]</f>
        <v>0</v>
      </c>
    </row>
    <row r="32" spans="2:11" x14ac:dyDescent="0.2">
      <c r="B32" s="98"/>
      <c r="C32" s="48"/>
      <c r="D32" s="23"/>
      <c r="E32" s="48"/>
      <c r="F32" s="48" t="str">
        <f>_xlfn.XLOOKUP(Tabla27573[[#This Row],[Tipo de venta]],Tabla2329[Tipo de venta],Tabla2329[Moneda final], "Error - Seleccionar Tipo de Venta", 0,1)</f>
        <v>Error - Seleccionar Tipo de Venta</v>
      </c>
      <c r="G32" s="35"/>
      <c r="H32" s="102"/>
      <c r="I32" s="103">
        <f>Tabla27573[[#This Row],[Costo Unitario CLP]]/(1-Tabla27573[[#This Row],[Margen]])</f>
        <v>0</v>
      </c>
      <c r="J32" s="100"/>
      <c r="K32" s="119">
        <f>Tabla27573[[#This Row],[Cantidad]]*Tabla27573[[#This Row],[Precio Unitario]]</f>
        <v>0</v>
      </c>
    </row>
    <row r="33" spans="2:11" x14ac:dyDescent="0.2">
      <c r="B33" s="98"/>
      <c r="C33" s="48"/>
      <c r="D33" s="23"/>
      <c r="E33" s="48"/>
      <c r="F33" s="48" t="str">
        <f>_xlfn.XLOOKUP(Tabla27573[[#This Row],[Tipo de venta]],Tabla2329[Tipo de venta],Tabla2329[Moneda final], "Error - Seleccionar Tipo de Venta", 0,1)</f>
        <v>Error - Seleccionar Tipo de Venta</v>
      </c>
      <c r="G33" s="35"/>
      <c r="H33" s="102"/>
      <c r="I33" s="103">
        <f>Tabla27573[[#This Row],[Costo Unitario CLP]]/(1-Tabla27573[[#This Row],[Margen]])</f>
        <v>0</v>
      </c>
      <c r="J33" s="100"/>
      <c r="K33" s="119">
        <f>Tabla27573[[#This Row],[Cantidad]]*Tabla27573[[#This Row],[Precio Unitario]]</f>
        <v>0</v>
      </c>
    </row>
    <row r="34" spans="2:11" x14ac:dyDescent="0.2">
      <c r="B34" s="98"/>
      <c r="C34" s="48"/>
      <c r="D34" s="23"/>
      <c r="E34" s="48"/>
      <c r="F34" s="48" t="str">
        <f>_xlfn.XLOOKUP(Tabla27573[[#This Row],[Tipo de venta]],Tabla2329[Tipo de venta],Tabla2329[Moneda final], "Error - Seleccionar Tipo de Venta", 0,1)</f>
        <v>Error - Seleccionar Tipo de Venta</v>
      </c>
      <c r="G34" s="35"/>
      <c r="H34" s="102"/>
      <c r="I34" s="103">
        <f>Tabla27573[[#This Row],[Costo Unitario CLP]]/(1-Tabla27573[[#This Row],[Margen]])</f>
        <v>0</v>
      </c>
      <c r="J34" s="100"/>
      <c r="K34" s="119">
        <f>Tabla27573[[#This Row],[Cantidad]]*Tabla27573[[#This Row],[Precio Unitario]]</f>
        <v>0</v>
      </c>
    </row>
    <row r="35" spans="2:11" x14ac:dyDescent="0.2">
      <c r="B35" s="98"/>
      <c r="C35" s="48"/>
      <c r="D35" s="23"/>
      <c r="E35" s="48"/>
      <c r="F35" s="48" t="str">
        <f>_xlfn.XLOOKUP(Tabla27573[[#This Row],[Tipo de venta]],Tabla2329[Tipo de venta],Tabla2329[Moneda final], "Error - Seleccionar Tipo de Venta", 0,1)</f>
        <v>Error - Seleccionar Tipo de Venta</v>
      </c>
      <c r="G35" s="35"/>
      <c r="H35" s="102"/>
      <c r="I35" s="103">
        <f>Tabla27573[[#This Row],[Costo Unitario CLP]]/(1-Tabla27573[[#This Row],[Margen]])</f>
        <v>0</v>
      </c>
      <c r="J35" s="100"/>
      <c r="K35" s="119">
        <f>Tabla27573[[#This Row],[Cantidad]]*Tabla27573[[#This Row],[Precio Unitario]]</f>
        <v>0</v>
      </c>
    </row>
    <row r="36" spans="2:11" x14ac:dyDescent="0.2">
      <c r="B36" s="98"/>
      <c r="C36" s="48"/>
      <c r="D36" s="23"/>
      <c r="E36" s="48"/>
      <c r="F36" s="48" t="str">
        <f>_xlfn.XLOOKUP(Tabla27573[[#This Row],[Tipo de venta]],Tabla2329[Tipo de venta],Tabla2329[Moneda final], "Error - Seleccionar Tipo de Venta", 0,1)</f>
        <v>Error - Seleccionar Tipo de Venta</v>
      </c>
      <c r="G36" s="35"/>
      <c r="H36" s="102"/>
      <c r="I36" s="103">
        <f>Tabla27573[[#This Row],[Costo Unitario CLP]]/(1-Tabla27573[[#This Row],[Margen]])</f>
        <v>0</v>
      </c>
      <c r="J36" s="100"/>
      <c r="K36" s="119">
        <f>Tabla27573[[#This Row],[Cantidad]]*Tabla27573[[#This Row],[Precio Unitario]]</f>
        <v>0</v>
      </c>
    </row>
    <row r="37" spans="2:11" x14ac:dyDescent="0.2">
      <c r="B37" s="98"/>
      <c r="C37" s="48"/>
      <c r="D37" s="23"/>
      <c r="E37" s="48"/>
      <c r="F37" s="48" t="str">
        <f>_xlfn.XLOOKUP(Tabla27573[[#This Row],[Tipo de venta]],Tabla2329[Tipo de venta],Tabla2329[Moneda final], "Error - Seleccionar Tipo de Venta", 0,1)</f>
        <v>Error - Seleccionar Tipo de Venta</v>
      </c>
      <c r="G37" s="35"/>
      <c r="H37" s="102"/>
      <c r="I37" s="103">
        <f>Tabla27573[[#This Row],[Costo Unitario CLP]]/(1-Tabla27573[[#This Row],[Margen]])</f>
        <v>0</v>
      </c>
      <c r="J37" s="100"/>
      <c r="K37" s="119">
        <f>Tabla27573[[#This Row],[Cantidad]]*Tabla27573[[#This Row],[Precio Unitario]]</f>
        <v>0</v>
      </c>
    </row>
    <row r="38" spans="2:11" x14ac:dyDescent="0.2">
      <c r="B38" s="98"/>
      <c r="C38" s="48"/>
      <c r="D38" s="23"/>
      <c r="E38" s="48"/>
      <c r="F38" s="48" t="str">
        <f>_xlfn.XLOOKUP(Tabla27573[[#This Row],[Tipo de venta]],Tabla2329[Tipo de venta],Tabla2329[Moneda final], "Error - Seleccionar Tipo de Venta", 0,1)</f>
        <v>Error - Seleccionar Tipo de Venta</v>
      </c>
      <c r="G38" s="35"/>
      <c r="H38" s="102"/>
      <c r="I38" s="103">
        <f>Tabla27573[[#This Row],[Costo Unitario CLP]]/(1-Tabla27573[[#This Row],[Margen]])</f>
        <v>0</v>
      </c>
      <c r="J38" s="100"/>
      <c r="K38" s="119">
        <f>Tabla27573[[#This Row],[Cantidad]]*Tabla27573[[#This Row],[Precio Unitario]]</f>
        <v>0</v>
      </c>
    </row>
    <row r="39" spans="2:11" x14ac:dyDescent="0.2">
      <c r="B39" s="98"/>
      <c r="C39" s="48"/>
      <c r="D39" s="23"/>
      <c r="E39" s="48"/>
      <c r="F39" s="48" t="str">
        <f>_xlfn.XLOOKUP(Tabla27573[[#This Row],[Tipo de venta]],Tabla2329[Tipo de venta],Tabla2329[Moneda final], "Error - Seleccionar Tipo de Venta", 0,1)</f>
        <v>Error - Seleccionar Tipo de Venta</v>
      </c>
      <c r="G39" s="35"/>
      <c r="H39" s="102"/>
      <c r="I39" s="103">
        <f>Tabla27573[[#This Row],[Costo Unitario CLP]]/(1-Tabla27573[[#This Row],[Margen]])</f>
        <v>0</v>
      </c>
      <c r="J39" s="100"/>
      <c r="K39" s="119">
        <f>Tabla27573[[#This Row],[Cantidad]]*Tabla27573[[#This Row],[Precio Unitario]]</f>
        <v>0</v>
      </c>
    </row>
    <row r="40" spans="2:11" x14ac:dyDescent="0.2">
      <c r="B40" s="98"/>
      <c r="C40" s="48"/>
      <c r="D40" s="23"/>
      <c r="E40" s="48"/>
      <c r="F40" s="48" t="str">
        <f>_xlfn.XLOOKUP(Tabla27573[[#This Row],[Tipo de venta]],Tabla2329[Tipo de venta],Tabla2329[Moneda final], "Error - Seleccionar Tipo de Venta", 0,1)</f>
        <v>Error - Seleccionar Tipo de Venta</v>
      </c>
      <c r="G40" s="35"/>
      <c r="H40" s="102"/>
      <c r="I40" s="103">
        <f>Tabla27573[[#This Row],[Costo Unitario CLP]]/(1-Tabla27573[[#This Row],[Margen]])</f>
        <v>0</v>
      </c>
      <c r="J40" s="100"/>
      <c r="K40" s="119">
        <f>Tabla27573[[#This Row],[Cantidad]]*Tabla27573[[#This Row],[Precio Unitario]]</f>
        <v>0</v>
      </c>
    </row>
    <row r="41" spans="2:11" x14ac:dyDescent="0.2">
      <c r="B41" s="98"/>
      <c r="C41" s="48"/>
      <c r="D41" s="23"/>
      <c r="E41" s="48"/>
      <c r="F41" s="48" t="str">
        <f>_xlfn.XLOOKUP(Tabla27573[[#This Row],[Tipo de venta]],Tabla2329[Tipo de venta],Tabla2329[Moneda final], "Error - Seleccionar Tipo de Venta", 0,1)</f>
        <v>Error - Seleccionar Tipo de Venta</v>
      </c>
      <c r="G41" s="35"/>
      <c r="H41" s="102"/>
      <c r="I41" s="103">
        <f>Tabla27573[[#This Row],[Costo Unitario CLP]]/(1-Tabla27573[[#This Row],[Margen]])</f>
        <v>0</v>
      </c>
      <c r="J41" s="100"/>
      <c r="K41" s="119">
        <f>Tabla27573[[#This Row],[Cantidad]]*Tabla27573[[#This Row],[Precio Unitario]]</f>
        <v>0</v>
      </c>
    </row>
    <row r="42" spans="2:11" x14ac:dyDescent="0.2">
      <c r="B42" s="98"/>
      <c r="C42" s="48"/>
      <c r="D42" s="23"/>
      <c r="E42" s="48"/>
      <c r="F42" s="48" t="str">
        <f>_xlfn.XLOOKUP(Tabla27573[[#This Row],[Tipo de venta]],Tabla2329[Tipo de venta],Tabla2329[Moneda final], "Error - Seleccionar Tipo de Venta", 0,1)</f>
        <v>Error - Seleccionar Tipo de Venta</v>
      </c>
      <c r="G42" s="35"/>
      <c r="H42" s="102"/>
      <c r="I42" s="103">
        <f>Tabla27573[[#This Row],[Costo Unitario CLP]]/(1-Tabla27573[[#This Row],[Margen]])</f>
        <v>0</v>
      </c>
      <c r="J42" s="100"/>
      <c r="K42" s="119">
        <f>Tabla27573[[#This Row],[Cantidad]]*Tabla27573[[#This Row],[Precio Unitario]]</f>
        <v>0</v>
      </c>
    </row>
    <row r="43" spans="2:11" x14ac:dyDescent="0.2">
      <c r="B43" s="98"/>
      <c r="C43" s="48"/>
      <c r="D43" s="23"/>
      <c r="E43" s="48"/>
      <c r="F43" s="48" t="str">
        <f>_xlfn.XLOOKUP(Tabla27573[[#This Row],[Tipo de venta]],Tabla2329[Tipo de venta],Tabla2329[Moneda final], "Error - Seleccionar Tipo de Venta", 0,1)</f>
        <v>Error - Seleccionar Tipo de Venta</v>
      </c>
      <c r="G43" s="35"/>
      <c r="H43" s="102"/>
      <c r="I43" s="103">
        <f>Tabla27573[[#This Row],[Costo Unitario CLP]]/(1-Tabla27573[[#This Row],[Margen]])</f>
        <v>0</v>
      </c>
      <c r="J43" s="100"/>
      <c r="K43" s="119">
        <f>Tabla27573[[#This Row],[Cantidad]]*Tabla27573[[#This Row],[Precio Unitario]]</f>
        <v>0</v>
      </c>
    </row>
    <row r="44" spans="2:11" x14ac:dyDescent="0.2">
      <c r="B44" s="98"/>
      <c r="C44" s="48"/>
      <c r="D44" s="23"/>
      <c r="E44" s="48"/>
      <c r="F44" s="48" t="str">
        <f>_xlfn.XLOOKUP(Tabla27573[[#This Row],[Tipo de venta]],Tabla2329[Tipo de venta],Tabla2329[Moneda final], "Error - Seleccionar Tipo de Venta", 0,1)</f>
        <v>Error - Seleccionar Tipo de Venta</v>
      </c>
      <c r="G44" s="35"/>
      <c r="H44" s="102"/>
      <c r="I44" s="103">
        <f>Tabla27573[[#This Row],[Costo Unitario CLP]]/(1-Tabla27573[[#This Row],[Margen]])</f>
        <v>0</v>
      </c>
      <c r="J44" s="100"/>
      <c r="K44" s="119">
        <f>Tabla27573[[#This Row],[Cantidad]]*Tabla27573[[#This Row],[Precio Unitario]]</f>
        <v>0</v>
      </c>
    </row>
    <row r="45" spans="2:11" x14ac:dyDescent="0.2">
      <c r="B45" s="98"/>
      <c r="C45" s="48"/>
      <c r="D45" s="23"/>
      <c r="E45" s="48"/>
      <c r="F45" s="48" t="str">
        <f>_xlfn.XLOOKUP(Tabla27573[[#This Row],[Tipo de venta]],Tabla2329[Tipo de venta],Tabla2329[Moneda final], "Error - Seleccionar Tipo de Venta", 0,1)</f>
        <v>Error - Seleccionar Tipo de Venta</v>
      </c>
      <c r="G45" s="35"/>
      <c r="H45" s="102"/>
      <c r="I45" s="103">
        <f>Tabla27573[[#This Row],[Costo Unitario CLP]]/(1-Tabla27573[[#This Row],[Margen]])</f>
        <v>0</v>
      </c>
      <c r="J45" s="100"/>
      <c r="K45" s="119">
        <f>Tabla27573[[#This Row],[Cantidad]]*Tabla27573[[#This Row],[Precio Unitario]]</f>
        <v>0</v>
      </c>
    </row>
    <row r="46" spans="2:11" x14ac:dyDescent="0.2">
      <c r="B46" s="98"/>
      <c r="C46" s="48"/>
      <c r="D46" s="23"/>
      <c r="E46" s="48"/>
      <c r="F46" s="48" t="str">
        <f>_xlfn.XLOOKUP(Tabla27573[[#This Row],[Tipo de venta]],Tabla2329[Tipo de venta],Tabla2329[Moneda final], "Error - Seleccionar Tipo de Venta", 0,1)</f>
        <v>Error - Seleccionar Tipo de Venta</v>
      </c>
      <c r="G46" s="35"/>
      <c r="H46" s="102"/>
      <c r="I46" s="103">
        <f>Tabla27573[[#This Row],[Costo Unitario CLP]]/(1-Tabla27573[[#This Row],[Margen]])</f>
        <v>0</v>
      </c>
      <c r="J46" s="100"/>
      <c r="K46" s="119">
        <f>Tabla27573[[#This Row],[Cantidad]]*Tabla27573[[#This Row],[Precio Unitario]]</f>
        <v>0</v>
      </c>
    </row>
    <row r="47" spans="2:11" x14ac:dyDescent="0.2">
      <c r="B47" s="98"/>
      <c r="C47" s="48"/>
      <c r="D47" s="23"/>
      <c r="E47" s="48"/>
      <c r="F47" s="48" t="str">
        <f>_xlfn.XLOOKUP(Tabla27573[[#This Row],[Tipo de venta]],Tabla2329[Tipo de venta],Tabla2329[Moneda final], "Error - Seleccionar Tipo de Venta", 0,1)</f>
        <v>Error - Seleccionar Tipo de Venta</v>
      </c>
      <c r="G47" s="35"/>
      <c r="H47" s="102"/>
      <c r="I47" s="103">
        <f>Tabla27573[[#This Row],[Costo Unitario CLP]]/(1-Tabla27573[[#This Row],[Margen]])</f>
        <v>0</v>
      </c>
      <c r="J47" s="100"/>
      <c r="K47" s="119">
        <f>Tabla27573[[#This Row],[Cantidad]]*Tabla27573[[#This Row],[Precio Unitario]]</f>
        <v>0</v>
      </c>
    </row>
    <row r="48" spans="2:11" x14ac:dyDescent="0.2">
      <c r="B48" s="98"/>
      <c r="C48" s="48"/>
      <c r="D48" s="23"/>
      <c r="E48" s="48"/>
      <c r="F48" s="48" t="str">
        <f>_xlfn.XLOOKUP(Tabla27573[[#This Row],[Tipo de venta]],Tabla2329[Tipo de venta],Tabla2329[Moneda final], "Error - Seleccionar Tipo de Venta", 0,1)</f>
        <v>Error - Seleccionar Tipo de Venta</v>
      </c>
      <c r="G48" s="35"/>
      <c r="H48" s="102"/>
      <c r="I48" s="103">
        <f>Tabla27573[[#This Row],[Costo Unitario CLP]]/(1-Tabla27573[[#This Row],[Margen]])</f>
        <v>0</v>
      </c>
      <c r="J48" s="100"/>
      <c r="K48" s="119">
        <f>Tabla27573[[#This Row],[Cantidad]]*Tabla27573[[#This Row],[Precio Unitario]]</f>
        <v>0</v>
      </c>
    </row>
    <row r="49" spans="2:11" x14ac:dyDescent="0.2">
      <c r="B49" s="98"/>
      <c r="C49" s="48"/>
      <c r="D49" s="23"/>
      <c r="E49" s="48"/>
      <c r="F49" s="48" t="str">
        <f>_xlfn.XLOOKUP(Tabla27573[[#This Row],[Tipo de venta]],Tabla2329[Tipo de venta],Tabla2329[Moneda final], "Error - Seleccionar Tipo de Venta", 0,1)</f>
        <v>Error - Seleccionar Tipo de Venta</v>
      </c>
      <c r="G49" s="35"/>
      <c r="H49" s="102"/>
      <c r="I49" s="103">
        <f>Tabla27573[[#This Row],[Costo Unitario CLP]]/(1-Tabla27573[[#This Row],[Margen]])</f>
        <v>0</v>
      </c>
      <c r="J49" s="100"/>
      <c r="K49" s="119">
        <f>Tabla27573[[#This Row],[Cantidad]]*Tabla27573[[#This Row],[Precio Unitario]]</f>
        <v>0</v>
      </c>
    </row>
    <row r="50" spans="2:11" x14ac:dyDescent="0.2">
      <c r="B50" s="98"/>
      <c r="C50" s="48"/>
      <c r="D50" s="23"/>
      <c r="E50" s="48"/>
      <c r="F50" s="48" t="str">
        <f>_xlfn.XLOOKUP(Tabla27573[[#This Row],[Tipo de venta]],Tabla2329[Tipo de venta],Tabla2329[Moneda final], "Error - Seleccionar Tipo de Venta", 0,1)</f>
        <v>Error - Seleccionar Tipo de Venta</v>
      </c>
      <c r="G50" s="35"/>
      <c r="H50" s="102"/>
      <c r="I50" s="103">
        <f>Tabla27573[[#This Row],[Costo Unitario CLP]]/(1-Tabla27573[[#This Row],[Margen]])</f>
        <v>0</v>
      </c>
      <c r="J50" s="100"/>
      <c r="K50" s="119">
        <f>Tabla27573[[#This Row],[Cantidad]]*Tabla27573[[#This Row],[Precio Unitario]]</f>
        <v>0</v>
      </c>
    </row>
    <row r="51" spans="2:11" x14ac:dyDescent="0.2">
      <c r="B51" s="98"/>
      <c r="C51" s="48"/>
      <c r="D51" s="23"/>
      <c r="E51" s="48"/>
      <c r="F51" s="48" t="str">
        <f>_xlfn.XLOOKUP(Tabla27573[[#This Row],[Tipo de venta]],Tabla2329[Tipo de venta],Tabla2329[Moneda final], "Error - Seleccionar Tipo de Venta", 0,1)</f>
        <v>Error - Seleccionar Tipo de Venta</v>
      </c>
      <c r="G51" s="35"/>
      <c r="H51" s="102"/>
      <c r="I51" s="103">
        <f>Tabla27573[[#This Row],[Costo Unitario CLP]]/(1-Tabla27573[[#This Row],[Margen]])</f>
        <v>0</v>
      </c>
      <c r="J51" s="100"/>
      <c r="K51" s="119">
        <f>Tabla27573[[#This Row],[Cantidad]]*Tabla27573[[#This Row],[Precio Unitario]]</f>
        <v>0</v>
      </c>
    </row>
    <row r="52" spans="2:11" x14ac:dyDescent="0.2">
      <c r="B52" s="98"/>
      <c r="C52" s="48"/>
      <c r="D52" s="23"/>
      <c r="E52" s="48"/>
      <c r="F52" s="48" t="str">
        <f>_xlfn.XLOOKUP(Tabla27573[[#This Row],[Tipo de venta]],Tabla2329[Tipo de venta],Tabla2329[Moneda final], "Error - Seleccionar Tipo de Venta", 0,1)</f>
        <v>Error - Seleccionar Tipo de Venta</v>
      </c>
      <c r="G52" s="35"/>
      <c r="H52" s="102"/>
      <c r="I52" s="103">
        <f>Tabla27573[[#This Row],[Costo Unitario CLP]]/(1-Tabla27573[[#This Row],[Margen]])</f>
        <v>0</v>
      </c>
      <c r="J52" s="100"/>
      <c r="K52" s="119">
        <f>Tabla27573[[#This Row],[Cantidad]]*Tabla27573[[#This Row],[Precio Unitario]]</f>
        <v>0</v>
      </c>
    </row>
    <row r="53" spans="2:11" x14ac:dyDescent="0.2">
      <c r="B53" s="98"/>
      <c r="C53" s="48"/>
      <c r="D53" s="23"/>
      <c r="E53" s="48"/>
      <c r="F53" s="48" t="str">
        <f>_xlfn.XLOOKUP(Tabla27573[[#This Row],[Tipo de venta]],Tabla2329[Tipo de venta],Tabla2329[Moneda final], "Error - Seleccionar Tipo de Venta", 0,1)</f>
        <v>Error - Seleccionar Tipo de Venta</v>
      </c>
      <c r="G53" s="35"/>
      <c r="H53" s="102"/>
      <c r="I53" s="103">
        <f>Tabla27573[[#This Row],[Costo Unitario CLP]]/(1-Tabla27573[[#This Row],[Margen]])</f>
        <v>0</v>
      </c>
      <c r="J53" s="100"/>
      <c r="K53" s="119">
        <f>Tabla27573[[#This Row],[Cantidad]]*Tabla27573[[#This Row],[Precio Unitario]]</f>
        <v>0</v>
      </c>
    </row>
    <row r="54" spans="2:11" x14ac:dyDescent="0.2">
      <c r="B54" s="98"/>
      <c r="C54" s="48"/>
      <c r="D54" s="23"/>
      <c r="E54" s="48"/>
      <c r="F54" s="48" t="str">
        <f>_xlfn.XLOOKUP(Tabla27573[[#This Row],[Tipo de venta]],Tabla2329[Tipo de venta],Tabla2329[Moneda final], "Error - Seleccionar Tipo de Venta", 0,1)</f>
        <v>Error - Seleccionar Tipo de Venta</v>
      </c>
      <c r="G54" s="35"/>
      <c r="H54" s="102"/>
      <c r="I54" s="103">
        <f>Tabla27573[[#This Row],[Costo Unitario CLP]]/(1-Tabla27573[[#This Row],[Margen]])</f>
        <v>0</v>
      </c>
      <c r="J54" s="100"/>
      <c r="K54" s="119">
        <f>Tabla27573[[#This Row],[Cantidad]]*Tabla27573[[#This Row],[Precio Unitario]]</f>
        <v>0</v>
      </c>
    </row>
    <row r="55" spans="2:11" x14ac:dyDescent="0.2">
      <c r="B55" s="98"/>
      <c r="C55" s="48"/>
      <c r="D55" s="48"/>
      <c r="E55" s="48"/>
      <c r="F55" s="99"/>
      <c r="G55" s="35"/>
      <c r="H55" s="102"/>
      <c r="I55" s="103"/>
      <c r="J55" s="100"/>
      <c r="K55" s="104"/>
    </row>
    <row r="56" spans="2:11" x14ac:dyDescent="0.2">
      <c r="B56" s="98"/>
      <c r="C56" s="48"/>
      <c r="D56" s="48"/>
      <c r="E56" s="48"/>
      <c r="F56" s="99"/>
      <c r="G56" s="35"/>
      <c r="H56" s="102"/>
      <c r="I56" s="103"/>
      <c r="J56" s="100"/>
      <c r="K56" s="104"/>
    </row>
    <row r="57" spans="2:11" x14ac:dyDescent="0.2">
      <c r="B57" s="98"/>
      <c r="C57" s="48"/>
      <c r="D57" s="48"/>
      <c r="E57" s="48"/>
      <c r="F57" s="99"/>
      <c r="G57" s="35"/>
      <c r="H57" s="102"/>
      <c r="I57" s="103"/>
      <c r="J57" s="100"/>
      <c r="K57" s="104"/>
    </row>
    <row r="58" spans="2:11" x14ac:dyDescent="0.2">
      <c r="B58" s="98"/>
      <c r="C58" s="48"/>
      <c r="D58" s="48"/>
      <c r="E58" s="48"/>
      <c r="F58" s="99"/>
      <c r="G58" s="35"/>
      <c r="H58" s="102"/>
      <c r="I58" s="103"/>
      <c r="J58" s="100"/>
      <c r="K58" s="104"/>
    </row>
    <row r="59" spans="2:11" x14ac:dyDescent="0.2">
      <c r="B59" s="98"/>
      <c r="C59" s="48"/>
      <c r="D59" s="48"/>
      <c r="E59" s="48"/>
      <c r="F59" s="99"/>
      <c r="G59" s="35"/>
      <c r="H59" s="102"/>
      <c r="I59" s="103"/>
      <c r="J59" s="100"/>
      <c r="K59" s="104"/>
    </row>
    <row r="60" spans="2:11" x14ac:dyDescent="0.2">
      <c r="B60" s="98"/>
      <c r="C60" s="48"/>
      <c r="D60" s="48"/>
      <c r="E60" s="48"/>
      <c r="F60" s="99"/>
      <c r="G60" s="35"/>
      <c r="H60" s="102"/>
      <c r="I60" s="103"/>
      <c r="J60" s="100"/>
      <c r="K60" s="104"/>
    </row>
    <row r="61" spans="2:11" x14ac:dyDescent="0.2">
      <c r="B61" s="98"/>
      <c r="C61" s="48"/>
      <c r="D61" s="48"/>
      <c r="E61" s="48"/>
      <c r="F61" s="99"/>
      <c r="G61" s="35"/>
      <c r="H61" s="102"/>
      <c r="I61" s="103"/>
      <c r="J61" s="100"/>
      <c r="K61" s="104"/>
    </row>
    <row r="62" spans="2:11" x14ac:dyDescent="0.2">
      <c r="B62" s="98"/>
      <c r="C62" s="48"/>
      <c r="D62" s="48"/>
      <c r="E62" s="48"/>
      <c r="F62" s="99"/>
      <c r="G62" s="35"/>
      <c r="H62" s="102"/>
      <c r="I62" s="103"/>
      <c r="J62" s="100"/>
      <c r="K62" s="104"/>
    </row>
    <row r="63" spans="2:11" x14ac:dyDescent="0.2">
      <c r="B63" s="98"/>
      <c r="C63" s="48"/>
      <c r="D63" s="48"/>
      <c r="E63" s="48"/>
      <c r="F63" s="99"/>
      <c r="G63" s="35"/>
      <c r="H63" s="102"/>
      <c r="I63" s="103"/>
      <c r="J63" s="100"/>
      <c r="K63" s="104"/>
    </row>
    <row r="64" spans="2:11" x14ac:dyDescent="0.2">
      <c r="B64" s="98"/>
      <c r="C64" s="48"/>
      <c r="D64" s="48"/>
      <c r="E64" s="48"/>
      <c r="F64" s="99"/>
      <c r="G64" s="35"/>
      <c r="H64" s="102"/>
      <c r="I64" s="103"/>
      <c r="J64" s="100"/>
      <c r="K64" s="104"/>
    </row>
    <row r="65" spans="2:11" x14ac:dyDescent="0.2">
      <c r="B65" s="98"/>
      <c r="C65" s="48"/>
      <c r="D65" s="48"/>
      <c r="E65" s="48"/>
      <c r="F65" s="99"/>
      <c r="G65" s="35"/>
      <c r="H65" s="102"/>
      <c r="I65" s="103"/>
      <c r="J65" s="100"/>
      <c r="K65" s="104"/>
    </row>
    <row r="66" spans="2:11" x14ac:dyDescent="0.2">
      <c r="B66" s="98"/>
      <c r="C66" s="48"/>
      <c r="D66" s="48"/>
      <c r="E66" s="48"/>
      <c r="F66" s="99"/>
      <c r="G66" s="35"/>
      <c r="H66" s="102"/>
      <c r="I66" s="103"/>
      <c r="J66" s="100"/>
      <c r="K66" s="104"/>
    </row>
    <row r="67" spans="2:11" x14ac:dyDescent="0.2">
      <c r="B67" s="98"/>
      <c r="C67" s="48"/>
      <c r="D67" s="48"/>
      <c r="E67" s="48"/>
      <c r="F67" s="99"/>
      <c r="G67" s="35"/>
      <c r="H67" s="102"/>
      <c r="I67" s="103"/>
      <c r="J67" s="100"/>
      <c r="K67" s="104"/>
    </row>
    <row r="68" spans="2:11" x14ac:dyDescent="0.2">
      <c r="B68" s="98"/>
      <c r="C68" s="48"/>
      <c r="D68" s="48"/>
      <c r="E68" s="48"/>
      <c r="F68" s="99"/>
      <c r="G68" s="35"/>
      <c r="H68" s="102"/>
      <c r="I68" s="103"/>
      <c r="J68" s="100"/>
      <c r="K68" s="104"/>
    </row>
    <row r="69" spans="2:11" x14ac:dyDescent="0.2">
      <c r="B69" s="98"/>
      <c r="C69" s="48"/>
      <c r="D69" s="48"/>
      <c r="E69" s="48"/>
      <c r="F69" s="99"/>
      <c r="G69" s="35"/>
      <c r="H69" s="102"/>
      <c r="I69" s="103"/>
      <c r="J69" s="100"/>
      <c r="K69" s="104"/>
    </row>
    <row r="70" spans="2:11" x14ac:dyDescent="0.2">
      <c r="B70" s="98"/>
      <c r="C70" s="48"/>
      <c r="D70" s="48"/>
      <c r="E70" s="48"/>
      <c r="F70" s="99"/>
      <c r="G70" s="35"/>
      <c r="H70" s="102"/>
      <c r="I70" s="103"/>
      <c r="J70" s="100"/>
      <c r="K70" s="104"/>
    </row>
    <row r="71" spans="2:11" x14ac:dyDescent="0.2">
      <c r="B71" s="98"/>
      <c r="C71" s="48"/>
      <c r="D71" s="48"/>
      <c r="E71" s="48"/>
      <c r="F71" s="99"/>
      <c r="G71" s="35"/>
      <c r="H71" s="102"/>
      <c r="I71" s="103"/>
      <c r="J71" s="100"/>
      <c r="K71" s="104"/>
    </row>
    <row r="72" spans="2:11" x14ac:dyDescent="0.2">
      <c r="B72" s="98"/>
      <c r="C72" s="48"/>
      <c r="D72" s="48"/>
      <c r="E72" s="48"/>
      <c r="F72" s="99"/>
      <c r="G72" s="35"/>
      <c r="H72" s="102"/>
      <c r="I72" s="103"/>
      <c r="J72" s="100"/>
      <c r="K72" s="104"/>
    </row>
    <row r="73" spans="2:11" x14ac:dyDescent="0.2">
      <c r="B73" s="98"/>
      <c r="C73" s="48"/>
      <c r="D73" s="48"/>
      <c r="E73" s="48"/>
      <c r="F73" s="99"/>
      <c r="G73" s="35"/>
      <c r="H73" s="102"/>
      <c r="I73" s="103"/>
      <c r="J73" s="100"/>
      <c r="K73" s="104"/>
    </row>
    <row r="74" spans="2:11" x14ac:dyDescent="0.2">
      <c r="B74" s="98"/>
      <c r="C74" s="48"/>
      <c r="D74" s="48"/>
      <c r="E74" s="48"/>
      <c r="F74" s="99"/>
      <c r="G74" s="35"/>
      <c r="H74" s="102"/>
      <c r="I74" s="103"/>
      <c r="J74" s="100"/>
      <c r="K74" s="104"/>
    </row>
    <row r="75" spans="2:11" x14ac:dyDescent="0.2">
      <c r="B75" s="98"/>
      <c r="C75" s="48"/>
      <c r="D75" s="48"/>
      <c r="E75" s="48"/>
      <c r="F75" s="99"/>
      <c r="G75" s="35"/>
      <c r="H75" s="102"/>
      <c r="I75" s="103"/>
      <c r="J75" s="100"/>
      <c r="K75" s="104"/>
    </row>
    <row r="76" spans="2:11" x14ac:dyDescent="0.2">
      <c r="B76" s="98"/>
      <c r="C76" s="48"/>
      <c r="D76" s="48"/>
      <c r="E76" s="48"/>
      <c r="F76" s="99"/>
      <c r="G76" s="35"/>
      <c r="H76" s="102"/>
      <c r="I76" s="103"/>
      <c r="J76" s="100"/>
      <c r="K76" s="104"/>
    </row>
    <row r="77" spans="2:11" x14ac:dyDescent="0.2">
      <c r="B77" s="98"/>
      <c r="C77" s="48"/>
      <c r="D77" s="48"/>
      <c r="E77" s="48"/>
      <c r="F77" s="99"/>
      <c r="G77" s="35"/>
      <c r="H77" s="102"/>
      <c r="I77" s="103"/>
      <c r="J77" s="100"/>
      <c r="K77" s="104"/>
    </row>
    <row r="78" spans="2:11" x14ac:dyDescent="0.2">
      <c r="B78" s="98"/>
      <c r="C78" s="48"/>
      <c r="D78" s="48"/>
      <c r="E78" s="48"/>
      <c r="F78" s="99"/>
      <c r="G78" s="35"/>
      <c r="H78" s="102"/>
      <c r="I78" s="103"/>
      <c r="J78" s="100"/>
      <c r="K78" s="104"/>
    </row>
    <row r="79" spans="2:11" x14ac:dyDescent="0.2">
      <c r="B79" s="98"/>
      <c r="C79" s="48"/>
      <c r="D79" s="48"/>
      <c r="E79" s="48"/>
      <c r="F79" s="99"/>
      <c r="G79" s="35"/>
      <c r="H79" s="102"/>
      <c r="I79" s="103"/>
      <c r="J79" s="100"/>
      <c r="K79" s="104"/>
    </row>
    <row r="80" spans="2:11" x14ac:dyDescent="0.2">
      <c r="B80" s="98"/>
      <c r="C80" s="48"/>
      <c r="D80" s="48"/>
      <c r="E80" s="48"/>
      <c r="F80" s="99"/>
      <c r="G80" s="35"/>
      <c r="H80" s="102"/>
      <c r="I80" s="103"/>
      <c r="J80" s="100"/>
      <c r="K80" s="104"/>
    </row>
  </sheetData>
  <mergeCells count="1">
    <mergeCell ref="H2:K5"/>
  </mergeCell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EAC25-4B2F-4D75-8C52-AE34DBB4214B}">
          <x14:formula1>
            <xm:f>'Datos generales'!$V$8:$V$1048576</xm:f>
          </x14:formula1>
          <xm:sqref>B4:B5</xm:sqref>
        </x14:dataValidation>
        <x14:dataValidation type="list" allowBlank="1" showInputMessage="1" showErrorMessage="1" xr:uid="{2ED71F30-5068-4D42-9DA6-03E6E7BEFAF1}">
          <x14:formula1>
            <xm:f>'Datos proyecto'!$F$9:$F$1048576</xm:f>
          </x14:formula1>
          <xm:sqref>C9:C80</xm:sqref>
        </x14:dataValidation>
        <x14:dataValidation type="list" allowBlank="1" showInputMessage="1" showErrorMessage="1" xr:uid="{674C382B-6B38-4A31-BC2D-E92260845599}">
          <x14:formula1>
            <xm:f>'Datos proyecto'!$I$9:$I$1048576</xm:f>
          </x14:formula1>
          <xm:sqref>B9:B80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313F-494E-4A77-871B-F748C9E5EBA4}">
  <sheetPr codeName="Hoja7">
    <tabColor theme="6" tint="0.39997558519241921"/>
  </sheetPr>
  <dimension ref="B2:S36"/>
  <sheetViews>
    <sheetView tabSelected="1" zoomScale="110" zoomScaleNormal="70" workbookViewId="0">
      <selection activeCell="E8" sqref="E8"/>
    </sheetView>
  </sheetViews>
  <sheetFormatPr baseColWidth="10" defaultColWidth="11.5" defaultRowHeight="15" x14ac:dyDescent="0.2"/>
  <cols>
    <col min="2" max="2" width="15.6640625" customWidth="1"/>
    <col min="3" max="3" width="12.6640625" customWidth="1"/>
    <col min="4" max="4" width="14.5" customWidth="1"/>
    <col min="5" max="5" width="19.5" customWidth="1"/>
    <col min="6" max="6" width="31.6640625" customWidth="1"/>
    <col min="7" max="7" width="17.83203125" customWidth="1"/>
    <col min="8" max="8" width="18.83203125" customWidth="1"/>
    <col min="9" max="10" width="17.5" customWidth="1"/>
    <col min="11" max="11" width="16.5" customWidth="1"/>
    <col min="12" max="12" width="16.1640625" customWidth="1"/>
    <col min="13" max="13" width="15.1640625" customWidth="1"/>
    <col min="16" max="16" width="14" customWidth="1"/>
    <col min="17" max="17" width="17.1640625" customWidth="1"/>
    <col min="18" max="18" width="19.5" customWidth="1"/>
  </cols>
  <sheetData>
    <row r="2" spans="2:19" x14ac:dyDescent="0.2">
      <c r="E2" s="178" t="s">
        <v>134</v>
      </c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</row>
    <row r="3" spans="2:19" x14ac:dyDescent="0.2"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</row>
    <row r="4" spans="2:19" x14ac:dyDescent="0.2">
      <c r="E4" s="93"/>
    </row>
    <row r="5" spans="2:19" x14ac:dyDescent="0.2">
      <c r="B5" t="s">
        <v>49</v>
      </c>
      <c r="C5" t="s">
        <v>49</v>
      </c>
      <c r="D5" t="s">
        <v>49</v>
      </c>
      <c r="E5" s="127" t="s">
        <v>109</v>
      </c>
      <c r="F5" s="4" t="s">
        <v>50</v>
      </c>
      <c r="G5" s="4" t="s">
        <v>50</v>
      </c>
      <c r="H5" s="4" t="s">
        <v>50</v>
      </c>
      <c r="I5" s="127" t="s">
        <v>59</v>
      </c>
      <c r="J5" s="127"/>
      <c r="K5" s="4" t="s">
        <v>50</v>
      </c>
      <c r="L5" s="4" t="s">
        <v>50</v>
      </c>
      <c r="M5" s="4" t="s">
        <v>50</v>
      </c>
      <c r="N5" s="4" t="s">
        <v>50</v>
      </c>
      <c r="O5" s="4" t="s">
        <v>50</v>
      </c>
      <c r="P5" s="4" t="s">
        <v>50</v>
      </c>
      <c r="Q5" s="4" t="s">
        <v>50</v>
      </c>
      <c r="R5" s="4" t="s">
        <v>50</v>
      </c>
    </row>
    <row r="6" spans="2:19" ht="32" x14ac:dyDescent="0.2">
      <c r="B6" s="29" t="s">
        <v>37</v>
      </c>
      <c r="C6" s="29" t="s">
        <v>51</v>
      </c>
      <c r="D6" s="64" t="s">
        <v>60</v>
      </c>
      <c r="E6" s="29" t="s">
        <v>61</v>
      </c>
      <c r="F6" s="29" t="s">
        <v>36</v>
      </c>
      <c r="G6" s="29" t="s">
        <v>110</v>
      </c>
      <c r="H6" s="29" t="s">
        <v>205</v>
      </c>
      <c r="I6" s="29" t="s">
        <v>62</v>
      </c>
      <c r="J6" s="29" t="s">
        <v>133</v>
      </c>
      <c r="K6" s="29" t="s">
        <v>114</v>
      </c>
      <c r="L6" s="29" t="s">
        <v>129</v>
      </c>
      <c r="M6" s="29" t="s">
        <v>130</v>
      </c>
      <c r="N6" s="29" t="s">
        <v>131</v>
      </c>
      <c r="O6" s="29" t="s">
        <v>63</v>
      </c>
      <c r="P6" s="29" t="s">
        <v>64</v>
      </c>
      <c r="Q6" s="29" t="s">
        <v>115</v>
      </c>
      <c r="R6" s="29" t="s">
        <v>199</v>
      </c>
    </row>
    <row r="7" spans="2:19" ht="66" customHeight="1" x14ac:dyDescent="0.2">
      <c r="B7" s="27" t="s">
        <v>108</v>
      </c>
      <c r="C7" s="20" t="s">
        <v>184</v>
      </c>
      <c r="D7" s="22" t="s">
        <v>65</v>
      </c>
      <c r="E7" s="23" t="s">
        <v>48</v>
      </c>
      <c r="F7" s="31" t="str">
        <f>_xlfn.XLOOKUP(Tabla27[[#This Row],[Nombre producto]],Productos!C:C,Productos!D:D, "Error",0,1)</f>
        <v>Datalogger de fabricación propia - No hay margen porque ese es el precio final</v>
      </c>
      <c r="G7" s="20" t="str">
        <f>_xlfn.XLOOKUP(Tabla27[[#This Row],[Nombre producto]], TablaProductos[Nombre producto], TablaProductos[Tipo de moneda],"Error - agregue producto a Productos",0,1)</f>
        <v>USD</v>
      </c>
      <c r="H7" s="140">
        <f>_xlfn.XLOOKUP(Tabla27[[#This Row],[Nombre producto]], TablaProductos[Nombre producto], TablaProductos[Costo producto],"Error - agregue producto a Productos",0,1)</f>
        <v>600</v>
      </c>
      <c r="I7" s="139">
        <v>3</v>
      </c>
      <c r="J7" s="146">
        <f>IF(Tabla27[[#This Row],[Moneda producto]]="USD",'Datos generales'!$G$3,IF(Tabla27[[#This Row],[Moneda producto]]="EUR",'Datos generales'!$G$3,0))</f>
        <v>0.05</v>
      </c>
      <c r="K7" s="56">
        <f>_xlfn.XLOOKUP(Tabla27[[#This Row],[Nombre producto]], TablaProductos[Nombre producto], TablaProductos[Precio USD],"Error - agregue producto a Productos",0,1)*(1)</f>
        <v>666.66666666666663</v>
      </c>
      <c r="L7" s="35">
        <f>_xlfn.XLOOKUP(Tabla27[[#This Row],[Nombre producto]], TablaProductos[Nombre producto], TablaProductos[Precio CLP],"Error - agregue producto a Productos",0,1)</f>
        <v>633333.33333333326</v>
      </c>
      <c r="M7" s="35">
        <f>_xlfn.XLOOKUP(Tabla27[[#This Row],[Nombre producto]], TablaProductos[Nombre producto], TablaProductos[Precio UF],"Error - agregue producto a Productos",0,1)</f>
        <v>16.489105040806194</v>
      </c>
      <c r="N7" s="35">
        <f>_xlfn.XLOOKUP(Tabla27[[#This Row],[Nombre producto]], TablaProductos[Nombre producto], TablaProductos[Precio Euros],"Error - agregue producto a Productos",0,1)</f>
        <v>617.88617886178849</v>
      </c>
      <c r="O7" s="21">
        <f>_xlfn.XLOOKUP(Tabla27[[#This Row],[Nombre producto]],Productos!$C:$C,Productos!N:N, "Error",0,1)</f>
        <v>617.88617886178849</v>
      </c>
      <c r="P7" s="21" t="str">
        <f>_xlfn.XLOOKUP(Tabla27[[#This Row],[Nombre producto]],Productos!$C:$C,Productos!O:O, "Error",0,1)</f>
        <v>Wolke</v>
      </c>
      <c r="Q7" s="63" t="str">
        <f>_xlfn.XLOOKUP(Tabla27[[#This Row],[Tipo de venta]], Tabla2329[Tipo de venta], Tabla2329[Moneda final], "Error - Seleccionar Tipo de Venta", 0,1)</f>
        <v>EUR</v>
      </c>
      <c r="R7" s="6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1853.6585365853655</v>
      </c>
      <c r="S7" s="24"/>
    </row>
    <row r="8" spans="2:19" ht="16" x14ac:dyDescent="0.2">
      <c r="B8" s="28"/>
      <c r="C8" s="20"/>
      <c r="D8" s="22" t="s">
        <v>66</v>
      </c>
      <c r="E8" s="23" t="s">
        <v>67</v>
      </c>
      <c r="F8" s="31"/>
      <c r="G8" s="20"/>
      <c r="H8" s="141"/>
      <c r="I8" s="139"/>
      <c r="J8" s="146"/>
      <c r="K8" s="56"/>
      <c r="L8" s="40"/>
      <c r="M8" s="41"/>
      <c r="N8" s="41"/>
      <c r="O8" s="42"/>
      <c r="P8" s="43"/>
      <c r="Q8" s="63"/>
      <c r="R8" s="65"/>
    </row>
    <row r="9" spans="2:19" x14ac:dyDescent="0.2">
      <c r="B9" s="28"/>
      <c r="C9" s="20"/>
      <c r="D9" s="22"/>
      <c r="E9" s="23"/>
      <c r="F9" s="20"/>
      <c r="G9" s="20"/>
      <c r="H9" s="141"/>
      <c r="I9" s="139"/>
      <c r="J9" s="146"/>
      <c r="K9" s="56"/>
      <c r="L9" s="40"/>
      <c r="M9" s="41"/>
      <c r="N9" s="41"/>
      <c r="O9" s="42"/>
      <c r="P9" s="43"/>
      <c r="Q9" s="63"/>
      <c r="R9" s="65"/>
    </row>
    <row r="10" spans="2:19" x14ac:dyDescent="0.2">
      <c r="B10" s="28"/>
      <c r="C10" s="20"/>
      <c r="D10" s="22"/>
      <c r="E10" s="23"/>
      <c r="F10" s="20"/>
      <c r="G10" s="20"/>
      <c r="H10" s="141"/>
      <c r="I10" s="139"/>
      <c r="J10" s="146"/>
      <c r="K10" s="56"/>
      <c r="L10" s="40"/>
      <c r="M10" s="41"/>
      <c r="N10" s="41"/>
      <c r="O10" s="42"/>
      <c r="P10" s="43"/>
      <c r="Q10" s="63"/>
      <c r="R10" s="65"/>
    </row>
    <row r="11" spans="2:19" ht="66" customHeight="1" x14ac:dyDescent="0.2">
      <c r="B11" s="28"/>
      <c r="C11" s="20"/>
      <c r="D11" s="22"/>
      <c r="E11" s="23"/>
      <c r="F11" s="31"/>
      <c r="G11" s="20"/>
      <c r="H11" s="141"/>
      <c r="I11" s="139"/>
      <c r="J11" s="146"/>
      <c r="K11" s="56"/>
      <c r="L11" s="35"/>
      <c r="M11" s="35"/>
      <c r="N11" s="35"/>
      <c r="O11" s="21"/>
      <c r="P11" s="21"/>
      <c r="Q11" s="63"/>
      <c r="R11" s="65"/>
    </row>
    <row r="12" spans="2:19" x14ac:dyDescent="0.2">
      <c r="B12" s="28"/>
      <c r="C12" s="20"/>
      <c r="D12" s="22"/>
      <c r="E12" s="23"/>
      <c r="F12" s="31"/>
      <c r="G12" s="20"/>
      <c r="H12" s="141"/>
      <c r="I12" s="139"/>
      <c r="J12" s="146"/>
      <c r="K12" s="56"/>
      <c r="L12" s="40"/>
      <c r="M12" s="41"/>
      <c r="N12" s="41"/>
      <c r="O12" s="42"/>
      <c r="P12" s="43"/>
      <c r="Q12" s="63"/>
      <c r="R12" s="65"/>
    </row>
    <row r="13" spans="2:19" x14ac:dyDescent="0.2">
      <c r="B13" s="21"/>
      <c r="C13" s="20"/>
      <c r="D13" s="22"/>
      <c r="E13" s="23"/>
      <c r="F13" s="20"/>
      <c r="G13" s="20"/>
      <c r="H13" s="141"/>
      <c r="I13" s="139"/>
      <c r="J13" s="146"/>
      <c r="K13" s="56"/>
      <c r="L13" s="40"/>
      <c r="M13" s="40"/>
      <c r="N13" s="41"/>
      <c r="O13" s="21"/>
      <c r="P13" s="21"/>
      <c r="Q13" s="63"/>
      <c r="R13" s="65"/>
    </row>
    <row r="14" spans="2:19" x14ac:dyDescent="0.2">
      <c r="B14" s="21"/>
      <c r="C14" s="20"/>
      <c r="D14" s="22"/>
      <c r="E14" s="23"/>
      <c r="F14" s="20"/>
      <c r="G14" s="20"/>
      <c r="H14" s="141"/>
      <c r="I14" s="139"/>
      <c r="J14" s="146"/>
      <c r="K14" s="56"/>
      <c r="L14" s="40"/>
      <c r="M14" s="40"/>
      <c r="N14" s="41"/>
      <c r="O14" s="21"/>
      <c r="P14" s="21"/>
      <c r="Q14" s="63"/>
      <c r="R14" s="65"/>
    </row>
    <row r="15" spans="2:19" x14ac:dyDescent="0.2">
      <c r="B15" s="21"/>
      <c r="C15" s="20"/>
      <c r="D15" s="22"/>
      <c r="E15" s="23"/>
      <c r="F15" s="20"/>
      <c r="G15" s="20"/>
      <c r="H15" s="141"/>
      <c r="I15" s="139"/>
      <c r="J15" s="146"/>
      <c r="K15" s="56"/>
      <c r="L15" s="40"/>
      <c r="M15" s="40"/>
      <c r="N15" s="41"/>
      <c r="O15" s="21"/>
      <c r="P15" s="21"/>
      <c r="Q15" s="63"/>
      <c r="R15" s="65"/>
    </row>
    <row r="16" spans="2:19" x14ac:dyDescent="0.2">
      <c r="B16" s="21"/>
      <c r="C16" s="20"/>
      <c r="D16" s="22"/>
      <c r="E16" s="23"/>
      <c r="F16" s="20"/>
      <c r="G16" s="20"/>
      <c r="H16" s="141"/>
      <c r="I16" s="139"/>
      <c r="J16" s="146"/>
      <c r="K16" s="56"/>
      <c r="L16" s="40"/>
      <c r="M16" s="40"/>
      <c r="N16" s="41"/>
      <c r="O16" s="21"/>
      <c r="P16" s="21"/>
      <c r="Q16" s="63"/>
      <c r="R16" s="65"/>
    </row>
    <row r="17" spans="2:18" x14ac:dyDescent="0.2">
      <c r="B17" s="21"/>
      <c r="C17" s="20"/>
      <c r="D17" s="22"/>
      <c r="E17" s="23"/>
      <c r="F17" s="20"/>
      <c r="G17" s="20"/>
      <c r="H17" s="141"/>
      <c r="I17" s="139"/>
      <c r="J17" s="146"/>
      <c r="K17" s="56"/>
      <c r="L17" s="40"/>
      <c r="M17" s="40"/>
      <c r="N17" s="41"/>
      <c r="O17" s="21"/>
      <c r="P17" s="21"/>
      <c r="Q17" s="63"/>
      <c r="R17" s="65"/>
    </row>
    <row r="18" spans="2:18" x14ac:dyDescent="0.2">
      <c r="B18" s="21"/>
      <c r="C18" s="20"/>
      <c r="D18" s="22"/>
      <c r="E18" s="23"/>
      <c r="F18" s="20"/>
      <c r="G18" s="20"/>
      <c r="H18" s="141"/>
      <c r="I18" s="139"/>
      <c r="J18" s="146"/>
      <c r="K18" s="56"/>
      <c r="L18" s="40"/>
      <c r="M18" s="40"/>
      <c r="N18" s="41"/>
      <c r="O18" s="21"/>
      <c r="P18" s="21"/>
      <c r="Q18" s="63"/>
      <c r="R18" s="65"/>
    </row>
    <row r="19" spans="2:18" x14ac:dyDescent="0.2">
      <c r="B19" s="21"/>
      <c r="C19" s="20"/>
      <c r="D19" s="22"/>
      <c r="E19" s="23"/>
      <c r="F19" s="20"/>
      <c r="G19" s="20"/>
      <c r="H19" s="141"/>
      <c r="I19" s="139"/>
      <c r="J19" s="146"/>
      <c r="K19" s="56"/>
      <c r="L19" s="40"/>
      <c r="M19" s="40"/>
      <c r="N19" s="41"/>
      <c r="O19" s="21"/>
      <c r="P19" s="21"/>
      <c r="Q19" s="63"/>
      <c r="R19" s="65"/>
    </row>
    <row r="20" spans="2:18" x14ac:dyDescent="0.2">
      <c r="B20" s="21"/>
      <c r="C20" s="20"/>
      <c r="D20" s="22"/>
      <c r="E20" s="23"/>
      <c r="F20" s="20"/>
      <c r="G20" s="20"/>
      <c r="H20" s="141"/>
      <c r="I20" s="139"/>
      <c r="J20" s="146"/>
      <c r="K20" s="56"/>
      <c r="L20" s="40"/>
      <c r="M20" s="40"/>
      <c r="N20" s="41"/>
      <c r="O20" s="21"/>
      <c r="P20" s="21"/>
      <c r="Q20" s="63"/>
      <c r="R20" s="65"/>
    </row>
    <row r="21" spans="2:18" x14ac:dyDescent="0.2">
      <c r="B21" s="21"/>
      <c r="C21" s="20"/>
      <c r="D21" s="22"/>
      <c r="E21" s="23"/>
      <c r="F21" s="20"/>
      <c r="G21" s="20"/>
      <c r="H21" s="141"/>
      <c r="I21" s="139"/>
      <c r="J21" s="146"/>
      <c r="K21" s="56"/>
      <c r="L21" s="40"/>
      <c r="M21" s="40"/>
      <c r="N21" s="41"/>
      <c r="O21" s="21"/>
      <c r="P21" s="21"/>
      <c r="Q21" s="63"/>
      <c r="R21" s="65"/>
    </row>
    <row r="22" spans="2:18" x14ac:dyDescent="0.2">
      <c r="B22" s="21"/>
      <c r="C22" s="20"/>
      <c r="D22" s="22"/>
      <c r="E22" s="23"/>
      <c r="F22" s="20"/>
      <c r="G22" s="20"/>
      <c r="H22" s="141"/>
      <c r="I22" s="139"/>
      <c r="J22" s="146"/>
      <c r="K22" s="56"/>
      <c r="L22" s="40"/>
      <c r="M22" s="40"/>
      <c r="N22" s="41"/>
      <c r="O22" s="21"/>
      <c r="P22" s="21"/>
      <c r="Q22" s="63"/>
      <c r="R22" s="65"/>
    </row>
    <row r="23" spans="2:18" x14ac:dyDescent="0.2">
      <c r="B23" s="21"/>
      <c r="C23" s="20"/>
      <c r="D23" s="22"/>
      <c r="E23" s="23"/>
      <c r="F23" s="20"/>
      <c r="G23" s="20"/>
      <c r="H23" s="141"/>
      <c r="I23" s="139"/>
      <c r="J23" s="146"/>
      <c r="K23" s="56"/>
      <c r="L23" s="40"/>
      <c r="M23" s="65"/>
      <c r="N23" s="142"/>
      <c r="O23" s="63"/>
      <c r="P23" s="63"/>
      <c r="Q23" s="63"/>
      <c r="R23" s="65"/>
    </row>
    <row r="24" spans="2:18" x14ac:dyDescent="0.2">
      <c r="B24" s="21"/>
      <c r="C24" s="20"/>
      <c r="D24" s="22"/>
      <c r="E24" s="23"/>
      <c r="F24" s="20"/>
      <c r="G24" s="20"/>
      <c r="H24" s="141"/>
      <c r="I24" s="139"/>
      <c r="J24" s="146"/>
      <c r="K24" s="56"/>
      <c r="L24" s="40"/>
      <c r="M24" s="65"/>
      <c r="N24" s="142"/>
      <c r="O24" s="63"/>
      <c r="P24" s="63"/>
      <c r="Q24" s="63"/>
      <c r="R24" s="65"/>
    </row>
    <row r="25" spans="2:18" x14ac:dyDescent="0.2">
      <c r="B25" s="21"/>
      <c r="C25" s="20"/>
      <c r="D25" s="22"/>
      <c r="E25" s="23"/>
      <c r="F25" s="20"/>
      <c r="G25" s="20"/>
      <c r="H25" s="141"/>
      <c r="I25" s="139"/>
      <c r="J25" s="146"/>
      <c r="K25" s="56"/>
      <c r="L25" s="40"/>
      <c r="M25" s="65"/>
      <c r="N25" s="142"/>
      <c r="O25" s="63"/>
      <c r="P25" s="63"/>
      <c r="Q25" s="63"/>
      <c r="R25" s="65"/>
    </row>
    <row r="26" spans="2:18" x14ac:dyDescent="0.2">
      <c r="B26" s="21"/>
      <c r="C26" s="20"/>
      <c r="D26" s="22"/>
      <c r="E26" s="23"/>
      <c r="F26" s="20"/>
      <c r="G26" s="20"/>
      <c r="H26" s="141"/>
      <c r="I26" s="139"/>
      <c r="J26" s="146"/>
      <c r="K26" s="56"/>
      <c r="L26" s="40"/>
      <c r="M26" s="40"/>
      <c r="N26" s="41"/>
      <c r="O26" s="21"/>
      <c r="P26" s="21"/>
      <c r="Q26" s="63"/>
      <c r="R26" s="65"/>
    </row>
    <row r="27" spans="2:18" x14ac:dyDescent="0.2">
      <c r="B27" s="21"/>
      <c r="C27" s="20"/>
      <c r="D27" s="22"/>
      <c r="E27" s="23"/>
      <c r="F27" s="20"/>
      <c r="G27" s="20"/>
      <c r="H27" s="141"/>
      <c r="I27" s="139"/>
      <c r="J27" s="146"/>
      <c r="K27" s="56"/>
      <c r="L27" s="40"/>
      <c r="M27" s="65"/>
      <c r="N27" s="142"/>
      <c r="O27" s="63"/>
      <c r="P27" s="63"/>
      <c r="Q27" s="63"/>
      <c r="R27" s="65"/>
    </row>
    <row r="28" spans="2:18" x14ac:dyDescent="0.2">
      <c r="B28" s="21"/>
      <c r="C28" s="20"/>
      <c r="D28" s="22"/>
      <c r="E28" s="23"/>
      <c r="F28" s="20"/>
      <c r="G28" s="20"/>
      <c r="H28" s="141"/>
      <c r="I28" s="139"/>
      <c r="J28" s="146"/>
      <c r="K28" s="56"/>
      <c r="L28" s="40"/>
      <c r="M28" s="65"/>
      <c r="N28" s="142"/>
      <c r="O28" s="63"/>
      <c r="P28" s="63"/>
      <c r="Q28" s="63"/>
      <c r="R28" s="65"/>
    </row>
    <row r="29" spans="2:18" x14ac:dyDescent="0.2">
      <c r="B29" s="21"/>
      <c r="C29" s="20"/>
      <c r="D29" s="22"/>
      <c r="E29" s="23"/>
      <c r="F29" s="20"/>
      <c r="G29" s="20"/>
      <c r="H29" s="141"/>
      <c r="I29" s="139"/>
      <c r="J29" s="146"/>
      <c r="K29" s="56"/>
      <c r="L29" s="40"/>
      <c r="M29" s="40"/>
      <c r="N29" s="41"/>
      <c r="O29" s="21"/>
      <c r="P29" s="21"/>
      <c r="Q29" s="63"/>
      <c r="R29" s="65"/>
    </row>
    <row r="30" spans="2:18" x14ac:dyDescent="0.2">
      <c r="B30" s="21"/>
      <c r="C30" s="20"/>
      <c r="D30" s="22"/>
      <c r="E30" s="23"/>
      <c r="F30" s="20"/>
      <c r="G30" s="20"/>
      <c r="H30" s="141"/>
      <c r="I30" s="139"/>
      <c r="J30" s="146"/>
      <c r="K30" s="56"/>
      <c r="L30" s="40"/>
      <c r="M30" s="40"/>
      <c r="N30" s="41"/>
      <c r="O30" s="21"/>
      <c r="P30" s="21"/>
      <c r="Q30" s="63"/>
      <c r="R30" s="65"/>
    </row>
    <row r="31" spans="2:18" x14ac:dyDescent="0.2">
      <c r="B31" s="21"/>
      <c r="C31" s="20"/>
      <c r="D31" s="22"/>
      <c r="E31" s="23"/>
      <c r="F31" s="20"/>
      <c r="G31" s="20"/>
      <c r="H31" s="141"/>
      <c r="I31" s="139"/>
      <c r="J31" s="146"/>
      <c r="K31" s="56"/>
      <c r="L31" s="40"/>
      <c r="M31" s="65"/>
      <c r="N31" s="142"/>
      <c r="O31" s="63"/>
      <c r="P31" s="63"/>
      <c r="Q31" s="63"/>
      <c r="R31" s="65"/>
    </row>
    <row r="32" spans="2:18" x14ac:dyDescent="0.2">
      <c r="B32" s="21"/>
      <c r="C32" s="20"/>
      <c r="D32" s="22"/>
      <c r="E32" s="23"/>
      <c r="F32" s="20"/>
      <c r="G32" s="20"/>
      <c r="H32" s="141"/>
      <c r="I32" s="139"/>
      <c r="J32" s="146"/>
      <c r="K32" s="56"/>
      <c r="L32" s="40"/>
      <c r="M32" s="65"/>
      <c r="N32" s="142"/>
      <c r="O32" s="63"/>
      <c r="P32" s="63"/>
      <c r="Q32" s="63"/>
      <c r="R32" s="65"/>
    </row>
    <row r="33" spans="2:18" x14ac:dyDescent="0.2">
      <c r="B33" s="21"/>
      <c r="C33" s="20"/>
      <c r="D33" s="22"/>
      <c r="E33" s="23"/>
      <c r="F33" s="20"/>
      <c r="G33" s="20"/>
      <c r="H33" s="141"/>
      <c r="I33" s="139"/>
      <c r="J33" s="146"/>
      <c r="K33" s="56"/>
      <c r="L33" s="40"/>
      <c r="M33" s="65"/>
      <c r="N33" s="142"/>
      <c r="O33" s="63"/>
      <c r="P33" s="63"/>
      <c r="Q33" s="63"/>
      <c r="R33" s="65"/>
    </row>
    <row r="34" spans="2:18" x14ac:dyDescent="0.2">
      <c r="B34" s="21"/>
      <c r="C34" s="20"/>
      <c r="D34" s="22"/>
      <c r="E34" s="23"/>
      <c r="F34" s="20"/>
      <c r="G34" s="20"/>
      <c r="H34" s="141"/>
      <c r="I34" s="139"/>
      <c r="J34" s="146"/>
      <c r="K34" s="56"/>
      <c r="L34" s="40"/>
      <c r="M34" s="65"/>
      <c r="N34" s="142"/>
      <c r="O34" s="63"/>
      <c r="P34" s="63"/>
      <c r="Q34" s="63"/>
      <c r="R34" s="65"/>
    </row>
    <row r="35" spans="2:18" x14ac:dyDescent="0.2">
      <c r="B35" s="21"/>
      <c r="C35" s="20"/>
      <c r="D35" s="22"/>
      <c r="E35" s="23"/>
      <c r="F35" s="20"/>
      <c r="G35" s="20"/>
      <c r="H35" s="141"/>
      <c r="I35" s="139"/>
      <c r="J35" s="146"/>
      <c r="K35" s="56"/>
      <c r="L35" s="40"/>
      <c r="M35" s="40"/>
      <c r="N35" s="41"/>
      <c r="O35" s="21"/>
      <c r="P35" s="21"/>
      <c r="Q35" s="63"/>
      <c r="R35" s="65"/>
    </row>
    <row r="36" spans="2:18" x14ac:dyDescent="0.2">
      <c r="B36" s="184"/>
      <c r="C36" s="20"/>
      <c r="D36" s="22"/>
      <c r="E36" s="23"/>
      <c r="F36" s="20"/>
      <c r="G36" s="20"/>
      <c r="H36" s="141"/>
      <c r="I36" s="139"/>
      <c r="J36" s="146"/>
      <c r="K36" s="56"/>
      <c r="L36" s="40"/>
      <c r="M36" s="40"/>
      <c r="N36" s="41"/>
      <c r="O36" s="185"/>
      <c r="P36" s="186"/>
      <c r="Q36" s="187"/>
      <c r="R36" s="188"/>
    </row>
  </sheetData>
  <mergeCells count="1">
    <mergeCell ref="E2:Q3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D62D9C6-F9EB-4F4D-B453-168CE2B8B269}">
          <x14:formula1>
            <xm:f>'Datos proyecto'!$I$9:$I$530</xm:f>
          </x14:formula1>
          <xm:sqref>B7:B36</xm:sqref>
        </x14:dataValidation>
        <x14:dataValidation type="list" allowBlank="1" showInputMessage="1" showErrorMessage="1" xr:uid="{169857F6-556C-45F6-BEA0-70083EBE209E}">
          <x14:formula1>
            <xm:f>Productos!$C:$C</xm:f>
          </x14:formula1>
          <xm:sqref>E37:E393</xm:sqref>
        </x14:dataValidation>
        <x14:dataValidation type="list" allowBlank="1" showInputMessage="1" showErrorMessage="1" xr:uid="{AAB75971-646D-4890-BC7D-87C5374A7A5E}">
          <x14:formula1>
            <xm:f>'Datos proyecto'!$F$9:$F$1048576</xm:f>
          </x14:formula1>
          <xm:sqref>C7:C1048576</xm:sqref>
        </x14:dataValidation>
        <x14:dataValidation type="list" allowBlank="1" showInputMessage="1" showErrorMessage="1" xr:uid="{FD92B769-0B65-274F-A183-CE821955D564}">
          <x14:formula1>
            <xm:f>ProductosPivot!$5:$5</xm:f>
          </x14:formula1>
          <xm:sqref>D7:D36</xm:sqref>
        </x14:dataValidation>
        <x14:dataValidation type="list" allowBlank="1" showInputMessage="1" showErrorMessage="1" xr:uid="{980378AD-A3FC-5444-83F9-ADEA3CC53DC7}">
          <x14:formula1>
            <xm:f>ProductosPivot!$H7:$XFD7</xm:f>
          </x14:formula1>
          <xm:sqref>E8:E36 E7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5A4AD-7A94-4514-8B00-3F75C5A38F9C}">
  <sheetPr codeName="Hoja8">
    <tabColor rgb="FF00B050"/>
  </sheetPr>
  <dimension ref="B2:R29"/>
  <sheetViews>
    <sheetView zoomScale="85" zoomScaleNormal="85" workbookViewId="0">
      <selection activeCell="A7" sqref="A7"/>
    </sheetView>
  </sheetViews>
  <sheetFormatPr baseColWidth="10" defaultColWidth="11.5" defaultRowHeight="15" x14ac:dyDescent="0.2"/>
  <cols>
    <col min="2" max="2" width="14.33203125" customWidth="1"/>
    <col min="3" max="3" width="23.6640625" customWidth="1"/>
    <col min="4" max="4" width="35.1640625" customWidth="1"/>
    <col min="5" max="5" width="17.1640625" customWidth="1"/>
    <col min="6" max="6" width="18.33203125" customWidth="1"/>
    <col min="7" max="7" width="16.83203125" bestFit="1" customWidth="1"/>
    <col min="8" max="8" width="17.1640625" customWidth="1"/>
    <col min="9" max="9" width="12" customWidth="1"/>
    <col min="10" max="10" width="22.33203125" bestFit="1" customWidth="1"/>
    <col min="11" max="11" width="17.5" customWidth="1"/>
    <col min="12" max="12" width="16.1640625" customWidth="1"/>
    <col min="13" max="13" width="14.83203125" customWidth="1"/>
    <col min="14" max="14" width="18.83203125" bestFit="1" customWidth="1"/>
    <col min="15" max="15" width="17.83203125" customWidth="1"/>
    <col min="16" max="16" width="23" bestFit="1" customWidth="1"/>
    <col min="17" max="17" width="27.5" bestFit="1" customWidth="1"/>
    <col min="18" max="18" width="30.1640625" customWidth="1"/>
    <col min="19" max="19" width="19.5" bestFit="1" customWidth="1"/>
  </cols>
  <sheetData>
    <row r="2" spans="2:18" x14ac:dyDescent="0.2">
      <c r="E2" s="179" t="s">
        <v>126</v>
      </c>
      <c r="F2" s="179"/>
      <c r="G2" s="179"/>
      <c r="H2" s="179"/>
      <c r="I2" s="179"/>
      <c r="J2" s="179"/>
      <c r="K2" s="179"/>
    </row>
    <row r="3" spans="2:18" x14ac:dyDescent="0.2">
      <c r="E3" s="179"/>
      <c r="F3" s="179"/>
      <c r="G3" s="179"/>
      <c r="H3" s="179"/>
      <c r="I3" s="179"/>
      <c r="J3" s="179"/>
      <c r="K3" s="179"/>
    </row>
    <row r="4" spans="2:18" x14ac:dyDescent="0.2">
      <c r="E4" s="129" t="s">
        <v>128</v>
      </c>
      <c r="F4" s="180" t="s">
        <v>127</v>
      </c>
      <c r="G4" s="181"/>
      <c r="H4" s="181"/>
      <c r="I4" s="181"/>
      <c r="J4" s="181"/>
      <c r="K4" s="182"/>
    </row>
    <row r="5" spans="2:18" x14ac:dyDescent="0.2">
      <c r="B5" s="128" t="s">
        <v>49</v>
      </c>
      <c r="C5" s="127" t="s">
        <v>59</v>
      </c>
      <c r="D5" s="127" t="s">
        <v>59</v>
      </c>
      <c r="E5" s="127" t="s">
        <v>59</v>
      </c>
      <c r="F5" s="127" t="s">
        <v>59</v>
      </c>
      <c r="G5" s="127" t="s">
        <v>59</v>
      </c>
      <c r="H5" s="127" t="s">
        <v>59</v>
      </c>
      <c r="I5" s="127" t="s">
        <v>59</v>
      </c>
      <c r="J5" s="127" t="s">
        <v>59</v>
      </c>
      <c r="K5" s="127" t="s">
        <v>59</v>
      </c>
      <c r="L5" s="127" t="s">
        <v>59</v>
      </c>
      <c r="M5" s="127" t="s">
        <v>59</v>
      </c>
      <c r="N5" s="127" t="s">
        <v>59</v>
      </c>
      <c r="O5" s="127" t="s">
        <v>59</v>
      </c>
      <c r="P5" s="127" t="s">
        <v>59</v>
      </c>
      <c r="Q5" s="127" t="s">
        <v>59</v>
      </c>
    </row>
    <row r="6" spans="2:18" ht="32" x14ac:dyDescent="0.2">
      <c r="B6" s="19" t="s">
        <v>60</v>
      </c>
      <c r="C6" s="19" t="s">
        <v>61</v>
      </c>
      <c r="D6" s="19" t="s">
        <v>36</v>
      </c>
      <c r="E6" s="29" t="s">
        <v>68</v>
      </c>
      <c r="F6" s="19" t="s">
        <v>69</v>
      </c>
      <c r="G6" s="19" t="s">
        <v>70</v>
      </c>
      <c r="H6" s="29" t="s">
        <v>71</v>
      </c>
      <c r="I6" s="19" t="s">
        <v>22</v>
      </c>
      <c r="J6" s="19" t="s">
        <v>72</v>
      </c>
      <c r="K6" s="19" t="s">
        <v>73</v>
      </c>
      <c r="L6" s="19" t="s">
        <v>57</v>
      </c>
      <c r="M6" s="19" t="s">
        <v>74</v>
      </c>
      <c r="N6" s="19" t="s">
        <v>125</v>
      </c>
      <c r="O6" s="19" t="s">
        <v>75</v>
      </c>
      <c r="P6" s="19" t="s">
        <v>76</v>
      </c>
      <c r="Q6" s="19" t="s">
        <v>77</v>
      </c>
      <c r="R6" t="s">
        <v>107</v>
      </c>
    </row>
    <row r="7" spans="2:18" ht="32" x14ac:dyDescent="0.2">
      <c r="B7" s="24" t="s">
        <v>65</v>
      </c>
      <c r="C7" s="23" t="s">
        <v>48</v>
      </c>
      <c r="D7" s="24" t="s">
        <v>78</v>
      </c>
      <c r="E7" s="24" t="s">
        <v>6</v>
      </c>
      <c r="F7" s="59" t="s">
        <v>17</v>
      </c>
      <c r="G7" s="54">
        <v>600</v>
      </c>
      <c r="H7" s="54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600</v>
      </c>
      <c r="I7" s="55">
        <f>_xlfn.XLOOKUP(TablaProductos[[#This Row],[Agrupación]], 'Datos generales'!$S$8:$S$1048576, 'Datos generales'!$T$8:$T$1048576,"Margen en agrupación no encontrado",0, 1)</f>
        <v>0.1</v>
      </c>
      <c r="J7" s="54">
        <f t="shared" ref="J7:J16" si="0">H7/(1-I7)</f>
        <v>666.66666666666663</v>
      </c>
      <c r="K7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633333.33333333326</v>
      </c>
      <c r="L7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16.489105040806194</v>
      </c>
      <c r="M7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666.66666666666663</v>
      </c>
      <c r="N7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617.88617886178849</v>
      </c>
      <c r="O7" s="25" t="s">
        <v>79</v>
      </c>
      <c r="P7" s="23" t="s">
        <v>10</v>
      </c>
      <c r="Q7" s="26" t="s">
        <v>80</v>
      </c>
    </row>
    <row r="8" spans="2:18" ht="32" x14ac:dyDescent="0.2">
      <c r="B8" s="24" t="s">
        <v>66</v>
      </c>
      <c r="C8" s="23" t="s">
        <v>67</v>
      </c>
      <c r="D8" s="24" t="s">
        <v>81</v>
      </c>
      <c r="E8" s="24" t="s">
        <v>6</v>
      </c>
      <c r="F8" s="59" t="s">
        <v>24</v>
      </c>
      <c r="G8" s="54">
        <v>118</v>
      </c>
      <c r="H8" s="54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153.4</v>
      </c>
      <c r="I8" s="55">
        <f>_xlfn.XLOOKUP(TablaProductos[[#This Row],[Agrupación]], 'Datos generales'!$S$8:$S$1048576, 'Datos generales'!$T$8:$T$1048576,"Margen en agrupación no encontrado",0, 1)</f>
        <v>0.5</v>
      </c>
      <c r="J8" s="54">
        <f t="shared" si="0"/>
        <v>306.8</v>
      </c>
      <c r="K8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291460</v>
      </c>
      <c r="L8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7.5882861397790116</v>
      </c>
      <c r="M8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306.8</v>
      </c>
      <c r="N8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284.35121951219514</v>
      </c>
      <c r="O8" s="25" t="s">
        <v>82</v>
      </c>
      <c r="P8" s="23" t="s">
        <v>83</v>
      </c>
      <c r="Q8" s="26" t="s">
        <v>84</v>
      </c>
    </row>
    <row r="9" spans="2:18" ht="32" x14ac:dyDescent="0.2">
      <c r="B9" s="20" t="s">
        <v>66</v>
      </c>
      <c r="C9" s="48" t="s">
        <v>85</v>
      </c>
      <c r="D9" s="20" t="s">
        <v>86</v>
      </c>
      <c r="E9" s="20" t="s">
        <v>6</v>
      </c>
      <c r="F9" s="31" t="s">
        <v>24</v>
      </c>
      <c r="G9" s="56">
        <v>93</v>
      </c>
      <c r="H9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120.9</v>
      </c>
      <c r="I9" s="55">
        <f>_xlfn.XLOOKUP(TablaProductos[[#This Row],[Agrupación]], 'Datos generales'!$S$8:$S$1048576, 'Datos generales'!$T$8:$T$1048576,"Margen en agrupación no encontrado",0, 1)</f>
        <v>0.5</v>
      </c>
      <c r="J9" s="56">
        <f t="shared" si="0"/>
        <v>241.8</v>
      </c>
      <c r="K9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229710</v>
      </c>
      <c r="L9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5.9805983983004074</v>
      </c>
      <c r="M9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241.8</v>
      </c>
      <c r="N9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224.10731707317072</v>
      </c>
      <c r="O9" s="25" t="s">
        <v>82</v>
      </c>
      <c r="P9" s="23" t="s">
        <v>83</v>
      </c>
      <c r="Q9" s="26" t="s">
        <v>84</v>
      </c>
    </row>
    <row r="10" spans="2:18" ht="32" x14ac:dyDescent="0.2">
      <c r="B10" s="20" t="s">
        <v>66</v>
      </c>
      <c r="C10" s="48" t="s">
        <v>87</v>
      </c>
      <c r="D10" s="20" t="s">
        <v>88</v>
      </c>
      <c r="E10" s="20" t="s">
        <v>6</v>
      </c>
      <c r="F10" s="31" t="s">
        <v>24</v>
      </c>
      <c r="G10" s="56">
        <v>490</v>
      </c>
      <c r="H10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637</v>
      </c>
      <c r="I10" s="55">
        <f>_xlfn.XLOOKUP(TablaProductos[[#This Row],[Agrupación]], 'Datos generales'!$S$8:$S$1048576, 'Datos generales'!$T$8:$T$1048576,"Margen en agrupación no encontrado",0, 1)</f>
        <v>0.5</v>
      </c>
      <c r="J10" s="56">
        <f t="shared" si="0"/>
        <v>1274</v>
      </c>
      <c r="K10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1210300</v>
      </c>
      <c r="L10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31.510679732980641</v>
      </c>
      <c r="M10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1274</v>
      </c>
      <c r="N10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1180.780487804878</v>
      </c>
      <c r="O10" s="25" t="s">
        <v>82</v>
      </c>
      <c r="P10" s="23" t="s">
        <v>83</v>
      </c>
      <c r="Q10" s="26" t="s">
        <v>84</v>
      </c>
    </row>
    <row r="11" spans="2:18" ht="32" x14ac:dyDescent="0.2">
      <c r="B11" s="20" t="s">
        <v>66</v>
      </c>
      <c r="C11" s="31" t="s">
        <v>89</v>
      </c>
      <c r="D11" s="20" t="s">
        <v>90</v>
      </c>
      <c r="E11" s="20" t="s">
        <v>6</v>
      </c>
      <c r="F11" s="31" t="s">
        <v>24</v>
      </c>
      <c r="G11" s="56">
        <v>650</v>
      </c>
      <c r="H11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845</v>
      </c>
      <c r="I11" s="55">
        <f>_xlfn.XLOOKUP(TablaProductos[[#This Row],[Agrupación]], 'Datos generales'!$S$8:$S$1048576, 'Datos generales'!$T$8:$T$1048576,"Margen en agrupación no encontrado",0, 1)</f>
        <v>0.5</v>
      </c>
      <c r="J11" s="56">
        <f t="shared" si="0"/>
        <v>1690</v>
      </c>
      <c r="K11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1605500</v>
      </c>
      <c r="L11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41.799881278443706</v>
      </c>
      <c r="M11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1690</v>
      </c>
      <c r="N11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1566.3414634146341</v>
      </c>
      <c r="O11" s="25" t="s">
        <v>82</v>
      </c>
      <c r="P11" s="23" t="s">
        <v>83</v>
      </c>
      <c r="Q11" s="26" t="s">
        <v>84</v>
      </c>
    </row>
    <row r="12" spans="2:18" ht="16" x14ac:dyDescent="0.2">
      <c r="B12" s="20" t="s">
        <v>66</v>
      </c>
      <c r="C12" s="48" t="s">
        <v>91</v>
      </c>
      <c r="D12" s="20" t="s">
        <v>92</v>
      </c>
      <c r="E12" s="20" t="s">
        <v>6</v>
      </c>
      <c r="F12" s="31" t="s">
        <v>24</v>
      </c>
      <c r="G12" s="56">
        <v>850</v>
      </c>
      <c r="H12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1105</v>
      </c>
      <c r="I12" s="55">
        <f>_xlfn.XLOOKUP(TablaProductos[[#This Row],[Agrupación]], 'Datos generales'!$S$8:$S$1048576, 'Datos generales'!$T$8:$T$1048576,"Margen en agrupación no encontrado",0, 1)</f>
        <v>0.5</v>
      </c>
      <c r="J12" s="56">
        <f t="shared" si="0"/>
        <v>2210</v>
      </c>
      <c r="K12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2099500</v>
      </c>
      <c r="L12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54.66138321027254</v>
      </c>
      <c r="M12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2210</v>
      </c>
      <c r="N12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2048.2926829268295</v>
      </c>
      <c r="O12" s="25" t="s">
        <v>82</v>
      </c>
      <c r="P12" s="23" t="s">
        <v>83</v>
      </c>
      <c r="Q12" s="26" t="s">
        <v>84</v>
      </c>
    </row>
    <row r="13" spans="2:18" ht="16" x14ac:dyDescent="0.2">
      <c r="B13" s="20" t="s">
        <v>66</v>
      </c>
      <c r="C13" s="31" t="s">
        <v>93</v>
      </c>
      <c r="D13" s="20" t="s">
        <v>94</v>
      </c>
      <c r="E13" s="20" t="s">
        <v>6</v>
      </c>
      <c r="F13" s="31" t="s">
        <v>24</v>
      </c>
      <c r="G13" s="56">
        <v>520</v>
      </c>
      <c r="H13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676</v>
      </c>
      <c r="I13" s="55">
        <f>_xlfn.XLOOKUP(TablaProductos[[#This Row],[Agrupación]], 'Datos generales'!$S$8:$S$1048576, 'Datos generales'!$T$8:$T$1048576,"Margen en agrupación no encontrado",0, 1)</f>
        <v>0.5</v>
      </c>
      <c r="J13" s="56">
        <f t="shared" si="0"/>
        <v>1352</v>
      </c>
      <c r="K13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1284400</v>
      </c>
      <c r="L13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33.439905022754971</v>
      </c>
      <c r="M13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1352</v>
      </c>
      <c r="N13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1253.0731707317073</v>
      </c>
      <c r="O13" s="25" t="s">
        <v>82</v>
      </c>
      <c r="P13" s="23" t="s">
        <v>83</v>
      </c>
      <c r="Q13" s="26" t="s">
        <v>84</v>
      </c>
    </row>
    <row r="14" spans="2:18" ht="16" x14ac:dyDescent="0.2">
      <c r="B14" s="20" t="s">
        <v>66</v>
      </c>
      <c r="C14" s="48" t="s">
        <v>95</v>
      </c>
      <c r="D14" s="20" t="s">
        <v>96</v>
      </c>
      <c r="E14" s="20" t="s">
        <v>6</v>
      </c>
      <c r="F14" s="31" t="s">
        <v>24</v>
      </c>
      <c r="G14" s="56">
        <v>652</v>
      </c>
      <c r="H14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847.6</v>
      </c>
      <c r="I14" s="55">
        <f>_xlfn.XLOOKUP(TablaProductos[[#This Row],[Agrupación]], 'Datos generales'!$S$8:$S$1048576, 'Datos generales'!$T$8:$T$1048576,"Margen en agrupación no encontrado",0, 1)</f>
        <v>0.5</v>
      </c>
      <c r="J14" s="56">
        <f t="shared" si="0"/>
        <v>1695.2</v>
      </c>
      <c r="K14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1610440</v>
      </c>
      <c r="L14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41.928496297761995</v>
      </c>
      <c r="M14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1695.2</v>
      </c>
      <c r="N14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1571.1609756097562</v>
      </c>
      <c r="O14" s="25" t="s">
        <v>82</v>
      </c>
      <c r="P14" s="23" t="s">
        <v>83</v>
      </c>
      <c r="Q14" s="26" t="s">
        <v>84</v>
      </c>
    </row>
    <row r="15" spans="2:18" ht="112" x14ac:dyDescent="0.2">
      <c r="B15" s="20" t="s">
        <v>66</v>
      </c>
      <c r="C15" s="48" t="s">
        <v>97</v>
      </c>
      <c r="D15" s="20" t="s">
        <v>98</v>
      </c>
      <c r="E15" s="20" t="s">
        <v>6</v>
      </c>
      <c r="F15" s="31" t="s">
        <v>24</v>
      </c>
      <c r="G15" s="56">
        <v>368.8</v>
      </c>
      <c r="H15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479.44000000000005</v>
      </c>
      <c r="I15" s="55">
        <f>_xlfn.XLOOKUP(TablaProductos[[#This Row],[Agrupación]], 'Datos generales'!$S$8:$S$1048576, 'Datos generales'!$T$8:$T$1048576,"Margen en agrupación no encontrado",0, 1)</f>
        <v>0.5</v>
      </c>
      <c r="J15" s="56">
        <f t="shared" si="0"/>
        <v>958.88000000000011</v>
      </c>
      <c r="K15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910936.00000000012</v>
      </c>
      <c r="L15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23.716609562292373</v>
      </c>
      <c r="M15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958.88000000000011</v>
      </c>
      <c r="N15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888.71804878048795</v>
      </c>
      <c r="O15" s="21"/>
      <c r="P15" s="48"/>
      <c r="Q15" s="57"/>
    </row>
    <row r="16" spans="2:18" ht="16" x14ac:dyDescent="0.2">
      <c r="B16" s="20" t="s">
        <v>99</v>
      </c>
      <c r="C16" s="48" t="s">
        <v>111</v>
      </c>
      <c r="D16" s="20" t="s">
        <v>100</v>
      </c>
      <c r="E16" s="20" t="s">
        <v>1</v>
      </c>
      <c r="F16" s="31" t="s">
        <v>27</v>
      </c>
      <c r="G16" s="56">
        <v>200000</v>
      </c>
      <c r="H16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200000</v>
      </c>
      <c r="I16" s="55">
        <f>_xlfn.XLOOKUP(TablaProductos[[#This Row],[Agrupación]], 'Datos generales'!$S$8:$S$1048576, 'Datos generales'!$T$8:$T$1048576,"Margen en agrupación no encontrado",0, 1)</f>
        <v>0.6</v>
      </c>
      <c r="J16" s="56">
        <f t="shared" si="0"/>
        <v>500000</v>
      </c>
      <c r="K16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500000</v>
      </c>
      <c r="L16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13.01771450589963</v>
      </c>
      <c r="M16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526.31578947368416</v>
      </c>
      <c r="N16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487.80487804878049</v>
      </c>
      <c r="O16" s="21" t="s">
        <v>101</v>
      </c>
      <c r="P16" s="48" t="s">
        <v>102</v>
      </c>
      <c r="Q16" s="57"/>
    </row>
    <row r="17" spans="2:17" ht="192" x14ac:dyDescent="0.2">
      <c r="B17" s="20" t="s">
        <v>66</v>
      </c>
      <c r="C17" s="23" t="s">
        <v>159</v>
      </c>
      <c r="D17" s="20" t="s">
        <v>160</v>
      </c>
      <c r="E17" s="20" t="s">
        <v>6</v>
      </c>
      <c r="F17" s="31" t="s">
        <v>24</v>
      </c>
      <c r="G17" s="56">
        <v>425</v>
      </c>
      <c r="H17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552.5</v>
      </c>
      <c r="I17" s="55">
        <f>_xlfn.XLOOKUP(TablaProductos[[#This Row],[Agrupación]], 'Datos generales'!$S$8:$S$1048576, 'Datos generales'!$T$8:$T$1048576,"Margen en agrupación no encontrado",0, 1)</f>
        <v>0.5</v>
      </c>
      <c r="J17" s="56">
        <f t="shared" ref="J17:J28" si="1">H17/(1-I17)</f>
        <v>1105</v>
      </c>
      <c r="K17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1049750</v>
      </c>
      <c r="L17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27.33069160513627</v>
      </c>
      <c r="M17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1105</v>
      </c>
      <c r="N17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1024.1463414634147</v>
      </c>
      <c r="O17" s="21" t="s">
        <v>161</v>
      </c>
      <c r="P17" s="48"/>
      <c r="Q17" s="120"/>
    </row>
    <row r="18" spans="2:17" ht="112" x14ac:dyDescent="0.2">
      <c r="B18" s="20" t="s">
        <v>66</v>
      </c>
      <c r="C18" s="48" t="s">
        <v>162</v>
      </c>
      <c r="D18" s="20" t="s">
        <v>167</v>
      </c>
      <c r="E18" s="20" t="s">
        <v>6</v>
      </c>
      <c r="F18" s="31" t="s">
        <v>24</v>
      </c>
      <c r="G18" s="56">
        <v>1000</v>
      </c>
      <c r="H18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1300</v>
      </c>
      <c r="I18" s="137">
        <f>_xlfn.XLOOKUP(TablaProductos[[#This Row],[Agrupación]], 'Datos generales'!$S$8:$S$1048576, 'Datos generales'!$T$8:$T$1048576,"Margen en agrupación no encontrado",0, 1)</f>
        <v>0.5</v>
      </c>
      <c r="J18" s="56">
        <f t="shared" si="1"/>
        <v>2600</v>
      </c>
      <c r="K18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2470000</v>
      </c>
      <c r="L18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64.307509659144173</v>
      </c>
      <c r="M18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2600</v>
      </c>
      <c r="N18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2409.7560975609758</v>
      </c>
      <c r="O18" s="21"/>
      <c r="P18" s="48"/>
      <c r="Q18" s="120"/>
    </row>
    <row r="19" spans="2:17" ht="32" x14ac:dyDescent="0.2">
      <c r="B19" s="20" t="s">
        <v>99</v>
      </c>
      <c r="C19" s="48" t="s">
        <v>163</v>
      </c>
      <c r="D19" s="20" t="s">
        <v>164</v>
      </c>
      <c r="E19" s="20" t="s">
        <v>6</v>
      </c>
      <c r="F19" s="31" t="s">
        <v>24</v>
      </c>
      <c r="G19" s="56">
        <v>250</v>
      </c>
      <c r="H19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325</v>
      </c>
      <c r="I19" s="137">
        <f>_xlfn.XLOOKUP(TablaProductos[[#This Row],[Agrupación]], 'Datos generales'!$S$8:$S$1048576, 'Datos generales'!$T$8:$T$1048576,"Margen en agrupación no encontrado",0, 1)</f>
        <v>0.6</v>
      </c>
      <c r="J19" s="56">
        <f t="shared" si="1"/>
        <v>812.5</v>
      </c>
      <c r="K19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771875</v>
      </c>
      <c r="L19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20.096096768482553</v>
      </c>
      <c r="M19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812.5</v>
      </c>
      <c r="N19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753.04878048780483</v>
      </c>
      <c r="O19" s="21"/>
      <c r="P19" s="48"/>
      <c r="Q19" s="120"/>
    </row>
    <row r="20" spans="2:17" ht="96" x14ac:dyDescent="0.2">
      <c r="B20" s="20" t="s">
        <v>66</v>
      </c>
      <c r="C20" s="48" t="s">
        <v>165</v>
      </c>
      <c r="D20" s="20" t="s">
        <v>166</v>
      </c>
      <c r="E20" s="20" t="s">
        <v>6</v>
      </c>
      <c r="F20" s="31" t="s">
        <v>24</v>
      </c>
      <c r="G20" s="56">
        <v>160</v>
      </c>
      <c r="H20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208</v>
      </c>
      <c r="I20" s="137">
        <f>_xlfn.XLOOKUP(TablaProductos[[#This Row],[Agrupación]], 'Datos generales'!$S$8:$S$1048576, 'Datos generales'!$T$8:$T$1048576,"Margen en agrupación no encontrado",0, 1)</f>
        <v>0.5</v>
      </c>
      <c r="J20" s="56">
        <f t="shared" si="1"/>
        <v>416</v>
      </c>
      <c r="K20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395200</v>
      </c>
      <c r="L20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10.289201545463067</v>
      </c>
      <c r="M20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416</v>
      </c>
      <c r="N20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385.5609756097561</v>
      </c>
      <c r="O20" s="21"/>
      <c r="P20" s="48"/>
      <c r="Q20" s="120"/>
    </row>
    <row r="21" spans="2:17" ht="224" x14ac:dyDescent="0.2">
      <c r="B21" s="20" t="s">
        <v>66</v>
      </c>
      <c r="C21" s="48" t="s">
        <v>168</v>
      </c>
      <c r="D21" s="20" t="s">
        <v>169</v>
      </c>
      <c r="E21" s="20" t="s">
        <v>6</v>
      </c>
      <c r="F21" s="31" t="s">
        <v>24</v>
      </c>
      <c r="G21" s="56">
        <v>120</v>
      </c>
      <c r="H21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156</v>
      </c>
      <c r="I21" s="137">
        <f>_xlfn.XLOOKUP(TablaProductos[[#This Row],[Agrupación]], 'Datos generales'!$S$8:$S$1048576, 'Datos generales'!$T$8:$T$1048576,"Margen en agrupación no encontrado",0, 1)</f>
        <v>0.5</v>
      </c>
      <c r="J21" s="56">
        <f t="shared" si="1"/>
        <v>312</v>
      </c>
      <c r="K21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296400</v>
      </c>
      <c r="L21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7.7169011590972998</v>
      </c>
      <c r="M21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312</v>
      </c>
      <c r="N21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289.17073170731709</v>
      </c>
      <c r="O21" s="21"/>
      <c r="P21" s="48"/>
      <c r="Q21" s="120"/>
    </row>
    <row r="22" spans="2:17" ht="96" x14ac:dyDescent="0.2">
      <c r="B22" s="20" t="s">
        <v>66</v>
      </c>
      <c r="C22" s="48" t="s">
        <v>170</v>
      </c>
      <c r="D22" s="20" t="s">
        <v>171</v>
      </c>
      <c r="E22" s="20" t="s">
        <v>6</v>
      </c>
      <c r="F22" s="31" t="s">
        <v>24</v>
      </c>
      <c r="G22" s="56">
        <v>800</v>
      </c>
      <c r="H22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1040</v>
      </c>
      <c r="I22" s="137">
        <f>_xlfn.XLOOKUP(TablaProductos[[#This Row],[Agrupación]], 'Datos generales'!$S$8:$S$1048576, 'Datos generales'!$T$8:$T$1048576,"Margen en agrupación no encontrado",0, 1)</f>
        <v>0.5</v>
      </c>
      <c r="J22" s="56">
        <f t="shared" si="1"/>
        <v>2080</v>
      </c>
      <c r="K22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1976000</v>
      </c>
      <c r="L22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51.446007727315333</v>
      </c>
      <c r="M22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2080</v>
      </c>
      <c r="N22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1927.8048780487804</v>
      </c>
      <c r="O22" s="21"/>
      <c r="P22" s="48"/>
      <c r="Q22" s="120"/>
    </row>
    <row r="23" spans="2:17" ht="144" x14ac:dyDescent="0.2">
      <c r="B23" s="20" t="s">
        <v>66</v>
      </c>
      <c r="C23" s="48" t="s">
        <v>172</v>
      </c>
      <c r="D23" s="20" t="s">
        <v>173</v>
      </c>
      <c r="E23" s="20" t="s">
        <v>6</v>
      </c>
      <c r="F23" s="31" t="s">
        <v>24</v>
      </c>
      <c r="G23" s="56">
        <v>260</v>
      </c>
      <c r="H23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338</v>
      </c>
      <c r="I23" s="137">
        <f>_xlfn.XLOOKUP(TablaProductos[[#This Row],[Agrupación]], 'Datos generales'!$S$8:$S$1048576, 'Datos generales'!$T$8:$T$1048576,"Margen en agrupación no encontrado",0, 1)</f>
        <v>0.5</v>
      </c>
      <c r="J23" s="56">
        <f t="shared" si="1"/>
        <v>676</v>
      </c>
      <c r="K23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642200</v>
      </c>
      <c r="L23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16.719952511377485</v>
      </c>
      <c r="M23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676</v>
      </c>
      <c r="N23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626.53658536585363</v>
      </c>
      <c r="O23" s="21"/>
      <c r="P23" s="48"/>
      <c r="Q23" s="120"/>
    </row>
    <row r="24" spans="2:17" ht="16" x14ac:dyDescent="0.2">
      <c r="B24" s="20" t="s">
        <v>99</v>
      </c>
      <c r="C24" s="48" t="s">
        <v>174</v>
      </c>
      <c r="D24" s="20" t="s">
        <v>175</v>
      </c>
      <c r="E24" s="20" t="s">
        <v>6</v>
      </c>
      <c r="F24" s="31" t="s">
        <v>24</v>
      </c>
      <c r="G24" s="56">
        <v>50</v>
      </c>
      <c r="H24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65</v>
      </c>
      <c r="I24" s="137">
        <f>_xlfn.XLOOKUP(TablaProductos[[#This Row],[Agrupación]], 'Datos generales'!$S$8:$S$1048576, 'Datos generales'!$T$8:$T$1048576,"Margen en agrupación no encontrado",0, 1)</f>
        <v>0.6</v>
      </c>
      <c r="J24" s="56">
        <f t="shared" si="1"/>
        <v>162.5</v>
      </c>
      <c r="K24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154375</v>
      </c>
      <c r="L24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4.0192193536965108</v>
      </c>
      <c r="M24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162.5</v>
      </c>
      <c r="N24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150.60975609756099</v>
      </c>
      <c r="O24" s="21"/>
      <c r="P24" s="48"/>
      <c r="Q24" s="120"/>
    </row>
    <row r="25" spans="2:17" ht="128" x14ac:dyDescent="0.2">
      <c r="B25" s="20" t="s">
        <v>66</v>
      </c>
      <c r="C25" s="48" t="s">
        <v>176</v>
      </c>
      <c r="D25" s="20" t="s">
        <v>177</v>
      </c>
      <c r="E25" s="20" t="s">
        <v>6</v>
      </c>
      <c r="F25" s="31" t="s">
        <v>24</v>
      </c>
      <c r="G25" s="56">
        <v>600</v>
      </c>
      <c r="H25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780</v>
      </c>
      <c r="I25" s="137">
        <f>_xlfn.XLOOKUP(TablaProductos[[#This Row],[Agrupación]], 'Datos generales'!$S$8:$S$1048576, 'Datos generales'!$T$8:$T$1048576,"Margen en agrupación no encontrado",0, 1)</f>
        <v>0.5</v>
      </c>
      <c r="J25" s="56">
        <f t="shared" si="1"/>
        <v>1560</v>
      </c>
      <c r="K25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1482000</v>
      </c>
      <c r="L25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38.5845057954865</v>
      </c>
      <c r="M25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1560</v>
      </c>
      <c r="N25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1445.8536585365853</v>
      </c>
      <c r="O25" s="21"/>
      <c r="P25" s="48"/>
      <c r="Q25" s="120"/>
    </row>
    <row r="26" spans="2:17" ht="208" x14ac:dyDescent="0.2">
      <c r="B26" s="20" t="s">
        <v>66</v>
      </c>
      <c r="C26" s="48" t="s">
        <v>178</v>
      </c>
      <c r="D26" s="20" t="s">
        <v>179</v>
      </c>
      <c r="E26" s="20" t="s">
        <v>6</v>
      </c>
      <c r="F26" s="31" t="s">
        <v>24</v>
      </c>
      <c r="G26" s="56">
        <v>120</v>
      </c>
      <c r="H26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156</v>
      </c>
      <c r="I26" s="137">
        <f>_xlfn.XLOOKUP(TablaProductos[[#This Row],[Agrupación]], 'Datos generales'!$S$8:$S$1048576, 'Datos generales'!$T$8:$T$1048576,"Margen en agrupación no encontrado",0, 1)</f>
        <v>0.5</v>
      </c>
      <c r="J26" s="56">
        <f t="shared" si="1"/>
        <v>312</v>
      </c>
      <c r="K26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296400</v>
      </c>
      <c r="L26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7.7169011590972998</v>
      </c>
      <c r="M26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312</v>
      </c>
      <c r="N26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289.17073170731709</v>
      </c>
      <c r="O26" s="21"/>
      <c r="P26" s="48"/>
      <c r="Q26" s="120"/>
    </row>
    <row r="27" spans="2:17" ht="192" x14ac:dyDescent="0.2">
      <c r="B27" s="20" t="s">
        <v>66</v>
      </c>
      <c r="C27" s="48" t="s">
        <v>180</v>
      </c>
      <c r="D27" s="20" t="s">
        <v>181</v>
      </c>
      <c r="E27" s="20" t="s">
        <v>6</v>
      </c>
      <c r="F27" s="31" t="s">
        <v>24</v>
      </c>
      <c r="G27" s="56">
        <v>900</v>
      </c>
      <c r="H27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1170</v>
      </c>
      <c r="I27" s="137">
        <f>_xlfn.XLOOKUP(TablaProductos[[#This Row],[Agrupación]], 'Datos generales'!$S$8:$S$1048576, 'Datos generales'!$T$8:$T$1048576,"Margen en agrupación no encontrado",0, 1)</f>
        <v>0.5</v>
      </c>
      <c r="J27" s="56">
        <f t="shared" si="1"/>
        <v>2340</v>
      </c>
      <c r="K27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2223000</v>
      </c>
      <c r="L27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57.876758693229753</v>
      </c>
      <c r="M27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2340</v>
      </c>
      <c r="N27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2168.7804878048782</v>
      </c>
      <c r="O27" s="21"/>
      <c r="P27" s="48"/>
      <c r="Q27" s="120"/>
    </row>
    <row r="28" spans="2:17" ht="240" x14ac:dyDescent="0.2">
      <c r="B28" s="20" t="s">
        <v>66</v>
      </c>
      <c r="C28" s="48" t="s">
        <v>187</v>
      </c>
      <c r="D28" s="20" t="s">
        <v>186</v>
      </c>
      <c r="E28" s="24"/>
      <c r="F28" s="31" t="s">
        <v>24</v>
      </c>
      <c r="G28" s="56">
        <v>3400</v>
      </c>
      <c r="H28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4420</v>
      </c>
      <c r="I28" s="137">
        <f>_xlfn.XLOOKUP(TablaProductos[[#This Row],[Agrupación]], 'Datos generales'!$S$8:$S$1048576, 'Datos generales'!$T$8:$T$1048576,"Margen en agrupación no encontrado",0, 1)</f>
        <v>0.5</v>
      </c>
      <c r="J28" s="56">
        <f t="shared" si="1"/>
        <v>8840</v>
      </c>
      <c r="K28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339537328</v>
      </c>
      <c r="L28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0.23015319246430543</v>
      </c>
      <c r="M28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357407.71368421055</v>
      </c>
      <c r="N28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8.6243902439024396</v>
      </c>
      <c r="O28" s="21"/>
      <c r="P28" s="48"/>
      <c r="Q28" s="120"/>
    </row>
    <row r="29" spans="2:17" ht="16" x14ac:dyDescent="0.2">
      <c r="B29" s="20" t="s">
        <v>99</v>
      </c>
      <c r="C29" s="48" t="s">
        <v>192</v>
      </c>
      <c r="D29" s="20" t="s">
        <v>193</v>
      </c>
      <c r="E29" s="20" t="s">
        <v>1</v>
      </c>
      <c r="F29" s="31" t="s">
        <v>27</v>
      </c>
      <c r="G29" s="56">
        <v>150000</v>
      </c>
      <c r="H29" s="56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150000</v>
      </c>
      <c r="I29" s="137">
        <f>_xlfn.XLOOKUP(TablaProductos[[#This Row],[Agrupación]], 'Datos generales'!$S$8:$S$1048576, 'Datos generales'!$T$8:$T$1048576,"Margen en agrupación no encontrado",0, 1)</f>
        <v>0.6</v>
      </c>
      <c r="J29" s="56">
        <f>H29/(1-I29)</f>
        <v>375000</v>
      </c>
      <c r="K29" s="56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375000</v>
      </c>
      <c r="L29" s="56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9.7632858794247213</v>
      </c>
      <c r="M29" s="56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394.73684210526318</v>
      </c>
      <c r="N29" s="56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365.85365853658539</v>
      </c>
      <c r="O29" s="25" t="s">
        <v>79</v>
      </c>
      <c r="P29" s="48"/>
      <c r="Q29" s="120"/>
    </row>
  </sheetData>
  <mergeCells count="2">
    <mergeCell ref="E2:K3"/>
    <mergeCell ref="F4:K4"/>
  </mergeCells>
  <dataValidations count="1">
    <dataValidation type="list" allowBlank="1" showInputMessage="1" showErrorMessage="1" sqref="C3" xr:uid="{F71B8CD7-3D14-40CE-9270-B35EF4C83E60}">
      <formula1>$B$3</formula1>
    </dataValidation>
  </dataValidations>
  <hyperlinks>
    <hyperlink ref="Q7" r:id="rId1" xr:uid="{CB8D171E-CB3D-4D15-9B4A-C52C535AD811}"/>
    <hyperlink ref="Q8" r:id="rId2" xr:uid="{E6D217ED-2CF0-41AE-8410-95C7F1D2F7C7}"/>
    <hyperlink ref="Q9:Q13" r:id="rId3" display="kyla@hondetech.com" xr:uid="{83D943AB-91B6-4C24-A1D0-F2D4C2429BD8}"/>
    <hyperlink ref="Q14" r:id="rId4" xr:uid="{90F59941-1F9A-46C0-A0F0-156378B83547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CrearTablaDinamicaProductos">
                <anchor moveWithCells="1" sizeWithCells="1">
                  <from>
                    <xdr:col>1</xdr:col>
                    <xdr:colOff>190500</xdr:colOff>
                    <xdr:row>0</xdr:row>
                    <xdr:rowOff>139700</xdr:rowOff>
                  </from>
                  <to>
                    <xdr:col>3</xdr:col>
                    <xdr:colOff>1282700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C61AC4-ADC8-4000-8369-DFA2E060DACC}">
          <x14:formula1>
            <xm:f>'Datos generales'!$F$8:$F$1048576</xm:f>
          </x14:formula1>
          <xm:sqref>F7:F1048576</xm:sqref>
        </x14:dataValidation>
        <x14:dataValidation type="list" allowBlank="1" showInputMessage="1" showErrorMessage="1" xr:uid="{17488019-F271-4DDF-8327-0A51ECC4A32D}">
          <x14:formula1>
            <xm:f>'Datos generales'!$S$8:$S$1048576</xm:f>
          </x14:formula1>
          <xm:sqref>B7:B1048576</xm:sqref>
        </x14:dataValidation>
        <x14:dataValidation type="list" allowBlank="1" showInputMessage="1" showErrorMessage="1" xr:uid="{F113163F-A343-42D0-9952-298CF978A04A}">
          <x14:formula1>
            <xm:f>'Datos generales'!$B$8:$B$13</xm:f>
          </x14:formula1>
          <xm:sqref>E7:E27 E29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2BB4E-4E32-4A43-8BFD-327DC426DCC9}">
  <dimension ref="B2:Y1000"/>
  <sheetViews>
    <sheetView workbookViewId="0">
      <selection activeCell="I18" sqref="I18"/>
    </sheetView>
  </sheetViews>
  <sheetFormatPr baseColWidth="10" defaultRowHeight="15" x14ac:dyDescent="0.2"/>
  <cols>
    <col min="2" max="2" width="11.6640625" customWidth="1"/>
    <col min="5" max="5" width="16.33203125" customWidth="1"/>
  </cols>
  <sheetData>
    <row r="2" spans="2:25" x14ac:dyDescent="0.2">
      <c r="B2" s="183" t="s">
        <v>149</v>
      </c>
      <c r="C2" s="183"/>
      <c r="D2" s="183"/>
      <c r="E2" s="183"/>
    </row>
    <row r="3" spans="2:25" x14ac:dyDescent="0.2">
      <c r="B3" s="183"/>
      <c r="C3" s="183"/>
      <c r="D3" s="183"/>
      <c r="E3" s="183"/>
    </row>
    <row r="5" spans="2:25" x14ac:dyDescent="0.2">
      <c r="B5" s="169"/>
      <c r="C5" s="169" t="str" cm="1">
        <f t="array" ref="C5:E5">TRANSPOSE(_xlfn._xlws.SORT(_xlfn.UNIQUE(TablaProductos[Agrupación])))</f>
        <v>RTU</v>
      </c>
      <c r="D5" s="169" t="str">
        <v>Sensor</v>
      </c>
      <c r="E5" s="169" t="str">
        <v>Soporte</v>
      </c>
    </row>
    <row r="6" spans="2:25" ht="16" x14ac:dyDescent="0.2">
      <c r="B6" s="169"/>
      <c r="C6" s="72" t="str" cm="1">
        <f t="array" ref="C6">_xlfn._xlws.FILTER(TablaProductos[Nombre producto],TablaProductos[Agrupación]=ProductosPivot!C5)</f>
        <v>VigíaBox Neo</v>
      </c>
      <c r="D6" s="72" t="str" cm="1">
        <f t="array" ref="D6:D23">_xlfn._xlws.FILTER(TablaProductos[Nombre producto],TablaProductos[Agrupación]=ProductosPivot!D5)</f>
        <v>ORP-RDSOR</v>
      </c>
      <c r="E6" s="72" t="str" cm="1">
        <f t="array" ref="E6:E9">_xlfn._xlws.FILTER(TablaProductos[Nombre producto],TablaProductos[Agrupación]=ProductosPivot!E5)</f>
        <v>Soporte simple</v>
      </c>
      <c r="G6" t="s">
        <v>256</v>
      </c>
      <c r="H6" t="s">
        <v>257</v>
      </c>
    </row>
    <row r="7" spans="2:25" x14ac:dyDescent="0.2">
      <c r="B7" s="72"/>
      <c r="C7" s="72"/>
      <c r="D7" s="72" t="str">
        <v>RD-WPHIT</v>
      </c>
      <c r="E7" s="72" t="str">
        <v>SUP-PTU8011-Pipeline Mount Kit</v>
      </c>
      <c r="G7" t="str">
        <f>Tabla27[[#This Row],[Agrupación]]</f>
        <v>RTU</v>
      </c>
      <c r="H7" t="str" cm="1">
        <f t="array" ref="H7">TRANSPOSE((_xlfn._xlws.FILTER(INDEX($C$6:$E$1000,,MATCH($G7,$C$5:$E$5,0)),INDEX($C$6:$E$1000,,MATCH($G7,$C$5:$E$5,0))&lt;&gt;"","No hay nada")))</f>
        <v>VigíaBox Neo</v>
      </c>
    </row>
    <row r="8" spans="2:25" x14ac:dyDescent="0.2">
      <c r="B8" s="72"/>
      <c r="C8" s="72"/>
      <c r="D8" s="72" t="str">
        <v>RD-TSS-03</v>
      </c>
      <c r="E8" s="72" t="str">
        <v>SUP-ADI7000-Flow-Cell</v>
      </c>
      <c r="G8" t="str">
        <f>Tabla27[[#This Row],[Agrupación]]</f>
        <v>Sensor</v>
      </c>
      <c r="H8" t="str" cm="1">
        <f t="array" ref="H8:Y8">TRANSPOSE((_xlfn._xlws.FILTER(INDEX($C$6:$E$1000,,MATCH($G8,$C$5:$E$5,0)),INDEX($C$6:$E$1000,,MATCH($G8,$C$5:$E$5,0))&lt;&gt;"","No hay nada")))</f>
        <v>ORP-RDSOR</v>
      </c>
      <c r="I8" t="str">
        <v>RD-WPHIT</v>
      </c>
      <c r="J8" t="str">
        <v>RD-TSS-03</v>
      </c>
      <c r="K8" t="str">
        <v>RD-WNT-02</v>
      </c>
      <c r="L8" t="str">
        <v>RD-OIW-
01</v>
      </c>
      <c r="M8" t="str">
        <v>RDCBT3IN1-01</v>
      </c>
      <c r="N8" t="str">
        <v>TUF-2000S-02</v>
      </c>
      <c r="O8" t="str">
        <v>BGT-RD101</v>
      </c>
      <c r="P8" t="str">
        <v>SUP-LMQ</v>
      </c>
      <c r="Q8" t="str">
        <v>SUP-PTU-8011</v>
      </c>
      <c r="R8" t="str">
        <v>SUP-TDS-8001</v>
      </c>
      <c r="S8" t="str">
        <v>SUP-PH8001</v>
      </c>
      <c r="T8" t="str">
        <v>SUP-PTU300</v>
      </c>
      <c r="U8" t="str">
        <v>SUP-ADI7000</v>
      </c>
      <c r="V8" t="str">
        <v>SUP-DO-7018</v>
      </c>
      <c r="W8" t="str">
        <v>SUP-ORP8001</v>
      </c>
      <c r="X8" t="str">
        <v>SUP-PSS9011</v>
      </c>
      <c r="Y8" t="str">
        <v>SUP-MPP1000</v>
      </c>
    </row>
    <row r="9" spans="2:25" x14ac:dyDescent="0.2">
      <c r="B9" s="72"/>
      <c r="C9" s="72"/>
      <c r="D9" s="72" t="str">
        <v>RD-WNT-02</v>
      </c>
      <c r="E9" s="72" t="str">
        <v>TBL-PWR-GEN</v>
      </c>
      <c r="G9">
        <f>Tabla27[[#This Row],[Agrupación]]</f>
        <v>0</v>
      </c>
      <c r="H9" t="e" cm="1">
        <f t="array" ref="H9">TRANSPOSE((_xlfn._xlws.FILTER(INDEX($C$6:$E$1000,,MATCH($G9,$C$5:$E$5,0)),INDEX($C$6:$E$1000,,MATCH($G9,$C$5:$E$5,0))&lt;&gt;"","No hay nada")))</f>
        <v>#N/A</v>
      </c>
    </row>
    <row r="10" spans="2:25" x14ac:dyDescent="0.2">
      <c r="B10" s="72"/>
      <c r="C10" s="72"/>
      <c r="D10" s="72" t="str">
        <v>RD-OIW-
01</v>
      </c>
      <c r="E10" s="72"/>
      <c r="G10">
        <f>Tabla27[[#This Row],[Agrupación]]</f>
        <v>0</v>
      </c>
      <c r="H10" t="e" cm="1">
        <f t="array" ref="H10">TRANSPOSE((_xlfn._xlws.FILTER(INDEX($C$6:$E$1000,,MATCH($G10,$C$5:$E$5,0)),INDEX($C$6:$E$1000,,MATCH($G10,$C$5:$E$5,0))&lt;&gt;"","No hay nada")))</f>
        <v>#N/A</v>
      </c>
    </row>
    <row r="11" spans="2:25" x14ac:dyDescent="0.2">
      <c r="B11" s="72"/>
      <c r="C11" s="72"/>
      <c r="D11" s="72" t="str">
        <v>RDCBT3IN1-01</v>
      </c>
      <c r="E11" s="72"/>
      <c r="G11">
        <f>Tabla27[[#This Row],[Agrupación]]</f>
        <v>0</v>
      </c>
      <c r="H11" t="e" cm="1">
        <f t="array" ref="H11">TRANSPOSE((_xlfn._xlws.FILTER(INDEX($C$6:$E$1000,,MATCH($G11,$C$5:$E$5,0)),INDEX($C$6:$E$1000,,MATCH($G11,$C$5:$E$5,0))&lt;&gt;"","No hay nada")))</f>
        <v>#N/A</v>
      </c>
    </row>
    <row r="12" spans="2:25" x14ac:dyDescent="0.2">
      <c r="B12" s="72"/>
      <c r="C12" s="72"/>
      <c r="D12" s="72" t="str">
        <v>TUF-2000S-02</v>
      </c>
      <c r="E12" s="72"/>
      <c r="G12">
        <f>Tabla27[[#This Row],[Agrupación]]</f>
        <v>0</v>
      </c>
      <c r="H12" t="e" cm="1">
        <f t="array" ref="H12">TRANSPOSE((_xlfn._xlws.FILTER(INDEX($C$6:$E$1000,,MATCH($G12,$C$5:$E$5,0)),INDEX($C$6:$E$1000,,MATCH($G12,$C$5:$E$5,0))&lt;&gt;"","No hay nada")))</f>
        <v>#N/A</v>
      </c>
    </row>
    <row r="13" spans="2:25" x14ac:dyDescent="0.2">
      <c r="B13" s="72"/>
      <c r="C13" s="72"/>
      <c r="D13" s="72" t="str">
        <v>BGT-RD101</v>
      </c>
      <c r="E13" s="72"/>
      <c r="G13">
        <f>Tabla27[[#This Row],[Agrupación]]</f>
        <v>0</v>
      </c>
      <c r="H13" t="e" cm="1">
        <f t="array" ref="H13">TRANSPOSE((_xlfn._xlws.FILTER(INDEX($C$6:$E$1000,,MATCH($G13,$C$5:$E$5,0)),INDEX($C$6:$E$1000,,MATCH($G13,$C$5:$E$5,0))&lt;&gt;"","No hay nada")))</f>
        <v>#N/A</v>
      </c>
    </row>
    <row r="14" spans="2:25" x14ac:dyDescent="0.2">
      <c r="B14" s="72"/>
      <c r="C14" s="72"/>
      <c r="D14" s="72" t="str">
        <v>SUP-LMQ</v>
      </c>
      <c r="E14" s="72"/>
      <c r="G14">
        <f>Tabla27[[#This Row],[Agrupación]]</f>
        <v>0</v>
      </c>
      <c r="H14" t="e" cm="1">
        <f t="array" ref="H14">TRANSPOSE((_xlfn._xlws.FILTER(INDEX($C$6:$E$1000,,MATCH($G14,$C$5:$E$5,0)),INDEX($C$6:$E$1000,,MATCH($G14,$C$5:$E$5,0))&lt;&gt;"","No hay nada")))</f>
        <v>#N/A</v>
      </c>
    </row>
    <row r="15" spans="2:25" x14ac:dyDescent="0.2">
      <c r="B15" s="72"/>
      <c r="C15" s="72"/>
      <c r="D15" s="72" t="str">
        <v>SUP-PTU-8011</v>
      </c>
      <c r="E15" s="72"/>
      <c r="G15">
        <f>Tabla27[[#This Row],[Agrupación]]</f>
        <v>0</v>
      </c>
      <c r="H15" t="e" cm="1">
        <f t="array" ref="H15">TRANSPOSE((_xlfn._xlws.FILTER(INDEX($C$6:$E$1000,,MATCH($G15,$C$5:$E$5,0)),INDEX($C$6:$E$1000,,MATCH($G15,$C$5:$E$5,0))&lt;&gt;"","No hay nada")))</f>
        <v>#N/A</v>
      </c>
    </row>
    <row r="16" spans="2:25" x14ac:dyDescent="0.2">
      <c r="B16" s="72"/>
      <c r="C16" s="72"/>
      <c r="D16" s="72" t="str">
        <v>SUP-TDS-8001</v>
      </c>
      <c r="E16" s="72"/>
      <c r="G16">
        <f>Tabla27[[#This Row],[Agrupación]]</f>
        <v>0</v>
      </c>
      <c r="H16" t="e" cm="1">
        <f t="array" ref="H16">TRANSPOSE((_xlfn._xlws.FILTER(INDEX($C$6:$E$1000,,MATCH($G16,$C$5:$E$5,0)),INDEX($C$6:$E$1000,,MATCH($G16,$C$5:$E$5,0))&lt;&gt;"","No hay nada")))</f>
        <v>#N/A</v>
      </c>
    </row>
    <row r="17" spans="2:8" x14ac:dyDescent="0.2">
      <c r="B17" s="72"/>
      <c r="C17" s="72"/>
      <c r="D17" s="72" t="str">
        <v>SUP-PH8001</v>
      </c>
      <c r="E17" s="72"/>
      <c r="G17">
        <f>Tabla27[[#This Row],[Agrupación]]</f>
        <v>0</v>
      </c>
      <c r="H17" t="e" cm="1">
        <f t="array" ref="H17">TRANSPOSE((_xlfn._xlws.FILTER(INDEX($C$6:$E$1000,,MATCH($G17,$C$5:$E$5,0)),INDEX($C$6:$E$1000,,MATCH($G17,$C$5:$E$5,0))&lt;&gt;"","No hay nada")))</f>
        <v>#N/A</v>
      </c>
    </row>
    <row r="18" spans="2:8" x14ac:dyDescent="0.2">
      <c r="B18" s="72"/>
      <c r="C18" s="72"/>
      <c r="D18" s="72" t="str">
        <v>SUP-PTU300</v>
      </c>
      <c r="E18" s="72"/>
      <c r="G18">
        <f>Tabla27[[#This Row],[Agrupación]]</f>
        <v>0</v>
      </c>
      <c r="H18" t="e" cm="1">
        <f t="array" ref="H18">TRANSPOSE((_xlfn._xlws.FILTER(INDEX($C$6:$E$1000,,MATCH($G18,$C$5:$E$5,0)),INDEX($C$6:$E$1000,,MATCH($G18,$C$5:$E$5,0))&lt;&gt;"","No hay nada")))</f>
        <v>#N/A</v>
      </c>
    </row>
    <row r="19" spans="2:8" x14ac:dyDescent="0.2">
      <c r="B19" s="72"/>
      <c r="C19" s="72"/>
      <c r="D19" s="72" t="str">
        <v>SUP-ADI7000</v>
      </c>
      <c r="E19" s="72"/>
      <c r="G19">
        <f>Tabla27[[#This Row],[Agrupación]]</f>
        <v>0</v>
      </c>
      <c r="H19" t="e" cm="1">
        <f t="array" ref="H19">TRANSPOSE((_xlfn._xlws.FILTER(INDEX($C$6:$E$1000,,MATCH($G19,$C$5:$E$5,0)),INDEX($C$6:$E$1000,,MATCH($G19,$C$5:$E$5,0))&lt;&gt;"","No hay nada")))</f>
        <v>#N/A</v>
      </c>
    </row>
    <row r="20" spans="2:8" x14ac:dyDescent="0.2">
      <c r="B20" s="72"/>
      <c r="C20" s="72"/>
      <c r="D20" s="72" t="str">
        <v>SUP-DO-7018</v>
      </c>
      <c r="E20" s="72"/>
      <c r="G20">
        <f>Tabla27[[#This Row],[Agrupación]]</f>
        <v>0</v>
      </c>
      <c r="H20" t="e" cm="1">
        <f t="array" ref="H20">TRANSPOSE((_xlfn._xlws.FILTER(INDEX($C$6:$E$1000,,MATCH($G20,$C$5:$E$5,0)),INDEX($C$6:$E$1000,,MATCH($G20,$C$5:$E$5,0))&lt;&gt;"","No hay nada")))</f>
        <v>#N/A</v>
      </c>
    </row>
    <row r="21" spans="2:8" x14ac:dyDescent="0.2">
      <c r="B21" s="72"/>
      <c r="C21" s="72"/>
      <c r="D21" s="72" t="str">
        <v>SUP-ORP8001</v>
      </c>
      <c r="E21" s="72"/>
      <c r="G21">
        <f>Tabla27[[#This Row],[Agrupación]]</f>
        <v>0</v>
      </c>
      <c r="H21" t="e" cm="1">
        <f t="array" ref="H21">TRANSPOSE((_xlfn._xlws.FILTER(INDEX($C$6:$E$1000,,MATCH($G21,$C$5:$E$5,0)),INDEX($C$6:$E$1000,,MATCH($G21,$C$5:$E$5,0))&lt;&gt;"","No hay nada")))</f>
        <v>#N/A</v>
      </c>
    </row>
    <row r="22" spans="2:8" x14ac:dyDescent="0.2">
      <c r="B22" s="72"/>
      <c r="C22" s="72"/>
      <c r="D22" s="72" t="str">
        <v>SUP-PSS9011</v>
      </c>
      <c r="E22" s="72"/>
      <c r="G22">
        <f>Tabla27[[#This Row],[Agrupación]]</f>
        <v>0</v>
      </c>
      <c r="H22" t="e" cm="1">
        <f t="array" ref="H22">TRANSPOSE((_xlfn._xlws.FILTER(INDEX($C$6:$E$1000,,MATCH($G22,$C$5:$E$5,0)),INDEX($C$6:$E$1000,,MATCH($G22,$C$5:$E$5,0))&lt;&gt;"","No hay nada")))</f>
        <v>#N/A</v>
      </c>
    </row>
    <row r="23" spans="2:8" x14ac:dyDescent="0.2">
      <c r="B23" s="72"/>
      <c r="C23" s="72"/>
      <c r="D23" s="72" t="str">
        <v>SUP-MPP1000</v>
      </c>
      <c r="E23" s="72"/>
      <c r="G23">
        <f>Tabla27[[#This Row],[Agrupación]]</f>
        <v>0</v>
      </c>
      <c r="H23" t="e" cm="1">
        <f t="array" ref="H23">TRANSPOSE((_xlfn._xlws.FILTER(INDEX($C$6:$E$1000,,MATCH($G23,$C$5:$E$5,0)),INDEX($C$6:$E$1000,,MATCH($G23,$C$5:$E$5,0))&lt;&gt;"","No hay nada")))</f>
        <v>#N/A</v>
      </c>
    </row>
    <row r="24" spans="2:8" x14ac:dyDescent="0.2">
      <c r="G24">
        <f>Tabla27[[#This Row],[Agrupación]]</f>
        <v>0</v>
      </c>
      <c r="H24" t="e" cm="1">
        <f t="array" ref="H24">TRANSPOSE((_xlfn._xlws.FILTER(INDEX($C$6:$E$1000,,MATCH($G24,$C$5:$E$5,0)),INDEX($C$6:$E$1000,,MATCH($G24,$C$5:$E$5,0))&lt;&gt;"","No hay nada")))</f>
        <v>#N/A</v>
      </c>
    </row>
    <row r="25" spans="2:8" x14ac:dyDescent="0.2">
      <c r="G25">
        <f>Tabla27[[#This Row],[Agrupación]]</f>
        <v>0</v>
      </c>
      <c r="H25" t="e" cm="1">
        <f t="array" ref="H25">TRANSPOSE((_xlfn._xlws.FILTER(INDEX($C$6:$E$1000,,MATCH($G25,$C$5:$E$5,0)),INDEX($C$6:$E$1000,,MATCH($G25,$C$5:$E$5,0))&lt;&gt;"","No hay nada")))</f>
        <v>#N/A</v>
      </c>
    </row>
    <row r="26" spans="2:8" x14ac:dyDescent="0.2">
      <c r="G26">
        <f>Tabla27[[#This Row],[Agrupación]]</f>
        <v>0</v>
      </c>
      <c r="H26" t="e" cm="1">
        <f t="array" ref="H26">TRANSPOSE((_xlfn._xlws.FILTER(INDEX($C$6:$E$1000,,MATCH($G26,$C$5:$E$5,0)),INDEX($C$6:$E$1000,,MATCH($G26,$C$5:$E$5,0))&lt;&gt;"","No hay nada")))</f>
        <v>#N/A</v>
      </c>
    </row>
    <row r="27" spans="2:8" x14ac:dyDescent="0.2">
      <c r="G27">
        <f>Tabla27[[#This Row],[Agrupación]]</f>
        <v>0</v>
      </c>
      <c r="H27" t="e" cm="1">
        <f t="array" ref="H27">TRANSPOSE((_xlfn._xlws.FILTER(INDEX($C$6:$E$1000,,MATCH($G27,$C$5:$E$5,0)),INDEX($C$6:$E$1000,,MATCH($G27,$C$5:$E$5,0))&lt;&gt;"","No hay nada")))</f>
        <v>#N/A</v>
      </c>
    </row>
    <row r="28" spans="2:8" x14ac:dyDescent="0.2">
      <c r="G28">
        <f>Tabla27[[#This Row],[Agrupación]]</f>
        <v>0</v>
      </c>
      <c r="H28" t="e" cm="1">
        <f t="array" ref="H28">TRANSPOSE((_xlfn._xlws.FILTER(INDEX($C$6:$E$1000,,MATCH($G28,$C$5:$E$5,0)),INDEX($C$6:$E$1000,,MATCH($G28,$C$5:$E$5,0))&lt;&gt;"","No hay nada")))</f>
        <v>#N/A</v>
      </c>
    </row>
    <row r="29" spans="2:8" x14ac:dyDescent="0.2">
      <c r="G29">
        <f>Tabla27[[#This Row],[Agrupación]]</f>
        <v>0</v>
      </c>
      <c r="H29" t="e" cm="1">
        <f t="array" ref="H29">TRANSPOSE((_xlfn._xlws.FILTER(INDEX($C$6:$E$1000,,MATCH($G29,$C$5:$E$5,0)),INDEX($C$6:$E$1000,,MATCH($G29,$C$5:$E$5,0))&lt;&gt;"","No hay nada")))</f>
        <v>#N/A</v>
      </c>
    </row>
    <row r="30" spans="2:8" x14ac:dyDescent="0.2">
      <c r="G30">
        <f>Tabla27[[#This Row],[Agrupación]]</f>
        <v>0</v>
      </c>
      <c r="H30" t="e" cm="1">
        <f t="array" ref="H30">TRANSPOSE((_xlfn._xlws.FILTER(INDEX($C$6:$E$1000,,MATCH($G30,$C$5:$E$5,0)),INDEX($C$6:$E$1000,,MATCH($G30,$C$5:$E$5,0))&lt;&gt;"","No hay nada")))</f>
        <v>#N/A</v>
      </c>
    </row>
    <row r="31" spans="2:8" x14ac:dyDescent="0.2">
      <c r="G31">
        <f>Tabla27[[#This Row],[Agrupación]]</f>
        <v>0</v>
      </c>
      <c r="H31" t="e" cm="1">
        <f t="array" ref="H31">TRANSPOSE((_xlfn._xlws.FILTER(INDEX($C$6:$E$1000,,MATCH($G31,$C$5:$E$5,0)),INDEX($C$6:$E$1000,,MATCH($G31,$C$5:$E$5,0))&lt;&gt;"","No hay nada")))</f>
        <v>#N/A</v>
      </c>
    </row>
    <row r="32" spans="2:8" x14ac:dyDescent="0.2">
      <c r="G32">
        <f>Tabla27[[#This Row],[Agrupación]]</f>
        <v>0</v>
      </c>
      <c r="H32" t="e" cm="1">
        <f t="array" ref="H32">TRANSPOSE((_xlfn._xlws.FILTER(INDEX($C$6:$E$1000,,MATCH($G32,$C$5:$E$5,0)),INDEX($C$6:$E$1000,,MATCH($G32,$C$5:$E$5,0))&lt;&gt;"","No hay nada")))</f>
        <v>#N/A</v>
      </c>
    </row>
    <row r="33" spans="7:8" x14ac:dyDescent="0.2">
      <c r="G33">
        <f>Tabla27[[#This Row],[Agrupación]]</f>
        <v>0</v>
      </c>
      <c r="H33" t="e" cm="1">
        <f t="array" ref="H33">TRANSPOSE((_xlfn._xlws.FILTER(INDEX($C$6:$E$1000,,MATCH($G33,$C$5:$E$5,0)),INDEX($C$6:$E$1000,,MATCH($G33,$C$5:$E$5,0))&lt;&gt;"","No hay nada")))</f>
        <v>#N/A</v>
      </c>
    </row>
    <row r="34" spans="7:8" x14ac:dyDescent="0.2">
      <c r="G34">
        <f>Tabla27[[#This Row],[Agrupación]]</f>
        <v>0</v>
      </c>
      <c r="H34" t="e" cm="1">
        <f t="array" ref="H34">TRANSPOSE((_xlfn._xlws.FILTER(INDEX($C$6:$E$1000,,MATCH($G34,$C$5:$E$5,0)),INDEX($C$6:$E$1000,,MATCH($G34,$C$5:$E$5,0))&lt;&gt;"","No hay nada")))</f>
        <v>#N/A</v>
      </c>
    </row>
    <row r="35" spans="7:8" x14ac:dyDescent="0.2">
      <c r="G35">
        <f>Tabla27[[#This Row],[Agrupación]]</f>
        <v>0</v>
      </c>
      <c r="H35" t="e" cm="1">
        <f t="array" ref="H35">TRANSPOSE((_xlfn._xlws.FILTER(INDEX($C$6:$E$1000,,MATCH($G35,$C$5:$E$5,0)),INDEX($C$6:$E$1000,,MATCH($G35,$C$5:$E$5,0))&lt;&gt;"","No hay nada")))</f>
        <v>#N/A</v>
      </c>
    </row>
    <row r="36" spans="7:8" x14ac:dyDescent="0.2">
      <c r="G36">
        <f>Tabla27[[#This Row],[Agrupación]]</f>
        <v>0</v>
      </c>
      <c r="H36" t="e" cm="1">
        <f t="array" ref="H36">TRANSPOSE((_xlfn._xlws.FILTER(INDEX($C$6:$E$1000,,MATCH($G36,$C$5:$E$5,0)),INDEX($C$6:$E$1000,,MATCH($G36,$C$5:$E$5,0))&lt;&gt;"","No hay nada")))</f>
        <v>#N/A</v>
      </c>
    </row>
    <row r="37" spans="7:8" x14ac:dyDescent="0.2">
      <c r="G37" t="e">
        <f>Tabla27[[#This Row],[Agrupación]]</f>
        <v>#VALUE!</v>
      </c>
      <c r="H37" t="e" cm="1">
        <f t="array" ref="H37">TRANSPOSE((_xlfn._xlws.FILTER(INDEX($C$6:$E$1000,,MATCH($G37,$C$5:$E$5,0)),INDEX($C$6:$E$1000,,MATCH($G37,$C$5:$E$5,0))&lt;&gt;"","No hay nada")))</f>
        <v>#VALUE!</v>
      </c>
    </row>
    <row r="38" spans="7:8" x14ac:dyDescent="0.2">
      <c r="G38" t="e">
        <f>Tabla27[[#This Row],[Agrupación]]</f>
        <v>#VALUE!</v>
      </c>
      <c r="H38" t="e" cm="1">
        <f t="array" ref="H38">TRANSPOSE((_xlfn._xlws.FILTER(INDEX($C$6:$E$1000,,MATCH($G38,$C$5:$E$5,0)),INDEX($C$6:$E$1000,,MATCH($G38,$C$5:$E$5,0))&lt;&gt;"","No hay nada")))</f>
        <v>#VALUE!</v>
      </c>
    </row>
    <row r="39" spans="7:8" x14ac:dyDescent="0.2">
      <c r="G39" t="e">
        <f>Tabla27[[#This Row],[Agrupación]]</f>
        <v>#VALUE!</v>
      </c>
      <c r="H39" t="e" cm="1">
        <f t="array" ref="H39">TRANSPOSE((_xlfn._xlws.FILTER(INDEX($C$6:$E$1000,,MATCH($G39,$C$5:$E$5,0)),INDEX($C$6:$E$1000,,MATCH($G39,$C$5:$E$5,0))&lt;&gt;"","No hay nada")))</f>
        <v>#VALUE!</v>
      </c>
    </row>
    <row r="40" spans="7:8" x14ac:dyDescent="0.2">
      <c r="G40" t="e">
        <f>Tabla27[[#This Row],[Agrupación]]</f>
        <v>#VALUE!</v>
      </c>
      <c r="H40" t="e" cm="1">
        <f t="array" ref="H40">TRANSPOSE((_xlfn._xlws.FILTER(INDEX($C$6:$E$1000,,MATCH($G40,$C$5:$E$5,0)),INDEX($C$6:$E$1000,,MATCH($G40,$C$5:$E$5,0))&lt;&gt;"","No hay nada")))</f>
        <v>#VALUE!</v>
      </c>
    </row>
    <row r="41" spans="7:8" x14ac:dyDescent="0.2">
      <c r="G41" t="e">
        <f>Tabla27[[#This Row],[Agrupación]]</f>
        <v>#VALUE!</v>
      </c>
      <c r="H41" t="e" cm="1">
        <f t="array" ref="H41">TRANSPOSE((_xlfn._xlws.FILTER(INDEX($C$6:$E$1000,,MATCH($G41,$C$5:$E$5,0)),INDEX($C$6:$E$1000,,MATCH($G41,$C$5:$E$5,0))&lt;&gt;"","No hay nada")))</f>
        <v>#VALUE!</v>
      </c>
    </row>
    <row r="42" spans="7:8" x14ac:dyDescent="0.2">
      <c r="G42" t="e">
        <f>Tabla27[[#This Row],[Agrupación]]</f>
        <v>#VALUE!</v>
      </c>
      <c r="H42" t="e" cm="1">
        <f t="array" ref="H42">TRANSPOSE((_xlfn._xlws.FILTER(INDEX($C$6:$E$1000,,MATCH($G42,$C$5:$E$5,0)),INDEX($C$6:$E$1000,,MATCH($G42,$C$5:$E$5,0))&lt;&gt;"","No hay nada")))</f>
        <v>#VALUE!</v>
      </c>
    </row>
    <row r="43" spans="7:8" x14ac:dyDescent="0.2">
      <c r="G43" t="e">
        <f>Tabla27[[#This Row],[Agrupación]]</f>
        <v>#VALUE!</v>
      </c>
      <c r="H43" t="e" cm="1">
        <f t="array" ref="H43">TRANSPOSE((_xlfn._xlws.FILTER(INDEX($C$6:$E$1000,,MATCH($G43,$C$5:$E$5,0)),INDEX($C$6:$E$1000,,MATCH($G43,$C$5:$E$5,0))&lt;&gt;"","No hay nada")))</f>
        <v>#VALUE!</v>
      </c>
    </row>
    <row r="44" spans="7:8" x14ac:dyDescent="0.2">
      <c r="G44" t="e">
        <f>Tabla27[[#This Row],[Agrupación]]</f>
        <v>#VALUE!</v>
      </c>
      <c r="H44" t="e" cm="1">
        <f t="array" ref="H44">TRANSPOSE((_xlfn._xlws.FILTER(INDEX($C$6:$E$1000,,MATCH($G44,$C$5:$E$5,0)),INDEX($C$6:$E$1000,,MATCH($G44,$C$5:$E$5,0))&lt;&gt;"","No hay nada")))</f>
        <v>#VALUE!</v>
      </c>
    </row>
    <row r="45" spans="7:8" x14ac:dyDescent="0.2">
      <c r="G45" t="e">
        <f>Tabla27[[#This Row],[Agrupación]]</f>
        <v>#VALUE!</v>
      </c>
      <c r="H45" t="e" cm="1">
        <f t="array" ref="H45">TRANSPOSE((_xlfn._xlws.FILTER(INDEX($C$6:$E$1000,,MATCH($G45,$C$5:$E$5,0)),INDEX($C$6:$E$1000,,MATCH($G45,$C$5:$E$5,0))&lt;&gt;"","No hay nada")))</f>
        <v>#VALUE!</v>
      </c>
    </row>
    <row r="46" spans="7:8" x14ac:dyDescent="0.2">
      <c r="G46" t="e">
        <f>Tabla27[[#This Row],[Agrupación]]</f>
        <v>#VALUE!</v>
      </c>
      <c r="H46" t="e" cm="1">
        <f t="array" ref="H46">TRANSPOSE((_xlfn._xlws.FILTER(INDEX($C$6:$E$1000,,MATCH($G46,$C$5:$E$5,0)),INDEX($C$6:$E$1000,,MATCH($G46,$C$5:$E$5,0))&lt;&gt;"","No hay nada")))</f>
        <v>#VALUE!</v>
      </c>
    </row>
    <row r="47" spans="7:8" x14ac:dyDescent="0.2">
      <c r="G47" t="e">
        <f>Tabla27[[#This Row],[Agrupación]]</f>
        <v>#VALUE!</v>
      </c>
      <c r="H47" t="e" cm="1">
        <f t="array" ref="H47">TRANSPOSE((_xlfn._xlws.FILTER(INDEX($C$6:$E$1000,,MATCH($G47,$C$5:$E$5,0)),INDEX($C$6:$E$1000,,MATCH($G47,$C$5:$E$5,0))&lt;&gt;"","No hay nada")))</f>
        <v>#VALUE!</v>
      </c>
    </row>
    <row r="48" spans="7:8" x14ac:dyDescent="0.2">
      <c r="G48" t="e">
        <f>Tabla27[[#This Row],[Agrupación]]</f>
        <v>#VALUE!</v>
      </c>
      <c r="H48" t="e" cm="1">
        <f t="array" ref="H48">TRANSPOSE((_xlfn._xlws.FILTER(INDEX($C$6:$E$1000,,MATCH($G48,$C$5:$E$5,0)),INDEX($C$6:$E$1000,,MATCH($G48,$C$5:$E$5,0))&lt;&gt;"","No hay nada")))</f>
        <v>#VALUE!</v>
      </c>
    </row>
    <row r="49" spans="7:8" x14ac:dyDescent="0.2">
      <c r="G49" t="e">
        <f>Tabla27[[#This Row],[Agrupación]]</f>
        <v>#VALUE!</v>
      </c>
      <c r="H49" t="e" cm="1">
        <f t="array" ref="H49">TRANSPOSE((_xlfn._xlws.FILTER(INDEX($C$6:$E$1000,,MATCH($G49,$C$5:$E$5,0)),INDEX($C$6:$E$1000,,MATCH($G49,$C$5:$E$5,0))&lt;&gt;"","No hay nada")))</f>
        <v>#VALUE!</v>
      </c>
    </row>
    <row r="50" spans="7:8" x14ac:dyDescent="0.2">
      <c r="G50" t="e">
        <f>Tabla27[[#This Row],[Agrupación]]</f>
        <v>#VALUE!</v>
      </c>
      <c r="H50" t="e" cm="1">
        <f t="array" ref="H50">TRANSPOSE((_xlfn._xlws.FILTER(INDEX($C$6:$E$1000,,MATCH($G50,$C$5:$E$5,0)),INDEX($C$6:$E$1000,,MATCH($G50,$C$5:$E$5,0))&lt;&gt;"","No hay nada")))</f>
        <v>#VALUE!</v>
      </c>
    </row>
    <row r="51" spans="7:8" x14ac:dyDescent="0.2">
      <c r="G51" t="e">
        <f>Tabla27[[#This Row],[Agrupación]]</f>
        <v>#VALUE!</v>
      </c>
      <c r="H51" t="e" cm="1">
        <f t="array" ref="H51">TRANSPOSE((_xlfn._xlws.FILTER(INDEX($C$6:$E$1000,,MATCH($G51,$C$5:$E$5,0)),INDEX($C$6:$E$1000,,MATCH($G51,$C$5:$E$5,0))&lt;&gt;"","No hay nada")))</f>
        <v>#VALUE!</v>
      </c>
    </row>
    <row r="52" spans="7:8" x14ac:dyDescent="0.2">
      <c r="G52" t="e">
        <f>Tabla27[[#This Row],[Agrupación]]</f>
        <v>#VALUE!</v>
      </c>
      <c r="H52" t="e" cm="1">
        <f t="array" ref="H52">TRANSPOSE((_xlfn._xlws.FILTER(INDEX($C$6:$E$1000,,MATCH($G52,$C$5:$E$5,0)),INDEX($C$6:$E$1000,,MATCH($G52,$C$5:$E$5,0))&lt;&gt;"","No hay nada")))</f>
        <v>#VALUE!</v>
      </c>
    </row>
    <row r="53" spans="7:8" x14ac:dyDescent="0.2">
      <c r="G53" t="e">
        <f>Tabla27[[#This Row],[Agrupación]]</f>
        <v>#VALUE!</v>
      </c>
      <c r="H53" t="e" cm="1">
        <f t="array" ref="H53">TRANSPOSE((_xlfn._xlws.FILTER(INDEX($C$6:$E$1000,,MATCH($G53,$C$5:$E$5,0)),INDEX($C$6:$E$1000,,MATCH($G53,$C$5:$E$5,0))&lt;&gt;"","No hay nada")))</f>
        <v>#VALUE!</v>
      </c>
    </row>
    <row r="54" spans="7:8" x14ac:dyDescent="0.2">
      <c r="G54" t="e">
        <f>Tabla27[[#This Row],[Agrupación]]</f>
        <v>#VALUE!</v>
      </c>
      <c r="H54" t="e" cm="1">
        <f t="array" ref="H54">TRANSPOSE((_xlfn._xlws.FILTER(INDEX($C$6:$E$1000,,MATCH($G54,$C$5:$E$5,0)),INDEX($C$6:$E$1000,,MATCH($G54,$C$5:$E$5,0))&lt;&gt;"","No hay nada")))</f>
        <v>#VALUE!</v>
      </c>
    </row>
    <row r="55" spans="7:8" x14ac:dyDescent="0.2">
      <c r="G55" t="e">
        <f>Tabla27[[#This Row],[Agrupación]]</f>
        <v>#VALUE!</v>
      </c>
      <c r="H55" t="e" cm="1">
        <f t="array" ref="H55">TRANSPOSE((_xlfn._xlws.FILTER(INDEX($C$6:$E$1000,,MATCH($G55,$C$5:$E$5,0)),INDEX($C$6:$E$1000,,MATCH($G55,$C$5:$E$5,0))&lt;&gt;"","No hay nada")))</f>
        <v>#VALUE!</v>
      </c>
    </row>
    <row r="56" spans="7:8" x14ac:dyDescent="0.2">
      <c r="G56" t="e">
        <f>Tabla27[[#This Row],[Agrupación]]</f>
        <v>#VALUE!</v>
      </c>
      <c r="H56" t="e" cm="1">
        <f t="array" ref="H56">TRANSPOSE((_xlfn._xlws.FILTER(INDEX($C$6:$E$1000,,MATCH($G56,$C$5:$E$5,0)),INDEX($C$6:$E$1000,,MATCH($G56,$C$5:$E$5,0))&lt;&gt;"","No hay nada")))</f>
        <v>#VALUE!</v>
      </c>
    </row>
    <row r="57" spans="7:8" x14ac:dyDescent="0.2">
      <c r="G57" t="e">
        <f>Tabla27[[#This Row],[Agrupación]]</f>
        <v>#VALUE!</v>
      </c>
      <c r="H57" t="e" cm="1">
        <f t="array" ref="H57">TRANSPOSE((_xlfn._xlws.FILTER(INDEX($C$6:$E$1000,,MATCH($G57,$C$5:$E$5,0)),INDEX($C$6:$E$1000,,MATCH($G57,$C$5:$E$5,0))&lt;&gt;"","No hay nada")))</f>
        <v>#VALUE!</v>
      </c>
    </row>
    <row r="58" spans="7:8" x14ac:dyDescent="0.2">
      <c r="G58" t="e">
        <f>Tabla27[[#This Row],[Agrupación]]</f>
        <v>#VALUE!</v>
      </c>
      <c r="H58" t="e" cm="1">
        <f t="array" ref="H58">TRANSPOSE((_xlfn._xlws.FILTER(INDEX($C$6:$E$1000,,MATCH($G58,$C$5:$E$5,0)),INDEX($C$6:$E$1000,,MATCH($G58,$C$5:$E$5,0))&lt;&gt;"","No hay nada")))</f>
        <v>#VALUE!</v>
      </c>
    </row>
    <row r="59" spans="7:8" x14ac:dyDescent="0.2">
      <c r="G59" t="e">
        <f>Tabla27[[#This Row],[Agrupación]]</f>
        <v>#VALUE!</v>
      </c>
      <c r="H59" t="e" cm="1">
        <f t="array" ref="H59">TRANSPOSE((_xlfn._xlws.FILTER(INDEX($C$6:$E$1000,,MATCH($G59,$C$5:$E$5,0)),INDEX($C$6:$E$1000,,MATCH($G59,$C$5:$E$5,0))&lt;&gt;"","No hay nada")))</f>
        <v>#VALUE!</v>
      </c>
    </row>
    <row r="60" spans="7:8" x14ac:dyDescent="0.2">
      <c r="G60" t="e">
        <f>Tabla27[[#This Row],[Agrupación]]</f>
        <v>#VALUE!</v>
      </c>
      <c r="H60" t="e" cm="1">
        <f t="array" ref="H60">TRANSPOSE((_xlfn._xlws.FILTER(INDEX($C$6:$E$1000,,MATCH($G60,$C$5:$E$5,0)),INDEX($C$6:$E$1000,,MATCH($G60,$C$5:$E$5,0))&lt;&gt;"","No hay nada")))</f>
        <v>#VALUE!</v>
      </c>
    </row>
    <row r="61" spans="7:8" x14ac:dyDescent="0.2">
      <c r="G61" t="e">
        <f>Tabla27[[#This Row],[Agrupación]]</f>
        <v>#VALUE!</v>
      </c>
      <c r="H61" t="e" cm="1">
        <f t="array" ref="H61">TRANSPOSE((_xlfn._xlws.FILTER(INDEX($C$6:$E$1000,,MATCH($G61,$C$5:$E$5,0)),INDEX($C$6:$E$1000,,MATCH($G61,$C$5:$E$5,0))&lt;&gt;"","No hay nada")))</f>
        <v>#VALUE!</v>
      </c>
    </row>
    <row r="62" spans="7:8" x14ac:dyDescent="0.2">
      <c r="G62" t="e">
        <f>Tabla27[[#This Row],[Agrupación]]</f>
        <v>#VALUE!</v>
      </c>
      <c r="H62" t="e" cm="1">
        <f t="array" ref="H62">TRANSPOSE((_xlfn._xlws.FILTER(INDEX($C$6:$E$1000,,MATCH($G62,$C$5:$E$5,0)),INDEX($C$6:$E$1000,,MATCH($G62,$C$5:$E$5,0))&lt;&gt;"","No hay nada")))</f>
        <v>#VALUE!</v>
      </c>
    </row>
    <row r="63" spans="7:8" x14ac:dyDescent="0.2">
      <c r="G63" t="e">
        <f>Tabla27[[#This Row],[Agrupación]]</f>
        <v>#VALUE!</v>
      </c>
      <c r="H63" t="e" cm="1">
        <f t="array" ref="H63">TRANSPOSE((_xlfn._xlws.FILTER(INDEX($C$6:$E$1000,,MATCH($G63,$C$5:$E$5,0)),INDEX($C$6:$E$1000,,MATCH($G63,$C$5:$E$5,0))&lt;&gt;"","No hay nada")))</f>
        <v>#VALUE!</v>
      </c>
    </row>
    <row r="64" spans="7:8" x14ac:dyDescent="0.2">
      <c r="G64" t="e">
        <f>Tabla27[[#This Row],[Agrupación]]</f>
        <v>#VALUE!</v>
      </c>
      <c r="H64" t="e" cm="1">
        <f t="array" ref="H64">TRANSPOSE((_xlfn._xlws.FILTER(INDEX($C$6:$E$1000,,MATCH($G64,$C$5:$E$5,0)),INDEX($C$6:$E$1000,,MATCH($G64,$C$5:$E$5,0))&lt;&gt;"","No hay nada")))</f>
        <v>#VALUE!</v>
      </c>
    </row>
    <row r="65" spans="7:8" x14ac:dyDescent="0.2">
      <c r="G65" t="e">
        <f>Tabla27[[#This Row],[Agrupación]]</f>
        <v>#VALUE!</v>
      </c>
      <c r="H65" t="e" cm="1">
        <f t="array" ref="H65">TRANSPOSE((_xlfn._xlws.FILTER(INDEX($C$6:$E$1000,,MATCH($G65,$C$5:$E$5,0)),INDEX($C$6:$E$1000,,MATCH($G65,$C$5:$E$5,0))&lt;&gt;"","No hay nada")))</f>
        <v>#VALUE!</v>
      </c>
    </row>
    <row r="66" spans="7:8" x14ac:dyDescent="0.2">
      <c r="G66" t="e">
        <f>Tabla27[[#This Row],[Agrupación]]</f>
        <v>#VALUE!</v>
      </c>
      <c r="H66" t="e" cm="1">
        <f t="array" ref="H66">TRANSPOSE((_xlfn._xlws.FILTER(INDEX($C$6:$E$1000,,MATCH($G66,$C$5:$E$5,0)),INDEX($C$6:$E$1000,,MATCH($G66,$C$5:$E$5,0))&lt;&gt;"","No hay nada")))</f>
        <v>#VALUE!</v>
      </c>
    </row>
    <row r="67" spans="7:8" x14ac:dyDescent="0.2">
      <c r="G67" t="e">
        <f>Tabla27[[#This Row],[Agrupación]]</f>
        <v>#VALUE!</v>
      </c>
      <c r="H67" t="e" cm="1">
        <f t="array" ref="H67">TRANSPOSE((_xlfn._xlws.FILTER(INDEX($C$6:$E$1000,,MATCH($G67,$C$5:$E$5,0)),INDEX($C$6:$E$1000,,MATCH($G67,$C$5:$E$5,0))&lt;&gt;"","No hay nada")))</f>
        <v>#VALUE!</v>
      </c>
    </row>
    <row r="68" spans="7:8" x14ac:dyDescent="0.2">
      <c r="G68" t="e">
        <f>Tabla27[[#This Row],[Agrupación]]</f>
        <v>#VALUE!</v>
      </c>
      <c r="H68" t="e" cm="1">
        <f t="array" ref="H68">TRANSPOSE((_xlfn._xlws.FILTER(INDEX($C$6:$E$1000,,MATCH($G68,$C$5:$E$5,0)),INDEX($C$6:$E$1000,,MATCH($G68,$C$5:$E$5,0))&lt;&gt;"","No hay nada")))</f>
        <v>#VALUE!</v>
      </c>
    </row>
    <row r="69" spans="7:8" x14ac:dyDescent="0.2">
      <c r="G69" t="e">
        <f>Tabla27[[#This Row],[Agrupación]]</f>
        <v>#VALUE!</v>
      </c>
      <c r="H69" t="e" cm="1">
        <f t="array" ref="H69">TRANSPOSE((_xlfn._xlws.FILTER(INDEX($C$6:$E$1000,,MATCH($G69,$C$5:$E$5,0)),INDEX($C$6:$E$1000,,MATCH($G69,$C$5:$E$5,0))&lt;&gt;"","No hay nada")))</f>
        <v>#VALUE!</v>
      </c>
    </row>
    <row r="70" spans="7:8" x14ac:dyDescent="0.2">
      <c r="G70" t="e">
        <f>Tabla27[[#This Row],[Agrupación]]</f>
        <v>#VALUE!</v>
      </c>
      <c r="H70" t="e" cm="1">
        <f t="array" ref="H70">TRANSPOSE((_xlfn._xlws.FILTER(INDEX($C$6:$E$1000,,MATCH($G70,$C$5:$E$5,0)),INDEX($C$6:$E$1000,,MATCH($G70,$C$5:$E$5,0))&lt;&gt;"","No hay nada")))</f>
        <v>#VALUE!</v>
      </c>
    </row>
    <row r="71" spans="7:8" x14ac:dyDescent="0.2">
      <c r="G71" t="e">
        <f>Tabla27[[#This Row],[Agrupación]]</f>
        <v>#VALUE!</v>
      </c>
      <c r="H71" t="e" cm="1">
        <f t="array" ref="H71">TRANSPOSE((_xlfn._xlws.FILTER(INDEX($C$6:$E$1000,,MATCH($G71,$C$5:$E$5,0)),INDEX($C$6:$E$1000,,MATCH($G71,$C$5:$E$5,0))&lt;&gt;"","No hay nada")))</f>
        <v>#VALUE!</v>
      </c>
    </row>
    <row r="72" spans="7:8" x14ac:dyDescent="0.2">
      <c r="G72" t="e">
        <f>Tabla27[[#This Row],[Agrupación]]</f>
        <v>#VALUE!</v>
      </c>
      <c r="H72" t="e" cm="1">
        <f t="array" ref="H72">TRANSPOSE((_xlfn._xlws.FILTER(INDEX($C$6:$E$1000,,MATCH($G72,$C$5:$E$5,0)),INDEX($C$6:$E$1000,,MATCH($G72,$C$5:$E$5,0))&lt;&gt;"","No hay nada")))</f>
        <v>#VALUE!</v>
      </c>
    </row>
    <row r="73" spans="7:8" x14ac:dyDescent="0.2">
      <c r="G73" t="e">
        <f>Tabla27[[#This Row],[Agrupación]]</f>
        <v>#VALUE!</v>
      </c>
      <c r="H73" t="e" cm="1">
        <f t="array" ref="H73">TRANSPOSE((_xlfn._xlws.FILTER(INDEX($C$6:$E$1000,,MATCH($G73,$C$5:$E$5,0)),INDEX($C$6:$E$1000,,MATCH($G73,$C$5:$E$5,0))&lt;&gt;"","No hay nada")))</f>
        <v>#VALUE!</v>
      </c>
    </row>
    <row r="74" spans="7:8" x14ac:dyDescent="0.2">
      <c r="G74" t="e">
        <f>Tabla27[[#This Row],[Agrupación]]</f>
        <v>#VALUE!</v>
      </c>
      <c r="H74" t="e" cm="1">
        <f t="array" ref="H74">TRANSPOSE((_xlfn._xlws.FILTER(INDEX($C$6:$E$1000,,MATCH($G74,$C$5:$E$5,0)),INDEX($C$6:$E$1000,,MATCH($G74,$C$5:$E$5,0))&lt;&gt;"","No hay nada")))</f>
        <v>#VALUE!</v>
      </c>
    </row>
    <row r="75" spans="7:8" x14ac:dyDescent="0.2">
      <c r="G75" t="e">
        <f>Tabla27[[#This Row],[Agrupación]]</f>
        <v>#VALUE!</v>
      </c>
      <c r="H75" t="e" cm="1">
        <f t="array" ref="H75">TRANSPOSE((_xlfn._xlws.FILTER(INDEX($C$6:$E$1000,,MATCH($G75,$C$5:$E$5,0)),INDEX($C$6:$E$1000,,MATCH($G75,$C$5:$E$5,0))&lt;&gt;"","No hay nada")))</f>
        <v>#VALUE!</v>
      </c>
    </row>
    <row r="76" spans="7:8" x14ac:dyDescent="0.2">
      <c r="G76" t="e">
        <f>Tabla27[[#This Row],[Agrupación]]</f>
        <v>#VALUE!</v>
      </c>
      <c r="H76" t="e" cm="1">
        <f t="array" ref="H76">TRANSPOSE((_xlfn._xlws.FILTER(INDEX($C$6:$E$1000,,MATCH($G76,$C$5:$E$5,0)),INDEX($C$6:$E$1000,,MATCH($G76,$C$5:$E$5,0))&lt;&gt;"","No hay nada")))</f>
        <v>#VALUE!</v>
      </c>
    </row>
    <row r="77" spans="7:8" x14ac:dyDescent="0.2">
      <c r="G77" t="e">
        <f>Tabla27[[#This Row],[Agrupación]]</f>
        <v>#VALUE!</v>
      </c>
      <c r="H77" t="e" cm="1">
        <f t="array" ref="H77">TRANSPOSE((_xlfn._xlws.FILTER(INDEX($C$6:$E$1000,,MATCH($G77,$C$5:$E$5,0)),INDEX($C$6:$E$1000,,MATCH($G77,$C$5:$E$5,0))&lt;&gt;"","No hay nada")))</f>
        <v>#VALUE!</v>
      </c>
    </row>
    <row r="78" spans="7:8" x14ac:dyDescent="0.2">
      <c r="G78" t="e">
        <f>Tabla27[[#This Row],[Agrupación]]</f>
        <v>#VALUE!</v>
      </c>
      <c r="H78" t="e" cm="1">
        <f t="array" ref="H78">TRANSPOSE((_xlfn._xlws.FILTER(INDEX($C$6:$E$1000,,MATCH($G78,$C$5:$E$5,0)),INDEX($C$6:$E$1000,,MATCH($G78,$C$5:$E$5,0))&lt;&gt;"","No hay nada")))</f>
        <v>#VALUE!</v>
      </c>
    </row>
    <row r="79" spans="7:8" x14ac:dyDescent="0.2">
      <c r="G79" t="e">
        <f>Tabla27[[#This Row],[Agrupación]]</f>
        <v>#VALUE!</v>
      </c>
      <c r="H79" t="e" cm="1">
        <f t="array" ref="H79">TRANSPOSE((_xlfn._xlws.FILTER(INDEX($C$6:$E$1000,,MATCH($G79,$C$5:$E$5,0)),INDEX($C$6:$E$1000,,MATCH($G79,$C$5:$E$5,0))&lt;&gt;"","No hay nada")))</f>
        <v>#VALUE!</v>
      </c>
    </row>
    <row r="80" spans="7:8" x14ac:dyDescent="0.2">
      <c r="G80" t="e">
        <f>Tabla27[[#This Row],[Agrupación]]</f>
        <v>#VALUE!</v>
      </c>
      <c r="H80" t="e" cm="1">
        <f t="array" ref="H80">TRANSPOSE((_xlfn._xlws.FILTER(INDEX($C$6:$E$1000,,MATCH($G80,$C$5:$E$5,0)),INDEX($C$6:$E$1000,,MATCH($G80,$C$5:$E$5,0))&lt;&gt;"","No hay nada")))</f>
        <v>#VALUE!</v>
      </c>
    </row>
    <row r="81" spans="7:8" x14ac:dyDescent="0.2">
      <c r="G81" t="e">
        <f>Tabla27[[#This Row],[Agrupación]]</f>
        <v>#VALUE!</v>
      </c>
      <c r="H81" t="e" cm="1">
        <f t="array" ref="H81">TRANSPOSE((_xlfn._xlws.FILTER(INDEX($C$6:$E$1000,,MATCH($G81,$C$5:$E$5,0)),INDEX($C$6:$E$1000,,MATCH($G81,$C$5:$E$5,0))&lt;&gt;"","No hay nada")))</f>
        <v>#VALUE!</v>
      </c>
    </row>
    <row r="82" spans="7:8" x14ac:dyDescent="0.2">
      <c r="G82" t="e">
        <f>Tabla27[[#This Row],[Agrupación]]</f>
        <v>#VALUE!</v>
      </c>
      <c r="H82" t="e" cm="1">
        <f t="array" ref="H82">TRANSPOSE((_xlfn._xlws.FILTER(INDEX($C$6:$E$1000,,MATCH($G82,$C$5:$E$5,0)),INDEX($C$6:$E$1000,,MATCH($G82,$C$5:$E$5,0))&lt;&gt;"","No hay nada")))</f>
        <v>#VALUE!</v>
      </c>
    </row>
    <row r="83" spans="7:8" x14ac:dyDescent="0.2">
      <c r="G83" t="e">
        <f>Tabla27[[#This Row],[Agrupación]]</f>
        <v>#VALUE!</v>
      </c>
      <c r="H83" t="e" cm="1">
        <f t="array" ref="H83">TRANSPOSE((_xlfn._xlws.FILTER(INDEX($C$6:$E$1000,,MATCH($G83,$C$5:$E$5,0)),INDEX($C$6:$E$1000,,MATCH($G83,$C$5:$E$5,0))&lt;&gt;"","No hay nada")))</f>
        <v>#VALUE!</v>
      </c>
    </row>
    <row r="84" spans="7:8" x14ac:dyDescent="0.2">
      <c r="G84" t="e">
        <f>Tabla27[[#This Row],[Agrupación]]</f>
        <v>#VALUE!</v>
      </c>
      <c r="H84" t="e" cm="1">
        <f t="array" ref="H84">TRANSPOSE((_xlfn._xlws.FILTER(INDEX($C$6:$E$1000,,MATCH($G84,$C$5:$E$5,0)),INDEX($C$6:$E$1000,,MATCH($G84,$C$5:$E$5,0))&lt;&gt;"","No hay nada")))</f>
        <v>#VALUE!</v>
      </c>
    </row>
    <row r="85" spans="7:8" x14ac:dyDescent="0.2">
      <c r="G85" t="e">
        <f>Tabla27[[#This Row],[Agrupación]]</f>
        <v>#VALUE!</v>
      </c>
      <c r="H85" t="e" cm="1">
        <f t="array" ref="H85">TRANSPOSE((_xlfn._xlws.FILTER(INDEX($C$6:$E$1000,,MATCH($G85,$C$5:$E$5,0)),INDEX($C$6:$E$1000,,MATCH($G85,$C$5:$E$5,0))&lt;&gt;"","No hay nada")))</f>
        <v>#VALUE!</v>
      </c>
    </row>
    <row r="86" spans="7:8" x14ac:dyDescent="0.2">
      <c r="G86" t="e">
        <f>Tabla27[[#This Row],[Agrupación]]</f>
        <v>#VALUE!</v>
      </c>
      <c r="H86" t="e" cm="1">
        <f t="array" ref="H86">TRANSPOSE((_xlfn._xlws.FILTER(INDEX($C$6:$E$1000,,MATCH($G86,$C$5:$E$5,0)),INDEX($C$6:$E$1000,,MATCH($G86,$C$5:$E$5,0))&lt;&gt;"","No hay nada")))</f>
        <v>#VALUE!</v>
      </c>
    </row>
    <row r="87" spans="7:8" x14ac:dyDescent="0.2">
      <c r="G87" t="e">
        <f>Tabla27[[#This Row],[Agrupación]]</f>
        <v>#VALUE!</v>
      </c>
      <c r="H87" t="e" cm="1">
        <f t="array" ref="H87">TRANSPOSE((_xlfn._xlws.FILTER(INDEX($C$6:$E$1000,,MATCH($G87,$C$5:$E$5,0)),INDEX($C$6:$E$1000,,MATCH($G87,$C$5:$E$5,0))&lt;&gt;"","No hay nada")))</f>
        <v>#VALUE!</v>
      </c>
    </row>
    <row r="88" spans="7:8" x14ac:dyDescent="0.2">
      <c r="G88" t="e">
        <f>Tabla27[[#This Row],[Agrupación]]</f>
        <v>#VALUE!</v>
      </c>
      <c r="H88" t="e" cm="1">
        <f t="array" ref="H88">TRANSPOSE((_xlfn._xlws.FILTER(INDEX($C$6:$E$1000,,MATCH($G88,$C$5:$E$5,0)),INDEX($C$6:$E$1000,,MATCH($G88,$C$5:$E$5,0))&lt;&gt;"","No hay nada")))</f>
        <v>#VALUE!</v>
      </c>
    </row>
    <row r="89" spans="7:8" x14ac:dyDescent="0.2">
      <c r="G89" t="e">
        <f>Tabla27[[#This Row],[Agrupación]]</f>
        <v>#VALUE!</v>
      </c>
      <c r="H89" t="e" cm="1">
        <f t="array" ref="H89">TRANSPOSE((_xlfn._xlws.FILTER(INDEX($C$6:$E$1000,,MATCH($G89,$C$5:$E$5,0)),INDEX($C$6:$E$1000,,MATCH($G89,$C$5:$E$5,0))&lt;&gt;"","No hay nada")))</f>
        <v>#VALUE!</v>
      </c>
    </row>
    <row r="90" spans="7:8" x14ac:dyDescent="0.2">
      <c r="G90" t="e">
        <f>Tabla27[[#This Row],[Agrupación]]</f>
        <v>#VALUE!</v>
      </c>
      <c r="H90" t="e" cm="1">
        <f t="array" ref="H90">TRANSPOSE((_xlfn._xlws.FILTER(INDEX($C$6:$E$1000,,MATCH($G90,$C$5:$E$5,0)),INDEX($C$6:$E$1000,,MATCH($G90,$C$5:$E$5,0))&lt;&gt;"","No hay nada")))</f>
        <v>#VALUE!</v>
      </c>
    </row>
    <row r="91" spans="7:8" x14ac:dyDescent="0.2">
      <c r="G91" t="e">
        <f>Tabla27[[#This Row],[Agrupación]]</f>
        <v>#VALUE!</v>
      </c>
      <c r="H91" t="e" cm="1">
        <f t="array" ref="H91">TRANSPOSE((_xlfn._xlws.FILTER(INDEX($C$6:$E$1000,,MATCH($G91,$C$5:$E$5,0)),INDEX($C$6:$E$1000,,MATCH($G91,$C$5:$E$5,0))&lt;&gt;"","No hay nada")))</f>
        <v>#VALUE!</v>
      </c>
    </row>
    <row r="92" spans="7:8" x14ac:dyDescent="0.2">
      <c r="G92" t="e">
        <f>Tabla27[[#This Row],[Agrupación]]</f>
        <v>#VALUE!</v>
      </c>
      <c r="H92" t="e" cm="1">
        <f t="array" ref="H92">TRANSPOSE((_xlfn._xlws.FILTER(INDEX($C$6:$E$1000,,MATCH($G92,$C$5:$E$5,0)),INDEX($C$6:$E$1000,,MATCH($G92,$C$5:$E$5,0))&lt;&gt;"","No hay nada")))</f>
        <v>#VALUE!</v>
      </c>
    </row>
    <row r="93" spans="7:8" x14ac:dyDescent="0.2">
      <c r="G93" t="e">
        <f>Tabla27[[#This Row],[Agrupación]]</f>
        <v>#VALUE!</v>
      </c>
      <c r="H93" t="e" cm="1">
        <f t="array" ref="H93">TRANSPOSE((_xlfn._xlws.FILTER(INDEX($C$6:$E$1000,,MATCH($G93,$C$5:$E$5,0)),INDEX($C$6:$E$1000,,MATCH($G93,$C$5:$E$5,0))&lt;&gt;"","No hay nada")))</f>
        <v>#VALUE!</v>
      </c>
    </row>
    <row r="94" spans="7:8" x14ac:dyDescent="0.2">
      <c r="G94" t="e">
        <f>Tabla27[[#This Row],[Agrupación]]</f>
        <v>#VALUE!</v>
      </c>
      <c r="H94" t="e" cm="1">
        <f t="array" ref="H94">TRANSPOSE((_xlfn._xlws.FILTER(INDEX($C$6:$E$1000,,MATCH($G94,$C$5:$E$5,0)),INDEX($C$6:$E$1000,,MATCH($G94,$C$5:$E$5,0))&lt;&gt;"","No hay nada")))</f>
        <v>#VALUE!</v>
      </c>
    </row>
    <row r="95" spans="7:8" x14ac:dyDescent="0.2">
      <c r="G95" t="e">
        <f>Tabla27[[#This Row],[Agrupación]]</f>
        <v>#VALUE!</v>
      </c>
      <c r="H95" t="e" cm="1">
        <f t="array" ref="H95">TRANSPOSE((_xlfn._xlws.FILTER(INDEX($C$6:$E$1000,,MATCH($G95,$C$5:$E$5,0)),INDEX($C$6:$E$1000,,MATCH($G95,$C$5:$E$5,0))&lt;&gt;"","No hay nada")))</f>
        <v>#VALUE!</v>
      </c>
    </row>
    <row r="96" spans="7:8" x14ac:dyDescent="0.2">
      <c r="G96" t="e">
        <f>Tabla27[[#This Row],[Agrupación]]</f>
        <v>#VALUE!</v>
      </c>
      <c r="H96" t="e" cm="1">
        <f t="array" ref="H96">TRANSPOSE((_xlfn._xlws.FILTER(INDEX($C$6:$E$1000,,MATCH($G96,$C$5:$E$5,0)),INDEX($C$6:$E$1000,,MATCH($G96,$C$5:$E$5,0))&lt;&gt;"","No hay nada")))</f>
        <v>#VALUE!</v>
      </c>
    </row>
    <row r="97" spans="7:8" x14ac:dyDescent="0.2">
      <c r="G97" t="e">
        <f>Tabla27[[#This Row],[Agrupación]]</f>
        <v>#VALUE!</v>
      </c>
      <c r="H97" t="e" cm="1">
        <f t="array" ref="H97">TRANSPOSE((_xlfn._xlws.FILTER(INDEX($C$6:$E$1000,,MATCH($G97,$C$5:$E$5,0)),INDEX($C$6:$E$1000,,MATCH($G97,$C$5:$E$5,0))&lt;&gt;"","No hay nada")))</f>
        <v>#VALUE!</v>
      </c>
    </row>
    <row r="98" spans="7:8" x14ac:dyDescent="0.2">
      <c r="G98" t="e">
        <f>Tabla27[[#This Row],[Agrupación]]</f>
        <v>#VALUE!</v>
      </c>
      <c r="H98" t="e" cm="1">
        <f t="array" ref="H98">TRANSPOSE((_xlfn._xlws.FILTER(INDEX($C$6:$E$1000,,MATCH($G98,$C$5:$E$5,0)),INDEX($C$6:$E$1000,,MATCH($G98,$C$5:$E$5,0))&lt;&gt;"","No hay nada")))</f>
        <v>#VALUE!</v>
      </c>
    </row>
    <row r="99" spans="7:8" x14ac:dyDescent="0.2">
      <c r="G99" t="e">
        <f>Tabla27[[#This Row],[Agrupación]]</f>
        <v>#VALUE!</v>
      </c>
      <c r="H99" t="e" cm="1">
        <f t="array" ref="H99">TRANSPOSE((_xlfn._xlws.FILTER(INDEX($C$6:$E$1000,,MATCH($G99,$C$5:$E$5,0)),INDEX($C$6:$E$1000,,MATCH($G99,$C$5:$E$5,0))&lt;&gt;"","No hay nada")))</f>
        <v>#VALUE!</v>
      </c>
    </row>
    <row r="100" spans="7:8" x14ac:dyDescent="0.2">
      <c r="G100" t="e">
        <f>Tabla27[[#This Row],[Agrupación]]</f>
        <v>#VALUE!</v>
      </c>
      <c r="H100" t="e" cm="1">
        <f t="array" ref="H100">TRANSPOSE((_xlfn._xlws.FILTER(INDEX($C$6:$E$1000,,MATCH($G100,$C$5:$E$5,0)),INDEX($C$6:$E$1000,,MATCH($G100,$C$5:$E$5,0))&lt;&gt;"","No hay nada")))</f>
        <v>#VALUE!</v>
      </c>
    </row>
    <row r="101" spans="7:8" x14ac:dyDescent="0.2">
      <c r="G101" t="e">
        <f>Tabla27[[#This Row],[Agrupación]]</f>
        <v>#VALUE!</v>
      </c>
      <c r="H101" t="e" cm="1">
        <f t="array" ref="H101">TRANSPOSE((_xlfn._xlws.FILTER(INDEX($C$6:$E$1000,,MATCH($G101,$C$5:$E$5,0)),INDEX($C$6:$E$1000,,MATCH($G101,$C$5:$E$5,0))&lt;&gt;"","No hay nada")))</f>
        <v>#VALUE!</v>
      </c>
    </row>
    <row r="102" spans="7:8" x14ac:dyDescent="0.2">
      <c r="G102" t="e">
        <f>Tabla27[[#This Row],[Agrupación]]</f>
        <v>#VALUE!</v>
      </c>
      <c r="H102" t="e" cm="1">
        <f t="array" ref="H102">TRANSPOSE((_xlfn._xlws.FILTER(INDEX($C$6:$E$1000,,MATCH($G102,$C$5:$E$5,0)),INDEX($C$6:$E$1000,,MATCH($G102,$C$5:$E$5,0))&lt;&gt;"","No hay nada")))</f>
        <v>#VALUE!</v>
      </c>
    </row>
    <row r="103" spans="7:8" x14ac:dyDescent="0.2">
      <c r="G103" t="e">
        <f>Tabla27[[#This Row],[Agrupación]]</f>
        <v>#VALUE!</v>
      </c>
      <c r="H103" t="e" cm="1">
        <f t="array" ref="H103">TRANSPOSE((_xlfn._xlws.FILTER(INDEX($C$6:$E$1000,,MATCH($G103,$C$5:$E$5,0)),INDEX($C$6:$E$1000,,MATCH($G103,$C$5:$E$5,0))&lt;&gt;"","No hay nada")))</f>
        <v>#VALUE!</v>
      </c>
    </row>
    <row r="104" spans="7:8" x14ac:dyDescent="0.2">
      <c r="G104" t="e">
        <f>Tabla27[[#This Row],[Agrupación]]</f>
        <v>#VALUE!</v>
      </c>
      <c r="H104" t="e" cm="1">
        <f t="array" ref="H104">TRANSPOSE((_xlfn._xlws.FILTER(INDEX($C$6:$E$1000,,MATCH($G104,$C$5:$E$5,0)),INDEX($C$6:$E$1000,,MATCH($G104,$C$5:$E$5,0))&lt;&gt;"","No hay nada")))</f>
        <v>#VALUE!</v>
      </c>
    </row>
    <row r="105" spans="7:8" x14ac:dyDescent="0.2">
      <c r="G105" t="e">
        <f>Tabla27[[#This Row],[Agrupación]]</f>
        <v>#VALUE!</v>
      </c>
      <c r="H105" t="e" cm="1">
        <f t="array" ref="H105">TRANSPOSE((_xlfn._xlws.FILTER(INDEX($C$6:$E$1000,,MATCH($G105,$C$5:$E$5,0)),INDEX($C$6:$E$1000,,MATCH($G105,$C$5:$E$5,0))&lt;&gt;"","No hay nada")))</f>
        <v>#VALUE!</v>
      </c>
    </row>
    <row r="106" spans="7:8" x14ac:dyDescent="0.2">
      <c r="G106" t="e">
        <f>Tabla27[[#This Row],[Agrupación]]</f>
        <v>#VALUE!</v>
      </c>
      <c r="H106" t="e" cm="1">
        <f t="array" ref="H106">TRANSPOSE((_xlfn._xlws.FILTER(INDEX($C$6:$E$1000,,MATCH($G106,$C$5:$E$5,0)),INDEX($C$6:$E$1000,,MATCH($G106,$C$5:$E$5,0))&lt;&gt;"","No hay nada")))</f>
        <v>#VALUE!</v>
      </c>
    </row>
    <row r="107" spans="7:8" x14ac:dyDescent="0.2">
      <c r="G107" t="e">
        <f>Tabla27[[#This Row],[Agrupación]]</f>
        <v>#VALUE!</v>
      </c>
      <c r="H107" t="e" cm="1">
        <f t="array" ref="H107">TRANSPOSE((_xlfn._xlws.FILTER(INDEX($C$6:$E$1000,,MATCH($G107,$C$5:$E$5,0)),INDEX($C$6:$E$1000,,MATCH($G107,$C$5:$E$5,0))&lt;&gt;"","No hay nada")))</f>
        <v>#VALUE!</v>
      </c>
    </row>
    <row r="108" spans="7:8" x14ac:dyDescent="0.2">
      <c r="G108" t="e">
        <f>Tabla27[[#This Row],[Agrupación]]</f>
        <v>#VALUE!</v>
      </c>
      <c r="H108" t="e" cm="1">
        <f t="array" ref="H108">TRANSPOSE((_xlfn._xlws.FILTER(INDEX($C$6:$E$1000,,MATCH($G108,$C$5:$E$5,0)),INDEX($C$6:$E$1000,,MATCH($G108,$C$5:$E$5,0))&lt;&gt;"","No hay nada")))</f>
        <v>#VALUE!</v>
      </c>
    </row>
    <row r="109" spans="7:8" x14ac:dyDescent="0.2">
      <c r="G109" t="e">
        <f>Tabla27[[#This Row],[Agrupación]]</f>
        <v>#VALUE!</v>
      </c>
      <c r="H109" t="e" cm="1">
        <f t="array" ref="H109">TRANSPOSE((_xlfn._xlws.FILTER(INDEX($C$6:$E$1000,,MATCH($G109,$C$5:$E$5,0)),INDEX($C$6:$E$1000,,MATCH($G109,$C$5:$E$5,0))&lt;&gt;"","No hay nada")))</f>
        <v>#VALUE!</v>
      </c>
    </row>
    <row r="110" spans="7:8" x14ac:dyDescent="0.2">
      <c r="G110" t="e">
        <f>Tabla27[[#This Row],[Agrupación]]</f>
        <v>#VALUE!</v>
      </c>
      <c r="H110" t="e" cm="1">
        <f t="array" ref="H110">TRANSPOSE((_xlfn._xlws.FILTER(INDEX($C$6:$E$1000,,MATCH($G110,$C$5:$E$5,0)),INDEX($C$6:$E$1000,,MATCH($G110,$C$5:$E$5,0))&lt;&gt;"","No hay nada")))</f>
        <v>#VALUE!</v>
      </c>
    </row>
    <row r="111" spans="7:8" x14ac:dyDescent="0.2">
      <c r="G111" t="e">
        <f>Tabla27[[#This Row],[Agrupación]]</f>
        <v>#VALUE!</v>
      </c>
      <c r="H111" t="e" cm="1">
        <f t="array" ref="H111">TRANSPOSE((_xlfn._xlws.FILTER(INDEX($C$6:$E$1000,,MATCH($G111,$C$5:$E$5,0)),INDEX($C$6:$E$1000,,MATCH($G111,$C$5:$E$5,0))&lt;&gt;"","No hay nada")))</f>
        <v>#VALUE!</v>
      </c>
    </row>
    <row r="112" spans="7:8" x14ac:dyDescent="0.2">
      <c r="G112" t="e">
        <f>Tabla27[[#This Row],[Agrupación]]</f>
        <v>#VALUE!</v>
      </c>
      <c r="H112" t="e" cm="1">
        <f t="array" ref="H112">TRANSPOSE((_xlfn._xlws.FILTER(INDEX($C$6:$E$1000,,MATCH($G112,$C$5:$E$5,0)),INDEX($C$6:$E$1000,,MATCH($G112,$C$5:$E$5,0))&lt;&gt;"","No hay nada")))</f>
        <v>#VALUE!</v>
      </c>
    </row>
    <row r="113" spans="7:8" x14ac:dyDescent="0.2">
      <c r="G113" t="e">
        <f>Tabla27[[#This Row],[Agrupación]]</f>
        <v>#VALUE!</v>
      </c>
      <c r="H113" t="e" cm="1">
        <f t="array" ref="H113">TRANSPOSE((_xlfn._xlws.FILTER(INDEX($C$6:$E$1000,,MATCH($G113,$C$5:$E$5,0)),INDEX($C$6:$E$1000,,MATCH($G113,$C$5:$E$5,0))&lt;&gt;"","No hay nada")))</f>
        <v>#VALUE!</v>
      </c>
    </row>
    <row r="114" spans="7:8" x14ac:dyDescent="0.2">
      <c r="G114" t="e">
        <f>Tabla27[[#This Row],[Agrupación]]</f>
        <v>#VALUE!</v>
      </c>
      <c r="H114" t="e" cm="1">
        <f t="array" ref="H114">TRANSPOSE((_xlfn._xlws.FILTER(INDEX($C$6:$E$1000,,MATCH($G114,$C$5:$E$5,0)),INDEX($C$6:$E$1000,,MATCH($G114,$C$5:$E$5,0))&lt;&gt;"","No hay nada")))</f>
        <v>#VALUE!</v>
      </c>
    </row>
    <row r="115" spans="7:8" x14ac:dyDescent="0.2">
      <c r="G115" t="e">
        <f>Tabla27[[#This Row],[Agrupación]]</f>
        <v>#VALUE!</v>
      </c>
      <c r="H115" t="e" cm="1">
        <f t="array" ref="H115">TRANSPOSE((_xlfn._xlws.FILTER(INDEX($C$6:$E$1000,,MATCH($G115,$C$5:$E$5,0)),INDEX($C$6:$E$1000,,MATCH($G115,$C$5:$E$5,0))&lt;&gt;"","No hay nada")))</f>
        <v>#VALUE!</v>
      </c>
    </row>
    <row r="116" spans="7:8" x14ac:dyDescent="0.2">
      <c r="G116" t="e">
        <f>Tabla27[[#This Row],[Agrupación]]</f>
        <v>#VALUE!</v>
      </c>
      <c r="H116" t="e" cm="1">
        <f t="array" ref="H116">TRANSPOSE((_xlfn._xlws.FILTER(INDEX($C$6:$E$1000,,MATCH($G116,$C$5:$E$5,0)),INDEX($C$6:$E$1000,,MATCH($G116,$C$5:$E$5,0))&lt;&gt;"","No hay nada")))</f>
        <v>#VALUE!</v>
      </c>
    </row>
    <row r="117" spans="7:8" x14ac:dyDescent="0.2">
      <c r="G117" t="e">
        <f>Tabla27[[#This Row],[Agrupación]]</f>
        <v>#VALUE!</v>
      </c>
      <c r="H117" t="e" cm="1">
        <f t="array" ref="H117">TRANSPOSE((_xlfn._xlws.FILTER(INDEX($C$6:$E$1000,,MATCH($G117,$C$5:$E$5,0)),INDEX($C$6:$E$1000,,MATCH($G117,$C$5:$E$5,0))&lt;&gt;"","No hay nada")))</f>
        <v>#VALUE!</v>
      </c>
    </row>
    <row r="118" spans="7:8" x14ac:dyDescent="0.2">
      <c r="G118" t="e">
        <f>Tabla27[[#This Row],[Agrupación]]</f>
        <v>#VALUE!</v>
      </c>
      <c r="H118" t="e" cm="1">
        <f t="array" ref="H118">TRANSPOSE((_xlfn._xlws.FILTER(INDEX($C$6:$E$1000,,MATCH($G118,$C$5:$E$5,0)),INDEX($C$6:$E$1000,,MATCH($G118,$C$5:$E$5,0))&lt;&gt;"","No hay nada")))</f>
        <v>#VALUE!</v>
      </c>
    </row>
    <row r="119" spans="7:8" x14ac:dyDescent="0.2">
      <c r="G119" t="e">
        <f>Tabla27[[#This Row],[Agrupación]]</f>
        <v>#VALUE!</v>
      </c>
      <c r="H119" t="e" cm="1">
        <f t="array" ref="H119">TRANSPOSE((_xlfn._xlws.FILTER(INDEX($C$6:$E$1000,,MATCH($G119,$C$5:$E$5,0)),INDEX($C$6:$E$1000,,MATCH($G119,$C$5:$E$5,0))&lt;&gt;"","No hay nada")))</f>
        <v>#VALUE!</v>
      </c>
    </row>
    <row r="120" spans="7:8" x14ac:dyDescent="0.2">
      <c r="G120" t="e">
        <f>Tabla27[[#This Row],[Agrupación]]</f>
        <v>#VALUE!</v>
      </c>
      <c r="H120" t="e" cm="1">
        <f t="array" ref="H120">TRANSPOSE((_xlfn._xlws.FILTER(INDEX($C$6:$E$1000,,MATCH($G120,$C$5:$E$5,0)),INDEX($C$6:$E$1000,,MATCH($G120,$C$5:$E$5,0))&lt;&gt;"","No hay nada")))</f>
        <v>#VALUE!</v>
      </c>
    </row>
    <row r="121" spans="7:8" x14ac:dyDescent="0.2">
      <c r="G121" t="e">
        <f>Tabla27[[#This Row],[Agrupación]]</f>
        <v>#VALUE!</v>
      </c>
      <c r="H121" t="e" cm="1">
        <f t="array" ref="H121">TRANSPOSE((_xlfn._xlws.FILTER(INDEX($C$6:$E$1000,,MATCH($G121,$C$5:$E$5,0)),INDEX($C$6:$E$1000,,MATCH($G121,$C$5:$E$5,0))&lt;&gt;"","No hay nada")))</f>
        <v>#VALUE!</v>
      </c>
    </row>
    <row r="122" spans="7:8" x14ac:dyDescent="0.2">
      <c r="G122" t="e">
        <f>Tabla27[[#This Row],[Agrupación]]</f>
        <v>#VALUE!</v>
      </c>
      <c r="H122" t="e" cm="1">
        <f t="array" ref="H122">TRANSPOSE((_xlfn._xlws.FILTER(INDEX($C$6:$E$1000,,MATCH($G122,$C$5:$E$5,0)),INDEX($C$6:$E$1000,,MATCH($G122,$C$5:$E$5,0))&lt;&gt;"","No hay nada")))</f>
        <v>#VALUE!</v>
      </c>
    </row>
    <row r="123" spans="7:8" x14ac:dyDescent="0.2">
      <c r="G123" t="e">
        <f>Tabla27[[#This Row],[Agrupación]]</f>
        <v>#VALUE!</v>
      </c>
      <c r="H123" t="e" cm="1">
        <f t="array" ref="H123">TRANSPOSE((_xlfn._xlws.FILTER(INDEX($C$6:$E$1000,,MATCH($G123,$C$5:$E$5,0)),INDEX($C$6:$E$1000,,MATCH($G123,$C$5:$E$5,0))&lt;&gt;"","No hay nada")))</f>
        <v>#VALUE!</v>
      </c>
    </row>
    <row r="124" spans="7:8" x14ac:dyDescent="0.2">
      <c r="G124" t="e">
        <f>Tabla27[[#This Row],[Agrupación]]</f>
        <v>#VALUE!</v>
      </c>
      <c r="H124" t="e" cm="1">
        <f t="array" ref="H124">TRANSPOSE((_xlfn._xlws.FILTER(INDEX($C$6:$E$1000,,MATCH($G124,$C$5:$E$5,0)),INDEX($C$6:$E$1000,,MATCH($G124,$C$5:$E$5,0))&lt;&gt;"","No hay nada")))</f>
        <v>#VALUE!</v>
      </c>
    </row>
    <row r="125" spans="7:8" x14ac:dyDescent="0.2">
      <c r="G125" t="e">
        <f>Tabla27[[#This Row],[Agrupación]]</f>
        <v>#VALUE!</v>
      </c>
      <c r="H125" t="e" cm="1">
        <f t="array" ref="H125">TRANSPOSE((_xlfn._xlws.FILTER(INDEX($C$6:$E$1000,,MATCH($G125,$C$5:$E$5,0)),INDEX($C$6:$E$1000,,MATCH($G125,$C$5:$E$5,0))&lt;&gt;"","No hay nada")))</f>
        <v>#VALUE!</v>
      </c>
    </row>
    <row r="126" spans="7:8" x14ac:dyDescent="0.2">
      <c r="G126" t="e">
        <f>Tabla27[[#This Row],[Agrupación]]</f>
        <v>#VALUE!</v>
      </c>
      <c r="H126" t="e" cm="1">
        <f t="array" ref="H126">TRANSPOSE((_xlfn._xlws.FILTER(INDEX($C$6:$E$1000,,MATCH($G126,$C$5:$E$5,0)),INDEX($C$6:$E$1000,,MATCH($G126,$C$5:$E$5,0))&lt;&gt;"","No hay nada")))</f>
        <v>#VALUE!</v>
      </c>
    </row>
    <row r="127" spans="7:8" x14ac:dyDescent="0.2">
      <c r="G127" t="e">
        <f>Tabla27[[#This Row],[Agrupación]]</f>
        <v>#VALUE!</v>
      </c>
      <c r="H127" t="e" cm="1">
        <f t="array" ref="H127">TRANSPOSE((_xlfn._xlws.FILTER(INDEX($C$6:$E$1000,,MATCH($G127,$C$5:$E$5,0)),INDEX($C$6:$E$1000,,MATCH($G127,$C$5:$E$5,0))&lt;&gt;"","No hay nada")))</f>
        <v>#VALUE!</v>
      </c>
    </row>
    <row r="128" spans="7:8" x14ac:dyDescent="0.2">
      <c r="G128" t="e">
        <f>Tabla27[[#This Row],[Agrupación]]</f>
        <v>#VALUE!</v>
      </c>
      <c r="H128" t="e" cm="1">
        <f t="array" ref="H128">TRANSPOSE((_xlfn._xlws.FILTER(INDEX($C$6:$E$1000,,MATCH($G128,$C$5:$E$5,0)),INDEX($C$6:$E$1000,,MATCH($G128,$C$5:$E$5,0))&lt;&gt;"","No hay nada")))</f>
        <v>#VALUE!</v>
      </c>
    </row>
    <row r="129" spans="7:8" x14ac:dyDescent="0.2">
      <c r="G129" t="e">
        <f>Tabla27[[#This Row],[Agrupación]]</f>
        <v>#VALUE!</v>
      </c>
      <c r="H129" t="e" cm="1">
        <f t="array" ref="H129">TRANSPOSE((_xlfn._xlws.FILTER(INDEX($C$6:$E$1000,,MATCH($G129,$C$5:$E$5,0)),INDEX($C$6:$E$1000,,MATCH($G129,$C$5:$E$5,0))&lt;&gt;"","No hay nada")))</f>
        <v>#VALUE!</v>
      </c>
    </row>
    <row r="130" spans="7:8" x14ac:dyDescent="0.2">
      <c r="G130" t="e">
        <f>Tabla27[[#This Row],[Agrupación]]</f>
        <v>#VALUE!</v>
      </c>
      <c r="H130" t="e" cm="1">
        <f t="array" ref="H130">TRANSPOSE((_xlfn._xlws.FILTER(INDEX($C$6:$E$1000,,MATCH($G130,$C$5:$E$5,0)),INDEX($C$6:$E$1000,,MATCH($G130,$C$5:$E$5,0))&lt;&gt;"","No hay nada")))</f>
        <v>#VALUE!</v>
      </c>
    </row>
    <row r="131" spans="7:8" x14ac:dyDescent="0.2">
      <c r="G131" t="e">
        <f>Tabla27[[#This Row],[Agrupación]]</f>
        <v>#VALUE!</v>
      </c>
      <c r="H131" t="e" cm="1">
        <f t="array" ref="H131">TRANSPOSE((_xlfn._xlws.FILTER(INDEX($C$6:$E$1000,,MATCH($G131,$C$5:$E$5,0)),INDEX($C$6:$E$1000,,MATCH($G131,$C$5:$E$5,0))&lt;&gt;"","No hay nada")))</f>
        <v>#VALUE!</v>
      </c>
    </row>
    <row r="132" spans="7:8" x14ac:dyDescent="0.2">
      <c r="G132" t="e">
        <f>Tabla27[[#This Row],[Agrupación]]</f>
        <v>#VALUE!</v>
      </c>
      <c r="H132" t="e" cm="1">
        <f t="array" ref="H132">TRANSPOSE((_xlfn._xlws.FILTER(INDEX($C$6:$E$1000,,MATCH($G132,$C$5:$E$5,0)),INDEX($C$6:$E$1000,,MATCH($G132,$C$5:$E$5,0))&lt;&gt;"","No hay nada")))</f>
        <v>#VALUE!</v>
      </c>
    </row>
    <row r="133" spans="7:8" x14ac:dyDescent="0.2">
      <c r="G133" t="e">
        <f>Tabla27[[#This Row],[Agrupación]]</f>
        <v>#VALUE!</v>
      </c>
      <c r="H133" t="e" cm="1">
        <f t="array" ref="H133">TRANSPOSE((_xlfn._xlws.FILTER(INDEX($C$6:$E$1000,,MATCH($G133,$C$5:$E$5,0)),INDEX($C$6:$E$1000,,MATCH($G133,$C$5:$E$5,0))&lt;&gt;"","No hay nada")))</f>
        <v>#VALUE!</v>
      </c>
    </row>
    <row r="134" spans="7:8" x14ac:dyDescent="0.2">
      <c r="G134" t="e">
        <f>Tabla27[[#This Row],[Agrupación]]</f>
        <v>#VALUE!</v>
      </c>
      <c r="H134" t="e" cm="1">
        <f t="array" ref="H134">TRANSPOSE((_xlfn._xlws.FILTER(INDEX($C$6:$E$1000,,MATCH($G134,$C$5:$E$5,0)),INDEX($C$6:$E$1000,,MATCH($G134,$C$5:$E$5,0))&lt;&gt;"","No hay nada")))</f>
        <v>#VALUE!</v>
      </c>
    </row>
    <row r="135" spans="7:8" x14ac:dyDescent="0.2">
      <c r="G135" t="e">
        <f>Tabla27[[#This Row],[Agrupación]]</f>
        <v>#VALUE!</v>
      </c>
      <c r="H135" t="e" cm="1">
        <f t="array" ref="H135">TRANSPOSE((_xlfn._xlws.FILTER(INDEX($C$6:$E$1000,,MATCH($G135,$C$5:$E$5,0)),INDEX($C$6:$E$1000,,MATCH($G135,$C$5:$E$5,0))&lt;&gt;"","No hay nada")))</f>
        <v>#VALUE!</v>
      </c>
    </row>
    <row r="136" spans="7:8" x14ac:dyDescent="0.2">
      <c r="G136" t="e">
        <f>Tabla27[[#This Row],[Agrupación]]</f>
        <v>#VALUE!</v>
      </c>
      <c r="H136" t="e" cm="1">
        <f t="array" ref="H136">TRANSPOSE((_xlfn._xlws.FILTER(INDEX($C$6:$E$1000,,MATCH($G136,$C$5:$E$5,0)),INDEX($C$6:$E$1000,,MATCH($G136,$C$5:$E$5,0))&lt;&gt;"","No hay nada")))</f>
        <v>#VALUE!</v>
      </c>
    </row>
    <row r="137" spans="7:8" x14ac:dyDescent="0.2">
      <c r="G137" t="e">
        <f>Tabla27[[#This Row],[Agrupación]]</f>
        <v>#VALUE!</v>
      </c>
      <c r="H137" t="e" cm="1">
        <f t="array" ref="H137">TRANSPOSE((_xlfn._xlws.FILTER(INDEX($C$6:$E$1000,,MATCH($G137,$C$5:$E$5,0)),INDEX($C$6:$E$1000,,MATCH($G137,$C$5:$E$5,0))&lt;&gt;"","No hay nada")))</f>
        <v>#VALUE!</v>
      </c>
    </row>
    <row r="138" spans="7:8" x14ac:dyDescent="0.2">
      <c r="G138" t="e">
        <f>Tabla27[[#This Row],[Agrupación]]</f>
        <v>#VALUE!</v>
      </c>
      <c r="H138" t="e" cm="1">
        <f t="array" ref="H138">TRANSPOSE((_xlfn._xlws.FILTER(INDEX($C$6:$E$1000,,MATCH($G138,$C$5:$E$5,0)),INDEX($C$6:$E$1000,,MATCH($G138,$C$5:$E$5,0))&lt;&gt;"","No hay nada")))</f>
        <v>#VALUE!</v>
      </c>
    </row>
    <row r="139" spans="7:8" x14ac:dyDescent="0.2">
      <c r="G139" t="e">
        <f>Tabla27[[#This Row],[Agrupación]]</f>
        <v>#VALUE!</v>
      </c>
      <c r="H139" t="e" cm="1">
        <f t="array" ref="H139">TRANSPOSE((_xlfn._xlws.FILTER(INDEX($C$6:$E$1000,,MATCH($G139,$C$5:$E$5,0)),INDEX($C$6:$E$1000,,MATCH($G139,$C$5:$E$5,0))&lt;&gt;"","No hay nada")))</f>
        <v>#VALUE!</v>
      </c>
    </row>
    <row r="140" spans="7:8" x14ac:dyDescent="0.2">
      <c r="G140" t="e">
        <f>Tabla27[[#This Row],[Agrupación]]</f>
        <v>#VALUE!</v>
      </c>
      <c r="H140" t="e" cm="1">
        <f t="array" ref="H140">TRANSPOSE((_xlfn._xlws.FILTER(INDEX($C$6:$E$1000,,MATCH($G140,$C$5:$E$5,0)),INDEX($C$6:$E$1000,,MATCH($G140,$C$5:$E$5,0))&lt;&gt;"","No hay nada")))</f>
        <v>#VALUE!</v>
      </c>
    </row>
    <row r="141" spans="7:8" x14ac:dyDescent="0.2">
      <c r="G141" t="e">
        <f>Tabla27[[#This Row],[Agrupación]]</f>
        <v>#VALUE!</v>
      </c>
      <c r="H141" t="e" cm="1">
        <f t="array" ref="H141">TRANSPOSE((_xlfn._xlws.FILTER(INDEX($C$6:$E$1000,,MATCH($G141,$C$5:$E$5,0)),INDEX($C$6:$E$1000,,MATCH($G141,$C$5:$E$5,0))&lt;&gt;"","No hay nada")))</f>
        <v>#VALUE!</v>
      </c>
    </row>
    <row r="142" spans="7:8" x14ac:dyDescent="0.2">
      <c r="G142" t="e">
        <f>Tabla27[[#This Row],[Agrupación]]</f>
        <v>#VALUE!</v>
      </c>
      <c r="H142" t="e" cm="1">
        <f t="array" ref="H142">TRANSPOSE((_xlfn._xlws.FILTER(INDEX($C$6:$E$1000,,MATCH($G142,$C$5:$E$5,0)),INDEX($C$6:$E$1000,,MATCH($G142,$C$5:$E$5,0))&lt;&gt;"","No hay nada")))</f>
        <v>#VALUE!</v>
      </c>
    </row>
    <row r="143" spans="7:8" x14ac:dyDescent="0.2">
      <c r="G143" t="e">
        <f>Tabla27[[#This Row],[Agrupación]]</f>
        <v>#VALUE!</v>
      </c>
      <c r="H143" t="e" cm="1">
        <f t="array" ref="H143">TRANSPOSE((_xlfn._xlws.FILTER(INDEX($C$6:$E$1000,,MATCH($G143,$C$5:$E$5,0)),INDEX($C$6:$E$1000,,MATCH($G143,$C$5:$E$5,0))&lt;&gt;"","No hay nada")))</f>
        <v>#VALUE!</v>
      </c>
    </row>
    <row r="144" spans="7:8" x14ac:dyDescent="0.2">
      <c r="G144" t="e">
        <f>Tabla27[[#This Row],[Agrupación]]</f>
        <v>#VALUE!</v>
      </c>
      <c r="H144" t="e" cm="1">
        <f t="array" ref="H144">TRANSPOSE((_xlfn._xlws.FILTER(INDEX($C$6:$E$1000,,MATCH($G144,$C$5:$E$5,0)),INDEX($C$6:$E$1000,,MATCH($G144,$C$5:$E$5,0))&lt;&gt;"","No hay nada")))</f>
        <v>#VALUE!</v>
      </c>
    </row>
    <row r="145" spans="7:8" x14ac:dyDescent="0.2">
      <c r="G145" t="e">
        <f>Tabla27[[#This Row],[Agrupación]]</f>
        <v>#VALUE!</v>
      </c>
      <c r="H145" t="e" cm="1">
        <f t="array" ref="H145">TRANSPOSE((_xlfn._xlws.FILTER(INDEX($C$6:$E$1000,,MATCH($G145,$C$5:$E$5,0)),INDEX($C$6:$E$1000,,MATCH($G145,$C$5:$E$5,0))&lt;&gt;"","No hay nada")))</f>
        <v>#VALUE!</v>
      </c>
    </row>
    <row r="146" spans="7:8" x14ac:dyDescent="0.2">
      <c r="G146" t="e">
        <f>Tabla27[[#This Row],[Agrupación]]</f>
        <v>#VALUE!</v>
      </c>
      <c r="H146" t="e" cm="1">
        <f t="array" ref="H146">TRANSPOSE((_xlfn._xlws.FILTER(INDEX($C$6:$E$1000,,MATCH($G146,$C$5:$E$5,0)),INDEX($C$6:$E$1000,,MATCH($G146,$C$5:$E$5,0))&lt;&gt;"","No hay nada")))</f>
        <v>#VALUE!</v>
      </c>
    </row>
    <row r="147" spans="7:8" x14ac:dyDescent="0.2">
      <c r="G147" t="e">
        <f>Tabla27[[#This Row],[Agrupación]]</f>
        <v>#VALUE!</v>
      </c>
      <c r="H147" t="e" cm="1">
        <f t="array" ref="H147">TRANSPOSE((_xlfn._xlws.FILTER(INDEX($C$6:$E$1000,,MATCH($G147,$C$5:$E$5,0)),INDEX($C$6:$E$1000,,MATCH($G147,$C$5:$E$5,0))&lt;&gt;"","No hay nada")))</f>
        <v>#VALUE!</v>
      </c>
    </row>
    <row r="148" spans="7:8" x14ac:dyDescent="0.2">
      <c r="G148" t="e">
        <f>Tabla27[[#This Row],[Agrupación]]</f>
        <v>#VALUE!</v>
      </c>
      <c r="H148" t="e" cm="1">
        <f t="array" ref="H148">TRANSPOSE((_xlfn._xlws.FILTER(INDEX($C$6:$E$1000,,MATCH($G148,$C$5:$E$5,0)),INDEX($C$6:$E$1000,,MATCH($G148,$C$5:$E$5,0))&lt;&gt;"","No hay nada")))</f>
        <v>#VALUE!</v>
      </c>
    </row>
    <row r="149" spans="7:8" x14ac:dyDescent="0.2">
      <c r="G149" t="e">
        <f>Tabla27[[#This Row],[Agrupación]]</f>
        <v>#VALUE!</v>
      </c>
      <c r="H149" t="e" cm="1">
        <f t="array" ref="H149">TRANSPOSE((_xlfn._xlws.FILTER(INDEX($C$6:$E$1000,,MATCH($G149,$C$5:$E$5,0)),INDEX($C$6:$E$1000,,MATCH($G149,$C$5:$E$5,0))&lt;&gt;"","No hay nada")))</f>
        <v>#VALUE!</v>
      </c>
    </row>
    <row r="150" spans="7:8" x14ac:dyDescent="0.2">
      <c r="G150" t="e">
        <f>Tabla27[[#This Row],[Agrupación]]</f>
        <v>#VALUE!</v>
      </c>
      <c r="H150" t="e" cm="1">
        <f t="array" ref="H150">TRANSPOSE((_xlfn._xlws.FILTER(INDEX($C$6:$E$1000,,MATCH($G150,$C$5:$E$5,0)),INDEX($C$6:$E$1000,,MATCH($G150,$C$5:$E$5,0))&lt;&gt;"","No hay nada")))</f>
        <v>#VALUE!</v>
      </c>
    </row>
    <row r="151" spans="7:8" x14ac:dyDescent="0.2">
      <c r="G151" t="e">
        <f>Tabla27[[#This Row],[Agrupación]]</f>
        <v>#VALUE!</v>
      </c>
      <c r="H151" t="e" cm="1">
        <f t="array" ref="H151">TRANSPOSE((_xlfn._xlws.FILTER(INDEX($C$6:$E$1000,,MATCH($G151,$C$5:$E$5,0)),INDEX($C$6:$E$1000,,MATCH($G151,$C$5:$E$5,0))&lt;&gt;"","No hay nada")))</f>
        <v>#VALUE!</v>
      </c>
    </row>
    <row r="152" spans="7:8" x14ac:dyDescent="0.2">
      <c r="G152" t="e">
        <f>Tabla27[[#This Row],[Agrupación]]</f>
        <v>#VALUE!</v>
      </c>
      <c r="H152" t="e" cm="1">
        <f t="array" ref="H152">TRANSPOSE((_xlfn._xlws.FILTER(INDEX($C$6:$E$1000,,MATCH($G152,$C$5:$E$5,0)),INDEX($C$6:$E$1000,,MATCH($G152,$C$5:$E$5,0))&lt;&gt;"","No hay nada")))</f>
        <v>#VALUE!</v>
      </c>
    </row>
    <row r="153" spans="7:8" x14ac:dyDescent="0.2">
      <c r="G153" t="e">
        <f>Tabla27[[#This Row],[Agrupación]]</f>
        <v>#VALUE!</v>
      </c>
      <c r="H153" t="e" cm="1">
        <f t="array" ref="H153">TRANSPOSE((_xlfn._xlws.FILTER(INDEX($C$6:$E$1000,,MATCH($G153,$C$5:$E$5,0)),INDEX($C$6:$E$1000,,MATCH($G153,$C$5:$E$5,0))&lt;&gt;"","No hay nada")))</f>
        <v>#VALUE!</v>
      </c>
    </row>
    <row r="154" spans="7:8" x14ac:dyDescent="0.2">
      <c r="G154" t="e">
        <f>Tabla27[[#This Row],[Agrupación]]</f>
        <v>#VALUE!</v>
      </c>
      <c r="H154" t="e" cm="1">
        <f t="array" ref="H154">TRANSPOSE((_xlfn._xlws.FILTER(INDEX($C$6:$E$1000,,MATCH($G154,$C$5:$E$5,0)),INDEX($C$6:$E$1000,,MATCH($G154,$C$5:$E$5,0))&lt;&gt;"","No hay nada")))</f>
        <v>#VALUE!</v>
      </c>
    </row>
    <row r="155" spans="7:8" x14ac:dyDescent="0.2">
      <c r="G155" t="e">
        <f>Tabla27[[#This Row],[Agrupación]]</f>
        <v>#VALUE!</v>
      </c>
      <c r="H155" t="e" cm="1">
        <f t="array" ref="H155">TRANSPOSE((_xlfn._xlws.FILTER(INDEX($C$6:$E$1000,,MATCH($G155,$C$5:$E$5,0)),INDEX($C$6:$E$1000,,MATCH($G155,$C$5:$E$5,0))&lt;&gt;"","No hay nada")))</f>
        <v>#VALUE!</v>
      </c>
    </row>
    <row r="156" spans="7:8" x14ac:dyDescent="0.2">
      <c r="G156" t="e">
        <f>Tabla27[[#This Row],[Agrupación]]</f>
        <v>#VALUE!</v>
      </c>
      <c r="H156" t="e" cm="1">
        <f t="array" ref="H156">TRANSPOSE((_xlfn._xlws.FILTER(INDEX($C$6:$E$1000,,MATCH($G156,$C$5:$E$5,0)),INDEX($C$6:$E$1000,,MATCH($G156,$C$5:$E$5,0))&lt;&gt;"","No hay nada")))</f>
        <v>#VALUE!</v>
      </c>
    </row>
    <row r="157" spans="7:8" x14ac:dyDescent="0.2">
      <c r="G157" t="e">
        <f>Tabla27[[#This Row],[Agrupación]]</f>
        <v>#VALUE!</v>
      </c>
      <c r="H157" t="e" cm="1">
        <f t="array" ref="H157">TRANSPOSE((_xlfn._xlws.FILTER(INDEX($C$6:$E$1000,,MATCH($G157,$C$5:$E$5,0)),INDEX($C$6:$E$1000,,MATCH($G157,$C$5:$E$5,0))&lt;&gt;"","No hay nada")))</f>
        <v>#VALUE!</v>
      </c>
    </row>
    <row r="158" spans="7:8" x14ac:dyDescent="0.2">
      <c r="G158" t="e">
        <f>Tabla27[[#This Row],[Agrupación]]</f>
        <v>#VALUE!</v>
      </c>
      <c r="H158" t="e" cm="1">
        <f t="array" ref="H158">TRANSPOSE((_xlfn._xlws.FILTER(INDEX($C$6:$E$1000,,MATCH($G158,$C$5:$E$5,0)),INDEX($C$6:$E$1000,,MATCH($G158,$C$5:$E$5,0))&lt;&gt;"","No hay nada")))</f>
        <v>#VALUE!</v>
      </c>
    </row>
    <row r="159" spans="7:8" x14ac:dyDescent="0.2">
      <c r="G159" t="e">
        <f>Tabla27[[#This Row],[Agrupación]]</f>
        <v>#VALUE!</v>
      </c>
      <c r="H159" t="e" cm="1">
        <f t="array" ref="H159">TRANSPOSE((_xlfn._xlws.FILTER(INDEX($C$6:$E$1000,,MATCH($G159,$C$5:$E$5,0)),INDEX($C$6:$E$1000,,MATCH($G159,$C$5:$E$5,0))&lt;&gt;"","No hay nada")))</f>
        <v>#VALUE!</v>
      </c>
    </row>
    <row r="160" spans="7:8" x14ac:dyDescent="0.2">
      <c r="G160" t="e">
        <f>Tabla27[[#This Row],[Agrupación]]</f>
        <v>#VALUE!</v>
      </c>
      <c r="H160" t="e" cm="1">
        <f t="array" ref="H160">TRANSPOSE((_xlfn._xlws.FILTER(INDEX($C$6:$E$1000,,MATCH($G160,$C$5:$E$5,0)),INDEX($C$6:$E$1000,,MATCH($G160,$C$5:$E$5,0))&lt;&gt;"","No hay nada")))</f>
        <v>#VALUE!</v>
      </c>
    </row>
    <row r="161" spans="7:8" x14ac:dyDescent="0.2">
      <c r="G161" t="e">
        <f>Tabla27[[#This Row],[Agrupación]]</f>
        <v>#VALUE!</v>
      </c>
      <c r="H161" t="e" cm="1">
        <f t="array" ref="H161">TRANSPOSE((_xlfn._xlws.FILTER(INDEX($C$6:$E$1000,,MATCH($G161,$C$5:$E$5,0)),INDEX($C$6:$E$1000,,MATCH($G161,$C$5:$E$5,0))&lt;&gt;"","No hay nada")))</f>
        <v>#VALUE!</v>
      </c>
    </row>
    <row r="162" spans="7:8" x14ac:dyDescent="0.2">
      <c r="G162" t="e">
        <f>Tabla27[[#This Row],[Agrupación]]</f>
        <v>#VALUE!</v>
      </c>
      <c r="H162" t="e" cm="1">
        <f t="array" ref="H162">TRANSPOSE((_xlfn._xlws.FILTER(INDEX($C$6:$E$1000,,MATCH($G162,$C$5:$E$5,0)),INDEX($C$6:$E$1000,,MATCH($G162,$C$5:$E$5,0))&lt;&gt;"","No hay nada")))</f>
        <v>#VALUE!</v>
      </c>
    </row>
    <row r="163" spans="7:8" x14ac:dyDescent="0.2">
      <c r="G163" t="e">
        <f>Tabla27[[#This Row],[Agrupación]]</f>
        <v>#VALUE!</v>
      </c>
      <c r="H163" t="e" cm="1">
        <f t="array" ref="H163">TRANSPOSE((_xlfn._xlws.FILTER(INDEX($C$6:$E$1000,,MATCH($G163,$C$5:$E$5,0)),INDEX($C$6:$E$1000,,MATCH($G163,$C$5:$E$5,0))&lt;&gt;"","No hay nada")))</f>
        <v>#VALUE!</v>
      </c>
    </row>
    <row r="164" spans="7:8" x14ac:dyDescent="0.2">
      <c r="G164" t="e">
        <f>Tabla27[[#This Row],[Agrupación]]</f>
        <v>#VALUE!</v>
      </c>
      <c r="H164" t="e" cm="1">
        <f t="array" ref="H164">TRANSPOSE((_xlfn._xlws.FILTER(INDEX($C$6:$E$1000,,MATCH($G164,$C$5:$E$5,0)),INDEX($C$6:$E$1000,,MATCH($G164,$C$5:$E$5,0))&lt;&gt;"","No hay nada")))</f>
        <v>#VALUE!</v>
      </c>
    </row>
    <row r="165" spans="7:8" x14ac:dyDescent="0.2">
      <c r="G165" t="e">
        <f>Tabla27[[#This Row],[Agrupación]]</f>
        <v>#VALUE!</v>
      </c>
      <c r="H165" t="e" cm="1">
        <f t="array" ref="H165">TRANSPOSE((_xlfn._xlws.FILTER(INDEX($C$6:$E$1000,,MATCH($G165,$C$5:$E$5,0)),INDEX($C$6:$E$1000,,MATCH($G165,$C$5:$E$5,0))&lt;&gt;"","No hay nada")))</f>
        <v>#VALUE!</v>
      </c>
    </row>
    <row r="166" spans="7:8" x14ac:dyDescent="0.2">
      <c r="G166" t="e">
        <f>Tabla27[[#This Row],[Agrupación]]</f>
        <v>#VALUE!</v>
      </c>
      <c r="H166" t="e" cm="1">
        <f t="array" ref="H166">TRANSPOSE((_xlfn._xlws.FILTER(INDEX($C$6:$E$1000,,MATCH($G166,$C$5:$E$5,0)),INDEX($C$6:$E$1000,,MATCH($G166,$C$5:$E$5,0))&lt;&gt;"","No hay nada")))</f>
        <v>#VALUE!</v>
      </c>
    </row>
    <row r="167" spans="7:8" x14ac:dyDescent="0.2">
      <c r="G167" t="e">
        <f>Tabla27[[#This Row],[Agrupación]]</f>
        <v>#VALUE!</v>
      </c>
      <c r="H167" t="e" cm="1">
        <f t="array" ref="H167">TRANSPOSE((_xlfn._xlws.FILTER(INDEX($C$6:$E$1000,,MATCH($G167,$C$5:$E$5,0)),INDEX($C$6:$E$1000,,MATCH($G167,$C$5:$E$5,0))&lt;&gt;"","No hay nada")))</f>
        <v>#VALUE!</v>
      </c>
    </row>
    <row r="168" spans="7:8" x14ac:dyDescent="0.2">
      <c r="G168" t="e">
        <f>Tabla27[[#This Row],[Agrupación]]</f>
        <v>#VALUE!</v>
      </c>
      <c r="H168" t="e" cm="1">
        <f t="array" ref="H168">TRANSPOSE((_xlfn._xlws.FILTER(INDEX($C$6:$E$1000,,MATCH($G168,$C$5:$E$5,0)),INDEX($C$6:$E$1000,,MATCH($G168,$C$5:$E$5,0))&lt;&gt;"","No hay nada")))</f>
        <v>#VALUE!</v>
      </c>
    </row>
    <row r="169" spans="7:8" x14ac:dyDescent="0.2">
      <c r="G169" t="e">
        <f>Tabla27[[#This Row],[Agrupación]]</f>
        <v>#VALUE!</v>
      </c>
      <c r="H169" t="e" cm="1">
        <f t="array" ref="H169">TRANSPOSE((_xlfn._xlws.FILTER(INDEX($C$6:$E$1000,,MATCH($G169,$C$5:$E$5,0)),INDEX($C$6:$E$1000,,MATCH($G169,$C$5:$E$5,0))&lt;&gt;"","No hay nada")))</f>
        <v>#VALUE!</v>
      </c>
    </row>
    <row r="170" spans="7:8" x14ac:dyDescent="0.2">
      <c r="G170" t="e">
        <f>Tabla27[[#This Row],[Agrupación]]</f>
        <v>#VALUE!</v>
      </c>
      <c r="H170" t="e" cm="1">
        <f t="array" ref="H170">TRANSPOSE((_xlfn._xlws.FILTER(INDEX($C$6:$E$1000,,MATCH($G170,$C$5:$E$5,0)),INDEX($C$6:$E$1000,,MATCH($G170,$C$5:$E$5,0))&lt;&gt;"","No hay nada")))</f>
        <v>#VALUE!</v>
      </c>
    </row>
    <row r="171" spans="7:8" x14ac:dyDescent="0.2">
      <c r="G171" t="e">
        <f>Tabla27[[#This Row],[Agrupación]]</f>
        <v>#VALUE!</v>
      </c>
      <c r="H171" t="e" cm="1">
        <f t="array" ref="H171">TRANSPOSE((_xlfn._xlws.FILTER(INDEX($C$6:$E$1000,,MATCH($G171,$C$5:$E$5,0)),INDEX($C$6:$E$1000,,MATCH($G171,$C$5:$E$5,0))&lt;&gt;"","No hay nada")))</f>
        <v>#VALUE!</v>
      </c>
    </row>
    <row r="172" spans="7:8" x14ac:dyDescent="0.2">
      <c r="G172" t="e">
        <f>Tabla27[[#This Row],[Agrupación]]</f>
        <v>#VALUE!</v>
      </c>
      <c r="H172" t="e" cm="1">
        <f t="array" ref="H172">TRANSPOSE((_xlfn._xlws.FILTER(INDEX($C$6:$E$1000,,MATCH($G172,$C$5:$E$5,0)),INDEX($C$6:$E$1000,,MATCH($G172,$C$5:$E$5,0))&lt;&gt;"","No hay nada")))</f>
        <v>#VALUE!</v>
      </c>
    </row>
    <row r="173" spans="7:8" x14ac:dyDescent="0.2">
      <c r="G173" t="e">
        <f>Tabla27[[#This Row],[Agrupación]]</f>
        <v>#VALUE!</v>
      </c>
      <c r="H173" t="e" cm="1">
        <f t="array" ref="H173">TRANSPOSE((_xlfn._xlws.FILTER(INDEX($C$6:$E$1000,,MATCH($G173,$C$5:$E$5,0)),INDEX($C$6:$E$1000,,MATCH($G173,$C$5:$E$5,0))&lt;&gt;"","No hay nada")))</f>
        <v>#VALUE!</v>
      </c>
    </row>
    <row r="174" spans="7:8" x14ac:dyDescent="0.2">
      <c r="G174" t="e">
        <f>Tabla27[[#This Row],[Agrupación]]</f>
        <v>#VALUE!</v>
      </c>
      <c r="H174" t="e" cm="1">
        <f t="array" ref="H174">TRANSPOSE((_xlfn._xlws.FILTER(INDEX($C$6:$E$1000,,MATCH($G174,$C$5:$E$5,0)),INDEX($C$6:$E$1000,,MATCH($G174,$C$5:$E$5,0))&lt;&gt;"","No hay nada")))</f>
        <v>#VALUE!</v>
      </c>
    </row>
    <row r="175" spans="7:8" x14ac:dyDescent="0.2">
      <c r="G175" t="e">
        <f>Tabla27[[#This Row],[Agrupación]]</f>
        <v>#VALUE!</v>
      </c>
      <c r="H175" t="e" cm="1">
        <f t="array" ref="H175">TRANSPOSE((_xlfn._xlws.FILTER(INDEX($C$6:$E$1000,,MATCH($G175,$C$5:$E$5,0)),INDEX($C$6:$E$1000,,MATCH($G175,$C$5:$E$5,0))&lt;&gt;"","No hay nada")))</f>
        <v>#VALUE!</v>
      </c>
    </row>
    <row r="176" spans="7:8" x14ac:dyDescent="0.2">
      <c r="G176" t="e">
        <f>Tabla27[[#This Row],[Agrupación]]</f>
        <v>#VALUE!</v>
      </c>
      <c r="H176" t="e" cm="1">
        <f t="array" ref="H176">TRANSPOSE((_xlfn._xlws.FILTER(INDEX($C$6:$E$1000,,MATCH($G176,$C$5:$E$5,0)),INDEX($C$6:$E$1000,,MATCH($G176,$C$5:$E$5,0))&lt;&gt;"","No hay nada")))</f>
        <v>#VALUE!</v>
      </c>
    </row>
    <row r="177" spans="7:8" x14ac:dyDescent="0.2">
      <c r="G177" t="e">
        <f>Tabla27[[#This Row],[Agrupación]]</f>
        <v>#VALUE!</v>
      </c>
      <c r="H177" t="e" cm="1">
        <f t="array" ref="H177">TRANSPOSE((_xlfn._xlws.FILTER(INDEX($C$6:$E$1000,,MATCH($G177,$C$5:$E$5,0)),INDEX($C$6:$E$1000,,MATCH($G177,$C$5:$E$5,0))&lt;&gt;"","No hay nada")))</f>
        <v>#VALUE!</v>
      </c>
    </row>
    <row r="178" spans="7:8" x14ac:dyDescent="0.2">
      <c r="G178" t="e">
        <f>Tabla27[[#This Row],[Agrupación]]</f>
        <v>#VALUE!</v>
      </c>
      <c r="H178" t="e" cm="1">
        <f t="array" ref="H178">TRANSPOSE((_xlfn._xlws.FILTER(INDEX($C$6:$E$1000,,MATCH($G178,$C$5:$E$5,0)),INDEX($C$6:$E$1000,,MATCH($G178,$C$5:$E$5,0))&lt;&gt;"","No hay nada")))</f>
        <v>#VALUE!</v>
      </c>
    </row>
    <row r="179" spans="7:8" x14ac:dyDescent="0.2">
      <c r="G179" t="e">
        <f>Tabla27[[#This Row],[Agrupación]]</f>
        <v>#VALUE!</v>
      </c>
      <c r="H179" t="e" cm="1">
        <f t="array" ref="H179">TRANSPOSE((_xlfn._xlws.FILTER(INDEX($C$6:$E$1000,,MATCH($G179,$C$5:$E$5,0)),INDEX($C$6:$E$1000,,MATCH($G179,$C$5:$E$5,0))&lt;&gt;"","No hay nada")))</f>
        <v>#VALUE!</v>
      </c>
    </row>
    <row r="180" spans="7:8" x14ac:dyDescent="0.2">
      <c r="G180" t="e">
        <f>Tabla27[[#This Row],[Agrupación]]</f>
        <v>#VALUE!</v>
      </c>
      <c r="H180" t="e" cm="1">
        <f t="array" ref="H180">TRANSPOSE((_xlfn._xlws.FILTER(INDEX($C$6:$E$1000,,MATCH($G180,$C$5:$E$5,0)),INDEX($C$6:$E$1000,,MATCH($G180,$C$5:$E$5,0))&lt;&gt;"","No hay nada")))</f>
        <v>#VALUE!</v>
      </c>
    </row>
    <row r="181" spans="7:8" x14ac:dyDescent="0.2">
      <c r="G181" t="e">
        <f>Tabla27[[#This Row],[Agrupación]]</f>
        <v>#VALUE!</v>
      </c>
      <c r="H181" t="e" cm="1">
        <f t="array" ref="H181">TRANSPOSE((_xlfn._xlws.FILTER(INDEX($C$6:$E$1000,,MATCH($G181,$C$5:$E$5,0)),INDEX($C$6:$E$1000,,MATCH($G181,$C$5:$E$5,0))&lt;&gt;"","No hay nada")))</f>
        <v>#VALUE!</v>
      </c>
    </row>
    <row r="182" spans="7:8" x14ac:dyDescent="0.2">
      <c r="G182" t="e">
        <f>Tabla27[[#This Row],[Agrupación]]</f>
        <v>#VALUE!</v>
      </c>
      <c r="H182" t="e" cm="1">
        <f t="array" ref="H182">TRANSPOSE((_xlfn._xlws.FILTER(INDEX($C$6:$E$1000,,MATCH($G182,$C$5:$E$5,0)),INDEX($C$6:$E$1000,,MATCH($G182,$C$5:$E$5,0))&lt;&gt;"","No hay nada")))</f>
        <v>#VALUE!</v>
      </c>
    </row>
    <row r="183" spans="7:8" x14ac:dyDescent="0.2">
      <c r="G183" t="e">
        <f>Tabla27[[#This Row],[Agrupación]]</f>
        <v>#VALUE!</v>
      </c>
      <c r="H183" t="e" cm="1">
        <f t="array" ref="H183">TRANSPOSE((_xlfn._xlws.FILTER(INDEX($C$6:$E$1000,,MATCH($G183,$C$5:$E$5,0)),INDEX($C$6:$E$1000,,MATCH($G183,$C$5:$E$5,0))&lt;&gt;"","No hay nada")))</f>
        <v>#VALUE!</v>
      </c>
    </row>
    <row r="184" spans="7:8" x14ac:dyDescent="0.2">
      <c r="G184" t="e">
        <f>Tabla27[[#This Row],[Agrupación]]</f>
        <v>#VALUE!</v>
      </c>
      <c r="H184" t="e" cm="1">
        <f t="array" ref="H184">TRANSPOSE((_xlfn._xlws.FILTER(INDEX($C$6:$E$1000,,MATCH($G184,$C$5:$E$5,0)),INDEX($C$6:$E$1000,,MATCH($G184,$C$5:$E$5,0))&lt;&gt;"","No hay nada")))</f>
        <v>#VALUE!</v>
      </c>
    </row>
    <row r="185" spans="7:8" x14ac:dyDescent="0.2">
      <c r="G185" t="e">
        <f>Tabla27[[#This Row],[Agrupación]]</f>
        <v>#VALUE!</v>
      </c>
      <c r="H185" t="e" cm="1">
        <f t="array" ref="H185">TRANSPOSE((_xlfn._xlws.FILTER(INDEX($C$6:$E$1000,,MATCH($G185,$C$5:$E$5,0)),INDEX($C$6:$E$1000,,MATCH($G185,$C$5:$E$5,0))&lt;&gt;"","No hay nada")))</f>
        <v>#VALUE!</v>
      </c>
    </row>
    <row r="186" spans="7:8" x14ac:dyDescent="0.2">
      <c r="G186" t="e">
        <f>Tabla27[[#This Row],[Agrupación]]</f>
        <v>#VALUE!</v>
      </c>
      <c r="H186" t="e" cm="1">
        <f t="array" ref="H186">TRANSPOSE((_xlfn._xlws.FILTER(INDEX($C$6:$E$1000,,MATCH($G186,$C$5:$E$5,0)),INDEX($C$6:$E$1000,,MATCH($G186,$C$5:$E$5,0))&lt;&gt;"","No hay nada")))</f>
        <v>#VALUE!</v>
      </c>
    </row>
    <row r="187" spans="7:8" x14ac:dyDescent="0.2">
      <c r="G187" t="e">
        <f>Tabla27[[#This Row],[Agrupación]]</f>
        <v>#VALUE!</v>
      </c>
      <c r="H187" t="e" cm="1">
        <f t="array" ref="H187">TRANSPOSE((_xlfn._xlws.FILTER(INDEX($C$6:$E$1000,,MATCH($G187,$C$5:$E$5,0)),INDEX($C$6:$E$1000,,MATCH($G187,$C$5:$E$5,0))&lt;&gt;"","No hay nada")))</f>
        <v>#VALUE!</v>
      </c>
    </row>
    <row r="188" spans="7:8" x14ac:dyDescent="0.2">
      <c r="G188" t="e">
        <f>Tabla27[[#This Row],[Agrupación]]</f>
        <v>#VALUE!</v>
      </c>
      <c r="H188" t="e" cm="1">
        <f t="array" ref="H188">TRANSPOSE((_xlfn._xlws.FILTER(INDEX($C$6:$E$1000,,MATCH($G188,$C$5:$E$5,0)),INDEX($C$6:$E$1000,,MATCH($G188,$C$5:$E$5,0))&lt;&gt;"","No hay nada")))</f>
        <v>#VALUE!</v>
      </c>
    </row>
    <row r="189" spans="7:8" x14ac:dyDescent="0.2">
      <c r="G189" t="e">
        <f>Tabla27[[#This Row],[Agrupación]]</f>
        <v>#VALUE!</v>
      </c>
      <c r="H189" t="e" cm="1">
        <f t="array" ref="H189">TRANSPOSE((_xlfn._xlws.FILTER(INDEX($C$6:$E$1000,,MATCH($G189,$C$5:$E$5,0)),INDEX($C$6:$E$1000,,MATCH($G189,$C$5:$E$5,0))&lt;&gt;"","No hay nada")))</f>
        <v>#VALUE!</v>
      </c>
    </row>
    <row r="190" spans="7:8" x14ac:dyDescent="0.2">
      <c r="G190" t="e">
        <f>Tabla27[[#This Row],[Agrupación]]</f>
        <v>#VALUE!</v>
      </c>
      <c r="H190" t="e" cm="1">
        <f t="array" ref="H190">TRANSPOSE((_xlfn._xlws.FILTER(INDEX($C$6:$E$1000,,MATCH($G190,$C$5:$E$5,0)),INDEX($C$6:$E$1000,,MATCH($G190,$C$5:$E$5,0))&lt;&gt;"","No hay nada")))</f>
        <v>#VALUE!</v>
      </c>
    </row>
    <row r="191" spans="7:8" x14ac:dyDescent="0.2">
      <c r="G191" t="e">
        <f>Tabla27[[#This Row],[Agrupación]]</f>
        <v>#VALUE!</v>
      </c>
      <c r="H191" t="e" cm="1">
        <f t="array" ref="H191">TRANSPOSE((_xlfn._xlws.FILTER(INDEX($C$6:$E$1000,,MATCH($G191,$C$5:$E$5,0)),INDEX($C$6:$E$1000,,MATCH($G191,$C$5:$E$5,0))&lt;&gt;"","No hay nada")))</f>
        <v>#VALUE!</v>
      </c>
    </row>
    <row r="192" spans="7:8" x14ac:dyDescent="0.2">
      <c r="G192" t="e">
        <f>Tabla27[[#This Row],[Agrupación]]</f>
        <v>#VALUE!</v>
      </c>
      <c r="H192" t="e" cm="1">
        <f t="array" ref="H192">TRANSPOSE((_xlfn._xlws.FILTER(INDEX($C$6:$E$1000,,MATCH($G192,$C$5:$E$5,0)),INDEX($C$6:$E$1000,,MATCH($G192,$C$5:$E$5,0))&lt;&gt;"","No hay nada")))</f>
        <v>#VALUE!</v>
      </c>
    </row>
    <row r="193" spans="7:8" x14ac:dyDescent="0.2">
      <c r="G193" t="e">
        <f>Tabla27[[#This Row],[Agrupación]]</f>
        <v>#VALUE!</v>
      </c>
      <c r="H193" t="e" cm="1">
        <f t="array" ref="H193">TRANSPOSE((_xlfn._xlws.FILTER(INDEX($C$6:$E$1000,,MATCH($G193,$C$5:$E$5,0)),INDEX($C$6:$E$1000,,MATCH($G193,$C$5:$E$5,0))&lt;&gt;"","No hay nada")))</f>
        <v>#VALUE!</v>
      </c>
    </row>
    <row r="194" spans="7:8" x14ac:dyDescent="0.2">
      <c r="G194" t="e">
        <f>Tabla27[[#This Row],[Agrupación]]</f>
        <v>#VALUE!</v>
      </c>
      <c r="H194" t="e" cm="1">
        <f t="array" ref="H194">TRANSPOSE((_xlfn._xlws.FILTER(INDEX($C$6:$E$1000,,MATCH($G194,$C$5:$E$5,0)),INDEX($C$6:$E$1000,,MATCH($G194,$C$5:$E$5,0))&lt;&gt;"","No hay nada")))</f>
        <v>#VALUE!</v>
      </c>
    </row>
    <row r="195" spans="7:8" x14ac:dyDescent="0.2">
      <c r="G195" t="e">
        <f>Tabla27[[#This Row],[Agrupación]]</f>
        <v>#VALUE!</v>
      </c>
      <c r="H195" t="e" cm="1">
        <f t="array" ref="H195">TRANSPOSE((_xlfn._xlws.FILTER(INDEX($C$6:$E$1000,,MATCH($G195,$C$5:$E$5,0)),INDEX($C$6:$E$1000,,MATCH($G195,$C$5:$E$5,0))&lt;&gt;"","No hay nada")))</f>
        <v>#VALUE!</v>
      </c>
    </row>
    <row r="196" spans="7:8" x14ac:dyDescent="0.2">
      <c r="G196" t="e">
        <f>Tabla27[[#This Row],[Agrupación]]</f>
        <v>#VALUE!</v>
      </c>
      <c r="H196" t="e" cm="1">
        <f t="array" ref="H196">TRANSPOSE((_xlfn._xlws.FILTER(INDEX($C$6:$E$1000,,MATCH($G196,$C$5:$E$5,0)),INDEX($C$6:$E$1000,,MATCH($G196,$C$5:$E$5,0))&lt;&gt;"","No hay nada")))</f>
        <v>#VALUE!</v>
      </c>
    </row>
    <row r="197" spans="7:8" x14ac:dyDescent="0.2">
      <c r="G197" t="e">
        <f>Tabla27[[#This Row],[Agrupación]]</f>
        <v>#VALUE!</v>
      </c>
      <c r="H197" t="e" cm="1">
        <f t="array" ref="H197">TRANSPOSE((_xlfn._xlws.FILTER(INDEX($C$6:$E$1000,,MATCH($G197,$C$5:$E$5,0)),INDEX($C$6:$E$1000,,MATCH($G197,$C$5:$E$5,0))&lt;&gt;"","No hay nada")))</f>
        <v>#VALUE!</v>
      </c>
    </row>
    <row r="198" spans="7:8" x14ac:dyDescent="0.2">
      <c r="G198" t="e">
        <f>Tabla27[[#This Row],[Agrupación]]</f>
        <v>#VALUE!</v>
      </c>
      <c r="H198" t="e" cm="1">
        <f t="array" ref="H198">TRANSPOSE((_xlfn._xlws.FILTER(INDEX($C$6:$E$1000,,MATCH($G198,$C$5:$E$5,0)),INDEX($C$6:$E$1000,,MATCH($G198,$C$5:$E$5,0))&lt;&gt;"","No hay nada")))</f>
        <v>#VALUE!</v>
      </c>
    </row>
    <row r="199" spans="7:8" x14ac:dyDescent="0.2">
      <c r="G199" t="e">
        <f>Tabla27[[#This Row],[Agrupación]]</f>
        <v>#VALUE!</v>
      </c>
      <c r="H199" t="e" cm="1">
        <f t="array" ref="H199">TRANSPOSE((_xlfn._xlws.FILTER(INDEX($C$6:$E$1000,,MATCH($G199,$C$5:$E$5,0)),INDEX($C$6:$E$1000,,MATCH($G199,$C$5:$E$5,0))&lt;&gt;"","No hay nada")))</f>
        <v>#VALUE!</v>
      </c>
    </row>
    <row r="200" spans="7:8" x14ac:dyDescent="0.2">
      <c r="G200" t="e">
        <f>Tabla27[[#This Row],[Agrupación]]</f>
        <v>#VALUE!</v>
      </c>
      <c r="H200" t="e" cm="1">
        <f t="array" ref="H200">TRANSPOSE((_xlfn._xlws.FILTER(INDEX($C$6:$E$1000,,MATCH($G200,$C$5:$E$5,0)),INDEX($C$6:$E$1000,,MATCH($G200,$C$5:$E$5,0))&lt;&gt;"","No hay nada")))</f>
        <v>#VALUE!</v>
      </c>
    </row>
    <row r="201" spans="7:8" x14ac:dyDescent="0.2">
      <c r="G201" t="e">
        <f>Tabla27[[#This Row],[Agrupación]]</f>
        <v>#VALUE!</v>
      </c>
      <c r="H201" t="e" cm="1">
        <f t="array" ref="H201">TRANSPOSE((_xlfn._xlws.FILTER(INDEX($C$6:$E$1000,,MATCH($G201,$C$5:$E$5,0)),INDEX($C$6:$E$1000,,MATCH($G201,$C$5:$E$5,0))&lt;&gt;"","No hay nada")))</f>
        <v>#VALUE!</v>
      </c>
    </row>
    <row r="202" spans="7:8" x14ac:dyDescent="0.2">
      <c r="G202" t="e">
        <f>Tabla27[[#This Row],[Agrupación]]</f>
        <v>#VALUE!</v>
      </c>
      <c r="H202" t="e" cm="1">
        <f t="array" ref="H202">TRANSPOSE((_xlfn._xlws.FILTER(INDEX($C$6:$E$1000,,MATCH($G202,$C$5:$E$5,0)),INDEX($C$6:$E$1000,,MATCH($G202,$C$5:$E$5,0))&lt;&gt;"","No hay nada")))</f>
        <v>#VALUE!</v>
      </c>
    </row>
    <row r="203" spans="7:8" x14ac:dyDescent="0.2">
      <c r="G203" t="e">
        <f>Tabla27[[#This Row],[Agrupación]]</f>
        <v>#VALUE!</v>
      </c>
      <c r="H203" t="e" cm="1">
        <f t="array" ref="H203">TRANSPOSE((_xlfn._xlws.FILTER(INDEX($C$6:$E$1000,,MATCH($G203,$C$5:$E$5,0)),INDEX($C$6:$E$1000,,MATCH($G203,$C$5:$E$5,0))&lt;&gt;"","No hay nada")))</f>
        <v>#VALUE!</v>
      </c>
    </row>
    <row r="204" spans="7:8" x14ac:dyDescent="0.2">
      <c r="G204" t="e">
        <f>Tabla27[[#This Row],[Agrupación]]</f>
        <v>#VALUE!</v>
      </c>
      <c r="H204" t="e" cm="1">
        <f t="array" ref="H204">TRANSPOSE((_xlfn._xlws.FILTER(INDEX($C$6:$E$1000,,MATCH($G204,$C$5:$E$5,0)),INDEX($C$6:$E$1000,,MATCH($G204,$C$5:$E$5,0))&lt;&gt;"","No hay nada")))</f>
        <v>#VALUE!</v>
      </c>
    </row>
    <row r="205" spans="7:8" x14ac:dyDescent="0.2">
      <c r="G205" t="e">
        <f>Tabla27[[#This Row],[Agrupación]]</f>
        <v>#VALUE!</v>
      </c>
      <c r="H205" t="e" cm="1">
        <f t="array" ref="H205">TRANSPOSE((_xlfn._xlws.FILTER(INDEX($C$6:$E$1000,,MATCH($G205,$C$5:$E$5,0)),INDEX($C$6:$E$1000,,MATCH($G205,$C$5:$E$5,0))&lt;&gt;"","No hay nada")))</f>
        <v>#VALUE!</v>
      </c>
    </row>
    <row r="206" spans="7:8" x14ac:dyDescent="0.2">
      <c r="G206" t="e">
        <f>Tabla27[[#This Row],[Agrupación]]</f>
        <v>#VALUE!</v>
      </c>
      <c r="H206" t="e" cm="1">
        <f t="array" ref="H206">TRANSPOSE((_xlfn._xlws.FILTER(INDEX($C$6:$E$1000,,MATCH($G206,$C$5:$E$5,0)),INDEX($C$6:$E$1000,,MATCH($G206,$C$5:$E$5,0))&lt;&gt;"","No hay nada")))</f>
        <v>#VALUE!</v>
      </c>
    </row>
    <row r="207" spans="7:8" x14ac:dyDescent="0.2">
      <c r="G207" t="e">
        <f>Tabla27[[#This Row],[Agrupación]]</f>
        <v>#VALUE!</v>
      </c>
      <c r="H207" t="e" cm="1">
        <f t="array" ref="H207">TRANSPOSE((_xlfn._xlws.FILTER(INDEX($C$6:$E$1000,,MATCH($G207,$C$5:$E$5,0)),INDEX($C$6:$E$1000,,MATCH($G207,$C$5:$E$5,0))&lt;&gt;"","No hay nada")))</f>
        <v>#VALUE!</v>
      </c>
    </row>
    <row r="208" spans="7:8" x14ac:dyDescent="0.2">
      <c r="G208" t="e">
        <f>Tabla27[[#This Row],[Agrupación]]</f>
        <v>#VALUE!</v>
      </c>
      <c r="H208" t="e" cm="1">
        <f t="array" ref="H208">TRANSPOSE((_xlfn._xlws.FILTER(INDEX($C$6:$E$1000,,MATCH($G208,$C$5:$E$5,0)),INDEX($C$6:$E$1000,,MATCH($G208,$C$5:$E$5,0))&lt;&gt;"","No hay nada")))</f>
        <v>#VALUE!</v>
      </c>
    </row>
    <row r="209" spans="7:8" x14ac:dyDescent="0.2">
      <c r="G209" t="e">
        <f>Tabla27[[#This Row],[Agrupación]]</f>
        <v>#VALUE!</v>
      </c>
      <c r="H209" t="e" cm="1">
        <f t="array" ref="H209">TRANSPOSE((_xlfn._xlws.FILTER(INDEX($C$6:$E$1000,,MATCH($G209,$C$5:$E$5,0)),INDEX($C$6:$E$1000,,MATCH($G209,$C$5:$E$5,0))&lt;&gt;"","No hay nada")))</f>
        <v>#VALUE!</v>
      </c>
    </row>
    <row r="210" spans="7:8" x14ac:dyDescent="0.2">
      <c r="G210" t="e">
        <f>Tabla27[[#This Row],[Agrupación]]</f>
        <v>#VALUE!</v>
      </c>
      <c r="H210" t="e" cm="1">
        <f t="array" ref="H210">TRANSPOSE((_xlfn._xlws.FILTER(INDEX($C$6:$E$1000,,MATCH($G210,$C$5:$E$5,0)),INDEX($C$6:$E$1000,,MATCH($G210,$C$5:$E$5,0))&lt;&gt;"","No hay nada")))</f>
        <v>#VALUE!</v>
      </c>
    </row>
    <row r="211" spans="7:8" x14ac:dyDescent="0.2">
      <c r="G211" t="e">
        <f>Tabla27[[#This Row],[Agrupación]]</f>
        <v>#VALUE!</v>
      </c>
      <c r="H211" t="e" cm="1">
        <f t="array" ref="H211">TRANSPOSE((_xlfn._xlws.FILTER(INDEX($C$6:$E$1000,,MATCH($G211,$C$5:$E$5,0)),INDEX($C$6:$E$1000,,MATCH($G211,$C$5:$E$5,0))&lt;&gt;"","No hay nada")))</f>
        <v>#VALUE!</v>
      </c>
    </row>
    <row r="212" spans="7:8" x14ac:dyDescent="0.2">
      <c r="G212" t="e">
        <f>Tabla27[[#This Row],[Agrupación]]</f>
        <v>#VALUE!</v>
      </c>
      <c r="H212" t="e" cm="1">
        <f t="array" ref="H212">TRANSPOSE((_xlfn._xlws.FILTER(INDEX($C$6:$E$1000,,MATCH($G212,$C$5:$E$5,0)),INDEX($C$6:$E$1000,,MATCH($G212,$C$5:$E$5,0))&lt;&gt;"","No hay nada")))</f>
        <v>#VALUE!</v>
      </c>
    </row>
    <row r="213" spans="7:8" x14ac:dyDescent="0.2">
      <c r="G213" t="e">
        <f>Tabla27[[#This Row],[Agrupación]]</f>
        <v>#VALUE!</v>
      </c>
      <c r="H213" t="e" cm="1">
        <f t="array" ref="H213">TRANSPOSE((_xlfn._xlws.FILTER(INDEX($C$6:$E$1000,,MATCH($G213,$C$5:$E$5,0)),INDEX($C$6:$E$1000,,MATCH($G213,$C$5:$E$5,0))&lt;&gt;"","No hay nada")))</f>
        <v>#VALUE!</v>
      </c>
    </row>
    <row r="214" spans="7:8" x14ac:dyDescent="0.2">
      <c r="G214" t="e">
        <f>Tabla27[[#This Row],[Agrupación]]</f>
        <v>#VALUE!</v>
      </c>
      <c r="H214" t="e" cm="1">
        <f t="array" ref="H214">TRANSPOSE((_xlfn._xlws.FILTER(INDEX($C$6:$E$1000,,MATCH($G214,$C$5:$E$5,0)),INDEX($C$6:$E$1000,,MATCH($G214,$C$5:$E$5,0))&lt;&gt;"","No hay nada")))</f>
        <v>#VALUE!</v>
      </c>
    </row>
    <row r="215" spans="7:8" x14ac:dyDescent="0.2">
      <c r="G215" t="e">
        <f>Tabla27[[#This Row],[Agrupación]]</f>
        <v>#VALUE!</v>
      </c>
      <c r="H215" t="e" cm="1">
        <f t="array" ref="H215">TRANSPOSE((_xlfn._xlws.FILTER(INDEX($C$6:$E$1000,,MATCH($G215,$C$5:$E$5,0)),INDEX($C$6:$E$1000,,MATCH($G215,$C$5:$E$5,0))&lt;&gt;"","No hay nada")))</f>
        <v>#VALUE!</v>
      </c>
    </row>
    <row r="216" spans="7:8" x14ac:dyDescent="0.2">
      <c r="G216" t="e">
        <f>Tabla27[[#This Row],[Agrupación]]</f>
        <v>#VALUE!</v>
      </c>
      <c r="H216" t="e" cm="1">
        <f t="array" ref="H216">TRANSPOSE((_xlfn._xlws.FILTER(INDEX($C$6:$E$1000,,MATCH($G216,$C$5:$E$5,0)),INDEX($C$6:$E$1000,,MATCH($G216,$C$5:$E$5,0))&lt;&gt;"","No hay nada")))</f>
        <v>#VALUE!</v>
      </c>
    </row>
    <row r="217" spans="7:8" x14ac:dyDescent="0.2">
      <c r="G217" t="e">
        <f>Tabla27[[#This Row],[Agrupación]]</f>
        <v>#VALUE!</v>
      </c>
      <c r="H217" t="e" cm="1">
        <f t="array" ref="H217">TRANSPOSE((_xlfn._xlws.FILTER(INDEX($C$6:$E$1000,,MATCH($G217,$C$5:$E$5,0)),INDEX($C$6:$E$1000,,MATCH($G217,$C$5:$E$5,0))&lt;&gt;"","No hay nada")))</f>
        <v>#VALUE!</v>
      </c>
    </row>
    <row r="218" spans="7:8" x14ac:dyDescent="0.2">
      <c r="G218" t="e">
        <f>Tabla27[[#This Row],[Agrupación]]</f>
        <v>#VALUE!</v>
      </c>
      <c r="H218" t="e" cm="1">
        <f t="array" ref="H218">TRANSPOSE((_xlfn._xlws.FILTER(INDEX($C$6:$E$1000,,MATCH($G218,$C$5:$E$5,0)),INDEX($C$6:$E$1000,,MATCH($G218,$C$5:$E$5,0))&lt;&gt;"","No hay nada")))</f>
        <v>#VALUE!</v>
      </c>
    </row>
    <row r="219" spans="7:8" x14ac:dyDescent="0.2">
      <c r="G219" t="e">
        <f>Tabla27[[#This Row],[Agrupación]]</f>
        <v>#VALUE!</v>
      </c>
      <c r="H219" t="e" cm="1">
        <f t="array" ref="H219">TRANSPOSE((_xlfn._xlws.FILTER(INDEX($C$6:$E$1000,,MATCH($G219,$C$5:$E$5,0)),INDEX($C$6:$E$1000,,MATCH($G219,$C$5:$E$5,0))&lt;&gt;"","No hay nada")))</f>
        <v>#VALUE!</v>
      </c>
    </row>
    <row r="220" spans="7:8" x14ac:dyDescent="0.2">
      <c r="G220" t="e">
        <f>Tabla27[[#This Row],[Agrupación]]</f>
        <v>#VALUE!</v>
      </c>
      <c r="H220" t="e" cm="1">
        <f t="array" ref="H220">TRANSPOSE((_xlfn._xlws.FILTER(INDEX($C$6:$E$1000,,MATCH($G220,$C$5:$E$5,0)),INDEX($C$6:$E$1000,,MATCH($G220,$C$5:$E$5,0))&lt;&gt;"","No hay nada")))</f>
        <v>#VALUE!</v>
      </c>
    </row>
    <row r="221" spans="7:8" x14ac:dyDescent="0.2">
      <c r="G221" t="e">
        <f>Tabla27[[#This Row],[Agrupación]]</f>
        <v>#VALUE!</v>
      </c>
      <c r="H221" t="e" cm="1">
        <f t="array" ref="H221">TRANSPOSE((_xlfn._xlws.FILTER(INDEX($C$6:$E$1000,,MATCH($G221,$C$5:$E$5,0)),INDEX($C$6:$E$1000,,MATCH($G221,$C$5:$E$5,0))&lt;&gt;"","No hay nada")))</f>
        <v>#VALUE!</v>
      </c>
    </row>
    <row r="222" spans="7:8" x14ac:dyDescent="0.2">
      <c r="G222" t="e">
        <f>Tabla27[[#This Row],[Agrupación]]</f>
        <v>#VALUE!</v>
      </c>
      <c r="H222" t="e" cm="1">
        <f t="array" ref="H222">TRANSPOSE((_xlfn._xlws.FILTER(INDEX($C$6:$E$1000,,MATCH($G222,$C$5:$E$5,0)),INDEX($C$6:$E$1000,,MATCH($G222,$C$5:$E$5,0))&lt;&gt;"","No hay nada")))</f>
        <v>#VALUE!</v>
      </c>
    </row>
    <row r="223" spans="7:8" x14ac:dyDescent="0.2">
      <c r="G223" t="e">
        <f>Tabla27[[#This Row],[Agrupación]]</f>
        <v>#VALUE!</v>
      </c>
      <c r="H223" t="e" cm="1">
        <f t="array" ref="H223">TRANSPOSE((_xlfn._xlws.FILTER(INDEX($C$6:$E$1000,,MATCH($G223,$C$5:$E$5,0)),INDEX($C$6:$E$1000,,MATCH($G223,$C$5:$E$5,0))&lt;&gt;"","No hay nada")))</f>
        <v>#VALUE!</v>
      </c>
    </row>
    <row r="224" spans="7:8" x14ac:dyDescent="0.2">
      <c r="G224" t="e">
        <f>Tabla27[[#This Row],[Agrupación]]</f>
        <v>#VALUE!</v>
      </c>
      <c r="H224" t="e" cm="1">
        <f t="array" ref="H224">TRANSPOSE((_xlfn._xlws.FILTER(INDEX($C$6:$E$1000,,MATCH($G224,$C$5:$E$5,0)),INDEX($C$6:$E$1000,,MATCH($G224,$C$5:$E$5,0))&lt;&gt;"","No hay nada")))</f>
        <v>#VALUE!</v>
      </c>
    </row>
    <row r="225" spans="7:8" x14ac:dyDescent="0.2">
      <c r="G225" t="e">
        <f>Tabla27[[#This Row],[Agrupación]]</f>
        <v>#VALUE!</v>
      </c>
      <c r="H225" t="e" cm="1">
        <f t="array" ref="H225">TRANSPOSE((_xlfn._xlws.FILTER(INDEX($C$6:$E$1000,,MATCH($G225,$C$5:$E$5,0)),INDEX($C$6:$E$1000,,MATCH($G225,$C$5:$E$5,0))&lt;&gt;"","No hay nada")))</f>
        <v>#VALUE!</v>
      </c>
    </row>
    <row r="226" spans="7:8" x14ac:dyDescent="0.2">
      <c r="G226" t="e">
        <f>Tabla27[[#This Row],[Agrupación]]</f>
        <v>#VALUE!</v>
      </c>
      <c r="H226" t="e" cm="1">
        <f t="array" ref="H226">TRANSPOSE((_xlfn._xlws.FILTER(INDEX($C$6:$E$1000,,MATCH($G226,$C$5:$E$5,0)),INDEX($C$6:$E$1000,,MATCH($G226,$C$5:$E$5,0))&lt;&gt;"","No hay nada")))</f>
        <v>#VALUE!</v>
      </c>
    </row>
    <row r="227" spans="7:8" x14ac:dyDescent="0.2">
      <c r="G227" t="e">
        <f>Tabla27[[#This Row],[Agrupación]]</f>
        <v>#VALUE!</v>
      </c>
      <c r="H227" t="e" cm="1">
        <f t="array" ref="H227">TRANSPOSE((_xlfn._xlws.FILTER(INDEX($C$6:$E$1000,,MATCH($G227,$C$5:$E$5,0)),INDEX($C$6:$E$1000,,MATCH($G227,$C$5:$E$5,0))&lt;&gt;"","No hay nada")))</f>
        <v>#VALUE!</v>
      </c>
    </row>
    <row r="228" spans="7:8" x14ac:dyDescent="0.2">
      <c r="G228" t="e">
        <f>Tabla27[[#This Row],[Agrupación]]</f>
        <v>#VALUE!</v>
      </c>
      <c r="H228" t="e" cm="1">
        <f t="array" ref="H228">TRANSPOSE((_xlfn._xlws.FILTER(INDEX($C$6:$E$1000,,MATCH($G228,$C$5:$E$5,0)),INDEX($C$6:$E$1000,,MATCH($G228,$C$5:$E$5,0))&lt;&gt;"","No hay nada")))</f>
        <v>#VALUE!</v>
      </c>
    </row>
    <row r="229" spans="7:8" x14ac:dyDescent="0.2">
      <c r="G229" t="e">
        <f>Tabla27[[#This Row],[Agrupación]]</f>
        <v>#VALUE!</v>
      </c>
      <c r="H229" t="e" cm="1">
        <f t="array" ref="H229">TRANSPOSE((_xlfn._xlws.FILTER(INDEX($C$6:$E$1000,,MATCH($G229,$C$5:$E$5,0)),INDEX($C$6:$E$1000,,MATCH($G229,$C$5:$E$5,0))&lt;&gt;"","No hay nada")))</f>
        <v>#VALUE!</v>
      </c>
    </row>
    <row r="230" spans="7:8" x14ac:dyDescent="0.2">
      <c r="G230" t="e">
        <f>Tabla27[[#This Row],[Agrupación]]</f>
        <v>#VALUE!</v>
      </c>
      <c r="H230" t="e" cm="1">
        <f t="array" ref="H230">TRANSPOSE((_xlfn._xlws.FILTER(INDEX($C$6:$E$1000,,MATCH($G230,$C$5:$E$5,0)),INDEX($C$6:$E$1000,,MATCH($G230,$C$5:$E$5,0))&lt;&gt;"","No hay nada")))</f>
        <v>#VALUE!</v>
      </c>
    </row>
    <row r="231" spans="7:8" x14ac:dyDescent="0.2">
      <c r="G231" t="e">
        <f>Tabla27[[#This Row],[Agrupación]]</f>
        <v>#VALUE!</v>
      </c>
      <c r="H231" t="e" cm="1">
        <f t="array" ref="H231">TRANSPOSE((_xlfn._xlws.FILTER(INDEX($C$6:$E$1000,,MATCH($G231,$C$5:$E$5,0)),INDEX($C$6:$E$1000,,MATCH($G231,$C$5:$E$5,0))&lt;&gt;"","No hay nada")))</f>
        <v>#VALUE!</v>
      </c>
    </row>
    <row r="232" spans="7:8" x14ac:dyDescent="0.2">
      <c r="G232" t="e">
        <f>Tabla27[[#This Row],[Agrupación]]</f>
        <v>#VALUE!</v>
      </c>
      <c r="H232" t="e" cm="1">
        <f t="array" ref="H232">TRANSPOSE((_xlfn._xlws.FILTER(INDEX($C$6:$E$1000,,MATCH($G232,$C$5:$E$5,0)),INDEX($C$6:$E$1000,,MATCH($G232,$C$5:$E$5,0))&lt;&gt;"","No hay nada")))</f>
        <v>#VALUE!</v>
      </c>
    </row>
    <row r="233" spans="7:8" x14ac:dyDescent="0.2">
      <c r="G233" t="e">
        <f>Tabla27[[#This Row],[Agrupación]]</f>
        <v>#VALUE!</v>
      </c>
      <c r="H233" t="e" cm="1">
        <f t="array" ref="H233">TRANSPOSE((_xlfn._xlws.FILTER(INDEX($C$6:$E$1000,,MATCH($G233,$C$5:$E$5,0)),INDEX($C$6:$E$1000,,MATCH($G233,$C$5:$E$5,0))&lt;&gt;"","No hay nada")))</f>
        <v>#VALUE!</v>
      </c>
    </row>
    <row r="234" spans="7:8" x14ac:dyDescent="0.2">
      <c r="G234" t="e">
        <f>Tabla27[[#This Row],[Agrupación]]</f>
        <v>#VALUE!</v>
      </c>
      <c r="H234" t="e" cm="1">
        <f t="array" ref="H234">TRANSPOSE((_xlfn._xlws.FILTER(INDEX($C$6:$E$1000,,MATCH($G234,$C$5:$E$5,0)),INDEX($C$6:$E$1000,,MATCH($G234,$C$5:$E$5,0))&lt;&gt;"","No hay nada")))</f>
        <v>#VALUE!</v>
      </c>
    </row>
    <row r="235" spans="7:8" x14ac:dyDescent="0.2">
      <c r="G235" t="e">
        <f>Tabla27[[#This Row],[Agrupación]]</f>
        <v>#VALUE!</v>
      </c>
      <c r="H235" t="e" cm="1">
        <f t="array" ref="H235">TRANSPOSE((_xlfn._xlws.FILTER(INDEX($C$6:$E$1000,,MATCH($G235,$C$5:$E$5,0)),INDEX($C$6:$E$1000,,MATCH($G235,$C$5:$E$5,0))&lt;&gt;"","No hay nada")))</f>
        <v>#VALUE!</v>
      </c>
    </row>
    <row r="236" spans="7:8" x14ac:dyDescent="0.2">
      <c r="G236" t="e">
        <f>Tabla27[[#This Row],[Agrupación]]</f>
        <v>#VALUE!</v>
      </c>
      <c r="H236" t="e" cm="1">
        <f t="array" ref="H236">TRANSPOSE((_xlfn._xlws.FILTER(INDEX($C$6:$E$1000,,MATCH($G236,$C$5:$E$5,0)),INDEX($C$6:$E$1000,,MATCH($G236,$C$5:$E$5,0))&lt;&gt;"","No hay nada")))</f>
        <v>#VALUE!</v>
      </c>
    </row>
    <row r="237" spans="7:8" x14ac:dyDescent="0.2">
      <c r="G237" t="e">
        <f>Tabla27[[#This Row],[Agrupación]]</f>
        <v>#VALUE!</v>
      </c>
      <c r="H237" t="e" cm="1">
        <f t="array" ref="H237">TRANSPOSE((_xlfn._xlws.FILTER(INDEX($C$6:$E$1000,,MATCH($G237,$C$5:$E$5,0)),INDEX($C$6:$E$1000,,MATCH($G237,$C$5:$E$5,0))&lt;&gt;"","No hay nada")))</f>
        <v>#VALUE!</v>
      </c>
    </row>
    <row r="238" spans="7:8" x14ac:dyDescent="0.2">
      <c r="G238" t="e">
        <f>Tabla27[[#This Row],[Agrupación]]</f>
        <v>#VALUE!</v>
      </c>
      <c r="H238" t="e" cm="1">
        <f t="array" ref="H238">TRANSPOSE((_xlfn._xlws.FILTER(INDEX($C$6:$E$1000,,MATCH($G238,$C$5:$E$5,0)),INDEX($C$6:$E$1000,,MATCH($G238,$C$5:$E$5,0))&lt;&gt;"","No hay nada")))</f>
        <v>#VALUE!</v>
      </c>
    </row>
    <row r="239" spans="7:8" x14ac:dyDescent="0.2">
      <c r="G239" t="e">
        <f>Tabla27[[#This Row],[Agrupación]]</f>
        <v>#VALUE!</v>
      </c>
      <c r="H239" t="e" cm="1">
        <f t="array" ref="H239">TRANSPOSE((_xlfn._xlws.FILTER(INDEX($C$6:$E$1000,,MATCH($G239,$C$5:$E$5,0)),INDEX($C$6:$E$1000,,MATCH($G239,$C$5:$E$5,0))&lt;&gt;"","No hay nada")))</f>
        <v>#VALUE!</v>
      </c>
    </row>
    <row r="240" spans="7:8" x14ac:dyDescent="0.2">
      <c r="G240" t="e">
        <f>Tabla27[[#This Row],[Agrupación]]</f>
        <v>#VALUE!</v>
      </c>
      <c r="H240" t="e" cm="1">
        <f t="array" ref="H240">TRANSPOSE((_xlfn._xlws.FILTER(INDEX($C$6:$E$1000,,MATCH($G240,$C$5:$E$5,0)),INDEX($C$6:$E$1000,,MATCH($G240,$C$5:$E$5,0))&lt;&gt;"","No hay nada")))</f>
        <v>#VALUE!</v>
      </c>
    </row>
    <row r="241" spans="7:8" x14ac:dyDescent="0.2">
      <c r="G241" t="e">
        <f>Tabla27[[#This Row],[Agrupación]]</f>
        <v>#VALUE!</v>
      </c>
      <c r="H241" t="e" cm="1">
        <f t="array" ref="H241">TRANSPOSE((_xlfn._xlws.FILTER(INDEX($C$6:$E$1000,,MATCH($G241,$C$5:$E$5,0)),INDEX($C$6:$E$1000,,MATCH($G241,$C$5:$E$5,0))&lt;&gt;"","No hay nada")))</f>
        <v>#VALUE!</v>
      </c>
    </row>
    <row r="242" spans="7:8" x14ac:dyDescent="0.2">
      <c r="G242" t="e">
        <f>Tabla27[[#This Row],[Agrupación]]</f>
        <v>#VALUE!</v>
      </c>
      <c r="H242" t="e" cm="1">
        <f t="array" ref="H242">TRANSPOSE((_xlfn._xlws.FILTER(INDEX($C$6:$E$1000,,MATCH($G242,$C$5:$E$5,0)),INDEX($C$6:$E$1000,,MATCH($G242,$C$5:$E$5,0))&lt;&gt;"","No hay nada")))</f>
        <v>#VALUE!</v>
      </c>
    </row>
    <row r="243" spans="7:8" x14ac:dyDescent="0.2">
      <c r="G243" t="e">
        <f>Tabla27[[#This Row],[Agrupación]]</f>
        <v>#VALUE!</v>
      </c>
      <c r="H243" t="e" cm="1">
        <f t="array" ref="H243">TRANSPOSE((_xlfn._xlws.FILTER(INDEX($C$6:$E$1000,,MATCH($G243,$C$5:$E$5,0)),INDEX($C$6:$E$1000,,MATCH($G243,$C$5:$E$5,0))&lt;&gt;"","No hay nada")))</f>
        <v>#VALUE!</v>
      </c>
    </row>
    <row r="244" spans="7:8" x14ac:dyDescent="0.2">
      <c r="G244" t="e">
        <f>Tabla27[[#This Row],[Agrupación]]</f>
        <v>#VALUE!</v>
      </c>
      <c r="H244" t="e" cm="1">
        <f t="array" ref="H244">TRANSPOSE((_xlfn._xlws.FILTER(INDEX($C$6:$E$1000,,MATCH($G244,$C$5:$E$5,0)),INDEX($C$6:$E$1000,,MATCH($G244,$C$5:$E$5,0))&lt;&gt;"","No hay nada")))</f>
        <v>#VALUE!</v>
      </c>
    </row>
    <row r="245" spans="7:8" x14ac:dyDescent="0.2">
      <c r="G245" t="e">
        <f>Tabla27[[#This Row],[Agrupación]]</f>
        <v>#VALUE!</v>
      </c>
      <c r="H245" t="e" cm="1">
        <f t="array" ref="H245">TRANSPOSE((_xlfn._xlws.FILTER(INDEX($C$6:$E$1000,,MATCH($G245,$C$5:$E$5,0)),INDEX($C$6:$E$1000,,MATCH($G245,$C$5:$E$5,0))&lt;&gt;"","No hay nada")))</f>
        <v>#VALUE!</v>
      </c>
    </row>
    <row r="246" spans="7:8" x14ac:dyDescent="0.2">
      <c r="G246" t="e">
        <f>Tabla27[[#This Row],[Agrupación]]</f>
        <v>#VALUE!</v>
      </c>
      <c r="H246" t="e" cm="1">
        <f t="array" ref="H246">TRANSPOSE((_xlfn._xlws.FILTER(INDEX($C$6:$E$1000,,MATCH($G246,$C$5:$E$5,0)),INDEX($C$6:$E$1000,,MATCH($G246,$C$5:$E$5,0))&lt;&gt;"","No hay nada")))</f>
        <v>#VALUE!</v>
      </c>
    </row>
    <row r="247" spans="7:8" x14ac:dyDescent="0.2">
      <c r="G247" t="e">
        <f>Tabla27[[#This Row],[Agrupación]]</f>
        <v>#VALUE!</v>
      </c>
      <c r="H247" t="e" cm="1">
        <f t="array" ref="H247">TRANSPOSE((_xlfn._xlws.FILTER(INDEX($C$6:$E$1000,,MATCH($G247,$C$5:$E$5,0)),INDEX($C$6:$E$1000,,MATCH($G247,$C$5:$E$5,0))&lt;&gt;"","No hay nada")))</f>
        <v>#VALUE!</v>
      </c>
    </row>
    <row r="248" spans="7:8" x14ac:dyDescent="0.2">
      <c r="G248" t="e">
        <f>Tabla27[[#This Row],[Agrupación]]</f>
        <v>#VALUE!</v>
      </c>
      <c r="H248" t="e" cm="1">
        <f t="array" ref="H248">TRANSPOSE((_xlfn._xlws.FILTER(INDEX($C$6:$E$1000,,MATCH($G248,$C$5:$E$5,0)),INDEX($C$6:$E$1000,,MATCH($G248,$C$5:$E$5,0))&lt;&gt;"","No hay nada")))</f>
        <v>#VALUE!</v>
      </c>
    </row>
    <row r="249" spans="7:8" x14ac:dyDescent="0.2">
      <c r="G249" t="e">
        <f>Tabla27[[#This Row],[Agrupación]]</f>
        <v>#VALUE!</v>
      </c>
      <c r="H249" t="e" cm="1">
        <f t="array" ref="H249">TRANSPOSE((_xlfn._xlws.FILTER(INDEX($C$6:$E$1000,,MATCH($G249,$C$5:$E$5,0)),INDEX($C$6:$E$1000,,MATCH($G249,$C$5:$E$5,0))&lt;&gt;"","No hay nada")))</f>
        <v>#VALUE!</v>
      </c>
    </row>
    <row r="250" spans="7:8" x14ac:dyDescent="0.2">
      <c r="G250" t="e">
        <f>Tabla27[[#This Row],[Agrupación]]</f>
        <v>#VALUE!</v>
      </c>
      <c r="H250" t="e" cm="1">
        <f t="array" ref="H250">TRANSPOSE((_xlfn._xlws.FILTER(INDEX($C$6:$E$1000,,MATCH($G250,$C$5:$E$5,0)),INDEX($C$6:$E$1000,,MATCH($G250,$C$5:$E$5,0))&lt;&gt;"","No hay nada")))</f>
        <v>#VALUE!</v>
      </c>
    </row>
    <row r="251" spans="7:8" x14ac:dyDescent="0.2">
      <c r="G251" t="e">
        <f>Tabla27[[#This Row],[Agrupación]]</f>
        <v>#VALUE!</v>
      </c>
      <c r="H251" t="e" cm="1">
        <f t="array" ref="H251">TRANSPOSE((_xlfn._xlws.FILTER(INDEX($C$6:$E$1000,,MATCH($G251,$C$5:$E$5,0)),INDEX($C$6:$E$1000,,MATCH($G251,$C$5:$E$5,0))&lt;&gt;"","No hay nada")))</f>
        <v>#VALUE!</v>
      </c>
    </row>
    <row r="252" spans="7:8" x14ac:dyDescent="0.2">
      <c r="G252" t="e">
        <f>Tabla27[[#This Row],[Agrupación]]</f>
        <v>#VALUE!</v>
      </c>
      <c r="H252" t="e" cm="1">
        <f t="array" ref="H252">TRANSPOSE((_xlfn._xlws.FILTER(INDEX($C$6:$E$1000,,MATCH($G252,$C$5:$E$5,0)),INDEX($C$6:$E$1000,,MATCH($G252,$C$5:$E$5,0))&lt;&gt;"","No hay nada")))</f>
        <v>#VALUE!</v>
      </c>
    </row>
    <row r="253" spans="7:8" x14ac:dyDescent="0.2">
      <c r="G253" t="e">
        <f>Tabla27[[#This Row],[Agrupación]]</f>
        <v>#VALUE!</v>
      </c>
      <c r="H253" t="e" cm="1">
        <f t="array" ref="H253">TRANSPOSE((_xlfn._xlws.FILTER(INDEX($C$6:$E$1000,,MATCH($G253,$C$5:$E$5,0)),INDEX($C$6:$E$1000,,MATCH($G253,$C$5:$E$5,0))&lt;&gt;"","No hay nada")))</f>
        <v>#VALUE!</v>
      </c>
    </row>
    <row r="254" spans="7:8" x14ac:dyDescent="0.2">
      <c r="G254" t="e">
        <f>Tabla27[[#This Row],[Agrupación]]</f>
        <v>#VALUE!</v>
      </c>
      <c r="H254" t="e" cm="1">
        <f t="array" ref="H254">TRANSPOSE((_xlfn._xlws.FILTER(INDEX($C$6:$E$1000,,MATCH($G254,$C$5:$E$5,0)),INDEX($C$6:$E$1000,,MATCH($G254,$C$5:$E$5,0))&lt;&gt;"","No hay nada")))</f>
        <v>#VALUE!</v>
      </c>
    </row>
    <row r="255" spans="7:8" x14ac:dyDescent="0.2">
      <c r="G255" t="e">
        <f>Tabla27[[#This Row],[Agrupación]]</f>
        <v>#VALUE!</v>
      </c>
      <c r="H255" t="e" cm="1">
        <f t="array" ref="H255">TRANSPOSE((_xlfn._xlws.FILTER(INDEX($C$6:$E$1000,,MATCH($G255,$C$5:$E$5,0)),INDEX($C$6:$E$1000,,MATCH($G255,$C$5:$E$5,0))&lt;&gt;"","No hay nada")))</f>
        <v>#VALUE!</v>
      </c>
    </row>
    <row r="256" spans="7:8" x14ac:dyDescent="0.2">
      <c r="G256" t="e">
        <f>Tabla27[[#This Row],[Agrupación]]</f>
        <v>#VALUE!</v>
      </c>
      <c r="H256" t="e" cm="1">
        <f t="array" ref="H256">TRANSPOSE((_xlfn._xlws.FILTER(INDEX($C$6:$E$1000,,MATCH($G256,$C$5:$E$5,0)),INDEX($C$6:$E$1000,,MATCH($G256,$C$5:$E$5,0))&lt;&gt;"","No hay nada")))</f>
        <v>#VALUE!</v>
      </c>
    </row>
    <row r="257" spans="7:8" x14ac:dyDescent="0.2">
      <c r="G257" t="e">
        <f>Tabla27[[#This Row],[Agrupación]]</f>
        <v>#VALUE!</v>
      </c>
      <c r="H257" t="e" cm="1">
        <f t="array" ref="H257">TRANSPOSE((_xlfn._xlws.FILTER(INDEX($C$6:$E$1000,,MATCH($G257,$C$5:$E$5,0)),INDEX($C$6:$E$1000,,MATCH($G257,$C$5:$E$5,0))&lt;&gt;"","No hay nada")))</f>
        <v>#VALUE!</v>
      </c>
    </row>
    <row r="258" spans="7:8" x14ac:dyDescent="0.2">
      <c r="G258" t="e">
        <f>Tabla27[[#This Row],[Agrupación]]</f>
        <v>#VALUE!</v>
      </c>
      <c r="H258" t="e" cm="1">
        <f t="array" ref="H258">TRANSPOSE((_xlfn._xlws.FILTER(INDEX($C$6:$E$1000,,MATCH($G258,$C$5:$E$5,0)),INDEX($C$6:$E$1000,,MATCH($G258,$C$5:$E$5,0))&lt;&gt;"","No hay nada")))</f>
        <v>#VALUE!</v>
      </c>
    </row>
    <row r="259" spans="7:8" x14ac:dyDescent="0.2">
      <c r="G259" t="e">
        <f>Tabla27[[#This Row],[Agrupación]]</f>
        <v>#VALUE!</v>
      </c>
      <c r="H259" t="e" cm="1">
        <f t="array" ref="H259">TRANSPOSE((_xlfn._xlws.FILTER(INDEX($C$6:$E$1000,,MATCH($G259,$C$5:$E$5,0)),INDEX($C$6:$E$1000,,MATCH($G259,$C$5:$E$5,0))&lt;&gt;"","No hay nada")))</f>
        <v>#VALUE!</v>
      </c>
    </row>
    <row r="260" spans="7:8" x14ac:dyDescent="0.2">
      <c r="G260" t="e">
        <f>Tabla27[[#This Row],[Agrupación]]</f>
        <v>#VALUE!</v>
      </c>
      <c r="H260" t="e" cm="1">
        <f t="array" ref="H260">TRANSPOSE((_xlfn._xlws.FILTER(INDEX($C$6:$E$1000,,MATCH($G260,$C$5:$E$5,0)),INDEX($C$6:$E$1000,,MATCH($G260,$C$5:$E$5,0))&lt;&gt;"","No hay nada")))</f>
        <v>#VALUE!</v>
      </c>
    </row>
    <row r="261" spans="7:8" x14ac:dyDescent="0.2">
      <c r="G261" t="e">
        <f>Tabla27[[#This Row],[Agrupación]]</f>
        <v>#VALUE!</v>
      </c>
      <c r="H261" t="e" cm="1">
        <f t="array" ref="H261">TRANSPOSE((_xlfn._xlws.FILTER(INDEX($C$6:$E$1000,,MATCH($G261,$C$5:$E$5,0)),INDEX($C$6:$E$1000,,MATCH($G261,$C$5:$E$5,0))&lt;&gt;"","No hay nada")))</f>
        <v>#VALUE!</v>
      </c>
    </row>
    <row r="262" spans="7:8" x14ac:dyDescent="0.2">
      <c r="G262" t="e">
        <f>Tabla27[[#This Row],[Agrupación]]</f>
        <v>#VALUE!</v>
      </c>
      <c r="H262" t="e" cm="1">
        <f t="array" ref="H262">TRANSPOSE((_xlfn._xlws.FILTER(INDEX($C$6:$E$1000,,MATCH($G262,$C$5:$E$5,0)),INDEX($C$6:$E$1000,,MATCH($G262,$C$5:$E$5,0))&lt;&gt;"","No hay nada")))</f>
        <v>#VALUE!</v>
      </c>
    </row>
    <row r="263" spans="7:8" x14ac:dyDescent="0.2">
      <c r="G263" t="e">
        <f>Tabla27[[#This Row],[Agrupación]]</f>
        <v>#VALUE!</v>
      </c>
      <c r="H263" t="e" cm="1">
        <f t="array" ref="H263">TRANSPOSE((_xlfn._xlws.FILTER(INDEX($C$6:$E$1000,,MATCH($G263,$C$5:$E$5,0)),INDEX($C$6:$E$1000,,MATCH($G263,$C$5:$E$5,0))&lt;&gt;"","No hay nada")))</f>
        <v>#VALUE!</v>
      </c>
    </row>
    <row r="264" spans="7:8" x14ac:dyDescent="0.2">
      <c r="G264" t="e">
        <f>Tabla27[[#This Row],[Agrupación]]</f>
        <v>#VALUE!</v>
      </c>
      <c r="H264" t="e" cm="1">
        <f t="array" ref="H264">TRANSPOSE((_xlfn._xlws.FILTER(INDEX($C$6:$E$1000,,MATCH($G264,$C$5:$E$5,0)),INDEX($C$6:$E$1000,,MATCH($G264,$C$5:$E$5,0))&lt;&gt;"","No hay nada")))</f>
        <v>#VALUE!</v>
      </c>
    </row>
    <row r="265" spans="7:8" x14ac:dyDescent="0.2">
      <c r="G265" t="e">
        <f>Tabla27[[#This Row],[Agrupación]]</f>
        <v>#VALUE!</v>
      </c>
      <c r="H265" t="e" cm="1">
        <f t="array" ref="H265">TRANSPOSE((_xlfn._xlws.FILTER(INDEX($C$6:$E$1000,,MATCH($G265,$C$5:$E$5,0)),INDEX($C$6:$E$1000,,MATCH($G265,$C$5:$E$5,0))&lt;&gt;"","No hay nada")))</f>
        <v>#VALUE!</v>
      </c>
    </row>
    <row r="266" spans="7:8" x14ac:dyDescent="0.2">
      <c r="G266" t="e">
        <f>Tabla27[[#This Row],[Agrupación]]</f>
        <v>#VALUE!</v>
      </c>
      <c r="H266" t="e" cm="1">
        <f t="array" ref="H266">TRANSPOSE((_xlfn._xlws.FILTER(INDEX($C$6:$E$1000,,MATCH($G266,$C$5:$E$5,0)),INDEX($C$6:$E$1000,,MATCH($G266,$C$5:$E$5,0))&lt;&gt;"","No hay nada")))</f>
        <v>#VALUE!</v>
      </c>
    </row>
    <row r="267" spans="7:8" x14ac:dyDescent="0.2">
      <c r="G267" t="e">
        <f>Tabla27[[#This Row],[Agrupación]]</f>
        <v>#VALUE!</v>
      </c>
      <c r="H267" t="e" cm="1">
        <f t="array" ref="H267">TRANSPOSE((_xlfn._xlws.FILTER(INDEX($C$6:$E$1000,,MATCH($G267,$C$5:$E$5,0)),INDEX($C$6:$E$1000,,MATCH($G267,$C$5:$E$5,0))&lt;&gt;"","No hay nada")))</f>
        <v>#VALUE!</v>
      </c>
    </row>
    <row r="268" spans="7:8" x14ac:dyDescent="0.2">
      <c r="G268" t="e">
        <f>Tabla27[[#This Row],[Agrupación]]</f>
        <v>#VALUE!</v>
      </c>
      <c r="H268" t="e" cm="1">
        <f t="array" ref="H268">TRANSPOSE((_xlfn._xlws.FILTER(INDEX($C$6:$E$1000,,MATCH($G268,$C$5:$E$5,0)),INDEX($C$6:$E$1000,,MATCH($G268,$C$5:$E$5,0))&lt;&gt;"","No hay nada")))</f>
        <v>#VALUE!</v>
      </c>
    </row>
    <row r="269" spans="7:8" x14ac:dyDescent="0.2">
      <c r="G269" t="e">
        <f>Tabla27[[#This Row],[Agrupación]]</f>
        <v>#VALUE!</v>
      </c>
      <c r="H269" t="e" cm="1">
        <f t="array" ref="H269">TRANSPOSE((_xlfn._xlws.FILTER(INDEX($C$6:$E$1000,,MATCH($G269,$C$5:$E$5,0)),INDEX($C$6:$E$1000,,MATCH($G269,$C$5:$E$5,0))&lt;&gt;"","No hay nada")))</f>
        <v>#VALUE!</v>
      </c>
    </row>
    <row r="270" spans="7:8" x14ac:dyDescent="0.2">
      <c r="G270" t="e">
        <f>Tabla27[[#This Row],[Agrupación]]</f>
        <v>#VALUE!</v>
      </c>
      <c r="H270" t="e" cm="1">
        <f t="array" ref="H270">TRANSPOSE((_xlfn._xlws.FILTER(INDEX($C$6:$E$1000,,MATCH($G270,$C$5:$E$5,0)),INDEX($C$6:$E$1000,,MATCH($G270,$C$5:$E$5,0))&lt;&gt;"","No hay nada")))</f>
        <v>#VALUE!</v>
      </c>
    </row>
    <row r="271" spans="7:8" x14ac:dyDescent="0.2">
      <c r="G271" t="e">
        <f>Tabla27[[#This Row],[Agrupación]]</f>
        <v>#VALUE!</v>
      </c>
      <c r="H271" t="e" cm="1">
        <f t="array" ref="H271">TRANSPOSE((_xlfn._xlws.FILTER(INDEX($C$6:$E$1000,,MATCH($G271,$C$5:$E$5,0)),INDEX($C$6:$E$1000,,MATCH($G271,$C$5:$E$5,0))&lt;&gt;"","No hay nada")))</f>
        <v>#VALUE!</v>
      </c>
    </row>
    <row r="272" spans="7:8" x14ac:dyDescent="0.2">
      <c r="G272" t="e">
        <f>Tabla27[[#This Row],[Agrupación]]</f>
        <v>#VALUE!</v>
      </c>
      <c r="H272" t="e" cm="1">
        <f t="array" ref="H272">TRANSPOSE((_xlfn._xlws.FILTER(INDEX($C$6:$E$1000,,MATCH($G272,$C$5:$E$5,0)),INDEX($C$6:$E$1000,,MATCH($G272,$C$5:$E$5,0))&lt;&gt;"","No hay nada")))</f>
        <v>#VALUE!</v>
      </c>
    </row>
    <row r="273" spans="7:8" x14ac:dyDescent="0.2">
      <c r="G273" t="e">
        <f>Tabla27[[#This Row],[Agrupación]]</f>
        <v>#VALUE!</v>
      </c>
      <c r="H273" t="e" cm="1">
        <f t="array" ref="H273">TRANSPOSE((_xlfn._xlws.FILTER(INDEX($C$6:$E$1000,,MATCH($G273,$C$5:$E$5,0)),INDEX($C$6:$E$1000,,MATCH($G273,$C$5:$E$5,0))&lt;&gt;"","No hay nada")))</f>
        <v>#VALUE!</v>
      </c>
    </row>
    <row r="274" spans="7:8" x14ac:dyDescent="0.2">
      <c r="G274" t="e">
        <f>Tabla27[[#This Row],[Agrupación]]</f>
        <v>#VALUE!</v>
      </c>
      <c r="H274" t="e" cm="1">
        <f t="array" ref="H274">TRANSPOSE((_xlfn._xlws.FILTER(INDEX($C$6:$E$1000,,MATCH($G274,$C$5:$E$5,0)),INDEX($C$6:$E$1000,,MATCH($G274,$C$5:$E$5,0))&lt;&gt;"","No hay nada")))</f>
        <v>#VALUE!</v>
      </c>
    </row>
    <row r="275" spans="7:8" x14ac:dyDescent="0.2">
      <c r="G275" t="e">
        <f>Tabla27[[#This Row],[Agrupación]]</f>
        <v>#VALUE!</v>
      </c>
      <c r="H275" t="e" cm="1">
        <f t="array" ref="H275">TRANSPOSE((_xlfn._xlws.FILTER(INDEX($C$6:$E$1000,,MATCH($G275,$C$5:$E$5,0)),INDEX($C$6:$E$1000,,MATCH($G275,$C$5:$E$5,0))&lt;&gt;"","No hay nada")))</f>
        <v>#VALUE!</v>
      </c>
    </row>
    <row r="276" spans="7:8" x14ac:dyDescent="0.2">
      <c r="G276" t="e">
        <f>Tabla27[[#This Row],[Agrupación]]</f>
        <v>#VALUE!</v>
      </c>
      <c r="H276" t="e" cm="1">
        <f t="array" ref="H276">TRANSPOSE((_xlfn._xlws.FILTER(INDEX($C$6:$E$1000,,MATCH($G276,$C$5:$E$5,0)),INDEX($C$6:$E$1000,,MATCH($G276,$C$5:$E$5,0))&lt;&gt;"","No hay nada")))</f>
        <v>#VALUE!</v>
      </c>
    </row>
    <row r="277" spans="7:8" x14ac:dyDescent="0.2">
      <c r="G277" t="e">
        <f>Tabla27[[#This Row],[Agrupación]]</f>
        <v>#VALUE!</v>
      </c>
      <c r="H277" t="e" cm="1">
        <f t="array" ref="H277">TRANSPOSE((_xlfn._xlws.FILTER(INDEX($C$6:$E$1000,,MATCH($G277,$C$5:$E$5,0)),INDEX($C$6:$E$1000,,MATCH($G277,$C$5:$E$5,0))&lt;&gt;"","No hay nada")))</f>
        <v>#VALUE!</v>
      </c>
    </row>
    <row r="278" spans="7:8" x14ac:dyDescent="0.2">
      <c r="G278" t="e">
        <f>Tabla27[[#This Row],[Agrupación]]</f>
        <v>#VALUE!</v>
      </c>
      <c r="H278" t="e" cm="1">
        <f t="array" ref="H278">TRANSPOSE((_xlfn._xlws.FILTER(INDEX($C$6:$E$1000,,MATCH($G278,$C$5:$E$5,0)),INDEX($C$6:$E$1000,,MATCH($G278,$C$5:$E$5,0))&lt;&gt;"","No hay nada")))</f>
        <v>#VALUE!</v>
      </c>
    </row>
    <row r="279" spans="7:8" x14ac:dyDescent="0.2">
      <c r="G279" t="e">
        <f>Tabla27[[#This Row],[Agrupación]]</f>
        <v>#VALUE!</v>
      </c>
      <c r="H279" t="e" cm="1">
        <f t="array" ref="H279">TRANSPOSE((_xlfn._xlws.FILTER(INDEX($C$6:$E$1000,,MATCH($G279,$C$5:$E$5,0)),INDEX($C$6:$E$1000,,MATCH($G279,$C$5:$E$5,0))&lt;&gt;"","No hay nada")))</f>
        <v>#VALUE!</v>
      </c>
    </row>
    <row r="280" spans="7:8" x14ac:dyDescent="0.2">
      <c r="G280" t="e">
        <f>Tabla27[[#This Row],[Agrupación]]</f>
        <v>#VALUE!</v>
      </c>
      <c r="H280" t="e" cm="1">
        <f t="array" ref="H280">TRANSPOSE((_xlfn._xlws.FILTER(INDEX($C$6:$E$1000,,MATCH($G280,$C$5:$E$5,0)),INDEX($C$6:$E$1000,,MATCH($G280,$C$5:$E$5,0))&lt;&gt;"","No hay nada")))</f>
        <v>#VALUE!</v>
      </c>
    </row>
    <row r="281" spans="7:8" x14ac:dyDescent="0.2">
      <c r="G281" t="e">
        <f>Tabla27[[#This Row],[Agrupación]]</f>
        <v>#VALUE!</v>
      </c>
      <c r="H281" t="e" cm="1">
        <f t="array" ref="H281">TRANSPOSE((_xlfn._xlws.FILTER(INDEX($C$6:$E$1000,,MATCH($G281,$C$5:$E$5,0)),INDEX($C$6:$E$1000,,MATCH($G281,$C$5:$E$5,0))&lt;&gt;"","No hay nada")))</f>
        <v>#VALUE!</v>
      </c>
    </row>
    <row r="282" spans="7:8" x14ac:dyDescent="0.2">
      <c r="G282" t="e">
        <f>Tabla27[[#This Row],[Agrupación]]</f>
        <v>#VALUE!</v>
      </c>
      <c r="H282" t="e" cm="1">
        <f t="array" ref="H282">TRANSPOSE((_xlfn._xlws.FILTER(INDEX($C$6:$E$1000,,MATCH($G282,$C$5:$E$5,0)),INDEX($C$6:$E$1000,,MATCH($G282,$C$5:$E$5,0))&lt;&gt;"","No hay nada")))</f>
        <v>#VALUE!</v>
      </c>
    </row>
    <row r="283" spans="7:8" x14ac:dyDescent="0.2">
      <c r="G283" t="e">
        <f>Tabla27[[#This Row],[Agrupación]]</f>
        <v>#VALUE!</v>
      </c>
      <c r="H283" t="e" cm="1">
        <f t="array" ref="H283">TRANSPOSE((_xlfn._xlws.FILTER(INDEX($C$6:$E$1000,,MATCH($G283,$C$5:$E$5,0)),INDEX($C$6:$E$1000,,MATCH($G283,$C$5:$E$5,0))&lt;&gt;"","No hay nada")))</f>
        <v>#VALUE!</v>
      </c>
    </row>
    <row r="284" spans="7:8" x14ac:dyDescent="0.2">
      <c r="G284" t="e">
        <f>Tabla27[[#This Row],[Agrupación]]</f>
        <v>#VALUE!</v>
      </c>
      <c r="H284" t="e" cm="1">
        <f t="array" ref="H284">TRANSPOSE((_xlfn._xlws.FILTER(INDEX($C$6:$E$1000,,MATCH($G284,$C$5:$E$5,0)),INDEX($C$6:$E$1000,,MATCH($G284,$C$5:$E$5,0))&lt;&gt;"","No hay nada")))</f>
        <v>#VALUE!</v>
      </c>
    </row>
    <row r="285" spans="7:8" x14ac:dyDescent="0.2">
      <c r="G285" t="e">
        <f>Tabla27[[#This Row],[Agrupación]]</f>
        <v>#VALUE!</v>
      </c>
      <c r="H285" t="e" cm="1">
        <f t="array" ref="H285">TRANSPOSE((_xlfn._xlws.FILTER(INDEX($C$6:$E$1000,,MATCH($G285,$C$5:$E$5,0)),INDEX($C$6:$E$1000,,MATCH($G285,$C$5:$E$5,0))&lt;&gt;"","No hay nada")))</f>
        <v>#VALUE!</v>
      </c>
    </row>
    <row r="286" spans="7:8" x14ac:dyDescent="0.2">
      <c r="G286" t="e">
        <f>Tabla27[[#This Row],[Agrupación]]</f>
        <v>#VALUE!</v>
      </c>
      <c r="H286" t="e" cm="1">
        <f t="array" ref="H286">TRANSPOSE((_xlfn._xlws.FILTER(INDEX($C$6:$E$1000,,MATCH($G286,$C$5:$E$5,0)),INDEX($C$6:$E$1000,,MATCH($G286,$C$5:$E$5,0))&lt;&gt;"","No hay nada")))</f>
        <v>#VALUE!</v>
      </c>
    </row>
    <row r="287" spans="7:8" x14ac:dyDescent="0.2">
      <c r="G287" t="e">
        <f>Tabla27[[#This Row],[Agrupación]]</f>
        <v>#VALUE!</v>
      </c>
      <c r="H287" t="e" cm="1">
        <f t="array" ref="H287">TRANSPOSE((_xlfn._xlws.FILTER(INDEX($C$6:$E$1000,,MATCH($G287,$C$5:$E$5,0)),INDEX($C$6:$E$1000,,MATCH($G287,$C$5:$E$5,0))&lt;&gt;"","No hay nada")))</f>
        <v>#VALUE!</v>
      </c>
    </row>
    <row r="288" spans="7:8" x14ac:dyDescent="0.2">
      <c r="G288" t="e">
        <f>Tabla27[[#This Row],[Agrupación]]</f>
        <v>#VALUE!</v>
      </c>
      <c r="H288" t="e" cm="1">
        <f t="array" ref="H288">TRANSPOSE((_xlfn._xlws.FILTER(INDEX($C$6:$E$1000,,MATCH($G288,$C$5:$E$5,0)),INDEX($C$6:$E$1000,,MATCH($G288,$C$5:$E$5,0))&lt;&gt;"","No hay nada")))</f>
        <v>#VALUE!</v>
      </c>
    </row>
    <row r="289" spans="7:8" x14ac:dyDescent="0.2">
      <c r="G289" t="e">
        <f>Tabla27[[#This Row],[Agrupación]]</f>
        <v>#VALUE!</v>
      </c>
      <c r="H289" t="e" cm="1">
        <f t="array" ref="H289">TRANSPOSE((_xlfn._xlws.FILTER(INDEX($C$6:$E$1000,,MATCH($G289,$C$5:$E$5,0)),INDEX($C$6:$E$1000,,MATCH($G289,$C$5:$E$5,0))&lt;&gt;"","No hay nada")))</f>
        <v>#VALUE!</v>
      </c>
    </row>
    <row r="290" spans="7:8" x14ac:dyDescent="0.2">
      <c r="G290" t="e">
        <f>Tabla27[[#This Row],[Agrupación]]</f>
        <v>#VALUE!</v>
      </c>
      <c r="H290" t="e" cm="1">
        <f t="array" ref="H290">TRANSPOSE((_xlfn._xlws.FILTER(INDEX($C$6:$E$1000,,MATCH($G290,$C$5:$E$5,0)),INDEX($C$6:$E$1000,,MATCH($G290,$C$5:$E$5,0))&lt;&gt;"","No hay nada")))</f>
        <v>#VALUE!</v>
      </c>
    </row>
    <row r="291" spans="7:8" x14ac:dyDescent="0.2">
      <c r="G291" t="e">
        <f>Tabla27[[#This Row],[Agrupación]]</f>
        <v>#VALUE!</v>
      </c>
      <c r="H291" t="e" cm="1">
        <f t="array" ref="H291">TRANSPOSE((_xlfn._xlws.FILTER(INDEX($C$6:$E$1000,,MATCH($G291,$C$5:$E$5,0)),INDEX($C$6:$E$1000,,MATCH($G291,$C$5:$E$5,0))&lt;&gt;"","No hay nada")))</f>
        <v>#VALUE!</v>
      </c>
    </row>
    <row r="292" spans="7:8" x14ac:dyDescent="0.2">
      <c r="G292" t="e">
        <f>Tabla27[[#This Row],[Agrupación]]</f>
        <v>#VALUE!</v>
      </c>
      <c r="H292" t="e" cm="1">
        <f t="array" ref="H292">TRANSPOSE((_xlfn._xlws.FILTER(INDEX($C$6:$E$1000,,MATCH($G292,$C$5:$E$5,0)),INDEX($C$6:$E$1000,,MATCH($G292,$C$5:$E$5,0))&lt;&gt;"","No hay nada")))</f>
        <v>#VALUE!</v>
      </c>
    </row>
    <row r="293" spans="7:8" x14ac:dyDescent="0.2">
      <c r="G293" t="e">
        <f>Tabla27[[#This Row],[Agrupación]]</f>
        <v>#VALUE!</v>
      </c>
      <c r="H293" t="e" cm="1">
        <f t="array" ref="H293">TRANSPOSE((_xlfn._xlws.FILTER(INDEX($C$6:$E$1000,,MATCH($G293,$C$5:$E$5,0)),INDEX($C$6:$E$1000,,MATCH($G293,$C$5:$E$5,0))&lt;&gt;"","No hay nada")))</f>
        <v>#VALUE!</v>
      </c>
    </row>
    <row r="294" spans="7:8" x14ac:dyDescent="0.2">
      <c r="G294" t="e">
        <f>Tabla27[[#This Row],[Agrupación]]</f>
        <v>#VALUE!</v>
      </c>
      <c r="H294" t="e" cm="1">
        <f t="array" ref="H294">TRANSPOSE((_xlfn._xlws.FILTER(INDEX($C$6:$E$1000,,MATCH($G294,$C$5:$E$5,0)),INDEX($C$6:$E$1000,,MATCH($G294,$C$5:$E$5,0))&lt;&gt;"","No hay nada")))</f>
        <v>#VALUE!</v>
      </c>
    </row>
    <row r="295" spans="7:8" x14ac:dyDescent="0.2">
      <c r="G295" t="e">
        <f>Tabla27[[#This Row],[Agrupación]]</f>
        <v>#VALUE!</v>
      </c>
      <c r="H295" t="e" cm="1">
        <f t="array" ref="H295">TRANSPOSE((_xlfn._xlws.FILTER(INDEX($C$6:$E$1000,,MATCH($G295,$C$5:$E$5,0)),INDEX($C$6:$E$1000,,MATCH($G295,$C$5:$E$5,0))&lt;&gt;"","No hay nada")))</f>
        <v>#VALUE!</v>
      </c>
    </row>
    <row r="296" spans="7:8" x14ac:dyDescent="0.2">
      <c r="G296" t="e">
        <f>Tabla27[[#This Row],[Agrupación]]</f>
        <v>#VALUE!</v>
      </c>
      <c r="H296" t="e" cm="1">
        <f t="array" ref="H296">TRANSPOSE((_xlfn._xlws.FILTER(INDEX($C$6:$E$1000,,MATCH($G296,$C$5:$E$5,0)),INDEX($C$6:$E$1000,,MATCH($G296,$C$5:$E$5,0))&lt;&gt;"","No hay nada")))</f>
        <v>#VALUE!</v>
      </c>
    </row>
    <row r="297" spans="7:8" x14ac:dyDescent="0.2">
      <c r="G297" t="e">
        <f>Tabla27[[#This Row],[Agrupación]]</f>
        <v>#VALUE!</v>
      </c>
      <c r="H297" t="e" cm="1">
        <f t="array" ref="H297">TRANSPOSE((_xlfn._xlws.FILTER(INDEX($C$6:$E$1000,,MATCH($G297,$C$5:$E$5,0)),INDEX($C$6:$E$1000,,MATCH($G297,$C$5:$E$5,0))&lt;&gt;"","No hay nada")))</f>
        <v>#VALUE!</v>
      </c>
    </row>
    <row r="298" spans="7:8" x14ac:dyDescent="0.2">
      <c r="G298" t="e">
        <f>Tabla27[[#This Row],[Agrupación]]</f>
        <v>#VALUE!</v>
      </c>
      <c r="H298" t="e" cm="1">
        <f t="array" ref="H298">TRANSPOSE((_xlfn._xlws.FILTER(INDEX($C$6:$E$1000,,MATCH($G298,$C$5:$E$5,0)),INDEX($C$6:$E$1000,,MATCH($G298,$C$5:$E$5,0))&lt;&gt;"","No hay nada")))</f>
        <v>#VALUE!</v>
      </c>
    </row>
    <row r="299" spans="7:8" x14ac:dyDescent="0.2">
      <c r="G299" t="e">
        <f>Tabla27[[#This Row],[Agrupación]]</f>
        <v>#VALUE!</v>
      </c>
      <c r="H299" t="e" cm="1">
        <f t="array" ref="H299">TRANSPOSE((_xlfn._xlws.FILTER(INDEX($C$6:$E$1000,,MATCH($G299,$C$5:$E$5,0)),INDEX($C$6:$E$1000,,MATCH($G299,$C$5:$E$5,0))&lt;&gt;"","No hay nada")))</f>
        <v>#VALUE!</v>
      </c>
    </row>
    <row r="300" spans="7:8" x14ac:dyDescent="0.2">
      <c r="G300" t="e">
        <f>Tabla27[[#This Row],[Agrupación]]</f>
        <v>#VALUE!</v>
      </c>
      <c r="H300" t="e" cm="1">
        <f t="array" ref="H300">TRANSPOSE((_xlfn._xlws.FILTER(INDEX($C$6:$E$1000,,MATCH($G300,$C$5:$E$5,0)),INDEX($C$6:$E$1000,,MATCH($G300,$C$5:$E$5,0))&lt;&gt;"","No hay nada")))</f>
        <v>#VALUE!</v>
      </c>
    </row>
    <row r="301" spans="7:8" x14ac:dyDescent="0.2">
      <c r="G301" t="e">
        <f>Tabla27[[#This Row],[Agrupación]]</f>
        <v>#VALUE!</v>
      </c>
      <c r="H301" t="e" cm="1">
        <f t="array" ref="H301">TRANSPOSE((_xlfn._xlws.FILTER(INDEX($C$6:$E$1000,,MATCH($G301,$C$5:$E$5,0)),INDEX($C$6:$E$1000,,MATCH($G301,$C$5:$E$5,0))&lt;&gt;"","No hay nada")))</f>
        <v>#VALUE!</v>
      </c>
    </row>
    <row r="302" spans="7:8" x14ac:dyDescent="0.2">
      <c r="G302" t="e">
        <f>Tabla27[[#This Row],[Agrupación]]</f>
        <v>#VALUE!</v>
      </c>
      <c r="H302" t="e" cm="1">
        <f t="array" ref="H302">TRANSPOSE((_xlfn._xlws.FILTER(INDEX($C$6:$E$1000,,MATCH($G302,$C$5:$E$5,0)),INDEX($C$6:$E$1000,,MATCH($G302,$C$5:$E$5,0))&lt;&gt;"","No hay nada")))</f>
        <v>#VALUE!</v>
      </c>
    </row>
    <row r="303" spans="7:8" x14ac:dyDescent="0.2">
      <c r="G303" t="e">
        <f>Tabla27[[#This Row],[Agrupación]]</f>
        <v>#VALUE!</v>
      </c>
      <c r="H303" t="e" cm="1">
        <f t="array" ref="H303">TRANSPOSE((_xlfn._xlws.FILTER(INDEX($C$6:$E$1000,,MATCH($G303,$C$5:$E$5,0)),INDEX($C$6:$E$1000,,MATCH($G303,$C$5:$E$5,0))&lt;&gt;"","No hay nada")))</f>
        <v>#VALUE!</v>
      </c>
    </row>
    <row r="304" spans="7:8" x14ac:dyDescent="0.2">
      <c r="G304" t="e">
        <f>Tabla27[[#This Row],[Agrupación]]</f>
        <v>#VALUE!</v>
      </c>
      <c r="H304" t="e" cm="1">
        <f t="array" ref="H304">TRANSPOSE((_xlfn._xlws.FILTER(INDEX($C$6:$E$1000,,MATCH($G304,$C$5:$E$5,0)),INDEX($C$6:$E$1000,,MATCH($G304,$C$5:$E$5,0))&lt;&gt;"","No hay nada")))</f>
        <v>#VALUE!</v>
      </c>
    </row>
    <row r="305" spans="7:8" x14ac:dyDescent="0.2">
      <c r="G305" t="e">
        <f>Tabla27[[#This Row],[Agrupación]]</f>
        <v>#VALUE!</v>
      </c>
      <c r="H305" t="e" cm="1">
        <f t="array" ref="H305">TRANSPOSE((_xlfn._xlws.FILTER(INDEX($C$6:$E$1000,,MATCH($G305,$C$5:$E$5,0)),INDEX($C$6:$E$1000,,MATCH($G305,$C$5:$E$5,0))&lt;&gt;"","No hay nada")))</f>
        <v>#VALUE!</v>
      </c>
    </row>
    <row r="306" spans="7:8" x14ac:dyDescent="0.2">
      <c r="G306" t="e">
        <f>Tabla27[[#This Row],[Agrupación]]</f>
        <v>#VALUE!</v>
      </c>
      <c r="H306" t="e" cm="1">
        <f t="array" ref="H306">TRANSPOSE((_xlfn._xlws.FILTER(INDEX($C$6:$E$1000,,MATCH($G306,$C$5:$E$5,0)),INDEX($C$6:$E$1000,,MATCH($G306,$C$5:$E$5,0))&lt;&gt;"","No hay nada")))</f>
        <v>#VALUE!</v>
      </c>
    </row>
    <row r="307" spans="7:8" x14ac:dyDescent="0.2">
      <c r="G307" t="e">
        <f>Tabla27[[#This Row],[Agrupación]]</f>
        <v>#VALUE!</v>
      </c>
      <c r="H307" t="e" cm="1">
        <f t="array" ref="H307">TRANSPOSE((_xlfn._xlws.FILTER(INDEX($C$6:$E$1000,,MATCH($G307,$C$5:$E$5,0)),INDEX($C$6:$E$1000,,MATCH($G307,$C$5:$E$5,0))&lt;&gt;"","No hay nada")))</f>
        <v>#VALUE!</v>
      </c>
    </row>
    <row r="308" spans="7:8" x14ac:dyDescent="0.2">
      <c r="G308" t="e">
        <f>Tabla27[[#This Row],[Agrupación]]</f>
        <v>#VALUE!</v>
      </c>
      <c r="H308" t="e" cm="1">
        <f t="array" ref="H308">TRANSPOSE((_xlfn._xlws.FILTER(INDEX($C$6:$E$1000,,MATCH($G308,$C$5:$E$5,0)),INDEX($C$6:$E$1000,,MATCH($G308,$C$5:$E$5,0))&lt;&gt;"","No hay nada")))</f>
        <v>#VALUE!</v>
      </c>
    </row>
    <row r="309" spans="7:8" x14ac:dyDescent="0.2">
      <c r="G309" t="e">
        <f>Tabla27[[#This Row],[Agrupación]]</f>
        <v>#VALUE!</v>
      </c>
      <c r="H309" t="e" cm="1">
        <f t="array" ref="H309">TRANSPOSE((_xlfn._xlws.FILTER(INDEX($C$6:$E$1000,,MATCH($G309,$C$5:$E$5,0)),INDEX($C$6:$E$1000,,MATCH($G309,$C$5:$E$5,0))&lt;&gt;"","No hay nada")))</f>
        <v>#VALUE!</v>
      </c>
    </row>
    <row r="310" spans="7:8" x14ac:dyDescent="0.2">
      <c r="G310" t="e">
        <f>Tabla27[[#This Row],[Agrupación]]</f>
        <v>#VALUE!</v>
      </c>
      <c r="H310" t="e" cm="1">
        <f t="array" ref="H310">TRANSPOSE((_xlfn._xlws.FILTER(INDEX($C$6:$E$1000,,MATCH($G310,$C$5:$E$5,0)),INDEX($C$6:$E$1000,,MATCH($G310,$C$5:$E$5,0))&lt;&gt;"","No hay nada")))</f>
        <v>#VALUE!</v>
      </c>
    </row>
    <row r="311" spans="7:8" x14ac:dyDescent="0.2">
      <c r="G311" t="e">
        <f>Tabla27[[#This Row],[Agrupación]]</f>
        <v>#VALUE!</v>
      </c>
      <c r="H311" t="e" cm="1">
        <f t="array" ref="H311">TRANSPOSE((_xlfn._xlws.FILTER(INDEX($C$6:$E$1000,,MATCH($G311,$C$5:$E$5,0)),INDEX($C$6:$E$1000,,MATCH($G311,$C$5:$E$5,0))&lt;&gt;"","No hay nada")))</f>
        <v>#VALUE!</v>
      </c>
    </row>
    <row r="312" spans="7:8" x14ac:dyDescent="0.2">
      <c r="G312" t="e">
        <f>Tabla27[[#This Row],[Agrupación]]</f>
        <v>#VALUE!</v>
      </c>
      <c r="H312" t="e" cm="1">
        <f t="array" ref="H312">TRANSPOSE((_xlfn._xlws.FILTER(INDEX($C$6:$E$1000,,MATCH($G312,$C$5:$E$5,0)),INDEX($C$6:$E$1000,,MATCH($G312,$C$5:$E$5,0))&lt;&gt;"","No hay nada")))</f>
        <v>#VALUE!</v>
      </c>
    </row>
    <row r="313" spans="7:8" x14ac:dyDescent="0.2">
      <c r="G313" t="e">
        <f>Tabla27[[#This Row],[Agrupación]]</f>
        <v>#VALUE!</v>
      </c>
      <c r="H313" t="e" cm="1">
        <f t="array" ref="H313">TRANSPOSE((_xlfn._xlws.FILTER(INDEX($C$6:$E$1000,,MATCH($G313,$C$5:$E$5,0)),INDEX($C$6:$E$1000,,MATCH($G313,$C$5:$E$5,0))&lt;&gt;"","No hay nada")))</f>
        <v>#VALUE!</v>
      </c>
    </row>
    <row r="314" spans="7:8" x14ac:dyDescent="0.2">
      <c r="G314" t="e">
        <f>Tabla27[[#This Row],[Agrupación]]</f>
        <v>#VALUE!</v>
      </c>
      <c r="H314" t="e" cm="1">
        <f t="array" ref="H314">TRANSPOSE((_xlfn._xlws.FILTER(INDEX($C$6:$E$1000,,MATCH($G314,$C$5:$E$5,0)),INDEX($C$6:$E$1000,,MATCH($G314,$C$5:$E$5,0))&lt;&gt;"","No hay nada")))</f>
        <v>#VALUE!</v>
      </c>
    </row>
    <row r="315" spans="7:8" x14ac:dyDescent="0.2">
      <c r="G315" t="e">
        <f>Tabla27[[#This Row],[Agrupación]]</f>
        <v>#VALUE!</v>
      </c>
      <c r="H315" t="e" cm="1">
        <f t="array" ref="H315">TRANSPOSE((_xlfn._xlws.FILTER(INDEX($C$6:$E$1000,,MATCH($G315,$C$5:$E$5,0)),INDEX($C$6:$E$1000,,MATCH($G315,$C$5:$E$5,0))&lt;&gt;"","No hay nada")))</f>
        <v>#VALUE!</v>
      </c>
    </row>
    <row r="316" spans="7:8" x14ac:dyDescent="0.2">
      <c r="G316" t="e">
        <f>Tabla27[[#This Row],[Agrupación]]</f>
        <v>#VALUE!</v>
      </c>
      <c r="H316" t="e" cm="1">
        <f t="array" ref="H316">TRANSPOSE((_xlfn._xlws.FILTER(INDEX($C$6:$E$1000,,MATCH($G316,$C$5:$E$5,0)),INDEX($C$6:$E$1000,,MATCH($G316,$C$5:$E$5,0))&lt;&gt;"","No hay nada")))</f>
        <v>#VALUE!</v>
      </c>
    </row>
    <row r="317" spans="7:8" x14ac:dyDescent="0.2">
      <c r="G317" t="e">
        <f>Tabla27[[#This Row],[Agrupación]]</f>
        <v>#VALUE!</v>
      </c>
      <c r="H317" t="e" cm="1">
        <f t="array" ref="H317">TRANSPOSE((_xlfn._xlws.FILTER(INDEX($C$6:$E$1000,,MATCH($G317,$C$5:$E$5,0)),INDEX($C$6:$E$1000,,MATCH($G317,$C$5:$E$5,0))&lt;&gt;"","No hay nada")))</f>
        <v>#VALUE!</v>
      </c>
    </row>
    <row r="318" spans="7:8" x14ac:dyDescent="0.2">
      <c r="G318" t="e">
        <f>Tabla27[[#This Row],[Agrupación]]</f>
        <v>#VALUE!</v>
      </c>
      <c r="H318" t="e" cm="1">
        <f t="array" ref="H318">TRANSPOSE((_xlfn._xlws.FILTER(INDEX($C$6:$E$1000,,MATCH($G318,$C$5:$E$5,0)),INDEX($C$6:$E$1000,,MATCH($G318,$C$5:$E$5,0))&lt;&gt;"","No hay nada")))</f>
        <v>#VALUE!</v>
      </c>
    </row>
    <row r="319" spans="7:8" x14ac:dyDescent="0.2">
      <c r="G319" t="e">
        <f>Tabla27[[#This Row],[Agrupación]]</f>
        <v>#VALUE!</v>
      </c>
      <c r="H319" t="e" cm="1">
        <f t="array" ref="H319">TRANSPOSE((_xlfn._xlws.FILTER(INDEX($C$6:$E$1000,,MATCH($G319,$C$5:$E$5,0)),INDEX($C$6:$E$1000,,MATCH($G319,$C$5:$E$5,0))&lt;&gt;"","No hay nada")))</f>
        <v>#VALUE!</v>
      </c>
    </row>
    <row r="320" spans="7:8" x14ac:dyDescent="0.2">
      <c r="G320" t="e">
        <f>Tabla27[[#This Row],[Agrupación]]</f>
        <v>#VALUE!</v>
      </c>
      <c r="H320" t="e" cm="1">
        <f t="array" ref="H320">TRANSPOSE((_xlfn._xlws.FILTER(INDEX($C$6:$E$1000,,MATCH($G320,$C$5:$E$5,0)),INDEX($C$6:$E$1000,,MATCH($G320,$C$5:$E$5,0))&lt;&gt;"","No hay nada")))</f>
        <v>#VALUE!</v>
      </c>
    </row>
    <row r="321" spans="7:8" x14ac:dyDescent="0.2">
      <c r="G321" t="e">
        <f>Tabla27[[#This Row],[Agrupación]]</f>
        <v>#VALUE!</v>
      </c>
      <c r="H321" t="e" cm="1">
        <f t="array" ref="H321">TRANSPOSE((_xlfn._xlws.FILTER(INDEX($C$6:$E$1000,,MATCH($G321,$C$5:$E$5,0)),INDEX($C$6:$E$1000,,MATCH($G321,$C$5:$E$5,0))&lt;&gt;"","No hay nada")))</f>
        <v>#VALUE!</v>
      </c>
    </row>
    <row r="322" spans="7:8" x14ac:dyDescent="0.2">
      <c r="G322" t="e">
        <f>Tabla27[[#This Row],[Agrupación]]</f>
        <v>#VALUE!</v>
      </c>
      <c r="H322" t="e" cm="1">
        <f t="array" ref="H322">TRANSPOSE((_xlfn._xlws.FILTER(INDEX($C$6:$E$1000,,MATCH($G322,$C$5:$E$5,0)),INDEX($C$6:$E$1000,,MATCH($G322,$C$5:$E$5,0))&lt;&gt;"","No hay nada")))</f>
        <v>#VALUE!</v>
      </c>
    </row>
    <row r="323" spans="7:8" x14ac:dyDescent="0.2">
      <c r="G323" t="e">
        <f>Tabla27[[#This Row],[Agrupación]]</f>
        <v>#VALUE!</v>
      </c>
      <c r="H323" t="e" cm="1">
        <f t="array" ref="H323">TRANSPOSE((_xlfn._xlws.FILTER(INDEX($C$6:$E$1000,,MATCH($G323,$C$5:$E$5,0)),INDEX($C$6:$E$1000,,MATCH($G323,$C$5:$E$5,0))&lt;&gt;"","No hay nada")))</f>
        <v>#VALUE!</v>
      </c>
    </row>
    <row r="324" spans="7:8" x14ac:dyDescent="0.2">
      <c r="G324" t="e">
        <f>Tabla27[[#This Row],[Agrupación]]</f>
        <v>#VALUE!</v>
      </c>
      <c r="H324" t="e" cm="1">
        <f t="array" ref="H324">TRANSPOSE((_xlfn._xlws.FILTER(INDEX($C$6:$E$1000,,MATCH($G324,$C$5:$E$5,0)),INDEX($C$6:$E$1000,,MATCH($G324,$C$5:$E$5,0))&lt;&gt;"","No hay nada")))</f>
        <v>#VALUE!</v>
      </c>
    </row>
    <row r="325" spans="7:8" x14ac:dyDescent="0.2">
      <c r="G325" t="e">
        <f>Tabla27[[#This Row],[Agrupación]]</f>
        <v>#VALUE!</v>
      </c>
      <c r="H325" t="e" cm="1">
        <f t="array" ref="H325">TRANSPOSE((_xlfn._xlws.FILTER(INDEX($C$6:$E$1000,,MATCH($G325,$C$5:$E$5,0)),INDEX($C$6:$E$1000,,MATCH($G325,$C$5:$E$5,0))&lt;&gt;"","No hay nada")))</f>
        <v>#VALUE!</v>
      </c>
    </row>
    <row r="326" spans="7:8" x14ac:dyDescent="0.2">
      <c r="G326" t="e">
        <f>Tabla27[[#This Row],[Agrupación]]</f>
        <v>#VALUE!</v>
      </c>
      <c r="H326" t="e" cm="1">
        <f t="array" ref="H326">TRANSPOSE((_xlfn._xlws.FILTER(INDEX($C$6:$E$1000,,MATCH($G326,$C$5:$E$5,0)),INDEX($C$6:$E$1000,,MATCH($G326,$C$5:$E$5,0))&lt;&gt;"","No hay nada")))</f>
        <v>#VALUE!</v>
      </c>
    </row>
    <row r="327" spans="7:8" x14ac:dyDescent="0.2">
      <c r="G327" t="e">
        <f>Tabla27[[#This Row],[Agrupación]]</f>
        <v>#VALUE!</v>
      </c>
      <c r="H327" t="e" cm="1">
        <f t="array" ref="H327">TRANSPOSE((_xlfn._xlws.FILTER(INDEX($C$6:$E$1000,,MATCH($G327,$C$5:$E$5,0)),INDEX($C$6:$E$1000,,MATCH($G327,$C$5:$E$5,0))&lt;&gt;"","No hay nada")))</f>
        <v>#VALUE!</v>
      </c>
    </row>
    <row r="328" spans="7:8" x14ac:dyDescent="0.2">
      <c r="G328" t="e">
        <f>Tabla27[[#This Row],[Agrupación]]</f>
        <v>#VALUE!</v>
      </c>
      <c r="H328" t="e" cm="1">
        <f t="array" ref="H328">TRANSPOSE((_xlfn._xlws.FILTER(INDEX($C$6:$E$1000,,MATCH($G328,$C$5:$E$5,0)),INDEX($C$6:$E$1000,,MATCH($G328,$C$5:$E$5,0))&lt;&gt;"","No hay nada")))</f>
        <v>#VALUE!</v>
      </c>
    </row>
    <row r="329" spans="7:8" x14ac:dyDescent="0.2">
      <c r="G329" t="e">
        <f>Tabla27[[#This Row],[Agrupación]]</f>
        <v>#VALUE!</v>
      </c>
      <c r="H329" t="e" cm="1">
        <f t="array" ref="H329">TRANSPOSE((_xlfn._xlws.FILTER(INDEX($C$6:$E$1000,,MATCH($G329,$C$5:$E$5,0)),INDEX($C$6:$E$1000,,MATCH($G329,$C$5:$E$5,0))&lt;&gt;"","No hay nada")))</f>
        <v>#VALUE!</v>
      </c>
    </row>
    <row r="330" spans="7:8" x14ac:dyDescent="0.2">
      <c r="G330" t="e">
        <f>Tabla27[[#This Row],[Agrupación]]</f>
        <v>#VALUE!</v>
      </c>
      <c r="H330" t="e" cm="1">
        <f t="array" ref="H330">TRANSPOSE((_xlfn._xlws.FILTER(INDEX($C$6:$E$1000,,MATCH($G330,$C$5:$E$5,0)),INDEX($C$6:$E$1000,,MATCH($G330,$C$5:$E$5,0))&lt;&gt;"","No hay nada")))</f>
        <v>#VALUE!</v>
      </c>
    </row>
    <row r="331" spans="7:8" x14ac:dyDescent="0.2">
      <c r="G331" t="e">
        <f>Tabla27[[#This Row],[Agrupación]]</f>
        <v>#VALUE!</v>
      </c>
      <c r="H331" t="e" cm="1">
        <f t="array" ref="H331">TRANSPOSE((_xlfn._xlws.FILTER(INDEX($C$6:$E$1000,,MATCH($G331,$C$5:$E$5,0)),INDEX($C$6:$E$1000,,MATCH($G331,$C$5:$E$5,0))&lt;&gt;"","No hay nada")))</f>
        <v>#VALUE!</v>
      </c>
    </row>
    <row r="332" spans="7:8" x14ac:dyDescent="0.2">
      <c r="G332" t="e">
        <f>Tabla27[[#This Row],[Agrupación]]</f>
        <v>#VALUE!</v>
      </c>
      <c r="H332" t="e" cm="1">
        <f t="array" ref="H332">TRANSPOSE((_xlfn._xlws.FILTER(INDEX($C$6:$E$1000,,MATCH($G332,$C$5:$E$5,0)),INDEX($C$6:$E$1000,,MATCH($G332,$C$5:$E$5,0))&lt;&gt;"","No hay nada")))</f>
        <v>#VALUE!</v>
      </c>
    </row>
    <row r="333" spans="7:8" x14ac:dyDescent="0.2">
      <c r="G333" t="e">
        <f>Tabla27[[#This Row],[Agrupación]]</f>
        <v>#VALUE!</v>
      </c>
      <c r="H333" t="e" cm="1">
        <f t="array" ref="H333">TRANSPOSE((_xlfn._xlws.FILTER(INDEX($C$6:$E$1000,,MATCH($G333,$C$5:$E$5,0)),INDEX($C$6:$E$1000,,MATCH($G333,$C$5:$E$5,0))&lt;&gt;"","No hay nada")))</f>
        <v>#VALUE!</v>
      </c>
    </row>
    <row r="334" spans="7:8" x14ac:dyDescent="0.2">
      <c r="G334" t="e">
        <f>Tabla27[[#This Row],[Agrupación]]</f>
        <v>#VALUE!</v>
      </c>
      <c r="H334" t="e" cm="1">
        <f t="array" ref="H334">TRANSPOSE((_xlfn._xlws.FILTER(INDEX($C$6:$E$1000,,MATCH($G334,$C$5:$E$5,0)),INDEX($C$6:$E$1000,,MATCH($G334,$C$5:$E$5,0))&lt;&gt;"","No hay nada")))</f>
        <v>#VALUE!</v>
      </c>
    </row>
    <row r="335" spans="7:8" x14ac:dyDescent="0.2">
      <c r="G335" t="e">
        <f>Tabla27[[#This Row],[Agrupación]]</f>
        <v>#VALUE!</v>
      </c>
      <c r="H335" t="e" cm="1">
        <f t="array" ref="H335">TRANSPOSE((_xlfn._xlws.FILTER(INDEX($C$6:$E$1000,,MATCH($G335,$C$5:$E$5,0)),INDEX($C$6:$E$1000,,MATCH($G335,$C$5:$E$5,0))&lt;&gt;"","No hay nada")))</f>
        <v>#VALUE!</v>
      </c>
    </row>
    <row r="336" spans="7:8" x14ac:dyDescent="0.2">
      <c r="G336" t="e">
        <f>Tabla27[[#This Row],[Agrupación]]</f>
        <v>#VALUE!</v>
      </c>
      <c r="H336" t="e" cm="1">
        <f t="array" ref="H336">TRANSPOSE((_xlfn._xlws.FILTER(INDEX($C$6:$E$1000,,MATCH($G336,$C$5:$E$5,0)),INDEX($C$6:$E$1000,,MATCH($G336,$C$5:$E$5,0))&lt;&gt;"","No hay nada")))</f>
        <v>#VALUE!</v>
      </c>
    </row>
    <row r="337" spans="7:8" x14ac:dyDescent="0.2">
      <c r="G337" t="e">
        <f>Tabla27[[#This Row],[Agrupación]]</f>
        <v>#VALUE!</v>
      </c>
      <c r="H337" t="e" cm="1">
        <f t="array" ref="H337">TRANSPOSE((_xlfn._xlws.FILTER(INDEX($C$6:$E$1000,,MATCH($G337,$C$5:$E$5,0)),INDEX($C$6:$E$1000,,MATCH($G337,$C$5:$E$5,0))&lt;&gt;"","No hay nada")))</f>
        <v>#VALUE!</v>
      </c>
    </row>
    <row r="338" spans="7:8" x14ac:dyDescent="0.2">
      <c r="G338" t="e">
        <f>Tabla27[[#This Row],[Agrupación]]</f>
        <v>#VALUE!</v>
      </c>
      <c r="H338" t="e" cm="1">
        <f t="array" ref="H338">TRANSPOSE((_xlfn._xlws.FILTER(INDEX($C$6:$E$1000,,MATCH($G338,$C$5:$E$5,0)),INDEX($C$6:$E$1000,,MATCH($G338,$C$5:$E$5,0))&lt;&gt;"","No hay nada")))</f>
        <v>#VALUE!</v>
      </c>
    </row>
    <row r="339" spans="7:8" x14ac:dyDescent="0.2">
      <c r="G339" t="e">
        <f>Tabla27[[#This Row],[Agrupación]]</f>
        <v>#VALUE!</v>
      </c>
      <c r="H339" t="e" cm="1">
        <f t="array" ref="H339">TRANSPOSE((_xlfn._xlws.FILTER(INDEX($C$6:$E$1000,,MATCH($G339,$C$5:$E$5,0)),INDEX($C$6:$E$1000,,MATCH($G339,$C$5:$E$5,0))&lt;&gt;"","No hay nada")))</f>
        <v>#VALUE!</v>
      </c>
    </row>
    <row r="340" spans="7:8" x14ac:dyDescent="0.2">
      <c r="G340" t="e">
        <f>Tabla27[[#This Row],[Agrupación]]</f>
        <v>#VALUE!</v>
      </c>
      <c r="H340" t="e" cm="1">
        <f t="array" ref="H340">TRANSPOSE((_xlfn._xlws.FILTER(INDEX($C$6:$E$1000,,MATCH($G340,$C$5:$E$5,0)),INDEX($C$6:$E$1000,,MATCH($G340,$C$5:$E$5,0))&lt;&gt;"","No hay nada")))</f>
        <v>#VALUE!</v>
      </c>
    </row>
    <row r="341" spans="7:8" x14ac:dyDescent="0.2">
      <c r="G341" t="e">
        <f>Tabla27[[#This Row],[Agrupación]]</f>
        <v>#VALUE!</v>
      </c>
      <c r="H341" t="e" cm="1">
        <f t="array" ref="H341">TRANSPOSE((_xlfn._xlws.FILTER(INDEX($C$6:$E$1000,,MATCH($G341,$C$5:$E$5,0)),INDEX($C$6:$E$1000,,MATCH($G341,$C$5:$E$5,0))&lt;&gt;"","No hay nada")))</f>
        <v>#VALUE!</v>
      </c>
    </row>
    <row r="342" spans="7:8" x14ac:dyDescent="0.2">
      <c r="G342" t="e">
        <f>Tabla27[[#This Row],[Agrupación]]</f>
        <v>#VALUE!</v>
      </c>
      <c r="H342" t="e" cm="1">
        <f t="array" ref="H342">TRANSPOSE((_xlfn._xlws.FILTER(INDEX($C$6:$E$1000,,MATCH($G342,$C$5:$E$5,0)),INDEX($C$6:$E$1000,,MATCH($G342,$C$5:$E$5,0))&lt;&gt;"","No hay nada")))</f>
        <v>#VALUE!</v>
      </c>
    </row>
    <row r="343" spans="7:8" x14ac:dyDescent="0.2">
      <c r="G343" t="e">
        <f>Tabla27[[#This Row],[Agrupación]]</f>
        <v>#VALUE!</v>
      </c>
      <c r="H343" t="e" cm="1">
        <f t="array" ref="H343">TRANSPOSE((_xlfn._xlws.FILTER(INDEX($C$6:$E$1000,,MATCH($G343,$C$5:$E$5,0)),INDEX($C$6:$E$1000,,MATCH($G343,$C$5:$E$5,0))&lt;&gt;"","No hay nada")))</f>
        <v>#VALUE!</v>
      </c>
    </row>
    <row r="344" spans="7:8" x14ac:dyDescent="0.2">
      <c r="G344" t="e">
        <f>Tabla27[[#This Row],[Agrupación]]</f>
        <v>#VALUE!</v>
      </c>
      <c r="H344" t="e" cm="1">
        <f t="array" ref="H344">TRANSPOSE((_xlfn._xlws.FILTER(INDEX($C$6:$E$1000,,MATCH($G344,$C$5:$E$5,0)),INDEX($C$6:$E$1000,,MATCH($G344,$C$5:$E$5,0))&lt;&gt;"","No hay nada")))</f>
        <v>#VALUE!</v>
      </c>
    </row>
    <row r="345" spans="7:8" x14ac:dyDescent="0.2">
      <c r="G345" t="e">
        <f>Tabla27[[#This Row],[Agrupación]]</f>
        <v>#VALUE!</v>
      </c>
      <c r="H345" t="e" cm="1">
        <f t="array" ref="H345">TRANSPOSE((_xlfn._xlws.FILTER(INDEX($C$6:$E$1000,,MATCH($G345,$C$5:$E$5,0)),INDEX($C$6:$E$1000,,MATCH($G345,$C$5:$E$5,0))&lt;&gt;"","No hay nada")))</f>
        <v>#VALUE!</v>
      </c>
    </row>
    <row r="346" spans="7:8" x14ac:dyDescent="0.2">
      <c r="G346" t="e">
        <f>Tabla27[[#This Row],[Agrupación]]</f>
        <v>#VALUE!</v>
      </c>
      <c r="H346" t="e" cm="1">
        <f t="array" ref="H346">TRANSPOSE((_xlfn._xlws.FILTER(INDEX($C$6:$E$1000,,MATCH($G346,$C$5:$E$5,0)),INDEX($C$6:$E$1000,,MATCH($G346,$C$5:$E$5,0))&lt;&gt;"","No hay nada")))</f>
        <v>#VALUE!</v>
      </c>
    </row>
    <row r="347" spans="7:8" x14ac:dyDescent="0.2">
      <c r="G347" t="e">
        <f>Tabla27[[#This Row],[Agrupación]]</f>
        <v>#VALUE!</v>
      </c>
      <c r="H347" t="e" cm="1">
        <f t="array" ref="H347">TRANSPOSE((_xlfn._xlws.FILTER(INDEX($C$6:$E$1000,,MATCH($G347,$C$5:$E$5,0)),INDEX($C$6:$E$1000,,MATCH($G347,$C$5:$E$5,0))&lt;&gt;"","No hay nada")))</f>
        <v>#VALUE!</v>
      </c>
    </row>
    <row r="348" spans="7:8" x14ac:dyDescent="0.2">
      <c r="G348" t="e">
        <f>Tabla27[[#This Row],[Agrupación]]</f>
        <v>#VALUE!</v>
      </c>
      <c r="H348" t="e" cm="1">
        <f t="array" ref="H348">TRANSPOSE((_xlfn._xlws.FILTER(INDEX($C$6:$E$1000,,MATCH($G348,$C$5:$E$5,0)),INDEX($C$6:$E$1000,,MATCH($G348,$C$5:$E$5,0))&lt;&gt;"","No hay nada")))</f>
        <v>#VALUE!</v>
      </c>
    </row>
    <row r="349" spans="7:8" x14ac:dyDescent="0.2">
      <c r="G349" t="e">
        <f>Tabla27[[#This Row],[Agrupación]]</f>
        <v>#VALUE!</v>
      </c>
      <c r="H349" t="e" cm="1">
        <f t="array" ref="H349">TRANSPOSE((_xlfn._xlws.FILTER(INDEX($C$6:$E$1000,,MATCH($G349,$C$5:$E$5,0)),INDEX($C$6:$E$1000,,MATCH($G349,$C$5:$E$5,0))&lt;&gt;"","No hay nada")))</f>
        <v>#VALUE!</v>
      </c>
    </row>
    <row r="350" spans="7:8" x14ac:dyDescent="0.2">
      <c r="G350" t="e">
        <f>Tabla27[[#This Row],[Agrupación]]</f>
        <v>#VALUE!</v>
      </c>
      <c r="H350" t="e" cm="1">
        <f t="array" ref="H350">TRANSPOSE((_xlfn._xlws.FILTER(INDEX($C$6:$E$1000,,MATCH($G350,$C$5:$E$5,0)),INDEX($C$6:$E$1000,,MATCH($G350,$C$5:$E$5,0))&lt;&gt;"","No hay nada")))</f>
        <v>#VALUE!</v>
      </c>
    </row>
    <row r="351" spans="7:8" x14ac:dyDescent="0.2">
      <c r="G351" t="e">
        <f>Tabla27[[#This Row],[Agrupación]]</f>
        <v>#VALUE!</v>
      </c>
      <c r="H351" t="e" cm="1">
        <f t="array" ref="H351">TRANSPOSE((_xlfn._xlws.FILTER(INDEX($C$6:$E$1000,,MATCH($G351,$C$5:$E$5,0)),INDEX($C$6:$E$1000,,MATCH($G351,$C$5:$E$5,0))&lt;&gt;"","No hay nada")))</f>
        <v>#VALUE!</v>
      </c>
    </row>
    <row r="352" spans="7:8" x14ac:dyDescent="0.2">
      <c r="G352" t="e">
        <f>Tabla27[[#This Row],[Agrupación]]</f>
        <v>#VALUE!</v>
      </c>
      <c r="H352" t="e" cm="1">
        <f t="array" ref="H352">TRANSPOSE((_xlfn._xlws.FILTER(INDEX($C$6:$E$1000,,MATCH($G352,$C$5:$E$5,0)),INDEX($C$6:$E$1000,,MATCH($G352,$C$5:$E$5,0))&lt;&gt;"","No hay nada")))</f>
        <v>#VALUE!</v>
      </c>
    </row>
    <row r="353" spans="7:8" x14ac:dyDescent="0.2">
      <c r="G353" t="e">
        <f>Tabla27[[#This Row],[Agrupación]]</f>
        <v>#VALUE!</v>
      </c>
      <c r="H353" t="e" cm="1">
        <f t="array" ref="H353">TRANSPOSE((_xlfn._xlws.FILTER(INDEX($C$6:$E$1000,,MATCH($G353,$C$5:$E$5,0)),INDEX($C$6:$E$1000,,MATCH($G353,$C$5:$E$5,0))&lt;&gt;"","No hay nada")))</f>
        <v>#VALUE!</v>
      </c>
    </row>
    <row r="354" spans="7:8" x14ac:dyDescent="0.2">
      <c r="G354" t="e">
        <f>Tabla27[[#This Row],[Agrupación]]</f>
        <v>#VALUE!</v>
      </c>
      <c r="H354" t="e" cm="1">
        <f t="array" ref="H354">TRANSPOSE((_xlfn._xlws.FILTER(INDEX($C$6:$E$1000,,MATCH($G354,$C$5:$E$5,0)),INDEX($C$6:$E$1000,,MATCH($G354,$C$5:$E$5,0))&lt;&gt;"","No hay nada")))</f>
        <v>#VALUE!</v>
      </c>
    </row>
    <row r="355" spans="7:8" x14ac:dyDescent="0.2">
      <c r="G355" t="e">
        <f>Tabla27[[#This Row],[Agrupación]]</f>
        <v>#VALUE!</v>
      </c>
      <c r="H355" t="e" cm="1">
        <f t="array" ref="H355">TRANSPOSE((_xlfn._xlws.FILTER(INDEX($C$6:$E$1000,,MATCH($G355,$C$5:$E$5,0)),INDEX($C$6:$E$1000,,MATCH($G355,$C$5:$E$5,0))&lt;&gt;"","No hay nada")))</f>
        <v>#VALUE!</v>
      </c>
    </row>
    <row r="356" spans="7:8" x14ac:dyDescent="0.2">
      <c r="G356" t="e">
        <f>Tabla27[[#This Row],[Agrupación]]</f>
        <v>#VALUE!</v>
      </c>
      <c r="H356" t="e" cm="1">
        <f t="array" ref="H356">TRANSPOSE((_xlfn._xlws.FILTER(INDEX($C$6:$E$1000,,MATCH($G356,$C$5:$E$5,0)),INDEX($C$6:$E$1000,,MATCH($G356,$C$5:$E$5,0))&lt;&gt;"","No hay nada")))</f>
        <v>#VALUE!</v>
      </c>
    </row>
    <row r="357" spans="7:8" x14ac:dyDescent="0.2">
      <c r="G357" t="e">
        <f>Tabla27[[#This Row],[Agrupación]]</f>
        <v>#VALUE!</v>
      </c>
      <c r="H357" t="e" cm="1">
        <f t="array" ref="H357">TRANSPOSE((_xlfn._xlws.FILTER(INDEX($C$6:$E$1000,,MATCH($G357,$C$5:$E$5,0)),INDEX($C$6:$E$1000,,MATCH($G357,$C$5:$E$5,0))&lt;&gt;"","No hay nada")))</f>
        <v>#VALUE!</v>
      </c>
    </row>
    <row r="358" spans="7:8" x14ac:dyDescent="0.2">
      <c r="G358" t="e">
        <f>Tabla27[[#This Row],[Agrupación]]</f>
        <v>#VALUE!</v>
      </c>
      <c r="H358" t="e" cm="1">
        <f t="array" ref="H358">TRANSPOSE((_xlfn._xlws.FILTER(INDEX($C$6:$E$1000,,MATCH($G358,$C$5:$E$5,0)),INDEX($C$6:$E$1000,,MATCH($G358,$C$5:$E$5,0))&lt;&gt;"","No hay nada")))</f>
        <v>#VALUE!</v>
      </c>
    </row>
    <row r="359" spans="7:8" x14ac:dyDescent="0.2">
      <c r="G359" t="e">
        <f>Tabla27[[#This Row],[Agrupación]]</f>
        <v>#VALUE!</v>
      </c>
      <c r="H359" t="e" cm="1">
        <f t="array" ref="H359">TRANSPOSE((_xlfn._xlws.FILTER(INDEX($C$6:$E$1000,,MATCH($G359,$C$5:$E$5,0)),INDEX($C$6:$E$1000,,MATCH($G359,$C$5:$E$5,0))&lt;&gt;"","No hay nada")))</f>
        <v>#VALUE!</v>
      </c>
    </row>
    <row r="360" spans="7:8" x14ac:dyDescent="0.2">
      <c r="G360" t="e">
        <f>Tabla27[[#This Row],[Agrupación]]</f>
        <v>#VALUE!</v>
      </c>
      <c r="H360" t="e" cm="1">
        <f t="array" ref="H360">TRANSPOSE((_xlfn._xlws.FILTER(INDEX($C$6:$E$1000,,MATCH($G360,$C$5:$E$5,0)),INDEX($C$6:$E$1000,,MATCH($G360,$C$5:$E$5,0))&lt;&gt;"","No hay nada")))</f>
        <v>#VALUE!</v>
      </c>
    </row>
    <row r="361" spans="7:8" x14ac:dyDescent="0.2">
      <c r="G361" t="e">
        <f>Tabla27[[#This Row],[Agrupación]]</f>
        <v>#VALUE!</v>
      </c>
      <c r="H361" t="e" cm="1">
        <f t="array" ref="H361">TRANSPOSE((_xlfn._xlws.FILTER(INDEX($C$6:$E$1000,,MATCH($G361,$C$5:$E$5,0)),INDEX($C$6:$E$1000,,MATCH($G361,$C$5:$E$5,0))&lt;&gt;"","No hay nada")))</f>
        <v>#VALUE!</v>
      </c>
    </row>
    <row r="362" spans="7:8" x14ac:dyDescent="0.2">
      <c r="G362" t="e">
        <f>Tabla27[[#This Row],[Agrupación]]</f>
        <v>#VALUE!</v>
      </c>
      <c r="H362" t="e" cm="1">
        <f t="array" ref="H362">TRANSPOSE((_xlfn._xlws.FILTER(INDEX($C$6:$E$1000,,MATCH($G362,$C$5:$E$5,0)),INDEX($C$6:$E$1000,,MATCH($G362,$C$5:$E$5,0))&lt;&gt;"","No hay nada")))</f>
        <v>#VALUE!</v>
      </c>
    </row>
    <row r="363" spans="7:8" x14ac:dyDescent="0.2">
      <c r="G363" t="e">
        <f>Tabla27[[#This Row],[Agrupación]]</f>
        <v>#VALUE!</v>
      </c>
      <c r="H363" t="e" cm="1">
        <f t="array" ref="H363">TRANSPOSE((_xlfn._xlws.FILTER(INDEX($C$6:$E$1000,,MATCH($G363,$C$5:$E$5,0)),INDEX($C$6:$E$1000,,MATCH($G363,$C$5:$E$5,0))&lt;&gt;"","No hay nada")))</f>
        <v>#VALUE!</v>
      </c>
    </row>
    <row r="364" spans="7:8" x14ac:dyDescent="0.2">
      <c r="G364" t="e">
        <f>Tabla27[[#This Row],[Agrupación]]</f>
        <v>#VALUE!</v>
      </c>
      <c r="H364" t="e" cm="1">
        <f t="array" ref="H364">TRANSPOSE((_xlfn._xlws.FILTER(INDEX($C$6:$E$1000,,MATCH($G364,$C$5:$E$5,0)),INDEX($C$6:$E$1000,,MATCH($G364,$C$5:$E$5,0))&lt;&gt;"","No hay nada")))</f>
        <v>#VALUE!</v>
      </c>
    </row>
    <row r="365" spans="7:8" x14ac:dyDescent="0.2">
      <c r="G365" t="e">
        <f>Tabla27[[#This Row],[Agrupación]]</f>
        <v>#VALUE!</v>
      </c>
      <c r="H365" t="e" cm="1">
        <f t="array" ref="H365">TRANSPOSE((_xlfn._xlws.FILTER(INDEX($C$6:$E$1000,,MATCH($G365,$C$5:$E$5,0)),INDEX($C$6:$E$1000,,MATCH($G365,$C$5:$E$5,0))&lt;&gt;"","No hay nada")))</f>
        <v>#VALUE!</v>
      </c>
    </row>
    <row r="366" spans="7:8" x14ac:dyDescent="0.2">
      <c r="G366" t="e">
        <f>Tabla27[[#This Row],[Agrupación]]</f>
        <v>#VALUE!</v>
      </c>
      <c r="H366" t="e" cm="1">
        <f t="array" ref="H366">TRANSPOSE((_xlfn._xlws.FILTER(INDEX($C$6:$E$1000,,MATCH($G366,$C$5:$E$5,0)),INDEX($C$6:$E$1000,,MATCH($G366,$C$5:$E$5,0))&lt;&gt;"","No hay nada")))</f>
        <v>#VALUE!</v>
      </c>
    </row>
    <row r="367" spans="7:8" x14ac:dyDescent="0.2">
      <c r="G367" t="e">
        <f>Tabla27[[#This Row],[Agrupación]]</f>
        <v>#VALUE!</v>
      </c>
      <c r="H367" t="e" cm="1">
        <f t="array" ref="H367">TRANSPOSE((_xlfn._xlws.FILTER(INDEX($C$6:$E$1000,,MATCH($G367,$C$5:$E$5,0)),INDEX($C$6:$E$1000,,MATCH($G367,$C$5:$E$5,0))&lt;&gt;"","No hay nada")))</f>
        <v>#VALUE!</v>
      </c>
    </row>
    <row r="368" spans="7:8" x14ac:dyDescent="0.2">
      <c r="G368" t="e">
        <f>Tabla27[[#This Row],[Agrupación]]</f>
        <v>#VALUE!</v>
      </c>
      <c r="H368" t="e" cm="1">
        <f t="array" ref="H368">TRANSPOSE((_xlfn._xlws.FILTER(INDEX($C$6:$E$1000,,MATCH($G368,$C$5:$E$5,0)),INDEX($C$6:$E$1000,,MATCH($G368,$C$5:$E$5,0))&lt;&gt;"","No hay nada")))</f>
        <v>#VALUE!</v>
      </c>
    </row>
    <row r="369" spans="7:8" x14ac:dyDescent="0.2">
      <c r="G369" t="e">
        <f>Tabla27[[#This Row],[Agrupación]]</f>
        <v>#VALUE!</v>
      </c>
      <c r="H369" t="e" cm="1">
        <f t="array" ref="H369">TRANSPOSE((_xlfn._xlws.FILTER(INDEX($C$6:$E$1000,,MATCH($G369,$C$5:$E$5,0)),INDEX($C$6:$E$1000,,MATCH($G369,$C$5:$E$5,0))&lt;&gt;"","No hay nada")))</f>
        <v>#VALUE!</v>
      </c>
    </row>
    <row r="370" spans="7:8" x14ac:dyDescent="0.2">
      <c r="G370" t="e">
        <f>Tabla27[[#This Row],[Agrupación]]</f>
        <v>#VALUE!</v>
      </c>
      <c r="H370" t="e" cm="1">
        <f t="array" ref="H370">TRANSPOSE((_xlfn._xlws.FILTER(INDEX($C$6:$E$1000,,MATCH($G370,$C$5:$E$5,0)),INDEX($C$6:$E$1000,,MATCH($G370,$C$5:$E$5,0))&lt;&gt;"","No hay nada")))</f>
        <v>#VALUE!</v>
      </c>
    </row>
    <row r="371" spans="7:8" x14ac:dyDescent="0.2">
      <c r="G371" t="e">
        <f>Tabla27[[#This Row],[Agrupación]]</f>
        <v>#VALUE!</v>
      </c>
      <c r="H371" t="e" cm="1">
        <f t="array" ref="H371">TRANSPOSE((_xlfn._xlws.FILTER(INDEX($C$6:$E$1000,,MATCH($G371,$C$5:$E$5,0)),INDEX($C$6:$E$1000,,MATCH($G371,$C$5:$E$5,0))&lt;&gt;"","No hay nada")))</f>
        <v>#VALUE!</v>
      </c>
    </row>
    <row r="372" spans="7:8" x14ac:dyDescent="0.2">
      <c r="G372" t="e">
        <f>Tabla27[[#This Row],[Agrupación]]</f>
        <v>#VALUE!</v>
      </c>
      <c r="H372" t="e" cm="1">
        <f t="array" ref="H372">TRANSPOSE((_xlfn._xlws.FILTER(INDEX($C$6:$E$1000,,MATCH($G372,$C$5:$E$5,0)),INDEX($C$6:$E$1000,,MATCH($G372,$C$5:$E$5,0))&lt;&gt;"","No hay nada")))</f>
        <v>#VALUE!</v>
      </c>
    </row>
    <row r="373" spans="7:8" x14ac:dyDescent="0.2">
      <c r="G373" t="e">
        <f>Tabla27[[#This Row],[Agrupación]]</f>
        <v>#VALUE!</v>
      </c>
      <c r="H373" t="e" cm="1">
        <f t="array" ref="H373">TRANSPOSE((_xlfn._xlws.FILTER(INDEX($C$6:$E$1000,,MATCH($G373,$C$5:$E$5,0)),INDEX($C$6:$E$1000,,MATCH($G373,$C$5:$E$5,0))&lt;&gt;"","No hay nada")))</f>
        <v>#VALUE!</v>
      </c>
    </row>
    <row r="374" spans="7:8" x14ac:dyDescent="0.2">
      <c r="G374" t="e">
        <f>Tabla27[[#This Row],[Agrupación]]</f>
        <v>#VALUE!</v>
      </c>
      <c r="H374" t="e" cm="1">
        <f t="array" ref="H374">TRANSPOSE((_xlfn._xlws.FILTER(INDEX($C$6:$E$1000,,MATCH($G374,$C$5:$E$5,0)),INDEX($C$6:$E$1000,,MATCH($G374,$C$5:$E$5,0))&lt;&gt;"","No hay nada")))</f>
        <v>#VALUE!</v>
      </c>
    </row>
    <row r="375" spans="7:8" x14ac:dyDescent="0.2">
      <c r="G375" t="e">
        <f>Tabla27[[#This Row],[Agrupación]]</f>
        <v>#VALUE!</v>
      </c>
      <c r="H375" t="e" cm="1">
        <f t="array" ref="H375">TRANSPOSE((_xlfn._xlws.FILTER(INDEX($C$6:$E$1000,,MATCH($G375,$C$5:$E$5,0)),INDEX($C$6:$E$1000,,MATCH($G375,$C$5:$E$5,0))&lt;&gt;"","No hay nada")))</f>
        <v>#VALUE!</v>
      </c>
    </row>
    <row r="376" spans="7:8" x14ac:dyDescent="0.2">
      <c r="G376" t="e">
        <f>Tabla27[[#This Row],[Agrupación]]</f>
        <v>#VALUE!</v>
      </c>
      <c r="H376" t="e" cm="1">
        <f t="array" ref="H376">TRANSPOSE((_xlfn._xlws.FILTER(INDEX($C$6:$E$1000,,MATCH($G376,$C$5:$E$5,0)),INDEX($C$6:$E$1000,,MATCH($G376,$C$5:$E$5,0))&lt;&gt;"","No hay nada")))</f>
        <v>#VALUE!</v>
      </c>
    </row>
    <row r="377" spans="7:8" x14ac:dyDescent="0.2">
      <c r="G377" t="e">
        <f>Tabla27[[#This Row],[Agrupación]]</f>
        <v>#VALUE!</v>
      </c>
      <c r="H377" t="e" cm="1">
        <f t="array" ref="H377">TRANSPOSE((_xlfn._xlws.FILTER(INDEX($C$6:$E$1000,,MATCH($G377,$C$5:$E$5,0)),INDEX($C$6:$E$1000,,MATCH($G377,$C$5:$E$5,0))&lt;&gt;"","No hay nada")))</f>
        <v>#VALUE!</v>
      </c>
    </row>
    <row r="378" spans="7:8" x14ac:dyDescent="0.2">
      <c r="G378" t="e">
        <f>Tabla27[[#This Row],[Agrupación]]</f>
        <v>#VALUE!</v>
      </c>
      <c r="H378" t="e" cm="1">
        <f t="array" ref="H378">TRANSPOSE((_xlfn._xlws.FILTER(INDEX($C$6:$E$1000,,MATCH($G378,$C$5:$E$5,0)),INDEX($C$6:$E$1000,,MATCH($G378,$C$5:$E$5,0))&lt;&gt;"","No hay nada")))</f>
        <v>#VALUE!</v>
      </c>
    </row>
    <row r="379" spans="7:8" x14ac:dyDescent="0.2">
      <c r="G379" t="e">
        <f>Tabla27[[#This Row],[Agrupación]]</f>
        <v>#VALUE!</v>
      </c>
      <c r="H379" t="e" cm="1">
        <f t="array" ref="H379">TRANSPOSE((_xlfn._xlws.FILTER(INDEX($C$6:$E$1000,,MATCH($G379,$C$5:$E$5,0)),INDEX($C$6:$E$1000,,MATCH($G379,$C$5:$E$5,0))&lt;&gt;"","No hay nada")))</f>
        <v>#VALUE!</v>
      </c>
    </row>
    <row r="380" spans="7:8" x14ac:dyDescent="0.2">
      <c r="G380" t="e">
        <f>Tabla27[[#This Row],[Agrupación]]</f>
        <v>#VALUE!</v>
      </c>
      <c r="H380" t="e" cm="1">
        <f t="array" ref="H380">TRANSPOSE((_xlfn._xlws.FILTER(INDEX($C$6:$E$1000,,MATCH($G380,$C$5:$E$5,0)),INDEX($C$6:$E$1000,,MATCH($G380,$C$5:$E$5,0))&lt;&gt;"","No hay nada")))</f>
        <v>#VALUE!</v>
      </c>
    </row>
    <row r="381" spans="7:8" x14ac:dyDescent="0.2">
      <c r="G381" t="e">
        <f>Tabla27[[#This Row],[Agrupación]]</f>
        <v>#VALUE!</v>
      </c>
      <c r="H381" t="e" cm="1">
        <f t="array" ref="H381">TRANSPOSE((_xlfn._xlws.FILTER(INDEX($C$6:$E$1000,,MATCH($G381,$C$5:$E$5,0)),INDEX($C$6:$E$1000,,MATCH($G381,$C$5:$E$5,0))&lt;&gt;"","No hay nada")))</f>
        <v>#VALUE!</v>
      </c>
    </row>
    <row r="382" spans="7:8" x14ac:dyDescent="0.2">
      <c r="G382" t="e">
        <f>Tabla27[[#This Row],[Agrupación]]</f>
        <v>#VALUE!</v>
      </c>
      <c r="H382" t="e" cm="1">
        <f t="array" ref="H382">TRANSPOSE((_xlfn._xlws.FILTER(INDEX($C$6:$E$1000,,MATCH($G382,$C$5:$E$5,0)),INDEX($C$6:$E$1000,,MATCH($G382,$C$5:$E$5,0))&lt;&gt;"","No hay nada")))</f>
        <v>#VALUE!</v>
      </c>
    </row>
    <row r="383" spans="7:8" x14ac:dyDescent="0.2">
      <c r="G383" t="e">
        <f>Tabla27[[#This Row],[Agrupación]]</f>
        <v>#VALUE!</v>
      </c>
      <c r="H383" t="e" cm="1">
        <f t="array" ref="H383">TRANSPOSE((_xlfn._xlws.FILTER(INDEX($C$6:$E$1000,,MATCH($G383,$C$5:$E$5,0)),INDEX($C$6:$E$1000,,MATCH($G383,$C$5:$E$5,0))&lt;&gt;"","No hay nada")))</f>
        <v>#VALUE!</v>
      </c>
    </row>
    <row r="384" spans="7:8" x14ac:dyDescent="0.2">
      <c r="G384" t="e">
        <f>Tabla27[[#This Row],[Agrupación]]</f>
        <v>#VALUE!</v>
      </c>
      <c r="H384" t="e" cm="1">
        <f t="array" ref="H384">TRANSPOSE((_xlfn._xlws.FILTER(INDEX($C$6:$E$1000,,MATCH($G384,$C$5:$E$5,0)),INDEX($C$6:$E$1000,,MATCH($G384,$C$5:$E$5,0))&lt;&gt;"","No hay nada")))</f>
        <v>#VALUE!</v>
      </c>
    </row>
    <row r="385" spans="7:8" x14ac:dyDescent="0.2">
      <c r="G385" t="e">
        <f>Tabla27[[#This Row],[Agrupación]]</f>
        <v>#VALUE!</v>
      </c>
      <c r="H385" t="e" cm="1">
        <f t="array" ref="H385">TRANSPOSE((_xlfn._xlws.FILTER(INDEX($C$6:$E$1000,,MATCH($G385,$C$5:$E$5,0)),INDEX($C$6:$E$1000,,MATCH($G385,$C$5:$E$5,0))&lt;&gt;"","No hay nada")))</f>
        <v>#VALUE!</v>
      </c>
    </row>
    <row r="386" spans="7:8" x14ac:dyDescent="0.2">
      <c r="G386" t="e">
        <f>Tabla27[[#This Row],[Agrupación]]</f>
        <v>#VALUE!</v>
      </c>
      <c r="H386" t="e" cm="1">
        <f t="array" ref="H386">TRANSPOSE((_xlfn._xlws.FILTER(INDEX($C$6:$E$1000,,MATCH($G386,$C$5:$E$5,0)),INDEX($C$6:$E$1000,,MATCH($G386,$C$5:$E$5,0))&lt;&gt;"","No hay nada")))</f>
        <v>#VALUE!</v>
      </c>
    </row>
    <row r="387" spans="7:8" x14ac:dyDescent="0.2">
      <c r="G387" t="e">
        <f>Tabla27[[#This Row],[Agrupación]]</f>
        <v>#VALUE!</v>
      </c>
      <c r="H387" t="e" cm="1">
        <f t="array" ref="H387">TRANSPOSE((_xlfn._xlws.FILTER(INDEX($C$6:$E$1000,,MATCH($G387,$C$5:$E$5,0)),INDEX($C$6:$E$1000,,MATCH($G387,$C$5:$E$5,0))&lt;&gt;"","No hay nada")))</f>
        <v>#VALUE!</v>
      </c>
    </row>
    <row r="388" spans="7:8" x14ac:dyDescent="0.2">
      <c r="G388" t="e">
        <f>Tabla27[[#This Row],[Agrupación]]</f>
        <v>#VALUE!</v>
      </c>
      <c r="H388" t="e" cm="1">
        <f t="array" ref="H388">TRANSPOSE((_xlfn._xlws.FILTER(INDEX($C$6:$E$1000,,MATCH($G388,$C$5:$E$5,0)),INDEX($C$6:$E$1000,,MATCH($G388,$C$5:$E$5,0))&lt;&gt;"","No hay nada")))</f>
        <v>#VALUE!</v>
      </c>
    </row>
    <row r="389" spans="7:8" x14ac:dyDescent="0.2">
      <c r="G389" t="e">
        <f>Tabla27[[#This Row],[Agrupación]]</f>
        <v>#VALUE!</v>
      </c>
      <c r="H389" t="e" cm="1">
        <f t="array" ref="H389">TRANSPOSE((_xlfn._xlws.FILTER(INDEX($C$6:$E$1000,,MATCH($G389,$C$5:$E$5,0)),INDEX($C$6:$E$1000,,MATCH($G389,$C$5:$E$5,0))&lt;&gt;"","No hay nada")))</f>
        <v>#VALUE!</v>
      </c>
    </row>
    <row r="390" spans="7:8" x14ac:dyDescent="0.2">
      <c r="G390" t="e">
        <f>Tabla27[[#This Row],[Agrupación]]</f>
        <v>#VALUE!</v>
      </c>
      <c r="H390" t="e" cm="1">
        <f t="array" ref="H390">TRANSPOSE((_xlfn._xlws.FILTER(INDEX($C$6:$E$1000,,MATCH($G390,$C$5:$E$5,0)),INDEX($C$6:$E$1000,,MATCH($G390,$C$5:$E$5,0))&lt;&gt;"","No hay nada")))</f>
        <v>#VALUE!</v>
      </c>
    </row>
    <row r="391" spans="7:8" x14ac:dyDescent="0.2">
      <c r="G391" t="e">
        <f>Tabla27[[#This Row],[Agrupación]]</f>
        <v>#VALUE!</v>
      </c>
      <c r="H391" t="e" cm="1">
        <f t="array" ref="H391">TRANSPOSE((_xlfn._xlws.FILTER(INDEX($C$6:$E$1000,,MATCH($G391,$C$5:$E$5,0)),INDEX($C$6:$E$1000,,MATCH($G391,$C$5:$E$5,0))&lt;&gt;"","No hay nada")))</f>
        <v>#VALUE!</v>
      </c>
    </row>
    <row r="392" spans="7:8" x14ac:dyDescent="0.2">
      <c r="G392" t="e">
        <f>Tabla27[[#This Row],[Agrupación]]</f>
        <v>#VALUE!</v>
      </c>
      <c r="H392" t="e" cm="1">
        <f t="array" ref="H392">TRANSPOSE((_xlfn._xlws.FILTER(INDEX($C$6:$E$1000,,MATCH($G392,$C$5:$E$5,0)),INDEX($C$6:$E$1000,,MATCH($G392,$C$5:$E$5,0))&lt;&gt;"","No hay nada")))</f>
        <v>#VALUE!</v>
      </c>
    </row>
    <row r="393" spans="7:8" x14ac:dyDescent="0.2">
      <c r="G393" t="e">
        <f>Tabla27[[#This Row],[Agrupación]]</f>
        <v>#VALUE!</v>
      </c>
      <c r="H393" t="e" cm="1">
        <f t="array" ref="H393">TRANSPOSE((_xlfn._xlws.FILTER(INDEX($C$6:$E$1000,,MATCH($G393,$C$5:$E$5,0)),INDEX($C$6:$E$1000,,MATCH($G393,$C$5:$E$5,0))&lt;&gt;"","No hay nada")))</f>
        <v>#VALUE!</v>
      </c>
    </row>
    <row r="394" spans="7:8" x14ac:dyDescent="0.2">
      <c r="G394" t="e">
        <f>Tabla27[[#This Row],[Agrupación]]</f>
        <v>#VALUE!</v>
      </c>
      <c r="H394" t="e" cm="1">
        <f t="array" ref="H394">TRANSPOSE((_xlfn._xlws.FILTER(INDEX($C$6:$E$1000,,MATCH($G394,$C$5:$E$5,0)),INDEX($C$6:$E$1000,,MATCH($G394,$C$5:$E$5,0))&lt;&gt;"","No hay nada")))</f>
        <v>#VALUE!</v>
      </c>
    </row>
    <row r="395" spans="7:8" x14ac:dyDescent="0.2">
      <c r="G395" t="e">
        <f>Tabla27[[#This Row],[Agrupación]]</f>
        <v>#VALUE!</v>
      </c>
      <c r="H395" t="e" cm="1">
        <f t="array" ref="H395">TRANSPOSE((_xlfn._xlws.FILTER(INDEX($C$6:$E$1000,,MATCH($G395,$C$5:$E$5,0)),INDEX($C$6:$E$1000,,MATCH($G395,$C$5:$E$5,0))&lt;&gt;"","No hay nada")))</f>
        <v>#VALUE!</v>
      </c>
    </row>
    <row r="396" spans="7:8" x14ac:dyDescent="0.2">
      <c r="G396" t="e">
        <f>Tabla27[[#This Row],[Agrupación]]</f>
        <v>#VALUE!</v>
      </c>
      <c r="H396" t="e" cm="1">
        <f t="array" ref="H396">TRANSPOSE((_xlfn._xlws.FILTER(INDEX($C$6:$E$1000,,MATCH($G396,$C$5:$E$5,0)),INDEX($C$6:$E$1000,,MATCH($G396,$C$5:$E$5,0))&lt;&gt;"","No hay nada")))</f>
        <v>#VALUE!</v>
      </c>
    </row>
    <row r="397" spans="7:8" x14ac:dyDescent="0.2">
      <c r="G397" t="e">
        <f>Tabla27[[#This Row],[Agrupación]]</f>
        <v>#VALUE!</v>
      </c>
      <c r="H397" t="e" cm="1">
        <f t="array" ref="H397">TRANSPOSE((_xlfn._xlws.FILTER(INDEX($C$6:$E$1000,,MATCH($G397,$C$5:$E$5,0)),INDEX($C$6:$E$1000,,MATCH($G397,$C$5:$E$5,0))&lt;&gt;"","No hay nada")))</f>
        <v>#VALUE!</v>
      </c>
    </row>
    <row r="398" spans="7:8" x14ac:dyDescent="0.2">
      <c r="G398" t="e">
        <f>Tabla27[[#This Row],[Agrupación]]</f>
        <v>#VALUE!</v>
      </c>
      <c r="H398" t="e" cm="1">
        <f t="array" ref="H398">TRANSPOSE((_xlfn._xlws.FILTER(INDEX($C$6:$E$1000,,MATCH($G398,$C$5:$E$5,0)),INDEX($C$6:$E$1000,,MATCH($G398,$C$5:$E$5,0))&lt;&gt;"","No hay nada")))</f>
        <v>#VALUE!</v>
      </c>
    </row>
    <row r="399" spans="7:8" x14ac:dyDescent="0.2">
      <c r="G399" t="e">
        <f>Tabla27[[#This Row],[Agrupación]]</f>
        <v>#VALUE!</v>
      </c>
      <c r="H399" t="e" cm="1">
        <f t="array" ref="H399">TRANSPOSE((_xlfn._xlws.FILTER(INDEX($C$6:$E$1000,,MATCH($G399,$C$5:$E$5,0)),INDEX($C$6:$E$1000,,MATCH($G399,$C$5:$E$5,0))&lt;&gt;"","No hay nada")))</f>
        <v>#VALUE!</v>
      </c>
    </row>
    <row r="400" spans="7:8" x14ac:dyDescent="0.2">
      <c r="G400" t="e">
        <f>Tabla27[[#This Row],[Agrupación]]</f>
        <v>#VALUE!</v>
      </c>
      <c r="H400" t="e" cm="1">
        <f t="array" ref="H400">TRANSPOSE((_xlfn._xlws.FILTER(INDEX($C$6:$E$1000,,MATCH($G400,$C$5:$E$5,0)),INDEX($C$6:$E$1000,,MATCH($G400,$C$5:$E$5,0))&lt;&gt;"","No hay nada")))</f>
        <v>#VALUE!</v>
      </c>
    </row>
    <row r="401" spans="7:8" x14ac:dyDescent="0.2">
      <c r="G401" t="e">
        <f>Tabla27[[#This Row],[Agrupación]]</f>
        <v>#VALUE!</v>
      </c>
      <c r="H401" t="e" cm="1">
        <f t="array" ref="H401">TRANSPOSE((_xlfn._xlws.FILTER(INDEX($C$6:$E$1000,,MATCH($G401,$C$5:$E$5,0)),INDEX($C$6:$E$1000,,MATCH($G401,$C$5:$E$5,0))&lt;&gt;"","No hay nada")))</f>
        <v>#VALUE!</v>
      </c>
    </row>
    <row r="402" spans="7:8" x14ac:dyDescent="0.2">
      <c r="G402" t="e">
        <f>Tabla27[[#This Row],[Agrupación]]</f>
        <v>#VALUE!</v>
      </c>
      <c r="H402" t="e" cm="1">
        <f t="array" ref="H402">TRANSPOSE((_xlfn._xlws.FILTER(INDEX($C$6:$E$1000,,MATCH($G402,$C$5:$E$5,0)),INDEX($C$6:$E$1000,,MATCH($G402,$C$5:$E$5,0))&lt;&gt;"","No hay nada")))</f>
        <v>#VALUE!</v>
      </c>
    </row>
    <row r="403" spans="7:8" x14ac:dyDescent="0.2">
      <c r="G403" t="e">
        <f>Tabla27[[#This Row],[Agrupación]]</f>
        <v>#VALUE!</v>
      </c>
      <c r="H403" t="e" cm="1">
        <f t="array" ref="H403">TRANSPOSE((_xlfn._xlws.FILTER(INDEX($C$6:$E$1000,,MATCH($G403,$C$5:$E$5,0)),INDEX($C$6:$E$1000,,MATCH($G403,$C$5:$E$5,0))&lt;&gt;"","No hay nada")))</f>
        <v>#VALUE!</v>
      </c>
    </row>
    <row r="404" spans="7:8" x14ac:dyDescent="0.2">
      <c r="G404" t="e">
        <f>Tabla27[[#This Row],[Agrupación]]</f>
        <v>#VALUE!</v>
      </c>
      <c r="H404" t="e" cm="1">
        <f t="array" ref="H404">TRANSPOSE((_xlfn._xlws.FILTER(INDEX($C$6:$E$1000,,MATCH($G404,$C$5:$E$5,0)),INDEX($C$6:$E$1000,,MATCH($G404,$C$5:$E$5,0))&lt;&gt;"","No hay nada")))</f>
        <v>#VALUE!</v>
      </c>
    </row>
    <row r="405" spans="7:8" x14ac:dyDescent="0.2">
      <c r="G405" t="e">
        <f>Tabla27[[#This Row],[Agrupación]]</f>
        <v>#VALUE!</v>
      </c>
      <c r="H405" t="e" cm="1">
        <f t="array" ref="H405">TRANSPOSE((_xlfn._xlws.FILTER(INDEX($C$6:$E$1000,,MATCH($G405,$C$5:$E$5,0)),INDEX($C$6:$E$1000,,MATCH($G405,$C$5:$E$5,0))&lt;&gt;"","No hay nada")))</f>
        <v>#VALUE!</v>
      </c>
    </row>
    <row r="406" spans="7:8" x14ac:dyDescent="0.2">
      <c r="G406" t="e">
        <f>Tabla27[[#This Row],[Agrupación]]</f>
        <v>#VALUE!</v>
      </c>
      <c r="H406" t="e" cm="1">
        <f t="array" ref="H406">TRANSPOSE((_xlfn._xlws.FILTER(INDEX($C$6:$E$1000,,MATCH($G406,$C$5:$E$5,0)),INDEX($C$6:$E$1000,,MATCH($G406,$C$5:$E$5,0))&lt;&gt;"","No hay nada")))</f>
        <v>#VALUE!</v>
      </c>
    </row>
    <row r="407" spans="7:8" x14ac:dyDescent="0.2">
      <c r="G407" t="e">
        <f>Tabla27[[#This Row],[Agrupación]]</f>
        <v>#VALUE!</v>
      </c>
      <c r="H407" t="e" cm="1">
        <f t="array" ref="H407">TRANSPOSE((_xlfn._xlws.FILTER(INDEX($C$6:$E$1000,,MATCH($G407,$C$5:$E$5,0)),INDEX($C$6:$E$1000,,MATCH($G407,$C$5:$E$5,0))&lt;&gt;"","No hay nada")))</f>
        <v>#VALUE!</v>
      </c>
    </row>
    <row r="408" spans="7:8" x14ac:dyDescent="0.2">
      <c r="G408" t="e">
        <f>Tabla27[[#This Row],[Agrupación]]</f>
        <v>#VALUE!</v>
      </c>
      <c r="H408" t="e" cm="1">
        <f t="array" ref="H408">TRANSPOSE((_xlfn._xlws.FILTER(INDEX($C$6:$E$1000,,MATCH($G408,$C$5:$E$5,0)),INDEX($C$6:$E$1000,,MATCH($G408,$C$5:$E$5,0))&lt;&gt;"","No hay nada")))</f>
        <v>#VALUE!</v>
      </c>
    </row>
    <row r="409" spans="7:8" x14ac:dyDescent="0.2">
      <c r="G409" t="e">
        <f>Tabla27[[#This Row],[Agrupación]]</f>
        <v>#VALUE!</v>
      </c>
      <c r="H409" t="e" cm="1">
        <f t="array" ref="H409">TRANSPOSE((_xlfn._xlws.FILTER(INDEX($C$6:$E$1000,,MATCH($G409,$C$5:$E$5,0)),INDEX($C$6:$E$1000,,MATCH($G409,$C$5:$E$5,0))&lt;&gt;"","No hay nada")))</f>
        <v>#VALUE!</v>
      </c>
    </row>
    <row r="410" spans="7:8" x14ac:dyDescent="0.2">
      <c r="G410" t="e">
        <f>Tabla27[[#This Row],[Agrupación]]</f>
        <v>#VALUE!</v>
      </c>
      <c r="H410" t="e" cm="1">
        <f t="array" ref="H410">TRANSPOSE((_xlfn._xlws.FILTER(INDEX($C$6:$E$1000,,MATCH($G410,$C$5:$E$5,0)),INDEX($C$6:$E$1000,,MATCH($G410,$C$5:$E$5,0))&lt;&gt;"","No hay nada")))</f>
        <v>#VALUE!</v>
      </c>
    </row>
    <row r="411" spans="7:8" x14ac:dyDescent="0.2">
      <c r="G411" t="e">
        <f>Tabla27[[#This Row],[Agrupación]]</f>
        <v>#VALUE!</v>
      </c>
      <c r="H411" t="e" cm="1">
        <f t="array" ref="H411">TRANSPOSE((_xlfn._xlws.FILTER(INDEX($C$6:$E$1000,,MATCH($G411,$C$5:$E$5,0)),INDEX($C$6:$E$1000,,MATCH($G411,$C$5:$E$5,0))&lt;&gt;"","No hay nada")))</f>
        <v>#VALUE!</v>
      </c>
    </row>
    <row r="412" spans="7:8" x14ac:dyDescent="0.2">
      <c r="G412" t="e">
        <f>Tabla27[[#This Row],[Agrupación]]</f>
        <v>#VALUE!</v>
      </c>
      <c r="H412" t="e" cm="1">
        <f t="array" ref="H412">TRANSPOSE((_xlfn._xlws.FILTER(INDEX($C$6:$E$1000,,MATCH($G412,$C$5:$E$5,0)),INDEX($C$6:$E$1000,,MATCH($G412,$C$5:$E$5,0))&lt;&gt;"","No hay nada")))</f>
        <v>#VALUE!</v>
      </c>
    </row>
    <row r="413" spans="7:8" x14ac:dyDescent="0.2">
      <c r="G413" t="e">
        <f>Tabla27[[#This Row],[Agrupación]]</f>
        <v>#VALUE!</v>
      </c>
      <c r="H413" t="e" cm="1">
        <f t="array" ref="H413">TRANSPOSE((_xlfn._xlws.FILTER(INDEX($C$6:$E$1000,,MATCH($G413,$C$5:$E$5,0)),INDEX($C$6:$E$1000,,MATCH($G413,$C$5:$E$5,0))&lt;&gt;"","No hay nada")))</f>
        <v>#VALUE!</v>
      </c>
    </row>
    <row r="414" spans="7:8" x14ac:dyDescent="0.2">
      <c r="G414" t="e">
        <f>Tabla27[[#This Row],[Agrupación]]</f>
        <v>#VALUE!</v>
      </c>
      <c r="H414" t="e" cm="1">
        <f t="array" ref="H414">TRANSPOSE((_xlfn._xlws.FILTER(INDEX($C$6:$E$1000,,MATCH($G414,$C$5:$E$5,0)),INDEX($C$6:$E$1000,,MATCH($G414,$C$5:$E$5,0))&lt;&gt;"","No hay nada")))</f>
        <v>#VALUE!</v>
      </c>
    </row>
    <row r="415" spans="7:8" x14ac:dyDescent="0.2">
      <c r="G415" t="e">
        <f>Tabla27[[#This Row],[Agrupación]]</f>
        <v>#VALUE!</v>
      </c>
      <c r="H415" t="e" cm="1">
        <f t="array" ref="H415">TRANSPOSE((_xlfn._xlws.FILTER(INDEX($C$6:$E$1000,,MATCH($G415,$C$5:$E$5,0)),INDEX($C$6:$E$1000,,MATCH($G415,$C$5:$E$5,0))&lt;&gt;"","No hay nada")))</f>
        <v>#VALUE!</v>
      </c>
    </row>
    <row r="416" spans="7:8" x14ac:dyDescent="0.2">
      <c r="G416" t="e">
        <f>Tabla27[[#This Row],[Agrupación]]</f>
        <v>#VALUE!</v>
      </c>
      <c r="H416" t="e" cm="1">
        <f t="array" ref="H416">TRANSPOSE((_xlfn._xlws.FILTER(INDEX($C$6:$E$1000,,MATCH($G416,$C$5:$E$5,0)),INDEX($C$6:$E$1000,,MATCH($G416,$C$5:$E$5,0))&lt;&gt;"","No hay nada")))</f>
        <v>#VALUE!</v>
      </c>
    </row>
    <row r="417" spans="7:8" x14ac:dyDescent="0.2">
      <c r="G417" t="e">
        <f>Tabla27[[#This Row],[Agrupación]]</f>
        <v>#VALUE!</v>
      </c>
      <c r="H417" t="e" cm="1">
        <f t="array" ref="H417">TRANSPOSE((_xlfn._xlws.FILTER(INDEX($C$6:$E$1000,,MATCH($G417,$C$5:$E$5,0)),INDEX($C$6:$E$1000,,MATCH($G417,$C$5:$E$5,0))&lt;&gt;"","No hay nada")))</f>
        <v>#VALUE!</v>
      </c>
    </row>
    <row r="418" spans="7:8" x14ac:dyDescent="0.2">
      <c r="G418" t="e">
        <f>Tabla27[[#This Row],[Agrupación]]</f>
        <v>#VALUE!</v>
      </c>
      <c r="H418" t="e" cm="1">
        <f t="array" ref="H418">TRANSPOSE((_xlfn._xlws.FILTER(INDEX($C$6:$E$1000,,MATCH($G418,$C$5:$E$5,0)),INDEX($C$6:$E$1000,,MATCH($G418,$C$5:$E$5,0))&lt;&gt;"","No hay nada")))</f>
        <v>#VALUE!</v>
      </c>
    </row>
    <row r="419" spans="7:8" x14ac:dyDescent="0.2">
      <c r="G419" t="e">
        <f>Tabla27[[#This Row],[Agrupación]]</f>
        <v>#VALUE!</v>
      </c>
      <c r="H419" t="e" cm="1">
        <f t="array" ref="H419">TRANSPOSE((_xlfn._xlws.FILTER(INDEX($C$6:$E$1000,,MATCH($G419,$C$5:$E$5,0)),INDEX($C$6:$E$1000,,MATCH($G419,$C$5:$E$5,0))&lt;&gt;"","No hay nada")))</f>
        <v>#VALUE!</v>
      </c>
    </row>
    <row r="420" spans="7:8" x14ac:dyDescent="0.2">
      <c r="G420" t="e">
        <f>Tabla27[[#This Row],[Agrupación]]</f>
        <v>#VALUE!</v>
      </c>
      <c r="H420" t="e" cm="1">
        <f t="array" ref="H420">TRANSPOSE((_xlfn._xlws.FILTER(INDEX($C$6:$E$1000,,MATCH($G420,$C$5:$E$5,0)),INDEX($C$6:$E$1000,,MATCH($G420,$C$5:$E$5,0))&lt;&gt;"","No hay nada")))</f>
        <v>#VALUE!</v>
      </c>
    </row>
    <row r="421" spans="7:8" x14ac:dyDescent="0.2">
      <c r="G421" t="e">
        <f>Tabla27[[#This Row],[Agrupación]]</f>
        <v>#VALUE!</v>
      </c>
      <c r="H421" t="e" cm="1">
        <f t="array" ref="H421">TRANSPOSE((_xlfn._xlws.FILTER(INDEX($C$6:$E$1000,,MATCH($G421,$C$5:$E$5,0)),INDEX($C$6:$E$1000,,MATCH($G421,$C$5:$E$5,0))&lt;&gt;"","No hay nada")))</f>
        <v>#VALUE!</v>
      </c>
    </row>
    <row r="422" spans="7:8" x14ac:dyDescent="0.2">
      <c r="G422" t="e">
        <f>Tabla27[[#This Row],[Agrupación]]</f>
        <v>#VALUE!</v>
      </c>
      <c r="H422" t="e" cm="1">
        <f t="array" ref="H422">TRANSPOSE((_xlfn._xlws.FILTER(INDEX($C$6:$E$1000,,MATCH($G422,$C$5:$E$5,0)),INDEX($C$6:$E$1000,,MATCH($G422,$C$5:$E$5,0))&lt;&gt;"","No hay nada")))</f>
        <v>#VALUE!</v>
      </c>
    </row>
    <row r="423" spans="7:8" x14ac:dyDescent="0.2">
      <c r="G423" t="e">
        <f>Tabla27[[#This Row],[Agrupación]]</f>
        <v>#VALUE!</v>
      </c>
      <c r="H423" t="e" cm="1">
        <f t="array" ref="H423">TRANSPOSE((_xlfn._xlws.FILTER(INDEX($C$6:$E$1000,,MATCH($G423,$C$5:$E$5,0)),INDEX($C$6:$E$1000,,MATCH($G423,$C$5:$E$5,0))&lt;&gt;"","No hay nada")))</f>
        <v>#VALUE!</v>
      </c>
    </row>
    <row r="424" spans="7:8" x14ac:dyDescent="0.2">
      <c r="G424" t="e">
        <f>Tabla27[[#This Row],[Agrupación]]</f>
        <v>#VALUE!</v>
      </c>
      <c r="H424" t="e" cm="1">
        <f t="array" ref="H424">TRANSPOSE((_xlfn._xlws.FILTER(INDEX($C$6:$E$1000,,MATCH($G424,$C$5:$E$5,0)),INDEX($C$6:$E$1000,,MATCH($G424,$C$5:$E$5,0))&lt;&gt;"","No hay nada")))</f>
        <v>#VALUE!</v>
      </c>
    </row>
    <row r="425" spans="7:8" x14ac:dyDescent="0.2">
      <c r="G425" t="e">
        <f>Tabla27[[#This Row],[Agrupación]]</f>
        <v>#VALUE!</v>
      </c>
      <c r="H425" t="e" cm="1">
        <f t="array" ref="H425">TRANSPOSE((_xlfn._xlws.FILTER(INDEX($C$6:$E$1000,,MATCH($G425,$C$5:$E$5,0)),INDEX($C$6:$E$1000,,MATCH($G425,$C$5:$E$5,0))&lt;&gt;"","No hay nada")))</f>
        <v>#VALUE!</v>
      </c>
    </row>
    <row r="426" spans="7:8" x14ac:dyDescent="0.2">
      <c r="G426" t="e">
        <f>Tabla27[[#This Row],[Agrupación]]</f>
        <v>#VALUE!</v>
      </c>
      <c r="H426" t="e" cm="1">
        <f t="array" ref="H426">TRANSPOSE((_xlfn._xlws.FILTER(INDEX($C$6:$E$1000,,MATCH($G426,$C$5:$E$5,0)),INDEX($C$6:$E$1000,,MATCH($G426,$C$5:$E$5,0))&lt;&gt;"","No hay nada")))</f>
        <v>#VALUE!</v>
      </c>
    </row>
    <row r="427" spans="7:8" x14ac:dyDescent="0.2">
      <c r="G427" t="e">
        <f>Tabla27[[#This Row],[Agrupación]]</f>
        <v>#VALUE!</v>
      </c>
      <c r="H427" t="e" cm="1">
        <f t="array" ref="H427">TRANSPOSE((_xlfn._xlws.FILTER(INDEX($C$6:$E$1000,,MATCH($G427,$C$5:$E$5,0)),INDEX($C$6:$E$1000,,MATCH($G427,$C$5:$E$5,0))&lt;&gt;"","No hay nada")))</f>
        <v>#VALUE!</v>
      </c>
    </row>
    <row r="428" spans="7:8" x14ac:dyDescent="0.2">
      <c r="G428" t="e">
        <f>Tabla27[[#This Row],[Agrupación]]</f>
        <v>#VALUE!</v>
      </c>
      <c r="H428" t="e" cm="1">
        <f t="array" ref="H428">TRANSPOSE((_xlfn._xlws.FILTER(INDEX($C$6:$E$1000,,MATCH($G428,$C$5:$E$5,0)),INDEX($C$6:$E$1000,,MATCH($G428,$C$5:$E$5,0))&lt;&gt;"","No hay nada")))</f>
        <v>#VALUE!</v>
      </c>
    </row>
    <row r="429" spans="7:8" x14ac:dyDescent="0.2">
      <c r="G429" t="e">
        <f>Tabla27[[#This Row],[Agrupación]]</f>
        <v>#VALUE!</v>
      </c>
      <c r="H429" t="e" cm="1">
        <f t="array" ref="H429">TRANSPOSE((_xlfn._xlws.FILTER(INDEX($C$6:$E$1000,,MATCH($G429,$C$5:$E$5,0)),INDEX($C$6:$E$1000,,MATCH($G429,$C$5:$E$5,0))&lt;&gt;"","No hay nada")))</f>
        <v>#VALUE!</v>
      </c>
    </row>
    <row r="430" spans="7:8" x14ac:dyDescent="0.2">
      <c r="G430" t="e">
        <f>Tabla27[[#This Row],[Agrupación]]</f>
        <v>#VALUE!</v>
      </c>
      <c r="H430" t="e" cm="1">
        <f t="array" ref="H430">TRANSPOSE((_xlfn._xlws.FILTER(INDEX($C$6:$E$1000,,MATCH($G430,$C$5:$E$5,0)),INDEX($C$6:$E$1000,,MATCH($G430,$C$5:$E$5,0))&lt;&gt;"","No hay nada")))</f>
        <v>#VALUE!</v>
      </c>
    </row>
    <row r="431" spans="7:8" x14ac:dyDescent="0.2">
      <c r="G431" t="e">
        <f>Tabla27[[#This Row],[Agrupación]]</f>
        <v>#VALUE!</v>
      </c>
      <c r="H431" t="e" cm="1">
        <f t="array" ref="H431">TRANSPOSE((_xlfn._xlws.FILTER(INDEX($C$6:$E$1000,,MATCH($G431,$C$5:$E$5,0)),INDEX($C$6:$E$1000,,MATCH($G431,$C$5:$E$5,0))&lt;&gt;"","No hay nada")))</f>
        <v>#VALUE!</v>
      </c>
    </row>
    <row r="432" spans="7:8" x14ac:dyDescent="0.2">
      <c r="G432" t="e">
        <f>Tabla27[[#This Row],[Agrupación]]</f>
        <v>#VALUE!</v>
      </c>
      <c r="H432" t="e" cm="1">
        <f t="array" ref="H432">TRANSPOSE((_xlfn._xlws.FILTER(INDEX($C$6:$E$1000,,MATCH($G432,$C$5:$E$5,0)),INDEX($C$6:$E$1000,,MATCH($G432,$C$5:$E$5,0))&lt;&gt;"","No hay nada")))</f>
        <v>#VALUE!</v>
      </c>
    </row>
    <row r="433" spans="7:8" x14ac:dyDescent="0.2">
      <c r="G433" t="e">
        <f>Tabla27[[#This Row],[Agrupación]]</f>
        <v>#VALUE!</v>
      </c>
      <c r="H433" t="e" cm="1">
        <f t="array" ref="H433">TRANSPOSE((_xlfn._xlws.FILTER(INDEX($C$6:$E$1000,,MATCH($G433,$C$5:$E$5,0)),INDEX($C$6:$E$1000,,MATCH($G433,$C$5:$E$5,0))&lt;&gt;"","No hay nada")))</f>
        <v>#VALUE!</v>
      </c>
    </row>
    <row r="434" spans="7:8" x14ac:dyDescent="0.2">
      <c r="G434" t="e">
        <f>Tabla27[[#This Row],[Agrupación]]</f>
        <v>#VALUE!</v>
      </c>
      <c r="H434" t="e" cm="1">
        <f t="array" ref="H434">TRANSPOSE((_xlfn._xlws.FILTER(INDEX($C$6:$E$1000,,MATCH($G434,$C$5:$E$5,0)),INDEX($C$6:$E$1000,,MATCH($G434,$C$5:$E$5,0))&lt;&gt;"","No hay nada")))</f>
        <v>#VALUE!</v>
      </c>
    </row>
    <row r="435" spans="7:8" x14ac:dyDescent="0.2">
      <c r="G435" t="e">
        <f>Tabla27[[#This Row],[Agrupación]]</f>
        <v>#VALUE!</v>
      </c>
      <c r="H435" t="e" cm="1">
        <f t="array" ref="H435">TRANSPOSE((_xlfn._xlws.FILTER(INDEX($C$6:$E$1000,,MATCH($G435,$C$5:$E$5,0)),INDEX($C$6:$E$1000,,MATCH($G435,$C$5:$E$5,0))&lt;&gt;"","No hay nada")))</f>
        <v>#VALUE!</v>
      </c>
    </row>
    <row r="436" spans="7:8" x14ac:dyDescent="0.2">
      <c r="G436" t="e">
        <f>Tabla27[[#This Row],[Agrupación]]</f>
        <v>#VALUE!</v>
      </c>
      <c r="H436" t="e" cm="1">
        <f t="array" ref="H436">TRANSPOSE((_xlfn._xlws.FILTER(INDEX($C$6:$E$1000,,MATCH($G436,$C$5:$E$5,0)),INDEX($C$6:$E$1000,,MATCH($G436,$C$5:$E$5,0))&lt;&gt;"","No hay nada")))</f>
        <v>#VALUE!</v>
      </c>
    </row>
    <row r="437" spans="7:8" x14ac:dyDescent="0.2">
      <c r="G437" t="e">
        <f>Tabla27[[#This Row],[Agrupación]]</f>
        <v>#VALUE!</v>
      </c>
      <c r="H437" t="e" cm="1">
        <f t="array" ref="H437">TRANSPOSE((_xlfn._xlws.FILTER(INDEX($C$6:$E$1000,,MATCH($G437,$C$5:$E$5,0)),INDEX($C$6:$E$1000,,MATCH($G437,$C$5:$E$5,0))&lt;&gt;"","No hay nada")))</f>
        <v>#VALUE!</v>
      </c>
    </row>
    <row r="438" spans="7:8" x14ac:dyDescent="0.2">
      <c r="G438" t="e">
        <f>Tabla27[[#This Row],[Agrupación]]</f>
        <v>#VALUE!</v>
      </c>
      <c r="H438" t="e" cm="1">
        <f t="array" ref="H438">TRANSPOSE((_xlfn._xlws.FILTER(INDEX($C$6:$E$1000,,MATCH($G438,$C$5:$E$5,0)),INDEX($C$6:$E$1000,,MATCH($G438,$C$5:$E$5,0))&lt;&gt;"","No hay nada")))</f>
        <v>#VALUE!</v>
      </c>
    </row>
    <row r="439" spans="7:8" x14ac:dyDescent="0.2">
      <c r="G439" t="e">
        <f>Tabla27[[#This Row],[Agrupación]]</f>
        <v>#VALUE!</v>
      </c>
      <c r="H439" t="e" cm="1">
        <f t="array" ref="H439">TRANSPOSE((_xlfn._xlws.FILTER(INDEX($C$6:$E$1000,,MATCH($G439,$C$5:$E$5,0)),INDEX($C$6:$E$1000,,MATCH($G439,$C$5:$E$5,0))&lt;&gt;"","No hay nada")))</f>
        <v>#VALUE!</v>
      </c>
    </row>
    <row r="440" spans="7:8" x14ac:dyDescent="0.2">
      <c r="G440" t="e">
        <f>Tabla27[[#This Row],[Agrupación]]</f>
        <v>#VALUE!</v>
      </c>
      <c r="H440" t="e" cm="1">
        <f t="array" ref="H440">TRANSPOSE((_xlfn._xlws.FILTER(INDEX($C$6:$E$1000,,MATCH($G440,$C$5:$E$5,0)),INDEX($C$6:$E$1000,,MATCH($G440,$C$5:$E$5,0))&lt;&gt;"","No hay nada")))</f>
        <v>#VALUE!</v>
      </c>
    </row>
    <row r="441" spans="7:8" x14ac:dyDescent="0.2">
      <c r="G441" t="e">
        <f>Tabla27[[#This Row],[Agrupación]]</f>
        <v>#VALUE!</v>
      </c>
      <c r="H441" t="e" cm="1">
        <f t="array" ref="H441">TRANSPOSE((_xlfn._xlws.FILTER(INDEX($C$6:$E$1000,,MATCH($G441,$C$5:$E$5,0)),INDEX($C$6:$E$1000,,MATCH($G441,$C$5:$E$5,0))&lt;&gt;"","No hay nada")))</f>
        <v>#VALUE!</v>
      </c>
    </row>
    <row r="442" spans="7:8" x14ac:dyDescent="0.2">
      <c r="G442" t="e">
        <f>Tabla27[[#This Row],[Agrupación]]</f>
        <v>#VALUE!</v>
      </c>
      <c r="H442" t="e" cm="1">
        <f t="array" ref="H442">TRANSPOSE((_xlfn._xlws.FILTER(INDEX($C$6:$E$1000,,MATCH($G442,$C$5:$E$5,0)),INDEX($C$6:$E$1000,,MATCH($G442,$C$5:$E$5,0))&lt;&gt;"","No hay nada")))</f>
        <v>#VALUE!</v>
      </c>
    </row>
    <row r="443" spans="7:8" x14ac:dyDescent="0.2">
      <c r="G443" t="e">
        <f>Tabla27[[#This Row],[Agrupación]]</f>
        <v>#VALUE!</v>
      </c>
      <c r="H443" t="e" cm="1">
        <f t="array" ref="H443">TRANSPOSE((_xlfn._xlws.FILTER(INDEX($C$6:$E$1000,,MATCH($G443,$C$5:$E$5,0)),INDEX($C$6:$E$1000,,MATCH($G443,$C$5:$E$5,0))&lt;&gt;"","No hay nada")))</f>
        <v>#VALUE!</v>
      </c>
    </row>
    <row r="444" spans="7:8" x14ac:dyDescent="0.2">
      <c r="G444" t="e">
        <f>Tabla27[[#This Row],[Agrupación]]</f>
        <v>#VALUE!</v>
      </c>
      <c r="H444" t="e" cm="1">
        <f t="array" ref="H444">TRANSPOSE((_xlfn._xlws.FILTER(INDEX($C$6:$E$1000,,MATCH($G444,$C$5:$E$5,0)),INDEX($C$6:$E$1000,,MATCH($G444,$C$5:$E$5,0))&lt;&gt;"","No hay nada")))</f>
        <v>#VALUE!</v>
      </c>
    </row>
    <row r="445" spans="7:8" x14ac:dyDescent="0.2">
      <c r="G445" t="e">
        <f>Tabla27[[#This Row],[Agrupación]]</f>
        <v>#VALUE!</v>
      </c>
      <c r="H445" t="e" cm="1">
        <f t="array" ref="H445">TRANSPOSE((_xlfn._xlws.FILTER(INDEX($C$6:$E$1000,,MATCH($G445,$C$5:$E$5,0)),INDEX($C$6:$E$1000,,MATCH($G445,$C$5:$E$5,0))&lt;&gt;"","No hay nada")))</f>
        <v>#VALUE!</v>
      </c>
    </row>
    <row r="446" spans="7:8" x14ac:dyDescent="0.2">
      <c r="G446" t="e">
        <f>Tabla27[[#This Row],[Agrupación]]</f>
        <v>#VALUE!</v>
      </c>
      <c r="H446" t="e" cm="1">
        <f t="array" ref="H446">TRANSPOSE((_xlfn._xlws.FILTER(INDEX($C$6:$E$1000,,MATCH($G446,$C$5:$E$5,0)),INDEX($C$6:$E$1000,,MATCH($G446,$C$5:$E$5,0))&lt;&gt;"","No hay nada")))</f>
        <v>#VALUE!</v>
      </c>
    </row>
    <row r="447" spans="7:8" x14ac:dyDescent="0.2">
      <c r="G447" t="e">
        <f>Tabla27[[#This Row],[Agrupación]]</f>
        <v>#VALUE!</v>
      </c>
      <c r="H447" t="e" cm="1">
        <f t="array" ref="H447">TRANSPOSE((_xlfn._xlws.FILTER(INDEX($C$6:$E$1000,,MATCH($G447,$C$5:$E$5,0)),INDEX($C$6:$E$1000,,MATCH($G447,$C$5:$E$5,0))&lt;&gt;"","No hay nada")))</f>
        <v>#VALUE!</v>
      </c>
    </row>
    <row r="448" spans="7:8" x14ac:dyDescent="0.2">
      <c r="G448" t="e">
        <f>Tabla27[[#This Row],[Agrupación]]</f>
        <v>#VALUE!</v>
      </c>
      <c r="H448" t="e" cm="1">
        <f t="array" ref="H448">TRANSPOSE((_xlfn._xlws.FILTER(INDEX($C$6:$E$1000,,MATCH($G448,$C$5:$E$5,0)),INDEX($C$6:$E$1000,,MATCH($G448,$C$5:$E$5,0))&lt;&gt;"","No hay nada")))</f>
        <v>#VALUE!</v>
      </c>
    </row>
    <row r="449" spans="7:8" x14ac:dyDescent="0.2">
      <c r="G449" t="e">
        <f>Tabla27[[#This Row],[Agrupación]]</f>
        <v>#VALUE!</v>
      </c>
      <c r="H449" t="e" cm="1">
        <f t="array" ref="H449">TRANSPOSE((_xlfn._xlws.FILTER(INDEX($C$6:$E$1000,,MATCH($G449,$C$5:$E$5,0)),INDEX($C$6:$E$1000,,MATCH($G449,$C$5:$E$5,0))&lt;&gt;"","No hay nada")))</f>
        <v>#VALUE!</v>
      </c>
    </row>
    <row r="450" spans="7:8" x14ac:dyDescent="0.2">
      <c r="G450" t="e">
        <f>Tabla27[[#This Row],[Agrupación]]</f>
        <v>#VALUE!</v>
      </c>
      <c r="H450" t="e" cm="1">
        <f t="array" ref="H450">TRANSPOSE((_xlfn._xlws.FILTER(INDEX($C$6:$E$1000,,MATCH($G450,$C$5:$E$5,0)),INDEX($C$6:$E$1000,,MATCH($G450,$C$5:$E$5,0))&lt;&gt;"","No hay nada")))</f>
        <v>#VALUE!</v>
      </c>
    </row>
    <row r="451" spans="7:8" x14ac:dyDescent="0.2">
      <c r="G451" t="e">
        <f>Tabla27[[#This Row],[Agrupación]]</f>
        <v>#VALUE!</v>
      </c>
      <c r="H451" t="e" cm="1">
        <f t="array" ref="H451">TRANSPOSE((_xlfn._xlws.FILTER(INDEX($C$6:$E$1000,,MATCH($G451,$C$5:$E$5,0)),INDEX($C$6:$E$1000,,MATCH($G451,$C$5:$E$5,0))&lt;&gt;"","No hay nada")))</f>
        <v>#VALUE!</v>
      </c>
    </row>
    <row r="452" spans="7:8" x14ac:dyDescent="0.2">
      <c r="G452" t="e">
        <f>Tabla27[[#This Row],[Agrupación]]</f>
        <v>#VALUE!</v>
      </c>
      <c r="H452" t="e" cm="1">
        <f t="array" ref="H452">TRANSPOSE((_xlfn._xlws.FILTER(INDEX($C$6:$E$1000,,MATCH($G452,$C$5:$E$5,0)),INDEX($C$6:$E$1000,,MATCH($G452,$C$5:$E$5,0))&lt;&gt;"","No hay nada")))</f>
        <v>#VALUE!</v>
      </c>
    </row>
    <row r="453" spans="7:8" x14ac:dyDescent="0.2">
      <c r="G453" t="e">
        <f>Tabla27[[#This Row],[Agrupación]]</f>
        <v>#VALUE!</v>
      </c>
      <c r="H453" t="e" cm="1">
        <f t="array" ref="H453">TRANSPOSE((_xlfn._xlws.FILTER(INDEX($C$6:$E$1000,,MATCH($G453,$C$5:$E$5,0)),INDEX($C$6:$E$1000,,MATCH($G453,$C$5:$E$5,0))&lt;&gt;"","No hay nada")))</f>
        <v>#VALUE!</v>
      </c>
    </row>
    <row r="454" spans="7:8" x14ac:dyDescent="0.2">
      <c r="G454" t="e">
        <f>Tabla27[[#This Row],[Agrupación]]</f>
        <v>#VALUE!</v>
      </c>
      <c r="H454" t="e" cm="1">
        <f t="array" ref="H454">TRANSPOSE((_xlfn._xlws.FILTER(INDEX($C$6:$E$1000,,MATCH($G454,$C$5:$E$5,0)),INDEX($C$6:$E$1000,,MATCH($G454,$C$5:$E$5,0))&lt;&gt;"","No hay nada")))</f>
        <v>#VALUE!</v>
      </c>
    </row>
    <row r="455" spans="7:8" x14ac:dyDescent="0.2">
      <c r="G455" t="e">
        <f>Tabla27[[#This Row],[Agrupación]]</f>
        <v>#VALUE!</v>
      </c>
      <c r="H455" t="e" cm="1">
        <f t="array" ref="H455">TRANSPOSE((_xlfn._xlws.FILTER(INDEX($C$6:$E$1000,,MATCH($G455,$C$5:$E$5,0)),INDEX($C$6:$E$1000,,MATCH($G455,$C$5:$E$5,0))&lt;&gt;"","No hay nada")))</f>
        <v>#VALUE!</v>
      </c>
    </row>
    <row r="456" spans="7:8" x14ac:dyDescent="0.2">
      <c r="G456" t="e">
        <f>Tabla27[[#This Row],[Agrupación]]</f>
        <v>#VALUE!</v>
      </c>
      <c r="H456" t="e" cm="1">
        <f t="array" ref="H456">TRANSPOSE((_xlfn._xlws.FILTER(INDEX($C$6:$E$1000,,MATCH($G456,$C$5:$E$5,0)),INDEX($C$6:$E$1000,,MATCH($G456,$C$5:$E$5,0))&lt;&gt;"","No hay nada")))</f>
        <v>#VALUE!</v>
      </c>
    </row>
    <row r="457" spans="7:8" x14ac:dyDescent="0.2">
      <c r="G457" t="e">
        <f>Tabla27[[#This Row],[Agrupación]]</f>
        <v>#VALUE!</v>
      </c>
      <c r="H457" t="e" cm="1">
        <f t="array" ref="H457">TRANSPOSE((_xlfn._xlws.FILTER(INDEX($C$6:$E$1000,,MATCH($G457,$C$5:$E$5,0)),INDEX($C$6:$E$1000,,MATCH($G457,$C$5:$E$5,0))&lt;&gt;"","No hay nada")))</f>
        <v>#VALUE!</v>
      </c>
    </row>
    <row r="458" spans="7:8" x14ac:dyDescent="0.2">
      <c r="G458" t="e">
        <f>Tabla27[[#This Row],[Agrupación]]</f>
        <v>#VALUE!</v>
      </c>
      <c r="H458" t="e" cm="1">
        <f t="array" ref="H458">TRANSPOSE((_xlfn._xlws.FILTER(INDEX($C$6:$E$1000,,MATCH($G458,$C$5:$E$5,0)),INDEX($C$6:$E$1000,,MATCH($G458,$C$5:$E$5,0))&lt;&gt;"","No hay nada")))</f>
        <v>#VALUE!</v>
      </c>
    </row>
    <row r="459" spans="7:8" x14ac:dyDescent="0.2">
      <c r="G459" t="e">
        <f>Tabla27[[#This Row],[Agrupación]]</f>
        <v>#VALUE!</v>
      </c>
      <c r="H459" t="e" cm="1">
        <f t="array" ref="H459">TRANSPOSE((_xlfn._xlws.FILTER(INDEX($C$6:$E$1000,,MATCH($G459,$C$5:$E$5,0)),INDEX($C$6:$E$1000,,MATCH($G459,$C$5:$E$5,0))&lt;&gt;"","No hay nada")))</f>
        <v>#VALUE!</v>
      </c>
    </row>
    <row r="460" spans="7:8" x14ac:dyDescent="0.2">
      <c r="G460" t="e">
        <f>Tabla27[[#This Row],[Agrupación]]</f>
        <v>#VALUE!</v>
      </c>
      <c r="H460" t="e" cm="1">
        <f t="array" ref="H460">TRANSPOSE((_xlfn._xlws.FILTER(INDEX($C$6:$E$1000,,MATCH($G460,$C$5:$E$5,0)),INDEX($C$6:$E$1000,,MATCH($G460,$C$5:$E$5,0))&lt;&gt;"","No hay nada")))</f>
        <v>#VALUE!</v>
      </c>
    </row>
    <row r="461" spans="7:8" x14ac:dyDescent="0.2">
      <c r="G461" t="e">
        <f>Tabla27[[#This Row],[Agrupación]]</f>
        <v>#VALUE!</v>
      </c>
      <c r="H461" t="e" cm="1">
        <f t="array" ref="H461">TRANSPOSE((_xlfn._xlws.FILTER(INDEX($C$6:$E$1000,,MATCH($G461,$C$5:$E$5,0)),INDEX($C$6:$E$1000,,MATCH($G461,$C$5:$E$5,0))&lt;&gt;"","No hay nada")))</f>
        <v>#VALUE!</v>
      </c>
    </row>
    <row r="462" spans="7:8" x14ac:dyDescent="0.2">
      <c r="G462" t="e">
        <f>Tabla27[[#This Row],[Agrupación]]</f>
        <v>#VALUE!</v>
      </c>
      <c r="H462" t="e" cm="1">
        <f t="array" ref="H462">TRANSPOSE((_xlfn._xlws.FILTER(INDEX($C$6:$E$1000,,MATCH($G462,$C$5:$E$5,0)),INDEX($C$6:$E$1000,,MATCH($G462,$C$5:$E$5,0))&lt;&gt;"","No hay nada")))</f>
        <v>#VALUE!</v>
      </c>
    </row>
    <row r="463" spans="7:8" x14ac:dyDescent="0.2">
      <c r="G463" t="e">
        <f>Tabla27[[#This Row],[Agrupación]]</f>
        <v>#VALUE!</v>
      </c>
      <c r="H463" t="e" cm="1">
        <f t="array" ref="H463">TRANSPOSE((_xlfn._xlws.FILTER(INDEX($C$6:$E$1000,,MATCH($G463,$C$5:$E$5,0)),INDEX($C$6:$E$1000,,MATCH($G463,$C$5:$E$5,0))&lt;&gt;"","No hay nada")))</f>
        <v>#VALUE!</v>
      </c>
    </row>
    <row r="464" spans="7:8" x14ac:dyDescent="0.2">
      <c r="G464" t="e">
        <f>Tabla27[[#This Row],[Agrupación]]</f>
        <v>#VALUE!</v>
      </c>
      <c r="H464" t="e" cm="1">
        <f t="array" ref="H464">TRANSPOSE((_xlfn._xlws.FILTER(INDEX($C$6:$E$1000,,MATCH($G464,$C$5:$E$5,0)),INDEX($C$6:$E$1000,,MATCH($G464,$C$5:$E$5,0))&lt;&gt;"","No hay nada")))</f>
        <v>#VALUE!</v>
      </c>
    </row>
    <row r="465" spans="7:8" x14ac:dyDescent="0.2">
      <c r="G465" t="e">
        <f>Tabla27[[#This Row],[Agrupación]]</f>
        <v>#VALUE!</v>
      </c>
      <c r="H465" t="e" cm="1">
        <f t="array" ref="H465">TRANSPOSE((_xlfn._xlws.FILTER(INDEX($C$6:$E$1000,,MATCH($G465,$C$5:$E$5,0)),INDEX($C$6:$E$1000,,MATCH($G465,$C$5:$E$5,0))&lt;&gt;"","No hay nada")))</f>
        <v>#VALUE!</v>
      </c>
    </row>
    <row r="466" spans="7:8" x14ac:dyDescent="0.2">
      <c r="G466" t="e">
        <f>Tabla27[[#This Row],[Agrupación]]</f>
        <v>#VALUE!</v>
      </c>
      <c r="H466" t="e" cm="1">
        <f t="array" ref="H466">TRANSPOSE((_xlfn._xlws.FILTER(INDEX($C$6:$E$1000,,MATCH($G466,$C$5:$E$5,0)),INDEX($C$6:$E$1000,,MATCH($G466,$C$5:$E$5,0))&lt;&gt;"","No hay nada")))</f>
        <v>#VALUE!</v>
      </c>
    </row>
    <row r="467" spans="7:8" x14ac:dyDescent="0.2">
      <c r="G467" t="e">
        <f>Tabla27[[#This Row],[Agrupación]]</f>
        <v>#VALUE!</v>
      </c>
      <c r="H467" t="e" cm="1">
        <f t="array" ref="H467">TRANSPOSE((_xlfn._xlws.FILTER(INDEX($C$6:$E$1000,,MATCH($G467,$C$5:$E$5,0)),INDEX($C$6:$E$1000,,MATCH($G467,$C$5:$E$5,0))&lt;&gt;"","No hay nada")))</f>
        <v>#VALUE!</v>
      </c>
    </row>
    <row r="468" spans="7:8" x14ac:dyDescent="0.2">
      <c r="G468" t="e">
        <f>Tabla27[[#This Row],[Agrupación]]</f>
        <v>#VALUE!</v>
      </c>
      <c r="H468" t="e" cm="1">
        <f t="array" ref="H468">TRANSPOSE((_xlfn._xlws.FILTER(INDEX($C$6:$E$1000,,MATCH($G468,$C$5:$E$5,0)),INDEX($C$6:$E$1000,,MATCH($G468,$C$5:$E$5,0))&lt;&gt;"","No hay nada")))</f>
        <v>#VALUE!</v>
      </c>
    </row>
    <row r="469" spans="7:8" x14ac:dyDescent="0.2">
      <c r="G469" t="e">
        <f>Tabla27[[#This Row],[Agrupación]]</f>
        <v>#VALUE!</v>
      </c>
      <c r="H469" t="e" cm="1">
        <f t="array" ref="H469">TRANSPOSE((_xlfn._xlws.FILTER(INDEX($C$6:$E$1000,,MATCH($G469,$C$5:$E$5,0)),INDEX($C$6:$E$1000,,MATCH($G469,$C$5:$E$5,0))&lt;&gt;"","No hay nada")))</f>
        <v>#VALUE!</v>
      </c>
    </row>
    <row r="470" spans="7:8" x14ac:dyDescent="0.2">
      <c r="G470" t="e">
        <f>Tabla27[[#This Row],[Agrupación]]</f>
        <v>#VALUE!</v>
      </c>
      <c r="H470" t="e" cm="1">
        <f t="array" ref="H470">TRANSPOSE((_xlfn._xlws.FILTER(INDEX($C$6:$E$1000,,MATCH($G470,$C$5:$E$5,0)),INDEX($C$6:$E$1000,,MATCH($G470,$C$5:$E$5,0))&lt;&gt;"","No hay nada")))</f>
        <v>#VALUE!</v>
      </c>
    </row>
    <row r="471" spans="7:8" x14ac:dyDescent="0.2">
      <c r="G471" t="e">
        <f>Tabla27[[#This Row],[Agrupación]]</f>
        <v>#VALUE!</v>
      </c>
      <c r="H471" t="e" cm="1">
        <f t="array" ref="H471">TRANSPOSE((_xlfn._xlws.FILTER(INDEX($C$6:$E$1000,,MATCH($G471,$C$5:$E$5,0)),INDEX($C$6:$E$1000,,MATCH($G471,$C$5:$E$5,0))&lt;&gt;"","No hay nada")))</f>
        <v>#VALUE!</v>
      </c>
    </row>
    <row r="472" spans="7:8" x14ac:dyDescent="0.2">
      <c r="G472" t="e">
        <f>Tabla27[[#This Row],[Agrupación]]</f>
        <v>#VALUE!</v>
      </c>
      <c r="H472" t="e" cm="1">
        <f t="array" ref="H472">TRANSPOSE((_xlfn._xlws.FILTER(INDEX($C$6:$E$1000,,MATCH($G472,$C$5:$E$5,0)),INDEX($C$6:$E$1000,,MATCH($G472,$C$5:$E$5,0))&lt;&gt;"","No hay nada")))</f>
        <v>#VALUE!</v>
      </c>
    </row>
    <row r="473" spans="7:8" x14ac:dyDescent="0.2">
      <c r="G473" t="e">
        <f>Tabla27[[#This Row],[Agrupación]]</f>
        <v>#VALUE!</v>
      </c>
      <c r="H473" t="e" cm="1">
        <f t="array" ref="H473">TRANSPOSE((_xlfn._xlws.FILTER(INDEX($C$6:$E$1000,,MATCH($G473,$C$5:$E$5,0)),INDEX($C$6:$E$1000,,MATCH($G473,$C$5:$E$5,0))&lt;&gt;"","No hay nada")))</f>
        <v>#VALUE!</v>
      </c>
    </row>
    <row r="474" spans="7:8" x14ac:dyDescent="0.2">
      <c r="G474" t="e">
        <f>Tabla27[[#This Row],[Agrupación]]</f>
        <v>#VALUE!</v>
      </c>
      <c r="H474" t="e" cm="1">
        <f t="array" ref="H474">TRANSPOSE((_xlfn._xlws.FILTER(INDEX($C$6:$E$1000,,MATCH($G474,$C$5:$E$5,0)),INDEX($C$6:$E$1000,,MATCH($G474,$C$5:$E$5,0))&lt;&gt;"","No hay nada")))</f>
        <v>#VALUE!</v>
      </c>
    </row>
    <row r="475" spans="7:8" x14ac:dyDescent="0.2">
      <c r="G475" t="e">
        <f>Tabla27[[#This Row],[Agrupación]]</f>
        <v>#VALUE!</v>
      </c>
      <c r="H475" t="e" cm="1">
        <f t="array" ref="H475">TRANSPOSE((_xlfn._xlws.FILTER(INDEX($C$6:$E$1000,,MATCH($G475,$C$5:$E$5,0)),INDEX($C$6:$E$1000,,MATCH($G475,$C$5:$E$5,0))&lt;&gt;"","No hay nada")))</f>
        <v>#VALUE!</v>
      </c>
    </row>
    <row r="476" spans="7:8" x14ac:dyDescent="0.2">
      <c r="G476" t="e">
        <f>Tabla27[[#This Row],[Agrupación]]</f>
        <v>#VALUE!</v>
      </c>
      <c r="H476" t="e" cm="1">
        <f t="array" ref="H476">TRANSPOSE((_xlfn._xlws.FILTER(INDEX($C$6:$E$1000,,MATCH($G476,$C$5:$E$5,0)),INDEX($C$6:$E$1000,,MATCH($G476,$C$5:$E$5,0))&lt;&gt;"","No hay nada")))</f>
        <v>#VALUE!</v>
      </c>
    </row>
    <row r="477" spans="7:8" x14ac:dyDescent="0.2">
      <c r="G477" t="e">
        <f>Tabla27[[#This Row],[Agrupación]]</f>
        <v>#VALUE!</v>
      </c>
      <c r="H477" t="e" cm="1">
        <f t="array" ref="H477">TRANSPOSE((_xlfn._xlws.FILTER(INDEX($C$6:$E$1000,,MATCH($G477,$C$5:$E$5,0)),INDEX($C$6:$E$1000,,MATCH($G477,$C$5:$E$5,0))&lt;&gt;"","No hay nada")))</f>
        <v>#VALUE!</v>
      </c>
    </row>
    <row r="478" spans="7:8" x14ac:dyDescent="0.2">
      <c r="G478" t="e">
        <f>Tabla27[[#This Row],[Agrupación]]</f>
        <v>#VALUE!</v>
      </c>
      <c r="H478" t="e" cm="1">
        <f t="array" ref="H478">TRANSPOSE((_xlfn._xlws.FILTER(INDEX($C$6:$E$1000,,MATCH($G478,$C$5:$E$5,0)),INDEX($C$6:$E$1000,,MATCH($G478,$C$5:$E$5,0))&lt;&gt;"","No hay nada")))</f>
        <v>#VALUE!</v>
      </c>
    </row>
    <row r="479" spans="7:8" x14ac:dyDescent="0.2">
      <c r="G479" t="e">
        <f>Tabla27[[#This Row],[Agrupación]]</f>
        <v>#VALUE!</v>
      </c>
      <c r="H479" t="e" cm="1">
        <f t="array" ref="H479">TRANSPOSE((_xlfn._xlws.FILTER(INDEX($C$6:$E$1000,,MATCH($G479,$C$5:$E$5,0)),INDEX($C$6:$E$1000,,MATCH($G479,$C$5:$E$5,0))&lt;&gt;"","No hay nada")))</f>
        <v>#VALUE!</v>
      </c>
    </row>
    <row r="480" spans="7:8" x14ac:dyDescent="0.2">
      <c r="G480" t="e">
        <f>Tabla27[[#This Row],[Agrupación]]</f>
        <v>#VALUE!</v>
      </c>
      <c r="H480" t="e" cm="1">
        <f t="array" ref="H480">TRANSPOSE((_xlfn._xlws.FILTER(INDEX($C$6:$E$1000,,MATCH($G480,$C$5:$E$5,0)),INDEX($C$6:$E$1000,,MATCH($G480,$C$5:$E$5,0))&lt;&gt;"","No hay nada")))</f>
        <v>#VALUE!</v>
      </c>
    </row>
    <row r="481" spans="7:8" x14ac:dyDescent="0.2">
      <c r="G481" t="e">
        <f>Tabla27[[#This Row],[Agrupación]]</f>
        <v>#VALUE!</v>
      </c>
      <c r="H481" t="e" cm="1">
        <f t="array" ref="H481">TRANSPOSE((_xlfn._xlws.FILTER(INDEX($C$6:$E$1000,,MATCH($G481,$C$5:$E$5,0)),INDEX($C$6:$E$1000,,MATCH($G481,$C$5:$E$5,0))&lt;&gt;"","No hay nada")))</f>
        <v>#VALUE!</v>
      </c>
    </row>
    <row r="482" spans="7:8" x14ac:dyDescent="0.2">
      <c r="G482" t="e">
        <f>Tabla27[[#This Row],[Agrupación]]</f>
        <v>#VALUE!</v>
      </c>
      <c r="H482" t="e" cm="1">
        <f t="array" ref="H482">TRANSPOSE((_xlfn._xlws.FILTER(INDEX($C$6:$E$1000,,MATCH($G482,$C$5:$E$5,0)),INDEX($C$6:$E$1000,,MATCH($G482,$C$5:$E$5,0))&lt;&gt;"","No hay nada")))</f>
        <v>#VALUE!</v>
      </c>
    </row>
    <row r="483" spans="7:8" x14ac:dyDescent="0.2">
      <c r="G483" t="e">
        <f>Tabla27[[#This Row],[Agrupación]]</f>
        <v>#VALUE!</v>
      </c>
      <c r="H483" t="e" cm="1">
        <f t="array" ref="H483">TRANSPOSE((_xlfn._xlws.FILTER(INDEX($C$6:$E$1000,,MATCH($G483,$C$5:$E$5,0)),INDEX($C$6:$E$1000,,MATCH($G483,$C$5:$E$5,0))&lt;&gt;"","No hay nada")))</f>
        <v>#VALUE!</v>
      </c>
    </row>
    <row r="484" spans="7:8" x14ac:dyDescent="0.2">
      <c r="G484" t="e">
        <f>Tabla27[[#This Row],[Agrupación]]</f>
        <v>#VALUE!</v>
      </c>
      <c r="H484" t="e" cm="1">
        <f t="array" ref="H484">TRANSPOSE((_xlfn._xlws.FILTER(INDEX($C$6:$E$1000,,MATCH($G484,$C$5:$E$5,0)),INDEX($C$6:$E$1000,,MATCH($G484,$C$5:$E$5,0))&lt;&gt;"","No hay nada")))</f>
        <v>#VALUE!</v>
      </c>
    </row>
    <row r="485" spans="7:8" x14ac:dyDescent="0.2">
      <c r="G485" t="e">
        <f>Tabla27[[#This Row],[Agrupación]]</f>
        <v>#VALUE!</v>
      </c>
      <c r="H485" t="e" cm="1">
        <f t="array" ref="H485">TRANSPOSE((_xlfn._xlws.FILTER(INDEX($C$6:$E$1000,,MATCH($G485,$C$5:$E$5,0)),INDEX($C$6:$E$1000,,MATCH($G485,$C$5:$E$5,0))&lt;&gt;"","No hay nada")))</f>
        <v>#VALUE!</v>
      </c>
    </row>
    <row r="486" spans="7:8" x14ac:dyDescent="0.2">
      <c r="G486" t="e">
        <f>Tabla27[[#This Row],[Agrupación]]</f>
        <v>#VALUE!</v>
      </c>
      <c r="H486" t="e" cm="1">
        <f t="array" ref="H486">TRANSPOSE((_xlfn._xlws.FILTER(INDEX($C$6:$E$1000,,MATCH($G486,$C$5:$E$5,0)),INDEX($C$6:$E$1000,,MATCH($G486,$C$5:$E$5,0))&lt;&gt;"","No hay nada")))</f>
        <v>#VALUE!</v>
      </c>
    </row>
    <row r="487" spans="7:8" x14ac:dyDescent="0.2">
      <c r="G487" t="e">
        <f>Tabla27[[#This Row],[Agrupación]]</f>
        <v>#VALUE!</v>
      </c>
      <c r="H487" t="e" cm="1">
        <f t="array" ref="H487">TRANSPOSE((_xlfn._xlws.FILTER(INDEX($C$6:$E$1000,,MATCH($G487,$C$5:$E$5,0)),INDEX($C$6:$E$1000,,MATCH($G487,$C$5:$E$5,0))&lt;&gt;"","No hay nada")))</f>
        <v>#VALUE!</v>
      </c>
    </row>
    <row r="488" spans="7:8" x14ac:dyDescent="0.2">
      <c r="G488" t="e">
        <f>Tabla27[[#This Row],[Agrupación]]</f>
        <v>#VALUE!</v>
      </c>
      <c r="H488" t="e" cm="1">
        <f t="array" ref="H488">TRANSPOSE((_xlfn._xlws.FILTER(INDEX($C$6:$E$1000,,MATCH($G488,$C$5:$E$5,0)),INDEX($C$6:$E$1000,,MATCH($G488,$C$5:$E$5,0))&lt;&gt;"","No hay nada")))</f>
        <v>#VALUE!</v>
      </c>
    </row>
    <row r="489" spans="7:8" x14ac:dyDescent="0.2">
      <c r="G489" t="e">
        <f>Tabla27[[#This Row],[Agrupación]]</f>
        <v>#VALUE!</v>
      </c>
      <c r="H489" t="e" cm="1">
        <f t="array" ref="H489">TRANSPOSE((_xlfn._xlws.FILTER(INDEX($C$6:$E$1000,,MATCH($G489,$C$5:$E$5,0)),INDEX($C$6:$E$1000,,MATCH($G489,$C$5:$E$5,0))&lt;&gt;"","No hay nada")))</f>
        <v>#VALUE!</v>
      </c>
    </row>
    <row r="490" spans="7:8" x14ac:dyDescent="0.2">
      <c r="G490" t="e">
        <f>Tabla27[[#This Row],[Agrupación]]</f>
        <v>#VALUE!</v>
      </c>
      <c r="H490" t="e" cm="1">
        <f t="array" ref="H490">TRANSPOSE((_xlfn._xlws.FILTER(INDEX($C$6:$E$1000,,MATCH($G490,$C$5:$E$5,0)),INDEX($C$6:$E$1000,,MATCH($G490,$C$5:$E$5,0))&lt;&gt;"","No hay nada")))</f>
        <v>#VALUE!</v>
      </c>
    </row>
    <row r="491" spans="7:8" x14ac:dyDescent="0.2">
      <c r="G491" t="e">
        <f>Tabla27[[#This Row],[Agrupación]]</f>
        <v>#VALUE!</v>
      </c>
      <c r="H491" t="e" cm="1">
        <f t="array" ref="H491">TRANSPOSE((_xlfn._xlws.FILTER(INDEX($C$6:$E$1000,,MATCH($G491,$C$5:$E$5,0)),INDEX($C$6:$E$1000,,MATCH($G491,$C$5:$E$5,0))&lt;&gt;"","No hay nada")))</f>
        <v>#VALUE!</v>
      </c>
    </row>
    <row r="492" spans="7:8" x14ac:dyDescent="0.2">
      <c r="G492" t="e">
        <f>Tabla27[[#This Row],[Agrupación]]</f>
        <v>#VALUE!</v>
      </c>
      <c r="H492" t="e" cm="1">
        <f t="array" ref="H492">TRANSPOSE((_xlfn._xlws.FILTER(INDEX($C$6:$E$1000,,MATCH($G492,$C$5:$E$5,0)),INDEX($C$6:$E$1000,,MATCH($G492,$C$5:$E$5,0))&lt;&gt;"","No hay nada")))</f>
        <v>#VALUE!</v>
      </c>
    </row>
    <row r="493" spans="7:8" x14ac:dyDescent="0.2">
      <c r="G493" t="e">
        <f>Tabla27[[#This Row],[Agrupación]]</f>
        <v>#VALUE!</v>
      </c>
      <c r="H493" t="e" cm="1">
        <f t="array" ref="H493">TRANSPOSE((_xlfn._xlws.FILTER(INDEX($C$6:$E$1000,,MATCH($G493,$C$5:$E$5,0)),INDEX($C$6:$E$1000,,MATCH($G493,$C$5:$E$5,0))&lt;&gt;"","No hay nada")))</f>
        <v>#VALUE!</v>
      </c>
    </row>
    <row r="494" spans="7:8" x14ac:dyDescent="0.2">
      <c r="G494" t="e">
        <f>Tabla27[[#This Row],[Agrupación]]</f>
        <v>#VALUE!</v>
      </c>
      <c r="H494" t="e" cm="1">
        <f t="array" ref="H494">TRANSPOSE((_xlfn._xlws.FILTER(INDEX($C$6:$E$1000,,MATCH($G494,$C$5:$E$5,0)),INDEX($C$6:$E$1000,,MATCH($G494,$C$5:$E$5,0))&lt;&gt;"","No hay nada")))</f>
        <v>#VALUE!</v>
      </c>
    </row>
    <row r="495" spans="7:8" x14ac:dyDescent="0.2">
      <c r="G495" t="e">
        <f>Tabla27[[#This Row],[Agrupación]]</f>
        <v>#VALUE!</v>
      </c>
      <c r="H495" t="e" cm="1">
        <f t="array" ref="H495">TRANSPOSE((_xlfn._xlws.FILTER(INDEX($C$6:$E$1000,,MATCH($G495,$C$5:$E$5,0)),INDEX($C$6:$E$1000,,MATCH($G495,$C$5:$E$5,0))&lt;&gt;"","No hay nada")))</f>
        <v>#VALUE!</v>
      </c>
    </row>
    <row r="496" spans="7:8" x14ac:dyDescent="0.2">
      <c r="G496" t="e">
        <f>Tabla27[[#This Row],[Agrupación]]</f>
        <v>#VALUE!</v>
      </c>
      <c r="H496" t="e" cm="1">
        <f t="array" ref="H496">TRANSPOSE((_xlfn._xlws.FILTER(INDEX($C$6:$E$1000,,MATCH($G496,$C$5:$E$5,0)),INDEX($C$6:$E$1000,,MATCH($G496,$C$5:$E$5,0))&lt;&gt;"","No hay nada")))</f>
        <v>#VALUE!</v>
      </c>
    </row>
    <row r="497" spans="7:8" x14ac:dyDescent="0.2">
      <c r="G497" t="e">
        <f>Tabla27[[#This Row],[Agrupación]]</f>
        <v>#VALUE!</v>
      </c>
      <c r="H497" t="e" cm="1">
        <f t="array" ref="H497">TRANSPOSE((_xlfn._xlws.FILTER(INDEX($C$6:$E$1000,,MATCH($G497,$C$5:$E$5,0)),INDEX($C$6:$E$1000,,MATCH($G497,$C$5:$E$5,0))&lt;&gt;"","No hay nada")))</f>
        <v>#VALUE!</v>
      </c>
    </row>
    <row r="498" spans="7:8" x14ac:dyDescent="0.2">
      <c r="G498" t="e">
        <f>Tabla27[[#This Row],[Agrupación]]</f>
        <v>#VALUE!</v>
      </c>
      <c r="H498" t="e" cm="1">
        <f t="array" ref="H498">TRANSPOSE((_xlfn._xlws.FILTER(INDEX($C$6:$E$1000,,MATCH($G498,$C$5:$E$5,0)),INDEX($C$6:$E$1000,,MATCH($G498,$C$5:$E$5,0))&lt;&gt;"","No hay nada")))</f>
        <v>#VALUE!</v>
      </c>
    </row>
    <row r="499" spans="7:8" x14ac:dyDescent="0.2">
      <c r="G499" t="e">
        <f>Tabla27[[#This Row],[Agrupación]]</f>
        <v>#VALUE!</v>
      </c>
      <c r="H499" t="e" cm="1">
        <f t="array" ref="H499">TRANSPOSE((_xlfn._xlws.FILTER(INDEX($C$6:$E$1000,,MATCH($G499,$C$5:$E$5,0)),INDEX($C$6:$E$1000,,MATCH($G499,$C$5:$E$5,0))&lt;&gt;"","No hay nada")))</f>
        <v>#VALUE!</v>
      </c>
    </row>
    <row r="500" spans="7:8" x14ac:dyDescent="0.2">
      <c r="G500" t="e">
        <f>Tabla27[[#This Row],[Agrupación]]</f>
        <v>#VALUE!</v>
      </c>
      <c r="H500" t="e" cm="1">
        <f t="array" ref="H500">TRANSPOSE((_xlfn._xlws.FILTER(INDEX($C$6:$E$1000,,MATCH($G500,$C$5:$E$5,0)),INDEX($C$6:$E$1000,,MATCH($G500,$C$5:$E$5,0))&lt;&gt;"","No hay nada")))</f>
        <v>#VALUE!</v>
      </c>
    </row>
    <row r="501" spans="7:8" x14ac:dyDescent="0.2">
      <c r="G501" t="e">
        <f>Tabla27[[#This Row],[Agrupación]]</f>
        <v>#VALUE!</v>
      </c>
      <c r="H501" t="e" cm="1">
        <f t="array" ref="H501">TRANSPOSE((_xlfn._xlws.FILTER(INDEX($C$6:$E$1000,,MATCH($G501,$C$5:$E$5,0)),INDEX($C$6:$E$1000,,MATCH($G501,$C$5:$E$5,0))&lt;&gt;"","No hay nada")))</f>
        <v>#VALUE!</v>
      </c>
    </row>
    <row r="502" spans="7:8" x14ac:dyDescent="0.2">
      <c r="G502" t="e">
        <f>Tabla27[[#This Row],[Agrupación]]</f>
        <v>#VALUE!</v>
      </c>
      <c r="H502" t="e" cm="1">
        <f t="array" ref="H502">TRANSPOSE((_xlfn._xlws.FILTER(INDEX($C$6:$E$1000,,MATCH($G502,$C$5:$E$5,0)),INDEX($C$6:$E$1000,,MATCH($G502,$C$5:$E$5,0))&lt;&gt;"","No hay nada")))</f>
        <v>#VALUE!</v>
      </c>
    </row>
    <row r="503" spans="7:8" x14ac:dyDescent="0.2">
      <c r="G503" t="e">
        <f>Tabla27[[#This Row],[Agrupación]]</f>
        <v>#VALUE!</v>
      </c>
      <c r="H503" t="e" cm="1">
        <f t="array" ref="H503">TRANSPOSE((_xlfn._xlws.FILTER(INDEX($C$6:$E$1000,,MATCH($G503,$C$5:$E$5,0)),INDEX($C$6:$E$1000,,MATCH($G503,$C$5:$E$5,0))&lt;&gt;"","No hay nada")))</f>
        <v>#VALUE!</v>
      </c>
    </row>
    <row r="504" spans="7:8" x14ac:dyDescent="0.2">
      <c r="G504" t="e">
        <f>Tabla27[[#This Row],[Agrupación]]</f>
        <v>#VALUE!</v>
      </c>
      <c r="H504" t="e" cm="1">
        <f t="array" ref="H504">TRANSPOSE((_xlfn._xlws.FILTER(INDEX($C$6:$E$1000,,MATCH($G504,$C$5:$E$5,0)),INDEX($C$6:$E$1000,,MATCH($G504,$C$5:$E$5,0))&lt;&gt;"","No hay nada")))</f>
        <v>#VALUE!</v>
      </c>
    </row>
    <row r="505" spans="7:8" x14ac:dyDescent="0.2">
      <c r="G505" t="e">
        <f>Tabla27[[#This Row],[Agrupación]]</f>
        <v>#VALUE!</v>
      </c>
      <c r="H505" t="e" cm="1">
        <f t="array" ref="H505">TRANSPOSE((_xlfn._xlws.FILTER(INDEX($C$6:$E$1000,,MATCH($G505,$C$5:$E$5,0)),INDEX($C$6:$E$1000,,MATCH($G505,$C$5:$E$5,0))&lt;&gt;"","No hay nada")))</f>
        <v>#VALUE!</v>
      </c>
    </row>
    <row r="506" spans="7:8" x14ac:dyDescent="0.2">
      <c r="G506" t="e">
        <f>Tabla27[[#This Row],[Agrupación]]</f>
        <v>#VALUE!</v>
      </c>
      <c r="H506" t="e" cm="1">
        <f t="array" ref="H506">TRANSPOSE((_xlfn._xlws.FILTER(INDEX($C$6:$E$1000,,MATCH($G506,$C$5:$E$5,0)),INDEX($C$6:$E$1000,,MATCH($G506,$C$5:$E$5,0))&lt;&gt;"","No hay nada")))</f>
        <v>#VALUE!</v>
      </c>
    </row>
    <row r="507" spans="7:8" x14ac:dyDescent="0.2">
      <c r="G507" t="e">
        <f>Tabla27[[#This Row],[Agrupación]]</f>
        <v>#VALUE!</v>
      </c>
      <c r="H507" t="e" cm="1">
        <f t="array" ref="H507">TRANSPOSE((_xlfn._xlws.FILTER(INDEX($C$6:$E$1000,,MATCH($G507,$C$5:$E$5,0)),INDEX($C$6:$E$1000,,MATCH($G507,$C$5:$E$5,0))&lt;&gt;"","No hay nada")))</f>
        <v>#VALUE!</v>
      </c>
    </row>
    <row r="508" spans="7:8" x14ac:dyDescent="0.2">
      <c r="G508" t="e">
        <f>Tabla27[[#This Row],[Agrupación]]</f>
        <v>#VALUE!</v>
      </c>
      <c r="H508" t="e" cm="1">
        <f t="array" ref="H508">TRANSPOSE((_xlfn._xlws.FILTER(INDEX($C$6:$E$1000,,MATCH($G508,$C$5:$E$5,0)),INDEX($C$6:$E$1000,,MATCH($G508,$C$5:$E$5,0))&lt;&gt;"","No hay nada")))</f>
        <v>#VALUE!</v>
      </c>
    </row>
    <row r="509" spans="7:8" x14ac:dyDescent="0.2">
      <c r="G509" t="e">
        <f>Tabla27[[#This Row],[Agrupación]]</f>
        <v>#VALUE!</v>
      </c>
      <c r="H509" t="e" cm="1">
        <f t="array" ref="H509">TRANSPOSE((_xlfn._xlws.FILTER(INDEX($C$6:$E$1000,,MATCH($G509,$C$5:$E$5,0)),INDEX($C$6:$E$1000,,MATCH($G509,$C$5:$E$5,0))&lt;&gt;"","No hay nada")))</f>
        <v>#VALUE!</v>
      </c>
    </row>
    <row r="510" spans="7:8" x14ac:dyDescent="0.2">
      <c r="G510" t="e">
        <f>Tabla27[[#This Row],[Agrupación]]</f>
        <v>#VALUE!</v>
      </c>
      <c r="H510" t="e" cm="1">
        <f t="array" ref="H510">TRANSPOSE((_xlfn._xlws.FILTER(INDEX($C$6:$E$1000,,MATCH($G510,$C$5:$E$5,0)),INDEX($C$6:$E$1000,,MATCH($G510,$C$5:$E$5,0))&lt;&gt;"","No hay nada")))</f>
        <v>#VALUE!</v>
      </c>
    </row>
    <row r="511" spans="7:8" x14ac:dyDescent="0.2">
      <c r="G511" t="e">
        <f>Tabla27[[#This Row],[Agrupación]]</f>
        <v>#VALUE!</v>
      </c>
      <c r="H511" t="e" cm="1">
        <f t="array" ref="H511">TRANSPOSE((_xlfn._xlws.FILTER(INDEX($C$6:$E$1000,,MATCH($G511,$C$5:$E$5,0)),INDEX($C$6:$E$1000,,MATCH($G511,$C$5:$E$5,0))&lt;&gt;"","No hay nada")))</f>
        <v>#VALUE!</v>
      </c>
    </row>
    <row r="512" spans="7:8" x14ac:dyDescent="0.2">
      <c r="G512" t="e">
        <f>Tabla27[[#This Row],[Agrupación]]</f>
        <v>#VALUE!</v>
      </c>
      <c r="H512" t="e" cm="1">
        <f t="array" ref="H512">TRANSPOSE((_xlfn._xlws.FILTER(INDEX($C$6:$E$1000,,MATCH($G512,$C$5:$E$5,0)),INDEX($C$6:$E$1000,,MATCH($G512,$C$5:$E$5,0))&lt;&gt;"","No hay nada")))</f>
        <v>#VALUE!</v>
      </c>
    </row>
    <row r="513" spans="7:8" x14ac:dyDescent="0.2">
      <c r="G513" t="e">
        <f>Tabla27[[#This Row],[Agrupación]]</f>
        <v>#VALUE!</v>
      </c>
      <c r="H513" t="e" cm="1">
        <f t="array" ref="H513">TRANSPOSE((_xlfn._xlws.FILTER(INDEX($C$6:$E$1000,,MATCH($G513,$C$5:$E$5,0)),INDEX($C$6:$E$1000,,MATCH($G513,$C$5:$E$5,0))&lt;&gt;"","No hay nada")))</f>
        <v>#VALUE!</v>
      </c>
    </row>
    <row r="514" spans="7:8" x14ac:dyDescent="0.2">
      <c r="G514" t="e">
        <f>Tabla27[[#This Row],[Agrupación]]</f>
        <v>#VALUE!</v>
      </c>
      <c r="H514" t="e" cm="1">
        <f t="array" ref="H514">TRANSPOSE((_xlfn._xlws.FILTER(INDEX($C$6:$E$1000,,MATCH($G514,$C$5:$E$5,0)),INDEX($C$6:$E$1000,,MATCH($G514,$C$5:$E$5,0))&lt;&gt;"","No hay nada")))</f>
        <v>#VALUE!</v>
      </c>
    </row>
    <row r="515" spans="7:8" x14ac:dyDescent="0.2">
      <c r="G515" t="e">
        <f>Tabla27[[#This Row],[Agrupación]]</f>
        <v>#VALUE!</v>
      </c>
      <c r="H515" t="e" cm="1">
        <f t="array" ref="H515">TRANSPOSE((_xlfn._xlws.FILTER(INDEX($C$6:$E$1000,,MATCH($G515,$C$5:$E$5,0)),INDEX($C$6:$E$1000,,MATCH($G515,$C$5:$E$5,0))&lt;&gt;"","No hay nada")))</f>
        <v>#VALUE!</v>
      </c>
    </row>
    <row r="516" spans="7:8" x14ac:dyDescent="0.2">
      <c r="G516" t="e">
        <f>Tabla27[[#This Row],[Agrupación]]</f>
        <v>#VALUE!</v>
      </c>
      <c r="H516" t="e" cm="1">
        <f t="array" ref="H516">TRANSPOSE((_xlfn._xlws.FILTER(INDEX($C$6:$E$1000,,MATCH($G516,$C$5:$E$5,0)),INDEX($C$6:$E$1000,,MATCH($G516,$C$5:$E$5,0))&lt;&gt;"","No hay nada")))</f>
        <v>#VALUE!</v>
      </c>
    </row>
    <row r="517" spans="7:8" x14ac:dyDescent="0.2">
      <c r="G517" t="e">
        <f>Tabla27[[#This Row],[Agrupación]]</f>
        <v>#VALUE!</v>
      </c>
      <c r="H517" t="e" cm="1">
        <f t="array" ref="H517">TRANSPOSE((_xlfn._xlws.FILTER(INDEX($C$6:$E$1000,,MATCH($G517,$C$5:$E$5,0)),INDEX($C$6:$E$1000,,MATCH($G517,$C$5:$E$5,0))&lt;&gt;"","No hay nada")))</f>
        <v>#VALUE!</v>
      </c>
    </row>
    <row r="518" spans="7:8" x14ac:dyDescent="0.2">
      <c r="G518" t="e">
        <f>Tabla27[[#This Row],[Agrupación]]</f>
        <v>#VALUE!</v>
      </c>
      <c r="H518" t="e" cm="1">
        <f t="array" ref="H518">TRANSPOSE((_xlfn._xlws.FILTER(INDEX($C$6:$E$1000,,MATCH($G518,$C$5:$E$5,0)),INDEX($C$6:$E$1000,,MATCH($G518,$C$5:$E$5,0))&lt;&gt;"","No hay nada")))</f>
        <v>#VALUE!</v>
      </c>
    </row>
    <row r="519" spans="7:8" x14ac:dyDescent="0.2">
      <c r="G519" t="e">
        <f>Tabla27[[#This Row],[Agrupación]]</f>
        <v>#VALUE!</v>
      </c>
      <c r="H519" t="e" cm="1">
        <f t="array" ref="H519">TRANSPOSE((_xlfn._xlws.FILTER(INDEX($C$6:$E$1000,,MATCH($G519,$C$5:$E$5,0)),INDEX($C$6:$E$1000,,MATCH($G519,$C$5:$E$5,0))&lt;&gt;"","No hay nada")))</f>
        <v>#VALUE!</v>
      </c>
    </row>
    <row r="520" spans="7:8" x14ac:dyDescent="0.2">
      <c r="G520" t="e">
        <f>Tabla27[[#This Row],[Agrupación]]</f>
        <v>#VALUE!</v>
      </c>
      <c r="H520" t="e" cm="1">
        <f t="array" ref="H520">TRANSPOSE((_xlfn._xlws.FILTER(INDEX($C$6:$E$1000,,MATCH($G520,$C$5:$E$5,0)),INDEX($C$6:$E$1000,,MATCH($G520,$C$5:$E$5,0))&lt;&gt;"","No hay nada")))</f>
        <v>#VALUE!</v>
      </c>
    </row>
    <row r="521" spans="7:8" x14ac:dyDescent="0.2">
      <c r="G521" t="e">
        <f>Tabla27[[#This Row],[Agrupación]]</f>
        <v>#VALUE!</v>
      </c>
      <c r="H521" t="e" cm="1">
        <f t="array" ref="H521">TRANSPOSE((_xlfn._xlws.FILTER(INDEX($C$6:$E$1000,,MATCH($G521,$C$5:$E$5,0)),INDEX($C$6:$E$1000,,MATCH($G521,$C$5:$E$5,0))&lt;&gt;"","No hay nada")))</f>
        <v>#VALUE!</v>
      </c>
    </row>
    <row r="522" spans="7:8" x14ac:dyDescent="0.2">
      <c r="G522" t="e">
        <f>Tabla27[[#This Row],[Agrupación]]</f>
        <v>#VALUE!</v>
      </c>
      <c r="H522" t="e" cm="1">
        <f t="array" ref="H522">TRANSPOSE((_xlfn._xlws.FILTER(INDEX($C$6:$E$1000,,MATCH($G522,$C$5:$E$5,0)),INDEX($C$6:$E$1000,,MATCH($G522,$C$5:$E$5,0))&lt;&gt;"","No hay nada")))</f>
        <v>#VALUE!</v>
      </c>
    </row>
    <row r="523" spans="7:8" x14ac:dyDescent="0.2">
      <c r="G523" t="e">
        <f>Tabla27[[#This Row],[Agrupación]]</f>
        <v>#VALUE!</v>
      </c>
      <c r="H523" t="e" cm="1">
        <f t="array" ref="H523">TRANSPOSE((_xlfn._xlws.FILTER(INDEX($C$6:$E$1000,,MATCH($G523,$C$5:$E$5,0)),INDEX($C$6:$E$1000,,MATCH($G523,$C$5:$E$5,0))&lt;&gt;"","No hay nada")))</f>
        <v>#VALUE!</v>
      </c>
    </row>
    <row r="524" spans="7:8" x14ac:dyDescent="0.2">
      <c r="G524" t="e">
        <f>Tabla27[[#This Row],[Agrupación]]</f>
        <v>#VALUE!</v>
      </c>
      <c r="H524" t="e" cm="1">
        <f t="array" ref="H524">TRANSPOSE((_xlfn._xlws.FILTER(INDEX($C$6:$E$1000,,MATCH($G524,$C$5:$E$5,0)),INDEX($C$6:$E$1000,,MATCH($G524,$C$5:$E$5,0))&lt;&gt;"","No hay nada")))</f>
        <v>#VALUE!</v>
      </c>
    </row>
    <row r="525" spans="7:8" x14ac:dyDescent="0.2">
      <c r="G525" t="e">
        <f>Tabla27[[#This Row],[Agrupación]]</f>
        <v>#VALUE!</v>
      </c>
      <c r="H525" t="e" cm="1">
        <f t="array" ref="H525">TRANSPOSE((_xlfn._xlws.FILTER(INDEX($C$6:$E$1000,,MATCH($G525,$C$5:$E$5,0)),INDEX($C$6:$E$1000,,MATCH($G525,$C$5:$E$5,0))&lt;&gt;"","No hay nada")))</f>
        <v>#VALUE!</v>
      </c>
    </row>
    <row r="526" spans="7:8" x14ac:dyDescent="0.2">
      <c r="G526" t="e">
        <f>Tabla27[[#This Row],[Agrupación]]</f>
        <v>#VALUE!</v>
      </c>
      <c r="H526" t="e" cm="1">
        <f t="array" ref="H526">TRANSPOSE((_xlfn._xlws.FILTER(INDEX($C$6:$E$1000,,MATCH($G526,$C$5:$E$5,0)),INDEX($C$6:$E$1000,,MATCH($G526,$C$5:$E$5,0))&lt;&gt;"","No hay nada")))</f>
        <v>#VALUE!</v>
      </c>
    </row>
    <row r="527" spans="7:8" x14ac:dyDescent="0.2">
      <c r="G527" t="e">
        <f>Tabla27[[#This Row],[Agrupación]]</f>
        <v>#VALUE!</v>
      </c>
      <c r="H527" t="e" cm="1">
        <f t="array" ref="H527">TRANSPOSE((_xlfn._xlws.FILTER(INDEX($C$6:$E$1000,,MATCH($G527,$C$5:$E$5,0)),INDEX($C$6:$E$1000,,MATCH($G527,$C$5:$E$5,0))&lt;&gt;"","No hay nada")))</f>
        <v>#VALUE!</v>
      </c>
    </row>
    <row r="528" spans="7:8" x14ac:dyDescent="0.2">
      <c r="G528" t="e">
        <f>Tabla27[[#This Row],[Agrupación]]</f>
        <v>#VALUE!</v>
      </c>
      <c r="H528" t="e" cm="1">
        <f t="array" ref="H528">TRANSPOSE((_xlfn._xlws.FILTER(INDEX($C$6:$E$1000,,MATCH($G528,$C$5:$E$5,0)),INDEX($C$6:$E$1000,,MATCH($G528,$C$5:$E$5,0))&lt;&gt;"","No hay nada")))</f>
        <v>#VALUE!</v>
      </c>
    </row>
    <row r="529" spans="7:8" x14ac:dyDescent="0.2">
      <c r="G529" t="e">
        <f>Tabla27[[#This Row],[Agrupación]]</f>
        <v>#VALUE!</v>
      </c>
      <c r="H529" t="e" cm="1">
        <f t="array" ref="H529">TRANSPOSE((_xlfn._xlws.FILTER(INDEX($C$6:$E$1000,,MATCH($G529,$C$5:$E$5,0)),INDEX($C$6:$E$1000,,MATCH($G529,$C$5:$E$5,0))&lt;&gt;"","No hay nada")))</f>
        <v>#VALUE!</v>
      </c>
    </row>
    <row r="530" spans="7:8" x14ac:dyDescent="0.2">
      <c r="G530" t="e">
        <f>Tabla27[[#This Row],[Agrupación]]</f>
        <v>#VALUE!</v>
      </c>
      <c r="H530" t="e" cm="1">
        <f t="array" ref="H530">TRANSPOSE((_xlfn._xlws.FILTER(INDEX($C$6:$E$1000,,MATCH($G530,$C$5:$E$5,0)),INDEX($C$6:$E$1000,,MATCH($G530,$C$5:$E$5,0))&lt;&gt;"","No hay nada")))</f>
        <v>#VALUE!</v>
      </c>
    </row>
    <row r="531" spans="7:8" x14ac:dyDescent="0.2">
      <c r="G531" t="e">
        <f>Tabla27[[#This Row],[Agrupación]]</f>
        <v>#VALUE!</v>
      </c>
      <c r="H531" t="e" cm="1">
        <f t="array" ref="H531">TRANSPOSE((_xlfn._xlws.FILTER(INDEX($C$6:$E$1000,,MATCH($G531,$C$5:$E$5,0)),INDEX($C$6:$E$1000,,MATCH($G531,$C$5:$E$5,0))&lt;&gt;"","No hay nada")))</f>
        <v>#VALUE!</v>
      </c>
    </row>
    <row r="532" spans="7:8" x14ac:dyDescent="0.2">
      <c r="G532" t="e">
        <f>Tabla27[[#This Row],[Agrupación]]</f>
        <v>#VALUE!</v>
      </c>
      <c r="H532" t="e" cm="1">
        <f t="array" ref="H532">TRANSPOSE((_xlfn._xlws.FILTER(INDEX($C$6:$E$1000,,MATCH($G532,$C$5:$E$5,0)),INDEX($C$6:$E$1000,,MATCH($G532,$C$5:$E$5,0))&lt;&gt;"","No hay nada")))</f>
        <v>#VALUE!</v>
      </c>
    </row>
    <row r="533" spans="7:8" x14ac:dyDescent="0.2">
      <c r="G533" t="e">
        <f>Tabla27[[#This Row],[Agrupación]]</f>
        <v>#VALUE!</v>
      </c>
      <c r="H533" t="e" cm="1">
        <f t="array" ref="H533">TRANSPOSE((_xlfn._xlws.FILTER(INDEX($C$6:$E$1000,,MATCH($G533,$C$5:$E$5,0)),INDEX($C$6:$E$1000,,MATCH($G533,$C$5:$E$5,0))&lt;&gt;"","No hay nada")))</f>
        <v>#VALUE!</v>
      </c>
    </row>
    <row r="534" spans="7:8" x14ac:dyDescent="0.2">
      <c r="G534" t="e">
        <f>Tabla27[[#This Row],[Agrupación]]</f>
        <v>#VALUE!</v>
      </c>
      <c r="H534" t="e" cm="1">
        <f t="array" ref="H534">TRANSPOSE((_xlfn._xlws.FILTER(INDEX($C$6:$E$1000,,MATCH($G534,$C$5:$E$5,0)),INDEX($C$6:$E$1000,,MATCH($G534,$C$5:$E$5,0))&lt;&gt;"","No hay nada")))</f>
        <v>#VALUE!</v>
      </c>
    </row>
    <row r="535" spans="7:8" x14ac:dyDescent="0.2">
      <c r="G535" t="e">
        <f>Tabla27[[#This Row],[Agrupación]]</f>
        <v>#VALUE!</v>
      </c>
      <c r="H535" t="e" cm="1">
        <f t="array" ref="H535">TRANSPOSE((_xlfn._xlws.FILTER(INDEX($C$6:$E$1000,,MATCH($G535,$C$5:$E$5,0)),INDEX($C$6:$E$1000,,MATCH($G535,$C$5:$E$5,0))&lt;&gt;"","No hay nada")))</f>
        <v>#VALUE!</v>
      </c>
    </row>
    <row r="536" spans="7:8" x14ac:dyDescent="0.2">
      <c r="G536" t="e">
        <f>Tabla27[[#This Row],[Agrupación]]</f>
        <v>#VALUE!</v>
      </c>
      <c r="H536" t="e" cm="1">
        <f t="array" ref="H536">TRANSPOSE((_xlfn._xlws.FILTER(INDEX($C$6:$E$1000,,MATCH($G536,$C$5:$E$5,0)),INDEX($C$6:$E$1000,,MATCH($G536,$C$5:$E$5,0))&lt;&gt;"","No hay nada")))</f>
        <v>#VALUE!</v>
      </c>
    </row>
    <row r="537" spans="7:8" x14ac:dyDescent="0.2">
      <c r="G537" t="e">
        <f>Tabla27[[#This Row],[Agrupación]]</f>
        <v>#VALUE!</v>
      </c>
      <c r="H537" t="e" cm="1">
        <f t="array" ref="H537">TRANSPOSE((_xlfn._xlws.FILTER(INDEX($C$6:$E$1000,,MATCH($G537,$C$5:$E$5,0)),INDEX($C$6:$E$1000,,MATCH($G537,$C$5:$E$5,0))&lt;&gt;"","No hay nada")))</f>
        <v>#VALUE!</v>
      </c>
    </row>
    <row r="538" spans="7:8" x14ac:dyDescent="0.2">
      <c r="G538" t="e">
        <f>Tabla27[[#This Row],[Agrupación]]</f>
        <v>#VALUE!</v>
      </c>
      <c r="H538" t="e" cm="1">
        <f t="array" ref="H538">TRANSPOSE((_xlfn._xlws.FILTER(INDEX($C$6:$E$1000,,MATCH($G538,$C$5:$E$5,0)),INDEX($C$6:$E$1000,,MATCH($G538,$C$5:$E$5,0))&lt;&gt;"","No hay nada")))</f>
        <v>#VALUE!</v>
      </c>
    </row>
    <row r="539" spans="7:8" x14ac:dyDescent="0.2">
      <c r="G539" t="e">
        <f>Tabla27[[#This Row],[Agrupación]]</f>
        <v>#VALUE!</v>
      </c>
      <c r="H539" t="e" cm="1">
        <f t="array" ref="H539">TRANSPOSE((_xlfn._xlws.FILTER(INDEX($C$6:$E$1000,,MATCH($G539,$C$5:$E$5,0)),INDEX($C$6:$E$1000,,MATCH($G539,$C$5:$E$5,0))&lt;&gt;"","No hay nada")))</f>
        <v>#VALUE!</v>
      </c>
    </row>
    <row r="540" spans="7:8" x14ac:dyDescent="0.2">
      <c r="G540" t="e">
        <f>Tabla27[[#This Row],[Agrupación]]</f>
        <v>#VALUE!</v>
      </c>
      <c r="H540" t="e" cm="1">
        <f t="array" ref="H540">TRANSPOSE((_xlfn._xlws.FILTER(INDEX($C$6:$E$1000,,MATCH($G540,$C$5:$E$5,0)),INDEX($C$6:$E$1000,,MATCH($G540,$C$5:$E$5,0))&lt;&gt;"","No hay nada")))</f>
        <v>#VALUE!</v>
      </c>
    </row>
    <row r="541" spans="7:8" x14ac:dyDescent="0.2">
      <c r="G541" t="e">
        <f>Tabla27[[#This Row],[Agrupación]]</f>
        <v>#VALUE!</v>
      </c>
      <c r="H541" t="e" cm="1">
        <f t="array" ref="H541">TRANSPOSE((_xlfn._xlws.FILTER(INDEX($C$6:$E$1000,,MATCH($G541,$C$5:$E$5,0)),INDEX($C$6:$E$1000,,MATCH($G541,$C$5:$E$5,0))&lt;&gt;"","No hay nada")))</f>
        <v>#VALUE!</v>
      </c>
    </row>
    <row r="542" spans="7:8" x14ac:dyDescent="0.2">
      <c r="G542" t="e">
        <f>Tabla27[[#This Row],[Agrupación]]</f>
        <v>#VALUE!</v>
      </c>
      <c r="H542" t="e" cm="1">
        <f t="array" ref="H542">TRANSPOSE((_xlfn._xlws.FILTER(INDEX($C$6:$E$1000,,MATCH($G542,$C$5:$E$5,0)),INDEX($C$6:$E$1000,,MATCH($G542,$C$5:$E$5,0))&lt;&gt;"","No hay nada")))</f>
        <v>#VALUE!</v>
      </c>
    </row>
    <row r="543" spans="7:8" x14ac:dyDescent="0.2">
      <c r="G543" t="e">
        <f>Tabla27[[#This Row],[Agrupación]]</f>
        <v>#VALUE!</v>
      </c>
      <c r="H543" t="e" cm="1">
        <f t="array" ref="H543">TRANSPOSE((_xlfn._xlws.FILTER(INDEX($C$6:$E$1000,,MATCH($G543,$C$5:$E$5,0)),INDEX($C$6:$E$1000,,MATCH($G543,$C$5:$E$5,0))&lt;&gt;"","No hay nada")))</f>
        <v>#VALUE!</v>
      </c>
    </row>
    <row r="544" spans="7:8" x14ac:dyDescent="0.2">
      <c r="G544" t="e">
        <f>Tabla27[[#This Row],[Agrupación]]</f>
        <v>#VALUE!</v>
      </c>
      <c r="H544" t="e" cm="1">
        <f t="array" ref="H544">TRANSPOSE((_xlfn._xlws.FILTER(INDEX($C$6:$E$1000,,MATCH($G544,$C$5:$E$5,0)),INDEX($C$6:$E$1000,,MATCH($G544,$C$5:$E$5,0))&lt;&gt;"","No hay nada")))</f>
        <v>#VALUE!</v>
      </c>
    </row>
    <row r="545" spans="7:8" x14ac:dyDescent="0.2">
      <c r="G545" t="e">
        <f>Tabla27[[#This Row],[Agrupación]]</f>
        <v>#VALUE!</v>
      </c>
      <c r="H545" t="e" cm="1">
        <f t="array" ref="H545">TRANSPOSE((_xlfn._xlws.FILTER(INDEX($C$6:$E$1000,,MATCH($G545,$C$5:$E$5,0)),INDEX($C$6:$E$1000,,MATCH($G545,$C$5:$E$5,0))&lt;&gt;"","No hay nada")))</f>
        <v>#VALUE!</v>
      </c>
    </row>
    <row r="546" spans="7:8" x14ac:dyDescent="0.2">
      <c r="G546" t="e">
        <f>Tabla27[[#This Row],[Agrupación]]</f>
        <v>#VALUE!</v>
      </c>
      <c r="H546" t="e" cm="1">
        <f t="array" ref="H546">TRANSPOSE((_xlfn._xlws.FILTER(INDEX($C$6:$E$1000,,MATCH($G546,$C$5:$E$5,0)),INDEX($C$6:$E$1000,,MATCH($G546,$C$5:$E$5,0))&lt;&gt;"","No hay nada")))</f>
        <v>#VALUE!</v>
      </c>
    </row>
    <row r="547" spans="7:8" x14ac:dyDescent="0.2">
      <c r="G547" t="e">
        <f>Tabla27[[#This Row],[Agrupación]]</f>
        <v>#VALUE!</v>
      </c>
      <c r="H547" t="e" cm="1">
        <f t="array" ref="H547">TRANSPOSE((_xlfn._xlws.FILTER(INDEX($C$6:$E$1000,,MATCH($G547,$C$5:$E$5,0)),INDEX($C$6:$E$1000,,MATCH($G547,$C$5:$E$5,0))&lt;&gt;"","No hay nada")))</f>
        <v>#VALUE!</v>
      </c>
    </row>
    <row r="548" spans="7:8" x14ac:dyDescent="0.2">
      <c r="G548" t="e">
        <f>Tabla27[[#This Row],[Agrupación]]</f>
        <v>#VALUE!</v>
      </c>
      <c r="H548" t="e" cm="1">
        <f t="array" ref="H548">TRANSPOSE((_xlfn._xlws.FILTER(INDEX($C$6:$E$1000,,MATCH($G548,$C$5:$E$5,0)),INDEX($C$6:$E$1000,,MATCH($G548,$C$5:$E$5,0))&lt;&gt;"","No hay nada")))</f>
        <v>#VALUE!</v>
      </c>
    </row>
    <row r="549" spans="7:8" x14ac:dyDescent="0.2">
      <c r="G549" t="e">
        <f>Tabla27[[#This Row],[Agrupación]]</f>
        <v>#VALUE!</v>
      </c>
      <c r="H549" t="e" cm="1">
        <f t="array" ref="H549">TRANSPOSE((_xlfn._xlws.FILTER(INDEX($C$6:$E$1000,,MATCH($G549,$C$5:$E$5,0)),INDEX($C$6:$E$1000,,MATCH($G549,$C$5:$E$5,0))&lt;&gt;"","No hay nada")))</f>
        <v>#VALUE!</v>
      </c>
    </row>
    <row r="550" spans="7:8" x14ac:dyDescent="0.2">
      <c r="G550" t="e">
        <f>Tabla27[[#This Row],[Agrupación]]</f>
        <v>#VALUE!</v>
      </c>
      <c r="H550" t="e" cm="1">
        <f t="array" ref="H550">TRANSPOSE((_xlfn._xlws.FILTER(INDEX($C$6:$E$1000,,MATCH($G550,$C$5:$E$5,0)),INDEX($C$6:$E$1000,,MATCH($G550,$C$5:$E$5,0))&lt;&gt;"","No hay nada")))</f>
        <v>#VALUE!</v>
      </c>
    </row>
    <row r="551" spans="7:8" x14ac:dyDescent="0.2">
      <c r="G551" t="e">
        <f>Tabla27[[#This Row],[Agrupación]]</f>
        <v>#VALUE!</v>
      </c>
      <c r="H551" t="e" cm="1">
        <f t="array" ref="H551">TRANSPOSE((_xlfn._xlws.FILTER(INDEX($C$6:$E$1000,,MATCH($G551,$C$5:$E$5,0)),INDEX($C$6:$E$1000,,MATCH($G551,$C$5:$E$5,0))&lt;&gt;"","No hay nada")))</f>
        <v>#VALUE!</v>
      </c>
    </row>
    <row r="552" spans="7:8" x14ac:dyDescent="0.2">
      <c r="G552" t="e">
        <f>Tabla27[[#This Row],[Agrupación]]</f>
        <v>#VALUE!</v>
      </c>
      <c r="H552" t="e" cm="1">
        <f t="array" ref="H552">TRANSPOSE((_xlfn._xlws.FILTER(INDEX($C$6:$E$1000,,MATCH($G552,$C$5:$E$5,0)),INDEX($C$6:$E$1000,,MATCH($G552,$C$5:$E$5,0))&lt;&gt;"","No hay nada")))</f>
        <v>#VALUE!</v>
      </c>
    </row>
    <row r="553" spans="7:8" x14ac:dyDescent="0.2">
      <c r="G553" t="e">
        <f>Tabla27[[#This Row],[Agrupación]]</f>
        <v>#VALUE!</v>
      </c>
      <c r="H553" t="e" cm="1">
        <f t="array" ref="H553">TRANSPOSE((_xlfn._xlws.FILTER(INDEX($C$6:$E$1000,,MATCH($G553,$C$5:$E$5,0)),INDEX($C$6:$E$1000,,MATCH($G553,$C$5:$E$5,0))&lt;&gt;"","No hay nada")))</f>
        <v>#VALUE!</v>
      </c>
    </row>
    <row r="554" spans="7:8" x14ac:dyDescent="0.2">
      <c r="G554" t="e">
        <f>Tabla27[[#This Row],[Agrupación]]</f>
        <v>#VALUE!</v>
      </c>
      <c r="H554" t="e" cm="1">
        <f t="array" ref="H554">TRANSPOSE((_xlfn._xlws.FILTER(INDEX($C$6:$E$1000,,MATCH($G554,$C$5:$E$5,0)),INDEX($C$6:$E$1000,,MATCH($G554,$C$5:$E$5,0))&lt;&gt;"","No hay nada")))</f>
        <v>#VALUE!</v>
      </c>
    </row>
    <row r="555" spans="7:8" x14ac:dyDescent="0.2">
      <c r="G555" t="e">
        <f>Tabla27[[#This Row],[Agrupación]]</f>
        <v>#VALUE!</v>
      </c>
      <c r="H555" t="e" cm="1">
        <f t="array" ref="H555">TRANSPOSE((_xlfn._xlws.FILTER(INDEX($C$6:$E$1000,,MATCH($G555,$C$5:$E$5,0)),INDEX($C$6:$E$1000,,MATCH($G555,$C$5:$E$5,0))&lt;&gt;"","No hay nada")))</f>
        <v>#VALUE!</v>
      </c>
    </row>
    <row r="556" spans="7:8" x14ac:dyDescent="0.2">
      <c r="G556" t="e">
        <f>Tabla27[[#This Row],[Agrupación]]</f>
        <v>#VALUE!</v>
      </c>
      <c r="H556" t="e" cm="1">
        <f t="array" ref="H556">TRANSPOSE((_xlfn._xlws.FILTER(INDEX($C$6:$E$1000,,MATCH($G556,$C$5:$E$5,0)),INDEX($C$6:$E$1000,,MATCH($G556,$C$5:$E$5,0))&lt;&gt;"","No hay nada")))</f>
        <v>#VALUE!</v>
      </c>
    </row>
    <row r="557" spans="7:8" x14ac:dyDescent="0.2">
      <c r="G557" t="e">
        <f>Tabla27[[#This Row],[Agrupación]]</f>
        <v>#VALUE!</v>
      </c>
      <c r="H557" t="e" cm="1">
        <f t="array" ref="H557">TRANSPOSE((_xlfn._xlws.FILTER(INDEX($C$6:$E$1000,,MATCH($G557,$C$5:$E$5,0)),INDEX($C$6:$E$1000,,MATCH($G557,$C$5:$E$5,0))&lt;&gt;"","No hay nada")))</f>
        <v>#VALUE!</v>
      </c>
    </row>
    <row r="558" spans="7:8" x14ac:dyDescent="0.2">
      <c r="G558" t="e">
        <f>Tabla27[[#This Row],[Agrupación]]</f>
        <v>#VALUE!</v>
      </c>
      <c r="H558" t="e" cm="1">
        <f t="array" ref="H558">TRANSPOSE((_xlfn._xlws.FILTER(INDEX($C$6:$E$1000,,MATCH($G558,$C$5:$E$5,0)),INDEX($C$6:$E$1000,,MATCH($G558,$C$5:$E$5,0))&lt;&gt;"","No hay nada")))</f>
        <v>#VALUE!</v>
      </c>
    </row>
    <row r="559" spans="7:8" x14ac:dyDescent="0.2">
      <c r="G559" t="e">
        <f>Tabla27[[#This Row],[Agrupación]]</f>
        <v>#VALUE!</v>
      </c>
      <c r="H559" t="e" cm="1">
        <f t="array" ref="H559">TRANSPOSE((_xlfn._xlws.FILTER(INDEX($C$6:$E$1000,,MATCH($G559,$C$5:$E$5,0)),INDEX($C$6:$E$1000,,MATCH($G559,$C$5:$E$5,0))&lt;&gt;"","No hay nada")))</f>
        <v>#VALUE!</v>
      </c>
    </row>
    <row r="560" spans="7:8" x14ac:dyDescent="0.2">
      <c r="G560" t="e">
        <f>Tabla27[[#This Row],[Agrupación]]</f>
        <v>#VALUE!</v>
      </c>
      <c r="H560" t="e" cm="1">
        <f t="array" ref="H560">TRANSPOSE((_xlfn._xlws.FILTER(INDEX($C$6:$E$1000,,MATCH($G560,$C$5:$E$5,0)),INDEX($C$6:$E$1000,,MATCH($G560,$C$5:$E$5,0))&lt;&gt;"","No hay nada")))</f>
        <v>#VALUE!</v>
      </c>
    </row>
    <row r="561" spans="7:8" x14ac:dyDescent="0.2">
      <c r="G561" t="e">
        <f>Tabla27[[#This Row],[Agrupación]]</f>
        <v>#VALUE!</v>
      </c>
      <c r="H561" t="e" cm="1">
        <f t="array" ref="H561">TRANSPOSE((_xlfn._xlws.FILTER(INDEX($C$6:$E$1000,,MATCH($G561,$C$5:$E$5,0)),INDEX($C$6:$E$1000,,MATCH($G561,$C$5:$E$5,0))&lt;&gt;"","No hay nada")))</f>
        <v>#VALUE!</v>
      </c>
    </row>
    <row r="562" spans="7:8" x14ac:dyDescent="0.2">
      <c r="G562" t="e">
        <f>Tabla27[[#This Row],[Agrupación]]</f>
        <v>#VALUE!</v>
      </c>
      <c r="H562" t="e" cm="1">
        <f t="array" ref="H562">TRANSPOSE((_xlfn._xlws.FILTER(INDEX($C$6:$E$1000,,MATCH($G562,$C$5:$E$5,0)),INDEX($C$6:$E$1000,,MATCH($G562,$C$5:$E$5,0))&lt;&gt;"","No hay nada")))</f>
        <v>#VALUE!</v>
      </c>
    </row>
    <row r="563" spans="7:8" x14ac:dyDescent="0.2">
      <c r="G563" t="e">
        <f>Tabla27[[#This Row],[Agrupación]]</f>
        <v>#VALUE!</v>
      </c>
      <c r="H563" t="e" cm="1">
        <f t="array" ref="H563">TRANSPOSE((_xlfn._xlws.FILTER(INDEX($C$6:$E$1000,,MATCH($G563,$C$5:$E$5,0)),INDEX($C$6:$E$1000,,MATCH($G563,$C$5:$E$5,0))&lt;&gt;"","No hay nada")))</f>
        <v>#VALUE!</v>
      </c>
    </row>
    <row r="564" spans="7:8" x14ac:dyDescent="0.2">
      <c r="G564" t="e">
        <f>Tabla27[[#This Row],[Agrupación]]</f>
        <v>#VALUE!</v>
      </c>
      <c r="H564" t="e" cm="1">
        <f t="array" ref="H564">TRANSPOSE((_xlfn._xlws.FILTER(INDEX($C$6:$E$1000,,MATCH($G564,$C$5:$E$5,0)),INDEX($C$6:$E$1000,,MATCH($G564,$C$5:$E$5,0))&lt;&gt;"","No hay nada")))</f>
        <v>#VALUE!</v>
      </c>
    </row>
    <row r="565" spans="7:8" x14ac:dyDescent="0.2">
      <c r="G565" t="e">
        <f>Tabla27[[#This Row],[Agrupación]]</f>
        <v>#VALUE!</v>
      </c>
      <c r="H565" t="e" cm="1">
        <f t="array" ref="H565">TRANSPOSE((_xlfn._xlws.FILTER(INDEX($C$6:$E$1000,,MATCH($G565,$C$5:$E$5,0)),INDEX($C$6:$E$1000,,MATCH($G565,$C$5:$E$5,0))&lt;&gt;"","No hay nada")))</f>
        <v>#VALUE!</v>
      </c>
    </row>
    <row r="566" spans="7:8" x14ac:dyDescent="0.2">
      <c r="G566" t="e">
        <f>Tabla27[[#This Row],[Agrupación]]</f>
        <v>#VALUE!</v>
      </c>
      <c r="H566" t="e" cm="1">
        <f t="array" ref="H566">TRANSPOSE((_xlfn._xlws.FILTER(INDEX($C$6:$E$1000,,MATCH($G566,$C$5:$E$5,0)),INDEX($C$6:$E$1000,,MATCH($G566,$C$5:$E$5,0))&lt;&gt;"","No hay nada")))</f>
        <v>#VALUE!</v>
      </c>
    </row>
    <row r="567" spans="7:8" x14ac:dyDescent="0.2">
      <c r="G567" t="e">
        <f>Tabla27[[#This Row],[Agrupación]]</f>
        <v>#VALUE!</v>
      </c>
      <c r="H567" t="e" cm="1">
        <f t="array" ref="H567">TRANSPOSE((_xlfn._xlws.FILTER(INDEX($C$6:$E$1000,,MATCH($G567,$C$5:$E$5,0)),INDEX($C$6:$E$1000,,MATCH($G567,$C$5:$E$5,0))&lt;&gt;"","No hay nada")))</f>
        <v>#VALUE!</v>
      </c>
    </row>
    <row r="568" spans="7:8" x14ac:dyDescent="0.2">
      <c r="G568" t="e">
        <f>Tabla27[[#This Row],[Agrupación]]</f>
        <v>#VALUE!</v>
      </c>
      <c r="H568" t="e" cm="1">
        <f t="array" ref="H568">TRANSPOSE((_xlfn._xlws.FILTER(INDEX($C$6:$E$1000,,MATCH($G568,$C$5:$E$5,0)),INDEX($C$6:$E$1000,,MATCH($G568,$C$5:$E$5,0))&lt;&gt;"","No hay nada")))</f>
        <v>#VALUE!</v>
      </c>
    </row>
    <row r="569" spans="7:8" x14ac:dyDescent="0.2">
      <c r="G569" t="e">
        <f>Tabla27[[#This Row],[Agrupación]]</f>
        <v>#VALUE!</v>
      </c>
      <c r="H569" t="e" cm="1">
        <f t="array" ref="H569">TRANSPOSE((_xlfn._xlws.FILTER(INDEX($C$6:$E$1000,,MATCH($G569,$C$5:$E$5,0)),INDEX($C$6:$E$1000,,MATCH($G569,$C$5:$E$5,0))&lt;&gt;"","No hay nada")))</f>
        <v>#VALUE!</v>
      </c>
    </row>
    <row r="570" spans="7:8" x14ac:dyDescent="0.2">
      <c r="G570" t="e">
        <f>Tabla27[[#This Row],[Agrupación]]</f>
        <v>#VALUE!</v>
      </c>
      <c r="H570" t="e" cm="1">
        <f t="array" ref="H570">TRANSPOSE((_xlfn._xlws.FILTER(INDEX($C$6:$E$1000,,MATCH($G570,$C$5:$E$5,0)),INDEX($C$6:$E$1000,,MATCH($G570,$C$5:$E$5,0))&lt;&gt;"","No hay nada")))</f>
        <v>#VALUE!</v>
      </c>
    </row>
    <row r="571" spans="7:8" x14ac:dyDescent="0.2">
      <c r="G571" t="e">
        <f>Tabla27[[#This Row],[Agrupación]]</f>
        <v>#VALUE!</v>
      </c>
      <c r="H571" t="e" cm="1">
        <f t="array" ref="H571">TRANSPOSE((_xlfn._xlws.FILTER(INDEX($C$6:$E$1000,,MATCH($G571,$C$5:$E$5,0)),INDEX($C$6:$E$1000,,MATCH($G571,$C$5:$E$5,0))&lt;&gt;"","No hay nada")))</f>
        <v>#VALUE!</v>
      </c>
    </row>
    <row r="572" spans="7:8" x14ac:dyDescent="0.2">
      <c r="G572" t="e">
        <f>Tabla27[[#This Row],[Agrupación]]</f>
        <v>#VALUE!</v>
      </c>
      <c r="H572" t="e" cm="1">
        <f t="array" ref="H572">TRANSPOSE((_xlfn._xlws.FILTER(INDEX($C$6:$E$1000,,MATCH($G572,$C$5:$E$5,0)),INDEX($C$6:$E$1000,,MATCH($G572,$C$5:$E$5,0))&lt;&gt;"","No hay nada")))</f>
        <v>#VALUE!</v>
      </c>
    </row>
    <row r="573" spans="7:8" x14ac:dyDescent="0.2">
      <c r="G573" t="e">
        <f>Tabla27[[#This Row],[Agrupación]]</f>
        <v>#VALUE!</v>
      </c>
      <c r="H573" t="e" cm="1">
        <f t="array" ref="H573">TRANSPOSE((_xlfn._xlws.FILTER(INDEX($C$6:$E$1000,,MATCH($G573,$C$5:$E$5,0)),INDEX($C$6:$E$1000,,MATCH($G573,$C$5:$E$5,0))&lt;&gt;"","No hay nada")))</f>
        <v>#VALUE!</v>
      </c>
    </row>
    <row r="574" spans="7:8" x14ac:dyDescent="0.2">
      <c r="G574" t="e">
        <f>Tabla27[[#This Row],[Agrupación]]</f>
        <v>#VALUE!</v>
      </c>
      <c r="H574" t="e" cm="1">
        <f t="array" ref="H574">TRANSPOSE((_xlfn._xlws.FILTER(INDEX($C$6:$E$1000,,MATCH($G574,$C$5:$E$5,0)),INDEX($C$6:$E$1000,,MATCH($G574,$C$5:$E$5,0))&lt;&gt;"","No hay nada")))</f>
        <v>#VALUE!</v>
      </c>
    </row>
    <row r="575" spans="7:8" x14ac:dyDescent="0.2">
      <c r="G575" t="e">
        <f>Tabla27[[#This Row],[Agrupación]]</f>
        <v>#VALUE!</v>
      </c>
      <c r="H575" t="e" cm="1">
        <f t="array" ref="H575">TRANSPOSE((_xlfn._xlws.FILTER(INDEX($C$6:$E$1000,,MATCH($G575,$C$5:$E$5,0)),INDEX($C$6:$E$1000,,MATCH($G575,$C$5:$E$5,0))&lt;&gt;"","No hay nada")))</f>
        <v>#VALUE!</v>
      </c>
    </row>
    <row r="576" spans="7:8" x14ac:dyDescent="0.2">
      <c r="G576" t="e">
        <f>Tabla27[[#This Row],[Agrupación]]</f>
        <v>#VALUE!</v>
      </c>
      <c r="H576" t="e" cm="1">
        <f t="array" ref="H576">TRANSPOSE((_xlfn._xlws.FILTER(INDEX($C$6:$E$1000,,MATCH($G576,$C$5:$E$5,0)),INDEX($C$6:$E$1000,,MATCH($G576,$C$5:$E$5,0))&lt;&gt;"","No hay nada")))</f>
        <v>#VALUE!</v>
      </c>
    </row>
    <row r="577" spans="7:8" x14ac:dyDescent="0.2">
      <c r="G577" t="e">
        <f>Tabla27[[#This Row],[Agrupación]]</f>
        <v>#VALUE!</v>
      </c>
      <c r="H577" t="e" cm="1">
        <f t="array" ref="H577">TRANSPOSE((_xlfn._xlws.FILTER(INDEX($C$6:$E$1000,,MATCH($G577,$C$5:$E$5,0)),INDEX($C$6:$E$1000,,MATCH($G577,$C$5:$E$5,0))&lt;&gt;"","No hay nada")))</f>
        <v>#VALUE!</v>
      </c>
    </row>
    <row r="578" spans="7:8" x14ac:dyDescent="0.2">
      <c r="G578" t="e">
        <f>Tabla27[[#This Row],[Agrupación]]</f>
        <v>#VALUE!</v>
      </c>
      <c r="H578" t="e" cm="1">
        <f t="array" ref="H578">TRANSPOSE((_xlfn._xlws.FILTER(INDEX($C$6:$E$1000,,MATCH($G578,$C$5:$E$5,0)),INDEX($C$6:$E$1000,,MATCH($G578,$C$5:$E$5,0))&lt;&gt;"","No hay nada")))</f>
        <v>#VALUE!</v>
      </c>
    </row>
    <row r="579" spans="7:8" x14ac:dyDescent="0.2">
      <c r="G579" t="e">
        <f>Tabla27[[#This Row],[Agrupación]]</f>
        <v>#VALUE!</v>
      </c>
      <c r="H579" t="e" cm="1">
        <f t="array" ref="H579">TRANSPOSE((_xlfn._xlws.FILTER(INDEX($C$6:$E$1000,,MATCH($G579,$C$5:$E$5,0)),INDEX($C$6:$E$1000,,MATCH($G579,$C$5:$E$5,0))&lt;&gt;"","No hay nada")))</f>
        <v>#VALUE!</v>
      </c>
    </row>
    <row r="580" spans="7:8" x14ac:dyDescent="0.2">
      <c r="G580" t="e">
        <f>Tabla27[[#This Row],[Agrupación]]</f>
        <v>#VALUE!</v>
      </c>
      <c r="H580" t="e" cm="1">
        <f t="array" ref="H580">TRANSPOSE((_xlfn._xlws.FILTER(INDEX($C$6:$E$1000,,MATCH($G580,$C$5:$E$5,0)),INDEX($C$6:$E$1000,,MATCH($G580,$C$5:$E$5,0))&lt;&gt;"","No hay nada")))</f>
        <v>#VALUE!</v>
      </c>
    </row>
    <row r="581" spans="7:8" x14ac:dyDescent="0.2">
      <c r="G581" t="e">
        <f>Tabla27[[#This Row],[Agrupación]]</f>
        <v>#VALUE!</v>
      </c>
      <c r="H581" t="e" cm="1">
        <f t="array" ref="H581">TRANSPOSE((_xlfn._xlws.FILTER(INDEX($C$6:$E$1000,,MATCH($G581,$C$5:$E$5,0)),INDEX($C$6:$E$1000,,MATCH($G581,$C$5:$E$5,0))&lt;&gt;"","No hay nada")))</f>
        <v>#VALUE!</v>
      </c>
    </row>
    <row r="582" spans="7:8" x14ac:dyDescent="0.2">
      <c r="G582" t="e">
        <f>Tabla27[[#This Row],[Agrupación]]</f>
        <v>#VALUE!</v>
      </c>
      <c r="H582" t="e" cm="1">
        <f t="array" ref="H582">TRANSPOSE((_xlfn._xlws.FILTER(INDEX($C$6:$E$1000,,MATCH($G582,$C$5:$E$5,0)),INDEX($C$6:$E$1000,,MATCH($G582,$C$5:$E$5,0))&lt;&gt;"","No hay nada")))</f>
        <v>#VALUE!</v>
      </c>
    </row>
    <row r="583" spans="7:8" x14ac:dyDescent="0.2">
      <c r="G583" t="e">
        <f>Tabla27[[#This Row],[Agrupación]]</f>
        <v>#VALUE!</v>
      </c>
      <c r="H583" t="e" cm="1">
        <f t="array" ref="H583">TRANSPOSE((_xlfn._xlws.FILTER(INDEX($C$6:$E$1000,,MATCH($G583,$C$5:$E$5,0)),INDEX($C$6:$E$1000,,MATCH($G583,$C$5:$E$5,0))&lt;&gt;"","No hay nada")))</f>
        <v>#VALUE!</v>
      </c>
    </row>
    <row r="584" spans="7:8" x14ac:dyDescent="0.2">
      <c r="G584" t="e">
        <f>Tabla27[[#This Row],[Agrupación]]</f>
        <v>#VALUE!</v>
      </c>
      <c r="H584" t="e" cm="1">
        <f t="array" ref="H584">TRANSPOSE((_xlfn._xlws.FILTER(INDEX($C$6:$E$1000,,MATCH($G584,$C$5:$E$5,0)),INDEX($C$6:$E$1000,,MATCH($G584,$C$5:$E$5,0))&lt;&gt;"","No hay nada")))</f>
        <v>#VALUE!</v>
      </c>
    </row>
    <row r="585" spans="7:8" x14ac:dyDescent="0.2">
      <c r="G585" t="e">
        <f>Tabla27[[#This Row],[Agrupación]]</f>
        <v>#VALUE!</v>
      </c>
      <c r="H585" t="e" cm="1">
        <f t="array" ref="H585">TRANSPOSE((_xlfn._xlws.FILTER(INDEX($C$6:$E$1000,,MATCH($G585,$C$5:$E$5,0)),INDEX($C$6:$E$1000,,MATCH($G585,$C$5:$E$5,0))&lt;&gt;"","No hay nada")))</f>
        <v>#VALUE!</v>
      </c>
    </row>
    <row r="586" spans="7:8" x14ac:dyDescent="0.2">
      <c r="G586" t="e">
        <f>Tabla27[[#This Row],[Agrupación]]</f>
        <v>#VALUE!</v>
      </c>
      <c r="H586" t="e" cm="1">
        <f t="array" ref="H586">TRANSPOSE((_xlfn._xlws.FILTER(INDEX($C$6:$E$1000,,MATCH($G586,$C$5:$E$5,0)),INDEX($C$6:$E$1000,,MATCH($G586,$C$5:$E$5,0))&lt;&gt;"","No hay nada")))</f>
        <v>#VALUE!</v>
      </c>
    </row>
    <row r="587" spans="7:8" x14ac:dyDescent="0.2">
      <c r="G587" t="e">
        <f>Tabla27[[#This Row],[Agrupación]]</f>
        <v>#VALUE!</v>
      </c>
      <c r="H587" t="e" cm="1">
        <f t="array" ref="H587">TRANSPOSE((_xlfn._xlws.FILTER(INDEX($C$6:$E$1000,,MATCH($G587,$C$5:$E$5,0)),INDEX($C$6:$E$1000,,MATCH($G587,$C$5:$E$5,0))&lt;&gt;"","No hay nada")))</f>
        <v>#VALUE!</v>
      </c>
    </row>
    <row r="588" spans="7:8" x14ac:dyDescent="0.2">
      <c r="G588" t="e">
        <f>Tabla27[[#This Row],[Agrupación]]</f>
        <v>#VALUE!</v>
      </c>
      <c r="H588" t="e" cm="1">
        <f t="array" ref="H588">TRANSPOSE((_xlfn._xlws.FILTER(INDEX($C$6:$E$1000,,MATCH($G588,$C$5:$E$5,0)),INDEX($C$6:$E$1000,,MATCH($G588,$C$5:$E$5,0))&lt;&gt;"","No hay nada")))</f>
        <v>#VALUE!</v>
      </c>
    </row>
    <row r="589" spans="7:8" x14ac:dyDescent="0.2">
      <c r="G589" t="e">
        <f>Tabla27[[#This Row],[Agrupación]]</f>
        <v>#VALUE!</v>
      </c>
      <c r="H589" t="e" cm="1">
        <f t="array" ref="H589">TRANSPOSE((_xlfn._xlws.FILTER(INDEX($C$6:$E$1000,,MATCH($G589,$C$5:$E$5,0)),INDEX($C$6:$E$1000,,MATCH($G589,$C$5:$E$5,0))&lt;&gt;"","No hay nada")))</f>
        <v>#VALUE!</v>
      </c>
    </row>
    <row r="590" spans="7:8" x14ac:dyDescent="0.2">
      <c r="G590" t="e">
        <f>Tabla27[[#This Row],[Agrupación]]</f>
        <v>#VALUE!</v>
      </c>
      <c r="H590" t="e" cm="1">
        <f t="array" ref="H590">TRANSPOSE((_xlfn._xlws.FILTER(INDEX($C$6:$E$1000,,MATCH($G590,$C$5:$E$5,0)),INDEX($C$6:$E$1000,,MATCH($G590,$C$5:$E$5,0))&lt;&gt;"","No hay nada")))</f>
        <v>#VALUE!</v>
      </c>
    </row>
    <row r="591" spans="7:8" x14ac:dyDescent="0.2">
      <c r="G591" t="e">
        <f>Tabla27[[#This Row],[Agrupación]]</f>
        <v>#VALUE!</v>
      </c>
      <c r="H591" t="e" cm="1">
        <f t="array" ref="H591">TRANSPOSE((_xlfn._xlws.FILTER(INDEX($C$6:$E$1000,,MATCH($G591,$C$5:$E$5,0)),INDEX($C$6:$E$1000,,MATCH($G591,$C$5:$E$5,0))&lt;&gt;"","No hay nada")))</f>
        <v>#VALUE!</v>
      </c>
    </row>
    <row r="592" spans="7:8" x14ac:dyDescent="0.2">
      <c r="G592" t="e">
        <f>Tabla27[[#This Row],[Agrupación]]</f>
        <v>#VALUE!</v>
      </c>
      <c r="H592" t="e" cm="1">
        <f t="array" ref="H592">TRANSPOSE((_xlfn._xlws.FILTER(INDEX($C$6:$E$1000,,MATCH($G592,$C$5:$E$5,0)),INDEX($C$6:$E$1000,,MATCH($G592,$C$5:$E$5,0))&lt;&gt;"","No hay nada")))</f>
        <v>#VALUE!</v>
      </c>
    </row>
    <row r="593" spans="7:8" x14ac:dyDescent="0.2">
      <c r="G593" t="e">
        <f>Tabla27[[#This Row],[Agrupación]]</f>
        <v>#VALUE!</v>
      </c>
      <c r="H593" t="e" cm="1">
        <f t="array" ref="H593">TRANSPOSE((_xlfn._xlws.FILTER(INDEX($C$6:$E$1000,,MATCH($G593,$C$5:$E$5,0)),INDEX($C$6:$E$1000,,MATCH($G593,$C$5:$E$5,0))&lt;&gt;"","No hay nada")))</f>
        <v>#VALUE!</v>
      </c>
    </row>
    <row r="594" spans="7:8" x14ac:dyDescent="0.2">
      <c r="G594" t="e">
        <f>Tabla27[[#This Row],[Agrupación]]</f>
        <v>#VALUE!</v>
      </c>
      <c r="H594" t="e" cm="1">
        <f t="array" ref="H594">TRANSPOSE((_xlfn._xlws.FILTER(INDEX($C$6:$E$1000,,MATCH($G594,$C$5:$E$5,0)),INDEX($C$6:$E$1000,,MATCH($G594,$C$5:$E$5,0))&lt;&gt;"","No hay nada")))</f>
        <v>#VALUE!</v>
      </c>
    </row>
    <row r="595" spans="7:8" x14ac:dyDescent="0.2">
      <c r="G595" t="e">
        <f>Tabla27[[#This Row],[Agrupación]]</f>
        <v>#VALUE!</v>
      </c>
      <c r="H595" t="e" cm="1">
        <f t="array" ref="H595">TRANSPOSE((_xlfn._xlws.FILTER(INDEX($C$6:$E$1000,,MATCH($G595,$C$5:$E$5,0)),INDEX($C$6:$E$1000,,MATCH($G595,$C$5:$E$5,0))&lt;&gt;"","No hay nada")))</f>
        <v>#VALUE!</v>
      </c>
    </row>
    <row r="596" spans="7:8" x14ac:dyDescent="0.2">
      <c r="G596" t="e">
        <f>Tabla27[[#This Row],[Agrupación]]</f>
        <v>#VALUE!</v>
      </c>
      <c r="H596" t="e" cm="1">
        <f t="array" ref="H596">TRANSPOSE((_xlfn._xlws.FILTER(INDEX($C$6:$E$1000,,MATCH($G596,$C$5:$E$5,0)),INDEX($C$6:$E$1000,,MATCH($G596,$C$5:$E$5,0))&lt;&gt;"","No hay nada")))</f>
        <v>#VALUE!</v>
      </c>
    </row>
    <row r="597" spans="7:8" x14ac:dyDescent="0.2">
      <c r="G597" t="e">
        <f>Tabla27[[#This Row],[Agrupación]]</f>
        <v>#VALUE!</v>
      </c>
      <c r="H597" t="e" cm="1">
        <f t="array" ref="H597">TRANSPOSE((_xlfn._xlws.FILTER(INDEX($C$6:$E$1000,,MATCH($G597,$C$5:$E$5,0)),INDEX($C$6:$E$1000,,MATCH($G597,$C$5:$E$5,0))&lt;&gt;"","No hay nada")))</f>
        <v>#VALUE!</v>
      </c>
    </row>
    <row r="598" spans="7:8" x14ac:dyDescent="0.2">
      <c r="G598" t="e">
        <f>Tabla27[[#This Row],[Agrupación]]</f>
        <v>#VALUE!</v>
      </c>
      <c r="H598" t="e" cm="1">
        <f t="array" ref="H598">TRANSPOSE((_xlfn._xlws.FILTER(INDEX($C$6:$E$1000,,MATCH($G598,$C$5:$E$5,0)),INDEX($C$6:$E$1000,,MATCH($G598,$C$5:$E$5,0))&lt;&gt;"","No hay nada")))</f>
        <v>#VALUE!</v>
      </c>
    </row>
    <row r="599" spans="7:8" x14ac:dyDescent="0.2">
      <c r="G599" t="e">
        <f>Tabla27[[#This Row],[Agrupación]]</f>
        <v>#VALUE!</v>
      </c>
      <c r="H599" t="e" cm="1">
        <f t="array" ref="H599">TRANSPOSE((_xlfn._xlws.FILTER(INDEX($C$6:$E$1000,,MATCH($G599,$C$5:$E$5,0)),INDEX($C$6:$E$1000,,MATCH($G599,$C$5:$E$5,0))&lt;&gt;"","No hay nada")))</f>
        <v>#VALUE!</v>
      </c>
    </row>
    <row r="600" spans="7:8" x14ac:dyDescent="0.2">
      <c r="G600" t="e">
        <f>Tabla27[[#This Row],[Agrupación]]</f>
        <v>#VALUE!</v>
      </c>
      <c r="H600" t="e" cm="1">
        <f t="array" ref="H600">TRANSPOSE((_xlfn._xlws.FILTER(INDEX($C$6:$E$1000,,MATCH($G600,$C$5:$E$5,0)),INDEX($C$6:$E$1000,,MATCH($G600,$C$5:$E$5,0))&lt;&gt;"","No hay nada")))</f>
        <v>#VALUE!</v>
      </c>
    </row>
    <row r="601" spans="7:8" x14ac:dyDescent="0.2">
      <c r="G601" t="e">
        <f>Tabla27[[#This Row],[Agrupación]]</f>
        <v>#VALUE!</v>
      </c>
      <c r="H601" t="e" cm="1">
        <f t="array" ref="H601">TRANSPOSE((_xlfn._xlws.FILTER(INDEX($C$6:$E$1000,,MATCH($G601,$C$5:$E$5,0)),INDEX($C$6:$E$1000,,MATCH($G601,$C$5:$E$5,0))&lt;&gt;"","No hay nada")))</f>
        <v>#VALUE!</v>
      </c>
    </row>
    <row r="602" spans="7:8" x14ac:dyDescent="0.2">
      <c r="G602" t="e">
        <f>Tabla27[[#This Row],[Agrupación]]</f>
        <v>#VALUE!</v>
      </c>
      <c r="H602" t="e" cm="1">
        <f t="array" ref="H602">TRANSPOSE((_xlfn._xlws.FILTER(INDEX($C$6:$E$1000,,MATCH($G602,$C$5:$E$5,0)),INDEX($C$6:$E$1000,,MATCH($G602,$C$5:$E$5,0))&lt;&gt;"","No hay nada")))</f>
        <v>#VALUE!</v>
      </c>
    </row>
    <row r="603" spans="7:8" x14ac:dyDescent="0.2">
      <c r="G603" t="e">
        <f>Tabla27[[#This Row],[Agrupación]]</f>
        <v>#VALUE!</v>
      </c>
      <c r="H603" t="e" cm="1">
        <f t="array" ref="H603">TRANSPOSE((_xlfn._xlws.FILTER(INDEX($C$6:$E$1000,,MATCH($G603,$C$5:$E$5,0)),INDEX($C$6:$E$1000,,MATCH($G603,$C$5:$E$5,0))&lt;&gt;"","No hay nada")))</f>
        <v>#VALUE!</v>
      </c>
    </row>
    <row r="604" spans="7:8" x14ac:dyDescent="0.2">
      <c r="G604" t="e">
        <f>Tabla27[[#This Row],[Agrupación]]</f>
        <v>#VALUE!</v>
      </c>
      <c r="H604" t="e" cm="1">
        <f t="array" ref="H604">TRANSPOSE((_xlfn._xlws.FILTER(INDEX($C$6:$E$1000,,MATCH($G604,$C$5:$E$5,0)),INDEX($C$6:$E$1000,,MATCH($G604,$C$5:$E$5,0))&lt;&gt;"","No hay nada")))</f>
        <v>#VALUE!</v>
      </c>
    </row>
    <row r="605" spans="7:8" x14ac:dyDescent="0.2">
      <c r="G605" t="e">
        <f>Tabla27[[#This Row],[Agrupación]]</f>
        <v>#VALUE!</v>
      </c>
      <c r="H605" t="e" cm="1">
        <f t="array" ref="H605">TRANSPOSE((_xlfn._xlws.FILTER(INDEX($C$6:$E$1000,,MATCH($G605,$C$5:$E$5,0)),INDEX($C$6:$E$1000,,MATCH($G605,$C$5:$E$5,0))&lt;&gt;"","No hay nada")))</f>
        <v>#VALUE!</v>
      </c>
    </row>
    <row r="606" spans="7:8" x14ac:dyDescent="0.2">
      <c r="G606" t="e">
        <f>Tabla27[[#This Row],[Agrupación]]</f>
        <v>#VALUE!</v>
      </c>
      <c r="H606" t="e" cm="1">
        <f t="array" ref="H606">TRANSPOSE((_xlfn._xlws.FILTER(INDEX($C$6:$E$1000,,MATCH($G606,$C$5:$E$5,0)),INDEX($C$6:$E$1000,,MATCH($G606,$C$5:$E$5,0))&lt;&gt;"","No hay nada")))</f>
        <v>#VALUE!</v>
      </c>
    </row>
    <row r="607" spans="7:8" x14ac:dyDescent="0.2">
      <c r="G607" t="e">
        <f>Tabla27[[#This Row],[Agrupación]]</f>
        <v>#VALUE!</v>
      </c>
      <c r="H607" t="e" cm="1">
        <f t="array" ref="H607">TRANSPOSE((_xlfn._xlws.FILTER(INDEX($C$6:$E$1000,,MATCH($G607,$C$5:$E$5,0)),INDEX($C$6:$E$1000,,MATCH($G607,$C$5:$E$5,0))&lt;&gt;"","No hay nada")))</f>
        <v>#VALUE!</v>
      </c>
    </row>
    <row r="608" spans="7:8" x14ac:dyDescent="0.2">
      <c r="G608" t="e">
        <f>Tabla27[[#This Row],[Agrupación]]</f>
        <v>#VALUE!</v>
      </c>
      <c r="H608" t="e" cm="1">
        <f t="array" ref="H608">TRANSPOSE((_xlfn._xlws.FILTER(INDEX($C$6:$E$1000,,MATCH($G608,$C$5:$E$5,0)),INDEX($C$6:$E$1000,,MATCH($G608,$C$5:$E$5,0))&lt;&gt;"","No hay nada")))</f>
        <v>#VALUE!</v>
      </c>
    </row>
    <row r="609" spans="7:8" x14ac:dyDescent="0.2">
      <c r="G609" t="e">
        <f>Tabla27[[#This Row],[Agrupación]]</f>
        <v>#VALUE!</v>
      </c>
      <c r="H609" t="e" cm="1">
        <f t="array" ref="H609">TRANSPOSE((_xlfn._xlws.FILTER(INDEX($C$6:$E$1000,,MATCH($G609,$C$5:$E$5,0)),INDEX($C$6:$E$1000,,MATCH($G609,$C$5:$E$5,0))&lt;&gt;"","No hay nada")))</f>
        <v>#VALUE!</v>
      </c>
    </row>
    <row r="610" spans="7:8" x14ac:dyDescent="0.2">
      <c r="G610" t="e">
        <f>Tabla27[[#This Row],[Agrupación]]</f>
        <v>#VALUE!</v>
      </c>
      <c r="H610" t="e" cm="1">
        <f t="array" ref="H610">TRANSPOSE((_xlfn._xlws.FILTER(INDEX($C$6:$E$1000,,MATCH($G610,$C$5:$E$5,0)),INDEX($C$6:$E$1000,,MATCH($G610,$C$5:$E$5,0))&lt;&gt;"","No hay nada")))</f>
        <v>#VALUE!</v>
      </c>
    </row>
    <row r="611" spans="7:8" x14ac:dyDescent="0.2">
      <c r="G611" t="e">
        <f>Tabla27[[#This Row],[Agrupación]]</f>
        <v>#VALUE!</v>
      </c>
      <c r="H611" t="e" cm="1">
        <f t="array" ref="H611">TRANSPOSE((_xlfn._xlws.FILTER(INDEX($C$6:$E$1000,,MATCH($G611,$C$5:$E$5,0)),INDEX($C$6:$E$1000,,MATCH($G611,$C$5:$E$5,0))&lt;&gt;"","No hay nada")))</f>
        <v>#VALUE!</v>
      </c>
    </row>
    <row r="612" spans="7:8" x14ac:dyDescent="0.2">
      <c r="G612" t="e">
        <f>Tabla27[[#This Row],[Agrupación]]</f>
        <v>#VALUE!</v>
      </c>
      <c r="H612" t="e" cm="1">
        <f t="array" ref="H612">TRANSPOSE((_xlfn._xlws.FILTER(INDEX($C$6:$E$1000,,MATCH($G612,$C$5:$E$5,0)),INDEX($C$6:$E$1000,,MATCH($G612,$C$5:$E$5,0))&lt;&gt;"","No hay nada")))</f>
        <v>#VALUE!</v>
      </c>
    </row>
    <row r="613" spans="7:8" x14ac:dyDescent="0.2">
      <c r="G613" t="e">
        <f>Tabla27[[#This Row],[Agrupación]]</f>
        <v>#VALUE!</v>
      </c>
      <c r="H613" t="e" cm="1">
        <f t="array" ref="H613">TRANSPOSE((_xlfn._xlws.FILTER(INDEX($C$6:$E$1000,,MATCH($G613,$C$5:$E$5,0)),INDEX($C$6:$E$1000,,MATCH($G613,$C$5:$E$5,0))&lt;&gt;"","No hay nada")))</f>
        <v>#VALUE!</v>
      </c>
    </row>
    <row r="614" spans="7:8" x14ac:dyDescent="0.2">
      <c r="G614" t="e">
        <f>Tabla27[[#This Row],[Agrupación]]</f>
        <v>#VALUE!</v>
      </c>
      <c r="H614" t="e" cm="1">
        <f t="array" ref="H614">TRANSPOSE((_xlfn._xlws.FILTER(INDEX($C$6:$E$1000,,MATCH($G614,$C$5:$E$5,0)),INDEX($C$6:$E$1000,,MATCH($G614,$C$5:$E$5,0))&lt;&gt;"","No hay nada")))</f>
        <v>#VALUE!</v>
      </c>
    </row>
    <row r="615" spans="7:8" x14ac:dyDescent="0.2">
      <c r="G615" t="e">
        <f>Tabla27[[#This Row],[Agrupación]]</f>
        <v>#VALUE!</v>
      </c>
      <c r="H615" t="e" cm="1">
        <f t="array" ref="H615">TRANSPOSE((_xlfn._xlws.FILTER(INDEX($C$6:$E$1000,,MATCH($G615,$C$5:$E$5,0)),INDEX($C$6:$E$1000,,MATCH($G615,$C$5:$E$5,0))&lt;&gt;"","No hay nada")))</f>
        <v>#VALUE!</v>
      </c>
    </row>
    <row r="616" spans="7:8" x14ac:dyDescent="0.2">
      <c r="G616" t="e">
        <f>Tabla27[[#This Row],[Agrupación]]</f>
        <v>#VALUE!</v>
      </c>
      <c r="H616" t="e" cm="1">
        <f t="array" ref="H616">TRANSPOSE((_xlfn._xlws.FILTER(INDEX($C$6:$E$1000,,MATCH($G616,$C$5:$E$5,0)),INDEX($C$6:$E$1000,,MATCH($G616,$C$5:$E$5,0))&lt;&gt;"","No hay nada")))</f>
        <v>#VALUE!</v>
      </c>
    </row>
    <row r="617" spans="7:8" x14ac:dyDescent="0.2">
      <c r="G617" t="e">
        <f>Tabla27[[#This Row],[Agrupación]]</f>
        <v>#VALUE!</v>
      </c>
      <c r="H617" t="e" cm="1">
        <f t="array" ref="H617">TRANSPOSE((_xlfn._xlws.FILTER(INDEX($C$6:$E$1000,,MATCH($G617,$C$5:$E$5,0)),INDEX($C$6:$E$1000,,MATCH($G617,$C$5:$E$5,0))&lt;&gt;"","No hay nada")))</f>
        <v>#VALUE!</v>
      </c>
    </row>
    <row r="618" spans="7:8" x14ac:dyDescent="0.2">
      <c r="G618" t="e">
        <f>Tabla27[[#This Row],[Agrupación]]</f>
        <v>#VALUE!</v>
      </c>
      <c r="H618" t="e" cm="1">
        <f t="array" ref="H618">TRANSPOSE((_xlfn._xlws.FILTER(INDEX($C$6:$E$1000,,MATCH($G618,$C$5:$E$5,0)),INDEX($C$6:$E$1000,,MATCH($G618,$C$5:$E$5,0))&lt;&gt;"","No hay nada")))</f>
        <v>#VALUE!</v>
      </c>
    </row>
    <row r="619" spans="7:8" x14ac:dyDescent="0.2">
      <c r="G619" t="e">
        <f>Tabla27[[#This Row],[Agrupación]]</f>
        <v>#VALUE!</v>
      </c>
      <c r="H619" t="e" cm="1">
        <f t="array" ref="H619">TRANSPOSE((_xlfn._xlws.FILTER(INDEX($C$6:$E$1000,,MATCH($G619,$C$5:$E$5,0)),INDEX($C$6:$E$1000,,MATCH($G619,$C$5:$E$5,0))&lt;&gt;"","No hay nada")))</f>
        <v>#VALUE!</v>
      </c>
    </row>
    <row r="620" spans="7:8" x14ac:dyDescent="0.2">
      <c r="G620" t="e">
        <f>Tabla27[[#This Row],[Agrupación]]</f>
        <v>#VALUE!</v>
      </c>
      <c r="H620" t="e" cm="1">
        <f t="array" ref="H620">TRANSPOSE((_xlfn._xlws.FILTER(INDEX($C$6:$E$1000,,MATCH($G620,$C$5:$E$5,0)),INDEX($C$6:$E$1000,,MATCH($G620,$C$5:$E$5,0))&lt;&gt;"","No hay nada")))</f>
        <v>#VALUE!</v>
      </c>
    </row>
    <row r="621" spans="7:8" x14ac:dyDescent="0.2">
      <c r="G621" t="e">
        <f>Tabla27[[#This Row],[Agrupación]]</f>
        <v>#VALUE!</v>
      </c>
      <c r="H621" t="e" cm="1">
        <f t="array" ref="H621">TRANSPOSE((_xlfn._xlws.FILTER(INDEX($C$6:$E$1000,,MATCH($G621,$C$5:$E$5,0)),INDEX($C$6:$E$1000,,MATCH($G621,$C$5:$E$5,0))&lt;&gt;"","No hay nada")))</f>
        <v>#VALUE!</v>
      </c>
    </row>
    <row r="622" spans="7:8" x14ac:dyDescent="0.2">
      <c r="G622" t="e">
        <f>Tabla27[[#This Row],[Agrupación]]</f>
        <v>#VALUE!</v>
      </c>
      <c r="H622" t="e" cm="1">
        <f t="array" ref="H622">TRANSPOSE((_xlfn._xlws.FILTER(INDEX($C$6:$E$1000,,MATCH($G622,$C$5:$E$5,0)),INDEX($C$6:$E$1000,,MATCH($G622,$C$5:$E$5,0))&lt;&gt;"","No hay nada")))</f>
        <v>#VALUE!</v>
      </c>
    </row>
    <row r="623" spans="7:8" x14ac:dyDescent="0.2">
      <c r="G623" t="e">
        <f>Tabla27[[#This Row],[Agrupación]]</f>
        <v>#VALUE!</v>
      </c>
      <c r="H623" t="e" cm="1">
        <f t="array" ref="H623">TRANSPOSE((_xlfn._xlws.FILTER(INDEX($C$6:$E$1000,,MATCH($G623,$C$5:$E$5,0)),INDEX($C$6:$E$1000,,MATCH($G623,$C$5:$E$5,0))&lt;&gt;"","No hay nada")))</f>
        <v>#VALUE!</v>
      </c>
    </row>
    <row r="624" spans="7:8" x14ac:dyDescent="0.2">
      <c r="G624" t="e">
        <f>Tabla27[[#This Row],[Agrupación]]</f>
        <v>#VALUE!</v>
      </c>
      <c r="H624" t="e" cm="1">
        <f t="array" ref="H624">TRANSPOSE((_xlfn._xlws.FILTER(INDEX($C$6:$E$1000,,MATCH($G624,$C$5:$E$5,0)),INDEX($C$6:$E$1000,,MATCH($G624,$C$5:$E$5,0))&lt;&gt;"","No hay nada")))</f>
        <v>#VALUE!</v>
      </c>
    </row>
    <row r="625" spans="7:8" x14ac:dyDescent="0.2">
      <c r="G625" t="e">
        <f>Tabla27[[#This Row],[Agrupación]]</f>
        <v>#VALUE!</v>
      </c>
      <c r="H625" t="e" cm="1">
        <f t="array" ref="H625">TRANSPOSE((_xlfn._xlws.FILTER(INDEX($C$6:$E$1000,,MATCH($G625,$C$5:$E$5,0)),INDEX($C$6:$E$1000,,MATCH($G625,$C$5:$E$5,0))&lt;&gt;"","No hay nada")))</f>
        <v>#VALUE!</v>
      </c>
    </row>
    <row r="626" spans="7:8" x14ac:dyDescent="0.2">
      <c r="G626" t="e">
        <f>Tabla27[[#This Row],[Agrupación]]</f>
        <v>#VALUE!</v>
      </c>
      <c r="H626" t="e" cm="1">
        <f t="array" ref="H626">TRANSPOSE((_xlfn._xlws.FILTER(INDEX($C$6:$E$1000,,MATCH($G626,$C$5:$E$5,0)),INDEX($C$6:$E$1000,,MATCH($G626,$C$5:$E$5,0))&lt;&gt;"","No hay nada")))</f>
        <v>#VALUE!</v>
      </c>
    </row>
    <row r="627" spans="7:8" x14ac:dyDescent="0.2">
      <c r="G627" t="e">
        <f>Tabla27[[#This Row],[Agrupación]]</f>
        <v>#VALUE!</v>
      </c>
      <c r="H627" t="e" cm="1">
        <f t="array" ref="H627">TRANSPOSE((_xlfn._xlws.FILTER(INDEX($C$6:$E$1000,,MATCH($G627,$C$5:$E$5,0)),INDEX($C$6:$E$1000,,MATCH($G627,$C$5:$E$5,0))&lt;&gt;"","No hay nada")))</f>
        <v>#VALUE!</v>
      </c>
    </row>
    <row r="628" spans="7:8" x14ac:dyDescent="0.2">
      <c r="G628" t="e">
        <f>Tabla27[[#This Row],[Agrupación]]</f>
        <v>#VALUE!</v>
      </c>
      <c r="H628" t="e" cm="1">
        <f t="array" ref="H628">TRANSPOSE((_xlfn._xlws.FILTER(INDEX($C$6:$E$1000,,MATCH($G628,$C$5:$E$5,0)),INDEX($C$6:$E$1000,,MATCH($G628,$C$5:$E$5,0))&lt;&gt;"","No hay nada")))</f>
        <v>#VALUE!</v>
      </c>
    </row>
    <row r="629" spans="7:8" x14ac:dyDescent="0.2">
      <c r="G629" t="e">
        <f>Tabla27[[#This Row],[Agrupación]]</f>
        <v>#VALUE!</v>
      </c>
      <c r="H629" t="e" cm="1">
        <f t="array" ref="H629">TRANSPOSE((_xlfn._xlws.FILTER(INDEX($C$6:$E$1000,,MATCH($G629,$C$5:$E$5,0)),INDEX($C$6:$E$1000,,MATCH($G629,$C$5:$E$5,0))&lt;&gt;"","No hay nada")))</f>
        <v>#VALUE!</v>
      </c>
    </row>
    <row r="630" spans="7:8" x14ac:dyDescent="0.2">
      <c r="G630" t="e">
        <f>Tabla27[[#This Row],[Agrupación]]</f>
        <v>#VALUE!</v>
      </c>
      <c r="H630" t="e" cm="1">
        <f t="array" ref="H630">TRANSPOSE((_xlfn._xlws.FILTER(INDEX($C$6:$E$1000,,MATCH($G630,$C$5:$E$5,0)),INDEX($C$6:$E$1000,,MATCH($G630,$C$5:$E$5,0))&lt;&gt;"","No hay nada")))</f>
        <v>#VALUE!</v>
      </c>
    </row>
    <row r="631" spans="7:8" x14ac:dyDescent="0.2">
      <c r="G631" t="e">
        <f>Tabla27[[#This Row],[Agrupación]]</f>
        <v>#VALUE!</v>
      </c>
      <c r="H631" t="e" cm="1">
        <f t="array" ref="H631">TRANSPOSE((_xlfn._xlws.FILTER(INDEX($C$6:$E$1000,,MATCH($G631,$C$5:$E$5,0)),INDEX($C$6:$E$1000,,MATCH($G631,$C$5:$E$5,0))&lt;&gt;"","No hay nada")))</f>
        <v>#VALUE!</v>
      </c>
    </row>
    <row r="632" spans="7:8" x14ac:dyDescent="0.2">
      <c r="G632" t="e">
        <f>Tabla27[[#This Row],[Agrupación]]</f>
        <v>#VALUE!</v>
      </c>
      <c r="H632" t="e" cm="1">
        <f t="array" ref="H632">TRANSPOSE((_xlfn._xlws.FILTER(INDEX($C$6:$E$1000,,MATCH($G632,$C$5:$E$5,0)),INDEX($C$6:$E$1000,,MATCH($G632,$C$5:$E$5,0))&lt;&gt;"","No hay nada")))</f>
        <v>#VALUE!</v>
      </c>
    </row>
    <row r="633" spans="7:8" x14ac:dyDescent="0.2">
      <c r="G633" t="e">
        <f>Tabla27[[#This Row],[Agrupación]]</f>
        <v>#VALUE!</v>
      </c>
      <c r="H633" t="e" cm="1">
        <f t="array" ref="H633">TRANSPOSE((_xlfn._xlws.FILTER(INDEX($C$6:$E$1000,,MATCH($G633,$C$5:$E$5,0)),INDEX($C$6:$E$1000,,MATCH($G633,$C$5:$E$5,0))&lt;&gt;"","No hay nada")))</f>
        <v>#VALUE!</v>
      </c>
    </row>
    <row r="634" spans="7:8" x14ac:dyDescent="0.2">
      <c r="G634" t="e">
        <f>Tabla27[[#This Row],[Agrupación]]</f>
        <v>#VALUE!</v>
      </c>
      <c r="H634" t="e" cm="1">
        <f t="array" ref="H634">TRANSPOSE((_xlfn._xlws.FILTER(INDEX($C$6:$E$1000,,MATCH($G634,$C$5:$E$5,0)),INDEX($C$6:$E$1000,,MATCH($G634,$C$5:$E$5,0))&lt;&gt;"","No hay nada")))</f>
        <v>#VALUE!</v>
      </c>
    </row>
    <row r="635" spans="7:8" x14ac:dyDescent="0.2">
      <c r="G635" t="e">
        <f>Tabla27[[#This Row],[Agrupación]]</f>
        <v>#VALUE!</v>
      </c>
      <c r="H635" t="e" cm="1">
        <f t="array" ref="H635">TRANSPOSE((_xlfn._xlws.FILTER(INDEX($C$6:$E$1000,,MATCH($G635,$C$5:$E$5,0)),INDEX($C$6:$E$1000,,MATCH($G635,$C$5:$E$5,0))&lt;&gt;"","No hay nada")))</f>
        <v>#VALUE!</v>
      </c>
    </row>
    <row r="636" spans="7:8" x14ac:dyDescent="0.2">
      <c r="G636" t="e">
        <f>Tabla27[[#This Row],[Agrupación]]</f>
        <v>#VALUE!</v>
      </c>
      <c r="H636" t="e" cm="1">
        <f t="array" ref="H636">TRANSPOSE((_xlfn._xlws.FILTER(INDEX($C$6:$E$1000,,MATCH($G636,$C$5:$E$5,0)),INDEX($C$6:$E$1000,,MATCH($G636,$C$5:$E$5,0))&lt;&gt;"","No hay nada")))</f>
        <v>#VALUE!</v>
      </c>
    </row>
    <row r="637" spans="7:8" x14ac:dyDescent="0.2">
      <c r="G637" t="e">
        <f>Tabla27[[#This Row],[Agrupación]]</f>
        <v>#VALUE!</v>
      </c>
      <c r="H637" t="e" cm="1">
        <f t="array" ref="H637">TRANSPOSE((_xlfn._xlws.FILTER(INDEX($C$6:$E$1000,,MATCH($G637,$C$5:$E$5,0)),INDEX($C$6:$E$1000,,MATCH($G637,$C$5:$E$5,0))&lt;&gt;"","No hay nada")))</f>
        <v>#VALUE!</v>
      </c>
    </row>
    <row r="638" spans="7:8" x14ac:dyDescent="0.2">
      <c r="G638" t="e">
        <f>Tabla27[[#This Row],[Agrupación]]</f>
        <v>#VALUE!</v>
      </c>
      <c r="H638" t="e" cm="1">
        <f t="array" ref="H638">TRANSPOSE((_xlfn._xlws.FILTER(INDEX($C$6:$E$1000,,MATCH($G638,$C$5:$E$5,0)),INDEX($C$6:$E$1000,,MATCH($G638,$C$5:$E$5,0))&lt;&gt;"","No hay nada")))</f>
        <v>#VALUE!</v>
      </c>
    </row>
    <row r="639" spans="7:8" x14ac:dyDescent="0.2">
      <c r="G639" t="e">
        <f>Tabla27[[#This Row],[Agrupación]]</f>
        <v>#VALUE!</v>
      </c>
      <c r="H639" t="e" cm="1">
        <f t="array" ref="H639">TRANSPOSE((_xlfn._xlws.FILTER(INDEX($C$6:$E$1000,,MATCH($G639,$C$5:$E$5,0)),INDEX($C$6:$E$1000,,MATCH($G639,$C$5:$E$5,0))&lt;&gt;"","No hay nada")))</f>
        <v>#VALUE!</v>
      </c>
    </row>
    <row r="640" spans="7:8" x14ac:dyDescent="0.2">
      <c r="G640" t="e">
        <f>Tabla27[[#This Row],[Agrupación]]</f>
        <v>#VALUE!</v>
      </c>
      <c r="H640" t="e" cm="1">
        <f t="array" ref="H640">TRANSPOSE((_xlfn._xlws.FILTER(INDEX($C$6:$E$1000,,MATCH($G640,$C$5:$E$5,0)),INDEX($C$6:$E$1000,,MATCH($G640,$C$5:$E$5,0))&lt;&gt;"","No hay nada")))</f>
        <v>#VALUE!</v>
      </c>
    </row>
    <row r="641" spans="7:8" x14ac:dyDescent="0.2">
      <c r="G641" t="e">
        <f>Tabla27[[#This Row],[Agrupación]]</f>
        <v>#VALUE!</v>
      </c>
      <c r="H641" t="e" cm="1">
        <f t="array" ref="H641">TRANSPOSE((_xlfn._xlws.FILTER(INDEX($C$6:$E$1000,,MATCH($G641,$C$5:$E$5,0)),INDEX($C$6:$E$1000,,MATCH($G641,$C$5:$E$5,0))&lt;&gt;"","No hay nada")))</f>
        <v>#VALUE!</v>
      </c>
    </row>
    <row r="642" spans="7:8" x14ac:dyDescent="0.2">
      <c r="G642" t="e">
        <f>Tabla27[[#This Row],[Agrupación]]</f>
        <v>#VALUE!</v>
      </c>
      <c r="H642" t="e" cm="1">
        <f t="array" ref="H642">TRANSPOSE((_xlfn._xlws.FILTER(INDEX($C$6:$E$1000,,MATCH($G642,$C$5:$E$5,0)),INDEX($C$6:$E$1000,,MATCH($G642,$C$5:$E$5,0))&lt;&gt;"","No hay nada")))</f>
        <v>#VALUE!</v>
      </c>
    </row>
    <row r="643" spans="7:8" x14ac:dyDescent="0.2">
      <c r="G643" t="e">
        <f>Tabla27[[#This Row],[Agrupación]]</f>
        <v>#VALUE!</v>
      </c>
      <c r="H643" t="e" cm="1">
        <f t="array" ref="H643">TRANSPOSE((_xlfn._xlws.FILTER(INDEX($C$6:$E$1000,,MATCH($G643,$C$5:$E$5,0)),INDEX($C$6:$E$1000,,MATCH($G643,$C$5:$E$5,0))&lt;&gt;"","No hay nada")))</f>
        <v>#VALUE!</v>
      </c>
    </row>
    <row r="644" spans="7:8" x14ac:dyDescent="0.2">
      <c r="G644" t="e">
        <f>Tabla27[[#This Row],[Agrupación]]</f>
        <v>#VALUE!</v>
      </c>
      <c r="H644" t="e" cm="1">
        <f t="array" ref="H644">TRANSPOSE((_xlfn._xlws.FILTER(INDEX($C$6:$E$1000,,MATCH($G644,$C$5:$E$5,0)),INDEX($C$6:$E$1000,,MATCH($G644,$C$5:$E$5,0))&lt;&gt;"","No hay nada")))</f>
        <v>#VALUE!</v>
      </c>
    </row>
    <row r="645" spans="7:8" x14ac:dyDescent="0.2">
      <c r="G645" t="e">
        <f>Tabla27[[#This Row],[Agrupación]]</f>
        <v>#VALUE!</v>
      </c>
      <c r="H645" t="e" cm="1">
        <f t="array" ref="H645">TRANSPOSE((_xlfn._xlws.FILTER(INDEX($C$6:$E$1000,,MATCH($G645,$C$5:$E$5,0)),INDEX($C$6:$E$1000,,MATCH($G645,$C$5:$E$5,0))&lt;&gt;"","No hay nada")))</f>
        <v>#VALUE!</v>
      </c>
    </row>
    <row r="646" spans="7:8" x14ac:dyDescent="0.2">
      <c r="G646" t="e">
        <f>Tabla27[[#This Row],[Agrupación]]</f>
        <v>#VALUE!</v>
      </c>
      <c r="H646" t="e" cm="1">
        <f t="array" ref="H646">TRANSPOSE((_xlfn._xlws.FILTER(INDEX($C$6:$E$1000,,MATCH($G646,$C$5:$E$5,0)),INDEX($C$6:$E$1000,,MATCH($G646,$C$5:$E$5,0))&lt;&gt;"","No hay nada")))</f>
        <v>#VALUE!</v>
      </c>
    </row>
    <row r="647" spans="7:8" x14ac:dyDescent="0.2">
      <c r="G647" t="e">
        <f>Tabla27[[#This Row],[Agrupación]]</f>
        <v>#VALUE!</v>
      </c>
      <c r="H647" t="e" cm="1">
        <f t="array" ref="H647">TRANSPOSE((_xlfn._xlws.FILTER(INDEX($C$6:$E$1000,,MATCH($G647,$C$5:$E$5,0)),INDEX($C$6:$E$1000,,MATCH($G647,$C$5:$E$5,0))&lt;&gt;"","No hay nada")))</f>
        <v>#VALUE!</v>
      </c>
    </row>
    <row r="648" spans="7:8" x14ac:dyDescent="0.2">
      <c r="G648" t="e">
        <f>Tabla27[[#This Row],[Agrupación]]</f>
        <v>#VALUE!</v>
      </c>
      <c r="H648" t="e" cm="1">
        <f t="array" ref="H648">TRANSPOSE((_xlfn._xlws.FILTER(INDEX($C$6:$E$1000,,MATCH($G648,$C$5:$E$5,0)),INDEX($C$6:$E$1000,,MATCH($G648,$C$5:$E$5,0))&lt;&gt;"","No hay nada")))</f>
        <v>#VALUE!</v>
      </c>
    </row>
    <row r="649" spans="7:8" x14ac:dyDescent="0.2">
      <c r="G649" t="e">
        <f>Tabla27[[#This Row],[Agrupación]]</f>
        <v>#VALUE!</v>
      </c>
      <c r="H649" t="e" cm="1">
        <f t="array" ref="H649">TRANSPOSE((_xlfn._xlws.FILTER(INDEX($C$6:$E$1000,,MATCH($G649,$C$5:$E$5,0)),INDEX($C$6:$E$1000,,MATCH($G649,$C$5:$E$5,0))&lt;&gt;"","No hay nada")))</f>
        <v>#VALUE!</v>
      </c>
    </row>
    <row r="650" spans="7:8" x14ac:dyDescent="0.2">
      <c r="G650" t="e">
        <f>Tabla27[[#This Row],[Agrupación]]</f>
        <v>#VALUE!</v>
      </c>
      <c r="H650" t="e" cm="1">
        <f t="array" ref="H650">TRANSPOSE((_xlfn._xlws.FILTER(INDEX($C$6:$E$1000,,MATCH($G650,$C$5:$E$5,0)),INDEX($C$6:$E$1000,,MATCH($G650,$C$5:$E$5,0))&lt;&gt;"","No hay nada")))</f>
        <v>#VALUE!</v>
      </c>
    </row>
    <row r="651" spans="7:8" x14ac:dyDescent="0.2">
      <c r="G651" t="e">
        <f>Tabla27[[#This Row],[Agrupación]]</f>
        <v>#VALUE!</v>
      </c>
      <c r="H651" t="e" cm="1">
        <f t="array" ref="H651">TRANSPOSE((_xlfn._xlws.FILTER(INDEX($C$6:$E$1000,,MATCH($G651,$C$5:$E$5,0)),INDEX($C$6:$E$1000,,MATCH($G651,$C$5:$E$5,0))&lt;&gt;"","No hay nada")))</f>
        <v>#VALUE!</v>
      </c>
    </row>
    <row r="652" spans="7:8" x14ac:dyDescent="0.2">
      <c r="G652" t="e">
        <f>Tabla27[[#This Row],[Agrupación]]</f>
        <v>#VALUE!</v>
      </c>
      <c r="H652" t="e" cm="1">
        <f t="array" ref="H652">TRANSPOSE((_xlfn._xlws.FILTER(INDEX($C$6:$E$1000,,MATCH($G652,$C$5:$E$5,0)),INDEX($C$6:$E$1000,,MATCH($G652,$C$5:$E$5,0))&lt;&gt;"","No hay nada")))</f>
        <v>#VALUE!</v>
      </c>
    </row>
    <row r="653" spans="7:8" x14ac:dyDescent="0.2">
      <c r="G653" t="e">
        <f>Tabla27[[#This Row],[Agrupación]]</f>
        <v>#VALUE!</v>
      </c>
      <c r="H653" t="e" cm="1">
        <f t="array" ref="H653">TRANSPOSE((_xlfn._xlws.FILTER(INDEX($C$6:$E$1000,,MATCH($G653,$C$5:$E$5,0)),INDEX($C$6:$E$1000,,MATCH($G653,$C$5:$E$5,0))&lt;&gt;"","No hay nada")))</f>
        <v>#VALUE!</v>
      </c>
    </row>
    <row r="654" spans="7:8" x14ac:dyDescent="0.2">
      <c r="G654" t="e">
        <f>Tabla27[[#This Row],[Agrupación]]</f>
        <v>#VALUE!</v>
      </c>
      <c r="H654" t="e" cm="1">
        <f t="array" ref="H654">TRANSPOSE((_xlfn._xlws.FILTER(INDEX($C$6:$E$1000,,MATCH($G654,$C$5:$E$5,0)),INDEX($C$6:$E$1000,,MATCH($G654,$C$5:$E$5,0))&lt;&gt;"","No hay nada")))</f>
        <v>#VALUE!</v>
      </c>
    </row>
    <row r="655" spans="7:8" x14ac:dyDescent="0.2">
      <c r="G655" t="e">
        <f>Tabla27[[#This Row],[Agrupación]]</f>
        <v>#VALUE!</v>
      </c>
      <c r="H655" t="e" cm="1">
        <f t="array" ref="H655">TRANSPOSE((_xlfn._xlws.FILTER(INDEX($C$6:$E$1000,,MATCH($G655,$C$5:$E$5,0)),INDEX($C$6:$E$1000,,MATCH($G655,$C$5:$E$5,0))&lt;&gt;"","No hay nada")))</f>
        <v>#VALUE!</v>
      </c>
    </row>
    <row r="656" spans="7:8" x14ac:dyDescent="0.2">
      <c r="G656" t="e">
        <f>Tabla27[[#This Row],[Agrupación]]</f>
        <v>#VALUE!</v>
      </c>
      <c r="H656" t="e" cm="1">
        <f t="array" ref="H656">TRANSPOSE((_xlfn._xlws.FILTER(INDEX($C$6:$E$1000,,MATCH($G656,$C$5:$E$5,0)),INDEX($C$6:$E$1000,,MATCH($G656,$C$5:$E$5,0))&lt;&gt;"","No hay nada")))</f>
        <v>#VALUE!</v>
      </c>
    </row>
    <row r="657" spans="7:8" x14ac:dyDescent="0.2">
      <c r="G657" t="e">
        <f>Tabla27[[#This Row],[Agrupación]]</f>
        <v>#VALUE!</v>
      </c>
      <c r="H657" t="e" cm="1">
        <f t="array" ref="H657">TRANSPOSE((_xlfn._xlws.FILTER(INDEX($C$6:$E$1000,,MATCH($G657,$C$5:$E$5,0)),INDEX($C$6:$E$1000,,MATCH($G657,$C$5:$E$5,0))&lt;&gt;"","No hay nada")))</f>
        <v>#VALUE!</v>
      </c>
    </row>
    <row r="658" spans="7:8" x14ac:dyDescent="0.2">
      <c r="G658" t="e">
        <f>Tabla27[[#This Row],[Agrupación]]</f>
        <v>#VALUE!</v>
      </c>
      <c r="H658" t="e" cm="1">
        <f t="array" ref="H658">TRANSPOSE((_xlfn._xlws.FILTER(INDEX($C$6:$E$1000,,MATCH($G658,$C$5:$E$5,0)),INDEX($C$6:$E$1000,,MATCH($G658,$C$5:$E$5,0))&lt;&gt;"","No hay nada")))</f>
        <v>#VALUE!</v>
      </c>
    </row>
    <row r="659" spans="7:8" x14ac:dyDescent="0.2">
      <c r="G659" t="e">
        <f>Tabla27[[#This Row],[Agrupación]]</f>
        <v>#VALUE!</v>
      </c>
      <c r="H659" t="e" cm="1">
        <f t="array" ref="H659">TRANSPOSE((_xlfn._xlws.FILTER(INDEX($C$6:$E$1000,,MATCH($G659,$C$5:$E$5,0)),INDEX($C$6:$E$1000,,MATCH($G659,$C$5:$E$5,0))&lt;&gt;"","No hay nada")))</f>
        <v>#VALUE!</v>
      </c>
    </row>
    <row r="660" spans="7:8" x14ac:dyDescent="0.2">
      <c r="G660" t="e">
        <f>Tabla27[[#This Row],[Agrupación]]</f>
        <v>#VALUE!</v>
      </c>
      <c r="H660" t="e" cm="1">
        <f t="array" ref="H660">TRANSPOSE((_xlfn._xlws.FILTER(INDEX($C$6:$E$1000,,MATCH($G660,$C$5:$E$5,0)),INDEX($C$6:$E$1000,,MATCH($G660,$C$5:$E$5,0))&lt;&gt;"","No hay nada")))</f>
        <v>#VALUE!</v>
      </c>
    </row>
    <row r="661" spans="7:8" x14ac:dyDescent="0.2">
      <c r="G661" t="e">
        <f>Tabla27[[#This Row],[Agrupación]]</f>
        <v>#VALUE!</v>
      </c>
      <c r="H661" t="e" cm="1">
        <f t="array" ref="H661">TRANSPOSE((_xlfn._xlws.FILTER(INDEX($C$6:$E$1000,,MATCH($G661,$C$5:$E$5,0)),INDEX($C$6:$E$1000,,MATCH($G661,$C$5:$E$5,0))&lt;&gt;"","No hay nada")))</f>
        <v>#VALUE!</v>
      </c>
    </row>
    <row r="662" spans="7:8" x14ac:dyDescent="0.2">
      <c r="G662" t="e">
        <f>Tabla27[[#This Row],[Agrupación]]</f>
        <v>#VALUE!</v>
      </c>
      <c r="H662" t="e" cm="1">
        <f t="array" ref="H662">TRANSPOSE((_xlfn._xlws.FILTER(INDEX($C$6:$E$1000,,MATCH($G662,$C$5:$E$5,0)),INDEX($C$6:$E$1000,,MATCH($G662,$C$5:$E$5,0))&lt;&gt;"","No hay nada")))</f>
        <v>#VALUE!</v>
      </c>
    </row>
    <row r="663" spans="7:8" x14ac:dyDescent="0.2">
      <c r="G663" t="e">
        <f>Tabla27[[#This Row],[Agrupación]]</f>
        <v>#VALUE!</v>
      </c>
      <c r="H663" t="e" cm="1">
        <f t="array" ref="H663">TRANSPOSE((_xlfn._xlws.FILTER(INDEX($C$6:$E$1000,,MATCH($G663,$C$5:$E$5,0)),INDEX($C$6:$E$1000,,MATCH($G663,$C$5:$E$5,0))&lt;&gt;"","No hay nada")))</f>
        <v>#VALUE!</v>
      </c>
    </row>
    <row r="664" spans="7:8" x14ac:dyDescent="0.2">
      <c r="G664" t="e">
        <f>Tabla27[[#This Row],[Agrupación]]</f>
        <v>#VALUE!</v>
      </c>
      <c r="H664" t="e" cm="1">
        <f t="array" ref="H664">TRANSPOSE((_xlfn._xlws.FILTER(INDEX($C$6:$E$1000,,MATCH($G664,$C$5:$E$5,0)),INDEX($C$6:$E$1000,,MATCH($G664,$C$5:$E$5,0))&lt;&gt;"","No hay nada")))</f>
        <v>#VALUE!</v>
      </c>
    </row>
    <row r="665" spans="7:8" x14ac:dyDescent="0.2">
      <c r="G665" t="e">
        <f>Tabla27[[#This Row],[Agrupación]]</f>
        <v>#VALUE!</v>
      </c>
      <c r="H665" t="e" cm="1">
        <f t="array" ref="H665">TRANSPOSE((_xlfn._xlws.FILTER(INDEX($C$6:$E$1000,,MATCH($G665,$C$5:$E$5,0)),INDEX($C$6:$E$1000,,MATCH($G665,$C$5:$E$5,0))&lt;&gt;"","No hay nada")))</f>
        <v>#VALUE!</v>
      </c>
    </row>
    <row r="666" spans="7:8" x14ac:dyDescent="0.2">
      <c r="G666" t="e">
        <f>Tabla27[[#This Row],[Agrupación]]</f>
        <v>#VALUE!</v>
      </c>
      <c r="H666" t="e" cm="1">
        <f t="array" ref="H666">TRANSPOSE((_xlfn._xlws.FILTER(INDEX($C$6:$E$1000,,MATCH($G666,$C$5:$E$5,0)),INDEX($C$6:$E$1000,,MATCH($G666,$C$5:$E$5,0))&lt;&gt;"","No hay nada")))</f>
        <v>#VALUE!</v>
      </c>
    </row>
    <row r="667" spans="7:8" x14ac:dyDescent="0.2">
      <c r="G667" t="e">
        <f>Tabla27[[#This Row],[Agrupación]]</f>
        <v>#VALUE!</v>
      </c>
      <c r="H667" t="e" cm="1">
        <f t="array" ref="H667">TRANSPOSE((_xlfn._xlws.FILTER(INDEX($C$6:$E$1000,,MATCH($G667,$C$5:$E$5,0)),INDEX($C$6:$E$1000,,MATCH($G667,$C$5:$E$5,0))&lt;&gt;"","No hay nada")))</f>
        <v>#VALUE!</v>
      </c>
    </row>
    <row r="668" spans="7:8" x14ac:dyDescent="0.2">
      <c r="G668" t="e">
        <f>Tabla27[[#This Row],[Agrupación]]</f>
        <v>#VALUE!</v>
      </c>
      <c r="H668" t="e" cm="1">
        <f t="array" ref="H668">TRANSPOSE((_xlfn._xlws.FILTER(INDEX($C$6:$E$1000,,MATCH($G668,$C$5:$E$5,0)),INDEX($C$6:$E$1000,,MATCH($G668,$C$5:$E$5,0))&lt;&gt;"","No hay nada")))</f>
        <v>#VALUE!</v>
      </c>
    </row>
    <row r="669" spans="7:8" x14ac:dyDescent="0.2">
      <c r="G669" t="e">
        <f>Tabla27[[#This Row],[Agrupación]]</f>
        <v>#VALUE!</v>
      </c>
      <c r="H669" t="e" cm="1">
        <f t="array" ref="H669">TRANSPOSE((_xlfn._xlws.FILTER(INDEX($C$6:$E$1000,,MATCH($G669,$C$5:$E$5,0)),INDEX($C$6:$E$1000,,MATCH($G669,$C$5:$E$5,0))&lt;&gt;"","No hay nada")))</f>
        <v>#VALUE!</v>
      </c>
    </row>
    <row r="670" spans="7:8" x14ac:dyDescent="0.2">
      <c r="G670" t="e">
        <f>Tabla27[[#This Row],[Agrupación]]</f>
        <v>#VALUE!</v>
      </c>
      <c r="H670" t="e" cm="1">
        <f t="array" ref="H670">TRANSPOSE((_xlfn._xlws.FILTER(INDEX($C$6:$E$1000,,MATCH($G670,$C$5:$E$5,0)),INDEX($C$6:$E$1000,,MATCH($G670,$C$5:$E$5,0))&lt;&gt;"","No hay nada")))</f>
        <v>#VALUE!</v>
      </c>
    </row>
    <row r="671" spans="7:8" x14ac:dyDescent="0.2">
      <c r="G671" t="e">
        <f>Tabla27[[#This Row],[Agrupación]]</f>
        <v>#VALUE!</v>
      </c>
      <c r="H671" t="e" cm="1">
        <f t="array" ref="H671">TRANSPOSE((_xlfn._xlws.FILTER(INDEX($C$6:$E$1000,,MATCH($G671,$C$5:$E$5,0)),INDEX($C$6:$E$1000,,MATCH($G671,$C$5:$E$5,0))&lt;&gt;"","No hay nada")))</f>
        <v>#VALUE!</v>
      </c>
    </row>
    <row r="672" spans="7:8" x14ac:dyDescent="0.2">
      <c r="G672" t="e">
        <f>Tabla27[[#This Row],[Agrupación]]</f>
        <v>#VALUE!</v>
      </c>
      <c r="H672" t="e" cm="1">
        <f t="array" ref="H672">TRANSPOSE((_xlfn._xlws.FILTER(INDEX($C$6:$E$1000,,MATCH($G672,$C$5:$E$5,0)),INDEX($C$6:$E$1000,,MATCH($G672,$C$5:$E$5,0))&lt;&gt;"","No hay nada")))</f>
        <v>#VALUE!</v>
      </c>
    </row>
    <row r="673" spans="7:8" x14ac:dyDescent="0.2">
      <c r="G673" t="e">
        <f>Tabla27[[#This Row],[Agrupación]]</f>
        <v>#VALUE!</v>
      </c>
      <c r="H673" t="e" cm="1">
        <f t="array" ref="H673">TRANSPOSE((_xlfn._xlws.FILTER(INDEX($C$6:$E$1000,,MATCH($G673,$C$5:$E$5,0)),INDEX($C$6:$E$1000,,MATCH($G673,$C$5:$E$5,0))&lt;&gt;"","No hay nada")))</f>
        <v>#VALUE!</v>
      </c>
    </row>
    <row r="674" spans="7:8" x14ac:dyDescent="0.2">
      <c r="G674" t="e">
        <f>Tabla27[[#This Row],[Agrupación]]</f>
        <v>#VALUE!</v>
      </c>
      <c r="H674" t="e" cm="1">
        <f t="array" ref="H674">TRANSPOSE((_xlfn._xlws.FILTER(INDEX($C$6:$E$1000,,MATCH($G674,$C$5:$E$5,0)),INDEX($C$6:$E$1000,,MATCH($G674,$C$5:$E$5,0))&lt;&gt;"","No hay nada")))</f>
        <v>#VALUE!</v>
      </c>
    </row>
    <row r="675" spans="7:8" x14ac:dyDescent="0.2">
      <c r="G675" t="e">
        <f>Tabla27[[#This Row],[Agrupación]]</f>
        <v>#VALUE!</v>
      </c>
      <c r="H675" t="e" cm="1">
        <f t="array" ref="H675">TRANSPOSE((_xlfn._xlws.FILTER(INDEX($C$6:$E$1000,,MATCH($G675,$C$5:$E$5,0)),INDEX($C$6:$E$1000,,MATCH($G675,$C$5:$E$5,0))&lt;&gt;"","No hay nada")))</f>
        <v>#VALUE!</v>
      </c>
    </row>
    <row r="676" spans="7:8" x14ac:dyDescent="0.2">
      <c r="G676" t="e">
        <f>Tabla27[[#This Row],[Agrupación]]</f>
        <v>#VALUE!</v>
      </c>
      <c r="H676" t="e" cm="1">
        <f t="array" ref="H676">TRANSPOSE((_xlfn._xlws.FILTER(INDEX($C$6:$E$1000,,MATCH($G676,$C$5:$E$5,0)),INDEX($C$6:$E$1000,,MATCH($G676,$C$5:$E$5,0))&lt;&gt;"","No hay nada")))</f>
        <v>#VALUE!</v>
      </c>
    </row>
    <row r="677" spans="7:8" x14ac:dyDescent="0.2">
      <c r="G677" t="e">
        <f>Tabla27[[#This Row],[Agrupación]]</f>
        <v>#VALUE!</v>
      </c>
      <c r="H677" t="e" cm="1">
        <f t="array" ref="H677">TRANSPOSE((_xlfn._xlws.FILTER(INDEX($C$6:$E$1000,,MATCH($G677,$C$5:$E$5,0)),INDEX($C$6:$E$1000,,MATCH($G677,$C$5:$E$5,0))&lt;&gt;"","No hay nada")))</f>
        <v>#VALUE!</v>
      </c>
    </row>
    <row r="678" spans="7:8" x14ac:dyDescent="0.2">
      <c r="G678" t="e">
        <f>Tabla27[[#This Row],[Agrupación]]</f>
        <v>#VALUE!</v>
      </c>
      <c r="H678" t="e" cm="1">
        <f t="array" ref="H678">TRANSPOSE((_xlfn._xlws.FILTER(INDEX($C$6:$E$1000,,MATCH($G678,$C$5:$E$5,0)),INDEX($C$6:$E$1000,,MATCH($G678,$C$5:$E$5,0))&lt;&gt;"","No hay nada")))</f>
        <v>#VALUE!</v>
      </c>
    </row>
    <row r="679" spans="7:8" x14ac:dyDescent="0.2">
      <c r="G679" t="e">
        <f>Tabla27[[#This Row],[Agrupación]]</f>
        <v>#VALUE!</v>
      </c>
      <c r="H679" t="e" cm="1">
        <f t="array" ref="H679">TRANSPOSE((_xlfn._xlws.FILTER(INDEX($C$6:$E$1000,,MATCH($G679,$C$5:$E$5,0)),INDEX($C$6:$E$1000,,MATCH($G679,$C$5:$E$5,0))&lt;&gt;"","No hay nada")))</f>
        <v>#VALUE!</v>
      </c>
    </row>
    <row r="680" spans="7:8" x14ac:dyDescent="0.2">
      <c r="G680" t="e">
        <f>Tabla27[[#This Row],[Agrupación]]</f>
        <v>#VALUE!</v>
      </c>
      <c r="H680" t="e" cm="1">
        <f t="array" ref="H680">TRANSPOSE((_xlfn._xlws.FILTER(INDEX($C$6:$E$1000,,MATCH($G680,$C$5:$E$5,0)),INDEX($C$6:$E$1000,,MATCH($G680,$C$5:$E$5,0))&lt;&gt;"","No hay nada")))</f>
        <v>#VALUE!</v>
      </c>
    </row>
    <row r="681" spans="7:8" x14ac:dyDescent="0.2">
      <c r="G681" t="e">
        <f>Tabla27[[#This Row],[Agrupación]]</f>
        <v>#VALUE!</v>
      </c>
      <c r="H681" t="e" cm="1">
        <f t="array" ref="H681">TRANSPOSE((_xlfn._xlws.FILTER(INDEX($C$6:$E$1000,,MATCH($G681,$C$5:$E$5,0)),INDEX($C$6:$E$1000,,MATCH($G681,$C$5:$E$5,0))&lt;&gt;"","No hay nada")))</f>
        <v>#VALUE!</v>
      </c>
    </row>
    <row r="682" spans="7:8" x14ac:dyDescent="0.2">
      <c r="G682" t="e">
        <f>Tabla27[[#This Row],[Agrupación]]</f>
        <v>#VALUE!</v>
      </c>
      <c r="H682" t="e" cm="1">
        <f t="array" ref="H682">TRANSPOSE((_xlfn._xlws.FILTER(INDEX($C$6:$E$1000,,MATCH($G682,$C$5:$E$5,0)),INDEX($C$6:$E$1000,,MATCH($G682,$C$5:$E$5,0))&lt;&gt;"","No hay nada")))</f>
        <v>#VALUE!</v>
      </c>
    </row>
    <row r="683" spans="7:8" x14ac:dyDescent="0.2">
      <c r="G683" t="e">
        <f>Tabla27[[#This Row],[Agrupación]]</f>
        <v>#VALUE!</v>
      </c>
      <c r="H683" t="e" cm="1">
        <f t="array" ref="H683">TRANSPOSE((_xlfn._xlws.FILTER(INDEX($C$6:$E$1000,,MATCH($G683,$C$5:$E$5,0)),INDEX($C$6:$E$1000,,MATCH($G683,$C$5:$E$5,0))&lt;&gt;"","No hay nada")))</f>
        <v>#VALUE!</v>
      </c>
    </row>
    <row r="684" spans="7:8" x14ac:dyDescent="0.2">
      <c r="G684" t="e">
        <f>Tabla27[[#This Row],[Agrupación]]</f>
        <v>#VALUE!</v>
      </c>
      <c r="H684" t="e" cm="1">
        <f t="array" ref="H684">TRANSPOSE((_xlfn._xlws.FILTER(INDEX($C$6:$E$1000,,MATCH($G684,$C$5:$E$5,0)),INDEX($C$6:$E$1000,,MATCH($G684,$C$5:$E$5,0))&lt;&gt;"","No hay nada")))</f>
        <v>#VALUE!</v>
      </c>
    </row>
    <row r="685" spans="7:8" x14ac:dyDescent="0.2">
      <c r="G685" t="e">
        <f>Tabla27[[#This Row],[Agrupación]]</f>
        <v>#VALUE!</v>
      </c>
      <c r="H685" t="e" cm="1">
        <f t="array" ref="H685">TRANSPOSE((_xlfn._xlws.FILTER(INDEX($C$6:$E$1000,,MATCH($G685,$C$5:$E$5,0)),INDEX($C$6:$E$1000,,MATCH($G685,$C$5:$E$5,0))&lt;&gt;"","No hay nada")))</f>
        <v>#VALUE!</v>
      </c>
    </row>
    <row r="686" spans="7:8" x14ac:dyDescent="0.2">
      <c r="G686" t="e">
        <f>Tabla27[[#This Row],[Agrupación]]</f>
        <v>#VALUE!</v>
      </c>
      <c r="H686" t="e" cm="1">
        <f t="array" ref="H686">TRANSPOSE((_xlfn._xlws.FILTER(INDEX($C$6:$E$1000,,MATCH($G686,$C$5:$E$5,0)),INDEX($C$6:$E$1000,,MATCH($G686,$C$5:$E$5,0))&lt;&gt;"","No hay nada")))</f>
        <v>#VALUE!</v>
      </c>
    </row>
    <row r="687" spans="7:8" x14ac:dyDescent="0.2">
      <c r="G687" t="e">
        <f>Tabla27[[#This Row],[Agrupación]]</f>
        <v>#VALUE!</v>
      </c>
      <c r="H687" t="e" cm="1">
        <f t="array" ref="H687">TRANSPOSE((_xlfn._xlws.FILTER(INDEX($C$6:$E$1000,,MATCH($G687,$C$5:$E$5,0)),INDEX($C$6:$E$1000,,MATCH($G687,$C$5:$E$5,0))&lt;&gt;"","No hay nada")))</f>
        <v>#VALUE!</v>
      </c>
    </row>
    <row r="688" spans="7:8" x14ac:dyDescent="0.2">
      <c r="G688" t="e">
        <f>Tabla27[[#This Row],[Agrupación]]</f>
        <v>#VALUE!</v>
      </c>
      <c r="H688" t="e" cm="1">
        <f t="array" ref="H688">TRANSPOSE((_xlfn._xlws.FILTER(INDEX($C$6:$E$1000,,MATCH($G688,$C$5:$E$5,0)),INDEX($C$6:$E$1000,,MATCH($G688,$C$5:$E$5,0))&lt;&gt;"","No hay nada")))</f>
        <v>#VALUE!</v>
      </c>
    </row>
    <row r="689" spans="7:8" x14ac:dyDescent="0.2">
      <c r="G689" t="e">
        <f>Tabla27[[#This Row],[Agrupación]]</f>
        <v>#VALUE!</v>
      </c>
      <c r="H689" t="e" cm="1">
        <f t="array" ref="H689">TRANSPOSE((_xlfn._xlws.FILTER(INDEX($C$6:$E$1000,,MATCH($G689,$C$5:$E$5,0)),INDEX($C$6:$E$1000,,MATCH($G689,$C$5:$E$5,0))&lt;&gt;"","No hay nada")))</f>
        <v>#VALUE!</v>
      </c>
    </row>
    <row r="690" spans="7:8" x14ac:dyDescent="0.2">
      <c r="G690" t="e">
        <f>Tabla27[[#This Row],[Agrupación]]</f>
        <v>#VALUE!</v>
      </c>
      <c r="H690" t="e" cm="1">
        <f t="array" ref="H690">TRANSPOSE((_xlfn._xlws.FILTER(INDEX($C$6:$E$1000,,MATCH($G690,$C$5:$E$5,0)),INDEX($C$6:$E$1000,,MATCH($G690,$C$5:$E$5,0))&lt;&gt;"","No hay nada")))</f>
        <v>#VALUE!</v>
      </c>
    </row>
    <row r="691" spans="7:8" x14ac:dyDescent="0.2">
      <c r="G691" t="e">
        <f>Tabla27[[#This Row],[Agrupación]]</f>
        <v>#VALUE!</v>
      </c>
      <c r="H691" t="e" cm="1">
        <f t="array" ref="H691">TRANSPOSE((_xlfn._xlws.FILTER(INDEX($C$6:$E$1000,,MATCH($G691,$C$5:$E$5,0)),INDEX($C$6:$E$1000,,MATCH($G691,$C$5:$E$5,0))&lt;&gt;"","No hay nada")))</f>
        <v>#VALUE!</v>
      </c>
    </row>
    <row r="692" spans="7:8" x14ac:dyDescent="0.2">
      <c r="G692" t="e">
        <f>Tabla27[[#This Row],[Agrupación]]</f>
        <v>#VALUE!</v>
      </c>
      <c r="H692" t="e" cm="1">
        <f t="array" ref="H692">TRANSPOSE((_xlfn._xlws.FILTER(INDEX($C$6:$E$1000,,MATCH($G692,$C$5:$E$5,0)),INDEX($C$6:$E$1000,,MATCH($G692,$C$5:$E$5,0))&lt;&gt;"","No hay nada")))</f>
        <v>#VALUE!</v>
      </c>
    </row>
    <row r="693" spans="7:8" x14ac:dyDescent="0.2">
      <c r="G693" t="e">
        <f>Tabla27[[#This Row],[Agrupación]]</f>
        <v>#VALUE!</v>
      </c>
      <c r="H693" t="e" cm="1">
        <f t="array" ref="H693">TRANSPOSE((_xlfn._xlws.FILTER(INDEX($C$6:$E$1000,,MATCH($G693,$C$5:$E$5,0)),INDEX($C$6:$E$1000,,MATCH($G693,$C$5:$E$5,0))&lt;&gt;"","No hay nada")))</f>
        <v>#VALUE!</v>
      </c>
    </row>
    <row r="694" spans="7:8" x14ac:dyDescent="0.2">
      <c r="G694" t="e">
        <f>Tabla27[[#This Row],[Agrupación]]</f>
        <v>#VALUE!</v>
      </c>
      <c r="H694" t="e" cm="1">
        <f t="array" ref="H694">TRANSPOSE((_xlfn._xlws.FILTER(INDEX($C$6:$E$1000,,MATCH($G694,$C$5:$E$5,0)),INDEX($C$6:$E$1000,,MATCH($G694,$C$5:$E$5,0))&lt;&gt;"","No hay nada")))</f>
        <v>#VALUE!</v>
      </c>
    </row>
    <row r="695" spans="7:8" x14ac:dyDescent="0.2">
      <c r="G695" t="e">
        <f>Tabla27[[#This Row],[Agrupación]]</f>
        <v>#VALUE!</v>
      </c>
      <c r="H695" t="e" cm="1">
        <f t="array" ref="H695">TRANSPOSE((_xlfn._xlws.FILTER(INDEX($C$6:$E$1000,,MATCH($G695,$C$5:$E$5,0)),INDEX($C$6:$E$1000,,MATCH($G695,$C$5:$E$5,0))&lt;&gt;"","No hay nada")))</f>
        <v>#VALUE!</v>
      </c>
    </row>
    <row r="696" spans="7:8" x14ac:dyDescent="0.2">
      <c r="G696" t="e">
        <f>Tabla27[[#This Row],[Agrupación]]</f>
        <v>#VALUE!</v>
      </c>
      <c r="H696" t="e" cm="1">
        <f t="array" ref="H696">TRANSPOSE((_xlfn._xlws.FILTER(INDEX($C$6:$E$1000,,MATCH($G696,$C$5:$E$5,0)),INDEX($C$6:$E$1000,,MATCH($G696,$C$5:$E$5,0))&lt;&gt;"","No hay nada")))</f>
        <v>#VALUE!</v>
      </c>
    </row>
    <row r="697" spans="7:8" x14ac:dyDescent="0.2">
      <c r="G697" t="e">
        <f>Tabla27[[#This Row],[Agrupación]]</f>
        <v>#VALUE!</v>
      </c>
      <c r="H697" t="e" cm="1">
        <f t="array" ref="H697">TRANSPOSE((_xlfn._xlws.FILTER(INDEX($C$6:$E$1000,,MATCH($G697,$C$5:$E$5,0)),INDEX($C$6:$E$1000,,MATCH($G697,$C$5:$E$5,0))&lt;&gt;"","No hay nada")))</f>
        <v>#VALUE!</v>
      </c>
    </row>
    <row r="698" spans="7:8" x14ac:dyDescent="0.2">
      <c r="G698" t="e">
        <f>Tabla27[[#This Row],[Agrupación]]</f>
        <v>#VALUE!</v>
      </c>
      <c r="H698" t="e" cm="1">
        <f t="array" ref="H698">TRANSPOSE((_xlfn._xlws.FILTER(INDEX($C$6:$E$1000,,MATCH($G698,$C$5:$E$5,0)),INDEX($C$6:$E$1000,,MATCH($G698,$C$5:$E$5,0))&lt;&gt;"","No hay nada")))</f>
        <v>#VALUE!</v>
      </c>
    </row>
    <row r="699" spans="7:8" x14ac:dyDescent="0.2">
      <c r="G699" t="e">
        <f>Tabla27[[#This Row],[Agrupación]]</f>
        <v>#VALUE!</v>
      </c>
      <c r="H699" t="e" cm="1">
        <f t="array" ref="H699">TRANSPOSE((_xlfn._xlws.FILTER(INDEX($C$6:$E$1000,,MATCH($G699,$C$5:$E$5,0)),INDEX($C$6:$E$1000,,MATCH($G699,$C$5:$E$5,0))&lt;&gt;"","No hay nada")))</f>
        <v>#VALUE!</v>
      </c>
    </row>
    <row r="700" spans="7:8" x14ac:dyDescent="0.2">
      <c r="G700" t="e">
        <f>Tabla27[[#This Row],[Agrupación]]</f>
        <v>#VALUE!</v>
      </c>
      <c r="H700" t="e" cm="1">
        <f t="array" ref="H700">TRANSPOSE((_xlfn._xlws.FILTER(INDEX($C$6:$E$1000,,MATCH($G700,$C$5:$E$5,0)),INDEX($C$6:$E$1000,,MATCH($G700,$C$5:$E$5,0))&lt;&gt;"","No hay nada")))</f>
        <v>#VALUE!</v>
      </c>
    </row>
    <row r="701" spans="7:8" x14ac:dyDescent="0.2">
      <c r="G701" t="e">
        <f>Tabla27[[#This Row],[Agrupación]]</f>
        <v>#VALUE!</v>
      </c>
      <c r="H701" t="e" cm="1">
        <f t="array" ref="H701">TRANSPOSE((_xlfn._xlws.FILTER(INDEX($C$6:$E$1000,,MATCH($G701,$C$5:$E$5,0)),INDEX($C$6:$E$1000,,MATCH($G701,$C$5:$E$5,0))&lt;&gt;"","No hay nada")))</f>
        <v>#VALUE!</v>
      </c>
    </row>
    <row r="702" spans="7:8" x14ac:dyDescent="0.2">
      <c r="G702" t="e">
        <f>Tabla27[[#This Row],[Agrupación]]</f>
        <v>#VALUE!</v>
      </c>
      <c r="H702" t="e" cm="1">
        <f t="array" ref="H702">TRANSPOSE((_xlfn._xlws.FILTER(INDEX($C$6:$E$1000,,MATCH($G702,$C$5:$E$5,0)),INDEX($C$6:$E$1000,,MATCH($G702,$C$5:$E$5,0))&lt;&gt;"","No hay nada")))</f>
        <v>#VALUE!</v>
      </c>
    </row>
    <row r="703" spans="7:8" x14ac:dyDescent="0.2">
      <c r="G703" t="e">
        <f>Tabla27[[#This Row],[Agrupación]]</f>
        <v>#VALUE!</v>
      </c>
      <c r="H703" t="e" cm="1">
        <f t="array" ref="H703">TRANSPOSE((_xlfn._xlws.FILTER(INDEX($C$6:$E$1000,,MATCH($G703,$C$5:$E$5,0)),INDEX($C$6:$E$1000,,MATCH($G703,$C$5:$E$5,0))&lt;&gt;"","No hay nada")))</f>
        <v>#VALUE!</v>
      </c>
    </row>
    <row r="704" spans="7:8" x14ac:dyDescent="0.2">
      <c r="G704" t="e">
        <f>Tabla27[[#This Row],[Agrupación]]</f>
        <v>#VALUE!</v>
      </c>
      <c r="H704" t="e" cm="1">
        <f t="array" ref="H704">TRANSPOSE((_xlfn._xlws.FILTER(INDEX($C$6:$E$1000,,MATCH($G704,$C$5:$E$5,0)),INDEX($C$6:$E$1000,,MATCH($G704,$C$5:$E$5,0))&lt;&gt;"","No hay nada")))</f>
        <v>#VALUE!</v>
      </c>
    </row>
    <row r="705" spans="7:8" x14ac:dyDescent="0.2">
      <c r="G705" t="e">
        <f>Tabla27[[#This Row],[Agrupación]]</f>
        <v>#VALUE!</v>
      </c>
      <c r="H705" t="e" cm="1">
        <f t="array" ref="H705">TRANSPOSE((_xlfn._xlws.FILTER(INDEX($C$6:$E$1000,,MATCH($G705,$C$5:$E$5,0)),INDEX($C$6:$E$1000,,MATCH($G705,$C$5:$E$5,0))&lt;&gt;"","No hay nada")))</f>
        <v>#VALUE!</v>
      </c>
    </row>
    <row r="706" spans="7:8" x14ac:dyDescent="0.2">
      <c r="G706" t="e">
        <f>Tabla27[[#This Row],[Agrupación]]</f>
        <v>#VALUE!</v>
      </c>
      <c r="H706" t="e" cm="1">
        <f t="array" ref="H706">TRANSPOSE((_xlfn._xlws.FILTER(INDEX($C$6:$E$1000,,MATCH($G706,$C$5:$E$5,0)),INDEX($C$6:$E$1000,,MATCH($G706,$C$5:$E$5,0))&lt;&gt;"","No hay nada")))</f>
        <v>#VALUE!</v>
      </c>
    </row>
    <row r="707" spans="7:8" x14ac:dyDescent="0.2">
      <c r="G707" t="e">
        <f>Tabla27[[#This Row],[Agrupación]]</f>
        <v>#VALUE!</v>
      </c>
      <c r="H707" t="e" cm="1">
        <f t="array" ref="H707">TRANSPOSE((_xlfn._xlws.FILTER(INDEX($C$6:$E$1000,,MATCH($G707,$C$5:$E$5,0)),INDEX($C$6:$E$1000,,MATCH($G707,$C$5:$E$5,0))&lt;&gt;"","No hay nada")))</f>
        <v>#VALUE!</v>
      </c>
    </row>
    <row r="708" spans="7:8" x14ac:dyDescent="0.2">
      <c r="G708" t="e">
        <f>Tabla27[[#This Row],[Agrupación]]</f>
        <v>#VALUE!</v>
      </c>
      <c r="H708" t="e" cm="1">
        <f t="array" ref="H708">TRANSPOSE((_xlfn._xlws.FILTER(INDEX($C$6:$E$1000,,MATCH($G708,$C$5:$E$5,0)),INDEX($C$6:$E$1000,,MATCH($G708,$C$5:$E$5,0))&lt;&gt;"","No hay nada")))</f>
        <v>#VALUE!</v>
      </c>
    </row>
    <row r="709" spans="7:8" x14ac:dyDescent="0.2">
      <c r="G709" t="e">
        <f>Tabla27[[#This Row],[Agrupación]]</f>
        <v>#VALUE!</v>
      </c>
      <c r="H709" t="e" cm="1">
        <f t="array" ref="H709">TRANSPOSE((_xlfn._xlws.FILTER(INDEX($C$6:$E$1000,,MATCH($G709,$C$5:$E$5,0)),INDEX($C$6:$E$1000,,MATCH($G709,$C$5:$E$5,0))&lt;&gt;"","No hay nada")))</f>
        <v>#VALUE!</v>
      </c>
    </row>
    <row r="710" spans="7:8" x14ac:dyDescent="0.2">
      <c r="G710" t="e">
        <f>Tabla27[[#This Row],[Agrupación]]</f>
        <v>#VALUE!</v>
      </c>
      <c r="H710" t="e" cm="1">
        <f t="array" ref="H710">TRANSPOSE((_xlfn._xlws.FILTER(INDEX($C$6:$E$1000,,MATCH($G710,$C$5:$E$5,0)),INDEX($C$6:$E$1000,,MATCH($G710,$C$5:$E$5,0))&lt;&gt;"","No hay nada")))</f>
        <v>#VALUE!</v>
      </c>
    </row>
    <row r="711" spans="7:8" x14ac:dyDescent="0.2">
      <c r="G711" t="e">
        <f>Tabla27[[#This Row],[Agrupación]]</f>
        <v>#VALUE!</v>
      </c>
      <c r="H711" t="e" cm="1">
        <f t="array" ref="H711">TRANSPOSE((_xlfn._xlws.FILTER(INDEX($C$6:$E$1000,,MATCH($G711,$C$5:$E$5,0)),INDEX($C$6:$E$1000,,MATCH($G711,$C$5:$E$5,0))&lt;&gt;"","No hay nada")))</f>
        <v>#VALUE!</v>
      </c>
    </row>
    <row r="712" spans="7:8" x14ac:dyDescent="0.2">
      <c r="G712" t="e">
        <f>Tabla27[[#This Row],[Agrupación]]</f>
        <v>#VALUE!</v>
      </c>
      <c r="H712" t="e" cm="1">
        <f t="array" ref="H712">TRANSPOSE((_xlfn._xlws.FILTER(INDEX($C$6:$E$1000,,MATCH($G712,$C$5:$E$5,0)),INDEX($C$6:$E$1000,,MATCH($G712,$C$5:$E$5,0))&lt;&gt;"","No hay nada")))</f>
        <v>#VALUE!</v>
      </c>
    </row>
    <row r="713" spans="7:8" x14ac:dyDescent="0.2">
      <c r="G713" t="e">
        <f>Tabla27[[#This Row],[Agrupación]]</f>
        <v>#VALUE!</v>
      </c>
      <c r="H713" t="e" cm="1">
        <f t="array" ref="H713">TRANSPOSE((_xlfn._xlws.FILTER(INDEX($C$6:$E$1000,,MATCH($G713,$C$5:$E$5,0)),INDEX($C$6:$E$1000,,MATCH($G713,$C$5:$E$5,0))&lt;&gt;"","No hay nada")))</f>
        <v>#VALUE!</v>
      </c>
    </row>
    <row r="714" spans="7:8" x14ac:dyDescent="0.2">
      <c r="G714" t="e">
        <f>Tabla27[[#This Row],[Agrupación]]</f>
        <v>#VALUE!</v>
      </c>
      <c r="H714" t="e" cm="1">
        <f t="array" ref="H714">TRANSPOSE((_xlfn._xlws.FILTER(INDEX($C$6:$E$1000,,MATCH($G714,$C$5:$E$5,0)),INDEX($C$6:$E$1000,,MATCH($G714,$C$5:$E$5,0))&lt;&gt;"","No hay nada")))</f>
        <v>#VALUE!</v>
      </c>
    </row>
    <row r="715" spans="7:8" x14ac:dyDescent="0.2">
      <c r="G715" t="e">
        <f>Tabla27[[#This Row],[Agrupación]]</f>
        <v>#VALUE!</v>
      </c>
      <c r="H715" t="e" cm="1">
        <f t="array" ref="H715">TRANSPOSE((_xlfn._xlws.FILTER(INDEX($C$6:$E$1000,,MATCH($G715,$C$5:$E$5,0)),INDEX($C$6:$E$1000,,MATCH($G715,$C$5:$E$5,0))&lt;&gt;"","No hay nada")))</f>
        <v>#VALUE!</v>
      </c>
    </row>
    <row r="716" spans="7:8" x14ac:dyDescent="0.2">
      <c r="G716" t="e">
        <f>Tabla27[[#This Row],[Agrupación]]</f>
        <v>#VALUE!</v>
      </c>
      <c r="H716" t="e" cm="1">
        <f t="array" ref="H716">TRANSPOSE((_xlfn._xlws.FILTER(INDEX($C$6:$E$1000,,MATCH($G716,$C$5:$E$5,0)),INDEX($C$6:$E$1000,,MATCH($G716,$C$5:$E$5,0))&lt;&gt;"","No hay nada")))</f>
        <v>#VALUE!</v>
      </c>
    </row>
    <row r="717" spans="7:8" x14ac:dyDescent="0.2">
      <c r="G717" t="e">
        <f>Tabla27[[#This Row],[Agrupación]]</f>
        <v>#VALUE!</v>
      </c>
      <c r="H717" t="e" cm="1">
        <f t="array" ref="H717">TRANSPOSE((_xlfn._xlws.FILTER(INDEX($C$6:$E$1000,,MATCH($G717,$C$5:$E$5,0)),INDEX($C$6:$E$1000,,MATCH($G717,$C$5:$E$5,0))&lt;&gt;"","No hay nada")))</f>
        <v>#VALUE!</v>
      </c>
    </row>
    <row r="718" spans="7:8" x14ac:dyDescent="0.2">
      <c r="G718" t="e">
        <f>Tabla27[[#This Row],[Agrupación]]</f>
        <v>#VALUE!</v>
      </c>
      <c r="H718" t="e" cm="1">
        <f t="array" ref="H718">TRANSPOSE((_xlfn._xlws.FILTER(INDEX($C$6:$E$1000,,MATCH($G718,$C$5:$E$5,0)),INDEX($C$6:$E$1000,,MATCH($G718,$C$5:$E$5,0))&lt;&gt;"","No hay nada")))</f>
        <v>#VALUE!</v>
      </c>
    </row>
    <row r="719" spans="7:8" x14ac:dyDescent="0.2">
      <c r="G719" t="e">
        <f>Tabla27[[#This Row],[Agrupación]]</f>
        <v>#VALUE!</v>
      </c>
      <c r="H719" t="e" cm="1">
        <f t="array" ref="H719">TRANSPOSE((_xlfn._xlws.FILTER(INDEX($C$6:$E$1000,,MATCH($G719,$C$5:$E$5,0)),INDEX($C$6:$E$1000,,MATCH($G719,$C$5:$E$5,0))&lt;&gt;"","No hay nada")))</f>
        <v>#VALUE!</v>
      </c>
    </row>
    <row r="720" spans="7:8" x14ac:dyDescent="0.2">
      <c r="G720" t="e">
        <f>Tabla27[[#This Row],[Agrupación]]</f>
        <v>#VALUE!</v>
      </c>
      <c r="H720" t="e" cm="1">
        <f t="array" ref="H720">TRANSPOSE((_xlfn._xlws.FILTER(INDEX($C$6:$E$1000,,MATCH($G720,$C$5:$E$5,0)),INDEX($C$6:$E$1000,,MATCH($G720,$C$5:$E$5,0))&lt;&gt;"","No hay nada")))</f>
        <v>#VALUE!</v>
      </c>
    </row>
    <row r="721" spans="7:8" x14ac:dyDescent="0.2">
      <c r="G721" t="e">
        <f>Tabla27[[#This Row],[Agrupación]]</f>
        <v>#VALUE!</v>
      </c>
      <c r="H721" t="e" cm="1">
        <f t="array" ref="H721">TRANSPOSE((_xlfn._xlws.FILTER(INDEX($C$6:$E$1000,,MATCH($G721,$C$5:$E$5,0)),INDEX($C$6:$E$1000,,MATCH($G721,$C$5:$E$5,0))&lt;&gt;"","No hay nada")))</f>
        <v>#VALUE!</v>
      </c>
    </row>
    <row r="722" spans="7:8" x14ac:dyDescent="0.2">
      <c r="G722" t="e">
        <f>Tabla27[[#This Row],[Agrupación]]</f>
        <v>#VALUE!</v>
      </c>
      <c r="H722" t="e" cm="1">
        <f t="array" ref="H722">TRANSPOSE((_xlfn._xlws.FILTER(INDEX($C$6:$E$1000,,MATCH($G722,$C$5:$E$5,0)),INDEX($C$6:$E$1000,,MATCH($G722,$C$5:$E$5,0))&lt;&gt;"","No hay nada")))</f>
        <v>#VALUE!</v>
      </c>
    </row>
    <row r="723" spans="7:8" x14ac:dyDescent="0.2">
      <c r="G723" t="e">
        <f>Tabla27[[#This Row],[Agrupación]]</f>
        <v>#VALUE!</v>
      </c>
      <c r="H723" t="e" cm="1">
        <f t="array" ref="H723">TRANSPOSE((_xlfn._xlws.FILTER(INDEX($C$6:$E$1000,,MATCH($G723,$C$5:$E$5,0)),INDEX($C$6:$E$1000,,MATCH($G723,$C$5:$E$5,0))&lt;&gt;"","No hay nada")))</f>
        <v>#VALUE!</v>
      </c>
    </row>
    <row r="724" spans="7:8" x14ac:dyDescent="0.2">
      <c r="G724" t="e">
        <f>Tabla27[[#This Row],[Agrupación]]</f>
        <v>#VALUE!</v>
      </c>
      <c r="H724" t="e" cm="1">
        <f t="array" ref="H724">TRANSPOSE((_xlfn._xlws.FILTER(INDEX($C$6:$E$1000,,MATCH($G724,$C$5:$E$5,0)),INDEX($C$6:$E$1000,,MATCH($G724,$C$5:$E$5,0))&lt;&gt;"","No hay nada")))</f>
        <v>#VALUE!</v>
      </c>
    </row>
    <row r="725" spans="7:8" x14ac:dyDescent="0.2">
      <c r="G725" t="e">
        <f>Tabla27[[#This Row],[Agrupación]]</f>
        <v>#VALUE!</v>
      </c>
      <c r="H725" t="e" cm="1">
        <f t="array" ref="H725">TRANSPOSE((_xlfn._xlws.FILTER(INDEX($C$6:$E$1000,,MATCH($G725,$C$5:$E$5,0)),INDEX($C$6:$E$1000,,MATCH($G725,$C$5:$E$5,0))&lt;&gt;"","No hay nada")))</f>
        <v>#VALUE!</v>
      </c>
    </row>
    <row r="726" spans="7:8" x14ac:dyDescent="0.2">
      <c r="G726" t="e">
        <f>Tabla27[[#This Row],[Agrupación]]</f>
        <v>#VALUE!</v>
      </c>
      <c r="H726" t="e" cm="1">
        <f t="array" ref="H726">TRANSPOSE((_xlfn._xlws.FILTER(INDEX($C$6:$E$1000,,MATCH($G726,$C$5:$E$5,0)),INDEX($C$6:$E$1000,,MATCH($G726,$C$5:$E$5,0))&lt;&gt;"","No hay nada")))</f>
        <v>#VALUE!</v>
      </c>
    </row>
    <row r="727" spans="7:8" x14ac:dyDescent="0.2">
      <c r="G727" t="e">
        <f>Tabla27[[#This Row],[Agrupación]]</f>
        <v>#VALUE!</v>
      </c>
      <c r="H727" t="e" cm="1">
        <f t="array" ref="H727">TRANSPOSE((_xlfn._xlws.FILTER(INDEX($C$6:$E$1000,,MATCH($G727,$C$5:$E$5,0)),INDEX($C$6:$E$1000,,MATCH($G727,$C$5:$E$5,0))&lt;&gt;"","No hay nada")))</f>
        <v>#VALUE!</v>
      </c>
    </row>
    <row r="728" spans="7:8" x14ac:dyDescent="0.2">
      <c r="G728" t="e">
        <f>Tabla27[[#This Row],[Agrupación]]</f>
        <v>#VALUE!</v>
      </c>
      <c r="H728" t="e" cm="1">
        <f t="array" ref="H728">TRANSPOSE((_xlfn._xlws.FILTER(INDEX($C$6:$E$1000,,MATCH($G728,$C$5:$E$5,0)),INDEX($C$6:$E$1000,,MATCH($G728,$C$5:$E$5,0))&lt;&gt;"","No hay nada")))</f>
        <v>#VALUE!</v>
      </c>
    </row>
    <row r="729" spans="7:8" x14ac:dyDescent="0.2">
      <c r="G729" t="e">
        <f>Tabla27[[#This Row],[Agrupación]]</f>
        <v>#VALUE!</v>
      </c>
      <c r="H729" t="e" cm="1">
        <f t="array" ref="H729">TRANSPOSE((_xlfn._xlws.FILTER(INDEX($C$6:$E$1000,,MATCH($G729,$C$5:$E$5,0)),INDEX($C$6:$E$1000,,MATCH($G729,$C$5:$E$5,0))&lt;&gt;"","No hay nada")))</f>
        <v>#VALUE!</v>
      </c>
    </row>
    <row r="730" spans="7:8" x14ac:dyDescent="0.2">
      <c r="G730" t="e">
        <f>Tabla27[[#This Row],[Agrupación]]</f>
        <v>#VALUE!</v>
      </c>
      <c r="H730" t="e" cm="1">
        <f t="array" ref="H730">TRANSPOSE((_xlfn._xlws.FILTER(INDEX($C$6:$E$1000,,MATCH($G730,$C$5:$E$5,0)),INDEX($C$6:$E$1000,,MATCH($G730,$C$5:$E$5,0))&lt;&gt;"","No hay nada")))</f>
        <v>#VALUE!</v>
      </c>
    </row>
    <row r="731" spans="7:8" x14ac:dyDescent="0.2">
      <c r="G731" t="e">
        <f>Tabla27[[#This Row],[Agrupación]]</f>
        <v>#VALUE!</v>
      </c>
      <c r="H731" t="e" cm="1">
        <f t="array" ref="H731">TRANSPOSE((_xlfn._xlws.FILTER(INDEX($C$6:$E$1000,,MATCH($G731,$C$5:$E$5,0)),INDEX($C$6:$E$1000,,MATCH($G731,$C$5:$E$5,0))&lt;&gt;"","No hay nada")))</f>
        <v>#VALUE!</v>
      </c>
    </row>
    <row r="732" spans="7:8" x14ac:dyDescent="0.2">
      <c r="G732" t="e">
        <f>Tabla27[[#This Row],[Agrupación]]</f>
        <v>#VALUE!</v>
      </c>
      <c r="H732" t="e" cm="1">
        <f t="array" ref="H732">TRANSPOSE((_xlfn._xlws.FILTER(INDEX($C$6:$E$1000,,MATCH($G732,$C$5:$E$5,0)),INDEX($C$6:$E$1000,,MATCH($G732,$C$5:$E$5,0))&lt;&gt;"","No hay nada")))</f>
        <v>#VALUE!</v>
      </c>
    </row>
    <row r="733" spans="7:8" x14ac:dyDescent="0.2">
      <c r="G733" t="e">
        <f>Tabla27[[#This Row],[Agrupación]]</f>
        <v>#VALUE!</v>
      </c>
      <c r="H733" t="e" cm="1">
        <f t="array" ref="H733">TRANSPOSE((_xlfn._xlws.FILTER(INDEX($C$6:$E$1000,,MATCH($G733,$C$5:$E$5,0)),INDEX($C$6:$E$1000,,MATCH($G733,$C$5:$E$5,0))&lt;&gt;"","No hay nada")))</f>
        <v>#VALUE!</v>
      </c>
    </row>
    <row r="734" spans="7:8" x14ac:dyDescent="0.2">
      <c r="G734" t="e">
        <f>Tabla27[[#This Row],[Agrupación]]</f>
        <v>#VALUE!</v>
      </c>
      <c r="H734" t="e" cm="1">
        <f t="array" ref="H734">TRANSPOSE((_xlfn._xlws.FILTER(INDEX($C$6:$E$1000,,MATCH($G734,$C$5:$E$5,0)),INDEX($C$6:$E$1000,,MATCH($G734,$C$5:$E$5,0))&lt;&gt;"","No hay nada")))</f>
        <v>#VALUE!</v>
      </c>
    </row>
    <row r="735" spans="7:8" x14ac:dyDescent="0.2">
      <c r="G735" t="e">
        <f>Tabla27[[#This Row],[Agrupación]]</f>
        <v>#VALUE!</v>
      </c>
      <c r="H735" t="e" cm="1">
        <f t="array" ref="H735">TRANSPOSE((_xlfn._xlws.FILTER(INDEX($C$6:$E$1000,,MATCH($G735,$C$5:$E$5,0)),INDEX($C$6:$E$1000,,MATCH($G735,$C$5:$E$5,0))&lt;&gt;"","No hay nada")))</f>
        <v>#VALUE!</v>
      </c>
    </row>
    <row r="736" spans="7:8" x14ac:dyDescent="0.2">
      <c r="G736" t="e">
        <f>Tabla27[[#This Row],[Agrupación]]</f>
        <v>#VALUE!</v>
      </c>
      <c r="H736" t="e" cm="1">
        <f t="array" ref="H736">TRANSPOSE((_xlfn._xlws.FILTER(INDEX($C$6:$E$1000,,MATCH($G736,$C$5:$E$5,0)),INDEX($C$6:$E$1000,,MATCH($G736,$C$5:$E$5,0))&lt;&gt;"","No hay nada")))</f>
        <v>#VALUE!</v>
      </c>
    </row>
    <row r="737" spans="7:8" x14ac:dyDescent="0.2">
      <c r="G737" t="e">
        <f>Tabla27[[#This Row],[Agrupación]]</f>
        <v>#VALUE!</v>
      </c>
      <c r="H737" t="e" cm="1">
        <f t="array" ref="H737">TRANSPOSE((_xlfn._xlws.FILTER(INDEX($C$6:$E$1000,,MATCH($G737,$C$5:$E$5,0)),INDEX($C$6:$E$1000,,MATCH($G737,$C$5:$E$5,0))&lt;&gt;"","No hay nada")))</f>
        <v>#VALUE!</v>
      </c>
    </row>
    <row r="738" spans="7:8" x14ac:dyDescent="0.2">
      <c r="G738" t="e">
        <f>Tabla27[[#This Row],[Agrupación]]</f>
        <v>#VALUE!</v>
      </c>
      <c r="H738" t="e" cm="1">
        <f t="array" ref="H738">TRANSPOSE((_xlfn._xlws.FILTER(INDEX($C$6:$E$1000,,MATCH($G738,$C$5:$E$5,0)),INDEX($C$6:$E$1000,,MATCH($G738,$C$5:$E$5,0))&lt;&gt;"","No hay nada")))</f>
        <v>#VALUE!</v>
      </c>
    </row>
    <row r="739" spans="7:8" x14ac:dyDescent="0.2">
      <c r="G739" t="e">
        <f>Tabla27[[#This Row],[Agrupación]]</f>
        <v>#VALUE!</v>
      </c>
      <c r="H739" t="e" cm="1">
        <f t="array" ref="H739">TRANSPOSE((_xlfn._xlws.FILTER(INDEX($C$6:$E$1000,,MATCH($G739,$C$5:$E$5,0)),INDEX($C$6:$E$1000,,MATCH($G739,$C$5:$E$5,0))&lt;&gt;"","No hay nada")))</f>
        <v>#VALUE!</v>
      </c>
    </row>
    <row r="740" spans="7:8" x14ac:dyDescent="0.2">
      <c r="G740" t="e">
        <f>Tabla27[[#This Row],[Agrupación]]</f>
        <v>#VALUE!</v>
      </c>
      <c r="H740" t="e" cm="1">
        <f t="array" ref="H740">TRANSPOSE((_xlfn._xlws.FILTER(INDEX($C$6:$E$1000,,MATCH($G740,$C$5:$E$5,0)),INDEX($C$6:$E$1000,,MATCH($G740,$C$5:$E$5,0))&lt;&gt;"","No hay nada")))</f>
        <v>#VALUE!</v>
      </c>
    </row>
    <row r="741" spans="7:8" x14ac:dyDescent="0.2">
      <c r="G741" t="e">
        <f>Tabla27[[#This Row],[Agrupación]]</f>
        <v>#VALUE!</v>
      </c>
      <c r="H741" t="e" cm="1">
        <f t="array" ref="H741">TRANSPOSE((_xlfn._xlws.FILTER(INDEX($C$6:$E$1000,,MATCH($G741,$C$5:$E$5,0)),INDEX($C$6:$E$1000,,MATCH($G741,$C$5:$E$5,0))&lt;&gt;"","No hay nada")))</f>
        <v>#VALUE!</v>
      </c>
    </row>
    <row r="742" spans="7:8" x14ac:dyDescent="0.2">
      <c r="G742" t="e">
        <f>Tabla27[[#This Row],[Agrupación]]</f>
        <v>#VALUE!</v>
      </c>
      <c r="H742" t="e" cm="1">
        <f t="array" ref="H742">TRANSPOSE((_xlfn._xlws.FILTER(INDEX($C$6:$E$1000,,MATCH($G742,$C$5:$E$5,0)),INDEX($C$6:$E$1000,,MATCH($G742,$C$5:$E$5,0))&lt;&gt;"","No hay nada")))</f>
        <v>#VALUE!</v>
      </c>
    </row>
    <row r="743" spans="7:8" x14ac:dyDescent="0.2">
      <c r="G743" t="e">
        <f>Tabla27[[#This Row],[Agrupación]]</f>
        <v>#VALUE!</v>
      </c>
      <c r="H743" t="e" cm="1">
        <f t="array" ref="H743">TRANSPOSE((_xlfn._xlws.FILTER(INDEX($C$6:$E$1000,,MATCH($G743,$C$5:$E$5,0)),INDEX($C$6:$E$1000,,MATCH($G743,$C$5:$E$5,0))&lt;&gt;"","No hay nada")))</f>
        <v>#VALUE!</v>
      </c>
    </row>
    <row r="744" spans="7:8" x14ac:dyDescent="0.2">
      <c r="G744" t="e">
        <f>Tabla27[[#This Row],[Agrupación]]</f>
        <v>#VALUE!</v>
      </c>
      <c r="H744" t="e" cm="1">
        <f t="array" ref="H744">TRANSPOSE((_xlfn._xlws.FILTER(INDEX($C$6:$E$1000,,MATCH($G744,$C$5:$E$5,0)),INDEX($C$6:$E$1000,,MATCH($G744,$C$5:$E$5,0))&lt;&gt;"","No hay nada")))</f>
        <v>#VALUE!</v>
      </c>
    </row>
    <row r="745" spans="7:8" x14ac:dyDescent="0.2">
      <c r="G745" t="e">
        <f>Tabla27[[#This Row],[Agrupación]]</f>
        <v>#VALUE!</v>
      </c>
      <c r="H745" t="e" cm="1">
        <f t="array" ref="H745">TRANSPOSE((_xlfn._xlws.FILTER(INDEX($C$6:$E$1000,,MATCH($G745,$C$5:$E$5,0)),INDEX($C$6:$E$1000,,MATCH($G745,$C$5:$E$5,0))&lt;&gt;"","No hay nada")))</f>
        <v>#VALUE!</v>
      </c>
    </row>
    <row r="746" spans="7:8" x14ac:dyDescent="0.2">
      <c r="G746" t="e">
        <f>Tabla27[[#This Row],[Agrupación]]</f>
        <v>#VALUE!</v>
      </c>
      <c r="H746" t="e" cm="1">
        <f t="array" ref="H746">TRANSPOSE((_xlfn._xlws.FILTER(INDEX($C$6:$E$1000,,MATCH($G746,$C$5:$E$5,0)),INDEX($C$6:$E$1000,,MATCH($G746,$C$5:$E$5,0))&lt;&gt;"","No hay nada")))</f>
        <v>#VALUE!</v>
      </c>
    </row>
    <row r="747" spans="7:8" x14ac:dyDescent="0.2">
      <c r="G747" t="e">
        <f>Tabla27[[#This Row],[Agrupación]]</f>
        <v>#VALUE!</v>
      </c>
      <c r="H747" t="e" cm="1">
        <f t="array" ref="H747">TRANSPOSE((_xlfn._xlws.FILTER(INDEX($C$6:$E$1000,,MATCH($G747,$C$5:$E$5,0)),INDEX($C$6:$E$1000,,MATCH($G747,$C$5:$E$5,0))&lt;&gt;"","No hay nada")))</f>
        <v>#VALUE!</v>
      </c>
    </row>
    <row r="748" spans="7:8" x14ac:dyDescent="0.2">
      <c r="G748" t="e">
        <f>Tabla27[[#This Row],[Agrupación]]</f>
        <v>#VALUE!</v>
      </c>
      <c r="H748" t="e" cm="1">
        <f t="array" ref="H748">TRANSPOSE((_xlfn._xlws.FILTER(INDEX($C$6:$E$1000,,MATCH($G748,$C$5:$E$5,0)),INDEX($C$6:$E$1000,,MATCH($G748,$C$5:$E$5,0))&lt;&gt;"","No hay nada")))</f>
        <v>#VALUE!</v>
      </c>
    </row>
    <row r="749" spans="7:8" x14ac:dyDescent="0.2">
      <c r="G749" t="e">
        <f>Tabla27[[#This Row],[Agrupación]]</f>
        <v>#VALUE!</v>
      </c>
      <c r="H749" t="e" cm="1">
        <f t="array" ref="H749">TRANSPOSE((_xlfn._xlws.FILTER(INDEX($C$6:$E$1000,,MATCH($G749,$C$5:$E$5,0)),INDEX($C$6:$E$1000,,MATCH($G749,$C$5:$E$5,0))&lt;&gt;"","No hay nada")))</f>
        <v>#VALUE!</v>
      </c>
    </row>
    <row r="750" spans="7:8" x14ac:dyDescent="0.2">
      <c r="G750" t="e">
        <f>Tabla27[[#This Row],[Agrupación]]</f>
        <v>#VALUE!</v>
      </c>
      <c r="H750" t="e" cm="1">
        <f t="array" ref="H750">TRANSPOSE((_xlfn._xlws.FILTER(INDEX($C$6:$E$1000,,MATCH($G750,$C$5:$E$5,0)),INDEX($C$6:$E$1000,,MATCH($G750,$C$5:$E$5,0))&lt;&gt;"","No hay nada")))</f>
        <v>#VALUE!</v>
      </c>
    </row>
    <row r="751" spans="7:8" x14ac:dyDescent="0.2">
      <c r="G751" t="e">
        <f>Tabla27[[#This Row],[Agrupación]]</f>
        <v>#VALUE!</v>
      </c>
      <c r="H751" t="e" cm="1">
        <f t="array" ref="H751">TRANSPOSE((_xlfn._xlws.FILTER(INDEX($C$6:$E$1000,,MATCH($G751,$C$5:$E$5,0)),INDEX($C$6:$E$1000,,MATCH($G751,$C$5:$E$5,0))&lt;&gt;"","No hay nada")))</f>
        <v>#VALUE!</v>
      </c>
    </row>
    <row r="752" spans="7:8" x14ac:dyDescent="0.2">
      <c r="G752" t="e">
        <f>Tabla27[[#This Row],[Agrupación]]</f>
        <v>#VALUE!</v>
      </c>
      <c r="H752" t="e" cm="1">
        <f t="array" ref="H752">TRANSPOSE((_xlfn._xlws.FILTER(INDEX($C$6:$E$1000,,MATCH($G752,$C$5:$E$5,0)),INDEX($C$6:$E$1000,,MATCH($G752,$C$5:$E$5,0))&lt;&gt;"","No hay nada")))</f>
        <v>#VALUE!</v>
      </c>
    </row>
    <row r="753" spans="7:8" x14ac:dyDescent="0.2">
      <c r="G753" t="e">
        <f>Tabla27[[#This Row],[Agrupación]]</f>
        <v>#VALUE!</v>
      </c>
      <c r="H753" t="e" cm="1">
        <f t="array" ref="H753">TRANSPOSE((_xlfn._xlws.FILTER(INDEX($C$6:$E$1000,,MATCH($G753,$C$5:$E$5,0)),INDEX($C$6:$E$1000,,MATCH($G753,$C$5:$E$5,0))&lt;&gt;"","No hay nada")))</f>
        <v>#VALUE!</v>
      </c>
    </row>
    <row r="754" spans="7:8" x14ac:dyDescent="0.2">
      <c r="G754" t="e">
        <f>Tabla27[[#This Row],[Agrupación]]</f>
        <v>#VALUE!</v>
      </c>
      <c r="H754" t="e" cm="1">
        <f t="array" ref="H754">TRANSPOSE((_xlfn._xlws.FILTER(INDEX($C$6:$E$1000,,MATCH($G754,$C$5:$E$5,0)),INDEX($C$6:$E$1000,,MATCH($G754,$C$5:$E$5,0))&lt;&gt;"","No hay nada")))</f>
        <v>#VALUE!</v>
      </c>
    </row>
    <row r="755" spans="7:8" x14ac:dyDescent="0.2">
      <c r="G755" t="e">
        <f>Tabla27[[#This Row],[Agrupación]]</f>
        <v>#VALUE!</v>
      </c>
      <c r="H755" t="e" cm="1">
        <f t="array" ref="H755">TRANSPOSE((_xlfn._xlws.FILTER(INDEX($C$6:$E$1000,,MATCH($G755,$C$5:$E$5,0)),INDEX($C$6:$E$1000,,MATCH($G755,$C$5:$E$5,0))&lt;&gt;"","No hay nada")))</f>
        <v>#VALUE!</v>
      </c>
    </row>
    <row r="756" spans="7:8" x14ac:dyDescent="0.2">
      <c r="G756" t="e">
        <f>Tabla27[[#This Row],[Agrupación]]</f>
        <v>#VALUE!</v>
      </c>
      <c r="H756" t="e" cm="1">
        <f t="array" ref="H756">TRANSPOSE((_xlfn._xlws.FILTER(INDEX($C$6:$E$1000,,MATCH($G756,$C$5:$E$5,0)),INDEX($C$6:$E$1000,,MATCH($G756,$C$5:$E$5,0))&lt;&gt;"","No hay nada")))</f>
        <v>#VALUE!</v>
      </c>
    </row>
    <row r="757" spans="7:8" x14ac:dyDescent="0.2">
      <c r="G757" t="e">
        <f>Tabla27[[#This Row],[Agrupación]]</f>
        <v>#VALUE!</v>
      </c>
      <c r="H757" t="e" cm="1">
        <f t="array" ref="H757">TRANSPOSE((_xlfn._xlws.FILTER(INDEX($C$6:$E$1000,,MATCH($G757,$C$5:$E$5,0)),INDEX($C$6:$E$1000,,MATCH($G757,$C$5:$E$5,0))&lt;&gt;"","No hay nada")))</f>
        <v>#VALUE!</v>
      </c>
    </row>
    <row r="758" spans="7:8" x14ac:dyDescent="0.2">
      <c r="G758" t="e">
        <f>Tabla27[[#This Row],[Agrupación]]</f>
        <v>#VALUE!</v>
      </c>
      <c r="H758" t="e" cm="1">
        <f t="array" ref="H758">TRANSPOSE((_xlfn._xlws.FILTER(INDEX($C$6:$E$1000,,MATCH($G758,$C$5:$E$5,0)),INDEX($C$6:$E$1000,,MATCH($G758,$C$5:$E$5,0))&lt;&gt;"","No hay nada")))</f>
        <v>#VALUE!</v>
      </c>
    </row>
    <row r="759" spans="7:8" x14ac:dyDescent="0.2">
      <c r="G759" t="e">
        <f>Tabla27[[#This Row],[Agrupación]]</f>
        <v>#VALUE!</v>
      </c>
      <c r="H759" t="e" cm="1">
        <f t="array" ref="H759">TRANSPOSE((_xlfn._xlws.FILTER(INDEX($C$6:$E$1000,,MATCH($G759,$C$5:$E$5,0)),INDEX($C$6:$E$1000,,MATCH($G759,$C$5:$E$5,0))&lt;&gt;"","No hay nada")))</f>
        <v>#VALUE!</v>
      </c>
    </row>
    <row r="760" spans="7:8" x14ac:dyDescent="0.2">
      <c r="G760" t="e">
        <f>Tabla27[[#This Row],[Agrupación]]</f>
        <v>#VALUE!</v>
      </c>
      <c r="H760" t="e" cm="1">
        <f t="array" ref="H760">TRANSPOSE((_xlfn._xlws.FILTER(INDEX($C$6:$E$1000,,MATCH($G760,$C$5:$E$5,0)),INDEX($C$6:$E$1000,,MATCH($G760,$C$5:$E$5,0))&lt;&gt;"","No hay nada")))</f>
        <v>#VALUE!</v>
      </c>
    </row>
    <row r="761" spans="7:8" x14ac:dyDescent="0.2">
      <c r="G761" t="e">
        <f>Tabla27[[#This Row],[Agrupación]]</f>
        <v>#VALUE!</v>
      </c>
      <c r="H761" t="e" cm="1">
        <f t="array" ref="H761">TRANSPOSE((_xlfn._xlws.FILTER(INDEX($C$6:$E$1000,,MATCH($G761,$C$5:$E$5,0)),INDEX($C$6:$E$1000,,MATCH($G761,$C$5:$E$5,0))&lt;&gt;"","No hay nada")))</f>
        <v>#VALUE!</v>
      </c>
    </row>
    <row r="762" spans="7:8" x14ac:dyDescent="0.2">
      <c r="G762" t="e">
        <f>Tabla27[[#This Row],[Agrupación]]</f>
        <v>#VALUE!</v>
      </c>
      <c r="H762" t="e" cm="1">
        <f t="array" ref="H762">TRANSPOSE((_xlfn._xlws.FILTER(INDEX($C$6:$E$1000,,MATCH($G762,$C$5:$E$5,0)),INDEX($C$6:$E$1000,,MATCH($G762,$C$5:$E$5,0))&lt;&gt;"","No hay nada")))</f>
        <v>#VALUE!</v>
      </c>
    </row>
    <row r="763" spans="7:8" x14ac:dyDescent="0.2">
      <c r="G763" t="e">
        <f>Tabla27[[#This Row],[Agrupación]]</f>
        <v>#VALUE!</v>
      </c>
      <c r="H763" t="e" cm="1">
        <f t="array" ref="H763">TRANSPOSE((_xlfn._xlws.FILTER(INDEX($C$6:$E$1000,,MATCH($G763,$C$5:$E$5,0)),INDEX($C$6:$E$1000,,MATCH($G763,$C$5:$E$5,0))&lt;&gt;"","No hay nada")))</f>
        <v>#VALUE!</v>
      </c>
    </row>
    <row r="764" spans="7:8" x14ac:dyDescent="0.2">
      <c r="G764" t="e">
        <f>Tabla27[[#This Row],[Agrupación]]</f>
        <v>#VALUE!</v>
      </c>
      <c r="H764" t="e" cm="1">
        <f t="array" ref="H764">TRANSPOSE((_xlfn._xlws.FILTER(INDEX($C$6:$E$1000,,MATCH($G764,$C$5:$E$5,0)),INDEX($C$6:$E$1000,,MATCH($G764,$C$5:$E$5,0))&lt;&gt;"","No hay nada")))</f>
        <v>#VALUE!</v>
      </c>
    </row>
    <row r="765" spans="7:8" x14ac:dyDescent="0.2">
      <c r="G765" t="e">
        <f>Tabla27[[#This Row],[Agrupación]]</f>
        <v>#VALUE!</v>
      </c>
      <c r="H765" t="e" cm="1">
        <f t="array" ref="H765">TRANSPOSE((_xlfn._xlws.FILTER(INDEX($C$6:$E$1000,,MATCH($G765,$C$5:$E$5,0)),INDEX($C$6:$E$1000,,MATCH($G765,$C$5:$E$5,0))&lt;&gt;"","No hay nada")))</f>
        <v>#VALUE!</v>
      </c>
    </row>
    <row r="766" spans="7:8" x14ac:dyDescent="0.2">
      <c r="G766" t="e">
        <f>Tabla27[[#This Row],[Agrupación]]</f>
        <v>#VALUE!</v>
      </c>
      <c r="H766" t="e" cm="1">
        <f t="array" ref="H766">TRANSPOSE((_xlfn._xlws.FILTER(INDEX($C$6:$E$1000,,MATCH($G766,$C$5:$E$5,0)),INDEX($C$6:$E$1000,,MATCH($G766,$C$5:$E$5,0))&lt;&gt;"","No hay nada")))</f>
        <v>#VALUE!</v>
      </c>
    </row>
    <row r="767" spans="7:8" x14ac:dyDescent="0.2">
      <c r="G767" t="e">
        <f>Tabla27[[#This Row],[Agrupación]]</f>
        <v>#VALUE!</v>
      </c>
      <c r="H767" t="e" cm="1">
        <f t="array" ref="H767">TRANSPOSE((_xlfn._xlws.FILTER(INDEX($C$6:$E$1000,,MATCH($G767,$C$5:$E$5,0)),INDEX($C$6:$E$1000,,MATCH($G767,$C$5:$E$5,0))&lt;&gt;"","No hay nada")))</f>
        <v>#VALUE!</v>
      </c>
    </row>
    <row r="768" spans="7:8" x14ac:dyDescent="0.2">
      <c r="G768" t="e">
        <f>Tabla27[[#This Row],[Agrupación]]</f>
        <v>#VALUE!</v>
      </c>
      <c r="H768" t="e" cm="1">
        <f t="array" ref="H768">TRANSPOSE((_xlfn._xlws.FILTER(INDEX($C$6:$E$1000,,MATCH($G768,$C$5:$E$5,0)),INDEX($C$6:$E$1000,,MATCH($G768,$C$5:$E$5,0))&lt;&gt;"","No hay nada")))</f>
        <v>#VALUE!</v>
      </c>
    </row>
    <row r="769" spans="7:8" x14ac:dyDescent="0.2">
      <c r="G769" t="e">
        <f>Tabla27[[#This Row],[Agrupación]]</f>
        <v>#VALUE!</v>
      </c>
      <c r="H769" t="e" cm="1">
        <f t="array" ref="H769">TRANSPOSE((_xlfn._xlws.FILTER(INDEX($C$6:$E$1000,,MATCH($G769,$C$5:$E$5,0)),INDEX($C$6:$E$1000,,MATCH($G769,$C$5:$E$5,0))&lt;&gt;"","No hay nada")))</f>
        <v>#VALUE!</v>
      </c>
    </row>
    <row r="770" spans="7:8" x14ac:dyDescent="0.2">
      <c r="G770" t="e">
        <f>Tabla27[[#This Row],[Agrupación]]</f>
        <v>#VALUE!</v>
      </c>
      <c r="H770" t="e" cm="1">
        <f t="array" ref="H770">TRANSPOSE((_xlfn._xlws.FILTER(INDEX($C$6:$E$1000,,MATCH($G770,$C$5:$E$5,0)),INDEX($C$6:$E$1000,,MATCH($G770,$C$5:$E$5,0))&lt;&gt;"","No hay nada")))</f>
        <v>#VALUE!</v>
      </c>
    </row>
    <row r="771" spans="7:8" x14ac:dyDescent="0.2">
      <c r="G771" t="e">
        <f>Tabla27[[#This Row],[Agrupación]]</f>
        <v>#VALUE!</v>
      </c>
      <c r="H771" t="e" cm="1">
        <f t="array" ref="H771">TRANSPOSE((_xlfn._xlws.FILTER(INDEX($C$6:$E$1000,,MATCH($G771,$C$5:$E$5,0)),INDEX($C$6:$E$1000,,MATCH($G771,$C$5:$E$5,0))&lt;&gt;"","No hay nada")))</f>
        <v>#VALUE!</v>
      </c>
    </row>
    <row r="772" spans="7:8" x14ac:dyDescent="0.2">
      <c r="G772" t="e">
        <f>Tabla27[[#This Row],[Agrupación]]</f>
        <v>#VALUE!</v>
      </c>
      <c r="H772" t="e" cm="1">
        <f t="array" ref="H772">TRANSPOSE((_xlfn._xlws.FILTER(INDEX($C$6:$E$1000,,MATCH($G772,$C$5:$E$5,0)),INDEX($C$6:$E$1000,,MATCH($G772,$C$5:$E$5,0))&lt;&gt;"","No hay nada")))</f>
        <v>#VALUE!</v>
      </c>
    </row>
    <row r="773" spans="7:8" x14ac:dyDescent="0.2">
      <c r="G773" t="e">
        <f>Tabla27[[#This Row],[Agrupación]]</f>
        <v>#VALUE!</v>
      </c>
      <c r="H773" t="e" cm="1">
        <f t="array" ref="H773">TRANSPOSE((_xlfn._xlws.FILTER(INDEX($C$6:$E$1000,,MATCH($G773,$C$5:$E$5,0)),INDEX($C$6:$E$1000,,MATCH($G773,$C$5:$E$5,0))&lt;&gt;"","No hay nada")))</f>
        <v>#VALUE!</v>
      </c>
    </row>
    <row r="774" spans="7:8" x14ac:dyDescent="0.2">
      <c r="G774" t="e">
        <f>Tabla27[[#This Row],[Agrupación]]</f>
        <v>#VALUE!</v>
      </c>
      <c r="H774" t="e" cm="1">
        <f t="array" ref="H774">TRANSPOSE((_xlfn._xlws.FILTER(INDEX($C$6:$E$1000,,MATCH($G774,$C$5:$E$5,0)),INDEX($C$6:$E$1000,,MATCH($G774,$C$5:$E$5,0))&lt;&gt;"","No hay nada")))</f>
        <v>#VALUE!</v>
      </c>
    </row>
    <row r="775" spans="7:8" x14ac:dyDescent="0.2">
      <c r="G775" t="e">
        <f>Tabla27[[#This Row],[Agrupación]]</f>
        <v>#VALUE!</v>
      </c>
      <c r="H775" t="e" cm="1">
        <f t="array" ref="H775">TRANSPOSE((_xlfn._xlws.FILTER(INDEX($C$6:$E$1000,,MATCH($G775,$C$5:$E$5,0)),INDEX($C$6:$E$1000,,MATCH($G775,$C$5:$E$5,0))&lt;&gt;"","No hay nada")))</f>
        <v>#VALUE!</v>
      </c>
    </row>
    <row r="776" spans="7:8" x14ac:dyDescent="0.2">
      <c r="G776" t="e">
        <f>Tabla27[[#This Row],[Agrupación]]</f>
        <v>#VALUE!</v>
      </c>
      <c r="H776" t="e" cm="1">
        <f t="array" ref="H776">TRANSPOSE((_xlfn._xlws.FILTER(INDEX($C$6:$E$1000,,MATCH($G776,$C$5:$E$5,0)),INDEX($C$6:$E$1000,,MATCH($G776,$C$5:$E$5,0))&lt;&gt;"","No hay nada")))</f>
        <v>#VALUE!</v>
      </c>
    </row>
    <row r="777" spans="7:8" x14ac:dyDescent="0.2">
      <c r="G777" t="e">
        <f>Tabla27[[#This Row],[Agrupación]]</f>
        <v>#VALUE!</v>
      </c>
      <c r="H777" t="e" cm="1">
        <f t="array" ref="H777">TRANSPOSE((_xlfn._xlws.FILTER(INDEX($C$6:$E$1000,,MATCH($G777,$C$5:$E$5,0)),INDEX($C$6:$E$1000,,MATCH($G777,$C$5:$E$5,0))&lt;&gt;"","No hay nada")))</f>
        <v>#VALUE!</v>
      </c>
    </row>
    <row r="778" spans="7:8" x14ac:dyDescent="0.2">
      <c r="G778" t="e">
        <f>Tabla27[[#This Row],[Agrupación]]</f>
        <v>#VALUE!</v>
      </c>
      <c r="H778" t="e" cm="1">
        <f t="array" ref="H778">TRANSPOSE((_xlfn._xlws.FILTER(INDEX($C$6:$E$1000,,MATCH($G778,$C$5:$E$5,0)),INDEX($C$6:$E$1000,,MATCH($G778,$C$5:$E$5,0))&lt;&gt;"","No hay nada")))</f>
        <v>#VALUE!</v>
      </c>
    </row>
    <row r="779" spans="7:8" x14ac:dyDescent="0.2">
      <c r="G779" t="e">
        <f>Tabla27[[#This Row],[Agrupación]]</f>
        <v>#VALUE!</v>
      </c>
      <c r="H779" t="e" cm="1">
        <f t="array" ref="H779">TRANSPOSE((_xlfn._xlws.FILTER(INDEX($C$6:$E$1000,,MATCH($G779,$C$5:$E$5,0)),INDEX($C$6:$E$1000,,MATCH($G779,$C$5:$E$5,0))&lt;&gt;"","No hay nada")))</f>
        <v>#VALUE!</v>
      </c>
    </row>
    <row r="780" spans="7:8" x14ac:dyDescent="0.2">
      <c r="G780" t="e">
        <f>Tabla27[[#This Row],[Agrupación]]</f>
        <v>#VALUE!</v>
      </c>
      <c r="H780" t="e" cm="1">
        <f t="array" ref="H780">TRANSPOSE((_xlfn._xlws.FILTER(INDEX($C$6:$E$1000,,MATCH($G780,$C$5:$E$5,0)),INDEX($C$6:$E$1000,,MATCH($G780,$C$5:$E$5,0))&lt;&gt;"","No hay nada")))</f>
        <v>#VALUE!</v>
      </c>
    </row>
    <row r="781" spans="7:8" x14ac:dyDescent="0.2">
      <c r="G781" t="e">
        <f>Tabla27[[#This Row],[Agrupación]]</f>
        <v>#VALUE!</v>
      </c>
      <c r="H781" t="e" cm="1">
        <f t="array" ref="H781">TRANSPOSE((_xlfn._xlws.FILTER(INDEX($C$6:$E$1000,,MATCH($G781,$C$5:$E$5,0)),INDEX($C$6:$E$1000,,MATCH($G781,$C$5:$E$5,0))&lt;&gt;"","No hay nada")))</f>
        <v>#VALUE!</v>
      </c>
    </row>
    <row r="782" spans="7:8" x14ac:dyDescent="0.2">
      <c r="G782" t="e">
        <f>Tabla27[[#This Row],[Agrupación]]</f>
        <v>#VALUE!</v>
      </c>
      <c r="H782" t="e" cm="1">
        <f t="array" ref="H782">TRANSPOSE((_xlfn._xlws.FILTER(INDEX($C$6:$E$1000,,MATCH($G782,$C$5:$E$5,0)),INDEX($C$6:$E$1000,,MATCH($G782,$C$5:$E$5,0))&lt;&gt;"","No hay nada")))</f>
        <v>#VALUE!</v>
      </c>
    </row>
    <row r="783" spans="7:8" x14ac:dyDescent="0.2">
      <c r="G783" t="e">
        <f>Tabla27[[#This Row],[Agrupación]]</f>
        <v>#VALUE!</v>
      </c>
      <c r="H783" t="e" cm="1">
        <f t="array" ref="H783">TRANSPOSE((_xlfn._xlws.FILTER(INDEX($C$6:$E$1000,,MATCH($G783,$C$5:$E$5,0)),INDEX($C$6:$E$1000,,MATCH($G783,$C$5:$E$5,0))&lt;&gt;"","No hay nada")))</f>
        <v>#VALUE!</v>
      </c>
    </row>
    <row r="784" spans="7:8" x14ac:dyDescent="0.2">
      <c r="G784" t="e">
        <f>Tabla27[[#This Row],[Agrupación]]</f>
        <v>#VALUE!</v>
      </c>
      <c r="H784" t="e" cm="1">
        <f t="array" ref="H784">TRANSPOSE((_xlfn._xlws.FILTER(INDEX($C$6:$E$1000,,MATCH($G784,$C$5:$E$5,0)),INDEX($C$6:$E$1000,,MATCH($G784,$C$5:$E$5,0))&lt;&gt;"","No hay nada")))</f>
        <v>#VALUE!</v>
      </c>
    </row>
    <row r="785" spans="7:8" x14ac:dyDescent="0.2">
      <c r="G785" t="e">
        <f>Tabla27[[#This Row],[Agrupación]]</f>
        <v>#VALUE!</v>
      </c>
      <c r="H785" t="e" cm="1">
        <f t="array" ref="H785">TRANSPOSE((_xlfn._xlws.FILTER(INDEX($C$6:$E$1000,,MATCH($G785,$C$5:$E$5,0)),INDEX($C$6:$E$1000,,MATCH($G785,$C$5:$E$5,0))&lt;&gt;"","No hay nada")))</f>
        <v>#VALUE!</v>
      </c>
    </row>
    <row r="786" spans="7:8" x14ac:dyDescent="0.2">
      <c r="G786" t="e">
        <f>Tabla27[[#This Row],[Agrupación]]</f>
        <v>#VALUE!</v>
      </c>
      <c r="H786" t="e" cm="1">
        <f t="array" ref="H786">TRANSPOSE((_xlfn._xlws.FILTER(INDEX($C$6:$E$1000,,MATCH($G786,$C$5:$E$5,0)),INDEX($C$6:$E$1000,,MATCH($G786,$C$5:$E$5,0))&lt;&gt;"","No hay nada")))</f>
        <v>#VALUE!</v>
      </c>
    </row>
    <row r="787" spans="7:8" x14ac:dyDescent="0.2">
      <c r="G787" t="e">
        <f>Tabla27[[#This Row],[Agrupación]]</f>
        <v>#VALUE!</v>
      </c>
      <c r="H787" t="e" cm="1">
        <f t="array" ref="H787">TRANSPOSE((_xlfn._xlws.FILTER(INDEX($C$6:$E$1000,,MATCH($G787,$C$5:$E$5,0)),INDEX($C$6:$E$1000,,MATCH($G787,$C$5:$E$5,0))&lt;&gt;"","No hay nada")))</f>
        <v>#VALUE!</v>
      </c>
    </row>
    <row r="788" spans="7:8" x14ac:dyDescent="0.2">
      <c r="G788" t="e">
        <f>Tabla27[[#This Row],[Agrupación]]</f>
        <v>#VALUE!</v>
      </c>
      <c r="H788" t="e" cm="1">
        <f t="array" ref="H788">TRANSPOSE((_xlfn._xlws.FILTER(INDEX($C$6:$E$1000,,MATCH($G788,$C$5:$E$5,0)),INDEX($C$6:$E$1000,,MATCH($G788,$C$5:$E$5,0))&lt;&gt;"","No hay nada")))</f>
        <v>#VALUE!</v>
      </c>
    </row>
    <row r="789" spans="7:8" x14ac:dyDescent="0.2">
      <c r="G789" t="e">
        <f>Tabla27[[#This Row],[Agrupación]]</f>
        <v>#VALUE!</v>
      </c>
      <c r="H789" t="e" cm="1">
        <f t="array" ref="H789">TRANSPOSE((_xlfn._xlws.FILTER(INDEX($C$6:$E$1000,,MATCH($G789,$C$5:$E$5,0)),INDEX($C$6:$E$1000,,MATCH($G789,$C$5:$E$5,0))&lt;&gt;"","No hay nada")))</f>
        <v>#VALUE!</v>
      </c>
    </row>
    <row r="790" spans="7:8" x14ac:dyDescent="0.2">
      <c r="G790" t="e">
        <f>Tabla27[[#This Row],[Agrupación]]</f>
        <v>#VALUE!</v>
      </c>
      <c r="H790" t="e" cm="1">
        <f t="array" ref="H790">TRANSPOSE((_xlfn._xlws.FILTER(INDEX($C$6:$E$1000,,MATCH($G790,$C$5:$E$5,0)),INDEX($C$6:$E$1000,,MATCH($G790,$C$5:$E$5,0))&lt;&gt;"","No hay nada")))</f>
        <v>#VALUE!</v>
      </c>
    </row>
    <row r="791" spans="7:8" x14ac:dyDescent="0.2">
      <c r="G791" t="e">
        <f>Tabla27[[#This Row],[Agrupación]]</f>
        <v>#VALUE!</v>
      </c>
      <c r="H791" t="e" cm="1">
        <f t="array" ref="H791">TRANSPOSE((_xlfn._xlws.FILTER(INDEX($C$6:$E$1000,,MATCH($G791,$C$5:$E$5,0)),INDEX($C$6:$E$1000,,MATCH($G791,$C$5:$E$5,0))&lt;&gt;"","No hay nada")))</f>
        <v>#VALUE!</v>
      </c>
    </row>
    <row r="792" spans="7:8" x14ac:dyDescent="0.2">
      <c r="G792" t="e">
        <f>Tabla27[[#This Row],[Agrupación]]</f>
        <v>#VALUE!</v>
      </c>
      <c r="H792" t="e" cm="1">
        <f t="array" ref="H792">TRANSPOSE((_xlfn._xlws.FILTER(INDEX($C$6:$E$1000,,MATCH($G792,$C$5:$E$5,0)),INDEX($C$6:$E$1000,,MATCH($G792,$C$5:$E$5,0))&lt;&gt;"","No hay nada")))</f>
        <v>#VALUE!</v>
      </c>
    </row>
    <row r="793" spans="7:8" x14ac:dyDescent="0.2">
      <c r="G793" t="e">
        <f>Tabla27[[#This Row],[Agrupación]]</f>
        <v>#VALUE!</v>
      </c>
      <c r="H793" t="e" cm="1">
        <f t="array" ref="H793">TRANSPOSE((_xlfn._xlws.FILTER(INDEX($C$6:$E$1000,,MATCH($G793,$C$5:$E$5,0)),INDEX($C$6:$E$1000,,MATCH($G793,$C$5:$E$5,0))&lt;&gt;"","No hay nada")))</f>
        <v>#VALUE!</v>
      </c>
    </row>
    <row r="794" spans="7:8" x14ac:dyDescent="0.2">
      <c r="G794" t="e">
        <f>Tabla27[[#This Row],[Agrupación]]</f>
        <v>#VALUE!</v>
      </c>
      <c r="H794" t="e" cm="1">
        <f t="array" ref="H794">TRANSPOSE((_xlfn._xlws.FILTER(INDEX($C$6:$E$1000,,MATCH($G794,$C$5:$E$5,0)),INDEX($C$6:$E$1000,,MATCH($G794,$C$5:$E$5,0))&lt;&gt;"","No hay nada")))</f>
        <v>#VALUE!</v>
      </c>
    </row>
    <row r="795" spans="7:8" x14ac:dyDescent="0.2">
      <c r="G795" t="e">
        <f>Tabla27[[#This Row],[Agrupación]]</f>
        <v>#VALUE!</v>
      </c>
      <c r="H795" t="e" cm="1">
        <f t="array" ref="H795">TRANSPOSE((_xlfn._xlws.FILTER(INDEX($C$6:$E$1000,,MATCH($G795,$C$5:$E$5,0)),INDEX($C$6:$E$1000,,MATCH($G795,$C$5:$E$5,0))&lt;&gt;"","No hay nada")))</f>
        <v>#VALUE!</v>
      </c>
    </row>
    <row r="796" spans="7:8" x14ac:dyDescent="0.2">
      <c r="G796" t="e">
        <f>Tabla27[[#This Row],[Agrupación]]</f>
        <v>#VALUE!</v>
      </c>
      <c r="H796" t="e" cm="1">
        <f t="array" ref="H796">TRANSPOSE((_xlfn._xlws.FILTER(INDEX($C$6:$E$1000,,MATCH($G796,$C$5:$E$5,0)),INDEX($C$6:$E$1000,,MATCH($G796,$C$5:$E$5,0))&lt;&gt;"","No hay nada")))</f>
        <v>#VALUE!</v>
      </c>
    </row>
    <row r="797" spans="7:8" x14ac:dyDescent="0.2">
      <c r="G797" t="e">
        <f>Tabla27[[#This Row],[Agrupación]]</f>
        <v>#VALUE!</v>
      </c>
      <c r="H797" t="e" cm="1">
        <f t="array" ref="H797">TRANSPOSE((_xlfn._xlws.FILTER(INDEX($C$6:$E$1000,,MATCH($G797,$C$5:$E$5,0)),INDEX($C$6:$E$1000,,MATCH($G797,$C$5:$E$5,0))&lt;&gt;"","No hay nada")))</f>
        <v>#VALUE!</v>
      </c>
    </row>
    <row r="798" spans="7:8" x14ac:dyDescent="0.2">
      <c r="G798" t="e">
        <f>Tabla27[[#This Row],[Agrupación]]</f>
        <v>#VALUE!</v>
      </c>
      <c r="H798" t="e" cm="1">
        <f t="array" ref="H798">TRANSPOSE((_xlfn._xlws.FILTER(INDEX($C$6:$E$1000,,MATCH($G798,$C$5:$E$5,0)),INDEX($C$6:$E$1000,,MATCH($G798,$C$5:$E$5,0))&lt;&gt;"","No hay nada")))</f>
        <v>#VALUE!</v>
      </c>
    </row>
    <row r="799" spans="7:8" x14ac:dyDescent="0.2">
      <c r="G799" t="e">
        <f>Tabla27[[#This Row],[Agrupación]]</f>
        <v>#VALUE!</v>
      </c>
      <c r="H799" t="e" cm="1">
        <f t="array" ref="H799">TRANSPOSE((_xlfn._xlws.FILTER(INDEX($C$6:$E$1000,,MATCH($G799,$C$5:$E$5,0)),INDEX($C$6:$E$1000,,MATCH($G799,$C$5:$E$5,0))&lt;&gt;"","No hay nada")))</f>
        <v>#VALUE!</v>
      </c>
    </row>
    <row r="800" spans="7:8" x14ac:dyDescent="0.2">
      <c r="G800" t="e">
        <f>Tabla27[[#This Row],[Agrupación]]</f>
        <v>#VALUE!</v>
      </c>
      <c r="H800" t="e" cm="1">
        <f t="array" ref="H800">TRANSPOSE((_xlfn._xlws.FILTER(INDEX($C$6:$E$1000,,MATCH($G800,$C$5:$E$5,0)),INDEX($C$6:$E$1000,,MATCH($G800,$C$5:$E$5,0))&lt;&gt;"","No hay nada")))</f>
        <v>#VALUE!</v>
      </c>
    </row>
    <row r="801" spans="7:8" x14ac:dyDescent="0.2">
      <c r="G801" t="e">
        <f>Tabla27[[#This Row],[Agrupación]]</f>
        <v>#VALUE!</v>
      </c>
      <c r="H801" t="e" cm="1">
        <f t="array" ref="H801">TRANSPOSE((_xlfn._xlws.FILTER(INDEX($C$6:$E$1000,,MATCH($G801,$C$5:$E$5,0)),INDEX($C$6:$E$1000,,MATCH($G801,$C$5:$E$5,0))&lt;&gt;"","No hay nada")))</f>
        <v>#VALUE!</v>
      </c>
    </row>
    <row r="802" spans="7:8" x14ac:dyDescent="0.2">
      <c r="G802" t="e">
        <f>Tabla27[[#This Row],[Agrupación]]</f>
        <v>#VALUE!</v>
      </c>
      <c r="H802" t="e" cm="1">
        <f t="array" ref="H802">TRANSPOSE((_xlfn._xlws.FILTER(INDEX($C$6:$E$1000,,MATCH($G802,$C$5:$E$5,0)),INDEX($C$6:$E$1000,,MATCH($G802,$C$5:$E$5,0))&lt;&gt;"","No hay nada")))</f>
        <v>#VALUE!</v>
      </c>
    </row>
    <row r="803" spans="7:8" x14ac:dyDescent="0.2">
      <c r="G803" t="e">
        <f>Tabla27[[#This Row],[Agrupación]]</f>
        <v>#VALUE!</v>
      </c>
      <c r="H803" t="e" cm="1">
        <f t="array" ref="H803">TRANSPOSE((_xlfn._xlws.FILTER(INDEX($C$6:$E$1000,,MATCH($G803,$C$5:$E$5,0)),INDEX($C$6:$E$1000,,MATCH($G803,$C$5:$E$5,0))&lt;&gt;"","No hay nada")))</f>
        <v>#VALUE!</v>
      </c>
    </row>
    <row r="804" spans="7:8" x14ac:dyDescent="0.2">
      <c r="G804" t="e">
        <f>Tabla27[[#This Row],[Agrupación]]</f>
        <v>#VALUE!</v>
      </c>
      <c r="H804" t="e" cm="1">
        <f t="array" ref="H804">TRANSPOSE((_xlfn._xlws.FILTER(INDEX($C$6:$E$1000,,MATCH($G804,$C$5:$E$5,0)),INDEX($C$6:$E$1000,,MATCH($G804,$C$5:$E$5,0))&lt;&gt;"","No hay nada")))</f>
        <v>#VALUE!</v>
      </c>
    </row>
    <row r="805" spans="7:8" x14ac:dyDescent="0.2">
      <c r="G805" t="e">
        <f>Tabla27[[#This Row],[Agrupación]]</f>
        <v>#VALUE!</v>
      </c>
      <c r="H805" t="e" cm="1">
        <f t="array" ref="H805">TRANSPOSE((_xlfn._xlws.FILTER(INDEX($C$6:$E$1000,,MATCH($G805,$C$5:$E$5,0)),INDEX($C$6:$E$1000,,MATCH($G805,$C$5:$E$5,0))&lt;&gt;"","No hay nada")))</f>
        <v>#VALUE!</v>
      </c>
    </row>
    <row r="806" spans="7:8" x14ac:dyDescent="0.2">
      <c r="G806" t="e">
        <f>Tabla27[[#This Row],[Agrupación]]</f>
        <v>#VALUE!</v>
      </c>
      <c r="H806" t="e" cm="1">
        <f t="array" ref="H806">TRANSPOSE((_xlfn._xlws.FILTER(INDEX($C$6:$E$1000,,MATCH($G806,$C$5:$E$5,0)),INDEX($C$6:$E$1000,,MATCH($G806,$C$5:$E$5,0))&lt;&gt;"","No hay nada")))</f>
        <v>#VALUE!</v>
      </c>
    </row>
    <row r="807" spans="7:8" x14ac:dyDescent="0.2">
      <c r="G807" t="e">
        <f>Tabla27[[#This Row],[Agrupación]]</f>
        <v>#VALUE!</v>
      </c>
      <c r="H807" t="e" cm="1">
        <f t="array" ref="H807">TRANSPOSE((_xlfn._xlws.FILTER(INDEX($C$6:$E$1000,,MATCH($G807,$C$5:$E$5,0)),INDEX($C$6:$E$1000,,MATCH($G807,$C$5:$E$5,0))&lt;&gt;"","No hay nada")))</f>
        <v>#VALUE!</v>
      </c>
    </row>
    <row r="808" spans="7:8" x14ac:dyDescent="0.2">
      <c r="G808" t="e">
        <f>Tabla27[[#This Row],[Agrupación]]</f>
        <v>#VALUE!</v>
      </c>
      <c r="H808" t="e" cm="1">
        <f t="array" ref="H808">TRANSPOSE((_xlfn._xlws.FILTER(INDEX($C$6:$E$1000,,MATCH($G808,$C$5:$E$5,0)),INDEX($C$6:$E$1000,,MATCH($G808,$C$5:$E$5,0))&lt;&gt;"","No hay nada")))</f>
        <v>#VALUE!</v>
      </c>
    </row>
    <row r="809" spans="7:8" x14ac:dyDescent="0.2">
      <c r="G809" t="e">
        <f>Tabla27[[#This Row],[Agrupación]]</f>
        <v>#VALUE!</v>
      </c>
      <c r="H809" t="e" cm="1">
        <f t="array" ref="H809">TRANSPOSE((_xlfn._xlws.FILTER(INDEX($C$6:$E$1000,,MATCH($G809,$C$5:$E$5,0)),INDEX($C$6:$E$1000,,MATCH($G809,$C$5:$E$5,0))&lt;&gt;"","No hay nada")))</f>
        <v>#VALUE!</v>
      </c>
    </row>
    <row r="810" spans="7:8" x14ac:dyDescent="0.2">
      <c r="G810" t="e">
        <f>Tabla27[[#This Row],[Agrupación]]</f>
        <v>#VALUE!</v>
      </c>
      <c r="H810" t="e" cm="1">
        <f t="array" ref="H810">TRANSPOSE((_xlfn._xlws.FILTER(INDEX($C$6:$E$1000,,MATCH($G810,$C$5:$E$5,0)),INDEX($C$6:$E$1000,,MATCH($G810,$C$5:$E$5,0))&lt;&gt;"","No hay nada")))</f>
        <v>#VALUE!</v>
      </c>
    </row>
    <row r="811" spans="7:8" x14ac:dyDescent="0.2">
      <c r="G811" t="e">
        <f>Tabla27[[#This Row],[Agrupación]]</f>
        <v>#VALUE!</v>
      </c>
      <c r="H811" t="e" cm="1">
        <f t="array" ref="H811">TRANSPOSE((_xlfn._xlws.FILTER(INDEX($C$6:$E$1000,,MATCH($G811,$C$5:$E$5,0)),INDEX($C$6:$E$1000,,MATCH($G811,$C$5:$E$5,0))&lt;&gt;"","No hay nada")))</f>
        <v>#VALUE!</v>
      </c>
    </row>
    <row r="812" spans="7:8" x14ac:dyDescent="0.2">
      <c r="G812" t="e">
        <f>Tabla27[[#This Row],[Agrupación]]</f>
        <v>#VALUE!</v>
      </c>
      <c r="H812" t="e" cm="1">
        <f t="array" ref="H812">TRANSPOSE((_xlfn._xlws.FILTER(INDEX($C$6:$E$1000,,MATCH($G812,$C$5:$E$5,0)),INDEX($C$6:$E$1000,,MATCH($G812,$C$5:$E$5,0))&lt;&gt;"","No hay nada")))</f>
        <v>#VALUE!</v>
      </c>
    </row>
    <row r="813" spans="7:8" x14ac:dyDescent="0.2">
      <c r="G813" t="e">
        <f>Tabla27[[#This Row],[Agrupación]]</f>
        <v>#VALUE!</v>
      </c>
      <c r="H813" t="e" cm="1">
        <f t="array" ref="H813">TRANSPOSE((_xlfn._xlws.FILTER(INDEX($C$6:$E$1000,,MATCH($G813,$C$5:$E$5,0)),INDEX($C$6:$E$1000,,MATCH($G813,$C$5:$E$5,0))&lt;&gt;"","No hay nada")))</f>
        <v>#VALUE!</v>
      </c>
    </row>
    <row r="814" spans="7:8" x14ac:dyDescent="0.2">
      <c r="G814" t="e">
        <f>Tabla27[[#This Row],[Agrupación]]</f>
        <v>#VALUE!</v>
      </c>
      <c r="H814" t="e" cm="1">
        <f t="array" ref="H814">TRANSPOSE((_xlfn._xlws.FILTER(INDEX($C$6:$E$1000,,MATCH($G814,$C$5:$E$5,0)),INDEX($C$6:$E$1000,,MATCH($G814,$C$5:$E$5,0))&lt;&gt;"","No hay nada")))</f>
        <v>#VALUE!</v>
      </c>
    </row>
    <row r="815" spans="7:8" x14ac:dyDescent="0.2">
      <c r="G815" t="e">
        <f>Tabla27[[#This Row],[Agrupación]]</f>
        <v>#VALUE!</v>
      </c>
      <c r="H815" t="e" cm="1">
        <f t="array" ref="H815">TRANSPOSE((_xlfn._xlws.FILTER(INDEX($C$6:$E$1000,,MATCH($G815,$C$5:$E$5,0)),INDEX($C$6:$E$1000,,MATCH($G815,$C$5:$E$5,0))&lt;&gt;"","No hay nada")))</f>
        <v>#VALUE!</v>
      </c>
    </row>
    <row r="816" spans="7:8" x14ac:dyDescent="0.2">
      <c r="G816" t="e">
        <f>Tabla27[[#This Row],[Agrupación]]</f>
        <v>#VALUE!</v>
      </c>
      <c r="H816" t="e" cm="1">
        <f t="array" ref="H816">TRANSPOSE((_xlfn._xlws.FILTER(INDEX($C$6:$E$1000,,MATCH($G816,$C$5:$E$5,0)),INDEX($C$6:$E$1000,,MATCH($G816,$C$5:$E$5,0))&lt;&gt;"","No hay nada")))</f>
        <v>#VALUE!</v>
      </c>
    </row>
    <row r="817" spans="7:8" x14ac:dyDescent="0.2">
      <c r="G817" t="e">
        <f>Tabla27[[#This Row],[Agrupación]]</f>
        <v>#VALUE!</v>
      </c>
      <c r="H817" t="e" cm="1">
        <f t="array" ref="H817">TRANSPOSE((_xlfn._xlws.FILTER(INDEX($C$6:$E$1000,,MATCH($G817,$C$5:$E$5,0)),INDEX($C$6:$E$1000,,MATCH($G817,$C$5:$E$5,0))&lt;&gt;"","No hay nada")))</f>
        <v>#VALUE!</v>
      </c>
    </row>
    <row r="818" spans="7:8" x14ac:dyDescent="0.2">
      <c r="G818" t="e">
        <f>Tabla27[[#This Row],[Agrupación]]</f>
        <v>#VALUE!</v>
      </c>
      <c r="H818" t="e" cm="1">
        <f t="array" ref="H818">TRANSPOSE((_xlfn._xlws.FILTER(INDEX($C$6:$E$1000,,MATCH($G818,$C$5:$E$5,0)),INDEX($C$6:$E$1000,,MATCH($G818,$C$5:$E$5,0))&lt;&gt;"","No hay nada")))</f>
        <v>#VALUE!</v>
      </c>
    </row>
    <row r="819" spans="7:8" x14ac:dyDescent="0.2">
      <c r="G819" t="e">
        <f>Tabla27[[#This Row],[Agrupación]]</f>
        <v>#VALUE!</v>
      </c>
      <c r="H819" t="e" cm="1">
        <f t="array" ref="H819">TRANSPOSE((_xlfn._xlws.FILTER(INDEX($C$6:$E$1000,,MATCH($G819,$C$5:$E$5,0)),INDEX($C$6:$E$1000,,MATCH($G819,$C$5:$E$5,0))&lt;&gt;"","No hay nada")))</f>
        <v>#VALUE!</v>
      </c>
    </row>
    <row r="820" spans="7:8" x14ac:dyDescent="0.2">
      <c r="G820" t="e">
        <f>Tabla27[[#This Row],[Agrupación]]</f>
        <v>#VALUE!</v>
      </c>
      <c r="H820" t="e" cm="1">
        <f t="array" ref="H820">TRANSPOSE((_xlfn._xlws.FILTER(INDEX($C$6:$E$1000,,MATCH($G820,$C$5:$E$5,0)),INDEX($C$6:$E$1000,,MATCH($G820,$C$5:$E$5,0))&lt;&gt;"","No hay nada")))</f>
        <v>#VALUE!</v>
      </c>
    </row>
    <row r="821" spans="7:8" x14ac:dyDescent="0.2">
      <c r="G821" t="e">
        <f>Tabla27[[#This Row],[Agrupación]]</f>
        <v>#VALUE!</v>
      </c>
      <c r="H821" t="e" cm="1">
        <f t="array" ref="H821">TRANSPOSE((_xlfn._xlws.FILTER(INDEX($C$6:$E$1000,,MATCH($G821,$C$5:$E$5,0)),INDEX($C$6:$E$1000,,MATCH($G821,$C$5:$E$5,0))&lt;&gt;"","No hay nada")))</f>
        <v>#VALUE!</v>
      </c>
    </row>
    <row r="822" spans="7:8" x14ac:dyDescent="0.2">
      <c r="G822" t="e">
        <f>Tabla27[[#This Row],[Agrupación]]</f>
        <v>#VALUE!</v>
      </c>
      <c r="H822" t="e" cm="1">
        <f t="array" ref="H822">TRANSPOSE((_xlfn._xlws.FILTER(INDEX($C$6:$E$1000,,MATCH($G822,$C$5:$E$5,0)),INDEX($C$6:$E$1000,,MATCH($G822,$C$5:$E$5,0))&lt;&gt;"","No hay nada")))</f>
        <v>#VALUE!</v>
      </c>
    </row>
    <row r="823" spans="7:8" x14ac:dyDescent="0.2">
      <c r="G823" t="e">
        <f>Tabla27[[#This Row],[Agrupación]]</f>
        <v>#VALUE!</v>
      </c>
      <c r="H823" t="e" cm="1">
        <f t="array" ref="H823">TRANSPOSE((_xlfn._xlws.FILTER(INDEX($C$6:$E$1000,,MATCH($G823,$C$5:$E$5,0)),INDEX($C$6:$E$1000,,MATCH($G823,$C$5:$E$5,0))&lt;&gt;"","No hay nada")))</f>
        <v>#VALUE!</v>
      </c>
    </row>
    <row r="824" spans="7:8" x14ac:dyDescent="0.2">
      <c r="G824" t="e">
        <f>Tabla27[[#This Row],[Agrupación]]</f>
        <v>#VALUE!</v>
      </c>
      <c r="H824" t="e" cm="1">
        <f t="array" ref="H824">TRANSPOSE((_xlfn._xlws.FILTER(INDEX($C$6:$E$1000,,MATCH($G824,$C$5:$E$5,0)),INDEX($C$6:$E$1000,,MATCH($G824,$C$5:$E$5,0))&lt;&gt;"","No hay nada")))</f>
        <v>#VALUE!</v>
      </c>
    </row>
    <row r="825" spans="7:8" x14ac:dyDescent="0.2">
      <c r="G825" t="e">
        <f>Tabla27[[#This Row],[Agrupación]]</f>
        <v>#VALUE!</v>
      </c>
      <c r="H825" t="e" cm="1">
        <f t="array" ref="H825">TRANSPOSE((_xlfn._xlws.FILTER(INDEX($C$6:$E$1000,,MATCH($G825,$C$5:$E$5,0)),INDEX($C$6:$E$1000,,MATCH($G825,$C$5:$E$5,0))&lt;&gt;"","No hay nada")))</f>
        <v>#VALUE!</v>
      </c>
    </row>
    <row r="826" spans="7:8" x14ac:dyDescent="0.2">
      <c r="G826" t="e">
        <f>Tabla27[[#This Row],[Agrupación]]</f>
        <v>#VALUE!</v>
      </c>
      <c r="H826" t="e" cm="1">
        <f t="array" ref="H826">TRANSPOSE((_xlfn._xlws.FILTER(INDEX($C$6:$E$1000,,MATCH($G826,$C$5:$E$5,0)),INDEX($C$6:$E$1000,,MATCH($G826,$C$5:$E$5,0))&lt;&gt;"","No hay nada")))</f>
        <v>#VALUE!</v>
      </c>
    </row>
    <row r="827" spans="7:8" x14ac:dyDescent="0.2">
      <c r="G827" t="e">
        <f>Tabla27[[#This Row],[Agrupación]]</f>
        <v>#VALUE!</v>
      </c>
      <c r="H827" t="e" cm="1">
        <f t="array" ref="H827">TRANSPOSE((_xlfn._xlws.FILTER(INDEX($C$6:$E$1000,,MATCH($G827,$C$5:$E$5,0)),INDEX($C$6:$E$1000,,MATCH($G827,$C$5:$E$5,0))&lt;&gt;"","No hay nada")))</f>
        <v>#VALUE!</v>
      </c>
    </row>
    <row r="828" spans="7:8" x14ac:dyDescent="0.2">
      <c r="G828" t="e">
        <f>Tabla27[[#This Row],[Agrupación]]</f>
        <v>#VALUE!</v>
      </c>
      <c r="H828" t="e" cm="1">
        <f t="array" ref="H828">TRANSPOSE((_xlfn._xlws.FILTER(INDEX($C$6:$E$1000,,MATCH($G828,$C$5:$E$5,0)),INDEX($C$6:$E$1000,,MATCH($G828,$C$5:$E$5,0))&lt;&gt;"","No hay nada")))</f>
        <v>#VALUE!</v>
      </c>
    </row>
    <row r="829" spans="7:8" x14ac:dyDescent="0.2">
      <c r="G829" t="e">
        <f>Tabla27[[#This Row],[Agrupación]]</f>
        <v>#VALUE!</v>
      </c>
      <c r="H829" t="e" cm="1">
        <f t="array" ref="H829">TRANSPOSE((_xlfn._xlws.FILTER(INDEX($C$6:$E$1000,,MATCH($G829,$C$5:$E$5,0)),INDEX($C$6:$E$1000,,MATCH($G829,$C$5:$E$5,0))&lt;&gt;"","No hay nada")))</f>
        <v>#VALUE!</v>
      </c>
    </row>
    <row r="830" spans="7:8" x14ac:dyDescent="0.2">
      <c r="G830" t="e">
        <f>Tabla27[[#This Row],[Agrupación]]</f>
        <v>#VALUE!</v>
      </c>
      <c r="H830" t="e" cm="1">
        <f t="array" ref="H830">TRANSPOSE((_xlfn._xlws.FILTER(INDEX($C$6:$E$1000,,MATCH($G830,$C$5:$E$5,0)),INDEX($C$6:$E$1000,,MATCH($G830,$C$5:$E$5,0))&lt;&gt;"","No hay nada")))</f>
        <v>#VALUE!</v>
      </c>
    </row>
    <row r="831" spans="7:8" x14ac:dyDescent="0.2">
      <c r="G831" t="e">
        <f>Tabla27[[#This Row],[Agrupación]]</f>
        <v>#VALUE!</v>
      </c>
      <c r="H831" t="e" cm="1">
        <f t="array" ref="H831">TRANSPOSE((_xlfn._xlws.FILTER(INDEX($C$6:$E$1000,,MATCH($G831,$C$5:$E$5,0)),INDEX($C$6:$E$1000,,MATCH($G831,$C$5:$E$5,0))&lt;&gt;"","No hay nada")))</f>
        <v>#VALUE!</v>
      </c>
    </row>
    <row r="832" spans="7:8" x14ac:dyDescent="0.2">
      <c r="G832" t="e">
        <f>Tabla27[[#This Row],[Agrupación]]</f>
        <v>#VALUE!</v>
      </c>
      <c r="H832" t="e" cm="1">
        <f t="array" ref="H832">TRANSPOSE((_xlfn._xlws.FILTER(INDEX($C$6:$E$1000,,MATCH($G832,$C$5:$E$5,0)),INDEX($C$6:$E$1000,,MATCH($G832,$C$5:$E$5,0))&lt;&gt;"","No hay nada")))</f>
        <v>#VALUE!</v>
      </c>
    </row>
    <row r="833" spans="7:8" x14ac:dyDescent="0.2">
      <c r="G833" t="e">
        <f>Tabla27[[#This Row],[Agrupación]]</f>
        <v>#VALUE!</v>
      </c>
      <c r="H833" t="e" cm="1">
        <f t="array" ref="H833">TRANSPOSE((_xlfn._xlws.FILTER(INDEX($C$6:$E$1000,,MATCH($G833,$C$5:$E$5,0)),INDEX($C$6:$E$1000,,MATCH($G833,$C$5:$E$5,0))&lt;&gt;"","No hay nada")))</f>
        <v>#VALUE!</v>
      </c>
    </row>
    <row r="834" spans="7:8" x14ac:dyDescent="0.2">
      <c r="G834" t="e">
        <f>Tabla27[[#This Row],[Agrupación]]</f>
        <v>#VALUE!</v>
      </c>
      <c r="H834" t="e" cm="1">
        <f t="array" ref="H834">TRANSPOSE((_xlfn._xlws.FILTER(INDEX($C$6:$E$1000,,MATCH($G834,$C$5:$E$5,0)),INDEX($C$6:$E$1000,,MATCH($G834,$C$5:$E$5,0))&lt;&gt;"","No hay nada")))</f>
        <v>#VALUE!</v>
      </c>
    </row>
    <row r="835" spans="7:8" x14ac:dyDescent="0.2">
      <c r="G835" t="e">
        <f>Tabla27[[#This Row],[Agrupación]]</f>
        <v>#VALUE!</v>
      </c>
      <c r="H835" t="e" cm="1">
        <f t="array" ref="H835">TRANSPOSE((_xlfn._xlws.FILTER(INDEX($C$6:$E$1000,,MATCH($G835,$C$5:$E$5,0)),INDEX($C$6:$E$1000,,MATCH($G835,$C$5:$E$5,0))&lt;&gt;"","No hay nada")))</f>
        <v>#VALUE!</v>
      </c>
    </row>
    <row r="836" spans="7:8" x14ac:dyDescent="0.2">
      <c r="G836" t="e">
        <f>Tabla27[[#This Row],[Agrupación]]</f>
        <v>#VALUE!</v>
      </c>
      <c r="H836" t="e" cm="1">
        <f t="array" ref="H836">TRANSPOSE((_xlfn._xlws.FILTER(INDEX($C$6:$E$1000,,MATCH($G836,$C$5:$E$5,0)),INDEX($C$6:$E$1000,,MATCH($G836,$C$5:$E$5,0))&lt;&gt;"","No hay nada")))</f>
        <v>#VALUE!</v>
      </c>
    </row>
    <row r="837" spans="7:8" x14ac:dyDescent="0.2">
      <c r="G837" t="e">
        <f>Tabla27[[#This Row],[Agrupación]]</f>
        <v>#VALUE!</v>
      </c>
      <c r="H837" t="e" cm="1">
        <f t="array" ref="H837">TRANSPOSE((_xlfn._xlws.FILTER(INDEX($C$6:$E$1000,,MATCH($G837,$C$5:$E$5,0)),INDEX($C$6:$E$1000,,MATCH($G837,$C$5:$E$5,0))&lt;&gt;"","No hay nada")))</f>
        <v>#VALUE!</v>
      </c>
    </row>
    <row r="838" spans="7:8" x14ac:dyDescent="0.2">
      <c r="G838" t="e">
        <f>Tabla27[[#This Row],[Agrupación]]</f>
        <v>#VALUE!</v>
      </c>
      <c r="H838" t="e" cm="1">
        <f t="array" ref="H838">TRANSPOSE((_xlfn._xlws.FILTER(INDEX($C$6:$E$1000,,MATCH($G838,$C$5:$E$5,0)),INDEX($C$6:$E$1000,,MATCH($G838,$C$5:$E$5,0))&lt;&gt;"","No hay nada")))</f>
        <v>#VALUE!</v>
      </c>
    </row>
    <row r="839" spans="7:8" x14ac:dyDescent="0.2">
      <c r="G839" t="e">
        <f>Tabla27[[#This Row],[Agrupación]]</f>
        <v>#VALUE!</v>
      </c>
      <c r="H839" t="e" cm="1">
        <f t="array" ref="H839">TRANSPOSE((_xlfn._xlws.FILTER(INDEX($C$6:$E$1000,,MATCH($G839,$C$5:$E$5,0)),INDEX($C$6:$E$1000,,MATCH($G839,$C$5:$E$5,0))&lt;&gt;"","No hay nada")))</f>
        <v>#VALUE!</v>
      </c>
    </row>
    <row r="840" spans="7:8" x14ac:dyDescent="0.2">
      <c r="G840" t="e">
        <f>Tabla27[[#This Row],[Agrupación]]</f>
        <v>#VALUE!</v>
      </c>
      <c r="H840" t="e" cm="1">
        <f t="array" ref="H840">TRANSPOSE((_xlfn._xlws.FILTER(INDEX($C$6:$E$1000,,MATCH($G840,$C$5:$E$5,0)),INDEX($C$6:$E$1000,,MATCH($G840,$C$5:$E$5,0))&lt;&gt;"","No hay nada")))</f>
        <v>#VALUE!</v>
      </c>
    </row>
    <row r="841" spans="7:8" x14ac:dyDescent="0.2">
      <c r="G841" t="e">
        <f>Tabla27[[#This Row],[Agrupación]]</f>
        <v>#VALUE!</v>
      </c>
      <c r="H841" t="e" cm="1">
        <f t="array" ref="H841">TRANSPOSE((_xlfn._xlws.FILTER(INDEX($C$6:$E$1000,,MATCH($G841,$C$5:$E$5,0)),INDEX($C$6:$E$1000,,MATCH($G841,$C$5:$E$5,0))&lt;&gt;"","No hay nada")))</f>
        <v>#VALUE!</v>
      </c>
    </row>
    <row r="842" spans="7:8" x14ac:dyDescent="0.2">
      <c r="G842" t="e">
        <f>Tabla27[[#This Row],[Agrupación]]</f>
        <v>#VALUE!</v>
      </c>
      <c r="H842" t="e" cm="1">
        <f t="array" ref="H842">TRANSPOSE((_xlfn._xlws.FILTER(INDEX($C$6:$E$1000,,MATCH($G842,$C$5:$E$5,0)),INDEX($C$6:$E$1000,,MATCH($G842,$C$5:$E$5,0))&lt;&gt;"","No hay nada")))</f>
        <v>#VALUE!</v>
      </c>
    </row>
    <row r="843" spans="7:8" x14ac:dyDescent="0.2">
      <c r="G843" t="e">
        <f>Tabla27[[#This Row],[Agrupación]]</f>
        <v>#VALUE!</v>
      </c>
      <c r="H843" t="e" cm="1">
        <f t="array" ref="H843">TRANSPOSE((_xlfn._xlws.FILTER(INDEX($C$6:$E$1000,,MATCH($G843,$C$5:$E$5,0)),INDEX($C$6:$E$1000,,MATCH($G843,$C$5:$E$5,0))&lt;&gt;"","No hay nada")))</f>
        <v>#VALUE!</v>
      </c>
    </row>
    <row r="844" spans="7:8" x14ac:dyDescent="0.2">
      <c r="G844" t="e">
        <f>Tabla27[[#This Row],[Agrupación]]</f>
        <v>#VALUE!</v>
      </c>
      <c r="H844" t="e" cm="1">
        <f t="array" ref="H844">TRANSPOSE((_xlfn._xlws.FILTER(INDEX($C$6:$E$1000,,MATCH($G844,$C$5:$E$5,0)),INDEX($C$6:$E$1000,,MATCH($G844,$C$5:$E$5,0))&lt;&gt;"","No hay nada")))</f>
        <v>#VALUE!</v>
      </c>
    </row>
    <row r="845" spans="7:8" x14ac:dyDescent="0.2">
      <c r="G845" t="e">
        <f>Tabla27[[#This Row],[Agrupación]]</f>
        <v>#VALUE!</v>
      </c>
      <c r="H845" t="e" cm="1">
        <f t="array" ref="H845">TRANSPOSE((_xlfn._xlws.FILTER(INDEX($C$6:$E$1000,,MATCH($G845,$C$5:$E$5,0)),INDEX($C$6:$E$1000,,MATCH($G845,$C$5:$E$5,0))&lt;&gt;"","No hay nada")))</f>
        <v>#VALUE!</v>
      </c>
    </row>
    <row r="846" spans="7:8" x14ac:dyDescent="0.2">
      <c r="G846" t="e">
        <f>Tabla27[[#This Row],[Agrupación]]</f>
        <v>#VALUE!</v>
      </c>
      <c r="H846" t="e" cm="1">
        <f t="array" ref="H846">TRANSPOSE((_xlfn._xlws.FILTER(INDEX($C$6:$E$1000,,MATCH($G846,$C$5:$E$5,0)),INDEX($C$6:$E$1000,,MATCH($G846,$C$5:$E$5,0))&lt;&gt;"","No hay nada")))</f>
        <v>#VALUE!</v>
      </c>
    </row>
    <row r="847" spans="7:8" x14ac:dyDescent="0.2">
      <c r="G847" t="e">
        <f>Tabla27[[#This Row],[Agrupación]]</f>
        <v>#VALUE!</v>
      </c>
      <c r="H847" t="e" cm="1">
        <f t="array" ref="H847">TRANSPOSE((_xlfn._xlws.FILTER(INDEX($C$6:$E$1000,,MATCH($G847,$C$5:$E$5,0)),INDEX($C$6:$E$1000,,MATCH($G847,$C$5:$E$5,0))&lt;&gt;"","No hay nada")))</f>
        <v>#VALUE!</v>
      </c>
    </row>
    <row r="848" spans="7:8" x14ac:dyDescent="0.2">
      <c r="G848" t="e">
        <f>Tabla27[[#This Row],[Agrupación]]</f>
        <v>#VALUE!</v>
      </c>
      <c r="H848" t="e" cm="1">
        <f t="array" ref="H848">TRANSPOSE((_xlfn._xlws.FILTER(INDEX($C$6:$E$1000,,MATCH($G848,$C$5:$E$5,0)),INDEX($C$6:$E$1000,,MATCH($G848,$C$5:$E$5,0))&lt;&gt;"","No hay nada")))</f>
        <v>#VALUE!</v>
      </c>
    </row>
    <row r="849" spans="7:8" x14ac:dyDescent="0.2">
      <c r="G849" t="e">
        <f>Tabla27[[#This Row],[Agrupación]]</f>
        <v>#VALUE!</v>
      </c>
      <c r="H849" t="e" cm="1">
        <f t="array" ref="H849">TRANSPOSE((_xlfn._xlws.FILTER(INDEX($C$6:$E$1000,,MATCH($G849,$C$5:$E$5,0)),INDEX($C$6:$E$1000,,MATCH($G849,$C$5:$E$5,0))&lt;&gt;"","No hay nada")))</f>
        <v>#VALUE!</v>
      </c>
    </row>
    <row r="850" spans="7:8" x14ac:dyDescent="0.2">
      <c r="G850" t="e">
        <f>Tabla27[[#This Row],[Agrupación]]</f>
        <v>#VALUE!</v>
      </c>
      <c r="H850" t="e" cm="1">
        <f t="array" ref="H850">TRANSPOSE((_xlfn._xlws.FILTER(INDEX($C$6:$E$1000,,MATCH($G850,$C$5:$E$5,0)),INDEX($C$6:$E$1000,,MATCH($G850,$C$5:$E$5,0))&lt;&gt;"","No hay nada")))</f>
        <v>#VALUE!</v>
      </c>
    </row>
    <row r="851" spans="7:8" x14ac:dyDescent="0.2">
      <c r="G851" t="e">
        <f>Tabla27[[#This Row],[Agrupación]]</f>
        <v>#VALUE!</v>
      </c>
      <c r="H851" t="e" cm="1">
        <f t="array" ref="H851">TRANSPOSE((_xlfn._xlws.FILTER(INDEX($C$6:$E$1000,,MATCH($G851,$C$5:$E$5,0)),INDEX($C$6:$E$1000,,MATCH($G851,$C$5:$E$5,0))&lt;&gt;"","No hay nada")))</f>
        <v>#VALUE!</v>
      </c>
    </row>
    <row r="852" spans="7:8" x14ac:dyDescent="0.2">
      <c r="G852" t="e">
        <f>Tabla27[[#This Row],[Agrupación]]</f>
        <v>#VALUE!</v>
      </c>
      <c r="H852" t="e" cm="1">
        <f t="array" ref="H852">TRANSPOSE((_xlfn._xlws.FILTER(INDEX($C$6:$E$1000,,MATCH($G852,$C$5:$E$5,0)),INDEX($C$6:$E$1000,,MATCH($G852,$C$5:$E$5,0))&lt;&gt;"","No hay nada")))</f>
        <v>#VALUE!</v>
      </c>
    </row>
    <row r="853" spans="7:8" x14ac:dyDescent="0.2">
      <c r="G853" t="e">
        <f>Tabla27[[#This Row],[Agrupación]]</f>
        <v>#VALUE!</v>
      </c>
      <c r="H853" t="e" cm="1">
        <f t="array" ref="H853">TRANSPOSE((_xlfn._xlws.FILTER(INDEX($C$6:$E$1000,,MATCH($G853,$C$5:$E$5,0)),INDEX($C$6:$E$1000,,MATCH($G853,$C$5:$E$5,0))&lt;&gt;"","No hay nada")))</f>
        <v>#VALUE!</v>
      </c>
    </row>
    <row r="854" spans="7:8" x14ac:dyDescent="0.2">
      <c r="G854" t="e">
        <f>Tabla27[[#This Row],[Agrupación]]</f>
        <v>#VALUE!</v>
      </c>
      <c r="H854" t="e" cm="1">
        <f t="array" ref="H854">TRANSPOSE((_xlfn._xlws.FILTER(INDEX($C$6:$E$1000,,MATCH($G854,$C$5:$E$5,0)),INDEX($C$6:$E$1000,,MATCH($G854,$C$5:$E$5,0))&lt;&gt;"","No hay nada")))</f>
        <v>#VALUE!</v>
      </c>
    </row>
    <row r="855" spans="7:8" x14ac:dyDescent="0.2">
      <c r="G855" t="e">
        <f>Tabla27[[#This Row],[Agrupación]]</f>
        <v>#VALUE!</v>
      </c>
      <c r="H855" t="e" cm="1">
        <f t="array" ref="H855">TRANSPOSE((_xlfn._xlws.FILTER(INDEX($C$6:$E$1000,,MATCH($G855,$C$5:$E$5,0)),INDEX($C$6:$E$1000,,MATCH($G855,$C$5:$E$5,0))&lt;&gt;"","No hay nada")))</f>
        <v>#VALUE!</v>
      </c>
    </row>
    <row r="856" spans="7:8" x14ac:dyDescent="0.2">
      <c r="G856" t="e">
        <f>Tabla27[[#This Row],[Agrupación]]</f>
        <v>#VALUE!</v>
      </c>
      <c r="H856" t="e" cm="1">
        <f t="array" ref="H856">TRANSPOSE((_xlfn._xlws.FILTER(INDEX($C$6:$E$1000,,MATCH($G856,$C$5:$E$5,0)),INDEX($C$6:$E$1000,,MATCH($G856,$C$5:$E$5,0))&lt;&gt;"","No hay nada")))</f>
        <v>#VALUE!</v>
      </c>
    </row>
    <row r="857" spans="7:8" x14ac:dyDescent="0.2">
      <c r="G857" t="e">
        <f>Tabla27[[#This Row],[Agrupación]]</f>
        <v>#VALUE!</v>
      </c>
      <c r="H857" t="e" cm="1">
        <f t="array" ref="H857">TRANSPOSE((_xlfn._xlws.FILTER(INDEX($C$6:$E$1000,,MATCH($G857,$C$5:$E$5,0)),INDEX($C$6:$E$1000,,MATCH($G857,$C$5:$E$5,0))&lt;&gt;"","No hay nada")))</f>
        <v>#VALUE!</v>
      </c>
    </row>
    <row r="858" spans="7:8" x14ac:dyDescent="0.2">
      <c r="G858" t="e">
        <f>Tabla27[[#This Row],[Agrupación]]</f>
        <v>#VALUE!</v>
      </c>
      <c r="H858" t="e" cm="1">
        <f t="array" ref="H858">TRANSPOSE((_xlfn._xlws.FILTER(INDEX($C$6:$E$1000,,MATCH($G858,$C$5:$E$5,0)),INDEX($C$6:$E$1000,,MATCH($G858,$C$5:$E$5,0))&lt;&gt;"","No hay nada")))</f>
        <v>#VALUE!</v>
      </c>
    </row>
    <row r="859" spans="7:8" x14ac:dyDescent="0.2">
      <c r="G859" t="e">
        <f>Tabla27[[#This Row],[Agrupación]]</f>
        <v>#VALUE!</v>
      </c>
      <c r="H859" t="e" cm="1">
        <f t="array" ref="H859">TRANSPOSE((_xlfn._xlws.FILTER(INDEX($C$6:$E$1000,,MATCH($G859,$C$5:$E$5,0)),INDEX($C$6:$E$1000,,MATCH($G859,$C$5:$E$5,0))&lt;&gt;"","No hay nada")))</f>
        <v>#VALUE!</v>
      </c>
    </row>
    <row r="860" spans="7:8" x14ac:dyDescent="0.2">
      <c r="G860" t="e">
        <f>Tabla27[[#This Row],[Agrupación]]</f>
        <v>#VALUE!</v>
      </c>
      <c r="H860" t="e" cm="1">
        <f t="array" ref="H860">TRANSPOSE((_xlfn._xlws.FILTER(INDEX($C$6:$E$1000,,MATCH($G860,$C$5:$E$5,0)),INDEX($C$6:$E$1000,,MATCH($G860,$C$5:$E$5,0))&lt;&gt;"","No hay nada")))</f>
        <v>#VALUE!</v>
      </c>
    </row>
    <row r="861" spans="7:8" x14ac:dyDescent="0.2">
      <c r="G861" t="e">
        <f>Tabla27[[#This Row],[Agrupación]]</f>
        <v>#VALUE!</v>
      </c>
      <c r="H861" t="e" cm="1">
        <f t="array" ref="H861">TRANSPOSE((_xlfn._xlws.FILTER(INDEX($C$6:$E$1000,,MATCH($G861,$C$5:$E$5,0)),INDEX($C$6:$E$1000,,MATCH($G861,$C$5:$E$5,0))&lt;&gt;"","No hay nada")))</f>
        <v>#VALUE!</v>
      </c>
    </row>
    <row r="862" spans="7:8" x14ac:dyDescent="0.2">
      <c r="G862" t="e">
        <f>Tabla27[[#This Row],[Agrupación]]</f>
        <v>#VALUE!</v>
      </c>
      <c r="H862" t="e" cm="1">
        <f t="array" ref="H862">TRANSPOSE((_xlfn._xlws.FILTER(INDEX($C$6:$E$1000,,MATCH($G862,$C$5:$E$5,0)),INDEX($C$6:$E$1000,,MATCH($G862,$C$5:$E$5,0))&lt;&gt;"","No hay nada")))</f>
        <v>#VALUE!</v>
      </c>
    </row>
    <row r="863" spans="7:8" x14ac:dyDescent="0.2">
      <c r="G863" t="e">
        <f>Tabla27[[#This Row],[Agrupación]]</f>
        <v>#VALUE!</v>
      </c>
      <c r="H863" t="e" cm="1">
        <f t="array" ref="H863">TRANSPOSE((_xlfn._xlws.FILTER(INDEX($C$6:$E$1000,,MATCH($G863,$C$5:$E$5,0)),INDEX($C$6:$E$1000,,MATCH($G863,$C$5:$E$5,0))&lt;&gt;"","No hay nada")))</f>
        <v>#VALUE!</v>
      </c>
    </row>
    <row r="864" spans="7:8" x14ac:dyDescent="0.2">
      <c r="G864" t="e">
        <f>Tabla27[[#This Row],[Agrupación]]</f>
        <v>#VALUE!</v>
      </c>
      <c r="H864" t="e" cm="1">
        <f t="array" ref="H864">TRANSPOSE((_xlfn._xlws.FILTER(INDEX($C$6:$E$1000,,MATCH($G864,$C$5:$E$5,0)),INDEX($C$6:$E$1000,,MATCH($G864,$C$5:$E$5,0))&lt;&gt;"","No hay nada")))</f>
        <v>#VALUE!</v>
      </c>
    </row>
    <row r="865" spans="7:8" x14ac:dyDescent="0.2">
      <c r="G865" t="e">
        <f>Tabla27[[#This Row],[Agrupación]]</f>
        <v>#VALUE!</v>
      </c>
      <c r="H865" t="e" cm="1">
        <f t="array" ref="H865">TRANSPOSE((_xlfn._xlws.FILTER(INDEX($C$6:$E$1000,,MATCH($G865,$C$5:$E$5,0)),INDEX($C$6:$E$1000,,MATCH($G865,$C$5:$E$5,0))&lt;&gt;"","No hay nada")))</f>
        <v>#VALUE!</v>
      </c>
    </row>
    <row r="866" spans="7:8" x14ac:dyDescent="0.2">
      <c r="G866" t="e">
        <f>Tabla27[[#This Row],[Agrupación]]</f>
        <v>#VALUE!</v>
      </c>
      <c r="H866" t="e" cm="1">
        <f t="array" ref="H866">TRANSPOSE((_xlfn._xlws.FILTER(INDEX($C$6:$E$1000,,MATCH($G866,$C$5:$E$5,0)),INDEX($C$6:$E$1000,,MATCH($G866,$C$5:$E$5,0))&lt;&gt;"","No hay nada")))</f>
        <v>#VALUE!</v>
      </c>
    </row>
    <row r="867" spans="7:8" x14ac:dyDescent="0.2">
      <c r="G867" t="e">
        <f>Tabla27[[#This Row],[Agrupación]]</f>
        <v>#VALUE!</v>
      </c>
      <c r="H867" t="e" cm="1">
        <f t="array" ref="H867">TRANSPOSE((_xlfn._xlws.FILTER(INDEX($C$6:$E$1000,,MATCH($G867,$C$5:$E$5,0)),INDEX($C$6:$E$1000,,MATCH($G867,$C$5:$E$5,0))&lt;&gt;"","No hay nada")))</f>
        <v>#VALUE!</v>
      </c>
    </row>
    <row r="868" spans="7:8" x14ac:dyDescent="0.2">
      <c r="G868" t="e">
        <f>Tabla27[[#This Row],[Agrupación]]</f>
        <v>#VALUE!</v>
      </c>
      <c r="H868" t="e" cm="1">
        <f t="array" ref="H868">TRANSPOSE((_xlfn._xlws.FILTER(INDEX($C$6:$E$1000,,MATCH($G868,$C$5:$E$5,0)),INDEX($C$6:$E$1000,,MATCH($G868,$C$5:$E$5,0))&lt;&gt;"","No hay nada")))</f>
        <v>#VALUE!</v>
      </c>
    </row>
    <row r="869" spans="7:8" x14ac:dyDescent="0.2">
      <c r="G869" t="e">
        <f>Tabla27[[#This Row],[Agrupación]]</f>
        <v>#VALUE!</v>
      </c>
      <c r="H869" t="e" cm="1">
        <f t="array" ref="H869">TRANSPOSE((_xlfn._xlws.FILTER(INDEX($C$6:$E$1000,,MATCH($G869,$C$5:$E$5,0)),INDEX($C$6:$E$1000,,MATCH($G869,$C$5:$E$5,0))&lt;&gt;"","No hay nada")))</f>
        <v>#VALUE!</v>
      </c>
    </row>
    <row r="870" spans="7:8" x14ac:dyDescent="0.2">
      <c r="G870" t="e">
        <f>Tabla27[[#This Row],[Agrupación]]</f>
        <v>#VALUE!</v>
      </c>
      <c r="H870" t="e" cm="1">
        <f t="array" ref="H870">TRANSPOSE((_xlfn._xlws.FILTER(INDEX($C$6:$E$1000,,MATCH($G870,$C$5:$E$5,0)),INDEX($C$6:$E$1000,,MATCH($G870,$C$5:$E$5,0))&lt;&gt;"","No hay nada")))</f>
        <v>#VALUE!</v>
      </c>
    </row>
    <row r="871" spans="7:8" x14ac:dyDescent="0.2">
      <c r="G871" t="e">
        <f>Tabla27[[#This Row],[Agrupación]]</f>
        <v>#VALUE!</v>
      </c>
      <c r="H871" t="e" cm="1">
        <f t="array" ref="H871">TRANSPOSE((_xlfn._xlws.FILTER(INDEX($C$6:$E$1000,,MATCH($G871,$C$5:$E$5,0)),INDEX($C$6:$E$1000,,MATCH($G871,$C$5:$E$5,0))&lt;&gt;"","No hay nada")))</f>
        <v>#VALUE!</v>
      </c>
    </row>
    <row r="872" spans="7:8" x14ac:dyDescent="0.2">
      <c r="G872" t="e">
        <f>Tabla27[[#This Row],[Agrupación]]</f>
        <v>#VALUE!</v>
      </c>
      <c r="H872" t="e" cm="1">
        <f t="array" ref="H872">TRANSPOSE((_xlfn._xlws.FILTER(INDEX($C$6:$E$1000,,MATCH($G872,$C$5:$E$5,0)),INDEX($C$6:$E$1000,,MATCH($G872,$C$5:$E$5,0))&lt;&gt;"","No hay nada")))</f>
        <v>#VALUE!</v>
      </c>
    </row>
    <row r="873" spans="7:8" x14ac:dyDescent="0.2">
      <c r="G873" t="e">
        <f>Tabla27[[#This Row],[Agrupación]]</f>
        <v>#VALUE!</v>
      </c>
      <c r="H873" t="e" cm="1">
        <f t="array" ref="H873">TRANSPOSE((_xlfn._xlws.FILTER(INDEX($C$6:$E$1000,,MATCH($G873,$C$5:$E$5,0)),INDEX($C$6:$E$1000,,MATCH($G873,$C$5:$E$5,0))&lt;&gt;"","No hay nada")))</f>
        <v>#VALUE!</v>
      </c>
    </row>
    <row r="874" spans="7:8" x14ac:dyDescent="0.2">
      <c r="G874" t="e">
        <f>Tabla27[[#This Row],[Agrupación]]</f>
        <v>#VALUE!</v>
      </c>
      <c r="H874" t="e" cm="1">
        <f t="array" ref="H874">TRANSPOSE((_xlfn._xlws.FILTER(INDEX($C$6:$E$1000,,MATCH($G874,$C$5:$E$5,0)),INDEX($C$6:$E$1000,,MATCH($G874,$C$5:$E$5,0))&lt;&gt;"","No hay nada")))</f>
        <v>#VALUE!</v>
      </c>
    </row>
    <row r="875" spans="7:8" x14ac:dyDescent="0.2">
      <c r="G875" t="e">
        <f>Tabla27[[#This Row],[Agrupación]]</f>
        <v>#VALUE!</v>
      </c>
      <c r="H875" t="e" cm="1">
        <f t="array" ref="H875">TRANSPOSE((_xlfn._xlws.FILTER(INDEX($C$6:$E$1000,,MATCH($G875,$C$5:$E$5,0)),INDEX($C$6:$E$1000,,MATCH($G875,$C$5:$E$5,0))&lt;&gt;"","No hay nada")))</f>
        <v>#VALUE!</v>
      </c>
    </row>
    <row r="876" spans="7:8" x14ac:dyDescent="0.2">
      <c r="G876" t="e">
        <f>Tabla27[[#This Row],[Agrupación]]</f>
        <v>#VALUE!</v>
      </c>
      <c r="H876" t="e" cm="1">
        <f t="array" ref="H876">TRANSPOSE((_xlfn._xlws.FILTER(INDEX($C$6:$E$1000,,MATCH($G876,$C$5:$E$5,0)),INDEX($C$6:$E$1000,,MATCH($G876,$C$5:$E$5,0))&lt;&gt;"","No hay nada")))</f>
        <v>#VALUE!</v>
      </c>
    </row>
    <row r="877" spans="7:8" x14ac:dyDescent="0.2">
      <c r="G877" t="e">
        <f>Tabla27[[#This Row],[Agrupación]]</f>
        <v>#VALUE!</v>
      </c>
      <c r="H877" t="e" cm="1">
        <f t="array" ref="H877">TRANSPOSE((_xlfn._xlws.FILTER(INDEX($C$6:$E$1000,,MATCH($G877,$C$5:$E$5,0)),INDEX($C$6:$E$1000,,MATCH($G877,$C$5:$E$5,0))&lt;&gt;"","No hay nada")))</f>
        <v>#VALUE!</v>
      </c>
    </row>
    <row r="878" spans="7:8" x14ac:dyDescent="0.2">
      <c r="G878" t="e">
        <f>Tabla27[[#This Row],[Agrupación]]</f>
        <v>#VALUE!</v>
      </c>
      <c r="H878" t="e" cm="1">
        <f t="array" ref="H878">TRANSPOSE((_xlfn._xlws.FILTER(INDEX($C$6:$E$1000,,MATCH($G878,$C$5:$E$5,0)),INDEX($C$6:$E$1000,,MATCH($G878,$C$5:$E$5,0))&lt;&gt;"","No hay nada")))</f>
        <v>#VALUE!</v>
      </c>
    </row>
    <row r="879" spans="7:8" x14ac:dyDescent="0.2">
      <c r="G879" t="e">
        <f>Tabla27[[#This Row],[Agrupación]]</f>
        <v>#VALUE!</v>
      </c>
      <c r="H879" t="e" cm="1">
        <f t="array" ref="H879">TRANSPOSE((_xlfn._xlws.FILTER(INDEX($C$6:$E$1000,,MATCH($G879,$C$5:$E$5,0)),INDEX($C$6:$E$1000,,MATCH($G879,$C$5:$E$5,0))&lt;&gt;"","No hay nada")))</f>
        <v>#VALUE!</v>
      </c>
    </row>
    <row r="880" spans="7:8" x14ac:dyDescent="0.2">
      <c r="G880" t="e">
        <f>Tabla27[[#This Row],[Agrupación]]</f>
        <v>#VALUE!</v>
      </c>
      <c r="H880" t="e" cm="1">
        <f t="array" ref="H880">TRANSPOSE((_xlfn._xlws.FILTER(INDEX($C$6:$E$1000,,MATCH($G880,$C$5:$E$5,0)),INDEX($C$6:$E$1000,,MATCH($G880,$C$5:$E$5,0))&lt;&gt;"","No hay nada")))</f>
        <v>#VALUE!</v>
      </c>
    </row>
    <row r="881" spans="7:8" x14ac:dyDescent="0.2">
      <c r="G881" t="e">
        <f>Tabla27[[#This Row],[Agrupación]]</f>
        <v>#VALUE!</v>
      </c>
      <c r="H881" t="e" cm="1">
        <f t="array" ref="H881">TRANSPOSE((_xlfn._xlws.FILTER(INDEX($C$6:$E$1000,,MATCH($G881,$C$5:$E$5,0)),INDEX($C$6:$E$1000,,MATCH($G881,$C$5:$E$5,0))&lt;&gt;"","No hay nada")))</f>
        <v>#VALUE!</v>
      </c>
    </row>
    <row r="882" spans="7:8" x14ac:dyDescent="0.2">
      <c r="G882" t="e">
        <f>Tabla27[[#This Row],[Agrupación]]</f>
        <v>#VALUE!</v>
      </c>
      <c r="H882" t="e" cm="1">
        <f t="array" ref="H882">TRANSPOSE((_xlfn._xlws.FILTER(INDEX($C$6:$E$1000,,MATCH($G882,$C$5:$E$5,0)),INDEX($C$6:$E$1000,,MATCH($G882,$C$5:$E$5,0))&lt;&gt;"","No hay nada")))</f>
        <v>#VALUE!</v>
      </c>
    </row>
    <row r="883" spans="7:8" x14ac:dyDescent="0.2">
      <c r="G883" t="e">
        <f>Tabla27[[#This Row],[Agrupación]]</f>
        <v>#VALUE!</v>
      </c>
      <c r="H883" t="e" cm="1">
        <f t="array" ref="H883">TRANSPOSE((_xlfn._xlws.FILTER(INDEX($C$6:$E$1000,,MATCH($G883,$C$5:$E$5,0)),INDEX($C$6:$E$1000,,MATCH($G883,$C$5:$E$5,0))&lt;&gt;"","No hay nada")))</f>
        <v>#VALUE!</v>
      </c>
    </row>
    <row r="884" spans="7:8" x14ac:dyDescent="0.2">
      <c r="G884" t="e">
        <f>Tabla27[[#This Row],[Agrupación]]</f>
        <v>#VALUE!</v>
      </c>
      <c r="H884" t="e" cm="1">
        <f t="array" ref="H884">TRANSPOSE((_xlfn._xlws.FILTER(INDEX($C$6:$E$1000,,MATCH($G884,$C$5:$E$5,0)),INDEX($C$6:$E$1000,,MATCH($G884,$C$5:$E$5,0))&lt;&gt;"","No hay nada")))</f>
        <v>#VALUE!</v>
      </c>
    </row>
    <row r="885" spans="7:8" x14ac:dyDescent="0.2">
      <c r="G885" t="e">
        <f>Tabla27[[#This Row],[Agrupación]]</f>
        <v>#VALUE!</v>
      </c>
      <c r="H885" t="e" cm="1">
        <f t="array" ref="H885">TRANSPOSE((_xlfn._xlws.FILTER(INDEX($C$6:$E$1000,,MATCH($G885,$C$5:$E$5,0)),INDEX($C$6:$E$1000,,MATCH($G885,$C$5:$E$5,0))&lt;&gt;"","No hay nada")))</f>
        <v>#VALUE!</v>
      </c>
    </row>
    <row r="886" spans="7:8" x14ac:dyDescent="0.2">
      <c r="G886" t="e">
        <f>Tabla27[[#This Row],[Agrupación]]</f>
        <v>#VALUE!</v>
      </c>
      <c r="H886" t="e" cm="1">
        <f t="array" ref="H886">TRANSPOSE((_xlfn._xlws.FILTER(INDEX($C$6:$E$1000,,MATCH($G886,$C$5:$E$5,0)),INDEX($C$6:$E$1000,,MATCH($G886,$C$5:$E$5,0))&lt;&gt;"","No hay nada")))</f>
        <v>#VALUE!</v>
      </c>
    </row>
    <row r="887" spans="7:8" x14ac:dyDescent="0.2">
      <c r="G887" t="e">
        <f>Tabla27[[#This Row],[Agrupación]]</f>
        <v>#VALUE!</v>
      </c>
      <c r="H887" t="e" cm="1">
        <f t="array" ref="H887">TRANSPOSE((_xlfn._xlws.FILTER(INDEX($C$6:$E$1000,,MATCH($G887,$C$5:$E$5,0)),INDEX($C$6:$E$1000,,MATCH($G887,$C$5:$E$5,0))&lt;&gt;"","No hay nada")))</f>
        <v>#VALUE!</v>
      </c>
    </row>
    <row r="888" spans="7:8" x14ac:dyDescent="0.2">
      <c r="G888" t="e">
        <f>Tabla27[[#This Row],[Agrupación]]</f>
        <v>#VALUE!</v>
      </c>
      <c r="H888" t="e" cm="1">
        <f t="array" ref="H888">TRANSPOSE((_xlfn._xlws.FILTER(INDEX($C$6:$E$1000,,MATCH($G888,$C$5:$E$5,0)),INDEX($C$6:$E$1000,,MATCH($G888,$C$5:$E$5,0))&lt;&gt;"","No hay nada")))</f>
        <v>#VALUE!</v>
      </c>
    </row>
    <row r="889" spans="7:8" x14ac:dyDescent="0.2">
      <c r="G889" t="e">
        <f>Tabla27[[#This Row],[Agrupación]]</f>
        <v>#VALUE!</v>
      </c>
      <c r="H889" t="e" cm="1">
        <f t="array" ref="H889">TRANSPOSE((_xlfn._xlws.FILTER(INDEX($C$6:$E$1000,,MATCH($G889,$C$5:$E$5,0)),INDEX($C$6:$E$1000,,MATCH($G889,$C$5:$E$5,0))&lt;&gt;"","No hay nada")))</f>
        <v>#VALUE!</v>
      </c>
    </row>
    <row r="890" spans="7:8" x14ac:dyDescent="0.2">
      <c r="G890" t="e">
        <f>Tabla27[[#This Row],[Agrupación]]</f>
        <v>#VALUE!</v>
      </c>
      <c r="H890" t="e" cm="1">
        <f t="array" ref="H890">TRANSPOSE((_xlfn._xlws.FILTER(INDEX($C$6:$E$1000,,MATCH($G890,$C$5:$E$5,0)),INDEX($C$6:$E$1000,,MATCH($G890,$C$5:$E$5,0))&lt;&gt;"","No hay nada")))</f>
        <v>#VALUE!</v>
      </c>
    </row>
    <row r="891" spans="7:8" x14ac:dyDescent="0.2">
      <c r="G891" t="e">
        <f>Tabla27[[#This Row],[Agrupación]]</f>
        <v>#VALUE!</v>
      </c>
      <c r="H891" t="e" cm="1">
        <f t="array" ref="H891">TRANSPOSE((_xlfn._xlws.FILTER(INDEX($C$6:$E$1000,,MATCH($G891,$C$5:$E$5,0)),INDEX($C$6:$E$1000,,MATCH($G891,$C$5:$E$5,0))&lt;&gt;"","No hay nada")))</f>
        <v>#VALUE!</v>
      </c>
    </row>
    <row r="892" spans="7:8" x14ac:dyDescent="0.2">
      <c r="G892" t="e">
        <f>Tabla27[[#This Row],[Agrupación]]</f>
        <v>#VALUE!</v>
      </c>
      <c r="H892" t="e" cm="1">
        <f t="array" ref="H892">TRANSPOSE((_xlfn._xlws.FILTER(INDEX($C$6:$E$1000,,MATCH($G892,$C$5:$E$5,0)),INDEX($C$6:$E$1000,,MATCH($G892,$C$5:$E$5,0))&lt;&gt;"","No hay nada")))</f>
        <v>#VALUE!</v>
      </c>
    </row>
    <row r="893" spans="7:8" x14ac:dyDescent="0.2">
      <c r="G893" t="e">
        <f>Tabla27[[#This Row],[Agrupación]]</f>
        <v>#VALUE!</v>
      </c>
      <c r="H893" t="e" cm="1">
        <f t="array" ref="H893">TRANSPOSE((_xlfn._xlws.FILTER(INDEX($C$6:$E$1000,,MATCH($G893,$C$5:$E$5,0)),INDEX($C$6:$E$1000,,MATCH($G893,$C$5:$E$5,0))&lt;&gt;"","No hay nada")))</f>
        <v>#VALUE!</v>
      </c>
    </row>
    <row r="894" spans="7:8" x14ac:dyDescent="0.2">
      <c r="G894" t="e">
        <f>Tabla27[[#This Row],[Agrupación]]</f>
        <v>#VALUE!</v>
      </c>
      <c r="H894" t="e" cm="1">
        <f t="array" ref="H894">TRANSPOSE((_xlfn._xlws.FILTER(INDEX($C$6:$E$1000,,MATCH($G894,$C$5:$E$5,0)),INDEX($C$6:$E$1000,,MATCH($G894,$C$5:$E$5,0))&lt;&gt;"","No hay nada")))</f>
        <v>#VALUE!</v>
      </c>
    </row>
    <row r="895" spans="7:8" x14ac:dyDescent="0.2">
      <c r="G895" t="e">
        <f>Tabla27[[#This Row],[Agrupación]]</f>
        <v>#VALUE!</v>
      </c>
      <c r="H895" t="e" cm="1">
        <f t="array" ref="H895">TRANSPOSE((_xlfn._xlws.FILTER(INDEX($C$6:$E$1000,,MATCH($G895,$C$5:$E$5,0)),INDEX($C$6:$E$1000,,MATCH($G895,$C$5:$E$5,0))&lt;&gt;"","No hay nada")))</f>
        <v>#VALUE!</v>
      </c>
    </row>
    <row r="896" spans="7:8" x14ac:dyDescent="0.2">
      <c r="G896" t="e">
        <f>Tabla27[[#This Row],[Agrupación]]</f>
        <v>#VALUE!</v>
      </c>
      <c r="H896" t="e" cm="1">
        <f t="array" ref="H896">TRANSPOSE((_xlfn._xlws.FILTER(INDEX($C$6:$E$1000,,MATCH($G896,$C$5:$E$5,0)),INDEX($C$6:$E$1000,,MATCH($G896,$C$5:$E$5,0))&lt;&gt;"","No hay nada")))</f>
        <v>#VALUE!</v>
      </c>
    </row>
    <row r="897" spans="7:8" x14ac:dyDescent="0.2">
      <c r="G897" t="e">
        <f>Tabla27[[#This Row],[Agrupación]]</f>
        <v>#VALUE!</v>
      </c>
      <c r="H897" t="e" cm="1">
        <f t="array" ref="H897">TRANSPOSE((_xlfn._xlws.FILTER(INDEX($C$6:$E$1000,,MATCH($G897,$C$5:$E$5,0)),INDEX($C$6:$E$1000,,MATCH($G897,$C$5:$E$5,0))&lt;&gt;"","No hay nada")))</f>
        <v>#VALUE!</v>
      </c>
    </row>
    <row r="898" spans="7:8" x14ac:dyDescent="0.2">
      <c r="G898" t="e">
        <f>Tabla27[[#This Row],[Agrupación]]</f>
        <v>#VALUE!</v>
      </c>
      <c r="H898" t="e" cm="1">
        <f t="array" ref="H898">TRANSPOSE((_xlfn._xlws.FILTER(INDEX($C$6:$E$1000,,MATCH($G898,$C$5:$E$5,0)),INDEX($C$6:$E$1000,,MATCH($G898,$C$5:$E$5,0))&lt;&gt;"","No hay nada")))</f>
        <v>#VALUE!</v>
      </c>
    </row>
    <row r="899" spans="7:8" x14ac:dyDescent="0.2">
      <c r="G899" t="e">
        <f>Tabla27[[#This Row],[Agrupación]]</f>
        <v>#VALUE!</v>
      </c>
      <c r="H899" t="e" cm="1">
        <f t="array" ref="H899">TRANSPOSE((_xlfn._xlws.FILTER(INDEX($C$6:$E$1000,,MATCH($G899,$C$5:$E$5,0)),INDEX($C$6:$E$1000,,MATCH($G899,$C$5:$E$5,0))&lt;&gt;"","No hay nada")))</f>
        <v>#VALUE!</v>
      </c>
    </row>
    <row r="900" spans="7:8" x14ac:dyDescent="0.2">
      <c r="G900" t="e">
        <f>Tabla27[[#This Row],[Agrupación]]</f>
        <v>#VALUE!</v>
      </c>
      <c r="H900" t="e" cm="1">
        <f t="array" ref="H900">TRANSPOSE((_xlfn._xlws.FILTER(INDEX($C$6:$E$1000,,MATCH($G900,$C$5:$E$5,0)),INDEX($C$6:$E$1000,,MATCH($G900,$C$5:$E$5,0))&lt;&gt;"","No hay nada")))</f>
        <v>#VALUE!</v>
      </c>
    </row>
    <row r="901" spans="7:8" x14ac:dyDescent="0.2">
      <c r="G901" t="e">
        <f>Tabla27[[#This Row],[Agrupación]]</f>
        <v>#VALUE!</v>
      </c>
      <c r="H901" t="e" cm="1">
        <f t="array" ref="H901">TRANSPOSE((_xlfn._xlws.FILTER(INDEX($C$6:$E$1000,,MATCH($G901,$C$5:$E$5,0)),INDEX($C$6:$E$1000,,MATCH($G901,$C$5:$E$5,0))&lt;&gt;"","No hay nada")))</f>
        <v>#VALUE!</v>
      </c>
    </row>
    <row r="902" spans="7:8" x14ac:dyDescent="0.2">
      <c r="G902" t="e">
        <f>Tabla27[[#This Row],[Agrupación]]</f>
        <v>#VALUE!</v>
      </c>
      <c r="H902" t="e" cm="1">
        <f t="array" ref="H902">TRANSPOSE((_xlfn._xlws.FILTER(INDEX($C$6:$E$1000,,MATCH($G902,$C$5:$E$5,0)),INDEX($C$6:$E$1000,,MATCH($G902,$C$5:$E$5,0))&lt;&gt;"","No hay nada")))</f>
        <v>#VALUE!</v>
      </c>
    </row>
    <row r="903" spans="7:8" x14ac:dyDescent="0.2">
      <c r="G903" t="e">
        <f>Tabla27[[#This Row],[Agrupación]]</f>
        <v>#VALUE!</v>
      </c>
      <c r="H903" t="e" cm="1">
        <f t="array" ref="H903">TRANSPOSE((_xlfn._xlws.FILTER(INDEX($C$6:$E$1000,,MATCH($G903,$C$5:$E$5,0)),INDEX($C$6:$E$1000,,MATCH($G903,$C$5:$E$5,0))&lt;&gt;"","No hay nada")))</f>
        <v>#VALUE!</v>
      </c>
    </row>
    <row r="904" spans="7:8" x14ac:dyDescent="0.2">
      <c r="G904" t="e">
        <f>Tabla27[[#This Row],[Agrupación]]</f>
        <v>#VALUE!</v>
      </c>
      <c r="H904" t="e" cm="1">
        <f t="array" ref="H904">TRANSPOSE((_xlfn._xlws.FILTER(INDEX($C$6:$E$1000,,MATCH($G904,$C$5:$E$5,0)),INDEX($C$6:$E$1000,,MATCH($G904,$C$5:$E$5,0))&lt;&gt;"","No hay nada")))</f>
        <v>#VALUE!</v>
      </c>
    </row>
    <row r="905" spans="7:8" x14ac:dyDescent="0.2">
      <c r="G905" t="e">
        <f>Tabla27[[#This Row],[Agrupación]]</f>
        <v>#VALUE!</v>
      </c>
      <c r="H905" t="e" cm="1">
        <f t="array" ref="H905">TRANSPOSE((_xlfn._xlws.FILTER(INDEX($C$6:$E$1000,,MATCH($G905,$C$5:$E$5,0)),INDEX($C$6:$E$1000,,MATCH($G905,$C$5:$E$5,0))&lt;&gt;"","No hay nada")))</f>
        <v>#VALUE!</v>
      </c>
    </row>
    <row r="906" spans="7:8" x14ac:dyDescent="0.2">
      <c r="G906" t="e">
        <f>Tabla27[[#This Row],[Agrupación]]</f>
        <v>#VALUE!</v>
      </c>
      <c r="H906" t="e" cm="1">
        <f t="array" ref="H906">TRANSPOSE((_xlfn._xlws.FILTER(INDEX($C$6:$E$1000,,MATCH($G906,$C$5:$E$5,0)),INDEX($C$6:$E$1000,,MATCH($G906,$C$5:$E$5,0))&lt;&gt;"","No hay nada")))</f>
        <v>#VALUE!</v>
      </c>
    </row>
    <row r="907" spans="7:8" x14ac:dyDescent="0.2">
      <c r="G907" t="e">
        <f>Tabla27[[#This Row],[Agrupación]]</f>
        <v>#VALUE!</v>
      </c>
      <c r="H907" t="e" cm="1">
        <f t="array" ref="H907">TRANSPOSE((_xlfn._xlws.FILTER(INDEX($C$6:$E$1000,,MATCH($G907,$C$5:$E$5,0)),INDEX($C$6:$E$1000,,MATCH($G907,$C$5:$E$5,0))&lt;&gt;"","No hay nada")))</f>
        <v>#VALUE!</v>
      </c>
    </row>
    <row r="908" spans="7:8" x14ac:dyDescent="0.2">
      <c r="G908" t="e">
        <f>Tabla27[[#This Row],[Agrupación]]</f>
        <v>#VALUE!</v>
      </c>
      <c r="H908" t="e" cm="1">
        <f t="array" ref="H908">TRANSPOSE((_xlfn._xlws.FILTER(INDEX($C$6:$E$1000,,MATCH($G908,$C$5:$E$5,0)),INDEX($C$6:$E$1000,,MATCH($G908,$C$5:$E$5,0))&lt;&gt;"","No hay nada")))</f>
        <v>#VALUE!</v>
      </c>
    </row>
    <row r="909" spans="7:8" x14ac:dyDescent="0.2">
      <c r="G909" t="e">
        <f>Tabla27[[#This Row],[Agrupación]]</f>
        <v>#VALUE!</v>
      </c>
      <c r="H909" t="e" cm="1">
        <f t="array" ref="H909">TRANSPOSE((_xlfn._xlws.FILTER(INDEX($C$6:$E$1000,,MATCH($G909,$C$5:$E$5,0)),INDEX($C$6:$E$1000,,MATCH($G909,$C$5:$E$5,0))&lt;&gt;"","No hay nada")))</f>
        <v>#VALUE!</v>
      </c>
    </row>
    <row r="910" spans="7:8" x14ac:dyDescent="0.2">
      <c r="G910" t="e">
        <f>Tabla27[[#This Row],[Agrupación]]</f>
        <v>#VALUE!</v>
      </c>
      <c r="H910" t="e" cm="1">
        <f t="array" ref="H910">TRANSPOSE((_xlfn._xlws.FILTER(INDEX($C$6:$E$1000,,MATCH($G910,$C$5:$E$5,0)),INDEX($C$6:$E$1000,,MATCH($G910,$C$5:$E$5,0))&lt;&gt;"","No hay nada")))</f>
        <v>#VALUE!</v>
      </c>
    </row>
    <row r="911" spans="7:8" x14ac:dyDescent="0.2">
      <c r="G911" t="e">
        <f>Tabla27[[#This Row],[Agrupación]]</f>
        <v>#VALUE!</v>
      </c>
      <c r="H911" t="e" cm="1">
        <f t="array" ref="H911">TRANSPOSE((_xlfn._xlws.FILTER(INDEX($C$6:$E$1000,,MATCH($G911,$C$5:$E$5,0)),INDEX($C$6:$E$1000,,MATCH($G911,$C$5:$E$5,0))&lt;&gt;"","No hay nada")))</f>
        <v>#VALUE!</v>
      </c>
    </row>
    <row r="912" spans="7:8" x14ac:dyDescent="0.2">
      <c r="G912" t="e">
        <f>Tabla27[[#This Row],[Agrupación]]</f>
        <v>#VALUE!</v>
      </c>
      <c r="H912" t="e" cm="1">
        <f t="array" ref="H912">TRANSPOSE((_xlfn._xlws.FILTER(INDEX($C$6:$E$1000,,MATCH($G912,$C$5:$E$5,0)),INDEX($C$6:$E$1000,,MATCH($G912,$C$5:$E$5,0))&lt;&gt;"","No hay nada")))</f>
        <v>#VALUE!</v>
      </c>
    </row>
    <row r="913" spans="7:8" x14ac:dyDescent="0.2">
      <c r="G913" t="e">
        <f>Tabla27[[#This Row],[Agrupación]]</f>
        <v>#VALUE!</v>
      </c>
      <c r="H913" t="e" cm="1">
        <f t="array" ref="H913">TRANSPOSE((_xlfn._xlws.FILTER(INDEX($C$6:$E$1000,,MATCH($G913,$C$5:$E$5,0)),INDEX($C$6:$E$1000,,MATCH($G913,$C$5:$E$5,0))&lt;&gt;"","No hay nada")))</f>
        <v>#VALUE!</v>
      </c>
    </row>
    <row r="914" spans="7:8" x14ac:dyDescent="0.2">
      <c r="G914" t="e">
        <f>Tabla27[[#This Row],[Agrupación]]</f>
        <v>#VALUE!</v>
      </c>
      <c r="H914" t="e" cm="1">
        <f t="array" ref="H914">TRANSPOSE((_xlfn._xlws.FILTER(INDEX($C$6:$E$1000,,MATCH($G914,$C$5:$E$5,0)),INDEX($C$6:$E$1000,,MATCH($G914,$C$5:$E$5,0))&lt;&gt;"","No hay nada")))</f>
        <v>#VALUE!</v>
      </c>
    </row>
    <row r="915" spans="7:8" x14ac:dyDescent="0.2">
      <c r="G915" t="e">
        <f>Tabla27[[#This Row],[Agrupación]]</f>
        <v>#VALUE!</v>
      </c>
      <c r="H915" t="e" cm="1">
        <f t="array" ref="H915">TRANSPOSE((_xlfn._xlws.FILTER(INDEX($C$6:$E$1000,,MATCH($G915,$C$5:$E$5,0)),INDEX($C$6:$E$1000,,MATCH($G915,$C$5:$E$5,0))&lt;&gt;"","No hay nada")))</f>
        <v>#VALUE!</v>
      </c>
    </row>
    <row r="916" spans="7:8" x14ac:dyDescent="0.2">
      <c r="G916" t="e">
        <f>Tabla27[[#This Row],[Agrupación]]</f>
        <v>#VALUE!</v>
      </c>
      <c r="H916" t="e" cm="1">
        <f t="array" ref="H916">TRANSPOSE((_xlfn._xlws.FILTER(INDEX($C$6:$E$1000,,MATCH($G916,$C$5:$E$5,0)),INDEX($C$6:$E$1000,,MATCH($G916,$C$5:$E$5,0))&lt;&gt;"","No hay nada")))</f>
        <v>#VALUE!</v>
      </c>
    </row>
    <row r="917" spans="7:8" x14ac:dyDescent="0.2">
      <c r="G917" t="e">
        <f>Tabla27[[#This Row],[Agrupación]]</f>
        <v>#VALUE!</v>
      </c>
      <c r="H917" t="e" cm="1">
        <f t="array" ref="H917">TRANSPOSE((_xlfn._xlws.FILTER(INDEX($C$6:$E$1000,,MATCH($G917,$C$5:$E$5,0)),INDEX($C$6:$E$1000,,MATCH($G917,$C$5:$E$5,0))&lt;&gt;"","No hay nada")))</f>
        <v>#VALUE!</v>
      </c>
    </row>
    <row r="918" spans="7:8" x14ac:dyDescent="0.2">
      <c r="G918" t="e">
        <f>Tabla27[[#This Row],[Agrupación]]</f>
        <v>#VALUE!</v>
      </c>
      <c r="H918" t="e" cm="1">
        <f t="array" ref="H918">TRANSPOSE((_xlfn._xlws.FILTER(INDEX($C$6:$E$1000,,MATCH($G918,$C$5:$E$5,0)),INDEX($C$6:$E$1000,,MATCH($G918,$C$5:$E$5,0))&lt;&gt;"","No hay nada")))</f>
        <v>#VALUE!</v>
      </c>
    </row>
    <row r="919" spans="7:8" x14ac:dyDescent="0.2">
      <c r="G919" t="e">
        <f>Tabla27[[#This Row],[Agrupación]]</f>
        <v>#VALUE!</v>
      </c>
      <c r="H919" t="e" cm="1">
        <f t="array" ref="H919">TRANSPOSE((_xlfn._xlws.FILTER(INDEX($C$6:$E$1000,,MATCH($G919,$C$5:$E$5,0)),INDEX($C$6:$E$1000,,MATCH($G919,$C$5:$E$5,0))&lt;&gt;"","No hay nada")))</f>
        <v>#VALUE!</v>
      </c>
    </row>
    <row r="920" spans="7:8" x14ac:dyDescent="0.2">
      <c r="G920" t="e">
        <f>Tabla27[[#This Row],[Agrupación]]</f>
        <v>#VALUE!</v>
      </c>
      <c r="H920" t="e" cm="1">
        <f t="array" ref="H920">TRANSPOSE((_xlfn._xlws.FILTER(INDEX($C$6:$E$1000,,MATCH($G920,$C$5:$E$5,0)),INDEX($C$6:$E$1000,,MATCH($G920,$C$5:$E$5,0))&lt;&gt;"","No hay nada")))</f>
        <v>#VALUE!</v>
      </c>
    </row>
    <row r="921" spans="7:8" x14ac:dyDescent="0.2">
      <c r="G921" t="e">
        <f>Tabla27[[#This Row],[Agrupación]]</f>
        <v>#VALUE!</v>
      </c>
      <c r="H921" t="e" cm="1">
        <f t="array" ref="H921">TRANSPOSE((_xlfn._xlws.FILTER(INDEX($C$6:$E$1000,,MATCH($G921,$C$5:$E$5,0)),INDEX($C$6:$E$1000,,MATCH($G921,$C$5:$E$5,0))&lt;&gt;"","No hay nada")))</f>
        <v>#VALUE!</v>
      </c>
    </row>
    <row r="922" spans="7:8" x14ac:dyDescent="0.2">
      <c r="G922" t="e">
        <f>Tabla27[[#This Row],[Agrupación]]</f>
        <v>#VALUE!</v>
      </c>
      <c r="H922" t="e" cm="1">
        <f t="array" ref="H922">TRANSPOSE((_xlfn._xlws.FILTER(INDEX($C$6:$E$1000,,MATCH($G922,$C$5:$E$5,0)),INDEX($C$6:$E$1000,,MATCH($G922,$C$5:$E$5,0))&lt;&gt;"","No hay nada")))</f>
        <v>#VALUE!</v>
      </c>
    </row>
    <row r="923" spans="7:8" x14ac:dyDescent="0.2">
      <c r="G923" t="e">
        <f>Tabla27[[#This Row],[Agrupación]]</f>
        <v>#VALUE!</v>
      </c>
      <c r="H923" t="e" cm="1">
        <f t="array" ref="H923">TRANSPOSE((_xlfn._xlws.FILTER(INDEX($C$6:$E$1000,,MATCH($G923,$C$5:$E$5,0)),INDEX($C$6:$E$1000,,MATCH($G923,$C$5:$E$5,0))&lt;&gt;"","No hay nada")))</f>
        <v>#VALUE!</v>
      </c>
    </row>
    <row r="924" spans="7:8" x14ac:dyDescent="0.2">
      <c r="G924" t="e">
        <f>Tabla27[[#This Row],[Agrupación]]</f>
        <v>#VALUE!</v>
      </c>
      <c r="H924" t="e" cm="1">
        <f t="array" ref="H924">TRANSPOSE((_xlfn._xlws.FILTER(INDEX($C$6:$E$1000,,MATCH($G924,$C$5:$E$5,0)),INDEX($C$6:$E$1000,,MATCH($G924,$C$5:$E$5,0))&lt;&gt;"","No hay nada")))</f>
        <v>#VALUE!</v>
      </c>
    </row>
    <row r="925" spans="7:8" x14ac:dyDescent="0.2">
      <c r="G925" t="e">
        <f>Tabla27[[#This Row],[Agrupación]]</f>
        <v>#VALUE!</v>
      </c>
      <c r="H925" t="e" cm="1">
        <f t="array" ref="H925">TRANSPOSE((_xlfn._xlws.FILTER(INDEX($C$6:$E$1000,,MATCH($G925,$C$5:$E$5,0)),INDEX($C$6:$E$1000,,MATCH($G925,$C$5:$E$5,0))&lt;&gt;"","No hay nada")))</f>
        <v>#VALUE!</v>
      </c>
    </row>
    <row r="926" spans="7:8" x14ac:dyDescent="0.2">
      <c r="G926" t="e">
        <f>Tabla27[[#This Row],[Agrupación]]</f>
        <v>#VALUE!</v>
      </c>
      <c r="H926" t="e" cm="1">
        <f t="array" ref="H926">TRANSPOSE((_xlfn._xlws.FILTER(INDEX($C$6:$E$1000,,MATCH($G926,$C$5:$E$5,0)),INDEX($C$6:$E$1000,,MATCH($G926,$C$5:$E$5,0))&lt;&gt;"","No hay nada")))</f>
        <v>#VALUE!</v>
      </c>
    </row>
    <row r="927" spans="7:8" x14ac:dyDescent="0.2">
      <c r="G927" t="e">
        <f>Tabla27[[#This Row],[Agrupación]]</f>
        <v>#VALUE!</v>
      </c>
      <c r="H927" t="e" cm="1">
        <f t="array" ref="H927">TRANSPOSE((_xlfn._xlws.FILTER(INDEX($C$6:$E$1000,,MATCH($G927,$C$5:$E$5,0)),INDEX($C$6:$E$1000,,MATCH($G927,$C$5:$E$5,0))&lt;&gt;"","No hay nada")))</f>
        <v>#VALUE!</v>
      </c>
    </row>
    <row r="928" spans="7:8" x14ac:dyDescent="0.2">
      <c r="G928" t="e">
        <f>Tabla27[[#This Row],[Agrupación]]</f>
        <v>#VALUE!</v>
      </c>
      <c r="H928" t="e" cm="1">
        <f t="array" ref="H928">TRANSPOSE((_xlfn._xlws.FILTER(INDEX($C$6:$E$1000,,MATCH($G928,$C$5:$E$5,0)),INDEX($C$6:$E$1000,,MATCH($G928,$C$5:$E$5,0))&lt;&gt;"","No hay nada")))</f>
        <v>#VALUE!</v>
      </c>
    </row>
    <row r="929" spans="7:8" x14ac:dyDescent="0.2">
      <c r="G929" t="e">
        <f>Tabla27[[#This Row],[Agrupación]]</f>
        <v>#VALUE!</v>
      </c>
      <c r="H929" t="e" cm="1">
        <f t="array" ref="H929">TRANSPOSE((_xlfn._xlws.FILTER(INDEX($C$6:$E$1000,,MATCH($G929,$C$5:$E$5,0)),INDEX($C$6:$E$1000,,MATCH($G929,$C$5:$E$5,0))&lt;&gt;"","No hay nada")))</f>
        <v>#VALUE!</v>
      </c>
    </row>
    <row r="930" spans="7:8" x14ac:dyDescent="0.2">
      <c r="G930" t="e">
        <f>Tabla27[[#This Row],[Agrupación]]</f>
        <v>#VALUE!</v>
      </c>
      <c r="H930" t="e" cm="1">
        <f t="array" ref="H930">TRANSPOSE((_xlfn._xlws.FILTER(INDEX($C$6:$E$1000,,MATCH($G930,$C$5:$E$5,0)),INDEX($C$6:$E$1000,,MATCH($G930,$C$5:$E$5,0))&lt;&gt;"","No hay nada")))</f>
        <v>#VALUE!</v>
      </c>
    </row>
    <row r="931" spans="7:8" x14ac:dyDescent="0.2">
      <c r="G931" t="e">
        <f>Tabla27[[#This Row],[Agrupación]]</f>
        <v>#VALUE!</v>
      </c>
      <c r="H931" t="e" cm="1">
        <f t="array" ref="H931">TRANSPOSE((_xlfn._xlws.FILTER(INDEX($C$6:$E$1000,,MATCH($G931,$C$5:$E$5,0)),INDEX($C$6:$E$1000,,MATCH($G931,$C$5:$E$5,0))&lt;&gt;"","No hay nada")))</f>
        <v>#VALUE!</v>
      </c>
    </row>
    <row r="932" spans="7:8" x14ac:dyDescent="0.2">
      <c r="G932" t="e">
        <f>Tabla27[[#This Row],[Agrupación]]</f>
        <v>#VALUE!</v>
      </c>
      <c r="H932" t="e" cm="1">
        <f t="array" ref="H932">TRANSPOSE((_xlfn._xlws.FILTER(INDEX($C$6:$E$1000,,MATCH($G932,$C$5:$E$5,0)),INDEX($C$6:$E$1000,,MATCH($G932,$C$5:$E$5,0))&lt;&gt;"","No hay nada")))</f>
        <v>#VALUE!</v>
      </c>
    </row>
    <row r="933" spans="7:8" x14ac:dyDescent="0.2">
      <c r="G933" t="e">
        <f>Tabla27[[#This Row],[Agrupación]]</f>
        <v>#VALUE!</v>
      </c>
      <c r="H933" t="e" cm="1">
        <f t="array" ref="H933">TRANSPOSE((_xlfn._xlws.FILTER(INDEX($C$6:$E$1000,,MATCH($G933,$C$5:$E$5,0)),INDEX($C$6:$E$1000,,MATCH($G933,$C$5:$E$5,0))&lt;&gt;"","No hay nada")))</f>
        <v>#VALUE!</v>
      </c>
    </row>
    <row r="934" spans="7:8" x14ac:dyDescent="0.2">
      <c r="G934" t="e">
        <f>Tabla27[[#This Row],[Agrupación]]</f>
        <v>#VALUE!</v>
      </c>
      <c r="H934" t="e" cm="1">
        <f t="array" ref="H934">TRANSPOSE((_xlfn._xlws.FILTER(INDEX($C$6:$E$1000,,MATCH($G934,$C$5:$E$5,0)),INDEX($C$6:$E$1000,,MATCH($G934,$C$5:$E$5,0))&lt;&gt;"","No hay nada")))</f>
        <v>#VALUE!</v>
      </c>
    </row>
    <row r="935" spans="7:8" x14ac:dyDescent="0.2">
      <c r="G935" t="e">
        <f>Tabla27[[#This Row],[Agrupación]]</f>
        <v>#VALUE!</v>
      </c>
      <c r="H935" t="e" cm="1">
        <f t="array" ref="H935">TRANSPOSE((_xlfn._xlws.FILTER(INDEX($C$6:$E$1000,,MATCH($G935,$C$5:$E$5,0)),INDEX($C$6:$E$1000,,MATCH($G935,$C$5:$E$5,0))&lt;&gt;"","No hay nada")))</f>
        <v>#VALUE!</v>
      </c>
    </row>
    <row r="936" spans="7:8" x14ac:dyDescent="0.2">
      <c r="G936" t="e">
        <f>Tabla27[[#This Row],[Agrupación]]</f>
        <v>#VALUE!</v>
      </c>
      <c r="H936" t="e" cm="1">
        <f t="array" ref="H936">TRANSPOSE((_xlfn._xlws.FILTER(INDEX($C$6:$E$1000,,MATCH($G936,$C$5:$E$5,0)),INDEX($C$6:$E$1000,,MATCH($G936,$C$5:$E$5,0))&lt;&gt;"","No hay nada")))</f>
        <v>#VALUE!</v>
      </c>
    </row>
    <row r="937" spans="7:8" x14ac:dyDescent="0.2">
      <c r="G937" t="e">
        <f>Tabla27[[#This Row],[Agrupación]]</f>
        <v>#VALUE!</v>
      </c>
      <c r="H937" t="e" cm="1">
        <f t="array" ref="H937">TRANSPOSE((_xlfn._xlws.FILTER(INDEX($C$6:$E$1000,,MATCH($G937,$C$5:$E$5,0)),INDEX($C$6:$E$1000,,MATCH($G937,$C$5:$E$5,0))&lt;&gt;"","No hay nada")))</f>
        <v>#VALUE!</v>
      </c>
    </row>
    <row r="938" spans="7:8" x14ac:dyDescent="0.2">
      <c r="G938" t="e">
        <f>Tabla27[[#This Row],[Agrupación]]</f>
        <v>#VALUE!</v>
      </c>
      <c r="H938" t="e" cm="1">
        <f t="array" ref="H938">TRANSPOSE((_xlfn._xlws.FILTER(INDEX($C$6:$E$1000,,MATCH($G938,$C$5:$E$5,0)),INDEX($C$6:$E$1000,,MATCH($G938,$C$5:$E$5,0))&lt;&gt;"","No hay nada")))</f>
        <v>#VALUE!</v>
      </c>
    </row>
    <row r="939" spans="7:8" x14ac:dyDescent="0.2">
      <c r="G939" t="e">
        <f>Tabla27[[#This Row],[Agrupación]]</f>
        <v>#VALUE!</v>
      </c>
      <c r="H939" t="e" cm="1">
        <f t="array" ref="H939">TRANSPOSE((_xlfn._xlws.FILTER(INDEX($C$6:$E$1000,,MATCH($G939,$C$5:$E$5,0)),INDEX($C$6:$E$1000,,MATCH($G939,$C$5:$E$5,0))&lt;&gt;"","No hay nada")))</f>
        <v>#VALUE!</v>
      </c>
    </row>
    <row r="940" spans="7:8" x14ac:dyDescent="0.2">
      <c r="G940" t="e">
        <f>Tabla27[[#This Row],[Agrupación]]</f>
        <v>#VALUE!</v>
      </c>
      <c r="H940" t="e" cm="1">
        <f t="array" ref="H940">TRANSPOSE((_xlfn._xlws.FILTER(INDEX($C$6:$E$1000,,MATCH($G940,$C$5:$E$5,0)),INDEX($C$6:$E$1000,,MATCH($G940,$C$5:$E$5,0))&lt;&gt;"","No hay nada")))</f>
        <v>#VALUE!</v>
      </c>
    </row>
    <row r="941" spans="7:8" x14ac:dyDescent="0.2">
      <c r="G941" t="e">
        <f>Tabla27[[#This Row],[Agrupación]]</f>
        <v>#VALUE!</v>
      </c>
      <c r="H941" t="e" cm="1">
        <f t="array" ref="H941">TRANSPOSE((_xlfn._xlws.FILTER(INDEX($C$6:$E$1000,,MATCH($G941,$C$5:$E$5,0)),INDEX($C$6:$E$1000,,MATCH($G941,$C$5:$E$5,0))&lt;&gt;"","No hay nada")))</f>
        <v>#VALUE!</v>
      </c>
    </row>
    <row r="942" spans="7:8" x14ac:dyDescent="0.2">
      <c r="G942" t="e">
        <f>Tabla27[[#This Row],[Agrupación]]</f>
        <v>#VALUE!</v>
      </c>
      <c r="H942" t="e" cm="1">
        <f t="array" ref="H942">TRANSPOSE((_xlfn._xlws.FILTER(INDEX($C$6:$E$1000,,MATCH($G942,$C$5:$E$5,0)),INDEX($C$6:$E$1000,,MATCH($G942,$C$5:$E$5,0))&lt;&gt;"","No hay nada")))</f>
        <v>#VALUE!</v>
      </c>
    </row>
    <row r="943" spans="7:8" x14ac:dyDescent="0.2">
      <c r="G943" t="e">
        <f>Tabla27[[#This Row],[Agrupación]]</f>
        <v>#VALUE!</v>
      </c>
      <c r="H943" t="e" cm="1">
        <f t="array" ref="H943">TRANSPOSE((_xlfn._xlws.FILTER(INDEX($C$6:$E$1000,,MATCH($G943,$C$5:$E$5,0)),INDEX($C$6:$E$1000,,MATCH($G943,$C$5:$E$5,0))&lt;&gt;"","No hay nada")))</f>
        <v>#VALUE!</v>
      </c>
    </row>
    <row r="944" spans="7:8" x14ac:dyDescent="0.2">
      <c r="G944" t="e">
        <f>Tabla27[[#This Row],[Agrupación]]</f>
        <v>#VALUE!</v>
      </c>
      <c r="H944" t="e" cm="1">
        <f t="array" ref="H944">TRANSPOSE((_xlfn._xlws.FILTER(INDEX($C$6:$E$1000,,MATCH($G944,$C$5:$E$5,0)),INDEX($C$6:$E$1000,,MATCH($G944,$C$5:$E$5,0))&lt;&gt;"","No hay nada")))</f>
        <v>#VALUE!</v>
      </c>
    </row>
    <row r="945" spans="7:8" x14ac:dyDescent="0.2">
      <c r="G945" t="e">
        <f>Tabla27[[#This Row],[Agrupación]]</f>
        <v>#VALUE!</v>
      </c>
      <c r="H945" t="e" cm="1">
        <f t="array" ref="H945">TRANSPOSE((_xlfn._xlws.FILTER(INDEX($C$6:$E$1000,,MATCH($G945,$C$5:$E$5,0)),INDEX($C$6:$E$1000,,MATCH($G945,$C$5:$E$5,0))&lt;&gt;"","No hay nada")))</f>
        <v>#VALUE!</v>
      </c>
    </row>
    <row r="946" spans="7:8" x14ac:dyDescent="0.2">
      <c r="G946" t="e">
        <f>Tabla27[[#This Row],[Agrupación]]</f>
        <v>#VALUE!</v>
      </c>
      <c r="H946" t="e" cm="1">
        <f t="array" ref="H946">TRANSPOSE((_xlfn._xlws.FILTER(INDEX($C$6:$E$1000,,MATCH($G946,$C$5:$E$5,0)),INDEX($C$6:$E$1000,,MATCH($G946,$C$5:$E$5,0))&lt;&gt;"","No hay nada")))</f>
        <v>#VALUE!</v>
      </c>
    </row>
    <row r="947" spans="7:8" x14ac:dyDescent="0.2">
      <c r="G947" t="e">
        <f>Tabla27[[#This Row],[Agrupación]]</f>
        <v>#VALUE!</v>
      </c>
      <c r="H947" t="e" cm="1">
        <f t="array" ref="H947">TRANSPOSE((_xlfn._xlws.FILTER(INDEX($C$6:$E$1000,,MATCH($G947,$C$5:$E$5,0)),INDEX($C$6:$E$1000,,MATCH($G947,$C$5:$E$5,0))&lt;&gt;"","No hay nada")))</f>
        <v>#VALUE!</v>
      </c>
    </row>
    <row r="948" spans="7:8" x14ac:dyDescent="0.2">
      <c r="G948" t="e">
        <f>Tabla27[[#This Row],[Agrupación]]</f>
        <v>#VALUE!</v>
      </c>
      <c r="H948" t="e" cm="1">
        <f t="array" ref="H948">TRANSPOSE((_xlfn._xlws.FILTER(INDEX($C$6:$E$1000,,MATCH($G948,$C$5:$E$5,0)),INDEX($C$6:$E$1000,,MATCH($G948,$C$5:$E$5,0))&lt;&gt;"","No hay nada")))</f>
        <v>#VALUE!</v>
      </c>
    </row>
    <row r="949" spans="7:8" x14ac:dyDescent="0.2">
      <c r="G949" t="e">
        <f>Tabla27[[#This Row],[Agrupación]]</f>
        <v>#VALUE!</v>
      </c>
      <c r="H949" t="e" cm="1">
        <f t="array" ref="H949">TRANSPOSE((_xlfn._xlws.FILTER(INDEX($C$6:$E$1000,,MATCH($G949,$C$5:$E$5,0)),INDEX($C$6:$E$1000,,MATCH($G949,$C$5:$E$5,0))&lt;&gt;"","No hay nada")))</f>
        <v>#VALUE!</v>
      </c>
    </row>
    <row r="950" spans="7:8" x14ac:dyDescent="0.2">
      <c r="G950" t="e">
        <f>Tabla27[[#This Row],[Agrupación]]</f>
        <v>#VALUE!</v>
      </c>
      <c r="H950" t="e" cm="1">
        <f t="array" ref="H950">TRANSPOSE((_xlfn._xlws.FILTER(INDEX($C$6:$E$1000,,MATCH($G950,$C$5:$E$5,0)),INDEX($C$6:$E$1000,,MATCH($G950,$C$5:$E$5,0))&lt;&gt;"","No hay nada")))</f>
        <v>#VALUE!</v>
      </c>
    </row>
    <row r="951" spans="7:8" x14ac:dyDescent="0.2">
      <c r="G951" t="e">
        <f>Tabla27[[#This Row],[Agrupación]]</f>
        <v>#VALUE!</v>
      </c>
      <c r="H951" t="e" cm="1">
        <f t="array" ref="H951">TRANSPOSE((_xlfn._xlws.FILTER(INDEX($C$6:$E$1000,,MATCH($G951,$C$5:$E$5,0)),INDEX($C$6:$E$1000,,MATCH($G951,$C$5:$E$5,0))&lt;&gt;"","No hay nada")))</f>
        <v>#VALUE!</v>
      </c>
    </row>
    <row r="952" spans="7:8" x14ac:dyDescent="0.2">
      <c r="G952" t="e">
        <f>Tabla27[[#This Row],[Agrupación]]</f>
        <v>#VALUE!</v>
      </c>
      <c r="H952" t="e" cm="1">
        <f t="array" ref="H952">TRANSPOSE((_xlfn._xlws.FILTER(INDEX($C$6:$E$1000,,MATCH($G952,$C$5:$E$5,0)),INDEX($C$6:$E$1000,,MATCH($G952,$C$5:$E$5,0))&lt;&gt;"","No hay nada")))</f>
        <v>#VALUE!</v>
      </c>
    </row>
    <row r="953" spans="7:8" x14ac:dyDescent="0.2">
      <c r="G953" t="e">
        <f>Tabla27[[#This Row],[Agrupación]]</f>
        <v>#VALUE!</v>
      </c>
      <c r="H953" t="e" cm="1">
        <f t="array" ref="H953">TRANSPOSE((_xlfn._xlws.FILTER(INDEX($C$6:$E$1000,,MATCH($G953,$C$5:$E$5,0)),INDEX($C$6:$E$1000,,MATCH($G953,$C$5:$E$5,0))&lt;&gt;"","No hay nada")))</f>
        <v>#VALUE!</v>
      </c>
    </row>
    <row r="954" spans="7:8" x14ac:dyDescent="0.2">
      <c r="G954" t="e">
        <f>Tabla27[[#This Row],[Agrupación]]</f>
        <v>#VALUE!</v>
      </c>
      <c r="H954" t="e" cm="1">
        <f t="array" ref="H954">TRANSPOSE((_xlfn._xlws.FILTER(INDEX($C$6:$E$1000,,MATCH($G954,$C$5:$E$5,0)),INDEX($C$6:$E$1000,,MATCH($G954,$C$5:$E$5,0))&lt;&gt;"","No hay nada")))</f>
        <v>#VALUE!</v>
      </c>
    </row>
    <row r="955" spans="7:8" x14ac:dyDescent="0.2">
      <c r="G955" t="e">
        <f>Tabla27[[#This Row],[Agrupación]]</f>
        <v>#VALUE!</v>
      </c>
      <c r="H955" t="e" cm="1">
        <f t="array" ref="H955">TRANSPOSE((_xlfn._xlws.FILTER(INDEX($C$6:$E$1000,,MATCH($G955,$C$5:$E$5,0)),INDEX($C$6:$E$1000,,MATCH($G955,$C$5:$E$5,0))&lt;&gt;"","No hay nada")))</f>
        <v>#VALUE!</v>
      </c>
    </row>
    <row r="956" spans="7:8" x14ac:dyDescent="0.2">
      <c r="G956" t="e">
        <f>Tabla27[[#This Row],[Agrupación]]</f>
        <v>#VALUE!</v>
      </c>
      <c r="H956" t="e" cm="1">
        <f t="array" ref="H956">TRANSPOSE((_xlfn._xlws.FILTER(INDEX($C$6:$E$1000,,MATCH($G956,$C$5:$E$5,0)),INDEX($C$6:$E$1000,,MATCH($G956,$C$5:$E$5,0))&lt;&gt;"","No hay nada")))</f>
        <v>#VALUE!</v>
      </c>
    </row>
    <row r="957" spans="7:8" x14ac:dyDescent="0.2">
      <c r="G957" t="e">
        <f>Tabla27[[#This Row],[Agrupación]]</f>
        <v>#VALUE!</v>
      </c>
      <c r="H957" t="e" cm="1">
        <f t="array" ref="H957">TRANSPOSE((_xlfn._xlws.FILTER(INDEX($C$6:$E$1000,,MATCH($G957,$C$5:$E$5,0)),INDEX($C$6:$E$1000,,MATCH($G957,$C$5:$E$5,0))&lt;&gt;"","No hay nada")))</f>
        <v>#VALUE!</v>
      </c>
    </row>
    <row r="958" spans="7:8" x14ac:dyDescent="0.2">
      <c r="G958" t="e">
        <f>Tabla27[[#This Row],[Agrupación]]</f>
        <v>#VALUE!</v>
      </c>
      <c r="H958" t="e" cm="1">
        <f t="array" ref="H958">TRANSPOSE((_xlfn._xlws.FILTER(INDEX($C$6:$E$1000,,MATCH($G958,$C$5:$E$5,0)),INDEX($C$6:$E$1000,,MATCH($G958,$C$5:$E$5,0))&lt;&gt;"","No hay nada")))</f>
        <v>#VALUE!</v>
      </c>
    </row>
    <row r="959" spans="7:8" x14ac:dyDescent="0.2">
      <c r="G959" t="e">
        <f>Tabla27[[#This Row],[Agrupación]]</f>
        <v>#VALUE!</v>
      </c>
      <c r="H959" t="e" cm="1">
        <f t="array" ref="H959">TRANSPOSE((_xlfn._xlws.FILTER(INDEX($C$6:$E$1000,,MATCH($G959,$C$5:$E$5,0)),INDEX($C$6:$E$1000,,MATCH($G959,$C$5:$E$5,0))&lt;&gt;"","No hay nada")))</f>
        <v>#VALUE!</v>
      </c>
    </row>
    <row r="960" spans="7:8" x14ac:dyDescent="0.2">
      <c r="G960" t="e">
        <f>Tabla27[[#This Row],[Agrupación]]</f>
        <v>#VALUE!</v>
      </c>
      <c r="H960" t="e" cm="1">
        <f t="array" ref="H960">TRANSPOSE((_xlfn._xlws.FILTER(INDEX($C$6:$E$1000,,MATCH($G960,$C$5:$E$5,0)),INDEX($C$6:$E$1000,,MATCH($G960,$C$5:$E$5,0))&lt;&gt;"","No hay nada")))</f>
        <v>#VALUE!</v>
      </c>
    </row>
    <row r="961" spans="7:8" x14ac:dyDescent="0.2">
      <c r="G961" t="e">
        <f>Tabla27[[#This Row],[Agrupación]]</f>
        <v>#VALUE!</v>
      </c>
      <c r="H961" t="e" cm="1">
        <f t="array" ref="H961">TRANSPOSE((_xlfn._xlws.FILTER(INDEX($C$6:$E$1000,,MATCH($G961,$C$5:$E$5,0)),INDEX($C$6:$E$1000,,MATCH($G961,$C$5:$E$5,0))&lt;&gt;"","No hay nada")))</f>
        <v>#VALUE!</v>
      </c>
    </row>
    <row r="962" spans="7:8" x14ac:dyDescent="0.2">
      <c r="G962" t="e">
        <f>Tabla27[[#This Row],[Agrupación]]</f>
        <v>#VALUE!</v>
      </c>
      <c r="H962" t="e" cm="1">
        <f t="array" ref="H962">TRANSPOSE((_xlfn._xlws.FILTER(INDEX($C$6:$E$1000,,MATCH($G962,$C$5:$E$5,0)),INDEX($C$6:$E$1000,,MATCH($G962,$C$5:$E$5,0))&lt;&gt;"","No hay nada")))</f>
        <v>#VALUE!</v>
      </c>
    </row>
    <row r="963" spans="7:8" x14ac:dyDescent="0.2">
      <c r="G963" t="e">
        <f>Tabla27[[#This Row],[Agrupación]]</f>
        <v>#VALUE!</v>
      </c>
      <c r="H963" t="e" cm="1">
        <f t="array" ref="H963">TRANSPOSE((_xlfn._xlws.FILTER(INDEX($C$6:$E$1000,,MATCH($G963,$C$5:$E$5,0)),INDEX($C$6:$E$1000,,MATCH($G963,$C$5:$E$5,0))&lt;&gt;"","No hay nada")))</f>
        <v>#VALUE!</v>
      </c>
    </row>
    <row r="964" spans="7:8" x14ac:dyDescent="0.2">
      <c r="G964" t="e">
        <f>Tabla27[[#This Row],[Agrupación]]</f>
        <v>#VALUE!</v>
      </c>
      <c r="H964" t="e" cm="1">
        <f t="array" ref="H964">TRANSPOSE((_xlfn._xlws.FILTER(INDEX($C$6:$E$1000,,MATCH($G964,$C$5:$E$5,0)),INDEX($C$6:$E$1000,,MATCH($G964,$C$5:$E$5,0))&lt;&gt;"","No hay nada")))</f>
        <v>#VALUE!</v>
      </c>
    </row>
    <row r="965" spans="7:8" x14ac:dyDescent="0.2">
      <c r="G965" t="e">
        <f>Tabla27[[#This Row],[Agrupación]]</f>
        <v>#VALUE!</v>
      </c>
      <c r="H965" t="e" cm="1">
        <f t="array" ref="H965">TRANSPOSE((_xlfn._xlws.FILTER(INDEX($C$6:$E$1000,,MATCH($G965,$C$5:$E$5,0)),INDEX($C$6:$E$1000,,MATCH($G965,$C$5:$E$5,0))&lt;&gt;"","No hay nada")))</f>
        <v>#VALUE!</v>
      </c>
    </row>
    <row r="966" spans="7:8" x14ac:dyDescent="0.2">
      <c r="G966" t="e">
        <f>Tabla27[[#This Row],[Agrupación]]</f>
        <v>#VALUE!</v>
      </c>
      <c r="H966" t="e" cm="1">
        <f t="array" ref="H966">TRANSPOSE((_xlfn._xlws.FILTER(INDEX($C$6:$E$1000,,MATCH($G966,$C$5:$E$5,0)),INDEX($C$6:$E$1000,,MATCH($G966,$C$5:$E$5,0))&lt;&gt;"","No hay nada")))</f>
        <v>#VALUE!</v>
      </c>
    </row>
    <row r="967" spans="7:8" x14ac:dyDescent="0.2">
      <c r="G967" t="e">
        <f>Tabla27[[#This Row],[Agrupación]]</f>
        <v>#VALUE!</v>
      </c>
      <c r="H967" t="e" cm="1">
        <f t="array" ref="H967">TRANSPOSE((_xlfn._xlws.FILTER(INDEX($C$6:$E$1000,,MATCH($G967,$C$5:$E$5,0)),INDEX($C$6:$E$1000,,MATCH($G967,$C$5:$E$5,0))&lt;&gt;"","No hay nada")))</f>
        <v>#VALUE!</v>
      </c>
    </row>
    <row r="968" spans="7:8" x14ac:dyDescent="0.2">
      <c r="G968" t="e">
        <f>Tabla27[[#This Row],[Agrupación]]</f>
        <v>#VALUE!</v>
      </c>
      <c r="H968" t="e" cm="1">
        <f t="array" ref="H968">TRANSPOSE((_xlfn._xlws.FILTER(INDEX($C$6:$E$1000,,MATCH($G968,$C$5:$E$5,0)),INDEX($C$6:$E$1000,,MATCH($G968,$C$5:$E$5,0))&lt;&gt;"","No hay nada")))</f>
        <v>#VALUE!</v>
      </c>
    </row>
    <row r="969" spans="7:8" x14ac:dyDescent="0.2">
      <c r="G969" t="e">
        <f>Tabla27[[#This Row],[Agrupación]]</f>
        <v>#VALUE!</v>
      </c>
      <c r="H969" t="e" cm="1">
        <f t="array" ref="H969">TRANSPOSE((_xlfn._xlws.FILTER(INDEX($C$6:$E$1000,,MATCH($G969,$C$5:$E$5,0)),INDEX($C$6:$E$1000,,MATCH($G969,$C$5:$E$5,0))&lt;&gt;"","No hay nada")))</f>
        <v>#VALUE!</v>
      </c>
    </row>
    <row r="970" spans="7:8" x14ac:dyDescent="0.2">
      <c r="G970" t="e">
        <f>Tabla27[[#This Row],[Agrupación]]</f>
        <v>#VALUE!</v>
      </c>
      <c r="H970" t="e" cm="1">
        <f t="array" ref="H970">TRANSPOSE((_xlfn._xlws.FILTER(INDEX($C$6:$E$1000,,MATCH($G970,$C$5:$E$5,0)),INDEX($C$6:$E$1000,,MATCH($G970,$C$5:$E$5,0))&lt;&gt;"","No hay nada")))</f>
        <v>#VALUE!</v>
      </c>
    </row>
    <row r="971" spans="7:8" x14ac:dyDescent="0.2">
      <c r="G971" t="e">
        <f>Tabla27[[#This Row],[Agrupación]]</f>
        <v>#VALUE!</v>
      </c>
      <c r="H971" t="e" cm="1">
        <f t="array" ref="H971">TRANSPOSE((_xlfn._xlws.FILTER(INDEX($C$6:$E$1000,,MATCH($G971,$C$5:$E$5,0)),INDEX($C$6:$E$1000,,MATCH($G971,$C$5:$E$5,0))&lt;&gt;"","No hay nada")))</f>
        <v>#VALUE!</v>
      </c>
    </row>
    <row r="972" spans="7:8" x14ac:dyDescent="0.2">
      <c r="G972" t="e">
        <f>Tabla27[[#This Row],[Agrupación]]</f>
        <v>#VALUE!</v>
      </c>
      <c r="H972" t="e" cm="1">
        <f t="array" ref="H972">TRANSPOSE((_xlfn._xlws.FILTER(INDEX($C$6:$E$1000,,MATCH($G972,$C$5:$E$5,0)),INDEX($C$6:$E$1000,,MATCH($G972,$C$5:$E$5,0))&lt;&gt;"","No hay nada")))</f>
        <v>#VALUE!</v>
      </c>
    </row>
    <row r="973" spans="7:8" x14ac:dyDescent="0.2">
      <c r="G973" t="e">
        <f>Tabla27[[#This Row],[Agrupación]]</f>
        <v>#VALUE!</v>
      </c>
      <c r="H973" t="e" cm="1">
        <f t="array" ref="H973">TRANSPOSE((_xlfn._xlws.FILTER(INDEX($C$6:$E$1000,,MATCH($G973,$C$5:$E$5,0)),INDEX($C$6:$E$1000,,MATCH($G973,$C$5:$E$5,0))&lt;&gt;"","No hay nada")))</f>
        <v>#VALUE!</v>
      </c>
    </row>
    <row r="974" spans="7:8" x14ac:dyDescent="0.2">
      <c r="G974" t="e">
        <f>Tabla27[[#This Row],[Agrupación]]</f>
        <v>#VALUE!</v>
      </c>
      <c r="H974" t="e" cm="1">
        <f t="array" ref="H974">TRANSPOSE((_xlfn._xlws.FILTER(INDEX($C$6:$E$1000,,MATCH($G974,$C$5:$E$5,0)),INDEX($C$6:$E$1000,,MATCH($G974,$C$5:$E$5,0))&lt;&gt;"","No hay nada")))</f>
        <v>#VALUE!</v>
      </c>
    </row>
    <row r="975" spans="7:8" x14ac:dyDescent="0.2">
      <c r="G975" t="e">
        <f>Tabla27[[#This Row],[Agrupación]]</f>
        <v>#VALUE!</v>
      </c>
      <c r="H975" t="e" cm="1">
        <f t="array" ref="H975">TRANSPOSE((_xlfn._xlws.FILTER(INDEX($C$6:$E$1000,,MATCH($G975,$C$5:$E$5,0)),INDEX($C$6:$E$1000,,MATCH($G975,$C$5:$E$5,0))&lt;&gt;"","No hay nada")))</f>
        <v>#VALUE!</v>
      </c>
    </row>
    <row r="976" spans="7:8" x14ac:dyDescent="0.2">
      <c r="G976" t="e">
        <f>Tabla27[[#This Row],[Agrupación]]</f>
        <v>#VALUE!</v>
      </c>
      <c r="H976" t="e" cm="1">
        <f t="array" ref="H976">TRANSPOSE((_xlfn._xlws.FILTER(INDEX($C$6:$E$1000,,MATCH($G976,$C$5:$E$5,0)),INDEX($C$6:$E$1000,,MATCH($G976,$C$5:$E$5,0))&lt;&gt;"","No hay nada")))</f>
        <v>#VALUE!</v>
      </c>
    </row>
    <row r="977" spans="7:8" x14ac:dyDescent="0.2">
      <c r="G977" t="e">
        <f>Tabla27[[#This Row],[Agrupación]]</f>
        <v>#VALUE!</v>
      </c>
      <c r="H977" t="e" cm="1">
        <f t="array" ref="H977">TRANSPOSE((_xlfn._xlws.FILTER(INDEX($C$6:$E$1000,,MATCH($G977,$C$5:$E$5,0)),INDEX($C$6:$E$1000,,MATCH($G977,$C$5:$E$5,0))&lt;&gt;"","No hay nada")))</f>
        <v>#VALUE!</v>
      </c>
    </row>
    <row r="978" spans="7:8" x14ac:dyDescent="0.2">
      <c r="G978" t="e">
        <f>Tabla27[[#This Row],[Agrupación]]</f>
        <v>#VALUE!</v>
      </c>
      <c r="H978" t="e" cm="1">
        <f t="array" ref="H978">TRANSPOSE((_xlfn._xlws.FILTER(INDEX($C$6:$E$1000,,MATCH($G978,$C$5:$E$5,0)),INDEX($C$6:$E$1000,,MATCH($G978,$C$5:$E$5,0))&lt;&gt;"","No hay nada")))</f>
        <v>#VALUE!</v>
      </c>
    </row>
    <row r="979" spans="7:8" x14ac:dyDescent="0.2">
      <c r="G979" t="e">
        <f>Tabla27[[#This Row],[Agrupación]]</f>
        <v>#VALUE!</v>
      </c>
      <c r="H979" t="e" cm="1">
        <f t="array" ref="H979">TRANSPOSE((_xlfn._xlws.FILTER(INDEX($C$6:$E$1000,,MATCH($G979,$C$5:$E$5,0)),INDEX($C$6:$E$1000,,MATCH($G979,$C$5:$E$5,0))&lt;&gt;"","No hay nada")))</f>
        <v>#VALUE!</v>
      </c>
    </row>
    <row r="980" spans="7:8" x14ac:dyDescent="0.2">
      <c r="G980" t="e">
        <f>Tabla27[[#This Row],[Agrupación]]</f>
        <v>#VALUE!</v>
      </c>
      <c r="H980" t="e" cm="1">
        <f t="array" ref="H980">TRANSPOSE((_xlfn._xlws.FILTER(INDEX($C$6:$E$1000,,MATCH($G980,$C$5:$E$5,0)),INDEX($C$6:$E$1000,,MATCH($G980,$C$5:$E$5,0))&lt;&gt;"","No hay nada")))</f>
        <v>#VALUE!</v>
      </c>
    </row>
    <row r="981" spans="7:8" x14ac:dyDescent="0.2">
      <c r="G981" t="e">
        <f>Tabla27[[#This Row],[Agrupación]]</f>
        <v>#VALUE!</v>
      </c>
      <c r="H981" t="e" cm="1">
        <f t="array" ref="H981">TRANSPOSE((_xlfn._xlws.FILTER(INDEX($C$6:$E$1000,,MATCH($G981,$C$5:$E$5,0)),INDEX($C$6:$E$1000,,MATCH($G981,$C$5:$E$5,0))&lt;&gt;"","No hay nada")))</f>
        <v>#VALUE!</v>
      </c>
    </row>
    <row r="982" spans="7:8" x14ac:dyDescent="0.2">
      <c r="G982" t="e">
        <f>Tabla27[[#This Row],[Agrupación]]</f>
        <v>#VALUE!</v>
      </c>
      <c r="H982" t="e" cm="1">
        <f t="array" ref="H982">TRANSPOSE((_xlfn._xlws.FILTER(INDEX($C$6:$E$1000,,MATCH($G982,$C$5:$E$5,0)),INDEX($C$6:$E$1000,,MATCH($G982,$C$5:$E$5,0))&lt;&gt;"","No hay nada")))</f>
        <v>#VALUE!</v>
      </c>
    </row>
    <row r="983" spans="7:8" x14ac:dyDescent="0.2">
      <c r="G983" t="e">
        <f>Tabla27[[#This Row],[Agrupación]]</f>
        <v>#VALUE!</v>
      </c>
      <c r="H983" t="e" cm="1">
        <f t="array" ref="H983">TRANSPOSE((_xlfn._xlws.FILTER(INDEX($C$6:$E$1000,,MATCH($G983,$C$5:$E$5,0)),INDEX($C$6:$E$1000,,MATCH($G983,$C$5:$E$5,0))&lt;&gt;"","No hay nada")))</f>
        <v>#VALUE!</v>
      </c>
    </row>
    <row r="984" spans="7:8" x14ac:dyDescent="0.2">
      <c r="G984" t="e">
        <f>Tabla27[[#This Row],[Agrupación]]</f>
        <v>#VALUE!</v>
      </c>
      <c r="H984" t="e" cm="1">
        <f t="array" ref="H984">TRANSPOSE((_xlfn._xlws.FILTER(INDEX($C$6:$E$1000,,MATCH($G984,$C$5:$E$5,0)),INDEX($C$6:$E$1000,,MATCH($G984,$C$5:$E$5,0))&lt;&gt;"","No hay nada")))</f>
        <v>#VALUE!</v>
      </c>
    </row>
    <row r="985" spans="7:8" x14ac:dyDescent="0.2">
      <c r="G985" t="e">
        <f>Tabla27[[#This Row],[Agrupación]]</f>
        <v>#VALUE!</v>
      </c>
      <c r="H985" t="e" cm="1">
        <f t="array" ref="H985">TRANSPOSE((_xlfn._xlws.FILTER(INDEX($C$6:$E$1000,,MATCH($G985,$C$5:$E$5,0)),INDEX($C$6:$E$1000,,MATCH($G985,$C$5:$E$5,0))&lt;&gt;"","No hay nada")))</f>
        <v>#VALUE!</v>
      </c>
    </row>
    <row r="986" spans="7:8" x14ac:dyDescent="0.2">
      <c r="G986" t="e">
        <f>Tabla27[[#This Row],[Agrupación]]</f>
        <v>#VALUE!</v>
      </c>
      <c r="H986" t="e" cm="1">
        <f t="array" ref="H986">TRANSPOSE((_xlfn._xlws.FILTER(INDEX($C$6:$E$1000,,MATCH($G986,$C$5:$E$5,0)),INDEX($C$6:$E$1000,,MATCH($G986,$C$5:$E$5,0))&lt;&gt;"","No hay nada")))</f>
        <v>#VALUE!</v>
      </c>
    </row>
    <row r="987" spans="7:8" x14ac:dyDescent="0.2">
      <c r="G987" t="e">
        <f>Tabla27[[#This Row],[Agrupación]]</f>
        <v>#VALUE!</v>
      </c>
      <c r="H987" t="e" cm="1">
        <f t="array" ref="H987">TRANSPOSE((_xlfn._xlws.FILTER(INDEX($C$6:$E$1000,,MATCH($G987,$C$5:$E$5,0)),INDEX($C$6:$E$1000,,MATCH($G987,$C$5:$E$5,0))&lt;&gt;"","No hay nada")))</f>
        <v>#VALUE!</v>
      </c>
    </row>
    <row r="988" spans="7:8" x14ac:dyDescent="0.2">
      <c r="G988" t="e">
        <f>Tabla27[[#This Row],[Agrupación]]</f>
        <v>#VALUE!</v>
      </c>
      <c r="H988" t="e" cm="1">
        <f t="array" ref="H988">TRANSPOSE((_xlfn._xlws.FILTER(INDEX($C$6:$E$1000,,MATCH($G988,$C$5:$E$5,0)),INDEX($C$6:$E$1000,,MATCH($G988,$C$5:$E$5,0))&lt;&gt;"","No hay nada")))</f>
        <v>#VALUE!</v>
      </c>
    </row>
    <row r="989" spans="7:8" x14ac:dyDescent="0.2">
      <c r="G989" t="e">
        <f>Tabla27[[#This Row],[Agrupación]]</f>
        <v>#VALUE!</v>
      </c>
      <c r="H989" t="e" cm="1">
        <f t="array" ref="H989">TRANSPOSE((_xlfn._xlws.FILTER(INDEX($C$6:$E$1000,,MATCH($G989,$C$5:$E$5,0)),INDEX($C$6:$E$1000,,MATCH($G989,$C$5:$E$5,0))&lt;&gt;"","No hay nada")))</f>
        <v>#VALUE!</v>
      </c>
    </row>
    <row r="990" spans="7:8" x14ac:dyDescent="0.2">
      <c r="G990" t="e">
        <f>Tabla27[[#This Row],[Agrupación]]</f>
        <v>#VALUE!</v>
      </c>
      <c r="H990" t="e" cm="1">
        <f t="array" ref="H990">TRANSPOSE((_xlfn._xlws.FILTER(INDEX($C$6:$E$1000,,MATCH($G990,$C$5:$E$5,0)),INDEX($C$6:$E$1000,,MATCH($G990,$C$5:$E$5,0))&lt;&gt;"","No hay nada")))</f>
        <v>#VALUE!</v>
      </c>
    </row>
    <row r="991" spans="7:8" x14ac:dyDescent="0.2">
      <c r="G991" t="e">
        <f>Tabla27[[#This Row],[Agrupación]]</f>
        <v>#VALUE!</v>
      </c>
      <c r="H991" t="e" cm="1">
        <f t="array" ref="H991">TRANSPOSE((_xlfn._xlws.FILTER(INDEX($C$6:$E$1000,,MATCH($G991,$C$5:$E$5,0)),INDEX($C$6:$E$1000,,MATCH($G991,$C$5:$E$5,0))&lt;&gt;"","No hay nada")))</f>
        <v>#VALUE!</v>
      </c>
    </row>
    <row r="992" spans="7:8" x14ac:dyDescent="0.2">
      <c r="G992" t="e">
        <f>Tabla27[[#This Row],[Agrupación]]</f>
        <v>#VALUE!</v>
      </c>
      <c r="H992" t="e" cm="1">
        <f t="array" ref="H992">TRANSPOSE((_xlfn._xlws.FILTER(INDEX($C$6:$E$1000,,MATCH($G992,$C$5:$E$5,0)),INDEX($C$6:$E$1000,,MATCH($G992,$C$5:$E$5,0))&lt;&gt;"","No hay nada")))</f>
        <v>#VALUE!</v>
      </c>
    </row>
    <row r="993" spans="7:8" x14ac:dyDescent="0.2">
      <c r="G993" t="e">
        <f>Tabla27[[#This Row],[Agrupación]]</f>
        <v>#VALUE!</v>
      </c>
      <c r="H993" t="e" cm="1">
        <f t="array" ref="H993">TRANSPOSE((_xlfn._xlws.FILTER(INDEX($C$6:$E$1000,,MATCH($G993,$C$5:$E$5,0)),INDEX($C$6:$E$1000,,MATCH($G993,$C$5:$E$5,0))&lt;&gt;"","No hay nada")))</f>
        <v>#VALUE!</v>
      </c>
    </row>
    <row r="994" spans="7:8" x14ac:dyDescent="0.2">
      <c r="G994" t="e">
        <f>Tabla27[[#This Row],[Agrupación]]</f>
        <v>#VALUE!</v>
      </c>
      <c r="H994" t="e" cm="1">
        <f t="array" ref="H994">TRANSPOSE((_xlfn._xlws.FILTER(INDEX($C$6:$E$1000,,MATCH($G994,$C$5:$E$5,0)),INDEX($C$6:$E$1000,,MATCH($G994,$C$5:$E$5,0))&lt;&gt;"","No hay nada")))</f>
        <v>#VALUE!</v>
      </c>
    </row>
    <row r="995" spans="7:8" x14ac:dyDescent="0.2">
      <c r="G995" t="e">
        <f>Tabla27[[#This Row],[Agrupación]]</f>
        <v>#VALUE!</v>
      </c>
      <c r="H995" t="e" cm="1">
        <f t="array" ref="H995">TRANSPOSE((_xlfn._xlws.FILTER(INDEX($C$6:$E$1000,,MATCH($G995,$C$5:$E$5,0)),INDEX($C$6:$E$1000,,MATCH($G995,$C$5:$E$5,0))&lt;&gt;"","No hay nada")))</f>
        <v>#VALUE!</v>
      </c>
    </row>
    <row r="996" spans="7:8" x14ac:dyDescent="0.2">
      <c r="G996" t="e">
        <f>Tabla27[[#This Row],[Agrupación]]</f>
        <v>#VALUE!</v>
      </c>
      <c r="H996" t="e" cm="1">
        <f t="array" ref="H996">TRANSPOSE((_xlfn._xlws.FILTER(INDEX($C$6:$E$1000,,MATCH($G996,$C$5:$E$5,0)),INDEX($C$6:$E$1000,,MATCH($G996,$C$5:$E$5,0))&lt;&gt;"","No hay nada")))</f>
        <v>#VALUE!</v>
      </c>
    </row>
    <row r="997" spans="7:8" x14ac:dyDescent="0.2">
      <c r="G997" t="e">
        <f>Tabla27[[#This Row],[Agrupación]]</f>
        <v>#VALUE!</v>
      </c>
      <c r="H997" t="e" cm="1">
        <f t="array" ref="H997">TRANSPOSE((_xlfn._xlws.FILTER(INDEX($C$6:$E$1000,,MATCH($G997,$C$5:$E$5,0)),INDEX($C$6:$E$1000,,MATCH($G997,$C$5:$E$5,0))&lt;&gt;"","No hay nada")))</f>
        <v>#VALUE!</v>
      </c>
    </row>
    <row r="998" spans="7:8" x14ac:dyDescent="0.2">
      <c r="G998" t="e">
        <f>Tabla27[[#This Row],[Agrupación]]</f>
        <v>#VALUE!</v>
      </c>
      <c r="H998" t="e" cm="1">
        <f t="array" ref="H998">TRANSPOSE((_xlfn._xlws.FILTER(INDEX($C$6:$E$1000,,MATCH($G998,$C$5:$E$5,0)),INDEX($C$6:$E$1000,,MATCH($G998,$C$5:$E$5,0))&lt;&gt;"","No hay nada")))</f>
        <v>#VALUE!</v>
      </c>
    </row>
    <row r="999" spans="7:8" x14ac:dyDescent="0.2">
      <c r="G999" t="e">
        <f>Tabla27[[#This Row],[Agrupación]]</f>
        <v>#VALUE!</v>
      </c>
      <c r="H999" t="e" cm="1">
        <f t="array" ref="H999">TRANSPOSE((_xlfn._xlws.FILTER(INDEX($C$6:$E$1000,,MATCH($G999,$C$5:$E$5,0)),INDEX($C$6:$E$1000,,MATCH($G999,$C$5:$E$5,0))&lt;&gt;"","No hay nada")))</f>
        <v>#VALUE!</v>
      </c>
    </row>
    <row r="1000" spans="7:8" x14ac:dyDescent="0.2">
      <c r="G1000" t="e">
        <f>Tabla27[[#This Row],[Agrupación]]</f>
        <v>#VALUE!</v>
      </c>
      <c r="H1000" t="e" cm="1">
        <f t="array" ref="H1000">TRANSPOSE((_xlfn._xlws.FILTER(INDEX($C$6:$E$1000,,MATCH($G1000,$C$5:$E$5,0)),INDEX($C$6:$E$1000,,MATCH($G1000,$C$5:$E$5,0))&lt;&gt;"","No hay nada")))</f>
        <v>#VALUE!</v>
      </c>
    </row>
  </sheetData>
  <mergeCells count="1">
    <mergeCell ref="B2:E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CEE5C197868B44BB872BA74166DDD1" ma:contentTypeVersion="4" ma:contentTypeDescription="Create a new document." ma:contentTypeScope="" ma:versionID="9c1dd8a49744eff909f4de76ddbc68ba">
  <xsd:schema xmlns:xsd="http://www.w3.org/2001/XMLSchema" xmlns:xs="http://www.w3.org/2001/XMLSchema" xmlns:p="http://schemas.microsoft.com/office/2006/metadata/properties" xmlns:ns2="37dafeb7-7fe1-4474-9d8b-3102c5510585" targetNamespace="http://schemas.microsoft.com/office/2006/metadata/properties" ma:root="true" ma:fieldsID="e063ccab58f85d66dc0e1b34ac7e9721" ns2:_="">
    <xsd:import namespace="37dafeb7-7fe1-4474-9d8b-3102c55105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dafeb7-7fe1-4474-9d8b-3102c55105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8EF0F0B-E03D-4CCB-868D-673622C5A59D}">
  <ds:schemaRefs>
    <ds:schemaRef ds:uri="http://schemas.microsoft.com/office/infopath/2007/PartnerControls"/>
    <ds:schemaRef ds:uri="http://purl.org/dc/dcmitype/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37dafeb7-7fe1-4474-9d8b-3102c551058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3097E39-F679-4CB4-89FF-8AC88073F7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B251D4E-E951-4EAB-A34A-C8B16586F5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dafeb7-7fe1-4474-9d8b-3102c55105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Datos generales</vt:lpstr>
      <vt:lpstr>Datos proyecto</vt:lpstr>
      <vt:lpstr>Resumen</vt:lpstr>
      <vt:lpstr>Desarrollo</vt:lpstr>
      <vt:lpstr>Viajes</vt:lpstr>
      <vt:lpstr>BoM</vt:lpstr>
      <vt:lpstr>Productos</vt:lpstr>
      <vt:lpstr>ProductosPivot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ignacio perez</dc:creator>
  <cp:keywords/>
  <dc:description/>
  <cp:lastModifiedBy>IGNACIO PÉREZ</cp:lastModifiedBy>
  <cp:revision/>
  <dcterms:created xsi:type="dcterms:W3CDTF">2025-01-21T12:47:23Z</dcterms:created>
  <dcterms:modified xsi:type="dcterms:W3CDTF">2025-04-29T22:36:44Z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0x0101000BCEE5C197868B44BB872BA74166DDD1</vt:lpwstr>
  </property>
  <property fmtid="{D5CDD505-2E9C-101B-9397-08002B2CF9AE}" pid="3" name="MediaServiceImageTags">
    <vt:lpwstr/>
  </property>
  <property fmtid="{D5CDD505-2E9C-101B-9397-08002B2CF9AE}" pid="4" name="Order">
    <vt:r8>299400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