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ignac\Downloads\"/>
    </mc:Choice>
  </mc:AlternateContent>
  <xr:revisionPtr revIDLastSave="0" documentId="13_ncr:1_{1A3C7E4E-7D47-49C2-A53C-235BC8DBFB40}" xr6:coauthVersionLast="47" xr6:coauthVersionMax="47" xr10:uidLastSave="{00000000-0000-0000-0000-000000000000}"/>
  <bookViews>
    <workbookView xWindow="-108" yWindow="-108" windowWidth="23256" windowHeight="12456" activeTab="2" xr2:uid="{00000000-000D-0000-FFFF-FFFF00000000}"/>
  </bookViews>
  <sheets>
    <sheet name="Datos generales" sheetId="1" r:id="rId1"/>
    <sheet name="Datos proyecto" sheetId="14" r:id="rId2"/>
    <sheet name="Desarrollo" sheetId="13" r:id="rId3"/>
    <sheet name="Resumen" sheetId="3" r:id="rId4"/>
    <sheet name="Viajes" sheetId="16" r:id="rId5"/>
    <sheet name="BoM" sheetId="11" r:id="rId6"/>
    <sheet name="Productos" sheetId="9" r:id="rId7"/>
    <sheet name="ProductosPivot" sheetId="20" state="hidden" r:id="rId8"/>
    <sheet name="PV2" sheetId="21" state="hidden" r:id="rId9"/>
  </sheets>
  <definedNames>
    <definedName name="_xleta.TYPE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XFD6" i="20" l="1"/>
  <c r="XFD6" i="20" a="1"/>
  <c r="XFC6" i="20" a="1"/>
  <c r="XFC6" i="20" s="1"/>
  <c r="XFB6" i="20"/>
  <c r="XFB6" i="20" a="1"/>
  <c r="XFA6" i="20" a="1"/>
  <c r="XFA6" i="20" s="1"/>
  <c r="XEZ6" i="20" a="1"/>
  <c r="XEZ6" i="20" s="1"/>
  <c r="XEY6" i="20" a="1"/>
  <c r="XEY6" i="20" s="1"/>
  <c r="XEX6" i="20"/>
  <c r="XEX6" i="20" a="1"/>
  <c r="XEW6" i="20" a="1"/>
  <c r="XEW6" i="20" s="1"/>
  <c r="XEV6" i="20" a="1"/>
  <c r="XEV6" i="20" s="1"/>
  <c r="XEU6" i="20" a="1"/>
  <c r="XEU6" i="20" s="1"/>
  <c r="XET6" i="20" a="1"/>
  <c r="XET6" i="20" s="1"/>
  <c r="XES6" i="20" a="1"/>
  <c r="XES6" i="20" s="1"/>
  <c r="XER6" i="20"/>
  <c r="XER6" i="20" a="1"/>
  <c r="XEQ6" i="20" a="1"/>
  <c r="XEQ6" i="20" s="1"/>
  <c r="XEP6" i="20" a="1"/>
  <c r="XEP6" i="20" s="1"/>
  <c r="XEO6" i="20"/>
  <c r="XEO6" i="20" a="1"/>
  <c r="XEN6" i="20" a="1"/>
  <c r="XEN6" i="20" s="1"/>
  <c r="XEM6" i="20" a="1"/>
  <c r="XEM6" i="20" s="1"/>
  <c r="XEL6" i="20" a="1"/>
  <c r="XEL6" i="20" s="1"/>
  <c r="XEK6" i="20" a="1"/>
  <c r="XEK6" i="20" s="1"/>
  <c r="XEJ6" i="20"/>
  <c r="XEJ6" i="20" a="1"/>
  <c r="XEI6" i="20" a="1"/>
  <c r="XEI6" i="20" s="1"/>
  <c r="XEH6" i="20" a="1"/>
  <c r="XEH6" i="20" s="1"/>
  <c r="XEG6" i="20" a="1"/>
  <c r="XEG6" i="20" s="1"/>
  <c r="XEF6" i="20"/>
  <c r="XEF6" i="20" a="1"/>
  <c r="XEE6" i="20" a="1"/>
  <c r="XEE6" i="20" s="1"/>
  <c r="XED6" i="20"/>
  <c r="XED6" i="20" a="1"/>
  <c r="XEC6" i="20" a="1"/>
  <c r="XEC6" i="20" s="1"/>
  <c r="XEB6" i="20"/>
  <c r="XEB6" i="20" a="1"/>
  <c r="XEA6" i="20"/>
  <c r="XEA6" i="20" a="1"/>
  <c r="XDZ6" i="20" a="1"/>
  <c r="XDZ6" i="20" s="1"/>
  <c r="XDY6" i="20" a="1"/>
  <c r="XDY6" i="20" s="1"/>
  <c r="XDX6" i="20" a="1"/>
  <c r="XDX6" i="20" s="1"/>
  <c r="XDW6" i="20"/>
  <c r="XDW6" i="20" a="1"/>
  <c r="XDV6" i="20" a="1"/>
  <c r="XDV6" i="20" s="1"/>
  <c r="XDU6" i="20" a="1"/>
  <c r="XDU6" i="20" s="1"/>
  <c r="XDT6" i="20"/>
  <c r="XDT6" i="20" a="1"/>
  <c r="XDS6" i="20" a="1"/>
  <c r="XDS6" i="20" s="1"/>
  <c r="XDR6" i="20" a="1"/>
  <c r="XDR6" i="20" s="1"/>
  <c r="XDQ6" i="20"/>
  <c r="XDQ6" i="20" a="1"/>
  <c r="XDP6" i="20" a="1"/>
  <c r="XDP6" i="20" s="1"/>
  <c r="XDO6" i="20"/>
  <c r="XDO6" i="20" a="1"/>
  <c r="XDN6" i="20"/>
  <c r="XDN6" i="20" a="1"/>
  <c r="XDM6" i="20" a="1"/>
  <c r="XDM6" i="20" s="1"/>
  <c r="XDL6" i="20"/>
  <c r="XDL6" i="20" a="1"/>
  <c r="XDK6" i="20" a="1"/>
  <c r="XDK6" i="20" s="1"/>
  <c r="XDJ6" i="20"/>
  <c r="XDJ6" i="20" a="1"/>
  <c r="XDI6" i="20" a="1"/>
  <c r="XDI6" i="20" s="1"/>
  <c r="XDH6" i="20" a="1"/>
  <c r="XDH6" i="20" s="1"/>
  <c r="XDG6" i="20" a="1"/>
  <c r="XDG6" i="20" s="1"/>
  <c r="XDF6" i="20"/>
  <c r="XDF6" i="20" a="1"/>
  <c r="XDE6" i="20"/>
  <c r="XDE6" i="20" a="1"/>
  <c r="XDD6" i="20"/>
  <c r="XDD6" i="20" a="1"/>
  <c r="XDC6" i="20" a="1"/>
  <c r="XDC6" i="20" s="1"/>
  <c r="XDB6" i="20"/>
  <c r="XDB6" i="20" a="1"/>
  <c r="XDA6" i="20" a="1"/>
  <c r="XDA6" i="20" s="1"/>
  <c r="XCZ6" i="20" a="1"/>
  <c r="XCZ6" i="20" s="1"/>
  <c r="XCY6" i="20"/>
  <c r="XCY6" i="20" a="1"/>
  <c r="XCX6" i="20" a="1"/>
  <c r="XCX6" i="20" s="1"/>
  <c r="XCW6" i="20"/>
  <c r="XCW6" i="20" a="1"/>
  <c r="XCV6" i="20" a="1"/>
  <c r="XCV6" i="20" s="1"/>
  <c r="XCU6" i="20" a="1"/>
  <c r="XCU6" i="20" s="1"/>
  <c r="XCT6" i="20" a="1"/>
  <c r="XCT6" i="20" s="1"/>
  <c r="XCS6" i="20"/>
  <c r="XCS6" i="20" a="1"/>
  <c r="XCR6" i="20"/>
  <c r="XCR6" i="20" a="1"/>
  <c r="XCQ6" i="20"/>
  <c r="XCQ6" i="20" a="1"/>
  <c r="XCP6" i="20" a="1"/>
  <c r="XCP6" i="20" s="1"/>
  <c r="XCO6" i="20" a="1"/>
  <c r="XCO6" i="20" s="1"/>
  <c r="XCN6" i="20" a="1"/>
  <c r="XCN6" i="20" s="1"/>
  <c r="XCM6" i="20"/>
  <c r="XCM6" i="20" a="1"/>
  <c r="XCL6" i="20" a="1"/>
  <c r="XCL6" i="20" s="1"/>
  <c r="XCK6" i="20" a="1"/>
  <c r="XCK6" i="20" s="1"/>
  <c r="XCJ6" i="20"/>
  <c r="XCJ6" i="20" a="1"/>
  <c r="XCI6" i="20" a="1"/>
  <c r="XCI6" i="20" s="1"/>
  <c r="XCH6" i="20"/>
  <c r="XCH6" i="20" a="1"/>
  <c r="XCG6" i="20" a="1"/>
  <c r="XCG6" i="20" s="1"/>
  <c r="XCF6" i="20" a="1"/>
  <c r="XCF6" i="20" s="1"/>
  <c r="XCE6" i="20" a="1"/>
  <c r="XCE6" i="20" s="1"/>
  <c r="XCD6" i="20"/>
  <c r="XCD6" i="20" a="1"/>
  <c r="XCC6" i="20" a="1"/>
  <c r="XCC6" i="20" s="1"/>
  <c r="XCB6" i="20" a="1"/>
  <c r="XCB6" i="20" s="1"/>
  <c r="XCA6" i="20" a="1"/>
  <c r="XCA6" i="20" s="1"/>
  <c r="XBZ6" i="20" a="1"/>
  <c r="XBZ6" i="20" s="1"/>
  <c r="XBY6" i="20"/>
  <c r="XBY6" i="20" a="1"/>
  <c r="XBX6" i="20" a="1"/>
  <c r="XBX6" i="20" s="1"/>
  <c r="XBW6" i="20" a="1"/>
  <c r="XBW6" i="20" s="1"/>
  <c r="XBV6" i="20" a="1"/>
  <c r="XBV6" i="20" s="1"/>
  <c r="XBU6" i="20"/>
  <c r="XBU6" i="20" a="1"/>
  <c r="XBT6" i="20"/>
  <c r="XBT6" i="20" a="1"/>
  <c r="XBS6" i="20" a="1"/>
  <c r="XBS6" i="20" s="1"/>
  <c r="XBR6" i="20"/>
  <c r="XBR6" i="20" a="1"/>
  <c r="XBQ6" i="20" a="1"/>
  <c r="XBQ6" i="20" s="1"/>
  <c r="XBP6" i="20"/>
  <c r="XBP6" i="20" a="1"/>
  <c r="XBO6" i="20" a="1"/>
  <c r="XBO6" i="20" s="1"/>
  <c r="XBN6" i="20" a="1"/>
  <c r="XBN6" i="20" s="1"/>
  <c r="XBM6" i="20"/>
  <c r="XBM6" i="20" a="1"/>
  <c r="XBL6" i="20" a="1"/>
  <c r="XBL6" i="20" s="1"/>
  <c r="XBK6" i="20" a="1"/>
  <c r="XBK6" i="20" s="1"/>
  <c r="XBJ6" i="20"/>
  <c r="XBJ6" i="20" a="1"/>
  <c r="XBI6" i="20" a="1"/>
  <c r="XBI6" i="20" s="1"/>
  <c r="XBH6" i="20"/>
  <c r="XBH6" i="20" a="1"/>
  <c r="XBG6" i="20" a="1"/>
  <c r="XBG6" i="20" s="1"/>
  <c r="XBF6" i="20"/>
  <c r="XBF6" i="20" a="1"/>
  <c r="XBE6" i="20" a="1"/>
  <c r="XBE6" i="20" s="1"/>
  <c r="XBD6" i="20" a="1"/>
  <c r="XBD6" i="20" s="1"/>
  <c r="XBC6" i="20"/>
  <c r="XBC6" i="20" a="1"/>
  <c r="XBB6" i="20" a="1"/>
  <c r="XBB6" i="20" s="1"/>
  <c r="XBA6" i="20" a="1"/>
  <c r="XBA6" i="20" s="1"/>
  <c r="XAZ6" i="20" a="1"/>
  <c r="XAZ6" i="20" s="1"/>
  <c r="XAY6" i="20" a="1"/>
  <c r="XAY6" i="20" s="1"/>
  <c r="XAX6" i="20"/>
  <c r="XAX6" i="20" a="1"/>
  <c r="XAW6" i="20"/>
  <c r="XAW6" i="20" a="1"/>
  <c r="XAV6" i="20" a="1"/>
  <c r="XAV6" i="20" s="1"/>
  <c r="XAU6" i="20" a="1"/>
  <c r="XAU6" i="20" s="1"/>
  <c r="XAT6" i="20" a="1"/>
  <c r="XAT6" i="20" s="1"/>
  <c r="XAS6" i="20" a="1"/>
  <c r="XAS6" i="20" s="1"/>
  <c r="XAR6" i="20"/>
  <c r="XAR6" i="20" a="1"/>
  <c r="XAQ6" i="20"/>
  <c r="XAQ6" i="20" a="1"/>
  <c r="XAP6" i="20"/>
  <c r="XAP6" i="20" a="1"/>
  <c r="XAO6" i="20" a="1"/>
  <c r="XAO6" i="20" s="1"/>
  <c r="XAN6" i="20"/>
  <c r="XAN6" i="20" a="1"/>
  <c r="XAM6" i="20" a="1"/>
  <c r="XAM6" i="20" s="1"/>
  <c r="XAL6" i="20"/>
  <c r="XAL6" i="20" a="1"/>
  <c r="XAK6" i="20"/>
  <c r="XAK6" i="20" a="1"/>
  <c r="XAJ6" i="20"/>
  <c r="XAJ6" i="20" a="1"/>
  <c r="XAI6" i="20" a="1"/>
  <c r="XAI6" i="20" s="1"/>
  <c r="XAH6" i="20"/>
  <c r="XAH6" i="20" a="1"/>
  <c r="XAG6" i="20" a="1"/>
  <c r="XAG6" i="20" s="1"/>
  <c r="XAF6" i="20"/>
  <c r="XAF6" i="20" a="1"/>
  <c r="XAE6" i="20"/>
  <c r="XAE6" i="20" a="1"/>
  <c r="XAD6" i="20"/>
  <c r="XAD6" i="20" a="1"/>
  <c r="XAC6" i="20"/>
  <c r="XAC6" i="20" a="1"/>
  <c r="XAB6" i="20" a="1"/>
  <c r="XAB6" i="20" s="1"/>
  <c r="XAA6" i="20" a="1"/>
  <c r="XAA6" i="20" s="1"/>
  <c r="WZZ6" i="20" a="1"/>
  <c r="WZZ6" i="20" s="1"/>
  <c r="WZY6" i="20"/>
  <c r="WZY6" i="20" a="1"/>
  <c r="WZX6" i="20"/>
  <c r="WZX6" i="20" a="1"/>
  <c r="WZW6" i="20"/>
  <c r="WZW6" i="20" a="1"/>
  <c r="WZV6" i="20" a="1"/>
  <c r="WZV6" i="20" s="1"/>
  <c r="WZU6" i="20" a="1"/>
  <c r="WZU6" i="20" s="1"/>
  <c r="WZT6" i="20" a="1"/>
  <c r="WZT6" i="20" s="1"/>
  <c r="WZS6" i="20" a="1"/>
  <c r="WZS6" i="20" s="1"/>
  <c r="WZR6" i="20"/>
  <c r="WZR6" i="20" a="1"/>
  <c r="WZQ6" i="20"/>
  <c r="WZQ6" i="20" a="1"/>
  <c r="WZP6" i="20"/>
  <c r="WZP6" i="20" a="1"/>
  <c r="WZO6" i="20" a="1"/>
  <c r="WZO6" i="20" s="1"/>
  <c r="WZN6" i="20" a="1"/>
  <c r="WZN6" i="20" s="1"/>
  <c r="WZM6" i="20"/>
  <c r="WZM6" i="20" a="1"/>
  <c r="WZL6" i="20" a="1"/>
  <c r="WZL6" i="20" s="1"/>
  <c r="WZK6" i="20"/>
  <c r="WZK6" i="20" a="1"/>
  <c r="WZJ6" i="20"/>
  <c r="WZJ6" i="20" a="1"/>
  <c r="WZI6" i="20" a="1"/>
  <c r="WZI6" i="20" s="1"/>
  <c r="WZH6" i="20" a="1"/>
  <c r="WZH6" i="20" s="1"/>
  <c r="WZG6" i="20" a="1"/>
  <c r="WZG6" i="20" s="1"/>
  <c r="WZF6" i="20"/>
  <c r="WZF6" i="20" a="1"/>
  <c r="WZE6" i="20" a="1"/>
  <c r="WZE6" i="20" s="1"/>
  <c r="WZD6" i="20" a="1"/>
  <c r="WZD6" i="20" s="1"/>
  <c r="WZC6" i="20" a="1"/>
  <c r="WZC6" i="20" s="1"/>
  <c r="WZB6" i="20" a="1"/>
  <c r="WZB6" i="20" s="1"/>
  <c r="WZA6" i="20"/>
  <c r="WZA6" i="20" a="1"/>
  <c r="WYZ6" i="20" a="1"/>
  <c r="WYZ6" i="20" s="1"/>
  <c r="WYY6" i="20"/>
  <c r="WYY6" i="20" a="1"/>
  <c r="WYX6" i="20"/>
  <c r="WYX6" i="20" a="1"/>
  <c r="WYW6" i="20" a="1"/>
  <c r="WYW6" i="20" s="1"/>
  <c r="WYV6" i="20"/>
  <c r="WYV6" i="20" a="1"/>
  <c r="WYU6" i="20" a="1"/>
  <c r="WYU6" i="20" s="1"/>
  <c r="WYT6" i="20"/>
  <c r="WYT6" i="20" a="1"/>
  <c r="WYS6" i="20" a="1"/>
  <c r="WYS6" i="20" s="1"/>
  <c r="WYR6" i="20"/>
  <c r="WYR6" i="20" a="1"/>
  <c r="WYQ6" i="20" a="1"/>
  <c r="WYQ6" i="20" s="1"/>
  <c r="WYP6" i="20"/>
  <c r="WYP6" i="20" a="1"/>
  <c r="WYO6" i="20" a="1"/>
  <c r="WYO6" i="20" s="1"/>
  <c r="WYN6" i="20" a="1"/>
  <c r="WYN6" i="20" s="1"/>
  <c r="WYM6" i="20"/>
  <c r="WYM6" i="20" a="1"/>
  <c r="WYL6" i="20" a="1"/>
  <c r="WYL6" i="20" s="1"/>
  <c r="WYK6" i="20" a="1"/>
  <c r="WYK6" i="20" s="1"/>
  <c r="WYJ6" i="20" a="1"/>
  <c r="WYJ6" i="20" s="1"/>
  <c r="WYI6" i="20"/>
  <c r="WYI6" i="20" a="1"/>
  <c r="WYH6" i="20" a="1"/>
  <c r="WYH6" i="20" s="1"/>
  <c r="WYG6" i="20" a="1"/>
  <c r="WYG6" i="20" s="1"/>
  <c r="WYF6" i="20"/>
  <c r="WYF6" i="20" a="1"/>
  <c r="WYE6" i="20" a="1"/>
  <c r="WYE6" i="20" s="1"/>
  <c r="WYD6" i="20" a="1"/>
  <c r="WYD6" i="20" s="1"/>
  <c r="WYC6" i="20"/>
  <c r="WYC6" i="20" a="1"/>
  <c r="WYB6" i="20" a="1"/>
  <c r="WYB6" i="20" s="1"/>
  <c r="WYA6" i="20" a="1"/>
  <c r="WYA6" i="20" s="1"/>
  <c r="WXZ6" i="20" a="1"/>
  <c r="WXZ6" i="20" s="1"/>
  <c r="WXY6" i="20" a="1"/>
  <c r="WXY6" i="20" s="1"/>
  <c r="WXX6" i="20"/>
  <c r="WXX6" i="20" a="1"/>
  <c r="WXW6" i="20" a="1"/>
  <c r="WXW6" i="20" s="1"/>
  <c r="WXV6" i="20"/>
  <c r="WXV6" i="20" a="1"/>
  <c r="WXU6" i="20" a="1"/>
  <c r="WXU6" i="20" s="1"/>
  <c r="WXT6" i="20"/>
  <c r="WXT6" i="20" a="1"/>
  <c r="WXS6" i="20" a="1"/>
  <c r="WXS6" i="20" s="1"/>
  <c r="WXR6" i="20" a="1"/>
  <c r="WXR6" i="20" s="1"/>
  <c r="WXQ6" i="20"/>
  <c r="WXQ6" i="20" a="1"/>
  <c r="WXP6" i="20"/>
  <c r="WXP6" i="20" a="1"/>
  <c r="WXO6" i="20" a="1"/>
  <c r="WXO6" i="20" s="1"/>
  <c r="WXN6" i="20"/>
  <c r="WXN6" i="20" a="1"/>
  <c r="WXM6" i="20" a="1"/>
  <c r="WXM6" i="20" s="1"/>
  <c r="WXL6" i="20"/>
  <c r="WXL6" i="20" a="1"/>
  <c r="WXK6" i="20" a="1"/>
  <c r="WXK6" i="20" s="1"/>
  <c r="WXJ6" i="20"/>
  <c r="WXJ6" i="20" a="1"/>
  <c r="WXI6" i="20"/>
  <c r="WXI6" i="20" a="1"/>
  <c r="WXH6" i="20" a="1"/>
  <c r="WXH6" i="20" s="1"/>
  <c r="WXG6" i="20" a="1"/>
  <c r="WXG6" i="20" s="1"/>
  <c r="WXF6" i="20" a="1"/>
  <c r="WXF6" i="20" s="1"/>
  <c r="WXE6" i="20"/>
  <c r="WXE6" i="20" a="1"/>
  <c r="WXD6" i="20" a="1"/>
  <c r="WXD6" i="20" s="1"/>
  <c r="WXC6" i="20"/>
  <c r="WXC6" i="20" a="1"/>
  <c r="WXB6" i="20" a="1"/>
  <c r="WXB6" i="20" s="1"/>
  <c r="WXA6" i="20" a="1"/>
  <c r="WXA6" i="20" s="1"/>
  <c r="WWZ6" i="20" a="1"/>
  <c r="WWZ6" i="20" s="1"/>
  <c r="WWY6" i="20"/>
  <c r="WWY6" i="20" a="1"/>
  <c r="WWX6" i="20" a="1"/>
  <c r="WWX6" i="20" s="1"/>
  <c r="WWW6" i="20" a="1"/>
  <c r="WWW6" i="20" s="1"/>
  <c r="WWV6" i="20"/>
  <c r="WWV6" i="20" a="1"/>
  <c r="WWU6" i="20" a="1"/>
  <c r="WWU6" i="20" s="1"/>
  <c r="WWT6" i="20"/>
  <c r="WWT6" i="20" a="1"/>
  <c r="WWS6" i="20" a="1"/>
  <c r="WWS6" i="20" s="1"/>
  <c r="WWR6" i="20" a="1"/>
  <c r="WWR6" i="20" s="1"/>
  <c r="WWQ6" i="20"/>
  <c r="WWQ6" i="20" a="1"/>
  <c r="WWP6" i="20"/>
  <c r="WWP6" i="20" a="1"/>
  <c r="WWO6" i="20" a="1"/>
  <c r="WWO6" i="20" s="1"/>
  <c r="WWN6" i="20" a="1"/>
  <c r="WWN6" i="20" s="1"/>
  <c r="WWM6" i="20"/>
  <c r="WWM6" i="20" a="1"/>
  <c r="WWL6" i="20" a="1"/>
  <c r="WWL6" i="20" s="1"/>
  <c r="WWK6" i="20" a="1"/>
  <c r="WWK6" i="20" s="1"/>
  <c r="WWJ6" i="20"/>
  <c r="WWJ6" i="20" a="1"/>
  <c r="WWI6" i="20" a="1"/>
  <c r="WWI6" i="20" s="1"/>
  <c r="WWH6" i="20" a="1"/>
  <c r="WWH6" i="20" s="1"/>
  <c r="WWG6" i="20" a="1"/>
  <c r="WWG6" i="20" s="1"/>
  <c r="WWF6" i="20"/>
  <c r="WWF6" i="20" a="1"/>
  <c r="WWE6" i="20" a="1"/>
  <c r="WWE6" i="20" s="1"/>
  <c r="WWD6" i="20"/>
  <c r="WWD6" i="20" a="1"/>
  <c r="WWC6" i="20" a="1"/>
  <c r="WWC6" i="20" s="1"/>
  <c r="WWB6" i="20"/>
  <c r="WWB6" i="20" a="1"/>
  <c r="WWA6" i="20" a="1"/>
  <c r="WWA6" i="20" s="1"/>
  <c r="WVZ6" i="20" a="1"/>
  <c r="WVZ6" i="20" s="1"/>
  <c r="WVY6" i="20"/>
  <c r="WVY6" i="20" a="1"/>
  <c r="WVX6" i="20" a="1"/>
  <c r="WVX6" i="20" s="1"/>
  <c r="WVW6" i="20" a="1"/>
  <c r="WVW6" i="20" s="1"/>
  <c r="WVV6" i="20"/>
  <c r="WVV6" i="20" a="1"/>
  <c r="WVU6" i="20" a="1"/>
  <c r="WVU6" i="20" s="1"/>
  <c r="WVT6" i="20"/>
  <c r="WVT6" i="20" a="1"/>
  <c r="WVS6" i="20" a="1"/>
  <c r="WVS6" i="20" s="1"/>
  <c r="WVR6" i="20"/>
  <c r="WVR6" i="20" a="1"/>
  <c r="WVQ6" i="20" a="1"/>
  <c r="WVQ6" i="20" s="1"/>
  <c r="WVP6" i="20" a="1"/>
  <c r="WVP6" i="20" s="1"/>
  <c r="WVO6" i="20"/>
  <c r="WVO6" i="20" a="1"/>
  <c r="WVN6" i="20" a="1"/>
  <c r="WVN6" i="20" s="1"/>
  <c r="WVM6" i="20"/>
  <c r="WVM6" i="20" a="1"/>
  <c r="WVL6" i="20" a="1"/>
  <c r="WVL6" i="20" s="1"/>
  <c r="WVK6" i="20" a="1"/>
  <c r="WVK6" i="20" s="1"/>
  <c r="WVJ6" i="20" a="1"/>
  <c r="WVJ6" i="20" s="1"/>
  <c r="WVI6" i="20"/>
  <c r="WVI6" i="20" a="1"/>
  <c r="WVH6" i="20" a="1"/>
  <c r="WVH6" i="20" s="1"/>
  <c r="WVG6" i="20" a="1"/>
  <c r="WVG6" i="20" s="1"/>
  <c r="WVF6" i="20"/>
  <c r="WVF6" i="20" a="1"/>
  <c r="WVE6" i="20" a="1"/>
  <c r="WVE6" i="20" s="1"/>
  <c r="WVD6" i="20" a="1"/>
  <c r="WVD6" i="20" s="1"/>
  <c r="WVC6" i="20" a="1"/>
  <c r="WVC6" i="20" s="1"/>
  <c r="WVB6" i="20"/>
  <c r="WVB6" i="20" a="1"/>
  <c r="WVA6" i="20" a="1"/>
  <c r="WVA6" i="20" s="1"/>
  <c r="WUZ6" i="20"/>
  <c r="WUZ6" i="20" a="1"/>
  <c r="WUY6" i="20" a="1"/>
  <c r="WUY6" i="20" s="1"/>
  <c r="WUX6" i="20"/>
  <c r="WUX6" i="20" a="1"/>
  <c r="WUW6" i="20" a="1"/>
  <c r="WUW6" i="20" s="1"/>
  <c r="WUV6" i="20"/>
  <c r="WUV6" i="20" a="1"/>
  <c r="WUU6" i="20" a="1"/>
  <c r="WUU6" i="20" s="1"/>
  <c r="WUT6" i="20" a="1"/>
  <c r="WUT6" i="20" s="1"/>
  <c r="WUS6" i="20" a="1"/>
  <c r="WUS6" i="20" s="1"/>
  <c r="WUR6" i="20"/>
  <c r="WUR6" i="20" a="1"/>
  <c r="WUQ6" i="20"/>
  <c r="WUQ6" i="20" a="1"/>
  <c r="WUP6" i="20" a="1"/>
  <c r="WUP6" i="20" s="1"/>
  <c r="WUO6" i="20"/>
  <c r="WUO6" i="20" a="1"/>
  <c r="WUN6" i="20" a="1"/>
  <c r="WUN6" i="20" s="1"/>
  <c r="WUM6" i="20" a="1"/>
  <c r="WUM6" i="20" s="1"/>
  <c r="WUL6" i="20" a="1"/>
  <c r="WUL6" i="20" s="1"/>
  <c r="WUK6" i="20"/>
  <c r="WUK6" i="20" a="1"/>
  <c r="WUJ6" i="20"/>
  <c r="WUJ6" i="20" a="1"/>
  <c r="WUI6" i="20"/>
  <c r="WUI6" i="20" a="1"/>
  <c r="WUH6" i="20" a="1"/>
  <c r="WUH6" i="20" s="1"/>
  <c r="WUG6" i="20" a="1"/>
  <c r="WUG6" i="20" s="1"/>
  <c r="WUF6" i="20"/>
  <c r="WUF6" i="20" a="1"/>
  <c r="WUE6" i="20" a="1"/>
  <c r="WUE6" i="20" s="1"/>
  <c r="WUD6" i="20"/>
  <c r="WUD6" i="20" a="1"/>
  <c r="WUC6" i="20"/>
  <c r="WUC6" i="20" a="1"/>
  <c r="WUB6" i="20"/>
  <c r="WUB6" i="20" a="1"/>
  <c r="WUA6" i="20" a="1"/>
  <c r="WUA6" i="20" s="1"/>
  <c r="WTZ6" i="20"/>
  <c r="WTZ6" i="20" a="1"/>
  <c r="WTY6" i="20" a="1"/>
  <c r="WTY6" i="20" s="1"/>
  <c r="WTX6" i="20" a="1"/>
  <c r="WTX6" i="20" s="1"/>
  <c r="WTW6" i="20"/>
  <c r="WTW6" i="20" a="1"/>
  <c r="WTV6" i="20"/>
  <c r="WTV6" i="20" a="1"/>
  <c r="WTU6" i="20" a="1"/>
  <c r="WTU6" i="20" s="1"/>
  <c r="WTT6" i="20" a="1"/>
  <c r="WTT6" i="20" s="1"/>
  <c r="WTS6" i="20" a="1"/>
  <c r="WTS6" i="20" s="1"/>
  <c r="WTR6" i="20" a="1"/>
  <c r="WTR6" i="20" s="1"/>
  <c r="WTQ6" i="20" a="1"/>
  <c r="WTQ6" i="20" s="1"/>
  <c r="WTP6" i="20"/>
  <c r="WTP6" i="20" a="1"/>
  <c r="WTO6" i="20" a="1"/>
  <c r="WTO6" i="20" s="1"/>
  <c r="WTN6" i="20" a="1"/>
  <c r="WTN6" i="20" s="1"/>
  <c r="WTM6" i="20"/>
  <c r="WTM6" i="20" a="1"/>
  <c r="WTL6" i="20" a="1"/>
  <c r="WTL6" i="20" s="1"/>
  <c r="WTK6" i="20" a="1"/>
  <c r="WTK6" i="20" s="1"/>
  <c r="WTJ6" i="20" a="1"/>
  <c r="WTJ6" i="20" s="1"/>
  <c r="WTI6" i="20" a="1"/>
  <c r="WTI6" i="20" s="1"/>
  <c r="WTH6" i="20"/>
  <c r="WTH6" i="20" a="1"/>
  <c r="WTG6" i="20" a="1"/>
  <c r="WTG6" i="20" s="1"/>
  <c r="WTF6" i="20"/>
  <c r="WTF6" i="20" a="1"/>
  <c r="WTE6" i="20" a="1"/>
  <c r="WTE6" i="20" s="1"/>
  <c r="WTD6" i="20" a="1"/>
  <c r="WTD6" i="20" s="1"/>
  <c r="WTC6" i="20" a="1"/>
  <c r="WTC6" i="20" s="1"/>
  <c r="WTB6" i="20"/>
  <c r="WTB6" i="20" a="1"/>
  <c r="WTA6" i="20" a="1"/>
  <c r="WTA6" i="20" s="1"/>
  <c r="WSZ6" i="20" a="1"/>
  <c r="WSZ6" i="20" s="1"/>
  <c r="WSY6" i="20"/>
  <c r="WSY6" i="20" a="1"/>
  <c r="WSX6" i="20" a="1"/>
  <c r="WSX6" i="20" s="1"/>
  <c r="WSW6" i="20" a="1"/>
  <c r="WSW6" i="20" s="1"/>
  <c r="WSV6" i="20" a="1"/>
  <c r="WSV6" i="20" s="1"/>
  <c r="WSU6" i="20"/>
  <c r="WSU6" i="20" a="1"/>
  <c r="WST6" i="20" a="1"/>
  <c r="WST6" i="20" s="1"/>
  <c r="WSS6" i="20" a="1"/>
  <c r="WSS6" i="20" s="1"/>
  <c r="WSR6" i="20"/>
  <c r="WSR6" i="20" a="1"/>
  <c r="WSQ6" i="20" a="1"/>
  <c r="WSQ6" i="20" s="1"/>
  <c r="WSP6" i="20" a="1"/>
  <c r="WSP6" i="20" s="1"/>
  <c r="WSO6" i="20"/>
  <c r="WSO6" i="20" a="1"/>
  <c r="WSN6" i="20" a="1"/>
  <c r="WSN6" i="20" s="1"/>
  <c r="WSM6" i="20"/>
  <c r="WSM6" i="20" a="1"/>
  <c r="WSL6" i="20" a="1"/>
  <c r="WSL6" i="20" s="1"/>
  <c r="WSK6" i="20" a="1"/>
  <c r="WSK6" i="20" s="1"/>
  <c r="WSJ6" i="20" a="1"/>
  <c r="WSJ6" i="20" s="1"/>
  <c r="WSI6" i="20" a="1"/>
  <c r="WSI6" i="20" s="1"/>
  <c r="WSH6" i="20"/>
  <c r="WSH6" i="20" a="1"/>
  <c r="WSG6" i="20" a="1"/>
  <c r="WSG6" i="20" s="1"/>
  <c r="WSF6" i="20"/>
  <c r="WSF6" i="20" a="1"/>
  <c r="WSE6" i="20" a="1"/>
  <c r="WSE6" i="20" s="1"/>
  <c r="WSD6" i="20" a="1"/>
  <c r="WSD6" i="20" s="1"/>
  <c r="WSC6" i="20" a="1"/>
  <c r="WSC6" i="20" s="1"/>
  <c r="WSB6" i="20"/>
  <c r="WSB6" i="20" a="1"/>
  <c r="WSA6" i="20" a="1"/>
  <c r="WSA6" i="20" s="1"/>
  <c r="WRZ6" i="20"/>
  <c r="WRZ6" i="20" a="1"/>
  <c r="WRY6" i="20" a="1"/>
  <c r="WRY6" i="20" s="1"/>
  <c r="WRX6" i="20"/>
  <c r="WRX6" i="20" a="1"/>
  <c r="WRW6" i="20" a="1"/>
  <c r="WRW6" i="20" s="1"/>
  <c r="WRV6" i="20" a="1"/>
  <c r="WRV6" i="20" s="1"/>
  <c r="WRU6" i="20"/>
  <c r="WRU6" i="20" a="1"/>
  <c r="WRT6" i="20" a="1"/>
  <c r="WRT6" i="20" s="1"/>
  <c r="WRS6" i="20" a="1"/>
  <c r="WRS6" i="20" s="1"/>
  <c r="WRR6" i="20" a="1"/>
  <c r="WRR6" i="20" s="1"/>
  <c r="WRQ6" i="20"/>
  <c r="WRQ6" i="20" a="1"/>
  <c r="WRP6" i="20" a="1"/>
  <c r="WRP6" i="20" s="1"/>
  <c r="WRO6" i="20"/>
  <c r="WRO6" i="20" a="1"/>
  <c r="WRN6" i="20" a="1"/>
  <c r="WRN6" i="20" s="1"/>
  <c r="WRM6" i="20" a="1"/>
  <c r="WRM6" i="20" s="1"/>
  <c r="WRL6" i="20"/>
  <c r="WRL6" i="20" a="1"/>
  <c r="WRK6" i="20" a="1"/>
  <c r="WRK6" i="20" s="1"/>
  <c r="WRJ6" i="20"/>
  <c r="WRJ6" i="20" a="1"/>
  <c r="WRI6" i="20" a="1"/>
  <c r="WRI6" i="20" s="1"/>
  <c r="WRH6" i="20"/>
  <c r="WRH6" i="20" a="1"/>
  <c r="WRG6" i="20" a="1"/>
  <c r="WRG6" i="20" s="1"/>
  <c r="WRF6" i="20" a="1"/>
  <c r="WRF6" i="20" s="1"/>
  <c r="WRE6" i="20"/>
  <c r="WRE6" i="20" a="1"/>
  <c r="WRD6" i="20"/>
  <c r="WRD6" i="20" a="1"/>
  <c r="WRC6" i="20" a="1"/>
  <c r="WRC6" i="20" s="1"/>
  <c r="WRB6" i="20"/>
  <c r="WRB6" i="20" a="1"/>
  <c r="WRA6" i="20" a="1"/>
  <c r="WRA6" i="20" s="1"/>
  <c r="WQZ6" i="20" a="1"/>
  <c r="WQZ6" i="20" s="1"/>
  <c r="WQY6" i="20" a="1"/>
  <c r="WQY6" i="20" s="1"/>
  <c r="WQX6" i="20"/>
  <c r="WQX6" i="20" a="1"/>
  <c r="WQW6" i="20"/>
  <c r="WQW6" i="20" a="1"/>
  <c r="WQV6" i="20" a="1"/>
  <c r="WQV6" i="20" s="1"/>
  <c r="WQU6" i="20" a="1"/>
  <c r="WQU6" i="20" s="1"/>
  <c r="WQT6" i="20" a="1"/>
  <c r="WQT6" i="20" s="1"/>
  <c r="WQS6" i="20"/>
  <c r="WQS6" i="20" a="1"/>
  <c r="WQR6" i="20" a="1"/>
  <c r="WQR6" i="20" s="1"/>
  <c r="WQQ6" i="20" a="1"/>
  <c r="WQQ6" i="20" s="1"/>
  <c r="WQP6" i="20"/>
  <c r="WQP6" i="20" a="1"/>
  <c r="WQO6" i="20" a="1"/>
  <c r="WQO6" i="20" s="1"/>
  <c r="WQN6" i="20"/>
  <c r="WQN6" i="20" a="1"/>
  <c r="WQM6" i="20" a="1"/>
  <c r="WQM6" i="20" s="1"/>
  <c r="WQL6" i="20" a="1"/>
  <c r="WQL6" i="20" s="1"/>
  <c r="WQK6" i="20" a="1"/>
  <c r="WQK6" i="20" s="1"/>
  <c r="WQJ6" i="20" a="1"/>
  <c r="WQJ6" i="20" s="1"/>
  <c r="WQI6" i="20" a="1"/>
  <c r="WQI6" i="20" s="1"/>
  <c r="WQH6" i="20"/>
  <c r="WQH6" i="20" a="1"/>
  <c r="WQG6" i="20" a="1"/>
  <c r="WQG6" i="20" s="1"/>
  <c r="WQF6" i="20"/>
  <c r="WQF6" i="20" a="1"/>
  <c r="WQE6" i="20" a="1"/>
  <c r="WQE6" i="20" s="1"/>
  <c r="WQD6" i="20" a="1"/>
  <c r="WQD6" i="20" s="1"/>
  <c r="WQC6" i="20" a="1"/>
  <c r="WQC6" i="20" s="1"/>
  <c r="WQB6" i="20"/>
  <c r="WQB6" i="20" a="1"/>
  <c r="WQA6" i="20"/>
  <c r="WQA6" i="20" a="1"/>
  <c r="WPZ6" i="20" a="1"/>
  <c r="WPZ6" i="20" s="1"/>
  <c r="WPY6" i="20"/>
  <c r="WPY6" i="20" a="1"/>
  <c r="WPX6" i="20" a="1"/>
  <c r="WPX6" i="20" s="1"/>
  <c r="WPW6" i="20" a="1"/>
  <c r="WPW6" i="20" s="1"/>
  <c r="WPV6" i="20" a="1"/>
  <c r="WPV6" i="20" s="1"/>
  <c r="WPU6" i="20"/>
  <c r="WPU6" i="20" a="1"/>
  <c r="WPT6" i="20" a="1"/>
  <c r="WPT6" i="20" s="1"/>
  <c r="WPS6" i="20" a="1"/>
  <c r="WPS6" i="20" s="1"/>
  <c r="WPR6" i="20"/>
  <c r="WPR6" i="20" a="1"/>
  <c r="WPQ6" i="20" a="1"/>
  <c r="WPQ6" i="20" s="1"/>
  <c r="WPP6" i="20" a="1"/>
  <c r="WPP6" i="20" s="1"/>
  <c r="WPO6" i="20" a="1"/>
  <c r="WPO6" i="20" s="1"/>
  <c r="WPN6" i="20"/>
  <c r="WPN6" i="20" a="1"/>
  <c r="WPM6" i="20" a="1"/>
  <c r="WPM6" i="20" s="1"/>
  <c r="WPL6" i="20" a="1"/>
  <c r="WPL6" i="20" s="1"/>
  <c r="WPK6" i="20" a="1"/>
  <c r="WPK6" i="20" s="1"/>
  <c r="WPJ6" i="20" a="1"/>
  <c r="WPJ6" i="20" s="1"/>
  <c r="WPI6" i="20"/>
  <c r="WPI6" i="20" a="1"/>
  <c r="WPH6" i="20"/>
  <c r="WPH6" i="20" a="1"/>
  <c r="WPG6" i="20" a="1"/>
  <c r="WPG6" i="20" s="1"/>
  <c r="WPF6" i="20"/>
  <c r="WPF6" i="20" a="1"/>
  <c r="WPE6" i="20" a="1"/>
  <c r="WPE6" i="20" s="1"/>
  <c r="WPD6" i="20" a="1"/>
  <c r="WPD6" i="20" s="1"/>
  <c r="WPC6" i="20" a="1"/>
  <c r="WPC6" i="20" s="1"/>
  <c r="WPB6" i="20" a="1"/>
  <c r="WPB6" i="20" s="1"/>
  <c r="WPA6" i="20"/>
  <c r="WPA6" i="20" a="1"/>
  <c r="WOZ6" i="20" a="1"/>
  <c r="WOZ6" i="20" s="1"/>
  <c r="WOY6" i="20" a="1"/>
  <c r="WOY6" i="20" s="1"/>
  <c r="WOX6" i="20"/>
  <c r="WOX6" i="20" a="1"/>
  <c r="WOW6" i="20" a="1"/>
  <c r="WOW6" i="20" s="1"/>
  <c r="WOV6" i="20" a="1"/>
  <c r="WOV6" i="20" s="1"/>
  <c r="WOU6" i="20"/>
  <c r="WOU6" i="20" a="1"/>
  <c r="WOT6" i="20" a="1"/>
  <c r="WOT6" i="20" s="1"/>
  <c r="WOS6" i="20" a="1"/>
  <c r="WOS6" i="20" s="1"/>
  <c r="WOR6" i="20"/>
  <c r="WOR6" i="20" a="1"/>
  <c r="WOQ6" i="20"/>
  <c r="WOQ6" i="20" a="1"/>
  <c r="WOP6" i="20" a="1"/>
  <c r="WOP6" i="20" s="1"/>
  <c r="WOO6" i="20" a="1"/>
  <c r="WOO6" i="20" s="1"/>
  <c r="WON6" i="20"/>
  <c r="WON6" i="20" a="1"/>
  <c r="WOM6" i="20" a="1"/>
  <c r="WOM6" i="20" s="1"/>
  <c r="WOL6" i="20" a="1"/>
  <c r="WOL6" i="20" s="1"/>
  <c r="WOK6" i="20"/>
  <c r="WOK6" i="20" a="1"/>
  <c r="WOJ6" i="20" a="1"/>
  <c r="WOJ6" i="20" s="1"/>
  <c r="WOI6" i="20"/>
  <c r="WOI6" i="20" a="1"/>
  <c r="WOH6" i="20"/>
  <c r="WOH6" i="20" a="1"/>
  <c r="WOG6" i="20" a="1"/>
  <c r="WOG6" i="20" s="1"/>
  <c r="WOF6" i="20" a="1"/>
  <c r="WOF6" i="20" s="1"/>
  <c r="WOE6" i="20"/>
  <c r="WOE6" i="20" a="1"/>
  <c r="WOD6" i="20"/>
  <c r="WOD6" i="20" a="1"/>
  <c r="WOC6" i="20" a="1"/>
  <c r="WOC6" i="20" s="1"/>
  <c r="WOB6" i="20" a="1"/>
  <c r="WOB6" i="20" s="1"/>
  <c r="WOA6" i="20" a="1"/>
  <c r="WOA6" i="20" s="1"/>
  <c r="WNZ6" i="20" a="1"/>
  <c r="WNZ6" i="20" s="1"/>
  <c r="WNY6" i="20" a="1"/>
  <c r="WNY6" i="20" s="1"/>
  <c r="WNX6" i="20"/>
  <c r="WNX6" i="20" a="1"/>
  <c r="WNW6" i="20"/>
  <c r="WNW6" i="20" a="1"/>
  <c r="WNV6" i="20" a="1"/>
  <c r="WNV6" i="20" s="1"/>
  <c r="WNU6" i="20" a="1"/>
  <c r="WNU6" i="20" s="1"/>
  <c r="WNT6" i="20"/>
  <c r="WNT6" i="20" a="1"/>
  <c r="WNS6" i="20" a="1"/>
  <c r="WNS6" i="20" s="1"/>
  <c r="WNR6" i="20" a="1"/>
  <c r="WNR6" i="20" s="1"/>
  <c r="WNQ6" i="20" a="1"/>
  <c r="WNQ6" i="20" s="1"/>
  <c r="WNP6" i="20"/>
  <c r="WNP6" i="20" a="1"/>
  <c r="WNO6" i="20" a="1"/>
  <c r="WNO6" i="20" s="1"/>
  <c r="WNN6" i="20"/>
  <c r="WNN6" i="20" a="1"/>
  <c r="WNM6" i="20" a="1"/>
  <c r="WNM6" i="20" s="1"/>
  <c r="WNL6" i="20"/>
  <c r="WNL6" i="20" a="1"/>
  <c r="WNK6" i="20" a="1"/>
  <c r="WNK6" i="20" s="1"/>
  <c r="WNJ6" i="20" a="1"/>
  <c r="WNJ6" i="20" s="1"/>
  <c r="WNI6" i="20" a="1"/>
  <c r="WNI6" i="20" s="1"/>
  <c r="WNH6" i="20"/>
  <c r="WNH6" i="20" a="1"/>
  <c r="WNG6" i="20"/>
  <c r="WNG6" i="20" a="1"/>
  <c r="WNF6" i="20" a="1"/>
  <c r="WNF6" i="20" s="1"/>
  <c r="WNE6" i="20" a="1"/>
  <c r="WNE6" i="20" s="1"/>
  <c r="WND6" i="20" a="1"/>
  <c r="WND6" i="20" s="1"/>
  <c r="WNC6" i="20" a="1"/>
  <c r="WNC6" i="20" s="1"/>
  <c r="WNB6" i="20"/>
  <c r="WNB6" i="20" a="1"/>
  <c r="WNA6" i="20"/>
  <c r="WNA6" i="20" a="1"/>
  <c r="WMZ6" i="20" a="1"/>
  <c r="WMZ6" i="20" s="1"/>
  <c r="WMY6" i="20"/>
  <c r="WMY6" i="20" a="1"/>
  <c r="WMX6" i="20"/>
  <c r="WMX6" i="20" a="1"/>
  <c r="WMW6" i="20" a="1"/>
  <c r="WMW6" i="20" s="1"/>
  <c r="WMV6" i="20" a="1"/>
  <c r="WMV6" i="20" s="1"/>
  <c r="WMU6" i="20"/>
  <c r="WMU6" i="20" a="1"/>
  <c r="WMT6" i="20"/>
  <c r="WMT6" i="20" a="1"/>
  <c r="WMS6" i="20" a="1"/>
  <c r="WMS6" i="20" s="1"/>
  <c r="WMR6" i="20"/>
  <c r="WMR6" i="20" a="1"/>
  <c r="WMQ6" i="20" a="1"/>
  <c r="WMQ6" i="20" s="1"/>
  <c r="WMP6" i="20"/>
  <c r="WMP6" i="20" a="1"/>
  <c r="WMO6" i="20" a="1"/>
  <c r="WMO6" i="20" s="1"/>
  <c r="WMN6" i="20"/>
  <c r="WMN6" i="20" a="1"/>
  <c r="WMM6" i="20" a="1"/>
  <c r="WMM6" i="20" s="1"/>
  <c r="WML6" i="20" a="1"/>
  <c r="WML6" i="20" s="1"/>
  <c r="WMK6" i="20" a="1"/>
  <c r="WMK6" i="20" s="1"/>
  <c r="WMJ6" i="20"/>
  <c r="WMJ6" i="20" a="1"/>
  <c r="WMI6" i="20"/>
  <c r="WMI6" i="20" a="1"/>
  <c r="WMH6" i="20" a="1"/>
  <c r="WMH6" i="20" s="1"/>
  <c r="WMG6" i="20"/>
  <c r="WMG6" i="20" a="1"/>
  <c r="WMF6" i="20" a="1"/>
  <c r="WMF6" i="20" s="1"/>
  <c r="WME6" i="20" a="1"/>
  <c r="WME6" i="20" s="1"/>
  <c r="WMD6" i="20" a="1"/>
  <c r="WMD6" i="20" s="1"/>
  <c r="WMC6" i="20" a="1"/>
  <c r="WMC6" i="20" s="1"/>
  <c r="WMB6" i="20" a="1"/>
  <c r="WMB6" i="20" s="1"/>
  <c r="WMA6" i="20"/>
  <c r="WMA6" i="20" a="1"/>
  <c r="WLZ6" i="20" a="1"/>
  <c r="WLZ6" i="20" s="1"/>
  <c r="WLY6" i="20" a="1"/>
  <c r="WLY6" i="20" s="1"/>
  <c r="WLX6" i="20"/>
  <c r="WLX6" i="20" a="1"/>
  <c r="WLW6" i="20" a="1"/>
  <c r="WLW6" i="20" s="1"/>
  <c r="WLV6" i="20" a="1"/>
  <c r="WLV6" i="20" s="1"/>
  <c r="WLU6" i="20"/>
  <c r="WLU6" i="20" a="1"/>
  <c r="WLT6" i="20"/>
  <c r="WLT6" i="20" a="1"/>
  <c r="WLS6" i="20" a="1"/>
  <c r="WLS6" i="20" s="1"/>
  <c r="WLR6" i="20"/>
  <c r="WLR6" i="20" a="1"/>
  <c r="WLQ6" i="20" a="1"/>
  <c r="WLQ6" i="20" s="1"/>
  <c r="WLP6" i="20"/>
  <c r="WLP6" i="20" a="1"/>
  <c r="WLO6" i="20" a="1"/>
  <c r="WLO6" i="20" s="1"/>
  <c r="WLN6" i="20"/>
  <c r="WLN6" i="20" a="1"/>
  <c r="WLM6" i="20" a="1"/>
  <c r="WLM6" i="20" s="1"/>
  <c r="WLL6" i="20"/>
  <c r="WLL6" i="20" a="1"/>
  <c r="WLK6" i="20"/>
  <c r="WLK6" i="20" a="1"/>
  <c r="WLJ6" i="20" a="1"/>
  <c r="WLJ6" i="20" s="1"/>
  <c r="WLI6" i="20"/>
  <c r="WLI6" i="20" a="1"/>
  <c r="WLH6" i="20"/>
  <c r="WLH6" i="20" a="1"/>
  <c r="WLG6" i="20" a="1"/>
  <c r="WLG6" i="20" s="1"/>
  <c r="WLF6" i="20" a="1"/>
  <c r="WLF6" i="20" s="1"/>
  <c r="WLE6" i="20"/>
  <c r="WLE6" i="20" a="1"/>
  <c r="WLD6" i="20" a="1"/>
  <c r="WLD6" i="20" s="1"/>
  <c r="WLC6" i="20"/>
  <c r="WLC6" i="20" a="1"/>
  <c r="WLB6" i="20"/>
  <c r="WLB6" i="20" a="1"/>
  <c r="WLA6" i="20" a="1"/>
  <c r="WLA6" i="20" s="1"/>
  <c r="WKZ6" i="20" a="1"/>
  <c r="WKZ6" i="20" s="1"/>
  <c r="WKY6" i="20" a="1"/>
  <c r="WKY6" i="20" s="1"/>
  <c r="WKX6" i="20"/>
  <c r="WKX6" i="20" a="1"/>
  <c r="WKW6" i="20" a="1"/>
  <c r="WKW6" i="20" s="1"/>
  <c r="WKV6" i="20"/>
  <c r="WKV6" i="20" a="1"/>
  <c r="WKU6" i="20" a="1"/>
  <c r="WKU6" i="20" s="1"/>
  <c r="WKT6" i="20" a="1"/>
  <c r="WKT6" i="20" s="1"/>
  <c r="WKS6" i="20"/>
  <c r="WKS6" i="20" a="1"/>
  <c r="WKR6" i="20"/>
  <c r="WKR6" i="20" a="1"/>
  <c r="WKQ6" i="20" a="1"/>
  <c r="WKQ6" i="20" s="1"/>
  <c r="WKP6" i="20"/>
  <c r="WKP6" i="20" a="1"/>
  <c r="WKO6" i="20" a="1"/>
  <c r="WKO6" i="20" s="1"/>
  <c r="WKN6" i="20" a="1"/>
  <c r="WKN6" i="20" s="1"/>
  <c r="WKM6" i="20" a="1"/>
  <c r="WKM6" i="20" s="1"/>
  <c r="WKL6" i="20"/>
  <c r="WKL6" i="20" a="1"/>
  <c r="WKK6" i="20"/>
  <c r="WKK6" i="20" a="1"/>
  <c r="WKJ6" i="20"/>
  <c r="WKJ6" i="20" a="1"/>
  <c r="WKI6" i="20" a="1"/>
  <c r="WKI6" i="20" s="1"/>
  <c r="WKH6" i="20"/>
  <c r="WKH6" i="20" a="1"/>
  <c r="WKG6" i="20"/>
  <c r="WKG6" i="20" a="1"/>
  <c r="WKF6" i="20" a="1"/>
  <c r="WKF6" i="20" s="1"/>
  <c r="WKE6" i="20"/>
  <c r="WKE6" i="20" a="1"/>
  <c r="WKD6" i="20"/>
  <c r="WKD6" i="20" a="1"/>
  <c r="WKC6" i="20" a="1"/>
  <c r="WKC6" i="20" s="1"/>
  <c r="WKB6" i="20" a="1"/>
  <c r="WKB6" i="20" s="1"/>
  <c r="WKA6" i="20" a="1"/>
  <c r="WKA6" i="20" s="1"/>
  <c r="WJZ6" i="20" a="1"/>
  <c r="WJZ6" i="20" s="1"/>
  <c r="WJY6" i="20" a="1"/>
  <c r="WJY6" i="20" s="1"/>
  <c r="WJX6" i="20"/>
  <c r="WJX6" i="20" a="1"/>
  <c r="WJW6" i="20" a="1"/>
  <c r="WJW6" i="20" s="1"/>
  <c r="WJV6" i="20" a="1"/>
  <c r="WJV6" i="20" s="1"/>
  <c r="WJU6" i="20"/>
  <c r="WJU6" i="20" a="1"/>
  <c r="WJT6" i="20"/>
  <c r="WJT6" i="20" a="1"/>
  <c r="WJS6" i="20" a="1"/>
  <c r="WJS6" i="20" s="1"/>
  <c r="WJR6" i="20"/>
  <c r="WJR6" i="20" a="1"/>
  <c r="WJQ6" i="20" a="1"/>
  <c r="WJQ6" i="20" s="1"/>
  <c r="WJP6" i="20" a="1"/>
  <c r="WJP6" i="20" s="1"/>
  <c r="WJO6" i="20" a="1"/>
  <c r="WJO6" i="20" s="1"/>
  <c r="WJN6" i="20"/>
  <c r="WJN6" i="20" a="1"/>
  <c r="WJM6" i="20"/>
  <c r="WJM6" i="20" a="1"/>
  <c r="WJL6" i="20" a="1"/>
  <c r="WJL6" i="20" s="1"/>
  <c r="WJK6" i="20" a="1"/>
  <c r="WJK6" i="20" s="1"/>
  <c r="WJJ6" i="20" a="1"/>
  <c r="WJJ6" i="20" s="1"/>
  <c r="WJI6" i="20" a="1"/>
  <c r="WJI6" i="20" s="1"/>
  <c r="WJH6" i="20" a="1"/>
  <c r="WJH6" i="20" s="1"/>
  <c r="WJG6" i="20" a="1"/>
  <c r="WJG6" i="20" s="1"/>
  <c r="WJF6" i="20"/>
  <c r="WJF6" i="20" a="1"/>
  <c r="WJE6" i="20" a="1"/>
  <c r="WJE6" i="20" s="1"/>
  <c r="WJD6" i="20"/>
  <c r="WJD6" i="20" a="1"/>
  <c r="WJC6" i="20" a="1"/>
  <c r="WJC6" i="20" s="1"/>
  <c r="WJB6" i="20"/>
  <c r="WJB6" i="20" a="1"/>
  <c r="WJA6" i="20" a="1"/>
  <c r="WJA6" i="20" s="1"/>
  <c r="WIZ6" i="20" a="1"/>
  <c r="WIZ6" i="20" s="1"/>
  <c r="WIY6" i="20" a="1"/>
  <c r="WIY6" i="20" s="1"/>
  <c r="WIX6" i="20"/>
  <c r="WIX6" i="20" a="1"/>
  <c r="WIW6" i="20" a="1"/>
  <c r="WIW6" i="20" s="1"/>
  <c r="WIV6" i="20"/>
  <c r="WIV6" i="20" a="1"/>
  <c r="WIU6" i="20" a="1"/>
  <c r="WIU6" i="20" s="1"/>
  <c r="WIT6" i="20" a="1"/>
  <c r="WIT6" i="20" s="1"/>
  <c r="WIS6" i="20" a="1"/>
  <c r="WIS6" i="20" s="1"/>
  <c r="WIR6" i="20" a="1"/>
  <c r="WIR6" i="20" s="1"/>
  <c r="WIQ6" i="20"/>
  <c r="WIQ6" i="20" a="1"/>
  <c r="WIP6" i="20" a="1"/>
  <c r="WIP6" i="20" s="1"/>
  <c r="WIO6" i="20"/>
  <c r="WIO6" i="20" a="1"/>
  <c r="WIN6" i="20" a="1"/>
  <c r="WIN6" i="20" s="1"/>
  <c r="WIM6" i="20" a="1"/>
  <c r="WIM6" i="20" s="1"/>
  <c r="WIL6" i="20" a="1"/>
  <c r="WIL6" i="20" s="1"/>
  <c r="WIK6" i="20"/>
  <c r="WIK6" i="20" a="1"/>
  <c r="WIJ6" i="20" a="1"/>
  <c r="WIJ6" i="20" s="1"/>
  <c r="WII6" i="20" a="1"/>
  <c r="WII6" i="20" s="1"/>
  <c r="WIH6" i="20" a="1"/>
  <c r="WIH6" i="20" s="1"/>
  <c r="WIG6" i="20" a="1"/>
  <c r="WIG6" i="20" s="1"/>
  <c r="WIF6" i="20"/>
  <c r="WIF6" i="20" a="1"/>
  <c r="WIE6" i="20" a="1"/>
  <c r="WIE6" i="20" s="1"/>
  <c r="WID6" i="20"/>
  <c r="WID6" i="20" a="1"/>
  <c r="WIC6" i="20" a="1"/>
  <c r="WIC6" i="20" s="1"/>
  <c r="WIB6" i="20" a="1"/>
  <c r="WIB6" i="20" s="1"/>
  <c r="WIA6" i="20" a="1"/>
  <c r="WIA6" i="20" s="1"/>
  <c r="WHZ6" i="20" a="1"/>
  <c r="WHZ6" i="20" s="1"/>
  <c r="WHY6" i="20"/>
  <c r="WHY6" i="20" a="1"/>
  <c r="WHX6" i="20"/>
  <c r="WHX6" i="20" a="1"/>
  <c r="WHW6" i="20" a="1"/>
  <c r="WHW6" i="20" s="1"/>
  <c r="WHV6" i="20"/>
  <c r="WHV6" i="20" a="1"/>
  <c r="WHU6" i="20" a="1"/>
  <c r="WHU6" i="20" s="1"/>
  <c r="WHT6" i="20" a="1"/>
  <c r="WHT6" i="20" s="1"/>
  <c r="WHS6" i="20" a="1"/>
  <c r="WHS6" i="20" s="1"/>
  <c r="WHR6" i="20"/>
  <c r="WHR6" i="20" a="1"/>
  <c r="WHQ6" i="20"/>
  <c r="WHQ6" i="20" a="1"/>
  <c r="WHP6" i="20" a="1"/>
  <c r="WHP6" i="20" s="1"/>
  <c r="WHO6" i="20" a="1"/>
  <c r="WHO6" i="20" s="1"/>
  <c r="WHN6" i="20" a="1"/>
  <c r="WHN6" i="20" s="1"/>
  <c r="WHM6" i="20"/>
  <c r="WHM6" i="20" a="1"/>
  <c r="WHL6" i="20"/>
  <c r="WHL6" i="20" a="1"/>
  <c r="WHK6" i="20"/>
  <c r="WHK6" i="20" a="1"/>
  <c r="WHJ6" i="20" a="1"/>
  <c r="WHJ6" i="20" s="1"/>
  <c r="WHI6" i="20" a="1"/>
  <c r="WHI6" i="20" s="1"/>
  <c r="WHH6" i="20" a="1"/>
  <c r="WHH6" i="20" s="1"/>
  <c r="WHG6" i="20" a="1"/>
  <c r="WHG6" i="20" s="1"/>
  <c r="WHF6" i="20"/>
  <c r="WHF6" i="20" a="1"/>
  <c r="WHE6" i="20"/>
  <c r="WHE6" i="20" a="1"/>
  <c r="WHD6" i="20"/>
  <c r="WHD6" i="20" a="1"/>
  <c r="WHC6" i="20" a="1"/>
  <c r="WHC6" i="20" s="1"/>
  <c r="WHB6" i="20"/>
  <c r="WHB6" i="20" a="1"/>
  <c r="WHA6" i="20"/>
  <c r="WHA6" i="20" a="1"/>
  <c r="WGZ6" i="20"/>
  <c r="WGZ6" i="20" a="1"/>
  <c r="WGY6" i="20" a="1"/>
  <c r="WGY6" i="20" s="1"/>
  <c r="WGX6" i="20"/>
  <c r="WGX6" i="20" a="1"/>
  <c r="WGW6" i="20" a="1"/>
  <c r="WGW6" i="20" s="1"/>
  <c r="WGV6" i="20" a="1"/>
  <c r="WGV6" i="20" s="1"/>
  <c r="WGU6" i="20"/>
  <c r="WGU6" i="20" a="1"/>
  <c r="WGT6" i="20"/>
  <c r="WGT6" i="20" a="1"/>
  <c r="WGS6" i="20" a="1"/>
  <c r="WGS6" i="20" s="1"/>
  <c r="WGR6" i="20" a="1"/>
  <c r="WGR6" i="20" s="1"/>
  <c r="WGQ6" i="20" a="1"/>
  <c r="WGQ6" i="20" s="1"/>
  <c r="WGP6" i="20" a="1"/>
  <c r="WGP6" i="20" s="1"/>
  <c r="WGO6" i="20" a="1"/>
  <c r="WGO6" i="20" s="1"/>
  <c r="WGN6" i="20"/>
  <c r="WGN6" i="20" a="1"/>
  <c r="WGM6" i="20"/>
  <c r="WGM6" i="20" a="1"/>
  <c r="WGL6" i="20" a="1"/>
  <c r="WGL6" i="20" s="1"/>
  <c r="WGK6" i="20" a="1"/>
  <c r="WGK6" i="20" s="1"/>
  <c r="WGJ6" i="20"/>
  <c r="WGJ6" i="20" a="1"/>
  <c r="WGI6" i="20" a="1"/>
  <c r="WGI6" i="20" s="1"/>
  <c r="WGH6" i="20" a="1"/>
  <c r="WGH6" i="20" s="1"/>
  <c r="WGG6" i="20" a="1"/>
  <c r="WGG6" i="20" s="1"/>
  <c r="WGF6" i="20"/>
  <c r="WGF6" i="20" a="1"/>
  <c r="WGE6" i="20" a="1"/>
  <c r="WGE6" i="20" s="1"/>
  <c r="WGD6" i="20"/>
  <c r="WGD6" i="20" a="1"/>
  <c r="WGC6" i="20" a="1"/>
  <c r="WGC6" i="20" s="1"/>
  <c r="WGB6" i="20" a="1"/>
  <c r="WGB6" i="20" s="1"/>
  <c r="WGA6" i="20" a="1"/>
  <c r="WGA6" i="20" s="1"/>
  <c r="WFZ6" i="20"/>
  <c r="WFZ6" i="20" a="1"/>
  <c r="WFY6" i="20" a="1"/>
  <c r="WFY6" i="20" s="1"/>
  <c r="WFX6" i="20" a="1"/>
  <c r="WFX6" i="20" s="1"/>
  <c r="WFW6" i="20"/>
  <c r="WFW6" i="20" a="1"/>
  <c r="WFV6" i="20" a="1"/>
  <c r="WFV6" i="20" s="1"/>
  <c r="WFU6" i="20" a="1"/>
  <c r="WFU6" i="20" s="1"/>
  <c r="WFT6" i="20" a="1"/>
  <c r="WFT6" i="20" s="1"/>
  <c r="WFS6" i="20" a="1"/>
  <c r="WFS6" i="20" s="1"/>
  <c r="WFR6" i="20" a="1"/>
  <c r="WFR6" i="20" s="1"/>
  <c r="WFQ6" i="20"/>
  <c r="WFQ6" i="20" a="1"/>
  <c r="WFP6" i="20" a="1"/>
  <c r="WFP6" i="20" s="1"/>
  <c r="WFO6" i="20" a="1"/>
  <c r="WFO6" i="20" s="1"/>
  <c r="WFN6" i="20" a="1"/>
  <c r="WFN6" i="20" s="1"/>
  <c r="WFM6" i="20" a="1"/>
  <c r="WFM6" i="20" s="1"/>
  <c r="WFL6" i="20" a="1"/>
  <c r="WFL6" i="20" s="1"/>
  <c r="WFK6" i="20" a="1"/>
  <c r="WFK6" i="20" s="1"/>
  <c r="WFJ6" i="20"/>
  <c r="WFJ6" i="20" a="1"/>
  <c r="WFI6" i="20" a="1"/>
  <c r="WFI6" i="20" s="1"/>
  <c r="WFH6" i="20"/>
  <c r="WFH6" i="20" a="1"/>
  <c r="WFG6" i="20" a="1"/>
  <c r="WFG6" i="20" s="1"/>
  <c r="WFF6" i="20"/>
  <c r="WFF6" i="20" a="1"/>
  <c r="WFE6" i="20" a="1"/>
  <c r="WFE6" i="20" s="1"/>
  <c r="WFD6" i="20"/>
  <c r="WFD6" i="20" a="1"/>
  <c r="WFC6" i="20" a="1"/>
  <c r="WFC6" i="20" s="1"/>
  <c r="WFB6" i="20"/>
  <c r="WFB6" i="20" a="1"/>
  <c r="WFA6" i="20" a="1"/>
  <c r="WFA6" i="20" s="1"/>
  <c r="WEZ6" i="20"/>
  <c r="WEZ6" i="20" a="1"/>
  <c r="WEY6" i="20"/>
  <c r="WEY6" i="20" a="1"/>
  <c r="WEX6" i="20" a="1"/>
  <c r="WEX6" i="20" s="1"/>
  <c r="WEW6" i="20"/>
  <c r="WEW6" i="20" a="1"/>
  <c r="WEV6" i="20" a="1"/>
  <c r="WEV6" i="20" s="1"/>
  <c r="WEU6" i="20" a="1"/>
  <c r="WEU6" i="20" s="1"/>
  <c r="WET6" i="20"/>
  <c r="WET6" i="20" a="1"/>
  <c r="WES6" i="20"/>
  <c r="WES6" i="20" a="1"/>
  <c r="WER6" i="20"/>
  <c r="WER6" i="20" a="1"/>
  <c r="WEQ6" i="20"/>
  <c r="WEQ6" i="20" a="1"/>
  <c r="WEP6" i="20" a="1"/>
  <c r="WEP6" i="20" s="1"/>
  <c r="WEO6" i="20" a="1"/>
  <c r="WEO6" i="20" s="1"/>
  <c r="WEN6" i="20" a="1"/>
  <c r="WEN6" i="20" s="1"/>
  <c r="WEM6" i="20"/>
  <c r="WEM6" i="20" a="1"/>
  <c r="WEL6" i="20" a="1"/>
  <c r="WEL6" i="20" s="1"/>
  <c r="WEK6" i="20"/>
  <c r="WEK6" i="20" a="1"/>
  <c r="WEJ6" i="20"/>
  <c r="WEJ6" i="20" a="1"/>
  <c r="WEI6" i="20" a="1"/>
  <c r="WEI6" i="20" s="1"/>
  <c r="WEH6" i="20" a="1"/>
  <c r="WEH6" i="20" s="1"/>
  <c r="WEG6" i="20" a="1"/>
  <c r="WEG6" i="20" s="1"/>
  <c r="WEF6" i="20" a="1"/>
  <c r="WEF6" i="20" s="1"/>
  <c r="WEE6" i="20"/>
  <c r="WEE6" i="20" a="1"/>
  <c r="WED6" i="20"/>
  <c r="WED6" i="20" a="1"/>
  <c r="WEC6" i="20" a="1"/>
  <c r="WEC6" i="20" s="1"/>
  <c r="WEB6" i="20" a="1"/>
  <c r="WEB6" i="20" s="1"/>
  <c r="WEA6" i="20" a="1"/>
  <c r="WEA6" i="20" s="1"/>
  <c r="WDZ6" i="20"/>
  <c r="WDZ6" i="20" a="1"/>
  <c r="WDY6" i="20" a="1"/>
  <c r="WDY6" i="20" s="1"/>
  <c r="WDX6" i="20"/>
  <c r="WDX6" i="20" a="1"/>
  <c r="WDW6" i="20" a="1"/>
  <c r="WDW6" i="20" s="1"/>
  <c r="WDV6" i="20" a="1"/>
  <c r="WDV6" i="20" s="1"/>
  <c r="WDU6" i="20" a="1"/>
  <c r="WDU6" i="20" s="1"/>
  <c r="WDT6" i="20" a="1"/>
  <c r="WDT6" i="20" s="1"/>
  <c r="WDS6" i="20" a="1"/>
  <c r="WDS6" i="20" s="1"/>
  <c r="WDR6" i="20" a="1"/>
  <c r="WDR6" i="20" s="1"/>
  <c r="WDQ6" i="20" a="1"/>
  <c r="WDQ6" i="20" s="1"/>
  <c r="WDP6" i="20"/>
  <c r="WDP6" i="20" a="1"/>
  <c r="WDO6" i="20" a="1"/>
  <c r="WDO6" i="20" s="1"/>
  <c r="WDN6" i="20" a="1"/>
  <c r="WDN6" i="20" s="1"/>
  <c r="WDM6" i="20" a="1"/>
  <c r="WDM6" i="20" s="1"/>
  <c r="WDL6" i="20" a="1"/>
  <c r="WDL6" i="20" s="1"/>
  <c r="WDK6" i="20" a="1"/>
  <c r="WDK6" i="20" s="1"/>
  <c r="WDJ6" i="20"/>
  <c r="WDJ6" i="20" a="1"/>
  <c r="WDI6" i="20" a="1"/>
  <c r="WDI6" i="20" s="1"/>
  <c r="WDH6" i="20" a="1"/>
  <c r="WDH6" i="20" s="1"/>
  <c r="WDG6" i="20" a="1"/>
  <c r="WDG6" i="20" s="1"/>
  <c r="WDF6" i="20"/>
  <c r="WDF6" i="20" a="1"/>
  <c r="WDE6" i="20" a="1"/>
  <c r="WDE6" i="20" s="1"/>
  <c r="WDD6" i="20" a="1"/>
  <c r="WDD6" i="20" s="1"/>
  <c r="WDC6" i="20"/>
  <c r="WDC6" i="20" a="1"/>
  <c r="WDB6" i="20" a="1"/>
  <c r="WDB6" i="20" s="1"/>
  <c r="WDA6" i="20" a="1"/>
  <c r="WDA6" i="20" s="1"/>
  <c r="WCZ6" i="20"/>
  <c r="WCZ6" i="20" a="1"/>
  <c r="WCY6" i="20" a="1"/>
  <c r="WCY6" i="20" s="1"/>
  <c r="WCX6" i="20"/>
  <c r="WCX6" i="20" a="1"/>
  <c r="WCW6" i="20"/>
  <c r="WCW6" i="20" a="1"/>
  <c r="WCV6" i="20" a="1"/>
  <c r="WCV6" i="20" s="1"/>
  <c r="WCU6" i="20" a="1"/>
  <c r="WCU6" i="20" s="1"/>
  <c r="WCT6" i="20" a="1"/>
  <c r="WCT6" i="20" s="1"/>
  <c r="WCS6" i="20" a="1"/>
  <c r="WCS6" i="20" s="1"/>
  <c r="WCR6" i="20"/>
  <c r="WCR6" i="20" a="1"/>
  <c r="WCQ6" i="20" a="1"/>
  <c r="WCQ6" i="20" s="1"/>
  <c r="WCP6" i="20"/>
  <c r="WCP6" i="20" a="1"/>
  <c r="WCO6" i="20" a="1"/>
  <c r="WCO6" i="20" s="1"/>
  <c r="WCN6" i="20"/>
  <c r="WCN6" i="20" a="1"/>
  <c r="WCM6" i="20" a="1"/>
  <c r="WCM6" i="20" s="1"/>
  <c r="WCL6" i="20" a="1"/>
  <c r="WCL6" i="20" s="1"/>
  <c r="WCK6" i="20" a="1"/>
  <c r="WCK6" i="20" s="1"/>
  <c r="WCJ6" i="20"/>
  <c r="WCJ6" i="20" a="1"/>
  <c r="WCI6" i="20" a="1"/>
  <c r="WCI6" i="20" s="1"/>
  <c r="WCH6" i="20" a="1"/>
  <c r="WCH6" i="20" s="1"/>
  <c r="WCG6" i="20" a="1"/>
  <c r="WCG6" i="20" s="1"/>
  <c r="WCF6" i="20"/>
  <c r="WCF6" i="20" a="1"/>
  <c r="WCE6" i="20" a="1"/>
  <c r="WCE6" i="20" s="1"/>
  <c r="WCD6" i="20"/>
  <c r="WCD6" i="20" a="1"/>
  <c r="WCC6" i="20"/>
  <c r="WCC6" i="20" a="1"/>
  <c r="WCB6" i="20" a="1"/>
  <c r="WCB6" i="20" s="1"/>
  <c r="WCA6" i="20" a="1"/>
  <c r="WCA6" i="20" s="1"/>
  <c r="WBZ6" i="20" a="1"/>
  <c r="WBZ6" i="20" s="1"/>
  <c r="WBY6" i="20"/>
  <c r="WBY6" i="20" a="1"/>
  <c r="WBX6" i="20" a="1"/>
  <c r="WBX6" i="20" s="1"/>
  <c r="WBW6" i="20"/>
  <c r="WBW6" i="20" a="1"/>
  <c r="WBV6" i="20" a="1"/>
  <c r="WBV6" i="20" s="1"/>
  <c r="WBU6" i="20" a="1"/>
  <c r="WBU6" i="20" s="1"/>
  <c r="WBT6" i="20" a="1"/>
  <c r="WBT6" i="20" s="1"/>
  <c r="WBS6" i="20"/>
  <c r="WBS6" i="20" a="1"/>
  <c r="WBR6" i="20"/>
  <c r="WBR6" i="20" a="1"/>
  <c r="WBQ6" i="20" a="1"/>
  <c r="WBQ6" i="20" s="1"/>
  <c r="WBP6" i="20"/>
  <c r="WBP6" i="20" a="1"/>
  <c r="WBO6" i="20" a="1"/>
  <c r="WBO6" i="20" s="1"/>
  <c r="WBN6" i="20" a="1"/>
  <c r="WBN6" i="20" s="1"/>
  <c r="WBM6" i="20" a="1"/>
  <c r="WBM6" i="20" s="1"/>
  <c r="WBL6" i="20"/>
  <c r="WBL6" i="20" a="1"/>
  <c r="WBK6" i="20" a="1"/>
  <c r="WBK6" i="20" s="1"/>
  <c r="WBJ6" i="20"/>
  <c r="WBJ6" i="20" a="1"/>
  <c r="WBI6" i="20" a="1"/>
  <c r="WBI6" i="20" s="1"/>
  <c r="WBH6" i="20" a="1"/>
  <c r="WBH6" i="20" s="1"/>
  <c r="WBG6" i="20"/>
  <c r="WBG6" i="20" a="1"/>
  <c r="WBF6" i="20"/>
  <c r="WBF6" i="20" a="1"/>
  <c r="WBE6" i="20" a="1"/>
  <c r="WBE6" i="20" s="1"/>
  <c r="WBD6" i="20" a="1"/>
  <c r="WBD6" i="20" s="1"/>
  <c r="WBC6" i="20" a="1"/>
  <c r="WBC6" i="20" s="1"/>
  <c r="WBB6" i="20" a="1"/>
  <c r="WBB6" i="20" s="1"/>
  <c r="WBA6" i="20"/>
  <c r="WBA6" i="20" a="1"/>
  <c r="WAZ6" i="20" a="1"/>
  <c r="WAZ6" i="20" s="1"/>
  <c r="WAY6" i="20" a="1"/>
  <c r="WAY6" i="20" s="1"/>
  <c r="WAX6" i="20" a="1"/>
  <c r="WAX6" i="20" s="1"/>
  <c r="WAW6" i="20" a="1"/>
  <c r="WAW6" i="20" s="1"/>
  <c r="WAV6" i="20"/>
  <c r="WAV6" i="20" a="1"/>
  <c r="WAU6" i="20" a="1"/>
  <c r="WAU6" i="20" s="1"/>
  <c r="WAT6" i="20"/>
  <c r="WAT6" i="20" a="1"/>
  <c r="WAS6" i="20" a="1"/>
  <c r="WAS6" i="20" s="1"/>
  <c r="WAR6" i="20" a="1"/>
  <c r="WAR6" i="20" s="1"/>
  <c r="WAQ6" i="20" a="1"/>
  <c r="WAQ6" i="20" s="1"/>
  <c r="WAP6" i="20"/>
  <c r="WAP6" i="20" a="1"/>
  <c r="WAO6" i="20" a="1"/>
  <c r="WAO6" i="20" s="1"/>
  <c r="WAN6" i="20" a="1"/>
  <c r="WAN6" i="20" s="1"/>
  <c r="WAM6" i="20"/>
  <c r="WAM6" i="20" a="1"/>
  <c r="WAL6" i="20" a="1"/>
  <c r="WAL6" i="20" s="1"/>
  <c r="WAK6" i="20" a="1"/>
  <c r="WAK6" i="20" s="1"/>
  <c r="WAJ6" i="20"/>
  <c r="WAJ6" i="20" a="1"/>
  <c r="WAI6" i="20"/>
  <c r="WAI6" i="20" a="1"/>
  <c r="WAH6" i="20" a="1"/>
  <c r="WAH6" i="20" s="1"/>
  <c r="WAG6" i="20" a="1"/>
  <c r="WAG6" i="20" s="1"/>
  <c r="WAF6" i="20"/>
  <c r="WAF6" i="20" a="1"/>
  <c r="WAE6" i="20" a="1"/>
  <c r="WAE6" i="20" s="1"/>
  <c r="WAD6" i="20"/>
  <c r="WAD6" i="20" a="1"/>
  <c r="WAC6" i="20"/>
  <c r="WAC6" i="20" a="1"/>
  <c r="WAB6" i="20" a="1"/>
  <c r="WAB6" i="20" s="1"/>
  <c r="WAA6" i="20" a="1"/>
  <c r="WAA6" i="20" s="1"/>
  <c r="VZZ6" i="20" a="1"/>
  <c r="VZZ6" i="20" s="1"/>
  <c r="VZY6" i="20" a="1"/>
  <c r="VZY6" i="20" s="1"/>
  <c r="VZX6" i="20" a="1"/>
  <c r="VZX6" i="20" s="1"/>
  <c r="VZW6" i="20"/>
  <c r="VZW6" i="20" a="1"/>
  <c r="VZV6" i="20" a="1"/>
  <c r="VZV6" i="20" s="1"/>
  <c r="VZU6" i="20"/>
  <c r="VZU6" i="20" a="1"/>
  <c r="VZT6" i="20" a="1"/>
  <c r="VZT6" i="20" s="1"/>
  <c r="VZS6" i="20" a="1"/>
  <c r="VZS6" i="20" s="1"/>
  <c r="VZR6" i="20" a="1"/>
  <c r="VZR6" i="20" s="1"/>
  <c r="VZQ6" i="20"/>
  <c r="VZQ6" i="20" a="1"/>
  <c r="VZP6" i="20" a="1"/>
  <c r="VZP6" i="20" s="1"/>
  <c r="VZO6" i="20"/>
  <c r="VZO6" i="20" a="1"/>
  <c r="VZN6" i="20" a="1"/>
  <c r="VZN6" i="20" s="1"/>
  <c r="VZM6" i="20" a="1"/>
  <c r="VZM6" i="20" s="1"/>
  <c r="VZL6" i="20" a="1"/>
  <c r="VZL6" i="20" s="1"/>
  <c r="VZK6" i="20"/>
  <c r="VZK6" i="20" a="1"/>
  <c r="VZJ6" i="20" a="1"/>
  <c r="VZJ6" i="20" s="1"/>
  <c r="VZI6" i="20" a="1"/>
  <c r="VZI6" i="20" s="1"/>
  <c r="VZH6" i="20"/>
  <c r="VZH6" i="20" a="1"/>
  <c r="VZG6" i="20" a="1"/>
  <c r="VZG6" i="20" s="1"/>
  <c r="VZF6" i="20" a="1"/>
  <c r="VZF6" i="20" s="1"/>
  <c r="VZE6" i="20"/>
  <c r="VZE6" i="20" a="1"/>
  <c r="VZD6" i="20" a="1"/>
  <c r="VZD6" i="20" s="1"/>
  <c r="VZC6" i="20"/>
  <c r="VZC6" i="20" a="1"/>
  <c r="VZB6" i="20" a="1"/>
  <c r="VZB6" i="20" s="1"/>
  <c r="VZA6" i="20" a="1"/>
  <c r="VZA6" i="20" s="1"/>
  <c r="VYZ6" i="20"/>
  <c r="VYZ6" i="20" a="1"/>
  <c r="VYY6" i="20"/>
  <c r="VYY6" i="20" a="1"/>
  <c r="VYX6" i="20" a="1"/>
  <c r="VYX6" i="20" s="1"/>
  <c r="VYW6" i="20" a="1"/>
  <c r="VYW6" i="20" s="1"/>
  <c r="VYV6" i="20"/>
  <c r="VYV6" i="20" a="1"/>
  <c r="VYU6" i="20"/>
  <c r="VYU6" i="20" a="1"/>
  <c r="VYT6" i="20" a="1"/>
  <c r="VYT6" i="20" s="1"/>
  <c r="VYS6" i="20"/>
  <c r="VYS6" i="20" a="1"/>
  <c r="VYR6" i="20" a="1"/>
  <c r="VYR6" i="20" s="1"/>
  <c r="VYQ6" i="20"/>
  <c r="VYQ6" i="20" a="1"/>
  <c r="VYP6" i="20" a="1"/>
  <c r="VYP6" i="20" s="1"/>
  <c r="VYO6" i="20"/>
  <c r="VYO6" i="20" a="1"/>
  <c r="VYN6" i="20" a="1"/>
  <c r="VYN6" i="20" s="1"/>
  <c r="VYM6" i="20"/>
  <c r="VYM6" i="20" a="1"/>
  <c r="VYL6" i="20" a="1"/>
  <c r="VYL6" i="20" s="1"/>
  <c r="VYK6" i="20" a="1"/>
  <c r="VYK6" i="20" s="1"/>
  <c r="VYJ6" i="20"/>
  <c r="VYJ6" i="20" a="1"/>
  <c r="VYI6" i="20" a="1"/>
  <c r="VYI6" i="20" s="1"/>
  <c r="VYH6" i="20"/>
  <c r="VYH6" i="20" a="1"/>
  <c r="VYG6" i="20"/>
  <c r="VYG6" i="20" a="1"/>
  <c r="VYF6" i="20" a="1"/>
  <c r="VYF6" i="20" s="1"/>
  <c r="VYE6" i="20"/>
  <c r="VYE6" i="20" a="1"/>
  <c r="VYD6" i="20" a="1"/>
  <c r="VYD6" i="20" s="1"/>
  <c r="VYC6" i="20" a="1"/>
  <c r="VYC6" i="20" s="1"/>
  <c r="VYB6" i="20" a="1"/>
  <c r="VYB6" i="20" s="1"/>
  <c r="VYA6" i="20"/>
  <c r="VYA6" i="20" a="1"/>
  <c r="VXZ6" i="20" a="1"/>
  <c r="VXZ6" i="20" s="1"/>
  <c r="VXY6" i="20"/>
  <c r="VXY6" i="20" a="1"/>
  <c r="VXX6" i="20" a="1"/>
  <c r="VXX6" i="20" s="1"/>
  <c r="VXW6" i="20"/>
  <c r="VXW6" i="20" a="1"/>
  <c r="VXV6" i="20"/>
  <c r="VXV6" i="20" a="1"/>
  <c r="VXU6" i="20"/>
  <c r="VXU6" i="20" a="1"/>
  <c r="VXT6" i="20" a="1"/>
  <c r="VXT6" i="20" s="1"/>
  <c r="VXS6" i="20"/>
  <c r="VXS6" i="20" a="1"/>
  <c r="VXR6" i="20"/>
  <c r="VXR6" i="20" a="1"/>
  <c r="VXQ6" i="20" a="1"/>
  <c r="VXQ6" i="20" s="1"/>
  <c r="VXP6" i="20" a="1"/>
  <c r="VXP6" i="20" s="1"/>
  <c r="VXO6" i="20"/>
  <c r="VXO6" i="20" a="1"/>
  <c r="VXN6" i="20" a="1"/>
  <c r="VXN6" i="20" s="1"/>
  <c r="VXM6" i="20" a="1"/>
  <c r="VXM6" i="20" s="1"/>
  <c r="VXL6" i="20"/>
  <c r="VXL6" i="20" a="1"/>
  <c r="VXK6" i="20"/>
  <c r="VXK6" i="20" a="1"/>
  <c r="VXJ6" i="20" a="1"/>
  <c r="VXJ6" i="20" s="1"/>
  <c r="VXI6" i="20"/>
  <c r="VXI6" i="20" a="1"/>
  <c r="VXH6" i="20" a="1"/>
  <c r="VXH6" i="20" s="1"/>
  <c r="VXG6" i="20" a="1"/>
  <c r="VXG6" i="20" s="1"/>
  <c r="VXF6" i="20" a="1"/>
  <c r="VXF6" i="20" s="1"/>
  <c r="VXE6" i="20"/>
  <c r="VXE6" i="20" a="1"/>
  <c r="VXD6" i="20"/>
  <c r="VXD6" i="20" a="1"/>
  <c r="VXC6" i="20"/>
  <c r="VXC6" i="20" a="1"/>
  <c r="VXB6" i="20" a="1"/>
  <c r="VXB6" i="20" s="1"/>
  <c r="VXA6" i="20"/>
  <c r="VXA6" i="20" a="1"/>
  <c r="VWZ6" i="20" a="1"/>
  <c r="VWZ6" i="20" s="1"/>
  <c r="VWY6" i="20" a="1"/>
  <c r="VWY6" i="20" s="1"/>
  <c r="VWX6" i="20"/>
  <c r="VWX6" i="20" a="1"/>
  <c r="VWW6" i="20"/>
  <c r="VWW6" i="20" a="1"/>
  <c r="VWV6" i="20" a="1"/>
  <c r="VWV6" i="20" s="1"/>
  <c r="VWU6" i="20"/>
  <c r="VWU6" i="20" a="1"/>
  <c r="VWT6" i="20" a="1"/>
  <c r="VWT6" i="20" s="1"/>
  <c r="VWS6" i="20" a="1"/>
  <c r="VWS6" i="20" s="1"/>
  <c r="VWR6" i="20" a="1"/>
  <c r="VWR6" i="20" s="1"/>
  <c r="VWQ6" i="20"/>
  <c r="VWQ6" i="20" a="1"/>
  <c r="VWP6" i="20" a="1"/>
  <c r="VWP6" i="20" s="1"/>
  <c r="VWO6" i="20" a="1"/>
  <c r="VWO6" i="20" s="1"/>
  <c r="VWN6" i="20"/>
  <c r="VWN6" i="20" a="1"/>
  <c r="VWM6" i="20" a="1"/>
  <c r="VWM6" i="20" s="1"/>
  <c r="VWL6" i="20"/>
  <c r="VWL6" i="20" a="1"/>
  <c r="VWK6" i="20"/>
  <c r="VWK6" i="20" a="1"/>
  <c r="VWJ6" i="20" a="1"/>
  <c r="VWJ6" i="20" s="1"/>
  <c r="VWI6" i="20"/>
  <c r="VWI6" i="20" a="1"/>
  <c r="VWH6" i="20" a="1"/>
  <c r="VWH6" i="20" s="1"/>
  <c r="VWG6" i="20" a="1"/>
  <c r="VWG6" i="20" s="1"/>
  <c r="VWF6" i="20" a="1"/>
  <c r="VWF6" i="20" s="1"/>
  <c r="VWE6" i="20"/>
  <c r="VWE6" i="20" a="1"/>
  <c r="VWD6" i="20" a="1"/>
  <c r="VWD6" i="20" s="1"/>
  <c r="VWC6" i="20" a="1"/>
  <c r="VWC6" i="20" s="1"/>
  <c r="VWB6" i="20"/>
  <c r="VWB6" i="20" a="1"/>
  <c r="VWA6" i="20"/>
  <c r="VWA6" i="20" a="1"/>
  <c r="VVZ6" i="20" a="1"/>
  <c r="VVZ6" i="20" s="1"/>
  <c r="VVY6" i="20"/>
  <c r="VVY6" i="20" a="1"/>
  <c r="VVX6" i="20" a="1"/>
  <c r="VVX6" i="20" s="1"/>
  <c r="VVW6" i="20"/>
  <c r="VVW6" i="20" a="1"/>
  <c r="VVV6" i="20" a="1"/>
  <c r="VVV6" i="20" s="1"/>
  <c r="VVU6" i="20"/>
  <c r="VVU6" i="20" a="1"/>
  <c r="VVT6" i="20" a="1"/>
  <c r="VVT6" i="20" s="1"/>
  <c r="VVS6" i="20"/>
  <c r="VVS6" i="20" a="1"/>
  <c r="VVR6" i="20" a="1"/>
  <c r="VVR6" i="20" s="1"/>
  <c r="VVQ6" i="20" a="1"/>
  <c r="VVQ6" i="20" s="1"/>
  <c r="VVP6" i="20"/>
  <c r="VVP6" i="20" a="1"/>
  <c r="VVO6" i="20" a="1"/>
  <c r="VVO6" i="20" s="1"/>
  <c r="VVN6" i="20"/>
  <c r="VVN6" i="20" a="1"/>
  <c r="VVM6" i="20"/>
  <c r="VVM6" i="20" a="1"/>
  <c r="VVL6" i="20" a="1"/>
  <c r="VVL6" i="20" s="1"/>
  <c r="VVK6" i="20" a="1"/>
  <c r="VVK6" i="20" s="1"/>
  <c r="VVJ6" i="20" a="1"/>
  <c r="VVJ6" i="20" s="1"/>
  <c r="VVI6" i="20" a="1"/>
  <c r="VVI6" i="20" s="1"/>
  <c r="VVH6" i="20"/>
  <c r="VVH6" i="20" a="1"/>
  <c r="VVG6" i="20"/>
  <c r="VVG6" i="20" a="1"/>
  <c r="VVF6" i="20" a="1"/>
  <c r="VVF6" i="20" s="1"/>
  <c r="VVE6" i="20"/>
  <c r="VVE6" i="20" a="1"/>
  <c r="VVD6" i="20"/>
  <c r="VVD6" i="20" a="1"/>
  <c r="VVC6" i="20"/>
  <c r="VVC6" i="20" a="1"/>
  <c r="VVB6" i="20"/>
  <c r="VVB6" i="20" a="1"/>
  <c r="VVA6" i="20"/>
  <c r="VVA6" i="20" a="1"/>
  <c r="VUZ6" i="20" a="1"/>
  <c r="VUZ6" i="20" s="1"/>
  <c r="VUY6" i="20" a="1"/>
  <c r="VUY6" i="20" s="1"/>
  <c r="VUX6" i="20" a="1"/>
  <c r="VUX6" i="20" s="1"/>
  <c r="VUW6" i="20" a="1"/>
  <c r="VUW6" i="20" s="1"/>
  <c r="VUV6" i="20" a="1"/>
  <c r="VUV6" i="20" s="1"/>
  <c r="VUU6" i="20"/>
  <c r="VUU6" i="20" a="1"/>
  <c r="VUT6" i="20" a="1"/>
  <c r="VUT6" i="20" s="1"/>
  <c r="VUS6" i="20" a="1"/>
  <c r="VUS6" i="20" s="1"/>
  <c r="VUR6" i="20" a="1"/>
  <c r="VUR6" i="20" s="1"/>
  <c r="VUQ6" i="20" a="1"/>
  <c r="VUQ6" i="20" s="1"/>
  <c r="VUP6" i="20" a="1"/>
  <c r="VUP6" i="20" s="1"/>
  <c r="VUO6" i="20"/>
  <c r="VUO6" i="20" a="1"/>
  <c r="VUN6" i="20" a="1"/>
  <c r="VUN6" i="20" s="1"/>
  <c r="VUM6" i="20" a="1"/>
  <c r="VUM6" i="20" s="1"/>
  <c r="VUL6" i="20"/>
  <c r="VUL6" i="20" a="1"/>
  <c r="VUK6" i="20" a="1"/>
  <c r="VUK6" i="20" s="1"/>
  <c r="VUJ6" i="20" a="1"/>
  <c r="VUJ6" i="20" s="1"/>
  <c r="VUI6" i="20"/>
  <c r="VUI6" i="20" a="1"/>
  <c r="VUH6" i="20" a="1"/>
  <c r="VUH6" i="20" s="1"/>
  <c r="VUG6" i="20"/>
  <c r="VUG6" i="20" a="1"/>
  <c r="VUF6" i="20" a="1"/>
  <c r="VUF6" i="20" s="1"/>
  <c r="VUE6" i="20"/>
  <c r="VUE6" i="20" a="1"/>
  <c r="VUD6" i="20" a="1"/>
  <c r="VUD6" i="20" s="1"/>
  <c r="VUC6" i="20"/>
  <c r="VUC6" i="20" a="1"/>
  <c r="VUB6" i="20" a="1"/>
  <c r="VUB6" i="20" s="1"/>
  <c r="VUA6" i="20"/>
  <c r="VUA6" i="20" a="1"/>
  <c r="VTZ6" i="20" a="1"/>
  <c r="VTZ6" i="20" s="1"/>
  <c r="VTY6" i="20"/>
  <c r="VTY6" i="20" a="1"/>
  <c r="VTX6" i="20"/>
  <c r="VTX6" i="20" a="1"/>
  <c r="VTW6" i="20"/>
  <c r="VTW6" i="20" a="1"/>
  <c r="VTV6" i="20" a="1"/>
  <c r="VTV6" i="20" s="1"/>
  <c r="VTU6" i="20"/>
  <c r="VTU6" i="20" a="1"/>
  <c r="VTT6" i="20"/>
  <c r="VTT6" i="20" a="1"/>
  <c r="VTS6" i="20" a="1"/>
  <c r="VTS6" i="20" s="1"/>
  <c r="VTR6" i="20"/>
  <c r="VTR6" i="20" a="1"/>
  <c r="VTQ6" i="20"/>
  <c r="VTQ6" i="20" a="1"/>
  <c r="VTP6" i="20" a="1"/>
  <c r="VTP6" i="20" s="1"/>
  <c r="VTO6" i="20"/>
  <c r="VTO6" i="20" a="1"/>
  <c r="VTN6" i="20"/>
  <c r="VTN6" i="20" a="1"/>
  <c r="VTM6" i="20" a="1"/>
  <c r="VTM6" i="20" s="1"/>
  <c r="VTL6" i="20" a="1"/>
  <c r="VTL6" i="20" s="1"/>
  <c r="VTK6" i="20"/>
  <c r="VTK6" i="20" a="1"/>
  <c r="VTJ6" i="20" a="1"/>
  <c r="VTJ6" i="20" s="1"/>
  <c r="VTI6" i="20" a="1"/>
  <c r="VTI6" i="20" s="1"/>
  <c r="VTH6" i="20"/>
  <c r="VTH6" i="20" a="1"/>
  <c r="VTG6" i="20"/>
  <c r="VTG6" i="20" a="1"/>
  <c r="VTF6" i="20" a="1"/>
  <c r="VTF6" i="20" s="1"/>
  <c r="VTE6" i="20"/>
  <c r="VTE6" i="20" a="1"/>
  <c r="VTD6" i="20" a="1"/>
  <c r="VTD6" i="20" s="1"/>
  <c r="VTC6" i="20"/>
  <c r="VTC6" i="20" a="1"/>
  <c r="VTB6" i="20" a="1"/>
  <c r="VTB6" i="20" s="1"/>
  <c r="VTA6" i="20"/>
  <c r="VTA6" i="20" a="1"/>
  <c r="VSZ6" i="20" a="1"/>
  <c r="VSZ6" i="20" s="1"/>
  <c r="VSY6" i="20"/>
  <c r="VSY6" i="20" a="1"/>
  <c r="VSX6" i="20" a="1"/>
  <c r="VSX6" i="20" s="1"/>
  <c r="VSW6" i="20"/>
  <c r="VSW6" i="20" a="1"/>
  <c r="VSV6" i="20"/>
  <c r="VSV6" i="20" a="1"/>
  <c r="VSU6" i="20" a="1"/>
  <c r="VSU6" i="20" s="1"/>
  <c r="VST6" i="20"/>
  <c r="VST6" i="20" a="1"/>
  <c r="VSS6" i="20"/>
  <c r="VSS6" i="20" a="1"/>
  <c r="VSR6" i="20" a="1"/>
  <c r="VSR6" i="20" s="1"/>
  <c r="VSQ6" i="20" a="1"/>
  <c r="VSQ6" i="20" s="1"/>
  <c r="VSP6" i="20"/>
  <c r="VSP6" i="20" a="1"/>
  <c r="VSO6" i="20"/>
  <c r="VSO6" i="20" a="1"/>
  <c r="VSN6" i="20" a="1"/>
  <c r="VSN6" i="20" s="1"/>
  <c r="VSM6" i="20"/>
  <c r="VSM6" i="20" a="1"/>
  <c r="VSL6" i="20" a="1"/>
  <c r="VSL6" i="20" s="1"/>
  <c r="VSK6" i="20"/>
  <c r="VSK6" i="20" a="1"/>
  <c r="VSJ6" i="20" a="1"/>
  <c r="VSJ6" i="20" s="1"/>
  <c r="VSI6" i="20"/>
  <c r="VSI6" i="20" a="1"/>
  <c r="VSH6" i="20" a="1"/>
  <c r="VSH6" i="20" s="1"/>
  <c r="VSG6" i="20"/>
  <c r="VSG6" i="20" a="1"/>
  <c r="VSF6" i="20" a="1"/>
  <c r="VSF6" i="20" s="1"/>
  <c r="VSE6" i="20" a="1"/>
  <c r="VSE6" i="20" s="1"/>
  <c r="VSD6" i="20" a="1"/>
  <c r="VSD6" i="20" s="1"/>
  <c r="VSC6" i="20"/>
  <c r="VSC6" i="20" a="1"/>
  <c r="VSB6" i="20"/>
  <c r="VSB6" i="20" a="1"/>
  <c r="VSA6" i="20"/>
  <c r="VSA6" i="20" a="1"/>
  <c r="VRZ6" i="20" a="1"/>
  <c r="VRZ6" i="20" s="1"/>
  <c r="VRY6" i="20" a="1"/>
  <c r="VRY6" i="20" s="1"/>
  <c r="VRX6" i="20" a="1"/>
  <c r="VRX6" i="20" s="1"/>
  <c r="VRW6" i="20" a="1"/>
  <c r="VRW6" i="20" s="1"/>
  <c r="VRV6" i="20"/>
  <c r="VRV6" i="20" a="1"/>
  <c r="VRU6" i="20"/>
  <c r="VRU6" i="20" a="1"/>
  <c r="VRT6" i="20" a="1"/>
  <c r="VRT6" i="20" s="1"/>
  <c r="VRS6" i="20" a="1"/>
  <c r="VRS6" i="20" s="1"/>
  <c r="VRR6" i="20" a="1"/>
  <c r="VRR6" i="20" s="1"/>
  <c r="VRQ6" i="20" a="1"/>
  <c r="VRQ6" i="20" s="1"/>
  <c r="VRP6" i="20" a="1"/>
  <c r="VRP6" i="20" s="1"/>
  <c r="VRO6" i="20"/>
  <c r="VRO6" i="20" a="1"/>
  <c r="VRN6" i="20" a="1"/>
  <c r="VRN6" i="20" s="1"/>
  <c r="VRM6" i="20"/>
  <c r="VRM6" i="20" a="1"/>
  <c r="VRL6" i="20" a="1"/>
  <c r="VRL6" i="20" s="1"/>
  <c r="VRK6" i="20" a="1"/>
  <c r="VRK6" i="20" s="1"/>
  <c r="VRJ6" i="20" a="1"/>
  <c r="VRJ6" i="20" s="1"/>
  <c r="VRI6" i="20"/>
  <c r="VRI6" i="20" a="1"/>
  <c r="VRH6" i="20" a="1"/>
  <c r="VRH6" i="20" s="1"/>
  <c r="VRG6" i="20"/>
  <c r="VRG6" i="20" a="1"/>
  <c r="VRF6" i="20" a="1"/>
  <c r="VRF6" i="20" s="1"/>
  <c r="VRE6" i="20" a="1"/>
  <c r="VRE6" i="20" s="1"/>
  <c r="VRD6" i="20" a="1"/>
  <c r="VRD6" i="20" s="1"/>
  <c r="VRC6" i="20"/>
  <c r="VRC6" i="20" a="1"/>
  <c r="VRB6" i="20" a="1"/>
  <c r="VRB6" i="20" s="1"/>
  <c r="VRA6" i="20" a="1"/>
  <c r="VRA6" i="20" s="1"/>
  <c r="VQZ6" i="20"/>
  <c r="VQZ6" i="20" a="1"/>
  <c r="VQY6" i="20" a="1"/>
  <c r="VQY6" i="20" s="1"/>
  <c r="VQX6" i="20"/>
  <c r="VQX6" i="20" a="1"/>
  <c r="VQW6" i="20" a="1"/>
  <c r="VQW6" i="20" s="1"/>
  <c r="VQV6" i="20" a="1"/>
  <c r="VQV6" i="20" s="1"/>
  <c r="VQU6" i="20"/>
  <c r="VQU6" i="20" a="1"/>
  <c r="VQT6" i="20" a="1"/>
  <c r="VQT6" i="20" s="1"/>
  <c r="VQS6" i="20" a="1"/>
  <c r="VQS6" i="20" s="1"/>
  <c r="VQR6" i="20"/>
  <c r="VQR6" i="20" a="1"/>
  <c r="VQQ6" i="20"/>
  <c r="VQQ6" i="20" a="1"/>
  <c r="VQP6" i="20" a="1"/>
  <c r="VQP6" i="20" s="1"/>
  <c r="VQO6" i="20" a="1"/>
  <c r="VQO6" i="20" s="1"/>
  <c r="VQN6" i="20"/>
  <c r="VQN6" i="20" a="1"/>
  <c r="VQM6" i="20"/>
  <c r="VQM6" i="20" a="1"/>
  <c r="VQL6" i="20" a="1"/>
  <c r="VQL6" i="20" s="1"/>
  <c r="VQK6" i="20"/>
  <c r="VQK6" i="20" a="1"/>
  <c r="VQJ6" i="20" a="1"/>
  <c r="VQJ6" i="20" s="1"/>
  <c r="VQI6" i="20"/>
  <c r="VQI6" i="20" a="1"/>
  <c r="VQH6" i="20" a="1"/>
  <c r="VQH6" i="20" s="1"/>
  <c r="VQG6" i="20"/>
  <c r="VQG6" i="20" a="1"/>
  <c r="VQF6" i="20" a="1"/>
  <c r="VQF6" i="20" s="1"/>
  <c r="VQE6" i="20"/>
  <c r="VQE6" i="20" a="1"/>
  <c r="VQD6" i="20" a="1"/>
  <c r="VQD6" i="20" s="1"/>
  <c r="VQC6" i="20" a="1"/>
  <c r="VQC6" i="20" s="1"/>
  <c r="VQB6" i="20"/>
  <c r="VQB6" i="20" a="1"/>
  <c r="VQA6" i="20" a="1"/>
  <c r="VQA6" i="20" s="1"/>
  <c r="VPZ6" i="20"/>
  <c r="VPZ6" i="20" a="1"/>
  <c r="VPY6" i="20" a="1"/>
  <c r="VPY6" i="20" s="1"/>
  <c r="VPX6" i="20" a="1"/>
  <c r="VPX6" i="20" s="1"/>
  <c r="VPW6" i="20"/>
  <c r="VPW6" i="20" a="1"/>
  <c r="VPV6" i="20"/>
  <c r="VPV6" i="20" a="1"/>
  <c r="VPU6" i="20" a="1"/>
  <c r="VPU6" i="20" s="1"/>
  <c r="VPT6" i="20" a="1"/>
  <c r="VPT6" i="20" s="1"/>
  <c r="VPS6" i="20" a="1"/>
  <c r="VPS6" i="20" s="1"/>
  <c r="VPR6" i="20" a="1"/>
  <c r="VPR6" i="20" s="1"/>
  <c r="VPQ6" i="20"/>
  <c r="VPQ6" i="20" a="1"/>
  <c r="VPP6" i="20"/>
  <c r="VPP6" i="20" a="1"/>
  <c r="VPO6" i="20" a="1"/>
  <c r="VPO6" i="20" s="1"/>
  <c r="VPN6" i="20" a="1"/>
  <c r="VPN6" i="20" s="1"/>
  <c r="VPM6" i="20"/>
  <c r="VPM6" i="20" a="1"/>
  <c r="VPL6" i="20" a="1"/>
  <c r="VPL6" i="20" s="1"/>
  <c r="VPK6" i="20"/>
  <c r="VPK6" i="20" a="1"/>
  <c r="VPJ6" i="20"/>
  <c r="VPJ6" i="20" a="1"/>
  <c r="VPI6" i="20" a="1"/>
  <c r="VPI6" i="20" s="1"/>
  <c r="VPH6" i="20"/>
  <c r="VPH6" i="20" a="1"/>
  <c r="VPG6" i="20" a="1"/>
  <c r="VPG6" i="20" s="1"/>
  <c r="VPF6" i="20" a="1"/>
  <c r="VPF6" i="20" s="1"/>
  <c r="VPE6" i="20" a="1"/>
  <c r="VPE6" i="20" s="1"/>
  <c r="VPD6" i="20"/>
  <c r="VPD6" i="20" a="1"/>
  <c r="VPC6" i="20"/>
  <c r="VPC6" i="20" a="1"/>
  <c r="VPB6" i="20" a="1"/>
  <c r="VPB6" i="20" s="1"/>
  <c r="VPA6" i="20" a="1"/>
  <c r="VPA6" i="20" s="1"/>
  <c r="VOZ6" i="20" a="1"/>
  <c r="VOZ6" i="20" s="1"/>
  <c r="VOY6" i="20" a="1"/>
  <c r="VOY6" i="20" s="1"/>
  <c r="VOX6" i="20"/>
  <c r="VOX6" i="20" a="1"/>
  <c r="VOW6" i="20"/>
  <c r="VOW6" i="20" a="1"/>
  <c r="VOV6" i="20"/>
  <c r="VOV6" i="20" a="1"/>
  <c r="VOU6" i="20" a="1"/>
  <c r="VOU6" i="20" s="1"/>
  <c r="VOT6" i="20" a="1"/>
  <c r="VOT6" i="20" s="1"/>
  <c r="VOS6" i="20"/>
  <c r="VOS6" i="20" a="1"/>
  <c r="VOR6" i="20"/>
  <c r="VOR6" i="20" a="1"/>
  <c r="VOQ6" i="20" a="1"/>
  <c r="VOQ6" i="20" s="1"/>
  <c r="VOP6" i="20"/>
  <c r="VOP6" i="20" a="1"/>
  <c r="VOO6" i="20" a="1"/>
  <c r="VOO6" i="20" s="1"/>
  <c r="VON6" i="20" a="1"/>
  <c r="VON6" i="20" s="1"/>
  <c r="VOM6" i="20" a="1"/>
  <c r="VOM6" i="20" s="1"/>
  <c r="VOL6" i="20" a="1"/>
  <c r="VOL6" i="20" s="1"/>
  <c r="VOK6" i="20" a="1"/>
  <c r="VOK6" i="20" s="1"/>
  <c r="VOJ6" i="20"/>
  <c r="VOJ6" i="20" a="1"/>
  <c r="VOI6" i="20"/>
  <c r="VOI6" i="20" a="1"/>
  <c r="VOH6" i="20" a="1"/>
  <c r="VOH6" i="20" s="1"/>
  <c r="VOG6" i="20"/>
  <c r="VOG6" i="20" a="1"/>
  <c r="VOF6" i="20"/>
  <c r="VOF6" i="20" a="1"/>
  <c r="VOE6" i="20" a="1"/>
  <c r="VOE6" i="20" s="1"/>
  <c r="VOD6" i="20"/>
  <c r="VOD6" i="20" a="1"/>
  <c r="VOC6" i="20"/>
  <c r="VOC6" i="20" a="1"/>
  <c r="VOB6" i="20" a="1"/>
  <c r="VOB6" i="20" s="1"/>
  <c r="VOA6" i="20" a="1"/>
  <c r="VOA6" i="20" s="1"/>
  <c r="VNZ6" i="20"/>
  <c r="VNZ6" i="20" a="1"/>
  <c r="VNY6" i="20" a="1"/>
  <c r="VNY6" i="20" s="1"/>
  <c r="VNX6" i="20" a="1"/>
  <c r="VNX6" i="20" s="1"/>
  <c r="VNW6" i="20" a="1"/>
  <c r="VNW6" i="20" s="1"/>
  <c r="VNV6" i="20" a="1"/>
  <c r="VNV6" i="20" s="1"/>
  <c r="VNU6" i="20"/>
  <c r="VNU6" i="20" a="1"/>
  <c r="VNT6" i="20" a="1"/>
  <c r="VNT6" i="20" s="1"/>
  <c r="VNS6" i="20"/>
  <c r="VNS6" i="20" a="1"/>
  <c r="VNR6" i="20" a="1"/>
  <c r="VNR6" i="20" s="1"/>
  <c r="VNQ6" i="20" a="1"/>
  <c r="VNQ6" i="20" s="1"/>
  <c r="VNP6" i="20" a="1"/>
  <c r="VNP6" i="20" s="1"/>
  <c r="VNO6" i="20"/>
  <c r="VNO6" i="20" a="1"/>
  <c r="VNN6" i="20"/>
  <c r="VNN6" i="20" a="1"/>
  <c r="VNM6" i="20" a="1"/>
  <c r="VNM6" i="20" s="1"/>
  <c r="VNL6" i="20" a="1"/>
  <c r="VNL6" i="20" s="1"/>
  <c r="VNK6" i="20" a="1"/>
  <c r="VNK6" i="20" s="1"/>
  <c r="VNJ6" i="20" a="1"/>
  <c r="VNJ6" i="20" s="1"/>
  <c r="VNI6" i="20" a="1"/>
  <c r="VNI6" i="20" s="1"/>
  <c r="VNH6" i="20"/>
  <c r="VNH6" i="20" a="1"/>
  <c r="VNG6" i="20"/>
  <c r="VNG6" i="20" a="1"/>
  <c r="VNF6" i="20"/>
  <c r="VNF6" i="20" a="1"/>
  <c r="VNE6" i="20" a="1"/>
  <c r="VNE6" i="20" s="1"/>
  <c r="VND6" i="20" a="1"/>
  <c r="VND6" i="20" s="1"/>
  <c r="VNC6" i="20" a="1"/>
  <c r="VNC6" i="20" s="1"/>
  <c r="VNB6" i="20" a="1"/>
  <c r="VNB6" i="20" s="1"/>
  <c r="VNA6" i="20"/>
  <c r="VNA6" i="20" a="1"/>
  <c r="VMZ6" i="20" a="1"/>
  <c r="VMZ6" i="20" s="1"/>
  <c r="VMY6" i="20" a="1"/>
  <c r="VMY6" i="20" s="1"/>
  <c r="VMX6" i="20" a="1"/>
  <c r="VMX6" i="20" s="1"/>
  <c r="VMW6" i="20"/>
  <c r="VMW6" i="20" a="1"/>
  <c r="VMV6" i="20" a="1"/>
  <c r="VMV6" i="20" s="1"/>
  <c r="VMU6" i="20" a="1"/>
  <c r="VMU6" i="20" s="1"/>
  <c r="VMT6" i="20"/>
  <c r="VMT6" i="20" a="1"/>
  <c r="VMS6" i="20"/>
  <c r="VMS6" i="20" a="1"/>
  <c r="VMR6" i="20" a="1"/>
  <c r="VMR6" i="20" s="1"/>
  <c r="VMQ6" i="20" a="1"/>
  <c r="VMQ6" i="20" s="1"/>
  <c r="VMP6" i="20"/>
  <c r="VMP6" i="20" a="1"/>
  <c r="VMO6" i="20" a="1"/>
  <c r="VMO6" i="20" s="1"/>
  <c r="VMN6" i="20"/>
  <c r="VMN6" i="20" a="1"/>
  <c r="VMM6" i="20"/>
  <c r="VMM6" i="20" a="1"/>
  <c r="VML6" i="20" a="1"/>
  <c r="VML6" i="20" s="1"/>
  <c r="VMK6" i="20"/>
  <c r="VMK6" i="20" a="1"/>
  <c r="VMJ6" i="20" a="1"/>
  <c r="VMJ6" i="20" s="1"/>
  <c r="VMI6" i="20"/>
  <c r="VMI6" i="20" a="1"/>
  <c r="VMH6" i="20"/>
  <c r="VMH6" i="20" a="1"/>
  <c r="VMG6" i="20"/>
  <c r="VMG6" i="20" a="1"/>
  <c r="VMF6" i="20" a="1"/>
  <c r="VMF6" i="20" s="1"/>
  <c r="VME6" i="20" a="1"/>
  <c r="VME6" i="20" s="1"/>
  <c r="VMD6" i="20"/>
  <c r="VMD6" i="20" a="1"/>
  <c r="VMC6" i="20" a="1"/>
  <c r="VMC6" i="20" s="1"/>
  <c r="VMB6" i="20"/>
  <c r="VMB6" i="20" a="1"/>
  <c r="VMA6" i="20"/>
  <c r="VMA6" i="20" a="1"/>
  <c r="VLZ6" i="20" a="1"/>
  <c r="VLZ6" i="20" s="1"/>
  <c r="VLY6" i="20"/>
  <c r="VLY6" i="20" a="1"/>
  <c r="VLX6" i="20"/>
  <c r="VLX6" i="20" a="1"/>
  <c r="VLW6" i="20" a="1"/>
  <c r="VLW6" i="20" s="1"/>
  <c r="VLV6" i="20" a="1"/>
  <c r="VLV6" i="20" s="1"/>
  <c r="VLU6" i="20"/>
  <c r="VLU6" i="20" a="1"/>
  <c r="VLT6" i="20" a="1"/>
  <c r="VLT6" i="20" s="1"/>
  <c r="VLS6" i="20"/>
  <c r="VLS6" i="20" a="1"/>
  <c r="VLR6" i="20" a="1"/>
  <c r="VLR6" i="20" s="1"/>
  <c r="VLQ6" i="20" a="1"/>
  <c r="VLQ6" i="20" s="1"/>
  <c r="VLP6" i="20" a="1"/>
  <c r="VLP6" i="20" s="1"/>
  <c r="VLO6" i="20" a="1"/>
  <c r="VLO6" i="20" s="1"/>
  <c r="VLN6" i="20" a="1"/>
  <c r="VLN6" i="20" s="1"/>
  <c r="VLM6" i="20"/>
  <c r="VLM6" i="20" a="1"/>
  <c r="VLL6" i="20"/>
  <c r="VLL6" i="20" a="1"/>
  <c r="VLK6" i="20" a="1"/>
  <c r="VLK6" i="20" s="1"/>
  <c r="VLJ6" i="20"/>
  <c r="VLJ6" i="20" a="1"/>
  <c r="VLI6" i="20"/>
  <c r="VLI6" i="20" a="1"/>
  <c r="VLH6" i="20" a="1"/>
  <c r="VLH6" i="20" s="1"/>
  <c r="VLG6" i="20" a="1"/>
  <c r="VLG6" i="20" s="1"/>
  <c r="VLF6" i="20"/>
  <c r="VLF6" i="20" a="1"/>
  <c r="VLE6" i="20" a="1"/>
  <c r="VLE6" i="20" s="1"/>
  <c r="VLD6" i="20" a="1"/>
  <c r="VLD6" i="20" s="1"/>
  <c r="VLC6" i="20"/>
  <c r="VLC6" i="20" a="1"/>
  <c r="VLB6" i="20" a="1"/>
  <c r="VLB6" i="20" s="1"/>
  <c r="VLA6" i="20"/>
  <c r="VLA6" i="20" a="1"/>
  <c r="VKZ6" i="20" a="1"/>
  <c r="VKZ6" i="20" s="1"/>
  <c r="VKY6" i="20"/>
  <c r="VKY6" i="20" a="1"/>
  <c r="VKX6" i="20"/>
  <c r="VKX6" i="20" a="1"/>
  <c r="VKW6" i="20" a="1"/>
  <c r="VKW6" i="20" s="1"/>
  <c r="VKV6" i="20" a="1"/>
  <c r="VKV6" i="20" s="1"/>
  <c r="VKU6" i="20" a="1"/>
  <c r="VKU6" i="20" s="1"/>
  <c r="VKT6" i="20"/>
  <c r="VKT6" i="20" a="1"/>
  <c r="VKS6" i="20" a="1"/>
  <c r="VKS6" i="20" s="1"/>
  <c r="VKR6" i="20" a="1"/>
  <c r="VKR6" i="20" s="1"/>
  <c r="VKQ6" i="20"/>
  <c r="VKQ6" i="20" a="1"/>
  <c r="VKP6" i="20" a="1"/>
  <c r="VKP6" i="20" s="1"/>
  <c r="VKO6" i="20"/>
  <c r="VKO6" i="20" a="1"/>
  <c r="VKN6" i="20" a="1"/>
  <c r="VKN6" i="20" s="1"/>
  <c r="VKM6" i="20"/>
  <c r="VKM6" i="20" a="1"/>
  <c r="VKL6" i="20"/>
  <c r="VKL6" i="20" a="1"/>
  <c r="VKK6" i="20"/>
  <c r="VKK6" i="20" a="1"/>
  <c r="VKJ6" i="20" a="1"/>
  <c r="VKJ6" i="20" s="1"/>
  <c r="VKI6" i="20" a="1"/>
  <c r="VKI6" i="20" s="1"/>
  <c r="VKH6" i="20" a="1"/>
  <c r="VKH6" i="20" s="1"/>
  <c r="VKG6" i="20"/>
  <c r="VKG6" i="20" a="1"/>
  <c r="VKF6" i="20"/>
  <c r="VKF6" i="20" a="1"/>
  <c r="VKE6" i="20" a="1"/>
  <c r="VKE6" i="20" s="1"/>
  <c r="VKD6" i="20" a="1"/>
  <c r="VKD6" i="20" s="1"/>
  <c r="VKC6" i="20"/>
  <c r="VKC6" i="20" a="1"/>
  <c r="VKB6" i="20" a="1"/>
  <c r="VKB6" i="20" s="1"/>
  <c r="VKA6" i="20" a="1"/>
  <c r="VKA6" i="20" s="1"/>
  <c r="VJZ6" i="20" a="1"/>
  <c r="VJZ6" i="20" s="1"/>
  <c r="VJY6" i="20"/>
  <c r="VJY6" i="20" a="1"/>
  <c r="VJX6" i="20" a="1"/>
  <c r="VJX6" i="20" s="1"/>
  <c r="VJW6" i="20"/>
  <c r="VJW6" i="20" a="1"/>
  <c r="VJV6" i="20" a="1"/>
  <c r="VJV6" i="20" s="1"/>
  <c r="VJU6" i="20"/>
  <c r="VJU6" i="20" a="1"/>
  <c r="VJT6" i="20" a="1"/>
  <c r="VJT6" i="20" s="1"/>
  <c r="VJS6" i="20" a="1"/>
  <c r="VJS6" i="20" s="1"/>
  <c r="VJR6" i="20" a="1"/>
  <c r="VJR6" i="20" s="1"/>
  <c r="VJQ6" i="20"/>
  <c r="VJQ6" i="20" a="1"/>
  <c r="VJP6" i="20"/>
  <c r="VJP6" i="20" a="1"/>
  <c r="VJO6" i="20"/>
  <c r="VJO6" i="20" a="1"/>
  <c r="VJN6" i="20" a="1"/>
  <c r="VJN6" i="20" s="1"/>
  <c r="VJM6" i="20" a="1"/>
  <c r="VJM6" i="20" s="1"/>
  <c r="VJL6" i="20" a="1"/>
  <c r="VJL6" i="20" s="1"/>
  <c r="VJK6" i="20" a="1"/>
  <c r="VJK6" i="20" s="1"/>
  <c r="VJJ6" i="20"/>
  <c r="VJJ6" i="20" a="1"/>
  <c r="VJI6" i="20"/>
  <c r="VJI6" i="20" a="1"/>
  <c r="VJH6" i="20"/>
  <c r="VJH6" i="20" a="1"/>
  <c r="VJG6" i="20" a="1"/>
  <c r="VJG6" i="20" s="1"/>
  <c r="VJF6" i="20" a="1"/>
  <c r="VJF6" i="20" s="1"/>
  <c r="VJE6" i="20"/>
  <c r="VJE6" i="20" a="1"/>
  <c r="VJD6" i="20" a="1"/>
  <c r="VJD6" i="20" s="1"/>
  <c r="VJC6" i="20"/>
  <c r="VJC6" i="20" a="1"/>
  <c r="VJB6" i="20" a="1"/>
  <c r="VJB6" i="20" s="1"/>
  <c r="VJA6" i="20"/>
  <c r="VJA6" i="20" a="1"/>
  <c r="VIZ6" i="20" a="1"/>
  <c r="VIZ6" i="20" s="1"/>
  <c r="VIY6" i="20" a="1"/>
  <c r="VIY6" i="20" s="1"/>
  <c r="VIX6" i="20" a="1"/>
  <c r="VIX6" i="20" s="1"/>
  <c r="VIW6" i="20" a="1"/>
  <c r="VIW6" i="20" s="1"/>
  <c r="VIV6" i="20"/>
  <c r="VIV6" i="20" a="1"/>
  <c r="VIU6" i="20" a="1"/>
  <c r="VIU6" i="20" s="1"/>
  <c r="VIT6" i="20" a="1"/>
  <c r="VIT6" i="20" s="1"/>
  <c r="VIS6" i="20" a="1"/>
  <c r="VIS6" i="20" s="1"/>
  <c r="VIR6" i="20"/>
  <c r="VIR6" i="20" a="1"/>
  <c r="VIQ6" i="20" a="1"/>
  <c r="VIQ6" i="20" s="1"/>
  <c r="VIP6" i="20" a="1"/>
  <c r="VIP6" i="20" s="1"/>
  <c r="VIO6" i="20"/>
  <c r="VIO6" i="20" a="1"/>
  <c r="VIN6" i="20" a="1"/>
  <c r="VIN6" i="20" s="1"/>
  <c r="VIM6" i="20"/>
  <c r="VIM6" i="20" a="1"/>
  <c r="VIL6" i="20" a="1"/>
  <c r="VIL6" i="20" s="1"/>
  <c r="VIK6" i="20" a="1"/>
  <c r="VIK6" i="20" s="1"/>
  <c r="VIJ6" i="20" a="1"/>
  <c r="VIJ6" i="20" s="1"/>
  <c r="VII6" i="20" a="1"/>
  <c r="VII6" i="20" s="1"/>
  <c r="VIH6" i="20" a="1"/>
  <c r="VIH6" i="20" s="1"/>
  <c r="VIG6" i="20" a="1"/>
  <c r="VIG6" i="20" s="1"/>
  <c r="VIF6" i="20"/>
  <c r="VIF6" i="20" a="1"/>
  <c r="VIE6" i="20"/>
  <c r="VIE6" i="20" a="1"/>
  <c r="VID6" i="20"/>
  <c r="VID6" i="20" a="1"/>
  <c r="VIC6" i="20" a="1"/>
  <c r="VIC6" i="20" s="1"/>
  <c r="VIB6" i="20" a="1"/>
  <c r="VIB6" i="20" s="1"/>
  <c r="VIA6" i="20"/>
  <c r="VIA6" i="20" a="1"/>
  <c r="VHZ6" i="20" a="1"/>
  <c r="VHZ6" i="20" s="1"/>
  <c r="VHY6" i="20" a="1"/>
  <c r="VHY6" i="20" s="1"/>
  <c r="VHX6" i="20" a="1"/>
  <c r="VHX6" i="20" s="1"/>
  <c r="VHW6" i="20" a="1"/>
  <c r="VHW6" i="20" s="1"/>
  <c r="VHV6" i="20" a="1"/>
  <c r="VHV6" i="20" s="1"/>
  <c r="VHU6" i="20" a="1"/>
  <c r="VHU6" i="20" s="1"/>
  <c r="VHT6" i="20"/>
  <c r="VHT6" i="20" a="1"/>
  <c r="VHS6" i="20" a="1"/>
  <c r="VHS6" i="20" s="1"/>
  <c r="VHR6" i="20"/>
  <c r="VHR6" i="20" a="1"/>
  <c r="VHQ6" i="20" a="1"/>
  <c r="VHQ6" i="20" s="1"/>
  <c r="VHP6" i="20" a="1"/>
  <c r="VHP6" i="20" s="1"/>
  <c r="VHO6" i="20"/>
  <c r="VHO6" i="20" a="1"/>
  <c r="VHN6" i="20"/>
  <c r="VHN6" i="20" a="1"/>
  <c r="VHM6" i="20" a="1"/>
  <c r="VHM6" i="20" s="1"/>
  <c r="VHL6" i="20"/>
  <c r="VHL6" i="20" a="1"/>
  <c r="VHK6" i="20" a="1"/>
  <c r="VHK6" i="20" s="1"/>
  <c r="VHJ6" i="20" a="1"/>
  <c r="VHJ6" i="20" s="1"/>
  <c r="VHI6" i="20" a="1"/>
  <c r="VHI6" i="20" s="1"/>
  <c r="VHH6" i="20"/>
  <c r="VHH6" i="20" a="1"/>
  <c r="VHG6" i="20"/>
  <c r="VHG6" i="20" a="1"/>
  <c r="VHF6" i="20" a="1"/>
  <c r="VHF6" i="20" s="1"/>
  <c r="VHE6" i="20"/>
  <c r="VHE6" i="20" a="1"/>
  <c r="VHD6" i="20" a="1"/>
  <c r="VHD6" i="20" s="1"/>
  <c r="VHC6" i="20"/>
  <c r="VHC6" i="20" a="1"/>
  <c r="VHB6" i="20" a="1"/>
  <c r="VHB6" i="20" s="1"/>
  <c r="VHA6" i="20"/>
  <c r="VHA6" i="20" a="1"/>
  <c r="VGZ6" i="20"/>
  <c r="VGZ6" i="20" a="1"/>
  <c r="VGY6" i="20" a="1"/>
  <c r="VGY6" i="20" s="1"/>
  <c r="VGX6" i="20" a="1"/>
  <c r="VGX6" i="20" s="1"/>
  <c r="VGW6" i="20" a="1"/>
  <c r="VGW6" i="20" s="1"/>
  <c r="VGV6" i="20"/>
  <c r="VGV6" i="20" a="1"/>
  <c r="VGU6" i="20" a="1"/>
  <c r="VGU6" i="20" s="1"/>
  <c r="VGT6" i="20"/>
  <c r="VGT6" i="20" a="1"/>
  <c r="VGS6" i="20" a="1"/>
  <c r="VGS6" i="20" s="1"/>
  <c r="VGR6" i="20" a="1"/>
  <c r="VGR6" i="20" s="1"/>
  <c r="VGQ6" i="20" a="1"/>
  <c r="VGQ6" i="20" s="1"/>
  <c r="VGP6" i="20" a="1"/>
  <c r="VGP6" i="20" s="1"/>
  <c r="VGO6" i="20"/>
  <c r="VGO6" i="20" a="1"/>
  <c r="VGN6" i="20" a="1"/>
  <c r="VGN6" i="20" s="1"/>
  <c r="VGM6" i="20"/>
  <c r="VGM6" i="20" a="1"/>
  <c r="VGL6" i="20" a="1"/>
  <c r="VGL6" i="20" s="1"/>
  <c r="VGK6" i="20"/>
  <c r="VGK6" i="20" a="1"/>
  <c r="VGJ6" i="20" a="1"/>
  <c r="VGJ6" i="20" s="1"/>
  <c r="VGI6" i="20" a="1"/>
  <c r="VGI6" i="20" s="1"/>
  <c r="VGH6" i="20"/>
  <c r="VGH6" i="20" a="1"/>
  <c r="VGG6" i="20" a="1"/>
  <c r="VGG6" i="20" s="1"/>
  <c r="VGF6" i="20" a="1"/>
  <c r="VGF6" i="20" s="1"/>
  <c r="VGE6" i="20" a="1"/>
  <c r="VGE6" i="20" s="1"/>
  <c r="VGD6" i="20" a="1"/>
  <c r="VGD6" i="20" s="1"/>
  <c r="VGC6" i="20" a="1"/>
  <c r="VGC6" i="20" s="1"/>
  <c r="VGB6" i="20" a="1"/>
  <c r="VGB6" i="20" s="1"/>
  <c r="VGA6" i="20" a="1"/>
  <c r="VGA6" i="20" s="1"/>
  <c r="VFZ6" i="20" a="1"/>
  <c r="VFZ6" i="20" s="1"/>
  <c r="VFY6" i="20"/>
  <c r="VFY6" i="20" a="1"/>
  <c r="VFX6" i="20"/>
  <c r="VFX6" i="20" a="1"/>
  <c r="VFW6" i="20"/>
  <c r="VFW6" i="20" a="1"/>
  <c r="VFV6" i="20" a="1"/>
  <c r="VFV6" i="20" s="1"/>
  <c r="VFU6" i="20" a="1"/>
  <c r="VFU6" i="20" s="1"/>
  <c r="VFT6" i="20" a="1"/>
  <c r="VFT6" i="20" s="1"/>
  <c r="VFS6" i="20"/>
  <c r="VFS6" i="20" a="1"/>
  <c r="VFR6" i="20"/>
  <c r="VFR6" i="20" a="1"/>
  <c r="VFQ6" i="20" a="1"/>
  <c r="VFQ6" i="20" s="1"/>
  <c r="VFP6" i="20"/>
  <c r="VFP6" i="20" a="1"/>
  <c r="VFO6" i="20" a="1"/>
  <c r="VFO6" i="20" s="1"/>
  <c r="VFN6" i="20" a="1"/>
  <c r="VFN6" i="20" s="1"/>
  <c r="VFM6" i="20" a="1"/>
  <c r="VFM6" i="20" s="1"/>
  <c r="VFL6" i="20"/>
  <c r="VFL6" i="20" a="1"/>
  <c r="VFK6" i="20"/>
  <c r="VFK6" i="20" a="1"/>
  <c r="VFJ6" i="20" a="1"/>
  <c r="VFJ6" i="20" s="1"/>
  <c r="VFI6" i="20" a="1"/>
  <c r="VFI6" i="20" s="1"/>
  <c r="VFH6" i="20" a="1"/>
  <c r="VFH6" i="20" s="1"/>
  <c r="VFG6" i="20" a="1"/>
  <c r="VFG6" i="20" s="1"/>
  <c r="VFF6" i="20" a="1"/>
  <c r="VFF6" i="20" s="1"/>
  <c r="VFE6" i="20"/>
  <c r="VFE6" i="20" a="1"/>
  <c r="VFD6" i="20" a="1"/>
  <c r="VFD6" i="20" s="1"/>
  <c r="VFC6" i="20" a="1"/>
  <c r="VFC6" i="20" s="1"/>
  <c r="VFB6" i="20" a="1"/>
  <c r="VFB6" i="20" s="1"/>
  <c r="VFA6" i="20" a="1"/>
  <c r="VFA6" i="20" s="1"/>
  <c r="VEZ6" i="20" a="1"/>
  <c r="VEZ6" i="20" s="1"/>
  <c r="VEY6" i="20" a="1"/>
  <c r="VEY6" i="20" s="1"/>
  <c r="VEX6" i="20"/>
  <c r="VEX6" i="20" a="1"/>
  <c r="VEW6" i="20" a="1"/>
  <c r="VEW6" i="20" s="1"/>
  <c r="VEV6" i="20" a="1"/>
  <c r="VEV6" i="20" s="1"/>
  <c r="VEU6" i="20" a="1"/>
  <c r="VEU6" i="20" s="1"/>
  <c r="VET6" i="20"/>
  <c r="VET6" i="20" a="1"/>
  <c r="VES6" i="20" a="1"/>
  <c r="VES6" i="20" s="1"/>
  <c r="VER6" i="20" a="1"/>
  <c r="VER6" i="20" s="1"/>
  <c r="VEQ6" i="20" a="1"/>
  <c r="VEQ6" i="20" s="1"/>
  <c r="VEP6" i="20" a="1"/>
  <c r="VEP6" i="20" s="1"/>
  <c r="VEO6" i="20"/>
  <c r="VEO6" i="20" a="1"/>
  <c r="VEN6" i="20" a="1"/>
  <c r="VEN6" i="20" s="1"/>
  <c r="VEM6" i="20" a="1"/>
  <c r="VEM6" i="20" s="1"/>
  <c r="VEL6" i="20" a="1"/>
  <c r="VEL6" i="20" s="1"/>
  <c r="VEK6" i="20"/>
  <c r="VEK6" i="20" a="1"/>
  <c r="VEJ6" i="20" a="1"/>
  <c r="VEJ6" i="20" s="1"/>
  <c r="VEI6" i="20" a="1"/>
  <c r="VEI6" i="20" s="1"/>
  <c r="VEH6" i="20"/>
  <c r="VEH6" i="20" a="1"/>
  <c r="VEG6" i="20" a="1"/>
  <c r="VEG6" i="20" s="1"/>
  <c r="VEF6" i="20" a="1"/>
  <c r="VEF6" i="20" s="1"/>
  <c r="VEE6" i="20" a="1"/>
  <c r="VEE6" i="20" s="1"/>
  <c r="VED6" i="20" a="1"/>
  <c r="VED6" i="20" s="1"/>
  <c r="VEC6" i="20"/>
  <c r="VEC6" i="20" a="1"/>
  <c r="VEB6" i="20" a="1"/>
  <c r="VEB6" i="20" s="1"/>
  <c r="VEA6" i="20" a="1"/>
  <c r="VEA6" i="20" s="1"/>
  <c r="VDZ6" i="20" a="1"/>
  <c r="VDZ6" i="20" s="1"/>
  <c r="VDY6" i="20" a="1"/>
  <c r="VDY6" i="20" s="1"/>
  <c r="VDX6" i="20" a="1"/>
  <c r="VDX6" i="20" s="1"/>
  <c r="VDW6" i="20" a="1"/>
  <c r="VDW6" i="20" s="1"/>
  <c r="VDV6" i="20"/>
  <c r="VDV6" i="20" a="1"/>
  <c r="VDU6" i="20" a="1"/>
  <c r="VDU6" i="20" s="1"/>
  <c r="VDT6" i="20" a="1"/>
  <c r="VDT6" i="20" s="1"/>
  <c r="VDS6" i="20"/>
  <c r="VDS6" i="20" a="1"/>
  <c r="VDR6" i="20" a="1"/>
  <c r="VDR6" i="20" s="1"/>
  <c r="VDQ6" i="20"/>
  <c r="VDQ6" i="20" a="1"/>
  <c r="VDP6" i="20" a="1"/>
  <c r="VDP6" i="20" s="1"/>
  <c r="VDO6" i="20" a="1"/>
  <c r="VDO6" i="20" s="1"/>
  <c r="VDN6" i="20"/>
  <c r="VDN6" i="20" a="1"/>
  <c r="VDM6" i="20" a="1"/>
  <c r="VDM6" i="20" s="1"/>
  <c r="VDL6" i="20" a="1"/>
  <c r="VDL6" i="20" s="1"/>
  <c r="VDK6" i="20" a="1"/>
  <c r="VDK6" i="20" s="1"/>
  <c r="VDJ6" i="20" a="1"/>
  <c r="VDJ6" i="20" s="1"/>
  <c r="VDI6" i="20"/>
  <c r="VDI6" i="20" a="1"/>
  <c r="VDH6" i="20" a="1"/>
  <c r="VDH6" i="20" s="1"/>
  <c r="VDG6" i="20"/>
  <c r="VDG6" i="20" a="1"/>
  <c r="VDF6" i="20" a="1"/>
  <c r="VDF6" i="20" s="1"/>
  <c r="VDE6" i="20"/>
  <c r="VDE6" i="20" a="1"/>
  <c r="VDD6" i="20"/>
  <c r="VDD6" i="20" a="1"/>
  <c r="VDC6" i="20" a="1"/>
  <c r="VDC6" i="20" s="1"/>
  <c r="VDB6" i="20"/>
  <c r="VDB6" i="20" a="1"/>
  <c r="VDA6" i="20"/>
  <c r="VDA6" i="20" a="1"/>
  <c r="VCZ6" i="20" a="1"/>
  <c r="VCZ6" i="20" s="1"/>
  <c r="VCY6" i="20" a="1"/>
  <c r="VCY6" i="20" s="1"/>
  <c r="VCX6" i="20"/>
  <c r="VCX6" i="20" a="1"/>
  <c r="VCW6" i="20" a="1"/>
  <c r="VCW6" i="20" s="1"/>
  <c r="VCV6" i="20" a="1"/>
  <c r="VCV6" i="20" s="1"/>
  <c r="VCU6" i="20"/>
  <c r="VCU6" i="20" a="1"/>
  <c r="VCT6" i="20" a="1"/>
  <c r="VCT6" i="20" s="1"/>
  <c r="VCS6" i="20"/>
  <c r="VCS6" i="20" a="1"/>
  <c r="VCR6" i="20" a="1"/>
  <c r="VCR6" i="20" s="1"/>
  <c r="VCQ6" i="20"/>
  <c r="VCQ6" i="20" a="1"/>
  <c r="VCP6" i="20" a="1"/>
  <c r="VCP6" i="20" s="1"/>
  <c r="VCO6" i="20" a="1"/>
  <c r="VCO6" i="20" s="1"/>
  <c r="VCN6" i="20" a="1"/>
  <c r="VCN6" i="20" s="1"/>
  <c r="VCM6" i="20"/>
  <c r="VCM6" i="20" a="1"/>
  <c r="VCL6" i="20" a="1"/>
  <c r="VCL6" i="20" s="1"/>
  <c r="VCK6" i="20" a="1"/>
  <c r="VCK6" i="20" s="1"/>
  <c r="VCJ6" i="20" a="1"/>
  <c r="VCJ6" i="20" s="1"/>
  <c r="VCI6" i="20"/>
  <c r="VCI6" i="20" a="1"/>
  <c r="VCH6" i="20" a="1"/>
  <c r="VCH6" i="20" s="1"/>
  <c r="VCG6" i="20"/>
  <c r="VCG6" i="20" a="1"/>
  <c r="VCF6" i="20" a="1"/>
  <c r="VCF6" i="20" s="1"/>
  <c r="VCE6" i="20" a="1"/>
  <c r="VCE6" i="20" s="1"/>
  <c r="VCD6" i="20"/>
  <c r="VCD6" i="20" a="1"/>
  <c r="VCC6" i="20" a="1"/>
  <c r="VCC6" i="20" s="1"/>
  <c r="VCB6" i="20" a="1"/>
  <c r="VCB6" i="20" s="1"/>
  <c r="VCA6" i="20" a="1"/>
  <c r="VCA6" i="20" s="1"/>
  <c r="VBZ6" i="20" a="1"/>
  <c r="VBZ6" i="20" s="1"/>
  <c r="VBY6" i="20"/>
  <c r="VBY6" i="20" a="1"/>
  <c r="VBX6" i="20"/>
  <c r="VBX6" i="20" a="1"/>
  <c r="VBW6" i="20" a="1"/>
  <c r="VBW6" i="20" s="1"/>
  <c r="VBV6" i="20" a="1"/>
  <c r="VBV6" i="20" s="1"/>
  <c r="VBU6" i="20"/>
  <c r="VBU6" i="20" a="1"/>
  <c r="VBT6" i="20"/>
  <c r="VBT6" i="20" a="1"/>
  <c r="VBS6" i="20" a="1"/>
  <c r="VBS6" i="20" s="1"/>
  <c r="VBR6" i="20"/>
  <c r="VBR6" i="20" a="1"/>
  <c r="VBQ6" i="20"/>
  <c r="VBQ6" i="20" a="1"/>
  <c r="VBP6" i="20" a="1"/>
  <c r="VBP6" i="20" s="1"/>
  <c r="VBO6" i="20" a="1"/>
  <c r="VBO6" i="20" s="1"/>
  <c r="VBN6" i="20"/>
  <c r="VBN6" i="20" a="1"/>
  <c r="VBM6" i="20"/>
  <c r="VBM6" i="20" a="1"/>
  <c r="VBL6" i="20" a="1"/>
  <c r="VBL6" i="20" s="1"/>
  <c r="VBK6" i="20" a="1"/>
  <c r="VBK6" i="20" s="1"/>
  <c r="VBJ6" i="20" a="1"/>
  <c r="VBJ6" i="20" s="1"/>
  <c r="VBI6" i="20"/>
  <c r="VBI6" i="20" a="1"/>
  <c r="VBH6" i="20" a="1"/>
  <c r="VBH6" i="20" s="1"/>
  <c r="VBG6" i="20" a="1"/>
  <c r="VBG6" i="20" s="1"/>
  <c r="VBF6" i="20" a="1"/>
  <c r="VBF6" i="20" s="1"/>
  <c r="VBE6" i="20"/>
  <c r="VBE6" i="20" a="1"/>
  <c r="VBD6" i="20" a="1"/>
  <c r="VBD6" i="20" s="1"/>
  <c r="VBC6" i="20" a="1"/>
  <c r="VBC6" i="20" s="1"/>
  <c r="VBB6" i="20" a="1"/>
  <c r="VBB6" i="20" s="1"/>
  <c r="VBA6" i="20" a="1"/>
  <c r="VBA6" i="20" s="1"/>
  <c r="VAZ6" i="20" a="1"/>
  <c r="VAZ6" i="20" s="1"/>
  <c r="VAY6" i="20" a="1"/>
  <c r="VAY6" i="20" s="1"/>
  <c r="VAX6" i="20" a="1"/>
  <c r="VAX6" i="20" s="1"/>
  <c r="VAW6" i="20"/>
  <c r="VAW6" i="20" a="1"/>
  <c r="VAV6" i="20" a="1"/>
  <c r="VAV6" i="20" s="1"/>
  <c r="VAU6" i="20" a="1"/>
  <c r="VAU6" i="20" s="1"/>
  <c r="VAT6" i="20" a="1"/>
  <c r="VAT6" i="20" s="1"/>
  <c r="VAS6" i="20"/>
  <c r="VAS6" i="20" a="1"/>
  <c r="VAR6" i="20" a="1"/>
  <c r="VAR6" i="20" s="1"/>
  <c r="VAQ6" i="20"/>
  <c r="VAQ6" i="20" a="1"/>
  <c r="VAP6" i="20" a="1"/>
  <c r="VAP6" i="20" s="1"/>
  <c r="VAO6" i="20" a="1"/>
  <c r="VAO6" i="20" s="1"/>
  <c r="VAN6" i="20" a="1"/>
  <c r="VAN6" i="20" s="1"/>
  <c r="VAM6" i="20" a="1"/>
  <c r="VAM6" i="20" s="1"/>
  <c r="VAL6" i="20" a="1"/>
  <c r="VAL6" i="20" s="1"/>
  <c r="VAK6" i="20" a="1"/>
  <c r="VAK6" i="20" s="1"/>
  <c r="VAJ6" i="20"/>
  <c r="VAJ6" i="20" a="1"/>
  <c r="VAI6" i="20" a="1"/>
  <c r="VAI6" i="20" s="1"/>
  <c r="VAH6" i="20" a="1"/>
  <c r="VAH6" i="20" s="1"/>
  <c r="VAG6" i="20" a="1"/>
  <c r="VAG6" i="20" s="1"/>
  <c r="VAF6" i="20" a="1"/>
  <c r="VAF6" i="20" s="1"/>
  <c r="VAE6" i="20"/>
  <c r="VAE6" i="20" a="1"/>
  <c r="VAD6" i="20" a="1"/>
  <c r="VAD6" i="20" s="1"/>
  <c r="VAC6" i="20" a="1"/>
  <c r="VAC6" i="20" s="1"/>
  <c r="VAB6" i="20" a="1"/>
  <c r="VAB6" i="20" s="1"/>
  <c r="VAA6" i="20" a="1"/>
  <c r="VAA6" i="20" s="1"/>
  <c r="UZZ6" i="20" a="1"/>
  <c r="UZZ6" i="20" s="1"/>
  <c r="UZY6" i="20"/>
  <c r="UZY6" i="20" a="1"/>
  <c r="UZX6" i="20"/>
  <c r="UZX6" i="20" a="1"/>
  <c r="UZW6" i="20"/>
  <c r="UZW6" i="20" a="1"/>
  <c r="UZV6" i="20" a="1"/>
  <c r="UZV6" i="20" s="1"/>
  <c r="UZU6" i="20" a="1"/>
  <c r="UZU6" i="20" s="1"/>
  <c r="UZT6" i="20" a="1"/>
  <c r="UZT6" i="20" s="1"/>
  <c r="UZS6" i="20"/>
  <c r="UZS6" i="20" a="1"/>
  <c r="UZR6" i="20"/>
  <c r="UZR6" i="20" a="1"/>
  <c r="UZQ6" i="20" a="1"/>
  <c r="UZQ6" i="20" s="1"/>
  <c r="UZP6" i="20" a="1"/>
  <c r="UZP6" i="20" s="1"/>
  <c r="UZO6" i="20" a="1"/>
  <c r="UZO6" i="20" s="1"/>
  <c r="UZN6" i="20" a="1"/>
  <c r="UZN6" i="20" s="1"/>
  <c r="UZM6" i="20"/>
  <c r="UZM6" i="20" a="1"/>
  <c r="UZL6" i="20" a="1"/>
  <c r="UZL6" i="20" s="1"/>
  <c r="UZK6" i="20"/>
  <c r="UZK6" i="20" a="1"/>
  <c r="UZJ6" i="20"/>
  <c r="UZJ6" i="20" a="1"/>
  <c r="UZI6" i="20"/>
  <c r="UZI6" i="20" a="1"/>
  <c r="UZH6" i="20" a="1"/>
  <c r="UZH6" i="20" s="1"/>
  <c r="UZG6" i="20"/>
  <c r="UZG6" i="20" a="1"/>
  <c r="UZF6" i="20" a="1"/>
  <c r="UZF6" i="20" s="1"/>
  <c r="UZE6" i="20" a="1"/>
  <c r="UZE6" i="20" s="1"/>
  <c r="UZD6" i="20"/>
  <c r="UZD6" i="20" a="1"/>
  <c r="UZC6" i="20" a="1"/>
  <c r="UZC6" i="20" s="1"/>
  <c r="UZB6" i="20" a="1"/>
  <c r="UZB6" i="20" s="1"/>
  <c r="UZA6" i="20" a="1"/>
  <c r="UZA6" i="20" s="1"/>
  <c r="UYZ6" i="20"/>
  <c r="UYZ6" i="20" a="1"/>
  <c r="UYY6" i="20"/>
  <c r="UYY6" i="20" a="1"/>
  <c r="UYX6" i="20" a="1"/>
  <c r="UYX6" i="20" s="1"/>
  <c r="UYW6" i="20"/>
  <c r="UYW6" i="20" a="1"/>
  <c r="UYV6" i="20" a="1"/>
  <c r="UYV6" i="20" s="1"/>
  <c r="UYU6" i="20"/>
  <c r="UYU6" i="20" a="1"/>
  <c r="UYT6" i="20" a="1"/>
  <c r="UYT6" i="20" s="1"/>
  <c r="UYS6" i="20"/>
  <c r="UYS6" i="20" a="1"/>
  <c r="UYR6" i="20" a="1"/>
  <c r="UYR6" i="20" s="1"/>
  <c r="UYQ6" i="20" a="1"/>
  <c r="UYQ6" i="20" s="1"/>
  <c r="UYP6" i="20" a="1"/>
  <c r="UYP6" i="20" s="1"/>
  <c r="UYO6" i="20"/>
  <c r="UYO6" i="20" a="1"/>
  <c r="UYN6" i="20" a="1"/>
  <c r="UYN6" i="20" s="1"/>
  <c r="UYM6" i="20" a="1"/>
  <c r="UYM6" i="20" s="1"/>
  <c r="UYL6" i="20"/>
  <c r="UYL6" i="20" a="1"/>
  <c r="UYK6" i="20" a="1"/>
  <c r="UYK6" i="20" s="1"/>
  <c r="UYJ6" i="20" a="1"/>
  <c r="UYJ6" i="20" s="1"/>
  <c r="UYI6" i="20" a="1"/>
  <c r="UYI6" i="20" s="1"/>
  <c r="UYH6" i="20" a="1"/>
  <c r="UYH6" i="20" s="1"/>
  <c r="UYG6" i="20" a="1"/>
  <c r="UYG6" i="20" s="1"/>
  <c r="UYF6" i="20" a="1"/>
  <c r="UYF6" i="20" s="1"/>
  <c r="UYE6" i="20"/>
  <c r="UYE6" i="20" a="1"/>
  <c r="UYD6" i="20" a="1"/>
  <c r="UYD6" i="20" s="1"/>
  <c r="UYC6" i="20"/>
  <c r="UYC6" i="20" a="1"/>
  <c r="UYB6" i="20" a="1"/>
  <c r="UYB6" i="20" s="1"/>
  <c r="UYA6" i="20" a="1"/>
  <c r="UYA6" i="20" s="1"/>
  <c r="UXZ6" i="20" a="1"/>
  <c r="UXZ6" i="20" s="1"/>
  <c r="UXY6" i="20" a="1"/>
  <c r="UXY6" i="20" s="1"/>
  <c r="UXX6" i="20" a="1"/>
  <c r="UXX6" i="20" s="1"/>
  <c r="UXW6" i="20"/>
  <c r="UXW6" i="20" a="1"/>
  <c r="UXV6" i="20" a="1"/>
  <c r="UXV6" i="20" s="1"/>
  <c r="UXU6" i="20" a="1"/>
  <c r="UXU6" i="20" s="1"/>
  <c r="UXT6" i="20"/>
  <c r="UXT6" i="20" a="1"/>
  <c r="UXS6" i="20"/>
  <c r="UXS6" i="20" a="1"/>
  <c r="UXR6" i="20" a="1"/>
  <c r="UXR6" i="20" s="1"/>
  <c r="UXQ6" i="20" a="1"/>
  <c r="UXQ6" i="20" s="1"/>
  <c r="UXP6" i="20" a="1"/>
  <c r="UXP6" i="20" s="1"/>
  <c r="UXO6" i="20"/>
  <c r="UXO6" i="20" a="1"/>
  <c r="UXN6" i="20" a="1"/>
  <c r="UXN6" i="20" s="1"/>
  <c r="UXM6" i="20" a="1"/>
  <c r="UXM6" i="20" s="1"/>
  <c r="UXL6" i="20" a="1"/>
  <c r="UXL6" i="20" s="1"/>
  <c r="UXK6" i="20" a="1"/>
  <c r="UXK6" i="20" s="1"/>
  <c r="UXJ6" i="20" a="1"/>
  <c r="UXJ6" i="20" s="1"/>
  <c r="UXI6" i="20"/>
  <c r="UXI6" i="20" a="1"/>
  <c r="UXH6" i="20" a="1"/>
  <c r="UXH6" i="20" s="1"/>
  <c r="UXG6" i="20" a="1"/>
  <c r="UXG6" i="20" s="1"/>
  <c r="UXF6" i="20" a="1"/>
  <c r="UXF6" i="20" s="1"/>
  <c r="UXE6" i="20" a="1"/>
  <c r="UXE6" i="20" s="1"/>
  <c r="UXD6" i="20" a="1"/>
  <c r="UXD6" i="20" s="1"/>
  <c r="UXC6" i="20"/>
  <c r="UXC6" i="20" a="1"/>
  <c r="UXB6" i="20"/>
  <c r="UXB6" i="20" a="1"/>
  <c r="UXA6" i="20" a="1"/>
  <c r="UXA6" i="20" s="1"/>
  <c r="UWZ6" i="20"/>
  <c r="UWZ6" i="20" a="1"/>
  <c r="UWY6" i="20"/>
  <c r="UWY6" i="20" a="1"/>
  <c r="UWX6" i="20" a="1"/>
  <c r="UWX6" i="20" s="1"/>
  <c r="UWW6" i="20" a="1"/>
  <c r="UWW6" i="20" s="1"/>
  <c r="UWV6" i="20"/>
  <c r="UWV6" i="20" a="1"/>
  <c r="UWU6" i="20" a="1"/>
  <c r="UWU6" i="20" s="1"/>
  <c r="UWT6" i="20" a="1"/>
  <c r="UWT6" i="20" s="1"/>
  <c r="UWS6" i="20"/>
  <c r="UWS6" i="20" a="1"/>
  <c r="UWR6" i="20" a="1"/>
  <c r="UWR6" i="20" s="1"/>
  <c r="UWQ6" i="20" a="1"/>
  <c r="UWQ6" i="20" s="1"/>
  <c r="UWP6" i="20" a="1"/>
  <c r="UWP6" i="20" s="1"/>
  <c r="UWO6" i="20"/>
  <c r="UWO6" i="20" a="1"/>
  <c r="UWN6" i="20" a="1"/>
  <c r="UWN6" i="20" s="1"/>
  <c r="UWM6" i="20" a="1"/>
  <c r="UWM6" i="20" s="1"/>
  <c r="UWL6" i="20" a="1"/>
  <c r="UWL6" i="20" s="1"/>
  <c r="UWK6" i="20"/>
  <c r="UWK6" i="20" a="1"/>
  <c r="UWJ6" i="20" a="1"/>
  <c r="UWJ6" i="20" s="1"/>
  <c r="UWI6" i="20"/>
  <c r="UWI6" i="20" a="1"/>
  <c r="UWH6" i="20" a="1"/>
  <c r="UWH6" i="20" s="1"/>
  <c r="UWG6" i="20" a="1"/>
  <c r="UWG6" i="20" s="1"/>
  <c r="UWF6" i="20" a="1"/>
  <c r="UWF6" i="20" s="1"/>
  <c r="UWE6" i="20" a="1"/>
  <c r="UWE6" i="20" s="1"/>
  <c r="UWD6" i="20" a="1"/>
  <c r="UWD6" i="20" s="1"/>
  <c r="UWC6" i="20" a="1"/>
  <c r="UWC6" i="20" s="1"/>
  <c r="UWB6" i="20" a="1"/>
  <c r="UWB6" i="20" s="1"/>
  <c r="UWA6" i="20"/>
  <c r="UWA6" i="20" a="1"/>
  <c r="UVZ6" i="20" a="1"/>
  <c r="UVZ6" i="20" s="1"/>
  <c r="UVY6" i="20"/>
  <c r="UVY6" i="20" a="1"/>
  <c r="UVX6" i="20"/>
  <c r="UVX6" i="20" a="1"/>
  <c r="UVW6" i="20" a="1"/>
  <c r="UVW6" i="20" s="1"/>
  <c r="UVV6" i="20" a="1"/>
  <c r="UVV6" i="20" s="1"/>
  <c r="UVU6" i="20"/>
  <c r="UVU6" i="20" a="1"/>
  <c r="UVT6" i="20" a="1"/>
  <c r="UVT6" i="20" s="1"/>
  <c r="UVS6" i="20" a="1"/>
  <c r="UVS6" i="20" s="1"/>
  <c r="UVR6" i="20" a="1"/>
  <c r="UVR6" i="20" s="1"/>
  <c r="UVQ6" i="20" a="1"/>
  <c r="UVQ6" i="20" s="1"/>
  <c r="UVP6" i="20" a="1"/>
  <c r="UVP6" i="20" s="1"/>
  <c r="UVO6" i="20"/>
  <c r="UVO6" i="20" a="1"/>
  <c r="UVN6" i="20"/>
  <c r="UVN6" i="20" a="1"/>
  <c r="UVM6" i="20" a="1"/>
  <c r="UVM6" i="20" s="1"/>
  <c r="UVL6" i="20"/>
  <c r="UVL6" i="20" a="1"/>
  <c r="UVK6" i="20"/>
  <c r="UVK6" i="20" a="1"/>
  <c r="UVJ6" i="20" a="1"/>
  <c r="UVJ6" i="20" s="1"/>
  <c r="UVI6" i="20" a="1"/>
  <c r="UVI6" i="20" s="1"/>
  <c r="UVH6" i="20"/>
  <c r="UVH6" i="20" a="1"/>
  <c r="UVG6" i="20" a="1"/>
  <c r="UVG6" i="20" s="1"/>
  <c r="UVF6" i="20" a="1"/>
  <c r="UVF6" i="20" s="1"/>
  <c r="UVE6" i="20" a="1"/>
  <c r="UVE6" i="20" s="1"/>
  <c r="UVD6" i="20" a="1"/>
  <c r="UVD6" i="20" s="1"/>
  <c r="UVC6" i="20" a="1"/>
  <c r="UVC6" i="20" s="1"/>
  <c r="UVB6" i="20" a="1"/>
  <c r="UVB6" i="20" s="1"/>
  <c r="UVA6" i="20"/>
  <c r="UVA6" i="20" a="1"/>
  <c r="UUZ6" i="20" a="1"/>
  <c r="UUZ6" i="20" s="1"/>
  <c r="UUY6" i="20"/>
  <c r="UUY6" i="20" a="1"/>
  <c r="UUX6" i="20" a="1"/>
  <c r="UUX6" i="20" s="1"/>
  <c r="UUW6" i="20" a="1"/>
  <c r="UUW6" i="20" s="1"/>
  <c r="UUV6" i="20" a="1"/>
  <c r="UUV6" i="20" s="1"/>
  <c r="UUU6" i="20"/>
  <c r="UUU6" i="20" a="1"/>
  <c r="UUT6" i="20" a="1"/>
  <c r="UUT6" i="20" s="1"/>
  <c r="UUS6" i="20" a="1"/>
  <c r="UUS6" i="20" s="1"/>
  <c r="UUR6" i="20" a="1"/>
  <c r="UUR6" i="20" s="1"/>
  <c r="UUQ6" i="20"/>
  <c r="UUQ6" i="20" a="1"/>
  <c r="UUP6" i="20" a="1"/>
  <c r="UUP6" i="20" s="1"/>
  <c r="UUO6" i="20"/>
  <c r="UUO6" i="20" a="1"/>
  <c r="UUN6" i="20"/>
  <c r="UUN6" i="20" a="1"/>
  <c r="UUM6" i="20" a="1"/>
  <c r="UUM6" i="20" s="1"/>
  <c r="UUL6" i="20" a="1"/>
  <c r="UUL6" i="20" s="1"/>
  <c r="UUK6" i="20" a="1"/>
  <c r="UUK6" i="20" s="1"/>
  <c r="UUJ6" i="20" a="1"/>
  <c r="UUJ6" i="20" s="1"/>
  <c r="UUI6" i="20" a="1"/>
  <c r="UUI6" i="20" s="1"/>
  <c r="UUH6" i="20"/>
  <c r="UUH6" i="20" a="1"/>
  <c r="UUG6" i="20" a="1"/>
  <c r="UUG6" i="20" s="1"/>
  <c r="UUF6" i="20" a="1"/>
  <c r="UUF6" i="20" s="1"/>
  <c r="UUE6" i="20"/>
  <c r="UUE6" i="20" a="1"/>
  <c r="UUD6" i="20"/>
  <c r="UUD6" i="20" a="1"/>
  <c r="UUC6" i="20" a="1"/>
  <c r="UUC6" i="20" s="1"/>
  <c r="UUB6" i="20" a="1"/>
  <c r="UUB6" i="20" s="1"/>
  <c r="UUA6" i="20"/>
  <c r="UUA6" i="20" a="1"/>
  <c r="UTZ6" i="20" a="1"/>
  <c r="UTZ6" i="20" s="1"/>
  <c r="UTY6" i="20" a="1"/>
  <c r="UTY6" i="20" s="1"/>
  <c r="UTX6" i="20" a="1"/>
  <c r="UTX6" i="20" s="1"/>
  <c r="UTW6" i="20" a="1"/>
  <c r="UTW6" i="20" s="1"/>
  <c r="UTV6" i="20" a="1"/>
  <c r="UTV6" i="20" s="1"/>
  <c r="UTU6" i="20"/>
  <c r="UTU6" i="20" a="1"/>
  <c r="UTT6" i="20" a="1"/>
  <c r="UTT6" i="20" s="1"/>
  <c r="UTS6" i="20" a="1"/>
  <c r="UTS6" i="20" s="1"/>
  <c r="UTR6" i="20"/>
  <c r="UTR6" i="20" a="1"/>
  <c r="UTQ6" i="20"/>
  <c r="UTQ6" i="20" a="1"/>
  <c r="UTP6" i="20" a="1"/>
  <c r="UTP6" i="20" s="1"/>
  <c r="UTO6" i="20"/>
  <c r="UTO6" i="20" a="1"/>
  <c r="UTN6" i="20" a="1"/>
  <c r="UTN6" i="20" s="1"/>
  <c r="UTM6" i="20" a="1"/>
  <c r="UTM6" i="20" s="1"/>
  <c r="UTL6" i="20" a="1"/>
  <c r="UTL6" i="20" s="1"/>
  <c r="UTK6" i="20" a="1"/>
  <c r="UTK6" i="20" s="1"/>
  <c r="UTJ6" i="20" a="1"/>
  <c r="UTJ6" i="20" s="1"/>
  <c r="UTI6" i="20" a="1"/>
  <c r="UTI6" i="20" s="1"/>
  <c r="UTH6" i="20" a="1"/>
  <c r="UTH6" i="20" s="1"/>
  <c r="UTG6" i="20"/>
  <c r="UTG6" i="20" a="1"/>
  <c r="UTF6" i="20" a="1"/>
  <c r="UTF6" i="20" s="1"/>
  <c r="UTE6" i="20"/>
  <c r="UTE6" i="20" a="1"/>
  <c r="UTD6" i="20"/>
  <c r="UTD6" i="20" a="1"/>
  <c r="UTC6" i="20" a="1"/>
  <c r="UTC6" i="20" s="1"/>
  <c r="UTB6" i="20" a="1"/>
  <c r="UTB6" i="20" s="1"/>
  <c r="UTA6" i="20"/>
  <c r="UTA6" i="20" a="1"/>
  <c r="USZ6" i="20" a="1"/>
  <c r="USZ6" i="20" s="1"/>
  <c r="USY6" i="20" a="1"/>
  <c r="USY6" i="20" s="1"/>
  <c r="USX6" i="20" a="1"/>
  <c r="USX6" i="20" s="1"/>
  <c r="USW6" i="20" a="1"/>
  <c r="USW6" i="20" s="1"/>
  <c r="USV6" i="20" a="1"/>
  <c r="USV6" i="20" s="1"/>
  <c r="USU6" i="20"/>
  <c r="USU6" i="20" a="1"/>
  <c r="UST6" i="20"/>
  <c r="UST6" i="20" a="1"/>
  <c r="USS6" i="20" a="1"/>
  <c r="USS6" i="20" s="1"/>
  <c r="USR6" i="20"/>
  <c r="USR6" i="20" a="1"/>
  <c r="USQ6" i="20"/>
  <c r="USQ6" i="20" a="1"/>
  <c r="USP6" i="20" a="1"/>
  <c r="USP6" i="20" s="1"/>
  <c r="USO6" i="20" a="1"/>
  <c r="USO6" i="20" s="1"/>
  <c r="USN6" i="20"/>
  <c r="USN6" i="20" a="1"/>
  <c r="USM6" i="20" a="1"/>
  <c r="USM6" i="20" s="1"/>
  <c r="USL6" i="20" a="1"/>
  <c r="USL6" i="20" s="1"/>
  <c r="USK6" i="20" a="1"/>
  <c r="USK6" i="20" s="1"/>
  <c r="USJ6" i="20" a="1"/>
  <c r="USJ6" i="20" s="1"/>
  <c r="USI6" i="20" a="1"/>
  <c r="USI6" i="20" s="1"/>
  <c r="USH6" i="20"/>
  <c r="USH6" i="20" a="1"/>
  <c r="USG6" i="20"/>
  <c r="USG6" i="20" a="1"/>
  <c r="USF6" i="20" a="1"/>
  <c r="USF6" i="20" s="1"/>
  <c r="USE6" i="20"/>
  <c r="USE6" i="20" a="1"/>
  <c r="USD6" i="20" a="1"/>
  <c r="USD6" i="20" s="1"/>
  <c r="USC6" i="20" a="1"/>
  <c r="USC6" i="20" s="1"/>
  <c r="USB6" i="20" a="1"/>
  <c r="USB6" i="20" s="1"/>
  <c r="USA6" i="20"/>
  <c r="USA6" i="20" a="1"/>
  <c r="URZ6" i="20" a="1"/>
  <c r="URZ6" i="20" s="1"/>
  <c r="URY6" i="20" a="1"/>
  <c r="URY6" i="20" s="1"/>
  <c r="URX6" i="20" a="1"/>
  <c r="URX6" i="20" s="1"/>
  <c r="URW6" i="20"/>
  <c r="URW6" i="20" a="1"/>
  <c r="URV6" i="20" a="1"/>
  <c r="URV6" i="20" s="1"/>
  <c r="URU6" i="20" a="1"/>
  <c r="URU6" i="20" s="1"/>
  <c r="URT6" i="20"/>
  <c r="URT6" i="20" a="1"/>
  <c r="URS6" i="20" a="1"/>
  <c r="URS6" i="20" s="1"/>
  <c r="URR6" i="20" a="1"/>
  <c r="URR6" i="20" s="1"/>
  <c r="URQ6" i="20" a="1"/>
  <c r="URQ6" i="20" s="1"/>
  <c r="URP6" i="20" a="1"/>
  <c r="URP6" i="20" s="1"/>
  <c r="URO6" i="20" a="1"/>
  <c r="URO6" i="20" s="1"/>
  <c r="URN6" i="20"/>
  <c r="URN6" i="20" a="1"/>
  <c r="URM6" i="20" a="1"/>
  <c r="URM6" i="20" s="1"/>
  <c r="URL6" i="20" a="1"/>
  <c r="URL6" i="20" s="1"/>
  <c r="URK6" i="20"/>
  <c r="URK6" i="20" a="1"/>
  <c r="URJ6" i="20"/>
  <c r="URJ6" i="20" a="1"/>
  <c r="URI6" i="20" a="1"/>
  <c r="URI6" i="20" s="1"/>
  <c r="URH6" i="20"/>
  <c r="URH6" i="20" a="1"/>
  <c r="URG6" i="20"/>
  <c r="URG6" i="20" a="1"/>
  <c r="URF6" i="20" a="1"/>
  <c r="URF6" i="20" s="1"/>
  <c r="URE6" i="20" a="1"/>
  <c r="URE6" i="20" s="1"/>
  <c r="URD6" i="20" a="1"/>
  <c r="URD6" i="20" s="1"/>
  <c r="URC6" i="20" a="1"/>
  <c r="URC6" i="20" s="1"/>
  <c r="URB6" i="20" a="1"/>
  <c r="URB6" i="20" s="1"/>
  <c r="URA6" i="20"/>
  <c r="URA6" i="20" a="1"/>
  <c r="UQZ6" i="20" a="1"/>
  <c r="UQZ6" i="20" s="1"/>
  <c r="UQY6" i="20" a="1"/>
  <c r="UQY6" i="20" s="1"/>
  <c r="UQX6" i="20"/>
  <c r="UQX6" i="20" a="1"/>
  <c r="UQW6" i="20"/>
  <c r="UQW6" i="20" a="1"/>
  <c r="UQV6" i="20" a="1"/>
  <c r="UQV6" i="20" s="1"/>
  <c r="UQU6" i="20" a="1"/>
  <c r="UQU6" i="20" s="1"/>
  <c r="UQT6" i="20" a="1"/>
  <c r="UQT6" i="20" s="1"/>
  <c r="UQS6" i="20" a="1"/>
  <c r="UQS6" i="20" s="1"/>
  <c r="UQR6" i="20" a="1"/>
  <c r="UQR6" i="20" s="1"/>
  <c r="UQQ6" i="20" a="1"/>
  <c r="UQQ6" i="20" s="1"/>
  <c r="UQP6" i="20" a="1"/>
  <c r="UQP6" i="20" s="1"/>
  <c r="UQO6" i="20" a="1"/>
  <c r="UQO6" i="20" s="1"/>
  <c r="UQN6" i="20" a="1"/>
  <c r="UQN6" i="20" s="1"/>
  <c r="UQM6" i="20"/>
  <c r="UQM6" i="20" a="1"/>
  <c r="UQL6" i="20" a="1"/>
  <c r="UQL6" i="20" s="1"/>
  <c r="UQK6" i="20"/>
  <c r="UQK6" i="20" a="1"/>
  <c r="UQJ6" i="20"/>
  <c r="UQJ6" i="20" a="1"/>
  <c r="UQI6" i="20" a="1"/>
  <c r="UQI6" i="20" s="1"/>
  <c r="UQH6" i="20" a="1"/>
  <c r="UQH6" i="20" s="1"/>
  <c r="UQG6" i="20"/>
  <c r="UQG6" i="20" a="1"/>
  <c r="UQF6" i="20" a="1"/>
  <c r="UQF6" i="20" s="1"/>
  <c r="UQE6" i="20"/>
  <c r="UQE6" i="20" a="1"/>
  <c r="UQD6" i="20" a="1"/>
  <c r="UQD6" i="20" s="1"/>
  <c r="UQC6" i="20" a="1"/>
  <c r="UQC6" i="20" s="1"/>
  <c r="UQB6" i="20" a="1"/>
  <c r="UQB6" i="20" s="1"/>
  <c r="UQA6" i="20"/>
  <c r="UQA6" i="20" a="1"/>
  <c r="UPZ6" i="20"/>
  <c r="UPZ6" i="20" a="1"/>
  <c r="UPY6" i="20" a="1"/>
  <c r="UPY6" i="20" s="1"/>
  <c r="UPX6" i="20"/>
  <c r="UPX6" i="20" a="1"/>
  <c r="UPW6" i="20"/>
  <c r="UPW6" i="20" a="1"/>
  <c r="UPV6" i="20" a="1"/>
  <c r="UPV6" i="20" s="1"/>
  <c r="UPU6" i="20" a="1"/>
  <c r="UPU6" i="20" s="1"/>
  <c r="UPT6" i="20"/>
  <c r="UPT6" i="20" a="1"/>
  <c r="UPS6" i="20" a="1"/>
  <c r="UPS6" i="20" s="1"/>
  <c r="UPR6" i="20"/>
  <c r="UPR6" i="20" a="1"/>
  <c r="UPQ6" i="20" a="1"/>
  <c r="UPQ6" i="20" s="1"/>
  <c r="UPP6" i="20" a="1"/>
  <c r="UPP6" i="20" s="1"/>
  <c r="UPO6" i="20" a="1"/>
  <c r="UPO6" i="20" s="1"/>
  <c r="UPN6" i="20" a="1"/>
  <c r="UPN6" i="20" s="1"/>
  <c r="UPM6" i="20"/>
  <c r="UPM6" i="20" a="1"/>
  <c r="UPL6" i="20" a="1"/>
  <c r="UPL6" i="20" s="1"/>
  <c r="UPK6" i="20"/>
  <c r="UPK6" i="20" a="1"/>
  <c r="UPJ6" i="20" a="1"/>
  <c r="UPJ6" i="20" s="1"/>
  <c r="UPI6" i="20" a="1"/>
  <c r="UPI6" i="20" s="1"/>
  <c r="UPH6" i="20"/>
  <c r="UPH6" i="20" a="1"/>
  <c r="UPG6" i="20"/>
  <c r="UPG6" i="20" a="1"/>
  <c r="UPF6" i="20" a="1"/>
  <c r="UPF6" i="20" s="1"/>
  <c r="UPE6" i="20"/>
  <c r="UPE6" i="20" a="1"/>
  <c r="UPD6" i="20" a="1"/>
  <c r="UPD6" i="20" s="1"/>
  <c r="UPC6" i="20"/>
  <c r="UPC6" i="20" a="1"/>
  <c r="UPB6" i="20" a="1"/>
  <c r="UPB6" i="20" s="1"/>
  <c r="UPA6" i="20" a="1"/>
  <c r="UPA6" i="20" s="1"/>
  <c r="UOZ6" i="20"/>
  <c r="UOZ6" i="20" a="1"/>
  <c r="UOY6" i="20" a="1"/>
  <c r="UOY6" i="20" s="1"/>
  <c r="UOX6" i="20" a="1"/>
  <c r="UOX6" i="20" s="1"/>
  <c r="UOW6" i="20" a="1"/>
  <c r="UOW6" i="20" s="1"/>
  <c r="UOV6" i="20" a="1"/>
  <c r="UOV6" i="20" s="1"/>
  <c r="UOU6" i="20" a="1"/>
  <c r="UOU6" i="20" s="1"/>
  <c r="UOT6" i="20"/>
  <c r="UOT6" i="20" a="1"/>
  <c r="UOS6" i="20" a="1"/>
  <c r="UOS6" i="20" s="1"/>
  <c r="UOR6" i="20" a="1"/>
  <c r="UOR6" i="20" s="1"/>
  <c r="UOQ6" i="20"/>
  <c r="UOQ6" i="20" a="1"/>
  <c r="UOP6" i="20"/>
  <c r="UOP6" i="20" a="1"/>
  <c r="UOO6" i="20" a="1"/>
  <c r="UOO6" i="20" s="1"/>
  <c r="UON6" i="20" a="1"/>
  <c r="UON6" i="20" s="1"/>
  <c r="UOM6" i="20"/>
  <c r="UOM6" i="20" a="1"/>
  <c r="UOL6" i="20" a="1"/>
  <c r="UOL6" i="20" s="1"/>
  <c r="UOK6" i="20"/>
  <c r="UOK6" i="20" a="1"/>
  <c r="UOJ6" i="20" a="1"/>
  <c r="UOJ6" i="20" s="1"/>
  <c r="UOI6" i="20" a="1"/>
  <c r="UOI6" i="20" s="1"/>
  <c r="UOH6" i="20" a="1"/>
  <c r="UOH6" i="20" s="1"/>
  <c r="UOG6" i="20"/>
  <c r="UOG6" i="20" a="1"/>
  <c r="UOF6" i="20" a="1"/>
  <c r="UOF6" i="20" s="1"/>
  <c r="UOE6" i="20" a="1"/>
  <c r="UOE6" i="20" s="1"/>
  <c r="UOD6" i="20"/>
  <c r="UOD6" i="20" a="1"/>
  <c r="UOC6" i="20"/>
  <c r="UOC6" i="20" a="1"/>
  <c r="UOB6" i="20" a="1"/>
  <c r="UOB6" i="20" s="1"/>
  <c r="UOA6" i="20" a="1"/>
  <c r="UOA6" i="20" s="1"/>
  <c r="UNZ6" i="20" a="1"/>
  <c r="UNZ6" i="20" s="1"/>
  <c r="UNY6" i="20" a="1"/>
  <c r="UNY6" i="20" s="1"/>
  <c r="UNX6" i="20"/>
  <c r="UNX6" i="20" a="1"/>
  <c r="UNW6" i="20" a="1"/>
  <c r="UNW6" i="20" s="1"/>
  <c r="UNV6" i="20" a="1"/>
  <c r="UNV6" i="20" s="1"/>
  <c r="UNU6" i="20"/>
  <c r="UNU6" i="20" a="1"/>
  <c r="UNT6" i="20" a="1"/>
  <c r="UNT6" i="20" s="1"/>
  <c r="UNS6" i="20"/>
  <c r="UNS6" i="20" a="1"/>
  <c r="UNR6" i="20" a="1"/>
  <c r="UNR6" i="20" s="1"/>
  <c r="UNQ6" i="20"/>
  <c r="UNQ6" i="20" a="1"/>
  <c r="UNP6" i="20"/>
  <c r="UNP6" i="20" a="1"/>
  <c r="UNO6" i="20" a="1"/>
  <c r="UNO6" i="20" s="1"/>
  <c r="UNN6" i="20" a="1"/>
  <c r="UNN6" i="20" s="1"/>
  <c r="UNM6" i="20"/>
  <c r="UNM6" i="20" a="1"/>
  <c r="UNL6" i="20" a="1"/>
  <c r="UNL6" i="20" s="1"/>
  <c r="UNK6" i="20"/>
  <c r="UNK6" i="20" a="1"/>
  <c r="UNJ6" i="20" a="1"/>
  <c r="UNJ6" i="20" s="1"/>
  <c r="UNI6" i="20" a="1"/>
  <c r="UNI6" i="20" s="1"/>
  <c r="UNH6" i="20" a="1"/>
  <c r="UNH6" i="20" s="1"/>
  <c r="UNG6" i="20" a="1"/>
  <c r="UNG6" i="20" s="1"/>
  <c r="UNF6" i="20"/>
  <c r="UNF6" i="20" a="1"/>
  <c r="UNE6" i="20" a="1"/>
  <c r="UNE6" i="20" s="1"/>
  <c r="UND6" i="20"/>
  <c r="UND6" i="20" a="1"/>
  <c r="UNC6" i="20"/>
  <c r="UNC6" i="20" a="1"/>
  <c r="UNB6" i="20" a="1"/>
  <c r="UNB6" i="20" s="1"/>
  <c r="UNA6" i="20"/>
  <c r="UNA6" i="20" a="1"/>
  <c r="UMZ6" i="20"/>
  <c r="UMZ6" i="20" a="1"/>
  <c r="UMY6" i="20" a="1"/>
  <c r="UMY6" i="20" s="1"/>
  <c r="UMX6" i="20"/>
  <c r="UMX6" i="20" a="1"/>
  <c r="UMW6" i="20" a="1"/>
  <c r="UMW6" i="20" s="1"/>
  <c r="UMV6" i="20" a="1"/>
  <c r="UMV6" i="20" s="1"/>
  <c r="UMU6" i="20" a="1"/>
  <c r="UMU6" i="20" s="1"/>
  <c r="UMT6" i="20" a="1"/>
  <c r="UMT6" i="20" s="1"/>
  <c r="UMS6" i="20"/>
  <c r="UMS6" i="20" a="1"/>
  <c r="UMR6" i="20" a="1"/>
  <c r="UMR6" i="20" s="1"/>
  <c r="UMQ6" i="20"/>
  <c r="UMQ6" i="20" a="1"/>
  <c r="UMP6" i="20" a="1"/>
  <c r="UMP6" i="20" s="1"/>
  <c r="UMO6" i="20" a="1"/>
  <c r="UMO6" i="20" s="1"/>
  <c r="UMN6" i="20" a="1"/>
  <c r="UMN6" i="20" s="1"/>
  <c r="UMM6" i="20"/>
  <c r="UMM6" i="20" a="1"/>
  <c r="UML6" i="20" a="1"/>
  <c r="UML6" i="20" s="1"/>
  <c r="UMK6" i="20"/>
  <c r="UMK6" i="20" a="1"/>
  <c r="UMJ6" i="20" a="1"/>
  <c r="UMJ6" i="20" s="1"/>
  <c r="UMI6" i="20"/>
  <c r="UMI6" i="20" a="1"/>
  <c r="UMH6" i="20" a="1"/>
  <c r="UMH6" i="20" s="1"/>
  <c r="UMG6" i="20"/>
  <c r="UMG6" i="20" a="1"/>
  <c r="UMF6" i="20"/>
  <c r="UMF6" i="20" a="1"/>
  <c r="UME6" i="20" a="1"/>
  <c r="UME6" i="20" s="1"/>
  <c r="UMD6" i="20" a="1"/>
  <c r="UMD6" i="20" s="1"/>
  <c r="UMC6" i="20" a="1"/>
  <c r="UMC6" i="20" s="1"/>
  <c r="UMB6" i="20" a="1"/>
  <c r="UMB6" i="20" s="1"/>
  <c r="UMA6" i="20" a="1"/>
  <c r="UMA6" i="20" s="1"/>
  <c r="ULZ6" i="20"/>
  <c r="ULZ6" i="20" a="1"/>
  <c r="ULY6" i="20" a="1"/>
  <c r="ULY6" i="20" s="1"/>
  <c r="ULX6" i="20" a="1"/>
  <c r="ULX6" i="20" s="1"/>
  <c r="ULW6" i="20"/>
  <c r="ULW6" i="20" a="1"/>
  <c r="ULV6" i="20"/>
  <c r="ULV6" i="20" a="1"/>
  <c r="ULU6" i="20" a="1"/>
  <c r="ULU6" i="20" s="1"/>
  <c r="ULT6" i="20"/>
  <c r="ULT6" i="20" a="1"/>
  <c r="ULS6" i="20"/>
  <c r="ULS6" i="20" a="1"/>
  <c r="ULR6" i="20" a="1"/>
  <c r="ULR6" i="20" s="1"/>
  <c r="ULQ6" i="20"/>
  <c r="ULQ6" i="20" a="1"/>
  <c r="ULP6" i="20" a="1"/>
  <c r="ULP6" i="20" s="1"/>
  <c r="ULO6" i="20" a="1"/>
  <c r="ULO6" i="20" s="1"/>
  <c r="ULN6" i="20" a="1"/>
  <c r="ULN6" i="20" s="1"/>
  <c r="ULM6" i="20"/>
  <c r="ULM6" i="20" a="1"/>
  <c r="ULL6" i="20" a="1"/>
  <c r="ULL6" i="20" s="1"/>
  <c r="ULK6" i="20" a="1"/>
  <c r="ULK6" i="20" s="1"/>
  <c r="ULJ6" i="20"/>
  <c r="ULJ6" i="20" a="1"/>
  <c r="ULI6" i="20"/>
  <c r="ULI6" i="20" a="1"/>
  <c r="ULH6" i="20" a="1"/>
  <c r="ULH6" i="20" s="1"/>
  <c r="ULG6" i="20"/>
  <c r="ULG6" i="20" a="1"/>
  <c r="ULF6" i="20" a="1"/>
  <c r="ULF6" i="20" s="1"/>
  <c r="ULE6" i="20" a="1"/>
  <c r="ULE6" i="20" s="1"/>
  <c r="ULD6" i="20"/>
  <c r="ULD6" i="20" a="1"/>
  <c r="ULC6" i="20" a="1"/>
  <c r="ULC6" i="20" s="1"/>
  <c r="ULB6" i="20" a="1"/>
  <c r="ULB6" i="20" s="1"/>
  <c r="ULA6" i="20" a="1"/>
  <c r="ULA6" i="20" s="1"/>
  <c r="UKZ6" i="20" a="1"/>
  <c r="UKZ6" i="20" s="1"/>
  <c r="UKY6" i="20"/>
  <c r="UKY6" i="20" a="1"/>
  <c r="UKX6" i="20" a="1"/>
  <c r="UKX6" i="20" s="1"/>
  <c r="UKW6" i="20"/>
  <c r="UKW6" i="20" a="1"/>
  <c r="UKV6" i="20"/>
  <c r="UKV6" i="20" a="1"/>
  <c r="UKU6" i="20" a="1"/>
  <c r="UKU6" i="20" s="1"/>
  <c r="UKT6" i="20" a="1"/>
  <c r="UKT6" i="20" s="1"/>
  <c r="UKS6" i="20"/>
  <c r="UKS6" i="20" a="1"/>
  <c r="UKR6" i="20" a="1"/>
  <c r="UKR6" i="20" s="1"/>
  <c r="UKQ6" i="20"/>
  <c r="UKQ6" i="20" a="1"/>
  <c r="UKP6" i="20" a="1"/>
  <c r="UKP6" i="20" s="1"/>
  <c r="UKO6" i="20" a="1"/>
  <c r="UKO6" i="20" s="1"/>
  <c r="UKN6" i="20" a="1"/>
  <c r="UKN6" i="20" s="1"/>
  <c r="UKM6" i="20"/>
  <c r="UKM6" i="20" a="1"/>
  <c r="UKL6" i="20"/>
  <c r="UKL6" i="20" a="1"/>
  <c r="UKK6" i="20" a="1"/>
  <c r="UKK6" i="20" s="1"/>
  <c r="UKJ6" i="20"/>
  <c r="UKJ6" i="20" a="1"/>
  <c r="UKI6" i="20"/>
  <c r="UKI6" i="20" a="1"/>
  <c r="UKH6" i="20" a="1"/>
  <c r="UKH6" i="20" s="1"/>
  <c r="UKG6" i="20"/>
  <c r="UKG6" i="20" a="1"/>
  <c r="UKF6" i="20"/>
  <c r="UKF6" i="20" a="1"/>
  <c r="UKE6" i="20" a="1"/>
  <c r="UKE6" i="20" s="1"/>
  <c r="UKD6" i="20"/>
  <c r="UKD6" i="20" a="1"/>
  <c r="UKC6" i="20" a="1"/>
  <c r="UKC6" i="20" s="1"/>
  <c r="UKB6" i="20" a="1"/>
  <c r="UKB6" i="20" s="1"/>
  <c r="UKA6" i="20" a="1"/>
  <c r="UKA6" i="20" s="1"/>
  <c r="UJZ6" i="20"/>
  <c r="UJZ6" i="20" a="1"/>
  <c r="UJY6" i="20"/>
  <c r="UJY6" i="20" a="1"/>
  <c r="UJX6" i="20" a="1"/>
  <c r="UJX6" i="20" s="1"/>
  <c r="UJW6" i="20"/>
  <c r="UJW6" i="20" a="1"/>
  <c r="UJV6" i="20" a="1"/>
  <c r="UJV6" i="20" s="1"/>
  <c r="UJU6" i="20" a="1"/>
  <c r="UJU6" i="20" s="1"/>
  <c r="UJT6" i="20"/>
  <c r="UJT6" i="20" a="1"/>
  <c r="UJS6" i="20"/>
  <c r="UJS6" i="20" a="1"/>
  <c r="UJR6" i="20" a="1"/>
  <c r="UJR6" i="20" s="1"/>
  <c r="UJQ6" i="20"/>
  <c r="UJQ6" i="20" a="1"/>
  <c r="UJP6" i="20" a="1"/>
  <c r="UJP6" i="20" s="1"/>
  <c r="UJO6" i="20"/>
  <c r="UJO6" i="20" a="1"/>
  <c r="UJN6" i="20" a="1"/>
  <c r="UJN6" i="20" s="1"/>
  <c r="UJM6" i="20" a="1"/>
  <c r="UJM6" i="20" s="1"/>
  <c r="UJL6" i="20"/>
  <c r="UJL6" i="20" a="1"/>
  <c r="UJK6" i="20" a="1"/>
  <c r="UJK6" i="20" s="1"/>
  <c r="UJJ6" i="20" a="1"/>
  <c r="UJJ6" i="20" s="1"/>
  <c r="UJI6" i="20" a="1"/>
  <c r="UJI6" i="20" s="1"/>
  <c r="UJH6" i="20" a="1"/>
  <c r="UJH6" i="20" s="1"/>
  <c r="UJG6" i="20"/>
  <c r="UJG6" i="20" a="1"/>
  <c r="UJF6" i="20"/>
  <c r="UJF6" i="20" a="1"/>
  <c r="UJE6" i="20" a="1"/>
  <c r="UJE6" i="20" s="1"/>
  <c r="UJD6" i="20" a="1"/>
  <c r="UJD6" i="20" s="1"/>
  <c r="UJC6" i="20"/>
  <c r="UJC6" i="20" a="1"/>
  <c r="UJB6" i="20"/>
  <c r="UJB6" i="20" a="1"/>
  <c r="UJA6" i="20" a="1"/>
  <c r="UJA6" i="20" s="1"/>
  <c r="UIZ6" i="20"/>
  <c r="UIZ6" i="20" a="1"/>
  <c r="UIY6" i="20"/>
  <c r="UIY6" i="20" a="1"/>
  <c r="UIX6" i="20" a="1"/>
  <c r="UIX6" i="20" s="1"/>
  <c r="UIW6" i="20"/>
  <c r="UIW6" i="20" a="1"/>
  <c r="UIV6" i="20" a="1"/>
  <c r="UIV6" i="20" s="1"/>
  <c r="UIU6" i="20" a="1"/>
  <c r="UIU6" i="20" s="1"/>
  <c r="UIT6" i="20"/>
  <c r="UIT6" i="20" a="1"/>
  <c r="UIS6" i="20"/>
  <c r="UIS6" i="20" a="1"/>
  <c r="UIR6" i="20" a="1"/>
  <c r="UIR6" i="20" s="1"/>
  <c r="UIQ6" i="20" a="1"/>
  <c r="UIQ6" i="20" s="1"/>
  <c r="UIP6" i="20"/>
  <c r="UIP6" i="20" a="1"/>
  <c r="UIO6" i="20"/>
  <c r="UIO6" i="20" a="1"/>
  <c r="UIN6" i="20" a="1"/>
  <c r="UIN6" i="20" s="1"/>
  <c r="UIM6" i="20" a="1"/>
  <c r="UIM6" i="20" s="1"/>
  <c r="UIL6" i="20" a="1"/>
  <c r="UIL6" i="20" s="1"/>
  <c r="UIK6" i="20" a="1"/>
  <c r="UIK6" i="20" s="1"/>
  <c r="UIJ6" i="20"/>
  <c r="UIJ6" i="20" a="1"/>
  <c r="UII6" i="20" a="1"/>
  <c r="UII6" i="20" s="1"/>
  <c r="UIH6" i="20" a="1"/>
  <c r="UIH6" i="20" s="1"/>
  <c r="UIG6" i="20"/>
  <c r="UIG6" i="20" a="1"/>
  <c r="UIF6" i="20" a="1"/>
  <c r="UIF6" i="20" s="1"/>
  <c r="UIE6" i="20"/>
  <c r="UIE6" i="20" a="1"/>
  <c r="UID6" i="20" a="1"/>
  <c r="UID6" i="20" s="1"/>
  <c r="UIC6" i="20"/>
  <c r="UIC6" i="20" a="1"/>
  <c r="UIB6" i="20"/>
  <c r="UIB6" i="20" a="1"/>
  <c r="UIA6" i="20" a="1"/>
  <c r="UIA6" i="20" s="1"/>
  <c r="UHZ6" i="20" a="1"/>
  <c r="UHZ6" i="20" s="1"/>
  <c r="UHY6" i="20"/>
  <c r="UHY6" i="20" a="1"/>
  <c r="UHX6" i="20" a="1"/>
  <c r="UHX6" i="20" s="1"/>
  <c r="UHW6" i="20"/>
  <c r="UHW6" i="20" a="1"/>
  <c r="UHV6" i="20" a="1"/>
  <c r="UHV6" i="20" s="1"/>
  <c r="UHU6" i="20" a="1"/>
  <c r="UHU6" i="20" s="1"/>
  <c r="UHT6" i="20" a="1"/>
  <c r="UHT6" i="20" s="1"/>
  <c r="UHS6" i="20"/>
  <c r="UHS6" i="20" a="1"/>
  <c r="UHR6" i="20"/>
  <c r="UHR6" i="20" a="1"/>
  <c r="UHQ6" i="20" a="1"/>
  <c r="UHQ6" i="20" s="1"/>
  <c r="UHP6" i="20"/>
  <c r="UHP6" i="20" a="1"/>
  <c r="UHO6" i="20"/>
  <c r="UHO6" i="20" a="1"/>
  <c r="UHN6" i="20" a="1"/>
  <c r="UHN6" i="20" s="1"/>
  <c r="UHM6" i="20" a="1"/>
  <c r="UHM6" i="20" s="1"/>
  <c r="UHL6" i="20"/>
  <c r="UHL6" i="20" a="1"/>
  <c r="UHK6" i="20" a="1"/>
  <c r="UHK6" i="20" s="1"/>
  <c r="UHJ6" i="20"/>
  <c r="UHJ6" i="20" a="1"/>
  <c r="UHI6" i="20" a="1"/>
  <c r="UHI6" i="20" s="1"/>
  <c r="UHH6" i="20" a="1"/>
  <c r="UHH6" i="20" s="1"/>
  <c r="UHG6" i="20" a="1"/>
  <c r="UHG6" i="20" s="1"/>
  <c r="UHF6" i="20" a="1"/>
  <c r="UHF6" i="20" s="1"/>
  <c r="UHE6" i="20"/>
  <c r="UHE6" i="20" a="1"/>
  <c r="UHD6" i="20" a="1"/>
  <c r="UHD6" i="20" s="1"/>
  <c r="UHC6" i="20"/>
  <c r="UHC6" i="20" a="1"/>
  <c r="UHB6" i="20" a="1"/>
  <c r="UHB6" i="20" s="1"/>
  <c r="UHA6" i="20" a="1"/>
  <c r="UHA6" i="20" s="1"/>
  <c r="UGZ6" i="20" a="1"/>
  <c r="UGZ6" i="20" s="1"/>
  <c r="UGY6" i="20"/>
  <c r="UGY6" i="20" a="1"/>
  <c r="UGX6" i="20" a="1"/>
  <c r="UGX6" i="20" s="1"/>
  <c r="UGW6" i="20"/>
  <c r="UGW6" i="20" a="1"/>
  <c r="UGV6" i="20" a="1"/>
  <c r="UGV6" i="20" s="1"/>
  <c r="UGU6" i="20"/>
  <c r="UGU6" i="20" a="1"/>
  <c r="UGT6" i="20" a="1"/>
  <c r="UGT6" i="20" s="1"/>
  <c r="UGS6" i="20" a="1"/>
  <c r="UGS6" i="20" s="1"/>
  <c r="UGR6" i="20"/>
  <c r="UGR6" i="20" a="1"/>
  <c r="UGQ6" i="20" a="1"/>
  <c r="UGQ6" i="20" s="1"/>
  <c r="UGP6" i="20" a="1"/>
  <c r="UGP6" i="20" s="1"/>
  <c r="UGO6" i="20" a="1"/>
  <c r="UGO6" i="20" s="1"/>
  <c r="UGN6" i="20" a="1"/>
  <c r="UGN6" i="20" s="1"/>
  <c r="UGM6" i="20"/>
  <c r="UGM6" i="20" a="1"/>
  <c r="UGL6" i="20"/>
  <c r="UGL6" i="20" a="1"/>
  <c r="UGK6" i="20" a="1"/>
  <c r="UGK6" i="20" s="1"/>
  <c r="UGJ6" i="20" a="1"/>
  <c r="UGJ6" i="20" s="1"/>
  <c r="UGI6" i="20"/>
  <c r="UGI6" i="20" a="1"/>
  <c r="UGH6" i="20"/>
  <c r="UGH6" i="20" a="1"/>
  <c r="UGG6" i="20" a="1"/>
  <c r="UGG6" i="20" s="1"/>
  <c r="UGF6" i="20"/>
  <c r="UGF6" i="20" a="1"/>
  <c r="UGE6" i="20"/>
  <c r="UGE6" i="20" a="1"/>
  <c r="UGD6" i="20" a="1"/>
  <c r="UGD6" i="20" s="1"/>
  <c r="UGC6" i="20"/>
  <c r="UGC6" i="20" a="1"/>
  <c r="UGB6" i="20" a="1"/>
  <c r="UGB6" i="20" s="1"/>
  <c r="UGA6" i="20" a="1"/>
  <c r="UGA6" i="20" s="1"/>
  <c r="UFZ6" i="20" a="1"/>
  <c r="UFZ6" i="20" s="1"/>
  <c r="UFY6" i="20"/>
  <c r="UFY6" i="20" a="1"/>
  <c r="UFX6" i="20" a="1"/>
  <c r="UFX6" i="20" s="1"/>
  <c r="UFW6" i="20" a="1"/>
  <c r="UFW6" i="20" s="1"/>
  <c r="UFV6" i="20"/>
  <c r="UFV6" i="20" a="1"/>
  <c r="UFU6" i="20"/>
  <c r="UFU6" i="20" a="1"/>
  <c r="UFT6" i="20" a="1"/>
  <c r="UFT6" i="20" s="1"/>
  <c r="UFS6" i="20" a="1"/>
  <c r="UFS6" i="20" s="1"/>
  <c r="UFR6" i="20" a="1"/>
  <c r="UFR6" i="20" s="1"/>
  <c r="UFQ6" i="20" a="1"/>
  <c r="UFQ6" i="20" s="1"/>
  <c r="UFP6" i="20"/>
  <c r="UFP6" i="20" a="1"/>
  <c r="UFO6" i="20" a="1"/>
  <c r="UFO6" i="20" s="1"/>
  <c r="UFN6" i="20" a="1"/>
  <c r="UFN6" i="20" s="1"/>
  <c r="UFM6" i="20" a="1"/>
  <c r="UFM6" i="20" s="1"/>
  <c r="UFL6" i="20" a="1"/>
  <c r="UFL6" i="20" s="1"/>
  <c r="UFK6" i="20"/>
  <c r="UFK6" i="20" a="1"/>
  <c r="UFJ6" i="20" a="1"/>
  <c r="UFJ6" i="20" s="1"/>
  <c r="UFI6" i="20"/>
  <c r="UFI6" i="20" a="1"/>
  <c r="UFH6" i="20"/>
  <c r="UFH6" i="20" a="1"/>
  <c r="UFG6" i="20" a="1"/>
  <c r="UFG6" i="20" s="1"/>
  <c r="UFF6" i="20" a="1"/>
  <c r="UFF6" i="20" s="1"/>
  <c r="UFE6" i="20"/>
  <c r="UFE6" i="20" a="1"/>
  <c r="UFD6" i="20" a="1"/>
  <c r="UFD6" i="20" s="1"/>
  <c r="UFC6" i="20"/>
  <c r="UFC6" i="20" a="1"/>
  <c r="UFB6" i="20" a="1"/>
  <c r="UFB6" i="20" s="1"/>
  <c r="UFA6" i="20" a="1"/>
  <c r="UFA6" i="20" s="1"/>
  <c r="UEZ6" i="20" a="1"/>
  <c r="UEZ6" i="20" s="1"/>
  <c r="UEY6" i="20"/>
  <c r="UEY6" i="20" a="1"/>
  <c r="UEX6" i="20"/>
  <c r="UEX6" i="20" a="1"/>
  <c r="UEW6" i="20" a="1"/>
  <c r="UEW6" i="20" s="1"/>
  <c r="UEV6" i="20"/>
  <c r="UEV6" i="20" a="1"/>
  <c r="UEU6" i="20"/>
  <c r="UEU6" i="20" a="1"/>
  <c r="UET6" i="20" a="1"/>
  <c r="UET6" i="20" s="1"/>
  <c r="UES6" i="20"/>
  <c r="UES6" i="20" a="1"/>
  <c r="UER6" i="20"/>
  <c r="UER6" i="20" a="1"/>
  <c r="UEQ6" i="20" a="1"/>
  <c r="UEQ6" i="20" s="1"/>
  <c r="UEP6" i="20"/>
  <c r="UEP6" i="20" a="1"/>
  <c r="UEO6" i="20" a="1"/>
  <c r="UEO6" i="20" s="1"/>
  <c r="UEN6" i="20" a="1"/>
  <c r="UEN6" i="20" s="1"/>
  <c r="UEM6" i="20" a="1"/>
  <c r="UEM6" i="20" s="1"/>
  <c r="UEL6" i="20" a="1"/>
  <c r="UEL6" i="20" s="1"/>
  <c r="UEK6" i="20"/>
  <c r="UEK6" i="20" a="1"/>
  <c r="UEJ6" i="20" a="1"/>
  <c r="UEJ6" i="20" s="1"/>
  <c r="UEI6" i="20"/>
  <c r="UEI6" i="20" a="1"/>
  <c r="UEH6" i="20" a="1"/>
  <c r="UEH6" i="20" s="1"/>
  <c r="UEG6" i="20" a="1"/>
  <c r="UEG6" i="20" s="1"/>
  <c r="UEF6" i="20"/>
  <c r="UEF6" i="20" a="1"/>
  <c r="UEE6" i="20"/>
  <c r="UEE6" i="20" a="1"/>
  <c r="UED6" i="20" a="1"/>
  <c r="UED6" i="20" s="1"/>
  <c r="UEC6" i="20"/>
  <c r="UEC6" i="20" a="1"/>
  <c r="UEB6" i="20" a="1"/>
  <c r="UEB6" i="20" s="1"/>
  <c r="UEA6" i="20"/>
  <c r="UEA6" i="20" a="1"/>
  <c r="UDZ6" i="20" a="1"/>
  <c r="UDZ6" i="20" s="1"/>
  <c r="UDY6" i="20" a="1"/>
  <c r="UDY6" i="20" s="1"/>
  <c r="UDX6" i="20"/>
  <c r="UDX6" i="20" a="1"/>
  <c r="UDW6" i="20" a="1"/>
  <c r="UDW6" i="20" s="1"/>
  <c r="UDV6" i="20" a="1"/>
  <c r="UDV6" i="20" s="1"/>
  <c r="UDU6" i="20" a="1"/>
  <c r="UDU6" i="20" s="1"/>
  <c r="UDT6" i="20" a="1"/>
  <c r="UDT6" i="20" s="1"/>
  <c r="UDS6" i="20"/>
  <c r="UDS6" i="20" a="1"/>
  <c r="UDR6" i="20"/>
  <c r="UDR6" i="20" a="1"/>
  <c r="UDQ6" i="20" a="1"/>
  <c r="UDQ6" i="20" s="1"/>
  <c r="UDP6" i="20" a="1"/>
  <c r="UDP6" i="20" s="1"/>
  <c r="UDO6" i="20"/>
  <c r="UDO6" i="20" a="1"/>
  <c r="UDN6" i="20"/>
  <c r="UDN6" i="20" a="1"/>
  <c r="UDM6" i="20" a="1"/>
  <c r="UDM6" i="20" s="1"/>
  <c r="UDL6" i="20" a="1"/>
  <c r="UDL6" i="20" s="1"/>
  <c r="UDK6" i="20"/>
  <c r="UDK6" i="20" a="1"/>
  <c r="UDJ6" i="20" a="1"/>
  <c r="UDJ6" i="20" s="1"/>
  <c r="UDI6" i="20"/>
  <c r="UDI6" i="20" a="1"/>
  <c r="UDH6" i="20" a="1"/>
  <c r="UDH6" i="20" s="1"/>
  <c r="UDG6" i="20" a="1"/>
  <c r="UDG6" i="20" s="1"/>
  <c r="UDF6" i="20" a="1"/>
  <c r="UDF6" i="20" s="1"/>
  <c r="UDE6" i="20"/>
  <c r="UDE6" i="20" a="1"/>
  <c r="UDD6" i="20" a="1"/>
  <c r="UDD6" i="20" s="1"/>
  <c r="UDC6" i="20" a="1"/>
  <c r="UDC6" i="20" s="1"/>
  <c r="UDB6" i="20"/>
  <c r="UDB6" i="20" a="1"/>
  <c r="UDA6" i="20"/>
  <c r="UDA6" i="20" a="1"/>
  <c r="UCZ6" i="20" a="1"/>
  <c r="UCZ6" i="20" s="1"/>
  <c r="UCY6" i="20"/>
  <c r="UCY6" i="20" a="1"/>
  <c r="UCX6" i="20" a="1"/>
  <c r="UCX6" i="20" s="1"/>
  <c r="UCW6" i="20" a="1"/>
  <c r="UCW6" i="20" s="1"/>
  <c r="UCV6" i="20"/>
  <c r="UCV6" i="20" a="1"/>
  <c r="UCU6" i="20" a="1"/>
  <c r="UCU6" i="20" s="1"/>
  <c r="UCT6" i="20" a="1"/>
  <c r="UCT6" i="20" s="1"/>
  <c r="UCS6" i="20" a="1"/>
  <c r="UCS6" i="20" s="1"/>
  <c r="UCR6" i="20" a="1"/>
  <c r="UCR6" i="20" s="1"/>
  <c r="UCQ6" i="20"/>
  <c r="UCQ6" i="20" a="1"/>
  <c r="UCP6" i="20" a="1"/>
  <c r="UCP6" i="20" s="1"/>
  <c r="UCO6" i="20"/>
  <c r="UCO6" i="20" a="1"/>
  <c r="UCN6" i="20"/>
  <c r="UCN6" i="20" a="1"/>
  <c r="UCM6" i="20" a="1"/>
  <c r="UCM6" i="20" s="1"/>
  <c r="UCL6" i="20" a="1"/>
  <c r="UCL6" i="20" s="1"/>
  <c r="UCK6" i="20"/>
  <c r="UCK6" i="20" a="1"/>
  <c r="UCJ6" i="20" a="1"/>
  <c r="UCJ6" i="20" s="1"/>
  <c r="UCI6" i="20"/>
  <c r="UCI6" i="20" a="1"/>
  <c r="UCH6" i="20" a="1"/>
  <c r="UCH6" i="20" s="1"/>
  <c r="UCG6" i="20" a="1"/>
  <c r="UCG6" i="20" s="1"/>
  <c r="UCF6" i="20" a="1"/>
  <c r="UCF6" i="20" s="1"/>
  <c r="UCE6" i="20" a="1"/>
  <c r="UCE6" i="20" s="1"/>
  <c r="UCD6" i="20"/>
  <c r="UCD6" i="20" a="1"/>
  <c r="UCC6" i="20" a="1"/>
  <c r="UCC6" i="20" s="1"/>
  <c r="UCB6" i="20"/>
  <c r="UCB6" i="20" a="1"/>
  <c r="UCA6" i="20"/>
  <c r="UCA6" i="20" a="1"/>
  <c r="UBZ6" i="20" a="1"/>
  <c r="UBZ6" i="20" s="1"/>
  <c r="UBY6" i="20" a="1"/>
  <c r="UBY6" i="20" s="1"/>
  <c r="UBX6" i="20"/>
  <c r="UBX6" i="20" a="1"/>
  <c r="UBW6" i="20" a="1"/>
  <c r="UBW6" i="20" s="1"/>
  <c r="UBV6" i="20"/>
  <c r="UBV6" i="20" a="1"/>
  <c r="UBU6" i="20" a="1"/>
  <c r="UBU6" i="20" s="1"/>
  <c r="UBT6" i="20" a="1"/>
  <c r="UBT6" i="20" s="1"/>
  <c r="UBS6" i="20" a="1"/>
  <c r="UBS6" i="20" s="1"/>
  <c r="UBR6" i="20" a="1"/>
  <c r="UBR6" i="20" s="1"/>
  <c r="UBQ6" i="20"/>
  <c r="UBQ6" i="20" a="1"/>
  <c r="UBP6" i="20" a="1"/>
  <c r="UBP6" i="20" s="1"/>
  <c r="UBO6" i="20"/>
  <c r="UBO6" i="20" a="1"/>
  <c r="UBN6" i="20" a="1"/>
  <c r="UBN6" i="20" s="1"/>
  <c r="UBM6" i="20" a="1"/>
  <c r="UBM6" i="20" s="1"/>
  <c r="UBL6" i="20"/>
  <c r="UBL6" i="20" a="1"/>
  <c r="UBK6" i="20"/>
  <c r="UBK6" i="20" a="1"/>
  <c r="UBJ6" i="20" a="1"/>
  <c r="UBJ6" i="20" s="1"/>
  <c r="UBI6" i="20"/>
  <c r="UBI6" i="20" a="1"/>
  <c r="UBH6" i="20" a="1"/>
  <c r="UBH6" i="20" s="1"/>
  <c r="UBG6" i="20"/>
  <c r="UBG6" i="20" a="1"/>
  <c r="UBF6" i="20" a="1"/>
  <c r="UBF6" i="20" s="1"/>
  <c r="UBE6" i="20"/>
  <c r="UBE6" i="20" a="1"/>
  <c r="UBD6" i="20"/>
  <c r="UBD6" i="20" a="1"/>
  <c r="UBC6" i="20" a="1"/>
  <c r="UBC6" i="20" s="1"/>
  <c r="UBB6" i="20" a="1"/>
  <c r="UBB6" i="20" s="1"/>
  <c r="UBA6" i="20" a="1"/>
  <c r="UBA6" i="20" s="1"/>
  <c r="UAZ6" i="20" a="1"/>
  <c r="UAZ6" i="20" s="1"/>
  <c r="UAY6" i="20"/>
  <c r="UAY6" i="20" a="1"/>
  <c r="UAX6" i="20"/>
  <c r="UAX6" i="20" a="1"/>
  <c r="UAW6" i="20" a="1"/>
  <c r="UAW6" i="20" s="1"/>
  <c r="UAV6" i="20" a="1"/>
  <c r="UAV6" i="20" s="1"/>
  <c r="UAU6" i="20"/>
  <c r="UAU6" i="20" a="1"/>
  <c r="UAT6" i="20"/>
  <c r="UAT6" i="20" a="1"/>
  <c r="UAS6" i="20" a="1"/>
  <c r="UAS6" i="20" s="1"/>
  <c r="UAR6" i="20"/>
  <c r="UAR6" i="20" a="1"/>
  <c r="UAQ6" i="20"/>
  <c r="UAQ6" i="20" a="1"/>
  <c r="UAP6" i="20" a="1"/>
  <c r="UAP6" i="20" s="1"/>
  <c r="UAO6" i="20"/>
  <c r="UAO6" i="20" a="1"/>
  <c r="UAN6" i="20" a="1"/>
  <c r="UAN6" i="20" s="1"/>
  <c r="UAM6" i="20" a="1"/>
  <c r="UAM6" i="20" s="1"/>
  <c r="UAL6" i="20"/>
  <c r="UAL6" i="20" a="1"/>
  <c r="UAK6" i="20"/>
  <c r="UAK6" i="20" a="1"/>
  <c r="UAJ6" i="20" a="1"/>
  <c r="UAJ6" i="20" s="1"/>
  <c r="UAI6" i="20" a="1"/>
  <c r="UAI6" i="20" s="1"/>
  <c r="UAH6" i="20"/>
  <c r="UAH6" i="20" a="1"/>
  <c r="UAG6" i="20"/>
  <c r="UAG6" i="20" a="1"/>
  <c r="UAF6" i="20" a="1"/>
  <c r="UAF6" i="20" s="1"/>
  <c r="UAE6" i="20"/>
  <c r="UAE6" i="20" a="1"/>
  <c r="UAD6" i="20" a="1"/>
  <c r="UAD6" i="20" s="1"/>
  <c r="UAC6" i="20" a="1"/>
  <c r="UAC6" i="20" s="1"/>
  <c r="UAB6" i="20"/>
  <c r="UAB6" i="20" a="1"/>
  <c r="UAA6" i="20" a="1"/>
  <c r="UAA6" i="20" s="1"/>
  <c r="TZZ6" i="20" a="1"/>
  <c r="TZZ6" i="20" s="1"/>
  <c r="TZY6" i="20" a="1"/>
  <c r="TZY6" i="20" s="1"/>
  <c r="TZX6" i="20" a="1"/>
  <c r="TZX6" i="20" s="1"/>
  <c r="TZW6" i="20"/>
  <c r="TZW6" i="20" a="1"/>
  <c r="TZV6" i="20" a="1"/>
  <c r="TZV6" i="20" s="1"/>
  <c r="TZU6" i="20"/>
  <c r="TZU6" i="20" a="1"/>
  <c r="TZT6" i="20"/>
  <c r="TZT6" i="20" a="1"/>
  <c r="TZS6" i="20" a="1"/>
  <c r="TZS6" i="20" s="1"/>
  <c r="TZR6" i="20" a="1"/>
  <c r="TZR6" i="20" s="1"/>
  <c r="TZQ6" i="20"/>
  <c r="TZQ6" i="20" a="1"/>
  <c r="TZP6" i="20" a="1"/>
  <c r="TZP6" i="20" s="1"/>
  <c r="TZO6" i="20"/>
  <c r="TZO6" i="20" a="1"/>
  <c r="TZN6" i="20" a="1"/>
  <c r="TZN6" i="20" s="1"/>
  <c r="TZM6" i="20" a="1"/>
  <c r="TZM6" i="20" s="1"/>
  <c r="TZL6" i="20" a="1"/>
  <c r="TZL6" i="20" s="1"/>
  <c r="TZK6" i="20" a="1"/>
  <c r="TZK6" i="20" s="1"/>
  <c r="TZJ6" i="20"/>
  <c r="TZJ6" i="20" a="1"/>
  <c r="TZI6" i="20" a="1"/>
  <c r="TZI6" i="20" s="1"/>
  <c r="TZH6" i="20"/>
  <c r="TZH6" i="20" a="1"/>
  <c r="TZG6" i="20"/>
  <c r="TZG6" i="20" a="1"/>
  <c r="TZF6" i="20" a="1"/>
  <c r="TZF6" i="20" s="1"/>
  <c r="TZE6" i="20"/>
  <c r="TZE6" i="20" a="1"/>
  <c r="TZD6" i="20"/>
  <c r="TZD6" i="20" a="1"/>
  <c r="TZC6" i="20" a="1"/>
  <c r="TZC6" i="20" s="1"/>
  <c r="TZB6" i="20"/>
  <c r="TZB6" i="20" a="1"/>
  <c r="TZA6" i="20" a="1"/>
  <c r="TZA6" i="20" s="1"/>
  <c r="TYZ6" i="20" a="1"/>
  <c r="TYZ6" i="20" s="1"/>
  <c r="TYY6" i="20"/>
  <c r="TYY6" i="20" a="1"/>
  <c r="TYX6" i="20"/>
  <c r="TYX6" i="20" a="1"/>
  <c r="TYW6" i="20"/>
  <c r="TYW6" i="20" a="1"/>
  <c r="TYV6" i="20" a="1"/>
  <c r="TYV6" i="20" s="1"/>
  <c r="TYU6" i="20"/>
  <c r="TYU6" i="20" a="1"/>
  <c r="TYT6" i="20" a="1"/>
  <c r="TYT6" i="20" s="1"/>
  <c r="TYS6" i="20" a="1"/>
  <c r="TYS6" i="20" s="1"/>
  <c r="TYR6" i="20" a="1"/>
  <c r="TYR6" i="20" s="1"/>
  <c r="TYQ6" i="20"/>
  <c r="TYQ6" i="20" a="1"/>
  <c r="TYP6" i="20" a="1"/>
  <c r="TYP6" i="20" s="1"/>
  <c r="TYO6" i="20"/>
  <c r="TYO6" i="20" a="1"/>
  <c r="TYN6" i="20" a="1"/>
  <c r="TYN6" i="20" s="1"/>
  <c r="TYM6" i="20"/>
  <c r="TYM6" i="20" a="1"/>
  <c r="TYL6" i="20"/>
  <c r="TYL6" i="20" a="1"/>
  <c r="TYK6" i="20" a="1"/>
  <c r="TYK6" i="20" s="1"/>
  <c r="TYJ6" i="20"/>
  <c r="TYJ6" i="20" a="1"/>
  <c r="TYI6" i="20" a="1"/>
  <c r="TYI6" i="20" s="1"/>
  <c r="TYH6" i="20" a="1"/>
  <c r="TYH6" i="20" s="1"/>
  <c r="TYG6" i="20" a="1"/>
  <c r="TYG6" i="20" s="1"/>
  <c r="TYF6" i="20" a="1"/>
  <c r="TYF6" i="20" s="1"/>
  <c r="TYE6" i="20"/>
  <c r="TYE6" i="20" a="1"/>
  <c r="TYD6" i="20"/>
  <c r="TYD6" i="20" a="1"/>
  <c r="TYC6" i="20" a="1"/>
  <c r="TYC6" i="20" s="1"/>
  <c r="TYB6" i="20" a="1"/>
  <c r="TYB6" i="20" s="1"/>
  <c r="TYA6" i="20"/>
  <c r="TYA6" i="20" a="1"/>
  <c r="TXZ6" i="20"/>
  <c r="TXZ6" i="20" a="1"/>
  <c r="TXY6" i="20" a="1"/>
  <c r="TXY6" i="20" s="1"/>
  <c r="TXX6" i="20" a="1"/>
  <c r="TXX6" i="20" s="1"/>
  <c r="TXW6" i="20"/>
  <c r="TXW6" i="20" a="1"/>
  <c r="TXV6" i="20" a="1"/>
  <c r="TXV6" i="20" s="1"/>
  <c r="TXU6" i="20"/>
  <c r="TXU6" i="20" a="1"/>
  <c r="TXT6" i="20" a="1"/>
  <c r="TXT6" i="20" s="1"/>
  <c r="TXS6" i="20" a="1"/>
  <c r="TXS6" i="20" s="1"/>
  <c r="TXR6" i="20"/>
  <c r="TXR6" i="20" a="1"/>
  <c r="TXQ6" i="20" a="1"/>
  <c r="TXQ6" i="20" s="1"/>
  <c r="TXP6" i="20" a="1"/>
  <c r="TXP6" i="20" s="1"/>
  <c r="TXO6" i="20" a="1"/>
  <c r="TXO6" i="20" s="1"/>
  <c r="TXN6" i="20"/>
  <c r="TXN6" i="20" a="1"/>
  <c r="TXM6" i="20"/>
  <c r="TXM6" i="20" a="1"/>
  <c r="TXL6" i="20"/>
  <c r="TXL6" i="20" a="1"/>
  <c r="TXK6" i="20"/>
  <c r="TXK6" i="20" a="1"/>
  <c r="TXJ6" i="20" a="1"/>
  <c r="TXJ6" i="20" s="1"/>
  <c r="TXI6" i="20" a="1"/>
  <c r="TXI6" i="20" s="1"/>
  <c r="TXH6" i="20" a="1"/>
  <c r="TXH6" i="20" s="1"/>
  <c r="TXG6" i="20" a="1"/>
  <c r="TXG6" i="20" s="1"/>
  <c r="TXF6" i="20" a="1"/>
  <c r="TXF6" i="20" s="1"/>
  <c r="TXE6" i="20"/>
  <c r="TXE6" i="20" a="1"/>
  <c r="TXD6" i="20" a="1"/>
  <c r="TXD6" i="20" s="1"/>
  <c r="TXC6" i="20"/>
  <c r="TXC6" i="20" a="1"/>
  <c r="TXB6" i="20" a="1"/>
  <c r="TXB6" i="20" s="1"/>
  <c r="TXA6" i="20"/>
  <c r="TXA6" i="20" a="1"/>
  <c r="TWZ6" i="20"/>
  <c r="TWZ6" i="20" a="1"/>
  <c r="TWY6" i="20" a="1"/>
  <c r="TWY6" i="20" s="1"/>
  <c r="TWX6" i="20" a="1"/>
  <c r="TWX6" i="20" s="1"/>
  <c r="TWW6" i="20" a="1"/>
  <c r="TWW6" i="20" s="1"/>
  <c r="TWV6" i="20" a="1"/>
  <c r="TWV6" i="20" s="1"/>
  <c r="TWU6" i="20" a="1"/>
  <c r="TWU6" i="20" s="1"/>
  <c r="TWT6" i="20" a="1"/>
  <c r="TWT6" i="20" s="1"/>
  <c r="TWS6" i="20" a="1"/>
  <c r="TWS6" i="20" s="1"/>
  <c r="TWR6" i="20" a="1"/>
  <c r="TWR6" i="20" s="1"/>
  <c r="TWQ6" i="20"/>
  <c r="TWQ6" i="20" a="1"/>
  <c r="TWP6" i="20"/>
  <c r="TWP6" i="20" a="1"/>
  <c r="TWO6" i="20" a="1"/>
  <c r="TWO6" i="20" s="1"/>
  <c r="TWN6" i="20"/>
  <c r="TWN6" i="20" a="1"/>
  <c r="TWM6" i="20"/>
  <c r="TWM6" i="20" a="1"/>
  <c r="TWL6" i="20" a="1"/>
  <c r="TWL6" i="20" s="1"/>
  <c r="TWK6" i="20" a="1"/>
  <c r="TWK6" i="20" s="1"/>
  <c r="TWJ6" i="20"/>
  <c r="TWJ6" i="20" a="1"/>
  <c r="TWI6" i="20" a="1"/>
  <c r="TWI6" i="20" s="1"/>
  <c r="TWH6" i="20"/>
  <c r="TWH6" i="20" a="1"/>
  <c r="TWG6" i="20" a="1"/>
  <c r="TWG6" i="20" s="1"/>
  <c r="TWF6" i="20" a="1"/>
  <c r="TWF6" i="20" s="1"/>
  <c r="TWE6" i="20" a="1"/>
  <c r="TWE6" i="20" s="1"/>
  <c r="TWD6" i="20" a="1"/>
  <c r="TWD6" i="20" s="1"/>
  <c r="TWC6" i="20"/>
  <c r="TWC6" i="20" a="1"/>
  <c r="TWB6" i="20" a="1"/>
  <c r="TWB6" i="20" s="1"/>
  <c r="TWA6" i="20"/>
  <c r="TWA6" i="20" a="1"/>
  <c r="TVZ6" i="20" a="1"/>
  <c r="TVZ6" i="20" s="1"/>
  <c r="TVY6" i="20" a="1"/>
  <c r="TVY6" i="20" s="1"/>
  <c r="TVX6" i="20"/>
  <c r="TVX6" i="20" a="1"/>
  <c r="TVW6" i="20" a="1"/>
  <c r="TVW6" i="20" s="1"/>
  <c r="TVV6" i="20" a="1"/>
  <c r="TVV6" i="20" s="1"/>
  <c r="TVU6" i="20" a="1"/>
  <c r="TVU6" i="20" s="1"/>
  <c r="TVT6" i="20" a="1"/>
  <c r="TVT6" i="20" s="1"/>
  <c r="TVS6" i="20"/>
  <c r="TVS6" i="20" a="1"/>
  <c r="TVR6" i="20" a="1"/>
  <c r="TVR6" i="20" s="1"/>
  <c r="TVQ6" i="20"/>
  <c r="TVQ6" i="20" a="1"/>
  <c r="TVP6" i="20"/>
  <c r="TVP6" i="20" a="1"/>
  <c r="TVO6" i="20" a="1"/>
  <c r="TVO6" i="20" s="1"/>
  <c r="TVN6" i="20" a="1"/>
  <c r="TVN6" i="20" s="1"/>
  <c r="TVM6" i="20" a="1"/>
  <c r="TVM6" i="20" s="1"/>
  <c r="TVL6" i="20" a="1"/>
  <c r="TVL6" i="20" s="1"/>
  <c r="TVK6" i="20" a="1"/>
  <c r="TVK6" i="20" s="1"/>
  <c r="TVJ6" i="20" a="1"/>
  <c r="TVJ6" i="20" s="1"/>
  <c r="TVI6" i="20" a="1"/>
  <c r="TVI6" i="20" s="1"/>
  <c r="TVH6" i="20" a="1"/>
  <c r="TVH6" i="20" s="1"/>
  <c r="TVG6" i="20"/>
  <c r="TVG6" i="20" a="1"/>
  <c r="TVF6" i="20"/>
  <c r="TVF6" i="20" a="1"/>
  <c r="TVE6" i="20"/>
  <c r="TVE6" i="20" a="1"/>
  <c r="TVD6" i="20" a="1"/>
  <c r="TVD6" i="20" s="1"/>
  <c r="TVC6" i="20"/>
  <c r="TVC6" i="20" a="1"/>
  <c r="TVB6" i="20" a="1"/>
  <c r="TVB6" i="20" s="1"/>
  <c r="TVA6" i="20" a="1"/>
  <c r="TVA6" i="20" s="1"/>
  <c r="TUZ6" i="20" a="1"/>
  <c r="TUZ6" i="20" s="1"/>
  <c r="TUY6" i="20" a="1"/>
  <c r="TUY6" i="20" s="1"/>
  <c r="TUX6" i="20" a="1"/>
  <c r="TUX6" i="20" s="1"/>
  <c r="TUW6" i="20" a="1"/>
  <c r="TUW6" i="20" s="1"/>
  <c r="TUV6" i="20" a="1"/>
  <c r="TUV6" i="20" s="1"/>
  <c r="TUU6" i="20" a="1"/>
  <c r="TUU6" i="20" s="1"/>
  <c r="TUT6" i="20"/>
  <c r="TUT6" i="20" a="1"/>
  <c r="TUS6" i="20"/>
  <c r="TUS6" i="20" a="1"/>
  <c r="TUR6" i="20"/>
  <c r="TUR6" i="20" a="1"/>
  <c r="TUQ6" i="20" a="1"/>
  <c r="TUQ6" i="20" s="1"/>
  <c r="TUP6" i="20"/>
  <c r="TUP6" i="20" a="1"/>
  <c r="TUO6" i="20" a="1"/>
  <c r="TUO6" i="20" s="1"/>
  <c r="TUN6" i="20"/>
  <c r="TUN6" i="20" a="1"/>
  <c r="TUM6" i="20"/>
  <c r="TUM6" i="20" a="1"/>
  <c r="TUL6" i="20" a="1"/>
  <c r="TUL6" i="20" s="1"/>
  <c r="TUK6" i="20"/>
  <c r="TUK6" i="20" a="1"/>
  <c r="TUJ6" i="20"/>
  <c r="TUJ6" i="20" a="1"/>
  <c r="TUI6" i="20" a="1"/>
  <c r="TUI6" i="20" s="1"/>
  <c r="TUH6" i="20"/>
  <c r="TUH6" i="20" a="1"/>
  <c r="TUG6" i="20"/>
  <c r="TUG6" i="20" a="1"/>
  <c r="TUF6" i="20" a="1"/>
  <c r="TUF6" i="20" s="1"/>
  <c r="TUE6" i="20"/>
  <c r="TUE6" i="20" a="1"/>
  <c r="TUD6" i="20"/>
  <c r="TUD6" i="20" a="1"/>
  <c r="TUC6" i="20" a="1"/>
  <c r="TUC6" i="20" s="1"/>
  <c r="TUB6" i="20"/>
  <c r="TUB6" i="20" a="1"/>
  <c r="TUA6" i="20"/>
  <c r="TUA6" i="20" a="1"/>
  <c r="TTZ6" i="20"/>
  <c r="TTZ6" i="20" a="1"/>
  <c r="TTY6" i="20" a="1"/>
  <c r="TTY6" i="20" s="1"/>
  <c r="TTX6" i="20"/>
  <c r="TTX6" i="20" a="1"/>
  <c r="TTW6" i="20" a="1"/>
  <c r="TTW6" i="20" s="1"/>
  <c r="TTV6" i="20"/>
  <c r="TTV6" i="20" a="1"/>
  <c r="TTU6" i="20"/>
  <c r="TTU6" i="20" a="1"/>
  <c r="TTT6" i="20"/>
  <c r="TTT6" i="20" a="1"/>
  <c r="TTS6" i="20" a="1"/>
  <c r="TTS6" i="20" s="1"/>
  <c r="TTR6" i="20"/>
  <c r="TTR6" i="20" a="1"/>
  <c r="TTQ6" i="20" a="1"/>
  <c r="TTQ6" i="20" s="1"/>
  <c r="TTP6" i="20"/>
  <c r="TTP6" i="20" a="1"/>
  <c r="TTO6" i="20"/>
  <c r="TTO6" i="20" a="1"/>
  <c r="TTN6" i="20" a="1"/>
  <c r="TTN6" i="20" s="1"/>
  <c r="TTM6" i="20"/>
  <c r="TTM6" i="20" a="1"/>
  <c r="TTL6" i="20"/>
  <c r="TTL6" i="20" a="1"/>
  <c r="TTK6" i="20" a="1"/>
  <c r="TTK6" i="20" s="1"/>
  <c r="TTJ6" i="20"/>
  <c r="TTJ6" i="20" a="1"/>
  <c r="TTI6" i="20"/>
  <c r="TTI6" i="20" a="1"/>
  <c r="TTH6" i="20"/>
  <c r="TTH6" i="20" a="1"/>
  <c r="TTG6" i="20"/>
  <c r="TTG6" i="20" a="1"/>
  <c r="TTF6" i="20"/>
  <c r="TTF6" i="20" a="1"/>
  <c r="TTE6" i="20" a="1"/>
  <c r="TTE6" i="20" s="1"/>
  <c r="TTD6" i="20"/>
  <c r="TTD6" i="20" a="1"/>
  <c r="TTC6" i="20"/>
  <c r="TTC6" i="20" a="1"/>
  <c r="TTB6" i="20" a="1"/>
  <c r="TTB6" i="20" s="1"/>
  <c r="TTA6" i="20" a="1"/>
  <c r="TTA6" i="20" s="1"/>
  <c r="TSZ6" i="20"/>
  <c r="TSZ6" i="20" a="1"/>
  <c r="TSY6" i="20" a="1"/>
  <c r="TSY6" i="20" s="1"/>
  <c r="TSX6" i="20"/>
  <c r="TSX6" i="20" a="1"/>
  <c r="TSW6" i="20"/>
  <c r="TSW6" i="20" a="1"/>
  <c r="TSV6" i="20" a="1"/>
  <c r="TSV6" i="20" s="1"/>
  <c r="TSU6" i="20"/>
  <c r="TSU6" i="20" a="1"/>
  <c r="TST6" i="20"/>
  <c r="TST6" i="20" a="1"/>
  <c r="TSS6" i="20" a="1"/>
  <c r="TSS6" i="20" s="1"/>
  <c r="TSR6" i="20"/>
  <c r="TSR6" i="20" a="1"/>
  <c r="TSQ6" i="20"/>
  <c r="TSQ6" i="20" a="1"/>
  <c r="TSP6" i="20"/>
  <c r="TSP6" i="20" a="1"/>
  <c r="TSO6" i="20" a="1"/>
  <c r="TSO6" i="20" s="1"/>
  <c r="TSN6" i="20"/>
  <c r="TSN6" i="20" a="1"/>
  <c r="TSM6" i="20" a="1"/>
  <c r="TSM6" i="20" s="1"/>
  <c r="TSL6" i="20"/>
  <c r="TSL6" i="20" a="1"/>
  <c r="TSK6" i="20"/>
  <c r="TSK6" i="20" a="1"/>
  <c r="TSJ6" i="20" a="1"/>
  <c r="TSJ6" i="20" s="1"/>
  <c r="TSI6" i="20" a="1"/>
  <c r="TSI6" i="20" s="1"/>
  <c r="TSH6" i="20"/>
  <c r="TSH6" i="20" a="1"/>
  <c r="TSG6" i="20" a="1"/>
  <c r="TSG6" i="20" s="1"/>
  <c r="TSF6" i="20"/>
  <c r="TSF6" i="20" a="1"/>
  <c r="TSE6" i="20"/>
  <c r="TSE6" i="20" a="1"/>
  <c r="TSD6" i="20"/>
  <c r="TSD6" i="20" a="1"/>
  <c r="TSC6" i="20"/>
  <c r="TSC6" i="20" a="1"/>
  <c r="TSB6" i="20"/>
  <c r="TSB6" i="20" a="1"/>
  <c r="TSA6" i="20" a="1"/>
  <c r="TSA6" i="20" s="1"/>
  <c r="TRZ6" i="20"/>
  <c r="TRZ6" i="20" a="1"/>
  <c r="TRY6" i="20" a="1"/>
  <c r="TRY6" i="20" s="1"/>
  <c r="TRX6" i="20"/>
  <c r="TRX6" i="20" a="1"/>
  <c r="TRW6" i="20" a="1"/>
  <c r="TRW6" i="20" s="1"/>
  <c r="TRV6" i="20"/>
  <c r="TRV6" i="20" a="1"/>
  <c r="TRU6" i="20" a="1"/>
  <c r="TRU6" i="20" s="1"/>
  <c r="TRT6" i="20"/>
  <c r="TRT6" i="20" a="1"/>
  <c r="TRS6" i="20"/>
  <c r="TRS6" i="20" a="1"/>
  <c r="TRR6" i="20" a="1"/>
  <c r="TRR6" i="20" s="1"/>
  <c r="TRQ6" i="20"/>
  <c r="TRQ6" i="20" a="1"/>
  <c r="TRP6" i="20"/>
  <c r="TRP6" i="20" a="1"/>
  <c r="TRO6" i="20" a="1"/>
  <c r="TRO6" i="20" s="1"/>
  <c r="TRN6" i="20"/>
  <c r="TRN6" i="20" a="1"/>
  <c r="TRM6" i="20"/>
  <c r="TRM6" i="20" a="1"/>
  <c r="TRL6" i="20" a="1"/>
  <c r="TRL6" i="20" s="1"/>
  <c r="TRK6" i="20"/>
  <c r="TRK6" i="20" a="1"/>
  <c r="TRJ6" i="20"/>
  <c r="TRJ6" i="20" a="1"/>
  <c r="TRI6" i="20" a="1"/>
  <c r="TRI6" i="20" s="1"/>
  <c r="TRH6" i="20"/>
  <c r="TRH6" i="20" a="1"/>
  <c r="TRG6" i="20" a="1"/>
  <c r="TRG6" i="20" s="1"/>
  <c r="TRF6" i="20"/>
  <c r="TRF6" i="20" a="1"/>
  <c r="TRE6" i="20" a="1"/>
  <c r="TRE6" i="20" s="1"/>
  <c r="TRD6" i="20"/>
  <c r="TRD6" i="20" a="1"/>
  <c r="TRC6" i="20" a="1"/>
  <c r="TRC6" i="20" s="1"/>
  <c r="TRB6" i="20"/>
  <c r="TRB6" i="20" a="1"/>
  <c r="TRA6" i="20"/>
  <c r="TRA6" i="20" a="1"/>
  <c r="TQZ6" i="20"/>
  <c r="TQZ6" i="20" a="1"/>
  <c r="TQY6" i="20" a="1"/>
  <c r="TQY6" i="20" s="1"/>
  <c r="TQX6" i="20"/>
  <c r="TQX6" i="20" a="1"/>
  <c r="TQW6" i="20" a="1"/>
  <c r="TQW6" i="20" s="1"/>
  <c r="TQV6" i="20"/>
  <c r="TQV6" i="20" a="1"/>
  <c r="TQU6" i="20" a="1"/>
  <c r="TQU6" i="20" s="1"/>
  <c r="TQT6" i="20" a="1"/>
  <c r="TQT6" i="20" s="1"/>
  <c r="TQS6" i="20"/>
  <c r="TQS6" i="20" a="1"/>
  <c r="TQR6" i="20"/>
  <c r="TQR6" i="20" a="1"/>
  <c r="TQQ6" i="20" a="1"/>
  <c r="TQQ6" i="20" s="1"/>
  <c r="TQP6" i="20"/>
  <c r="TQP6" i="20" a="1"/>
  <c r="TQO6" i="20" a="1"/>
  <c r="TQO6" i="20" s="1"/>
  <c r="TQN6" i="20"/>
  <c r="TQN6" i="20" a="1"/>
  <c r="TQM6" i="20"/>
  <c r="TQM6" i="20" a="1"/>
  <c r="TQL6" i="20"/>
  <c r="TQL6" i="20" a="1"/>
  <c r="TQK6" i="20" a="1"/>
  <c r="TQK6" i="20" s="1"/>
  <c r="TQJ6" i="20"/>
  <c r="TQJ6" i="20" a="1"/>
  <c r="TQI6" i="20"/>
  <c r="TQI6" i="20" a="1"/>
  <c r="TQH6" i="20" a="1"/>
  <c r="TQH6" i="20" s="1"/>
  <c r="TQG6" i="20" a="1"/>
  <c r="TQG6" i="20" s="1"/>
  <c r="TQF6" i="20"/>
  <c r="TQF6" i="20" a="1"/>
  <c r="TQE6" i="20" a="1"/>
  <c r="TQE6" i="20" s="1"/>
  <c r="TQD6" i="20"/>
  <c r="TQD6" i="20" a="1"/>
  <c r="TQC6" i="20" a="1"/>
  <c r="TQC6" i="20" s="1"/>
  <c r="TQB6" i="20" a="1"/>
  <c r="TQB6" i="20" s="1"/>
  <c r="TQA6" i="20"/>
  <c r="TQA6" i="20" a="1"/>
  <c r="TPZ6" i="20"/>
  <c r="TPZ6" i="20" a="1"/>
  <c r="TPY6" i="20" a="1"/>
  <c r="TPY6" i="20" s="1"/>
  <c r="TPX6" i="20"/>
  <c r="TPX6" i="20" a="1"/>
  <c r="TPW6" i="20"/>
  <c r="TPW6" i="20" a="1"/>
  <c r="TPV6" i="20"/>
  <c r="TPV6" i="20" a="1"/>
  <c r="TPU6" i="20" a="1"/>
  <c r="TPU6" i="20" s="1"/>
  <c r="TPT6" i="20"/>
  <c r="TPT6" i="20" a="1"/>
  <c r="TPS6" i="20" a="1"/>
  <c r="TPS6" i="20" s="1"/>
  <c r="TPR6" i="20"/>
  <c r="TPR6" i="20" a="1"/>
  <c r="TPQ6" i="20"/>
  <c r="TPQ6" i="20" a="1"/>
  <c r="TPP6" i="20" a="1"/>
  <c r="TPP6" i="20" s="1"/>
  <c r="TPO6" i="20" a="1"/>
  <c r="TPO6" i="20" s="1"/>
  <c r="TPN6" i="20"/>
  <c r="TPN6" i="20" a="1"/>
  <c r="TPM6" i="20" a="1"/>
  <c r="TPM6" i="20" s="1"/>
  <c r="TPL6" i="20"/>
  <c r="TPL6" i="20" a="1"/>
  <c r="TPK6" i="20" a="1"/>
  <c r="TPK6" i="20" s="1"/>
  <c r="TPJ6" i="20"/>
  <c r="TPJ6" i="20" a="1"/>
  <c r="TPI6" i="20"/>
  <c r="TPI6" i="20" a="1"/>
  <c r="TPH6" i="20"/>
  <c r="TPH6" i="20" a="1"/>
  <c r="TPG6" i="20" a="1"/>
  <c r="TPG6" i="20" s="1"/>
  <c r="TPF6" i="20"/>
  <c r="TPF6" i="20" a="1"/>
  <c r="TPE6" i="20" a="1"/>
  <c r="TPE6" i="20" s="1"/>
  <c r="TPD6" i="20"/>
  <c r="TPD6" i="20" a="1"/>
  <c r="TPC6" i="20" a="1"/>
  <c r="TPC6" i="20" s="1"/>
  <c r="TPB6" i="20"/>
  <c r="TPB6" i="20" a="1"/>
  <c r="TPA6" i="20" a="1"/>
  <c r="TPA6" i="20" s="1"/>
  <c r="TOZ6" i="20"/>
  <c r="TOZ6" i="20" a="1"/>
  <c r="TOY6" i="20"/>
  <c r="TOY6" i="20" a="1"/>
  <c r="TOX6" i="20" a="1"/>
  <c r="TOX6" i="20" s="1"/>
  <c r="TOW6" i="20"/>
  <c r="TOW6" i="20" a="1"/>
  <c r="TOV6" i="20"/>
  <c r="TOV6" i="20" a="1"/>
  <c r="TOU6" i="20" a="1"/>
  <c r="TOU6" i="20" s="1"/>
  <c r="TOT6" i="20"/>
  <c r="TOT6" i="20" a="1"/>
  <c r="TOS6" i="20"/>
  <c r="TOS6" i="20" a="1"/>
  <c r="TOR6" i="20" a="1"/>
  <c r="TOR6" i="20" s="1"/>
  <c r="TOQ6" i="20"/>
  <c r="TOQ6" i="20" a="1"/>
  <c r="TOP6" i="20"/>
  <c r="TOP6" i="20" a="1"/>
  <c r="TOO6" i="20" a="1"/>
  <c r="TOO6" i="20" s="1"/>
  <c r="TON6" i="20"/>
  <c r="TON6" i="20" a="1"/>
  <c r="TOM6" i="20" a="1"/>
  <c r="TOM6" i="20" s="1"/>
  <c r="TOL6" i="20"/>
  <c r="TOL6" i="20" a="1"/>
  <c r="TOK6" i="20" a="1"/>
  <c r="TOK6" i="20" s="1"/>
  <c r="TOJ6" i="20"/>
  <c r="TOJ6" i="20" a="1"/>
  <c r="TOI6" i="20" a="1"/>
  <c r="TOI6" i="20" s="1"/>
  <c r="TOH6" i="20"/>
  <c r="TOH6" i="20" a="1"/>
  <c r="TOG6" i="20"/>
  <c r="TOG6" i="20" a="1"/>
  <c r="TOF6" i="20"/>
  <c r="TOF6" i="20" a="1"/>
  <c r="TOE6" i="20" a="1"/>
  <c r="TOE6" i="20" s="1"/>
  <c r="TOD6" i="20"/>
  <c r="TOD6" i="20" a="1"/>
  <c r="TOC6" i="20" a="1"/>
  <c r="TOC6" i="20" s="1"/>
  <c r="TOB6" i="20"/>
  <c r="TOB6" i="20" a="1"/>
  <c r="TOA6" i="20" a="1"/>
  <c r="TOA6" i="20" s="1"/>
  <c r="TNZ6" i="20" a="1"/>
  <c r="TNZ6" i="20" s="1"/>
  <c r="TNY6" i="20"/>
  <c r="TNY6" i="20" a="1"/>
  <c r="TNX6" i="20"/>
  <c r="TNX6" i="20" a="1"/>
  <c r="TNW6" i="20" a="1"/>
  <c r="TNW6" i="20" s="1"/>
  <c r="TNV6" i="20"/>
  <c r="TNV6" i="20" a="1"/>
  <c r="TNU6" i="20" a="1"/>
  <c r="TNU6" i="20" s="1"/>
  <c r="TNT6" i="20"/>
  <c r="TNT6" i="20" a="1"/>
  <c r="TNS6" i="20"/>
  <c r="TNS6" i="20" a="1"/>
  <c r="TNR6" i="20"/>
  <c r="TNR6" i="20" a="1"/>
  <c r="TNQ6" i="20" a="1"/>
  <c r="TNQ6" i="20" s="1"/>
  <c r="TNP6" i="20"/>
  <c r="TNP6" i="20" a="1"/>
  <c r="TNO6" i="20"/>
  <c r="TNO6" i="20" a="1"/>
  <c r="TNN6" i="20" a="1"/>
  <c r="TNN6" i="20" s="1"/>
  <c r="TNM6" i="20" a="1"/>
  <c r="TNM6" i="20" s="1"/>
  <c r="TNL6" i="20"/>
  <c r="TNL6" i="20" a="1"/>
  <c r="TNK6" i="20" a="1"/>
  <c r="TNK6" i="20" s="1"/>
  <c r="TNJ6" i="20"/>
  <c r="TNJ6" i="20" a="1"/>
  <c r="TNI6" i="20" a="1"/>
  <c r="TNI6" i="20" s="1"/>
  <c r="TNH6" i="20" a="1"/>
  <c r="TNH6" i="20" s="1"/>
  <c r="TNG6" i="20"/>
  <c r="TNG6" i="20" a="1"/>
  <c r="TNF6" i="20"/>
  <c r="TNF6" i="20" a="1"/>
  <c r="TNE6" i="20" a="1"/>
  <c r="TNE6" i="20" s="1"/>
  <c r="TND6" i="20"/>
  <c r="TND6" i="20" a="1"/>
  <c r="TNC6" i="20"/>
  <c r="TNC6" i="20" a="1"/>
  <c r="TNB6" i="20"/>
  <c r="TNB6" i="20" a="1"/>
  <c r="TNA6" i="20" a="1"/>
  <c r="TNA6" i="20" s="1"/>
  <c r="TMZ6" i="20"/>
  <c r="TMZ6" i="20" a="1"/>
  <c r="TMY6" i="20" a="1"/>
  <c r="TMY6" i="20" s="1"/>
  <c r="TMX6" i="20"/>
  <c r="TMX6" i="20" a="1"/>
  <c r="TMW6" i="20"/>
  <c r="TMW6" i="20" a="1"/>
  <c r="TMV6" i="20" a="1"/>
  <c r="TMV6" i="20" s="1"/>
  <c r="TMU6" i="20" a="1"/>
  <c r="TMU6" i="20" s="1"/>
  <c r="TMT6" i="20"/>
  <c r="TMT6" i="20" a="1"/>
  <c r="TMS6" i="20" a="1"/>
  <c r="TMS6" i="20" s="1"/>
  <c r="TMR6" i="20"/>
  <c r="TMR6" i="20" a="1"/>
  <c r="TMQ6" i="20" a="1"/>
  <c r="TMQ6" i="20" s="1"/>
  <c r="TMP6" i="20"/>
  <c r="TMP6" i="20" a="1"/>
  <c r="TMO6" i="20"/>
  <c r="TMO6" i="20" a="1"/>
  <c r="TMN6" i="20" a="1"/>
  <c r="TMN6" i="20" s="1"/>
  <c r="TMM6" i="20" a="1"/>
  <c r="TMM6" i="20" s="1"/>
  <c r="TML6" i="20"/>
  <c r="TML6" i="20" a="1"/>
  <c r="TMK6" i="20" a="1"/>
  <c r="TMK6" i="20" s="1"/>
  <c r="TMJ6" i="20"/>
  <c r="TMJ6" i="20" a="1"/>
  <c r="TMI6" i="20" a="1"/>
  <c r="TMI6" i="20" s="1"/>
  <c r="TMH6" i="20" a="1"/>
  <c r="TMH6" i="20" s="1"/>
  <c r="TMG6" i="20" a="1"/>
  <c r="TMG6" i="20" s="1"/>
  <c r="TMF6" i="20"/>
  <c r="TMF6" i="20" a="1"/>
  <c r="TME6" i="20"/>
  <c r="TME6" i="20" a="1"/>
  <c r="TMD6" i="20" a="1"/>
  <c r="TMD6" i="20" s="1"/>
  <c r="TMC6" i="20"/>
  <c r="TMC6" i="20" a="1"/>
  <c r="TMB6" i="20"/>
  <c r="TMB6" i="20" a="1"/>
  <c r="TMA6" i="20" a="1"/>
  <c r="TMA6" i="20" s="1"/>
  <c r="TLZ6" i="20"/>
  <c r="TLZ6" i="20" a="1"/>
  <c r="TLY6" i="20"/>
  <c r="TLY6" i="20" a="1"/>
  <c r="TLX6" i="20" a="1"/>
  <c r="TLX6" i="20" s="1"/>
  <c r="TLW6" i="20"/>
  <c r="TLW6" i="20" a="1"/>
  <c r="TLV6" i="20" a="1"/>
  <c r="TLV6" i="20" s="1"/>
  <c r="TLU6" i="20" a="1"/>
  <c r="TLU6" i="20" s="1"/>
  <c r="TLT6" i="20"/>
  <c r="TLT6" i="20" a="1"/>
  <c r="TLS6" i="20" a="1"/>
  <c r="TLS6" i="20" s="1"/>
  <c r="TLR6" i="20"/>
  <c r="TLR6" i="20" a="1"/>
  <c r="TLQ6" i="20" a="1"/>
  <c r="TLQ6" i="20" s="1"/>
  <c r="TLP6" i="20" a="1"/>
  <c r="TLP6" i="20" s="1"/>
  <c r="TLO6" i="20" a="1"/>
  <c r="TLO6" i="20" s="1"/>
  <c r="TLN6" i="20"/>
  <c r="TLN6" i="20" a="1"/>
  <c r="TLM6" i="20"/>
  <c r="TLM6" i="20" a="1"/>
  <c r="TLL6" i="20"/>
  <c r="TLL6" i="20" a="1"/>
  <c r="TLK6" i="20" a="1"/>
  <c r="TLK6" i="20" s="1"/>
  <c r="TLJ6" i="20"/>
  <c r="TLJ6" i="20" a="1"/>
  <c r="TLI6" i="20" a="1"/>
  <c r="TLI6" i="20" s="1"/>
  <c r="TLH6" i="20"/>
  <c r="TLH6" i="20" a="1"/>
  <c r="TLG6" i="20" a="1"/>
  <c r="TLG6" i="20" s="1"/>
  <c r="TLF6" i="20" a="1"/>
  <c r="TLF6" i="20" s="1"/>
  <c r="TLE6" i="20"/>
  <c r="TLE6" i="20" a="1"/>
  <c r="TLD6" i="20" a="1"/>
  <c r="TLD6" i="20" s="1"/>
  <c r="TLC6" i="20" a="1"/>
  <c r="TLC6" i="20" s="1"/>
  <c r="TLB6" i="20"/>
  <c r="TLB6" i="20" a="1"/>
  <c r="TLA6" i="20" a="1"/>
  <c r="TLA6" i="20" s="1"/>
  <c r="TKZ6" i="20"/>
  <c r="TKZ6" i="20" a="1"/>
  <c r="TKY6" i="20"/>
  <c r="TKY6" i="20" a="1"/>
  <c r="TKX6" i="20" a="1"/>
  <c r="TKX6" i="20" s="1"/>
  <c r="TKW6" i="20" a="1"/>
  <c r="TKW6" i="20" s="1"/>
  <c r="TKV6" i="20"/>
  <c r="TKV6" i="20" a="1"/>
  <c r="TKU6" i="20"/>
  <c r="TKU6" i="20" a="1"/>
  <c r="TKT6" i="20" a="1"/>
  <c r="TKT6" i="20" s="1"/>
  <c r="TKS6" i="20" a="1"/>
  <c r="TKS6" i="20" s="1"/>
  <c r="TKR6" i="20"/>
  <c r="TKR6" i="20" a="1"/>
  <c r="TKQ6" i="20" a="1"/>
  <c r="TKQ6" i="20" s="1"/>
  <c r="TKP6" i="20"/>
  <c r="TKP6" i="20" a="1"/>
  <c r="TKO6" i="20" a="1"/>
  <c r="TKO6" i="20" s="1"/>
  <c r="TKN6" i="20" a="1"/>
  <c r="TKN6" i="20" s="1"/>
  <c r="TKM6" i="20"/>
  <c r="TKM6" i="20" a="1"/>
  <c r="TKL6" i="20"/>
  <c r="TKL6" i="20" a="1"/>
  <c r="TKK6" i="20" a="1"/>
  <c r="TKK6" i="20" s="1"/>
  <c r="TKJ6" i="20"/>
  <c r="TKJ6" i="20" a="1"/>
  <c r="TKI6" i="20"/>
  <c r="TKI6" i="20" a="1"/>
  <c r="TKH6" i="20"/>
  <c r="TKH6" i="20" a="1"/>
  <c r="TKG6" i="20" a="1"/>
  <c r="TKG6" i="20" s="1"/>
  <c r="TKF6" i="20" a="1"/>
  <c r="TKF6" i="20" s="1"/>
  <c r="TKE6" i="20" a="1"/>
  <c r="TKE6" i="20" s="1"/>
  <c r="TKD6" i="20"/>
  <c r="TKD6" i="20" a="1"/>
  <c r="TKC6" i="20"/>
  <c r="TKC6" i="20" a="1"/>
  <c r="TKB6" i="20" a="1"/>
  <c r="TKB6" i="20" s="1"/>
  <c r="TKA6" i="20" a="1"/>
  <c r="TKA6" i="20" s="1"/>
  <c r="TJZ6" i="20"/>
  <c r="TJZ6" i="20" a="1"/>
  <c r="TJY6" i="20" a="1"/>
  <c r="TJY6" i="20" s="1"/>
  <c r="TJX6" i="20"/>
  <c r="TJX6" i="20" a="1"/>
  <c r="TJW6" i="20" a="1"/>
  <c r="TJW6" i="20" s="1"/>
  <c r="TJV6" i="20"/>
  <c r="TJV6" i="20" a="1"/>
  <c r="TJU6" i="20"/>
  <c r="TJU6" i="20" a="1"/>
  <c r="TJT6" i="20" a="1"/>
  <c r="TJT6" i="20" s="1"/>
  <c r="TJS6" i="20" a="1"/>
  <c r="TJS6" i="20" s="1"/>
  <c r="TJR6" i="20"/>
  <c r="TJR6" i="20" a="1"/>
  <c r="TJQ6" i="20" a="1"/>
  <c r="TJQ6" i="20" s="1"/>
  <c r="TJP6" i="20"/>
  <c r="TJP6" i="20" a="1"/>
  <c r="TJO6" i="20" a="1"/>
  <c r="TJO6" i="20" s="1"/>
  <c r="TJN6" i="20" a="1"/>
  <c r="TJN6" i="20" s="1"/>
  <c r="TJM6" i="20" a="1"/>
  <c r="TJM6" i="20" s="1"/>
  <c r="TJL6" i="20"/>
  <c r="TJL6" i="20" a="1"/>
  <c r="TJK6" i="20"/>
  <c r="TJK6" i="20" a="1"/>
  <c r="TJJ6" i="20" a="1"/>
  <c r="TJJ6" i="20" s="1"/>
  <c r="TJI6" i="20"/>
  <c r="TJI6" i="20" a="1"/>
  <c r="TJH6" i="20"/>
  <c r="TJH6" i="20" a="1"/>
  <c r="TJG6" i="20" a="1"/>
  <c r="TJG6" i="20" s="1"/>
  <c r="TJF6" i="20"/>
  <c r="TJF6" i="20" a="1"/>
  <c r="TJE6" i="20"/>
  <c r="TJE6" i="20" a="1"/>
  <c r="TJD6" i="20" a="1"/>
  <c r="TJD6" i="20" s="1"/>
  <c r="TJC6" i="20"/>
  <c r="TJC6" i="20" a="1"/>
  <c r="TJB6" i="20" a="1"/>
  <c r="TJB6" i="20" s="1"/>
  <c r="TJA6" i="20" a="1"/>
  <c r="TJA6" i="20" s="1"/>
  <c r="TIZ6" i="20"/>
  <c r="TIZ6" i="20" a="1"/>
  <c r="TIY6" i="20" a="1"/>
  <c r="TIY6" i="20" s="1"/>
  <c r="TIX6" i="20"/>
  <c r="TIX6" i="20" a="1"/>
  <c r="TIW6" i="20" a="1"/>
  <c r="TIW6" i="20" s="1"/>
  <c r="TIV6" i="20"/>
  <c r="TIV6" i="20" a="1"/>
  <c r="TIU6" i="20" a="1"/>
  <c r="TIU6" i="20" s="1"/>
  <c r="TIT6" i="20"/>
  <c r="TIT6" i="20" a="1"/>
  <c r="TIS6" i="20"/>
  <c r="TIS6" i="20" a="1"/>
  <c r="TIR6" i="20"/>
  <c r="TIR6" i="20" a="1"/>
  <c r="TIQ6" i="20" a="1"/>
  <c r="TIQ6" i="20" s="1"/>
  <c r="TIP6" i="20"/>
  <c r="TIP6" i="20" a="1"/>
  <c r="TIO6" i="20" a="1"/>
  <c r="TIO6" i="20" s="1"/>
  <c r="TIN6" i="20"/>
  <c r="TIN6" i="20" a="1"/>
  <c r="TIM6" i="20" a="1"/>
  <c r="TIM6" i="20" s="1"/>
  <c r="TIL6" i="20" a="1"/>
  <c r="TIL6" i="20" s="1"/>
  <c r="TIK6" i="20"/>
  <c r="TIK6" i="20" a="1"/>
  <c r="TIJ6" i="20" a="1"/>
  <c r="TIJ6" i="20" s="1"/>
  <c r="TII6" i="20" a="1"/>
  <c r="TII6" i="20" s="1"/>
  <c r="TIH6" i="20"/>
  <c r="TIH6" i="20" a="1"/>
  <c r="TIG6" i="20" a="1"/>
  <c r="TIG6" i="20" s="1"/>
  <c r="TIF6" i="20"/>
  <c r="TIF6" i="20" a="1"/>
  <c r="TIE6" i="20"/>
  <c r="TIE6" i="20" a="1"/>
  <c r="TID6" i="20" a="1"/>
  <c r="TID6" i="20" s="1"/>
  <c r="TIC6" i="20" a="1"/>
  <c r="TIC6" i="20" s="1"/>
  <c r="TIB6" i="20"/>
  <c r="TIB6" i="20" a="1"/>
  <c r="TIA6" i="20"/>
  <c r="TIA6" i="20" a="1"/>
  <c r="THZ6" i="20" a="1"/>
  <c r="THZ6" i="20" s="1"/>
  <c r="THY6" i="20" a="1"/>
  <c r="THY6" i="20" s="1"/>
  <c r="THX6" i="20"/>
  <c r="THX6" i="20" a="1"/>
  <c r="THW6" i="20" a="1"/>
  <c r="THW6" i="20" s="1"/>
  <c r="THV6" i="20"/>
  <c r="THV6" i="20" a="1"/>
  <c r="THU6" i="20" a="1"/>
  <c r="THU6" i="20" s="1"/>
  <c r="THT6" i="20" a="1"/>
  <c r="THT6" i="20" s="1"/>
  <c r="THS6" i="20"/>
  <c r="THS6" i="20" a="1"/>
  <c r="THR6" i="20"/>
  <c r="THR6" i="20" a="1"/>
  <c r="THQ6" i="20" a="1"/>
  <c r="THQ6" i="20" s="1"/>
  <c r="THP6" i="20"/>
  <c r="THP6" i="20" a="1"/>
  <c r="THO6" i="20"/>
  <c r="THO6" i="20" a="1"/>
  <c r="THN6" i="20"/>
  <c r="THN6" i="20" a="1"/>
  <c r="THM6" i="20" a="1"/>
  <c r="THM6" i="20" s="1"/>
  <c r="THL6" i="20" a="1"/>
  <c r="THL6" i="20" s="1"/>
  <c r="THK6" i="20" a="1"/>
  <c r="THK6" i="20" s="1"/>
  <c r="THJ6" i="20"/>
  <c r="THJ6" i="20" a="1"/>
  <c r="THI6" i="20"/>
  <c r="THI6" i="20" a="1"/>
  <c r="THH6" i="20" a="1"/>
  <c r="THH6" i="20" s="1"/>
  <c r="THG6" i="20" a="1"/>
  <c r="THG6" i="20" s="1"/>
  <c r="THF6" i="20"/>
  <c r="THF6" i="20" a="1"/>
  <c r="THE6" i="20" a="1"/>
  <c r="THE6" i="20" s="1"/>
  <c r="THD6" i="20"/>
  <c r="THD6" i="20" a="1"/>
  <c r="THC6" i="20" a="1"/>
  <c r="THC6" i="20" s="1"/>
  <c r="THB6" i="20"/>
  <c r="THB6" i="20" a="1"/>
  <c r="THA6" i="20"/>
  <c r="THA6" i="20" a="1"/>
  <c r="TGZ6" i="20" a="1"/>
  <c r="TGZ6" i="20" s="1"/>
  <c r="TGY6" i="20" a="1"/>
  <c r="TGY6" i="20" s="1"/>
  <c r="TGX6" i="20"/>
  <c r="TGX6" i="20" a="1"/>
  <c r="TGW6" i="20" a="1"/>
  <c r="TGW6" i="20" s="1"/>
  <c r="TGV6" i="20"/>
  <c r="TGV6" i="20" a="1"/>
  <c r="TGU6" i="20" a="1"/>
  <c r="TGU6" i="20" s="1"/>
  <c r="TGT6" i="20" a="1"/>
  <c r="TGT6" i="20" s="1"/>
  <c r="TGS6" i="20" a="1"/>
  <c r="TGS6" i="20" s="1"/>
  <c r="TGR6" i="20"/>
  <c r="TGR6" i="20" a="1"/>
  <c r="TGQ6" i="20"/>
  <c r="TGQ6" i="20" a="1"/>
  <c r="TGP6" i="20" a="1"/>
  <c r="TGP6" i="20" s="1"/>
  <c r="TGO6" i="20"/>
  <c r="TGO6" i="20" a="1"/>
  <c r="TGN6" i="20"/>
  <c r="TGN6" i="20" a="1"/>
  <c r="TGM6" i="20" a="1"/>
  <c r="TGM6" i="20" s="1"/>
  <c r="TGL6" i="20"/>
  <c r="TGL6" i="20" a="1"/>
  <c r="TGK6" i="20"/>
  <c r="TGK6" i="20" a="1"/>
  <c r="TGJ6" i="20" a="1"/>
  <c r="TGJ6" i="20" s="1"/>
  <c r="TGI6" i="20"/>
  <c r="TGI6" i="20" a="1"/>
  <c r="TGH6" i="20" a="1"/>
  <c r="TGH6" i="20" s="1"/>
  <c r="TGG6" i="20" a="1"/>
  <c r="TGG6" i="20" s="1"/>
  <c r="TGF6" i="20"/>
  <c r="TGF6" i="20" a="1"/>
  <c r="TGE6" i="20" a="1"/>
  <c r="TGE6" i="20" s="1"/>
  <c r="TGD6" i="20"/>
  <c r="TGD6" i="20" a="1"/>
  <c r="TGC6" i="20" a="1"/>
  <c r="TGC6" i="20" s="1"/>
  <c r="TGB6" i="20"/>
  <c r="TGB6" i="20" a="1"/>
  <c r="TGA6" i="20" a="1"/>
  <c r="TGA6" i="20" s="1"/>
  <c r="TFZ6" i="20"/>
  <c r="TFZ6" i="20" a="1"/>
  <c r="TFY6" i="20"/>
  <c r="TFY6" i="20" a="1"/>
  <c r="TFX6" i="20"/>
  <c r="TFX6" i="20" a="1"/>
  <c r="TFW6" i="20" a="1"/>
  <c r="TFW6" i="20" s="1"/>
  <c r="TFV6" i="20"/>
  <c r="TFV6" i="20" a="1"/>
  <c r="TFU6" i="20" a="1"/>
  <c r="TFU6" i="20" s="1"/>
  <c r="TFT6" i="20"/>
  <c r="TFT6" i="20" a="1"/>
  <c r="TFS6" i="20" a="1"/>
  <c r="TFS6" i="20" s="1"/>
  <c r="TFR6" i="20" a="1"/>
  <c r="TFR6" i="20" s="1"/>
  <c r="TFQ6" i="20"/>
  <c r="TFQ6" i="20" a="1"/>
  <c r="TFP6" i="20" a="1"/>
  <c r="TFP6" i="20" s="1"/>
  <c r="TFO6" i="20" a="1"/>
  <c r="TFO6" i="20" s="1"/>
  <c r="TFN6" i="20"/>
  <c r="TFN6" i="20" a="1"/>
  <c r="TFM6" i="20" a="1"/>
  <c r="TFM6" i="20" s="1"/>
  <c r="TFL6" i="20"/>
  <c r="TFL6" i="20" a="1"/>
  <c r="TFK6" i="20"/>
  <c r="TFK6" i="20" a="1"/>
  <c r="TFJ6" i="20" a="1"/>
  <c r="TFJ6" i="20" s="1"/>
  <c r="TFI6" i="20" a="1"/>
  <c r="TFI6" i="20" s="1"/>
  <c r="TFH6" i="20"/>
  <c r="TFH6" i="20" a="1"/>
  <c r="TFG6" i="20"/>
  <c r="TFG6" i="20" a="1"/>
  <c r="TFF6" i="20" a="1"/>
  <c r="TFF6" i="20" s="1"/>
  <c r="TFE6" i="20" a="1"/>
  <c r="TFE6" i="20" s="1"/>
  <c r="TFD6" i="20"/>
  <c r="TFD6" i="20" a="1"/>
  <c r="TFC6" i="20" a="1"/>
  <c r="TFC6" i="20" s="1"/>
  <c r="TFB6" i="20"/>
  <c r="TFB6" i="20" a="1"/>
  <c r="TFA6" i="20" a="1"/>
  <c r="TFA6" i="20" s="1"/>
  <c r="TEZ6" i="20" a="1"/>
  <c r="TEZ6" i="20" s="1"/>
  <c r="TEY6" i="20"/>
  <c r="TEY6" i="20" a="1"/>
  <c r="TEX6" i="20"/>
  <c r="TEX6" i="20" a="1"/>
  <c r="TEW6" i="20" a="1"/>
  <c r="TEW6" i="20" s="1"/>
  <c r="TEV6" i="20"/>
  <c r="TEV6" i="20" a="1"/>
  <c r="TEU6" i="20"/>
  <c r="TEU6" i="20" a="1"/>
  <c r="TET6" i="20"/>
  <c r="TET6" i="20" a="1"/>
  <c r="TES6" i="20" a="1"/>
  <c r="TES6" i="20" s="1"/>
  <c r="TER6" i="20" a="1"/>
  <c r="TER6" i="20" s="1"/>
  <c r="TEQ6" i="20" a="1"/>
  <c r="TEQ6" i="20" s="1"/>
  <c r="TEP6" i="20"/>
  <c r="TEP6" i="20" a="1"/>
  <c r="TEO6" i="20"/>
  <c r="TEO6" i="20" a="1"/>
  <c r="TEN6" i="20" a="1"/>
  <c r="TEN6" i="20" s="1"/>
  <c r="TEM6" i="20" a="1"/>
  <c r="TEM6" i="20" s="1"/>
  <c r="TEL6" i="20"/>
  <c r="TEL6" i="20" a="1"/>
  <c r="TEK6" i="20" a="1"/>
  <c r="TEK6" i="20" s="1"/>
  <c r="TEJ6" i="20"/>
  <c r="TEJ6" i="20" a="1"/>
  <c r="TEI6" i="20" a="1"/>
  <c r="TEI6" i="20" s="1"/>
  <c r="TEH6" i="20"/>
  <c r="TEH6" i="20" a="1"/>
  <c r="TEG6" i="20"/>
  <c r="TEG6" i="20" a="1"/>
  <c r="TEF6" i="20" a="1"/>
  <c r="TEF6" i="20" s="1"/>
  <c r="TEE6" i="20" a="1"/>
  <c r="TEE6" i="20" s="1"/>
  <c r="TED6" i="20"/>
  <c r="TED6" i="20" a="1"/>
  <c r="TEC6" i="20" a="1"/>
  <c r="TEC6" i="20" s="1"/>
  <c r="TEB6" i="20"/>
  <c r="TEB6" i="20" a="1"/>
  <c r="TEA6" i="20" a="1"/>
  <c r="TEA6" i="20" s="1"/>
  <c r="TDZ6" i="20" a="1"/>
  <c r="TDZ6" i="20" s="1"/>
  <c r="TDY6" i="20" a="1"/>
  <c r="TDY6" i="20" s="1"/>
  <c r="TDX6" i="20" a="1"/>
  <c r="TDX6" i="20" s="1"/>
  <c r="TDW6" i="20"/>
  <c r="TDW6" i="20" a="1"/>
  <c r="TDV6" i="20" a="1"/>
  <c r="TDV6" i="20" s="1"/>
  <c r="TDU6" i="20"/>
  <c r="TDU6" i="20" a="1"/>
  <c r="TDT6" i="20"/>
  <c r="TDT6" i="20" a="1"/>
  <c r="TDS6" i="20" a="1"/>
  <c r="TDS6" i="20" s="1"/>
  <c r="TDR6" i="20"/>
  <c r="TDR6" i="20" a="1"/>
  <c r="TDQ6" i="20"/>
  <c r="TDQ6" i="20" a="1"/>
  <c r="TDP6" i="20" a="1"/>
  <c r="TDP6" i="20" s="1"/>
  <c r="TDO6" i="20"/>
  <c r="TDO6" i="20" a="1"/>
  <c r="TDN6" i="20" a="1"/>
  <c r="TDN6" i="20" s="1"/>
  <c r="TDM6" i="20" a="1"/>
  <c r="TDM6" i="20" s="1"/>
  <c r="TDL6" i="20" a="1"/>
  <c r="TDL6" i="20" s="1"/>
  <c r="TDK6" i="20" a="1"/>
  <c r="TDK6" i="20" s="1"/>
  <c r="TDJ6" i="20"/>
  <c r="TDJ6" i="20" a="1"/>
  <c r="TDI6" i="20" a="1"/>
  <c r="TDI6" i="20" s="1"/>
  <c r="TDH6" i="20"/>
  <c r="TDH6" i="20" a="1"/>
  <c r="TDG6" i="20" a="1"/>
  <c r="TDG6" i="20" s="1"/>
  <c r="TDF6" i="20" a="1"/>
  <c r="TDF6" i="20" s="1"/>
  <c r="TDE6" i="20"/>
  <c r="TDE6" i="20" a="1"/>
  <c r="TDD6" i="20"/>
  <c r="TDD6" i="20" a="1"/>
  <c r="TDC6" i="20" a="1"/>
  <c r="TDC6" i="20" s="1"/>
  <c r="TDB6" i="20"/>
  <c r="TDB6" i="20" a="1"/>
  <c r="TDA6" i="20" a="1"/>
  <c r="TDA6" i="20" s="1"/>
  <c r="TCZ6" i="20"/>
  <c r="TCZ6" i="20" a="1"/>
  <c r="TCY6" i="20" a="1"/>
  <c r="TCY6" i="20" s="1"/>
  <c r="TCX6" i="20" a="1"/>
  <c r="TCX6" i="20" s="1"/>
  <c r="TCW6" i="20"/>
  <c r="TCW6" i="20" a="1"/>
  <c r="TCV6" i="20" a="1"/>
  <c r="TCV6" i="20" s="1"/>
  <c r="TCU6" i="20" a="1"/>
  <c r="TCU6" i="20" s="1"/>
  <c r="TCT6" i="20" a="1"/>
  <c r="TCT6" i="20" s="1"/>
  <c r="TCS6" i="20" a="1"/>
  <c r="TCS6" i="20" s="1"/>
  <c r="TCR6" i="20"/>
  <c r="TCR6" i="20" a="1"/>
  <c r="TCQ6" i="20"/>
  <c r="TCQ6" i="20" a="1"/>
  <c r="TCP6" i="20" a="1"/>
  <c r="TCP6" i="20" s="1"/>
  <c r="TCO6" i="20" a="1"/>
  <c r="TCO6" i="20" s="1"/>
  <c r="TCN6" i="20"/>
  <c r="TCN6" i="20" a="1"/>
  <c r="TCM6" i="20"/>
  <c r="TCM6" i="20" a="1"/>
  <c r="TCL6" i="20" a="1"/>
  <c r="TCL6" i="20" s="1"/>
  <c r="TCK6" i="20" a="1"/>
  <c r="TCK6" i="20" s="1"/>
  <c r="TCJ6" i="20"/>
  <c r="TCJ6" i="20" a="1"/>
  <c r="TCI6" i="20" a="1"/>
  <c r="TCI6" i="20" s="1"/>
  <c r="TCH6" i="20"/>
  <c r="TCH6" i="20" a="1"/>
  <c r="TCG6" i="20" a="1"/>
  <c r="TCG6" i="20" s="1"/>
  <c r="TCF6" i="20" a="1"/>
  <c r="TCF6" i="20" s="1"/>
  <c r="TCE6" i="20"/>
  <c r="TCE6" i="20" a="1"/>
  <c r="TCD6" i="20"/>
  <c r="TCD6" i="20" a="1"/>
  <c r="TCC6" i="20" a="1"/>
  <c r="TCC6" i="20" s="1"/>
  <c r="TCB6" i="20" a="1"/>
  <c r="TCB6" i="20" s="1"/>
  <c r="TCA6" i="20"/>
  <c r="TCA6" i="20" a="1"/>
  <c r="TBZ6" i="20"/>
  <c r="TBZ6" i="20" a="1"/>
  <c r="TBY6" i="20" a="1"/>
  <c r="TBY6" i="20" s="1"/>
  <c r="TBX6" i="20" a="1"/>
  <c r="TBX6" i="20" s="1"/>
  <c r="TBW6" i="20" a="1"/>
  <c r="TBW6" i="20" s="1"/>
  <c r="TBV6" i="20" a="1"/>
  <c r="TBV6" i="20" s="1"/>
  <c r="TBU6" i="20"/>
  <c r="TBU6" i="20" a="1"/>
  <c r="TBT6" i="20" a="1"/>
  <c r="TBT6" i="20" s="1"/>
  <c r="TBS6" i="20" a="1"/>
  <c r="TBS6" i="20" s="1"/>
  <c r="TBR6" i="20"/>
  <c r="TBR6" i="20" a="1"/>
  <c r="TBQ6" i="20" a="1"/>
  <c r="TBQ6" i="20" s="1"/>
  <c r="TBP6" i="20"/>
  <c r="TBP6" i="20" a="1"/>
  <c r="TBO6" i="20" a="1"/>
  <c r="TBO6" i="20" s="1"/>
  <c r="TBN6" i="20"/>
  <c r="TBN6" i="20" a="1"/>
  <c r="TBM6" i="20"/>
  <c r="TBM6" i="20" a="1"/>
  <c r="TBL6" i="20" a="1"/>
  <c r="TBL6" i="20" s="1"/>
  <c r="TBK6" i="20" a="1"/>
  <c r="TBK6" i="20" s="1"/>
  <c r="TBJ6" i="20"/>
  <c r="TBJ6" i="20" a="1"/>
  <c r="TBI6" i="20" a="1"/>
  <c r="TBI6" i="20" s="1"/>
  <c r="TBH6" i="20"/>
  <c r="TBH6" i="20" a="1"/>
  <c r="TBG6" i="20" a="1"/>
  <c r="TBG6" i="20" s="1"/>
  <c r="TBF6" i="20" a="1"/>
  <c r="TBF6" i="20" s="1"/>
  <c r="TBE6" i="20" a="1"/>
  <c r="TBE6" i="20" s="1"/>
  <c r="TBD6" i="20" a="1"/>
  <c r="TBD6" i="20" s="1"/>
  <c r="TBC6" i="20"/>
  <c r="TBC6" i="20" a="1"/>
  <c r="TBB6" i="20" a="1"/>
  <c r="TBB6" i="20" s="1"/>
  <c r="TBA6" i="20"/>
  <c r="TBA6" i="20" a="1"/>
  <c r="TAZ6" i="20"/>
  <c r="TAZ6" i="20" a="1"/>
  <c r="TAY6" i="20" a="1"/>
  <c r="TAY6" i="20" s="1"/>
  <c r="TAX6" i="20"/>
  <c r="TAX6" i="20" a="1"/>
  <c r="TAW6" i="20"/>
  <c r="TAW6" i="20" a="1"/>
  <c r="TAV6" i="20" a="1"/>
  <c r="TAV6" i="20" s="1"/>
  <c r="TAU6" i="20"/>
  <c r="TAU6" i="20" a="1"/>
  <c r="TAT6" i="20" a="1"/>
  <c r="TAT6" i="20" s="1"/>
  <c r="TAS6" i="20" a="1"/>
  <c r="TAS6" i="20" s="1"/>
  <c r="TAR6" i="20" a="1"/>
  <c r="TAR6" i="20" s="1"/>
  <c r="TAQ6" i="20" a="1"/>
  <c r="TAQ6" i="20" s="1"/>
  <c r="TAP6" i="20"/>
  <c r="TAP6" i="20" a="1"/>
  <c r="TAO6" i="20" a="1"/>
  <c r="TAO6" i="20" s="1"/>
  <c r="TAN6" i="20"/>
  <c r="TAN6" i="20" a="1"/>
  <c r="TAM6" i="20" a="1"/>
  <c r="TAM6" i="20" s="1"/>
  <c r="TAL6" i="20" a="1"/>
  <c r="TAL6" i="20" s="1"/>
  <c r="TAK6" i="20"/>
  <c r="TAK6" i="20" a="1"/>
  <c r="TAJ6" i="20"/>
  <c r="TAJ6" i="20" a="1"/>
  <c r="TAI6" i="20" a="1"/>
  <c r="TAI6" i="20" s="1"/>
  <c r="TAH6" i="20"/>
  <c r="TAH6" i="20" a="1"/>
  <c r="TAG6" i="20" a="1"/>
  <c r="TAG6" i="20" s="1"/>
  <c r="TAF6" i="20"/>
  <c r="TAF6" i="20" a="1"/>
  <c r="TAE6" i="20" a="1"/>
  <c r="TAE6" i="20" s="1"/>
  <c r="TAD6" i="20" a="1"/>
  <c r="TAD6" i="20" s="1"/>
  <c r="TAC6" i="20"/>
  <c r="TAC6" i="20" a="1"/>
  <c r="TAB6" i="20" a="1"/>
  <c r="TAB6" i="20" s="1"/>
  <c r="TAA6" i="20" a="1"/>
  <c r="TAA6" i="20" s="1"/>
  <c r="SZZ6" i="20" a="1"/>
  <c r="SZZ6" i="20" s="1"/>
  <c r="SZY6" i="20" a="1"/>
  <c r="SZY6" i="20" s="1"/>
  <c r="SZX6" i="20"/>
  <c r="SZX6" i="20" a="1"/>
  <c r="SZW6" i="20"/>
  <c r="SZW6" i="20" a="1"/>
  <c r="SZV6" i="20" a="1"/>
  <c r="SZV6" i="20" s="1"/>
  <c r="SZU6" i="20" a="1"/>
  <c r="SZU6" i="20" s="1"/>
  <c r="SZT6" i="20"/>
  <c r="SZT6" i="20" a="1"/>
  <c r="SZS6" i="20"/>
  <c r="SZS6" i="20" a="1"/>
  <c r="SZR6" i="20" a="1"/>
  <c r="SZR6" i="20" s="1"/>
  <c r="SZQ6" i="20" a="1"/>
  <c r="SZQ6" i="20" s="1"/>
  <c r="SZP6" i="20"/>
  <c r="SZP6" i="20" a="1"/>
  <c r="SZO6" i="20" a="1"/>
  <c r="SZO6" i="20" s="1"/>
  <c r="SZN6" i="20"/>
  <c r="SZN6" i="20" a="1"/>
  <c r="SZM6" i="20" a="1"/>
  <c r="SZM6" i="20" s="1"/>
  <c r="SZL6" i="20" a="1"/>
  <c r="SZL6" i="20" s="1"/>
  <c r="SZK6" i="20"/>
  <c r="SZK6" i="20" a="1"/>
  <c r="SZJ6" i="20"/>
  <c r="SZJ6" i="20" a="1"/>
  <c r="SZI6" i="20" a="1"/>
  <c r="SZI6" i="20" s="1"/>
  <c r="SZH6" i="20" a="1"/>
  <c r="SZH6" i="20" s="1"/>
  <c r="SZG6" i="20"/>
  <c r="SZG6" i="20" a="1"/>
  <c r="SZF6" i="20"/>
  <c r="SZF6" i="20" a="1"/>
  <c r="SZE6" i="20" a="1"/>
  <c r="SZE6" i="20" s="1"/>
  <c r="SZD6" i="20" a="1"/>
  <c r="SZD6" i="20" s="1"/>
  <c r="SZC6" i="20" a="1"/>
  <c r="SZC6" i="20" s="1"/>
  <c r="SZB6" i="20" a="1"/>
  <c r="SZB6" i="20" s="1"/>
  <c r="SZA6" i="20"/>
  <c r="SZA6" i="20" a="1"/>
  <c r="SYZ6" i="20" a="1"/>
  <c r="SYZ6" i="20" s="1"/>
  <c r="SYY6" i="20" a="1"/>
  <c r="SYY6" i="20" s="1"/>
  <c r="SYX6" i="20"/>
  <c r="SYX6" i="20" a="1"/>
  <c r="SYW6" i="20" a="1"/>
  <c r="SYW6" i="20" s="1"/>
  <c r="SYV6" i="20"/>
  <c r="SYV6" i="20" a="1"/>
  <c r="SYU6" i="20" a="1"/>
  <c r="SYU6" i="20" s="1"/>
  <c r="SYT6" i="20"/>
  <c r="SYT6" i="20" a="1"/>
  <c r="SYS6" i="20"/>
  <c r="SYS6" i="20" a="1"/>
  <c r="SYR6" i="20"/>
  <c r="SYR6" i="20" a="1"/>
  <c r="SYQ6" i="20" a="1"/>
  <c r="SYQ6" i="20" s="1"/>
  <c r="SYP6" i="20"/>
  <c r="SYP6" i="20" a="1"/>
  <c r="SYO6" i="20" a="1"/>
  <c r="SYO6" i="20" s="1"/>
  <c r="SYN6" i="20"/>
  <c r="SYN6" i="20" a="1"/>
  <c r="SYM6" i="20" a="1"/>
  <c r="SYM6" i="20" s="1"/>
  <c r="SYL6" i="20" a="1"/>
  <c r="SYL6" i="20" s="1"/>
  <c r="SYK6" i="20" a="1"/>
  <c r="SYK6" i="20" s="1"/>
  <c r="SYJ6" i="20" a="1"/>
  <c r="SYJ6" i="20" s="1"/>
  <c r="SYI6" i="20"/>
  <c r="SYI6" i="20" a="1"/>
  <c r="SYH6" i="20" a="1"/>
  <c r="SYH6" i="20" s="1"/>
  <c r="SYG6" i="20"/>
  <c r="SYG6" i="20" a="1"/>
  <c r="SYF6" i="20"/>
  <c r="SYF6" i="20" a="1"/>
  <c r="SYE6" i="20" a="1"/>
  <c r="SYE6" i="20" s="1"/>
  <c r="SYD6" i="20"/>
  <c r="SYD6" i="20" a="1"/>
  <c r="SYC6" i="20"/>
  <c r="SYC6" i="20" a="1"/>
  <c r="SYB6" i="20" a="1"/>
  <c r="SYB6" i="20" s="1"/>
  <c r="SYA6" i="20"/>
  <c r="SYA6" i="20" a="1"/>
  <c r="SXZ6" i="20" a="1"/>
  <c r="SXZ6" i="20" s="1"/>
  <c r="SXY6" i="20" a="1"/>
  <c r="SXY6" i="20" s="1"/>
  <c r="SXX6" i="20" a="1"/>
  <c r="SXX6" i="20" s="1"/>
  <c r="SXW6" i="20" a="1"/>
  <c r="SXW6" i="20" s="1"/>
  <c r="SXV6" i="20"/>
  <c r="SXV6" i="20" a="1"/>
  <c r="SXU6" i="20" a="1"/>
  <c r="SXU6" i="20" s="1"/>
  <c r="SXT6" i="20"/>
  <c r="SXT6" i="20" a="1"/>
  <c r="SXS6" i="20" a="1"/>
  <c r="SXS6" i="20" s="1"/>
  <c r="SXR6" i="20" a="1"/>
  <c r="SXR6" i="20" s="1"/>
  <c r="SXQ6" i="20"/>
  <c r="SXQ6" i="20" a="1"/>
  <c r="SXP6" i="20"/>
  <c r="SXP6" i="20" a="1"/>
  <c r="SXO6" i="20" a="1"/>
  <c r="SXO6" i="20" s="1"/>
  <c r="SXN6" i="20"/>
  <c r="SXN6" i="20" a="1"/>
  <c r="SXM6" i="20" a="1"/>
  <c r="SXM6" i="20" s="1"/>
  <c r="SXL6" i="20"/>
  <c r="SXL6" i="20" a="1"/>
  <c r="SXK6" i="20"/>
  <c r="SXK6" i="20" a="1"/>
  <c r="SXJ6" i="20" a="1"/>
  <c r="SXJ6" i="20" s="1"/>
  <c r="SXI6" i="20"/>
  <c r="SXI6" i="20" a="1"/>
  <c r="SXH6" i="20" a="1"/>
  <c r="SXH6" i="20" s="1"/>
  <c r="SXG6" i="20" a="1"/>
  <c r="SXG6" i="20" s="1"/>
  <c r="SXF6" i="20" a="1"/>
  <c r="SXF6" i="20" s="1"/>
  <c r="SXE6" i="20" a="1"/>
  <c r="SXE6" i="20" s="1"/>
  <c r="SXD6" i="20"/>
  <c r="SXD6" i="20" a="1"/>
  <c r="SXC6" i="20"/>
  <c r="SXC6" i="20" a="1"/>
  <c r="SXB6" i="20" a="1"/>
  <c r="SXB6" i="20" s="1"/>
  <c r="SXA6" i="20" a="1"/>
  <c r="SXA6" i="20" s="1"/>
  <c r="SWZ6" i="20"/>
  <c r="SWZ6" i="20" a="1"/>
  <c r="SWY6" i="20"/>
  <c r="SWY6" i="20" a="1"/>
  <c r="SWX6" i="20" a="1"/>
  <c r="SWX6" i="20" s="1"/>
  <c r="SWW6" i="20" a="1"/>
  <c r="SWW6" i="20" s="1"/>
  <c r="SWV6" i="20"/>
  <c r="SWV6" i="20" a="1"/>
  <c r="SWU6" i="20" a="1"/>
  <c r="SWU6" i="20" s="1"/>
  <c r="SWT6" i="20"/>
  <c r="SWT6" i="20" a="1"/>
  <c r="SWS6" i="20" a="1"/>
  <c r="SWS6" i="20" s="1"/>
  <c r="SWR6" i="20" a="1"/>
  <c r="SWR6" i="20" s="1"/>
  <c r="SWQ6" i="20"/>
  <c r="SWQ6" i="20" a="1"/>
  <c r="SWP6" i="20"/>
  <c r="SWP6" i="20" a="1"/>
  <c r="SWO6" i="20" a="1"/>
  <c r="SWO6" i="20" s="1"/>
  <c r="SWN6" i="20" a="1"/>
  <c r="SWN6" i="20" s="1"/>
  <c r="SWM6" i="20"/>
  <c r="SWM6" i="20" a="1"/>
  <c r="SWL6" i="20" a="1"/>
  <c r="SWL6" i="20" s="1"/>
  <c r="SWK6" i="20" a="1"/>
  <c r="SWK6" i="20" s="1"/>
  <c r="SWJ6" i="20" a="1"/>
  <c r="SWJ6" i="20" s="1"/>
  <c r="SWI6" i="20" a="1"/>
  <c r="SWI6" i="20" s="1"/>
  <c r="SWH6" i="20" a="1"/>
  <c r="SWH6" i="20" s="1"/>
  <c r="SWG6" i="20"/>
  <c r="SWG6" i="20" a="1"/>
  <c r="SWF6" i="20" a="1"/>
  <c r="SWF6" i="20" s="1"/>
  <c r="SWE6" i="20" a="1"/>
  <c r="SWE6" i="20" s="1"/>
  <c r="SWD6" i="20"/>
  <c r="SWD6" i="20" a="1"/>
  <c r="SWC6" i="20" a="1"/>
  <c r="SWC6" i="20" s="1"/>
  <c r="SWB6" i="20"/>
  <c r="SWB6" i="20" a="1"/>
  <c r="SWA6" i="20" a="1"/>
  <c r="SWA6" i="20" s="1"/>
  <c r="SVZ6" i="20"/>
  <c r="SVZ6" i="20" a="1"/>
  <c r="SVY6" i="20" a="1"/>
  <c r="SVY6" i="20" s="1"/>
  <c r="SVX6" i="20" a="1"/>
  <c r="SVX6" i="20" s="1"/>
  <c r="SVW6" i="20" a="1"/>
  <c r="SVW6" i="20" s="1"/>
  <c r="SVV6" i="20"/>
  <c r="SVV6" i="20" a="1"/>
  <c r="SVU6" i="20" a="1"/>
  <c r="SVU6" i="20" s="1"/>
  <c r="SVT6" i="20"/>
  <c r="SVT6" i="20" a="1"/>
  <c r="SVS6" i="20" a="1"/>
  <c r="SVS6" i="20" s="1"/>
  <c r="SVR6" i="20" a="1"/>
  <c r="SVR6" i="20" s="1"/>
  <c r="SVQ6" i="20" a="1"/>
  <c r="SVQ6" i="20" s="1"/>
  <c r="SVP6" i="20" a="1"/>
  <c r="SVP6" i="20" s="1"/>
  <c r="SVO6" i="20"/>
  <c r="SVO6" i="20" a="1"/>
  <c r="SVN6" i="20" a="1"/>
  <c r="SVN6" i="20" s="1"/>
  <c r="SVM6" i="20"/>
  <c r="SVM6" i="20" a="1"/>
  <c r="SVL6" i="20"/>
  <c r="SVL6" i="20" a="1"/>
  <c r="SVK6" i="20" a="1"/>
  <c r="SVK6" i="20" s="1"/>
  <c r="SVJ6" i="20"/>
  <c r="SVJ6" i="20" a="1"/>
  <c r="SVI6" i="20"/>
  <c r="SVI6" i="20" a="1"/>
  <c r="SVH6" i="20" a="1"/>
  <c r="SVH6" i="20" s="1"/>
  <c r="SVG6" i="20"/>
  <c r="SVG6" i="20" a="1"/>
  <c r="SVF6" i="20" a="1"/>
  <c r="SVF6" i="20" s="1"/>
  <c r="SVE6" i="20" a="1"/>
  <c r="SVE6" i="20" s="1"/>
  <c r="SVD6" i="20"/>
  <c r="SVD6" i="20" a="1"/>
  <c r="SVC6" i="20" a="1"/>
  <c r="SVC6" i="20" s="1"/>
  <c r="SVB6" i="20"/>
  <c r="SVB6" i="20" a="1"/>
  <c r="SVA6" i="20" a="1"/>
  <c r="SVA6" i="20" s="1"/>
  <c r="SUZ6" i="20"/>
  <c r="SUZ6" i="20" a="1"/>
  <c r="SUY6" i="20" a="1"/>
  <c r="SUY6" i="20" s="1"/>
  <c r="SUX6" i="20" a="1"/>
  <c r="SUX6" i="20" s="1"/>
  <c r="SUW6" i="20"/>
  <c r="SUW6" i="20" a="1"/>
  <c r="SUV6" i="20"/>
  <c r="SUV6" i="20" a="1"/>
  <c r="SUU6" i="20" a="1"/>
  <c r="SUU6" i="20" s="1"/>
  <c r="SUT6" i="20"/>
  <c r="SUT6" i="20" a="1"/>
  <c r="SUS6" i="20" a="1"/>
  <c r="SUS6" i="20" s="1"/>
  <c r="SUR6" i="20"/>
  <c r="SUR6" i="20" a="1"/>
  <c r="SUQ6" i="20" a="1"/>
  <c r="SUQ6" i="20" s="1"/>
  <c r="SUP6" i="20" a="1"/>
  <c r="SUP6" i="20" s="1"/>
  <c r="SUO6" i="20"/>
  <c r="SUO6" i="20" a="1"/>
  <c r="SUN6" i="20" a="1"/>
  <c r="SUN6" i="20" s="1"/>
  <c r="SUM6" i="20" a="1"/>
  <c r="SUM6" i="20" s="1"/>
  <c r="SUL6" i="20" a="1"/>
  <c r="SUL6" i="20" s="1"/>
  <c r="SUK6" i="20"/>
  <c r="SUK6" i="20" a="1"/>
  <c r="SUJ6" i="20"/>
  <c r="SUJ6" i="20" a="1"/>
  <c r="SUI6" i="20"/>
  <c r="SUI6" i="20" a="1"/>
  <c r="SUH6" i="20" a="1"/>
  <c r="SUH6" i="20" s="1"/>
  <c r="SUG6" i="20" a="1"/>
  <c r="SUG6" i="20" s="1"/>
  <c r="SUF6" i="20"/>
  <c r="SUF6" i="20" a="1"/>
  <c r="SUE6" i="20" a="1"/>
  <c r="SUE6" i="20" s="1"/>
  <c r="SUD6" i="20"/>
  <c r="SUD6" i="20" a="1"/>
  <c r="SUC6" i="20" a="1"/>
  <c r="SUC6" i="20" s="1"/>
  <c r="SUB6" i="20"/>
  <c r="SUB6" i="20" a="1"/>
  <c r="SUA6" i="20" a="1"/>
  <c r="SUA6" i="20" s="1"/>
  <c r="STZ6" i="20"/>
  <c r="STZ6" i="20" a="1"/>
  <c r="STY6" i="20" a="1"/>
  <c r="STY6" i="20" s="1"/>
  <c r="STX6" i="20"/>
  <c r="STX6" i="20" a="1"/>
  <c r="STW6" i="20"/>
  <c r="STW6" i="20" a="1"/>
  <c r="STV6" i="20"/>
  <c r="STV6" i="20" a="1"/>
  <c r="STU6" i="20" a="1"/>
  <c r="STU6" i="20" s="1"/>
  <c r="STT6" i="20" a="1"/>
  <c r="STT6" i="20" s="1"/>
  <c r="STS6" i="20"/>
  <c r="STS6" i="20" a="1"/>
  <c r="STR6" i="20"/>
  <c r="STR6" i="20" a="1"/>
  <c r="STQ6" i="20"/>
  <c r="STQ6" i="20" a="1"/>
  <c r="STP6" i="20" a="1"/>
  <c r="STP6" i="20" s="1"/>
  <c r="STO6" i="20" a="1"/>
  <c r="STO6" i="20" s="1"/>
  <c r="STN6" i="20" a="1"/>
  <c r="STN6" i="20" s="1"/>
  <c r="STM6" i="20"/>
  <c r="STM6" i="20" a="1"/>
  <c r="STL6" i="20" a="1"/>
  <c r="STL6" i="20" s="1"/>
  <c r="STK6" i="20"/>
  <c r="STK6" i="20" a="1"/>
  <c r="STJ6" i="20" a="1"/>
  <c r="STJ6" i="20" s="1"/>
  <c r="STI6" i="20" a="1"/>
  <c r="STI6" i="20" s="1"/>
  <c r="STH6" i="20"/>
  <c r="STH6" i="20" a="1"/>
  <c r="STG6" i="20" a="1"/>
  <c r="STG6" i="20" s="1"/>
  <c r="STF6" i="20"/>
  <c r="STF6" i="20" a="1"/>
  <c r="STE6" i="20" a="1"/>
  <c r="STE6" i="20" s="1"/>
  <c r="STD6" i="20"/>
  <c r="STD6" i="20" a="1"/>
  <c r="STC6" i="20" a="1"/>
  <c r="STC6" i="20" s="1"/>
  <c r="STB6" i="20"/>
  <c r="STB6" i="20" a="1"/>
  <c r="STA6" i="20" a="1"/>
  <c r="STA6" i="20" s="1"/>
  <c r="SSZ6" i="20"/>
  <c r="SSZ6" i="20" a="1"/>
  <c r="SSY6" i="20" a="1"/>
  <c r="SSY6" i="20" s="1"/>
  <c r="SSX6" i="20" a="1"/>
  <c r="SSX6" i="20" s="1"/>
  <c r="SSW6" i="20" a="1"/>
  <c r="SSW6" i="20" s="1"/>
  <c r="SSV6" i="20"/>
  <c r="SSV6" i="20" a="1"/>
  <c r="SSU6" i="20"/>
  <c r="SSU6" i="20" a="1"/>
  <c r="SST6" i="20" a="1"/>
  <c r="SST6" i="20" s="1"/>
  <c r="SSS6" i="20"/>
  <c r="SSS6" i="20" a="1"/>
  <c r="SSR6" i="20" a="1"/>
  <c r="SSR6" i="20" s="1"/>
  <c r="SSQ6" i="20" a="1"/>
  <c r="SSQ6" i="20" s="1"/>
  <c r="SSP6" i="20" a="1"/>
  <c r="SSP6" i="20" s="1"/>
  <c r="SSO6" i="20"/>
  <c r="SSO6" i="20" a="1"/>
  <c r="SSN6" i="20" a="1"/>
  <c r="SSN6" i="20" s="1"/>
  <c r="SSM6" i="20"/>
  <c r="SSM6" i="20" a="1"/>
  <c r="SSL6" i="20" a="1"/>
  <c r="SSL6" i="20" s="1"/>
  <c r="SSK6" i="20" a="1"/>
  <c r="SSK6" i="20" s="1"/>
  <c r="SSJ6" i="20" a="1"/>
  <c r="SSJ6" i="20" s="1"/>
  <c r="SSI6" i="20" a="1"/>
  <c r="SSI6" i="20" s="1"/>
  <c r="SSH6" i="20"/>
  <c r="SSH6" i="20" a="1"/>
  <c r="SSG6" i="20" a="1"/>
  <c r="SSG6" i="20" s="1"/>
  <c r="SSF6" i="20"/>
  <c r="SSF6" i="20" a="1"/>
  <c r="SSE6" i="20" a="1"/>
  <c r="SSE6" i="20" s="1"/>
  <c r="SSD6" i="20" a="1"/>
  <c r="SSD6" i="20" s="1"/>
  <c r="SSC6" i="20" a="1"/>
  <c r="SSC6" i="20" s="1"/>
  <c r="SSB6" i="20"/>
  <c r="SSB6" i="20" a="1"/>
  <c r="SSA6" i="20" a="1"/>
  <c r="SSA6" i="20" s="1"/>
  <c r="SRZ6" i="20"/>
  <c r="SRZ6" i="20" a="1"/>
  <c r="SRY6" i="20" a="1"/>
  <c r="SRY6" i="20" s="1"/>
  <c r="SRX6" i="20"/>
  <c r="SRX6" i="20" a="1"/>
  <c r="SRW6" i="20" a="1"/>
  <c r="SRW6" i="20" s="1"/>
  <c r="SRV6" i="20" a="1"/>
  <c r="SRV6" i="20" s="1"/>
  <c r="SRU6" i="20"/>
  <c r="SRU6" i="20" a="1"/>
  <c r="SRT6" i="20" a="1"/>
  <c r="SRT6" i="20" s="1"/>
  <c r="SRS6" i="20" a="1"/>
  <c r="SRS6" i="20" s="1"/>
  <c r="SRR6" i="20" a="1"/>
  <c r="SRR6" i="20" s="1"/>
  <c r="SRQ6" i="20" a="1"/>
  <c r="SRQ6" i="20" s="1"/>
  <c r="SRP6" i="20" a="1"/>
  <c r="SRP6" i="20" s="1"/>
  <c r="SRO6" i="20"/>
  <c r="SRO6" i="20" a="1"/>
  <c r="SRN6" i="20" a="1"/>
  <c r="SRN6" i="20" s="1"/>
  <c r="SRM6" i="20" a="1"/>
  <c r="SRM6" i="20" s="1"/>
  <c r="SRL6" i="20"/>
  <c r="SRL6" i="20" a="1"/>
  <c r="SRK6" i="20"/>
  <c r="SRK6" i="20" a="1"/>
  <c r="SRJ6" i="20" a="1"/>
  <c r="SRJ6" i="20" s="1"/>
  <c r="SRI6" i="20" a="1"/>
  <c r="SRI6" i="20" s="1"/>
  <c r="SRH6" i="20"/>
  <c r="SRH6" i="20" a="1"/>
  <c r="SRG6" i="20" a="1"/>
  <c r="SRG6" i="20" s="1"/>
  <c r="SRF6" i="20"/>
  <c r="SRF6" i="20" a="1"/>
  <c r="SRE6" i="20" a="1"/>
  <c r="SRE6" i="20" s="1"/>
  <c r="SRD6" i="20"/>
  <c r="SRD6" i="20" a="1"/>
  <c r="SRC6" i="20" a="1"/>
  <c r="SRC6" i="20" s="1"/>
  <c r="SRB6" i="20"/>
  <c r="SRB6" i="20" a="1"/>
  <c r="SRA6" i="20" a="1"/>
  <c r="SRA6" i="20" s="1"/>
  <c r="SQZ6" i="20" a="1"/>
  <c r="SQZ6" i="20" s="1"/>
  <c r="SQY6" i="20"/>
  <c r="SQY6" i="20" a="1"/>
  <c r="SQX6" i="20" a="1"/>
  <c r="SQX6" i="20" s="1"/>
  <c r="SQW6" i="20"/>
  <c r="SQW6" i="20" a="1"/>
  <c r="SQV6" i="20" a="1"/>
  <c r="SQV6" i="20" s="1"/>
  <c r="SQU6" i="20" a="1"/>
  <c r="SQU6" i="20" s="1"/>
  <c r="SQT6" i="20" a="1"/>
  <c r="SQT6" i="20" s="1"/>
  <c r="SQS6" i="20"/>
  <c r="SQS6" i="20" a="1"/>
  <c r="SQR6" i="20" a="1"/>
  <c r="SQR6" i="20" s="1"/>
  <c r="SQQ6" i="20" a="1"/>
  <c r="SQQ6" i="20" s="1"/>
  <c r="SQP6" i="20"/>
  <c r="SQP6" i="20" a="1"/>
  <c r="SQO6" i="20" a="1"/>
  <c r="SQO6" i="20" s="1"/>
  <c r="SQN6" i="20"/>
  <c r="SQN6" i="20" a="1"/>
  <c r="SQM6" i="20" a="1"/>
  <c r="SQM6" i="20" s="1"/>
  <c r="SQL6" i="20"/>
  <c r="SQL6" i="20" a="1"/>
  <c r="SQK6" i="20" a="1"/>
  <c r="SQK6" i="20" s="1"/>
  <c r="SQJ6" i="20" a="1"/>
  <c r="SQJ6" i="20" s="1"/>
  <c r="SQI6" i="20" a="1"/>
  <c r="SQI6" i="20" s="1"/>
  <c r="SQH6" i="20"/>
  <c r="SQH6" i="20" a="1"/>
  <c r="SQG6" i="20" a="1"/>
  <c r="SQG6" i="20" s="1"/>
  <c r="SQF6" i="20"/>
  <c r="SQF6" i="20" a="1"/>
  <c r="SQE6" i="20" a="1"/>
  <c r="SQE6" i="20" s="1"/>
  <c r="SQD6" i="20"/>
  <c r="SQD6" i="20" a="1"/>
  <c r="SQC6" i="20" a="1"/>
  <c r="SQC6" i="20" s="1"/>
  <c r="SQB6" i="20" a="1"/>
  <c r="SQB6" i="20" s="1"/>
  <c r="SQA6" i="20"/>
  <c r="SQA6" i="20" a="1"/>
  <c r="SPZ6" i="20" a="1"/>
  <c r="SPZ6" i="20" s="1"/>
  <c r="SPY6" i="20"/>
  <c r="SPY6" i="20" a="1"/>
  <c r="SPX6" i="20" a="1"/>
  <c r="SPX6" i="20" s="1"/>
  <c r="SPW6" i="20" a="1"/>
  <c r="SPW6" i="20" s="1"/>
  <c r="SPV6" i="20" a="1"/>
  <c r="SPV6" i="20" s="1"/>
  <c r="SPU6" i="20"/>
  <c r="SPU6" i="20" a="1"/>
  <c r="SPT6" i="20" a="1"/>
  <c r="SPT6" i="20" s="1"/>
  <c r="SPS6" i="20"/>
  <c r="SPS6" i="20" a="1"/>
  <c r="SPR6" i="20" a="1"/>
  <c r="SPR6" i="20" s="1"/>
  <c r="SPQ6" i="20" a="1"/>
  <c r="SPQ6" i="20" s="1"/>
  <c r="SPP6" i="20" a="1"/>
  <c r="SPP6" i="20" s="1"/>
  <c r="SPO6" i="20"/>
  <c r="SPO6" i="20" a="1"/>
  <c r="SPN6" i="20"/>
  <c r="SPN6" i="20" a="1"/>
  <c r="SPM6" i="20" a="1"/>
  <c r="SPM6" i="20" s="1"/>
  <c r="SPL6" i="20"/>
  <c r="SPL6" i="20" a="1"/>
  <c r="SPK6" i="20" a="1"/>
  <c r="SPK6" i="20" s="1"/>
  <c r="SPJ6" i="20" a="1"/>
  <c r="SPJ6" i="20" s="1"/>
  <c r="SPI6" i="20" a="1"/>
  <c r="SPI6" i="20" s="1"/>
  <c r="SPH6" i="20"/>
  <c r="SPH6" i="20" a="1"/>
  <c r="SPG6" i="20" a="1"/>
  <c r="SPG6" i="20" s="1"/>
  <c r="SPF6" i="20"/>
  <c r="SPF6" i="20" a="1"/>
  <c r="SPE6" i="20" a="1"/>
  <c r="SPE6" i="20" s="1"/>
  <c r="SPD6" i="20"/>
  <c r="SPD6" i="20" a="1"/>
  <c r="SPC6" i="20" a="1"/>
  <c r="SPC6" i="20" s="1"/>
  <c r="SPB6" i="20" a="1"/>
  <c r="SPB6" i="20" s="1"/>
  <c r="SPA6" i="20"/>
  <c r="SPA6" i="20" a="1"/>
  <c r="SOZ6" i="20" a="1"/>
  <c r="SOZ6" i="20" s="1"/>
  <c r="SOY6" i="20" a="1"/>
  <c r="SOY6" i="20" s="1"/>
  <c r="SOX6" i="20" a="1"/>
  <c r="SOX6" i="20" s="1"/>
  <c r="SOW6" i="20"/>
  <c r="SOW6" i="20" a="1"/>
  <c r="SOV6" i="20"/>
  <c r="SOV6" i="20" a="1"/>
  <c r="SOU6" i="20"/>
  <c r="SOU6" i="20" a="1"/>
  <c r="SOT6" i="20" a="1"/>
  <c r="SOT6" i="20" s="1"/>
  <c r="SOS6" i="20" a="1"/>
  <c r="SOS6" i="20" s="1"/>
  <c r="SOR6" i="20"/>
  <c r="SOR6" i="20" a="1"/>
  <c r="SOQ6" i="20" a="1"/>
  <c r="SOQ6" i="20" s="1"/>
  <c r="SOP6" i="20" a="1"/>
  <c r="SOP6" i="20" s="1"/>
  <c r="SOO6" i="20"/>
  <c r="SOO6" i="20" a="1"/>
  <c r="SON6" i="20"/>
  <c r="SON6" i="20" a="1"/>
  <c r="SOM6" i="20" a="1"/>
  <c r="SOM6" i="20" s="1"/>
  <c r="SOL6" i="20"/>
  <c r="SOL6" i="20" a="1"/>
  <c r="SOK6" i="20" a="1"/>
  <c r="SOK6" i="20" s="1"/>
  <c r="SOJ6" i="20" a="1"/>
  <c r="SOJ6" i="20" s="1"/>
  <c r="SOI6" i="20"/>
  <c r="SOI6" i="20" a="1"/>
  <c r="SOH6" i="20"/>
  <c r="SOH6" i="20" a="1"/>
  <c r="SOG6" i="20" a="1"/>
  <c r="SOG6" i="20" s="1"/>
  <c r="SOF6" i="20" a="1"/>
  <c r="SOF6" i="20" s="1"/>
  <c r="SOE6" i="20"/>
  <c r="SOE6" i="20" a="1"/>
  <c r="SOD6" i="20" a="1"/>
  <c r="SOD6" i="20" s="1"/>
  <c r="SOC6" i="20" a="1"/>
  <c r="SOC6" i="20" s="1"/>
  <c r="SOB6" i="20" a="1"/>
  <c r="SOB6" i="20" s="1"/>
  <c r="SOA6" i="20" a="1"/>
  <c r="SOA6" i="20" s="1"/>
  <c r="SNZ6" i="20" a="1"/>
  <c r="SNZ6" i="20" s="1"/>
  <c r="SNY6" i="20"/>
  <c r="SNY6" i="20" a="1"/>
  <c r="SNX6" i="20" a="1"/>
  <c r="SNX6" i="20" s="1"/>
  <c r="SNW6" i="20"/>
  <c r="SNW6" i="20" a="1"/>
  <c r="SNV6" i="20"/>
  <c r="SNV6" i="20" a="1"/>
  <c r="SNU6" i="20" a="1"/>
  <c r="SNU6" i="20" s="1"/>
  <c r="SNT6" i="20"/>
  <c r="SNT6" i="20" a="1"/>
  <c r="SNS6" i="20" a="1"/>
  <c r="SNS6" i="20" s="1"/>
  <c r="SNR6" i="20"/>
  <c r="SNR6" i="20" a="1"/>
  <c r="SNQ6" i="20" a="1"/>
  <c r="SNQ6" i="20" s="1"/>
  <c r="SNP6" i="20"/>
  <c r="SNP6" i="20" a="1"/>
  <c r="SNO6" i="20" a="1"/>
  <c r="SNO6" i="20" s="1"/>
  <c r="SNN6" i="20"/>
  <c r="SNN6" i="20" a="1"/>
  <c r="SNM6" i="20" a="1"/>
  <c r="SNM6" i="20" s="1"/>
  <c r="SNL6" i="20"/>
  <c r="SNL6" i="20" a="1"/>
  <c r="SNK6" i="20" a="1"/>
  <c r="SNK6" i="20" s="1"/>
  <c r="SNJ6" i="20"/>
  <c r="SNJ6" i="20" a="1"/>
  <c r="SNI6" i="20" a="1"/>
  <c r="SNI6" i="20" s="1"/>
  <c r="SNH6" i="20" a="1"/>
  <c r="SNH6" i="20" s="1"/>
  <c r="SNG6" i="20"/>
  <c r="SNG6" i="20" a="1"/>
  <c r="SNF6" i="20" a="1"/>
  <c r="SNF6" i="20" s="1"/>
  <c r="SNE6" i="20"/>
  <c r="SNE6" i="20" a="1"/>
  <c r="SND6" i="20"/>
  <c r="SND6" i="20" a="1"/>
  <c r="SNC6" i="20" a="1"/>
  <c r="SNC6" i="20" s="1"/>
  <c r="SNB6" i="20" a="1"/>
  <c r="SNB6" i="20" s="1"/>
  <c r="SNA6" i="20"/>
  <c r="SNA6" i="20" a="1"/>
  <c r="SMZ6" i="20" a="1"/>
  <c r="SMZ6" i="20" s="1"/>
  <c r="SMY6" i="20"/>
  <c r="SMY6" i="20" a="1"/>
  <c r="SMX6" i="20" a="1"/>
  <c r="SMX6" i="20" s="1"/>
  <c r="SMW6" i="20" a="1"/>
  <c r="SMW6" i="20" s="1"/>
  <c r="SMV6" i="20"/>
  <c r="SMV6" i="20" a="1"/>
  <c r="SMU6" i="20"/>
  <c r="SMU6" i="20" a="1"/>
  <c r="SMT6" i="20"/>
  <c r="SMT6" i="20" a="1"/>
  <c r="SMS6" i="20" a="1"/>
  <c r="SMS6" i="20" s="1"/>
  <c r="SMR6" i="20"/>
  <c r="SMR6" i="20" a="1"/>
  <c r="SMQ6" i="20" a="1"/>
  <c r="SMQ6" i="20" s="1"/>
  <c r="SMP6" i="20" a="1"/>
  <c r="SMP6" i="20" s="1"/>
  <c r="SMO6" i="20"/>
  <c r="SMO6" i="20" a="1"/>
  <c r="SMN6" i="20"/>
  <c r="SMN6" i="20" a="1"/>
  <c r="SMM6" i="20" a="1"/>
  <c r="SMM6" i="20" s="1"/>
  <c r="SML6" i="20"/>
  <c r="SML6" i="20" a="1"/>
  <c r="SMK6" i="20" a="1"/>
  <c r="SMK6" i="20" s="1"/>
  <c r="SMJ6" i="20" a="1"/>
  <c r="SMJ6" i="20" s="1"/>
  <c r="SMI6" i="20" a="1"/>
  <c r="SMI6" i="20" s="1"/>
  <c r="SMH6" i="20"/>
  <c r="SMH6" i="20" a="1"/>
  <c r="SMG6" i="20"/>
  <c r="SMG6" i="20" a="1"/>
  <c r="SMF6" i="20" a="1"/>
  <c r="SMF6" i="20" s="1"/>
  <c r="SME6" i="20" a="1"/>
  <c r="SME6" i="20" s="1"/>
  <c r="SMD6" i="20" a="1"/>
  <c r="SMD6" i="20" s="1"/>
  <c r="SMC6" i="20"/>
  <c r="SMC6" i="20" a="1"/>
  <c r="SMB6" i="20" a="1"/>
  <c r="SMB6" i="20" s="1"/>
  <c r="SMA6" i="20"/>
  <c r="SMA6" i="20" a="1"/>
  <c r="SLZ6" i="20" a="1"/>
  <c r="SLZ6" i="20" s="1"/>
  <c r="SLY6" i="20" a="1"/>
  <c r="SLY6" i="20" s="1"/>
  <c r="SLX6" i="20"/>
  <c r="SLX6" i="20" a="1"/>
  <c r="SLW6" i="20" a="1"/>
  <c r="SLW6" i="20" s="1"/>
  <c r="SLV6" i="20"/>
  <c r="SLV6" i="20" a="1"/>
  <c r="SLU6" i="20" a="1"/>
  <c r="SLU6" i="20" s="1"/>
  <c r="SLT6" i="20"/>
  <c r="SLT6" i="20" a="1"/>
  <c r="SLS6" i="20" a="1"/>
  <c r="SLS6" i="20" s="1"/>
  <c r="SLR6" i="20"/>
  <c r="SLR6" i="20" a="1"/>
  <c r="SLQ6" i="20" a="1"/>
  <c r="SLQ6" i="20" s="1"/>
  <c r="SLP6" i="20" a="1"/>
  <c r="SLP6" i="20" s="1"/>
  <c r="SLO6" i="20"/>
  <c r="SLO6" i="20" a="1"/>
  <c r="SLN6" i="20"/>
  <c r="SLN6" i="20" a="1"/>
  <c r="SLM6" i="20" a="1"/>
  <c r="SLM6" i="20" s="1"/>
  <c r="SLL6" i="20" a="1"/>
  <c r="SLL6" i="20" s="1"/>
  <c r="SLK6" i="20"/>
  <c r="SLK6" i="20" a="1"/>
  <c r="SLJ6" i="20" a="1"/>
  <c r="SLJ6" i="20" s="1"/>
  <c r="SLI6" i="20" a="1"/>
  <c r="SLI6" i="20" s="1"/>
  <c r="SLH6" i="20"/>
  <c r="SLH6" i="20" a="1"/>
  <c r="SLG6" i="20" a="1"/>
  <c r="SLG6" i="20" s="1"/>
  <c r="SLF6" i="20" a="1"/>
  <c r="SLF6" i="20" s="1"/>
  <c r="SLE6" i="20"/>
  <c r="SLE6" i="20" a="1"/>
  <c r="SLD6" i="20" a="1"/>
  <c r="SLD6" i="20" s="1"/>
  <c r="SLC6" i="20"/>
  <c r="SLC6" i="20" a="1"/>
  <c r="SLB6" i="20"/>
  <c r="SLB6" i="20" a="1"/>
  <c r="SLA6" i="20" a="1"/>
  <c r="SLA6" i="20" s="1"/>
  <c r="SKZ6" i="20"/>
  <c r="SKZ6" i="20" a="1"/>
  <c r="SKY6" i="20" a="1"/>
  <c r="SKY6" i="20" s="1"/>
  <c r="SKX6" i="20"/>
  <c r="SKX6" i="20" a="1"/>
  <c r="SKW6" i="20"/>
  <c r="SKW6" i="20" a="1"/>
  <c r="SKV6" i="20"/>
  <c r="SKV6" i="20" a="1"/>
  <c r="SKU6" i="20" a="1"/>
  <c r="SKU6" i="20" s="1"/>
  <c r="SKT6" i="20"/>
  <c r="SKT6" i="20" a="1"/>
  <c r="SKS6" i="20" a="1"/>
  <c r="SKS6" i="20" s="1"/>
  <c r="SKR6" i="20"/>
  <c r="SKR6" i="20" a="1"/>
  <c r="SKQ6" i="20" a="1"/>
  <c r="SKQ6" i="20" s="1"/>
  <c r="SKP6" i="20"/>
  <c r="SKP6" i="20" a="1"/>
  <c r="SKO6" i="20" a="1"/>
  <c r="SKO6" i="20" s="1"/>
  <c r="SKN6" i="20"/>
  <c r="SKN6" i="20" a="1"/>
  <c r="SKM6" i="20"/>
  <c r="SKM6" i="20" a="1"/>
  <c r="SKL6" i="20" a="1"/>
  <c r="SKL6" i="20" s="1"/>
  <c r="SKK6" i="20"/>
  <c r="SKK6" i="20" a="1"/>
  <c r="SKJ6" i="20" a="1"/>
  <c r="SKJ6" i="20" s="1"/>
  <c r="SKI6" i="20" a="1"/>
  <c r="SKI6" i="20" s="1"/>
  <c r="SKH6" i="20"/>
  <c r="SKH6" i="20" a="1"/>
  <c r="SKG6" i="20"/>
  <c r="SKG6" i="20" a="1"/>
  <c r="SKF6" i="20" a="1"/>
  <c r="SKF6" i="20" s="1"/>
  <c r="SKE6" i="20"/>
  <c r="SKE6" i="20" a="1"/>
  <c r="SKD6" i="20" a="1"/>
  <c r="SKD6" i="20" s="1"/>
  <c r="SKC6" i="20" a="1"/>
  <c r="SKC6" i="20" s="1"/>
  <c r="SKB6" i="20" a="1"/>
  <c r="SKB6" i="20" s="1"/>
  <c r="SKA6" i="20"/>
  <c r="SKA6" i="20" a="1"/>
  <c r="SJZ6" i="20"/>
  <c r="SJZ6" i="20" a="1"/>
  <c r="SJY6" i="20" a="1"/>
  <c r="SJY6" i="20" s="1"/>
  <c r="SJX6" i="20"/>
  <c r="SJX6" i="20" a="1"/>
  <c r="SJW6" i="20" a="1"/>
  <c r="SJW6" i="20" s="1"/>
  <c r="SJV6" i="20"/>
  <c r="SJV6" i="20" a="1"/>
  <c r="SJU6" i="20" a="1"/>
  <c r="SJU6" i="20" s="1"/>
  <c r="SJT6" i="20"/>
  <c r="SJT6" i="20" a="1"/>
  <c r="SJS6" i="20" a="1"/>
  <c r="SJS6" i="20" s="1"/>
  <c r="SJR6" i="20"/>
  <c r="SJR6" i="20" a="1"/>
  <c r="SJQ6" i="20" a="1"/>
  <c r="SJQ6" i="20" s="1"/>
  <c r="SJP6" i="20" a="1"/>
  <c r="SJP6" i="20" s="1"/>
  <c r="SJO6" i="20"/>
  <c r="SJO6" i="20" a="1"/>
  <c r="SJN6" i="20" a="1"/>
  <c r="SJN6" i="20" s="1"/>
  <c r="SJM6" i="20"/>
  <c r="SJM6" i="20" a="1"/>
  <c r="SJL6" i="20" a="1"/>
  <c r="SJL6" i="20" s="1"/>
  <c r="SJK6" i="20" a="1"/>
  <c r="SJK6" i="20" s="1"/>
  <c r="SJJ6" i="20" a="1"/>
  <c r="SJJ6" i="20" s="1"/>
  <c r="SJI6" i="20"/>
  <c r="SJI6" i="20" a="1"/>
  <c r="SJH6" i="20" a="1"/>
  <c r="SJH6" i="20" s="1"/>
  <c r="SJG6" i="20"/>
  <c r="SJG6" i="20" a="1"/>
  <c r="SJF6" i="20" a="1"/>
  <c r="SJF6" i="20" s="1"/>
  <c r="SJE6" i="20" a="1"/>
  <c r="SJE6" i="20" s="1"/>
  <c r="SJD6" i="20"/>
  <c r="SJD6" i="20" a="1"/>
  <c r="SJC6" i="20" a="1"/>
  <c r="SJC6" i="20" s="1"/>
  <c r="SJB6" i="20"/>
  <c r="SJB6" i="20" a="1"/>
  <c r="SJA6" i="20" a="1"/>
  <c r="SJA6" i="20" s="1"/>
  <c r="SIZ6" i="20"/>
  <c r="SIZ6" i="20" a="1"/>
  <c r="SIY6" i="20" a="1"/>
  <c r="SIY6" i="20" s="1"/>
  <c r="SIX6" i="20"/>
  <c r="SIX6" i="20" a="1"/>
  <c r="SIW6" i="20" a="1"/>
  <c r="SIW6" i="20" s="1"/>
  <c r="SIV6" i="20" a="1"/>
  <c r="SIV6" i="20" s="1"/>
  <c r="SIU6" i="20"/>
  <c r="SIU6" i="20" a="1"/>
  <c r="SIT6" i="20"/>
  <c r="SIT6" i="20" a="1"/>
  <c r="SIS6" i="20" a="1"/>
  <c r="SIS6" i="20" s="1"/>
  <c r="SIR6" i="20" a="1"/>
  <c r="SIR6" i="20" s="1"/>
  <c r="SIQ6" i="20"/>
  <c r="SIQ6" i="20" a="1"/>
  <c r="SIP6" i="20" a="1"/>
  <c r="SIP6" i="20" s="1"/>
  <c r="SIO6" i="20" a="1"/>
  <c r="SIO6" i="20" s="1"/>
  <c r="SIN6" i="20"/>
  <c r="SIN6" i="20" a="1"/>
  <c r="SIM6" i="20" a="1"/>
  <c r="SIM6" i="20" s="1"/>
  <c r="SIL6" i="20" a="1"/>
  <c r="SIL6" i="20" s="1"/>
  <c r="SIK6" i="20"/>
  <c r="SIK6" i="20" a="1"/>
  <c r="SIJ6" i="20" a="1"/>
  <c r="SIJ6" i="20" s="1"/>
  <c r="SII6" i="20"/>
  <c r="SII6" i="20" a="1"/>
  <c r="SIH6" i="20"/>
  <c r="SIH6" i="20" a="1"/>
  <c r="SIG6" i="20" a="1"/>
  <c r="SIG6" i="20" s="1"/>
  <c r="SIF6" i="20"/>
  <c r="SIF6" i="20" a="1"/>
  <c r="SIE6" i="20" a="1"/>
  <c r="SIE6" i="20" s="1"/>
  <c r="SID6" i="20"/>
  <c r="SID6" i="20" a="1"/>
  <c r="SIC6" i="20" a="1"/>
  <c r="SIC6" i="20" s="1"/>
  <c r="SIB6" i="20"/>
  <c r="SIB6" i="20" a="1"/>
  <c r="SIA6" i="20" a="1"/>
  <c r="SIA6" i="20" s="1"/>
  <c r="SHZ6" i="20"/>
  <c r="SHZ6" i="20" a="1"/>
  <c r="SHY6" i="20" a="1"/>
  <c r="SHY6" i="20" s="1"/>
  <c r="SHX6" i="20"/>
  <c r="SHX6" i="20" a="1"/>
  <c r="SHW6" i="20" a="1"/>
  <c r="SHW6" i="20" s="1"/>
  <c r="SHV6" i="20" a="1"/>
  <c r="SHV6" i="20" s="1"/>
  <c r="SHU6" i="20" a="1"/>
  <c r="SHU6" i="20" s="1"/>
  <c r="SHT6" i="20"/>
  <c r="SHT6" i="20" a="1"/>
  <c r="SHS6" i="20"/>
  <c r="SHS6" i="20" a="1"/>
  <c r="SHR6" i="20" a="1"/>
  <c r="SHR6" i="20" s="1"/>
  <c r="SHQ6" i="20"/>
  <c r="SHQ6" i="20" a="1"/>
  <c r="SHP6" i="20" a="1"/>
  <c r="SHP6" i="20" s="1"/>
  <c r="SHO6" i="20" a="1"/>
  <c r="SHO6" i="20" s="1"/>
  <c r="SHN6" i="20" a="1"/>
  <c r="SHN6" i="20" s="1"/>
  <c r="SHM6" i="20"/>
  <c r="SHM6" i="20" a="1"/>
  <c r="SHL6" i="20" a="1"/>
  <c r="SHL6" i="20" s="1"/>
  <c r="SHK6" i="20"/>
  <c r="SHK6" i="20" a="1"/>
  <c r="SHJ6" i="20" a="1"/>
  <c r="SHJ6" i="20" s="1"/>
  <c r="SHI6" i="20" a="1"/>
  <c r="SHI6" i="20" s="1"/>
  <c r="SHH6" i="20" a="1"/>
  <c r="SHH6" i="20" s="1"/>
  <c r="SHG6" i="20" a="1"/>
  <c r="SHG6" i="20" s="1"/>
  <c r="SHF6" i="20"/>
  <c r="SHF6" i="20" a="1"/>
  <c r="SHE6" i="20" a="1"/>
  <c r="SHE6" i="20" s="1"/>
  <c r="SHD6" i="20"/>
  <c r="SHD6" i="20" a="1"/>
  <c r="SHC6" i="20" a="1"/>
  <c r="SHC6" i="20" s="1"/>
  <c r="SHB6" i="20"/>
  <c r="SHB6" i="20" a="1"/>
  <c r="SHA6" i="20" a="1"/>
  <c r="SHA6" i="20" s="1"/>
  <c r="SGZ6" i="20" a="1"/>
  <c r="SGZ6" i="20" s="1"/>
  <c r="SGY6" i="20" a="1"/>
  <c r="SGY6" i="20" s="1"/>
  <c r="SGX6" i="20"/>
  <c r="SGX6" i="20" a="1"/>
  <c r="SGW6" i="20" a="1"/>
  <c r="SGW6" i="20" s="1"/>
  <c r="SGV6" i="20" a="1"/>
  <c r="SGV6" i="20" s="1"/>
  <c r="SGU6" i="20"/>
  <c r="SGU6" i="20" a="1"/>
  <c r="SGT6" i="20" a="1"/>
  <c r="SGT6" i="20" s="1"/>
  <c r="SGS6" i="20"/>
  <c r="SGS6" i="20" a="1"/>
  <c r="SGR6" i="20" a="1"/>
  <c r="SGR6" i="20" s="1"/>
  <c r="SGQ6" i="20" a="1"/>
  <c r="SGQ6" i="20" s="1"/>
  <c r="SGP6" i="20" a="1"/>
  <c r="SGP6" i="20" s="1"/>
  <c r="SGO6" i="20"/>
  <c r="SGO6" i="20" a="1"/>
  <c r="SGN6" i="20" a="1"/>
  <c r="SGN6" i="20" s="1"/>
  <c r="SGM6" i="20" a="1"/>
  <c r="SGM6" i="20" s="1"/>
  <c r="SGL6" i="20" a="1"/>
  <c r="SGL6" i="20" s="1"/>
  <c r="SGK6" i="20" a="1"/>
  <c r="SGK6" i="20" s="1"/>
  <c r="SGJ6" i="20"/>
  <c r="SGJ6" i="20" a="1"/>
  <c r="SGI6" i="20"/>
  <c r="SGI6" i="20" a="1"/>
  <c r="SGH6" i="20"/>
  <c r="SGH6" i="20" a="1"/>
  <c r="SGG6" i="20" a="1"/>
  <c r="SGG6" i="20" s="1"/>
  <c r="SGF6" i="20"/>
  <c r="SGF6" i="20" a="1"/>
  <c r="SGE6" i="20" a="1"/>
  <c r="SGE6" i="20" s="1"/>
  <c r="SGD6" i="20"/>
  <c r="SGD6" i="20" a="1"/>
  <c r="SGC6" i="20" a="1"/>
  <c r="SGC6" i="20" s="1"/>
  <c r="SGB6" i="20"/>
  <c r="SGB6" i="20" a="1"/>
  <c r="SGA6" i="20"/>
  <c r="SGA6" i="20" a="1"/>
  <c r="SFZ6" i="20" a="1"/>
  <c r="SFZ6" i="20" s="1"/>
  <c r="SFY6" i="20" a="1"/>
  <c r="SFY6" i="20" s="1"/>
  <c r="SFX6" i="20" a="1"/>
  <c r="SFX6" i="20" s="1"/>
  <c r="SFW6" i="20"/>
  <c r="SFW6" i="20" a="1"/>
  <c r="SFV6" i="20" a="1"/>
  <c r="SFV6" i="20" s="1"/>
  <c r="SFU6" i="20"/>
  <c r="SFU6" i="20" a="1"/>
  <c r="SFT6" i="20"/>
  <c r="SFT6" i="20" a="1"/>
  <c r="SFS6" i="20" a="1"/>
  <c r="SFS6" i="20" s="1"/>
  <c r="SFR6" i="20" a="1"/>
  <c r="SFR6" i="20" s="1"/>
  <c r="SFQ6" i="20"/>
  <c r="SFQ6" i="20" a="1"/>
  <c r="SFP6" i="20" a="1"/>
  <c r="SFP6" i="20" s="1"/>
  <c r="SFO6" i="20" a="1"/>
  <c r="SFO6" i="20" s="1"/>
  <c r="SFN6" i="20"/>
  <c r="SFN6" i="20" a="1"/>
  <c r="SFM6" i="20" a="1"/>
  <c r="SFM6" i="20" s="1"/>
  <c r="SFL6" i="20"/>
  <c r="SFL6" i="20" a="1"/>
  <c r="SFK6" i="20" a="1"/>
  <c r="SFK6" i="20" s="1"/>
  <c r="SFJ6" i="20"/>
  <c r="SFJ6" i="20" a="1"/>
  <c r="SFI6" i="20" a="1"/>
  <c r="SFI6" i="20" s="1"/>
  <c r="SFH6" i="20" a="1"/>
  <c r="SFH6" i="20" s="1"/>
  <c r="SFG6" i="20" a="1"/>
  <c r="SFG6" i="20" s="1"/>
  <c r="SFF6" i="20"/>
  <c r="SFF6" i="20" a="1"/>
  <c r="SFE6" i="20" a="1"/>
  <c r="SFE6" i="20" s="1"/>
  <c r="SFD6" i="20"/>
  <c r="SFD6" i="20" a="1"/>
  <c r="SFC6" i="20" a="1"/>
  <c r="SFC6" i="20" s="1"/>
  <c r="SFB6" i="20" a="1"/>
  <c r="SFB6" i="20" s="1"/>
  <c r="SFA6" i="20" a="1"/>
  <c r="SFA6" i="20" s="1"/>
  <c r="SEZ6" i="20" a="1"/>
  <c r="SEZ6" i="20" s="1"/>
  <c r="SEY6" i="20"/>
  <c r="SEY6" i="20" a="1"/>
  <c r="SEX6" i="20" a="1"/>
  <c r="SEX6" i="20" s="1"/>
  <c r="SEW6" i="20"/>
  <c r="SEW6" i="20" a="1"/>
  <c r="SEV6" i="20" a="1"/>
  <c r="SEV6" i="20" s="1"/>
  <c r="SEU6" i="20" a="1"/>
  <c r="SEU6" i="20" s="1"/>
  <c r="SET6" i="20" a="1"/>
  <c r="SET6" i="20" s="1"/>
  <c r="SES6" i="20" a="1"/>
  <c r="SES6" i="20" s="1"/>
  <c r="SER6" i="20" a="1"/>
  <c r="SER6" i="20" s="1"/>
  <c r="SEQ6" i="20"/>
  <c r="SEQ6" i="20" a="1"/>
  <c r="SEP6" i="20" a="1"/>
  <c r="SEP6" i="20" s="1"/>
  <c r="SEO6" i="20" a="1"/>
  <c r="SEO6" i="20" s="1"/>
  <c r="SEN6" i="20" a="1"/>
  <c r="SEN6" i="20" s="1"/>
  <c r="SEM6" i="20" a="1"/>
  <c r="SEM6" i="20" s="1"/>
  <c r="SEL6" i="20"/>
  <c r="SEL6" i="20" a="1"/>
  <c r="SEK6" i="20" a="1"/>
  <c r="SEK6" i="20" s="1"/>
  <c r="SEJ6" i="20"/>
  <c r="SEJ6" i="20" a="1"/>
  <c r="SEI6" i="20" a="1"/>
  <c r="SEI6" i="20" s="1"/>
  <c r="SEH6" i="20"/>
  <c r="SEH6" i="20" a="1"/>
  <c r="SEG6" i="20" a="1"/>
  <c r="SEG6" i="20" s="1"/>
  <c r="SEF6" i="20" a="1"/>
  <c r="SEF6" i="20" s="1"/>
  <c r="SEE6" i="20" a="1"/>
  <c r="SEE6" i="20" s="1"/>
  <c r="SED6" i="20"/>
  <c r="SED6" i="20" a="1"/>
  <c r="SEC6" i="20" a="1"/>
  <c r="SEC6" i="20" s="1"/>
  <c r="SEB6" i="20"/>
  <c r="SEB6" i="20" a="1"/>
  <c r="SEA6" i="20"/>
  <c r="SEA6" i="20" a="1"/>
  <c r="SDZ6" i="20" a="1"/>
  <c r="SDZ6" i="20" s="1"/>
  <c r="SDY6" i="20"/>
  <c r="SDY6" i="20" a="1"/>
  <c r="SDX6" i="20"/>
  <c r="SDX6" i="20" a="1"/>
  <c r="SDW6" i="20" a="1"/>
  <c r="SDW6" i="20" s="1"/>
  <c r="SDV6" i="20" a="1"/>
  <c r="SDV6" i="20" s="1"/>
  <c r="SDU6" i="20"/>
  <c r="SDU6" i="20" a="1"/>
  <c r="SDT6" i="20" a="1"/>
  <c r="SDT6" i="20" s="1"/>
  <c r="SDS6" i="20" a="1"/>
  <c r="SDS6" i="20" s="1"/>
  <c r="SDR6" i="20" a="1"/>
  <c r="SDR6" i="20" s="1"/>
  <c r="SDQ6" i="20" a="1"/>
  <c r="SDQ6" i="20" s="1"/>
  <c r="SDP6" i="20"/>
  <c r="SDP6" i="20" a="1"/>
  <c r="SDO6" i="20" a="1"/>
  <c r="SDO6" i="20" s="1"/>
  <c r="SDN6" i="20"/>
  <c r="SDN6" i="20" a="1"/>
  <c r="SDM6" i="20" a="1"/>
  <c r="SDM6" i="20" s="1"/>
  <c r="SDL6" i="20"/>
  <c r="SDL6" i="20" a="1"/>
  <c r="SDK6" i="20" a="1"/>
  <c r="SDK6" i="20" s="1"/>
  <c r="SDJ6" i="20"/>
  <c r="SDJ6" i="20" a="1"/>
  <c r="SDI6" i="20" a="1"/>
  <c r="SDI6" i="20" s="1"/>
  <c r="SDH6" i="20" a="1"/>
  <c r="SDH6" i="20" s="1"/>
  <c r="SDG6" i="20"/>
  <c r="SDG6" i="20" a="1"/>
  <c r="SDF6" i="20" a="1"/>
  <c r="SDF6" i="20" s="1"/>
  <c r="SDE6" i="20" a="1"/>
  <c r="SDE6" i="20" s="1"/>
  <c r="SDD6" i="20"/>
  <c r="SDD6" i="20" a="1"/>
  <c r="SDC6" i="20"/>
  <c r="SDC6" i="20" a="1"/>
  <c r="SDB6" i="20" a="1"/>
  <c r="SDB6" i="20" s="1"/>
  <c r="SDA6" i="20" a="1"/>
  <c r="SDA6" i="20" s="1"/>
  <c r="SCZ6" i="20"/>
  <c r="SCZ6" i="20" a="1"/>
  <c r="SCY6" i="20" a="1"/>
  <c r="SCY6" i="20" s="1"/>
  <c r="SCX6" i="20" a="1"/>
  <c r="SCX6" i="20" s="1"/>
  <c r="SCW6" i="20"/>
  <c r="SCW6" i="20" a="1"/>
  <c r="SCV6" i="20" a="1"/>
  <c r="SCV6" i="20" s="1"/>
  <c r="SCU6" i="20"/>
  <c r="SCU6" i="20" a="1"/>
  <c r="SCT6" i="20" a="1"/>
  <c r="SCT6" i="20" s="1"/>
  <c r="SCS6" i="20" a="1"/>
  <c r="SCS6" i="20" s="1"/>
  <c r="SCR6" i="20"/>
  <c r="SCR6" i="20" a="1"/>
  <c r="SCQ6" i="20"/>
  <c r="SCQ6" i="20" a="1"/>
  <c r="SCP6" i="20"/>
  <c r="SCP6" i="20" a="1"/>
  <c r="SCO6" i="20" a="1"/>
  <c r="SCO6" i="20" s="1"/>
  <c r="SCN6" i="20" a="1"/>
  <c r="SCN6" i="20" s="1"/>
  <c r="SCM6" i="20" a="1"/>
  <c r="SCM6" i="20" s="1"/>
  <c r="SCL6" i="20"/>
  <c r="SCL6" i="20" a="1"/>
  <c r="SCK6" i="20" a="1"/>
  <c r="SCK6" i="20" s="1"/>
  <c r="SCJ6" i="20"/>
  <c r="SCJ6" i="20" a="1"/>
  <c r="SCI6" i="20" a="1"/>
  <c r="SCI6" i="20" s="1"/>
  <c r="SCH6" i="20" a="1"/>
  <c r="SCH6" i="20" s="1"/>
  <c r="SCG6" i="20" a="1"/>
  <c r="SCG6" i="20" s="1"/>
  <c r="SCF6" i="20" a="1"/>
  <c r="SCF6" i="20" s="1"/>
  <c r="SCE6" i="20"/>
  <c r="SCE6" i="20" a="1"/>
  <c r="SCD6" i="20"/>
  <c r="SCD6" i="20" a="1"/>
  <c r="SCC6" i="20"/>
  <c r="SCC6" i="20" a="1"/>
  <c r="SCB6" i="20"/>
  <c r="SCB6" i="20" a="1"/>
  <c r="SCA6" i="20" a="1"/>
  <c r="SCA6" i="20" s="1"/>
  <c r="SBZ6" i="20"/>
  <c r="SBZ6" i="20" a="1"/>
  <c r="SBY6" i="20" a="1"/>
  <c r="SBY6" i="20" s="1"/>
  <c r="SBX6" i="20" a="1"/>
  <c r="SBX6" i="20" s="1"/>
  <c r="SBW6" i="20"/>
  <c r="SBW6" i="20" a="1"/>
  <c r="SBV6" i="20" a="1"/>
  <c r="SBV6" i="20" s="1"/>
  <c r="SBU6" i="20" a="1"/>
  <c r="SBU6" i="20" s="1"/>
  <c r="SBT6" i="20"/>
  <c r="SBT6" i="20" a="1"/>
  <c r="SBS6" i="20" a="1"/>
  <c r="SBS6" i="20" s="1"/>
  <c r="SBR6" i="20"/>
  <c r="SBR6" i="20" a="1"/>
  <c r="SBQ6" i="20" a="1"/>
  <c r="SBQ6" i="20" s="1"/>
  <c r="SBP6" i="20"/>
  <c r="SBP6" i="20" a="1"/>
  <c r="SBO6" i="20" a="1"/>
  <c r="SBO6" i="20" s="1"/>
  <c r="SBN6" i="20" a="1"/>
  <c r="SBN6" i="20" s="1"/>
  <c r="SBM6" i="20" a="1"/>
  <c r="SBM6" i="20" s="1"/>
  <c r="SBL6" i="20"/>
  <c r="SBL6" i="20" a="1"/>
  <c r="SBK6" i="20" a="1"/>
  <c r="SBK6" i="20" s="1"/>
  <c r="SBJ6" i="20" a="1"/>
  <c r="SBJ6" i="20" s="1"/>
  <c r="SBI6" i="20" a="1"/>
  <c r="SBI6" i="20" s="1"/>
  <c r="SBH6" i="20" a="1"/>
  <c r="SBH6" i="20" s="1"/>
  <c r="SBG6" i="20" a="1"/>
  <c r="SBG6" i="20" s="1"/>
  <c r="SBF6" i="20" a="1"/>
  <c r="SBF6" i="20" s="1"/>
  <c r="SBE6" i="20"/>
  <c r="SBE6" i="20" a="1"/>
  <c r="SBD6" i="20" a="1"/>
  <c r="SBD6" i="20" s="1"/>
  <c r="SBC6" i="20" a="1"/>
  <c r="SBC6" i="20" s="1"/>
  <c r="SBB6" i="20" a="1"/>
  <c r="SBB6" i="20" s="1"/>
  <c r="SBA6" i="20" a="1"/>
  <c r="SBA6" i="20" s="1"/>
  <c r="SAZ6" i="20" a="1"/>
  <c r="SAZ6" i="20" s="1"/>
  <c r="SAY6" i="20" a="1"/>
  <c r="SAY6" i="20" s="1"/>
  <c r="SAX6" i="20" a="1"/>
  <c r="SAX6" i="20" s="1"/>
  <c r="SAW6" i="20" a="1"/>
  <c r="SAW6" i="20" s="1"/>
  <c r="SAV6" i="20"/>
  <c r="SAV6" i="20" a="1"/>
  <c r="SAU6" i="20"/>
  <c r="SAU6" i="20" a="1"/>
  <c r="SAT6" i="20" a="1"/>
  <c r="SAT6" i="20" s="1"/>
  <c r="SAS6" i="20" a="1"/>
  <c r="SAS6" i="20" s="1"/>
  <c r="SAR6" i="20"/>
  <c r="SAR6" i="20" a="1"/>
  <c r="SAQ6" i="20" a="1"/>
  <c r="SAQ6" i="20" s="1"/>
  <c r="SAP6" i="20" a="1"/>
  <c r="SAP6" i="20" s="1"/>
  <c r="SAO6" i="20" a="1"/>
  <c r="SAO6" i="20" s="1"/>
  <c r="SAN6" i="20"/>
  <c r="SAN6" i="20" a="1"/>
  <c r="SAM6" i="20" a="1"/>
  <c r="SAM6" i="20" s="1"/>
  <c r="SAL6" i="20" a="1"/>
  <c r="SAL6" i="20" s="1"/>
  <c r="SAK6" i="20" a="1"/>
  <c r="SAK6" i="20" s="1"/>
  <c r="SAJ6" i="20" a="1"/>
  <c r="SAJ6" i="20" s="1"/>
  <c r="SAI6" i="20"/>
  <c r="SAI6" i="20" a="1"/>
  <c r="SAH6" i="20" a="1"/>
  <c r="SAH6" i="20" s="1"/>
  <c r="SAG6" i="20"/>
  <c r="SAG6" i="20" a="1"/>
  <c r="SAF6" i="20"/>
  <c r="SAF6" i="20" a="1"/>
  <c r="SAE6" i="20" a="1"/>
  <c r="SAE6" i="20" s="1"/>
  <c r="SAD6" i="20" a="1"/>
  <c r="SAD6" i="20" s="1"/>
  <c r="SAC6" i="20" a="1"/>
  <c r="SAC6" i="20" s="1"/>
  <c r="SAB6" i="20" a="1"/>
  <c r="SAB6" i="20" s="1"/>
  <c r="SAA6" i="20" a="1"/>
  <c r="SAA6" i="20" s="1"/>
  <c r="RZZ6" i="20"/>
  <c r="RZZ6" i="20" a="1"/>
  <c r="RZY6" i="20" a="1"/>
  <c r="RZY6" i="20" s="1"/>
  <c r="RZX6" i="20"/>
  <c r="RZX6" i="20" a="1"/>
  <c r="RZW6" i="20"/>
  <c r="RZW6" i="20" a="1"/>
  <c r="RZV6" i="20" a="1"/>
  <c r="RZV6" i="20" s="1"/>
  <c r="RZU6" i="20" a="1"/>
  <c r="RZU6" i="20" s="1"/>
  <c r="RZT6" i="20"/>
  <c r="RZT6" i="20" a="1"/>
  <c r="RZS6" i="20" a="1"/>
  <c r="RZS6" i="20" s="1"/>
  <c r="RZR6" i="20" a="1"/>
  <c r="RZR6" i="20" s="1"/>
  <c r="RZQ6" i="20" a="1"/>
  <c r="RZQ6" i="20" s="1"/>
  <c r="RZP6" i="20" a="1"/>
  <c r="RZP6" i="20" s="1"/>
  <c r="RZO6" i="20"/>
  <c r="RZO6" i="20" a="1"/>
  <c r="RZN6" i="20" a="1"/>
  <c r="RZN6" i="20" s="1"/>
  <c r="RZM6" i="20" a="1"/>
  <c r="RZM6" i="20" s="1"/>
  <c r="RZL6" i="20"/>
  <c r="RZL6" i="20" a="1"/>
  <c r="RZK6" i="20"/>
  <c r="RZK6" i="20" a="1"/>
  <c r="RZJ6" i="20"/>
  <c r="RZJ6" i="20" a="1"/>
  <c r="RZI6" i="20" a="1"/>
  <c r="RZI6" i="20" s="1"/>
  <c r="RZH6" i="20" a="1"/>
  <c r="RZH6" i="20" s="1"/>
  <c r="RZG6" i="20" a="1"/>
  <c r="RZG6" i="20" s="1"/>
  <c r="RZF6" i="20"/>
  <c r="RZF6" i="20" a="1"/>
  <c r="RZE6" i="20" a="1"/>
  <c r="RZE6" i="20" s="1"/>
  <c r="RZD6" i="20" a="1"/>
  <c r="RZD6" i="20" s="1"/>
  <c r="RZC6" i="20" a="1"/>
  <c r="RZC6" i="20" s="1"/>
  <c r="RZB6" i="20"/>
  <c r="RZB6" i="20" a="1"/>
  <c r="RZA6" i="20" a="1"/>
  <c r="RZA6" i="20" s="1"/>
  <c r="RYZ6" i="20"/>
  <c r="RYZ6" i="20" a="1"/>
  <c r="RYY6" i="20"/>
  <c r="RYY6" i="20" a="1"/>
  <c r="RYX6" i="20"/>
  <c r="RYX6" i="20" a="1"/>
  <c r="RYW6" i="20"/>
  <c r="RYW6" i="20" a="1"/>
  <c r="RYV6" i="20" a="1"/>
  <c r="RYV6" i="20" s="1"/>
  <c r="RYU6" i="20" a="1"/>
  <c r="RYU6" i="20" s="1"/>
  <c r="RYT6" i="20" a="1"/>
  <c r="RYT6" i="20" s="1"/>
  <c r="RYS6" i="20"/>
  <c r="RYS6" i="20" a="1"/>
  <c r="RYR6" i="20" a="1"/>
  <c r="RYR6" i="20" s="1"/>
  <c r="RYQ6" i="20" a="1"/>
  <c r="RYQ6" i="20" s="1"/>
  <c r="RYP6" i="20" a="1"/>
  <c r="RYP6" i="20" s="1"/>
  <c r="RYO6" i="20" a="1"/>
  <c r="RYO6" i="20" s="1"/>
  <c r="RYN6" i="20" a="1"/>
  <c r="RYN6" i="20" s="1"/>
  <c r="RYM6" i="20"/>
  <c r="RYM6" i="20" a="1"/>
  <c r="RYL6" i="20"/>
  <c r="RYL6" i="20" a="1"/>
  <c r="RYK6" i="20"/>
  <c r="RYK6" i="20" a="1"/>
  <c r="RYJ6" i="20"/>
  <c r="RYJ6" i="20" a="1"/>
  <c r="RYI6" i="20" a="1"/>
  <c r="RYI6" i="20" s="1"/>
  <c r="RYH6" i="20"/>
  <c r="RYH6" i="20" a="1"/>
  <c r="RYG6" i="20" a="1"/>
  <c r="RYG6" i="20" s="1"/>
  <c r="RYF6" i="20"/>
  <c r="RYF6" i="20" a="1"/>
  <c r="RYE6" i="20" a="1"/>
  <c r="RYE6" i="20" s="1"/>
  <c r="RYD6" i="20" a="1"/>
  <c r="RYD6" i="20" s="1"/>
  <c r="RYC6" i="20" a="1"/>
  <c r="RYC6" i="20" s="1"/>
  <c r="RYB6" i="20" a="1"/>
  <c r="RYB6" i="20" s="1"/>
  <c r="RYA6" i="20" a="1"/>
  <c r="RYA6" i="20" s="1"/>
  <c r="RXZ6" i="20" a="1"/>
  <c r="RXZ6" i="20" s="1"/>
  <c r="RXY6" i="20"/>
  <c r="RXY6" i="20" a="1"/>
  <c r="RXX6" i="20"/>
  <c r="RXX6" i="20" a="1"/>
  <c r="RXW6" i="20" a="1"/>
  <c r="RXW6" i="20" s="1"/>
  <c r="RXV6" i="20" a="1"/>
  <c r="RXV6" i="20" s="1"/>
  <c r="RXU6" i="20"/>
  <c r="RXU6" i="20" a="1"/>
  <c r="RXT6" i="20" a="1"/>
  <c r="RXT6" i="20" s="1"/>
  <c r="RXS6" i="20"/>
  <c r="RXS6" i="20" a="1"/>
  <c r="RXR6" i="20" a="1"/>
  <c r="RXR6" i="20" s="1"/>
  <c r="RXQ6" i="20" a="1"/>
  <c r="RXQ6" i="20" s="1"/>
  <c r="RXP6" i="20"/>
  <c r="RXP6" i="20" a="1"/>
  <c r="RXO6" i="20" a="1"/>
  <c r="RXO6" i="20" s="1"/>
  <c r="RXN6" i="20" a="1"/>
  <c r="RXN6" i="20" s="1"/>
  <c r="RXM6" i="20"/>
  <c r="RXM6" i="20" a="1"/>
  <c r="RXL6" i="20"/>
  <c r="RXL6" i="20" a="1"/>
  <c r="RXK6" i="20" a="1"/>
  <c r="RXK6" i="20" s="1"/>
  <c r="RXJ6" i="20" a="1"/>
  <c r="RXJ6" i="20" s="1"/>
  <c r="RXI6" i="20" a="1"/>
  <c r="RXI6" i="20" s="1"/>
  <c r="RXH6" i="20"/>
  <c r="RXH6" i="20" a="1"/>
  <c r="RXG6" i="20" a="1"/>
  <c r="RXG6" i="20" s="1"/>
  <c r="RXF6" i="20"/>
  <c r="RXF6" i="20" a="1"/>
  <c r="RXE6" i="20" a="1"/>
  <c r="RXE6" i="20" s="1"/>
  <c r="RXD6" i="20"/>
  <c r="RXD6" i="20" a="1"/>
  <c r="RXC6" i="20"/>
  <c r="RXC6" i="20" a="1"/>
  <c r="RXB6" i="20" a="1"/>
  <c r="RXB6" i="20" s="1"/>
  <c r="RXA6" i="20" a="1"/>
  <c r="RXA6" i="20" s="1"/>
  <c r="RWZ6" i="20" a="1"/>
  <c r="RWZ6" i="20" s="1"/>
  <c r="RWY6" i="20" a="1"/>
  <c r="RWY6" i="20" s="1"/>
  <c r="RWX6" i="20" a="1"/>
  <c r="RWX6" i="20" s="1"/>
  <c r="RWW6" i="20" a="1"/>
  <c r="RWW6" i="20" s="1"/>
  <c r="RWV6" i="20" a="1"/>
  <c r="RWV6" i="20" s="1"/>
  <c r="RWU6" i="20"/>
  <c r="RWU6" i="20" a="1"/>
  <c r="RWT6" i="20" a="1"/>
  <c r="RWT6" i="20" s="1"/>
  <c r="RWS6" i="20" a="1"/>
  <c r="RWS6" i="20" s="1"/>
  <c r="RWR6" i="20"/>
  <c r="RWR6" i="20" a="1"/>
  <c r="RWQ6" i="20"/>
  <c r="RWQ6" i="20" a="1"/>
  <c r="RWP6" i="20"/>
  <c r="RWP6" i="20" a="1"/>
  <c r="RWO6" i="20" a="1"/>
  <c r="RWO6" i="20" s="1"/>
  <c r="RWN6" i="20" a="1"/>
  <c r="RWN6" i="20" s="1"/>
  <c r="RWM6" i="20" a="1"/>
  <c r="RWM6" i="20" s="1"/>
  <c r="RWL6" i="20"/>
  <c r="RWL6" i="20" a="1"/>
  <c r="RWK6" i="20" a="1"/>
  <c r="RWK6" i="20" s="1"/>
  <c r="RWJ6" i="20" a="1"/>
  <c r="RWJ6" i="20" s="1"/>
  <c r="RWI6" i="20" a="1"/>
  <c r="RWI6" i="20" s="1"/>
  <c r="RWH6" i="20"/>
  <c r="RWH6" i="20" a="1"/>
  <c r="RWG6" i="20" a="1"/>
  <c r="RWG6" i="20" s="1"/>
  <c r="RWF6" i="20"/>
  <c r="RWF6" i="20" a="1"/>
  <c r="RWE6" i="20"/>
  <c r="RWE6" i="20" a="1"/>
  <c r="RWD6" i="20"/>
  <c r="RWD6" i="20" a="1"/>
  <c r="RWC6" i="20"/>
  <c r="RWC6" i="20" a="1"/>
  <c r="RWB6" i="20" a="1"/>
  <c r="RWB6" i="20" s="1"/>
  <c r="RWA6" i="20" a="1"/>
  <c r="RWA6" i="20" s="1"/>
  <c r="RVZ6" i="20" a="1"/>
  <c r="RVZ6" i="20" s="1"/>
  <c r="RVY6" i="20"/>
  <c r="RVY6" i="20" a="1"/>
  <c r="RVX6" i="20" a="1"/>
  <c r="RVX6" i="20" s="1"/>
  <c r="RVW6" i="20" a="1"/>
  <c r="RVW6" i="20" s="1"/>
  <c r="RVV6" i="20" a="1"/>
  <c r="RVV6" i="20" s="1"/>
  <c r="RVU6" i="20" a="1"/>
  <c r="RVU6" i="20" s="1"/>
  <c r="RVT6" i="20" a="1"/>
  <c r="RVT6" i="20" s="1"/>
  <c r="RVS6" i="20"/>
  <c r="RVS6" i="20" a="1"/>
  <c r="RVR6" i="20"/>
  <c r="RVR6" i="20" a="1"/>
  <c r="RVQ6" i="20"/>
  <c r="RVQ6" i="20" a="1"/>
  <c r="RVP6" i="20"/>
  <c r="RVP6" i="20" a="1"/>
  <c r="RVO6" i="20" a="1"/>
  <c r="RVO6" i="20" s="1"/>
  <c r="RVN6" i="20"/>
  <c r="RVN6" i="20" a="1"/>
  <c r="RVM6" i="20" a="1"/>
  <c r="RVM6" i="20" s="1"/>
  <c r="RVL6" i="20"/>
  <c r="RVL6" i="20" a="1"/>
  <c r="RVK6" i="20" a="1"/>
  <c r="RVK6" i="20" s="1"/>
  <c r="RVJ6" i="20" a="1"/>
  <c r="RVJ6" i="20" s="1"/>
  <c r="RVI6" i="20" a="1"/>
  <c r="RVI6" i="20" s="1"/>
  <c r="RVH6" i="20" a="1"/>
  <c r="RVH6" i="20" s="1"/>
  <c r="RVG6" i="20" a="1"/>
  <c r="RVG6" i="20" s="1"/>
  <c r="RVF6" i="20" a="1"/>
  <c r="RVF6" i="20" s="1"/>
  <c r="RVE6" i="20"/>
  <c r="RVE6" i="20" a="1"/>
  <c r="RVD6" i="20"/>
  <c r="RVD6" i="20" a="1"/>
  <c r="RVC6" i="20" a="1"/>
  <c r="RVC6" i="20" s="1"/>
  <c r="RVB6" i="20" a="1"/>
  <c r="RVB6" i="20" s="1"/>
  <c r="RVA6" i="20"/>
  <c r="RVA6" i="20" a="1"/>
  <c r="RUZ6" i="20" a="1"/>
  <c r="RUZ6" i="20" s="1"/>
  <c r="RUY6" i="20"/>
  <c r="RUY6" i="20" a="1"/>
  <c r="RUX6" i="20" a="1"/>
  <c r="RUX6" i="20" s="1"/>
  <c r="RUW6" i="20" a="1"/>
  <c r="RUW6" i="20" s="1"/>
  <c r="RUV6" i="20" a="1"/>
  <c r="RUV6" i="20" s="1"/>
  <c r="RUU6" i="20" a="1"/>
  <c r="RUU6" i="20" s="1"/>
  <c r="RUT6" i="20" a="1"/>
  <c r="RUT6" i="20" s="1"/>
  <c r="RUS6" i="20" a="1"/>
  <c r="RUS6" i="20" s="1"/>
  <c r="RUR6" i="20"/>
  <c r="RUR6" i="20" a="1"/>
  <c r="RUQ6" i="20" a="1"/>
  <c r="RUQ6" i="20" s="1"/>
  <c r="RUP6" i="20" a="1"/>
  <c r="RUP6" i="20" s="1"/>
  <c r="RUO6" i="20" a="1"/>
  <c r="RUO6" i="20" s="1"/>
  <c r="RUN6" i="20"/>
  <c r="RUN6" i="20" a="1"/>
  <c r="RUM6" i="20" a="1"/>
  <c r="RUM6" i="20" s="1"/>
  <c r="RUL6" i="20"/>
  <c r="RUL6" i="20" a="1"/>
  <c r="RUK6" i="20" a="1"/>
  <c r="RUK6" i="20" s="1"/>
  <c r="RUJ6" i="20"/>
  <c r="RUJ6" i="20" a="1"/>
  <c r="RUI6" i="20" a="1"/>
  <c r="RUI6" i="20" s="1"/>
  <c r="RUH6" i="20"/>
  <c r="RUH6" i="20" a="1"/>
  <c r="RUG6" i="20" a="1"/>
  <c r="RUG6" i="20" s="1"/>
  <c r="RUF6" i="20"/>
  <c r="RUF6" i="20" a="1"/>
  <c r="RUE6" i="20" a="1"/>
  <c r="RUE6" i="20" s="1"/>
  <c r="RUD6" i="20" a="1"/>
  <c r="RUD6" i="20" s="1"/>
  <c r="RUC6" i="20" a="1"/>
  <c r="RUC6" i="20" s="1"/>
  <c r="RUB6" i="20" a="1"/>
  <c r="RUB6" i="20" s="1"/>
  <c r="RUA6" i="20"/>
  <c r="RUA6" i="20" a="1"/>
  <c r="RTZ6" i="20" a="1"/>
  <c r="RTZ6" i="20" s="1"/>
  <c r="RTY6" i="20" a="1"/>
  <c r="RTY6" i="20" s="1"/>
  <c r="RTX6" i="20"/>
  <c r="RTX6" i="20" a="1"/>
  <c r="RTW6" i="20"/>
  <c r="RTW6" i="20" a="1"/>
  <c r="RTV6" i="20" a="1"/>
  <c r="RTV6" i="20" s="1"/>
  <c r="RTU6" i="20"/>
  <c r="RTU6" i="20" a="1"/>
  <c r="RTT6" i="20" a="1"/>
  <c r="RTT6" i="20" s="1"/>
  <c r="RTS6" i="20" a="1"/>
  <c r="RTS6" i="20" s="1"/>
  <c r="RTR6" i="20"/>
  <c r="RTR6" i="20" a="1"/>
  <c r="RTQ6" i="20" a="1"/>
  <c r="RTQ6" i="20" s="1"/>
  <c r="RTP6" i="20" a="1"/>
  <c r="RTP6" i="20" s="1"/>
  <c r="RTO6" i="20" a="1"/>
  <c r="RTO6" i="20" s="1"/>
  <c r="RTN6" i="20"/>
  <c r="RTN6" i="20" a="1"/>
  <c r="RTM6" i="20" a="1"/>
  <c r="RTM6" i="20" s="1"/>
  <c r="RTL6" i="20"/>
  <c r="RTL6" i="20" a="1"/>
  <c r="RTK6" i="20"/>
  <c r="RTK6" i="20" a="1"/>
  <c r="RTJ6" i="20"/>
  <c r="RTJ6" i="20" a="1"/>
  <c r="RTI6" i="20" a="1"/>
  <c r="RTI6" i="20" s="1"/>
  <c r="RTH6" i="20"/>
  <c r="RTH6" i="20" a="1"/>
  <c r="RTG6" i="20" a="1"/>
  <c r="RTG6" i="20" s="1"/>
  <c r="RTF6" i="20" a="1"/>
  <c r="RTF6" i="20" s="1"/>
  <c r="RTE6" i="20"/>
  <c r="RTE6" i="20" a="1"/>
  <c r="RTD6" i="20" a="1"/>
  <c r="RTD6" i="20" s="1"/>
  <c r="RTC6" i="20" a="1"/>
  <c r="RTC6" i="20" s="1"/>
  <c r="RTB6" i="20" a="1"/>
  <c r="RTB6" i="20" s="1"/>
  <c r="RTA6" i="20" a="1"/>
  <c r="RTA6" i="20" s="1"/>
  <c r="RSZ6" i="20" a="1"/>
  <c r="RSZ6" i="20" s="1"/>
  <c r="RSY6" i="20"/>
  <c r="RSY6" i="20" a="1"/>
  <c r="RSX6" i="20"/>
  <c r="RSX6" i="20" a="1"/>
  <c r="RSW6" i="20"/>
  <c r="RSW6" i="20" a="1"/>
  <c r="RSV6" i="20" a="1"/>
  <c r="RSV6" i="20" s="1"/>
  <c r="RSU6" i="20" a="1"/>
  <c r="RSU6" i="20" s="1"/>
  <c r="RST6" i="20"/>
  <c r="RST6" i="20" a="1"/>
  <c r="RSS6" i="20" a="1"/>
  <c r="RSS6" i="20" s="1"/>
  <c r="RSR6" i="20"/>
  <c r="RSR6" i="20" a="1"/>
  <c r="RSQ6" i="20" a="1"/>
  <c r="RSQ6" i="20" s="1"/>
  <c r="RSP6" i="20" a="1"/>
  <c r="RSP6" i="20" s="1"/>
  <c r="RSO6" i="20" a="1"/>
  <c r="RSO6" i="20" s="1"/>
  <c r="RSN6" i="20"/>
  <c r="RSN6" i="20" a="1"/>
  <c r="RSM6" i="20" a="1"/>
  <c r="RSM6" i="20" s="1"/>
  <c r="RSL6" i="20" a="1"/>
  <c r="RSL6" i="20" s="1"/>
  <c r="RSK6" i="20"/>
  <c r="RSK6" i="20" a="1"/>
  <c r="RSJ6" i="20"/>
  <c r="RSJ6" i="20" a="1"/>
  <c r="RSI6" i="20" a="1"/>
  <c r="RSI6" i="20" s="1"/>
  <c r="RSH6" i="20" a="1"/>
  <c r="RSH6" i="20" s="1"/>
  <c r="RSG6" i="20"/>
  <c r="RSG6" i="20" a="1"/>
  <c r="RSF6" i="20"/>
  <c r="RSF6" i="20" a="1"/>
  <c r="RSE6" i="20"/>
  <c r="RSE6" i="20" a="1"/>
  <c r="RSD6" i="20" a="1"/>
  <c r="RSD6" i="20" s="1"/>
  <c r="RSC6" i="20" a="1"/>
  <c r="RSC6" i="20" s="1"/>
  <c r="RSB6" i="20" a="1"/>
  <c r="RSB6" i="20" s="1"/>
  <c r="RSA6" i="20"/>
  <c r="RSA6" i="20" a="1"/>
  <c r="RRZ6" i="20" a="1"/>
  <c r="RRZ6" i="20" s="1"/>
  <c r="RRY6" i="20" a="1"/>
  <c r="RRY6" i="20" s="1"/>
  <c r="RRX6" i="20"/>
  <c r="RRX6" i="20" a="1"/>
  <c r="RRW6" i="20" a="1"/>
  <c r="RRW6" i="20" s="1"/>
  <c r="RRV6" i="20" a="1"/>
  <c r="RRV6" i="20" s="1"/>
  <c r="RRU6" i="20" a="1"/>
  <c r="RRU6" i="20" s="1"/>
  <c r="RRT6" i="20"/>
  <c r="RRT6" i="20" a="1"/>
  <c r="RRS6" i="20" a="1"/>
  <c r="RRS6" i="20" s="1"/>
  <c r="RRR6" i="20"/>
  <c r="RRR6" i="20" a="1"/>
  <c r="RRQ6" i="20" a="1"/>
  <c r="RRQ6" i="20" s="1"/>
  <c r="RRP6" i="20"/>
  <c r="RRP6" i="20" a="1"/>
  <c r="RRO6" i="20" a="1"/>
  <c r="RRO6" i="20" s="1"/>
  <c r="RRN6" i="20" a="1"/>
  <c r="RRN6" i="20" s="1"/>
  <c r="RRM6" i="20" a="1"/>
  <c r="RRM6" i="20" s="1"/>
  <c r="RRL6" i="20"/>
  <c r="RRL6" i="20" a="1"/>
  <c r="RRK6" i="20" a="1"/>
  <c r="RRK6" i="20" s="1"/>
  <c r="RRJ6" i="20" a="1"/>
  <c r="RRJ6" i="20" s="1"/>
  <c r="RRI6" i="20" a="1"/>
  <c r="RRI6" i="20" s="1"/>
  <c r="RRH6" i="20" a="1"/>
  <c r="RRH6" i="20" s="1"/>
  <c r="RRG6" i="20"/>
  <c r="RRG6" i="20" a="1"/>
  <c r="RRF6" i="20" a="1"/>
  <c r="RRF6" i="20" s="1"/>
  <c r="RRE6" i="20" a="1"/>
  <c r="RRE6" i="20" s="1"/>
  <c r="RRD6" i="20"/>
  <c r="RRD6" i="20" a="1"/>
  <c r="RRC6" i="20"/>
  <c r="RRC6" i="20" a="1"/>
  <c r="RRB6" i="20" a="1"/>
  <c r="RRB6" i="20" s="1"/>
  <c r="RRA6" i="20" a="1"/>
  <c r="RRA6" i="20" s="1"/>
  <c r="RQZ6" i="20" a="1"/>
  <c r="RQZ6" i="20" s="1"/>
  <c r="RQY6" i="20" a="1"/>
  <c r="RQY6" i="20" s="1"/>
  <c r="RQX6" i="20"/>
  <c r="RQX6" i="20" a="1"/>
  <c r="RQW6" i="20" a="1"/>
  <c r="RQW6" i="20" s="1"/>
  <c r="RQV6" i="20" a="1"/>
  <c r="RQV6" i="20" s="1"/>
  <c r="RQU6" i="20" a="1"/>
  <c r="RQU6" i="20" s="1"/>
  <c r="RQT6" i="20"/>
  <c r="RQT6" i="20" a="1"/>
  <c r="RQS6" i="20" a="1"/>
  <c r="RQS6" i="20" s="1"/>
  <c r="RQR6" i="20" a="1"/>
  <c r="RQR6" i="20" s="1"/>
  <c r="RQQ6" i="20"/>
  <c r="RQQ6" i="20" a="1"/>
  <c r="RQP6" i="20"/>
  <c r="RQP6" i="20" a="1"/>
  <c r="RQO6" i="20" a="1"/>
  <c r="RQO6" i="20" s="1"/>
  <c r="RQN6" i="20"/>
  <c r="RQN6" i="20" a="1"/>
  <c r="RQM6" i="20" a="1"/>
  <c r="RQM6" i="20" s="1"/>
  <c r="RQL6" i="20"/>
  <c r="RQL6" i="20" a="1"/>
  <c r="RQK6" i="20"/>
  <c r="RQK6" i="20" a="1"/>
  <c r="RQJ6" i="20" a="1"/>
  <c r="RQJ6" i="20" s="1"/>
  <c r="RQI6" i="20" a="1"/>
  <c r="RQI6" i="20" s="1"/>
  <c r="RQH6" i="20" a="1"/>
  <c r="RQH6" i="20" s="1"/>
  <c r="RQG6" i="20" a="1"/>
  <c r="RQG6" i="20" s="1"/>
  <c r="RQF6" i="20" a="1"/>
  <c r="RQF6" i="20" s="1"/>
  <c r="RQE6" i="20"/>
  <c r="RQE6" i="20" a="1"/>
  <c r="RQD6" i="20"/>
  <c r="RQD6" i="20" a="1"/>
  <c r="RQC6" i="20"/>
  <c r="RQC6" i="20" a="1"/>
  <c r="RQB6" i="20" a="1"/>
  <c r="RQB6" i="20" s="1"/>
  <c r="RQA6" i="20" a="1"/>
  <c r="RQA6" i="20" s="1"/>
  <c r="RPZ6" i="20"/>
  <c r="RPZ6" i="20" a="1"/>
  <c r="RPY6" i="20" a="1"/>
  <c r="RPY6" i="20" s="1"/>
  <c r="RPX6" i="20"/>
  <c r="RPX6" i="20" a="1"/>
  <c r="RPW6" i="20" a="1"/>
  <c r="RPW6" i="20" s="1"/>
  <c r="RPV6" i="20" a="1"/>
  <c r="RPV6" i="20" s="1"/>
  <c r="RPU6" i="20" a="1"/>
  <c r="RPU6" i="20" s="1"/>
  <c r="RPT6" i="20" a="1"/>
  <c r="RPT6" i="20" s="1"/>
  <c r="RPS6" i="20" a="1"/>
  <c r="RPS6" i="20" s="1"/>
  <c r="RPR6" i="20" a="1"/>
  <c r="RPR6" i="20" s="1"/>
  <c r="RPQ6" i="20"/>
  <c r="RPQ6" i="20" a="1"/>
  <c r="RPP6" i="20"/>
  <c r="RPP6" i="20" a="1"/>
  <c r="RPO6" i="20" a="1"/>
  <c r="RPO6" i="20" s="1"/>
  <c r="RPN6" i="20" a="1"/>
  <c r="RPN6" i="20" s="1"/>
  <c r="RPM6" i="20"/>
  <c r="RPM6" i="20" a="1"/>
  <c r="RPL6" i="20"/>
  <c r="RPL6" i="20" a="1"/>
  <c r="RPK6" i="20" a="1"/>
  <c r="RPK6" i="20" s="1"/>
  <c r="RPJ6" i="20" a="1"/>
  <c r="RPJ6" i="20" s="1"/>
  <c r="RPI6" i="20" a="1"/>
  <c r="RPI6" i="20" s="1"/>
  <c r="RPH6" i="20" a="1"/>
  <c r="RPH6" i="20" s="1"/>
  <c r="RPG6" i="20"/>
  <c r="RPG6" i="20" a="1"/>
  <c r="RPF6" i="20" a="1"/>
  <c r="RPF6" i="20" s="1"/>
  <c r="RPE6" i="20"/>
  <c r="RPE6" i="20" a="1"/>
  <c r="RPD6" i="20"/>
  <c r="RPD6" i="20" a="1"/>
  <c r="RPC6" i="20" a="1"/>
  <c r="RPC6" i="20" s="1"/>
  <c r="RPB6" i="20" a="1"/>
  <c r="RPB6" i="20" s="1"/>
  <c r="RPA6" i="20" a="1"/>
  <c r="RPA6" i="20" s="1"/>
  <c r="ROZ6" i="20"/>
  <c r="ROZ6" i="20" a="1"/>
  <c r="ROY6" i="20"/>
  <c r="ROY6" i="20" a="1"/>
  <c r="ROX6" i="20"/>
  <c r="ROX6" i="20" a="1"/>
  <c r="ROW6" i="20" a="1"/>
  <c r="ROW6" i="20" s="1"/>
  <c r="ROV6" i="20"/>
  <c r="ROV6" i="20" a="1"/>
  <c r="ROU6" i="20" a="1"/>
  <c r="ROU6" i="20" s="1"/>
  <c r="ROT6" i="20" a="1"/>
  <c r="ROT6" i="20" s="1"/>
  <c r="ROS6" i="20" a="1"/>
  <c r="ROS6" i="20" s="1"/>
  <c r="ROR6" i="20"/>
  <c r="ROR6" i="20" a="1"/>
  <c r="ROQ6" i="20" a="1"/>
  <c r="ROQ6" i="20" s="1"/>
  <c r="ROP6" i="20" a="1"/>
  <c r="ROP6" i="20" s="1"/>
  <c r="ROO6" i="20" a="1"/>
  <c r="ROO6" i="20" s="1"/>
  <c r="RON6" i="20" a="1"/>
  <c r="RON6" i="20" s="1"/>
  <c r="ROM6" i="20"/>
  <c r="ROM6" i="20" a="1"/>
  <c r="ROL6" i="20" a="1"/>
  <c r="ROL6" i="20" s="1"/>
  <c r="ROK6" i="20" a="1"/>
  <c r="ROK6" i="20" s="1"/>
  <c r="ROJ6" i="20"/>
  <c r="ROJ6" i="20" a="1"/>
  <c r="ROI6" i="20"/>
  <c r="ROI6" i="20" a="1"/>
  <c r="ROH6" i="20" a="1"/>
  <c r="ROH6" i="20" s="1"/>
  <c r="ROG6" i="20"/>
  <c r="ROG6" i="20" a="1"/>
  <c r="ROF6" i="20" a="1"/>
  <c r="ROF6" i="20" s="1"/>
  <c r="ROE6" i="20" a="1"/>
  <c r="ROE6" i="20" s="1"/>
  <c r="ROD6" i="20" a="1"/>
  <c r="ROD6" i="20" s="1"/>
  <c r="ROC6" i="20" a="1"/>
  <c r="ROC6" i="20" s="1"/>
  <c r="ROB6" i="20" a="1"/>
  <c r="ROB6" i="20" s="1"/>
  <c r="ROA6" i="20" a="1"/>
  <c r="ROA6" i="20" s="1"/>
  <c r="RNZ6" i="20"/>
  <c r="RNZ6" i="20" a="1"/>
  <c r="RNY6" i="20" a="1"/>
  <c r="RNY6" i="20" s="1"/>
  <c r="RNX6" i="20"/>
  <c r="RNX6" i="20" a="1"/>
  <c r="RNW6" i="20"/>
  <c r="RNW6" i="20" a="1"/>
  <c r="RNV6" i="20"/>
  <c r="RNV6" i="20" a="1"/>
  <c r="RNU6" i="20" a="1"/>
  <c r="RNU6" i="20" s="1"/>
  <c r="RNT6" i="20" a="1"/>
  <c r="RNT6" i="20" s="1"/>
  <c r="RNS6" i="20" a="1"/>
  <c r="RNS6" i="20" s="1"/>
  <c r="RNR6" i="20" a="1"/>
  <c r="RNR6" i="20" s="1"/>
  <c r="RNQ6" i="20"/>
  <c r="RNQ6" i="20" a="1"/>
  <c r="RNP6" i="20" a="1"/>
  <c r="RNP6" i="20" s="1"/>
  <c r="RNO6" i="20" a="1"/>
  <c r="RNO6" i="20" s="1"/>
  <c r="RNN6" i="20" a="1"/>
  <c r="RNN6" i="20" s="1"/>
  <c r="RNM6" i="20" a="1"/>
  <c r="RNM6" i="20" s="1"/>
  <c r="RNL6" i="20" a="1"/>
  <c r="RNL6" i="20" s="1"/>
  <c r="RNK6" i="20" a="1"/>
  <c r="RNK6" i="20" s="1"/>
  <c r="RNJ6" i="20"/>
  <c r="RNJ6" i="20" a="1"/>
  <c r="RNI6" i="20"/>
  <c r="RNI6" i="20" a="1"/>
  <c r="RNH6" i="20" a="1"/>
  <c r="RNH6" i="20" s="1"/>
  <c r="RNG6" i="20" a="1"/>
  <c r="RNG6" i="20" s="1"/>
  <c r="RNF6" i="20"/>
  <c r="RNF6" i="20" a="1"/>
  <c r="RNE6" i="20" a="1"/>
  <c r="RNE6" i="20" s="1"/>
  <c r="RND6" i="20" a="1"/>
  <c r="RND6" i="20" s="1"/>
  <c r="RNC6" i="20" a="1"/>
  <c r="RNC6" i="20" s="1"/>
  <c r="RNB6" i="20" a="1"/>
  <c r="RNB6" i="20" s="1"/>
  <c r="RNA6" i="20" a="1"/>
  <c r="RNA6" i="20" s="1"/>
  <c r="RMZ6" i="20" a="1"/>
  <c r="RMZ6" i="20" s="1"/>
  <c r="RMY6" i="20"/>
  <c r="RMY6" i="20" a="1"/>
  <c r="RMX6" i="20" a="1"/>
  <c r="RMX6" i="20" s="1"/>
  <c r="RMW6" i="20"/>
  <c r="RMW6" i="20" a="1"/>
  <c r="RMV6" i="20"/>
  <c r="RMV6" i="20" a="1"/>
  <c r="RMU6" i="20" a="1"/>
  <c r="RMU6" i="20" s="1"/>
  <c r="RMT6" i="20" a="1"/>
  <c r="RMT6" i="20" s="1"/>
  <c r="RMS6" i="20" a="1"/>
  <c r="RMS6" i="20" s="1"/>
  <c r="RMR6" i="20"/>
  <c r="RMR6" i="20" a="1"/>
  <c r="RMQ6" i="20" a="1"/>
  <c r="RMQ6" i="20" s="1"/>
  <c r="RMP6" i="20" a="1"/>
  <c r="RMP6" i="20" s="1"/>
  <c r="RMO6" i="20" a="1"/>
  <c r="RMO6" i="20" s="1"/>
  <c r="RMN6" i="20" a="1"/>
  <c r="RMN6" i="20" s="1"/>
  <c r="RMM6" i="20"/>
  <c r="RMM6" i="20" a="1"/>
  <c r="RML6" i="20"/>
  <c r="RML6" i="20" a="1"/>
  <c r="RMK6" i="20" a="1"/>
  <c r="RMK6" i="20" s="1"/>
  <c r="RMJ6" i="20"/>
  <c r="RMJ6" i="20" a="1"/>
  <c r="RMI6" i="20" a="1"/>
  <c r="RMI6" i="20" s="1"/>
  <c r="RMH6" i="20" a="1"/>
  <c r="RMH6" i="20" s="1"/>
  <c r="RMG6" i="20" a="1"/>
  <c r="RMG6" i="20" s="1"/>
  <c r="RMF6" i="20"/>
  <c r="RMF6" i="20" a="1"/>
  <c r="RME6" i="20" a="1"/>
  <c r="RME6" i="20" s="1"/>
  <c r="RMD6" i="20" a="1"/>
  <c r="RMD6" i="20" s="1"/>
  <c r="RMC6" i="20" a="1"/>
  <c r="RMC6" i="20" s="1"/>
  <c r="RMB6" i="20"/>
  <c r="RMB6" i="20" a="1"/>
  <c r="RMA6" i="20" a="1"/>
  <c r="RMA6" i="20" s="1"/>
  <c r="RLZ6" i="20" a="1"/>
  <c r="RLZ6" i="20" s="1"/>
  <c r="RLY6" i="20"/>
  <c r="RLY6" i="20" a="1"/>
  <c r="RLX6" i="20" a="1"/>
  <c r="RLX6" i="20" s="1"/>
  <c r="RLW6" i="20" a="1"/>
  <c r="RLW6" i="20" s="1"/>
  <c r="RLV6" i="20" a="1"/>
  <c r="RLV6" i="20" s="1"/>
  <c r="RLU6" i="20" a="1"/>
  <c r="RLU6" i="20" s="1"/>
  <c r="RLT6" i="20"/>
  <c r="RLT6" i="20" a="1"/>
  <c r="RLS6" i="20" a="1"/>
  <c r="RLS6" i="20" s="1"/>
  <c r="RLR6" i="20" a="1"/>
  <c r="RLR6" i="20" s="1"/>
  <c r="RLQ6" i="20" a="1"/>
  <c r="RLQ6" i="20" s="1"/>
  <c r="RLP6" i="20"/>
  <c r="RLP6" i="20" a="1"/>
  <c r="RLO6" i="20"/>
  <c r="RLO6" i="20" a="1"/>
  <c r="RLN6" i="20" a="1"/>
  <c r="RLN6" i="20" s="1"/>
  <c r="RLM6" i="20"/>
  <c r="RLM6" i="20" a="1"/>
  <c r="RLL6" i="20" a="1"/>
  <c r="RLL6" i="20" s="1"/>
  <c r="RLK6" i="20" a="1"/>
  <c r="RLK6" i="20" s="1"/>
  <c r="RLJ6" i="20"/>
  <c r="RLJ6" i="20" a="1"/>
  <c r="RLI6" i="20" a="1"/>
  <c r="RLI6" i="20" s="1"/>
  <c r="RLH6" i="20" a="1"/>
  <c r="RLH6" i="20" s="1"/>
  <c r="RLG6" i="20" a="1"/>
  <c r="RLG6" i="20" s="1"/>
  <c r="RLF6" i="20"/>
  <c r="RLF6" i="20" a="1"/>
  <c r="RLE6" i="20" a="1"/>
  <c r="RLE6" i="20" s="1"/>
  <c r="RLD6" i="20" a="1"/>
  <c r="RLD6" i="20" s="1"/>
  <c r="RLC6" i="20"/>
  <c r="RLC6" i="20" a="1"/>
  <c r="RLB6" i="20"/>
  <c r="RLB6" i="20" a="1"/>
  <c r="RLA6" i="20"/>
  <c r="RLA6" i="20" a="1"/>
  <c r="RKZ6" i="20" a="1"/>
  <c r="RKZ6" i="20" s="1"/>
  <c r="RKY6" i="20"/>
  <c r="RKY6" i="20" a="1"/>
  <c r="RKX6" i="20" a="1"/>
  <c r="RKX6" i="20" s="1"/>
  <c r="RKW6" i="20"/>
  <c r="RKW6" i="20" a="1"/>
  <c r="RKV6" i="20"/>
  <c r="RKV6" i="20" a="1"/>
  <c r="RKU6" i="20"/>
  <c r="RKU6" i="20" a="1"/>
  <c r="RKT6" i="20" a="1"/>
  <c r="RKT6" i="20" s="1"/>
  <c r="RKS6" i="20"/>
  <c r="RKS6" i="20" a="1"/>
  <c r="RKR6" i="20" a="1"/>
  <c r="RKR6" i="20" s="1"/>
  <c r="RKQ6" i="20"/>
  <c r="RKQ6" i="20" a="1"/>
  <c r="RKP6" i="20"/>
  <c r="RKP6" i="20" a="1"/>
  <c r="RKO6" i="20"/>
  <c r="RKO6" i="20" a="1"/>
  <c r="RKN6" i="20" a="1"/>
  <c r="RKN6" i="20" s="1"/>
  <c r="RKM6" i="20"/>
  <c r="RKM6" i="20" a="1"/>
  <c r="RKL6" i="20" a="1"/>
  <c r="RKL6" i="20" s="1"/>
  <c r="RKK6" i="20"/>
  <c r="RKK6" i="20" a="1"/>
  <c r="RKJ6" i="20" a="1"/>
  <c r="RKJ6" i="20" s="1"/>
  <c r="RKI6" i="20" a="1"/>
  <c r="RKI6" i="20" s="1"/>
  <c r="RKH6" i="20"/>
  <c r="RKH6" i="20" a="1"/>
  <c r="RKG6" i="20"/>
  <c r="RKG6" i="20" a="1"/>
  <c r="RKF6" i="20" a="1"/>
  <c r="RKF6" i="20" s="1"/>
  <c r="RKE6" i="20"/>
  <c r="RKE6" i="20" a="1"/>
  <c r="RKD6" i="20" a="1"/>
  <c r="RKD6" i="20" s="1"/>
  <c r="RKC6" i="20"/>
  <c r="RKC6" i="20" a="1"/>
  <c r="RKB6" i="20"/>
  <c r="RKB6" i="20" a="1"/>
  <c r="RKA6" i="20" a="1"/>
  <c r="RKA6" i="20" s="1"/>
  <c r="RJZ6" i="20"/>
  <c r="RJZ6" i="20" a="1"/>
  <c r="RJY6" i="20"/>
  <c r="RJY6" i="20" a="1"/>
  <c r="RJX6" i="20" a="1"/>
  <c r="RJX6" i="20" s="1"/>
  <c r="RJW6" i="20"/>
  <c r="RJW6" i="20" a="1"/>
  <c r="RJV6" i="20" a="1"/>
  <c r="RJV6" i="20" s="1"/>
  <c r="RJU6" i="20"/>
  <c r="RJU6" i="20" a="1"/>
  <c r="RJT6" i="20"/>
  <c r="RJT6" i="20" a="1"/>
  <c r="RJS6" i="20"/>
  <c r="RJS6" i="20" a="1"/>
  <c r="RJR6" i="20" a="1"/>
  <c r="RJR6" i="20" s="1"/>
  <c r="RJQ6" i="20" a="1"/>
  <c r="RJQ6" i="20" s="1"/>
  <c r="RJP6" i="20"/>
  <c r="RJP6" i="20" a="1"/>
  <c r="RJO6" i="20"/>
  <c r="RJO6" i="20" a="1"/>
  <c r="RJN6" i="20" a="1"/>
  <c r="RJN6" i="20" s="1"/>
  <c r="RJM6" i="20"/>
  <c r="RJM6" i="20" a="1"/>
  <c r="RJL6" i="20" a="1"/>
  <c r="RJL6" i="20" s="1"/>
  <c r="RJK6" i="20" a="1"/>
  <c r="RJK6" i="20" s="1"/>
  <c r="RJJ6" i="20"/>
  <c r="RJJ6" i="20" a="1"/>
  <c r="RJI6" i="20" a="1"/>
  <c r="RJI6" i="20" s="1"/>
  <c r="RJH6" i="20"/>
  <c r="RJH6" i="20" a="1"/>
  <c r="RJG6" i="20"/>
  <c r="RJG6" i="20" a="1"/>
  <c r="RJF6" i="20" a="1"/>
  <c r="RJF6" i="20" s="1"/>
  <c r="RJE6" i="20" a="1"/>
  <c r="RJE6" i="20" s="1"/>
  <c r="RJD6" i="20" a="1"/>
  <c r="RJD6" i="20" s="1"/>
  <c r="RJC6" i="20"/>
  <c r="RJC6" i="20" a="1"/>
  <c r="RJB6" i="20"/>
  <c r="RJB6" i="20" a="1"/>
  <c r="RJA6" i="20"/>
  <c r="RJA6" i="20" a="1"/>
  <c r="RIZ6" i="20" a="1"/>
  <c r="RIZ6" i="20" s="1"/>
  <c r="RIY6" i="20" a="1"/>
  <c r="RIY6" i="20" s="1"/>
  <c r="RIX6" i="20" a="1"/>
  <c r="RIX6" i="20" s="1"/>
  <c r="RIW6" i="20"/>
  <c r="RIW6" i="20" a="1"/>
  <c r="RIV6" i="20" a="1"/>
  <c r="RIV6" i="20" s="1"/>
  <c r="RIU6" i="20"/>
  <c r="RIU6" i="20" a="1"/>
  <c r="RIT6" i="20" a="1"/>
  <c r="RIT6" i="20" s="1"/>
  <c r="RIS6" i="20"/>
  <c r="RIS6" i="20" a="1"/>
  <c r="RIR6" i="20" a="1"/>
  <c r="RIR6" i="20" s="1"/>
  <c r="RIQ6" i="20" a="1"/>
  <c r="RIQ6" i="20" s="1"/>
  <c r="RIP6" i="20"/>
  <c r="RIP6" i="20" a="1"/>
  <c r="RIO6" i="20"/>
  <c r="RIO6" i="20" a="1"/>
  <c r="RIN6" i="20" a="1"/>
  <c r="RIN6" i="20" s="1"/>
  <c r="RIM6" i="20"/>
  <c r="RIM6" i="20" a="1"/>
  <c r="RIL6" i="20" a="1"/>
  <c r="RIL6" i="20" s="1"/>
  <c r="RIK6" i="20" a="1"/>
  <c r="RIK6" i="20" s="1"/>
  <c r="RIJ6" i="20"/>
  <c r="RIJ6" i="20" a="1"/>
  <c r="RII6" i="20" a="1"/>
  <c r="RII6" i="20" s="1"/>
  <c r="RIH6" i="20" a="1"/>
  <c r="RIH6" i="20" s="1"/>
  <c r="RIG6" i="20" a="1"/>
  <c r="RIG6" i="20" s="1"/>
  <c r="RIF6" i="20"/>
  <c r="RIF6" i="20" a="1"/>
  <c r="RIE6" i="20" a="1"/>
  <c r="RIE6" i="20" s="1"/>
  <c r="RID6" i="20" a="1"/>
  <c r="RID6" i="20" s="1"/>
  <c r="RIC6" i="20"/>
  <c r="RIC6" i="20" a="1"/>
  <c r="RIB6" i="20" a="1"/>
  <c r="RIB6" i="20" s="1"/>
  <c r="RIA6" i="20"/>
  <c r="RIA6" i="20" a="1"/>
  <c r="RHZ6" i="20"/>
  <c r="RHZ6" i="20" a="1"/>
  <c r="RHY6" i="20" a="1"/>
  <c r="RHY6" i="20" s="1"/>
  <c r="RHX6" i="20" a="1"/>
  <c r="RHX6" i="20" s="1"/>
  <c r="RHW6" i="20"/>
  <c r="RHW6" i="20" a="1"/>
  <c r="RHV6" i="20" a="1"/>
  <c r="RHV6" i="20" s="1"/>
  <c r="RHU6" i="20"/>
  <c r="RHU6" i="20" a="1"/>
  <c r="RHT6" i="20" a="1"/>
  <c r="RHT6" i="20" s="1"/>
  <c r="RHS6" i="20"/>
  <c r="RHS6" i="20" a="1"/>
  <c r="RHR6" i="20" a="1"/>
  <c r="RHR6" i="20" s="1"/>
  <c r="RHQ6" i="20"/>
  <c r="RHQ6" i="20" a="1"/>
  <c r="RHP6" i="20" a="1"/>
  <c r="RHP6" i="20" s="1"/>
  <c r="RHO6" i="20" a="1"/>
  <c r="RHO6" i="20" s="1"/>
  <c r="RHN6" i="20"/>
  <c r="RHN6" i="20" a="1"/>
  <c r="RHM6" i="20"/>
  <c r="RHM6" i="20" a="1"/>
  <c r="RHL6" i="20" a="1"/>
  <c r="RHL6" i="20" s="1"/>
  <c r="RHK6" i="20" a="1"/>
  <c r="RHK6" i="20" s="1"/>
  <c r="RHJ6" i="20" a="1"/>
  <c r="RHJ6" i="20" s="1"/>
  <c r="RHI6" i="20"/>
  <c r="RHI6" i="20" a="1"/>
  <c r="RHH6" i="20"/>
  <c r="RHH6" i="20" a="1"/>
  <c r="RHG6" i="20" a="1"/>
  <c r="RHG6" i="20" s="1"/>
  <c r="RHF6" i="20"/>
  <c r="RHF6" i="20" a="1"/>
  <c r="RHE6" i="20" a="1"/>
  <c r="RHE6" i="20" s="1"/>
  <c r="RHD6" i="20" a="1"/>
  <c r="RHD6" i="20" s="1"/>
  <c r="RHC6" i="20"/>
  <c r="RHC6" i="20" a="1"/>
  <c r="RHB6" i="20" a="1"/>
  <c r="RHB6" i="20" s="1"/>
  <c r="RHA6" i="20"/>
  <c r="RHA6" i="20" a="1"/>
  <c r="RGZ6" i="20"/>
  <c r="RGZ6" i="20" a="1"/>
  <c r="RGY6" i="20" a="1"/>
  <c r="RGY6" i="20" s="1"/>
  <c r="RGX6" i="20" a="1"/>
  <c r="RGX6" i="20" s="1"/>
  <c r="RGW6" i="20"/>
  <c r="RGW6" i="20" a="1"/>
  <c r="RGV6" i="20"/>
  <c r="RGV6" i="20" a="1"/>
  <c r="RGU6" i="20"/>
  <c r="RGU6" i="20" a="1"/>
  <c r="RGT6" i="20" a="1"/>
  <c r="RGT6" i="20" s="1"/>
  <c r="RGS6" i="20"/>
  <c r="RGS6" i="20" a="1"/>
  <c r="RGR6" i="20" a="1"/>
  <c r="RGR6" i="20" s="1"/>
  <c r="RGQ6" i="20" a="1"/>
  <c r="RGQ6" i="20" s="1"/>
  <c r="RGP6" i="20"/>
  <c r="RGP6" i="20" a="1"/>
  <c r="RGO6" i="20" a="1"/>
  <c r="RGO6" i="20" s="1"/>
  <c r="RGN6" i="20"/>
  <c r="RGN6" i="20" a="1"/>
  <c r="RGM6" i="20"/>
  <c r="RGM6" i="20" a="1"/>
  <c r="RGL6" i="20" a="1"/>
  <c r="RGL6" i="20" s="1"/>
  <c r="RGK6" i="20" a="1"/>
  <c r="RGK6" i="20" s="1"/>
  <c r="RGJ6" i="20"/>
  <c r="RGJ6" i="20" a="1"/>
  <c r="RGI6" i="20"/>
  <c r="RGI6" i="20" a="1"/>
  <c r="RGH6" i="20"/>
  <c r="RGH6" i="20" a="1"/>
  <c r="RGG6" i="20" a="1"/>
  <c r="RGG6" i="20" s="1"/>
  <c r="RGF6" i="20" a="1"/>
  <c r="RGF6" i="20" s="1"/>
  <c r="RGE6" i="20" a="1"/>
  <c r="RGE6" i="20" s="1"/>
  <c r="RGD6" i="20" a="1"/>
  <c r="RGD6" i="20" s="1"/>
  <c r="RGC6" i="20"/>
  <c r="RGC6" i="20" a="1"/>
  <c r="RGB6" i="20" a="1"/>
  <c r="RGB6" i="20" s="1"/>
  <c r="RGA6" i="20"/>
  <c r="RGA6" i="20" a="1"/>
  <c r="RFZ6" i="20" a="1"/>
  <c r="RFZ6" i="20" s="1"/>
  <c r="RFY6" i="20"/>
  <c r="RFY6" i="20" a="1"/>
  <c r="RFX6" i="20" a="1"/>
  <c r="RFX6" i="20" s="1"/>
  <c r="RFW6" i="20"/>
  <c r="RFW6" i="20" a="1"/>
  <c r="RFV6" i="20"/>
  <c r="RFV6" i="20" a="1"/>
  <c r="RFU6" i="20"/>
  <c r="RFU6" i="20" a="1"/>
  <c r="RFT6" i="20" a="1"/>
  <c r="RFT6" i="20" s="1"/>
  <c r="RFS6" i="20"/>
  <c r="RFS6" i="20" a="1"/>
  <c r="RFR6" i="20" a="1"/>
  <c r="RFR6" i="20" s="1"/>
  <c r="RFQ6" i="20" a="1"/>
  <c r="RFQ6" i="20" s="1"/>
  <c r="RFP6" i="20"/>
  <c r="RFP6" i="20" a="1"/>
  <c r="RFO6" i="20" a="1"/>
  <c r="RFO6" i="20" s="1"/>
  <c r="RFN6" i="20" a="1"/>
  <c r="RFN6" i="20" s="1"/>
  <c r="RFM6" i="20" a="1"/>
  <c r="RFM6" i="20" s="1"/>
  <c r="RFL6" i="20"/>
  <c r="RFL6" i="20" a="1"/>
  <c r="RFK6" i="20" a="1"/>
  <c r="RFK6" i="20" s="1"/>
  <c r="RFJ6" i="20"/>
  <c r="RFJ6" i="20" a="1"/>
  <c r="RFI6" i="20"/>
  <c r="RFI6" i="20" a="1"/>
  <c r="RFH6" i="20" a="1"/>
  <c r="RFH6" i="20" s="1"/>
  <c r="RFG6" i="20"/>
  <c r="RFG6" i="20" a="1"/>
  <c r="RFF6" i="20"/>
  <c r="RFF6" i="20" a="1"/>
  <c r="RFE6" i="20" a="1"/>
  <c r="RFE6" i="20" s="1"/>
  <c r="RFD6" i="20" a="1"/>
  <c r="RFD6" i="20" s="1"/>
  <c r="RFC6" i="20"/>
  <c r="RFC6" i="20" a="1"/>
  <c r="RFB6" i="20" a="1"/>
  <c r="RFB6" i="20" s="1"/>
  <c r="RFA6" i="20"/>
  <c r="RFA6" i="20" a="1"/>
  <c r="REZ6" i="20" a="1"/>
  <c r="REZ6" i="20" s="1"/>
  <c r="REY6" i="20"/>
  <c r="REY6" i="20" a="1"/>
  <c r="REX6" i="20" a="1"/>
  <c r="REX6" i="20" s="1"/>
  <c r="REW6" i="20"/>
  <c r="REW6" i="20" a="1"/>
  <c r="REV6" i="20" a="1"/>
  <c r="REV6" i="20" s="1"/>
  <c r="REU6" i="20" a="1"/>
  <c r="REU6" i="20" s="1"/>
  <c r="RET6" i="20"/>
  <c r="RET6" i="20" a="1"/>
  <c r="RES6" i="20"/>
  <c r="RES6" i="20" a="1"/>
  <c r="RER6" i="20" a="1"/>
  <c r="RER6" i="20" s="1"/>
  <c r="REQ6" i="20" a="1"/>
  <c r="REQ6" i="20" s="1"/>
  <c r="REP6" i="20" a="1"/>
  <c r="REP6" i="20" s="1"/>
  <c r="REO6" i="20"/>
  <c r="REO6" i="20" a="1"/>
  <c r="REN6" i="20"/>
  <c r="REN6" i="20" a="1"/>
  <c r="REM6" i="20" a="1"/>
  <c r="REM6" i="20" s="1"/>
  <c r="REL6" i="20"/>
  <c r="REL6" i="20" a="1"/>
  <c r="REK6" i="20" a="1"/>
  <c r="REK6" i="20" s="1"/>
  <c r="REJ6" i="20" a="1"/>
  <c r="REJ6" i="20" s="1"/>
  <c r="REI6" i="20"/>
  <c r="REI6" i="20" a="1"/>
  <c r="REH6" i="20" a="1"/>
  <c r="REH6" i="20" s="1"/>
  <c r="REG6" i="20" a="1"/>
  <c r="REG6" i="20" s="1"/>
  <c r="REF6" i="20"/>
  <c r="REF6" i="20" a="1"/>
  <c r="REE6" i="20" a="1"/>
  <c r="REE6" i="20" s="1"/>
  <c r="RED6" i="20" a="1"/>
  <c r="RED6" i="20" s="1"/>
  <c r="REC6" i="20"/>
  <c r="REC6" i="20" a="1"/>
  <c r="REB6" i="20"/>
  <c r="REB6" i="20" a="1"/>
  <c r="REA6" i="20"/>
  <c r="REA6" i="20" a="1"/>
  <c r="RDZ6" i="20" a="1"/>
  <c r="RDZ6" i="20" s="1"/>
  <c r="RDY6" i="20"/>
  <c r="RDY6" i="20" a="1"/>
  <c r="RDX6" i="20" a="1"/>
  <c r="RDX6" i="20" s="1"/>
  <c r="RDW6" i="20" a="1"/>
  <c r="RDW6" i="20" s="1"/>
  <c r="RDV6" i="20"/>
  <c r="RDV6" i="20" a="1"/>
  <c r="RDU6" i="20" a="1"/>
  <c r="RDU6" i="20" s="1"/>
  <c r="RDT6" i="20"/>
  <c r="RDT6" i="20" a="1"/>
  <c r="RDS6" i="20"/>
  <c r="RDS6" i="20" a="1"/>
  <c r="RDR6" i="20" a="1"/>
  <c r="RDR6" i="20" s="1"/>
  <c r="RDQ6" i="20" a="1"/>
  <c r="RDQ6" i="20" s="1"/>
  <c r="RDP6" i="20"/>
  <c r="RDP6" i="20" a="1"/>
  <c r="RDO6" i="20"/>
  <c r="RDO6" i="20" a="1"/>
  <c r="RDN6" i="20"/>
  <c r="RDN6" i="20" a="1"/>
  <c r="RDM6" i="20" a="1"/>
  <c r="RDM6" i="20" s="1"/>
  <c r="RDL6" i="20" a="1"/>
  <c r="RDL6" i="20" s="1"/>
  <c r="RDK6" i="20" a="1"/>
  <c r="RDK6" i="20" s="1"/>
  <c r="RDJ6" i="20" a="1"/>
  <c r="RDJ6" i="20" s="1"/>
  <c r="RDI6" i="20"/>
  <c r="RDI6" i="20" a="1"/>
  <c r="RDH6" i="20" a="1"/>
  <c r="RDH6" i="20" s="1"/>
  <c r="RDG6" i="20"/>
  <c r="RDG6" i="20" a="1"/>
  <c r="RDF6" i="20" a="1"/>
  <c r="RDF6" i="20" s="1"/>
  <c r="RDE6" i="20"/>
  <c r="RDE6" i="20" a="1"/>
  <c r="RDD6" i="20" a="1"/>
  <c r="RDD6" i="20" s="1"/>
  <c r="RDC6" i="20"/>
  <c r="RDC6" i="20" a="1"/>
  <c r="RDB6" i="20"/>
  <c r="RDB6" i="20" a="1"/>
  <c r="RDA6" i="20"/>
  <c r="RDA6" i="20" a="1"/>
  <c r="RCZ6" i="20" a="1"/>
  <c r="RCZ6" i="20" s="1"/>
  <c r="RCY6" i="20"/>
  <c r="RCY6" i="20" a="1"/>
  <c r="RCX6" i="20" a="1"/>
  <c r="RCX6" i="20" s="1"/>
  <c r="RCW6" i="20" a="1"/>
  <c r="RCW6" i="20" s="1"/>
  <c r="RCV6" i="20"/>
  <c r="RCV6" i="20" a="1"/>
  <c r="RCU6" i="20" a="1"/>
  <c r="RCU6" i="20" s="1"/>
  <c r="RCT6" i="20" a="1"/>
  <c r="RCT6" i="20" s="1"/>
  <c r="RCS6" i="20" a="1"/>
  <c r="RCS6" i="20" s="1"/>
  <c r="RCR6" i="20"/>
  <c r="RCR6" i="20" a="1"/>
  <c r="RCQ6" i="20" a="1"/>
  <c r="RCQ6" i="20" s="1"/>
  <c r="RCP6" i="20"/>
  <c r="RCP6" i="20" a="1"/>
  <c r="RCO6" i="20"/>
  <c r="RCO6" i="20" a="1"/>
  <c r="RCN6" i="20" a="1"/>
  <c r="RCN6" i="20" s="1"/>
  <c r="RCM6" i="20"/>
  <c r="RCM6" i="20" a="1"/>
  <c r="RCL6" i="20"/>
  <c r="RCL6" i="20" a="1"/>
  <c r="RCK6" i="20" a="1"/>
  <c r="RCK6" i="20" s="1"/>
  <c r="RCJ6" i="20" a="1"/>
  <c r="RCJ6" i="20" s="1"/>
  <c r="RCI6" i="20"/>
  <c r="RCI6" i="20" a="1"/>
  <c r="RCH6" i="20" a="1"/>
  <c r="RCH6" i="20" s="1"/>
  <c r="RCG6" i="20"/>
  <c r="RCG6" i="20" a="1"/>
  <c r="RCF6" i="20" a="1"/>
  <c r="RCF6" i="20" s="1"/>
  <c r="RCE6" i="20"/>
  <c r="RCE6" i="20" a="1"/>
  <c r="RCD6" i="20" a="1"/>
  <c r="RCD6" i="20" s="1"/>
  <c r="RCC6" i="20" a="1"/>
  <c r="RCC6" i="20" s="1"/>
  <c r="RCB6" i="20" a="1"/>
  <c r="RCB6" i="20" s="1"/>
  <c r="RCA6" i="20" a="1"/>
  <c r="RCA6" i="20" s="1"/>
  <c r="RBZ6" i="20"/>
  <c r="RBZ6" i="20" a="1"/>
  <c r="RBY6" i="20"/>
  <c r="RBY6" i="20" a="1"/>
  <c r="RBX6" i="20" a="1"/>
  <c r="RBX6" i="20" s="1"/>
  <c r="RBW6" i="20" a="1"/>
  <c r="RBW6" i="20" s="1"/>
  <c r="RBV6" i="20" a="1"/>
  <c r="RBV6" i="20" s="1"/>
  <c r="RBU6" i="20"/>
  <c r="RBU6" i="20" a="1"/>
  <c r="RBT6" i="20"/>
  <c r="RBT6" i="20" a="1"/>
  <c r="RBS6" i="20" a="1"/>
  <c r="RBS6" i="20" s="1"/>
  <c r="RBR6" i="20"/>
  <c r="RBR6" i="20" a="1"/>
  <c r="RBQ6" i="20" a="1"/>
  <c r="RBQ6" i="20" s="1"/>
  <c r="RBP6" i="20" a="1"/>
  <c r="RBP6" i="20" s="1"/>
  <c r="RBO6" i="20"/>
  <c r="RBO6" i="20" a="1"/>
  <c r="RBN6" i="20" a="1"/>
  <c r="RBN6" i="20" s="1"/>
  <c r="RBM6" i="20"/>
  <c r="RBM6" i="20" a="1"/>
  <c r="RBL6" i="20"/>
  <c r="RBL6" i="20" a="1"/>
  <c r="RBK6" i="20" a="1"/>
  <c r="RBK6" i="20" s="1"/>
  <c r="RBJ6" i="20" a="1"/>
  <c r="RBJ6" i="20" s="1"/>
  <c r="RBI6" i="20" a="1"/>
  <c r="RBI6" i="20" s="1"/>
  <c r="RBH6" i="20"/>
  <c r="RBH6" i="20" a="1"/>
  <c r="RBG6" i="20"/>
  <c r="RBG6" i="20" a="1"/>
  <c r="RBF6" i="20" a="1"/>
  <c r="RBF6" i="20" s="1"/>
  <c r="RBE6" i="20"/>
  <c r="RBE6" i="20" a="1"/>
  <c r="RBD6" i="20" a="1"/>
  <c r="RBD6" i="20" s="1"/>
  <c r="RBC6" i="20" a="1"/>
  <c r="RBC6" i="20" s="1"/>
  <c r="RBB6" i="20"/>
  <c r="RBB6" i="20" a="1"/>
  <c r="RBA6" i="20" a="1"/>
  <c r="RBA6" i="20" s="1"/>
  <c r="RAZ6" i="20"/>
  <c r="RAZ6" i="20" a="1"/>
  <c r="RAY6" i="20"/>
  <c r="RAY6" i="20" a="1"/>
  <c r="RAX6" i="20" a="1"/>
  <c r="RAX6" i="20" s="1"/>
  <c r="RAW6" i="20" a="1"/>
  <c r="RAW6" i="20" s="1"/>
  <c r="RAV6" i="20"/>
  <c r="RAV6" i="20" a="1"/>
  <c r="RAU6" i="20"/>
  <c r="RAU6" i="20" a="1"/>
  <c r="RAT6" i="20"/>
  <c r="RAT6" i="20" a="1"/>
  <c r="RAS6" i="20" a="1"/>
  <c r="RAS6" i="20" s="1"/>
  <c r="RAR6" i="20" a="1"/>
  <c r="RAR6" i="20" s="1"/>
  <c r="RAQ6" i="20" a="1"/>
  <c r="RAQ6" i="20" s="1"/>
  <c r="RAP6" i="20" a="1"/>
  <c r="RAP6" i="20" s="1"/>
  <c r="RAO6" i="20"/>
  <c r="RAO6" i="20" a="1"/>
  <c r="RAN6" i="20" a="1"/>
  <c r="RAN6" i="20" s="1"/>
  <c r="RAM6" i="20"/>
  <c r="RAM6" i="20" a="1"/>
  <c r="RAL6" i="20" a="1"/>
  <c r="RAL6" i="20" s="1"/>
  <c r="RAK6" i="20"/>
  <c r="RAK6" i="20" a="1"/>
  <c r="RAJ6" i="20" a="1"/>
  <c r="RAJ6" i="20" s="1"/>
  <c r="RAI6" i="20"/>
  <c r="RAI6" i="20" a="1"/>
  <c r="RAH6" i="20"/>
  <c r="RAH6" i="20" a="1"/>
  <c r="RAG6" i="20"/>
  <c r="RAG6" i="20" a="1"/>
  <c r="RAF6" i="20" a="1"/>
  <c r="RAF6" i="20" s="1"/>
  <c r="RAE6" i="20"/>
  <c r="RAE6" i="20" a="1"/>
  <c r="RAD6" i="20" a="1"/>
  <c r="RAD6" i="20" s="1"/>
  <c r="RAC6" i="20"/>
  <c r="RAC6" i="20" a="1"/>
  <c r="RAB6" i="20"/>
  <c r="RAB6" i="20" a="1"/>
  <c r="RAA6" i="20" a="1"/>
  <c r="RAA6" i="20" s="1"/>
  <c r="QZZ6" i="20" a="1"/>
  <c r="QZZ6" i="20" s="1"/>
  <c r="QZY6" i="20" a="1"/>
  <c r="QZY6" i="20" s="1"/>
  <c r="QZX6" i="20"/>
  <c r="QZX6" i="20" a="1"/>
  <c r="QZW6" i="20" a="1"/>
  <c r="QZW6" i="20" s="1"/>
  <c r="QZV6" i="20" a="1"/>
  <c r="QZV6" i="20" s="1"/>
  <c r="QZU6" i="20"/>
  <c r="QZU6" i="20" a="1"/>
  <c r="QZT6" i="20" a="1"/>
  <c r="QZT6" i="20" s="1"/>
  <c r="QZS6" i="20"/>
  <c r="QZS6" i="20" a="1"/>
  <c r="QZR6" i="20"/>
  <c r="QZR6" i="20" a="1"/>
  <c r="QZQ6" i="20" a="1"/>
  <c r="QZQ6" i="20" s="1"/>
  <c r="QZP6" i="20" a="1"/>
  <c r="QZP6" i="20" s="1"/>
  <c r="QZO6" i="20"/>
  <c r="QZO6" i="20" a="1"/>
  <c r="QZN6" i="20" a="1"/>
  <c r="QZN6" i="20" s="1"/>
  <c r="QZM6" i="20"/>
  <c r="QZM6" i="20" a="1"/>
  <c r="QZL6" i="20" a="1"/>
  <c r="QZL6" i="20" s="1"/>
  <c r="QZK6" i="20"/>
  <c r="QZK6" i="20" a="1"/>
  <c r="QZJ6" i="20" a="1"/>
  <c r="QZJ6" i="20" s="1"/>
  <c r="QZI6" i="20"/>
  <c r="QZI6" i="20" a="1"/>
  <c r="QZH6" i="20" a="1"/>
  <c r="QZH6" i="20" s="1"/>
  <c r="QZG6" i="20" a="1"/>
  <c r="QZG6" i="20" s="1"/>
  <c r="QZF6" i="20"/>
  <c r="QZF6" i="20" a="1"/>
  <c r="QZE6" i="20"/>
  <c r="QZE6" i="20" a="1"/>
  <c r="QZD6" i="20" a="1"/>
  <c r="QZD6" i="20" s="1"/>
  <c r="QZC6" i="20" a="1"/>
  <c r="QZC6" i="20" s="1"/>
  <c r="QZB6" i="20" a="1"/>
  <c r="QZB6" i="20" s="1"/>
  <c r="QZA6" i="20"/>
  <c r="QZA6" i="20" a="1"/>
  <c r="QYZ6" i="20"/>
  <c r="QYZ6" i="20" a="1"/>
  <c r="QYY6" i="20" a="1"/>
  <c r="QYY6" i="20" s="1"/>
  <c r="QYX6" i="20"/>
  <c r="QYX6" i="20" a="1"/>
  <c r="QYW6" i="20" a="1"/>
  <c r="QYW6" i="20" s="1"/>
  <c r="QYV6" i="20" a="1"/>
  <c r="QYV6" i="20" s="1"/>
  <c r="QYU6" i="20" a="1"/>
  <c r="QYU6" i="20" s="1"/>
  <c r="QYT6" i="20" a="1"/>
  <c r="QYT6" i="20" s="1"/>
  <c r="QYS6" i="20"/>
  <c r="QYS6" i="20" a="1"/>
  <c r="QYR6" i="20"/>
  <c r="QYR6" i="20" a="1"/>
  <c r="QYQ6" i="20" a="1"/>
  <c r="QYQ6" i="20" s="1"/>
  <c r="QYP6" i="20" a="1"/>
  <c r="QYP6" i="20" s="1"/>
  <c r="QYO6" i="20" a="1"/>
  <c r="QYO6" i="20" s="1"/>
  <c r="QYN6" i="20"/>
  <c r="QYN6" i="20" a="1"/>
  <c r="QYM6" i="20"/>
  <c r="QYM6" i="20" a="1"/>
  <c r="QYL6" i="20" a="1"/>
  <c r="QYL6" i="20" s="1"/>
  <c r="QYK6" i="20"/>
  <c r="QYK6" i="20" a="1"/>
  <c r="QYJ6" i="20" a="1"/>
  <c r="QYJ6" i="20" s="1"/>
  <c r="QYI6" i="20" a="1"/>
  <c r="QYI6" i="20" s="1"/>
  <c r="QYH6" i="20" a="1"/>
  <c r="QYH6" i="20" s="1"/>
  <c r="QYG6" i="20" a="1"/>
  <c r="QYG6" i="20" s="1"/>
  <c r="QYF6" i="20"/>
  <c r="QYF6" i="20" a="1"/>
  <c r="QYE6" i="20"/>
  <c r="QYE6" i="20" a="1"/>
  <c r="QYD6" i="20" a="1"/>
  <c r="QYD6" i="20" s="1"/>
  <c r="QYC6" i="20" a="1"/>
  <c r="QYC6" i="20" s="1"/>
  <c r="QYB6" i="20" a="1"/>
  <c r="QYB6" i="20" s="1"/>
  <c r="QYA6" i="20"/>
  <c r="QYA6" i="20" a="1"/>
  <c r="QXZ6" i="20"/>
  <c r="QXZ6" i="20" a="1"/>
  <c r="QXY6" i="20" a="1"/>
  <c r="QXY6" i="20" s="1"/>
  <c r="QXX6" i="20" a="1"/>
  <c r="QXX6" i="20" s="1"/>
  <c r="QXW6" i="20" a="1"/>
  <c r="QXW6" i="20" s="1"/>
  <c r="QXV6" i="20"/>
  <c r="QXV6" i="20" a="1"/>
  <c r="QXU6" i="20"/>
  <c r="QXU6" i="20" a="1"/>
  <c r="QXT6" i="20" a="1"/>
  <c r="QXT6" i="20" s="1"/>
  <c r="QXS6" i="20"/>
  <c r="QXS6" i="20" a="1"/>
  <c r="QXR6" i="20" a="1"/>
  <c r="QXR6" i="20" s="1"/>
  <c r="QXQ6" i="20"/>
  <c r="QXQ6" i="20" a="1"/>
  <c r="QXP6" i="20" a="1"/>
  <c r="QXP6" i="20" s="1"/>
  <c r="QXO6" i="20" a="1"/>
  <c r="QXO6" i="20" s="1"/>
  <c r="QXN6" i="20"/>
  <c r="QXN6" i="20" a="1"/>
  <c r="QXM6" i="20"/>
  <c r="QXM6" i="20" a="1"/>
  <c r="QXL6" i="20" a="1"/>
  <c r="QXL6" i="20" s="1"/>
  <c r="QXK6" i="20"/>
  <c r="QXK6" i="20" a="1"/>
  <c r="QXJ6" i="20" a="1"/>
  <c r="QXJ6" i="20" s="1"/>
  <c r="QXI6" i="20" a="1"/>
  <c r="QXI6" i="20" s="1"/>
  <c r="QXH6" i="20" a="1"/>
  <c r="QXH6" i="20" s="1"/>
  <c r="QXG6" i="20" a="1"/>
  <c r="QXG6" i="20" s="1"/>
  <c r="QXF6" i="20" a="1"/>
  <c r="QXF6" i="20" s="1"/>
  <c r="QXE6" i="20" a="1"/>
  <c r="QXE6" i="20" s="1"/>
  <c r="QXD6" i="20"/>
  <c r="QXD6" i="20" a="1"/>
  <c r="QXC6" i="20" a="1"/>
  <c r="QXC6" i="20" s="1"/>
  <c r="QXB6" i="20"/>
  <c r="QXB6" i="20" a="1"/>
  <c r="QXA6" i="20"/>
  <c r="QXA6" i="20" a="1"/>
  <c r="QWZ6" i="20" a="1"/>
  <c r="QWZ6" i="20" s="1"/>
  <c r="QWY6" i="20"/>
  <c r="QWY6" i="20" a="1"/>
  <c r="QWX6" i="20"/>
  <c r="QWX6" i="20" a="1"/>
  <c r="QWW6" i="20" a="1"/>
  <c r="QWW6" i="20" s="1"/>
  <c r="QWV6" i="20"/>
  <c r="QWV6" i="20" a="1"/>
  <c r="QWU6" i="20"/>
  <c r="QWU6" i="20" a="1"/>
  <c r="QWT6" i="20" a="1"/>
  <c r="QWT6" i="20" s="1"/>
  <c r="QWS6" i="20"/>
  <c r="QWS6" i="20" a="1"/>
  <c r="QWR6" i="20" a="1"/>
  <c r="QWR6" i="20" s="1"/>
  <c r="QWQ6" i="20"/>
  <c r="QWQ6" i="20" a="1"/>
  <c r="QWP6" i="20" a="1"/>
  <c r="QWP6" i="20" s="1"/>
  <c r="QWO6" i="20" a="1"/>
  <c r="QWO6" i="20" s="1"/>
  <c r="QWN6" i="20" a="1"/>
  <c r="QWN6" i="20" s="1"/>
  <c r="QWM6" i="20" a="1"/>
  <c r="QWM6" i="20" s="1"/>
  <c r="QWL6" i="20"/>
  <c r="QWL6" i="20" a="1"/>
  <c r="QWK6" i="20"/>
  <c r="QWK6" i="20" a="1"/>
  <c r="QWJ6" i="20" a="1"/>
  <c r="QWJ6" i="20" s="1"/>
  <c r="QWI6" i="20" a="1"/>
  <c r="QWI6" i="20" s="1"/>
  <c r="QWH6" i="20" a="1"/>
  <c r="QWH6" i="20" s="1"/>
  <c r="QWG6" i="20"/>
  <c r="QWG6" i="20" a="1"/>
  <c r="QWF6" i="20"/>
  <c r="QWF6" i="20" a="1"/>
  <c r="QWE6" i="20" a="1"/>
  <c r="QWE6" i="20" s="1"/>
  <c r="QWD6" i="20"/>
  <c r="QWD6" i="20" a="1"/>
  <c r="QWC6" i="20" a="1"/>
  <c r="QWC6" i="20" s="1"/>
  <c r="QWB6" i="20" a="1"/>
  <c r="QWB6" i="20" s="1"/>
  <c r="QWA6" i="20" a="1"/>
  <c r="QWA6" i="20" s="1"/>
  <c r="QVZ6" i="20" a="1"/>
  <c r="QVZ6" i="20" s="1"/>
  <c r="QVY6" i="20"/>
  <c r="QVY6" i="20" a="1"/>
  <c r="QVX6" i="20"/>
  <c r="QVX6" i="20" a="1"/>
  <c r="QVW6" i="20" a="1"/>
  <c r="QVW6" i="20" s="1"/>
  <c r="QVV6" i="20" a="1"/>
  <c r="QVV6" i="20" s="1"/>
  <c r="QVU6" i="20" a="1"/>
  <c r="QVU6" i="20" s="1"/>
  <c r="QVT6" i="20"/>
  <c r="QVT6" i="20" a="1"/>
  <c r="QVS6" i="20"/>
  <c r="QVS6" i="20" a="1"/>
  <c r="QVR6" i="20" a="1"/>
  <c r="QVR6" i="20" s="1"/>
  <c r="QVQ6" i="20"/>
  <c r="QVQ6" i="20" a="1"/>
  <c r="QVP6" i="20" a="1"/>
  <c r="QVP6" i="20" s="1"/>
  <c r="QVO6" i="20"/>
  <c r="QVO6" i="20" a="1"/>
  <c r="QVN6" i="20" a="1"/>
  <c r="QVN6" i="20" s="1"/>
  <c r="QVM6" i="20" a="1"/>
  <c r="QVM6" i="20" s="1"/>
  <c r="QVL6" i="20"/>
  <c r="QVL6" i="20" a="1"/>
  <c r="QVK6" i="20"/>
  <c r="QVK6" i="20" a="1"/>
  <c r="QVJ6" i="20" a="1"/>
  <c r="QVJ6" i="20" s="1"/>
  <c r="QVI6" i="20" a="1"/>
  <c r="QVI6" i="20" s="1"/>
  <c r="QVH6" i="20"/>
  <c r="QVH6" i="20" a="1"/>
  <c r="QVG6" i="20"/>
  <c r="QVG6" i="20" a="1"/>
  <c r="QVF6" i="20"/>
  <c r="QVF6" i="20" a="1"/>
  <c r="QVE6" i="20" a="1"/>
  <c r="QVE6" i="20" s="1"/>
  <c r="QVD6" i="20" a="1"/>
  <c r="QVD6" i="20" s="1"/>
  <c r="QVC6" i="20" a="1"/>
  <c r="QVC6" i="20" s="1"/>
  <c r="QVB6" i="20" a="1"/>
  <c r="QVB6" i="20" s="1"/>
  <c r="QVA6" i="20" a="1"/>
  <c r="QVA6" i="20" s="1"/>
  <c r="QUZ6" i="20" a="1"/>
  <c r="QUZ6" i="20" s="1"/>
  <c r="QUY6" i="20"/>
  <c r="QUY6" i="20" a="1"/>
  <c r="QUX6" i="20" a="1"/>
  <c r="QUX6" i="20" s="1"/>
  <c r="QUW6" i="20"/>
  <c r="QUW6" i="20" a="1"/>
  <c r="QUV6" i="20" a="1"/>
  <c r="QUV6" i="20" s="1"/>
  <c r="QUU6" i="20" a="1"/>
  <c r="QUU6" i="20" s="1"/>
  <c r="QUT6" i="20"/>
  <c r="QUT6" i="20" a="1"/>
  <c r="QUS6" i="20"/>
  <c r="QUS6" i="20" a="1"/>
  <c r="QUR6" i="20" a="1"/>
  <c r="QUR6" i="20" s="1"/>
  <c r="QUQ6" i="20"/>
  <c r="QUQ6" i="20" a="1"/>
  <c r="QUP6" i="20" a="1"/>
  <c r="QUP6" i="20" s="1"/>
  <c r="QUO6" i="20" a="1"/>
  <c r="QUO6" i="20" s="1"/>
  <c r="QUN6" i="20" a="1"/>
  <c r="QUN6" i="20" s="1"/>
  <c r="QUM6" i="20" a="1"/>
  <c r="QUM6" i="20" s="1"/>
  <c r="QUL6" i="20" a="1"/>
  <c r="QUL6" i="20" s="1"/>
  <c r="QUK6" i="20" a="1"/>
  <c r="QUK6" i="20" s="1"/>
  <c r="QUJ6" i="20"/>
  <c r="QUJ6" i="20" a="1"/>
  <c r="QUI6" i="20" a="1"/>
  <c r="QUI6" i="20" s="1"/>
  <c r="QUH6" i="20" a="1"/>
  <c r="QUH6" i="20" s="1"/>
  <c r="QUG6" i="20"/>
  <c r="QUG6" i="20" a="1"/>
  <c r="QUF6" i="20" a="1"/>
  <c r="QUF6" i="20" s="1"/>
  <c r="QUE6" i="20"/>
  <c r="QUE6" i="20" a="1"/>
  <c r="QUD6" i="20"/>
  <c r="QUD6" i="20" a="1"/>
  <c r="QUC6" i="20" a="1"/>
  <c r="QUC6" i="20" s="1"/>
  <c r="QUB6" i="20" a="1"/>
  <c r="QUB6" i="20" s="1"/>
  <c r="QUA6" i="20" a="1"/>
  <c r="QUA6" i="20" s="1"/>
  <c r="QTZ6" i="20" a="1"/>
  <c r="QTZ6" i="20" s="1"/>
  <c r="QTY6" i="20"/>
  <c r="QTY6" i="20" a="1"/>
  <c r="QTX6" i="20" a="1"/>
  <c r="QTX6" i="20" s="1"/>
  <c r="QTW6" i="20"/>
  <c r="QTW6" i="20" a="1"/>
  <c r="QTV6" i="20" a="1"/>
  <c r="QTV6" i="20" s="1"/>
  <c r="QTU6" i="20"/>
  <c r="QTU6" i="20" a="1"/>
  <c r="QTT6" i="20" a="1"/>
  <c r="QTT6" i="20" s="1"/>
  <c r="QTS6" i="20" a="1"/>
  <c r="QTS6" i="20" s="1"/>
  <c r="QTR6" i="20"/>
  <c r="QTR6" i="20" a="1"/>
  <c r="QTQ6" i="20"/>
  <c r="QTQ6" i="20" a="1"/>
  <c r="QTP6" i="20" a="1"/>
  <c r="QTP6" i="20" s="1"/>
  <c r="QTO6" i="20" a="1"/>
  <c r="QTO6" i="20" s="1"/>
  <c r="QTN6" i="20" a="1"/>
  <c r="QTN6" i="20" s="1"/>
  <c r="QTM6" i="20" a="1"/>
  <c r="QTM6" i="20" s="1"/>
  <c r="QTL6" i="20"/>
  <c r="QTL6" i="20" a="1"/>
  <c r="QTK6" i="20" a="1"/>
  <c r="QTK6" i="20" s="1"/>
  <c r="QTJ6" i="20"/>
  <c r="QTJ6" i="20" a="1"/>
  <c r="QTI6" i="20" a="1"/>
  <c r="QTI6" i="20" s="1"/>
  <c r="QTH6" i="20" a="1"/>
  <c r="QTH6" i="20" s="1"/>
  <c r="QTG6" i="20" a="1"/>
  <c r="QTG6" i="20" s="1"/>
  <c r="QTF6" i="20"/>
  <c r="QTF6" i="20" a="1"/>
  <c r="QTE6" i="20"/>
  <c r="QTE6" i="20" a="1"/>
  <c r="QTD6" i="20"/>
  <c r="QTD6" i="20" a="1"/>
  <c r="QTC6" i="20" a="1"/>
  <c r="QTC6" i="20" s="1"/>
  <c r="QTB6" i="20" a="1"/>
  <c r="QTB6" i="20" s="1"/>
  <c r="QTA6" i="20" a="1"/>
  <c r="QTA6" i="20" s="1"/>
  <c r="QSZ6" i="20" a="1"/>
  <c r="QSZ6" i="20" s="1"/>
  <c r="QSY6" i="20"/>
  <c r="QSY6" i="20" a="1"/>
  <c r="QSX6" i="20" a="1"/>
  <c r="QSX6" i="20" s="1"/>
  <c r="QSW6" i="20"/>
  <c r="QSW6" i="20" a="1"/>
  <c r="QSV6" i="20" a="1"/>
  <c r="QSV6" i="20" s="1"/>
  <c r="QSU6" i="20"/>
  <c r="QSU6" i="20" a="1"/>
  <c r="QST6" i="20" a="1"/>
  <c r="QST6" i="20" s="1"/>
  <c r="QSS6" i="20" a="1"/>
  <c r="QSS6" i="20" s="1"/>
  <c r="QSR6" i="20"/>
  <c r="QSR6" i="20" a="1"/>
  <c r="QSQ6" i="20"/>
  <c r="QSQ6" i="20" a="1"/>
  <c r="QSP6" i="20" a="1"/>
  <c r="QSP6" i="20" s="1"/>
  <c r="QSO6" i="20" a="1"/>
  <c r="QSO6" i="20" s="1"/>
  <c r="QSN6" i="20"/>
  <c r="QSN6" i="20" a="1"/>
  <c r="QSM6" i="20" a="1"/>
  <c r="QSM6" i="20" s="1"/>
  <c r="QSL6" i="20"/>
  <c r="QSL6" i="20" a="1"/>
  <c r="QSK6" i="20" a="1"/>
  <c r="QSK6" i="20" s="1"/>
  <c r="QSJ6" i="20" a="1"/>
  <c r="QSJ6" i="20" s="1"/>
  <c r="QSI6" i="20" a="1"/>
  <c r="QSI6" i="20" s="1"/>
  <c r="QSH6" i="20" a="1"/>
  <c r="QSH6" i="20" s="1"/>
  <c r="QSG6" i="20" a="1"/>
  <c r="QSG6" i="20" s="1"/>
  <c r="QSF6" i="20"/>
  <c r="QSF6" i="20" a="1"/>
  <c r="QSE6" i="20"/>
  <c r="QSE6" i="20" a="1"/>
  <c r="QSD6" i="20" a="1"/>
  <c r="QSD6" i="20" s="1"/>
  <c r="QSC6" i="20"/>
  <c r="QSC6" i="20" a="1"/>
  <c r="QSB6" i="20" a="1"/>
  <c r="QSB6" i="20" s="1"/>
  <c r="QSA6" i="20" a="1"/>
  <c r="QSA6" i="20" s="1"/>
  <c r="QRZ6" i="20" a="1"/>
  <c r="QRZ6" i="20" s="1"/>
  <c r="QRY6" i="20"/>
  <c r="QRY6" i="20" a="1"/>
  <c r="QRX6" i="20" a="1"/>
  <c r="QRX6" i="20" s="1"/>
  <c r="QRW6" i="20"/>
  <c r="QRW6" i="20" a="1"/>
  <c r="QRV6" i="20" a="1"/>
  <c r="QRV6" i="20" s="1"/>
  <c r="QRU6" i="20" a="1"/>
  <c r="QRU6" i="20" s="1"/>
  <c r="QRT6" i="20" a="1"/>
  <c r="QRT6" i="20" s="1"/>
  <c r="QRS6" i="20" a="1"/>
  <c r="QRS6" i="20" s="1"/>
  <c r="QRR6" i="20"/>
  <c r="QRR6" i="20" a="1"/>
  <c r="QRQ6" i="20"/>
  <c r="QRQ6" i="20" a="1"/>
  <c r="QRP6" i="20" a="1"/>
  <c r="QRP6" i="20" s="1"/>
  <c r="QRO6" i="20"/>
  <c r="QRO6" i="20" a="1"/>
  <c r="QRN6" i="20"/>
  <c r="QRN6" i="20" a="1"/>
  <c r="QRM6" i="20"/>
  <c r="QRM6" i="20" a="1"/>
  <c r="QRL6" i="20"/>
  <c r="QRL6" i="20" a="1"/>
  <c r="QRK6" i="20"/>
  <c r="QRK6" i="20" a="1"/>
  <c r="QRJ6" i="20" a="1"/>
  <c r="QRJ6" i="20" s="1"/>
  <c r="QRI6" i="20"/>
  <c r="QRI6" i="20" a="1"/>
  <c r="QRH6" i="20" a="1"/>
  <c r="QRH6" i="20" s="1"/>
  <c r="QRG6" i="20" a="1"/>
  <c r="QRG6" i="20" s="1"/>
  <c r="QRF6" i="20"/>
  <c r="QRF6" i="20" a="1"/>
  <c r="QRE6" i="20"/>
  <c r="QRE6" i="20" a="1"/>
  <c r="QRD6" i="20" a="1"/>
  <c r="QRD6" i="20" s="1"/>
  <c r="QRC6" i="20" a="1"/>
  <c r="QRC6" i="20" s="1"/>
  <c r="QRB6" i="20"/>
  <c r="QRB6" i="20" a="1"/>
  <c r="QRA6" i="20"/>
  <c r="QRA6" i="20" a="1"/>
  <c r="QQZ6" i="20" a="1"/>
  <c r="QQZ6" i="20" s="1"/>
  <c r="QQY6" i="20"/>
  <c r="QQY6" i="20" a="1"/>
  <c r="QQX6" i="20" a="1"/>
  <c r="QQX6" i="20" s="1"/>
  <c r="QQW6" i="20" a="1"/>
  <c r="QQW6" i="20" s="1"/>
  <c r="QQV6" i="20" a="1"/>
  <c r="QQV6" i="20" s="1"/>
  <c r="QQU6" i="20"/>
  <c r="QQU6" i="20" a="1"/>
  <c r="QQT6" i="20" a="1"/>
  <c r="QQT6" i="20" s="1"/>
  <c r="QQS6" i="20"/>
  <c r="QQS6" i="20" a="1"/>
  <c r="QQR6" i="20" a="1"/>
  <c r="QQR6" i="20" s="1"/>
  <c r="QQQ6" i="20"/>
  <c r="QQQ6" i="20" a="1"/>
  <c r="QQP6" i="20" a="1"/>
  <c r="QQP6" i="20" s="1"/>
  <c r="QQO6" i="20" a="1"/>
  <c r="QQO6" i="20" s="1"/>
  <c r="QQN6" i="20" a="1"/>
  <c r="QQN6" i="20" s="1"/>
  <c r="QQM6" i="20" a="1"/>
  <c r="QQM6" i="20" s="1"/>
  <c r="QQL6" i="20" a="1"/>
  <c r="QQL6" i="20" s="1"/>
  <c r="QQK6" i="20" a="1"/>
  <c r="QQK6" i="20" s="1"/>
  <c r="QQJ6" i="20" a="1"/>
  <c r="QQJ6" i="20" s="1"/>
  <c r="QQI6" i="20"/>
  <c r="QQI6" i="20" a="1"/>
  <c r="QQH6" i="20" a="1"/>
  <c r="QQH6" i="20" s="1"/>
  <c r="QQG6" i="20" a="1"/>
  <c r="QQG6" i="20" s="1"/>
  <c r="QQF6" i="20" a="1"/>
  <c r="QQF6" i="20" s="1"/>
  <c r="QQE6" i="20"/>
  <c r="QQE6" i="20" a="1"/>
  <c r="QQD6" i="20" a="1"/>
  <c r="QQD6" i="20" s="1"/>
  <c r="QQC6" i="20"/>
  <c r="QQC6" i="20" a="1"/>
  <c r="QQB6" i="20" a="1"/>
  <c r="QQB6" i="20" s="1"/>
  <c r="QQA6" i="20" a="1"/>
  <c r="QQA6" i="20" s="1"/>
  <c r="QPZ6" i="20" a="1"/>
  <c r="QPZ6" i="20" s="1"/>
  <c r="QPY6" i="20"/>
  <c r="QPY6" i="20" a="1"/>
  <c r="QPX6" i="20"/>
  <c r="QPX6" i="20" a="1"/>
  <c r="QPW6" i="20" a="1"/>
  <c r="QPW6" i="20" s="1"/>
  <c r="QPV6" i="20" a="1"/>
  <c r="QPV6" i="20" s="1"/>
  <c r="QPU6" i="20" a="1"/>
  <c r="QPU6" i="20" s="1"/>
  <c r="QPT6" i="20" a="1"/>
  <c r="QPT6" i="20" s="1"/>
  <c r="QPS6" i="20"/>
  <c r="QPS6" i="20" a="1"/>
  <c r="QPR6" i="20" a="1"/>
  <c r="QPR6" i="20" s="1"/>
  <c r="QPQ6" i="20" a="1"/>
  <c r="QPQ6" i="20" s="1"/>
  <c r="QPP6" i="20" a="1"/>
  <c r="QPP6" i="20" s="1"/>
  <c r="QPO6" i="20" a="1"/>
  <c r="QPO6" i="20" s="1"/>
  <c r="QPN6" i="20" a="1"/>
  <c r="QPN6" i="20" s="1"/>
  <c r="QPM6" i="20" a="1"/>
  <c r="QPM6" i="20" s="1"/>
  <c r="QPL6" i="20" a="1"/>
  <c r="QPL6" i="20" s="1"/>
  <c r="QPK6" i="20"/>
  <c r="QPK6" i="20" a="1"/>
  <c r="QPJ6" i="20" a="1"/>
  <c r="QPJ6" i="20" s="1"/>
  <c r="QPI6" i="20" a="1"/>
  <c r="QPI6" i="20" s="1"/>
  <c r="QPH6" i="20" a="1"/>
  <c r="QPH6" i="20" s="1"/>
  <c r="QPG6" i="20"/>
  <c r="QPG6" i="20" a="1"/>
  <c r="QPF6" i="20"/>
  <c r="QPF6" i="20" a="1"/>
  <c r="QPE6" i="20"/>
  <c r="QPE6" i="20" a="1"/>
  <c r="QPD6" i="20" a="1"/>
  <c r="QPD6" i="20" s="1"/>
  <c r="QPC6" i="20" a="1"/>
  <c r="QPC6" i="20" s="1"/>
  <c r="QPB6" i="20" a="1"/>
  <c r="QPB6" i="20" s="1"/>
  <c r="QPA6" i="20"/>
  <c r="QPA6" i="20" a="1"/>
  <c r="QOZ6" i="20"/>
  <c r="QOZ6" i="20" a="1"/>
  <c r="QOY6" i="20" a="1"/>
  <c r="QOY6" i="20" s="1"/>
  <c r="QOX6" i="20" a="1"/>
  <c r="QOX6" i="20" s="1"/>
  <c r="QOW6" i="20" a="1"/>
  <c r="QOW6" i="20" s="1"/>
  <c r="QOV6" i="20" a="1"/>
  <c r="QOV6" i="20" s="1"/>
  <c r="QOU6" i="20"/>
  <c r="QOU6" i="20" a="1"/>
  <c r="QOT6" i="20" a="1"/>
  <c r="QOT6" i="20" s="1"/>
  <c r="QOS6" i="20" a="1"/>
  <c r="QOS6" i="20" s="1"/>
  <c r="QOR6" i="20" a="1"/>
  <c r="QOR6" i="20" s="1"/>
  <c r="QOQ6" i="20" a="1"/>
  <c r="QOQ6" i="20" s="1"/>
  <c r="QOP6" i="20" a="1"/>
  <c r="QOP6" i="20" s="1"/>
  <c r="QOO6" i="20" a="1"/>
  <c r="QOO6" i="20" s="1"/>
  <c r="QON6" i="20" a="1"/>
  <c r="QON6" i="20" s="1"/>
  <c r="QOM6" i="20"/>
  <c r="QOM6" i="20" a="1"/>
  <c r="QOL6" i="20" a="1"/>
  <c r="QOL6" i="20" s="1"/>
  <c r="QOK6" i="20" a="1"/>
  <c r="QOK6" i="20" s="1"/>
  <c r="QOJ6" i="20" a="1"/>
  <c r="QOJ6" i="20" s="1"/>
  <c r="QOI6" i="20"/>
  <c r="QOI6" i="20" a="1"/>
  <c r="QOH6" i="20"/>
  <c r="QOH6" i="20" a="1"/>
  <c r="QOG6" i="20"/>
  <c r="QOG6" i="20" a="1"/>
  <c r="QOF6" i="20" a="1"/>
  <c r="QOF6" i="20" s="1"/>
  <c r="QOE6" i="20" a="1"/>
  <c r="QOE6" i="20" s="1"/>
  <c r="QOD6" i="20" a="1"/>
  <c r="QOD6" i="20" s="1"/>
  <c r="QOC6" i="20"/>
  <c r="QOC6" i="20" a="1"/>
  <c r="QOB6" i="20"/>
  <c r="QOB6" i="20" a="1"/>
  <c r="QOA6" i="20" a="1"/>
  <c r="QOA6" i="20" s="1"/>
  <c r="QNZ6" i="20" a="1"/>
  <c r="QNZ6" i="20" s="1"/>
  <c r="QNY6" i="20" a="1"/>
  <c r="QNY6" i="20" s="1"/>
  <c r="QNX6" i="20" a="1"/>
  <c r="QNX6" i="20" s="1"/>
  <c r="QNW6" i="20"/>
  <c r="QNW6" i="20" a="1"/>
  <c r="QNV6" i="20" a="1"/>
  <c r="QNV6" i="20" s="1"/>
  <c r="QNU6" i="20" a="1"/>
  <c r="QNU6" i="20" s="1"/>
  <c r="QNT6" i="20" a="1"/>
  <c r="QNT6" i="20" s="1"/>
  <c r="QNS6" i="20" a="1"/>
  <c r="QNS6" i="20" s="1"/>
  <c r="QNR6" i="20" a="1"/>
  <c r="QNR6" i="20" s="1"/>
  <c r="QNQ6" i="20" a="1"/>
  <c r="QNQ6" i="20" s="1"/>
  <c r="QNP6" i="20" a="1"/>
  <c r="QNP6" i="20" s="1"/>
  <c r="QNO6" i="20"/>
  <c r="QNO6" i="20" a="1"/>
  <c r="QNN6" i="20" a="1"/>
  <c r="QNN6" i="20" s="1"/>
  <c r="QNM6" i="20" a="1"/>
  <c r="QNM6" i="20" s="1"/>
  <c r="QNL6" i="20" a="1"/>
  <c r="QNL6" i="20" s="1"/>
  <c r="QNK6" i="20"/>
  <c r="QNK6" i="20" a="1"/>
  <c r="QNJ6" i="20"/>
  <c r="QNJ6" i="20" a="1"/>
  <c r="QNI6" i="20"/>
  <c r="QNI6" i="20" a="1"/>
  <c r="QNH6" i="20" a="1"/>
  <c r="QNH6" i="20" s="1"/>
  <c r="QNG6" i="20" a="1"/>
  <c r="QNG6" i="20" s="1"/>
  <c r="QNF6" i="20" a="1"/>
  <c r="QNF6" i="20" s="1"/>
  <c r="QNE6" i="20"/>
  <c r="QNE6" i="20" a="1"/>
  <c r="QND6" i="20"/>
  <c r="QND6" i="20" a="1"/>
  <c r="QNC6" i="20" a="1"/>
  <c r="QNC6" i="20" s="1"/>
  <c r="QNB6" i="20" a="1"/>
  <c r="QNB6" i="20" s="1"/>
  <c r="QNA6" i="20" a="1"/>
  <c r="QNA6" i="20" s="1"/>
  <c r="QMZ6" i="20" a="1"/>
  <c r="QMZ6" i="20" s="1"/>
  <c r="QMY6" i="20"/>
  <c r="QMY6" i="20" a="1"/>
  <c r="QMX6" i="20" a="1"/>
  <c r="QMX6" i="20" s="1"/>
  <c r="QMW6" i="20" a="1"/>
  <c r="QMW6" i="20" s="1"/>
  <c r="QMV6" i="20" a="1"/>
  <c r="QMV6" i="20" s="1"/>
  <c r="QMU6" i="20" a="1"/>
  <c r="QMU6" i="20" s="1"/>
  <c r="QMT6" i="20" a="1"/>
  <c r="QMT6" i="20" s="1"/>
  <c r="QMS6" i="20" a="1"/>
  <c r="QMS6" i="20" s="1"/>
  <c r="QMR6" i="20" a="1"/>
  <c r="QMR6" i="20" s="1"/>
  <c r="QMQ6" i="20"/>
  <c r="QMQ6" i="20" a="1"/>
  <c r="QMP6" i="20" a="1"/>
  <c r="QMP6" i="20" s="1"/>
  <c r="QMO6" i="20" a="1"/>
  <c r="QMO6" i="20" s="1"/>
  <c r="QMN6" i="20" a="1"/>
  <c r="QMN6" i="20" s="1"/>
  <c r="QMM6" i="20"/>
  <c r="QMM6" i="20" a="1"/>
  <c r="QML6" i="20"/>
  <c r="QML6" i="20" a="1"/>
  <c r="QMK6" i="20"/>
  <c r="QMK6" i="20" a="1"/>
  <c r="QMJ6" i="20" a="1"/>
  <c r="QMJ6" i="20" s="1"/>
  <c r="QMI6" i="20" a="1"/>
  <c r="QMI6" i="20" s="1"/>
  <c r="QMH6" i="20" a="1"/>
  <c r="QMH6" i="20" s="1"/>
  <c r="QMG6" i="20"/>
  <c r="QMG6" i="20" a="1"/>
  <c r="QMF6" i="20"/>
  <c r="QMF6" i="20" a="1"/>
  <c r="QME6" i="20" a="1"/>
  <c r="QME6" i="20" s="1"/>
  <c r="QMD6" i="20" a="1"/>
  <c r="QMD6" i="20" s="1"/>
  <c r="QMC6" i="20" a="1"/>
  <c r="QMC6" i="20" s="1"/>
  <c r="QMB6" i="20" a="1"/>
  <c r="QMB6" i="20" s="1"/>
  <c r="QMA6" i="20"/>
  <c r="QMA6" i="20" a="1"/>
  <c r="QLZ6" i="20" a="1"/>
  <c r="QLZ6" i="20" s="1"/>
  <c r="QLY6" i="20" a="1"/>
  <c r="QLY6" i="20" s="1"/>
  <c r="QLX6" i="20" a="1"/>
  <c r="QLX6" i="20" s="1"/>
  <c r="QLW6" i="20" a="1"/>
  <c r="QLW6" i="20" s="1"/>
  <c r="QLV6" i="20" a="1"/>
  <c r="QLV6" i="20" s="1"/>
  <c r="QLU6" i="20" a="1"/>
  <c r="QLU6" i="20" s="1"/>
  <c r="QLT6" i="20" a="1"/>
  <c r="QLT6" i="20" s="1"/>
  <c r="QLS6" i="20"/>
  <c r="QLS6" i="20" a="1"/>
  <c r="QLR6" i="20" a="1"/>
  <c r="QLR6" i="20" s="1"/>
  <c r="QLQ6" i="20" a="1"/>
  <c r="QLQ6" i="20" s="1"/>
  <c r="QLP6" i="20" a="1"/>
  <c r="QLP6" i="20" s="1"/>
  <c r="QLO6" i="20"/>
  <c r="QLO6" i="20" a="1"/>
  <c r="QLN6" i="20"/>
  <c r="QLN6" i="20" a="1"/>
  <c r="QLM6" i="20"/>
  <c r="QLM6" i="20" a="1"/>
  <c r="QLL6" i="20" a="1"/>
  <c r="QLL6" i="20" s="1"/>
  <c r="QLK6" i="20" a="1"/>
  <c r="QLK6" i="20" s="1"/>
  <c r="QLJ6" i="20" a="1"/>
  <c r="QLJ6" i="20" s="1"/>
  <c r="QLI6" i="20"/>
  <c r="QLI6" i="20" a="1"/>
  <c r="QLH6" i="20"/>
  <c r="QLH6" i="20" a="1"/>
  <c r="QLG6" i="20" a="1"/>
  <c r="QLG6" i="20" s="1"/>
  <c r="QLF6" i="20" a="1"/>
  <c r="QLF6" i="20" s="1"/>
  <c r="QLE6" i="20" a="1"/>
  <c r="QLE6" i="20" s="1"/>
  <c r="QLD6" i="20" a="1"/>
  <c r="QLD6" i="20" s="1"/>
  <c r="QLC6" i="20"/>
  <c r="QLC6" i="20" a="1"/>
  <c r="QLB6" i="20" a="1"/>
  <c r="QLB6" i="20" s="1"/>
  <c r="QLA6" i="20" a="1"/>
  <c r="QLA6" i="20" s="1"/>
  <c r="QKZ6" i="20" a="1"/>
  <c r="QKZ6" i="20" s="1"/>
  <c r="QKY6" i="20" a="1"/>
  <c r="QKY6" i="20" s="1"/>
  <c r="QKX6" i="20" a="1"/>
  <c r="QKX6" i="20" s="1"/>
  <c r="QKW6" i="20"/>
  <c r="QKW6" i="20" a="1"/>
  <c r="QKV6" i="20" a="1"/>
  <c r="QKV6" i="20" s="1"/>
  <c r="QKU6" i="20"/>
  <c r="QKU6" i="20" a="1"/>
  <c r="QKT6" i="20" a="1"/>
  <c r="QKT6" i="20" s="1"/>
  <c r="QKS6" i="20" a="1"/>
  <c r="QKS6" i="20" s="1"/>
  <c r="QKR6" i="20" a="1"/>
  <c r="QKR6" i="20" s="1"/>
  <c r="QKQ6" i="20"/>
  <c r="QKQ6" i="20" a="1"/>
  <c r="QKP6" i="20"/>
  <c r="QKP6" i="20" a="1"/>
  <c r="QKO6" i="20"/>
  <c r="QKO6" i="20" a="1"/>
  <c r="QKN6" i="20" a="1"/>
  <c r="QKN6" i="20" s="1"/>
  <c r="QKM6" i="20" a="1"/>
  <c r="QKM6" i="20" s="1"/>
  <c r="QKL6" i="20" a="1"/>
  <c r="QKL6" i="20" s="1"/>
  <c r="QKK6" i="20"/>
  <c r="QKK6" i="20" a="1"/>
  <c r="QKJ6" i="20"/>
  <c r="QKJ6" i="20" a="1"/>
  <c r="QKI6" i="20" a="1"/>
  <c r="QKI6" i="20" s="1"/>
  <c r="QKH6" i="20" a="1"/>
  <c r="QKH6" i="20" s="1"/>
  <c r="QKG6" i="20" a="1"/>
  <c r="QKG6" i="20" s="1"/>
  <c r="QKF6" i="20" a="1"/>
  <c r="QKF6" i="20" s="1"/>
  <c r="QKE6" i="20"/>
  <c r="QKE6" i="20" a="1"/>
  <c r="QKD6" i="20" a="1"/>
  <c r="QKD6" i="20" s="1"/>
  <c r="QKC6" i="20" a="1"/>
  <c r="QKC6" i="20" s="1"/>
  <c r="QKB6" i="20" a="1"/>
  <c r="QKB6" i="20" s="1"/>
  <c r="QKA6" i="20" a="1"/>
  <c r="QKA6" i="20" s="1"/>
  <c r="QJZ6" i="20" a="1"/>
  <c r="QJZ6" i="20" s="1"/>
  <c r="QJY6" i="20" a="1"/>
  <c r="QJY6" i="20" s="1"/>
  <c r="QJX6" i="20" a="1"/>
  <c r="QJX6" i="20" s="1"/>
  <c r="QJW6" i="20"/>
  <c r="QJW6" i="20" a="1"/>
  <c r="QJV6" i="20" a="1"/>
  <c r="QJV6" i="20" s="1"/>
  <c r="QJU6" i="20" a="1"/>
  <c r="QJU6" i="20" s="1"/>
  <c r="QJT6" i="20" a="1"/>
  <c r="QJT6" i="20" s="1"/>
  <c r="QJS6" i="20"/>
  <c r="QJS6" i="20" a="1"/>
  <c r="QJR6" i="20"/>
  <c r="QJR6" i="20" a="1"/>
  <c r="QJQ6" i="20"/>
  <c r="QJQ6" i="20" a="1"/>
  <c r="QJP6" i="20" a="1"/>
  <c r="QJP6" i="20" s="1"/>
  <c r="QJO6" i="20" a="1"/>
  <c r="QJO6" i="20" s="1"/>
  <c r="QJN6" i="20" a="1"/>
  <c r="QJN6" i="20" s="1"/>
  <c r="QJM6" i="20"/>
  <c r="QJM6" i="20" a="1"/>
  <c r="QJL6" i="20"/>
  <c r="QJL6" i="20" a="1"/>
  <c r="QJK6" i="20" a="1"/>
  <c r="QJK6" i="20" s="1"/>
  <c r="QJJ6" i="20" a="1"/>
  <c r="QJJ6" i="20" s="1"/>
  <c r="QJI6" i="20" a="1"/>
  <c r="QJI6" i="20" s="1"/>
  <c r="QJH6" i="20" a="1"/>
  <c r="QJH6" i="20" s="1"/>
  <c r="QJG6" i="20"/>
  <c r="QJG6" i="20" a="1"/>
  <c r="QJF6" i="20" a="1"/>
  <c r="QJF6" i="20" s="1"/>
  <c r="QJE6" i="20" a="1"/>
  <c r="QJE6" i="20" s="1"/>
  <c r="QJD6" i="20" a="1"/>
  <c r="QJD6" i="20" s="1"/>
  <c r="QJC6" i="20" a="1"/>
  <c r="QJC6" i="20" s="1"/>
  <c r="QJB6" i="20" a="1"/>
  <c r="QJB6" i="20" s="1"/>
  <c r="QJA6" i="20" a="1"/>
  <c r="QJA6" i="20" s="1"/>
  <c r="QIZ6" i="20" a="1"/>
  <c r="QIZ6" i="20" s="1"/>
  <c r="QIY6" i="20"/>
  <c r="QIY6" i="20" a="1"/>
  <c r="QIX6" i="20" a="1"/>
  <c r="QIX6" i="20" s="1"/>
  <c r="QIW6" i="20" a="1"/>
  <c r="QIW6" i="20" s="1"/>
  <c r="QIV6" i="20" a="1"/>
  <c r="QIV6" i="20" s="1"/>
  <c r="QIU6" i="20"/>
  <c r="QIU6" i="20" a="1"/>
  <c r="QIT6" i="20"/>
  <c r="QIT6" i="20" a="1"/>
  <c r="QIS6" i="20"/>
  <c r="QIS6" i="20" a="1"/>
  <c r="QIR6" i="20" a="1"/>
  <c r="QIR6" i="20" s="1"/>
  <c r="QIQ6" i="20" a="1"/>
  <c r="QIQ6" i="20" s="1"/>
  <c r="QIP6" i="20" a="1"/>
  <c r="QIP6" i="20" s="1"/>
  <c r="QIO6" i="20"/>
  <c r="QIO6" i="20" a="1"/>
  <c r="QIN6" i="20"/>
  <c r="QIN6" i="20" a="1"/>
  <c r="QIM6" i="20" a="1"/>
  <c r="QIM6" i="20" s="1"/>
  <c r="QIL6" i="20" a="1"/>
  <c r="QIL6" i="20" s="1"/>
  <c r="QIK6" i="20" a="1"/>
  <c r="QIK6" i="20" s="1"/>
  <c r="QIJ6" i="20" a="1"/>
  <c r="QIJ6" i="20" s="1"/>
  <c r="QII6" i="20"/>
  <c r="QII6" i="20" a="1"/>
  <c r="QIH6" i="20" a="1"/>
  <c r="QIH6" i="20" s="1"/>
  <c r="QIG6" i="20" a="1"/>
  <c r="QIG6" i="20" s="1"/>
  <c r="QIF6" i="20" a="1"/>
  <c r="QIF6" i="20" s="1"/>
  <c r="QIE6" i="20" a="1"/>
  <c r="QIE6" i="20" s="1"/>
  <c r="QID6" i="20" a="1"/>
  <c r="QID6" i="20" s="1"/>
  <c r="QIC6" i="20"/>
  <c r="QIC6" i="20" a="1"/>
  <c r="QIB6" i="20" a="1"/>
  <c r="QIB6" i="20" s="1"/>
  <c r="QIA6" i="20"/>
  <c r="QIA6" i="20" a="1"/>
  <c r="QHZ6" i="20" a="1"/>
  <c r="QHZ6" i="20" s="1"/>
  <c r="QHY6" i="20" a="1"/>
  <c r="QHY6" i="20" s="1"/>
  <c r="QHX6" i="20" a="1"/>
  <c r="QHX6" i="20" s="1"/>
  <c r="QHW6" i="20"/>
  <c r="QHW6" i="20" a="1"/>
  <c r="QHV6" i="20" a="1"/>
  <c r="QHV6" i="20" s="1"/>
  <c r="QHU6" i="20"/>
  <c r="QHU6" i="20" a="1"/>
  <c r="QHT6" i="20" a="1"/>
  <c r="QHT6" i="20" s="1"/>
  <c r="QHS6" i="20" a="1"/>
  <c r="QHS6" i="20" s="1"/>
  <c r="QHR6" i="20" a="1"/>
  <c r="QHR6" i="20" s="1"/>
  <c r="QHQ6" i="20"/>
  <c r="QHQ6" i="20" a="1"/>
  <c r="QHP6" i="20"/>
  <c r="QHP6" i="20" a="1"/>
  <c r="QHO6" i="20" a="1"/>
  <c r="QHO6" i="20" s="1"/>
  <c r="QHN6" i="20" a="1"/>
  <c r="QHN6" i="20" s="1"/>
  <c r="QHM6" i="20" a="1"/>
  <c r="QHM6" i="20" s="1"/>
  <c r="QHL6" i="20" a="1"/>
  <c r="QHL6" i="20" s="1"/>
  <c r="QHK6" i="20"/>
  <c r="QHK6" i="20" a="1"/>
  <c r="QHJ6" i="20" a="1"/>
  <c r="QHJ6" i="20" s="1"/>
  <c r="QHI6" i="20" a="1"/>
  <c r="QHI6" i="20" s="1"/>
  <c r="QHH6" i="20" a="1"/>
  <c r="QHH6" i="20" s="1"/>
  <c r="QHG6" i="20" a="1"/>
  <c r="QHG6" i="20" s="1"/>
  <c r="QHF6" i="20" a="1"/>
  <c r="QHF6" i="20" s="1"/>
  <c r="QHE6" i="20" a="1"/>
  <c r="QHE6" i="20" s="1"/>
  <c r="QHD6" i="20" a="1"/>
  <c r="QHD6" i="20" s="1"/>
  <c r="QHC6" i="20"/>
  <c r="QHC6" i="20" a="1"/>
  <c r="QHB6" i="20" a="1"/>
  <c r="QHB6" i="20" s="1"/>
  <c r="QHA6" i="20" a="1"/>
  <c r="QHA6" i="20" s="1"/>
  <c r="QGZ6" i="20" a="1"/>
  <c r="QGZ6" i="20" s="1"/>
  <c r="QGY6" i="20"/>
  <c r="QGY6" i="20" a="1"/>
  <c r="QGX6" i="20" a="1"/>
  <c r="QGX6" i="20" s="1"/>
  <c r="QGW6" i="20"/>
  <c r="QGW6" i="20" a="1"/>
  <c r="QGV6" i="20" a="1"/>
  <c r="QGV6" i="20" s="1"/>
  <c r="QGU6" i="20" a="1"/>
  <c r="QGU6" i="20" s="1"/>
  <c r="QGT6" i="20" a="1"/>
  <c r="QGT6" i="20" s="1"/>
  <c r="QGS6" i="20"/>
  <c r="QGS6" i="20" a="1"/>
  <c r="QGR6" i="20"/>
  <c r="QGR6" i="20" a="1"/>
  <c r="QGQ6" i="20" a="1"/>
  <c r="QGQ6" i="20" s="1"/>
  <c r="QGP6" i="20" a="1"/>
  <c r="QGP6" i="20" s="1"/>
  <c r="QGO6" i="20" a="1"/>
  <c r="QGO6" i="20" s="1"/>
  <c r="QGN6" i="20" a="1"/>
  <c r="QGN6" i="20" s="1"/>
  <c r="QGM6" i="20"/>
  <c r="QGM6" i="20" a="1"/>
  <c r="QGL6" i="20" a="1"/>
  <c r="QGL6" i="20" s="1"/>
  <c r="QGK6" i="20" a="1"/>
  <c r="QGK6" i="20" s="1"/>
  <c r="QGJ6" i="20" a="1"/>
  <c r="QGJ6" i="20" s="1"/>
  <c r="QGI6" i="20" a="1"/>
  <c r="QGI6" i="20" s="1"/>
  <c r="QGH6" i="20" a="1"/>
  <c r="QGH6" i="20" s="1"/>
  <c r="QGG6" i="20" a="1"/>
  <c r="QGG6" i="20" s="1"/>
  <c r="QGF6" i="20" a="1"/>
  <c r="QGF6" i="20" s="1"/>
  <c r="QGE6" i="20"/>
  <c r="QGE6" i="20" a="1"/>
  <c r="QGD6" i="20" a="1"/>
  <c r="QGD6" i="20" s="1"/>
  <c r="QGC6" i="20" a="1"/>
  <c r="QGC6" i="20" s="1"/>
  <c r="QGB6" i="20" a="1"/>
  <c r="QGB6" i="20" s="1"/>
  <c r="QGA6" i="20"/>
  <c r="QGA6" i="20" a="1"/>
  <c r="QFZ6" i="20"/>
  <c r="QFZ6" i="20" a="1"/>
  <c r="QFY6" i="20"/>
  <c r="QFY6" i="20" a="1"/>
  <c r="QFX6" i="20" a="1"/>
  <c r="QFX6" i="20" s="1"/>
  <c r="QFW6" i="20" a="1"/>
  <c r="QFW6" i="20" s="1"/>
  <c r="QFV6" i="20" a="1"/>
  <c r="QFV6" i="20" s="1"/>
  <c r="QFU6" i="20"/>
  <c r="QFU6" i="20" a="1"/>
  <c r="QFT6" i="20"/>
  <c r="QFT6" i="20" a="1"/>
  <c r="QFS6" i="20" a="1"/>
  <c r="QFS6" i="20" s="1"/>
  <c r="QFR6" i="20" a="1"/>
  <c r="QFR6" i="20" s="1"/>
  <c r="QFQ6" i="20" a="1"/>
  <c r="QFQ6" i="20" s="1"/>
  <c r="QFP6" i="20" a="1"/>
  <c r="QFP6" i="20" s="1"/>
  <c r="QFO6" i="20"/>
  <c r="QFO6" i="20" a="1"/>
  <c r="QFN6" i="20" a="1"/>
  <c r="QFN6" i="20" s="1"/>
  <c r="QFM6" i="20" a="1"/>
  <c r="QFM6" i="20" s="1"/>
  <c r="QFL6" i="20" a="1"/>
  <c r="QFL6" i="20" s="1"/>
  <c r="QFK6" i="20" a="1"/>
  <c r="QFK6" i="20" s="1"/>
  <c r="QFJ6" i="20" a="1"/>
  <c r="QFJ6" i="20" s="1"/>
  <c r="QFI6" i="20"/>
  <c r="QFI6" i="20" a="1"/>
  <c r="QFH6" i="20" a="1"/>
  <c r="QFH6" i="20" s="1"/>
  <c r="QFG6" i="20"/>
  <c r="QFG6" i="20" a="1"/>
  <c r="QFF6" i="20" a="1"/>
  <c r="QFF6" i="20" s="1"/>
  <c r="QFE6" i="20" a="1"/>
  <c r="QFE6" i="20" s="1"/>
  <c r="QFD6" i="20" a="1"/>
  <c r="QFD6" i="20" s="1"/>
  <c r="QFC6" i="20"/>
  <c r="QFC6" i="20" a="1"/>
  <c r="QFB6" i="20" a="1"/>
  <c r="QFB6" i="20" s="1"/>
  <c r="QFA6" i="20"/>
  <c r="QFA6" i="20" a="1"/>
  <c r="QEZ6" i="20" a="1"/>
  <c r="QEZ6" i="20" s="1"/>
  <c r="QEY6" i="20" a="1"/>
  <c r="QEY6" i="20" s="1"/>
  <c r="QEX6" i="20" a="1"/>
  <c r="QEX6" i="20" s="1"/>
  <c r="QEW6" i="20"/>
  <c r="QEW6" i="20" a="1"/>
  <c r="QEV6" i="20"/>
  <c r="QEV6" i="20" a="1"/>
  <c r="QEU6" i="20" a="1"/>
  <c r="QEU6" i="20" s="1"/>
  <c r="QET6" i="20" a="1"/>
  <c r="QET6" i="20" s="1"/>
  <c r="QES6" i="20" a="1"/>
  <c r="QES6" i="20" s="1"/>
  <c r="QER6" i="20" a="1"/>
  <c r="QER6" i="20" s="1"/>
  <c r="QEQ6" i="20"/>
  <c r="QEQ6" i="20" a="1"/>
  <c r="QEP6" i="20" a="1"/>
  <c r="QEP6" i="20" s="1"/>
  <c r="QEO6" i="20" a="1"/>
  <c r="QEO6" i="20" s="1"/>
  <c r="QEN6" i="20" a="1"/>
  <c r="QEN6" i="20" s="1"/>
  <c r="QEM6" i="20" a="1"/>
  <c r="QEM6" i="20" s="1"/>
  <c r="QEL6" i="20" a="1"/>
  <c r="QEL6" i="20" s="1"/>
  <c r="QEK6" i="20" a="1"/>
  <c r="QEK6" i="20" s="1"/>
  <c r="QEJ6" i="20" a="1"/>
  <c r="QEJ6" i="20" s="1"/>
  <c r="QEI6" i="20"/>
  <c r="QEI6" i="20" a="1"/>
  <c r="QEH6" i="20" a="1"/>
  <c r="QEH6" i="20" s="1"/>
  <c r="QEG6" i="20" a="1"/>
  <c r="QEG6" i="20" s="1"/>
  <c r="QEF6" i="20" a="1"/>
  <c r="QEF6" i="20" s="1"/>
  <c r="QEE6" i="20"/>
  <c r="QEE6" i="20" a="1"/>
  <c r="QED6" i="20" a="1"/>
  <c r="QED6" i="20" s="1"/>
  <c r="QEC6" i="20"/>
  <c r="QEC6" i="20" a="1"/>
  <c r="QEB6" i="20" a="1"/>
  <c r="QEB6" i="20" s="1"/>
  <c r="QEA6" i="20" a="1"/>
  <c r="QEA6" i="20" s="1"/>
  <c r="QDZ6" i="20" a="1"/>
  <c r="QDZ6" i="20" s="1"/>
  <c r="QDY6" i="20"/>
  <c r="QDY6" i="20" a="1"/>
  <c r="QDX6" i="20"/>
  <c r="QDX6" i="20" a="1"/>
  <c r="QDW6" i="20" a="1"/>
  <c r="QDW6" i="20" s="1"/>
  <c r="QDV6" i="20" a="1"/>
  <c r="QDV6" i="20" s="1"/>
  <c r="QDU6" i="20" a="1"/>
  <c r="QDU6" i="20" s="1"/>
  <c r="QDT6" i="20" a="1"/>
  <c r="QDT6" i="20" s="1"/>
  <c r="QDS6" i="20"/>
  <c r="QDS6" i="20" a="1"/>
  <c r="QDR6" i="20" a="1"/>
  <c r="QDR6" i="20" s="1"/>
  <c r="QDQ6" i="20" a="1"/>
  <c r="QDQ6" i="20" s="1"/>
  <c r="QDP6" i="20" a="1"/>
  <c r="QDP6" i="20" s="1"/>
  <c r="QDO6" i="20" a="1"/>
  <c r="QDO6" i="20" s="1"/>
  <c r="QDN6" i="20" a="1"/>
  <c r="QDN6" i="20" s="1"/>
  <c r="QDM6" i="20" a="1"/>
  <c r="QDM6" i="20" s="1"/>
  <c r="QDL6" i="20" a="1"/>
  <c r="QDL6" i="20" s="1"/>
  <c r="QDK6" i="20"/>
  <c r="QDK6" i="20" a="1"/>
  <c r="QDJ6" i="20" a="1"/>
  <c r="QDJ6" i="20" s="1"/>
  <c r="QDI6" i="20" a="1"/>
  <c r="QDI6" i="20" s="1"/>
  <c r="QDH6" i="20" a="1"/>
  <c r="QDH6" i="20" s="1"/>
  <c r="QDG6" i="20"/>
  <c r="QDG6" i="20" a="1"/>
  <c r="QDF6" i="20"/>
  <c r="QDF6" i="20" a="1"/>
  <c r="QDE6" i="20"/>
  <c r="QDE6" i="20" a="1"/>
  <c r="QDD6" i="20" a="1"/>
  <c r="QDD6" i="20" s="1"/>
  <c r="QDC6" i="20" a="1"/>
  <c r="QDC6" i="20" s="1"/>
  <c r="QDB6" i="20" a="1"/>
  <c r="QDB6" i="20" s="1"/>
  <c r="QDA6" i="20"/>
  <c r="QDA6" i="20" a="1"/>
  <c r="QCZ6" i="20"/>
  <c r="QCZ6" i="20" a="1"/>
  <c r="QCY6" i="20" a="1"/>
  <c r="QCY6" i="20" s="1"/>
  <c r="QCX6" i="20" a="1"/>
  <c r="QCX6" i="20" s="1"/>
  <c r="QCW6" i="20" a="1"/>
  <c r="QCW6" i="20" s="1"/>
  <c r="QCV6" i="20" a="1"/>
  <c r="QCV6" i="20" s="1"/>
  <c r="QCU6" i="20"/>
  <c r="QCU6" i="20" a="1"/>
  <c r="QCT6" i="20" a="1"/>
  <c r="QCT6" i="20" s="1"/>
  <c r="QCS6" i="20" a="1"/>
  <c r="QCS6" i="20" s="1"/>
  <c r="QCR6" i="20" a="1"/>
  <c r="QCR6" i="20" s="1"/>
  <c r="QCQ6" i="20" a="1"/>
  <c r="QCQ6" i="20" s="1"/>
  <c r="QCP6" i="20" a="1"/>
  <c r="QCP6" i="20" s="1"/>
  <c r="QCO6" i="20"/>
  <c r="QCO6" i="20" a="1"/>
  <c r="QCN6" i="20" a="1"/>
  <c r="QCN6" i="20" s="1"/>
  <c r="QCM6" i="20"/>
  <c r="QCM6" i="20" a="1"/>
  <c r="QCL6" i="20" a="1"/>
  <c r="QCL6" i="20" s="1"/>
  <c r="QCK6" i="20" a="1"/>
  <c r="QCK6" i="20" s="1"/>
  <c r="QCJ6" i="20" a="1"/>
  <c r="QCJ6" i="20" s="1"/>
  <c r="QCI6" i="20"/>
  <c r="QCI6" i="20" a="1"/>
  <c r="QCH6" i="20" a="1"/>
  <c r="QCH6" i="20" s="1"/>
  <c r="QCG6" i="20"/>
  <c r="QCG6" i="20" a="1"/>
  <c r="QCF6" i="20" a="1"/>
  <c r="QCF6" i="20" s="1"/>
  <c r="QCE6" i="20" a="1"/>
  <c r="QCE6" i="20" s="1"/>
  <c r="QCD6" i="20" a="1"/>
  <c r="QCD6" i="20" s="1"/>
  <c r="QCC6" i="20"/>
  <c r="QCC6" i="20" a="1"/>
  <c r="QCB6" i="20"/>
  <c r="QCB6" i="20" a="1"/>
  <c r="QCA6" i="20" a="1"/>
  <c r="QCA6" i="20" s="1"/>
  <c r="QBZ6" i="20" a="1"/>
  <c r="QBZ6" i="20" s="1"/>
  <c r="QBY6" i="20" a="1"/>
  <c r="QBY6" i="20" s="1"/>
  <c r="QBX6" i="20" a="1"/>
  <c r="QBX6" i="20" s="1"/>
  <c r="QBW6" i="20"/>
  <c r="QBW6" i="20" a="1"/>
  <c r="QBV6" i="20" a="1"/>
  <c r="QBV6" i="20" s="1"/>
  <c r="QBU6" i="20" a="1"/>
  <c r="QBU6" i="20" s="1"/>
  <c r="QBT6" i="20" a="1"/>
  <c r="QBT6" i="20" s="1"/>
  <c r="QBS6" i="20" a="1"/>
  <c r="QBS6" i="20" s="1"/>
  <c r="QBR6" i="20" a="1"/>
  <c r="QBR6" i="20" s="1"/>
  <c r="QBQ6" i="20" a="1"/>
  <c r="QBQ6" i="20" s="1"/>
  <c r="QBP6" i="20" a="1"/>
  <c r="QBP6" i="20" s="1"/>
  <c r="QBO6" i="20"/>
  <c r="QBO6" i="20" a="1"/>
  <c r="QBN6" i="20" a="1"/>
  <c r="QBN6" i="20" s="1"/>
  <c r="QBM6" i="20" a="1"/>
  <c r="QBM6" i="20" s="1"/>
  <c r="QBL6" i="20" a="1"/>
  <c r="QBL6" i="20" s="1"/>
  <c r="QBK6" i="20"/>
  <c r="QBK6" i="20" a="1"/>
  <c r="QBJ6" i="20" a="1"/>
  <c r="QBJ6" i="20" s="1"/>
  <c r="QBI6" i="20"/>
  <c r="QBI6" i="20" a="1"/>
  <c r="QBH6" i="20" a="1"/>
  <c r="QBH6" i="20" s="1"/>
  <c r="QBG6" i="20" a="1"/>
  <c r="QBG6" i="20" s="1"/>
  <c r="QBF6" i="20" a="1"/>
  <c r="QBF6" i="20" s="1"/>
  <c r="QBE6" i="20"/>
  <c r="QBE6" i="20" a="1"/>
  <c r="QBD6" i="20"/>
  <c r="QBD6" i="20" a="1"/>
  <c r="QBC6" i="20" a="1"/>
  <c r="QBC6" i="20" s="1"/>
  <c r="QBB6" i="20" a="1"/>
  <c r="QBB6" i="20" s="1"/>
  <c r="QBA6" i="20" a="1"/>
  <c r="QBA6" i="20" s="1"/>
  <c r="QAZ6" i="20" a="1"/>
  <c r="QAZ6" i="20" s="1"/>
  <c r="QAY6" i="20"/>
  <c r="QAY6" i="20" a="1"/>
  <c r="QAX6" i="20" a="1"/>
  <c r="QAX6" i="20" s="1"/>
  <c r="QAW6" i="20" a="1"/>
  <c r="QAW6" i="20" s="1"/>
  <c r="QAV6" i="20" a="1"/>
  <c r="QAV6" i="20" s="1"/>
  <c r="QAU6" i="20" a="1"/>
  <c r="QAU6" i="20" s="1"/>
  <c r="QAT6" i="20" a="1"/>
  <c r="QAT6" i="20" s="1"/>
  <c r="QAS6" i="20" a="1"/>
  <c r="QAS6" i="20" s="1"/>
  <c r="QAR6" i="20" a="1"/>
  <c r="QAR6" i="20" s="1"/>
  <c r="QAQ6" i="20"/>
  <c r="QAQ6" i="20" a="1"/>
  <c r="QAP6" i="20" a="1"/>
  <c r="QAP6" i="20" s="1"/>
  <c r="QAO6" i="20" a="1"/>
  <c r="QAO6" i="20" s="1"/>
  <c r="QAN6" i="20" a="1"/>
  <c r="QAN6" i="20" s="1"/>
  <c r="QAM6" i="20"/>
  <c r="QAM6" i="20" a="1"/>
  <c r="QAL6" i="20"/>
  <c r="QAL6" i="20" a="1"/>
  <c r="QAK6" i="20"/>
  <c r="QAK6" i="20" a="1"/>
  <c r="QAJ6" i="20" a="1"/>
  <c r="QAJ6" i="20" s="1"/>
  <c r="QAI6" i="20" a="1"/>
  <c r="QAI6" i="20" s="1"/>
  <c r="QAH6" i="20" a="1"/>
  <c r="QAH6" i="20" s="1"/>
  <c r="QAG6" i="20"/>
  <c r="QAG6" i="20" a="1"/>
  <c r="QAF6" i="20" a="1"/>
  <c r="QAF6" i="20" s="1"/>
  <c r="QAE6" i="20" a="1"/>
  <c r="QAE6" i="20" s="1"/>
  <c r="QAD6" i="20" a="1"/>
  <c r="QAD6" i="20" s="1"/>
  <c r="QAC6" i="20" a="1"/>
  <c r="QAC6" i="20" s="1"/>
  <c r="QAB6" i="20" a="1"/>
  <c r="QAB6" i="20" s="1"/>
  <c r="QAA6" i="20"/>
  <c r="QAA6" i="20" a="1"/>
  <c r="PZZ6" i="20" a="1"/>
  <c r="PZZ6" i="20" s="1"/>
  <c r="PZY6" i="20" a="1"/>
  <c r="PZY6" i="20" s="1"/>
  <c r="PZX6" i="20" a="1"/>
  <c r="PZX6" i="20" s="1"/>
  <c r="PZW6" i="20" a="1"/>
  <c r="PZW6" i="20" s="1"/>
  <c r="PZV6" i="20" a="1"/>
  <c r="PZV6" i="20" s="1"/>
  <c r="PZU6" i="20" a="1"/>
  <c r="PZU6" i="20" s="1"/>
  <c r="PZT6" i="20" a="1"/>
  <c r="PZT6" i="20" s="1"/>
  <c r="PZS6" i="20"/>
  <c r="PZS6" i="20" a="1"/>
  <c r="PZR6" i="20" a="1"/>
  <c r="PZR6" i="20" s="1"/>
  <c r="PZQ6" i="20" a="1"/>
  <c r="PZQ6" i="20" s="1"/>
  <c r="PZP6" i="20" a="1"/>
  <c r="PZP6" i="20" s="1"/>
  <c r="PZO6" i="20"/>
  <c r="PZO6" i="20" a="1"/>
  <c r="PZN6" i="20" a="1"/>
  <c r="PZN6" i="20" s="1"/>
  <c r="PZM6" i="20"/>
  <c r="PZM6" i="20" a="1"/>
  <c r="PZL6" i="20" a="1"/>
  <c r="PZL6" i="20" s="1"/>
  <c r="PZK6" i="20" a="1"/>
  <c r="PZK6" i="20" s="1"/>
  <c r="PZJ6" i="20" a="1"/>
  <c r="PZJ6" i="20" s="1"/>
  <c r="PZI6" i="20"/>
  <c r="PZI6" i="20" a="1"/>
  <c r="PZH6" i="20" a="1"/>
  <c r="PZH6" i="20" s="1"/>
  <c r="PZG6" i="20" a="1"/>
  <c r="PZG6" i="20" s="1"/>
  <c r="PZF6" i="20" a="1"/>
  <c r="PZF6" i="20" s="1"/>
  <c r="PZE6" i="20" a="1"/>
  <c r="PZE6" i="20" s="1"/>
  <c r="PZD6" i="20" a="1"/>
  <c r="PZD6" i="20" s="1"/>
  <c r="PZC6" i="20"/>
  <c r="PZC6" i="20" a="1"/>
  <c r="PZB6" i="20" a="1"/>
  <c r="PZB6" i="20" s="1"/>
  <c r="PZA6" i="20" a="1"/>
  <c r="PZA6" i="20" s="1"/>
  <c r="PYZ6" i="20" a="1"/>
  <c r="PYZ6" i="20" s="1"/>
  <c r="PYY6" i="20" a="1"/>
  <c r="PYY6" i="20" s="1"/>
  <c r="PYX6" i="20" a="1"/>
  <c r="PYX6" i="20" s="1"/>
  <c r="PYW6" i="20" a="1"/>
  <c r="PYW6" i="20" s="1"/>
  <c r="PYV6" i="20" a="1"/>
  <c r="PYV6" i="20" s="1"/>
  <c r="PYU6" i="20"/>
  <c r="PYU6" i="20" a="1"/>
  <c r="PYT6" i="20"/>
  <c r="PYT6" i="20" a="1"/>
  <c r="PYS6" i="20" a="1"/>
  <c r="PYS6" i="20" s="1"/>
  <c r="PYR6" i="20" a="1"/>
  <c r="PYR6" i="20" s="1"/>
  <c r="PYQ6" i="20"/>
  <c r="PYQ6" i="20" a="1"/>
  <c r="PYP6" i="20"/>
  <c r="PYP6" i="20" a="1"/>
  <c r="PYO6" i="20" a="1"/>
  <c r="PYO6" i="20" s="1"/>
  <c r="PYN6" i="20"/>
  <c r="PYN6" i="20" a="1"/>
  <c r="PYM6" i="20"/>
  <c r="PYM6" i="20" a="1"/>
  <c r="PYL6" i="20" a="1"/>
  <c r="PYL6" i="20" s="1"/>
  <c r="PYK6" i="20"/>
  <c r="PYK6" i="20" a="1"/>
  <c r="PYJ6" i="20"/>
  <c r="PYJ6" i="20" a="1"/>
  <c r="PYI6" i="20"/>
  <c r="PYI6" i="20" a="1"/>
  <c r="PYH6" i="20" a="1"/>
  <c r="PYH6" i="20" s="1"/>
  <c r="PYG6" i="20" a="1"/>
  <c r="PYG6" i="20" s="1"/>
  <c r="PYF6" i="20" a="1"/>
  <c r="PYF6" i="20" s="1"/>
  <c r="PYE6" i="20" a="1"/>
  <c r="PYE6" i="20" s="1"/>
  <c r="PYD6" i="20" a="1"/>
  <c r="PYD6" i="20" s="1"/>
  <c r="PYC6" i="20" a="1"/>
  <c r="PYC6" i="20" s="1"/>
  <c r="PYB6" i="20" a="1"/>
  <c r="PYB6" i="20" s="1"/>
  <c r="PYA6" i="20" a="1"/>
  <c r="PYA6" i="20" s="1"/>
  <c r="PXZ6" i="20" a="1"/>
  <c r="PXZ6" i="20" s="1"/>
  <c r="PXY6" i="20"/>
  <c r="PXY6" i="20" a="1"/>
  <c r="PXX6" i="20" a="1"/>
  <c r="PXX6" i="20" s="1"/>
  <c r="PXW6" i="20" a="1"/>
  <c r="PXW6" i="20" s="1"/>
  <c r="PXV6" i="20"/>
  <c r="PXV6" i="20" a="1"/>
  <c r="PXU6" i="20" a="1"/>
  <c r="PXU6" i="20" s="1"/>
  <c r="PXT6" i="20" a="1"/>
  <c r="PXT6" i="20" s="1"/>
  <c r="PXS6" i="20" a="1"/>
  <c r="PXS6" i="20" s="1"/>
  <c r="PXR6" i="20"/>
  <c r="PXR6" i="20" a="1"/>
  <c r="PXQ6" i="20"/>
  <c r="PXQ6" i="20" a="1"/>
  <c r="PXP6" i="20"/>
  <c r="PXP6" i="20" a="1"/>
  <c r="PXO6" i="20" a="1"/>
  <c r="PXO6" i="20" s="1"/>
  <c r="PXN6" i="20" a="1"/>
  <c r="PXN6" i="20" s="1"/>
  <c r="PXM6" i="20" a="1"/>
  <c r="PXM6" i="20" s="1"/>
  <c r="PXL6" i="20" a="1"/>
  <c r="PXL6" i="20" s="1"/>
  <c r="PXK6" i="20"/>
  <c r="PXK6" i="20" a="1"/>
  <c r="PXJ6" i="20"/>
  <c r="PXJ6" i="20" a="1"/>
  <c r="PXI6" i="20"/>
  <c r="PXI6" i="20" a="1"/>
  <c r="PXH6" i="20" a="1"/>
  <c r="PXH6" i="20" s="1"/>
  <c r="PXG6" i="20" a="1"/>
  <c r="PXG6" i="20" s="1"/>
  <c r="PXF6" i="20"/>
  <c r="PXF6" i="20" a="1"/>
  <c r="PXE6" i="20"/>
  <c r="PXE6" i="20" a="1"/>
  <c r="PXD6" i="20" a="1"/>
  <c r="PXD6" i="20" s="1"/>
  <c r="PXC6" i="20" a="1"/>
  <c r="PXC6" i="20" s="1"/>
  <c r="PXB6" i="20" a="1"/>
  <c r="PXB6" i="20" s="1"/>
  <c r="PXA6" i="20"/>
  <c r="PXA6" i="20" a="1"/>
  <c r="PWZ6" i="20" a="1"/>
  <c r="PWZ6" i="20" s="1"/>
  <c r="PWY6" i="20" a="1"/>
  <c r="PWY6" i="20" s="1"/>
  <c r="PWX6" i="20"/>
  <c r="PWX6" i="20" a="1"/>
  <c r="PWW6" i="20"/>
  <c r="PWW6" i="20" a="1"/>
  <c r="PWV6" i="20" a="1"/>
  <c r="PWV6" i="20" s="1"/>
  <c r="PWU6" i="20" a="1"/>
  <c r="PWU6" i="20" s="1"/>
  <c r="PWT6" i="20"/>
  <c r="PWT6" i="20" a="1"/>
  <c r="PWS6" i="20" a="1"/>
  <c r="PWS6" i="20" s="1"/>
  <c r="PWR6" i="20" a="1"/>
  <c r="PWR6" i="20" s="1"/>
  <c r="PWQ6" i="20"/>
  <c r="PWQ6" i="20" a="1"/>
  <c r="PWP6" i="20" a="1"/>
  <c r="PWP6" i="20" s="1"/>
  <c r="PWO6" i="20"/>
  <c r="PWO6" i="20" a="1"/>
  <c r="PWN6" i="20" a="1"/>
  <c r="PWN6" i="20" s="1"/>
  <c r="PWM6" i="20" a="1"/>
  <c r="PWM6" i="20" s="1"/>
  <c r="PWL6" i="20"/>
  <c r="PWL6" i="20" a="1"/>
  <c r="PWK6" i="20"/>
  <c r="PWK6" i="20" a="1"/>
  <c r="PWJ6" i="20" a="1"/>
  <c r="PWJ6" i="20" s="1"/>
  <c r="PWI6" i="20"/>
  <c r="PWI6" i="20" a="1"/>
  <c r="PWH6" i="20" a="1"/>
  <c r="PWH6" i="20" s="1"/>
  <c r="PWG6" i="20" a="1"/>
  <c r="PWG6" i="20" s="1"/>
  <c r="PWF6" i="20" a="1"/>
  <c r="PWF6" i="20" s="1"/>
  <c r="PWE6" i="20"/>
  <c r="PWE6" i="20" a="1"/>
  <c r="PWD6" i="20" a="1"/>
  <c r="PWD6" i="20" s="1"/>
  <c r="PWC6" i="20"/>
  <c r="PWC6" i="20" a="1"/>
  <c r="PWB6" i="20"/>
  <c r="PWB6" i="20" a="1"/>
  <c r="PWA6" i="20"/>
  <c r="PWA6" i="20" a="1"/>
  <c r="PVZ6" i="20"/>
  <c r="PVZ6" i="20" a="1"/>
  <c r="PVY6" i="20" a="1"/>
  <c r="PVY6" i="20" s="1"/>
  <c r="PVX6" i="20" a="1"/>
  <c r="PVX6" i="20" s="1"/>
  <c r="PVW6" i="20"/>
  <c r="PVW6" i="20" a="1"/>
  <c r="PVV6" i="20" a="1"/>
  <c r="PVV6" i="20" s="1"/>
  <c r="PVU6" i="20" a="1"/>
  <c r="PVU6" i="20" s="1"/>
  <c r="PVT6" i="20"/>
  <c r="PVT6" i="20" a="1"/>
  <c r="PVS6" i="20"/>
  <c r="PVS6" i="20" a="1"/>
  <c r="PVR6" i="20" a="1"/>
  <c r="PVR6" i="20" s="1"/>
  <c r="PVQ6" i="20"/>
  <c r="PVQ6" i="20" a="1"/>
  <c r="PVP6" i="20"/>
  <c r="PVP6" i="20" a="1"/>
  <c r="PVO6" i="20"/>
  <c r="PVO6" i="20" a="1"/>
  <c r="PVN6" i="20" a="1"/>
  <c r="PVN6" i="20" s="1"/>
  <c r="PVM6" i="20" a="1"/>
  <c r="PVM6" i="20" s="1"/>
  <c r="PVL6" i="20" a="1"/>
  <c r="PVL6" i="20" s="1"/>
  <c r="PVK6" i="20" a="1"/>
  <c r="PVK6" i="20" s="1"/>
  <c r="PVJ6" i="20" a="1"/>
  <c r="PVJ6" i="20" s="1"/>
  <c r="PVI6" i="20"/>
  <c r="PVI6" i="20" a="1"/>
  <c r="PVH6" i="20" a="1"/>
  <c r="PVH6" i="20" s="1"/>
  <c r="PVG6" i="20" a="1"/>
  <c r="PVG6" i="20" s="1"/>
  <c r="PVF6" i="20" a="1"/>
  <c r="PVF6" i="20" s="1"/>
  <c r="PVE6" i="20"/>
  <c r="PVE6" i="20" a="1"/>
  <c r="PVD6" i="20" a="1"/>
  <c r="PVD6" i="20" s="1"/>
  <c r="PVC6" i="20" a="1"/>
  <c r="PVC6" i="20" s="1"/>
  <c r="PVB6" i="20"/>
  <c r="PVB6" i="20" a="1"/>
  <c r="PVA6" i="20"/>
  <c r="PVA6" i="20" a="1"/>
  <c r="PUZ6" i="20" a="1"/>
  <c r="PUZ6" i="20" s="1"/>
  <c r="PUY6" i="20" a="1"/>
  <c r="PUY6" i="20" s="1"/>
  <c r="PUX6" i="20" a="1"/>
  <c r="PUX6" i="20" s="1"/>
  <c r="PUW6" i="20"/>
  <c r="PUW6" i="20" a="1"/>
  <c r="PUV6" i="20"/>
  <c r="PUV6" i="20" a="1"/>
  <c r="PUU6" i="20" a="1"/>
  <c r="PUU6" i="20" s="1"/>
  <c r="PUT6" i="20" a="1"/>
  <c r="PUT6" i="20" s="1"/>
  <c r="PUS6" i="20" a="1"/>
  <c r="PUS6" i="20" s="1"/>
  <c r="PUR6" i="20" a="1"/>
  <c r="PUR6" i="20" s="1"/>
  <c r="PUQ6" i="20" a="1"/>
  <c r="PUQ6" i="20" s="1"/>
  <c r="PUP6" i="20"/>
  <c r="PUP6" i="20" a="1"/>
  <c r="PUO6" i="20"/>
  <c r="PUO6" i="20" a="1"/>
  <c r="PUN6" i="20" a="1"/>
  <c r="PUN6" i="20" s="1"/>
  <c r="PUM6" i="20"/>
  <c r="PUM6" i="20" a="1"/>
  <c r="PUL6" i="20"/>
  <c r="PUL6" i="20" a="1"/>
  <c r="PUK6" i="20"/>
  <c r="PUK6" i="20" a="1"/>
  <c r="PUJ6" i="20" a="1"/>
  <c r="PUJ6" i="20" s="1"/>
  <c r="PUI6" i="20" a="1"/>
  <c r="PUI6" i="20" s="1"/>
  <c r="PUH6" i="20" a="1"/>
  <c r="PUH6" i="20" s="1"/>
  <c r="PUG6" i="20" a="1"/>
  <c r="PUG6" i="20" s="1"/>
  <c r="PUF6" i="20" a="1"/>
  <c r="PUF6" i="20" s="1"/>
  <c r="PUE6" i="20" a="1"/>
  <c r="PUE6" i="20" s="1"/>
  <c r="PUD6" i="20" a="1"/>
  <c r="PUD6" i="20" s="1"/>
  <c r="PUC6" i="20"/>
  <c r="PUC6" i="20" a="1"/>
  <c r="PUB6" i="20" a="1"/>
  <c r="PUB6" i="20" s="1"/>
  <c r="PUA6" i="20" a="1"/>
  <c r="PUA6" i="20" s="1"/>
  <c r="PTZ6" i="20" a="1"/>
  <c r="PTZ6" i="20" s="1"/>
  <c r="PTY6" i="20" a="1"/>
  <c r="PTY6" i="20" s="1"/>
  <c r="PTX6" i="20" a="1"/>
  <c r="PTX6" i="20" s="1"/>
  <c r="PTW6" i="20" a="1"/>
  <c r="PTW6" i="20" s="1"/>
  <c r="PTV6" i="20" a="1"/>
  <c r="PTV6" i="20" s="1"/>
  <c r="PTU6" i="20"/>
  <c r="PTU6" i="20" a="1"/>
  <c r="PTT6" i="20"/>
  <c r="PTT6" i="20" a="1"/>
  <c r="PTS6" i="20"/>
  <c r="PTS6" i="20" a="1"/>
  <c r="PTR6" i="20"/>
  <c r="PTR6" i="20" a="1"/>
  <c r="PTQ6" i="20"/>
  <c r="PTQ6" i="20" a="1"/>
  <c r="PTP6" i="20" a="1"/>
  <c r="PTP6" i="20" s="1"/>
  <c r="PTO6" i="20"/>
  <c r="PTO6" i="20" a="1"/>
  <c r="PTN6" i="20" a="1"/>
  <c r="PTN6" i="20" s="1"/>
  <c r="PTM6" i="20"/>
  <c r="PTM6" i="20" a="1"/>
  <c r="PTL6" i="20"/>
  <c r="PTL6" i="20" a="1"/>
  <c r="PTK6" i="20"/>
  <c r="PTK6" i="20" a="1"/>
  <c r="PTJ6" i="20"/>
  <c r="PTJ6" i="20" a="1"/>
  <c r="PTI6" i="20" a="1"/>
  <c r="PTI6" i="20" s="1"/>
  <c r="PTH6" i="20" a="1"/>
  <c r="PTH6" i="20" s="1"/>
  <c r="PTG6" i="20"/>
  <c r="PTG6" i="20" a="1"/>
  <c r="PTF6" i="20" a="1"/>
  <c r="PTF6" i="20" s="1"/>
  <c r="PTE6" i="20" a="1"/>
  <c r="PTE6" i="20" s="1"/>
  <c r="PTD6" i="20" a="1"/>
  <c r="PTD6" i="20" s="1"/>
  <c r="PTC6" i="20" a="1"/>
  <c r="PTC6" i="20" s="1"/>
  <c r="PTB6" i="20" a="1"/>
  <c r="PTB6" i="20" s="1"/>
  <c r="PTA6" i="20" a="1"/>
  <c r="PTA6" i="20" s="1"/>
  <c r="PSZ6" i="20"/>
  <c r="PSZ6" i="20" a="1"/>
  <c r="PSY6" i="20"/>
  <c r="PSY6" i="20" a="1"/>
  <c r="PSX6" i="20"/>
  <c r="PSX6" i="20" a="1"/>
  <c r="PSW6" i="20"/>
  <c r="PSW6" i="20" a="1"/>
  <c r="PSV6" i="20" a="1"/>
  <c r="PSV6" i="20" s="1"/>
  <c r="PSU6" i="20"/>
  <c r="PSU6" i="20" a="1"/>
  <c r="PST6" i="20"/>
  <c r="PST6" i="20" a="1"/>
  <c r="PSS6" i="20" a="1"/>
  <c r="PSS6" i="20" s="1"/>
  <c r="PSR6" i="20" a="1"/>
  <c r="PSR6" i="20" s="1"/>
  <c r="PSQ6" i="20" a="1"/>
  <c r="PSQ6" i="20" s="1"/>
  <c r="PSP6" i="20" a="1"/>
  <c r="PSP6" i="20" s="1"/>
  <c r="PSO6" i="20" a="1"/>
  <c r="PSO6" i="20" s="1"/>
  <c r="PSN6" i="20" a="1"/>
  <c r="PSN6" i="20" s="1"/>
  <c r="PSM6" i="20"/>
  <c r="PSM6" i="20" a="1"/>
  <c r="PSL6" i="20"/>
  <c r="PSL6" i="20" a="1"/>
  <c r="PSK6" i="20"/>
  <c r="PSK6" i="20" a="1"/>
  <c r="PSJ6" i="20" a="1"/>
  <c r="PSJ6" i="20" s="1"/>
  <c r="PSI6" i="20" a="1"/>
  <c r="PSI6" i="20" s="1"/>
  <c r="PSH6" i="20"/>
  <c r="PSH6" i="20" a="1"/>
  <c r="PSG6" i="20"/>
  <c r="PSG6" i="20" a="1"/>
  <c r="PSF6" i="20" a="1"/>
  <c r="PSF6" i="20" s="1"/>
  <c r="PSE6" i="20" a="1"/>
  <c r="PSE6" i="20" s="1"/>
  <c r="PSD6" i="20" a="1"/>
  <c r="PSD6" i="20" s="1"/>
  <c r="PSC6" i="20"/>
  <c r="PSC6" i="20" a="1"/>
  <c r="PSB6" i="20" a="1"/>
  <c r="PSB6" i="20" s="1"/>
  <c r="PSA6" i="20" a="1"/>
  <c r="PSA6" i="20" s="1"/>
  <c r="PRZ6" i="20"/>
  <c r="PRZ6" i="20" a="1"/>
  <c r="PRY6" i="20"/>
  <c r="PRY6" i="20" a="1"/>
  <c r="PRX6" i="20" a="1"/>
  <c r="PRX6" i="20" s="1"/>
  <c r="PRW6" i="20" a="1"/>
  <c r="PRW6" i="20" s="1"/>
  <c r="PRV6" i="20" a="1"/>
  <c r="PRV6" i="20" s="1"/>
  <c r="PRU6" i="20"/>
  <c r="PRU6" i="20" a="1"/>
  <c r="PRT6" i="20"/>
  <c r="PRT6" i="20" a="1"/>
  <c r="PRS6" i="20" a="1"/>
  <c r="PRS6" i="20" s="1"/>
  <c r="PRR6" i="20" a="1"/>
  <c r="PRR6" i="20" s="1"/>
  <c r="PRQ6" i="20"/>
  <c r="PRQ6" i="20" a="1"/>
  <c r="PRP6" i="20"/>
  <c r="PRP6" i="20" a="1"/>
  <c r="PRO6" i="20" a="1"/>
  <c r="PRO6" i="20" s="1"/>
  <c r="PRN6" i="20" a="1"/>
  <c r="PRN6" i="20" s="1"/>
  <c r="PRM6" i="20"/>
  <c r="PRM6" i="20" a="1"/>
  <c r="PRL6" i="20" a="1"/>
  <c r="PRL6" i="20" s="1"/>
  <c r="PRK6" i="20" a="1"/>
  <c r="PRK6" i="20" s="1"/>
  <c r="PRJ6" i="20" a="1"/>
  <c r="PRJ6" i="20" s="1"/>
  <c r="PRI6" i="20" a="1"/>
  <c r="PRI6" i="20" s="1"/>
  <c r="PRH6" i="20"/>
  <c r="PRH6" i="20" a="1"/>
  <c r="PRG6" i="20"/>
  <c r="PRG6" i="20" a="1"/>
  <c r="PRF6" i="20" a="1"/>
  <c r="PRF6" i="20" s="1"/>
  <c r="PRE6" i="20"/>
  <c r="PRE6" i="20" a="1"/>
  <c r="PRD6" i="20"/>
  <c r="PRD6" i="20" a="1"/>
  <c r="PRC6" i="20"/>
  <c r="PRC6" i="20" a="1"/>
  <c r="PRB6" i="20" a="1"/>
  <c r="PRB6" i="20" s="1"/>
  <c r="PRA6" i="20" a="1"/>
  <c r="PRA6" i="20" s="1"/>
  <c r="PQZ6" i="20" a="1"/>
  <c r="PQZ6" i="20" s="1"/>
  <c r="PQY6" i="20" a="1"/>
  <c r="PQY6" i="20" s="1"/>
  <c r="PQX6" i="20" a="1"/>
  <c r="PQX6" i="20" s="1"/>
  <c r="PQW6" i="20" a="1"/>
  <c r="PQW6" i="20" s="1"/>
  <c r="PQV6" i="20" a="1"/>
  <c r="PQV6" i="20" s="1"/>
  <c r="PQU6" i="20"/>
  <c r="PQU6" i="20" a="1"/>
  <c r="PQT6" i="20" a="1"/>
  <c r="PQT6" i="20" s="1"/>
  <c r="PQS6" i="20"/>
  <c r="PQS6" i="20" a="1"/>
  <c r="PQR6" i="20"/>
  <c r="PQR6" i="20" a="1"/>
  <c r="PQQ6" i="20"/>
  <c r="PQQ6" i="20" a="1"/>
  <c r="PQP6" i="20"/>
  <c r="PQP6" i="20" a="1"/>
  <c r="PQO6" i="20" a="1"/>
  <c r="PQO6" i="20" s="1"/>
  <c r="PQN6" i="20" a="1"/>
  <c r="PQN6" i="20" s="1"/>
  <c r="PQM6" i="20"/>
  <c r="PQM6" i="20" a="1"/>
  <c r="PQL6" i="20" a="1"/>
  <c r="PQL6" i="20" s="1"/>
  <c r="PQK6" i="20" a="1"/>
  <c r="PQK6" i="20" s="1"/>
  <c r="PQJ6" i="20" a="1"/>
  <c r="PQJ6" i="20" s="1"/>
  <c r="PQI6" i="20" a="1"/>
  <c r="PQI6" i="20" s="1"/>
  <c r="PQH6" i="20" a="1"/>
  <c r="PQH6" i="20" s="1"/>
  <c r="PQG6" i="20" a="1"/>
  <c r="PQG6" i="20" s="1"/>
  <c r="PQF6" i="20"/>
  <c r="PQF6" i="20" a="1"/>
  <c r="PQE6" i="20"/>
  <c r="PQE6" i="20" a="1"/>
  <c r="PQD6" i="20"/>
  <c r="PQD6" i="20" a="1"/>
  <c r="PQC6" i="20"/>
  <c r="PQC6" i="20" a="1"/>
  <c r="PQB6" i="20" a="1"/>
  <c r="PQB6" i="20" s="1"/>
  <c r="PQA6" i="20"/>
  <c r="PQA6" i="20" a="1"/>
  <c r="PPZ6" i="20"/>
  <c r="PPZ6" i="20" a="1"/>
  <c r="PPY6" i="20" a="1"/>
  <c r="PPY6" i="20" s="1"/>
  <c r="PPX6" i="20" a="1"/>
  <c r="PPX6" i="20" s="1"/>
  <c r="PPW6" i="20" a="1"/>
  <c r="PPW6" i="20" s="1"/>
  <c r="PPV6" i="20" a="1"/>
  <c r="PPV6" i="20" s="1"/>
  <c r="PPU6" i="20" a="1"/>
  <c r="PPU6" i="20" s="1"/>
  <c r="PPT6" i="20" a="1"/>
  <c r="PPT6" i="20" s="1"/>
  <c r="PPS6" i="20"/>
  <c r="PPS6" i="20" a="1"/>
  <c r="PPR6" i="20"/>
  <c r="PPR6" i="20" a="1"/>
  <c r="PPQ6" i="20"/>
  <c r="PPQ6" i="20" a="1"/>
  <c r="PPP6" i="20" a="1"/>
  <c r="PPP6" i="20" s="1"/>
  <c r="PPO6" i="20" a="1"/>
  <c r="PPO6" i="20" s="1"/>
  <c r="PPN6" i="20"/>
  <c r="PPN6" i="20" a="1"/>
  <c r="PPM6" i="20"/>
  <c r="PPM6" i="20" a="1"/>
  <c r="PPL6" i="20" a="1"/>
  <c r="PPL6" i="20" s="1"/>
  <c r="PPK6" i="20" a="1"/>
  <c r="PPK6" i="20" s="1"/>
  <c r="PPJ6" i="20" a="1"/>
  <c r="PPJ6" i="20" s="1"/>
  <c r="PPI6" i="20"/>
  <c r="PPI6" i="20" a="1"/>
  <c r="PPH6" i="20" a="1"/>
  <c r="PPH6" i="20" s="1"/>
  <c r="PPG6" i="20" a="1"/>
  <c r="PPG6" i="20" s="1"/>
  <c r="PPF6" i="20"/>
  <c r="PPF6" i="20" a="1"/>
  <c r="PPE6" i="20"/>
  <c r="PPE6" i="20" a="1"/>
  <c r="PPD6" i="20" a="1"/>
  <c r="PPD6" i="20" s="1"/>
  <c r="PPC6" i="20" a="1"/>
  <c r="PPC6" i="20" s="1"/>
  <c r="PPB6" i="20" a="1"/>
  <c r="PPB6" i="20" s="1"/>
  <c r="PPA6" i="20"/>
  <c r="PPA6" i="20" a="1"/>
  <c r="POZ6" i="20"/>
  <c r="POZ6" i="20" a="1"/>
  <c r="POY6" i="20" a="1"/>
  <c r="POY6" i="20" s="1"/>
  <c r="POX6" i="20" a="1"/>
  <c r="POX6" i="20" s="1"/>
  <c r="POW6" i="20"/>
  <c r="POW6" i="20" a="1"/>
  <c r="POV6" i="20"/>
  <c r="POV6" i="20" a="1"/>
  <c r="POU6" i="20" a="1"/>
  <c r="POU6" i="20" s="1"/>
  <c r="POT6" i="20" a="1"/>
  <c r="POT6" i="20" s="1"/>
  <c r="POS6" i="20"/>
  <c r="POS6" i="20" a="1"/>
  <c r="POR6" i="20" a="1"/>
  <c r="POR6" i="20" s="1"/>
  <c r="POQ6" i="20" a="1"/>
  <c r="POQ6" i="20" s="1"/>
  <c r="POP6" i="20" a="1"/>
  <c r="POP6" i="20" s="1"/>
  <c r="POO6" i="20" a="1"/>
  <c r="POO6" i="20" s="1"/>
  <c r="PON6" i="20"/>
  <c r="PON6" i="20" a="1"/>
  <c r="POM6" i="20"/>
  <c r="POM6" i="20" a="1"/>
  <c r="POL6" i="20" a="1"/>
  <c r="POL6" i="20" s="1"/>
  <c r="POK6" i="20"/>
  <c r="POK6" i="20" a="1"/>
  <c r="POJ6" i="20"/>
  <c r="POJ6" i="20" a="1"/>
  <c r="POI6" i="20"/>
  <c r="POI6" i="20" a="1"/>
  <c r="POH6" i="20" a="1"/>
  <c r="POH6" i="20" s="1"/>
  <c r="POG6" i="20" a="1"/>
  <c r="POG6" i="20" s="1"/>
  <c r="POF6" i="20" a="1"/>
  <c r="POF6" i="20" s="1"/>
  <c r="POE6" i="20" a="1"/>
  <c r="POE6" i="20" s="1"/>
  <c r="POD6" i="20" a="1"/>
  <c r="POD6" i="20" s="1"/>
  <c r="POC6" i="20" a="1"/>
  <c r="POC6" i="20" s="1"/>
  <c r="POB6" i="20" a="1"/>
  <c r="POB6" i="20" s="1"/>
  <c r="POA6" i="20"/>
  <c r="POA6" i="20" a="1"/>
  <c r="PNZ6" i="20" a="1"/>
  <c r="PNZ6" i="20" s="1"/>
  <c r="PNY6" i="20"/>
  <c r="PNY6" i="20" a="1"/>
  <c r="PNX6" i="20"/>
  <c r="PNX6" i="20" a="1"/>
  <c r="PNW6" i="20"/>
  <c r="PNW6" i="20" a="1"/>
  <c r="PNV6" i="20"/>
  <c r="PNV6" i="20" a="1"/>
  <c r="PNU6" i="20" a="1"/>
  <c r="PNU6" i="20" s="1"/>
  <c r="PNT6" i="20" a="1"/>
  <c r="PNT6" i="20" s="1"/>
  <c r="PNS6" i="20"/>
  <c r="PNS6" i="20" a="1"/>
  <c r="PNR6" i="20" a="1"/>
  <c r="PNR6" i="20" s="1"/>
  <c r="PNQ6" i="20" a="1"/>
  <c r="PNQ6" i="20" s="1"/>
  <c r="PNP6" i="20" a="1"/>
  <c r="PNP6" i="20" s="1"/>
  <c r="PNO6" i="20" a="1"/>
  <c r="PNO6" i="20" s="1"/>
  <c r="PNN6" i="20" a="1"/>
  <c r="PNN6" i="20" s="1"/>
  <c r="PNM6" i="20" a="1"/>
  <c r="PNM6" i="20" s="1"/>
  <c r="PNL6" i="20"/>
  <c r="PNL6" i="20" a="1"/>
  <c r="PNK6" i="20"/>
  <c r="PNK6" i="20" a="1"/>
  <c r="PNJ6" i="20"/>
  <c r="PNJ6" i="20" a="1"/>
  <c r="PNI6" i="20"/>
  <c r="PNI6" i="20" a="1"/>
  <c r="PNH6" i="20" a="1"/>
  <c r="PNH6" i="20" s="1"/>
  <c r="PNG6" i="20"/>
  <c r="PNG6" i="20" a="1"/>
  <c r="PNF6" i="20"/>
  <c r="PNF6" i="20" a="1"/>
  <c r="PNE6" i="20" a="1"/>
  <c r="PNE6" i="20" s="1"/>
  <c r="PND6" i="20" a="1"/>
  <c r="PND6" i="20" s="1"/>
  <c r="PNC6" i="20" a="1"/>
  <c r="PNC6" i="20" s="1"/>
  <c r="PNB6" i="20" a="1"/>
  <c r="PNB6" i="20" s="1"/>
  <c r="PNA6" i="20" a="1"/>
  <c r="PNA6" i="20" s="1"/>
  <c r="PMZ6" i="20" a="1"/>
  <c r="PMZ6" i="20" s="1"/>
  <c r="PMY6" i="20"/>
  <c r="PMY6" i="20" a="1"/>
  <c r="PMX6" i="20"/>
  <c r="PMX6" i="20" a="1"/>
  <c r="PMW6" i="20"/>
  <c r="PMW6" i="20" a="1"/>
  <c r="PMV6" i="20" a="1"/>
  <c r="PMV6" i="20" s="1"/>
  <c r="PMU6" i="20" a="1"/>
  <c r="PMU6" i="20" s="1"/>
  <c r="PMT6" i="20"/>
  <c r="PMT6" i="20" a="1"/>
  <c r="PMS6" i="20"/>
  <c r="PMS6" i="20" a="1"/>
  <c r="PMR6" i="20" a="1"/>
  <c r="PMR6" i="20" s="1"/>
  <c r="PMQ6" i="20" a="1"/>
  <c r="PMQ6" i="20" s="1"/>
  <c r="PMP6" i="20" a="1"/>
  <c r="PMP6" i="20" s="1"/>
  <c r="PMO6" i="20"/>
  <c r="PMO6" i="20" a="1"/>
  <c r="PMN6" i="20" a="1"/>
  <c r="PMN6" i="20" s="1"/>
  <c r="PMM6" i="20" a="1"/>
  <c r="PMM6" i="20" s="1"/>
  <c r="PML6" i="20"/>
  <c r="PML6" i="20" a="1"/>
  <c r="PMK6" i="20"/>
  <c r="PMK6" i="20" a="1"/>
  <c r="PMJ6" i="20" a="1"/>
  <c r="PMJ6" i="20" s="1"/>
  <c r="PMI6" i="20" a="1"/>
  <c r="PMI6" i="20" s="1"/>
  <c r="PMH6" i="20" a="1"/>
  <c r="PMH6" i="20" s="1"/>
  <c r="PMG6" i="20"/>
  <c r="PMG6" i="20" a="1"/>
  <c r="PMF6" i="20"/>
  <c r="PMF6" i="20" a="1"/>
  <c r="PME6" i="20" a="1"/>
  <c r="PME6" i="20" s="1"/>
  <c r="PMD6" i="20" a="1"/>
  <c r="PMD6" i="20" s="1"/>
  <c r="PMC6" i="20"/>
  <c r="PMC6" i="20" a="1"/>
  <c r="PMB6" i="20"/>
  <c r="PMB6" i="20" a="1"/>
  <c r="PMA6" i="20" a="1"/>
  <c r="PMA6" i="20" s="1"/>
  <c r="PLZ6" i="20" a="1"/>
  <c r="PLZ6" i="20" s="1"/>
  <c r="PLY6" i="20"/>
  <c r="PLY6" i="20" a="1"/>
  <c r="PLX6" i="20" a="1"/>
  <c r="PLX6" i="20" s="1"/>
  <c r="PLW6" i="20" a="1"/>
  <c r="PLW6" i="20" s="1"/>
  <c r="PLV6" i="20" a="1"/>
  <c r="PLV6" i="20" s="1"/>
  <c r="PLU6" i="20" a="1"/>
  <c r="PLU6" i="20" s="1"/>
  <c r="PLT6" i="20"/>
  <c r="PLT6" i="20" a="1"/>
  <c r="PLS6" i="20"/>
  <c r="PLS6" i="20" a="1"/>
  <c r="PLR6" i="20" a="1"/>
  <c r="PLR6" i="20" s="1"/>
  <c r="PLQ6" i="20"/>
  <c r="PLQ6" i="20" a="1"/>
  <c r="PLP6" i="20"/>
  <c r="PLP6" i="20" a="1"/>
  <c r="PLO6" i="20"/>
  <c r="PLO6" i="20" a="1"/>
  <c r="PLN6" i="20" a="1"/>
  <c r="PLN6" i="20" s="1"/>
  <c r="PLM6" i="20" a="1"/>
  <c r="PLM6" i="20" s="1"/>
  <c r="PLL6" i="20" a="1"/>
  <c r="PLL6" i="20" s="1"/>
  <c r="PLK6" i="20" a="1"/>
  <c r="PLK6" i="20" s="1"/>
  <c r="PLJ6" i="20" a="1"/>
  <c r="PLJ6" i="20" s="1"/>
  <c r="PLI6" i="20" a="1"/>
  <c r="PLI6" i="20" s="1"/>
  <c r="PLH6" i="20" a="1"/>
  <c r="PLH6" i="20" s="1"/>
  <c r="PLG6" i="20"/>
  <c r="PLG6" i="20" a="1"/>
  <c r="PLF6" i="20" a="1"/>
  <c r="PLF6" i="20" s="1"/>
  <c r="PLE6" i="20"/>
  <c r="PLE6" i="20" a="1"/>
  <c r="PLD6" i="20"/>
  <c r="PLD6" i="20" a="1"/>
  <c r="PLC6" i="20"/>
  <c r="PLC6" i="20" a="1"/>
  <c r="PLB6" i="20"/>
  <c r="PLB6" i="20" a="1"/>
  <c r="PLA6" i="20" a="1"/>
  <c r="PLA6" i="20" s="1"/>
  <c r="PKZ6" i="20" a="1"/>
  <c r="PKZ6" i="20" s="1"/>
  <c r="PKY6" i="20"/>
  <c r="PKY6" i="20" a="1"/>
  <c r="PKX6" i="20" a="1"/>
  <c r="PKX6" i="20" s="1"/>
  <c r="PKW6" i="20" a="1"/>
  <c r="PKW6" i="20" s="1"/>
  <c r="PKV6" i="20" a="1"/>
  <c r="PKV6" i="20" s="1"/>
  <c r="PKU6" i="20" a="1"/>
  <c r="PKU6" i="20" s="1"/>
  <c r="PKT6" i="20" a="1"/>
  <c r="PKT6" i="20" s="1"/>
  <c r="PKS6" i="20" a="1"/>
  <c r="PKS6" i="20" s="1"/>
  <c r="PKR6" i="20"/>
  <c r="PKR6" i="20" a="1"/>
  <c r="PKQ6" i="20"/>
  <c r="PKQ6" i="20" a="1"/>
  <c r="PKP6" i="20"/>
  <c r="PKP6" i="20" a="1"/>
  <c r="PKO6" i="20"/>
  <c r="PKO6" i="20" a="1"/>
  <c r="PKN6" i="20" a="1"/>
  <c r="PKN6" i="20" s="1"/>
  <c r="PKM6" i="20"/>
  <c r="PKM6" i="20" a="1"/>
  <c r="PKL6" i="20"/>
  <c r="PKL6" i="20" a="1"/>
  <c r="PKK6" i="20" a="1"/>
  <c r="PKK6" i="20" s="1"/>
  <c r="PKJ6" i="20" a="1"/>
  <c r="PKJ6" i="20" s="1"/>
  <c r="PKI6" i="20" a="1"/>
  <c r="PKI6" i="20" s="1"/>
  <c r="PKH6" i="20" a="1"/>
  <c r="PKH6" i="20" s="1"/>
  <c r="PKG6" i="20" a="1"/>
  <c r="PKG6" i="20" s="1"/>
  <c r="PKF6" i="20" a="1"/>
  <c r="PKF6" i="20" s="1"/>
  <c r="PKE6" i="20"/>
  <c r="PKE6" i="20" a="1"/>
  <c r="PKD6" i="20"/>
  <c r="PKD6" i="20" a="1"/>
  <c r="PKC6" i="20"/>
  <c r="PKC6" i="20" a="1"/>
  <c r="PKB6" i="20" a="1"/>
  <c r="PKB6" i="20" s="1"/>
  <c r="PKA6" i="20" a="1"/>
  <c r="PKA6" i="20" s="1"/>
  <c r="PJZ6" i="20"/>
  <c r="PJZ6" i="20" a="1"/>
  <c r="PJY6" i="20"/>
  <c r="PJY6" i="20" a="1"/>
  <c r="PJX6" i="20" a="1"/>
  <c r="PJX6" i="20" s="1"/>
  <c r="PJW6" i="20" a="1"/>
  <c r="PJW6" i="20" s="1"/>
  <c r="PJV6" i="20" a="1"/>
  <c r="PJV6" i="20" s="1"/>
  <c r="PJU6" i="20"/>
  <c r="PJU6" i="20" a="1"/>
  <c r="PJT6" i="20" a="1"/>
  <c r="PJT6" i="20" s="1"/>
  <c r="PJS6" i="20" a="1"/>
  <c r="PJS6" i="20" s="1"/>
  <c r="PJR6" i="20"/>
  <c r="PJR6" i="20" a="1"/>
  <c r="PJQ6" i="20"/>
  <c r="PJQ6" i="20" a="1"/>
  <c r="PJP6" i="20" a="1"/>
  <c r="PJP6" i="20" s="1"/>
  <c r="PJO6" i="20" a="1"/>
  <c r="PJO6" i="20" s="1"/>
  <c r="PJN6" i="20" a="1"/>
  <c r="PJN6" i="20" s="1"/>
  <c r="PJM6" i="20"/>
  <c r="PJM6" i="20" a="1"/>
  <c r="PJL6" i="20"/>
  <c r="PJL6" i="20" a="1"/>
  <c r="PJK6" i="20" a="1"/>
  <c r="PJK6" i="20" s="1"/>
  <c r="PJJ6" i="20" a="1"/>
  <c r="PJJ6" i="20" s="1"/>
  <c r="PJI6" i="20"/>
  <c r="PJI6" i="20" a="1"/>
  <c r="PJH6" i="20"/>
  <c r="PJH6" i="20" a="1"/>
  <c r="PJG6" i="20" a="1"/>
  <c r="PJG6" i="20" s="1"/>
  <c r="PJF6" i="20" a="1"/>
  <c r="PJF6" i="20" s="1"/>
  <c r="PJE6" i="20"/>
  <c r="PJE6" i="20" a="1"/>
  <c r="PJD6" i="20" a="1"/>
  <c r="PJD6" i="20" s="1"/>
  <c r="PJC6" i="20" a="1"/>
  <c r="PJC6" i="20" s="1"/>
  <c r="PJB6" i="20" a="1"/>
  <c r="PJB6" i="20" s="1"/>
  <c r="PJA6" i="20" a="1"/>
  <c r="PJA6" i="20" s="1"/>
  <c r="PIZ6" i="20"/>
  <c r="PIZ6" i="20" a="1"/>
  <c r="PIY6" i="20"/>
  <c r="PIY6" i="20" a="1"/>
  <c r="PIX6" i="20" a="1"/>
  <c r="PIX6" i="20" s="1"/>
  <c r="PIW6" i="20"/>
  <c r="PIW6" i="20" a="1"/>
  <c r="PIV6" i="20"/>
  <c r="PIV6" i="20" a="1"/>
  <c r="PIU6" i="20"/>
  <c r="PIU6" i="20" a="1"/>
  <c r="PIT6" i="20" a="1"/>
  <c r="PIT6" i="20" s="1"/>
  <c r="PIS6" i="20" a="1"/>
  <c r="PIS6" i="20" s="1"/>
  <c r="PIR6" i="20" a="1"/>
  <c r="PIR6" i="20" s="1"/>
  <c r="PIQ6" i="20" a="1"/>
  <c r="PIQ6" i="20" s="1"/>
  <c r="PIP6" i="20" a="1"/>
  <c r="PIP6" i="20" s="1"/>
  <c r="PIO6" i="20" a="1"/>
  <c r="PIO6" i="20" s="1"/>
  <c r="PIN6" i="20" a="1"/>
  <c r="PIN6" i="20" s="1"/>
  <c r="PIM6" i="20"/>
  <c r="PIM6" i="20" a="1"/>
  <c r="PIL6" i="20" a="1"/>
  <c r="PIL6" i="20" s="1"/>
  <c r="PIK6" i="20"/>
  <c r="PIK6" i="20" a="1"/>
  <c r="PIJ6" i="20"/>
  <c r="PIJ6" i="20" a="1"/>
  <c r="PII6" i="20"/>
  <c r="PII6" i="20" a="1"/>
  <c r="PIH6" i="20"/>
  <c r="PIH6" i="20" a="1"/>
  <c r="PIG6" i="20" a="1"/>
  <c r="PIG6" i="20" s="1"/>
  <c r="PIF6" i="20" a="1"/>
  <c r="PIF6" i="20" s="1"/>
  <c r="PIE6" i="20"/>
  <c r="PIE6" i="20" a="1"/>
  <c r="PID6" i="20" a="1"/>
  <c r="PID6" i="20" s="1"/>
  <c r="PIC6" i="20" a="1"/>
  <c r="PIC6" i="20" s="1"/>
  <c r="PIB6" i="20" a="1"/>
  <c r="PIB6" i="20" s="1"/>
  <c r="PIA6" i="20" a="1"/>
  <c r="PIA6" i="20" s="1"/>
  <c r="PHZ6" i="20" a="1"/>
  <c r="PHZ6" i="20" s="1"/>
  <c r="PHY6" i="20" a="1"/>
  <c r="PHY6" i="20" s="1"/>
  <c r="PHX6" i="20"/>
  <c r="PHX6" i="20" a="1"/>
  <c r="PHW6" i="20"/>
  <c r="PHW6" i="20" a="1"/>
  <c r="PHV6" i="20"/>
  <c r="PHV6" i="20" a="1"/>
  <c r="PHU6" i="20"/>
  <c r="PHU6" i="20" a="1"/>
  <c r="PHT6" i="20" a="1"/>
  <c r="PHT6" i="20" s="1"/>
  <c r="PHS6" i="20"/>
  <c r="PHS6" i="20" a="1"/>
  <c r="PHR6" i="20"/>
  <c r="PHR6" i="20" a="1"/>
  <c r="PHQ6" i="20" a="1"/>
  <c r="PHQ6" i="20" s="1"/>
  <c r="PHP6" i="20" a="1"/>
  <c r="PHP6" i="20" s="1"/>
  <c r="PHO6" i="20" a="1"/>
  <c r="PHO6" i="20" s="1"/>
  <c r="PHN6" i="20" a="1"/>
  <c r="PHN6" i="20" s="1"/>
  <c r="PHM6" i="20" a="1"/>
  <c r="PHM6" i="20" s="1"/>
  <c r="PHL6" i="20" a="1"/>
  <c r="PHL6" i="20" s="1"/>
  <c r="PHK6" i="20"/>
  <c r="PHK6" i="20" a="1"/>
  <c r="PHJ6" i="20"/>
  <c r="PHJ6" i="20" a="1"/>
  <c r="PHI6" i="20"/>
  <c r="PHI6" i="20" a="1"/>
  <c r="PHH6" i="20" a="1"/>
  <c r="PHH6" i="20" s="1"/>
  <c r="PHG6" i="20" a="1"/>
  <c r="PHG6" i="20" s="1"/>
  <c r="PHF6" i="20"/>
  <c r="PHF6" i="20" a="1"/>
  <c r="PHE6" i="20"/>
  <c r="PHE6" i="20" a="1"/>
  <c r="PHD6" i="20" a="1"/>
  <c r="PHD6" i="20" s="1"/>
  <c r="PHC6" i="20" a="1"/>
  <c r="PHC6" i="20" s="1"/>
  <c r="PHB6" i="20" a="1"/>
  <c r="PHB6" i="20" s="1"/>
  <c r="PHA6" i="20"/>
  <c r="PHA6" i="20" a="1"/>
  <c r="PGZ6" i="20" a="1"/>
  <c r="PGZ6" i="20" s="1"/>
  <c r="PGY6" i="20" a="1"/>
  <c r="PGY6" i="20" s="1"/>
  <c r="PGX6" i="20"/>
  <c r="PGX6" i="20" a="1"/>
  <c r="PGW6" i="20"/>
  <c r="PGW6" i="20" a="1"/>
  <c r="PGV6" i="20" a="1"/>
  <c r="PGV6" i="20" s="1"/>
  <c r="PGU6" i="20" a="1"/>
  <c r="PGU6" i="20" s="1"/>
  <c r="PGT6" i="20" a="1"/>
  <c r="PGT6" i="20" s="1"/>
  <c r="PGS6" i="20"/>
  <c r="PGS6" i="20" a="1"/>
  <c r="PGR6" i="20"/>
  <c r="PGR6" i="20" a="1"/>
  <c r="PGQ6" i="20" a="1"/>
  <c r="PGQ6" i="20" s="1"/>
  <c r="PGP6" i="20" a="1"/>
  <c r="PGP6" i="20" s="1"/>
  <c r="PGO6" i="20"/>
  <c r="PGO6" i="20" a="1"/>
  <c r="PGN6" i="20"/>
  <c r="PGN6" i="20" a="1"/>
  <c r="PGM6" i="20" a="1"/>
  <c r="PGM6" i="20" s="1"/>
  <c r="PGL6" i="20" a="1"/>
  <c r="PGL6" i="20" s="1"/>
  <c r="PGK6" i="20"/>
  <c r="PGK6" i="20" a="1"/>
  <c r="PGJ6" i="20" a="1"/>
  <c r="PGJ6" i="20" s="1"/>
  <c r="PGI6" i="20" a="1"/>
  <c r="PGI6" i="20" s="1"/>
  <c r="PGH6" i="20"/>
  <c r="PGH6" i="20" a="1"/>
  <c r="PGG6" i="20" a="1"/>
  <c r="PGG6" i="20" s="1"/>
  <c r="PGF6" i="20"/>
  <c r="PGF6" i="20" a="1"/>
  <c r="PGE6" i="20"/>
  <c r="PGE6" i="20" a="1"/>
  <c r="PGD6" i="20" a="1"/>
  <c r="PGD6" i="20" s="1"/>
  <c r="PGC6" i="20"/>
  <c r="PGC6" i="20" a="1"/>
  <c r="PGB6" i="20" a="1"/>
  <c r="PGB6" i="20" s="1"/>
  <c r="PGA6" i="20"/>
  <c r="PGA6" i="20" a="1"/>
  <c r="PFZ6" i="20" a="1"/>
  <c r="PFZ6" i="20" s="1"/>
  <c r="PFY6" i="20" a="1"/>
  <c r="PFY6" i="20" s="1"/>
  <c r="PFX6" i="20" a="1"/>
  <c r="PFX6" i="20" s="1"/>
  <c r="PFW6" i="20" a="1"/>
  <c r="PFW6" i="20" s="1"/>
  <c r="PFV6" i="20" a="1"/>
  <c r="PFV6" i="20" s="1"/>
  <c r="PFU6" i="20"/>
  <c r="PFU6" i="20" a="1"/>
  <c r="PFT6" i="20" a="1"/>
  <c r="PFT6" i="20" s="1"/>
  <c r="PFS6" i="20"/>
  <c r="PFS6" i="20" a="1"/>
  <c r="PFR6" i="20" a="1"/>
  <c r="PFR6" i="20" s="1"/>
  <c r="PFQ6" i="20"/>
  <c r="PFQ6" i="20" a="1"/>
  <c r="PFP6" i="20"/>
  <c r="PFP6" i="20" a="1"/>
  <c r="PFO6" i="20"/>
  <c r="PFO6" i="20" a="1"/>
  <c r="PFN6" i="20"/>
  <c r="PFN6" i="20" a="1"/>
  <c r="PFM6" i="20" a="1"/>
  <c r="PFM6" i="20" s="1"/>
  <c r="PFL6" i="20" a="1"/>
  <c r="PFL6" i="20" s="1"/>
  <c r="PFK6" i="20"/>
  <c r="PFK6" i="20" a="1"/>
  <c r="PFJ6" i="20" a="1"/>
  <c r="PFJ6" i="20" s="1"/>
  <c r="PFI6" i="20"/>
  <c r="PFI6" i="20" a="1"/>
  <c r="PFH6" i="20" a="1"/>
  <c r="PFH6" i="20" s="1"/>
  <c r="PFG6" i="20" a="1"/>
  <c r="PFG6" i="20" s="1"/>
  <c r="PFF6" i="20" a="1"/>
  <c r="PFF6" i="20" s="1"/>
  <c r="PFE6" i="20" a="1"/>
  <c r="PFE6" i="20" s="1"/>
  <c r="PFD6" i="20"/>
  <c r="PFD6" i="20" a="1"/>
  <c r="PFC6" i="20" a="1"/>
  <c r="PFC6" i="20" s="1"/>
  <c r="PFB6" i="20"/>
  <c r="PFB6" i="20" a="1"/>
  <c r="PFA6" i="20"/>
  <c r="PFA6" i="20" a="1"/>
  <c r="PEZ6" i="20" a="1"/>
  <c r="PEZ6" i="20" s="1"/>
  <c r="PEY6" i="20"/>
  <c r="PEY6" i="20" a="1"/>
  <c r="PEX6" i="20"/>
  <c r="PEX6" i="20" a="1"/>
  <c r="PEW6" i="20" a="1"/>
  <c r="PEW6" i="20" s="1"/>
  <c r="PEV6" i="20" a="1"/>
  <c r="PEV6" i="20" s="1"/>
  <c r="PEU6" i="20"/>
  <c r="PEU6" i="20" a="1"/>
  <c r="PET6" i="20" a="1"/>
  <c r="PET6" i="20" s="1"/>
  <c r="PES6" i="20" a="1"/>
  <c r="PES6" i="20" s="1"/>
  <c r="PER6" i="20" a="1"/>
  <c r="PER6" i="20" s="1"/>
  <c r="PEQ6" i="20"/>
  <c r="PEQ6" i="20" a="1"/>
  <c r="PEP6" i="20" a="1"/>
  <c r="PEP6" i="20" s="1"/>
  <c r="PEO6" i="20" a="1"/>
  <c r="PEO6" i="20" s="1"/>
  <c r="PEN6" i="20" a="1"/>
  <c r="PEN6" i="20" s="1"/>
  <c r="PEM6" i="20" a="1"/>
  <c r="PEM6" i="20" s="1"/>
  <c r="PEL6" i="20"/>
  <c r="PEL6" i="20" a="1"/>
  <c r="PEK6" i="20"/>
  <c r="PEK6" i="20" a="1"/>
  <c r="PEJ6" i="20" a="1"/>
  <c r="PEJ6" i="20" s="1"/>
  <c r="PEI6" i="20"/>
  <c r="PEI6" i="20" a="1"/>
  <c r="PEH6" i="20" a="1"/>
  <c r="PEH6" i="20" s="1"/>
  <c r="PEG6" i="20"/>
  <c r="PEG6" i="20" a="1"/>
  <c r="PEF6" i="20" a="1"/>
  <c r="PEF6" i="20" s="1"/>
  <c r="PEE6" i="20" a="1"/>
  <c r="PEE6" i="20" s="1"/>
  <c r="PED6" i="20"/>
  <c r="PED6" i="20" a="1"/>
  <c r="PEC6" i="20" a="1"/>
  <c r="PEC6" i="20" s="1"/>
  <c r="PEB6" i="20" a="1"/>
  <c r="PEB6" i="20" s="1"/>
  <c r="PEA6" i="20"/>
  <c r="PEA6" i="20" a="1"/>
  <c r="PDZ6" i="20" a="1"/>
  <c r="PDZ6" i="20" s="1"/>
  <c r="PDY6" i="20"/>
  <c r="PDY6" i="20" a="1"/>
  <c r="PDX6" i="20"/>
  <c r="PDX6" i="20" a="1"/>
  <c r="PDW6" i="20" a="1"/>
  <c r="PDW6" i="20" s="1"/>
  <c r="PDV6" i="20" a="1"/>
  <c r="PDV6" i="20" s="1"/>
  <c r="PDU6" i="20" a="1"/>
  <c r="PDU6" i="20" s="1"/>
  <c r="PDT6" i="20"/>
  <c r="PDT6" i="20" a="1"/>
  <c r="PDS6" i="20" a="1"/>
  <c r="PDS6" i="20" s="1"/>
  <c r="PDR6" i="20" a="1"/>
  <c r="PDR6" i="20" s="1"/>
  <c r="PDQ6" i="20"/>
  <c r="PDQ6" i="20" a="1"/>
  <c r="PDP6" i="20" a="1"/>
  <c r="PDP6" i="20" s="1"/>
  <c r="PDO6" i="20"/>
  <c r="PDO6" i="20" a="1"/>
  <c r="PDN6" i="20" a="1"/>
  <c r="PDN6" i="20" s="1"/>
  <c r="PDM6" i="20" a="1"/>
  <c r="PDM6" i="20" s="1"/>
  <c r="PDL6" i="20"/>
  <c r="PDL6" i="20" a="1"/>
  <c r="PDK6" i="20"/>
  <c r="PDK6" i="20" a="1"/>
  <c r="PDJ6" i="20" a="1"/>
  <c r="PDJ6" i="20" s="1"/>
  <c r="PDI6" i="20" a="1"/>
  <c r="PDI6" i="20" s="1"/>
  <c r="PDH6" i="20"/>
  <c r="PDH6" i="20" a="1"/>
  <c r="PDG6" i="20"/>
  <c r="PDG6" i="20" a="1"/>
  <c r="PDF6" i="20" a="1"/>
  <c r="PDF6" i="20" s="1"/>
  <c r="PDE6" i="20" a="1"/>
  <c r="PDE6" i="20" s="1"/>
  <c r="PDD6" i="20" a="1"/>
  <c r="PDD6" i="20" s="1"/>
  <c r="PDC6" i="20" a="1"/>
  <c r="PDC6" i="20" s="1"/>
  <c r="PDB6" i="20" a="1"/>
  <c r="PDB6" i="20" s="1"/>
  <c r="PDA6" i="20" a="1"/>
  <c r="PDA6" i="20" s="1"/>
  <c r="PCZ6" i="20" a="1"/>
  <c r="PCZ6" i="20" s="1"/>
  <c r="PCY6" i="20"/>
  <c r="PCY6" i="20" a="1"/>
  <c r="PCX6" i="20" a="1"/>
  <c r="PCX6" i="20" s="1"/>
  <c r="PCW6" i="20"/>
  <c r="PCW6" i="20" a="1"/>
  <c r="PCV6" i="20"/>
  <c r="PCV6" i="20" a="1"/>
  <c r="PCU6" i="20" a="1"/>
  <c r="PCU6" i="20" s="1"/>
  <c r="PCT6" i="20"/>
  <c r="PCT6" i="20" a="1"/>
  <c r="PCS6" i="20" a="1"/>
  <c r="PCS6" i="20" s="1"/>
  <c r="PCR6" i="20" a="1"/>
  <c r="PCR6" i="20" s="1"/>
  <c r="PCQ6" i="20"/>
  <c r="PCQ6" i="20" a="1"/>
  <c r="PCP6" i="20" a="1"/>
  <c r="PCP6" i="20" s="1"/>
  <c r="PCO6" i="20" a="1"/>
  <c r="PCO6" i="20" s="1"/>
  <c r="PCN6" i="20"/>
  <c r="PCN6" i="20" a="1"/>
  <c r="PCM6" i="20" a="1"/>
  <c r="PCM6" i="20" s="1"/>
  <c r="PCL6" i="20" a="1"/>
  <c r="PCL6" i="20" s="1"/>
  <c r="PCK6" i="20" a="1"/>
  <c r="PCK6" i="20" s="1"/>
  <c r="PCJ6" i="20"/>
  <c r="PCJ6" i="20" a="1"/>
  <c r="PCI6" i="20" a="1"/>
  <c r="PCI6" i="20" s="1"/>
  <c r="PCH6" i="20"/>
  <c r="PCH6" i="20" a="1"/>
  <c r="PCG6" i="20"/>
  <c r="PCG6" i="20" a="1"/>
  <c r="PCF6" i="20" a="1"/>
  <c r="PCF6" i="20" s="1"/>
  <c r="PCE6" i="20"/>
  <c r="PCE6" i="20" a="1"/>
  <c r="PCD6" i="20"/>
  <c r="PCD6" i="20" a="1"/>
  <c r="PCC6" i="20" a="1"/>
  <c r="PCC6" i="20" s="1"/>
  <c r="PCB6" i="20" a="1"/>
  <c r="PCB6" i="20" s="1"/>
  <c r="PCA6" i="20"/>
  <c r="PCA6" i="20" a="1"/>
  <c r="PBZ6" i="20" a="1"/>
  <c r="PBZ6" i="20" s="1"/>
  <c r="PBY6" i="20" a="1"/>
  <c r="PBY6" i="20" s="1"/>
  <c r="PBX6" i="20" a="1"/>
  <c r="PBX6" i="20" s="1"/>
  <c r="PBW6" i="20"/>
  <c r="PBW6" i="20" a="1"/>
  <c r="PBV6" i="20"/>
  <c r="PBV6" i="20" a="1"/>
  <c r="PBU6" i="20"/>
  <c r="PBU6" i="20" a="1"/>
  <c r="PBT6" i="20" a="1"/>
  <c r="PBT6" i="20" s="1"/>
  <c r="PBS6" i="20" a="1"/>
  <c r="PBS6" i="20" s="1"/>
  <c r="PBR6" i="20"/>
  <c r="PBR6" i="20" a="1"/>
  <c r="PBQ6" i="20"/>
  <c r="PBQ6" i="20" a="1"/>
  <c r="PBP6" i="20" a="1"/>
  <c r="PBP6" i="20" s="1"/>
  <c r="PBO6" i="20" a="1"/>
  <c r="PBO6" i="20" s="1"/>
  <c r="PBN6" i="20" a="1"/>
  <c r="PBN6" i="20" s="1"/>
  <c r="PBM6" i="20"/>
  <c r="PBM6" i="20" a="1"/>
  <c r="PBL6" i="20" a="1"/>
  <c r="PBL6" i="20" s="1"/>
  <c r="PBK6" i="20" a="1"/>
  <c r="PBK6" i="20" s="1"/>
  <c r="PBJ6" i="20"/>
  <c r="PBJ6" i="20" a="1"/>
  <c r="PBI6" i="20" a="1"/>
  <c r="PBI6" i="20" s="1"/>
  <c r="PBH6" i="20" a="1"/>
  <c r="PBH6" i="20" s="1"/>
  <c r="PBG6" i="20" a="1"/>
  <c r="PBG6" i="20" s="1"/>
  <c r="PBF6" i="20" a="1"/>
  <c r="PBF6" i="20" s="1"/>
  <c r="PBE6" i="20"/>
  <c r="PBE6" i="20" a="1"/>
  <c r="PBD6" i="20"/>
  <c r="PBD6" i="20" a="1"/>
  <c r="PBC6" i="20" a="1"/>
  <c r="PBC6" i="20" s="1"/>
  <c r="PBB6" i="20" a="1"/>
  <c r="PBB6" i="20" s="1"/>
  <c r="PBA6" i="20" a="1"/>
  <c r="PBA6" i="20" s="1"/>
  <c r="PAZ6" i="20"/>
  <c r="PAZ6" i="20" a="1"/>
  <c r="PAY6" i="20" a="1"/>
  <c r="PAY6" i="20" s="1"/>
  <c r="PAX6" i="20" a="1"/>
  <c r="PAX6" i="20" s="1"/>
  <c r="PAW6" i="20"/>
  <c r="PAW6" i="20" a="1"/>
  <c r="PAV6" i="20" a="1"/>
  <c r="PAV6" i="20" s="1"/>
  <c r="PAU6" i="20"/>
  <c r="PAU6" i="20" a="1"/>
  <c r="PAT6" i="20"/>
  <c r="PAT6" i="20" a="1"/>
  <c r="PAS6" i="20" a="1"/>
  <c r="PAS6" i="20" s="1"/>
  <c r="PAR6" i="20"/>
  <c r="PAR6" i="20" a="1"/>
  <c r="PAQ6" i="20"/>
  <c r="PAQ6" i="20" a="1"/>
  <c r="PAP6" i="20" a="1"/>
  <c r="PAP6" i="20" s="1"/>
  <c r="PAO6" i="20" a="1"/>
  <c r="PAO6" i="20" s="1"/>
  <c r="PAN6" i="20"/>
  <c r="PAN6" i="20" a="1"/>
  <c r="PAM6" i="20"/>
  <c r="PAM6" i="20" a="1"/>
  <c r="PAL6" i="20" a="1"/>
  <c r="PAL6" i="20" s="1"/>
  <c r="PAK6" i="20" a="1"/>
  <c r="PAK6" i="20" s="1"/>
  <c r="PAJ6" i="20" a="1"/>
  <c r="PAJ6" i="20" s="1"/>
  <c r="PAI6" i="20" a="1"/>
  <c r="PAI6" i="20" s="1"/>
  <c r="PAH6" i="20"/>
  <c r="PAH6" i="20" a="1"/>
  <c r="PAG6" i="20" a="1"/>
  <c r="PAG6" i="20" s="1"/>
  <c r="PAF6" i="20" a="1"/>
  <c r="PAF6" i="20" s="1"/>
  <c r="PAE6" i="20"/>
  <c r="PAE6" i="20" a="1"/>
  <c r="PAD6" i="20" a="1"/>
  <c r="PAD6" i="20" s="1"/>
  <c r="PAC6" i="20"/>
  <c r="PAC6" i="20" a="1"/>
  <c r="PAB6" i="20" a="1"/>
  <c r="PAB6" i="20" s="1"/>
  <c r="PAA6" i="20"/>
  <c r="PAA6" i="20" a="1"/>
  <c r="OZZ6" i="20"/>
  <c r="OZZ6" i="20" a="1"/>
  <c r="OZY6" i="20" a="1"/>
  <c r="OZY6" i="20" s="1"/>
  <c r="OZX6" i="20" a="1"/>
  <c r="OZX6" i="20" s="1"/>
  <c r="OZW6" i="20"/>
  <c r="OZW6" i="20" a="1"/>
  <c r="OZV6" i="20" a="1"/>
  <c r="OZV6" i="20" s="1"/>
  <c r="OZU6" i="20"/>
  <c r="OZU6" i="20" a="1"/>
  <c r="OZT6" i="20"/>
  <c r="OZT6" i="20" a="1"/>
  <c r="OZS6" i="20" a="1"/>
  <c r="OZS6" i="20" s="1"/>
  <c r="OZR6" i="20" a="1"/>
  <c r="OZR6" i="20" s="1"/>
  <c r="OZQ6" i="20" a="1"/>
  <c r="OZQ6" i="20" s="1"/>
  <c r="OZP6" i="20"/>
  <c r="OZP6" i="20" a="1"/>
  <c r="OZO6" i="20"/>
  <c r="OZO6" i="20" a="1"/>
  <c r="OZN6" i="20" a="1"/>
  <c r="OZN6" i="20" s="1"/>
  <c r="OZM6" i="20"/>
  <c r="OZM6" i="20" a="1"/>
  <c r="OZL6" i="20" a="1"/>
  <c r="OZL6" i="20" s="1"/>
  <c r="OZK6" i="20"/>
  <c r="OZK6" i="20" a="1"/>
  <c r="OZJ6" i="20"/>
  <c r="OZJ6" i="20" a="1"/>
  <c r="OZI6" i="20" a="1"/>
  <c r="OZI6" i="20" s="1"/>
  <c r="OZH6" i="20"/>
  <c r="OZH6" i="20" a="1"/>
  <c r="OZG6" i="20" a="1"/>
  <c r="OZG6" i="20" s="1"/>
  <c r="OZF6" i="20" a="1"/>
  <c r="OZF6" i="20" s="1"/>
  <c r="OZE6" i="20" a="1"/>
  <c r="OZE6" i="20" s="1"/>
  <c r="OZD6" i="20" a="1"/>
  <c r="OZD6" i="20" s="1"/>
  <c r="OZC6" i="20"/>
  <c r="OZC6" i="20" a="1"/>
  <c r="OZB6" i="20" a="1"/>
  <c r="OZB6" i="20" s="1"/>
  <c r="OZA6" i="20"/>
  <c r="OZA6" i="20" a="1"/>
  <c r="OYZ6" i="20" a="1"/>
  <c r="OYZ6" i="20" s="1"/>
  <c r="OYY6" i="20" a="1"/>
  <c r="OYY6" i="20" s="1"/>
  <c r="OYX6" i="20"/>
  <c r="OYX6" i="20" a="1"/>
  <c r="OYW6" i="20"/>
  <c r="OYW6" i="20" a="1"/>
  <c r="OYV6" i="20" a="1"/>
  <c r="OYV6" i="20" s="1"/>
  <c r="OYU6" i="20" a="1"/>
  <c r="OYU6" i="20" s="1"/>
  <c r="OYT6" i="20" a="1"/>
  <c r="OYT6" i="20" s="1"/>
  <c r="OYS6" i="20"/>
  <c r="OYS6" i="20" a="1"/>
  <c r="OYR6" i="20" a="1"/>
  <c r="OYR6" i="20" s="1"/>
  <c r="OYQ6" i="20" a="1"/>
  <c r="OYQ6" i="20" s="1"/>
  <c r="OYP6" i="20"/>
  <c r="OYP6" i="20" a="1"/>
  <c r="OYO6" i="20"/>
  <c r="OYO6" i="20" a="1"/>
  <c r="OYN6" i="20" a="1"/>
  <c r="OYN6" i="20" s="1"/>
  <c r="OYM6" i="20" a="1"/>
  <c r="OYM6" i="20" s="1"/>
  <c r="OYL6" i="20" a="1"/>
  <c r="OYL6" i="20" s="1"/>
  <c r="OYK6" i="20"/>
  <c r="OYK6" i="20" a="1"/>
  <c r="OYJ6" i="20"/>
  <c r="OYJ6" i="20" a="1"/>
  <c r="OYI6" i="20" a="1"/>
  <c r="OYI6" i="20" s="1"/>
  <c r="OYH6" i="20" a="1"/>
  <c r="OYH6" i="20" s="1"/>
  <c r="OYG6" i="20"/>
  <c r="OYG6" i="20" a="1"/>
  <c r="OYF6" i="20"/>
  <c r="OYF6" i="20" a="1"/>
  <c r="OYE6" i="20" a="1"/>
  <c r="OYE6" i="20" s="1"/>
  <c r="OYD6" i="20" a="1"/>
  <c r="OYD6" i="20" s="1"/>
  <c r="OYC6" i="20"/>
  <c r="OYC6" i="20" a="1"/>
  <c r="OYB6" i="20" a="1"/>
  <c r="OYB6" i="20" s="1"/>
  <c r="OYA6" i="20" a="1"/>
  <c r="OYA6" i="20" s="1"/>
  <c r="OXZ6" i="20" a="1"/>
  <c r="OXZ6" i="20" s="1"/>
  <c r="OXY6" i="20" a="1"/>
  <c r="OXY6" i="20" s="1"/>
  <c r="OXX6" i="20"/>
  <c r="OXX6" i="20" a="1"/>
  <c r="OXW6" i="20"/>
  <c r="OXW6" i="20" a="1"/>
  <c r="OXV6" i="20" a="1"/>
  <c r="OXV6" i="20" s="1"/>
  <c r="OXU6" i="20"/>
  <c r="OXU6" i="20" a="1"/>
  <c r="OXT6" i="20" a="1"/>
  <c r="OXT6" i="20" s="1"/>
  <c r="OXS6" i="20"/>
  <c r="OXS6" i="20" a="1"/>
  <c r="OXR6" i="20" a="1"/>
  <c r="OXR6" i="20" s="1"/>
  <c r="OXQ6" i="20" a="1"/>
  <c r="OXQ6" i="20" s="1"/>
  <c r="OXP6" i="20" a="1"/>
  <c r="OXP6" i="20" s="1"/>
  <c r="OXO6" i="20" a="1"/>
  <c r="OXO6" i="20" s="1"/>
  <c r="OXN6" i="20"/>
  <c r="OXN6" i="20" a="1"/>
  <c r="OXM6" i="20"/>
  <c r="OXM6" i="20" a="1"/>
  <c r="OXL6" i="20" a="1"/>
  <c r="OXL6" i="20" s="1"/>
  <c r="OXK6" i="20"/>
  <c r="OXK6" i="20" a="1"/>
  <c r="OXJ6" i="20" a="1"/>
  <c r="OXJ6" i="20" s="1"/>
  <c r="OXI6" i="20"/>
  <c r="OXI6" i="20" a="1"/>
  <c r="OXH6" i="20" a="1"/>
  <c r="OXH6" i="20" s="1"/>
  <c r="OXG6" i="20"/>
  <c r="OXG6" i="20" a="1"/>
  <c r="OXF6" i="20"/>
  <c r="OXF6" i="20" a="1"/>
  <c r="OXE6" i="20" a="1"/>
  <c r="OXE6" i="20" s="1"/>
  <c r="OXD6" i="20" a="1"/>
  <c r="OXD6" i="20" s="1"/>
  <c r="OXC6" i="20"/>
  <c r="OXC6" i="20" a="1"/>
  <c r="OXB6" i="20" a="1"/>
  <c r="OXB6" i="20" s="1"/>
  <c r="OXA6" i="20" a="1"/>
  <c r="OXA6" i="20" s="1"/>
  <c r="OWZ6" i="20"/>
  <c r="OWZ6" i="20" a="1"/>
  <c r="OWY6" i="20" a="1"/>
  <c r="OWY6" i="20" s="1"/>
  <c r="OWX6" i="20" a="1"/>
  <c r="OWX6" i="20" s="1"/>
  <c r="OWW6" i="20" a="1"/>
  <c r="OWW6" i="20" s="1"/>
  <c r="OWV6" i="20"/>
  <c r="OWV6" i="20" a="1"/>
  <c r="OWU6" i="20"/>
  <c r="OWU6" i="20" a="1"/>
  <c r="OWT6" i="20"/>
  <c r="OWT6" i="20" a="1"/>
  <c r="OWS6" i="20"/>
  <c r="OWS6" i="20" a="1"/>
  <c r="OWR6" i="20" a="1"/>
  <c r="OWR6" i="20" s="1"/>
  <c r="OWQ6" i="20"/>
  <c r="OWQ6" i="20" a="1"/>
  <c r="OWP6" i="20"/>
  <c r="OWP6" i="20" a="1"/>
  <c r="OWO6" i="20" a="1"/>
  <c r="OWO6" i="20" s="1"/>
  <c r="OWN6" i="20"/>
  <c r="OWN6" i="20" a="1"/>
  <c r="OWM6" i="20"/>
  <c r="OWM6" i="20" a="1"/>
  <c r="OWL6" i="20" a="1"/>
  <c r="OWL6" i="20" s="1"/>
  <c r="OWK6" i="20"/>
  <c r="OWK6" i="20" a="1"/>
  <c r="OWJ6" i="20" a="1"/>
  <c r="OWJ6" i="20" s="1"/>
  <c r="OWI6" i="20"/>
  <c r="OWI6" i="20" a="1"/>
  <c r="OWH6" i="20"/>
  <c r="OWH6" i="20" a="1"/>
  <c r="OWG6" i="20"/>
  <c r="OWG6" i="20" a="1"/>
  <c r="OWF6" i="20" a="1"/>
  <c r="OWF6" i="20" s="1"/>
  <c r="OWE6" i="20" a="1"/>
  <c r="OWE6" i="20" s="1"/>
  <c r="OWD6" i="20"/>
  <c r="OWD6" i="20" a="1"/>
  <c r="OWC6" i="20"/>
  <c r="OWC6" i="20" a="1"/>
  <c r="OWB6" i="20" a="1"/>
  <c r="OWB6" i="20" s="1"/>
  <c r="OWA6" i="20" a="1"/>
  <c r="OWA6" i="20" s="1"/>
  <c r="OVZ6" i="20" a="1"/>
  <c r="OVZ6" i="20" s="1"/>
  <c r="OVY6" i="20"/>
  <c r="OVY6" i="20" a="1"/>
  <c r="OVX6" i="20"/>
  <c r="OVX6" i="20" a="1"/>
  <c r="OVW6" i="20" a="1"/>
  <c r="OVW6" i="20" s="1"/>
  <c r="OVV6" i="20"/>
  <c r="OVV6" i="20" a="1"/>
  <c r="OVU6" i="20"/>
  <c r="OVU6" i="20" a="1"/>
  <c r="OVT6" i="20" a="1"/>
  <c r="OVT6" i="20" s="1"/>
  <c r="OVS6" i="20"/>
  <c r="OVS6" i="20" a="1"/>
  <c r="OVR6" i="20" a="1"/>
  <c r="OVR6" i="20" s="1"/>
  <c r="OVQ6" i="20"/>
  <c r="OVQ6" i="20" a="1"/>
  <c r="OVP6" i="20"/>
  <c r="OVP6" i="20" a="1"/>
  <c r="OVO6" i="20" a="1"/>
  <c r="OVO6" i="20" s="1"/>
  <c r="OVN6" i="20" a="1"/>
  <c r="OVN6" i="20" s="1"/>
  <c r="OVM6" i="20"/>
  <c r="OVM6" i="20" a="1"/>
  <c r="OVL6" i="20"/>
  <c r="OVL6" i="20" a="1"/>
  <c r="OVK6" i="20" a="1"/>
  <c r="OVK6" i="20" s="1"/>
  <c r="OVJ6" i="20" a="1"/>
  <c r="OVJ6" i="20" s="1"/>
  <c r="OVI6" i="20"/>
  <c r="OVI6" i="20" a="1"/>
  <c r="OVH6" i="20" a="1"/>
  <c r="OVH6" i="20" s="1"/>
  <c r="OVG6" i="20"/>
  <c r="OVG6" i="20" a="1"/>
  <c r="OVF6" i="20"/>
  <c r="OVF6" i="20" a="1"/>
  <c r="OVE6" i="20" a="1"/>
  <c r="OVE6" i="20" s="1"/>
  <c r="OVD6" i="20"/>
  <c r="OVD6" i="20" a="1"/>
  <c r="OVC6" i="20"/>
  <c r="OVC6" i="20" a="1"/>
  <c r="OVB6" i="20" a="1"/>
  <c r="OVB6" i="20" s="1"/>
  <c r="OVA6" i="20" a="1"/>
  <c r="OVA6" i="20" s="1"/>
  <c r="OUZ6" i="20"/>
  <c r="OUZ6" i="20" a="1"/>
  <c r="OUY6" i="20"/>
  <c r="OUY6" i="20" a="1"/>
  <c r="OUX6" i="20" a="1"/>
  <c r="OUX6" i="20" s="1"/>
  <c r="OUW6" i="20" a="1"/>
  <c r="OUW6" i="20" s="1"/>
  <c r="OUV6" i="20" a="1"/>
  <c r="OUV6" i="20" s="1"/>
  <c r="OUU6" i="20" a="1"/>
  <c r="OUU6" i="20" s="1"/>
  <c r="OUT6" i="20"/>
  <c r="OUT6" i="20" a="1"/>
  <c r="OUS6" i="20" a="1"/>
  <c r="OUS6" i="20" s="1"/>
  <c r="OUR6" i="20" a="1"/>
  <c r="OUR6" i="20" s="1"/>
  <c r="OUQ6" i="20"/>
  <c r="OUQ6" i="20" a="1"/>
  <c r="OUP6" i="20" a="1"/>
  <c r="OUP6" i="20" s="1"/>
  <c r="OUO6" i="20"/>
  <c r="OUO6" i="20" a="1"/>
  <c r="OUN6" i="20"/>
  <c r="OUN6" i="20" a="1"/>
  <c r="OUM6" i="20"/>
  <c r="OUM6" i="20" a="1"/>
  <c r="OUL6" i="20"/>
  <c r="OUL6" i="20" a="1"/>
  <c r="OUK6" i="20"/>
  <c r="OUK6" i="20" a="1"/>
  <c r="OUJ6" i="20" a="1"/>
  <c r="OUJ6" i="20" s="1"/>
  <c r="OUI6" i="20"/>
  <c r="OUI6" i="20" a="1"/>
  <c r="OUH6" i="20" a="1"/>
  <c r="OUH6" i="20" s="1"/>
  <c r="OUG6" i="20"/>
  <c r="OUG6" i="20" a="1"/>
  <c r="OUF6" i="20"/>
  <c r="OUF6" i="20" a="1"/>
  <c r="OUE6" i="20" a="1"/>
  <c r="OUE6" i="20" s="1"/>
  <c r="OUD6" i="20" a="1"/>
  <c r="OUD6" i="20" s="1"/>
  <c r="OUC6" i="20" a="1"/>
  <c r="OUC6" i="20" s="1"/>
  <c r="OUB6" i="20"/>
  <c r="OUB6" i="20" a="1"/>
  <c r="OUA6" i="20" a="1"/>
  <c r="OUA6" i="20" s="1"/>
  <c r="OTZ6" i="20" a="1"/>
  <c r="OTZ6" i="20" s="1"/>
  <c r="OTY6" i="20"/>
  <c r="OTY6" i="20" a="1"/>
  <c r="OTX6" i="20" a="1"/>
  <c r="OTX6" i="20" s="1"/>
  <c r="OTW6" i="20"/>
  <c r="OTW6" i="20" a="1"/>
  <c r="OTV6" i="20"/>
  <c r="OTV6" i="20" a="1"/>
  <c r="OTU6" i="20" a="1"/>
  <c r="OTU6" i="20" s="1"/>
  <c r="OTT6" i="20" a="1"/>
  <c r="OTT6" i="20" s="1"/>
  <c r="OTS6" i="20" a="1"/>
  <c r="OTS6" i="20" s="1"/>
  <c r="OTR6" i="20" a="1"/>
  <c r="OTR6" i="20" s="1"/>
  <c r="OTQ6" i="20"/>
  <c r="OTQ6" i="20" a="1"/>
  <c r="OTP6" i="20" a="1"/>
  <c r="OTP6" i="20" s="1"/>
  <c r="OTO6" i="20"/>
  <c r="OTO6" i="20" a="1"/>
  <c r="OTN6" i="20"/>
  <c r="OTN6" i="20" a="1"/>
  <c r="OTM6" i="20" a="1"/>
  <c r="OTM6" i="20" s="1"/>
  <c r="OTL6" i="20" a="1"/>
  <c r="OTL6" i="20" s="1"/>
  <c r="OTK6" i="20" a="1"/>
  <c r="OTK6" i="20" s="1"/>
  <c r="OTJ6" i="20"/>
  <c r="OTJ6" i="20" a="1"/>
  <c r="OTI6" i="20" a="1"/>
  <c r="OTI6" i="20" s="1"/>
  <c r="OTH6" i="20" a="1"/>
  <c r="OTH6" i="20" s="1"/>
  <c r="OTG6" i="20"/>
  <c r="OTG6" i="20" a="1"/>
  <c r="OTF6" i="20" a="1"/>
  <c r="OTF6" i="20" s="1"/>
  <c r="OTE6" i="20"/>
  <c r="OTE6" i="20" a="1"/>
  <c r="OTD6" i="20" a="1"/>
  <c r="OTD6" i="20" s="1"/>
  <c r="OTC6" i="20" a="1"/>
  <c r="OTC6" i="20" s="1"/>
  <c r="OTB6" i="20"/>
  <c r="OTB6" i="20" a="1"/>
  <c r="OTA6" i="20" a="1"/>
  <c r="OTA6" i="20" s="1"/>
  <c r="OSZ6" i="20" a="1"/>
  <c r="OSZ6" i="20" s="1"/>
  <c r="OSY6" i="20"/>
  <c r="OSY6" i="20" a="1"/>
  <c r="OSX6" i="20" a="1"/>
  <c r="OSX6" i="20" s="1"/>
  <c r="OSW6" i="20"/>
  <c r="OSW6" i="20" a="1"/>
  <c r="OSV6" i="20"/>
  <c r="OSV6" i="20" a="1"/>
  <c r="OSU6" i="20" a="1"/>
  <c r="OSU6" i="20" s="1"/>
  <c r="OST6" i="20" a="1"/>
  <c r="OST6" i="20" s="1"/>
  <c r="OSS6" i="20" a="1"/>
  <c r="OSS6" i="20" s="1"/>
  <c r="OSR6" i="20"/>
  <c r="OSR6" i="20" a="1"/>
  <c r="OSQ6" i="20"/>
  <c r="OSQ6" i="20" a="1"/>
  <c r="OSP6" i="20" a="1"/>
  <c r="OSP6" i="20" s="1"/>
  <c r="OSO6" i="20"/>
  <c r="OSO6" i="20" a="1"/>
  <c r="OSN6" i="20" a="1"/>
  <c r="OSN6" i="20" s="1"/>
  <c r="OSM6" i="20"/>
  <c r="OSM6" i="20" a="1"/>
  <c r="OSL6" i="20" a="1"/>
  <c r="OSL6" i="20" s="1"/>
  <c r="OSK6" i="20" a="1"/>
  <c r="OSK6" i="20" s="1"/>
  <c r="OSJ6" i="20"/>
  <c r="OSJ6" i="20" a="1"/>
  <c r="OSI6" i="20" a="1"/>
  <c r="OSI6" i="20" s="1"/>
  <c r="OSH6" i="20" a="1"/>
  <c r="OSH6" i="20" s="1"/>
  <c r="OSG6" i="20"/>
  <c r="OSG6" i="20" a="1"/>
  <c r="OSF6" i="20"/>
  <c r="OSF6" i="20" a="1"/>
  <c r="OSE6" i="20"/>
  <c r="OSE6" i="20" a="1"/>
  <c r="OSD6" i="20"/>
  <c r="OSD6" i="20" a="1"/>
  <c r="OSC6" i="20" a="1"/>
  <c r="OSC6" i="20" s="1"/>
  <c r="OSB6" i="20" a="1"/>
  <c r="OSB6" i="20" s="1"/>
  <c r="OSA6" i="20" a="1"/>
  <c r="OSA6" i="20" s="1"/>
  <c r="ORZ6" i="20" a="1"/>
  <c r="ORZ6" i="20" s="1"/>
  <c r="ORY6" i="20"/>
  <c r="ORY6" i="20" a="1"/>
  <c r="ORX6" i="20" a="1"/>
  <c r="ORX6" i="20" s="1"/>
  <c r="ORW6" i="20"/>
  <c r="ORW6" i="20" a="1"/>
  <c r="ORV6" i="20" a="1"/>
  <c r="ORV6" i="20" s="1"/>
  <c r="ORU6" i="20"/>
  <c r="ORU6" i="20" a="1"/>
  <c r="ORT6" i="20" a="1"/>
  <c r="ORT6" i="20" s="1"/>
  <c r="ORS6" i="20" a="1"/>
  <c r="ORS6" i="20" s="1"/>
  <c r="ORR6" i="20"/>
  <c r="ORR6" i="20" a="1"/>
  <c r="ORQ6" i="20" a="1"/>
  <c r="ORQ6" i="20" s="1"/>
  <c r="ORP6" i="20" a="1"/>
  <c r="ORP6" i="20" s="1"/>
  <c r="ORO6" i="20"/>
  <c r="ORO6" i="20" a="1"/>
  <c r="ORN6" i="20" a="1"/>
  <c r="ORN6" i="20" s="1"/>
  <c r="ORM6" i="20" a="1"/>
  <c r="ORM6" i="20" s="1"/>
  <c r="ORL6" i="20" a="1"/>
  <c r="ORL6" i="20" s="1"/>
  <c r="ORK6" i="20" a="1"/>
  <c r="ORK6" i="20" s="1"/>
  <c r="ORJ6" i="20" a="1"/>
  <c r="ORJ6" i="20" s="1"/>
  <c r="ORI6" i="20" a="1"/>
  <c r="ORI6" i="20" s="1"/>
  <c r="ORH6" i="20"/>
  <c r="ORH6" i="20" a="1"/>
  <c r="ORG6" i="20"/>
  <c r="ORG6" i="20" a="1"/>
  <c r="ORF6" i="20"/>
  <c r="ORF6" i="20" a="1"/>
  <c r="ORE6" i="20"/>
  <c r="ORE6" i="20" a="1"/>
  <c r="ORD6" i="20" a="1"/>
  <c r="ORD6" i="20" s="1"/>
  <c r="ORC6" i="20"/>
  <c r="ORC6" i="20" a="1"/>
  <c r="ORB6" i="20" a="1"/>
  <c r="ORB6" i="20" s="1"/>
  <c r="ORA6" i="20" a="1"/>
  <c r="ORA6" i="20" s="1"/>
  <c r="OQZ6" i="20"/>
  <c r="OQZ6" i="20" a="1"/>
  <c r="OQY6" i="20"/>
  <c r="OQY6" i="20" a="1"/>
  <c r="OQX6" i="20" a="1"/>
  <c r="OQX6" i="20" s="1"/>
  <c r="OQW6" i="20" a="1"/>
  <c r="OQW6" i="20" s="1"/>
  <c r="OQV6" i="20" a="1"/>
  <c r="OQV6" i="20" s="1"/>
  <c r="OQU6" i="20"/>
  <c r="OQU6" i="20" a="1"/>
  <c r="OQT6" i="20" a="1"/>
  <c r="OQT6" i="20" s="1"/>
  <c r="OQS6" i="20"/>
  <c r="OQS6" i="20" a="1"/>
  <c r="OQR6" i="20" a="1"/>
  <c r="OQR6" i="20" s="1"/>
  <c r="OQQ6" i="20" a="1"/>
  <c r="OQQ6" i="20" s="1"/>
  <c r="OQP6" i="20"/>
  <c r="OQP6" i="20" a="1"/>
  <c r="OQO6" i="20"/>
  <c r="OQO6" i="20" a="1"/>
  <c r="OQN6" i="20" a="1"/>
  <c r="OQN6" i="20" s="1"/>
  <c r="OQM6" i="20" a="1"/>
  <c r="OQM6" i="20" s="1"/>
  <c r="OQL6" i="20" a="1"/>
  <c r="OQL6" i="20" s="1"/>
  <c r="OQK6" i="20"/>
  <c r="OQK6" i="20" a="1"/>
  <c r="OQJ6" i="20"/>
  <c r="OQJ6" i="20" a="1"/>
  <c r="OQI6" i="20" a="1"/>
  <c r="OQI6" i="20" s="1"/>
  <c r="OQH6" i="20"/>
  <c r="OQH6" i="20" a="1"/>
  <c r="OQG6" i="20"/>
  <c r="OQG6" i="20" a="1"/>
  <c r="OQF6" i="20" a="1"/>
  <c r="OQF6" i="20" s="1"/>
  <c r="OQE6" i="20" a="1"/>
  <c r="OQE6" i="20" s="1"/>
  <c r="OQD6" i="20" a="1"/>
  <c r="OQD6" i="20" s="1"/>
  <c r="OQC6" i="20"/>
  <c r="OQC6" i="20" a="1"/>
  <c r="OQB6" i="20" a="1"/>
  <c r="OQB6" i="20" s="1"/>
  <c r="OQA6" i="20" a="1"/>
  <c r="OQA6" i="20" s="1"/>
  <c r="OPZ6" i="20" a="1"/>
  <c r="OPZ6" i="20" s="1"/>
  <c r="OPY6" i="20"/>
  <c r="OPY6" i="20" a="1"/>
  <c r="OPX6" i="20"/>
  <c r="OPX6" i="20" a="1"/>
  <c r="OPW6" i="20"/>
  <c r="OPW6" i="20" a="1"/>
  <c r="OPV6" i="20" a="1"/>
  <c r="OPV6" i="20" s="1"/>
  <c r="OPU6" i="20"/>
  <c r="OPU6" i="20" a="1"/>
  <c r="OPT6" i="20" a="1"/>
  <c r="OPT6" i="20" s="1"/>
  <c r="OPS6" i="20" a="1"/>
  <c r="OPS6" i="20" s="1"/>
  <c r="OPR6" i="20"/>
  <c r="OPR6" i="20" a="1"/>
  <c r="OPQ6" i="20" a="1"/>
  <c r="OPQ6" i="20" s="1"/>
  <c r="OPP6" i="20"/>
  <c r="OPP6" i="20" a="1"/>
  <c r="OPO6" i="20"/>
  <c r="OPO6" i="20" a="1"/>
  <c r="OPN6" i="20" a="1"/>
  <c r="OPN6" i="20" s="1"/>
  <c r="OPM6" i="20" a="1"/>
  <c r="OPM6" i="20" s="1"/>
  <c r="OPL6" i="20" a="1"/>
  <c r="OPL6" i="20" s="1"/>
  <c r="OPK6" i="20"/>
  <c r="OPK6" i="20" a="1"/>
  <c r="OPJ6" i="20" a="1"/>
  <c r="OPJ6" i="20" s="1"/>
  <c r="OPI6" i="20" a="1"/>
  <c r="OPI6" i="20" s="1"/>
  <c r="OPH6" i="20" a="1"/>
  <c r="OPH6" i="20" s="1"/>
  <c r="OPG6" i="20" a="1"/>
  <c r="OPG6" i="20" s="1"/>
  <c r="OPF6" i="20"/>
  <c r="OPF6" i="20" a="1"/>
  <c r="OPE6" i="20"/>
  <c r="OPE6" i="20" a="1"/>
  <c r="OPD6" i="20" a="1"/>
  <c r="OPD6" i="20" s="1"/>
  <c r="OPC6" i="20"/>
  <c r="OPC6" i="20" a="1"/>
  <c r="OPB6" i="20" a="1"/>
  <c r="OPB6" i="20" s="1"/>
  <c r="OPA6" i="20"/>
  <c r="OPA6" i="20" a="1"/>
  <c r="OOZ6" i="20"/>
  <c r="OOZ6" i="20" a="1"/>
  <c r="OOY6" i="20"/>
  <c r="OOY6" i="20" a="1"/>
  <c r="OOX6" i="20"/>
  <c r="OOX6" i="20" a="1"/>
  <c r="OOW6" i="20"/>
  <c r="OOW6" i="20" a="1"/>
  <c r="OOV6" i="20" a="1"/>
  <c r="OOV6" i="20" s="1"/>
  <c r="OOU6" i="20" a="1"/>
  <c r="OOU6" i="20" s="1"/>
  <c r="OOT6" i="20" a="1"/>
  <c r="OOT6" i="20" s="1"/>
  <c r="OOS6" i="20"/>
  <c r="OOS6" i="20" a="1"/>
  <c r="OOR6" i="20" a="1"/>
  <c r="OOR6" i="20" s="1"/>
  <c r="OOQ6" i="20" a="1"/>
  <c r="OOQ6" i="20" s="1"/>
  <c r="OOP6" i="20"/>
  <c r="OOP6" i="20" a="1"/>
  <c r="OOO6" i="20"/>
  <c r="OOO6" i="20" a="1"/>
  <c r="OON6" i="20" a="1"/>
  <c r="OON6" i="20" s="1"/>
  <c r="OOM6" i="20" a="1"/>
  <c r="OOM6" i="20" s="1"/>
  <c r="OOL6" i="20"/>
  <c r="OOL6" i="20" a="1"/>
  <c r="OOK6" i="20" a="1"/>
  <c r="OOK6" i="20" s="1"/>
  <c r="OOJ6" i="20"/>
  <c r="OOJ6" i="20" a="1"/>
  <c r="OOI6" i="20" a="1"/>
  <c r="OOI6" i="20" s="1"/>
  <c r="OOH6" i="20" a="1"/>
  <c r="OOH6" i="20" s="1"/>
  <c r="OOG6" i="20"/>
  <c r="OOG6" i="20" a="1"/>
  <c r="OOF6" i="20" a="1"/>
  <c r="OOF6" i="20" s="1"/>
  <c r="OOE6" i="20" a="1"/>
  <c r="OOE6" i="20" s="1"/>
  <c r="OOD6" i="20"/>
  <c r="OOD6" i="20" a="1"/>
  <c r="OOC6" i="20" a="1"/>
  <c r="OOC6" i="20" s="1"/>
  <c r="OOB6" i="20" a="1"/>
  <c r="OOB6" i="20" s="1"/>
  <c r="OOA6" i="20"/>
  <c r="OOA6" i="20" a="1"/>
  <c r="ONZ6" i="20"/>
  <c r="ONZ6" i="20" a="1"/>
  <c r="ONY6" i="20" a="1"/>
  <c r="ONY6" i="20" s="1"/>
  <c r="ONX6" i="20"/>
  <c r="ONX6" i="20" a="1"/>
  <c r="ONW6" i="20"/>
  <c r="ONW6" i="20" a="1"/>
  <c r="ONV6" i="20" a="1"/>
  <c r="ONV6" i="20" s="1"/>
  <c r="ONU6" i="20"/>
  <c r="ONU6" i="20" a="1"/>
  <c r="ONT6" i="20"/>
  <c r="ONT6" i="20" a="1"/>
  <c r="ONS6" i="20" a="1"/>
  <c r="ONS6" i="20" s="1"/>
  <c r="ONR6" i="20" a="1"/>
  <c r="ONR6" i="20" s="1"/>
  <c r="ONQ6" i="20"/>
  <c r="ONQ6" i="20" a="1"/>
  <c r="ONP6" i="20" a="1"/>
  <c r="ONP6" i="20" s="1"/>
  <c r="ONO6" i="20"/>
  <c r="ONO6" i="20" a="1"/>
  <c r="ONN6" i="20"/>
  <c r="ONN6" i="20" a="1"/>
  <c r="ONM6" i="20" a="1"/>
  <c r="ONM6" i="20" s="1"/>
  <c r="ONL6" i="20"/>
  <c r="ONL6" i="20" a="1"/>
  <c r="ONK6" i="20" a="1"/>
  <c r="ONK6" i="20" s="1"/>
  <c r="ONJ6" i="20" a="1"/>
  <c r="ONJ6" i="20" s="1"/>
  <c r="ONI6" i="20"/>
  <c r="ONI6" i="20" a="1"/>
  <c r="ONH6" i="20"/>
  <c r="ONH6" i="20" a="1"/>
  <c r="ONG6" i="20" a="1"/>
  <c r="ONG6" i="20" s="1"/>
  <c r="ONF6" i="20" a="1"/>
  <c r="ONF6" i="20" s="1"/>
  <c r="ONE6" i="20"/>
  <c r="ONE6" i="20" a="1"/>
  <c r="OND6" i="20" a="1"/>
  <c r="OND6" i="20" s="1"/>
  <c r="ONC6" i="20" a="1"/>
  <c r="ONC6" i="20" s="1"/>
  <c r="ONB6" i="20"/>
  <c r="ONB6" i="20" a="1"/>
  <c r="ONA6" i="20" a="1"/>
  <c r="ONA6" i="20" s="1"/>
  <c r="OMZ6" i="20" a="1"/>
  <c r="OMZ6" i="20" s="1"/>
  <c r="OMY6" i="20" a="1"/>
  <c r="OMY6" i="20" s="1"/>
  <c r="OMX6" i="20" a="1"/>
  <c r="OMX6" i="20" s="1"/>
  <c r="OMW6" i="20"/>
  <c r="OMW6" i="20" a="1"/>
  <c r="OMV6" i="20" a="1"/>
  <c r="OMV6" i="20" s="1"/>
  <c r="OMU6" i="20" a="1"/>
  <c r="OMU6" i="20" s="1"/>
  <c r="OMT6" i="20"/>
  <c r="OMT6" i="20" a="1"/>
  <c r="OMS6" i="20" a="1"/>
  <c r="OMS6" i="20" s="1"/>
  <c r="OMR6" i="20" a="1"/>
  <c r="OMR6" i="20" s="1"/>
  <c r="OMQ6" i="20"/>
  <c r="OMQ6" i="20" a="1"/>
  <c r="OMP6" i="20"/>
  <c r="OMP6" i="20" a="1"/>
  <c r="OMO6" i="20" a="1"/>
  <c r="OMO6" i="20" s="1"/>
  <c r="OMN6" i="20"/>
  <c r="OMN6" i="20" a="1"/>
  <c r="OMM6" i="20"/>
  <c r="OMM6" i="20" a="1"/>
  <c r="OML6" i="20" a="1"/>
  <c r="OML6" i="20" s="1"/>
  <c r="OMK6" i="20"/>
  <c r="OMK6" i="20" a="1"/>
  <c r="OMJ6" i="20"/>
  <c r="OMJ6" i="20" a="1"/>
  <c r="OMI6" i="20" a="1"/>
  <c r="OMI6" i="20" s="1"/>
  <c r="OMH6" i="20" a="1"/>
  <c r="OMH6" i="20" s="1"/>
  <c r="OMG6" i="20"/>
  <c r="OMG6" i="20" a="1"/>
  <c r="OMF6" i="20" a="1"/>
  <c r="OMF6" i="20" s="1"/>
  <c r="OME6" i="20"/>
  <c r="OME6" i="20" a="1"/>
  <c r="OMD6" i="20"/>
  <c r="OMD6" i="20" a="1"/>
  <c r="OMC6" i="20" a="1"/>
  <c r="OMC6" i="20" s="1"/>
  <c r="OMB6" i="20"/>
  <c r="OMB6" i="20" a="1"/>
  <c r="OMA6" i="20" a="1"/>
  <c r="OMA6" i="20" s="1"/>
  <c r="OLZ6" i="20" a="1"/>
  <c r="OLZ6" i="20" s="1"/>
  <c r="OLY6" i="20"/>
  <c r="OLY6" i="20" a="1"/>
  <c r="OLX6" i="20"/>
  <c r="OLX6" i="20" a="1"/>
  <c r="OLW6" i="20" a="1"/>
  <c r="OLW6" i="20" s="1"/>
  <c r="OLV6" i="20" a="1"/>
  <c r="OLV6" i="20" s="1"/>
  <c r="OLU6" i="20"/>
  <c r="OLU6" i="20" a="1"/>
  <c r="OLT6" i="20" a="1"/>
  <c r="OLT6" i="20" s="1"/>
  <c r="OLS6" i="20" a="1"/>
  <c r="OLS6" i="20" s="1"/>
  <c r="OLR6" i="20"/>
  <c r="OLR6" i="20" a="1"/>
  <c r="OLQ6" i="20" a="1"/>
  <c r="OLQ6" i="20" s="1"/>
  <c r="OLP6" i="20" a="1"/>
  <c r="OLP6" i="20" s="1"/>
  <c r="OLO6" i="20" a="1"/>
  <c r="OLO6" i="20" s="1"/>
  <c r="OLN6" i="20" a="1"/>
  <c r="OLN6" i="20" s="1"/>
  <c r="OLM6" i="20"/>
  <c r="OLM6" i="20" a="1"/>
  <c r="OLL6" i="20" a="1"/>
  <c r="OLL6" i="20" s="1"/>
  <c r="OLK6" i="20" a="1"/>
  <c r="OLK6" i="20" s="1"/>
  <c r="OLJ6" i="20"/>
  <c r="OLJ6" i="20" a="1"/>
  <c r="OLI6" i="20" a="1"/>
  <c r="OLI6" i="20" s="1"/>
  <c r="OLH6" i="20" a="1"/>
  <c r="OLH6" i="20" s="1"/>
  <c r="OLG6" i="20"/>
  <c r="OLG6" i="20" a="1"/>
  <c r="OLF6" i="20"/>
  <c r="OLF6" i="20" a="1"/>
  <c r="OLE6" i="20" a="1"/>
  <c r="OLE6" i="20" s="1"/>
  <c r="OLD6" i="20"/>
  <c r="OLD6" i="20" a="1"/>
  <c r="OLC6" i="20"/>
  <c r="OLC6" i="20" a="1"/>
  <c r="OLB6" i="20" a="1"/>
  <c r="OLB6" i="20" s="1"/>
  <c r="OLA6" i="20"/>
  <c r="OLA6" i="20" a="1"/>
  <c r="OKZ6" i="20"/>
  <c r="OKZ6" i="20" a="1"/>
  <c r="OKY6" i="20" a="1"/>
  <c r="OKY6" i="20" s="1"/>
  <c r="OKX6" i="20" a="1"/>
  <c r="OKX6" i="20" s="1"/>
  <c r="OKW6" i="20"/>
  <c r="OKW6" i="20" a="1"/>
  <c r="OKV6" i="20" a="1"/>
  <c r="OKV6" i="20" s="1"/>
  <c r="OKU6" i="20"/>
  <c r="OKU6" i="20" a="1"/>
  <c r="OKT6" i="20"/>
  <c r="OKT6" i="20" a="1"/>
  <c r="OKS6" i="20" a="1"/>
  <c r="OKS6" i="20" s="1"/>
  <c r="OKR6" i="20"/>
  <c r="OKR6" i="20" a="1"/>
  <c r="OKQ6" i="20" a="1"/>
  <c r="OKQ6" i="20" s="1"/>
  <c r="OKP6" i="20" a="1"/>
  <c r="OKP6" i="20" s="1"/>
  <c r="OKO6" i="20"/>
  <c r="OKO6" i="20" a="1"/>
  <c r="OKN6" i="20"/>
  <c r="OKN6" i="20" a="1"/>
  <c r="OKM6" i="20" a="1"/>
  <c r="OKM6" i="20" s="1"/>
  <c r="OKL6" i="20" a="1"/>
  <c r="OKL6" i="20" s="1"/>
  <c r="OKK6" i="20"/>
  <c r="OKK6" i="20" a="1"/>
  <c r="OKJ6" i="20" a="1"/>
  <c r="OKJ6" i="20" s="1"/>
  <c r="OKI6" i="20" a="1"/>
  <c r="OKI6" i="20" s="1"/>
  <c r="OKH6" i="20"/>
  <c r="OKH6" i="20" a="1"/>
  <c r="OKG6" i="20" a="1"/>
  <c r="OKG6" i="20" s="1"/>
  <c r="OKF6" i="20" a="1"/>
  <c r="OKF6" i="20" s="1"/>
  <c r="OKE6" i="20" a="1"/>
  <c r="OKE6" i="20" s="1"/>
  <c r="OKD6" i="20"/>
  <c r="OKD6" i="20" a="1"/>
  <c r="OKC6" i="20" a="1"/>
  <c r="OKC6" i="20" s="1"/>
  <c r="OKB6" i="20"/>
  <c r="OKB6" i="20" a="1"/>
  <c r="OKA6" i="20" a="1"/>
  <c r="OKA6" i="20" s="1"/>
  <c r="OJZ6" i="20"/>
  <c r="OJZ6" i="20" a="1"/>
  <c r="OJY6" i="20"/>
  <c r="OJY6" i="20" a="1"/>
  <c r="OJX6" i="20"/>
  <c r="OJX6" i="20" a="1"/>
  <c r="OJW6" i="20"/>
  <c r="OJW6" i="20" a="1"/>
  <c r="OJV6" i="20" a="1"/>
  <c r="OJV6" i="20" s="1"/>
  <c r="OJU6" i="20" a="1"/>
  <c r="OJU6" i="20" s="1"/>
  <c r="OJT6" i="20"/>
  <c r="OJT6" i="20" a="1"/>
  <c r="OJS6" i="20" a="1"/>
  <c r="OJS6" i="20" s="1"/>
  <c r="OJR6" i="20" a="1"/>
  <c r="OJR6" i="20" s="1"/>
  <c r="OJQ6" i="20"/>
  <c r="OJQ6" i="20" a="1"/>
  <c r="OJP6" i="20" a="1"/>
  <c r="OJP6" i="20" s="1"/>
  <c r="OJO6" i="20" a="1"/>
  <c r="OJO6" i="20" s="1"/>
  <c r="OJN6" i="20"/>
  <c r="OJN6" i="20" a="1"/>
  <c r="OJM6" i="20"/>
  <c r="OJM6" i="20" a="1"/>
  <c r="OJL6" i="20"/>
  <c r="OJL6" i="20" a="1"/>
  <c r="OJK6" i="20"/>
  <c r="OJK6" i="20" a="1"/>
  <c r="OJJ6" i="20"/>
  <c r="OJJ6" i="20" a="1"/>
  <c r="OJI6" i="20" a="1"/>
  <c r="OJI6" i="20" s="1"/>
  <c r="OJH6" i="20"/>
  <c r="OJH6" i="20" a="1"/>
  <c r="OJG6" i="20"/>
  <c r="OJG6" i="20" a="1"/>
  <c r="OJF6" i="20" a="1"/>
  <c r="OJF6" i="20" s="1"/>
  <c r="OJE6" i="20" a="1"/>
  <c r="OJE6" i="20" s="1"/>
  <c r="OJD6" i="20"/>
  <c r="OJD6" i="20" a="1"/>
  <c r="OJC6" i="20" a="1"/>
  <c r="OJC6" i="20" s="1"/>
  <c r="OJB6" i="20" a="1"/>
  <c r="OJB6" i="20" s="1"/>
  <c r="OJA6" i="20"/>
  <c r="OJA6" i="20" a="1"/>
  <c r="OIZ6" i="20"/>
  <c r="OIZ6" i="20" a="1"/>
  <c r="OIY6" i="20"/>
  <c r="OIY6" i="20" a="1"/>
  <c r="OIX6" i="20"/>
  <c r="OIX6" i="20" a="1"/>
  <c r="OIW6" i="20" a="1"/>
  <c r="OIW6" i="20" s="1"/>
  <c r="OIV6" i="20" a="1"/>
  <c r="OIV6" i="20" s="1"/>
  <c r="OIU6" i="20"/>
  <c r="OIU6" i="20" a="1"/>
  <c r="OIT6" i="20"/>
  <c r="OIT6" i="20" a="1"/>
  <c r="OIS6" i="20" a="1"/>
  <c r="OIS6" i="20" s="1"/>
  <c r="OIR6" i="20" a="1"/>
  <c r="OIR6" i="20" s="1"/>
  <c r="OIQ6" i="20" a="1"/>
  <c r="OIQ6" i="20" s="1"/>
  <c r="OIP6" i="20"/>
  <c r="OIP6" i="20" a="1"/>
  <c r="OIO6" i="20" a="1"/>
  <c r="OIO6" i="20" s="1"/>
  <c r="OIN6" i="20"/>
  <c r="OIN6" i="20" a="1"/>
  <c r="OIM6" i="20"/>
  <c r="OIM6" i="20" a="1"/>
  <c r="OIL6" i="20"/>
  <c r="OIL6" i="20" a="1"/>
  <c r="OIK6" i="20" a="1"/>
  <c r="OIK6" i="20" s="1"/>
  <c r="OIJ6" i="20"/>
  <c r="OIJ6" i="20" a="1"/>
  <c r="OII6" i="20" a="1"/>
  <c r="OII6" i="20" s="1"/>
  <c r="OIH6" i="20"/>
  <c r="OIH6" i="20" a="1"/>
  <c r="OIG6" i="20"/>
  <c r="OIG6" i="20" a="1"/>
  <c r="OIF6" i="20" a="1"/>
  <c r="OIF6" i="20" s="1"/>
  <c r="OIE6" i="20" a="1"/>
  <c r="OIE6" i="20" s="1"/>
  <c r="OID6" i="20"/>
  <c r="OID6" i="20" a="1"/>
  <c r="OIC6" i="20"/>
  <c r="OIC6" i="20" a="1"/>
  <c r="OIB6" i="20" a="1"/>
  <c r="OIB6" i="20" s="1"/>
  <c r="OIA6" i="20"/>
  <c r="OIA6" i="20" a="1"/>
  <c r="OHZ6" i="20"/>
  <c r="OHZ6" i="20" a="1"/>
  <c r="OHY6" i="20" a="1"/>
  <c r="OHY6" i="20" s="1"/>
  <c r="OHX6" i="20" a="1"/>
  <c r="OHX6" i="20" s="1"/>
  <c r="OHW6" i="20"/>
  <c r="OHW6" i="20" a="1"/>
  <c r="OHV6" i="20" a="1"/>
  <c r="OHV6" i="20" s="1"/>
  <c r="OHU6" i="20"/>
  <c r="OHU6" i="20" a="1"/>
  <c r="OHT6" i="20"/>
  <c r="OHT6" i="20" a="1"/>
  <c r="OHS6" i="20" a="1"/>
  <c r="OHS6" i="20" s="1"/>
  <c r="OHR6" i="20"/>
  <c r="OHR6" i="20" a="1"/>
  <c r="OHQ6" i="20"/>
  <c r="OHQ6" i="20" a="1"/>
  <c r="OHP6" i="20"/>
  <c r="OHP6" i="20" a="1"/>
  <c r="OHO6" i="20" a="1"/>
  <c r="OHO6" i="20" s="1"/>
  <c r="OHN6" i="20"/>
  <c r="OHN6" i="20" a="1"/>
  <c r="OHM6" i="20" a="1"/>
  <c r="OHM6" i="20" s="1"/>
  <c r="OHL6" i="20" a="1"/>
  <c r="OHL6" i="20" s="1"/>
  <c r="OHK6" i="20" a="1"/>
  <c r="OHK6" i="20" s="1"/>
  <c r="OHJ6" i="20"/>
  <c r="OHJ6" i="20" a="1"/>
  <c r="OHI6" i="20" a="1"/>
  <c r="OHI6" i="20" s="1"/>
  <c r="OHH6" i="20"/>
  <c r="OHH6" i="20" a="1"/>
  <c r="OHG6" i="20" a="1"/>
  <c r="OHG6" i="20" s="1"/>
  <c r="OHF6" i="20"/>
  <c r="OHF6" i="20" a="1"/>
  <c r="OHE6" i="20"/>
  <c r="OHE6" i="20" a="1"/>
  <c r="OHD6" i="20"/>
  <c r="OHD6" i="20" a="1"/>
  <c r="OHC6" i="20"/>
  <c r="OHC6" i="20" a="1"/>
  <c r="OHB6" i="20" a="1"/>
  <c r="OHB6" i="20" s="1"/>
  <c r="OHA6" i="20" a="1"/>
  <c r="OHA6" i="20" s="1"/>
  <c r="OGZ6" i="20"/>
  <c r="OGZ6" i="20" a="1"/>
  <c r="OGY6" i="20" a="1"/>
  <c r="OGY6" i="20" s="1"/>
  <c r="OGX6" i="20" a="1"/>
  <c r="OGX6" i="20" s="1"/>
  <c r="OGW6" i="20"/>
  <c r="OGW6" i="20" a="1"/>
  <c r="OGV6" i="20" a="1"/>
  <c r="OGV6" i="20" s="1"/>
  <c r="OGU6" i="20" a="1"/>
  <c r="OGU6" i="20" s="1"/>
  <c r="OGT6" i="20"/>
  <c r="OGT6" i="20" a="1"/>
  <c r="OGS6" i="20"/>
  <c r="OGS6" i="20" a="1"/>
  <c r="OGR6" i="20"/>
  <c r="OGR6" i="20" a="1"/>
  <c r="OGQ6" i="20"/>
  <c r="OGQ6" i="20" a="1"/>
  <c r="OGP6" i="20"/>
  <c r="OGP6" i="20" a="1"/>
  <c r="OGO6" i="20" a="1"/>
  <c r="OGO6" i="20" s="1"/>
  <c r="OGN6" i="20"/>
  <c r="OGN6" i="20" a="1"/>
  <c r="OGM6" i="20"/>
  <c r="OGM6" i="20" a="1"/>
  <c r="OGL6" i="20" a="1"/>
  <c r="OGL6" i="20" s="1"/>
  <c r="OGK6" i="20" a="1"/>
  <c r="OGK6" i="20" s="1"/>
  <c r="OGJ6" i="20"/>
  <c r="OGJ6" i="20" a="1"/>
  <c r="OGI6" i="20" a="1"/>
  <c r="OGI6" i="20" s="1"/>
  <c r="OGH6" i="20" a="1"/>
  <c r="OGH6" i="20" s="1"/>
  <c r="OGG6" i="20"/>
  <c r="OGG6" i="20" a="1"/>
  <c r="OGF6" i="20"/>
  <c r="OGF6" i="20" a="1"/>
  <c r="OGE6" i="20"/>
  <c r="OGE6" i="20" a="1"/>
  <c r="OGD6" i="20"/>
  <c r="OGD6" i="20" a="1"/>
  <c r="OGC6" i="20" a="1"/>
  <c r="OGC6" i="20" s="1"/>
  <c r="OGB6" i="20" a="1"/>
  <c r="OGB6" i="20" s="1"/>
  <c r="OGA6" i="20"/>
  <c r="OGA6" i="20" a="1"/>
  <c r="OFZ6" i="20"/>
  <c r="OFZ6" i="20" a="1"/>
  <c r="OFY6" i="20" a="1"/>
  <c r="OFY6" i="20" s="1"/>
  <c r="OFX6" i="20" a="1"/>
  <c r="OFX6" i="20" s="1"/>
  <c r="OFW6" i="20" a="1"/>
  <c r="OFW6" i="20" s="1"/>
  <c r="OFV6" i="20"/>
  <c r="OFV6" i="20" a="1"/>
  <c r="OFU6" i="20" a="1"/>
  <c r="OFU6" i="20" s="1"/>
  <c r="OFT6" i="20"/>
  <c r="OFT6" i="20" a="1"/>
  <c r="OFS6" i="20"/>
  <c r="OFS6" i="20" a="1"/>
  <c r="OFR6" i="20"/>
  <c r="OFR6" i="20" a="1"/>
  <c r="OFQ6" i="20" a="1"/>
  <c r="OFQ6" i="20" s="1"/>
  <c r="OFP6" i="20"/>
  <c r="OFP6" i="20" a="1"/>
  <c r="OFO6" i="20" a="1"/>
  <c r="OFO6" i="20" s="1"/>
  <c r="OFN6" i="20"/>
  <c r="OFN6" i="20" a="1"/>
  <c r="OFM6" i="20"/>
  <c r="OFM6" i="20" a="1"/>
  <c r="OFL6" i="20" a="1"/>
  <c r="OFL6" i="20" s="1"/>
  <c r="OFK6" i="20" a="1"/>
  <c r="OFK6" i="20" s="1"/>
  <c r="OFJ6" i="20"/>
  <c r="OFJ6" i="20" a="1"/>
  <c r="OFI6" i="20"/>
  <c r="OFI6" i="20" a="1"/>
  <c r="OFH6" i="20" a="1"/>
  <c r="OFH6" i="20" s="1"/>
  <c r="OFG6" i="20"/>
  <c r="OFG6" i="20" a="1"/>
  <c r="OFF6" i="20"/>
  <c r="OFF6" i="20" a="1"/>
  <c r="OFE6" i="20" a="1"/>
  <c r="OFE6" i="20" s="1"/>
  <c r="OFD6" i="20" a="1"/>
  <c r="OFD6" i="20" s="1"/>
  <c r="OFC6" i="20"/>
  <c r="OFC6" i="20" a="1"/>
  <c r="OFB6" i="20" a="1"/>
  <c r="OFB6" i="20" s="1"/>
  <c r="OFA6" i="20"/>
  <c r="OFA6" i="20" a="1"/>
  <c r="OEZ6" i="20"/>
  <c r="OEZ6" i="20" a="1"/>
  <c r="OEY6" i="20" a="1"/>
  <c r="OEY6" i="20" s="1"/>
  <c r="OEX6" i="20"/>
  <c r="OEX6" i="20" a="1"/>
  <c r="OEW6" i="20"/>
  <c r="OEW6" i="20" a="1"/>
  <c r="OEV6" i="20"/>
  <c r="OEV6" i="20" a="1"/>
  <c r="OEU6" i="20" a="1"/>
  <c r="OEU6" i="20" s="1"/>
  <c r="OET6" i="20"/>
  <c r="OET6" i="20" a="1"/>
  <c r="OES6" i="20" a="1"/>
  <c r="OES6" i="20" s="1"/>
  <c r="OER6" i="20" a="1"/>
  <c r="OER6" i="20" s="1"/>
  <c r="OEQ6" i="20" a="1"/>
  <c r="OEQ6" i="20" s="1"/>
  <c r="OEP6" i="20"/>
  <c r="OEP6" i="20" a="1"/>
  <c r="OEO6" i="20" a="1"/>
  <c r="OEO6" i="20" s="1"/>
  <c r="OEN6" i="20"/>
  <c r="OEN6" i="20" a="1"/>
  <c r="OEM6" i="20" a="1"/>
  <c r="OEM6" i="20" s="1"/>
  <c r="OEL6" i="20"/>
  <c r="OEL6" i="20" a="1"/>
  <c r="OEK6" i="20"/>
  <c r="OEK6" i="20" a="1"/>
  <c r="OEJ6" i="20"/>
  <c r="OEJ6" i="20" a="1"/>
  <c r="OEI6" i="20"/>
  <c r="OEI6" i="20" a="1"/>
  <c r="OEH6" i="20" a="1"/>
  <c r="OEH6" i="20" s="1"/>
  <c r="OEG6" i="20" a="1"/>
  <c r="OEG6" i="20" s="1"/>
  <c r="OEF6" i="20"/>
  <c r="OEF6" i="20" a="1"/>
  <c r="OEE6" i="20" a="1"/>
  <c r="OEE6" i="20" s="1"/>
  <c r="OED6" i="20" a="1"/>
  <c r="OED6" i="20" s="1"/>
  <c r="OEC6" i="20"/>
  <c r="OEC6" i="20" a="1"/>
  <c r="OEB6" i="20" a="1"/>
  <c r="OEB6" i="20" s="1"/>
  <c r="OEA6" i="20" a="1"/>
  <c r="OEA6" i="20" s="1"/>
  <c r="ODZ6" i="20"/>
  <c r="ODZ6" i="20" a="1"/>
  <c r="ODY6" i="20"/>
  <c r="ODY6" i="20" a="1"/>
  <c r="ODX6" i="20"/>
  <c r="ODX6" i="20" a="1"/>
  <c r="ODW6" i="20"/>
  <c r="ODW6" i="20" a="1"/>
  <c r="ODV6" i="20"/>
  <c r="ODV6" i="20" a="1"/>
  <c r="ODU6" i="20" a="1"/>
  <c r="ODU6" i="20" s="1"/>
  <c r="ODT6" i="20"/>
  <c r="ODT6" i="20" a="1"/>
  <c r="ODS6" i="20"/>
  <c r="ODS6" i="20" a="1"/>
  <c r="ODR6" i="20" a="1"/>
  <c r="ODR6" i="20" s="1"/>
  <c r="ODQ6" i="20" a="1"/>
  <c r="ODQ6" i="20" s="1"/>
  <c r="ODP6" i="20"/>
  <c r="ODP6" i="20" a="1"/>
  <c r="ODO6" i="20" a="1"/>
  <c r="ODO6" i="20" s="1"/>
  <c r="ODN6" i="20" a="1"/>
  <c r="ODN6" i="20" s="1"/>
  <c r="ODM6" i="20"/>
  <c r="ODM6" i="20" a="1"/>
  <c r="ODL6" i="20"/>
  <c r="ODL6" i="20" a="1"/>
  <c r="ODK6" i="20"/>
  <c r="ODK6" i="20" a="1"/>
  <c r="ODJ6" i="20"/>
  <c r="ODJ6" i="20" a="1"/>
  <c r="ODI6" i="20" a="1"/>
  <c r="ODI6" i="20" s="1"/>
  <c r="ODH6" i="20" a="1"/>
  <c r="ODH6" i="20" s="1"/>
  <c r="ODG6" i="20"/>
  <c r="ODG6" i="20" a="1"/>
  <c r="ODF6" i="20"/>
  <c r="ODF6" i="20" a="1"/>
  <c r="ODE6" i="20" a="1"/>
  <c r="ODE6" i="20" s="1"/>
  <c r="ODD6" i="20" a="1"/>
  <c r="ODD6" i="20" s="1"/>
  <c r="ODC6" i="20" a="1"/>
  <c r="ODC6" i="20" s="1"/>
  <c r="ODB6" i="20"/>
  <c r="ODB6" i="20" a="1"/>
  <c r="ODA6" i="20" a="1"/>
  <c r="ODA6" i="20" s="1"/>
  <c r="OCZ6" i="20"/>
  <c r="OCZ6" i="20" a="1"/>
  <c r="OCY6" i="20"/>
  <c r="OCY6" i="20" a="1"/>
  <c r="OCX6" i="20"/>
  <c r="OCX6" i="20" a="1"/>
  <c r="OCW6" i="20" a="1"/>
  <c r="OCW6" i="20" s="1"/>
  <c r="OCV6" i="20"/>
  <c r="OCV6" i="20" a="1"/>
  <c r="OCU6" i="20" a="1"/>
  <c r="OCU6" i="20" s="1"/>
  <c r="OCT6" i="20"/>
  <c r="OCT6" i="20" a="1"/>
  <c r="OCS6" i="20"/>
  <c r="OCS6" i="20" a="1"/>
  <c r="OCR6" i="20" a="1"/>
  <c r="OCR6" i="20" s="1"/>
  <c r="OCQ6" i="20" a="1"/>
  <c r="OCQ6" i="20" s="1"/>
  <c r="OCP6" i="20" a="1"/>
  <c r="OCP6" i="20" s="1"/>
  <c r="OCO6" i="20"/>
  <c r="OCO6" i="20" a="1"/>
  <c r="OCN6" i="20" a="1"/>
  <c r="OCN6" i="20" s="1"/>
  <c r="OCM6" i="20"/>
  <c r="OCM6" i="20" a="1"/>
  <c r="OCL6" i="20"/>
  <c r="OCL6" i="20" a="1"/>
  <c r="OCK6" i="20" a="1"/>
  <c r="OCK6" i="20" s="1"/>
  <c r="OCJ6" i="20" a="1"/>
  <c r="OCJ6" i="20" s="1"/>
  <c r="OCI6" i="20"/>
  <c r="OCI6" i="20" a="1"/>
  <c r="OCH6" i="20" a="1"/>
  <c r="OCH6" i="20" s="1"/>
  <c r="OCG6" i="20"/>
  <c r="OCG6" i="20" a="1"/>
  <c r="OCF6" i="20"/>
  <c r="OCF6" i="20" a="1"/>
  <c r="OCE6" i="20" a="1"/>
  <c r="OCE6" i="20" s="1"/>
  <c r="OCD6" i="20"/>
  <c r="OCD6" i="20" a="1"/>
  <c r="OCC6" i="20" a="1"/>
  <c r="OCC6" i="20" s="1"/>
  <c r="OCB6" i="20"/>
  <c r="OCB6" i="20" a="1"/>
  <c r="OCA6" i="20" a="1"/>
  <c r="OCA6" i="20" s="1"/>
  <c r="OBZ6" i="20"/>
  <c r="OBZ6" i="20" a="1"/>
  <c r="OBY6" i="20" a="1"/>
  <c r="OBY6" i="20" s="1"/>
  <c r="OBX6" i="20" a="1"/>
  <c r="OBX6" i="20" s="1"/>
  <c r="OBW6" i="20" a="1"/>
  <c r="OBW6" i="20" s="1"/>
  <c r="OBV6" i="20"/>
  <c r="OBV6" i="20" a="1"/>
  <c r="OBU6" i="20" a="1"/>
  <c r="OBU6" i="20" s="1"/>
  <c r="OBT6" i="20"/>
  <c r="OBT6" i="20" a="1"/>
  <c r="OBS6" i="20" a="1"/>
  <c r="OBS6" i="20" s="1"/>
  <c r="OBR6" i="20"/>
  <c r="OBR6" i="20" a="1"/>
  <c r="OBQ6" i="20"/>
  <c r="OBQ6" i="20" a="1"/>
  <c r="OBP6" i="20" a="1"/>
  <c r="OBP6" i="20" s="1"/>
  <c r="OBO6" i="20"/>
  <c r="OBO6" i="20" a="1"/>
  <c r="OBN6" i="20" a="1"/>
  <c r="OBN6" i="20" s="1"/>
  <c r="OBM6" i="20" a="1"/>
  <c r="OBM6" i="20" s="1"/>
  <c r="OBL6" i="20"/>
  <c r="OBL6" i="20" a="1"/>
  <c r="OBK6" i="20" a="1"/>
  <c r="OBK6" i="20" s="1"/>
  <c r="OBJ6" i="20" a="1"/>
  <c r="OBJ6" i="20" s="1"/>
  <c r="OBI6" i="20"/>
  <c r="OBI6" i="20" a="1"/>
  <c r="OBH6" i="20" a="1"/>
  <c r="OBH6" i="20" s="1"/>
  <c r="OBG6" i="20" a="1"/>
  <c r="OBG6" i="20" s="1"/>
  <c r="OBF6" i="20"/>
  <c r="OBF6" i="20" a="1"/>
  <c r="OBE6" i="20"/>
  <c r="OBE6" i="20" a="1"/>
  <c r="OBD6" i="20"/>
  <c r="OBD6" i="20" a="1"/>
  <c r="OBC6" i="20" a="1"/>
  <c r="OBC6" i="20" s="1"/>
  <c r="OBB6" i="20"/>
  <c r="OBB6" i="20" a="1"/>
  <c r="OBA6" i="20" a="1"/>
  <c r="OBA6" i="20" s="1"/>
  <c r="OAZ6" i="20"/>
  <c r="OAZ6" i="20" a="1"/>
  <c r="OAY6" i="20"/>
  <c r="OAY6" i="20" a="1"/>
  <c r="OAX6" i="20" a="1"/>
  <c r="OAX6" i="20" s="1"/>
  <c r="OAW6" i="20" a="1"/>
  <c r="OAW6" i="20" s="1"/>
  <c r="OAV6" i="20"/>
  <c r="OAV6" i="20" a="1"/>
  <c r="OAU6" i="20" a="1"/>
  <c r="OAU6" i="20" s="1"/>
  <c r="OAT6" i="20" a="1"/>
  <c r="OAT6" i="20" s="1"/>
  <c r="OAS6" i="20"/>
  <c r="OAS6" i="20" a="1"/>
  <c r="OAR6" i="20"/>
  <c r="OAR6" i="20" a="1"/>
  <c r="OAQ6" i="20"/>
  <c r="OAQ6" i="20" a="1"/>
  <c r="OAP6" i="20" a="1"/>
  <c r="OAP6" i="20" s="1"/>
  <c r="OAO6" i="20" a="1"/>
  <c r="OAO6" i="20" s="1"/>
  <c r="OAN6" i="20" a="1"/>
  <c r="OAN6" i="20" s="1"/>
  <c r="OAM6" i="20"/>
  <c r="OAM6" i="20" a="1"/>
  <c r="OAL6" i="20"/>
  <c r="OAL6" i="20" a="1"/>
  <c r="OAK6" i="20" a="1"/>
  <c r="OAK6" i="20" s="1"/>
  <c r="OAJ6" i="20" a="1"/>
  <c r="OAJ6" i="20" s="1"/>
  <c r="OAI6" i="20" a="1"/>
  <c r="OAI6" i="20" s="1"/>
  <c r="OAH6" i="20"/>
  <c r="OAH6" i="20" a="1"/>
  <c r="OAG6" i="20" a="1"/>
  <c r="OAG6" i="20" s="1"/>
  <c r="OAF6" i="20"/>
  <c r="OAF6" i="20" a="1"/>
  <c r="OAE6" i="20"/>
  <c r="OAE6" i="20" a="1"/>
  <c r="OAD6" i="20"/>
  <c r="OAD6" i="20" a="1"/>
  <c r="OAC6" i="20" a="1"/>
  <c r="OAC6" i="20" s="1"/>
  <c r="OAB6" i="20"/>
  <c r="OAB6" i="20" a="1"/>
  <c r="OAA6" i="20" a="1"/>
  <c r="OAA6" i="20" s="1"/>
  <c r="NZZ6" i="20"/>
  <c r="NZZ6" i="20" a="1"/>
  <c r="NZY6" i="20"/>
  <c r="NZY6" i="20" a="1"/>
  <c r="NZX6" i="20" a="1"/>
  <c r="NZX6" i="20" s="1"/>
  <c r="NZW6" i="20" a="1"/>
  <c r="NZW6" i="20" s="1"/>
  <c r="NZV6" i="20"/>
  <c r="NZV6" i="20" a="1"/>
  <c r="NZU6" i="20"/>
  <c r="NZU6" i="20" a="1"/>
  <c r="NZT6" i="20" a="1"/>
  <c r="NZT6" i="20" s="1"/>
  <c r="NZS6" i="20"/>
  <c r="NZS6" i="20" a="1"/>
  <c r="NZR6" i="20"/>
  <c r="NZR6" i="20" a="1"/>
  <c r="NZQ6" i="20" a="1"/>
  <c r="NZQ6" i="20" s="1"/>
  <c r="NZP6" i="20" a="1"/>
  <c r="NZP6" i="20" s="1"/>
  <c r="NZO6" i="20"/>
  <c r="NZO6" i="20" a="1"/>
  <c r="NZN6" i="20" a="1"/>
  <c r="NZN6" i="20" s="1"/>
  <c r="NZM6" i="20"/>
  <c r="NZM6" i="20" a="1"/>
  <c r="NZL6" i="20"/>
  <c r="NZL6" i="20" a="1"/>
  <c r="NZK6" i="20" a="1"/>
  <c r="NZK6" i="20" s="1"/>
  <c r="NZJ6" i="20"/>
  <c r="NZJ6" i="20" a="1"/>
  <c r="NZI6" i="20" a="1"/>
  <c r="NZI6" i="20" s="1"/>
  <c r="NZH6" i="20"/>
  <c r="NZH6" i="20" a="1"/>
  <c r="NZG6" i="20" a="1"/>
  <c r="NZG6" i="20" s="1"/>
  <c r="NZF6" i="20"/>
  <c r="NZF6" i="20" a="1"/>
  <c r="NZE6" i="20" a="1"/>
  <c r="NZE6" i="20" s="1"/>
  <c r="NZD6" i="20" a="1"/>
  <c r="NZD6" i="20" s="1"/>
  <c r="NZC6" i="20" a="1"/>
  <c r="NZC6" i="20" s="1"/>
  <c r="NZB6" i="20"/>
  <c r="NZB6" i="20" a="1"/>
  <c r="NZA6" i="20" a="1"/>
  <c r="NZA6" i="20" s="1"/>
  <c r="NYZ6" i="20"/>
  <c r="NYZ6" i="20" a="1"/>
  <c r="NYY6" i="20" a="1"/>
  <c r="NYY6" i="20" s="1"/>
  <c r="NYX6" i="20"/>
  <c r="NYX6" i="20" a="1"/>
  <c r="NYW6" i="20"/>
  <c r="NYW6" i="20" a="1"/>
  <c r="NYV6" i="20" a="1"/>
  <c r="NYV6" i="20" s="1"/>
  <c r="NYU6" i="20"/>
  <c r="NYU6" i="20" a="1"/>
  <c r="NYT6" i="20" a="1"/>
  <c r="NYT6" i="20" s="1"/>
  <c r="NYS6" i="20" a="1"/>
  <c r="NYS6" i="20" s="1"/>
  <c r="NYR6" i="20" a="1"/>
  <c r="NYR6" i="20" s="1"/>
  <c r="NYQ6" i="20" a="1"/>
  <c r="NYQ6" i="20" s="1"/>
  <c r="NYP6" i="20" a="1"/>
  <c r="NYP6" i="20" s="1"/>
  <c r="NYO6" i="20"/>
  <c r="NYO6" i="20" a="1"/>
  <c r="NYN6" i="20" a="1"/>
  <c r="NYN6" i="20" s="1"/>
  <c r="NYM6" i="20" a="1"/>
  <c r="NYM6" i="20" s="1"/>
  <c r="NYL6" i="20"/>
  <c r="NYL6" i="20" a="1"/>
  <c r="NYK6" i="20"/>
  <c r="NYK6" i="20" a="1"/>
  <c r="NYJ6" i="20"/>
  <c r="NYJ6" i="20" a="1"/>
  <c r="NYI6" i="20" a="1"/>
  <c r="NYI6" i="20" s="1"/>
  <c r="NYH6" i="20"/>
  <c r="NYH6" i="20" a="1"/>
  <c r="NYG6" i="20" a="1"/>
  <c r="NYG6" i="20" s="1"/>
  <c r="NYF6" i="20"/>
  <c r="NYF6" i="20" a="1"/>
  <c r="NYE6" i="20" a="1"/>
  <c r="NYE6" i="20" s="1"/>
  <c r="NYD6" i="20" a="1"/>
  <c r="NYD6" i="20" s="1"/>
  <c r="NYC6" i="20" a="1"/>
  <c r="NYC6" i="20" s="1"/>
  <c r="NYB6" i="20"/>
  <c r="NYB6" i="20" a="1"/>
  <c r="NYA6" i="20" a="1"/>
  <c r="NYA6" i="20" s="1"/>
  <c r="NXZ6" i="20" a="1"/>
  <c r="NXZ6" i="20" s="1"/>
  <c r="NXY6" i="20"/>
  <c r="NXY6" i="20" a="1"/>
  <c r="NXX6" i="20"/>
  <c r="NXX6" i="20" a="1"/>
  <c r="NXW6" i="20"/>
  <c r="NXW6" i="20" a="1"/>
  <c r="NXV6" i="20" a="1"/>
  <c r="NXV6" i="20" s="1"/>
  <c r="NXU6" i="20" a="1"/>
  <c r="NXU6" i="20" s="1"/>
  <c r="NXT6" i="20" a="1"/>
  <c r="NXT6" i="20" s="1"/>
  <c r="NXS6" i="20"/>
  <c r="NXS6" i="20" a="1"/>
  <c r="NXR6" i="20" a="1"/>
  <c r="NXR6" i="20" s="1"/>
  <c r="NXQ6" i="20" a="1"/>
  <c r="NXQ6" i="20" s="1"/>
  <c r="NXP6" i="20" a="1"/>
  <c r="NXP6" i="20" s="1"/>
  <c r="NXO6" i="20" a="1"/>
  <c r="NXO6" i="20" s="1"/>
  <c r="NXN6" i="20"/>
  <c r="NXN6" i="20" a="1"/>
  <c r="NXM6" i="20" a="1"/>
  <c r="NXM6" i="20" s="1"/>
  <c r="NXL6" i="20"/>
  <c r="NXL6" i="20" a="1"/>
  <c r="NXK6" i="20"/>
  <c r="NXK6" i="20" a="1"/>
  <c r="NXJ6" i="20"/>
  <c r="NXJ6" i="20" a="1"/>
  <c r="NXI6" i="20" a="1"/>
  <c r="NXI6" i="20" s="1"/>
  <c r="NXH6" i="20" a="1"/>
  <c r="NXH6" i="20" s="1"/>
  <c r="NXG6" i="20" a="1"/>
  <c r="NXG6" i="20" s="1"/>
  <c r="NXF6" i="20"/>
  <c r="NXF6" i="20" a="1"/>
  <c r="NXE6" i="20" a="1"/>
  <c r="NXE6" i="20" s="1"/>
  <c r="NXD6" i="20" a="1"/>
  <c r="NXD6" i="20" s="1"/>
  <c r="NXC6" i="20" a="1"/>
  <c r="NXC6" i="20" s="1"/>
  <c r="NXB6" i="20" a="1"/>
  <c r="NXB6" i="20" s="1"/>
  <c r="NXA6" i="20"/>
  <c r="NXA6" i="20" a="1"/>
  <c r="NWZ6" i="20" a="1"/>
  <c r="NWZ6" i="20" s="1"/>
  <c r="NWY6" i="20"/>
  <c r="NWY6" i="20" a="1"/>
  <c r="NWX6" i="20"/>
  <c r="NWX6" i="20" a="1"/>
  <c r="NWW6" i="20" a="1"/>
  <c r="NWW6" i="20" s="1"/>
  <c r="NWV6" i="20" a="1"/>
  <c r="NWV6" i="20" s="1"/>
  <c r="NWU6" i="20"/>
  <c r="NWU6" i="20" a="1"/>
  <c r="NWT6" i="20" a="1"/>
  <c r="NWT6" i="20" s="1"/>
  <c r="NWS6" i="20"/>
  <c r="NWS6" i="20" a="1"/>
  <c r="NWR6" i="20" a="1"/>
  <c r="NWR6" i="20" s="1"/>
  <c r="NWQ6" i="20" a="1"/>
  <c r="NWQ6" i="20" s="1"/>
  <c r="NWP6" i="20"/>
  <c r="NWP6" i="20" a="1"/>
  <c r="NWO6" i="20" a="1"/>
  <c r="NWO6" i="20" s="1"/>
  <c r="NWN6" i="20"/>
  <c r="NWN6" i="20" a="1"/>
  <c r="NWM6" i="20" a="1"/>
  <c r="NWM6" i="20" s="1"/>
  <c r="NWL6" i="20"/>
  <c r="NWL6" i="20" a="1"/>
  <c r="NWK6" i="20" a="1"/>
  <c r="NWK6" i="20" s="1"/>
  <c r="NWJ6" i="20" a="1"/>
  <c r="NWJ6" i="20" s="1"/>
  <c r="NWI6" i="20" a="1"/>
  <c r="NWI6" i="20" s="1"/>
  <c r="NWH6" i="20" a="1"/>
  <c r="NWH6" i="20" s="1"/>
  <c r="NWG6" i="20" a="1"/>
  <c r="NWG6" i="20" s="1"/>
  <c r="NWF6" i="20"/>
  <c r="NWF6" i="20" a="1"/>
  <c r="NWE6" i="20" a="1"/>
  <c r="NWE6" i="20" s="1"/>
  <c r="NWD6" i="20"/>
  <c r="NWD6" i="20" a="1"/>
  <c r="NWC6" i="20"/>
  <c r="NWC6" i="20" a="1"/>
  <c r="NWB6" i="20" a="1"/>
  <c r="NWB6" i="20" s="1"/>
  <c r="NWA6" i="20"/>
  <c r="NWA6" i="20" a="1"/>
  <c r="NVZ6" i="20" a="1"/>
  <c r="NVZ6" i="20" s="1"/>
  <c r="NVY6" i="20" a="1"/>
  <c r="NVY6" i="20" s="1"/>
  <c r="NVX6" i="20" a="1"/>
  <c r="NVX6" i="20" s="1"/>
  <c r="NVW6" i="20" a="1"/>
  <c r="NVW6" i="20" s="1"/>
  <c r="NVV6" i="20" a="1"/>
  <c r="NVV6" i="20" s="1"/>
  <c r="NVU6" i="20" a="1"/>
  <c r="NVU6" i="20" s="1"/>
  <c r="NVT6" i="20" a="1"/>
  <c r="NVT6" i="20" s="1"/>
  <c r="NVS6" i="20" a="1"/>
  <c r="NVS6" i="20" s="1"/>
  <c r="NVR6" i="20"/>
  <c r="NVR6" i="20" a="1"/>
  <c r="NVQ6" i="20"/>
  <c r="NVQ6" i="20" a="1"/>
  <c r="NVP6" i="20"/>
  <c r="NVP6" i="20" a="1"/>
  <c r="NVO6" i="20"/>
  <c r="NVO6" i="20" a="1"/>
  <c r="NVN6" i="20"/>
  <c r="NVN6" i="20" a="1"/>
  <c r="NVM6" i="20" a="1"/>
  <c r="NVM6" i="20" s="1"/>
  <c r="NVL6" i="20"/>
  <c r="NVL6" i="20" a="1"/>
  <c r="NVK6" i="20" a="1"/>
  <c r="NVK6" i="20" s="1"/>
  <c r="NVJ6" i="20" a="1"/>
  <c r="NVJ6" i="20" s="1"/>
  <c r="NVI6" i="20" a="1"/>
  <c r="NVI6" i="20" s="1"/>
  <c r="NVH6" i="20" a="1"/>
  <c r="NVH6" i="20" s="1"/>
  <c r="NVG6" i="20" a="1"/>
  <c r="NVG6" i="20" s="1"/>
  <c r="NVF6" i="20" a="1"/>
  <c r="NVF6" i="20" s="1"/>
  <c r="NVE6" i="20"/>
  <c r="NVE6" i="20" a="1"/>
  <c r="NVD6" i="20"/>
  <c r="NVD6" i="20" a="1"/>
  <c r="NVC6" i="20"/>
  <c r="NVC6" i="20" a="1"/>
  <c r="NVB6" i="20"/>
  <c r="NVB6" i="20" a="1"/>
  <c r="NVA6" i="20" a="1"/>
  <c r="NVA6" i="20" s="1"/>
  <c r="NUZ6" i="20" a="1"/>
  <c r="NUZ6" i="20" s="1"/>
  <c r="NUY6" i="20"/>
  <c r="NUY6" i="20" a="1"/>
  <c r="NUX6" i="20" a="1"/>
  <c r="NUX6" i="20" s="1"/>
  <c r="NUW6" i="20" a="1"/>
  <c r="NUW6" i="20" s="1"/>
  <c r="NUV6" i="20" a="1"/>
  <c r="NUV6" i="20" s="1"/>
  <c r="NUU6" i="20" a="1"/>
  <c r="NUU6" i="20" s="1"/>
  <c r="NUT6" i="20"/>
  <c r="NUT6" i="20" a="1"/>
  <c r="NUS6" i="20" a="1"/>
  <c r="NUS6" i="20" s="1"/>
  <c r="NUR6" i="20"/>
  <c r="NUR6" i="20" a="1"/>
  <c r="NUQ6" i="20"/>
  <c r="NUQ6" i="20" a="1"/>
  <c r="NUP6" i="20"/>
  <c r="NUP6" i="20" a="1"/>
  <c r="NUO6" i="20" a="1"/>
  <c r="NUO6" i="20" s="1"/>
  <c r="NUN6" i="20"/>
  <c r="NUN6" i="20" a="1"/>
  <c r="NUM6" i="20" a="1"/>
  <c r="NUM6" i="20" s="1"/>
  <c r="NUL6" i="20"/>
  <c r="NUL6" i="20" a="1"/>
  <c r="NUK6" i="20" a="1"/>
  <c r="NUK6" i="20" s="1"/>
  <c r="NUJ6" i="20" a="1"/>
  <c r="NUJ6" i="20" s="1"/>
  <c r="NUI6" i="20" a="1"/>
  <c r="NUI6" i="20" s="1"/>
  <c r="NUH6" i="20"/>
  <c r="NUH6" i="20" a="1"/>
  <c r="NUG6" i="20"/>
  <c r="NUG6" i="20" a="1"/>
  <c r="NUF6" i="20" a="1"/>
  <c r="NUF6" i="20" s="1"/>
  <c r="NUE6" i="20"/>
  <c r="NUE6" i="20" a="1"/>
  <c r="NUD6" i="20"/>
  <c r="NUD6" i="20" a="1"/>
  <c r="NUC6" i="20" a="1"/>
  <c r="NUC6" i="20" s="1"/>
  <c r="NUB6" i="20" a="1"/>
  <c r="NUB6" i="20" s="1"/>
  <c r="NUA6" i="20" a="1"/>
  <c r="NUA6" i="20" s="1"/>
  <c r="NTZ6" i="20" a="1"/>
  <c r="NTZ6" i="20" s="1"/>
  <c r="NTY6" i="20"/>
  <c r="NTY6" i="20" a="1"/>
  <c r="NTX6" i="20" a="1"/>
  <c r="NTX6" i="20" s="1"/>
  <c r="NTW6" i="20" a="1"/>
  <c r="NTW6" i="20" s="1"/>
  <c r="NTV6" i="20"/>
  <c r="NTV6" i="20" a="1"/>
  <c r="NTU6" i="20"/>
  <c r="NTU6" i="20" a="1"/>
  <c r="NTT6" i="20"/>
  <c r="NTT6" i="20" a="1"/>
  <c r="NTS6" i="20" a="1"/>
  <c r="NTS6" i="20" s="1"/>
  <c r="NTR6" i="20"/>
  <c r="NTR6" i="20" a="1"/>
  <c r="NTQ6" i="20" a="1"/>
  <c r="NTQ6" i="20" s="1"/>
  <c r="NTP6" i="20" a="1"/>
  <c r="NTP6" i="20" s="1"/>
  <c r="NTO6" i="20" a="1"/>
  <c r="NTO6" i="20" s="1"/>
  <c r="NTN6" i="20"/>
  <c r="NTN6" i="20" a="1"/>
  <c r="NTM6" i="20" a="1"/>
  <c r="NTM6" i="20" s="1"/>
  <c r="NTL6" i="20"/>
  <c r="NTL6" i="20" a="1"/>
  <c r="NTK6" i="20" a="1"/>
  <c r="NTK6" i="20" s="1"/>
  <c r="NTJ6" i="20"/>
  <c r="NTJ6" i="20" a="1"/>
  <c r="NTI6" i="20"/>
  <c r="NTI6" i="20" a="1"/>
  <c r="NTH6" i="20" a="1"/>
  <c r="NTH6" i="20" s="1"/>
  <c r="NTG6" i="20"/>
  <c r="NTG6" i="20" a="1"/>
  <c r="NTF6" i="20" a="1"/>
  <c r="NTF6" i="20" s="1"/>
  <c r="NTE6" i="20" a="1"/>
  <c r="NTE6" i="20" s="1"/>
  <c r="NTD6" i="20" a="1"/>
  <c r="NTD6" i="20" s="1"/>
  <c r="NTC6" i="20" a="1"/>
  <c r="NTC6" i="20" s="1"/>
  <c r="NTB6" i="20" a="1"/>
  <c r="NTB6" i="20" s="1"/>
  <c r="NTA6" i="20"/>
  <c r="NTA6" i="20" a="1"/>
  <c r="NSZ6" i="20" a="1"/>
  <c r="NSZ6" i="20" s="1"/>
  <c r="NSY6" i="20" a="1"/>
  <c r="NSY6" i="20" s="1"/>
  <c r="NSX6" i="20"/>
  <c r="NSX6" i="20" a="1"/>
  <c r="NSW6" i="20"/>
  <c r="NSW6" i="20" a="1"/>
  <c r="NSV6" i="20"/>
  <c r="NSV6" i="20" a="1"/>
  <c r="NSU6" i="20" a="1"/>
  <c r="NSU6" i="20" s="1"/>
  <c r="NST6" i="20"/>
  <c r="NST6" i="20" a="1"/>
  <c r="NSS6" i="20" a="1"/>
  <c r="NSS6" i="20" s="1"/>
  <c r="NSR6" i="20"/>
  <c r="NSR6" i="20" a="1"/>
  <c r="NSQ6" i="20" a="1"/>
  <c r="NSQ6" i="20" s="1"/>
  <c r="NSP6" i="20" a="1"/>
  <c r="NSP6" i="20" s="1"/>
  <c r="NSO6" i="20" a="1"/>
  <c r="NSO6" i="20" s="1"/>
  <c r="NSN6" i="20" a="1"/>
  <c r="NSN6" i="20" s="1"/>
  <c r="NSM6" i="20" a="1"/>
  <c r="NSM6" i="20" s="1"/>
  <c r="NSL6" i="20" a="1"/>
  <c r="NSL6" i="20" s="1"/>
  <c r="NSK6" i="20"/>
  <c r="NSK6" i="20" a="1"/>
  <c r="NSJ6" i="20"/>
  <c r="NSJ6" i="20" a="1"/>
  <c r="NSI6" i="20"/>
  <c r="NSI6" i="20" a="1"/>
  <c r="NSH6" i="20" a="1"/>
  <c r="NSH6" i="20" s="1"/>
  <c r="NSG6" i="20" a="1"/>
  <c r="NSG6" i="20" s="1"/>
  <c r="NSF6" i="20" a="1"/>
  <c r="NSF6" i="20" s="1"/>
  <c r="NSE6" i="20"/>
  <c r="NSE6" i="20" a="1"/>
  <c r="NSD6" i="20" a="1"/>
  <c r="NSD6" i="20" s="1"/>
  <c r="NSC6" i="20" a="1"/>
  <c r="NSC6" i="20" s="1"/>
  <c r="NSB6" i="20" a="1"/>
  <c r="NSB6" i="20" s="1"/>
  <c r="NSA6" i="20" a="1"/>
  <c r="NSA6" i="20" s="1"/>
  <c r="NRZ6" i="20"/>
  <c r="NRZ6" i="20" a="1"/>
  <c r="NRY6" i="20" a="1"/>
  <c r="NRY6" i="20" s="1"/>
  <c r="NRX6" i="20"/>
  <c r="NRX6" i="20" a="1"/>
  <c r="NRW6" i="20"/>
  <c r="NRW6" i="20" a="1"/>
  <c r="NRV6" i="20"/>
  <c r="NRV6" i="20" a="1"/>
  <c r="NRU6" i="20" a="1"/>
  <c r="NRU6" i="20" s="1"/>
  <c r="NRT6" i="20"/>
  <c r="NRT6" i="20" a="1"/>
  <c r="NRS6" i="20" a="1"/>
  <c r="NRS6" i="20" s="1"/>
  <c r="NRR6" i="20"/>
  <c r="NRR6" i="20" a="1"/>
  <c r="NRQ6" i="20" a="1"/>
  <c r="NRQ6" i="20" s="1"/>
  <c r="NRP6" i="20" a="1"/>
  <c r="NRP6" i="20" s="1"/>
  <c r="NRO6" i="20" a="1"/>
  <c r="NRO6" i="20" s="1"/>
  <c r="NRN6" i="20" a="1"/>
  <c r="NRN6" i="20" s="1"/>
  <c r="NRM6" i="20"/>
  <c r="NRM6" i="20" a="1"/>
  <c r="NRL6" i="20" a="1"/>
  <c r="NRL6" i="20" s="1"/>
  <c r="NRK6" i="20"/>
  <c r="NRK6" i="20" a="1"/>
  <c r="NRJ6" i="20"/>
  <c r="NRJ6" i="20" a="1"/>
  <c r="NRI6" i="20" a="1"/>
  <c r="NRI6" i="20" s="1"/>
  <c r="NRH6" i="20" a="1"/>
  <c r="NRH6" i="20" s="1"/>
  <c r="NRG6" i="20" a="1"/>
  <c r="NRG6" i="20" s="1"/>
  <c r="NRF6" i="20" a="1"/>
  <c r="NRF6" i="20" s="1"/>
  <c r="NRE6" i="20"/>
  <c r="NRE6" i="20" a="1"/>
  <c r="NRD6" i="20" a="1"/>
  <c r="NRD6" i="20" s="1"/>
  <c r="NRC6" i="20" a="1"/>
  <c r="NRC6" i="20" s="1"/>
  <c r="NRB6" i="20"/>
  <c r="NRB6" i="20" a="1"/>
  <c r="NRA6" i="20" a="1"/>
  <c r="NRA6" i="20" s="1"/>
  <c r="NQZ6" i="20"/>
  <c r="NQZ6" i="20" a="1"/>
  <c r="NQY6" i="20" a="1"/>
  <c r="NQY6" i="20" s="1"/>
  <c r="NQX6" i="20"/>
  <c r="NQX6" i="20" a="1"/>
  <c r="NQW6" i="20" a="1"/>
  <c r="NQW6" i="20" s="1"/>
  <c r="NQV6" i="20" a="1"/>
  <c r="NQV6" i="20" s="1"/>
  <c r="NQU6" i="20" a="1"/>
  <c r="NQU6" i="20" s="1"/>
  <c r="NQT6" i="20" a="1"/>
  <c r="NQT6" i="20" s="1"/>
  <c r="NQS6" i="20" a="1"/>
  <c r="NQS6" i="20" s="1"/>
  <c r="NQR6" i="20"/>
  <c r="NQR6" i="20" a="1"/>
  <c r="NQQ6" i="20" a="1"/>
  <c r="NQQ6" i="20" s="1"/>
  <c r="NQP6" i="20"/>
  <c r="NQP6" i="20" a="1"/>
  <c r="NQO6" i="20"/>
  <c r="NQO6" i="20" a="1"/>
  <c r="NQN6" i="20"/>
  <c r="NQN6" i="20" a="1"/>
  <c r="NQM6" i="20"/>
  <c r="NQM6" i="20" a="1"/>
  <c r="NQL6" i="20" a="1"/>
  <c r="NQL6" i="20" s="1"/>
  <c r="NQK6" i="20" a="1"/>
  <c r="NQK6" i="20" s="1"/>
  <c r="NQJ6" i="20" a="1"/>
  <c r="NQJ6" i="20" s="1"/>
  <c r="NQI6" i="20" a="1"/>
  <c r="NQI6" i="20" s="1"/>
  <c r="NQH6" i="20" a="1"/>
  <c r="NQH6" i="20" s="1"/>
  <c r="NQG6" i="20"/>
  <c r="NQG6" i="20" a="1"/>
  <c r="NQF6" i="20" a="1"/>
  <c r="NQF6" i="20" s="1"/>
  <c r="NQE6" i="20" a="1"/>
  <c r="NQE6" i="20" s="1"/>
  <c r="NQD6" i="20"/>
  <c r="NQD6" i="20" a="1"/>
  <c r="NQC6" i="20"/>
  <c r="NQC6" i="20" a="1"/>
  <c r="NQB6" i="20"/>
  <c r="NQB6" i="20" a="1"/>
  <c r="NQA6" i="20" a="1"/>
  <c r="NQA6" i="20" s="1"/>
  <c r="NPZ6" i="20"/>
  <c r="NPZ6" i="20" a="1"/>
  <c r="NPY6" i="20" a="1"/>
  <c r="NPY6" i="20" s="1"/>
  <c r="NPX6" i="20"/>
  <c r="NPX6" i="20" a="1"/>
  <c r="NPW6" i="20" a="1"/>
  <c r="NPW6" i="20" s="1"/>
  <c r="NPV6" i="20" a="1"/>
  <c r="NPV6" i="20" s="1"/>
  <c r="NPU6" i="20" a="1"/>
  <c r="NPU6" i="20" s="1"/>
  <c r="NPT6" i="20"/>
  <c r="NPT6" i="20" a="1"/>
  <c r="NPS6" i="20" a="1"/>
  <c r="NPS6" i="20" s="1"/>
  <c r="NPR6" i="20" a="1"/>
  <c r="NPR6" i="20" s="1"/>
  <c r="NPQ6" i="20"/>
  <c r="NPQ6" i="20" a="1"/>
  <c r="NPP6" i="20"/>
  <c r="NPP6" i="20" a="1"/>
  <c r="NPO6" i="20"/>
  <c r="NPO6" i="20" a="1"/>
  <c r="NPN6" i="20"/>
  <c r="NPN6" i="20" a="1"/>
  <c r="NPM6" i="20" a="1"/>
  <c r="NPM6" i="20" s="1"/>
  <c r="NPL6" i="20" a="1"/>
  <c r="NPL6" i="20" s="1"/>
  <c r="NPK6" i="20"/>
  <c r="NPK6" i="20" a="1"/>
  <c r="NPJ6" i="20" a="1"/>
  <c r="NPJ6" i="20" s="1"/>
  <c r="NPI6" i="20" a="1"/>
  <c r="NPI6" i="20" s="1"/>
  <c r="NPH6" i="20" a="1"/>
  <c r="NPH6" i="20" s="1"/>
  <c r="NPG6" i="20" a="1"/>
  <c r="NPG6" i="20" s="1"/>
  <c r="NPF6" i="20"/>
  <c r="NPF6" i="20" a="1"/>
  <c r="NPE6" i="20" a="1"/>
  <c r="NPE6" i="20" s="1"/>
  <c r="NPD6" i="20"/>
  <c r="NPD6" i="20" a="1"/>
  <c r="NPC6" i="20"/>
  <c r="NPC6" i="20" a="1"/>
  <c r="NPB6" i="20"/>
  <c r="NPB6" i="20" a="1"/>
  <c r="NPA6" i="20" a="1"/>
  <c r="NPA6" i="20" s="1"/>
  <c r="NOZ6" i="20" a="1"/>
  <c r="NOZ6" i="20" s="1"/>
  <c r="NOY6" i="20" a="1"/>
  <c r="NOY6" i="20" s="1"/>
  <c r="NOX6" i="20"/>
  <c r="NOX6" i="20" a="1"/>
  <c r="NOW6" i="20" a="1"/>
  <c r="NOW6" i="20" s="1"/>
  <c r="NOV6" i="20" a="1"/>
  <c r="NOV6" i="20" s="1"/>
  <c r="NOU6" i="20" a="1"/>
  <c r="NOU6" i="20" s="1"/>
  <c r="NOT6" i="20" a="1"/>
  <c r="NOT6" i="20" s="1"/>
  <c r="NOS6" i="20"/>
  <c r="NOS6" i="20" a="1"/>
  <c r="NOR6" i="20" a="1"/>
  <c r="NOR6" i="20" s="1"/>
  <c r="NOQ6" i="20"/>
  <c r="NOQ6" i="20" a="1"/>
  <c r="NOP6" i="20"/>
  <c r="NOP6" i="20" a="1"/>
  <c r="NOO6" i="20" a="1"/>
  <c r="NOO6" i="20" s="1"/>
  <c r="NON6" i="20" a="1"/>
  <c r="NON6" i="20" s="1"/>
  <c r="NOM6" i="20" a="1"/>
  <c r="NOM6" i="20" s="1"/>
  <c r="NOL6" i="20" a="1"/>
  <c r="NOL6" i="20" s="1"/>
  <c r="NOK6" i="20"/>
  <c r="NOK6" i="20" a="1"/>
  <c r="NOJ6" i="20" a="1"/>
  <c r="NOJ6" i="20" s="1"/>
  <c r="NOI6" i="20" a="1"/>
  <c r="NOI6" i="20" s="1"/>
  <c r="NOH6" i="20"/>
  <c r="NOH6" i="20" a="1"/>
  <c r="NOG6" i="20"/>
  <c r="NOG6" i="20" a="1"/>
  <c r="NOF6" i="20"/>
  <c r="NOF6" i="20" a="1"/>
  <c r="NOE6" i="20" a="1"/>
  <c r="NOE6" i="20" s="1"/>
  <c r="NOD6" i="20"/>
  <c r="NOD6" i="20" a="1"/>
  <c r="NOC6" i="20" a="1"/>
  <c r="NOC6" i="20" s="1"/>
  <c r="NOB6" i="20" a="1"/>
  <c r="NOB6" i="20" s="1"/>
  <c r="NOA6" i="20" a="1"/>
  <c r="NOA6" i="20" s="1"/>
  <c r="NNZ6" i="20"/>
  <c r="NNZ6" i="20" a="1"/>
  <c r="NNY6" i="20" a="1"/>
  <c r="NNY6" i="20" s="1"/>
  <c r="NNX6" i="20"/>
  <c r="NNX6" i="20" a="1"/>
  <c r="NNW6" i="20" a="1"/>
  <c r="NNW6" i="20" s="1"/>
  <c r="NNV6" i="20"/>
  <c r="NNV6" i="20" a="1"/>
  <c r="NNU6" i="20"/>
  <c r="NNU6" i="20" a="1"/>
  <c r="NNT6" i="20" a="1"/>
  <c r="NNT6" i="20" s="1"/>
  <c r="NNS6" i="20"/>
  <c r="NNS6" i="20" a="1"/>
  <c r="NNR6" i="20" a="1"/>
  <c r="NNR6" i="20" s="1"/>
  <c r="NNQ6" i="20" a="1"/>
  <c r="NNQ6" i="20" s="1"/>
  <c r="NNP6" i="20" a="1"/>
  <c r="NNP6" i="20" s="1"/>
  <c r="NNO6" i="20" a="1"/>
  <c r="NNO6" i="20" s="1"/>
  <c r="NNN6" i="20" a="1"/>
  <c r="NNN6" i="20" s="1"/>
  <c r="NNM6" i="20" a="1"/>
  <c r="NNM6" i="20" s="1"/>
  <c r="NNL6" i="20" a="1"/>
  <c r="NNL6" i="20" s="1"/>
  <c r="NNK6" i="20" a="1"/>
  <c r="NNK6" i="20" s="1"/>
  <c r="NNJ6" i="20"/>
  <c r="NNJ6" i="20" a="1"/>
  <c r="NNI6" i="20"/>
  <c r="NNI6" i="20" a="1"/>
  <c r="NNH6" i="20"/>
  <c r="NNH6" i="20" a="1"/>
  <c r="NNG6" i="20" a="1"/>
  <c r="NNG6" i="20" s="1"/>
  <c r="NNF6" i="20"/>
  <c r="NNF6" i="20" a="1"/>
  <c r="NNE6" i="20" a="1"/>
  <c r="NNE6" i="20" s="1"/>
  <c r="NND6" i="20"/>
  <c r="NND6" i="20" a="1"/>
  <c r="NNC6" i="20" a="1"/>
  <c r="NNC6" i="20" s="1"/>
  <c r="NNB6" i="20" a="1"/>
  <c r="NNB6" i="20" s="1"/>
  <c r="NNA6" i="20" a="1"/>
  <c r="NNA6" i="20" s="1"/>
  <c r="NMZ6" i="20" a="1"/>
  <c r="NMZ6" i="20" s="1"/>
  <c r="NMY6" i="20" a="1"/>
  <c r="NMY6" i="20" s="1"/>
  <c r="NMX6" i="20" a="1"/>
  <c r="NMX6" i="20" s="1"/>
  <c r="NMW6" i="20"/>
  <c r="NMW6" i="20" a="1"/>
  <c r="NMV6" i="20"/>
  <c r="NMV6" i="20" a="1"/>
  <c r="NMU6" i="20"/>
  <c r="NMU6" i="20" a="1"/>
  <c r="NMT6" i="20" a="1"/>
  <c r="NMT6" i="20" s="1"/>
  <c r="NMS6" i="20" a="1"/>
  <c r="NMS6" i="20" s="1"/>
  <c r="NMR6" i="20" a="1"/>
  <c r="NMR6" i="20" s="1"/>
  <c r="NMQ6" i="20"/>
  <c r="NMQ6" i="20" a="1"/>
  <c r="NMP6" i="20" a="1"/>
  <c r="NMP6" i="20" s="1"/>
  <c r="NMO6" i="20" a="1"/>
  <c r="NMO6" i="20" s="1"/>
  <c r="NMN6" i="20" a="1"/>
  <c r="NMN6" i="20" s="1"/>
  <c r="NMM6" i="20" a="1"/>
  <c r="NMM6" i="20" s="1"/>
  <c r="NML6" i="20"/>
  <c r="NML6" i="20" a="1"/>
  <c r="NMK6" i="20" a="1"/>
  <c r="NMK6" i="20" s="1"/>
  <c r="NMJ6" i="20"/>
  <c r="NMJ6" i="20" a="1"/>
  <c r="NMI6" i="20"/>
  <c r="NMI6" i="20" a="1"/>
  <c r="NMH6" i="20"/>
  <c r="NMH6" i="20" a="1"/>
  <c r="NMG6" i="20" a="1"/>
  <c r="NMG6" i="20" s="1"/>
  <c r="NMF6" i="20" a="1"/>
  <c r="NMF6" i="20" s="1"/>
  <c r="NME6" i="20" a="1"/>
  <c r="NME6" i="20" s="1"/>
  <c r="NMD6" i="20"/>
  <c r="NMD6" i="20" a="1"/>
  <c r="NMC6" i="20" a="1"/>
  <c r="NMC6" i="20" s="1"/>
  <c r="NMB6" i="20" a="1"/>
  <c r="NMB6" i="20" s="1"/>
  <c r="NMA6" i="20" a="1"/>
  <c r="NMA6" i="20" s="1"/>
  <c r="NLZ6" i="20" a="1"/>
  <c r="NLZ6" i="20" s="1"/>
  <c r="NLY6" i="20"/>
  <c r="NLY6" i="20" a="1"/>
  <c r="NLX6" i="20" a="1"/>
  <c r="NLX6" i="20" s="1"/>
  <c r="NLW6" i="20"/>
  <c r="NLW6" i="20" a="1"/>
  <c r="NLV6" i="20"/>
  <c r="NLV6" i="20" a="1"/>
  <c r="NLU6" i="20" a="1"/>
  <c r="NLU6" i="20" s="1"/>
  <c r="NLT6" i="20" a="1"/>
  <c r="NLT6" i="20" s="1"/>
  <c r="NLS6" i="20"/>
  <c r="NLS6" i="20" a="1"/>
  <c r="NLR6" i="20" a="1"/>
  <c r="NLR6" i="20" s="1"/>
  <c r="NLQ6" i="20"/>
  <c r="NLQ6" i="20" a="1"/>
  <c r="NLP6" i="20" a="1"/>
  <c r="NLP6" i="20" s="1"/>
  <c r="NLO6" i="20" a="1"/>
  <c r="NLO6" i="20" s="1"/>
  <c r="NLN6" i="20"/>
  <c r="NLN6" i="20" a="1"/>
  <c r="NLM6" i="20" a="1"/>
  <c r="NLM6" i="20" s="1"/>
  <c r="NLL6" i="20"/>
  <c r="NLL6" i="20" a="1"/>
  <c r="NLK6" i="20" a="1"/>
  <c r="NLK6" i="20" s="1"/>
  <c r="NLJ6" i="20"/>
  <c r="NLJ6" i="20" a="1"/>
  <c r="NLI6" i="20" a="1"/>
  <c r="NLI6" i="20" s="1"/>
  <c r="NLH6" i="20" a="1"/>
  <c r="NLH6" i="20" s="1"/>
  <c r="NLG6" i="20" a="1"/>
  <c r="NLG6" i="20" s="1"/>
  <c r="NLF6" i="20"/>
  <c r="NLF6" i="20" a="1"/>
  <c r="NLE6" i="20" a="1"/>
  <c r="NLE6" i="20" s="1"/>
  <c r="NLD6" i="20"/>
  <c r="NLD6" i="20" a="1"/>
  <c r="NLC6" i="20" a="1"/>
  <c r="NLC6" i="20" s="1"/>
  <c r="NLB6" i="20"/>
  <c r="NLB6" i="20" a="1"/>
  <c r="NLA6" i="20"/>
  <c r="NLA6" i="20" a="1"/>
  <c r="NKZ6" i="20" a="1"/>
  <c r="NKZ6" i="20" s="1"/>
  <c r="NKY6" i="20"/>
  <c r="NKY6" i="20" a="1"/>
  <c r="NKX6" i="20" a="1"/>
  <c r="NKX6" i="20" s="1"/>
  <c r="NKW6" i="20" a="1"/>
  <c r="NKW6" i="20" s="1"/>
  <c r="NKV6" i="20" a="1"/>
  <c r="NKV6" i="20" s="1"/>
  <c r="NKU6" i="20" a="1"/>
  <c r="NKU6" i="20" s="1"/>
  <c r="NKT6" i="20" a="1"/>
  <c r="NKT6" i="20" s="1"/>
  <c r="NKS6" i="20" a="1"/>
  <c r="NKS6" i="20" s="1"/>
  <c r="NKR6" i="20" a="1"/>
  <c r="NKR6" i="20" s="1"/>
  <c r="NKQ6" i="20" a="1"/>
  <c r="NKQ6" i="20" s="1"/>
  <c r="NKP6" i="20"/>
  <c r="NKP6" i="20" a="1"/>
  <c r="NKO6" i="20"/>
  <c r="NKO6" i="20" a="1"/>
  <c r="NKN6" i="20"/>
  <c r="NKN6" i="20" a="1"/>
  <c r="NKM6" i="20"/>
  <c r="NKM6" i="20" a="1"/>
  <c r="NKL6" i="20"/>
  <c r="NKL6" i="20" a="1"/>
  <c r="NKK6" i="20" a="1"/>
  <c r="NKK6" i="20" s="1"/>
  <c r="NKJ6" i="20"/>
  <c r="NKJ6" i="20" a="1"/>
  <c r="NKI6" i="20" a="1"/>
  <c r="NKI6" i="20" s="1"/>
  <c r="NKH6" i="20" a="1"/>
  <c r="NKH6" i="20" s="1"/>
  <c r="NKG6" i="20" a="1"/>
  <c r="NKG6" i="20" s="1"/>
  <c r="NKF6" i="20"/>
  <c r="NKF6" i="20" a="1"/>
  <c r="NKE6" i="20" a="1"/>
  <c r="NKE6" i="20" s="1"/>
  <c r="NKD6" i="20" a="1"/>
  <c r="NKD6" i="20" s="1"/>
  <c r="NKC6" i="20"/>
  <c r="NKC6" i="20" a="1"/>
  <c r="NKB6" i="20"/>
  <c r="NKB6" i="20" a="1"/>
  <c r="NKA6" i="20"/>
  <c r="NKA6" i="20" a="1"/>
  <c r="NJZ6" i="20" a="1"/>
  <c r="NJZ6" i="20" s="1"/>
  <c r="NJY6" i="20" a="1"/>
  <c r="NJY6" i="20" s="1"/>
  <c r="NJX6" i="20" a="1"/>
  <c r="NJX6" i="20" s="1"/>
  <c r="NJW6" i="20"/>
  <c r="NJW6" i="20" a="1"/>
  <c r="NJV6" i="20" a="1"/>
  <c r="NJV6" i="20" s="1"/>
  <c r="NJU6" i="20" a="1"/>
  <c r="NJU6" i="20" s="1"/>
  <c r="NJT6" i="20" a="1"/>
  <c r="NJT6" i="20" s="1"/>
  <c r="NJS6" i="20" a="1"/>
  <c r="NJS6" i="20" s="1"/>
  <c r="NJR6" i="20"/>
  <c r="NJR6" i="20" a="1"/>
  <c r="NJQ6" i="20" a="1"/>
  <c r="NJQ6" i="20" s="1"/>
  <c r="NJP6" i="20"/>
  <c r="NJP6" i="20" a="1"/>
  <c r="NJO6" i="20"/>
  <c r="NJO6" i="20" a="1"/>
  <c r="NJN6" i="20"/>
  <c r="NJN6" i="20" a="1"/>
  <c r="NJM6" i="20" a="1"/>
  <c r="NJM6" i="20" s="1"/>
  <c r="NJL6" i="20"/>
  <c r="NJL6" i="20" a="1"/>
  <c r="NJK6" i="20" a="1"/>
  <c r="NJK6" i="20" s="1"/>
  <c r="NJJ6" i="20"/>
  <c r="NJJ6" i="20" a="1"/>
  <c r="NJI6" i="20" a="1"/>
  <c r="NJI6" i="20" s="1"/>
  <c r="NJH6" i="20" a="1"/>
  <c r="NJH6" i="20" s="1"/>
  <c r="NJG6" i="20" a="1"/>
  <c r="NJG6" i="20" s="1"/>
  <c r="NJF6" i="20"/>
  <c r="NJF6" i="20" a="1"/>
  <c r="NJE6" i="20"/>
  <c r="NJE6" i="20" a="1"/>
  <c r="NJD6" i="20" a="1"/>
  <c r="NJD6" i="20" s="1"/>
  <c r="NJC6" i="20"/>
  <c r="NJC6" i="20" a="1"/>
  <c r="NJB6" i="20"/>
  <c r="NJB6" i="20" a="1"/>
  <c r="NJA6" i="20" a="1"/>
  <c r="NJA6" i="20" s="1"/>
  <c r="NIZ6" i="20" a="1"/>
  <c r="NIZ6" i="20" s="1"/>
  <c r="NIY6" i="20" a="1"/>
  <c r="NIY6" i="20" s="1"/>
  <c r="NIX6" i="20" a="1"/>
  <c r="NIX6" i="20" s="1"/>
  <c r="NIW6" i="20"/>
  <c r="NIW6" i="20" a="1"/>
  <c r="NIV6" i="20" a="1"/>
  <c r="NIV6" i="20" s="1"/>
  <c r="NIU6" i="20" a="1"/>
  <c r="NIU6" i="20" s="1"/>
  <c r="NIT6" i="20"/>
  <c r="NIT6" i="20" a="1"/>
  <c r="NIS6" i="20" a="1"/>
  <c r="NIS6" i="20" s="1"/>
  <c r="NIR6" i="20"/>
  <c r="NIR6" i="20" a="1"/>
  <c r="NIQ6" i="20" a="1"/>
  <c r="NIQ6" i="20" s="1"/>
  <c r="NIP6" i="20"/>
  <c r="NIP6" i="20" a="1"/>
  <c r="NIO6" i="20" a="1"/>
  <c r="NIO6" i="20" s="1"/>
  <c r="NIN6" i="20" a="1"/>
  <c r="NIN6" i="20" s="1"/>
  <c r="NIM6" i="20" a="1"/>
  <c r="NIM6" i="20" s="1"/>
  <c r="NIL6" i="20" a="1"/>
  <c r="NIL6" i="20" s="1"/>
  <c r="NIK6" i="20" a="1"/>
  <c r="NIK6" i="20" s="1"/>
  <c r="NIJ6" i="20"/>
  <c r="NIJ6" i="20" a="1"/>
  <c r="NII6" i="20" a="1"/>
  <c r="NII6" i="20" s="1"/>
  <c r="NIH6" i="20"/>
  <c r="NIH6" i="20" a="1"/>
  <c r="NIG6" i="20"/>
  <c r="NIG6" i="20" a="1"/>
  <c r="NIF6" i="20"/>
  <c r="NIF6" i="20" a="1"/>
  <c r="NIE6" i="20"/>
  <c r="NIE6" i="20" a="1"/>
  <c r="NID6" i="20" a="1"/>
  <c r="NID6" i="20" s="1"/>
  <c r="NIC6" i="20" a="1"/>
  <c r="NIC6" i="20" s="1"/>
  <c r="NIB6" i="20" a="1"/>
  <c r="NIB6" i="20" s="1"/>
  <c r="NIA6" i="20" a="1"/>
  <c r="NIA6" i="20" s="1"/>
  <c r="NHZ6" i="20" a="1"/>
  <c r="NHZ6" i="20" s="1"/>
  <c r="NHY6" i="20" a="1"/>
  <c r="NHY6" i="20" s="1"/>
  <c r="NHX6" i="20" a="1"/>
  <c r="NHX6" i="20" s="1"/>
  <c r="NHW6" i="20" a="1"/>
  <c r="NHW6" i="20" s="1"/>
  <c r="NHV6" i="20"/>
  <c r="NHV6" i="20" a="1"/>
  <c r="NHU6" i="20"/>
  <c r="NHU6" i="20" a="1"/>
  <c r="NHT6" i="20"/>
  <c r="NHT6" i="20" a="1"/>
  <c r="NHS6" i="20" a="1"/>
  <c r="NHS6" i="20" s="1"/>
  <c r="NHR6" i="20"/>
  <c r="NHR6" i="20" a="1"/>
  <c r="NHQ6" i="20" a="1"/>
  <c r="NHQ6" i="20" s="1"/>
  <c r="NHP6" i="20"/>
  <c r="NHP6" i="20" a="1"/>
  <c r="NHO6" i="20" a="1"/>
  <c r="NHO6" i="20" s="1"/>
  <c r="NHN6" i="20" a="1"/>
  <c r="NHN6" i="20" s="1"/>
  <c r="NHM6" i="20" a="1"/>
  <c r="NHM6" i="20" s="1"/>
  <c r="NHL6" i="20" a="1"/>
  <c r="NHL6" i="20" s="1"/>
  <c r="NHK6" i="20" a="1"/>
  <c r="NHK6" i="20" s="1"/>
  <c r="NHJ6" i="20" a="1"/>
  <c r="NHJ6" i="20" s="1"/>
  <c r="NHI6" i="20"/>
  <c r="NHI6" i="20" a="1"/>
  <c r="NHH6" i="20"/>
  <c r="NHH6" i="20" a="1"/>
  <c r="NHG6" i="20"/>
  <c r="NHG6" i="20" a="1"/>
  <c r="NHF6" i="20"/>
  <c r="NHF6" i="20" a="1"/>
  <c r="NHE6" i="20" a="1"/>
  <c r="NHE6" i="20" s="1"/>
  <c r="NHD6" i="20" a="1"/>
  <c r="NHD6" i="20" s="1"/>
  <c r="NHC6" i="20" a="1"/>
  <c r="NHC6" i="20" s="1"/>
  <c r="NHB6" i="20" a="1"/>
  <c r="NHB6" i="20" s="1"/>
  <c r="NHA6" i="20" a="1"/>
  <c r="NHA6" i="20" s="1"/>
  <c r="NGZ6" i="20" a="1"/>
  <c r="NGZ6" i="20" s="1"/>
  <c r="NGY6" i="20" a="1"/>
  <c r="NGY6" i="20" s="1"/>
  <c r="NGX6" i="20"/>
  <c r="NGX6" i="20" a="1"/>
  <c r="NGW6" i="20" a="1"/>
  <c r="NGW6" i="20" s="1"/>
  <c r="NGV6" i="20"/>
  <c r="NGV6" i="20" a="1"/>
  <c r="NGU6" i="20"/>
  <c r="NGU6" i="20" a="1"/>
  <c r="NGT6" i="20"/>
  <c r="NGT6" i="20" a="1"/>
  <c r="NGS6" i="20" a="1"/>
  <c r="NGS6" i="20" s="1"/>
  <c r="NGR6" i="20" a="1"/>
  <c r="NGR6" i="20" s="1"/>
  <c r="NGQ6" i="20" a="1"/>
  <c r="NGQ6" i="20" s="1"/>
  <c r="NGP6" i="20" a="1"/>
  <c r="NGP6" i="20" s="1"/>
  <c r="NGO6" i="20" a="1"/>
  <c r="NGO6" i="20" s="1"/>
  <c r="NGN6" i="20" a="1"/>
  <c r="NGN6" i="20" s="1"/>
  <c r="NGM6" i="20" a="1"/>
  <c r="NGM6" i="20" s="1"/>
  <c r="NGL6" i="20"/>
  <c r="NGL6" i="20" a="1"/>
  <c r="NGK6" i="20"/>
  <c r="NGK6" i="20" a="1"/>
  <c r="NGJ6" i="20" a="1"/>
  <c r="NGJ6" i="20" s="1"/>
  <c r="NGI6" i="20"/>
  <c r="NGI6" i="20" a="1"/>
  <c r="NGH6" i="20"/>
  <c r="NGH6" i="20" a="1"/>
  <c r="NGG6" i="20" a="1"/>
  <c r="NGG6" i="20" s="1"/>
  <c r="NGF6" i="20" a="1"/>
  <c r="NGF6" i="20" s="1"/>
  <c r="NGE6" i="20" a="1"/>
  <c r="NGE6" i="20" s="1"/>
  <c r="NGD6" i="20" a="1"/>
  <c r="NGD6" i="20" s="1"/>
  <c r="NGC6" i="20" a="1"/>
  <c r="NGC6" i="20" s="1"/>
  <c r="NGB6" i="20" a="1"/>
  <c r="NGB6" i="20" s="1"/>
  <c r="NGA6" i="20" a="1"/>
  <c r="NGA6" i="20" s="1"/>
  <c r="NFZ6" i="20"/>
  <c r="NFZ6" i="20" a="1"/>
  <c r="NFY6" i="20"/>
  <c r="NFY6" i="20" a="1"/>
  <c r="NFX6" i="20"/>
  <c r="NFX6" i="20" a="1"/>
  <c r="NFW6" i="20" a="1"/>
  <c r="NFW6" i="20" s="1"/>
  <c r="NFV6" i="20"/>
  <c r="NFV6" i="20" a="1"/>
  <c r="NFU6" i="20" a="1"/>
  <c r="NFU6" i="20" s="1"/>
  <c r="NFT6" i="20" a="1"/>
  <c r="NFT6" i="20" s="1"/>
  <c r="NFS6" i="20" a="1"/>
  <c r="NFS6" i="20" s="1"/>
  <c r="NFR6" i="20"/>
  <c r="NFR6" i="20" a="1"/>
  <c r="NFQ6" i="20" a="1"/>
  <c r="NFQ6" i="20" s="1"/>
  <c r="NFP6" i="20" a="1"/>
  <c r="NFP6" i="20" s="1"/>
  <c r="NFO6" i="20" a="1"/>
  <c r="NFO6" i="20" s="1"/>
  <c r="NFN6" i="20"/>
  <c r="NFN6" i="20" a="1"/>
  <c r="NFM6" i="20"/>
  <c r="NFM6" i="20" a="1"/>
  <c r="NFL6" i="20" a="1"/>
  <c r="NFL6" i="20" s="1"/>
  <c r="NFK6" i="20"/>
  <c r="NFK6" i="20" a="1"/>
  <c r="NFJ6" i="20" a="1"/>
  <c r="NFJ6" i="20" s="1"/>
  <c r="NFI6" i="20" a="1"/>
  <c r="NFI6" i="20" s="1"/>
  <c r="NFH6" i="20" a="1"/>
  <c r="NFH6" i="20" s="1"/>
  <c r="NFG6" i="20" a="1"/>
  <c r="NFG6" i="20" s="1"/>
  <c r="NFF6" i="20" a="1"/>
  <c r="NFF6" i="20" s="1"/>
  <c r="NFE6" i="20" a="1"/>
  <c r="NFE6" i="20" s="1"/>
  <c r="NFD6" i="20" a="1"/>
  <c r="NFD6" i="20" s="1"/>
  <c r="NFC6" i="20" a="1"/>
  <c r="NFC6" i="20" s="1"/>
  <c r="NFB6" i="20"/>
  <c r="NFB6" i="20" a="1"/>
  <c r="NFA6" i="20"/>
  <c r="NFA6" i="20" a="1"/>
  <c r="NEZ6" i="20"/>
  <c r="NEZ6" i="20" a="1"/>
  <c r="NEY6" i="20" a="1"/>
  <c r="NEY6" i="20" s="1"/>
  <c r="NEX6" i="20"/>
  <c r="NEX6" i="20" a="1"/>
  <c r="NEW6" i="20" a="1"/>
  <c r="NEW6" i="20" s="1"/>
  <c r="NEV6" i="20"/>
  <c r="NEV6" i="20" a="1"/>
  <c r="NEU6" i="20" a="1"/>
  <c r="NEU6" i="20" s="1"/>
  <c r="NET6" i="20" a="1"/>
  <c r="NET6" i="20" s="1"/>
  <c r="NES6" i="20" a="1"/>
  <c r="NES6" i="20" s="1"/>
  <c r="NER6" i="20" a="1"/>
  <c r="NER6" i="20" s="1"/>
  <c r="NEQ6" i="20" a="1"/>
  <c r="NEQ6" i="20" s="1"/>
  <c r="NEP6" i="20" a="1"/>
  <c r="NEP6" i="20" s="1"/>
  <c r="NEO6" i="20" a="1"/>
  <c r="NEO6" i="20" s="1"/>
  <c r="NEN6" i="20"/>
  <c r="NEN6" i="20" a="1"/>
  <c r="NEM6" i="20"/>
  <c r="NEM6" i="20" a="1"/>
  <c r="NEL6" i="20" a="1"/>
  <c r="NEL6" i="20" s="1"/>
  <c r="NEK6" i="20" a="1"/>
  <c r="NEK6" i="20" s="1"/>
  <c r="NEJ6" i="20" a="1"/>
  <c r="NEJ6" i="20" s="1"/>
  <c r="NEI6" i="20"/>
  <c r="NEI6" i="20" a="1"/>
  <c r="NEH6" i="20" a="1"/>
  <c r="NEH6" i="20" s="1"/>
  <c r="NEG6" i="20" a="1"/>
  <c r="NEG6" i="20" s="1"/>
  <c r="NEF6" i="20" a="1"/>
  <c r="NEF6" i="20" s="1"/>
  <c r="NEE6" i="20" a="1"/>
  <c r="NEE6" i="20" s="1"/>
  <c r="NED6" i="20"/>
  <c r="NED6" i="20" a="1"/>
  <c r="NEC6" i="20" a="1"/>
  <c r="NEC6" i="20" s="1"/>
  <c r="NEB6" i="20" a="1"/>
  <c r="NEB6" i="20" s="1"/>
  <c r="NEA6" i="20"/>
  <c r="NEA6" i="20" a="1"/>
  <c r="NDZ6" i="20"/>
  <c r="NDZ6" i="20" a="1"/>
  <c r="NDY6" i="20" a="1"/>
  <c r="NDY6" i="20" s="1"/>
  <c r="NDX6" i="20"/>
  <c r="NDX6" i="20" a="1"/>
  <c r="NDW6" i="20" a="1"/>
  <c r="NDW6" i="20" s="1"/>
  <c r="NDV6" i="20" a="1"/>
  <c r="NDV6" i="20" s="1"/>
  <c r="NDU6" i="20"/>
  <c r="NDU6" i="20" a="1"/>
  <c r="NDT6" i="20" a="1"/>
  <c r="NDT6" i="20" s="1"/>
  <c r="NDS6" i="20" a="1"/>
  <c r="NDS6" i="20" s="1"/>
  <c r="NDR6" i="20" a="1"/>
  <c r="NDR6" i="20" s="1"/>
  <c r="NDQ6" i="20"/>
  <c r="NDQ6" i="20" a="1"/>
  <c r="NDP6" i="20" a="1"/>
  <c r="NDP6" i="20" s="1"/>
  <c r="NDO6" i="20"/>
  <c r="NDO6" i="20" a="1"/>
  <c r="NDN6" i="20"/>
  <c r="NDN6" i="20" a="1"/>
  <c r="NDM6" i="20" a="1"/>
  <c r="NDM6" i="20" s="1"/>
  <c r="NDL6" i="20" a="1"/>
  <c r="NDL6" i="20" s="1"/>
  <c r="NDK6" i="20" a="1"/>
  <c r="NDK6" i="20" s="1"/>
  <c r="NDJ6" i="20" a="1"/>
  <c r="NDJ6" i="20" s="1"/>
  <c r="NDI6" i="20"/>
  <c r="NDI6" i="20" a="1"/>
  <c r="NDH6" i="20" a="1"/>
  <c r="NDH6" i="20" s="1"/>
  <c r="NDG6" i="20" a="1"/>
  <c r="NDG6" i="20" s="1"/>
  <c r="NDF6" i="20"/>
  <c r="NDF6" i="20" a="1"/>
  <c r="NDE6" i="20" a="1"/>
  <c r="NDE6" i="20" s="1"/>
  <c r="NDD6" i="20"/>
  <c r="NDD6" i="20" a="1"/>
  <c r="NDC6" i="20" a="1"/>
  <c r="NDC6" i="20" s="1"/>
  <c r="NDB6" i="20"/>
  <c r="NDB6" i="20" a="1"/>
  <c r="NDA6" i="20" a="1"/>
  <c r="NDA6" i="20" s="1"/>
  <c r="NCZ6" i="20" a="1"/>
  <c r="NCZ6" i="20" s="1"/>
  <c r="NCY6" i="20" a="1"/>
  <c r="NCY6" i="20" s="1"/>
  <c r="NCX6" i="20" a="1"/>
  <c r="NCX6" i="20" s="1"/>
  <c r="NCW6" i="20" a="1"/>
  <c r="NCW6" i="20" s="1"/>
  <c r="NCV6" i="20"/>
  <c r="NCV6" i="20" a="1"/>
  <c r="NCU6" i="20" a="1"/>
  <c r="NCU6" i="20" s="1"/>
  <c r="NCT6" i="20"/>
  <c r="NCT6" i="20" a="1"/>
  <c r="NCS6" i="20"/>
  <c r="NCS6" i="20" a="1"/>
  <c r="NCR6" i="20"/>
  <c r="NCR6" i="20" a="1"/>
  <c r="NCQ6" i="20"/>
  <c r="NCQ6" i="20" a="1"/>
  <c r="NCP6" i="20" a="1"/>
  <c r="NCP6" i="20" s="1"/>
  <c r="NCO6" i="20" a="1"/>
  <c r="NCO6" i="20" s="1"/>
  <c r="NCN6" i="20" a="1"/>
  <c r="NCN6" i="20" s="1"/>
  <c r="NCM6" i="20" a="1"/>
  <c r="NCM6" i="20" s="1"/>
  <c r="NCL6" i="20" a="1"/>
  <c r="NCL6" i="20" s="1"/>
  <c r="NCK6" i="20" a="1"/>
  <c r="NCK6" i="20" s="1"/>
  <c r="NCJ6" i="20" a="1"/>
  <c r="NCJ6" i="20" s="1"/>
  <c r="NCI6" i="20" a="1"/>
  <c r="NCI6" i="20" s="1"/>
  <c r="NCH6" i="20" a="1"/>
  <c r="NCH6" i="20" s="1"/>
  <c r="NCG6" i="20"/>
  <c r="NCG6" i="20" a="1"/>
  <c r="NCF6" i="20"/>
  <c r="NCF6" i="20" a="1"/>
  <c r="NCE6" i="20" a="1"/>
  <c r="NCE6" i="20" s="1"/>
  <c r="NCD6" i="20"/>
  <c r="NCD6" i="20" a="1"/>
  <c r="NCC6" i="20" a="1"/>
  <c r="NCC6" i="20" s="1"/>
  <c r="NCB6" i="20" a="1"/>
  <c r="NCB6" i="20" s="1"/>
  <c r="NCA6" i="20"/>
  <c r="NCA6" i="20" a="1"/>
  <c r="NBZ6" i="20" a="1"/>
  <c r="NBZ6" i="20" s="1"/>
  <c r="NBY6" i="20" a="1"/>
  <c r="NBY6" i="20" s="1"/>
  <c r="NBX6" i="20" a="1"/>
  <c r="NBX6" i="20" s="1"/>
  <c r="NBW6" i="20" a="1"/>
  <c r="NBW6" i="20" s="1"/>
  <c r="NBV6" i="20" a="1"/>
  <c r="NBV6" i="20" s="1"/>
  <c r="NBU6" i="20" a="1"/>
  <c r="NBU6" i="20" s="1"/>
  <c r="NBT6" i="20"/>
  <c r="NBT6" i="20" a="1"/>
  <c r="NBS6" i="20"/>
  <c r="NBS6" i="20" a="1"/>
  <c r="NBR6" i="20"/>
  <c r="NBR6" i="20" a="1"/>
  <c r="NBQ6" i="20" a="1"/>
  <c r="NBQ6" i="20" s="1"/>
  <c r="NBP6" i="20" a="1"/>
  <c r="NBP6" i="20" s="1"/>
  <c r="NBO6" i="20"/>
  <c r="NBO6" i="20" a="1"/>
  <c r="NBN6" i="20" a="1"/>
  <c r="NBN6" i="20" s="1"/>
  <c r="NBM6" i="20" a="1"/>
  <c r="NBM6" i="20" s="1"/>
  <c r="NBL6" i="20" a="1"/>
  <c r="NBL6" i="20" s="1"/>
  <c r="NBK6" i="20" a="1"/>
  <c r="NBK6" i="20" s="1"/>
  <c r="NBJ6" i="20"/>
  <c r="NBJ6" i="20" a="1"/>
  <c r="NBI6" i="20" a="1"/>
  <c r="NBI6" i="20" s="1"/>
  <c r="NBH6" i="20" a="1"/>
  <c r="NBH6" i="20" s="1"/>
  <c r="NBG6" i="20"/>
  <c r="NBG6" i="20" a="1"/>
  <c r="NBF6" i="20"/>
  <c r="NBF6" i="20" a="1"/>
  <c r="NBE6" i="20" a="1"/>
  <c r="NBE6" i="20" s="1"/>
  <c r="NBD6" i="20" a="1"/>
  <c r="NBD6" i="20" s="1"/>
  <c r="NBC6" i="20" a="1"/>
  <c r="NBC6" i="20" s="1"/>
  <c r="NBB6" i="20"/>
  <c r="NBB6" i="20" a="1"/>
  <c r="NBA6" i="20" a="1"/>
  <c r="NBA6" i="20" s="1"/>
  <c r="NAZ6" i="20" a="1"/>
  <c r="NAZ6" i="20" s="1"/>
  <c r="NAY6" i="20" a="1"/>
  <c r="NAY6" i="20" s="1"/>
  <c r="NAX6" i="20" a="1"/>
  <c r="NAX6" i="20" s="1"/>
  <c r="NAW6" i="20"/>
  <c r="NAW6" i="20" a="1"/>
  <c r="NAV6" i="20" a="1"/>
  <c r="NAV6" i="20" s="1"/>
  <c r="NAU6" i="20" a="1"/>
  <c r="NAU6" i="20" s="1"/>
  <c r="NAT6" i="20"/>
  <c r="NAT6" i="20" a="1"/>
  <c r="NAS6" i="20" a="1"/>
  <c r="NAS6" i="20" s="1"/>
  <c r="NAR6" i="20" a="1"/>
  <c r="NAR6" i="20" s="1"/>
  <c r="NAQ6" i="20"/>
  <c r="NAQ6" i="20" a="1"/>
  <c r="NAP6" i="20" a="1"/>
  <c r="NAP6" i="20" s="1"/>
  <c r="NAO6" i="20" a="1"/>
  <c r="NAO6" i="20" s="1"/>
  <c r="NAN6" i="20"/>
  <c r="NAN6" i="20" a="1"/>
  <c r="NAM6" i="20" a="1"/>
  <c r="NAM6" i="20" s="1"/>
  <c r="NAL6" i="20"/>
  <c r="NAL6" i="20" a="1"/>
  <c r="NAK6" i="20" a="1"/>
  <c r="NAK6" i="20" s="1"/>
  <c r="NAJ6" i="20"/>
  <c r="NAJ6" i="20" a="1"/>
  <c r="NAI6" i="20" a="1"/>
  <c r="NAI6" i="20" s="1"/>
  <c r="NAH6" i="20" a="1"/>
  <c r="NAH6" i="20" s="1"/>
  <c r="NAG6" i="20" a="1"/>
  <c r="NAG6" i="20" s="1"/>
  <c r="NAF6" i="20" a="1"/>
  <c r="NAF6" i="20" s="1"/>
  <c r="NAE6" i="20" a="1"/>
  <c r="NAE6" i="20" s="1"/>
  <c r="NAD6" i="20" a="1"/>
  <c r="NAD6" i="20" s="1"/>
  <c r="NAC6" i="20" a="1"/>
  <c r="NAC6" i="20" s="1"/>
  <c r="NAB6" i="20"/>
  <c r="NAB6" i="20" a="1"/>
  <c r="NAA6" i="20" a="1"/>
  <c r="NAA6" i="20" s="1"/>
  <c r="MZZ6" i="20"/>
  <c r="MZZ6" i="20" a="1"/>
  <c r="MZY6" i="20"/>
  <c r="MZY6" i="20" a="1"/>
  <c r="MZX6" i="20" a="1"/>
  <c r="MZX6" i="20" s="1"/>
  <c r="MZW6" i="20"/>
  <c r="MZW6" i="20" a="1"/>
  <c r="MZV6" i="20" a="1"/>
  <c r="MZV6" i="20" s="1"/>
  <c r="MZU6" i="20" a="1"/>
  <c r="MZU6" i="20" s="1"/>
  <c r="MZT6" i="20" a="1"/>
  <c r="MZT6" i="20" s="1"/>
  <c r="MZS6" i="20" a="1"/>
  <c r="MZS6" i="20" s="1"/>
  <c r="MZR6" i="20" a="1"/>
  <c r="MZR6" i="20" s="1"/>
  <c r="MZQ6" i="20" a="1"/>
  <c r="MZQ6" i="20" s="1"/>
  <c r="MZP6" i="20" a="1"/>
  <c r="MZP6" i="20" s="1"/>
  <c r="MZO6" i="20" a="1"/>
  <c r="MZO6" i="20" s="1"/>
  <c r="MZN6" i="20" a="1"/>
  <c r="MZN6" i="20" s="1"/>
  <c r="MZM6" i="20"/>
  <c r="MZM6" i="20" a="1"/>
  <c r="MZL6" i="20"/>
  <c r="MZL6" i="20" a="1"/>
  <c r="MZK6" i="20"/>
  <c r="MZK6" i="20" a="1"/>
  <c r="MZJ6" i="20"/>
  <c r="MZJ6" i="20" a="1"/>
  <c r="MZI6" i="20" a="1"/>
  <c r="MZI6" i="20" s="1"/>
  <c r="MZH6" i="20"/>
  <c r="MZH6" i="20" a="1"/>
  <c r="MZG6" i="20" a="1"/>
  <c r="MZG6" i="20" s="1"/>
  <c r="MZF6" i="20" a="1"/>
  <c r="MZF6" i="20" s="1"/>
  <c r="MZE6" i="20" a="1"/>
  <c r="MZE6" i="20" s="1"/>
  <c r="MZD6" i="20" a="1"/>
  <c r="MZD6" i="20" s="1"/>
  <c r="MZC6" i="20" a="1"/>
  <c r="MZC6" i="20" s="1"/>
  <c r="MZB6" i="20" a="1"/>
  <c r="MZB6" i="20" s="1"/>
  <c r="MZA6" i="20"/>
  <c r="MZA6" i="20" a="1"/>
  <c r="MYZ6" i="20"/>
  <c r="MYZ6" i="20" a="1"/>
  <c r="MYY6" i="20"/>
  <c r="MYY6" i="20" a="1"/>
  <c r="MYX6" i="20"/>
  <c r="MYX6" i="20" a="1"/>
  <c r="MYW6" i="20" a="1"/>
  <c r="MYW6" i="20" s="1"/>
  <c r="MYV6" i="20" a="1"/>
  <c r="MYV6" i="20" s="1"/>
  <c r="MYU6" i="20" a="1"/>
  <c r="MYU6" i="20" s="1"/>
  <c r="MYT6" i="20" a="1"/>
  <c r="MYT6" i="20" s="1"/>
  <c r="MYS6" i="20" a="1"/>
  <c r="MYS6" i="20" s="1"/>
  <c r="MYR6" i="20" a="1"/>
  <c r="MYR6" i="20" s="1"/>
  <c r="MYQ6" i="20" a="1"/>
  <c r="MYQ6" i="20" s="1"/>
  <c r="MYP6" i="20"/>
  <c r="MYP6" i="20" a="1"/>
  <c r="MYO6" i="20" a="1"/>
  <c r="MYO6" i="20" s="1"/>
  <c r="MYN6" i="20" a="1"/>
  <c r="MYN6" i="20" s="1"/>
  <c r="MYM6" i="20"/>
  <c r="MYM6" i="20" a="1"/>
  <c r="MYL6" i="20"/>
  <c r="MYL6" i="20" a="1"/>
  <c r="MYK6" i="20" a="1"/>
  <c r="MYK6" i="20" s="1"/>
  <c r="MYJ6" i="20" a="1"/>
  <c r="MYJ6" i="20" s="1"/>
  <c r="MYI6" i="20" a="1"/>
  <c r="MYI6" i="20" s="1"/>
  <c r="MYH6" i="20"/>
  <c r="MYH6" i="20" a="1"/>
  <c r="MYG6" i="20" a="1"/>
  <c r="MYG6" i="20" s="1"/>
  <c r="MYF6" i="20" a="1"/>
  <c r="MYF6" i="20" s="1"/>
  <c r="MYE6" i="20" a="1"/>
  <c r="MYE6" i="20" s="1"/>
  <c r="MYD6" i="20"/>
  <c r="MYD6" i="20" a="1"/>
  <c r="MYC6" i="20"/>
  <c r="MYC6" i="20" a="1"/>
  <c r="MYB6" i="20" a="1"/>
  <c r="MYB6" i="20" s="1"/>
  <c r="MYA6" i="20"/>
  <c r="MYA6" i="20" a="1"/>
  <c r="MXZ6" i="20"/>
  <c r="MXZ6" i="20" a="1"/>
  <c r="MXY6" i="20" a="1"/>
  <c r="MXY6" i="20" s="1"/>
  <c r="MXX6" i="20" a="1"/>
  <c r="MXX6" i="20" s="1"/>
  <c r="MXW6" i="20" a="1"/>
  <c r="MXW6" i="20" s="1"/>
  <c r="MXV6" i="20" a="1"/>
  <c r="MXV6" i="20" s="1"/>
  <c r="MXU6" i="20" a="1"/>
  <c r="MXU6" i="20" s="1"/>
  <c r="MXT6" i="20"/>
  <c r="MXT6" i="20" a="1"/>
  <c r="MXS6" i="20" a="1"/>
  <c r="MXS6" i="20" s="1"/>
  <c r="MXR6" i="20"/>
  <c r="MXR6" i="20" a="1"/>
  <c r="MXQ6" i="20" a="1"/>
  <c r="MXQ6" i="20" s="1"/>
  <c r="MXP6" i="20"/>
  <c r="MXP6" i="20" a="1"/>
  <c r="MXO6" i="20" a="1"/>
  <c r="MXO6" i="20" s="1"/>
  <c r="MXN6" i="20" a="1"/>
  <c r="MXN6" i="20" s="1"/>
  <c r="MXM6" i="20" a="1"/>
  <c r="MXM6" i="20" s="1"/>
  <c r="MXL6" i="20" a="1"/>
  <c r="MXL6" i="20" s="1"/>
  <c r="MXK6" i="20" a="1"/>
  <c r="MXK6" i="20" s="1"/>
  <c r="MXJ6" i="20" a="1"/>
  <c r="MXJ6" i="20" s="1"/>
  <c r="MXI6" i="20" a="1"/>
  <c r="MXI6" i="20" s="1"/>
  <c r="MXH6" i="20"/>
  <c r="MXH6" i="20" a="1"/>
  <c r="MXG6" i="20" a="1"/>
  <c r="MXG6" i="20" s="1"/>
  <c r="MXF6" i="20" a="1"/>
  <c r="MXF6" i="20" s="1"/>
  <c r="MXE6" i="20"/>
  <c r="MXE6" i="20" a="1"/>
  <c r="MXD6" i="20"/>
  <c r="MXD6" i="20" a="1"/>
  <c r="MXC6" i="20"/>
  <c r="MXC6" i="20" a="1"/>
  <c r="MXB6" i="20"/>
  <c r="MXB6" i="20" a="1"/>
  <c r="MXA6" i="20" a="1"/>
  <c r="MXA6" i="20" s="1"/>
  <c r="MWZ6" i="20" a="1"/>
  <c r="MWZ6" i="20" s="1"/>
  <c r="MWY6" i="20"/>
  <c r="MWY6" i="20" a="1"/>
  <c r="MWX6" i="20" a="1"/>
  <c r="MWX6" i="20" s="1"/>
  <c r="MWW6" i="20"/>
  <c r="MWW6" i="20" a="1"/>
  <c r="MWV6" i="20" a="1"/>
  <c r="MWV6" i="20" s="1"/>
  <c r="MWU6" i="20" a="1"/>
  <c r="MWU6" i="20" s="1"/>
  <c r="MWT6" i="20" a="1"/>
  <c r="MWT6" i="20" s="1"/>
  <c r="MWS6" i="20" a="1"/>
  <c r="MWS6" i="20" s="1"/>
  <c r="MWR6" i="20"/>
  <c r="MWR6" i="20" a="1"/>
  <c r="MWQ6" i="20"/>
  <c r="MWQ6" i="20" a="1"/>
  <c r="MWP6" i="20"/>
  <c r="MWP6" i="20" a="1"/>
  <c r="MWO6" i="20" a="1"/>
  <c r="MWO6" i="20" s="1"/>
  <c r="MWN6" i="20"/>
  <c r="MWN6" i="20" a="1"/>
  <c r="MWM6" i="20"/>
  <c r="MWM6" i="20" a="1"/>
  <c r="MWL6" i="20" a="1"/>
  <c r="MWL6" i="20" s="1"/>
  <c r="MWK6" i="20" a="1"/>
  <c r="MWK6" i="20" s="1"/>
  <c r="MWJ6" i="20"/>
  <c r="MWJ6" i="20" a="1"/>
  <c r="MWI6" i="20" a="1"/>
  <c r="MWI6" i="20" s="1"/>
  <c r="MWH6" i="20" a="1"/>
  <c r="MWH6" i="20" s="1"/>
  <c r="MWG6" i="20" a="1"/>
  <c r="MWG6" i="20" s="1"/>
  <c r="MWF6" i="20"/>
  <c r="MWF6" i="20" a="1"/>
  <c r="MWE6" i="20"/>
  <c r="MWE6" i="20" a="1"/>
  <c r="MWD6" i="20"/>
  <c r="MWD6" i="20" a="1"/>
  <c r="MWC6" i="20" a="1"/>
  <c r="MWC6" i="20" s="1"/>
  <c r="MWB6" i="20" a="1"/>
  <c r="MWB6" i="20" s="1"/>
  <c r="MWA6" i="20" a="1"/>
  <c r="MWA6" i="20" s="1"/>
  <c r="MVZ6" i="20" a="1"/>
  <c r="MVZ6" i="20" s="1"/>
  <c r="MVY6" i="20"/>
  <c r="MVY6" i="20" a="1"/>
  <c r="MVX6" i="20" a="1"/>
  <c r="MVX6" i="20" s="1"/>
  <c r="MVW6" i="20" a="1"/>
  <c r="MVW6" i="20" s="1"/>
  <c r="MVV6" i="20"/>
  <c r="MVV6" i="20" a="1"/>
  <c r="MVU6" i="20" a="1"/>
  <c r="MVU6" i="20" s="1"/>
  <c r="MVT6" i="20" a="1"/>
  <c r="MVT6" i="20" s="1"/>
  <c r="MVS6" i="20"/>
  <c r="MVS6" i="20" a="1"/>
  <c r="MVR6" i="20"/>
  <c r="MVR6" i="20" a="1"/>
  <c r="MVQ6" i="20" a="1"/>
  <c r="MVQ6" i="20" s="1"/>
  <c r="MVP6" i="20" a="1"/>
  <c r="MVP6" i="20" s="1"/>
  <c r="MVO6" i="20" a="1"/>
  <c r="MVO6" i="20" s="1"/>
  <c r="MVN6" i="20" a="1"/>
  <c r="MVN6" i="20" s="1"/>
  <c r="MVM6" i="20" a="1"/>
  <c r="MVM6" i="20" s="1"/>
  <c r="MVL6" i="20"/>
  <c r="MVL6" i="20" a="1"/>
  <c r="MVK6" i="20" a="1"/>
  <c r="MVK6" i="20" s="1"/>
  <c r="MVJ6" i="20" a="1"/>
  <c r="MVJ6" i="20" s="1"/>
  <c r="MVI6" i="20"/>
  <c r="MVI6" i="20" a="1"/>
  <c r="MVH6" i="20"/>
  <c r="MVH6" i="20" a="1"/>
  <c r="MVG6" i="20"/>
  <c r="MVG6" i="20" a="1"/>
  <c r="MVF6" i="20" a="1"/>
  <c r="MVF6" i="20" s="1"/>
  <c r="MVE6" i="20" a="1"/>
  <c r="MVE6" i="20" s="1"/>
  <c r="MVD6" i="20" a="1"/>
  <c r="MVD6" i="20" s="1"/>
  <c r="MVC6" i="20" a="1"/>
  <c r="MVC6" i="20" s="1"/>
  <c r="MVB6" i="20" a="1"/>
  <c r="MVB6" i="20" s="1"/>
  <c r="MVA6" i="20"/>
  <c r="MVA6" i="20" a="1"/>
  <c r="MUZ6" i="20" a="1"/>
  <c r="MUZ6" i="20" s="1"/>
  <c r="MUY6" i="20" a="1"/>
  <c r="MUY6" i="20" s="1"/>
  <c r="MUX6" i="20"/>
  <c r="MUX6" i="20" a="1"/>
  <c r="MUW6" i="20" a="1"/>
  <c r="MUW6" i="20" s="1"/>
  <c r="MUV6" i="20"/>
  <c r="MUV6" i="20" a="1"/>
  <c r="MUU6" i="20" a="1"/>
  <c r="MUU6" i="20" s="1"/>
  <c r="MUT6" i="20"/>
  <c r="MUT6" i="20" a="1"/>
  <c r="MUS6" i="20"/>
  <c r="MUS6" i="20" a="1"/>
  <c r="MUR6" i="20"/>
  <c r="MUR6" i="20" a="1"/>
  <c r="MUQ6" i="20" a="1"/>
  <c r="MUQ6" i="20" s="1"/>
  <c r="MUP6" i="20"/>
  <c r="MUP6" i="20" a="1"/>
  <c r="MUO6" i="20" a="1"/>
  <c r="MUO6" i="20" s="1"/>
  <c r="MUN6" i="20" a="1"/>
  <c r="MUN6" i="20" s="1"/>
  <c r="MUM6" i="20"/>
  <c r="MUM6" i="20" a="1"/>
  <c r="MUL6" i="20"/>
  <c r="MUL6" i="20" a="1"/>
  <c r="MUK6" i="20"/>
  <c r="MUK6" i="20" a="1"/>
  <c r="MUJ6" i="20"/>
  <c r="MUJ6" i="20" a="1"/>
  <c r="MUI6" i="20" a="1"/>
  <c r="MUI6" i="20" s="1"/>
  <c r="MUH6" i="20" a="1"/>
  <c r="MUH6" i="20" s="1"/>
  <c r="MUG6" i="20"/>
  <c r="MUG6" i="20" a="1"/>
  <c r="MUF6" i="20"/>
  <c r="MUF6" i="20" a="1"/>
  <c r="MUE6" i="20" a="1"/>
  <c r="MUE6" i="20" s="1"/>
  <c r="MUD6" i="20" a="1"/>
  <c r="MUD6" i="20" s="1"/>
  <c r="MUC6" i="20" a="1"/>
  <c r="MUC6" i="20" s="1"/>
  <c r="MUB6" i="20" a="1"/>
  <c r="MUB6" i="20" s="1"/>
  <c r="MUA6" i="20"/>
  <c r="MUA6" i="20" a="1"/>
  <c r="MTZ6" i="20"/>
  <c r="MTZ6" i="20" a="1"/>
  <c r="MTY6" i="20"/>
  <c r="MTY6" i="20" a="1"/>
  <c r="MTX6" i="20" a="1"/>
  <c r="MTX6" i="20" s="1"/>
  <c r="MTW6" i="20" a="1"/>
  <c r="MTW6" i="20" s="1"/>
  <c r="MTV6" i="20" a="1"/>
  <c r="MTV6" i="20" s="1"/>
  <c r="MTU6" i="20"/>
  <c r="MTU6" i="20" a="1"/>
  <c r="MTT6" i="20" a="1"/>
  <c r="MTT6" i="20" s="1"/>
  <c r="MTS6" i="20"/>
  <c r="MTS6" i="20" a="1"/>
  <c r="MTR6" i="20" a="1"/>
  <c r="MTR6" i="20" s="1"/>
  <c r="MTQ6" i="20" a="1"/>
  <c r="MTQ6" i="20" s="1"/>
  <c r="MTP6" i="20" a="1"/>
  <c r="MTP6" i="20" s="1"/>
  <c r="MTO6" i="20"/>
  <c r="MTO6" i="20" a="1"/>
  <c r="MTN6" i="20" a="1"/>
  <c r="MTN6" i="20" s="1"/>
  <c r="MTM6" i="20"/>
  <c r="MTM6" i="20" a="1"/>
  <c r="MTL6" i="20" a="1"/>
  <c r="MTL6" i="20" s="1"/>
  <c r="MTK6" i="20" a="1"/>
  <c r="MTK6" i="20" s="1"/>
  <c r="MTJ6" i="20" a="1"/>
  <c r="MTJ6" i="20" s="1"/>
  <c r="MTI6" i="20"/>
  <c r="MTI6" i="20" a="1"/>
  <c r="MTH6" i="20"/>
  <c r="MTH6" i="20" a="1"/>
  <c r="MTG6" i="20" a="1"/>
  <c r="MTG6" i="20" s="1"/>
  <c r="MTF6" i="20" a="1"/>
  <c r="MTF6" i="20" s="1"/>
  <c r="MTE6" i="20" a="1"/>
  <c r="MTE6" i="20" s="1"/>
  <c r="MTD6" i="20" a="1"/>
  <c r="MTD6" i="20" s="1"/>
  <c r="MTC6" i="20"/>
  <c r="MTC6" i="20" a="1"/>
  <c r="MTB6" i="20"/>
  <c r="MTB6" i="20" a="1"/>
  <c r="MTA6" i="20"/>
  <c r="MTA6" i="20" a="1"/>
  <c r="MSZ6" i="20" a="1"/>
  <c r="MSZ6" i="20" s="1"/>
  <c r="MSY6" i="20" a="1"/>
  <c r="MSY6" i="20" s="1"/>
  <c r="MSX6" i="20" a="1"/>
  <c r="MSX6" i="20" s="1"/>
  <c r="MSW6" i="20"/>
  <c r="MSW6" i="20" a="1"/>
  <c r="MSV6" i="20" a="1"/>
  <c r="MSV6" i="20" s="1"/>
  <c r="MSU6" i="20"/>
  <c r="MSU6" i="20" a="1"/>
  <c r="MST6" i="20" a="1"/>
  <c r="MST6" i="20" s="1"/>
  <c r="MSS6" i="20" a="1"/>
  <c r="MSS6" i="20" s="1"/>
  <c r="MSR6" i="20" a="1"/>
  <c r="MSR6" i="20" s="1"/>
  <c r="MSQ6" i="20"/>
  <c r="MSQ6" i="20" a="1"/>
  <c r="MSP6" i="20" a="1"/>
  <c r="MSP6" i="20" s="1"/>
  <c r="MSO6" i="20"/>
  <c r="MSO6" i="20" a="1"/>
  <c r="MSN6" i="20" a="1"/>
  <c r="MSN6" i="20" s="1"/>
  <c r="MSM6" i="20" a="1"/>
  <c r="MSM6" i="20" s="1"/>
  <c r="MSL6" i="20" a="1"/>
  <c r="MSL6" i="20" s="1"/>
  <c r="MSK6" i="20"/>
  <c r="MSK6" i="20" a="1"/>
  <c r="MSJ6" i="20"/>
  <c r="MSJ6" i="20" a="1"/>
  <c r="MSI6" i="20" a="1"/>
  <c r="MSI6" i="20" s="1"/>
  <c r="MSH6" i="20" a="1"/>
  <c r="MSH6" i="20" s="1"/>
  <c r="MSG6" i="20" a="1"/>
  <c r="MSG6" i="20" s="1"/>
  <c r="MSF6" i="20" a="1"/>
  <c r="MSF6" i="20" s="1"/>
  <c r="MSE6" i="20"/>
  <c r="MSE6" i="20" a="1"/>
  <c r="MSD6" i="20"/>
  <c r="MSD6" i="20" a="1"/>
  <c r="MSC6" i="20"/>
  <c r="MSC6" i="20" a="1"/>
  <c r="MSB6" i="20" a="1"/>
  <c r="MSB6" i="20" s="1"/>
  <c r="MSA6" i="20" a="1"/>
  <c r="MSA6" i="20" s="1"/>
  <c r="MRZ6" i="20" a="1"/>
  <c r="MRZ6" i="20" s="1"/>
  <c r="MRY6" i="20"/>
  <c r="MRY6" i="20" a="1"/>
  <c r="MRX6" i="20" a="1"/>
  <c r="MRX6" i="20" s="1"/>
  <c r="MRW6" i="20"/>
  <c r="MRW6" i="20" a="1"/>
  <c r="MRV6" i="20" a="1"/>
  <c r="MRV6" i="20" s="1"/>
  <c r="MRU6" i="20" a="1"/>
  <c r="MRU6" i="20" s="1"/>
  <c r="MRT6" i="20" a="1"/>
  <c r="MRT6" i="20" s="1"/>
  <c r="MRS6" i="20"/>
  <c r="MRS6" i="20" a="1"/>
  <c r="MRR6" i="20" a="1"/>
  <c r="MRR6" i="20" s="1"/>
  <c r="MRQ6" i="20"/>
  <c r="MRQ6" i="20" a="1"/>
  <c r="MRP6" i="20" a="1"/>
  <c r="MRP6" i="20" s="1"/>
  <c r="MRO6" i="20" a="1"/>
  <c r="MRO6" i="20" s="1"/>
  <c r="MRN6" i="20" a="1"/>
  <c r="MRN6" i="20" s="1"/>
  <c r="MRM6" i="20" a="1"/>
  <c r="MRM6" i="20" s="1"/>
  <c r="MRL6" i="20"/>
  <c r="MRL6" i="20" a="1"/>
  <c r="MRK6" i="20" a="1"/>
  <c r="MRK6" i="20" s="1"/>
  <c r="MRJ6" i="20" a="1"/>
  <c r="MRJ6" i="20" s="1"/>
  <c r="MRI6" i="20" a="1"/>
  <c r="MRI6" i="20" s="1"/>
  <c r="MRH6" i="20" a="1"/>
  <c r="MRH6" i="20" s="1"/>
  <c r="MRG6" i="20" a="1"/>
  <c r="MRG6" i="20" s="1"/>
  <c r="MRF6" i="20"/>
  <c r="MRF6" i="20" a="1"/>
  <c r="MRE6" i="20"/>
  <c r="MRE6" i="20" a="1"/>
  <c r="MRD6" i="20" a="1"/>
  <c r="MRD6" i="20" s="1"/>
  <c r="MRC6" i="20" a="1"/>
  <c r="MRC6" i="20" s="1"/>
  <c r="MRB6" i="20" a="1"/>
  <c r="MRB6" i="20" s="1"/>
  <c r="MRA6" i="20"/>
  <c r="MRA6" i="20" a="1"/>
  <c r="MQZ6" i="20" a="1"/>
  <c r="MQZ6" i="20" s="1"/>
  <c r="MQY6" i="20"/>
  <c r="MQY6" i="20" a="1"/>
  <c r="MQX6" i="20" a="1"/>
  <c r="MQX6" i="20" s="1"/>
  <c r="MQW6" i="20" a="1"/>
  <c r="MQW6" i="20" s="1"/>
  <c r="MQV6" i="20" a="1"/>
  <c r="MQV6" i="20" s="1"/>
  <c r="MQU6" i="20"/>
  <c r="MQU6" i="20" a="1"/>
  <c r="MQT6" i="20" a="1"/>
  <c r="MQT6" i="20" s="1"/>
  <c r="MQS6" i="20"/>
  <c r="MQS6" i="20" a="1"/>
  <c r="MQR6" i="20" a="1"/>
  <c r="MQR6" i="20" s="1"/>
  <c r="MQQ6" i="20" a="1"/>
  <c r="MQQ6" i="20" s="1"/>
  <c r="MQP6" i="20" a="1"/>
  <c r="MQP6" i="20" s="1"/>
  <c r="MQO6" i="20" a="1"/>
  <c r="MQO6" i="20" s="1"/>
  <c r="MQN6" i="20"/>
  <c r="MQN6" i="20" a="1"/>
  <c r="MQM6" i="20" a="1"/>
  <c r="MQM6" i="20" s="1"/>
  <c r="MQL6" i="20" a="1"/>
  <c r="MQL6" i="20" s="1"/>
  <c r="MQK6" i="20" a="1"/>
  <c r="MQK6" i="20" s="1"/>
  <c r="MQJ6" i="20" a="1"/>
  <c r="MQJ6" i="20" s="1"/>
  <c r="MQI6" i="20" a="1"/>
  <c r="MQI6" i="20" s="1"/>
  <c r="MQH6" i="20"/>
  <c r="MQH6" i="20" a="1"/>
  <c r="MQG6" i="20"/>
  <c r="MQG6" i="20" a="1"/>
  <c r="MQF6" i="20" a="1"/>
  <c r="MQF6" i="20" s="1"/>
  <c r="MQE6" i="20" a="1"/>
  <c r="MQE6" i="20" s="1"/>
  <c r="MQD6" i="20" a="1"/>
  <c r="MQD6" i="20" s="1"/>
  <c r="MQC6" i="20"/>
  <c r="MQC6" i="20" a="1"/>
  <c r="MQB6" i="20" a="1"/>
  <c r="MQB6" i="20" s="1"/>
  <c r="MQA6" i="20"/>
  <c r="MQA6" i="20" a="1"/>
  <c r="MPZ6" i="20" a="1"/>
  <c r="MPZ6" i="20" s="1"/>
  <c r="MPY6" i="20" a="1"/>
  <c r="MPY6" i="20" s="1"/>
  <c r="MPX6" i="20" a="1"/>
  <c r="MPX6" i="20" s="1"/>
  <c r="MPW6" i="20"/>
  <c r="MPW6" i="20" a="1"/>
  <c r="MPV6" i="20" a="1"/>
  <c r="MPV6" i="20" s="1"/>
  <c r="MPU6" i="20"/>
  <c r="MPU6" i="20" a="1"/>
  <c r="MPT6" i="20" a="1"/>
  <c r="MPT6" i="20" s="1"/>
  <c r="MPS6" i="20" a="1"/>
  <c r="MPS6" i="20" s="1"/>
  <c r="MPR6" i="20" a="1"/>
  <c r="MPR6" i="20" s="1"/>
  <c r="MPQ6" i="20" a="1"/>
  <c r="MPQ6" i="20" s="1"/>
  <c r="MPP6" i="20"/>
  <c r="MPP6" i="20" a="1"/>
  <c r="MPO6" i="20" a="1"/>
  <c r="MPO6" i="20" s="1"/>
  <c r="MPN6" i="20" a="1"/>
  <c r="MPN6" i="20" s="1"/>
  <c r="MPM6" i="20" a="1"/>
  <c r="MPM6" i="20" s="1"/>
  <c r="MPL6" i="20" a="1"/>
  <c r="MPL6" i="20" s="1"/>
  <c r="MPK6" i="20" a="1"/>
  <c r="MPK6" i="20" s="1"/>
  <c r="MPJ6" i="20"/>
  <c r="MPJ6" i="20" a="1"/>
  <c r="MPI6" i="20"/>
  <c r="MPI6" i="20" a="1"/>
  <c r="MPH6" i="20" a="1"/>
  <c r="MPH6" i="20" s="1"/>
  <c r="MPG6" i="20" a="1"/>
  <c r="MPG6" i="20" s="1"/>
  <c r="MPF6" i="20" a="1"/>
  <c r="MPF6" i="20" s="1"/>
  <c r="MPE6" i="20"/>
  <c r="MPE6" i="20" a="1"/>
  <c r="MPD6" i="20" a="1"/>
  <c r="MPD6" i="20" s="1"/>
  <c r="MPC6" i="20"/>
  <c r="MPC6" i="20" a="1"/>
  <c r="MPB6" i="20" a="1"/>
  <c r="MPB6" i="20" s="1"/>
  <c r="MPA6" i="20" a="1"/>
  <c r="MPA6" i="20" s="1"/>
  <c r="MOZ6" i="20" a="1"/>
  <c r="MOZ6" i="20" s="1"/>
  <c r="MOY6" i="20"/>
  <c r="MOY6" i="20" a="1"/>
  <c r="MOX6" i="20" a="1"/>
  <c r="MOX6" i="20" s="1"/>
  <c r="MOW6" i="20" a="1"/>
  <c r="MOW6" i="20" s="1"/>
  <c r="MOV6" i="20" a="1"/>
  <c r="MOV6" i="20" s="1"/>
  <c r="MOU6" i="20" a="1"/>
  <c r="MOU6" i="20" s="1"/>
  <c r="MOT6" i="20" a="1"/>
  <c r="MOT6" i="20" s="1"/>
  <c r="MOS6" i="20" a="1"/>
  <c r="MOS6" i="20" s="1"/>
  <c r="MOR6" i="20"/>
  <c r="MOR6" i="20" a="1"/>
  <c r="MOQ6" i="20" a="1"/>
  <c r="MOQ6" i="20" s="1"/>
  <c r="MOP6" i="20" a="1"/>
  <c r="MOP6" i="20" s="1"/>
  <c r="MOO6" i="20" a="1"/>
  <c r="MOO6" i="20" s="1"/>
  <c r="MON6" i="20" a="1"/>
  <c r="MON6" i="20" s="1"/>
  <c r="MOM6" i="20"/>
  <c r="MOM6" i="20" a="1"/>
  <c r="MOL6" i="20" a="1"/>
  <c r="MOL6" i="20" s="1"/>
  <c r="MOK6" i="20"/>
  <c r="MOK6" i="20" a="1"/>
  <c r="MOJ6" i="20" a="1"/>
  <c r="MOJ6" i="20" s="1"/>
  <c r="MOI6" i="20" a="1"/>
  <c r="MOI6" i="20" s="1"/>
  <c r="MOH6" i="20" a="1"/>
  <c r="MOH6" i="20" s="1"/>
  <c r="MOG6" i="20" a="1"/>
  <c r="MOG6" i="20" s="1"/>
  <c r="MOF6" i="20"/>
  <c r="MOF6" i="20" a="1"/>
  <c r="MOE6" i="20" a="1"/>
  <c r="MOE6" i="20" s="1"/>
  <c r="MOD6" i="20" a="1"/>
  <c r="MOD6" i="20" s="1"/>
  <c r="MOC6" i="20"/>
  <c r="MOC6" i="20" a="1"/>
  <c r="MOB6" i="20" a="1"/>
  <c r="MOB6" i="20" s="1"/>
  <c r="MOA6" i="20"/>
  <c r="MOA6" i="20" a="1"/>
  <c r="MNZ6" i="20" a="1"/>
  <c r="MNZ6" i="20" s="1"/>
  <c r="MNY6" i="20"/>
  <c r="MNY6" i="20" a="1"/>
  <c r="MNX6" i="20" a="1"/>
  <c r="MNX6" i="20" s="1"/>
  <c r="MNW6" i="20"/>
  <c r="MNW6" i="20" a="1"/>
  <c r="MNV6" i="20" a="1"/>
  <c r="MNV6" i="20" s="1"/>
  <c r="MNU6" i="20" a="1"/>
  <c r="MNU6" i="20" s="1"/>
  <c r="MNT6" i="20"/>
  <c r="MNT6" i="20" a="1"/>
  <c r="MNS6" i="20" a="1"/>
  <c r="MNS6" i="20" s="1"/>
  <c r="MNR6" i="20" a="1"/>
  <c r="MNR6" i="20" s="1"/>
  <c r="MNQ6" i="20"/>
  <c r="MNQ6" i="20" a="1"/>
  <c r="MNP6" i="20" a="1"/>
  <c r="MNP6" i="20" s="1"/>
  <c r="MNO6" i="20"/>
  <c r="MNO6" i="20" a="1"/>
  <c r="MNN6" i="20" a="1"/>
  <c r="MNN6" i="20" s="1"/>
  <c r="MNM6" i="20"/>
  <c r="MNM6" i="20" a="1"/>
  <c r="MNL6" i="20" a="1"/>
  <c r="MNL6" i="20" s="1"/>
  <c r="MNK6" i="20" a="1"/>
  <c r="MNK6" i="20" s="1"/>
  <c r="MNJ6" i="20" a="1"/>
  <c r="MNJ6" i="20" s="1"/>
  <c r="MNI6" i="20" a="1"/>
  <c r="MNI6" i="20" s="1"/>
  <c r="MNH6" i="20" a="1"/>
  <c r="MNH6" i="20" s="1"/>
  <c r="MNG6" i="20" a="1"/>
  <c r="MNG6" i="20" s="1"/>
  <c r="MNF6" i="20" a="1"/>
  <c r="MNF6" i="20" s="1"/>
  <c r="MNE6" i="20" a="1"/>
  <c r="MNE6" i="20" s="1"/>
  <c r="MND6" i="20" a="1"/>
  <c r="MND6" i="20" s="1"/>
  <c r="MNC6" i="20"/>
  <c r="MNC6" i="20" a="1"/>
  <c r="MNB6" i="20" a="1"/>
  <c r="MNB6" i="20" s="1"/>
  <c r="MNA6" i="20" a="1"/>
  <c r="MNA6" i="20" s="1"/>
  <c r="MMZ6" i="20" a="1"/>
  <c r="MMZ6" i="20" s="1"/>
  <c r="MMY6" i="20"/>
  <c r="MMY6" i="20" a="1"/>
  <c r="MMX6" i="20" a="1"/>
  <c r="MMX6" i="20" s="1"/>
  <c r="MMW6" i="20" a="1"/>
  <c r="MMW6" i="20" s="1"/>
  <c r="MMV6" i="20"/>
  <c r="MMV6" i="20" a="1"/>
  <c r="MMU6" i="20" a="1"/>
  <c r="MMU6" i="20" s="1"/>
  <c r="MMT6" i="20" a="1"/>
  <c r="MMT6" i="20" s="1"/>
  <c r="MMS6" i="20"/>
  <c r="MMS6" i="20" a="1"/>
  <c r="MMR6" i="20" a="1"/>
  <c r="MMR6" i="20" s="1"/>
  <c r="MMQ6" i="20"/>
  <c r="MMQ6" i="20" a="1"/>
  <c r="MMP6" i="20" a="1"/>
  <c r="MMP6" i="20" s="1"/>
  <c r="MMO6" i="20"/>
  <c r="MMO6" i="20" a="1"/>
  <c r="MMN6" i="20" a="1"/>
  <c r="MMN6" i="20" s="1"/>
  <c r="MMM6" i="20"/>
  <c r="MMM6" i="20" a="1"/>
  <c r="MML6" i="20" a="1"/>
  <c r="MML6" i="20" s="1"/>
  <c r="MMK6" i="20" a="1"/>
  <c r="MMK6" i="20" s="1"/>
  <c r="MMJ6" i="20"/>
  <c r="MMJ6" i="20" a="1"/>
  <c r="MMI6" i="20" a="1"/>
  <c r="MMI6" i="20" s="1"/>
  <c r="MMH6" i="20" a="1"/>
  <c r="MMH6" i="20" s="1"/>
  <c r="MMG6" i="20"/>
  <c r="MMG6" i="20" a="1"/>
  <c r="MMF6" i="20" a="1"/>
  <c r="MMF6" i="20" s="1"/>
  <c r="MME6" i="20" a="1"/>
  <c r="MME6" i="20" s="1"/>
  <c r="MMD6" i="20" a="1"/>
  <c r="MMD6" i="20" s="1"/>
  <c r="MMC6" i="20" a="1"/>
  <c r="MMC6" i="20" s="1"/>
  <c r="MMB6" i="20" a="1"/>
  <c r="MMB6" i="20" s="1"/>
  <c r="MMA6" i="20" a="1"/>
  <c r="MMA6" i="20" s="1"/>
  <c r="MLZ6" i="20" a="1"/>
  <c r="MLZ6" i="20" s="1"/>
  <c r="MLY6" i="20" a="1"/>
  <c r="MLY6" i="20" s="1"/>
  <c r="MLX6" i="20" a="1"/>
  <c r="MLX6" i="20" s="1"/>
  <c r="MLW6" i="20" a="1"/>
  <c r="MLW6" i="20" s="1"/>
  <c r="MLV6" i="20" a="1"/>
  <c r="MLV6" i="20" s="1"/>
  <c r="MLU6" i="20"/>
  <c r="MLU6" i="20" a="1"/>
  <c r="MLT6" i="20" a="1"/>
  <c r="MLT6" i="20" s="1"/>
  <c r="MLS6" i="20"/>
  <c r="MLS6" i="20" a="1"/>
  <c r="MLR6" i="20" a="1"/>
  <c r="MLR6" i="20" s="1"/>
  <c r="MLQ6" i="20" a="1"/>
  <c r="MLQ6" i="20" s="1"/>
  <c r="MLP6" i="20" a="1"/>
  <c r="MLP6" i="20" s="1"/>
  <c r="MLO6" i="20" a="1"/>
  <c r="MLO6" i="20" s="1"/>
  <c r="MLN6" i="20" a="1"/>
  <c r="MLN6" i="20" s="1"/>
  <c r="MLM6" i="20" a="1"/>
  <c r="MLM6" i="20" s="1"/>
  <c r="MLL6" i="20"/>
  <c r="MLL6" i="20" a="1"/>
  <c r="MLK6" i="20" a="1"/>
  <c r="MLK6" i="20" s="1"/>
  <c r="MLJ6" i="20" a="1"/>
  <c r="MLJ6" i="20" s="1"/>
  <c r="MLI6" i="20"/>
  <c r="MLI6" i="20" a="1"/>
  <c r="MLH6" i="20" a="1"/>
  <c r="MLH6" i="20" s="1"/>
  <c r="MLG6" i="20"/>
  <c r="MLG6" i="20" a="1"/>
  <c r="MLF6" i="20" a="1"/>
  <c r="MLF6" i="20" s="1"/>
  <c r="MLE6" i="20"/>
  <c r="MLE6" i="20" a="1"/>
  <c r="MLD6" i="20" a="1"/>
  <c r="MLD6" i="20" s="1"/>
  <c r="MLC6" i="20"/>
  <c r="MLC6" i="20" a="1"/>
  <c r="MLB6" i="20" a="1"/>
  <c r="MLB6" i="20" s="1"/>
  <c r="MLA6" i="20" a="1"/>
  <c r="MLA6" i="20" s="1"/>
  <c r="MKZ6" i="20"/>
  <c r="MKZ6" i="20" a="1"/>
  <c r="MKY6" i="20" a="1"/>
  <c r="MKY6" i="20" s="1"/>
  <c r="MKX6" i="20" a="1"/>
  <c r="MKX6" i="20" s="1"/>
  <c r="MKW6" i="20"/>
  <c r="MKW6" i="20" a="1"/>
  <c r="MKV6" i="20" a="1"/>
  <c r="MKV6" i="20" s="1"/>
  <c r="MKU6" i="20" a="1"/>
  <c r="MKU6" i="20" s="1"/>
  <c r="MKT6" i="20" a="1"/>
  <c r="MKT6" i="20" s="1"/>
  <c r="MKS6" i="20"/>
  <c r="MKS6" i="20" a="1"/>
  <c r="MKR6" i="20" a="1"/>
  <c r="MKR6" i="20" s="1"/>
  <c r="MKQ6" i="20" a="1"/>
  <c r="MKQ6" i="20" s="1"/>
  <c r="MKP6" i="20" a="1"/>
  <c r="MKP6" i="20" s="1"/>
  <c r="MKO6" i="20" a="1"/>
  <c r="MKO6" i="20" s="1"/>
  <c r="MKN6" i="20" a="1"/>
  <c r="MKN6" i="20" s="1"/>
  <c r="MKM6" i="20" a="1"/>
  <c r="MKM6" i="20" s="1"/>
  <c r="MKL6" i="20" a="1"/>
  <c r="MKL6" i="20" s="1"/>
  <c r="MKK6" i="20"/>
  <c r="MKK6" i="20" a="1"/>
  <c r="MKJ6" i="20" a="1"/>
  <c r="MKJ6" i="20" s="1"/>
  <c r="MKI6" i="20"/>
  <c r="MKI6" i="20" a="1"/>
  <c r="MKH6" i="20" a="1"/>
  <c r="MKH6" i="20" s="1"/>
  <c r="MKG6" i="20" a="1"/>
  <c r="MKG6" i="20" s="1"/>
  <c r="MKF6" i="20" a="1"/>
  <c r="MKF6" i="20" s="1"/>
  <c r="MKE6" i="20"/>
  <c r="MKE6" i="20" a="1"/>
  <c r="MKD6" i="20" a="1"/>
  <c r="MKD6" i="20" s="1"/>
  <c r="MKC6" i="20" a="1"/>
  <c r="MKC6" i="20" s="1"/>
  <c r="MKB6" i="20"/>
  <c r="MKB6" i="20" a="1"/>
  <c r="MKA6" i="20" a="1"/>
  <c r="MKA6" i="20" s="1"/>
  <c r="MJZ6" i="20" a="1"/>
  <c r="MJZ6" i="20" s="1"/>
  <c r="MJY6" i="20"/>
  <c r="MJY6" i="20" a="1"/>
  <c r="MJX6" i="20" a="1"/>
  <c r="MJX6" i="20" s="1"/>
  <c r="MJW6" i="20"/>
  <c r="MJW6" i="20" a="1"/>
  <c r="MJV6" i="20" a="1"/>
  <c r="MJV6" i="20" s="1"/>
  <c r="MJU6" i="20"/>
  <c r="MJU6" i="20" a="1"/>
  <c r="MJT6" i="20" a="1"/>
  <c r="MJT6" i="20" s="1"/>
  <c r="MJS6" i="20"/>
  <c r="MJS6" i="20" a="1"/>
  <c r="MJR6" i="20" a="1"/>
  <c r="MJR6" i="20" s="1"/>
  <c r="MJQ6" i="20" a="1"/>
  <c r="MJQ6" i="20" s="1"/>
  <c r="MJP6" i="20" a="1"/>
  <c r="MJP6" i="20" s="1"/>
  <c r="MJO6" i="20" a="1"/>
  <c r="MJO6" i="20" s="1"/>
  <c r="MJN6" i="20" a="1"/>
  <c r="MJN6" i="20" s="1"/>
  <c r="MJM6" i="20"/>
  <c r="MJM6" i="20" a="1"/>
  <c r="MJL6" i="20" a="1"/>
  <c r="MJL6" i="20" s="1"/>
  <c r="MJK6" i="20" a="1"/>
  <c r="MJK6" i="20" s="1"/>
  <c r="MJJ6" i="20" a="1"/>
  <c r="MJJ6" i="20" s="1"/>
  <c r="MJI6" i="20" a="1"/>
  <c r="MJI6" i="20" s="1"/>
  <c r="MJH6" i="20" a="1"/>
  <c r="MJH6" i="20" s="1"/>
  <c r="MJG6" i="20" a="1"/>
  <c r="MJG6" i="20" s="1"/>
  <c r="MJF6" i="20" a="1"/>
  <c r="MJF6" i="20" s="1"/>
  <c r="MJE6" i="20" a="1"/>
  <c r="MJE6" i="20" s="1"/>
  <c r="MJD6" i="20" a="1"/>
  <c r="MJD6" i="20" s="1"/>
  <c r="MJC6" i="20" a="1"/>
  <c r="MJC6" i="20" s="1"/>
  <c r="MJB6" i="20" a="1"/>
  <c r="MJB6" i="20" s="1"/>
  <c r="MJA6" i="20"/>
  <c r="MJA6" i="20" a="1"/>
  <c r="MIZ6" i="20" a="1"/>
  <c r="MIZ6" i="20" s="1"/>
  <c r="MIY6" i="20"/>
  <c r="MIY6" i="20" a="1"/>
  <c r="MIX6" i="20" a="1"/>
  <c r="MIX6" i="20" s="1"/>
  <c r="MIW6" i="20" a="1"/>
  <c r="MIW6" i="20" s="1"/>
  <c r="MIV6" i="20" a="1"/>
  <c r="MIV6" i="20" s="1"/>
  <c r="MIU6" i="20"/>
  <c r="MIU6" i="20" a="1"/>
  <c r="MIT6" i="20" a="1"/>
  <c r="MIT6" i="20" s="1"/>
  <c r="MIS6" i="20" a="1"/>
  <c r="MIS6" i="20" s="1"/>
  <c r="MIR6" i="20"/>
  <c r="MIR6" i="20" a="1"/>
  <c r="MIQ6" i="20" a="1"/>
  <c r="MIQ6" i="20" s="1"/>
  <c r="MIP6" i="20" a="1"/>
  <c r="MIP6" i="20" s="1"/>
  <c r="MIO6" i="20"/>
  <c r="MIO6" i="20" a="1"/>
  <c r="MIN6" i="20" a="1"/>
  <c r="MIN6" i="20" s="1"/>
  <c r="MIM6" i="20" a="1"/>
  <c r="MIM6" i="20" s="1"/>
  <c r="MIL6" i="20" a="1"/>
  <c r="MIL6" i="20" s="1"/>
  <c r="MIK6" i="20"/>
  <c r="MIK6" i="20" a="1"/>
  <c r="MIJ6" i="20" a="1"/>
  <c r="MIJ6" i="20" s="1"/>
  <c r="MII6" i="20"/>
  <c r="MII6" i="20" a="1"/>
  <c r="MIH6" i="20" a="1"/>
  <c r="MIH6" i="20" s="1"/>
  <c r="MIG6" i="20" a="1"/>
  <c r="MIG6" i="20" s="1"/>
  <c r="MIF6" i="20" a="1"/>
  <c r="MIF6" i="20" s="1"/>
  <c r="MIE6" i="20" a="1"/>
  <c r="MIE6" i="20" s="1"/>
  <c r="MID6" i="20" a="1"/>
  <c r="MID6" i="20" s="1"/>
  <c r="MIC6" i="20"/>
  <c r="MIC6" i="20" a="1"/>
  <c r="MIB6" i="20" a="1"/>
  <c r="MIB6" i="20" s="1"/>
  <c r="MIA6" i="20" a="1"/>
  <c r="MIA6" i="20" s="1"/>
  <c r="MHZ6" i="20" a="1"/>
  <c r="MHZ6" i="20" s="1"/>
  <c r="MHY6" i="20" a="1"/>
  <c r="MHY6" i="20" s="1"/>
  <c r="MHX6" i="20" a="1"/>
  <c r="MHX6" i="20" s="1"/>
  <c r="MHW6" i="20" a="1"/>
  <c r="MHW6" i="20" s="1"/>
  <c r="MHV6" i="20" a="1"/>
  <c r="MHV6" i="20" s="1"/>
  <c r="MHU6" i="20" a="1"/>
  <c r="MHU6" i="20" s="1"/>
  <c r="MHT6" i="20" a="1"/>
  <c r="MHT6" i="20" s="1"/>
  <c r="MHS6" i="20" a="1"/>
  <c r="MHS6" i="20" s="1"/>
  <c r="MHR6" i="20" a="1"/>
  <c r="MHR6" i="20" s="1"/>
  <c r="MHQ6" i="20"/>
  <c r="MHQ6" i="20" a="1"/>
  <c r="MHP6" i="20" a="1"/>
  <c r="MHP6" i="20" s="1"/>
  <c r="MHO6" i="20"/>
  <c r="MHO6" i="20" a="1"/>
  <c r="MHN6" i="20" a="1"/>
  <c r="MHN6" i="20" s="1"/>
  <c r="MHM6" i="20" a="1"/>
  <c r="MHM6" i="20" s="1"/>
  <c r="MHL6" i="20" a="1"/>
  <c r="MHL6" i="20" s="1"/>
  <c r="MHK6" i="20"/>
  <c r="MHK6" i="20" a="1"/>
  <c r="MHJ6" i="20" a="1"/>
  <c r="MHJ6" i="20" s="1"/>
  <c r="MHI6" i="20" a="1"/>
  <c r="MHI6" i="20" s="1"/>
  <c r="MHH6" i="20"/>
  <c r="MHH6" i="20" a="1"/>
  <c r="MHG6" i="20" a="1"/>
  <c r="MHG6" i="20" s="1"/>
  <c r="MHF6" i="20" a="1"/>
  <c r="MHF6" i="20" s="1"/>
  <c r="MHE6" i="20"/>
  <c r="MHE6" i="20" a="1"/>
  <c r="MHD6" i="20" a="1"/>
  <c r="MHD6" i="20" s="1"/>
  <c r="MHC6" i="20" a="1"/>
  <c r="MHC6" i="20" s="1"/>
  <c r="MHB6" i="20" a="1"/>
  <c r="MHB6" i="20" s="1"/>
  <c r="MHA6" i="20"/>
  <c r="MHA6" i="20" a="1"/>
  <c r="MGZ6" i="20" a="1"/>
  <c r="MGZ6" i="20" s="1"/>
  <c r="MGY6" i="20"/>
  <c r="MGY6" i="20" a="1"/>
  <c r="MGX6" i="20" a="1"/>
  <c r="MGX6" i="20" s="1"/>
  <c r="MGW6" i="20" a="1"/>
  <c r="MGW6" i="20" s="1"/>
  <c r="MGV6" i="20" a="1"/>
  <c r="MGV6" i="20" s="1"/>
  <c r="MGU6" i="20" a="1"/>
  <c r="MGU6" i="20" s="1"/>
  <c r="MGT6" i="20" a="1"/>
  <c r="MGT6" i="20" s="1"/>
  <c r="MGS6" i="20"/>
  <c r="MGS6" i="20" a="1"/>
  <c r="MGR6" i="20" a="1"/>
  <c r="MGR6" i="20" s="1"/>
  <c r="MGQ6" i="20" a="1"/>
  <c r="MGQ6" i="20" s="1"/>
  <c r="MGP6" i="20" a="1"/>
  <c r="MGP6" i="20" s="1"/>
  <c r="MGO6" i="20" a="1"/>
  <c r="MGO6" i="20" s="1"/>
  <c r="MGN6" i="20" a="1"/>
  <c r="MGN6" i="20" s="1"/>
  <c r="MGM6" i="20" a="1"/>
  <c r="MGM6" i="20" s="1"/>
  <c r="MGL6" i="20" a="1"/>
  <c r="MGL6" i="20" s="1"/>
  <c r="MGK6" i="20" a="1"/>
  <c r="MGK6" i="20" s="1"/>
  <c r="MGJ6" i="20" a="1"/>
  <c r="MGJ6" i="20" s="1"/>
  <c r="MGI6" i="20" a="1"/>
  <c r="MGI6" i="20" s="1"/>
  <c r="MGH6" i="20" a="1"/>
  <c r="MGH6" i="20" s="1"/>
  <c r="MGG6" i="20"/>
  <c r="MGG6" i="20" a="1"/>
  <c r="MGF6" i="20" a="1"/>
  <c r="MGF6" i="20" s="1"/>
  <c r="MGE6" i="20"/>
  <c r="MGE6" i="20" a="1"/>
  <c r="MGD6" i="20" a="1"/>
  <c r="MGD6" i="20" s="1"/>
  <c r="MGC6" i="20" a="1"/>
  <c r="MGC6" i="20" s="1"/>
  <c r="MGB6" i="20" a="1"/>
  <c r="MGB6" i="20" s="1"/>
  <c r="MGA6" i="20"/>
  <c r="MGA6" i="20" a="1"/>
  <c r="MFZ6" i="20" a="1"/>
  <c r="MFZ6" i="20" s="1"/>
  <c r="MFY6" i="20" a="1"/>
  <c r="MFY6" i="20" s="1"/>
  <c r="MFX6" i="20"/>
  <c r="MFX6" i="20" a="1"/>
  <c r="MFW6" i="20" a="1"/>
  <c r="MFW6" i="20" s="1"/>
  <c r="MFV6" i="20" a="1"/>
  <c r="MFV6" i="20" s="1"/>
  <c r="MFU6" i="20"/>
  <c r="MFU6" i="20" a="1"/>
  <c r="MFT6" i="20" a="1"/>
  <c r="MFT6" i="20" s="1"/>
  <c r="MFS6" i="20" a="1"/>
  <c r="MFS6" i="20" s="1"/>
  <c r="MFR6" i="20" a="1"/>
  <c r="MFR6" i="20" s="1"/>
  <c r="MFQ6" i="20"/>
  <c r="MFQ6" i="20" a="1"/>
  <c r="MFP6" i="20" a="1"/>
  <c r="MFP6" i="20" s="1"/>
  <c r="MFO6" i="20"/>
  <c r="MFO6" i="20" a="1"/>
  <c r="MFN6" i="20" a="1"/>
  <c r="MFN6" i="20" s="1"/>
  <c r="MFM6" i="20" a="1"/>
  <c r="MFM6" i="20" s="1"/>
  <c r="MFL6" i="20" a="1"/>
  <c r="MFL6" i="20" s="1"/>
  <c r="MFK6" i="20" a="1"/>
  <c r="MFK6" i="20" s="1"/>
  <c r="MFJ6" i="20" a="1"/>
  <c r="MFJ6" i="20" s="1"/>
  <c r="MFI6" i="20"/>
  <c r="MFI6" i="20" a="1"/>
  <c r="MFH6" i="20" a="1"/>
  <c r="MFH6" i="20" s="1"/>
  <c r="MFG6" i="20" a="1"/>
  <c r="MFG6" i="20" s="1"/>
  <c r="MFF6" i="20" a="1"/>
  <c r="MFF6" i="20" s="1"/>
  <c r="MFE6" i="20" a="1"/>
  <c r="MFE6" i="20" s="1"/>
  <c r="MFD6" i="20" a="1"/>
  <c r="MFD6" i="20" s="1"/>
  <c r="MFC6" i="20" a="1"/>
  <c r="MFC6" i="20" s="1"/>
  <c r="MFB6" i="20" a="1"/>
  <c r="MFB6" i="20" s="1"/>
  <c r="MFA6" i="20" a="1"/>
  <c r="MFA6" i="20" s="1"/>
  <c r="MEZ6" i="20" a="1"/>
  <c r="MEZ6" i="20" s="1"/>
  <c r="MEY6" i="20" a="1"/>
  <c r="MEY6" i="20" s="1"/>
  <c r="MEX6" i="20" a="1"/>
  <c r="MEX6" i="20" s="1"/>
  <c r="MEW6" i="20"/>
  <c r="MEW6" i="20" a="1"/>
  <c r="MEV6" i="20" a="1"/>
  <c r="MEV6" i="20" s="1"/>
  <c r="MEU6" i="20"/>
  <c r="MEU6" i="20" a="1"/>
  <c r="MET6" i="20" a="1"/>
  <c r="MET6" i="20" s="1"/>
  <c r="MES6" i="20" a="1"/>
  <c r="MES6" i="20" s="1"/>
  <c r="MER6" i="20" a="1"/>
  <c r="MER6" i="20" s="1"/>
  <c r="MEQ6" i="20"/>
  <c r="MEQ6" i="20" a="1"/>
  <c r="MEP6" i="20" a="1"/>
  <c r="MEP6" i="20" s="1"/>
  <c r="MEO6" i="20" a="1"/>
  <c r="MEO6" i="20" s="1"/>
  <c r="MEN6" i="20"/>
  <c r="MEN6" i="20" a="1"/>
  <c r="MEM6" i="20" a="1"/>
  <c r="MEM6" i="20" s="1"/>
  <c r="MEL6" i="20" a="1"/>
  <c r="MEL6" i="20" s="1"/>
  <c r="MEK6" i="20"/>
  <c r="MEK6" i="20" a="1"/>
  <c r="MEJ6" i="20" a="1"/>
  <c r="MEJ6" i="20" s="1"/>
  <c r="MEI6" i="20" a="1"/>
  <c r="MEI6" i="20" s="1"/>
  <c r="MEH6" i="20" a="1"/>
  <c r="MEH6" i="20" s="1"/>
  <c r="MEG6" i="20"/>
  <c r="MEG6" i="20" a="1"/>
  <c r="MEF6" i="20" a="1"/>
  <c r="MEF6" i="20" s="1"/>
  <c r="MEE6" i="20"/>
  <c r="MEE6" i="20" a="1"/>
  <c r="MED6" i="20" a="1"/>
  <c r="MED6" i="20" s="1"/>
  <c r="MEC6" i="20" a="1"/>
  <c r="MEC6" i="20" s="1"/>
  <c r="MEB6" i="20" a="1"/>
  <c r="MEB6" i="20" s="1"/>
  <c r="MEA6" i="20" a="1"/>
  <c r="MEA6" i="20" s="1"/>
  <c r="MDZ6" i="20" a="1"/>
  <c r="MDZ6" i="20" s="1"/>
  <c r="MDY6" i="20"/>
  <c r="MDY6" i="20" a="1"/>
  <c r="MDX6" i="20" a="1"/>
  <c r="MDX6" i="20" s="1"/>
  <c r="MDW6" i="20" a="1"/>
  <c r="MDW6" i="20" s="1"/>
  <c r="MDV6" i="20" a="1"/>
  <c r="MDV6" i="20" s="1"/>
  <c r="MDU6" i="20" a="1"/>
  <c r="MDU6" i="20" s="1"/>
  <c r="MDT6" i="20" a="1"/>
  <c r="MDT6" i="20" s="1"/>
  <c r="MDS6" i="20" a="1"/>
  <c r="MDS6" i="20" s="1"/>
  <c r="MDR6" i="20" a="1"/>
  <c r="MDR6" i="20" s="1"/>
  <c r="MDQ6" i="20" a="1"/>
  <c r="MDQ6" i="20" s="1"/>
  <c r="MDP6" i="20" a="1"/>
  <c r="MDP6" i="20" s="1"/>
  <c r="MDO6" i="20" a="1"/>
  <c r="MDO6" i="20" s="1"/>
  <c r="MDN6" i="20" a="1"/>
  <c r="MDN6" i="20" s="1"/>
  <c r="MDM6" i="20"/>
  <c r="MDM6" i="20" a="1"/>
  <c r="MDL6" i="20" a="1"/>
  <c r="MDL6" i="20" s="1"/>
  <c r="MDK6" i="20"/>
  <c r="MDK6" i="20" a="1"/>
  <c r="MDJ6" i="20" a="1"/>
  <c r="MDJ6" i="20" s="1"/>
  <c r="MDI6" i="20" a="1"/>
  <c r="MDI6" i="20" s="1"/>
  <c r="MDH6" i="20" a="1"/>
  <c r="MDH6" i="20" s="1"/>
  <c r="MDG6" i="20"/>
  <c r="MDG6" i="20" a="1"/>
  <c r="MDF6" i="20" a="1"/>
  <c r="MDF6" i="20" s="1"/>
  <c r="MDE6" i="20" a="1"/>
  <c r="MDE6" i="20" s="1"/>
  <c r="MDD6" i="20"/>
  <c r="MDD6" i="20" a="1"/>
  <c r="MDC6" i="20" a="1"/>
  <c r="MDC6" i="20" s="1"/>
  <c r="MDB6" i="20" a="1"/>
  <c r="MDB6" i="20" s="1"/>
  <c r="MDA6" i="20"/>
  <c r="MDA6" i="20" a="1"/>
  <c r="MCZ6" i="20" a="1"/>
  <c r="MCZ6" i="20" s="1"/>
  <c r="MCY6" i="20" a="1"/>
  <c r="MCY6" i="20" s="1"/>
  <c r="MCX6" i="20" a="1"/>
  <c r="MCX6" i="20" s="1"/>
  <c r="MCW6" i="20"/>
  <c r="MCW6" i="20" a="1"/>
  <c r="MCV6" i="20" a="1"/>
  <c r="MCV6" i="20" s="1"/>
  <c r="MCU6" i="20"/>
  <c r="MCU6" i="20" a="1"/>
  <c r="MCT6" i="20" a="1"/>
  <c r="MCT6" i="20" s="1"/>
  <c r="MCS6" i="20" a="1"/>
  <c r="MCS6" i="20" s="1"/>
  <c r="MCR6" i="20" a="1"/>
  <c r="MCR6" i="20" s="1"/>
  <c r="MCQ6" i="20" a="1"/>
  <c r="MCQ6" i="20" s="1"/>
  <c r="MCP6" i="20" a="1"/>
  <c r="MCP6" i="20" s="1"/>
  <c r="MCO6" i="20"/>
  <c r="MCO6" i="20" a="1"/>
  <c r="MCN6" i="20" a="1"/>
  <c r="MCN6" i="20" s="1"/>
  <c r="MCM6" i="20" a="1"/>
  <c r="MCM6" i="20" s="1"/>
  <c r="MCL6" i="20" a="1"/>
  <c r="MCL6" i="20" s="1"/>
  <c r="MCK6" i="20" a="1"/>
  <c r="MCK6" i="20" s="1"/>
  <c r="MCJ6" i="20" a="1"/>
  <c r="MCJ6" i="20" s="1"/>
  <c r="MCI6" i="20"/>
  <c r="MCI6" i="20" a="1"/>
  <c r="MCH6" i="20"/>
  <c r="MCH6" i="20" a="1"/>
  <c r="MCG6" i="20"/>
  <c r="MCG6" i="20" a="1"/>
  <c r="MCF6" i="20"/>
  <c r="MCF6" i="20" a="1"/>
  <c r="MCE6" i="20"/>
  <c r="MCE6" i="20" a="1"/>
  <c r="MCD6" i="20" a="1"/>
  <c r="MCD6" i="20" s="1"/>
  <c r="MCC6" i="20" a="1"/>
  <c r="MCC6" i="20" s="1"/>
  <c r="MCB6" i="20"/>
  <c r="MCB6" i="20" a="1"/>
  <c r="MCA6" i="20" a="1"/>
  <c r="MCA6" i="20" s="1"/>
  <c r="MBZ6" i="20" a="1"/>
  <c r="MBZ6" i="20" s="1"/>
  <c r="MBY6" i="20" a="1"/>
  <c r="MBY6" i="20" s="1"/>
  <c r="MBX6" i="20" a="1"/>
  <c r="MBX6" i="20" s="1"/>
  <c r="MBW6" i="20"/>
  <c r="MBW6" i="20" a="1"/>
  <c r="MBV6" i="20" a="1"/>
  <c r="MBV6" i="20" s="1"/>
  <c r="MBU6" i="20"/>
  <c r="MBU6" i="20" a="1"/>
  <c r="MBT6" i="20"/>
  <c r="MBT6" i="20" a="1"/>
  <c r="MBS6" i="20"/>
  <c r="MBS6" i="20" a="1"/>
  <c r="MBR6" i="20" a="1"/>
  <c r="MBR6" i="20" s="1"/>
  <c r="MBQ6" i="20" a="1"/>
  <c r="MBQ6" i="20" s="1"/>
  <c r="MBP6" i="20" a="1"/>
  <c r="MBP6" i="20" s="1"/>
  <c r="MBO6" i="20"/>
  <c r="MBO6" i="20" a="1"/>
  <c r="MBN6" i="20" a="1"/>
  <c r="MBN6" i="20" s="1"/>
  <c r="MBM6" i="20" a="1"/>
  <c r="MBM6" i="20" s="1"/>
  <c r="MBL6" i="20" a="1"/>
  <c r="MBL6" i="20" s="1"/>
  <c r="MBK6" i="20"/>
  <c r="MBK6" i="20" a="1"/>
  <c r="MBJ6" i="20"/>
  <c r="MBJ6" i="20" a="1"/>
  <c r="MBI6" i="20"/>
  <c r="MBI6" i="20" a="1"/>
  <c r="MBH6" i="20"/>
  <c r="MBH6" i="20" a="1"/>
  <c r="MBG6" i="20"/>
  <c r="MBG6" i="20" a="1"/>
  <c r="MBF6" i="20" a="1"/>
  <c r="MBF6" i="20" s="1"/>
  <c r="MBE6" i="20" a="1"/>
  <c r="MBE6" i="20" s="1"/>
  <c r="MBD6" i="20" a="1"/>
  <c r="MBD6" i="20" s="1"/>
  <c r="MBC6" i="20" a="1"/>
  <c r="MBC6" i="20" s="1"/>
  <c r="MBB6" i="20"/>
  <c r="MBB6" i="20" a="1"/>
  <c r="MBA6" i="20" a="1"/>
  <c r="MBA6" i="20" s="1"/>
  <c r="MAZ6" i="20" a="1"/>
  <c r="MAZ6" i="20" s="1"/>
  <c r="MAY6" i="20"/>
  <c r="MAY6" i="20" a="1"/>
  <c r="MAX6" i="20"/>
  <c r="MAX6" i="20" a="1"/>
  <c r="MAW6" i="20"/>
  <c r="MAW6" i="20" a="1"/>
  <c r="MAV6" i="20" a="1"/>
  <c r="MAV6" i="20" s="1"/>
  <c r="MAU6" i="20"/>
  <c r="MAU6" i="20" a="1"/>
  <c r="MAT6" i="20" a="1"/>
  <c r="MAT6" i="20" s="1"/>
  <c r="MAS6" i="20" a="1"/>
  <c r="MAS6" i="20" s="1"/>
  <c r="MAR6" i="20" a="1"/>
  <c r="MAR6" i="20" s="1"/>
  <c r="MAQ6" i="20" a="1"/>
  <c r="MAQ6" i="20" s="1"/>
  <c r="MAP6" i="20" a="1"/>
  <c r="MAP6" i="20" s="1"/>
  <c r="MAO6" i="20"/>
  <c r="MAO6" i="20" a="1"/>
  <c r="MAN6" i="20" a="1"/>
  <c r="MAN6" i="20" s="1"/>
  <c r="MAM6" i="20"/>
  <c r="MAM6" i="20" a="1"/>
  <c r="MAL6" i="20"/>
  <c r="MAL6" i="20" a="1"/>
  <c r="MAK6" i="20"/>
  <c r="MAK6" i="20" a="1"/>
  <c r="MAJ6" i="20"/>
  <c r="MAJ6" i="20" a="1"/>
  <c r="MAI6" i="20" a="1"/>
  <c r="MAI6" i="20" s="1"/>
  <c r="MAH6" i="20" a="1"/>
  <c r="MAH6" i="20" s="1"/>
  <c r="MAG6" i="20" a="1"/>
  <c r="MAG6" i="20" s="1"/>
  <c r="MAF6" i="20" a="1"/>
  <c r="MAF6" i="20" s="1"/>
  <c r="MAE6" i="20" a="1"/>
  <c r="MAE6" i="20" s="1"/>
  <c r="MAD6" i="20" a="1"/>
  <c r="MAD6" i="20" s="1"/>
  <c r="MAC6" i="20" a="1"/>
  <c r="MAC6" i="20" s="1"/>
  <c r="MAB6" i="20" a="1"/>
  <c r="MAB6" i="20" s="1"/>
  <c r="MAA6" i="20"/>
  <c r="MAA6" i="20" a="1"/>
  <c r="LZZ6" i="20"/>
  <c r="LZZ6" i="20" a="1"/>
  <c r="LZY6" i="20"/>
  <c r="LZY6" i="20" a="1"/>
  <c r="LZX6" i="20"/>
  <c r="LZX6" i="20" a="1"/>
  <c r="LZW6" i="20"/>
  <c r="LZW6" i="20" a="1"/>
  <c r="LZV6" i="20" a="1"/>
  <c r="LZV6" i="20" s="1"/>
  <c r="LZU6" i="20"/>
  <c r="LZU6" i="20" a="1"/>
  <c r="LZT6" i="20" a="1"/>
  <c r="LZT6" i="20" s="1"/>
  <c r="LZS6" i="20" a="1"/>
  <c r="LZS6" i="20" s="1"/>
  <c r="LZR6" i="20" a="1"/>
  <c r="LZR6" i="20" s="1"/>
  <c r="LZQ6" i="20" a="1"/>
  <c r="LZQ6" i="20" s="1"/>
  <c r="LZP6" i="20" a="1"/>
  <c r="LZP6" i="20" s="1"/>
  <c r="LZO6" i="20" a="1"/>
  <c r="LZO6" i="20" s="1"/>
  <c r="LZN6" i="20"/>
  <c r="LZN6" i="20" a="1"/>
  <c r="LZM6" i="20"/>
  <c r="LZM6" i="20" a="1"/>
  <c r="LZL6" i="20"/>
  <c r="LZL6" i="20" a="1"/>
  <c r="LZK6" i="20"/>
  <c r="LZK6" i="20" a="1"/>
  <c r="LZJ6" i="20" a="1"/>
  <c r="LZJ6" i="20" s="1"/>
  <c r="LZI6" i="20" a="1"/>
  <c r="LZI6" i="20" s="1"/>
  <c r="LZH6" i="20"/>
  <c r="LZH6" i="20" a="1"/>
  <c r="LZG6" i="20" a="1"/>
  <c r="LZG6" i="20" s="1"/>
  <c r="LZF6" i="20" a="1"/>
  <c r="LZF6" i="20" s="1"/>
  <c r="LZE6" i="20" a="1"/>
  <c r="LZE6" i="20" s="1"/>
  <c r="LZD6" i="20" a="1"/>
  <c r="LZD6" i="20" s="1"/>
  <c r="LZC6" i="20"/>
  <c r="LZC6" i="20" a="1"/>
  <c r="LZB6" i="20"/>
  <c r="LZB6" i="20" a="1"/>
  <c r="LZA6" i="20"/>
  <c r="LZA6" i="20" a="1"/>
  <c r="LYZ6" i="20"/>
  <c r="LYZ6" i="20" a="1"/>
  <c r="LYY6" i="20"/>
  <c r="LYY6" i="20" a="1"/>
  <c r="LYX6" i="20" a="1"/>
  <c r="LYX6" i="20" s="1"/>
  <c r="LYW6" i="20"/>
  <c r="LYW6" i="20" a="1"/>
  <c r="LYV6" i="20" a="1"/>
  <c r="LYV6" i="20" s="1"/>
  <c r="LYU6" i="20"/>
  <c r="LYU6" i="20" a="1"/>
  <c r="LYT6" i="20" a="1"/>
  <c r="LYT6" i="20" s="1"/>
  <c r="LYS6" i="20" a="1"/>
  <c r="LYS6" i="20" s="1"/>
  <c r="LYR6" i="20" a="1"/>
  <c r="LYR6" i="20" s="1"/>
  <c r="LYQ6" i="20" a="1"/>
  <c r="LYQ6" i="20" s="1"/>
  <c r="LYP6" i="20"/>
  <c r="LYP6" i="20" a="1"/>
  <c r="LYO6" i="20"/>
  <c r="LYO6" i="20" a="1"/>
  <c r="LYN6" i="20"/>
  <c r="LYN6" i="20" a="1"/>
  <c r="LYM6" i="20"/>
  <c r="LYM6" i="20" a="1"/>
  <c r="LYL6" i="20" a="1"/>
  <c r="LYL6" i="20" s="1"/>
  <c r="LYK6" i="20" a="1"/>
  <c r="LYK6" i="20" s="1"/>
  <c r="LYJ6" i="20" a="1"/>
  <c r="LYJ6" i="20" s="1"/>
  <c r="LYI6" i="20" a="1"/>
  <c r="LYI6" i="20" s="1"/>
  <c r="LYH6" i="20"/>
  <c r="LYH6" i="20" a="1"/>
  <c r="LYG6" i="20" a="1"/>
  <c r="LYG6" i="20" s="1"/>
  <c r="LYF6" i="20" a="1"/>
  <c r="LYF6" i="20" s="1"/>
  <c r="LYE6" i="20"/>
  <c r="LYE6" i="20" a="1"/>
  <c r="LYD6" i="20" a="1"/>
  <c r="LYD6" i="20" s="1"/>
  <c r="LYC6" i="20"/>
  <c r="LYC6" i="20" a="1"/>
  <c r="LYB6" i="20"/>
  <c r="LYB6" i="20" a="1"/>
  <c r="LYA6" i="20"/>
  <c r="LYA6" i="20" a="1"/>
  <c r="LXZ6" i="20" a="1"/>
  <c r="LXZ6" i="20" s="1"/>
  <c r="LXY6" i="20" a="1"/>
  <c r="LXY6" i="20" s="1"/>
  <c r="LXX6" i="20" a="1"/>
  <c r="LXX6" i="20" s="1"/>
  <c r="LXW6" i="20" a="1"/>
  <c r="LXW6" i="20" s="1"/>
  <c r="LXV6" i="20" a="1"/>
  <c r="LXV6" i="20" s="1"/>
  <c r="LXU6" i="20"/>
  <c r="LXU6" i="20" a="1"/>
  <c r="LXT6" i="20" a="1"/>
  <c r="LXT6" i="20" s="1"/>
  <c r="LXS6" i="20"/>
  <c r="LXS6" i="20" a="1"/>
  <c r="LXR6" i="20"/>
  <c r="LXR6" i="20" a="1"/>
  <c r="LXQ6" i="20" a="1"/>
  <c r="LXQ6" i="20" s="1"/>
  <c r="LXP6" i="20"/>
  <c r="LXP6" i="20" a="1"/>
  <c r="LXO6" i="20"/>
  <c r="LXO6" i="20" a="1"/>
  <c r="LXN6" i="20" a="1"/>
  <c r="LXN6" i="20" s="1"/>
  <c r="LXM6" i="20" a="1"/>
  <c r="LXM6" i="20" s="1"/>
  <c r="LXL6" i="20" a="1"/>
  <c r="LXL6" i="20" s="1"/>
  <c r="LXK6" i="20" a="1"/>
  <c r="LXK6" i="20" s="1"/>
  <c r="LXJ6" i="20"/>
  <c r="LXJ6" i="20" a="1"/>
  <c r="LXI6" i="20" a="1"/>
  <c r="LXI6" i="20" s="1"/>
  <c r="LXH6" i="20" a="1"/>
  <c r="LXH6" i="20" s="1"/>
  <c r="LXG6" i="20"/>
  <c r="LXG6" i="20" a="1"/>
  <c r="LXF6" i="20"/>
  <c r="LXF6" i="20" a="1"/>
  <c r="LXE6" i="20"/>
  <c r="LXE6" i="20" a="1"/>
  <c r="LXD6" i="20" a="1"/>
  <c r="LXD6" i="20" s="1"/>
  <c r="LXC6" i="20"/>
  <c r="LXC6" i="20" a="1"/>
  <c r="LXB6" i="20" a="1"/>
  <c r="LXB6" i="20" s="1"/>
  <c r="LXA6" i="20"/>
  <c r="LXA6" i="20" a="1"/>
  <c r="LWZ6" i="20" a="1"/>
  <c r="LWZ6" i="20" s="1"/>
  <c r="LWY6" i="20" a="1"/>
  <c r="LWY6" i="20" s="1"/>
  <c r="LWX6" i="20" a="1"/>
  <c r="LWX6" i="20" s="1"/>
  <c r="LWW6" i="20" a="1"/>
  <c r="LWW6" i="20" s="1"/>
  <c r="LWV6" i="20" a="1"/>
  <c r="LWV6" i="20" s="1"/>
  <c r="LWU6" i="20" a="1"/>
  <c r="LWU6" i="20" s="1"/>
  <c r="LWT6" i="20"/>
  <c r="LWT6" i="20" a="1"/>
  <c r="LWS6" i="20"/>
  <c r="LWS6" i="20" a="1"/>
  <c r="LWR6" i="20"/>
  <c r="LWR6" i="20" a="1"/>
  <c r="LWQ6" i="20" a="1"/>
  <c r="LWQ6" i="20" s="1"/>
  <c r="LWP6" i="20" a="1"/>
  <c r="LWP6" i="20" s="1"/>
  <c r="LWO6" i="20" a="1"/>
  <c r="LWO6" i="20" s="1"/>
  <c r="LWN6" i="20"/>
  <c r="LWN6" i="20" a="1"/>
  <c r="LWM6" i="20" a="1"/>
  <c r="LWM6" i="20" s="1"/>
  <c r="LWL6" i="20" a="1"/>
  <c r="LWL6" i="20" s="1"/>
  <c r="LWK6" i="20" a="1"/>
  <c r="LWK6" i="20" s="1"/>
  <c r="LWJ6" i="20" a="1"/>
  <c r="LWJ6" i="20" s="1"/>
  <c r="LWI6" i="20"/>
  <c r="LWI6" i="20" a="1"/>
  <c r="LWH6" i="20" a="1"/>
  <c r="LWH6" i="20" s="1"/>
  <c r="LWG6" i="20"/>
  <c r="LWG6" i="20" a="1"/>
  <c r="LWF6" i="20"/>
  <c r="LWF6" i="20" a="1"/>
  <c r="LWE6" i="20"/>
  <c r="LWE6" i="20" a="1"/>
  <c r="LWD6" i="20" a="1"/>
  <c r="LWD6" i="20" s="1"/>
  <c r="LWC6" i="20" a="1"/>
  <c r="LWC6" i="20" s="1"/>
  <c r="LWB6" i="20" a="1"/>
  <c r="LWB6" i="20" s="1"/>
  <c r="LWA6" i="20"/>
  <c r="LWA6" i="20" a="1"/>
  <c r="LVZ6" i="20" a="1"/>
  <c r="LVZ6" i="20" s="1"/>
  <c r="LVY6" i="20" a="1"/>
  <c r="LVY6" i="20" s="1"/>
  <c r="LVX6" i="20" a="1"/>
  <c r="LVX6" i="20" s="1"/>
  <c r="LVW6" i="20" a="1"/>
  <c r="LVW6" i="20" s="1"/>
  <c r="LVV6" i="20"/>
  <c r="LVV6" i="20" a="1"/>
  <c r="LVU6" i="20" a="1"/>
  <c r="LVU6" i="20" s="1"/>
  <c r="LVT6" i="20"/>
  <c r="LVT6" i="20" a="1"/>
  <c r="LVS6" i="20"/>
  <c r="LVS6" i="20" a="1"/>
  <c r="LVR6" i="20" a="1"/>
  <c r="LVR6" i="20" s="1"/>
  <c r="LVQ6" i="20" a="1"/>
  <c r="LVQ6" i="20" s="1"/>
  <c r="LVP6" i="20" a="1"/>
  <c r="LVP6" i="20" s="1"/>
  <c r="LVO6" i="20"/>
  <c r="LVO6" i="20" a="1"/>
  <c r="LVN6" i="20"/>
  <c r="LVN6" i="20" a="1"/>
  <c r="LVM6" i="20" a="1"/>
  <c r="LVM6" i="20" s="1"/>
  <c r="LVL6" i="20" a="1"/>
  <c r="LVL6" i="20" s="1"/>
  <c r="LVK6" i="20"/>
  <c r="LVK6" i="20" a="1"/>
  <c r="LVJ6" i="20" a="1"/>
  <c r="LVJ6" i="20" s="1"/>
  <c r="LVI6" i="20" a="1"/>
  <c r="LVI6" i="20" s="1"/>
  <c r="LVH6" i="20"/>
  <c r="LVH6" i="20" a="1"/>
  <c r="LVG6" i="20"/>
  <c r="LVG6" i="20" a="1"/>
  <c r="LVF6" i="20" a="1"/>
  <c r="LVF6" i="20" s="1"/>
  <c r="LVE6" i="20" a="1"/>
  <c r="LVE6" i="20" s="1"/>
  <c r="LVD6" i="20" a="1"/>
  <c r="LVD6" i="20" s="1"/>
  <c r="LVC6" i="20" a="1"/>
  <c r="LVC6" i="20" s="1"/>
  <c r="LVB6" i="20"/>
  <c r="LVB6" i="20" a="1"/>
  <c r="LVA6" i="20"/>
  <c r="LVA6" i="20" a="1"/>
  <c r="LUZ6" i="20" a="1"/>
  <c r="LUZ6" i="20" s="1"/>
  <c r="LUY6" i="20"/>
  <c r="LUY6" i="20" a="1"/>
  <c r="LUX6" i="20"/>
  <c r="LUX6" i="20" a="1"/>
  <c r="LUW6" i="20"/>
  <c r="LUW6" i="20" a="1"/>
  <c r="LUV6" i="20" a="1"/>
  <c r="LUV6" i="20" s="1"/>
  <c r="LUU6" i="20" a="1"/>
  <c r="LUU6" i="20" s="1"/>
  <c r="LUT6" i="20" a="1"/>
  <c r="LUT6" i="20" s="1"/>
  <c r="LUS6" i="20" a="1"/>
  <c r="LUS6" i="20" s="1"/>
  <c r="LUR6" i="20" a="1"/>
  <c r="LUR6" i="20" s="1"/>
  <c r="LUQ6" i="20" a="1"/>
  <c r="LUQ6" i="20" s="1"/>
  <c r="LUP6" i="20" a="1"/>
  <c r="LUP6" i="20" s="1"/>
  <c r="LUO6" i="20"/>
  <c r="LUO6" i="20" a="1"/>
  <c r="LUN6" i="20" a="1"/>
  <c r="LUN6" i="20" s="1"/>
  <c r="LUM6" i="20"/>
  <c r="LUM6" i="20" a="1"/>
  <c r="LUL6" i="20"/>
  <c r="LUL6" i="20" a="1"/>
  <c r="LUK6" i="20"/>
  <c r="LUK6" i="20" a="1"/>
  <c r="LUJ6" i="20" a="1"/>
  <c r="LUJ6" i="20" s="1"/>
  <c r="LUI6" i="20" a="1"/>
  <c r="LUI6" i="20" s="1"/>
  <c r="LUH6" i="20" a="1"/>
  <c r="LUH6" i="20" s="1"/>
  <c r="LUG6" i="20"/>
  <c r="LUG6" i="20" a="1"/>
  <c r="LUF6" i="20" a="1"/>
  <c r="LUF6" i="20" s="1"/>
  <c r="LUE6" i="20" a="1"/>
  <c r="LUE6" i="20" s="1"/>
  <c r="LUD6" i="20" a="1"/>
  <c r="LUD6" i="20" s="1"/>
  <c r="LUC6" i="20" a="1"/>
  <c r="LUC6" i="20" s="1"/>
  <c r="LUB6" i="20" a="1"/>
  <c r="LUB6" i="20" s="1"/>
  <c r="LUA6" i="20" a="1"/>
  <c r="LUA6" i="20" s="1"/>
  <c r="LTZ6" i="20"/>
  <c r="LTZ6" i="20" a="1"/>
  <c r="LTY6" i="20"/>
  <c r="LTY6" i="20" a="1"/>
  <c r="LTX6" i="20"/>
  <c r="LTX6" i="20" a="1"/>
  <c r="LTW6" i="20"/>
  <c r="LTW6" i="20" a="1"/>
  <c r="LTV6" i="20" a="1"/>
  <c r="LTV6" i="20" s="1"/>
  <c r="LTU6" i="20" a="1"/>
  <c r="LTU6" i="20" s="1"/>
  <c r="LTT6" i="20"/>
  <c r="LTT6" i="20" a="1"/>
  <c r="LTS6" i="20" a="1"/>
  <c r="LTS6" i="20" s="1"/>
  <c r="LTR6" i="20" a="1"/>
  <c r="LTR6" i="20" s="1"/>
  <c r="LTQ6" i="20" a="1"/>
  <c r="LTQ6" i="20" s="1"/>
  <c r="LTP6" i="20" a="1"/>
  <c r="LTP6" i="20" s="1"/>
  <c r="LTO6" i="20"/>
  <c r="LTO6" i="20" a="1"/>
  <c r="LTN6" i="20" a="1"/>
  <c r="LTN6" i="20" s="1"/>
  <c r="LTM6" i="20"/>
  <c r="LTM6" i="20" a="1"/>
  <c r="LTL6" i="20"/>
  <c r="LTL6" i="20" a="1"/>
  <c r="LTK6" i="20"/>
  <c r="LTK6" i="20" a="1"/>
  <c r="LTJ6" i="20" a="1"/>
  <c r="LTJ6" i="20" s="1"/>
  <c r="LTI6" i="20" a="1"/>
  <c r="LTI6" i="20" s="1"/>
  <c r="LTH6" i="20"/>
  <c r="LTH6" i="20" a="1"/>
  <c r="LTG6" i="20"/>
  <c r="LTG6" i="20" a="1"/>
  <c r="LTF6" i="20" a="1"/>
  <c r="LTF6" i="20" s="1"/>
  <c r="LTE6" i="20" a="1"/>
  <c r="LTE6" i="20" s="1"/>
  <c r="LTD6" i="20" a="1"/>
  <c r="LTD6" i="20" s="1"/>
  <c r="LTC6" i="20" a="1"/>
  <c r="LTC6" i="20" s="1"/>
  <c r="LTB6" i="20"/>
  <c r="LTB6" i="20" a="1"/>
  <c r="LTA6" i="20" a="1"/>
  <c r="LTA6" i="20" s="1"/>
  <c r="LSZ6" i="20"/>
  <c r="LSZ6" i="20" a="1"/>
  <c r="LSY6" i="20"/>
  <c r="LSY6" i="20" a="1"/>
  <c r="LSX6" i="20" a="1"/>
  <c r="LSX6" i="20" s="1"/>
  <c r="LSW6" i="20" a="1"/>
  <c r="LSW6" i="20" s="1"/>
  <c r="LSV6" i="20" a="1"/>
  <c r="LSV6" i="20" s="1"/>
  <c r="LSU6" i="20"/>
  <c r="LSU6" i="20" a="1"/>
  <c r="LST6" i="20"/>
  <c r="LST6" i="20" a="1"/>
  <c r="LSS6" i="20" a="1"/>
  <c r="LSS6" i="20" s="1"/>
  <c r="LSR6" i="20" a="1"/>
  <c r="LSR6" i="20" s="1"/>
  <c r="LSQ6" i="20"/>
  <c r="LSQ6" i="20" a="1"/>
  <c r="LSP6" i="20" a="1"/>
  <c r="LSP6" i="20" s="1"/>
  <c r="LSO6" i="20" a="1"/>
  <c r="LSO6" i="20" s="1"/>
  <c r="LSN6" i="20"/>
  <c r="LSN6" i="20" a="1"/>
  <c r="LSM6" i="20"/>
  <c r="LSM6" i="20" a="1"/>
  <c r="LSL6" i="20" a="1"/>
  <c r="LSL6" i="20" s="1"/>
  <c r="LSK6" i="20" a="1"/>
  <c r="LSK6" i="20" s="1"/>
  <c r="LSJ6" i="20" a="1"/>
  <c r="LSJ6" i="20" s="1"/>
  <c r="LSI6" i="20" a="1"/>
  <c r="LSI6" i="20" s="1"/>
  <c r="LSH6" i="20"/>
  <c r="LSH6" i="20" a="1"/>
  <c r="LSG6" i="20"/>
  <c r="LSG6" i="20" a="1"/>
  <c r="LSF6" i="20" a="1"/>
  <c r="LSF6" i="20" s="1"/>
  <c r="LSE6" i="20"/>
  <c r="LSE6" i="20" a="1"/>
  <c r="LSD6" i="20"/>
  <c r="LSD6" i="20" a="1"/>
  <c r="LSC6" i="20" a="1"/>
  <c r="LSC6" i="20" s="1"/>
  <c r="LSB6" i="20" a="1"/>
  <c r="LSB6" i="20" s="1"/>
  <c r="LSA6" i="20" a="1"/>
  <c r="LSA6" i="20" s="1"/>
  <c r="LRZ6" i="20" a="1"/>
  <c r="LRZ6" i="20" s="1"/>
  <c r="LRY6" i="20" a="1"/>
  <c r="LRY6" i="20" s="1"/>
  <c r="LRX6" i="20" a="1"/>
  <c r="LRX6" i="20" s="1"/>
  <c r="LRW6" i="20" a="1"/>
  <c r="LRW6" i="20" s="1"/>
  <c r="LRV6" i="20" a="1"/>
  <c r="LRV6" i="20" s="1"/>
  <c r="LRU6" i="20" a="1"/>
  <c r="LRU6" i="20" s="1"/>
  <c r="LRT6" i="20" a="1"/>
  <c r="LRT6" i="20" s="1"/>
  <c r="LRS6" i="20"/>
  <c r="LRS6" i="20" a="1"/>
  <c r="LRR6" i="20"/>
  <c r="LRR6" i="20" a="1"/>
  <c r="LRQ6" i="20"/>
  <c r="LRQ6" i="20" a="1"/>
  <c r="LRP6" i="20"/>
  <c r="LRP6" i="20" a="1"/>
  <c r="LRO6" i="20" a="1"/>
  <c r="LRO6" i="20" s="1"/>
  <c r="LRN6" i="20" a="1"/>
  <c r="LRN6" i="20" s="1"/>
  <c r="LRM6" i="20"/>
  <c r="LRM6" i="20" a="1"/>
  <c r="LRL6" i="20" a="1"/>
  <c r="LRL6" i="20" s="1"/>
  <c r="LRK6" i="20" a="1"/>
  <c r="LRK6" i="20" s="1"/>
  <c r="LRJ6" i="20" a="1"/>
  <c r="LRJ6" i="20" s="1"/>
  <c r="LRI6" i="20" a="1"/>
  <c r="LRI6" i="20" s="1"/>
  <c r="LRH6" i="20" a="1"/>
  <c r="LRH6" i="20" s="1"/>
  <c r="LRG6" i="20" a="1"/>
  <c r="LRG6" i="20" s="1"/>
  <c r="LRF6" i="20"/>
  <c r="LRF6" i="20" a="1"/>
  <c r="LRE6" i="20"/>
  <c r="LRE6" i="20" a="1"/>
  <c r="LRD6" i="20"/>
  <c r="LRD6" i="20" a="1"/>
  <c r="LRC6" i="20"/>
  <c r="LRC6" i="20" a="1"/>
  <c r="LRB6" i="20" a="1"/>
  <c r="LRB6" i="20" s="1"/>
  <c r="LRA6" i="20"/>
  <c r="LRA6" i="20" a="1"/>
  <c r="LQZ6" i="20"/>
  <c r="LQZ6" i="20" a="1"/>
  <c r="LQY6" i="20" a="1"/>
  <c r="LQY6" i="20" s="1"/>
  <c r="LQX6" i="20" a="1"/>
  <c r="LQX6" i="20" s="1"/>
  <c r="LQW6" i="20" a="1"/>
  <c r="LQW6" i="20" s="1"/>
  <c r="LQV6" i="20" a="1"/>
  <c r="LQV6" i="20" s="1"/>
  <c r="LQU6" i="20" a="1"/>
  <c r="LQU6" i="20" s="1"/>
  <c r="LQT6" i="20" a="1"/>
  <c r="LQT6" i="20" s="1"/>
  <c r="LQS6" i="20"/>
  <c r="LQS6" i="20" a="1"/>
  <c r="LQR6" i="20"/>
  <c r="LQR6" i="20" a="1"/>
  <c r="LQQ6" i="20"/>
  <c r="LQQ6" i="20" a="1"/>
  <c r="LQP6" i="20" a="1"/>
  <c r="LQP6" i="20" s="1"/>
  <c r="LQO6" i="20" a="1"/>
  <c r="LQO6" i="20" s="1"/>
  <c r="LQN6" i="20"/>
  <c r="LQN6" i="20" a="1"/>
  <c r="LQM6" i="20" a="1"/>
  <c r="LQM6" i="20" s="1"/>
  <c r="LQL6" i="20" a="1"/>
  <c r="LQL6" i="20" s="1"/>
  <c r="LQK6" i="20" a="1"/>
  <c r="LQK6" i="20" s="1"/>
  <c r="LQJ6" i="20" a="1"/>
  <c r="LQJ6" i="20" s="1"/>
  <c r="LQI6" i="20" a="1"/>
  <c r="LQI6" i="20" s="1"/>
  <c r="LQH6" i="20"/>
  <c r="LQH6" i="20" a="1"/>
  <c r="LQG6" i="20" a="1"/>
  <c r="LQG6" i="20" s="1"/>
  <c r="LQF6" i="20"/>
  <c r="LQF6" i="20" a="1"/>
  <c r="LQE6" i="20"/>
  <c r="LQE6" i="20" a="1"/>
  <c r="LQD6" i="20" a="1"/>
  <c r="LQD6" i="20" s="1"/>
  <c r="LQC6" i="20" a="1"/>
  <c r="LQC6" i="20" s="1"/>
  <c r="LQB6" i="20" a="1"/>
  <c r="LQB6" i="20" s="1"/>
  <c r="LQA6" i="20"/>
  <c r="LQA6" i="20" a="1"/>
  <c r="LPZ6" i="20" a="1"/>
  <c r="LPZ6" i="20" s="1"/>
  <c r="LPY6" i="20" a="1"/>
  <c r="LPY6" i="20" s="1"/>
  <c r="LPX6" i="20" a="1"/>
  <c r="LPX6" i="20" s="1"/>
  <c r="LPW6" i="20"/>
  <c r="LPW6" i="20" a="1"/>
  <c r="LPV6" i="20" a="1"/>
  <c r="LPV6" i="20" s="1"/>
  <c r="LPU6" i="20" a="1"/>
  <c r="LPU6" i="20" s="1"/>
  <c r="LPT6" i="20"/>
  <c r="LPT6" i="20" a="1"/>
  <c r="LPS6" i="20"/>
  <c r="LPS6" i="20" a="1"/>
  <c r="LPR6" i="20" a="1"/>
  <c r="LPR6" i="20" s="1"/>
  <c r="LPQ6" i="20" a="1"/>
  <c r="LPQ6" i="20" s="1"/>
  <c r="LPP6" i="20" a="1"/>
  <c r="LPP6" i="20" s="1"/>
  <c r="LPO6" i="20" a="1"/>
  <c r="LPO6" i="20" s="1"/>
  <c r="LPN6" i="20" a="1"/>
  <c r="LPN6" i="20" s="1"/>
  <c r="LPM6" i="20" a="1"/>
  <c r="LPM6" i="20" s="1"/>
  <c r="LPL6" i="20" a="1"/>
  <c r="LPL6" i="20" s="1"/>
  <c r="LPK6" i="20"/>
  <c r="LPK6" i="20" a="1"/>
  <c r="LPJ6" i="20"/>
  <c r="LPJ6" i="20" a="1"/>
  <c r="LPI6" i="20"/>
  <c r="LPI6" i="20" a="1"/>
  <c r="LPH6" i="20" a="1"/>
  <c r="LPH6" i="20" s="1"/>
  <c r="LPG6" i="20" a="1"/>
  <c r="LPG6" i="20" s="1"/>
  <c r="LPF6" i="20" a="1"/>
  <c r="LPF6" i="20" s="1"/>
  <c r="LPE6" i="20" a="1"/>
  <c r="LPE6" i="20" s="1"/>
  <c r="LPD6" i="20" a="1"/>
  <c r="LPD6" i="20" s="1"/>
  <c r="LPC6" i="20" a="1"/>
  <c r="LPC6" i="20" s="1"/>
  <c r="LPB6" i="20" a="1"/>
  <c r="LPB6" i="20" s="1"/>
  <c r="LPA6" i="20"/>
  <c r="LPA6" i="20" a="1"/>
  <c r="LOZ6" i="20" a="1"/>
  <c r="LOZ6" i="20" s="1"/>
  <c r="LOY6" i="20"/>
  <c r="LOY6" i="20" a="1"/>
  <c r="LOX6" i="20"/>
  <c r="LOX6" i="20" a="1"/>
  <c r="LOW6" i="20"/>
  <c r="LOW6" i="20" a="1"/>
  <c r="LOV6" i="20"/>
  <c r="LOV6" i="20" a="1"/>
  <c r="LOU6" i="20" a="1"/>
  <c r="LOU6" i="20" s="1"/>
  <c r="LOT6" i="20" a="1"/>
  <c r="LOT6" i="20" s="1"/>
  <c r="LOS6" i="20" a="1"/>
  <c r="LOS6" i="20" s="1"/>
  <c r="LOR6" i="20" a="1"/>
  <c r="LOR6" i="20" s="1"/>
  <c r="LOQ6" i="20" a="1"/>
  <c r="LOQ6" i="20" s="1"/>
  <c r="LOP6" i="20" a="1"/>
  <c r="LOP6" i="20" s="1"/>
  <c r="LOO6" i="20" a="1"/>
  <c r="LOO6" i="20" s="1"/>
  <c r="LON6" i="20" a="1"/>
  <c r="LON6" i="20" s="1"/>
  <c r="LOM6" i="20" a="1"/>
  <c r="LOM6" i="20" s="1"/>
  <c r="LOL6" i="20"/>
  <c r="LOL6" i="20" a="1"/>
  <c r="LOK6" i="20"/>
  <c r="LOK6" i="20" a="1"/>
  <c r="LOJ6" i="20"/>
  <c r="LOJ6" i="20" a="1"/>
  <c r="LOI6" i="20"/>
  <c r="LOI6" i="20" a="1"/>
  <c r="LOH6" i="20" a="1"/>
  <c r="LOH6" i="20" s="1"/>
  <c r="LOG6" i="20"/>
  <c r="LOG6" i="20" a="1"/>
  <c r="LOF6" i="20"/>
  <c r="LOF6" i="20" a="1"/>
  <c r="LOE6" i="20" a="1"/>
  <c r="LOE6" i="20" s="1"/>
  <c r="LOD6" i="20" a="1"/>
  <c r="LOD6" i="20" s="1"/>
  <c r="LOC6" i="20" a="1"/>
  <c r="LOC6" i="20" s="1"/>
  <c r="LOB6" i="20" a="1"/>
  <c r="LOB6" i="20" s="1"/>
  <c r="LOA6" i="20" a="1"/>
  <c r="LOA6" i="20" s="1"/>
  <c r="LNZ6" i="20" a="1"/>
  <c r="LNZ6" i="20" s="1"/>
  <c r="LNY6" i="20"/>
  <c r="LNY6" i="20" a="1"/>
  <c r="LNX6" i="20"/>
  <c r="LNX6" i="20" a="1"/>
  <c r="LNW6" i="20"/>
  <c r="LNW6" i="20" a="1"/>
  <c r="LNV6" i="20" a="1"/>
  <c r="LNV6" i="20" s="1"/>
  <c r="LNU6" i="20" a="1"/>
  <c r="LNU6" i="20" s="1"/>
  <c r="LNT6" i="20"/>
  <c r="LNT6" i="20" a="1"/>
  <c r="LNS6" i="20" a="1"/>
  <c r="LNS6" i="20" s="1"/>
  <c r="LNR6" i="20" a="1"/>
  <c r="LNR6" i="20" s="1"/>
  <c r="LNQ6" i="20" a="1"/>
  <c r="LNQ6" i="20" s="1"/>
  <c r="LNP6" i="20" a="1"/>
  <c r="LNP6" i="20" s="1"/>
  <c r="LNO6" i="20" a="1"/>
  <c r="LNO6" i="20" s="1"/>
  <c r="LNN6" i="20"/>
  <c r="LNN6" i="20" a="1"/>
  <c r="LNM6" i="20" a="1"/>
  <c r="LNM6" i="20" s="1"/>
  <c r="LNL6" i="20"/>
  <c r="LNL6" i="20" a="1"/>
  <c r="LNK6" i="20"/>
  <c r="LNK6" i="20" a="1"/>
  <c r="LNJ6" i="20" a="1"/>
  <c r="LNJ6" i="20" s="1"/>
  <c r="LNI6" i="20" a="1"/>
  <c r="LNI6" i="20" s="1"/>
  <c r="LNH6" i="20" a="1"/>
  <c r="LNH6" i="20" s="1"/>
  <c r="LNG6" i="20"/>
  <c r="LNG6" i="20" a="1"/>
  <c r="LNF6" i="20" a="1"/>
  <c r="LNF6" i="20" s="1"/>
  <c r="LNE6" i="20" a="1"/>
  <c r="LNE6" i="20" s="1"/>
  <c r="LND6" i="20" a="1"/>
  <c r="LND6" i="20" s="1"/>
  <c r="LNC6" i="20"/>
  <c r="LNC6" i="20" a="1"/>
  <c r="LNB6" i="20"/>
  <c r="LNB6" i="20" a="1"/>
  <c r="LNA6" i="20" a="1"/>
  <c r="LNA6" i="20" s="1"/>
  <c r="LMZ6" i="20" a="1"/>
  <c r="LMZ6" i="20" s="1"/>
  <c r="LMY6" i="20"/>
  <c r="LMY6" i="20" a="1"/>
  <c r="LMX6" i="20" a="1"/>
  <c r="LMX6" i="20" s="1"/>
  <c r="LMW6" i="20" a="1"/>
  <c r="LMW6" i="20" s="1"/>
  <c r="LMV6" i="20" a="1"/>
  <c r="LMV6" i="20" s="1"/>
  <c r="LMU6" i="20" a="1"/>
  <c r="LMU6" i="20" s="1"/>
  <c r="LMT6" i="20"/>
  <c r="LMT6" i="20" a="1"/>
  <c r="LMS6" i="20" a="1"/>
  <c r="LMS6" i="20" s="1"/>
  <c r="LMR6" i="20" a="1"/>
  <c r="LMR6" i="20" s="1"/>
  <c r="LMQ6" i="20"/>
  <c r="LMQ6" i="20" a="1"/>
  <c r="LMP6" i="20"/>
  <c r="LMP6" i="20" a="1"/>
  <c r="LMO6" i="20"/>
  <c r="LMO6" i="20" a="1"/>
  <c r="LMN6" i="20"/>
  <c r="LMN6" i="20" a="1"/>
  <c r="LMM6" i="20" a="1"/>
  <c r="LMM6" i="20" s="1"/>
  <c r="LML6" i="20" a="1"/>
  <c r="LML6" i="20" s="1"/>
  <c r="LMK6" i="20" a="1"/>
  <c r="LMK6" i="20" s="1"/>
  <c r="LMJ6" i="20" a="1"/>
  <c r="LMJ6" i="20" s="1"/>
  <c r="LMI6" i="20" a="1"/>
  <c r="LMI6" i="20" s="1"/>
  <c r="LMH6" i="20" a="1"/>
  <c r="LMH6" i="20" s="1"/>
  <c r="LMG6" i="20"/>
  <c r="LMG6" i="20" a="1"/>
  <c r="LMF6" i="20" a="1"/>
  <c r="LMF6" i="20" s="1"/>
  <c r="LME6" i="20"/>
  <c r="LME6" i="20" a="1"/>
  <c r="LMD6" i="20"/>
  <c r="LMD6" i="20" a="1"/>
  <c r="LMC6" i="20"/>
  <c r="LMC6" i="20" a="1"/>
  <c r="LMB6" i="20"/>
  <c r="LMB6" i="20" a="1"/>
  <c r="LMA6" i="20" a="1"/>
  <c r="LMA6" i="20" s="1"/>
  <c r="LLZ6" i="20" a="1"/>
  <c r="LLZ6" i="20" s="1"/>
  <c r="LLY6" i="20"/>
  <c r="LLY6" i="20" a="1"/>
  <c r="LLX6" i="20" a="1"/>
  <c r="LLX6" i="20" s="1"/>
  <c r="LLW6" i="20" a="1"/>
  <c r="LLW6" i="20" s="1"/>
  <c r="LLV6" i="20" a="1"/>
  <c r="LLV6" i="20" s="1"/>
  <c r="LLU6" i="20" a="1"/>
  <c r="LLU6" i="20" s="1"/>
  <c r="LLT6" i="20" a="1"/>
  <c r="LLT6" i="20" s="1"/>
  <c r="LLS6" i="20" a="1"/>
  <c r="LLS6" i="20" s="1"/>
  <c r="LLR6" i="20"/>
  <c r="LLR6" i="20" a="1"/>
  <c r="LLQ6" i="20"/>
  <c r="LLQ6" i="20" a="1"/>
  <c r="LLP6" i="20"/>
  <c r="LLP6" i="20" a="1"/>
  <c r="LLO6" i="20"/>
  <c r="LLO6" i="20" a="1"/>
  <c r="LLN6" i="20" a="1"/>
  <c r="LLN6" i="20" s="1"/>
  <c r="LLM6" i="20"/>
  <c r="LLM6" i="20" a="1"/>
  <c r="LLL6" i="20" a="1"/>
  <c r="LLL6" i="20" s="1"/>
  <c r="LLK6" i="20" a="1"/>
  <c r="LLK6" i="20" s="1"/>
  <c r="LLJ6" i="20" a="1"/>
  <c r="LLJ6" i="20" s="1"/>
  <c r="LLI6" i="20" a="1"/>
  <c r="LLI6" i="20" s="1"/>
  <c r="LLH6" i="20" a="1"/>
  <c r="LLH6" i="20" s="1"/>
  <c r="LLG6" i="20" a="1"/>
  <c r="LLG6" i="20" s="1"/>
  <c r="LLF6" i="20" a="1"/>
  <c r="LLF6" i="20" s="1"/>
  <c r="LLE6" i="20"/>
  <c r="LLE6" i="20" a="1"/>
  <c r="LLD6" i="20"/>
  <c r="LLD6" i="20" a="1"/>
  <c r="LLC6" i="20"/>
  <c r="LLC6" i="20" a="1"/>
  <c r="LLB6" i="20" a="1"/>
  <c r="LLB6" i="20" s="1"/>
  <c r="LLA6" i="20" a="1"/>
  <c r="LLA6" i="20" s="1"/>
  <c r="LKZ6" i="20"/>
  <c r="LKZ6" i="20" a="1"/>
  <c r="LKY6" i="20"/>
  <c r="LKY6" i="20" a="1"/>
  <c r="LKX6" i="20" a="1"/>
  <c r="LKX6" i="20" s="1"/>
  <c r="LKW6" i="20" a="1"/>
  <c r="LKW6" i="20" s="1"/>
  <c r="LKV6" i="20" a="1"/>
  <c r="LKV6" i="20" s="1"/>
  <c r="LKU6" i="20" a="1"/>
  <c r="LKU6" i="20" s="1"/>
  <c r="LKT6" i="20"/>
  <c r="LKT6" i="20" a="1"/>
  <c r="LKS6" i="20" a="1"/>
  <c r="LKS6" i="20" s="1"/>
  <c r="LKR6" i="20"/>
  <c r="LKR6" i="20" a="1"/>
  <c r="LKQ6" i="20"/>
  <c r="LKQ6" i="20" a="1"/>
  <c r="LKP6" i="20" a="1"/>
  <c r="LKP6" i="20" s="1"/>
  <c r="LKO6" i="20" a="1"/>
  <c r="LKO6" i="20" s="1"/>
  <c r="LKN6" i="20" a="1"/>
  <c r="LKN6" i="20" s="1"/>
  <c r="LKM6" i="20"/>
  <c r="LKM6" i="20" a="1"/>
  <c r="LKL6" i="20" a="1"/>
  <c r="LKL6" i="20" s="1"/>
  <c r="LKK6" i="20" a="1"/>
  <c r="LKK6" i="20" s="1"/>
  <c r="LKJ6" i="20" a="1"/>
  <c r="LKJ6" i="20" s="1"/>
  <c r="LKI6" i="20"/>
  <c r="LKI6" i="20" a="1"/>
  <c r="LKH6" i="20" a="1"/>
  <c r="LKH6" i="20" s="1"/>
  <c r="LKG6" i="20" a="1"/>
  <c r="LKG6" i="20" s="1"/>
  <c r="LKF6" i="20"/>
  <c r="LKF6" i="20" a="1"/>
  <c r="LKE6" i="20"/>
  <c r="LKE6" i="20" a="1"/>
  <c r="LKD6" i="20" a="1"/>
  <c r="LKD6" i="20" s="1"/>
  <c r="LKC6" i="20" a="1"/>
  <c r="LKC6" i="20" s="1"/>
  <c r="LKB6" i="20" a="1"/>
  <c r="LKB6" i="20" s="1"/>
  <c r="LKA6" i="20" a="1"/>
  <c r="LKA6" i="20" s="1"/>
  <c r="LJZ6" i="20"/>
  <c r="LJZ6" i="20" a="1"/>
  <c r="LJY6" i="20" a="1"/>
  <c r="LJY6" i="20" s="1"/>
  <c r="LJX6" i="20" a="1"/>
  <c r="LJX6" i="20" s="1"/>
  <c r="LJW6" i="20"/>
  <c r="LJW6" i="20" a="1"/>
  <c r="LJV6" i="20"/>
  <c r="LJV6" i="20" a="1"/>
  <c r="LJU6" i="20"/>
  <c r="LJU6" i="20" a="1"/>
  <c r="LJT6" i="20" a="1"/>
  <c r="LJT6" i="20" s="1"/>
  <c r="LJS6" i="20" a="1"/>
  <c r="LJS6" i="20" s="1"/>
  <c r="LJR6" i="20" a="1"/>
  <c r="LJR6" i="20" s="1"/>
  <c r="LJQ6" i="20" a="1"/>
  <c r="LJQ6" i="20" s="1"/>
  <c r="LJP6" i="20" a="1"/>
  <c r="LJP6" i="20" s="1"/>
  <c r="LJO6" i="20" a="1"/>
  <c r="LJO6" i="20" s="1"/>
  <c r="LJN6" i="20" a="1"/>
  <c r="LJN6" i="20" s="1"/>
  <c r="LJM6" i="20"/>
  <c r="LJM6" i="20" a="1"/>
  <c r="LJL6" i="20" a="1"/>
  <c r="LJL6" i="20" s="1"/>
  <c r="LJK6" i="20"/>
  <c r="LJK6" i="20" a="1"/>
  <c r="LJJ6" i="20"/>
  <c r="LJJ6" i="20" a="1"/>
  <c r="LJI6" i="20"/>
  <c r="LJI6" i="20" a="1"/>
  <c r="LJH6" i="20"/>
  <c r="LJH6" i="20" a="1"/>
  <c r="LJG6" i="20"/>
  <c r="LJG6" i="20" a="1"/>
  <c r="LJF6" i="20" a="1"/>
  <c r="LJF6" i="20" s="1"/>
  <c r="LJE6" i="20" a="1"/>
  <c r="LJE6" i="20" s="1"/>
  <c r="LJD6" i="20" a="1"/>
  <c r="LJD6" i="20" s="1"/>
  <c r="LJC6" i="20" a="1"/>
  <c r="LJC6" i="20" s="1"/>
  <c r="LJB6" i="20" a="1"/>
  <c r="LJB6" i="20" s="1"/>
  <c r="LJA6" i="20"/>
  <c r="LJA6" i="20" a="1"/>
  <c r="LIZ6" i="20" a="1"/>
  <c r="LIZ6" i="20" s="1"/>
  <c r="LIY6" i="20" a="1"/>
  <c r="LIY6" i="20" s="1"/>
  <c r="LIX6" i="20"/>
  <c r="LIX6" i="20" a="1"/>
  <c r="LIW6" i="20"/>
  <c r="LIW6" i="20" a="1"/>
  <c r="LIV6" i="20"/>
  <c r="LIV6" i="20" a="1"/>
  <c r="LIU6" i="20"/>
  <c r="LIU6" i="20" a="1"/>
  <c r="LIT6" i="20" a="1"/>
  <c r="LIT6" i="20" s="1"/>
  <c r="LIS6" i="20"/>
  <c r="LIS6" i="20" a="1"/>
  <c r="LIR6" i="20" a="1"/>
  <c r="LIR6" i="20" s="1"/>
  <c r="LIQ6" i="20" a="1"/>
  <c r="LIQ6" i="20" s="1"/>
  <c r="LIP6" i="20" a="1"/>
  <c r="LIP6" i="20" s="1"/>
  <c r="LIO6" i="20" a="1"/>
  <c r="LIO6" i="20" s="1"/>
  <c r="LIN6" i="20" a="1"/>
  <c r="LIN6" i="20" s="1"/>
  <c r="LIM6" i="20"/>
  <c r="LIM6" i="20" a="1"/>
  <c r="LIL6" i="20"/>
  <c r="LIL6" i="20" a="1"/>
  <c r="LIK6" i="20"/>
  <c r="LIK6" i="20" a="1"/>
  <c r="LIJ6" i="20"/>
  <c r="LIJ6" i="20" a="1"/>
  <c r="LII6" i="20"/>
  <c r="LII6" i="20" a="1"/>
  <c r="LIH6" i="20" a="1"/>
  <c r="LIH6" i="20" s="1"/>
  <c r="LIG6" i="20" a="1"/>
  <c r="LIG6" i="20" s="1"/>
  <c r="LIF6" i="20"/>
  <c r="LIF6" i="20" a="1"/>
  <c r="LIE6" i="20" a="1"/>
  <c r="LIE6" i="20" s="1"/>
  <c r="LID6" i="20" a="1"/>
  <c r="LID6" i="20" s="1"/>
  <c r="LIC6" i="20" a="1"/>
  <c r="LIC6" i="20" s="1"/>
  <c r="LIB6" i="20" a="1"/>
  <c r="LIB6" i="20" s="1"/>
  <c r="LIA6" i="20" a="1"/>
  <c r="LIA6" i="20" s="1"/>
  <c r="LHZ6" i="20"/>
  <c r="LHZ6" i="20" a="1"/>
  <c r="LHY6" i="20" a="1"/>
  <c r="LHY6" i="20" s="1"/>
  <c r="LHX6" i="20"/>
  <c r="LHX6" i="20" a="1"/>
  <c r="LHW6" i="20"/>
  <c r="LHW6" i="20" a="1"/>
  <c r="LHV6" i="20" a="1"/>
  <c r="LHV6" i="20" s="1"/>
  <c r="LHU6" i="20" a="1"/>
  <c r="LHU6" i="20" s="1"/>
  <c r="LHT6" i="20" a="1"/>
  <c r="LHT6" i="20" s="1"/>
  <c r="LHS6" i="20" a="1"/>
  <c r="LHS6" i="20" s="1"/>
  <c r="LHR6" i="20" a="1"/>
  <c r="LHR6" i="20" s="1"/>
  <c r="LHQ6" i="20" a="1"/>
  <c r="LHQ6" i="20" s="1"/>
  <c r="LHP6" i="20" a="1"/>
  <c r="LHP6" i="20" s="1"/>
  <c r="LHO6" i="20"/>
  <c r="LHO6" i="20" a="1"/>
  <c r="LHN6" i="20"/>
  <c r="LHN6" i="20" a="1"/>
  <c r="LHM6" i="20" a="1"/>
  <c r="LHM6" i="20" s="1"/>
  <c r="LHL6" i="20" a="1"/>
  <c r="LHL6" i="20" s="1"/>
  <c r="LHK6" i="20"/>
  <c r="LHK6" i="20" a="1"/>
  <c r="LHJ6" i="20" a="1"/>
  <c r="LHJ6" i="20" s="1"/>
  <c r="LHI6" i="20" a="1"/>
  <c r="LHI6" i="20" s="1"/>
  <c r="LHH6" i="20" a="1"/>
  <c r="LHH6" i="20" s="1"/>
  <c r="LHG6" i="20" a="1"/>
  <c r="LHG6" i="20" s="1"/>
  <c r="LHF6" i="20"/>
  <c r="LHF6" i="20" a="1"/>
  <c r="LHE6" i="20" a="1"/>
  <c r="LHE6" i="20" s="1"/>
  <c r="LHD6" i="20" a="1"/>
  <c r="LHD6" i="20" s="1"/>
  <c r="LHC6" i="20"/>
  <c r="LHC6" i="20" a="1"/>
  <c r="LHB6" i="20"/>
  <c r="LHB6" i="20" a="1"/>
  <c r="LHA6" i="20"/>
  <c r="LHA6" i="20" a="1"/>
  <c r="LGZ6" i="20" a="1"/>
  <c r="LGZ6" i="20" s="1"/>
  <c r="LGY6" i="20" a="1"/>
  <c r="LGY6" i="20" s="1"/>
  <c r="LGX6" i="20" a="1"/>
  <c r="LGX6" i="20" s="1"/>
  <c r="LGW6" i="20" a="1"/>
  <c r="LGW6" i="20" s="1"/>
  <c r="LGV6" i="20" a="1"/>
  <c r="LGV6" i="20" s="1"/>
  <c r="LGU6" i="20" a="1"/>
  <c r="LGU6" i="20" s="1"/>
  <c r="LGT6" i="20"/>
  <c r="LGT6" i="20" a="1"/>
  <c r="LGS6" i="20"/>
  <c r="LGS6" i="20" a="1"/>
  <c r="LGR6" i="20" a="1"/>
  <c r="LGR6" i="20" s="1"/>
  <c r="LGQ6" i="20"/>
  <c r="LGQ6" i="20" a="1"/>
  <c r="LGP6" i="20"/>
  <c r="LGP6" i="20" a="1"/>
  <c r="LGO6" i="20"/>
  <c r="LGO6" i="20" a="1"/>
  <c r="LGN6" i="20"/>
  <c r="LGN6" i="20" a="1"/>
  <c r="LGM6" i="20" a="1"/>
  <c r="LGM6" i="20" s="1"/>
  <c r="LGL6" i="20" a="1"/>
  <c r="LGL6" i="20" s="1"/>
  <c r="LGK6" i="20" a="1"/>
  <c r="LGK6" i="20" s="1"/>
  <c r="LGJ6" i="20" a="1"/>
  <c r="LGJ6" i="20" s="1"/>
  <c r="LGI6" i="20" a="1"/>
  <c r="LGI6" i="20" s="1"/>
  <c r="LGH6" i="20" a="1"/>
  <c r="LGH6" i="20" s="1"/>
  <c r="LGG6" i="20"/>
  <c r="LGG6" i="20" a="1"/>
  <c r="LGF6" i="20" a="1"/>
  <c r="LGF6" i="20" s="1"/>
  <c r="LGE6" i="20"/>
  <c r="LGE6" i="20" a="1"/>
  <c r="LGD6" i="20"/>
  <c r="LGD6" i="20" a="1"/>
  <c r="LGC6" i="20"/>
  <c r="LGC6" i="20" a="1"/>
  <c r="LGB6" i="20"/>
  <c r="LGB6" i="20" a="1"/>
  <c r="LGA6" i="20" a="1"/>
  <c r="LGA6" i="20" s="1"/>
  <c r="LFZ6" i="20" a="1"/>
  <c r="LFZ6" i="20" s="1"/>
  <c r="LFY6" i="20"/>
  <c r="LFY6" i="20" a="1"/>
  <c r="LFX6" i="20" a="1"/>
  <c r="LFX6" i="20" s="1"/>
  <c r="LFW6" i="20" a="1"/>
  <c r="LFW6" i="20" s="1"/>
  <c r="LFV6" i="20" a="1"/>
  <c r="LFV6" i="20" s="1"/>
  <c r="LFU6" i="20" a="1"/>
  <c r="LFU6" i="20" s="1"/>
  <c r="LFT6" i="20" a="1"/>
  <c r="LFT6" i="20" s="1"/>
  <c r="LFS6" i="20" a="1"/>
  <c r="LFS6" i="20" s="1"/>
  <c r="LFR6" i="20"/>
  <c r="LFR6" i="20" a="1"/>
  <c r="LFQ6" i="20"/>
  <c r="LFQ6" i="20" a="1"/>
  <c r="LFP6" i="20"/>
  <c r="LFP6" i="20" a="1"/>
  <c r="LFO6" i="20"/>
  <c r="LFO6" i="20" a="1"/>
  <c r="LFN6" i="20" a="1"/>
  <c r="LFN6" i="20" s="1"/>
  <c r="LFM6" i="20" a="1"/>
  <c r="LFM6" i="20" s="1"/>
  <c r="LFL6" i="20" a="1"/>
  <c r="LFL6" i="20" s="1"/>
  <c r="LFK6" i="20"/>
  <c r="LFK6" i="20" a="1"/>
  <c r="LFJ6" i="20" a="1"/>
  <c r="LFJ6" i="20" s="1"/>
  <c r="LFI6" i="20" a="1"/>
  <c r="LFI6" i="20" s="1"/>
  <c r="LFH6" i="20" a="1"/>
  <c r="LFH6" i="20" s="1"/>
  <c r="LFG6" i="20" a="1"/>
  <c r="LFG6" i="20" s="1"/>
  <c r="LFF6" i="20"/>
  <c r="LFF6" i="20" a="1"/>
  <c r="LFE6" i="20" a="1"/>
  <c r="LFE6" i="20" s="1"/>
  <c r="LFD6" i="20"/>
  <c r="LFD6" i="20" a="1"/>
  <c r="LFC6" i="20"/>
  <c r="LFC6" i="20" a="1"/>
  <c r="LFB6" i="20" a="1"/>
  <c r="LFB6" i="20" s="1"/>
  <c r="LFA6" i="20" a="1"/>
  <c r="LFA6" i="20" s="1"/>
  <c r="LEZ6" i="20" a="1"/>
  <c r="LEZ6" i="20" s="1"/>
  <c r="LEY6" i="20"/>
  <c r="LEY6" i="20" a="1"/>
  <c r="LEX6" i="20" a="1"/>
  <c r="LEX6" i="20" s="1"/>
  <c r="LEW6" i="20" a="1"/>
  <c r="LEW6" i="20" s="1"/>
  <c r="LEV6" i="20" a="1"/>
  <c r="LEV6" i="20" s="1"/>
  <c r="LEU6" i="20"/>
  <c r="LEU6" i="20" a="1"/>
  <c r="LET6" i="20" a="1"/>
  <c r="LET6" i="20" s="1"/>
  <c r="LES6" i="20" a="1"/>
  <c r="LES6" i="20" s="1"/>
  <c r="LER6" i="20"/>
  <c r="LER6" i="20" a="1"/>
  <c r="LEQ6" i="20"/>
  <c r="LEQ6" i="20" a="1"/>
  <c r="LEP6" i="20" a="1"/>
  <c r="LEP6" i="20" s="1"/>
  <c r="LEO6" i="20" a="1"/>
  <c r="LEO6" i="20" s="1"/>
  <c r="LEN6" i="20" a="1"/>
  <c r="LEN6" i="20" s="1"/>
  <c r="LEM6" i="20"/>
  <c r="LEM6" i="20" a="1"/>
  <c r="LEL6" i="20"/>
  <c r="LEL6" i="20" a="1"/>
  <c r="LEK6" i="20"/>
  <c r="LEK6" i="20" a="1"/>
  <c r="LEJ6" i="20" a="1"/>
  <c r="LEJ6" i="20" s="1"/>
  <c r="LEI6" i="20" a="1"/>
  <c r="LEI6" i="20" s="1"/>
  <c r="LEH6" i="20" a="1"/>
  <c r="LEH6" i="20" s="1"/>
  <c r="LEG6" i="20" a="1"/>
  <c r="LEG6" i="20" s="1"/>
  <c r="LEF6" i="20"/>
  <c r="LEF6" i="20" a="1"/>
  <c r="LEE6" i="20" a="1"/>
  <c r="LEE6" i="20" s="1"/>
  <c r="LED6" i="20" a="1"/>
  <c r="LED6" i="20" s="1"/>
  <c r="LEC6" i="20" a="1"/>
  <c r="LEC6" i="20" s="1"/>
  <c r="LEB6" i="20" a="1"/>
  <c r="LEB6" i="20" s="1"/>
  <c r="LEA6" i="20" a="1"/>
  <c r="LEA6" i="20" s="1"/>
  <c r="LDZ6" i="20"/>
  <c r="LDZ6" i="20" a="1"/>
  <c r="LDY6" i="20"/>
  <c r="LDY6" i="20" a="1"/>
  <c r="LDX6" i="20" a="1"/>
  <c r="LDX6" i="20" s="1"/>
  <c r="LDW6" i="20" a="1"/>
  <c r="LDW6" i="20" s="1"/>
  <c r="LDV6" i="20" a="1"/>
  <c r="LDV6" i="20" s="1"/>
  <c r="LDU6" i="20" a="1"/>
  <c r="LDU6" i="20" s="1"/>
  <c r="LDT6" i="20"/>
  <c r="LDT6" i="20" a="1"/>
  <c r="LDS6" i="20" a="1"/>
  <c r="LDS6" i="20" s="1"/>
  <c r="LDR6" i="20" a="1"/>
  <c r="LDR6" i="20" s="1"/>
  <c r="LDQ6" i="20" a="1"/>
  <c r="LDQ6" i="20" s="1"/>
  <c r="LDP6" i="20" a="1"/>
  <c r="LDP6" i="20" s="1"/>
  <c r="LDO6" i="20"/>
  <c r="LDO6" i="20" a="1"/>
  <c r="LDN6" i="20"/>
  <c r="LDN6" i="20" a="1"/>
  <c r="LDM6" i="20" a="1"/>
  <c r="LDM6" i="20" s="1"/>
  <c r="LDL6" i="20" a="1"/>
  <c r="LDL6" i="20" s="1"/>
  <c r="LDK6" i="20" a="1"/>
  <c r="LDK6" i="20" s="1"/>
  <c r="LDJ6" i="20" a="1"/>
  <c r="LDJ6" i="20" s="1"/>
  <c r="LDI6" i="20" a="1"/>
  <c r="LDI6" i="20" s="1"/>
  <c r="LDH6" i="20"/>
  <c r="LDH6" i="20" a="1"/>
  <c r="LDG6" i="20" a="1"/>
  <c r="LDG6" i="20" s="1"/>
  <c r="LDF6" i="20" a="1"/>
  <c r="LDF6" i="20" s="1"/>
  <c r="LDE6" i="20" a="1"/>
  <c r="LDE6" i="20" s="1"/>
  <c r="LDD6" i="20" a="1"/>
  <c r="LDD6" i="20" s="1"/>
  <c r="LDC6" i="20"/>
  <c r="LDC6" i="20" a="1"/>
  <c r="LDB6" i="20"/>
  <c r="LDB6" i="20" a="1"/>
  <c r="LDA6" i="20" a="1"/>
  <c r="LDA6" i="20" s="1"/>
  <c r="LCZ6" i="20" a="1"/>
  <c r="LCZ6" i="20" s="1"/>
  <c r="LCY6" i="20" a="1"/>
  <c r="LCY6" i="20" s="1"/>
  <c r="LCX6" i="20" a="1"/>
  <c r="LCX6" i="20" s="1"/>
  <c r="LCW6" i="20" a="1"/>
  <c r="LCW6" i="20" s="1"/>
  <c r="LCV6" i="20"/>
  <c r="LCV6" i="20" a="1"/>
  <c r="LCU6" i="20" a="1"/>
  <c r="LCU6" i="20" s="1"/>
  <c r="LCT6" i="20" a="1"/>
  <c r="LCT6" i="20" s="1"/>
  <c r="LCS6" i="20" a="1"/>
  <c r="LCS6" i="20" s="1"/>
  <c r="LCR6" i="20" a="1"/>
  <c r="LCR6" i="20" s="1"/>
  <c r="LCQ6" i="20"/>
  <c r="LCQ6" i="20" a="1"/>
  <c r="LCP6" i="20"/>
  <c r="LCP6" i="20" a="1"/>
  <c r="LCO6" i="20" a="1"/>
  <c r="LCO6" i="20" s="1"/>
  <c r="LCN6" i="20" a="1"/>
  <c r="LCN6" i="20" s="1"/>
  <c r="LCM6" i="20" a="1"/>
  <c r="LCM6" i="20" s="1"/>
  <c r="LCL6" i="20" a="1"/>
  <c r="LCL6" i="20" s="1"/>
  <c r="LCK6" i="20" a="1"/>
  <c r="LCK6" i="20" s="1"/>
  <c r="LCJ6" i="20"/>
  <c r="LCJ6" i="20" a="1"/>
  <c r="LCI6" i="20" a="1"/>
  <c r="LCI6" i="20" s="1"/>
  <c r="LCH6" i="20" a="1"/>
  <c r="LCH6" i="20" s="1"/>
  <c r="LCG6" i="20" a="1"/>
  <c r="LCG6" i="20" s="1"/>
  <c r="LCF6" i="20" a="1"/>
  <c r="LCF6" i="20" s="1"/>
  <c r="LCE6" i="20"/>
  <c r="LCE6" i="20" a="1"/>
  <c r="LCD6" i="20" a="1"/>
  <c r="LCD6" i="20" s="1"/>
  <c r="LCC6" i="20" a="1"/>
  <c r="LCC6" i="20" s="1"/>
  <c r="LCB6" i="20" a="1"/>
  <c r="LCB6" i="20" s="1"/>
  <c r="LCA6" i="20" a="1"/>
  <c r="LCA6" i="20" s="1"/>
  <c r="LBZ6" i="20" a="1"/>
  <c r="LBZ6" i="20" s="1"/>
  <c r="LBY6" i="20" a="1"/>
  <c r="LBY6" i="20" s="1"/>
  <c r="LBX6" i="20"/>
  <c r="LBX6" i="20" a="1"/>
  <c r="LBW6" i="20" a="1"/>
  <c r="LBW6" i="20" s="1"/>
  <c r="LBV6" i="20" a="1"/>
  <c r="LBV6" i="20" s="1"/>
  <c r="LBU6" i="20" a="1"/>
  <c r="LBU6" i="20" s="1"/>
  <c r="LBT6" i="20" a="1"/>
  <c r="LBT6" i="20" s="1"/>
  <c r="LBS6" i="20"/>
  <c r="LBS6" i="20" a="1"/>
  <c r="LBR6" i="20"/>
  <c r="LBR6" i="20" a="1"/>
  <c r="LBQ6" i="20"/>
  <c r="LBQ6" i="20" a="1"/>
  <c r="LBP6" i="20" a="1"/>
  <c r="LBP6" i="20" s="1"/>
  <c r="LBO6" i="20" a="1"/>
  <c r="LBO6" i="20" s="1"/>
  <c r="LBN6" i="20" a="1"/>
  <c r="LBN6" i="20" s="1"/>
  <c r="LBM6" i="20"/>
  <c r="LBM6" i="20" a="1"/>
  <c r="LBL6" i="20"/>
  <c r="LBL6" i="20" a="1"/>
  <c r="LBK6" i="20" a="1"/>
  <c r="LBK6" i="20" s="1"/>
  <c r="LBJ6" i="20" a="1"/>
  <c r="LBJ6" i="20" s="1"/>
  <c r="LBI6" i="20" a="1"/>
  <c r="LBI6" i="20" s="1"/>
  <c r="LBH6" i="20" a="1"/>
  <c r="LBH6" i="20" s="1"/>
  <c r="LBG6" i="20"/>
  <c r="LBG6" i="20" a="1"/>
  <c r="LBF6" i="20" a="1"/>
  <c r="LBF6" i="20" s="1"/>
  <c r="LBE6" i="20"/>
  <c r="LBE6" i="20" a="1"/>
  <c r="LBD6" i="20" a="1"/>
  <c r="LBD6" i="20" s="1"/>
  <c r="LBC6" i="20" a="1"/>
  <c r="LBC6" i="20" s="1"/>
  <c r="LBB6" i="20" a="1"/>
  <c r="LBB6" i="20" s="1"/>
  <c r="LBA6" i="20" a="1"/>
  <c r="LBA6" i="20" s="1"/>
  <c r="LAZ6" i="20"/>
  <c r="LAZ6" i="20" a="1"/>
  <c r="LAY6" i="20" a="1"/>
  <c r="LAY6" i="20" s="1"/>
  <c r="LAX6" i="20" a="1"/>
  <c r="LAX6" i="20" s="1"/>
  <c r="LAW6" i="20" a="1"/>
  <c r="LAW6" i="20" s="1"/>
  <c r="LAV6" i="20" a="1"/>
  <c r="LAV6" i="20" s="1"/>
  <c r="LAU6" i="20"/>
  <c r="LAU6" i="20" a="1"/>
  <c r="LAT6" i="20"/>
  <c r="LAT6" i="20" a="1"/>
  <c r="LAS6" i="20" a="1"/>
  <c r="LAS6" i="20" s="1"/>
  <c r="LAR6" i="20" a="1"/>
  <c r="LAR6" i="20" s="1"/>
  <c r="LAQ6" i="20" a="1"/>
  <c r="LAQ6" i="20" s="1"/>
  <c r="LAP6" i="20" a="1"/>
  <c r="LAP6" i="20" s="1"/>
  <c r="LAO6" i="20"/>
  <c r="LAO6" i="20" a="1"/>
  <c r="LAN6" i="20"/>
  <c r="LAN6" i="20" a="1"/>
  <c r="LAM6" i="20" a="1"/>
  <c r="LAM6" i="20" s="1"/>
  <c r="LAL6" i="20" a="1"/>
  <c r="LAL6" i="20" s="1"/>
  <c r="LAK6" i="20" a="1"/>
  <c r="LAK6" i="20" s="1"/>
  <c r="LAJ6" i="20" a="1"/>
  <c r="LAJ6" i="20" s="1"/>
  <c r="LAI6" i="20"/>
  <c r="LAI6" i="20" a="1"/>
  <c r="LAH6" i="20"/>
  <c r="LAH6" i="20" a="1"/>
  <c r="LAG6" i="20"/>
  <c r="LAG6" i="20" a="1"/>
  <c r="LAF6" i="20" a="1"/>
  <c r="LAF6" i="20" s="1"/>
  <c r="LAE6" i="20" a="1"/>
  <c r="LAE6" i="20" s="1"/>
  <c r="LAD6" i="20" a="1"/>
  <c r="LAD6" i="20" s="1"/>
  <c r="LAC6" i="20" a="1"/>
  <c r="LAC6" i="20" s="1"/>
  <c r="LAB6" i="20"/>
  <c r="LAB6" i="20" a="1"/>
  <c r="LAA6" i="20" a="1"/>
  <c r="LAA6" i="20" s="1"/>
  <c r="KZZ6" i="20" a="1"/>
  <c r="KZZ6" i="20" s="1"/>
  <c r="KZY6" i="20" a="1"/>
  <c r="KZY6" i="20" s="1"/>
  <c r="KZX6" i="20" a="1"/>
  <c r="KZX6" i="20" s="1"/>
  <c r="KZW6" i="20"/>
  <c r="KZW6" i="20" a="1"/>
  <c r="KZV6" i="20"/>
  <c r="KZV6" i="20" a="1"/>
  <c r="KZU6" i="20" a="1"/>
  <c r="KZU6" i="20" s="1"/>
  <c r="KZT6" i="20" a="1"/>
  <c r="KZT6" i="20" s="1"/>
  <c r="KZS6" i="20" a="1"/>
  <c r="KZS6" i="20" s="1"/>
  <c r="KZR6" i="20" a="1"/>
  <c r="KZR6" i="20" s="1"/>
  <c r="KZQ6" i="20" a="1"/>
  <c r="KZQ6" i="20" s="1"/>
  <c r="KZP6" i="20"/>
  <c r="KZP6" i="20" a="1"/>
  <c r="KZO6" i="20" a="1"/>
  <c r="KZO6" i="20" s="1"/>
  <c r="KZN6" i="20" a="1"/>
  <c r="KZN6" i="20" s="1"/>
  <c r="KZM6" i="20" a="1"/>
  <c r="KZM6" i="20" s="1"/>
  <c r="KZL6" i="20" a="1"/>
  <c r="KZL6" i="20" s="1"/>
  <c r="KZK6" i="20"/>
  <c r="KZK6" i="20" a="1"/>
  <c r="KZJ6" i="20" a="1"/>
  <c r="KZJ6" i="20" s="1"/>
  <c r="KZI6" i="20" a="1"/>
  <c r="KZI6" i="20" s="1"/>
  <c r="KZH6" i="20" a="1"/>
  <c r="KZH6" i="20" s="1"/>
  <c r="KZG6" i="20" a="1"/>
  <c r="KZG6" i="20" s="1"/>
  <c r="KZF6" i="20" a="1"/>
  <c r="KZF6" i="20" s="1"/>
  <c r="KZE6" i="20" a="1"/>
  <c r="KZE6" i="20" s="1"/>
  <c r="KZD6" i="20"/>
  <c r="KZD6" i="20" a="1"/>
  <c r="KZC6" i="20" a="1"/>
  <c r="KZC6" i="20" s="1"/>
  <c r="KZB6" i="20" a="1"/>
  <c r="KZB6" i="20" s="1"/>
  <c r="KZA6" i="20" a="1"/>
  <c r="KZA6" i="20" s="1"/>
  <c r="KYZ6" i="20" a="1"/>
  <c r="KYZ6" i="20" s="1"/>
  <c r="KYY6" i="20"/>
  <c r="KYY6" i="20" a="1"/>
  <c r="KYX6" i="20"/>
  <c r="KYX6" i="20" a="1"/>
  <c r="KYW6" i="20" a="1"/>
  <c r="KYW6" i="20" s="1"/>
  <c r="KYV6" i="20" a="1"/>
  <c r="KYV6" i="20" s="1"/>
  <c r="KYU6" i="20" a="1"/>
  <c r="KYU6" i="20" s="1"/>
  <c r="KYT6" i="20" a="1"/>
  <c r="KYT6" i="20" s="1"/>
  <c r="KYS6" i="20" a="1"/>
  <c r="KYS6" i="20" s="1"/>
  <c r="KYR6" i="20"/>
  <c r="KYR6" i="20" a="1"/>
  <c r="KYQ6" i="20" a="1"/>
  <c r="KYQ6" i="20" s="1"/>
  <c r="KYP6" i="20" a="1"/>
  <c r="KYP6" i="20" s="1"/>
  <c r="KYO6" i="20" a="1"/>
  <c r="KYO6" i="20" s="1"/>
  <c r="KYN6" i="20" a="1"/>
  <c r="KYN6" i="20" s="1"/>
  <c r="KYM6" i="20"/>
  <c r="KYM6" i="20" a="1"/>
  <c r="KYL6" i="20" a="1"/>
  <c r="KYL6" i="20" s="1"/>
  <c r="KYK6" i="20" a="1"/>
  <c r="KYK6" i="20" s="1"/>
  <c r="KYJ6" i="20" a="1"/>
  <c r="KYJ6" i="20" s="1"/>
  <c r="KYI6" i="20" a="1"/>
  <c r="KYI6" i="20" s="1"/>
  <c r="KYH6" i="20" a="1"/>
  <c r="KYH6" i="20" s="1"/>
  <c r="KYG6" i="20" a="1"/>
  <c r="KYG6" i="20" s="1"/>
  <c r="KYF6" i="20"/>
  <c r="KYF6" i="20" a="1"/>
  <c r="KYE6" i="20" a="1"/>
  <c r="KYE6" i="20" s="1"/>
  <c r="KYD6" i="20" a="1"/>
  <c r="KYD6" i="20" s="1"/>
  <c r="KYC6" i="20" a="1"/>
  <c r="KYC6" i="20" s="1"/>
  <c r="KYB6" i="20" a="1"/>
  <c r="KYB6" i="20" s="1"/>
  <c r="KYA6" i="20"/>
  <c r="KYA6" i="20" a="1"/>
  <c r="KXZ6" i="20"/>
  <c r="KXZ6" i="20" a="1"/>
  <c r="KXY6" i="20"/>
  <c r="KXY6" i="20" a="1"/>
  <c r="KXX6" i="20" a="1"/>
  <c r="KXX6" i="20" s="1"/>
  <c r="KXW6" i="20" a="1"/>
  <c r="KXW6" i="20" s="1"/>
  <c r="KXV6" i="20" a="1"/>
  <c r="KXV6" i="20" s="1"/>
  <c r="KXU6" i="20"/>
  <c r="KXU6" i="20" a="1"/>
  <c r="KXT6" i="20"/>
  <c r="KXT6" i="20" a="1"/>
  <c r="KXS6" i="20" a="1"/>
  <c r="KXS6" i="20" s="1"/>
  <c r="KXR6" i="20" a="1"/>
  <c r="KXR6" i="20" s="1"/>
  <c r="KXQ6" i="20" a="1"/>
  <c r="KXQ6" i="20" s="1"/>
  <c r="KXP6" i="20" a="1"/>
  <c r="KXP6" i="20" s="1"/>
  <c r="KXO6" i="20"/>
  <c r="KXO6" i="20" a="1"/>
  <c r="KXN6" i="20" a="1"/>
  <c r="KXN6" i="20" s="1"/>
  <c r="KXM6" i="20"/>
  <c r="KXM6" i="20" a="1"/>
  <c r="KXL6" i="20" a="1"/>
  <c r="KXL6" i="20" s="1"/>
  <c r="KXK6" i="20" a="1"/>
  <c r="KXK6" i="20" s="1"/>
  <c r="KXJ6" i="20" a="1"/>
  <c r="KXJ6" i="20" s="1"/>
  <c r="KXI6" i="20" a="1"/>
  <c r="KXI6" i="20" s="1"/>
  <c r="KXH6" i="20"/>
  <c r="KXH6" i="20" a="1"/>
  <c r="KXG6" i="20" a="1"/>
  <c r="KXG6" i="20" s="1"/>
  <c r="KXF6" i="20" a="1"/>
  <c r="KXF6" i="20" s="1"/>
  <c r="KXE6" i="20" a="1"/>
  <c r="KXE6" i="20" s="1"/>
  <c r="KXD6" i="20" a="1"/>
  <c r="KXD6" i="20" s="1"/>
  <c r="KXC6" i="20"/>
  <c r="KXC6" i="20" a="1"/>
  <c r="KXB6" i="20"/>
  <c r="KXB6" i="20" a="1"/>
  <c r="KXA6" i="20"/>
  <c r="KXA6" i="20" a="1"/>
  <c r="KWZ6" i="20" a="1"/>
  <c r="KWZ6" i="20" s="1"/>
  <c r="KWY6" i="20" a="1"/>
  <c r="KWY6" i="20" s="1"/>
  <c r="KWX6" i="20" a="1"/>
  <c r="KWX6" i="20" s="1"/>
  <c r="KWW6" i="20"/>
  <c r="KWW6" i="20" a="1"/>
  <c r="KWV6" i="20"/>
  <c r="KWV6" i="20" a="1"/>
  <c r="KWU6" i="20" a="1"/>
  <c r="KWU6" i="20" s="1"/>
  <c r="KWT6" i="20" a="1"/>
  <c r="KWT6" i="20" s="1"/>
  <c r="KWS6" i="20" a="1"/>
  <c r="KWS6" i="20" s="1"/>
  <c r="KWR6" i="20" a="1"/>
  <c r="KWR6" i="20" s="1"/>
  <c r="KWQ6" i="20"/>
  <c r="KWQ6" i="20" a="1"/>
  <c r="KWP6" i="20"/>
  <c r="KWP6" i="20" a="1"/>
  <c r="KWO6" i="20"/>
  <c r="KWO6" i="20" a="1"/>
  <c r="KWN6" i="20" a="1"/>
  <c r="KWN6" i="20" s="1"/>
  <c r="KWM6" i="20" a="1"/>
  <c r="KWM6" i="20" s="1"/>
  <c r="KWL6" i="20" a="1"/>
  <c r="KWL6" i="20" s="1"/>
  <c r="KWK6" i="20" a="1"/>
  <c r="KWK6" i="20" s="1"/>
  <c r="KWJ6" i="20"/>
  <c r="KWJ6" i="20" a="1"/>
  <c r="KWI6" i="20" a="1"/>
  <c r="KWI6" i="20" s="1"/>
  <c r="KWH6" i="20" a="1"/>
  <c r="KWH6" i="20" s="1"/>
  <c r="KWG6" i="20" a="1"/>
  <c r="KWG6" i="20" s="1"/>
  <c r="KWF6" i="20" a="1"/>
  <c r="KWF6" i="20" s="1"/>
  <c r="KWE6" i="20"/>
  <c r="KWE6" i="20" a="1"/>
  <c r="KWD6" i="20"/>
  <c r="KWD6" i="20" a="1"/>
  <c r="KWC6" i="20" a="1"/>
  <c r="KWC6" i="20" s="1"/>
  <c r="KWB6" i="20" a="1"/>
  <c r="KWB6" i="20" s="1"/>
  <c r="KWA6" i="20" a="1"/>
  <c r="KWA6" i="20" s="1"/>
  <c r="KVZ6" i="20" a="1"/>
  <c r="KVZ6" i="20" s="1"/>
  <c r="KVY6" i="20" a="1"/>
  <c r="KVY6" i="20" s="1"/>
  <c r="KVX6" i="20"/>
  <c r="KVX6" i="20" a="1"/>
  <c r="KVW6" i="20" a="1"/>
  <c r="KVW6" i="20" s="1"/>
  <c r="KVV6" i="20" a="1"/>
  <c r="KVV6" i="20" s="1"/>
  <c r="KVU6" i="20" a="1"/>
  <c r="KVU6" i="20" s="1"/>
  <c r="KVT6" i="20" a="1"/>
  <c r="KVT6" i="20" s="1"/>
  <c r="KVS6" i="20"/>
  <c r="KVS6" i="20" a="1"/>
  <c r="KVR6" i="20"/>
  <c r="KVR6" i="20" a="1"/>
  <c r="KVQ6" i="20" a="1"/>
  <c r="KVQ6" i="20" s="1"/>
  <c r="KVP6" i="20" a="1"/>
  <c r="KVP6" i="20" s="1"/>
  <c r="KVO6" i="20" a="1"/>
  <c r="KVO6" i="20" s="1"/>
  <c r="KVN6" i="20" a="1"/>
  <c r="KVN6" i="20" s="1"/>
  <c r="KVM6" i="20" a="1"/>
  <c r="KVM6" i="20" s="1"/>
  <c r="KVL6" i="20"/>
  <c r="KVL6" i="20" a="1"/>
  <c r="KVK6" i="20" a="1"/>
  <c r="KVK6" i="20" s="1"/>
  <c r="KVJ6" i="20" a="1"/>
  <c r="KVJ6" i="20" s="1"/>
  <c r="KVI6" i="20" a="1"/>
  <c r="KVI6" i="20" s="1"/>
  <c r="KVH6" i="20" a="1"/>
  <c r="KVH6" i="20" s="1"/>
  <c r="KVG6" i="20"/>
  <c r="KVG6" i="20" a="1"/>
  <c r="KVF6" i="20"/>
  <c r="KVF6" i="20" a="1"/>
  <c r="KVE6" i="20" a="1"/>
  <c r="KVE6" i="20" s="1"/>
  <c r="KVD6" i="20" a="1"/>
  <c r="KVD6" i="20" s="1"/>
  <c r="KVC6" i="20" a="1"/>
  <c r="KVC6" i="20" s="1"/>
  <c r="KVB6" i="20" a="1"/>
  <c r="KVB6" i="20" s="1"/>
  <c r="KVA6" i="20" a="1"/>
  <c r="KVA6" i="20" s="1"/>
  <c r="KUZ6" i="20"/>
  <c r="KUZ6" i="20" a="1"/>
  <c r="KUY6" i="20" a="1"/>
  <c r="KUY6" i="20" s="1"/>
  <c r="KUX6" i="20" a="1"/>
  <c r="KUX6" i="20" s="1"/>
  <c r="KUW6" i="20" a="1"/>
  <c r="KUW6" i="20" s="1"/>
  <c r="KUV6" i="20" a="1"/>
  <c r="KUV6" i="20" s="1"/>
  <c r="KUU6" i="20"/>
  <c r="KUU6" i="20" a="1"/>
  <c r="KUT6" i="20" a="1"/>
  <c r="KUT6" i="20" s="1"/>
  <c r="KUS6" i="20" a="1"/>
  <c r="KUS6" i="20" s="1"/>
  <c r="KUR6" i="20" a="1"/>
  <c r="KUR6" i="20" s="1"/>
  <c r="KUQ6" i="20" a="1"/>
  <c r="KUQ6" i="20" s="1"/>
  <c r="KUP6" i="20" a="1"/>
  <c r="KUP6" i="20" s="1"/>
  <c r="KUO6" i="20" a="1"/>
  <c r="KUO6" i="20" s="1"/>
  <c r="KUN6" i="20"/>
  <c r="KUN6" i="20" a="1"/>
  <c r="KUM6" i="20" a="1"/>
  <c r="KUM6" i="20" s="1"/>
  <c r="KUL6" i="20" a="1"/>
  <c r="KUL6" i="20" s="1"/>
  <c r="KUK6" i="20" a="1"/>
  <c r="KUK6" i="20" s="1"/>
  <c r="KUJ6" i="20" a="1"/>
  <c r="KUJ6" i="20" s="1"/>
  <c r="KUI6" i="20"/>
  <c r="KUI6" i="20" a="1"/>
  <c r="KUH6" i="20"/>
  <c r="KUH6" i="20" a="1"/>
  <c r="KUG6" i="20"/>
  <c r="KUG6" i="20" a="1"/>
  <c r="KUF6" i="20" a="1"/>
  <c r="KUF6" i="20" s="1"/>
  <c r="KUE6" i="20" a="1"/>
  <c r="KUE6" i="20" s="1"/>
  <c r="KUD6" i="20" a="1"/>
  <c r="KUD6" i="20" s="1"/>
  <c r="KUC6" i="20"/>
  <c r="KUC6" i="20" a="1"/>
  <c r="KUB6" i="20"/>
  <c r="KUB6" i="20" a="1"/>
  <c r="KUA6" i="20" a="1"/>
  <c r="KUA6" i="20" s="1"/>
  <c r="KTZ6" i="20" a="1"/>
  <c r="KTZ6" i="20" s="1"/>
  <c r="KTY6" i="20" a="1"/>
  <c r="KTY6" i="20" s="1"/>
  <c r="KTX6" i="20" a="1"/>
  <c r="KTX6" i="20" s="1"/>
  <c r="KTW6" i="20"/>
  <c r="KTW6" i="20" a="1"/>
  <c r="KTV6" i="20" a="1"/>
  <c r="KTV6" i="20" s="1"/>
  <c r="KTU6" i="20"/>
  <c r="KTU6" i="20" a="1"/>
  <c r="KTT6" i="20" a="1"/>
  <c r="KTT6" i="20" s="1"/>
  <c r="KTS6" i="20" a="1"/>
  <c r="KTS6" i="20" s="1"/>
  <c r="KTR6" i="20" a="1"/>
  <c r="KTR6" i="20" s="1"/>
  <c r="KTQ6" i="20" a="1"/>
  <c r="KTQ6" i="20" s="1"/>
  <c r="KTP6" i="20"/>
  <c r="KTP6" i="20" a="1"/>
  <c r="KTO6" i="20" a="1"/>
  <c r="KTO6" i="20" s="1"/>
  <c r="KTN6" i="20" a="1"/>
  <c r="KTN6" i="20" s="1"/>
  <c r="KTM6" i="20" a="1"/>
  <c r="KTM6" i="20" s="1"/>
  <c r="KTL6" i="20" a="1"/>
  <c r="KTL6" i="20" s="1"/>
  <c r="KTK6" i="20"/>
  <c r="KTK6" i="20" a="1"/>
  <c r="KTJ6" i="20"/>
  <c r="KTJ6" i="20" a="1"/>
  <c r="KTI6" i="20"/>
  <c r="KTI6" i="20" a="1"/>
  <c r="KTH6" i="20" a="1"/>
  <c r="KTH6" i="20" s="1"/>
  <c r="KTG6" i="20" a="1"/>
  <c r="KTG6" i="20" s="1"/>
  <c r="KTF6" i="20" a="1"/>
  <c r="KTF6" i="20" s="1"/>
  <c r="KTE6" i="20"/>
  <c r="KTE6" i="20" a="1"/>
  <c r="KTD6" i="20"/>
  <c r="KTD6" i="20" a="1"/>
  <c r="KTC6" i="20" a="1"/>
  <c r="KTC6" i="20" s="1"/>
  <c r="KTB6" i="20" a="1"/>
  <c r="KTB6" i="20" s="1"/>
  <c r="KTA6" i="20" a="1"/>
  <c r="KTA6" i="20" s="1"/>
  <c r="KSZ6" i="20" a="1"/>
  <c r="KSZ6" i="20" s="1"/>
  <c r="KSY6" i="20"/>
  <c r="KSY6" i="20" a="1"/>
  <c r="KSX6" i="20"/>
  <c r="KSX6" i="20" a="1"/>
  <c r="KSW6" i="20"/>
  <c r="KSW6" i="20" a="1"/>
  <c r="KSV6" i="20" a="1"/>
  <c r="KSV6" i="20" s="1"/>
  <c r="KSU6" i="20" a="1"/>
  <c r="KSU6" i="20" s="1"/>
  <c r="KST6" i="20" a="1"/>
  <c r="KST6" i="20" s="1"/>
  <c r="KSS6" i="20" a="1"/>
  <c r="KSS6" i="20" s="1"/>
  <c r="KSR6" i="20"/>
  <c r="KSR6" i="20" a="1"/>
  <c r="KSQ6" i="20" a="1"/>
  <c r="KSQ6" i="20" s="1"/>
  <c r="KSP6" i="20" a="1"/>
  <c r="KSP6" i="20" s="1"/>
  <c r="KSO6" i="20" a="1"/>
  <c r="KSO6" i="20" s="1"/>
  <c r="KSN6" i="20" a="1"/>
  <c r="KSN6" i="20" s="1"/>
  <c r="KSM6" i="20"/>
  <c r="KSM6" i="20" a="1"/>
  <c r="KSL6" i="20"/>
  <c r="KSL6" i="20" a="1"/>
  <c r="KSK6" i="20" a="1"/>
  <c r="KSK6" i="20" s="1"/>
  <c r="KSJ6" i="20" a="1"/>
  <c r="KSJ6" i="20" s="1"/>
  <c r="KSI6" i="20" a="1"/>
  <c r="KSI6" i="20" s="1"/>
  <c r="KSH6" i="20" a="1"/>
  <c r="KSH6" i="20" s="1"/>
  <c r="KSG6" i="20" a="1"/>
  <c r="KSG6" i="20" s="1"/>
  <c r="KSF6" i="20"/>
  <c r="KSF6" i="20" a="1"/>
  <c r="KSE6" i="20" a="1"/>
  <c r="KSE6" i="20" s="1"/>
  <c r="KSD6" i="20" a="1"/>
  <c r="KSD6" i="20" s="1"/>
  <c r="KSC6" i="20" a="1"/>
  <c r="KSC6" i="20" s="1"/>
  <c r="KSB6" i="20" a="1"/>
  <c r="KSB6" i="20" s="1"/>
  <c r="KSA6" i="20"/>
  <c r="KSA6" i="20" a="1"/>
  <c r="KRZ6" i="20"/>
  <c r="KRZ6" i="20" a="1"/>
  <c r="KRY6" i="20" a="1"/>
  <c r="KRY6" i="20" s="1"/>
  <c r="KRX6" i="20" a="1"/>
  <c r="KRX6" i="20" s="1"/>
  <c r="KRW6" i="20" a="1"/>
  <c r="KRW6" i="20" s="1"/>
  <c r="KRV6" i="20" a="1"/>
  <c r="KRV6" i="20" s="1"/>
  <c r="KRU6" i="20"/>
  <c r="KRU6" i="20" a="1"/>
  <c r="KRT6" i="20"/>
  <c r="KRT6" i="20" a="1"/>
  <c r="KRS6" i="20" a="1"/>
  <c r="KRS6" i="20" s="1"/>
  <c r="KRR6" i="20" a="1"/>
  <c r="KRR6" i="20" s="1"/>
  <c r="KRQ6" i="20" a="1"/>
  <c r="KRQ6" i="20" s="1"/>
  <c r="KRP6" i="20" a="1"/>
  <c r="KRP6" i="20" s="1"/>
  <c r="KRO6" i="20"/>
  <c r="KRO6" i="20" a="1"/>
  <c r="KRN6" i="20"/>
  <c r="KRN6" i="20" a="1"/>
  <c r="KRM6" i="20"/>
  <c r="KRM6" i="20" a="1"/>
  <c r="KRL6" i="20" a="1"/>
  <c r="KRL6" i="20" s="1"/>
  <c r="KRK6" i="20" a="1"/>
  <c r="KRK6" i="20" s="1"/>
  <c r="KRJ6" i="20" a="1"/>
  <c r="KRJ6" i="20" s="1"/>
  <c r="KRI6" i="20"/>
  <c r="KRI6" i="20" a="1"/>
  <c r="KRH6" i="20"/>
  <c r="KRH6" i="20" a="1"/>
  <c r="KRG6" i="20" a="1"/>
  <c r="KRG6" i="20" s="1"/>
  <c r="KRF6" i="20" a="1"/>
  <c r="KRF6" i="20" s="1"/>
  <c r="KRE6" i="20" a="1"/>
  <c r="KRE6" i="20" s="1"/>
  <c r="KRD6" i="20" a="1"/>
  <c r="KRD6" i="20" s="1"/>
  <c r="KRC6" i="20"/>
  <c r="KRC6" i="20" a="1"/>
  <c r="KRB6" i="20"/>
  <c r="KRB6" i="20" a="1"/>
  <c r="KRA6" i="20"/>
  <c r="KRA6" i="20" a="1"/>
  <c r="KQZ6" i="20" a="1"/>
  <c r="KQZ6" i="20" s="1"/>
  <c r="KQY6" i="20" a="1"/>
  <c r="KQY6" i="20" s="1"/>
  <c r="KQX6" i="20" a="1"/>
  <c r="KQX6" i="20" s="1"/>
  <c r="KQW6" i="20"/>
  <c r="KQW6" i="20" a="1"/>
  <c r="KQV6" i="20"/>
  <c r="KQV6" i="20" a="1"/>
  <c r="KQU6" i="20" a="1"/>
  <c r="KQU6" i="20" s="1"/>
  <c r="KQT6" i="20" a="1"/>
  <c r="KQT6" i="20" s="1"/>
  <c r="KQS6" i="20" a="1"/>
  <c r="KQS6" i="20" s="1"/>
  <c r="KQR6" i="20" a="1"/>
  <c r="KQR6" i="20" s="1"/>
  <c r="KQQ6" i="20"/>
  <c r="KQQ6" i="20" a="1"/>
  <c r="KQP6" i="20"/>
  <c r="KQP6" i="20" a="1"/>
  <c r="KQO6" i="20"/>
  <c r="KQO6" i="20" a="1"/>
  <c r="KQN6" i="20" a="1"/>
  <c r="KQN6" i="20" s="1"/>
  <c r="KQM6" i="20" a="1"/>
  <c r="KQM6" i="20" s="1"/>
  <c r="KQL6" i="20" a="1"/>
  <c r="KQL6" i="20" s="1"/>
  <c r="KQK6" i="20"/>
  <c r="KQK6" i="20" a="1"/>
  <c r="KQJ6" i="20"/>
  <c r="KQJ6" i="20" a="1"/>
  <c r="KQI6" i="20" a="1"/>
  <c r="KQI6" i="20" s="1"/>
  <c r="KQH6" i="20" a="1"/>
  <c r="KQH6" i="20" s="1"/>
  <c r="KQG6" i="20" a="1"/>
  <c r="KQG6" i="20" s="1"/>
  <c r="KQF6" i="20" a="1"/>
  <c r="KQF6" i="20" s="1"/>
  <c r="KQE6" i="20"/>
  <c r="KQE6" i="20" a="1"/>
  <c r="KQD6" i="20"/>
  <c r="KQD6" i="20" a="1"/>
  <c r="KQC6" i="20"/>
  <c r="KQC6" i="20" a="1"/>
  <c r="KQB6" i="20" a="1"/>
  <c r="KQB6" i="20" s="1"/>
  <c r="KQA6" i="20" a="1"/>
  <c r="KQA6" i="20" s="1"/>
  <c r="KPZ6" i="20" a="1"/>
  <c r="KPZ6" i="20" s="1"/>
  <c r="KPY6" i="20"/>
  <c r="KPY6" i="20" a="1"/>
  <c r="KPX6" i="20"/>
  <c r="KPX6" i="20" a="1"/>
  <c r="KPW6" i="20" a="1"/>
  <c r="KPW6" i="20" s="1"/>
  <c r="KPV6" i="20" a="1"/>
  <c r="KPV6" i="20" s="1"/>
  <c r="KPU6" i="20" a="1"/>
  <c r="KPU6" i="20" s="1"/>
  <c r="KPT6" i="20" a="1"/>
  <c r="KPT6" i="20" s="1"/>
  <c r="KPS6" i="20"/>
  <c r="KPS6" i="20" a="1"/>
  <c r="KPR6" i="20"/>
  <c r="KPR6" i="20" a="1"/>
  <c r="KPQ6" i="20"/>
  <c r="KPQ6" i="20" a="1"/>
  <c r="KPP6" i="20" a="1"/>
  <c r="KPP6" i="20" s="1"/>
  <c r="KPO6" i="20" a="1"/>
  <c r="KPO6" i="20" s="1"/>
  <c r="KPN6" i="20" a="1"/>
  <c r="KPN6" i="20" s="1"/>
  <c r="KPM6" i="20"/>
  <c r="KPM6" i="20" a="1"/>
  <c r="KPL6" i="20"/>
  <c r="KPL6" i="20" a="1"/>
  <c r="KPK6" i="20" a="1"/>
  <c r="KPK6" i="20" s="1"/>
  <c r="KPJ6" i="20" a="1"/>
  <c r="KPJ6" i="20" s="1"/>
  <c r="KPI6" i="20" a="1"/>
  <c r="KPI6" i="20" s="1"/>
  <c r="KPH6" i="20" a="1"/>
  <c r="KPH6" i="20" s="1"/>
  <c r="KPG6" i="20"/>
  <c r="KPG6" i="20" a="1"/>
  <c r="KPF6" i="20" a="1"/>
  <c r="KPF6" i="20" s="1"/>
  <c r="KPE6" i="20"/>
  <c r="KPE6" i="20" a="1"/>
  <c r="KPD6" i="20" a="1"/>
  <c r="KPD6" i="20" s="1"/>
  <c r="KPC6" i="20" a="1"/>
  <c r="KPC6" i="20" s="1"/>
  <c r="KPB6" i="20" a="1"/>
  <c r="KPB6" i="20" s="1"/>
  <c r="KPA6" i="20"/>
  <c r="KPA6" i="20" a="1"/>
  <c r="KOZ6" i="20"/>
  <c r="KOZ6" i="20" a="1"/>
  <c r="KOY6" i="20" a="1"/>
  <c r="KOY6" i="20" s="1"/>
  <c r="KOX6" i="20" a="1"/>
  <c r="KOX6" i="20" s="1"/>
  <c r="KOW6" i="20" a="1"/>
  <c r="KOW6" i="20" s="1"/>
  <c r="KOV6" i="20" a="1"/>
  <c r="KOV6" i="20" s="1"/>
  <c r="KOU6" i="20"/>
  <c r="KOU6" i="20" a="1"/>
  <c r="KOT6" i="20" a="1"/>
  <c r="KOT6" i="20" s="1"/>
  <c r="KOS6" i="20"/>
  <c r="KOS6" i="20" a="1"/>
  <c r="KOR6" i="20" a="1"/>
  <c r="KOR6" i="20" s="1"/>
  <c r="KOQ6" i="20" a="1"/>
  <c r="KOQ6" i="20" s="1"/>
  <c r="KOP6" i="20" a="1"/>
  <c r="KOP6" i="20" s="1"/>
  <c r="KOO6" i="20" a="1"/>
  <c r="KOO6" i="20" s="1"/>
  <c r="KON6" i="20"/>
  <c r="KON6" i="20" a="1"/>
  <c r="KOM6" i="20" a="1"/>
  <c r="KOM6" i="20" s="1"/>
  <c r="KOL6" i="20" a="1"/>
  <c r="KOL6" i="20" s="1"/>
  <c r="KOK6" i="20" a="1"/>
  <c r="KOK6" i="20" s="1"/>
  <c r="KOJ6" i="20" a="1"/>
  <c r="KOJ6" i="20" s="1"/>
  <c r="KOI6" i="20"/>
  <c r="KOI6" i="20" a="1"/>
  <c r="KOH6" i="20"/>
  <c r="KOH6" i="20" a="1"/>
  <c r="KOG6" i="20" a="1"/>
  <c r="KOG6" i="20" s="1"/>
  <c r="KOF6" i="20" a="1"/>
  <c r="KOF6" i="20" s="1"/>
  <c r="KOE6" i="20" a="1"/>
  <c r="KOE6" i="20" s="1"/>
  <c r="KOD6" i="20" a="1"/>
  <c r="KOD6" i="20" s="1"/>
  <c r="KOC6" i="20" a="1"/>
  <c r="KOC6" i="20" s="1"/>
  <c r="KOB6" i="20"/>
  <c r="KOB6" i="20" a="1"/>
  <c r="KOA6" i="20" a="1"/>
  <c r="KOA6" i="20" s="1"/>
  <c r="KNZ6" i="20" a="1"/>
  <c r="KNZ6" i="20" s="1"/>
  <c r="KNY6" i="20" a="1"/>
  <c r="KNY6" i="20" s="1"/>
  <c r="KNX6" i="20" a="1"/>
  <c r="KNX6" i="20" s="1"/>
  <c r="KNW6" i="20"/>
  <c r="KNW6" i="20" a="1"/>
  <c r="KNV6" i="20" a="1"/>
  <c r="KNV6" i="20" s="1"/>
  <c r="KNU6" i="20" a="1"/>
  <c r="KNU6" i="20" s="1"/>
  <c r="KNT6" i="20" a="1"/>
  <c r="KNT6" i="20" s="1"/>
  <c r="KNS6" i="20" a="1"/>
  <c r="KNS6" i="20" s="1"/>
  <c r="KNR6" i="20" a="1"/>
  <c r="KNR6" i="20" s="1"/>
  <c r="KNQ6" i="20" a="1"/>
  <c r="KNQ6" i="20" s="1"/>
  <c r="KNP6" i="20" a="1"/>
  <c r="KNP6" i="20" s="1"/>
  <c r="KNO6" i="20" a="1"/>
  <c r="KNO6" i="20" s="1"/>
  <c r="KNN6" i="20" a="1"/>
  <c r="KNN6" i="20" s="1"/>
  <c r="KNM6" i="20" a="1"/>
  <c r="KNM6" i="20" s="1"/>
  <c r="KNL6" i="20" a="1"/>
  <c r="KNL6" i="20" s="1"/>
  <c r="KNK6" i="20"/>
  <c r="KNK6" i="20" a="1"/>
  <c r="KNJ6" i="20" a="1"/>
  <c r="KNJ6" i="20" s="1"/>
  <c r="KNI6" i="20" a="1"/>
  <c r="KNI6" i="20" s="1"/>
  <c r="KNH6" i="20" a="1"/>
  <c r="KNH6" i="20" s="1"/>
  <c r="KNG6" i="20" a="1"/>
  <c r="KNG6" i="20" s="1"/>
  <c r="KNF6" i="20" a="1"/>
  <c r="KNF6" i="20" s="1"/>
  <c r="KNE6" i="20" a="1"/>
  <c r="KNE6" i="20" s="1"/>
  <c r="KND6" i="20"/>
  <c r="KND6" i="20" a="1"/>
  <c r="KNC6" i="20" a="1"/>
  <c r="KNC6" i="20" s="1"/>
  <c r="KNB6" i="20" a="1"/>
  <c r="KNB6" i="20" s="1"/>
  <c r="KNA6" i="20" a="1"/>
  <c r="KNA6" i="20" s="1"/>
  <c r="KMZ6" i="20" a="1"/>
  <c r="KMZ6" i="20" s="1"/>
  <c r="KMY6" i="20"/>
  <c r="KMY6" i="20" a="1"/>
  <c r="KMX6" i="20"/>
  <c r="KMX6" i="20" a="1"/>
  <c r="KMW6" i="20" a="1"/>
  <c r="KMW6" i="20" s="1"/>
  <c r="KMV6" i="20" a="1"/>
  <c r="KMV6" i="20" s="1"/>
  <c r="KMU6" i="20" a="1"/>
  <c r="KMU6" i="20" s="1"/>
  <c r="KMT6" i="20" a="1"/>
  <c r="KMT6" i="20" s="1"/>
  <c r="KMS6" i="20" a="1"/>
  <c r="KMS6" i="20" s="1"/>
  <c r="KMR6" i="20" a="1"/>
  <c r="KMR6" i="20" s="1"/>
  <c r="KMQ6" i="20" a="1"/>
  <c r="KMQ6" i="20" s="1"/>
  <c r="KMP6" i="20" a="1"/>
  <c r="KMP6" i="20" s="1"/>
  <c r="KMO6" i="20" a="1"/>
  <c r="KMO6" i="20" s="1"/>
  <c r="KMN6" i="20" a="1"/>
  <c r="KMN6" i="20" s="1"/>
  <c r="KMM6" i="20"/>
  <c r="KMM6" i="20" a="1"/>
  <c r="KML6" i="20"/>
  <c r="KML6" i="20" a="1"/>
  <c r="KMK6" i="20" a="1"/>
  <c r="KMK6" i="20" s="1"/>
  <c r="KMJ6" i="20" a="1"/>
  <c r="KMJ6" i="20" s="1"/>
  <c r="KMI6" i="20" a="1"/>
  <c r="KMI6" i="20" s="1"/>
  <c r="KMH6" i="20" a="1"/>
  <c r="KMH6" i="20" s="1"/>
  <c r="KMG6" i="20"/>
  <c r="KMG6" i="20" a="1"/>
  <c r="KMF6" i="20" a="1"/>
  <c r="KMF6" i="20" s="1"/>
  <c r="KME6" i="20" a="1"/>
  <c r="KME6" i="20" s="1"/>
  <c r="KMD6" i="20" a="1"/>
  <c r="KMD6" i="20" s="1"/>
  <c r="KMC6" i="20" a="1"/>
  <c r="KMC6" i="20" s="1"/>
  <c r="KMB6" i="20" a="1"/>
  <c r="KMB6" i="20" s="1"/>
  <c r="KMA6" i="20"/>
  <c r="KMA6" i="20" a="1"/>
  <c r="KLZ6" i="20"/>
  <c r="KLZ6" i="20" a="1"/>
  <c r="KLY6" i="20"/>
  <c r="KLY6" i="20" a="1"/>
  <c r="KLX6" i="20" a="1"/>
  <c r="KLX6" i="20" s="1"/>
  <c r="KLW6" i="20" a="1"/>
  <c r="KLW6" i="20" s="1"/>
  <c r="KLV6" i="20" a="1"/>
  <c r="KLV6" i="20" s="1"/>
  <c r="KLU6" i="20" a="1"/>
  <c r="KLU6" i="20" s="1"/>
  <c r="KLT6" i="20" a="1"/>
  <c r="KLT6" i="20" s="1"/>
  <c r="KLS6" i="20" a="1"/>
  <c r="KLS6" i="20" s="1"/>
  <c r="KLR6" i="20" a="1"/>
  <c r="KLR6" i="20" s="1"/>
  <c r="KLQ6" i="20" a="1"/>
  <c r="KLQ6" i="20" s="1"/>
  <c r="KLP6" i="20" a="1"/>
  <c r="KLP6" i="20" s="1"/>
  <c r="KLO6" i="20"/>
  <c r="KLO6" i="20" a="1"/>
  <c r="KLN6" i="20"/>
  <c r="KLN6" i="20" a="1"/>
  <c r="KLM6" i="20" a="1"/>
  <c r="KLM6" i="20" s="1"/>
  <c r="KLL6" i="20" a="1"/>
  <c r="KLL6" i="20" s="1"/>
  <c r="KLK6" i="20" a="1"/>
  <c r="KLK6" i="20" s="1"/>
  <c r="KLJ6" i="20" a="1"/>
  <c r="KLJ6" i="20" s="1"/>
  <c r="KLI6" i="20"/>
  <c r="KLI6" i="20" a="1"/>
  <c r="KLH6" i="20"/>
  <c r="KLH6" i="20" a="1"/>
  <c r="KLG6" i="20" a="1"/>
  <c r="KLG6" i="20" s="1"/>
  <c r="KLF6" i="20" a="1"/>
  <c r="KLF6" i="20" s="1"/>
  <c r="KLE6" i="20" a="1"/>
  <c r="KLE6" i="20" s="1"/>
  <c r="KLD6" i="20" a="1"/>
  <c r="KLD6" i="20" s="1"/>
  <c r="KLC6" i="20"/>
  <c r="KLC6" i="20" a="1"/>
  <c r="KLB6" i="20"/>
  <c r="KLB6" i="20" a="1"/>
  <c r="KLA6" i="20"/>
  <c r="KLA6" i="20" a="1"/>
  <c r="KKZ6" i="20" a="1"/>
  <c r="KKZ6" i="20" s="1"/>
  <c r="KKY6" i="20" a="1"/>
  <c r="KKY6" i="20" s="1"/>
  <c r="KKX6" i="20" a="1"/>
  <c r="KKX6" i="20" s="1"/>
  <c r="KKW6" i="20"/>
  <c r="KKW6" i="20" a="1"/>
  <c r="KKV6" i="20" a="1"/>
  <c r="KKV6" i="20" s="1"/>
  <c r="KKU6" i="20" a="1"/>
  <c r="KKU6" i="20" s="1"/>
  <c r="KKT6" i="20" a="1"/>
  <c r="KKT6" i="20" s="1"/>
  <c r="KKS6" i="20" a="1"/>
  <c r="KKS6" i="20" s="1"/>
  <c r="KKR6" i="20" a="1"/>
  <c r="KKR6" i="20" s="1"/>
  <c r="KKQ6" i="20"/>
  <c r="KKQ6" i="20" a="1"/>
  <c r="KKP6" i="20"/>
  <c r="KKP6" i="20" a="1"/>
  <c r="KKO6" i="20"/>
  <c r="KKO6" i="20" a="1"/>
  <c r="KKN6" i="20" a="1"/>
  <c r="KKN6" i="20" s="1"/>
  <c r="KKM6" i="20" a="1"/>
  <c r="KKM6" i="20" s="1"/>
  <c r="KKL6" i="20" a="1"/>
  <c r="KKL6" i="20" s="1"/>
  <c r="KKK6" i="20"/>
  <c r="KKK6" i="20" a="1"/>
  <c r="KKJ6" i="20"/>
  <c r="KKJ6" i="20" a="1"/>
  <c r="KKI6" i="20" a="1"/>
  <c r="KKI6" i="20" s="1"/>
  <c r="KKH6" i="20" a="1"/>
  <c r="KKH6" i="20" s="1"/>
  <c r="KKG6" i="20" a="1"/>
  <c r="KKG6" i="20" s="1"/>
  <c r="KKF6" i="20" a="1"/>
  <c r="KKF6" i="20" s="1"/>
  <c r="KKE6" i="20"/>
  <c r="KKE6" i="20" a="1"/>
  <c r="KKD6" i="20"/>
  <c r="KKD6" i="20" a="1"/>
  <c r="KKC6" i="20"/>
  <c r="KKC6" i="20" a="1"/>
  <c r="KKB6" i="20" a="1"/>
  <c r="KKB6" i="20" s="1"/>
  <c r="KKA6" i="20" a="1"/>
  <c r="KKA6" i="20" s="1"/>
  <c r="KJZ6" i="20" a="1"/>
  <c r="KJZ6" i="20" s="1"/>
  <c r="KJY6" i="20"/>
  <c r="KJY6" i="20" a="1"/>
  <c r="KJX6" i="20"/>
  <c r="KJX6" i="20" a="1"/>
  <c r="KJW6" i="20" a="1"/>
  <c r="KJW6" i="20" s="1"/>
  <c r="KJV6" i="20" a="1"/>
  <c r="KJV6" i="20" s="1"/>
  <c r="KJU6" i="20" a="1"/>
  <c r="KJU6" i="20" s="1"/>
  <c r="KJT6" i="20" a="1"/>
  <c r="KJT6" i="20" s="1"/>
  <c r="KJS6" i="20"/>
  <c r="KJS6" i="20" a="1"/>
  <c r="KJR6" i="20" a="1"/>
  <c r="KJR6" i="20" s="1"/>
  <c r="KJQ6" i="20"/>
  <c r="KJQ6" i="20" a="1"/>
  <c r="KJP6" i="20" a="1"/>
  <c r="KJP6" i="20" s="1"/>
  <c r="KJO6" i="20" a="1"/>
  <c r="KJO6" i="20" s="1"/>
  <c r="KJN6" i="20" a="1"/>
  <c r="KJN6" i="20" s="1"/>
  <c r="KJM6" i="20"/>
  <c r="KJM6" i="20" a="1"/>
  <c r="KJL6" i="20"/>
  <c r="KJL6" i="20" a="1"/>
  <c r="KJK6" i="20" a="1"/>
  <c r="KJK6" i="20" s="1"/>
  <c r="KJJ6" i="20" a="1"/>
  <c r="KJJ6" i="20" s="1"/>
  <c r="KJI6" i="20" a="1"/>
  <c r="KJI6" i="20" s="1"/>
  <c r="KJH6" i="20" a="1"/>
  <c r="KJH6" i="20" s="1"/>
  <c r="KJG6" i="20"/>
  <c r="KJG6" i="20" a="1"/>
  <c r="KJF6" i="20" a="1"/>
  <c r="KJF6" i="20" s="1"/>
  <c r="KJE6" i="20"/>
  <c r="KJE6" i="20" a="1"/>
  <c r="KJD6" i="20" a="1"/>
  <c r="KJD6" i="20" s="1"/>
  <c r="KJC6" i="20" a="1"/>
  <c r="KJC6" i="20" s="1"/>
  <c r="KJB6" i="20"/>
  <c r="KJB6" i="20" a="1"/>
  <c r="KJA6" i="20"/>
  <c r="KJA6" i="20" a="1"/>
  <c r="KIZ6" i="20" a="1"/>
  <c r="KIZ6" i="20" s="1"/>
  <c r="KIY6" i="20"/>
  <c r="KIY6" i="20" a="1"/>
  <c r="KIX6" i="20"/>
  <c r="KIX6" i="20" a="1"/>
  <c r="KIW6" i="20" a="1"/>
  <c r="KIW6" i="20" s="1"/>
  <c r="KIV6" i="20"/>
  <c r="KIV6" i="20" a="1"/>
  <c r="KIU6" i="20"/>
  <c r="KIU6" i="20" a="1"/>
  <c r="KIT6" i="20" a="1"/>
  <c r="KIT6" i="20" s="1"/>
  <c r="KIS6" i="20"/>
  <c r="KIS6" i="20" a="1"/>
  <c r="KIR6" i="20"/>
  <c r="KIR6" i="20" a="1"/>
  <c r="KIQ6" i="20" a="1"/>
  <c r="KIQ6" i="20" s="1"/>
  <c r="KIP6" i="20"/>
  <c r="KIP6" i="20" a="1"/>
  <c r="KIO6" i="20"/>
  <c r="KIO6" i="20" a="1"/>
  <c r="KIN6" i="20" a="1"/>
  <c r="KIN6" i="20" s="1"/>
  <c r="KIM6" i="20" a="1"/>
  <c r="KIM6" i="20" s="1"/>
  <c r="KIL6" i="20"/>
  <c r="KIL6" i="20" a="1"/>
  <c r="KIK6" i="20" a="1"/>
  <c r="KIK6" i="20" s="1"/>
  <c r="KIJ6" i="20" a="1"/>
  <c r="KIJ6" i="20" s="1"/>
  <c r="KII6" i="20"/>
  <c r="KII6" i="20" a="1"/>
  <c r="KIH6" i="20" a="1"/>
  <c r="KIH6" i="20" s="1"/>
  <c r="KIG6" i="20" a="1"/>
  <c r="KIG6" i="20" s="1"/>
  <c r="KIF6" i="20" a="1"/>
  <c r="KIF6" i="20" s="1"/>
  <c r="KIE6" i="20" a="1"/>
  <c r="KIE6" i="20" s="1"/>
  <c r="KID6" i="20" a="1"/>
  <c r="KID6" i="20" s="1"/>
  <c r="KIC6" i="20" a="1"/>
  <c r="KIC6" i="20" s="1"/>
  <c r="KIB6" i="20" a="1"/>
  <c r="KIB6" i="20" s="1"/>
  <c r="KIA6" i="20" a="1"/>
  <c r="KIA6" i="20" s="1"/>
  <c r="KHZ6" i="20" a="1"/>
  <c r="KHZ6" i="20" s="1"/>
  <c r="KHY6" i="20" a="1"/>
  <c r="KHY6" i="20" s="1"/>
  <c r="KHX6" i="20"/>
  <c r="KHX6" i="20" a="1"/>
  <c r="KHW6" i="20" a="1"/>
  <c r="KHW6" i="20" s="1"/>
  <c r="KHV6" i="20" a="1"/>
  <c r="KHV6" i="20" s="1"/>
  <c r="KHU6" i="20" a="1"/>
  <c r="KHU6" i="20" s="1"/>
  <c r="KHT6" i="20" a="1"/>
  <c r="KHT6" i="20" s="1"/>
  <c r="KHS6" i="20" a="1"/>
  <c r="KHS6" i="20" s="1"/>
  <c r="KHR6" i="20"/>
  <c r="KHR6" i="20" a="1"/>
  <c r="KHQ6" i="20"/>
  <c r="KHQ6" i="20" a="1"/>
  <c r="KHP6" i="20" a="1"/>
  <c r="KHP6" i="20" s="1"/>
  <c r="KHO6" i="20"/>
  <c r="KHO6" i="20" a="1"/>
  <c r="KHN6" i="20" a="1"/>
  <c r="KHN6" i="20" s="1"/>
  <c r="KHM6" i="20" a="1"/>
  <c r="KHM6" i="20" s="1"/>
  <c r="KHL6" i="20"/>
  <c r="KHL6" i="20" a="1"/>
  <c r="KHK6" i="20"/>
  <c r="KHK6" i="20" a="1"/>
  <c r="KHJ6" i="20" a="1"/>
  <c r="KHJ6" i="20" s="1"/>
  <c r="KHI6" i="20"/>
  <c r="KHI6" i="20" a="1"/>
  <c r="KHH6" i="20"/>
  <c r="KHH6" i="20" a="1"/>
  <c r="KHG6" i="20" a="1"/>
  <c r="KHG6" i="20" s="1"/>
  <c r="KHF6" i="20"/>
  <c r="KHF6" i="20" a="1"/>
  <c r="KHE6" i="20"/>
  <c r="KHE6" i="20" a="1"/>
  <c r="KHD6" i="20" a="1"/>
  <c r="KHD6" i="20" s="1"/>
  <c r="KHC6" i="20" a="1"/>
  <c r="KHC6" i="20" s="1"/>
  <c r="KHB6" i="20"/>
  <c r="KHB6" i="20" a="1"/>
  <c r="KHA6" i="20" a="1"/>
  <c r="KHA6" i="20" s="1"/>
  <c r="KGZ6" i="20" a="1"/>
  <c r="KGZ6" i="20" s="1"/>
  <c r="KGY6" i="20"/>
  <c r="KGY6" i="20" a="1"/>
  <c r="KGX6" i="20" a="1"/>
  <c r="KGX6" i="20" s="1"/>
  <c r="KGW6" i="20" a="1"/>
  <c r="KGW6" i="20" s="1"/>
  <c r="KGV6" i="20" a="1"/>
  <c r="KGV6" i="20" s="1"/>
  <c r="KGU6" i="20" a="1"/>
  <c r="KGU6" i="20" s="1"/>
  <c r="KGT6" i="20" a="1"/>
  <c r="KGT6" i="20" s="1"/>
  <c r="KGS6" i="20" a="1"/>
  <c r="KGS6" i="20" s="1"/>
  <c r="KGR6" i="20" a="1"/>
  <c r="KGR6" i="20" s="1"/>
  <c r="KGQ6" i="20" a="1"/>
  <c r="KGQ6" i="20" s="1"/>
  <c r="KGP6" i="20" a="1"/>
  <c r="KGP6" i="20" s="1"/>
  <c r="KGO6" i="20" a="1"/>
  <c r="KGO6" i="20" s="1"/>
  <c r="KGN6" i="20"/>
  <c r="KGN6" i="20" a="1"/>
  <c r="KGM6" i="20" a="1"/>
  <c r="KGM6" i="20" s="1"/>
  <c r="KGL6" i="20" a="1"/>
  <c r="KGL6" i="20" s="1"/>
  <c r="KGK6" i="20"/>
  <c r="KGK6" i="20" a="1"/>
  <c r="KGJ6" i="20" a="1"/>
  <c r="KGJ6" i="20" s="1"/>
  <c r="KGI6" i="20" a="1"/>
  <c r="KGI6" i="20" s="1"/>
  <c r="KGH6" i="20"/>
  <c r="KGH6" i="20" a="1"/>
  <c r="KGG6" i="20"/>
  <c r="KGG6" i="20" a="1"/>
  <c r="KGF6" i="20" a="1"/>
  <c r="KGF6" i="20" s="1"/>
  <c r="KGE6" i="20"/>
  <c r="KGE6" i="20" a="1"/>
  <c r="KGD6" i="20" a="1"/>
  <c r="KGD6" i="20" s="1"/>
  <c r="KGC6" i="20" a="1"/>
  <c r="KGC6" i="20" s="1"/>
  <c r="KGB6" i="20"/>
  <c r="KGB6" i="20" a="1"/>
  <c r="KGA6" i="20"/>
  <c r="KGA6" i="20" a="1"/>
  <c r="KFZ6" i="20" a="1"/>
  <c r="KFZ6" i="20" s="1"/>
  <c r="KFY6" i="20"/>
  <c r="KFY6" i="20" a="1"/>
  <c r="KFX6" i="20" a="1"/>
  <c r="KFX6" i="20" s="1"/>
  <c r="KFW6" i="20" a="1"/>
  <c r="KFW6" i="20" s="1"/>
  <c r="KFV6" i="20"/>
  <c r="KFV6" i="20" a="1"/>
  <c r="KFU6" i="20"/>
  <c r="KFU6" i="20" a="1"/>
  <c r="KFT6" i="20" a="1"/>
  <c r="KFT6" i="20" s="1"/>
  <c r="KFS6" i="20" a="1"/>
  <c r="KFS6" i="20" s="1"/>
  <c r="KFR6" i="20"/>
  <c r="KFR6" i="20" a="1"/>
  <c r="KFQ6" i="20" a="1"/>
  <c r="KFQ6" i="20" s="1"/>
  <c r="KFP6" i="20" a="1"/>
  <c r="KFP6" i="20" s="1"/>
  <c r="KFO6" i="20"/>
  <c r="KFO6" i="20" a="1"/>
  <c r="KFN6" i="20" a="1"/>
  <c r="KFN6" i="20" s="1"/>
  <c r="KFM6" i="20" a="1"/>
  <c r="KFM6" i="20" s="1"/>
  <c r="KFL6" i="20" a="1"/>
  <c r="KFL6" i="20" s="1"/>
  <c r="KFK6" i="20" a="1"/>
  <c r="KFK6" i="20" s="1"/>
  <c r="KFJ6" i="20" a="1"/>
  <c r="KFJ6" i="20" s="1"/>
  <c r="KFI6" i="20"/>
  <c r="KFI6" i="20" a="1"/>
  <c r="KFH6" i="20" a="1"/>
  <c r="KFH6" i="20" s="1"/>
  <c r="KFG6" i="20" a="1"/>
  <c r="KFG6" i="20" s="1"/>
  <c r="KFF6" i="20" a="1"/>
  <c r="KFF6" i="20" s="1"/>
  <c r="KFE6" i="20" a="1"/>
  <c r="KFE6" i="20" s="1"/>
  <c r="KFD6" i="20"/>
  <c r="KFD6" i="20" a="1"/>
  <c r="KFC6" i="20" a="1"/>
  <c r="KFC6" i="20" s="1"/>
  <c r="KFB6" i="20" a="1"/>
  <c r="KFB6" i="20" s="1"/>
  <c r="KFA6" i="20"/>
  <c r="KFA6" i="20" a="1"/>
  <c r="KEZ6" i="20" a="1"/>
  <c r="KEZ6" i="20" s="1"/>
  <c r="KEY6" i="20" a="1"/>
  <c r="KEY6" i="20" s="1"/>
  <c r="KEX6" i="20"/>
  <c r="KEX6" i="20" a="1"/>
  <c r="KEW6" i="20"/>
  <c r="KEW6" i="20" a="1"/>
  <c r="KEV6" i="20" a="1"/>
  <c r="KEV6" i="20" s="1"/>
  <c r="KEU6" i="20" a="1"/>
  <c r="KEU6" i="20" s="1"/>
  <c r="KET6" i="20"/>
  <c r="KET6" i="20" a="1"/>
  <c r="KES6" i="20" a="1"/>
  <c r="KES6" i="20" s="1"/>
  <c r="KER6" i="20"/>
  <c r="KER6" i="20" a="1"/>
  <c r="KEQ6" i="20" a="1"/>
  <c r="KEQ6" i="20" s="1"/>
  <c r="KEP6" i="20" a="1"/>
  <c r="KEP6" i="20" s="1"/>
  <c r="KEO6" i="20"/>
  <c r="KEO6" i="20" a="1"/>
  <c r="KEN6" i="20"/>
  <c r="KEN6" i="20" a="1"/>
  <c r="KEM6" i="20" a="1"/>
  <c r="KEM6" i="20" s="1"/>
  <c r="KEL6" i="20"/>
  <c r="KEL6" i="20" a="1"/>
  <c r="KEK6" i="20"/>
  <c r="KEK6" i="20" a="1"/>
  <c r="KEJ6" i="20" a="1"/>
  <c r="KEJ6" i="20" s="1"/>
  <c r="KEI6" i="20" a="1"/>
  <c r="KEI6" i="20" s="1"/>
  <c r="KEH6" i="20"/>
  <c r="KEH6" i="20" a="1"/>
  <c r="KEG6" i="20" a="1"/>
  <c r="KEG6" i="20" s="1"/>
  <c r="KEF6" i="20"/>
  <c r="KEF6" i="20" a="1"/>
  <c r="KEE6" i="20"/>
  <c r="KEE6" i="20" a="1"/>
  <c r="KED6" i="20" a="1"/>
  <c r="KED6" i="20" s="1"/>
  <c r="KEC6" i="20" a="1"/>
  <c r="KEC6" i="20" s="1"/>
  <c r="KEB6" i="20" a="1"/>
  <c r="KEB6" i="20" s="1"/>
  <c r="KEA6" i="20" a="1"/>
  <c r="KEA6" i="20" s="1"/>
  <c r="KDZ6" i="20" a="1"/>
  <c r="KDZ6" i="20" s="1"/>
  <c r="KDY6" i="20" a="1"/>
  <c r="KDY6" i="20" s="1"/>
  <c r="KDX6" i="20" a="1"/>
  <c r="KDX6" i="20" s="1"/>
  <c r="KDW6" i="20" a="1"/>
  <c r="KDW6" i="20" s="1"/>
  <c r="KDV6" i="20" a="1"/>
  <c r="KDV6" i="20" s="1"/>
  <c r="KDU6" i="20" a="1"/>
  <c r="KDU6" i="20" s="1"/>
  <c r="KDT6" i="20"/>
  <c r="KDT6" i="20" a="1"/>
  <c r="KDS6" i="20" a="1"/>
  <c r="KDS6" i="20" s="1"/>
  <c r="KDR6" i="20" a="1"/>
  <c r="KDR6" i="20" s="1"/>
  <c r="KDQ6" i="20"/>
  <c r="KDQ6" i="20" a="1"/>
  <c r="KDP6" i="20" a="1"/>
  <c r="KDP6" i="20" s="1"/>
  <c r="KDO6" i="20" a="1"/>
  <c r="KDO6" i="20" s="1"/>
  <c r="KDN6" i="20"/>
  <c r="KDN6" i="20" a="1"/>
  <c r="KDM6" i="20"/>
  <c r="KDM6" i="20" a="1"/>
  <c r="KDL6" i="20" a="1"/>
  <c r="KDL6" i="20" s="1"/>
  <c r="KDK6" i="20"/>
  <c r="KDK6" i="20" a="1"/>
  <c r="KDJ6" i="20"/>
  <c r="KDJ6" i="20" a="1"/>
  <c r="KDI6" i="20" a="1"/>
  <c r="KDI6" i="20" s="1"/>
  <c r="KDH6" i="20"/>
  <c r="KDH6" i="20" a="1"/>
  <c r="KDG6" i="20" a="1"/>
  <c r="KDG6" i="20" s="1"/>
  <c r="KDF6" i="20" a="1"/>
  <c r="KDF6" i="20" s="1"/>
  <c r="KDE6" i="20"/>
  <c r="KDE6" i="20" a="1"/>
  <c r="KDD6" i="20"/>
  <c r="KDD6" i="20" a="1"/>
  <c r="KDC6" i="20" a="1"/>
  <c r="KDC6" i="20" s="1"/>
  <c r="KDB6" i="20"/>
  <c r="KDB6" i="20" a="1"/>
  <c r="KDA6" i="20"/>
  <c r="KDA6" i="20" a="1"/>
  <c r="KCZ6" i="20" a="1"/>
  <c r="KCZ6" i="20" s="1"/>
  <c r="KCY6" i="20" a="1"/>
  <c r="KCY6" i="20" s="1"/>
  <c r="KCX6" i="20"/>
  <c r="KCX6" i="20" a="1"/>
  <c r="KCW6" i="20" a="1"/>
  <c r="KCW6" i="20" s="1"/>
  <c r="KCV6" i="20"/>
  <c r="KCV6" i="20" a="1"/>
  <c r="KCU6" i="20"/>
  <c r="KCU6" i="20" a="1"/>
  <c r="KCT6" i="20" a="1"/>
  <c r="KCT6" i="20" s="1"/>
  <c r="KCS6" i="20" a="1"/>
  <c r="KCS6" i="20" s="1"/>
  <c r="KCR6" i="20" a="1"/>
  <c r="KCR6" i="20" s="1"/>
  <c r="KCQ6" i="20" a="1"/>
  <c r="KCQ6" i="20" s="1"/>
  <c r="KCP6" i="20" a="1"/>
  <c r="KCP6" i="20" s="1"/>
  <c r="KCO6" i="20"/>
  <c r="KCO6" i="20" a="1"/>
  <c r="KCN6" i="20" a="1"/>
  <c r="KCN6" i="20" s="1"/>
  <c r="KCM6" i="20" a="1"/>
  <c r="KCM6" i="20" s="1"/>
  <c r="KCL6" i="20" a="1"/>
  <c r="KCL6" i="20" s="1"/>
  <c r="KCK6" i="20" a="1"/>
  <c r="KCK6" i="20" s="1"/>
  <c r="KCJ6" i="20"/>
  <c r="KCJ6" i="20" a="1"/>
  <c r="KCI6" i="20" a="1"/>
  <c r="KCI6" i="20" s="1"/>
  <c r="KCH6" i="20" a="1"/>
  <c r="KCH6" i="20" s="1"/>
  <c r="KCG6" i="20" a="1"/>
  <c r="KCG6" i="20" s="1"/>
  <c r="KCF6" i="20" a="1"/>
  <c r="KCF6" i="20" s="1"/>
  <c r="KCE6" i="20" a="1"/>
  <c r="KCE6" i="20" s="1"/>
  <c r="KCD6" i="20"/>
  <c r="KCD6" i="20" a="1"/>
  <c r="KCC6" i="20"/>
  <c r="KCC6" i="20" a="1"/>
  <c r="KCB6" i="20" a="1"/>
  <c r="KCB6" i="20" s="1"/>
  <c r="KCA6" i="20"/>
  <c r="KCA6" i="20" a="1"/>
  <c r="KBZ6" i="20" a="1"/>
  <c r="KBZ6" i="20" s="1"/>
  <c r="KBY6" i="20" a="1"/>
  <c r="KBY6" i="20" s="1"/>
  <c r="KBX6" i="20"/>
  <c r="KBX6" i="20" a="1"/>
  <c r="KBW6" i="20" a="1"/>
  <c r="KBW6" i="20" s="1"/>
  <c r="KBV6" i="20" a="1"/>
  <c r="KBV6" i="20" s="1"/>
  <c r="KBU6" i="20"/>
  <c r="KBU6" i="20" a="1"/>
  <c r="KBT6" i="20"/>
  <c r="KBT6" i="20" a="1"/>
  <c r="KBS6" i="20" a="1"/>
  <c r="KBS6" i="20" s="1"/>
  <c r="KBR6" i="20"/>
  <c r="KBR6" i="20" a="1"/>
  <c r="KBQ6" i="20"/>
  <c r="KBQ6" i="20" a="1"/>
  <c r="KBP6" i="20" a="1"/>
  <c r="KBP6" i="20" s="1"/>
  <c r="KBO6" i="20" a="1"/>
  <c r="KBO6" i="20" s="1"/>
  <c r="KBN6" i="20"/>
  <c r="KBN6" i="20" a="1"/>
  <c r="KBM6" i="20" a="1"/>
  <c r="KBM6" i="20" s="1"/>
  <c r="KBL6" i="20"/>
  <c r="KBL6" i="20" a="1"/>
  <c r="KBK6" i="20"/>
  <c r="KBK6" i="20" a="1"/>
  <c r="KBJ6" i="20" a="1"/>
  <c r="KBJ6" i="20" s="1"/>
  <c r="KBI6" i="20" a="1"/>
  <c r="KBI6" i="20" s="1"/>
  <c r="KBH6" i="20" a="1"/>
  <c r="KBH6" i="20" s="1"/>
  <c r="KBG6" i="20" a="1"/>
  <c r="KBG6" i="20" s="1"/>
  <c r="KBF6" i="20" a="1"/>
  <c r="KBF6" i="20" s="1"/>
  <c r="KBE6" i="20"/>
  <c r="KBE6" i="20" a="1"/>
  <c r="KBD6" i="20" a="1"/>
  <c r="KBD6" i="20" s="1"/>
  <c r="KBC6" i="20" a="1"/>
  <c r="KBC6" i="20" s="1"/>
  <c r="KBB6" i="20" a="1"/>
  <c r="KBB6" i="20" s="1"/>
  <c r="KBA6" i="20" a="1"/>
  <c r="KBA6" i="20" s="1"/>
  <c r="KAZ6" i="20" a="1"/>
  <c r="KAZ6" i="20" s="1"/>
  <c r="KAY6" i="20" a="1"/>
  <c r="KAY6" i="20" s="1"/>
  <c r="KAX6" i="20" a="1"/>
  <c r="KAX6" i="20" s="1"/>
  <c r="KAW6" i="20" a="1"/>
  <c r="KAW6" i="20" s="1"/>
  <c r="KAV6" i="20" a="1"/>
  <c r="KAV6" i="20" s="1"/>
  <c r="KAU6" i="20" a="1"/>
  <c r="KAU6" i="20" s="1"/>
  <c r="KAT6" i="20" a="1"/>
  <c r="KAT6" i="20" s="1"/>
  <c r="KAS6" i="20"/>
  <c r="KAS6" i="20" a="1"/>
  <c r="KAR6" i="20" a="1"/>
  <c r="KAR6" i="20" s="1"/>
  <c r="KAQ6" i="20" a="1"/>
  <c r="KAQ6" i="20" s="1"/>
  <c r="KAP6" i="20"/>
  <c r="KAP6" i="20" a="1"/>
  <c r="KAO6" i="20" a="1"/>
  <c r="KAO6" i="20" s="1"/>
  <c r="KAN6" i="20"/>
  <c r="KAN6" i="20" a="1"/>
  <c r="KAM6" i="20" a="1"/>
  <c r="KAM6" i="20" s="1"/>
  <c r="KAL6" i="20" a="1"/>
  <c r="KAL6" i="20" s="1"/>
  <c r="KAK6" i="20"/>
  <c r="KAK6" i="20" a="1"/>
  <c r="KAJ6" i="20" a="1"/>
  <c r="KAJ6" i="20" s="1"/>
  <c r="KAI6" i="20" a="1"/>
  <c r="KAI6" i="20" s="1"/>
  <c r="KAH6" i="20"/>
  <c r="KAH6" i="20" a="1"/>
  <c r="KAG6" i="20"/>
  <c r="KAG6" i="20" a="1"/>
  <c r="KAF6" i="20" a="1"/>
  <c r="KAF6" i="20" s="1"/>
  <c r="KAE6" i="20" a="1"/>
  <c r="KAE6" i="20" s="1"/>
  <c r="KAD6" i="20"/>
  <c r="KAD6" i="20" a="1"/>
  <c r="KAC6" i="20" a="1"/>
  <c r="KAC6" i="20" s="1"/>
  <c r="KAB6" i="20" a="1"/>
  <c r="KAB6" i="20" s="1"/>
  <c r="KAA6" i="20"/>
  <c r="KAA6" i="20" a="1"/>
  <c r="JZZ6" i="20" a="1"/>
  <c r="JZZ6" i="20" s="1"/>
  <c r="JZY6" i="20" a="1"/>
  <c r="JZY6" i="20" s="1"/>
  <c r="JZX6" i="20" a="1"/>
  <c r="JZX6" i="20" s="1"/>
  <c r="JZW6" i="20" a="1"/>
  <c r="JZW6" i="20" s="1"/>
  <c r="JZV6" i="20" a="1"/>
  <c r="JZV6" i="20" s="1"/>
  <c r="JZU6" i="20" a="1"/>
  <c r="JZU6" i="20" s="1"/>
  <c r="JZT6" i="20" a="1"/>
  <c r="JZT6" i="20" s="1"/>
  <c r="JZS6" i="20" a="1"/>
  <c r="JZS6" i="20" s="1"/>
  <c r="JZR6" i="20" a="1"/>
  <c r="JZR6" i="20" s="1"/>
  <c r="JZQ6" i="20" a="1"/>
  <c r="JZQ6" i="20" s="1"/>
  <c r="JZP6" i="20" a="1"/>
  <c r="JZP6" i="20" s="1"/>
  <c r="JZO6" i="20" a="1"/>
  <c r="JZO6" i="20" s="1"/>
  <c r="JZN6" i="20" a="1"/>
  <c r="JZN6" i="20" s="1"/>
  <c r="JZM6" i="20"/>
  <c r="JZM6" i="20" a="1"/>
  <c r="JZL6" i="20" a="1"/>
  <c r="JZL6" i="20" s="1"/>
  <c r="JZK6" i="20" a="1"/>
  <c r="JZK6" i="20" s="1"/>
  <c r="JZJ6" i="20" a="1"/>
  <c r="JZJ6" i="20" s="1"/>
  <c r="JZI6" i="20" a="1"/>
  <c r="JZI6" i="20" s="1"/>
  <c r="JZH6" i="20" a="1"/>
  <c r="JZH6" i="20" s="1"/>
  <c r="JZG6" i="20" a="1"/>
  <c r="JZG6" i="20" s="1"/>
  <c r="JZF6" i="20" a="1"/>
  <c r="JZF6" i="20" s="1"/>
  <c r="JZE6" i="20" a="1"/>
  <c r="JZE6" i="20" s="1"/>
  <c r="JZD6" i="20"/>
  <c r="JZD6" i="20" a="1"/>
  <c r="JZC6" i="20" a="1"/>
  <c r="JZC6" i="20" s="1"/>
  <c r="JZB6" i="20" a="1"/>
  <c r="JZB6" i="20" s="1"/>
  <c r="JZA6" i="20"/>
  <c r="JZA6" i="20" a="1"/>
  <c r="JYZ6" i="20" a="1"/>
  <c r="JYZ6" i="20" s="1"/>
  <c r="JYY6" i="20" a="1"/>
  <c r="JYY6" i="20" s="1"/>
  <c r="JYX6" i="20"/>
  <c r="JYX6" i="20" a="1"/>
  <c r="JYW6" i="20"/>
  <c r="JYW6" i="20" a="1"/>
  <c r="JYV6" i="20" a="1"/>
  <c r="JYV6" i="20" s="1"/>
  <c r="JYU6" i="20" a="1"/>
  <c r="JYU6" i="20" s="1"/>
  <c r="JYT6" i="20"/>
  <c r="JYT6" i="20" a="1"/>
  <c r="JYS6" i="20" a="1"/>
  <c r="JYS6" i="20" s="1"/>
  <c r="JYR6" i="20" a="1"/>
  <c r="JYR6" i="20" s="1"/>
  <c r="JYQ6" i="20"/>
  <c r="JYQ6" i="20" a="1"/>
  <c r="JYP6" i="20" a="1"/>
  <c r="JYP6" i="20" s="1"/>
  <c r="JYO6" i="20" a="1"/>
  <c r="JYO6" i="20" s="1"/>
  <c r="JYN6" i="20" a="1"/>
  <c r="JYN6" i="20" s="1"/>
  <c r="JYM6" i="20" a="1"/>
  <c r="JYM6" i="20" s="1"/>
  <c r="JYL6" i="20" a="1"/>
  <c r="JYL6" i="20" s="1"/>
  <c r="JYK6" i="20"/>
  <c r="JYK6" i="20" a="1"/>
  <c r="JYJ6" i="20" a="1"/>
  <c r="JYJ6" i="20" s="1"/>
  <c r="JYI6" i="20" a="1"/>
  <c r="JYI6" i="20" s="1"/>
  <c r="JYH6" i="20" a="1"/>
  <c r="JYH6" i="20" s="1"/>
  <c r="JYG6" i="20" a="1"/>
  <c r="JYG6" i="20" s="1"/>
  <c r="JYF6" i="20" a="1"/>
  <c r="JYF6" i="20" s="1"/>
  <c r="JYE6" i="20" a="1"/>
  <c r="JYE6" i="20" s="1"/>
  <c r="JYD6" i="20" a="1"/>
  <c r="JYD6" i="20" s="1"/>
  <c r="JYC6" i="20" a="1"/>
  <c r="JYC6" i="20" s="1"/>
  <c r="JYB6" i="20" a="1"/>
  <c r="JYB6" i="20" s="1"/>
  <c r="JYA6" i="20" a="1"/>
  <c r="JYA6" i="20" s="1"/>
  <c r="JXZ6" i="20" a="1"/>
  <c r="JXZ6" i="20" s="1"/>
  <c r="JXY6" i="20" a="1"/>
  <c r="JXY6" i="20" s="1"/>
  <c r="JXX6" i="20" a="1"/>
  <c r="JXX6" i="20" s="1"/>
  <c r="JXW6" i="20" a="1"/>
  <c r="JXW6" i="20" s="1"/>
  <c r="JXV6" i="20"/>
  <c r="JXV6" i="20" a="1"/>
  <c r="JXU6" i="20" a="1"/>
  <c r="JXU6" i="20" s="1"/>
  <c r="JXT6" i="20"/>
  <c r="JXT6" i="20" a="1"/>
  <c r="JXS6" i="20" a="1"/>
  <c r="JXS6" i="20" s="1"/>
  <c r="JXR6" i="20" a="1"/>
  <c r="JXR6" i="20" s="1"/>
  <c r="JXQ6" i="20"/>
  <c r="JXQ6" i="20" a="1"/>
  <c r="JXP6" i="20"/>
  <c r="JXP6" i="20" a="1"/>
  <c r="JXO6" i="20" a="1"/>
  <c r="JXO6" i="20" s="1"/>
  <c r="JXN6" i="20"/>
  <c r="JXN6" i="20" a="1"/>
  <c r="JXM6" i="20"/>
  <c r="JXM6" i="20" a="1"/>
  <c r="JXL6" i="20" a="1"/>
  <c r="JXL6" i="20" s="1"/>
  <c r="JXK6" i="20" a="1"/>
  <c r="JXK6" i="20" s="1"/>
  <c r="JXJ6" i="20"/>
  <c r="JXJ6" i="20" a="1"/>
  <c r="JXI6" i="20" a="1"/>
  <c r="JXI6" i="20" s="1"/>
  <c r="JXH6" i="20"/>
  <c r="JXH6" i="20" a="1"/>
  <c r="JXG6" i="20"/>
  <c r="JXG6" i="20" a="1"/>
  <c r="JXF6" i="20" a="1"/>
  <c r="JXF6" i="20" s="1"/>
  <c r="JXE6" i="20" a="1"/>
  <c r="JXE6" i="20" s="1"/>
  <c r="JXD6" i="20" a="1"/>
  <c r="JXD6" i="20" s="1"/>
  <c r="JXC6" i="20" a="1"/>
  <c r="JXC6" i="20" s="1"/>
  <c r="JXB6" i="20" a="1"/>
  <c r="JXB6" i="20" s="1"/>
  <c r="JXA6" i="20" a="1"/>
  <c r="JXA6" i="20" s="1"/>
  <c r="JWZ6" i="20" a="1"/>
  <c r="JWZ6" i="20" s="1"/>
  <c r="JWY6" i="20" a="1"/>
  <c r="JWY6" i="20" s="1"/>
  <c r="JWX6" i="20" a="1"/>
  <c r="JWX6" i="20" s="1"/>
  <c r="JWW6" i="20" a="1"/>
  <c r="JWW6" i="20" s="1"/>
  <c r="JWV6" i="20" a="1"/>
  <c r="JWV6" i="20" s="1"/>
  <c r="JWU6" i="20" a="1"/>
  <c r="JWU6" i="20" s="1"/>
  <c r="JWT6" i="20" a="1"/>
  <c r="JWT6" i="20" s="1"/>
  <c r="JWS6" i="20"/>
  <c r="JWS6" i="20" a="1"/>
  <c r="JWR6" i="20" a="1"/>
  <c r="JWR6" i="20" s="1"/>
  <c r="JWQ6" i="20" a="1"/>
  <c r="JWQ6" i="20" s="1"/>
  <c r="JWP6" i="20" a="1"/>
  <c r="JWP6" i="20" s="1"/>
  <c r="JWO6" i="20"/>
  <c r="JWO6" i="20" a="1"/>
  <c r="JWN6" i="20" a="1"/>
  <c r="JWN6" i="20" s="1"/>
  <c r="JWM6" i="20" a="1"/>
  <c r="JWM6" i="20" s="1"/>
  <c r="JWL6" i="20" a="1"/>
  <c r="JWL6" i="20" s="1"/>
  <c r="JWK6" i="20" a="1"/>
  <c r="JWK6" i="20" s="1"/>
  <c r="JWJ6" i="20"/>
  <c r="JWJ6" i="20" a="1"/>
  <c r="JWI6" i="20" a="1"/>
  <c r="JWI6" i="20" s="1"/>
  <c r="JWH6" i="20" a="1"/>
  <c r="JWH6" i="20" s="1"/>
  <c r="JWG6" i="20"/>
  <c r="JWG6" i="20" a="1"/>
  <c r="JWF6" i="20"/>
  <c r="JWF6" i="20" a="1"/>
  <c r="JWE6" i="20" a="1"/>
  <c r="JWE6" i="20" s="1"/>
  <c r="JWD6" i="20"/>
  <c r="JWD6" i="20" a="1"/>
  <c r="JWC6" i="20"/>
  <c r="JWC6" i="20" a="1"/>
  <c r="JWB6" i="20" a="1"/>
  <c r="JWB6" i="20" s="1"/>
  <c r="JWA6" i="20" a="1"/>
  <c r="JWA6" i="20" s="1"/>
  <c r="JVZ6" i="20"/>
  <c r="JVZ6" i="20" a="1"/>
  <c r="JVY6" i="20" a="1"/>
  <c r="JVY6" i="20" s="1"/>
  <c r="JVX6" i="20"/>
  <c r="JVX6" i="20" a="1"/>
  <c r="JVW6" i="20"/>
  <c r="JVW6" i="20" a="1"/>
  <c r="JVV6" i="20" a="1"/>
  <c r="JVV6" i="20" s="1"/>
  <c r="JVU6" i="20" a="1"/>
  <c r="JVU6" i="20" s="1"/>
  <c r="JVT6" i="20" a="1"/>
  <c r="JVT6" i="20" s="1"/>
  <c r="JVS6" i="20" a="1"/>
  <c r="JVS6" i="20" s="1"/>
  <c r="JVR6" i="20" a="1"/>
  <c r="JVR6" i="20" s="1"/>
  <c r="JVQ6" i="20" a="1"/>
  <c r="JVQ6" i="20" s="1"/>
  <c r="JVP6" i="20" a="1"/>
  <c r="JVP6" i="20" s="1"/>
  <c r="JVO6" i="20" a="1"/>
  <c r="JVO6" i="20" s="1"/>
  <c r="JVN6" i="20" a="1"/>
  <c r="JVN6" i="20" s="1"/>
  <c r="JVM6" i="20" a="1"/>
  <c r="JVM6" i="20" s="1"/>
  <c r="JVL6" i="20" a="1"/>
  <c r="JVL6" i="20" s="1"/>
  <c r="JVK6" i="20" a="1"/>
  <c r="JVK6" i="20" s="1"/>
  <c r="JVJ6" i="20" a="1"/>
  <c r="JVJ6" i="20" s="1"/>
  <c r="JVI6" i="20" a="1"/>
  <c r="JVI6" i="20" s="1"/>
  <c r="JVH6" i="20" a="1"/>
  <c r="JVH6" i="20" s="1"/>
  <c r="JVG6" i="20" a="1"/>
  <c r="JVG6" i="20" s="1"/>
  <c r="JVF6" i="20" a="1"/>
  <c r="JVF6" i="20" s="1"/>
  <c r="JVE6" i="20"/>
  <c r="JVE6" i="20" a="1"/>
  <c r="JVD6" i="20" a="1"/>
  <c r="JVD6" i="20" s="1"/>
  <c r="JVC6" i="20" a="1"/>
  <c r="JVC6" i="20" s="1"/>
  <c r="JVB6" i="20"/>
  <c r="JVB6" i="20" a="1"/>
  <c r="JVA6" i="20" a="1"/>
  <c r="JVA6" i="20" s="1"/>
  <c r="JUZ6" i="20"/>
  <c r="JUZ6" i="20" a="1"/>
  <c r="JUY6" i="20" a="1"/>
  <c r="JUY6" i="20" s="1"/>
  <c r="JUX6" i="20" a="1"/>
  <c r="JUX6" i="20" s="1"/>
  <c r="JUW6" i="20"/>
  <c r="JUW6" i="20" a="1"/>
  <c r="JUV6" i="20"/>
  <c r="JUV6" i="20" a="1"/>
  <c r="JUU6" i="20" a="1"/>
  <c r="JUU6" i="20" s="1"/>
  <c r="JUT6" i="20"/>
  <c r="JUT6" i="20" a="1"/>
  <c r="JUS6" i="20"/>
  <c r="JUS6" i="20" a="1"/>
  <c r="JUR6" i="20" a="1"/>
  <c r="JUR6" i="20" s="1"/>
  <c r="JUQ6" i="20" a="1"/>
  <c r="JUQ6" i="20" s="1"/>
  <c r="JUP6" i="20"/>
  <c r="JUP6" i="20" a="1"/>
  <c r="JUO6" i="20" a="1"/>
  <c r="JUO6" i="20" s="1"/>
  <c r="JUN6" i="20"/>
  <c r="JUN6" i="20" a="1"/>
  <c r="JUM6" i="20"/>
  <c r="JUM6" i="20" a="1"/>
  <c r="JUL6" i="20" a="1"/>
  <c r="JUL6" i="20" s="1"/>
  <c r="JUK6" i="20" a="1"/>
  <c r="JUK6" i="20" s="1"/>
  <c r="JUJ6" i="20" a="1"/>
  <c r="JUJ6" i="20" s="1"/>
  <c r="JUI6" i="20" a="1"/>
  <c r="JUI6" i="20" s="1"/>
  <c r="JUH6" i="20" a="1"/>
  <c r="JUH6" i="20" s="1"/>
  <c r="JUG6" i="20" a="1"/>
  <c r="JUG6" i="20" s="1"/>
  <c r="JUF6" i="20" a="1"/>
  <c r="JUF6" i="20" s="1"/>
  <c r="JUE6" i="20" a="1"/>
  <c r="JUE6" i="20" s="1"/>
  <c r="JUD6" i="20" a="1"/>
  <c r="JUD6" i="20" s="1"/>
  <c r="JUC6" i="20" a="1"/>
  <c r="JUC6" i="20" s="1"/>
  <c r="JUB6" i="20"/>
  <c r="JUB6" i="20" a="1"/>
  <c r="JUA6" i="20" a="1"/>
  <c r="JUA6" i="20" s="1"/>
  <c r="JTZ6" i="20" a="1"/>
  <c r="JTZ6" i="20" s="1"/>
  <c r="JTY6" i="20" a="1"/>
  <c r="JTY6" i="20" s="1"/>
  <c r="JTX6" i="20" a="1"/>
  <c r="JTX6" i="20" s="1"/>
  <c r="JTW6" i="20" a="1"/>
  <c r="JTW6" i="20" s="1"/>
  <c r="JTV6" i="20" a="1"/>
  <c r="JTV6" i="20" s="1"/>
  <c r="JTU6" i="20"/>
  <c r="JTU6" i="20" a="1"/>
  <c r="JTT6" i="20" a="1"/>
  <c r="JTT6" i="20" s="1"/>
  <c r="JTS6" i="20"/>
  <c r="JTS6" i="20" a="1"/>
  <c r="JTR6" i="20" a="1"/>
  <c r="JTR6" i="20" s="1"/>
  <c r="JTQ6" i="20" a="1"/>
  <c r="JTQ6" i="20" s="1"/>
  <c r="JTP6" i="20"/>
  <c r="JTP6" i="20" a="1"/>
  <c r="JTO6" i="20" a="1"/>
  <c r="JTO6" i="20" s="1"/>
  <c r="JTN6" i="20" a="1"/>
  <c r="JTN6" i="20" s="1"/>
  <c r="JTM6" i="20"/>
  <c r="JTM6" i="20" a="1"/>
  <c r="JTL6" i="20"/>
  <c r="JTL6" i="20" a="1"/>
  <c r="JTK6" i="20" a="1"/>
  <c r="JTK6" i="20" s="1"/>
  <c r="JTJ6" i="20"/>
  <c r="JTJ6" i="20" a="1"/>
  <c r="JTI6" i="20"/>
  <c r="JTI6" i="20" a="1"/>
  <c r="JTH6" i="20" a="1"/>
  <c r="JTH6" i="20" s="1"/>
  <c r="JTG6" i="20" a="1"/>
  <c r="JTG6" i="20" s="1"/>
  <c r="JTF6" i="20"/>
  <c r="JTF6" i="20" a="1"/>
  <c r="JTE6" i="20" a="1"/>
  <c r="JTE6" i="20" s="1"/>
  <c r="JTD6" i="20"/>
  <c r="JTD6" i="20" a="1"/>
  <c r="JTC6" i="20"/>
  <c r="JTC6" i="20" a="1"/>
  <c r="JTB6" i="20" a="1"/>
  <c r="JTB6" i="20" s="1"/>
  <c r="JTA6" i="20" a="1"/>
  <c r="JTA6" i="20" s="1"/>
  <c r="JSZ6" i="20" a="1"/>
  <c r="JSZ6" i="20" s="1"/>
  <c r="JSY6" i="20" a="1"/>
  <c r="JSY6" i="20" s="1"/>
  <c r="JSX6" i="20" a="1"/>
  <c r="JSX6" i="20" s="1"/>
  <c r="JSW6" i="20"/>
  <c r="JSW6" i="20" a="1"/>
  <c r="JSV6" i="20" a="1"/>
  <c r="JSV6" i="20" s="1"/>
  <c r="JSU6" i="20" a="1"/>
  <c r="JSU6" i="20" s="1"/>
  <c r="JST6" i="20" a="1"/>
  <c r="JST6" i="20" s="1"/>
  <c r="JSS6" i="20" a="1"/>
  <c r="JSS6" i="20" s="1"/>
  <c r="JSR6" i="20" a="1"/>
  <c r="JSR6" i="20" s="1"/>
  <c r="JSQ6" i="20" a="1"/>
  <c r="JSQ6" i="20" s="1"/>
  <c r="JSP6" i="20" a="1"/>
  <c r="JSP6" i="20" s="1"/>
  <c r="JSO6" i="20" a="1"/>
  <c r="JSO6" i="20" s="1"/>
  <c r="JSN6" i="20" a="1"/>
  <c r="JSN6" i="20" s="1"/>
  <c r="JSM6" i="20" a="1"/>
  <c r="JSM6" i="20" s="1"/>
  <c r="JSL6" i="20" a="1"/>
  <c r="JSL6" i="20" s="1"/>
  <c r="JSK6" i="20"/>
  <c r="JSK6" i="20" a="1"/>
  <c r="JSJ6" i="20" a="1"/>
  <c r="JSJ6" i="20" s="1"/>
  <c r="JSI6" i="20" a="1"/>
  <c r="JSI6" i="20" s="1"/>
  <c r="JSH6" i="20"/>
  <c r="JSH6" i="20" a="1"/>
  <c r="JSG6" i="20" a="1"/>
  <c r="JSG6" i="20" s="1"/>
  <c r="JSF6" i="20"/>
  <c r="JSF6" i="20" a="1"/>
  <c r="JSE6" i="20" a="1"/>
  <c r="JSE6" i="20" s="1"/>
  <c r="JSD6" i="20" a="1"/>
  <c r="JSD6" i="20" s="1"/>
  <c r="JSC6" i="20"/>
  <c r="JSC6" i="20" a="1"/>
  <c r="JSB6" i="20" a="1"/>
  <c r="JSB6" i="20" s="1"/>
  <c r="JSA6" i="20" a="1"/>
  <c r="JSA6" i="20" s="1"/>
  <c r="JRZ6" i="20"/>
  <c r="JRZ6" i="20" a="1"/>
  <c r="JRY6" i="20"/>
  <c r="JRY6" i="20" a="1"/>
  <c r="JRX6" i="20" a="1"/>
  <c r="JRX6" i="20" s="1"/>
  <c r="JRW6" i="20" a="1"/>
  <c r="JRW6" i="20" s="1"/>
  <c r="JRV6" i="20"/>
  <c r="JRV6" i="20" a="1"/>
  <c r="JRU6" i="20" a="1"/>
  <c r="JRU6" i="20" s="1"/>
  <c r="JRT6" i="20" a="1"/>
  <c r="JRT6" i="20" s="1"/>
  <c r="JRS6" i="20"/>
  <c r="JRS6" i="20" a="1"/>
  <c r="JRR6" i="20" a="1"/>
  <c r="JRR6" i="20" s="1"/>
  <c r="JRQ6" i="20" a="1"/>
  <c r="JRQ6" i="20" s="1"/>
  <c r="JRP6" i="20" a="1"/>
  <c r="JRP6" i="20" s="1"/>
  <c r="JRO6" i="20" a="1"/>
  <c r="JRO6" i="20" s="1"/>
  <c r="JRN6" i="20" a="1"/>
  <c r="JRN6" i="20" s="1"/>
  <c r="JRM6" i="20" a="1"/>
  <c r="JRM6" i="20" s="1"/>
  <c r="JRL6" i="20" a="1"/>
  <c r="JRL6" i="20" s="1"/>
  <c r="JRK6" i="20" a="1"/>
  <c r="JRK6" i="20" s="1"/>
  <c r="JRJ6" i="20" a="1"/>
  <c r="JRJ6" i="20" s="1"/>
  <c r="JRI6" i="20" a="1"/>
  <c r="JRI6" i="20" s="1"/>
  <c r="JRH6" i="20"/>
  <c r="JRH6" i="20" a="1"/>
  <c r="JRG6" i="20" a="1"/>
  <c r="JRG6" i="20" s="1"/>
  <c r="JRF6" i="20" a="1"/>
  <c r="JRF6" i="20" s="1"/>
  <c r="JRE6" i="20" a="1"/>
  <c r="JRE6" i="20" s="1"/>
  <c r="JRD6" i="20" a="1"/>
  <c r="JRD6" i="20" s="1"/>
  <c r="JRC6" i="20" a="1"/>
  <c r="JRC6" i="20" s="1"/>
  <c r="JRB6" i="20" a="1"/>
  <c r="JRB6" i="20" s="1"/>
  <c r="JRA6" i="20" a="1"/>
  <c r="JRA6" i="20" s="1"/>
  <c r="JQZ6" i="20" a="1"/>
  <c r="JQZ6" i="20" s="1"/>
  <c r="JQY6" i="20" a="1"/>
  <c r="JQY6" i="20" s="1"/>
  <c r="JQX6" i="20" a="1"/>
  <c r="JQX6" i="20" s="1"/>
  <c r="JQW6" i="20" a="1"/>
  <c r="JQW6" i="20" s="1"/>
  <c r="JQV6" i="20"/>
  <c r="JQV6" i="20" a="1"/>
  <c r="JQU6" i="20" a="1"/>
  <c r="JQU6" i="20" s="1"/>
  <c r="JQT6" i="20" a="1"/>
  <c r="JQT6" i="20" s="1"/>
  <c r="JQS6" i="20"/>
  <c r="JQS6" i="20" a="1"/>
  <c r="JQR6" i="20" a="1"/>
  <c r="JQR6" i="20" s="1"/>
  <c r="JQQ6" i="20" a="1"/>
  <c r="JQQ6" i="20" s="1"/>
  <c r="JQP6" i="20"/>
  <c r="JQP6" i="20" a="1"/>
  <c r="JQO6" i="20"/>
  <c r="JQO6" i="20" a="1"/>
  <c r="JQN6" i="20" a="1"/>
  <c r="JQN6" i="20" s="1"/>
  <c r="JQM6" i="20" a="1"/>
  <c r="JQM6" i="20" s="1"/>
  <c r="JQL6" i="20"/>
  <c r="JQL6" i="20" a="1"/>
  <c r="JQK6" i="20" a="1"/>
  <c r="JQK6" i="20" s="1"/>
  <c r="JQJ6" i="20" a="1"/>
  <c r="JQJ6" i="20" s="1"/>
  <c r="JQI6" i="20"/>
  <c r="JQI6" i="20" a="1"/>
  <c r="JQH6" i="20" a="1"/>
  <c r="JQH6" i="20" s="1"/>
  <c r="JQG6" i="20" a="1"/>
  <c r="JQG6" i="20" s="1"/>
  <c r="JQF6" i="20" a="1"/>
  <c r="JQF6" i="20" s="1"/>
  <c r="JQE6" i="20" a="1"/>
  <c r="JQE6" i="20" s="1"/>
  <c r="JQD6" i="20" a="1"/>
  <c r="JQD6" i="20" s="1"/>
  <c r="JQC6" i="20"/>
  <c r="JQC6" i="20" a="1"/>
  <c r="JQB6" i="20" a="1"/>
  <c r="JQB6" i="20" s="1"/>
  <c r="JQA6" i="20" a="1"/>
  <c r="JQA6" i="20" s="1"/>
  <c r="JPZ6" i="20" a="1"/>
  <c r="JPZ6" i="20" s="1"/>
  <c r="JPY6" i="20" a="1"/>
  <c r="JPY6" i="20" s="1"/>
  <c r="JPX6" i="20" a="1"/>
  <c r="JPX6" i="20" s="1"/>
  <c r="JPW6" i="20" a="1"/>
  <c r="JPW6" i="20" s="1"/>
  <c r="JPV6" i="20" a="1"/>
  <c r="JPV6" i="20" s="1"/>
  <c r="JPU6" i="20" a="1"/>
  <c r="JPU6" i="20" s="1"/>
  <c r="JPT6" i="20" a="1"/>
  <c r="JPT6" i="20" s="1"/>
  <c r="JPS6" i="20" a="1"/>
  <c r="JPS6" i="20" s="1"/>
  <c r="JPR6" i="20" a="1"/>
  <c r="JPR6" i="20" s="1"/>
  <c r="JPQ6" i="20" a="1"/>
  <c r="JPQ6" i="20" s="1"/>
  <c r="JPP6" i="20" a="1"/>
  <c r="JPP6" i="20" s="1"/>
  <c r="JPO6" i="20" a="1"/>
  <c r="JPO6" i="20" s="1"/>
  <c r="JPN6" i="20" a="1"/>
  <c r="JPN6" i="20" s="1"/>
  <c r="JPM6" i="20" a="1"/>
  <c r="JPM6" i="20" s="1"/>
  <c r="JPL6" i="20"/>
  <c r="JPL6" i="20" a="1"/>
  <c r="JPK6" i="20" a="1"/>
  <c r="JPK6" i="20" s="1"/>
  <c r="JPJ6" i="20" a="1"/>
  <c r="JPJ6" i="20" s="1"/>
  <c r="JPI6" i="20"/>
  <c r="JPI6" i="20" a="1"/>
  <c r="JPH6" i="20"/>
  <c r="JPH6" i="20" a="1"/>
  <c r="JPG6" i="20" a="1"/>
  <c r="JPG6" i="20" s="1"/>
  <c r="JPF6" i="20"/>
  <c r="JPF6" i="20" a="1"/>
  <c r="JPE6" i="20"/>
  <c r="JPE6" i="20" a="1"/>
  <c r="JPD6" i="20" a="1"/>
  <c r="JPD6" i="20" s="1"/>
  <c r="JPC6" i="20" a="1"/>
  <c r="JPC6" i="20" s="1"/>
  <c r="JPB6" i="20"/>
  <c r="JPB6" i="20" a="1"/>
  <c r="JPA6" i="20" a="1"/>
  <c r="JPA6" i="20" s="1"/>
  <c r="JOZ6" i="20"/>
  <c r="JOZ6" i="20" a="1"/>
  <c r="JOY6" i="20"/>
  <c r="JOY6" i="20" a="1"/>
  <c r="JOX6" i="20" a="1"/>
  <c r="JOX6" i="20" s="1"/>
  <c r="JOW6" i="20" a="1"/>
  <c r="JOW6" i="20" s="1"/>
  <c r="JOV6" i="20" a="1"/>
  <c r="JOV6" i="20" s="1"/>
  <c r="JOU6" i="20" a="1"/>
  <c r="JOU6" i="20" s="1"/>
  <c r="JOT6" i="20" a="1"/>
  <c r="JOT6" i="20" s="1"/>
  <c r="JOS6" i="20" a="1"/>
  <c r="JOS6" i="20" s="1"/>
  <c r="JOR6" i="20" a="1"/>
  <c r="JOR6" i="20" s="1"/>
  <c r="JOQ6" i="20" a="1"/>
  <c r="JOQ6" i="20" s="1"/>
  <c r="JOP6" i="20" a="1"/>
  <c r="JOP6" i="20" s="1"/>
  <c r="JOO6" i="20" a="1"/>
  <c r="JOO6" i="20" s="1"/>
  <c r="JON6" i="20" a="1"/>
  <c r="JON6" i="20" s="1"/>
  <c r="JOM6" i="20" a="1"/>
  <c r="JOM6" i="20" s="1"/>
  <c r="JOL6" i="20" a="1"/>
  <c r="JOL6" i="20" s="1"/>
  <c r="JOK6" i="20"/>
  <c r="JOK6" i="20" a="1"/>
  <c r="JOJ6" i="20" a="1"/>
  <c r="JOJ6" i="20" s="1"/>
  <c r="JOI6" i="20" a="1"/>
  <c r="JOI6" i="20" s="1"/>
  <c r="JOH6" i="20" a="1"/>
  <c r="JOH6" i="20" s="1"/>
  <c r="JOG6" i="20"/>
  <c r="JOG6" i="20" a="1"/>
  <c r="JOF6" i="20" a="1"/>
  <c r="JOF6" i="20" s="1"/>
  <c r="JOE6" i="20" a="1"/>
  <c r="JOE6" i="20" s="1"/>
  <c r="JOD6" i="20" a="1"/>
  <c r="JOD6" i="20" s="1"/>
  <c r="JOC6" i="20" a="1"/>
  <c r="JOC6" i="20" s="1"/>
  <c r="JOB6" i="20"/>
  <c r="JOB6" i="20" a="1"/>
  <c r="JOA6" i="20" a="1"/>
  <c r="JOA6" i="20" s="1"/>
  <c r="JNZ6" i="20" a="1"/>
  <c r="JNZ6" i="20" s="1"/>
  <c r="JNY6" i="20"/>
  <c r="JNY6" i="20" a="1"/>
  <c r="JNX6" i="20"/>
  <c r="JNX6" i="20" a="1"/>
  <c r="JNW6" i="20" a="1"/>
  <c r="JNW6" i="20" s="1"/>
  <c r="JNV6" i="20"/>
  <c r="JNV6" i="20" a="1"/>
  <c r="JNU6" i="20"/>
  <c r="JNU6" i="20" a="1"/>
  <c r="JNT6" i="20" a="1"/>
  <c r="JNT6" i="20" s="1"/>
  <c r="JNS6" i="20" a="1"/>
  <c r="JNS6" i="20" s="1"/>
  <c r="JNR6" i="20"/>
  <c r="JNR6" i="20" a="1"/>
  <c r="JNQ6" i="20" a="1"/>
  <c r="JNQ6" i="20" s="1"/>
  <c r="JNP6" i="20" a="1"/>
  <c r="JNP6" i="20" s="1"/>
  <c r="JNO6" i="20"/>
  <c r="JNO6" i="20" a="1"/>
  <c r="JNN6" i="20" a="1"/>
  <c r="JNN6" i="20" s="1"/>
  <c r="JNM6" i="20" a="1"/>
  <c r="JNM6" i="20" s="1"/>
  <c r="JNL6" i="20" a="1"/>
  <c r="JNL6" i="20" s="1"/>
  <c r="JNK6" i="20" a="1"/>
  <c r="JNK6" i="20" s="1"/>
  <c r="JNJ6" i="20" a="1"/>
  <c r="JNJ6" i="20" s="1"/>
  <c r="JNI6" i="20" a="1"/>
  <c r="JNI6" i="20" s="1"/>
  <c r="JNH6" i="20" a="1"/>
  <c r="JNH6" i="20" s="1"/>
  <c r="JNG6" i="20" a="1"/>
  <c r="JNG6" i="20" s="1"/>
  <c r="JNF6" i="20" a="1"/>
  <c r="JNF6" i="20" s="1"/>
  <c r="JNE6" i="20" a="1"/>
  <c r="JNE6" i="20" s="1"/>
  <c r="JND6" i="20"/>
  <c r="JND6" i="20" a="1"/>
  <c r="JNC6" i="20" a="1"/>
  <c r="JNC6" i="20" s="1"/>
  <c r="JNB6" i="20" a="1"/>
  <c r="JNB6" i="20" s="1"/>
  <c r="JNA6" i="20"/>
  <c r="JNA6" i="20" a="1"/>
  <c r="JMZ6" i="20" a="1"/>
  <c r="JMZ6" i="20" s="1"/>
  <c r="JMY6" i="20" a="1"/>
  <c r="JMY6" i="20" s="1"/>
  <c r="JMX6" i="20" a="1"/>
  <c r="JMX6" i="20" s="1"/>
  <c r="JMW6" i="20"/>
  <c r="JMW6" i="20" a="1"/>
  <c r="JMV6" i="20" a="1"/>
  <c r="JMV6" i="20" s="1"/>
  <c r="JMU6" i="20"/>
  <c r="JMU6" i="20" a="1"/>
  <c r="JMT6" i="20" a="1"/>
  <c r="JMT6" i="20" s="1"/>
  <c r="JMS6" i="20" a="1"/>
  <c r="JMS6" i="20" s="1"/>
  <c r="JMR6" i="20"/>
  <c r="JMR6" i="20" a="1"/>
  <c r="JMQ6" i="20" a="1"/>
  <c r="JMQ6" i="20" s="1"/>
  <c r="JMP6" i="20" a="1"/>
  <c r="JMP6" i="20" s="1"/>
  <c r="JMO6" i="20"/>
  <c r="JMO6" i="20" a="1"/>
  <c r="JMN6" i="20"/>
  <c r="JMN6" i="20" a="1"/>
  <c r="JMM6" i="20" a="1"/>
  <c r="JMM6" i="20" s="1"/>
  <c r="JML6" i="20"/>
  <c r="JML6" i="20" a="1"/>
  <c r="JMK6" i="20"/>
  <c r="JMK6" i="20" a="1"/>
  <c r="JMJ6" i="20" a="1"/>
  <c r="JMJ6" i="20" s="1"/>
  <c r="JMI6" i="20"/>
  <c r="JMI6" i="20" a="1"/>
  <c r="JMH6" i="20"/>
  <c r="JMH6" i="20" a="1"/>
  <c r="JMG6" i="20" a="1"/>
  <c r="JMG6" i="20" s="1"/>
  <c r="JMF6" i="20"/>
  <c r="JMF6" i="20" a="1"/>
  <c r="JME6" i="20"/>
  <c r="JME6" i="20" a="1"/>
  <c r="JMD6" i="20" a="1"/>
  <c r="JMD6" i="20" s="1"/>
  <c r="JMC6" i="20" a="1"/>
  <c r="JMC6" i="20" s="1"/>
  <c r="JMB6" i="20" a="1"/>
  <c r="JMB6" i="20" s="1"/>
  <c r="JMA6" i="20" a="1"/>
  <c r="JMA6" i="20" s="1"/>
  <c r="JLZ6" i="20" a="1"/>
  <c r="JLZ6" i="20" s="1"/>
  <c r="JLY6" i="20" a="1"/>
  <c r="JLY6" i="20" s="1"/>
  <c r="JLX6" i="20" a="1"/>
  <c r="JLX6" i="20" s="1"/>
  <c r="JLW6" i="20" a="1"/>
  <c r="JLW6" i="20" s="1"/>
  <c r="JLV6" i="20" a="1"/>
  <c r="JLV6" i="20" s="1"/>
  <c r="JLU6" i="20" a="1"/>
  <c r="JLU6" i="20" s="1"/>
  <c r="JLT6" i="20"/>
  <c r="JLT6" i="20" a="1"/>
  <c r="JLS6" i="20" a="1"/>
  <c r="JLS6" i="20" s="1"/>
  <c r="JLR6" i="20" a="1"/>
  <c r="JLR6" i="20" s="1"/>
  <c r="JLQ6" i="20" a="1"/>
  <c r="JLQ6" i="20" s="1"/>
  <c r="JLP6" i="20" a="1"/>
  <c r="JLP6" i="20" s="1"/>
  <c r="JLO6" i="20" a="1"/>
  <c r="JLO6" i="20" s="1"/>
  <c r="JLN6" i="20"/>
  <c r="JLN6" i="20" a="1"/>
  <c r="JLM6" i="20" a="1"/>
  <c r="JLM6" i="20" s="1"/>
  <c r="JLL6" i="20" a="1"/>
  <c r="JLL6" i="20" s="1"/>
  <c r="JLK6" i="20"/>
  <c r="JLK6" i="20" a="1"/>
  <c r="JLJ6" i="20"/>
  <c r="JLJ6" i="20" a="1"/>
  <c r="JLI6" i="20" a="1"/>
  <c r="JLI6" i="20" s="1"/>
  <c r="JLH6" i="20"/>
  <c r="JLH6" i="20" a="1"/>
  <c r="JLG6" i="20"/>
  <c r="JLG6" i="20" a="1"/>
  <c r="JLF6" i="20" a="1"/>
  <c r="JLF6" i="20" s="1"/>
  <c r="JLE6" i="20"/>
  <c r="JLE6" i="20" a="1"/>
  <c r="JLD6" i="20"/>
  <c r="JLD6" i="20" a="1"/>
  <c r="JLC6" i="20" a="1"/>
  <c r="JLC6" i="20" s="1"/>
  <c r="JLB6" i="20"/>
  <c r="JLB6" i="20" a="1"/>
  <c r="JLA6" i="20"/>
  <c r="JLA6" i="20" a="1"/>
  <c r="JKZ6" i="20" a="1"/>
  <c r="JKZ6" i="20" s="1"/>
  <c r="JKY6" i="20" a="1"/>
  <c r="JKY6" i="20" s="1"/>
  <c r="JKX6" i="20"/>
  <c r="JKX6" i="20" a="1"/>
  <c r="JKW6" i="20" a="1"/>
  <c r="JKW6" i="20" s="1"/>
  <c r="JKV6" i="20" a="1"/>
  <c r="JKV6" i="20" s="1"/>
  <c r="JKU6" i="20"/>
  <c r="JKU6" i="20" a="1"/>
  <c r="JKT6" i="20" a="1"/>
  <c r="JKT6" i="20" s="1"/>
  <c r="JKS6" i="20" a="1"/>
  <c r="JKS6" i="20" s="1"/>
  <c r="JKR6" i="20"/>
  <c r="JKR6" i="20" a="1"/>
  <c r="JKQ6" i="20" a="1"/>
  <c r="JKQ6" i="20" s="1"/>
  <c r="JKP6" i="20" a="1"/>
  <c r="JKP6" i="20" s="1"/>
  <c r="JKO6" i="20" a="1"/>
  <c r="JKO6" i="20" s="1"/>
  <c r="JKN6" i="20" a="1"/>
  <c r="JKN6" i="20" s="1"/>
  <c r="JKM6" i="20" a="1"/>
  <c r="JKM6" i="20" s="1"/>
  <c r="JKL6" i="20" a="1"/>
  <c r="JKL6" i="20" s="1"/>
  <c r="JKK6" i="20" a="1"/>
  <c r="JKK6" i="20" s="1"/>
  <c r="JKJ6" i="20" a="1"/>
  <c r="JKJ6" i="20" s="1"/>
  <c r="JKI6" i="20" a="1"/>
  <c r="JKI6" i="20" s="1"/>
  <c r="JKH6" i="20" a="1"/>
  <c r="JKH6" i="20" s="1"/>
  <c r="JKG6" i="20" a="1"/>
  <c r="JKG6" i="20" s="1"/>
  <c r="JKF6" i="20" a="1"/>
  <c r="JKF6" i="20" s="1"/>
  <c r="JKE6" i="20" a="1"/>
  <c r="JKE6" i="20" s="1"/>
  <c r="JKD6" i="20" a="1"/>
  <c r="JKD6" i="20" s="1"/>
  <c r="JKC6" i="20" a="1"/>
  <c r="JKC6" i="20" s="1"/>
  <c r="JKB6" i="20" a="1"/>
  <c r="JKB6" i="20" s="1"/>
  <c r="JKA6" i="20"/>
  <c r="JKA6" i="20" a="1"/>
  <c r="JJZ6" i="20" a="1"/>
  <c r="JJZ6" i="20" s="1"/>
  <c r="JJY6" i="20" a="1"/>
  <c r="JJY6" i="20" s="1"/>
  <c r="JJX6" i="20"/>
  <c r="JJX6" i="20" a="1"/>
  <c r="JJW6" i="20" a="1"/>
  <c r="JJW6" i="20" s="1"/>
  <c r="JJV6" i="20" a="1"/>
  <c r="JJV6" i="20" s="1"/>
  <c r="JJU6" i="20"/>
  <c r="JJU6" i="20" a="1"/>
  <c r="JJT6" i="20"/>
  <c r="JJT6" i="20" a="1"/>
  <c r="JJS6" i="20" a="1"/>
  <c r="JJS6" i="20" s="1"/>
  <c r="JJR6" i="20" a="1"/>
  <c r="JJR6" i="20" s="1"/>
  <c r="JJQ6" i="20"/>
  <c r="JJQ6" i="20" a="1"/>
  <c r="JJP6" i="20" a="1"/>
  <c r="JJP6" i="20" s="1"/>
  <c r="JJO6" i="20"/>
  <c r="JJO6" i="20" a="1"/>
  <c r="JJN6" i="20"/>
  <c r="JJN6" i="20" a="1"/>
  <c r="JJM6" i="20" a="1"/>
  <c r="JJM6" i="20" s="1"/>
  <c r="JJL6" i="20"/>
  <c r="JJL6" i="20" a="1"/>
  <c r="JJK6" i="20" a="1"/>
  <c r="JJK6" i="20" s="1"/>
  <c r="JJJ6" i="20" a="1"/>
  <c r="JJJ6" i="20" s="1"/>
  <c r="JJI6" i="20" a="1"/>
  <c r="JJI6" i="20" s="1"/>
  <c r="JJH6" i="20" a="1"/>
  <c r="JJH6" i="20" s="1"/>
  <c r="JJG6" i="20" a="1"/>
  <c r="JJG6" i="20" s="1"/>
  <c r="JJF6" i="20" a="1"/>
  <c r="JJF6" i="20" s="1"/>
  <c r="JJE6" i="20" a="1"/>
  <c r="JJE6" i="20" s="1"/>
  <c r="JJD6" i="20" a="1"/>
  <c r="JJD6" i="20" s="1"/>
  <c r="JJC6" i="20" a="1"/>
  <c r="JJC6" i="20" s="1"/>
  <c r="JJB6" i="20" a="1"/>
  <c r="JJB6" i="20" s="1"/>
  <c r="JJA6" i="20" a="1"/>
  <c r="JJA6" i="20" s="1"/>
  <c r="JIZ6" i="20"/>
  <c r="JIZ6" i="20" a="1"/>
  <c r="JIY6" i="20" a="1"/>
  <c r="JIY6" i="20" s="1"/>
  <c r="JIX6" i="20" a="1"/>
  <c r="JIX6" i="20" s="1"/>
  <c r="JIW6" i="20"/>
  <c r="JIW6" i="20" a="1"/>
  <c r="JIV6" i="20"/>
  <c r="JIV6" i="20" a="1"/>
  <c r="JIU6" i="20" a="1"/>
  <c r="JIU6" i="20" s="1"/>
  <c r="JIT6" i="20" a="1"/>
  <c r="JIT6" i="20" s="1"/>
  <c r="JIS6" i="20" a="1"/>
  <c r="JIS6" i="20" s="1"/>
  <c r="JIR6" i="20" a="1"/>
  <c r="JIR6" i="20" s="1"/>
  <c r="JIQ6" i="20"/>
  <c r="JIQ6" i="20" a="1"/>
  <c r="JIP6" i="20"/>
  <c r="JIP6" i="20" a="1"/>
  <c r="JIO6" i="20" a="1"/>
  <c r="JIO6" i="20" s="1"/>
  <c r="JIN6" i="20"/>
  <c r="JIN6" i="20" a="1"/>
  <c r="JIM6" i="20" a="1"/>
  <c r="JIM6" i="20" s="1"/>
  <c r="JIL6" i="20" a="1"/>
  <c r="JIL6" i="20" s="1"/>
  <c r="JIK6" i="20"/>
  <c r="JIK6" i="20" a="1"/>
  <c r="JIJ6" i="20"/>
  <c r="JIJ6" i="20" a="1"/>
  <c r="JII6" i="20" a="1"/>
  <c r="JII6" i="20" s="1"/>
  <c r="JIH6" i="20" a="1"/>
  <c r="JIH6" i="20" s="1"/>
  <c r="JIG6" i="20"/>
  <c r="JIG6" i="20" a="1"/>
  <c r="JIF6" i="20" a="1"/>
  <c r="JIF6" i="20" s="1"/>
  <c r="JIE6" i="20" a="1"/>
  <c r="JIE6" i="20" s="1"/>
  <c r="JID6" i="20"/>
  <c r="JID6" i="20" a="1"/>
  <c r="JIC6" i="20" a="1"/>
  <c r="JIC6" i="20" s="1"/>
  <c r="JIB6" i="20" a="1"/>
  <c r="JIB6" i="20" s="1"/>
  <c r="JIA6" i="20" a="1"/>
  <c r="JIA6" i="20" s="1"/>
  <c r="JHZ6" i="20" a="1"/>
  <c r="JHZ6" i="20" s="1"/>
  <c r="JHY6" i="20" a="1"/>
  <c r="JHY6" i="20" s="1"/>
  <c r="JHX6" i="20" a="1"/>
  <c r="JHX6" i="20" s="1"/>
  <c r="JHW6" i="20" a="1"/>
  <c r="JHW6" i="20" s="1"/>
  <c r="JHV6" i="20" a="1"/>
  <c r="JHV6" i="20" s="1"/>
  <c r="JHU6" i="20" a="1"/>
  <c r="JHU6" i="20" s="1"/>
  <c r="JHT6" i="20" a="1"/>
  <c r="JHT6" i="20" s="1"/>
  <c r="JHS6" i="20"/>
  <c r="JHS6" i="20" a="1"/>
  <c r="JHR6" i="20" a="1"/>
  <c r="JHR6" i="20" s="1"/>
  <c r="JHQ6" i="20" a="1"/>
  <c r="JHQ6" i="20" s="1"/>
  <c r="JHP6" i="20" a="1"/>
  <c r="JHP6" i="20" s="1"/>
  <c r="JHO6" i="20" a="1"/>
  <c r="JHO6" i="20" s="1"/>
  <c r="JHN6" i="20" a="1"/>
  <c r="JHN6" i="20" s="1"/>
  <c r="JHM6" i="20"/>
  <c r="JHM6" i="20" a="1"/>
  <c r="JHL6" i="20"/>
  <c r="JHL6" i="20" a="1"/>
  <c r="JHK6" i="20" a="1"/>
  <c r="JHK6" i="20" s="1"/>
  <c r="JHJ6" i="20" a="1"/>
  <c r="JHJ6" i="20" s="1"/>
  <c r="JHI6" i="20"/>
  <c r="JHI6" i="20" a="1"/>
  <c r="JHH6" i="20" a="1"/>
  <c r="JHH6" i="20" s="1"/>
  <c r="JHG6" i="20" a="1"/>
  <c r="JHG6" i="20" s="1"/>
  <c r="JHF6" i="20"/>
  <c r="JHF6" i="20" a="1"/>
  <c r="JHE6" i="20" a="1"/>
  <c r="JHE6" i="20" s="1"/>
  <c r="JHD6" i="20"/>
  <c r="JHD6" i="20" a="1"/>
  <c r="JHC6" i="20" a="1"/>
  <c r="JHC6" i="20" s="1"/>
  <c r="JHB6" i="20" a="1"/>
  <c r="JHB6" i="20" s="1"/>
  <c r="JHA6" i="20"/>
  <c r="JHA6" i="20" a="1"/>
  <c r="JGZ6" i="20" a="1"/>
  <c r="JGZ6" i="20" s="1"/>
  <c r="JGY6" i="20" a="1"/>
  <c r="JGY6" i="20" s="1"/>
  <c r="JGX6" i="20" a="1"/>
  <c r="JGX6" i="20" s="1"/>
  <c r="JGW6" i="20"/>
  <c r="JGW6" i="20" a="1"/>
  <c r="JGV6" i="20" a="1"/>
  <c r="JGV6" i="20" s="1"/>
  <c r="JGU6" i="20"/>
  <c r="JGU6" i="20" a="1"/>
  <c r="JGT6" i="20"/>
  <c r="JGT6" i="20" a="1"/>
  <c r="JGS6" i="20" a="1"/>
  <c r="JGS6" i="20" s="1"/>
  <c r="JGR6" i="20" a="1"/>
  <c r="JGR6" i="20" s="1"/>
  <c r="JGQ6" i="20" a="1"/>
  <c r="JGQ6" i="20" s="1"/>
  <c r="JGP6" i="20" a="1"/>
  <c r="JGP6" i="20" s="1"/>
  <c r="JGO6" i="20" a="1"/>
  <c r="JGO6" i="20" s="1"/>
  <c r="JGN6" i="20" a="1"/>
  <c r="JGN6" i="20" s="1"/>
  <c r="JGM6" i="20" a="1"/>
  <c r="JGM6" i="20" s="1"/>
  <c r="JGL6" i="20" a="1"/>
  <c r="JGL6" i="20" s="1"/>
  <c r="JGK6" i="20" a="1"/>
  <c r="JGK6" i="20" s="1"/>
  <c r="JGJ6" i="20" a="1"/>
  <c r="JGJ6" i="20" s="1"/>
  <c r="JGI6" i="20"/>
  <c r="JGI6" i="20" a="1"/>
  <c r="JGH6" i="20" a="1"/>
  <c r="JGH6" i="20" s="1"/>
  <c r="JGG6" i="20" a="1"/>
  <c r="JGG6" i="20" s="1"/>
  <c r="JGF6" i="20"/>
  <c r="JGF6" i="20" a="1"/>
  <c r="JGE6" i="20" a="1"/>
  <c r="JGE6" i="20" s="1"/>
  <c r="JGD6" i="20" a="1"/>
  <c r="JGD6" i="20" s="1"/>
  <c r="JGC6" i="20" a="1"/>
  <c r="JGC6" i="20" s="1"/>
  <c r="JGB6" i="20" a="1"/>
  <c r="JGB6" i="20" s="1"/>
  <c r="JGA6" i="20" a="1"/>
  <c r="JGA6" i="20" s="1"/>
  <c r="JFZ6" i="20" a="1"/>
  <c r="JFZ6" i="20" s="1"/>
  <c r="JFY6" i="20" a="1"/>
  <c r="JFY6" i="20" s="1"/>
  <c r="JFX6" i="20" a="1"/>
  <c r="JFX6" i="20" s="1"/>
  <c r="JFW6" i="20"/>
  <c r="JFW6" i="20" a="1"/>
  <c r="JFV6" i="20" a="1"/>
  <c r="JFV6" i="20" s="1"/>
  <c r="JFU6" i="20" a="1"/>
  <c r="JFU6" i="20" s="1"/>
  <c r="JFT6" i="20"/>
  <c r="JFT6" i="20" a="1"/>
  <c r="JFS6" i="20" a="1"/>
  <c r="JFS6" i="20" s="1"/>
  <c r="JFR6" i="20" a="1"/>
  <c r="JFR6" i="20" s="1"/>
  <c r="JFQ6" i="20"/>
  <c r="JFQ6" i="20" a="1"/>
  <c r="JFP6" i="20"/>
  <c r="JFP6" i="20" a="1"/>
  <c r="JFO6" i="20" a="1"/>
  <c r="JFO6" i="20" s="1"/>
  <c r="JFN6" i="20" a="1"/>
  <c r="JFN6" i="20" s="1"/>
  <c r="JFM6" i="20"/>
  <c r="JFM6" i="20" a="1"/>
  <c r="JFL6" i="20" a="1"/>
  <c r="JFL6" i="20" s="1"/>
  <c r="JFK6" i="20"/>
  <c r="JFK6" i="20" a="1"/>
  <c r="JFJ6" i="20"/>
  <c r="JFJ6" i="20" a="1"/>
  <c r="JFI6" i="20" a="1"/>
  <c r="JFI6" i="20" s="1"/>
  <c r="JFH6" i="20"/>
  <c r="JFH6" i="20" a="1"/>
  <c r="JFG6" i="20" a="1"/>
  <c r="JFG6" i="20" s="1"/>
  <c r="JFF6" i="20"/>
  <c r="JFF6" i="20" a="1"/>
  <c r="JFE6" i="20" a="1"/>
  <c r="JFE6" i="20" s="1"/>
  <c r="JFD6" i="20" a="1"/>
  <c r="JFD6" i="20" s="1"/>
  <c r="JFC6" i="20" a="1"/>
  <c r="JFC6" i="20" s="1"/>
  <c r="JFB6" i="20"/>
  <c r="JFB6" i="20" a="1"/>
  <c r="JFA6" i="20" a="1"/>
  <c r="JFA6" i="20" s="1"/>
  <c r="JEZ6" i="20"/>
  <c r="JEZ6" i="20" a="1"/>
  <c r="JEY6" i="20"/>
  <c r="JEY6" i="20" a="1"/>
  <c r="JEX6" i="20"/>
  <c r="JEX6" i="20" a="1"/>
  <c r="JEW6" i="20" a="1"/>
  <c r="JEW6" i="20" s="1"/>
  <c r="JEV6" i="20" a="1"/>
  <c r="JEV6" i="20" s="1"/>
  <c r="JEU6" i="20"/>
  <c r="JEU6" i="20" a="1"/>
  <c r="JET6" i="20"/>
  <c r="JET6" i="20" a="1"/>
  <c r="JES6" i="20" a="1"/>
  <c r="JES6" i="20" s="1"/>
  <c r="JER6" i="20" a="1"/>
  <c r="JER6" i="20" s="1"/>
  <c r="JEQ6" i="20" a="1"/>
  <c r="JEQ6" i="20" s="1"/>
  <c r="JEP6" i="20"/>
  <c r="JEP6" i="20" a="1"/>
  <c r="JEO6" i="20"/>
  <c r="JEO6" i="20" a="1"/>
  <c r="JEN6" i="20"/>
  <c r="JEN6" i="20" a="1"/>
  <c r="JEM6" i="20" a="1"/>
  <c r="JEM6" i="20" s="1"/>
  <c r="JEL6" i="20"/>
  <c r="JEL6" i="20" a="1"/>
  <c r="JEK6" i="20" a="1"/>
  <c r="JEK6" i="20" s="1"/>
  <c r="JEJ6" i="20" a="1"/>
  <c r="JEJ6" i="20" s="1"/>
  <c r="JEI6" i="20" a="1"/>
  <c r="JEI6" i="20" s="1"/>
  <c r="JEH6" i="20"/>
  <c r="JEH6" i="20" a="1"/>
  <c r="JEG6" i="20" a="1"/>
  <c r="JEG6" i="20" s="1"/>
  <c r="JEF6" i="20"/>
  <c r="JEF6" i="20" a="1"/>
  <c r="JEE6" i="20" a="1"/>
  <c r="JEE6" i="20" s="1"/>
  <c r="JED6" i="20"/>
  <c r="JED6" i="20" a="1"/>
  <c r="JEC6" i="20"/>
  <c r="JEC6" i="20" a="1"/>
  <c r="JEB6" i="20"/>
  <c r="JEB6" i="20" a="1"/>
  <c r="JEA6" i="20" a="1"/>
  <c r="JEA6" i="20" s="1"/>
  <c r="JDZ6" i="20" a="1"/>
  <c r="JDZ6" i="20" s="1"/>
  <c r="JDY6" i="20" a="1"/>
  <c r="JDY6" i="20" s="1"/>
  <c r="JDX6" i="20" a="1"/>
  <c r="JDX6" i="20" s="1"/>
  <c r="JDW6" i="20" a="1"/>
  <c r="JDW6" i="20" s="1"/>
  <c r="JDV6" i="20"/>
  <c r="JDV6" i="20" a="1"/>
  <c r="JDU6" i="20"/>
  <c r="JDU6" i="20" a="1"/>
  <c r="JDT6" i="20" a="1"/>
  <c r="JDT6" i="20" s="1"/>
  <c r="JDS6" i="20" a="1"/>
  <c r="JDS6" i="20" s="1"/>
  <c r="JDR6" i="20"/>
  <c r="JDR6" i="20" a="1"/>
  <c r="JDQ6" i="20"/>
  <c r="JDQ6" i="20" a="1"/>
  <c r="JDP6" i="20"/>
  <c r="JDP6" i="20" a="1"/>
  <c r="JDO6" i="20"/>
  <c r="JDO6" i="20" a="1"/>
  <c r="JDN6" i="20" a="1"/>
  <c r="JDN6" i="20" s="1"/>
  <c r="JDM6" i="20" a="1"/>
  <c r="JDM6" i="20" s="1"/>
  <c r="JDL6" i="20"/>
  <c r="JDL6" i="20" a="1"/>
  <c r="JDK6" i="20" a="1"/>
  <c r="JDK6" i="20" s="1"/>
  <c r="JDJ6" i="20"/>
  <c r="JDJ6" i="20" a="1"/>
  <c r="JDI6" i="20" a="1"/>
  <c r="JDI6" i="20" s="1"/>
  <c r="JDH6" i="20"/>
  <c r="JDH6" i="20" a="1"/>
  <c r="JDG6" i="20" a="1"/>
  <c r="JDG6" i="20" s="1"/>
  <c r="JDF6" i="20" a="1"/>
  <c r="JDF6" i="20" s="1"/>
  <c r="JDE6" i="20"/>
  <c r="JDE6" i="20" a="1"/>
  <c r="JDD6" i="20"/>
  <c r="JDD6" i="20" a="1"/>
  <c r="JDC6" i="20"/>
  <c r="JDC6" i="20" a="1"/>
  <c r="JDB6" i="20"/>
  <c r="JDB6" i="20" a="1"/>
  <c r="JDA6" i="20" a="1"/>
  <c r="JDA6" i="20" s="1"/>
  <c r="JCZ6" i="20" a="1"/>
  <c r="JCZ6" i="20" s="1"/>
  <c r="JCY6" i="20"/>
  <c r="JCY6" i="20" a="1"/>
  <c r="JCX6" i="20"/>
  <c r="JCX6" i="20" a="1"/>
  <c r="JCW6" i="20" a="1"/>
  <c r="JCW6" i="20" s="1"/>
  <c r="JCV6" i="20" a="1"/>
  <c r="JCV6" i="20" s="1"/>
  <c r="JCU6" i="20" a="1"/>
  <c r="JCU6" i="20" s="1"/>
  <c r="JCT6" i="20" a="1"/>
  <c r="JCT6" i="20" s="1"/>
  <c r="JCS6" i="20" a="1"/>
  <c r="JCS6" i="20" s="1"/>
  <c r="JCR6" i="20"/>
  <c r="JCR6" i="20" a="1"/>
  <c r="JCQ6" i="20"/>
  <c r="JCQ6" i="20" a="1"/>
  <c r="JCP6" i="20"/>
  <c r="JCP6" i="20" a="1"/>
  <c r="JCO6" i="20" a="1"/>
  <c r="JCO6" i="20" s="1"/>
  <c r="JCN6" i="20"/>
  <c r="JCN6" i="20" a="1"/>
  <c r="JCM6" i="20" a="1"/>
  <c r="JCM6" i="20" s="1"/>
  <c r="JCL6" i="20"/>
  <c r="JCL6" i="20" a="1"/>
  <c r="JCK6" i="20" a="1"/>
  <c r="JCK6" i="20" s="1"/>
  <c r="JCJ6" i="20" a="1"/>
  <c r="JCJ6" i="20" s="1"/>
  <c r="JCI6" i="20" a="1"/>
  <c r="JCI6" i="20" s="1"/>
  <c r="JCH6" i="20"/>
  <c r="JCH6" i="20" a="1"/>
  <c r="JCG6" i="20" a="1"/>
  <c r="JCG6" i="20" s="1"/>
  <c r="JCF6" i="20"/>
  <c r="JCF6" i="20" a="1"/>
  <c r="JCE6" i="20"/>
  <c r="JCE6" i="20" a="1"/>
  <c r="JCD6" i="20"/>
  <c r="JCD6" i="20" a="1"/>
  <c r="JCC6" i="20" a="1"/>
  <c r="JCC6" i="20" s="1"/>
  <c r="JCB6" i="20" a="1"/>
  <c r="JCB6" i="20" s="1"/>
  <c r="JCA6" i="20"/>
  <c r="JCA6" i="20" a="1"/>
  <c r="JBZ6" i="20"/>
  <c r="JBZ6" i="20" a="1"/>
  <c r="JBY6" i="20" a="1"/>
  <c r="JBY6" i="20" s="1"/>
  <c r="JBX6" i="20" a="1"/>
  <c r="JBX6" i="20" s="1"/>
  <c r="JBW6" i="20" a="1"/>
  <c r="JBW6" i="20" s="1"/>
  <c r="JBV6" i="20"/>
  <c r="JBV6" i="20" a="1"/>
  <c r="JBU6" i="20"/>
  <c r="JBU6" i="20" a="1"/>
  <c r="JBT6" i="20"/>
  <c r="JBT6" i="20" a="1"/>
  <c r="JBS6" i="20" a="1"/>
  <c r="JBS6" i="20" s="1"/>
  <c r="JBR6" i="20"/>
  <c r="JBR6" i="20" a="1"/>
  <c r="JBQ6" i="20" a="1"/>
  <c r="JBQ6" i="20" s="1"/>
  <c r="JBP6" i="20" a="1"/>
  <c r="JBP6" i="20" s="1"/>
  <c r="JBO6" i="20" a="1"/>
  <c r="JBO6" i="20" s="1"/>
  <c r="JBN6" i="20"/>
  <c r="JBN6" i="20" a="1"/>
  <c r="JBM6" i="20" a="1"/>
  <c r="JBM6" i="20" s="1"/>
  <c r="JBL6" i="20"/>
  <c r="JBL6" i="20" a="1"/>
  <c r="JBK6" i="20" a="1"/>
  <c r="JBK6" i="20" s="1"/>
  <c r="JBJ6" i="20"/>
  <c r="JBJ6" i="20" a="1"/>
  <c r="JBI6" i="20"/>
  <c r="JBI6" i="20" a="1"/>
  <c r="JBH6" i="20"/>
  <c r="JBH6" i="20" a="1"/>
  <c r="JBG6" i="20" a="1"/>
  <c r="JBG6" i="20" s="1"/>
  <c r="JBF6" i="20" a="1"/>
  <c r="JBF6" i="20" s="1"/>
  <c r="JBE6" i="20" a="1"/>
  <c r="JBE6" i="20" s="1"/>
  <c r="JBD6" i="20" a="1"/>
  <c r="JBD6" i="20" s="1"/>
  <c r="JBC6" i="20" a="1"/>
  <c r="JBC6" i="20" s="1"/>
  <c r="JBB6" i="20"/>
  <c r="JBB6" i="20" a="1"/>
  <c r="JBA6" i="20"/>
  <c r="JBA6" i="20" a="1"/>
  <c r="JAZ6" i="20" a="1"/>
  <c r="JAZ6" i="20" s="1"/>
  <c r="JAY6" i="20" a="1"/>
  <c r="JAY6" i="20" s="1"/>
  <c r="JAX6" i="20"/>
  <c r="JAX6" i="20" a="1"/>
  <c r="JAW6" i="20"/>
  <c r="JAW6" i="20" a="1"/>
  <c r="JAV6" i="20"/>
  <c r="JAV6" i="20" a="1"/>
  <c r="JAU6" i="20"/>
  <c r="JAU6" i="20" a="1"/>
  <c r="JAT6" i="20" a="1"/>
  <c r="JAT6" i="20" s="1"/>
  <c r="JAS6" i="20" a="1"/>
  <c r="JAS6" i="20" s="1"/>
  <c r="JAR6" i="20"/>
  <c r="JAR6" i="20" a="1"/>
  <c r="JAQ6" i="20" a="1"/>
  <c r="JAQ6" i="20" s="1"/>
  <c r="JAP6" i="20" a="1"/>
  <c r="JAP6" i="20" s="1"/>
  <c r="JAO6" i="20" a="1"/>
  <c r="JAO6" i="20" s="1"/>
  <c r="JAN6" i="20"/>
  <c r="JAN6" i="20" a="1"/>
  <c r="JAM6" i="20" a="1"/>
  <c r="JAM6" i="20" s="1"/>
  <c r="JAL6" i="20" a="1"/>
  <c r="JAL6" i="20" s="1"/>
  <c r="JAK6" i="20"/>
  <c r="JAK6" i="20" a="1"/>
  <c r="JAJ6" i="20"/>
  <c r="JAJ6" i="20" a="1"/>
  <c r="JAI6" i="20"/>
  <c r="JAI6" i="20" a="1"/>
  <c r="JAH6" i="20"/>
  <c r="JAH6" i="20" a="1"/>
  <c r="JAG6" i="20" a="1"/>
  <c r="JAG6" i="20" s="1"/>
  <c r="JAF6" i="20" a="1"/>
  <c r="JAF6" i="20" s="1"/>
  <c r="JAE6" i="20"/>
  <c r="JAE6" i="20" a="1"/>
  <c r="JAD6" i="20" a="1"/>
  <c r="JAD6" i="20" s="1"/>
  <c r="JAC6" i="20" a="1"/>
  <c r="JAC6" i="20" s="1"/>
  <c r="JAB6" i="20" a="1"/>
  <c r="JAB6" i="20" s="1"/>
  <c r="JAA6" i="20" a="1"/>
  <c r="JAA6" i="20" s="1"/>
  <c r="IZZ6" i="20" a="1"/>
  <c r="IZZ6" i="20" s="1"/>
  <c r="IZY6" i="20" a="1"/>
  <c r="IZY6" i="20" s="1"/>
  <c r="IZX6" i="20"/>
  <c r="IZX6" i="20" a="1"/>
  <c r="IZW6" i="20"/>
  <c r="IZW6" i="20" a="1"/>
  <c r="IZV6" i="20"/>
  <c r="IZV6" i="20" a="1"/>
  <c r="IZU6" i="20" a="1"/>
  <c r="IZU6" i="20" s="1"/>
  <c r="IZT6" i="20"/>
  <c r="IZT6" i="20" a="1"/>
  <c r="IZS6" i="20" a="1"/>
  <c r="IZS6" i="20" s="1"/>
  <c r="IZR6" i="20"/>
  <c r="IZR6" i="20" a="1"/>
  <c r="IZQ6" i="20" a="1"/>
  <c r="IZQ6" i="20" s="1"/>
  <c r="IZP6" i="20" a="1"/>
  <c r="IZP6" i="20" s="1"/>
  <c r="IZO6" i="20" a="1"/>
  <c r="IZO6" i="20" s="1"/>
  <c r="IZN6" i="20"/>
  <c r="IZN6" i="20" a="1"/>
  <c r="IZM6" i="20" a="1"/>
  <c r="IZM6" i="20" s="1"/>
  <c r="IZL6" i="20" a="1"/>
  <c r="IZL6" i="20" s="1"/>
  <c r="IZK6" i="20"/>
  <c r="IZK6" i="20" a="1"/>
  <c r="IZJ6" i="20"/>
  <c r="IZJ6" i="20" a="1"/>
  <c r="IZI6" i="20" a="1"/>
  <c r="IZI6" i="20" s="1"/>
  <c r="IZH6" i="20" a="1"/>
  <c r="IZH6" i="20" s="1"/>
  <c r="IZG6" i="20"/>
  <c r="IZG6" i="20" a="1"/>
  <c r="IZF6" i="20" a="1"/>
  <c r="IZF6" i="20" s="1"/>
  <c r="IZE6" i="20"/>
  <c r="IZE6" i="20" a="1"/>
  <c r="IZD6" i="20" a="1"/>
  <c r="IZD6" i="20" s="1"/>
  <c r="IZC6" i="20" a="1"/>
  <c r="IZC6" i="20" s="1"/>
  <c r="IZB6" i="20"/>
  <c r="IZB6" i="20" a="1"/>
  <c r="IZA6" i="20"/>
  <c r="IZA6" i="20" a="1"/>
  <c r="IYZ6" i="20" a="1"/>
  <c r="IYZ6" i="20" s="1"/>
  <c r="IYY6" i="20" a="1"/>
  <c r="IYY6" i="20" s="1"/>
  <c r="IYX6" i="20"/>
  <c r="IYX6" i="20" a="1"/>
  <c r="IYW6" i="20" a="1"/>
  <c r="IYW6" i="20" s="1"/>
  <c r="IYV6" i="20" a="1"/>
  <c r="IYV6" i="20" s="1"/>
  <c r="IYU6" i="20" a="1"/>
  <c r="IYU6" i="20" s="1"/>
  <c r="IYT6" i="20"/>
  <c r="IYT6" i="20" a="1"/>
  <c r="IYS6" i="20" a="1"/>
  <c r="IYS6" i="20" s="1"/>
  <c r="IYR6" i="20"/>
  <c r="IYR6" i="20" a="1"/>
  <c r="IYQ6" i="20" a="1"/>
  <c r="IYQ6" i="20" s="1"/>
  <c r="IYP6" i="20"/>
  <c r="IYP6" i="20" a="1"/>
  <c r="IYO6" i="20"/>
  <c r="IYO6" i="20" a="1"/>
  <c r="IYN6" i="20"/>
  <c r="IYN6" i="20" a="1"/>
  <c r="IYM6" i="20" a="1"/>
  <c r="IYM6" i="20" s="1"/>
  <c r="IYL6" i="20" a="1"/>
  <c r="IYL6" i="20" s="1"/>
  <c r="IYK6" i="20" a="1"/>
  <c r="IYK6" i="20" s="1"/>
  <c r="IYJ6" i="20" a="1"/>
  <c r="IYJ6" i="20" s="1"/>
  <c r="IYI6" i="20" a="1"/>
  <c r="IYI6" i="20" s="1"/>
  <c r="IYH6" i="20" a="1"/>
  <c r="IYH6" i="20" s="1"/>
  <c r="IYG6" i="20"/>
  <c r="IYG6" i="20" a="1"/>
  <c r="IYF6" i="20" a="1"/>
  <c r="IYF6" i="20" s="1"/>
  <c r="IYE6" i="20" a="1"/>
  <c r="IYE6" i="20" s="1"/>
  <c r="IYD6" i="20"/>
  <c r="IYD6" i="20" a="1"/>
  <c r="IYC6" i="20"/>
  <c r="IYC6" i="20" a="1"/>
  <c r="IYB6" i="20"/>
  <c r="IYB6" i="20" a="1"/>
  <c r="IYA6" i="20"/>
  <c r="IYA6" i="20" a="1"/>
  <c r="IXZ6" i="20" a="1"/>
  <c r="IXZ6" i="20" s="1"/>
  <c r="IXY6" i="20" a="1"/>
  <c r="IXY6" i="20" s="1"/>
  <c r="IXX6" i="20" a="1"/>
  <c r="IXX6" i="20" s="1"/>
  <c r="IXW6" i="20" a="1"/>
  <c r="IXW6" i="20" s="1"/>
  <c r="IXV6" i="20" a="1"/>
  <c r="IXV6" i="20" s="1"/>
  <c r="IXU6" i="20" a="1"/>
  <c r="IXU6" i="20" s="1"/>
  <c r="IXT6" i="20"/>
  <c r="IXT6" i="20" a="1"/>
  <c r="IXS6" i="20" a="1"/>
  <c r="IXS6" i="20" s="1"/>
  <c r="IXR6" i="20" a="1"/>
  <c r="IXR6" i="20" s="1"/>
  <c r="IXQ6" i="20"/>
  <c r="IXQ6" i="20" a="1"/>
  <c r="IXP6" i="20"/>
  <c r="IXP6" i="20" a="1"/>
  <c r="IXO6" i="20"/>
  <c r="IXO6" i="20" a="1"/>
  <c r="IXN6" i="20"/>
  <c r="IXN6" i="20" a="1"/>
  <c r="IXM6" i="20" a="1"/>
  <c r="IXM6" i="20" s="1"/>
  <c r="IXL6" i="20" a="1"/>
  <c r="IXL6" i="20" s="1"/>
  <c r="IXK6" i="20" a="1"/>
  <c r="IXK6" i="20" s="1"/>
  <c r="IXJ6" i="20" a="1"/>
  <c r="IXJ6" i="20" s="1"/>
  <c r="IXI6" i="20" a="1"/>
  <c r="IXI6" i="20" s="1"/>
  <c r="IXH6" i="20" a="1"/>
  <c r="IXH6" i="20" s="1"/>
  <c r="IXG6" i="20" a="1"/>
  <c r="IXG6" i="20" s="1"/>
  <c r="IXF6" i="20" a="1"/>
  <c r="IXF6" i="20" s="1"/>
  <c r="IXE6" i="20" a="1"/>
  <c r="IXE6" i="20" s="1"/>
  <c r="IXD6" i="20"/>
  <c r="IXD6" i="20" a="1"/>
  <c r="IXC6" i="20"/>
  <c r="IXC6" i="20" a="1"/>
  <c r="IXB6" i="20"/>
  <c r="IXB6" i="20" a="1"/>
  <c r="IXA6" i="20" a="1"/>
  <c r="IXA6" i="20" s="1"/>
  <c r="IWZ6" i="20"/>
  <c r="IWZ6" i="20" a="1"/>
  <c r="IWY6" i="20" a="1"/>
  <c r="IWY6" i="20" s="1"/>
  <c r="IWX6" i="20" a="1"/>
  <c r="IWX6" i="20" s="1"/>
  <c r="IWW6" i="20" a="1"/>
  <c r="IWW6" i="20" s="1"/>
  <c r="IWV6" i="20" a="1"/>
  <c r="IWV6" i="20" s="1"/>
  <c r="IWU6" i="20" a="1"/>
  <c r="IWU6" i="20" s="1"/>
  <c r="IWT6" i="20"/>
  <c r="IWT6" i="20" a="1"/>
  <c r="IWS6" i="20" a="1"/>
  <c r="IWS6" i="20" s="1"/>
  <c r="IWR6" i="20" a="1"/>
  <c r="IWR6" i="20" s="1"/>
  <c r="IWQ6" i="20"/>
  <c r="IWQ6" i="20" a="1"/>
  <c r="IWP6" i="20"/>
  <c r="IWP6" i="20" a="1"/>
  <c r="IWO6" i="20" a="1"/>
  <c r="IWO6" i="20" s="1"/>
  <c r="IWN6" i="20" a="1"/>
  <c r="IWN6" i="20" s="1"/>
  <c r="IWM6" i="20"/>
  <c r="IWM6" i="20" a="1"/>
  <c r="IWL6" i="20" a="1"/>
  <c r="IWL6" i="20" s="1"/>
  <c r="IWK6" i="20" a="1"/>
  <c r="IWK6" i="20" s="1"/>
  <c r="IWJ6" i="20" a="1"/>
  <c r="IWJ6" i="20" s="1"/>
  <c r="IWI6" i="20" a="1"/>
  <c r="IWI6" i="20" s="1"/>
  <c r="IWH6" i="20"/>
  <c r="IWH6" i="20" a="1"/>
  <c r="IWG6" i="20"/>
  <c r="IWG6" i="20" a="1"/>
  <c r="IWF6" i="20" a="1"/>
  <c r="IWF6" i="20" s="1"/>
  <c r="IWE6" i="20" a="1"/>
  <c r="IWE6" i="20" s="1"/>
  <c r="IWD6" i="20"/>
  <c r="IWD6" i="20" a="1"/>
  <c r="IWC6" i="20" a="1"/>
  <c r="IWC6" i="20" s="1"/>
  <c r="IWB6" i="20" a="1"/>
  <c r="IWB6" i="20" s="1"/>
  <c r="IWA6" i="20" a="1"/>
  <c r="IWA6" i="20" s="1"/>
  <c r="IVZ6" i="20"/>
  <c r="IVZ6" i="20" a="1"/>
  <c r="IVY6" i="20" a="1"/>
  <c r="IVY6" i="20" s="1"/>
  <c r="IVX6" i="20" a="1"/>
  <c r="IVX6" i="20" s="1"/>
  <c r="IVW6" i="20" a="1"/>
  <c r="IVW6" i="20" s="1"/>
  <c r="IVV6" i="20"/>
  <c r="IVV6" i="20" a="1"/>
  <c r="IVU6" i="20"/>
  <c r="IVU6" i="20" a="1"/>
  <c r="IVT6" i="20"/>
  <c r="IVT6" i="20" a="1"/>
  <c r="IVS6" i="20" a="1"/>
  <c r="IVS6" i="20" s="1"/>
  <c r="IVR6" i="20" a="1"/>
  <c r="IVR6" i="20" s="1"/>
  <c r="IVQ6" i="20" a="1"/>
  <c r="IVQ6" i="20" s="1"/>
  <c r="IVP6" i="20" a="1"/>
  <c r="IVP6" i="20" s="1"/>
  <c r="IVO6" i="20" a="1"/>
  <c r="IVO6" i="20" s="1"/>
  <c r="IVN6" i="20" a="1"/>
  <c r="IVN6" i="20" s="1"/>
  <c r="IVM6" i="20"/>
  <c r="IVM6" i="20" a="1"/>
  <c r="IVL6" i="20" a="1"/>
  <c r="IVL6" i="20" s="1"/>
  <c r="IVK6" i="20" a="1"/>
  <c r="IVK6" i="20" s="1"/>
  <c r="IVJ6" i="20"/>
  <c r="IVJ6" i="20" a="1"/>
  <c r="IVI6" i="20"/>
  <c r="IVI6" i="20" a="1"/>
  <c r="IVH6" i="20"/>
  <c r="IVH6" i="20" a="1"/>
  <c r="IVG6" i="20"/>
  <c r="IVG6" i="20" a="1"/>
  <c r="IVF6" i="20" a="1"/>
  <c r="IVF6" i="20" s="1"/>
  <c r="IVE6" i="20" a="1"/>
  <c r="IVE6" i="20" s="1"/>
  <c r="IVD6" i="20"/>
  <c r="IVD6" i="20" a="1"/>
  <c r="IVC6" i="20" a="1"/>
  <c r="IVC6" i="20" s="1"/>
  <c r="IVB6" i="20" a="1"/>
  <c r="IVB6" i="20" s="1"/>
  <c r="IVA6" i="20" a="1"/>
  <c r="IVA6" i="20" s="1"/>
  <c r="IUZ6" i="20"/>
  <c r="IUZ6" i="20" a="1"/>
  <c r="IUY6" i="20" a="1"/>
  <c r="IUY6" i="20" s="1"/>
  <c r="IUX6" i="20" a="1"/>
  <c r="IUX6" i="20" s="1"/>
  <c r="IUW6" i="20"/>
  <c r="IUW6" i="20" a="1"/>
  <c r="IUV6" i="20"/>
  <c r="IUV6" i="20" a="1"/>
  <c r="IUU6" i="20"/>
  <c r="IUU6" i="20" a="1"/>
  <c r="IUT6" i="20"/>
  <c r="IUT6" i="20" a="1"/>
  <c r="IUS6" i="20" a="1"/>
  <c r="IUS6" i="20" s="1"/>
  <c r="IUR6" i="20" a="1"/>
  <c r="IUR6" i="20" s="1"/>
  <c r="IUQ6" i="20" a="1"/>
  <c r="IUQ6" i="20" s="1"/>
  <c r="IUP6" i="20" a="1"/>
  <c r="IUP6" i="20" s="1"/>
  <c r="IUO6" i="20" a="1"/>
  <c r="IUO6" i="20" s="1"/>
  <c r="IUN6" i="20" a="1"/>
  <c r="IUN6" i="20" s="1"/>
  <c r="IUM6" i="20" a="1"/>
  <c r="IUM6" i="20" s="1"/>
  <c r="IUL6" i="20" a="1"/>
  <c r="IUL6" i="20" s="1"/>
  <c r="IUK6" i="20" a="1"/>
  <c r="IUK6" i="20" s="1"/>
  <c r="IUJ6" i="20"/>
  <c r="IUJ6" i="20" a="1"/>
  <c r="IUI6" i="20"/>
  <c r="IUI6" i="20" a="1"/>
  <c r="IUH6" i="20"/>
  <c r="IUH6" i="20" a="1"/>
  <c r="IUG6" i="20" a="1"/>
  <c r="IUG6" i="20" s="1"/>
  <c r="IUF6" i="20"/>
  <c r="IUF6" i="20" a="1"/>
  <c r="IUE6" i="20" a="1"/>
  <c r="IUE6" i="20" s="1"/>
  <c r="IUD6" i="20" a="1"/>
  <c r="IUD6" i="20" s="1"/>
  <c r="IUC6" i="20" a="1"/>
  <c r="IUC6" i="20" s="1"/>
  <c r="IUB6" i="20" a="1"/>
  <c r="IUB6" i="20" s="1"/>
  <c r="IUA6" i="20" a="1"/>
  <c r="IUA6" i="20" s="1"/>
  <c r="ITZ6" i="20"/>
  <c r="ITZ6" i="20" a="1"/>
  <c r="ITY6" i="20" a="1"/>
  <c r="ITY6" i="20" s="1"/>
  <c r="ITX6" i="20" a="1"/>
  <c r="ITX6" i="20" s="1"/>
  <c r="ITW6" i="20"/>
  <c r="ITW6" i="20" a="1"/>
  <c r="ITV6" i="20"/>
  <c r="ITV6" i="20" a="1"/>
  <c r="ITU6" i="20" a="1"/>
  <c r="ITU6" i="20" s="1"/>
  <c r="ITT6" i="20" a="1"/>
  <c r="ITT6" i="20" s="1"/>
  <c r="ITS6" i="20"/>
  <c r="ITS6" i="20" a="1"/>
  <c r="ITR6" i="20" a="1"/>
  <c r="ITR6" i="20" s="1"/>
  <c r="ITQ6" i="20" a="1"/>
  <c r="ITQ6" i="20" s="1"/>
  <c r="ITP6" i="20" a="1"/>
  <c r="ITP6" i="20" s="1"/>
  <c r="ITO6" i="20" a="1"/>
  <c r="ITO6" i="20" s="1"/>
  <c r="ITN6" i="20"/>
  <c r="ITN6" i="20" a="1"/>
  <c r="ITM6" i="20"/>
  <c r="ITM6" i="20" a="1"/>
  <c r="ITL6" i="20" a="1"/>
  <c r="ITL6" i="20" s="1"/>
  <c r="ITK6" i="20" a="1"/>
  <c r="ITK6" i="20" s="1"/>
  <c r="ITJ6" i="20"/>
  <c r="ITJ6" i="20" a="1"/>
  <c r="ITI6" i="20" a="1"/>
  <c r="ITI6" i="20" s="1"/>
  <c r="ITH6" i="20" a="1"/>
  <c r="ITH6" i="20" s="1"/>
  <c r="ITG6" i="20" a="1"/>
  <c r="ITG6" i="20" s="1"/>
  <c r="ITF6" i="20"/>
  <c r="ITF6" i="20" a="1"/>
  <c r="ITE6" i="20" a="1"/>
  <c r="ITE6" i="20" s="1"/>
  <c r="ITD6" i="20" a="1"/>
  <c r="ITD6" i="20" s="1"/>
  <c r="ITC6" i="20" a="1"/>
  <c r="ITC6" i="20" s="1"/>
  <c r="ITB6" i="20"/>
  <c r="ITB6" i="20" a="1"/>
  <c r="ITA6" i="20"/>
  <c r="ITA6" i="20" a="1"/>
  <c r="ISZ6" i="20"/>
  <c r="ISZ6" i="20" a="1"/>
  <c r="ISY6" i="20" a="1"/>
  <c r="ISY6" i="20" s="1"/>
  <c r="ISX6" i="20" a="1"/>
  <c r="ISX6" i="20" s="1"/>
  <c r="ISW6" i="20" a="1"/>
  <c r="ISW6" i="20" s="1"/>
  <c r="ISV6" i="20" a="1"/>
  <c r="ISV6" i="20" s="1"/>
  <c r="ISU6" i="20" a="1"/>
  <c r="ISU6" i="20" s="1"/>
  <c r="IST6" i="20" a="1"/>
  <c r="IST6" i="20" s="1"/>
  <c r="ISS6" i="20"/>
  <c r="ISS6" i="20" a="1"/>
  <c r="ISR6" i="20" a="1"/>
  <c r="ISR6" i="20" s="1"/>
  <c r="ISQ6" i="20" a="1"/>
  <c r="ISQ6" i="20" s="1"/>
  <c r="ISP6" i="20"/>
  <c r="ISP6" i="20" a="1"/>
  <c r="ISO6" i="20"/>
  <c r="ISO6" i="20" a="1"/>
  <c r="ISN6" i="20"/>
  <c r="ISN6" i="20" a="1"/>
  <c r="ISM6" i="20"/>
  <c r="ISM6" i="20" a="1"/>
  <c r="ISL6" i="20" a="1"/>
  <c r="ISL6" i="20" s="1"/>
  <c r="ISK6" i="20" a="1"/>
  <c r="ISK6" i="20" s="1"/>
  <c r="ISJ6" i="20" a="1"/>
  <c r="ISJ6" i="20" s="1"/>
  <c r="ISI6" i="20" a="1"/>
  <c r="ISI6" i="20" s="1"/>
  <c r="ISH6" i="20" a="1"/>
  <c r="ISH6" i="20" s="1"/>
  <c r="ISG6" i="20" a="1"/>
  <c r="ISG6" i="20" s="1"/>
  <c r="ISF6" i="20"/>
  <c r="ISF6" i="20" a="1"/>
  <c r="ISE6" i="20" a="1"/>
  <c r="ISE6" i="20" s="1"/>
  <c r="ISD6" i="20" a="1"/>
  <c r="ISD6" i="20" s="1"/>
  <c r="ISC6" i="20"/>
  <c r="ISC6" i="20" a="1"/>
  <c r="ISB6" i="20"/>
  <c r="ISB6" i="20" a="1"/>
  <c r="ISA6" i="20"/>
  <c r="ISA6" i="20" a="1"/>
  <c r="IRZ6" i="20"/>
  <c r="IRZ6" i="20" a="1"/>
  <c r="IRY6" i="20" a="1"/>
  <c r="IRY6" i="20" s="1"/>
  <c r="IRX6" i="20" a="1"/>
  <c r="IRX6" i="20" s="1"/>
  <c r="IRW6" i="20" a="1"/>
  <c r="IRW6" i="20" s="1"/>
  <c r="IRV6" i="20" a="1"/>
  <c r="IRV6" i="20" s="1"/>
  <c r="IRU6" i="20" a="1"/>
  <c r="IRU6" i="20" s="1"/>
  <c r="IRT6" i="20" a="1"/>
  <c r="IRT6" i="20" s="1"/>
  <c r="IRS6" i="20" a="1"/>
  <c r="IRS6" i="20" s="1"/>
  <c r="IRR6" i="20" a="1"/>
  <c r="IRR6" i="20" s="1"/>
  <c r="IRQ6" i="20" a="1"/>
  <c r="IRQ6" i="20" s="1"/>
  <c r="IRP6" i="20"/>
  <c r="IRP6" i="20" a="1"/>
  <c r="IRO6" i="20"/>
  <c r="IRO6" i="20" a="1"/>
  <c r="IRN6" i="20"/>
  <c r="IRN6" i="20" a="1"/>
  <c r="IRM6" i="20" a="1"/>
  <c r="IRM6" i="20" s="1"/>
  <c r="IRL6" i="20"/>
  <c r="IRL6" i="20" a="1"/>
  <c r="IRK6" i="20" a="1"/>
  <c r="IRK6" i="20" s="1"/>
  <c r="IRJ6" i="20" a="1"/>
  <c r="IRJ6" i="20" s="1"/>
  <c r="IRI6" i="20" a="1"/>
  <c r="IRI6" i="20" s="1"/>
  <c r="IRH6" i="20" a="1"/>
  <c r="IRH6" i="20" s="1"/>
  <c r="IRG6" i="20" a="1"/>
  <c r="IRG6" i="20" s="1"/>
  <c r="IRF6" i="20"/>
  <c r="IRF6" i="20" a="1"/>
  <c r="IRE6" i="20" a="1"/>
  <c r="IRE6" i="20" s="1"/>
  <c r="IRD6" i="20" a="1"/>
  <c r="IRD6" i="20" s="1"/>
  <c r="IRC6" i="20"/>
  <c r="IRC6" i="20" a="1"/>
  <c r="IRB6" i="20"/>
  <c r="IRB6" i="20" a="1"/>
  <c r="IRA6" i="20" a="1"/>
  <c r="IRA6" i="20" s="1"/>
  <c r="IQZ6" i="20" a="1"/>
  <c r="IQZ6" i="20" s="1"/>
  <c r="IQY6" i="20"/>
  <c r="IQY6" i="20" a="1"/>
  <c r="IQX6" i="20" a="1"/>
  <c r="IQX6" i="20" s="1"/>
  <c r="IQW6" i="20" a="1"/>
  <c r="IQW6" i="20" s="1"/>
  <c r="IQV6" i="20" a="1"/>
  <c r="IQV6" i="20" s="1"/>
  <c r="IQU6" i="20" a="1"/>
  <c r="IQU6" i="20" s="1"/>
  <c r="IQT6" i="20"/>
  <c r="IQT6" i="20" a="1"/>
  <c r="IQS6" i="20"/>
  <c r="IQS6" i="20" a="1"/>
  <c r="IQR6" i="20" a="1"/>
  <c r="IQR6" i="20" s="1"/>
  <c r="IQQ6" i="20" a="1"/>
  <c r="IQQ6" i="20" s="1"/>
  <c r="IQP6" i="20"/>
  <c r="IQP6" i="20" a="1"/>
  <c r="IQO6" i="20" a="1"/>
  <c r="IQO6" i="20" s="1"/>
  <c r="IQN6" i="20" a="1"/>
  <c r="IQN6" i="20" s="1"/>
  <c r="IQM6" i="20" a="1"/>
  <c r="IQM6" i="20" s="1"/>
  <c r="IQL6" i="20"/>
  <c r="IQL6" i="20" a="1"/>
  <c r="IQK6" i="20" a="1"/>
  <c r="IQK6" i="20" s="1"/>
  <c r="IQJ6" i="20" a="1"/>
  <c r="IQJ6" i="20" s="1"/>
  <c r="IQI6" i="20" a="1"/>
  <c r="IQI6" i="20" s="1"/>
  <c r="IQH6" i="20"/>
  <c r="IQH6" i="20" a="1"/>
  <c r="IQG6" i="20"/>
  <c r="IQG6" i="20" a="1"/>
  <c r="IQF6" i="20"/>
  <c r="IQF6" i="20" a="1"/>
  <c r="IQE6" i="20" a="1"/>
  <c r="IQE6" i="20" s="1"/>
  <c r="IQD6" i="20" a="1"/>
  <c r="IQD6" i="20" s="1"/>
  <c r="IQC6" i="20" a="1"/>
  <c r="IQC6" i="20" s="1"/>
  <c r="IQB6" i="20" a="1"/>
  <c r="IQB6" i="20" s="1"/>
  <c r="IQA6" i="20" a="1"/>
  <c r="IQA6" i="20" s="1"/>
  <c r="IPZ6" i="20" a="1"/>
  <c r="IPZ6" i="20" s="1"/>
  <c r="IPY6" i="20"/>
  <c r="IPY6" i="20" a="1"/>
  <c r="IPX6" i="20" a="1"/>
  <c r="IPX6" i="20" s="1"/>
  <c r="IPW6" i="20" a="1"/>
  <c r="IPW6" i="20" s="1"/>
  <c r="IPV6" i="20"/>
  <c r="IPV6" i="20" a="1"/>
  <c r="IPU6" i="20"/>
  <c r="IPU6" i="20" a="1"/>
  <c r="IPT6" i="20"/>
  <c r="IPT6" i="20" a="1"/>
  <c r="IPS6" i="20"/>
  <c r="IPS6" i="20" a="1"/>
  <c r="IPR6" i="20" a="1"/>
  <c r="IPR6" i="20" s="1"/>
  <c r="IPQ6" i="20" a="1"/>
  <c r="IPQ6" i="20" s="1"/>
  <c r="IPP6" i="20"/>
  <c r="IPP6" i="20" a="1"/>
  <c r="IPO6" i="20" a="1"/>
  <c r="IPO6" i="20" s="1"/>
  <c r="IPN6" i="20" a="1"/>
  <c r="IPN6" i="20" s="1"/>
  <c r="IPM6" i="20" a="1"/>
  <c r="IPM6" i="20" s="1"/>
  <c r="IPL6" i="20"/>
  <c r="IPL6" i="20" a="1"/>
  <c r="IPK6" i="20" a="1"/>
  <c r="IPK6" i="20" s="1"/>
  <c r="IPJ6" i="20" a="1"/>
  <c r="IPJ6" i="20" s="1"/>
  <c r="IPI6" i="20"/>
  <c r="IPI6" i="20" a="1"/>
  <c r="IPH6" i="20"/>
  <c r="IPH6" i="20" a="1"/>
  <c r="IPG6" i="20"/>
  <c r="IPG6" i="20" a="1"/>
  <c r="IPF6" i="20"/>
  <c r="IPF6" i="20" a="1"/>
  <c r="IPE6" i="20" a="1"/>
  <c r="IPE6" i="20" s="1"/>
  <c r="IPD6" i="20" a="1"/>
  <c r="IPD6" i="20" s="1"/>
  <c r="IPC6" i="20" a="1"/>
  <c r="IPC6" i="20" s="1"/>
  <c r="IPB6" i="20" a="1"/>
  <c r="IPB6" i="20" s="1"/>
  <c r="IPA6" i="20" a="1"/>
  <c r="IPA6" i="20" s="1"/>
  <c r="IOZ6" i="20" a="1"/>
  <c r="IOZ6" i="20" s="1"/>
  <c r="IOY6" i="20" a="1"/>
  <c r="IOY6" i="20" s="1"/>
  <c r="IOX6" i="20" a="1"/>
  <c r="IOX6" i="20" s="1"/>
  <c r="IOW6" i="20" a="1"/>
  <c r="IOW6" i="20" s="1"/>
  <c r="IOV6" i="20"/>
  <c r="IOV6" i="20" a="1"/>
  <c r="IOU6" i="20"/>
  <c r="IOU6" i="20" a="1"/>
  <c r="IOT6" i="20"/>
  <c r="IOT6" i="20" a="1"/>
  <c r="IOS6" i="20" a="1"/>
  <c r="IOS6" i="20" s="1"/>
  <c r="IOR6" i="20"/>
  <c r="IOR6" i="20" a="1"/>
  <c r="IOQ6" i="20" a="1"/>
  <c r="IOQ6" i="20" s="1"/>
  <c r="IOP6" i="20" a="1"/>
  <c r="IOP6" i="20" s="1"/>
  <c r="IOO6" i="20" a="1"/>
  <c r="IOO6" i="20" s="1"/>
  <c r="ION6" i="20" a="1"/>
  <c r="ION6" i="20" s="1"/>
  <c r="IOM6" i="20" a="1"/>
  <c r="IOM6" i="20" s="1"/>
  <c r="IOL6" i="20"/>
  <c r="IOL6" i="20" a="1"/>
  <c r="IOK6" i="20" a="1"/>
  <c r="IOK6" i="20" s="1"/>
  <c r="IOJ6" i="20" a="1"/>
  <c r="IOJ6" i="20" s="1"/>
  <c r="IOI6" i="20"/>
  <c r="IOI6" i="20" a="1"/>
  <c r="IOH6" i="20"/>
  <c r="IOH6" i="20" a="1"/>
  <c r="IOG6" i="20" a="1"/>
  <c r="IOG6" i="20" s="1"/>
  <c r="IOF6" i="20" a="1"/>
  <c r="IOF6" i="20" s="1"/>
  <c r="IOE6" i="20"/>
  <c r="IOE6" i="20" a="1"/>
  <c r="IOD6" i="20" a="1"/>
  <c r="IOD6" i="20" s="1"/>
  <c r="IOC6" i="20" a="1"/>
  <c r="IOC6" i="20" s="1"/>
  <c r="IOB6" i="20" a="1"/>
  <c r="IOB6" i="20" s="1"/>
  <c r="IOA6" i="20" a="1"/>
  <c r="IOA6" i="20" s="1"/>
  <c r="INZ6" i="20"/>
  <c r="INZ6" i="20" a="1"/>
  <c r="INY6" i="20"/>
  <c r="INY6" i="20" a="1"/>
  <c r="INX6" i="20" a="1"/>
  <c r="INX6" i="20" s="1"/>
  <c r="INW6" i="20" a="1"/>
  <c r="INW6" i="20" s="1"/>
  <c r="INV6" i="20"/>
  <c r="INV6" i="20" a="1"/>
  <c r="INU6" i="20" a="1"/>
  <c r="INU6" i="20" s="1"/>
  <c r="INT6" i="20" a="1"/>
  <c r="INT6" i="20" s="1"/>
  <c r="INS6" i="20" a="1"/>
  <c r="INS6" i="20" s="1"/>
  <c r="INR6" i="20"/>
  <c r="INR6" i="20" a="1"/>
  <c r="INQ6" i="20" a="1"/>
  <c r="INQ6" i="20" s="1"/>
  <c r="INP6" i="20" a="1"/>
  <c r="INP6" i="20" s="1"/>
  <c r="INO6" i="20" a="1"/>
  <c r="INO6" i="20" s="1"/>
  <c r="INN6" i="20"/>
  <c r="INN6" i="20" a="1"/>
  <c r="INM6" i="20"/>
  <c r="INM6" i="20" a="1"/>
  <c r="INL6" i="20"/>
  <c r="INL6" i="20" a="1"/>
  <c r="INK6" i="20" a="1"/>
  <c r="INK6" i="20" s="1"/>
  <c r="INJ6" i="20" a="1"/>
  <c r="INJ6" i="20" s="1"/>
  <c r="INI6" i="20" a="1"/>
  <c r="INI6" i="20" s="1"/>
  <c r="INH6" i="20" a="1"/>
  <c r="INH6" i="20" s="1"/>
  <c r="ING6" i="20" a="1"/>
  <c r="ING6" i="20" s="1"/>
  <c r="INF6" i="20" a="1"/>
  <c r="INF6" i="20" s="1"/>
  <c r="INE6" i="20"/>
  <c r="INE6" i="20" a="1"/>
  <c r="IND6" i="20" a="1"/>
  <c r="IND6" i="20" s="1"/>
  <c r="INC6" i="20" a="1"/>
  <c r="INC6" i="20" s="1"/>
  <c r="INB6" i="20"/>
  <c r="INB6" i="20" a="1"/>
  <c r="INA6" i="20"/>
  <c r="INA6" i="20" a="1"/>
  <c r="IMZ6" i="20"/>
  <c r="IMZ6" i="20" a="1"/>
  <c r="IMY6" i="20"/>
  <c r="IMY6" i="20" a="1"/>
  <c r="IMX6" i="20" a="1"/>
  <c r="IMX6" i="20" s="1"/>
  <c r="IMW6" i="20" a="1"/>
  <c r="IMW6" i="20" s="1"/>
  <c r="IMV6" i="20" a="1"/>
  <c r="IMV6" i="20" s="1"/>
  <c r="IMU6" i="20" a="1"/>
  <c r="IMU6" i="20" s="1"/>
  <c r="IMT6" i="20" a="1"/>
  <c r="IMT6" i="20" s="1"/>
  <c r="IMS6" i="20" a="1"/>
  <c r="IMS6" i="20" s="1"/>
  <c r="IMR6" i="20"/>
  <c r="IMR6" i="20" a="1"/>
  <c r="IMQ6" i="20" a="1"/>
  <c r="IMQ6" i="20" s="1"/>
  <c r="IMP6" i="20" a="1"/>
  <c r="IMP6" i="20" s="1"/>
  <c r="IMO6" i="20"/>
  <c r="IMO6" i="20" a="1"/>
  <c r="IMN6" i="20"/>
  <c r="IMN6" i="20" a="1"/>
  <c r="IMM6" i="20"/>
  <c r="IMM6" i="20" a="1"/>
  <c r="IML6" i="20"/>
  <c r="IML6" i="20" a="1"/>
  <c r="IMK6" i="20" a="1"/>
  <c r="IMK6" i="20" s="1"/>
  <c r="IMJ6" i="20" a="1"/>
  <c r="IMJ6" i="20" s="1"/>
  <c r="IMI6" i="20" a="1"/>
  <c r="IMI6" i="20" s="1"/>
  <c r="IMH6" i="20" a="1"/>
  <c r="IMH6" i="20" s="1"/>
  <c r="IMG6" i="20" a="1"/>
  <c r="IMG6" i="20" s="1"/>
  <c r="IMF6" i="20" a="1"/>
  <c r="IMF6" i="20" s="1"/>
  <c r="IME6" i="20" a="1"/>
  <c r="IME6" i="20" s="1"/>
  <c r="IMD6" i="20" a="1"/>
  <c r="IMD6" i="20" s="1"/>
  <c r="IMC6" i="20" a="1"/>
  <c r="IMC6" i="20" s="1"/>
  <c r="IMB6" i="20"/>
  <c r="IMB6" i="20" a="1"/>
  <c r="IMA6" i="20"/>
  <c r="IMA6" i="20" a="1"/>
  <c r="ILZ6" i="20"/>
  <c r="ILZ6" i="20" a="1"/>
  <c r="ILY6" i="20" a="1"/>
  <c r="ILY6" i="20" s="1"/>
  <c r="ILX6" i="20"/>
  <c r="ILX6" i="20" a="1"/>
  <c r="ILW6" i="20" a="1"/>
  <c r="ILW6" i="20" s="1"/>
  <c r="ILV6" i="20" a="1"/>
  <c r="ILV6" i="20" s="1"/>
  <c r="ILU6" i="20" a="1"/>
  <c r="ILU6" i="20" s="1"/>
  <c r="ILT6" i="20" a="1"/>
  <c r="ILT6" i="20" s="1"/>
  <c r="ILS6" i="20" a="1"/>
  <c r="ILS6" i="20" s="1"/>
  <c r="ILR6" i="20"/>
  <c r="ILR6" i="20" a="1"/>
  <c r="ILQ6" i="20" a="1"/>
  <c r="ILQ6" i="20" s="1"/>
  <c r="ILP6" i="20" a="1"/>
  <c r="ILP6" i="20" s="1"/>
  <c r="ILO6" i="20"/>
  <c r="ILO6" i="20" a="1"/>
  <c r="ILN6" i="20"/>
  <c r="ILN6" i="20" a="1"/>
  <c r="ILM6" i="20" a="1"/>
  <c r="ILM6" i="20" s="1"/>
  <c r="ILL6" i="20" a="1"/>
  <c r="ILL6" i="20" s="1"/>
  <c r="ILK6" i="20"/>
  <c r="ILK6" i="20" a="1"/>
  <c r="ILJ6" i="20" a="1"/>
  <c r="ILJ6" i="20" s="1"/>
  <c r="ILI6" i="20" a="1"/>
  <c r="ILI6" i="20" s="1"/>
  <c r="ILH6" i="20" a="1"/>
  <c r="ILH6" i="20" s="1"/>
  <c r="ILG6" i="20" a="1"/>
  <c r="ILG6" i="20" s="1"/>
  <c r="ILF6" i="20"/>
  <c r="ILF6" i="20" a="1"/>
  <c r="ILE6" i="20"/>
  <c r="ILE6" i="20" a="1"/>
  <c r="ILD6" i="20" a="1"/>
  <c r="ILD6" i="20" s="1"/>
  <c r="ILC6" i="20" a="1"/>
  <c r="ILC6" i="20" s="1"/>
  <c r="ILB6" i="20"/>
  <c r="ILB6" i="20" a="1"/>
  <c r="ILA6" i="20" a="1"/>
  <c r="ILA6" i="20" s="1"/>
  <c r="IKZ6" i="20" a="1"/>
  <c r="IKZ6" i="20" s="1"/>
  <c r="IKY6" i="20" a="1"/>
  <c r="IKY6" i="20" s="1"/>
  <c r="IKX6" i="20"/>
  <c r="IKX6" i="20" a="1"/>
  <c r="IKW6" i="20" a="1"/>
  <c r="IKW6" i="20" s="1"/>
  <c r="IKV6" i="20" a="1"/>
  <c r="IKV6" i="20" s="1"/>
  <c r="IKU6" i="20" a="1"/>
  <c r="IKU6" i="20" s="1"/>
  <c r="IKT6" i="20"/>
  <c r="IKT6" i="20" a="1"/>
  <c r="IKS6" i="20"/>
  <c r="IKS6" i="20" a="1"/>
  <c r="IKR6" i="20"/>
  <c r="IKR6" i="20" a="1"/>
  <c r="IKQ6" i="20" a="1"/>
  <c r="IKQ6" i="20" s="1"/>
  <c r="IKP6" i="20" a="1"/>
  <c r="IKP6" i="20" s="1"/>
  <c r="IKO6" i="20" a="1"/>
  <c r="IKO6" i="20" s="1"/>
  <c r="IKN6" i="20" a="1"/>
  <c r="IKN6" i="20" s="1"/>
  <c r="IKM6" i="20" a="1"/>
  <c r="IKM6" i="20" s="1"/>
  <c r="IKL6" i="20" a="1"/>
  <c r="IKL6" i="20" s="1"/>
  <c r="IKK6" i="20"/>
  <c r="IKK6" i="20" a="1"/>
  <c r="IKJ6" i="20" a="1"/>
  <c r="IKJ6" i="20" s="1"/>
  <c r="IKI6" i="20" a="1"/>
  <c r="IKI6" i="20" s="1"/>
  <c r="IKH6" i="20"/>
  <c r="IKH6" i="20" a="1"/>
  <c r="IKG6" i="20"/>
  <c r="IKG6" i="20" a="1"/>
  <c r="IKF6" i="20"/>
  <c r="IKF6" i="20" a="1"/>
  <c r="IKE6" i="20"/>
  <c r="IKE6" i="20" a="1"/>
  <c r="IKD6" i="20" a="1"/>
  <c r="IKD6" i="20" s="1"/>
  <c r="IKC6" i="20" a="1"/>
  <c r="IKC6" i="20" s="1"/>
  <c r="IKB6" i="20"/>
  <c r="IKB6" i="20" a="1"/>
  <c r="IKA6" i="20" a="1"/>
  <c r="IKA6" i="20" s="1"/>
  <c r="IJZ6" i="20" a="1"/>
  <c r="IJZ6" i="20" s="1"/>
  <c r="IJY6" i="20" a="1"/>
  <c r="IJY6" i="20" s="1"/>
  <c r="IJX6" i="20"/>
  <c r="IJX6" i="20" a="1"/>
  <c r="IJW6" i="20" a="1"/>
  <c r="IJW6" i="20" s="1"/>
  <c r="IJV6" i="20" a="1"/>
  <c r="IJV6" i="20" s="1"/>
  <c r="IJU6" i="20"/>
  <c r="IJU6" i="20" a="1"/>
  <c r="IJT6" i="20"/>
  <c r="IJT6" i="20" a="1"/>
  <c r="IJS6" i="20"/>
  <c r="IJS6" i="20" a="1"/>
  <c r="IJR6" i="20"/>
  <c r="IJR6" i="20" a="1"/>
  <c r="IJQ6" i="20" a="1"/>
  <c r="IJQ6" i="20" s="1"/>
  <c r="IJP6" i="20" a="1"/>
  <c r="IJP6" i="20" s="1"/>
  <c r="IJO6" i="20" a="1"/>
  <c r="IJO6" i="20" s="1"/>
  <c r="IJN6" i="20" a="1"/>
  <c r="IJN6" i="20" s="1"/>
  <c r="IJM6" i="20" a="1"/>
  <c r="IJM6" i="20" s="1"/>
  <c r="IJL6" i="20" a="1"/>
  <c r="IJL6" i="20" s="1"/>
  <c r="IJK6" i="20" a="1"/>
  <c r="IJK6" i="20" s="1"/>
  <c r="IJJ6" i="20" a="1"/>
  <c r="IJJ6" i="20" s="1"/>
  <c r="IJI6" i="20" a="1"/>
  <c r="IJI6" i="20" s="1"/>
  <c r="IJH6" i="20"/>
  <c r="IJH6" i="20" a="1"/>
  <c r="IJG6" i="20"/>
  <c r="IJG6" i="20" a="1"/>
  <c r="IJF6" i="20"/>
  <c r="IJF6" i="20" a="1"/>
  <c r="IJE6" i="20" a="1"/>
  <c r="IJE6" i="20" s="1"/>
  <c r="IJD6" i="20"/>
  <c r="IJD6" i="20" a="1"/>
  <c r="IJC6" i="20" a="1"/>
  <c r="IJC6" i="20" s="1"/>
  <c r="IJB6" i="20" a="1"/>
  <c r="IJB6" i="20" s="1"/>
  <c r="IJA6" i="20" a="1"/>
  <c r="IJA6" i="20" s="1"/>
  <c r="IIZ6" i="20" a="1"/>
  <c r="IIZ6" i="20" s="1"/>
  <c r="IIY6" i="20" a="1"/>
  <c r="IIY6" i="20" s="1"/>
  <c r="IIX6" i="20"/>
  <c r="IIX6" i="20" a="1"/>
  <c r="IIW6" i="20" a="1"/>
  <c r="IIW6" i="20" s="1"/>
  <c r="IIV6" i="20" a="1"/>
  <c r="IIV6" i="20" s="1"/>
  <c r="IIU6" i="20"/>
  <c r="IIU6" i="20" a="1"/>
  <c r="IIT6" i="20"/>
  <c r="IIT6" i="20" a="1"/>
  <c r="IIS6" i="20" a="1"/>
  <c r="IIS6" i="20" s="1"/>
  <c r="IIR6" i="20" a="1"/>
  <c r="IIR6" i="20" s="1"/>
  <c r="IIQ6" i="20"/>
  <c r="IIQ6" i="20" a="1"/>
  <c r="IIP6" i="20" a="1"/>
  <c r="IIP6" i="20" s="1"/>
  <c r="IIO6" i="20" a="1"/>
  <c r="IIO6" i="20" s="1"/>
  <c r="IIN6" i="20" a="1"/>
  <c r="IIN6" i="20" s="1"/>
  <c r="IIM6" i="20" a="1"/>
  <c r="IIM6" i="20" s="1"/>
  <c r="IIL6" i="20"/>
  <c r="IIL6" i="20" a="1"/>
  <c r="IIK6" i="20"/>
  <c r="IIK6" i="20" a="1"/>
  <c r="IIJ6" i="20" a="1"/>
  <c r="IIJ6" i="20" s="1"/>
  <c r="III6" i="20" a="1"/>
  <c r="III6" i="20" s="1"/>
  <c r="IIH6" i="20"/>
  <c r="IIH6" i="20" a="1"/>
  <c r="IIG6" i="20" a="1"/>
  <c r="IIG6" i="20" s="1"/>
  <c r="IIF6" i="20" a="1"/>
  <c r="IIF6" i="20" s="1"/>
  <c r="IIE6" i="20" a="1"/>
  <c r="IIE6" i="20" s="1"/>
  <c r="IID6" i="20"/>
  <c r="IID6" i="20" a="1"/>
  <c r="IIC6" i="20" a="1"/>
  <c r="IIC6" i="20" s="1"/>
  <c r="IIB6" i="20" a="1"/>
  <c r="IIB6" i="20" s="1"/>
  <c r="IIA6" i="20" a="1"/>
  <c r="IIA6" i="20" s="1"/>
  <c r="IHZ6" i="20"/>
  <c r="IHZ6" i="20" a="1"/>
  <c r="IHY6" i="20"/>
  <c r="IHY6" i="20" a="1"/>
  <c r="IHX6" i="20"/>
  <c r="IHX6" i="20" a="1"/>
  <c r="IHW6" i="20" a="1"/>
  <c r="IHW6" i="20" s="1"/>
  <c r="IHV6" i="20" a="1"/>
  <c r="IHV6" i="20" s="1"/>
  <c r="IHU6" i="20" a="1"/>
  <c r="IHU6" i="20" s="1"/>
  <c r="IHT6" i="20" a="1"/>
  <c r="IHT6" i="20" s="1"/>
  <c r="IHS6" i="20" a="1"/>
  <c r="IHS6" i="20" s="1"/>
  <c r="IHR6" i="20" a="1"/>
  <c r="IHR6" i="20" s="1"/>
  <c r="IHQ6" i="20"/>
  <c r="IHQ6" i="20" a="1"/>
  <c r="IHP6" i="20" a="1"/>
  <c r="IHP6" i="20" s="1"/>
  <c r="IHO6" i="20" a="1"/>
  <c r="IHO6" i="20" s="1"/>
  <c r="IHN6" i="20"/>
  <c r="IHN6" i="20" a="1"/>
  <c r="IHM6" i="20"/>
  <c r="IHM6" i="20" a="1"/>
  <c r="IHL6" i="20"/>
  <c r="IHL6" i="20" a="1"/>
  <c r="IHK6" i="20"/>
  <c r="IHK6" i="20" a="1"/>
  <c r="IHJ6" i="20" a="1"/>
  <c r="IHJ6" i="20" s="1"/>
  <c r="IHI6" i="20" a="1"/>
  <c r="IHI6" i="20" s="1"/>
  <c r="IHH6" i="20" a="1"/>
  <c r="IHH6" i="20" s="1"/>
  <c r="IHG6" i="20" a="1"/>
  <c r="IHG6" i="20" s="1"/>
  <c r="IHF6" i="20" a="1"/>
  <c r="IHF6" i="20" s="1"/>
  <c r="IHE6" i="20" a="1"/>
  <c r="IHE6" i="20" s="1"/>
  <c r="IHD6" i="20"/>
  <c r="IHD6" i="20" a="1"/>
  <c r="IHC6" i="20" a="1"/>
  <c r="IHC6" i="20" s="1"/>
  <c r="IHB6" i="20"/>
  <c r="IHB6" i="20" a="1"/>
  <c r="IHA6" i="20"/>
  <c r="IHA6" i="20" a="1"/>
  <c r="IGZ6" i="20"/>
  <c r="IGZ6" i="20" a="1"/>
  <c r="IGY6" i="20"/>
  <c r="IGY6" i="20" a="1"/>
  <c r="IGX6" i="20"/>
  <c r="IGX6" i="20" a="1"/>
  <c r="IGW6" i="20" a="1"/>
  <c r="IGW6" i="20" s="1"/>
  <c r="IGV6" i="20" a="1"/>
  <c r="IGV6" i="20" s="1"/>
  <c r="IGU6" i="20"/>
  <c r="IGU6" i="20" a="1"/>
  <c r="IGT6" i="20" a="1"/>
  <c r="IGT6" i="20" s="1"/>
  <c r="IGS6" i="20" a="1"/>
  <c r="IGS6" i="20" s="1"/>
  <c r="IGR6" i="20" a="1"/>
  <c r="IGR6" i="20" s="1"/>
  <c r="IGQ6" i="20" a="1"/>
  <c r="IGQ6" i="20" s="1"/>
  <c r="IGP6" i="20" a="1"/>
  <c r="IGP6" i="20" s="1"/>
  <c r="IGO6" i="20"/>
  <c r="IGO6" i="20" a="1"/>
  <c r="IGN6" i="20"/>
  <c r="IGN6" i="20" a="1"/>
  <c r="IGM6" i="20"/>
  <c r="IGM6" i="20" a="1"/>
  <c r="IGL6" i="20"/>
  <c r="IGL6" i="20" a="1"/>
  <c r="IGK6" i="20" a="1"/>
  <c r="IGK6" i="20" s="1"/>
  <c r="IGJ6" i="20"/>
  <c r="IGJ6" i="20" a="1"/>
  <c r="IGI6" i="20" a="1"/>
  <c r="IGI6" i="20" s="1"/>
  <c r="IGH6" i="20"/>
  <c r="IGH6" i="20" a="1"/>
  <c r="IGG6" i="20" a="1"/>
  <c r="IGG6" i="20" s="1"/>
  <c r="IGF6" i="20" a="1"/>
  <c r="IGF6" i="20" s="1"/>
  <c r="IGE6" i="20" a="1"/>
  <c r="IGE6" i="20" s="1"/>
  <c r="IGD6" i="20"/>
  <c r="IGD6" i="20" a="1"/>
  <c r="IGC6" i="20" a="1"/>
  <c r="IGC6" i="20" s="1"/>
  <c r="IGB6" i="20" a="1"/>
  <c r="IGB6" i="20" s="1"/>
  <c r="IGA6" i="20"/>
  <c r="IGA6" i="20" a="1"/>
  <c r="IFZ6" i="20"/>
  <c r="IFZ6" i="20" a="1"/>
  <c r="IFY6" i="20" a="1"/>
  <c r="IFY6" i="20" s="1"/>
  <c r="IFX6" i="20" a="1"/>
  <c r="IFX6" i="20" s="1"/>
  <c r="IFW6" i="20"/>
  <c r="IFW6" i="20" a="1"/>
  <c r="IFV6" i="20" a="1"/>
  <c r="IFV6" i="20" s="1"/>
  <c r="IFU6" i="20" a="1"/>
  <c r="IFU6" i="20" s="1"/>
  <c r="IFT6" i="20" a="1"/>
  <c r="IFT6" i="20" s="1"/>
  <c r="IFS6" i="20" a="1"/>
  <c r="IFS6" i="20" s="1"/>
  <c r="IFR6" i="20"/>
  <c r="IFR6" i="20" a="1"/>
  <c r="IFQ6" i="20" a="1"/>
  <c r="IFQ6" i="20" s="1"/>
  <c r="IFP6" i="20" a="1"/>
  <c r="IFP6" i="20" s="1"/>
  <c r="IFO6" i="20" a="1"/>
  <c r="IFO6" i="20" s="1"/>
  <c r="IFN6" i="20"/>
  <c r="IFN6" i="20" a="1"/>
  <c r="IFM6" i="20" a="1"/>
  <c r="IFM6" i="20" s="1"/>
  <c r="IFL6" i="20" a="1"/>
  <c r="IFL6" i="20" s="1"/>
  <c r="IFK6" i="20" a="1"/>
  <c r="IFK6" i="20" s="1"/>
  <c r="IFJ6" i="20"/>
  <c r="IFJ6" i="20" a="1"/>
  <c r="IFI6" i="20" a="1"/>
  <c r="IFI6" i="20" s="1"/>
  <c r="IFH6" i="20"/>
  <c r="IFH6" i="20" a="1"/>
  <c r="IFG6" i="20" a="1"/>
  <c r="IFG6" i="20" s="1"/>
  <c r="IFF6" i="20"/>
  <c r="IFF6" i="20" a="1"/>
  <c r="IFE6" i="20"/>
  <c r="IFE6" i="20" a="1"/>
  <c r="IFD6" i="20" a="1"/>
  <c r="IFD6" i="20" s="1"/>
  <c r="IFC6" i="20" a="1"/>
  <c r="IFC6" i="20" s="1"/>
  <c r="IFB6" i="20"/>
  <c r="IFB6" i="20" a="1"/>
  <c r="IFA6" i="20" a="1"/>
  <c r="IFA6" i="20" s="1"/>
  <c r="IEZ6" i="20" a="1"/>
  <c r="IEZ6" i="20" s="1"/>
  <c r="IEY6" i="20" a="1"/>
  <c r="IEY6" i="20" s="1"/>
  <c r="IEX6" i="20" a="1"/>
  <c r="IEX6" i="20" s="1"/>
  <c r="IEW6" i="20"/>
  <c r="IEW6" i="20" a="1"/>
  <c r="IEV6" i="20" a="1"/>
  <c r="IEV6" i="20" s="1"/>
  <c r="IEU6" i="20" a="1"/>
  <c r="IEU6" i="20" s="1"/>
  <c r="IET6" i="20"/>
  <c r="IET6" i="20" a="1"/>
  <c r="IES6" i="20"/>
  <c r="IES6" i="20" a="1"/>
  <c r="IER6" i="20"/>
  <c r="IER6" i="20" a="1"/>
  <c r="IEQ6" i="20" a="1"/>
  <c r="IEQ6" i="20" s="1"/>
  <c r="IEP6" i="20" a="1"/>
  <c r="IEP6" i="20" s="1"/>
  <c r="IEO6" i="20" a="1"/>
  <c r="IEO6" i="20" s="1"/>
  <c r="IEN6" i="20" a="1"/>
  <c r="IEN6" i="20" s="1"/>
  <c r="IEM6" i="20" a="1"/>
  <c r="IEM6" i="20" s="1"/>
  <c r="IEL6" i="20" a="1"/>
  <c r="IEL6" i="20" s="1"/>
  <c r="IEK6" i="20" a="1"/>
  <c r="IEK6" i="20" s="1"/>
  <c r="IEJ6" i="20"/>
  <c r="IEJ6" i="20" a="1"/>
  <c r="IEI6" i="20" a="1"/>
  <c r="IEI6" i="20" s="1"/>
  <c r="IEH6" i="20" a="1"/>
  <c r="IEH6" i="20" s="1"/>
  <c r="IEG6" i="20"/>
  <c r="IEG6" i="20" a="1"/>
  <c r="IEF6" i="20"/>
  <c r="IEF6" i="20" a="1"/>
  <c r="IEE6" i="20"/>
  <c r="IEE6" i="20" a="1"/>
  <c r="IED6" i="20"/>
  <c r="IED6" i="20" a="1"/>
  <c r="IEC6" i="20" a="1"/>
  <c r="IEC6" i="20" s="1"/>
  <c r="IEB6" i="20" a="1"/>
  <c r="IEB6" i="20" s="1"/>
  <c r="IEA6" i="20" a="1"/>
  <c r="IEA6" i="20" s="1"/>
  <c r="IDZ6" i="20" a="1"/>
  <c r="IDZ6" i="20" s="1"/>
  <c r="IDY6" i="20" a="1"/>
  <c r="IDY6" i="20" s="1"/>
  <c r="IDX6" i="20" a="1"/>
  <c r="IDX6" i="20" s="1"/>
  <c r="IDW6" i="20" a="1"/>
  <c r="IDW6" i="20" s="1"/>
  <c r="IDV6" i="20" a="1"/>
  <c r="IDV6" i="20" s="1"/>
  <c r="IDU6" i="20" a="1"/>
  <c r="IDU6" i="20" s="1"/>
  <c r="IDT6" i="20"/>
  <c r="IDT6" i="20" a="1"/>
  <c r="IDS6" i="20"/>
  <c r="IDS6" i="20" a="1"/>
  <c r="IDR6" i="20"/>
  <c r="IDR6" i="20" a="1"/>
  <c r="IDQ6" i="20" a="1"/>
  <c r="IDQ6" i="20" s="1"/>
  <c r="IDP6" i="20"/>
  <c r="IDP6" i="20" a="1"/>
  <c r="IDO6" i="20" a="1"/>
  <c r="IDO6" i="20" s="1"/>
  <c r="IDN6" i="20" a="1"/>
  <c r="IDN6" i="20" s="1"/>
  <c r="IDM6" i="20" a="1"/>
  <c r="IDM6" i="20" s="1"/>
  <c r="IDL6" i="20" a="1"/>
  <c r="IDL6" i="20" s="1"/>
  <c r="IDK6" i="20" a="1"/>
  <c r="IDK6" i="20" s="1"/>
  <c r="IDJ6" i="20" a="1"/>
  <c r="IDJ6" i="20" s="1"/>
  <c r="IDI6" i="20" a="1"/>
  <c r="IDI6" i="20" s="1"/>
  <c r="IDH6" i="20" a="1"/>
  <c r="IDH6" i="20" s="1"/>
  <c r="IDG6" i="20"/>
  <c r="IDG6" i="20" a="1"/>
  <c r="IDF6" i="20"/>
  <c r="IDF6" i="20" a="1"/>
  <c r="IDE6" i="20" a="1"/>
  <c r="IDE6" i="20" s="1"/>
  <c r="IDD6" i="20" a="1"/>
  <c r="IDD6" i="20" s="1"/>
  <c r="IDC6" i="20"/>
  <c r="IDC6" i="20" a="1"/>
  <c r="IDB6" i="20" a="1"/>
  <c r="IDB6" i="20" s="1"/>
  <c r="IDA6" i="20"/>
  <c r="IDA6" i="20" a="1"/>
  <c r="ICZ6" i="20" a="1"/>
  <c r="ICZ6" i="20" s="1"/>
  <c r="ICY6" i="20" a="1"/>
  <c r="ICY6" i="20" s="1"/>
  <c r="ICX6" i="20"/>
  <c r="ICX6" i="20" a="1"/>
  <c r="ICW6" i="20"/>
  <c r="ICW6" i="20" a="1"/>
  <c r="ICV6" i="20" a="1"/>
  <c r="ICV6" i="20" s="1"/>
  <c r="ICU6" i="20" a="1"/>
  <c r="ICU6" i="20" s="1"/>
  <c r="ICT6" i="20"/>
  <c r="ICT6" i="20" a="1"/>
  <c r="ICS6" i="20" a="1"/>
  <c r="ICS6" i="20" s="1"/>
  <c r="ICR6" i="20" a="1"/>
  <c r="ICR6" i="20" s="1"/>
  <c r="ICQ6" i="20" a="1"/>
  <c r="ICQ6" i="20" s="1"/>
  <c r="ICP6" i="20"/>
  <c r="ICP6" i="20" a="1"/>
  <c r="ICO6" i="20"/>
  <c r="ICO6" i="20" a="1"/>
  <c r="ICN6" i="20"/>
  <c r="ICN6" i="20" a="1"/>
  <c r="ICM6" i="20" a="1"/>
  <c r="ICM6" i="20" s="1"/>
  <c r="ICL6" i="20"/>
  <c r="ICL6" i="20" a="1"/>
  <c r="ICK6" i="20"/>
  <c r="ICK6" i="20" a="1"/>
  <c r="ICJ6" i="20" a="1"/>
  <c r="ICJ6" i="20" s="1"/>
  <c r="ICI6" i="20" a="1"/>
  <c r="ICI6" i="20" s="1"/>
  <c r="ICH6" i="20"/>
  <c r="ICH6" i="20" a="1"/>
  <c r="ICG6" i="20" a="1"/>
  <c r="ICG6" i="20" s="1"/>
  <c r="ICF6" i="20" a="1"/>
  <c r="ICF6" i="20" s="1"/>
  <c r="ICE6" i="20" a="1"/>
  <c r="ICE6" i="20" s="1"/>
  <c r="ICD6" i="20" a="1"/>
  <c r="ICD6" i="20" s="1"/>
  <c r="ICC6" i="20"/>
  <c r="ICC6" i="20" a="1"/>
  <c r="ICB6" i="20" a="1"/>
  <c r="ICB6" i="20" s="1"/>
  <c r="ICA6" i="20" a="1"/>
  <c r="ICA6" i="20" s="1"/>
  <c r="IBZ6" i="20"/>
  <c r="IBZ6" i="20" a="1"/>
  <c r="IBY6" i="20"/>
  <c r="IBY6" i="20" a="1"/>
  <c r="IBX6" i="20"/>
  <c r="IBX6" i="20" a="1"/>
  <c r="IBW6" i="20"/>
  <c r="IBW6" i="20" a="1"/>
  <c r="IBV6" i="20" a="1"/>
  <c r="IBV6" i="20" s="1"/>
  <c r="IBU6" i="20" a="1"/>
  <c r="IBU6" i="20" s="1"/>
  <c r="IBT6" i="20" a="1"/>
  <c r="IBT6" i="20" s="1"/>
  <c r="IBS6" i="20"/>
  <c r="IBS6" i="20" a="1"/>
  <c r="IBR6" i="20" a="1"/>
  <c r="IBR6" i="20" s="1"/>
  <c r="IBQ6" i="20" a="1"/>
  <c r="IBQ6" i="20" s="1"/>
  <c r="IBP6" i="20"/>
  <c r="IBP6" i="20" a="1"/>
  <c r="IBO6" i="20" a="1"/>
  <c r="IBO6" i="20" s="1"/>
  <c r="IBN6" i="20"/>
  <c r="IBN6" i="20" a="1"/>
  <c r="IBM6" i="20"/>
  <c r="IBM6" i="20" a="1"/>
  <c r="IBL6" i="20"/>
  <c r="IBL6" i="20" a="1"/>
  <c r="IBK6" i="20"/>
  <c r="IBK6" i="20" a="1"/>
  <c r="IBJ6" i="20"/>
  <c r="IBJ6" i="20" a="1"/>
  <c r="IBI6" i="20" a="1"/>
  <c r="IBI6" i="20" s="1"/>
  <c r="IBH6" i="20"/>
  <c r="IBH6" i="20" a="1"/>
  <c r="IBG6" i="20" a="1"/>
  <c r="IBG6" i="20" s="1"/>
  <c r="IBF6" i="20"/>
  <c r="IBF6" i="20" a="1"/>
  <c r="IBE6" i="20" a="1"/>
  <c r="IBE6" i="20" s="1"/>
  <c r="IBD6" i="20" a="1"/>
  <c r="IBD6" i="20" s="1"/>
  <c r="IBC6" i="20" a="1"/>
  <c r="IBC6" i="20" s="1"/>
  <c r="IBB6" i="20" a="1"/>
  <c r="IBB6" i="20" s="1"/>
  <c r="IBA6" i="20" a="1"/>
  <c r="IBA6" i="20" s="1"/>
  <c r="IAZ6" i="20"/>
  <c r="IAZ6" i="20" a="1"/>
  <c r="IAY6" i="20"/>
  <c r="IAY6" i="20" a="1"/>
  <c r="IAX6" i="20"/>
  <c r="IAX6" i="20" a="1"/>
  <c r="IAW6" i="20" a="1"/>
  <c r="IAW6" i="20" s="1"/>
  <c r="IAV6" i="20"/>
  <c r="IAV6" i="20" a="1"/>
  <c r="IAU6" i="20"/>
  <c r="IAU6" i="20" a="1"/>
  <c r="IAT6" i="20" a="1"/>
  <c r="IAT6" i="20" s="1"/>
  <c r="IAS6" i="20"/>
  <c r="IAS6" i="20" a="1"/>
  <c r="IAR6" i="20" a="1"/>
  <c r="IAR6" i="20" s="1"/>
  <c r="IAQ6" i="20" a="1"/>
  <c r="IAQ6" i="20" s="1"/>
  <c r="IAP6" i="20"/>
  <c r="IAP6" i="20" a="1"/>
  <c r="IAO6" i="20" a="1"/>
  <c r="IAO6" i="20" s="1"/>
  <c r="IAN6" i="20" a="1"/>
  <c r="IAN6" i="20" s="1"/>
  <c r="IAM6" i="20"/>
  <c r="IAM6" i="20" a="1"/>
  <c r="IAL6" i="20"/>
  <c r="IAL6" i="20" a="1"/>
  <c r="IAK6" i="20" a="1"/>
  <c r="IAK6" i="20" s="1"/>
  <c r="IAJ6" i="20" a="1"/>
  <c r="IAJ6" i="20" s="1"/>
  <c r="IAI6" i="20"/>
  <c r="IAI6" i="20" a="1"/>
  <c r="IAH6" i="20" a="1"/>
  <c r="IAH6" i="20" s="1"/>
  <c r="IAG6" i="20" a="1"/>
  <c r="IAG6" i="20" s="1"/>
  <c r="IAF6" i="20"/>
  <c r="IAF6" i="20" a="1"/>
  <c r="IAE6" i="20" a="1"/>
  <c r="IAE6" i="20" s="1"/>
  <c r="IAD6" i="20"/>
  <c r="IAD6" i="20" a="1"/>
  <c r="IAC6" i="20" a="1"/>
  <c r="IAC6" i="20" s="1"/>
  <c r="IAB6" i="20" a="1"/>
  <c r="IAB6" i="20" s="1"/>
  <c r="IAA6" i="20" a="1"/>
  <c r="IAA6" i="20" s="1"/>
  <c r="HZZ6" i="20"/>
  <c r="HZZ6" i="20" a="1"/>
  <c r="HZY6" i="20" a="1"/>
  <c r="HZY6" i="20" s="1"/>
  <c r="HZX6" i="20" a="1"/>
  <c r="HZX6" i="20" s="1"/>
  <c r="HZW6" i="20" a="1"/>
  <c r="HZW6" i="20" s="1"/>
  <c r="HZV6" i="20"/>
  <c r="HZV6" i="20" a="1"/>
  <c r="HZU6" i="20" a="1"/>
  <c r="HZU6" i="20" s="1"/>
  <c r="HZT6" i="20"/>
  <c r="HZT6" i="20" a="1"/>
  <c r="HZS6" i="20" a="1"/>
  <c r="HZS6" i="20" s="1"/>
  <c r="HZR6" i="20"/>
  <c r="HZR6" i="20" a="1"/>
  <c r="HZQ6" i="20"/>
  <c r="HZQ6" i="20" a="1"/>
  <c r="HZP6" i="20"/>
  <c r="HZP6" i="20" a="1"/>
  <c r="HZO6" i="20" a="1"/>
  <c r="HZO6" i="20" s="1"/>
  <c r="HZN6" i="20" a="1"/>
  <c r="HZN6" i="20" s="1"/>
  <c r="HZM6" i="20" a="1"/>
  <c r="HZM6" i="20" s="1"/>
  <c r="HZL6" i="20"/>
  <c r="HZL6" i="20" a="1"/>
  <c r="HZK6" i="20" a="1"/>
  <c r="HZK6" i="20" s="1"/>
  <c r="HZJ6" i="20" a="1"/>
  <c r="HZJ6" i="20" s="1"/>
  <c r="HZI6" i="20"/>
  <c r="HZI6" i="20" a="1"/>
  <c r="HZH6" i="20"/>
  <c r="HZH6" i="20" a="1"/>
  <c r="HZG6" i="20" a="1"/>
  <c r="HZG6" i="20" s="1"/>
  <c r="HZF6" i="20"/>
  <c r="HZF6" i="20" a="1"/>
  <c r="HZE6" i="20"/>
  <c r="HZE6" i="20" a="1"/>
  <c r="HZD6" i="20"/>
  <c r="HZD6" i="20" a="1"/>
  <c r="HZC6" i="20"/>
  <c r="HZC6" i="20" a="1"/>
  <c r="HZB6" i="20" a="1"/>
  <c r="HZB6" i="20" s="1"/>
  <c r="HZA6" i="20" a="1"/>
  <c r="HZA6" i="20" s="1"/>
  <c r="HYZ6" i="20"/>
  <c r="HYZ6" i="20" a="1"/>
  <c r="HYY6" i="20"/>
  <c r="HYY6" i="20" a="1"/>
  <c r="HYX6" i="20" a="1"/>
  <c r="HYX6" i="20" s="1"/>
  <c r="HYW6" i="20" a="1"/>
  <c r="HYW6" i="20" s="1"/>
  <c r="HYV6" i="20"/>
  <c r="HYV6" i="20" a="1"/>
  <c r="HYU6" i="20" a="1"/>
  <c r="HYU6" i="20" s="1"/>
  <c r="HYT6" i="20" a="1"/>
  <c r="HYT6" i="20" s="1"/>
  <c r="HYS6" i="20"/>
  <c r="HYS6" i="20" a="1"/>
  <c r="HYR6" i="20"/>
  <c r="HYR6" i="20" a="1"/>
  <c r="HYQ6" i="20"/>
  <c r="HYQ6" i="20" a="1"/>
  <c r="HYP6" i="20" a="1"/>
  <c r="HYP6" i="20" s="1"/>
  <c r="HYO6" i="20" a="1"/>
  <c r="HYO6" i="20" s="1"/>
  <c r="HYN6" i="20"/>
  <c r="HYN6" i="20" a="1"/>
  <c r="HYM6" i="20" a="1"/>
  <c r="HYM6" i="20" s="1"/>
  <c r="HYL6" i="20"/>
  <c r="HYL6" i="20" a="1"/>
  <c r="HYK6" i="20" a="1"/>
  <c r="HYK6" i="20" s="1"/>
  <c r="HYJ6" i="20" a="1"/>
  <c r="HYJ6" i="20" s="1"/>
  <c r="HYI6" i="20" a="1"/>
  <c r="HYI6" i="20" s="1"/>
  <c r="HYH6" i="20" a="1"/>
  <c r="HYH6" i="20" s="1"/>
  <c r="HYG6" i="20"/>
  <c r="HYG6" i="20" a="1"/>
  <c r="HYF6" i="20"/>
  <c r="HYF6" i="20" a="1"/>
  <c r="HYE6" i="20"/>
  <c r="HYE6" i="20" a="1"/>
  <c r="HYD6" i="20"/>
  <c r="HYD6" i="20" a="1"/>
  <c r="HYC6" i="20" a="1"/>
  <c r="HYC6" i="20" s="1"/>
  <c r="HYB6" i="20"/>
  <c r="HYB6" i="20" a="1"/>
  <c r="HYA6" i="20" a="1"/>
  <c r="HYA6" i="20" s="1"/>
  <c r="HXZ6" i="20" a="1"/>
  <c r="HXZ6" i="20" s="1"/>
  <c r="HXY6" i="20"/>
  <c r="HXY6" i="20" a="1"/>
  <c r="HXX6" i="20" a="1"/>
  <c r="HXX6" i="20" s="1"/>
  <c r="HXW6" i="20" a="1"/>
  <c r="HXW6" i="20" s="1"/>
  <c r="HXV6" i="20" a="1"/>
  <c r="HXV6" i="20" s="1"/>
  <c r="HXU6" i="20" a="1"/>
  <c r="HXU6" i="20" s="1"/>
  <c r="HXT6" i="20"/>
  <c r="HXT6" i="20" a="1"/>
  <c r="HXS6" i="20"/>
  <c r="HXS6" i="20" a="1"/>
  <c r="HXR6" i="20"/>
  <c r="HXR6" i="20" a="1"/>
  <c r="HXQ6" i="20" a="1"/>
  <c r="HXQ6" i="20" s="1"/>
  <c r="HXP6" i="20" a="1"/>
  <c r="HXP6" i="20" s="1"/>
  <c r="HXO6" i="20"/>
  <c r="HXO6" i="20" a="1"/>
  <c r="HXN6" i="20" a="1"/>
  <c r="HXN6" i="20" s="1"/>
  <c r="HXM6" i="20"/>
  <c r="HXM6" i="20" a="1"/>
  <c r="HXL6" i="20"/>
  <c r="HXL6" i="20" a="1"/>
  <c r="HXK6" i="20" a="1"/>
  <c r="HXK6" i="20" s="1"/>
  <c r="HXJ6" i="20"/>
  <c r="HXJ6" i="20" a="1"/>
  <c r="HXI6" i="20"/>
  <c r="HXI6" i="20" a="1"/>
  <c r="HXH6" i="20" a="1"/>
  <c r="HXH6" i="20" s="1"/>
  <c r="HXG6" i="20" a="1"/>
  <c r="HXG6" i="20" s="1"/>
  <c r="HXF6" i="20"/>
  <c r="HXF6" i="20" a="1"/>
  <c r="HXE6" i="20" a="1"/>
  <c r="HXE6" i="20" s="1"/>
  <c r="HXD6" i="20" a="1"/>
  <c r="HXD6" i="20" s="1"/>
  <c r="HXC6" i="20" a="1"/>
  <c r="HXC6" i="20" s="1"/>
  <c r="HXB6" i="20"/>
  <c r="HXB6" i="20" a="1"/>
  <c r="HXA6" i="20"/>
  <c r="HXA6" i="20" a="1"/>
  <c r="HWZ6" i="20" a="1"/>
  <c r="HWZ6" i="20" s="1"/>
  <c r="HWY6" i="20" a="1"/>
  <c r="HWY6" i="20" s="1"/>
  <c r="HWX6" i="20"/>
  <c r="HWX6" i="20" a="1"/>
  <c r="HWW6" i="20"/>
  <c r="HWW6" i="20" a="1"/>
  <c r="HWV6" i="20"/>
  <c r="HWV6" i="20" a="1"/>
  <c r="HWU6" i="20" a="1"/>
  <c r="HWU6" i="20" s="1"/>
  <c r="HWT6" i="20"/>
  <c r="HWT6" i="20" a="1"/>
  <c r="HWS6" i="20" a="1"/>
  <c r="HWS6" i="20" s="1"/>
  <c r="HWR6" i="20"/>
  <c r="HWR6" i="20" a="1"/>
  <c r="HWQ6" i="20" a="1"/>
  <c r="HWQ6" i="20" s="1"/>
  <c r="HWP6" i="20" a="1"/>
  <c r="HWP6" i="20" s="1"/>
  <c r="HWO6" i="20"/>
  <c r="HWO6" i="20" a="1"/>
  <c r="HWN6" i="20"/>
  <c r="HWN6" i="20" a="1"/>
  <c r="HWM6" i="20" a="1"/>
  <c r="HWM6" i="20" s="1"/>
  <c r="HWL6" i="20"/>
  <c r="HWL6" i="20" a="1"/>
  <c r="HWK6" i="20"/>
  <c r="HWK6" i="20" a="1"/>
  <c r="HWJ6" i="20"/>
  <c r="HWJ6" i="20" a="1"/>
  <c r="HWI6" i="20" a="1"/>
  <c r="HWI6" i="20" s="1"/>
  <c r="HWH6" i="20" a="1"/>
  <c r="HWH6" i="20" s="1"/>
  <c r="HWG6" i="20" a="1"/>
  <c r="HWG6" i="20" s="1"/>
  <c r="HWF6" i="20" a="1"/>
  <c r="HWF6" i="20" s="1"/>
  <c r="HWE6" i="20"/>
  <c r="HWE6" i="20" a="1"/>
  <c r="HWD6" i="20" a="1"/>
  <c r="HWD6" i="20" s="1"/>
  <c r="HWC6" i="20" a="1"/>
  <c r="HWC6" i="20" s="1"/>
  <c r="HWB6" i="20"/>
  <c r="HWB6" i="20" a="1"/>
  <c r="HWA6" i="20" a="1"/>
  <c r="HWA6" i="20" s="1"/>
  <c r="HVZ6" i="20"/>
  <c r="HVZ6" i="20" a="1"/>
  <c r="HVY6" i="20"/>
  <c r="HVY6" i="20" a="1"/>
  <c r="HVX6" i="20"/>
  <c r="HVX6" i="20" a="1"/>
  <c r="HVW6" i="20"/>
  <c r="HVW6" i="20" a="1"/>
  <c r="HVV6" i="20" a="1"/>
  <c r="HVV6" i="20" s="1"/>
  <c r="HVU6" i="20" a="1"/>
  <c r="HVU6" i="20" s="1"/>
  <c r="HVT6" i="20" a="1"/>
  <c r="HVT6" i="20" s="1"/>
  <c r="HVS6" i="20" a="1"/>
  <c r="HVS6" i="20" s="1"/>
  <c r="HVR6" i="20"/>
  <c r="HVR6" i="20" a="1"/>
  <c r="HVQ6" i="20" a="1"/>
  <c r="HVQ6" i="20" s="1"/>
  <c r="HVP6" i="20" a="1"/>
  <c r="HVP6" i="20" s="1"/>
  <c r="HVO6" i="20" a="1"/>
  <c r="HVO6" i="20" s="1"/>
  <c r="HVN6" i="20" a="1"/>
  <c r="HVN6" i="20" s="1"/>
  <c r="HVM6" i="20" a="1"/>
  <c r="HVM6" i="20" s="1"/>
  <c r="HVL6" i="20"/>
  <c r="HVL6" i="20" a="1"/>
  <c r="HVK6" i="20"/>
  <c r="HVK6" i="20" a="1"/>
  <c r="HVJ6" i="20"/>
  <c r="HVJ6" i="20" a="1"/>
  <c r="HVI6" i="20" a="1"/>
  <c r="HVI6" i="20" s="1"/>
  <c r="HVH6" i="20"/>
  <c r="HVH6" i="20" a="1"/>
  <c r="HVG6" i="20" a="1"/>
  <c r="HVG6" i="20" s="1"/>
  <c r="HVF6" i="20"/>
  <c r="HVF6" i="20" a="1"/>
  <c r="HVE6" i="20"/>
  <c r="HVE6" i="20" a="1"/>
  <c r="HVD6" i="20" a="1"/>
  <c r="HVD6" i="20" s="1"/>
  <c r="HVC6" i="20" a="1"/>
  <c r="HVC6" i="20" s="1"/>
  <c r="HVB6" i="20" a="1"/>
  <c r="HVB6" i="20" s="1"/>
  <c r="HVA6" i="20" a="1"/>
  <c r="HVA6" i="20" s="1"/>
  <c r="HUZ6" i="20" a="1"/>
  <c r="HUZ6" i="20" s="1"/>
  <c r="HUY6" i="20"/>
  <c r="HUY6" i="20" a="1"/>
  <c r="HUX6" i="20"/>
  <c r="HUX6" i="20" a="1"/>
  <c r="HUW6" i="20" a="1"/>
  <c r="HUW6" i="20" s="1"/>
  <c r="HUV6" i="20" a="1"/>
  <c r="HUV6" i="20" s="1"/>
  <c r="HUU6" i="20"/>
  <c r="HUU6" i="20" a="1"/>
  <c r="HUT6" i="20"/>
  <c r="HUT6" i="20" a="1"/>
  <c r="HUS6" i="20" a="1"/>
  <c r="HUS6" i="20" s="1"/>
  <c r="HUR6" i="20"/>
  <c r="HUR6" i="20" a="1"/>
  <c r="HUQ6" i="20" a="1"/>
  <c r="HUQ6" i="20" s="1"/>
  <c r="HUP6" i="20"/>
  <c r="HUP6" i="20" a="1"/>
  <c r="HUO6" i="20"/>
  <c r="HUO6" i="20" a="1"/>
  <c r="HUN6" i="20" a="1"/>
  <c r="HUN6" i="20" s="1"/>
  <c r="HUM6" i="20"/>
  <c r="HUM6" i="20" a="1"/>
  <c r="HUL6" i="20"/>
  <c r="HUL6" i="20" a="1"/>
  <c r="HUK6" i="20" a="1"/>
  <c r="HUK6" i="20" s="1"/>
  <c r="HUJ6" i="20" a="1"/>
  <c r="HUJ6" i="20" s="1"/>
  <c r="HUI6" i="20" a="1"/>
  <c r="HUI6" i="20" s="1"/>
  <c r="HUH6" i="20"/>
  <c r="HUH6" i="20" a="1"/>
  <c r="HUG6" i="20"/>
  <c r="HUG6" i="20" a="1"/>
  <c r="HUF6" i="20" a="1"/>
  <c r="HUF6" i="20" s="1"/>
  <c r="HUE6" i="20" a="1"/>
  <c r="HUE6" i="20" s="1"/>
  <c r="HUD6" i="20"/>
  <c r="HUD6" i="20" a="1"/>
  <c r="HUC6" i="20"/>
  <c r="HUC6" i="20" a="1"/>
  <c r="HUB6" i="20" a="1"/>
  <c r="HUB6" i="20" s="1"/>
  <c r="HUA6" i="20" a="1"/>
  <c r="HUA6" i="20" s="1"/>
  <c r="HTZ6" i="20"/>
  <c r="HTZ6" i="20" a="1"/>
  <c r="HTY6" i="20" a="1"/>
  <c r="HTY6" i="20" s="1"/>
  <c r="HTX6" i="20"/>
  <c r="HTX6" i="20" a="1"/>
  <c r="HTW6" i="20" a="1"/>
  <c r="HTW6" i="20" s="1"/>
  <c r="HTV6" i="20" a="1"/>
  <c r="HTV6" i="20" s="1"/>
  <c r="HTU6" i="20"/>
  <c r="HTU6" i="20" a="1"/>
  <c r="HTT6" i="20" a="1"/>
  <c r="HTT6" i="20" s="1"/>
  <c r="HTS6" i="20" a="1"/>
  <c r="HTS6" i="20" s="1"/>
  <c r="HTR6" i="20"/>
  <c r="HTR6" i="20" a="1"/>
  <c r="HTQ6" i="20"/>
  <c r="HTQ6" i="20" a="1"/>
  <c r="HTP6" i="20"/>
  <c r="HTP6" i="20" a="1"/>
  <c r="HTO6" i="20" a="1"/>
  <c r="HTO6" i="20" s="1"/>
  <c r="HTN6" i="20" a="1"/>
  <c r="HTN6" i="20" s="1"/>
  <c r="HTM6" i="20" a="1"/>
  <c r="HTM6" i="20" s="1"/>
  <c r="HTL6" i="20"/>
  <c r="HTL6" i="20" a="1"/>
  <c r="HTK6" i="20"/>
  <c r="HTK6" i="20" a="1"/>
  <c r="HTJ6" i="20" a="1"/>
  <c r="HTJ6" i="20" s="1"/>
  <c r="HTI6" i="20" a="1"/>
  <c r="HTI6" i="20" s="1"/>
  <c r="HTH6" i="20"/>
  <c r="HTH6" i="20" a="1"/>
  <c r="HTG6" i="20" a="1"/>
  <c r="HTG6" i="20" s="1"/>
  <c r="HTF6" i="20" a="1"/>
  <c r="HTF6" i="20" s="1"/>
  <c r="HTE6" i="20"/>
  <c r="HTE6" i="20" a="1"/>
  <c r="HTD6" i="20"/>
  <c r="HTD6" i="20" a="1"/>
  <c r="HTC6" i="20"/>
  <c r="HTC6" i="20" a="1"/>
  <c r="HTB6" i="20"/>
  <c r="HTB6" i="20" a="1"/>
  <c r="HTA6" i="20" a="1"/>
  <c r="HTA6" i="20" s="1"/>
  <c r="HSZ6" i="20" a="1"/>
  <c r="HSZ6" i="20" s="1"/>
  <c r="HSY6" i="20"/>
  <c r="HSY6" i="20" a="1"/>
  <c r="HSX6" i="20"/>
  <c r="HSX6" i="20" a="1"/>
  <c r="HSW6" i="20" a="1"/>
  <c r="HSW6" i="20" s="1"/>
  <c r="HSV6" i="20" a="1"/>
  <c r="HSV6" i="20" s="1"/>
  <c r="HSU6" i="20" a="1"/>
  <c r="HSU6" i="20" s="1"/>
  <c r="HST6" i="20" a="1"/>
  <c r="HST6" i="20" s="1"/>
  <c r="HSS6" i="20"/>
  <c r="HSS6" i="20" a="1"/>
  <c r="HSR6" i="20"/>
  <c r="HSR6" i="20" a="1"/>
  <c r="HSQ6" i="20"/>
  <c r="HSQ6" i="20" a="1"/>
  <c r="HSP6" i="20"/>
  <c r="HSP6" i="20" a="1"/>
  <c r="HSO6" i="20" a="1"/>
  <c r="HSO6" i="20" s="1"/>
  <c r="HSN6" i="20"/>
  <c r="HSN6" i="20" a="1"/>
  <c r="HSM6" i="20"/>
  <c r="HSM6" i="20" a="1"/>
  <c r="HSL6" i="20" a="1"/>
  <c r="HSL6" i="20" s="1"/>
  <c r="HSK6" i="20"/>
  <c r="HSK6" i="20" a="1"/>
  <c r="HSJ6" i="20" a="1"/>
  <c r="HSJ6" i="20" s="1"/>
  <c r="HSI6" i="20" a="1"/>
  <c r="HSI6" i="20" s="1"/>
  <c r="HSH6" i="20" a="1"/>
  <c r="HSH6" i="20" s="1"/>
  <c r="HSG6" i="20" a="1"/>
  <c r="HSG6" i="20" s="1"/>
  <c r="HSF6" i="20" a="1"/>
  <c r="HSF6" i="20" s="1"/>
  <c r="HSE6" i="20"/>
  <c r="HSE6" i="20" a="1"/>
  <c r="HSD6" i="20"/>
  <c r="HSD6" i="20" a="1"/>
  <c r="HSC6" i="20" a="1"/>
  <c r="HSC6" i="20" s="1"/>
  <c r="HSB6" i="20" a="1"/>
  <c r="HSB6" i="20" s="1"/>
  <c r="HSA6" i="20"/>
  <c r="HSA6" i="20" a="1"/>
  <c r="HRZ6" i="20"/>
  <c r="HRZ6" i="20" a="1"/>
  <c r="HRY6" i="20" a="1"/>
  <c r="HRY6" i="20" s="1"/>
  <c r="HRX6" i="20"/>
  <c r="HRX6" i="20" a="1"/>
  <c r="HRW6" i="20" a="1"/>
  <c r="HRW6" i="20" s="1"/>
  <c r="HRV6" i="20"/>
  <c r="HRV6" i="20" a="1"/>
  <c r="HRU6" i="20" a="1"/>
  <c r="HRU6" i="20" s="1"/>
  <c r="HRT6" i="20" a="1"/>
  <c r="HRT6" i="20" s="1"/>
  <c r="HRS6" i="20"/>
  <c r="HRS6" i="20" a="1"/>
  <c r="HRR6" i="20"/>
  <c r="HRR6" i="20" a="1"/>
  <c r="HRQ6" i="20" a="1"/>
  <c r="HRQ6" i="20" s="1"/>
  <c r="HRP6" i="20" a="1"/>
  <c r="HRP6" i="20" s="1"/>
  <c r="HRO6" i="20" a="1"/>
  <c r="HRO6" i="20" s="1"/>
  <c r="HRN6" i="20"/>
  <c r="HRN6" i="20" a="1"/>
  <c r="HRM6" i="20" a="1"/>
  <c r="HRM6" i="20" s="1"/>
  <c r="HRL6" i="20" a="1"/>
  <c r="HRL6" i="20" s="1"/>
  <c r="HRK6" i="20" a="1"/>
  <c r="HRK6" i="20" s="1"/>
  <c r="HRJ6" i="20"/>
  <c r="HRJ6" i="20" a="1"/>
  <c r="HRI6" i="20"/>
  <c r="HRI6" i="20" a="1"/>
  <c r="HRH6" i="20" a="1"/>
  <c r="HRH6" i="20" s="1"/>
  <c r="HRG6" i="20" a="1"/>
  <c r="HRG6" i="20" s="1"/>
  <c r="HRF6" i="20" a="1"/>
  <c r="HRF6" i="20" s="1"/>
  <c r="HRE6" i="20" a="1"/>
  <c r="HRE6" i="20" s="1"/>
  <c r="HRD6" i="20"/>
  <c r="HRD6" i="20" a="1"/>
  <c r="HRC6" i="20" a="1"/>
  <c r="HRC6" i="20" s="1"/>
  <c r="HRB6" i="20" a="1"/>
  <c r="HRB6" i="20" s="1"/>
  <c r="HRA6" i="20"/>
  <c r="HRA6" i="20" a="1"/>
  <c r="HQZ6" i="20" a="1"/>
  <c r="HQZ6" i="20" s="1"/>
  <c r="HQY6" i="20" a="1"/>
  <c r="HQY6" i="20" s="1"/>
  <c r="HQX6" i="20"/>
  <c r="HQX6" i="20" a="1"/>
  <c r="HQW6" i="20"/>
  <c r="HQW6" i="20" a="1"/>
  <c r="HQV6" i="20"/>
  <c r="HQV6" i="20" a="1"/>
  <c r="HQU6" i="20"/>
  <c r="HQU6" i="20" a="1"/>
  <c r="HQT6" i="20" a="1"/>
  <c r="HQT6" i="20" s="1"/>
  <c r="HQS6" i="20" a="1"/>
  <c r="HQS6" i="20" s="1"/>
  <c r="HQR6" i="20" a="1"/>
  <c r="HQR6" i="20" s="1"/>
  <c r="HQQ6" i="20"/>
  <c r="HQQ6" i="20" a="1"/>
  <c r="HQP6" i="20" a="1"/>
  <c r="HQP6" i="20" s="1"/>
  <c r="HQO6" i="20" a="1"/>
  <c r="HQO6" i="20" s="1"/>
  <c r="HQN6" i="20"/>
  <c r="HQN6" i="20" a="1"/>
  <c r="HQM6" i="20" a="1"/>
  <c r="HQM6" i="20" s="1"/>
  <c r="HQL6" i="20"/>
  <c r="HQL6" i="20" a="1"/>
  <c r="HQK6" i="20"/>
  <c r="HQK6" i="20" a="1"/>
  <c r="HQJ6" i="20"/>
  <c r="HQJ6" i="20" a="1"/>
  <c r="HQI6" i="20"/>
  <c r="HQI6" i="20" a="1"/>
  <c r="HQH6" i="20"/>
  <c r="HQH6" i="20" a="1"/>
  <c r="HQG6" i="20" a="1"/>
  <c r="HQG6" i="20" s="1"/>
  <c r="HQF6" i="20"/>
  <c r="HQF6" i="20" a="1"/>
  <c r="HQE6" i="20" a="1"/>
  <c r="HQE6" i="20" s="1"/>
  <c r="HQD6" i="20"/>
  <c r="HQD6" i="20" a="1"/>
  <c r="HQC6" i="20" a="1"/>
  <c r="HQC6" i="20" s="1"/>
  <c r="HQB6" i="20" a="1"/>
  <c r="HQB6" i="20" s="1"/>
  <c r="HQA6" i="20" a="1"/>
  <c r="HQA6" i="20" s="1"/>
  <c r="HPZ6" i="20" a="1"/>
  <c r="HPZ6" i="20" s="1"/>
  <c r="HPY6" i="20" a="1"/>
  <c r="HPY6" i="20" s="1"/>
  <c r="HPX6" i="20"/>
  <c r="HPX6" i="20" a="1"/>
  <c r="HPW6" i="20"/>
  <c r="HPW6" i="20" a="1"/>
  <c r="HPV6" i="20"/>
  <c r="HPV6" i="20" a="1"/>
  <c r="HPU6" i="20" a="1"/>
  <c r="HPU6" i="20" s="1"/>
  <c r="HPT6" i="20"/>
  <c r="HPT6" i="20" a="1"/>
  <c r="HPS6" i="20"/>
  <c r="HPS6" i="20" a="1"/>
  <c r="HPR6" i="20" a="1"/>
  <c r="HPR6" i="20" s="1"/>
  <c r="HPQ6" i="20"/>
  <c r="HPQ6" i="20" a="1"/>
  <c r="HPP6" i="20" a="1"/>
  <c r="HPP6" i="20" s="1"/>
  <c r="HPO6" i="20" a="1"/>
  <c r="HPO6" i="20" s="1"/>
  <c r="HPN6" i="20"/>
  <c r="HPN6" i="20" a="1"/>
  <c r="HPM6" i="20" a="1"/>
  <c r="HPM6" i="20" s="1"/>
  <c r="HPL6" i="20" a="1"/>
  <c r="HPL6" i="20" s="1"/>
  <c r="HPK6" i="20"/>
  <c r="HPK6" i="20" a="1"/>
  <c r="HPJ6" i="20"/>
  <c r="HPJ6" i="20" a="1"/>
  <c r="HPI6" i="20" a="1"/>
  <c r="HPI6" i="20" s="1"/>
  <c r="HPH6" i="20" a="1"/>
  <c r="HPH6" i="20" s="1"/>
  <c r="HPG6" i="20"/>
  <c r="HPG6" i="20" a="1"/>
  <c r="HPF6" i="20" a="1"/>
  <c r="HPF6" i="20" s="1"/>
  <c r="HPE6" i="20" a="1"/>
  <c r="HPE6" i="20" s="1"/>
  <c r="HPD6" i="20"/>
  <c r="HPD6" i="20" a="1"/>
  <c r="HPC6" i="20" a="1"/>
  <c r="HPC6" i="20" s="1"/>
  <c r="HPB6" i="20"/>
  <c r="HPB6" i="20" a="1"/>
  <c r="HPA6" i="20" a="1"/>
  <c r="HPA6" i="20" s="1"/>
  <c r="HOZ6" i="20" a="1"/>
  <c r="HOZ6" i="20" s="1"/>
  <c r="HOY6" i="20" a="1"/>
  <c r="HOY6" i="20" s="1"/>
  <c r="HOX6" i="20"/>
  <c r="HOX6" i="20" a="1"/>
  <c r="HOW6" i="20" a="1"/>
  <c r="HOW6" i="20" s="1"/>
  <c r="HOV6" i="20" a="1"/>
  <c r="HOV6" i="20" s="1"/>
  <c r="HOU6" i="20" a="1"/>
  <c r="HOU6" i="20" s="1"/>
  <c r="HOT6" i="20"/>
  <c r="HOT6" i="20" a="1"/>
  <c r="HOS6" i="20" a="1"/>
  <c r="HOS6" i="20" s="1"/>
  <c r="HOR6" i="20"/>
  <c r="HOR6" i="20" a="1"/>
  <c r="HOQ6" i="20" a="1"/>
  <c r="HOQ6" i="20" s="1"/>
  <c r="HOP6" i="20"/>
  <c r="HOP6" i="20" a="1"/>
  <c r="HOO6" i="20"/>
  <c r="HOO6" i="20" a="1"/>
  <c r="HON6" i="20"/>
  <c r="HON6" i="20" a="1"/>
  <c r="HOM6" i="20" a="1"/>
  <c r="HOM6" i="20" s="1"/>
  <c r="HOL6" i="20" a="1"/>
  <c r="HOL6" i="20" s="1"/>
  <c r="HOK6" i="20" a="1"/>
  <c r="HOK6" i="20" s="1"/>
  <c r="HOJ6" i="20"/>
  <c r="HOJ6" i="20" a="1"/>
  <c r="HOI6" i="20" a="1"/>
  <c r="HOI6" i="20" s="1"/>
  <c r="HOH6" i="20" a="1"/>
  <c r="HOH6" i="20" s="1"/>
  <c r="HOG6" i="20"/>
  <c r="HOG6" i="20" a="1"/>
  <c r="HOF6" i="20"/>
  <c r="HOF6" i="20" a="1"/>
  <c r="HOE6" i="20" a="1"/>
  <c r="HOE6" i="20" s="1"/>
  <c r="HOD6" i="20"/>
  <c r="HOD6" i="20" a="1"/>
  <c r="HOC6" i="20"/>
  <c r="HOC6" i="20" a="1"/>
  <c r="HOB6" i="20"/>
  <c r="HOB6" i="20" a="1"/>
  <c r="HOA6" i="20"/>
  <c r="HOA6" i="20" a="1"/>
  <c r="HNZ6" i="20" a="1"/>
  <c r="HNZ6" i="20" s="1"/>
  <c r="HNY6" i="20" a="1"/>
  <c r="HNY6" i="20" s="1"/>
  <c r="HNX6" i="20"/>
  <c r="HNX6" i="20" a="1"/>
  <c r="HNW6" i="20"/>
  <c r="HNW6" i="20" a="1"/>
  <c r="HNV6" i="20" a="1"/>
  <c r="HNV6" i="20" s="1"/>
  <c r="HNU6" i="20" a="1"/>
  <c r="HNU6" i="20" s="1"/>
  <c r="HNT6" i="20"/>
  <c r="HNT6" i="20" a="1"/>
  <c r="HNS6" i="20" a="1"/>
  <c r="HNS6" i="20" s="1"/>
  <c r="HNR6" i="20" a="1"/>
  <c r="HNR6" i="20" s="1"/>
  <c r="HNQ6" i="20"/>
  <c r="HNQ6" i="20" a="1"/>
  <c r="HNP6" i="20"/>
  <c r="HNP6" i="20" a="1"/>
  <c r="HNO6" i="20"/>
  <c r="HNO6" i="20" a="1"/>
  <c r="HNN6" i="20" a="1"/>
  <c r="HNN6" i="20" s="1"/>
  <c r="HNM6" i="20" a="1"/>
  <c r="HNM6" i="20" s="1"/>
  <c r="HNL6" i="20"/>
  <c r="HNL6" i="20" a="1"/>
  <c r="HNK6" i="20" a="1"/>
  <c r="HNK6" i="20" s="1"/>
  <c r="HNJ6" i="20"/>
  <c r="HNJ6" i="20" a="1"/>
  <c r="HNI6" i="20" a="1"/>
  <c r="HNI6" i="20" s="1"/>
  <c r="HNH6" i="20" a="1"/>
  <c r="HNH6" i="20" s="1"/>
  <c r="HNG6" i="20" a="1"/>
  <c r="HNG6" i="20" s="1"/>
  <c r="HNF6" i="20" a="1"/>
  <c r="HNF6" i="20" s="1"/>
  <c r="HNE6" i="20"/>
  <c r="HNE6" i="20" a="1"/>
  <c r="HND6" i="20"/>
  <c r="HND6" i="20" a="1"/>
  <c r="HNC6" i="20"/>
  <c r="HNC6" i="20" a="1"/>
  <c r="HNB6" i="20"/>
  <c r="HNB6" i="20" a="1"/>
  <c r="HNA6" i="20" a="1"/>
  <c r="HNA6" i="20" s="1"/>
  <c r="HMZ6" i="20"/>
  <c r="HMZ6" i="20" a="1"/>
  <c r="HMY6" i="20" a="1"/>
  <c r="HMY6" i="20" s="1"/>
  <c r="HMX6" i="20" a="1"/>
  <c r="HMX6" i="20" s="1"/>
  <c r="HMW6" i="20"/>
  <c r="HMW6" i="20" a="1"/>
  <c r="HMV6" i="20" a="1"/>
  <c r="HMV6" i="20" s="1"/>
  <c r="HMU6" i="20" a="1"/>
  <c r="HMU6" i="20" s="1"/>
  <c r="HMT6" i="20" a="1"/>
  <c r="HMT6" i="20" s="1"/>
  <c r="HMS6" i="20" a="1"/>
  <c r="HMS6" i="20" s="1"/>
  <c r="HMR6" i="20"/>
  <c r="HMR6" i="20" a="1"/>
  <c r="HMQ6" i="20"/>
  <c r="HMQ6" i="20" a="1"/>
  <c r="HMP6" i="20"/>
  <c r="HMP6" i="20" a="1"/>
  <c r="HMO6" i="20" a="1"/>
  <c r="HMO6" i="20" s="1"/>
  <c r="HMN6" i="20" a="1"/>
  <c r="HMN6" i="20" s="1"/>
  <c r="HMM6" i="20"/>
  <c r="HMM6" i="20" a="1"/>
  <c r="HML6" i="20" a="1"/>
  <c r="HML6" i="20" s="1"/>
  <c r="HMK6" i="20"/>
  <c r="HMK6" i="20" a="1"/>
  <c r="HMJ6" i="20"/>
  <c r="HMJ6" i="20" a="1"/>
  <c r="HMI6" i="20" a="1"/>
  <c r="HMI6" i="20" s="1"/>
  <c r="HMH6" i="20"/>
  <c r="HMH6" i="20" a="1"/>
  <c r="HMG6" i="20"/>
  <c r="HMG6" i="20" a="1"/>
  <c r="HMF6" i="20" a="1"/>
  <c r="HMF6" i="20" s="1"/>
  <c r="HME6" i="20" a="1"/>
  <c r="HME6" i="20" s="1"/>
  <c r="HMD6" i="20"/>
  <c r="HMD6" i="20" a="1"/>
  <c r="HMC6" i="20" a="1"/>
  <c r="HMC6" i="20" s="1"/>
  <c r="HMB6" i="20" a="1"/>
  <c r="HMB6" i="20" s="1"/>
  <c r="HMA6" i="20" a="1"/>
  <c r="HMA6" i="20" s="1"/>
  <c r="HLZ6" i="20"/>
  <c r="HLZ6" i="20" a="1"/>
  <c r="HLY6" i="20"/>
  <c r="HLY6" i="20" a="1"/>
  <c r="HLX6" i="20" a="1"/>
  <c r="HLX6" i="20" s="1"/>
  <c r="HLW6" i="20" a="1"/>
  <c r="HLW6" i="20" s="1"/>
  <c r="HLV6" i="20"/>
  <c r="HLV6" i="20" a="1"/>
  <c r="HLU6" i="20"/>
  <c r="HLU6" i="20" a="1"/>
  <c r="HLT6" i="20"/>
  <c r="HLT6" i="20" a="1"/>
  <c r="HLS6" i="20" a="1"/>
  <c r="HLS6" i="20" s="1"/>
  <c r="HLR6" i="20"/>
  <c r="HLR6" i="20" a="1"/>
  <c r="HLQ6" i="20" a="1"/>
  <c r="HLQ6" i="20" s="1"/>
  <c r="HLP6" i="20"/>
  <c r="HLP6" i="20" a="1"/>
  <c r="HLO6" i="20" a="1"/>
  <c r="HLO6" i="20" s="1"/>
  <c r="HLN6" i="20" a="1"/>
  <c r="HLN6" i="20" s="1"/>
  <c r="HLM6" i="20"/>
  <c r="HLM6" i="20" a="1"/>
  <c r="HLL6" i="20"/>
  <c r="HLL6" i="20" a="1"/>
  <c r="HLK6" i="20" a="1"/>
  <c r="HLK6" i="20" s="1"/>
  <c r="HLJ6" i="20"/>
  <c r="HLJ6" i="20" a="1"/>
  <c r="HLI6" i="20"/>
  <c r="HLI6" i="20" a="1"/>
  <c r="HLH6" i="20"/>
  <c r="HLH6" i="20" a="1"/>
  <c r="HLG6" i="20" a="1"/>
  <c r="HLG6" i="20" s="1"/>
  <c r="HLF6" i="20" a="1"/>
  <c r="HLF6" i="20" s="1"/>
  <c r="HLE6" i="20" a="1"/>
  <c r="HLE6" i="20" s="1"/>
  <c r="HLD6" i="20" a="1"/>
  <c r="HLD6" i="20" s="1"/>
  <c r="HLC6" i="20"/>
  <c r="HLC6" i="20" a="1"/>
  <c r="HLB6" i="20" a="1"/>
  <c r="HLB6" i="20" s="1"/>
  <c r="HLA6" i="20" a="1"/>
  <c r="HLA6" i="20" s="1"/>
  <c r="HKZ6" i="20"/>
  <c r="HKZ6" i="20" a="1"/>
  <c r="HKY6" i="20" a="1"/>
  <c r="HKY6" i="20" s="1"/>
  <c r="HKX6" i="20"/>
  <c r="HKX6" i="20" a="1"/>
  <c r="HKW6" i="20"/>
  <c r="HKW6" i="20" a="1"/>
  <c r="HKV6" i="20"/>
  <c r="HKV6" i="20" a="1"/>
  <c r="HKU6" i="20"/>
  <c r="HKU6" i="20" a="1"/>
  <c r="HKT6" i="20" a="1"/>
  <c r="HKT6" i="20" s="1"/>
  <c r="HKS6" i="20" a="1"/>
  <c r="HKS6" i="20" s="1"/>
  <c r="HKR6" i="20" a="1"/>
  <c r="HKR6" i="20" s="1"/>
  <c r="HKQ6" i="20" a="1"/>
  <c r="HKQ6" i="20" s="1"/>
  <c r="HKP6" i="20"/>
  <c r="HKP6" i="20" a="1"/>
  <c r="HKO6" i="20" a="1"/>
  <c r="HKO6" i="20" s="1"/>
  <c r="HKN6" i="20" a="1"/>
  <c r="HKN6" i="20" s="1"/>
  <c r="HKM6" i="20" a="1"/>
  <c r="HKM6" i="20" s="1"/>
  <c r="HKL6" i="20" a="1"/>
  <c r="HKL6" i="20" s="1"/>
  <c r="HKK6" i="20" a="1"/>
  <c r="HKK6" i="20" s="1"/>
  <c r="HKJ6" i="20"/>
  <c r="HKJ6" i="20" a="1"/>
  <c r="HKI6" i="20"/>
  <c r="HKI6" i="20" a="1"/>
  <c r="HKH6" i="20"/>
  <c r="HKH6" i="20" a="1"/>
  <c r="HKG6" i="20" a="1"/>
  <c r="HKG6" i="20" s="1"/>
  <c r="HKF6" i="20"/>
  <c r="HKF6" i="20" a="1"/>
  <c r="HKE6" i="20" a="1"/>
  <c r="HKE6" i="20" s="1"/>
  <c r="HKD6" i="20"/>
  <c r="HKD6" i="20" a="1"/>
  <c r="HKC6" i="20"/>
  <c r="HKC6" i="20" a="1"/>
  <c r="HKB6" i="20" a="1"/>
  <c r="HKB6" i="20" s="1"/>
  <c r="HKA6" i="20" a="1"/>
  <c r="HKA6" i="20" s="1"/>
  <c r="HJZ6" i="20" a="1"/>
  <c r="HJZ6" i="20" s="1"/>
  <c r="HJY6" i="20" a="1"/>
  <c r="HJY6" i="20" s="1"/>
  <c r="HJX6" i="20" a="1"/>
  <c r="HJX6" i="20" s="1"/>
  <c r="HJW6" i="20"/>
  <c r="HJW6" i="20" a="1"/>
  <c r="HJV6" i="20"/>
  <c r="HJV6" i="20" a="1"/>
  <c r="HJU6" i="20" a="1"/>
  <c r="HJU6" i="20" s="1"/>
  <c r="HJT6" i="20" a="1"/>
  <c r="HJT6" i="20" s="1"/>
  <c r="HJS6" i="20"/>
  <c r="HJS6" i="20" a="1"/>
  <c r="HJR6" i="20"/>
  <c r="HJR6" i="20" a="1"/>
  <c r="HJQ6" i="20" a="1"/>
  <c r="HJQ6" i="20" s="1"/>
  <c r="HJP6" i="20"/>
  <c r="HJP6" i="20" a="1"/>
  <c r="HJO6" i="20" a="1"/>
  <c r="HJO6" i="20" s="1"/>
  <c r="HJN6" i="20"/>
  <c r="HJN6" i="20" a="1"/>
  <c r="HJM6" i="20"/>
  <c r="HJM6" i="20" a="1"/>
  <c r="HJL6" i="20" a="1"/>
  <c r="HJL6" i="20" s="1"/>
  <c r="HJK6" i="20"/>
  <c r="HJK6" i="20" a="1"/>
  <c r="HJJ6" i="20"/>
  <c r="HJJ6" i="20" a="1"/>
  <c r="HJI6" i="20" a="1"/>
  <c r="HJI6" i="20" s="1"/>
  <c r="HJH6" i="20" a="1"/>
  <c r="HJH6" i="20" s="1"/>
  <c r="HJG6" i="20" a="1"/>
  <c r="HJG6" i="20" s="1"/>
  <c r="HJF6" i="20"/>
  <c r="HJF6" i="20" a="1"/>
  <c r="HJE6" i="20"/>
  <c r="HJE6" i="20" a="1"/>
  <c r="HJD6" i="20" a="1"/>
  <c r="HJD6" i="20" s="1"/>
  <c r="HJC6" i="20" a="1"/>
  <c r="HJC6" i="20" s="1"/>
  <c r="HJB6" i="20"/>
  <c r="HJB6" i="20" a="1"/>
  <c r="HJA6" i="20"/>
  <c r="HJA6" i="20" a="1"/>
  <c r="HIZ6" i="20" a="1"/>
  <c r="HIZ6" i="20" s="1"/>
  <c r="HIY6" i="20" a="1"/>
  <c r="HIY6" i="20" s="1"/>
  <c r="HIX6" i="20"/>
  <c r="HIX6" i="20" a="1"/>
  <c r="HIW6" i="20" a="1"/>
  <c r="HIW6" i="20" s="1"/>
  <c r="HIV6" i="20"/>
  <c r="HIV6" i="20" a="1"/>
  <c r="HIU6" i="20" a="1"/>
  <c r="HIU6" i="20" s="1"/>
  <c r="HIT6" i="20" a="1"/>
  <c r="HIT6" i="20" s="1"/>
  <c r="HIS6" i="20"/>
  <c r="HIS6" i="20" a="1"/>
  <c r="HIR6" i="20" a="1"/>
  <c r="HIR6" i="20" s="1"/>
  <c r="HIQ6" i="20" a="1"/>
  <c r="HIQ6" i="20" s="1"/>
  <c r="HIP6" i="20"/>
  <c r="HIP6" i="20" a="1"/>
  <c r="HIO6" i="20"/>
  <c r="HIO6" i="20" a="1"/>
  <c r="HIN6" i="20"/>
  <c r="HIN6" i="20" a="1"/>
  <c r="HIM6" i="20" a="1"/>
  <c r="HIM6" i="20" s="1"/>
  <c r="HIL6" i="20" a="1"/>
  <c r="HIL6" i="20" s="1"/>
  <c r="HIK6" i="20" a="1"/>
  <c r="HIK6" i="20" s="1"/>
  <c r="HIJ6" i="20"/>
  <c r="HIJ6" i="20" a="1"/>
  <c r="HII6" i="20"/>
  <c r="HII6" i="20" a="1"/>
  <c r="HIH6" i="20" a="1"/>
  <c r="HIH6" i="20" s="1"/>
  <c r="HIG6" i="20" a="1"/>
  <c r="HIG6" i="20" s="1"/>
  <c r="HIF6" i="20"/>
  <c r="HIF6" i="20" a="1"/>
  <c r="HIE6" i="20" a="1"/>
  <c r="HIE6" i="20" s="1"/>
  <c r="HID6" i="20" a="1"/>
  <c r="HID6" i="20" s="1"/>
  <c r="HIC6" i="20"/>
  <c r="HIC6" i="20" a="1"/>
  <c r="HIB6" i="20"/>
  <c r="HIB6" i="20" a="1"/>
  <c r="HIA6" i="20"/>
  <c r="HIA6" i="20" a="1"/>
  <c r="HHZ6" i="20"/>
  <c r="HHZ6" i="20" a="1"/>
  <c r="HHY6" i="20" a="1"/>
  <c r="HHY6" i="20" s="1"/>
  <c r="HHX6" i="20" a="1"/>
  <c r="HHX6" i="20" s="1"/>
  <c r="HHW6" i="20"/>
  <c r="HHW6" i="20" a="1"/>
  <c r="HHV6" i="20"/>
  <c r="HHV6" i="20" a="1"/>
  <c r="HHU6" i="20" a="1"/>
  <c r="HHU6" i="20" s="1"/>
  <c r="HHT6" i="20" a="1"/>
  <c r="HHT6" i="20" s="1"/>
  <c r="HHS6" i="20" a="1"/>
  <c r="HHS6" i="20" s="1"/>
  <c r="HHR6" i="20" a="1"/>
  <c r="HHR6" i="20" s="1"/>
  <c r="HHQ6" i="20"/>
  <c r="HHQ6" i="20" a="1"/>
  <c r="HHP6" i="20"/>
  <c r="HHP6" i="20" a="1"/>
  <c r="HHO6" i="20"/>
  <c r="HHO6" i="20" a="1"/>
  <c r="HHN6" i="20"/>
  <c r="HHN6" i="20" a="1"/>
  <c r="HHM6" i="20" a="1"/>
  <c r="HHM6" i="20" s="1"/>
  <c r="HHL6" i="20"/>
  <c r="HHL6" i="20" a="1"/>
  <c r="HHK6" i="20"/>
  <c r="HHK6" i="20" a="1"/>
  <c r="HHJ6" i="20" a="1"/>
  <c r="HHJ6" i="20" s="1"/>
  <c r="HHI6" i="20"/>
  <c r="HHI6" i="20" a="1"/>
  <c r="HHH6" i="20" a="1"/>
  <c r="HHH6" i="20" s="1"/>
  <c r="HHG6" i="20" a="1"/>
  <c r="HHG6" i="20" s="1"/>
  <c r="HHF6" i="20" a="1"/>
  <c r="HHF6" i="20" s="1"/>
  <c r="HHE6" i="20" a="1"/>
  <c r="HHE6" i="20" s="1"/>
  <c r="HHD6" i="20" a="1"/>
  <c r="HHD6" i="20" s="1"/>
  <c r="HHC6" i="20"/>
  <c r="HHC6" i="20" a="1"/>
  <c r="HHB6" i="20"/>
  <c r="HHB6" i="20" a="1"/>
  <c r="HHA6" i="20" a="1"/>
  <c r="HHA6" i="20" s="1"/>
  <c r="HGZ6" i="20" a="1"/>
  <c r="HGZ6" i="20" s="1"/>
  <c r="HGY6" i="20"/>
  <c r="HGY6" i="20" a="1"/>
  <c r="HGX6" i="20"/>
  <c r="HGX6" i="20" a="1"/>
  <c r="HGW6" i="20" a="1"/>
  <c r="HGW6" i="20" s="1"/>
  <c r="HGV6" i="20"/>
  <c r="HGV6" i="20" a="1"/>
  <c r="HGU6" i="20" a="1"/>
  <c r="HGU6" i="20" s="1"/>
  <c r="HGT6" i="20"/>
  <c r="HGT6" i="20" a="1"/>
  <c r="HGS6" i="20" a="1"/>
  <c r="HGS6" i="20" s="1"/>
  <c r="HGR6" i="20" a="1"/>
  <c r="HGR6" i="20" s="1"/>
  <c r="HGQ6" i="20"/>
  <c r="HGQ6" i="20" a="1"/>
  <c r="HGP6" i="20"/>
  <c r="HGP6" i="20" a="1"/>
  <c r="HGO6" i="20" a="1"/>
  <c r="HGO6" i="20" s="1"/>
  <c r="HGN6" i="20" a="1"/>
  <c r="HGN6" i="20" s="1"/>
  <c r="HGM6" i="20" a="1"/>
  <c r="HGM6" i="20" s="1"/>
  <c r="HGL6" i="20"/>
  <c r="HGL6" i="20" a="1"/>
  <c r="HGK6" i="20" a="1"/>
  <c r="HGK6" i="20" s="1"/>
  <c r="HGJ6" i="20" a="1"/>
  <c r="HGJ6" i="20" s="1"/>
  <c r="HGI6" i="20" a="1"/>
  <c r="HGI6" i="20" s="1"/>
  <c r="HGH6" i="20"/>
  <c r="HGH6" i="20" a="1"/>
  <c r="HGG6" i="20"/>
  <c r="HGG6" i="20" a="1"/>
  <c r="HGF6" i="20" a="1"/>
  <c r="HGF6" i="20" s="1"/>
  <c r="HGE6" i="20" a="1"/>
  <c r="HGE6" i="20" s="1"/>
  <c r="HGD6" i="20" a="1"/>
  <c r="HGD6" i="20" s="1"/>
  <c r="HGC6" i="20" a="1"/>
  <c r="HGC6" i="20" s="1"/>
  <c r="HGB6" i="20"/>
  <c r="HGB6" i="20" a="1"/>
  <c r="HGA6" i="20" a="1"/>
  <c r="HGA6" i="20" s="1"/>
  <c r="HFZ6" i="20" a="1"/>
  <c r="HFZ6" i="20" s="1"/>
  <c r="HFY6" i="20"/>
  <c r="HFY6" i="20" a="1"/>
  <c r="HFX6" i="20" a="1"/>
  <c r="HFX6" i="20" s="1"/>
  <c r="HFW6" i="20" a="1"/>
  <c r="HFW6" i="20" s="1"/>
  <c r="HFV6" i="20"/>
  <c r="HFV6" i="20" a="1"/>
  <c r="HFU6" i="20"/>
  <c r="HFU6" i="20" a="1"/>
  <c r="HFT6" i="20"/>
  <c r="HFT6" i="20" a="1"/>
  <c r="HFS6" i="20"/>
  <c r="HFS6" i="20" a="1"/>
  <c r="HFR6" i="20" a="1"/>
  <c r="HFR6" i="20" s="1"/>
  <c r="HFQ6" i="20" a="1"/>
  <c r="HFQ6" i="20" s="1"/>
  <c r="HFP6" i="20" a="1"/>
  <c r="HFP6" i="20" s="1"/>
  <c r="HFO6" i="20"/>
  <c r="HFO6" i="20" a="1"/>
  <c r="HFN6" i="20" a="1"/>
  <c r="HFN6" i="20" s="1"/>
  <c r="HFM6" i="20" a="1"/>
  <c r="HFM6" i="20" s="1"/>
  <c r="HFL6" i="20"/>
  <c r="HFL6" i="20" a="1"/>
  <c r="HFK6" i="20" a="1"/>
  <c r="HFK6" i="20" s="1"/>
  <c r="HFJ6" i="20"/>
  <c r="HFJ6" i="20" a="1"/>
  <c r="HFI6" i="20"/>
  <c r="HFI6" i="20" a="1"/>
  <c r="HFH6" i="20"/>
  <c r="HFH6" i="20" a="1"/>
  <c r="HFG6" i="20"/>
  <c r="HFG6" i="20" a="1"/>
  <c r="HFF6" i="20"/>
  <c r="HFF6" i="20" a="1"/>
  <c r="HFE6" i="20" a="1"/>
  <c r="HFE6" i="20" s="1"/>
  <c r="HFD6" i="20"/>
  <c r="HFD6" i="20" a="1"/>
  <c r="HFC6" i="20" a="1"/>
  <c r="HFC6" i="20" s="1"/>
  <c r="HFB6" i="20"/>
  <c r="HFB6" i="20" a="1"/>
  <c r="HFA6" i="20" a="1"/>
  <c r="HFA6" i="20" s="1"/>
  <c r="HEZ6" i="20" a="1"/>
  <c r="HEZ6" i="20" s="1"/>
  <c r="HEY6" i="20" a="1"/>
  <c r="HEY6" i="20" s="1"/>
  <c r="HEX6" i="20" a="1"/>
  <c r="HEX6" i="20" s="1"/>
  <c r="HEW6" i="20"/>
  <c r="HEW6" i="20" a="1"/>
  <c r="HEV6" i="20"/>
  <c r="HEV6" i="20" a="1"/>
  <c r="HEU6" i="20"/>
  <c r="HEU6" i="20" a="1"/>
  <c r="HET6" i="20" a="1"/>
  <c r="HET6" i="20" s="1"/>
  <c r="HES6" i="20" a="1"/>
  <c r="HES6" i="20" s="1"/>
  <c r="HER6" i="20"/>
  <c r="HER6" i="20" a="1"/>
  <c r="HEQ6" i="20" a="1"/>
  <c r="HEQ6" i="20" s="1"/>
  <c r="HEP6" i="20" a="1"/>
  <c r="HEP6" i="20" s="1"/>
  <c r="HEO6" i="20"/>
  <c r="HEO6" i="20" a="1"/>
  <c r="HEN6" i="20" a="1"/>
  <c r="HEN6" i="20" s="1"/>
  <c r="HEM6" i="20" a="1"/>
  <c r="HEM6" i="20" s="1"/>
  <c r="HEL6" i="20" a="1"/>
  <c r="HEL6" i="20" s="1"/>
  <c r="HEK6" i="20" a="1"/>
  <c r="HEK6" i="20" s="1"/>
  <c r="HEJ6" i="20"/>
  <c r="HEJ6" i="20" a="1"/>
  <c r="HEI6" i="20"/>
  <c r="HEI6" i="20" a="1"/>
  <c r="HEH6" i="20"/>
  <c r="HEH6" i="20" a="1"/>
  <c r="HEG6" i="20" a="1"/>
  <c r="HEG6" i="20" s="1"/>
  <c r="HEF6" i="20" a="1"/>
  <c r="HEF6" i="20" s="1"/>
  <c r="HEE6" i="20"/>
  <c r="HEE6" i="20" a="1"/>
  <c r="HED6" i="20"/>
  <c r="HED6" i="20" a="1"/>
  <c r="HEC6" i="20"/>
  <c r="HEC6" i="20" a="1"/>
  <c r="HEB6" i="20"/>
  <c r="HEB6" i="20" a="1"/>
  <c r="HEA6" i="20" a="1"/>
  <c r="HEA6" i="20" s="1"/>
  <c r="HDZ6" i="20" a="1"/>
  <c r="HDZ6" i="20" s="1"/>
  <c r="HDY6" i="20"/>
  <c r="HDY6" i="20" a="1"/>
  <c r="HDX6" i="20" a="1"/>
  <c r="HDX6" i="20" s="1"/>
  <c r="HDW6" i="20" a="1"/>
  <c r="HDW6" i="20" s="1"/>
  <c r="HDV6" i="20"/>
  <c r="HDV6" i="20" a="1"/>
  <c r="HDU6" i="20" a="1"/>
  <c r="HDU6" i="20" s="1"/>
  <c r="HDT6" i="20" a="1"/>
  <c r="HDT6" i="20" s="1"/>
  <c r="HDS6" i="20" a="1"/>
  <c r="HDS6" i="20" s="1"/>
  <c r="HDR6" i="20"/>
  <c r="HDR6" i="20" a="1"/>
  <c r="HDQ6" i="20"/>
  <c r="HDQ6" i="20" a="1"/>
  <c r="HDP6" i="20" a="1"/>
  <c r="HDP6" i="20" s="1"/>
  <c r="HDO6" i="20" a="1"/>
  <c r="HDO6" i="20" s="1"/>
  <c r="HDN6" i="20"/>
  <c r="HDN6" i="20" a="1"/>
  <c r="HDM6" i="20" a="1"/>
  <c r="HDM6" i="20" s="1"/>
  <c r="HDL6" i="20"/>
  <c r="HDL6" i="20" a="1"/>
  <c r="HDK6" i="20" a="1"/>
  <c r="HDK6" i="20" s="1"/>
  <c r="HDJ6" i="20"/>
  <c r="HDJ6" i="20" a="1"/>
  <c r="HDI6" i="20" a="1"/>
  <c r="HDI6" i="20" s="1"/>
  <c r="HDH6" i="20"/>
  <c r="HDH6" i="20" a="1"/>
  <c r="HDG6" i="20" a="1"/>
  <c r="HDG6" i="20" s="1"/>
  <c r="HDF6" i="20" a="1"/>
  <c r="HDF6" i="20" s="1"/>
  <c r="HDE6" i="20"/>
  <c r="HDE6" i="20" a="1"/>
  <c r="HDD6" i="20"/>
  <c r="HDD6" i="20" a="1"/>
  <c r="HDC6" i="20" a="1"/>
  <c r="HDC6" i="20" s="1"/>
  <c r="HDB6" i="20"/>
  <c r="HDB6" i="20" a="1"/>
  <c r="HDA6" i="20"/>
  <c r="HDA6" i="20" a="1"/>
  <c r="HCZ6" i="20" a="1"/>
  <c r="HCZ6" i="20" s="1"/>
  <c r="HCY6" i="20"/>
  <c r="HCY6" i="20" a="1"/>
  <c r="HCX6" i="20" a="1"/>
  <c r="HCX6" i="20" s="1"/>
  <c r="HCW6" i="20" a="1"/>
  <c r="HCW6" i="20" s="1"/>
  <c r="HCV6" i="20"/>
  <c r="HCV6" i="20" a="1"/>
  <c r="HCU6" i="20"/>
  <c r="HCU6" i="20" a="1"/>
  <c r="HCT6" i="20" a="1"/>
  <c r="HCT6" i="20" s="1"/>
  <c r="HCS6" i="20" a="1"/>
  <c r="HCS6" i="20" s="1"/>
  <c r="HCR6" i="20"/>
  <c r="HCR6" i="20" a="1"/>
  <c r="HCQ6" i="20" a="1"/>
  <c r="HCQ6" i="20" s="1"/>
  <c r="HCP6" i="20" a="1"/>
  <c r="HCP6" i="20" s="1"/>
  <c r="HCO6" i="20"/>
  <c r="HCO6" i="20" a="1"/>
  <c r="HCN6" i="20"/>
  <c r="HCN6" i="20" a="1"/>
  <c r="HCM6" i="20" a="1"/>
  <c r="HCM6" i="20" s="1"/>
  <c r="HCL6" i="20"/>
  <c r="HCL6" i="20" a="1"/>
  <c r="HCK6" i="20" a="1"/>
  <c r="HCK6" i="20" s="1"/>
  <c r="HCJ6" i="20" a="1"/>
  <c r="HCJ6" i="20" s="1"/>
  <c r="HCI6" i="20" a="1"/>
  <c r="HCI6" i="20" s="1"/>
  <c r="HCH6" i="20"/>
  <c r="HCH6" i="20" a="1"/>
  <c r="HCG6" i="20" a="1"/>
  <c r="HCG6" i="20" s="1"/>
  <c r="HCF6" i="20" a="1"/>
  <c r="HCF6" i="20" s="1"/>
  <c r="HCE6" i="20" a="1"/>
  <c r="HCE6" i="20" s="1"/>
  <c r="HCD6" i="20" a="1"/>
  <c r="HCD6" i="20" s="1"/>
  <c r="HCC6" i="20" a="1"/>
  <c r="HCC6" i="20" s="1"/>
  <c r="HCB6" i="20"/>
  <c r="HCB6" i="20" a="1"/>
  <c r="HCA6" i="20"/>
  <c r="HCA6" i="20" a="1"/>
  <c r="HBZ6" i="20" a="1"/>
  <c r="HBZ6" i="20" s="1"/>
  <c r="HBY6" i="20" a="1"/>
  <c r="HBY6" i="20" s="1"/>
  <c r="HBX6" i="20"/>
  <c r="HBX6" i="20" a="1"/>
  <c r="HBW6" i="20"/>
  <c r="HBW6" i="20" a="1"/>
  <c r="HBV6" i="20" a="1"/>
  <c r="HBV6" i="20" s="1"/>
  <c r="HBU6" i="20"/>
  <c r="HBU6" i="20" a="1"/>
  <c r="HBT6" i="20" a="1"/>
  <c r="HBT6" i="20" s="1"/>
  <c r="HBS6" i="20" a="1"/>
  <c r="HBS6" i="20" s="1"/>
  <c r="HBR6" i="20" a="1"/>
  <c r="HBR6" i="20" s="1"/>
  <c r="HBQ6" i="20" a="1"/>
  <c r="HBQ6" i="20" s="1"/>
  <c r="HBP6" i="20" a="1"/>
  <c r="HBP6" i="20" s="1"/>
  <c r="HBO6" i="20"/>
  <c r="HBO6" i="20" a="1"/>
  <c r="HBN6" i="20"/>
  <c r="HBN6" i="20" a="1"/>
  <c r="HBM6" i="20" a="1"/>
  <c r="HBM6" i="20" s="1"/>
  <c r="HBL6" i="20" a="1"/>
  <c r="HBL6" i="20" s="1"/>
  <c r="HBK6" i="20"/>
  <c r="HBK6" i="20" a="1"/>
  <c r="HBJ6" i="20"/>
  <c r="HBJ6" i="20" a="1"/>
  <c r="HBI6" i="20" a="1"/>
  <c r="HBI6" i="20" s="1"/>
  <c r="HBH6" i="20"/>
  <c r="HBH6" i="20" a="1"/>
  <c r="HBG6" i="20" a="1"/>
  <c r="HBG6" i="20" s="1"/>
  <c r="HBF6" i="20" a="1"/>
  <c r="HBF6" i="20" s="1"/>
  <c r="HBE6" i="20"/>
  <c r="HBE6" i="20" a="1"/>
  <c r="HBD6" i="20" a="1"/>
  <c r="HBD6" i="20" s="1"/>
  <c r="HBC6" i="20" a="1"/>
  <c r="HBC6" i="20" s="1"/>
  <c r="HBB6" i="20"/>
  <c r="HBB6" i="20" a="1"/>
  <c r="HBA6" i="20" a="1"/>
  <c r="HBA6" i="20" s="1"/>
  <c r="HAZ6" i="20" a="1"/>
  <c r="HAZ6" i="20" s="1"/>
  <c r="HAY6" i="20" a="1"/>
  <c r="HAY6" i="20" s="1"/>
  <c r="HAX6" i="20"/>
  <c r="HAX6" i="20" a="1"/>
  <c r="HAW6" i="20"/>
  <c r="HAW6" i="20" a="1"/>
  <c r="HAV6" i="20"/>
  <c r="HAV6" i="20" a="1"/>
  <c r="HAU6" i="20" a="1"/>
  <c r="HAU6" i="20" s="1"/>
  <c r="HAT6" i="20"/>
  <c r="HAT6" i="20" a="1"/>
  <c r="HAS6" i="20" a="1"/>
  <c r="HAS6" i="20" s="1"/>
  <c r="HAR6" i="20"/>
  <c r="HAR6" i="20" a="1"/>
  <c r="HAQ6" i="20" a="1"/>
  <c r="HAQ6" i="20" s="1"/>
  <c r="HAP6" i="20" a="1"/>
  <c r="HAP6" i="20" s="1"/>
  <c r="HAO6" i="20" a="1"/>
  <c r="HAO6" i="20" s="1"/>
  <c r="HAN6" i="20"/>
  <c r="HAN6" i="20" a="1"/>
  <c r="HAM6" i="20" a="1"/>
  <c r="HAM6" i="20" s="1"/>
  <c r="HAL6" i="20" a="1"/>
  <c r="HAL6" i="20" s="1"/>
  <c r="HAK6" i="20"/>
  <c r="HAK6" i="20" a="1"/>
  <c r="HAJ6" i="20"/>
  <c r="HAJ6" i="20" a="1"/>
  <c r="HAI6" i="20" a="1"/>
  <c r="HAI6" i="20" s="1"/>
  <c r="HAH6" i="20"/>
  <c r="HAH6" i="20" a="1"/>
  <c r="HAG6" i="20"/>
  <c r="HAG6" i="20" a="1"/>
  <c r="HAF6" i="20" a="1"/>
  <c r="HAF6" i="20" s="1"/>
  <c r="HAE6" i="20"/>
  <c r="HAE6" i="20" a="1"/>
  <c r="HAD6" i="20" a="1"/>
  <c r="HAD6" i="20" s="1"/>
  <c r="HAC6" i="20" a="1"/>
  <c r="HAC6" i="20" s="1"/>
  <c r="HAB6" i="20"/>
  <c r="HAB6" i="20" a="1"/>
  <c r="HAA6" i="20"/>
  <c r="HAA6" i="20" a="1"/>
  <c r="GZZ6" i="20" a="1"/>
  <c r="GZZ6" i="20" s="1"/>
  <c r="GZY6" i="20" a="1"/>
  <c r="GZY6" i="20" s="1"/>
  <c r="GZX6" i="20"/>
  <c r="GZX6" i="20" a="1"/>
  <c r="GZW6" i="20" a="1"/>
  <c r="GZW6" i="20" s="1"/>
  <c r="GZV6" i="20"/>
  <c r="GZV6" i="20" a="1"/>
  <c r="GZU6" i="20"/>
  <c r="GZU6" i="20" a="1"/>
  <c r="GZT6" i="20"/>
  <c r="GZT6" i="20" a="1"/>
  <c r="GZS6" i="20" a="1"/>
  <c r="GZS6" i="20" s="1"/>
  <c r="GZR6" i="20"/>
  <c r="GZR6" i="20" a="1"/>
  <c r="GZQ6" i="20" a="1"/>
  <c r="GZQ6" i="20" s="1"/>
  <c r="GZP6" i="20" a="1"/>
  <c r="GZP6" i="20" s="1"/>
  <c r="GZO6" i="20"/>
  <c r="GZO6" i="20" a="1"/>
  <c r="GZN6" i="20"/>
  <c r="GZN6" i="20" a="1"/>
  <c r="GZM6" i="20" a="1"/>
  <c r="GZM6" i="20" s="1"/>
  <c r="GZL6" i="20" a="1"/>
  <c r="GZL6" i="20" s="1"/>
  <c r="GZK6" i="20" a="1"/>
  <c r="GZK6" i="20" s="1"/>
  <c r="GZJ6" i="20" a="1"/>
  <c r="GZJ6" i="20" s="1"/>
  <c r="GZI6" i="20" a="1"/>
  <c r="GZI6" i="20" s="1"/>
  <c r="GZH6" i="20"/>
  <c r="GZH6" i="20" a="1"/>
  <c r="GZG6" i="20"/>
  <c r="GZG6" i="20" a="1"/>
  <c r="GZF6" i="20" a="1"/>
  <c r="GZF6" i="20" s="1"/>
  <c r="GZE6" i="20" a="1"/>
  <c r="GZE6" i="20" s="1"/>
  <c r="GZD6" i="20"/>
  <c r="GZD6" i="20" a="1"/>
  <c r="GZC6" i="20" a="1"/>
  <c r="GZC6" i="20" s="1"/>
  <c r="GZB6" i="20" a="1"/>
  <c r="GZB6" i="20" s="1"/>
  <c r="GZA6" i="20"/>
  <c r="GZA6" i="20" a="1"/>
  <c r="GYZ6" i="20" a="1"/>
  <c r="GYZ6" i="20" s="1"/>
  <c r="GYY6" i="20" a="1"/>
  <c r="GYY6" i="20" s="1"/>
  <c r="GYX6" i="20"/>
  <c r="GYX6" i="20" a="1"/>
  <c r="GYW6" i="20" a="1"/>
  <c r="GYW6" i="20" s="1"/>
  <c r="GYV6" i="20"/>
  <c r="GYV6" i="20" a="1"/>
  <c r="GYU6" i="20"/>
  <c r="GYU6" i="20" a="1"/>
  <c r="GYT6" i="20"/>
  <c r="GYT6" i="20" a="1"/>
  <c r="GYS6" i="20" a="1"/>
  <c r="GYS6" i="20" s="1"/>
  <c r="GYR6" i="20" a="1"/>
  <c r="GYR6" i="20" s="1"/>
  <c r="GYQ6" i="20"/>
  <c r="GYQ6" i="20" a="1"/>
  <c r="GYP6" i="20"/>
  <c r="GYP6" i="20" a="1"/>
  <c r="GYO6" i="20"/>
  <c r="GYO6" i="20" a="1"/>
  <c r="GYN6" i="20"/>
  <c r="GYN6" i="20" a="1"/>
  <c r="GYM6" i="20" a="1"/>
  <c r="GYM6" i="20" s="1"/>
  <c r="GYL6" i="20" a="1"/>
  <c r="GYL6" i="20" s="1"/>
  <c r="GYK6" i="20"/>
  <c r="GYK6" i="20" a="1"/>
  <c r="GYJ6" i="20" a="1"/>
  <c r="GYJ6" i="20" s="1"/>
  <c r="GYI6" i="20"/>
  <c r="GYI6" i="20" a="1"/>
  <c r="GYH6" i="20"/>
  <c r="GYH6" i="20" a="1"/>
  <c r="GYG6" i="20" a="1"/>
  <c r="GYG6" i="20" s="1"/>
  <c r="GYF6" i="20" a="1"/>
  <c r="GYF6" i="20" s="1"/>
  <c r="GYE6" i="20" a="1"/>
  <c r="GYE6" i="20" s="1"/>
  <c r="GYD6" i="20"/>
  <c r="GYD6" i="20" a="1"/>
  <c r="GYC6" i="20"/>
  <c r="GYC6" i="20" a="1"/>
  <c r="GYB6" i="20" a="1"/>
  <c r="GYB6" i="20" s="1"/>
  <c r="GYA6" i="20" a="1"/>
  <c r="GYA6" i="20" s="1"/>
  <c r="GXZ6" i="20"/>
  <c r="GXZ6" i="20" a="1"/>
  <c r="GXY6" i="20" a="1"/>
  <c r="GXY6" i="20" s="1"/>
  <c r="GXX6" i="20"/>
  <c r="GXX6" i="20" a="1"/>
  <c r="GXW6" i="20" a="1"/>
  <c r="GXW6" i="20" s="1"/>
  <c r="GXV6" i="20" a="1"/>
  <c r="GXV6" i="20" s="1"/>
  <c r="GXU6" i="20" a="1"/>
  <c r="GXU6" i="20" s="1"/>
  <c r="GXT6" i="20"/>
  <c r="GXT6" i="20" a="1"/>
  <c r="GXS6" i="20" a="1"/>
  <c r="GXS6" i="20" s="1"/>
  <c r="GXR6" i="20" a="1"/>
  <c r="GXR6" i="20" s="1"/>
  <c r="GXQ6" i="20"/>
  <c r="GXQ6" i="20" a="1"/>
  <c r="GXP6" i="20"/>
  <c r="GXP6" i="20" a="1"/>
  <c r="GXO6" i="20" a="1"/>
  <c r="GXO6" i="20" s="1"/>
  <c r="GXN6" i="20"/>
  <c r="GXN6" i="20" a="1"/>
  <c r="GXM6" i="20"/>
  <c r="GXM6" i="20" a="1"/>
  <c r="GXL6" i="20" a="1"/>
  <c r="GXL6" i="20" s="1"/>
  <c r="GXK6" i="20" a="1"/>
  <c r="GXK6" i="20" s="1"/>
  <c r="GXJ6" i="20" a="1"/>
  <c r="GXJ6" i="20" s="1"/>
  <c r="GXI6" i="20" a="1"/>
  <c r="GXI6" i="20" s="1"/>
  <c r="GXH6" i="20"/>
  <c r="GXH6" i="20" a="1"/>
  <c r="GXG6" i="20"/>
  <c r="GXG6" i="20" a="1"/>
  <c r="GXF6" i="20" a="1"/>
  <c r="GXF6" i="20" s="1"/>
  <c r="GXE6" i="20" a="1"/>
  <c r="GXE6" i="20" s="1"/>
  <c r="GXD6" i="20"/>
  <c r="GXD6" i="20" a="1"/>
  <c r="GXC6" i="20" a="1"/>
  <c r="GXC6" i="20" s="1"/>
  <c r="GXB6" i="20" a="1"/>
  <c r="GXB6" i="20" s="1"/>
  <c r="GXA6" i="20"/>
  <c r="GXA6" i="20" a="1"/>
  <c r="GWZ6" i="20"/>
  <c r="GWZ6" i="20" a="1"/>
  <c r="GWY6" i="20" a="1"/>
  <c r="GWY6" i="20" s="1"/>
  <c r="GWX6" i="20"/>
  <c r="GWX6" i="20" a="1"/>
  <c r="GWW6" i="20" a="1"/>
  <c r="GWW6" i="20" s="1"/>
  <c r="GWV6" i="20"/>
  <c r="GWV6" i="20" a="1"/>
  <c r="GWU6" i="20" a="1"/>
  <c r="GWU6" i="20" s="1"/>
  <c r="GWT6" i="20"/>
  <c r="GWT6" i="20" a="1"/>
  <c r="GWS6" i="20" a="1"/>
  <c r="GWS6" i="20" s="1"/>
  <c r="GWR6" i="20" a="1"/>
  <c r="GWR6" i="20" s="1"/>
  <c r="GWQ6" i="20" a="1"/>
  <c r="GWQ6" i="20" s="1"/>
  <c r="GWP6" i="20"/>
  <c r="GWP6" i="20" a="1"/>
  <c r="GWO6" i="20" a="1"/>
  <c r="GWO6" i="20" s="1"/>
  <c r="GWN6" i="20"/>
  <c r="GWN6" i="20" a="1"/>
  <c r="GWM6" i="20"/>
  <c r="GWM6" i="20" a="1"/>
  <c r="GWL6" i="20" a="1"/>
  <c r="GWL6" i="20" s="1"/>
  <c r="GWK6" i="20" a="1"/>
  <c r="GWK6" i="20" s="1"/>
  <c r="GWJ6" i="20"/>
  <c r="GWJ6" i="20" a="1"/>
  <c r="GWI6" i="20"/>
  <c r="GWI6" i="20" a="1"/>
  <c r="GWH6" i="20" a="1"/>
  <c r="GWH6" i="20" s="1"/>
  <c r="GWG6" i="20"/>
  <c r="GWG6" i="20" a="1"/>
  <c r="GWF6" i="20" a="1"/>
  <c r="GWF6" i="20" s="1"/>
  <c r="GWE6" i="20" a="1"/>
  <c r="GWE6" i="20" s="1"/>
  <c r="GWD6" i="20"/>
  <c r="GWD6" i="20" a="1"/>
  <c r="GWC6" i="20"/>
  <c r="GWC6" i="20" a="1"/>
  <c r="GWB6" i="20"/>
  <c r="GWB6" i="20" a="1"/>
  <c r="GWA6" i="20" a="1"/>
  <c r="GWA6" i="20" s="1"/>
  <c r="GVZ6" i="20"/>
  <c r="GVZ6" i="20" a="1"/>
  <c r="GVY6" i="20" a="1"/>
  <c r="GVY6" i="20" s="1"/>
  <c r="GVX6" i="20" a="1"/>
  <c r="GVX6" i="20" s="1"/>
  <c r="GVW6" i="20" a="1"/>
  <c r="GVW6" i="20" s="1"/>
  <c r="GVV6" i="20" a="1"/>
  <c r="GVV6" i="20" s="1"/>
  <c r="GVU6" i="20"/>
  <c r="GVU6" i="20" a="1"/>
  <c r="GVT6" i="20"/>
  <c r="GVT6" i="20" a="1"/>
  <c r="GVS6" i="20" a="1"/>
  <c r="GVS6" i="20" s="1"/>
  <c r="GVR6" i="20" a="1"/>
  <c r="GVR6" i="20" s="1"/>
  <c r="GVQ6" i="20" a="1"/>
  <c r="GVQ6" i="20" s="1"/>
  <c r="GVP6" i="20" a="1"/>
  <c r="GVP6" i="20" s="1"/>
  <c r="GVO6" i="20" a="1"/>
  <c r="GVO6" i="20" s="1"/>
  <c r="GVN6" i="20"/>
  <c r="GVN6" i="20" a="1"/>
  <c r="GVM6" i="20" a="1"/>
  <c r="GVM6" i="20" s="1"/>
  <c r="GVL6" i="20" a="1"/>
  <c r="GVL6" i="20" s="1"/>
  <c r="GVK6" i="20" a="1"/>
  <c r="GVK6" i="20" s="1"/>
  <c r="GVJ6" i="20" a="1"/>
  <c r="GVJ6" i="20" s="1"/>
  <c r="GVI6" i="20" a="1"/>
  <c r="GVI6" i="20" s="1"/>
  <c r="GVH6" i="20" a="1"/>
  <c r="GVH6" i="20" s="1"/>
  <c r="GVG6" i="20" a="1"/>
  <c r="GVG6" i="20" s="1"/>
  <c r="GVF6" i="20"/>
  <c r="GVF6" i="20" a="1"/>
  <c r="GVE6" i="20" a="1"/>
  <c r="GVE6" i="20" s="1"/>
  <c r="GVD6" i="20"/>
  <c r="GVD6" i="20" a="1"/>
  <c r="GVC6" i="20"/>
  <c r="GVC6" i="20" a="1"/>
  <c r="GVB6" i="20"/>
  <c r="GVB6" i="20" a="1"/>
  <c r="GVA6" i="20" a="1"/>
  <c r="GVA6" i="20" s="1"/>
  <c r="GUZ6" i="20"/>
  <c r="GUZ6" i="20" a="1"/>
  <c r="GUY6" i="20" a="1"/>
  <c r="GUY6" i="20" s="1"/>
  <c r="GUX6" i="20" a="1"/>
  <c r="GUX6" i="20" s="1"/>
  <c r="GUW6" i="20"/>
  <c r="GUW6" i="20" a="1"/>
  <c r="GUV6" i="20"/>
  <c r="GUV6" i="20" a="1"/>
  <c r="GUU6" i="20" a="1"/>
  <c r="GUU6" i="20" s="1"/>
  <c r="GUT6" i="20" a="1"/>
  <c r="GUT6" i="20" s="1"/>
  <c r="GUS6" i="20"/>
  <c r="GUS6" i="20" a="1"/>
  <c r="GUR6" i="20"/>
  <c r="GUR6" i="20" a="1"/>
  <c r="GUQ6" i="20" a="1"/>
  <c r="GUQ6" i="20" s="1"/>
  <c r="GUP6" i="20" a="1"/>
  <c r="GUP6" i="20" s="1"/>
  <c r="GUO6" i="20" a="1"/>
  <c r="GUO6" i="20" s="1"/>
  <c r="GUN6" i="20"/>
  <c r="GUN6" i="20" a="1"/>
  <c r="GUM6" i="20"/>
  <c r="GUM6" i="20" a="1"/>
  <c r="GUL6" i="20" a="1"/>
  <c r="GUL6" i="20" s="1"/>
  <c r="GUK6" i="20"/>
  <c r="GUK6" i="20" a="1"/>
  <c r="GUJ6" i="20" a="1"/>
  <c r="GUJ6" i="20" s="1"/>
  <c r="GUI6" i="20" a="1"/>
  <c r="GUI6" i="20" s="1"/>
  <c r="GUH6" i="20"/>
  <c r="GUH6" i="20" a="1"/>
  <c r="GUG6" i="20"/>
  <c r="GUG6" i="20" a="1"/>
  <c r="GUF6" i="20"/>
  <c r="GUF6" i="20" a="1"/>
  <c r="GUE6" i="20" a="1"/>
  <c r="GUE6" i="20" s="1"/>
  <c r="GUD6" i="20" a="1"/>
  <c r="GUD6" i="20" s="1"/>
  <c r="GUC6" i="20" a="1"/>
  <c r="GUC6" i="20" s="1"/>
  <c r="GUB6" i="20" a="1"/>
  <c r="GUB6" i="20" s="1"/>
  <c r="GUA6" i="20" a="1"/>
  <c r="GUA6" i="20" s="1"/>
  <c r="GTZ6" i="20"/>
  <c r="GTZ6" i="20" a="1"/>
  <c r="GTY6" i="20" a="1"/>
  <c r="GTY6" i="20" s="1"/>
  <c r="GTX6" i="20" a="1"/>
  <c r="GTX6" i="20" s="1"/>
  <c r="GTW6" i="20" a="1"/>
  <c r="GTW6" i="20" s="1"/>
  <c r="GTV6" i="20" a="1"/>
  <c r="GTV6" i="20" s="1"/>
  <c r="GTU6" i="20" a="1"/>
  <c r="GTU6" i="20" s="1"/>
  <c r="GTT6" i="20" a="1"/>
  <c r="GTT6" i="20" s="1"/>
  <c r="GTS6" i="20"/>
  <c r="GTS6" i="20" a="1"/>
  <c r="GTR6" i="20"/>
  <c r="GTR6" i="20" a="1"/>
  <c r="GTQ6" i="20" a="1"/>
  <c r="GTQ6" i="20" s="1"/>
  <c r="GTP6" i="20" a="1"/>
  <c r="GTP6" i="20" s="1"/>
  <c r="GTO6" i="20"/>
  <c r="GTO6" i="20" a="1"/>
  <c r="GTN6" i="20"/>
  <c r="GTN6" i="20" a="1"/>
  <c r="GTM6" i="20"/>
  <c r="GTM6" i="20" a="1"/>
  <c r="GTL6" i="20" a="1"/>
  <c r="GTL6" i="20" s="1"/>
  <c r="GTK6" i="20" a="1"/>
  <c r="GTK6" i="20" s="1"/>
  <c r="GTJ6" i="20" a="1"/>
  <c r="GTJ6" i="20" s="1"/>
  <c r="GTI6" i="20" a="1"/>
  <c r="GTI6" i="20" s="1"/>
  <c r="GTH6" i="20"/>
  <c r="GTH6" i="20" a="1"/>
  <c r="GTG6" i="20"/>
  <c r="GTG6" i="20" a="1"/>
  <c r="GTF6" i="20"/>
  <c r="GTF6" i="20" a="1"/>
  <c r="GTE6" i="20" a="1"/>
  <c r="GTE6" i="20" s="1"/>
  <c r="GTD6" i="20"/>
  <c r="GTD6" i="20" a="1"/>
  <c r="GTC6" i="20"/>
  <c r="GTC6" i="20" a="1"/>
  <c r="GTB6" i="20" a="1"/>
  <c r="GTB6" i="20" s="1"/>
  <c r="GTA6" i="20" a="1"/>
  <c r="GTA6" i="20" s="1"/>
  <c r="GSZ6" i="20"/>
  <c r="GSZ6" i="20" a="1"/>
  <c r="GSY6" i="20" a="1"/>
  <c r="GSY6" i="20" s="1"/>
  <c r="GSX6" i="20"/>
  <c r="GSX6" i="20" a="1"/>
  <c r="GSW6" i="20" a="1"/>
  <c r="GSW6" i="20" s="1"/>
  <c r="GSV6" i="20" a="1"/>
  <c r="GSV6" i="20" s="1"/>
  <c r="GSU6" i="20"/>
  <c r="GSU6" i="20" a="1"/>
  <c r="GST6" i="20"/>
  <c r="GST6" i="20" a="1"/>
  <c r="GSS6" i="20" a="1"/>
  <c r="GSS6" i="20" s="1"/>
  <c r="GSR6" i="20" a="1"/>
  <c r="GSR6" i="20" s="1"/>
  <c r="GSQ6" i="20"/>
  <c r="GSQ6" i="20" a="1"/>
  <c r="GSP6" i="20" a="1"/>
  <c r="GSP6" i="20" s="1"/>
  <c r="GSO6" i="20" a="1"/>
  <c r="GSO6" i="20" s="1"/>
  <c r="GSN6" i="20"/>
  <c r="GSN6" i="20" a="1"/>
  <c r="GSM6" i="20" a="1"/>
  <c r="GSM6" i="20" s="1"/>
  <c r="GSL6" i="20"/>
  <c r="GSL6" i="20" a="1"/>
  <c r="GSK6" i="20" a="1"/>
  <c r="GSK6" i="20" s="1"/>
  <c r="GSJ6" i="20"/>
  <c r="GSJ6" i="20" a="1"/>
  <c r="GSI6" i="20"/>
  <c r="GSI6" i="20" a="1"/>
  <c r="GSH6" i="20" a="1"/>
  <c r="GSH6" i="20" s="1"/>
  <c r="GSG6" i="20" a="1"/>
  <c r="GSG6" i="20" s="1"/>
  <c r="GSF6" i="20"/>
  <c r="GSF6" i="20" a="1"/>
  <c r="GSE6" i="20" a="1"/>
  <c r="GSE6" i="20" s="1"/>
  <c r="GSD6" i="20" a="1"/>
  <c r="GSD6" i="20" s="1"/>
  <c r="GSC6" i="20"/>
  <c r="GSC6" i="20" a="1"/>
  <c r="GSB6" i="20"/>
  <c r="GSB6" i="20" a="1"/>
  <c r="GSA6" i="20" a="1"/>
  <c r="GSA6" i="20" s="1"/>
  <c r="GRZ6" i="20"/>
  <c r="GRZ6" i="20" a="1"/>
  <c r="GRY6" i="20"/>
  <c r="GRY6" i="20" a="1"/>
  <c r="GRX6" i="20"/>
  <c r="GRX6" i="20" a="1"/>
  <c r="GRW6" i="20"/>
  <c r="GRW6" i="20" a="1"/>
  <c r="GRV6" i="20" a="1"/>
  <c r="GRV6" i="20" s="1"/>
  <c r="GRU6" i="20" a="1"/>
  <c r="GRU6" i="20" s="1"/>
  <c r="GRT6" i="20" a="1"/>
  <c r="GRT6" i="20" s="1"/>
  <c r="GRS6" i="20"/>
  <c r="GRS6" i="20" a="1"/>
  <c r="GRR6" i="20" a="1"/>
  <c r="GRR6" i="20" s="1"/>
  <c r="GRQ6" i="20"/>
  <c r="GRQ6" i="20" a="1"/>
  <c r="GRP6" i="20"/>
  <c r="GRP6" i="20" a="1"/>
  <c r="GRO6" i="20" a="1"/>
  <c r="GRO6" i="20" s="1"/>
  <c r="GRN6" i="20"/>
  <c r="GRN6" i="20" a="1"/>
  <c r="GRM6" i="20" a="1"/>
  <c r="GRM6" i="20" s="1"/>
  <c r="GRL6" i="20"/>
  <c r="GRL6" i="20" a="1"/>
  <c r="GRK6" i="20" a="1"/>
  <c r="GRK6" i="20" s="1"/>
  <c r="GRJ6" i="20" a="1"/>
  <c r="GRJ6" i="20" s="1"/>
  <c r="GRI6" i="20" a="1"/>
  <c r="GRI6" i="20" s="1"/>
  <c r="GRH6" i="20" a="1"/>
  <c r="GRH6" i="20" s="1"/>
  <c r="GRG6" i="20" a="1"/>
  <c r="GRG6" i="20" s="1"/>
  <c r="GRF6" i="20"/>
  <c r="GRF6" i="20" a="1"/>
  <c r="GRE6" i="20" a="1"/>
  <c r="GRE6" i="20" s="1"/>
  <c r="GRD6" i="20" a="1"/>
  <c r="GRD6" i="20" s="1"/>
  <c r="GRC6" i="20" a="1"/>
  <c r="GRC6" i="20" s="1"/>
  <c r="GRB6" i="20"/>
  <c r="GRB6" i="20" a="1"/>
  <c r="GRA6" i="20" a="1"/>
  <c r="GRA6" i="20" s="1"/>
  <c r="GQZ6" i="20" a="1"/>
  <c r="GQZ6" i="20" s="1"/>
  <c r="GQY6" i="20"/>
  <c r="GQY6" i="20" a="1"/>
  <c r="GQX6" i="20"/>
  <c r="GQX6" i="20" a="1"/>
  <c r="GQW6" i="20"/>
  <c r="GQW6" i="20" a="1"/>
  <c r="GQV6" i="20"/>
  <c r="GQV6" i="20" a="1"/>
  <c r="GQU6" i="20" a="1"/>
  <c r="GQU6" i="20" s="1"/>
  <c r="GQT6" i="20" a="1"/>
  <c r="GQT6" i="20" s="1"/>
  <c r="GQS6" i="20"/>
  <c r="GQS6" i="20" a="1"/>
  <c r="GQR6" i="20"/>
  <c r="GQR6" i="20" a="1"/>
  <c r="GQQ6" i="20"/>
  <c r="GQQ6" i="20" a="1"/>
  <c r="GQP6" i="20"/>
  <c r="GQP6" i="20" a="1"/>
  <c r="GQO6" i="20" a="1"/>
  <c r="GQO6" i="20" s="1"/>
  <c r="GQN6" i="20" a="1"/>
  <c r="GQN6" i="20" s="1"/>
  <c r="GQM6" i="20"/>
  <c r="GQM6" i="20" a="1"/>
  <c r="GQL6" i="20"/>
  <c r="GQL6" i="20" a="1"/>
  <c r="GQK6" i="20"/>
  <c r="GQK6" i="20" a="1"/>
  <c r="GQJ6" i="20"/>
  <c r="GQJ6" i="20" a="1"/>
  <c r="GQI6" i="20" a="1"/>
  <c r="GQI6" i="20" s="1"/>
  <c r="GQH6" i="20" a="1"/>
  <c r="GQH6" i="20" s="1"/>
  <c r="GQG6" i="20"/>
  <c r="GQG6" i="20" a="1"/>
  <c r="GQF6" i="20"/>
  <c r="GQF6" i="20" a="1"/>
  <c r="GQE6" i="20"/>
  <c r="GQE6" i="20" a="1"/>
  <c r="GQD6" i="20"/>
  <c r="GQD6" i="20" a="1"/>
  <c r="GQC6" i="20" a="1"/>
  <c r="GQC6" i="20" s="1"/>
  <c r="GQB6" i="20" a="1"/>
  <c r="GQB6" i="20" s="1"/>
  <c r="GQA6" i="20"/>
  <c r="GQA6" i="20" a="1"/>
  <c r="GPZ6" i="20"/>
  <c r="GPZ6" i="20" a="1"/>
  <c r="GPY6" i="20"/>
  <c r="GPY6" i="20" a="1"/>
  <c r="GPX6" i="20"/>
  <c r="GPX6" i="20" a="1"/>
  <c r="GPW6" i="20" a="1"/>
  <c r="GPW6" i="20" s="1"/>
  <c r="GPV6" i="20" a="1"/>
  <c r="GPV6" i="20" s="1"/>
  <c r="GPU6" i="20"/>
  <c r="GPU6" i="20" a="1"/>
  <c r="GPT6" i="20"/>
  <c r="GPT6" i="20" a="1"/>
  <c r="GPS6" i="20"/>
  <c r="GPS6" i="20" a="1"/>
  <c r="GPR6" i="20"/>
  <c r="GPR6" i="20" a="1"/>
  <c r="GPQ6" i="20" a="1"/>
  <c r="GPQ6" i="20" s="1"/>
  <c r="GPP6" i="20" a="1"/>
  <c r="GPP6" i="20" s="1"/>
  <c r="GPO6" i="20"/>
  <c r="GPO6" i="20" a="1"/>
  <c r="GPN6" i="20"/>
  <c r="GPN6" i="20" a="1"/>
  <c r="GPM6" i="20"/>
  <c r="GPM6" i="20" a="1"/>
  <c r="GPL6" i="20"/>
  <c r="GPL6" i="20" a="1"/>
  <c r="GPK6" i="20" a="1"/>
  <c r="GPK6" i="20" s="1"/>
  <c r="GPJ6" i="20" a="1"/>
  <c r="GPJ6" i="20" s="1"/>
  <c r="GPI6" i="20"/>
  <c r="GPI6" i="20" a="1"/>
  <c r="GPH6" i="20"/>
  <c r="GPH6" i="20" a="1"/>
  <c r="GPG6" i="20"/>
  <c r="GPG6" i="20" a="1"/>
  <c r="GPF6" i="20"/>
  <c r="GPF6" i="20" a="1"/>
  <c r="GPE6" i="20" a="1"/>
  <c r="GPE6" i="20" s="1"/>
  <c r="GPD6" i="20" a="1"/>
  <c r="GPD6" i="20" s="1"/>
  <c r="GPC6" i="20"/>
  <c r="GPC6" i="20" a="1"/>
  <c r="GPB6" i="20"/>
  <c r="GPB6" i="20" a="1"/>
  <c r="GPA6" i="20"/>
  <c r="GPA6" i="20" a="1"/>
  <c r="GOZ6" i="20"/>
  <c r="GOZ6" i="20" a="1"/>
  <c r="GOY6" i="20" a="1"/>
  <c r="GOY6" i="20" s="1"/>
  <c r="GOX6" i="20" a="1"/>
  <c r="GOX6" i="20" s="1"/>
  <c r="GOW6" i="20"/>
  <c r="GOW6" i="20" a="1"/>
  <c r="GOV6" i="20"/>
  <c r="GOV6" i="20" a="1"/>
  <c r="GOU6" i="20"/>
  <c r="GOU6" i="20" a="1"/>
  <c r="GOT6" i="20"/>
  <c r="GOT6" i="20" a="1"/>
  <c r="GOS6" i="20" a="1"/>
  <c r="GOS6" i="20" s="1"/>
  <c r="GOR6" i="20" a="1"/>
  <c r="GOR6" i="20" s="1"/>
  <c r="GOQ6" i="20"/>
  <c r="GOQ6" i="20" a="1"/>
  <c r="GOP6" i="20"/>
  <c r="GOP6" i="20" a="1"/>
  <c r="GOO6" i="20"/>
  <c r="GOO6" i="20" a="1"/>
  <c r="GON6" i="20"/>
  <c r="GON6" i="20" a="1"/>
  <c r="GOM6" i="20" a="1"/>
  <c r="GOM6" i="20" s="1"/>
  <c r="GOL6" i="20" a="1"/>
  <c r="GOL6" i="20" s="1"/>
  <c r="GOK6" i="20"/>
  <c r="GOK6" i="20" a="1"/>
  <c r="GOJ6" i="20"/>
  <c r="GOJ6" i="20" a="1"/>
  <c r="GOI6" i="20"/>
  <c r="GOI6" i="20" a="1"/>
  <c r="GOH6" i="20"/>
  <c r="GOH6" i="20" a="1"/>
  <c r="GOG6" i="20" a="1"/>
  <c r="GOG6" i="20" s="1"/>
  <c r="GOF6" i="20" a="1"/>
  <c r="GOF6" i="20" s="1"/>
  <c r="GOE6" i="20"/>
  <c r="GOE6" i="20" a="1"/>
  <c r="GOD6" i="20"/>
  <c r="GOD6" i="20" a="1"/>
  <c r="GOC6" i="20"/>
  <c r="GOC6" i="20" a="1"/>
  <c r="GOB6" i="20"/>
  <c r="GOB6" i="20" a="1"/>
  <c r="GOA6" i="20" a="1"/>
  <c r="GOA6" i="20" s="1"/>
  <c r="GNZ6" i="20" a="1"/>
  <c r="GNZ6" i="20" s="1"/>
  <c r="GNY6" i="20"/>
  <c r="GNY6" i="20" a="1"/>
  <c r="GNX6" i="20"/>
  <c r="GNX6" i="20" a="1"/>
  <c r="GNW6" i="20"/>
  <c r="GNW6" i="20" a="1"/>
  <c r="GNV6" i="20"/>
  <c r="GNV6" i="20" a="1"/>
  <c r="GNU6" i="20" a="1"/>
  <c r="GNU6" i="20" s="1"/>
  <c r="GNT6" i="20" a="1"/>
  <c r="GNT6" i="20" s="1"/>
  <c r="GNS6" i="20"/>
  <c r="GNS6" i="20" a="1"/>
  <c r="GNR6" i="20"/>
  <c r="GNR6" i="20" a="1"/>
  <c r="GNQ6" i="20"/>
  <c r="GNQ6" i="20" a="1"/>
  <c r="GNP6" i="20"/>
  <c r="GNP6" i="20" a="1"/>
  <c r="GNO6" i="20" a="1"/>
  <c r="GNO6" i="20" s="1"/>
  <c r="GNN6" i="20" a="1"/>
  <c r="GNN6" i="20" s="1"/>
  <c r="GNM6" i="20"/>
  <c r="GNM6" i="20" a="1"/>
  <c r="GNL6" i="20"/>
  <c r="GNL6" i="20" a="1"/>
  <c r="GNK6" i="20"/>
  <c r="GNK6" i="20" a="1"/>
  <c r="GNJ6" i="20"/>
  <c r="GNJ6" i="20" a="1"/>
  <c r="GNI6" i="20" a="1"/>
  <c r="GNI6" i="20" s="1"/>
  <c r="GNH6" i="20" a="1"/>
  <c r="GNH6" i="20" s="1"/>
  <c r="GNG6" i="20"/>
  <c r="GNG6" i="20" a="1"/>
  <c r="GNF6" i="20"/>
  <c r="GNF6" i="20" a="1"/>
  <c r="GNE6" i="20"/>
  <c r="GNE6" i="20" a="1"/>
  <c r="GND6" i="20"/>
  <c r="GND6" i="20" a="1"/>
  <c r="GNC6" i="20" a="1"/>
  <c r="GNC6" i="20" s="1"/>
  <c r="GNB6" i="20" a="1"/>
  <c r="GNB6" i="20" s="1"/>
  <c r="GNA6" i="20"/>
  <c r="GNA6" i="20" a="1"/>
  <c r="GMZ6" i="20"/>
  <c r="GMZ6" i="20" a="1"/>
  <c r="GMY6" i="20"/>
  <c r="GMY6" i="20" a="1"/>
  <c r="GMX6" i="20"/>
  <c r="GMX6" i="20" a="1"/>
  <c r="GMW6" i="20" a="1"/>
  <c r="GMW6" i="20" s="1"/>
  <c r="GMV6" i="20" a="1"/>
  <c r="GMV6" i="20" s="1"/>
  <c r="GMU6" i="20"/>
  <c r="GMU6" i="20" a="1"/>
  <c r="GMT6" i="20"/>
  <c r="GMT6" i="20" a="1"/>
  <c r="GMS6" i="20"/>
  <c r="GMS6" i="20" a="1"/>
  <c r="GMR6" i="20"/>
  <c r="GMR6" i="20" a="1"/>
  <c r="GMQ6" i="20" a="1"/>
  <c r="GMQ6" i="20" s="1"/>
  <c r="GMP6" i="20" a="1"/>
  <c r="GMP6" i="20" s="1"/>
  <c r="GMO6" i="20"/>
  <c r="GMO6" i="20" a="1"/>
  <c r="GMN6" i="20"/>
  <c r="GMN6" i="20" a="1"/>
  <c r="GMM6" i="20"/>
  <c r="GMM6" i="20" a="1"/>
  <c r="GML6" i="20"/>
  <c r="GML6" i="20" a="1"/>
  <c r="GMK6" i="20" a="1"/>
  <c r="GMK6" i="20" s="1"/>
  <c r="GMJ6" i="20" a="1"/>
  <c r="GMJ6" i="20" s="1"/>
  <c r="GMI6" i="20"/>
  <c r="GMI6" i="20" a="1"/>
  <c r="GMH6" i="20"/>
  <c r="GMH6" i="20" a="1"/>
  <c r="GMG6" i="20"/>
  <c r="GMG6" i="20" a="1"/>
  <c r="GMF6" i="20"/>
  <c r="GMF6" i="20" a="1"/>
  <c r="GME6" i="20" a="1"/>
  <c r="GME6" i="20" s="1"/>
  <c r="GMD6" i="20" a="1"/>
  <c r="GMD6" i="20" s="1"/>
  <c r="GMC6" i="20"/>
  <c r="GMC6" i="20" a="1"/>
  <c r="GMB6" i="20"/>
  <c r="GMB6" i="20" a="1"/>
  <c r="GMA6" i="20"/>
  <c r="GMA6" i="20" a="1"/>
  <c r="GLZ6" i="20"/>
  <c r="GLZ6" i="20" a="1"/>
  <c r="GLY6" i="20" a="1"/>
  <c r="GLY6" i="20" s="1"/>
  <c r="GLX6" i="20" a="1"/>
  <c r="GLX6" i="20" s="1"/>
  <c r="GLW6" i="20"/>
  <c r="GLW6" i="20" a="1"/>
  <c r="GLV6" i="20"/>
  <c r="GLV6" i="20" a="1"/>
  <c r="GLU6" i="20"/>
  <c r="GLU6" i="20" a="1"/>
  <c r="GLT6" i="20"/>
  <c r="GLT6" i="20" a="1"/>
  <c r="GLS6" i="20" a="1"/>
  <c r="GLS6" i="20" s="1"/>
  <c r="GLR6" i="20" a="1"/>
  <c r="GLR6" i="20" s="1"/>
  <c r="GLQ6" i="20"/>
  <c r="GLQ6" i="20" a="1"/>
  <c r="GLP6" i="20"/>
  <c r="GLP6" i="20" a="1"/>
  <c r="GLO6" i="20"/>
  <c r="GLO6" i="20" a="1"/>
  <c r="GLN6" i="20"/>
  <c r="GLN6" i="20" a="1"/>
  <c r="GLM6" i="20" a="1"/>
  <c r="GLM6" i="20" s="1"/>
  <c r="GLL6" i="20" a="1"/>
  <c r="GLL6" i="20" s="1"/>
  <c r="GLK6" i="20"/>
  <c r="GLK6" i="20" a="1"/>
  <c r="GLJ6" i="20"/>
  <c r="GLJ6" i="20" a="1"/>
  <c r="GLI6" i="20"/>
  <c r="GLI6" i="20" a="1"/>
  <c r="GLH6" i="20"/>
  <c r="GLH6" i="20" a="1"/>
  <c r="GLG6" i="20" a="1"/>
  <c r="GLG6" i="20" s="1"/>
  <c r="GLF6" i="20" a="1"/>
  <c r="GLF6" i="20" s="1"/>
  <c r="GLE6" i="20"/>
  <c r="GLE6" i="20" a="1"/>
  <c r="GLD6" i="20"/>
  <c r="GLD6" i="20" a="1"/>
  <c r="GLC6" i="20"/>
  <c r="GLC6" i="20" a="1"/>
  <c r="GLB6" i="20"/>
  <c r="GLB6" i="20" a="1"/>
  <c r="GLA6" i="20" a="1"/>
  <c r="GLA6" i="20" s="1"/>
  <c r="GKZ6" i="20" a="1"/>
  <c r="GKZ6" i="20" s="1"/>
  <c r="GKY6" i="20"/>
  <c r="GKY6" i="20" a="1"/>
  <c r="GKX6" i="20"/>
  <c r="GKX6" i="20" a="1"/>
  <c r="GKW6" i="20"/>
  <c r="GKW6" i="20" a="1"/>
  <c r="GKV6" i="20"/>
  <c r="GKV6" i="20" a="1"/>
  <c r="GKU6" i="20" a="1"/>
  <c r="GKU6" i="20" s="1"/>
  <c r="GKT6" i="20" a="1"/>
  <c r="GKT6" i="20" s="1"/>
  <c r="GKS6" i="20"/>
  <c r="GKS6" i="20" a="1"/>
  <c r="GKR6" i="20"/>
  <c r="GKR6" i="20" a="1"/>
  <c r="GKQ6" i="20"/>
  <c r="GKQ6" i="20" a="1"/>
  <c r="GKP6" i="20"/>
  <c r="GKP6" i="20" a="1"/>
  <c r="GKO6" i="20" a="1"/>
  <c r="GKO6" i="20" s="1"/>
  <c r="GKN6" i="20" a="1"/>
  <c r="GKN6" i="20" s="1"/>
  <c r="GKM6" i="20"/>
  <c r="GKM6" i="20" a="1"/>
  <c r="GKL6" i="20"/>
  <c r="GKL6" i="20" a="1"/>
  <c r="GKK6" i="20"/>
  <c r="GKK6" i="20" a="1"/>
  <c r="GKJ6" i="20"/>
  <c r="GKJ6" i="20" a="1"/>
  <c r="GKI6" i="20" a="1"/>
  <c r="GKI6" i="20" s="1"/>
  <c r="GKH6" i="20" a="1"/>
  <c r="GKH6" i="20" s="1"/>
  <c r="GKG6" i="20" a="1"/>
  <c r="GKG6" i="20" s="1"/>
  <c r="GKF6" i="20" a="1"/>
  <c r="GKF6" i="20" s="1"/>
  <c r="GKE6" i="20"/>
  <c r="GKE6" i="20" a="1"/>
  <c r="GKD6" i="20" a="1"/>
  <c r="GKD6" i="20" s="1"/>
  <c r="GKC6" i="20"/>
  <c r="GKC6" i="20" a="1"/>
  <c r="GKB6" i="20"/>
  <c r="GKB6" i="20" a="1"/>
  <c r="GKA6" i="20" a="1"/>
  <c r="GKA6" i="20" s="1"/>
  <c r="GJZ6" i="20"/>
  <c r="GJZ6" i="20" a="1"/>
  <c r="GJY6" i="20"/>
  <c r="GJY6" i="20" a="1"/>
  <c r="GJX6" i="20"/>
  <c r="GJX6" i="20" a="1"/>
  <c r="GJW6" i="20"/>
  <c r="GJW6" i="20" a="1"/>
  <c r="GJV6" i="20" a="1"/>
  <c r="GJV6" i="20" s="1"/>
  <c r="GJU6" i="20" a="1"/>
  <c r="GJU6" i="20" s="1"/>
  <c r="GJT6" i="20" a="1"/>
  <c r="GJT6" i="20" s="1"/>
  <c r="GJS6" i="20" a="1"/>
  <c r="GJS6" i="20" s="1"/>
  <c r="GJR6" i="20"/>
  <c r="GJR6" i="20" a="1"/>
  <c r="GJQ6" i="20" a="1"/>
  <c r="GJQ6" i="20" s="1"/>
  <c r="GJP6" i="20"/>
  <c r="GJP6" i="20" a="1"/>
  <c r="GJO6" i="20" a="1"/>
  <c r="GJO6" i="20" s="1"/>
  <c r="GJN6" i="20" a="1"/>
  <c r="GJN6" i="20" s="1"/>
  <c r="GJM6" i="20"/>
  <c r="GJM6" i="20" a="1"/>
  <c r="GJL6" i="20"/>
  <c r="GJL6" i="20" a="1"/>
  <c r="GJK6" i="20"/>
  <c r="GJK6" i="20" a="1"/>
  <c r="GJJ6" i="20"/>
  <c r="GJJ6" i="20" a="1"/>
  <c r="GJI6" i="20" a="1"/>
  <c r="GJI6" i="20" s="1"/>
  <c r="GJH6" i="20"/>
  <c r="GJH6" i="20" a="1"/>
  <c r="GJG6" i="20" a="1"/>
  <c r="GJG6" i="20" s="1"/>
  <c r="GJF6" i="20" a="1"/>
  <c r="GJF6" i="20" s="1"/>
  <c r="GJE6" i="20"/>
  <c r="GJE6" i="20" a="1"/>
  <c r="GJD6" i="20" a="1"/>
  <c r="GJD6" i="20" s="1"/>
  <c r="GJC6" i="20" a="1"/>
  <c r="GJC6" i="20" s="1"/>
  <c r="GJB6" i="20" a="1"/>
  <c r="GJB6" i="20" s="1"/>
  <c r="GJA6" i="20" a="1"/>
  <c r="GJA6" i="20" s="1"/>
  <c r="GIZ6" i="20"/>
  <c r="GIZ6" i="20" a="1"/>
  <c r="GIY6" i="20"/>
  <c r="GIY6" i="20" a="1"/>
  <c r="GIX6" i="20"/>
  <c r="GIX6" i="20" a="1"/>
  <c r="GIW6" i="20" a="1"/>
  <c r="GIW6" i="20" s="1"/>
  <c r="GIV6" i="20"/>
  <c r="GIV6" i="20" a="1"/>
  <c r="GIU6" i="20"/>
  <c r="GIU6" i="20" a="1"/>
  <c r="GIT6" i="20" a="1"/>
  <c r="GIT6" i="20" s="1"/>
  <c r="GIS6" i="20" a="1"/>
  <c r="GIS6" i="20" s="1"/>
  <c r="GIR6" i="20"/>
  <c r="GIR6" i="20" a="1"/>
  <c r="GIQ6" i="20" a="1"/>
  <c r="GIQ6" i="20" s="1"/>
  <c r="GIP6" i="20"/>
  <c r="GIP6" i="20" a="1"/>
  <c r="GIO6" i="20" a="1"/>
  <c r="GIO6" i="20" s="1"/>
  <c r="GIN6" i="20" a="1"/>
  <c r="GIN6" i="20" s="1"/>
  <c r="GIM6" i="20"/>
  <c r="GIM6" i="20" a="1"/>
  <c r="GIL6" i="20"/>
  <c r="GIL6" i="20" a="1"/>
  <c r="GIK6" i="20" a="1"/>
  <c r="GIK6" i="20" s="1"/>
  <c r="GIJ6" i="20" a="1"/>
  <c r="GIJ6" i="20" s="1"/>
  <c r="GII6" i="20"/>
  <c r="GII6" i="20" a="1"/>
  <c r="GIH6" i="20"/>
  <c r="GIH6" i="20" a="1"/>
  <c r="GIG6" i="20" a="1"/>
  <c r="GIG6" i="20" s="1"/>
  <c r="GIF6" i="20" a="1"/>
  <c r="GIF6" i="20" s="1"/>
  <c r="GIE6" i="20" a="1"/>
  <c r="GIE6" i="20" s="1"/>
  <c r="GID6" i="20"/>
  <c r="GID6" i="20" a="1"/>
  <c r="GIC6" i="20"/>
  <c r="GIC6" i="20" a="1"/>
  <c r="GIB6" i="20" a="1"/>
  <c r="GIB6" i="20" s="1"/>
  <c r="GIA6" i="20" a="1"/>
  <c r="GIA6" i="20" s="1"/>
  <c r="GHZ6" i="20"/>
  <c r="GHZ6" i="20" a="1"/>
  <c r="GHY6" i="20" a="1"/>
  <c r="GHY6" i="20" s="1"/>
  <c r="GHX6" i="20" a="1"/>
  <c r="GHX6" i="20" s="1"/>
  <c r="GHW6" i="20" a="1"/>
  <c r="GHW6" i="20" s="1"/>
  <c r="GHV6" i="20"/>
  <c r="GHV6" i="20" a="1"/>
  <c r="GHU6" i="20"/>
  <c r="GHU6" i="20" a="1"/>
  <c r="GHT6" i="20" a="1"/>
  <c r="GHT6" i="20" s="1"/>
  <c r="GHS6" i="20" a="1"/>
  <c r="GHS6" i="20" s="1"/>
  <c r="GHR6" i="20"/>
  <c r="GHR6" i="20" a="1"/>
  <c r="GHQ6" i="20"/>
  <c r="GHQ6" i="20" a="1"/>
  <c r="GHP6" i="20"/>
  <c r="GHP6" i="20" a="1"/>
  <c r="GHO6" i="20" a="1"/>
  <c r="GHO6" i="20" s="1"/>
  <c r="GHN6" i="20" a="1"/>
  <c r="GHN6" i="20" s="1"/>
  <c r="GHM6" i="20" a="1"/>
  <c r="GHM6" i="20" s="1"/>
  <c r="GHL6" i="20" a="1"/>
  <c r="GHL6" i="20" s="1"/>
  <c r="GHK6" i="20" a="1"/>
  <c r="GHK6" i="20" s="1"/>
  <c r="GHJ6" i="20" a="1"/>
  <c r="GHJ6" i="20" s="1"/>
  <c r="GHI6" i="20"/>
  <c r="GHI6" i="20" a="1"/>
  <c r="GHH6" i="20"/>
  <c r="GHH6" i="20" a="1"/>
  <c r="GHG6" i="20" a="1"/>
  <c r="GHG6" i="20" s="1"/>
  <c r="GHF6" i="20"/>
  <c r="GHF6" i="20" a="1"/>
  <c r="GHE6" i="20"/>
  <c r="GHE6" i="20" a="1"/>
  <c r="GHD6" i="20"/>
  <c r="GHD6" i="20" a="1"/>
  <c r="GHC6" i="20"/>
  <c r="GHC6" i="20" a="1"/>
  <c r="GHB6" i="20" a="1"/>
  <c r="GHB6" i="20" s="1"/>
  <c r="GHA6" i="20" a="1"/>
  <c r="GHA6" i="20" s="1"/>
  <c r="GGZ6" i="20" a="1"/>
  <c r="GGZ6" i="20" s="1"/>
  <c r="GGY6" i="20" a="1"/>
  <c r="GGY6" i="20" s="1"/>
  <c r="GGX6" i="20" a="1"/>
  <c r="GGX6" i="20" s="1"/>
  <c r="GGW6" i="20" a="1"/>
  <c r="GGW6" i="20" s="1"/>
  <c r="GGV6" i="20"/>
  <c r="GGV6" i="20" a="1"/>
  <c r="GGU6" i="20" a="1"/>
  <c r="GGU6" i="20" s="1"/>
  <c r="GGT6" i="20" a="1"/>
  <c r="GGT6" i="20" s="1"/>
  <c r="GGS6" i="20"/>
  <c r="GGS6" i="20" a="1"/>
  <c r="GGR6" i="20"/>
  <c r="GGR6" i="20" a="1"/>
  <c r="GGQ6" i="20"/>
  <c r="GGQ6" i="20" a="1"/>
  <c r="GGP6" i="20"/>
  <c r="GGP6" i="20" a="1"/>
  <c r="GGO6" i="20" a="1"/>
  <c r="GGO6" i="20" s="1"/>
  <c r="GGN6" i="20"/>
  <c r="GGN6" i="20" a="1"/>
  <c r="GGM6" i="20" a="1"/>
  <c r="GGM6" i="20" s="1"/>
  <c r="GGL6" i="20" a="1"/>
  <c r="GGL6" i="20" s="1"/>
  <c r="GGK6" i="20" a="1"/>
  <c r="GGK6" i="20" s="1"/>
  <c r="GGJ6" i="20" a="1"/>
  <c r="GGJ6" i="20" s="1"/>
  <c r="GGI6" i="20" a="1"/>
  <c r="GGI6" i="20" s="1"/>
  <c r="GGH6" i="20" a="1"/>
  <c r="GGH6" i="20" s="1"/>
  <c r="GGG6" i="20" a="1"/>
  <c r="GGG6" i="20" s="1"/>
  <c r="GGF6" i="20"/>
  <c r="GGF6" i="20" a="1"/>
  <c r="GGE6" i="20"/>
  <c r="GGE6" i="20" a="1"/>
  <c r="GGD6" i="20"/>
  <c r="GGD6" i="20" a="1"/>
  <c r="GGC6" i="20" a="1"/>
  <c r="GGC6" i="20" s="1"/>
  <c r="GGB6" i="20"/>
  <c r="GGB6" i="20" a="1"/>
  <c r="GGA6" i="20"/>
  <c r="GGA6" i="20" a="1"/>
  <c r="GFZ6" i="20" a="1"/>
  <c r="GFZ6" i="20" s="1"/>
  <c r="GFY6" i="20" a="1"/>
  <c r="GFY6" i="20" s="1"/>
  <c r="GFX6" i="20" a="1"/>
  <c r="GFX6" i="20" s="1"/>
  <c r="GFW6" i="20" a="1"/>
  <c r="GFW6" i="20" s="1"/>
  <c r="GFV6" i="20"/>
  <c r="GFV6" i="20" a="1"/>
  <c r="GFU6" i="20" a="1"/>
  <c r="GFU6" i="20" s="1"/>
  <c r="GFT6" i="20" a="1"/>
  <c r="GFT6" i="20" s="1"/>
  <c r="GFS6" i="20"/>
  <c r="GFS6" i="20" a="1"/>
  <c r="GFR6" i="20"/>
  <c r="GFR6" i="20" a="1"/>
  <c r="GFQ6" i="20" a="1"/>
  <c r="GFQ6" i="20" s="1"/>
  <c r="GFP6" i="20" a="1"/>
  <c r="GFP6" i="20" s="1"/>
  <c r="GFO6" i="20"/>
  <c r="GFO6" i="20" a="1"/>
  <c r="GFN6" i="20"/>
  <c r="GFN6" i="20" a="1"/>
  <c r="GFM6" i="20" a="1"/>
  <c r="GFM6" i="20" s="1"/>
  <c r="GFL6" i="20" a="1"/>
  <c r="GFL6" i="20" s="1"/>
  <c r="GFK6" i="20" a="1"/>
  <c r="GFK6" i="20" s="1"/>
  <c r="GFJ6" i="20"/>
  <c r="GFJ6" i="20" a="1"/>
  <c r="GFI6" i="20"/>
  <c r="GFI6" i="20" a="1"/>
  <c r="GFH6" i="20" a="1"/>
  <c r="GFH6" i="20" s="1"/>
  <c r="GFG6" i="20" a="1"/>
  <c r="GFG6" i="20" s="1"/>
  <c r="GFF6" i="20"/>
  <c r="GFF6" i="20" a="1"/>
  <c r="GFE6" i="20" a="1"/>
  <c r="GFE6" i="20" s="1"/>
  <c r="GFD6" i="20" a="1"/>
  <c r="GFD6" i="20" s="1"/>
  <c r="GFC6" i="20" a="1"/>
  <c r="GFC6" i="20" s="1"/>
  <c r="GFB6" i="20"/>
  <c r="GFB6" i="20" a="1"/>
  <c r="GFA6" i="20"/>
  <c r="GFA6" i="20" a="1"/>
  <c r="GEZ6" i="20" a="1"/>
  <c r="GEZ6" i="20" s="1"/>
  <c r="GEY6" i="20" a="1"/>
  <c r="GEY6" i="20" s="1"/>
  <c r="GEX6" i="20"/>
  <c r="GEX6" i="20" a="1"/>
  <c r="GEW6" i="20"/>
  <c r="GEW6" i="20" a="1"/>
  <c r="GEV6" i="20"/>
  <c r="GEV6" i="20" a="1"/>
  <c r="GEU6" i="20" a="1"/>
  <c r="GEU6" i="20" s="1"/>
  <c r="GET6" i="20" a="1"/>
  <c r="GET6" i="20" s="1"/>
  <c r="GES6" i="20" a="1"/>
  <c r="GES6" i="20" s="1"/>
  <c r="GER6" i="20" a="1"/>
  <c r="GER6" i="20" s="1"/>
  <c r="GEQ6" i="20" a="1"/>
  <c r="GEQ6" i="20" s="1"/>
  <c r="GEP6" i="20" a="1"/>
  <c r="GEP6" i="20" s="1"/>
  <c r="GEO6" i="20"/>
  <c r="GEO6" i="20" a="1"/>
  <c r="GEN6" i="20"/>
  <c r="GEN6" i="20" a="1"/>
  <c r="GEM6" i="20" a="1"/>
  <c r="GEM6" i="20" s="1"/>
  <c r="GEL6" i="20"/>
  <c r="GEL6" i="20" a="1"/>
  <c r="GEK6" i="20"/>
  <c r="GEK6" i="20" a="1"/>
  <c r="GEJ6" i="20"/>
  <c r="GEJ6" i="20" a="1"/>
  <c r="GEI6" i="20"/>
  <c r="GEI6" i="20" a="1"/>
  <c r="GEH6" i="20" a="1"/>
  <c r="GEH6" i="20" s="1"/>
  <c r="GEG6" i="20" a="1"/>
  <c r="GEG6" i="20" s="1"/>
  <c r="GEF6" i="20" a="1"/>
  <c r="GEF6" i="20" s="1"/>
  <c r="GEE6" i="20" a="1"/>
  <c r="GEE6" i="20" s="1"/>
  <c r="GED6" i="20" a="1"/>
  <c r="GED6" i="20" s="1"/>
  <c r="GEC6" i="20" a="1"/>
  <c r="GEC6" i="20" s="1"/>
  <c r="GEB6" i="20"/>
  <c r="GEB6" i="20" a="1"/>
  <c r="GEA6" i="20" a="1"/>
  <c r="GEA6" i="20" s="1"/>
  <c r="GDZ6" i="20" a="1"/>
  <c r="GDZ6" i="20" s="1"/>
  <c r="GDY6" i="20"/>
  <c r="GDY6" i="20" a="1"/>
  <c r="GDX6" i="20"/>
  <c r="GDX6" i="20" a="1"/>
  <c r="GDW6" i="20"/>
  <c r="GDW6" i="20" a="1"/>
  <c r="GDV6" i="20"/>
  <c r="GDV6" i="20" a="1"/>
  <c r="GDU6" i="20" a="1"/>
  <c r="GDU6" i="20" s="1"/>
  <c r="GDT6" i="20"/>
  <c r="GDT6" i="20" a="1"/>
  <c r="GDS6" i="20" a="1"/>
  <c r="GDS6" i="20" s="1"/>
  <c r="GDR6" i="20" a="1"/>
  <c r="GDR6" i="20" s="1"/>
  <c r="GDQ6" i="20" a="1"/>
  <c r="GDQ6" i="20" s="1"/>
  <c r="GDP6" i="20" a="1"/>
  <c r="GDP6" i="20" s="1"/>
  <c r="GDO6" i="20" a="1"/>
  <c r="GDO6" i="20" s="1"/>
  <c r="GDN6" i="20" a="1"/>
  <c r="GDN6" i="20" s="1"/>
  <c r="GDM6" i="20" a="1"/>
  <c r="GDM6" i="20" s="1"/>
  <c r="GDL6" i="20"/>
  <c r="GDL6" i="20" a="1"/>
  <c r="GDK6" i="20"/>
  <c r="GDK6" i="20" a="1"/>
  <c r="GDJ6" i="20"/>
  <c r="GDJ6" i="20" a="1"/>
  <c r="GDI6" i="20" a="1"/>
  <c r="GDI6" i="20" s="1"/>
  <c r="GDH6" i="20"/>
  <c r="GDH6" i="20" a="1"/>
  <c r="GDG6" i="20"/>
  <c r="GDG6" i="20" a="1"/>
  <c r="GDF6" i="20" a="1"/>
  <c r="GDF6" i="20" s="1"/>
  <c r="GDE6" i="20" a="1"/>
  <c r="GDE6" i="20" s="1"/>
  <c r="GDD6" i="20" a="1"/>
  <c r="GDD6" i="20" s="1"/>
  <c r="GDC6" i="20" a="1"/>
  <c r="GDC6" i="20" s="1"/>
  <c r="GDB6" i="20"/>
  <c r="GDB6" i="20" a="1"/>
  <c r="GDA6" i="20" a="1"/>
  <c r="GDA6" i="20" s="1"/>
  <c r="GCZ6" i="20" a="1"/>
  <c r="GCZ6" i="20" s="1"/>
  <c r="GCY6" i="20"/>
  <c r="GCY6" i="20" a="1"/>
  <c r="GCX6" i="20"/>
  <c r="GCX6" i="20" a="1"/>
  <c r="GCW6" i="20" a="1"/>
  <c r="GCW6" i="20" s="1"/>
  <c r="GCV6" i="20" a="1"/>
  <c r="GCV6" i="20" s="1"/>
  <c r="GCU6" i="20"/>
  <c r="GCU6" i="20" a="1"/>
  <c r="GCT6" i="20"/>
  <c r="GCT6" i="20" a="1"/>
  <c r="GCS6" i="20" a="1"/>
  <c r="GCS6" i="20" s="1"/>
  <c r="GCR6" i="20" a="1"/>
  <c r="GCR6" i="20" s="1"/>
  <c r="GCQ6" i="20" a="1"/>
  <c r="GCQ6" i="20" s="1"/>
  <c r="GCP6" i="20"/>
  <c r="GCP6" i="20" a="1"/>
  <c r="GCO6" i="20"/>
  <c r="GCO6" i="20" a="1"/>
  <c r="GCN6" i="20" a="1"/>
  <c r="GCN6" i="20" s="1"/>
  <c r="GCM6" i="20" a="1"/>
  <c r="GCM6" i="20" s="1"/>
  <c r="GCL6" i="20"/>
  <c r="GCL6" i="20" a="1"/>
  <c r="GCK6" i="20" a="1"/>
  <c r="GCK6" i="20" s="1"/>
  <c r="GCJ6" i="20" a="1"/>
  <c r="GCJ6" i="20" s="1"/>
  <c r="GCI6" i="20" a="1"/>
  <c r="GCI6" i="20" s="1"/>
  <c r="GCH6" i="20"/>
  <c r="GCH6" i="20" a="1"/>
  <c r="GCG6" i="20"/>
  <c r="GCG6" i="20" a="1"/>
  <c r="GCF6" i="20" a="1"/>
  <c r="GCF6" i="20" s="1"/>
  <c r="GCE6" i="20" a="1"/>
  <c r="GCE6" i="20" s="1"/>
  <c r="GCD6" i="20"/>
  <c r="GCD6" i="20" a="1"/>
  <c r="GCC6" i="20"/>
  <c r="GCC6" i="20" a="1"/>
  <c r="GCB6" i="20"/>
  <c r="GCB6" i="20" a="1"/>
  <c r="GCA6" i="20" a="1"/>
  <c r="GCA6" i="20" s="1"/>
  <c r="GBZ6" i="20" a="1"/>
  <c r="GBZ6" i="20" s="1"/>
  <c r="GBY6" i="20" a="1"/>
  <c r="GBY6" i="20" s="1"/>
  <c r="GBX6" i="20" a="1"/>
  <c r="GBX6" i="20" s="1"/>
  <c r="GBW6" i="20" a="1"/>
  <c r="GBW6" i="20" s="1"/>
  <c r="GBV6" i="20" a="1"/>
  <c r="GBV6" i="20" s="1"/>
  <c r="GBU6" i="20"/>
  <c r="GBU6" i="20" a="1"/>
  <c r="GBT6" i="20"/>
  <c r="GBT6" i="20" a="1"/>
  <c r="GBS6" i="20" a="1"/>
  <c r="GBS6" i="20" s="1"/>
  <c r="GBR6" i="20"/>
  <c r="GBR6" i="20" a="1"/>
  <c r="GBQ6" i="20"/>
  <c r="GBQ6" i="20" a="1"/>
  <c r="GBP6" i="20"/>
  <c r="GBP6" i="20" a="1"/>
  <c r="GBO6" i="20"/>
  <c r="GBO6" i="20" a="1"/>
  <c r="GBN6" i="20" a="1"/>
  <c r="GBN6" i="20" s="1"/>
  <c r="GBM6" i="20" a="1"/>
  <c r="GBM6" i="20" s="1"/>
  <c r="GBL6" i="20" a="1"/>
  <c r="GBL6" i="20" s="1"/>
  <c r="GBK6" i="20" a="1"/>
  <c r="GBK6" i="20" s="1"/>
  <c r="GBJ6" i="20" a="1"/>
  <c r="GBJ6" i="20" s="1"/>
  <c r="GBI6" i="20" a="1"/>
  <c r="GBI6" i="20" s="1"/>
  <c r="GBH6" i="20"/>
  <c r="GBH6" i="20" a="1"/>
  <c r="GBG6" i="20" a="1"/>
  <c r="GBG6" i="20" s="1"/>
  <c r="GBF6" i="20" a="1"/>
  <c r="GBF6" i="20" s="1"/>
  <c r="GBE6" i="20"/>
  <c r="GBE6" i="20" a="1"/>
  <c r="GBD6" i="20"/>
  <c r="GBD6" i="20" a="1"/>
  <c r="GBC6" i="20"/>
  <c r="GBC6" i="20" a="1"/>
  <c r="GBB6" i="20"/>
  <c r="GBB6" i="20" a="1"/>
  <c r="GBA6" i="20" a="1"/>
  <c r="GBA6" i="20" s="1"/>
  <c r="GAZ6" i="20"/>
  <c r="GAZ6" i="20" a="1"/>
  <c r="GAY6" i="20" a="1"/>
  <c r="GAY6" i="20" s="1"/>
  <c r="GAX6" i="20" a="1"/>
  <c r="GAX6" i="20" s="1"/>
  <c r="GAW6" i="20" a="1"/>
  <c r="GAW6" i="20" s="1"/>
  <c r="GAV6" i="20" a="1"/>
  <c r="GAV6" i="20" s="1"/>
  <c r="GAU6" i="20" a="1"/>
  <c r="GAU6" i="20" s="1"/>
  <c r="GAT6" i="20" a="1"/>
  <c r="GAT6" i="20" s="1"/>
  <c r="GAS6" i="20" a="1"/>
  <c r="GAS6" i="20" s="1"/>
  <c r="GAR6" i="20"/>
  <c r="GAR6" i="20" a="1"/>
  <c r="GAQ6" i="20"/>
  <c r="GAQ6" i="20" a="1"/>
  <c r="GAP6" i="20"/>
  <c r="GAP6" i="20" a="1"/>
  <c r="GAO6" i="20" a="1"/>
  <c r="GAO6" i="20" s="1"/>
  <c r="GAN6" i="20"/>
  <c r="GAN6" i="20" a="1"/>
  <c r="GAM6" i="20"/>
  <c r="GAM6" i="20" a="1"/>
  <c r="GAL6" i="20" a="1"/>
  <c r="GAL6" i="20" s="1"/>
  <c r="GAK6" i="20" a="1"/>
  <c r="GAK6" i="20" s="1"/>
  <c r="GAJ6" i="20" a="1"/>
  <c r="GAJ6" i="20" s="1"/>
  <c r="GAI6" i="20" a="1"/>
  <c r="GAI6" i="20" s="1"/>
  <c r="GAH6" i="20"/>
  <c r="GAH6" i="20" a="1"/>
  <c r="GAG6" i="20" a="1"/>
  <c r="GAG6" i="20" s="1"/>
  <c r="GAF6" i="20" a="1"/>
  <c r="GAF6" i="20" s="1"/>
  <c r="GAE6" i="20"/>
  <c r="GAE6" i="20" a="1"/>
  <c r="GAD6" i="20"/>
  <c r="GAD6" i="20" a="1"/>
  <c r="GAC6" i="20" a="1"/>
  <c r="GAC6" i="20" s="1"/>
  <c r="GAB6" i="20" a="1"/>
  <c r="GAB6" i="20" s="1"/>
  <c r="GAA6" i="20"/>
  <c r="GAA6" i="20" a="1"/>
  <c r="FZZ6" i="20"/>
  <c r="FZZ6" i="20" a="1"/>
  <c r="FZY6" i="20" a="1"/>
  <c r="FZY6" i="20" s="1"/>
  <c r="FZX6" i="20" a="1"/>
  <c r="FZX6" i="20" s="1"/>
  <c r="FZW6" i="20" a="1"/>
  <c r="FZW6" i="20" s="1"/>
  <c r="FZV6" i="20"/>
  <c r="FZV6" i="20" a="1"/>
  <c r="FZU6" i="20"/>
  <c r="FZU6" i="20" a="1"/>
  <c r="FZT6" i="20" a="1"/>
  <c r="FZT6" i="20" s="1"/>
  <c r="FZS6" i="20" a="1"/>
  <c r="FZS6" i="20" s="1"/>
  <c r="FZR6" i="20"/>
  <c r="FZR6" i="20" a="1"/>
  <c r="FZQ6" i="20" a="1"/>
  <c r="FZQ6" i="20" s="1"/>
  <c r="FZP6" i="20" a="1"/>
  <c r="FZP6" i="20" s="1"/>
  <c r="FZO6" i="20" a="1"/>
  <c r="FZO6" i="20" s="1"/>
  <c r="FZN6" i="20"/>
  <c r="FZN6" i="20" a="1"/>
  <c r="FZM6" i="20"/>
  <c r="FZM6" i="20" a="1"/>
  <c r="FZL6" i="20" a="1"/>
  <c r="FZL6" i="20" s="1"/>
  <c r="FZK6" i="20" a="1"/>
  <c r="FZK6" i="20" s="1"/>
  <c r="FZJ6" i="20"/>
  <c r="FZJ6" i="20" a="1"/>
  <c r="FZI6" i="20"/>
  <c r="FZI6" i="20" a="1"/>
  <c r="FZH6" i="20"/>
  <c r="FZH6" i="20" a="1"/>
  <c r="FZG6" i="20" a="1"/>
  <c r="FZG6" i="20" s="1"/>
  <c r="FZF6" i="20" a="1"/>
  <c r="FZF6" i="20" s="1"/>
  <c r="FZE6" i="20" a="1"/>
  <c r="FZE6" i="20" s="1"/>
  <c r="FZD6" i="20" a="1"/>
  <c r="FZD6" i="20" s="1"/>
  <c r="FZC6" i="20" a="1"/>
  <c r="FZC6" i="20" s="1"/>
  <c r="FZB6" i="20" a="1"/>
  <c r="FZB6" i="20" s="1"/>
  <c r="FZA6" i="20"/>
  <c r="FZA6" i="20" a="1"/>
  <c r="FYZ6" i="20"/>
  <c r="FYZ6" i="20" a="1"/>
  <c r="FYY6" i="20" a="1"/>
  <c r="FYY6" i="20" s="1"/>
  <c r="FYX6" i="20"/>
  <c r="FYX6" i="20" a="1"/>
  <c r="FYW6" i="20"/>
  <c r="FYW6" i="20" a="1"/>
  <c r="FYV6" i="20"/>
  <c r="FYV6" i="20" a="1"/>
  <c r="FYU6" i="20"/>
  <c r="FYU6" i="20" a="1"/>
  <c r="FYT6" i="20" a="1"/>
  <c r="FYT6" i="20" s="1"/>
  <c r="FYS6" i="20" a="1"/>
  <c r="FYS6" i="20" s="1"/>
  <c r="FYR6" i="20" a="1"/>
  <c r="FYR6" i="20" s="1"/>
  <c r="FYQ6" i="20" a="1"/>
  <c r="FYQ6" i="20" s="1"/>
  <c r="FYP6" i="20" a="1"/>
  <c r="FYP6" i="20" s="1"/>
  <c r="FYO6" i="20" a="1"/>
  <c r="FYO6" i="20" s="1"/>
  <c r="FYN6" i="20"/>
  <c r="FYN6" i="20" a="1"/>
  <c r="FYM6" i="20" a="1"/>
  <c r="FYM6" i="20" s="1"/>
  <c r="FYL6" i="20" a="1"/>
  <c r="FYL6" i="20" s="1"/>
  <c r="FYK6" i="20"/>
  <c r="FYK6" i="20" a="1"/>
  <c r="FYJ6" i="20"/>
  <c r="FYJ6" i="20" a="1"/>
  <c r="FYI6" i="20"/>
  <c r="FYI6" i="20" a="1"/>
  <c r="FYH6" i="20"/>
  <c r="FYH6" i="20" a="1"/>
  <c r="FYG6" i="20" a="1"/>
  <c r="FYG6" i="20" s="1"/>
  <c r="FYF6" i="20"/>
  <c r="FYF6" i="20" a="1"/>
  <c r="FYE6" i="20" a="1"/>
  <c r="FYE6" i="20" s="1"/>
  <c r="FYD6" i="20" a="1"/>
  <c r="FYD6" i="20" s="1"/>
  <c r="FYC6" i="20" a="1"/>
  <c r="FYC6" i="20" s="1"/>
  <c r="FYB6" i="20" a="1"/>
  <c r="FYB6" i="20" s="1"/>
  <c r="FYA6" i="20" a="1"/>
  <c r="FYA6" i="20" s="1"/>
  <c r="FXZ6" i="20" a="1"/>
  <c r="FXZ6" i="20" s="1"/>
  <c r="FXY6" i="20" a="1"/>
  <c r="FXY6" i="20" s="1"/>
  <c r="FXX6" i="20"/>
  <c r="FXX6" i="20" a="1"/>
  <c r="FXW6" i="20"/>
  <c r="FXW6" i="20" a="1"/>
  <c r="FXV6" i="20"/>
  <c r="FXV6" i="20" a="1"/>
  <c r="FXU6" i="20" a="1"/>
  <c r="FXU6" i="20" s="1"/>
  <c r="FXT6" i="20"/>
  <c r="FXT6" i="20" a="1"/>
  <c r="FXS6" i="20"/>
  <c r="FXS6" i="20" a="1"/>
  <c r="FXR6" i="20" a="1"/>
  <c r="FXR6" i="20" s="1"/>
  <c r="FXQ6" i="20" a="1"/>
  <c r="FXQ6" i="20" s="1"/>
  <c r="FXP6" i="20" a="1"/>
  <c r="FXP6" i="20" s="1"/>
  <c r="FXO6" i="20" a="1"/>
  <c r="FXO6" i="20" s="1"/>
  <c r="FXN6" i="20"/>
  <c r="FXN6" i="20" a="1"/>
  <c r="FXM6" i="20" a="1"/>
  <c r="FXM6" i="20" s="1"/>
  <c r="FXL6" i="20" a="1"/>
  <c r="FXL6" i="20" s="1"/>
  <c r="FXK6" i="20"/>
  <c r="FXK6" i="20" a="1"/>
  <c r="FXJ6" i="20"/>
  <c r="FXJ6" i="20" a="1"/>
  <c r="FXI6" i="20" a="1"/>
  <c r="FXI6" i="20" s="1"/>
  <c r="FXH6" i="20" a="1"/>
  <c r="FXH6" i="20" s="1"/>
  <c r="FXG6" i="20"/>
  <c r="FXG6" i="20" a="1"/>
  <c r="FXF6" i="20"/>
  <c r="FXF6" i="20" a="1"/>
  <c r="FXE6" i="20" a="1"/>
  <c r="FXE6" i="20" s="1"/>
  <c r="FXD6" i="20" a="1"/>
  <c r="FXD6" i="20" s="1"/>
  <c r="FXC6" i="20" a="1"/>
  <c r="FXC6" i="20" s="1"/>
  <c r="FXB6" i="20"/>
  <c r="FXB6" i="20" a="1"/>
  <c r="FXA6" i="20"/>
  <c r="FXA6" i="20" a="1"/>
  <c r="FWZ6" i="20" a="1"/>
  <c r="FWZ6" i="20" s="1"/>
  <c r="FWY6" i="20" a="1"/>
  <c r="FWY6" i="20" s="1"/>
  <c r="FWX6" i="20"/>
  <c r="FWX6" i="20" a="1"/>
  <c r="FWW6" i="20" a="1"/>
  <c r="FWW6" i="20" s="1"/>
  <c r="FWV6" i="20" a="1"/>
  <c r="FWV6" i="20" s="1"/>
  <c r="FWU6" i="20" a="1"/>
  <c r="FWU6" i="20" s="1"/>
  <c r="FWT6" i="20"/>
  <c r="FWT6" i="20" a="1"/>
  <c r="FWS6" i="20"/>
  <c r="FWS6" i="20" a="1"/>
  <c r="FWR6" i="20" a="1"/>
  <c r="FWR6" i="20" s="1"/>
  <c r="FWQ6" i="20" a="1"/>
  <c r="FWQ6" i="20" s="1"/>
  <c r="FWP6" i="20"/>
  <c r="FWP6" i="20" a="1"/>
  <c r="FWO6" i="20"/>
  <c r="FWO6" i="20" a="1"/>
  <c r="FWN6" i="20"/>
  <c r="FWN6" i="20" a="1"/>
  <c r="FWM6" i="20" a="1"/>
  <c r="FWM6" i="20" s="1"/>
  <c r="FWL6" i="20" a="1"/>
  <c r="FWL6" i="20" s="1"/>
  <c r="FWK6" i="20" a="1"/>
  <c r="FWK6" i="20" s="1"/>
  <c r="FWJ6" i="20" a="1"/>
  <c r="FWJ6" i="20" s="1"/>
  <c r="FWI6" i="20" a="1"/>
  <c r="FWI6" i="20" s="1"/>
  <c r="FWH6" i="20" a="1"/>
  <c r="FWH6" i="20" s="1"/>
  <c r="FWG6" i="20"/>
  <c r="FWG6" i="20" a="1"/>
  <c r="FWF6" i="20"/>
  <c r="FWF6" i="20" a="1"/>
  <c r="FWE6" i="20" a="1"/>
  <c r="FWE6" i="20" s="1"/>
  <c r="FWD6" i="20"/>
  <c r="FWD6" i="20" a="1"/>
  <c r="FWC6" i="20"/>
  <c r="FWC6" i="20" a="1"/>
  <c r="FWB6" i="20"/>
  <c r="FWB6" i="20" a="1"/>
  <c r="FWA6" i="20"/>
  <c r="FWA6" i="20" a="1"/>
  <c r="FVZ6" i="20" a="1"/>
  <c r="FVZ6" i="20" s="1"/>
  <c r="FVY6" i="20" a="1"/>
  <c r="FVY6" i="20" s="1"/>
  <c r="FVX6" i="20" a="1"/>
  <c r="FVX6" i="20" s="1"/>
  <c r="FVW6" i="20" a="1"/>
  <c r="FVW6" i="20" s="1"/>
  <c r="FVV6" i="20" a="1"/>
  <c r="FVV6" i="20" s="1"/>
  <c r="FVU6" i="20" a="1"/>
  <c r="FVU6" i="20" s="1"/>
  <c r="FVT6" i="20"/>
  <c r="FVT6" i="20" a="1"/>
  <c r="FVS6" i="20" a="1"/>
  <c r="FVS6" i="20" s="1"/>
  <c r="FVR6" i="20" a="1"/>
  <c r="FVR6" i="20" s="1"/>
  <c r="FVQ6" i="20" a="1"/>
  <c r="FVQ6" i="20" s="1"/>
  <c r="FVP6" i="20"/>
  <c r="FVP6" i="20" a="1"/>
  <c r="FVO6" i="20"/>
  <c r="FVO6" i="20" a="1"/>
  <c r="FVN6" i="20"/>
  <c r="FVN6" i="20" a="1"/>
  <c r="FVM6" i="20" a="1"/>
  <c r="FVM6" i="20" s="1"/>
  <c r="FVL6" i="20"/>
  <c r="FVL6" i="20" a="1"/>
  <c r="FVK6" i="20" a="1"/>
  <c r="FVK6" i="20" s="1"/>
  <c r="FVJ6" i="20" a="1"/>
  <c r="FVJ6" i="20" s="1"/>
  <c r="FVI6" i="20" a="1"/>
  <c r="FVI6" i="20" s="1"/>
  <c r="FVH6" i="20" a="1"/>
  <c r="FVH6" i="20" s="1"/>
  <c r="FVG6" i="20" a="1"/>
  <c r="FVG6" i="20" s="1"/>
  <c r="FVF6" i="20" a="1"/>
  <c r="FVF6" i="20" s="1"/>
  <c r="FVE6" i="20" a="1"/>
  <c r="FVE6" i="20" s="1"/>
  <c r="FVD6" i="20" a="1"/>
  <c r="FVD6" i="20" s="1"/>
  <c r="FVC6" i="20"/>
  <c r="FVC6" i="20" a="1"/>
  <c r="FVB6" i="20"/>
  <c r="FVB6" i="20" a="1"/>
  <c r="FVA6" i="20" a="1"/>
  <c r="FVA6" i="20" s="1"/>
  <c r="FUZ6" i="20"/>
  <c r="FUZ6" i="20" a="1"/>
  <c r="FUY6" i="20"/>
  <c r="FUY6" i="20" a="1"/>
  <c r="FUX6" i="20" a="1"/>
  <c r="FUX6" i="20" s="1"/>
  <c r="FUW6" i="20" a="1"/>
  <c r="FUW6" i="20" s="1"/>
  <c r="FUV6" i="20" a="1"/>
  <c r="FUV6" i="20" s="1"/>
  <c r="FUU6" i="20" a="1"/>
  <c r="FUU6" i="20" s="1"/>
  <c r="FUT6" i="20"/>
  <c r="FUT6" i="20" a="1"/>
  <c r="FUS6" i="20" a="1"/>
  <c r="FUS6" i="20" s="1"/>
  <c r="FUR6" i="20" a="1"/>
  <c r="FUR6" i="20" s="1"/>
  <c r="FUQ6" i="20" a="1"/>
  <c r="FUQ6" i="20" s="1"/>
  <c r="FUP6" i="20"/>
  <c r="FUP6" i="20" a="1"/>
  <c r="FUO6" i="20" a="1"/>
  <c r="FUO6" i="20" s="1"/>
  <c r="FUN6" i="20" a="1"/>
  <c r="FUN6" i="20" s="1"/>
  <c r="FUM6" i="20"/>
  <c r="FUM6" i="20" a="1"/>
  <c r="FUL6" i="20"/>
  <c r="FUL6" i="20" a="1"/>
  <c r="FUK6" i="20" a="1"/>
  <c r="FUK6" i="20" s="1"/>
  <c r="FUJ6" i="20"/>
  <c r="FUJ6" i="20" a="1"/>
  <c r="FUI6" i="20" a="1"/>
  <c r="FUI6" i="20" s="1"/>
  <c r="FUH6" i="20"/>
  <c r="FUH6" i="20" a="1"/>
  <c r="FUG6" i="20"/>
  <c r="FUG6" i="20" a="1"/>
  <c r="FUF6" i="20" a="1"/>
  <c r="FUF6" i="20" s="1"/>
  <c r="FUE6" i="20" a="1"/>
  <c r="FUE6" i="20" s="1"/>
  <c r="FUD6" i="20" a="1"/>
  <c r="FUD6" i="20" s="1"/>
  <c r="FUC6" i="20" a="1"/>
  <c r="FUC6" i="20" s="1"/>
  <c r="FUB6" i="20" a="1"/>
  <c r="FUB6" i="20" s="1"/>
  <c r="FUA6" i="20" a="1"/>
  <c r="FUA6" i="20" s="1"/>
  <c r="FTZ6" i="20"/>
  <c r="FTZ6" i="20" a="1"/>
  <c r="FTY6" i="20"/>
  <c r="FTY6" i="20" a="1"/>
  <c r="FTX6" i="20" a="1"/>
  <c r="FTX6" i="20" s="1"/>
  <c r="FTW6" i="20" a="1"/>
  <c r="FTW6" i="20" s="1"/>
  <c r="FTV6" i="20"/>
  <c r="FTV6" i="20" a="1"/>
  <c r="FTU6" i="20"/>
  <c r="FTU6" i="20" a="1"/>
  <c r="FTT6" i="20"/>
  <c r="FTT6" i="20" a="1"/>
  <c r="FTS6" i="20" a="1"/>
  <c r="FTS6" i="20" s="1"/>
  <c r="FTR6" i="20" a="1"/>
  <c r="FTR6" i="20" s="1"/>
  <c r="FTQ6" i="20" a="1"/>
  <c r="FTQ6" i="20" s="1"/>
  <c r="FTP6" i="20" a="1"/>
  <c r="FTP6" i="20" s="1"/>
  <c r="FTO6" i="20" a="1"/>
  <c r="FTO6" i="20" s="1"/>
  <c r="FTN6" i="20" a="1"/>
  <c r="FTN6" i="20" s="1"/>
  <c r="FTM6" i="20"/>
  <c r="FTM6" i="20" a="1"/>
  <c r="FTL6" i="20"/>
  <c r="FTL6" i="20" a="1"/>
  <c r="FTK6" i="20" a="1"/>
  <c r="FTK6" i="20" s="1"/>
  <c r="FTJ6" i="20"/>
  <c r="FTJ6" i="20" a="1"/>
  <c r="FTI6" i="20"/>
  <c r="FTI6" i="20" a="1"/>
  <c r="FTH6" i="20"/>
  <c r="FTH6" i="20" a="1"/>
  <c r="FTG6" i="20"/>
  <c r="FTG6" i="20" a="1"/>
  <c r="FTF6" i="20" a="1"/>
  <c r="FTF6" i="20" s="1"/>
  <c r="FTE6" i="20" a="1"/>
  <c r="FTE6" i="20" s="1"/>
  <c r="FTD6" i="20" a="1"/>
  <c r="FTD6" i="20" s="1"/>
  <c r="FTC6" i="20" a="1"/>
  <c r="FTC6" i="20" s="1"/>
  <c r="FTB6" i="20" a="1"/>
  <c r="FTB6" i="20" s="1"/>
  <c r="FTA6" i="20" a="1"/>
  <c r="FTA6" i="20" s="1"/>
  <c r="FSZ6" i="20"/>
  <c r="FSZ6" i="20" a="1"/>
  <c r="FSY6" i="20" a="1"/>
  <c r="FSY6" i="20" s="1"/>
  <c r="FSX6" i="20" a="1"/>
  <c r="FSX6" i="20" s="1"/>
  <c r="FSW6" i="20" a="1"/>
  <c r="FSW6" i="20" s="1"/>
  <c r="FSV6" i="20"/>
  <c r="FSV6" i="20" a="1"/>
  <c r="FSU6" i="20"/>
  <c r="FSU6" i="20" a="1"/>
  <c r="FST6" i="20"/>
  <c r="FST6" i="20" a="1"/>
  <c r="FSS6" i="20" a="1"/>
  <c r="FSS6" i="20" s="1"/>
  <c r="FSR6" i="20"/>
  <c r="FSR6" i="20" a="1"/>
  <c r="FSQ6" i="20" a="1"/>
  <c r="FSQ6" i="20" s="1"/>
  <c r="FSP6" i="20" a="1"/>
  <c r="FSP6" i="20" s="1"/>
  <c r="FSO6" i="20" a="1"/>
  <c r="FSO6" i="20" s="1"/>
  <c r="FSN6" i="20" a="1"/>
  <c r="FSN6" i="20" s="1"/>
  <c r="FSM6" i="20" a="1"/>
  <c r="FSM6" i="20" s="1"/>
  <c r="FSL6" i="20" a="1"/>
  <c r="FSL6" i="20" s="1"/>
  <c r="FSK6" i="20" a="1"/>
  <c r="FSK6" i="20" s="1"/>
  <c r="FSJ6" i="20"/>
  <c r="FSJ6" i="20" a="1"/>
  <c r="FSI6" i="20"/>
  <c r="FSI6" i="20" a="1"/>
  <c r="FSH6" i="20"/>
  <c r="FSH6" i="20" a="1"/>
  <c r="FSG6" i="20" a="1"/>
  <c r="FSG6" i="20" s="1"/>
  <c r="FSF6" i="20"/>
  <c r="FSF6" i="20" a="1"/>
  <c r="FSE6" i="20"/>
  <c r="FSE6" i="20" a="1"/>
  <c r="FSD6" i="20" a="1"/>
  <c r="FSD6" i="20" s="1"/>
  <c r="FSC6" i="20"/>
  <c r="FSC6" i="20" a="1"/>
  <c r="FSB6" i="20" a="1"/>
  <c r="FSB6" i="20" s="1"/>
  <c r="FSA6" i="20" a="1"/>
  <c r="FSA6" i="20" s="1"/>
  <c r="FRZ6" i="20"/>
  <c r="FRZ6" i="20" a="1"/>
  <c r="FRY6" i="20" a="1"/>
  <c r="FRY6" i="20" s="1"/>
  <c r="FRX6" i="20" a="1"/>
  <c r="FRX6" i="20" s="1"/>
  <c r="FRW6" i="20"/>
  <c r="FRW6" i="20" a="1"/>
  <c r="FRV6" i="20"/>
  <c r="FRV6" i="20" a="1"/>
  <c r="FRU6" i="20" a="1"/>
  <c r="FRU6" i="20" s="1"/>
  <c r="FRT6" i="20" a="1"/>
  <c r="FRT6" i="20" s="1"/>
  <c r="FRS6" i="20"/>
  <c r="FRS6" i="20" a="1"/>
  <c r="FRR6" i="20"/>
  <c r="FRR6" i="20" a="1"/>
  <c r="FRQ6" i="20" a="1"/>
  <c r="FRQ6" i="20" s="1"/>
  <c r="FRP6" i="20" a="1"/>
  <c r="FRP6" i="20" s="1"/>
  <c r="FRO6" i="20" a="1"/>
  <c r="FRO6" i="20" s="1"/>
  <c r="FRN6" i="20"/>
  <c r="FRN6" i="20" a="1"/>
  <c r="FRM6" i="20"/>
  <c r="FRM6" i="20" a="1"/>
  <c r="FRL6" i="20" a="1"/>
  <c r="FRL6" i="20" s="1"/>
  <c r="FRK6" i="20" a="1"/>
  <c r="FRK6" i="20" s="1"/>
  <c r="FRJ6" i="20" a="1"/>
  <c r="FRJ6" i="20" s="1"/>
  <c r="FRI6" i="20" a="1"/>
  <c r="FRI6" i="20" s="1"/>
  <c r="FRH6" i="20" a="1"/>
  <c r="FRH6" i="20" s="1"/>
  <c r="FRG6" i="20" a="1"/>
  <c r="FRG6" i="20" s="1"/>
  <c r="FRF6" i="20"/>
  <c r="FRF6" i="20" a="1"/>
  <c r="FRE6" i="20"/>
  <c r="FRE6" i="20" a="1"/>
  <c r="FRD6" i="20" a="1"/>
  <c r="FRD6" i="20" s="1"/>
  <c r="FRC6" i="20" a="1"/>
  <c r="FRC6" i="20" s="1"/>
  <c r="FRB6" i="20"/>
  <c r="FRB6" i="20" a="1"/>
  <c r="FRA6" i="20"/>
  <c r="FRA6" i="20" a="1"/>
  <c r="FQZ6" i="20"/>
  <c r="FQZ6" i="20" a="1"/>
  <c r="FQY6" i="20" a="1"/>
  <c r="FQY6" i="20" s="1"/>
  <c r="FQX6" i="20" a="1"/>
  <c r="FQX6" i="20" s="1"/>
  <c r="FQW6" i="20" a="1"/>
  <c r="FQW6" i="20" s="1"/>
  <c r="FQV6" i="20" a="1"/>
  <c r="FQV6" i="20" s="1"/>
  <c r="FQU6" i="20" a="1"/>
  <c r="FQU6" i="20" s="1"/>
  <c r="FQT6" i="20" a="1"/>
  <c r="FQT6" i="20" s="1"/>
  <c r="FQS6" i="20"/>
  <c r="FQS6" i="20" a="1"/>
  <c r="FQR6" i="20"/>
  <c r="FQR6" i="20" a="1"/>
  <c r="FQQ6" i="20" a="1"/>
  <c r="FQQ6" i="20" s="1"/>
  <c r="FQP6" i="20" a="1"/>
  <c r="FQP6" i="20" s="1"/>
  <c r="FQO6" i="20"/>
  <c r="FQO6" i="20" a="1"/>
  <c r="FQN6" i="20"/>
  <c r="FQN6" i="20" a="1"/>
  <c r="FQM6" i="20"/>
  <c r="FQM6" i="20" a="1"/>
  <c r="FQL6" i="20" a="1"/>
  <c r="FQL6" i="20" s="1"/>
  <c r="FQK6" i="20" a="1"/>
  <c r="FQK6" i="20" s="1"/>
  <c r="FQJ6" i="20" a="1"/>
  <c r="FQJ6" i="20" s="1"/>
  <c r="FQI6" i="20"/>
  <c r="FQI6" i="20" a="1"/>
  <c r="FQH6" i="20" a="1"/>
  <c r="FQH6" i="20" s="1"/>
  <c r="FQG6" i="20" a="1"/>
  <c r="FQG6" i="20" s="1"/>
  <c r="FQF6" i="20"/>
  <c r="FQF6" i="20" a="1"/>
  <c r="FQE6" i="20" a="1"/>
  <c r="FQE6" i="20" s="1"/>
  <c r="FQD6" i="20" a="1"/>
  <c r="FQD6" i="20" s="1"/>
  <c r="FQC6" i="20" a="1"/>
  <c r="FQC6" i="20" s="1"/>
  <c r="FQB6" i="20"/>
  <c r="FQB6" i="20" a="1"/>
  <c r="FQA6" i="20"/>
  <c r="FQA6" i="20" a="1"/>
  <c r="FPZ6" i="20"/>
  <c r="FPZ6" i="20" a="1"/>
  <c r="FPY6" i="20" a="1"/>
  <c r="FPY6" i="20" s="1"/>
  <c r="FPX6" i="20"/>
  <c r="FPX6" i="20" a="1"/>
  <c r="FPW6" i="20" a="1"/>
  <c r="FPW6" i="20" s="1"/>
  <c r="FPV6" i="20" a="1"/>
  <c r="FPV6" i="20" s="1"/>
  <c r="FPU6" i="20" a="1"/>
  <c r="FPU6" i="20" s="1"/>
  <c r="FPT6" i="20" a="1"/>
  <c r="FPT6" i="20" s="1"/>
  <c r="FPS6" i="20" a="1"/>
  <c r="FPS6" i="20" s="1"/>
  <c r="FPR6" i="20" a="1"/>
  <c r="FPR6" i="20" s="1"/>
  <c r="FPQ6" i="20" a="1"/>
  <c r="FPQ6" i="20" s="1"/>
  <c r="FPP6" i="20" a="1"/>
  <c r="FPP6" i="20" s="1"/>
  <c r="FPO6" i="20"/>
  <c r="FPO6" i="20" a="1"/>
  <c r="FPN6" i="20"/>
  <c r="FPN6" i="20" a="1"/>
  <c r="FPM6" i="20" a="1"/>
  <c r="FPM6" i="20" s="1"/>
  <c r="FPL6" i="20"/>
  <c r="FPL6" i="20" a="1"/>
  <c r="FPK6" i="20"/>
  <c r="FPK6" i="20" a="1"/>
  <c r="FPJ6" i="20" a="1"/>
  <c r="FPJ6" i="20" s="1"/>
  <c r="FPI6" i="20" a="1"/>
  <c r="FPI6" i="20" s="1"/>
  <c r="FPH6" i="20" a="1"/>
  <c r="FPH6" i="20" s="1"/>
  <c r="FPG6" i="20" a="1"/>
  <c r="FPG6" i="20" s="1"/>
  <c r="FPF6" i="20"/>
  <c r="FPF6" i="20" a="1"/>
  <c r="FPE6" i="20" a="1"/>
  <c r="FPE6" i="20" s="1"/>
  <c r="FPD6" i="20" a="1"/>
  <c r="FPD6" i="20" s="1"/>
  <c r="FPC6" i="20" a="1"/>
  <c r="FPC6" i="20" s="1"/>
  <c r="FPB6" i="20"/>
  <c r="FPB6" i="20" a="1"/>
  <c r="FPA6" i="20" a="1"/>
  <c r="FPA6" i="20" s="1"/>
  <c r="FOZ6" i="20" a="1"/>
  <c r="FOZ6" i="20" s="1"/>
  <c r="FOY6" i="20"/>
  <c r="FOY6" i="20" a="1"/>
  <c r="FOX6" i="20"/>
  <c r="FOX6" i="20" a="1"/>
  <c r="FOW6" i="20" a="1"/>
  <c r="FOW6" i="20" s="1"/>
  <c r="FOV6" i="20"/>
  <c r="FOV6" i="20" a="1"/>
  <c r="FOU6" i="20" a="1"/>
  <c r="FOU6" i="20" s="1"/>
  <c r="FOT6" i="20"/>
  <c r="FOT6" i="20" a="1"/>
  <c r="FOS6" i="20"/>
  <c r="FOS6" i="20" a="1"/>
  <c r="FOR6" i="20" a="1"/>
  <c r="FOR6" i="20" s="1"/>
  <c r="FOQ6" i="20" a="1"/>
  <c r="FOQ6" i="20" s="1"/>
  <c r="FOP6" i="20"/>
  <c r="FOP6" i="20" a="1"/>
  <c r="FOO6" i="20" a="1"/>
  <c r="FOO6" i="20" s="1"/>
  <c r="FON6" i="20" a="1"/>
  <c r="FON6" i="20" s="1"/>
  <c r="FOM6" i="20" a="1"/>
  <c r="FOM6" i="20" s="1"/>
  <c r="FOL6" i="20"/>
  <c r="FOL6" i="20" a="1"/>
  <c r="FOK6" i="20"/>
  <c r="FOK6" i="20" a="1"/>
  <c r="FOJ6" i="20" a="1"/>
  <c r="FOJ6" i="20" s="1"/>
  <c r="FOI6" i="20" a="1"/>
  <c r="FOI6" i="20" s="1"/>
  <c r="FOH6" i="20"/>
  <c r="FOH6" i="20" a="1"/>
  <c r="FOG6" i="20"/>
  <c r="FOG6" i="20" a="1"/>
  <c r="FOF6" i="20"/>
  <c r="FOF6" i="20" a="1"/>
  <c r="FOE6" i="20" a="1"/>
  <c r="FOE6" i="20" s="1"/>
  <c r="FOD6" i="20" a="1"/>
  <c r="FOD6" i="20" s="1"/>
  <c r="FOC6" i="20" a="1"/>
  <c r="FOC6" i="20" s="1"/>
  <c r="FOB6" i="20" a="1"/>
  <c r="FOB6" i="20" s="1"/>
  <c r="FOA6" i="20" a="1"/>
  <c r="FOA6" i="20" s="1"/>
  <c r="FNZ6" i="20" a="1"/>
  <c r="FNZ6" i="20" s="1"/>
  <c r="FNY6" i="20"/>
  <c r="FNY6" i="20" a="1"/>
  <c r="FNX6" i="20"/>
  <c r="FNX6" i="20" a="1"/>
  <c r="FNW6" i="20" a="1"/>
  <c r="FNW6" i="20" s="1"/>
  <c r="FNV6" i="20"/>
  <c r="FNV6" i="20" a="1"/>
  <c r="FNU6" i="20"/>
  <c r="FNU6" i="20" a="1"/>
  <c r="FNT6" i="20"/>
  <c r="FNT6" i="20" a="1"/>
  <c r="FNS6" i="20"/>
  <c r="FNS6" i="20" a="1"/>
  <c r="FNR6" i="20" a="1"/>
  <c r="FNR6" i="20" s="1"/>
  <c r="FNQ6" i="20" a="1"/>
  <c r="FNQ6" i="20" s="1"/>
  <c r="FNP6" i="20" a="1"/>
  <c r="FNP6" i="20" s="1"/>
  <c r="FNO6" i="20" a="1"/>
  <c r="FNO6" i="20" s="1"/>
  <c r="FNN6" i="20" a="1"/>
  <c r="FNN6" i="20" s="1"/>
  <c r="FNM6" i="20" a="1"/>
  <c r="FNM6" i="20" s="1"/>
  <c r="FNL6" i="20"/>
  <c r="FNL6" i="20" a="1"/>
  <c r="FNK6" i="20" a="1"/>
  <c r="FNK6" i="20" s="1"/>
  <c r="FNJ6" i="20" a="1"/>
  <c r="FNJ6" i="20" s="1"/>
  <c r="FNI6" i="20"/>
  <c r="FNI6" i="20" a="1"/>
  <c r="FNH6" i="20"/>
  <c r="FNH6" i="20" a="1"/>
  <c r="FNG6" i="20"/>
  <c r="FNG6" i="20" a="1"/>
  <c r="FNF6" i="20" a="1"/>
  <c r="FNF6" i="20" s="1"/>
  <c r="FNE6" i="20" a="1"/>
  <c r="FNE6" i="20" s="1"/>
  <c r="FND6" i="20"/>
  <c r="FND6" i="20" a="1"/>
  <c r="FNC6" i="20" a="1"/>
  <c r="FNC6" i="20" s="1"/>
  <c r="FNB6" i="20"/>
  <c r="FNB6" i="20" a="1"/>
  <c r="FNA6" i="20" a="1"/>
  <c r="FNA6" i="20" s="1"/>
  <c r="FMZ6" i="20" a="1"/>
  <c r="FMZ6" i="20" s="1"/>
  <c r="FMY6" i="20" a="1"/>
  <c r="FMY6" i="20" s="1"/>
  <c r="FMX6" i="20" a="1"/>
  <c r="FMX6" i="20" s="1"/>
  <c r="FMW6" i="20" a="1"/>
  <c r="FMW6" i="20" s="1"/>
  <c r="FMV6" i="20"/>
  <c r="FMV6" i="20" a="1"/>
  <c r="FMU6" i="20"/>
  <c r="FMU6" i="20" a="1"/>
  <c r="FMT6" i="20"/>
  <c r="FMT6" i="20" a="1"/>
  <c r="FMS6" i="20" a="1"/>
  <c r="FMS6" i="20" s="1"/>
  <c r="FMR6" i="20"/>
  <c r="FMR6" i="20" a="1"/>
  <c r="FMQ6" i="20"/>
  <c r="FMQ6" i="20" a="1"/>
  <c r="FMP6" i="20" a="1"/>
  <c r="FMP6" i="20" s="1"/>
  <c r="FMO6" i="20"/>
  <c r="FMO6" i="20" a="1"/>
  <c r="FMN6" i="20" a="1"/>
  <c r="FMN6" i="20" s="1"/>
  <c r="FMM6" i="20" a="1"/>
  <c r="FMM6" i="20" s="1"/>
  <c r="FML6" i="20" a="1"/>
  <c r="FML6" i="20" s="1"/>
  <c r="FMK6" i="20" a="1"/>
  <c r="FMK6" i="20" s="1"/>
  <c r="FMJ6" i="20" a="1"/>
  <c r="FMJ6" i="20" s="1"/>
  <c r="FMI6" i="20"/>
  <c r="FMI6" i="20" a="1"/>
  <c r="FMH6" i="20"/>
  <c r="FMH6" i="20" a="1"/>
  <c r="FMG6" i="20" a="1"/>
  <c r="FMG6" i="20" s="1"/>
  <c r="FMF6" i="20" a="1"/>
  <c r="FMF6" i="20" s="1"/>
  <c r="FME6" i="20"/>
  <c r="FME6" i="20" a="1"/>
  <c r="FMD6" i="20"/>
  <c r="FMD6" i="20" a="1"/>
  <c r="FMC6" i="20" a="1"/>
  <c r="FMC6" i="20" s="1"/>
  <c r="FMB6" i="20" a="1"/>
  <c r="FMB6" i="20" s="1"/>
  <c r="FMA6" i="20" a="1"/>
  <c r="FMA6" i="20" s="1"/>
  <c r="FLZ6" i="20"/>
  <c r="FLZ6" i="20" a="1"/>
  <c r="FLY6" i="20"/>
  <c r="FLY6" i="20" a="1"/>
  <c r="FLX6" i="20" a="1"/>
  <c r="FLX6" i="20" s="1"/>
  <c r="FLW6" i="20" a="1"/>
  <c r="FLW6" i="20" s="1"/>
  <c r="FLV6" i="20" a="1"/>
  <c r="FLV6" i="20" s="1"/>
  <c r="FLU6" i="20" a="1"/>
  <c r="FLU6" i="20" s="1"/>
  <c r="FLT6" i="20"/>
  <c r="FLT6" i="20" a="1"/>
  <c r="FLS6" i="20" a="1"/>
  <c r="FLS6" i="20" s="1"/>
  <c r="FLR6" i="20"/>
  <c r="FLR6" i="20" a="1"/>
  <c r="FLQ6" i="20"/>
  <c r="FLQ6" i="20" a="1"/>
  <c r="FLP6" i="20" a="1"/>
  <c r="FLP6" i="20" s="1"/>
  <c r="FLO6" i="20" a="1"/>
  <c r="FLO6" i="20" s="1"/>
  <c r="FLN6" i="20" a="1"/>
  <c r="FLN6" i="20" s="1"/>
  <c r="FLM6" i="20"/>
  <c r="FLM6" i="20" a="1"/>
  <c r="FLL6" i="20"/>
  <c r="FLL6" i="20" a="1"/>
  <c r="FLK6" i="20" a="1"/>
  <c r="FLK6" i="20" s="1"/>
  <c r="FLJ6" i="20" a="1"/>
  <c r="FLJ6" i="20" s="1"/>
  <c r="FLI6" i="20" a="1"/>
  <c r="FLI6" i="20" s="1"/>
  <c r="FLH6" i="20" a="1"/>
  <c r="FLH6" i="20" s="1"/>
  <c r="FLG6" i="20" a="1"/>
  <c r="FLG6" i="20" s="1"/>
  <c r="FLF6" i="20" a="1"/>
  <c r="FLF6" i="20" s="1"/>
  <c r="FLE6" i="20"/>
  <c r="FLE6" i="20" a="1"/>
  <c r="FLD6" i="20"/>
  <c r="FLD6" i="20" a="1"/>
  <c r="FLC6" i="20" a="1"/>
  <c r="FLC6" i="20" s="1"/>
  <c r="FLB6" i="20" a="1"/>
  <c r="FLB6" i="20" s="1"/>
  <c r="FLA6" i="20" a="1"/>
  <c r="FLA6" i="20" s="1"/>
  <c r="FKZ6" i="20"/>
  <c r="FKZ6" i="20" a="1"/>
  <c r="FKY6" i="20"/>
  <c r="FKY6" i="20" a="1"/>
  <c r="FKX6" i="20" a="1"/>
  <c r="FKX6" i="20" s="1"/>
  <c r="FKW6" i="20" a="1"/>
  <c r="FKW6" i="20" s="1"/>
  <c r="FKV6" i="20" a="1"/>
  <c r="FKV6" i="20" s="1"/>
  <c r="FKU6" i="20"/>
  <c r="FKU6" i="20" a="1"/>
  <c r="FKT6" i="20"/>
  <c r="FKT6" i="20" a="1"/>
  <c r="FKS6" i="20" a="1"/>
  <c r="FKS6" i="20" s="1"/>
  <c r="FKR6" i="20"/>
  <c r="FKR6" i="20" a="1"/>
  <c r="FKQ6" i="20" a="1"/>
  <c r="FKQ6" i="20" s="1"/>
  <c r="FKP6" i="20" a="1"/>
  <c r="FKP6" i="20" s="1"/>
  <c r="FKO6" i="20" a="1"/>
  <c r="FKO6" i="20" s="1"/>
  <c r="FKN6" i="20" a="1"/>
  <c r="FKN6" i="20" s="1"/>
  <c r="FKM6" i="20"/>
  <c r="FKM6" i="20" a="1"/>
  <c r="FKL6" i="20" a="1"/>
  <c r="FKL6" i="20" s="1"/>
  <c r="FKK6" i="20" a="1"/>
  <c r="FKK6" i="20" s="1"/>
  <c r="FKJ6" i="20"/>
  <c r="FKJ6" i="20" a="1"/>
  <c r="FKI6" i="20" a="1"/>
  <c r="FKI6" i="20" s="1"/>
  <c r="FKH6" i="20"/>
  <c r="FKH6" i="20" a="1"/>
  <c r="FKG6" i="20" a="1"/>
  <c r="FKG6" i="20" s="1"/>
  <c r="FKF6" i="20" a="1"/>
  <c r="FKF6" i="20" s="1"/>
  <c r="FKE6" i="20" a="1"/>
  <c r="FKE6" i="20" s="1"/>
  <c r="FKD6" i="20" a="1"/>
  <c r="FKD6" i="20" s="1"/>
  <c r="FKC6" i="20" a="1"/>
  <c r="FKC6" i="20" s="1"/>
  <c r="FKB6" i="20" a="1"/>
  <c r="FKB6" i="20" s="1"/>
  <c r="FKA6" i="20"/>
  <c r="FKA6" i="20" a="1"/>
  <c r="FJZ6" i="20"/>
  <c r="FJZ6" i="20" a="1"/>
  <c r="FJY6" i="20" a="1"/>
  <c r="FJY6" i="20" s="1"/>
  <c r="FJX6" i="20"/>
  <c r="FJX6" i="20" a="1"/>
  <c r="FJW6" i="20"/>
  <c r="FJW6" i="20" a="1"/>
  <c r="FJV6" i="20" a="1"/>
  <c r="FJV6" i="20" s="1"/>
  <c r="FJU6" i="20" a="1"/>
  <c r="FJU6" i="20" s="1"/>
  <c r="FJT6" i="20"/>
  <c r="FJT6" i="20" a="1"/>
  <c r="FJS6" i="20" a="1"/>
  <c r="FJS6" i="20" s="1"/>
  <c r="FJR6" i="20"/>
  <c r="FJR6" i="20" a="1"/>
  <c r="FJQ6" i="20" a="1"/>
  <c r="FJQ6" i="20" s="1"/>
  <c r="FJP6" i="20" a="1"/>
  <c r="FJP6" i="20" s="1"/>
  <c r="FJO6" i="20"/>
  <c r="FJO6" i="20" a="1"/>
  <c r="FJN6" i="20"/>
  <c r="FJN6" i="20" a="1"/>
  <c r="FJM6" i="20" a="1"/>
  <c r="FJM6" i="20" s="1"/>
  <c r="FJL6" i="20" a="1"/>
  <c r="FJL6" i="20" s="1"/>
  <c r="FJK6" i="20"/>
  <c r="FJK6" i="20" a="1"/>
  <c r="FJJ6" i="20"/>
  <c r="FJJ6" i="20" a="1"/>
  <c r="FJI6" i="20" a="1"/>
  <c r="FJI6" i="20" s="1"/>
  <c r="FJH6" i="20" a="1"/>
  <c r="FJH6" i="20" s="1"/>
  <c r="FJG6" i="20" a="1"/>
  <c r="FJG6" i="20" s="1"/>
  <c r="FJF6" i="20"/>
  <c r="FJF6" i="20" a="1"/>
  <c r="FJE6" i="20" a="1"/>
  <c r="FJE6" i="20" s="1"/>
  <c r="FJD6" i="20" a="1"/>
  <c r="FJD6" i="20" s="1"/>
  <c r="FJC6" i="20" a="1"/>
  <c r="FJC6" i="20" s="1"/>
  <c r="FJB6" i="20"/>
  <c r="FJB6" i="20" a="1"/>
  <c r="FJA6" i="20" a="1"/>
  <c r="FJA6" i="20" s="1"/>
  <c r="FIZ6" i="20" a="1"/>
  <c r="FIZ6" i="20" s="1"/>
  <c r="FIY6" i="20" a="1"/>
  <c r="FIY6" i="20" s="1"/>
  <c r="FIX6" i="20"/>
  <c r="FIX6" i="20" a="1"/>
  <c r="FIW6" i="20"/>
  <c r="FIW6" i="20" a="1"/>
  <c r="FIV6" i="20" a="1"/>
  <c r="FIV6" i="20" s="1"/>
  <c r="FIU6" i="20" a="1"/>
  <c r="FIU6" i="20" s="1"/>
  <c r="FIT6" i="20"/>
  <c r="FIT6" i="20" a="1"/>
  <c r="FIS6" i="20"/>
  <c r="FIS6" i="20" a="1"/>
  <c r="FIR6" i="20"/>
  <c r="FIR6" i="20" a="1"/>
  <c r="FIQ6" i="20" a="1"/>
  <c r="FIQ6" i="20" s="1"/>
  <c r="FIP6" i="20" a="1"/>
  <c r="FIP6" i="20" s="1"/>
  <c r="FIO6" i="20" a="1"/>
  <c r="FIO6" i="20" s="1"/>
  <c r="FIN6" i="20"/>
  <c r="FIN6" i="20" a="1"/>
  <c r="FIM6" i="20" a="1"/>
  <c r="FIM6" i="20" s="1"/>
  <c r="FIL6" i="20" a="1"/>
  <c r="FIL6" i="20" s="1"/>
  <c r="FIK6" i="20"/>
  <c r="FIK6" i="20" a="1"/>
  <c r="FIJ6" i="20"/>
  <c r="FIJ6" i="20" a="1"/>
  <c r="FII6" i="20" a="1"/>
  <c r="FII6" i="20" s="1"/>
  <c r="FIH6" i="20" a="1"/>
  <c r="FIH6" i="20" s="1"/>
  <c r="FIG6" i="20" a="1"/>
  <c r="FIG6" i="20" s="1"/>
  <c r="FIF6" i="20"/>
  <c r="FIF6" i="20" a="1"/>
  <c r="FIE6" i="20" a="1"/>
  <c r="FIE6" i="20" s="1"/>
  <c r="FID6" i="20" a="1"/>
  <c r="FID6" i="20" s="1"/>
  <c r="FIC6" i="20" a="1"/>
  <c r="FIC6" i="20" s="1"/>
  <c r="FIB6" i="20" a="1"/>
  <c r="FIB6" i="20" s="1"/>
  <c r="FIA6" i="20"/>
  <c r="FIA6" i="20" a="1"/>
  <c r="FHZ6" i="20" a="1"/>
  <c r="FHZ6" i="20" s="1"/>
  <c r="FHY6" i="20" a="1"/>
  <c r="FHY6" i="20" s="1"/>
  <c r="FHX6" i="20"/>
  <c r="FHX6" i="20" a="1"/>
  <c r="FHW6" i="20" a="1"/>
  <c r="FHW6" i="20" s="1"/>
  <c r="FHV6" i="20" a="1"/>
  <c r="FHV6" i="20" s="1"/>
  <c r="FHU6" i="20" a="1"/>
  <c r="FHU6" i="20" s="1"/>
  <c r="FHT6" i="20" a="1"/>
  <c r="FHT6" i="20" s="1"/>
  <c r="FHS6" i="20"/>
  <c r="FHS6" i="20" a="1"/>
  <c r="FHR6" i="20" a="1"/>
  <c r="FHR6" i="20" s="1"/>
  <c r="FHQ6" i="20" a="1"/>
  <c r="FHQ6" i="20" s="1"/>
  <c r="FHP6" i="20"/>
  <c r="FHP6" i="20" a="1"/>
  <c r="FHO6" i="20" a="1"/>
  <c r="FHO6" i="20" s="1"/>
  <c r="FHN6" i="20" a="1"/>
  <c r="FHN6" i="20" s="1"/>
  <c r="FHM6" i="20" a="1"/>
  <c r="FHM6" i="20" s="1"/>
  <c r="FHL6" i="20" a="1"/>
  <c r="FHL6" i="20" s="1"/>
  <c r="FHK6" i="20" a="1"/>
  <c r="FHK6" i="20" s="1"/>
  <c r="FHJ6" i="20" a="1"/>
  <c r="FHJ6" i="20" s="1"/>
  <c r="FHI6" i="20" a="1"/>
  <c r="FHI6" i="20" s="1"/>
  <c r="FHH6" i="20" a="1"/>
  <c r="FHH6" i="20" s="1"/>
  <c r="FHG6" i="20" a="1"/>
  <c r="FHG6" i="20" s="1"/>
  <c r="FHF6" i="20"/>
  <c r="FHF6" i="20" a="1"/>
  <c r="FHE6" i="20" a="1"/>
  <c r="FHE6" i="20" s="1"/>
  <c r="FHD6" i="20"/>
  <c r="FHD6" i="20" a="1"/>
  <c r="FHC6" i="20"/>
  <c r="FHC6" i="20" a="1"/>
  <c r="FHB6" i="20" a="1"/>
  <c r="FHB6" i="20" s="1"/>
  <c r="FHA6" i="20" a="1"/>
  <c r="FHA6" i="20" s="1"/>
  <c r="FGZ6" i="20" a="1"/>
  <c r="FGZ6" i="20" s="1"/>
  <c r="FGY6" i="20" a="1"/>
  <c r="FGY6" i="20" s="1"/>
  <c r="FGX6" i="20"/>
  <c r="FGX6" i="20" a="1"/>
  <c r="FGW6" i="20" a="1"/>
  <c r="FGW6" i="20" s="1"/>
  <c r="FGV6" i="20" a="1"/>
  <c r="FGV6" i="20" s="1"/>
  <c r="FGU6" i="20" a="1"/>
  <c r="FGU6" i="20" s="1"/>
  <c r="FGT6" i="20" a="1"/>
  <c r="FGT6" i="20" s="1"/>
  <c r="FGS6" i="20" a="1"/>
  <c r="FGS6" i="20" s="1"/>
  <c r="FGR6" i="20" a="1"/>
  <c r="FGR6" i="20" s="1"/>
  <c r="FGQ6" i="20"/>
  <c r="FGQ6" i="20" a="1"/>
  <c r="FGP6" i="20"/>
  <c r="FGP6" i="20" a="1"/>
  <c r="FGO6" i="20"/>
  <c r="FGO6" i="20" a="1"/>
  <c r="FGN6" i="20" a="1"/>
  <c r="FGN6" i="20" s="1"/>
  <c r="FGM6" i="20" a="1"/>
  <c r="FGM6" i="20" s="1"/>
  <c r="FGL6" i="20"/>
  <c r="FGL6" i="20" a="1"/>
  <c r="FGK6" i="20" a="1"/>
  <c r="FGK6" i="20" s="1"/>
  <c r="FGJ6" i="20" a="1"/>
  <c r="FGJ6" i="20" s="1"/>
  <c r="FGI6" i="20" a="1"/>
  <c r="FGI6" i="20" s="1"/>
  <c r="FGH6" i="20" a="1"/>
  <c r="FGH6" i="20" s="1"/>
  <c r="FGG6" i="20" a="1"/>
  <c r="FGG6" i="20" s="1"/>
  <c r="FGF6" i="20" a="1"/>
  <c r="FGF6" i="20" s="1"/>
  <c r="FGE6" i="20" a="1"/>
  <c r="FGE6" i="20" s="1"/>
  <c r="FGD6" i="20"/>
  <c r="FGD6" i="20" a="1"/>
  <c r="FGC6" i="20"/>
  <c r="FGC6" i="20" a="1"/>
  <c r="FGB6" i="20" a="1"/>
  <c r="FGB6" i="20" s="1"/>
  <c r="FGA6" i="20" a="1"/>
  <c r="FGA6" i="20" s="1"/>
  <c r="FFZ6" i="20"/>
  <c r="FFZ6" i="20" a="1"/>
  <c r="FFY6" i="20"/>
  <c r="FFY6" i="20" a="1"/>
  <c r="FFX6" i="20" a="1"/>
  <c r="FFX6" i="20" s="1"/>
  <c r="FFW6" i="20" a="1"/>
  <c r="FFW6" i="20" s="1"/>
  <c r="FFV6" i="20" a="1"/>
  <c r="FFV6" i="20" s="1"/>
  <c r="FFU6" i="20" a="1"/>
  <c r="FFU6" i="20" s="1"/>
  <c r="FFT6" i="20" a="1"/>
  <c r="FFT6" i="20" s="1"/>
  <c r="FFS6" i="20" a="1"/>
  <c r="FFS6" i="20" s="1"/>
  <c r="FFR6" i="20" a="1"/>
  <c r="FFR6" i="20" s="1"/>
  <c r="FFQ6" i="20"/>
  <c r="FFQ6" i="20" a="1"/>
  <c r="FFP6" i="20"/>
  <c r="FFP6" i="20" a="1"/>
  <c r="FFO6" i="20" a="1"/>
  <c r="FFO6" i="20" s="1"/>
  <c r="FFN6" i="20" a="1"/>
  <c r="FFN6" i="20" s="1"/>
  <c r="FFM6" i="20" a="1"/>
  <c r="FFM6" i="20" s="1"/>
  <c r="FFL6" i="20" a="1"/>
  <c r="FFL6" i="20" s="1"/>
  <c r="FFK6" i="20" a="1"/>
  <c r="FFK6" i="20" s="1"/>
  <c r="FFJ6" i="20" a="1"/>
  <c r="FFJ6" i="20" s="1"/>
  <c r="FFI6" i="20" a="1"/>
  <c r="FFI6" i="20" s="1"/>
  <c r="FFH6" i="20"/>
  <c r="FFH6" i="20" a="1"/>
  <c r="FFG6" i="20" a="1"/>
  <c r="FFG6" i="20" s="1"/>
  <c r="FFF6" i="20" a="1"/>
  <c r="FFF6" i="20" s="1"/>
  <c r="FFE6" i="20" a="1"/>
  <c r="FFE6" i="20" s="1"/>
  <c r="FFD6" i="20"/>
  <c r="FFD6" i="20" a="1"/>
  <c r="FFC6" i="20" a="1"/>
  <c r="FFC6" i="20" s="1"/>
  <c r="FFB6" i="20" a="1"/>
  <c r="FFB6" i="20" s="1"/>
  <c r="FFA6" i="20" a="1"/>
  <c r="FFA6" i="20" s="1"/>
  <c r="FEZ6" i="20" a="1"/>
  <c r="FEZ6" i="20" s="1"/>
  <c r="FEY6" i="20" a="1"/>
  <c r="FEY6" i="20" s="1"/>
  <c r="FEX6" i="20" a="1"/>
  <c r="FEX6" i="20" s="1"/>
  <c r="FEW6" i="20" a="1"/>
  <c r="FEW6" i="20" s="1"/>
  <c r="FEV6" i="20"/>
  <c r="FEV6" i="20" a="1"/>
  <c r="FEU6" i="20" a="1"/>
  <c r="FEU6" i="20" s="1"/>
  <c r="FET6" i="20"/>
  <c r="FET6" i="20" a="1"/>
  <c r="FES6" i="20"/>
  <c r="FES6" i="20" a="1"/>
  <c r="FER6" i="20"/>
  <c r="FER6" i="20" a="1"/>
  <c r="FEQ6" i="20" a="1"/>
  <c r="FEQ6" i="20" s="1"/>
  <c r="FEP6" i="20" a="1"/>
  <c r="FEP6" i="20" s="1"/>
  <c r="FEO6" i="20" a="1"/>
  <c r="FEO6" i="20" s="1"/>
  <c r="FEN6" i="20"/>
  <c r="FEN6" i="20" a="1"/>
  <c r="FEM6" i="20"/>
  <c r="FEM6" i="20" a="1"/>
  <c r="FEL6" i="20" a="1"/>
  <c r="FEL6" i="20" s="1"/>
  <c r="FEK6" i="20" a="1"/>
  <c r="FEK6" i="20" s="1"/>
  <c r="FEJ6" i="20"/>
  <c r="FEJ6" i="20" a="1"/>
  <c r="FEI6" i="20"/>
  <c r="FEI6" i="20" a="1"/>
  <c r="FEH6" i="20" a="1"/>
  <c r="FEH6" i="20" s="1"/>
  <c r="FEG6" i="20" a="1"/>
  <c r="FEG6" i="20" s="1"/>
  <c r="FEF6" i="20"/>
  <c r="FEF6" i="20" a="1"/>
  <c r="FEE6" i="20" a="1"/>
  <c r="FEE6" i="20" s="1"/>
  <c r="FED6" i="20" a="1"/>
  <c r="FED6" i="20" s="1"/>
  <c r="FEC6" i="20" a="1"/>
  <c r="FEC6" i="20" s="1"/>
  <c r="FEB6" i="20" a="1"/>
  <c r="FEB6" i="20" s="1"/>
  <c r="FEA6" i="20" a="1"/>
  <c r="FEA6" i="20" s="1"/>
  <c r="FDZ6" i="20"/>
  <c r="FDZ6" i="20" a="1"/>
  <c r="FDY6" i="20" a="1"/>
  <c r="FDY6" i="20" s="1"/>
  <c r="FDX6" i="20"/>
  <c r="FDX6" i="20" a="1"/>
  <c r="FDW6" i="20"/>
  <c r="FDW6" i="20" a="1"/>
  <c r="FDV6" i="20"/>
  <c r="FDV6" i="20" a="1"/>
  <c r="FDU6" i="20"/>
  <c r="FDU6" i="20" a="1"/>
  <c r="FDT6" i="20" a="1"/>
  <c r="FDT6" i="20" s="1"/>
  <c r="FDS6" i="20" a="1"/>
  <c r="FDS6" i="20" s="1"/>
  <c r="FDR6" i="20" a="1"/>
  <c r="FDR6" i="20" s="1"/>
  <c r="FDQ6" i="20" a="1"/>
  <c r="FDQ6" i="20" s="1"/>
  <c r="FDP6" i="20" a="1"/>
  <c r="FDP6" i="20" s="1"/>
  <c r="FDO6" i="20" a="1"/>
  <c r="FDO6" i="20" s="1"/>
  <c r="FDN6" i="20" a="1"/>
  <c r="FDN6" i="20" s="1"/>
  <c r="FDM6" i="20" a="1"/>
  <c r="FDM6" i="20" s="1"/>
  <c r="FDL6" i="20" a="1"/>
  <c r="FDL6" i="20" s="1"/>
  <c r="FDK6" i="20" a="1"/>
  <c r="FDK6" i="20" s="1"/>
  <c r="FDJ6" i="20"/>
  <c r="FDJ6" i="20" a="1"/>
  <c r="FDI6" i="20"/>
  <c r="FDI6" i="20" a="1"/>
  <c r="FDH6" i="20"/>
  <c r="FDH6" i="20" a="1"/>
  <c r="FDG6" i="20" a="1"/>
  <c r="FDG6" i="20" s="1"/>
  <c r="FDF6" i="20" a="1"/>
  <c r="FDF6" i="20" s="1"/>
  <c r="FDE6" i="20"/>
  <c r="FDE6" i="20" a="1"/>
  <c r="FDD6" i="20" a="1"/>
  <c r="FDD6" i="20" s="1"/>
  <c r="FDC6" i="20" a="1"/>
  <c r="FDC6" i="20" s="1"/>
  <c r="FDB6" i="20" a="1"/>
  <c r="FDB6" i="20" s="1"/>
  <c r="FDA6" i="20" a="1"/>
  <c r="FDA6" i="20" s="1"/>
  <c r="FCZ6" i="20"/>
  <c r="FCZ6" i="20" a="1"/>
  <c r="FCY6" i="20"/>
  <c r="FCY6" i="20" a="1"/>
  <c r="FCX6" i="20" a="1"/>
  <c r="FCX6" i="20" s="1"/>
  <c r="FCW6" i="20"/>
  <c r="FCW6" i="20" a="1"/>
  <c r="FCV6" i="20"/>
  <c r="FCV6" i="20" a="1"/>
  <c r="FCU6" i="20" a="1"/>
  <c r="FCU6" i="20" s="1"/>
  <c r="FCT6" i="20" a="1"/>
  <c r="FCT6" i="20" s="1"/>
  <c r="FCS6" i="20" a="1"/>
  <c r="FCS6" i="20" s="1"/>
  <c r="FCR6" i="20" a="1"/>
  <c r="FCR6" i="20" s="1"/>
  <c r="FCQ6" i="20"/>
  <c r="FCQ6" i="20" a="1"/>
  <c r="FCP6" i="20" a="1"/>
  <c r="FCP6" i="20" s="1"/>
  <c r="FCO6" i="20" a="1"/>
  <c r="FCO6" i="20" s="1"/>
  <c r="FCN6" i="20" a="1"/>
  <c r="FCN6" i="20" s="1"/>
  <c r="FCM6" i="20" a="1"/>
  <c r="FCM6" i="20" s="1"/>
  <c r="FCL6" i="20" a="1"/>
  <c r="FCL6" i="20" s="1"/>
  <c r="FCK6" i="20" a="1"/>
  <c r="FCK6" i="20" s="1"/>
  <c r="FCJ6" i="20"/>
  <c r="FCJ6" i="20" a="1"/>
  <c r="FCI6" i="20" a="1"/>
  <c r="FCI6" i="20" s="1"/>
  <c r="FCH6" i="20" a="1"/>
  <c r="FCH6" i="20" s="1"/>
  <c r="FCG6" i="20" a="1"/>
  <c r="FCG6" i="20" s="1"/>
  <c r="FCF6" i="20" a="1"/>
  <c r="FCF6" i="20" s="1"/>
  <c r="FCE6" i="20" a="1"/>
  <c r="FCE6" i="20" s="1"/>
  <c r="FCD6" i="20" a="1"/>
  <c r="FCD6" i="20" s="1"/>
  <c r="FCC6" i="20" a="1"/>
  <c r="FCC6" i="20" s="1"/>
  <c r="FCB6" i="20"/>
  <c r="FCB6" i="20" a="1"/>
  <c r="FCA6" i="20"/>
  <c r="FCA6" i="20" a="1"/>
  <c r="FBZ6" i="20"/>
  <c r="FBZ6" i="20" a="1"/>
  <c r="FBY6" i="20"/>
  <c r="FBY6" i="20" a="1"/>
  <c r="FBX6" i="20"/>
  <c r="FBX6" i="20" a="1"/>
  <c r="FBW6" i="20" a="1"/>
  <c r="FBW6" i="20" s="1"/>
  <c r="FBV6" i="20" a="1"/>
  <c r="FBV6" i="20" s="1"/>
  <c r="FBU6" i="20" a="1"/>
  <c r="FBU6" i="20" s="1"/>
  <c r="FBT6" i="20" a="1"/>
  <c r="FBT6" i="20" s="1"/>
  <c r="FBS6" i="20" a="1"/>
  <c r="FBS6" i="20" s="1"/>
  <c r="FBR6" i="20" a="1"/>
  <c r="FBR6" i="20" s="1"/>
  <c r="FBQ6" i="20" a="1"/>
  <c r="FBQ6" i="20" s="1"/>
  <c r="FBP6" i="20"/>
  <c r="FBP6" i="20" a="1"/>
  <c r="FBO6" i="20"/>
  <c r="FBO6" i="20" a="1"/>
  <c r="FBN6" i="20" a="1"/>
  <c r="FBN6" i="20" s="1"/>
  <c r="FBM6" i="20"/>
  <c r="FBM6" i="20" a="1"/>
  <c r="FBL6" i="20"/>
  <c r="FBL6" i="20" a="1"/>
  <c r="FBK6" i="20" a="1"/>
  <c r="FBK6" i="20" s="1"/>
  <c r="FBJ6" i="20" a="1"/>
  <c r="FBJ6" i="20" s="1"/>
  <c r="FBI6" i="20" a="1"/>
  <c r="FBI6" i="20" s="1"/>
  <c r="FBH6" i="20" a="1"/>
  <c r="FBH6" i="20" s="1"/>
  <c r="FBG6" i="20"/>
  <c r="FBG6" i="20" a="1"/>
  <c r="FBF6" i="20"/>
  <c r="FBF6" i="20" a="1"/>
  <c r="FBE6" i="20" a="1"/>
  <c r="FBE6" i="20" s="1"/>
  <c r="FBD6" i="20"/>
  <c r="FBD6" i="20" a="1"/>
  <c r="FBC6" i="20"/>
  <c r="FBC6" i="20" a="1"/>
  <c r="FBB6" i="20"/>
  <c r="FBB6" i="20" a="1"/>
  <c r="FBA6" i="20" a="1"/>
  <c r="FBA6" i="20" s="1"/>
  <c r="FAZ6" i="20" a="1"/>
  <c r="FAZ6" i="20" s="1"/>
  <c r="FAY6" i="20" a="1"/>
  <c r="FAY6" i="20" s="1"/>
  <c r="FAX6" i="20" a="1"/>
  <c r="FAX6" i="20" s="1"/>
  <c r="FAW6" i="20" a="1"/>
  <c r="FAW6" i="20" s="1"/>
  <c r="FAV6" i="20" a="1"/>
  <c r="FAV6" i="20" s="1"/>
  <c r="FAU6" i="20" a="1"/>
  <c r="FAU6" i="20" s="1"/>
  <c r="FAT6" i="20" a="1"/>
  <c r="FAT6" i="20" s="1"/>
  <c r="FAS6" i="20" a="1"/>
  <c r="FAS6" i="20" s="1"/>
  <c r="FAR6" i="20" a="1"/>
  <c r="FAR6" i="20" s="1"/>
  <c r="FAQ6" i="20"/>
  <c r="FAQ6" i="20" a="1"/>
  <c r="FAP6" i="20"/>
  <c r="FAP6" i="20" a="1"/>
  <c r="FAO6" i="20"/>
  <c r="FAO6" i="20" a="1"/>
  <c r="FAN6" i="20"/>
  <c r="FAN6" i="20" a="1"/>
  <c r="FAM6" i="20" a="1"/>
  <c r="FAM6" i="20" s="1"/>
  <c r="FAL6" i="20"/>
  <c r="FAL6" i="20" a="1"/>
  <c r="FAK6" i="20" a="1"/>
  <c r="FAK6" i="20" s="1"/>
  <c r="FAJ6" i="20" a="1"/>
  <c r="FAJ6" i="20" s="1"/>
  <c r="FAI6" i="20" a="1"/>
  <c r="FAI6" i="20" s="1"/>
  <c r="FAH6" i="20" a="1"/>
  <c r="FAH6" i="20" s="1"/>
  <c r="FAG6" i="20" a="1"/>
  <c r="FAG6" i="20" s="1"/>
  <c r="FAF6" i="20"/>
  <c r="FAF6" i="20" a="1"/>
  <c r="FAE6" i="20" a="1"/>
  <c r="FAE6" i="20" s="1"/>
  <c r="FAD6" i="20" a="1"/>
  <c r="FAD6" i="20" s="1"/>
  <c r="FAC6" i="20"/>
  <c r="FAC6" i="20" a="1"/>
  <c r="FAB6" i="20"/>
  <c r="FAB6" i="20" a="1"/>
  <c r="FAA6" i="20" a="1"/>
  <c r="FAA6" i="20" s="1"/>
  <c r="EZZ6" i="20" a="1"/>
  <c r="EZZ6" i="20" s="1"/>
  <c r="EZY6" i="20" a="1"/>
  <c r="EZY6" i="20" s="1"/>
  <c r="EZX6" i="20"/>
  <c r="EZX6" i="20" a="1"/>
  <c r="EZW6" i="20"/>
  <c r="EZW6" i="20" a="1"/>
  <c r="EZV6" i="20" a="1"/>
  <c r="EZV6" i="20" s="1"/>
  <c r="EZU6" i="20" a="1"/>
  <c r="EZU6" i="20" s="1"/>
  <c r="EZT6" i="20" a="1"/>
  <c r="EZT6" i="20" s="1"/>
  <c r="EZS6" i="20" a="1"/>
  <c r="EZS6" i="20" s="1"/>
  <c r="EZR6" i="20" a="1"/>
  <c r="EZR6" i="20" s="1"/>
  <c r="EZQ6" i="20"/>
  <c r="EZQ6" i="20" a="1"/>
  <c r="EZP6" i="20"/>
  <c r="EZP6" i="20" a="1"/>
  <c r="EZO6" i="20" a="1"/>
  <c r="EZO6" i="20" s="1"/>
  <c r="EZN6" i="20" a="1"/>
  <c r="EZN6" i="20" s="1"/>
  <c r="EZM6" i="20" a="1"/>
  <c r="EZM6" i="20" s="1"/>
  <c r="EZL6" i="20" a="1"/>
  <c r="EZL6" i="20" s="1"/>
  <c r="EZK6" i="20" a="1"/>
  <c r="EZK6" i="20" s="1"/>
  <c r="EZJ6" i="20"/>
  <c r="EZJ6" i="20" a="1"/>
  <c r="EZI6" i="20" a="1"/>
  <c r="EZI6" i="20" s="1"/>
  <c r="EZH6" i="20"/>
  <c r="EZH6" i="20" a="1"/>
  <c r="EZG6" i="20"/>
  <c r="EZG6" i="20" a="1"/>
  <c r="EZF6" i="20"/>
  <c r="EZF6" i="20" a="1"/>
  <c r="EZE6" i="20"/>
  <c r="EZE6" i="20" a="1"/>
  <c r="EZD6" i="20" a="1"/>
  <c r="EZD6" i="20" s="1"/>
  <c r="EZC6" i="20" a="1"/>
  <c r="EZC6" i="20" s="1"/>
  <c r="EZB6" i="20" a="1"/>
  <c r="EZB6" i="20" s="1"/>
  <c r="EZA6" i="20" a="1"/>
  <c r="EZA6" i="20" s="1"/>
  <c r="EYZ6" i="20" a="1"/>
  <c r="EYZ6" i="20" s="1"/>
  <c r="EYY6" i="20" a="1"/>
  <c r="EYY6" i="20" s="1"/>
  <c r="EYX6" i="20" a="1"/>
  <c r="EYX6" i="20" s="1"/>
  <c r="EYW6" i="20" a="1"/>
  <c r="EYW6" i="20" s="1"/>
  <c r="EYV6" i="20"/>
  <c r="EYV6" i="20" a="1"/>
  <c r="EYU6" i="20"/>
  <c r="EYU6" i="20" a="1"/>
  <c r="EYT6" i="20"/>
  <c r="EYT6" i="20" a="1"/>
  <c r="EYS6" i="20"/>
  <c r="EYS6" i="20" a="1"/>
  <c r="EYR6" i="20"/>
  <c r="EYR6" i="20" a="1"/>
  <c r="EYQ6" i="20" a="1"/>
  <c r="EYQ6" i="20" s="1"/>
  <c r="EYP6" i="20" a="1"/>
  <c r="EYP6" i="20" s="1"/>
  <c r="EYO6" i="20" a="1"/>
  <c r="EYO6" i="20" s="1"/>
  <c r="EYN6" i="20" a="1"/>
  <c r="EYN6" i="20" s="1"/>
  <c r="EYM6" i="20" a="1"/>
  <c r="EYM6" i="20" s="1"/>
  <c r="EYL6" i="20" a="1"/>
  <c r="EYL6" i="20" s="1"/>
  <c r="EYK6" i="20" a="1"/>
  <c r="EYK6" i="20" s="1"/>
  <c r="EYJ6" i="20"/>
  <c r="EYJ6" i="20" a="1"/>
  <c r="EYI6" i="20"/>
  <c r="EYI6" i="20" a="1"/>
  <c r="EYH6" i="20"/>
  <c r="EYH6" i="20" a="1"/>
  <c r="EYG6" i="20" a="1"/>
  <c r="EYG6" i="20" s="1"/>
  <c r="EYF6" i="20"/>
  <c r="EYF6" i="20" a="1"/>
  <c r="EYE6" i="20" a="1"/>
  <c r="EYE6" i="20" s="1"/>
  <c r="EYD6" i="20" a="1"/>
  <c r="EYD6" i="20" s="1"/>
  <c r="EYC6" i="20" a="1"/>
  <c r="EYC6" i="20" s="1"/>
  <c r="EYB6" i="20" a="1"/>
  <c r="EYB6" i="20" s="1"/>
  <c r="EYA6" i="20" a="1"/>
  <c r="EYA6" i="20" s="1"/>
  <c r="EXZ6" i="20" a="1"/>
  <c r="EXZ6" i="20" s="1"/>
  <c r="EXY6" i="20" a="1"/>
  <c r="EXY6" i="20" s="1"/>
  <c r="EXX6" i="20"/>
  <c r="EXX6" i="20" a="1"/>
  <c r="EXW6" i="20"/>
  <c r="EXW6" i="20" a="1"/>
  <c r="EXV6" i="20"/>
  <c r="EXV6" i="20" a="1"/>
  <c r="EXU6" i="20"/>
  <c r="EXU6" i="20" a="1"/>
  <c r="EXT6" i="20" a="1"/>
  <c r="EXT6" i="20" s="1"/>
  <c r="EXS6" i="20" a="1"/>
  <c r="EXS6" i="20" s="1"/>
  <c r="EXR6" i="20"/>
  <c r="EXR6" i="20" a="1"/>
  <c r="EXQ6" i="20" a="1"/>
  <c r="EXQ6" i="20" s="1"/>
  <c r="EXP6" i="20" a="1"/>
  <c r="EXP6" i="20" s="1"/>
  <c r="EXO6" i="20" a="1"/>
  <c r="EXO6" i="20" s="1"/>
  <c r="EXN6" i="20" a="1"/>
  <c r="EXN6" i="20" s="1"/>
  <c r="EXM6" i="20" a="1"/>
  <c r="EXM6" i="20" s="1"/>
  <c r="EXL6" i="20" a="1"/>
  <c r="EXL6" i="20" s="1"/>
  <c r="EXK6" i="20" a="1"/>
  <c r="EXK6" i="20" s="1"/>
  <c r="EXJ6" i="20"/>
  <c r="EXJ6" i="20" a="1"/>
  <c r="EXI6" i="20"/>
  <c r="EXI6" i="20" a="1"/>
  <c r="EXH6" i="20"/>
  <c r="EXH6" i="20" a="1"/>
  <c r="EXG6" i="20" a="1"/>
  <c r="EXG6" i="20" s="1"/>
  <c r="EXF6" i="20" a="1"/>
  <c r="EXF6" i="20" s="1"/>
  <c r="EXE6" i="20" a="1"/>
  <c r="EXE6" i="20" s="1"/>
  <c r="EXD6" i="20" a="1"/>
  <c r="EXD6" i="20" s="1"/>
  <c r="EXC6" i="20" a="1"/>
  <c r="EXC6" i="20" s="1"/>
  <c r="EXB6" i="20" a="1"/>
  <c r="EXB6" i="20" s="1"/>
  <c r="EXA6" i="20" a="1"/>
  <c r="EXA6" i="20" s="1"/>
  <c r="EWZ6" i="20" a="1"/>
  <c r="EWZ6" i="20" s="1"/>
  <c r="EWY6" i="20" a="1"/>
  <c r="EWY6" i="20" s="1"/>
  <c r="EWX6" i="20" a="1"/>
  <c r="EWX6" i="20" s="1"/>
  <c r="EWW6" i="20"/>
  <c r="EWW6" i="20" a="1"/>
  <c r="EWV6" i="20"/>
  <c r="EWV6" i="20" a="1"/>
  <c r="EWU6" i="20" a="1"/>
  <c r="EWU6" i="20" s="1"/>
  <c r="EWT6" i="20" a="1"/>
  <c r="EWT6" i="20" s="1"/>
  <c r="EWS6" i="20" a="1"/>
  <c r="EWS6" i="20" s="1"/>
  <c r="EWR6" i="20" a="1"/>
  <c r="EWR6" i="20" s="1"/>
  <c r="EWQ6" i="20" a="1"/>
  <c r="EWQ6" i="20" s="1"/>
  <c r="EWP6" i="20" a="1"/>
  <c r="EWP6" i="20" s="1"/>
  <c r="EWO6" i="20" a="1"/>
  <c r="EWO6" i="20" s="1"/>
  <c r="EWN6" i="20"/>
  <c r="EWN6" i="20" a="1"/>
  <c r="EWM6" i="20"/>
  <c r="EWM6" i="20" a="1"/>
  <c r="EWL6" i="20"/>
  <c r="EWL6" i="20" a="1"/>
  <c r="EWK6" i="20" a="1"/>
  <c r="EWK6" i="20" s="1"/>
  <c r="EWJ6" i="20" a="1"/>
  <c r="EWJ6" i="20" s="1"/>
  <c r="EWI6" i="20" a="1"/>
  <c r="EWI6" i="20" s="1"/>
  <c r="EWH6" i="20" a="1"/>
  <c r="EWH6" i="20" s="1"/>
  <c r="EWG6" i="20"/>
  <c r="EWG6" i="20" a="1"/>
  <c r="EWF6" i="20"/>
  <c r="EWF6" i="20" a="1"/>
  <c r="EWE6" i="20"/>
  <c r="EWE6" i="20" a="1"/>
  <c r="EWD6" i="20" a="1"/>
  <c r="EWD6" i="20" s="1"/>
  <c r="EWC6" i="20" a="1"/>
  <c r="EWC6" i="20" s="1"/>
  <c r="EWB6" i="20"/>
  <c r="EWB6" i="20" a="1"/>
  <c r="EWA6" i="20" a="1"/>
  <c r="EWA6" i="20" s="1"/>
  <c r="EVZ6" i="20" a="1"/>
  <c r="EVZ6" i="20" s="1"/>
  <c r="EVY6" i="20" a="1"/>
  <c r="EVY6" i="20" s="1"/>
  <c r="EVX6" i="20" a="1"/>
  <c r="EVX6" i="20" s="1"/>
  <c r="EVW6" i="20" a="1"/>
  <c r="EVW6" i="20" s="1"/>
  <c r="EVV6" i="20" a="1"/>
  <c r="EVV6" i="20" s="1"/>
  <c r="EVU6" i="20" a="1"/>
  <c r="EVU6" i="20" s="1"/>
  <c r="EVT6" i="20" a="1"/>
  <c r="EVT6" i="20" s="1"/>
  <c r="EVS6" i="20" a="1"/>
  <c r="EVS6" i="20" s="1"/>
  <c r="EVR6" i="20" a="1"/>
  <c r="EVR6" i="20" s="1"/>
  <c r="EVQ6" i="20" a="1"/>
  <c r="EVQ6" i="20" s="1"/>
  <c r="EVP6" i="20" a="1"/>
  <c r="EVP6" i="20" s="1"/>
  <c r="EVO6" i="20"/>
  <c r="EVO6" i="20" a="1"/>
  <c r="EVN6" i="20"/>
  <c r="EVN6" i="20" a="1"/>
  <c r="EVM6" i="20"/>
  <c r="EVM6" i="20" a="1"/>
  <c r="EVL6" i="20"/>
  <c r="EVL6" i="20" a="1"/>
  <c r="EVK6" i="20" a="1"/>
  <c r="EVK6" i="20" s="1"/>
  <c r="EVJ6" i="20" a="1"/>
  <c r="EVJ6" i="20" s="1"/>
  <c r="EVI6" i="20" a="1"/>
  <c r="EVI6" i="20" s="1"/>
  <c r="EVH6" i="20" a="1"/>
  <c r="EVH6" i="20" s="1"/>
  <c r="EVG6" i="20"/>
  <c r="EVG6" i="20" a="1"/>
  <c r="EVF6" i="20"/>
  <c r="EVF6" i="20" a="1"/>
  <c r="EVE6" i="20" a="1"/>
  <c r="EVE6" i="20" s="1"/>
  <c r="EVD6" i="20" a="1"/>
  <c r="EVD6" i="20" s="1"/>
  <c r="EVC6" i="20" a="1"/>
  <c r="EVC6" i="20" s="1"/>
  <c r="EVB6" i="20"/>
  <c r="EVB6" i="20" a="1"/>
  <c r="EVA6" i="20"/>
  <c r="EVA6" i="20" a="1"/>
  <c r="EUZ6" i="20" a="1"/>
  <c r="EUZ6" i="20" s="1"/>
  <c r="EUY6" i="20" a="1"/>
  <c r="EUY6" i="20" s="1"/>
  <c r="EUX6" i="20"/>
  <c r="EUX6" i="20" a="1"/>
  <c r="EUW6" i="20"/>
  <c r="EUW6" i="20" a="1"/>
  <c r="EUV6" i="20" a="1"/>
  <c r="EUV6" i="20" s="1"/>
  <c r="EUU6" i="20" a="1"/>
  <c r="EUU6" i="20" s="1"/>
  <c r="EUT6" i="20"/>
  <c r="EUT6" i="20" a="1"/>
  <c r="EUS6" i="20" a="1"/>
  <c r="EUS6" i="20" s="1"/>
  <c r="EUR6" i="20" a="1"/>
  <c r="EUR6" i="20" s="1"/>
  <c r="EUQ6" i="20" a="1"/>
  <c r="EUQ6" i="20" s="1"/>
  <c r="EUP6" i="20" a="1"/>
  <c r="EUP6" i="20" s="1"/>
  <c r="EUO6" i="20" a="1"/>
  <c r="EUO6" i="20" s="1"/>
  <c r="EUN6" i="20"/>
  <c r="EUN6" i="20" a="1"/>
  <c r="EUM6" i="20" a="1"/>
  <c r="EUM6" i="20" s="1"/>
  <c r="EUL6" i="20"/>
  <c r="EUL6" i="20" a="1"/>
  <c r="EUK6" i="20"/>
  <c r="EUK6" i="20" a="1"/>
  <c r="EUJ6" i="20"/>
  <c r="EUJ6" i="20" a="1"/>
  <c r="EUI6" i="20" a="1"/>
  <c r="EUI6" i="20" s="1"/>
  <c r="EUH6" i="20" a="1"/>
  <c r="EUH6" i="20" s="1"/>
  <c r="EUG6" i="20" a="1"/>
  <c r="EUG6" i="20" s="1"/>
  <c r="EUF6" i="20" a="1"/>
  <c r="EUF6" i="20" s="1"/>
  <c r="EUE6" i="20" a="1"/>
  <c r="EUE6" i="20" s="1"/>
  <c r="EUD6" i="20" a="1"/>
  <c r="EUD6" i="20" s="1"/>
  <c r="EUC6" i="20" a="1"/>
  <c r="EUC6" i="20" s="1"/>
  <c r="EUB6" i="20" a="1"/>
  <c r="EUB6" i="20" s="1"/>
  <c r="EUA6" i="20" a="1"/>
  <c r="EUA6" i="20" s="1"/>
  <c r="ETZ6" i="20"/>
  <c r="ETZ6" i="20" a="1"/>
  <c r="ETY6" i="20"/>
  <c r="ETY6" i="20" a="1"/>
  <c r="ETX6" i="20"/>
  <c r="ETX6" i="20" a="1"/>
  <c r="ETW6" i="20"/>
  <c r="ETW6" i="20" a="1"/>
  <c r="ETV6" i="20" a="1"/>
  <c r="ETV6" i="20" s="1"/>
  <c r="ETU6" i="20" a="1"/>
  <c r="ETU6" i="20" s="1"/>
  <c r="ETT6" i="20"/>
  <c r="ETT6" i="20" a="1"/>
  <c r="ETS6" i="20" a="1"/>
  <c r="ETS6" i="20" s="1"/>
  <c r="ETR6" i="20" a="1"/>
  <c r="ETR6" i="20" s="1"/>
  <c r="ETQ6" i="20" a="1"/>
  <c r="ETQ6" i="20" s="1"/>
  <c r="ETP6" i="20" a="1"/>
  <c r="ETP6" i="20" s="1"/>
  <c r="ETO6" i="20" a="1"/>
  <c r="ETO6" i="20" s="1"/>
  <c r="ETN6" i="20" a="1"/>
  <c r="ETN6" i="20" s="1"/>
  <c r="ETM6" i="20"/>
  <c r="ETM6" i="20" a="1"/>
  <c r="ETL6" i="20"/>
  <c r="ETL6" i="20" a="1"/>
  <c r="ETK6" i="20"/>
  <c r="ETK6" i="20" a="1"/>
  <c r="ETJ6" i="20"/>
  <c r="ETJ6" i="20" a="1"/>
  <c r="ETI6" i="20" a="1"/>
  <c r="ETI6" i="20" s="1"/>
  <c r="ETH6" i="20" a="1"/>
  <c r="ETH6" i="20" s="1"/>
  <c r="ETG6" i="20" a="1"/>
  <c r="ETG6" i="20" s="1"/>
  <c r="ETF6" i="20" a="1"/>
  <c r="ETF6" i="20" s="1"/>
  <c r="ETE6" i="20" a="1"/>
  <c r="ETE6" i="20" s="1"/>
  <c r="ETD6" i="20" a="1"/>
  <c r="ETD6" i="20" s="1"/>
  <c r="ETC6" i="20" a="1"/>
  <c r="ETC6" i="20" s="1"/>
  <c r="ETB6" i="20" a="1"/>
  <c r="ETB6" i="20" s="1"/>
  <c r="ETA6" i="20" a="1"/>
  <c r="ETA6" i="20" s="1"/>
  <c r="ESZ6" i="20"/>
  <c r="ESZ6" i="20" a="1"/>
  <c r="ESY6" i="20"/>
  <c r="ESY6" i="20" a="1"/>
  <c r="ESX6" i="20"/>
  <c r="ESX6" i="20" a="1"/>
  <c r="ESW6" i="20" a="1"/>
  <c r="ESW6" i="20" s="1"/>
  <c r="ESV6" i="20" a="1"/>
  <c r="ESV6" i="20" s="1"/>
  <c r="ESU6" i="20" a="1"/>
  <c r="ESU6" i="20" s="1"/>
  <c r="EST6" i="20" a="1"/>
  <c r="EST6" i="20" s="1"/>
  <c r="ESS6" i="20" a="1"/>
  <c r="ESS6" i="20" s="1"/>
  <c r="ESR6" i="20" a="1"/>
  <c r="ESR6" i="20" s="1"/>
  <c r="ESQ6" i="20" a="1"/>
  <c r="ESQ6" i="20" s="1"/>
  <c r="ESP6" i="20"/>
  <c r="ESP6" i="20" a="1"/>
  <c r="ESO6" i="20" a="1"/>
  <c r="ESO6" i="20" s="1"/>
  <c r="ESN6" i="20" a="1"/>
  <c r="ESN6" i="20" s="1"/>
  <c r="ESM6" i="20"/>
  <c r="ESM6" i="20" a="1"/>
  <c r="ESL6" i="20"/>
  <c r="ESL6" i="20" a="1"/>
  <c r="ESK6" i="20" a="1"/>
  <c r="ESK6" i="20" s="1"/>
  <c r="ESJ6" i="20" a="1"/>
  <c r="ESJ6" i="20" s="1"/>
  <c r="ESI6" i="20" a="1"/>
  <c r="ESI6" i="20" s="1"/>
  <c r="ESH6" i="20" a="1"/>
  <c r="ESH6" i="20" s="1"/>
  <c r="ESG6" i="20" a="1"/>
  <c r="ESG6" i="20" s="1"/>
  <c r="ESF6" i="20" a="1"/>
  <c r="ESF6" i="20" s="1"/>
  <c r="ESE6" i="20" a="1"/>
  <c r="ESE6" i="20" s="1"/>
  <c r="ESD6" i="20"/>
  <c r="ESD6" i="20" a="1"/>
  <c r="ESC6" i="20"/>
  <c r="ESC6" i="20" a="1"/>
  <c r="ESB6" i="20" a="1"/>
  <c r="ESB6" i="20" s="1"/>
  <c r="ESA6" i="20" a="1"/>
  <c r="ESA6" i="20" s="1"/>
  <c r="ERZ6" i="20"/>
  <c r="ERZ6" i="20" a="1"/>
  <c r="ERY6" i="20" a="1"/>
  <c r="ERY6" i="20" s="1"/>
  <c r="ERX6" i="20" a="1"/>
  <c r="ERX6" i="20" s="1"/>
  <c r="ERW6" i="20" a="1"/>
  <c r="ERW6" i="20" s="1"/>
  <c r="ERV6" i="20" a="1"/>
  <c r="ERV6" i="20" s="1"/>
  <c r="ERU6" i="20" a="1"/>
  <c r="ERU6" i="20" s="1"/>
  <c r="ERT6" i="20" a="1"/>
  <c r="ERT6" i="20" s="1"/>
  <c r="ERS6" i="20" a="1"/>
  <c r="ERS6" i="20" s="1"/>
  <c r="ERR6" i="20"/>
  <c r="ERR6" i="20" a="1"/>
  <c r="ERQ6" i="20"/>
  <c r="ERQ6" i="20" a="1"/>
  <c r="ERP6" i="20"/>
  <c r="ERP6" i="20" a="1"/>
  <c r="ERO6" i="20" a="1"/>
  <c r="ERO6" i="20" s="1"/>
  <c r="ERN6" i="20" a="1"/>
  <c r="ERN6" i="20" s="1"/>
  <c r="ERM6" i="20" a="1"/>
  <c r="ERM6" i="20" s="1"/>
  <c r="ERL6" i="20" a="1"/>
  <c r="ERL6" i="20" s="1"/>
  <c r="ERK6" i="20" a="1"/>
  <c r="ERK6" i="20" s="1"/>
  <c r="ERJ6" i="20" a="1"/>
  <c r="ERJ6" i="20" s="1"/>
  <c r="ERI6" i="20" a="1"/>
  <c r="ERI6" i="20" s="1"/>
  <c r="ERH6" i="20" a="1"/>
  <c r="ERH6" i="20" s="1"/>
  <c r="ERG6" i="20" a="1"/>
  <c r="ERG6" i="20" s="1"/>
  <c r="ERF6" i="20"/>
  <c r="ERF6" i="20" a="1"/>
  <c r="ERE6" i="20"/>
  <c r="ERE6" i="20" a="1"/>
  <c r="ERD6" i="20"/>
  <c r="ERD6" i="20" a="1"/>
  <c r="ERC6" i="20"/>
  <c r="ERC6" i="20" a="1"/>
  <c r="ERB6" i="20" a="1"/>
  <c r="ERB6" i="20" s="1"/>
  <c r="ERA6" i="20" a="1"/>
  <c r="ERA6" i="20" s="1"/>
  <c r="EQZ6" i="20"/>
  <c r="EQZ6" i="20" a="1"/>
  <c r="EQY6" i="20" a="1"/>
  <c r="EQY6" i="20" s="1"/>
  <c r="EQX6" i="20" a="1"/>
  <c r="EQX6" i="20" s="1"/>
  <c r="EQW6" i="20" a="1"/>
  <c r="EQW6" i="20" s="1"/>
  <c r="EQV6" i="20" a="1"/>
  <c r="EQV6" i="20" s="1"/>
  <c r="EQU6" i="20" a="1"/>
  <c r="EQU6" i="20" s="1"/>
  <c r="EQT6" i="20" a="1"/>
  <c r="EQT6" i="20" s="1"/>
  <c r="EQS6" i="20"/>
  <c r="EQS6" i="20" a="1"/>
  <c r="EQR6" i="20"/>
  <c r="EQR6" i="20" a="1"/>
  <c r="EQQ6" i="20"/>
  <c r="EQQ6" i="20" a="1"/>
  <c r="EQP6" i="20"/>
  <c r="EQP6" i="20" a="1"/>
  <c r="EQO6" i="20" a="1"/>
  <c r="EQO6" i="20" s="1"/>
  <c r="EQN6" i="20" a="1"/>
  <c r="EQN6" i="20" s="1"/>
  <c r="EQM6" i="20" a="1"/>
  <c r="EQM6" i="20" s="1"/>
  <c r="EQL6" i="20" a="1"/>
  <c r="EQL6" i="20" s="1"/>
  <c r="EQK6" i="20" a="1"/>
  <c r="EQK6" i="20" s="1"/>
  <c r="EQJ6" i="20" a="1"/>
  <c r="EQJ6" i="20" s="1"/>
  <c r="EQI6" i="20" a="1"/>
  <c r="EQI6" i="20" s="1"/>
  <c r="EQH6" i="20" a="1"/>
  <c r="EQH6" i="20" s="1"/>
  <c r="EQG6" i="20" a="1"/>
  <c r="EQG6" i="20" s="1"/>
  <c r="EQF6" i="20"/>
  <c r="EQF6" i="20" a="1"/>
  <c r="EQE6" i="20"/>
  <c r="EQE6" i="20" a="1"/>
  <c r="EQD6" i="20"/>
  <c r="EQD6" i="20" a="1"/>
  <c r="EQC6" i="20" a="1"/>
  <c r="EQC6" i="20" s="1"/>
  <c r="EQB6" i="20" a="1"/>
  <c r="EQB6" i="20" s="1"/>
  <c r="EQA6" i="20" a="1"/>
  <c r="EQA6" i="20" s="1"/>
  <c r="EPZ6" i="20"/>
  <c r="EPZ6" i="20" a="1"/>
  <c r="EPY6" i="20" a="1"/>
  <c r="EPY6" i="20" s="1"/>
  <c r="EPX6" i="20" a="1"/>
  <c r="EPX6" i="20" s="1"/>
  <c r="EPW6" i="20" a="1"/>
  <c r="EPW6" i="20" s="1"/>
  <c r="EPV6" i="20"/>
  <c r="EPV6" i="20" a="1"/>
  <c r="EPU6" i="20" a="1"/>
  <c r="EPU6" i="20" s="1"/>
  <c r="EPT6" i="20" a="1"/>
  <c r="EPT6" i="20" s="1"/>
  <c r="EPS6" i="20"/>
  <c r="EPS6" i="20" a="1"/>
  <c r="EPR6" i="20"/>
  <c r="EPR6" i="20" a="1"/>
  <c r="EPQ6" i="20" a="1"/>
  <c r="EPQ6" i="20" s="1"/>
  <c r="EPP6" i="20" a="1"/>
  <c r="EPP6" i="20" s="1"/>
  <c r="EPO6" i="20" a="1"/>
  <c r="EPO6" i="20" s="1"/>
  <c r="EPN6" i="20" a="1"/>
  <c r="EPN6" i="20" s="1"/>
  <c r="EPM6" i="20"/>
  <c r="EPM6" i="20" a="1"/>
  <c r="EPL6" i="20" a="1"/>
  <c r="EPL6" i="20" s="1"/>
  <c r="EPK6" i="20" a="1"/>
  <c r="EPK6" i="20" s="1"/>
  <c r="EPJ6" i="20"/>
  <c r="EPJ6" i="20" a="1"/>
  <c r="EPI6" i="20"/>
  <c r="EPI6" i="20" a="1"/>
  <c r="EPH6" i="20" a="1"/>
  <c r="EPH6" i="20" s="1"/>
  <c r="EPG6" i="20" a="1"/>
  <c r="EPG6" i="20" s="1"/>
  <c r="EPF6" i="20"/>
  <c r="EPF6" i="20" a="1"/>
  <c r="EPE6" i="20" a="1"/>
  <c r="EPE6" i="20" s="1"/>
  <c r="EPD6" i="20" a="1"/>
  <c r="EPD6" i="20" s="1"/>
  <c r="EPC6" i="20" a="1"/>
  <c r="EPC6" i="20" s="1"/>
  <c r="EPB6" i="20" a="1"/>
  <c r="EPB6" i="20" s="1"/>
  <c r="EPA6" i="20" a="1"/>
  <c r="EPA6" i="20" s="1"/>
  <c r="EOZ6" i="20"/>
  <c r="EOZ6" i="20" a="1"/>
  <c r="EOY6" i="20" a="1"/>
  <c r="EOY6" i="20" s="1"/>
  <c r="EOX6" i="20"/>
  <c r="EOX6" i="20" a="1"/>
  <c r="EOW6" i="20"/>
  <c r="EOW6" i="20" a="1"/>
  <c r="EOV6" i="20"/>
  <c r="EOV6" i="20" a="1"/>
  <c r="EOU6" i="20" a="1"/>
  <c r="EOU6" i="20" s="1"/>
  <c r="EOT6" i="20" a="1"/>
  <c r="EOT6" i="20" s="1"/>
  <c r="EOS6" i="20" a="1"/>
  <c r="EOS6" i="20" s="1"/>
  <c r="EOR6" i="20" a="1"/>
  <c r="EOR6" i="20" s="1"/>
  <c r="EOQ6" i="20" a="1"/>
  <c r="EOQ6" i="20" s="1"/>
  <c r="EOP6" i="20" a="1"/>
  <c r="EOP6" i="20" s="1"/>
  <c r="EOO6" i="20" a="1"/>
  <c r="EOO6" i="20" s="1"/>
  <c r="EON6" i="20" a="1"/>
  <c r="EON6" i="20" s="1"/>
  <c r="EOM6" i="20" a="1"/>
  <c r="EOM6" i="20" s="1"/>
  <c r="EOL6" i="20"/>
  <c r="EOL6" i="20" a="1"/>
  <c r="EOK6" i="20"/>
  <c r="EOK6" i="20" a="1"/>
  <c r="EOJ6" i="20"/>
  <c r="EOJ6" i="20" a="1"/>
  <c r="EOI6" i="20"/>
  <c r="EOI6" i="20" a="1"/>
  <c r="EOH6" i="20" a="1"/>
  <c r="EOH6" i="20" s="1"/>
  <c r="EOG6" i="20" a="1"/>
  <c r="EOG6" i="20" s="1"/>
  <c r="EOF6" i="20" a="1"/>
  <c r="EOF6" i="20" s="1"/>
  <c r="EOE6" i="20" a="1"/>
  <c r="EOE6" i="20" s="1"/>
  <c r="EOD6" i="20" a="1"/>
  <c r="EOD6" i="20" s="1"/>
  <c r="EOC6" i="20" a="1"/>
  <c r="EOC6" i="20" s="1"/>
  <c r="EOB6" i="20" a="1"/>
  <c r="EOB6" i="20" s="1"/>
  <c r="EOA6" i="20" a="1"/>
  <c r="EOA6" i="20" s="1"/>
  <c r="ENZ6" i="20" a="1"/>
  <c r="ENZ6" i="20" s="1"/>
  <c r="ENY6" i="20"/>
  <c r="ENY6" i="20" a="1"/>
  <c r="ENX6" i="20"/>
  <c r="ENX6" i="20" a="1"/>
  <c r="ENW6" i="20"/>
  <c r="ENW6" i="20" a="1"/>
  <c r="ENV6" i="20"/>
  <c r="ENV6" i="20" a="1"/>
  <c r="ENU6" i="20" a="1"/>
  <c r="ENU6" i="20" s="1"/>
  <c r="ENT6" i="20"/>
  <c r="ENT6" i="20" a="1"/>
  <c r="ENS6" i="20" a="1"/>
  <c r="ENS6" i="20" s="1"/>
  <c r="ENR6" i="20" a="1"/>
  <c r="ENR6" i="20" s="1"/>
  <c r="ENQ6" i="20" a="1"/>
  <c r="ENQ6" i="20" s="1"/>
  <c r="ENP6" i="20" a="1"/>
  <c r="ENP6" i="20" s="1"/>
  <c r="ENO6" i="20" a="1"/>
  <c r="ENO6" i="20" s="1"/>
  <c r="ENN6" i="20" a="1"/>
  <c r="ENN6" i="20" s="1"/>
  <c r="ENM6" i="20" a="1"/>
  <c r="ENM6" i="20" s="1"/>
  <c r="ENL6" i="20"/>
  <c r="ENL6" i="20" a="1"/>
  <c r="ENK6" i="20"/>
  <c r="ENK6" i="20" a="1"/>
  <c r="ENJ6" i="20"/>
  <c r="ENJ6" i="20" a="1"/>
  <c r="ENI6" i="20" a="1"/>
  <c r="ENI6" i="20" s="1"/>
  <c r="ENH6" i="20" a="1"/>
  <c r="ENH6" i="20" s="1"/>
  <c r="ENG6" i="20" a="1"/>
  <c r="ENG6" i="20" s="1"/>
  <c r="ENF6" i="20" a="1"/>
  <c r="ENF6" i="20" s="1"/>
  <c r="ENE6" i="20" a="1"/>
  <c r="ENE6" i="20" s="1"/>
  <c r="END6" i="20" a="1"/>
  <c r="END6" i="20" s="1"/>
  <c r="ENC6" i="20" a="1"/>
  <c r="ENC6" i="20" s="1"/>
  <c r="ENB6" i="20"/>
  <c r="ENB6" i="20" a="1"/>
  <c r="ENA6" i="20" a="1"/>
  <c r="ENA6" i="20" s="1"/>
  <c r="EMZ6" i="20"/>
  <c r="EMZ6" i="20" a="1"/>
  <c r="EMY6" i="20"/>
  <c r="EMY6" i="20" a="1"/>
  <c r="EMX6" i="20"/>
  <c r="EMX6" i="20" a="1"/>
  <c r="EMW6" i="20" a="1"/>
  <c r="EMW6" i="20" s="1"/>
  <c r="EMV6" i="20" a="1"/>
  <c r="EMV6" i="20" s="1"/>
  <c r="EMU6" i="20" a="1"/>
  <c r="EMU6" i="20" s="1"/>
  <c r="EMT6" i="20" a="1"/>
  <c r="EMT6" i="20" s="1"/>
  <c r="EMS6" i="20"/>
  <c r="EMS6" i="20" a="1"/>
  <c r="EMR6" i="20" a="1"/>
  <c r="EMR6" i="20" s="1"/>
  <c r="EMQ6" i="20" a="1"/>
  <c r="EMQ6" i="20" s="1"/>
  <c r="EMP6" i="20"/>
  <c r="EMP6" i="20" a="1"/>
  <c r="EMO6" i="20"/>
  <c r="EMO6" i="20" a="1"/>
  <c r="EMN6" i="20" a="1"/>
  <c r="EMN6" i="20" s="1"/>
  <c r="EMM6" i="20"/>
  <c r="EMM6" i="20" a="1"/>
  <c r="EML6" i="20"/>
  <c r="EML6" i="20" a="1"/>
  <c r="EMK6" i="20" a="1"/>
  <c r="EMK6" i="20" s="1"/>
  <c r="EMJ6" i="20" a="1"/>
  <c r="EMJ6" i="20" s="1"/>
  <c r="EMI6" i="20" a="1"/>
  <c r="EMI6" i="20" s="1"/>
  <c r="EMH6" i="20" a="1"/>
  <c r="EMH6" i="20" s="1"/>
  <c r="EMG6" i="20" a="1"/>
  <c r="EMG6" i="20" s="1"/>
  <c r="EMF6" i="20" a="1"/>
  <c r="EMF6" i="20" s="1"/>
  <c r="EME6" i="20" a="1"/>
  <c r="EME6" i="20" s="1"/>
  <c r="EMD6" i="20"/>
  <c r="EMD6" i="20" a="1"/>
  <c r="EMC6" i="20"/>
  <c r="EMC6" i="20" a="1"/>
  <c r="EMB6" i="20"/>
  <c r="EMB6" i="20" a="1"/>
  <c r="EMA6" i="20" a="1"/>
  <c r="EMA6" i="20" s="1"/>
  <c r="ELZ6" i="20" a="1"/>
  <c r="ELZ6" i="20" s="1"/>
  <c r="ELY6" i="20" a="1"/>
  <c r="ELY6" i="20" s="1"/>
  <c r="ELX6" i="20" a="1"/>
  <c r="ELX6" i="20" s="1"/>
  <c r="ELW6" i="20" a="1"/>
  <c r="ELW6" i="20" s="1"/>
  <c r="ELV6" i="20" a="1"/>
  <c r="ELV6" i="20" s="1"/>
  <c r="ELU6" i="20" a="1"/>
  <c r="ELU6" i="20" s="1"/>
  <c r="ELT6" i="20" a="1"/>
  <c r="ELT6" i="20" s="1"/>
  <c r="ELS6" i="20" a="1"/>
  <c r="ELS6" i="20" s="1"/>
  <c r="ELR6" i="20"/>
  <c r="ELR6" i="20" a="1"/>
  <c r="ELQ6" i="20"/>
  <c r="ELQ6" i="20" a="1"/>
  <c r="ELP6" i="20"/>
  <c r="ELP6" i="20" a="1"/>
  <c r="ELO6" i="20"/>
  <c r="ELO6" i="20" a="1"/>
  <c r="ELN6" i="20" a="1"/>
  <c r="ELN6" i="20" s="1"/>
  <c r="ELM6" i="20" a="1"/>
  <c r="ELM6" i="20" s="1"/>
  <c r="ELL6" i="20"/>
  <c r="ELL6" i="20" a="1"/>
  <c r="ELK6" i="20" a="1"/>
  <c r="ELK6" i="20" s="1"/>
  <c r="ELJ6" i="20" a="1"/>
  <c r="ELJ6" i="20" s="1"/>
  <c r="ELI6" i="20" a="1"/>
  <c r="ELI6" i="20" s="1"/>
  <c r="ELH6" i="20" a="1"/>
  <c r="ELH6" i="20" s="1"/>
  <c r="ELG6" i="20" a="1"/>
  <c r="ELG6" i="20" s="1"/>
  <c r="ELF6" i="20" a="1"/>
  <c r="ELF6" i="20" s="1"/>
  <c r="ELE6" i="20"/>
  <c r="ELE6" i="20" a="1"/>
  <c r="ELD6" i="20"/>
  <c r="ELD6" i="20" a="1"/>
  <c r="ELC6" i="20"/>
  <c r="ELC6" i="20" a="1"/>
  <c r="ELB6" i="20"/>
  <c r="ELB6" i="20" a="1"/>
  <c r="ELA6" i="20" a="1"/>
  <c r="ELA6" i="20" s="1"/>
  <c r="EKZ6" i="20" a="1"/>
  <c r="EKZ6" i="20" s="1"/>
  <c r="EKY6" i="20"/>
  <c r="EKY6" i="20" a="1"/>
  <c r="EKX6" i="20" a="1"/>
  <c r="EKX6" i="20" s="1"/>
  <c r="EKW6" i="20" a="1"/>
  <c r="EKW6" i="20" s="1"/>
  <c r="EKV6" i="20" a="1"/>
  <c r="EKV6" i="20" s="1"/>
  <c r="EKU6" i="20" a="1"/>
  <c r="EKU6" i="20" s="1"/>
  <c r="EKT6" i="20" a="1"/>
  <c r="EKT6" i="20" s="1"/>
  <c r="EKS6" i="20"/>
  <c r="EKS6" i="20" a="1"/>
  <c r="EKR6" i="20"/>
  <c r="EKR6" i="20" a="1"/>
  <c r="EKQ6" i="20"/>
  <c r="EKQ6" i="20" a="1"/>
  <c r="EKP6" i="20"/>
  <c r="EKP6" i="20" a="1"/>
  <c r="EKO6" i="20" a="1"/>
  <c r="EKO6" i="20" s="1"/>
  <c r="EKN6" i="20" a="1"/>
  <c r="EKN6" i="20" s="1"/>
  <c r="EKM6" i="20"/>
  <c r="EKM6" i="20" a="1"/>
  <c r="EKL6" i="20"/>
  <c r="EKL6" i="20" a="1"/>
  <c r="EKK6" i="20" a="1"/>
  <c r="EKK6" i="20" s="1"/>
  <c r="EKJ6" i="20" a="1"/>
  <c r="EKJ6" i="20" s="1"/>
  <c r="EKI6" i="20" a="1"/>
  <c r="EKI6" i="20" s="1"/>
  <c r="EKH6" i="20"/>
  <c r="EKH6" i="20" a="1"/>
  <c r="EKG6" i="20" a="1"/>
  <c r="EKG6" i="20" s="1"/>
  <c r="EKF6" i="20" a="1"/>
  <c r="EKF6" i="20" s="1"/>
  <c r="EKE6" i="20"/>
  <c r="EKE6" i="20" a="1"/>
  <c r="EKD6" i="20"/>
  <c r="EKD6" i="20" a="1"/>
  <c r="EKC6" i="20" a="1"/>
  <c r="EKC6" i="20" s="1"/>
  <c r="EKB6" i="20" a="1"/>
  <c r="EKB6" i="20" s="1"/>
  <c r="EKA6" i="20" a="1"/>
  <c r="EKA6" i="20" s="1"/>
  <c r="EJZ6" i="20"/>
  <c r="EJZ6" i="20" a="1"/>
  <c r="EJY6" i="20"/>
  <c r="EJY6" i="20" a="1"/>
  <c r="EJX6" i="20" a="1"/>
  <c r="EJX6" i="20" s="1"/>
  <c r="EJW6" i="20" a="1"/>
  <c r="EJW6" i="20" s="1"/>
  <c r="EJV6" i="20"/>
  <c r="EJV6" i="20" a="1"/>
  <c r="EJU6" i="20"/>
  <c r="EJU6" i="20" a="1"/>
  <c r="EJT6" i="20" a="1"/>
  <c r="EJT6" i="20" s="1"/>
  <c r="EJS6" i="20" a="1"/>
  <c r="EJS6" i="20" s="1"/>
  <c r="EJR6" i="20"/>
  <c r="EJR6" i="20" a="1"/>
  <c r="EJQ6" i="20" a="1"/>
  <c r="EJQ6" i="20" s="1"/>
  <c r="EJP6" i="20" a="1"/>
  <c r="EJP6" i="20" s="1"/>
  <c r="EJO6" i="20" a="1"/>
  <c r="EJO6" i="20" s="1"/>
  <c r="EJN6" i="20" a="1"/>
  <c r="EJN6" i="20" s="1"/>
  <c r="EJM6" i="20"/>
  <c r="EJM6" i="20" a="1"/>
  <c r="EJL6" i="20"/>
  <c r="EJL6" i="20" a="1"/>
  <c r="EJK6" i="20" a="1"/>
  <c r="EJK6" i="20" s="1"/>
  <c r="EJJ6" i="20"/>
  <c r="EJJ6" i="20" a="1"/>
  <c r="EJI6" i="20"/>
  <c r="EJI6" i="20" a="1"/>
  <c r="EJH6" i="20"/>
  <c r="EJH6" i="20" a="1"/>
  <c r="EJG6" i="20" a="1"/>
  <c r="EJG6" i="20" s="1"/>
  <c r="EJF6" i="20"/>
  <c r="EJF6" i="20" a="1"/>
  <c r="EJE6" i="20" a="1"/>
  <c r="EJE6" i="20" s="1"/>
  <c r="EJD6" i="20" a="1"/>
  <c r="EJD6" i="20" s="1"/>
  <c r="EJC6" i="20" a="1"/>
  <c r="EJC6" i="20" s="1"/>
  <c r="EJB6" i="20" a="1"/>
  <c r="EJB6" i="20" s="1"/>
  <c r="EJA6" i="20" a="1"/>
  <c r="EJA6" i="20" s="1"/>
  <c r="EIZ6" i="20"/>
  <c r="EIZ6" i="20" a="1"/>
  <c r="EIY6" i="20" a="1"/>
  <c r="EIY6" i="20" s="1"/>
  <c r="EIX6" i="20"/>
  <c r="EIX6" i="20" a="1"/>
  <c r="EIW6" i="20"/>
  <c r="EIW6" i="20" a="1"/>
  <c r="EIV6" i="20"/>
  <c r="EIV6" i="20" a="1"/>
  <c r="EIU6" i="20"/>
  <c r="EIU6" i="20" a="1"/>
  <c r="EIT6" i="20" a="1"/>
  <c r="EIT6" i="20" s="1"/>
  <c r="EIS6" i="20" a="1"/>
  <c r="EIS6" i="20" s="1"/>
  <c r="EIR6" i="20" a="1"/>
  <c r="EIR6" i="20" s="1"/>
  <c r="EIQ6" i="20" a="1"/>
  <c r="EIQ6" i="20" s="1"/>
  <c r="EIP6" i="20" a="1"/>
  <c r="EIP6" i="20" s="1"/>
  <c r="EIO6" i="20" a="1"/>
  <c r="EIO6" i="20" s="1"/>
  <c r="EIN6" i="20" a="1"/>
  <c r="EIN6" i="20" s="1"/>
  <c r="EIM6" i="20" a="1"/>
  <c r="EIM6" i="20" s="1"/>
  <c r="EIL6" i="20" a="1"/>
  <c r="EIL6" i="20" s="1"/>
  <c r="EIK6" i="20"/>
  <c r="EIK6" i="20" a="1"/>
  <c r="EIJ6" i="20"/>
  <c r="EIJ6" i="20" a="1"/>
  <c r="EII6" i="20"/>
  <c r="EII6" i="20" a="1"/>
  <c r="EIH6" i="20"/>
  <c r="EIH6" i="20" a="1"/>
  <c r="EIG6" i="20" a="1"/>
  <c r="EIG6" i="20" s="1"/>
  <c r="EIF6" i="20"/>
  <c r="EIF6" i="20" a="1"/>
  <c r="EIE6" i="20" a="1"/>
  <c r="EIE6" i="20" s="1"/>
  <c r="EID6" i="20" a="1"/>
  <c r="EID6" i="20" s="1"/>
  <c r="EIC6" i="20" a="1"/>
  <c r="EIC6" i="20" s="1"/>
  <c r="EIB6" i="20" a="1"/>
  <c r="EIB6" i="20" s="1"/>
  <c r="EIA6" i="20" a="1"/>
  <c r="EIA6" i="20" s="1"/>
  <c r="EHZ6" i="20" a="1"/>
  <c r="EHZ6" i="20" s="1"/>
  <c r="EHY6" i="20" a="1"/>
  <c r="EHY6" i="20" s="1"/>
  <c r="EHX6" i="20"/>
  <c r="EHX6" i="20" a="1"/>
  <c r="EHW6" i="20"/>
  <c r="EHW6" i="20" a="1"/>
  <c r="EHV6" i="20"/>
  <c r="EHV6" i="20" a="1"/>
  <c r="EHU6" i="20" a="1"/>
  <c r="EHU6" i="20" s="1"/>
  <c r="EHT6" i="20" a="1"/>
  <c r="EHT6" i="20" s="1"/>
  <c r="EHS6" i="20"/>
  <c r="EHS6" i="20" a="1"/>
  <c r="EHR6" i="20" a="1"/>
  <c r="EHR6" i="20" s="1"/>
  <c r="EHQ6" i="20" a="1"/>
  <c r="EHQ6" i="20" s="1"/>
  <c r="EHP6" i="20" a="1"/>
  <c r="EHP6" i="20" s="1"/>
  <c r="EHO6" i="20" a="1"/>
  <c r="EHO6" i="20" s="1"/>
  <c r="EHN6" i="20"/>
  <c r="EHN6" i="20" a="1"/>
  <c r="EHM6" i="20" a="1"/>
  <c r="EHM6" i="20" s="1"/>
  <c r="EHL6" i="20"/>
  <c r="EHL6" i="20" a="1"/>
  <c r="EHK6" i="20"/>
  <c r="EHK6" i="20" a="1"/>
  <c r="EHJ6" i="20"/>
  <c r="EHJ6" i="20" a="1"/>
  <c r="EHI6" i="20" a="1"/>
  <c r="EHI6" i="20" s="1"/>
  <c r="EHH6" i="20" a="1"/>
  <c r="EHH6" i="20" s="1"/>
  <c r="EHG6" i="20" a="1"/>
  <c r="EHG6" i="20" s="1"/>
  <c r="EHF6" i="20" a="1"/>
  <c r="EHF6" i="20" s="1"/>
  <c r="EHE6" i="20" a="1"/>
  <c r="EHE6" i="20" s="1"/>
  <c r="EHD6" i="20" a="1"/>
  <c r="EHD6" i="20" s="1"/>
  <c r="EHC6" i="20" a="1"/>
  <c r="EHC6" i="20" s="1"/>
  <c r="EHB6" i="20"/>
  <c r="EHB6" i="20" a="1"/>
  <c r="EHA6" i="20"/>
  <c r="EHA6" i="20" a="1"/>
  <c r="EGZ6" i="20" a="1"/>
  <c r="EGZ6" i="20" s="1"/>
  <c r="EGY6" i="20" a="1"/>
  <c r="EGY6" i="20" s="1"/>
  <c r="EGX6" i="20"/>
  <c r="EGX6" i="20" a="1"/>
  <c r="EGW6" i="20" a="1"/>
  <c r="EGW6" i="20" s="1"/>
  <c r="EGV6" i="20" a="1"/>
  <c r="EGV6" i="20" s="1"/>
  <c r="EGU6" i="20" a="1"/>
  <c r="EGU6" i="20" s="1"/>
  <c r="EGT6" i="20" a="1"/>
  <c r="EGT6" i="20" s="1"/>
  <c r="EGS6" i="20" a="1"/>
  <c r="EGS6" i="20" s="1"/>
  <c r="EGR6" i="20" a="1"/>
  <c r="EGR6" i="20" s="1"/>
  <c r="EGQ6" i="20" a="1"/>
  <c r="EGQ6" i="20" s="1"/>
  <c r="EGP6" i="20"/>
  <c r="EGP6" i="20" a="1"/>
  <c r="EGO6" i="20"/>
  <c r="EGO6" i="20" a="1"/>
  <c r="EGN6" i="20"/>
  <c r="EGN6" i="20" a="1"/>
  <c r="EGM6" i="20" a="1"/>
  <c r="EGM6" i="20" s="1"/>
  <c r="EGL6" i="20" a="1"/>
  <c r="EGL6" i="20" s="1"/>
  <c r="EGK6" i="20" a="1"/>
  <c r="EGK6" i="20" s="1"/>
  <c r="EGJ6" i="20" a="1"/>
  <c r="EGJ6" i="20" s="1"/>
  <c r="EGI6" i="20" a="1"/>
  <c r="EGI6" i="20" s="1"/>
  <c r="EGH6" i="20" a="1"/>
  <c r="EGH6" i="20" s="1"/>
  <c r="EGG6" i="20" a="1"/>
  <c r="EGG6" i="20" s="1"/>
  <c r="EGF6" i="20" a="1"/>
  <c r="EGF6" i="20" s="1"/>
  <c r="EGE6" i="20" a="1"/>
  <c r="EGE6" i="20" s="1"/>
  <c r="EGD6" i="20"/>
  <c r="EGD6" i="20" a="1"/>
  <c r="EGC6" i="20"/>
  <c r="EGC6" i="20" a="1"/>
  <c r="EGB6" i="20"/>
  <c r="EGB6" i="20" a="1"/>
  <c r="EGA6" i="20"/>
  <c r="EGA6" i="20" a="1"/>
  <c r="EFZ6" i="20" a="1"/>
  <c r="EFZ6" i="20" s="1"/>
  <c r="EFY6" i="20" a="1"/>
  <c r="EFY6" i="20" s="1"/>
  <c r="EFX6" i="20"/>
  <c r="EFX6" i="20" a="1"/>
  <c r="EFW6" i="20" a="1"/>
  <c r="EFW6" i="20" s="1"/>
  <c r="EFV6" i="20" a="1"/>
  <c r="EFV6" i="20" s="1"/>
  <c r="EFU6" i="20" a="1"/>
  <c r="EFU6" i="20" s="1"/>
  <c r="EFT6" i="20" a="1"/>
  <c r="EFT6" i="20" s="1"/>
  <c r="EFS6" i="20" a="1"/>
  <c r="EFS6" i="20" s="1"/>
  <c r="EFR6" i="20"/>
  <c r="EFR6" i="20" a="1"/>
  <c r="EFQ6" i="20"/>
  <c r="EFQ6" i="20" a="1"/>
  <c r="EFP6" i="20"/>
  <c r="EFP6" i="20" a="1"/>
  <c r="EFO6" i="20"/>
  <c r="EFO6" i="20" a="1"/>
  <c r="EFN6" i="20"/>
  <c r="EFN6" i="20" a="1"/>
  <c r="EFM6" i="20" a="1"/>
  <c r="EFM6" i="20" s="1"/>
  <c r="EFL6" i="20" a="1"/>
  <c r="EFL6" i="20" s="1"/>
  <c r="EFK6" i="20" a="1"/>
  <c r="EFK6" i="20" s="1"/>
  <c r="EFJ6" i="20" a="1"/>
  <c r="EFJ6" i="20" s="1"/>
  <c r="EFI6" i="20" a="1"/>
  <c r="EFI6" i="20" s="1"/>
  <c r="EFH6" i="20" a="1"/>
  <c r="EFH6" i="20" s="1"/>
  <c r="EFG6" i="20" a="1"/>
  <c r="EFG6" i="20" s="1"/>
  <c r="EFF6" i="20" a="1"/>
  <c r="EFF6" i="20" s="1"/>
  <c r="EFE6" i="20"/>
  <c r="EFE6" i="20" a="1"/>
  <c r="EFD6" i="20"/>
  <c r="EFD6" i="20" a="1"/>
  <c r="EFC6" i="20"/>
  <c r="EFC6" i="20" a="1"/>
  <c r="EFB6" i="20"/>
  <c r="EFB6" i="20" a="1"/>
  <c r="EFA6" i="20" a="1"/>
  <c r="EFA6" i="20" s="1"/>
  <c r="EEZ6" i="20" a="1"/>
  <c r="EEZ6" i="20" s="1"/>
  <c r="EEY6" i="20" a="1"/>
  <c r="EEY6" i="20" s="1"/>
  <c r="EEX6" i="20"/>
  <c r="EEX6" i="20" a="1"/>
  <c r="EEW6" i="20" a="1"/>
  <c r="EEW6" i="20" s="1"/>
  <c r="EEV6" i="20" a="1"/>
  <c r="EEV6" i="20" s="1"/>
  <c r="EEU6" i="20" a="1"/>
  <c r="EEU6" i="20" s="1"/>
  <c r="EET6" i="20"/>
  <c r="EET6" i="20" a="1"/>
  <c r="EES6" i="20" a="1"/>
  <c r="EES6" i="20" s="1"/>
  <c r="EER6" i="20" a="1"/>
  <c r="EER6" i="20" s="1"/>
  <c r="EEQ6" i="20"/>
  <c r="EEQ6" i="20" a="1"/>
  <c r="EEP6" i="20"/>
  <c r="EEP6" i="20" a="1"/>
  <c r="EEO6" i="20" a="1"/>
  <c r="EEO6" i="20" s="1"/>
  <c r="EEN6" i="20" a="1"/>
  <c r="EEN6" i="20" s="1"/>
  <c r="EEM6" i="20" a="1"/>
  <c r="EEM6" i="20" s="1"/>
  <c r="EEL6" i="20" a="1"/>
  <c r="EEL6" i="20" s="1"/>
  <c r="EEK6" i="20"/>
  <c r="EEK6" i="20" a="1"/>
  <c r="EEJ6" i="20" a="1"/>
  <c r="EEJ6" i="20" s="1"/>
  <c r="EEI6" i="20" a="1"/>
  <c r="EEI6" i="20" s="1"/>
  <c r="EEH6" i="20"/>
  <c r="EEH6" i="20" a="1"/>
  <c r="EEG6" i="20"/>
  <c r="EEG6" i="20" a="1"/>
  <c r="EEF6" i="20" a="1"/>
  <c r="EEF6" i="20" s="1"/>
  <c r="EEE6" i="20"/>
  <c r="EEE6" i="20" a="1"/>
  <c r="EED6" i="20"/>
  <c r="EED6" i="20" a="1"/>
  <c r="EEC6" i="20" a="1"/>
  <c r="EEC6" i="20" s="1"/>
  <c r="EEB6" i="20" a="1"/>
  <c r="EEB6" i="20" s="1"/>
  <c r="EEA6" i="20" a="1"/>
  <c r="EEA6" i="20" s="1"/>
  <c r="EDZ6" i="20" a="1"/>
  <c r="EDZ6" i="20" s="1"/>
  <c r="EDY6" i="20"/>
  <c r="EDY6" i="20" a="1"/>
  <c r="EDX6" i="20"/>
  <c r="EDX6" i="20" a="1"/>
  <c r="EDW6" i="20" a="1"/>
  <c r="EDW6" i="20" s="1"/>
  <c r="EDV6" i="20"/>
  <c r="EDV6" i="20" a="1"/>
  <c r="EDU6" i="20"/>
  <c r="EDU6" i="20" a="1"/>
  <c r="EDT6" i="20"/>
  <c r="EDT6" i="20" a="1"/>
  <c r="EDS6" i="20" a="1"/>
  <c r="EDS6" i="20" s="1"/>
  <c r="EDR6" i="20"/>
  <c r="EDR6" i="20" a="1"/>
  <c r="EDQ6" i="20" a="1"/>
  <c r="EDQ6" i="20" s="1"/>
  <c r="EDP6" i="20" a="1"/>
  <c r="EDP6" i="20" s="1"/>
  <c r="EDO6" i="20" a="1"/>
  <c r="EDO6" i="20" s="1"/>
  <c r="EDN6" i="20" a="1"/>
  <c r="EDN6" i="20" s="1"/>
  <c r="EDM6" i="20" a="1"/>
  <c r="EDM6" i="20" s="1"/>
  <c r="EDL6" i="20"/>
  <c r="EDL6" i="20" a="1"/>
  <c r="EDK6" i="20" a="1"/>
  <c r="EDK6" i="20" s="1"/>
  <c r="EDJ6" i="20"/>
  <c r="EDJ6" i="20" a="1"/>
  <c r="EDI6" i="20"/>
  <c r="EDI6" i="20" a="1"/>
  <c r="EDH6" i="20"/>
  <c r="EDH6" i="20" a="1"/>
  <c r="EDG6" i="20"/>
  <c r="EDG6" i="20" a="1"/>
  <c r="EDF6" i="20" a="1"/>
  <c r="EDF6" i="20" s="1"/>
  <c r="EDE6" i="20" a="1"/>
  <c r="EDE6" i="20" s="1"/>
  <c r="EDD6" i="20" a="1"/>
  <c r="EDD6" i="20" s="1"/>
  <c r="EDC6" i="20" a="1"/>
  <c r="EDC6" i="20" s="1"/>
  <c r="EDB6" i="20" a="1"/>
  <c r="EDB6" i="20" s="1"/>
  <c r="EDA6" i="20" a="1"/>
  <c r="EDA6" i="20" s="1"/>
  <c r="ECZ6" i="20" a="1"/>
  <c r="ECZ6" i="20" s="1"/>
  <c r="ECY6" i="20" a="1"/>
  <c r="ECY6" i="20" s="1"/>
  <c r="ECX6" i="20" a="1"/>
  <c r="ECX6" i="20" s="1"/>
  <c r="ECW6" i="20"/>
  <c r="ECW6" i="20" a="1"/>
  <c r="ECV6" i="20"/>
  <c r="ECV6" i="20" a="1"/>
  <c r="ECU6" i="20"/>
  <c r="ECU6" i="20" a="1"/>
  <c r="ECT6" i="20"/>
  <c r="ECT6" i="20" a="1"/>
  <c r="ECS6" i="20" a="1"/>
  <c r="ECS6" i="20" s="1"/>
  <c r="ECR6" i="20"/>
  <c r="ECR6" i="20" a="1"/>
  <c r="ECQ6" i="20"/>
  <c r="ECQ6" i="20" a="1"/>
  <c r="ECP6" i="20" a="1"/>
  <c r="ECP6" i="20" s="1"/>
  <c r="ECO6" i="20" a="1"/>
  <c r="ECO6" i="20" s="1"/>
  <c r="ECN6" i="20" a="1"/>
  <c r="ECN6" i="20" s="1"/>
  <c r="ECM6" i="20" a="1"/>
  <c r="ECM6" i="20" s="1"/>
  <c r="ECL6" i="20" a="1"/>
  <c r="ECL6" i="20" s="1"/>
  <c r="ECK6" i="20"/>
  <c r="ECK6" i="20" a="1"/>
  <c r="ECJ6" i="20"/>
  <c r="ECJ6" i="20" a="1"/>
  <c r="ECI6" i="20"/>
  <c r="ECI6" i="20" a="1"/>
  <c r="ECH6" i="20"/>
  <c r="ECH6" i="20" a="1"/>
  <c r="ECG6" i="20" a="1"/>
  <c r="ECG6" i="20" s="1"/>
  <c r="ECF6" i="20" a="1"/>
  <c r="ECF6" i="20" s="1"/>
  <c r="ECE6" i="20"/>
  <c r="ECE6" i="20" a="1"/>
  <c r="ECD6" i="20"/>
  <c r="ECD6" i="20" a="1"/>
  <c r="ECC6" i="20" a="1"/>
  <c r="ECC6" i="20" s="1"/>
  <c r="ECB6" i="20" a="1"/>
  <c r="ECB6" i="20" s="1"/>
  <c r="ECA6" i="20" a="1"/>
  <c r="ECA6" i="20" s="1"/>
  <c r="EBZ6" i="20"/>
  <c r="EBZ6" i="20" a="1"/>
  <c r="EBY6" i="20" a="1"/>
  <c r="EBY6" i="20" s="1"/>
  <c r="EBX6" i="20"/>
  <c r="EBX6" i="20" a="1"/>
  <c r="EBW6" i="20"/>
  <c r="EBW6" i="20" a="1"/>
  <c r="EBV6" i="20"/>
  <c r="EBV6" i="20" a="1"/>
  <c r="EBU6" i="20" a="1"/>
  <c r="EBU6" i="20" s="1"/>
  <c r="EBT6" i="20" a="1"/>
  <c r="EBT6" i="20" s="1"/>
  <c r="EBS6" i="20" a="1"/>
  <c r="EBS6" i="20" s="1"/>
  <c r="EBR6" i="20"/>
  <c r="EBR6" i="20" a="1"/>
  <c r="EBQ6" i="20" a="1"/>
  <c r="EBQ6" i="20" s="1"/>
  <c r="EBP6" i="20" a="1"/>
  <c r="EBP6" i="20" s="1"/>
  <c r="EBO6" i="20" a="1"/>
  <c r="EBO6" i="20" s="1"/>
  <c r="EBN6" i="20"/>
  <c r="EBN6" i="20" a="1"/>
  <c r="EBM6" i="20"/>
  <c r="EBM6" i="20" a="1"/>
  <c r="EBL6" i="20" a="1"/>
  <c r="EBL6" i="20" s="1"/>
  <c r="EBK6" i="20" a="1"/>
  <c r="EBK6" i="20" s="1"/>
  <c r="EBJ6" i="20"/>
  <c r="EBJ6" i="20" a="1"/>
  <c r="EBI6" i="20" a="1"/>
  <c r="EBI6" i="20" s="1"/>
  <c r="EBH6" i="20" a="1"/>
  <c r="EBH6" i="20" s="1"/>
  <c r="EBG6" i="20" a="1"/>
  <c r="EBG6" i="20" s="1"/>
  <c r="EBF6" i="20" a="1"/>
  <c r="EBF6" i="20" s="1"/>
  <c r="EBE6" i="20"/>
  <c r="EBE6" i="20" a="1"/>
  <c r="EBD6" i="20" a="1"/>
  <c r="EBD6" i="20" s="1"/>
  <c r="EBC6" i="20" a="1"/>
  <c r="EBC6" i="20" s="1"/>
  <c r="EBB6" i="20"/>
  <c r="EBB6" i="20" a="1"/>
  <c r="EBA6" i="20"/>
  <c r="EBA6" i="20" a="1"/>
  <c r="EAZ6" i="20"/>
  <c r="EAZ6" i="20" a="1"/>
  <c r="EAY6" i="20" a="1"/>
  <c r="EAY6" i="20" s="1"/>
  <c r="EAX6" i="20"/>
  <c r="EAX6" i="20" a="1"/>
  <c r="EAW6" i="20" a="1"/>
  <c r="EAW6" i="20" s="1"/>
  <c r="EAV6" i="20" a="1"/>
  <c r="EAV6" i="20" s="1"/>
  <c r="EAU6" i="20" a="1"/>
  <c r="EAU6" i="20" s="1"/>
  <c r="EAT6" i="20" a="1"/>
  <c r="EAT6" i="20" s="1"/>
  <c r="EAS6" i="20" a="1"/>
  <c r="EAS6" i="20" s="1"/>
  <c r="EAR6" i="20" a="1"/>
  <c r="EAR6" i="20" s="1"/>
  <c r="EAQ6" i="20" a="1"/>
  <c r="EAQ6" i="20" s="1"/>
  <c r="EAP6" i="20"/>
  <c r="EAP6" i="20" a="1"/>
  <c r="EAO6" i="20"/>
  <c r="EAO6" i="20" a="1"/>
  <c r="EAN6" i="20"/>
  <c r="EAN6" i="20" a="1"/>
  <c r="EAM6" i="20"/>
  <c r="EAM6" i="20" a="1"/>
  <c r="EAL6" i="20" a="1"/>
  <c r="EAL6" i="20" s="1"/>
  <c r="EAK6" i="20" a="1"/>
  <c r="EAK6" i="20" s="1"/>
  <c r="EAJ6" i="20"/>
  <c r="EAJ6" i="20" a="1"/>
  <c r="EAI6" i="20" a="1"/>
  <c r="EAI6" i="20" s="1"/>
  <c r="EAH6" i="20" a="1"/>
  <c r="EAH6" i="20" s="1"/>
  <c r="EAG6" i="20" a="1"/>
  <c r="EAG6" i="20" s="1"/>
  <c r="EAF6" i="20" a="1"/>
  <c r="EAF6" i="20" s="1"/>
  <c r="EAE6" i="20" a="1"/>
  <c r="EAE6" i="20" s="1"/>
  <c r="EAD6" i="20"/>
  <c r="EAD6" i="20" a="1"/>
  <c r="EAC6" i="20"/>
  <c r="EAC6" i="20" a="1"/>
  <c r="EAB6" i="20"/>
  <c r="EAB6" i="20" a="1"/>
  <c r="EAA6" i="20"/>
  <c r="EAA6" i="20" a="1"/>
  <c r="DZZ6" i="20"/>
  <c r="DZZ6" i="20" a="1"/>
  <c r="DZY6" i="20" a="1"/>
  <c r="DZY6" i="20" s="1"/>
  <c r="DZX6" i="20" a="1"/>
  <c r="DZX6" i="20" s="1"/>
  <c r="DZW6" i="20" a="1"/>
  <c r="DZW6" i="20" s="1"/>
  <c r="DZV6" i="20" a="1"/>
  <c r="DZV6" i="20" s="1"/>
  <c r="DZU6" i="20" a="1"/>
  <c r="DZU6" i="20" s="1"/>
  <c r="DZT6" i="20" a="1"/>
  <c r="DZT6" i="20" s="1"/>
  <c r="DZS6" i="20" a="1"/>
  <c r="DZS6" i="20" s="1"/>
  <c r="DZR6" i="20" a="1"/>
  <c r="DZR6" i="20" s="1"/>
  <c r="DZQ6" i="20"/>
  <c r="DZQ6" i="20" a="1"/>
  <c r="DZP6" i="20"/>
  <c r="DZP6" i="20" a="1"/>
  <c r="DZO6" i="20"/>
  <c r="DZO6" i="20" a="1"/>
  <c r="DZN6" i="20"/>
  <c r="DZN6" i="20" a="1"/>
  <c r="DZM6" i="20" a="1"/>
  <c r="DZM6" i="20" s="1"/>
  <c r="DZL6" i="20" a="1"/>
  <c r="DZL6" i="20" s="1"/>
  <c r="DZK6" i="20" a="1"/>
  <c r="DZK6" i="20" s="1"/>
  <c r="DZJ6" i="20" a="1"/>
  <c r="DZJ6" i="20" s="1"/>
  <c r="DZI6" i="20" a="1"/>
  <c r="DZI6" i="20" s="1"/>
  <c r="DZH6" i="20" a="1"/>
  <c r="DZH6" i="20" s="1"/>
  <c r="DZG6" i="20" a="1"/>
  <c r="DZG6" i="20" s="1"/>
  <c r="DZF6" i="20"/>
  <c r="DZF6" i="20" a="1"/>
  <c r="DZE6" i="20" a="1"/>
  <c r="DZE6" i="20" s="1"/>
  <c r="DZD6" i="20" a="1"/>
  <c r="DZD6" i="20" s="1"/>
  <c r="DZC6" i="20"/>
  <c r="DZC6" i="20" a="1"/>
  <c r="DZB6" i="20"/>
  <c r="DZB6" i="20" a="1"/>
  <c r="DZA6" i="20" a="1"/>
  <c r="DZA6" i="20" s="1"/>
  <c r="DYZ6" i="20" a="1"/>
  <c r="DYZ6" i="20" s="1"/>
  <c r="DYY6" i="20" a="1"/>
  <c r="DYY6" i="20" s="1"/>
  <c r="DYX6" i="20" a="1"/>
  <c r="DYX6" i="20" s="1"/>
  <c r="DYW6" i="20" a="1"/>
  <c r="DYW6" i="20" s="1"/>
  <c r="DYV6" i="20" a="1"/>
  <c r="DYV6" i="20" s="1"/>
  <c r="DYU6" i="20" a="1"/>
  <c r="DYU6" i="20" s="1"/>
  <c r="DYT6" i="20"/>
  <c r="DYT6" i="20" a="1"/>
  <c r="DYS6" i="20"/>
  <c r="DYS6" i="20" a="1"/>
  <c r="DYR6" i="20" a="1"/>
  <c r="DYR6" i="20" s="1"/>
  <c r="DYQ6" i="20"/>
  <c r="DYQ6" i="20" a="1"/>
  <c r="DYP6" i="20"/>
  <c r="DYP6" i="20" a="1"/>
  <c r="DYO6" i="20" a="1"/>
  <c r="DYO6" i="20" s="1"/>
  <c r="DYN6" i="20" a="1"/>
  <c r="DYN6" i="20" s="1"/>
  <c r="DYM6" i="20" a="1"/>
  <c r="DYM6" i="20" s="1"/>
  <c r="DYL6" i="20" a="1"/>
  <c r="DYL6" i="20" s="1"/>
  <c r="DYK6" i="20" a="1"/>
  <c r="DYK6" i="20" s="1"/>
  <c r="DYJ6" i="20"/>
  <c r="DYJ6" i="20" a="1"/>
  <c r="DYI6" i="20" a="1"/>
  <c r="DYI6" i="20" s="1"/>
  <c r="DYH6" i="20"/>
  <c r="DYH6" i="20" a="1"/>
  <c r="DYG6" i="20"/>
  <c r="DYG6" i="20" a="1"/>
  <c r="DYF6" i="20"/>
  <c r="DYF6" i="20" a="1"/>
  <c r="DYE6" i="20" a="1"/>
  <c r="DYE6" i="20" s="1"/>
  <c r="DYD6" i="20" a="1"/>
  <c r="DYD6" i="20" s="1"/>
  <c r="DYC6" i="20" a="1"/>
  <c r="DYC6" i="20" s="1"/>
  <c r="DYB6" i="20" a="1"/>
  <c r="DYB6" i="20" s="1"/>
  <c r="DYA6" i="20" a="1"/>
  <c r="DYA6" i="20" s="1"/>
  <c r="DXZ6" i="20" a="1"/>
  <c r="DXZ6" i="20" s="1"/>
  <c r="DXY6" i="20" a="1"/>
  <c r="DXY6" i="20" s="1"/>
  <c r="DXX6" i="20" a="1"/>
  <c r="DXX6" i="20" s="1"/>
  <c r="DXW6" i="20" a="1"/>
  <c r="DXW6" i="20" s="1"/>
  <c r="DXV6" i="20"/>
  <c r="DXV6" i="20" a="1"/>
  <c r="DXU6" i="20"/>
  <c r="DXU6" i="20" a="1"/>
  <c r="DXT6" i="20"/>
  <c r="DXT6" i="20" a="1"/>
  <c r="DXS6" i="20"/>
  <c r="DXS6" i="20" a="1"/>
  <c r="DXR6" i="20" a="1"/>
  <c r="DXR6" i="20" s="1"/>
  <c r="DXQ6" i="20" a="1"/>
  <c r="DXQ6" i="20" s="1"/>
  <c r="DXP6" i="20" a="1"/>
  <c r="DXP6" i="20" s="1"/>
  <c r="DXO6" i="20" a="1"/>
  <c r="DXO6" i="20" s="1"/>
  <c r="DXN6" i="20" a="1"/>
  <c r="DXN6" i="20" s="1"/>
  <c r="DXM6" i="20" a="1"/>
  <c r="DXM6" i="20" s="1"/>
  <c r="DXL6" i="20" a="1"/>
  <c r="DXL6" i="20" s="1"/>
  <c r="DXK6" i="20" a="1"/>
  <c r="DXK6" i="20" s="1"/>
  <c r="DXJ6" i="20" a="1"/>
  <c r="DXJ6" i="20" s="1"/>
  <c r="DXI6" i="20"/>
  <c r="DXI6" i="20" a="1"/>
  <c r="DXH6" i="20"/>
  <c r="DXH6" i="20" a="1"/>
  <c r="DXG6" i="20"/>
  <c r="DXG6" i="20" a="1"/>
  <c r="DXF6" i="20"/>
  <c r="DXF6" i="20" a="1"/>
  <c r="DXE6" i="20" a="1"/>
  <c r="DXE6" i="20" s="1"/>
  <c r="DXD6" i="20"/>
  <c r="DXD6" i="20" a="1"/>
  <c r="DXC6" i="20"/>
  <c r="DXC6" i="20" a="1"/>
  <c r="DXB6" i="20" a="1"/>
  <c r="DXB6" i="20" s="1"/>
  <c r="DXA6" i="20" a="1"/>
  <c r="DXA6" i="20" s="1"/>
  <c r="DWZ6" i="20" a="1"/>
  <c r="DWZ6" i="20" s="1"/>
  <c r="DWY6" i="20" a="1"/>
  <c r="DWY6" i="20" s="1"/>
  <c r="DWX6" i="20" a="1"/>
  <c r="DWX6" i="20" s="1"/>
  <c r="DWW6" i="20"/>
  <c r="DWW6" i="20" a="1"/>
  <c r="DWV6" i="20"/>
  <c r="DWV6" i="20" a="1"/>
  <c r="DWU6" i="20"/>
  <c r="DWU6" i="20" a="1"/>
  <c r="DWT6" i="20"/>
  <c r="DWT6" i="20" a="1"/>
  <c r="DWS6" i="20" a="1"/>
  <c r="DWS6" i="20" s="1"/>
  <c r="DWR6" i="20" a="1"/>
  <c r="DWR6" i="20" s="1"/>
  <c r="DWQ6" i="20"/>
  <c r="DWQ6" i="20" a="1"/>
  <c r="DWP6" i="20"/>
  <c r="DWP6" i="20" a="1"/>
  <c r="DWO6" i="20" a="1"/>
  <c r="DWO6" i="20" s="1"/>
  <c r="DWN6" i="20" a="1"/>
  <c r="DWN6" i="20" s="1"/>
  <c r="DWM6" i="20" a="1"/>
  <c r="DWM6" i="20" s="1"/>
  <c r="DWL6" i="20"/>
  <c r="DWL6" i="20" a="1"/>
  <c r="DWK6" i="20" a="1"/>
  <c r="DWK6" i="20" s="1"/>
  <c r="DWJ6" i="20" a="1"/>
  <c r="DWJ6" i="20" s="1"/>
  <c r="DWI6" i="20"/>
  <c r="DWI6" i="20" a="1"/>
  <c r="DWH6" i="20"/>
  <c r="DWH6" i="20" a="1"/>
  <c r="DWG6" i="20" a="1"/>
  <c r="DWG6" i="20" s="1"/>
  <c r="DWF6" i="20" a="1"/>
  <c r="DWF6" i="20" s="1"/>
  <c r="DWE6" i="20" a="1"/>
  <c r="DWE6" i="20" s="1"/>
  <c r="DWD6" i="20"/>
  <c r="DWD6" i="20" a="1"/>
  <c r="DWC6" i="20"/>
  <c r="DWC6" i="20" a="1"/>
  <c r="DWB6" i="20" a="1"/>
  <c r="DWB6" i="20" s="1"/>
  <c r="DWA6" i="20" a="1"/>
  <c r="DWA6" i="20" s="1"/>
  <c r="DVZ6" i="20"/>
  <c r="DVZ6" i="20" a="1"/>
  <c r="DVY6" i="20"/>
  <c r="DVY6" i="20" a="1"/>
  <c r="DVX6" i="20" a="1"/>
  <c r="DVX6" i="20" s="1"/>
  <c r="DVW6" i="20" a="1"/>
  <c r="DVW6" i="20" s="1"/>
  <c r="DVV6" i="20"/>
  <c r="DVV6" i="20" a="1"/>
  <c r="DVU6" i="20" a="1"/>
  <c r="DVU6" i="20" s="1"/>
  <c r="DVT6" i="20" a="1"/>
  <c r="DVT6" i="20" s="1"/>
  <c r="DVS6" i="20" a="1"/>
  <c r="DVS6" i="20" s="1"/>
  <c r="DVR6" i="20" a="1"/>
  <c r="DVR6" i="20" s="1"/>
  <c r="DVQ6" i="20"/>
  <c r="DVQ6" i="20" a="1"/>
  <c r="DVP6" i="20"/>
  <c r="DVP6" i="20" a="1"/>
  <c r="DVO6" i="20" a="1"/>
  <c r="DVO6" i="20" s="1"/>
  <c r="DVN6" i="20"/>
  <c r="DVN6" i="20" a="1"/>
  <c r="DVM6" i="20"/>
  <c r="DVM6" i="20" a="1"/>
  <c r="DVL6" i="20"/>
  <c r="DVL6" i="20" a="1"/>
  <c r="DVK6" i="20" a="1"/>
  <c r="DVK6" i="20" s="1"/>
  <c r="DVJ6" i="20"/>
  <c r="DVJ6" i="20" a="1"/>
  <c r="DVI6" i="20" a="1"/>
  <c r="DVI6" i="20" s="1"/>
  <c r="DVH6" i="20" a="1"/>
  <c r="DVH6" i="20" s="1"/>
  <c r="DVG6" i="20" a="1"/>
  <c r="DVG6" i="20" s="1"/>
  <c r="DVF6" i="20" a="1"/>
  <c r="DVF6" i="20" s="1"/>
  <c r="DVE6" i="20" a="1"/>
  <c r="DVE6" i="20" s="1"/>
  <c r="DVD6" i="20"/>
  <c r="DVD6" i="20" a="1"/>
  <c r="DVC6" i="20" a="1"/>
  <c r="DVC6" i="20" s="1"/>
  <c r="DVB6" i="20"/>
  <c r="DVB6" i="20" a="1"/>
  <c r="DVA6" i="20"/>
  <c r="DVA6" i="20" a="1"/>
  <c r="DUZ6" i="20"/>
  <c r="DUZ6" i="20" a="1"/>
  <c r="DUY6" i="20"/>
  <c r="DUY6" i="20" a="1"/>
  <c r="DUX6" i="20" a="1"/>
  <c r="DUX6" i="20" s="1"/>
  <c r="DUW6" i="20" a="1"/>
  <c r="DUW6" i="20" s="1"/>
  <c r="DUV6" i="20" a="1"/>
  <c r="DUV6" i="20" s="1"/>
  <c r="DUU6" i="20" a="1"/>
  <c r="DUU6" i="20" s="1"/>
  <c r="DUT6" i="20" a="1"/>
  <c r="DUT6" i="20" s="1"/>
  <c r="DUS6" i="20" a="1"/>
  <c r="DUS6" i="20" s="1"/>
  <c r="DUR6" i="20" a="1"/>
  <c r="DUR6" i="20" s="1"/>
  <c r="DUQ6" i="20" a="1"/>
  <c r="DUQ6" i="20" s="1"/>
  <c r="DUP6" i="20"/>
  <c r="DUP6" i="20" a="1"/>
  <c r="DUO6" i="20"/>
  <c r="DUO6" i="20" a="1"/>
  <c r="DUN6" i="20"/>
  <c r="DUN6" i="20" a="1"/>
  <c r="DUM6" i="20"/>
  <c r="DUM6" i="20" a="1"/>
  <c r="DUL6" i="20"/>
  <c r="DUL6" i="20" a="1"/>
  <c r="DUK6" i="20" a="1"/>
  <c r="DUK6" i="20" s="1"/>
  <c r="DUJ6" i="20"/>
  <c r="DUJ6" i="20" a="1"/>
  <c r="DUI6" i="20" a="1"/>
  <c r="DUI6" i="20" s="1"/>
  <c r="DUH6" i="20" a="1"/>
  <c r="DUH6" i="20" s="1"/>
  <c r="DUG6" i="20" a="1"/>
  <c r="DUG6" i="20" s="1"/>
  <c r="DUF6" i="20" a="1"/>
  <c r="DUF6" i="20" s="1"/>
  <c r="DUE6" i="20" a="1"/>
  <c r="DUE6" i="20" s="1"/>
  <c r="DUD6" i="20" a="1"/>
  <c r="DUD6" i="20" s="1"/>
  <c r="DUC6" i="20" a="1"/>
  <c r="DUC6" i="20" s="1"/>
  <c r="DUB6" i="20"/>
  <c r="DUB6" i="20" a="1"/>
  <c r="DUA6" i="20"/>
  <c r="DUA6" i="20" a="1"/>
  <c r="DTZ6" i="20"/>
  <c r="DTZ6" i="20" a="1"/>
  <c r="DTY6" i="20" a="1"/>
  <c r="DTY6" i="20" s="1"/>
  <c r="DTX6" i="20" a="1"/>
  <c r="DTX6" i="20" s="1"/>
  <c r="DTW6" i="20" a="1"/>
  <c r="DTW6" i="20" s="1"/>
  <c r="DTV6" i="20" a="1"/>
  <c r="DTV6" i="20" s="1"/>
  <c r="DTU6" i="20" a="1"/>
  <c r="DTU6" i="20" s="1"/>
  <c r="DTT6" i="20" a="1"/>
  <c r="DTT6" i="20" s="1"/>
  <c r="DTS6" i="20" a="1"/>
  <c r="DTS6" i="20" s="1"/>
  <c r="DTR6" i="20"/>
  <c r="DTR6" i="20" a="1"/>
  <c r="DTQ6" i="20" a="1"/>
  <c r="DTQ6" i="20" s="1"/>
  <c r="DTP6" i="20"/>
  <c r="DTP6" i="20" a="1"/>
  <c r="DTO6" i="20"/>
  <c r="DTO6" i="20" a="1"/>
  <c r="DTN6" i="20"/>
  <c r="DTN6" i="20" a="1"/>
  <c r="DTM6" i="20" a="1"/>
  <c r="DTM6" i="20" s="1"/>
  <c r="DTL6" i="20" a="1"/>
  <c r="DTL6" i="20" s="1"/>
  <c r="DTK6" i="20" a="1"/>
  <c r="DTK6" i="20" s="1"/>
  <c r="DTJ6" i="20" a="1"/>
  <c r="DTJ6" i="20" s="1"/>
  <c r="DTI6" i="20" a="1"/>
  <c r="DTI6" i="20" s="1"/>
  <c r="DTH6" i="20" a="1"/>
  <c r="DTH6" i="20" s="1"/>
  <c r="DTG6" i="20" a="1"/>
  <c r="DTG6" i="20" s="1"/>
  <c r="DTF6" i="20"/>
  <c r="DTF6" i="20" a="1"/>
  <c r="DTE6" i="20"/>
  <c r="DTE6" i="20" a="1"/>
  <c r="DTD6" i="20" a="1"/>
  <c r="DTD6" i="20" s="1"/>
  <c r="DTC6" i="20"/>
  <c r="DTC6" i="20" a="1"/>
  <c r="DTB6" i="20"/>
  <c r="DTB6" i="20" a="1"/>
  <c r="DTA6" i="20" a="1"/>
  <c r="DTA6" i="20" s="1"/>
  <c r="DSZ6" i="20" a="1"/>
  <c r="DSZ6" i="20" s="1"/>
  <c r="DSY6" i="20" a="1"/>
  <c r="DSY6" i="20" s="1"/>
  <c r="DSX6" i="20" a="1"/>
  <c r="DSX6" i="20" s="1"/>
  <c r="DSW6" i="20" a="1"/>
  <c r="DSW6" i="20" s="1"/>
  <c r="DSV6" i="20" a="1"/>
  <c r="DSV6" i="20" s="1"/>
  <c r="DSU6" i="20" a="1"/>
  <c r="DSU6" i="20" s="1"/>
  <c r="DST6" i="20"/>
  <c r="DST6" i="20" a="1"/>
  <c r="DSS6" i="20"/>
  <c r="DSS6" i="20" a="1"/>
  <c r="DSR6" i="20"/>
  <c r="DSR6" i="20" a="1"/>
  <c r="DSQ6" i="20" a="1"/>
  <c r="DSQ6" i="20" s="1"/>
  <c r="DSP6" i="20" a="1"/>
  <c r="DSP6" i="20" s="1"/>
  <c r="DSO6" i="20" a="1"/>
  <c r="DSO6" i="20" s="1"/>
  <c r="DSN6" i="20" a="1"/>
  <c r="DSN6" i="20" s="1"/>
  <c r="DSM6" i="20" a="1"/>
  <c r="DSM6" i="20" s="1"/>
  <c r="DSL6" i="20" a="1"/>
  <c r="DSL6" i="20" s="1"/>
  <c r="DSK6" i="20" a="1"/>
  <c r="DSK6" i="20" s="1"/>
  <c r="DSJ6" i="20" a="1"/>
  <c r="DSJ6" i="20" s="1"/>
  <c r="DSI6" i="20" a="1"/>
  <c r="DSI6" i="20" s="1"/>
  <c r="DSH6" i="20"/>
  <c r="DSH6" i="20" a="1"/>
  <c r="DSG6" i="20"/>
  <c r="DSG6" i="20" a="1"/>
  <c r="DSF6" i="20"/>
  <c r="DSF6" i="20" a="1"/>
  <c r="DSE6" i="20"/>
  <c r="DSE6" i="20" a="1"/>
  <c r="DSD6" i="20" a="1"/>
  <c r="DSD6" i="20" s="1"/>
  <c r="DSC6" i="20" a="1"/>
  <c r="DSC6" i="20" s="1"/>
  <c r="DSB6" i="20"/>
  <c r="DSB6" i="20" a="1"/>
  <c r="DSA6" i="20" a="1"/>
  <c r="DSA6" i="20" s="1"/>
  <c r="DRZ6" i="20" a="1"/>
  <c r="DRZ6" i="20" s="1"/>
  <c r="DRY6" i="20" a="1"/>
  <c r="DRY6" i="20" s="1"/>
  <c r="DRX6" i="20" a="1"/>
  <c r="DRX6" i="20" s="1"/>
  <c r="DRW6" i="20" a="1"/>
  <c r="DRW6" i="20" s="1"/>
  <c r="DRV6" i="20"/>
  <c r="DRV6" i="20" a="1"/>
  <c r="DRU6" i="20"/>
  <c r="DRU6" i="20" a="1"/>
  <c r="DRT6" i="20"/>
  <c r="DRT6" i="20" a="1"/>
  <c r="DRS6" i="20"/>
  <c r="DRS6" i="20" a="1"/>
  <c r="DRR6" i="20"/>
  <c r="DRR6" i="20" a="1"/>
  <c r="DRQ6" i="20" a="1"/>
  <c r="DRQ6" i="20" s="1"/>
  <c r="DRP6" i="20" a="1"/>
  <c r="DRP6" i="20" s="1"/>
  <c r="DRO6" i="20"/>
  <c r="DRO6" i="20" a="1"/>
  <c r="DRN6" i="20" a="1"/>
  <c r="DRN6" i="20" s="1"/>
  <c r="DRM6" i="20" a="1"/>
  <c r="DRM6" i="20" s="1"/>
  <c r="DRL6" i="20" a="1"/>
  <c r="DRL6" i="20" s="1"/>
  <c r="DRK6" i="20" a="1"/>
  <c r="DRK6" i="20" s="1"/>
  <c r="DRJ6" i="20" a="1"/>
  <c r="DRJ6" i="20" s="1"/>
  <c r="DRI6" i="20"/>
  <c r="DRI6" i="20" a="1"/>
  <c r="DRH6" i="20"/>
  <c r="DRH6" i="20" a="1"/>
  <c r="DRG6" i="20"/>
  <c r="DRG6" i="20" a="1"/>
  <c r="DRF6" i="20"/>
  <c r="DRF6" i="20" a="1"/>
  <c r="DRE6" i="20" a="1"/>
  <c r="DRE6" i="20" s="1"/>
  <c r="DRD6" i="20" a="1"/>
  <c r="DRD6" i="20" s="1"/>
  <c r="DRC6" i="20" a="1"/>
  <c r="DRC6" i="20" s="1"/>
  <c r="DRB6" i="20"/>
  <c r="DRB6" i="20" a="1"/>
  <c r="DRA6" i="20" a="1"/>
  <c r="DRA6" i="20" s="1"/>
  <c r="DQZ6" i="20" a="1"/>
  <c r="DQZ6" i="20" s="1"/>
  <c r="DQY6" i="20" a="1"/>
  <c r="DQY6" i="20" s="1"/>
  <c r="DQX6" i="20"/>
  <c r="DQX6" i="20" a="1"/>
  <c r="DQW6" i="20" a="1"/>
  <c r="DQW6" i="20" s="1"/>
  <c r="DQV6" i="20" a="1"/>
  <c r="DQV6" i="20" s="1"/>
  <c r="DQU6" i="20"/>
  <c r="DQU6" i="20" a="1"/>
  <c r="DQT6" i="20"/>
  <c r="DQT6" i="20" a="1"/>
  <c r="DQS6" i="20" a="1"/>
  <c r="DQS6" i="20" s="1"/>
  <c r="DQR6" i="20" a="1"/>
  <c r="DQR6" i="20" s="1"/>
  <c r="DQQ6" i="20" a="1"/>
  <c r="DQQ6" i="20" s="1"/>
  <c r="DQP6" i="20" a="1"/>
  <c r="DQP6" i="20" s="1"/>
  <c r="DQO6" i="20"/>
  <c r="DQO6" i="20" a="1"/>
  <c r="DQN6" i="20" a="1"/>
  <c r="DQN6" i="20" s="1"/>
  <c r="DQM6" i="20" a="1"/>
  <c r="DQM6" i="20" s="1"/>
  <c r="DQL6" i="20"/>
  <c r="DQL6" i="20" a="1"/>
  <c r="DQK6" i="20"/>
  <c r="DQK6" i="20" a="1"/>
  <c r="DQJ6" i="20" a="1"/>
  <c r="DQJ6" i="20" s="1"/>
  <c r="DQI6" i="20"/>
  <c r="DQI6" i="20" a="1"/>
  <c r="DQH6" i="20"/>
  <c r="DQH6" i="20" a="1"/>
  <c r="DQG6" i="20" a="1"/>
  <c r="DQG6" i="20" s="1"/>
  <c r="DQF6" i="20" a="1"/>
  <c r="DQF6" i="20" s="1"/>
  <c r="DQE6" i="20" a="1"/>
  <c r="DQE6" i="20" s="1"/>
  <c r="DQD6" i="20" a="1"/>
  <c r="DQD6" i="20" s="1"/>
  <c r="DQC6" i="20"/>
  <c r="DQC6" i="20" a="1"/>
  <c r="DQB6" i="20"/>
  <c r="DQB6" i="20" a="1"/>
  <c r="DQA6" i="20" a="1"/>
  <c r="DQA6" i="20" s="1"/>
  <c r="DPZ6" i="20"/>
  <c r="DPZ6" i="20" a="1"/>
  <c r="DPY6" i="20"/>
  <c r="DPY6" i="20" a="1"/>
  <c r="DPX6" i="20"/>
  <c r="DPX6" i="20" a="1"/>
  <c r="DPW6" i="20" a="1"/>
  <c r="DPW6" i="20" s="1"/>
  <c r="DPV6" i="20"/>
  <c r="DPV6" i="20" a="1"/>
  <c r="DPU6" i="20" a="1"/>
  <c r="DPU6" i="20" s="1"/>
  <c r="DPT6" i="20" a="1"/>
  <c r="DPT6" i="20" s="1"/>
  <c r="DPS6" i="20" a="1"/>
  <c r="DPS6" i="20" s="1"/>
  <c r="DPR6" i="20" a="1"/>
  <c r="DPR6" i="20" s="1"/>
  <c r="DPQ6" i="20" a="1"/>
  <c r="DPQ6" i="20" s="1"/>
  <c r="DPP6" i="20"/>
  <c r="DPP6" i="20" a="1"/>
  <c r="DPO6" i="20" a="1"/>
  <c r="DPO6" i="20" s="1"/>
  <c r="DPN6" i="20"/>
  <c r="DPN6" i="20" a="1"/>
  <c r="DPM6" i="20"/>
  <c r="DPM6" i="20" a="1"/>
  <c r="DPL6" i="20"/>
  <c r="DPL6" i="20" a="1"/>
  <c r="DPK6" i="20"/>
  <c r="DPK6" i="20" a="1"/>
  <c r="DPJ6" i="20" a="1"/>
  <c r="DPJ6" i="20" s="1"/>
  <c r="DPI6" i="20" a="1"/>
  <c r="DPI6" i="20" s="1"/>
  <c r="DPH6" i="20" a="1"/>
  <c r="DPH6" i="20" s="1"/>
  <c r="DPG6" i="20" a="1"/>
  <c r="DPG6" i="20" s="1"/>
  <c r="DPF6" i="20" a="1"/>
  <c r="DPF6" i="20" s="1"/>
  <c r="DPE6" i="20" a="1"/>
  <c r="DPE6" i="20" s="1"/>
  <c r="DPD6" i="20" a="1"/>
  <c r="DPD6" i="20" s="1"/>
  <c r="DPC6" i="20" a="1"/>
  <c r="DPC6" i="20" s="1"/>
  <c r="DPB6" i="20"/>
  <c r="DPB6" i="20" a="1"/>
  <c r="DPA6" i="20"/>
  <c r="DPA6" i="20" a="1"/>
  <c r="DOZ6" i="20"/>
  <c r="DOZ6" i="20" a="1"/>
  <c r="DOY6" i="20"/>
  <c r="DOY6" i="20" a="1"/>
  <c r="DOX6" i="20"/>
  <c r="DOX6" i="20" a="1"/>
  <c r="DOW6" i="20" a="1"/>
  <c r="DOW6" i="20" s="1"/>
  <c r="DOV6" i="20"/>
  <c r="DOV6" i="20" a="1"/>
  <c r="DOU6" i="20"/>
  <c r="DOU6" i="20" a="1"/>
  <c r="DOT6" i="20" a="1"/>
  <c r="DOT6" i="20" s="1"/>
  <c r="DOS6" i="20" a="1"/>
  <c r="DOS6" i="20" s="1"/>
  <c r="DOR6" i="20" a="1"/>
  <c r="DOR6" i="20" s="1"/>
  <c r="DOQ6" i="20" a="1"/>
  <c r="DOQ6" i="20" s="1"/>
  <c r="DOP6" i="20" a="1"/>
  <c r="DOP6" i="20" s="1"/>
  <c r="DOO6" i="20"/>
  <c r="DOO6" i="20" a="1"/>
  <c r="DON6" i="20"/>
  <c r="DON6" i="20" a="1"/>
  <c r="DOM6" i="20"/>
  <c r="DOM6" i="20" a="1"/>
  <c r="DOL6" i="20"/>
  <c r="DOL6" i="20" a="1"/>
  <c r="DOK6" i="20" a="1"/>
  <c r="DOK6" i="20" s="1"/>
  <c r="DOJ6" i="20" a="1"/>
  <c r="DOJ6" i="20" s="1"/>
  <c r="DOI6" i="20" a="1"/>
  <c r="DOI6" i="20" s="1"/>
  <c r="DOH6" i="20"/>
  <c r="DOH6" i="20" a="1"/>
  <c r="DOG6" i="20" a="1"/>
  <c r="DOG6" i="20" s="1"/>
  <c r="DOF6" i="20" a="1"/>
  <c r="DOF6" i="20" s="1"/>
  <c r="DOE6" i="20" a="1"/>
  <c r="DOE6" i="20" s="1"/>
  <c r="DOD6" i="20"/>
  <c r="DOD6" i="20" a="1"/>
  <c r="DOC6" i="20"/>
  <c r="DOC6" i="20" a="1"/>
  <c r="DOB6" i="20"/>
  <c r="DOB6" i="20" a="1"/>
  <c r="DOA6" i="20"/>
  <c r="DOA6" i="20" a="1"/>
  <c r="DNZ6" i="20"/>
  <c r="DNZ6" i="20" a="1"/>
  <c r="DNY6" i="20" a="1"/>
  <c r="DNY6" i="20" s="1"/>
  <c r="DNX6" i="20" a="1"/>
  <c r="DNX6" i="20" s="1"/>
  <c r="DNW6" i="20" a="1"/>
  <c r="DNW6" i="20" s="1"/>
  <c r="DNV6" i="20" a="1"/>
  <c r="DNV6" i="20" s="1"/>
  <c r="DNU6" i="20" a="1"/>
  <c r="DNU6" i="20" s="1"/>
  <c r="DNT6" i="20" a="1"/>
  <c r="DNT6" i="20" s="1"/>
  <c r="DNS6" i="20" a="1"/>
  <c r="DNS6" i="20" s="1"/>
  <c r="DNR6" i="20"/>
  <c r="DNR6" i="20" a="1"/>
  <c r="DNQ6" i="20"/>
  <c r="DNQ6" i="20" a="1"/>
  <c r="DNP6" i="20"/>
  <c r="DNP6" i="20" a="1"/>
  <c r="DNO6" i="20" a="1"/>
  <c r="DNO6" i="20" s="1"/>
  <c r="DNN6" i="20"/>
  <c r="DNN6" i="20" a="1"/>
  <c r="DNM6" i="20" a="1"/>
  <c r="DNM6" i="20" s="1"/>
  <c r="DNL6" i="20" a="1"/>
  <c r="DNL6" i="20" s="1"/>
  <c r="DNK6" i="20" a="1"/>
  <c r="DNK6" i="20" s="1"/>
  <c r="DNJ6" i="20" a="1"/>
  <c r="DNJ6" i="20" s="1"/>
  <c r="DNI6" i="20"/>
  <c r="DNI6" i="20" a="1"/>
  <c r="DNH6" i="20"/>
  <c r="DNH6" i="20" a="1"/>
  <c r="DNG6" i="20" a="1"/>
  <c r="DNG6" i="20" s="1"/>
  <c r="DNF6" i="20"/>
  <c r="DNF6" i="20" a="1"/>
  <c r="DNE6" i="20"/>
  <c r="DNE6" i="20" a="1"/>
  <c r="DND6" i="20"/>
  <c r="DND6" i="20" a="1"/>
  <c r="DNC6" i="20" a="1"/>
  <c r="DNC6" i="20" s="1"/>
  <c r="DNB6" i="20"/>
  <c r="DNB6" i="20" a="1"/>
  <c r="DNA6" i="20" a="1"/>
  <c r="DNA6" i="20" s="1"/>
  <c r="DMZ6" i="20" a="1"/>
  <c r="DMZ6" i="20" s="1"/>
  <c r="DMY6" i="20" a="1"/>
  <c r="DMY6" i="20" s="1"/>
  <c r="DMX6" i="20" a="1"/>
  <c r="DMX6" i="20" s="1"/>
  <c r="DMW6" i="20" a="1"/>
  <c r="DMW6" i="20" s="1"/>
  <c r="DMV6" i="20"/>
  <c r="DMV6" i="20" a="1"/>
  <c r="DMU6" i="20" a="1"/>
  <c r="DMU6" i="20" s="1"/>
  <c r="DMT6" i="20"/>
  <c r="DMT6" i="20" a="1"/>
  <c r="DMS6" i="20"/>
  <c r="DMS6" i="20" a="1"/>
  <c r="DMR6" i="20"/>
  <c r="DMR6" i="20" a="1"/>
  <c r="DMQ6" i="20"/>
  <c r="DMQ6" i="20" a="1"/>
  <c r="DMP6" i="20"/>
  <c r="DMP6" i="20" a="1"/>
  <c r="DMO6" i="20" a="1"/>
  <c r="DMO6" i="20" s="1"/>
  <c r="DMN6" i="20"/>
  <c r="DMN6" i="20" a="1"/>
  <c r="DMM6" i="20" a="1"/>
  <c r="DMM6" i="20" s="1"/>
  <c r="DML6" i="20" a="1"/>
  <c r="DML6" i="20" s="1"/>
  <c r="DMK6" i="20" a="1"/>
  <c r="DMK6" i="20" s="1"/>
  <c r="DMJ6" i="20" a="1"/>
  <c r="DMJ6" i="20" s="1"/>
  <c r="DMI6" i="20" a="1"/>
  <c r="DMI6" i="20" s="1"/>
  <c r="DMH6" i="20"/>
  <c r="DMH6" i="20" a="1"/>
  <c r="DMG6" i="20"/>
  <c r="DMG6" i="20" a="1"/>
  <c r="DMF6" i="20"/>
  <c r="DMF6" i="20" a="1"/>
  <c r="DME6" i="20"/>
  <c r="DME6" i="20" a="1"/>
  <c r="DMD6" i="20"/>
  <c r="DMD6" i="20" a="1"/>
  <c r="DMC6" i="20" a="1"/>
  <c r="DMC6" i="20" s="1"/>
  <c r="DMB6" i="20" a="1"/>
  <c r="DMB6" i="20" s="1"/>
  <c r="DMA6" i="20" a="1"/>
  <c r="DMA6" i="20" s="1"/>
  <c r="DLZ6" i="20" a="1"/>
  <c r="DLZ6" i="20" s="1"/>
  <c r="DLY6" i="20" a="1"/>
  <c r="DLY6" i="20" s="1"/>
  <c r="DLX6" i="20" a="1"/>
  <c r="DLX6" i="20" s="1"/>
  <c r="DLW6" i="20" a="1"/>
  <c r="DLW6" i="20" s="1"/>
  <c r="DLV6" i="20"/>
  <c r="DLV6" i="20" a="1"/>
  <c r="DLU6" i="20"/>
  <c r="DLU6" i="20" a="1"/>
  <c r="DLT6" i="20"/>
  <c r="DLT6" i="20" a="1"/>
  <c r="DLS6" i="20"/>
  <c r="DLS6" i="20" a="1"/>
  <c r="DLR6" i="20"/>
  <c r="DLR6" i="20" a="1"/>
  <c r="DLQ6" i="20" a="1"/>
  <c r="DLQ6" i="20" s="1"/>
  <c r="DLP6" i="20" a="1"/>
  <c r="DLP6" i="20" s="1"/>
  <c r="DLO6" i="20"/>
  <c r="DLO6" i="20" a="1"/>
  <c r="DLN6" i="20" a="1"/>
  <c r="DLN6" i="20" s="1"/>
  <c r="DLM6" i="20" a="1"/>
  <c r="DLM6" i="20" s="1"/>
  <c r="DLL6" i="20" a="1"/>
  <c r="DLL6" i="20" s="1"/>
  <c r="DLK6" i="20" a="1"/>
  <c r="DLK6" i="20" s="1"/>
  <c r="DLJ6" i="20"/>
  <c r="DLJ6" i="20" a="1"/>
  <c r="DLI6" i="20"/>
  <c r="DLI6" i="20" a="1"/>
  <c r="DLH6" i="20" a="1"/>
  <c r="DLH6" i="20" s="1"/>
  <c r="DLG6" i="20"/>
  <c r="DLG6" i="20" a="1"/>
  <c r="DLF6" i="20"/>
  <c r="DLF6" i="20" a="1"/>
  <c r="DLE6" i="20" a="1"/>
  <c r="DLE6" i="20" s="1"/>
  <c r="DLD6" i="20" a="1"/>
  <c r="DLD6" i="20" s="1"/>
  <c r="DLC6" i="20" a="1"/>
  <c r="DLC6" i="20" s="1"/>
  <c r="DLB6" i="20" a="1"/>
  <c r="DLB6" i="20" s="1"/>
  <c r="DLA6" i="20"/>
  <c r="DLA6" i="20" a="1"/>
  <c r="DKZ6" i="20" a="1"/>
  <c r="DKZ6" i="20" s="1"/>
  <c r="DKY6" i="20" a="1"/>
  <c r="DKY6" i="20" s="1"/>
  <c r="DKX6" i="20"/>
  <c r="DKX6" i="20" a="1"/>
  <c r="DKW6" i="20"/>
  <c r="DKW6" i="20" a="1"/>
  <c r="DKV6" i="20" a="1"/>
  <c r="DKV6" i="20" s="1"/>
  <c r="DKU6" i="20" a="1"/>
  <c r="DKU6" i="20" s="1"/>
  <c r="DKT6" i="20"/>
  <c r="DKT6" i="20" a="1"/>
  <c r="DKS6" i="20" a="1"/>
  <c r="DKS6" i="20" s="1"/>
  <c r="DKR6" i="20" a="1"/>
  <c r="DKR6" i="20" s="1"/>
  <c r="DKQ6" i="20" a="1"/>
  <c r="DKQ6" i="20" s="1"/>
  <c r="DKP6" i="20" a="1"/>
  <c r="DKP6" i="20" s="1"/>
  <c r="DKO6" i="20" a="1"/>
  <c r="DKO6" i="20" s="1"/>
  <c r="DKN6" i="20" a="1"/>
  <c r="DKN6" i="20" s="1"/>
  <c r="DKM6" i="20" a="1"/>
  <c r="DKM6" i="20" s="1"/>
  <c r="DKL6" i="20"/>
  <c r="DKL6" i="20" a="1"/>
  <c r="DKK6" i="20"/>
  <c r="DKK6" i="20" a="1"/>
  <c r="DKJ6" i="20"/>
  <c r="DKJ6" i="20" a="1"/>
  <c r="DKI6" i="20"/>
  <c r="DKI6" i="20" a="1"/>
  <c r="DKH6" i="20" a="1"/>
  <c r="DKH6" i="20" s="1"/>
  <c r="DKG6" i="20" a="1"/>
  <c r="DKG6" i="20" s="1"/>
  <c r="DKF6" i="20" a="1"/>
  <c r="DKF6" i="20" s="1"/>
  <c r="DKE6" i="20" a="1"/>
  <c r="DKE6" i="20" s="1"/>
  <c r="DKD6" i="20" a="1"/>
  <c r="DKD6" i="20" s="1"/>
  <c r="DKC6" i="20" a="1"/>
  <c r="DKC6" i="20" s="1"/>
  <c r="DKB6" i="20"/>
  <c r="DKB6" i="20" a="1"/>
  <c r="DKA6" i="20" a="1"/>
  <c r="DKA6" i="20" s="1"/>
  <c r="DJZ6" i="20"/>
  <c r="DJZ6" i="20" a="1"/>
  <c r="DJY6" i="20"/>
  <c r="DJY6" i="20" a="1"/>
  <c r="DJX6" i="20"/>
  <c r="DJX6" i="20" a="1"/>
  <c r="DJW6" i="20"/>
  <c r="DJW6" i="20" a="1"/>
  <c r="DJV6" i="20" a="1"/>
  <c r="DJV6" i="20" s="1"/>
  <c r="DJU6" i="20" a="1"/>
  <c r="DJU6" i="20" s="1"/>
  <c r="DJT6" i="20" a="1"/>
  <c r="DJT6" i="20" s="1"/>
  <c r="DJS6" i="20" a="1"/>
  <c r="DJS6" i="20" s="1"/>
  <c r="DJR6" i="20" a="1"/>
  <c r="DJR6" i="20" s="1"/>
  <c r="DJQ6" i="20" a="1"/>
  <c r="DJQ6" i="20" s="1"/>
  <c r="DJP6" i="20" a="1"/>
  <c r="DJP6" i="20" s="1"/>
  <c r="DJO6" i="20" a="1"/>
  <c r="DJO6" i="20" s="1"/>
  <c r="DJN6" i="20"/>
  <c r="DJN6" i="20" a="1"/>
  <c r="DJM6" i="20" a="1"/>
  <c r="DJM6" i="20" s="1"/>
  <c r="DJL6" i="20" a="1"/>
  <c r="DJL6" i="20" s="1"/>
  <c r="DJK6" i="20" a="1"/>
  <c r="DJK6" i="20" s="1"/>
  <c r="DJJ6" i="20" a="1"/>
  <c r="DJJ6" i="20" s="1"/>
  <c r="DJI6" i="20" a="1"/>
  <c r="DJI6" i="20" s="1"/>
  <c r="DJH6" i="20"/>
  <c r="DJH6" i="20" a="1"/>
  <c r="DJG6" i="20" a="1"/>
  <c r="DJG6" i="20" s="1"/>
  <c r="DJF6" i="20" a="1"/>
  <c r="DJF6" i="20" s="1"/>
  <c r="DJE6" i="20" a="1"/>
  <c r="DJE6" i="20" s="1"/>
  <c r="DJD6" i="20" a="1"/>
  <c r="DJD6" i="20" s="1"/>
  <c r="DJC6" i="20"/>
  <c r="DJC6" i="20" a="1"/>
  <c r="DJB6" i="20" a="1"/>
  <c r="DJB6" i="20" s="1"/>
  <c r="DJA6" i="20" a="1"/>
  <c r="DJA6" i="20" s="1"/>
  <c r="DIZ6" i="20" a="1"/>
  <c r="DIZ6" i="20" s="1"/>
  <c r="DIY6" i="20" a="1"/>
  <c r="DIY6" i="20" s="1"/>
  <c r="DIX6" i="20" a="1"/>
  <c r="DIX6" i="20" s="1"/>
  <c r="DIW6" i="20" a="1"/>
  <c r="DIW6" i="20" s="1"/>
  <c r="DIV6" i="20"/>
  <c r="DIV6" i="20" a="1"/>
  <c r="DIU6" i="20" a="1"/>
  <c r="DIU6" i="20" s="1"/>
  <c r="DIT6" i="20" a="1"/>
  <c r="DIT6" i="20" s="1"/>
  <c r="DIS6" i="20" a="1"/>
  <c r="DIS6" i="20" s="1"/>
  <c r="DIR6" i="20" a="1"/>
  <c r="DIR6" i="20" s="1"/>
  <c r="DIQ6" i="20" a="1"/>
  <c r="DIQ6" i="20" s="1"/>
  <c r="DIP6" i="20"/>
  <c r="DIP6" i="20" a="1"/>
  <c r="DIO6" i="20" a="1"/>
  <c r="DIO6" i="20" s="1"/>
  <c r="DIN6" i="20" a="1"/>
  <c r="DIN6" i="20" s="1"/>
  <c r="DIM6" i="20" a="1"/>
  <c r="DIM6" i="20" s="1"/>
  <c r="DIL6" i="20" a="1"/>
  <c r="DIL6" i="20" s="1"/>
  <c r="DIK6" i="20"/>
  <c r="DIK6" i="20" a="1"/>
  <c r="DIJ6" i="20" a="1"/>
  <c r="DIJ6" i="20" s="1"/>
  <c r="DII6" i="20" a="1"/>
  <c r="DII6" i="20" s="1"/>
  <c r="DIH6" i="20" a="1"/>
  <c r="DIH6" i="20" s="1"/>
  <c r="DIG6" i="20" a="1"/>
  <c r="DIG6" i="20" s="1"/>
  <c r="DIF6" i="20" a="1"/>
  <c r="DIF6" i="20" s="1"/>
  <c r="DIE6" i="20"/>
  <c r="DIE6" i="20" a="1"/>
  <c r="DID6" i="20"/>
  <c r="DID6" i="20" a="1"/>
  <c r="DIC6" i="20" a="1"/>
  <c r="DIC6" i="20" s="1"/>
  <c r="DIB6" i="20" a="1"/>
  <c r="DIB6" i="20" s="1"/>
  <c r="DIA6" i="20" a="1"/>
  <c r="DIA6" i="20" s="1"/>
  <c r="DHZ6" i="20" a="1"/>
  <c r="DHZ6" i="20" s="1"/>
  <c r="DHY6" i="20" a="1"/>
  <c r="DHY6" i="20" s="1"/>
  <c r="DHX6" i="20"/>
  <c r="DHX6" i="20" a="1"/>
  <c r="DHW6" i="20" a="1"/>
  <c r="DHW6" i="20" s="1"/>
  <c r="DHV6" i="20" a="1"/>
  <c r="DHV6" i="20" s="1"/>
  <c r="DHU6" i="20" a="1"/>
  <c r="DHU6" i="20" s="1"/>
  <c r="DHT6" i="20" a="1"/>
  <c r="DHT6" i="20" s="1"/>
  <c r="DHS6" i="20" a="1"/>
  <c r="DHS6" i="20" s="1"/>
  <c r="DHR6" i="20" a="1"/>
  <c r="DHR6" i="20" s="1"/>
  <c r="DHQ6" i="20" a="1"/>
  <c r="DHQ6" i="20" s="1"/>
  <c r="DHP6" i="20" a="1"/>
  <c r="DHP6" i="20" s="1"/>
  <c r="DHO6" i="20" a="1"/>
  <c r="DHO6" i="20" s="1"/>
  <c r="DHN6" i="20" a="1"/>
  <c r="DHN6" i="20" s="1"/>
  <c r="DHM6" i="20"/>
  <c r="DHM6" i="20" a="1"/>
  <c r="DHL6" i="20"/>
  <c r="DHL6" i="20" a="1"/>
  <c r="DHK6" i="20" a="1"/>
  <c r="DHK6" i="20" s="1"/>
  <c r="DHJ6" i="20" a="1"/>
  <c r="DHJ6" i="20" s="1"/>
  <c r="DHI6" i="20" a="1"/>
  <c r="DHI6" i="20" s="1"/>
  <c r="DHH6" i="20" a="1"/>
  <c r="DHH6" i="20" s="1"/>
  <c r="DHG6" i="20" a="1"/>
  <c r="DHG6" i="20" s="1"/>
  <c r="DHF6" i="20"/>
  <c r="DHF6" i="20" a="1"/>
  <c r="DHE6" i="20" a="1"/>
  <c r="DHE6" i="20" s="1"/>
  <c r="DHD6" i="20" a="1"/>
  <c r="DHD6" i="20" s="1"/>
  <c r="DHC6" i="20" a="1"/>
  <c r="DHC6" i="20" s="1"/>
  <c r="DHB6" i="20" a="1"/>
  <c r="DHB6" i="20" s="1"/>
  <c r="DHA6" i="20" a="1"/>
  <c r="DHA6" i="20" s="1"/>
  <c r="DGZ6" i="20" a="1"/>
  <c r="DGZ6" i="20" s="1"/>
  <c r="DGY6" i="20" a="1"/>
  <c r="DGY6" i="20" s="1"/>
  <c r="DGX6" i="20" a="1"/>
  <c r="DGX6" i="20" s="1"/>
  <c r="DGW6" i="20" a="1"/>
  <c r="DGW6" i="20" s="1"/>
  <c r="DGV6" i="20" a="1"/>
  <c r="DGV6" i="20" s="1"/>
  <c r="DGU6" i="20"/>
  <c r="DGU6" i="20" a="1"/>
  <c r="DGT6" i="20"/>
  <c r="DGT6" i="20" a="1"/>
  <c r="DGS6" i="20" a="1"/>
  <c r="DGS6" i="20" s="1"/>
  <c r="DGR6" i="20" a="1"/>
  <c r="DGR6" i="20" s="1"/>
  <c r="DGQ6" i="20" a="1"/>
  <c r="DGQ6" i="20" s="1"/>
  <c r="DGP6" i="20" a="1"/>
  <c r="DGP6" i="20" s="1"/>
  <c r="DGO6" i="20" a="1"/>
  <c r="DGO6" i="20" s="1"/>
  <c r="DGN6" i="20" a="1"/>
  <c r="DGN6" i="20" s="1"/>
  <c r="DGM6" i="20" a="1"/>
  <c r="DGM6" i="20" s="1"/>
  <c r="DGL6" i="20" a="1"/>
  <c r="DGL6" i="20" s="1"/>
  <c r="DGK6" i="20" a="1"/>
  <c r="DGK6" i="20" s="1"/>
  <c r="DGJ6" i="20" a="1"/>
  <c r="DGJ6" i="20" s="1"/>
  <c r="DGI6" i="20" a="1"/>
  <c r="DGI6" i="20" s="1"/>
  <c r="DGH6" i="20" a="1"/>
  <c r="DGH6" i="20" s="1"/>
  <c r="DGG6" i="20" a="1"/>
  <c r="DGG6" i="20" s="1"/>
  <c r="DGF6" i="20" a="1"/>
  <c r="DGF6" i="20" s="1"/>
  <c r="DGE6" i="20" a="1"/>
  <c r="DGE6" i="20" s="1"/>
  <c r="DGD6" i="20" a="1"/>
  <c r="DGD6" i="20" s="1"/>
  <c r="DGC6" i="20" a="1"/>
  <c r="DGC6" i="20" s="1"/>
  <c r="DGB6" i="20"/>
  <c r="DGB6" i="20" a="1"/>
  <c r="DGA6" i="20" a="1"/>
  <c r="DGA6" i="20" s="1"/>
  <c r="DFZ6" i="20" a="1"/>
  <c r="DFZ6" i="20" s="1"/>
  <c r="DFY6" i="20" a="1"/>
  <c r="DFY6" i="20" s="1"/>
  <c r="DFX6" i="20" a="1"/>
  <c r="DFX6" i="20" s="1"/>
  <c r="DFW6" i="20" a="1"/>
  <c r="DFW6" i="20" s="1"/>
  <c r="DFV6" i="20" a="1"/>
  <c r="DFV6" i="20" s="1"/>
  <c r="DFU6" i="20" a="1"/>
  <c r="DFU6" i="20" s="1"/>
  <c r="DFT6" i="20" a="1"/>
  <c r="DFT6" i="20" s="1"/>
  <c r="DFS6" i="20" a="1"/>
  <c r="DFS6" i="20" s="1"/>
  <c r="DFR6" i="20" a="1"/>
  <c r="DFR6" i="20" s="1"/>
  <c r="DFQ6" i="20" a="1"/>
  <c r="DFQ6" i="20" s="1"/>
  <c r="DFP6" i="20" a="1"/>
  <c r="DFP6" i="20" s="1"/>
  <c r="DFO6" i="20" a="1"/>
  <c r="DFO6" i="20" s="1"/>
  <c r="DFN6" i="20" a="1"/>
  <c r="DFN6" i="20" s="1"/>
  <c r="DFM6" i="20" a="1"/>
  <c r="DFM6" i="20" s="1"/>
  <c r="DFL6" i="20" a="1"/>
  <c r="DFL6" i="20" s="1"/>
  <c r="DFK6" i="20" a="1"/>
  <c r="DFK6" i="20" s="1"/>
  <c r="DFJ6" i="20"/>
  <c r="DFJ6" i="20" a="1"/>
  <c r="DFI6" i="20" a="1"/>
  <c r="DFI6" i="20" s="1"/>
  <c r="DFH6" i="20" a="1"/>
  <c r="DFH6" i="20" s="1"/>
  <c r="DFG6" i="20" a="1"/>
  <c r="DFG6" i="20" s="1"/>
  <c r="DFF6" i="20" a="1"/>
  <c r="DFF6" i="20" s="1"/>
  <c r="DFE6" i="20" a="1"/>
  <c r="DFE6" i="20" s="1"/>
  <c r="DFD6" i="20"/>
  <c r="DFD6" i="20" a="1"/>
  <c r="DFC6" i="20" a="1"/>
  <c r="DFC6" i="20" s="1"/>
  <c r="DFB6" i="20" a="1"/>
  <c r="DFB6" i="20" s="1"/>
  <c r="DFA6" i="20" a="1"/>
  <c r="DFA6" i="20" s="1"/>
  <c r="DEZ6" i="20" a="1"/>
  <c r="DEZ6" i="20" s="1"/>
  <c r="DEY6" i="20" a="1"/>
  <c r="DEY6" i="20" s="1"/>
  <c r="DEX6" i="20" a="1"/>
  <c r="DEX6" i="20" s="1"/>
  <c r="DEW6" i="20" a="1"/>
  <c r="DEW6" i="20" s="1"/>
  <c r="DEV6" i="20" a="1"/>
  <c r="DEV6" i="20" s="1"/>
  <c r="DEU6" i="20" a="1"/>
  <c r="DEU6" i="20" s="1"/>
  <c r="DET6" i="20" a="1"/>
  <c r="DET6" i="20" s="1"/>
  <c r="DES6" i="20"/>
  <c r="DES6" i="20" a="1"/>
  <c r="DER6" i="20"/>
  <c r="DER6" i="20" a="1"/>
  <c r="DEQ6" i="20" a="1"/>
  <c r="DEQ6" i="20" s="1"/>
  <c r="DEP6" i="20" a="1"/>
  <c r="DEP6" i="20" s="1"/>
  <c r="DEO6" i="20" a="1"/>
  <c r="DEO6" i="20" s="1"/>
  <c r="DEN6" i="20" a="1"/>
  <c r="DEN6" i="20" s="1"/>
  <c r="DEM6" i="20" a="1"/>
  <c r="DEM6" i="20" s="1"/>
  <c r="DEL6" i="20"/>
  <c r="DEL6" i="20" a="1"/>
  <c r="DEK6" i="20" a="1"/>
  <c r="DEK6" i="20" s="1"/>
  <c r="DEJ6" i="20" a="1"/>
  <c r="DEJ6" i="20" s="1"/>
  <c r="DEI6" i="20" a="1"/>
  <c r="DEI6" i="20" s="1"/>
  <c r="DEH6" i="20" a="1"/>
  <c r="DEH6" i="20" s="1"/>
  <c r="DEG6" i="20" a="1"/>
  <c r="DEG6" i="20" s="1"/>
  <c r="DEF6" i="20" a="1"/>
  <c r="DEF6" i="20" s="1"/>
  <c r="DEE6" i="20" a="1"/>
  <c r="DEE6" i="20" s="1"/>
  <c r="DED6" i="20" a="1"/>
  <c r="DED6" i="20" s="1"/>
  <c r="DEC6" i="20" a="1"/>
  <c r="DEC6" i="20" s="1"/>
  <c r="DEB6" i="20" a="1"/>
  <c r="DEB6" i="20" s="1"/>
  <c r="DEA6" i="20"/>
  <c r="DEA6" i="20" a="1"/>
  <c r="DDZ6" i="20"/>
  <c r="DDZ6" i="20" a="1"/>
  <c r="DDY6" i="20" a="1"/>
  <c r="DDY6" i="20" s="1"/>
  <c r="DDX6" i="20" a="1"/>
  <c r="DDX6" i="20" s="1"/>
  <c r="DDW6" i="20" a="1"/>
  <c r="DDW6" i="20" s="1"/>
  <c r="DDV6" i="20" a="1"/>
  <c r="DDV6" i="20" s="1"/>
  <c r="DDU6" i="20" a="1"/>
  <c r="DDU6" i="20" s="1"/>
  <c r="DDT6" i="20" a="1"/>
  <c r="DDT6" i="20" s="1"/>
  <c r="DDS6" i="20" a="1"/>
  <c r="DDS6" i="20" s="1"/>
  <c r="DDR6" i="20" a="1"/>
  <c r="DDR6" i="20" s="1"/>
  <c r="DDQ6" i="20" a="1"/>
  <c r="DDQ6" i="20" s="1"/>
  <c r="DDP6" i="20" a="1"/>
  <c r="DDP6" i="20" s="1"/>
  <c r="DDO6" i="20" a="1"/>
  <c r="DDO6" i="20" s="1"/>
  <c r="DDN6" i="20" a="1"/>
  <c r="DDN6" i="20" s="1"/>
  <c r="DDM6" i="20" a="1"/>
  <c r="DDM6" i="20" s="1"/>
  <c r="DDL6" i="20" a="1"/>
  <c r="DDL6" i="20" s="1"/>
  <c r="DDK6" i="20" a="1"/>
  <c r="DDK6" i="20" s="1"/>
  <c r="DDJ6" i="20" a="1"/>
  <c r="DDJ6" i="20" s="1"/>
  <c r="DDI6" i="20" a="1"/>
  <c r="DDI6" i="20" s="1"/>
  <c r="DDH6" i="20"/>
  <c r="DDH6" i="20" a="1"/>
  <c r="DDG6" i="20" a="1"/>
  <c r="DDG6" i="20" s="1"/>
  <c r="DDF6" i="20" a="1"/>
  <c r="DDF6" i="20" s="1"/>
  <c r="DDE6" i="20" a="1"/>
  <c r="DDE6" i="20" s="1"/>
  <c r="DDD6" i="20" a="1"/>
  <c r="DDD6" i="20" s="1"/>
  <c r="DDC6" i="20" a="1"/>
  <c r="DDC6" i="20" s="1"/>
  <c r="DDB6" i="20" a="1"/>
  <c r="DDB6" i="20" s="1"/>
  <c r="DDA6" i="20" a="1"/>
  <c r="DDA6" i="20" s="1"/>
  <c r="DCZ6" i="20" a="1"/>
  <c r="DCZ6" i="20" s="1"/>
  <c r="DCY6" i="20" a="1"/>
  <c r="DCY6" i="20" s="1"/>
  <c r="DCX6" i="20" a="1"/>
  <c r="DCX6" i="20" s="1"/>
  <c r="DCW6" i="20" a="1"/>
  <c r="DCW6" i="20" s="1"/>
  <c r="DCV6" i="20" a="1"/>
  <c r="DCV6" i="20" s="1"/>
  <c r="DCU6" i="20" a="1"/>
  <c r="DCU6" i="20" s="1"/>
  <c r="DCT6" i="20" a="1"/>
  <c r="DCT6" i="20" s="1"/>
  <c r="DCS6" i="20" a="1"/>
  <c r="DCS6" i="20" s="1"/>
  <c r="DCR6" i="20" a="1"/>
  <c r="DCR6" i="20" s="1"/>
  <c r="DCQ6" i="20" a="1"/>
  <c r="DCQ6" i="20" s="1"/>
  <c r="DCP6" i="20"/>
  <c r="DCP6" i="20" a="1"/>
  <c r="DCO6" i="20" a="1"/>
  <c r="DCO6" i="20" s="1"/>
  <c r="DCN6" i="20" a="1"/>
  <c r="DCN6" i="20" s="1"/>
  <c r="DCM6" i="20" a="1"/>
  <c r="DCM6" i="20" s="1"/>
  <c r="DCL6" i="20" a="1"/>
  <c r="DCL6" i="20" s="1"/>
  <c r="DCK6" i="20" a="1"/>
  <c r="DCK6" i="20" s="1"/>
  <c r="DCJ6" i="20"/>
  <c r="DCJ6" i="20" a="1"/>
  <c r="DCI6" i="20" a="1"/>
  <c r="DCI6" i="20" s="1"/>
  <c r="DCH6" i="20" a="1"/>
  <c r="DCH6" i="20" s="1"/>
  <c r="DCG6" i="20" a="1"/>
  <c r="DCG6" i="20" s="1"/>
  <c r="DCF6" i="20" a="1"/>
  <c r="DCF6" i="20" s="1"/>
  <c r="DCE6" i="20" a="1"/>
  <c r="DCE6" i="20" s="1"/>
  <c r="DCD6" i="20" a="1"/>
  <c r="DCD6" i="20" s="1"/>
  <c r="DCC6" i="20" a="1"/>
  <c r="DCC6" i="20" s="1"/>
  <c r="DCB6" i="20" a="1"/>
  <c r="DCB6" i="20" s="1"/>
  <c r="DCA6" i="20" a="1"/>
  <c r="DCA6" i="20" s="1"/>
  <c r="DBZ6" i="20" a="1"/>
  <c r="DBZ6" i="20" s="1"/>
  <c r="DBY6" i="20"/>
  <c r="DBY6" i="20" a="1"/>
  <c r="DBX6" i="20"/>
  <c r="DBX6" i="20" a="1"/>
  <c r="DBW6" i="20" a="1"/>
  <c r="DBW6" i="20" s="1"/>
  <c r="DBV6" i="20" a="1"/>
  <c r="DBV6" i="20" s="1"/>
  <c r="DBU6" i="20" a="1"/>
  <c r="DBU6" i="20" s="1"/>
  <c r="DBT6" i="20" a="1"/>
  <c r="DBT6" i="20" s="1"/>
  <c r="DBS6" i="20" a="1"/>
  <c r="DBS6" i="20" s="1"/>
  <c r="DBR6" i="20"/>
  <c r="DBR6" i="20" a="1"/>
  <c r="DBQ6" i="20" a="1"/>
  <c r="DBQ6" i="20" s="1"/>
  <c r="DBP6" i="20" a="1"/>
  <c r="DBP6" i="20" s="1"/>
  <c r="DBO6" i="20" a="1"/>
  <c r="DBO6" i="20" s="1"/>
  <c r="DBN6" i="20" a="1"/>
  <c r="DBN6" i="20" s="1"/>
  <c r="DBM6" i="20" a="1"/>
  <c r="DBM6" i="20" s="1"/>
  <c r="DBL6" i="20" a="1"/>
  <c r="DBL6" i="20" s="1"/>
  <c r="DBK6" i="20" a="1"/>
  <c r="DBK6" i="20" s="1"/>
  <c r="DBJ6" i="20" a="1"/>
  <c r="DBJ6" i="20" s="1"/>
  <c r="DBI6" i="20" a="1"/>
  <c r="DBI6" i="20" s="1"/>
  <c r="DBH6" i="20" a="1"/>
  <c r="DBH6" i="20" s="1"/>
  <c r="DBG6" i="20"/>
  <c r="DBG6" i="20" a="1"/>
  <c r="DBF6" i="20"/>
  <c r="DBF6" i="20" a="1"/>
  <c r="DBE6" i="20" a="1"/>
  <c r="DBE6" i="20" s="1"/>
  <c r="DBD6" i="20" a="1"/>
  <c r="DBD6" i="20" s="1"/>
  <c r="DBC6" i="20" a="1"/>
  <c r="DBC6" i="20" s="1"/>
  <c r="DBB6" i="20" a="1"/>
  <c r="DBB6" i="20" s="1"/>
  <c r="DBA6" i="20" a="1"/>
  <c r="DBA6" i="20" s="1"/>
  <c r="DAZ6" i="20" a="1"/>
  <c r="DAZ6" i="20" s="1"/>
  <c r="DAY6" i="20" a="1"/>
  <c r="DAY6" i="20" s="1"/>
  <c r="DAX6" i="20" a="1"/>
  <c r="DAX6" i="20" s="1"/>
  <c r="DAW6" i="20" a="1"/>
  <c r="DAW6" i="20" s="1"/>
  <c r="DAV6" i="20" a="1"/>
  <c r="DAV6" i="20" s="1"/>
  <c r="DAU6" i="20" a="1"/>
  <c r="DAU6" i="20" s="1"/>
  <c r="DAT6" i="20" a="1"/>
  <c r="DAT6" i="20" s="1"/>
  <c r="DAS6" i="20" a="1"/>
  <c r="DAS6" i="20" s="1"/>
  <c r="DAR6" i="20" a="1"/>
  <c r="DAR6" i="20" s="1"/>
  <c r="DAQ6" i="20" a="1"/>
  <c r="DAQ6" i="20" s="1"/>
  <c r="DAP6" i="20" a="1"/>
  <c r="DAP6" i="20" s="1"/>
  <c r="DAO6" i="20" a="1"/>
  <c r="DAO6" i="20" s="1"/>
  <c r="DAN6" i="20"/>
  <c r="DAN6" i="20" a="1"/>
  <c r="DAM6" i="20" a="1"/>
  <c r="DAM6" i="20" s="1"/>
  <c r="DAL6" i="20" a="1"/>
  <c r="DAL6" i="20" s="1"/>
  <c r="DAK6" i="20" a="1"/>
  <c r="DAK6" i="20" s="1"/>
  <c r="DAJ6" i="20" a="1"/>
  <c r="DAJ6" i="20" s="1"/>
  <c r="DAI6" i="20" a="1"/>
  <c r="DAI6" i="20" s="1"/>
  <c r="DAH6" i="20" a="1"/>
  <c r="DAH6" i="20" s="1"/>
  <c r="DAG6" i="20" a="1"/>
  <c r="DAG6" i="20" s="1"/>
  <c r="DAF6" i="20" a="1"/>
  <c r="DAF6" i="20" s="1"/>
  <c r="DAE6" i="20" a="1"/>
  <c r="DAE6" i="20" s="1"/>
  <c r="DAD6" i="20" a="1"/>
  <c r="DAD6" i="20" s="1"/>
  <c r="DAC6" i="20" a="1"/>
  <c r="DAC6" i="20" s="1"/>
  <c r="DAB6" i="20" a="1"/>
  <c r="DAB6" i="20" s="1"/>
  <c r="DAA6" i="20" a="1"/>
  <c r="DAA6" i="20" s="1"/>
  <c r="CZZ6" i="20" a="1"/>
  <c r="CZZ6" i="20" s="1"/>
  <c r="CZY6" i="20" a="1"/>
  <c r="CZY6" i="20" s="1"/>
  <c r="CZX6" i="20" a="1"/>
  <c r="CZX6" i="20" s="1"/>
  <c r="CZW6" i="20" a="1"/>
  <c r="CZW6" i="20" s="1"/>
  <c r="CZV6" i="20"/>
  <c r="CZV6" i="20" a="1"/>
  <c r="CZU6" i="20" a="1"/>
  <c r="CZU6" i="20" s="1"/>
  <c r="CZT6" i="20" a="1"/>
  <c r="CZT6" i="20" s="1"/>
  <c r="CZS6" i="20" a="1"/>
  <c r="CZS6" i="20" s="1"/>
  <c r="CZR6" i="20" a="1"/>
  <c r="CZR6" i="20" s="1"/>
  <c r="CZQ6" i="20" a="1"/>
  <c r="CZQ6" i="20" s="1"/>
  <c r="CZP6" i="20"/>
  <c r="CZP6" i="20" a="1"/>
  <c r="CZO6" i="20" a="1"/>
  <c r="CZO6" i="20" s="1"/>
  <c r="CZN6" i="20" a="1"/>
  <c r="CZN6" i="20" s="1"/>
  <c r="CZM6" i="20" a="1"/>
  <c r="CZM6" i="20" s="1"/>
  <c r="CZL6" i="20" a="1"/>
  <c r="CZL6" i="20" s="1"/>
  <c r="CZK6" i="20" a="1"/>
  <c r="CZK6" i="20" s="1"/>
  <c r="CZJ6" i="20" a="1"/>
  <c r="CZJ6" i="20" s="1"/>
  <c r="CZI6" i="20" a="1"/>
  <c r="CZI6" i="20" s="1"/>
  <c r="CZH6" i="20" a="1"/>
  <c r="CZH6" i="20" s="1"/>
  <c r="CZG6" i="20" a="1"/>
  <c r="CZG6" i="20" s="1"/>
  <c r="CZF6" i="20" a="1"/>
  <c r="CZF6" i="20" s="1"/>
  <c r="CZE6" i="20"/>
  <c r="CZE6" i="20" a="1"/>
  <c r="CZD6" i="20"/>
  <c r="CZD6" i="20" a="1"/>
  <c r="CZC6" i="20" a="1"/>
  <c r="CZC6" i="20" s="1"/>
  <c r="CZB6" i="20" a="1"/>
  <c r="CZB6" i="20" s="1"/>
  <c r="CZA6" i="20" a="1"/>
  <c r="CZA6" i="20" s="1"/>
  <c r="CYZ6" i="20" a="1"/>
  <c r="CYZ6" i="20" s="1"/>
  <c r="CYY6" i="20" a="1"/>
  <c r="CYY6" i="20" s="1"/>
  <c r="CYX6" i="20"/>
  <c r="CYX6" i="20" a="1"/>
  <c r="CYW6" i="20" a="1"/>
  <c r="CYW6" i="20" s="1"/>
  <c r="CYV6" i="20" a="1"/>
  <c r="CYV6" i="20" s="1"/>
  <c r="CYU6" i="20" a="1"/>
  <c r="CYU6" i="20" s="1"/>
  <c r="CYT6" i="20" a="1"/>
  <c r="CYT6" i="20" s="1"/>
  <c r="CYS6" i="20" a="1"/>
  <c r="CYS6" i="20" s="1"/>
  <c r="CYR6" i="20" a="1"/>
  <c r="CYR6" i="20" s="1"/>
  <c r="CYQ6" i="20" a="1"/>
  <c r="CYQ6" i="20" s="1"/>
  <c r="CYP6" i="20" a="1"/>
  <c r="CYP6" i="20" s="1"/>
  <c r="CYO6" i="20" a="1"/>
  <c r="CYO6" i="20" s="1"/>
  <c r="CYN6" i="20" a="1"/>
  <c r="CYN6" i="20" s="1"/>
  <c r="CYM6" i="20"/>
  <c r="CYM6" i="20" a="1"/>
  <c r="CYL6" i="20"/>
  <c r="CYL6" i="20" a="1"/>
  <c r="CYK6" i="20" a="1"/>
  <c r="CYK6" i="20" s="1"/>
  <c r="CYJ6" i="20" a="1"/>
  <c r="CYJ6" i="20" s="1"/>
  <c r="CYI6" i="20" a="1"/>
  <c r="CYI6" i="20" s="1"/>
  <c r="CYH6" i="20" a="1"/>
  <c r="CYH6" i="20" s="1"/>
  <c r="CYG6" i="20" a="1"/>
  <c r="CYG6" i="20" s="1"/>
  <c r="CYF6" i="20" a="1"/>
  <c r="CYF6" i="20" s="1"/>
  <c r="CYE6" i="20" a="1"/>
  <c r="CYE6" i="20" s="1"/>
  <c r="CYD6" i="20" a="1"/>
  <c r="CYD6" i="20" s="1"/>
  <c r="CYC6" i="20" a="1"/>
  <c r="CYC6" i="20" s="1"/>
  <c r="CYB6" i="20" a="1"/>
  <c r="CYB6" i="20" s="1"/>
  <c r="CYA6" i="20" a="1"/>
  <c r="CYA6" i="20" s="1"/>
  <c r="CXZ6" i="20" a="1"/>
  <c r="CXZ6" i="20" s="1"/>
  <c r="CXY6" i="20" a="1"/>
  <c r="CXY6" i="20" s="1"/>
  <c r="CXX6" i="20" a="1"/>
  <c r="CXX6" i="20" s="1"/>
  <c r="CXW6" i="20" a="1"/>
  <c r="CXW6" i="20" s="1"/>
  <c r="CXV6" i="20" a="1"/>
  <c r="CXV6" i="20" s="1"/>
  <c r="CXU6" i="20" a="1"/>
  <c r="CXU6" i="20" s="1"/>
  <c r="CXT6" i="20"/>
  <c r="CXT6" i="20" a="1"/>
  <c r="CXS6" i="20" a="1"/>
  <c r="CXS6" i="20" s="1"/>
  <c r="CXR6" i="20" a="1"/>
  <c r="CXR6" i="20" s="1"/>
  <c r="CXQ6" i="20" a="1"/>
  <c r="CXQ6" i="20" s="1"/>
  <c r="CXP6" i="20" a="1"/>
  <c r="CXP6" i="20" s="1"/>
  <c r="CXO6" i="20" a="1"/>
  <c r="CXO6" i="20" s="1"/>
  <c r="CXN6" i="20" a="1"/>
  <c r="CXN6" i="20" s="1"/>
  <c r="CXM6" i="20" a="1"/>
  <c r="CXM6" i="20" s="1"/>
  <c r="CXL6" i="20" a="1"/>
  <c r="CXL6" i="20" s="1"/>
  <c r="CXK6" i="20" a="1"/>
  <c r="CXK6" i="20" s="1"/>
  <c r="CXJ6" i="20" a="1"/>
  <c r="CXJ6" i="20" s="1"/>
  <c r="CXI6" i="20" a="1"/>
  <c r="CXI6" i="20" s="1"/>
  <c r="CXH6" i="20" a="1"/>
  <c r="CXH6" i="20" s="1"/>
  <c r="CXG6" i="20" a="1"/>
  <c r="CXG6" i="20" s="1"/>
  <c r="CXF6" i="20" a="1"/>
  <c r="CXF6" i="20" s="1"/>
  <c r="CXE6" i="20" a="1"/>
  <c r="CXE6" i="20" s="1"/>
  <c r="CXD6" i="20" a="1"/>
  <c r="CXD6" i="20" s="1"/>
  <c r="CXC6" i="20" a="1"/>
  <c r="CXC6" i="20" s="1"/>
  <c r="CXB6" i="20"/>
  <c r="CXB6" i="20" a="1"/>
  <c r="CXA6" i="20" a="1"/>
  <c r="CXA6" i="20" s="1"/>
  <c r="CWZ6" i="20" a="1"/>
  <c r="CWZ6" i="20" s="1"/>
  <c r="CWY6" i="20" a="1"/>
  <c r="CWY6" i="20" s="1"/>
  <c r="CWX6" i="20" a="1"/>
  <c r="CWX6" i="20" s="1"/>
  <c r="CWW6" i="20" a="1"/>
  <c r="CWW6" i="20" s="1"/>
  <c r="CWV6" i="20"/>
  <c r="CWV6" i="20" a="1"/>
  <c r="CWU6" i="20" a="1"/>
  <c r="CWU6" i="20" s="1"/>
  <c r="CWT6" i="20" a="1"/>
  <c r="CWT6" i="20" s="1"/>
  <c r="CWS6" i="20" a="1"/>
  <c r="CWS6" i="20" s="1"/>
  <c r="CWR6" i="20" a="1"/>
  <c r="CWR6" i="20" s="1"/>
  <c r="CWQ6" i="20" a="1"/>
  <c r="CWQ6" i="20" s="1"/>
  <c r="CWP6" i="20" a="1"/>
  <c r="CWP6" i="20" s="1"/>
  <c r="CWO6" i="20" a="1"/>
  <c r="CWO6" i="20" s="1"/>
  <c r="CWN6" i="20" a="1"/>
  <c r="CWN6" i="20" s="1"/>
  <c r="CWM6" i="20" a="1"/>
  <c r="CWM6" i="20" s="1"/>
  <c r="CWL6" i="20" a="1"/>
  <c r="CWL6" i="20" s="1"/>
  <c r="CWK6" i="20"/>
  <c r="CWK6" i="20" a="1"/>
  <c r="CWJ6" i="20"/>
  <c r="CWJ6" i="20" a="1"/>
  <c r="CWI6" i="20" a="1"/>
  <c r="CWI6" i="20" s="1"/>
  <c r="CWH6" i="20" a="1"/>
  <c r="CWH6" i="20" s="1"/>
  <c r="CWG6" i="20" a="1"/>
  <c r="CWG6" i="20" s="1"/>
  <c r="CWF6" i="20" a="1"/>
  <c r="CWF6" i="20" s="1"/>
  <c r="CWE6" i="20" a="1"/>
  <c r="CWE6" i="20" s="1"/>
  <c r="CWD6" i="20"/>
  <c r="CWD6" i="20" a="1"/>
  <c r="CWC6" i="20" a="1"/>
  <c r="CWC6" i="20" s="1"/>
  <c r="CWB6" i="20" a="1"/>
  <c r="CWB6" i="20" s="1"/>
  <c r="CWA6" i="20" a="1"/>
  <c r="CWA6" i="20" s="1"/>
  <c r="CVZ6" i="20" a="1"/>
  <c r="CVZ6" i="20" s="1"/>
  <c r="CVY6" i="20" a="1"/>
  <c r="CVY6" i="20" s="1"/>
  <c r="CVX6" i="20" a="1"/>
  <c r="CVX6" i="20" s="1"/>
  <c r="CVW6" i="20" a="1"/>
  <c r="CVW6" i="20" s="1"/>
  <c r="CVV6" i="20" a="1"/>
  <c r="CVV6" i="20" s="1"/>
  <c r="CVU6" i="20" a="1"/>
  <c r="CVU6" i="20" s="1"/>
  <c r="CVT6" i="20" a="1"/>
  <c r="CVT6" i="20" s="1"/>
  <c r="CVS6" i="20"/>
  <c r="CVS6" i="20" a="1"/>
  <c r="CVR6" i="20"/>
  <c r="CVR6" i="20" a="1"/>
  <c r="CVQ6" i="20" a="1"/>
  <c r="CVQ6" i="20" s="1"/>
  <c r="CVP6" i="20" a="1"/>
  <c r="CVP6" i="20" s="1"/>
  <c r="CVO6" i="20" a="1"/>
  <c r="CVO6" i="20" s="1"/>
  <c r="CVN6" i="20" a="1"/>
  <c r="CVN6" i="20" s="1"/>
  <c r="CVM6" i="20" a="1"/>
  <c r="CVM6" i="20" s="1"/>
  <c r="CVL6" i="20" a="1"/>
  <c r="CVL6" i="20" s="1"/>
  <c r="CVK6" i="20" a="1"/>
  <c r="CVK6" i="20" s="1"/>
  <c r="CVJ6" i="20" a="1"/>
  <c r="CVJ6" i="20" s="1"/>
  <c r="CVI6" i="20" a="1"/>
  <c r="CVI6" i="20" s="1"/>
  <c r="CVH6" i="20" a="1"/>
  <c r="CVH6" i="20" s="1"/>
  <c r="CVG6" i="20" a="1"/>
  <c r="CVG6" i="20" s="1"/>
  <c r="CVF6" i="20" a="1"/>
  <c r="CVF6" i="20" s="1"/>
  <c r="CVE6" i="20" a="1"/>
  <c r="CVE6" i="20" s="1"/>
  <c r="CVD6" i="20" a="1"/>
  <c r="CVD6" i="20" s="1"/>
  <c r="CVC6" i="20" a="1"/>
  <c r="CVC6" i="20" s="1"/>
  <c r="CVB6" i="20" a="1"/>
  <c r="CVB6" i="20" s="1"/>
  <c r="CVA6" i="20" a="1"/>
  <c r="CVA6" i="20" s="1"/>
  <c r="CUZ6" i="20"/>
  <c r="CUZ6" i="20" a="1"/>
  <c r="CUY6" i="20" a="1"/>
  <c r="CUY6" i="20" s="1"/>
  <c r="CUX6" i="20" a="1"/>
  <c r="CUX6" i="20" s="1"/>
  <c r="CUW6" i="20" a="1"/>
  <c r="CUW6" i="20" s="1"/>
  <c r="CUV6" i="20" a="1"/>
  <c r="CUV6" i="20" s="1"/>
  <c r="CUU6" i="20" a="1"/>
  <c r="CUU6" i="20" s="1"/>
  <c r="CUT6" i="20" a="1"/>
  <c r="CUT6" i="20" s="1"/>
  <c r="CUS6" i="20" a="1"/>
  <c r="CUS6" i="20" s="1"/>
  <c r="CUR6" i="20" a="1"/>
  <c r="CUR6" i="20" s="1"/>
  <c r="CUQ6" i="20" a="1"/>
  <c r="CUQ6" i="20" s="1"/>
  <c r="CUP6" i="20" a="1"/>
  <c r="CUP6" i="20" s="1"/>
  <c r="CUO6" i="20" a="1"/>
  <c r="CUO6" i="20" s="1"/>
  <c r="CUN6" i="20" a="1"/>
  <c r="CUN6" i="20" s="1"/>
  <c r="CUM6" i="20" a="1"/>
  <c r="CUM6" i="20" s="1"/>
  <c r="CUL6" i="20" a="1"/>
  <c r="CUL6" i="20" s="1"/>
  <c r="CUK6" i="20" a="1"/>
  <c r="CUK6" i="20" s="1"/>
  <c r="CUJ6" i="20" a="1"/>
  <c r="CUJ6" i="20" s="1"/>
  <c r="CUI6" i="20" a="1"/>
  <c r="CUI6" i="20" s="1"/>
  <c r="CUH6" i="20"/>
  <c r="CUH6" i="20" a="1"/>
  <c r="CUG6" i="20" a="1"/>
  <c r="CUG6" i="20" s="1"/>
  <c r="CUF6" i="20" a="1"/>
  <c r="CUF6" i="20" s="1"/>
  <c r="CUE6" i="20" a="1"/>
  <c r="CUE6" i="20" s="1"/>
  <c r="CUD6" i="20" a="1"/>
  <c r="CUD6" i="20" s="1"/>
  <c r="CUC6" i="20" a="1"/>
  <c r="CUC6" i="20" s="1"/>
  <c r="CUB6" i="20"/>
  <c r="CUB6" i="20" a="1"/>
  <c r="CUA6" i="20" a="1"/>
  <c r="CUA6" i="20" s="1"/>
  <c r="CTZ6" i="20" a="1"/>
  <c r="CTZ6" i="20" s="1"/>
  <c r="CTY6" i="20" a="1"/>
  <c r="CTY6" i="20" s="1"/>
  <c r="CTX6" i="20" a="1"/>
  <c r="CTX6" i="20" s="1"/>
  <c r="CTW6" i="20" a="1"/>
  <c r="CTW6" i="20" s="1"/>
  <c r="CTV6" i="20" a="1"/>
  <c r="CTV6" i="20" s="1"/>
  <c r="CTU6" i="20" a="1"/>
  <c r="CTU6" i="20" s="1"/>
  <c r="CTT6" i="20" a="1"/>
  <c r="CTT6" i="20" s="1"/>
  <c r="CTS6" i="20" a="1"/>
  <c r="CTS6" i="20" s="1"/>
  <c r="CTR6" i="20" a="1"/>
  <c r="CTR6" i="20" s="1"/>
  <c r="CTQ6" i="20"/>
  <c r="CTQ6" i="20" a="1"/>
  <c r="CTP6" i="20"/>
  <c r="CTP6" i="20" a="1"/>
  <c r="CTO6" i="20" a="1"/>
  <c r="CTO6" i="20" s="1"/>
  <c r="CTN6" i="20" a="1"/>
  <c r="CTN6" i="20" s="1"/>
  <c r="CTM6" i="20" a="1"/>
  <c r="CTM6" i="20" s="1"/>
  <c r="CTL6" i="20" a="1"/>
  <c r="CTL6" i="20" s="1"/>
  <c r="CTK6" i="20" a="1"/>
  <c r="CTK6" i="20" s="1"/>
  <c r="CTJ6" i="20"/>
  <c r="CTJ6" i="20" a="1"/>
  <c r="CTI6" i="20" a="1"/>
  <c r="CTI6" i="20" s="1"/>
  <c r="CTH6" i="20" a="1"/>
  <c r="CTH6" i="20" s="1"/>
  <c r="CTG6" i="20" a="1"/>
  <c r="CTG6" i="20" s="1"/>
  <c r="CTF6" i="20" a="1"/>
  <c r="CTF6" i="20" s="1"/>
  <c r="CTE6" i="20" a="1"/>
  <c r="CTE6" i="20" s="1"/>
  <c r="CTD6" i="20" a="1"/>
  <c r="CTD6" i="20" s="1"/>
  <c r="CTC6" i="20" a="1"/>
  <c r="CTC6" i="20" s="1"/>
  <c r="CTB6" i="20" a="1"/>
  <c r="CTB6" i="20" s="1"/>
  <c r="CTA6" i="20" a="1"/>
  <c r="CTA6" i="20" s="1"/>
  <c r="CSZ6" i="20" a="1"/>
  <c r="CSZ6" i="20" s="1"/>
  <c r="CSY6" i="20"/>
  <c r="CSY6" i="20" a="1"/>
  <c r="CSX6" i="20"/>
  <c r="CSX6" i="20" a="1"/>
  <c r="CSW6" i="20" a="1"/>
  <c r="CSW6" i="20" s="1"/>
  <c r="CSV6" i="20" a="1"/>
  <c r="CSV6" i="20" s="1"/>
  <c r="CSU6" i="20" a="1"/>
  <c r="CSU6" i="20" s="1"/>
  <c r="CST6" i="20" a="1"/>
  <c r="CST6" i="20" s="1"/>
  <c r="CSS6" i="20" a="1"/>
  <c r="CSS6" i="20" s="1"/>
  <c r="CSR6" i="20" a="1"/>
  <c r="CSR6" i="20" s="1"/>
  <c r="CSQ6" i="20" a="1"/>
  <c r="CSQ6" i="20" s="1"/>
  <c r="CSP6" i="20" a="1"/>
  <c r="CSP6" i="20" s="1"/>
  <c r="CSO6" i="20" a="1"/>
  <c r="CSO6" i="20" s="1"/>
  <c r="CSN6" i="20" a="1"/>
  <c r="CSN6" i="20" s="1"/>
  <c r="CSM6" i="20" a="1"/>
  <c r="CSM6" i="20" s="1"/>
  <c r="CSL6" i="20" a="1"/>
  <c r="CSL6" i="20" s="1"/>
  <c r="CSK6" i="20" a="1"/>
  <c r="CSK6" i="20" s="1"/>
  <c r="CSJ6" i="20" a="1"/>
  <c r="CSJ6" i="20" s="1"/>
  <c r="CSI6" i="20"/>
  <c r="CSI6" i="20" a="1"/>
  <c r="CSH6" i="20" a="1"/>
  <c r="CSH6" i="20" s="1"/>
  <c r="CSG6" i="20" a="1"/>
  <c r="CSG6" i="20" s="1"/>
  <c r="CSF6" i="20"/>
  <c r="CSF6" i="20" a="1"/>
  <c r="CSE6" i="20"/>
  <c r="CSE6" i="20" a="1"/>
  <c r="CSD6" i="20"/>
  <c r="CSD6" i="20" a="1"/>
  <c r="CSC6" i="20" a="1"/>
  <c r="CSC6" i="20" s="1"/>
  <c r="CSB6" i="20" a="1"/>
  <c r="CSB6" i="20" s="1"/>
  <c r="CSA6" i="20" a="1"/>
  <c r="CSA6" i="20" s="1"/>
  <c r="CRZ6" i="20"/>
  <c r="CRZ6" i="20" a="1"/>
  <c r="CRY6" i="20"/>
  <c r="CRY6" i="20" a="1"/>
  <c r="CRX6" i="20"/>
  <c r="CRX6" i="20" a="1"/>
  <c r="CRW6" i="20" a="1"/>
  <c r="CRW6" i="20" s="1"/>
  <c r="CRV6" i="20" a="1"/>
  <c r="CRV6" i="20" s="1"/>
  <c r="CRU6" i="20" a="1"/>
  <c r="CRU6" i="20" s="1"/>
  <c r="CRT6" i="20"/>
  <c r="CRT6" i="20" a="1"/>
  <c r="CRS6" i="20"/>
  <c r="CRS6" i="20" a="1"/>
  <c r="CRR6" i="20"/>
  <c r="CRR6" i="20" a="1"/>
  <c r="CRQ6" i="20" a="1"/>
  <c r="CRQ6" i="20" s="1"/>
  <c r="CRP6" i="20" a="1"/>
  <c r="CRP6" i="20" s="1"/>
  <c r="CRO6" i="20" a="1"/>
  <c r="CRO6" i="20" s="1"/>
  <c r="CRN6" i="20"/>
  <c r="CRN6" i="20" a="1"/>
  <c r="CRM6" i="20"/>
  <c r="CRM6" i="20" a="1"/>
  <c r="CRL6" i="20"/>
  <c r="CRL6" i="20" a="1"/>
  <c r="CRK6" i="20" a="1"/>
  <c r="CRK6" i="20" s="1"/>
  <c r="CRJ6" i="20" a="1"/>
  <c r="CRJ6" i="20" s="1"/>
  <c r="CRI6" i="20" a="1"/>
  <c r="CRI6" i="20" s="1"/>
  <c r="CRH6" i="20"/>
  <c r="CRH6" i="20" a="1"/>
  <c r="CRG6" i="20"/>
  <c r="CRG6" i="20" a="1"/>
  <c r="CRF6" i="20"/>
  <c r="CRF6" i="20" a="1"/>
  <c r="CRE6" i="20" a="1"/>
  <c r="CRE6" i="20" s="1"/>
  <c r="CRD6" i="20" a="1"/>
  <c r="CRD6" i="20" s="1"/>
  <c r="CRC6" i="20" a="1"/>
  <c r="CRC6" i="20" s="1"/>
  <c r="CRB6" i="20"/>
  <c r="CRB6" i="20" a="1"/>
  <c r="CRA6" i="20"/>
  <c r="CRA6" i="20" a="1"/>
  <c r="CQZ6" i="20"/>
  <c r="CQZ6" i="20" a="1"/>
  <c r="CQY6" i="20" a="1"/>
  <c r="CQY6" i="20" s="1"/>
  <c r="CQX6" i="20" a="1"/>
  <c r="CQX6" i="20" s="1"/>
  <c r="CQW6" i="20" a="1"/>
  <c r="CQW6" i="20" s="1"/>
  <c r="CQV6" i="20" a="1"/>
  <c r="CQV6" i="20" s="1"/>
  <c r="CQU6" i="20"/>
  <c r="CQU6" i="20" a="1"/>
  <c r="CQT6" i="20"/>
  <c r="CQT6" i="20" a="1"/>
  <c r="CQS6" i="20" a="1"/>
  <c r="CQS6" i="20" s="1"/>
  <c r="CQR6" i="20"/>
  <c r="CQR6" i="20" a="1"/>
  <c r="CQQ6" i="20" a="1"/>
  <c r="CQQ6" i="20" s="1"/>
  <c r="CQP6" i="20" a="1"/>
  <c r="CQP6" i="20" s="1"/>
  <c r="CQO6" i="20"/>
  <c r="CQO6" i="20" a="1"/>
  <c r="CQN6" i="20"/>
  <c r="CQN6" i="20" a="1"/>
  <c r="CQM6" i="20"/>
  <c r="CQM6" i="20" a="1"/>
  <c r="CQL6" i="20" a="1"/>
  <c r="CQL6" i="20" s="1"/>
  <c r="CQK6" i="20" a="1"/>
  <c r="CQK6" i="20" s="1"/>
  <c r="CQJ6" i="20" a="1"/>
  <c r="CQJ6" i="20" s="1"/>
  <c r="CQI6" i="20"/>
  <c r="CQI6" i="20" a="1"/>
  <c r="CQH6" i="20"/>
  <c r="CQH6" i="20" a="1"/>
  <c r="CQG6" i="20"/>
  <c r="CQG6" i="20" a="1"/>
  <c r="CQF6" i="20" a="1"/>
  <c r="CQF6" i="20" s="1"/>
  <c r="CQE6" i="20"/>
  <c r="CQE6" i="20" a="1"/>
  <c r="CQD6" i="20" a="1"/>
  <c r="CQD6" i="20" s="1"/>
  <c r="CQC6" i="20"/>
  <c r="CQC6" i="20" a="1"/>
  <c r="CQB6" i="20"/>
  <c r="CQB6" i="20" a="1"/>
  <c r="CQA6" i="20" a="1"/>
  <c r="CQA6" i="20" s="1"/>
  <c r="CPZ6" i="20"/>
  <c r="CPZ6" i="20" a="1"/>
  <c r="CPY6" i="20" a="1"/>
  <c r="CPY6" i="20" s="1"/>
  <c r="CPX6" i="20" a="1"/>
  <c r="CPX6" i="20" s="1"/>
  <c r="CPW6" i="20"/>
  <c r="CPW6" i="20" a="1"/>
  <c r="CPV6" i="20"/>
  <c r="CPV6" i="20" a="1"/>
  <c r="CPU6" i="20" a="1"/>
  <c r="CPU6" i="20" s="1"/>
  <c r="CPT6" i="20"/>
  <c r="CPT6" i="20" a="1"/>
  <c r="CPS6" i="20" a="1"/>
  <c r="CPS6" i="20" s="1"/>
  <c r="CPR6" i="20" a="1"/>
  <c r="CPR6" i="20" s="1"/>
  <c r="CPQ6" i="20"/>
  <c r="CPQ6" i="20" a="1"/>
  <c r="CPP6" i="20"/>
  <c r="CPP6" i="20" a="1"/>
  <c r="CPO6" i="20"/>
  <c r="CPO6" i="20" a="1"/>
  <c r="CPN6" i="20" a="1"/>
  <c r="CPN6" i="20" s="1"/>
  <c r="CPM6" i="20"/>
  <c r="CPM6" i="20" a="1"/>
  <c r="CPL6" i="20" a="1"/>
  <c r="CPL6" i="20" s="1"/>
  <c r="CPK6" i="20"/>
  <c r="CPK6" i="20" a="1"/>
  <c r="CPJ6" i="20"/>
  <c r="CPJ6" i="20" a="1"/>
  <c r="CPI6" i="20" a="1"/>
  <c r="CPI6" i="20" s="1"/>
  <c r="CPH6" i="20" a="1"/>
  <c r="CPH6" i="20" s="1"/>
  <c r="CPG6" i="20"/>
  <c r="CPG6" i="20" a="1"/>
  <c r="CPF6" i="20" a="1"/>
  <c r="CPF6" i="20" s="1"/>
  <c r="CPE6" i="20"/>
  <c r="CPE6" i="20" a="1"/>
  <c r="CPD6" i="20"/>
  <c r="CPD6" i="20" a="1"/>
  <c r="CPC6" i="20" a="1"/>
  <c r="CPC6" i="20" s="1"/>
  <c r="CPB6" i="20"/>
  <c r="CPB6" i="20" a="1"/>
  <c r="CPA6" i="20" a="1"/>
  <c r="CPA6" i="20" s="1"/>
  <c r="COZ6" i="20" a="1"/>
  <c r="COZ6" i="20" s="1"/>
  <c r="COY6" i="20"/>
  <c r="COY6" i="20" a="1"/>
  <c r="COX6" i="20"/>
  <c r="COX6" i="20" a="1"/>
  <c r="COW6" i="20" a="1"/>
  <c r="COW6" i="20" s="1"/>
  <c r="COV6" i="20" a="1"/>
  <c r="COV6" i="20" s="1"/>
  <c r="COU6" i="20" a="1"/>
  <c r="COU6" i="20" s="1"/>
  <c r="COT6" i="20" a="1"/>
  <c r="COT6" i="20" s="1"/>
  <c r="COS6" i="20"/>
  <c r="COS6" i="20" a="1"/>
  <c r="COR6" i="20"/>
  <c r="COR6" i="20" a="1"/>
  <c r="COQ6" i="20" a="1"/>
  <c r="COQ6" i="20" s="1"/>
  <c r="COP6" i="20" a="1"/>
  <c r="COP6" i="20" s="1"/>
  <c r="COO6" i="20"/>
  <c r="COO6" i="20" a="1"/>
  <c r="CON6" i="20" a="1"/>
  <c r="CON6" i="20" s="1"/>
  <c r="COM6" i="20"/>
  <c r="COM6" i="20" a="1"/>
  <c r="COL6" i="20"/>
  <c r="COL6" i="20" a="1"/>
  <c r="COK6" i="20"/>
  <c r="COK6" i="20" a="1"/>
  <c r="COJ6" i="20" a="1"/>
  <c r="COJ6" i="20" s="1"/>
  <c r="COI6" i="20" a="1"/>
  <c r="COI6" i="20" s="1"/>
  <c r="COH6" i="20" a="1"/>
  <c r="COH6" i="20" s="1"/>
  <c r="COG6" i="20"/>
  <c r="COG6" i="20" a="1"/>
  <c r="COF6" i="20"/>
  <c r="COF6" i="20" a="1"/>
  <c r="COE6" i="20" a="1"/>
  <c r="COE6" i="20" s="1"/>
  <c r="COD6" i="20" a="1"/>
  <c r="COD6" i="20" s="1"/>
  <c r="COC6" i="20" a="1"/>
  <c r="COC6" i="20" s="1"/>
  <c r="COB6" i="20" a="1"/>
  <c r="COB6" i="20" s="1"/>
  <c r="COA6" i="20"/>
  <c r="COA6" i="20" a="1"/>
  <c r="CNZ6" i="20"/>
  <c r="CNZ6" i="20" a="1"/>
  <c r="CNY6" i="20" a="1"/>
  <c r="CNY6" i="20" s="1"/>
  <c r="CNX6" i="20"/>
  <c r="CNX6" i="20" a="1"/>
  <c r="CNW6" i="20" a="1"/>
  <c r="CNW6" i="20" s="1"/>
  <c r="CNV6" i="20" a="1"/>
  <c r="CNV6" i="20" s="1"/>
  <c r="CNU6" i="20"/>
  <c r="CNU6" i="20" a="1"/>
  <c r="CNT6" i="20"/>
  <c r="CNT6" i="20" a="1"/>
  <c r="CNS6" i="20"/>
  <c r="CNS6" i="20" a="1"/>
  <c r="CNR6" i="20" a="1"/>
  <c r="CNR6" i="20" s="1"/>
  <c r="CNQ6" i="20" a="1"/>
  <c r="CNQ6" i="20" s="1"/>
  <c r="CNP6" i="20" a="1"/>
  <c r="CNP6" i="20" s="1"/>
  <c r="CNO6" i="20"/>
  <c r="CNO6" i="20" a="1"/>
  <c r="CNN6" i="20"/>
  <c r="CNN6" i="20" a="1"/>
  <c r="CNM6" i="20"/>
  <c r="CNM6" i="20" a="1"/>
  <c r="CNL6" i="20" a="1"/>
  <c r="CNL6" i="20" s="1"/>
  <c r="CNK6" i="20"/>
  <c r="CNK6" i="20" a="1"/>
  <c r="CNJ6" i="20" a="1"/>
  <c r="CNJ6" i="20" s="1"/>
  <c r="CNI6" i="20"/>
  <c r="CNI6" i="20" a="1"/>
  <c r="CNH6" i="20"/>
  <c r="CNH6" i="20" a="1"/>
  <c r="CNG6" i="20" a="1"/>
  <c r="CNG6" i="20" s="1"/>
  <c r="CNF6" i="20"/>
  <c r="CNF6" i="20" a="1"/>
  <c r="CNE6" i="20" a="1"/>
  <c r="CNE6" i="20" s="1"/>
  <c r="CND6" i="20" a="1"/>
  <c r="CND6" i="20" s="1"/>
  <c r="CNC6" i="20"/>
  <c r="CNC6" i="20" a="1"/>
  <c r="CNB6" i="20"/>
  <c r="CNB6" i="20" a="1"/>
  <c r="CNA6" i="20" a="1"/>
  <c r="CNA6" i="20" s="1"/>
  <c r="CMZ6" i="20"/>
  <c r="CMZ6" i="20" a="1"/>
  <c r="CMY6" i="20" a="1"/>
  <c r="CMY6" i="20" s="1"/>
  <c r="CMX6" i="20" a="1"/>
  <c r="CMX6" i="20" s="1"/>
  <c r="CMW6" i="20"/>
  <c r="CMW6" i="20" a="1"/>
  <c r="CMV6" i="20"/>
  <c r="CMV6" i="20" a="1"/>
  <c r="CMU6" i="20"/>
  <c r="CMU6" i="20" a="1"/>
  <c r="CMT6" i="20" a="1"/>
  <c r="CMT6" i="20" s="1"/>
  <c r="CMS6" i="20"/>
  <c r="CMS6" i="20" a="1"/>
  <c r="CMR6" i="20" a="1"/>
  <c r="CMR6" i="20" s="1"/>
  <c r="CMQ6" i="20"/>
  <c r="CMQ6" i="20" a="1"/>
  <c r="CMP6" i="20"/>
  <c r="CMP6" i="20" a="1"/>
  <c r="CMO6" i="20" a="1"/>
  <c r="CMO6" i="20" s="1"/>
  <c r="CMN6" i="20" a="1"/>
  <c r="CMN6" i="20" s="1"/>
  <c r="CMM6" i="20"/>
  <c r="CMM6" i="20" a="1"/>
  <c r="CML6" i="20" a="1"/>
  <c r="CML6" i="20" s="1"/>
  <c r="CMK6" i="20"/>
  <c r="CMK6" i="20" a="1"/>
  <c r="CMJ6" i="20"/>
  <c r="CMJ6" i="20" a="1"/>
  <c r="CMI6" i="20" a="1"/>
  <c r="CMI6" i="20" s="1"/>
  <c r="CMH6" i="20"/>
  <c r="CMH6" i="20" a="1"/>
  <c r="CMG6" i="20" a="1"/>
  <c r="CMG6" i="20" s="1"/>
  <c r="CMF6" i="20" a="1"/>
  <c r="CMF6" i="20" s="1"/>
  <c r="CME6" i="20"/>
  <c r="CME6" i="20" a="1"/>
  <c r="CMD6" i="20"/>
  <c r="CMD6" i="20" a="1"/>
  <c r="CMC6" i="20" a="1"/>
  <c r="CMC6" i="20" s="1"/>
  <c r="CMB6" i="20" a="1"/>
  <c r="CMB6" i="20" s="1"/>
  <c r="CMA6" i="20" a="1"/>
  <c r="CMA6" i="20" s="1"/>
  <c r="CLZ6" i="20" a="1"/>
  <c r="CLZ6" i="20" s="1"/>
  <c r="CLY6" i="20"/>
  <c r="CLY6" i="20" a="1"/>
  <c r="CLX6" i="20"/>
  <c r="CLX6" i="20" a="1"/>
  <c r="CLW6" i="20" a="1"/>
  <c r="CLW6" i="20" s="1"/>
  <c r="CLV6" i="20" a="1"/>
  <c r="CLV6" i="20" s="1"/>
  <c r="CLU6" i="20"/>
  <c r="CLU6" i="20" a="1"/>
  <c r="CLT6" i="20" a="1"/>
  <c r="CLT6" i="20" s="1"/>
  <c r="CLS6" i="20"/>
  <c r="CLS6" i="20" a="1"/>
  <c r="CLR6" i="20" a="1"/>
  <c r="CLR6" i="20" s="1"/>
  <c r="CLQ6" i="20" a="1"/>
  <c r="CLQ6" i="20" s="1"/>
  <c r="CLP6" i="20" a="1"/>
  <c r="CLP6" i="20" s="1"/>
  <c r="CLO6" i="20" a="1"/>
  <c r="CLO6" i="20" s="1"/>
  <c r="CLN6" i="20" a="1"/>
  <c r="CLN6" i="20" s="1"/>
  <c r="CLM6" i="20"/>
  <c r="CLM6" i="20" a="1"/>
  <c r="CLL6" i="20" a="1"/>
  <c r="CLL6" i="20" s="1"/>
  <c r="CLK6" i="20"/>
  <c r="CLK6" i="20" a="1"/>
  <c r="CLJ6" i="20" a="1"/>
  <c r="CLJ6" i="20" s="1"/>
  <c r="CLI6" i="20" a="1"/>
  <c r="CLI6" i="20" s="1"/>
  <c r="CLH6" i="20" a="1"/>
  <c r="CLH6" i="20" s="1"/>
  <c r="CLG6" i="20"/>
  <c r="CLG6" i="20" a="1"/>
  <c r="CLF6" i="20" a="1"/>
  <c r="CLF6" i="20" s="1"/>
  <c r="CLE6" i="20" a="1"/>
  <c r="CLE6" i="20" s="1"/>
  <c r="CLD6" i="20"/>
  <c r="CLD6" i="20" a="1"/>
  <c r="CLC6" i="20" a="1"/>
  <c r="CLC6" i="20" s="1"/>
  <c r="CLB6" i="20" a="1"/>
  <c r="CLB6" i="20" s="1"/>
  <c r="CLA6" i="20" a="1"/>
  <c r="CLA6" i="20" s="1"/>
  <c r="CKZ6" i="20" a="1"/>
  <c r="CKZ6" i="20" s="1"/>
  <c r="CKY6" i="20" a="1"/>
  <c r="CKY6" i="20" s="1"/>
  <c r="CKX6" i="20" a="1"/>
  <c r="CKX6" i="20" s="1"/>
  <c r="CKW6" i="20"/>
  <c r="CKW6" i="20" a="1"/>
  <c r="CKV6" i="20" a="1"/>
  <c r="CKV6" i="20" s="1"/>
  <c r="CKU6" i="20" a="1"/>
  <c r="CKU6" i="20" s="1"/>
  <c r="CKT6" i="20" a="1"/>
  <c r="CKT6" i="20" s="1"/>
  <c r="CKS6" i="20" a="1"/>
  <c r="CKS6" i="20" s="1"/>
  <c r="CKR6" i="20" a="1"/>
  <c r="CKR6" i="20" s="1"/>
  <c r="CKQ6" i="20"/>
  <c r="CKQ6" i="20" a="1"/>
  <c r="CKP6" i="20" a="1"/>
  <c r="CKP6" i="20" s="1"/>
  <c r="CKO6" i="20" a="1"/>
  <c r="CKO6" i="20" s="1"/>
  <c r="CKN6" i="20" a="1"/>
  <c r="CKN6" i="20" s="1"/>
  <c r="CKM6" i="20" a="1"/>
  <c r="CKM6" i="20" s="1"/>
  <c r="CKL6" i="20"/>
  <c r="CKL6" i="20" a="1"/>
  <c r="CKK6" i="20" a="1"/>
  <c r="CKK6" i="20" s="1"/>
  <c r="CKJ6" i="20" a="1"/>
  <c r="CKJ6" i="20" s="1"/>
  <c r="CKI6" i="20" a="1"/>
  <c r="CKI6" i="20" s="1"/>
  <c r="CKH6" i="20" a="1"/>
  <c r="CKH6" i="20" s="1"/>
  <c r="CKG6" i="20" a="1"/>
  <c r="CKG6" i="20" s="1"/>
  <c r="CKF6" i="20"/>
  <c r="CKF6" i="20" a="1"/>
  <c r="CKE6" i="20" a="1"/>
  <c r="CKE6" i="20" s="1"/>
  <c r="CKD6" i="20" a="1"/>
  <c r="CKD6" i="20" s="1"/>
  <c r="CKC6" i="20" a="1"/>
  <c r="CKC6" i="20" s="1"/>
  <c r="CKB6" i="20" a="1"/>
  <c r="CKB6" i="20" s="1"/>
  <c r="CKA6" i="20" a="1"/>
  <c r="CKA6" i="20" s="1"/>
  <c r="CJZ6" i="20" a="1"/>
  <c r="CJZ6" i="20" s="1"/>
  <c r="CJY6" i="20"/>
  <c r="CJY6" i="20" a="1"/>
  <c r="CJX6" i="20" a="1"/>
  <c r="CJX6" i="20" s="1"/>
  <c r="CJW6" i="20" a="1"/>
  <c r="CJW6" i="20" s="1"/>
  <c r="CJV6" i="20" a="1"/>
  <c r="CJV6" i="20" s="1"/>
  <c r="CJU6" i="20" a="1"/>
  <c r="CJU6" i="20" s="1"/>
  <c r="CJT6" i="20" a="1"/>
  <c r="CJT6" i="20" s="1"/>
  <c r="CJS6" i="20"/>
  <c r="CJS6" i="20" a="1"/>
  <c r="CJR6" i="20" a="1"/>
  <c r="CJR6" i="20" s="1"/>
  <c r="CJQ6" i="20" a="1"/>
  <c r="CJQ6" i="20" s="1"/>
  <c r="CJP6" i="20" a="1"/>
  <c r="CJP6" i="20" s="1"/>
  <c r="CJO6" i="20" a="1"/>
  <c r="CJO6" i="20" s="1"/>
  <c r="CJN6" i="20"/>
  <c r="CJN6" i="20" a="1"/>
  <c r="CJM6" i="20" a="1"/>
  <c r="CJM6" i="20" s="1"/>
  <c r="CJL6" i="20" a="1"/>
  <c r="CJL6" i="20" s="1"/>
  <c r="CJK6" i="20" a="1"/>
  <c r="CJK6" i="20" s="1"/>
  <c r="CJJ6" i="20" a="1"/>
  <c r="CJJ6" i="20" s="1"/>
  <c r="CJI6" i="20" a="1"/>
  <c r="CJI6" i="20" s="1"/>
  <c r="CJH6" i="20"/>
  <c r="CJH6" i="20" a="1"/>
  <c r="CJG6" i="20" a="1"/>
  <c r="CJG6" i="20" s="1"/>
  <c r="CJF6" i="20" a="1"/>
  <c r="CJF6" i="20" s="1"/>
  <c r="CJE6" i="20" a="1"/>
  <c r="CJE6" i="20" s="1"/>
  <c r="CJD6" i="20" a="1"/>
  <c r="CJD6" i="20" s="1"/>
  <c r="CJC6" i="20" a="1"/>
  <c r="CJC6" i="20" s="1"/>
  <c r="CJB6" i="20" a="1"/>
  <c r="CJB6" i="20" s="1"/>
  <c r="CJA6" i="20"/>
  <c r="CJA6" i="20" a="1"/>
  <c r="CIZ6" i="20" a="1"/>
  <c r="CIZ6" i="20" s="1"/>
  <c r="CIY6" i="20" a="1"/>
  <c r="CIY6" i="20" s="1"/>
  <c r="CIX6" i="20" a="1"/>
  <c r="CIX6" i="20" s="1"/>
  <c r="CIW6" i="20" a="1"/>
  <c r="CIW6" i="20" s="1"/>
  <c r="CIV6" i="20" a="1"/>
  <c r="CIV6" i="20" s="1"/>
  <c r="CIU6" i="20"/>
  <c r="CIU6" i="20" a="1"/>
  <c r="CIT6" i="20" a="1"/>
  <c r="CIT6" i="20" s="1"/>
  <c r="CIS6" i="20" a="1"/>
  <c r="CIS6" i="20" s="1"/>
  <c r="CIR6" i="20" a="1"/>
  <c r="CIR6" i="20" s="1"/>
  <c r="CIQ6" i="20" a="1"/>
  <c r="CIQ6" i="20" s="1"/>
  <c r="CIP6" i="20"/>
  <c r="CIP6" i="20" a="1"/>
  <c r="CIO6" i="20" a="1"/>
  <c r="CIO6" i="20" s="1"/>
  <c r="CIN6" i="20" a="1"/>
  <c r="CIN6" i="20" s="1"/>
  <c r="CIM6" i="20" a="1"/>
  <c r="CIM6" i="20" s="1"/>
  <c r="CIL6" i="20" a="1"/>
  <c r="CIL6" i="20" s="1"/>
  <c r="CIK6" i="20" a="1"/>
  <c r="CIK6" i="20" s="1"/>
  <c r="CIJ6" i="20"/>
  <c r="CIJ6" i="20" a="1"/>
  <c r="CII6" i="20" a="1"/>
  <c r="CII6" i="20" s="1"/>
  <c r="CIH6" i="20" a="1"/>
  <c r="CIH6" i="20" s="1"/>
  <c r="CIG6" i="20" a="1"/>
  <c r="CIG6" i="20" s="1"/>
  <c r="CIF6" i="20" a="1"/>
  <c r="CIF6" i="20" s="1"/>
  <c r="CIE6" i="20" a="1"/>
  <c r="CIE6" i="20" s="1"/>
  <c r="CID6" i="20"/>
  <c r="CID6" i="20" a="1"/>
  <c r="CIC6" i="20"/>
  <c r="CIC6" i="20" a="1"/>
  <c r="CIB6" i="20" a="1"/>
  <c r="CIB6" i="20" s="1"/>
  <c r="CIA6" i="20" a="1"/>
  <c r="CIA6" i="20" s="1"/>
  <c r="CHZ6" i="20" a="1"/>
  <c r="CHZ6" i="20" s="1"/>
  <c r="CHY6" i="20" a="1"/>
  <c r="CHY6" i="20" s="1"/>
  <c r="CHX6" i="20" a="1"/>
  <c r="CHX6" i="20" s="1"/>
  <c r="CHW6" i="20"/>
  <c r="CHW6" i="20" a="1"/>
  <c r="CHV6" i="20" a="1"/>
  <c r="CHV6" i="20" s="1"/>
  <c r="CHU6" i="20" a="1"/>
  <c r="CHU6" i="20" s="1"/>
  <c r="CHT6" i="20" a="1"/>
  <c r="CHT6" i="20" s="1"/>
  <c r="CHS6" i="20" a="1"/>
  <c r="CHS6" i="20" s="1"/>
  <c r="CHR6" i="20"/>
  <c r="CHR6" i="20" a="1"/>
  <c r="CHQ6" i="20" a="1"/>
  <c r="CHQ6" i="20" s="1"/>
  <c r="CHP6" i="20" a="1"/>
  <c r="CHP6" i="20" s="1"/>
  <c r="CHO6" i="20" a="1"/>
  <c r="CHO6" i="20" s="1"/>
  <c r="CHN6" i="20" a="1"/>
  <c r="CHN6" i="20" s="1"/>
  <c r="CHM6" i="20" a="1"/>
  <c r="CHM6" i="20" s="1"/>
  <c r="CHL6" i="20"/>
  <c r="CHL6" i="20" a="1"/>
  <c r="CHK6" i="20" a="1"/>
  <c r="CHK6" i="20" s="1"/>
  <c r="CHJ6" i="20" a="1"/>
  <c r="CHJ6" i="20" s="1"/>
  <c r="CHI6" i="20" a="1"/>
  <c r="CHI6" i="20" s="1"/>
  <c r="CHH6" i="20" a="1"/>
  <c r="CHH6" i="20" s="1"/>
  <c r="CHG6" i="20" a="1"/>
  <c r="CHG6" i="20" s="1"/>
  <c r="CHF6" i="20"/>
  <c r="CHF6" i="20" a="1"/>
  <c r="CHE6" i="20"/>
  <c r="CHE6" i="20" a="1"/>
  <c r="CHD6" i="20" a="1"/>
  <c r="CHD6" i="20" s="1"/>
  <c r="CHC6" i="20" a="1"/>
  <c r="CHC6" i="20" s="1"/>
  <c r="CHB6" i="20" a="1"/>
  <c r="CHB6" i="20" s="1"/>
  <c r="CHA6" i="20" a="1"/>
  <c r="CHA6" i="20" s="1"/>
  <c r="CGZ6" i="20" a="1"/>
  <c r="CGZ6" i="20" s="1"/>
  <c r="CGY6" i="20"/>
  <c r="CGY6" i="20" a="1"/>
  <c r="CGX6" i="20" a="1"/>
  <c r="CGX6" i="20" s="1"/>
  <c r="CGW6" i="20" a="1"/>
  <c r="CGW6" i="20" s="1"/>
  <c r="CGV6" i="20" a="1"/>
  <c r="CGV6" i="20" s="1"/>
  <c r="CGU6" i="20" a="1"/>
  <c r="CGU6" i="20" s="1"/>
  <c r="CGT6" i="20"/>
  <c r="CGT6" i="20" a="1"/>
  <c r="CGS6" i="20" a="1"/>
  <c r="CGS6" i="20" s="1"/>
  <c r="CGR6" i="20" a="1"/>
  <c r="CGR6" i="20" s="1"/>
  <c r="CGQ6" i="20" a="1"/>
  <c r="CGQ6" i="20" s="1"/>
  <c r="CGP6" i="20" a="1"/>
  <c r="CGP6" i="20" s="1"/>
  <c r="CGO6" i="20" a="1"/>
  <c r="CGO6" i="20" s="1"/>
  <c r="CGN6" i="20"/>
  <c r="CGN6" i="20" a="1"/>
  <c r="CGM6" i="20" a="1"/>
  <c r="CGM6" i="20" s="1"/>
  <c r="CGL6" i="20" a="1"/>
  <c r="CGL6" i="20" s="1"/>
  <c r="CGK6" i="20" a="1"/>
  <c r="CGK6" i="20" s="1"/>
  <c r="CGJ6" i="20" a="1"/>
  <c r="CGJ6" i="20" s="1"/>
  <c r="CGI6" i="20" a="1"/>
  <c r="CGI6" i="20" s="1"/>
  <c r="CGH6" i="20"/>
  <c r="CGH6" i="20" a="1"/>
  <c r="CGG6" i="20"/>
  <c r="CGG6" i="20" a="1"/>
  <c r="CGF6" i="20" a="1"/>
  <c r="CGF6" i="20" s="1"/>
  <c r="CGE6" i="20" a="1"/>
  <c r="CGE6" i="20" s="1"/>
  <c r="CGD6" i="20" a="1"/>
  <c r="CGD6" i="20" s="1"/>
  <c r="CGC6" i="20" a="1"/>
  <c r="CGC6" i="20" s="1"/>
  <c r="CGB6" i="20" a="1"/>
  <c r="CGB6" i="20" s="1"/>
  <c r="CGA6" i="20"/>
  <c r="CGA6" i="20" a="1"/>
  <c r="CFZ6" i="20" a="1"/>
  <c r="CFZ6" i="20" s="1"/>
  <c r="CFY6" i="20" a="1"/>
  <c r="CFY6" i="20" s="1"/>
  <c r="CFX6" i="20" a="1"/>
  <c r="CFX6" i="20" s="1"/>
  <c r="CFW6" i="20" a="1"/>
  <c r="CFW6" i="20" s="1"/>
  <c r="CFV6" i="20"/>
  <c r="CFV6" i="20" a="1"/>
  <c r="CFU6" i="20" a="1"/>
  <c r="CFU6" i="20" s="1"/>
  <c r="CFT6" i="20" a="1"/>
  <c r="CFT6" i="20" s="1"/>
  <c r="CFS6" i="20" a="1"/>
  <c r="CFS6" i="20" s="1"/>
  <c r="CFR6" i="20" a="1"/>
  <c r="CFR6" i="20" s="1"/>
  <c r="CFQ6" i="20" a="1"/>
  <c r="CFQ6" i="20" s="1"/>
  <c r="CFP6" i="20"/>
  <c r="CFP6" i="20" a="1"/>
  <c r="CFO6" i="20" a="1"/>
  <c r="CFO6" i="20" s="1"/>
  <c r="CFN6" i="20" a="1"/>
  <c r="CFN6" i="20" s="1"/>
  <c r="CFM6" i="20" a="1"/>
  <c r="CFM6" i="20" s="1"/>
  <c r="CFL6" i="20" a="1"/>
  <c r="CFL6" i="20" s="1"/>
  <c r="CFK6" i="20" a="1"/>
  <c r="CFK6" i="20" s="1"/>
  <c r="CFJ6" i="20"/>
  <c r="CFJ6" i="20" a="1"/>
  <c r="CFI6" i="20"/>
  <c r="CFI6" i="20" a="1"/>
  <c r="CFH6" i="20" a="1"/>
  <c r="CFH6" i="20" s="1"/>
  <c r="CFG6" i="20" a="1"/>
  <c r="CFG6" i="20" s="1"/>
  <c r="CFF6" i="20" a="1"/>
  <c r="CFF6" i="20" s="1"/>
  <c r="CFE6" i="20" a="1"/>
  <c r="CFE6" i="20" s="1"/>
  <c r="CFD6" i="20" a="1"/>
  <c r="CFD6" i="20" s="1"/>
  <c r="CFC6" i="20"/>
  <c r="CFC6" i="20" a="1"/>
  <c r="CFB6" i="20" a="1"/>
  <c r="CFB6" i="20" s="1"/>
  <c r="CFA6" i="20" a="1"/>
  <c r="CFA6" i="20" s="1"/>
  <c r="CEZ6" i="20" a="1"/>
  <c r="CEZ6" i="20" s="1"/>
  <c r="CEY6" i="20" a="1"/>
  <c r="CEY6" i="20" s="1"/>
  <c r="CEX6" i="20"/>
  <c r="CEX6" i="20" a="1"/>
  <c r="CEW6" i="20" a="1"/>
  <c r="CEW6" i="20" s="1"/>
  <c r="CEV6" i="20" a="1"/>
  <c r="CEV6" i="20" s="1"/>
  <c r="CEU6" i="20" a="1"/>
  <c r="CEU6" i="20" s="1"/>
  <c r="CET6" i="20" a="1"/>
  <c r="CET6" i="20" s="1"/>
  <c r="CES6" i="20" a="1"/>
  <c r="CES6" i="20" s="1"/>
  <c r="CER6" i="20"/>
  <c r="CER6" i="20" a="1"/>
  <c r="CEQ6" i="20" a="1"/>
  <c r="CEQ6" i="20" s="1"/>
  <c r="CEP6" i="20" a="1"/>
  <c r="CEP6" i="20" s="1"/>
  <c r="CEO6" i="20" a="1"/>
  <c r="CEO6" i="20" s="1"/>
  <c r="CEN6" i="20" a="1"/>
  <c r="CEN6" i="20" s="1"/>
  <c r="CEM6" i="20" a="1"/>
  <c r="CEM6" i="20" s="1"/>
  <c r="CEL6" i="20"/>
  <c r="CEL6" i="20" a="1"/>
  <c r="CEK6" i="20"/>
  <c r="CEK6" i="20" a="1"/>
  <c r="CEJ6" i="20" a="1"/>
  <c r="CEJ6" i="20" s="1"/>
  <c r="CEI6" i="20" a="1"/>
  <c r="CEI6" i="20" s="1"/>
  <c r="CEH6" i="20" a="1"/>
  <c r="CEH6" i="20" s="1"/>
  <c r="CEG6" i="20" a="1"/>
  <c r="CEG6" i="20" s="1"/>
  <c r="CEF6" i="20" a="1"/>
  <c r="CEF6" i="20" s="1"/>
  <c r="CEE6" i="20"/>
  <c r="CEE6" i="20" a="1"/>
  <c r="CED6" i="20" a="1"/>
  <c r="CED6" i="20" s="1"/>
  <c r="CEC6" i="20" a="1"/>
  <c r="CEC6" i="20" s="1"/>
  <c r="CEB6" i="20" a="1"/>
  <c r="CEB6" i="20" s="1"/>
  <c r="CEA6" i="20" a="1"/>
  <c r="CEA6" i="20" s="1"/>
  <c r="CDZ6" i="20"/>
  <c r="CDZ6" i="20" a="1"/>
  <c r="CDY6" i="20" a="1"/>
  <c r="CDY6" i="20" s="1"/>
  <c r="CDX6" i="20" a="1"/>
  <c r="CDX6" i="20" s="1"/>
  <c r="CDW6" i="20" a="1"/>
  <c r="CDW6" i="20" s="1"/>
  <c r="CDV6" i="20" a="1"/>
  <c r="CDV6" i="20" s="1"/>
  <c r="CDU6" i="20" a="1"/>
  <c r="CDU6" i="20" s="1"/>
  <c r="CDT6" i="20"/>
  <c r="CDT6" i="20" a="1"/>
  <c r="CDS6" i="20" a="1"/>
  <c r="CDS6" i="20" s="1"/>
  <c r="CDR6" i="20" a="1"/>
  <c r="CDR6" i="20" s="1"/>
  <c r="CDQ6" i="20" a="1"/>
  <c r="CDQ6" i="20" s="1"/>
  <c r="CDP6" i="20" a="1"/>
  <c r="CDP6" i="20" s="1"/>
  <c r="CDO6" i="20" a="1"/>
  <c r="CDO6" i="20" s="1"/>
  <c r="CDN6" i="20"/>
  <c r="CDN6" i="20" a="1"/>
  <c r="CDM6" i="20"/>
  <c r="CDM6" i="20" a="1"/>
  <c r="CDL6" i="20" a="1"/>
  <c r="CDL6" i="20" s="1"/>
  <c r="CDK6" i="20" a="1"/>
  <c r="CDK6" i="20" s="1"/>
  <c r="CDJ6" i="20" a="1"/>
  <c r="CDJ6" i="20" s="1"/>
  <c r="CDI6" i="20" a="1"/>
  <c r="CDI6" i="20" s="1"/>
  <c r="CDH6" i="20" a="1"/>
  <c r="CDH6" i="20" s="1"/>
  <c r="CDG6" i="20"/>
  <c r="CDG6" i="20" a="1"/>
  <c r="CDF6" i="20" a="1"/>
  <c r="CDF6" i="20" s="1"/>
  <c r="CDE6" i="20" a="1"/>
  <c r="CDE6" i="20" s="1"/>
  <c r="CDD6" i="20" a="1"/>
  <c r="CDD6" i="20" s="1"/>
  <c r="CDC6" i="20" a="1"/>
  <c r="CDC6" i="20" s="1"/>
  <c r="CDB6" i="20"/>
  <c r="CDB6" i="20" a="1"/>
  <c r="CDA6" i="20" a="1"/>
  <c r="CDA6" i="20" s="1"/>
  <c r="CCZ6" i="20" a="1"/>
  <c r="CCZ6" i="20" s="1"/>
  <c r="CCY6" i="20" a="1"/>
  <c r="CCY6" i="20" s="1"/>
  <c r="CCX6" i="20" a="1"/>
  <c r="CCX6" i="20" s="1"/>
  <c r="CCW6" i="20" a="1"/>
  <c r="CCW6" i="20" s="1"/>
  <c r="CCV6" i="20"/>
  <c r="CCV6" i="20" a="1"/>
  <c r="CCU6" i="20" a="1"/>
  <c r="CCU6" i="20" s="1"/>
  <c r="CCT6" i="20" a="1"/>
  <c r="CCT6" i="20" s="1"/>
  <c r="CCS6" i="20" a="1"/>
  <c r="CCS6" i="20" s="1"/>
  <c r="CCR6" i="20" a="1"/>
  <c r="CCR6" i="20" s="1"/>
  <c r="CCQ6" i="20" a="1"/>
  <c r="CCQ6" i="20" s="1"/>
  <c r="CCP6" i="20"/>
  <c r="CCP6" i="20" a="1"/>
  <c r="CCO6" i="20"/>
  <c r="CCO6" i="20" a="1"/>
  <c r="CCN6" i="20" a="1"/>
  <c r="CCN6" i="20" s="1"/>
  <c r="CCM6" i="20" a="1"/>
  <c r="CCM6" i="20" s="1"/>
  <c r="CCL6" i="20" a="1"/>
  <c r="CCL6" i="20" s="1"/>
  <c r="CCK6" i="20" a="1"/>
  <c r="CCK6" i="20" s="1"/>
  <c r="CCJ6" i="20" a="1"/>
  <c r="CCJ6" i="20" s="1"/>
  <c r="CCI6" i="20"/>
  <c r="CCI6" i="20" a="1"/>
  <c r="CCH6" i="20" a="1"/>
  <c r="CCH6" i="20" s="1"/>
  <c r="CCG6" i="20" a="1"/>
  <c r="CCG6" i="20" s="1"/>
  <c r="CCF6" i="20" a="1"/>
  <c r="CCF6" i="20" s="1"/>
  <c r="CCE6" i="20" a="1"/>
  <c r="CCE6" i="20" s="1"/>
  <c r="CCD6" i="20"/>
  <c r="CCD6" i="20" a="1"/>
  <c r="CCC6" i="20" a="1"/>
  <c r="CCC6" i="20" s="1"/>
  <c r="CCB6" i="20" a="1"/>
  <c r="CCB6" i="20" s="1"/>
  <c r="CCA6" i="20" a="1"/>
  <c r="CCA6" i="20" s="1"/>
  <c r="CBZ6" i="20" a="1"/>
  <c r="CBZ6" i="20" s="1"/>
  <c r="CBY6" i="20" a="1"/>
  <c r="CBY6" i="20" s="1"/>
  <c r="CBX6" i="20"/>
  <c r="CBX6" i="20" a="1"/>
  <c r="CBW6" i="20" a="1"/>
  <c r="CBW6" i="20" s="1"/>
  <c r="CBV6" i="20" a="1"/>
  <c r="CBV6" i="20" s="1"/>
  <c r="CBU6" i="20" a="1"/>
  <c r="CBU6" i="20" s="1"/>
  <c r="CBT6" i="20" a="1"/>
  <c r="CBT6" i="20" s="1"/>
  <c r="CBS6" i="20" a="1"/>
  <c r="CBS6" i="20" s="1"/>
  <c r="CBR6" i="20"/>
  <c r="CBR6" i="20" a="1"/>
  <c r="CBQ6" i="20"/>
  <c r="CBQ6" i="20" a="1"/>
  <c r="CBP6" i="20" a="1"/>
  <c r="CBP6" i="20" s="1"/>
  <c r="CBO6" i="20" a="1"/>
  <c r="CBO6" i="20" s="1"/>
  <c r="CBN6" i="20" a="1"/>
  <c r="CBN6" i="20" s="1"/>
  <c r="CBM6" i="20" a="1"/>
  <c r="CBM6" i="20" s="1"/>
  <c r="CBL6" i="20" a="1"/>
  <c r="CBL6" i="20" s="1"/>
  <c r="CBK6" i="20"/>
  <c r="CBK6" i="20" a="1"/>
  <c r="CBJ6" i="20" a="1"/>
  <c r="CBJ6" i="20" s="1"/>
  <c r="CBI6" i="20" a="1"/>
  <c r="CBI6" i="20" s="1"/>
  <c r="CBH6" i="20" a="1"/>
  <c r="CBH6" i="20" s="1"/>
  <c r="CBG6" i="20" a="1"/>
  <c r="CBG6" i="20" s="1"/>
  <c r="CBF6" i="20"/>
  <c r="CBF6" i="20" a="1"/>
  <c r="CBE6" i="20" a="1"/>
  <c r="CBE6" i="20" s="1"/>
  <c r="CBD6" i="20" a="1"/>
  <c r="CBD6" i="20" s="1"/>
  <c r="CBC6" i="20" a="1"/>
  <c r="CBC6" i="20" s="1"/>
  <c r="CBB6" i="20" a="1"/>
  <c r="CBB6" i="20" s="1"/>
  <c r="CBA6" i="20" a="1"/>
  <c r="CBA6" i="20" s="1"/>
  <c r="CAZ6" i="20"/>
  <c r="CAZ6" i="20" a="1"/>
  <c r="CAY6" i="20" a="1"/>
  <c r="CAY6" i="20" s="1"/>
  <c r="CAX6" i="20" a="1"/>
  <c r="CAX6" i="20" s="1"/>
  <c r="CAW6" i="20" a="1"/>
  <c r="CAW6" i="20" s="1"/>
  <c r="CAV6" i="20" a="1"/>
  <c r="CAV6" i="20" s="1"/>
  <c r="CAU6" i="20" a="1"/>
  <c r="CAU6" i="20" s="1"/>
  <c r="CAT6" i="20"/>
  <c r="CAT6" i="20" a="1"/>
  <c r="CAS6" i="20"/>
  <c r="CAS6" i="20" a="1"/>
  <c r="CAR6" i="20" a="1"/>
  <c r="CAR6" i="20" s="1"/>
  <c r="CAQ6" i="20" a="1"/>
  <c r="CAQ6" i="20" s="1"/>
  <c r="CAP6" i="20" a="1"/>
  <c r="CAP6" i="20" s="1"/>
  <c r="CAO6" i="20" a="1"/>
  <c r="CAO6" i="20" s="1"/>
  <c r="CAN6" i="20" a="1"/>
  <c r="CAN6" i="20" s="1"/>
  <c r="CAM6" i="20"/>
  <c r="CAM6" i="20" a="1"/>
  <c r="CAL6" i="20" a="1"/>
  <c r="CAL6" i="20" s="1"/>
  <c r="CAK6" i="20" a="1"/>
  <c r="CAK6" i="20" s="1"/>
  <c r="CAJ6" i="20" a="1"/>
  <c r="CAJ6" i="20" s="1"/>
  <c r="CAI6" i="20" a="1"/>
  <c r="CAI6" i="20" s="1"/>
  <c r="CAH6" i="20"/>
  <c r="CAH6" i="20" a="1"/>
  <c r="CAG6" i="20" a="1"/>
  <c r="CAG6" i="20" s="1"/>
  <c r="CAF6" i="20" a="1"/>
  <c r="CAF6" i="20" s="1"/>
  <c r="CAE6" i="20" a="1"/>
  <c r="CAE6" i="20" s="1"/>
  <c r="CAD6" i="20" a="1"/>
  <c r="CAD6" i="20" s="1"/>
  <c r="CAC6" i="20" a="1"/>
  <c r="CAC6" i="20" s="1"/>
  <c r="CAB6" i="20"/>
  <c r="CAB6" i="20" a="1"/>
  <c r="CAA6" i="20" a="1"/>
  <c r="CAA6" i="20" s="1"/>
  <c r="BZZ6" i="20" a="1"/>
  <c r="BZZ6" i="20" s="1"/>
  <c r="BZY6" i="20" a="1"/>
  <c r="BZY6" i="20" s="1"/>
  <c r="BZX6" i="20" a="1"/>
  <c r="BZX6" i="20" s="1"/>
  <c r="BZW6" i="20" a="1"/>
  <c r="BZW6" i="20" s="1"/>
  <c r="BZV6" i="20"/>
  <c r="BZV6" i="20" a="1"/>
  <c r="BZU6" i="20"/>
  <c r="BZU6" i="20" a="1"/>
  <c r="BZT6" i="20" a="1"/>
  <c r="BZT6" i="20" s="1"/>
  <c r="BZS6" i="20" a="1"/>
  <c r="BZS6" i="20" s="1"/>
  <c r="BZR6" i="20" a="1"/>
  <c r="BZR6" i="20" s="1"/>
  <c r="BZQ6" i="20" a="1"/>
  <c r="BZQ6" i="20" s="1"/>
  <c r="BZP6" i="20" a="1"/>
  <c r="BZP6" i="20" s="1"/>
  <c r="BZO6" i="20"/>
  <c r="BZO6" i="20" a="1"/>
  <c r="BZN6" i="20" a="1"/>
  <c r="BZN6" i="20" s="1"/>
  <c r="BZM6" i="20" a="1"/>
  <c r="BZM6" i="20" s="1"/>
  <c r="BZL6" i="20" a="1"/>
  <c r="BZL6" i="20" s="1"/>
  <c r="BZK6" i="20" a="1"/>
  <c r="BZK6" i="20" s="1"/>
  <c r="BZJ6" i="20"/>
  <c r="BZJ6" i="20" a="1"/>
  <c r="BZI6" i="20" a="1"/>
  <c r="BZI6" i="20" s="1"/>
  <c r="BZH6" i="20" a="1"/>
  <c r="BZH6" i="20" s="1"/>
  <c r="BZG6" i="20" a="1"/>
  <c r="BZG6" i="20" s="1"/>
  <c r="BZF6" i="20" a="1"/>
  <c r="BZF6" i="20" s="1"/>
  <c r="BZE6" i="20" a="1"/>
  <c r="BZE6" i="20" s="1"/>
  <c r="BZD6" i="20"/>
  <c r="BZD6" i="20" a="1"/>
  <c r="BZC6" i="20" a="1"/>
  <c r="BZC6" i="20" s="1"/>
  <c r="BZB6" i="20" a="1"/>
  <c r="BZB6" i="20" s="1"/>
  <c r="BZA6" i="20" a="1"/>
  <c r="BZA6" i="20" s="1"/>
  <c r="BYZ6" i="20" a="1"/>
  <c r="BYZ6" i="20" s="1"/>
  <c r="BYY6" i="20" a="1"/>
  <c r="BYY6" i="20" s="1"/>
  <c r="BYX6" i="20"/>
  <c r="BYX6" i="20" a="1"/>
  <c r="BYW6" i="20"/>
  <c r="BYW6" i="20" a="1"/>
  <c r="BYV6" i="20" a="1"/>
  <c r="BYV6" i="20" s="1"/>
  <c r="BYU6" i="20" a="1"/>
  <c r="BYU6" i="20" s="1"/>
  <c r="BYT6" i="20" a="1"/>
  <c r="BYT6" i="20" s="1"/>
  <c r="BYS6" i="20" a="1"/>
  <c r="BYS6" i="20" s="1"/>
  <c r="BYR6" i="20" a="1"/>
  <c r="BYR6" i="20" s="1"/>
  <c r="BYQ6" i="20"/>
  <c r="BYQ6" i="20" a="1"/>
  <c r="BYP6" i="20" a="1"/>
  <c r="BYP6" i="20" s="1"/>
  <c r="BYO6" i="20" a="1"/>
  <c r="BYO6" i="20" s="1"/>
  <c r="BYN6" i="20" a="1"/>
  <c r="BYN6" i="20" s="1"/>
  <c r="BYM6" i="20" a="1"/>
  <c r="BYM6" i="20" s="1"/>
  <c r="BYL6" i="20"/>
  <c r="BYL6" i="20" a="1"/>
  <c r="BYK6" i="20" a="1"/>
  <c r="BYK6" i="20" s="1"/>
  <c r="BYJ6" i="20" a="1"/>
  <c r="BYJ6" i="20" s="1"/>
  <c r="BYI6" i="20" a="1"/>
  <c r="BYI6" i="20" s="1"/>
  <c r="BYH6" i="20" a="1"/>
  <c r="BYH6" i="20" s="1"/>
  <c r="BYG6" i="20" a="1"/>
  <c r="BYG6" i="20" s="1"/>
  <c r="BYF6" i="20"/>
  <c r="BYF6" i="20" a="1"/>
  <c r="BYE6" i="20" a="1"/>
  <c r="BYE6" i="20" s="1"/>
  <c r="BYD6" i="20" a="1"/>
  <c r="BYD6" i="20" s="1"/>
  <c r="BYC6" i="20" a="1"/>
  <c r="BYC6" i="20" s="1"/>
  <c r="BYB6" i="20" a="1"/>
  <c r="BYB6" i="20" s="1"/>
  <c r="BYA6" i="20"/>
  <c r="BYA6" i="20" a="1"/>
  <c r="BXZ6" i="20" a="1"/>
  <c r="BXZ6" i="20" s="1"/>
  <c r="BXY6" i="20"/>
  <c r="BXY6" i="20" a="1"/>
  <c r="BXX6" i="20" a="1"/>
  <c r="BXX6" i="20" s="1"/>
  <c r="BXW6" i="20"/>
  <c r="BXW6" i="20" a="1"/>
  <c r="BXV6" i="20" a="1"/>
  <c r="BXV6" i="20" s="1"/>
  <c r="BXU6" i="20" a="1"/>
  <c r="BXU6" i="20" s="1"/>
  <c r="BXT6" i="20"/>
  <c r="BXT6" i="20" a="1"/>
  <c r="BXS6" i="20" a="1"/>
  <c r="BXS6" i="20" s="1"/>
  <c r="BXR6" i="20" a="1"/>
  <c r="BXR6" i="20" s="1"/>
  <c r="BXQ6" i="20" a="1"/>
  <c r="BXQ6" i="20" s="1"/>
  <c r="BXP6" i="20" a="1"/>
  <c r="BXP6" i="20" s="1"/>
  <c r="BXO6" i="20" a="1"/>
  <c r="BXO6" i="20" s="1"/>
  <c r="BXN6" i="20" a="1"/>
  <c r="BXN6" i="20" s="1"/>
  <c r="BXM6" i="20"/>
  <c r="BXM6" i="20" a="1"/>
  <c r="BXL6" i="20" a="1"/>
  <c r="BXL6" i="20" s="1"/>
  <c r="BXK6" i="20"/>
  <c r="BXK6" i="20" a="1"/>
  <c r="BXJ6" i="20" a="1"/>
  <c r="BXJ6" i="20" s="1"/>
  <c r="BXI6" i="20" a="1"/>
  <c r="BXI6" i="20" s="1"/>
  <c r="BXH6" i="20" a="1"/>
  <c r="BXH6" i="20" s="1"/>
  <c r="BXG6" i="20" a="1"/>
  <c r="BXG6" i="20" s="1"/>
  <c r="BXF6" i="20" a="1"/>
  <c r="BXF6" i="20" s="1"/>
  <c r="BXE6" i="20"/>
  <c r="BXE6" i="20" a="1"/>
  <c r="BXD6" i="20" a="1"/>
  <c r="BXD6" i="20" s="1"/>
  <c r="BXC6" i="20"/>
  <c r="BXC6" i="20" a="1"/>
  <c r="BXB6" i="20" a="1"/>
  <c r="BXB6" i="20" s="1"/>
  <c r="BXA6" i="20" a="1"/>
  <c r="BXA6" i="20" s="1"/>
  <c r="BWZ6" i="20" a="1"/>
  <c r="BWZ6" i="20" s="1"/>
  <c r="BWY6" i="20" a="1"/>
  <c r="BWY6" i="20" s="1"/>
  <c r="BWX6" i="20" a="1"/>
  <c r="BWX6" i="20" s="1"/>
  <c r="BWW6" i="20" a="1"/>
  <c r="BWW6" i="20" s="1"/>
  <c r="BWV6" i="20"/>
  <c r="BWV6" i="20" a="1"/>
  <c r="BWU6" i="20" a="1"/>
  <c r="BWU6" i="20" s="1"/>
  <c r="BWT6" i="20" a="1"/>
  <c r="BWT6" i="20" s="1"/>
  <c r="BWS6" i="20" a="1"/>
  <c r="BWS6" i="20" s="1"/>
  <c r="BWR6" i="20" a="1"/>
  <c r="BWR6" i="20" s="1"/>
  <c r="BWQ6" i="20"/>
  <c r="BWQ6" i="20" a="1"/>
  <c r="BWP6" i="20" a="1"/>
  <c r="BWP6" i="20" s="1"/>
  <c r="BWO6" i="20"/>
  <c r="BWO6" i="20" a="1"/>
  <c r="BWN6" i="20" a="1"/>
  <c r="BWN6" i="20" s="1"/>
  <c r="BWM6" i="20"/>
  <c r="BWM6" i="20" a="1"/>
  <c r="BWL6" i="20" a="1"/>
  <c r="BWL6" i="20" s="1"/>
  <c r="BWK6" i="20" a="1"/>
  <c r="BWK6" i="20" s="1"/>
  <c r="BWJ6" i="20"/>
  <c r="BWJ6" i="20" a="1"/>
  <c r="BWI6" i="20" a="1"/>
  <c r="BWI6" i="20" s="1"/>
  <c r="BWH6" i="20" a="1"/>
  <c r="BWH6" i="20" s="1"/>
  <c r="BWG6" i="20" a="1"/>
  <c r="BWG6" i="20" s="1"/>
  <c r="BWF6" i="20" a="1"/>
  <c r="BWF6" i="20" s="1"/>
  <c r="BWE6" i="20" a="1"/>
  <c r="BWE6" i="20" s="1"/>
  <c r="BWD6" i="20" a="1"/>
  <c r="BWD6" i="20" s="1"/>
  <c r="BWC6" i="20"/>
  <c r="BWC6" i="20" a="1"/>
  <c r="BWB6" i="20" a="1"/>
  <c r="BWB6" i="20" s="1"/>
  <c r="BWA6" i="20"/>
  <c r="BWA6" i="20" a="1"/>
  <c r="BVZ6" i="20" a="1"/>
  <c r="BVZ6" i="20" s="1"/>
  <c r="BVY6" i="20" a="1"/>
  <c r="BVY6" i="20" s="1"/>
  <c r="BVX6" i="20" a="1"/>
  <c r="BVX6" i="20" s="1"/>
  <c r="BVW6" i="20" a="1"/>
  <c r="BVW6" i="20" s="1"/>
  <c r="BVV6" i="20" a="1"/>
  <c r="BVV6" i="20" s="1"/>
  <c r="BVU6" i="20"/>
  <c r="BVU6" i="20" a="1"/>
  <c r="BVT6" i="20" a="1"/>
  <c r="BVT6" i="20" s="1"/>
  <c r="BVS6" i="20"/>
  <c r="BVS6" i="20" a="1"/>
  <c r="BVR6" i="20" a="1"/>
  <c r="BVR6" i="20" s="1"/>
  <c r="BVQ6" i="20" a="1"/>
  <c r="BVQ6" i="20" s="1"/>
  <c r="BVP6" i="20" a="1"/>
  <c r="BVP6" i="20" s="1"/>
  <c r="BVO6" i="20" a="1"/>
  <c r="BVO6" i="20" s="1"/>
  <c r="BVN6" i="20" a="1"/>
  <c r="BVN6" i="20" s="1"/>
  <c r="BVM6" i="20" a="1"/>
  <c r="BVM6" i="20" s="1"/>
  <c r="BVL6" i="20"/>
  <c r="BVL6" i="20" a="1"/>
  <c r="BVK6" i="20" a="1"/>
  <c r="BVK6" i="20" s="1"/>
  <c r="BVJ6" i="20" a="1"/>
  <c r="BVJ6" i="20" s="1"/>
  <c r="BVI6" i="20"/>
  <c r="BVI6" i="20" a="1"/>
  <c r="BVH6" i="20" a="1"/>
  <c r="BVH6" i="20" s="1"/>
  <c r="BVG6" i="20"/>
  <c r="BVG6" i="20" a="1"/>
  <c r="BVF6" i="20" a="1"/>
  <c r="BVF6" i="20" s="1"/>
  <c r="BVE6" i="20"/>
  <c r="BVE6" i="20" a="1"/>
  <c r="BVD6" i="20" a="1"/>
  <c r="BVD6" i="20" s="1"/>
  <c r="BVC6" i="20"/>
  <c r="BVC6" i="20" a="1"/>
  <c r="BVB6" i="20" a="1"/>
  <c r="BVB6" i="20" s="1"/>
  <c r="BVA6" i="20" a="1"/>
  <c r="BVA6" i="20" s="1"/>
  <c r="BUZ6" i="20"/>
  <c r="BUZ6" i="20" a="1"/>
  <c r="BUY6" i="20" a="1"/>
  <c r="BUY6" i="20" s="1"/>
  <c r="BUX6" i="20" a="1"/>
  <c r="BUX6" i="20" s="1"/>
  <c r="BUW6" i="20" a="1"/>
  <c r="BUW6" i="20" s="1"/>
  <c r="BUV6" i="20" a="1"/>
  <c r="BUV6" i="20" s="1"/>
  <c r="BUU6" i="20" a="1"/>
  <c r="BUU6" i="20" s="1"/>
  <c r="BUT6" i="20" a="1"/>
  <c r="BUT6" i="20" s="1"/>
  <c r="BUS6" i="20"/>
  <c r="BUS6" i="20" a="1"/>
  <c r="BUR6" i="20" a="1"/>
  <c r="BUR6" i="20" s="1"/>
  <c r="BUQ6" i="20"/>
  <c r="BUQ6" i="20" a="1"/>
  <c r="BUP6" i="20" a="1"/>
  <c r="BUP6" i="20" s="1"/>
  <c r="BUO6" i="20" a="1"/>
  <c r="BUO6" i="20" s="1"/>
  <c r="BUN6" i="20" a="1"/>
  <c r="BUN6" i="20" s="1"/>
  <c r="BUM6" i="20" a="1"/>
  <c r="BUM6" i="20" s="1"/>
  <c r="BUL6" i="20" a="1"/>
  <c r="BUL6" i="20" s="1"/>
  <c r="BUK6" i="20"/>
  <c r="BUK6" i="20" a="1"/>
  <c r="BUJ6" i="20" a="1"/>
  <c r="BUJ6" i="20" s="1"/>
  <c r="BUI6" i="20"/>
  <c r="BUI6" i="20" a="1"/>
  <c r="BUH6" i="20" a="1"/>
  <c r="BUH6" i="20" s="1"/>
  <c r="BUG6" i="20" a="1"/>
  <c r="BUG6" i="20" s="1"/>
  <c r="BUF6" i="20" a="1"/>
  <c r="BUF6" i="20" s="1"/>
  <c r="BUE6" i="20" a="1"/>
  <c r="BUE6" i="20" s="1"/>
  <c r="BUD6" i="20" a="1"/>
  <c r="BUD6" i="20" s="1"/>
  <c r="BUC6" i="20" a="1"/>
  <c r="BUC6" i="20" s="1"/>
  <c r="BUB6" i="20"/>
  <c r="BUB6" i="20" a="1"/>
  <c r="BUA6" i="20" a="1"/>
  <c r="BUA6" i="20" s="1"/>
  <c r="BTZ6" i="20" a="1"/>
  <c r="BTZ6" i="20" s="1"/>
  <c r="BTY6" i="20"/>
  <c r="BTY6" i="20" a="1"/>
  <c r="BTX6" i="20" a="1"/>
  <c r="BTX6" i="20" s="1"/>
  <c r="BTW6" i="20"/>
  <c r="BTW6" i="20" a="1"/>
  <c r="BTV6" i="20" a="1"/>
  <c r="BTV6" i="20" s="1"/>
  <c r="BTU6" i="20"/>
  <c r="BTU6" i="20" a="1"/>
  <c r="BTT6" i="20" a="1"/>
  <c r="BTT6" i="20" s="1"/>
  <c r="BTS6" i="20"/>
  <c r="BTS6" i="20" a="1"/>
  <c r="BTR6" i="20" a="1"/>
  <c r="BTR6" i="20" s="1"/>
  <c r="BTQ6" i="20" a="1"/>
  <c r="BTQ6" i="20" s="1"/>
  <c r="BTP6" i="20"/>
  <c r="BTP6" i="20" a="1"/>
  <c r="BTO6" i="20" a="1"/>
  <c r="BTO6" i="20" s="1"/>
  <c r="BTN6" i="20" a="1"/>
  <c r="BTN6" i="20" s="1"/>
  <c r="BTM6" i="20" a="1"/>
  <c r="BTM6" i="20" s="1"/>
  <c r="BTL6" i="20" a="1"/>
  <c r="BTL6" i="20" s="1"/>
  <c r="BTK6" i="20" a="1"/>
  <c r="BTK6" i="20" s="1"/>
  <c r="BTJ6" i="20" a="1"/>
  <c r="BTJ6" i="20" s="1"/>
  <c r="BTI6" i="20"/>
  <c r="BTI6" i="20" a="1"/>
  <c r="BTH6" i="20" a="1"/>
  <c r="BTH6" i="20" s="1"/>
  <c r="BTG6" i="20"/>
  <c r="BTG6" i="20" a="1"/>
  <c r="BTF6" i="20" a="1"/>
  <c r="BTF6" i="20" s="1"/>
  <c r="BTE6" i="20" a="1"/>
  <c r="BTE6" i="20" s="1"/>
  <c r="BTD6" i="20" a="1"/>
  <c r="BTD6" i="20" s="1"/>
  <c r="BTC6" i="20" a="1"/>
  <c r="BTC6" i="20" s="1"/>
  <c r="BTB6" i="20" a="1"/>
  <c r="BTB6" i="20" s="1"/>
  <c r="BTA6" i="20"/>
  <c r="BTA6" i="20" a="1"/>
  <c r="BSZ6" i="20" a="1"/>
  <c r="BSZ6" i="20" s="1"/>
  <c r="BSY6" i="20"/>
  <c r="BSY6" i="20" a="1"/>
  <c r="BSX6" i="20" a="1"/>
  <c r="BSX6" i="20" s="1"/>
  <c r="BSW6" i="20" a="1"/>
  <c r="BSW6" i="20" s="1"/>
  <c r="BSV6" i="20" a="1"/>
  <c r="BSV6" i="20" s="1"/>
  <c r="BSU6" i="20" a="1"/>
  <c r="BSU6" i="20" s="1"/>
  <c r="BST6" i="20" a="1"/>
  <c r="BST6" i="20" s="1"/>
  <c r="BSS6" i="20" a="1"/>
  <c r="BSS6" i="20" s="1"/>
  <c r="BSR6" i="20"/>
  <c r="BSR6" i="20" a="1"/>
  <c r="BSQ6" i="20" a="1"/>
  <c r="BSQ6" i="20" s="1"/>
  <c r="BSP6" i="20" a="1"/>
  <c r="BSP6" i="20" s="1"/>
  <c r="BSO6" i="20"/>
  <c r="BSO6" i="20" a="1"/>
  <c r="BSN6" i="20" a="1"/>
  <c r="BSN6" i="20" s="1"/>
  <c r="BSM6" i="20"/>
  <c r="BSM6" i="20" a="1"/>
  <c r="BSL6" i="20" a="1"/>
  <c r="BSL6" i="20" s="1"/>
  <c r="BSK6" i="20"/>
  <c r="BSK6" i="20" a="1"/>
  <c r="BSJ6" i="20" a="1"/>
  <c r="BSJ6" i="20" s="1"/>
  <c r="BSI6" i="20"/>
  <c r="BSI6" i="20" a="1"/>
  <c r="BSH6" i="20" a="1"/>
  <c r="BSH6" i="20" s="1"/>
  <c r="BSG6" i="20" a="1"/>
  <c r="BSG6" i="20" s="1"/>
  <c r="BSF6" i="20"/>
  <c r="BSF6" i="20" a="1"/>
  <c r="BSE6" i="20" a="1"/>
  <c r="BSE6" i="20" s="1"/>
  <c r="BSD6" i="20" a="1"/>
  <c r="BSD6" i="20" s="1"/>
  <c r="BSC6" i="20" a="1"/>
  <c r="BSC6" i="20" s="1"/>
  <c r="BSB6" i="20"/>
  <c r="BSB6" i="20" a="1"/>
  <c r="BSA6" i="20"/>
  <c r="BSA6" i="20" a="1"/>
  <c r="BRZ6" i="20" a="1"/>
  <c r="BRZ6" i="20" s="1"/>
  <c r="BRY6" i="20"/>
  <c r="BRY6" i="20" a="1"/>
  <c r="BRX6" i="20" a="1"/>
  <c r="BRX6" i="20" s="1"/>
  <c r="BRW6" i="20"/>
  <c r="BRW6" i="20" a="1"/>
  <c r="BRV6" i="20" a="1"/>
  <c r="BRV6" i="20" s="1"/>
  <c r="BRU6" i="20" a="1"/>
  <c r="BRU6" i="20" s="1"/>
  <c r="BRT6" i="20" a="1"/>
  <c r="BRT6" i="20" s="1"/>
  <c r="BRS6" i="20"/>
  <c r="BRS6" i="20" a="1"/>
  <c r="BRR6" i="20" a="1"/>
  <c r="BRR6" i="20" s="1"/>
  <c r="BRQ6" i="20"/>
  <c r="BRQ6" i="20" a="1"/>
  <c r="BRP6" i="20" a="1"/>
  <c r="BRP6" i="20" s="1"/>
  <c r="BRO6" i="20"/>
  <c r="BRO6" i="20" a="1"/>
  <c r="BRN6" i="20"/>
  <c r="BRN6" i="20" a="1"/>
  <c r="BRM6" i="20" a="1"/>
  <c r="BRM6" i="20" s="1"/>
  <c r="BRL6" i="20" a="1"/>
  <c r="BRL6" i="20" s="1"/>
  <c r="BRK6" i="20" a="1"/>
  <c r="BRK6" i="20" s="1"/>
  <c r="BRJ6" i="20"/>
  <c r="BRJ6" i="20" a="1"/>
  <c r="BRI6" i="20" a="1"/>
  <c r="BRI6" i="20" s="1"/>
  <c r="BRH6" i="20" a="1"/>
  <c r="BRH6" i="20" s="1"/>
  <c r="BRG6" i="20" a="1"/>
  <c r="BRG6" i="20" s="1"/>
  <c r="BRF6" i="20" a="1"/>
  <c r="BRF6" i="20" s="1"/>
  <c r="BRE6" i="20"/>
  <c r="BRE6" i="20" a="1"/>
  <c r="BRD6" i="20"/>
  <c r="BRD6" i="20" a="1"/>
  <c r="BRC6" i="20" a="1"/>
  <c r="BRC6" i="20" s="1"/>
  <c r="BRB6" i="20"/>
  <c r="BRB6" i="20" a="1"/>
  <c r="BRA6" i="20"/>
  <c r="BRA6" i="20" a="1"/>
  <c r="BQZ6" i="20" a="1"/>
  <c r="BQZ6" i="20" s="1"/>
  <c r="BQY6" i="20"/>
  <c r="BQY6" i="20" a="1"/>
  <c r="BQX6" i="20" a="1"/>
  <c r="BQX6" i="20" s="1"/>
  <c r="BQW6" i="20"/>
  <c r="BQW6" i="20" a="1"/>
  <c r="BQV6" i="20" a="1"/>
  <c r="BQV6" i="20" s="1"/>
  <c r="BQU6" i="20" a="1"/>
  <c r="BQU6" i="20" s="1"/>
  <c r="BQT6" i="20" a="1"/>
  <c r="BQT6" i="20" s="1"/>
  <c r="BQS6" i="20" a="1"/>
  <c r="BQS6" i="20" s="1"/>
  <c r="BQR6" i="20"/>
  <c r="BQR6" i="20" a="1"/>
  <c r="BQQ6" i="20"/>
  <c r="BQQ6" i="20" a="1"/>
  <c r="BQP6" i="20" a="1"/>
  <c r="BQP6" i="20" s="1"/>
  <c r="BQO6" i="20"/>
  <c r="BQO6" i="20" a="1"/>
  <c r="BQN6" i="20" a="1"/>
  <c r="BQN6" i="20" s="1"/>
  <c r="BQM6" i="20" a="1"/>
  <c r="BQM6" i="20" s="1"/>
  <c r="BQL6" i="20"/>
  <c r="BQL6" i="20" a="1"/>
  <c r="BQK6" i="20" a="1"/>
  <c r="BQK6" i="20" s="1"/>
  <c r="BQJ6" i="20"/>
  <c r="BQJ6" i="20" a="1"/>
  <c r="BQI6" i="20" a="1"/>
  <c r="BQI6" i="20" s="1"/>
  <c r="BQH6" i="20" a="1"/>
  <c r="BQH6" i="20" s="1"/>
  <c r="BQG6" i="20"/>
  <c r="BQG6" i="20" a="1"/>
  <c r="BQF6" i="20" a="1"/>
  <c r="BQF6" i="20" s="1"/>
  <c r="BQE6" i="20"/>
  <c r="BQE6" i="20" a="1"/>
  <c r="BQD6" i="20"/>
  <c r="BQD6" i="20" a="1"/>
  <c r="BQC6" i="20" a="1"/>
  <c r="BQC6" i="20" s="1"/>
  <c r="BQB6" i="20" a="1"/>
  <c r="BQB6" i="20" s="1"/>
  <c r="BQA6" i="20" a="1"/>
  <c r="BQA6" i="20" s="1"/>
  <c r="BPZ6" i="20" a="1"/>
  <c r="BPZ6" i="20" s="1"/>
  <c r="BPY6" i="20"/>
  <c r="BPY6" i="20" a="1"/>
  <c r="BPX6" i="20" a="1"/>
  <c r="BPX6" i="20" s="1"/>
  <c r="BPW6" i="20"/>
  <c r="BPW6" i="20" a="1"/>
  <c r="BPV6" i="20" a="1"/>
  <c r="BPV6" i="20" s="1"/>
  <c r="BPU6" i="20"/>
  <c r="BPU6" i="20" a="1"/>
  <c r="BPT6" i="20"/>
  <c r="BPT6" i="20" a="1"/>
  <c r="BPS6" i="20"/>
  <c r="BPS6" i="20" a="1"/>
  <c r="BPR6" i="20"/>
  <c r="BPR6" i="20" a="1"/>
  <c r="BPQ6" i="20"/>
  <c r="BPQ6" i="20" a="1"/>
  <c r="BPP6" i="20" a="1"/>
  <c r="BPP6" i="20" s="1"/>
  <c r="BPO6" i="20" a="1"/>
  <c r="BPO6" i="20" s="1"/>
  <c r="BPN6" i="20" a="1"/>
  <c r="BPN6" i="20" s="1"/>
  <c r="BPM6" i="20" a="1"/>
  <c r="BPM6" i="20" s="1"/>
  <c r="BPL6" i="20"/>
  <c r="BPL6" i="20" a="1"/>
  <c r="BPK6" i="20" a="1"/>
  <c r="BPK6" i="20" s="1"/>
  <c r="BPJ6" i="20" a="1"/>
  <c r="BPJ6" i="20" s="1"/>
  <c r="BPI6" i="20" a="1"/>
  <c r="BPI6" i="20" s="1"/>
  <c r="BPH6" i="20"/>
  <c r="BPH6" i="20" a="1"/>
  <c r="BPG6" i="20"/>
  <c r="BPG6" i="20" a="1"/>
  <c r="BPF6" i="20"/>
  <c r="BPF6" i="20" a="1"/>
  <c r="BPE6" i="20"/>
  <c r="BPE6" i="20" a="1"/>
  <c r="BPD6" i="20" a="1"/>
  <c r="BPD6" i="20" s="1"/>
  <c r="BPC6" i="20"/>
  <c r="BPC6" i="20" a="1"/>
  <c r="BPB6" i="20" a="1"/>
  <c r="BPB6" i="20" s="1"/>
  <c r="BPA6" i="20" a="1"/>
  <c r="BPA6" i="20" s="1"/>
  <c r="BOZ6" i="20" a="1"/>
  <c r="BOZ6" i="20" s="1"/>
  <c r="BOY6" i="20"/>
  <c r="BOY6" i="20" a="1"/>
  <c r="BOX6" i="20" a="1"/>
  <c r="BOX6" i="20" s="1"/>
  <c r="BOW6" i="20"/>
  <c r="BOW6" i="20" a="1"/>
  <c r="BOV6" i="20" a="1"/>
  <c r="BOV6" i="20" s="1"/>
  <c r="BOU6" i="20"/>
  <c r="BOU6" i="20" a="1"/>
  <c r="BOT6" i="20"/>
  <c r="BOT6" i="20" a="1"/>
  <c r="BOS6" i="20" a="1"/>
  <c r="BOS6" i="20" s="1"/>
  <c r="BOR6" i="20" a="1"/>
  <c r="BOR6" i="20" s="1"/>
  <c r="BOQ6" i="20" a="1"/>
  <c r="BOQ6" i="20" s="1"/>
  <c r="BOP6" i="20"/>
  <c r="BOP6" i="20" a="1"/>
  <c r="BOO6" i="20" a="1"/>
  <c r="BOO6" i="20" s="1"/>
  <c r="BON6" i="20" a="1"/>
  <c r="BON6" i="20" s="1"/>
  <c r="BOM6" i="20" a="1"/>
  <c r="BOM6" i="20" s="1"/>
  <c r="BOL6" i="20" a="1"/>
  <c r="BOL6" i="20" s="1"/>
  <c r="BOK6" i="20"/>
  <c r="BOK6" i="20" a="1"/>
  <c r="BOJ6" i="20"/>
  <c r="BOJ6" i="20" a="1"/>
  <c r="BOI6" i="20" a="1"/>
  <c r="BOI6" i="20" s="1"/>
  <c r="BOH6" i="20"/>
  <c r="BOH6" i="20" a="1"/>
  <c r="BOG6" i="20"/>
  <c r="BOG6" i="20" a="1"/>
  <c r="BOF6" i="20" a="1"/>
  <c r="BOF6" i="20" s="1"/>
  <c r="BOE6" i="20"/>
  <c r="BOE6" i="20" a="1"/>
  <c r="BOD6" i="20" a="1"/>
  <c r="BOD6" i="20" s="1"/>
  <c r="BOC6" i="20"/>
  <c r="BOC6" i="20" a="1"/>
  <c r="BOB6" i="20" a="1"/>
  <c r="BOB6" i="20" s="1"/>
  <c r="BOA6" i="20" a="1"/>
  <c r="BOA6" i="20" s="1"/>
  <c r="BNZ6" i="20" a="1"/>
  <c r="BNZ6" i="20" s="1"/>
  <c r="BNY6" i="20"/>
  <c r="BNY6" i="20" a="1"/>
  <c r="BNX6" i="20"/>
  <c r="BNX6" i="20" a="1"/>
  <c r="BNW6" i="20"/>
  <c r="BNW6" i="20" a="1"/>
  <c r="BNV6" i="20" a="1"/>
  <c r="BNV6" i="20" s="1"/>
  <c r="BNU6" i="20"/>
  <c r="BNU6" i="20" a="1"/>
  <c r="BNT6" i="20" a="1"/>
  <c r="BNT6" i="20" s="1"/>
  <c r="BNS6" i="20" a="1"/>
  <c r="BNS6" i="20" s="1"/>
  <c r="BNR6" i="20"/>
  <c r="BNR6" i="20" a="1"/>
  <c r="BNQ6" i="20" a="1"/>
  <c r="BNQ6" i="20" s="1"/>
  <c r="BNP6" i="20"/>
  <c r="BNP6" i="20" a="1"/>
  <c r="BNO6" i="20" a="1"/>
  <c r="BNO6" i="20" s="1"/>
  <c r="BNN6" i="20" a="1"/>
  <c r="BNN6" i="20" s="1"/>
  <c r="BNM6" i="20"/>
  <c r="BNM6" i="20" a="1"/>
  <c r="BNL6" i="20" a="1"/>
  <c r="BNL6" i="20" s="1"/>
  <c r="BNK6" i="20"/>
  <c r="BNK6" i="20" a="1"/>
  <c r="BNJ6" i="20"/>
  <c r="BNJ6" i="20" a="1"/>
  <c r="BNI6" i="20" a="1"/>
  <c r="BNI6" i="20" s="1"/>
  <c r="BNH6" i="20" a="1"/>
  <c r="BNH6" i="20" s="1"/>
  <c r="BNG6" i="20" a="1"/>
  <c r="BNG6" i="20" s="1"/>
  <c r="BNF6" i="20" a="1"/>
  <c r="BNF6" i="20" s="1"/>
  <c r="BNE6" i="20"/>
  <c r="BNE6" i="20" a="1"/>
  <c r="BND6" i="20" a="1"/>
  <c r="BND6" i="20" s="1"/>
  <c r="BNC6" i="20"/>
  <c r="BNC6" i="20" a="1"/>
  <c r="BNB6" i="20" a="1"/>
  <c r="BNB6" i="20" s="1"/>
  <c r="BNA6" i="20"/>
  <c r="BNA6" i="20" a="1"/>
  <c r="BMZ6" i="20"/>
  <c r="BMZ6" i="20" a="1"/>
  <c r="BMY6" i="20" a="1"/>
  <c r="BMY6" i="20" s="1"/>
  <c r="BMX6" i="20"/>
  <c r="BMX6" i="20" a="1"/>
  <c r="BMW6" i="20"/>
  <c r="BMW6" i="20" a="1"/>
  <c r="BMV6" i="20" a="1"/>
  <c r="BMV6" i="20" s="1"/>
  <c r="BMU6" i="20" a="1"/>
  <c r="BMU6" i="20" s="1"/>
  <c r="BMT6" i="20" a="1"/>
  <c r="BMT6" i="20" s="1"/>
  <c r="BMS6" i="20" a="1"/>
  <c r="BMS6" i="20" s="1"/>
  <c r="BMR6" i="20"/>
  <c r="BMR6" i="20" a="1"/>
  <c r="BMQ6" i="20" a="1"/>
  <c r="BMQ6" i="20" s="1"/>
  <c r="BMP6" i="20" a="1"/>
  <c r="BMP6" i="20" s="1"/>
  <c r="BMO6" i="20" a="1"/>
  <c r="BMO6" i="20" s="1"/>
  <c r="BMN6" i="20"/>
  <c r="BMN6" i="20" a="1"/>
  <c r="BMM6" i="20"/>
  <c r="BMM6" i="20" a="1"/>
  <c r="BML6" i="20" a="1"/>
  <c r="BML6" i="20" s="1"/>
  <c r="BMK6" i="20"/>
  <c r="BMK6" i="20" a="1"/>
  <c r="BMJ6" i="20" a="1"/>
  <c r="BMJ6" i="20" s="1"/>
  <c r="BMI6" i="20"/>
  <c r="BMI6" i="20" a="1"/>
  <c r="BMH6" i="20" a="1"/>
  <c r="BMH6" i="20" s="1"/>
  <c r="BMG6" i="20" a="1"/>
  <c r="BMG6" i="20" s="1"/>
  <c r="BMF6" i="20" a="1"/>
  <c r="BMF6" i="20" s="1"/>
  <c r="BME6" i="20"/>
  <c r="BME6" i="20" a="1"/>
  <c r="BMD6" i="20" a="1"/>
  <c r="BMD6" i="20" s="1"/>
  <c r="BMC6" i="20"/>
  <c r="BMC6" i="20" a="1"/>
  <c r="BMB6" i="20" a="1"/>
  <c r="BMB6" i="20" s="1"/>
  <c r="BMA6" i="20"/>
  <c r="BMA6" i="20" a="1"/>
  <c r="BLZ6" i="20"/>
  <c r="BLZ6" i="20" a="1"/>
  <c r="BLY6" i="20" a="1"/>
  <c r="BLY6" i="20" s="1"/>
  <c r="BLX6" i="20" a="1"/>
  <c r="BLX6" i="20" s="1"/>
  <c r="BLW6" i="20" a="1"/>
  <c r="BLW6" i="20" s="1"/>
  <c r="BLV6" i="20"/>
  <c r="BLV6" i="20" a="1"/>
  <c r="BLU6" i="20" a="1"/>
  <c r="BLU6" i="20" s="1"/>
  <c r="BLT6" i="20" a="1"/>
  <c r="BLT6" i="20" s="1"/>
  <c r="BLS6" i="20" a="1"/>
  <c r="BLS6" i="20" s="1"/>
  <c r="BLR6" i="20" a="1"/>
  <c r="BLR6" i="20" s="1"/>
  <c r="BLQ6" i="20"/>
  <c r="BLQ6" i="20" a="1"/>
  <c r="BLP6" i="20"/>
  <c r="BLP6" i="20" a="1"/>
  <c r="BLO6" i="20" a="1"/>
  <c r="BLO6" i="20" s="1"/>
  <c r="BLN6" i="20"/>
  <c r="BLN6" i="20" a="1"/>
  <c r="BLM6" i="20"/>
  <c r="BLM6" i="20" a="1"/>
  <c r="BLL6" i="20" a="1"/>
  <c r="BLL6" i="20" s="1"/>
  <c r="BLK6" i="20"/>
  <c r="BLK6" i="20" a="1"/>
  <c r="BLJ6" i="20" a="1"/>
  <c r="BLJ6" i="20" s="1"/>
  <c r="BLI6" i="20"/>
  <c r="BLI6" i="20" a="1"/>
  <c r="BLH6" i="20" a="1"/>
  <c r="BLH6" i="20" s="1"/>
  <c r="BLG6" i="20" a="1"/>
  <c r="BLG6" i="20" s="1"/>
  <c r="BLF6" i="20" a="1"/>
  <c r="BLF6" i="20" s="1"/>
  <c r="BLE6" i="20" a="1"/>
  <c r="BLE6" i="20" s="1"/>
  <c r="BLD6" i="20"/>
  <c r="BLD6" i="20" a="1"/>
  <c r="BLC6" i="20"/>
  <c r="BLC6" i="20" a="1"/>
  <c r="BLB6" i="20" a="1"/>
  <c r="BLB6" i="20" s="1"/>
  <c r="BLA6" i="20"/>
  <c r="BLA6" i="20" a="1"/>
  <c r="BKZ6" i="20" a="1"/>
  <c r="BKZ6" i="20" s="1"/>
  <c r="BKY6" i="20" a="1"/>
  <c r="BKY6" i="20" s="1"/>
  <c r="BKX6" i="20"/>
  <c r="BKX6" i="20" a="1"/>
  <c r="BKW6" i="20" a="1"/>
  <c r="BKW6" i="20" s="1"/>
  <c r="BKV6" i="20"/>
  <c r="BKV6" i="20" a="1"/>
  <c r="BKU6" i="20" a="1"/>
  <c r="BKU6" i="20" s="1"/>
  <c r="BKT6" i="20" a="1"/>
  <c r="BKT6" i="20" s="1"/>
  <c r="BKS6" i="20"/>
  <c r="BKS6" i="20" a="1"/>
  <c r="BKR6" i="20" a="1"/>
  <c r="BKR6" i="20" s="1"/>
  <c r="BKQ6" i="20"/>
  <c r="BKQ6" i="20" a="1"/>
  <c r="BKP6" i="20"/>
  <c r="BKP6" i="20" a="1"/>
  <c r="BKO6" i="20" a="1"/>
  <c r="BKO6" i="20" s="1"/>
  <c r="BKN6" i="20" a="1"/>
  <c r="BKN6" i="20" s="1"/>
  <c r="BKM6" i="20" a="1"/>
  <c r="BKM6" i="20" s="1"/>
  <c r="BKL6" i="20" a="1"/>
  <c r="BKL6" i="20" s="1"/>
  <c r="BKK6" i="20"/>
  <c r="BKK6" i="20" a="1"/>
  <c r="BKJ6" i="20" a="1"/>
  <c r="BKJ6" i="20" s="1"/>
  <c r="BKI6" i="20"/>
  <c r="BKI6" i="20" a="1"/>
  <c r="BKH6" i="20" a="1"/>
  <c r="BKH6" i="20" s="1"/>
  <c r="BKG6" i="20"/>
  <c r="BKG6" i="20" a="1"/>
  <c r="BKF6" i="20"/>
  <c r="BKF6" i="20" a="1"/>
  <c r="BKE6" i="20" a="1"/>
  <c r="BKE6" i="20" s="1"/>
  <c r="BKD6" i="20"/>
  <c r="BKD6" i="20" a="1"/>
  <c r="BKC6" i="20"/>
  <c r="BKC6" i="20" a="1"/>
  <c r="BKB6" i="20" a="1"/>
  <c r="BKB6" i="20" s="1"/>
  <c r="BKA6" i="20" a="1"/>
  <c r="BKA6" i="20" s="1"/>
  <c r="BJZ6" i="20" a="1"/>
  <c r="BJZ6" i="20" s="1"/>
  <c r="BJY6" i="20" a="1"/>
  <c r="BJY6" i="20" s="1"/>
  <c r="BJX6" i="20"/>
  <c r="BJX6" i="20" a="1"/>
  <c r="BJW6" i="20" a="1"/>
  <c r="BJW6" i="20" s="1"/>
  <c r="BJV6" i="20" a="1"/>
  <c r="BJV6" i="20" s="1"/>
  <c r="BJU6" i="20" a="1"/>
  <c r="BJU6" i="20" s="1"/>
  <c r="BJT6" i="20"/>
  <c r="BJT6" i="20" a="1"/>
  <c r="BJS6" i="20"/>
  <c r="BJS6" i="20" a="1"/>
  <c r="BJR6" i="20" a="1"/>
  <c r="BJR6" i="20" s="1"/>
  <c r="BJQ6" i="20"/>
  <c r="BJQ6" i="20" a="1"/>
  <c r="BJP6" i="20" a="1"/>
  <c r="BJP6" i="20" s="1"/>
  <c r="BJO6" i="20"/>
  <c r="BJO6" i="20" a="1"/>
  <c r="BJN6" i="20" a="1"/>
  <c r="BJN6" i="20" s="1"/>
  <c r="BJM6" i="20" a="1"/>
  <c r="BJM6" i="20" s="1"/>
  <c r="BJL6" i="20" a="1"/>
  <c r="BJL6" i="20" s="1"/>
  <c r="BJK6" i="20"/>
  <c r="BJK6" i="20" a="1"/>
  <c r="BJJ6" i="20" a="1"/>
  <c r="BJJ6" i="20" s="1"/>
  <c r="BJI6" i="20"/>
  <c r="BJI6" i="20" a="1"/>
  <c r="BJH6" i="20" a="1"/>
  <c r="BJH6" i="20" s="1"/>
  <c r="BJG6" i="20"/>
  <c r="BJG6" i="20" a="1"/>
  <c r="BJF6" i="20"/>
  <c r="BJF6" i="20" a="1"/>
  <c r="BJE6" i="20" a="1"/>
  <c r="BJE6" i="20" s="1"/>
  <c r="BJD6" i="20" a="1"/>
  <c r="BJD6" i="20" s="1"/>
  <c r="BJC6" i="20" a="1"/>
  <c r="BJC6" i="20" s="1"/>
  <c r="BJB6" i="20"/>
  <c r="BJB6" i="20" a="1"/>
  <c r="BJA6" i="20" a="1"/>
  <c r="BJA6" i="20" s="1"/>
  <c r="BIZ6" i="20" a="1"/>
  <c r="BIZ6" i="20" s="1"/>
  <c r="BIY6" i="20" a="1"/>
  <c r="BIY6" i="20" s="1"/>
  <c r="BIX6" i="20" a="1"/>
  <c r="BIX6" i="20" s="1"/>
  <c r="BIW6" i="20"/>
  <c r="BIW6" i="20" a="1"/>
  <c r="BIV6" i="20"/>
  <c r="BIV6" i="20" a="1"/>
  <c r="BIU6" i="20" a="1"/>
  <c r="BIU6" i="20" s="1"/>
  <c r="BIT6" i="20"/>
  <c r="BIT6" i="20" a="1"/>
  <c r="BIS6" i="20"/>
  <c r="BIS6" i="20" a="1"/>
  <c r="BIR6" i="20" a="1"/>
  <c r="BIR6" i="20" s="1"/>
  <c r="BIQ6" i="20"/>
  <c r="BIQ6" i="20" a="1"/>
  <c r="BIP6" i="20" a="1"/>
  <c r="BIP6" i="20" s="1"/>
  <c r="BIO6" i="20"/>
  <c r="BIO6" i="20" a="1"/>
  <c r="BIN6" i="20" a="1"/>
  <c r="BIN6" i="20" s="1"/>
  <c r="BIM6" i="20" a="1"/>
  <c r="BIM6" i="20" s="1"/>
  <c r="BIL6" i="20" a="1"/>
  <c r="BIL6" i="20" s="1"/>
  <c r="BIK6" i="20" a="1"/>
  <c r="BIK6" i="20" s="1"/>
  <c r="BIJ6" i="20"/>
  <c r="BIJ6" i="20" a="1"/>
  <c r="BII6" i="20"/>
  <c r="BII6" i="20" a="1"/>
  <c r="BIH6" i="20" a="1"/>
  <c r="BIH6" i="20" s="1"/>
  <c r="BIG6" i="20"/>
  <c r="BIG6" i="20" a="1"/>
  <c r="BIF6" i="20" a="1"/>
  <c r="BIF6" i="20" s="1"/>
  <c r="BIE6" i="20" a="1"/>
  <c r="BIE6" i="20" s="1"/>
  <c r="BID6" i="20"/>
  <c r="BID6" i="20" a="1"/>
  <c r="BIC6" i="20" a="1"/>
  <c r="BIC6" i="20" s="1"/>
  <c r="BIB6" i="20"/>
  <c r="BIB6" i="20" a="1"/>
  <c r="BIA6" i="20" a="1"/>
  <c r="BIA6" i="20" s="1"/>
  <c r="BHZ6" i="20" a="1"/>
  <c r="BHZ6" i="20" s="1"/>
  <c r="BHY6" i="20"/>
  <c r="BHY6" i="20" a="1"/>
  <c r="BHX6" i="20" a="1"/>
  <c r="BHX6" i="20" s="1"/>
  <c r="BHW6" i="20"/>
  <c r="BHW6" i="20" a="1"/>
  <c r="BHV6" i="20"/>
  <c r="BHV6" i="20" a="1"/>
  <c r="BHU6" i="20" a="1"/>
  <c r="BHU6" i="20" s="1"/>
  <c r="BHT6" i="20" a="1"/>
  <c r="BHT6" i="20" s="1"/>
  <c r="BHS6" i="20" a="1"/>
  <c r="BHS6" i="20" s="1"/>
  <c r="BHR6" i="20" a="1"/>
  <c r="BHR6" i="20" s="1"/>
  <c r="BHQ6" i="20"/>
  <c r="BHQ6" i="20" a="1"/>
  <c r="BHP6" i="20" a="1"/>
  <c r="BHP6" i="20" s="1"/>
  <c r="BHO6" i="20"/>
  <c r="BHO6" i="20" a="1"/>
  <c r="BHN6" i="20" a="1"/>
  <c r="BHN6" i="20" s="1"/>
  <c r="BHM6" i="20"/>
  <c r="BHM6" i="20" a="1"/>
  <c r="BHL6" i="20"/>
  <c r="BHL6" i="20" a="1"/>
  <c r="BHK6" i="20"/>
  <c r="BHK6" i="20" a="1"/>
  <c r="BHJ6" i="20"/>
  <c r="BHJ6" i="20" a="1"/>
  <c r="BHI6" i="20"/>
  <c r="BHI6" i="20" a="1"/>
  <c r="BHH6" i="20" a="1"/>
  <c r="BHH6" i="20" s="1"/>
  <c r="BHG6" i="20" a="1"/>
  <c r="BHG6" i="20" s="1"/>
  <c r="BHF6" i="20" a="1"/>
  <c r="BHF6" i="20" s="1"/>
  <c r="BHE6" i="20" a="1"/>
  <c r="BHE6" i="20" s="1"/>
  <c r="BHD6" i="20"/>
  <c r="BHD6" i="20" a="1"/>
  <c r="BHC6" i="20" a="1"/>
  <c r="BHC6" i="20" s="1"/>
  <c r="BHB6" i="20" a="1"/>
  <c r="BHB6" i="20" s="1"/>
  <c r="BHA6" i="20" a="1"/>
  <c r="BHA6" i="20" s="1"/>
  <c r="BGZ6" i="20"/>
  <c r="BGZ6" i="20" a="1"/>
  <c r="BGY6" i="20"/>
  <c r="BGY6" i="20" a="1"/>
  <c r="BGX6" i="20" a="1"/>
  <c r="BGX6" i="20" s="1"/>
  <c r="BGW6" i="20"/>
  <c r="BGW6" i="20" a="1"/>
  <c r="BGV6" i="20" a="1"/>
  <c r="BGV6" i="20" s="1"/>
  <c r="BGU6" i="20"/>
  <c r="BGU6" i="20" a="1"/>
  <c r="BGT6" i="20" a="1"/>
  <c r="BGT6" i="20" s="1"/>
  <c r="BGS6" i="20" a="1"/>
  <c r="BGS6" i="20" s="1"/>
  <c r="BGR6" i="20" a="1"/>
  <c r="BGR6" i="20" s="1"/>
  <c r="BGQ6" i="20"/>
  <c r="BGQ6" i="20" a="1"/>
  <c r="BGP6" i="20" a="1"/>
  <c r="BGP6" i="20" s="1"/>
  <c r="BGO6" i="20"/>
  <c r="BGO6" i="20" a="1"/>
  <c r="BGN6" i="20" a="1"/>
  <c r="BGN6" i="20" s="1"/>
  <c r="BGM6" i="20"/>
  <c r="BGM6" i="20" a="1"/>
  <c r="BGL6" i="20"/>
  <c r="BGL6" i="20" a="1"/>
  <c r="BGK6" i="20"/>
  <c r="BGK6" i="20" a="1"/>
  <c r="BGJ6" i="20" a="1"/>
  <c r="BGJ6" i="20" s="1"/>
  <c r="BGI6" i="20" a="1"/>
  <c r="BGI6" i="20" s="1"/>
  <c r="BGH6" i="20"/>
  <c r="BGH6" i="20" a="1"/>
  <c r="BGG6" i="20" a="1"/>
  <c r="BGG6" i="20" s="1"/>
  <c r="BGF6" i="20" a="1"/>
  <c r="BGF6" i="20" s="1"/>
  <c r="BGE6" i="20" a="1"/>
  <c r="BGE6" i="20" s="1"/>
  <c r="BGD6" i="20" a="1"/>
  <c r="BGD6" i="20" s="1"/>
  <c r="BGC6" i="20"/>
  <c r="BGC6" i="20" a="1"/>
  <c r="BGB6" i="20"/>
  <c r="BGB6" i="20" a="1"/>
  <c r="BGA6" i="20" a="1"/>
  <c r="BGA6" i="20" s="1"/>
  <c r="BFZ6" i="20"/>
  <c r="BFZ6" i="20" a="1"/>
  <c r="BFY6" i="20"/>
  <c r="BFY6" i="20" a="1"/>
  <c r="BFX6" i="20" a="1"/>
  <c r="BFX6" i="20" s="1"/>
  <c r="BFW6" i="20"/>
  <c r="BFW6" i="20" a="1"/>
  <c r="BFV6" i="20" a="1"/>
  <c r="BFV6" i="20" s="1"/>
  <c r="BFU6" i="20"/>
  <c r="BFU6" i="20" a="1"/>
  <c r="BFT6" i="20" a="1"/>
  <c r="BFT6" i="20" s="1"/>
  <c r="BFS6" i="20" a="1"/>
  <c r="BFS6" i="20" s="1"/>
  <c r="BFR6" i="20" a="1"/>
  <c r="BFR6" i="20" s="1"/>
  <c r="BFQ6" i="20" a="1"/>
  <c r="BFQ6" i="20" s="1"/>
  <c r="BFP6" i="20"/>
  <c r="BFP6" i="20" a="1"/>
  <c r="BFO6" i="20"/>
  <c r="BFO6" i="20" a="1"/>
  <c r="BFN6" i="20" a="1"/>
  <c r="BFN6" i="20" s="1"/>
  <c r="BFM6" i="20"/>
  <c r="BFM6" i="20" a="1"/>
  <c r="BFL6" i="20" a="1"/>
  <c r="BFL6" i="20" s="1"/>
  <c r="BFK6" i="20" a="1"/>
  <c r="BFK6" i="20" s="1"/>
  <c r="BFJ6" i="20"/>
  <c r="BFJ6" i="20" a="1"/>
  <c r="BFI6" i="20" a="1"/>
  <c r="BFI6" i="20" s="1"/>
  <c r="BFH6" i="20"/>
  <c r="BFH6" i="20" a="1"/>
  <c r="BFG6" i="20" a="1"/>
  <c r="BFG6" i="20" s="1"/>
  <c r="BFF6" i="20" a="1"/>
  <c r="BFF6" i="20" s="1"/>
  <c r="BFE6" i="20"/>
  <c r="BFE6" i="20" a="1"/>
  <c r="BFD6" i="20"/>
  <c r="BFD6" i="20" a="1"/>
  <c r="BFC6" i="20"/>
  <c r="BFC6" i="20" a="1"/>
  <c r="BFB6" i="20"/>
  <c r="BFB6" i="20" a="1"/>
  <c r="BFA6" i="20" a="1"/>
  <c r="BFA6" i="20" s="1"/>
  <c r="BEZ6" i="20" a="1"/>
  <c r="BEZ6" i="20" s="1"/>
  <c r="BEY6" i="20" a="1"/>
  <c r="BEY6" i="20" s="1"/>
  <c r="BEX6" i="20" a="1"/>
  <c r="BEX6" i="20" s="1"/>
  <c r="BEW6" i="20"/>
  <c r="BEW6" i="20" a="1"/>
  <c r="BEV6" i="20" a="1"/>
  <c r="BEV6" i="20" s="1"/>
  <c r="BEU6" i="20"/>
  <c r="BEU6" i="20" a="1"/>
  <c r="BET6" i="20" a="1"/>
  <c r="BET6" i="20" s="1"/>
  <c r="BES6" i="20"/>
  <c r="BES6" i="20" a="1"/>
  <c r="BER6" i="20" a="1"/>
  <c r="BER6" i="20" s="1"/>
  <c r="BEQ6" i="20"/>
  <c r="BEQ6" i="20" a="1"/>
  <c r="BEP6" i="20"/>
  <c r="BEP6" i="20" a="1"/>
  <c r="BEO6" i="20"/>
  <c r="BEO6" i="20" a="1"/>
  <c r="BEN6" i="20" a="1"/>
  <c r="BEN6" i="20" s="1"/>
  <c r="BEM6" i="20" a="1"/>
  <c r="BEM6" i="20" s="1"/>
  <c r="BEL6" i="20" a="1"/>
  <c r="BEL6" i="20" s="1"/>
  <c r="BEK6" i="20" a="1"/>
  <c r="BEK6" i="20" s="1"/>
  <c r="BEJ6" i="20"/>
  <c r="BEJ6" i="20" a="1"/>
  <c r="BEI6" i="20" a="1"/>
  <c r="BEI6" i="20" s="1"/>
  <c r="BEH6" i="20" a="1"/>
  <c r="BEH6" i="20" s="1"/>
  <c r="BEG6" i="20" a="1"/>
  <c r="BEG6" i="20" s="1"/>
  <c r="BEF6" i="20"/>
  <c r="BEF6" i="20" a="1"/>
  <c r="BEE6" i="20" a="1"/>
  <c r="BEE6" i="20" s="1"/>
  <c r="BED6" i="20" a="1"/>
  <c r="BED6" i="20" s="1"/>
  <c r="BEC6" i="20"/>
  <c r="BEC6" i="20" a="1"/>
  <c r="BEB6" i="20" a="1"/>
  <c r="BEB6" i="20" s="1"/>
  <c r="BEA6" i="20"/>
  <c r="BEA6" i="20" a="1"/>
  <c r="BDZ6" i="20" a="1"/>
  <c r="BDZ6" i="20" s="1"/>
  <c r="BDY6" i="20" a="1"/>
  <c r="BDY6" i="20" s="1"/>
  <c r="BDX6" i="20" a="1"/>
  <c r="BDX6" i="20" s="1"/>
  <c r="BDW6" i="20"/>
  <c r="BDW6" i="20" a="1"/>
  <c r="BDV6" i="20" a="1"/>
  <c r="BDV6" i="20" s="1"/>
  <c r="BDU6" i="20"/>
  <c r="BDU6" i="20" a="1"/>
  <c r="BDT6" i="20" a="1"/>
  <c r="BDT6" i="20" s="1"/>
  <c r="BDS6" i="20"/>
  <c r="BDS6" i="20" a="1"/>
  <c r="BDR6" i="20" a="1"/>
  <c r="BDR6" i="20" s="1"/>
  <c r="BDQ6" i="20" a="1"/>
  <c r="BDQ6" i="20" s="1"/>
  <c r="BDP6" i="20" a="1"/>
  <c r="BDP6" i="20" s="1"/>
  <c r="BDO6" i="20" a="1"/>
  <c r="BDO6" i="20" s="1"/>
  <c r="BDN6" i="20"/>
  <c r="BDN6" i="20" a="1"/>
  <c r="BDM6" i="20" a="1"/>
  <c r="BDM6" i="20" s="1"/>
  <c r="BDL6" i="20" a="1"/>
  <c r="BDL6" i="20" s="1"/>
  <c r="BDK6" i="20" a="1"/>
  <c r="BDK6" i="20" s="1"/>
  <c r="BDJ6" i="20" a="1"/>
  <c r="BDJ6" i="20" s="1"/>
  <c r="BDI6" i="20"/>
  <c r="BDI6" i="20" a="1"/>
  <c r="BDH6" i="20"/>
  <c r="BDH6" i="20" a="1"/>
  <c r="BDG6" i="20" a="1"/>
  <c r="BDG6" i="20" s="1"/>
  <c r="BDF6" i="20"/>
  <c r="BDF6" i="20" a="1"/>
  <c r="BDE6" i="20" a="1"/>
  <c r="BDE6" i="20" s="1"/>
  <c r="BDD6" i="20" a="1"/>
  <c r="BDD6" i="20" s="1"/>
  <c r="BDC6" i="20"/>
  <c r="BDC6" i="20" a="1"/>
  <c r="BDB6" i="20" a="1"/>
  <c r="BDB6" i="20" s="1"/>
  <c r="BDA6" i="20"/>
  <c r="BDA6" i="20" a="1"/>
  <c r="BCZ6" i="20" a="1"/>
  <c r="BCZ6" i="20" s="1"/>
  <c r="BCY6" i="20" a="1"/>
  <c r="BCY6" i="20" s="1"/>
  <c r="BCX6" i="20" a="1"/>
  <c r="BCX6" i="20" s="1"/>
  <c r="BCW6" i="20"/>
  <c r="BCW6" i="20" a="1"/>
  <c r="BCV6" i="20"/>
  <c r="BCV6" i="20" a="1"/>
  <c r="BCU6" i="20"/>
  <c r="BCU6" i="20" a="1"/>
  <c r="BCT6" i="20" a="1"/>
  <c r="BCT6" i="20" s="1"/>
  <c r="BCS6" i="20"/>
  <c r="BCS6" i="20" a="1"/>
  <c r="BCR6" i="20" a="1"/>
  <c r="BCR6" i="20" s="1"/>
  <c r="BCQ6" i="20" a="1"/>
  <c r="BCQ6" i="20" s="1"/>
  <c r="BCP6" i="20"/>
  <c r="BCP6" i="20" a="1"/>
  <c r="BCO6" i="20" a="1"/>
  <c r="BCO6" i="20" s="1"/>
  <c r="BCN6" i="20"/>
  <c r="BCN6" i="20" a="1"/>
  <c r="BCM6" i="20" a="1"/>
  <c r="BCM6" i="20" s="1"/>
  <c r="BCL6" i="20" a="1"/>
  <c r="BCL6" i="20" s="1"/>
  <c r="BCK6" i="20" a="1"/>
  <c r="BCK6" i="20" s="1"/>
  <c r="BCJ6" i="20" a="1"/>
  <c r="BCJ6" i="20" s="1"/>
  <c r="BCI6" i="20"/>
  <c r="BCI6" i="20" a="1"/>
  <c r="BCH6" i="20"/>
  <c r="BCH6" i="20" a="1"/>
  <c r="BCG6" i="20" a="1"/>
  <c r="BCG6" i="20" s="1"/>
  <c r="BCF6" i="20" a="1"/>
  <c r="BCF6" i="20" s="1"/>
  <c r="BCE6" i="20" a="1"/>
  <c r="BCE6" i="20" s="1"/>
  <c r="BCD6" i="20" a="1"/>
  <c r="BCD6" i="20" s="1"/>
  <c r="BCC6" i="20"/>
  <c r="BCC6" i="20" a="1"/>
  <c r="BCB6" i="20" a="1"/>
  <c r="BCB6" i="20" s="1"/>
  <c r="BCA6" i="20"/>
  <c r="BCA6" i="20" a="1"/>
  <c r="BBZ6" i="20" a="1"/>
  <c r="BBZ6" i="20" s="1"/>
  <c r="BBY6" i="20"/>
  <c r="BBY6" i="20" a="1"/>
  <c r="BBX6" i="20" a="1"/>
  <c r="BBX6" i="20" s="1"/>
  <c r="BBW6" i="20" a="1"/>
  <c r="BBW6" i="20" s="1"/>
  <c r="BBV6" i="20"/>
  <c r="BBV6" i="20" a="1"/>
  <c r="BBU6" i="20"/>
  <c r="BBU6" i="20" a="1"/>
  <c r="BBT6" i="20" a="1"/>
  <c r="BBT6" i="20" s="1"/>
  <c r="BBS6" i="20" a="1"/>
  <c r="BBS6" i="20" s="1"/>
  <c r="BBR6" i="20" a="1"/>
  <c r="BBR6" i="20" s="1"/>
  <c r="BBQ6" i="20" a="1"/>
  <c r="BBQ6" i="20" s="1"/>
  <c r="BBP6" i="20"/>
  <c r="BBP6" i="20" a="1"/>
  <c r="BBO6" i="20" a="1"/>
  <c r="BBO6" i="20" s="1"/>
  <c r="BBN6" i="20" a="1"/>
  <c r="BBN6" i="20" s="1"/>
  <c r="BBM6" i="20" a="1"/>
  <c r="BBM6" i="20" s="1"/>
  <c r="BBL6" i="20"/>
  <c r="BBL6" i="20" a="1"/>
  <c r="BBK6" i="20" a="1"/>
  <c r="BBK6" i="20" s="1"/>
  <c r="BBJ6" i="20"/>
  <c r="BBJ6" i="20" a="1"/>
  <c r="BBI6" i="20"/>
  <c r="BBI6" i="20" a="1"/>
  <c r="BBH6" i="20" a="1"/>
  <c r="BBH6" i="20" s="1"/>
  <c r="BBG6" i="20"/>
  <c r="BBG6" i="20" a="1"/>
  <c r="BBF6" i="20" a="1"/>
  <c r="BBF6" i="20" s="1"/>
  <c r="BBE6" i="20" a="1"/>
  <c r="BBE6" i="20" s="1"/>
  <c r="BBD6" i="20" a="1"/>
  <c r="BBD6" i="20" s="1"/>
  <c r="BBC6" i="20"/>
  <c r="BBC6" i="20" a="1"/>
  <c r="BBB6" i="20" a="1"/>
  <c r="BBB6" i="20" s="1"/>
  <c r="BBA6" i="20"/>
  <c r="BBA6" i="20" a="1"/>
  <c r="BAZ6" i="20" a="1"/>
  <c r="BAZ6" i="20" s="1"/>
  <c r="BAY6" i="20"/>
  <c r="BAY6" i="20" a="1"/>
  <c r="BAX6" i="20" a="1"/>
  <c r="BAX6" i="20" s="1"/>
  <c r="BAW6" i="20" a="1"/>
  <c r="BAW6" i="20" s="1"/>
  <c r="BAV6" i="20" a="1"/>
  <c r="BAV6" i="20" s="1"/>
  <c r="BAU6" i="20" a="1"/>
  <c r="BAU6" i="20" s="1"/>
  <c r="BAT6" i="20"/>
  <c r="BAT6" i="20" a="1"/>
  <c r="BAS6" i="20" a="1"/>
  <c r="BAS6" i="20" s="1"/>
  <c r="BAR6" i="20" a="1"/>
  <c r="BAR6" i="20" s="1"/>
  <c r="BAQ6" i="20" a="1"/>
  <c r="BAQ6" i="20" s="1"/>
  <c r="BAP6" i="20" a="1"/>
  <c r="BAP6" i="20" s="1"/>
  <c r="BAO6" i="20"/>
  <c r="BAO6" i="20" a="1"/>
  <c r="BAN6" i="20"/>
  <c r="BAN6" i="20" a="1"/>
  <c r="BAM6" i="20" a="1"/>
  <c r="BAM6" i="20" s="1"/>
  <c r="BAL6" i="20"/>
  <c r="BAL6" i="20" a="1"/>
  <c r="BAK6" i="20" a="1"/>
  <c r="BAK6" i="20" s="1"/>
  <c r="BAJ6" i="20" a="1"/>
  <c r="BAJ6" i="20" s="1"/>
  <c r="BAI6" i="20"/>
  <c r="BAI6" i="20" a="1"/>
  <c r="BAH6" i="20" a="1"/>
  <c r="BAH6" i="20" s="1"/>
  <c r="BAG6" i="20"/>
  <c r="BAG6" i="20" a="1"/>
  <c r="BAF6" i="20" a="1"/>
  <c r="BAF6" i="20" s="1"/>
  <c r="BAE6" i="20" a="1"/>
  <c r="BAE6" i="20" s="1"/>
  <c r="BAD6" i="20" a="1"/>
  <c r="BAD6" i="20" s="1"/>
  <c r="BAC6" i="20" a="1"/>
  <c r="BAC6" i="20" s="1"/>
  <c r="BAB6" i="20"/>
  <c r="BAB6" i="20" a="1"/>
  <c r="BAA6" i="20"/>
  <c r="BAA6" i="20" a="1"/>
  <c r="AZZ6" i="20" a="1"/>
  <c r="AZZ6" i="20" s="1"/>
  <c r="AZY6" i="20"/>
  <c r="AZY6" i="20" a="1"/>
  <c r="AZX6" i="20" a="1"/>
  <c r="AZX6" i="20" s="1"/>
  <c r="AZW6" i="20" a="1"/>
  <c r="AZW6" i="20" s="1"/>
  <c r="AZV6" i="20"/>
  <c r="AZV6" i="20" a="1"/>
  <c r="AZU6" i="20" a="1"/>
  <c r="AZU6" i="20" s="1"/>
  <c r="AZT6" i="20"/>
  <c r="AZT6" i="20" a="1"/>
  <c r="AZS6" i="20" a="1"/>
  <c r="AZS6" i="20" s="1"/>
  <c r="AZR6" i="20" a="1"/>
  <c r="AZR6" i="20" s="1"/>
  <c r="AZQ6" i="20" a="1"/>
  <c r="AZQ6" i="20" s="1"/>
  <c r="AZP6" i="20"/>
  <c r="AZP6" i="20" a="1"/>
  <c r="AZO6" i="20"/>
  <c r="AZO6" i="20" a="1"/>
  <c r="AZN6" i="20"/>
  <c r="AZN6" i="20" a="1"/>
  <c r="AZM6" i="20" a="1"/>
  <c r="AZM6" i="20" s="1"/>
  <c r="AZL6" i="20" a="1"/>
  <c r="AZL6" i="20" s="1"/>
  <c r="AZK6" i="20" a="1"/>
  <c r="AZK6" i="20" s="1"/>
  <c r="AZJ6" i="20" a="1"/>
  <c r="AZJ6" i="20" s="1"/>
  <c r="AZI6" i="20"/>
  <c r="AZI6" i="20" a="1"/>
  <c r="AZH6" i="20" a="1"/>
  <c r="AZH6" i="20" s="1"/>
  <c r="AZG6" i="20"/>
  <c r="AZG6" i="20" a="1"/>
  <c r="AZF6" i="20" a="1"/>
  <c r="AZF6" i="20" s="1"/>
  <c r="AZE6" i="20"/>
  <c r="AZE6" i="20" a="1"/>
  <c r="AZD6" i="20" a="1"/>
  <c r="AZD6" i="20" s="1"/>
  <c r="AZC6" i="20"/>
  <c r="AZC6" i="20" a="1"/>
  <c r="AZB6" i="20"/>
  <c r="AZB6" i="20" a="1"/>
  <c r="AZA6" i="20"/>
  <c r="AZA6" i="20" a="1"/>
  <c r="AYZ6" i="20" a="1"/>
  <c r="AYZ6" i="20" s="1"/>
  <c r="AYY6" i="20" a="1"/>
  <c r="AYY6" i="20" s="1"/>
  <c r="AYX6" i="20" a="1"/>
  <c r="AYX6" i="20" s="1"/>
  <c r="AYW6" i="20" a="1"/>
  <c r="AYW6" i="20" s="1"/>
  <c r="AYV6" i="20"/>
  <c r="AYV6" i="20" a="1"/>
  <c r="AYU6" i="20" a="1"/>
  <c r="AYU6" i="20" s="1"/>
  <c r="AYT6" i="20" a="1"/>
  <c r="AYT6" i="20" s="1"/>
  <c r="AYS6" i="20" a="1"/>
  <c r="AYS6" i="20" s="1"/>
  <c r="AYR6" i="20"/>
  <c r="AYR6" i="20" a="1"/>
  <c r="AYQ6" i="20" a="1"/>
  <c r="AYQ6" i="20" s="1"/>
  <c r="AYP6" i="20" a="1"/>
  <c r="AYP6" i="20" s="1"/>
  <c r="AYO6" i="20"/>
  <c r="AYO6" i="20" a="1"/>
  <c r="AYN6" i="20" a="1"/>
  <c r="AYN6" i="20" s="1"/>
  <c r="AYM6" i="20"/>
  <c r="AYM6" i="20" a="1"/>
  <c r="AYL6" i="20" a="1"/>
  <c r="AYL6" i="20" s="1"/>
  <c r="AYK6" i="20" a="1"/>
  <c r="AYK6" i="20" s="1"/>
  <c r="AYJ6" i="20" a="1"/>
  <c r="AYJ6" i="20" s="1"/>
  <c r="AYI6" i="20"/>
  <c r="AYI6" i="20" a="1"/>
  <c r="AYH6" i="20" a="1"/>
  <c r="AYH6" i="20" s="1"/>
  <c r="AYG6" i="20"/>
  <c r="AYG6" i="20" a="1"/>
  <c r="AYF6" i="20" a="1"/>
  <c r="AYF6" i="20" s="1"/>
  <c r="AYE6" i="20"/>
  <c r="AYE6" i="20" a="1"/>
  <c r="AYD6" i="20" a="1"/>
  <c r="AYD6" i="20" s="1"/>
  <c r="AYC6" i="20" a="1"/>
  <c r="AYC6" i="20" s="1"/>
  <c r="AYB6" i="20" a="1"/>
  <c r="AYB6" i="20" s="1"/>
  <c r="AYA6" i="20" a="1"/>
  <c r="AYA6" i="20" s="1"/>
  <c r="AXZ6" i="20"/>
  <c r="AXZ6" i="20" a="1"/>
  <c r="AXY6" i="20" a="1"/>
  <c r="AXY6" i="20" s="1"/>
  <c r="AXX6" i="20" a="1"/>
  <c r="AXX6" i="20" s="1"/>
  <c r="AXW6" i="20" a="1"/>
  <c r="AXW6" i="20" s="1"/>
  <c r="AXV6" i="20" a="1"/>
  <c r="AXV6" i="20" s="1"/>
  <c r="AXU6" i="20"/>
  <c r="AXU6" i="20" a="1"/>
  <c r="AXT6" i="20"/>
  <c r="AXT6" i="20" a="1"/>
  <c r="AXS6" i="20" a="1"/>
  <c r="AXS6" i="20" s="1"/>
  <c r="AXR6" i="20"/>
  <c r="AXR6" i="20" a="1"/>
  <c r="AXQ6" i="20" a="1"/>
  <c r="AXQ6" i="20" s="1"/>
  <c r="AXP6" i="20" a="1"/>
  <c r="AXP6" i="20" s="1"/>
  <c r="AXO6" i="20"/>
  <c r="AXO6" i="20" a="1"/>
  <c r="AXN6" i="20" a="1"/>
  <c r="AXN6" i="20" s="1"/>
  <c r="AXM6" i="20"/>
  <c r="AXM6" i="20" a="1"/>
  <c r="AXL6" i="20" a="1"/>
  <c r="AXL6" i="20" s="1"/>
  <c r="AXK6" i="20" a="1"/>
  <c r="AXK6" i="20" s="1"/>
  <c r="AXJ6" i="20" a="1"/>
  <c r="AXJ6" i="20" s="1"/>
  <c r="AXI6" i="20"/>
  <c r="AXI6" i="20" a="1"/>
  <c r="AXH6" i="20"/>
  <c r="AXH6" i="20" a="1"/>
  <c r="AXG6" i="20"/>
  <c r="AXG6" i="20" a="1"/>
  <c r="AXF6" i="20" a="1"/>
  <c r="AXF6" i="20" s="1"/>
  <c r="AXE6" i="20"/>
  <c r="AXE6" i="20" a="1"/>
  <c r="AXD6" i="20" a="1"/>
  <c r="AXD6" i="20" s="1"/>
  <c r="AXC6" i="20" a="1"/>
  <c r="AXC6" i="20" s="1"/>
  <c r="AXB6" i="20"/>
  <c r="AXB6" i="20" a="1"/>
  <c r="AXA6" i="20" a="1"/>
  <c r="AXA6" i="20" s="1"/>
  <c r="AWZ6" i="20"/>
  <c r="AWZ6" i="20" a="1"/>
  <c r="AWY6" i="20" a="1"/>
  <c r="AWY6" i="20" s="1"/>
  <c r="AWX6" i="20" a="1"/>
  <c r="AWX6" i="20" s="1"/>
  <c r="AWW6" i="20" a="1"/>
  <c r="AWW6" i="20" s="1"/>
  <c r="AWV6" i="20" a="1"/>
  <c r="AWV6" i="20" s="1"/>
  <c r="AWU6" i="20"/>
  <c r="AWU6" i="20" a="1"/>
  <c r="AWT6" i="20"/>
  <c r="AWT6" i="20" a="1"/>
  <c r="AWS6" i="20" a="1"/>
  <c r="AWS6" i="20" s="1"/>
  <c r="AWR6" i="20" a="1"/>
  <c r="AWR6" i="20" s="1"/>
  <c r="AWQ6" i="20" a="1"/>
  <c r="AWQ6" i="20" s="1"/>
  <c r="AWP6" i="20" a="1"/>
  <c r="AWP6" i="20" s="1"/>
  <c r="AWO6" i="20"/>
  <c r="AWO6" i="20" a="1"/>
  <c r="AWN6" i="20" a="1"/>
  <c r="AWN6" i="20" s="1"/>
  <c r="AWM6" i="20"/>
  <c r="AWM6" i="20" a="1"/>
  <c r="AWL6" i="20" a="1"/>
  <c r="AWL6" i="20" s="1"/>
  <c r="AWK6" i="20"/>
  <c r="AWK6" i="20" a="1"/>
  <c r="AWJ6" i="20" a="1"/>
  <c r="AWJ6" i="20" s="1"/>
  <c r="AWI6" i="20" a="1"/>
  <c r="AWI6" i="20" s="1"/>
  <c r="AWH6" i="20"/>
  <c r="AWH6" i="20" a="1"/>
  <c r="AWG6" i="20"/>
  <c r="AWG6" i="20" a="1"/>
  <c r="AWF6" i="20" a="1"/>
  <c r="AWF6" i="20" s="1"/>
  <c r="AWE6" i="20" a="1"/>
  <c r="AWE6" i="20" s="1"/>
  <c r="AWD6" i="20" a="1"/>
  <c r="AWD6" i="20" s="1"/>
  <c r="AWC6" i="20" a="1"/>
  <c r="AWC6" i="20" s="1"/>
  <c r="AWB6" i="20"/>
  <c r="AWB6" i="20" a="1"/>
  <c r="AWA6" i="20" a="1"/>
  <c r="AWA6" i="20" s="1"/>
  <c r="AVZ6" i="20" a="1"/>
  <c r="AVZ6" i="20" s="1"/>
  <c r="AVY6" i="20" a="1"/>
  <c r="AVY6" i="20" s="1"/>
  <c r="AVX6" i="20"/>
  <c r="AVX6" i="20" a="1"/>
  <c r="AVW6" i="20" a="1"/>
  <c r="AVW6" i="20" s="1"/>
  <c r="AVV6" i="20"/>
  <c r="AVV6" i="20" a="1"/>
  <c r="AVU6" i="20"/>
  <c r="AVU6" i="20" a="1"/>
  <c r="AVT6" i="20" a="1"/>
  <c r="AVT6" i="20" s="1"/>
  <c r="AVS6" i="20"/>
  <c r="AVS6" i="20" a="1"/>
  <c r="AVR6" i="20" a="1"/>
  <c r="AVR6" i="20" s="1"/>
  <c r="AVQ6" i="20" a="1"/>
  <c r="AVQ6" i="20" s="1"/>
  <c r="AVP6" i="20" a="1"/>
  <c r="AVP6" i="20" s="1"/>
  <c r="AVO6" i="20"/>
  <c r="AVO6" i="20" a="1"/>
  <c r="AVN6" i="20" a="1"/>
  <c r="AVN6" i="20" s="1"/>
  <c r="AVM6" i="20"/>
  <c r="AVM6" i="20" a="1"/>
  <c r="AVL6" i="20" a="1"/>
  <c r="AVL6" i="20" s="1"/>
  <c r="AVK6" i="20"/>
  <c r="AVK6" i="20" a="1"/>
  <c r="AVJ6" i="20" a="1"/>
  <c r="AVJ6" i="20" s="1"/>
  <c r="AVI6" i="20" a="1"/>
  <c r="AVI6" i="20" s="1"/>
  <c r="AVH6" i="20" a="1"/>
  <c r="AVH6" i="20" s="1"/>
  <c r="AVG6" i="20" a="1"/>
  <c r="AVG6" i="20" s="1"/>
  <c r="AVF6" i="20"/>
  <c r="AVF6" i="20" a="1"/>
  <c r="AVE6" i="20" a="1"/>
  <c r="AVE6" i="20" s="1"/>
  <c r="AVD6" i="20" a="1"/>
  <c r="AVD6" i="20" s="1"/>
  <c r="AVC6" i="20" a="1"/>
  <c r="AVC6" i="20" s="1"/>
  <c r="AVB6" i="20" a="1"/>
  <c r="AVB6" i="20" s="1"/>
  <c r="AVA6" i="20"/>
  <c r="AVA6" i="20" a="1"/>
  <c r="AUZ6" i="20"/>
  <c r="AUZ6" i="20" a="1"/>
  <c r="AUY6" i="20" a="1"/>
  <c r="AUY6" i="20" s="1"/>
  <c r="AUX6" i="20"/>
  <c r="AUX6" i="20" a="1"/>
  <c r="AUW6" i="20" a="1"/>
  <c r="AUW6" i="20" s="1"/>
  <c r="AUV6" i="20" a="1"/>
  <c r="AUV6" i="20" s="1"/>
  <c r="AUU6" i="20"/>
  <c r="AUU6" i="20" a="1"/>
  <c r="AUT6" i="20" a="1"/>
  <c r="AUT6" i="20" s="1"/>
  <c r="AUS6" i="20"/>
  <c r="AUS6" i="20" a="1"/>
  <c r="AUR6" i="20" a="1"/>
  <c r="AUR6" i="20" s="1"/>
  <c r="AUQ6" i="20" a="1"/>
  <c r="AUQ6" i="20" s="1"/>
  <c r="AUP6" i="20" a="1"/>
  <c r="AUP6" i="20" s="1"/>
  <c r="AUO6" i="20" a="1"/>
  <c r="AUO6" i="20" s="1"/>
  <c r="AUN6" i="20"/>
  <c r="AUN6" i="20" a="1"/>
  <c r="AUM6" i="20"/>
  <c r="AUM6" i="20" a="1"/>
  <c r="AUL6" i="20" a="1"/>
  <c r="AUL6" i="20" s="1"/>
  <c r="AUK6" i="20"/>
  <c r="AUK6" i="20" a="1"/>
  <c r="AUJ6" i="20" a="1"/>
  <c r="AUJ6" i="20" s="1"/>
  <c r="AUI6" i="20" a="1"/>
  <c r="AUI6" i="20" s="1"/>
  <c r="AUH6" i="20"/>
  <c r="AUH6" i="20" a="1"/>
  <c r="AUG6" i="20" a="1"/>
  <c r="AUG6" i="20" s="1"/>
  <c r="AUF6" i="20"/>
  <c r="AUF6" i="20" a="1"/>
  <c r="AUE6" i="20" a="1"/>
  <c r="AUE6" i="20" s="1"/>
  <c r="AUD6" i="20" a="1"/>
  <c r="AUD6" i="20" s="1"/>
  <c r="AUC6" i="20" a="1"/>
  <c r="AUC6" i="20" s="1"/>
  <c r="AUB6" i="20"/>
  <c r="AUB6" i="20" a="1"/>
  <c r="AUA6" i="20"/>
  <c r="AUA6" i="20" a="1"/>
  <c r="ATZ6" i="20"/>
  <c r="ATZ6" i="20" a="1"/>
  <c r="ATY6" i="20" a="1"/>
  <c r="ATY6" i="20" s="1"/>
  <c r="ATX6" i="20" a="1"/>
  <c r="ATX6" i="20" s="1"/>
  <c r="ATW6" i="20" a="1"/>
  <c r="ATW6" i="20" s="1"/>
  <c r="ATV6" i="20" a="1"/>
  <c r="ATV6" i="20" s="1"/>
  <c r="ATU6" i="20"/>
  <c r="ATU6" i="20" a="1"/>
  <c r="ATT6" i="20" a="1"/>
  <c r="ATT6" i="20" s="1"/>
  <c r="ATS6" i="20"/>
  <c r="ATS6" i="20" a="1"/>
  <c r="ATR6" i="20" a="1"/>
  <c r="ATR6" i="20" s="1"/>
  <c r="ATQ6" i="20"/>
  <c r="ATQ6" i="20" a="1"/>
  <c r="ATP6" i="20" a="1"/>
  <c r="ATP6" i="20" s="1"/>
  <c r="ATO6" i="20"/>
  <c r="ATO6" i="20" a="1"/>
  <c r="ATN6" i="20"/>
  <c r="ATN6" i="20" a="1"/>
  <c r="ATM6" i="20"/>
  <c r="ATM6" i="20" a="1"/>
  <c r="ATL6" i="20" a="1"/>
  <c r="ATL6" i="20" s="1"/>
  <c r="ATK6" i="20" a="1"/>
  <c r="ATK6" i="20" s="1"/>
  <c r="ATJ6" i="20" a="1"/>
  <c r="ATJ6" i="20" s="1"/>
  <c r="ATI6" i="20" a="1"/>
  <c r="ATI6" i="20" s="1"/>
  <c r="ATH6" i="20"/>
  <c r="ATH6" i="20" a="1"/>
  <c r="ATG6" i="20" a="1"/>
  <c r="ATG6" i="20" s="1"/>
  <c r="ATF6" i="20" a="1"/>
  <c r="ATF6" i="20" s="1"/>
  <c r="ATE6" i="20" a="1"/>
  <c r="ATE6" i="20" s="1"/>
  <c r="ATD6" i="20"/>
  <c r="ATD6" i="20" a="1"/>
  <c r="ATC6" i="20" a="1"/>
  <c r="ATC6" i="20" s="1"/>
  <c r="ATB6" i="20" a="1"/>
  <c r="ATB6" i="20" s="1"/>
  <c r="ATA6" i="20"/>
  <c r="ATA6" i="20" a="1"/>
  <c r="ASZ6" i="20" a="1"/>
  <c r="ASZ6" i="20" s="1"/>
  <c r="ASY6" i="20"/>
  <c r="ASY6" i="20" a="1"/>
  <c r="ASX6" i="20" a="1"/>
  <c r="ASX6" i="20" s="1"/>
  <c r="ASW6" i="20" a="1"/>
  <c r="ASW6" i="20" s="1"/>
  <c r="ASV6" i="20" a="1"/>
  <c r="ASV6" i="20" s="1"/>
  <c r="ASU6" i="20"/>
  <c r="ASU6" i="20" a="1"/>
  <c r="AST6" i="20" a="1"/>
  <c r="AST6" i="20" s="1"/>
  <c r="ASS6" i="20"/>
  <c r="ASS6" i="20" a="1"/>
  <c r="ASR6" i="20" a="1"/>
  <c r="ASR6" i="20" s="1"/>
  <c r="ASQ6" i="20"/>
  <c r="ASQ6" i="20" a="1"/>
  <c r="ASP6" i="20" a="1"/>
  <c r="ASP6" i="20" s="1"/>
  <c r="ASO6" i="20" a="1"/>
  <c r="ASO6" i="20" s="1"/>
  <c r="ASN6" i="20" a="1"/>
  <c r="ASN6" i="20" s="1"/>
  <c r="ASM6" i="20" a="1"/>
  <c r="ASM6" i="20" s="1"/>
  <c r="ASL6" i="20"/>
  <c r="ASL6" i="20" a="1"/>
  <c r="ASK6" i="20" a="1"/>
  <c r="ASK6" i="20" s="1"/>
  <c r="ASJ6" i="20" a="1"/>
  <c r="ASJ6" i="20" s="1"/>
  <c r="ASI6" i="20" a="1"/>
  <c r="ASI6" i="20" s="1"/>
  <c r="ASH6" i="20" a="1"/>
  <c r="ASH6" i="20" s="1"/>
  <c r="ASG6" i="20"/>
  <c r="ASG6" i="20" a="1"/>
  <c r="ASF6" i="20"/>
  <c r="ASF6" i="20" a="1"/>
  <c r="ASE6" i="20" a="1"/>
  <c r="ASE6" i="20" s="1"/>
  <c r="ASD6" i="20"/>
  <c r="ASD6" i="20" a="1"/>
  <c r="ASC6" i="20" a="1"/>
  <c r="ASC6" i="20" s="1"/>
  <c r="ASB6" i="20" a="1"/>
  <c r="ASB6" i="20" s="1"/>
  <c r="ASA6" i="20"/>
  <c r="ASA6" i="20" a="1"/>
  <c r="ARZ6" i="20" a="1"/>
  <c r="ARZ6" i="20" s="1"/>
  <c r="ARY6" i="20"/>
  <c r="ARY6" i="20" a="1"/>
  <c r="ARX6" i="20" a="1"/>
  <c r="ARX6" i="20" s="1"/>
  <c r="ARW6" i="20" a="1"/>
  <c r="ARW6" i="20" s="1"/>
  <c r="ARV6" i="20" a="1"/>
  <c r="ARV6" i="20" s="1"/>
  <c r="ARU6" i="20"/>
  <c r="ARU6" i="20" a="1"/>
  <c r="ART6" i="20"/>
  <c r="ART6" i="20" a="1"/>
  <c r="ARS6" i="20"/>
  <c r="ARS6" i="20" a="1"/>
  <c r="ARR6" i="20" a="1"/>
  <c r="ARR6" i="20" s="1"/>
  <c r="ARQ6" i="20"/>
  <c r="ARQ6" i="20" a="1"/>
  <c r="ARP6" i="20" a="1"/>
  <c r="ARP6" i="20" s="1"/>
  <c r="ARO6" i="20" a="1"/>
  <c r="ARO6" i="20" s="1"/>
  <c r="ARN6" i="20"/>
  <c r="ARN6" i="20" a="1"/>
  <c r="ARM6" i="20" a="1"/>
  <c r="ARM6" i="20" s="1"/>
  <c r="ARL6" i="20"/>
  <c r="ARL6" i="20" a="1"/>
  <c r="ARK6" i="20" a="1"/>
  <c r="ARK6" i="20" s="1"/>
  <c r="ARJ6" i="20" a="1"/>
  <c r="ARJ6" i="20" s="1"/>
  <c r="ARI6" i="20" a="1"/>
  <c r="ARI6" i="20" s="1"/>
  <c r="ARH6" i="20" a="1"/>
  <c r="ARH6" i="20" s="1"/>
  <c r="ARG6" i="20"/>
  <c r="ARG6" i="20" a="1"/>
  <c r="ARF6" i="20"/>
  <c r="ARF6" i="20" a="1"/>
  <c r="ARE6" i="20" a="1"/>
  <c r="ARE6" i="20" s="1"/>
  <c r="ARD6" i="20" a="1"/>
  <c r="ARD6" i="20" s="1"/>
  <c r="ARC6" i="20" a="1"/>
  <c r="ARC6" i="20" s="1"/>
  <c r="ARB6" i="20" a="1"/>
  <c r="ARB6" i="20" s="1"/>
  <c r="ARA6" i="20"/>
  <c r="ARA6" i="20" a="1"/>
  <c r="AQZ6" i="20" a="1"/>
  <c r="AQZ6" i="20" s="1"/>
  <c r="AQY6" i="20"/>
  <c r="AQY6" i="20" a="1"/>
  <c r="AQX6" i="20" a="1"/>
  <c r="AQX6" i="20" s="1"/>
  <c r="AQW6" i="20"/>
  <c r="AQW6" i="20" a="1"/>
  <c r="AQV6" i="20" a="1"/>
  <c r="AQV6" i="20" s="1"/>
  <c r="AQU6" i="20" a="1"/>
  <c r="AQU6" i="20" s="1"/>
  <c r="AQT6" i="20"/>
  <c r="AQT6" i="20" a="1"/>
  <c r="AQS6" i="20"/>
  <c r="AQS6" i="20" a="1"/>
  <c r="AQR6" i="20" a="1"/>
  <c r="AQR6" i="20" s="1"/>
  <c r="AQQ6" i="20" a="1"/>
  <c r="AQQ6" i="20" s="1"/>
  <c r="AQP6" i="20" a="1"/>
  <c r="AQP6" i="20" s="1"/>
  <c r="AQO6" i="20" a="1"/>
  <c r="AQO6" i="20" s="1"/>
  <c r="AQN6" i="20"/>
  <c r="AQN6" i="20" a="1"/>
  <c r="AQM6" i="20" a="1"/>
  <c r="AQM6" i="20" s="1"/>
  <c r="AQL6" i="20" a="1"/>
  <c r="AQL6" i="20" s="1"/>
  <c r="AQK6" i="20" a="1"/>
  <c r="AQK6" i="20" s="1"/>
  <c r="AQJ6" i="20"/>
  <c r="AQJ6" i="20" a="1"/>
  <c r="AQI6" i="20" a="1"/>
  <c r="AQI6" i="20" s="1"/>
  <c r="AQH6" i="20"/>
  <c r="AQH6" i="20" a="1"/>
  <c r="AQG6" i="20"/>
  <c r="AQG6" i="20" a="1"/>
  <c r="AQF6" i="20" a="1"/>
  <c r="AQF6" i="20" s="1"/>
  <c r="AQE6" i="20"/>
  <c r="AQE6" i="20" a="1"/>
  <c r="AQD6" i="20" a="1"/>
  <c r="AQD6" i="20" s="1"/>
  <c r="AQC6" i="20" a="1"/>
  <c r="AQC6" i="20" s="1"/>
  <c r="AQB6" i="20" a="1"/>
  <c r="AQB6" i="20" s="1"/>
  <c r="AQA6" i="20"/>
  <c r="AQA6" i="20" a="1"/>
  <c r="APZ6" i="20" a="1"/>
  <c r="APZ6" i="20" s="1"/>
  <c r="APY6" i="20"/>
  <c r="APY6" i="20" a="1"/>
  <c r="APX6" i="20" a="1"/>
  <c r="APX6" i="20" s="1"/>
  <c r="APW6" i="20"/>
  <c r="APW6" i="20" a="1"/>
  <c r="APV6" i="20" a="1"/>
  <c r="APV6" i="20" s="1"/>
  <c r="APU6" i="20" a="1"/>
  <c r="APU6" i="20" s="1"/>
  <c r="APT6" i="20" a="1"/>
  <c r="APT6" i="20" s="1"/>
  <c r="APS6" i="20" a="1"/>
  <c r="APS6" i="20" s="1"/>
  <c r="APR6" i="20"/>
  <c r="APR6" i="20" a="1"/>
  <c r="APQ6" i="20" a="1"/>
  <c r="APQ6" i="20" s="1"/>
  <c r="APP6" i="20" a="1"/>
  <c r="APP6" i="20" s="1"/>
  <c r="APO6" i="20" a="1"/>
  <c r="APO6" i="20" s="1"/>
  <c r="APN6" i="20" a="1"/>
  <c r="APN6" i="20" s="1"/>
  <c r="APM6" i="20"/>
  <c r="APM6" i="20" a="1"/>
  <c r="APL6" i="20"/>
  <c r="APL6" i="20" a="1"/>
  <c r="APK6" i="20" a="1"/>
  <c r="APK6" i="20" s="1"/>
  <c r="APJ6" i="20"/>
  <c r="APJ6" i="20" a="1"/>
  <c r="API6" i="20" a="1"/>
  <c r="API6" i="20" s="1"/>
  <c r="APH6" i="20" a="1"/>
  <c r="APH6" i="20" s="1"/>
  <c r="APG6" i="20"/>
  <c r="APG6" i="20" a="1"/>
  <c r="APF6" i="20" a="1"/>
  <c r="APF6" i="20" s="1"/>
  <c r="APE6" i="20"/>
  <c r="APE6" i="20" a="1"/>
  <c r="APD6" i="20" a="1"/>
  <c r="APD6" i="20" s="1"/>
  <c r="APC6" i="20" a="1"/>
  <c r="APC6" i="20" s="1"/>
  <c r="APB6" i="20" a="1"/>
  <c r="APB6" i="20" s="1"/>
  <c r="APA6" i="20" a="1"/>
  <c r="APA6" i="20" s="1"/>
  <c r="AOZ6" i="20"/>
  <c r="AOZ6" i="20" a="1"/>
  <c r="AOY6" i="20"/>
  <c r="AOY6" i="20" a="1"/>
  <c r="AOX6" i="20" a="1"/>
  <c r="AOX6" i="20" s="1"/>
  <c r="AOW6" i="20"/>
  <c r="AOW6" i="20" a="1"/>
  <c r="AOV6" i="20" a="1"/>
  <c r="AOV6" i="20" s="1"/>
  <c r="AOU6" i="20" a="1"/>
  <c r="AOU6" i="20" s="1"/>
  <c r="AOT6" i="20"/>
  <c r="AOT6" i="20" a="1"/>
  <c r="AOS6" i="20" a="1"/>
  <c r="AOS6" i="20" s="1"/>
  <c r="AOR6" i="20"/>
  <c r="AOR6" i="20" a="1"/>
  <c r="AOQ6" i="20" a="1"/>
  <c r="AOQ6" i="20" s="1"/>
  <c r="AOP6" i="20" a="1"/>
  <c r="AOP6" i="20" s="1"/>
  <c r="AOO6" i="20" a="1"/>
  <c r="AOO6" i="20" s="1"/>
  <c r="AON6" i="20"/>
  <c r="AON6" i="20" a="1"/>
  <c r="AOM6" i="20"/>
  <c r="AOM6" i="20" a="1"/>
  <c r="AOL6" i="20"/>
  <c r="AOL6" i="20" a="1"/>
  <c r="AOK6" i="20" a="1"/>
  <c r="AOK6" i="20" s="1"/>
  <c r="AOJ6" i="20" a="1"/>
  <c r="AOJ6" i="20" s="1"/>
  <c r="AOI6" i="20" a="1"/>
  <c r="AOI6" i="20" s="1"/>
  <c r="AOH6" i="20" a="1"/>
  <c r="AOH6" i="20" s="1"/>
  <c r="AOG6" i="20"/>
  <c r="AOG6" i="20" a="1"/>
  <c r="AOF6" i="20" a="1"/>
  <c r="AOF6" i="20" s="1"/>
  <c r="AOE6" i="20"/>
  <c r="AOE6" i="20" a="1"/>
  <c r="AOD6" i="20" a="1"/>
  <c r="AOD6" i="20" s="1"/>
  <c r="AOC6" i="20"/>
  <c r="AOC6" i="20" a="1"/>
  <c r="AOB6" i="20" a="1"/>
  <c r="AOB6" i="20" s="1"/>
  <c r="AOA6" i="20"/>
  <c r="AOA6" i="20" a="1"/>
  <c r="ANZ6" i="20"/>
  <c r="ANZ6" i="20" a="1"/>
  <c r="ANY6" i="20"/>
  <c r="ANY6" i="20" a="1"/>
  <c r="ANX6" i="20" a="1"/>
  <c r="ANX6" i="20" s="1"/>
  <c r="ANW6" i="20" a="1"/>
  <c r="ANW6" i="20" s="1"/>
  <c r="ANV6" i="20" a="1"/>
  <c r="ANV6" i="20" s="1"/>
  <c r="ANU6" i="20" a="1"/>
  <c r="ANU6" i="20" s="1"/>
  <c r="ANT6" i="20"/>
  <c r="ANT6" i="20" a="1"/>
  <c r="ANS6" i="20" a="1"/>
  <c r="ANS6" i="20" s="1"/>
  <c r="ANR6" i="20" a="1"/>
  <c r="ANR6" i="20" s="1"/>
  <c r="ANQ6" i="20" a="1"/>
  <c r="ANQ6" i="20" s="1"/>
  <c r="ANP6" i="20"/>
  <c r="ANP6" i="20" a="1"/>
  <c r="ANO6" i="20" a="1"/>
  <c r="ANO6" i="20" s="1"/>
  <c r="ANN6" i="20" a="1"/>
  <c r="ANN6" i="20" s="1"/>
  <c r="ANM6" i="20"/>
  <c r="ANM6" i="20" a="1"/>
  <c r="ANL6" i="20" a="1"/>
  <c r="ANL6" i="20" s="1"/>
  <c r="ANK6" i="20"/>
  <c r="ANK6" i="20" a="1"/>
  <c r="ANJ6" i="20" a="1"/>
  <c r="ANJ6" i="20" s="1"/>
  <c r="ANI6" i="20" a="1"/>
  <c r="ANI6" i="20" s="1"/>
  <c r="ANH6" i="20" a="1"/>
  <c r="ANH6" i="20" s="1"/>
  <c r="ANG6" i="20"/>
  <c r="ANG6" i="20" a="1"/>
  <c r="ANF6" i="20" a="1"/>
  <c r="ANF6" i="20" s="1"/>
  <c r="ANE6" i="20"/>
  <c r="ANE6" i="20" a="1"/>
  <c r="AND6" i="20" a="1"/>
  <c r="AND6" i="20" s="1"/>
  <c r="ANC6" i="20"/>
  <c r="ANC6" i="20" a="1"/>
  <c r="ANB6" i="20" a="1"/>
  <c r="ANB6" i="20" s="1"/>
  <c r="ANA6" i="20" a="1"/>
  <c r="ANA6" i="20" s="1"/>
  <c r="AMZ6" i="20" a="1"/>
  <c r="AMZ6" i="20" s="1"/>
  <c r="AMY6" i="20" a="1"/>
  <c r="AMY6" i="20" s="1"/>
  <c r="AMX6" i="20"/>
  <c r="AMX6" i="20" a="1"/>
  <c r="AMW6" i="20" a="1"/>
  <c r="AMW6" i="20" s="1"/>
  <c r="AMV6" i="20" a="1"/>
  <c r="AMV6" i="20" s="1"/>
  <c r="AMU6" i="20" a="1"/>
  <c r="AMU6" i="20" s="1"/>
  <c r="AMT6" i="20" a="1"/>
  <c r="AMT6" i="20" s="1"/>
  <c r="AMS6" i="20"/>
  <c r="AMS6" i="20" a="1"/>
  <c r="AMR6" i="20"/>
  <c r="AMR6" i="20" a="1"/>
  <c r="AMQ6" i="20" a="1"/>
  <c r="AMQ6" i="20" s="1"/>
  <c r="AMP6" i="20"/>
  <c r="AMP6" i="20" a="1"/>
  <c r="AMO6" i="20" a="1"/>
  <c r="AMO6" i="20" s="1"/>
  <c r="AMN6" i="20" a="1"/>
  <c r="AMN6" i="20" s="1"/>
  <c r="AMM6" i="20"/>
  <c r="AMM6" i="20" a="1"/>
  <c r="AML6" i="20" a="1"/>
  <c r="AML6" i="20" s="1"/>
  <c r="AMK6" i="20"/>
  <c r="AMK6" i="20" a="1"/>
  <c r="AMJ6" i="20" a="1"/>
  <c r="AMJ6" i="20" s="1"/>
  <c r="AMI6" i="20" a="1"/>
  <c r="AMI6" i="20" s="1"/>
  <c r="AMH6" i="20" a="1"/>
  <c r="AMH6" i="20" s="1"/>
  <c r="AMG6" i="20"/>
  <c r="AMG6" i="20" a="1"/>
  <c r="AMF6" i="20"/>
  <c r="AMF6" i="20" a="1"/>
  <c r="AME6" i="20"/>
  <c r="AME6" i="20" a="1"/>
  <c r="AMD6" i="20" a="1"/>
  <c r="AMD6" i="20" s="1"/>
  <c r="AMC6" i="20"/>
  <c r="AMC6" i="20" a="1"/>
  <c r="AMB6" i="20" a="1"/>
  <c r="AMB6" i="20" s="1"/>
  <c r="AMA6" i="20" a="1"/>
  <c r="AMA6" i="20" s="1"/>
  <c r="ALZ6" i="20"/>
  <c r="ALZ6" i="20" a="1"/>
  <c r="ALY6" i="20" a="1"/>
  <c r="ALY6" i="20" s="1"/>
  <c r="ALX6" i="20"/>
  <c r="ALX6" i="20" a="1"/>
  <c r="ALW6" i="20" a="1"/>
  <c r="ALW6" i="20" s="1"/>
  <c r="ALV6" i="20" a="1"/>
  <c r="ALV6" i="20" s="1"/>
  <c r="ALU6" i="20" a="1"/>
  <c r="ALU6" i="20" s="1"/>
  <c r="ALT6" i="20" a="1"/>
  <c r="ALT6" i="20" s="1"/>
  <c r="ALS6" i="20"/>
  <c r="ALS6" i="20" a="1"/>
  <c r="ALR6" i="20"/>
  <c r="ALR6" i="20" a="1"/>
  <c r="ALQ6" i="20" a="1"/>
  <c r="ALQ6" i="20" s="1"/>
  <c r="ALP6" i="20" a="1"/>
  <c r="ALP6" i="20" s="1"/>
  <c r="ALO6" i="20" a="1"/>
  <c r="ALO6" i="20" s="1"/>
  <c r="ALN6" i="20" a="1"/>
  <c r="ALN6" i="20" s="1"/>
  <c r="ALM6" i="20"/>
  <c r="ALM6" i="20" a="1"/>
  <c r="ALL6" i="20" a="1"/>
  <c r="ALL6" i="20" s="1"/>
  <c r="ALK6" i="20"/>
  <c r="ALK6" i="20" a="1"/>
  <c r="ALJ6" i="20" a="1"/>
  <c r="ALJ6" i="20" s="1"/>
  <c r="ALI6" i="20"/>
  <c r="ALI6" i="20" a="1"/>
  <c r="ALH6" i="20" a="1"/>
  <c r="ALH6" i="20" s="1"/>
  <c r="ALG6" i="20" a="1"/>
  <c r="ALG6" i="20" s="1"/>
  <c r="ALF6" i="20"/>
  <c r="ALF6" i="20" a="1"/>
  <c r="ALE6" i="20"/>
  <c r="ALE6" i="20" a="1"/>
  <c r="ALD6" i="20" a="1"/>
  <c r="ALD6" i="20" s="1"/>
  <c r="ALC6" i="20" a="1"/>
  <c r="ALC6" i="20" s="1"/>
  <c r="ALB6" i="20" a="1"/>
  <c r="ALB6" i="20" s="1"/>
  <c r="ALA6" i="20" a="1"/>
  <c r="ALA6" i="20" s="1"/>
  <c r="AKZ6" i="20"/>
  <c r="AKZ6" i="20" a="1"/>
  <c r="AKY6" i="20" a="1"/>
  <c r="AKY6" i="20" s="1"/>
  <c r="AKX6" i="20" a="1"/>
  <c r="AKX6" i="20" s="1"/>
  <c r="AKW6" i="20" a="1"/>
  <c r="AKW6" i="20" s="1"/>
  <c r="AKV6" i="20"/>
  <c r="AKV6" i="20" a="1"/>
  <c r="AKU6" i="20" a="1"/>
  <c r="AKU6" i="20" s="1"/>
  <c r="AKT6" i="20"/>
  <c r="AKT6" i="20" a="1"/>
  <c r="AKS6" i="20"/>
  <c r="AKS6" i="20" a="1"/>
  <c r="AKR6" i="20" a="1"/>
  <c r="AKR6" i="20" s="1"/>
  <c r="AKQ6" i="20"/>
  <c r="AKQ6" i="20" a="1"/>
  <c r="AKP6" i="20" a="1"/>
  <c r="AKP6" i="20" s="1"/>
  <c r="AKO6" i="20" a="1"/>
  <c r="AKO6" i="20" s="1"/>
  <c r="AKN6" i="20" a="1"/>
  <c r="AKN6" i="20" s="1"/>
  <c r="AKM6" i="20"/>
  <c r="AKM6" i="20" a="1"/>
  <c r="AKL6" i="20" a="1"/>
  <c r="AKL6" i="20" s="1"/>
  <c r="AKK6" i="20"/>
  <c r="AKK6" i="20" a="1"/>
  <c r="AKJ6" i="20" a="1"/>
  <c r="AKJ6" i="20" s="1"/>
  <c r="AKI6" i="20"/>
  <c r="AKI6" i="20" a="1"/>
  <c r="AKH6" i="20" a="1"/>
  <c r="AKH6" i="20" s="1"/>
  <c r="AKG6" i="20" a="1"/>
  <c r="AKG6" i="20" s="1"/>
  <c r="AKF6" i="20" a="1"/>
  <c r="AKF6" i="20" s="1"/>
  <c r="AKE6" i="20" a="1"/>
  <c r="AKE6" i="20" s="1"/>
  <c r="AKD6" i="20"/>
  <c r="AKD6" i="20" a="1"/>
  <c r="AKC6" i="20" a="1"/>
  <c r="AKC6" i="20" s="1"/>
  <c r="AKB6" i="20" a="1"/>
  <c r="AKB6" i="20" s="1"/>
  <c r="AKA6" i="20" a="1"/>
  <c r="AKA6" i="20" s="1"/>
  <c r="AJZ6" i="20" a="1"/>
  <c r="AJZ6" i="20" s="1"/>
  <c r="AJY6" i="20"/>
  <c r="AJY6" i="20" a="1"/>
  <c r="AJX6" i="20"/>
  <c r="AJX6" i="20" a="1"/>
  <c r="AJW6" i="20" a="1"/>
  <c r="AJW6" i="20" s="1"/>
  <c r="AJV6" i="20"/>
  <c r="AJV6" i="20" a="1"/>
  <c r="AJU6" i="20" a="1"/>
  <c r="AJU6" i="20" s="1"/>
  <c r="AJT6" i="20" a="1"/>
  <c r="AJT6" i="20" s="1"/>
  <c r="AJS6" i="20"/>
  <c r="AJS6" i="20" a="1"/>
  <c r="AJR6" i="20" a="1"/>
  <c r="AJR6" i="20" s="1"/>
  <c r="AJQ6" i="20"/>
  <c r="AJQ6" i="20" a="1"/>
  <c r="AJP6" i="20" a="1"/>
  <c r="AJP6" i="20" s="1"/>
  <c r="AJO6" i="20" a="1"/>
  <c r="AJO6" i="20" s="1"/>
  <c r="AJN6" i="20" a="1"/>
  <c r="AJN6" i="20" s="1"/>
  <c r="AJM6" i="20" a="1"/>
  <c r="AJM6" i="20" s="1"/>
  <c r="AJL6" i="20"/>
  <c r="AJL6" i="20" a="1"/>
  <c r="AJK6" i="20"/>
  <c r="AJK6" i="20" a="1"/>
  <c r="AJJ6" i="20" a="1"/>
  <c r="AJJ6" i="20" s="1"/>
  <c r="AJI6" i="20"/>
  <c r="AJI6" i="20" a="1"/>
  <c r="AJH6" i="20" a="1"/>
  <c r="AJH6" i="20" s="1"/>
  <c r="AJG6" i="20" a="1"/>
  <c r="AJG6" i="20" s="1"/>
  <c r="AJF6" i="20"/>
  <c r="AJF6" i="20" a="1"/>
  <c r="AJE6" i="20" a="1"/>
  <c r="AJE6" i="20" s="1"/>
  <c r="AJD6" i="20"/>
  <c r="AJD6" i="20" a="1"/>
  <c r="AJC6" i="20" a="1"/>
  <c r="AJC6" i="20" s="1"/>
  <c r="AJB6" i="20" a="1"/>
  <c r="AJB6" i="20" s="1"/>
  <c r="AJA6" i="20" a="1"/>
  <c r="AJA6" i="20" s="1"/>
  <c r="AIZ6" i="20"/>
  <c r="AIZ6" i="20" a="1"/>
  <c r="AIY6" i="20"/>
  <c r="AIY6" i="20" a="1"/>
  <c r="AIX6" i="20"/>
  <c r="AIX6" i="20" a="1"/>
  <c r="AIW6" i="20" a="1"/>
  <c r="AIW6" i="20" s="1"/>
  <c r="AIV6" i="20" a="1"/>
  <c r="AIV6" i="20" s="1"/>
  <c r="AIU6" i="20" a="1"/>
  <c r="AIU6" i="20" s="1"/>
  <c r="AIT6" i="20" a="1"/>
  <c r="AIT6" i="20" s="1"/>
  <c r="AIS6" i="20"/>
  <c r="AIS6" i="20" a="1"/>
  <c r="AIR6" i="20" a="1"/>
  <c r="AIR6" i="20" s="1"/>
  <c r="AIQ6" i="20"/>
  <c r="AIQ6" i="20" a="1"/>
  <c r="AIP6" i="20" a="1"/>
  <c r="AIP6" i="20" s="1"/>
  <c r="AIO6" i="20"/>
  <c r="AIO6" i="20" a="1"/>
  <c r="AIN6" i="20" a="1"/>
  <c r="AIN6" i="20" s="1"/>
  <c r="AIM6" i="20"/>
  <c r="AIM6" i="20" a="1"/>
  <c r="AIL6" i="20"/>
  <c r="AIL6" i="20" a="1"/>
  <c r="AIK6" i="20"/>
  <c r="AIK6" i="20" a="1"/>
  <c r="AIJ6" i="20" a="1"/>
  <c r="AIJ6" i="20" s="1"/>
  <c r="AII6" i="20" a="1"/>
  <c r="AII6" i="20" s="1"/>
  <c r="AIH6" i="20" a="1"/>
  <c r="AIH6" i="20" s="1"/>
  <c r="AIG6" i="20" a="1"/>
  <c r="AIG6" i="20" s="1"/>
  <c r="AIF6" i="20"/>
  <c r="AIF6" i="20" a="1"/>
  <c r="AIE6" i="20" a="1"/>
  <c r="AIE6" i="20" s="1"/>
  <c r="AID6" i="20" a="1"/>
  <c r="AID6" i="20" s="1"/>
  <c r="AIC6" i="20" a="1"/>
  <c r="AIC6" i="20" s="1"/>
  <c r="AIB6" i="20"/>
  <c r="AIB6" i="20" a="1"/>
  <c r="AIA6" i="20" a="1"/>
  <c r="AIA6" i="20" s="1"/>
  <c r="AHZ6" i="20" a="1"/>
  <c r="AHZ6" i="20" s="1"/>
  <c r="AHY6" i="20"/>
  <c r="AHY6" i="20" a="1"/>
  <c r="AHX6" i="20" a="1"/>
  <c r="AHX6" i="20" s="1"/>
  <c r="AHW6" i="20"/>
  <c r="AHW6" i="20" a="1"/>
  <c r="AHV6" i="20" a="1"/>
  <c r="AHV6" i="20" s="1"/>
  <c r="AHU6" i="20" a="1"/>
  <c r="AHU6" i="20" s="1"/>
  <c r="AHT6" i="20" a="1"/>
  <c r="AHT6" i="20" s="1"/>
  <c r="AHS6" i="20"/>
  <c r="AHS6" i="20" a="1"/>
  <c r="AHR6" i="20" a="1"/>
  <c r="AHR6" i="20" s="1"/>
  <c r="AHQ6" i="20"/>
  <c r="AHQ6" i="20" a="1"/>
  <c r="AHP6" i="20" a="1"/>
  <c r="AHP6" i="20" s="1"/>
  <c r="AHO6" i="20"/>
  <c r="AHO6" i="20" a="1"/>
  <c r="AHN6" i="20" a="1"/>
  <c r="AHN6" i="20" s="1"/>
  <c r="AHM6" i="20" a="1"/>
  <c r="AHM6" i="20" s="1"/>
  <c r="AHL6" i="20" a="1"/>
  <c r="AHL6" i="20" s="1"/>
  <c r="AHK6" i="20" a="1"/>
  <c r="AHK6" i="20" s="1"/>
  <c r="AHJ6" i="20"/>
  <c r="AHJ6" i="20" a="1"/>
  <c r="AHI6" i="20" a="1"/>
  <c r="AHI6" i="20" s="1"/>
  <c r="AHH6" i="20" a="1"/>
  <c r="AHH6" i="20" s="1"/>
  <c r="AHG6" i="20" a="1"/>
  <c r="AHG6" i="20" s="1"/>
  <c r="AHF6" i="20" a="1"/>
  <c r="AHF6" i="20" s="1"/>
  <c r="AHE6" i="20"/>
  <c r="AHE6" i="20" a="1"/>
  <c r="AHD6" i="20"/>
  <c r="AHD6" i="20" a="1"/>
  <c r="AHC6" i="20" a="1"/>
  <c r="AHC6" i="20" s="1"/>
  <c r="AHB6" i="20"/>
  <c r="AHB6" i="20" a="1"/>
  <c r="AHA6" i="20" a="1"/>
  <c r="AHA6" i="20" s="1"/>
  <c r="AGZ6" i="20" a="1"/>
  <c r="AGZ6" i="20" s="1"/>
  <c r="AGY6" i="20"/>
  <c r="AGY6" i="20" a="1"/>
  <c r="AGX6" i="20" a="1"/>
  <c r="AGX6" i="20" s="1"/>
  <c r="AGW6" i="20"/>
  <c r="AGW6" i="20" a="1"/>
  <c r="AGV6" i="20" a="1"/>
  <c r="AGV6" i="20" s="1"/>
  <c r="AGU6" i="20" a="1"/>
  <c r="AGU6" i="20" s="1"/>
  <c r="AGT6" i="20" a="1"/>
  <c r="AGT6" i="20" s="1"/>
  <c r="AGS6" i="20"/>
  <c r="AGS6" i="20" a="1"/>
  <c r="AGR6" i="20"/>
  <c r="AGR6" i="20" a="1"/>
  <c r="AGQ6" i="20"/>
  <c r="AGQ6" i="20" a="1"/>
  <c r="AGP6" i="20" a="1"/>
  <c r="AGP6" i="20" s="1"/>
  <c r="AGO6" i="20"/>
  <c r="AGO6" i="20" a="1"/>
  <c r="AGN6" i="20" a="1"/>
  <c r="AGN6" i="20" s="1"/>
  <c r="AGM6" i="20" a="1"/>
  <c r="AGM6" i="20" s="1"/>
  <c r="AGL6" i="20"/>
  <c r="AGL6" i="20" a="1"/>
  <c r="AGK6" i="20" a="1"/>
  <c r="AGK6" i="20" s="1"/>
  <c r="AGJ6" i="20"/>
  <c r="AGJ6" i="20" a="1"/>
  <c r="AGI6" i="20" a="1"/>
  <c r="AGI6" i="20" s="1"/>
  <c r="AGH6" i="20" a="1"/>
  <c r="AGH6" i="20" s="1"/>
  <c r="AGG6" i="20" a="1"/>
  <c r="AGG6" i="20" s="1"/>
  <c r="AGF6" i="20" a="1"/>
  <c r="AGF6" i="20" s="1"/>
  <c r="AGE6" i="20"/>
  <c r="AGE6" i="20" a="1"/>
  <c r="AGD6" i="20"/>
  <c r="AGD6" i="20" a="1"/>
  <c r="AGC6" i="20" a="1"/>
  <c r="AGC6" i="20" s="1"/>
  <c r="AGB6" i="20" a="1"/>
  <c r="AGB6" i="20" s="1"/>
  <c r="AGA6" i="20" a="1"/>
  <c r="AGA6" i="20" s="1"/>
  <c r="AFZ6" i="20" a="1"/>
  <c r="AFZ6" i="20" s="1"/>
  <c r="AFY6" i="20"/>
  <c r="AFY6" i="20" a="1"/>
  <c r="AFX6" i="20" a="1"/>
  <c r="AFX6" i="20" s="1"/>
  <c r="AFW6" i="20"/>
  <c r="AFW6" i="20" a="1"/>
  <c r="AFV6" i="20" a="1"/>
  <c r="AFV6" i="20" s="1"/>
  <c r="AFU6" i="20"/>
  <c r="AFU6" i="20" a="1"/>
  <c r="AFT6" i="20" a="1"/>
  <c r="AFT6" i="20" s="1"/>
  <c r="AFS6" i="20" a="1"/>
  <c r="AFS6" i="20" s="1"/>
  <c r="AFR6" i="20"/>
  <c r="AFR6" i="20" a="1"/>
  <c r="AFQ6" i="20"/>
  <c r="AFQ6" i="20" a="1"/>
  <c r="AFP6" i="20" a="1"/>
  <c r="AFP6" i="20" s="1"/>
  <c r="AFO6" i="20" a="1"/>
  <c r="AFO6" i="20" s="1"/>
  <c r="AFN6" i="20" a="1"/>
  <c r="AFN6" i="20" s="1"/>
  <c r="AFM6" i="20" a="1"/>
  <c r="AFM6" i="20" s="1"/>
  <c r="AFL6" i="20"/>
  <c r="AFL6" i="20" a="1"/>
  <c r="AFK6" i="20" a="1"/>
  <c r="AFK6" i="20" s="1"/>
  <c r="AFJ6" i="20" a="1"/>
  <c r="AFJ6" i="20" s="1"/>
  <c r="AFI6" i="20" a="1"/>
  <c r="AFI6" i="20" s="1"/>
  <c r="AFH6" i="20"/>
  <c r="AFH6" i="20" a="1"/>
  <c r="AFG6" i="20" a="1"/>
  <c r="AFG6" i="20" s="1"/>
  <c r="AFF6" i="20"/>
  <c r="AFF6" i="20" a="1"/>
  <c r="AFE6" i="20"/>
  <c r="AFE6" i="20" a="1"/>
  <c r="AFD6" i="20" a="1"/>
  <c r="AFD6" i="20" s="1"/>
  <c r="AFC6" i="20"/>
  <c r="AFC6" i="20" a="1"/>
  <c r="AFB6" i="20" a="1"/>
  <c r="AFB6" i="20" s="1"/>
  <c r="AFA6" i="20" a="1"/>
  <c r="AFA6" i="20" s="1"/>
  <c r="AEZ6" i="20" a="1"/>
  <c r="AEZ6" i="20" s="1"/>
  <c r="AEY6" i="20"/>
  <c r="AEY6" i="20" a="1"/>
  <c r="AEX6" i="20" a="1"/>
  <c r="AEX6" i="20" s="1"/>
  <c r="AEW6" i="20"/>
  <c r="AEW6" i="20" a="1"/>
  <c r="AEV6" i="20" a="1"/>
  <c r="AEV6" i="20" s="1"/>
  <c r="AEU6" i="20"/>
  <c r="AEU6" i="20" a="1"/>
  <c r="AET6" i="20" a="1"/>
  <c r="AET6" i="20" s="1"/>
  <c r="AES6" i="20" a="1"/>
  <c r="AES6" i="20" s="1"/>
  <c r="AER6" i="20" a="1"/>
  <c r="AER6" i="20" s="1"/>
  <c r="AEQ6" i="20" a="1"/>
  <c r="AEQ6" i="20" s="1"/>
  <c r="AEP6" i="20"/>
  <c r="AEP6" i="20" a="1"/>
  <c r="AEO6" i="20" a="1"/>
  <c r="AEO6" i="20" s="1"/>
  <c r="AEN6" i="20" a="1"/>
  <c r="AEN6" i="20" s="1"/>
  <c r="AEM6" i="20" a="1"/>
  <c r="AEM6" i="20" s="1"/>
  <c r="AEL6" i="20" a="1"/>
  <c r="AEL6" i="20" s="1"/>
  <c r="AEK6" i="20"/>
  <c r="AEK6" i="20" a="1"/>
  <c r="AEJ6" i="20"/>
  <c r="AEJ6" i="20" a="1"/>
  <c r="AEI6" i="20" a="1"/>
  <c r="AEI6" i="20" s="1"/>
  <c r="AEH6" i="20"/>
  <c r="AEH6" i="20" a="1"/>
  <c r="AEG6" i="20" a="1"/>
  <c r="AEG6" i="20" s="1"/>
  <c r="AEF6" i="20" a="1"/>
  <c r="AEF6" i="20" s="1"/>
  <c r="AEE6" i="20"/>
  <c r="AEE6" i="20" a="1"/>
  <c r="AED6" i="20" a="1"/>
  <c r="AED6" i="20" s="1"/>
  <c r="AEC6" i="20"/>
  <c r="AEC6" i="20" a="1"/>
  <c r="AEB6" i="20" a="1"/>
  <c r="AEB6" i="20" s="1"/>
  <c r="AEA6" i="20" a="1"/>
  <c r="AEA6" i="20" s="1"/>
  <c r="ADZ6" i="20" a="1"/>
  <c r="ADZ6" i="20" s="1"/>
  <c r="ADY6" i="20" a="1"/>
  <c r="ADY6" i="20" s="1"/>
  <c r="ADX6" i="20"/>
  <c r="ADX6" i="20" a="1"/>
  <c r="ADW6" i="20"/>
  <c r="ADW6" i="20" a="1"/>
  <c r="ADV6" i="20" a="1"/>
  <c r="ADV6" i="20" s="1"/>
  <c r="ADU6" i="20"/>
  <c r="ADU6" i="20" a="1"/>
  <c r="ADT6" i="20" a="1"/>
  <c r="ADT6" i="20" s="1"/>
  <c r="ADS6" i="20" a="1"/>
  <c r="ADS6" i="20" s="1"/>
  <c r="ADR6" i="20"/>
  <c r="ADR6" i="20" a="1"/>
  <c r="ADQ6" i="20" a="1"/>
  <c r="ADQ6" i="20" s="1"/>
  <c r="ADP6" i="20"/>
  <c r="ADP6" i="20" a="1"/>
  <c r="ADO6" i="20" a="1"/>
  <c r="ADO6" i="20" s="1"/>
  <c r="ADN6" i="20" a="1"/>
  <c r="ADN6" i="20" s="1"/>
  <c r="ADM6" i="20" a="1"/>
  <c r="ADM6" i="20" s="1"/>
  <c r="ADL6" i="20"/>
  <c r="ADL6" i="20" a="1"/>
  <c r="ADK6" i="20"/>
  <c r="ADK6" i="20" a="1"/>
  <c r="ADJ6" i="20"/>
  <c r="ADJ6" i="20" a="1"/>
  <c r="ADI6" i="20" a="1"/>
  <c r="ADI6" i="20" s="1"/>
  <c r="ADH6" i="20" a="1"/>
  <c r="ADH6" i="20" s="1"/>
  <c r="ADG6" i="20" a="1"/>
  <c r="ADG6" i="20" s="1"/>
  <c r="ADF6" i="20" a="1"/>
  <c r="ADF6" i="20" s="1"/>
  <c r="ADE6" i="20"/>
  <c r="ADE6" i="20" a="1"/>
  <c r="ADD6" i="20" a="1"/>
  <c r="ADD6" i="20" s="1"/>
  <c r="ADC6" i="20"/>
  <c r="ADC6" i="20" a="1"/>
  <c r="ADB6" i="20" a="1"/>
  <c r="ADB6" i="20" s="1"/>
  <c r="ADA6" i="20"/>
  <c r="ADA6" i="20" a="1"/>
  <c r="ACZ6" i="20" a="1"/>
  <c r="ACZ6" i="20" s="1"/>
  <c r="ACY6" i="20"/>
  <c r="ACY6" i="20" a="1"/>
  <c r="ACX6" i="20"/>
  <c r="ACX6" i="20" a="1"/>
  <c r="ACW6" i="20"/>
  <c r="ACW6" i="20" a="1"/>
  <c r="ACV6" i="20" a="1"/>
  <c r="ACV6" i="20" s="1"/>
  <c r="ACU6" i="20" a="1"/>
  <c r="ACU6" i="20" s="1"/>
  <c r="ACT6" i="20" a="1"/>
  <c r="ACT6" i="20" s="1"/>
  <c r="ACS6" i="20" a="1"/>
  <c r="ACS6" i="20" s="1"/>
  <c r="ACR6" i="20"/>
  <c r="ACR6" i="20" a="1"/>
  <c r="ACQ6" i="20" a="1"/>
  <c r="ACQ6" i="20" s="1"/>
  <c r="ACP6" i="20" a="1"/>
  <c r="ACP6" i="20" s="1"/>
  <c r="ACO6" i="20" a="1"/>
  <c r="ACO6" i="20" s="1"/>
  <c r="ACN6" i="20"/>
  <c r="ACN6" i="20" a="1"/>
  <c r="ACM6" i="20" a="1"/>
  <c r="ACM6" i="20" s="1"/>
  <c r="ACL6" i="20" a="1"/>
  <c r="ACL6" i="20" s="1"/>
  <c r="ACK6" i="20"/>
  <c r="ACK6" i="20" a="1"/>
  <c r="ACJ6" i="20" a="1"/>
  <c r="ACJ6" i="20" s="1"/>
  <c r="ACI6" i="20"/>
  <c r="ACI6" i="20" a="1"/>
  <c r="ACH6" i="20" a="1"/>
  <c r="ACH6" i="20" s="1"/>
  <c r="ACG6" i="20" a="1"/>
  <c r="ACG6" i="20" s="1"/>
  <c r="ACF6" i="20" a="1"/>
  <c r="ACF6" i="20" s="1"/>
  <c r="ACE6" i="20"/>
  <c r="ACE6" i="20" a="1"/>
  <c r="ACD6" i="20" a="1"/>
  <c r="ACD6" i="20" s="1"/>
  <c r="ACC6" i="20"/>
  <c r="ACC6" i="20" a="1"/>
  <c r="ACB6" i="20" a="1"/>
  <c r="ACB6" i="20" s="1"/>
  <c r="ACA6" i="20"/>
  <c r="ACA6" i="20" a="1"/>
  <c r="ABZ6" i="20" a="1"/>
  <c r="ABZ6" i="20" s="1"/>
  <c r="ABY6" i="20" a="1"/>
  <c r="ABY6" i="20" s="1"/>
  <c r="ABX6" i="20" a="1"/>
  <c r="ABX6" i="20" s="1"/>
  <c r="ABW6" i="20" a="1"/>
  <c r="ABW6" i="20" s="1"/>
  <c r="ABV6" i="20"/>
  <c r="ABV6" i="20" a="1"/>
  <c r="ABU6" i="20" a="1"/>
  <c r="ABU6" i="20" s="1"/>
  <c r="ABT6" i="20" a="1"/>
  <c r="ABT6" i="20" s="1"/>
  <c r="ABS6" i="20" a="1"/>
  <c r="ABS6" i="20" s="1"/>
  <c r="ABR6" i="20" a="1"/>
  <c r="ABR6" i="20" s="1"/>
  <c r="ABQ6" i="20"/>
  <c r="ABQ6" i="20" a="1"/>
  <c r="ABP6" i="20"/>
  <c r="ABP6" i="20" a="1"/>
  <c r="ABO6" i="20" a="1"/>
  <c r="ABO6" i="20" s="1"/>
  <c r="ABN6" i="20"/>
  <c r="ABN6" i="20" a="1"/>
  <c r="ABM6" i="20" a="1"/>
  <c r="ABM6" i="20" s="1"/>
  <c r="ABL6" i="20" a="1"/>
  <c r="ABL6" i="20" s="1"/>
  <c r="ABK6" i="20"/>
  <c r="ABK6" i="20" a="1"/>
  <c r="ABJ6" i="20" a="1"/>
  <c r="ABJ6" i="20" s="1"/>
  <c r="ABI6" i="20"/>
  <c r="ABI6" i="20" a="1"/>
  <c r="ABH6" i="20" a="1"/>
  <c r="ABH6" i="20" s="1"/>
  <c r="ABG6" i="20" a="1"/>
  <c r="ABG6" i="20" s="1"/>
  <c r="ABF6" i="20" a="1"/>
  <c r="ABF6" i="20" s="1"/>
  <c r="ABE6" i="20"/>
  <c r="ABE6" i="20" a="1"/>
  <c r="ABD6" i="20"/>
  <c r="ABD6" i="20" a="1"/>
  <c r="ABC6" i="20"/>
  <c r="ABC6" i="20" a="1"/>
  <c r="ABB6" i="20" a="1"/>
  <c r="ABB6" i="20" s="1"/>
  <c r="ABA6" i="20"/>
  <c r="ABA6" i="20" a="1"/>
  <c r="AAZ6" i="20" a="1"/>
  <c r="AAZ6" i="20" s="1"/>
  <c r="AAY6" i="20" a="1"/>
  <c r="AAY6" i="20" s="1"/>
  <c r="AAX6" i="20"/>
  <c r="AAX6" i="20" a="1"/>
  <c r="AAW6" i="20" a="1"/>
  <c r="AAW6" i="20" s="1"/>
  <c r="AAV6" i="20"/>
  <c r="AAV6" i="20" a="1"/>
  <c r="AAU6" i="20" a="1"/>
  <c r="AAU6" i="20" s="1"/>
  <c r="AAT6" i="20" a="1"/>
  <c r="AAT6" i="20" s="1"/>
  <c r="AAS6" i="20" a="1"/>
  <c r="AAS6" i="20" s="1"/>
  <c r="AAR6" i="20" a="1"/>
  <c r="AAR6" i="20" s="1"/>
  <c r="AAQ6" i="20"/>
  <c r="AAQ6" i="20" a="1"/>
  <c r="AAP6" i="20"/>
  <c r="AAP6" i="20" a="1"/>
  <c r="AAO6" i="20" a="1"/>
  <c r="AAO6" i="20" s="1"/>
  <c r="AAN6" i="20" a="1"/>
  <c r="AAN6" i="20" s="1"/>
  <c r="AAM6" i="20" a="1"/>
  <c r="AAM6" i="20" s="1"/>
  <c r="AAL6" i="20" a="1"/>
  <c r="AAL6" i="20" s="1"/>
  <c r="AAK6" i="20"/>
  <c r="AAK6" i="20" a="1"/>
  <c r="AAJ6" i="20" a="1"/>
  <c r="AAJ6" i="20" s="1"/>
  <c r="AAI6" i="20"/>
  <c r="AAI6" i="20" a="1"/>
  <c r="AAH6" i="20" a="1"/>
  <c r="AAH6" i="20" s="1"/>
  <c r="AAG6" i="20"/>
  <c r="AAG6" i="20" a="1"/>
  <c r="AAF6" i="20" a="1"/>
  <c r="AAF6" i="20" s="1"/>
  <c r="AAE6" i="20" a="1"/>
  <c r="AAE6" i="20" s="1"/>
  <c r="AAD6" i="20"/>
  <c r="AAD6" i="20" a="1"/>
  <c r="AAC6" i="20"/>
  <c r="AAC6" i="20" a="1"/>
  <c r="AAB6" i="20" a="1"/>
  <c r="AAB6" i="20" s="1"/>
  <c r="AAA6" i="20" a="1"/>
  <c r="AAA6" i="20" s="1"/>
  <c r="ZZ6" i="20" a="1"/>
  <c r="ZZ6" i="20" s="1"/>
  <c r="ZY6" i="20" a="1"/>
  <c r="ZY6" i="20" s="1"/>
  <c r="ZX6" i="20"/>
  <c r="ZX6" i="20" a="1"/>
  <c r="ZW6" i="20" a="1"/>
  <c r="ZW6" i="20" s="1"/>
  <c r="ZV6" i="20" a="1"/>
  <c r="ZV6" i="20" s="1"/>
  <c r="ZU6" i="20" a="1"/>
  <c r="ZU6" i="20" s="1"/>
  <c r="ZT6" i="20"/>
  <c r="ZT6" i="20" a="1"/>
  <c r="ZS6" i="20" a="1"/>
  <c r="ZS6" i="20" s="1"/>
  <c r="ZR6" i="20"/>
  <c r="ZR6" i="20" a="1"/>
  <c r="ZQ6" i="20"/>
  <c r="ZQ6" i="20" a="1"/>
  <c r="ZP6" i="20" a="1"/>
  <c r="ZP6" i="20" s="1"/>
  <c r="ZO6" i="20"/>
  <c r="ZO6" i="20" a="1"/>
  <c r="ZN6" i="20" a="1"/>
  <c r="ZN6" i="20" s="1"/>
  <c r="ZM6" i="20" a="1"/>
  <c r="ZM6" i="20" s="1"/>
  <c r="ZL6" i="20" a="1"/>
  <c r="ZL6" i="20" s="1"/>
  <c r="ZK6" i="20"/>
  <c r="ZK6" i="20" a="1"/>
  <c r="ZJ6" i="20" a="1"/>
  <c r="ZJ6" i="20" s="1"/>
  <c r="ZI6" i="20"/>
  <c r="ZI6" i="20" a="1"/>
  <c r="ZH6" i="20" a="1"/>
  <c r="ZH6" i="20" s="1"/>
  <c r="ZG6" i="20"/>
  <c r="ZG6" i="20" a="1"/>
  <c r="ZF6" i="20" a="1"/>
  <c r="ZF6" i="20" s="1"/>
  <c r="ZE6" i="20" a="1"/>
  <c r="ZE6" i="20" s="1"/>
  <c r="ZD6" i="20" a="1"/>
  <c r="ZD6" i="20" s="1"/>
  <c r="ZC6" i="20" a="1"/>
  <c r="ZC6" i="20" s="1"/>
  <c r="ZB6" i="20"/>
  <c r="ZB6" i="20" a="1"/>
  <c r="ZA6" i="20" a="1"/>
  <c r="ZA6" i="20" s="1"/>
  <c r="YZ6" i="20" a="1"/>
  <c r="YZ6" i="20" s="1"/>
  <c r="YY6" i="20" a="1"/>
  <c r="YY6" i="20" s="1"/>
  <c r="YX6" i="20" a="1"/>
  <c r="YX6" i="20" s="1"/>
  <c r="YW6" i="20"/>
  <c r="YW6" i="20" a="1"/>
  <c r="YV6" i="20"/>
  <c r="YV6" i="20" a="1"/>
  <c r="YU6" i="20" a="1"/>
  <c r="YU6" i="20" s="1"/>
  <c r="YT6" i="20"/>
  <c r="YT6" i="20" a="1"/>
  <c r="YS6" i="20" a="1"/>
  <c r="YS6" i="20" s="1"/>
  <c r="YR6" i="20" a="1"/>
  <c r="YR6" i="20" s="1"/>
  <c r="YQ6" i="20"/>
  <c r="YQ6" i="20" a="1"/>
  <c r="YP6" i="20" a="1"/>
  <c r="YP6" i="20" s="1"/>
  <c r="YO6" i="20"/>
  <c r="YO6" i="20" a="1"/>
  <c r="YN6" i="20" a="1"/>
  <c r="YN6" i="20" s="1"/>
  <c r="YM6" i="20" a="1"/>
  <c r="YM6" i="20" s="1"/>
  <c r="YL6" i="20" a="1"/>
  <c r="YL6" i="20" s="1"/>
  <c r="YK6" i="20" a="1"/>
  <c r="YK6" i="20" s="1"/>
  <c r="YJ6" i="20"/>
  <c r="YJ6" i="20" a="1"/>
  <c r="YI6" i="20"/>
  <c r="YI6" i="20" a="1"/>
  <c r="YH6" i="20" a="1"/>
  <c r="YH6" i="20" s="1"/>
  <c r="YG6" i="20"/>
  <c r="YG6" i="20" a="1"/>
  <c r="YF6" i="20" a="1"/>
  <c r="YF6" i="20" s="1"/>
  <c r="YE6" i="20" a="1"/>
  <c r="YE6" i="20" s="1"/>
  <c r="YD6" i="20"/>
  <c r="YD6" i="20" a="1"/>
  <c r="YC6" i="20" a="1"/>
  <c r="YC6" i="20" s="1"/>
  <c r="YB6" i="20"/>
  <c r="YB6" i="20" a="1"/>
  <c r="YA6" i="20" a="1"/>
  <c r="YA6" i="20" s="1"/>
  <c r="XZ6" i="20" a="1"/>
  <c r="XZ6" i="20" s="1"/>
  <c r="XY6" i="20" a="1"/>
  <c r="XY6" i="20" s="1"/>
  <c r="XX6" i="20"/>
  <c r="XX6" i="20" a="1"/>
  <c r="XW6" i="20"/>
  <c r="XW6" i="20" a="1"/>
  <c r="XV6" i="20"/>
  <c r="XV6" i="20" a="1"/>
  <c r="XU6" i="20" a="1"/>
  <c r="XU6" i="20" s="1"/>
  <c r="XT6" i="20" a="1"/>
  <c r="XT6" i="20" s="1"/>
  <c r="XS6" i="20" a="1"/>
  <c r="XS6" i="20" s="1"/>
  <c r="XR6" i="20" a="1"/>
  <c r="XR6" i="20" s="1"/>
  <c r="XQ6" i="20" a="1"/>
  <c r="XQ6" i="20" s="1"/>
  <c r="XP6" i="20" a="1"/>
  <c r="XP6" i="20" s="1"/>
  <c r="XO6" i="20"/>
  <c r="XO6" i="20" a="1"/>
  <c r="XN6" i="20" a="1"/>
  <c r="XN6" i="20" s="1"/>
  <c r="XM6" i="20"/>
  <c r="XM6" i="20" a="1"/>
  <c r="XL6" i="20" a="1"/>
  <c r="XL6" i="20" s="1"/>
  <c r="XK6" i="20"/>
  <c r="XK6" i="20" a="1"/>
  <c r="XJ6" i="20"/>
  <c r="XJ6" i="20" a="1"/>
  <c r="XI6" i="20"/>
  <c r="XI6" i="20" a="1"/>
  <c r="XH6" i="20" a="1"/>
  <c r="XH6" i="20" s="1"/>
  <c r="XG6" i="20" a="1"/>
  <c r="XG6" i="20" s="1"/>
  <c r="XF6" i="20" a="1"/>
  <c r="XF6" i="20" s="1"/>
  <c r="XE6" i="20" a="1"/>
  <c r="XE6" i="20" s="1"/>
  <c r="XD6" i="20" a="1"/>
  <c r="XD6" i="20" s="1"/>
  <c r="XC6" i="20" a="1"/>
  <c r="XC6" i="20" s="1"/>
  <c r="XB6" i="20" a="1"/>
  <c r="XB6" i="20" s="1"/>
  <c r="XA6" i="20" a="1"/>
  <c r="XA6" i="20" s="1"/>
  <c r="WZ6" i="20"/>
  <c r="WZ6" i="20" a="1"/>
  <c r="WY6" i="20" a="1"/>
  <c r="WY6" i="20" s="1"/>
  <c r="WX6" i="20" a="1"/>
  <c r="WX6" i="20" s="1"/>
  <c r="WW6" i="20"/>
  <c r="WW6" i="20" a="1"/>
  <c r="WV6" i="20" a="1"/>
  <c r="WV6" i="20" s="1"/>
  <c r="WU6" i="20"/>
  <c r="WU6" i="20" a="1"/>
  <c r="WT6" i="20" a="1"/>
  <c r="WT6" i="20" s="1"/>
  <c r="WS6" i="20" a="1"/>
  <c r="WS6" i="20" s="1"/>
  <c r="WR6" i="20" a="1"/>
  <c r="WR6" i="20" s="1"/>
  <c r="WQ6" i="20"/>
  <c r="WQ6" i="20" a="1"/>
  <c r="WP6" i="20" a="1"/>
  <c r="WP6" i="20" s="1"/>
  <c r="WO6" i="20"/>
  <c r="WO6" i="20" a="1"/>
  <c r="WN6" i="20" a="1"/>
  <c r="WN6" i="20" s="1"/>
  <c r="WM6" i="20"/>
  <c r="WM6" i="20" a="1"/>
  <c r="WL6" i="20" a="1"/>
  <c r="WL6" i="20" s="1"/>
  <c r="WK6" i="20" a="1"/>
  <c r="WK6" i="20" s="1"/>
  <c r="WJ6" i="20" a="1"/>
  <c r="WJ6" i="20" s="1"/>
  <c r="WI6" i="20" a="1"/>
  <c r="WI6" i="20" s="1"/>
  <c r="WH6" i="20"/>
  <c r="WH6" i="20" a="1"/>
  <c r="WG6" i="20" a="1"/>
  <c r="WG6" i="20" s="1"/>
  <c r="WF6" i="20" a="1"/>
  <c r="WF6" i="20" s="1"/>
  <c r="WE6" i="20" a="1"/>
  <c r="WE6" i="20" s="1"/>
  <c r="WD6" i="20" a="1"/>
  <c r="WD6" i="20" s="1"/>
  <c r="WC6" i="20"/>
  <c r="WC6" i="20" a="1"/>
  <c r="WB6" i="20"/>
  <c r="WB6" i="20" a="1"/>
  <c r="WA6" i="20" a="1"/>
  <c r="WA6" i="20" s="1"/>
  <c r="VZ6" i="20"/>
  <c r="VZ6" i="20" a="1"/>
  <c r="VY6" i="20" a="1"/>
  <c r="VY6" i="20" s="1"/>
  <c r="VX6" i="20" a="1"/>
  <c r="VX6" i="20" s="1"/>
  <c r="VW6" i="20" a="1"/>
  <c r="VW6" i="20" s="1"/>
  <c r="VV6" i="20" a="1"/>
  <c r="VV6" i="20" s="1"/>
  <c r="VU6" i="20"/>
  <c r="VU6" i="20" a="1"/>
  <c r="VT6" i="20" a="1"/>
  <c r="VT6" i="20" s="1"/>
  <c r="VS6" i="20" a="1"/>
  <c r="VS6" i="20" s="1"/>
  <c r="VR6" i="20" a="1"/>
  <c r="VR6" i="20" s="1"/>
  <c r="VQ6" i="20"/>
  <c r="VQ6" i="20" a="1"/>
  <c r="VP6" i="20"/>
  <c r="VP6" i="20" a="1"/>
  <c r="VO6" i="20"/>
  <c r="VO6" i="20" a="1"/>
  <c r="VN6" i="20" a="1"/>
  <c r="VN6" i="20" s="1"/>
  <c r="VM6" i="20"/>
  <c r="VM6" i="20" a="1"/>
  <c r="VL6" i="20" a="1"/>
  <c r="VL6" i="20" s="1"/>
  <c r="VK6" i="20" a="1"/>
  <c r="VK6" i="20" s="1"/>
  <c r="VJ6" i="20" a="1"/>
  <c r="VJ6" i="20" s="1"/>
  <c r="VI6" i="20" a="1"/>
  <c r="VI6" i="20" s="1"/>
  <c r="VH6" i="20"/>
  <c r="VH6" i="20" a="1"/>
  <c r="VG6" i="20" a="1"/>
  <c r="VG6" i="20" s="1"/>
  <c r="VF6" i="20" a="1"/>
  <c r="VF6" i="20" s="1"/>
  <c r="VE6" i="20" a="1"/>
  <c r="VE6" i="20" s="1"/>
  <c r="VD6" i="20" a="1"/>
  <c r="VD6" i="20" s="1"/>
  <c r="VC6" i="20"/>
  <c r="VC6" i="20" a="1"/>
  <c r="VB6" i="20"/>
  <c r="VB6" i="20" a="1"/>
  <c r="VA6" i="20" a="1"/>
  <c r="VA6" i="20" s="1"/>
  <c r="UZ6" i="20" a="1"/>
  <c r="UZ6" i="20" s="1"/>
  <c r="UY6" i="20" a="1"/>
  <c r="UY6" i="20" s="1"/>
  <c r="UX6" i="20" a="1"/>
  <c r="UX6" i="20" s="1"/>
  <c r="UW6" i="20" a="1"/>
  <c r="UW6" i="20" s="1"/>
  <c r="UV6" i="20" a="1"/>
  <c r="UV6" i="20" s="1"/>
  <c r="UU6" i="20"/>
  <c r="UU6" i="20" a="1"/>
  <c r="UT6" i="20" a="1"/>
  <c r="UT6" i="20" s="1"/>
  <c r="US6" i="20"/>
  <c r="US6" i="20" a="1"/>
  <c r="UR6" i="20" a="1"/>
  <c r="UR6" i="20" s="1"/>
  <c r="UQ6" i="20" a="1"/>
  <c r="UQ6" i="20" s="1"/>
  <c r="UP6" i="20"/>
  <c r="UP6" i="20" a="1"/>
  <c r="UO6" i="20"/>
  <c r="UO6" i="20" a="1"/>
  <c r="UN6" i="20" a="1"/>
  <c r="UN6" i="20" s="1"/>
  <c r="UM6" i="20" a="1"/>
  <c r="UM6" i="20" s="1"/>
  <c r="UL6" i="20" a="1"/>
  <c r="UL6" i="20" s="1"/>
  <c r="UK6" i="20" a="1"/>
  <c r="UK6" i="20" s="1"/>
  <c r="UJ6" i="20"/>
  <c r="UJ6" i="20" a="1"/>
  <c r="UI6" i="20" a="1"/>
  <c r="UI6" i="20" s="1"/>
  <c r="UH6" i="20" a="1"/>
  <c r="UH6" i="20" s="1"/>
  <c r="UG6" i="20" a="1"/>
  <c r="UG6" i="20" s="1"/>
  <c r="UF6" i="20"/>
  <c r="UF6" i="20" a="1"/>
  <c r="UE6" i="20" a="1"/>
  <c r="UE6" i="20" s="1"/>
  <c r="UD6" i="20"/>
  <c r="UD6" i="20" a="1"/>
  <c r="UC6" i="20"/>
  <c r="UC6" i="20" a="1"/>
  <c r="UB6" i="20" a="1"/>
  <c r="UB6" i="20" s="1"/>
  <c r="UA6" i="20"/>
  <c r="UA6" i="20" a="1"/>
  <c r="TZ6" i="20" a="1"/>
  <c r="TZ6" i="20" s="1"/>
  <c r="TY6" i="20" a="1"/>
  <c r="TY6" i="20" s="1"/>
  <c r="TX6" i="20" a="1"/>
  <c r="TX6" i="20" s="1"/>
  <c r="TW6" i="20" a="1"/>
  <c r="TW6" i="20" s="1"/>
  <c r="TV6" i="20" a="1"/>
  <c r="TV6" i="20" s="1"/>
  <c r="TU6" i="20"/>
  <c r="TU6" i="20" a="1"/>
  <c r="TT6" i="20" a="1"/>
  <c r="TT6" i="20" s="1"/>
  <c r="TS6" i="20" a="1"/>
  <c r="TS6" i="20" s="1"/>
  <c r="TR6" i="20" a="1"/>
  <c r="TR6" i="20" s="1"/>
  <c r="TQ6" i="20" a="1"/>
  <c r="TQ6" i="20" s="1"/>
  <c r="TP6" i="20" a="1"/>
  <c r="TP6" i="20" s="1"/>
  <c r="TO6" i="20"/>
  <c r="TO6" i="20" a="1"/>
  <c r="TN6" i="20" a="1"/>
  <c r="TN6" i="20" s="1"/>
  <c r="TM6" i="20" a="1"/>
  <c r="TM6" i="20" s="1"/>
  <c r="TL6" i="20" a="1"/>
  <c r="TL6" i="20" s="1"/>
  <c r="TK6" i="20"/>
  <c r="TK6" i="20" a="1"/>
  <c r="TJ6" i="20" a="1"/>
  <c r="TJ6" i="20" s="1"/>
  <c r="TI6" i="20"/>
  <c r="TI6" i="20" a="1"/>
  <c r="TH6" i="20" a="1"/>
  <c r="TH6" i="20" s="1"/>
  <c r="TG6" i="20" a="1"/>
  <c r="TG6" i="20" s="1"/>
  <c r="TF6" i="20" a="1"/>
  <c r="TF6" i="20" s="1"/>
  <c r="TE6" i="20" a="1"/>
  <c r="TE6" i="20" s="1"/>
  <c r="TD6" i="20" a="1"/>
  <c r="TD6" i="20" s="1"/>
  <c r="TC6" i="20"/>
  <c r="TC6" i="20" a="1"/>
  <c r="TB6" i="20" a="1"/>
  <c r="TB6" i="20" s="1"/>
  <c r="TA6" i="20" a="1"/>
  <c r="TA6" i="20" s="1"/>
  <c r="SZ6" i="20" a="1"/>
  <c r="SZ6" i="20" s="1"/>
  <c r="SY6" i="20" a="1"/>
  <c r="SY6" i="20" s="1"/>
  <c r="SX6" i="20" a="1"/>
  <c r="SX6" i="20" s="1"/>
  <c r="SW6" i="20"/>
  <c r="SW6" i="20" a="1"/>
  <c r="SV6" i="20" a="1"/>
  <c r="SV6" i="20" s="1"/>
  <c r="SU6" i="20" a="1"/>
  <c r="SU6" i="20" s="1"/>
  <c r="ST6" i="20" a="1"/>
  <c r="ST6" i="20" s="1"/>
  <c r="SS6" i="20"/>
  <c r="SS6" i="20" a="1"/>
  <c r="SR6" i="20" a="1"/>
  <c r="SR6" i="20" s="1"/>
  <c r="SQ6" i="20"/>
  <c r="SQ6" i="20" a="1"/>
  <c r="SP6" i="20" a="1"/>
  <c r="SP6" i="20" s="1"/>
  <c r="SO6" i="20" a="1"/>
  <c r="SO6" i="20" s="1"/>
  <c r="SN6" i="20" a="1"/>
  <c r="SN6" i="20" s="1"/>
  <c r="SM6" i="20" a="1"/>
  <c r="SM6" i="20" s="1"/>
  <c r="SL6" i="20" a="1"/>
  <c r="SL6" i="20" s="1"/>
  <c r="SK6" i="20"/>
  <c r="SK6" i="20" a="1"/>
  <c r="SJ6" i="20" a="1"/>
  <c r="SJ6" i="20" s="1"/>
  <c r="SI6" i="20" a="1"/>
  <c r="SI6" i="20" s="1"/>
  <c r="SH6" i="20" a="1"/>
  <c r="SH6" i="20" s="1"/>
  <c r="SG6" i="20" a="1"/>
  <c r="SG6" i="20" s="1"/>
  <c r="SF6" i="20" a="1"/>
  <c r="SF6" i="20" s="1"/>
  <c r="SE6" i="20"/>
  <c r="SE6" i="20" a="1"/>
  <c r="SD6" i="20" a="1"/>
  <c r="SD6" i="20" s="1"/>
  <c r="SC6" i="20" a="1"/>
  <c r="SC6" i="20" s="1"/>
  <c r="SB6" i="20" a="1"/>
  <c r="SB6" i="20" s="1"/>
  <c r="SA6" i="20"/>
  <c r="SA6" i="20" a="1"/>
  <c r="RZ6" i="20" a="1"/>
  <c r="RZ6" i="20" s="1"/>
  <c r="RY6" i="20"/>
  <c r="RY6" i="20" a="1"/>
  <c r="RX6" i="20" a="1"/>
  <c r="RX6" i="20" s="1"/>
  <c r="RW6" i="20" a="1"/>
  <c r="RW6" i="20" s="1"/>
  <c r="RV6" i="20" a="1"/>
  <c r="RV6" i="20" s="1"/>
  <c r="RU6" i="20" a="1"/>
  <c r="RU6" i="20" s="1"/>
  <c r="RT6" i="20" a="1"/>
  <c r="RT6" i="20" s="1"/>
  <c r="RS6" i="20"/>
  <c r="RS6" i="20" a="1"/>
  <c r="RR6" i="20" a="1"/>
  <c r="RR6" i="20" s="1"/>
  <c r="RQ6" i="20" a="1"/>
  <c r="RQ6" i="20" s="1"/>
  <c r="RP6" i="20" a="1"/>
  <c r="RP6" i="20" s="1"/>
  <c r="RO6" i="20" a="1"/>
  <c r="RO6" i="20" s="1"/>
  <c r="RN6" i="20" a="1"/>
  <c r="RN6" i="20" s="1"/>
  <c r="RM6" i="20"/>
  <c r="RM6" i="20" a="1"/>
  <c r="RL6" i="20" a="1"/>
  <c r="RL6" i="20" s="1"/>
  <c r="RK6" i="20" a="1"/>
  <c r="RK6" i="20" s="1"/>
  <c r="RJ6" i="20" a="1"/>
  <c r="RJ6" i="20" s="1"/>
  <c r="RI6" i="20"/>
  <c r="RI6" i="20" a="1"/>
  <c r="RH6" i="20" a="1"/>
  <c r="RH6" i="20" s="1"/>
  <c r="RG6" i="20"/>
  <c r="RG6" i="20" a="1"/>
  <c r="RF6" i="20" a="1"/>
  <c r="RF6" i="20" s="1"/>
  <c r="RE6" i="20" a="1"/>
  <c r="RE6" i="20" s="1"/>
  <c r="RD6" i="20" a="1"/>
  <c r="RD6" i="20" s="1"/>
  <c r="RC6" i="20" a="1"/>
  <c r="RC6" i="20" s="1"/>
  <c r="RB6" i="20" a="1"/>
  <c r="RB6" i="20" s="1"/>
  <c r="RA6" i="20" a="1"/>
  <c r="RA6" i="20" s="1"/>
  <c r="QZ6" i="20" a="1"/>
  <c r="QZ6" i="20" s="1"/>
  <c r="QY6" i="20" a="1"/>
  <c r="QY6" i="20" s="1"/>
  <c r="QX6" i="20" a="1"/>
  <c r="QX6" i="20" s="1"/>
  <c r="QW6" i="20"/>
  <c r="QW6" i="20" a="1"/>
  <c r="QV6" i="20" a="1"/>
  <c r="QV6" i="20" s="1"/>
  <c r="QU6" i="20" a="1"/>
  <c r="QU6" i="20" s="1"/>
  <c r="QT6" i="20" a="1"/>
  <c r="QT6" i="20" s="1"/>
  <c r="QS6" i="20" a="1"/>
  <c r="QS6" i="20" s="1"/>
  <c r="QR6" i="20" a="1"/>
  <c r="QR6" i="20" s="1"/>
  <c r="QQ6" i="20"/>
  <c r="QQ6" i="20" a="1"/>
  <c r="QP6" i="20" a="1"/>
  <c r="QP6" i="20" s="1"/>
  <c r="QO6" i="20" a="1"/>
  <c r="QO6" i="20" s="1"/>
  <c r="QN6" i="20" a="1"/>
  <c r="QN6" i="20" s="1"/>
  <c r="QM6" i="20" a="1"/>
  <c r="QM6" i="20" s="1"/>
  <c r="QL6" i="20" a="1"/>
  <c r="QL6" i="20" s="1"/>
  <c r="QK6" i="20" a="1"/>
  <c r="QK6" i="20" s="1"/>
  <c r="QJ6" i="20" a="1"/>
  <c r="QJ6" i="20" s="1"/>
  <c r="QI6" i="20" a="1"/>
  <c r="QI6" i="20" s="1"/>
  <c r="QH6" i="20" a="1"/>
  <c r="QH6" i="20" s="1"/>
  <c r="QG6" i="20" a="1"/>
  <c r="QG6" i="20" s="1"/>
  <c r="QF6" i="20" a="1"/>
  <c r="QF6" i="20" s="1"/>
  <c r="QE6" i="20"/>
  <c r="QE6" i="20" a="1"/>
  <c r="QD6" i="20" a="1"/>
  <c r="QD6" i="20" s="1"/>
  <c r="QC6" i="20" a="1"/>
  <c r="QC6" i="20" s="1"/>
  <c r="QB6" i="20" a="1"/>
  <c r="QB6" i="20" s="1"/>
  <c r="QA6" i="20" a="1"/>
  <c r="QA6" i="20" s="1"/>
  <c r="PZ6" i="20" a="1"/>
  <c r="PZ6" i="20" s="1"/>
  <c r="PY6" i="20" a="1"/>
  <c r="PY6" i="20" s="1"/>
  <c r="PX6" i="20" a="1"/>
  <c r="PX6" i="20" s="1"/>
  <c r="PW6" i="20" a="1"/>
  <c r="PW6" i="20" s="1"/>
  <c r="PV6" i="20" a="1"/>
  <c r="PV6" i="20" s="1"/>
  <c r="PU6" i="20" a="1"/>
  <c r="PU6" i="20" s="1"/>
  <c r="PT6" i="20" a="1"/>
  <c r="PT6" i="20" s="1"/>
  <c r="PS6" i="20"/>
  <c r="PS6" i="20" a="1"/>
  <c r="PR6" i="20" a="1"/>
  <c r="PR6" i="20" s="1"/>
  <c r="PQ6" i="20" a="1"/>
  <c r="PQ6" i="20" s="1"/>
  <c r="PP6" i="20" a="1"/>
  <c r="PP6" i="20" s="1"/>
  <c r="PO6" i="20" a="1"/>
  <c r="PO6" i="20" s="1"/>
  <c r="PN6" i="20" a="1"/>
  <c r="PN6" i="20" s="1"/>
  <c r="PM6" i="20" a="1"/>
  <c r="PM6" i="20" s="1"/>
  <c r="PL6" i="20" a="1"/>
  <c r="PL6" i="20" s="1"/>
  <c r="PK6" i="20" a="1"/>
  <c r="PK6" i="20" s="1"/>
  <c r="PJ6" i="20" a="1"/>
  <c r="PJ6" i="20" s="1"/>
  <c r="PI6" i="20" a="1"/>
  <c r="PI6" i="20" s="1"/>
  <c r="PH6" i="20" a="1"/>
  <c r="PH6" i="20" s="1"/>
  <c r="PG6" i="20" a="1"/>
  <c r="PG6" i="20" s="1"/>
  <c r="PF6" i="20" a="1"/>
  <c r="PF6" i="20" s="1"/>
  <c r="PE6" i="20" a="1"/>
  <c r="PE6" i="20" s="1"/>
  <c r="PD6" i="20" a="1"/>
  <c r="PD6" i="20" s="1"/>
  <c r="PC6" i="20" a="1"/>
  <c r="PC6" i="20" s="1"/>
  <c r="PB6" i="20" a="1"/>
  <c r="PB6" i="20" s="1"/>
  <c r="PA6" i="20" a="1"/>
  <c r="PA6" i="20" s="1"/>
  <c r="OZ6" i="20" a="1"/>
  <c r="OZ6" i="20" s="1"/>
  <c r="OY6" i="20" a="1"/>
  <c r="OY6" i="20" s="1"/>
  <c r="OX6" i="20" a="1"/>
  <c r="OX6" i="20" s="1"/>
  <c r="OW6" i="20" a="1"/>
  <c r="OW6" i="20" s="1"/>
  <c r="OV6" i="20" a="1"/>
  <c r="OV6" i="20" s="1"/>
  <c r="OU6" i="20" a="1"/>
  <c r="OU6" i="20" s="1"/>
  <c r="OT6" i="20" a="1"/>
  <c r="OT6" i="20" s="1"/>
  <c r="OS6" i="20" a="1"/>
  <c r="OS6" i="20" s="1"/>
  <c r="OR6" i="20" a="1"/>
  <c r="OR6" i="20" s="1"/>
  <c r="OQ6" i="20" a="1"/>
  <c r="OQ6" i="20" s="1"/>
  <c r="OP6" i="20" a="1"/>
  <c r="OP6" i="20" s="1"/>
  <c r="OO6" i="20" a="1"/>
  <c r="OO6" i="20" s="1"/>
  <c r="ON6" i="20" a="1"/>
  <c r="ON6" i="20" s="1"/>
  <c r="OM6" i="20" a="1"/>
  <c r="OM6" i="20" s="1"/>
  <c r="OL6" i="20" a="1"/>
  <c r="OL6" i="20" s="1"/>
  <c r="OK6" i="20" a="1"/>
  <c r="OK6" i="20" s="1"/>
  <c r="OJ6" i="20" a="1"/>
  <c r="OJ6" i="20" s="1"/>
  <c r="OI6" i="20" a="1"/>
  <c r="OI6" i="20" s="1"/>
  <c r="OH6" i="20" a="1"/>
  <c r="OH6" i="20" s="1"/>
  <c r="OG6" i="20" a="1"/>
  <c r="OG6" i="20" s="1"/>
  <c r="OF6" i="20" a="1"/>
  <c r="OF6" i="20" s="1"/>
  <c r="OE6" i="20" a="1"/>
  <c r="OE6" i="20" s="1"/>
  <c r="OD6" i="20" a="1"/>
  <c r="OD6" i="20" s="1"/>
  <c r="OC6" i="20"/>
  <c r="OC6" i="20" a="1"/>
  <c r="OB6" i="20" a="1"/>
  <c r="OB6" i="20" s="1"/>
  <c r="OA6" i="20" a="1"/>
  <c r="OA6" i="20" s="1"/>
  <c r="NZ6" i="20" a="1"/>
  <c r="NZ6" i="20" s="1"/>
  <c r="NY6" i="20" a="1"/>
  <c r="NY6" i="20" s="1"/>
  <c r="NX6" i="20" a="1"/>
  <c r="NX6" i="20" s="1"/>
  <c r="NW6" i="20"/>
  <c r="NW6" i="20" a="1"/>
  <c r="NV6" i="20" a="1"/>
  <c r="NV6" i="20" s="1"/>
  <c r="NU6" i="20" a="1"/>
  <c r="NU6" i="20" s="1"/>
  <c r="NT6" i="20" a="1"/>
  <c r="NT6" i="20" s="1"/>
  <c r="NS6" i="20" a="1"/>
  <c r="NS6" i="20" s="1"/>
  <c r="NR6" i="20" a="1"/>
  <c r="NR6" i="20" s="1"/>
  <c r="NQ6" i="20" a="1"/>
  <c r="NQ6" i="20" s="1"/>
  <c r="NP6" i="20" a="1"/>
  <c r="NP6" i="20" s="1"/>
  <c r="NO6" i="20" a="1"/>
  <c r="NO6" i="20" s="1"/>
  <c r="NN6" i="20" a="1"/>
  <c r="NN6" i="20" s="1"/>
  <c r="NM6" i="20" a="1"/>
  <c r="NM6" i="20" s="1"/>
  <c r="NL6" i="20" a="1"/>
  <c r="NL6" i="20" s="1"/>
  <c r="NK6" i="20"/>
  <c r="NK6" i="20" a="1"/>
  <c r="NJ6" i="20" a="1"/>
  <c r="NJ6" i="20" s="1"/>
  <c r="NI6" i="20" a="1"/>
  <c r="NI6" i="20" s="1"/>
  <c r="NH6" i="20" a="1"/>
  <c r="NH6" i="20" s="1"/>
  <c r="NG6" i="20" a="1"/>
  <c r="NG6" i="20" s="1"/>
  <c r="NF6" i="20" a="1"/>
  <c r="NF6" i="20" s="1"/>
  <c r="NE6" i="20" a="1"/>
  <c r="NE6" i="20" s="1"/>
  <c r="ND6" i="20" a="1"/>
  <c r="ND6" i="20" s="1"/>
  <c r="NC6" i="20" a="1"/>
  <c r="NC6" i="20" s="1"/>
  <c r="NB6" i="20" a="1"/>
  <c r="NB6" i="20" s="1"/>
  <c r="NA6" i="20" a="1"/>
  <c r="NA6" i="20" s="1"/>
  <c r="MZ6" i="20" a="1"/>
  <c r="MZ6" i="20" s="1"/>
  <c r="MY6" i="20"/>
  <c r="MY6" i="20" a="1"/>
  <c r="MX6" i="20" a="1"/>
  <c r="MX6" i="20" s="1"/>
  <c r="MW6" i="20" a="1"/>
  <c r="MW6" i="20" s="1"/>
  <c r="MV6" i="20" a="1"/>
  <c r="MV6" i="20" s="1"/>
  <c r="MU6" i="20" a="1"/>
  <c r="MU6" i="20" s="1"/>
  <c r="MT6" i="20" a="1"/>
  <c r="MT6" i="20" s="1"/>
  <c r="MS6" i="20" a="1"/>
  <c r="MS6" i="20" s="1"/>
  <c r="MR6" i="20" a="1"/>
  <c r="MR6" i="20" s="1"/>
  <c r="MQ6" i="20" a="1"/>
  <c r="MQ6" i="20" s="1"/>
  <c r="MP6" i="20" a="1"/>
  <c r="MP6" i="20" s="1"/>
  <c r="MO6" i="20" a="1"/>
  <c r="MO6" i="20" s="1"/>
  <c r="MN6" i="20" a="1"/>
  <c r="MN6" i="20" s="1"/>
  <c r="MM6" i="20" a="1"/>
  <c r="MM6" i="20" s="1"/>
  <c r="ML6" i="20" a="1"/>
  <c r="ML6" i="20" s="1"/>
  <c r="MK6" i="20" a="1"/>
  <c r="MK6" i="20" s="1"/>
  <c r="MJ6" i="20" a="1"/>
  <c r="MJ6" i="20" s="1"/>
  <c r="MI6" i="20" a="1"/>
  <c r="MI6" i="20" s="1"/>
  <c r="MH6" i="20" a="1"/>
  <c r="MH6" i="20" s="1"/>
  <c r="MG6" i="20" a="1"/>
  <c r="MG6" i="20" s="1"/>
  <c r="MF6" i="20" a="1"/>
  <c r="MF6" i="20" s="1"/>
  <c r="ME6" i="20" a="1"/>
  <c r="ME6" i="20" s="1"/>
  <c r="MD6" i="20" a="1"/>
  <c r="MD6" i="20" s="1"/>
  <c r="MC6" i="20" a="1"/>
  <c r="MC6" i="20" s="1"/>
  <c r="MB6" i="20" a="1"/>
  <c r="MB6" i="20" s="1"/>
  <c r="MA6" i="20" a="1"/>
  <c r="MA6" i="20" s="1"/>
  <c r="LZ6" i="20" a="1"/>
  <c r="LZ6" i="20" s="1"/>
  <c r="LY6" i="20" a="1"/>
  <c r="LY6" i="20" s="1"/>
  <c r="LX6" i="20" a="1"/>
  <c r="LX6" i="20" s="1"/>
  <c r="LW6" i="20" a="1"/>
  <c r="LW6" i="20" s="1"/>
  <c r="LV6" i="20" a="1"/>
  <c r="LV6" i="20" s="1"/>
  <c r="LU6" i="20" a="1"/>
  <c r="LU6" i="20" s="1"/>
  <c r="LT6" i="20" a="1"/>
  <c r="LT6" i="20" s="1"/>
  <c r="LS6" i="20" a="1"/>
  <c r="LS6" i="20" s="1"/>
  <c r="LR6" i="20" a="1"/>
  <c r="LR6" i="20" s="1"/>
  <c r="LQ6" i="20" a="1"/>
  <c r="LQ6" i="20" s="1"/>
  <c r="LP6" i="20" a="1"/>
  <c r="LP6" i="20" s="1"/>
  <c r="LO6" i="20" a="1"/>
  <c r="LO6" i="20" s="1"/>
  <c r="LN6" i="20" a="1"/>
  <c r="LN6" i="20" s="1"/>
  <c r="LM6" i="20" a="1"/>
  <c r="LM6" i="20" s="1"/>
  <c r="LL6" i="20" a="1"/>
  <c r="LL6" i="20" s="1"/>
  <c r="LK6" i="20" a="1"/>
  <c r="LK6" i="20" s="1"/>
  <c r="LJ6" i="20" a="1"/>
  <c r="LJ6" i="20" s="1"/>
  <c r="LI6" i="20"/>
  <c r="LI6" i="20" a="1"/>
  <c r="LH6" i="20" a="1"/>
  <c r="LH6" i="20" s="1"/>
  <c r="LG6" i="20" a="1"/>
  <c r="LG6" i="20" s="1"/>
  <c r="LF6" i="20" a="1"/>
  <c r="LF6" i="20" s="1"/>
  <c r="LE6" i="20" a="1"/>
  <c r="LE6" i="20" s="1"/>
  <c r="LD6" i="20" a="1"/>
  <c r="LD6" i="20" s="1"/>
  <c r="LC6" i="20"/>
  <c r="LC6" i="20" a="1"/>
  <c r="LB6" i="20" a="1"/>
  <c r="LB6" i="20" s="1"/>
  <c r="LA6" i="20" a="1"/>
  <c r="LA6" i="20" s="1"/>
  <c r="KZ6" i="20" a="1"/>
  <c r="KZ6" i="20" s="1"/>
  <c r="KY6" i="20" a="1"/>
  <c r="KY6" i="20" s="1"/>
  <c r="KX6" i="20" a="1"/>
  <c r="KX6" i="20" s="1"/>
  <c r="KW6" i="20" a="1"/>
  <c r="KW6" i="20" s="1"/>
  <c r="KV6" i="20" a="1"/>
  <c r="KV6" i="20" s="1"/>
  <c r="KU6" i="20" a="1"/>
  <c r="KU6" i="20" s="1"/>
  <c r="KT6" i="20" a="1"/>
  <c r="KT6" i="20" s="1"/>
  <c r="KS6" i="20" a="1"/>
  <c r="KS6" i="20" s="1"/>
  <c r="KR6" i="20" a="1"/>
  <c r="KR6" i="20" s="1"/>
  <c r="KQ6" i="20"/>
  <c r="KQ6" i="20" a="1"/>
  <c r="KP6" i="20" a="1"/>
  <c r="KP6" i="20" s="1"/>
  <c r="KO6" i="20" a="1"/>
  <c r="KO6" i="20" s="1"/>
  <c r="KN6" i="20" a="1"/>
  <c r="KN6" i="20" s="1"/>
  <c r="KM6" i="20" a="1"/>
  <c r="KM6" i="20" s="1"/>
  <c r="KL6" i="20" a="1"/>
  <c r="KL6" i="20" s="1"/>
  <c r="KK6" i="20" a="1"/>
  <c r="KK6" i="20" s="1"/>
  <c r="KJ6" i="20" a="1"/>
  <c r="KJ6" i="20" s="1"/>
  <c r="KI6" i="20" a="1"/>
  <c r="KI6" i="20" s="1"/>
  <c r="KH6" i="20" a="1"/>
  <c r="KH6" i="20" s="1"/>
  <c r="KG6" i="20" a="1"/>
  <c r="KG6" i="20" s="1"/>
  <c r="KF6" i="20" a="1"/>
  <c r="KF6" i="20" s="1"/>
  <c r="KE6" i="20"/>
  <c r="KE6" i="20" a="1"/>
  <c r="KD6" i="20" a="1"/>
  <c r="KD6" i="20" s="1"/>
  <c r="KC6" i="20" a="1"/>
  <c r="KC6" i="20" s="1"/>
  <c r="KB6" i="20" a="1"/>
  <c r="KB6" i="20" s="1"/>
  <c r="KA6" i="20" a="1"/>
  <c r="KA6" i="20" s="1"/>
  <c r="JZ6" i="20" a="1"/>
  <c r="JZ6" i="20" s="1"/>
  <c r="JY6" i="20" a="1"/>
  <c r="JY6" i="20" s="1"/>
  <c r="JX6" i="20" a="1"/>
  <c r="JX6" i="20" s="1"/>
  <c r="JW6" i="20" a="1"/>
  <c r="JW6" i="20" s="1"/>
  <c r="JV6" i="20" a="1"/>
  <c r="JV6" i="20" s="1"/>
  <c r="JU6" i="20" a="1"/>
  <c r="JU6" i="20" s="1"/>
  <c r="JT6" i="20" a="1"/>
  <c r="JT6" i="20" s="1"/>
  <c r="JS6" i="20" a="1"/>
  <c r="JS6" i="20" s="1"/>
  <c r="JR6" i="20" a="1"/>
  <c r="JR6" i="20" s="1"/>
  <c r="JQ6" i="20" a="1"/>
  <c r="JQ6" i="20" s="1"/>
  <c r="JP6" i="20" a="1"/>
  <c r="JP6" i="20" s="1"/>
  <c r="JO6" i="20" a="1"/>
  <c r="JO6" i="20" s="1"/>
  <c r="JN6" i="20" a="1"/>
  <c r="JN6" i="20" s="1"/>
  <c r="JM6" i="20" a="1"/>
  <c r="JM6" i="20" s="1"/>
  <c r="JL6" i="20" a="1"/>
  <c r="JL6" i="20" s="1"/>
  <c r="JK6" i="20" a="1"/>
  <c r="JK6" i="20" s="1"/>
  <c r="JJ6" i="20" a="1"/>
  <c r="JJ6" i="20" s="1"/>
  <c r="JI6" i="20" a="1"/>
  <c r="JI6" i="20" s="1"/>
  <c r="JH6" i="20" a="1"/>
  <c r="JH6" i="20" s="1"/>
  <c r="JG6" i="20" a="1"/>
  <c r="JG6" i="20" s="1"/>
  <c r="JF6" i="20" a="1"/>
  <c r="JF6" i="20" s="1"/>
  <c r="JE6" i="20" a="1"/>
  <c r="JE6" i="20" s="1"/>
  <c r="JD6" i="20" a="1"/>
  <c r="JD6" i="20" s="1"/>
  <c r="JC6" i="20" a="1"/>
  <c r="JC6" i="20" s="1"/>
  <c r="JB6" i="20" a="1"/>
  <c r="JB6" i="20" s="1"/>
  <c r="JA6" i="20"/>
  <c r="JA6" i="20" a="1"/>
  <c r="IZ6" i="20" a="1"/>
  <c r="IZ6" i="20" s="1"/>
  <c r="IY6" i="20" a="1"/>
  <c r="IY6" i="20" s="1"/>
  <c r="IX6" i="20" a="1"/>
  <c r="IX6" i="20" s="1"/>
  <c r="IW6" i="20" a="1"/>
  <c r="IW6" i="20" s="1"/>
  <c r="IV6" i="20" a="1"/>
  <c r="IV6" i="20" s="1"/>
  <c r="IU6" i="20" a="1"/>
  <c r="IU6" i="20" s="1"/>
  <c r="IT6" i="20" a="1"/>
  <c r="IT6" i="20" s="1"/>
  <c r="IS6" i="20" a="1"/>
  <c r="IS6" i="20" s="1"/>
  <c r="IR6" i="20" a="1"/>
  <c r="IR6" i="20" s="1"/>
  <c r="IQ6" i="20" a="1"/>
  <c r="IQ6" i="20" s="1"/>
  <c r="IP6" i="20" a="1"/>
  <c r="IP6" i="20" s="1"/>
  <c r="IO6" i="20" a="1"/>
  <c r="IO6" i="20" s="1"/>
  <c r="IN6" i="20" a="1"/>
  <c r="IN6" i="20" s="1"/>
  <c r="IM6" i="20" a="1"/>
  <c r="IM6" i="20" s="1"/>
  <c r="IL6" i="20" a="1"/>
  <c r="IL6" i="20" s="1"/>
  <c r="IK6" i="20" a="1"/>
  <c r="IK6" i="20" s="1"/>
  <c r="IJ6" i="20" a="1"/>
  <c r="IJ6" i="20" s="1"/>
  <c r="II6" i="20"/>
  <c r="II6" i="20" a="1"/>
  <c r="IH6" i="20" a="1"/>
  <c r="IH6" i="20" s="1"/>
  <c r="IG6" i="20" a="1"/>
  <c r="IG6" i="20" s="1"/>
  <c r="IF6" i="20" a="1"/>
  <c r="IF6" i="20" s="1"/>
  <c r="IE6" i="20" a="1"/>
  <c r="IE6" i="20" s="1"/>
  <c r="ID6" i="20" a="1"/>
  <c r="ID6" i="20" s="1"/>
  <c r="IC6" i="20" a="1"/>
  <c r="IC6" i="20" s="1"/>
  <c r="IB6" i="20" a="1"/>
  <c r="IB6" i="20" s="1"/>
  <c r="IA6" i="20" a="1"/>
  <c r="IA6" i="20" s="1"/>
  <c r="HZ6" i="20" a="1"/>
  <c r="HZ6" i="20" s="1"/>
  <c r="HY6" i="20" a="1"/>
  <c r="HY6" i="20" s="1"/>
  <c r="HX6" i="20" a="1"/>
  <c r="HX6" i="20" s="1"/>
  <c r="HW6" i="20" a="1"/>
  <c r="HW6" i="20" s="1"/>
  <c r="HV6" i="20" a="1"/>
  <c r="HV6" i="20" s="1"/>
  <c r="HU6" i="20" a="1"/>
  <c r="HU6" i="20" s="1"/>
  <c r="HT6" i="20" a="1"/>
  <c r="HT6" i="20" s="1"/>
  <c r="HS6" i="20" a="1"/>
  <c r="HS6" i="20" s="1"/>
  <c r="HR6" i="20" a="1"/>
  <c r="HR6" i="20" s="1"/>
  <c r="HQ6" i="20"/>
  <c r="HQ6" i="20" a="1"/>
  <c r="HP6" i="20" a="1"/>
  <c r="HP6" i="20" s="1"/>
  <c r="HO6" i="20" a="1"/>
  <c r="HO6" i="20" s="1"/>
  <c r="HN6" i="20" a="1"/>
  <c r="HN6" i="20" s="1"/>
  <c r="HM6" i="20" a="1"/>
  <c r="HM6" i="20" s="1"/>
  <c r="HL6" i="20" a="1"/>
  <c r="HL6" i="20" s="1"/>
  <c r="HK6" i="20" a="1"/>
  <c r="HK6" i="20" s="1"/>
  <c r="HJ6" i="20" a="1"/>
  <c r="HJ6" i="20" s="1"/>
  <c r="HI6" i="20" a="1"/>
  <c r="HI6" i="20" s="1"/>
  <c r="HH6" i="20" a="1"/>
  <c r="HH6" i="20" s="1"/>
  <c r="HG6" i="20" a="1"/>
  <c r="HG6" i="20" s="1"/>
  <c r="HF6" i="20" a="1"/>
  <c r="HF6" i="20" s="1"/>
  <c r="HE6" i="20" a="1"/>
  <c r="HE6" i="20" s="1"/>
  <c r="HD6" i="20" a="1"/>
  <c r="HD6" i="20" s="1"/>
  <c r="HC6" i="20" a="1"/>
  <c r="HC6" i="20" s="1"/>
  <c r="HB6" i="20" a="1"/>
  <c r="HB6" i="20" s="1"/>
  <c r="HA6" i="20" a="1"/>
  <c r="HA6" i="20" s="1"/>
  <c r="GZ6" i="20" a="1"/>
  <c r="GZ6" i="20" s="1"/>
  <c r="GY6" i="20"/>
  <c r="GY6" i="20" a="1"/>
  <c r="GX6" i="20" a="1"/>
  <c r="GX6" i="20" s="1"/>
  <c r="GW6" i="20" a="1"/>
  <c r="GW6" i="20" s="1"/>
  <c r="GV6" i="20" a="1"/>
  <c r="GV6" i="20" s="1"/>
  <c r="GU6" i="20" a="1"/>
  <c r="GU6" i="20" s="1"/>
  <c r="GT6" i="20" a="1"/>
  <c r="GT6" i="20" s="1"/>
  <c r="GS6" i="20" a="1"/>
  <c r="GS6" i="20" s="1"/>
  <c r="GR6" i="20" a="1"/>
  <c r="GR6" i="20" s="1"/>
  <c r="GQ6" i="20" a="1"/>
  <c r="GQ6" i="20" s="1"/>
  <c r="GP6" i="20" a="1"/>
  <c r="GP6" i="20" s="1"/>
  <c r="GO6" i="20" a="1"/>
  <c r="GO6" i="20" s="1"/>
  <c r="GN6" i="20" a="1"/>
  <c r="GN6" i="20" s="1"/>
  <c r="GM6" i="20" a="1"/>
  <c r="GM6" i="20" s="1"/>
  <c r="GL6" i="20" a="1"/>
  <c r="GL6" i="20" s="1"/>
  <c r="GK6" i="20" a="1"/>
  <c r="GK6" i="20" s="1"/>
  <c r="GJ6" i="20" a="1"/>
  <c r="GJ6" i="20" s="1"/>
  <c r="GI6" i="20" a="1"/>
  <c r="GI6" i="20" s="1"/>
  <c r="GH6" i="20" a="1"/>
  <c r="GH6" i="20" s="1"/>
  <c r="GG6" i="20"/>
  <c r="GG6" i="20" a="1"/>
  <c r="GF6" i="20" a="1"/>
  <c r="GF6" i="20" s="1"/>
  <c r="GE6" i="20" a="1"/>
  <c r="GE6" i="20" s="1"/>
  <c r="GD6" i="20" a="1"/>
  <c r="GD6" i="20" s="1"/>
  <c r="GC6" i="20" a="1"/>
  <c r="GC6" i="20" s="1"/>
  <c r="GB6" i="20" a="1"/>
  <c r="GB6" i="20" s="1"/>
  <c r="GA6" i="20" a="1"/>
  <c r="GA6" i="20" s="1"/>
  <c r="FZ6" i="20" a="1"/>
  <c r="FZ6" i="20" s="1"/>
  <c r="FY6" i="20" a="1"/>
  <c r="FY6" i="20" s="1"/>
  <c r="FX6" i="20" a="1"/>
  <c r="FX6" i="20" s="1"/>
  <c r="FW6" i="20" a="1"/>
  <c r="FW6" i="20" s="1"/>
  <c r="FV6" i="20" a="1"/>
  <c r="FV6" i="20" s="1"/>
  <c r="FU6" i="20" a="1"/>
  <c r="FU6" i="20" s="1"/>
  <c r="FT6" i="20" a="1"/>
  <c r="FT6" i="20" s="1"/>
  <c r="FS6" i="20" a="1"/>
  <c r="FS6" i="20" s="1"/>
  <c r="FR6" i="20" a="1"/>
  <c r="FR6" i="20" s="1"/>
  <c r="FQ6" i="20" a="1"/>
  <c r="FQ6" i="20" s="1"/>
  <c r="FP6" i="20" a="1"/>
  <c r="FP6" i="20" s="1"/>
  <c r="FO6" i="20"/>
  <c r="FO6" i="20" a="1"/>
  <c r="FN6" i="20" a="1"/>
  <c r="FN6" i="20" s="1"/>
  <c r="FM6" i="20" a="1"/>
  <c r="FM6" i="20" s="1"/>
  <c r="FL6" i="20" a="1"/>
  <c r="FL6" i="20" s="1"/>
  <c r="FK6" i="20" a="1"/>
  <c r="FK6" i="20" s="1"/>
  <c r="FJ6" i="20" a="1"/>
  <c r="FJ6" i="20" s="1"/>
  <c r="FI6" i="20" a="1"/>
  <c r="FI6" i="20" s="1"/>
  <c r="FH6" i="20" a="1"/>
  <c r="FH6" i="20" s="1"/>
  <c r="FG6" i="20" a="1"/>
  <c r="FG6" i="20" s="1"/>
  <c r="FF6" i="20" a="1"/>
  <c r="FF6" i="20" s="1"/>
  <c r="FE6" i="20" a="1"/>
  <c r="FE6" i="20" s="1"/>
  <c r="FD6" i="20" a="1"/>
  <c r="FD6" i="20" s="1"/>
  <c r="FC6" i="20" a="1"/>
  <c r="FC6" i="20" s="1"/>
  <c r="FB6" i="20" a="1"/>
  <c r="FB6" i="20" s="1"/>
  <c r="FA6" i="20" a="1"/>
  <c r="FA6" i="20" s="1"/>
  <c r="EZ6" i="20" a="1"/>
  <c r="EZ6" i="20" s="1"/>
  <c r="EY6" i="20" a="1"/>
  <c r="EY6" i="20" s="1"/>
  <c r="EX6" i="20" a="1"/>
  <c r="EX6" i="20" s="1"/>
  <c r="EW6" i="20"/>
  <c r="EW6" i="20" a="1"/>
  <c r="EV6" i="20" a="1"/>
  <c r="EV6" i="20" s="1"/>
  <c r="EU6" i="20" a="1"/>
  <c r="EU6" i="20" s="1"/>
  <c r="ET6" i="20" a="1"/>
  <c r="ET6" i="20" s="1"/>
  <c r="ES6" i="20" a="1"/>
  <c r="ES6" i="20" s="1"/>
  <c r="ER6" i="20" a="1"/>
  <c r="ER6" i="20" s="1"/>
  <c r="EQ6" i="20" a="1"/>
  <c r="EQ6" i="20" s="1"/>
  <c r="EP6" i="20" a="1"/>
  <c r="EP6" i="20" s="1"/>
  <c r="EO6" i="20" a="1"/>
  <c r="EO6" i="20" s="1"/>
  <c r="EN6" i="20" a="1"/>
  <c r="EN6" i="20" s="1"/>
  <c r="EM6" i="20" a="1"/>
  <c r="EM6" i="20" s="1"/>
  <c r="EL6" i="20" a="1"/>
  <c r="EL6" i="20" s="1"/>
  <c r="EK6" i="20" a="1"/>
  <c r="EK6" i="20" s="1"/>
  <c r="EJ6" i="20" a="1"/>
  <c r="EJ6" i="20" s="1"/>
  <c r="EI6" i="20" a="1"/>
  <c r="EI6" i="20" s="1"/>
  <c r="EH6" i="20" a="1"/>
  <c r="EH6" i="20" s="1"/>
  <c r="EG6" i="20" a="1"/>
  <c r="EG6" i="20" s="1"/>
  <c r="EF6" i="20" a="1"/>
  <c r="EF6" i="20" s="1"/>
  <c r="EE6" i="20"/>
  <c r="EE6" i="20" a="1"/>
  <c r="ED6" i="20" a="1"/>
  <c r="ED6" i="20" s="1"/>
  <c r="EC6" i="20" a="1"/>
  <c r="EC6" i="20" s="1"/>
  <c r="EB6" i="20" a="1"/>
  <c r="EB6" i="20" s="1"/>
  <c r="EA6" i="20" a="1"/>
  <c r="EA6" i="20" s="1"/>
  <c r="DZ6" i="20" a="1"/>
  <c r="DZ6" i="20" s="1"/>
  <c r="DY6" i="20" a="1"/>
  <c r="DY6" i="20" s="1"/>
  <c r="DX6" i="20" a="1"/>
  <c r="DX6" i="20" s="1"/>
  <c r="DW6" i="20" a="1"/>
  <c r="DW6" i="20" s="1"/>
  <c r="DV6" i="20" a="1"/>
  <c r="DV6" i="20" s="1"/>
  <c r="DU6" i="20" a="1"/>
  <c r="DU6" i="20" s="1"/>
  <c r="DT6" i="20" a="1"/>
  <c r="DT6" i="20" s="1"/>
  <c r="DS6" i="20" a="1"/>
  <c r="DS6" i="20" s="1"/>
  <c r="DR6" i="20" a="1"/>
  <c r="DR6" i="20" s="1"/>
  <c r="DQ6" i="20" a="1"/>
  <c r="DQ6" i="20" s="1"/>
  <c r="DP6" i="20" a="1"/>
  <c r="DP6" i="20" s="1"/>
  <c r="DO6" i="20" a="1"/>
  <c r="DO6" i="20" s="1"/>
  <c r="DN6" i="20" a="1"/>
  <c r="DN6" i="20" s="1"/>
  <c r="DM6" i="20"/>
  <c r="DM6" i="20" a="1"/>
  <c r="DL6" i="20" a="1"/>
  <c r="DL6" i="20" s="1"/>
  <c r="DK6" i="20" a="1"/>
  <c r="DK6" i="20" s="1"/>
  <c r="DJ6" i="20" a="1"/>
  <c r="DJ6" i="20" s="1"/>
  <c r="DI6" i="20" a="1"/>
  <c r="DI6" i="20" s="1"/>
  <c r="DH6" i="20" a="1"/>
  <c r="DH6" i="20" s="1"/>
  <c r="DG6" i="20" a="1"/>
  <c r="DG6" i="20" s="1"/>
  <c r="DF6" i="20" a="1"/>
  <c r="DF6" i="20" s="1"/>
  <c r="DE6" i="20" a="1"/>
  <c r="DE6" i="20" s="1"/>
  <c r="DD6" i="20" a="1"/>
  <c r="DD6" i="20" s="1"/>
  <c r="DC6" i="20" a="1"/>
  <c r="DC6" i="20" s="1"/>
  <c r="DB6" i="20" a="1"/>
  <c r="DB6" i="20" s="1"/>
  <c r="DA6" i="20" a="1"/>
  <c r="DA6" i="20" s="1"/>
  <c r="CZ6" i="20" a="1"/>
  <c r="CZ6" i="20" s="1"/>
  <c r="CY6" i="20" a="1"/>
  <c r="CY6" i="20" s="1"/>
  <c r="CX6" i="20" a="1"/>
  <c r="CX6" i="20" s="1"/>
  <c r="CW6" i="20" a="1"/>
  <c r="CW6" i="20" s="1"/>
  <c r="CV6" i="20" a="1"/>
  <c r="CV6" i="20" s="1"/>
  <c r="CU6" i="20"/>
  <c r="CU6" i="20" a="1"/>
  <c r="CT6" i="20" a="1"/>
  <c r="CT6" i="20" s="1"/>
  <c r="CS6" i="20" a="1"/>
  <c r="CS6" i="20" s="1"/>
  <c r="CR6" i="20" a="1"/>
  <c r="CR6" i="20" s="1"/>
  <c r="CQ6" i="20" a="1"/>
  <c r="CQ6" i="20" s="1"/>
  <c r="CP6" i="20" a="1"/>
  <c r="CP6" i="20" s="1"/>
  <c r="CO6" i="20" a="1"/>
  <c r="CO6" i="20" s="1"/>
  <c r="CN6" i="20" a="1"/>
  <c r="CN6" i="20" s="1"/>
  <c r="CM6" i="20" a="1"/>
  <c r="CM6" i="20" s="1"/>
  <c r="CL6" i="20" a="1"/>
  <c r="CL6" i="20" s="1"/>
  <c r="CK6" i="20" a="1"/>
  <c r="CK6" i="20" s="1"/>
  <c r="CJ6" i="20" a="1"/>
  <c r="CJ6" i="20" s="1"/>
  <c r="CI6" i="20" a="1"/>
  <c r="CI6" i="20" s="1"/>
  <c r="CH6" i="20" a="1"/>
  <c r="CH6" i="20" s="1"/>
  <c r="CG6" i="20" a="1"/>
  <c r="CG6" i="20" s="1"/>
  <c r="CF6" i="20" a="1"/>
  <c r="CF6" i="20" s="1"/>
  <c r="CE6" i="20" a="1"/>
  <c r="CE6" i="20" s="1"/>
  <c r="CD6" i="20" a="1"/>
  <c r="CD6" i="20" s="1"/>
  <c r="CC6" i="20"/>
  <c r="CC6" i="20" a="1"/>
  <c r="CB6" i="20" a="1"/>
  <c r="CB6" i="20" s="1"/>
  <c r="CA6" i="20" a="1"/>
  <c r="CA6" i="20" s="1"/>
  <c r="BZ6" i="20" a="1"/>
  <c r="BZ6" i="20" s="1"/>
  <c r="BY6" i="20" a="1"/>
  <c r="BY6" i="20" s="1"/>
  <c r="BX6" i="20" a="1"/>
  <c r="BX6" i="20" s="1"/>
  <c r="BW6" i="20" a="1"/>
  <c r="BW6" i="20" s="1"/>
  <c r="BV6" i="20" a="1"/>
  <c r="BV6" i="20" s="1"/>
  <c r="BU6" i="20" a="1"/>
  <c r="BU6" i="20" s="1"/>
  <c r="BT6" i="20" a="1"/>
  <c r="BT6" i="20" s="1"/>
  <c r="BS6" i="20" a="1"/>
  <c r="BS6" i="20" s="1"/>
  <c r="BR6" i="20" a="1"/>
  <c r="BR6" i="20" s="1"/>
  <c r="BQ6" i="20" a="1"/>
  <c r="BQ6" i="20" s="1"/>
  <c r="BP6" i="20" a="1"/>
  <c r="BP6" i="20" s="1"/>
  <c r="BO6" i="20" a="1"/>
  <c r="BO6" i="20" s="1"/>
  <c r="BN6" i="20" a="1"/>
  <c r="BN6" i="20" s="1"/>
  <c r="BM6" i="20" a="1"/>
  <c r="BM6" i="20" s="1"/>
  <c r="BL6" i="20" a="1"/>
  <c r="BL6" i="20" s="1"/>
  <c r="BK6" i="20"/>
  <c r="BK6" i="20" a="1"/>
  <c r="BJ6" i="20" a="1"/>
  <c r="BJ6" i="20" s="1"/>
  <c r="BI6" i="20" a="1"/>
  <c r="BI6" i="20" s="1"/>
  <c r="BH6" i="20" a="1"/>
  <c r="BH6" i="20" s="1"/>
  <c r="BG6" i="20" a="1"/>
  <c r="BG6" i="20" s="1"/>
  <c r="BF6" i="20" a="1"/>
  <c r="BF6" i="20" s="1"/>
  <c r="BE6" i="20" a="1"/>
  <c r="BE6" i="20" s="1"/>
  <c r="BD6" i="20" a="1"/>
  <c r="BD6" i="20" s="1"/>
  <c r="BC6" i="20" a="1"/>
  <c r="BC6" i="20" s="1"/>
  <c r="BB6" i="20" a="1"/>
  <c r="BB6" i="20" s="1"/>
  <c r="BA6" i="20" a="1"/>
  <c r="BA6" i="20" s="1"/>
  <c r="AZ6" i="20" a="1"/>
  <c r="AZ6" i="20" s="1"/>
  <c r="AY6" i="20" a="1"/>
  <c r="AY6" i="20" s="1"/>
  <c r="AX6" i="20" a="1"/>
  <c r="AX6" i="20" s="1"/>
  <c r="AW6" i="20" a="1"/>
  <c r="AW6" i="20" s="1"/>
  <c r="AV6" i="20" a="1"/>
  <c r="AV6" i="20" s="1"/>
  <c r="AU6" i="20" a="1"/>
  <c r="AU6" i="20" s="1"/>
  <c r="AT6" i="20" a="1"/>
  <c r="AT6" i="20" s="1"/>
  <c r="AS6" i="20"/>
  <c r="AS6" i="20" a="1"/>
  <c r="AR6" i="20" a="1"/>
  <c r="AR6" i="20" s="1"/>
  <c r="AQ6" i="20" a="1"/>
  <c r="AQ6" i="20" s="1"/>
  <c r="AP6" i="20" a="1"/>
  <c r="AP6" i="20" s="1"/>
  <c r="AO6" i="20" a="1"/>
  <c r="AO6" i="20" s="1"/>
  <c r="AN6" i="20" a="1"/>
  <c r="AN6" i="20" s="1"/>
  <c r="AM6" i="20" a="1"/>
  <c r="AM6" i="20" s="1"/>
  <c r="AL6" i="20" a="1"/>
  <c r="AL6" i="20" s="1"/>
  <c r="AK6" i="20" a="1"/>
  <c r="AK6" i="20" s="1"/>
  <c r="AJ6" i="20" a="1"/>
  <c r="AJ6" i="20" s="1"/>
  <c r="AI6" i="20" a="1"/>
  <c r="AI6" i="20" s="1"/>
  <c r="AH6" i="20" a="1"/>
  <c r="AH6" i="20" s="1"/>
  <c r="AG6" i="20" a="1"/>
  <c r="AG6" i="20" s="1"/>
  <c r="AF6" i="20" a="1"/>
  <c r="AF6" i="20" s="1"/>
  <c r="AE6" i="20" a="1"/>
  <c r="AE6" i="20" s="1"/>
  <c r="AD6" i="20" a="1"/>
  <c r="AD6" i="20" s="1"/>
  <c r="AC6" i="20" a="1"/>
  <c r="AC6" i="20" s="1"/>
  <c r="AB6" i="20" a="1"/>
  <c r="AB6" i="20" s="1"/>
  <c r="AA6" i="20"/>
  <c r="AA6" i="20" a="1"/>
  <c r="Z6" i="20" a="1"/>
  <c r="Z6" i="20" s="1"/>
  <c r="Y6" i="20" a="1"/>
  <c r="Y6" i="20" s="1"/>
  <c r="X6" i="20" a="1"/>
  <c r="X6" i="20" s="1"/>
  <c r="W6" i="20" a="1"/>
  <c r="W6" i="20" s="1"/>
  <c r="V6" i="20" a="1"/>
  <c r="V6" i="20" s="1"/>
  <c r="U6" i="20" a="1"/>
  <c r="U6" i="20" s="1"/>
  <c r="T6" i="20" a="1"/>
  <c r="T6" i="20" s="1"/>
  <c r="S6" i="20" a="1"/>
  <c r="S6" i="20" s="1"/>
  <c r="R6" i="20" a="1"/>
  <c r="R6" i="20" s="1"/>
  <c r="Q6" i="20" a="1"/>
  <c r="Q6" i="20" s="1"/>
  <c r="P6" i="20" a="1"/>
  <c r="P6" i="20" s="1"/>
  <c r="O6" i="20" a="1"/>
  <c r="O6" i="20" s="1"/>
  <c r="N6" i="20" a="1"/>
  <c r="N6" i="20" s="1"/>
  <c r="M6" i="20" a="1"/>
  <c r="M6" i="20" s="1"/>
  <c r="L6" i="20" a="1"/>
  <c r="L6" i="20" s="1"/>
  <c r="K6" i="20" a="1"/>
  <c r="K6" i="20" s="1"/>
  <c r="J6" i="20" a="1"/>
  <c r="J6" i="20" s="1"/>
  <c r="I6" i="20"/>
  <c r="I6" i="20" a="1"/>
  <c r="H6" i="20" a="1"/>
  <c r="H6" i="20" s="1"/>
  <c r="G6" i="20" a="1"/>
  <c r="G6" i="20" s="1"/>
  <c r="F6" i="20" a="1"/>
  <c r="F6" i="20" s="1"/>
  <c r="E6" i="20" a="1"/>
  <c r="E6" i="20" s="1"/>
  <c r="D6" i="20" a="1"/>
  <c r="D6" i="20" s="1"/>
  <c r="A1000" i="21"/>
  <c r="B1000" i="21" s="1" a="1"/>
  <c r="B1000" i="21" s="1"/>
  <c r="A999" i="21"/>
  <c r="B999" i="21" s="1" a="1"/>
  <c r="B999" i="21" s="1"/>
  <c r="B998" i="21" a="1"/>
  <c r="B998" i="21" s="1"/>
  <c r="A998" i="21"/>
  <c r="A997" i="21"/>
  <c r="B997" i="21" s="1" a="1"/>
  <c r="B997" i="21" s="1"/>
  <c r="B996" i="21" a="1"/>
  <c r="B996" i="21" s="1"/>
  <c r="A996" i="21"/>
  <c r="B995" i="21" a="1"/>
  <c r="B995" i="21" s="1"/>
  <c r="A995" i="21"/>
  <c r="A994" i="21"/>
  <c r="B994" i="21" s="1" a="1"/>
  <c r="B994" i="21" s="1"/>
  <c r="A993" i="21"/>
  <c r="B993" i="21" s="1" a="1"/>
  <c r="B993" i="21" s="1"/>
  <c r="A992" i="21"/>
  <c r="B992" i="21" s="1" a="1"/>
  <c r="B992" i="21" s="1"/>
  <c r="A991" i="21"/>
  <c r="B991" i="21" s="1" a="1"/>
  <c r="B991" i="21" s="1"/>
  <c r="B990" i="21" a="1"/>
  <c r="B990" i="21" s="1"/>
  <c r="A990" i="21"/>
  <c r="A989" i="21"/>
  <c r="B989" i="21" s="1" a="1"/>
  <c r="B989" i="21" s="1"/>
  <c r="B988" i="21" a="1"/>
  <c r="B988" i="21" s="1"/>
  <c r="A988" i="21"/>
  <c r="B987" i="21" a="1"/>
  <c r="B987" i="21" s="1"/>
  <c r="A987" i="21"/>
  <c r="A986" i="21"/>
  <c r="B986" i="21" s="1" a="1"/>
  <c r="B986" i="21" s="1"/>
  <c r="B985" i="21"/>
  <c r="A985" i="21"/>
  <c r="B985" i="21" s="1" a="1"/>
  <c r="A984" i="21"/>
  <c r="B984" i="21" s="1" a="1"/>
  <c r="B984" i="21" s="1"/>
  <c r="B983" i="21" a="1"/>
  <c r="B983" i="21" s="1"/>
  <c r="A983" i="21"/>
  <c r="B982" i="21" a="1"/>
  <c r="B982" i="21" s="1"/>
  <c r="A982" i="21"/>
  <c r="A981" i="21"/>
  <c r="B981" i="21" s="1" a="1"/>
  <c r="B981" i="21" s="1"/>
  <c r="B980" i="21" a="1"/>
  <c r="B980" i="21" s="1"/>
  <c r="A980" i="21"/>
  <c r="A979" i="21"/>
  <c r="B979" i="21" s="1" a="1"/>
  <c r="B979" i="21" s="1"/>
  <c r="A978" i="21"/>
  <c r="B978" i="21" s="1" a="1"/>
  <c r="B978" i="21" s="1"/>
  <c r="B977" i="21"/>
  <c r="A977" i="21"/>
  <c r="B977" i="21" s="1" a="1"/>
  <c r="B976" i="21" a="1"/>
  <c r="B976" i="21" s="1"/>
  <c r="A976" i="21"/>
  <c r="A975" i="21"/>
  <c r="B975" i="21" s="1" a="1"/>
  <c r="B975" i="21" s="1"/>
  <c r="B974" i="21" a="1"/>
  <c r="B974" i="21" s="1"/>
  <c r="A974" i="21"/>
  <c r="A973" i="21"/>
  <c r="B973" i="21" s="1" a="1"/>
  <c r="B973" i="21" s="1"/>
  <c r="B972" i="21" a="1"/>
  <c r="B972" i="21" s="1"/>
  <c r="A972" i="21"/>
  <c r="B971" i="21" a="1"/>
  <c r="B971" i="21" s="1"/>
  <c r="A971" i="21"/>
  <c r="A970" i="21"/>
  <c r="B970" i="21" s="1" a="1"/>
  <c r="B970" i="21" s="1"/>
  <c r="B969" i="21" a="1"/>
  <c r="B969" i="21" s="1"/>
  <c r="A969" i="21"/>
  <c r="B968" i="21" a="1"/>
  <c r="B968" i="21" s="1"/>
  <c r="A968" i="21"/>
  <c r="A967" i="21"/>
  <c r="B967" i="21" s="1" a="1"/>
  <c r="B967" i="21" s="1"/>
  <c r="A966" i="21"/>
  <c r="B966" i="21" s="1" a="1"/>
  <c r="B966" i="21" s="1"/>
  <c r="A965" i="21"/>
  <c r="B965" i="21" s="1" a="1"/>
  <c r="B965" i="21" s="1"/>
  <c r="A964" i="21"/>
  <c r="B964" i="21" s="1" a="1"/>
  <c r="B964" i="21" s="1"/>
  <c r="A963" i="21"/>
  <c r="B963" i="21" s="1" a="1"/>
  <c r="B963" i="21" s="1"/>
  <c r="B962" i="21" a="1"/>
  <c r="B962" i="21" s="1"/>
  <c r="A962" i="21"/>
  <c r="B961" i="21"/>
  <c r="A961" i="21"/>
  <c r="B961" i="21" s="1" a="1"/>
  <c r="A960" i="21"/>
  <c r="B960" i="21" s="1" a="1"/>
  <c r="B960" i="21" s="1"/>
  <c r="B959" i="21" a="1"/>
  <c r="B959" i="21" s="1"/>
  <c r="A959" i="21"/>
  <c r="B958" i="21" a="1"/>
  <c r="B958" i="21"/>
  <c r="A958" i="21"/>
  <c r="B957" i="21"/>
  <c r="A957" i="21"/>
  <c r="B957" i="21" s="1" a="1"/>
  <c r="B956" i="21" a="1"/>
  <c r="B956" i="21" s="1"/>
  <c r="A956" i="21"/>
  <c r="A955" i="21"/>
  <c r="B955" i="21" s="1" a="1"/>
  <c r="B955" i="21" s="1"/>
  <c r="A954" i="21"/>
  <c r="B954" i="21" s="1" a="1"/>
  <c r="B954" i="21" s="1"/>
  <c r="A953" i="21"/>
  <c r="B953" i="21" s="1" a="1"/>
  <c r="B953" i="21" s="1"/>
  <c r="A952" i="21"/>
  <c r="B952" i="21" s="1" a="1"/>
  <c r="B952" i="21" s="1"/>
  <c r="A951" i="21"/>
  <c r="B951" i="21" s="1" a="1"/>
  <c r="B951" i="21" s="1"/>
  <c r="B950" i="21" a="1"/>
  <c r="B950" i="21" s="1"/>
  <c r="A950" i="21"/>
  <c r="B949" i="21" a="1"/>
  <c r="B949" i="21" s="1"/>
  <c r="A949" i="21"/>
  <c r="B948" i="21" a="1"/>
  <c r="B948" i="21" s="1"/>
  <c r="A948" i="21"/>
  <c r="A947" i="21"/>
  <c r="B947" i="21" s="1" a="1"/>
  <c r="B947" i="21" s="1"/>
  <c r="B946" i="21" a="1"/>
  <c r="B946" i="21" s="1"/>
  <c r="A946" i="21"/>
  <c r="B945" i="21" a="1"/>
  <c r="B945" i="21" s="1"/>
  <c r="A945" i="21"/>
  <c r="A944" i="21"/>
  <c r="B944" i="21" s="1" a="1"/>
  <c r="B944" i="21" s="1"/>
  <c r="B943" i="21" a="1"/>
  <c r="B943" i="21"/>
  <c r="A943" i="21"/>
  <c r="B942" i="21" a="1"/>
  <c r="B942" i="21" s="1"/>
  <c r="A942" i="21"/>
  <c r="A941" i="21"/>
  <c r="B941" i="21" s="1" a="1"/>
  <c r="B941" i="21" s="1"/>
  <c r="B940" i="21" a="1"/>
  <c r="B940" i="21" s="1"/>
  <c r="A940" i="21"/>
  <c r="B939" i="21" a="1"/>
  <c r="B939" i="21" s="1"/>
  <c r="A939" i="21"/>
  <c r="B938" i="21" a="1"/>
  <c r="B938" i="21" s="1"/>
  <c r="A938" i="21"/>
  <c r="B937" i="21" a="1"/>
  <c r="B937" i="21" s="1"/>
  <c r="A937" i="21"/>
  <c r="B936" i="21" a="1"/>
  <c r="B936" i="21" s="1"/>
  <c r="A936" i="21"/>
  <c r="A935" i="21"/>
  <c r="B935" i="21" s="1" a="1"/>
  <c r="B935" i="21" s="1"/>
  <c r="A934" i="21"/>
  <c r="B934" i="21" s="1" a="1"/>
  <c r="B934" i="21" s="1"/>
  <c r="B933" i="21" a="1"/>
  <c r="B933" i="21" s="1"/>
  <c r="A933" i="21"/>
  <c r="B932" i="21" a="1"/>
  <c r="B932" i="21" s="1"/>
  <c r="A932" i="21"/>
  <c r="A931" i="21"/>
  <c r="B931" i="21" s="1" a="1"/>
  <c r="B931" i="21" s="1"/>
  <c r="B930" i="21" a="1"/>
  <c r="B930" i="21" s="1"/>
  <c r="A930" i="21"/>
  <c r="B929" i="21" a="1"/>
  <c r="B929" i="21" s="1"/>
  <c r="A929" i="21"/>
  <c r="A928" i="21"/>
  <c r="B928" i="21" s="1" a="1"/>
  <c r="B928" i="21" s="1"/>
  <c r="B927" i="21" a="1"/>
  <c r="B927" i="21" s="1"/>
  <c r="A927" i="21"/>
  <c r="B926" i="21" a="1"/>
  <c r="B926" i="21" s="1"/>
  <c r="A926" i="21"/>
  <c r="B925" i="21" a="1"/>
  <c r="B925" i="21" s="1"/>
  <c r="A925" i="21"/>
  <c r="B924" i="21" a="1"/>
  <c r="B924" i="21" s="1"/>
  <c r="A924" i="21"/>
  <c r="B923" i="21" a="1"/>
  <c r="B923" i="21" s="1"/>
  <c r="A923" i="21"/>
  <c r="A922" i="21"/>
  <c r="B922" i="21" s="1" a="1"/>
  <c r="B922" i="21" s="1"/>
  <c r="A921" i="21"/>
  <c r="B921" i="21" s="1" a="1"/>
  <c r="B921" i="21" s="1"/>
  <c r="B920" i="21" a="1"/>
  <c r="B920" i="21" s="1"/>
  <c r="A920" i="21"/>
  <c r="B919" i="21"/>
  <c r="A919" i="21"/>
  <c r="B919" i="21" s="1" a="1"/>
  <c r="A918" i="21"/>
  <c r="B918" i="21" s="1" a="1"/>
  <c r="B918" i="21" s="1"/>
  <c r="B917" i="21" a="1"/>
  <c r="B917" i="21" s="1"/>
  <c r="A917" i="21"/>
  <c r="B916" i="21" a="1"/>
  <c r="B916" i="21" s="1"/>
  <c r="A916" i="21"/>
  <c r="A915" i="21"/>
  <c r="B915" i="21" s="1" a="1"/>
  <c r="B915" i="21" s="1"/>
  <c r="B914" i="21" a="1"/>
  <c r="B914" i="21" s="1"/>
  <c r="A914" i="21"/>
  <c r="A913" i="21"/>
  <c r="B913" i="21" s="1" a="1"/>
  <c r="B913" i="21" s="1"/>
  <c r="B912" i="21" a="1"/>
  <c r="B912" i="21" s="1"/>
  <c r="A912" i="21"/>
  <c r="B911" i="21" a="1"/>
  <c r="B911" i="21"/>
  <c r="A911" i="21"/>
  <c r="B910" i="21" a="1"/>
  <c r="B910" i="21"/>
  <c r="A910" i="21"/>
  <c r="A909" i="21"/>
  <c r="B909" i="21" s="1" a="1"/>
  <c r="B909" i="21" s="1"/>
  <c r="A908" i="21"/>
  <c r="B908" i="21" s="1" a="1"/>
  <c r="B908" i="21" s="1"/>
  <c r="B907" i="21" a="1"/>
  <c r="B907" i="21" s="1"/>
  <c r="A907" i="21"/>
  <c r="A906" i="21"/>
  <c r="B906" i="21" s="1" a="1"/>
  <c r="B906" i="21" s="1"/>
  <c r="A905" i="21"/>
  <c r="B905" i="21" s="1" a="1"/>
  <c r="B905" i="21" s="1"/>
  <c r="B904" i="21" a="1"/>
  <c r="B904" i="21" s="1"/>
  <c r="A904" i="21"/>
  <c r="A903" i="21"/>
  <c r="B903" i="21" s="1" a="1"/>
  <c r="B903" i="21" s="1"/>
  <c r="B902" i="21" a="1"/>
  <c r="B902" i="21" s="1"/>
  <c r="A902" i="21"/>
  <c r="B901" i="21" a="1"/>
  <c r="B901" i="21" s="1"/>
  <c r="A901" i="21"/>
  <c r="B900" i="21" a="1"/>
  <c r="B900" i="21" s="1"/>
  <c r="A900" i="21"/>
  <c r="A899" i="21"/>
  <c r="B899" i="21" s="1" a="1"/>
  <c r="B899" i="21" s="1"/>
  <c r="B898" i="21" a="1"/>
  <c r="B898" i="21"/>
  <c r="A898" i="21"/>
  <c r="B897" i="21" a="1"/>
  <c r="B897" i="21" s="1"/>
  <c r="A897" i="21"/>
  <c r="A896" i="21"/>
  <c r="B896" i="21" s="1" a="1"/>
  <c r="B896" i="21" s="1"/>
  <c r="B895" i="21" a="1"/>
  <c r="B895" i="21" s="1"/>
  <c r="A895" i="21"/>
  <c r="B894" i="21" a="1"/>
  <c r="B894" i="21" s="1"/>
  <c r="A894" i="21"/>
  <c r="A893" i="21"/>
  <c r="B893" i="21" s="1" a="1"/>
  <c r="B893" i="21" s="1"/>
  <c r="B892" i="21" a="1"/>
  <c r="B892" i="21" s="1"/>
  <c r="A892" i="21"/>
  <c r="A891" i="21"/>
  <c r="B891" i="21" s="1" a="1"/>
  <c r="B891" i="21" s="1"/>
  <c r="A890" i="21"/>
  <c r="B890" i="21" s="1" a="1"/>
  <c r="B890" i="21" s="1"/>
  <c r="B889" i="21" a="1"/>
  <c r="B889" i="21" s="1"/>
  <c r="A889" i="21"/>
  <c r="B888" i="21" a="1"/>
  <c r="B888" i="21" s="1"/>
  <c r="A888" i="21"/>
  <c r="B887" i="21"/>
  <c r="A887" i="21"/>
  <c r="B887" i="21" s="1" a="1"/>
  <c r="A886" i="21"/>
  <c r="B886" i="21" s="1" a="1"/>
  <c r="B886" i="21" s="1"/>
  <c r="B885" i="21" a="1"/>
  <c r="B885" i="21" s="1"/>
  <c r="A885" i="21"/>
  <c r="B884" i="21" a="1"/>
  <c r="B884" i="21" s="1"/>
  <c r="A884" i="21"/>
  <c r="A883" i="21"/>
  <c r="B883" i="21" s="1" a="1"/>
  <c r="B883" i="21" s="1"/>
  <c r="A882" i="21"/>
  <c r="B882" i="21" s="1" a="1"/>
  <c r="B882" i="21" s="1"/>
  <c r="A881" i="21"/>
  <c r="B881" i="21" s="1" a="1"/>
  <c r="B881" i="21" s="1"/>
  <c r="A880" i="21"/>
  <c r="B880" i="21" s="1" a="1"/>
  <c r="B880" i="21" s="1"/>
  <c r="B879" i="21" a="1"/>
  <c r="B879" i="21" s="1"/>
  <c r="A879" i="21"/>
  <c r="A878" i="21"/>
  <c r="B878" i="21" s="1" a="1"/>
  <c r="B878" i="21" s="1"/>
  <c r="A877" i="21"/>
  <c r="B877" i="21" s="1" a="1"/>
  <c r="B877" i="21" s="1"/>
  <c r="B876" i="21" a="1"/>
  <c r="B876" i="21" s="1"/>
  <c r="A876" i="21"/>
  <c r="B875" i="21" a="1"/>
  <c r="B875" i="21" s="1"/>
  <c r="A875" i="21"/>
  <c r="A874" i="21"/>
  <c r="B874" i="21" s="1" a="1"/>
  <c r="B874" i="21" s="1"/>
  <c r="B873" i="21"/>
  <c r="A873" i="21"/>
  <c r="B873" i="21" s="1" a="1"/>
  <c r="B872" i="21" a="1"/>
  <c r="B872" i="21" s="1"/>
  <c r="A872" i="21"/>
  <c r="A871" i="21"/>
  <c r="B871" i="21" s="1" a="1"/>
  <c r="B871" i="21" s="1"/>
  <c r="A870" i="21"/>
  <c r="B870" i="21" s="1" a="1"/>
  <c r="B870" i="21" s="1"/>
  <c r="A869" i="21"/>
  <c r="B869" i="21" s="1" a="1"/>
  <c r="B869" i="21" s="1"/>
  <c r="B868" i="21" a="1"/>
  <c r="B868" i="21" s="1"/>
  <c r="A868" i="21"/>
  <c r="A867" i="21"/>
  <c r="B867" i="21" s="1" a="1"/>
  <c r="B867" i="21" s="1"/>
  <c r="B866" i="21" a="1"/>
  <c r="B866" i="21" s="1"/>
  <c r="A866" i="21"/>
  <c r="A865" i="21"/>
  <c r="B865" i="21" s="1" a="1"/>
  <c r="B865" i="21" s="1"/>
  <c r="B864" i="21" a="1"/>
  <c r="B864" i="21" s="1"/>
  <c r="A864" i="21"/>
  <c r="B863" i="21" a="1"/>
  <c r="B863" i="21" s="1"/>
  <c r="A863" i="21"/>
  <c r="B862" i="21" a="1"/>
  <c r="B862" i="21" s="1"/>
  <c r="A862" i="21"/>
  <c r="B861" i="21"/>
  <c r="A861" i="21"/>
  <c r="B861" i="21" s="1" a="1"/>
  <c r="A860" i="21"/>
  <c r="B860" i="21" s="1" a="1"/>
  <c r="B860" i="21" s="1"/>
  <c r="A859" i="21"/>
  <c r="B859" i="21" s="1" a="1"/>
  <c r="B859" i="21" s="1"/>
  <c r="B858" i="21"/>
  <c r="A858" i="21"/>
  <c r="B858" i="21" s="1" a="1"/>
  <c r="A857" i="21"/>
  <c r="B857" i="21" s="1" a="1"/>
  <c r="B857" i="21" s="1"/>
  <c r="A856" i="21"/>
  <c r="B856" i="21" s="1" a="1"/>
  <c r="B856" i="21" s="1"/>
  <c r="B855" i="21" a="1"/>
  <c r="B855" i="21" s="1"/>
  <c r="A855" i="21"/>
  <c r="B854" i="21" a="1"/>
  <c r="B854" i="21" s="1"/>
  <c r="A854" i="21"/>
  <c r="B853" i="21" a="1"/>
  <c r="B853" i="21" s="1"/>
  <c r="A853" i="21"/>
  <c r="B852" i="21" a="1"/>
  <c r="B852" i="21" s="1"/>
  <c r="A852" i="21"/>
  <c r="B851" i="21" a="1"/>
  <c r="B851" i="21" s="1"/>
  <c r="A851" i="21"/>
  <c r="B850" i="21" a="1"/>
  <c r="B850" i="21" s="1"/>
  <c r="A850" i="21"/>
  <c r="B849" i="21" a="1"/>
  <c r="B849" i="21" s="1"/>
  <c r="A849" i="21"/>
  <c r="A848" i="21"/>
  <c r="B848" i="21" s="1" a="1"/>
  <c r="B848" i="21" s="1"/>
  <c r="A847" i="21"/>
  <c r="B847" i="21" s="1" a="1"/>
  <c r="B847" i="21" s="1"/>
  <c r="B846" i="21" a="1"/>
  <c r="B846" i="21"/>
  <c r="A846" i="21"/>
  <c r="A845" i="21"/>
  <c r="B845" i="21" s="1" a="1"/>
  <c r="B845" i="21" s="1"/>
  <c r="B844" i="21" a="1"/>
  <c r="B844" i="21" s="1"/>
  <c r="A844" i="21"/>
  <c r="A843" i="21"/>
  <c r="B843" i="21" s="1" a="1"/>
  <c r="B843" i="21" s="1"/>
  <c r="A842" i="21"/>
  <c r="B842" i="21" s="1" a="1"/>
  <c r="B842" i="21" s="1"/>
  <c r="A841" i="21"/>
  <c r="B841" i="21" s="1" a="1"/>
  <c r="B841" i="21" s="1"/>
  <c r="B840" i="21" a="1"/>
  <c r="B840" i="21" s="1"/>
  <c r="A840" i="21"/>
  <c r="A839" i="21"/>
  <c r="B839" i="21" s="1" a="1"/>
  <c r="B839" i="21" s="1"/>
  <c r="A838" i="21"/>
  <c r="B838" i="21" s="1" a="1"/>
  <c r="B838" i="21" s="1"/>
  <c r="B837" i="21" a="1"/>
  <c r="B837" i="21"/>
  <c r="A837" i="21"/>
  <c r="A836" i="21"/>
  <c r="B836" i="21" s="1" a="1"/>
  <c r="B836" i="21" s="1"/>
  <c r="A835" i="21"/>
  <c r="B835" i="21" s="1" a="1"/>
  <c r="B835" i="21" s="1"/>
  <c r="B834" i="21" a="1"/>
  <c r="B834" i="21" s="1"/>
  <c r="A834" i="21"/>
  <c r="A833" i="21"/>
  <c r="B833" i="21" s="1" a="1"/>
  <c r="B833" i="21" s="1"/>
  <c r="A832" i="21"/>
  <c r="B832" i="21" s="1" a="1"/>
  <c r="B832" i="21" s="1"/>
  <c r="B831" i="21" a="1"/>
  <c r="B831" i="21" s="1"/>
  <c r="A831" i="21"/>
  <c r="B830" i="21" a="1"/>
  <c r="B830" i="21" s="1"/>
  <c r="A830" i="21"/>
  <c r="B829" i="21" a="1"/>
  <c r="B829" i="21"/>
  <c r="A829" i="21"/>
  <c r="B828" i="21" a="1"/>
  <c r="B828" i="21" s="1"/>
  <c r="A828" i="21"/>
  <c r="B827" i="21" a="1"/>
  <c r="B827" i="21" s="1"/>
  <c r="A827" i="21"/>
  <c r="B826" i="21"/>
  <c r="A826" i="21"/>
  <c r="B826" i="21" s="1" a="1"/>
  <c r="B825" i="21" a="1"/>
  <c r="B825" i="21" s="1"/>
  <c r="A825" i="21"/>
  <c r="B824" i="21" a="1"/>
  <c r="B824" i="21" s="1"/>
  <c r="A824" i="21"/>
  <c r="A823" i="21"/>
  <c r="B823" i="21" s="1" a="1"/>
  <c r="B823" i="21" s="1"/>
  <c r="B822" i="21" a="1"/>
  <c r="B822" i="21" s="1"/>
  <c r="A822" i="21"/>
  <c r="B821" i="21" a="1"/>
  <c r="B821" i="21" s="1"/>
  <c r="A821" i="21"/>
  <c r="B820" i="21" a="1"/>
  <c r="B820" i="21" s="1"/>
  <c r="A820" i="21"/>
  <c r="A819" i="21"/>
  <c r="B819" i="21" s="1" a="1"/>
  <c r="B819" i="21" s="1"/>
  <c r="B818" i="21" a="1"/>
  <c r="B818" i="21" s="1"/>
  <c r="A818" i="21"/>
  <c r="A817" i="21"/>
  <c r="B817" i="21" s="1" a="1"/>
  <c r="B817" i="21" s="1"/>
  <c r="B816" i="21" a="1"/>
  <c r="B816" i="21" s="1"/>
  <c r="A816" i="21"/>
  <c r="B815" i="21" a="1"/>
  <c r="B815" i="21" s="1"/>
  <c r="A815" i="21"/>
  <c r="B814" i="21" a="1"/>
  <c r="B814" i="21" s="1"/>
  <c r="A814" i="21"/>
  <c r="A813" i="21"/>
  <c r="B813" i="21" s="1" a="1"/>
  <c r="B813" i="21" s="1"/>
  <c r="A812" i="21"/>
  <c r="B812" i="21" s="1" a="1"/>
  <c r="B812" i="21" s="1"/>
  <c r="A811" i="21"/>
  <c r="B811" i="21" s="1" a="1"/>
  <c r="B811" i="21" s="1"/>
  <c r="A810" i="21"/>
  <c r="B810" i="21" s="1" a="1"/>
  <c r="B810" i="21" s="1"/>
  <c r="B809" i="21" a="1"/>
  <c r="B809" i="21" s="1"/>
  <c r="A809" i="21"/>
  <c r="A808" i="21"/>
  <c r="B808" i="21" s="1" a="1"/>
  <c r="B808" i="21" s="1"/>
  <c r="A807" i="21"/>
  <c r="B807" i="21" s="1" a="1"/>
  <c r="B807" i="21" s="1"/>
  <c r="A806" i="21"/>
  <c r="B806" i="21" s="1" a="1"/>
  <c r="B806" i="21" s="1"/>
  <c r="B805" i="21" a="1"/>
  <c r="B805" i="21" s="1"/>
  <c r="A805" i="21"/>
  <c r="B804" i="21" a="1"/>
  <c r="B804" i="21" s="1"/>
  <c r="A804" i="21"/>
  <c r="A803" i="21"/>
  <c r="B803" i="21" s="1" a="1"/>
  <c r="B803" i="21" s="1"/>
  <c r="B802" i="21" a="1"/>
  <c r="B802" i="21"/>
  <c r="A802" i="21"/>
  <c r="B801" i="21" a="1"/>
  <c r="B801" i="21" s="1"/>
  <c r="A801" i="21"/>
  <c r="A800" i="21"/>
  <c r="B800" i="21" s="1" a="1"/>
  <c r="B800" i="21" s="1"/>
  <c r="B799" i="21" a="1"/>
  <c r="B799" i="21" s="1"/>
  <c r="A799" i="21"/>
  <c r="B798" i="21" a="1"/>
  <c r="B798" i="21" s="1"/>
  <c r="A798" i="21"/>
  <c r="A797" i="21"/>
  <c r="B797" i="21" s="1" a="1"/>
  <c r="B797" i="21" s="1"/>
  <c r="B796" i="21" a="1"/>
  <c r="B796" i="21" s="1"/>
  <c r="A796" i="21"/>
  <c r="A795" i="21"/>
  <c r="B795" i="21" s="1" a="1"/>
  <c r="B795" i="21" s="1"/>
  <c r="A794" i="21"/>
  <c r="B794" i="21" s="1" a="1"/>
  <c r="B794" i="21" s="1"/>
  <c r="B793" i="21" a="1"/>
  <c r="B793" i="21" s="1"/>
  <c r="A793" i="21"/>
  <c r="A792" i="21"/>
  <c r="B792" i="21" s="1" a="1"/>
  <c r="B792" i="21" s="1"/>
  <c r="A791" i="21"/>
  <c r="B791" i="21" s="1" a="1"/>
  <c r="B791" i="21" s="1"/>
  <c r="A790" i="21"/>
  <c r="B790" i="21" s="1" a="1"/>
  <c r="B790" i="21" s="1"/>
  <c r="B789" i="21" a="1"/>
  <c r="B789" i="21" s="1"/>
  <c r="A789" i="21"/>
  <c r="B788" i="21" a="1"/>
  <c r="B788" i="21" s="1"/>
  <c r="A788" i="21"/>
  <c r="A787" i="21"/>
  <c r="B787" i="21" s="1" a="1"/>
  <c r="B787" i="21" s="1"/>
  <c r="B786" i="21" a="1"/>
  <c r="B786" i="21" s="1"/>
  <c r="A786" i="21"/>
  <c r="B785" i="21" a="1"/>
  <c r="B785" i="21"/>
  <c r="A785" i="21"/>
  <c r="A784" i="21"/>
  <c r="B784" i="21" s="1" a="1"/>
  <c r="B784" i="21" s="1"/>
  <c r="B783" i="21" a="1"/>
  <c r="B783" i="21" s="1"/>
  <c r="A783" i="21"/>
  <c r="A782" i="21"/>
  <c r="B782" i="21" s="1" a="1"/>
  <c r="B782" i="21" s="1"/>
  <c r="B781" i="21" a="1"/>
  <c r="B781" i="21" s="1"/>
  <c r="A781" i="21"/>
  <c r="B780" i="21" a="1"/>
  <c r="B780" i="21" s="1"/>
  <c r="A780" i="21"/>
  <c r="A779" i="21"/>
  <c r="B779" i="21" s="1" a="1"/>
  <c r="B779" i="21" s="1"/>
  <c r="A778" i="21"/>
  <c r="B778" i="21" s="1" a="1"/>
  <c r="B778" i="21" s="1"/>
  <c r="B777" i="21"/>
  <c r="A777" i="21"/>
  <c r="B777" i="21" s="1" a="1"/>
  <c r="A776" i="21"/>
  <c r="B776" i="21" s="1" a="1"/>
  <c r="B776" i="21" s="1"/>
  <c r="A775" i="21"/>
  <c r="B775" i="21" s="1" a="1"/>
  <c r="B775" i="21" s="1"/>
  <c r="A774" i="21"/>
  <c r="B774" i="21" s="1" a="1"/>
  <c r="B774" i="21" s="1"/>
  <c r="A773" i="21"/>
  <c r="B773" i="21" s="1" a="1"/>
  <c r="B773" i="21" s="1"/>
  <c r="B772" i="21" a="1"/>
  <c r="B772" i="21" s="1"/>
  <c r="A772" i="21"/>
  <c r="B771" i="21" a="1"/>
  <c r="B771" i="21" s="1"/>
  <c r="A771" i="21"/>
  <c r="B770" i="21" a="1"/>
  <c r="B770" i="21"/>
  <c r="A770" i="21"/>
  <c r="A769" i="21"/>
  <c r="B769" i="21" s="1" a="1"/>
  <c r="B769" i="21" s="1"/>
  <c r="A768" i="21"/>
  <c r="B768" i="21" s="1" a="1"/>
  <c r="B768" i="21" s="1"/>
  <c r="B767" i="21" a="1"/>
  <c r="B767" i="21"/>
  <c r="A767" i="21"/>
  <c r="A766" i="21"/>
  <c r="B766" i="21" s="1" a="1"/>
  <c r="B766" i="21" s="1"/>
  <c r="B765" i="21"/>
  <c r="A765" i="21"/>
  <c r="B765" i="21" s="1" a="1"/>
  <c r="B764" i="21" a="1"/>
  <c r="B764" i="21" s="1"/>
  <c r="A764" i="21"/>
  <c r="B763" i="21"/>
  <c r="A763" i="21"/>
  <c r="B763" i="21" s="1" a="1"/>
  <c r="A762" i="21"/>
  <c r="B762" i="21" s="1" a="1"/>
  <c r="B762" i="21" s="1"/>
  <c r="A761" i="21"/>
  <c r="B761" i="21" s="1" a="1"/>
  <c r="B761" i="21" s="1"/>
  <c r="B760" i="21" a="1"/>
  <c r="B760" i="21" s="1"/>
  <c r="A760" i="21"/>
  <c r="A759" i="21"/>
  <c r="B759" i="21" s="1" a="1"/>
  <c r="B759" i="21" s="1"/>
  <c r="A758" i="21"/>
  <c r="B758" i="21" s="1" a="1"/>
  <c r="B758" i="21" s="1"/>
  <c r="B757" i="21" a="1"/>
  <c r="B757" i="21" s="1"/>
  <c r="A757" i="21"/>
  <c r="A756" i="21"/>
  <c r="B756" i="21" s="1" a="1"/>
  <c r="B756" i="21" s="1"/>
  <c r="B755" i="21" a="1"/>
  <c r="B755" i="21" s="1"/>
  <c r="A755" i="21"/>
  <c r="B754" i="21" a="1"/>
  <c r="B754" i="21" s="1"/>
  <c r="A754" i="21"/>
  <c r="A753" i="21"/>
  <c r="B753" i="21" s="1" a="1"/>
  <c r="B753" i="21" s="1"/>
  <c r="A752" i="21"/>
  <c r="B752" i="21" s="1" a="1"/>
  <c r="B752" i="21" s="1"/>
  <c r="A751" i="21"/>
  <c r="B751" i="21" s="1" a="1"/>
  <c r="B751" i="21" s="1"/>
  <c r="A750" i="21"/>
  <c r="B750" i="21" s="1" a="1"/>
  <c r="B750" i="21" s="1"/>
  <c r="B749" i="21"/>
  <c r="A749" i="21"/>
  <c r="B749" i="21" s="1" a="1"/>
  <c r="B748" i="21" a="1"/>
  <c r="B748" i="21" s="1"/>
  <c r="A748" i="21"/>
  <c r="B747" i="21" a="1"/>
  <c r="B747" i="21" s="1"/>
  <c r="A747" i="21"/>
  <c r="B746" i="21" a="1"/>
  <c r="B746" i="21"/>
  <c r="A746" i="21"/>
  <c r="A745" i="21"/>
  <c r="B745" i="21" s="1" a="1"/>
  <c r="B745" i="21" s="1"/>
  <c r="B744" i="21" a="1"/>
  <c r="B744" i="21" s="1"/>
  <c r="A744" i="21"/>
  <c r="A743" i="21"/>
  <c r="B743" i="21" s="1" a="1"/>
  <c r="B743" i="21" s="1"/>
  <c r="B742" i="21" a="1"/>
  <c r="B742" i="21" s="1"/>
  <c r="A742" i="21"/>
  <c r="B741" i="21" a="1"/>
  <c r="B741" i="21" s="1"/>
  <c r="A741" i="21"/>
  <c r="A740" i="21"/>
  <c r="B740" i="21" s="1" a="1"/>
  <c r="B740" i="21" s="1"/>
  <c r="B739" i="21" a="1"/>
  <c r="B739" i="21" s="1"/>
  <c r="A739" i="21"/>
  <c r="A738" i="21"/>
  <c r="B738" i="21" s="1" a="1"/>
  <c r="B738" i="21" s="1"/>
  <c r="B737" i="21" a="1"/>
  <c r="B737" i="21" s="1"/>
  <c r="A737" i="21"/>
  <c r="A736" i="21"/>
  <c r="B736" i="21" s="1" a="1"/>
  <c r="B736" i="21" s="1"/>
  <c r="B735" i="21" a="1"/>
  <c r="B735" i="21" s="1"/>
  <c r="A735" i="21"/>
  <c r="A734" i="21"/>
  <c r="B734" i="21" s="1" a="1"/>
  <c r="B734" i="21" s="1"/>
  <c r="A733" i="21"/>
  <c r="B733" i="21" s="1" a="1"/>
  <c r="B733" i="21" s="1"/>
  <c r="B732" i="21" a="1"/>
  <c r="B732" i="21" s="1"/>
  <c r="A732" i="21"/>
  <c r="B731" i="21" a="1"/>
  <c r="B731" i="21" s="1"/>
  <c r="A731" i="21"/>
  <c r="B730" i="21"/>
  <c r="A730" i="21"/>
  <c r="B730" i="21" s="1" a="1"/>
  <c r="A729" i="21"/>
  <c r="B729" i="21" s="1" a="1"/>
  <c r="B729" i="21" s="1"/>
  <c r="A728" i="21"/>
  <c r="B728" i="21" s="1" a="1"/>
  <c r="B728" i="21" s="1"/>
  <c r="A727" i="21"/>
  <c r="B727" i="21" s="1" a="1"/>
  <c r="B727" i="21" s="1"/>
  <c r="B726" i="21" a="1"/>
  <c r="B726" i="21" s="1"/>
  <c r="A726" i="21"/>
  <c r="A725" i="21"/>
  <c r="B725" i="21" s="1" a="1"/>
  <c r="B725" i="21" s="1"/>
  <c r="A724" i="21"/>
  <c r="B724" i="21" s="1" a="1"/>
  <c r="B724" i="21" s="1"/>
  <c r="A723" i="21"/>
  <c r="B723" i="21" s="1" a="1"/>
  <c r="B723" i="21" s="1"/>
  <c r="B722" i="21" a="1"/>
  <c r="B722" i="21" s="1"/>
  <c r="A722" i="21"/>
  <c r="B721" i="21" a="1"/>
  <c r="B721" i="21" s="1"/>
  <c r="A721" i="21"/>
  <c r="B720" i="21" a="1"/>
  <c r="B720" i="21" s="1"/>
  <c r="A720" i="21"/>
  <c r="B719" i="21" a="1"/>
  <c r="B719" i="21" s="1"/>
  <c r="A719" i="21"/>
  <c r="B718" i="21" a="1"/>
  <c r="B718" i="21" s="1"/>
  <c r="A718" i="21"/>
  <c r="A717" i="21"/>
  <c r="B717" i="21" s="1" a="1"/>
  <c r="B717" i="21" s="1"/>
  <c r="B716" i="21" a="1"/>
  <c r="B716" i="21" s="1"/>
  <c r="A716" i="21"/>
  <c r="B715" i="21" a="1"/>
  <c r="B715" i="21" s="1"/>
  <c r="A715" i="21"/>
  <c r="A714" i="21"/>
  <c r="B714" i="21" s="1" a="1"/>
  <c r="B714" i="21" s="1"/>
  <c r="A713" i="21"/>
  <c r="B713" i="21" s="1" a="1"/>
  <c r="B713" i="21" s="1"/>
  <c r="A712" i="21"/>
  <c r="B712" i="21" s="1" a="1"/>
  <c r="B712" i="21" s="1"/>
  <c r="B711" i="21" a="1"/>
  <c r="B711" i="21" s="1"/>
  <c r="A711" i="21"/>
  <c r="B710" i="21" a="1"/>
  <c r="B710" i="21" s="1"/>
  <c r="A710" i="21"/>
  <c r="B709" i="21" a="1"/>
  <c r="B709" i="21" s="1"/>
  <c r="A709" i="21"/>
  <c r="A708" i="21"/>
  <c r="B708" i="21" s="1" a="1"/>
  <c r="B708" i="21" s="1"/>
  <c r="A707" i="21"/>
  <c r="B707" i="21" s="1" a="1"/>
  <c r="B707" i="21" s="1"/>
  <c r="B706" i="21" a="1"/>
  <c r="B706" i="21" s="1"/>
  <c r="A706" i="21"/>
  <c r="A705" i="21"/>
  <c r="B705" i="21" s="1" a="1"/>
  <c r="B705" i="21" s="1"/>
  <c r="A704" i="21"/>
  <c r="B704" i="21" s="1" a="1"/>
  <c r="B704" i="21" s="1"/>
  <c r="B703" i="21" a="1"/>
  <c r="B703" i="21" s="1"/>
  <c r="A703" i="21"/>
  <c r="B702" i="21" a="1"/>
  <c r="B702" i="21" s="1"/>
  <c r="A702" i="21"/>
  <c r="A701" i="21"/>
  <c r="B701" i="21" s="1" a="1"/>
  <c r="B701" i="21" s="1"/>
  <c r="B700" i="21" a="1"/>
  <c r="B700" i="21" s="1"/>
  <c r="A700" i="21"/>
  <c r="B699" i="21" a="1"/>
  <c r="B699" i="21" s="1"/>
  <c r="A699" i="21"/>
  <c r="B698" i="21" a="1"/>
  <c r="B698" i="21" s="1"/>
  <c r="A698" i="21"/>
  <c r="B697" i="21" a="1"/>
  <c r="B697" i="21" s="1"/>
  <c r="A697" i="21"/>
  <c r="A696" i="21"/>
  <c r="B696" i="21" s="1" a="1"/>
  <c r="B696" i="21" s="1"/>
  <c r="A695" i="21"/>
  <c r="B695" i="21" s="1" a="1"/>
  <c r="B695" i="21" s="1"/>
  <c r="A694" i="21"/>
  <c r="B694" i="21" s="1" a="1"/>
  <c r="B694" i="21" s="1"/>
  <c r="B693" i="21" a="1"/>
  <c r="B693" i="21" s="1"/>
  <c r="A693" i="21"/>
  <c r="B692" i="21" a="1"/>
  <c r="B692" i="21" s="1"/>
  <c r="A692" i="21"/>
  <c r="A691" i="21"/>
  <c r="B691" i="21" s="1" a="1"/>
  <c r="B691" i="21" s="1"/>
  <c r="B690" i="21" a="1"/>
  <c r="B690" i="21" s="1"/>
  <c r="A690" i="21"/>
  <c r="B689" i="21" a="1"/>
  <c r="B689" i="21" s="1"/>
  <c r="A689" i="21"/>
  <c r="A688" i="21"/>
  <c r="B688" i="21" s="1" a="1"/>
  <c r="B688" i="21" s="1"/>
  <c r="B687" i="21" a="1"/>
  <c r="B687" i="21" s="1"/>
  <c r="A687" i="21"/>
  <c r="A686" i="21"/>
  <c r="B686" i="21" s="1" a="1"/>
  <c r="B686" i="21" s="1"/>
  <c r="A685" i="21"/>
  <c r="B685" i="21" s="1" a="1"/>
  <c r="B685" i="21" s="1"/>
  <c r="B684" i="21" a="1"/>
  <c r="B684" i="21" s="1"/>
  <c r="A684" i="21"/>
  <c r="A683" i="21"/>
  <c r="B683" i="21" s="1" a="1"/>
  <c r="B683" i="21" s="1"/>
  <c r="B682" i="21"/>
  <c r="A682" i="21"/>
  <c r="B682" i="21" s="1" a="1"/>
  <c r="B681" i="21" a="1"/>
  <c r="B681" i="21" s="1"/>
  <c r="A681" i="21"/>
  <c r="A680" i="21"/>
  <c r="B680" i="21" s="1" a="1"/>
  <c r="B680" i="21" s="1"/>
  <c r="A679" i="21"/>
  <c r="B679" i="21" s="1" a="1"/>
  <c r="B679" i="21" s="1"/>
  <c r="A678" i="21"/>
  <c r="B678" i="21" s="1" a="1"/>
  <c r="B678" i="21" s="1"/>
  <c r="B677" i="21" a="1"/>
  <c r="B677" i="21" s="1"/>
  <c r="A677" i="21"/>
  <c r="A676" i="21"/>
  <c r="B676" i="21" s="1" a="1"/>
  <c r="B676" i="21" s="1"/>
  <c r="A675" i="21"/>
  <c r="B675" i="21" s="1" a="1"/>
  <c r="B675" i="21" s="1"/>
  <c r="B674" i="21" a="1"/>
  <c r="B674" i="21"/>
  <c r="A674" i="21"/>
  <c r="A673" i="21"/>
  <c r="B673" i="21" s="1" a="1"/>
  <c r="B673" i="21" s="1"/>
  <c r="B672" i="21" a="1"/>
  <c r="B672" i="21" s="1"/>
  <c r="A672" i="21"/>
  <c r="B671" i="21" a="1"/>
  <c r="B671" i="21" s="1"/>
  <c r="A671" i="21"/>
  <c r="B670" i="21"/>
  <c r="A670" i="21"/>
  <c r="B670" i="21" s="1" a="1"/>
  <c r="B669" i="21"/>
  <c r="A669" i="21"/>
  <c r="B669" i="21" s="1" a="1"/>
  <c r="A668" i="21"/>
  <c r="B668" i="21" s="1" a="1"/>
  <c r="B668" i="21" s="1"/>
  <c r="A667" i="21"/>
  <c r="B667" i="21" s="1" a="1"/>
  <c r="B667" i="21" s="1"/>
  <c r="A666" i="21"/>
  <c r="B666" i="21" s="1" a="1"/>
  <c r="B666" i="21" s="1"/>
  <c r="A665" i="21"/>
  <c r="B665" i="21" s="1" a="1"/>
  <c r="B665" i="21" s="1"/>
  <c r="B664" i="21" a="1"/>
  <c r="B664" i="21" s="1"/>
  <c r="A664" i="21"/>
  <c r="A663" i="21"/>
  <c r="B663" i="21" s="1" a="1"/>
  <c r="B663" i="21" s="1"/>
  <c r="B662" i="21" a="1"/>
  <c r="B662" i="21" s="1"/>
  <c r="A662" i="21"/>
  <c r="B661" i="21" a="1"/>
  <c r="B661" i="21" s="1"/>
  <c r="A661" i="21"/>
  <c r="B660" i="21" a="1"/>
  <c r="B660" i="21"/>
  <c r="A660" i="21"/>
  <c r="B659" i="21" a="1"/>
  <c r="B659" i="21" s="1"/>
  <c r="A659" i="21"/>
  <c r="B658" i="21" a="1"/>
  <c r="B658" i="21" s="1"/>
  <c r="A658" i="21"/>
  <c r="B657" i="21" a="1"/>
  <c r="B657" i="21" s="1"/>
  <c r="A657" i="21"/>
  <c r="A656" i="21"/>
  <c r="B656" i="21" s="1" a="1"/>
  <c r="B656" i="21" s="1"/>
  <c r="B655" i="21" a="1"/>
  <c r="B655" i="21"/>
  <c r="A655" i="21"/>
  <c r="A654" i="21"/>
  <c r="B654" i="21" s="1" a="1"/>
  <c r="B654" i="21" s="1"/>
  <c r="B653" i="21" a="1"/>
  <c r="B653" i="21" s="1"/>
  <c r="A653" i="21"/>
  <c r="B652" i="21" a="1"/>
  <c r="B652" i="21" s="1"/>
  <c r="A652" i="21"/>
  <c r="A651" i="21"/>
  <c r="B651" i="21" s="1" a="1"/>
  <c r="B651" i="21" s="1"/>
  <c r="A650" i="21"/>
  <c r="B650" i="21" s="1" a="1"/>
  <c r="B650" i="21" s="1"/>
  <c r="B649" i="21" a="1"/>
  <c r="B649" i="21" s="1"/>
  <c r="A649" i="21"/>
  <c r="B648" i="21" a="1"/>
  <c r="B648" i="21"/>
  <c r="A648" i="21"/>
  <c r="A647" i="21"/>
  <c r="B647" i="21" s="1" a="1"/>
  <c r="B647" i="21" s="1"/>
  <c r="B646" i="21" a="1"/>
  <c r="B646" i="21" s="1"/>
  <c r="A646" i="21"/>
  <c r="B645" i="21" a="1"/>
  <c r="B645" i="21" s="1"/>
  <c r="A645" i="21"/>
  <c r="B644" i="21"/>
  <c r="A644" i="21"/>
  <c r="B644" i="21" s="1" a="1"/>
  <c r="A643" i="21"/>
  <c r="B643" i="21" s="1" a="1"/>
  <c r="B643" i="21" s="1"/>
  <c r="A642" i="21"/>
  <c r="B642" i="21" s="1" a="1"/>
  <c r="B642" i="21" s="1"/>
  <c r="B641" i="21" a="1"/>
  <c r="B641" i="21"/>
  <c r="A641" i="21"/>
  <c r="A640" i="21"/>
  <c r="B640" i="21" s="1" a="1"/>
  <c r="B640" i="21" s="1"/>
  <c r="A639" i="21"/>
  <c r="B639" i="21" s="1" a="1"/>
  <c r="B639" i="21" s="1"/>
  <c r="B638" i="21" a="1"/>
  <c r="B638" i="21" s="1"/>
  <c r="A638" i="21"/>
  <c r="B637" i="21" a="1"/>
  <c r="B637" i="21" s="1"/>
  <c r="A637" i="21"/>
  <c r="B636" i="21" a="1"/>
  <c r="B636" i="21" s="1"/>
  <c r="A636" i="21"/>
  <c r="B635" i="21" a="1"/>
  <c r="B635" i="21" s="1"/>
  <c r="A635" i="21"/>
  <c r="B634" i="21" a="1"/>
  <c r="B634" i="21" s="1"/>
  <c r="A634" i="21"/>
  <c r="B633" i="21" a="1"/>
  <c r="B633" i="21" s="1"/>
  <c r="A633" i="21"/>
  <c r="B632" i="21" a="1"/>
  <c r="B632" i="21" s="1"/>
  <c r="A632" i="21"/>
  <c r="A631" i="21"/>
  <c r="B631" i="21" s="1" a="1"/>
  <c r="B631" i="21" s="1"/>
  <c r="A630" i="21"/>
  <c r="B630" i="21" s="1" a="1"/>
  <c r="B630" i="21" s="1"/>
  <c r="B629" i="21" a="1"/>
  <c r="B629" i="21"/>
  <c r="A629" i="21"/>
  <c r="A628" i="21"/>
  <c r="B628" i="21" s="1" a="1"/>
  <c r="B628" i="21" s="1"/>
  <c r="A627" i="21"/>
  <c r="B627" i="21" s="1" a="1"/>
  <c r="B627" i="21" s="1"/>
  <c r="B626" i="21" a="1"/>
  <c r="B626" i="21" s="1"/>
  <c r="A626" i="21"/>
  <c r="B625" i="21" a="1"/>
  <c r="B625" i="21"/>
  <c r="A625" i="21"/>
  <c r="A624" i="21"/>
  <c r="B624" i="21" s="1" a="1"/>
  <c r="B624" i="21" s="1"/>
  <c r="B623" i="21" a="1"/>
  <c r="B623" i="21" s="1"/>
  <c r="A623" i="21"/>
  <c r="B622" i="21" a="1"/>
  <c r="B622" i="21" s="1"/>
  <c r="A622" i="21"/>
  <c r="B621" i="21" a="1"/>
  <c r="B621" i="21" s="1"/>
  <c r="A621" i="21"/>
  <c r="B620" i="21" a="1"/>
  <c r="B620" i="21" s="1"/>
  <c r="A620" i="21"/>
  <c r="B619" i="21" a="1"/>
  <c r="B619" i="21"/>
  <c r="A619" i="21"/>
  <c r="A618" i="21"/>
  <c r="B618" i="21" s="1" a="1"/>
  <c r="B618" i="21" s="1"/>
  <c r="B617" i="21" a="1"/>
  <c r="B617" i="21" s="1"/>
  <c r="A617" i="21"/>
  <c r="A616" i="21"/>
  <c r="B616" i="21" s="1" a="1"/>
  <c r="B616" i="21" s="1"/>
  <c r="A615" i="21"/>
  <c r="B615" i="21" s="1" a="1"/>
  <c r="B615" i="21" s="1"/>
  <c r="B614" i="21" a="1"/>
  <c r="B614" i="21" s="1"/>
  <c r="A614" i="21"/>
  <c r="B613" i="21" a="1"/>
  <c r="B613" i="21" s="1"/>
  <c r="A613" i="21"/>
  <c r="B612" i="21" a="1"/>
  <c r="B612" i="21"/>
  <c r="A612" i="21"/>
  <c r="A611" i="21"/>
  <c r="B611" i="21" s="1" a="1"/>
  <c r="B611" i="21" s="1"/>
  <c r="B610" i="21" a="1"/>
  <c r="B610" i="21" s="1"/>
  <c r="A610" i="21"/>
  <c r="B609" i="21" a="1"/>
  <c r="B609" i="21"/>
  <c r="A609" i="21"/>
  <c r="A608" i="21"/>
  <c r="B608" i="21" s="1" a="1"/>
  <c r="B608" i="21" s="1"/>
  <c r="B607" i="21" a="1"/>
  <c r="B607" i="21"/>
  <c r="A607" i="21"/>
  <c r="A606" i="21"/>
  <c r="B606" i="21" s="1" a="1"/>
  <c r="B606" i="21" s="1"/>
  <c r="B605" i="21" a="1"/>
  <c r="B605" i="21" s="1"/>
  <c r="A605" i="21"/>
  <c r="B604" i="21" a="1"/>
  <c r="B604" i="21" s="1"/>
  <c r="A604" i="21"/>
  <c r="B603" i="21" a="1"/>
  <c r="B603" i="21" s="1"/>
  <c r="A603" i="21"/>
  <c r="A602" i="21"/>
  <c r="B602" i="21" s="1" a="1"/>
  <c r="B602" i="21" s="1"/>
  <c r="B601" i="21" a="1"/>
  <c r="B601" i="21" s="1"/>
  <c r="A601" i="21"/>
  <c r="B600" i="21" a="1"/>
  <c r="B600" i="21" s="1"/>
  <c r="A600" i="21"/>
  <c r="B599" i="21" a="1"/>
  <c r="B599" i="21" s="1"/>
  <c r="A599" i="21"/>
  <c r="B598" i="21" a="1"/>
  <c r="B598" i="21" s="1"/>
  <c r="A598" i="21"/>
  <c r="B597" i="21" a="1"/>
  <c r="B597" i="21"/>
  <c r="A597" i="21"/>
  <c r="A596" i="21"/>
  <c r="B596" i="21" s="1" a="1"/>
  <c r="B596" i="21" s="1"/>
  <c r="A595" i="21"/>
  <c r="B595" i="21" s="1" a="1"/>
  <c r="B595" i="21" s="1"/>
  <c r="A594" i="21"/>
  <c r="B594" i="21" s="1" a="1"/>
  <c r="B594" i="21" s="1"/>
  <c r="B593" i="21" a="1"/>
  <c r="B593" i="21" s="1"/>
  <c r="A593" i="21"/>
  <c r="A592" i="21"/>
  <c r="B592" i="21" s="1" a="1"/>
  <c r="B592" i="21" s="1"/>
  <c r="A591" i="21"/>
  <c r="B591" i="21" s="1" a="1"/>
  <c r="B591" i="21" s="1"/>
  <c r="A590" i="21"/>
  <c r="B590" i="21" s="1" a="1"/>
  <c r="B590" i="21" s="1"/>
  <c r="B589" i="21" a="1"/>
  <c r="B589" i="21" s="1"/>
  <c r="A589" i="21"/>
  <c r="B588" i="21" a="1"/>
  <c r="B588" i="21" s="1"/>
  <c r="A588" i="21"/>
  <c r="B587" i="21" a="1"/>
  <c r="B587" i="21" s="1"/>
  <c r="A587" i="21"/>
  <c r="B586" i="21" a="1"/>
  <c r="B586" i="21" s="1"/>
  <c r="A586" i="21"/>
  <c r="B585" i="21" a="1"/>
  <c r="B585" i="21" s="1"/>
  <c r="A585" i="21"/>
  <c r="B584" i="21" a="1"/>
  <c r="B584" i="21" s="1"/>
  <c r="A584" i="21"/>
  <c r="A583" i="21"/>
  <c r="B583" i="21" s="1" a="1"/>
  <c r="B583" i="21" s="1"/>
  <c r="A582" i="21"/>
  <c r="B582" i="21" s="1" a="1"/>
  <c r="B582" i="21" s="1"/>
  <c r="B581" i="21" a="1"/>
  <c r="B581" i="21" s="1"/>
  <c r="A581" i="21"/>
  <c r="B580" i="21"/>
  <c r="A580" i="21"/>
  <c r="B580" i="21" s="1" a="1"/>
  <c r="A579" i="21"/>
  <c r="B579" i="21" s="1" a="1"/>
  <c r="B579" i="21" s="1"/>
  <c r="B578" i="21" a="1"/>
  <c r="B578" i="21" s="1"/>
  <c r="A578" i="21"/>
  <c r="B577" i="21" a="1"/>
  <c r="B577" i="21" s="1"/>
  <c r="A577" i="21"/>
  <c r="A576" i="21"/>
  <c r="B576" i="21" s="1" a="1"/>
  <c r="B576" i="21" s="1"/>
  <c r="B575" i="21" a="1"/>
  <c r="B575" i="21" s="1"/>
  <c r="A575" i="21"/>
  <c r="A574" i="21"/>
  <c r="B574" i="21" s="1" a="1"/>
  <c r="B574" i="21" s="1"/>
  <c r="B573" i="21" a="1"/>
  <c r="B573" i="21" s="1"/>
  <c r="A573" i="21"/>
  <c r="B572" i="21" a="1"/>
  <c r="B572" i="21"/>
  <c r="A572" i="21"/>
  <c r="A571" i="21"/>
  <c r="B571" i="21" s="1" a="1"/>
  <c r="B571" i="21" s="1"/>
  <c r="A570" i="21"/>
  <c r="B570" i="21" s="1" a="1"/>
  <c r="B570" i="21" s="1"/>
  <c r="B569" i="21" a="1"/>
  <c r="B569" i="21" s="1"/>
  <c r="A569" i="21"/>
  <c r="B568" i="21" a="1"/>
  <c r="B568" i="21" s="1"/>
  <c r="A568" i="21"/>
  <c r="A567" i="21"/>
  <c r="B567" i="21" s="1" a="1"/>
  <c r="B567" i="21" s="1"/>
  <c r="B566" i="21" a="1"/>
  <c r="B566" i="21" s="1"/>
  <c r="A566" i="21"/>
  <c r="B565" i="21" a="1"/>
  <c r="B565" i="21" s="1"/>
  <c r="A565" i="21"/>
  <c r="A564" i="21"/>
  <c r="B564" i="21" s="1" a="1"/>
  <c r="B564" i="21" s="1"/>
  <c r="B563" i="21" a="1"/>
  <c r="B563" i="21" s="1"/>
  <c r="A563" i="21"/>
  <c r="B562" i="21" a="1"/>
  <c r="B562" i="21" s="1"/>
  <c r="A562" i="21"/>
  <c r="B561" i="21" a="1"/>
  <c r="B561" i="21"/>
  <c r="A561" i="21"/>
  <c r="A560" i="21"/>
  <c r="B560" i="21" s="1" a="1"/>
  <c r="B560" i="21" s="1"/>
  <c r="B559" i="21" a="1"/>
  <c r="B559" i="21"/>
  <c r="A559" i="21"/>
  <c r="A558" i="21"/>
  <c r="B558" i="21" s="1" a="1"/>
  <c r="B558" i="21" s="1"/>
  <c r="B557" i="21" a="1"/>
  <c r="B557" i="21" s="1"/>
  <c r="A557" i="21"/>
  <c r="B556" i="21" a="1"/>
  <c r="B556" i="21"/>
  <c r="A556" i="21"/>
  <c r="B555" i="21" a="1"/>
  <c r="B555" i="21" s="1"/>
  <c r="A555" i="21"/>
  <c r="A554" i="21"/>
  <c r="B554" i="21" s="1" a="1"/>
  <c r="B554" i="21" s="1"/>
  <c r="B553" i="21" a="1"/>
  <c r="B553" i="21" s="1"/>
  <c r="A553" i="21"/>
  <c r="A552" i="21"/>
  <c r="B552" i="21" s="1" a="1"/>
  <c r="B552" i="21" s="1"/>
  <c r="A551" i="21"/>
  <c r="B551" i="21" s="1" a="1"/>
  <c r="B551" i="21" s="1"/>
  <c r="B550" i="21" a="1"/>
  <c r="B550" i="21" s="1"/>
  <c r="A550" i="21"/>
  <c r="B549" i="21" a="1"/>
  <c r="B549" i="21"/>
  <c r="A549" i="21"/>
  <c r="A548" i="21"/>
  <c r="B548" i="21" s="1" a="1"/>
  <c r="B548" i="21" s="1"/>
  <c r="A547" i="21"/>
  <c r="B547" i="21" s="1" a="1"/>
  <c r="B547" i="21" s="1"/>
  <c r="A546" i="21"/>
  <c r="B546" i="21" s="1" a="1"/>
  <c r="B546" i="21" s="1"/>
  <c r="B545" i="21" a="1"/>
  <c r="B545" i="21"/>
  <c r="A545" i="21"/>
  <c r="B544" i="21" a="1"/>
  <c r="B544" i="21" s="1"/>
  <c r="A544" i="21"/>
  <c r="B543" i="21" a="1"/>
  <c r="B543" i="21" s="1"/>
  <c r="A543" i="21"/>
  <c r="A542" i="21"/>
  <c r="B542" i="21" s="1" a="1"/>
  <c r="B542" i="21" s="1"/>
  <c r="B541" i="21" a="1"/>
  <c r="B541" i="21" s="1"/>
  <c r="A541" i="21"/>
  <c r="B540" i="21" a="1"/>
  <c r="B540" i="21" s="1"/>
  <c r="A540" i="21"/>
  <c r="B539" i="21" a="1"/>
  <c r="B539" i="21" s="1"/>
  <c r="A539" i="21"/>
  <c r="A538" i="21"/>
  <c r="B538" i="21" s="1" a="1"/>
  <c r="B538" i="21" s="1"/>
  <c r="B537" i="21" a="1"/>
  <c r="B537" i="21" s="1"/>
  <c r="A537" i="21"/>
  <c r="B536" i="21" a="1"/>
  <c r="B536" i="21" s="1"/>
  <c r="A536" i="21"/>
  <c r="A535" i="21"/>
  <c r="B535" i="21" s="1" a="1"/>
  <c r="B535" i="21" s="1"/>
  <c r="A534" i="21"/>
  <c r="B534" i="21" s="1" a="1"/>
  <c r="B534" i="21" s="1"/>
  <c r="B533" i="21" a="1"/>
  <c r="B533" i="21"/>
  <c r="A533" i="21"/>
  <c r="A532" i="21"/>
  <c r="B532" i="21" s="1" a="1"/>
  <c r="B532" i="21" s="1"/>
  <c r="A531" i="21"/>
  <c r="B531" i="21" s="1" a="1"/>
  <c r="B531" i="21" s="1"/>
  <c r="A530" i="21"/>
  <c r="B530" i="21" s="1" a="1"/>
  <c r="B530" i="21" s="1"/>
  <c r="B529" i="21" a="1"/>
  <c r="B529" i="21" s="1"/>
  <c r="A529" i="21"/>
  <c r="A528" i="21"/>
  <c r="B528" i="21" s="1" a="1"/>
  <c r="B528" i="21" s="1"/>
  <c r="B527" i="21" a="1"/>
  <c r="B527" i="21"/>
  <c r="A527" i="21"/>
  <c r="A526" i="21"/>
  <c r="B526" i="21" s="1" a="1"/>
  <c r="B526" i="21" s="1"/>
  <c r="B525" i="21" a="1"/>
  <c r="B525" i="21"/>
  <c r="A525" i="21"/>
  <c r="B524" i="21" a="1"/>
  <c r="B524" i="21" s="1"/>
  <c r="A524" i="21"/>
  <c r="A523" i="21"/>
  <c r="B523" i="21" s="1" a="1"/>
  <c r="B523" i="21" s="1"/>
  <c r="A522" i="21"/>
  <c r="B522" i="21" s="1" a="1"/>
  <c r="B522" i="21" s="1"/>
  <c r="B521" i="21" a="1"/>
  <c r="B521" i="21"/>
  <c r="A521" i="21"/>
  <c r="B520" i="21" a="1"/>
  <c r="B520" i="21" s="1"/>
  <c r="A520" i="21"/>
  <c r="A519" i="21"/>
  <c r="B519" i="21" s="1" a="1"/>
  <c r="B519" i="21" s="1"/>
  <c r="B518" i="21" a="1"/>
  <c r="B518" i="21" s="1"/>
  <c r="A518" i="21"/>
  <c r="B517" i="21" a="1"/>
  <c r="B517" i="21" s="1"/>
  <c r="A517" i="21"/>
  <c r="A516" i="21"/>
  <c r="B516" i="21" s="1" a="1"/>
  <c r="B516" i="21" s="1"/>
  <c r="B515" i="21" a="1"/>
  <c r="B515" i="21" s="1"/>
  <c r="A515" i="21"/>
  <c r="B514" i="21" a="1"/>
  <c r="B514" i="21" s="1"/>
  <c r="A514" i="21"/>
  <c r="B513" i="21" a="1"/>
  <c r="B513" i="21"/>
  <c r="A513" i="21"/>
  <c r="A512" i="21"/>
  <c r="B512" i="21" s="1" a="1"/>
  <c r="B512" i="21" s="1"/>
  <c r="B511" i="21" a="1"/>
  <c r="B511" i="21" s="1"/>
  <c r="A511" i="21"/>
  <c r="A510" i="21"/>
  <c r="B510" i="21" s="1" a="1"/>
  <c r="B510" i="21" s="1"/>
  <c r="B509" i="21" a="1"/>
  <c r="B509" i="21" s="1"/>
  <c r="A509" i="21"/>
  <c r="A508" i="21"/>
  <c r="B508" i="21" s="1" a="1"/>
  <c r="B508" i="21" s="1"/>
  <c r="B507" i="21" a="1"/>
  <c r="B507" i="21"/>
  <c r="A507" i="21"/>
  <c r="A506" i="21"/>
  <c r="B506" i="21" s="1" a="1"/>
  <c r="B506" i="21" s="1"/>
  <c r="B505" i="21" a="1"/>
  <c r="B505" i="21" s="1"/>
  <c r="A505" i="21"/>
  <c r="A504" i="21"/>
  <c r="B504" i="21" s="1" a="1"/>
  <c r="B504" i="21" s="1"/>
  <c r="B503" i="21" a="1"/>
  <c r="B503" i="21"/>
  <c r="A503" i="21"/>
  <c r="A502" i="21"/>
  <c r="B502" i="21" s="1" a="1"/>
  <c r="B502" i="21" s="1"/>
  <c r="B501" i="21" a="1"/>
  <c r="B501" i="21"/>
  <c r="A501" i="21"/>
  <c r="A500" i="21"/>
  <c r="B500" i="21" s="1" a="1"/>
  <c r="B500" i="21" s="1"/>
  <c r="B499" i="21" a="1"/>
  <c r="B499" i="21" s="1"/>
  <c r="A499" i="21"/>
  <c r="A498" i="21"/>
  <c r="B498" i="21" s="1" a="1"/>
  <c r="B498" i="21" s="1"/>
  <c r="B497" i="21" a="1"/>
  <c r="B497" i="21"/>
  <c r="A497" i="21"/>
  <c r="A496" i="21"/>
  <c r="B496" i="21" s="1" a="1"/>
  <c r="B496" i="21" s="1"/>
  <c r="B495" i="21" a="1"/>
  <c r="B495" i="21" s="1"/>
  <c r="A495" i="21"/>
  <c r="A494" i="21"/>
  <c r="B494" i="21" s="1" a="1"/>
  <c r="B494" i="21" s="1"/>
  <c r="B493" i="21" a="1"/>
  <c r="B493" i="21"/>
  <c r="A493" i="21"/>
  <c r="B492" i="21"/>
  <c r="A492" i="21"/>
  <c r="B492" i="21" s="1" a="1"/>
  <c r="B491" i="21" a="1"/>
  <c r="B491" i="21"/>
  <c r="A491" i="21"/>
  <c r="B490" i="21"/>
  <c r="A490" i="21"/>
  <c r="B490" i="21" s="1" a="1"/>
  <c r="B489" i="21" a="1"/>
  <c r="B489" i="21" s="1"/>
  <c r="A489" i="21"/>
  <c r="A488" i="21"/>
  <c r="B488" i="21" s="1" a="1"/>
  <c r="B488" i="21" s="1"/>
  <c r="B487" i="21" a="1"/>
  <c r="B487" i="21" s="1"/>
  <c r="A487" i="21"/>
  <c r="A486" i="21"/>
  <c r="B486" i="21" s="1" a="1"/>
  <c r="B486" i="21" s="1"/>
  <c r="A485" i="21"/>
  <c r="B485" i="21" s="1" a="1"/>
  <c r="B485" i="21" s="1"/>
  <c r="A484" i="21"/>
  <c r="B484" i="21" s="1" a="1"/>
  <c r="B484" i="21" s="1"/>
  <c r="B483" i="21" a="1"/>
  <c r="B483" i="21"/>
  <c r="A483" i="21"/>
  <c r="B482" i="21" a="1"/>
  <c r="B482" i="21" s="1"/>
  <c r="A482" i="21"/>
  <c r="A481" i="21"/>
  <c r="B481" i="21" s="1" a="1"/>
  <c r="B481" i="21" s="1"/>
  <c r="B480" i="21" a="1"/>
  <c r="B480" i="21" s="1"/>
  <c r="A480" i="21"/>
  <c r="B479" i="21" a="1"/>
  <c r="B479" i="21"/>
  <c r="A479" i="21"/>
  <c r="B478" i="21" a="1"/>
  <c r="B478" i="21" s="1"/>
  <c r="A478" i="21"/>
  <c r="A477" i="21"/>
  <c r="B477" i="21" s="1" a="1"/>
  <c r="B477" i="21" s="1"/>
  <c r="A476" i="21"/>
  <c r="B476" i="21" s="1" a="1"/>
  <c r="B476" i="21" s="1"/>
  <c r="B475" i="21" a="1"/>
  <c r="B475" i="21"/>
  <c r="A475" i="21"/>
  <c r="A474" i="21"/>
  <c r="B474" i="21" s="1" a="1"/>
  <c r="B474" i="21" s="1"/>
  <c r="A473" i="21"/>
  <c r="B473" i="21" s="1" a="1"/>
  <c r="B473" i="21" s="1"/>
  <c r="A472" i="21"/>
  <c r="B472" i="21" s="1" a="1"/>
  <c r="B472" i="21" s="1"/>
  <c r="B471" i="21" a="1"/>
  <c r="B471" i="21" s="1"/>
  <c r="A471" i="21"/>
  <c r="A470" i="21"/>
  <c r="B470" i="21" s="1" a="1"/>
  <c r="B470" i="21" s="1"/>
  <c r="B469" i="21"/>
  <c r="A469" i="21"/>
  <c r="B469" i="21" s="1" a="1"/>
  <c r="B468" i="21" a="1"/>
  <c r="B468" i="21" s="1"/>
  <c r="A468" i="21"/>
  <c r="B467" i="21" a="1"/>
  <c r="B467" i="21" s="1"/>
  <c r="A467" i="21"/>
  <c r="B466" i="21" a="1"/>
  <c r="B466" i="21" s="1"/>
  <c r="A466" i="21"/>
  <c r="A465" i="21"/>
  <c r="B465" i="21" s="1" a="1"/>
  <c r="B465" i="21" s="1"/>
  <c r="A464" i="21"/>
  <c r="B464" i="21" s="1" a="1"/>
  <c r="B464" i="21" s="1"/>
  <c r="B463" i="21" a="1"/>
  <c r="B463" i="21" s="1"/>
  <c r="A463" i="21"/>
  <c r="A462" i="21"/>
  <c r="B462" i="21" s="1" a="1"/>
  <c r="B462" i="21" s="1"/>
  <c r="B461" i="21"/>
  <c r="A461" i="21"/>
  <c r="B461" i="21" s="1" a="1"/>
  <c r="A460" i="21"/>
  <c r="B460" i="21" s="1" a="1"/>
  <c r="B460" i="21" s="1"/>
  <c r="B459" i="21" a="1"/>
  <c r="B459" i="21"/>
  <c r="A459" i="21"/>
  <c r="B458" i="21" a="1"/>
  <c r="B458" i="21" s="1"/>
  <c r="A458" i="21"/>
  <c r="A457" i="21"/>
  <c r="B457" i="21" s="1" a="1"/>
  <c r="B457" i="21" s="1"/>
  <c r="B456" i="21" a="1"/>
  <c r="B456" i="21" s="1"/>
  <c r="A456" i="21"/>
  <c r="B455" i="21" a="1"/>
  <c r="B455" i="21" s="1"/>
  <c r="A455" i="21"/>
  <c r="B454" i="21" a="1"/>
  <c r="B454" i="21" s="1"/>
  <c r="A454" i="21"/>
  <c r="A453" i="21"/>
  <c r="B453" i="21" s="1" a="1"/>
  <c r="B453" i="21" s="1"/>
  <c r="A452" i="21"/>
  <c r="B452" i="21" s="1" a="1"/>
  <c r="B452" i="21" s="1"/>
  <c r="B451" i="21" a="1"/>
  <c r="B451" i="21" s="1"/>
  <c r="A451" i="21"/>
  <c r="B450" i="21" a="1"/>
  <c r="B450" i="21" s="1"/>
  <c r="A450" i="21"/>
  <c r="A449" i="21"/>
  <c r="B449" i="21" s="1" a="1"/>
  <c r="B449" i="21" s="1"/>
  <c r="A448" i="21"/>
  <c r="B448" i="21" s="1" a="1"/>
  <c r="B448" i="21" s="1"/>
  <c r="B447" i="21" a="1"/>
  <c r="B447" i="21" s="1"/>
  <c r="A447" i="21"/>
  <c r="A446" i="21"/>
  <c r="B446" i="21" s="1" a="1"/>
  <c r="B446" i="21" s="1"/>
  <c r="A445" i="21"/>
  <c r="B445" i="21" s="1" a="1"/>
  <c r="B445" i="21" s="1"/>
  <c r="B444" i="21" a="1"/>
  <c r="B444" i="21" s="1"/>
  <c r="A444" i="21"/>
  <c r="B443" i="21" a="1"/>
  <c r="B443" i="21" s="1"/>
  <c r="A443" i="21"/>
  <c r="B442" i="21" a="1"/>
  <c r="B442" i="21" s="1"/>
  <c r="A442" i="21"/>
  <c r="A441" i="21"/>
  <c r="B441" i="21" s="1" a="1"/>
  <c r="B441" i="21" s="1"/>
  <c r="A440" i="21"/>
  <c r="B440" i="21" s="1" a="1"/>
  <c r="B440" i="21" s="1"/>
  <c r="B439" i="21" a="1"/>
  <c r="B439" i="21" s="1"/>
  <c r="A439" i="21"/>
  <c r="A438" i="21"/>
  <c r="B438" i="21" s="1" a="1"/>
  <c r="B438" i="21" s="1"/>
  <c r="A437" i="21"/>
  <c r="B437" i="21" s="1" a="1"/>
  <c r="B437" i="21" s="1"/>
  <c r="A436" i="21"/>
  <c r="B436" i="21" s="1" a="1"/>
  <c r="B436" i="21" s="1"/>
  <c r="B435" i="21" a="1"/>
  <c r="B435" i="21" s="1"/>
  <c r="A435" i="21"/>
  <c r="B434" i="21" a="1"/>
  <c r="B434" i="21" s="1"/>
  <c r="A434" i="21"/>
  <c r="A433" i="21"/>
  <c r="B433" i="21" s="1" a="1"/>
  <c r="B433" i="21" s="1"/>
  <c r="B432" i="21" a="1"/>
  <c r="B432" i="21" s="1"/>
  <c r="A432" i="21"/>
  <c r="B431" i="21" a="1"/>
  <c r="B431" i="21"/>
  <c r="A431" i="21"/>
  <c r="B430" i="21" a="1"/>
  <c r="B430" i="21"/>
  <c r="A430" i="21"/>
  <c r="A429" i="21"/>
  <c r="B429" i="21" s="1" a="1"/>
  <c r="B429" i="21" s="1"/>
  <c r="A428" i="21"/>
  <c r="B428" i="21" s="1" a="1"/>
  <c r="B428" i="21" s="1"/>
  <c r="B427" i="21" a="1"/>
  <c r="B427" i="21" s="1"/>
  <c r="A427" i="21"/>
  <c r="A426" i="21"/>
  <c r="B426" i="21" s="1" a="1"/>
  <c r="B426" i="21" s="1"/>
  <c r="A425" i="21"/>
  <c r="B425" i="21" s="1" a="1"/>
  <c r="B425" i="21" s="1"/>
  <c r="A424" i="21"/>
  <c r="B424" i="21" s="1" a="1"/>
  <c r="B424" i="21" s="1"/>
  <c r="B423" i="21" a="1"/>
  <c r="B423" i="21" s="1"/>
  <c r="A423" i="21"/>
  <c r="A422" i="21"/>
  <c r="B422" i="21" s="1" a="1"/>
  <c r="B422" i="21" s="1"/>
  <c r="B421" i="21"/>
  <c r="A421" i="21"/>
  <c r="B421" i="21" s="1" a="1"/>
  <c r="B420" i="21" a="1"/>
  <c r="B420" i="21"/>
  <c r="A420" i="21"/>
  <c r="B419" i="21" a="1"/>
  <c r="B419" i="21" s="1"/>
  <c r="A419" i="21"/>
  <c r="B418" i="21" a="1"/>
  <c r="B418" i="21" s="1"/>
  <c r="A418" i="21"/>
  <c r="B417" i="21"/>
  <c r="A417" i="21"/>
  <c r="B417" i="21" s="1" a="1"/>
  <c r="A416" i="21"/>
  <c r="B416" i="21" s="1" a="1"/>
  <c r="B416" i="21" s="1"/>
  <c r="B415" i="21" a="1"/>
  <c r="B415" i="21" s="1"/>
  <c r="A415" i="21"/>
  <c r="A414" i="21"/>
  <c r="B414" i="21" s="1" a="1"/>
  <c r="B414" i="21" s="1"/>
  <c r="A413" i="21"/>
  <c r="B413" i="21" s="1" a="1"/>
  <c r="B413" i="21" s="1"/>
  <c r="A412" i="21"/>
  <c r="B412" i="21" s="1" a="1"/>
  <c r="B412" i="21" s="1"/>
  <c r="B411" i="21" a="1"/>
  <c r="B411" i="21"/>
  <c r="A411" i="21"/>
  <c r="B410" i="21" a="1"/>
  <c r="B410" i="21" s="1"/>
  <c r="A410" i="21"/>
  <c r="A409" i="21"/>
  <c r="B409" i="21" s="1" a="1"/>
  <c r="B409" i="21" s="1"/>
  <c r="B408" i="21" a="1"/>
  <c r="B408" i="21" s="1"/>
  <c r="A408" i="21"/>
  <c r="B407" i="21" a="1"/>
  <c r="B407" i="21" s="1"/>
  <c r="A407" i="21"/>
  <c r="B406" i="21" a="1"/>
  <c r="B406" i="21"/>
  <c r="A406" i="21"/>
  <c r="A405" i="21"/>
  <c r="B405" i="21" s="1" a="1"/>
  <c r="B405" i="21" s="1"/>
  <c r="A404" i="21"/>
  <c r="B404" i="21" s="1" a="1"/>
  <c r="B404" i="21" s="1"/>
  <c r="B403" i="21" a="1"/>
  <c r="B403" i="21" s="1"/>
  <c r="A403" i="21"/>
  <c r="B402" i="21" a="1"/>
  <c r="B402" i="21" s="1"/>
  <c r="A402" i="21"/>
  <c r="A401" i="21"/>
  <c r="B401" i="21" s="1" a="1"/>
  <c r="B401" i="21" s="1"/>
  <c r="A400" i="21"/>
  <c r="B400" i="21" s="1" a="1"/>
  <c r="B400" i="21" s="1"/>
  <c r="B399" i="21" a="1"/>
  <c r="B399" i="21" s="1"/>
  <c r="A399" i="21"/>
  <c r="A398" i="21"/>
  <c r="B398" i="21" s="1" a="1"/>
  <c r="B398" i="21" s="1"/>
  <c r="A397" i="21"/>
  <c r="B397" i="21" s="1" a="1"/>
  <c r="B397" i="21" s="1"/>
  <c r="B396" i="21" a="1"/>
  <c r="B396" i="21" s="1"/>
  <c r="A396" i="21"/>
  <c r="B395" i="21" a="1"/>
  <c r="B395" i="21" s="1"/>
  <c r="A395" i="21"/>
  <c r="B394" i="21" a="1"/>
  <c r="B394" i="21" s="1"/>
  <c r="A394" i="21"/>
  <c r="A393" i="21"/>
  <c r="B393" i="21" s="1" a="1"/>
  <c r="B393" i="21" s="1"/>
  <c r="A392" i="21"/>
  <c r="B392" i="21" s="1" a="1"/>
  <c r="B392" i="21" s="1"/>
  <c r="B391" i="21" a="1"/>
  <c r="B391" i="21" s="1"/>
  <c r="A391" i="21"/>
  <c r="A390" i="21"/>
  <c r="B390" i="21" s="1" a="1"/>
  <c r="B390" i="21" s="1"/>
  <c r="A389" i="21"/>
  <c r="B389" i="21" s="1" a="1"/>
  <c r="B389" i="21" s="1"/>
  <c r="A388" i="21"/>
  <c r="B388" i="21" s="1" a="1"/>
  <c r="B388" i="21" s="1"/>
  <c r="B387" i="21" a="1"/>
  <c r="B387" i="21" s="1"/>
  <c r="A387" i="21"/>
  <c r="B386" i="21" a="1"/>
  <c r="B386" i="21" s="1"/>
  <c r="A386" i="21"/>
  <c r="A385" i="21"/>
  <c r="B385" i="21" s="1" a="1"/>
  <c r="B385" i="21" s="1"/>
  <c r="B384" i="21" a="1"/>
  <c r="B384" i="21" s="1"/>
  <c r="A384" i="21"/>
  <c r="B383" i="21" a="1"/>
  <c r="B383" i="21" s="1"/>
  <c r="A383" i="21"/>
  <c r="B382" i="21" a="1"/>
  <c r="B382" i="21"/>
  <c r="A382" i="21"/>
  <c r="A381" i="21"/>
  <c r="B381" i="21" s="1" a="1"/>
  <c r="B381" i="21" s="1"/>
  <c r="A380" i="21"/>
  <c r="B380" i="21" s="1" a="1"/>
  <c r="B380" i="21" s="1"/>
  <c r="B379" i="21" a="1"/>
  <c r="B379" i="21"/>
  <c r="A379" i="21"/>
  <c r="B378" i="21" a="1"/>
  <c r="B378" i="21" s="1"/>
  <c r="A378" i="21"/>
  <c r="A377" i="21"/>
  <c r="B377" i="21" s="1" a="1"/>
  <c r="B377" i="21" s="1"/>
  <c r="A376" i="21"/>
  <c r="B376" i="21" s="1" a="1"/>
  <c r="B376" i="21" s="1"/>
  <c r="B375" i="21" a="1"/>
  <c r="B375" i="21" s="1"/>
  <c r="A375" i="21"/>
  <c r="A374" i="21"/>
  <c r="B374" i="21" s="1" a="1"/>
  <c r="B374" i="21" s="1"/>
  <c r="A373" i="21"/>
  <c r="B373" i="21" s="1" a="1"/>
  <c r="B373" i="21" s="1"/>
  <c r="B372" i="21" a="1"/>
  <c r="B372" i="21" s="1"/>
  <c r="A372" i="21"/>
  <c r="B371" i="21" a="1"/>
  <c r="B371" i="21"/>
  <c r="A371" i="21"/>
  <c r="B370" i="21" a="1"/>
  <c r="B370" i="21" s="1"/>
  <c r="A370" i="21"/>
  <c r="A369" i="21"/>
  <c r="B369" i="21" s="1" a="1"/>
  <c r="B369" i="21" s="1"/>
  <c r="A368" i="21"/>
  <c r="B368" i="21" s="1" a="1"/>
  <c r="B368" i="21" s="1"/>
  <c r="B367" i="21" a="1"/>
  <c r="B367" i="21" s="1"/>
  <c r="A367" i="21"/>
  <c r="A366" i="21"/>
  <c r="B366" i="21" s="1" a="1"/>
  <c r="B366" i="21" s="1"/>
  <c r="B365" i="21"/>
  <c r="A365" i="21"/>
  <c r="B365" i="21" s="1" a="1"/>
  <c r="A364" i="21"/>
  <c r="B364" i="21" s="1" a="1"/>
  <c r="B364" i="21" s="1"/>
  <c r="B363" i="21" a="1"/>
  <c r="B363" i="21" s="1"/>
  <c r="A363" i="21"/>
  <c r="B362" i="21" a="1"/>
  <c r="B362" i="21" s="1"/>
  <c r="A362" i="21"/>
  <c r="A361" i="21"/>
  <c r="B361" i="21" s="1" a="1"/>
  <c r="B361" i="21" s="1"/>
  <c r="B360" i="21" a="1"/>
  <c r="B360" i="21" s="1"/>
  <c r="A360" i="21"/>
  <c r="B359" i="21" a="1"/>
  <c r="B359" i="21"/>
  <c r="A359" i="21"/>
  <c r="B358" i="21" a="1"/>
  <c r="B358" i="21" s="1"/>
  <c r="A358" i="21"/>
  <c r="A357" i="21"/>
  <c r="B357" i="21" s="1" a="1"/>
  <c r="B357" i="21" s="1"/>
  <c r="A356" i="21"/>
  <c r="B356" i="21" s="1" a="1"/>
  <c r="B356" i="21" s="1"/>
  <c r="B355" i="21" a="1"/>
  <c r="B355" i="21" s="1"/>
  <c r="A355" i="21"/>
  <c r="A354" i="21"/>
  <c r="B354" i="21" s="1" a="1"/>
  <c r="B354" i="21" s="1"/>
  <c r="A353" i="21"/>
  <c r="B353" i="21" s="1" a="1"/>
  <c r="B353" i="21" s="1"/>
  <c r="A352" i="21"/>
  <c r="B352" i="21" s="1" a="1"/>
  <c r="B352" i="21" s="1"/>
  <c r="B351" i="21" a="1"/>
  <c r="B351" i="21" s="1"/>
  <c r="A351" i="21"/>
  <c r="A350" i="21"/>
  <c r="B350" i="21" s="1" a="1"/>
  <c r="B350" i="21" s="1"/>
  <c r="A349" i="21"/>
  <c r="B349" i="21" s="1" a="1"/>
  <c r="B349" i="21" s="1"/>
  <c r="B348" i="21" a="1"/>
  <c r="B348" i="21"/>
  <c r="A348" i="21"/>
  <c r="B347" i="21" a="1"/>
  <c r="B347" i="21" s="1"/>
  <c r="A347" i="21"/>
  <c r="B346" i="21" a="1"/>
  <c r="B346" i="21" s="1"/>
  <c r="A346" i="21"/>
  <c r="B345" i="21"/>
  <c r="A345" i="21"/>
  <c r="B345" i="21" s="1" a="1"/>
  <c r="B344" i="21"/>
  <c r="A344" i="21"/>
  <c r="B344" i="21" s="1" a="1"/>
  <c r="B343" i="21" a="1"/>
  <c r="B343" i="21" s="1"/>
  <c r="A343" i="21"/>
  <c r="A342" i="21"/>
  <c r="B342" i="21" s="1" a="1"/>
  <c r="B342" i="21" s="1"/>
  <c r="B341" i="21"/>
  <c r="A341" i="21"/>
  <c r="B341" i="21" s="1" a="1"/>
  <c r="A340" i="21"/>
  <c r="B340" i="21" s="1" a="1"/>
  <c r="B340" i="21" s="1"/>
  <c r="B339" i="21" a="1"/>
  <c r="B339" i="21"/>
  <c r="A339" i="21"/>
  <c r="B338" i="21" a="1"/>
  <c r="B338" i="21" s="1"/>
  <c r="A338" i="21"/>
  <c r="A337" i="21"/>
  <c r="B337" i="21" s="1" a="1"/>
  <c r="B337" i="21" s="1"/>
  <c r="B336" i="21" a="1"/>
  <c r="B336" i="21"/>
  <c r="A336" i="21"/>
  <c r="B335" i="21" a="1"/>
  <c r="B335" i="21" s="1"/>
  <c r="A335" i="21"/>
  <c r="B334" i="21" a="1"/>
  <c r="B334" i="21"/>
  <c r="A334" i="21"/>
  <c r="A333" i="21"/>
  <c r="B333" i="21" s="1" a="1"/>
  <c r="B333" i="21" s="1"/>
  <c r="A332" i="21"/>
  <c r="B332" i="21" s="1" a="1"/>
  <c r="B332" i="21" s="1"/>
  <c r="B331" i="21" a="1"/>
  <c r="B331" i="21" s="1"/>
  <c r="A331" i="21"/>
  <c r="A330" i="21"/>
  <c r="B330" i="21" s="1" a="1"/>
  <c r="B330" i="21" s="1"/>
  <c r="A329" i="21"/>
  <c r="B329" i="21" s="1" a="1"/>
  <c r="B329" i="21" s="1"/>
  <c r="A328" i="21"/>
  <c r="B328" i="21" s="1" a="1"/>
  <c r="B328" i="21" s="1"/>
  <c r="B327" i="21" a="1"/>
  <c r="B327" i="21" s="1"/>
  <c r="A327" i="21"/>
  <c r="A326" i="21"/>
  <c r="B326" i="21" s="1" a="1"/>
  <c r="B326" i="21" s="1"/>
  <c r="B325" i="21"/>
  <c r="A325" i="21"/>
  <c r="B325" i="21" s="1" a="1"/>
  <c r="B324" i="21" a="1"/>
  <c r="B324" i="21" s="1"/>
  <c r="A324" i="21"/>
  <c r="B323" i="21" a="1"/>
  <c r="B323" i="21"/>
  <c r="A323" i="21"/>
  <c r="B322" i="21" a="1"/>
  <c r="B322" i="21" s="1"/>
  <c r="A322" i="21"/>
  <c r="A321" i="21"/>
  <c r="B321" i="21" s="1" a="1"/>
  <c r="B321" i="21" s="1"/>
  <c r="A320" i="21"/>
  <c r="B320" i="21" s="1" a="1"/>
  <c r="B320" i="21" s="1"/>
  <c r="B319" i="21" a="1"/>
  <c r="B319" i="21" s="1"/>
  <c r="A319" i="21"/>
  <c r="A318" i="21"/>
  <c r="B318" i="21" s="1" a="1"/>
  <c r="B318" i="21" s="1"/>
  <c r="B317" i="21"/>
  <c r="A317" i="21"/>
  <c r="B317" i="21" s="1" a="1"/>
  <c r="A316" i="21"/>
  <c r="B316" i="21" s="1" a="1"/>
  <c r="B316" i="21" s="1"/>
  <c r="B315" i="21" a="1"/>
  <c r="B315" i="21"/>
  <c r="A315" i="21"/>
  <c r="B314" i="21" a="1"/>
  <c r="B314" i="21" s="1"/>
  <c r="A314" i="21"/>
  <c r="A313" i="21"/>
  <c r="B313" i="21" s="1" a="1"/>
  <c r="B313" i="21" s="1"/>
  <c r="B312" i="21" a="1"/>
  <c r="B312" i="21" s="1"/>
  <c r="A312" i="21"/>
  <c r="B311" i="21" a="1"/>
  <c r="B311" i="21" s="1"/>
  <c r="A311" i="21"/>
  <c r="B310" i="21" a="1"/>
  <c r="B310" i="21" s="1"/>
  <c r="A310" i="21"/>
  <c r="A309" i="21"/>
  <c r="B309" i="21" s="1" a="1"/>
  <c r="B309" i="21" s="1"/>
  <c r="A308" i="21"/>
  <c r="B308" i="21" s="1" a="1"/>
  <c r="B308" i="21" s="1"/>
  <c r="B307" i="21" a="1"/>
  <c r="B307" i="21" s="1"/>
  <c r="A307" i="21"/>
  <c r="B306" i="21" a="1"/>
  <c r="B306" i="21"/>
  <c r="A306" i="21"/>
  <c r="A305" i="21"/>
  <c r="B305" i="21" s="1" a="1"/>
  <c r="B305" i="21" s="1"/>
  <c r="A304" i="21"/>
  <c r="B304" i="21" s="1" a="1"/>
  <c r="B304" i="21" s="1"/>
  <c r="B303" i="21" a="1"/>
  <c r="B303" i="21" s="1"/>
  <c r="A303" i="21"/>
  <c r="A302" i="21"/>
  <c r="B302" i="21" s="1" a="1"/>
  <c r="B302" i="21" s="1"/>
  <c r="A301" i="21"/>
  <c r="B301" i="21" s="1" a="1"/>
  <c r="B301" i="21" s="1"/>
  <c r="B300" i="21" a="1"/>
  <c r="B300" i="21" s="1"/>
  <c r="A300" i="21"/>
  <c r="B299" i="21" a="1"/>
  <c r="B299" i="21" s="1"/>
  <c r="A299" i="21"/>
  <c r="B298" i="21" a="1"/>
  <c r="B298" i="21" s="1"/>
  <c r="A298" i="21"/>
  <c r="A297" i="21"/>
  <c r="B297" i="21" s="1" a="1"/>
  <c r="B297" i="21" s="1"/>
  <c r="A296" i="21"/>
  <c r="B296" i="21" s="1" a="1"/>
  <c r="B296" i="21" s="1"/>
  <c r="B295" i="21" a="1"/>
  <c r="B295" i="21" s="1"/>
  <c r="A295" i="21"/>
  <c r="A294" i="21"/>
  <c r="B294" i="21" s="1" a="1"/>
  <c r="B294" i="21" s="1"/>
  <c r="B293" i="21"/>
  <c r="A293" i="21"/>
  <c r="B293" i="21" s="1" a="1"/>
  <c r="A292" i="21"/>
  <c r="B292" i="21" s="1" a="1"/>
  <c r="B292" i="21" s="1"/>
  <c r="B291" i="21" a="1"/>
  <c r="B291" i="21" s="1"/>
  <c r="A291" i="21"/>
  <c r="B290" i="21" a="1"/>
  <c r="B290" i="21" s="1"/>
  <c r="A290" i="21"/>
  <c r="A289" i="21"/>
  <c r="B289" i="21" s="1" a="1"/>
  <c r="B289" i="21" s="1"/>
  <c r="B288" i="21" a="1"/>
  <c r="B288" i="21"/>
  <c r="A288" i="21"/>
  <c r="B287" i="21" a="1"/>
  <c r="B287" i="21"/>
  <c r="A287" i="21"/>
  <c r="B286" i="21" a="1"/>
  <c r="B286" i="21" s="1"/>
  <c r="A286" i="21"/>
  <c r="A285" i="21"/>
  <c r="B285" i="21" s="1" a="1"/>
  <c r="B285" i="21" s="1"/>
  <c r="A284" i="21"/>
  <c r="B284" i="21" s="1" a="1"/>
  <c r="B284" i="21" s="1"/>
  <c r="B283" i="21" a="1"/>
  <c r="B283" i="21" s="1"/>
  <c r="A283" i="21"/>
  <c r="A282" i="21"/>
  <c r="B282" i="21" s="1" a="1"/>
  <c r="B282" i="21" s="1"/>
  <c r="A281" i="21"/>
  <c r="B281" i="21" s="1" a="1"/>
  <c r="B281" i="21" s="1"/>
  <c r="A280" i="21"/>
  <c r="B280" i="21" s="1" a="1"/>
  <c r="B280" i="21" s="1"/>
  <c r="B279" i="21" a="1"/>
  <c r="B279" i="21" s="1"/>
  <c r="A279" i="21"/>
  <c r="A278" i="21"/>
  <c r="B278" i="21" s="1" a="1"/>
  <c r="B278" i="21" s="1"/>
  <c r="A277" i="21"/>
  <c r="B277" i="21" s="1" a="1"/>
  <c r="B277" i="21" s="1"/>
  <c r="B276" i="21" a="1"/>
  <c r="B276" i="21" s="1"/>
  <c r="A276" i="21"/>
  <c r="B275" i="21" a="1"/>
  <c r="B275" i="21"/>
  <c r="A275" i="21"/>
  <c r="B274" i="21" a="1"/>
  <c r="B274" i="21" s="1"/>
  <c r="A274" i="21"/>
  <c r="B273" i="21"/>
  <c r="A273" i="21"/>
  <c r="B273" i="21" s="1" a="1"/>
  <c r="A272" i="21"/>
  <c r="B272" i="21" s="1" a="1"/>
  <c r="B272" i="21" s="1"/>
  <c r="B271" i="21" a="1"/>
  <c r="B271" i="21" s="1"/>
  <c r="A271" i="21"/>
  <c r="A270" i="21"/>
  <c r="B270" i="21" s="1" a="1"/>
  <c r="B270" i="21" s="1"/>
  <c r="A269" i="21"/>
  <c r="B269" i="21" s="1" a="1"/>
  <c r="B269" i="21" s="1"/>
  <c r="A268" i="21"/>
  <c r="B268" i="21" s="1" a="1"/>
  <c r="B268" i="21" s="1"/>
  <c r="B267" i="21" a="1"/>
  <c r="B267" i="21"/>
  <c r="A267" i="21"/>
  <c r="B266" i="21" a="1"/>
  <c r="B266" i="21" s="1"/>
  <c r="A266" i="21"/>
  <c r="A265" i="21"/>
  <c r="B265" i="21" s="1" a="1"/>
  <c r="B265" i="21" s="1"/>
  <c r="B264" i="21" a="1"/>
  <c r="B264" i="21" s="1"/>
  <c r="A264" i="21"/>
  <c r="B263" i="21" a="1"/>
  <c r="B263" i="21"/>
  <c r="A263" i="21"/>
  <c r="B262" i="21" a="1"/>
  <c r="B262" i="21" s="1"/>
  <c r="A262" i="21"/>
  <c r="A261" i="21"/>
  <c r="B261" i="21" s="1" a="1"/>
  <c r="B261" i="21" s="1"/>
  <c r="A260" i="21"/>
  <c r="B260" i="21" s="1" a="1"/>
  <c r="B260" i="21" s="1"/>
  <c r="B259" i="21" a="1"/>
  <c r="B259" i="21" s="1"/>
  <c r="A259" i="21"/>
  <c r="A258" i="21"/>
  <c r="B258" i="21" s="1" a="1"/>
  <c r="B258" i="21" s="1"/>
  <c r="A257" i="21"/>
  <c r="B257" i="21" s="1" a="1"/>
  <c r="B257" i="21" s="1"/>
  <c r="A256" i="21"/>
  <c r="B256" i="21" s="1" a="1"/>
  <c r="B256" i="21" s="1"/>
  <c r="B255" i="21" a="1"/>
  <c r="B255" i="21" s="1"/>
  <c r="A255" i="21"/>
  <c r="A254" i="21"/>
  <c r="B254" i="21" s="1" a="1"/>
  <c r="B254" i="21" s="1"/>
  <c r="A253" i="21"/>
  <c r="B253" i="21" s="1" a="1"/>
  <c r="B253" i="21" s="1"/>
  <c r="B252" i="21" a="1"/>
  <c r="B252" i="21"/>
  <c r="A252" i="21"/>
  <c r="B251" i="21" a="1"/>
  <c r="B251" i="21"/>
  <c r="A251" i="21"/>
  <c r="B250" i="21" a="1"/>
  <c r="B250" i="21" s="1"/>
  <c r="A250" i="21"/>
  <c r="A249" i="21"/>
  <c r="B249" i="21" s="1" a="1"/>
  <c r="B249" i="21" s="1"/>
  <c r="A248" i="21"/>
  <c r="B248" i="21" s="1" a="1"/>
  <c r="B248" i="21" s="1"/>
  <c r="B247" i="21" a="1"/>
  <c r="B247" i="21" s="1"/>
  <c r="A247" i="21"/>
  <c r="A246" i="21"/>
  <c r="B246" i="21" s="1" a="1"/>
  <c r="B246" i="21" s="1"/>
  <c r="B245" i="21"/>
  <c r="A245" i="21"/>
  <c r="B245" i="21" s="1" a="1"/>
  <c r="A244" i="21"/>
  <c r="B244" i="21" s="1" a="1"/>
  <c r="B244" i="21" s="1"/>
  <c r="B243" i="21" a="1"/>
  <c r="B243" i="21" s="1"/>
  <c r="A243" i="21"/>
  <c r="B242" i="21" a="1"/>
  <c r="B242" i="21" s="1"/>
  <c r="A242" i="21"/>
  <c r="A241" i="21"/>
  <c r="B241" i="21" s="1" a="1"/>
  <c r="B241" i="21" s="1"/>
  <c r="B240" i="21" a="1"/>
  <c r="B240" i="21" s="1"/>
  <c r="A240" i="21"/>
  <c r="B239" i="21" a="1"/>
  <c r="B239" i="21"/>
  <c r="A239" i="21"/>
  <c r="B238" i="21" a="1"/>
  <c r="B238" i="21" s="1"/>
  <c r="A238" i="21"/>
  <c r="A237" i="21"/>
  <c r="B237" i="21" s="1" a="1"/>
  <c r="B237" i="21" s="1"/>
  <c r="A236" i="21"/>
  <c r="B236" i="21" s="1" a="1"/>
  <c r="B236" i="21" s="1"/>
  <c r="B235" i="21" a="1"/>
  <c r="B235" i="21" s="1"/>
  <c r="A235" i="21"/>
  <c r="B234" i="21" a="1"/>
  <c r="B234" i="21"/>
  <c r="A234" i="21"/>
  <c r="A233" i="21"/>
  <c r="B233" i="21" s="1" a="1"/>
  <c r="B233" i="21" s="1"/>
  <c r="A232" i="21"/>
  <c r="B232" i="21" s="1" a="1"/>
  <c r="B232" i="21" s="1"/>
  <c r="B231" i="21" a="1"/>
  <c r="B231" i="21" s="1"/>
  <c r="A231" i="21"/>
  <c r="A230" i="21"/>
  <c r="B230" i="21" s="1" a="1"/>
  <c r="B230" i="21" s="1"/>
  <c r="A229" i="21"/>
  <c r="B229" i="21" s="1" a="1"/>
  <c r="B229" i="21" s="1"/>
  <c r="B228" i="21" a="1"/>
  <c r="B228" i="21" s="1"/>
  <c r="A228" i="21"/>
  <c r="B227" i="21" a="1"/>
  <c r="B227" i="21"/>
  <c r="A227" i="21"/>
  <c r="B226" i="21" a="1"/>
  <c r="B226" i="21" s="1"/>
  <c r="A226" i="21"/>
  <c r="A225" i="21"/>
  <c r="B225" i="21" s="1" a="1"/>
  <c r="B225" i="21" s="1"/>
  <c r="A224" i="21"/>
  <c r="B224" i="21" s="1" a="1"/>
  <c r="B224" i="21" s="1"/>
  <c r="B223" i="21" a="1"/>
  <c r="B223" i="21" s="1"/>
  <c r="A223" i="21"/>
  <c r="A222" i="21"/>
  <c r="B222" i="21" s="1" a="1"/>
  <c r="B222" i="21" s="1"/>
  <c r="B221" i="21"/>
  <c r="A221" i="21"/>
  <c r="B221" i="21" s="1" a="1"/>
  <c r="A220" i="21"/>
  <c r="B220" i="21" s="1" a="1"/>
  <c r="B220" i="21" s="1"/>
  <c r="B219" i="21" a="1"/>
  <c r="B219" i="21" s="1"/>
  <c r="A219" i="21"/>
  <c r="B218" i="21" a="1"/>
  <c r="B218" i="21" s="1"/>
  <c r="A218" i="21"/>
  <c r="A217" i="21"/>
  <c r="B217" i="21" s="1" a="1"/>
  <c r="B217" i="21" s="1"/>
  <c r="B216" i="21" a="1"/>
  <c r="B216" i="21" s="1"/>
  <c r="A216" i="21"/>
  <c r="B215" i="21" a="1"/>
  <c r="B215" i="21" s="1"/>
  <c r="A215" i="21"/>
  <c r="B214" i="21" a="1"/>
  <c r="B214" i="21" s="1"/>
  <c r="A214" i="21"/>
  <c r="A213" i="21"/>
  <c r="B213" i="21" s="1" a="1"/>
  <c r="B213" i="21" s="1"/>
  <c r="A212" i="21"/>
  <c r="B212" i="21" s="1" a="1"/>
  <c r="B212" i="21" s="1"/>
  <c r="B211" i="21" a="1"/>
  <c r="B211" i="21" s="1"/>
  <c r="A211" i="21"/>
  <c r="B210" i="21" a="1"/>
  <c r="B210" i="21" s="1"/>
  <c r="A210" i="21"/>
  <c r="A209" i="21"/>
  <c r="B209" i="21" s="1" a="1"/>
  <c r="B209" i="21" s="1"/>
  <c r="A208" i="21"/>
  <c r="B208" i="21" s="1" a="1"/>
  <c r="B208" i="21" s="1"/>
  <c r="B207" i="21" a="1"/>
  <c r="B207" i="21" s="1"/>
  <c r="A207" i="21"/>
  <c r="A206" i="21"/>
  <c r="B206" i="21" s="1" a="1"/>
  <c r="B206" i="21" s="1"/>
  <c r="A205" i="21"/>
  <c r="B205" i="21" s="1" a="1"/>
  <c r="B205" i="21" s="1"/>
  <c r="B204" i="21" a="1"/>
  <c r="B204" i="21" s="1"/>
  <c r="A204" i="21"/>
  <c r="B203" i="21" a="1"/>
  <c r="B203" i="21" s="1"/>
  <c r="A203" i="21"/>
  <c r="A202" i="21"/>
  <c r="B202" i="21" s="1" a="1"/>
  <c r="B202" i="21" s="1"/>
  <c r="A201" i="21"/>
  <c r="B201" i="21" s="1" a="1"/>
  <c r="B201" i="21" s="1"/>
  <c r="A200" i="21"/>
  <c r="B200" i="21" s="1" a="1"/>
  <c r="B200" i="21" s="1"/>
  <c r="B199" i="21" a="1"/>
  <c r="B199" i="21" s="1"/>
  <c r="A199" i="21"/>
  <c r="A198" i="21"/>
  <c r="B198" i="21" s="1" a="1"/>
  <c r="B198" i="21" s="1"/>
  <c r="A197" i="21"/>
  <c r="B197" i="21" s="1" a="1"/>
  <c r="B197" i="21" s="1"/>
  <c r="B196" i="21" a="1"/>
  <c r="B196" i="21" s="1"/>
  <c r="A196" i="21"/>
  <c r="B195" i="21" a="1"/>
  <c r="B195" i="21" s="1"/>
  <c r="A195" i="21"/>
  <c r="B194" i="21" a="1"/>
  <c r="B194" i="21" s="1"/>
  <c r="A194" i="21"/>
  <c r="A193" i="21"/>
  <c r="B193" i="21" s="1" a="1"/>
  <c r="B193" i="21" s="1"/>
  <c r="B192" i="21" a="1"/>
  <c r="B192" i="21" s="1"/>
  <c r="A192" i="21"/>
  <c r="B191" i="21" a="1"/>
  <c r="B191" i="21"/>
  <c r="A191" i="21"/>
  <c r="B190" i="21" a="1"/>
  <c r="B190" i="21" s="1"/>
  <c r="A190" i="21"/>
  <c r="A189" i="21"/>
  <c r="B189" i="21" s="1" a="1"/>
  <c r="B189" i="21" s="1"/>
  <c r="A188" i="21"/>
  <c r="B188" i="21" s="1" a="1"/>
  <c r="B188" i="21" s="1"/>
  <c r="B187" i="21" a="1"/>
  <c r="B187" i="21"/>
  <c r="A187" i="21"/>
  <c r="B186" i="21" a="1"/>
  <c r="B186" i="21"/>
  <c r="A186" i="21"/>
  <c r="A185" i="21"/>
  <c r="B185" i="21" s="1" a="1"/>
  <c r="B185" i="21" s="1"/>
  <c r="A184" i="21"/>
  <c r="B184" i="21" s="1" a="1"/>
  <c r="B184" i="21" s="1"/>
  <c r="B183" i="21" a="1"/>
  <c r="B183" i="21"/>
  <c r="A183" i="21"/>
  <c r="A182" i="21"/>
  <c r="B182" i="21" s="1" a="1"/>
  <c r="B182" i="21" s="1"/>
  <c r="A181" i="21"/>
  <c r="B181" i="21" s="1" a="1"/>
  <c r="B181" i="21" s="1"/>
  <c r="B180" i="21" a="1"/>
  <c r="B180" i="21" s="1"/>
  <c r="A180" i="21"/>
  <c r="B179" i="21" a="1"/>
  <c r="B179" i="21"/>
  <c r="A179" i="21"/>
  <c r="A178" i="21"/>
  <c r="B178" i="21" s="1" a="1"/>
  <c r="B178" i="21" s="1"/>
  <c r="A177" i="21"/>
  <c r="B177" i="21" s="1" a="1"/>
  <c r="B177" i="21" s="1"/>
  <c r="B176" i="21"/>
  <c r="A176" i="21"/>
  <c r="B176" i="21" s="1" a="1"/>
  <c r="B175" i="21" a="1"/>
  <c r="B175" i="21" s="1"/>
  <c r="A175" i="21"/>
  <c r="B174" i="21" a="1"/>
  <c r="B174" i="21" s="1"/>
  <c r="A174" i="21"/>
  <c r="A173" i="21"/>
  <c r="B173" i="21" s="1" a="1"/>
  <c r="B173" i="21" s="1"/>
  <c r="A172" i="21"/>
  <c r="B172" i="21" s="1" a="1"/>
  <c r="B172" i="21" s="1"/>
  <c r="B171" i="21" a="1"/>
  <c r="B171" i="21" s="1"/>
  <c r="A171" i="21"/>
  <c r="A170" i="21"/>
  <c r="B170" i="21" s="1" a="1"/>
  <c r="B170" i="21" s="1"/>
  <c r="A169" i="21"/>
  <c r="B169" i="21" s="1" a="1"/>
  <c r="B169" i="21" s="1"/>
  <c r="B168" i="21" a="1"/>
  <c r="B168" i="21"/>
  <c r="A168" i="21"/>
  <c r="B167" i="21" a="1"/>
  <c r="B167" i="21" s="1"/>
  <c r="A167" i="21"/>
  <c r="A166" i="21"/>
  <c r="B166" i="21" s="1" a="1"/>
  <c r="B166" i="21" s="1"/>
  <c r="A165" i="21"/>
  <c r="B165" i="21" s="1" a="1"/>
  <c r="B165" i="21" s="1"/>
  <c r="A164" i="21"/>
  <c r="B164" i="21" s="1" a="1"/>
  <c r="B164" i="21" s="1"/>
  <c r="B163" i="21" a="1"/>
  <c r="B163" i="21"/>
  <c r="A163" i="21"/>
  <c r="B162" i="21" a="1"/>
  <c r="B162" i="21" s="1"/>
  <c r="A162" i="21"/>
  <c r="A161" i="21"/>
  <c r="B161" i="21" s="1" a="1"/>
  <c r="B161" i="21" s="1"/>
  <c r="B160" i="21" a="1"/>
  <c r="B160" i="21" s="1"/>
  <c r="A160" i="21"/>
  <c r="B159" i="21" a="1"/>
  <c r="B159" i="21" s="1"/>
  <c r="A159" i="21"/>
  <c r="B158" i="21" a="1"/>
  <c r="B158" i="21" s="1"/>
  <c r="A158" i="21"/>
  <c r="A157" i="21"/>
  <c r="B157" i="21" s="1" a="1"/>
  <c r="B157" i="21" s="1"/>
  <c r="A156" i="21"/>
  <c r="B156" i="21" s="1" a="1"/>
  <c r="B156" i="21" s="1"/>
  <c r="B155" i="21" a="1"/>
  <c r="B155" i="21" s="1"/>
  <c r="A155" i="21"/>
  <c r="B154" i="21" a="1"/>
  <c r="B154" i="21" s="1"/>
  <c r="A154" i="21"/>
  <c r="A153" i="21"/>
  <c r="B153" i="21" s="1" a="1"/>
  <c r="B153" i="21" s="1"/>
  <c r="A152" i="21"/>
  <c r="B152" i="21" s="1" a="1"/>
  <c r="B152" i="21" s="1"/>
  <c r="B151" i="21" a="1"/>
  <c r="B151" i="21" s="1"/>
  <c r="A151" i="21"/>
  <c r="A150" i="21"/>
  <c r="B150" i="21" s="1" a="1"/>
  <c r="B150" i="21" s="1"/>
  <c r="A149" i="21"/>
  <c r="B149" i="21" s="1" a="1"/>
  <c r="B149" i="21" s="1"/>
  <c r="B148" i="21" a="1"/>
  <c r="B148" i="21" s="1"/>
  <c r="A148" i="21"/>
  <c r="B147" i="21" a="1"/>
  <c r="B147" i="21" s="1"/>
  <c r="A147" i="21"/>
  <c r="A146" i="21"/>
  <c r="B146" i="21" s="1" a="1"/>
  <c r="B146" i="21" s="1"/>
  <c r="A145" i="21"/>
  <c r="B145" i="21" s="1" a="1"/>
  <c r="B145" i="21" s="1"/>
  <c r="B144" i="21" a="1"/>
  <c r="B144" i="21" s="1"/>
  <c r="A144" i="21"/>
  <c r="B143" i="21" a="1"/>
  <c r="B143" i="21"/>
  <c r="A143" i="21"/>
  <c r="B142" i="21" a="1"/>
  <c r="B142" i="21" s="1"/>
  <c r="A142" i="21"/>
  <c r="A141" i="21"/>
  <c r="B141" i="21" s="1" a="1"/>
  <c r="B141" i="21" s="1"/>
  <c r="B140" i="21" a="1"/>
  <c r="B140" i="21"/>
  <c r="A140" i="21"/>
  <c r="B139" i="21" a="1"/>
  <c r="B139" i="21" s="1"/>
  <c r="A139" i="21"/>
  <c r="A138" i="21"/>
  <c r="B138" i="21" s="1" a="1"/>
  <c r="B138" i="21" s="1"/>
  <c r="A137" i="21"/>
  <c r="B137" i="21" s="1" a="1"/>
  <c r="B137" i="21" s="1"/>
  <c r="A136" i="21"/>
  <c r="B136" i="21" s="1" a="1"/>
  <c r="B136" i="21" s="1"/>
  <c r="B135" i="21" a="1"/>
  <c r="B135" i="21" s="1"/>
  <c r="A135" i="21"/>
  <c r="A134" i="21"/>
  <c r="B134" i="21" s="1" a="1"/>
  <c r="B134" i="21" s="1"/>
  <c r="A133" i="21"/>
  <c r="B133" i="21" s="1" a="1"/>
  <c r="B133" i="21" s="1"/>
  <c r="B132" i="21" a="1"/>
  <c r="B132" i="21"/>
  <c r="A132" i="21"/>
  <c r="B131" i="21" a="1"/>
  <c r="B131" i="21"/>
  <c r="A131" i="21"/>
  <c r="B130" i="21" a="1"/>
  <c r="B130" i="21" s="1"/>
  <c r="A130" i="21"/>
  <c r="A129" i="21"/>
  <c r="B129" i="21" s="1" a="1"/>
  <c r="B129" i="21" s="1"/>
  <c r="A128" i="21"/>
  <c r="B128" i="21" s="1" a="1"/>
  <c r="B128" i="21" s="1"/>
  <c r="B127" i="21" a="1"/>
  <c r="B127" i="21" s="1"/>
  <c r="A127" i="21"/>
  <c r="A126" i="21"/>
  <c r="B126" i="21" s="1" a="1"/>
  <c r="B126" i="21" s="1"/>
  <c r="A125" i="21"/>
  <c r="B125" i="21" s="1" a="1"/>
  <c r="B125" i="21" s="1"/>
  <c r="A124" i="21"/>
  <c r="B124" i="21" s="1" a="1"/>
  <c r="B124" i="21" s="1"/>
  <c r="B123" i="21" a="1"/>
  <c r="B123" i="21"/>
  <c r="A123" i="21"/>
  <c r="B122" i="21" a="1"/>
  <c r="B122" i="21" s="1"/>
  <c r="A122" i="21"/>
  <c r="A121" i="21"/>
  <c r="B121" i="21" s="1" a="1"/>
  <c r="B121" i="21" s="1"/>
  <c r="B120" i="21" a="1"/>
  <c r="B120" i="21" s="1"/>
  <c r="A120" i="21"/>
  <c r="B119" i="21" a="1"/>
  <c r="B119" i="21"/>
  <c r="A119" i="21"/>
  <c r="A118" i="21"/>
  <c r="B118" i="21" s="1" a="1"/>
  <c r="B118" i="21" s="1"/>
  <c r="A117" i="21"/>
  <c r="B117" i="21" s="1" a="1"/>
  <c r="B117" i="21" s="1"/>
  <c r="B116" i="21" a="1"/>
  <c r="B116" i="21" s="1"/>
  <c r="A116" i="21"/>
  <c r="B115" i="21" a="1"/>
  <c r="B115" i="21"/>
  <c r="A115" i="21"/>
  <c r="B114" i="21" a="1"/>
  <c r="B114" i="21"/>
  <c r="A114" i="21"/>
  <c r="A113" i="21"/>
  <c r="B113" i="21" s="1" a="1"/>
  <c r="B113" i="21" s="1"/>
  <c r="B112" i="21" a="1"/>
  <c r="B112" i="21" s="1"/>
  <c r="A112" i="21"/>
  <c r="B111" i="21" a="1"/>
  <c r="B111" i="21" s="1"/>
  <c r="A111" i="21"/>
  <c r="A110" i="21"/>
  <c r="B110" i="21" s="1" a="1"/>
  <c r="B110" i="21" s="1"/>
  <c r="A109" i="21"/>
  <c r="B109" i="21" s="1" a="1"/>
  <c r="B109" i="21" s="1"/>
  <c r="B108" i="21" a="1"/>
  <c r="B108" i="21"/>
  <c r="A108" i="21"/>
  <c r="B107" i="21" a="1"/>
  <c r="B107" i="21" s="1"/>
  <c r="A107" i="21"/>
  <c r="A106" i="21"/>
  <c r="B106" i="21" s="1" a="1"/>
  <c r="B106" i="21" s="1"/>
  <c r="A105" i="21"/>
  <c r="B105" i="21" s="1" a="1"/>
  <c r="B105" i="21" s="1"/>
  <c r="B104" i="21" a="1"/>
  <c r="B104" i="21"/>
  <c r="A104" i="21"/>
  <c r="B103" i="21" a="1"/>
  <c r="B103" i="21" s="1"/>
  <c r="A103" i="21"/>
  <c r="A102" i="21"/>
  <c r="B102" i="21" s="1" a="1"/>
  <c r="B102" i="21" s="1"/>
  <c r="A101" i="21"/>
  <c r="B101" i="21" s="1" a="1"/>
  <c r="B101" i="21" s="1"/>
  <c r="B100" i="21" a="1"/>
  <c r="B100" i="21"/>
  <c r="A100" i="21"/>
  <c r="B99" i="21" a="1"/>
  <c r="B99" i="21" s="1"/>
  <c r="A99" i="21"/>
  <c r="B98" i="21" a="1"/>
  <c r="B98" i="21" s="1"/>
  <c r="A98" i="21"/>
  <c r="A97" i="21"/>
  <c r="B97" i="21" s="1" a="1"/>
  <c r="B97" i="21" s="1"/>
  <c r="B96" i="21" a="1"/>
  <c r="B96" i="21" s="1"/>
  <c r="A96" i="21"/>
  <c r="B95" i="21" a="1"/>
  <c r="B95" i="21" s="1"/>
  <c r="A95" i="21"/>
  <c r="B94" i="21" a="1"/>
  <c r="B94" i="21"/>
  <c r="A94" i="21"/>
  <c r="A93" i="21"/>
  <c r="B93" i="21" s="1" a="1"/>
  <c r="B93" i="21" s="1"/>
  <c r="A92" i="21"/>
  <c r="B92" i="21" s="1" a="1"/>
  <c r="B92" i="21" s="1"/>
  <c r="B91" i="21" a="1"/>
  <c r="B91" i="21" s="1"/>
  <c r="A91" i="21"/>
  <c r="A90" i="21"/>
  <c r="B90" i="21" s="1" a="1"/>
  <c r="B90" i="21" s="1"/>
  <c r="A89" i="21"/>
  <c r="B89" i="21" s="1" a="1"/>
  <c r="B89" i="21" s="1"/>
  <c r="A88" i="21"/>
  <c r="B88" i="21" s="1" a="1"/>
  <c r="B88" i="21" s="1"/>
  <c r="B87" i="21" a="1"/>
  <c r="B87" i="21" s="1"/>
  <c r="A87" i="21"/>
  <c r="B86" i="21" a="1"/>
  <c r="B86" i="21" s="1"/>
  <c r="A86" i="21"/>
  <c r="A85" i="21"/>
  <c r="B85" i="21" s="1" a="1"/>
  <c r="B85" i="21" s="1"/>
  <c r="B84" i="21" a="1"/>
  <c r="B84" i="21" s="1"/>
  <c r="A84" i="21"/>
  <c r="B83" i="21" a="1"/>
  <c r="B83" i="21" s="1"/>
  <c r="A83" i="21"/>
  <c r="A82" i="21"/>
  <c r="B82" i="21" s="1" a="1"/>
  <c r="B82" i="21" s="1"/>
  <c r="A81" i="21"/>
  <c r="B81" i="21" s="1" a="1"/>
  <c r="B81" i="21" s="1"/>
  <c r="A80" i="21"/>
  <c r="B80" i="21" s="1" a="1"/>
  <c r="B80" i="21" s="1"/>
  <c r="B79" i="21" a="1"/>
  <c r="B79" i="21"/>
  <c r="A79" i="21"/>
  <c r="A78" i="21"/>
  <c r="B78" i="21" s="1" a="1"/>
  <c r="B78" i="21" s="1"/>
  <c r="A77" i="21"/>
  <c r="B77" i="21" s="1" a="1"/>
  <c r="B77" i="21" s="1"/>
  <c r="A76" i="21"/>
  <c r="B76" i="21" s="1" a="1"/>
  <c r="B76" i="21" s="1"/>
  <c r="B75" i="21" a="1"/>
  <c r="B75" i="21"/>
  <c r="A75" i="21"/>
  <c r="A74" i="21"/>
  <c r="B74" i="21" s="1" a="1"/>
  <c r="B74" i="21" s="1"/>
  <c r="A73" i="21"/>
  <c r="B73" i="21" s="1" a="1"/>
  <c r="B73" i="21" s="1"/>
  <c r="B72" i="21" a="1"/>
  <c r="B72" i="21" s="1"/>
  <c r="A72" i="21"/>
  <c r="B71" i="21" a="1"/>
  <c r="B71" i="21" s="1"/>
  <c r="A71" i="21"/>
  <c r="A70" i="21"/>
  <c r="B70" i="21" s="1" a="1"/>
  <c r="B70" i="21" s="1"/>
  <c r="A69" i="21"/>
  <c r="B69" i="21" s="1" a="1"/>
  <c r="B69" i="21" s="1"/>
  <c r="B68" i="21" a="1"/>
  <c r="B68" i="21" s="1"/>
  <c r="A68" i="21"/>
  <c r="B67" i="21" a="1"/>
  <c r="B67" i="21"/>
  <c r="A67" i="21"/>
  <c r="B66" i="21" a="1"/>
  <c r="B66" i="21" s="1"/>
  <c r="A66" i="21"/>
  <c r="A65" i="21"/>
  <c r="B65" i="21" s="1" a="1"/>
  <c r="B65" i="21" s="1"/>
  <c r="A64" i="21"/>
  <c r="B64" i="21" s="1" a="1"/>
  <c r="B64" i="21" s="1"/>
  <c r="B63" i="21" a="1"/>
  <c r="B63" i="21" s="1"/>
  <c r="A63" i="21"/>
  <c r="A62" i="21"/>
  <c r="B62" i="21" s="1" a="1"/>
  <c r="B62" i="21" s="1"/>
  <c r="A61" i="21"/>
  <c r="B61" i="21" s="1" a="1"/>
  <c r="B61" i="21" s="1"/>
  <c r="A60" i="21"/>
  <c r="B60" i="21" s="1" a="1"/>
  <c r="B60" i="21" s="1"/>
  <c r="B59" i="21" a="1"/>
  <c r="B59" i="21"/>
  <c r="A59" i="21"/>
  <c r="A58" i="21"/>
  <c r="B58" i="21" s="1" a="1"/>
  <c r="B58" i="21" s="1"/>
  <c r="B57" i="21"/>
  <c r="A57" i="21"/>
  <c r="B57" i="21" s="1" a="1"/>
  <c r="A56" i="21"/>
  <c r="B56" i="21" s="1" a="1"/>
  <c r="B56" i="21" s="1"/>
  <c r="B55" i="21" a="1"/>
  <c r="B55" i="21"/>
  <c r="A55" i="21"/>
  <c r="A54" i="21"/>
  <c r="B54" i="21" s="1" a="1"/>
  <c r="B54" i="21" s="1"/>
  <c r="A53" i="21"/>
  <c r="B53" i="21" s="1" a="1"/>
  <c r="B53" i="21" s="1"/>
  <c r="B52" i="21" a="1"/>
  <c r="B52" i="21" s="1"/>
  <c r="A52" i="21"/>
  <c r="B51" i="21" a="1"/>
  <c r="B51" i="21" s="1"/>
  <c r="A51" i="21"/>
  <c r="A50" i="21"/>
  <c r="B50" i="21" s="1" a="1"/>
  <c r="B50" i="21" s="1"/>
  <c r="A49" i="21"/>
  <c r="B49" i="21" s="1" a="1"/>
  <c r="B49" i="21" s="1"/>
  <c r="B48" i="21" a="1"/>
  <c r="B48" i="21" s="1"/>
  <c r="A48" i="21"/>
  <c r="A47" i="21"/>
  <c r="B47" i="21" s="1" a="1"/>
  <c r="B47" i="21" s="1"/>
  <c r="B46" i="21" a="1"/>
  <c r="B46" i="21" s="1"/>
  <c r="A46" i="21"/>
  <c r="A45" i="21"/>
  <c r="B45" i="21" s="1" a="1"/>
  <c r="B45" i="21" s="1"/>
  <c r="A44" i="21"/>
  <c r="B44" i="21" s="1" a="1"/>
  <c r="B44" i="21" s="1"/>
  <c r="A43" i="21"/>
  <c r="B43" i="21" s="1" a="1"/>
  <c r="B43" i="21" s="1"/>
  <c r="A42" i="21"/>
  <c r="B42" i="21" s="1" a="1"/>
  <c r="B42" i="21" s="1"/>
  <c r="A41" i="21"/>
  <c r="B41" i="21" s="1" a="1"/>
  <c r="B41" i="21" s="1"/>
  <c r="A40" i="21"/>
  <c r="B40" i="21" s="1" a="1"/>
  <c r="B40" i="21" s="1"/>
  <c r="A39" i="21"/>
  <c r="B39" i="21" s="1" a="1"/>
  <c r="B39" i="21" s="1"/>
  <c r="A38" i="21"/>
  <c r="B38" i="21" s="1" a="1"/>
  <c r="B38" i="21" s="1"/>
  <c r="A37" i="21"/>
  <c r="B37" i="21" s="1" a="1"/>
  <c r="B37" i="21" s="1"/>
  <c r="B36" i="21" a="1"/>
  <c r="B36" i="21" s="1"/>
  <c r="A36" i="21"/>
  <c r="A35" i="21"/>
  <c r="A34" i="21"/>
  <c r="A33" i="21"/>
  <c r="A32" i="21"/>
  <c r="A31" i="21"/>
  <c r="A30" i="21"/>
  <c r="A29" i="21"/>
  <c r="A28" i="21"/>
  <c r="A27" i="21"/>
  <c r="A26" i="21"/>
  <c r="A25" i="21"/>
  <c r="A24" i="21"/>
  <c r="A23" i="21"/>
  <c r="A22" i="21"/>
  <c r="A21" i="21"/>
  <c r="A20" i="21"/>
  <c r="A19" i="21"/>
  <c r="A18" i="21"/>
  <c r="A17" i="21"/>
  <c r="A16" i="21"/>
  <c r="A15" i="21"/>
  <c r="A14" i="21"/>
  <c r="A13" i="21"/>
  <c r="A12" i="21"/>
  <c r="A11" i="21"/>
  <c r="A10" i="21"/>
  <c r="A9" i="21"/>
  <c r="A8" i="21"/>
  <c r="A7" i="21"/>
  <c r="N36" i="11" l="1"/>
  <c r="M36" i="11"/>
  <c r="L36" i="11"/>
  <c r="K36" i="11"/>
  <c r="J1000" i="13"/>
  <c r="I1000" i="13"/>
  <c r="F1000" i="13"/>
  <c r="J999" i="13"/>
  <c r="I999" i="13"/>
  <c r="F999" i="13"/>
  <c r="J998" i="13"/>
  <c r="I998" i="13"/>
  <c r="F998" i="13"/>
  <c r="J997" i="13"/>
  <c r="I997" i="13"/>
  <c r="F997" i="13"/>
  <c r="J996" i="13"/>
  <c r="I996" i="13"/>
  <c r="F996" i="13"/>
  <c r="J995" i="13"/>
  <c r="I995" i="13"/>
  <c r="F995" i="13"/>
  <c r="J994" i="13"/>
  <c r="I994" i="13"/>
  <c r="F994" i="13"/>
  <c r="J993" i="13"/>
  <c r="I993" i="13"/>
  <c r="F993" i="13"/>
  <c r="J992" i="13"/>
  <c r="I992" i="13"/>
  <c r="F992" i="13"/>
  <c r="J991" i="13"/>
  <c r="I991" i="13"/>
  <c r="F991" i="13"/>
  <c r="J990" i="13"/>
  <c r="I990" i="13"/>
  <c r="F990" i="13"/>
  <c r="J989" i="13"/>
  <c r="I989" i="13"/>
  <c r="F989" i="13"/>
  <c r="J988" i="13"/>
  <c r="I988" i="13"/>
  <c r="F988" i="13"/>
  <c r="J987" i="13"/>
  <c r="I987" i="13"/>
  <c r="F987" i="13"/>
  <c r="J986" i="13"/>
  <c r="I986" i="13"/>
  <c r="F986" i="13"/>
  <c r="J985" i="13"/>
  <c r="I985" i="13"/>
  <c r="F985" i="13"/>
  <c r="J984" i="13"/>
  <c r="I984" i="13"/>
  <c r="F984" i="13"/>
  <c r="J983" i="13"/>
  <c r="I983" i="13"/>
  <c r="F983" i="13"/>
  <c r="J982" i="13"/>
  <c r="I982" i="13"/>
  <c r="F982" i="13"/>
  <c r="J981" i="13"/>
  <c r="I981" i="13"/>
  <c r="F981" i="13"/>
  <c r="J980" i="13"/>
  <c r="I980" i="13"/>
  <c r="F980" i="13"/>
  <c r="J979" i="13"/>
  <c r="I979" i="13"/>
  <c r="F979" i="13"/>
  <c r="J978" i="13"/>
  <c r="I978" i="13"/>
  <c r="F978" i="13"/>
  <c r="J977" i="13"/>
  <c r="I977" i="13"/>
  <c r="F977" i="13"/>
  <c r="J976" i="13"/>
  <c r="I976" i="13"/>
  <c r="F976" i="13"/>
  <c r="J975" i="13"/>
  <c r="I975" i="13"/>
  <c r="F975" i="13"/>
  <c r="J974" i="13"/>
  <c r="I974" i="13"/>
  <c r="F974" i="13"/>
  <c r="J973" i="13"/>
  <c r="I973" i="13"/>
  <c r="F973" i="13"/>
  <c r="J972" i="13"/>
  <c r="I972" i="13"/>
  <c r="F972" i="13"/>
  <c r="J971" i="13"/>
  <c r="I971" i="13"/>
  <c r="F971" i="13"/>
  <c r="J970" i="13"/>
  <c r="I970" i="13"/>
  <c r="F970" i="13"/>
  <c r="J969" i="13"/>
  <c r="I969" i="13"/>
  <c r="F969" i="13"/>
  <c r="J968" i="13"/>
  <c r="I968" i="13"/>
  <c r="F968" i="13"/>
  <c r="J967" i="13"/>
  <c r="I967" i="13"/>
  <c r="F967" i="13"/>
  <c r="J966" i="13"/>
  <c r="I966" i="13"/>
  <c r="F966" i="13"/>
  <c r="J965" i="13"/>
  <c r="I965" i="13"/>
  <c r="F965" i="13"/>
  <c r="J964" i="13"/>
  <c r="I964" i="13"/>
  <c r="F964" i="13"/>
  <c r="J963" i="13"/>
  <c r="I963" i="13"/>
  <c r="F963" i="13"/>
  <c r="J962" i="13"/>
  <c r="I962" i="13"/>
  <c r="F962" i="13"/>
  <c r="J961" i="13"/>
  <c r="I961" i="13"/>
  <c r="F961" i="13"/>
  <c r="J960" i="13"/>
  <c r="I960" i="13"/>
  <c r="F960" i="13"/>
  <c r="J959" i="13"/>
  <c r="I959" i="13"/>
  <c r="F959" i="13"/>
  <c r="J958" i="13"/>
  <c r="I958" i="13"/>
  <c r="F958" i="13"/>
  <c r="J957" i="13"/>
  <c r="I957" i="13"/>
  <c r="F957" i="13"/>
  <c r="J956" i="13"/>
  <c r="I956" i="13"/>
  <c r="F956" i="13"/>
  <c r="J955" i="13"/>
  <c r="I955" i="13"/>
  <c r="F955" i="13"/>
  <c r="J954" i="13"/>
  <c r="I954" i="13"/>
  <c r="F954" i="13"/>
  <c r="J953" i="13"/>
  <c r="I953" i="13"/>
  <c r="F953" i="13"/>
  <c r="J952" i="13"/>
  <c r="I952" i="13"/>
  <c r="F952" i="13"/>
  <c r="J951" i="13"/>
  <c r="I951" i="13"/>
  <c r="F951" i="13"/>
  <c r="J950" i="13"/>
  <c r="I950" i="13"/>
  <c r="F950" i="13"/>
  <c r="J949" i="13"/>
  <c r="I949" i="13"/>
  <c r="F949" i="13"/>
  <c r="J948" i="13"/>
  <c r="I948" i="13"/>
  <c r="F948" i="13"/>
  <c r="J947" i="13"/>
  <c r="I947" i="13"/>
  <c r="F947" i="13"/>
  <c r="J946" i="13"/>
  <c r="I946" i="13"/>
  <c r="F946" i="13"/>
  <c r="J945" i="13"/>
  <c r="I945" i="13"/>
  <c r="F945" i="13"/>
  <c r="J944" i="13"/>
  <c r="I944" i="13"/>
  <c r="F944" i="13"/>
  <c r="J943" i="13"/>
  <c r="I943" i="13"/>
  <c r="F943" i="13"/>
  <c r="J942" i="13"/>
  <c r="I942" i="13"/>
  <c r="F942" i="13"/>
  <c r="J941" i="13"/>
  <c r="I941" i="13"/>
  <c r="F941" i="13"/>
  <c r="J940" i="13"/>
  <c r="I940" i="13"/>
  <c r="F940" i="13"/>
  <c r="J939" i="13"/>
  <c r="I939" i="13"/>
  <c r="F939" i="13"/>
  <c r="J938" i="13"/>
  <c r="I938" i="13"/>
  <c r="F938" i="13"/>
  <c r="J937" i="13"/>
  <c r="I937" i="13"/>
  <c r="F937" i="13"/>
  <c r="J936" i="13"/>
  <c r="I936" i="13"/>
  <c r="F936" i="13"/>
  <c r="J935" i="13"/>
  <c r="I935" i="13"/>
  <c r="F935" i="13"/>
  <c r="J934" i="13"/>
  <c r="I934" i="13"/>
  <c r="F934" i="13"/>
  <c r="J933" i="13"/>
  <c r="I933" i="13"/>
  <c r="F933" i="13"/>
  <c r="J932" i="13"/>
  <c r="I932" i="13"/>
  <c r="F932" i="13"/>
  <c r="J931" i="13"/>
  <c r="I931" i="13"/>
  <c r="F931" i="13"/>
  <c r="J930" i="13"/>
  <c r="I930" i="13"/>
  <c r="F930" i="13"/>
  <c r="J929" i="13"/>
  <c r="I929" i="13"/>
  <c r="F929" i="13"/>
  <c r="J928" i="13"/>
  <c r="I928" i="13"/>
  <c r="F928" i="13"/>
  <c r="J927" i="13"/>
  <c r="I927" i="13"/>
  <c r="F927" i="13"/>
  <c r="J926" i="13"/>
  <c r="I926" i="13"/>
  <c r="F926" i="13"/>
  <c r="J925" i="13"/>
  <c r="I925" i="13"/>
  <c r="F925" i="13"/>
  <c r="J924" i="13"/>
  <c r="I924" i="13"/>
  <c r="F924" i="13"/>
  <c r="J923" i="13"/>
  <c r="I923" i="13"/>
  <c r="F923" i="13"/>
  <c r="J922" i="13"/>
  <c r="I922" i="13"/>
  <c r="F922" i="13"/>
  <c r="J921" i="13"/>
  <c r="I921" i="13"/>
  <c r="F921" i="13"/>
  <c r="J920" i="13"/>
  <c r="I920" i="13"/>
  <c r="F920" i="13"/>
  <c r="J919" i="13"/>
  <c r="I919" i="13"/>
  <c r="F919" i="13"/>
  <c r="J918" i="13"/>
  <c r="I918" i="13"/>
  <c r="F918" i="13"/>
  <c r="J917" i="13"/>
  <c r="I917" i="13"/>
  <c r="F917" i="13"/>
  <c r="J916" i="13"/>
  <c r="I916" i="13"/>
  <c r="F916" i="13"/>
  <c r="J915" i="13"/>
  <c r="I915" i="13"/>
  <c r="F915" i="13"/>
  <c r="J914" i="13"/>
  <c r="I914" i="13"/>
  <c r="F914" i="13"/>
  <c r="J913" i="13"/>
  <c r="I913" i="13"/>
  <c r="F913" i="13"/>
  <c r="J912" i="13"/>
  <c r="I912" i="13"/>
  <c r="F912" i="13"/>
  <c r="J911" i="13"/>
  <c r="I911" i="13"/>
  <c r="F911" i="13"/>
  <c r="J910" i="13"/>
  <c r="I910" i="13"/>
  <c r="F910" i="13"/>
  <c r="J909" i="13"/>
  <c r="I909" i="13"/>
  <c r="F909" i="13"/>
  <c r="J908" i="13"/>
  <c r="I908" i="13"/>
  <c r="F908" i="13"/>
  <c r="J907" i="13"/>
  <c r="I907" i="13"/>
  <c r="F907" i="13"/>
  <c r="J906" i="13"/>
  <c r="I906" i="13"/>
  <c r="F906" i="13"/>
  <c r="J905" i="13"/>
  <c r="I905" i="13"/>
  <c r="F905" i="13"/>
  <c r="J904" i="13"/>
  <c r="I904" i="13"/>
  <c r="F904" i="13"/>
  <c r="J903" i="13"/>
  <c r="I903" i="13"/>
  <c r="F903" i="13"/>
  <c r="J902" i="13"/>
  <c r="I902" i="13"/>
  <c r="K902" i="13" s="1"/>
  <c r="M902" i="13" s="1"/>
  <c r="F902" i="13"/>
  <c r="J901" i="13"/>
  <c r="I901" i="13"/>
  <c r="F901" i="13"/>
  <c r="J900" i="13"/>
  <c r="I900" i="13"/>
  <c r="F900" i="13"/>
  <c r="J899" i="13"/>
  <c r="I899" i="13"/>
  <c r="F899" i="13"/>
  <c r="J898" i="13"/>
  <c r="I898" i="13"/>
  <c r="F898" i="13"/>
  <c r="J897" i="13"/>
  <c r="I897" i="13"/>
  <c r="F897" i="13"/>
  <c r="J896" i="13"/>
  <c r="I896" i="13"/>
  <c r="F896" i="13"/>
  <c r="J895" i="13"/>
  <c r="I895" i="13"/>
  <c r="F895" i="13"/>
  <c r="J894" i="13"/>
  <c r="I894" i="13"/>
  <c r="K894" i="13" s="1"/>
  <c r="M894" i="13" s="1"/>
  <c r="F894" i="13"/>
  <c r="J893" i="13"/>
  <c r="I893" i="13"/>
  <c r="F893" i="13"/>
  <c r="J892" i="13"/>
  <c r="I892" i="13"/>
  <c r="F892" i="13"/>
  <c r="J891" i="13"/>
  <c r="I891" i="13"/>
  <c r="F891" i="13"/>
  <c r="J890" i="13"/>
  <c r="I890" i="13"/>
  <c r="K890" i="13" s="1"/>
  <c r="M890" i="13" s="1"/>
  <c r="F890" i="13"/>
  <c r="J889" i="13"/>
  <c r="I889" i="13"/>
  <c r="F889" i="13"/>
  <c r="J888" i="13"/>
  <c r="I888" i="13"/>
  <c r="F888" i="13"/>
  <c r="J887" i="13"/>
  <c r="I887" i="13"/>
  <c r="F887" i="13"/>
  <c r="J886" i="13"/>
  <c r="I886" i="13"/>
  <c r="K886" i="13" s="1"/>
  <c r="M886" i="13" s="1"/>
  <c r="F886" i="13"/>
  <c r="J885" i="13"/>
  <c r="I885" i="13"/>
  <c r="F885" i="13"/>
  <c r="J884" i="13"/>
  <c r="I884" i="13"/>
  <c r="F884" i="13"/>
  <c r="J883" i="13"/>
  <c r="I883" i="13"/>
  <c r="F883" i="13"/>
  <c r="J882" i="13"/>
  <c r="I882" i="13"/>
  <c r="K882" i="13" s="1"/>
  <c r="M882" i="13" s="1"/>
  <c r="F882" i="13"/>
  <c r="J881" i="13"/>
  <c r="I881" i="13"/>
  <c r="F881" i="13"/>
  <c r="J880" i="13"/>
  <c r="I880" i="13"/>
  <c r="F880" i="13"/>
  <c r="J879" i="13"/>
  <c r="I879" i="13"/>
  <c r="F879" i="13"/>
  <c r="J878" i="13"/>
  <c r="I878" i="13"/>
  <c r="K878" i="13" s="1"/>
  <c r="M878" i="13" s="1"/>
  <c r="F878" i="13"/>
  <c r="J877" i="13"/>
  <c r="I877" i="13"/>
  <c r="F877" i="13"/>
  <c r="J876" i="13"/>
  <c r="I876" i="13"/>
  <c r="F876" i="13"/>
  <c r="J875" i="13"/>
  <c r="I875" i="13"/>
  <c r="F875" i="13"/>
  <c r="J874" i="13"/>
  <c r="I874" i="13"/>
  <c r="F874" i="13"/>
  <c r="J873" i="13"/>
  <c r="I873" i="13"/>
  <c r="F873" i="13"/>
  <c r="J872" i="13"/>
  <c r="I872" i="13"/>
  <c r="F872" i="13"/>
  <c r="J871" i="13"/>
  <c r="I871" i="13"/>
  <c r="F871" i="13"/>
  <c r="J870" i="13"/>
  <c r="I870" i="13"/>
  <c r="K870" i="13" s="1"/>
  <c r="M870" i="13" s="1"/>
  <c r="F870" i="13"/>
  <c r="J869" i="13"/>
  <c r="I869" i="13"/>
  <c r="F869" i="13"/>
  <c r="J868" i="13"/>
  <c r="I868" i="13"/>
  <c r="F868" i="13"/>
  <c r="J867" i="13"/>
  <c r="I867" i="13"/>
  <c r="F867" i="13"/>
  <c r="J866" i="13"/>
  <c r="I866" i="13"/>
  <c r="K866" i="13" s="1"/>
  <c r="M866" i="13" s="1"/>
  <c r="F866" i="13"/>
  <c r="J865" i="13"/>
  <c r="I865" i="13"/>
  <c r="F865" i="13"/>
  <c r="J864" i="13"/>
  <c r="I864" i="13"/>
  <c r="F864" i="13"/>
  <c r="J863" i="13"/>
  <c r="I863" i="13"/>
  <c r="F863" i="13"/>
  <c r="J862" i="13"/>
  <c r="I862" i="13"/>
  <c r="F862" i="13"/>
  <c r="J861" i="13"/>
  <c r="I861" i="13"/>
  <c r="F861" i="13"/>
  <c r="J860" i="13"/>
  <c r="I860" i="13"/>
  <c r="F860" i="13"/>
  <c r="J859" i="13"/>
  <c r="I859" i="13"/>
  <c r="F859" i="13"/>
  <c r="J858" i="13"/>
  <c r="I858" i="13"/>
  <c r="K858" i="13" s="1"/>
  <c r="M858" i="13" s="1"/>
  <c r="F858" i="13"/>
  <c r="J857" i="13"/>
  <c r="I857" i="13"/>
  <c r="F857" i="13"/>
  <c r="J856" i="13"/>
  <c r="I856" i="13"/>
  <c r="F856" i="13"/>
  <c r="J855" i="13"/>
  <c r="I855" i="13"/>
  <c r="F855" i="13"/>
  <c r="J854" i="13"/>
  <c r="I854" i="13"/>
  <c r="K854" i="13" s="1"/>
  <c r="M854" i="13" s="1"/>
  <c r="F854" i="13"/>
  <c r="J853" i="13"/>
  <c r="I853" i="13"/>
  <c r="F853" i="13"/>
  <c r="J852" i="13"/>
  <c r="I852" i="13"/>
  <c r="F852" i="13"/>
  <c r="J851" i="13"/>
  <c r="I851" i="13"/>
  <c r="F851" i="13"/>
  <c r="J850" i="13"/>
  <c r="I850" i="13"/>
  <c r="K850" i="13" s="1"/>
  <c r="M850" i="13" s="1"/>
  <c r="F850" i="13"/>
  <c r="J849" i="13"/>
  <c r="I849" i="13"/>
  <c r="F849" i="13"/>
  <c r="J848" i="13"/>
  <c r="I848" i="13"/>
  <c r="F848" i="13"/>
  <c r="J847" i="13"/>
  <c r="I847" i="13"/>
  <c r="F847" i="13"/>
  <c r="J846" i="13"/>
  <c r="I846" i="13"/>
  <c r="K846" i="13" s="1"/>
  <c r="M846" i="13" s="1"/>
  <c r="F846" i="13"/>
  <c r="J845" i="13"/>
  <c r="I845" i="13"/>
  <c r="F845" i="13"/>
  <c r="J844" i="13"/>
  <c r="I844" i="13"/>
  <c r="F844" i="13"/>
  <c r="J843" i="13"/>
  <c r="I843" i="13"/>
  <c r="F843" i="13"/>
  <c r="J842" i="13"/>
  <c r="I842" i="13"/>
  <c r="K842" i="13" s="1"/>
  <c r="M842" i="13" s="1"/>
  <c r="F842" i="13"/>
  <c r="J841" i="13"/>
  <c r="I841" i="13"/>
  <c r="F841" i="13"/>
  <c r="J840" i="13"/>
  <c r="I840" i="13"/>
  <c r="F840" i="13"/>
  <c r="J839" i="13"/>
  <c r="I839" i="13"/>
  <c r="K839" i="13" s="1"/>
  <c r="M839" i="13" s="1"/>
  <c r="F839" i="13"/>
  <c r="J838" i="13"/>
  <c r="I838" i="13"/>
  <c r="F838" i="13"/>
  <c r="J837" i="13"/>
  <c r="I837" i="13"/>
  <c r="F837" i="13"/>
  <c r="J836" i="13"/>
  <c r="I836" i="13"/>
  <c r="F836" i="13"/>
  <c r="J835" i="13"/>
  <c r="I835" i="13"/>
  <c r="F835" i="13"/>
  <c r="J834" i="13"/>
  <c r="I834" i="13"/>
  <c r="F834" i="13"/>
  <c r="J833" i="13"/>
  <c r="I833" i="13"/>
  <c r="F833" i="13"/>
  <c r="J832" i="13"/>
  <c r="I832" i="13"/>
  <c r="F832" i="13"/>
  <c r="J831" i="13"/>
  <c r="I831" i="13"/>
  <c r="F831" i="13"/>
  <c r="J830" i="13"/>
  <c r="I830" i="13"/>
  <c r="F830" i="13"/>
  <c r="J829" i="13"/>
  <c r="I829" i="13"/>
  <c r="F829" i="13"/>
  <c r="J828" i="13"/>
  <c r="I828" i="13"/>
  <c r="F828" i="13"/>
  <c r="J827" i="13"/>
  <c r="I827" i="13"/>
  <c r="F827" i="13"/>
  <c r="J826" i="13"/>
  <c r="I826" i="13"/>
  <c r="F826" i="13"/>
  <c r="J825" i="13"/>
  <c r="I825" i="13"/>
  <c r="F825" i="13"/>
  <c r="J824" i="13"/>
  <c r="I824" i="13"/>
  <c r="F824" i="13"/>
  <c r="J823" i="13"/>
  <c r="I823" i="13"/>
  <c r="F823" i="13"/>
  <c r="J822" i="13"/>
  <c r="I822" i="13"/>
  <c r="F822" i="13"/>
  <c r="J821" i="13"/>
  <c r="I821" i="13"/>
  <c r="F821" i="13"/>
  <c r="J820" i="13"/>
  <c r="I820" i="13"/>
  <c r="F820" i="13"/>
  <c r="J819" i="13"/>
  <c r="I819" i="13"/>
  <c r="F819" i="13"/>
  <c r="J818" i="13"/>
  <c r="I818" i="13"/>
  <c r="F818" i="13"/>
  <c r="J817" i="13"/>
  <c r="I817" i="13"/>
  <c r="F817" i="13"/>
  <c r="J816" i="13"/>
  <c r="I816" i="13"/>
  <c r="F816" i="13"/>
  <c r="J815" i="13"/>
  <c r="I815" i="13"/>
  <c r="F815" i="13"/>
  <c r="J814" i="13"/>
  <c r="I814" i="13"/>
  <c r="F814" i="13"/>
  <c r="J813" i="13"/>
  <c r="I813" i="13"/>
  <c r="F813" i="13"/>
  <c r="J812" i="13"/>
  <c r="I812" i="13"/>
  <c r="F812" i="13"/>
  <c r="J811" i="13"/>
  <c r="I811" i="13"/>
  <c r="F811" i="13"/>
  <c r="J810" i="13"/>
  <c r="I810" i="13"/>
  <c r="F810" i="13"/>
  <c r="J809" i="13"/>
  <c r="I809" i="13"/>
  <c r="F809" i="13"/>
  <c r="J808" i="13"/>
  <c r="I808" i="13"/>
  <c r="F808" i="13"/>
  <c r="J807" i="13"/>
  <c r="I807" i="13"/>
  <c r="F807" i="13"/>
  <c r="J806" i="13"/>
  <c r="I806" i="13"/>
  <c r="F806" i="13"/>
  <c r="J805" i="13"/>
  <c r="I805" i="13"/>
  <c r="F805" i="13"/>
  <c r="J804" i="13"/>
  <c r="I804" i="13"/>
  <c r="F804" i="13"/>
  <c r="J803" i="13"/>
  <c r="I803" i="13"/>
  <c r="F803" i="13"/>
  <c r="J802" i="13"/>
  <c r="I802" i="13"/>
  <c r="F802" i="13"/>
  <c r="J801" i="13"/>
  <c r="I801" i="13"/>
  <c r="F801" i="13"/>
  <c r="J800" i="13"/>
  <c r="I800" i="13"/>
  <c r="F800" i="13"/>
  <c r="J799" i="13"/>
  <c r="I799" i="13"/>
  <c r="F799" i="13"/>
  <c r="J798" i="13"/>
  <c r="I798" i="13"/>
  <c r="F798" i="13"/>
  <c r="J797" i="13"/>
  <c r="I797" i="13"/>
  <c r="F797" i="13"/>
  <c r="J796" i="13"/>
  <c r="I796" i="13"/>
  <c r="F796" i="13"/>
  <c r="J795" i="13"/>
  <c r="I795" i="13"/>
  <c r="F795" i="13"/>
  <c r="J794" i="13"/>
  <c r="I794" i="13"/>
  <c r="F794" i="13"/>
  <c r="J793" i="13"/>
  <c r="I793" i="13"/>
  <c r="F793" i="13"/>
  <c r="J792" i="13"/>
  <c r="I792" i="13"/>
  <c r="F792" i="13"/>
  <c r="J791" i="13"/>
  <c r="I791" i="13"/>
  <c r="F791" i="13"/>
  <c r="J790" i="13"/>
  <c r="I790" i="13"/>
  <c r="F790" i="13"/>
  <c r="J789" i="13"/>
  <c r="I789" i="13"/>
  <c r="F789" i="13"/>
  <c r="J788" i="13"/>
  <c r="I788" i="13"/>
  <c r="F788" i="13"/>
  <c r="J787" i="13"/>
  <c r="I787" i="13"/>
  <c r="F787" i="13"/>
  <c r="J786" i="13"/>
  <c r="I786" i="13"/>
  <c r="F786" i="13"/>
  <c r="J785" i="13"/>
  <c r="I785" i="13"/>
  <c r="F785" i="13"/>
  <c r="J784" i="13"/>
  <c r="I784" i="13"/>
  <c r="F784" i="13"/>
  <c r="J783" i="13"/>
  <c r="I783" i="13"/>
  <c r="F783" i="13"/>
  <c r="J782" i="13"/>
  <c r="I782" i="13"/>
  <c r="F782" i="13"/>
  <c r="J781" i="13"/>
  <c r="I781" i="13"/>
  <c r="F781" i="13"/>
  <c r="J780" i="13"/>
  <c r="I780" i="13"/>
  <c r="F780" i="13"/>
  <c r="J779" i="13"/>
  <c r="I779" i="13"/>
  <c r="F779" i="13"/>
  <c r="J778" i="13"/>
  <c r="I778" i="13"/>
  <c r="F778" i="13"/>
  <c r="J777" i="13"/>
  <c r="I777" i="13"/>
  <c r="F777" i="13"/>
  <c r="J776" i="13"/>
  <c r="I776" i="13"/>
  <c r="F776" i="13"/>
  <c r="J775" i="13"/>
  <c r="I775" i="13"/>
  <c r="F775" i="13"/>
  <c r="J774" i="13"/>
  <c r="I774" i="13"/>
  <c r="F774" i="13"/>
  <c r="J773" i="13"/>
  <c r="I773" i="13"/>
  <c r="F773" i="13"/>
  <c r="J772" i="13"/>
  <c r="I772" i="13"/>
  <c r="F772" i="13"/>
  <c r="J771" i="13"/>
  <c r="I771" i="13"/>
  <c r="F771" i="13"/>
  <c r="J770" i="13"/>
  <c r="I770" i="13"/>
  <c r="F770" i="13"/>
  <c r="J769" i="13"/>
  <c r="I769" i="13"/>
  <c r="F769" i="13"/>
  <c r="J768" i="13"/>
  <c r="I768" i="13"/>
  <c r="F768" i="13"/>
  <c r="J767" i="13"/>
  <c r="I767" i="13"/>
  <c r="F767" i="13"/>
  <c r="J766" i="13"/>
  <c r="I766" i="13"/>
  <c r="F766" i="13"/>
  <c r="J765" i="13"/>
  <c r="I765" i="13"/>
  <c r="F765" i="13"/>
  <c r="J764" i="13"/>
  <c r="I764" i="13"/>
  <c r="F764" i="13"/>
  <c r="J763" i="13"/>
  <c r="I763" i="13"/>
  <c r="F763" i="13"/>
  <c r="J762" i="13"/>
  <c r="I762" i="13"/>
  <c r="F762" i="13"/>
  <c r="J761" i="13"/>
  <c r="I761" i="13"/>
  <c r="F761" i="13"/>
  <c r="J760" i="13"/>
  <c r="I760" i="13"/>
  <c r="F760" i="13"/>
  <c r="J759" i="13"/>
  <c r="I759" i="13"/>
  <c r="F759" i="13"/>
  <c r="J758" i="13"/>
  <c r="I758" i="13"/>
  <c r="F758" i="13"/>
  <c r="J757" i="13"/>
  <c r="I757" i="13"/>
  <c r="F757" i="13"/>
  <c r="J756" i="13"/>
  <c r="I756" i="13"/>
  <c r="F756" i="13"/>
  <c r="J755" i="13"/>
  <c r="I755" i="13"/>
  <c r="F755" i="13"/>
  <c r="J754" i="13"/>
  <c r="I754" i="13"/>
  <c r="F754" i="13"/>
  <c r="J753" i="13"/>
  <c r="I753" i="13"/>
  <c r="F753" i="13"/>
  <c r="J752" i="13"/>
  <c r="I752" i="13"/>
  <c r="F752" i="13"/>
  <c r="J751" i="13"/>
  <c r="I751" i="13"/>
  <c r="F751" i="13"/>
  <c r="J750" i="13"/>
  <c r="I750" i="13"/>
  <c r="F750" i="13"/>
  <c r="J749" i="13"/>
  <c r="I749" i="13"/>
  <c r="F749" i="13"/>
  <c r="J748" i="13"/>
  <c r="I748" i="13"/>
  <c r="F748" i="13"/>
  <c r="J747" i="13"/>
  <c r="I747" i="13"/>
  <c r="F747" i="13"/>
  <c r="J746" i="13"/>
  <c r="I746" i="13"/>
  <c r="F746" i="13"/>
  <c r="J745" i="13"/>
  <c r="I745" i="13"/>
  <c r="F745" i="13"/>
  <c r="J744" i="13"/>
  <c r="I744" i="13"/>
  <c r="F744" i="13"/>
  <c r="J743" i="13"/>
  <c r="I743" i="13"/>
  <c r="F743" i="13"/>
  <c r="J742" i="13"/>
  <c r="I742" i="13"/>
  <c r="F742" i="13"/>
  <c r="J741" i="13"/>
  <c r="I741" i="13"/>
  <c r="F741" i="13"/>
  <c r="J740" i="13"/>
  <c r="I740" i="13"/>
  <c r="F740" i="13"/>
  <c r="J739" i="13"/>
  <c r="I739" i="13"/>
  <c r="F739" i="13"/>
  <c r="J738" i="13"/>
  <c r="I738" i="13"/>
  <c r="F738" i="13"/>
  <c r="J737" i="13"/>
  <c r="I737" i="13"/>
  <c r="F737" i="13"/>
  <c r="J736" i="13"/>
  <c r="I736" i="13"/>
  <c r="F736" i="13"/>
  <c r="J735" i="13"/>
  <c r="I735" i="13"/>
  <c r="F735" i="13"/>
  <c r="J734" i="13"/>
  <c r="I734" i="13"/>
  <c r="F734" i="13"/>
  <c r="J733" i="13"/>
  <c r="I733" i="13"/>
  <c r="F733" i="13"/>
  <c r="J732" i="13"/>
  <c r="I732" i="13"/>
  <c r="F732" i="13"/>
  <c r="J731" i="13"/>
  <c r="I731" i="13"/>
  <c r="F731" i="13"/>
  <c r="J730" i="13"/>
  <c r="I730" i="13"/>
  <c r="F730" i="13"/>
  <c r="J729" i="13"/>
  <c r="I729" i="13"/>
  <c r="F729" i="13"/>
  <c r="J728" i="13"/>
  <c r="I728" i="13"/>
  <c r="F728" i="13"/>
  <c r="J727" i="13"/>
  <c r="I727" i="13"/>
  <c r="F727" i="13"/>
  <c r="J726" i="13"/>
  <c r="I726" i="13"/>
  <c r="F726" i="13"/>
  <c r="J725" i="13"/>
  <c r="I725" i="13"/>
  <c r="F725" i="13"/>
  <c r="J724" i="13"/>
  <c r="I724" i="13"/>
  <c r="F724" i="13"/>
  <c r="J723" i="13"/>
  <c r="I723" i="13"/>
  <c r="F723" i="13"/>
  <c r="J722" i="13"/>
  <c r="I722" i="13"/>
  <c r="F722" i="13"/>
  <c r="J721" i="13"/>
  <c r="I721" i="13"/>
  <c r="F721" i="13"/>
  <c r="J720" i="13"/>
  <c r="I720" i="13"/>
  <c r="F720" i="13"/>
  <c r="J719" i="13"/>
  <c r="I719" i="13"/>
  <c r="F719" i="13"/>
  <c r="J718" i="13"/>
  <c r="I718" i="13"/>
  <c r="F718" i="13"/>
  <c r="J717" i="13"/>
  <c r="I717" i="13"/>
  <c r="F717" i="13"/>
  <c r="J716" i="13"/>
  <c r="I716" i="13"/>
  <c r="F716" i="13"/>
  <c r="J715" i="13"/>
  <c r="I715" i="13"/>
  <c r="F715" i="13"/>
  <c r="J714" i="13"/>
  <c r="I714" i="13"/>
  <c r="F714" i="13"/>
  <c r="J713" i="13"/>
  <c r="I713" i="13"/>
  <c r="F713" i="13"/>
  <c r="J712" i="13"/>
  <c r="I712" i="13"/>
  <c r="F712" i="13"/>
  <c r="J711" i="13"/>
  <c r="I711" i="13"/>
  <c r="F711" i="13"/>
  <c r="J710" i="13"/>
  <c r="I710" i="13"/>
  <c r="F710" i="13"/>
  <c r="J709" i="13"/>
  <c r="I709" i="13"/>
  <c r="F709" i="13"/>
  <c r="J708" i="13"/>
  <c r="I708" i="13"/>
  <c r="F708" i="13"/>
  <c r="J707" i="13"/>
  <c r="I707" i="13"/>
  <c r="F707" i="13"/>
  <c r="J706" i="13"/>
  <c r="I706" i="13"/>
  <c r="F706" i="13"/>
  <c r="J705" i="13"/>
  <c r="I705" i="13"/>
  <c r="F705" i="13"/>
  <c r="J704" i="13"/>
  <c r="I704" i="13"/>
  <c r="F704" i="13"/>
  <c r="J703" i="13"/>
  <c r="I703" i="13"/>
  <c r="F703" i="13"/>
  <c r="J702" i="13"/>
  <c r="I702" i="13"/>
  <c r="F702" i="13"/>
  <c r="J701" i="13"/>
  <c r="I701" i="13"/>
  <c r="F701" i="13"/>
  <c r="J700" i="13"/>
  <c r="I700" i="13"/>
  <c r="F700" i="13"/>
  <c r="J699" i="13"/>
  <c r="I699" i="13"/>
  <c r="F699" i="13"/>
  <c r="J698" i="13"/>
  <c r="I698" i="13"/>
  <c r="F698" i="13"/>
  <c r="J697" i="13"/>
  <c r="I697" i="13"/>
  <c r="F697" i="13"/>
  <c r="J696" i="13"/>
  <c r="I696" i="13"/>
  <c r="F696" i="13"/>
  <c r="J695" i="13"/>
  <c r="I695" i="13"/>
  <c r="F695" i="13"/>
  <c r="J694" i="13"/>
  <c r="I694" i="13"/>
  <c r="F694" i="13"/>
  <c r="J693" i="13"/>
  <c r="I693" i="13"/>
  <c r="F693" i="13"/>
  <c r="J692" i="13"/>
  <c r="I692" i="13"/>
  <c r="F692" i="13"/>
  <c r="J691" i="13"/>
  <c r="I691" i="13"/>
  <c r="F691" i="13"/>
  <c r="J690" i="13"/>
  <c r="I690" i="13"/>
  <c r="F690" i="13"/>
  <c r="J689" i="13"/>
  <c r="I689" i="13"/>
  <c r="F689" i="13"/>
  <c r="J688" i="13"/>
  <c r="I688" i="13"/>
  <c r="F688" i="13"/>
  <c r="J687" i="13"/>
  <c r="I687" i="13"/>
  <c r="F687" i="13"/>
  <c r="J686" i="13"/>
  <c r="I686" i="13"/>
  <c r="F686" i="13"/>
  <c r="J685" i="13"/>
  <c r="I685" i="13"/>
  <c r="F685" i="13"/>
  <c r="J684" i="13"/>
  <c r="I684" i="13"/>
  <c r="F684" i="13"/>
  <c r="J683" i="13"/>
  <c r="I683" i="13"/>
  <c r="F683" i="13"/>
  <c r="J682" i="13"/>
  <c r="I682" i="13"/>
  <c r="F682" i="13"/>
  <c r="J681" i="13"/>
  <c r="I681" i="13"/>
  <c r="F681" i="13"/>
  <c r="J680" i="13"/>
  <c r="I680" i="13"/>
  <c r="F680" i="13"/>
  <c r="J679" i="13"/>
  <c r="I679" i="13"/>
  <c r="F679" i="13"/>
  <c r="J678" i="13"/>
  <c r="I678" i="13"/>
  <c r="F678" i="13"/>
  <c r="J677" i="13"/>
  <c r="I677" i="13"/>
  <c r="F677" i="13"/>
  <c r="J676" i="13"/>
  <c r="I676" i="13"/>
  <c r="F676" i="13"/>
  <c r="J675" i="13"/>
  <c r="I675" i="13"/>
  <c r="F675" i="13"/>
  <c r="J674" i="13"/>
  <c r="I674" i="13"/>
  <c r="F674" i="13"/>
  <c r="J673" i="13"/>
  <c r="I673" i="13"/>
  <c r="K673" i="13" s="1"/>
  <c r="M673" i="13" s="1"/>
  <c r="F673" i="13"/>
  <c r="J672" i="13"/>
  <c r="I672" i="13"/>
  <c r="F672" i="13"/>
  <c r="J671" i="13"/>
  <c r="I671" i="13"/>
  <c r="F671" i="13"/>
  <c r="J670" i="13"/>
  <c r="I670" i="13"/>
  <c r="F670" i="13"/>
  <c r="J669" i="13"/>
  <c r="I669" i="13"/>
  <c r="F669" i="13"/>
  <c r="J668" i="13"/>
  <c r="I668" i="13"/>
  <c r="F668" i="13"/>
  <c r="J667" i="13"/>
  <c r="I667" i="13"/>
  <c r="F667" i="13"/>
  <c r="J666" i="13"/>
  <c r="I666" i="13"/>
  <c r="F666" i="13"/>
  <c r="J665" i="13"/>
  <c r="I665" i="13"/>
  <c r="F665" i="13"/>
  <c r="J664" i="13"/>
  <c r="I664" i="13"/>
  <c r="F664" i="13"/>
  <c r="J663" i="13"/>
  <c r="I663" i="13"/>
  <c r="F663" i="13"/>
  <c r="J662" i="13"/>
  <c r="I662" i="13"/>
  <c r="F662" i="13"/>
  <c r="J661" i="13"/>
  <c r="I661" i="13"/>
  <c r="F661" i="13"/>
  <c r="J660" i="13"/>
  <c r="I660" i="13"/>
  <c r="F660" i="13"/>
  <c r="J659" i="13"/>
  <c r="I659" i="13"/>
  <c r="F659" i="13"/>
  <c r="J658" i="13"/>
  <c r="I658" i="13"/>
  <c r="F658" i="13"/>
  <c r="J657" i="13"/>
  <c r="I657" i="13"/>
  <c r="F657" i="13"/>
  <c r="J656" i="13"/>
  <c r="I656" i="13"/>
  <c r="F656" i="13"/>
  <c r="J655" i="13"/>
  <c r="I655" i="13"/>
  <c r="F655" i="13"/>
  <c r="J654" i="13"/>
  <c r="I654" i="13"/>
  <c r="F654" i="13"/>
  <c r="J653" i="13"/>
  <c r="I653" i="13"/>
  <c r="F653" i="13"/>
  <c r="J652" i="13"/>
  <c r="I652" i="13"/>
  <c r="F652" i="13"/>
  <c r="J651" i="13"/>
  <c r="I651" i="13"/>
  <c r="F651" i="13"/>
  <c r="J650" i="13"/>
  <c r="I650" i="13"/>
  <c r="F650" i="13"/>
  <c r="J649" i="13"/>
  <c r="I649" i="13"/>
  <c r="F649" i="13"/>
  <c r="J648" i="13"/>
  <c r="I648" i="13"/>
  <c r="F648" i="13"/>
  <c r="J647" i="13"/>
  <c r="I647" i="13"/>
  <c r="F647" i="13"/>
  <c r="J646" i="13"/>
  <c r="I646" i="13"/>
  <c r="F646" i="13"/>
  <c r="J645" i="13"/>
  <c r="I645" i="13"/>
  <c r="F645" i="13"/>
  <c r="J644" i="13"/>
  <c r="I644" i="13"/>
  <c r="F644" i="13"/>
  <c r="J643" i="13"/>
  <c r="I643" i="13"/>
  <c r="F643" i="13"/>
  <c r="J642" i="13"/>
  <c r="I642" i="13"/>
  <c r="F642" i="13"/>
  <c r="J641" i="13"/>
  <c r="I641" i="13"/>
  <c r="F641" i="13"/>
  <c r="J640" i="13"/>
  <c r="I640" i="13"/>
  <c r="F640" i="13"/>
  <c r="J639" i="13"/>
  <c r="I639" i="13"/>
  <c r="F639" i="13"/>
  <c r="J638" i="13"/>
  <c r="I638" i="13"/>
  <c r="F638" i="13"/>
  <c r="J637" i="13"/>
  <c r="I637" i="13"/>
  <c r="F637" i="13"/>
  <c r="J636" i="13"/>
  <c r="I636" i="13"/>
  <c r="F636" i="13"/>
  <c r="J635" i="13"/>
  <c r="I635" i="13"/>
  <c r="F635" i="13"/>
  <c r="J634" i="13"/>
  <c r="I634" i="13"/>
  <c r="F634" i="13"/>
  <c r="J633" i="13"/>
  <c r="I633" i="13"/>
  <c r="F633" i="13"/>
  <c r="J632" i="13"/>
  <c r="I632" i="13"/>
  <c r="F632" i="13"/>
  <c r="J631" i="13"/>
  <c r="I631" i="13"/>
  <c r="F631" i="13"/>
  <c r="J630" i="13"/>
  <c r="I630" i="13"/>
  <c r="F630" i="13"/>
  <c r="J629" i="13"/>
  <c r="I629" i="13"/>
  <c r="F629" i="13"/>
  <c r="J628" i="13"/>
  <c r="I628" i="13"/>
  <c r="F628" i="13"/>
  <c r="J627" i="13"/>
  <c r="I627" i="13"/>
  <c r="F627" i="13"/>
  <c r="J626" i="13"/>
  <c r="I626" i="13"/>
  <c r="F626" i="13"/>
  <c r="J625" i="13"/>
  <c r="I625" i="13"/>
  <c r="F625" i="13"/>
  <c r="J624" i="13"/>
  <c r="I624" i="13"/>
  <c r="F624" i="13"/>
  <c r="J623" i="13"/>
  <c r="I623" i="13"/>
  <c r="F623" i="13"/>
  <c r="J622" i="13"/>
  <c r="I622" i="13"/>
  <c r="F622" i="13"/>
  <c r="J621" i="13"/>
  <c r="I621" i="13"/>
  <c r="F621" i="13"/>
  <c r="J620" i="13"/>
  <c r="I620" i="13"/>
  <c r="F620" i="13"/>
  <c r="J619" i="13"/>
  <c r="I619" i="13"/>
  <c r="F619" i="13"/>
  <c r="J618" i="13"/>
  <c r="I618" i="13"/>
  <c r="F618" i="13"/>
  <c r="J617" i="13"/>
  <c r="I617" i="13"/>
  <c r="F617" i="13"/>
  <c r="J616" i="13"/>
  <c r="I616" i="13"/>
  <c r="F616" i="13"/>
  <c r="J615" i="13"/>
  <c r="I615" i="13"/>
  <c r="F615" i="13"/>
  <c r="J614" i="13"/>
  <c r="I614" i="13"/>
  <c r="F614" i="13"/>
  <c r="J613" i="13"/>
  <c r="I613" i="13"/>
  <c r="F613" i="13"/>
  <c r="J612" i="13"/>
  <c r="I612" i="13"/>
  <c r="F612" i="13"/>
  <c r="J611" i="13"/>
  <c r="I611" i="13"/>
  <c r="F611" i="13"/>
  <c r="J610" i="13"/>
  <c r="I610" i="13"/>
  <c r="F610" i="13"/>
  <c r="J609" i="13"/>
  <c r="I609" i="13"/>
  <c r="F609" i="13"/>
  <c r="J608" i="13"/>
  <c r="I608" i="13"/>
  <c r="F608" i="13"/>
  <c r="J607" i="13"/>
  <c r="I607" i="13"/>
  <c r="F607" i="13"/>
  <c r="J606" i="13"/>
  <c r="I606" i="13"/>
  <c r="F606" i="13"/>
  <c r="J605" i="13"/>
  <c r="I605" i="13"/>
  <c r="F605" i="13"/>
  <c r="J604" i="13"/>
  <c r="I604" i="13"/>
  <c r="F604" i="13"/>
  <c r="J603" i="13"/>
  <c r="I603" i="13"/>
  <c r="F603" i="13"/>
  <c r="J602" i="13"/>
  <c r="I602" i="13"/>
  <c r="F602" i="13"/>
  <c r="J601" i="13"/>
  <c r="I601" i="13"/>
  <c r="F601" i="13"/>
  <c r="J600" i="13"/>
  <c r="I600" i="13"/>
  <c r="F600" i="13"/>
  <c r="J599" i="13"/>
  <c r="I599" i="13"/>
  <c r="F599" i="13"/>
  <c r="J598" i="13"/>
  <c r="I598" i="13"/>
  <c r="F598" i="13"/>
  <c r="J597" i="13"/>
  <c r="I597" i="13"/>
  <c r="F597" i="13"/>
  <c r="J596" i="13"/>
  <c r="I596" i="13"/>
  <c r="F596" i="13"/>
  <c r="J595" i="13"/>
  <c r="I595" i="13"/>
  <c r="F595" i="13"/>
  <c r="J594" i="13"/>
  <c r="I594" i="13"/>
  <c r="F594" i="13"/>
  <c r="J593" i="13"/>
  <c r="I593" i="13"/>
  <c r="F593" i="13"/>
  <c r="J592" i="13"/>
  <c r="I592" i="13"/>
  <c r="F592" i="13"/>
  <c r="J591" i="13"/>
  <c r="I591" i="13"/>
  <c r="F591" i="13"/>
  <c r="J590" i="13"/>
  <c r="I590" i="13"/>
  <c r="F590" i="13"/>
  <c r="J589" i="13"/>
  <c r="I589" i="13"/>
  <c r="F589" i="13"/>
  <c r="J588" i="13"/>
  <c r="I588" i="13"/>
  <c r="F588" i="13"/>
  <c r="J587" i="13"/>
  <c r="I587" i="13"/>
  <c r="F587" i="13"/>
  <c r="J586" i="13"/>
  <c r="I586" i="13"/>
  <c r="F586" i="13"/>
  <c r="J585" i="13"/>
  <c r="I585" i="13"/>
  <c r="F585" i="13"/>
  <c r="J584" i="13"/>
  <c r="I584" i="13"/>
  <c r="F584" i="13"/>
  <c r="J583" i="13"/>
  <c r="I583" i="13"/>
  <c r="F583" i="13"/>
  <c r="J582" i="13"/>
  <c r="I582" i="13"/>
  <c r="F582" i="13"/>
  <c r="J581" i="13"/>
  <c r="I581" i="13"/>
  <c r="F581" i="13"/>
  <c r="J580" i="13"/>
  <c r="I580" i="13"/>
  <c r="F580" i="13"/>
  <c r="J579" i="13"/>
  <c r="I579" i="13"/>
  <c r="F579" i="13"/>
  <c r="J578" i="13"/>
  <c r="I578" i="13"/>
  <c r="F578" i="13"/>
  <c r="J577" i="13"/>
  <c r="I577" i="13"/>
  <c r="F577" i="13"/>
  <c r="J576" i="13"/>
  <c r="I576" i="13"/>
  <c r="F576" i="13"/>
  <c r="J575" i="13"/>
  <c r="I575" i="13"/>
  <c r="F575" i="13"/>
  <c r="J574" i="13"/>
  <c r="I574" i="13"/>
  <c r="F574" i="13"/>
  <c r="J573" i="13"/>
  <c r="I573" i="13"/>
  <c r="F573" i="13"/>
  <c r="J572" i="13"/>
  <c r="I572" i="13"/>
  <c r="F572" i="13"/>
  <c r="J571" i="13"/>
  <c r="I571" i="13"/>
  <c r="F571" i="13"/>
  <c r="J570" i="13"/>
  <c r="I570" i="13"/>
  <c r="F570" i="13"/>
  <c r="J569" i="13"/>
  <c r="I569" i="13"/>
  <c r="F569" i="13"/>
  <c r="J568" i="13"/>
  <c r="I568" i="13"/>
  <c r="F568" i="13"/>
  <c r="J567" i="13"/>
  <c r="I567" i="13"/>
  <c r="F567" i="13"/>
  <c r="J566" i="13"/>
  <c r="I566" i="13"/>
  <c r="F566" i="13"/>
  <c r="J565" i="13"/>
  <c r="I565" i="13"/>
  <c r="F565" i="13"/>
  <c r="J564" i="13"/>
  <c r="I564" i="13"/>
  <c r="F564" i="13"/>
  <c r="J563" i="13"/>
  <c r="I563" i="13"/>
  <c r="F563" i="13"/>
  <c r="J562" i="13"/>
  <c r="I562" i="13"/>
  <c r="F562" i="13"/>
  <c r="J561" i="13"/>
  <c r="I561" i="13"/>
  <c r="F561" i="13"/>
  <c r="J560" i="13"/>
  <c r="I560" i="13"/>
  <c r="F560" i="13"/>
  <c r="J559" i="13"/>
  <c r="I559" i="13"/>
  <c r="F559" i="13"/>
  <c r="J558" i="13"/>
  <c r="I558" i="13"/>
  <c r="F558" i="13"/>
  <c r="J557" i="13"/>
  <c r="I557" i="13"/>
  <c r="F557" i="13"/>
  <c r="J556" i="13"/>
  <c r="I556" i="13"/>
  <c r="F556" i="13"/>
  <c r="J555" i="13"/>
  <c r="I555" i="13"/>
  <c r="F555" i="13"/>
  <c r="J554" i="13"/>
  <c r="I554" i="13"/>
  <c r="F554" i="13"/>
  <c r="J553" i="13"/>
  <c r="I553" i="13"/>
  <c r="F553" i="13"/>
  <c r="J552" i="13"/>
  <c r="I552" i="13"/>
  <c r="F552" i="13"/>
  <c r="J551" i="13"/>
  <c r="I551" i="13"/>
  <c r="F551" i="13"/>
  <c r="J550" i="13"/>
  <c r="I550" i="13"/>
  <c r="F550" i="13"/>
  <c r="J549" i="13"/>
  <c r="I549" i="13"/>
  <c r="F549" i="13"/>
  <c r="J548" i="13"/>
  <c r="I548" i="13"/>
  <c r="F548" i="13"/>
  <c r="J547" i="13"/>
  <c r="I547" i="13"/>
  <c r="F547" i="13"/>
  <c r="J546" i="13"/>
  <c r="I546" i="13"/>
  <c r="F546" i="13"/>
  <c r="J545" i="13"/>
  <c r="I545" i="13"/>
  <c r="F545" i="13"/>
  <c r="J544" i="13"/>
  <c r="I544" i="13"/>
  <c r="F544" i="13"/>
  <c r="J543" i="13"/>
  <c r="I543" i="13"/>
  <c r="F543" i="13"/>
  <c r="J542" i="13"/>
  <c r="I542" i="13"/>
  <c r="F542" i="13"/>
  <c r="J541" i="13"/>
  <c r="I541" i="13"/>
  <c r="F541" i="13"/>
  <c r="J540" i="13"/>
  <c r="I540" i="13"/>
  <c r="F540" i="13"/>
  <c r="J539" i="13"/>
  <c r="I539" i="13"/>
  <c r="F539" i="13"/>
  <c r="J538" i="13"/>
  <c r="I538" i="13"/>
  <c r="F538" i="13"/>
  <c r="J537" i="13"/>
  <c r="I537" i="13"/>
  <c r="F537" i="13"/>
  <c r="J536" i="13"/>
  <c r="I536" i="13"/>
  <c r="F536" i="13"/>
  <c r="J535" i="13"/>
  <c r="I535" i="13"/>
  <c r="F535" i="13"/>
  <c r="J534" i="13"/>
  <c r="I534" i="13"/>
  <c r="F534" i="13"/>
  <c r="J533" i="13"/>
  <c r="I533" i="13"/>
  <c r="F533" i="13"/>
  <c r="J532" i="13"/>
  <c r="I532" i="13"/>
  <c r="F532" i="13"/>
  <c r="J531" i="13"/>
  <c r="I531" i="13"/>
  <c r="F531" i="13"/>
  <c r="J530" i="13"/>
  <c r="I530" i="13"/>
  <c r="F530" i="13"/>
  <c r="J529" i="13"/>
  <c r="I529" i="13"/>
  <c r="F529" i="13"/>
  <c r="J528" i="13"/>
  <c r="I528" i="13"/>
  <c r="F528" i="13"/>
  <c r="J527" i="13"/>
  <c r="I527" i="13"/>
  <c r="F527" i="13"/>
  <c r="J526" i="13"/>
  <c r="I526" i="13"/>
  <c r="F526" i="13"/>
  <c r="J525" i="13"/>
  <c r="I525" i="13"/>
  <c r="F525" i="13"/>
  <c r="J524" i="13"/>
  <c r="I524" i="13"/>
  <c r="F524" i="13"/>
  <c r="J523" i="13"/>
  <c r="I523" i="13"/>
  <c r="F523" i="13"/>
  <c r="J522" i="13"/>
  <c r="I522" i="13"/>
  <c r="F522" i="13"/>
  <c r="J521" i="13"/>
  <c r="I521" i="13"/>
  <c r="F521" i="13"/>
  <c r="J520" i="13"/>
  <c r="I520" i="13"/>
  <c r="F520" i="13"/>
  <c r="J519" i="13"/>
  <c r="I519" i="13"/>
  <c r="F519" i="13"/>
  <c r="J518" i="13"/>
  <c r="I518" i="13"/>
  <c r="F518" i="13"/>
  <c r="J517" i="13"/>
  <c r="I517" i="13"/>
  <c r="F517" i="13"/>
  <c r="J516" i="13"/>
  <c r="I516" i="13"/>
  <c r="F516" i="13"/>
  <c r="J515" i="13"/>
  <c r="I515" i="13"/>
  <c r="F515" i="13"/>
  <c r="J514" i="13"/>
  <c r="I514" i="13"/>
  <c r="F514" i="13"/>
  <c r="J513" i="13"/>
  <c r="I513" i="13"/>
  <c r="F513" i="13"/>
  <c r="J512" i="13"/>
  <c r="I512" i="13"/>
  <c r="F512" i="13"/>
  <c r="J511" i="13"/>
  <c r="I511" i="13"/>
  <c r="F511" i="13"/>
  <c r="J510" i="13"/>
  <c r="I510" i="13"/>
  <c r="F510" i="13"/>
  <c r="J509" i="13"/>
  <c r="I509" i="13"/>
  <c r="F509" i="13"/>
  <c r="J508" i="13"/>
  <c r="I508" i="13"/>
  <c r="F508" i="13"/>
  <c r="J507" i="13"/>
  <c r="I507" i="13"/>
  <c r="F507" i="13"/>
  <c r="J506" i="13"/>
  <c r="I506" i="13"/>
  <c r="F506" i="13"/>
  <c r="J505" i="13"/>
  <c r="I505" i="13"/>
  <c r="F505" i="13"/>
  <c r="J504" i="13"/>
  <c r="I504" i="13"/>
  <c r="F504" i="13"/>
  <c r="J503" i="13"/>
  <c r="I503" i="13"/>
  <c r="F503" i="13"/>
  <c r="J502" i="13"/>
  <c r="I502" i="13"/>
  <c r="F502" i="13"/>
  <c r="J501" i="13"/>
  <c r="I501" i="13"/>
  <c r="F501" i="13"/>
  <c r="J500" i="13"/>
  <c r="I500" i="13"/>
  <c r="F500" i="13"/>
  <c r="J499" i="13"/>
  <c r="I499" i="13"/>
  <c r="F499" i="13"/>
  <c r="J498" i="13"/>
  <c r="I498" i="13"/>
  <c r="F498" i="13"/>
  <c r="J497" i="13"/>
  <c r="I497" i="13"/>
  <c r="F497" i="13"/>
  <c r="J496" i="13"/>
  <c r="I496" i="13"/>
  <c r="F496" i="13"/>
  <c r="J495" i="13"/>
  <c r="I495" i="13"/>
  <c r="F495" i="13"/>
  <c r="J494" i="13"/>
  <c r="I494" i="13"/>
  <c r="F494" i="13"/>
  <c r="J493" i="13"/>
  <c r="I493" i="13"/>
  <c r="F493" i="13"/>
  <c r="J492" i="13"/>
  <c r="I492" i="13"/>
  <c r="F492" i="13"/>
  <c r="J491" i="13"/>
  <c r="I491" i="13"/>
  <c r="F491" i="13"/>
  <c r="J490" i="13"/>
  <c r="I490" i="13"/>
  <c r="F490" i="13"/>
  <c r="J489" i="13"/>
  <c r="I489" i="13"/>
  <c r="F489" i="13"/>
  <c r="J488" i="13"/>
  <c r="I488" i="13"/>
  <c r="F488" i="13"/>
  <c r="J487" i="13"/>
  <c r="I487" i="13"/>
  <c r="F487" i="13"/>
  <c r="J486" i="13"/>
  <c r="I486" i="13"/>
  <c r="F486" i="13"/>
  <c r="J485" i="13"/>
  <c r="I485" i="13"/>
  <c r="F485" i="13"/>
  <c r="J484" i="13"/>
  <c r="I484" i="13"/>
  <c r="F484" i="13"/>
  <c r="J483" i="13"/>
  <c r="I483" i="13"/>
  <c r="F483" i="13"/>
  <c r="J482" i="13"/>
  <c r="I482" i="13"/>
  <c r="F482" i="13"/>
  <c r="J481" i="13"/>
  <c r="I481" i="13"/>
  <c r="F481" i="13"/>
  <c r="J480" i="13"/>
  <c r="I480" i="13"/>
  <c r="F480" i="13"/>
  <c r="J479" i="13"/>
  <c r="I479" i="13"/>
  <c r="K479" i="13" s="1"/>
  <c r="M479" i="13" s="1"/>
  <c r="F479" i="13"/>
  <c r="J478" i="13"/>
  <c r="I478" i="13"/>
  <c r="F478" i="13"/>
  <c r="J477" i="13"/>
  <c r="I477" i="13"/>
  <c r="K477" i="13" s="1"/>
  <c r="M477" i="13" s="1"/>
  <c r="F477" i="13"/>
  <c r="J476" i="13"/>
  <c r="I476" i="13"/>
  <c r="F476" i="13"/>
  <c r="J475" i="13"/>
  <c r="I475" i="13"/>
  <c r="K475" i="13" s="1"/>
  <c r="M475" i="13" s="1"/>
  <c r="N475" i="13" s="1"/>
  <c r="F475" i="13"/>
  <c r="J474" i="13"/>
  <c r="I474" i="13"/>
  <c r="F474" i="13"/>
  <c r="J473" i="13"/>
  <c r="I473" i="13"/>
  <c r="K473" i="13" s="1"/>
  <c r="M473" i="13" s="1"/>
  <c r="F473" i="13"/>
  <c r="J472" i="13"/>
  <c r="I472" i="13"/>
  <c r="F472" i="13"/>
  <c r="J471" i="13"/>
  <c r="I471" i="13"/>
  <c r="K471" i="13" s="1"/>
  <c r="M471" i="13" s="1"/>
  <c r="F471" i="13"/>
  <c r="J470" i="13"/>
  <c r="I470" i="13"/>
  <c r="F470" i="13"/>
  <c r="J469" i="13"/>
  <c r="I469" i="13"/>
  <c r="K469" i="13" s="1"/>
  <c r="M469" i="13" s="1"/>
  <c r="F469" i="13"/>
  <c r="J468" i="13"/>
  <c r="I468" i="13"/>
  <c r="F468" i="13"/>
  <c r="J467" i="13"/>
  <c r="I467" i="13"/>
  <c r="K467" i="13" s="1"/>
  <c r="M467" i="13" s="1"/>
  <c r="F467" i="13"/>
  <c r="J466" i="13"/>
  <c r="I466" i="13"/>
  <c r="F466" i="13"/>
  <c r="J465" i="13"/>
  <c r="I465" i="13"/>
  <c r="K465" i="13" s="1"/>
  <c r="M465" i="13" s="1"/>
  <c r="F465" i="13"/>
  <c r="J464" i="13"/>
  <c r="I464" i="13"/>
  <c r="F464" i="13"/>
  <c r="J463" i="13"/>
  <c r="I463" i="13"/>
  <c r="K463" i="13" s="1"/>
  <c r="M463" i="13" s="1"/>
  <c r="F463" i="13"/>
  <c r="J462" i="13"/>
  <c r="I462" i="13"/>
  <c r="F462" i="13"/>
  <c r="J461" i="13"/>
  <c r="I461" i="13"/>
  <c r="K461" i="13" s="1"/>
  <c r="M461" i="13" s="1"/>
  <c r="F461" i="13"/>
  <c r="J460" i="13"/>
  <c r="I460" i="13"/>
  <c r="F460" i="13"/>
  <c r="J459" i="13"/>
  <c r="I459" i="13"/>
  <c r="K459" i="13" s="1"/>
  <c r="M459" i="13" s="1"/>
  <c r="F459" i="13"/>
  <c r="J458" i="13"/>
  <c r="I458" i="13"/>
  <c r="F458" i="13"/>
  <c r="J457" i="13"/>
  <c r="I457" i="13"/>
  <c r="K457" i="13" s="1"/>
  <c r="M457" i="13" s="1"/>
  <c r="F457" i="13"/>
  <c r="J456" i="13"/>
  <c r="I456" i="13"/>
  <c r="F456" i="13"/>
  <c r="J455" i="13"/>
  <c r="I455" i="13"/>
  <c r="K455" i="13" s="1"/>
  <c r="M455" i="13" s="1"/>
  <c r="F455" i="13"/>
  <c r="J454" i="13"/>
  <c r="I454" i="13"/>
  <c r="F454" i="13"/>
  <c r="J453" i="13"/>
  <c r="I453" i="13"/>
  <c r="K453" i="13" s="1"/>
  <c r="M453" i="13" s="1"/>
  <c r="F453" i="13"/>
  <c r="J452" i="13"/>
  <c r="I452" i="13"/>
  <c r="F452" i="13"/>
  <c r="J451" i="13"/>
  <c r="I451" i="13"/>
  <c r="K451" i="13" s="1"/>
  <c r="M451" i="13" s="1"/>
  <c r="N451" i="13" s="1"/>
  <c r="F451" i="13"/>
  <c r="J450" i="13"/>
  <c r="I450" i="13"/>
  <c r="F450" i="13"/>
  <c r="J449" i="13"/>
  <c r="I449" i="13"/>
  <c r="K449" i="13" s="1"/>
  <c r="M449" i="13" s="1"/>
  <c r="F449" i="13"/>
  <c r="J448" i="13"/>
  <c r="I448" i="13"/>
  <c r="F448" i="13"/>
  <c r="J447" i="13"/>
  <c r="I447" i="13"/>
  <c r="K447" i="13" s="1"/>
  <c r="M447" i="13" s="1"/>
  <c r="F447" i="13"/>
  <c r="J446" i="13"/>
  <c r="I446" i="13"/>
  <c r="F446" i="13"/>
  <c r="J445" i="13"/>
  <c r="I445" i="13"/>
  <c r="K445" i="13" s="1"/>
  <c r="M445" i="13" s="1"/>
  <c r="F445" i="13"/>
  <c r="J444" i="13"/>
  <c r="I444" i="13"/>
  <c r="F444" i="13"/>
  <c r="J443" i="13"/>
  <c r="I443" i="13"/>
  <c r="F443" i="13"/>
  <c r="J442" i="13"/>
  <c r="K442" i="13" s="1"/>
  <c r="M442" i="13" s="1"/>
  <c r="I442" i="13"/>
  <c r="F442" i="13"/>
  <c r="J441" i="13"/>
  <c r="I441" i="13"/>
  <c r="F441" i="13"/>
  <c r="J440" i="13"/>
  <c r="I440" i="13"/>
  <c r="F440" i="13"/>
  <c r="J439" i="13"/>
  <c r="I439" i="13"/>
  <c r="F439" i="13"/>
  <c r="J438" i="13"/>
  <c r="I438" i="13"/>
  <c r="F438" i="13"/>
  <c r="J437" i="13"/>
  <c r="I437" i="13"/>
  <c r="F437" i="13"/>
  <c r="J436" i="13"/>
  <c r="I436" i="13"/>
  <c r="F436" i="13"/>
  <c r="J435" i="13"/>
  <c r="I435" i="13"/>
  <c r="F435" i="13"/>
  <c r="J434" i="13"/>
  <c r="I434" i="13"/>
  <c r="F434" i="13"/>
  <c r="J433" i="13"/>
  <c r="I433" i="13"/>
  <c r="F433" i="13"/>
  <c r="J432" i="13"/>
  <c r="I432" i="13"/>
  <c r="F432" i="13"/>
  <c r="J431" i="13"/>
  <c r="I431" i="13"/>
  <c r="F431" i="13"/>
  <c r="J430" i="13"/>
  <c r="I430" i="13"/>
  <c r="F430" i="13"/>
  <c r="J429" i="13"/>
  <c r="I429" i="13"/>
  <c r="F429" i="13"/>
  <c r="J428" i="13"/>
  <c r="I428" i="13"/>
  <c r="F428" i="13"/>
  <c r="J427" i="13"/>
  <c r="I427" i="13"/>
  <c r="F427" i="13"/>
  <c r="J426" i="13"/>
  <c r="I426" i="13"/>
  <c r="F426" i="13"/>
  <c r="J425" i="13"/>
  <c r="I425" i="13"/>
  <c r="F425" i="13"/>
  <c r="J424" i="13"/>
  <c r="I424" i="13"/>
  <c r="F424" i="13"/>
  <c r="J423" i="13"/>
  <c r="I423" i="13"/>
  <c r="F423" i="13"/>
  <c r="J422" i="13"/>
  <c r="I422" i="13"/>
  <c r="F422" i="13"/>
  <c r="J421" i="13"/>
  <c r="I421" i="13"/>
  <c r="F421" i="13"/>
  <c r="J420" i="13"/>
  <c r="I420" i="13"/>
  <c r="F420" i="13"/>
  <c r="J419" i="13"/>
  <c r="I419" i="13"/>
  <c r="F419" i="13"/>
  <c r="J418" i="13"/>
  <c r="I418" i="13"/>
  <c r="F418" i="13"/>
  <c r="J417" i="13"/>
  <c r="I417" i="13"/>
  <c r="F417" i="13"/>
  <c r="J416" i="13"/>
  <c r="I416" i="13"/>
  <c r="F416" i="13"/>
  <c r="J415" i="13"/>
  <c r="I415" i="13"/>
  <c r="F415" i="13"/>
  <c r="J414" i="13"/>
  <c r="I414" i="13"/>
  <c r="F414" i="13"/>
  <c r="J413" i="13"/>
  <c r="I413" i="13"/>
  <c r="F413" i="13"/>
  <c r="J412" i="13"/>
  <c r="I412" i="13"/>
  <c r="F412" i="13"/>
  <c r="J411" i="13"/>
  <c r="I411" i="13"/>
  <c r="F411" i="13"/>
  <c r="J410" i="13"/>
  <c r="I410" i="13"/>
  <c r="F410" i="13"/>
  <c r="J409" i="13"/>
  <c r="I409" i="13"/>
  <c r="F409" i="13"/>
  <c r="J408" i="13"/>
  <c r="I408" i="13"/>
  <c r="F408" i="13"/>
  <c r="J407" i="13"/>
  <c r="I407" i="13"/>
  <c r="F407" i="13"/>
  <c r="J406" i="13"/>
  <c r="I406" i="13"/>
  <c r="F406" i="13"/>
  <c r="J405" i="13"/>
  <c r="I405" i="13"/>
  <c r="F405" i="13"/>
  <c r="J404" i="13"/>
  <c r="I404" i="13"/>
  <c r="F404" i="13"/>
  <c r="J403" i="13"/>
  <c r="I403" i="13"/>
  <c r="F403" i="13"/>
  <c r="J402" i="13"/>
  <c r="I402" i="13"/>
  <c r="F402" i="13"/>
  <c r="J401" i="13"/>
  <c r="I401" i="13"/>
  <c r="F401" i="13"/>
  <c r="J400" i="13"/>
  <c r="I400" i="13"/>
  <c r="F400" i="13"/>
  <c r="J399" i="13"/>
  <c r="I399" i="13"/>
  <c r="F399" i="13"/>
  <c r="J398" i="13"/>
  <c r="I398" i="13"/>
  <c r="F398" i="13"/>
  <c r="J397" i="13"/>
  <c r="I397" i="13"/>
  <c r="F397" i="13"/>
  <c r="J396" i="13"/>
  <c r="I396" i="13"/>
  <c r="F396" i="13"/>
  <c r="J395" i="13"/>
  <c r="I395" i="13"/>
  <c r="F395" i="13"/>
  <c r="J394" i="13"/>
  <c r="I394" i="13"/>
  <c r="F394" i="13"/>
  <c r="J393" i="13"/>
  <c r="I393" i="13"/>
  <c r="F393" i="13"/>
  <c r="J392" i="13"/>
  <c r="I392" i="13"/>
  <c r="F392" i="13"/>
  <c r="J391" i="13"/>
  <c r="I391" i="13"/>
  <c r="K391" i="13" s="1"/>
  <c r="M391" i="13" s="1"/>
  <c r="F391" i="13"/>
  <c r="J390" i="13"/>
  <c r="I390" i="13"/>
  <c r="F390" i="13"/>
  <c r="J389" i="13"/>
  <c r="I389" i="13"/>
  <c r="F389" i="13"/>
  <c r="J388" i="13"/>
  <c r="I388" i="13"/>
  <c r="F388" i="13"/>
  <c r="J387" i="13"/>
  <c r="I387" i="13"/>
  <c r="F387" i="13"/>
  <c r="J386" i="13"/>
  <c r="I386" i="13"/>
  <c r="F386" i="13"/>
  <c r="J385" i="13"/>
  <c r="I385" i="13"/>
  <c r="F385" i="13"/>
  <c r="J384" i="13"/>
  <c r="I384" i="13"/>
  <c r="F384" i="13"/>
  <c r="J383" i="13"/>
  <c r="I383" i="13"/>
  <c r="F383" i="13"/>
  <c r="J382" i="13"/>
  <c r="I382" i="13"/>
  <c r="F382" i="13"/>
  <c r="J381" i="13"/>
  <c r="I381" i="13"/>
  <c r="F381" i="13"/>
  <c r="J380" i="13"/>
  <c r="I380" i="13"/>
  <c r="F380" i="13"/>
  <c r="J379" i="13"/>
  <c r="I379" i="13"/>
  <c r="F379" i="13"/>
  <c r="J378" i="13"/>
  <c r="I378" i="13"/>
  <c r="F378" i="13"/>
  <c r="J377" i="13"/>
  <c r="I377" i="13"/>
  <c r="F377" i="13"/>
  <c r="J376" i="13"/>
  <c r="I376" i="13"/>
  <c r="F376" i="13"/>
  <c r="J375" i="13"/>
  <c r="I375" i="13"/>
  <c r="F375" i="13"/>
  <c r="J374" i="13"/>
  <c r="I374" i="13"/>
  <c r="F374" i="13"/>
  <c r="J373" i="13"/>
  <c r="I373" i="13"/>
  <c r="F373" i="13"/>
  <c r="J372" i="13"/>
  <c r="I372" i="13"/>
  <c r="F372" i="13"/>
  <c r="J371" i="13"/>
  <c r="I371" i="13"/>
  <c r="F371" i="13"/>
  <c r="J370" i="13"/>
  <c r="I370" i="13"/>
  <c r="F370" i="13"/>
  <c r="J369" i="13"/>
  <c r="I369" i="13"/>
  <c r="F369" i="13"/>
  <c r="J368" i="13"/>
  <c r="I368" i="13"/>
  <c r="F368" i="13"/>
  <c r="J367" i="13"/>
  <c r="I367" i="13"/>
  <c r="F367" i="13"/>
  <c r="J366" i="13"/>
  <c r="I366" i="13"/>
  <c r="F366" i="13"/>
  <c r="J365" i="13"/>
  <c r="I365" i="13"/>
  <c r="F365" i="13"/>
  <c r="J364" i="13"/>
  <c r="I364" i="13"/>
  <c r="F364" i="13"/>
  <c r="J363" i="13"/>
  <c r="I363" i="13"/>
  <c r="F363" i="13"/>
  <c r="J362" i="13"/>
  <c r="I362" i="13"/>
  <c r="F362" i="13"/>
  <c r="J361" i="13"/>
  <c r="I361" i="13"/>
  <c r="F361" i="13"/>
  <c r="J360" i="13"/>
  <c r="I360" i="13"/>
  <c r="F360" i="13"/>
  <c r="J359" i="13"/>
  <c r="I359" i="13"/>
  <c r="F359" i="13"/>
  <c r="J358" i="13"/>
  <c r="I358" i="13"/>
  <c r="F358" i="13"/>
  <c r="J357" i="13"/>
  <c r="I357" i="13"/>
  <c r="F357" i="13"/>
  <c r="J356" i="13"/>
  <c r="I356" i="13"/>
  <c r="F356" i="13"/>
  <c r="J355" i="13"/>
  <c r="I355" i="13"/>
  <c r="F355" i="13"/>
  <c r="J354" i="13"/>
  <c r="I354" i="13"/>
  <c r="F354" i="13"/>
  <c r="J353" i="13"/>
  <c r="I353" i="13"/>
  <c r="F353" i="13"/>
  <c r="J352" i="13"/>
  <c r="I352" i="13"/>
  <c r="F352" i="13"/>
  <c r="J351" i="13"/>
  <c r="I351" i="13"/>
  <c r="F351" i="13"/>
  <c r="J350" i="13"/>
  <c r="I350" i="13"/>
  <c r="F350" i="13"/>
  <c r="J349" i="13"/>
  <c r="I349" i="13"/>
  <c r="F349" i="13"/>
  <c r="J348" i="13"/>
  <c r="I348" i="13"/>
  <c r="F348" i="13"/>
  <c r="J347" i="13"/>
  <c r="I347" i="13"/>
  <c r="F347" i="13"/>
  <c r="J346" i="13"/>
  <c r="K346" i="13" s="1"/>
  <c r="M346" i="13" s="1"/>
  <c r="I346" i="13"/>
  <c r="F346" i="13"/>
  <c r="J345" i="13"/>
  <c r="I345" i="13"/>
  <c r="F345" i="13"/>
  <c r="J344" i="13"/>
  <c r="I344" i="13"/>
  <c r="F344" i="13"/>
  <c r="J343" i="13"/>
  <c r="I343" i="13"/>
  <c r="F343" i="13"/>
  <c r="J342" i="13"/>
  <c r="K342" i="13" s="1"/>
  <c r="M342" i="13" s="1"/>
  <c r="I342" i="13"/>
  <c r="F342" i="13"/>
  <c r="J341" i="13"/>
  <c r="I341" i="13"/>
  <c r="F341" i="13"/>
  <c r="J340" i="13"/>
  <c r="I340" i="13"/>
  <c r="F340" i="13"/>
  <c r="J339" i="13"/>
  <c r="I339" i="13"/>
  <c r="F339" i="13"/>
  <c r="J338" i="13"/>
  <c r="I338" i="13"/>
  <c r="F338" i="13"/>
  <c r="J337" i="13"/>
  <c r="I337" i="13"/>
  <c r="F337" i="13"/>
  <c r="J336" i="13"/>
  <c r="I336" i="13"/>
  <c r="F336" i="13"/>
  <c r="J335" i="13"/>
  <c r="I335" i="13"/>
  <c r="F335" i="13"/>
  <c r="J334" i="13"/>
  <c r="I334" i="13"/>
  <c r="F334" i="13"/>
  <c r="J333" i="13"/>
  <c r="I333" i="13"/>
  <c r="F333" i="13"/>
  <c r="J332" i="13"/>
  <c r="I332" i="13"/>
  <c r="F332" i="13"/>
  <c r="J331" i="13"/>
  <c r="I331" i="13"/>
  <c r="F331" i="13"/>
  <c r="J330" i="13"/>
  <c r="I330" i="13"/>
  <c r="F330" i="13"/>
  <c r="J329" i="13"/>
  <c r="I329" i="13"/>
  <c r="F329" i="13"/>
  <c r="J328" i="13"/>
  <c r="I328" i="13"/>
  <c r="F328" i="13"/>
  <c r="J327" i="13"/>
  <c r="I327" i="13"/>
  <c r="F327" i="13"/>
  <c r="J326" i="13"/>
  <c r="I326" i="13"/>
  <c r="F326" i="13"/>
  <c r="J325" i="13"/>
  <c r="I325" i="13"/>
  <c r="F325" i="13"/>
  <c r="J324" i="13"/>
  <c r="I324" i="13"/>
  <c r="F324" i="13"/>
  <c r="J323" i="13"/>
  <c r="I323" i="13"/>
  <c r="F323" i="13"/>
  <c r="J322" i="13"/>
  <c r="I322" i="13"/>
  <c r="F322" i="13"/>
  <c r="J321" i="13"/>
  <c r="I321" i="13"/>
  <c r="F321" i="13"/>
  <c r="J320" i="13"/>
  <c r="I320" i="13"/>
  <c r="F320" i="13"/>
  <c r="J319" i="13"/>
  <c r="I319" i="13"/>
  <c r="F319" i="13"/>
  <c r="J318" i="13"/>
  <c r="I318" i="13"/>
  <c r="F318" i="13"/>
  <c r="J317" i="13"/>
  <c r="I317" i="13"/>
  <c r="F317" i="13"/>
  <c r="J316" i="13"/>
  <c r="I316" i="13"/>
  <c r="F316" i="13"/>
  <c r="J315" i="13"/>
  <c r="I315" i="13"/>
  <c r="F315" i="13"/>
  <c r="J314" i="13"/>
  <c r="I314" i="13"/>
  <c r="F314" i="13"/>
  <c r="J313" i="13"/>
  <c r="I313" i="13"/>
  <c r="F313" i="13"/>
  <c r="J312" i="13"/>
  <c r="I312" i="13"/>
  <c r="F312" i="13"/>
  <c r="J311" i="13"/>
  <c r="I311" i="13"/>
  <c r="F311" i="13"/>
  <c r="J310" i="13"/>
  <c r="I310" i="13"/>
  <c r="F310" i="13"/>
  <c r="J309" i="13"/>
  <c r="I309" i="13"/>
  <c r="F309" i="13"/>
  <c r="J308" i="13"/>
  <c r="I308" i="13"/>
  <c r="F308" i="13"/>
  <c r="J307" i="13"/>
  <c r="I307" i="13"/>
  <c r="F307" i="13"/>
  <c r="J306" i="13"/>
  <c r="I306" i="13"/>
  <c r="F306" i="13"/>
  <c r="J305" i="13"/>
  <c r="I305" i="13"/>
  <c r="F305" i="13"/>
  <c r="J304" i="13"/>
  <c r="I304" i="13"/>
  <c r="F304" i="13"/>
  <c r="J303" i="13"/>
  <c r="I303" i="13"/>
  <c r="F303" i="13"/>
  <c r="J302" i="13"/>
  <c r="I302" i="13"/>
  <c r="F302" i="13"/>
  <c r="J301" i="13"/>
  <c r="I301" i="13"/>
  <c r="F301" i="13"/>
  <c r="J300" i="13"/>
  <c r="I300" i="13"/>
  <c r="F300" i="13"/>
  <c r="J299" i="13"/>
  <c r="I299" i="13"/>
  <c r="F299" i="13"/>
  <c r="J298" i="13"/>
  <c r="I298" i="13"/>
  <c r="F298" i="13"/>
  <c r="J297" i="13"/>
  <c r="I297" i="13"/>
  <c r="F297" i="13"/>
  <c r="J296" i="13"/>
  <c r="I296" i="13"/>
  <c r="F296" i="13"/>
  <c r="J295" i="13"/>
  <c r="I295" i="13"/>
  <c r="F295" i="13"/>
  <c r="J294" i="13"/>
  <c r="I294" i="13"/>
  <c r="F294" i="13"/>
  <c r="J293" i="13"/>
  <c r="I293" i="13"/>
  <c r="F293" i="13"/>
  <c r="J292" i="13"/>
  <c r="I292" i="13"/>
  <c r="F292" i="13"/>
  <c r="J291" i="13"/>
  <c r="I291" i="13"/>
  <c r="F291" i="13"/>
  <c r="J290" i="13"/>
  <c r="I290" i="13"/>
  <c r="F290" i="13"/>
  <c r="J289" i="13"/>
  <c r="I289" i="13"/>
  <c r="F289" i="13"/>
  <c r="J288" i="13"/>
  <c r="I288" i="13"/>
  <c r="F288" i="13"/>
  <c r="J287" i="13"/>
  <c r="I287" i="13"/>
  <c r="F287" i="13"/>
  <c r="J286" i="13"/>
  <c r="I286" i="13"/>
  <c r="F286" i="13"/>
  <c r="J285" i="13"/>
  <c r="I285" i="13"/>
  <c r="F285" i="13"/>
  <c r="J284" i="13"/>
  <c r="I284" i="13"/>
  <c r="F284" i="13"/>
  <c r="J283" i="13"/>
  <c r="I283" i="13"/>
  <c r="F283" i="13"/>
  <c r="J282" i="13"/>
  <c r="I282" i="13"/>
  <c r="F282" i="13"/>
  <c r="J281" i="13"/>
  <c r="I281" i="13"/>
  <c r="F281" i="13"/>
  <c r="J280" i="13"/>
  <c r="I280" i="13"/>
  <c r="F280" i="13"/>
  <c r="J279" i="13"/>
  <c r="I279" i="13"/>
  <c r="F279" i="13"/>
  <c r="J278" i="13"/>
  <c r="I278" i="13"/>
  <c r="F278" i="13"/>
  <c r="J277" i="13"/>
  <c r="I277" i="13"/>
  <c r="F277" i="13"/>
  <c r="J276" i="13"/>
  <c r="K276" i="13" s="1"/>
  <c r="M276" i="13" s="1"/>
  <c r="I276" i="13"/>
  <c r="F276" i="13"/>
  <c r="J275" i="13"/>
  <c r="I275" i="13"/>
  <c r="F275" i="13"/>
  <c r="J274" i="13"/>
  <c r="I274" i="13"/>
  <c r="F274" i="13"/>
  <c r="J273" i="13"/>
  <c r="I273" i="13"/>
  <c r="F273" i="13"/>
  <c r="J272" i="13"/>
  <c r="I272" i="13"/>
  <c r="F272" i="13"/>
  <c r="J271" i="13"/>
  <c r="I271" i="13"/>
  <c r="F271" i="13"/>
  <c r="J270" i="13"/>
  <c r="I270" i="13"/>
  <c r="F270" i="13"/>
  <c r="J269" i="13"/>
  <c r="I269" i="13"/>
  <c r="F269" i="13"/>
  <c r="J268" i="13"/>
  <c r="I268" i="13"/>
  <c r="F268" i="13"/>
  <c r="J267" i="13"/>
  <c r="I267" i="13"/>
  <c r="F267" i="13"/>
  <c r="J266" i="13"/>
  <c r="I266" i="13"/>
  <c r="F266" i="13"/>
  <c r="J265" i="13"/>
  <c r="I265" i="13"/>
  <c r="F265" i="13"/>
  <c r="J264" i="13"/>
  <c r="I264" i="13"/>
  <c r="F264" i="13"/>
  <c r="J263" i="13"/>
  <c r="I263" i="13"/>
  <c r="F263" i="13"/>
  <c r="J262" i="13"/>
  <c r="I262" i="13"/>
  <c r="F262" i="13"/>
  <c r="J261" i="13"/>
  <c r="I261" i="13"/>
  <c r="F261" i="13"/>
  <c r="J260" i="13"/>
  <c r="I260" i="13"/>
  <c r="F260" i="13"/>
  <c r="J259" i="13"/>
  <c r="I259" i="13"/>
  <c r="F259" i="13"/>
  <c r="J258" i="13"/>
  <c r="I258" i="13"/>
  <c r="F258" i="13"/>
  <c r="J257" i="13"/>
  <c r="I257" i="13"/>
  <c r="F257" i="13"/>
  <c r="J256" i="13"/>
  <c r="I256" i="13"/>
  <c r="F256" i="13"/>
  <c r="J255" i="13"/>
  <c r="I255" i="13"/>
  <c r="F255" i="13"/>
  <c r="J254" i="13"/>
  <c r="I254" i="13"/>
  <c r="F254" i="13"/>
  <c r="J253" i="13"/>
  <c r="K253" i="13" s="1"/>
  <c r="M253" i="13" s="1"/>
  <c r="I253" i="13"/>
  <c r="F253" i="13"/>
  <c r="J252" i="13"/>
  <c r="I252" i="13"/>
  <c r="F252" i="13"/>
  <c r="J251" i="13"/>
  <c r="I251" i="13"/>
  <c r="F251" i="13"/>
  <c r="J250" i="13"/>
  <c r="I250" i="13"/>
  <c r="F250" i="13"/>
  <c r="J249" i="13"/>
  <c r="I249" i="13"/>
  <c r="F249" i="13"/>
  <c r="J248" i="13"/>
  <c r="I248" i="13"/>
  <c r="F248" i="13"/>
  <c r="J247" i="13"/>
  <c r="I247" i="13"/>
  <c r="F247" i="13"/>
  <c r="J246" i="13"/>
  <c r="I246" i="13"/>
  <c r="F246" i="13"/>
  <c r="J245" i="13"/>
  <c r="I245" i="13"/>
  <c r="F245" i="13"/>
  <c r="J244" i="13"/>
  <c r="I244" i="13"/>
  <c r="F244" i="13"/>
  <c r="J243" i="13"/>
  <c r="I243" i="13"/>
  <c r="K243" i="13" s="1"/>
  <c r="M243" i="13" s="1"/>
  <c r="F243" i="13"/>
  <c r="J242" i="13"/>
  <c r="I242" i="13"/>
  <c r="F242" i="13"/>
  <c r="J241" i="13"/>
  <c r="I241" i="13"/>
  <c r="F241" i="13"/>
  <c r="J240" i="13"/>
  <c r="I240" i="13"/>
  <c r="F240" i="13"/>
  <c r="J239" i="13"/>
  <c r="I239" i="13"/>
  <c r="F239" i="13"/>
  <c r="J238" i="13"/>
  <c r="I238" i="13"/>
  <c r="F238" i="13"/>
  <c r="J237" i="13"/>
  <c r="I237" i="13"/>
  <c r="F237" i="13"/>
  <c r="J236" i="13"/>
  <c r="I236" i="13"/>
  <c r="F236" i="13"/>
  <c r="J235" i="13"/>
  <c r="I235" i="13"/>
  <c r="F235" i="13"/>
  <c r="J234" i="13"/>
  <c r="I234" i="13"/>
  <c r="F234" i="13"/>
  <c r="J233" i="13"/>
  <c r="I233" i="13"/>
  <c r="F233" i="13"/>
  <c r="J232" i="13"/>
  <c r="I232" i="13"/>
  <c r="F232" i="13"/>
  <c r="J231" i="13"/>
  <c r="I231" i="13"/>
  <c r="F231" i="13"/>
  <c r="J230" i="13"/>
  <c r="I230" i="13"/>
  <c r="F230" i="13"/>
  <c r="J229" i="13"/>
  <c r="I229" i="13"/>
  <c r="F229" i="13"/>
  <c r="J228" i="13"/>
  <c r="I228" i="13"/>
  <c r="F228" i="13"/>
  <c r="J227" i="13"/>
  <c r="I227" i="13"/>
  <c r="K227" i="13" s="1"/>
  <c r="M227" i="13" s="1"/>
  <c r="F227" i="13"/>
  <c r="J226" i="13"/>
  <c r="I226" i="13"/>
  <c r="F226" i="13"/>
  <c r="J225" i="13"/>
  <c r="I225" i="13"/>
  <c r="F225" i="13"/>
  <c r="J224" i="13"/>
  <c r="I224" i="13"/>
  <c r="F224" i="13"/>
  <c r="J223" i="13"/>
  <c r="I223" i="13"/>
  <c r="K223" i="13" s="1"/>
  <c r="M223" i="13" s="1"/>
  <c r="F223" i="13"/>
  <c r="J222" i="13"/>
  <c r="I222" i="13"/>
  <c r="F222" i="13"/>
  <c r="J221" i="13"/>
  <c r="I221" i="13"/>
  <c r="F221" i="13"/>
  <c r="J220" i="13"/>
  <c r="I220" i="13"/>
  <c r="F220" i="13"/>
  <c r="J219" i="13"/>
  <c r="I219" i="13"/>
  <c r="K219" i="13" s="1"/>
  <c r="M219" i="13" s="1"/>
  <c r="F219" i="13"/>
  <c r="J218" i="13"/>
  <c r="I218" i="13"/>
  <c r="F218" i="13"/>
  <c r="J217" i="13"/>
  <c r="I217" i="13"/>
  <c r="F217" i="13"/>
  <c r="J216" i="13"/>
  <c r="I216" i="13"/>
  <c r="F216" i="13"/>
  <c r="J215" i="13"/>
  <c r="I215" i="13"/>
  <c r="K215" i="13" s="1"/>
  <c r="M215" i="13" s="1"/>
  <c r="F215" i="13"/>
  <c r="J214" i="13"/>
  <c r="I214" i="13"/>
  <c r="F214" i="13"/>
  <c r="J213" i="13"/>
  <c r="I213" i="13"/>
  <c r="F213" i="13"/>
  <c r="J212" i="13"/>
  <c r="I212" i="13"/>
  <c r="F212" i="13"/>
  <c r="J211" i="13"/>
  <c r="I211" i="13"/>
  <c r="K211" i="13" s="1"/>
  <c r="M211" i="13" s="1"/>
  <c r="F211" i="13"/>
  <c r="J210" i="13"/>
  <c r="I210" i="13"/>
  <c r="F210" i="13"/>
  <c r="J209" i="13"/>
  <c r="I209" i="13"/>
  <c r="F209" i="13"/>
  <c r="J208" i="13"/>
  <c r="I208" i="13"/>
  <c r="F208" i="13"/>
  <c r="J207" i="13"/>
  <c r="I207" i="13"/>
  <c r="K207" i="13" s="1"/>
  <c r="M207" i="13" s="1"/>
  <c r="F207" i="13"/>
  <c r="J206" i="13"/>
  <c r="I206" i="13"/>
  <c r="F206" i="13"/>
  <c r="J205" i="13"/>
  <c r="I205" i="13"/>
  <c r="F205" i="13"/>
  <c r="J204" i="13"/>
  <c r="I204" i="13"/>
  <c r="F204" i="13"/>
  <c r="J203" i="13"/>
  <c r="I203" i="13"/>
  <c r="K203" i="13" s="1"/>
  <c r="M203" i="13" s="1"/>
  <c r="F203" i="13"/>
  <c r="J202" i="13"/>
  <c r="I202" i="13"/>
  <c r="F202" i="13"/>
  <c r="J201" i="13"/>
  <c r="I201" i="13"/>
  <c r="F201" i="13"/>
  <c r="J200" i="13"/>
  <c r="I200" i="13"/>
  <c r="F200" i="13"/>
  <c r="J199" i="13"/>
  <c r="I199" i="13"/>
  <c r="K199" i="13" s="1"/>
  <c r="M199" i="13" s="1"/>
  <c r="F199" i="13"/>
  <c r="J198" i="13"/>
  <c r="I198" i="13"/>
  <c r="F198" i="13"/>
  <c r="J197" i="13"/>
  <c r="I197" i="13"/>
  <c r="F197" i="13"/>
  <c r="J196" i="13"/>
  <c r="I196" i="13"/>
  <c r="F196" i="13"/>
  <c r="J195" i="13"/>
  <c r="I195" i="13"/>
  <c r="K195" i="13" s="1"/>
  <c r="M195" i="13" s="1"/>
  <c r="F195" i="13"/>
  <c r="J194" i="13"/>
  <c r="I194" i="13"/>
  <c r="F194" i="13"/>
  <c r="J193" i="13"/>
  <c r="I193" i="13"/>
  <c r="F193" i="13"/>
  <c r="J192" i="13"/>
  <c r="I192" i="13"/>
  <c r="F192" i="13"/>
  <c r="J191" i="13"/>
  <c r="I191" i="13"/>
  <c r="K191" i="13" s="1"/>
  <c r="M191" i="13" s="1"/>
  <c r="F191" i="13"/>
  <c r="J190" i="13"/>
  <c r="I190" i="13"/>
  <c r="F190" i="13"/>
  <c r="J189" i="13"/>
  <c r="I189" i="13"/>
  <c r="F189" i="13"/>
  <c r="J188" i="13"/>
  <c r="I188" i="13"/>
  <c r="F188" i="13"/>
  <c r="J187" i="13"/>
  <c r="I187" i="13"/>
  <c r="K187" i="13" s="1"/>
  <c r="M187" i="13" s="1"/>
  <c r="F187" i="13"/>
  <c r="J186" i="13"/>
  <c r="I186" i="13"/>
  <c r="F186" i="13"/>
  <c r="J185" i="13"/>
  <c r="I185" i="13"/>
  <c r="F185" i="13"/>
  <c r="J184" i="13"/>
  <c r="I184" i="13"/>
  <c r="F184" i="13"/>
  <c r="J183" i="13"/>
  <c r="I183" i="13"/>
  <c r="K183" i="13" s="1"/>
  <c r="M183" i="13" s="1"/>
  <c r="F183" i="13"/>
  <c r="J182" i="13"/>
  <c r="I182" i="13"/>
  <c r="F182" i="13"/>
  <c r="J181" i="13"/>
  <c r="I181" i="13"/>
  <c r="F181" i="13"/>
  <c r="J180" i="13"/>
  <c r="I180" i="13"/>
  <c r="F180" i="13"/>
  <c r="J179" i="13"/>
  <c r="I179" i="13"/>
  <c r="F179" i="13"/>
  <c r="J178" i="13"/>
  <c r="I178" i="13"/>
  <c r="F178" i="13"/>
  <c r="J177" i="13"/>
  <c r="I177" i="13"/>
  <c r="F177" i="13"/>
  <c r="J176" i="13"/>
  <c r="I176" i="13"/>
  <c r="F176" i="13"/>
  <c r="J175" i="13"/>
  <c r="I175" i="13"/>
  <c r="K175" i="13" s="1"/>
  <c r="M175" i="13" s="1"/>
  <c r="F175" i="13"/>
  <c r="J174" i="13"/>
  <c r="I174" i="13"/>
  <c r="F174" i="13"/>
  <c r="J173" i="13"/>
  <c r="I173" i="13"/>
  <c r="F173" i="13"/>
  <c r="J172" i="13"/>
  <c r="I172" i="13"/>
  <c r="F172" i="13"/>
  <c r="J171" i="13"/>
  <c r="I171" i="13"/>
  <c r="K171" i="13" s="1"/>
  <c r="M171" i="13" s="1"/>
  <c r="F171" i="13"/>
  <c r="J170" i="13"/>
  <c r="I170" i="13"/>
  <c r="F170" i="13"/>
  <c r="J169" i="13"/>
  <c r="I169" i="13"/>
  <c r="F169" i="13"/>
  <c r="J168" i="13"/>
  <c r="I168" i="13"/>
  <c r="F168" i="13"/>
  <c r="J167" i="13"/>
  <c r="I167" i="13"/>
  <c r="K167" i="13" s="1"/>
  <c r="M167" i="13" s="1"/>
  <c r="F167" i="13"/>
  <c r="J166" i="13"/>
  <c r="I166" i="13"/>
  <c r="F166" i="13"/>
  <c r="J165" i="13"/>
  <c r="I165" i="13"/>
  <c r="F165" i="13"/>
  <c r="J164" i="13"/>
  <c r="I164" i="13"/>
  <c r="F164" i="13"/>
  <c r="J163" i="13"/>
  <c r="I163" i="13"/>
  <c r="K163" i="13" s="1"/>
  <c r="M163" i="13" s="1"/>
  <c r="F163" i="13"/>
  <c r="J162" i="13"/>
  <c r="I162" i="13"/>
  <c r="F162" i="13"/>
  <c r="J161" i="13"/>
  <c r="I161" i="13"/>
  <c r="F161" i="13"/>
  <c r="J160" i="13"/>
  <c r="I160" i="13"/>
  <c r="F160" i="13"/>
  <c r="J159" i="13"/>
  <c r="I159" i="13"/>
  <c r="K159" i="13" s="1"/>
  <c r="M159" i="13" s="1"/>
  <c r="F159" i="13"/>
  <c r="J158" i="13"/>
  <c r="I158" i="13"/>
  <c r="F158" i="13"/>
  <c r="J157" i="13"/>
  <c r="I157" i="13"/>
  <c r="F157" i="13"/>
  <c r="J156" i="13"/>
  <c r="I156" i="13"/>
  <c r="F156" i="13"/>
  <c r="J155" i="13"/>
  <c r="I155" i="13"/>
  <c r="K155" i="13" s="1"/>
  <c r="M155" i="13" s="1"/>
  <c r="F155" i="13"/>
  <c r="J154" i="13"/>
  <c r="I154" i="13"/>
  <c r="F154" i="13"/>
  <c r="J153" i="13"/>
  <c r="I153" i="13"/>
  <c r="F153" i="13"/>
  <c r="J152" i="13"/>
  <c r="I152" i="13"/>
  <c r="F152" i="13"/>
  <c r="J151" i="13"/>
  <c r="I151" i="13"/>
  <c r="K151" i="13" s="1"/>
  <c r="M151" i="13" s="1"/>
  <c r="F151" i="13"/>
  <c r="J150" i="13"/>
  <c r="I150" i="13"/>
  <c r="F150" i="13"/>
  <c r="J149" i="13"/>
  <c r="I149" i="13"/>
  <c r="F149" i="13"/>
  <c r="J148" i="13"/>
  <c r="I148" i="13"/>
  <c r="F148" i="13"/>
  <c r="J147" i="13"/>
  <c r="I147" i="13"/>
  <c r="K147" i="13" s="1"/>
  <c r="M147" i="13" s="1"/>
  <c r="F147" i="13"/>
  <c r="J146" i="13"/>
  <c r="I146" i="13"/>
  <c r="F146" i="13"/>
  <c r="J145" i="13"/>
  <c r="I145" i="13"/>
  <c r="F145" i="13"/>
  <c r="J144" i="13"/>
  <c r="I144" i="13"/>
  <c r="F144" i="13"/>
  <c r="J143" i="13"/>
  <c r="I143" i="13"/>
  <c r="K143" i="13" s="1"/>
  <c r="M143" i="13" s="1"/>
  <c r="F143" i="13"/>
  <c r="J142" i="13"/>
  <c r="I142" i="13"/>
  <c r="F142" i="13"/>
  <c r="J141" i="13"/>
  <c r="I141" i="13"/>
  <c r="F141" i="13"/>
  <c r="J140" i="13"/>
  <c r="I140" i="13"/>
  <c r="F140" i="13"/>
  <c r="J139" i="13"/>
  <c r="I139" i="13"/>
  <c r="K139" i="13" s="1"/>
  <c r="M139" i="13" s="1"/>
  <c r="F139" i="13"/>
  <c r="J138" i="13"/>
  <c r="I138" i="13"/>
  <c r="F138" i="13"/>
  <c r="J137" i="13"/>
  <c r="I137" i="13"/>
  <c r="F137" i="13"/>
  <c r="J136" i="13"/>
  <c r="I136" i="13"/>
  <c r="F136" i="13"/>
  <c r="J135" i="13"/>
  <c r="I135" i="13"/>
  <c r="K135" i="13" s="1"/>
  <c r="M135" i="13" s="1"/>
  <c r="F135" i="13"/>
  <c r="J134" i="13"/>
  <c r="I134" i="13"/>
  <c r="F134" i="13"/>
  <c r="J133" i="13"/>
  <c r="I133" i="13"/>
  <c r="F133" i="13"/>
  <c r="J132" i="13"/>
  <c r="I132" i="13"/>
  <c r="F132" i="13"/>
  <c r="J131" i="13"/>
  <c r="I131" i="13"/>
  <c r="K131" i="13" s="1"/>
  <c r="M131" i="13" s="1"/>
  <c r="F131" i="13"/>
  <c r="J130" i="13"/>
  <c r="I130" i="13"/>
  <c r="F130" i="13"/>
  <c r="J129" i="13"/>
  <c r="I129" i="13"/>
  <c r="F129" i="13"/>
  <c r="J128" i="13"/>
  <c r="I128" i="13"/>
  <c r="F128" i="13"/>
  <c r="J127" i="13"/>
  <c r="I127" i="13"/>
  <c r="K127" i="13" s="1"/>
  <c r="M127" i="13" s="1"/>
  <c r="F127" i="13"/>
  <c r="J126" i="13"/>
  <c r="I126" i="13"/>
  <c r="F126" i="13"/>
  <c r="J125" i="13"/>
  <c r="I125" i="13"/>
  <c r="F125" i="13"/>
  <c r="J124" i="13"/>
  <c r="I124" i="13"/>
  <c r="F124" i="13"/>
  <c r="J123" i="13"/>
  <c r="I123" i="13"/>
  <c r="K123" i="13" s="1"/>
  <c r="M123" i="13" s="1"/>
  <c r="F123" i="13"/>
  <c r="J122" i="13"/>
  <c r="I122" i="13"/>
  <c r="F122" i="13"/>
  <c r="J121" i="13"/>
  <c r="I121" i="13"/>
  <c r="F121" i="13"/>
  <c r="J120" i="13"/>
  <c r="I120" i="13"/>
  <c r="F120" i="13"/>
  <c r="J119" i="13"/>
  <c r="I119" i="13"/>
  <c r="K119" i="13" s="1"/>
  <c r="M119" i="13" s="1"/>
  <c r="F119" i="13"/>
  <c r="J118" i="13"/>
  <c r="I118" i="13"/>
  <c r="F118" i="13"/>
  <c r="J117" i="13"/>
  <c r="I117" i="13"/>
  <c r="F117" i="13"/>
  <c r="J116" i="13"/>
  <c r="I116" i="13"/>
  <c r="F116" i="13"/>
  <c r="J115" i="13"/>
  <c r="I115" i="13"/>
  <c r="K115" i="13" s="1"/>
  <c r="M115" i="13" s="1"/>
  <c r="F115" i="13"/>
  <c r="J114" i="13"/>
  <c r="I114" i="13"/>
  <c r="F114" i="13"/>
  <c r="J113" i="13"/>
  <c r="I113" i="13"/>
  <c r="F113" i="13"/>
  <c r="J112" i="13"/>
  <c r="I112" i="13"/>
  <c r="F112" i="13"/>
  <c r="J111" i="13"/>
  <c r="I111" i="13"/>
  <c r="K111" i="13" s="1"/>
  <c r="M111" i="13" s="1"/>
  <c r="F111" i="13"/>
  <c r="J110" i="13"/>
  <c r="I110" i="13"/>
  <c r="F110" i="13"/>
  <c r="J109" i="13"/>
  <c r="I109" i="13"/>
  <c r="F109" i="13"/>
  <c r="J108" i="13"/>
  <c r="I108" i="13"/>
  <c r="F108" i="13"/>
  <c r="J107" i="13"/>
  <c r="I107" i="13"/>
  <c r="F107" i="13"/>
  <c r="J106" i="13"/>
  <c r="I106" i="13"/>
  <c r="F106" i="13"/>
  <c r="J105" i="13"/>
  <c r="I105" i="13"/>
  <c r="F105" i="13"/>
  <c r="J104" i="13"/>
  <c r="I104" i="13"/>
  <c r="F104" i="13"/>
  <c r="J103" i="13"/>
  <c r="I103" i="13"/>
  <c r="K103" i="13" s="1"/>
  <c r="M103" i="13" s="1"/>
  <c r="F103" i="13"/>
  <c r="J102" i="13"/>
  <c r="I102" i="13"/>
  <c r="F102" i="13"/>
  <c r="J101" i="13"/>
  <c r="I101" i="13"/>
  <c r="F101" i="13"/>
  <c r="J100" i="13"/>
  <c r="I100" i="13"/>
  <c r="F100" i="13"/>
  <c r="J99" i="13"/>
  <c r="I99" i="13"/>
  <c r="K99" i="13" s="1"/>
  <c r="M99" i="13" s="1"/>
  <c r="F99" i="13"/>
  <c r="J98" i="13"/>
  <c r="I98" i="13"/>
  <c r="F98" i="13"/>
  <c r="J97" i="13"/>
  <c r="I97" i="13"/>
  <c r="F97" i="13"/>
  <c r="J96" i="13"/>
  <c r="I96" i="13"/>
  <c r="F96" i="13"/>
  <c r="J95" i="13"/>
  <c r="I95" i="13"/>
  <c r="K95" i="13" s="1"/>
  <c r="M95" i="13" s="1"/>
  <c r="F95" i="13"/>
  <c r="J94" i="13"/>
  <c r="I94" i="13"/>
  <c r="F94" i="13"/>
  <c r="J93" i="13"/>
  <c r="I93" i="13"/>
  <c r="F93" i="13"/>
  <c r="J92" i="13"/>
  <c r="I92" i="13"/>
  <c r="F92" i="13"/>
  <c r="J91" i="13"/>
  <c r="I91" i="13"/>
  <c r="K91" i="13" s="1"/>
  <c r="M91" i="13" s="1"/>
  <c r="F91" i="13"/>
  <c r="J90" i="13"/>
  <c r="I90" i="13"/>
  <c r="F90" i="13"/>
  <c r="J89" i="13"/>
  <c r="I89" i="13"/>
  <c r="F89" i="13"/>
  <c r="J88" i="13"/>
  <c r="I88" i="13"/>
  <c r="F88" i="13"/>
  <c r="J87" i="13"/>
  <c r="I87" i="13"/>
  <c r="K87" i="13" s="1"/>
  <c r="M87" i="13" s="1"/>
  <c r="F87" i="13"/>
  <c r="J86" i="13"/>
  <c r="I86" i="13"/>
  <c r="F86" i="13"/>
  <c r="J85" i="13"/>
  <c r="I85" i="13"/>
  <c r="F85" i="13"/>
  <c r="J84" i="13"/>
  <c r="I84" i="13"/>
  <c r="F84" i="13"/>
  <c r="J83" i="13"/>
  <c r="I83" i="13"/>
  <c r="K83" i="13" s="1"/>
  <c r="M83" i="13" s="1"/>
  <c r="F83" i="13"/>
  <c r="J82" i="13"/>
  <c r="I82" i="13"/>
  <c r="F82" i="13"/>
  <c r="J81" i="13"/>
  <c r="I81" i="13"/>
  <c r="F81" i="13"/>
  <c r="J80" i="13"/>
  <c r="I80" i="13"/>
  <c r="F80" i="13"/>
  <c r="J79" i="13"/>
  <c r="I79" i="13"/>
  <c r="K79" i="13" s="1"/>
  <c r="M79" i="13" s="1"/>
  <c r="F79" i="13"/>
  <c r="J78" i="13"/>
  <c r="I78" i="13"/>
  <c r="F78" i="13"/>
  <c r="J77" i="13"/>
  <c r="I77" i="13"/>
  <c r="F77" i="13"/>
  <c r="J76" i="13"/>
  <c r="I76" i="13"/>
  <c r="F76" i="13"/>
  <c r="J75" i="13"/>
  <c r="I75" i="13"/>
  <c r="K75" i="13" s="1"/>
  <c r="M75" i="13" s="1"/>
  <c r="F75" i="13"/>
  <c r="J74" i="13"/>
  <c r="I74" i="13"/>
  <c r="F74" i="13"/>
  <c r="J73" i="13"/>
  <c r="I73" i="13"/>
  <c r="F73" i="13"/>
  <c r="J72" i="13"/>
  <c r="I72" i="13"/>
  <c r="F72" i="13"/>
  <c r="J71" i="13"/>
  <c r="I71" i="13"/>
  <c r="K71" i="13" s="1"/>
  <c r="M71" i="13" s="1"/>
  <c r="F71" i="13"/>
  <c r="J70" i="13"/>
  <c r="I70" i="13"/>
  <c r="F70" i="13"/>
  <c r="J69" i="13"/>
  <c r="I69" i="13"/>
  <c r="F69" i="13"/>
  <c r="J68" i="13"/>
  <c r="I68" i="13"/>
  <c r="F68" i="13"/>
  <c r="J67" i="13"/>
  <c r="I67" i="13"/>
  <c r="K67" i="13" s="1"/>
  <c r="M67" i="13" s="1"/>
  <c r="F67" i="13"/>
  <c r="J66" i="13"/>
  <c r="I66" i="13"/>
  <c r="F66" i="13"/>
  <c r="J65" i="13"/>
  <c r="I65" i="13"/>
  <c r="F65" i="13"/>
  <c r="J64" i="13"/>
  <c r="I64" i="13"/>
  <c r="F64" i="13"/>
  <c r="J63" i="13"/>
  <c r="I63" i="13"/>
  <c r="F63" i="13"/>
  <c r="J62" i="13"/>
  <c r="I62" i="13"/>
  <c r="F62" i="13"/>
  <c r="J61" i="13"/>
  <c r="I61" i="13"/>
  <c r="F61" i="13"/>
  <c r="J60" i="13"/>
  <c r="I60" i="13"/>
  <c r="F60" i="13"/>
  <c r="J59" i="13"/>
  <c r="I59" i="13"/>
  <c r="F59" i="13"/>
  <c r="J58" i="13"/>
  <c r="I58" i="13"/>
  <c r="F58" i="13"/>
  <c r="J57" i="13"/>
  <c r="I57" i="13"/>
  <c r="F57" i="13"/>
  <c r="J56" i="13"/>
  <c r="I56" i="13"/>
  <c r="F56" i="13"/>
  <c r="J55" i="13"/>
  <c r="I55" i="13"/>
  <c r="F55" i="13"/>
  <c r="J54" i="13"/>
  <c r="I54" i="13"/>
  <c r="F54" i="13"/>
  <c r="J53" i="13"/>
  <c r="I53" i="13"/>
  <c r="F53" i="13"/>
  <c r="J52" i="13"/>
  <c r="I52" i="13"/>
  <c r="F52" i="13"/>
  <c r="J51" i="13"/>
  <c r="I51" i="13"/>
  <c r="F51" i="13"/>
  <c r="J50" i="13"/>
  <c r="I50" i="13"/>
  <c r="F50" i="13"/>
  <c r="J49" i="13"/>
  <c r="I49" i="13"/>
  <c r="F49" i="13"/>
  <c r="J48" i="13"/>
  <c r="I48" i="13"/>
  <c r="F48" i="13"/>
  <c r="J47" i="13"/>
  <c r="I47" i="13"/>
  <c r="F47" i="13"/>
  <c r="J46" i="13"/>
  <c r="I46" i="13"/>
  <c r="F46" i="13"/>
  <c r="J45" i="13"/>
  <c r="I45" i="13"/>
  <c r="F45" i="13"/>
  <c r="J44" i="13"/>
  <c r="I44" i="13"/>
  <c r="F44" i="13"/>
  <c r="J43" i="13"/>
  <c r="I43" i="13"/>
  <c r="F43" i="13"/>
  <c r="J42" i="13"/>
  <c r="I42" i="13"/>
  <c r="F42" i="13"/>
  <c r="J41" i="13"/>
  <c r="I41" i="13"/>
  <c r="F41" i="13"/>
  <c r="J40" i="13"/>
  <c r="I40" i="13"/>
  <c r="F40" i="13"/>
  <c r="J39" i="13"/>
  <c r="I39" i="13"/>
  <c r="F39" i="13"/>
  <c r="J38" i="13"/>
  <c r="I38" i="13"/>
  <c r="F38" i="13"/>
  <c r="J37" i="13"/>
  <c r="I37" i="13"/>
  <c r="F37" i="13"/>
  <c r="J36" i="13"/>
  <c r="I36" i="13"/>
  <c r="F36" i="13"/>
  <c r="J35" i="13"/>
  <c r="I35" i="13"/>
  <c r="F35" i="13"/>
  <c r="J34" i="13"/>
  <c r="I34" i="13"/>
  <c r="F34" i="13"/>
  <c r="J33" i="13"/>
  <c r="I33" i="13"/>
  <c r="F33" i="13"/>
  <c r="J32" i="13"/>
  <c r="I32" i="13"/>
  <c r="F32" i="13"/>
  <c r="J31" i="13"/>
  <c r="I31" i="13"/>
  <c r="F31" i="13"/>
  <c r="J30" i="13"/>
  <c r="I30" i="13"/>
  <c r="F30" i="13"/>
  <c r="J29" i="13"/>
  <c r="I29" i="13"/>
  <c r="F29" i="13"/>
  <c r="J28" i="13"/>
  <c r="I28" i="13"/>
  <c r="F28" i="13"/>
  <c r="J27" i="13"/>
  <c r="I27" i="13"/>
  <c r="F27" i="13"/>
  <c r="J26" i="13"/>
  <c r="I26" i="13"/>
  <c r="F26" i="13"/>
  <c r="J25" i="13"/>
  <c r="I25" i="13"/>
  <c r="F25" i="13"/>
  <c r="J24" i="13"/>
  <c r="I24" i="13"/>
  <c r="F24" i="13"/>
  <c r="J23" i="13"/>
  <c r="I23" i="13"/>
  <c r="F23" i="13"/>
  <c r="J22" i="13"/>
  <c r="I22" i="13"/>
  <c r="F22" i="13"/>
  <c r="J21" i="13"/>
  <c r="I21" i="13"/>
  <c r="F21" i="13"/>
  <c r="J20" i="13"/>
  <c r="I20" i="13"/>
  <c r="F20" i="13"/>
  <c r="J19" i="13"/>
  <c r="I19" i="13"/>
  <c r="F19" i="13"/>
  <c r="J18" i="13"/>
  <c r="I18" i="13"/>
  <c r="F18" i="13"/>
  <c r="J17" i="13"/>
  <c r="I17" i="13"/>
  <c r="F17" i="13"/>
  <c r="J16" i="13"/>
  <c r="I16" i="13"/>
  <c r="F16" i="13"/>
  <c r="J15" i="13"/>
  <c r="I15" i="13"/>
  <c r="F15" i="13"/>
  <c r="J14" i="13"/>
  <c r="I14" i="13"/>
  <c r="F14" i="13"/>
  <c r="J13" i="13"/>
  <c r="I13" i="13"/>
  <c r="F13" i="13"/>
  <c r="F9" i="16"/>
  <c r="F10" i="16"/>
  <c r="F11" i="16"/>
  <c r="F12" i="16"/>
  <c r="F13" i="16"/>
  <c r="F14" i="16"/>
  <c r="F15" i="16"/>
  <c r="F16" i="16"/>
  <c r="F17" i="16"/>
  <c r="F18" i="16"/>
  <c r="F19" i="16"/>
  <c r="F20" i="16"/>
  <c r="F21" i="16"/>
  <c r="F22" i="16"/>
  <c r="F23" i="16"/>
  <c r="F24" i="16"/>
  <c r="F25" i="16"/>
  <c r="F26" i="16"/>
  <c r="F27" i="16"/>
  <c r="F28" i="16"/>
  <c r="F29" i="16"/>
  <c r="F30" i="16"/>
  <c r="F31" i="16"/>
  <c r="F32" i="16"/>
  <c r="F33" i="16"/>
  <c r="F34" i="16"/>
  <c r="F35" i="16"/>
  <c r="F36" i="16"/>
  <c r="F37" i="16"/>
  <c r="F38" i="16"/>
  <c r="F39" i="16"/>
  <c r="F40" i="16"/>
  <c r="F41" i="16"/>
  <c r="F42" i="16"/>
  <c r="F43" i="16"/>
  <c r="F44" i="16"/>
  <c r="F45" i="16"/>
  <c r="F46" i="16"/>
  <c r="F47" i="16"/>
  <c r="F48" i="16"/>
  <c r="F49" i="16"/>
  <c r="F50" i="16"/>
  <c r="F51" i="16"/>
  <c r="F52" i="16"/>
  <c r="F53" i="16"/>
  <c r="F54" i="16"/>
  <c r="Q7" i="11"/>
  <c r="Q8" i="11"/>
  <c r="Q9" i="11"/>
  <c r="Q10" i="11"/>
  <c r="Q11" i="11"/>
  <c r="Q12" i="11"/>
  <c r="Q13" i="11"/>
  <c r="Q14" i="11"/>
  <c r="Q15" i="11"/>
  <c r="Q16" i="11"/>
  <c r="Q17" i="11"/>
  <c r="Q18" i="11"/>
  <c r="Q19" i="11"/>
  <c r="Q20" i="11"/>
  <c r="Q21" i="11"/>
  <c r="Q22" i="11"/>
  <c r="Q23" i="11"/>
  <c r="Q24" i="11"/>
  <c r="Q25" i="11"/>
  <c r="Q26" i="11"/>
  <c r="Q27" i="11"/>
  <c r="Q28" i="11"/>
  <c r="Q29" i="11"/>
  <c r="Q30" i="11"/>
  <c r="Q31" i="11"/>
  <c r="Q32" i="11"/>
  <c r="Q33" i="11"/>
  <c r="Q34" i="11"/>
  <c r="Q35" i="11"/>
  <c r="Q36" i="11"/>
  <c r="P7" i="11"/>
  <c r="P8" i="11"/>
  <c r="P9" i="11"/>
  <c r="P10" i="11"/>
  <c r="P11" i="11"/>
  <c r="P12" i="11"/>
  <c r="P13" i="11"/>
  <c r="P14" i="11"/>
  <c r="P15" i="11"/>
  <c r="P16" i="11"/>
  <c r="P17" i="11"/>
  <c r="P18" i="11"/>
  <c r="P19" i="11"/>
  <c r="P20" i="11"/>
  <c r="P21" i="11"/>
  <c r="P22" i="11"/>
  <c r="P23" i="11"/>
  <c r="P24" i="11"/>
  <c r="P25" i="11"/>
  <c r="P26" i="11"/>
  <c r="P27" i="11"/>
  <c r="P28" i="11"/>
  <c r="P29" i="11"/>
  <c r="P30" i="11"/>
  <c r="P31" i="11"/>
  <c r="P32" i="11"/>
  <c r="P33" i="11"/>
  <c r="P34" i="11"/>
  <c r="P35" i="11"/>
  <c r="P36" i="11"/>
  <c r="O36" i="11"/>
  <c r="J25" i="11"/>
  <c r="J20" i="11"/>
  <c r="J19" i="11"/>
  <c r="H7" i="11"/>
  <c r="H8" i="11"/>
  <c r="H9" i="11"/>
  <c r="H10" i="11"/>
  <c r="H11" i="11"/>
  <c r="H12" i="11"/>
  <c r="H13" i="11"/>
  <c r="H14" i="11"/>
  <c r="H15" i="11"/>
  <c r="H16" i="11"/>
  <c r="H17" i="11"/>
  <c r="H18" i="11"/>
  <c r="H19" i="11"/>
  <c r="H20" i="11"/>
  <c r="H21" i="11"/>
  <c r="H22" i="11"/>
  <c r="H23" i="11"/>
  <c r="H24" i="11"/>
  <c r="H25" i="11"/>
  <c r="H26" i="11"/>
  <c r="H27" i="11"/>
  <c r="H28" i="11"/>
  <c r="H29" i="11"/>
  <c r="H30" i="11"/>
  <c r="H31" i="11"/>
  <c r="H32" i="11"/>
  <c r="H33" i="11"/>
  <c r="H34" i="11"/>
  <c r="H35" i="11"/>
  <c r="H36" i="11"/>
  <c r="F8" i="11"/>
  <c r="G7" i="11"/>
  <c r="G8" i="11"/>
  <c r="J8" i="11" s="1"/>
  <c r="G9" i="11"/>
  <c r="J9" i="11" s="1"/>
  <c r="G10" i="11"/>
  <c r="J10" i="11" s="1"/>
  <c r="G11" i="11"/>
  <c r="J11" i="11" s="1"/>
  <c r="G12" i="11"/>
  <c r="J12" i="11" s="1"/>
  <c r="G13" i="11"/>
  <c r="J13" i="11" s="1"/>
  <c r="G14" i="11"/>
  <c r="J14" i="11" s="1"/>
  <c r="G15" i="11"/>
  <c r="J15" i="11" s="1"/>
  <c r="G16" i="11"/>
  <c r="J16" i="11" s="1"/>
  <c r="G17" i="11"/>
  <c r="J17" i="11" s="1"/>
  <c r="G18" i="11"/>
  <c r="J18" i="11" s="1"/>
  <c r="G19" i="11"/>
  <c r="G20" i="11"/>
  <c r="G21" i="11"/>
  <c r="J21" i="11" s="1"/>
  <c r="G22" i="11"/>
  <c r="J22" i="11" s="1"/>
  <c r="G23" i="11"/>
  <c r="J23" i="11" s="1"/>
  <c r="G24" i="11"/>
  <c r="J24" i="11" s="1"/>
  <c r="G25" i="11"/>
  <c r="G26" i="11"/>
  <c r="J26" i="11" s="1"/>
  <c r="G27" i="11"/>
  <c r="J27" i="11" s="1"/>
  <c r="G28" i="11"/>
  <c r="J28" i="11" s="1"/>
  <c r="G29" i="11"/>
  <c r="J29" i="11" s="1"/>
  <c r="G30" i="11"/>
  <c r="J30" i="11" s="1"/>
  <c r="G31" i="11"/>
  <c r="J31" i="11" s="1"/>
  <c r="G32" i="11"/>
  <c r="J32" i="11" s="1"/>
  <c r="G33" i="11"/>
  <c r="J33" i="11" s="1"/>
  <c r="G34" i="11"/>
  <c r="J34" i="11" s="1"/>
  <c r="G35" i="11"/>
  <c r="J35" i="11" s="1"/>
  <c r="G36" i="11"/>
  <c r="J36" i="11" s="1"/>
  <c r="F7" i="11"/>
  <c r="F9" i="11"/>
  <c r="F10" i="11"/>
  <c r="F11" i="11"/>
  <c r="F12" i="11"/>
  <c r="F13" i="11"/>
  <c r="F14" i="11"/>
  <c r="F15" i="11"/>
  <c r="F16" i="11"/>
  <c r="F17" i="11"/>
  <c r="F18" i="11"/>
  <c r="F19" i="11"/>
  <c r="F20" i="11"/>
  <c r="F21" i="11"/>
  <c r="F22" i="11"/>
  <c r="F23" i="11"/>
  <c r="F24" i="11"/>
  <c r="F25" i="11"/>
  <c r="F26" i="11"/>
  <c r="F27" i="11"/>
  <c r="F28" i="11"/>
  <c r="F29" i="11"/>
  <c r="F30" i="11"/>
  <c r="F31" i="11"/>
  <c r="F32" i="11"/>
  <c r="F33" i="11"/>
  <c r="F34" i="11"/>
  <c r="F35" i="11"/>
  <c r="F36" i="11"/>
  <c r="C5" i="20" a="1"/>
  <c r="C5" i="20" s="1"/>
  <c r="K291" i="13" l="1"/>
  <c r="M291" i="13" s="1"/>
  <c r="K299" i="13"/>
  <c r="M299" i="13" s="1"/>
  <c r="K335" i="13"/>
  <c r="M335" i="13" s="1"/>
  <c r="K16" i="13"/>
  <c r="M16" i="13" s="1"/>
  <c r="K20" i="13"/>
  <c r="M20" i="13" s="1"/>
  <c r="K24" i="13"/>
  <c r="M24" i="13" s="1"/>
  <c r="K28" i="13"/>
  <c r="M28" i="13" s="1"/>
  <c r="K32" i="13"/>
  <c r="M32" i="13" s="1"/>
  <c r="K36" i="13"/>
  <c r="M36" i="13" s="1"/>
  <c r="K40" i="13"/>
  <c r="M40" i="13" s="1"/>
  <c r="K44" i="13"/>
  <c r="M44" i="13" s="1"/>
  <c r="K48" i="13"/>
  <c r="M48" i="13" s="1"/>
  <c r="N48" i="13" s="1"/>
  <c r="K52" i="13"/>
  <c r="M52" i="13" s="1"/>
  <c r="K56" i="13"/>
  <c r="M56" i="13" s="1"/>
  <c r="K60" i="13"/>
  <c r="M60" i="13" s="1"/>
  <c r="K64" i="13"/>
  <c r="M64" i="13" s="1"/>
  <c r="K232" i="13"/>
  <c r="M232" i="13" s="1"/>
  <c r="K236" i="13"/>
  <c r="M236" i="13" s="1"/>
  <c r="N236" i="13" s="1"/>
  <c r="K240" i="13"/>
  <c r="M240" i="13" s="1"/>
  <c r="K256" i="13"/>
  <c r="M256" i="13" s="1"/>
  <c r="K260" i="13"/>
  <c r="M260" i="13" s="1"/>
  <c r="K264" i="13"/>
  <c r="M264" i="13" s="1"/>
  <c r="K268" i="13"/>
  <c r="M268" i="13" s="1"/>
  <c r="K484" i="13"/>
  <c r="M484" i="13" s="1"/>
  <c r="N484" i="13" s="1"/>
  <c r="K488" i="13"/>
  <c r="M488" i="13" s="1"/>
  <c r="K492" i="13"/>
  <c r="M492" i="13" s="1"/>
  <c r="K496" i="13"/>
  <c r="M496" i="13" s="1"/>
  <c r="K500" i="13"/>
  <c r="M500" i="13" s="1"/>
  <c r="K504" i="13"/>
  <c r="M504" i="13" s="1"/>
  <c r="K508" i="13"/>
  <c r="M508" i="13" s="1"/>
  <c r="K512" i="13"/>
  <c r="M512" i="13" s="1"/>
  <c r="K516" i="13"/>
  <c r="M516" i="13" s="1"/>
  <c r="K520" i="13"/>
  <c r="M520" i="13" s="1"/>
  <c r="K524" i="13"/>
  <c r="M524" i="13" s="1"/>
  <c r="K528" i="13"/>
  <c r="M528" i="13" s="1"/>
  <c r="K532" i="13"/>
  <c r="M532" i="13" s="1"/>
  <c r="N532" i="13" s="1"/>
  <c r="K536" i="13"/>
  <c r="M536" i="13" s="1"/>
  <c r="K540" i="13"/>
  <c r="M540" i="13" s="1"/>
  <c r="K544" i="13"/>
  <c r="M544" i="13" s="1"/>
  <c r="K548" i="13"/>
  <c r="M548" i="13" s="1"/>
  <c r="K552" i="13"/>
  <c r="M552" i="13" s="1"/>
  <c r="K556" i="13"/>
  <c r="M556" i="13" s="1"/>
  <c r="K73" i="13"/>
  <c r="M73" i="13" s="1"/>
  <c r="K77" i="13"/>
  <c r="M77" i="13" s="1"/>
  <c r="K81" i="13"/>
  <c r="M81" i="13" s="1"/>
  <c r="K97" i="13"/>
  <c r="M97" i="13" s="1"/>
  <c r="K101" i="13"/>
  <c r="M101" i="13" s="1"/>
  <c r="K109" i="13"/>
  <c r="M109" i="13" s="1"/>
  <c r="K113" i="13"/>
  <c r="M113" i="13" s="1"/>
  <c r="K125" i="13"/>
  <c r="M125" i="13" s="1"/>
  <c r="K129" i="13"/>
  <c r="M129" i="13" s="1"/>
  <c r="K145" i="13"/>
  <c r="M145" i="13" s="1"/>
  <c r="K149" i="13"/>
  <c r="M149" i="13" s="1"/>
  <c r="K157" i="13"/>
  <c r="M157" i="13" s="1"/>
  <c r="K161" i="13"/>
  <c r="M161" i="13" s="1"/>
  <c r="K165" i="13"/>
  <c r="M165" i="13" s="1"/>
  <c r="N165" i="13" s="1"/>
  <c r="K169" i="13"/>
  <c r="M169" i="13" s="1"/>
  <c r="K173" i="13"/>
  <c r="M173" i="13" s="1"/>
  <c r="N173" i="13" s="1"/>
  <c r="K177" i="13"/>
  <c r="M177" i="13" s="1"/>
  <c r="K181" i="13"/>
  <c r="M181" i="13" s="1"/>
  <c r="N181" i="13" s="1"/>
  <c r="K185" i="13"/>
  <c r="M185" i="13" s="1"/>
  <c r="K189" i="13"/>
  <c r="M189" i="13" s="1"/>
  <c r="N189" i="13" s="1"/>
  <c r="K193" i="13"/>
  <c r="M193" i="13" s="1"/>
  <c r="K197" i="13"/>
  <c r="M197" i="13" s="1"/>
  <c r="N197" i="13" s="1"/>
  <c r="K201" i="13"/>
  <c r="M201" i="13" s="1"/>
  <c r="K205" i="13"/>
  <c r="M205" i="13" s="1"/>
  <c r="N205" i="13" s="1"/>
  <c r="K209" i="13"/>
  <c r="M209" i="13" s="1"/>
  <c r="K213" i="13"/>
  <c r="M213" i="13" s="1"/>
  <c r="N213" i="13" s="1"/>
  <c r="K217" i="13"/>
  <c r="M217" i="13" s="1"/>
  <c r="K221" i="13"/>
  <c r="M221" i="13" s="1"/>
  <c r="K225" i="13"/>
  <c r="M225" i="13" s="1"/>
  <c r="K229" i="13"/>
  <c r="M229" i="13" s="1"/>
  <c r="N229" i="13" s="1"/>
  <c r="K233" i="13"/>
  <c r="M233" i="13" s="1"/>
  <c r="K237" i="13"/>
  <c r="M237" i="13" s="1"/>
  <c r="K241" i="13"/>
  <c r="M241" i="13" s="1"/>
  <c r="N241" i="13" s="1"/>
  <c r="K361" i="13"/>
  <c r="M361" i="13" s="1"/>
  <c r="K865" i="13"/>
  <c r="M865" i="13" s="1"/>
  <c r="K873" i="13"/>
  <c r="M873" i="13" s="1"/>
  <c r="K877" i="13"/>
  <c r="M877" i="13" s="1"/>
  <c r="K881" i="13"/>
  <c r="M881" i="13" s="1"/>
  <c r="K885" i="13"/>
  <c r="M885" i="13" s="1"/>
  <c r="K889" i="13"/>
  <c r="M889" i="13" s="1"/>
  <c r="K893" i="13"/>
  <c r="M893" i="13" s="1"/>
  <c r="K897" i="13"/>
  <c r="M897" i="13" s="1"/>
  <c r="K901" i="13"/>
  <c r="M901" i="13" s="1"/>
  <c r="K909" i="13"/>
  <c r="M909" i="13" s="1"/>
  <c r="K913" i="13"/>
  <c r="M913" i="13" s="1"/>
  <c r="K917" i="13"/>
  <c r="M917" i="13" s="1"/>
  <c r="N917" i="13" s="1"/>
  <c r="K921" i="13"/>
  <c r="M921" i="13" s="1"/>
  <c r="K925" i="13"/>
  <c r="M925" i="13" s="1"/>
  <c r="K929" i="13"/>
  <c r="M929" i="13" s="1"/>
  <c r="K933" i="13"/>
  <c r="M933" i="13" s="1"/>
  <c r="N933" i="13" s="1"/>
  <c r="K937" i="13"/>
  <c r="M937" i="13" s="1"/>
  <c r="K941" i="13"/>
  <c r="M941" i="13" s="1"/>
  <c r="N941" i="13" s="1"/>
  <c r="K246" i="13"/>
  <c r="M246" i="13" s="1"/>
  <c r="K250" i="13"/>
  <c r="M250" i="13" s="1"/>
  <c r="K482" i="13"/>
  <c r="M482" i="13" s="1"/>
  <c r="K486" i="13"/>
  <c r="M486" i="13" s="1"/>
  <c r="K490" i="13"/>
  <c r="M490" i="13" s="1"/>
  <c r="K494" i="13"/>
  <c r="M494" i="13" s="1"/>
  <c r="K498" i="13"/>
  <c r="M498" i="13" s="1"/>
  <c r="K502" i="13"/>
  <c r="M502" i="13" s="1"/>
  <c r="K506" i="13"/>
  <c r="M506" i="13" s="1"/>
  <c r="K510" i="13"/>
  <c r="M510" i="13" s="1"/>
  <c r="K514" i="13"/>
  <c r="M514" i="13" s="1"/>
  <c r="K518" i="13"/>
  <c r="M518" i="13" s="1"/>
  <c r="N518" i="13" s="1"/>
  <c r="K522" i="13"/>
  <c r="M522" i="13" s="1"/>
  <c r="K526" i="13"/>
  <c r="M526" i="13" s="1"/>
  <c r="K530" i="13"/>
  <c r="M530" i="13" s="1"/>
  <c r="N530" i="13" s="1"/>
  <c r="K534" i="13"/>
  <c r="M534" i="13" s="1"/>
  <c r="K538" i="13"/>
  <c r="M538" i="13" s="1"/>
  <c r="K542" i="13"/>
  <c r="M542" i="13" s="1"/>
  <c r="K546" i="13"/>
  <c r="M546" i="13" s="1"/>
  <c r="N546" i="13" s="1"/>
  <c r="K550" i="13"/>
  <c r="M550" i="13" s="1"/>
  <c r="K554" i="13"/>
  <c r="M554" i="13" s="1"/>
  <c r="K558" i="13"/>
  <c r="M558" i="13" s="1"/>
  <c r="K562" i="13"/>
  <c r="M562" i="13" s="1"/>
  <c r="K566" i="13"/>
  <c r="M566" i="13" s="1"/>
  <c r="N566" i="13" s="1"/>
  <c r="K574" i="13"/>
  <c r="M574" i="13" s="1"/>
  <c r="K578" i="13"/>
  <c r="M578" i="13" s="1"/>
  <c r="K582" i="13"/>
  <c r="M582" i="13" s="1"/>
  <c r="K590" i="13"/>
  <c r="M590" i="13" s="1"/>
  <c r="K594" i="13"/>
  <c r="M594" i="13" s="1"/>
  <c r="K598" i="13"/>
  <c r="M598" i="13" s="1"/>
  <c r="K602" i="13"/>
  <c r="M602" i="13" s="1"/>
  <c r="K606" i="13"/>
  <c r="M606" i="13" s="1"/>
  <c r="K614" i="13"/>
  <c r="M614" i="13" s="1"/>
  <c r="K626" i="13"/>
  <c r="M626" i="13" s="1"/>
  <c r="N626" i="13" s="1"/>
  <c r="K638" i="13"/>
  <c r="M638" i="13" s="1"/>
  <c r="K646" i="13"/>
  <c r="M646" i="13" s="1"/>
  <c r="K650" i="13"/>
  <c r="M650" i="13" s="1"/>
  <c r="K654" i="13"/>
  <c r="M654" i="13" s="1"/>
  <c r="K662" i="13"/>
  <c r="M662" i="13" s="1"/>
  <c r="K670" i="13"/>
  <c r="M670" i="13" s="1"/>
  <c r="K228" i="13"/>
  <c r="M228" i="13" s="1"/>
  <c r="K272" i="13"/>
  <c r="M272" i="13" s="1"/>
  <c r="K280" i="13"/>
  <c r="M280" i="13" s="1"/>
  <c r="N280" i="13" s="1"/>
  <c r="K284" i="13"/>
  <c r="M284" i="13" s="1"/>
  <c r="K288" i="13"/>
  <c r="M288" i="13" s="1"/>
  <c r="K292" i="13"/>
  <c r="M292" i="13" s="1"/>
  <c r="K296" i="13"/>
  <c r="M296" i="13" s="1"/>
  <c r="K300" i="13"/>
  <c r="M300" i="13" s="1"/>
  <c r="K304" i="13"/>
  <c r="M304" i="13" s="1"/>
  <c r="N304" i="13" s="1"/>
  <c r="K308" i="13"/>
  <c r="M308" i="13" s="1"/>
  <c r="N308" i="13" s="1"/>
  <c r="K312" i="13"/>
  <c r="M312" i="13" s="1"/>
  <c r="N312" i="13" s="1"/>
  <c r="K316" i="13"/>
  <c r="M316" i="13" s="1"/>
  <c r="N316" i="13" s="1"/>
  <c r="K320" i="13"/>
  <c r="M320" i="13" s="1"/>
  <c r="K324" i="13"/>
  <c r="M324" i="13" s="1"/>
  <c r="K328" i="13"/>
  <c r="M328" i="13" s="1"/>
  <c r="N328" i="13" s="1"/>
  <c r="K332" i="13"/>
  <c r="M332" i="13" s="1"/>
  <c r="K336" i="13"/>
  <c r="M336" i="13" s="1"/>
  <c r="K340" i="13"/>
  <c r="M340" i="13" s="1"/>
  <c r="K344" i="13"/>
  <c r="M344" i="13" s="1"/>
  <c r="K675" i="13"/>
  <c r="M675" i="13" s="1"/>
  <c r="N675" i="13" s="1"/>
  <c r="K679" i="13"/>
  <c r="M679" i="13" s="1"/>
  <c r="N679" i="13" s="1"/>
  <c r="K687" i="13"/>
  <c r="M687" i="13" s="1"/>
  <c r="N687" i="13" s="1"/>
  <c r="K695" i="13"/>
  <c r="M695" i="13" s="1"/>
  <c r="N695" i="13" s="1"/>
  <c r="K699" i="13"/>
  <c r="M699" i="13" s="1"/>
  <c r="N699" i="13" s="1"/>
  <c r="K703" i="13"/>
  <c r="M703" i="13" s="1"/>
  <c r="K711" i="13"/>
  <c r="M711" i="13" s="1"/>
  <c r="K715" i="13"/>
  <c r="M715" i="13" s="1"/>
  <c r="K719" i="13"/>
  <c r="M719" i="13" s="1"/>
  <c r="K723" i="13"/>
  <c r="M723" i="13" s="1"/>
  <c r="K727" i="13"/>
  <c r="M727" i="13" s="1"/>
  <c r="K735" i="13"/>
  <c r="M735" i="13" s="1"/>
  <c r="K739" i="13"/>
  <c r="M739" i="13" s="1"/>
  <c r="K743" i="13"/>
  <c r="M743" i="13" s="1"/>
  <c r="K747" i="13"/>
  <c r="M747" i="13" s="1"/>
  <c r="N747" i="13" s="1"/>
  <c r="K751" i="13"/>
  <c r="M751" i="13" s="1"/>
  <c r="N751" i="13" s="1"/>
  <c r="K759" i="13"/>
  <c r="M759" i="13" s="1"/>
  <c r="N759" i="13" s="1"/>
  <c r="K767" i="13"/>
  <c r="M767" i="13" s="1"/>
  <c r="N767" i="13" s="1"/>
  <c r="K771" i="13"/>
  <c r="M771" i="13" s="1"/>
  <c r="K775" i="13"/>
  <c r="M775" i="13" s="1"/>
  <c r="N775" i="13" s="1"/>
  <c r="K783" i="13"/>
  <c r="M783" i="13" s="1"/>
  <c r="K787" i="13"/>
  <c r="M787" i="13" s="1"/>
  <c r="K791" i="13"/>
  <c r="M791" i="13" s="1"/>
  <c r="K795" i="13"/>
  <c r="M795" i="13" s="1"/>
  <c r="K799" i="13"/>
  <c r="M799" i="13" s="1"/>
  <c r="N799" i="13" s="1"/>
  <c r="K811" i="13"/>
  <c r="M811" i="13" s="1"/>
  <c r="N811" i="13" s="1"/>
  <c r="K815" i="13"/>
  <c r="M815" i="13" s="1"/>
  <c r="N815" i="13" s="1"/>
  <c r="K819" i="13"/>
  <c r="M819" i="13" s="1"/>
  <c r="K823" i="13"/>
  <c r="M823" i="13" s="1"/>
  <c r="N823" i="13" s="1"/>
  <c r="K831" i="13"/>
  <c r="M831" i="13" s="1"/>
  <c r="K835" i="13"/>
  <c r="M835" i="13" s="1"/>
  <c r="K408" i="13"/>
  <c r="M408" i="13" s="1"/>
  <c r="K412" i="13"/>
  <c r="M412" i="13" s="1"/>
  <c r="N412" i="13" s="1"/>
  <c r="K416" i="13"/>
  <c r="M416" i="13" s="1"/>
  <c r="N416" i="13" s="1"/>
  <c r="K420" i="13"/>
  <c r="M420" i="13" s="1"/>
  <c r="N420" i="13" s="1"/>
  <c r="K424" i="13"/>
  <c r="M424" i="13" s="1"/>
  <c r="N424" i="13" s="1"/>
  <c r="K428" i="13"/>
  <c r="M428" i="13" s="1"/>
  <c r="N428" i="13" s="1"/>
  <c r="K432" i="13"/>
  <c r="M432" i="13" s="1"/>
  <c r="N432" i="13" s="1"/>
  <c r="K436" i="13"/>
  <c r="M436" i="13" s="1"/>
  <c r="N436" i="13" s="1"/>
  <c r="K440" i="13"/>
  <c r="M440" i="13" s="1"/>
  <c r="N440" i="13" s="1"/>
  <c r="K65" i="13"/>
  <c r="M65" i="13" s="1"/>
  <c r="N65" i="13" s="1"/>
  <c r="K305" i="13"/>
  <c r="M305" i="13" s="1"/>
  <c r="K317" i="13"/>
  <c r="M317" i="13" s="1"/>
  <c r="K329" i="13"/>
  <c r="M329" i="13" s="1"/>
  <c r="K341" i="13"/>
  <c r="M341" i="13" s="1"/>
  <c r="N341" i="13" s="1"/>
  <c r="K480" i="13"/>
  <c r="M480" i="13" s="1"/>
  <c r="K676" i="13"/>
  <c r="M676" i="13" s="1"/>
  <c r="N676" i="13" s="1"/>
  <c r="K680" i="13"/>
  <c r="M680" i="13" s="1"/>
  <c r="K688" i="13"/>
  <c r="M688" i="13" s="1"/>
  <c r="K692" i="13"/>
  <c r="M692" i="13" s="1"/>
  <c r="K696" i="13"/>
  <c r="M696" i="13" s="1"/>
  <c r="N696" i="13" s="1"/>
  <c r="K704" i="13"/>
  <c r="M704" i="13" s="1"/>
  <c r="N704" i="13" s="1"/>
  <c r="K712" i="13"/>
  <c r="M712" i="13" s="1"/>
  <c r="N712" i="13" s="1"/>
  <c r="K716" i="13"/>
  <c r="M716" i="13" s="1"/>
  <c r="N716" i="13" s="1"/>
  <c r="K720" i="13"/>
  <c r="M720" i="13" s="1"/>
  <c r="K724" i="13"/>
  <c r="M724" i="13" s="1"/>
  <c r="K736" i="13"/>
  <c r="M736" i="13" s="1"/>
  <c r="K740" i="13"/>
  <c r="M740" i="13" s="1"/>
  <c r="N740" i="13" s="1"/>
  <c r="K744" i="13"/>
  <c r="M744" i="13" s="1"/>
  <c r="K748" i="13"/>
  <c r="M748" i="13" s="1"/>
  <c r="N748" i="13" s="1"/>
  <c r="K760" i="13"/>
  <c r="M760" i="13" s="1"/>
  <c r="N760" i="13" s="1"/>
  <c r="K764" i="13"/>
  <c r="M764" i="13" s="1"/>
  <c r="N764" i="13" s="1"/>
  <c r="K772" i="13"/>
  <c r="M772" i="13" s="1"/>
  <c r="N772" i="13" s="1"/>
  <c r="K776" i="13"/>
  <c r="M776" i="13" s="1"/>
  <c r="N776" i="13" s="1"/>
  <c r="K784" i="13"/>
  <c r="M784" i="13" s="1"/>
  <c r="N784" i="13" s="1"/>
  <c r="K788" i="13"/>
  <c r="M788" i="13" s="1"/>
  <c r="N788" i="13" s="1"/>
  <c r="K792" i="13"/>
  <c r="M792" i="13" s="1"/>
  <c r="K800" i="13"/>
  <c r="M800" i="13" s="1"/>
  <c r="N800" i="13" s="1"/>
  <c r="K808" i="13"/>
  <c r="M808" i="13" s="1"/>
  <c r="K812" i="13"/>
  <c r="M812" i="13" s="1"/>
  <c r="K14" i="13"/>
  <c r="M14" i="13" s="1"/>
  <c r="K18" i="13"/>
  <c r="M18" i="13" s="1"/>
  <c r="K22" i="13"/>
  <c r="M22" i="13" s="1"/>
  <c r="N22" i="13" s="1"/>
  <c r="K26" i="13"/>
  <c r="M26" i="13" s="1"/>
  <c r="N26" i="13" s="1"/>
  <c r="K30" i="13"/>
  <c r="M30" i="13" s="1"/>
  <c r="N30" i="13" s="1"/>
  <c r="K34" i="13"/>
  <c r="M34" i="13" s="1"/>
  <c r="N34" i="13" s="1"/>
  <c r="K38" i="13"/>
  <c r="M38" i="13" s="1"/>
  <c r="K42" i="13"/>
  <c r="M42" i="13" s="1"/>
  <c r="K46" i="13"/>
  <c r="M46" i="13" s="1"/>
  <c r="K50" i="13"/>
  <c r="M50" i="13" s="1"/>
  <c r="N50" i="13" s="1"/>
  <c r="K54" i="13"/>
  <c r="M54" i="13" s="1"/>
  <c r="K58" i="13"/>
  <c r="M58" i="13" s="1"/>
  <c r="K62" i="13"/>
  <c r="M62" i="13" s="1"/>
  <c r="N62" i="13" s="1"/>
  <c r="K230" i="13"/>
  <c r="M230" i="13" s="1"/>
  <c r="K234" i="13"/>
  <c r="M234" i="13" s="1"/>
  <c r="N234" i="13" s="1"/>
  <c r="K238" i="13"/>
  <c r="M238" i="13" s="1"/>
  <c r="N238" i="13" s="1"/>
  <c r="K242" i="13"/>
  <c r="M242" i="13" s="1"/>
  <c r="N242" i="13" s="1"/>
  <c r="K353" i="13"/>
  <c r="M353" i="13" s="1"/>
  <c r="N353" i="13" s="1"/>
  <c r="K365" i="13"/>
  <c r="M365" i="13" s="1"/>
  <c r="N365" i="13" s="1"/>
  <c r="K377" i="13"/>
  <c r="M377" i="13" s="1"/>
  <c r="N377" i="13" s="1"/>
  <c r="K393" i="13"/>
  <c r="M393" i="13" s="1"/>
  <c r="N393" i="13" s="1"/>
  <c r="K397" i="13"/>
  <c r="M397" i="13" s="1"/>
  <c r="K401" i="13"/>
  <c r="M401" i="13" s="1"/>
  <c r="K405" i="13"/>
  <c r="M405" i="13" s="1"/>
  <c r="N405" i="13" s="1"/>
  <c r="K409" i="13"/>
  <c r="M409" i="13" s="1"/>
  <c r="N409" i="13" s="1"/>
  <c r="K417" i="13"/>
  <c r="M417" i="13" s="1"/>
  <c r="N417" i="13" s="1"/>
  <c r="K421" i="13"/>
  <c r="M421" i="13" s="1"/>
  <c r="N421" i="13" s="1"/>
  <c r="K425" i="13"/>
  <c r="M425" i="13" s="1"/>
  <c r="N425" i="13" s="1"/>
  <c r="K429" i="13"/>
  <c r="M429" i="13" s="1"/>
  <c r="N429" i="13" s="1"/>
  <c r="K433" i="13"/>
  <c r="M433" i="13" s="1"/>
  <c r="N433" i="13" s="1"/>
  <c r="K441" i="13"/>
  <c r="M441" i="13" s="1"/>
  <c r="N441" i="13" s="1"/>
  <c r="K844" i="13"/>
  <c r="M844" i="13" s="1"/>
  <c r="N844" i="13" s="1"/>
  <c r="K852" i="13"/>
  <c r="M852" i="13" s="1"/>
  <c r="K856" i="13"/>
  <c r="M856" i="13" s="1"/>
  <c r="K868" i="13"/>
  <c r="M868" i="13" s="1"/>
  <c r="K872" i="13"/>
  <c r="M872" i="13" s="1"/>
  <c r="K876" i="13"/>
  <c r="M876" i="13" s="1"/>
  <c r="K884" i="13"/>
  <c r="M884" i="13" s="1"/>
  <c r="N884" i="13" s="1"/>
  <c r="K888" i="13"/>
  <c r="M888" i="13" s="1"/>
  <c r="K896" i="13"/>
  <c r="M896" i="13" s="1"/>
  <c r="N896" i="13" s="1"/>
  <c r="K900" i="13"/>
  <c r="M900" i="13" s="1"/>
  <c r="K254" i="13"/>
  <c r="M254" i="13" s="1"/>
  <c r="N254" i="13" s="1"/>
  <c r="K258" i="13"/>
  <c r="M258" i="13" s="1"/>
  <c r="N258" i="13" s="1"/>
  <c r="K262" i="13"/>
  <c r="M262" i="13" s="1"/>
  <c r="N262" i="13" s="1"/>
  <c r="K266" i="13"/>
  <c r="M266" i="13" s="1"/>
  <c r="K270" i="13"/>
  <c r="M270" i="13" s="1"/>
  <c r="N270" i="13" s="1"/>
  <c r="K274" i="13"/>
  <c r="M274" i="13" s="1"/>
  <c r="K841" i="13"/>
  <c r="M841" i="13" s="1"/>
  <c r="K849" i="13"/>
  <c r="M849" i="13" s="1"/>
  <c r="K853" i="13"/>
  <c r="M853" i="13" s="1"/>
  <c r="K857" i="13"/>
  <c r="M857" i="13" s="1"/>
  <c r="N857" i="13" s="1"/>
  <c r="K861" i="13"/>
  <c r="M861" i="13" s="1"/>
  <c r="K949" i="13"/>
  <c r="M949" i="13" s="1"/>
  <c r="K957" i="13"/>
  <c r="M957" i="13" s="1"/>
  <c r="N957" i="13" s="1"/>
  <c r="K961" i="13"/>
  <c r="M961" i="13" s="1"/>
  <c r="N961" i="13" s="1"/>
  <c r="K965" i="13"/>
  <c r="M965" i="13" s="1"/>
  <c r="K969" i="13"/>
  <c r="M969" i="13" s="1"/>
  <c r="K973" i="13"/>
  <c r="M973" i="13" s="1"/>
  <c r="K977" i="13"/>
  <c r="M977" i="13" s="1"/>
  <c r="K985" i="13"/>
  <c r="M985" i="13" s="1"/>
  <c r="K993" i="13"/>
  <c r="M993" i="13" s="1"/>
  <c r="K997" i="13"/>
  <c r="M997" i="13" s="1"/>
  <c r="K179" i="13"/>
  <c r="M179" i="13" s="1"/>
  <c r="N20" i="13"/>
  <c r="K279" i="13"/>
  <c r="M279" i="13" s="1"/>
  <c r="K283" i="13"/>
  <c r="M283" i="13" s="1"/>
  <c r="C6" i="20" a="1"/>
  <c r="C6" i="20" s="1"/>
  <c r="N673" i="13"/>
  <c r="N346" i="13"/>
  <c r="N332" i="13"/>
  <c r="N340" i="13"/>
  <c r="N317" i="13"/>
  <c r="N680" i="13"/>
  <c r="N253" i="13"/>
  <c r="N401" i="13"/>
  <c r="N246" i="13"/>
  <c r="N445" i="13"/>
  <c r="N449" i="13"/>
  <c r="N473" i="13"/>
  <c r="N492" i="13"/>
  <c r="N504" i="13"/>
  <c r="N87" i="13"/>
  <c r="N163" i="13"/>
  <c r="N191" i="13"/>
  <c r="N215" i="13"/>
  <c r="N223" i="13"/>
  <c r="N885" i="13"/>
  <c r="N494" i="13"/>
  <c r="N534" i="13"/>
  <c r="N52" i="13"/>
  <c r="N291" i="13"/>
  <c r="N335" i="13"/>
  <c r="N850" i="13"/>
  <c r="N854" i="13"/>
  <c r="N902" i="13"/>
  <c r="N115" i="13"/>
  <c r="N155" i="13"/>
  <c r="N207" i="13"/>
  <c r="N909" i="13"/>
  <c r="N502" i="13"/>
  <c r="N554" i="13"/>
  <c r="N283" i="13"/>
  <c r="N516" i="13"/>
  <c r="N95" i="13"/>
  <c r="N199" i="13"/>
  <c r="N486" i="13"/>
  <c r="N542" i="13"/>
  <c r="N256" i="13"/>
  <c r="N260" i="13"/>
  <c r="N268" i="13"/>
  <c r="N272" i="13"/>
  <c r="N288" i="13"/>
  <c r="N296" i="13"/>
  <c r="N723" i="13"/>
  <c r="R36" i="11"/>
  <c r="K446" i="13"/>
  <c r="M446" i="13" s="1"/>
  <c r="N446" i="13" s="1"/>
  <c r="K450" i="13"/>
  <c r="M450" i="13" s="1"/>
  <c r="K454" i="13"/>
  <c r="M454" i="13" s="1"/>
  <c r="N454" i="13" s="1"/>
  <c r="K458" i="13"/>
  <c r="M458" i="13" s="1"/>
  <c r="N458" i="13" s="1"/>
  <c r="K462" i="13"/>
  <c r="M462" i="13" s="1"/>
  <c r="N462" i="13" s="1"/>
  <c r="K466" i="13"/>
  <c r="M466" i="13" s="1"/>
  <c r="N466" i="13" s="1"/>
  <c r="K470" i="13"/>
  <c r="M470" i="13" s="1"/>
  <c r="N470" i="13" s="1"/>
  <c r="K474" i="13"/>
  <c r="M474" i="13" s="1"/>
  <c r="N474" i="13" s="1"/>
  <c r="K478" i="13"/>
  <c r="M478" i="13" s="1"/>
  <c r="N478" i="13" s="1"/>
  <c r="K244" i="13"/>
  <c r="M244" i="13" s="1"/>
  <c r="N244" i="13" s="1"/>
  <c r="K248" i="13"/>
  <c r="M248" i="13" s="1"/>
  <c r="N248" i="13" s="1"/>
  <c r="K252" i="13"/>
  <c r="M252" i="13" s="1"/>
  <c r="N252" i="13" s="1"/>
  <c r="N138" i="13"/>
  <c r="K66" i="13"/>
  <c r="M66" i="13" s="1"/>
  <c r="N66" i="13" s="1"/>
  <c r="K70" i="13"/>
  <c r="M70" i="13" s="1"/>
  <c r="N70" i="13" s="1"/>
  <c r="K74" i="13"/>
  <c r="M74" i="13" s="1"/>
  <c r="K78" i="13"/>
  <c r="M78" i="13" s="1"/>
  <c r="N78" i="13" s="1"/>
  <c r="K82" i="13"/>
  <c r="M82" i="13" s="1"/>
  <c r="N82" i="13" s="1"/>
  <c r="K86" i="13"/>
  <c r="M86" i="13" s="1"/>
  <c r="K90" i="13"/>
  <c r="M90" i="13" s="1"/>
  <c r="K94" i="13"/>
  <c r="M94" i="13" s="1"/>
  <c r="N94" i="13" s="1"/>
  <c r="K98" i="13"/>
  <c r="M98" i="13" s="1"/>
  <c r="N98" i="13" s="1"/>
  <c r="K102" i="13"/>
  <c r="M102" i="13" s="1"/>
  <c r="N102" i="13" s="1"/>
  <c r="K106" i="13"/>
  <c r="M106" i="13" s="1"/>
  <c r="N106" i="13" s="1"/>
  <c r="K110" i="13"/>
  <c r="M110" i="13" s="1"/>
  <c r="N110" i="13" s="1"/>
  <c r="K114" i="13"/>
  <c r="M114" i="13" s="1"/>
  <c r="N114" i="13" s="1"/>
  <c r="K118" i="13"/>
  <c r="M118" i="13" s="1"/>
  <c r="N118" i="13" s="1"/>
  <c r="K122" i="13"/>
  <c r="M122" i="13" s="1"/>
  <c r="N122" i="13" s="1"/>
  <c r="K126" i="13"/>
  <c r="M126" i="13" s="1"/>
  <c r="K130" i="13"/>
  <c r="M130" i="13" s="1"/>
  <c r="N130" i="13" s="1"/>
  <c r="K134" i="13"/>
  <c r="M134" i="13" s="1"/>
  <c r="K138" i="13"/>
  <c r="M138" i="13" s="1"/>
  <c r="K142" i="13"/>
  <c r="M142" i="13" s="1"/>
  <c r="N142" i="13" s="1"/>
  <c r="K146" i="13"/>
  <c r="M146" i="13" s="1"/>
  <c r="N146" i="13" s="1"/>
  <c r="K150" i="13"/>
  <c r="M150" i="13" s="1"/>
  <c r="N150" i="13" s="1"/>
  <c r="K182" i="13"/>
  <c r="M182" i="13" s="1"/>
  <c r="N182" i="13" s="1"/>
  <c r="K186" i="13"/>
  <c r="M186" i="13" s="1"/>
  <c r="N186" i="13" s="1"/>
  <c r="K190" i="13"/>
  <c r="M190" i="13" s="1"/>
  <c r="N190" i="13" s="1"/>
  <c r="K194" i="13"/>
  <c r="M194" i="13" s="1"/>
  <c r="N194" i="13" s="1"/>
  <c r="K198" i="13"/>
  <c r="M198" i="13" s="1"/>
  <c r="K202" i="13"/>
  <c r="M202" i="13" s="1"/>
  <c r="N202" i="13" s="1"/>
  <c r="K206" i="13"/>
  <c r="M206" i="13" s="1"/>
  <c r="N206" i="13" s="1"/>
  <c r="K210" i="13"/>
  <c r="M210" i="13" s="1"/>
  <c r="N210" i="13" s="1"/>
  <c r="K214" i="13"/>
  <c r="M214" i="13" s="1"/>
  <c r="K218" i="13"/>
  <c r="M218" i="13" s="1"/>
  <c r="N218" i="13" s="1"/>
  <c r="K222" i="13"/>
  <c r="M222" i="13" s="1"/>
  <c r="N222" i="13" s="1"/>
  <c r="K226" i="13"/>
  <c r="M226" i="13" s="1"/>
  <c r="K257" i="13"/>
  <c r="M257" i="13" s="1"/>
  <c r="N257" i="13" s="1"/>
  <c r="K261" i="13"/>
  <c r="M261" i="13" s="1"/>
  <c r="N261" i="13" s="1"/>
  <c r="K265" i="13"/>
  <c r="M265" i="13" s="1"/>
  <c r="N265" i="13" s="1"/>
  <c r="K269" i="13"/>
  <c r="M269" i="13" s="1"/>
  <c r="N269" i="13" s="1"/>
  <c r="K293" i="13"/>
  <c r="M293" i="13" s="1"/>
  <c r="N293" i="13" s="1"/>
  <c r="K15" i="13"/>
  <c r="M15" i="13" s="1"/>
  <c r="N15" i="13" s="1"/>
  <c r="K19" i="13"/>
  <c r="M19" i="13" s="1"/>
  <c r="N19" i="13" s="1"/>
  <c r="K23" i="13"/>
  <c r="M23" i="13" s="1"/>
  <c r="N23" i="13" s="1"/>
  <c r="K27" i="13"/>
  <c r="M27" i="13" s="1"/>
  <c r="K31" i="13"/>
  <c r="M31" i="13" s="1"/>
  <c r="N31" i="13" s="1"/>
  <c r="K35" i="13"/>
  <c r="M35" i="13" s="1"/>
  <c r="K39" i="13"/>
  <c r="M39" i="13" s="1"/>
  <c r="N39" i="13" s="1"/>
  <c r="K43" i="13"/>
  <c r="M43" i="13" s="1"/>
  <c r="N43" i="13" s="1"/>
  <c r="K47" i="13"/>
  <c r="M47" i="13" s="1"/>
  <c r="N47" i="13" s="1"/>
  <c r="K51" i="13"/>
  <c r="M51" i="13" s="1"/>
  <c r="N51" i="13" s="1"/>
  <c r="K55" i="13"/>
  <c r="M55" i="13" s="1"/>
  <c r="K59" i="13"/>
  <c r="M59" i="13" s="1"/>
  <c r="N59" i="13" s="1"/>
  <c r="K63" i="13"/>
  <c r="M63" i="13" s="1"/>
  <c r="N63" i="13" s="1"/>
  <c r="N123" i="13"/>
  <c r="N131" i="13"/>
  <c r="K407" i="13"/>
  <c r="M407" i="13" s="1"/>
  <c r="N407" i="13" s="1"/>
  <c r="K411" i="13"/>
  <c r="M411" i="13" s="1"/>
  <c r="K415" i="13"/>
  <c r="M415" i="13" s="1"/>
  <c r="N415" i="13" s="1"/>
  <c r="K431" i="13"/>
  <c r="M431" i="13" s="1"/>
  <c r="N431" i="13" s="1"/>
  <c r="K439" i="13"/>
  <c r="M439" i="13" s="1"/>
  <c r="N439" i="13" s="1"/>
  <c r="K674" i="13"/>
  <c r="M674" i="13" s="1"/>
  <c r="N674" i="13" s="1"/>
  <c r="K678" i="13"/>
  <c r="M678" i="13" s="1"/>
  <c r="N678" i="13" s="1"/>
  <c r="K686" i="13"/>
  <c r="M686" i="13" s="1"/>
  <c r="N686" i="13" s="1"/>
  <c r="K694" i="13"/>
  <c r="M694" i="13" s="1"/>
  <c r="N694" i="13" s="1"/>
  <c r="K698" i="13"/>
  <c r="M698" i="13" s="1"/>
  <c r="N698" i="13" s="1"/>
  <c r="K710" i="13"/>
  <c r="M710" i="13" s="1"/>
  <c r="N710" i="13" s="1"/>
  <c r="K718" i="13"/>
  <c r="M718" i="13" s="1"/>
  <c r="K726" i="13"/>
  <c r="M726" i="13" s="1"/>
  <c r="N726" i="13" s="1"/>
  <c r="K734" i="13"/>
  <c r="M734" i="13" s="1"/>
  <c r="N734" i="13" s="1"/>
  <c r="K742" i="13"/>
  <c r="M742" i="13" s="1"/>
  <c r="N742" i="13" s="1"/>
  <c r="K746" i="13"/>
  <c r="M746" i="13" s="1"/>
  <c r="N746" i="13" s="1"/>
  <c r="K750" i="13"/>
  <c r="M750" i="13" s="1"/>
  <c r="N750" i="13" s="1"/>
  <c r="K758" i="13"/>
  <c r="M758" i="13" s="1"/>
  <c r="N758" i="13" s="1"/>
  <c r="K766" i="13"/>
  <c r="M766" i="13" s="1"/>
  <c r="K770" i="13"/>
  <c r="M770" i="13" s="1"/>
  <c r="N770" i="13" s="1"/>
  <c r="K782" i="13"/>
  <c r="M782" i="13" s="1"/>
  <c r="N782" i="13" s="1"/>
  <c r="K790" i="13"/>
  <c r="M790" i="13" s="1"/>
  <c r="N790" i="13" s="1"/>
  <c r="K794" i="13"/>
  <c r="M794" i="13" s="1"/>
  <c r="K798" i="13"/>
  <c r="M798" i="13" s="1"/>
  <c r="K806" i="13"/>
  <c r="M806" i="13" s="1"/>
  <c r="K814" i="13"/>
  <c r="M814" i="13" s="1"/>
  <c r="N814" i="13" s="1"/>
  <c r="K818" i="13"/>
  <c r="M818" i="13" s="1"/>
  <c r="N818" i="13" s="1"/>
  <c r="K822" i="13"/>
  <c r="M822" i="13" s="1"/>
  <c r="N822" i="13" s="1"/>
  <c r="K830" i="13"/>
  <c r="M830" i="13" s="1"/>
  <c r="N830" i="13" s="1"/>
  <c r="K838" i="13"/>
  <c r="M838" i="13" s="1"/>
  <c r="N838" i="13" s="1"/>
  <c r="K154" i="13"/>
  <c r="M154" i="13" s="1"/>
  <c r="N154" i="13" s="1"/>
  <c r="K158" i="13"/>
  <c r="M158" i="13" s="1"/>
  <c r="K162" i="13"/>
  <c r="M162" i="13" s="1"/>
  <c r="N162" i="13" s="1"/>
  <c r="K166" i="13"/>
  <c r="M166" i="13" s="1"/>
  <c r="N166" i="13" s="1"/>
  <c r="K170" i="13"/>
  <c r="M170" i="13" s="1"/>
  <c r="N170" i="13" s="1"/>
  <c r="K174" i="13"/>
  <c r="M174" i="13" s="1"/>
  <c r="N174" i="13" s="1"/>
  <c r="K178" i="13"/>
  <c r="M178" i="13" s="1"/>
  <c r="N178" i="13" s="1"/>
  <c r="K245" i="13"/>
  <c r="M245" i="13" s="1"/>
  <c r="K249" i="13"/>
  <c r="M249" i="13" s="1"/>
  <c r="N249" i="13" s="1"/>
  <c r="K348" i="13"/>
  <c r="M348" i="13" s="1"/>
  <c r="N348" i="13" s="1"/>
  <c r="K352" i="13"/>
  <c r="M352" i="13" s="1"/>
  <c r="N352" i="13" s="1"/>
  <c r="K356" i="13"/>
  <c r="M356" i="13" s="1"/>
  <c r="N356" i="13" s="1"/>
  <c r="K360" i="13"/>
  <c r="M360" i="13" s="1"/>
  <c r="K364" i="13"/>
  <c r="M364" i="13" s="1"/>
  <c r="N364" i="13" s="1"/>
  <c r="K368" i="13"/>
  <c r="M368" i="13" s="1"/>
  <c r="N368" i="13" s="1"/>
  <c r="K372" i="13"/>
  <c r="M372" i="13" s="1"/>
  <c r="N372" i="13" s="1"/>
  <c r="K376" i="13"/>
  <c r="M376" i="13" s="1"/>
  <c r="N376" i="13" s="1"/>
  <c r="K380" i="13"/>
  <c r="M380" i="13" s="1"/>
  <c r="N380" i="13" s="1"/>
  <c r="K384" i="13"/>
  <c r="M384" i="13" s="1"/>
  <c r="N384" i="13" s="1"/>
  <c r="K388" i="13"/>
  <c r="M388" i="13" s="1"/>
  <c r="N388" i="13" s="1"/>
  <c r="K392" i="13"/>
  <c r="M392" i="13" s="1"/>
  <c r="N392" i="13" s="1"/>
  <c r="K396" i="13"/>
  <c r="M396" i="13" s="1"/>
  <c r="N396" i="13" s="1"/>
  <c r="K400" i="13"/>
  <c r="M400" i="13" s="1"/>
  <c r="N400" i="13" s="1"/>
  <c r="K404" i="13"/>
  <c r="M404" i="13" s="1"/>
  <c r="N404" i="13" s="1"/>
  <c r="K483" i="13"/>
  <c r="M483" i="13" s="1"/>
  <c r="K487" i="13"/>
  <c r="M487" i="13" s="1"/>
  <c r="N487" i="13" s="1"/>
  <c r="K491" i="13"/>
  <c r="M491" i="13" s="1"/>
  <c r="N491" i="13" s="1"/>
  <c r="K495" i="13"/>
  <c r="M495" i="13" s="1"/>
  <c r="N495" i="13" s="1"/>
  <c r="K499" i="13"/>
  <c r="M499" i="13" s="1"/>
  <c r="N499" i="13" s="1"/>
  <c r="K503" i="13"/>
  <c r="M503" i="13" s="1"/>
  <c r="N503" i="13" s="1"/>
  <c r="K511" i="13"/>
  <c r="M511" i="13" s="1"/>
  <c r="N511" i="13" s="1"/>
  <c r="K515" i="13"/>
  <c r="M515" i="13" s="1"/>
  <c r="K519" i="13"/>
  <c r="M519" i="13" s="1"/>
  <c r="N519" i="13" s="1"/>
  <c r="K523" i="13"/>
  <c r="M523" i="13" s="1"/>
  <c r="N523" i="13" s="1"/>
  <c r="K527" i="13"/>
  <c r="M527" i="13" s="1"/>
  <c r="N527" i="13" s="1"/>
  <c r="K531" i="13"/>
  <c r="M531" i="13" s="1"/>
  <c r="N531" i="13" s="1"/>
  <c r="K535" i="13"/>
  <c r="M535" i="13" s="1"/>
  <c r="N535" i="13" s="1"/>
  <c r="K539" i="13"/>
  <c r="M539" i="13" s="1"/>
  <c r="N539" i="13" s="1"/>
  <c r="K543" i="13"/>
  <c r="M543" i="13" s="1"/>
  <c r="N543" i="13" s="1"/>
  <c r="K547" i="13"/>
  <c r="M547" i="13" s="1"/>
  <c r="N547" i="13" s="1"/>
  <c r="K551" i="13"/>
  <c r="M551" i="13" s="1"/>
  <c r="N551" i="13" s="1"/>
  <c r="K559" i="13"/>
  <c r="M559" i="13" s="1"/>
  <c r="K563" i="13"/>
  <c r="M563" i="13" s="1"/>
  <c r="N563" i="13" s="1"/>
  <c r="K567" i="13"/>
  <c r="M567" i="13" s="1"/>
  <c r="N567" i="13" s="1"/>
  <c r="K571" i="13"/>
  <c r="M571" i="13" s="1"/>
  <c r="N571" i="13" s="1"/>
  <c r="K575" i="13"/>
  <c r="M575" i="13" s="1"/>
  <c r="N575" i="13" s="1"/>
  <c r="K579" i="13"/>
  <c r="M579" i="13" s="1"/>
  <c r="N579" i="13" s="1"/>
  <c r="K583" i="13"/>
  <c r="M583" i="13" s="1"/>
  <c r="N583" i="13" s="1"/>
  <c r="K587" i="13"/>
  <c r="M587" i="13" s="1"/>
  <c r="K595" i="13"/>
  <c r="M595" i="13" s="1"/>
  <c r="K599" i="13"/>
  <c r="M599" i="13" s="1"/>
  <c r="N599" i="13" s="1"/>
  <c r="K603" i="13"/>
  <c r="M603" i="13" s="1"/>
  <c r="N603" i="13" s="1"/>
  <c r="K611" i="13"/>
  <c r="M611" i="13" s="1"/>
  <c r="N611" i="13" s="1"/>
  <c r="K615" i="13"/>
  <c r="M615" i="13" s="1"/>
  <c r="N615" i="13" s="1"/>
  <c r="K623" i="13"/>
  <c r="M623" i="13" s="1"/>
  <c r="N623" i="13" s="1"/>
  <c r="K627" i="13"/>
  <c r="M627" i="13" s="1"/>
  <c r="K631" i="13"/>
  <c r="M631" i="13" s="1"/>
  <c r="K635" i="13"/>
  <c r="M635" i="13" s="1"/>
  <c r="N635" i="13" s="1"/>
  <c r="K639" i="13"/>
  <c r="M639" i="13" s="1"/>
  <c r="N639" i="13" s="1"/>
  <c r="K643" i="13"/>
  <c r="M643" i="13" s="1"/>
  <c r="N643" i="13" s="1"/>
  <c r="K647" i="13"/>
  <c r="M647" i="13" s="1"/>
  <c r="N647" i="13" s="1"/>
  <c r="K651" i="13"/>
  <c r="M651" i="13" s="1"/>
  <c r="N651" i="13" s="1"/>
  <c r="K655" i="13"/>
  <c r="M655" i="13" s="1"/>
  <c r="N655" i="13" s="1"/>
  <c r="K659" i="13"/>
  <c r="M659" i="13" s="1"/>
  <c r="N659" i="13" s="1"/>
  <c r="K663" i="13"/>
  <c r="M663" i="13" s="1"/>
  <c r="K671" i="13"/>
  <c r="M671" i="13" s="1"/>
  <c r="N671" i="13" s="1"/>
  <c r="K906" i="13"/>
  <c r="M906" i="13" s="1"/>
  <c r="K910" i="13"/>
  <c r="M910" i="13" s="1"/>
  <c r="N910" i="13" s="1"/>
  <c r="K914" i="13"/>
  <c r="M914" i="13" s="1"/>
  <c r="N914" i="13" s="1"/>
  <c r="K918" i="13"/>
  <c r="M918" i="13" s="1"/>
  <c r="N918" i="13" s="1"/>
  <c r="K926" i="13"/>
  <c r="M926" i="13" s="1"/>
  <c r="N926" i="13" s="1"/>
  <c r="K930" i="13"/>
  <c r="M930" i="13" s="1"/>
  <c r="N930" i="13" s="1"/>
  <c r="K934" i="13"/>
  <c r="M934" i="13" s="1"/>
  <c r="K942" i="13"/>
  <c r="M942" i="13" s="1"/>
  <c r="N942" i="13" s="1"/>
  <c r="K950" i="13"/>
  <c r="M950" i="13" s="1"/>
  <c r="N950" i="13" s="1"/>
  <c r="K954" i="13"/>
  <c r="M954" i="13" s="1"/>
  <c r="N954" i="13" s="1"/>
  <c r="K962" i="13"/>
  <c r="M962" i="13" s="1"/>
  <c r="K966" i="13"/>
  <c r="M966" i="13" s="1"/>
  <c r="N966" i="13" s="1"/>
  <c r="K974" i="13"/>
  <c r="M974" i="13" s="1"/>
  <c r="N974" i="13" s="1"/>
  <c r="K978" i="13"/>
  <c r="M978" i="13" s="1"/>
  <c r="N978" i="13" s="1"/>
  <c r="K986" i="13"/>
  <c r="M986" i="13" s="1"/>
  <c r="N986" i="13" s="1"/>
  <c r="K990" i="13"/>
  <c r="M990" i="13" s="1"/>
  <c r="N990" i="13" s="1"/>
  <c r="K998" i="13"/>
  <c r="M998" i="13" s="1"/>
  <c r="N998" i="13" s="1"/>
  <c r="K68" i="13"/>
  <c r="M68" i="13" s="1"/>
  <c r="N68" i="13" s="1"/>
  <c r="K72" i="13"/>
  <c r="M72" i="13" s="1"/>
  <c r="K76" i="13"/>
  <c r="M76" i="13" s="1"/>
  <c r="N76" i="13" s="1"/>
  <c r="K80" i="13"/>
  <c r="M80" i="13" s="1"/>
  <c r="N80" i="13" s="1"/>
  <c r="K84" i="13"/>
  <c r="M84" i="13" s="1"/>
  <c r="N84" i="13" s="1"/>
  <c r="K88" i="13"/>
  <c r="M88" i="13" s="1"/>
  <c r="K92" i="13"/>
  <c r="M92" i="13" s="1"/>
  <c r="N92" i="13" s="1"/>
  <c r="K96" i="13"/>
  <c r="M96" i="13" s="1"/>
  <c r="N96" i="13" s="1"/>
  <c r="K100" i="13"/>
  <c r="M100" i="13" s="1"/>
  <c r="N100" i="13" s="1"/>
  <c r="K104" i="13"/>
  <c r="M104" i="13" s="1"/>
  <c r="N104" i="13" s="1"/>
  <c r="K108" i="13"/>
  <c r="M108" i="13" s="1"/>
  <c r="N108" i="13" s="1"/>
  <c r="K112" i="13"/>
  <c r="M112" i="13" s="1"/>
  <c r="N112" i="13" s="1"/>
  <c r="K116" i="13"/>
  <c r="M116" i="13" s="1"/>
  <c r="K120" i="13"/>
  <c r="M120" i="13" s="1"/>
  <c r="N120" i="13" s="1"/>
  <c r="K124" i="13"/>
  <c r="M124" i="13" s="1"/>
  <c r="N124" i="13" s="1"/>
  <c r="K128" i="13"/>
  <c r="M128" i="13" s="1"/>
  <c r="N128" i="13" s="1"/>
  <c r="K132" i="13"/>
  <c r="M132" i="13" s="1"/>
  <c r="N132" i="13" s="1"/>
  <c r="K136" i="13"/>
  <c r="M136" i="13" s="1"/>
  <c r="N136" i="13" s="1"/>
  <c r="K140" i="13"/>
  <c r="M140" i="13" s="1"/>
  <c r="K144" i="13"/>
  <c r="M144" i="13" s="1"/>
  <c r="K231" i="13"/>
  <c r="M231" i="13" s="1"/>
  <c r="N231" i="13" s="1"/>
  <c r="K235" i="13"/>
  <c r="M235" i="13" s="1"/>
  <c r="N235" i="13" s="1"/>
  <c r="K239" i="13"/>
  <c r="M239" i="13" s="1"/>
  <c r="N239" i="13" s="1"/>
  <c r="K278" i="13"/>
  <c r="M278" i="13" s="1"/>
  <c r="N278" i="13" s="1"/>
  <c r="K282" i="13"/>
  <c r="M282" i="13" s="1"/>
  <c r="N282" i="13" s="1"/>
  <c r="K286" i="13"/>
  <c r="M286" i="13" s="1"/>
  <c r="N286" i="13" s="1"/>
  <c r="K290" i="13"/>
  <c r="M290" i="13" s="1"/>
  <c r="N290" i="13" s="1"/>
  <c r="K294" i="13"/>
  <c r="M294" i="13" s="1"/>
  <c r="N294" i="13" s="1"/>
  <c r="K298" i="13"/>
  <c r="M298" i="13" s="1"/>
  <c r="N298" i="13" s="1"/>
  <c r="K302" i="13"/>
  <c r="M302" i="13" s="1"/>
  <c r="K306" i="13"/>
  <c r="M306" i="13" s="1"/>
  <c r="N306" i="13" s="1"/>
  <c r="K310" i="13"/>
  <c r="M310" i="13" s="1"/>
  <c r="K314" i="13"/>
  <c r="M314" i="13" s="1"/>
  <c r="N314" i="13" s="1"/>
  <c r="K318" i="13"/>
  <c r="M318" i="13" s="1"/>
  <c r="N318" i="13" s="1"/>
  <c r="K322" i="13"/>
  <c r="M322" i="13" s="1"/>
  <c r="N322" i="13" s="1"/>
  <c r="K326" i="13"/>
  <c r="M326" i="13" s="1"/>
  <c r="N326" i="13" s="1"/>
  <c r="K330" i="13"/>
  <c r="M330" i="13" s="1"/>
  <c r="N330" i="13" s="1"/>
  <c r="K334" i="13"/>
  <c r="M334" i="13" s="1"/>
  <c r="N334" i="13" s="1"/>
  <c r="K338" i="13"/>
  <c r="M338" i="13" s="1"/>
  <c r="N338" i="13" s="1"/>
  <c r="K148" i="13"/>
  <c r="M148" i="13" s="1"/>
  <c r="N148" i="13" s="1"/>
  <c r="K152" i="13"/>
  <c r="M152" i="13" s="1"/>
  <c r="N152" i="13" s="1"/>
  <c r="K156" i="13"/>
  <c r="M156" i="13" s="1"/>
  <c r="N156" i="13" s="1"/>
  <c r="K160" i="13"/>
  <c r="M160" i="13" s="1"/>
  <c r="N160" i="13" s="1"/>
  <c r="K164" i="13"/>
  <c r="M164" i="13" s="1"/>
  <c r="N164" i="13" s="1"/>
  <c r="K168" i="13"/>
  <c r="M168" i="13" s="1"/>
  <c r="N168" i="13" s="1"/>
  <c r="K172" i="13"/>
  <c r="M172" i="13" s="1"/>
  <c r="N172" i="13" s="1"/>
  <c r="K176" i="13"/>
  <c r="M176" i="13" s="1"/>
  <c r="N176" i="13" s="1"/>
  <c r="K247" i="13"/>
  <c r="M247" i="13" s="1"/>
  <c r="N247" i="13" s="1"/>
  <c r="K251" i="13"/>
  <c r="M251" i="13" s="1"/>
  <c r="N251" i="13" s="1"/>
  <c r="K13" i="13"/>
  <c r="M13" i="13" s="1"/>
  <c r="N13" i="13" s="1"/>
  <c r="K17" i="13"/>
  <c r="M17" i="13" s="1"/>
  <c r="K21" i="13"/>
  <c r="M21" i="13" s="1"/>
  <c r="N21" i="13" s="1"/>
  <c r="K25" i="13"/>
  <c r="M25" i="13" s="1"/>
  <c r="N25" i="13" s="1"/>
  <c r="K29" i="13"/>
  <c r="M29" i="13" s="1"/>
  <c r="N29" i="13" s="1"/>
  <c r="K33" i="13"/>
  <c r="M33" i="13" s="1"/>
  <c r="N33" i="13" s="1"/>
  <c r="K37" i="13"/>
  <c r="M37" i="13" s="1"/>
  <c r="N37" i="13" s="1"/>
  <c r="K49" i="13"/>
  <c r="M49" i="13" s="1"/>
  <c r="N49" i="13" s="1"/>
  <c r="K53" i="13"/>
  <c r="M53" i="13" s="1"/>
  <c r="N53" i="13" s="1"/>
  <c r="K61" i="13"/>
  <c r="M61" i="13" s="1"/>
  <c r="N61" i="13" s="1"/>
  <c r="N129" i="13"/>
  <c r="K180" i="13"/>
  <c r="M180" i="13" s="1"/>
  <c r="N180" i="13" s="1"/>
  <c r="K184" i="13"/>
  <c r="M184" i="13" s="1"/>
  <c r="N184" i="13" s="1"/>
  <c r="K188" i="13"/>
  <c r="M188" i="13" s="1"/>
  <c r="N188" i="13" s="1"/>
  <c r="K192" i="13"/>
  <c r="M192" i="13" s="1"/>
  <c r="N192" i="13" s="1"/>
  <c r="K196" i="13"/>
  <c r="M196" i="13" s="1"/>
  <c r="N196" i="13" s="1"/>
  <c r="K200" i="13"/>
  <c r="M200" i="13" s="1"/>
  <c r="N200" i="13" s="1"/>
  <c r="K204" i="13"/>
  <c r="M204" i="13" s="1"/>
  <c r="N204" i="13" s="1"/>
  <c r="K208" i="13"/>
  <c r="M208" i="13" s="1"/>
  <c r="N208" i="13" s="1"/>
  <c r="K212" i="13"/>
  <c r="M212" i="13" s="1"/>
  <c r="N212" i="13" s="1"/>
  <c r="K216" i="13"/>
  <c r="M216" i="13" s="1"/>
  <c r="N216" i="13" s="1"/>
  <c r="K220" i="13"/>
  <c r="M220" i="13" s="1"/>
  <c r="N220" i="13" s="1"/>
  <c r="K224" i="13"/>
  <c r="M224" i="13" s="1"/>
  <c r="N224" i="13" s="1"/>
  <c r="K255" i="13"/>
  <c r="M255" i="13" s="1"/>
  <c r="N255" i="13" s="1"/>
  <c r="K406" i="13"/>
  <c r="M406" i="13" s="1"/>
  <c r="N406" i="13" s="1"/>
  <c r="K410" i="13"/>
  <c r="M410" i="13" s="1"/>
  <c r="N410" i="13" s="1"/>
  <c r="K414" i="13"/>
  <c r="M414" i="13" s="1"/>
  <c r="N414" i="13" s="1"/>
  <c r="K418" i="13"/>
  <c r="M418" i="13" s="1"/>
  <c r="N418" i="13" s="1"/>
  <c r="K422" i="13"/>
  <c r="M422" i="13" s="1"/>
  <c r="K426" i="13"/>
  <c r="M426" i="13" s="1"/>
  <c r="N426" i="13" s="1"/>
  <c r="K430" i="13"/>
  <c r="M430" i="13" s="1"/>
  <c r="K434" i="13"/>
  <c r="M434" i="13" s="1"/>
  <c r="N434" i="13" s="1"/>
  <c r="K438" i="13"/>
  <c r="M438" i="13" s="1"/>
  <c r="N438" i="13" s="1"/>
  <c r="K444" i="13"/>
  <c r="M444" i="13" s="1"/>
  <c r="N444" i="13" s="1"/>
  <c r="K448" i="13"/>
  <c r="M448" i="13" s="1"/>
  <c r="N448" i="13" s="1"/>
  <c r="K452" i="13"/>
  <c r="M452" i="13" s="1"/>
  <c r="N452" i="13" s="1"/>
  <c r="K456" i="13"/>
  <c r="M456" i="13" s="1"/>
  <c r="N456" i="13" s="1"/>
  <c r="K460" i="13"/>
  <c r="M460" i="13" s="1"/>
  <c r="N460" i="13" s="1"/>
  <c r="K464" i="13"/>
  <c r="M464" i="13" s="1"/>
  <c r="N464" i="13" s="1"/>
  <c r="K468" i="13"/>
  <c r="M468" i="13" s="1"/>
  <c r="N468" i="13" s="1"/>
  <c r="K472" i="13"/>
  <c r="M472" i="13" s="1"/>
  <c r="K476" i="13"/>
  <c r="M476" i="13" s="1"/>
  <c r="N476" i="13" s="1"/>
  <c r="K847" i="13"/>
  <c r="M847" i="13" s="1"/>
  <c r="K851" i="13"/>
  <c r="M851" i="13" s="1"/>
  <c r="N851" i="13" s="1"/>
  <c r="K859" i="13"/>
  <c r="M859" i="13" s="1"/>
  <c r="N859" i="13" s="1"/>
  <c r="K863" i="13"/>
  <c r="M863" i="13" s="1"/>
  <c r="N863" i="13" s="1"/>
  <c r="K867" i="13"/>
  <c r="M867" i="13" s="1"/>
  <c r="N867" i="13" s="1"/>
  <c r="K875" i="13"/>
  <c r="M875" i="13" s="1"/>
  <c r="K879" i="13"/>
  <c r="M879" i="13" s="1"/>
  <c r="N879" i="13" s="1"/>
  <c r="K887" i="13"/>
  <c r="M887" i="13" s="1"/>
  <c r="K895" i="13"/>
  <c r="M895" i="13" s="1"/>
  <c r="N895" i="13" s="1"/>
  <c r="K899" i="13"/>
  <c r="M899" i="13" s="1"/>
  <c r="N899" i="13" s="1"/>
  <c r="K560" i="13"/>
  <c r="M560" i="13" s="1"/>
  <c r="N560" i="13" s="1"/>
  <c r="K568" i="13"/>
  <c r="M568" i="13" s="1"/>
  <c r="N568" i="13" s="1"/>
  <c r="K572" i="13"/>
  <c r="M572" i="13" s="1"/>
  <c r="K576" i="13"/>
  <c r="M576" i="13" s="1"/>
  <c r="N576" i="13" s="1"/>
  <c r="K584" i="13"/>
  <c r="M584" i="13" s="1"/>
  <c r="N584" i="13" s="1"/>
  <c r="K592" i="13"/>
  <c r="M592" i="13" s="1"/>
  <c r="N592" i="13" s="1"/>
  <c r="K608" i="13"/>
  <c r="M608" i="13" s="1"/>
  <c r="N608" i="13" s="1"/>
  <c r="K616" i="13"/>
  <c r="M616" i="13" s="1"/>
  <c r="N616" i="13" s="1"/>
  <c r="K620" i="13"/>
  <c r="M620" i="13" s="1"/>
  <c r="N620" i="13" s="1"/>
  <c r="K624" i="13"/>
  <c r="M624" i="13" s="1"/>
  <c r="N624" i="13" s="1"/>
  <c r="K628" i="13"/>
  <c r="M628" i="13" s="1"/>
  <c r="N628" i="13" s="1"/>
  <c r="K640" i="13"/>
  <c r="M640" i="13" s="1"/>
  <c r="K644" i="13"/>
  <c r="M644" i="13" s="1"/>
  <c r="N644" i="13" s="1"/>
  <c r="K648" i="13"/>
  <c r="M648" i="13" s="1"/>
  <c r="N648" i="13" s="1"/>
  <c r="K656" i="13"/>
  <c r="M656" i="13" s="1"/>
  <c r="N656" i="13" s="1"/>
  <c r="K664" i="13"/>
  <c r="M664" i="13" s="1"/>
  <c r="N664" i="13" s="1"/>
  <c r="K668" i="13"/>
  <c r="M668" i="13" s="1"/>
  <c r="N668" i="13" s="1"/>
  <c r="K903" i="13"/>
  <c r="M903" i="13" s="1"/>
  <c r="N903" i="13" s="1"/>
  <c r="K911" i="13"/>
  <c r="M911" i="13" s="1"/>
  <c r="N911" i="13" s="1"/>
  <c r="K915" i="13"/>
  <c r="M915" i="13" s="1"/>
  <c r="N915" i="13" s="1"/>
  <c r="K919" i="13"/>
  <c r="M919" i="13" s="1"/>
  <c r="K927" i="13"/>
  <c r="M927" i="13" s="1"/>
  <c r="K931" i="13"/>
  <c r="M931" i="13" s="1"/>
  <c r="N931" i="13" s="1"/>
  <c r="K935" i="13"/>
  <c r="M935" i="13" s="1"/>
  <c r="N935" i="13" s="1"/>
  <c r="K939" i="13"/>
  <c r="M939" i="13" s="1"/>
  <c r="N939" i="13" s="1"/>
  <c r="K947" i="13"/>
  <c r="M947" i="13" s="1"/>
  <c r="N947" i="13" s="1"/>
  <c r="K951" i="13"/>
  <c r="M951" i="13" s="1"/>
  <c r="N951" i="13" s="1"/>
  <c r="K955" i="13"/>
  <c r="M955" i="13" s="1"/>
  <c r="N955" i="13" s="1"/>
  <c r="K959" i="13"/>
  <c r="M959" i="13" s="1"/>
  <c r="N959" i="13" s="1"/>
  <c r="K963" i="13"/>
  <c r="M963" i="13" s="1"/>
  <c r="N963" i="13" s="1"/>
  <c r="K967" i="13"/>
  <c r="M967" i="13" s="1"/>
  <c r="N967" i="13" s="1"/>
  <c r="K971" i="13"/>
  <c r="M971" i="13" s="1"/>
  <c r="N971" i="13" s="1"/>
  <c r="K975" i="13"/>
  <c r="M975" i="13" s="1"/>
  <c r="K979" i="13"/>
  <c r="M979" i="13" s="1"/>
  <c r="K983" i="13"/>
  <c r="M983" i="13" s="1"/>
  <c r="N983" i="13" s="1"/>
  <c r="K987" i="13"/>
  <c r="M987" i="13" s="1"/>
  <c r="N987" i="13" s="1"/>
  <c r="K991" i="13"/>
  <c r="M991" i="13" s="1"/>
  <c r="N991" i="13" s="1"/>
  <c r="K995" i="13"/>
  <c r="M995" i="13" s="1"/>
  <c r="N995" i="13" s="1"/>
  <c r="K999" i="13"/>
  <c r="M999" i="13" s="1"/>
  <c r="N999" i="13" s="1"/>
  <c r="N908" i="13"/>
  <c r="N956" i="13"/>
  <c r="K259" i="13"/>
  <c r="M259" i="13" s="1"/>
  <c r="K263" i="13"/>
  <c r="M263" i="13" s="1"/>
  <c r="N263" i="13" s="1"/>
  <c r="K267" i="13"/>
  <c r="M267" i="13" s="1"/>
  <c r="K350" i="13"/>
  <c r="M350" i="13" s="1"/>
  <c r="K354" i="13"/>
  <c r="M354" i="13" s="1"/>
  <c r="N354" i="13" s="1"/>
  <c r="K358" i="13"/>
  <c r="M358" i="13" s="1"/>
  <c r="N358" i="13" s="1"/>
  <c r="K362" i="13"/>
  <c r="M362" i="13" s="1"/>
  <c r="N362" i="13" s="1"/>
  <c r="K366" i="13"/>
  <c r="M366" i="13" s="1"/>
  <c r="N366" i="13" s="1"/>
  <c r="K370" i="13"/>
  <c r="M370" i="13" s="1"/>
  <c r="N370" i="13" s="1"/>
  <c r="K374" i="13"/>
  <c r="M374" i="13" s="1"/>
  <c r="N374" i="13" s="1"/>
  <c r="K378" i="13"/>
  <c r="M378" i="13" s="1"/>
  <c r="N378" i="13" s="1"/>
  <c r="K382" i="13"/>
  <c r="M382" i="13" s="1"/>
  <c r="N382" i="13" s="1"/>
  <c r="K386" i="13"/>
  <c r="M386" i="13" s="1"/>
  <c r="K390" i="13"/>
  <c r="M390" i="13" s="1"/>
  <c r="N390" i="13" s="1"/>
  <c r="K394" i="13"/>
  <c r="M394" i="13" s="1"/>
  <c r="K398" i="13"/>
  <c r="M398" i="13" s="1"/>
  <c r="N398" i="13" s="1"/>
  <c r="K402" i="13"/>
  <c r="M402" i="13" s="1"/>
  <c r="K481" i="13"/>
  <c r="M481" i="13" s="1"/>
  <c r="N481" i="13" s="1"/>
  <c r="K485" i="13"/>
  <c r="M485" i="13" s="1"/>
  <c r="N485" i="13" s="1"/>
  <c r="K489" i="13"/>
  <c r="M489" i="13" s="1"/>
  <c r="N489" i="13" s="1"/>
  <c r="K493" i="13"/>
  <c r="M493" i="13" s="1"/>
  <c r="N493" i="13" s="1"/>
  <c r="K497" i="13"/>
  <c r="M497" i="13" s="1"/>
  <c r="N497" i="13" s="1"/>
  <c r="K501" i="13"/>
  <c r="M501" i="13" s="1"/>
  <c r="N501" i="13" s="1"/>
  <c r="K505" i="13"/>
  <c r="M505" i="13" s="1"/>
  <c r="N505" i="13" s="1"/>
  <c r="K509" i="13"/>
  <c r="M509" i="13" s="1"/>
  <c r="N509" i="13" s="1"/>
  <c r="K513" i="13"/>
  <c r="M513" i="13" s="1"/>
  <c r="K517" i="13"/>
  <c r="M517" i="13" s="1"/>
  <c r="N517" i="13" s="1"/>
  <c r="K525" i="13"/>
  <c r="M525" i="13" s="1"/>
  <c r="N525" i="13" s="1"/>
  <c r="K529" i="13"/>
  <c r="M529" i="13" s="1"/>
  <c r="N529" i="13" s="1"/>
  <c r="K533" i="13"/>
  <c r="M533" i="13" s="1"/>
  <c r="N533" i="13" s="1"/>
  <c r="K537" i="13"/>
  <c r="M537" i="13" s="1"/>
  <c r="N537" i="13" s="1"/>
  <c r="K541" i="13"/>
  <c r="M541" i="13" s="1"/>
  <c r="N541" i="13" s="1"/>
  <c r="K549" i="13"/>
  <c r="M549" i="13" s="1"/>
  <c r="N549" i="13" s="1"/>
  <c r="K553" i="13"/>
  <c r="M553" i="13" s="1"/>
  <c r="N553" i="13" s="1"/>
  <c r="K561" i="13"/>
  <c r="M561" i="13" s="1"/>
  <c r="N561" i="13" s="1"/>
  <c r="K569" i="13"/>
  <c r="M569" i="13" s="1"/>
  <c r="N569" i="13" s="1"/>
  <c r="K577" i="13"/>
  <c r="M577" i="13" s="1"/>
  <c r="N577" i="13" s="1"/>
  <c r="K581" i="13"/>
  <c r="M581" i="13" s="1"/>
  <c r="K585" i="13"/>
  <c r="M585" i="13" s="1"/>
  <c r="N585" i="13" s="1"/>
  <c r="K589" i="13"/>
  <c r="M589" i="13" s="1"/>
  <c r="N589" i="13" s="1"/>
  <c r="K601" i="13"/>
  <c r="M601" i="13" s="1"/>
  <c r="N601" i="13" s="1"/>
  <c r="K605" i="13"/>
  <c r="M605" i="13" s="1"/>
  <c r="N605" i="13" s="1"/>
  <c r="K609" i="13"/>
  <c r="M609" i="13" s="1"/>
  <c r="K613" i="13"/>
  <c r="M613" i="13" s="1"/>
  <c r="N613" i="13" s="1"/>
  <c r="K617" i="13"/>
  <c r="M617" i="13" s="1"/>
  <c r="N617" i="13" s="1"/>
  <c r="K621" i="13"/>
  <c r="M621" i="13" s="1"/>
  <c r="N621" i="13" s="1"/>
  <c r="K625" i="13"/>
  <c r="M625" i="13" s="1"/>
  <c r="N625" i="13" s="1"/>
  <c r="K629" i="13"/>
  <c r="M629" i="13" s="1"/>
  <c r="N629" i="13" s="1"/>
  <c r="K633" i="13"/>
  <c r="M633" i="13" s="1"/>
  <c r="K637" i="13"/>
  <c r="M637" i="13" s="1"/>
  <c r="K641" i="13"/>
  <c r="M641" i="13" s="1"/>
  <c r="N641" i="13" s="1"/>
  <c r="K645" i="13"/>
  <c r="M645" i="13" s="1"/>
  <c r="N645" i="13" s="1"/>
  <c r="K649" i="13"/>
  <c r="M649" i="13" s="1"/>
  <c r="N649" i="13" s="1"/>
  <c r="K653" i="13"/>
  <c r="M653" i="13" s="1"/>
  <c r="N653" i="13" s="1"/>
  <c r="K657" i="13"/>
  <c r="M657" i="13" s="1"/>
  <c r="N657" i="13" s="1"/>
  <c r="K669" i="13"/>
  <c r="M669" i="13" s="1"/>
  <c r="N669" i="13" s="1"/>
  <c r="N689" i="13"/>
  <c r="N737" i="13"/>
  <c r="K904" i="13"/>
  <c r="M904" i="13" s="1"/>
  <c r="N904" i="13" s="1"/>
  <c r="K908" i="13"/>
  <c r="M908" i="13" s="1"/>
  <c r="K912" i="13"/>
  <c r="M912" i="13" s="1"/>
  <c r="N912" i="13" s="1"/>
  <c r="K916" i="13"/>
  <c r="M916" i="13" s="1"/>
  <c r="N916" i="13" s="1"/>
  <c r="K920" i="13"/>
  <c r="M920" i="13" s="1"/>
  <c r="K924" i="13"/>
  <c r="M924" i="13" s="1"/>
  <c r="N924" i="13" s="1"/>
  <c r="K928" i="13"/>
  <c r="M928" i="13" s="1"/>
  <c r="N928" i="13" s="1"/>
  <c r="K932" i="13"/>
  <c r="M932" i="13" s="1"/>
  <c r="K936" i="13"/>
  <c r="M936" i="13" s="1"/>
  <c r="N936" i="13" s="1"/>
  <c r="K940" i="13"/>
  <c r="M940" i="13" s="1"/>
  <c r="N940" i="13" s="1"/>
  <c r="K944" i="13"/>
  <c r="M944" i="13" s="1"/>
  <c r="N944" i="13" s="1"/>
  <c r="K948" i="13"/>
  <c r="M948" i="13" s="1"/>
  <c r="N948" i="13" s="1"/>
  <c r="K952" i="13"/>
  <c r="M952" i="13" s="1"/>
  <c r="N952" i="13" s="1"/>
  <c r="K956" i="13"/>
  <c r="M956" i="13" s="1"/>
  <c r="K960" i="13"/>
  <c r="M960" i="13" s="1"/>
  <c r="N960" i="13" s="1"/>
  <c r="K964" i="13"/>
  <c r="M964" i="13" s="1"/>
  <c r="K968" i="13"/>
  <c r="M968" i="13" s="1"/>
  <c r="K972" i="13"/>
  <c r="M972" i="13" s="1"/>
  <c r="N972" i="13" s="1"/>
  <c r="K976" i="13"/>
  <c r="M976" i="13" s="1"/>
  <c r="N976" i="13" s="1"/>
  <c r="K980" i="13"/>
  <c r="M980" i="13" s="1"/>
  <c r="N980" i="13" s="1"/>
  <c r="K984" i="13"/>
  <c r="M984" i="13" s="1"/>
  <c r="N984" i="13" s="1"/>
  <c r="K992" i="13"/>
  <c r="M992" i="13" s="1"/>
  <c r="N992" i="13" s="1"/>
  <c r="K996" i="13"/>
  <c r="M996" i="13" s="1"/>
  <c r="N996" i="13" s="1"/>
  <c r="K1000" i="13"/>
  <c r="M1000" i="13" s="1"/>
  <c r="N1000" i="13" s="1"/>
  <c r="K677" i="13"/>
  <c r="M677" i="13" s="1"/>
  <c r="K681" i="13"/>
  <c r="M681" i="13" s="1"/>
  <c r="N681" i="13" s="1"/>
  <c r="K689" i="13"/>
  <c r="M689" i="13" s="1"/>
  <c r="K693" i="13"/>
  <c r="M693" i="13" s="1"/>
  <c r="N693" i="13" s="1"/>
  <c r="K697" i="13"/>
  <c r="M697" i="13" s="1"/>
  <c r="N697" i="13" s="1"/>
  <c r="K701" i="13"/>
  <c r="M701" i="13" s="1"/>
  <c r="N701" i="13" s="1"/>
  <c r="K705" i="13"/>
  <c r="M705" i="13" s="1"/>
  <c r="N705" i="13" s="1"/>
  <c r="K709" i="13"/>
  <c r="M709" i="13" s="1"/>
  <c r="N709" i="13" s="1"/>
  <c r="K713" i="13"/>
  <c r="M713" i="13" s="1"/>
  <c r="N713" i="13" s="1"/>
  <c r="K721" i="13"/>
  <c r="M721" i="13" s="1"/>
  <c r="N721" i="13" s="1"/>
  <c r="K725" i="13"/>
  <c r="M725" i="13" s="1"/>
  <c r="N725" i="13" s="1"/>
  <c r="K729" i="13"/>
  <c r="M729" i="13" s="1"/>
  <c r="N729" i="13" s="1"/>
  <c r="K733" i="13"/>
  <c r="M733" i="13" s="1"/>
  <c r="N733" i="13" s="1"/>
  <c r="K737" i="13"/>
  <c r="M737" i="13" s="1"/>
  <c r="K741" i="13"/>
  <c r="M741" i="13" s="1"/>
  <c r="N741" i="13" s="1"/>
  <c r="K745" i="13"/>
  <c r="M745" i="13" s="1"/>
  <c r="N745" i="13" s="1"/>
  <c r="K749" i="13"/>
  <c r="M749" i="13" s="1"/>
  <c r="K753" i="13"/>
  <c r="M753" i="13" s="1"/>
  <c r="N753" i="13" s="1"/>
  <c r="K757" i="13"/>
  <c r="M757" i="13" s="1"/>
  <c r="N757" i="13" s="1"/>
  <c r="K761" i="13"/>
  <c r="M761" i="13" s="1"/>
  <c r="N761" i="13" s="1"/>
  <c r="K769" i="13"/>
  <c r="M769" i="13" s="1"/>
  <c r="N769" i="13" s="1"/>
  <c r="K773" i="13"/>
  <c r="M773" i="13" s="1"/>
  <c r="N773" i="13" s="1"/>
  <c r="K777" i="13"/>
  <c r="M777" i="13" s="1"/>
  <c r="N777" i="13" s="1"/>
  <c r="K781" i="13"/>
  <c r="M781" i="13" s="1"/>
  <c r="N781" i="13" s="1"/>
  <c r="K785" i="13"/>
  <c r="M785" i="13" s="1"/>
  <c r="N785" i="13" s="1"/>
  <c r="K789" i="13"/>
  <c r="M789" i="13" s="1"/>
  <c r="N789" i="13" s="1"/>
  <c r="K793" i="13"/>
  <c r="M793" i="13" s="1"/>
  <c r="N793" i="13" s="1"/>
  <c r="K797" i="13"/>
  <c r="M797" i="13" s="1"/>
  <c r="N797" i="13" s="1"/>
  <c r="K801" i="13"/>
  <c r="M801" i="13" s="1"/>
  <c r="N801" i="13" s="1"/>
  <c r="K809" i="13"/>
  <c r="M809" i="13" s="1"/>
  <c r="N809" i="13" s="1"/>
  <c r="K813" i="13"/>
  <c r="M813" i="13" s="1"/>
  <c r="N813" i="13" s="1"/>
  <c r="K817" i="13"/>
  <c r="M817" i="13" s="1"/>
  <c r="N817" i="13" s="1"/>
  <c r="K821" i="13"/>
  <c r="M821" i="13" s="1"/>
  <c r="K825" i="13"/>
  <c r="M825" i="13" s="1"/>
  <c r="N825" i="13" s="1"/>
  <c r="K829" i="13"/>
  <c r="M829" i="13" s="1"/>
  <c r="N829" i="13" s="1"/>
  <c r="K833" i="13"/>
  <c r="M833" i="13" s="1"/>
  <c r="N833" i="13" s="1"/>
  <c r="N893" i="13"/>
  <c r="N552" i="13"/>
  <c r="N654" i="13"/>
  <c r="K285" i="13"/>
  <c r="M285" i="13" s="1"/>
  <c r="N285" i="13" s="1"/>
  <c r="N471" i="13"/>
  <c r="K345" i="13"/>
  <c r="M345" i="13" s="1"/>
  <c r="N345" i="13" s="1"/>
  <c r="N151" i="13"/>
  <c r="K597" i="13"/>
  <c r="M597" i="13" s="1"/>
  <c r="N597" i="13" s="1"/>
  <c r="N870" i="13"/>
  <c r="N894" i="13"/>
  <c r="K85" i="13"/>
  <c r="M85" i="13" s="1"/>
  <c r="N85" i="13" s="1"/>
  <c r="N677" i="13"/>
  <c r="K359" i="13"/>
  <c r="M359" i="13" s="1"/>
  <c r="N359" i="13" s="1"/>
  <c r="N506" i="13"/>
  <c r="K387" i="13"/>
  <c r="M387" i="13" s="1"/>
  <c r="N387" i="13" s="1"/>
  <c r="N609" i="13"/>
  <c r="K373" i="13"/>
  <c r="M373" i="13" s="1"/>
  <c r="N373" i="13" s="1"/>
  <c r="K943" i="13"/>
  <c r="M943" i="13" s="1"/>
  <c r="N943" i="13" s="1"/>
  <c r="K69" i="13"/>
  <c r="M69" i="13" s="1"/>
  <c r="N69" i="13" s="1"/>
  <c r="K137" i="13"/>
  <c r="M137" i="13" s="1"/>
  <c r="N137" i="13" s="1"/>
  <c r="K141" i="13"/>
  <c r="M141" i="13" s="1"/>
  <c r="N141" i="13" s="1"/>
  <c r="K277" i="13"/>
  <c r="M277" i="13" s="1"/>
  <c r="N277" i="13" s="1"/>
  <c r="K281" i="13"/>
  <c r="M281" i="13" s="1"/>
  <c r="N281" i="13" s="1"/>
  <c r="K309" i="13"/>
  <c r="M309" i="13" s="1"/>
  <c r="N309" i="13" s="1"/>
  <c r="K343" i="13"/>
  <c r="M343" i="13" s="1"/>
  <c r="N343" i="13" s="1"/>
  <c r="N457" i="13"/>
  <c r="N594" i="13"/>
  <c r="N598" i="13"/>
  <c r="N771" i="13"/>
  <c r="N858" i="13"/>
  <c r="N488" i="13"/>
  <c r="N536" i="13"/>
  <c r="K303" i="13"/>
  <c r="M303" i="13" s="1"/>
  <c r="N303" i="13" s="1"/>
  <c r="K922" i="13"/>
  <c r="M922" i="13" s="1"/>
  <c r="N922" i="13" s="1"/>
  <c r="K275" i="13"/>
  <c r="M275" i="13" s="1"/>
  <c r="N275" i="13" s="1"/>
  <c r="K327" i="13"/>
  <c r="M327" i="13" s="1"/>
  <c r="N327" i="13" s="1"/>
  <c r="K371" i="13"/>
  <c r="M371" i="13" s="1"/>
  <c r="N371" i="13" s="1"/>
  <c r="K874" i="13"/>
  <c r="M874" i="13" s="1"/>
  <c r="N874" i="13" s="1"/>
  <c r="N934" i="13"/>
  <c r="K945" i="13"/>
  <c r="M945" i="13" s="1"/>
  <c r="N945" i="13" s="1"/>
  <c r="N116" i="13"/>
  <c r="K381" i="13"/>
  <c r="M381" i="13" s="1"/>
  <c r="K763" i="13"/>
  <c r="M763" i="13" s="1"/>
  <c r="N763" i="13" s="1"/>
  <c r="K367" i="13"/>
  <c r="M367" i="13" s="1"/>
  <c r="N367" i="13" s="1"/>
  <c r="N890" i="13"/>
  <c r="K994" i="13"/>
  <c r="M994" i="13" s="1"/>
  <c r="N994" i="13" s="1"/>
  <c r="K323" i="13"/>
  <c r="M323" i="13" s="1"/>
  <c r="N323" i="13" s="1"/>
  <c r="K385" i="13"/>
  <c r="M385" i="13" s="1"/>
  <c r="N385" i="13" s="1"/>
  <c r="N540" i="13"/>
  <c r="N103" i="13"/>
  <c r="K331" i="13"/>
  <c r="M331" i="13" s="1"/>
  <c r="K355" i="13"/>
  <c r="M355" i="13" s="1"/>
  <c r="N355" i="13" s="1"/>
  <c r="K837" i="13"/>
  <c r="M837" i="13" s="1"/>
  <c r="N837" i="13" s="1"/>
  <c r="K661" i="13"/>
  <c r="M661" i="13" s="1"/>
  <c r="N661" i="13" s="1"/>
  <c r="N310" i="13"/>
  <c r="K153" i="13"/>
  <c r="M153" i="13" s="1"/>
  <c r="N153" i="13" s="1"/>
  <c r="K717" i="13"/>
  <c r="M717" i="13" s="1"/>
  <c r="N717" i="13" s="1"/>
  <c r="K351" i="13"/>
  <c r="M351" i="13" s="1"/>
  <c r="N351" i="13" s="1"/>
  <c r="K289" i="13"/>
  <c r="M289" i="13" s="1"/>
  <c r="N289" i="13" s="1"/>
  <c r="K836" i="13"/>
  <c r="M836" i="13" s="1"/>
  <c r="N836" i="13" s="1"/>
  <c r="K383" i="13"/>
  <c r="M383" i="13" s="1"/>
  <c r="N383" i="13" s="1"/>
  <c r="N477" i="13"/>
  <c r="N853" i="13"/>
  <c r="K871" i="13"/>
  <c r="M871" i="13" s="1"/>
  <c r="N871" i="13" s="1"/>
  <c r="N614" i="13"/>
  <c r="K907" i="13"/>
  <c r="M907" i="13" s="1"/>
  <c r="K313" i="13"/>
  <c r="M313" i="13" s="1"/>
  <c r="N313" i="13" s="1"/>
  <c r="N852" i="13"/>
  <c r="N54" i="13"/>
  <c r="K57" i="13"/>
  <c r="M57" i="13" s="1"/>
  <c r="N57" i="13" s="1"/>
  <c r="N578" i="13"/>
  <c r="N766" i="13"/>
  <c r="N819" i="13"/>
  <c r="N842" i="13"/>
  <c r="K273" i="13"/>
  <c r="M273" i="13" s="1"/>
  <c r="N273" i="13" s="1"/>
  <c r="K363" i="13"/>
  <c r="M363" i="13" s="1"/>
  <c r="N363" i="13" s="1"/>
  <c r="K691" i="13"/>
  <c r="M691" i="13" s="1"/>
  <c r="N691" i="13" s="1"/>
  <c r="K117" i="13"/>
  <c r="M117" i="13" s="1"/>
  <c r="N117" i="13" s="1"/>
  <c r="N198" i="13"/>
  <c r="N226" i="13"/>
  <c r="N274" i="13"/>
  <c r="K295" i="13"/>
  <c r="M295" i="13" s="1"/>
  <c r="N295" i="13" s="1"/>
  <c r="K315" i="13"/>
  <c r="M315" i="13" s="1"/>
  <c r="N315" i="13" s="1"/>
  <c r="K321" i="13"/>
  <c r="M321" i="13" s="1"/>
  <c r="K337" i="13"/>
  <c r="M337" i="13" s="1"/>
  <c r="K357" i="13"/>
  <c r="M357" i="13" s="1"/>
  <c r="N357" i="13" s="1"/>
  <c r="K369" i="13"/>
  <c r="M369" i="13" s="1"/>
  <c r="N369" i="13" s="1"/>
  <c r="N856" i="13"/>
  <c r="K869" i="13"/>
  <c r="M869" i="13" s="1"/>
  <c r="N869" i="13" s="1"/>
  <c r="N38" i="13"/>
  <c r="K41" i="13"/>
  <c r="M41" i="13" s="1"/>
  <c r="N41" i="13" s="1"/>
  <c r="K45" i="13"/>
  <c r="M45" i="13" s="1"/>
  <c r="N45" i="13" s="1"/>
  <c r="K107" i="13"/>
  <c r="M107" i="13" s="1"/>
  <c r="N107" i="13" s="1"/>
  <c r="N143" i="13"/>
  <c r="N266" i="13"/>
  <c r="K301" i="13"/>
  <c r="M301" i="13" s="1"/>
  <c r="N301" i="13" s="1"/>
  <c r="N467" i="13"/>
  <c r="N550" i="13"/>
  <c r="K667" i="13"/>
  <c r="M667" i="13" s="1"/>
  <c r="N667" i="13" s="1"/>
  <c r="K807" i="13"/>
  <c r="M807" i="13" s="1"/>
  <c r="N807" i="13" s="1"/>
  <c r="N302" i="13"/>
  <c r="K379" i="13"/>
  <c r="M379" i="13" s="1"/>
  <c r="N379" i="13" s="1"/>
  <c r="N24" i="13"/>
  <c r="N90" i="13"/>
  <c r="N119" i="13"/>
  <c r="K287" i="13"/>
  <c r="M287" i="13" s="1"/>
  <c r="N287" i="13" s="1"/>
  <c r="N350" i="13"/>
  <c r="N453" i="13"/>
  <c r="K521" i="13"/>
  <c r="M521" i="13" s="1"/>
  <c r="N521" i="13" s="1"/>
  <c r="K685" i="13"/>
  <c r="M685" i="13" s="1"/>
  <c r="N685" i="13" s="1"/>
  <c r="N736" i="13"/>
  <c r="K898" i="13"/>
  <c r="M898" i="13" s="1"/>
  <c r="N898" i="13" s="1"/>
  <c r="N284" i="13"/>
  <c r="K307" i="13"/>
  <c r="M307" i="13" s="1"/>
  <c r="N307" i="13" s="1"/>
  <c r="K349" i="13"/>
  <c r="M349" i="13" s="1"/>
  <c r="N349" i="13" s="1"/>
  <c r="N113" i="13"/>
  <c r="N14" i="13"/>
  <c r="N58" i="13"/>
  <c r="N83" i="13"/>
  <c r="N264" i="13"/>
  <c r="N300" i="13"/>
  <c r="N324" i="13"/>
  <c r="N336" i="13"/>
  <c r="N386" i="13"/>
  <c r="N528" i="13"/>
  <c r="K557" i="13"/>
  <c r="M557" i="13" s="1"/>
  <c r="N557" i="13" s="1"/>
  <c r="N581" i="13"/>
  <c r="N640" i="13"/>
  <c r="N662" i="13"/>
  <c r="N888" i="13"/>
  <c r="K946" i="13"/>
  <c r="M946" i="13" s="1"/>
  <c r="N946" i="13" s="1"/>
  <c r="K988" i="13"/>
  <c r="M988" i="13" s="1"/>
  <c r="N988" i="13" s="1"/>
  <c r="N514" i="13"/>
  <c r="K93" i="13"/>
  <c r="M93" i="13" s="1"/>
  <c r="N93" i="13" s="1"/>
  <c r="N250" i="13"/>
  <c r="K271" i="13"/>
  <c r="M271" i="13" s="1"/>
  <c r="N271" i="13" s="1"/>
  <c r="K573" i="13"/>
  <c r="M573" i="13" s="1"/>
  <c r="N573" i="13" s="1"/>
  <c r="N228" i="13"/>
  <c r="N276" i="13"/>
  <c r="N360" i="13"/>
  <c r="N590" i="13"/>
  <c r="K89" i="13"/>
  <c r="M89" i="13" s="1"/>
  <c r="N89" i="13" s="1"/>
  <c r="N230" i="13"/>
  <c r="N344" i="13"/>
  <c r="N134" i="13"/>
  <c r="N158" i="13"/>
  <c r="N214" i="13"/>
  <c r="N240" i="13"/>
  <c r="K545" i="13"/>
  <c r="M545" i="13" s="1"/>
  <c r="N545" i="13" s="1"/>
  <c r="K591" i="13"/>
  <c r="M591" i="13" s="1"/>
  <c r="N591" i="13" s="1"/>
  <c r="N719" i="13"/>
  <c r="K864" i="13"/>
  <c r="M864" i="13" s="1"/>
  <c r="N864" i="13" s="1"/>
  <c r="K765" i="13"/>
  <c r="M765" i="13" s="1"/>
  <c r="N765" i="13" s="1"/>
  <c r="N876" i="13"/>
  <c r="N841" i="13"/>
  <c r="K848" i="13"/>
  <c r="M848" i="13" s="1"/>
  <c r="N848" i="13" s="1"/>
  <c r="N865" i="13"/>
  <c r="N292" i="13"/>
  <c r="K319" i="13"/>
  <c r="M319" i="13" s="1"/>
  <c r="N319" i="13" s="1"/>
  <c r="K333" i="13"/>
  <c r="M333" i="13" s="1"/>
  <c r="N333" i="13" s="1"/>
  <c r="N342" i="13"/>
  <c r="K347" i="13"/>
  <c r="M347" i="13" s="1"/>
  <c r="N347" i="13" s="1"/>
  <c r="K375" i="13"/>
  <c r="M375" i="13" s="1"/>
  <c r="N375" i="13" s="1"/>
  <c r="N562" i="13"/>
  <c r="K565" i="13"/>
  <c r="M565" i="13" s="1"/>
  <c r="N565" i="13" s="1"/>
  <c r="N727" i="13"/>
  <c r="N889" i="13"/>
  <c r="K892" i="13"/>
  <c r="M892" i="13" s="1"/>
  <c r="N892" i="13" s="1"/>
  <c r="N900" i="13"/>
  <c r="N949" i="13"/>
  <c r="K970" i="13"/>
  <c r="M970" i="13" s="1"/>
  <c r="N970" i="13" s="1"/>
  <c r="K981" i="13"/>
  <c r="M981" i="13" s="1"/>
  <c r="N981" i="13" s="1"/>
  <c r="N985" i="13"/>
  <c r="K297" i="13"/>
  <c r="M297" i="13" s="1"/>
  <c r="N297" i="13" s="1"/>
  <c r="K311" i="13"/>
  <c r="M311" i="13" s="1"/>
  <c r="N311" i="13" s="1"/>
  <c r="N320" i="13"/>
  <c r="K325" i="13"/>
  <c r="M325" i="13" s="1"/>
  <c r="N325" i="13" s="1"/>
  <c r="K339" i="13"/>
  <c r="M339" i="13" s="1"/>
  <c r="N339" i="13" s="1"/>
  <c r="N447" i="13"/>
  <c r="N538" i="13"/>
  <c r="N232" i="13"/>
  <c r="N430" i="13"/>
  <c r="N526" i="13"/>
  <c r="N638" i="13"/>
  <c r="N670" i="13"/>
  <c r="N724" i="13"/>
  <c r="N798" i="13"/>
  <c r="N806" i="13"/>
  <c r="N964" i="13"/>
  <c r="K989" i="13"/>
  <c r="M989" i="13" s="1"/>
  <c r="N989" i="13" s="1"/>
  <c r="N171" i="13"/>
  <c r="N221" i="13"/>
  <c r="N139" i="13"/>
  <c r="N27" i="13"/>
  <c r="N135" i="13"/>
  <c r="N520" i="13"/>
  <c r="N878" i="13"/>
  <c r="N920" i="13"/>
  <c r="N67" i="13"/>
  <c r="N508" i="13"/>
  <c r="N937" i="13"/>
  <c r="N111" i="13"/>
  <c r="N237" i="13"/>
  <c r="N56" i="13"/>
  <c r="N71" i="13"/>
  <c r="N391" i="13"/>
  <c r="N465" i="13"/>
  <c r="N500" i="13"/>
  <c r="N627" i="13"/>
  <c r="N739" i="13"/>
  <c r="N875" i="13"/>
  <c r="N81" i="13"/>
  <c r="N179" i="13"/>
  <c r="N187" i="13"/>
  <c r="N74" i="13"/>
  <c r="N28" i="13"/>
  <c r="N46" i="13"/>
  <c r="N299" i="13"/>
  <c r="N907" i="13"/>
  <c r="N195" i="13"/>
  <c r="N36" i="13"/>
  <c r="N408" i="13"/>
  <c r="N469" i="13"/>
  <c r="N512" i="13"/>
  <c r="N544" i="13"/>
  <c r="N587" i="13"/>
  <c r="N715" i="13"/>
  <c r="N787" i="13"/>
  <c r="N558" i="13"/>
  <c r="N913" i="13"/>
  <c r="N86" i="13"/>
  <c r="N219" i="13"/>
  <c r="N259" i="13"/>
  <c r="N177" i="13"/>
  <c r="N185" i="13"/>
  <c r="N279" i="13"/>
  <c r="N305" i="13"/>
  <c r="N381" i="13"/>
  <c r="N394" i="13"/>
  <c r="N422" i="13"/>
  <c r="N524" i="13"/>
  <c r="N72" i="13"/>
  <c r="N79" i="13"/>
  <c r="N109" i="13"/>
  <c r="N159" i="13"/>
  <c r="N193" i="13"/>
  <c r="N201" i="13"/>
  <c r="N209" i="13"/>
  <c r="N245" i="13"/>
  <c r="N321" i="13"/>
  <c r="N483" i="13"/>
  <c r="N873" i="13"/>
  <c r="N887" i="13"/>
  <c r="N901" i="13"/>
  <c r="N203" i="13"/>
  <c r="N402" i="13"/>
  <c r="N397" i="13"/>
  <c r="N463" i="13"/>
  <c r="N167" i="13"/>
  <c r="N496" i="13"/>
  <c r="N921" i="13"/>
  <c r="N161" i="13"/>
  <c r="N211" i="13"/>
  <c r="N32" i="13"/>
  <c r="N169" i="13"/>
  <c r="N227" i="13"/>
  <c r="N482" i="13"/>
  <c r="N515" i="13"/>
  <c r="N743" i="13"/>
  <c r="N927" i="13"/>
  <c r="N126" i="13"/>
  <c r="N140" i="13"/>
  <c r="N233" i="13"/>
  <c r="N450" i="13"/>
  <c r="N461" i="13"/>
  <c r="N55" i="13"/>
  <c r="N91" i="13"/>
  <c r="N175" i="13"/>
  <c r="N183" i="13"/>
  <c r="N243" i="13"/>
  <c r="N267" i="13"/>
  <c r="N442" i="13"/>
  <c r="N459" i="13"/>
  <c r="N472" i="13"/>
  <c r="N480" i="13"/>
  <c r="N548" i="13"/>
  <c r="N556" i="13"/>
  <c r="N559" i="13"/>
  <c r="N582" i="13"/>
  <c r="N791" i="13"/>
  <c r="N795" i="13"/>
  <c r="N835" i="13"/>
  <c r="N975" i="13"/>
  <c r="N411" i="13"/>
  <c r="N574" i="13"/>
  <c r="N861" i="13"/>
  <c r="N868" i="13"/>
  <c r="N872" i="13"/>
  <c r="N897" i="13"/>
  <c r="N18" i="13"/>
  <c r="N331" i="13"/>
  <c r="N490" i="13"/>
  <c r="N498" i="13"/>
  <c r="N977" i="13"/>
  <c r="N217" i="13"/>
  <c r="N225" i="13"/>
  <c r="N329" i="13"/>
  <c r="N337" i="13"/>
  <c r="N99" i="13"/>
  <c r="N144" i="13"/>
  <c r="N157" i="13"/>
  <c r="N361" i="13"/>
  <c r="N510" i="13"/>
  <c r="N513" i="13"/>
  <c r="N522" i="13"/>
  <c r="N595" i="13"/>
  <c r="N606" i="13"/>
  <c r="N866" i="13"/>
  <c r="N925" i="13"/>
  <c r="N968" i="13"/>
  <c r="N979" i="13"/>
  <c r="N35" i="13"/>
  <c r="N42" i="13"/>
  <c r="K105" i="13"/>
  <c r="M105" i="13" s="1"/>
  <c r="N105" i="13" s="1"/>
  <c r="N44" i="13"/>
  <c r="N75" i="13"/>
  <c r="N17" i="13"/>
  <c r="N127" i="13"/>
  <c r="K133" i="13"/>
  <c r="M133" i="13" s="1"/>
  <c r="N133" i="13" s="1"/>
  <c r="N73" i="13"/>
  <c r="K507" i="13"/>
  <c r="M507" i="13" s="1"/>
  <c r="N507" i="13" s="1"/>
  <c r="N125" i="13"/>
  <c r="N64" i="13"/>
  <c r="N455" i="13"/>
  <c r="N479" i="13"/>
  <c r="N97" i="13"/>
  <c r="N147" i="13"/>
  <c r="N101" i="13"/>
  <c r="N40" i="13"/>
  <c r="N16" i="13"/>
  <c r="N149" i="13"/>
  <c r="N88" i="13"/>
  <c r="N60" i="13"/>
  <c r="N77" i="13"/>
  <c r="K121" i="13"/>
  <c r="M121" i="13" s="1"/>
  <c r="N121" i="13" s="1"/>
  <c r="N145" i="13"/>
  <c r="K435" i="13"/>
  <c r="M435" i="13" s="1"/>
  <c r="N435" i="13" s="1"/>
  <c r="K403" i="13"/>
  <c r="M403" i="13" s="1"/>
  <c r="N403" i="13" s="1"/>
  <c r="K427" i="13"/>
  <c r="M427" i="13" s="1"/>
  <c r="N427" i="13" s="1"/>
  <c r="K555" i="13"/>
  <c r="M555" i="13" s="1"/>
  <c r="N555" i="13" s="1"/>
  <c r="K600" i="13"/>
  <c r="M600" i="13" s="1"/>
  <c r="N600" i="13" s="1"/>
  <c r="N650" i="13"/>
  <c r="K399" i="13"/>
  <c r="M399" i="13" s="1"/>
  <c r="N399" i="13" s="1"/>
  <c r="K423" i="13"/>
  <c r="M423" i="13" s="1"/>
  <c r="N423" i="13" s="1"/>
  <c r="K607" i="13"/>
  <c r="M607" i="13" s="1"/>
  <c r="N607" i="13" s="1"/>
  <c r="K619" i="13"/>
  <c r="M619" i="13" s="1"/>
  <c r="N619" i="13" s="1"/>
  <c r="N720" i="13"/>
  <c r="K395" i="13"/>
  <c r="M395" i="13" s="1"/>
  <c r="N395" i="13" s="1"/>
  <c r="K419" i="13"/>
  <c r="M419" i="13" s="1"/>
  <c r="N419" i="13" s="1"/>
  <c r="K443" i="13"/>
  <c r="M443" i="13" s="1"/>
  <c r="N443" i="13" s="1"/>
  <c r="K755" i="13"/>
  <c r="M755" i="13" s="1"/>
  <c r="N755" i="13" s="1"/>
  <c r="K779" i="13"/>
  <c r="M779" i="13" s="1"/>
  <c r="N779" i="13" s="1"/>
  <c r="N821" i="13"/>
  <c r="K824" i="13"/>
  <c r="M824" i="13" s="1"/>
  <c r="N824" i="13" s="1"/>
  <c r="K389" i="13"/>
  <c r="M389" i="13" s="1"/>
  <c r="N389" i="13" s="1"/>
  <c r="K413" i="13"/>
  <c r="M413" i="13" s="1"/>
  <c r="N413" i="13" s="1"/>
  <c r="K437" i="13"/>
  <c r="M437" i="13" s="1"/>
  <c r="N437" i="13" s="1"/>
  <c r="N711" i="13"/>
  <c r="K731" i="13"/>
  <c r="M731" i="13" s="1"/>
  <c r="N731" i="13" s="1"/>
  <c r="N749" i="13"/>
  <c r="K752" i="13"/>
  <c r="M752" i="13" s="1"/>
  <c r="N752" i="13" s="1"/>
  <c r="K805" i="13"/>
  <c r="M805" i="13" s="1"/>
  <c r="N805" i="13" s="1"/>
  <c r="N633" i="13"/>
  <c r="K700" i="13"/>
  <c r="M700" i="13" s="1"/>
  <c r="N700" i="13" s="1"/>
  <c r="N703" i="13"/>
  <c r="N792" i="13"/>
  <c r="N812" i="13"/>
  <c r="K855" i="13"/>
  <c r="M855" i="13" s="1"/>
  <c r="N855" i="13" s="1"/>
  <c r="K580" i="13"/>
  <c r="M580" i="13" s="1"/>
  <c r="N580" i="13" s="1"/>
  <c r="K593" i="13"/>
  <c r="M593" i="13" s="1"/>
  <c r="N593" i="13" s="1"/>
  <c r="K622" i="13"/>
  <c r="M622" i="13" s="1"/>
  <c r="N622" i="13" s="1"/>
  <c r="K630" i="13"/>
  <c r="M630" i="13" s="1"/>
  <c r="N630" i="13" s="1"/>
  <c r="K683" i="13"/>
  <c r="M683" i="13" s="1"/>
  <c r="N683" i="13" s="1"/>
  <c r="N849" i="13"/>
  <c r="K953" i="13"/>
  <c r="M953" i="13" s="1"/>
  <c r="N953" i="13" s="1"/>
  <c r="K652" i="13"/>
  <c r="M652" i="13" s="1"/>
  <c r="N652" i="13" s="1"/>
  <c r="N692" i="13"/>
  <c r="N846" i="13"/>
  <c r="K862" i="13"/>
  <c r="M862" i="13" s="1"/>
  <c r="N862" i="13" s="1"/>
  <c r="K570" i="13"/>
  <c r="M570" i="13" s="1"/>
  <c r="N570" i="13" s="1"/>
  <c r="K604" i="13"/>
  <c r="M604" i="13" s="1"/>
  <c r="N604" i="13" s="1"/>
  <c r="N631" i="13"/>
  <c r="K672" i="13"/>
  <c r="M672" i="13" s="1"/>
  <c r="N672" i="13" s="1"/>
  <c r="N744" i="13"/>
  <c r="K803" i="13"/>
  <c r="M803" i="13" s="1"/>
  <c r="N803" i="13" s="1"/>
  <c r="N794" i="13"/>
  <c r="N602" i="13"/>
  <c r="N637" i="13"/>
  <c r="K632" i="13"/>
  <c r="M632" i="13" s="1"/>
  <c r="N632" i="13" s="1"/>
  <c r="K665" i="13"/>
  <c r="M665" i="13" s="1"/>
  <c r="N665" i="13" s="1"/>
  <c r="N688" i="13"/>
  <c r="K702" i="13"/>
  <c r="M702" i="13" s="1"/>
  <c r="N702" i="13" s="1"/>
  <c r="N831" i="13"/>
  <c r="N881" i="13"/>
  <c r="N962" i="13"/>
  <c r="K722" i="13"/>
  <c r="M722" i="13" s="1"/>
  <c r="N722" i="13" s="1"/>
  <c r="K728" i="13"/>
  <c r="M728" i="13" s="1"/>
  <c r="N728" i="13" s="1"/>
  <c r="K816" i="13"/>
  <c r="M816" i="13" s="1"/>
  <c r="N816" i="13" s="1"/>
  <c r="K834" i="13"/>
  <c r="M834" i="13" s="1"/>
  <c r="N834" i="13" s="1"/>
  <c r="K840" i="13"/>
  <c r="M840" i="13" s="1"/>
  <c r="N840" i="13" s="1"/>
  <c r="K843" i="13"/>
  <c r="M843" i="13" s="1"/>
  <c r="N843" i="13" s="1"/>
  <c r="K883" i="13"/>
  <c r="M883" i="13" s="1"/>
  <c r="N883" i="13" s="1"/>
  <c r="N886" i="13"/>
  <c r="N808" i="13"/>
  <c r="N877" i="13"/>
  <c r="K905" i="13"/>
  <c r="M905" i="13" s="1"/>
  <c r="N905" i="13" s="1"/>
  <c r="K923" i="13"/>
  <c r="M923" i="13" s="1"/>
  <c r="N923" i="13" s="1"/>
  <c r="N929" i="13"/>
  <c r="K938" i="13"/>
  <c r="M938" i="13" s="1"/>
  <c r="N938" i="13" s="1"/>
  <c r="N572" i="13"/>
  <c r="K596" i="13"/>
  <c r="M596" i="13" s="1"/>
  <c r="N596" i="13" s="1"/>
  <c r="N646" i="13"/>
  <c r="N663" i="13"/>
  <c r="K707" i="13"/>
  <c r="M707" i="13" s="1"/>
  <c r="N707" i="13" s="1"/>
  <c r="N718" i="13"/>
  <c r="N735" i="13"/>
  <c r="K768" i="13"/>
  <c r="M768" i="13" s="1"/>
  <c r="N768" i="13" s="1"/>
  <c r="K774" i="13"/>
  <c r="M774" i="13" s="1"/>
  <c r="N774" i="13" s="1"/>
  <c r="N783" i="13"/>
  <c r="K860" i="13"/>
  <c r="M860" i="13" s="1"/>
  <c r="N860" i="13" s="1"/>
  <c r="K958" i="13"/>
  <c r="M958" i="13" s="1"/>
  <c r="N958" i="13" s="1"/>
  <c r="K827" i="13"/>
  <c r="M827" i="13" s="1"/>
  <c r="N827" i="13" s="1"/>
  <c r="N839" i="13"/>
  <c r="K845" i="13"/>
  <c r="M845" i="13" s="1"/>
  <c r="N845" i="13" s="1"/>
  <c r="K796" i="13"/>
  <c r="M796" i="13" s="1"/>
  <c r="N796" i="13" s="1"/>
  <c r="K820" i="13"/>
  <c r="M820" i="13" s="1"/>
  <c r="N820" i="13" s="1"/>
  <c r="N919" i="13"/>
  <c r="N965" i="13"/>
  <c r="N973" i="13"/>
  <c r="N997" i="13"/>
  <c r="K618" i="13"/>
  <c r="M618" i="13" s="1"/>
  <c r="N618" i="13" s="1"/>
  <c r="K642" i="13"/>
  <c r="M642" i="13" s="1"/>
  <c r="N642" i="13" s="1"/>
  <c r="K666" i="13"/>
  <c r="M666" i="13" s="1"/>
  <c r="N666" i="13" s="1"/>
  <c r="K690" i="13"/>
  <c r="M690" i="13" s="1"/>
  <c r="N690" i="13" s="1"/>
  <c r="K714" i="13"/>
  <c r="M714" i="13" s="1"/>
  <c r="N714" i="13" s="1"/>
  <c r="K738" i="13"/>
  <c r="M738" i="13" s="1"/>
  <c r="N738" i="13" s="1"/>
  <c r="K762" i="13"/>
  <c r="M762" i="13" s="1"/>
  <c r="N762" i="13" s="1"/>
  <c r="K786" i="13"/>
  <c r="M786" i="13" s="1"/>
  <c r="N786" i="13" s="1"/>
  <c r="K810" i="13"/>
  <c r="M810" i="13" s="1"/>
  <c r="N810" i="13" s="1"/>
  <c r="K832" i="13"/>
  <c r="M832" i="13" s="1"/>
  <c r="N832" i="13" s="1"/>
  <c r="N882" i="13"/>
  <c r="K891" i="13"/>
  <c r="M891" i="13" s="1"/>
  <c r="N891" i="13" s="1"/>
  <c r="N969" i="13"/>
  <c r="N847" i="13"/>
  <c r="N932" i="13"/>
  <c r="N906" i="13"/>
  <c r="K564" i="13"/>
  <c r="M564" i="13" s="1"/>
  <c r="N564" i="13" s="1"/>
  <c r="K588" i="13"/>
  <c r="M588" i="13" s="1"/>
  <c r="N588" i="13" s="1"/>
  <c r="K612" i="13"/>
  <c r="M612" i="13" s="1"/>
  <c r="N612" i="13" s="1"/>
  <c r="K636" i="13"/>
  <c r="M636" i="13" s="1"/>
  <c r="N636" i="13" s="1"/>
  <c r="K660" i="13"/>
  <c r="M660" i="13" s="1"/>
  <c r="N660" i="13" s="1"/>
  <c r="K684" i="13"/>
  <c r="M684" i="13" s="1"/>
  <c r="N684" i="13" s="1"/>
  <c r="K708" i="13"/>
  <c r="M708" i="13" s="1"/>
  <c r="N708" i="13" s="1"/>
  <c r="K732" i="13"/>
  <c r="M732" i="13" s="1"/>
  <c r="N732" i="13" s="1"/>
  <c r="K756" i="13"/>
  <c r="M756" i="13" s="1"/>
  <c r="N756" i="13" s="1"/>
  <c r="K780" i="13"/>
  <c r="M780" i="13" s="1"/>
  <c r="N780" i="13" s="1"/>
  <c r="K804" i="13"/>
  <c r="M804" i="13" s="1"/>
  <c r="N804" i="13" s="1"/>
  <c r="K828" i="13"/>
  <c r="M828" i="13" s="1"/>
  <c r="N828" i="13" s="1"/>
  <c r="K982" i="13"/>
  <c r="M982" i="13" s="1"/>
  <c r="N982" i="13" s="1"/>
  <c r="K586" i="13"/>
  <c r="M586" i="13" s="1"/>
  <c r="N586" i="13" s="1"/>
  <c r="K610" i="13"/>
  <c r="M610" i="13" s="1"/>
  <c r="N610" i="13" s="1"/>
  <c r="K634" i="13"/>
  <c r="M634" i="13" s="1"/>
  <c r="N634" i="13" s="1"/>
  <c r="K658" i="13"/>
  <c r="M658" i="13" s="1"/>
  <c r="N658" i="13" s="1"/>
  <c r="K682" i="13"/>
  <c r="M682" i="13" s="1"/>
  <c r="N682" i="13" s="1"/>
  <c r="K706" i="13"/>
  <c r="M706" i="13" s="1"/>
  <c r="N706" i="13" s="1"/>
  <c r="K730" i="13"/>
  <c r="M730" i="13" s="1"/>
  <c r="N730" i="13" s="1"/>
  <c r="K754" i="13"/>
  <c r="M754" i="13" s="1"/>
  <c r="N754" i="13" s="1"/>
  <c r="K778" i="13"/>
  <c r="M778" i="13" s="1"/>
  <c r="N778" i="13" s="1"/>
  <c r="K802" i="13"/>
  <c r="M802" i="13" s="1"/>
  <c r="N802" i="13" s="1"/>
  <c r="K826" i="13"/>
  <c r="M826" i="13" s="1"/>
  <c r="N826" i="13" s="1"/>
  <c r="K880" i="13"/>
  <c r="M880" i="13" s="1"/>
  <c r="N880" i="13" s="1"/>
  <c r="N993" i="13"/>
  <c r="I9" i="16"/>
  <c r="K9" i="16" s="1"/>
  <c r="I10" i="16"/>
  <c r="K10" i="16" s="1"/>
  <c r="I11" i="16"/>
  <c r="K11" i="16" s="1"/>
  <c r="I12" i="16"/>
  <c r="K12" i="16" s="1"/>
  <c r="I13" i="16"/>
  <c r="K13" i="16" s="1"/>
  <c r="I14" i="16"/>
  <c r="K14" i="16" s="1"/>
  <c r="I15" i="16"/>
  <c r="K15" i="16" s="1"/>
  <c r="I16" i="16"/>
  <c r="K16" i="16" s="1"/>
  <c r="I17" i="16"/>
  <c r="K17" i="16" s="1"/>
  <c r="I18" i="16"/>
  <c r="K18" i="16" s="1"/>
  <c r="I19" i="16"/>
  <c r="K19" i="16" s="1"/>
  <c r="I20" i="16"/>
  <c r="K20" i="16" s="1"/>
  <c r="I21" i="16"/>
  <c r="K21" i="16" s="1"/>
  <c r="I22" i="16"/>
  <c r="K22" i="16" s="1"/>
  <c r="I23" i="16"/>
  <c r="K23" i="16" s="1"/>
  <c r="I24" i="16"/>
  <c r="K24" i="16" s="1"/>
  <c r="I25" i="16"/>
  <c r="K25" i="16" s="1"/>
  <c r="I26" i="16"/>
  <c r="K26" i="16" s="1"/>
  <c r="I27" i="16"/>
  <c r="K27" i="16" s="1"/>
  <c r="I28" i="16"/>
  <c r="K28" i="16" s="1"/>
  <c r="I29" i="16"/>
  <c r="K29" i="16" s="1"/>
  <c r="I30" i="16"/>
  <c r="K30" i="16" s="1"/>
  <c r="I31" i="16"/>
  <c r="K31" i="16" s="1"/>
  <c r="I32" i="16"/>
  <c r="K32" i="16" s="1"/>
  <c r="I33" i="16"/>
  <c r="K33" i="16" s="1"/>
  <c r="I34" i="16"/>
  <c r="K34" i="16" s="1"/>
  <c r="I35" i="16"/>
  <c r="K35" i="16" s="1"/>
  <c r="I36" i="16"/>
  <c r="K36" i="16" s="1"/>
  <c r="I37" i="16"/>
  <c r="K37" i="16" s="1"/>
  <c r="I38" i="16"/>
  <c r="K38" i="16" s="1"/>
  <c r="I39" i="16"/>
  <c r="K39" i="16" s="1"/>
  <c r="I40" i="16"/>
  <c r="K40" i="16" s="1"/>
  <c r="I41" i="16"/>
  <c r="K41" i="16" s="1"/>
  <c r="I42" i="16"/>
  <c r="K42" i="16" s="1"/>
  <c r="I43" i="16"/>
  <c r="K43" i="16" s="1"/>
  <c r="I44" i="16"/>
  <c r="K44" i="16" s="1"/>
  <c r="I45" i="16"/>
  <c r="K45" i="16" s="1"/>
  <c r="I46" i="16"/>
  <c r="K46" i="16" s="1"/>
  <c r="I47" i="16"/>
  <c r="K47" i="16" s="1"/>
  <c r="I48" i="16"/>
  <c r="K48" i="16" s="1"/>
  <c r="I49" i="16"/>
  <c r="K49" i="16" s="1"/>
  <c r="I50" i="16"/>
  <c r="K50" i="16" s="1"/>
  <c r="I51" i="16"/>
  <c r="K51" i="16" s="1"/>
  <c r="I52" i="16"/>
  <c r="K52" i="16" s="1"/>
  <c r="I53" i="16"/>
  <c r="K53" i="16" s="1"/>
  <c r="I54" i="16"/>
  <c r="K54" i="16" s="1"/>
  <c r="B10" i="21" l="1" a="1"/>
  <c r="B10" i="21" s="1"/>
  <c r="B14" i="21" a="1"/>
  <c r="B14" i="21" s="1"/>
  <c r="B26" i="21" a="1"/>
  <c r="B26" i="21" s="1"/>
  <c r="B35" i="21" a="1"/>
  <c r="B35" i="21" s="1"/>
  <c r="B13" i="21" a="1"/>
  <c r="B13" i="21" s="1"/>
  <c r="B34" i="21" a="1"/>
  <c r="B34" i="21" s="1"/>
  <c r="B25" i="21" a="1"/>
  <c r="B25" i="21" s="1"/>
  <c r="B18" i="21" a="1"/>
  <c r="B18" i="21" s="1"/>
  <c r="B24" i="21" a="1"/>
  <c r="B24" i="21" s="1"/>
  <c r="B11" i="21" a="1"/>
  <c r="B11" i="21" s="1"/>
  <c r="B28" i="21" a="1"/>
  <c r="B28" i="21" s="1"/>
  <c r="B7" i="21" a="1"/>
  <c r="B7" i="21" s="1"/>
  <c r="B23" i="21" a="1"/>
  <c r="B23" i="21" s="1"/>
  <c r="B16" i="21" a="1"/>
  <c r="B16" i="21" s="1"/>
  <c r="B30" i="21" a="1"/>
  <c r="B30" i="21" s="1"/>
  <c r="B12" i="21" a="1"/>
  <c r="B12" i="21" s="1"/>
  <c r="B21" i="21" a="1"/>
  <c r="B21" i="21" s="1"/>
  <c r="B33" i="21" a="1"/>
  <c r="B33" i="21" s="1"/>
  <c r="B29" i="21" a="1"/>
  <c r="B29" i="21" s="1"/>
  <c r="B17" i="21" a="1"/>
  <c r="B17" i="21" s="1"/>
  <c r="B19" i="21" a="1"/>
  <c r="B19" i="21" s="1"/>
  <c r="B31" i="21" a="1"/>
  <c r="B31" i="21" s="1"/>
  <c r="B22" i="21" a="1"/>
  <c r="B22" i="21" s="1"/>
  <c r="B9" i="21" a="1"/>
  <c r="B9" i="21" s="1"/>
  <c r="B32" i="21" a="1"/>
  <c r="B32" i="21" s="1"/>
  <c r="B8" i="21" a="1"/>
  <c r="B8" i="21" s="1"/>
  <c r="B15" i="21" a="1"/>
  <c r="B15" i="21" s="1"/>
  <c r="B20" i="21" a="1"/>
  <c r="B20" i="21" s="1"/>
  <c r="B27" i="21" a="1"/>
  <c r="B27" i="21" s="1"/>
  <c r="H29" i="9"/>
  <c r="I29" i="9"/>
  <c r="F12" i="13"/>
  <c r="J12" i="13"/>
  <c r="F11" i="13"/>
  <c r="H28" i="9"/>
  <c r="I28" i="9"/>
  <c r="H27" i="9"/>
  <c r="I27" i="9"/>
  <c r="H26" i="9"/>
  <c r="I26" i="9"/>
  <c r="H25" i="9"/>
  <c r="I25" i="9"/>
  <c r="H24" i="9"/>
  <c r="I24" i="9"/>
  <c r="H23" i="9"/>
  <c r="I23" i="9"/>
  <c r="H22" i="9"/>
  <c r="I22" i="9"/>
  <c r="H21" i="9"/>
  <c r="I21" i="9"/>
  <c r="H20" i="9"/>
  <c r="I20" i="9"/>
  <c r="H19" i="9"/>
  <c r="I19" i="9"/>
  <c r="H18" i="9"/>
  <c r="I18" i="9"/>
  <c r="J7" i="13"/>
  <c r="J8" i="13"/>
  <c r="J9" i="13"/>
  <c r="J10" i="13"/>
  <c r="J11" i="13"/>
  <c r="I7" i="9"/>
  <c r="I8" i="9"/>
  <c r="I9" i="9"/>
  <c r="I10" i="9"/>
  <c r="I11" i="9"/>
  <c r="I12" i="9"/>
  <c r="I13" i="9"/>
  <c r="I14" i="9"/>
  <c r="I15" i="9"/>
  <c r="I16" i="9"/>
  <c r="I17" i="9"/>
  <c r="H17" i="9"/>
  <c r="J28" i="9" l="1"/>
  <c r="L28" i="9" s="1"/>
  <c r="J29" i="9"/>
  <c r="L29" i="9" s="1"/>
  <c r="J25" i="9"/>
  <c r="L25" i="9" s="1"/>
  <c r="M23" i="11" s="1"/>
  <c r="J27" i="9"/>
  <c r="L27" i="9" s="1"/>
  <c r="M29" i="11" s="1"/>
  <c r="J26" i="9"/>
  <c r="M26" i="9" s="1"/>
  <c r="K30" i="11" s="1"/>
  <c r="R30" i="11" s="1"/>
  <c r="J24" i="9"/>
  <c r="L24" i="9" s="1"/>
  <c r="J22" i="9"/>
  <c r="L22" i="9" s="1"/>
  <c r="J23" i="9"/>
  <c r="K23" i="9" s="1"/>
  <c r="L32" i="11" s="1"/>
  <c r="J21" i="9"/>
  <c r="M21" i="9" s="1"/>
  <c r="J20" i="9"/>
  <c r="N20" i="9" s="1"/>
  <c r="J19" i="9"/>
  <c r="L19" i="9" s="1"/>
  <c r="M10" i="11" s="1"/>
  <c r="J18" i="9"/>
  <c r="K18" i="9" s="1"/>
  <c r="L9" i="11" s="1"/>
  <c r="J17" i="9"/>
  <c r="K33" i="11" l="1"/>
  <c r="R33" i="11" s="1"/>
  <c r="K22" i="11"/>
  <c r="R22" i="11" s="1"/>
  <c r="K11" i="11"/>
  <c r="R11" i="11" s="1"/>
  <c r="K24" i="11"/>
  <c r="R24" i="11" s="1"/>
  <c r="K17" i="11"/>
  <c r="R17" i="11" s="1"/>
  <c r="O16" i="11"/>
  <c r="O28" i="11"/>
  <c r="N16" i="11"/>
  <c r="N28" i="11"/>
  <c r="K28" i="9"/>
  <c r="M19" i="11"/>
  <c r="M35" i="11"/>
  <c r="M14" i="11"/>
  <c r="M26" i="11"/>
  <c r="N28" i="9"/>
  <c r="M28" i="9"/>
  <c r="K29" i="9"/>
  <c r="K25" i="9"/>
  <c r="L23" i="11" s="1"/>
  <c r="K20" i="9"/>
  <c r="N29" i="9"/>
  <c r="M27" i="9"/>
  <c r="K29" i="11" s="1"/>
  <c r="R29" i="11" s="1"/>
  <c r="M29" i="9"/>
  <c r="K27" i="9"/>
  <c r="L29" i="11" s="1"/>
  <c r="N27" i="9"/>
  <c r="K21" i="9"/>
  <c r="L26" i="9"/>
  <c r="M30" i="11" s="1"/>
  <c r="K26" i="9"/>
  <c r="L30" i="11" s="1"/>
  <c r="N25" i="9"/>
  <c r="M25" i="9"/>
  <c r="K23" i="11" s="1"/>
  <c r="R23" i="11" s="1"/>
  <c r="L21" i="9"/>
  <c r="M20" i="9"/>
  <c r="N26" i="9"/>
  <c r="L20" i="9"/>
  <c r="K24" i="9"/>
  <c r="N24" i="9"/>
  <c r="M24" i="9"/>
  <c r="K22" i="9"/>
  <c r="N22" i="9"/>
  <c r="M22" i="9"/>
  <c r="N23" i="9"/>
  <c r="L23" i="9"/>
  <c r="M32" i="11" s="1"/>
  <c r="M23" i="9"/>
  <c r="K32" i="11" s="1"/>
  <c r="R32" i="11" s="1"/>
  <c r="N21" i="9"/>
  <c r="K19" i="9"/>
  <c r="L10" i="11" s="1"/>
  <c r="N19" i="9"/>
  <c r="M19" i="9"/>
  <c r="K10" i="11" s="1"/>
  <c r="R10" i="11" s="1"/>
  <c r="N18" i="9"/>
  <c r="M18" i="9"/>
  <c r="K9" i="11" s="1"/>
  <c r="R9" i="11" s="1"/>
  <c r="L18" i="9"/>
  <c r="M9" i="11" s="1"/>
  <c r="K17" i="9"/>
  <c r="M17" i="9"/>
  <c r="N17" i="9"/>
  <c r="L17" i="9"/>
  <c r="D4" i="16"/>
  <c r="D5" i="16"/>
  <c r="E4" i="16"/>
  <c r="E5" i="16"/>
  <c r="F7" i="13"/>
  <c r="F8" i="13"/>
  <c r="F9" i="13"/>
  <c r="F10" i="13"/>
  <c r="K3" i="1"/>
  <c r="K2" i="1"/>
  <c r="C9" i="14"/>
  <c r="H16" i="9"/>
  <c r="J16" i="9" s="1"/>
  <c r="M16" i="9" s="1"/>
  <c r="H15" i="9"/>
  <c r="J15" i="9" s="1"/>
  <c r="H14" i="9"/>
  <c r="J14" i="9" s="1"/>
  <c r="H13" i="9"/>
  <c r="J13" i="9" s="1"/>
  <c r="H12" i="9"/>
  <c r="J12" i="9" s="1"/>
  <c r="H11" i="9"/>
  <c r="J11" i="9" s="1"/>
  <c r="H10" i="9"/>
  <c r="J10" i="9" s="1"/>
  <c r="H9" i="9"/>
  <c r="J9" i="9" s="1"/>
  <c r="M9" i="9" s="1"/>
  <c r="H8" i="9"/>
  <c r="J8" i="9" s="1"/>
  <c r="M8" i="9" s="1"/>
  <c r="P8" i="1"/>
  <c r="P9" i="1"/>
  <c r="I12" i="13" s="1"/>
  <c r="K12" i="13" s="1"/>
  <c r="M12" i="13" s="1"/>
  <c r="N12" i="13" s="1"/>
  <c r="P10" i="1"/>
  <c r="P11" i="1"/>
  <c r="H7" i="9"/>
  <c r="J7" i="9" s="1"/>
  <c r="M7" i="9" s="1"/>
  <c r="K8" i="11" l="1"/>
  <c r="N9" i="11"/>
  <c r="O9" i="11"/>
  <c r="K35" i="11"/>
  <c r="R35" i="11" s="1"/>
  <c r="K14" i="11"/>
  <c r="R14" i="11" s="1"/>
  <c r="K26" i="11"/>
  <c r="R26" i="11" s="1"/>
  <c r="K19" i="11"/>
  <c r="R19" i="11" s="1"/>
  <c r="O30" i="11"/>
  <c r="N30" i="11"/>
  <c r="O14" i="11"/>
  <c r="O26" i="11"/>
  <c r="N35" i="11"/>
  <c r="N14" i="11"/>
  <c r="N26" i="11"/>
  <c r="O19" i="11"/>
  <c r="O35" i="11"/>
  <c r="N19" i="11"/>
  <c r="O29" i="11"/>
  <c r="N29" i="11"/>
  <c r="N10" i="11"/>
  <c r="O10" i="11"/>
  <c r="M16" i="11"/>
  <c r="M28" i="11"/>
  <c r="N33" i="11"/>
  <c r="N22" i="11"/>
  <c r="N11" i="11"/>
  <c r="O17" i="11"/>
  <c r="N24" i="11"/>
  <c r="O33" i="11"/>
  <c r="O24" i="11"/>
  <c r="N17" i="11"/>
  <c r="O22" i="11"/>
  <c r="O11" i="11"/>
  <c r="K16" i="11"/>
  <c r="R16" i="11" s="1"/>
  <c r="K28" i="11"/>
  <c r="R28" i="11" s="1"/>
  <c r="L16" i="11"/>
  <c r="L28" i="11"/>
  <c r="L31" i="11"/>
  <c r="L12" i="11"/>
  <c r="L21" i="11"/>
  <c r="K7" i="11"/>
  <c r="K15" i="11"/>
  <c r="R15" i="11" s="1"/>
  <c r="K27" i="11"/>
  <c r="R27" i="11" s="1"/>
  <c r="K20" i="11"/>
  <c r="R20" i="11" s="1"/>
  <c r="M17" i="11"/>
  <c r="M33" i="11"/>
  <c r="M22" i="11"/>
  <c r="M11" i="11"/>
  <c r="M24" i="11"/>
  <c r="M31" i="11"/>
  <c r="M21" i="11"/>
  <c r="M12" i="11"/>
  <c r="L14" i="11"/>
  <c r="L26" i="11"/>
  <c r="L19" i="11"/>
  <c r="L35" i="11"/>
  <c r="N21" i="11"/>
  <c r="N12" i="11"/>
  <c r="O31" i="11"/>
  <c r="O21" i="11"/>
  <c r="O12" i="11"/>
  <c r="N31" i="11"/>
  <c r="O32" i="11"/>
  <c r="N32" i="11"/>
  <c r="N23" i="11"/>
  <c r="O23" i="11"/>
  <c r="L17" i="11"/>
  <c r="L24" i="11"/>
  <c r="L33" i="11"/>
  <c r="L22" i="11"/>
  <c r="L11" i="11"/>
  <c r="K34" i="11"/>
  <c r="R34" i="11" s="1"/>
  <c r="K13" i="11"/>
  <c r="R13" i="11" s="1"/>
  <c r="K25" i="11"/>
  <c r="R25" i="11" s="1"/>
  <c r="K18" i="11"/>
  <c r="R18" i="11" s="1"/>
  <c r="K21" i="11"/>
  <c r="R21" i="11" s="1"/>
  <c r="K12" i="11"/>
  <c r="R12" i="11" s="1"/>
  <c r="K31" i="11"/>
  <c r="R31" i="11" s="1"/>
  <c r="J7" i="11"/>
  <c r="I9" i="13"/>
  <c r="K9" i="13" s="1"/>
  <c r="M9" i="13" s="1"/>
  <c r="N9" i="13" s="1"/>
  <c r="I8" i="13"/>
  <c r="K8" i="13" s="1"/>
  <c r="M8" i="13" s="1"/>
  <c r="N8" i="13" s="1"/>
  <c r="I11" i="13"/>
  <c r="K11" i="13" s="1"/>
  <c r="M11" i="13" s="1"/>
  <c r="N11" i="13" s="1"/>
  <c r="K10" i="9"/>
  <c r="M10" i="9"/>
  <c r="L11" i="9"/>
  <c r="M11" i="9"/>
  <c r="N13" i="9"/>
  <c r="M13" i="9"/>
  <c r="K14" i="9"/>
  <c r="M14" i="9"/>
  <c r="L12" i="9"/>
  <c r="M12" i="9"/>
  <c r="K15" i="9"/>
  <c r="M15" i="9"/>
  <c r="I7" i="13"/>
  <c r="K7" i="13" s="1"/>
  <c r="M7" i="13" s="1"/>
  <c r="N7" i="13" s="1"/>
  <c r="I10" i="13"/>
  <c r="K10" i="13" s="1"/>
  <c r="M10" i="13" s="1"/>
  <c r="N10" i="13" s="1"/>
  <c r="F4" i="16"/>
  <c r="K4" i="1"/>
  <c r="D3" i="1" s="1"/>
  <c r="L14" i="9"/>
  <c r="F5" i="16"/>
  <c r="K16" i="9"/>
  <c r="L16" i="9"/>
  <c r="L15" i="9"/>
  <c r="N9" i="9"/>
  <c r="N8" i="9"/>
  <c r="N8" i="11" s="1"/>
  <c r="N10" i="9"/>
  <c r="K13" i="9"/>
  <c r="L10" i="9"/>
  <c r="N16" i="9"/>
  <c r="L13" i="9"/>
  <c r="K12" i="9"/>
  <c r="L9" i="9"/>
  <c r="N15" i="9"/>
  <c r="K11" i="9"/>
  <c r="L8" i="9"/>
  <c r="N14" i="9"/>
  <c r="K9" i="9"/>
  <c r="N12" i="9"/>
  <c r="K8" i="9"/>
  <c r="L8" i="11" s="1"/>
  <c r="N11" i="9"/>
  <c r="N7" i="9"/>
  <c r="K7" i="9"/>
  <c r="L7" i="9"/>
  <c r="N7" i="11" l="1"/>
  <c r="O27" i="11"/>
  <c r="O15" i="11"/>
  <c r="N15" i="11"/>
  <c r="N27" i="11"/>
  <c r="O20" i="11"/>
  <c r="N20" i="11"/>
  <c r="M18" i="11"/>
  <c r="M34" i="11"/>
  <c r="M13" i="11"/>
  <c r="M25" i="11"/>
  <c r="L13" i="11"/>
  <c r="L25" i="11"/>
  <c r="L18" i="11"/>
  <c r="L34" i="11"/>
  <c r="L7" i="11"/>
  <c r="L15" i="11"/>
  <c r="L27" i="11"/>
  <c r="L20" i="11"/>
  <c r="O13" i="11"/>
  <c r="O25" i="11"/>
  <c r="N34" i="11"/>
  <c r="N25" i="11"/>
  <c r="N13" i="11"/>
  <c r="O18" i="11"/>
  <c r="N18" i="11"/>
  <c r="O34" i="11"/>
  <c r="M7" i="11"/>
  <c r="M20" i="11"/>
  <c r="M15" i="11"/>
  <c r="M27" i="11"/>
  <c r="R8" i="11"/>
  <c r="M8" i="11"/>
  <c r="O7" i="11"/>
  <c r="R7" i="11"/>
  <c r="O8" i="11"/>
  <c r="P10" i="13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<sst xmlns="http://schemas.openxmlformats.org/spreadsheetml/2006/main" count="706" uniqueCount="262">
  <si>
    <t>Info general</t>
  </si>
  <si>
    <t>CLP</t>
  </si>
  <si>
    <t>"Lista automática": al apretar la casilla de la columna correspondiente a esta nota, se desplegará un calendario para ingresar la fecha</t>
  </si>
  <si>
    <t>UF</t>
  </si>
  <si>
    <t>Datos</t>
  </si>
  <si>
    <t>Valor</t>
  </si>
  <si>
    <t>USD</t>
  </si>
  <si>
    <t>"Automático": Las celdas de la columna se actualizan automáticamente, dependiendo de otros factores de la tabla presente o de las tablas de "datos importantes"</t>
  </si>
  <si>
    <t>Fecha</t>
  </si>
  <si>
    <t>Supervisor Wolke</t>
  </si>
  <si>
    <t>José Valenzuela</t>
  </si>
  <si>
    <t>Cliente</t>
  </si>
  <si>
    <t>Trefimet</t>
  </si>
  <si>
    <t>Dirección Wolke</t>
  </si>
  <si>
    <t>Avenida Pedro de Valdivia 273, of. 201</t>
  </si>
  <si>
    <t>Tipo moneda</t>
  </si>
  <si>
    <t>Tipo costo</t>
  </si>
  <si>
    <t>CIF</t>
  </si>
  <si>
    <t>Cargos</t>
  </si>
  <si>
    <t>Ponderador Precio</t>
  </si>
  <si>
    <t>Puesto</t>
  </si>
  <si>
    <t>Costo UF HH</t>
  </si>
  <si>
    <t>Margen</t>
  </si>
  <si>
    <t>Precio cliente</t>
  </si>
  <si>
    <t>FOB</t>
  </si>
  <si>
    <t>Junior</t>
  </si>
  <si>
    <t>Software</t>
  </si>
  <si>
    <t>Nacional</t>
  </si>
  <si>
    <t>Intermedio</t>
  </si>
  <si>
    <t>Electrico</t>
  </si>
  <si>
    <t>EUR</t>
  </si>
  <si>
    <t>Senior</t>
  </si>
  <si>
    <t>Técnico Instalador</t>
  </si>
  <si>
    <t>Equipo comercial</t>
  </si>
  <si>
    <t>Número grupo</t>
  </si>
  <si>
    <t>Secciones</t>
  </si>
  <si>
    <t>Descripción</t>
  </si>
  <si>
    <t>Tipo de venta</t>
  </si>
  <si>
    <t>Viático dentro de santiago</t>
  </si>
  <si>
    <t>Salida en Santiago</t>
  </si>
  <si>
    <t>Productos</t>
  </si>
  <si>
    <t>Viático fuera de santiago por el día</t>
  </si>
  <si>
    <t>Salida diaria</t>
  </si>
  <si>
    <t>Opcional</t>
  </si>
  <si>
    <t>Viático viaje largo 1n o más</t>
  </si>
  <si>
    <t>Salida/noche</t>
  </si>
  <si>
    <t>HH</t>
  </si>
  <si>
    <t>Tarea</t>
  </si>
  <si>
    <t>VigíaBox Neo</t>
  </si>
  <si>
    <t>Selección</t>
  </si>
  <si>
    <t>Automático</t>
  </si>
  <si>
    <t>Sección</t>
  </si>
  <si>
    <t>Puesto Encargado</t>
  </si>
  <si>
    <t>Cargo</t>
  </si>
  <si>
    <t>Precio por hora UF</t>
  </si>
  <si>
    <t>Ponderador</t>
  </si>
  <si>
    <t>Cantidad horas</t>
  </si>
  <si>
    <t>Precio UF</t>
  </si>
  <si>
    <t>Precio Moneda</t>
  </si>
  <si>
    <t>Escritura manual</t>
  </si>
  <si>
    <t>Agrupación</t>
  </si>
  <si>
    <t>Nombre producto</t>
  </si>
  <si>
    <t>Unidades</t>
  </si>
  <si>
    <t>Proveedor</t>
  </si>
  <si>
    <t>Link de compra</t>
  </si>
  <si>
    <t>RTU</t>
  </si>
  <si>
    <t>Sensor</t>
  </si>
  <si>
    <t>ORP-RDSOR</t>
  </si>
  <si>
    <t>Tipo de moneda</t>
  </si>
  <si>
    <t>CIF/FOB/Nacional</t>
  </si>
  <si>
    <t>Costo producto</t>
  </si>
  <si>
    <t>Costo de producto a oficina</t>
  </si>
  <si>
    <t>Precio Moneda compra</t>
  </si>
  <si>
    <t>Precio CLP</t>
  </si>
  <si>
    <t>Precio USD</t>
  </si>
  <si>
    <t>Fabricante</t>
  </si>
  <si>
    <t>Nombre Vendedor</t>
  </si>
  <si>
    <t>Correo ; Número</t>
  </si>
  <si>
    <t>Datalogger de fabricación propia - No hay margen porque ese es el precio final</t>
  </si>
  <si>
    <t>Wolke</t>
  </si>
  <si>
    <t>jose.valenzuela@wolke.cl</t>
  </si>
  <si>
    <t>Water ORP sensor Modbus Range -1999mV～＋1999mV</t>
  </si>
  <si>
    <t>Honde Technology Co.</t>
  </si>
  <si>
    <t>Kyla</t>
  </si>
  <si>
    <t>kyla@hondetech.com</t>
  </si>
  <si>
    <t>RD-WPHIT</t>
  </si>
  <si>
    <t>Water PH
sensor Modbus Range: 0-14PH</t>
  </si>
  <si>
    <t>RD-TSS-03</t>
  </si>
  <si>
    <t>Water turbidity TSS sludge concentration sensor</t>
  </si>
  <si>
    <t>RD-WNT-02</t>
  </si>
  <si>
    <t>Stainless steelwater quality nitrate temperature 2-in-1 sensor</t>
  </si>
  <si>
    <t>RD-OIW-
01</t>
  </si>
  <si>
    <t>Oil in water sensor</t>
  </si>
  <si>
    <t>RDCBT3IN1-01</t>
  </si>
  <si>
    <t>Water COD BOD TOC Turbidity 4 in 1 type</t>
  </si>
  <si>
    <t>TUF-2000S-02</t>
  </si>
  <si>
    <t>Clamp-on portable ultrasonic flow meter</t>
  </si>
  <si>
    <t>BGT-RD101</t>
  </si>
  <si>
    <t>Radar Level Sensor
Measuring range: 10m
Radar frequency: 80GHz
Accuracy: ±2mm
Power supply: DC7~32V
Output: RS485 Modbus-RTU
Cable length: 10m</t>
  </si>
  <si>
    <t>Soporte</t>
  </si>
  <si>
    <t>Soporte simple 1 sensor INOX</t>
  </si>
  <si>
    <t>Mardinamica</t>
  </si>
  <si>
    <t>Pablo Bernal</t>
  </si>
  <si>
    <t>Moneda final</t>
  </si>
  <si>
    <t>Cantidad</t>
  </si>
  <si>
    <t>a CLP</t>
  </si>
  <si>
    <t>Tipo de Costo, ponderador y margen</t>
  </si>
  <si>
    <t>Columna1</t>
  </si>
  <si>
    <t>Borrar</t>
  </si>
  <si>
    <t>Moneda producto</t>
  </si>
  <si>
    <t>Soporte simple</t>
  </si>
  <si>
    <t>Agrupaciones</t>
  </si>
  <si>
    <t>Márgenes</t>
  </si>
  <si>
    <t>Precio USD/unitario</t>
  </si>
  <si>
    <t>Moneda Final</t>
  </si>
  <si>
    <t>Ponderador margen (nacional/internacional)</t>
  </si>
  <si>
    <t>Ponderador importación (CIF/FOB)</t>
  </si>
  <si>
    <t>Tipo de viático</t>
  </si>
  <si>
    <t>Nacional cotizacion</t>
  </si>
  <si>
    <t>Tasa transformación</t>
  </si>
  <si>
    <t>última actualización</t>
  </si>
  <si>
    <t>Fecha hoy:</t>
  </si>
  <si>
    <t>Fecha actualización</t>
  </si>
  <si>
    <t>Diferencia de días</t>
  </si>
  <si>
    <t>Precio Euros</t>
  </si>
  <si>
    <t>Precio CLP/Unitario</t>
  </si>
  <si>
    <t>Precio UF/Unitario</t>
  </si>
  <si>
    <t>Precio EUR/ Unitario</t>
  </si>
  <si>
    <t>Divisa extranjera a chilena</t>
  </si>
  <si>
    <t>Tarifa Cambio de divisa</t>
  </si>
  <si>
    <t>Nota: en la columna R se multiplica por el valor en la celda por 1+valor en la celda de la izquierda, en la columna Q -----------&gt; este es un aumento por cambio de divisa</t>
  </si>
  <si>
    <t>Alojamiento</t>
  </si>
  <si>
    <t>1 noche/1persona</t>
  </si>
  <si>
    <t>Costo UF</t>
  </si>
  <si>
    <t>Escritura Manual</t>
  </si>
  <si>
    <t>Días de Trabajo</t>
  </si>
  <si>
    <t>Número de personas</t>
  </si>
  <si>
    <t>Cantidad/tipo</t>
  </si>
  <si>
    <t>Cantidad de personas que van</t>
  </si>
  <si>
    <t>Cantidad de días que se trabajan</t>
  </si>
  <si>
    <t>Cuánto se le paga a cada persona</t>
  </si>
  <si>
    <t>Costo unitario</t>
  </si>
  <si>
    <t>N/A</t>
  </si>
  <si>
    <t>Costo cero (0)</t>
  </si>
  <si>
    <t>Precio final</t>
  </si>
  <si>
    <t>No tocar</t>
  </si>
  <si>
    <t>Lugar para que la persona se quede</t>
  </si>
  <si>
    <t>Precio Unitario</t>
  </si>
  <si>
    <t>La tabla es una ayuda, no sirve para el cálculo final</t>
  </si>
  <si>
    <t>Precio por hora</t>
  </si>
  <si>
    <t>Tipo de Venta</t>
  </si>
  <si>
    <t>Moneda</t>
  </si>
  <si>
    <t>IVA</t>
  </si>
  <si>
    <t>j</t>
  </si>
  <si>
    <t>SUP-LMQ</t>
  </si>
  <si>
    <t>[Ultrasonic open channel flowmeter] [LMQ]
Water weir flume type: Parshall flume No. 1-5;
Accuracy: Class 0.5;
Output: 4-20mA+RS485;
Electrical interface, housing material and protection level: split type,
M18×1.5 cable plug, engineering plastic, IP68;
Power supply: 24VDC;
Cable length: 10m;
Level range: 0-5M
Flow range: 0.1L/s~9999.99m3/h</t>
  </si>
  <si>
    <t>Supme</t>
  </si>
  <si>
    <t>SUP-PTU-8011</t>
  </si>
  <si>
    <t>SUP-PTU8011-Pipeline Mount Kit</t>
  </si>
  <si>
    <t>Specifically for pipeline installations, compatible with turbidity sensors. DN80</t>
  </si>
  <si>
    <t>SUP-TDS-8001</t>
  </si>
  <si>
    <t>Digital conductivity seNsor
Cable:10M
Range:0-70ms/cm
Temperaure range: 0-60℃
Material:POM
IP68 RS485</t>
  </si>
  <si>
    <t>Turbidity Sensor
Cable: 10m
Measure range :0-4000NTU o 0-1000NTU
IP68
Material : 316L+PVC
9-36VDC + RS485
With self cleaning function</t>
  </si>
  <si>
    <t>SUP-PH8001</t>
  </si>
  <si>
    <t>[pH digital electrode] [pH-8001]
Electrode connector: direct lead;
Salt bridge type: single-point ceramic diaphragm;
Temperature compensation type: NTC 22K;
Output: RS485;
Power supply: 12VDC;
Cable length: 10m;
Shell material and process connection: engineering plastic, G3/4
thread;
Measuring range: (0-14)pH
Temperature range: (0-60)℃
Pressure resistance: 0.3MPa</t>
  </si>
  <si>
    <t>SUP-PTU300</t>
  </si>
  <si>
    <t>TurBidity MetEr with built SenSor
Size: 183mm*349mm*113.5mm
IP54
Power supply 24VDC
Measure range 0-100NTU
Output: 4-20mA + RS485</t>
  </si>
  <si>
    <t>SUP-ADI7000</t>
  </si>
  <si>
    <t>Residual chlorine electrode
Range: 0-10.00mg/L
temperature compensation：NTC 10K
output :RS485
power supply: 9-24VDC
Accuracy: ±3% (DPD comparison error ±10% or ±0.05mg/L, whichever
is greater)
Cable length: 10 meters</t>
  </si>
  <si>
    <t>SUP-ADI7000-Flow-Cell</t>
  </si>
  <si>
    <t>For the Residual chlorine electrode</t>
  </si>
  <si>
    <t>SUP-DO-7018</t>
  </si>
  <si>
    <t>DO seNsor(Optical)
Cable: 10m
Range:0-20mg/L
Medium:wastewater
Material : Ti
IP68
Output : RS485
Note:Immersed installation only</t>
  </si>
  <si>
    <t>SUP-ORP8001</t>
  </si>
  <si>
    <t>[pH digital electrode] [ORP-8001]
Electrode connector: direct lead;
Salt bridge type: single-point ceramic diaphragm;
Temperature compensation type: NTC 22K;
Output: RS485;
Power supply: 12VDC;
Cable length: 10m;
Shell material and process connection: engineering plastic, G3/4 thread;
Measuring range: （-1000-1000）mV
pH Temperature range: (0-60)℃
Pressure resistance: 0.3MPa</t>
  </si>
  <si>
    <t>SUP-PSS9011</t>
  </si>
  <si>
    <t>TSS seNsor
Cable: 10m
Measure range : 0.1 ~ 5000 mg/L or 0.1 ~ 500 mg/L
IP68
Material : 316L+PVC
9-36VDC + RS485
With self-cleaning function
Noted: add the pipe installation accessory for you, pressure rate lower
than 0.4MPa
Or use the Immersed installation</t>
  </si>
  <si>
    <t>KIT 1 Tratamiento</t>
  </si>
  <si>
    <t>KIT 2 Tratamiento</t>
  </si>
  <si>
    <t>KIT 1 Potabilizacion</t>
  </si>
  <si>
    <t xml:space="preserve">Instalación </t>
  </si>
  <si>
    <t>Multi-parameters water analyzer
pH: 0-14pH, Accuracy ±0.1pH
conductivity:1-2000uS/cm ;Accuracy ±1.5%FS
Temperature:-20℃ - 85℃,Accuracy ±0.5℃
Turbidity: 0-100NTU;Lower detection limit 0.02NTU
Dissolved oxygen:0-20mg/L ;Accuracy ±0.3mg/L
Residual chlorine/chlorine dioxide: 0-20mg/L ,Resolution 0.01mg/L
Working power (220±22)VAC，(50±1)Hz
Communication interface RS485 Modbus RTU communication protocol
Display 7-inch color touch screen, English</t>
  </si>
  <si>
    <t>SUP-MPP1000</t>
  </si>
  <si>
    <t>KIT 2 Potabilizacion</t>
  </si>
  <si>
    <t>Configuracion y pruebas</t>
  </si>
  <si>
    <t>Configuración de equipos, pruebas de funcionamiento y calibración.</t>
  </si>
  <si>
    <t>Tableros</t>
  </si>
  <si>
    <t>TBL-PWR-GEN</t>
  </si>
  <si>
    <t>Tablero IP65+ Fuente y accesorios</t>
  </si>
  <si>
    <t>Instalación de Técnico Instalador</t>
  </si>
  <si>
    <t>---</t>
  </si>
  <si>
    <t>Viaje</t>
  </si>
  <si>
    <t>Precio final (sin iva - moneda)</t>
  </si>
  <si>
    <t>Ir a terreno</t>
  </si>
  <si>
    <t>Ir a terreno --- descripcion</t>
  </si>
  <si>
    <t>SubTotales (Sin IVA)</t>
  </si>
  <si>
    <t>SubTotales en CLP (Sin IVA)</t>
  </si>
  <si>
    <t>Total CLP (Con IVA)</t>
  </si>
  <si>
    <t>Costo Producto</t>
  </si>
  <si>
    <t>Instalación</t>
  </si>
  <si>
    <t>Etiquetas de fila</t>
  </si>
  <si>
    <t>Total general</t>
  </si>
  <si>
    <t>Resumen Hoja BoM</t>
  </si>
  <si>
    <t>Precio final (sin IVA - moneda)</t>
  </si>
  <si>
    <t>UF 33,33</t>
  </si>
  <si>
    <t>Resumen Hoja Desarrollo</t>
  </si>
  <si>
    <t>Producto</t>
  </si>
  <si>
    <t>Cantidad HH</t>
  </si>
  <si>
    <t>UF 6,67</t>
  </si>
  <si>
    <t>UF 11,67</t>
  </si>
  <si>
    <t>UF 8,33</t>
  </si>
  <si>
    <t>CLP 10,00</t>
  </si>
  <si>
    <t>Resumen Hoja Viajes</t>
  </si>
  <si>
    <t>Precio final (Sin Iva)</t>
  </si>
  <si>
    <t>Agrupacion</t>
  </si>
  <si>
    <t>Lista a seleccionar</t>
  </si>
  <si>
    <t>Esta macro se corri— por œltima vez 30-04-2025</t>
  </si>
  <si>
    <t>Sin categor’a</t>
  </si>
  <si>
    <t>Prueba 2</t>
  </si>
  <si>
    <t>Tipos de Viáticos</t>
  </si>
  <si>
    <t>Puestos de Trabajo - poner valor Junior y en ponderador aumenta</t>
  </si>
  <si>
    <t>Ponderador de precio</t>
  </si>
  <si>
    <t>Información Proyecto</t>
  </si>
  <si>
    <t>,,</t>
  </si>
  <si>
    <t>CLP 576.148,00</t>
  </si>
  <si>
    <t>CLP 576.138,00</t>
  </si>
  <si>
    <t>USD 2.080,00</t>
  </si>
  <si>
    <t>USD 0,00</t>
  </si>
  <si>
    <t>USD 312,00</t>
  </si>
  <si>
    <t>USD 1.105,00</t>
  </si>
  <si>
    <t>USD 526,32</t>
  </si>
  <si>
    <t>USD 2.105,26</t>
  </si>
  <si>
    <t>USD 315,79</t>
  </si>
  <si>
    <t>USD 947,37</t>
  </si>
  <si>
    <t>USD 666,67</t>
  </si>
  <si>
    <t>USD 1.333,33</t>
  </si>
  <si>
    <t>USD 416,00</t>
  </si>
  <si>
    <t>USD 832,00</t>
  </si>
  <si>
    <t>USD 631,58</t>
  </si>
  <si>
    <t>USD 1.052,63</t>
  </si>
  <si>
    <t>4.161,54</t>
  </si>
  <si>
    <t>USD 624,00</t>
  </si>
  <si>
    <t>USD 1.560,00</t>
  </si>
  <si>
    <t>7.359,18</t>
  </si>
  <si>
    <t>USD 2.666,67</t>
  </si>
  <si>
    <t>USD 2.340,00</t>
  </si>
  <si>
    <t>USD 4.680,00</t>
  </si>
  <si>
    <t>USD 676,00</t>
  </si>
  <si>
    <t>USD 3.684,21</t>
  </si>
  <si>
    <t>USD 1.263,16</t>
  </si>
  <si>
    <t>15.115,04</t>
  </si>
  <si>
    <t>USD 2.000,00</t>
  </si>
  <si>
    <t>35.185,39</t>
  </si>
  <si>
    <t>USD 35.185,39</t>
  </si>
  <si>
    <t>8.549,63</t>
  </si>
  <si>
    <t>UF 0,83</t>
  </si>
  <si>
    <t>CLP 0,75</t>
  </si>
  <si>
    <t>Precio unitario</t>
  </si>
  <si>
    <t>Precio final (sin IVA)</t>
  </si>
  <si>
    <t>CLP 2,00</t>
  </si>
  <si>
    <t>Costo Unitario</t>
  </si>
  <si>
    <t>Precio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</si>
</sst>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&quot;$&quot;#,##0.00"/>
    <numFmt numFmtId="165" formatCode="[$-F800]dddd\,\ mmmm\ dd\,\ yyyy"/>
    <numFmt numFmtId="166" formatCode="#,##0.000"/>
    <numFmt numFmtId="167" formatCode="dd/mm/yy;@"/>
    <numFmt numFmtId="168" formatCode="&quot;$&quot;#,##0"/>
    <numFmt numFmtId="169" formatCode="#,##0.0"/>
    <numFmt numFmtId="170" formatCode="0.0"/>
  </numFmts>
  <fonts count="16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theme="0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u/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1"/>
      <color theme="10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11"/>
      <color rgb="FF000000"/>
      <name val="Aptos Narrow"/>
      <family val="2"/>
      <scheme val="minor"/>
    </font>
    <font>
      <sz val="11"/>
      <color rgb="FF000000"/>
      <name val="Aptos Narrow"/>
      <family val="2"/>
    </font>
  </fonts>
  <fills count="31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0"/>
        <bgColor theme="4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theme="5" tint="0.79998168889431442"/>
      </patternFill>
    </fill>
    <fill>
      <patternFill patternType="solid">
        <fgColor rgb="FFC0E4F5"/>
        <bgColor rgb="FFC0E4F5"/>
      </patternFill>
    </fill>
    <fill>
      <patternFill patternType="solid">
        <fgColor theme="5" tint="0.79998168889431442"/>
        <bgColor theme="5" tint="0.79998168889431442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C8C8C8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5B3C11"/>
        <bgColor indexed="64"/>
      </patternFill>
    </fill>
  </fills>
  <borders count="1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/>
      <bottom style="thin">
        <color rgb="FF43AEE2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/>
      <bottom/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  <border>
      <left style="thin">
        <color theme="4" tint="0.39997558519241921"/>
      </left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202">
    <xf numFmtId="0" fontId="0" fillId="0" borderId="0" xfId="0"/>
    <xf numFmtId="0" fontId="0" fillId="0" borderId="0" xfId="0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164" fontId="0" fillId="0" borderId="0" xfId="0" applyNumberFormat="1"/>
    <xf numFmtId="0" fontId="0" fillId="2" borderId="0" xfId="0" applyFill="1"/>
    <xf numFmtId="0" fontId="2" fillId="4" borderId="0" xfId="0" applyFont="1" applyFill="1"/>
    <xf numFmtId="0" fontId="0" fillId="0" borderId="3" xfId="0" applyBorder="1" applyAlignment="1">
      <alignment horizontal="center" vertical="center" wrapText="1"/>
    </xf>
    <xf numFmtId="0" fontId="0" fillId="6" borderId="0" xfId="0" applyFill="1"/>
    <xf numFmtId="0" fontId="0" fillId="2" borderId="0" xfId="0" applyFill="1" applyAlignment="1">
      <alignment horizontal="left" vertical="center"/>
    </xf>
    <xf numFmtId="0" fontId="0" fillId="2" borderId="0" xfId="0" applyFill="1" applyAlignment="1">
      <alignment horizontal="left"/>
    </xf>
    <xf numFmtId="0" fontId="0" fillId="0" borderId="0" xfId="0" applyAlignment="1">
      <alignment horizontal="left" wrapText="1"/>
    </xf>
    <xf numFmtId="0" fontId="0" fillId="6" borderId="0" xfId="0" applyFill="1" applyAlignment="1">
      <alignment horizontal="center" vertical="center"/>
    </xf>
    <xf numFmtId="166" fontId="0" fillId="0" borderId="1" xfId="0" applyNumberFormat="1" applyBorder="1" applyAlignment="1">
      <alignment horizontal="center" vertical="center" wrapText="1"/>
    </xf>
    <xf numFmtId="164" fontId="0" fillId="6" borderId="0" xfId="0" applyNumberFormat="1" applyFill="1"/>
    <xf numFmtId="0" fontId="0" fillId="6" borderId="0" xfId="0" applyFill="1" applyAlignment="1">
      <alignment horizontal="center" vertical="center" wrapText="1"/>
    </xf>
    <xf numFmtId="0" fontId="0" fillId="6" borderId="0" xfId="0" applyFill="1" applyAlignment="1">
      <alignment wrapText="1"/>
    </xf>
    <xf numFmtId="166" fontId="0" fillId="9" borderId="0" xfId="0" applyNumberFormat="1" applyFill="1" applyAlignment="1">
      <alignment horizontal="center" vertical="center" wrapText="1"/>
    </xf>
    <xf numFmtId="166" fontId="0" fillId="6" borderId="0" xfId="0" applyNumberFormat="1" applyFill="1" applyAlignment="1">
      <alignment horizontal="center" vertical="center" wrapText="1"/>
    </xf>
    <xf numFmtId="0" fontId="0" fillId="9" borderId="0" xfId="0" applyFill="1" applyAlignment="1">
      <alignment horizontal="center" vertical="center" wrapText="1"/>
    </xf>
    <xf numFmtId="0" fontId="1" fillId="3" borderId="6" xfId="0" applyFont="1" applyFill="1" applyBorder="1"/>
    <xf numFmtId="0" fontId="0" fillId="5" borderId="5" xfId="0" applyFill="1" applyBorder="1" applyAlignment="1">
      <alignment horizontal="left" vertical="center" wrapText="1"/>
    </xf>
    <xf numFmtId="0" fontId="0" fillId="5" borderId="5" xfId="0" applyFill="1" applyBorder="1" applyAlignment="1">
      <alignment horizontal="left" vertical="center"/>
    </xf>
    <xf numFmtId="0" fontId="0" fillId="5" borderId="4" xfId="0" applyFill="1" applyBorder="1" applyAlignment="1">
      <alignment horizontal="left" vertical="center" wrapText="1"/>
    </xf>
    <xf numFmtId="0" fontId="0" fillId="5" borderId="2" xfId="0" applyFill="1" applyBorder="1" applyAlignment="1">
      <alignment horizontal="center" vertical="center"/>
    </xf>
    <xf numFmtId="0" fontId="0" fillId="5" borderId="2" xfId="0" applyFill="1" applyBorder="1" applyAlignment="1">
      <alignment horizontal="left" vertical="center" wrapText="1"/>
    </xf>
    <xf numFmtId="0" fontId="0" fillId="5" borderId="2" xfId="0" applyFill="1" applyBorder="1" applyAlignment="1">
      <alignment horizontal="left" vertical="center"/>
    </xf>
    <xf numFmtId="0" fontId="3" fillId="5" borderId="2" xfId="1" applyFill="1" applyBorder="1" applyAlignment="1">
      <alignment horizontal="left" vertical="center"/>
    </xf>
    <xf numFmtId="0" fontId="4" fillId="5" borderId="0" xfId="1" applyFont="1" applyFill="1" applyBorder="1" applyAlignment="1">
      <alignment horizontal="left" vertical="center"/>
    </xf>
    <xf numFmtId="0" fontId="0" fillId="5" borderId="5" xfId="1" applyFont="1" applyFill="1" applyBorder="1" applyAlignment="1">
      <alignment horizontal="left" vertical="center"/>
    </xf>
    <xf numFmtId="0" fontId="1" fillId="3" borderId="6" xfId="0" applyFont="1" applyFill="1" applyBorder="1" applyAlignment="1">
      <alignment wrapText="1"/>
    </xf>
    <xf numFmtId="2" fontId="0" fillId="5" borderId="5" xfId="0" applyNumberFormat="1" applyFill="1" applyBorder="1" applyAlignment="1">
      <alignment horizontal="left" vertical="center"/>
    </xf>
    <xf numFmtId="0" fontId="0" fillId="5" borderId="5" xfId="0" applyFill="1" applyBorder="1" applyAlignment="1">
      <alignment horizontal="center" vertical="center" wrapText="1"/>
    </xf>
    <xf numFmtId="0" fontId="0" fillId="6" borderId="7" xfId="0" applyFill="1" applyBorder="1"/>
    <xf numFmtId="0" fontId="0" fillId="7" borderId="7" xfId="0" applyFill="1" applyBorder="1" applyAlignment="1">
      <alignment horizontal="left" vertical="center" wrapText="1"/>
    </xf>
    <xf numFmtId="0" fontId="0" fillId="7" borderId="7" xfId="0" applyFill="1" applyBorder="1" applyAlignment="1">
      <alignment horizontal="center" vertical="center"/>
    </xf>
    <xf numFmtId="4" fontId="0" fillId="5" borderId="5" xfId="0" applyNumberFormat="1" applyFill="1" applyBorder="1" applyAlignment="1">
      <alignment horizontal="center" vertical="center"/>
    </xf>
    <xf numFmtId="0" fontId="1" fillId="3" borderId="9" xfId="0" applyFont="1" applyFill="1" applyBorder="1" applyAlignment="1">
      <alignment wrapText="1"/>
    </xf>
    <xf numFmtId="9" fontId="0" fillId="0" borderId="0" xfId="0" applyNumberFormat="1" applyAlignment="1">
      <alignment horizontal="center" vertical="center" wrapText="1"/>
    </xf>
    <xf numFmtId="3" fontId="0" fillId="6" borderId="0" xfId="0" applyNumberFormat="1" applyFill="1"/>
    <xf numFmtId="3" fontId="0" fillId="0" borderId="0" xfId="0" applyNumberFormat="1"/>
    <xf numFmtId="4" fontId="0" fillId="5" borderId="5" xfId="0" applyNumberFormat="1" applyFill="1" applyBorder="1" applyAlignment="1">
      <alignment horizontal="left" vertical="center"/>
    </xf>
    <xf numFmtId="0" fontId="7" fillId="6" borderId="0" xfId="0" applyFont="1" applyFill="1"/>
    <xf numFmtId="3" fontId="7" fillId="6" borderId="0" xfId="0" applyNumberFormat="1" applyFont="1" applyFill="1"/>
    <xf numFmtId="3" fontId="0" fillId="0" borderId="0" xfId="0" applyNumberFormat="1" applyAlignment="1">
      <alignment horizontal="right"/>
    </xf>
    <xf numFmtId="164" fontId="0" fillId="0" borderId="0" xfId="0" applyNumberFormat="1" applyAlignment="1">
      <alignment horizontal="right"/>
    </xf>
    <xf numFmtId="0" fontId="0" fillId="5" borderId="5" xfId="0" applyFill="1" applyBorder="1" applyAlignment="1">
      <alignment horizontal="center" vertical="center"/>
    </xf>
    <xf numFmtId="0" fontId="0" fillId="0" borderId="0" xfId="0" applyAlignment="1">
      <alignment horizontal="left"/>
    </xf>
    <xf numFmtId="0" fontId="0" fillId="6" borderId="0" xfId="0" applyFill="1" applyAlignment="1">
      <alignment horizontal="left" wrapText="1"/>
    </xf>
    <xf numFmtId="0" fontId="2" fillId="6" borderId="0" xfId="0" applyFont="1" applyFill="1" applyAlignment="1">
      <alignment wrapText="1"/>
    </xf>
    <xf numFmtId="0" fontId="0" fillId="0" borderId="7" xfId="0" applyBorder="1" applyAlignment="1">
      <alignment horizontal="center" vertical="center" wrapText="1"/>
    </xf>
    <xf numFmtId="165" fontId="0" fillId="0" borderId="7" xfId="0" applyNumberFormat="1" applyBorder="1" applyAlignment="1">
      <alignment horizontal="center" vertical="center" wrapText="1"/>
    </xf>
    <xf numFmtId="4" fontId="0" fillId="5" borderId="2" xfId="0" applyNumberFormat="1" applyFill="1" applyBorder="1" applyAlignment="1">
      <alignment horizontal="right" vertical="center" indent="1"/>
    </xf>
    <xf numFmtId="10" fontId="0" fillId="5" borderId="2" xfId="0" applyNumberFormat="1" applyFill="1" applyBorder="1" applyAlignment="1">
      <alignment horizontal="right" vertical="center" indent="1"/>
    </xf>
    <xf numFmtId="4" fontId="0" fillId="5" borderId="5" xfId="0" applyNumberFormat="1" applyFill="1" applyBorder="1" applyAlignment="1">
      <alignment horizontal="right" vertical="center" indent="1"/>
    </xf>
    <xf numFmtId="0" fontId="3" fillId="5" borderId="5" xfId="1" applyFill="1" applyBorder="1" applyAlignment="1">
      <alignment horizontal="left" vertical="center"/>
    </xf>
    <xf numFmtId="0" fontId="2" fillId="6" borderId="0" xfId="0" applyFont="1" applyFill="1" applyAlignment="1">
      <alignment horizontal="center" vertical="center" wrapText="1"/>
    </xf>
    <xf numFmtId="0" fontId="0" fillId="5" borderId="2" xfId="0" applyFill="1" applyBorder="1" applyAlignment="1">
      <alignment horizontal="center" vertical="center" wrapText="1"/>
    </xf>
    <xf numFmtId="9" fontId="0" fillId="0" borderId="0" xfId="0" applyNumberFormat="1"/>
    <xf numFmtId="4" fontId="3" fillId="10" borderId="5" xfId="1" applyNumberFormat="1" applyFill="1" applyBorder="1" applyAlignment="1">
      <alignment horizontal="left" vertical="center"/>
    </xf>
    <xf numFmtId="4" fontId="3" fillId="10" borderId="0" xfId="1" applyNumberFormat="1" applyFill="1" applyBorder="1" applyAlignment="1">
      <alignment horizontal="left" vertical="center"/>
    </xf>
    <xf numFmtId="0" fontId="1" fillId="3" borderId="8" xfId="0" applyFont="1" applyFill="1" applyBorder="1" applyAlignment="1">
      <alignment wrapText="1"/>
    </xf>
    <xf numFmtId="4" fontId="0" fillId="5" borderId="0" xfId="0" applyNumberFormat="1" applyFill="1" applyAlignment="1">
      <alignment horizontal="left" vertical="center"/>
    </xf>
    <xf numFmtId="0" fontId="0" fillId="6" borderId="0" xfId="0" applyFill="1" applyAlignment="1">
      <alignment horizontal="center" wrapText="1"/>
    </xf>
    <xf numFmtId="165" fontId="0" fillId="6" borderId="0" xfId="0" applyNumberFormat="1" applyFill="1" applyAlignment="1">
      <alignment horizontal="center" vertical="center" wrapText="1"/>
    </xf>
    <xf numFmtId="0" fontId="0" fillId="6" borderId="0" xfId="0" applyFill="1" applyAlignment="1">
      <alignment horizontal="center"/>
    </xf>
    <xf numFmtId="0" fontId="0" fillId="6" borderId="0" xfId="0" applyFill="1" applyAlignment="1">
      <alignment horizontal="left" vertical="center"/>
    </xf>
    <xf numFmtId="0" fontId="0" fillId="0" borderId="0" xfId="0" applyAlignment="1">
      <alignment horizontal="center" vertical="center"/>
    </xf>
    <xf numFmtId="9" fontId="0" fillId="0" borderId="0" xfId="0" applyNumberFormat="1" applyAlignment="1">
      <alignment horizontal="center" vertical="center"/>
    </xf>
    <xf numFmtId="0" fontId="0" fillId="0" borderId="0" xfId="0" applyAlignment="1">
      <alignment wrapText="1"/>
    </xf>
    <xf numFmtId="164" fontId="0" fillId="6" borderId="0" xfId="0" applyNumberFormat="1" applyFill="1" applyAlignment="1">
      <alignment wrapText="1"/>
    </xf>
    <xf numFmtId="164" fontId="8" fillId="6" borderId="0" xfId="0" applyNumberFormat="1" applyFont="1" applyFill="1" applyAlignment="1">
      <alignment wrapText="1"/>
    </xf>
    <xf numFmtId="0" fontId="0" fillId="0" borderId="0" xfId="0" applyAlignment="1">
      <alignment horizontal="center" wrapText="1"/>
    </xf>
    <xf numFmtId="164" fontId="0" fillId="0" borderId="7" xfId="0" applyNumberFormat="1" applyBorder="1" applyAlignment="1">
      <alignment wrapText="1"/>
    </xf>
    <xf numFmtId="9" fontId="0" fillId="0" borderId="0" xfId="0" applyNumberFormat="1" applyAlignment="1">
      <alignment wrapText="1"/>
    </xf>
    <xf numFmtId="0" fontId="0" fillId="0" borderId="7" xfId="0" applyBorder="1" applyAlignment="1">
      <alignment horizontal="left" vertical="center" wrapText="1"/>
    </xf>
    <xf numFmtId="9" fontId="0" fillId="0" borderId="0" xfId="0" applyNumberFormat="1" applyAlignment="1">
      <alignment horizontal="left" vertical="center" wrapText="1"/>
    </xf>
    <xf numFmtId="0" fontId="0" fillId="0" borderId="11" xfId="0" applyBorder="1" applyAlignment="1">
      <alignment horizontal="center" vertical="center" wrapText="1"/>
    </xf>
    <xf numFmtId="0" fontId="0" fillId="0" borderId="11" xfId="0" applyBorder="1" applyAlignment="1">
      <alignment horizontal="left" vertical="center" wrapText="1"/>
    </xf>
    <xf numFmtId="0" fontId="6" fillId="0" borderId="0" xfId="0" applyFont="1" applyAlignment="1">
      <alignment wrapText="1"/>
    </xf>
    <xf numFmtId="0" fontId="0" fillId="6" borderId="0" xfId="0" applyFill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9" fontId="0" fillId="6" borderId="0" xfId="0" applyNumberFormat="1" applyFill="1" applyAlignment="1">
      <alignment horizontal="center" vertical="center"/>
    </xf>
    <xf numFmtId="9" fontId="0" fillId="6" borderId="0" xfId="0" applyNumberFormat="1" applyFill="1" applyAlignment="1">
      <alignment horizontal="left" vertical="center"/>
    </xf>
    <xf numFmtId="9" fontId="0" fillId="6" borderId="0" xfId="0" applyNumberFormat="1" applyFill="1"/>
    <xf numFmtId="0" fontId="9" fillId="6" borderId="0" xfId="0" applyFont="1" applyFill="1" applyAlignment="1">
      <alignment wrapText="1"/>
    </xf>
    <xf numFmtId="0" fontId="0" fillId="0" borderId="7" xfId="0" applyBorder="1"/>
    <xf numFmtId="0" fontId="0" fillId="0" borderId="0" xfId="0" quotePrefix="1" applyAlignment="1">
      <alignment wrapText="1"/>
    </xf>
    <xf numFmtId="0" fontId="7" fillId="11" borderId="7" xfId="0" applyFont="1" applyFill="1" applyBorder="1" applyAlignment="1">
      <alignment horizontal="center" vertical="center" wrapText="1"/>
    </xf>
    <xf numFmtId="0" fontId="0" fillId="5" borderId="6" xfId="0" applyFill="1" applyBorder="1" applyAlignment="1">
      <alignment horizontal="center" vertical="center"/>
    </xf>
    <xf numFmtId="0" fontId="0" fillId="0" borderId="14" xfId="0" applyBorder="1" applyAlignment="1">
      <alignment horizontal="center" vertical="center" wrapText="1"/>
    </xf>
    <xf numFmtId="166" fontId="0" fillId="0" borderId="14" xfId="0" applyNumberFormat="1" applyBorder="1" applyAlignment="1">
      <alignment horizontal="center" vertical="center" wrapText="1"/>
    </xf>
    <xf numFmtId="0" fontId="0" fillId="14" borderId="0" xfId="0" applyFill="1"/>
    <xf numFmtId="0" fontId="0" fillId="7" borderId="0" xfId="0" applyFill="1" applyAlignment="1">
      <alignment horizontal="center" vertical="center"/>
    </xf>
    <xf numFmtId="0" fontId="4" fillId="5" borderId="0" xfId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2" fontId="0" fillId="5" borderId="5" xfId="0" applyNumberFormat="1" applyFill="1" applyBorder="1" applyAlignment="1">
      <alignment horizontal="center" vertical="center"/>
    </xf>
    <xf numFmtId="0" fontId="1" fillId="15" borderId="7" xfId="0" applyFont="1" applyFill="1" applyBorder="1" applyAlignment="1">
      <alignment horizontal="center" vertical="center"/>
    </xf>
    <xf numFmtId="10" fontId="0" fillId="5" borderId="5" xfId="0" applyNumberFormat="1" applyFill="1" applyBorder="1" applyAlignment="1">
      <alignment horizontal="center" vertical="center"/>
    </xf>
    <xf numFmtId="168" fontId="0" fillId="5" borderId="5" xfId="0" applyNumberFormat="1" applyFill="1" applyBorder="1" applyAlignment="1">
      <alignment horizontal="center" vertical="center"/>
    </xf>
    <xf numFmtId="164" fontId="0" fillId="5" borderId="5" xfId="0" applyNumberFormat="1" applyFill="1" applyBorder="1" applyAlignment="1">
      <alignment horizontal="center" vertical="center"/>
    </xf>
    <xf numFmtId="164" fontId="0" fillId="6" borderId="0" xfId="0" applyNumberFormat="1" applyFill="1" applyAlignment="1">
      <alignment horizontal="right"/>
    </xf>
    <xf numFmtId="0" fontId="0" fillId="6" borderId="0" xfId="0" applyFill="1" applyAlignment="1">
      <alignment horizontal="left"/>
    </xf>
    <xf numFmtId="0" fontId="7" fillId="0" borderId="0" xfId="0" applyFont="1"/>
    <xf numFmtId="0" fontId="7" fillId="0" borderId="0" xfId="0" applyFont="1" applyAlignment="1">
      <alignment horizontal="left"/>
    </xf>
    <xf numFmtId="0" fontId="7" fillId="0" borderId="0" xfId="0" applyFont="1" applyAlignment="1">
      <alignment horizontal="left" wrapText="1"/>
    </xf>
    <xf numFmtId="3" fontId="7" fillId="0" borderId="0" xfId="0" applyNumberFormat="1" applyFont="1" applyAlignment="1">
      <alignment horizontal="right"/>
    </xf>
    <xf numFmtId="164" fontId="7" fillId="0" borderId="0" xfId="0" applyNumberFormat="1" applyFont="1" applyAlignment="1">
      <alignment horizontal="right"/>
    </xf>
    <xf numFmtId="164" fontId="7" fillId="0" borderId="0" xfId="0" applyNumberFormat="1" applyFont="1"/>
    <xf numFmtId="3" fontId="7" fillId="0" borderId="0" xfId="0" applyNumberFormat="1" applyFont="1"/>
    <xf numFmtId="4" fontId="0" fillId="6" borderId="0" xfId="0" applyNumberFormat="1" applyFill="1"/>
    <xf numFmtId="4" fontId="0" fillId="0" borderId="0" xfId="0" applyNumberFormat="1"/>
    <xf numFmtId="0" fontId="0" fillId="5" borderId="0" xfId="0" applyFill="1" applyAlignment="1">
      <alignment horizontal="left" vertical="center" wrapText="1"/>
    </xf>
    <xf numFmtId="2" fontId="0" fillId="5" borderId="0" xfId="0" applyNumberFormat="1" applyFill="1" applyAlignment="1">
      <alignment horizontal="left" vertical="center"/>
    </xf>
    <xf numFmtId="4" fontId="0" fillId="10" borderId="0" xfId="0" applyNumberFormat="1" applyFill="1" applyAlignment="1">
      <alignment horizontal="left" vertical="center"/>
    </xf>
    <xf numFmtId="164" fontId="3" fillId="5" borderId="5" xfId="1" applyNumberFormat="1" applyFill="1" applyBorder="1" applyAlignment="1">
      <alignment horizontal="center" vertical="center"/>
    </xf>
    <xf numFmtId="0" fontId="3" fillId="5" borderId="5" xfId="0" applyFont="1" applyFill="1" applyBorder="1" applyAlignment="1">
      <alignment horizontal="left" vertical="center"/>
    </xf>
    <xf numFmtId="0" fontId="5" fillId="16" borderId="0" xfId="0" applyFont="1" applyFill="1" applyAlignment="1">
      <alignment horizontal="left" vertical="center"/>
    </xf>
    <xf numFmtId="164" fontId="0" fillId="6" borderId="0" xfId="0" applyNumberFormat="1" applyFill="1" applyAlignment="1">
      <alignment horizontal="left"/>
    </xf>
    <xf numFmtId="164" fontId="0" fillId="6" borderId="0" xfId="0" applyNumberFormat="1" applyFill="1" applyAlignment="1">
      <alignment horizontal="left" wrapText="1"/>
    </xf>
    <xf numFmtId="4" fontId="7" fillId="0" borderId="0" xfId="0" applyNumberFormat="1" applyFont="1"/>
    <xf numFmtId="0" fontId="5" fillId="16" borderId="0" xfId="0" applyFont="1" applyFill="1" applyAlignment="1">
      <alignment horizontal="center" vertical="center" wrapText="1"/>
    </xf>
    <xf numFmtId="2" fontId="0" fillId="0" borderId="7" xfId="0" applyNumberFormat="1" applyBorder="1" applyAlignment="1">
      <alignment horizontal="center" vertical="center" wrapText="1"/>
    </xf>
    <xf numFmtId="0" fontId="1" fillId="18" borderId="0" xfId="0" applyFont="1" applyFill="1"/>
    <xf numFmtId="0" fontId="1" fillId="15" borderId="0" xfId="0" applyFont="1" applyFill="1"/>
    <xf numFmtId="0" fontId="1" fillId="19" borderId="7" xfId="0" applyFont="1" applyFill="1" applyBorder="1" applyAlignment="1">
      <alignment horizontal="center" vertical="center"/>
    </xf>
    <xf numFmtId="14" fontId="1" fillId="21" borderId="0" xfId="0" applyNumberFormat="1" applyFont="1" applyFill="1" applyAlignment="1">
      <alignment horizontal="center" vertical="center" wrapText="1"/>
    </xf>
    <xf numFmtId="0" fontId="0" fillId="0" borderId="15" xfId="0" applyBorder="1" applyAlignment="1">
      <alignment horizontal="center" vertical="center" wrapText="1"/>
    </xf>
    <xf numFmtId="167" fontId="0" fillId="0" borderId="7" xfId="0" applyNumberFormat="1" applyBorder="1" applyAlignment="1">
      <alignment horizontal="center" vertical="center" wrapText="1"/>
    </xf>
    <xf numFmtId="4" fontId="0" fillId="0" borderId="7" xfId="0" applyNumberFormat="1" applyBorder="1" applyAlignment="1">
      <alignment horizontal="center" vertical="center" wrapText="1"/>
    </xf>
    <xf numFmtId="0" fontId="0" fillId="7" borderId="0" xfId="0" applyFill="1" applyAlignment="1">
      <alignment horizontal="left" vertical="center" wrapText="1"/>
    </xf>
    <xf numFmtId="0" fontId="0" fillId="6" borderId="11" xfId="0" applyFill="1" applyBorder="1" applyAlignment="1">
      <alignment horizontal="left" vertical="center" wrapText="1"/>
    </xf>
    <xf numFmtId="9" fontId="0" fillId="6" borderId="0" xfId="0" applyNumberFormat="1" applyFill="1" applyAlignment="1">
      <alignment horizontal="left" vertical="center" wrapText="1"/>
    </xf>
    <xf numFmtId="10" fontId="0" fillId="5" borderId="5" xfId="0" applyNumberFormat="1" applyFill="1" applyBorder="1" applyAlignment="1">
      <alignment horizontal="right" vertical="center" indent="1"/>
    </xf>
    <xf numFmtId="164" fontId="0" fillId="6" borderId="11" xfId="0" applyNumberFormat="1" applyFill="1" applyBorder="1" applyAlignment="1">
      <alignment horizontal="left" vertical="center" wrapText="1"/>
    </xf>
    <xf numFmtId="169" fontId="0" fillId="5" borderId="5" xfId="0" applyNumberFormat="1" applyFill="1" applyBorder="1" applyAlignment="1">
      <alignment horizontal="right" vertical="center"/>
    </xf>
    <xf numFmtId="2" fontId="0" fillId="0" borderId="0" xfId="0" applyNumberFormat="1" applyAlignment="1">
      <alignment horizontal="center" vertical="center" wrapText="1"/>
    </xf>
    <xf numFmtId="0" fontId="0" fillId="5" borderId="5" xfId="0" quotePrefix="1" applyFill="1" applyBorder="1" applyAlignment="1">
      <alignment horizontal="left" vertical="center" wrapText="1"/>
    </xf>
    <xf numFmtId="0" fontId="6" fillId="0" borderId="7" xfId="0" applyFont="1" applyBorder="1" applyAlignment="1">
      <alignment horizontal="left" vertical="center" wrapText="1"/>
    </xf>
    <xf numFmtId="0" fontId="6" fillId="0" borderId="11" xfId="0" applyFont="1" applyBorder="1" applyAlignment="1">
      <alignment horizontal="left" vertical="center" wrapText="1"/>
    </xf>
    <xf numFmtId="0" fontId="6" fillId="6" borderId="0" xfId="0" applyFont="1" applyFill="1" applyAlignment="1">
      <alignment wrapText="1"/>
    </xf>
    <xf numFmtId="164" fontId="7" fillId="20" borderId="0" xfId="0" applyNumberFormat="1" applyFont="1" applyFill="1" applyAlignment="1">
      <alignment horizontal="center" vertical="center" wrapText="1"/>
    </xf>
    <xf numFmtId="0" fontId="0" fillId="17" borderId="16" xfId="0" applyFill="1" applyBorder="1"/>
    <xf numFmtId="0" fontId="0" fillId="23" borderId="16" xfId="0" applyFill="1" applyBorder="1" applyAlignment="1">
      <alignment horizontal="center"/>
    </xf>
    <xf numFmtId="164" fontId="0" fillId="17" borderId="16" xfId="0" applyNumberFormat="1" applyFill="1" applyBorder="1" applyAlignment="1">
      <alignment horizontal="right"/>
    </xf>
    <xf numFmtId="0" fontId="0" fillId="0" borderId="0" xfId="0" applyAlignment="1">
      <alignment horizontal="left" indent="1"/>
    </xf>
    <xf numFmtId="0" fontId="0" fillId="0" borderId="0" xfId="0" applyAlignment="1">
      <alignment horizontal="left" indent="2"/>
    </xf>
    <xf numFmtId="0" fontId="0" fillId="29" borderId="0" xfId="0" applyFill="1" applyAlignment="1">
      <alignment wrapText="1"/>
    </xf>
    <xf numFmtId="0" fontId="7" fillId="22" borderId="16" xfId="0" applyFont="1" applyFill="1" applyBorder="1" applyAlignment="1">
      <alignment horizontal="center" vertical="center"/>
    </xf>
    <xf numFmtId="0" fontId="13" fillId="24" borderId="0" xfId="0" applyFont="1" applyFill="1"/>
    <xf numFmtId="0" fontId="7" fillId="25" borderId="0" xfId="0" applyFont="1" applyFill="1"/>
    <xf numFmtId="0" fontId="5" fillId="26" borderId="0" xfId="0" applyFont="1" applyFill="1"/>
    <xf numFmtId="0" fontId="5" fillId="27" borderId="0" xfId="0" applyFont="1" applyFill="1"/>
    <xf numFmtId="0" fontId="5" fillId="28" borderId="0" xfId="0" applyFont="1" applyFill="1"/>
    <xf numFmtId="4" fontId="7" fillId="25" borderId="0" xfId="0" applyNumberFormat="1" applyFont="1" applyFill="1"/>
    <xf numFmtId="0" fontId="0" fillId="8" borderId="0" xfId="0" applyFill="1" applyAlignment="1">
      <alignment horizontal="center" wrapText="1"/>
    </xf>
    <xf numFmtId="165" fontId="0" fillId="12" borderId="0" xfId="0" applyNumberFormat="1" applyFill="1" applyAlignment="1">
      <alignment horizontal="center" vertical="center" wrapText="1"/>
    </xf>
    <xf numFmtId="0" fontId="0" fillId="8" borderId="0" xfId="0" applyFill="1" applyAlignment="1">
      <alignment horizontal="center"/>
    </xf>
    <xf numFmtId="0" fontId="0" fillId="2" borderId="0" xfId="0" applyFill="1" applyAlignment="1">
      <alignment horizontal="center" vertical="center"/>
    </xf>
    <xf numFmtId="0" fontId="0" fillId="2" borderId="0" xfId="0" applyFill="1" applyAlignment="1">
      <alignment horizontal="center"/>
    </xf>
    <xf numFmtId="0" fontId="7" fillId="8" borderId="0" xfId="0" applyFont="1" applyFill="1" applyAlignment="1">
      <alignment horizontal="center" vertical="center"/>
    </xf>
    <xf numFmtId="0" fontId="0" fillId="13" borderId="7" xfId="0" applyFill="1" applyBorder="1" applyAlignment="1">
      <alignment horizontal="center" vertical="center"/>
    </xf>
    <xf numFmtId="0" fontId="10" fillId="8" borderId="7" xfId="0" applyFont="1" applyFill="1" applyBorder="1" applyAlignment="1">
      <alignment horizontal="center"/>
    </xf>
    <xf numFmtId="0" fontId="7" fillId="13" borderId="13" xfId="0" applyFont="1" applyFill="1" applyBorder="1" applyAlignment="1">
      <alignment horizontal="center"/>
    </xf>
    <xf numFmtId="0" fontId="7" fillId="13" borderId="10" xfId="0" applyFont="1" applyFill="1" applyBorder="1" applyAlignment="1">
      <alignment horizontal="center"/>
    </xf>
    <xf numFmtId="0" fontId="7" fillId="13" borderId="12" xfId="0" applyFont="1" applyFill="1" applyBorder="1" applyAlignment="1">
      <alignment horizontal="center"/>
    </xf>
    <xf numFmtId="0" fontId="0" fillId="8" borderId="0" xfId="0" applyFill="1" applyAlignment="1">
      <alignment horizontal="center" vertical="center"/>
    </xf>
    <xf numFmtId="0" fontId="0" fillId="17" borderId="0" xfId="0" applyFill="1" applyBorder="1"/>
    <xf numFmtId="164" fontId="0" fillId="17" borderId="0" xfId="0" applyNumberFormat="1" applyFill="1" applyBorder="1"/>
    <xf numFmtId="0" fontId="14" fillId="0" borderId="0" xfId="0" applyFont="1" applyFill="1"/>
    <xf numFmtId="0" fontId="13" fillId="24" borderId="0" xfId="0" applyFont="1" applyFill="1" applyBorder="1"/>
    <xf numFmtId="0" fontId="7" fillId="25" borderId="0" xfId="0" applyFont="1" applyFill="1" applyBorder="1"/>
    <xf numFmtId="0" fontId="5" fillId="26" borderId="0" xfId="0" applyFont="1" applyFill="1" applyBorder="1"/>
    <xf numFmtId="4" fontId="0" fillId="17" borderId="0" xfId="0" applyNumberFormat="1" applyFill="1" applyBorder="1"/>
    <xf numFmtId="4" fontId="7" fillId="25" borderId="0" xfId="0" applyNumberFormat="1" applyFont="1" applyFill="1" applyBorder="1"/>
    <xf numFmtId="0" fontId="0" fillId="8" borderId="0" xfId="0" applyFill="1" applyAlignment="1">
      <alignment horizontal="center" vertical="center" wrapText="1"/>
    </xf>
    <xf numFmtId="0" fontId="10" fillId="8" borderId="0" xfId="0" applyFont="1" applyFill="1" applyAlignment="1">
      <alignment horizontal="center" vertical="center" wrapText="1"/>
    </xf>
    <xf numFmtId="0" fontId="11" fillId="8" borderId="0" xfId="0" applyFont="1" applyFill="1" applyAlignment="1">
      <alignment horizontal="center" vertical="center" wrapText="1"/>
    </xf>
    <xf numFmtId="0" fontId="0" fillId="5" borderId="5" xfId="0" applyNumberFormat="1" applyFill="1" applyBorder="1" applyAlignment="1">
      <alignment horizontal="left" vertical="center" wrapText="1"/>
    </xf>
    <xf numFmtId="0" fontId="0" fillId="5" borderId="5" xfId="0" applyNumberFormat="1" applyFill="1" applyBorder="1" applyAlignment="1">
      <alignment horizontal="left" vertical="center"/>
    </xf>
    <xf numFmtId="4" fontId="0" fillId="10" borderId="0" xfId="0" applyNumberFormat="1" applyFill="1" applyBorder="1" applyAlignment="1">
      <alignment horizontal="left" vertical="center"/>
    </xf>
    <xf numFmtId="0" fontId="0" fillId="5" borderId="4" xfId="0" applyFill="1" applyBorder="1" applyAlignment="1">
      <alignment horizontal="center" vertical="center" wrapText="1"/>
    </xf>
    <xf numFmtId="170" fontId="0" fillId="5" borderId="2" xfId="0" applyNumberFormat="1" applyFill="1" applyBorder="1" applyAlignment="1">
      <alignment horizontal="center" vertical="center" wrapText="1"/>
    </xf>
    <xf numFmtId="169" fontId="0" fillId="5" borderId="5" xfId="0" applyNumberFormat="1" applyFill="1" applyBorder="1" applyAlignment="1">
      <alignment horizontal="center" vertical="center"/>
    </xf>
    <xf numFmtId="166" fontId="0" fillId="5" borderId="5" xfId="0" applyNumberFormat="1" applyFill="1" applyBorder="1" applyAlignment="1">
      <alignment horizontal="center" vertical="center"/>
    </xf>
    <xf numFmtId="0" fontId="0" fillId="5" borderId="0" xfId="0" applyFill="1" applyAlignment="1">
      <alignment horizontal="center" vertical="center"/>
    </xf>
    <xf numFmtId="4" fontId="0" fillId="5" borderId="0" xfId="0" applyNumberFormat="1" applyFill="1" applyAlignment="1">
      <alignment horizontal="center" vertical="center"/>
    </xf>
    <xf numFmtId="170" fontId="0" fillId="5" borderId="5" xfId="0" applyNumberFormat="1" applyFill="1" applyBorder="1" applyAlignment="1">
      <alignment horizontal="center" vertical="center"/>
    </xf>
    <xf numFmtId="4" fontId="3" fillId="5" borderId="5" xfId="1" applyNumberFormat="1" applyFill="1" applyBorder="1" applyAlignment="1">
      <alignment horizontal="center" vertical="center"/>
    </xf>
    <xf numFmtId="0" fontId="3" fillId="5" borderId="5" xfId="1" applyNumberFormat="1" applyFill="1" applyBorder="1" applyAlignment="1">
      <alignment horizontal="center" vertical="center"/>
    </xf>
    <xf numFmtId="0" fontId="0" fillId="5" borderId="5" xfId="1" applyNumberFormat="1" applyFont="1" applyFill="1" applyBorder="1" applyAlignment="1">
      <alignment horizontal="center" vertical="center"/>
    </xf>
    <xf numFmtId="4" fontId="3" fillId="5" borderId="0" xfId="1" applyNumberFormat="1" applyFill="1" applyBorder="1" applyAlignment="1">
      <alignment horizontal="center" vertical="center"/>
    </xf>
    <xf numFmtId="0" fontId="0" fillId="5" borderId="17" xfId="0" applyFill="1" applyBorder="1" applyAlignment="1">
      <alignment horizontal="left" vertical="center" wrapText="1"/>
    </xf>
    <xf numFmtId="0" fontId="5" fillId="30" borderId="0" xfId="0" applyFont="1" applyFill="1"/>
    <xf numFmtId="0" fontId="0" fillId="7" borderId="2" xfId="0" applyFill="1" applyBorder="1" applyAlignment="1">
      <alignment horizontal="left" vertical="center" wrapText="1"/>
    </xf>
    <xf numFmtId="0" fontId="0" fillId="29" borderId="7" xfId="0" applyFill="1" applyBorder="1" applyAlignment="1">
      <alignment wrapText="1"/>
    </xf>
    <xf numFmtId="0" fontId="0" fillId="29" borderId="7" xfId="0" applyFill="1" applyBorder="1"/>
    <xf numFmtId="0" fontId="6" fillId="17" borderId="0" xfId="0" applyFont="1" applyFill="1" applyBorder="1"/>
    <xf numFmtId="0" fontId="6" fillId="5" borderId="5" xfId="0" quotePrefix="1" applyFont="1" applyFill="1" applyBorder="1" applyAlignment="1">
      <alignment horizontal="left" vertical="center" wrapText="1"/>
    </xf>
    <xf numFmtId="0" fontId="6" fillId="0" borderId="0" xfId="0" applyFont="1" applyAlignment="1">
      <alignment horizontal="left" vertical="center" wrapText="1"/>
    </xf>
    <xf numFmtId="168" fontId="6" fillId="5" borderId="5" xfId="0" applyNumberFormat="1" applyFont="1" applyFill="1" applyBorder="1" applyAlignment="1">
      <alignment horizontal="center" vertical="center"/>
    </xf>
    <xf numFmtId="0" fontId="6" fillId="0" borderId="0" xfId="0" applyFont="1"/>
    <xf numFmtId="0" fontId="6" fillId="5" borderId="5" xfId="0" applyFont="1" applyFill="1" applyBorder="1" applyAlignment="1">
      <alignment horizontal="left" vertical="center"/>
    </xf>
  </cellXfs>
  <cellStyles count="2">
    <cellStyle name="Hipervínculo" xfId="1" builtinId="8"/>
    <cellStyle name="Normal" xfId="0" builtinId="0"/>
  </cellStyles>
  <dxfs count="125">
    <dxf>
      <font>
        <b/>
        <i val="0"/>
        <color theme="0"/>
      </font>
      <fill>
        <patternFill>
          <bgColor theme="6" tint="-0.24994659260841701"/>
        </patternFill>
      </fill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</dxf>
    <dxf>
      <numFmt numFmtId="4" formatCode="#,##0.00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numFmt numFmtId="4" formatCode="#,##0.00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numFmt numFmtId="4" formatCode="#,##0.00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numFmt numFmtId="4" formatCode="#,##0.00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numFmt numFmtId="4" formatCode="#,##0.00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numFmt numFmtId="166" formatCode="#,##0.000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numFmt numFmtId="169" formatCode="#,##0.0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numFmt numFmtId="170" formatCode="0.0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4" tint="0.39997558519241921"/>
        </left>
        <right/>
        <top style="thin">
          <color theme="4" tint="0.39997558519241921"/>
        </top>
        <bottom/>
      </border>
    </dxf>
    <dxf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&quot;$&quot;#,##0.00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2" formatCode="0.00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68" formatCode="&quot;$&quot;#,##0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4" formatCode="0.00%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4" formatCode="#,##0.00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</border>
    </dxf>
    <dxf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</dxf>
    <dxf>
      <border outline="0">
        <top style="thin">
          <color rgb="FF43AEE2"/>
        </top>
      </border>
    </dxf>
    <dxf>
      <border outline="0">
        <bottom style="thin">
          <color rgb="FF43AEE2"/>
        </bottom>
      </border>
    </dxf>
    <dxf>
      <border outline="0">
        <left style="thin">
          <color rgb="FF43AEE2"/>
        </left>
        <top style="thin">
          <color rgb="FF43AEE2"/>
        </top>
        <bottom style="thin">
          <color rgb="FF43AEE2"/>
        </bottom>
      </border>
    </dxf>
    <dxf>
      <fill>
        <patternFill patternType="solid">
          <fgColor rgb="FFC0E4F5"/>
          <bgColor rgb="FFC0E4F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/>
        <vertAlign val="baseline"/>
        <sz val="11"/>
        <color theme="10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numFmt numFmtId="4" formatCode="#,##0.00"/>
      <fill>
        <patternFill patternType="solid">
          <fgColor theme="4" tint="0.79998168889431442"/>
          <bgColor theme="4" tint="0.79998168889431442"/>
        </patternFill>
      </fill>
      <alignment horizontal="right" vertical="center" textRotation="0" wrapText="0" indent="1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4" formatCode="#,##0.00"/>
      <fill>
        <patternFill patternType="solid">
          <fgColor theme="4" tint="0.79998168889431442"/>
          <bgColor theme="4" tint="0.79998168889431442"/>
        </patternFill>
      </fill>
      <alignment horizontal="right" vertical="center" textRotation="0" wrapText="0" indent="1" justifyLastLine="0" shrinkToFit="0" readingOrder="0"/>
      <border diagonalUp="0" diagonalDown="0">
        <left/>
        <right/>
        <top style="thin">
          <color theme="4" tint="0.39997558519241921"/>
        </top>
        <bottom/>
      </border>
    </dxf>
    <dxf>
      <numFmt numFmtId="4" formatCode="#,##0.00"/>
      <fill>
        <patternFill patternType="solid">
          <fgColor theme="4" tint="0.79998168889431442"/>
          <bgColor theme="4" tint="0.79998168889431442"/>
        </patternFill>
      </fill>
      <alignment horizontal="right" vertical="center" textRotation="0" wrapText="0" indent="1" justifyLastLine="0" shrinkToFit="0" readingOrder="0"/>
      <border diagonalUp="0" diagonalDown="0">
        <left/>
        <right/>
        <top style="thin">
          <color theme="4" tint="0.39997558519241921"/>
        </top>
        <bottom/>
      </border>
    </dxf>
    <dxf>
      <numFmt numFmtId="4" formatCode="#,##0.00"/>
      <fill>
        <patternFill patternType="solid">
          <fgColor theme="4" tint="0.79998168889431442"/>
          <bgColor theme="4" tint="0.79998168889431442"/>
        </patternFill>
      </fill>
      <alignment horizontal="right" vertical="center" textRotation="0" wrapText="0" indent="1" justifyLastLine="0" shrinkToFit="0" readingOrder="0"/>
      <border diagonalUp="0" diagonalDown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4" formatCode="#,##0.00"/>
      <fill>
        <patternFill patternType="solid">
          <fgColor theme="4" tint="0.79998168889431442"/>
          <bgColor theme="4" tint="0.79998168889431442"/>
        </patternFill>
      </fill>
      <alignment horizontal="right" vertical="center" textRotation="0" wrapText="0" indent="1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  <fill>
        <patternFill patternType="solid">
          <fgColor theme="4" tint="0.79998168889431442"/>
          <bgColor theme="4" tint="0.79998168889431442"/>
        </patternFill>
      </fill>
      <alignment horizontal="right" vertical="center" textRotation="0" wrapText="0" indent="1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4" formatCode="#,##0.00"/>
      <fill>
        <patternFill patternType="solid">
          <fgColor theme="4" tint="0.79998168889431442"/>
          <bgColor theme="4" tint="0.79998168889431442"/>
        </patternFill>
      </fill>
      <alignment horizontal="right" vertical="center" textRotation="0" wrapText="0" indent="1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4" formatCode="#,##0.00"/>
      <fill>
        <patternFill patternType="solid">
          <fgColor theme="4" tint="0.79998168889431442"/>
          <bgColor theme="4" tint="0.79998168889431442"/>
        </patternFill>
      </fill>
      <alignment horizontal="right" vertical="center" textRotation="0" wrapText="0" indent="1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1"/>
        <color theme="10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  <alignment horizontal="general" vertical="bottom" textRotation="0" wrapText="1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auto="1"/>
        </patternFill>
      </fill>
    </dxf>
    <dxf>
      <numFmt numFmtId="4" formatCode="#,##0.00"/>
      <fill>
        <patternFill patternType="solid">
          <fgColor rgb="FFC0E4F5"/>
          <bgColor rgb="FFC0E4F5"/>
        </patternFill>
      </fill>
      <alignment horizontal="left" vertical="center" textRotation="0" wrapText="0" indent="0" justifyLastLine="0" shrinkToFit="0" readingOrder="0"/>
    </dxf>
    <dxf>
      <numFmt numFmtId="2" formatCode="0.00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4" formatCode="#,##0.00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2" formatCode="0.00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2" formatCode="0.00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2" formatCode="0.00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border outline="0">
        <top style="thin">
          <color rgb="FF43AEE2"/>
        </top>
      </border>
    </dxf>
    <dxf>
      <border outline="0">
        <left style="thin">
          <color rgb="FF43AEE2"/>
        </left>
        <top style="thin">
          <color rgb="FF43AEE2"/>
        </top>
        <bottom style="thin">
          <color rgb="FF43AEE2"/>
        </bottom>
      </border>
    </dxf>
    <dxf>
      <fill>
        <patternFill patternType="solid">
          <fgColor rgb="FFC0E4F5"/>
          <bgColor rgb="FFC0E4F5"/>
        </patternFill>
      </fill>
      <alignment horizontal="left" vertical="center" textRotation="0" wrapText="0" indent="0" justifyLastLine="0" shrinkToFit="0" readingOrder="0"/>
    </dxf>
    <dxf>
      <border outline="0">
        <bottom style="thin">
          <color rgb="FF43AEE2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left" vertical="center" textRotation="0" wrapText="1" indent="0" justifyLastLine="0" shrinkToFit="0" readingOrder="0"/>
    </dxf>
    <dxf>
      <alignment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left" vertical="center" textRotation="0" wrapText="1" indent="0" justifyLastLine="0" shrinkToFit="0" readingOrder="0"/>
    </dxf>
    <dxf>
      <alignment textRotation="0" wrapText="1" indent="0" justifyLastLine="0" shrinkToFit="0" readingOrder="0"/>
    </dxf>
    <dxf>
      <numFmt numFmtId="165" formatCode="[$-F800]dddd\,\ mmmm\ dd\,\ yyyy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5" formatCode="[$-F800]dddd\,\ mmmm\ dd\,\ yyyy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5" formatCode="[$-F800]dddd\,\ mmmm\ dd\,\ yyyy"/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numFmt numFmtId="13" formatCode="0%"/>
      <alignment horizontal="left" vertical="center" textRotation="0" wrapText="1" indent="0" justifyLastLine="0" shrinkToFit="0" readingOrder="0"/>
      <border outline="0">
        <left style="thin">
          <color indexed="64"/>
        </left>
      </border>
    </dxf>
    <dxf>
      <font>
        <strike val="0"/>
        <outline val="0"/>
        <shadow val="0"/>
        <u/>
        <vertAlign val="baseline"/>
        <sz val="11"/>
        <color theme="1"/>
        <name val="Aptos Narrow"/>
        <family val="2"/>
        <scheme val="minor"/>
      </font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left" vertical="center" textRotation="0" wrapText="1" indent="0" justifyLastLine="0" shrinkToFit="0" readingOrder="0"/>
    </dxf>
    <dxf>
      <alignment textRotation="0" wrapText="1" indent="0" justifyLastLine="0" shrinkToFit="0" readingOrder="0"/>
    </dxf>
    <dxf>
      <alignment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numFmt numFmtId="13" formatCode="0%"/>
      <alignment textRotation="0" wrapText="1" indent="0" justifyLastLine="0" shrinkToFit="0" readingOrder="0"/>
    </dxf>
    <dxf>
      <alignment textRotation="0" wrapText="1" indent="0" justifyLastLine="0" shrinkToFit="0" readingOrder="0"/>
    </dxf>
    <dxf>
      <alignment textRotation="0" wrapText="1" indent="0" justifyLastLine="0" shrinkToFit="0" readingOrder="0"/>
    </dxf>
    <dxf>
      <alignment textRotation="0" wrapText="1" indent="0" justifyLastLine="0" shrinkToFit="0" readingOrder="0"/>
    </dxf>
    <dxf>
      <alignment textRotation="0" wrapText="1" indent="0" justifyLastLine="0" shrinkToFit="0" readingOrder="0"/>
    </dxf>
    <dxf>
      <alignment textRotation="0" wrapText="1" indent="0" justifyLastLine="0" shrinkToFit="0" readingOrder="0"/>
    </dxf>
    <dxf>
      <alignment textRotation="0" wrapText="1" indent="0" justifyLastLine="0" shrinkToFit="0" readingOrder="0"/>
    </dxf>
    <dxf>
      <alignment textRotation="0" wrapText="1" indent="0" justifyLastLine="0" shrinkToFit="0" readingOrder="0"/>
    </dxf>
    <dxf>
      <alignment textRotation="0" wrapText="1" indent="0" justifyLastLine="0" shrinkToFit="0" readingOrder="0"/>
    </dxf>
    <dxf>
      <alignment textRotation="0" wrapText="1" indent="0" justifyLastLine="0" shrinkToFit="0" readingOrder="0"/>
    </dxf>
    <dxf>
      <numFmt numFmtId="166" formatCode="#,##0.000"/>
      <alignment horizontal="center" vertical="center" textRotation="0" wrapText="1" indent="0" justifyLastLine="0" shrinkToFit="0" readingOrder="0"/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alignment textRotation="0" wrapText="1" indent="0" justifyLastLine="0" shrinkToFit="0" readingOrder="0"/>
    </dxf>
    <dxf>
      <alignment horizontal="center" vertical="center" textRotation="0" wrapText="1" indent="0" justifyLastLine="0" shrinkToFit="0" readingOrder="0"/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numFmt numFmtId="2" formatCode="0.00"/>
      <alignment horizontal="center" vertical="center" textRotation="0" wrapText="1" indent="0" justifyLastLine="0" shrinkToFit="0" readingOrder="0"/>
    </dxf>
    <dxf>
      <numFmt numFmtId="13" formatCode="0%"/>
      <alignment horizontal="center" vertical="center" textRotation="0" wrapText="1" indent="0" justifyLastLine="0" shrinkToFit="0" readingOrder="0"/>
    </dxf>
    <dxf>
      <alignment textRotation="0" wrapText="1" indent="0" justifyLastLine="0" shrinkToFit="0" readingOrder="0"/>
    </dxf>
    <dxf>
      <alignment horizontal="center" vertical="center" textRotation="0" wrapText="1" indent="0" justifyLastLine="0" shrinkToFit="0" readingOrder="0"/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17/06/relationships/rdRichValueTypes" Target="richData/rdRichValueTypes.xml"/><Relationship Id="rId20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17/06/relationships/rdRichValueStructure" Target="richData/rdrichvaluestructure.xml"/><Relationship Id="rId10" Type="http://schemas.openxmlformats.org/officeDocument/2006/relationships/theme" Target="theme/theme1.xml"/><Relationship Id="rId19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06/relationships/rdRichValue" Target="richData/rdrichvalue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4849</xdr:colOff>
          <xdr:row>2</xdr:row>
          <xdr:rowOff>53340</xdr:rowOff>
        </xdr:from>
        <xdr:to>
          <xdr:col>13</xdr:col>
          <xdr:colOff>2161309</xdr:colOff>
          <xdr:row>2</xdr:row>
          <xdr:rowOff>706582</xdr:rowOff>
        </xdr:to>
        <xdr:sp macro="" textlink="">
          <xdr:nvSpPr>
            <xdr:cNvPr id="3091" name="Button 19" descr="Correr el código para habilitar la macros&#10;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2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Aptos Narrow"/>
                </a:rPr>
                <a:t>Botón 17</a:t>
              </a:r>
            </a:p>
          </xdr:txBody>
        </xdr:sp>
        <xdr:clientData fPrintsWithSheet="0"/>
      </xdr:twoCellAnchor>
    </mc:Choice>
    <mc:Fallback/>
  </mc:AlternateContent>
</xdr:wsDr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13</v>
    <v>3</v>
  </rv>
</rvData>
</file>

<file path=xl/richData/rdrichvaluestructure.xml><?xml version="1.0" encoding="utf-8"?>
<rvStructures xmlns="http://schemas.microsoft.com/office/spreadsheetml/2017/richdata" count="1">
  <s t="_error">
    <k n="errorType" t="i"/>
    <k n="subType" t="i"/>
  </s>
</rvStructure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663B3396-74E7-44DD-AA66-DF4513BD97E8}" name="Tabla9" displayName="Tabla9" ref="M7:P11" totalsRowShown="0" headerRowDxfId="124" dataDxfId="123">
  <autoFilter ref="M7:P11" xr:uid="{663B3396-74E7-44DD-AA66-DF4513BD97E8}">
    <filterColumn colId="0" hiddenButton="1"/>
    <filterColumn colId="1" hiddenButton="1"/>
    <filterColumn colId="2" hiddenButton="1"/>
    <filterColumn colId="3" hiddenButton="1"/>
  </autoFilter>
  <tableColumns count="4">
    <tableColumn id="1" xr3:uid="{664BEE36-532D-47D7-8EAE-AEBB461D8B45}" name="Puesto" dataDxfId="122"/>
    <tableColumn id="5" xr3:uid="{BE41CF7F-EB11-4D4B-A521-EE6EDC448943}" name="Costo UF HH" dataDxfId="121"/>
    <tableColumn id="6" xr3:uid="{84DFB6BD-2DEF-4535-AD6B-F8E485B4EC11}" name="Margen" dataDxfId="120"/>
    <tableColumn id="7" xr3:uid="{2F19B91B-72E9-493E-999A-F5523F273E2A}" name="Precio cliente" dataDxfId="119">
      <calculatedColumnFormula>Tabla9[[#This Row],[Costo UF HH]]/(1-Tabla9[[#This Row],[Margen]])</calculatedColumnFormula>
    </tableColumn>
  </tableColumns>
  <tableStyleInfo name="TableStyleMedium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2315C3CE-E5D4-4F4E-A744-96872D6CB649}" name="Tabla919" displayName="Tabla919" ref="V7:X12" totalsRowShown="0" headerRowDxfId="118" dataDxfId="117">
  <autoFilter ref="V7:X12" xr:uid="{2315C3CE-E5D4-4F4E-A744-96872D6CB649}"/>
  <tableColumns count="3">
    <tableColumn id="1" xr3:uid="{71D858E4-C389-43C7-835E-815374D42FF6}" name="Tipo de viático" dataDxfId="116"/>
    <tableColumn id="5" xr3:uid="{90456BFF-9A96-4C1F-A3F5-1FCB6EA9782A}" name="Descripción" dataDxfId="115"/>
    <tableColumn id="2" xr3:uid="{81F23D1A-B611-4136-BE3F-79C57B7E4D98}" name="Costo UF" dataDxfId="114"/>
  </tableColumns>
  <tableStyleInfo name="TableStyleMedium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0" xr:uid="{EE49BEAE-EA84-4CB4-B02D-1BC0F3B01683}" name="Tabla50" displayName="Tabla50" ref="B7:D13" totalsRowShown="0" headerRowDxfId="113" dataDxfId="112">
  <autoFilter ref="B7:D13" xr:uid="{EE49BEAE-EA84-4CB4-B02D-1BC0F3B01683}"/>
  <tableColumns count="3">
    <tableColumn id="1" xr3:uid="{B91B5084-3D35-4431-9308-5E07D387BFAD}" name="Tipo moneda" dataDxfId="111"/>
    <tableColumn id="2" xr3:uid="{CB43FA0D-0E60-4739-8486-DBE4AA5AE90F}" name="a CLP" dataDxfId="110"/>
    <tableColumn id="3" xr3:uid="{C26A5D77-75B2-4353-B7C3-72B529866398}" name="Tasa transformación" dataDxfId="109"/>
  </tableColumns>
  <tableStyleInfo name="TableStyleMedium3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1" xr:uid="{11E7AC26-8D2B-435E-9494-577BF1F47D8A}" name="Tabla51" displayName="Tabla51" ref="F7:H12" totalsRowShown="0" headerRowDxfId="108" dataDxfId="107">
  <autoFilter ref="F7:H12" xr:uid="{11E7AC26-8D2B-435E-9494-577BF1F47D8A}"/>
  <tableColumns count="3">
    <tableColumn id="1" xr3:uid="{9537A5BC-3097-4A61-A63A-B2E1D98A3CA3}" name="Tipo costo" dataDxfId="106"/>
    <tableColumn id="2" xr3:uid="{A4FE4AE1-0CDD-485C-B9B8-0078F0A7D066}" name="Ponderador importación (CIF/FOB)" dataDxfId="105"/>
    <tableColumn id="3" xr3:uid="{162C643B-A508-4864-9533-CEEB256A4817}" name="Ponderador margen (nacional/internacional)" dataDxfId="104"/>
  </tableColumns>
  <tableStyleInfo name="TableStyleMedium3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7" xr:uid="{7E7212DB-6930-42AF-A6F5-30172933C933}" name="Tabla958" displayName="Tabla958" ref="J7:K10" totalsRowShown="0" headerRowDxfId="103" dataDxfId="102">
  <autoFilter ref="J7:K10" xr:uid="{7E7212DB-6930-42AF-A6F5-30172933C933}"/>
  <tableColumns count="2">
    <tableColumn id="1" xr3:uid="{C6B0B59F-CE96-4C85-AC49-ABC446824C35}" name="Cargos" dataDxfId="101"/>
    <tableColumn id="5" xr3:uid="{69D7CA5D-4D3F-409A-B033-40C118112027}" name="Ponderador Precio" dataDxfId="100"/>
  </tableColumns>
  <tableStyleInfo name="TableStyleMedium3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F8E7401-D236-48AB-B51F-BF1D5E6EDFF6}" name="Tabla2327" displayName="Tabla2327" ref="R7:T11" totalsRowShown="0" headerRowDxfId="99" dataDxfId="98">
  <autoFilter ref="R7:T11" xr:uid="{AF8E7401-D236-48AB-B51F-BF1D5E6EDFF6}"/>
  <tableColumns count="3">
    <tableColumn id="1" xr3:uid="{D19C979D-E802-428D-9DEB-5463D98DAAE5}" name="Número grupo" dataDxfId="1"/>
    <tableColumn id="2" xr3:uid="{DB8781A0-7670-4AFC-A39B-1EC2B32229A5}" name="Tipo de venta" dataDxfId="97"/>
    <tableColumn id="4" xr3:uid="{8D32ED3C-E174-4D3E-8B37-F47D4638C800}" name="Márgenes" dataDxfId="96"/>
  </tableColumns>
  <tableStyleInfo name="TableStyleMedium3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2D5A6DB-E11A-4511-8334-FB736A404E39}" name="Tabla52" displayName="Tabla52" ref="B8:C17" totalsRowShown="0" headerRowDxfId="95" dataDxfId="94">
  <autoFilter ref="B8:C17" xr:uid="{E4F65A74-C5DE-420B-B02B-4087F8368AD7}">
    <filterColumn colId="0" hiddenButton="1"/>
    <filterColumn colId="1" hiddenButton="1"/>
  </autoFilter>
  <tableColumns count="2">
    <tableColumn id="1" xr3:uid="{6B5C948E-C5F7-4A79-B528-6D3ECB9DABB7}" name="Datos" dataDxfId="93">
      <calculatedColumnFormula>TODAY()</calculatedColumnFormula>
    </tableColumn>
    <tableColumn id="2" xr3:uid="{871BD61A-1AA3-4BF4-9D8B-DA30EC93706D}" name="Valor" dataDxfId="92">
      <calculatedColumnFormula>TODAY()</calculatedColumnFormula>
    </tableColumn>
  </tableColumns>
  <tableStyleInfo name="TableStyleMedium3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ED5F73B4-6292-48F9-9FB0-2B10608E8F4B}" name="Tabla2329" displayName="Tabla2329" ref="I8:J14" totalsRowShown="0" headerRowDxfId="91" dataDxfId="90">
  <autoFilter ref="I8:J14" xr:uid="{E053CC1F-40AB-4B04-B2F6-8B774E7D1097}"/>
  <tableColumns count="2">
    <tableColumn id="2" xr3:uid="{EFCC61F2-B479-4B5A-80EC-ACB9BB209169}" name="Tipo de venta" dataDxfId="89"/>
    <tableColumn id="3" xr3:uid="{035FE5A5-EA0D-469B-829D-F9DA4F88BF43}" name="Moneda final" dataDxfId="88"/>
  </tableColumns>
  <tableStyleInfo name="TableStyleMedium3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734A50A-4176-498A-915B-224E9B6B38D1}" name="Tabla25" displayName="Tabla25" ref="F8:F15" totalsRowShown="0" headerRowDxfId="87" dataDxfId="86">
  <autoFilter ref="F8:F15" xr:uid="{E8C9C3A7-D54C-46F6-BA19-6F5CF0592752}"/>
  <tableColumns count="1">
    <tableColumn id="2" xr3:uid="{7EDEE319-A608-4932-96CC-46586FFF8EE5}" name="Secciones" dataDxfId="85"/>
  </tableColumns>
  <tableStyleInfo name="TableStyleMedium3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6" xr:uid="{20F530C3-E8A4-48F5-A011-76151A850E8E}" name="Tabla2757" displayName="Tabla2757" ref="B6:N1000" totalsRowShown="0" headerRowDxfId="84" dataDxfId="82" headerRowBorderDxfId="83" tableBorderDxfId="81" totalsRowBorderDxfId="80">
  <autoFilter ref="B6:N1000" xr:uid="{3AC895F3-88FC-4322-BA4D-9163F09350B5}"/>
  <tableColumns count="13">
    <tableColumn id="18" xr3:uid="{3F13ADA9-FD6B-4142-80E8-AB8AAA5B2CB2}" name="Tipo de venta" dataDxfId="79"/>
    <tableColumn id="1" xr3:uid="{4D7D62B0-AA08-4E96-99E6-A9D66C4F6065}" name="Sección" dataDxfId="78"/>
    <tableColumn id="3" xr3:uid="{919C7931-5C86-435C-9E17-078053598BC1}" name="Tarea" dataDxfId="77"/>
    <tableColumn id="4" xr3:uid="{65AD8D18-3B83-4137-95F5-A0376FF6961F}" name="Descripción" dataDxfId="76">
      <calculatedColumnFormula>_xlfn.XLOOKUP(Tabla2757[[#This Row],[Tarea]],Productos!C:C,Productos!D:D, "Error",0,1)</calculatedColumnFormula>
    </tableColumn>
    <tableColumn id="21" xr3:uid="{743D9C17-691F-449D-AA89-160A6CF17A52}" name="Moneda Final" dataDxfId="75">
      <calculatedColumnFormula>_xlfn.XLOOKUP(Tabla2757[[#This Row],[Tipo de venta]],Tabla2329[Tipo de venta],Tabla2329[Moneda final], "Error - Seleccionar Tipo de Venta", 0,1)</calculatedColumnFormula>
    </tableColumn>
    <tableColumn id="9" xr3:uid="{D8F1D102-0114-43C5-9E14-4516F638E7CB}" name="Puesto Encargado" dataDxfId="74">
      <calculatedColumnFormula>IF(Tabla2757[[#This Row],[Moneda Final]]="CLP", Tabla2757[[#This Row],[Cantidad horas]], IF(Tabla2757[[#This Row],[Moneda Final]]="USD", TablaProductos[[#This Row],[Precio USD]], Tabla2757[[#This Row],[Precio UF]]))</calculatedColumnFormula>
    </tableColumn>
    <tableColumn id="19" xr3:uid="{789B8DE7-7AD6-42E2-B259-816DFDA6A125}" name="Cargo" dataDxfId="73"/>
    <tableColumn id="20" xr3:uid="{0DC370D3-CF89-4B8E-ADFE-5205D20AC699}" name="Precio por hora UF" dataDxfId="72">
      <calculatedColumnFormula>_xlfn.XLOOKUP(Tabla2757[[#This Row],[Puesto Encargado]], Tabla9[Puesto], Tabla9[Precio cliente],0,1,1)</calculatedColumnFormula>
    </tableColumn>
    <tableColumn id="22" xr3:uid="{42C69641-A3FC-4295-9CF4-85044E9E8115}" name="Ponderador" dataDxfId="71">
      <calculatedColumnFormula>_xlfn.XLOOKUP(Tabla2757[[#This Row],[Cargo]], Tabla958[Cargos], Tabla958[Ponderador Precio],0,1,1)</calculatedColumnFormula>
    </tableColumn>
    <tableColumn id="10" xr3:uid="{C8A23C9B-7B06-480B-BBB2-2CC48552BA39}" name="Precio por hora" dataDxfId="70">
      <calculatedColumnFormula>Tabla2757[[#This Row],[Precio por hora UF]]*Tabla2757[[#This Row],[Ponderador]]</calculatedColumnFormula>
    </tableColumn>
    <tableColumn id="11" xr3:uid="{36CA9095-CE85-4692-9133-A7A809C5F832}" name="Cantidad horas" dataDxfId="69">
      <calculatedColumnFormula>_xlfn.XLOOKUP(Tabla2757[[#This Row],[Tarea]],Productos!$C:$C,Productos!K:K, "Error",0,1)</calculatedColumnFormula>
    </tableColumn>
    <tableColumn id="12" xr3:uid="{1EB52E9C-2083-4F7D-8F83-0B3DB521427A}" name="Precio UF" dataDxfId="68">
      <calculatedColumnFormula>_xlfn.XLOOKUP(Tabla2757[[#This Row],[Tarea]],Productos!$C:$C,Productos!L:L, "Error",0,1)</calculatedColumnFormula>
    </tableColumn>
    <tableColumn id="23" xr3:uid="{1A4234A9-9DD6-48E3-BE29-56F5634512BA}" name="Precio Moneda" dataDxfId="67">
      <calculatedColumnFormula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0D47289-8499-4E1D-8694-E81C15DE30DE}" name="Tabla27573" displayName="Tabla27573" ref="B8:K54" totalsRowShown="0" headerRowDxfId="34" dataDxfId="33" headerRowBorderDxfId="31" tableBorderDxfId="32" totalsRowBorderDxfId="30">
  <autoFilter ref="B8:K54" xr:uid="{3AC895F3-88FC-4322-BA4D-9163F09350B5}"/>
  <tableColumns count="10">
    <tableColumn id="18" xr3:uid="{20E43334-168A-44AF-BF4F-CAD1901FFB25}" name="Tipo de venta" dataDxfId="29" dataCellStyle="Hipervínculo"/>
    <tableColumn id="1" xr3:uid="{33ACE34F-0DC1-4EE9-A5C1-3584C1D1082F}" name="Sección" dataDxfId="28"/>
    <tableColumn id="3" xr3:uid="{81B80305-6961-4FDA-92D5-6CB652EFC214}" name="Tarea" dataDxfId="27"/>
    <tableColumn id="4" xr3:uid="{55E8D677-6B9D-4B67-BFEA-79DEAAA9DE61}" name="Descripción" dataDxfId="26">
      <calculatedColumnFormula>_xlfn.XLOOKUP(Tabla27573[[#This Row],[Tarea]],Productos!C:C,Productos!D:D, "Error",0,1)</calculatedColumnFormula>
    </tableColumn>
    <tableColumn id="21" xr3:uid="{3D8F5A06-E7F7-421F-BB09-F230CC300FFE}" name="Moneda Final" dataDxfId="25">
      <calculatedColumnFormula>_xlfn.XLOOKUP(Tabla27573[[#This Row],[Tipo de venta]],Tabla2329[Tipo de venta],Tabla2329[Moneda final], "-----", 0,1)</calculatedColumnFormula>
    </tableColumn>
    <tableColumn id="9" xr3:uid="{13069080-E35C-4871-A879-2897B7991AF5}" name="Costo Unitario" dataDxfId="24">
      <calculatedColumnFormula>E4</calculatedColumnFormula>
    </tableColumn>
    <tableColumn id="2" xr3:uid="{6B257810-E736-404B-826C-3290AE0A2976}" name="Margen" dataDxfId="23"/>
    <tableColumn id="5" xr3:uid="{2D52AB42-77F9-4277-9267-E5CF6CB17C29}" name="Precio Unitario" dataDxfId="22">
      <calculatedColumnFormula>Tabla27573[[#This Row],[Costo Unitario]]/(1-Tabla27573[[#This Row],[Margen]])</calculatedColumnFormula>
    </tableColumn>
    <tableColumn id="19" xr3:uid="{2C0ABBE5-EAB4-4809-92C1-22AF9A205A1F}" name="Cantidad" dataDxfId="21">
      <calculatedColumnFormula>D3</calculatedColumnFormula>
    </tableColumn>
    <tableColumn id="10" xr3:uid="{F96BBC02-414F-4E27-9A7A-C77FF3B3F722}" name="Precio" dataDxfId="20" dataCellStyle="Hipervínculo">
      <calculatedColumnFormula>Tabla27573[[#This Row],[Cantidad]]*Tabla27573[[#This Row],[Precio Unitario]]</calculatedColumnFormula>
    </tableColumn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0753C46-60D3-40DF-91FB-30EFEEC8BB39}" name="Tabla3" displayName="Tabla3" ref="B1:F5" totalsRowShown="0" headerRowDxfId="66" dataDxfId="65">
  <autoFilter ref="B1:F5" xr:uid="{D0753C46-60D3-40DF-91FB-30EFEEC8BB39}"/>
  <tableColumns count="5">
    <tableColumn id="1" xr3:uid="{89AC9837-666F-4CA3-BDE4-85C0A198428A}" name="Columna1" dataDxfId="64"/>
    <tableColumn id="2" xr3:uid="{8BACF59D-3028-4F57-BFD6-5729C27BD5E2}" name="Descripción" dataDxfId="63"/>
    <tableColumn id="3" xr3:uid="{BE37BB1D-1292-4B20-9BE9-AAAB4D8E672E}" name="Cantidad/tipo" dataDxfId="62"/>
    <tableColumn id="4" xr3:uid="{3BBE242B-584B-46C1-A035-6D76E40E74F4}" name="Costo unitario" dataDxfId="61">
      <calculatedColumnFormula>_xlfn.XLOOKUP(Tabla3[[#This Row],[Columna1]], Tabla919[Tipo de viático], Tabla919[Costo UF], "Error", 0, 1)</calculatedColumnFormula>
    </tableColumn>
    <tableColumn id="5" xr3:uid="{D550C0A2-A593-4F2C-8A1A-744BD95A2C0E}" name="Precio final" dataDxfId="60"/>
  </tableColumns>
  <tableStyleInfo name="TableStyleMedium13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3AC895F3-88FC-4322-BA4D-9163F09350B5}" name="Tabla27" displayName="Tabla27" ref="B6:R36" totalsRowShown="0" headerRowDxfId="59" dataDxfId="2" headerRowBorderDxfId="58" tableBorderDxfId="57" totalsRowBorderDxfId="56">
  <autoFilter ref="B6:R36" xr:uid="{3AC895F3-88FC-4322-BA4D-9163F09350B5}"/>
  <tableColumns count="17">
    <tableColumn id="18" xr3:uid="{398E732F-4C4D-49FA-8F17-9E4751286B3A}" name="Tipo de venta" dataDxfId="19"/>
    <tableColumn id="1" xr3:uid="{46584F8C-76FE-40A7-9DFF-0080B0C3B9EE}" name="Sección" dataDxfId="18"/>
    <tableColumn id="2" xr3:uid="{76E4B631-977F-45C1-85BC-ADC35DB7CAF9}" name="Agrupación" dataDxfId="17"/>
    <tableColumn id="3" xr3:uid="{0A86979C-DDD8-4E83-84DF-1A3BF07A9996}" name="Nombre producto" dataDxfId="16"/>
    <tableColumn id="4" xr3:uid="{D940BDE9-E215-4FF5-B684-032B27CDCDCF}" name="Descripción" dataDxfId="15">
      <calculatedColumnFormula>_xlfn.XLOOKUP(Tabla27[[#This Row],[Nombre producto]],Productos!C:C,Productos!D:D, "---",0,1)</calculatedColumnFormula>
    </tableColumn>
    <tableColumn id="21" xr3:uid="{BB206602-3C45-4ED8-9953-98010EC79BD0}" name="Moneda producto" dataDxfId="14">
      <calculatedColumnFormula>_xlfn.XLOOKUP(Tabla27[[#This Row],[Nombre producto]], TablaProductos[Nombre producto], TablaProductos[Tipo de moneda],"-------",0,1)</calculatedColumnFormula>
    </tableColumn>
    <tableColumn id="9" xr3:uid="{E75647C4-C593-4F45-A116-05E0E2F28A6F}" name="Costo Producto" dataDxfId="13">
      <calculatedColumnFormula>_xlfn.XLOOKUP(Tabla27[[#This Row],[Nombre producto]], TablaProductos[Nombre producto], TablaProductos[Costo producto],"-----",0,1)</calculatedColumnFormula>
    </tableColumn>
    <tableColumn id="19" xr3:uid="{9910A921-3DF3-43FA-BD9F-53BCAAEB5E11}" name="Unidades" dataDxfId="12"/>
    <tableColumn id="8" xr3:uid="{C9C9F1AF-C47E-4A9B-A37B-0A15F712B2C2}" name="Tarifa Cambio de divisa" dataDxfId="11">
      <calculatedColumnFormula>IF(Tabla27[[#This Row],[Moneda producto]]="USD",'Datos generales'!$G$3,IF(Tabla27[[#This Row],[Moneda producto]]="EUR",'Datos generales'!$G$3,0))</calculatedColumnFormula>
    </tableColumn>
    <tableColumn id="10" xr3:uid="{C0F0F0A5-7253-41D6-8D03-FB6EECBD6740}" name="Precio USD/unitario" dataDxfId="10">
      <calculatedColumnFormula>_xlfn.XLOOKUP(Tabla27[[#This Row],[Nombre producto]], TablaProductos[Nombre producto], TablaProductos[Precio USD],"0",0,1)</calculatedColumnFormula>
    </tableColumn>
    <tableColumn id="11" xr3:uid="{1A5BBDCD-7CFD-4D46-8049-3D7B9E270CF4}" name="Precio CLP/Unitario" dataDxfId="9">
      <calculatedColumnFormula>_xlfn.XLOOKUP(Tabla27[[#This Row],[Nombre producto]], TablaProductos[Nombre producto], TablaProductos[Precio CLP],"0",0,1)</calculatedColumnFormula>
    </tableColumn>
    <tableColumn id="12" xr3:uid="{C7459AF2-CC32-4612-B033-37FA9210D2C8}" name="Precio UF/Unitario" dataDxfId="8">
      <calculatedColumnFormula>_xlfn.XLOOKUP(Tabla27[[#This Row],[Nombre producto]], TablaProductos[Nombre producto], TablaProductos[Precio UF],"0",0,1)</calculatedColumnFormula>
    </tableColumn>
    <tableColumn id="5" xr3:uid="{8879887C-D0E4-4DA6-8374-1AC112E08DB5}" name="Precio EUR/ Unitario" dataDxfId="7" dataCellStyle="Hipervínculo">
      <calculatedColumnFormula>_xlfn.XLOOKUP(Tabla27[[#This Row],[Nombre producto]], TablaProductos[Nombre producto], TablaProductos[Precio Euros],"0",0,1)</calculatedColumnFormula>
    </tableColumn>
    <tableColumn id="13" xr3:uid="{0BFE22DA-5593-47B8-90BE-869DD359D22F}" name="Proveedor" dataDxfId="6">
      <calculatedColumnFormula>_xlfn.XLOOKUP(Tabla27[[#This Row],[Nombre producto]],Productos!$C:$C,Productos!N:N, "-----",0,1)</calculatedColumnFormula>
    </tableColumn>
    <tableColumn id="14" xr3:uid="{1743073C-0A79-427F-B39F-D3C8DF2698C0}" name="Link de compra" dataDxfId="5">
      <calculatedColumnFormula>_xlfn.XLOOKUP(Tabla27[[#This Row],[Nombre producto]],Productos!$C:$C,Productos!O:O, "-----",0,1)</calculatedColumnFormula>
    </tableColumn>
    <tableColumn id="6" xr3:uid="{E40E0B02-4C60-49AE-B7CF-5E088A7C683A}" name="Moneda Final" dataDxfId="4">
      <calculatedColumnFormula>_xlfn.XLOOKUP(Tabla27[[#This Row],[Tipo de venta]], Tabla2329[Tipo de venta], Tabla2329[Moneda final], "-------", 0,1)</calculatedColumnFormula>
    </tableColumn>
    <tableColumn id="15" xr3:uid="{100B01F4-D328-431F-89E1-5878C5E88B4A}" name="Precio final (sin iva - moneda)" dataDxfId="3">
      <calculatedColumnFormula>IF(Tabla27[[#This Row],[Moneda Final]]="USD",Tabla27[[#This Row],[Unidades]]*Tabla27[[#This Row],[Precio USD/unitario]], IF(Tabla27[[#This Row],[Moneda Final]]="CLP",Tabla27[[#This Row],[Unidades]]*Tabla27[[#This Row],[Precio CLP/Unitario]],IF(Tabla27[[#This Row],[Moneda Final]]="EUR",Tabla27[[#This Row],[Unidades]]*Tabla27[[#This Row],[Precio EUR/ Unitario]],Tabla27[[#This Row],[Unidades]]*Tabla27[[#This Row],[Precio UF/Unitario]])))</calculatedColumnFormula>
    </tableColumn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1724EC72-6126-4D13-8D28-70C9F26FE38B}" name="TablaProductos" displayName="TablaProductos" ref="B6:Q29" totalsRowShown="0" headerRowDxfId="55" dataDxfId="53" headerRowBorderDxfId="54" tableBorderDxfId="52" totalsRowBorderDxfId="51">
  <autoFilter ref="B6:Q29" xr:uid="{1724EC72-6126-4D13-8D28-70C9F26FE38B}"/>
  <tableColumns count="16">
    <tableColumn id="1" xr3:uid="{1DE849D8-6B59-4F38-98D5-F296B9CD72C4}" name="Agrupación" dataDxfId="50"/>
    <tableColumn id="2" xr3:uid="{AA3E12A7-3E4F-4AC2-BAE1-C1460147922D}" name="Nombre producto" dataDxfId="49"/>
    <tableColumn id="3" xr3:uid="{9C033A2A-2F40-41DC-A6FE-4C866FF2644D}" name="Descripción" dataDxfId="48"/>
    <tableColumn id="4" xr3:uid="{F4F40B14-77EA-432D-B482-019AF6BB4568}" name="Tipo de moneda" dataDxfId="47"/>
    <tableColumn id="16" xr3:uid="{92EA2497-1E1B-481F-B33B-4021CA4D7DB5}" name="CIF/FOB/Nacional" dataDxfId="46"/>
    <tableColumn id="5" xr3:uid="{152935D8-DDC9-48A2-9DBC-0CCB3680C457}" name="Costo producto" dataDxfId="45"/>
    <tableColumn id="17" xr3:uid="{BF22B6BC-117C-42D8-B570-E6B777ABF167}" name="Costo de producto a oficina" dataDxfId="44">
      <calculatedColumnFormula>IF(TablaProductos[[#This Row],[CIF/FOB/Nacional]]="Nacional", TablaProductos[[#This Row],[Costo producto]],IF(TablaProductos[[#This Row],[CIF/FOB/Nacional]]="CIF", TablaProductos[[#This Row],[Costo producto]], TablaProductos[[#This Row],[Costo producto]]*1.3))</calculatedColumnFormula>
    </tableColumn>
    <tableColumn id="6" xr3:uid="{F2748CBA-F38C-4583-B991-69DC3E29FB9D}" name="Margen" dataDxfId="43">
      <calculatedColumnFormula>_xlfn.XLOOKUP(TablaProductos[[#This Row],[Agrupación]], 'Datos generales'!$S$8:$S$1048576, 'Datos generales'!$T$8:$T$1048576,"Margen en agrupación no encontrado",0, 1)</calculatedColumnFormula>
    </tableColumn>
    <tableColumn id="7" xr3:uid="{F83AFCAE-A486-4EBF-8CD3-6DBF7F9D4A1B}" name="Precio Moneda compra" dataDxfId="42">
      <calculatedColumnFormula>H7/(1-I7)</calculatedColumnFormula>
    </tableColumn>
    <tableColumn id="8" xr3:uid="{05A18D47-BB8A-4042-B070-0F20E814AFC2}" name="Precio CLP" dataDxfId="41">
      <calculatedColumnFormula>IF(TablaProductos[[#This Row],[Tipo de moneda]]="CLP", TablaProductos[[#This Row],[Precio Moneda compra]], IF(TablaProductos[[#This Row],[Tipo de moneda]]="USD",TablaProductos[[#This Row],[Precio Moneda compra]]*'Datos generales'!$C$10,IF(TablaProductos[[#This Row],[Tipo de moneda]]="EUR",TablaProductos[[#This Row],[Precio Moneda compra]]*'Datos generales'!$C$11,TablaProductos[[#This Row],[Precio Moneda compra]]*'Datos generales'!$C$9)))</calculatedColumnFormula>
    </tableColumn>
    <tableColumn id="18" xr3:uid="{3924A73C-1265-43AE-A6FA-A64935FB8C02}" name="Precio UF" dataDxfId="40">
      <calculatedColumnFormula>IF(TablaProductos[[#This Row],[Tipo de moneda]]="UF", TablaProductos[[#This Row],[Precio Moneda compra]], IF(TablaProductos[[#This Row],[Tipo de moneda]]="USD",TablaProductos[[#This Row],[Precio Moneda compra]]*'Datos generales'!$C$10/'Datos generales'!$C$9,IF(TablaProductos[[#This Row],[Tipo de moneda]]="EUR",TablaProductos[[#This Row],[Precio Moneda compra]]*'Datos generales'!$C$11/'Datos generales'!$C$9,TablaProductos[[#This Row],[Precio Moneda compra]]/'Datos generales'!$C$9)))</calculatedColumnFormula>
    </tableColumn>
    <tableColumn id="19" xr3:uid="{A2572D95-628E-4FB8-A44C-6E7B59704869}" name="Precio USD" dataDxfId="39">
      <calculatedColumnFormula>IF(TablaProductos[[#This Row],[Tipo de moneda]]="USD", TablaProductos[[#This Row],[Precio Moneda compra]], IF(TablaProductos[[#This Row],[Tipo de moneda]]="CLP",TablaProductos[[#This Row],[Precio Moneda compra]]/'Datos generales'!$C$10,IF(TablaProductos[[#This Row],[Tipo de moneda]]="EUR",TablaProductos[[#This Row],[Precio Moneda compra]]*'Datos generales'!$C$11/'Datos generales'!$C$10,TablaProductos[[#This Row],[Precio Moneda compra]]*'Datos generales'!$C$9/'Datos generales'!$C$10)))</calculatedColumnFormula>
    </tableColumn>
    <tableColumn id="20" xr3:uid="{941D34F3-C5E6-4B3F-B281-243B9DD423E0}" name="Precio Euros" dataDxfId="38">
      <calculatedColumnFormula>IF(TablaProductos[[#This Row],[Tipo de moneda]]="EUR",TablaProductos[[#This Row],[Precio Moneda compra]], IF(TablaProductos[[#This Row],[Tipo de moneda]]="USD", TablaProductos[[#This Row],[Precio Moneda compra]]*'Datos generales'!$C$10/'Datos generales'!$C$11, IF(TablaProductos[[#This Row],[Tipo de moneda]]="UF",'Datos generales'!$C$9/'Datos generales'!$C$11, TablaProductos[[#This Row],[Precio Moneda compra]]/'Datos generales'!$C$11)))</calculatedColumnFormula>
    </tableColumn>
    <tableColumn id="9" xr3:uid="{9C37AA84-40B3-4F50-BC73-044BEDE71018}" name="Fabricante" dataDxfId="37"/>
    <tableColumn id="10" xr3:uid="{624006BC-7B6B-4088-B911-8A604991ADDE}" name="Nombre Vendedor" dataDxfId="36"/>
    <tableColumn id="11" xr3:uid="{1C9A1178-3703-4454-9401-2300870798A7}" name="Correo ; Número" dataDxfId="35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45F82"/>
      </a:accent1>
      <a:accent2>
        <a:srgbClr val="E87331"/>
      </a:accent2>
      <a:accent3>
        <a:srgbClr val="186C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2.bin"/><Relationship Id="rId4" Type="http://schemas.openxmlformats.org/officeDocument/2006/relationships/table" Target="../tables/table9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table" Target="../tables/table1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hyperlink" Target="mailto:kyla@hondetech.com" TargetMode="External"/><Relationship Id="rId2" Type="http://schemas.openxmlformats.org/officeDocument/2006/relationships/hyperlink" Target="mailto:kyla@hondetech.com" TargetMode="External"/><Relationship Id="rId1" Type="http://schemas.openxmlformats.org/officeDocument/2006/relationships/hyperlink" Target="mailto:jose.valenzuela@wolke.cl" TargetMode="External"/><Relationship Id="rId5" Type="http://schemas.openxmlformats.org/officeDocument/2006/relationships/table" Target="../tables/table14.xml"/><Relationship Id="rId4" Type="http://schemas.openxmlformats.org/officeDocument/2006/relationships/hyperlink" Target="mailto:kyla@hondetech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00B050"/>
  </sheetPr>
  <dimension ref="A1:X26"/>
  <sheetViews>
    <sheetView showGridLines="0" topLeftCell="E1" zoomScale="70" zoomScaleNormal="70" workbookViewId="0">
      <selection activeCell="R14" sqref="R14"/>
    </sheetView>
  </sheetViews>
  <sheetFormatPr baseColWidth="10" defaultColWidth="8.77734375" defaultRowHeight="14.4" x14ac:dyDescent="0.3"/>
  <cols>
    <col min="1" max="1" width="20.109375" customWidth="1"/>
    <col min="2" max="2" width="15.44140625" customWidth="1"/>
    <col min="3" max="3" width="22.33203125" customWidth="1"/>
    <col min="4" max="4" width="30.109375" customWidth="1"/>
    <col min="5" max="5" width="21.44140625" customWidth="1"/>
    <col min="6" max="6" width="30.109375" customWidth="1"/>
    <col min="7" max="7" width="18" bestFit="1" customWidth="1"/>
    <col min="8" max="8" width="16.6640625" customWidth="1"/>
    <col min="9" max="9" width="13.77734375" bestFit="1" customWidth="1"/>
    <col min="10" max="10" width="14" customWidth="1"/>
    <col min="11" max="11" width="20.6640625" customWidth="1"/>
    <col min="12" max="12" width="18.44140625" customWidth="1"/>
    <col min="13" max="13" width="12.5546875" customWidth="1"/>
    <col min="14" max="14" width="11.6640625" customWidth="1"/>
    <col min="16" max="16" width="14.33203125" customWidth="1"/>
    <col min="17" max="17" width="8.77734375" style="57"/>
    <col min="22" max="22" width="23.44140625" customWidth="1"/>
    <col min="23" max="24" width="19.44140625" customWidth="1"/>
  </cols>
  <sheetData>
    <row r="1" spans="2:24" x14ac:dyDescent="0.3">
      <c r="B1" s="5"/>
      <c r="Q1"/>
    </row>
    <row r="2" spans="2:24" x14ac:dyDescent="0.3">
      <c r="B2" s="8"/>
      <c r="C2" s="8"/>
      <c r="D2" s="48"/>
      <c r="E2" s="48"/>
      <c r="F2" s="48"/>
      <c r="J2" s="85" t="s">
        <v>121</v>
      </c>
      <c r="K2" s="127">
        <f ca="1">TODAY()</f>
        <v>45777</v>
      </c>
      <c r="Q2"/>
    </row>
    <row r="3" spans="2:24" ht="25.2" customHeight="1" x14ac:dyDescent="0.4">
      <c r="C3" s="9"/>
      <c r="D3" s="84" t="str">
        <f ca="1">IF(K4&gt;15, "ALERTA - Actualizar datos", "Datos actualizados")</f>
        <v>ALERTA - Actualizar datos</v>
      </c>
      <c r="E3" s="15"/>
      <c r="F3" s="87" t="s">
        <v>128</v>
      </c>
      <c r="G3" s="87">
        <v>0.05</v>
      </c>
      <c r="J3" s="85" t="s">
        <v>122</v>
      </c>
      <c r="K3" s="127">
        <f>D6</f>
        <v>45748</v>
      </c>
      <c r="M3" s="7"/>
      <c r="N3" s="7"/>
      <c r="O3" s="7"/>
      <c r="P3" s="7"/>
      <c r="Q3" s="65"/>
      <c r="R3" s="65"/>
      <c r="S3" s="65"/>
      <c r="T3" s="7"/>
      <c r="U3" s="7"/>
      <c r="V3" s="7"/>
    </row>
    <row r="4" spans="2:24" ht="28.8" x14ac:dyDescent="0.3">
      <c r="B4" s="9"/>
      <c r="C4" s="9"/>
      <c r="E4" s="7"/>
      <c r="F4" s="7"/>
      <c r="G4" s="7"/>
      <c r="J4" s="49" t="s">
        <v>123</v>
      </c>
      <c r="K4" s="128">
        <f ca="1">K2-K3</f>
        <v>29</v>
      </c>
      <c r="M4" s="7"/>
      <c r="N4" s="15"/>
      <c r="O4" s="7"/>
      <c r="P4" s="7"/>
      <c r="Q4" s="101"/>
      <c r="R4" s="101"/>
      <c r="S4" s="101"/>
      <c r="T4" s="7"/>
      <c r="U4" s="7"/>
      <c r="V4" s="7"/>
    </row>
    <row r="5" spans="2:24" x14ac:dyDescent="0.3">
      <c r="B5" s="1"/>
      <c r="C5" s="1"/>
      <c r="D5" s="68"/>
      <c r="E5" s="55"/>
      <c r="F5" s="14"/>
      <c r="G5" s="14"/>
      <c r="H5" s="68"/>
      <c r="I5" s="68"/>
      <c r="J5" s="68"/>
      <c r="K5" s="126"/>
      <c r="L5" s="68"/>
      <c r="M5" s="129"/>
      <c r="N5" s="15"/>
      <c r="O5" s="15"/>
      <c r="P5" s="15"/>
      <c r="Q5" s="47"/>
      <c r="R5" s="47"/>
      <c r="S5" s="47"/>
      <c r="T5" s="7"/>
      <c r="U5" s="15"/>
      <c r="V5" s="15"/>
      <c r="W5" s="68"/>
      <c r="X5" s="68"/>
    </row>
    <row r="6" spans="2:24" ht="28.8" customHeight="1" x14ac:dyDescent="0.3">
      <c r="B6" s="155" t="s">
        <v>120</v>
      </c>
      <c r="C6" s="155"/>
      <c r="D6" s="125">
        <v>45748</v>
      </c>
      <c r="E6" s="69"/>
      <c r="F6" s="154" t="s">
        <v>106</v>
      </c>
      <c r="G6" s="154"/>
      <c r="H6" s="154"/>
      <c r="I6" s="68"/>
      <c r="J6" s="174" t="s">
        <v>221</v>
      </c>
      <c r="K6" s="174"/>
      <c r="L6" s="68"/>
      <c r="M6" s="174" t="s">
        <v>220</v>
      </c>
      <c r="N6" s="174"/>
      <c r="O6" s="174"/>
      <c r="P6" s="174"/>
      <c r="Q6" s="68"/>
      <c r="R6" s="154" t="s">
        <v>111</v>
      </c>
      <c r="S6" s="154"/>
      <c r="T6" s="154"/>
      <c r="U6" s="68"/>
      <c r="V6" s="174" t="s">
        <v>219</v>
      </c>
      <c r="W6" s="174"/>
      <c r="X6" s="174"/>
    </row>
    <row r="7" spans="2:24" ht="28.95" customHeight="1" x14ac:dyDescent="0.3">
      <c r="B7" s="68" t="s">
        <v>15</v>
      </c>
      <c r="C7" s="68" t="s">
        <v>105</v>
      </c>
      <c r="D7" s="68" t="s">
        <v>119</v>
      </c>
      <c r="E7" s="70"/>
      <c r="F7" s="68" t="s">
        <v>16</v>
      </c>
      <c r="G7" s="68" t="s">
        <v>116</v>
      </c>
      <c r="H7" s="68" t="s">
        <v>115</v>
      </c>
      <c r="I7" s="68"/>
      <c r="J7" s="1" t="s">
        <v>18</v>
      </c>
      <c r="K7" s="1" t="s">
        <v>19</v>
      </c>
      <c r="L7" s="48"/>
      <c r="M7" s="1" t="s">
        <v>20</v>
      </c>
      <c r="N7" s="1" t="s">
        <v>21</v>
      </c>
      <c r="O7" s="1" t="s">
        <v>22</v>
      </c>
      <c r="P7" s="1" t="s">
        <v>23</v>
      </c>
      <c r="Q7" s="15"/>
      <c r="R7" s="68" t="s">
        <v>34</v>
      </c>
      <c r="S7" s="71" t="s">
        <v>37</v>
      </c>
      <c r="T7" s="68" t="s">
        <v>112</v>
      </c>
      <c r="U7" s="68"/>
      <c r="V7" s="1" t="s">
        <v>117</v>
      </c>
      <c r="W7" s="1" t="s">
        <v>36</v>
      </c>
      <c r="X7" s="1" t="s">
        <v>133</v>
      </c>
    </row>
    <row r="8" spans="2:24" x14ac:dyDescent="0.3">
      <c r="B8" s="68" t="s">
        <v>1</v>
      </c>
      <c r="C8" s="72">
        <v>1</v>
      </c>
      <c r="D8" s="68">
        <v>1</v>
      </c>
      <c r="E8" s="68"/>
      <c r="F8" s="68" t="s">
        <v>17</v>
      </c>
      <c r="G8" s="68">
        <v>1</v>
      </c>
      <c r="H8" s="73">
        <v>0.4</v>
      </c>
      <c r="I8" s="68"/>
      <c r="J8" s="49" t="s">
        <v>25</v>
      </c>
      <c r="K8" s="49">
        <v>1</v>
      </c>
      <c r="L8" s="47"/>
      <c r="M8" s="2" t="s">
        <v>26</v>
      </c>
      <c r="N8" s="2">
        <v>0.5</v>
      </c>
      <c r="O8" s="37">
        <v>0.4</v>
      </c>
      <c r="P8" s="135">
        <f>Tabla9[[#This Row],[Costo UF HH]]/(1-Tabla9[[#This Row],[Margen]])</f>
        <v>0.83333333333333337</v>
      </c>
      <c r="Q8" s="15"/>
      <c r="R8" s="49">
        <v>1</v>
      </c>
      <c r="S8" s="137" t="s">
        <v>65</v>
      </c>
      <c r="T8" s="75">
        <v>0.1</v>
      </c>
      <c r="U8" s="68"/>
      <c r="V8" s="2" t="s">
        <v>38</v>
      </c>
      <c r="W8" s="2" t="s">
        <v>39</v>
      </c>
      <c r="X8" s="12">
        <v>0.5</v>
      </c>
    </row>
    <row r="9" spans="2:24" ht="32.549999999999997" customHeight="1" x14ac:dyDescent="0.3">
      <c r="B9" s="68" t="s">
        <v>3</v>
      </c>
      <c r="C9" s="72">
        <v>38409.199999999997</v>
      </c>
      <c r="D9" s="68">
        <v>1</v>
      </c>
      <c r="E9" s="68"/>
      <c r="F9" s="68" t="s">
        <v>24</v>
      </c>
      <c r="G9" s="68">
        <v>1.3</v>
      </c>
      <c r="H9" s="73">
        <v>0.4</v>
      </c>
      <c r="I9" s="68"/>
      <c r="J9" s="49" t="s">
        <v>28</v>
      </c>
      <c r="K9" s="49">
        <v>1.5</v>
      </c>
      <c r="L9" s="15"/>
      <c r="M9" s="2" t="s">
        <v>29</v>
      </c>
      <c r="N9" s="2">
        <v>0.5</v>
      </c>
      <c r="O9" s="37">
        <v>0.4</v>
      </c>
      <c r="P9" s="135">
        <f>Tabla9[[#This Row],[Costo UF HH]]/(1-Tabla9[[#This Row],[Margen]])</f>
        <v>0.83333333333333337</v>
      </c>
      <c r="Q9" s="15"/>
      <c r="R9" s="49">
        <v>2</v>
      </c>
      <c r="S9" s="137" t="s">
        <v>66</v>
      </c>
      <c r="T9" s="75">
        <v>0.5</v>
      </c>
      <c r="U9" s="68"/>
      <c r="V9" s="2" t="s">
        <v>41</v>
      </c>
      <c r="W9" s="2" t="s">
        <v>42</v>
      </c>
      <c r="X9" s="12">
        <v>1</v>
      </c>
    </row>
    <row r="10" spans="2:24" ht="28.8" x14ac:dyDescent="0.3">
      <c r="B10" s="68" t="s">
        <v>6</v>
      </c>
      <c r="C10" s="72">
        <v>950</v>
      </c>
      <c r="D10" s="68">
        <v>1.05</v>
      </c>
      <c r="E10" s="68"/>
      <c r="F10" s="68" t="s">
        <v>27</v>
      </c>
      <c r="G10" s="68">
        <v>1</v>
      </c>
      <c r="H10" s="73">
        <v>0.2</v>
      </c>
      <c r="I10" s="68"/>
      <c r="J10" s="49" t="s">
        <v>31</v>
      </c>
      <c r="K10" s="49">
        <v>2</v>
      </c>
      <c r="L10" s="68"/>
      <c r="M10" s="6" t="s">
        <v>32</v>
      </c>
      <c r="N10" s="2">
        <v>0.3</v>
      </c>
      <c r="O10" s="37">
        <v>0.4</v>
      </c>
      <c r="P10" s="135">
        <f>Tabla9[[#This Row],[Costo UF HH]]/(1-Tabla9[[#This Row],[Margen]])</f>
        <v>0.5</v>
      </c>
      <c r="Q10" s="73"/>
      <c r="R10" s="49">
        <v>3</v>
      </c>
      <c r="S10" s="137" t="s">
        <v>99</v>
      </c>
      <c r="T10" s="75">
        <v>0.6</v>
      </c>
      <c r="U10" s="68"/>
      <c r="V10" s="6" t="s">
        <v>44</v>
      </c>
      <c r="W10" s="6" t="s">
        <v>45</v>
      </c>
      <c r="X10" s="12">
        <v>2</v>
      </c>
    </row>
    <row r="11" spans="2:24" ht="28.8" x14ac:dyDescent="0.3">
      <c r="B11" s="68" t="s">
        <v>30</v>
      </c>
      <c r="C11" s="72">
        <v>1025</v>
      </c>
      <c r="D11" s="68">
        <v>1.05</v>
      </c>
      <c r="E11" s="68"/>
      <c r="F11" s="68" t="s">
        <v>118</v>
      </c>
      <c r="G11" s="68">
        <v>1</v>
      </c>
      <c r="H11" s="73">
        <v>0.35</v>
      </c>
      <c r="I11" s="68"/>
      <c r="J11" s="68"/>
      <c r="K11" s="68"/>
      <c r="L11" s="68"/>
      <c r="M11" s="6" t="s">
        <v>33</v>
      </c>
      <c r="N11" s="2">
        <v>0.5</v>
      </c>
      <c r="O11" s="37">
        <v>0.4</v>
      </c>
      <c r="P11" s="135">
        <f>Tabla9[[#This Row],[Costo UF HH]]/(1-Tabla9[[#This Row],[Margen]])</f>
        <v>0.83333333333333337</v>
      </c>
      <c r="Q11" s="73"/>
      <c r="R11" s="76">
        <v>4</v>
      </c>
      <c r="S11" s="138" t="s">
        <v>186</v>
      </c>
      <c r="T11" s="75">
        <v>0.5</v>
      </c>
      <c r="U11" s="68"/>
      <c r="V11" s="89" t="s">
        <v>131</v>
      </c>
      <c r="W11" s="68" t="s">
        <v>132</v>
      </c>
      <c r="X11" s="90">
        <v>1.79</v>
      </c>
    </row>
    <row r="12" spans="2:24" ht="61.2" customHeight="1" x14ac:dyDescent="0.3">
      <c r="B12" s="68"/>
      <c r="C12" s="86"/>
      <c r="D12" s="68"/>
      <c r="E12" s="68"/>
      <c r="F12" s="68" t="s">
        <v>153</v>
      </c>
      <c r="G12" s="68">
        <v>1</v>
      </c>
      <c r="H12" s="73">
        <v>0.4</v>
      </c>
      <c r="I12" s="68"/>
      <c r="J12" s="68"/>
      <c r="K12" s="68"/>
      <c r="L12" s="68"/>
      <c r="M12" s="68"/>
      <c r="N12" s="68"/>
      <c r="O12" s="68"/>
      <c r="P12" s="68"/>
      <c r="Q12" s="73"/>
      <c r="R12" s="68">
        <v>5</v>
      </c>
      <c r="S12" s="68"/>
      <c r="T12" s="68"/>
      <c r="U12" s="68"/>
      <c r="V12" s="89" t="s">
        <v>142</v>
      </c>
      <c r="W12" s="68" t="s">
        <v>143</v>
      </c>
      <c r="X12" s="90">
        <v>0</v>
      </c>
    </row>
    <row r="13" spans="2:24" x14ac:dyDescent="0.3">
      <c r="B13" s="68"/>
      <c r="C13" s="68"/>
      <c r="D13" s="68"/>
      <c r="E13" s="68"/>
      <c r="F13" s="68"/>
      <c r="G13" s="68"/>
      <c r="H13" s="68"/>
      <c r="I13" s="68"/>
      <c r="J13" s="73"/>
      <c r="K13" s="68"/>
      <c r="L13" s="68"/>
      <c r="M13" s="68"/>
      <c r="N13" s="68"/>
      <c r="O13" s="68"/>
      <c r="P13" s="68"/>
      <c r="Q13" s="73"/>
      <c r="R13" s="68"/>
      <c r="S13" s="68"/>
      <c r="T13" s="68"/>
      <c r="U13" s="68"/>
      <c r="V13" s="68"/>
      <c r="W13" s="68"/>
      <c r="X13" s="68"/>
    </row>
    <row r="14" spans="2:24" x14ac:dyDescent="0.3">
      <c r="B14" s="63"/>
      <c r="C14" s="63"/>
      <c r="D14" s="78"/>
      <c r="E14" s="68"/>
      <c r="F14" s="68"/>
      <c r="G14" s="68"/>
      <c r="H14" s="68"/>
      <c r="I14" s="68"/>
      <c r="J14" s="68"/>
      <c r="K14" s="68"/>
      <c r="L14" s="68"/>
      <c r="M14" s="15"/>
      <c r="N14" s="68"/>
      <c r="O14" s="68"/>
      <c r="P14" s="68"/>
      <c r="Q14" s="73"/>
      <c r="R14" s="68"/>
      <c r="S14" s="68"/>
      <c r="T14" s="68"/>
      <c r="U14" s="68"/>
      <c r="V14" s="68"/>
      <c r="W14" s="68"/>
      <c r="X14" s="68"/>
    </row>
    <row r="15" spans="2:24" x14ac:dyDescent="0.3">
      <c r="B15" s="15"/>
      <c r="C15" s="15"/>
      <c r="D15" s="68"/>
      <c r="E15" s="68"/>
      <c r="F15" s="68"/>
      <c r="G15" s="68"/>
      <c r="H15" s="68"/>
      <c r="I15" s="68"/>
      <c r="J15" s="68"/>
      <c r="K15" s="68"/>
      <c r="L15" s="68"/>
      <c r="M15" s="68"/>
      <c r="N15" s="68"/>
      <c r="O15" s="68"/>
      <c r="P15" s="68"/>
      <c r="Q15" s="68"/>
      <c r="R15" s="68"/>
      <c r="S15" s="68"/>
      <c r="T15" s="68"/>
      <c r="U15" s="68"/>
      <c r="V15" s="68"/>
      <c r="W15" s="68"/>
      <c r="X15" s="68"/>
    </row>
    <row r="16" spans="2:24" ht="89.55" customHeight="1" x14ac:dyDescent="0.3">
      <c r="B16" s="15"/>
      <c r="C16" s="15"/>
      <c r="D16" s="78"/>
      <c r="E16" s="68"/>
      <c r="I16" s="68"/>
      <c r="J16" s="68"/>
      <c r="K16" s="15"/>
      <c r="L16" s="15"/>
      <c r="M16" s="15"/>
      <c r="N16" s="68"/>
      <c r="O16" s="68"/>
      <c r="P16" s="68"/>
      <c r="Q16" s="73"/>
      <c r="R16" s="68"/>
      <c r="S16" s="68"/>
      <c r="T16" s="68"/>
      <c r="U16" s="68"/>
      <c r="V16" s="68"/>
      <c r="W16" s="68"/>
      <c r="X16" s="68"/>
    </row>
    <row r="17" spans="1:24" x14ac:dyDescent="0.3">
      <c r="A17" s="10"/>
      <c r="B17" s="15"/>
      <c r="C17" s="62"/>
      <c r="D17" s="68"/>
      <c r="E17" s="68"/>
      <c r="F17" s="17"/>
      <c r="G17" s="14"/>
      <c r="H17" s="16"/>
      <c r="I17" s="68"/>
      <c r="J17" s="68"/>
      <c r="K17" s="15"/>
      <c r="L17" s="62"/>
      <c r="M17" s="15"/>
      <c r="N17" s="68"/>
      <c r="O17" s="68"/>
      <c r="P17" s="68"/>
      <c r="Q17" s="73"/>
      <c r="R17" s="68"/>
      <c r="S17" s="68"/>
      <c r="T17" s="68"/>
      <c r="U17" s="68"/>
      <c r="V17" s="68"/>
      <c r="W17" s="68"/>
      <c r="X17" s="68"/>
    </row>
    <row r="18" spans="1:24" x14ac:dyDescent="0.3">
      <c r="A18" s="10"/>
      <c r="B18" s="14"/>
      <c r="C18" s="79"/>
      <c r="D18" s="68"/>
      <c r="E18" s="68"/>
      <c r="F18" s="16"/>
      <c r="G18" s="18"/>
      <c r="H18" s="17"/>
      <c r="I18" s="68"/>
      <c r="J18" s="15"/>
      <c r="K18" s="14"/>
      <c r="L18" s="79"/>
      <c r="M18" s="79"/>
      <c r="N18" s="68"/>
      <c r="O18" s="68"/>
      <c r="P18" s="68"/>
      <c r="Q18" s="73"/>
      <c r="R18" s="68"/>
      <c r="S18" s="68"/>
      <c r="T18" s="68"/>
      <c r="U18" s="68"/>
      <c r="V18" s="68"/>
      <c r="W18" s="68"/>
      <c r="X18" s="68"/>
    </row>
    <row r="19" spans="1:24" x14ac:dyDescent="0.3">
      <c r="A19" s="10"/>
      <c r="B19" s="14"/>
      <c r="C19" s="79"/>
      <c r="D19" s="68"/>
      <c r="E19" s="68"/>
      <c r="F19" s="7"/>
      <c r="G19" s="7"/>
      <c r="H19" s="16"/>
      <c r="I19" s="68"/>
      <c r="J19" s="139"/>
      <c r="K19" s="14"/>
      <c r="L19" s="79"/>
      <c r="M19" s="79"/>
      <c r="N19" s="68"/>
      <c r="O19" s="68"/>
      <c r="P19" s="68"/>
      <c r="Q19" s="73"/>
      <c r="R19" s="68"/>
      <c r="S19" s="68"/>
      <c r="T19" s="68"/>
      <c r="U19" s="68"/>
      <c r="V19" s="68"/>
      <c r="W19" s="68"/>
      <c r="X19" s="68"/>
    </row>
    <row r="20" spans="1:24" x14ac:dyDescent="0.3">
      <c r="B20" s="14"/>
      <c r="C20" s="79"/>
      <c r="D20" s="68"/>
      <c r="E20" s="68"/>
      <c r="H20" s="7"/>
      <c r="I20" s="68"/>
      <c r="J20" s="68"/>
      <c r="K20" s="68"/>
      <c r="L20" s="79"/>
      <c r="M20" s="79"/>
      <c r="N20" s="68"/>
      <c r="O20" s="68"/>
      <c r="P20" s="68"/>
      <c r="Q20" s="73"/>
      <c r="R20" s="68"/>
      <c r="S20" s="68"/>
      <c r="T20" s="68"/>
      <c r="U20" s="68"/>
      <c r="V20" s="68"/>
      <c r="W20" s="68"/>
      <c r="X20" s="68"/>
    </row>
    <row r="21" spans="1:24" x14ac:dyDescent="0.3">
      <c r="B21" s="14"/>
      <c r="C21" s="79"/>
      <c r="D21" s="68"/>
      <c r="E21" s="68"/>
      <c r="I21" s="68"/>
      <c r="J21" s="68"/>
      <c r="K21" s="68"/>
      <c r="L21" s="79"/>
      <c r="M21" s="79"/>
      <c r="N21" s="68"/>
      <c r="O21" s="68"/>
      <c r="P21" s="68"/>
      <c r="Q21" s="73"/>
      <c r="R21" s="68"/>
      <c r="S21" s="68"/>
      <c r="T21" s="68"/>
      <c r="U21" s="68"/>
      <c r="V21" s="68"/>
      <c r="W21" s="68"/>
      <c r="X21" s="68"/>
    </row>
    <row r="22" spans="1:24" ht="41.25" customHeight="1" x14ac:dyDescent="0.3">
      <c r="L22" s="7"/>
      <c r="M22" s="7"/>
    </row>
    <row r="26" spans="1:24" x14ac:dyDescent="0.3">
      <c r="J26" s="16"/>
      <c r="K26" s="16"/>
    </row>
  </sheetData>
  <mergeCells count="6">
    <mergeCell ref="F6:H6"/>
    <mergeCell ref="R6:T6"/>
    <mergeCell ref="B6:C6"/>
    <mergeCell ref="V6:X6"/>
    <mergeCell ref="M6:P6"/>
    <mergeCell ref="J6:K6"/>
  </mergeCells>
  <conditionalFormatting sqref="D3">
    <cfRule type="containsText" dxfId="0" priority="1" operator="containsText" text="Datos actualizados">
      <formula>NOT(ISERROR(SEARCH("Datos actualizados",D3)))</formula>
    </cfRule>
  </conditionalFormatting>
  <dataValidations count="2">
    <dataValidation type="list" allowBlank="1" showInputMessage="1" showErrorMessage="1" sqref="M5" xr:uid="{1E370577-3989-419E-B7EB-5EDE8CE983AE}">
      <formula1>$B$8:$B$10</formula1>
    </dataValidation>
    <dataValidation type="list" allowBlank="1" showInputMessage="1" showErrorMessage="1" sqref="M18:M21" xr:uid="{601E503C-C060-40FD-9C79-C1EAA069E4F3}">
      <formula1>$B$8:$B$13</formula1>
    </dataValidation>
  </dataValidations>
  <pageMargins left="0.7" right="0.7" top="0.75" bottom="0.75" header="0.3" footer="0.3"/>
  <pageSetup paperSize="9" orientation="portrait" r:id="rId1"/>
  <tableParts count="6">
    <tablePart r:id="rId2"/>
    <tablePart r:id="rId3"/>
    <tablePart r:id="rId4"/>
    <tablePart r:id="rId5"/>
    <tablePart r:id="rId6"/>
    <tablePart r:id="rId7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40242E-B157-4ABC-8E1F-047DBD593B94}">
  <sheetPr codeName="Hoja3">
    <tabColor rgb="FF00B050"/>
  </sheetPr>
  <dimension ref="A1:S27"/>
  <sheetViews>
    <sheetView showGridLines="0" zoomScale="70" zoomScaleNormal="70" workbookViewId="0">
      <selection activeCell="C22" activeCellId="1" sqref="J11 C22"/>
    </sheetView>
  </sheetViews>
  <sheetFormatPr baseColWidth="10" defaultColWidth="8.77734375" defaultRowHeight="14.4" x14ac:dyDescent="0.3"/>
  <cols>
    <col min="1" max="1" width="20.109375" customWidth="1"/>
    <col min="2" max="2" width="15.44140625" customWidth="1"/>
    <col min="3" max="3" width="31.77734375" customWidth="1"/>
    <col min="4" max="4" width="15.33203125" customWidth="1"/>
    <col min="5" max="5" width="21.44140625" customWidth="1"/>
    <col min="6" max="6" width="20" customWidth="1"/>
    <col min="7" max="7" width="18" bestFit="1" customWidth="1"/>
    <col min="8" max="8" width="22.109375" customWidth="1"/>
    <col min="9" max="9" width="22.6640625" customWidth="1"/>
    <col min="10" max="10" width="14" customWidth="1"/>
    <col min="11" max="11" width="13.109375" customWidth="1"/>
    <col min="12" max="12" width="18.44140625" customWidth="1"/>
    <col min="13" max="13" width="17.109375" customWidth="1"/>
    <col min="14" max="14" width="11.6640625" customWidth="1"/>
    <col min="15" max="15" width="111.44140625" customWidth="1"/>
    <col min="16" max="16" width="14.33203125" customWidth="1"/>
    <col min="17" max="17" width="8.77734375" style="57"/>
  </cols>
  <sheetData>
    <row r="1" spans="2:19" x14ac:dyDescent="0.3">
      <c r="H1" s="156"/>
      <c r="I1" s="156"/>
      <c r="J1" s="156"/>
      <c r="Q1"/>
    </row>
    <row r="2" spans="2:19" ht="14.55" customHeight="1" x14ac:dyDescent="0.3">
      <c r="B2" s="5" t="s">
        <v>0</v>
      </c>
      <c r="Q2"/>
    </row>
    <row r="3" spans="2:19" ht="14.55" customHeight="1" x14ac:dyDescent="0.3">
      <c r="B3" s="157" t="s">
        <v>2</v>
      </c>
      <c r="C3" s="157"/>
      <c r="D3" s="157"/>
      <c r="E3" s="157"/>
      <c r="F3" s="157"/>
      <c r="G3" s="157"/>
      <c r="H3" s="157"/>
      <c r="I3" s="157"/>
      <c r="J3" s="157"/>
      <c r="P3" s="8"/>
      <c r="Q3" s="8"/>
      <c r="R3" s="8"/>
      <c r="S3" s="8"/>
    </row>
    <row r="4" spans="2:19" x14ac:dyDescent="0.3">
      <c r="C4" s="68"/>
      <c r="D4" s="68"/>
      <c r="E4" s="68"/>
      <c r="F4" s="68"/>
      <c r="G4" s="68"/>
      <c r="H4" s="68"/>
      <c r="I4" s="68"/>
      <c r="J4" s="68"/>
      <c r="K4" s="15"/>
      <c r="L4" s="68"/>
      <c r="M4" s="68"/>
      <c r="N4" s="68"/>
      <c r="P4" s="9"/>
      <c r="Q4" s="9"/>
      <c r="R4" s="9"/>
      <c r="S4" s="9"/>
    </row>
    <row r="5" spans="2:19" x14ac:dyDescent="0.3">
      <c r="B5" s="158" t="s">
        <v>7</v>
      </c>
      <c r="C5" s="158"/>
      <c r="D5" s="158"/>
      <c r="E5" s="158"/>
      <c r="F5" s="158"/>
      <c r="G5" s="158"/>
      <c r="H5" s="158"/>
      <c r="I5" s="158"/>
      <c r="J5" s="158"/>
      <c r="K5" s="14"/>
      <c r="L5" s="68"/>
      <c r="M5" s="68"/>
      <c r="N5" s="68"/>
      <c r="P5" s="9"/>
      <c r="Q5" s="9"/>
      <c r="R5" s="9"/>
      <c r="S5" s="9"/>
    </row>
    <row r="6" spans="2:19" x14ac:dyDescent="0.3">
      <c r="B6" s="15"/>
      <c r="C6" s="15"/>
      <c r="D6" s="15"/>
      <c r="E6" s="15"/>
      <c r="F6" s="15"/>
      <c r="G6" s="15"/>
      <c r="H6" s="68"/>
      <c r="I6" s="68"/>
      <c r="J6" s="73"/>
      <c r="K6" s="14"/>
      <c r="L6" s="68"/>
      <c r="M6" s="68"/>
      <c r="N6" s="68"/>
      <c r="Q6"/>
    </row>
    <row r="7" spans="2:19" ht="28.95" customHeight="1" x14ac:dyDescent="0.3">
      <c r="B7" s="175" t="s">
        <v>222</v>
      </c>
      <c r="C7" s="174"/>
      <c r="D7" s="68"/>
      <c r="F7" s="176" t="s">
        <v>35</v>
      </c>
      <c r="G7" s="15"/>
      <c r="I7" s="175" t="s">
        <v>37</v>
      </c>
      <c r="J7" s="175"/>
      <c r="K7" s="14"/>
      <c r="O7" s="7"/>
      <c r="P7" s="7"/>
      <c r="Q7" s="7"/>
      <c r="R7" s="7"/>
    </row>
    <row r="8" spans="2:19" x14ac:dyDescent="0.3">
      <c r="B8" s="1" t="s">
        <v>4</v>
      </c>
      <c r="C8" s="1" t="s">
        <v>5</v>
      </c>
      <c r="D8" s="68"/>
      <c r="F8" s="71" t="s">
        <v>35</v>
      </c>
      <c r="G8" s="14"/>
      <c r="I8" s="71" t="s">
        <v>37</v>
      </c>
      <c r="J8" s="68" t="s">
        <v>103</v>
      </c>
      <c r="M8" s="7"/>
      <c r="N8" s="7"/>
      <c r="O8" s="7"/>
      <c r="P8" s="7"/>
      <c r="Q8"/>
    </row>
    <row r="9" spans="2:19" ht="32.549999999999997" customHeight="1" x14ac:dyDescent="0.3">
      <c r="B9" s="50" t="s">
        <v>8</v>
      </c>
      <c r="C9" s="50">
        <f ca="1">TODAY()</f>
        <v>45777</v>
      </c>
      <c r="D9" s="68"/>
      <c r="F9" s="74" t="s">
        <v>177</v>
      </c>
      <c r="G9" s="69"/>
      <c r="I9" s="74" t="s">
        <v>40</v>
      </c>
      <c r="J9" s="80" t="s">
        <v>6</v>
      </c>
      <c r="M9" s="7"/>
      <c r="N9" s="7"/>
      <c r="O9" s="7"/>
      <c r="Q9"/>
    </row>
    <row r="10" spans="2:19" ht="46.2" customHeight="1" x14ac:dyDescent="0.3">
      <c r="B10" s="50" t="s">
        <v>9</v>
      </c>
      <c r="C10" s="50" t="s">
        <v>10</v>
      </c>
      <c r="D10" s="68"/>
      <c r="F10" s="74" t="s">
        <v>178</v>
      </c>
      <c r="G10" s="70"/>
      <c r="I10" s="74" t="s">
        <v>46</v>
      </c>
      <c r="J10" s="80" t="s">
        <v>3</v>
      </c>
      <c r="M10" s="66"/>
      <c r="N10" s="66"/>
      <c r="O10" s="66"/>
      <c r="P10" s="66"/>
      <c r="Q10"/>
    </row>
    <row r="11" spans="2:19" x14ac:dyDescent="0.3">
      <c r="B11" s="50" t="s">
        <v>11</v>
      </c>
      <c r="C11" s="50" t="s">
        <v>12</v>
      </c>
      <c r="D11" s="68"/>
      <c r="F11" s="74" t="s">
        <v>179</v>
      </c>
      <c r="G11" s="68"/>
      <c r="I11" s="77" t="s">
        <v>108</v>
      </c>
      <c r="J11" s="198" t="s">
        <v>6</v>
      </c>
      <c r="M11" s="66"/>
      <c r="N11" s="66"/>
      <c r="O11" s="67"/>
      <c r="P11" s="66"/>
      <c r="Q11"/>
    </row>
    <row r="12" spans="2:19" ht="37.200000000000003" customHeight="1" x14ac:dyDescent="0.3">
      <c r="B12" s="50" t="s">
        <v>13</v>
      </c>
      <c r="C12" s="50" t="s">
        <v>14</v>
      </c>
      <c r="D12" s="68"/>
      <c r="F12" s="74" t="s">
        <v>183</v>
      </c>
      <c r="G12" s="68"/>
      <c r="I12" s="77" t="s">
        <v>191</v>
      </c>
      <c r="J12" s="75" t="s">
        <v>1</v>
      </c>
      <c r="M12" s="66"/>
      <c r="N12" s="66"/>
      <c r="O12" s="67"/>
      <c r="P12" s="66"/>
      <c r="Q12"/>
    </row>
    <row r="13" spans="2:19" x14ac:dyDescent="0.3">
      <c r="B13" s="50" t="s">
        <v>152</v>
      </c>
      <c r="C13" s="121">
        <v>0.19</v>
      </c>
      <c r="D13" s="68"/>
      <c r="F13" s="133" t="s">
        <v>180</v>
      </c>
      <c r="G13" s="68"/>
      <c r="I13" s="130" t="s">
        <v>99</v>
      </c>
      <c r="J13" s="131" t="s">
        <v>1</v>
      </c>
      <c r="K13" s="1"/>
      <c r="L13" s="68"/>
      <c r="M13" s="66"/>
      <c r="N13" s="66"/>
      <c r="O13" s="67"/>
      <c r="P13" s="66"/>
      <c r="Q13"/>
    </row>
    <row r="14" spans="2:19" x14ac:dyDescent="0.3">
      <c r="B14" s="50"/>
      <c r="C14" s="50"/>
      <c r="D14" s="68"/>
      <c r="F14" s="133" t="s">
        <v>43</v>
      </c>
      <c r="G14" s="15"/>
      <c r="I14" s="130"/>
      <c r="J14" s="79"/>
      <c r="K14" s="14"/>
      <c r="L14" s="15"/>
      <c r="M14" s="11"/>
      <c r="N14" s="11"/>
      <c r="O14" s="81"/>
      <c r="P14" s="66"/>
      <c r="Q14"/>
    </row>
    <row r="15" spans="2:19" x14ac:dyDescent="0.3">
      <c r="B15" s="50"/>
      <c r="C15" s="50"/>
      <c r="D15" s="68"/>
      <c r="F15" s="130" t="s">
        <v>218</v>
      </c>
      <c r="G15" s="15"/>
      <c r="I15" s="15"/>
      <c r="J15" s="15"/>
      <c r="K15" s="14"/>
      <c r="L15" s="15"/>
      <c r="M15" s="7"/>
      <c r="N15" s="7"/>
      <c r="O15" s="7"/>
      <c r="Q15"/>
    </row>
    <row r="16" spans="2:19" ht="89.55" customHeight="1" x14ac:dyDescent="0.3">
      <c r="B16" s="50"/>
      <c r="C16" s="50"/>
      <c r="D16" s="68"/>
      <c r="E16" s="68"/>
      <c r="F16" s="15"/>
      <c r="G16" s="15"/>
      <c r="H16" s="15"/>
      <c r="I16" s="15"/>
      <c r="J16" s="15"/>
      <c r="K16" s="15"/>
      <c r="L16" s="14"/>
      <c r="M16" s="14"/>
      <c r="N16" s="15"/>
      <c r="O16" s="7"/>
      <c r="P16" s="7"/>
      <c r="Q16" s="7"/>
    </row>
    <row r="17" spans="1:17" x14ac:dyDescent="0.3">
      <c r="A17" s="10"/>
      <c r="B17" s="50"/>
      <c r="C17" s="50"/>
      <c r="D17" s="78"/>
      <c r="E17" s="68"/>
      <c r="F17" s="15"/>
      <c r="G17" s="15"/>
      <c r="H17" s="15"/>
      <c r="I17" s="15"/>
      <c r="J17" s="15"/>
      <c r="K17" s="15"/>
      <c r="L17" s="15"/>
      <c r="M17" s="15"/>
      <c r="N17" s="15"/>
      <c r="O17" s="7"/>
      <c r="P17" s="64"/>
      <c r="Q17" s="7"/>
    </row>
    <row r="18" spans="1:17" x14ac:dyDescent="0.3">
      <c r="A18" s="10"/>
      <c r="B18" s="68"/>
      <c r="C18" s="68"/>
      <c r="D18" s="68"/>
      <c r="E18" s="68"/>
      <c r="F18" s="15"/>
      <c r="G18" s="15"/>
      <c r="H18" s="15"/>
      <c r="I18" s="15"/>
      <c r="J18" s="15"/>
      <c r="K18" s="15"/>
      <c r="L18" s="15"/>
      <c r="M18" s="15"/>
      <c r="N18" s="15"/>
      <c r="O18" s="11"/>
      <c r="P18" s="65"/>
      <c r="Q18" s="82"/>
    </row>
    <row r="19" spans="1:17" x14ac:dyDescent="0.3">
      <c r="A19" s="10"/>
      <c r="B19" s="68"/>
      <c r="C19" s="68"/>
      <c r="D19" s="68"/>
      <c r="E19" s="68"/>
      <c r="F19" s="15"/>
      <c r="G19" s="15"/>
      <c r="H19" s="15"/>
      <c r="I19" s="15"/>
      <c r="J19" s="15"/>
      <c r="K19" s="15"/>
      <c r="L19" s="15"/>
      <c r="M19" s="15"/>
      <c r="N19" s="15"/>
      <c r="O19" s="11"/>
      <c r="P19" s="65"/>
      <c r="Q19" s="82"/>
    </row>
    <row r="20" spans="1:17" x14ac:dyDescent="0.3">
      <c r="B20" s="68"/>
      <c r="C20" s="68"/>
      <c r="D20" s="68"/>
      <c r="E20" s="68"/>
      <c r="F20" s="16"/>
      <c r="G20" s="15"/>
      <c r="H20" s="15"/>
      <c r="I20" s="7"/>
      <c r="J20" s="7"/>
      <c r="K20" s="15"/>
      <c r="L20" s="15"/>
      <c r="M20" s="15"/>
      <c r="N20" s="15"/>
      <c r="O20" s="11"/>
      <c r="P20" s="65"/>
      <c r="Q20" s="82"/>
    </row>
    <row r="21" spans="1:17" x14ac:dyDescent="0.3">
      <c r="B21" s="68"/>
      <c r="C21" s="68"/>
      <c r="D21" s="68"/>
      <c r="F21" s="17"/>
      <c r="G21" s="15"/>
      <c r="H21" s="16"/>
      <c r="I21" s="7"/>
      <c r="J21" s="7"/>
      <c r="K21" s="15"/>
      <c r="L21" s="15"/>
      <c r="M21" s="15"/>
      <c r="N21" s="15"/>
      <c r="O21" s="11"/>
      <c r="P21" s="65"/>
      <c r="Q21" s="82"/>
    </row>
    <row r="22" spans="1:17" ht="41.25" customHeight="1" x14ac:dyDescent="0.3">
      <c r="B22" s="68"/>
      <c r="C22" s="78"/>
      <c r="D22" s="68"/>
      <c r="F22" s="16"/>
      <c r="G22" s="16"/>
      <c r="H22" s="17"/>
      <c r="I22" s="7"/>
      <c r="J22" s="7"/>
      <c r="K22" s="15"/>
      <c r="L22" s="15"/>
      <c r="M22" s="15"/>
      <c r="N22" s="15"/>
      <c r="O22" s="7"/>
      <c r="P22" s="7"/>
      <c r="Q22" s="83"/>
    </row>
    <row r="23" spans="1:17" x14ac:dyDescent="0.3">
      <c r="F23" s="7"/>
      <c r="G23" s="14"/>
      <c r="H23" s="16"/>
      <c r="I23" s="7"/>
      <c r="J23" s="7"/>
      <c r="K23" s="7"/>
      <c r="L23" s="7"/>
      <c r="M23" s="7"/>
      <c r="N23" s="7"/>
      <c r="O23" s="7"/>
      <c r="P23" s="7"/>
      <c r="Q23" s="83"/>
    </row>
    <row r="24" spans="1:17" x14ac:dyDescent="0.3">
      <c r="F24" s="7"/>
      <c r="G24" s="18"/>
      <c r="H24" s="7"/>
      <c r="I24" s="7"/>
      <c r="J24" s="7"/>
      <c r="K24" s="7"/>
      <c r="L24" s="7"/>
      <c r="M24" s="7"/>
      <c r="N24" s="7"/>
      <c r="O24" s="7"/>
      <c r="P24" s="7"/>
      <c r="Q24" s="83"/>
    </row>
    <row r="25" spans="1:17" x14ac:dyDescent="0.3">
      <c r="F25" s="7"/>
      <c r="G25" s="7"/>
      <c r="H25" s="7"/>
      <c r="K25" s="7"/>
      <c r="L25" s="7"/>
      <c r="M25" s="7"/>
      <c r="N25" s="7"/>
      <c r="O25" s="7"/>
      <c r="P25" s="7"/>
      <c r="Q25" s="83"/>
    </row>
    <row r="26" spans="1:17" x14ac:dyDescent="0.3">
      <c r="G26" s="7"/>
      <c r="K26" s="7"/>
      <c r="L26" s="7"/>
      <c r="M26" s="7"/>
      <c r="N26" s="7"/>
      <c r="O26" s="7"/>
      <c r="P26" s="7"/>
      <c r="Q26" s="83"/>
    </row>
    <row r="27" spans="1:17" x14ac:dyDescent="0.3">
      <c r="G27" s="7"/>
      <c r="K27" s="7"/>
      <c r="L27" s="7"/>
      <c r="M27" s="7"/>
      <c r="N27" s="7"/>
      <c r="O27" s="7"/>
      <c r="P27" s="7"/>
      <c r="Q27" s="83"/>
    </row>
  </sheetData>
  <mergeCells count="5">
    <mergeCell ref="H1:J1"/>
    <mergeCell ref="B3:J3"/>
    <mergeCell ref="B5:J5"/>
    <mergeCell ref="B7:C7"/>
    <mergeCell ref="I7:J7"/>
  </mergeCells>
  <pageMargins left="0.7" right="0.7" top="0.75" bottom="0.75" header="0.3" footer="0.3"/>
  <pageSetup paperSize="9" orientation="portrait" r:id="rId1"/>
  <tableParts count="3">
    <tablePart r:id="rId2"/>
    <tablePart r:id="rId3"/>
    <tablePart r:id="rId4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5A721BF-53C2-4721-BC8E-F4AC49B4AAE1}">
          <x14:formula1>
            <xm:f>'Datos generales'!$B$8:$B$1048576</xm:f>
          </x14:formula1>
          <xm:sqref>J9:J1048576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B77D-49AC-4843-B975-EC8D72F2269F}">
  <sheetPr codeName="Hoja9">
    <tabColor rgb="FF00B050"/>
  </sheetPr>
  <dimension ref="B1:P1000"/>
  <sheetViews>
    <sheetView tabSelected="1" zoomScale="85" zoomScaleNormal="85" workbookViewId="0">
      <selection activeCell="E15" sqref="E15"/>
    </sheetView>
  </sheetViews>
  <sheetFormatPr baseColWidth="10" defaultColWidth="11.44140625" defaultRowHeight="14.4" x14ac:dyDescent="0.3"/>
  <cols>
    <col min="2" max="2" width="15.6640625" style="21" customWidth="1"/>
    <col min="3" max="3" width="12.6640625" style="111" customWidth="1"/>
    <col min="4" max="4" width="19.44140625" style="23" customWidth="1"/>
    <col min="5" max="5" width="28.44140625" style="111" customWidth="1"/>
    <col min="6" max="6" width="12.109375" style="111" customWidth="1"/>
    <col min="7" max="7" width="17.77734375" style="21" customWidth="1"/>
    <col min="8" max="8" width="10.44140625" style="20" customWidth="1"/>
    <col min="9" max="9" width="10" style="112" customWidth="1"/>
    <col min="10" max="10" width="16.109375" style="112" customWidth="1"/>
    <col min="11" max="11" width="15.109375" style="112" customWidth="1"/>
    <col min="12" max="12" width="11.44140625" style="61"/>
    <col min="13" max="13" width="11.44140625" style="112"/>
    <col min="14" max="14" width="11.44140625" style="113"/>
  </cols>
  <sheetData>
    <row r="1" spans="2:16" x14ac:dyDescent="0.3">
      <c r="B1" s="32"/>
      <c r="C1" s="32"/>
      <c r="D1" s="32"/>
      <c r="E1"/>
      <c r="F1"/>
      <c r="G1"/>
      <c r="H1"/>
      <c r="I1"/>
      <c r="J1"/>
      <c r="K1"/>
      <c r="L1"/>
      <c r="M1"/>
      <c r="N1"/>
    </row>
    <row r="2" spans="2:16" x14ac:dyDescent="0.3">
      <c r="B2" s="32"/>
      <c r="C2" s="32"/>
      <c r="D2" s="32"/>
      <c r="E2"/>
      <c r="F2"/>
      <c r="G2"/>
      <c r="H2"/>
      <c r="I2"/>
      <c r="J2"/>
      <c r="K2"/>
      <c r="L2"/>
      <c r="M2"/>
      <c r="N2"/>
    </row>
    <row r="3" spans="2:16" x14ac:dyDescent="0.3">
      <c r="B3" s="33"/>
      <c r="C3" s="32"/>
      <c r="D3" s="32"/>
      <c r="E3"/>
      <c r="F3"/>
      <c r="G3"/>
      <c r="H3"/>
      <c r="I3"/>
      <c r="J3"/>
      <c r="K3"/>
      <c r="L3"/>
      <c r="M3"/>
      <c r="N3"/>
    </row>
    <row r="4" spans="2:16" x14ac:dyDescent="0.3">
      <c r="B4" s="32"/>
      <c r="C4" s="32"/>
      <c r="D4" s="34"/>
      <c r="E4"/>
      <c r="F4"/>
      <c r="G4"/>
      <c r="H4"/>
      <c r="I4"/>
      <c r="J4"/>
      <c r="K4"/>
      <c r="L4"/>
      <c r="M4"/>
      <c r="N4"/>
    </row>
    <row r="5" spans="2:16" x14ac:dyDescent="0.3">
      <c r="B5" s="91" t="s">
        <v>49</v>
      </c>
      <c r="C5" s="91" t="s">
        <v>49</v>
      </c>
      <c r="D5" s="91" t="s">
        <v>134</v>
      </c>
      <c r="E5" s="4" t="s">
        <v>134</v>
      </c>
      <c r="F5" s="4" t="s">
        <v>50</v>
      </c>
      <c r="G5" s="91" t="s">
        <v>49</v>
      </c>
      <c r="H5" s="91" t="s">
        <v>49</v>
      </c>
      <c r="I5" s="4" t="s">
        <v>50</v>
      </c>
      <c r="J5" s="4" t="s">
        <v>50</v>
      </c>
      <c r="K5" s="4" t="s">
        <v>50</v>
      </c>
      <c r="L5" s="4" t="s">
        <v>50</v>
      </c>
      <c r="M5" s="4" t="s">
        <v>50</v>
      </c>
      <c r="N5" s="4" t="s">
        <v>50</v>
      </c>
    </row>
    <row r="6" spans="2:16" ht="28.8" x14ac:dyDescent="0.3">
      <c r="B6" s="19" t="s">
        <v>37</v>
      </c>
      <c r="C6" s="19" t="s">
        <v>51</v>
      </c>
      <c r="D6" s="19" t="s">
        <v>47</v>
      </c>
      <c r="E6" s="19" t="s">
        <v>36</v>
      </c>
      <c r="F6" s="19" t="s">
        <v>114</v>
      </c>
      <c r="G6" s="19" t="s">
        <v>52</v>
      </c>
      <c r="H6" s="19" t="s">
        <v>53</v>
      </c>
      <c r="I6" s="29" t="s">
        <v>54</v>
      </c>
      <c r="J6" s="19" t="s">
        <v>55</v>
      </c>
      <c r="K6" s="19" t="s">
        <v>149</v>
      </c>
      <c r="L6" s="29" t="s">
        <v>56</v>
      </c>
      <c r="M6" s="19" t="s">
        <v>57</v>
      </c>
      <c r="N6" s="36" t="s">
        <v>58</v>
      </c>
    </row>
    <row r="7" spans="2:16" ht="66" customHeight="1" x14ac:dyDescent="0.3">
      <c r="B7" s="27" t="s">
        <v>46</v>
      </c>
      <c r="C7" s="20" t="s">
        <v>177</v>
      </c>
      <c r="D7" s="56" t="s">
        <v>184</v>
      </c>
      <c r="E7" s="31" t="s">
        <v>185</v>
      </c>
      <c r="F7" t="str">
        <f>_xlfn.XLOOKUP(Tabla2757[[#This Row],[Tipo de venta]],Tabla2329[Tipo de venta],Tabla2329[Moneda final], "Error - Seleccionar Tipo de Venta", 0,1)</f>
        <v>UF</v>
      </c>
      <c r="G7" s="20" t="s">
        <v>29</v>
      </c>
      <c r="H7" s="20" t="s">
        <v>25</v>
      </c>
      <c r="I7" s="30">
        <f>_xlfn.XLOOKUP(Tabla2757[[#This Row],[Puesto Encargado]], Tabla9[Puesto], Tabla9[Precio cliente],0,1,1)</f>
        <v>0.83333333333333337</v>
      </c>
      <c r="J7" s="30">
        <f>_xlfn.XLOOKUP(Tabla2757[[#This Row],[Cargo]], Tabla958[Cargos], Tabla958[Ponderador Precio],0,1,1)</f>
        <v>1</v>
      </c>
      <c r="K7" s="30">
        <f>Tabla2757[[#This Row],[Precio por hora UF]]*Tabla2757[[#This Row],[Ponderador]]</f>
        <v>0.83333333333333337</v>
      </c>
      <c r="L7" s="40">
        <v>8</v>
      </c>
      <c r="M7" s="30">
        <f>Tabla2757[[#This Row],[Precio por hora]]*Tabla2757[[#This Row],[Cantidad horas]]</f>
        <v>6.666666666666667</v>
      </c>
      <c r="N7" s="58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6.666666666666667</v>
      </c>
    </row>
    <row r="8" spans="2:16" ht="43.2" x14ac:dyDescent="0.3">
      <c r="B8" s="27" t="s">
        <v>46</v>
      </c>
      <c r="C8" s="20" t="s">
        <v>178</v>
      </c>
      <c r="D8" s="56" t="s">
        <v>184</v>
      </c>
      <c r="E8" s="31" t="s">
        <v>185</v>
      </c>
      <c r="F8" t="str">
        <f>_xlfn.XLOOKUP(Tabla2757[[#This Row],[Tipo de venta]],Tabla2329[Tipo de venta],Tabla2329[Moneda final], "Error - Seleccionar Tipo de Venta", 0,1)</f>
        <v>UF</v>
      </c>
      <c r="G8" s="20" t="s">
        <v>29</v>
      </c>
      <c r="H8" s="20" t="s">
        <v>25</v>
      </c>
      <c r="I8" s="30">
        <f>_xlfn.XLOOKUP(Tabla2757[[#This Row],[Puesto Encargado]], Tabla9[Puesto], Tabla9[Precio cliente],0,1,1)</f>
        <v>0.83333333333333337</v>
      </c>
      <c r="J8" s="30">
        <f>_xlfn.XLOOKUP(Tabla2757[[#This Row],[Cargo]], Tabla958[Cargos], Tabla958[Ponderador Precio],0,1,1)</f>
        <v>1</v>
      </c>
      <c r="K8" s="30">
        <f>Tabla2757[[#This Row],[Precio por hora UF]]*Tabla2757[[#This Row],[Ponderador]]</f>
        <v>0.83333333333333337</v>
      </c>
      <c r="L8" s="40">
        <v>14</v>
      </c>
      <c r="M8" s="30">
        <f>Tabla2757[[#This Row],[Precio por hora]]*Tabla2757[[#This Row],[Cantidad horas]]</f>
        <v>11.666666666666668</v>
      </c>
      <c r="N8" s="58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11.666666666666668</v>
      </c>
    </row>
    <row r="9" spans="2:16" ht="43.2" x14ac:dyDescent="0.3">
      <c r="B9" s="27" t="s">
        <v>46</v>
      </c>
      <c r="C9" s="20" t="s">
        <v>179</v>
      </c>
      <c r="D9" s="56" t="s">
        <v>184</v>
      </c>
      <c r="E9" s="31" t="s">
        <v>185</v>
      </c>
      <c r="F9" t="str">
        <f>_xlfn.XLOOKUP(Tabla2757[[#This Row],[Tipo de venta]],Tabla2329[Tipo de venta],Tabla2329[Moneda final], "Error - Seleccionar Tipo de Venta", 0,1)</f>
        <v>UF</v>
      </c>
      <c r="G9" s="20" t="s">
        <v>29</v>
      </c>
      <c r="H9" s="20" t="s">
        <v>25</v>
      </c>
      <c r="I9" s="30">
        <f>_xlfn.XLOOKUP(Tabla2757[[#This Row],[Puesto Encargado]], Tabla9[Puesto], Tabla9[Precio cliente],0,1,1)</f>
        <v>0.83333333333333337</v>
      </c>
      <c r="J9" s="30">
        <f>_xlfn.XLOOKUP(Tabla2757[[#This Row],[Cargo]], Tabla958[Cargos], Tabla958[Ponderador Precio],0,1,1)</f>
        <v>1</v>
      </c>
      <c r="K9" s="30">
        <f>Tabla2757[[#This Row],[Precio por hora UF]]*Tabla2757[[#This Row],[Ponderador]]</f>
        <v>0.83333333333333337</v>
      </c>
      <c r="L9" s="40">
        <v>10</v>
      </c>
      <c r="M9" s="30">
        <f>Tabla2757[[#This Row],[Precio por hora]]*Tabla2757[[#This Row],[Cantidad horas]]</f>
        <v>8.3333333333333339</v>
      </c>
      <c r="N9" s="59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8.3333333333333339</v>
      </c>
    </row>
    <row r="10" spans="2:16" ht="43.2" x14ac:dyDescent="0.3">
      <c r="B10" s="27" t="s">
        <v>46</v>
      </c>
      <c r="C10" s="20" t="s">
        <v>183</v>
      </c>
      <c r="D10" s="56" t="s">
        <v>184</v>
      </c>
      <c r="E10" s="31" t="s">
        <v>185</v>
      </c>
      <c r="F10" t="str">
        <f>_xlfn.XLOOKUP(Tabla2757[[#This Row],[Tipo de venta]],Tabla2329[Tipo de venta],Tabla2329[Moneda final], "Error - Seleccionar Tipo de Venta", 0,1)</f>
        <v>UF</v>
      </c>
      <c r="G10" s="20" t="s">
        <v>29</v>
      </c>
      <c r="H10" s="20" t="s">
        <v>25</v>
      </c>
      <c r="I10" s="30">
        <f>_xlfn.XLOOKUP(Tabla2757[[#This Row],[Puesto Encargado]], Tabla9[Puesto], Tabla9[Precio cliente],0,1,1)</f>
        <v>0.83333333333333337</v>
      </c>
      <c r="J10" s="30">
        <f>_xlfn.XLOOKUP(Tabla2757[[#This Row],[Cargo]], Tabla958[Cargos], Tabla958[Ponderador Precio],0,1,1)</f>
        <v>1</v>
      </c>
      <c r="K10" s="30">
        <f>Tabla2757[[#This Row],[Precio por hora UF]]*Tabla2757[[#This Row],[Ponderador]]</f>
        <v>0.83333333333333337</v>
      </c>
      <c r="L10" s="40">
        <v>8</v>
      </c>
      <c r="M10" s="30">
        <f>Tabla2757[[#This Row],[Precio por hora]]*Tabla2757[[#This Row],[Cantidad horas]]</f>
        <v>6.666666666666667</v>
      </c>
      <c r="N10" s="59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6.666666666666667</v>
      </c>
      <c r="P10" s="110" t="e">
        <f>N7+#REF!</f>
        <v>#REF!</v>
      </c>
    </row>
    <row r="11" spans="2:16" x14ac:dyDescent="0.3">
      <c r="B11" s="27" t="s">
        <v>191</v>
      </c>
      <c r="C11" s="20" t="s">
        <v>180</v>
      </c>
      <c r="D11" s="23" t="s">
        <v>189</v>
      </c>
      <c r="E11" s="136" t="s">
        <v>190</v>
      </c>
      <c r="F11" t="str">
        <f>_xlfn.XLOOKUP(Tabla2757[[#This Row],[Tipo de venta]],Tabla2329[Tipo de venta],Tabla2329[Moneda final], "Error - Seleccionar Tipo de Venta", 0,1)</f>
        <v>CLP</v>
      </c>
      <c r="G11" s="20" t="s">
        <v>32</v>
      </c>
      <c r="H11" s="20" t="s">
        <v>28</v>
      </c>
      <c r="I11" s="30">
        <f>_xlfn.XLOOKUP(Tabla2757[[#This Row],[Puesto Encargado]], Tabla9[Puesto], Tabla9[Precio cliente],0,1,1)</f>
        <v>0.5</v>
      </c>
      <c r="J11" s="30">
        <f>_xlfn.XLOOKUP(Tabla2757[[#This Row],[Cargo]], Tabla958[Cargos], Tabla958[Ponderador Precio],0,1,1)</f>
        <v>1.5</v>
      </c>
      <c r="K11" s="30">
        <f>Tabla2757[[#This Row],[Precio por hora UF]]*Tabla2757[[#This Row],[Ponderador]]</f>
        <v>0.75</v>
      </c>
      <c r="L11" s="40">
        <v>20</v>
      </c>
      <c r="M11" s="30">
        <f>Tabla2757[[#This Row],[Precio por hora]]*Tabla2757[[#This Row],[Cantidad horas]]</f>
        <v>15</v>
      </c>
      <c r="N11" s="59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576138</v>
      </c>
    </row>
    <row r="12" spans="2:16" x14ac:dyDescent="0.3">
      <c r="B12" s="27"/>
      <c r="C12" s="20"/>
      <c r="E12" s="136"/>
      <c r="F12" s="20">
        <f>_xlfn.XLOOKUP(Tabla2757[[#This Row],[Tipo de venta]],Tabla2329[Tipo de venta],Tabla2329[Moneda final], "Error - Seleccionar Tipo de Venta", 0,1)</f>
        <v>0</v>
      </c>
      <c r="H12" s="21"/>
      <c r="I12" s="30">
        <f>_xlfn.XLOOKUP(Tabla2757[[#This Row],[Puesto Encargado]], Tabla9[Puesto], Tabla9[Precio cliente],0,1,1)</f>
        <v>0</v>
      </c>
      <c r="J12" s="30">
        <f>_xlfn.XLOOKUP(Tabla2757[[#This Row],[Cargo]], Tabla958[Cargos], Tabla958[Ponderador Precio],0,1,1)</f>
        <v>0</v>
      </c>
      <c r="K12" s="30">
        <f>Tabla2757[[#This Row],[Precio por hora UF]]*Tabla2757[[#This Row],[Ponderador]]</f>
        <v>0</v>
      </c>
      <c r="L12" s="40">
        <v>0</v>
      </c>
      <c r="M12" s="30">
        <f>Tabla2757[[#This Row],[Precio por hora]]*Tabla2757[[#This Row],[Cantidad horas]]</f>
        <v>0</v>
      </c>
      <c r="N12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13" spans="2:16" x14ac:dyDescent="0.3">
      <c r="B13" s="28"/>
      <c r="C13" s="20"/>
      <c r="E13" s="136"/>
      <c r="F13" s="177">
        <f>_xlfn.XLOOKUP(Tabla2757[[#This Row],[Tipo de venta]],Tabla2329[Tipo de venta],Tabla2329[Moneda final], "Error - Seleccionar Tipo de Venta", 0,1)</f>
        <v>0</v>
      </c>
      <c r="G13" s="178"/>
      <c r="H13" s="21"/>
      <c r="I13" s="30">
        <f>_xlfn.XLOOKUP(Tabla2757[[#This Row],[Puesto Encargado]], Tabla9[Puesto], Tabla9[Precio cliente],0,1,1)</f>
        <v>0</v>
      </c>
      <c r="J13" s="30">
        <f>_xlfn.XLOOKUP(Tabla2757[[#This Row],[Cargo]], Tabla958[Cargos], Tabla958[Ponderador Precio],0,1,1)</f>
        <v>0</v>
      </c>
      <c r="K13" s="30">
        <f>Tabla2757[[#This Row],[Precio por hora UF]]*Tabla2757[[#This Row],[Ponderador]]</f>
        <v>0</v>
      </c>
      <c r="L13" s="40">
        <v>0</v>
      </c>
      <c r="M13" s="30">
        <f>Tabla2757[[#This Row],[Precio por hora]]*Tabla2757[[#This Row],[Cantidad horas]]</f>
        <v>0</v>
      </c>
      <c r="N13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14" spans="2:16" x14ac:dyDescent="0.3">
      <c r="B14" s="28"/>
      <c r="C14" s="20"/>
      <c r="E14" s="136"/>
      <c r="F14" s="177">
        <f>_xlfn.XLOOKUP(Tabla2757[[#This Row],[Tipo de venta]],Tabla2329[Tipo de venta],Tabla2329[Moneda final], "Error - Seleccionar Tipo de Venta", 0,1)</f>
        <v>0</v>
      </c>
      <c r="G14" s="178"/>
      <c r="H14" s="21"/>
      <c r="I14" s="30">
        <f>_xlfn.XLOOKUP(Tabla2757[[#This Row],[Puesto Encargado]], Tabla9[Puesto], Tabla9[Precio cliente],0,1,1)</f>
        <v>0</v>
      </c>
      <c r="J14" s="30">
        <f>_xlfn.XLOOKUP(Tabla2757[[#This Row],[Cargo]], Tabla958[Cargos], Tabla958[Ponderador Precio],0,1,1)</f>
        <v>0</v>
      </c>
      <c r="K14" s="30">
        <f>Tabla2757[[#This Row],[Precio por hora UF]]*Tabla2757[[#This Row],[Ponderador]]</f>
        <v>0</v>
      </c>
      <c r="L14" s="40">
        <v>0</v>
      </c>
      <c r="M14" s="30">
        <f>Tabla2757[[#This Row],[Precio por hora]]*Tabla2757[[#This Row],[Cantidad horas]]</f>
        <v>0</v>
      </c>
      <c r="N14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15" spans="2:16" x14ac:dyDescent="0.3">
      <c r="B15" s="28"/>
      <c r="C15" s="20"/>
      <c r="E15" s="197"/>
      <c r="F15" s="177">
        <f>_xlfn.XLOOKUP(Tabla2757[[#This Row],[Tipo de venta]],Tabla2329[Tipo de venta],Tabla2329[Moneda final], "Error - Seleccionar Tipo de Venta", 0,1)</f>
        <v>0</v>
      </c>
      <c r="G15" s="178"/>
      <c r="H15" s="21"/>
      <c r="I15" s="30">
        <f>_xlfn.XLOOKUP(Tabla2757[[#This Row],[Puesto Encargado]], Tabla9[Puesto], Tabla9[Precio cliente],0,1,1)</f>
        <v>0</v>
      </c>
      <c r="J15" s="30">
        <f>_xlfn.XLOOKUP(Tabla2757[[#This Row],[Cargo]], Tabla958[Cargos], Tabla958[Ponderador Precio],0,1,1)</f>
        <v>0</v>
      </c>
      <c r="K15" s="30">
        <f>Tabla2757[[#This Row],[Precio por hora UF]]*Tabla2757[[#This Row],[Ponderador]]</f>
        <v>0</v>
      </c>
      <c r="L15" s="40">
        <v>0</v>
      </c>
      <c r="M15" s="30">
        <f>Tabla2757[[#This Row],[Precio por hora]]*Tabla2757[[#This Row],[Cantidad horas]]</f>
        <v>0</v>
      </c>
      <c r="N15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16" spans="2:16" x14ac:dyDescent="0.3">
      <c r="B16" s="28"/>
      <c r="C16" s="20"/>
      <c r="E16" s="136"/>
      <c r="F16" s="177">
        <f>_xlfn.XLOOKUP(Tabla2757[[#This Row],[Tipo de venta]],Tabla2329[Tipo de venta],Tabla2329[Moneda final], "Error - Seleccionar Tipo de Venta", 0,1)</f>
        <v>0</v>
      </c>
      <c r="G16" s="178"/>
      <c r="H16" s="21"/>
      <c r="I16" s="30">
        <f>_xlfn.XLOOKUP(Tabla2757[[#This Row],[Puesto Encargado]], Tabla9[Puesto], Tabla9[Precio cliente],0,1,1)</f>
        <v>0</v>
      </c>
      <c r="J16" s="30">
        <f>_xlfn.XLOOKUP(Tabla2757[[#This Row],[Cargo]], Tabla958[Cargos], Tabla958[Ponderador Precio],0,1,1)</f>
        <v>0</v>
      </c>
      <c r="K16" s="30">
        <f>Tabla2757[[#This Row],[Precio por hora UF]]*Tabla2757[[#This Row],[Ponderador]]</f>
        <v>0</v>
      </c>
      <c r="L16" s="40">
        <v>0</v>
      </c>
      <c r="M16" s="30">
        <f>Tabla2757[[#This Row],[Precio por hora]]*Tabla2757[[#This Row],[Cantidad horas]]</f>
        <v>0</v>
      </c>
      <c r="N16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17" spans="2:14" x14ac:dyDescent="0.3">
      <c r="B17" s="28"/>
      <c r="C17" s="20"/>
      <c r="E17" s="136"/>
      <c r="F17" s="177">
        <f>_xlfn.XLOOKUP(Tabla2757[[#This Row],[Tipo de venta]],Tabla2329[Tipo de venta],Tabla2329[Moneda final], "Error - Seleccionar Tipo de Venta", 0,1)</f>
        <v>0</v>
      </c>
      <c r="G17" s="178"/>
      <c r="H17" s="21"/>
      <c r="I17" s="30">
        <f>_xlfn.XLOOKUP(Tabla2757[[#This Row],[Puesto Encargado]], Tabla9[Puesto], Tabla9[Precio cliente],0,1,1)</f>
        <v>0</v>
      </c>
      <c r="J17" s="30">
        <f>_xlfn.XLOOKUP(Tabla2757[[#This Row],[Cargo]], Tabla958[Cargos], Tabla958[Ponderador Precio],0,1,1)</f>
        <v>0</v>
      </c>
      <c r="K17" s="30">
        <f>Tabla2757[[#This Row],[Precio por hora UF]]*Tabla2757[[#This Row],[Ponderador]]</f>
        <v>0</v>
      </c>
      <c r="L17" s="40">
        <v>0</v>
      </c>
      <c r="M17" s="30">
        <f>Tabla2757[[#This Row],[Precio por hora]]*Tabla2757[[#This Row],[Cantidad horas]]</f>
        <v>0</v>
      </c>
      <c r="N17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18" spans="2:14" x14ac:dyDescent="0.3">
      <c r="B18" s="28"/>
      <c r="C18" s="20"/>
      <c r="E18" s="136"/>
      <c r="F18" s="177">
        <f>_xlfn.XLOOKUP(Tabla2757[[#This Row],[Tipo de venta]],Tabla2329[Tipo de venta],Tabla2329[Moneda final], "Error - Seleccionar Tipo de Venta", 0,1)</f>
        <v>0</v>
      </c>
      <c r="G18" s="178"/>
      <c r="H18" s="21"/>
      <c r="I18" s="30">
        <f>_xlfn.XLOOKUP(Tabla2757[[#This Row],[Puesto Encargado]], Tabla9[Puesto], Tabla9[Precio cliente],0,1,1)</f>
        <v>0</v>
      </c>
      <c r="J18" s="30">
        <f>_xlfn.XLOOKUP(Tabla2757[[#This Row],[Cargo]], Tabla958[Cargos], Tabla958[Ponderador Precio],0,1,1)</f>
        <v>0</v>
      </c>
      <c r="K18" s="30">
        <f>Tabla2757[[#This Row],[Precio por hora UF]]*Tabla2757[[#This Row],[Ponderador]]</f>
        <v>0</v>
      </c>
      <c r="L18" s="40">
        <v>0</v>
      </c>
      <c r="M18" s="30">
        <f>Tabla2757[[#This Row],[Precio por hora]]*Tabla2757[[#This Row],[Cantidad horas]]</f>
        <v>0</v>
      </c>
      <c r="N18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19" spans="2:14" x14ac:dyDescent="0.3">
      <c r="B19" s="28"/>
      <c r="C19" s="20"/>
      <c r="E19" s="136"/>
      <c r="F19" s="177">
        <f>_xlfn.XLOOKUP(Tabla2757[[#This Row],[Tipo de venta]],Tabla2329[Tipo de venta],Tabla2329[Moneda final], "Error - Seleccionar Tipo de Venta", 0,1)</f>
        <v>0</v>
      </c>
      <c r="G19" s="178"/>
      <c r="H19" s="21"/>
      <c r="I19" s="30">
        <f>_xlfn.XLOOKUP(Tabla2757[[#This Row],[Puesto Encargado]], Tabla9[Puesto], Tabla9[Precio cliente],0,1,1)</f>
        <v>0</v>
      </c>
      <c r="J19" s="30">
        <f>_xlfn.XLOOKUP(Tabla2757[[#This Row],[Cargo]], Tabla958[Cargos], Tabla958[Ponderador Precio],0,1,1)</f>
        <v>0</v>
      </c>
      <c r="K19" s="30">
        <f>Tabla2757[[#This Row],[Precio por hora UF]]*Tabla2757[[#This Row],[Ponderador]]</f>
        <v>0</v>
      </c>
      <c r="L19" s="40">
        <v>0</v>
      </c>
      <c r="M19" s="30">
        <f>Tabla2757[[#This Row],[Precio por hora]]*Tabla2757[[#This Row],[Cantidad horas]]</f>
        <v>0</v>
      </c>
      <c r="N19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20" spans="2:14" x14ac:dyDescent="0.3">
      <c r="B20" s="28"/>
      <c r="C20" s="20"/>
      <c r="E20" s="136"/>
      <c r="F20" s="177">
        <f>_xlfn.XLOOKUP(Tabla2757[[#This Row],[Tipo de venta]],Tabla2329[Tipo de venta],Tabla2329[Moneda final], "Error - Seleccionar Tipo de Venta", 0,1)</f>
        <v>0</v>
      </c>
      <c r="G20" s="178"/>
      <c r="H20" s="21"/>
      <c r="I20" s="30">
        <f>_xlfn.XLOOKUP(Tabla2757[[#This Row],[Puesto Encargado]], Tabla9[Puesto], Tabla9[Precio cliente],0,1,1)</f>
        <v>0</v>
      </c>
      <c r="J20" s="30">
        <f>_xlfn.XLOOKUP(Tabla2757[[#This Row],[Cargo]], Tabla958[Cargos], Tabla958[Ponderador Precio],0,1,1)</f>
        <v>0</v>
      </c>
      <c r="K20" s="30">
        <f>Tabla2757[[#This Row],[Precio por hora UF]]*Tabla2757[[#This Row],[Ponderador]]</f>
        <v>0</v>
      </c>
      <c r="L20" s="40">
        <v>0</v>
      </c>
      <c r="M20" s="30">
        <f>Tabla2757[[#This Row],[Precio por hora]]*Tabla2757[[#This Row],[Cantidad horas]]</f>
        <v>0</v>
      </c>
      <c r="N20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21" spans="2:14" x14ac:dyDescent="0.3">
      <c r="B21" s="28"/>
      <c r="C21" s="20"/>
      <c r="E21" s="136"/>
      <c r="F21" s="177">
        <f>_xlfn.XLOOKUP(Tabla2757[[#This Row],[Tipo de venta]],Tabla2329[Tipo de venta],Tabla2329[Moneda final], "Error - Seleccionar Tipo de Venta", 0,1)</f>
        <v>0</v>
      </c>
      <c r="G21" s="178"/>
      <c r="H21" s="21"/>
      <c r="I21" s="30">
        <f>_xlfn.XLOOKUP(Tabla2757[[#This Row],[Puesto Encargado]], Tabla9[Puesto], Tabla9[Precio cliente],0,1,1)</f>
        <v>0</v>
      </c>
      <c r="J21" s="30">
        <f>_xlfn.XLOOKUP(Tabla2757[[#This Row],[Cargo]], Tabla958[Cargos], Tabla958[Ponderador Precio],0,1,1)</f>
        <v>0</v>
      </c>
      <c r="K21" s="30">
        <f>Tabla2757[[#This Row],[Precio por hora UF]]*Tabla2757[[#This Row],[Ponderador]]</f>
        <v>0</v>
      </c>
      <c r="L21" s="40">
        <v>0</v>
      </c>
      <c r="M21" s="30">
        <f>Tabla2757[[#This Row],[Precio por hora]]*Tabla2757[[#This Row],[Cantidad horas]]</f>
        <v>0</v>
      </c>
      <c r="N21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22" spans="2:14" x14ac:dyDescent="0.3">
      <c r="B22" s="28"/>
      <c r="C22" s="20"/>
      <c r="E22" s="136"/>
      <c r="F22" s="177">
        <f>_xlfn.XLOOKUP(Tabla2757[[#This Row],[Tipo de venta]],Tabla2329[Tipo de venta],Tabla2329[Moneda final], "Error - Seleccionar Tipo de Venta", 0,1)</f>
        <v>0</v>
      </c>
      <c r="G22" s="178"/>
      <c r="H22" s="21"/>
      <c r="I22" s="30">
        <f>_xlfn.XLOOKUP(Tabla2757[[#This Row],[Puesto Encargado]], Tabla9[Puesto], Tabla9[Precio cliente],0,1,1)</f>
        <v>0</v>
      </c>
      <c r="J22" s="30">
        <f>_xlfn.XLOOKUP(Tabla2757[[#This Row],[Cargo]], Tabla958[Cargos], Tabla958[Ponderador Precio],0,1,1)</f>
        <v>0</v>
      </c>
      <c r="K22" s="30">
        <f>Tabla2757[[#This Row],[Precio por hora UF]]*Tabla2757[[#This Row],[Ponderador]]</f>
        <v>0</v>
      </c>
      <c r="L22" s="40">
        <v>0</v>
      </c>
      <c r="M22" s="30">
        <f>Tabla2757[[#This Row],[Precio por hora]]*Tabla2757[[#This Row],[Cantidad horas]]</f>
        <v>0</v>
      </c>
      <c r="N22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23" spans="2:14" x14ac:dyDescent="0.3">
      <c r="B23" s="28"/>
      <c r="C23" s="20"/>
      <c r="E23" s="136"/>
      <c r="F23" s="177">
        <f>_xlfn.XLOOKUP(Tabla2757[[#This Row],[Tipo de venta]],Tabla2329[Tipo de venta],Tabla2329[Moneda final], "Error - Seleccionar Tipo de Venta", 0,1)</f>
        <v>0</v>
      </c>
      <c r="G23" s="178"/>
      <c r="H23" s="21"/>
      <c r="I23" s="30">
        <f>_xlfn.XLOOKUP(Tabla2757[[#This Row],[Puesto Encargado]], Tabla9[Puesto], Tabla9[Precio cliente],0,1,1)</f>
        <v>0</v>
      </c>
      <c r="J23" s="30">
        <f>_xlfn.XLOOKUP(Tabla2757[[#This Row],[Cargo]], Tabla958[Cargos], Tabla958[Ponderador Precio],0,1,1)</f>
        <v>0</v>
      </c>
      <c r="K23" s="30">
        <f>Tabla2757[[#This Row],[Precio por hora UF]]*Tabla2757[[#This Row],[Ponderador]]</f>
        <v>0</v>
      </c>
      <c r="L23" s="40">
        <v>0</v>
      </c>
      <c r="M23" s="30">
        <f>Tabla2757[[#This Row],[Precio por hora]]*Tabla2757[[#This Row],[Cantidad horas]]</f>
        <v>0</v>
      </c>
      <c r="N23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24" spans="2:14" x14ac:dyDescent="0.3">
      <c r="B24" s="28"/>
      <c r="C24" s="20"/>
      <c r="E24" s="136"/>
      <c r="F24" s="177">
        <f>_xlfn.XLOOKUP(Tabla2757[[#This Row],[Tipo de venta]],Tabla2329[Tipo de venta],Tabla2329[Moneda final], "Error - Seleccionar Tipo de Venta", 0,1)</f>
        <v>0</v>
      </c>
      <c r="G24" s="178"/>
      <c r="H24" s="21"/>
      <c r="I24" s="30">
        <f>_xlfn.XLOOKUP(Tabla2757[[#This Row],[Puesto Encargado]], Tabla9[Puesto], Tabla9[Precio cliente],0,1,1)</f>
        <v>0</v>
      </c>
      <c r="J24" s="30">
        <f>_xlfn.XLOOKUP(Tabla2757[[#This Row],[Cargo]], Tabla958[Cargos], Tabla958[Ponderador Precio],0,1,1)</f>
        <v>0</v>
      </c>
      <c r="K24" s="30">
        <f>Tabla2757[[#This Row],[Precio por hora UF]]*Tabla2757[[#This Row],[Ponderador]]</f>
        <v>0</v>
      </c>
      <c r="L24" s="40">
        <v>0</v>
      </c>
      <c r="M24" s="30">
        <f>Tabla2757[[#This Row],[Precio por hora]]*Tabla2757[[#This Row],[Cantidad horas]]</f>
        <v>0</v>
      </c>
      <c r="N24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25" spans="2:14" x14ac:dyDescent="0.3">
      <c r="B25" s="28"/>
      <c r="C25" s="20"/>
      <c r="E25" s="136"/>
      <c r="F25" s="177">
        <f>_xlfn.XLOOKUP(Tabla2757[[#This Row],[Tipo de venta]],Tabla2329[Tipo de venta],Tabla2329[Moneda final], "Error - Seleccionar Tipo de Venta", 0,1)</f>
        <v>0</v>
      </c>
      <c r="G25" s="178"/>
      <c r="H25" s="21"/>
      <c r="I25" s="30">
        <f>_xlfn.XLOOKUP(Tabla2757[[#This Row],[Puesto Encargado]], Tabla9[Puesto], Tabla9[Precio cliente],0,1,1)</f>
        <v>0</v>
      </c>
      <c r="J25" s="30">
        <f>_xlfn.XLOOKUP(Tabla2757[[#This Row],[Cargo]], Tabla958[Cargos], Tabla958[Ponderador Precio],0,1,1)</f>
        <v>0</v>
      </c>
      <c r="K25" s="30">
        <f>Tabla2757[[#This Row],[Precio por hora UF]]*Tabla2757[[#This Row],[Ponderador]]</f>
        <v>0</v>
      </c>
      <c r="L25" s="40">
        <v>0</v>
      </c>
      <c r="M25" s="30">
        <f>Tabla2757[[#This Row],[Precio por hora]]*Tabla2757[[#This Row],[Cantidad horas]]</f>
        <v>0</v>
      </c>
      <c r="N25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26" spans="2:14" x14ac:dyDescent="0.3">
      <c r="B26" s="28"/>
      <c r="C26" s="20"/>
      <c r="E26" s="136"/>
      <c r="F26" s="177">
        <f>_xlfn.XLOOKUP(Tabla2757[[#This Row],[Tipo de venta]],Tabla2329[Tipo de venta],Tabla2329[Moneda final], "Error - Seleccionar Tipo de Venta", 0,1)</f>
        <v>0</v>
      </c>
      <c r="G26" s="178"/>
      <c r="H26" s="21"/>
      <c r="I26" s="30">
        <f>_xlfn.XLOOKUP(Tabla2757[[#This Row],[Puesto Encargado]], Tabla9[Puesto], Tabla9[Precio cliente],0,1,1)</f>
        <v>0</v>
      </c>
      <c r="J26" s="30">
        <f>_xlfn.XLOOKUP(Tabla2757[[#This Row],[Cargo]], Tabla958[Cargos], Tabla958[Ponderador Precio],0,1,1)</f>
        <v>0</v>
      </c>
      <c r="K26" s="30">
        <f>Tabla2757[[#This Row],[Precio por hora UF]]*Tabla2757[[#This Row],[Ponderador]]</f>
        <v>0</v>
      </c>
      <c r="L26" s="40">
        <v>0</v>
      </c>
      <c r="M26" s="30">
        <f>Tabla2757[[#This Row],[Precio por hora]]*Tabla2757[[#This Row],[Cantidad horas]]</f>
        <v>0</v>
      </c>
      <c r="N26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27" spans="2:14" x14ac:dyDescent="0.3">
      <c r="B27" s="28"/>
      <c r="C27" s="20"/>
      <c r="E27" s="136"/>
      <c r="F27" s="177">
        <f>_xlfn.XLOOKUP(Tabla2757[[#This Row],[Tipo de venta]],Tabla2329[Tipo de venta],Tabla2329[Moneda final], "Error - Seleccionar Tipo de Venta", 0,1)</f>
        <v>0</v>
      </c>
      <c r="G27" s="178"/>
      <c r="H27" s="21"/>
      <c r="I27" s="30">
        <f>_xlfn.XLOOKUP(Tabla2757[[#This Row],[Puesto Encargado]], Tabla9[Puesto], Tabla9[Precio cliente],0,1,1)</f>
        <v>0</v>
      </c>
      <c r="J27" s="30">
        <f>_xlfn.XLOOKUP(Tabla2757[[#This Row],[Cargo]], Tabla958[Cargos], Tabla958[Ponderador Precio],0,1,1)</f>
        <v>0</v>
      </c>
      <c r="K27" s="30">
        <f>Tabla2757[[#This Row],[Precio por hora UF]]*Tabla2757[[#This Row],[Ponderador]]</f>
        <v>0</v>
      </c>
      <c r="L27" s="40">
        <v>0</v>
      </c>
      <c r="M27" s="30">
        <f>Tabla2757[[#This Row],[Precio por hora]]*Tabla2757[[#This Row],[Cantidad horas]]</f>
        <v>0</v>
      </c>
      <c r="N27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28" spans="2:14" x14ac:dyDescent="0.3">
      <c r="B28" s="28"/>
      <c r="C28" s="20"/>
      <c r="E28" s="136"/>
      <c r="F28" s="177">
        <f>_xlfn.XLOOKUP(Tabla2757[[#This Row],[Tipo de venta]],Tabla2329[Tipo de venta],Tabla2329[Moneda final], "Error - Seleccionar Tipo de Venta", 0,1)</f>
        <v>0</v>
      </c>
      <c r="G28" s="178"/>
      <c r="H28" s="21"/>
      <c r="I28" s="30">
        <f>_xlfn.XLOOKUP(Tabla2757[[#This Row],[Puesto Encargado]], Tabla9[Puesto], Tabla9[Precio cliente],0,1,1)</f>
        <v>0</v>
      </c>
      <c r="J28" s="30">
        <f>_xlfn.XLOOKUP(Tabla2757[[#This Row],[Cargo]], Tabla958[Cargos], Tabla958[Ponderador Precio],0,1,1)</f>
        <v>0</v>
      </c>
      <c r="K28" s="30">
        <f>Tabla2757[[#This Row],[Precio por hora UF]]*Tabla2757[[#This Row],[Ponderador]]</f>
        <v>0</v>
      </c>
      <c r="L28" s="40">
        <v>0</v>
      </c>
      <c r="M28" s="30">
        <f>Tabla2757[[#This Row],[Precio por hora]]*Tabla2757[[#This Row],[Cantidad horas]]</f>
        <v>0</v>
      </c>
      <c r="N28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29" spans="2:14" x14ac:dyDescent="0.3">
      <c r="B29" s="28"/>
      <c r="C29" s="20"/>
      <c r="E29" s="136"/>
      <c r="F29" s="177">
        <f>_xlfn.XLOOKUP(Tabla2757[[#This Row],[Tipo de venta]],Tabla2329[Tipo de venta],Tabla2329[Moneda final], "Error - Seleccionar Tipo de Venta", 0,1)</f>
        <v>0</v>
      </c>
      <c r="G29" s="178"/>
      <c r="H29" s="21"/>
      <c r="I29" s="30">
        <f>_xlfn.XLOOKUP(Tabla2757[[#This Row],[Puesto Encargado]], Tabla9[Puesto], Tabla9[Precio cliente],0,1,1)</f>
        <v>0</v>
      </c>
      <c r="J29" s="30">
        <f>_xlfn.XLOOKUP(Tabla2757[[#This Row],[Cargo]], Tabla958[Cargos], Tabla958[Ponderador Precio],0,1,1)</f>
        <v>0</v>
      </c>
      <c r="K29" s="30">
        <f>Tabla2757[[#This Row],[Precio por hora UF]]*Tabla2757[[#This Row],[Ponderador]]</f>
        <v>0</v>
      </c>
      <c r="L29" s="40">
        <v>0</v>
      </c>
      <c r="M29" s="30">
        <f>Tabla2757[[#This Row],[Precio por hora]]*Tabla2757[[#This Row],[Cantidad horas]]</f>
        <v>0</v>
      </c>
      <c r="N29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30" spans="2:14" x14ac:dyDescent="0.3">
      <c r="B30" s="28"/>
      <c r="C30" s="20"/>
      <c r="E30" s="136"/>
      <c r="F30" s="177">
        <f>_xlfn.XLOOKUP(Tabla2757[[#This Row],[Tipo de venta]],Tabla2329[Tipo de venta],Tabla2329[Moneda final], "Error - Seleccionar Tipo de Venta", 0,1)</f>
        <v>0</v>
      </c>
      <c r="G30" s="178"/>
      <c r="H30" s="21"/>
      <c r="I30" s="30">
        <f>_xlfn.XLOOKUP(Tabla2757[[#This Row],[Puesto Encargado]], Tabla9[Puesto], Tabla9[Precio cliente],0,1,1)</f>
        <v>0</v>
      </c>
      <c r="J30" s="30">
        <f>_xlfn.XLOOKUP(Tabla2757[[#This Row],[Cargo]], Tabla958[Cargos], Tabla958[Ponderador Precio],0,1,1)</f>
        <v>0</v>
      </c>
      <c r="K30" s="30">
        <f>Tabla2757[[#This Row],[Precio por hora UF]]*Tabla2757[[#This Row],[Ponderador]]</f>
        <v>0</v>
      </c>
      <c r="L30" s="40">
        <v>0</v>
      </c>
      <c r="M30" s="30">
        <f>Tabla2757[[#This Row],[Precio por hora]]*Tabla2757[[#This Row],[Cantidad horas]]</f>
        <v>0</v>
      </c>
      <c r="N30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31" spans="2:14" x14ac:dyDescent="0.3">
      <c r="B31" s="28"/>
      <c r="C31" s="20"/>
      <c r="E31" s="136"/>
      <c r="F31" s="177">
        <f>_xlfn.XLOOKUP(Tabla2757[[#This Row],[Tipo de venta]],Tabla2329[Tipo de venta],Tabla2329[Moneda final], "Error - Seleccionar Tipo de Venta", 0,1)</f>
        <v>0</v>
      </c>
      <c r="G31" s="178"/>
      <c r="H31" s="21"/>
      <c r="I31" s="30">
        <f>_xlfn.XLOOKUP(Tabla2757[[#This Row],[Puesto Encargado]], Tabla9[Puesto], Tabla9[Precio cliente],0,1,1)</f>
        <v>0</v>
      </c>
      <c r="J31" s="30">
        <f>_xlfn.XLOOKUP(Tabla2757[[#This Row],[Cargo]], Tabla958[Cargos], Tabla958[Ponderador Precio],0,1,1)</f>
        <v>0</v>
      </c>
      <c r="K31" s="30">
        <f>Tabla2757[[#This Row],[Precio por hora UF]]*Tabla2757[[#This Row],[Ponderador]]</f>
        <v>0</v>
      </c>
      <c r="L31" s="40">
        <v>0</v>
      </c>
      <c r="M31" s="30">
        <f>Tabla2757[[#This Row],[Precio por hora]]*Tabla2757[[#This Row],[Cantidad horas]]</f>
        <v>0</v>
      </c>
      <c r="N31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32" spans="2:14" x14ac:dyDescent="0.3">
      <c r="B32" s="28"/>
      <c r="C32" s="20"/>
      <c r="E32" s="136"/>
      <c r="F32" s="177">
        <f>_xlfn.XLOOKUP(Tabla2757[[#This Row],[Tipo de venta]],Tabla2329[Tipo de venta],Tabla2329[Moneda final], "Error - Seleccionar Tipo de Venta", 0,1)</f>
        <v>0</v>
      </c>
      <c r="G32" s="178"/>
      <c r="H32" s="21"/>
      <c r="I32" s="30">
        <f>_xlfn.XLOOKUP(Tabla2757[[#This Row],[Puesto Encargado]], Tabla9[Puesto], Tabla9[Precio cliente],0,1,1)</f>
        <v>0</v>
      </c>
      <c r="J32" s="30">
        <f>_xlfn.XLOOKUP(Tabla2757[[#This Row],[Cargo]], Tabla958[Cargos], Tabla958[Ponderador Precio],0,1,1)</f>
        <v>0</v>
      </c>
      <c r="K32" s="30">
        <f>Tabla2757[[#This Row],[Precio por hora UF]]*Tabla2757[[#This Row],[Ponderador]]</f>
        <v>0</v>
      </c>
      <c r="L32" s="40">
        <v>0</v>
      </c>
      <c r="M32" s="30">
        <f>Tabla2757[[#This Row],[Precio por hora]]*Tabla2757[[#This Row],[Cantidad horas]]</f>
        <v>0</v>
      </c>
      <c r="N32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33" spans="2:14" x14ac:dyDescent="0.3">
      <c r="B33" s="28"/>
      <c r="C33" s="20"/>
      <c r="E33" s="136"/>
      <c r="F33" s="177">
        <f>_xlfn.XLOOKUP(Tabla2757[[#This Row],[Tipo de venta]],Tabla2329[Tipo de venta],Tabla2329[Moneda final], "Error - Seleccionar Tipo de Venta", 0,1)</f>
        <v>0</v>
      </c>
      <c r="G33" s="178"/>
      <c r="H33" s="21"/>
      <c r="I33" s="30">
        <f>_xlfn.XLOOKUP(Tabla2757[[#This Row],[Puesto Encargado]], Tabla9[Puesto], Tabla9[Precio cliente],0,1,1)</f>
        <v>0</v>
      </c>
      <c r="J33" s="30">
        <f>_xlfn.XLOOKUP(Tabla2757[[#This Row],[Cargo]], Tabla958[Cargos], Tabla958[Ponderador Precio],0,1,1)</f>
        <v>0</v>
      </c>
      <c r="K33" s="30">
        <f>Tabla2757[[#This Row],[Precio por hora UF]]*Tabla2757[[#This Row],[Ponderador]]</f>
        <v>0</v>
      </c>
      <c r="L33" s="40">
        <v>0</v>
      </c>
      <c r="M33" s="30">
        <f>Tabla2757[[#This Row],[Precio por hora]]*Tabla2757[[#This Row],[Cantidad horas]]</f>
        <v>0</v>
      </c>
      <c r="N33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34" spans="2:14" x14ac:dyDescent="0.3">
      <c r="B34" s="28"/>
      <c r="C34" s="20"/>
      <c r="E34" s="136"/>
      <c r="F34" s="177">
        <f>_xlfn.XLOOKUP(Tabla2757[[#This Row],[Tipo de venta]],Tabla2329[Tipo de venta],Tabla2329[Moneda final], "Error - Seleccionar Tipo de Venta", 0,1)</f>
        <v>0</v>
      </c>
      <c r="G34" s="178"/>
      <c r="H34" s="21"/>
      <c r="I34" s="30">
        <f>_xlfn.XLOOKUP(Tabla2757[[#This Row],[Puesto Encargado]], Tabla9[Puesto], Tabla9[Precio cliente],0,1,1)</f>
        <v>0</v>
      </c>
      <c r="J34" s="30">
        <f>_xlfn.XLOOKUP(Tabla2757[[#This Row],[Cargo]], Tabla958[Cargos], Tabla958[Ponderador Precio],0,1,1)</f>
        <v>0</v>
      </c>
      <c r="K34" s="30">
        <f>Tabla2757[[#This Row],[Precio por hora UF]]*Tabla2757[[#This Row],[Ponderador]]</f>
        <v>0</v>
      </c>
      <c r="L34" s="40">
        <v>0</v>
      </c>
      <c r="M34" s="30">
        <f>Tabla2757[[#This Row],[Precio por hora]]*Tabla2757[[#This Row],[Cantidad horas]]</f>
        <v>0</v>
      </c>
      <c r="N34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35" spans="2:14" x14ac:dyDescent="0.3">
      <c r="B35" s="28"/>
      <c r="C35" s="20"/>
      <c r="E35" s="136"/>
      <c r="F35" s="177">
        <f>_xlfn.XLOOKUP(Tabla2757[[#This Row],[Tipo de venta]],Tabla2329[Tipo de venta],Tabla2329[Moneda final], "Error - Seleccionar Tipo de Venta", 0,1)</f>
        <v>0</v>
      </c>
      <c r="G35" s="178"/>
      <c r="H35" s="21"/>
      <c r="I35" s="30">
        <f>_xlfn.XLOOKUP(Tabla2757[[#This Row],[Puesto Encargado]], Tabla9[Puesto], Tabla9[Precio cliente],0,1,1)</f>
        <v>0</v>
      </c>
      <c r="J35" s="30">
        <f>_xlfn.XLOOKUP(Tabla2757[[#This Row],[Cargo]], Tabla958[Cargos], Tabla958[Ponderador Precio],0,1,1)</f>
        <v>0</v>
      </c>
      <c r="K35" s="30">
        <f>Tabla2757[[#This Row],[Precio por hora UF]]*Tabla2757[[#This Row],[Ponderador]]</f>
        <v>0</v>
      </c>
      <c r="L35" s="40">
        <v>0</v>
      </c>
      <c r="M35" s="30">
        <f>Tabla2757[[#This Row],[Precio por hora]]*Tabla2757[[#This Row],[Cantidad horas]]</f>
        <v>0</v>
      </c>
      <c r="N35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36" spans="2:14" x14ac:dyDescent="0.3">
      <c r="B36" s="28"/>
      <c r="C36" s="20"/>
      <c r="E36" s="136"/>
      <c r="F36" s="177">
        <f>_xlfn.XLOOKUP(Tabla2757[[#This Row],[Tipo de venta]],Tabla2329[Tipo de venta],Tabla2329[Moneda final], "Error - Seleccionar Tipo de Venta", 0,1)</f>
        <v>0</v>
      </c>
      <c r="G36" s="178"/>
      <c r="H36" s="21"/>
      <c r="I36" s="30">
        <f>_xlfn.XLOOKUP(Tabla2757[[#This Row],[Puesto Encargado]], Tabla9[Puesto], Tabla9[Precio cliente],0,1,1)</f>
        <v>0</v>
      </c>
      <c r="J36" s="30">
        <f>_xlfn.XLOOKUP(Tabla2757[[#This Row],[Cargo]], Tabla958[Cargos], Tabla958[Ponderador Precio],0,1,1)</f>
        <v>0</v>
      </c>
      <c r="K36" s="30">
        <f>Tabla2757[[#This Row],[Precio por hora UF]]*Tabla2757[[#This Row],[Ponderador]]</f>
        <v>0</v>
      </c>
      <c r="L36" s="40">
        <v>0</v>
      </c>
      <c r="M36" s="30">
        <f>Tabla2757[[#This Row],[Precio por hora]]*Tabla2757[[#This Row],[Cantidad horas]]</f>
        <v>0</v>
      </c>
      <c r="N36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37" spans="2:14" x14ac:dyDescent="0.3">
      <c r="B37" s="28"/>
      <c r="C37" s="20"/>
      <c r="E37" s="136"/>
      <c r="F37" s="177">
        <f>_xlfn.XLOOKUP(Tabla2757[[#This Row],[Tipo de venta]],Tabla2329[Tipo de venta],Tabla2329[Moneda final], "Error - Seleccionar Tipo de Venta", 0,1)</f>
        <v>0</v>
      </c>
      <c r="G37" s="178"/>
      <c r="H37" s="21"/>
      <c r="I37" s="30">
        <f>_xlfn.XLOOKUP(Tabla2757[[#This Row],[Puesto Encargado]], Tabla9[Puesto], Tabla9[Precio cliente],0,1,1)</f>
        <v>0</v>
      </c>
      <c r="J37" s="30">
        <f>_xlfn.XLOOKUP(Tabla2757[[#This Row],[Cargo]], Tabla958[Cargos], Tabla958[Ponderador Precio],0,1,1)</f>
        <v>0</v>
      </c>
      <c r="K37" s="30">
        <f>Tabla2757[[#This Row],[Precio por hora UF]]*Tabla2757[[#This Row],[Ponderador]]</f>
        <v>0</v>
      </c>
      <c r="L37" s="40">
        <v>0</v>
      </c>
      <c r="M37" s="30">
        <f>Tabla2757[[#This Row],[Precio por hora]]*Tabla2757[[#This Row],[Cantidad horas]]</f>
        <v>0</v>
      </c>
      <c r="N37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38" spans="2:14" x14ac:dyDescent="0.3">
      <c r="B38" s="28"/>
      <c r="C38" s="20"/>
      <c r="E38" s="136"/>
      <c r="F38" s="177">
        <f>_xlfn.XLOOKUP(Tabla2757[[#This Row],[Tipo de venta]],Tabla2329[Tipo de venta],Tabla2329[Moneda final], "Error - Seleccionar Tipo de Venta", 0,1)</f>
        <v>0</v>
      </c>
      <c r="G38" s="178"/>
      <c r="H38" s="21"/>
      <c r="I38" s="30">
        <f>_xlfn.XLOOKUP(Tabla2757[[#This Row],[Puesto Encargado]], Tabla9[Puesto], Tabla9[Precio cliente],0,1,1)</f>
        <v>0</v>
      </c>
      <c r="J38" s="30">
        <f>_xlfn.XLOOKUP(Tabla2757[[#This Row],[Cargo]], Tabla958[Cargos], Tabla958[Ponderador Precio],0,1,1)</f>
        <v>0</v>
      </c>
      <c r="K38" s="30">
        <f>Tabla2757[[#This Row],[Precio por hora UF]]*Tabla2757[[#This Row],[Ponderador]]</f>
        <v>0</v>
      </c>
      <c r="L38" s="40">
        <v>0</v>
      </c>
      <c r="M38" s="30">
        <f>Tabla2757[[#This Row],[Precio por hora]]*Tabla2757[[#This Row],[Cantidad horas]]</f>
        <v>0</v>
      </c>
      <c r="N38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39" spans="2:14" x14ac:dyDescent="0.3">
      <c r="B39" s="28"/>
      <c r="C39" s="20"/>
      <c r="E39" s="136"/>
      <c r="F39" s="177">
        <f>_xlfn.XLOOKUP(Tabla2757[[#This Row],[Tipo de venta]],Tabla2329[Tipo de venta],Tabla2329[Moneda final], "Error - Seleccionar Tipo de Venta", 0,1)</f>
        <v>0</v>
      </c>
      <c r="G39" s="178"/>
      <c r="H39" s="21"/>
      <c r="I39" s="30">
        <f>_xlfn.XLOOKUP(Tabla2757[[#This Row],[Puesto Encargado]], Tabla9[Puesto], Tabla9[Precio cliente],0,1,1)</f>
        <v>0</v>
      </c>
      <c r="J39" s="30">
        <f>_xlfn.XLOOKUP(Tabla2757[[#This Row],[Cargo]], Tabla958[Cargos], Tabla958[Ponderador Precio],0,1,1)</f>
        <v>0</v>
      </c>
      <c r="K39" s="30">
        <f>Tabla2757[[#This Row],[Precio por hora UF]]*Tabla2757[[#This Row],[Ponderador]]</f>
        <v>0</v>
      </c>
      <c r="L39" s="40">
        <v>0</v>
      </c>
      <c r="M39" s="30">
        <f>Tabla2757[[#This Row],[Precio por hora]]*Tabla2757[[#This Row],[Cantidad horas]]</f>
        <v>0</v>
      </c>
      <c r="N39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40" spans="2:14" x14ac:dyDescent="0.3">
      <c r="B40" s="28"/>
      <c r="C40" s="20"/>
      <c r="E40" s="136"/>
      <c r="F40" s="177">
        <f>_xlfn.XLOOKUP(Tabla2757[[#This Row],[Tipo de venta]],Tabla2329[Tipo de venta],Tabla2329[Moneda final], "Error - Seleccionar Tipo de Venta", 0,1)</f>
        <v>0</v>
      </c>
      <c r="G40" s="178"/>
      <c r="H40" s="21"/>
      <c r="I40" s="30">
        <f>_xlfn.XLOOKUP(Tabla2757[[#This Row],[Puesto Encargado]], Tabla9[Puesto], Tabla9[Precio cliente],0,1,1)</f>
        <v>0</v>
      </c>
      <c r="J40" s="30">
        <f>_xlfn.XLOOKUP(Tabla2757[[#This Row],[Cargo]], Tabla958[Cargos], Tabla958[Ponderador Precio],0,1,1)</f>
        <v>0</v>
      </c>
      <c r="K40" s="30">
        <f>Tabla2757[[#This Row],[Precio por hora UF]]*Tabla2757[[#This Row],[Ponderador]]</f>
        <v>0</v>
      </c>
      <c r="L40" s="40">
        <v>0</v>
      </c>
      <c r="M40" s="30">
        <f>Tabla2757[[#This Row],[Precio por hora]]*Tabla2757[[#This Row],[Cantidad horas]]</f>
        <v>0</v>
      </c>
      <c r="N40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41" spans="2:14" x14ac:dyDescent="0.3">
      <c r="B41" s="28"/>
      <c r="C41" s="20"/>
      <c r="E41" s="136"/>
      <c r="F41" s="177">
        <f>_xlfn.XLOOKUP(Tabla2757[[#This Row],[Tipo de venta]],Tabla2329[Tipo de venta],Tabla2329[Moneda final], "Error - Seleccionar Tipo de Venta", 0,1)</f>
        <v>0</v>
      </c>
      <c r="G41" s="178"/>
      <c r="H41" s="21"/>
      <c r="I41" s="30">
        <f>_xlfn.XLOOKUP(Tabla2757[[#This Row],[Puesto Encargado]], Tabla9[Puesto], Tabla9[Precio cliente],0,1,1)</f>
        <v>0</v>
      </c>
      <c r="J41" s="30">
        <f>_xlfn.XLOOKUP(Tabla2757[[#This Row],[Cargo]], Tabla958[Cargos], Tabla958[Ponderador Precio],0,1,1)</f>
        <v>0</v>
      </c>
      <c r="K41" s="30">
        <f>Tabla2757[[#This Row],[Precio por hora UF]]*Tabla2757[[#This Row],[Ponderador]]</f>
        <v>0</v>
      </c>
      <c r="L41" s="40">
        <v>0</v>
      </c>
      <c r="M41" s="30">
        <f>Tabla2757[[#This Row],[Precio por hora]]*Tabla2757[[#This Row],[Cantidad horas]]</f>
        <v>0</v>
      </c>
      <c r="N41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42" spans="2:14" x14ac:dyDescent="0.3">
      <c r="B42" s="28"/>
      <c r="C42" s="20"/>
      <c r="E42" s="136"/>
      <c r="F42" s="177">
        <f>_xlfn.XLOOKUP(Tabla2757[[#This Row],[Tipo de venta]],Tabla2329[Tipo de venta],Tabla2329[Moneda final], "Error - Seleccionar Tipo de Venta", 0,1)</f>
        <v>0</v>
      </c>
      <c r="G42" s="178"/>
      <c r="H42" s="21"/>
      <c r="I42" s="30">
        <f>_xlfn.XLOOKUP(Tabla2757[[#This Row],[Puesto Encargado]], Tabla9[Puesto], Tabla9[Precio cliente],0,1,1)</f>
        <v>0</v>
      </c>
      <c r="J42" s="30">
        <f>_xlfn.XLOOKUP(Tabla2757[[#This Row],[Cargo]], Tabla958[Cargos], Tabla958[Ponderador Precio],0,1,1)</f>
        <v>0</v>
      </c>
      <c r="K42" s="30">
        <f>Tabla2757[[#This Row],[Precio por hora UF]]*Tabla2757[[#This Row],[Ponderador]]</f>
        <v>0</v>
      </c>
      <c r="L42" s="40">
        <v>0</v>
      </c>
      <c r="M42" s="30">
        <f>Tabla2757[[#This Row],[Precio por hora]]*Tabla2757[[#This Row],[Cantidad horas]]</f>
        <v>0</v>
      </c>
      <c r="N42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43" spans="2:14" x14ac:dyDescent="0.3">
      <c r="B43" s="28"/>
      <c r="C43" s="20"/>
      <c r="E43" s="136"/>
      <c r="F43" s="177">
        <f>_xlfn.XLOOKUP(Tabla2757[[#This Row],[Tipo de venta]],Tabla2329[Tipo de venta],Tabla2329[Moneda final], "Error - Seleccionar Tipo de Venta", 0,1)</f>
        <v>0</v>
      </c>
      <c r="G43" s="178"/>
      <c r="H43" s="21"/>
      <c r="I43" s="30">
        <f>_xlfn.XLOOKUP(Tabla2757[[#This Row],[Puesto Encargado]], Tabla9[Puesto], Tabla9[Precio cliente],0,1,1)</f>
        <v>0</v>
      </c>
      <c r="J43" s="30">
        <f>_xlfn.XLOOKUP(Tabla2757[[#This Row],[Cargo]], Tabla958[Cargos], Tabla958[Ponderador Precio],0,1,1)</f>
        <v>0</v>
      </c>
      <c r="K43" s="30">
        <f>Tabla2757[[#This Row],[Precio por hora UF]]*Tabla2757[[#This Row],[Ponderador]]</f>
        <v>0</v>
      </c>
      <c r="L43" s="40">
        <v>0</v>
      </c>
      <c r="M43" s="30">
        <f>Tabla2757[[#This Row],[Precio por hora]]*Tabla2757[[#This Row],[Cantidad horas]]</f>
        <v>0</v>
      </c>
      <c r="N43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44" spans="2:14" x14ac:dyDescent="0.3">
      <c r="B44" s="28"/>
      <c r="C44" s="20"/>
      <c r="E44" s="136"/>
      <c r="F44" s="177">
        <f>_xlfn.XLOOKUP(Tabla2757[[#This Row],[Tipo de venta]],Tabla2329[Tipo de venta],Tabla2329[Moneda final], "Error - Seleccionar Tipo de Venta", 0,1)</f>
        <v>0</v>
      </c>
      <c r="G44" s="178"/>
      <c r="H44" s="21"/>
      <c r="I44" s="30">
        <f>_xlfn.XLOOKUP(Tabla2757[[#This Row],[Puesto Encargado]], Tabla9[Puesto], Tabla9[Precio cliente],0,1,1)</f>
        <v>0</v>
      </c>
      <c r="J44" s="30">
        <f>_xlfn.XLOOKUP(Tabla2757[[#This Row],[Cargo]], Tabla958[Cargos], Tabla958[Ponderador Precio],0,1,1)</f>
        <v>0</v>
      </c>
      <c r="K44" s="30">
        <f>Tabla2757[[#This Row],[Precio por hora UF]]*Tabla2757[[#This Row],[Ponderador]]</f>
        <v>0</v>
      </c>
      <c r="L44" s="40">
        <v>0</v>
      </c>
      <c r="M44" s="30">
        <f>Tabla2757[[#This Row],[Precio por hora]]*Tabla2757[[#This Row],[Cantidad horas]]</f>
        <v>0</v>
      </c>
      <c r="N44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45" spans="2:14" x14ac:dyDescent="0.3">
      <c r="B45" s="28"/>
      <c r="C45" s="20"/>
      <c r="E45" s="136"/>
      <c r="F45" s="177">
        <f>_xlfn.XLOOKUP(Tabla2757[[#This Row],[Tipo de venta]],Tabla2329[Tipo de venta],Tabla2329[Moneda final], "Error - Seleccionar Tipo de Venta", 0,1)</f>
        <v>0</v>
      </c>
      <c r="G45" s="178"/>
      <c r="H45" s="21"/>
      <c r="I45" s="30">
        <f>_xlfn.XLOOKUP(Tabla2757[[#This Row],[Puesto Encargado]], Tabla9[Puesto], Tabla9[Precio cliente],0,1,1)</f>
        <v>0</v>
      </c>
      <c r="J45" s="30">
        <f>_xlfn.XLOOKUP(Tabla2757[[#This Row],[Cargo]], Tabla958[Cargos], Tabla958[Ponderador Precio],0,1,1)</f>
        <v>0</v>
      </c>
      <c r="K45" s="30">
        <f>Tabla2757[[#This Row],[Precio por hora UF]]*Tabla2757[[#This Row],[Ponderador]]</f>
        <v>0</v>
      </c>
      <c r="L45" s="40">
        <v>0</v>
      </c>
      <c r="M45" s="30">
        <f>Tabla2757[[#This Row],[Precio por hora]]*Tabla2757[[#This Row],[Cantidad horas]]</f>
        <v>0</v>
      </c>
      <c r="N45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46" spans="2:14" x14ac:dyDescent="0.3">
      <c r="B46" s="28"/>
      <c r="C46" s="20"/>
      <c r="E46" s="136"/>
      <c r="F46" s="177">
        <f>_xlfn.XLOOKUP(Tabla2757[[#This Row],[Tipo de venta]],Tabla2329[Tipo de venta],Tabla2329[Moneda final], "Error - Seleccionar Tipo de Venta", 0,1)</f>
        <v>0</v>
      </c>
      <c r="G46" s="178"/>
      <c r="H46" s="21"/>
      <c r="I46" s="30">
        <f>_xlfn.XLOOKUP(Tabla2757[[#This Row],[Puesto Encargado]], Tabla9[Puesto], Tabla9[Precio cliente],0,1,1)</f>
        <v>0</v>
      </c>
      <c r="J46" s="30">
        <f>_xlfn.XLOOKUP(Tabla2757[[#This Row],[Cargo]], Tabla958[Cargos], Tabla958[Ponderador Precio],0,1,1)</f>
        <v>0</v>
      </c>
      <c r="K46" s="30">
        <f>Tabla2757[[#This Row],[Precio por hora UF]]*Tabla2757[[#This Row],[Ponderador]]</f>
        <v>0</v>
      </c>
      <c r="L46" s="40">
        <v>0</v>
      </c>
      <c r="M46" s="30">
        <f>Tabla2757[[#This Row],[Precio por hora]]*Tabla2757[[#This Row],[Cantidad horas]]</f>
        <v>0</v>
      </c>
      <c r="N46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47" spans="2:14" x14ac:dyDescent="0.3">
      <c r="B47" s="28"/>
      <c r="C47" s="20"/>
      <c r="E47" s="136"/>
      <c r="F47" s="177">
        <f>_xlfn.XLOOKUP(Tabla2757[[#This Row],[Tipo de venta]],Tabla2329[Tipo de venta],Tabla2329[Moneda final], "Error - Seleccionar Tipo de Venta", 0,1)</f>
        <v>0</v>
      </c>
      <c r="G47" s="178"/>
      <c r="H47" s="21"/>
      <c r="I47" s="30">
        <f>_xlfn.XLOOKUP(Tabla2757[[#This Row],[Puesto Encargado]], Tabla9[Puesto], Tabla9[Precio cliente],0,1,1)</f>
        <v>0</v>
      </c>
      <c r="J47" s="30">
        <f>_xlfn.XLOOKUP(Tabla2757[[#This Row],[Cargo]], Tabla958[Cargos], Tabla958[Ponderador Precio],0,1,1)</f>
        <v>0</v>
      </c>
      <c r="K47" s="30">
        <f>Tabla2757[[#This Row],[Precio por hora UF]]*Tabla2757[[#This Row],[Ponderador]]</f>
        <v>0</v>
      </c>
      <c r="L47" s="40">
        <v>0</v>
      </c>
      <c r="M47" s="30">
        <f>Tabla2757[[#This Row],[Precio por hora]]*Tabla2757[[#This Row],[Cantidad horas]]</f>
        <v>0</v>
      </c>
      <c r="N47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48" spans="2:14" x14ac:dyDescent="0.3">
      <c r="B48" s="28"/>
      <c r="C48" s="20"/>
      <c r="E48" s="136"/>
      <c r="F48" s="177">
        <f>_xlfn.XLOOKUP(Tabla2757[[#This Row],[Tipo de venta]],Tabla2329[Tipo de venta],Tabla2329[Moneda final], "Error - Seleccionar Tipo de Venta", 0,1)</f>
        <v>0</v>
      </c>
      <c r="G48" s="178"/>
      <c r="H48" s="21"/>
      <c r="I48" s="30">
        <f>_xlfn.XLOOKUP(Tabla2757[[#This Row],[Puesto Encargado]], Tabla9[Puesto], Tabla9[Precio cliente],0,1,1)</f>
        <v>0</v>
      </c>
      <c r="J48" s="30">
        <f>_xlfn.XLOOKUP(Tabla2757[[#This Row],[Cargo]], Tabla958[Cargos], Tabla958[Ponderador Precio],0,1,1)</f>
        <v>0</v>
      </c>
      <c r="K48" s="30">
        <f>Tabla2757[[#This Row],[Precio por hora UF]]*Tabla2757[[#This Row],[Ponderador]]</f>
        <v>0</v>
      </c>
      <c r="L48" s="40">
        <v>0</v>
      </c>
      <c r="M48" s="30">
        <f>Tabla2757[[#This Row],[Precio por hora]]*Tabla2757[[#This Row],[Cantidad horas]]</f>
        <v>0</v>
      </c>
      <c r="N48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49" spans="2:14" x14ac:dyDescent="0.3">
      <c r="B49" s="28"/>
      <c r="C49" s="20"/>
      <c r="E49" s="136"/>
      <c r="F49" s="177">
        <f>_xlfn.XLOOKUP(Tabla2757[[#This Row],[Tipo de venta]],Tabla2329[Tipo de venta],Tabla2329[Moneda final], "Error - Seleccionar Tipo de Venta", 0,1)</f>
        <v>0</v>
      </c>
      <c r="G49" s="178"/>
      <c r="H49" s="21"/>
      <c r="I49" s="30">
        <f>_xlfn.XLOOKUP(Tabla2757[[#This Row],[Puesto Encargado]], Tabla9[Puesto], Tabla9[Precio cliente],0,1,1)</f>
        <v>0</v>
      </c>
      <c r="J49" s="30">
        <f>_xlfn.XLOOKUP(Tabla2757[[#This Row],[Cargo]], Tabla958[Cargos], Tabla958[Ponderador Precio],0,1,1)</f>
        <v>0</v>
      </c>
      <c r="K49" s="30">
        <f>Tabla2757[[#This Row],[Precio por hora UF]]*Tabla2757[[#This Row],[Ponderador]]</f>
        <v>0</v>
      </c>
      <c r="L49" s="40">
        <v>0</v>
      </c>
      <c r="M49" s="30">
        <f>Tabla2757[[#This Row],[Precio por hora]]*Tabla2757[[#This Row],[Cantidad horas]]</f>
        <v>0</v>
      </c>
      <c r="N49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50" spans="2:14" x14ac:dyDescent="0.3">
      <c r="B50" s="28"/>
      <c r="C50" s="20"/>
      <c r="E50" s="136"/>
      <c r="F50" s="177">
        <f>_xlfn.XLOOKUP(Tabla2757[[#This Row],[Tipo de venta]],Tabla2329[Tipo de venta],Tabla2329[Moneda final], "Error - Seleccionar Tipo de Venta", 0,1)</f>
        <v>0</v>
      </c>
      <c r="G50" s="178"/>
      <c r="H50" s="21"/>
      <c r="I50" s="30">
        <f>_xlfn.XLOOKUP(Tabla2757[[#This Row],[Puesto Encargado]], Tabla9[Puesto], Tabla9[Precio cliente],0,1,1)</f>
        <v>0</v>
      </c>
      <c r="J50" s="30">
        <f>_xlfn.XLOOKUP(Tabla2757[[#This Row],[Cargo]], Tabla958[Cargos], Tabla958[Ponderador Precio],0,1,1)</f>
        <v>0</v>
      </c>
      <c r="K50" s="30">
        <f>Tabla2757[[#This Row],[Precio por hora UF]]*Tabla2757[[#This Row],[Ponderador]]</f>
        <v>0</v>
      </c>
      <c r="L50" s="40">
        <v>0</v>
      </c>
      <c r="M50" s="30">
        <f>Tabla2757[[#This Row],[Precio por hora]]*Tabla2757[[#This Row],[Cantidad horas]]</f>
        <v>0</v>
      </c>
      <c r="N50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51" spans="2:14" x14ac:dyDescent="0.3">
      <c r="B51" s="28"/>
      <c r="C51" s="20"/>
      <c r="E51" s="136"/>
      <c r="F51" s="177">
        <f>_xlfn.XLOOKUP(Tabla2757[[#This Row],[Tipo de venta]],Tabla2329[Tipo de venta],Tabla2329[Moneda final], "Error - Seleccionar Tipo de Venta", 0,1)</f>
        <v>0</v>
      </c>
      <c r="G51" s="178"/>
      <c r="H51" s="21"/>
      <c r="I51" s="30">
        <f>_xlfn.XLOOKUP(Tabla2757[[#This Row],[Puesto Encargado]], Tabla9[Puesto], Tabla9[Precio cliente],0,1,1)</f>
        <v>0</v>
      </c>
      <c r="J51" s="30">
        <f>_xlfn.XLOOKUP(Tabla2757[[#This Row],[Cargo]], Tabla958[Cargos], Tabla958[Ponderador Precio],0,1,1)</f>
        <v>0</v>
      </c>
      <c r="K51" s="30">
        <f>Tabla2757[[#This Row],[Precio por hora UF]]*Tabla2757[[#This Row],[Ponderador]]</f>
        <v>0</v>
      </c>
      <c r="L51" s="40">
        <v>0</v>
      </c>
      <c r="M51" s="30">
        <f>Tabla2757[[#This Row],[Precio por hora]]*Tabla2757[[#This Row],[Cantidad horas]]</f>
        <v>0</v>
      </c>
      <c r="N51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52" spans="2:14" x14ac:dyDescent="0.3">
      <c r="B52" s="28"/>
      <c r="C52" s="20"/>
      <c r="E52" s="136"/>
      <c r="F52" s="177">
        <f>_xlfn.XLOOKUP(Tabla2757[[#This Row],[Tipo de venta]],Tabla2329[Tipo de venta],Tabla2329[Moneda final], "Error - Seleccionar Tipo de Venta", 0,1)</f>
        <v>0</v>
      </c>
      <c r="G52" s="178"/>
      <c r="H52" s="21"/>
      <c r="I52" s="30">
        <f>_xlfn.XLOOKUP(Tabla2757[[#This Row],[Puesto Encargado]], Tabla9[Puesto], Tabla9[Precio cliente],0,1,1)</f>
        <v>0</v>
      </c>
      <c r="J52" s="30">
        <f>_xlfn.XLOOKUP(Tabla2757[[#This Row],[Cargo]], Tabla958[Cargos], Tabla958[Ponderador Precio],0,1,1)</f>
        <v>0</v>
      </c>
      <c r="K52" s="30">
        <f>Tabla2757[[#This Row],[Precio por hora UF]]*Tabla2757[[#This Row],[Ponderador]]</f>
        <v>0</v>
      </c>
      <c r="L52" s="40">
        <v>0</v>
      </c>
      <c r="M52" s="30">
        <f>Tabla2757[[#This Row],[Precio por hora]]*Tabla2757[[#This Row],[Cantidad horas]]</f>
        <v>0</v>
      </c>
      <c r="N52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53" spans="2:14" x14ac:dyDescent="0.3">
      <c r="B53" s="28"/>
      <c r="C53" s="20"/>
      <c r="E53" s="136"/>
      <c r="F53" s="177">
        <f>_xlfn.XLOOKUP(Tabla2757[[#This Row],[Tipo de venta]],Tabla2329[Tipo de venta],Tabla2329[Moneda final], "Error - Seleccionar Tipo de Venta", 0,1)</f>
        <v>0</v>
      </c>
      <c r="G53" s="178"/>
      <c r="H53" s="21"/>
      <c r="I53" s="30">
        <f>_xlfn.XLOOKUP(Tabla2757[[#This Row],[Puesto Encargado]], Tabla9[Puesto], Tabla9[Precio cliente],0,1,1)</f>
        <v>0</v>
      </c>
      <c r="J53" s="30">
        <f>_xlfn.XLOOKUP(Tabla2757[[#This Row],[Cargo]], Tabla958[Cargos], Tabla958[Ponderador Precio],0,1,1)</f>
        <v>0</v>
      </c>
      <c r="K53" s="30">
        <f>Tabla2757[[#This Row],[Precio por hora UF]]*Tabla2757[[#This Row],[Ponderador]]</f>
        <v>0</v>
      </c>
      <c r="L53" s="40">
        <v>0</v>
      </c>
      <c r="M53" s="30">
        <f>Tabla2757[[#This Row],[Precio por hora]]*Tabla2757[[#This Row],[Cantidad horas]]</f>
        <v>0</v>
      </c>
      <c r="N53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54" spans="2:14" x14ac:dyDescent="0.3">
      <c r="B54" s="28"/>
      <c r="C54" s="20"/>
      <c r="E54" s="136"/>
      <c r="F54" s="177">
        <f>_xlfn.XLOOKUP(Tabla2757[[#This Row],[Tipo de venta]],Tabla2329[Tipo de venta],Tabla2329[Moneda final], "Error - Seleccionar Tipo de Venta", 0,1)</f>
        <v>0</v>
      </c>
      <c r="G54" s="178"/>
      <c r="H54" s="21"/>
      <c r="I54" s="30">
        <f>_xlfn.XLOOKUP(Tabla2757[[#This Row],[Puesto Encargado]], Tabla9[Puesto], Tabla9[Precio cliente],0,1,1)</f>
        <v>0</v>
      </c>
      <c r="J54" s="30">
        <f>_xlfn.XLOOKUP(Tabla2757[[#This Row],[Cargo]], Tabla958[Cargos], Tabla958[Ponderador Precio],0,1,1)</f>
        <v>0</v>
      </c>
      <c r="K54" s="30">
        <f>Tabla2757[[#This Row],[Precio por hora UF]]*Tabla2757[[#This Row],[Ponderador]]</f>
        <v>0</v>
      </c>
      <c r="L54" s="40">
        <v>0</v>
      </c>
      <c r="M54" s="30">
        <f>Tabla2757[[#This Row],[Precio por hora]]*Tabla2757[[#This Row],[Cantidad horas]]</f>
        <v>0</v>
      </c>
      <c r="N54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55" spans="2:14" x14ac:dyDescent="0.3">
      <c r="B55" s="28"/>
      <c r="C55" s="20"/>
      <c r="E55" s="136"/>
      <c r="F55" s="177">
        <f>_xlfn.XLOOKUP(Tabla2757[[#This Row],[Tipo de venta]],Tabla2329[Tipo de venta],Tabla2329[Moneda final], "Error - Seleccionar Tipo de Venta", 0,1)</f>
        <v>0</v>
      </c>
      <c r="G55" s="178"/>
      <c r="H55" s="21"/>
      <c r="I55" s="30">
        <f>_xlfn.XLOOKUP(Tabla2757[[#This Row],[Puesto Encargado]], Tabla9[Puesto], Tabla9[Precio cliente],0,1,1)</f>
        <v>0</v>
      </c>
      <c r="J55" s="30">
        <f>_xlfn.XLOOKUP(Tabla2757[[#This Row],[Cargo]], Tabla958[Cargos], Tabla958[Ponderador Precio],0,1,1)</f>
        <v>0</v>
      </c>
      <c r="K55" s="30">
        <f>Tabla2757[[#This Row],[Precio por hora UF]]*Tabla2757[[#This Row],[Ponderador]]</f>
        <v>0</v>
      </c>
      <c r="L55" s="40">
        <v>0</v>
      </c>
      <c r="M55" s="30">
        <f>Tabla2757[[#This Row],[Precio por hora]]*Tabla2757[[#This Row],[Cantidad horas]]</f>
        <v>0</v>
      </c>
      <c r="N55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56" spans="2:14" x14ac:dyDescent="0.3">
      <c r="B56" s="28"/>
      <c r="C56" s="20"/>
      <c r="E56" s="136"/>
      <c r="F56" s="177">
        <f>_xlfn.XLOOKUP(Tabla2757[[#This Row],[Tipo de venta]],Tabla2329[Tipo de venta],Tabla2329[Moneda final], "Error - Seleccionar Tipo de Venta", 0,1)</f>
        <v>0</v>
      </c>
      <c r="G56" s="178"/>
      <c r="H56" s="21"/>
      <c r="I56" s="30">
        <f>_xlfn.XLOOKUP(Tabla2757[[#This Row],[Puesto Encargado]], Tabla9[Puesto], Tabla9[Precio cliente],0,1,1)</f>
        <v>0</v>
      </c>
      <c r="J56" s="30">
        <f>_xlfn.XLOOKUP(Tabla2757[[#This Row],[Cargo]], Tabla958[Cargos], Tabla958[Ponderador Precio],0,1,1)</f>
        <v>0</v>
      </c>
      <c r="K56" s="30">
        <f>Tabla2757[[#This Row],[Precio por hora UF]]*Tabla2757[[#This Row],[Ponderador]]</f>
        <v>0</v>
      </c>
      <c r="L56" s="40">
        <v>0</v>
      </c>
      <c r="M56" s="30">
        <f>Tabla2757[[#This Row],[Precio por hora]]*Tabla2757[[#This Row],[Cantidad horas]]</f>
        <v>0</v>
      </c>
      <c r="N56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57" spans="2:14" x14ac:dyDescent="0.3">
      <c r="B57" s="28"/>
      <c r="C57" s="20"/>
      <c r="E57" s="136"/>
      <c r="F57" s="177">
        <f>_xlfn.XLOOKUP(Tabla2757[[#This Row],[Tipo de venta]],Tabla2329[Tipo de venta],Tabla2329[Moneda final], "Error - Seleccionar Tipo de Venta", 0,1)</f>
        <v>0</v>
      </c>
      <c r="G57" s="178"/>
      <c r="H57" s="21"/>
      <c r="I57" s="30">
        <f>_xlfn.XLOOKUP(Tabla2757[[#This Row],[Puesto Encargado]], Tabla9[Puesto], Tabla9[Precio cliente],0,1,1)</f>
        <v>0</v>
      </c>
      <c r="J57" s="30">
        <f>_xlfn.XLOOKUP(Tabla2757[[#This Row],[Cargo]], Tabla958[Cargos], Tabla958[Ponderador Precio],0,1,1)</f>
        <v>0</v>
      </c>
      <c r="K57" s="30">
        <f>Tabla2757[[#This Row],[Precio por hora UF]]*Tabla2757[[#This Row],[Ponderador]]</f>
        <v>0</v>
      </c>
      <c r="L57" s="40">
        <v>0</v>
      </c>
      <c r="M57" s="30">
        <f>Tabla2757[[#This Row],[Precio por hora]]*Tabla2757[[#This Row],[Cantidad horas]]</f>
        <v>0</v>
      </c>
      <c r="N57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58" spans="2:14" x14ac:dyDescent="0.3">
      <c r="B58" s="28"/>
      <c r="C58" s="20"/>
      <c r="E58" s="136"/>
      <c r="F58" s="177">
        <f>_xlfn.XLOOKUP(Tabla2757[[#This Row],[Tipo de venta]],Tabla2329[Tipo de venta],Tabla2329[Moneda final], "Error - Seleccionar Tipo de Venta", 0,1)</f>
        <v>0</v>
      </c>
      <c r="G58" s="178"/>
      <c r="H58" s="21"/>
      <c r="I58" s="30">
        <f>_xlfn.XLOOKUP(Tabla2757[[#This Row],[Puesto Encargado]], Tabla9[Puesto], Tabla9[Precio cliente],0,1,1)</f>
        <v>0</v>
      </c>
      <c r="J58" s="30">
        <f>_xlfn.XLOOKUP(Tabla2757[[#This Row],[Cargo]], Tabla958[Cargos], Tabla958[Ponderador Precio],0,1,1)</f>
        <v>0</v>
      </c>
      <c r="K58" s="30">
        <f>Tabla2757[[#This Row],[Precio por hora UF]]*Tabla2757[[#This Row],[Ponderador]]</f>
        <v>0</v>
      </c>
      <c r="L58" s="40">
        <v>0</v>
      </c>
      <c r="M58" s="30">
        <f>Tabla2757[[#This Row],[Precio por hora]]*Tabla2757[[#This Row],[Cantidad horas]]</f>
        <v>0</v>
      </c>
      <c r="N58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59" spans="2:14" x14ac:dyDescent="0.3">
      <c r="B59" s="28"/>
      <c r="C59" s="20"/>
      <c r="E59" s="136"/>
      <c r="F59" s="177">
        <f>_xlfn.XLOOKUP(Tabla2757[[#This Row],[Tipo de venta]],Tabla2329[Tipo de venta],Tabla2329[Moneda final], "Error - Seleccionar Tipo de Venta", 0,1)</f>
        <v>0</v>
      </c>
      <c r="G59" s="178"/>
      <c r="H59" s="21"/>
      <c r="I59" s="30">
        <f>_xlfn.XLOOKUP(Tabla2757[[#This Row],[Puesto Encargado]], Tabla9[Puesto], Tabla9[Precio cliente],0,1,1)</f>
        <v>0</v>
      </c>
      <c r="J59" s="30">
        <f>_xlfn.XLOOKUP(Tabla2757[[#This Row],[Cargo]], Tabla958[Cargos], Tabla958[Ponderador Precio],0,1,1)</f>
        <v>0</v>
      </c>
      <c r="K59" s="30">
        <f>Tabla2757[[#This Row],[Precio por hora UF]]*Tabla2757[[#This Row],[Ponderador]]</f>
        <v>0</v>
      </c>
      <c r="L59" s="40">
        <v>0</v>
      </c>
      <c r="M59" s="30">
        <f>Tabla2757[[#This Row],[Precio por hora]]*Tabla2757[[#This Row],[Cantidad horas]]</f>
        <v>0</v>
      </c>
      <c r="N59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60" spans="2:14" x14ac:dyDescent="0.3">
      <c r="B60" s="28"/>
      <c r="C60" s="20"/>
      <c r="E60" s="136"/>
      <c r="F60" s="177">
        <f>_xlfn.XLOOKUP(Tabla2757[[#This Row],[Tipo de venta]],Tabla2329[Tipo de venta],Tabla2329[Moneda final], "Error - Seleccionar Tipo de Venta", 0,1)</f>
        <v>0</v>
      </c>
      <c r="G60" s="178"/>
      <c r="H60" s="21"/>
      <c r="I60" s="30">
        <f>_xlfn.XLOOKUP(Tabla2757[[#This Row],[Puesto Encargado]], Tabla9[Puesto], Tabla9[Precio cliente],0,1,1)</f>
        <v>0</v>
      </c>
      <c r="J60" s="30">
        <f>_xlfn.XLOOKUP(Tabla2757[[#This Row],[Cargo]], Tabla958[Cargos], Tabla958[Ponderador Precio],0,1,1)</f>
        <v>0</v>
      </c>
      <c r="K60" s="30">
        <f>Tabla2757[[#This Row],[Precio por hora UF]]*Tabla2757[[#This Row],[Ponderador]]</f>
        <v>0</v>
      </c>
      <c r="L60" s="40">
        <v>0</v>
      </c>
      <c r="M60" s="30">
        <f>Tabla2757[[#This Row],[Precio por hora]]*Tabla2757[[#This Row],[Cantidad horas]]</f>
        <v>0</v>
      </c>
      <c r="N60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61" spans="2:14" x14ac:dyDescent="0.3">
      <c r="B61" s="28"/>
      <c r="C61" s="20"/>
      <c r="E61" s="136"/>
      <c r="F61" s="177">
        <f>_xlfn.XLOOKUP(Tabla2757[[#This Row],[Tipo de venta]],Tabla2329[Tipo de venta],Tabla2329[Moneda final], "Error - Seleccionar Tipo de Venta", 0,1)</f>
        <v>0</v>
      </c>
      <c r="G61" s="178"/>
      <c r="H61" s="21"/>
      <c r="I61" s="30">
        <f>_xlfn.XLOOKUP(Tabla2757[[#This Row],[Puesto Encargado]], Tabla9[Puesto], Tabla9[Precio cliente],0,1,1)</f>
        <v>0</v>
      </c>
      <c r="J61" s="30">
        <f>_xlfn.XLOOKUP(Tabla2757[[#This Row],[Cargo]], Tabla958[Cargos], Tabla958[Ponderador Precio],0,1,1)</f>
        <v>0</v>
      </c>
      <c r="K61" s="30">
        <f>Tabla2757[[#This Row],[Precio por hora UF]]*Tabla2757[[#This Row],[Ponderador]]</f>
        <v>0</v>
      </c>
      <c r="L61" s="40">
        <v>0</v>
      </c>
      <c r="M61" s="30">
        <f>Tabla2757[[#This Row],[Precio por hora]]*Tabla2757[[#This Row],[Cantidad horas]]</f>
        <v>0</v>
      </c>
      <c r="N61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62" spans="2:14" x14ac:dyDescent="0.3">
      <c r="B62" s="28"/>
      <c r="C62" s="20"/>
      <c r="E62" s="136"/>
      <c r="F62" s="177">
        <f>_xlfn.XLOOKUP(Tabla2757[[#This Row],[Tipo de venta]],Tabla2329[Tipo de venta],Tabla2329[Moneda final], "Error - Seleccionar Tipo de Venta", 0,1)</f>
        <v>0</v>
      </c>
      <c r="G62" s="178"/>
      <c r="H62" s="21"/>
      <c r="I62" s="30">
        <f>_xlfn.XLOOKUP(Tabla2757[[#This Row],[Puesto Encargado]], Tabla9[Puesto], Tabla9[Precio cliente],0,1,1)</f>
        <v>0</v>
      </c>
      <c r="J62" s="30">
        <f>_xlfn.XLOOKUP(Tabla2757[[#This Row],[Cargo]], Tabla958[Cargos], Tabla958[Ponderador Precio],0,1,1)</f>
        <v>0</v>
      </c>
      <c r="K62" s="30">
        <f>Tabla2757[[#This Row],[Precio por hora UF]]*Tabla2757[[#This Row],[Ponderador]]</f>
        <v>0</v>
      </c>
      <c r="L62" s="40">
        <v>0</v>
      </c>
      <c r="M62" s="30">
        <f>Tabla2757[[#This Row],[Precio por hora]]*Tabla2757[[#This Row],[Cantidad horas]]</f>
        <v>0</v>
      </c>
      <c r="N62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63" spans="2:14" x14ac:dyDescent="0.3">
      <c r="B63" s="28"/>
      <c r="C63" s="20"/>
      <c r="E63" s="136"/>
      <c r="F63" s="177">
        <f>_xlfn.XLOOKUP(Tabla2757[[#This Row],[Tipo de venta]],Tabla2329[Tipo de venta],Tabla2329[Moneda final], "Error - Seleccionar Tipo de Venta", 0,1)</f>
        <v>0</v>
      </c>
      <c r="G63" s="178"/>
      <c r="H63" s="21"/>
      <c r="I63" s="30">
        <f>_xlfn.XLOOKUP(Tabla2757[[#This Row],[Puesto Encargado]], Tabla9[Puesto], Tabla9[Precio cliente],0,1,1)</f>
        <v>0</v>
      </c>
      <c r="J63" s="30">
        <f>_xlfn.XLOOKUP(Tabla2757[[#This Row],[Cargo]], Tabla958[Cargos], Tabla958[Ponderador Precio],0,1,1)</f>
        <v>0</v>
      </c>
      <c r="K63" s="30">
        <f>Tabla2757[[#This Row],[Precio por hora UF]]*Tabla2757[[#This Row],[Ponderador]]</f>
        <v>0</v>
      </c>
      <c r="L63" s="40">
        <v>0</v>
      </c>
      <c r="M63" s="30">
        <f>Tabla2757[[#This Row],[Precio por hora]]*Tabla2757[[#This Row],[Cantidad horas]]</f>
        <v>0</v>
      </c>
      <c r="N63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64" spans="2:14" x14ac:dyDescent="0.3">
      <c r="B64" s="28"/>
      <c r="C64" s="20"/>
      <c r="E64" s="136"/>
      <c r="F64" s="177">
        <f>_xlfn.XLOOKUP(Tabla2757[[#This Row],[Tipo de venta]],Tabla2329[Tipo de venta],Tabla2329[Moneda final], "Error - Seleccionar Tipo de Venta", 0,1)</f>
        <v>0</v>
      </c>
      <c r="G64" s="178"/>
      <c r="H64" s="21"/>
      <c r="I64" s="30">
        <f>_xlfn.XLOOKUP(Tabla2757[[#This Row],[Puesto Encargado]], Tabla9[Puesto], Tabla9[Precio cliente],0,1,1)</f>
        <v>0</v>
      </c>
      <c r="J64" s="30">
        <f>_xlfn.XLOOKUP(Tabla2757[[#This Row],[Cargo]], Tabla958[Cargos], Tabla958[Ponderador Precio],0,1,1)</f>
        <v>0</v>
      </c>
      <c r="K64" s="30">
        <f>Tabla2757[[#This Row],[Precio por hora UF]]*Tabla2757[[#This Row],[Ponderador]]</f>
        <v>0</v>
      </c>
      <c r="L64" s="40">
        <v>0</v>
      </c>
      <c r="M64" s="30">
        <f>Tabla2757[[#This Row],[Precio por hora]]*Tabla2757[[#This Row],[Cantidad horas]]</f>
        <v>0</v>
      </c>
      <c r="N64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65" spans="2:14" x14ac:dyDescent="0.3">
      <c r="B65" s="28"/>
      <c r="C65" s="20"/>
      <c r="E65" s="136"/>
      <c r="F65" s="177">
        <f>_xlfn.XLOOKUP(Tabla2757[[#This Row],[Tipo de venta]],Tabla2329[Tipo de venta],Tabla2329[Moneda final], "Error - Seleccionar Tipo de Venta", 0,1)</f>
        <v>0</v>
      </c>
      <c r="G65" s="178"/>
      <c r="H65" s="21"/>
      <c r="I65" s="30">
        <f>_xlfn.XLOOKUP(Tabla2757[[#This Row],[Puesto Encargado]], Tabla9[Puesto], Tabla9[Precio cliente],0,1,1)</f>
        <v>0</v>
      </c>
      <c r="J65" s="30">
        <f>_xlfn.XLOOKUP(Tabla2757[[#This Row],[Cargo]], Tabla958[Cargos], Tabla958[Ponderador Precio],0,1,1)</f>
        <v>0</v>
      </c>
      <c r="K65" s="30">
        <f>Tabla2757[[#This Row],[Precio por hora UF]]*Tabla2757[[#This Row],[Ponderador]]</f>
        <v>0</v>
      </c>
      <c r="L65" s="40">
        <v>0</v>
      </c>
      <c r="M65" s="30">
        <f>Tabla2757[[#This Row],[Precio por hora]]*Tabla2757[[#This Row],[Cantidad horas]]</f>
        <v>0</v>
      </c>
      <c r="N65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66" spans="2:14" x14ac:dyDescent="0.3">
      <c r="B66" s="28"/>
      <c r="C66" s="20"/>
      <c r="E66" s="136"/>
      <c r="F66" s="177">
        <f>_xlfn.XLOOKUP(Tabla2757[[#This Row],[Tipo de venta]],Tabla2329[Tipo de venta],Tabla2329[Moneda final], "Error - Seleccionar Tipo de Venta", 0,1)</f>
        <v>0</v>
      </c>
      <c r="G66" s="178"/>
      <c r="H66" s="21"/>
      <c r="I66" s="30">
        <f>_xlfn.XLOOKUP(Tabla2757[[#This Row],[Puesto Encargado]], Tabla9[Puesto], Tabla9[Precio cliente],0,1,1)</f>
        <v>0</v>
      </c>
      <c r="J66" s="30">
        <f>_xlfn.XLOOKUP(Tabla2757[[#This Row],[Cargo]], Tabla958[Cargos], Tabla958[Ponderador Precio],0,1,1)</f>
        <v>0</v>
      </c>
      <c r="K66" s="30">
        <f>Tabla2757[[#This Row],[Precio por hora UF]]*Tabla2757[[#This Row],[Ponderador]]</f>
        <v>0</v>
      </c>
      <c r="L66" s="40">
        <v>0</v>
      </c>
      <c r="M66" s="30">
        <f>Tabla2757[[#This Row],[Precio por hora]]*Tabla2757[[#This Row],[Cantidad horas]]</f>
        <v>0</v>
      </c>
      <c r="N66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67" spans="2:14" x14ac:dyDescent="0.3">
      <c r="B67" s="28"/>
      <c r="C67" s="20"/>
      <c r="E67" s="136"/>
      <c r="F67" s="177">
        <f>_xlfn.XLOOKUP(Tabla2757[[#This Row],[Tipo de venta]],Tabla2329[Tipo de venta],Tabla2329[Moneda final], "Error - Seleccionar Tipo de Venta", 0,1)</f>
        <v>0</v>
      </c>
      <c r="G67" s="178"/>
      <c r="H67" s="21"/>
      <c r="I67" s="30">
        <f>_xlfn.XLOOKUP(Tabla2757[[#This Row],[Puesto Encargado]], Tabla9[Puesto], Tabla9[Precio cliente],0,1,1)</f>
        <v>0</v>
      </c>
      <c r="J67" s="30">
        <f>_xlfn.XLOOKUP(Tabla2757[[#This Row],[Cargo]], Tabla958[Cargos], Tabla958[Ponderador Precio],0,1,1)</f>
        <v>0</v>
      </c>
      <c r="K67" s="30">
        <f>Tabla2757[[#This Row],[Precio por hora UF]]*Tabla2757[[#This Row],[Ponderador]]</f>
        <v>0</v>
      </c>
      <c r="L67" s="40">
        <v>0</v>
      </c>
      <c r="M67" s="30">
        <f>Tabla2757[[#This Row],[Precio por hora]]*Tabla2757[[#This Row],[Cantidad horas]]</f>
        <v>0</v>
      </c>
      <c r="N67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68" spans="2:14" x14ac:dyDescent="0.3">
      <c r="B68" s="28"/>
      <c r="C68" s="20"/>
      <c r="E68" s="136"/>
      <c r="F68" s="177">
        <f>_xlfn.XLOOKUP(Tabla2757[[#This Row],[Tipo de venta]],Tabla2329[Tipo de venta],Tabla2329[Moneda final], "Error - Seleccionar Tipo de Venta", 0,1)</f>
        <v>0</v>
      </c>
      <c r="G68" s="178"/>
      <c r="H68" s="21"/>
      <c r="I68" s="30">
        <f>_xlfn.XLOOKUP(Tabla2757[[#This Row],[Puesto Encargado]], Tabla9[Puesto], Tabla9[Precio cliente],0,1,1)</f>
        <v>0</v>
      </c>
      <c r="J68" s="30">
        <f>_xlfn.XLOOKUP(Tabla2757[[#This Row],[Cargo]], Tabla958[Cargos], Tabla958[Ponderador Precio],0,1,1)</f>
        <v>0</v>
      </c>
      <c r="K68" s="30">
        <f>Tabla2757[[#This Row],[Precio por hora UF]]*Tabla2757[[#This Row],[Ponderador]]</f>
        <v>0</v>
      </c>
      <c r="L68" s="40">
        <v>0</v>
      </c>
      <c r="M68" s="30">
        <f>Tabla2757[[#This Row],[Precio por hora]]*Tabla2757[[#This Row],[Cantidad horas]]</f>
        <v>0</v>
      </c>
      <c r="N68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69" spans="2:14" x14ac:dyDescent="0.3">
      <c r="B69" s="28"/>
      <c r="C69" s="20"/>
      <c r="E69" s="136"/>
      <c r="F69" s="177">
        <f>_xlfn.XLOOKUP(Tabla2757[[#This Row],[Tipo de venta]],Tabla2329[Tipo de venta],Tabla2329[Moneda final], "Error - Seleccionar Tipo de Venta", 0,1)</f>
        <v>0</v>
      </c>
      <c r="G69" s="178"/>
      <c r="H69" s="21"/>
      <c r="I69" s="30">
        <f>_xlfn.XLOOKUP(Tabla2757[[#This Row],[Puesto Encargado]], Tabla9[Puesto], Tabla9[Precio cliente],0,1,1)</f>
        <v>0</v>
      </c>
      <c r="J69" s="30">
        <f>_xlfn.XLOOKUP(Tabla2757[[#This Row],[Cargo]], Tabla958[Cargos], Tabla958[Ponderador Precio],0,1,1)</f>
        <v>0</v>
      </c>
      <c r="K69" s="30">
        <f>Tabla2757[[#This Row],[Precio por hora UF]]*Tabla2757[[#This Row],[Ponderador]]</f>
        <v>0</v>
      </c>
      <c r="L69" s="40">
        <v>0</v>
      </c>
      <c r="M69" s="30">
        <f>Tabla2757[[#This Row],[Precio por hora]]*Tabla2757[[#This Row],[Cantidad horas]]</f>
        <v>0</v>
      </c>
      <c r="N69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70" spans="2:14" x14ac:dyDescent="0.3">
      <c r="B70" s="28"/>
      <c r="C70" s="20"/>
      <c r="E70" s="136"/>
      <c r="F70" s="177">
        <f>_xlfn.XLOOKUP(Tabla2757[[#This Row],[Tipo de venta]],Tabla2329[Tipo de venta],Tabla2329[Moneda final], "Error - Seleccionar Tipo de Venta", 0,1)</f>
        <v>0</v>
      </c>
      <c r="G70" s="178"/>
      <c r="H70" s="21"/>
      <c r="I70" s="30">
        <f>_xlfn.XLOOKUP(Tabla2757[[#This Row],[Puesto Encargado]], Tabla9[Puesto], Tabla9[Precio cliente],0,1,1)</f>
        <v>0</v>
      </c>
      <c r="J70" s="30">
        <f>_xlfn.XLOOKUP(Tabla2757[[#This Row],[Cargo]], Tabla958[Cargos], Tabla958[Ponderador Precio],0,1,1)</f>
        <v>0</v>
      </c>
      <c r="K70" s="30">
        <f>Tabla2757[[#This Row],[Precio por hora UF]]*Tabla2757[[#This Row],[Ponderador]]</f>
        <v>0</v>
      </c>
      <c r="L70" s="40">
        <v>0</v>
      </c>
      <c r="M70" s="30">
        <f>Tabla2757[[#This Row],[Precio por hora]]*Tabla2757[[#This Row],[Cantidad horas]]</f>
        <v>0</v>
      </c>
      <c r="N70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71" spans="2:14" x14ac:dyDescent="0.3">
      <c r="B71" s="28"/>
      <c r="C71" s="20"/>
      <c r="E71" s="136"/>
      <c r="F71" s="177">
        <f>_xlfn.XLOOKUP(Tabla2757[[#This Row],[Tipo de venta]],Tabla2329[Tipo de venta],Tabla2329[Moneda final], "Error - Seleccionar Tipo de Venta", 0,1)</f>
        <v>0</v>
      </c>
      <c r="G71" s="178"/>
      <c r="H71" s="21"/>
      <c r="I71" s="30">
        <f>_xlfn.XLOOKUP(Tabla2757[[#This Row],[Puesto Encargado]], Tabla9[Puesto], Tabla9[Precio cliente],0,1,1)</f>
        <v>0</v>
      </c>
      <c r="J71" s="30">
        <f>_xlfn.XLOOKUP(Tabla2757[[#This Row],[Cargo]], Tabla958[Cargos], Tabla958[Ponderador Precio],0,1,1)</f>
        <v>0</v>
      </c>
      <c r="K71" s="30">
        <f>Tabla2757[[#This Row],[Precio por hora UF]]*Tabla2757[[#This Row],[Ponderador]]</f>
        <v>0</v>
      </c>
      <c r="L71" s="40">
        <v>0</v>
      </c>
      <c r="M71" s="30">
        <f>Tabla2757[[#This Row],[Precio por hora]]*Tabla2757[[#This Row],[Cantidad horas]]</f>
        <v>0</v>
      </c>
      <c r="N71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72" spans="2:14" x14ac:dyDescent="0.3">
      <c r="B72" s="28"/>
      <c r="C72" s="20"/>
      <c r="E72" s="136"/>
      <c r="F72" s="177">
        <f>_xlfn.XLOOKUP(Tabla2757[[#This Row],[Tipo de venta]],Tabla2329[Tipo de venta],Tabla2329[Moneda final], "Error - Seleccionar Tipo de Venta", 0,1)</f>
        <v>0</v>
      </c>
      <c r="G72" s="178"/>
      <c r="H72" s="21"/>
      <c r="I72" s="30">
        <f>_xlfn.XLOOKUP(Tabla2757[[#This Row],[Puesto Encargado]], Tabla9[Puesto], Tabla9[Precio cliente],0,1,1)</f>
        <v>0</v>
      </c>
      <c r="J72" s="30">
        <f>_xlfn.XLOOKUP(Tabla2757[[#This Row],[Cargo]], Tabla958[Cargos], Tabla958[Ponderador Precio],0,1,1)</f>
        <v>0</v>
      </c>
      <c r="K72" s="30">
        <f>Tabla2757[[#This Row],[Precio por hora UF]]*Tabla2757[[#This Row],[Ponderador]]</f>
        <v>0</v>
      </c>
      <c r="L72" s="40">
        <v>0</v>
      </c>
      <c r="M72" s="30">
        <f>Tabla2757[[#This Row],[Precio por hora]]*Tabla2757[[#This Row],[Cantidad horas]]</f>
        <v>0</v>
      </c>
      <c r="N72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73" spans="2:14" x14ac:dyDescent="0.3">
      <c r="B73" s="28"/>
      <c r="C73" s="20"/>
      <c r="E73" s="136"/>
      <c r="F73" s="177">
        <f>_xlfn.XLOOKUP(Tabla2757[[#This Row],[Tipo de venta]],Tabla2329[Tipo de venta],Tabla2329[Moneda final], "Error - Seleccionar Tipo de Venta", 0,1)</f>
        <v>0</v>
      </c>
      <c r="G73" s="178"/>
      <c r="H73" s="21"/>
      <c r="I73" s="30">
        <f>_xlfn.XLOOKUP(Tabla2757[[#This Row],[Puesto Encargado]], Tabla9[Puesto], Tabla9[Precio cliente],0,1,1)</f>
        <v>0</v>
      </c>
      <c r="J73" s="30">
        <f>_xlfn.XLOOKUP(Tabla2757[[#This Row],[Cargo]], Tabla958[Cargos], Tabla958[Ponderador Precio],0,1,1)</f>
        <v>0</v>
      </c>
      <c r="K73" s="30">
        <f>Tabla2757[[#This Row],[Precio por hora UF]]*Tabla2757[[#This Row],[Ponderador]]</f>
        <v>0</v>
      </c>
      <c r="L73" s="40">
        <v>0</v>
      </c>
      <c r="M73" s="30">
        <f>Tabla2757[[#This Row],[Precio por hora]]*Tabla2757[[#This Row],[Cantidad horas]]</f>
        <v>0</v>
      </c>
      <c r="N73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74" spans="2:14" x14ac:dyDescent="0.3">
      <c r="B74" s="28"/>
      <c r="C74" s="20"/>
      <c r="E74" s="136"/>
      <c r="F74" s="177">
        <f>_xlfn.XLOOKUP(Tabla2757[[#This Row],[Tipo de venta]],Tabla2329[Tipo de venta],Tabla2329[Moneda final], "Error - Seleccionar Tipo de Venta", 0,1)</f>
        <v>0</v>
      </c>
      <c r="G74" s="178"/>
      <c r="H74" s="21"/>
      <c r="I74" s="30">
        <f>_xlfn.XLOOKUP(Tabla2757[[#This Row],[Puesto Encargado]], Tabla9[Puesto], Tabla9[Precio cliente],0,1,1)</f>
        <v>0</v>
      </c>
      <c r="J74" s="30">
        <f>_xlfn.XLOOKUP(Tabla2757[[#This Row],[Cargo]], Tabla958[Cargos], Tabla958[Ponderador Precio],0,1,1)</f>
        <v>0</v>
      </c>
      <c r="K74" s="30">
        <f>Tabla2757[[#This Row],[Precio por hora UF]]*Tabla2757[[#This Row],[Ponderador]]</f>
        <v>0</v>
      </c>
      <c r="L74" s="40">
        <v>0</v>
      </c>
      <c r="M74" s="30">
        <f>Tabla2757[[#This Row],[Precio por hora]]*Tabla2757[[#This Row],[Cantidad horas]]</f>
        <v>0</v>
      </c>
      <c r="N74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75" spans="2:14" x14ac:dyDescent="0.3">
      <c r="B75" s="28"/>
      <c r="C75" s="20"/>
      <c r="E75" s="136"/>
      <c r="F75" s="177">
        <f>_xlfn.XLOOKUP(Tabla2757[[#This Row],[Tipo de venta]],Tabla2329[Tipo de venta],Tabla2329[Moneda final], "Error - Seleccionar Tipo de Venta", 0,1)</f>
        <v>0</v>
      </c>
      <c r="G75" s="178"/>
      <c r="H75" s="21"/>
      <c r="I75" s="30">
        <f>_xlfn.XLOOKUP(Tabla2757[[#This Row],[Puesto Encargado]], Tabla9[Puesto], Tabla9[Precio cliente],0,1,1)</f>
        <v>0</v>
      </c>
      <c r="J75" s="30">
        <f>_xlfn.XLOOKUP(Tabla2757[[#This Row],[Cargo]], Tabla958[Cargos], Tabla958[Ponderador Precio],0,1,1)</f>
        <v>0</v>
      </c>
      <c r="K75" s="30">
        <f>Tabla2757[[#This Row],[Precio por hora UF]]*Tabla2757[[#This Row],[Ponderador]]</f>
        <v>0</v>
      </c>
      <c r="L75" s="40">
        <v>0</v>
      </c>
      <c r="M75" s="30">
        <f>Tabla2757[[#This Row],[Precio por hora]]*Tabla2757[[#This Row],[Cantidad horas]]</f>
        <v>0</v>
      </c>
      <c r="N75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76" spans="2:14" x14ac:dyDescent="0.3">
      <c r="B76" s="28"/>
      <c r="C76" s="20"/>
      <c r="E76" s="136"/>
      <c r="F76" s="177">
        <f>_xlfn.XLOOKUP(Tabla2757[[#This Row],[Tipo de venta]],Tabla2329[Tipo de venta],Tabla2329[Moneda final], "Error - Seleccionar Tipo de Venta", 0,1)</f>
        <v>0</v>
      </c>
      <c r="G76" s="178"/>
      <c r="H76" s="21"/>
      <c r="I76" s="30">
        <f>_xlfn.XLOOKUP(Tabla2757[[#This Row],[Puesto Encargado]], Tabla9[Puesto], Tabla9[Precio cliente],0,1,1)</f>
        <v>0</v>
      </c>
      <c r="J76" s="30">
        <f>_xlfn.XLOOKUP(Tabla2757[[#This Row],[Cargo]], Tabla958[Cargos], Tabla958[Ponderador Precio],0,1,1)</f>
        <v>0</v>
      </c>
      <c r="K76" s="30">
        <f>Tabla2757[[#This Row],[Precio por hora UF]]*Tabla2757[[#This Row],[Ponderador]]</f>
        <v>0</v>
      </c>
      <c r="L76" s="40">
        <v>0</v>
      </c>
      <c r="M76" s="30">
        <f>Tabla2757[[#This Row],[Precio por hora]]*Tabla2757[[#This Row],[Cantidad horas]]</f>
        <v>0</v>
      </c>
      <c r="N76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77" spans="2:14" x14ac:dyDescent="0.3">
      <c r="B77" s="28"/>
      <c r="C77" s="20"/>
      <c r="E77" s="136"/>
      <c r="F77" s="177">
        <f>_xlfn.XLOOKUP(Tabla2757[[#This Row],[Tipo de venta]],Tabla2329[Tipo de venta],Tabla2329[Moneda final], "Error - Seleccionar Tipo de Venta", 0,1)</f>
        <v>0</v>
      </c>
      <c r="G77" s="178"/>
      <c r="H77" s="21"/>
      <c r="I77" s="30">
        <f>_xlfn.XLOOKUP(Tabla2757[[#This Row],[Puesto Encargado]], Tabla9[Puesto], Tabla9[Precio cliente],0,1,1)</f>
        <v>0</v>
      </c>
      <c r="J77" s="30">
        <f>_xlfn.XLOOKUP(Tabla2757[[#This Row],[Cargo]], Tabla958[Cargos], Tabla958[Ponderador Precio],0,1,1)</f>
        <v>0</v>
      </c>
      <c r="K77" s="30">
        <f>Tabla2757[[#This Row],[Precio por hora UF]]*Tabla2757[[#This Row],[Ponderador]]</f>
        <v>0</v>
      </c>
      <c r="L77" s="40">
        <v>0</v>
      </c>
      <c r="M77" s="30">
        <f>Tabla2757[[#This Row],[Precio por hora]]*Tabla2757[[#This Row],[Cantidad horas]]</f>
        <v>0</v>
      </c>
      <c r="N77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78" spans="2:14" x14ac:dyDescent="0.3">
      <c r="B78" s="28"/>
      <c r="C78" s="20"/>
      <c r="E78" s="136"/>
      <c r="F78" s="177">
        <f>_xlfn.XLOOKUP(Tabla2757[[#This Row],[Tipo de venta]],Tabla2329[Tipo de venta],Tabla2329[Moneda final], "Error - Seleccionar Tipo de Venta", 0,1)</f>
        <v>0</v>
      </c>
      <c r="G78" s="178"/>
      <c r="H78" s="21"/>
      <c r="I78" s="30">
        <f>_xlfn.XLOOKUP(Tabla2757[[#This Row],[Puesto Encargado]], Tabla9[Puesto], Tabla9[Precio cliente],0,1,1)</f>
        <v>0</v>
      </c>
      <c r="J78" s="30">
        <f>_xlfn.XLOOKUP(Tabla2757[[#This Row],[Cargo]], Tabla958[Cargos], Tabla958[Ponderador Precio],0,1,1)</f>
        <v>0</v>
      </c>
      <c r="K78" s="30">
        <f>Tabla2757[[#This Row],[Precio por hora UF]]*Tabla2757[[#This Row],[Ponderador]]</f>
        <v>0</v>
      </c>
      <c r="L78" s="40">
        <v>0</v>
      </c>
      <c r="M78" s="30">
        <f>Tabla2757[[#This Row],[Precio por hora]]*Tabla2757[[#This Row],[Cantidad horas]]</f>
        <v>0</v>
      </c>
      <c r="N78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79" spans="2:14" x14ac:dyDescent="0.3">
      <c r="B79" s="28"/>
      <c r="C79" s="20"/>
      <c r="E79" s="136"/>
      <c r="F79" s="177">
        <f>_xlfn.XLOOKUP(Tabla2757[[#This Row],[Tipo de venta]],Tabla2329[Tipo de venta],Tabla2329[Moneda final], "Error - Seleccionar Tipo de Venta", 0,1)</f>
        <v>0</v>
      </c>
      <c r="G79" s="178"/>
      <c r="H79" s="21"/>
      <c r="I79" s="30">
        <f>_xlfn.XLOOKUP(Tabla2757[[#This Row],[Puesto Encargado]], Tabla9[Puesto], Tabla9[Precio cliente],0,1,1)</f>
        <v>0</v>
      </c>
      <c r="J79" s="30">
        <f>_xlfn.XLOOKUP(Tabla2757[[#This Row],[Cargo]], Tabla958[Cargos], Tabla958[Ponderador Precio],0,1,1)</f>
        <v>0</v>
      </c>
      <c r="K79" s="30">
        <f>Tabla2757[[#This Row],[Precio por hora UF]]*Tabla2757[[#This Row],[Ponderador]]</f>
        <v>0</v>
      </c>
      <c r="L79" s="40">
        <v>0</v>
      </c>
      <c r="M79" s="30">
        <f>Tabla2757[[#This Row],[Precio por hora]]*Tabla2757[[#This Row],[Cantidad horas]]</f>
        <v>0</v>
      </c>
      <c r="N79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80" spans="2:14" x14ac:dyDescent="0.3">
      <c r="B80" s="28"/>
      <c r="C80" s="20"/>
      <c r="E80" s="136"/>
      <c r="F80" s="177">
        <f>_xlfn.XLOOKUP(Tabla2757[[#This Row],[Tipo de venta]],Tabla2329[Tipo de venta],Tabla2329[Moneda final], "Error - Seleccionar Tipo de Venta", 0,1)</f>
        <v>0</v>
      </c>
      <c r="G80" s="178"/>
      <c r="H80" s="21"/>
      <c r="I80" s="30">
        <f>_xlfn.XLOOKUP(Tabla2757[[#This Row],[Puesto Encargado]], Tabla9[Puesto], Tabla9[Precio cliente],0,1,1)</f>
        <v>0</v>
      </c>
      <c r="J80" s="30">
        <f>_xlfn.XLOOKUP(Tabla2757[[#This Row],[Cargo]], Tabla958[Cargos], Tabla958[Ponderador Precio],0,1,1)</f>
        <v>0</v>
      </c>
      <c r="K80" s="30">
        <f>Tabla2757[[#This Row],[Precio por hora UF]]*Tabla2757[[#This Row],[Ponderador]]</f>
        <v>0</v>
      </c>
      <c r="L80" s="40">
        <v>0</v>
      </c>
      <c r="M80" s="30">
        <f>Tabla2757[[#This Row],[Precio por hora]]*Tabla2757[[#This Row],[Cantidad horas]]</f>
        <v>0</v>
      </c>
      <c r="N80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81" spans="2:14" x14ac:dyDescent="0.3">
      <c r="B81" s="28"/>
      <c r="C81" s="20"/>
      <c r="E81" s="136"/>
      <c r="F81" s="177">
        <f>_xlfn.XLOOKUP(Tabla2757[[#This Row],[Tipo de venta]],Tabla2329[Tipo de venta],Tabla2329[Moneda final], "Error - Seleccionar Tipo de Venta", 0,1)</f>
        <v>0</v>
      </c>
      <c r="G81" s="178"/>
      <c r="H81" s="21"/>
      <c r="I81" s="30">
        <f>_xlfn.XLOOKUP(Tabla2757[[#This Row],[Puesto Encargado]], Tabla9[Puesto], Tabla9[Precio cliente],0,1,1)</f>
        <v>0</v>
      </c>
      <c r="J81" s="30">
        <f>_xlfn.XLOOKUP(Tabla2757[[#This Row],[Cargo]], Tabla958[Cargos], Tabla958[Ponderador Precio],0,1,1)</f>
        <v>0</v>
      </c>
      <c r="K81" s="30">
        <f>Tabla2757[[#This Row],[Precio por hora UF]]*Tabla2757[[#This Row],[Ponderador]]</f>
        <v>0</v>
      </c>
      <c r="L81" s="40">
        <v>0</v>
      </c>
      <c r="M81" s="30">
        <f>Tabla2757[[#This Row],[Precio por hora]]*Tabla2757[[#This Row],[Cantidad horas]]</f>
        <v>0</v>
      </c>
      <c r="N81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82" spans="2:14" x14ac:dyDescent="0.3">
      <c r="B82" s="28"/>
      <c r="C82" s="20"/>
      <c r="E82" s="136"/>
      <c r="F82" s="177">
        <f>_xlfn.XLOOKUP(Tabla2757[[#This Row],[Tipo de venta]],Tabla2329[Tipo de venta],Tabla2329[Moneda final], "Error - Seleccionar Tipo de Venta", 0,1)</f>
        <v>0</v>
      </c>
      <c r="G82" s="178"/>
      <c r="H82" s="21"/>
      <c r="I82" s="30">
        <f>_xlfn.XLOOKUP(Tabla2757[[#This Row],[Puesto Encargado]], Tabla9[Puesto], Tabla9[Precio cliente],0,1,1)</f>
        <v>0</v>
      </c>
      <c r="J82" s="30">
        <f>_xlfn.XLOOKUP(Tabla2757[[#This Row],[Cargo]], Tabla958[Cargos], Tabla958[Ponderador Precio],0,1,1)</f>
        <v>0</v>
      </c>
      <c r="K82" s="30">
        <f>Tabla2757[[#This Row],[Precio por hora UF]]*Tabla2757[[#This Row],[Ponderador]]</f>
        <v>0</v>
      </c>
      <c r="L82" s="40">
        <v>0</v>
      </c>
      <c r="M82" s="30">
        <f>Tabla2757[[#This Row],[Precio por hora]]*Tabla2757[[#This Row],[Cantidad horas]]</f>
        <v>0</v>
      </c>
      <c r="N82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83" spans="2:14" x14ac:dyDescent="0.3">
      <c r="B83" s="28"/>
      <c r="C83" s="20"/>
      <c r="E83" s="136"/>
      <c r="F83" s="177">
        <f>_xlfn.XLOOKUP(Tabla2757[[#This Row],[Tipo de venta]],Tabla2329[Tipo de venta],Tabla2329[Moneda final], "Error - Seleccionar Tipo de Venta", 0,1)</f>
        <v>0</v>
      </c>
      <c r="G83" s="178"/>
      <c r="H83" s="21"/>
      <c r="I83" s="30">
        <f>_xlfn.XLOOKUP(Tabla2757[[#This Row],[Puesto Encargado]], Tabla9[Puesto], Tabla9[Precio cliente],0,1,1)</f>
        <v>0</v>
      </c>
      <c r="J83" s="30">
        <f>_xlfn.XLOOKUP(Tabla2757[[#This Row],[Cargo]], Tabla958[Cargos], Tabla958[Ponderador Precio],0,1,1)</f>
        <v>0</v>
      </c>
      <c r="K83" s="30">
        <f>Tabla2757[[#This Row],[Precio por hora UF]]*Tabla2757[[#This Row],[Ponderador]]</f>
        <v>0</v>
      </c>
      <c r="L83" s="40">
        <v>0</v>
      </c>
      <c r="M83" s="30">
        <f>Tabla2757[[#This Row],[Precio por hora]]*Tabla2757[[#This Row],[Cantidad horas]]</f>
        <v>0</v>
      </c>
      <c r="N83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84" spans="2:14" x14ac:dyDescent="0.3">
      <c r="B84" s="28"/>
      <c r="C84" s="20"/>
      <c r="E84" s="136"/>
      <c r="F84" s="177">
        <f>_xlfn.XLOOKUP(Tabla2757[[#This Row],[Tipo de venta]],Tabla2329[Tipo de venta],Tabla2329[Moneda final], "Error - Seleccionar Tipo de Venta", 0,1)</f>
        <v>0</v>
      </c>
      <c r="G84" s="178"/>
      <c r="H84" s="21"/>
      <c r="I84" s="30">
        <f>_xlfn.XLOOKUP(Tabla2757[[#This Row],[Puesto Encargado]], Tabla9[Puesto], Tabla9[Precio cliente],0,1,1)</f>
        <v>0</v>
      </c>
      <c r="J84" s="30">
        <f>_xlfn.XLOOKUP(Tabla2757[[#This Row],[Cargo]], Tabla958[Cargos], Tabla958[Ponderador Precio],0,1,1)</f>
        <v>0</v>
      </c>
      <c r="K84" s="30">
        <f>Tabla2757[[#This Row],[Precio por hora UF]]*Tabla2757[[#This Row],[Ponderador]]</f>
        <v>0</v>
      </c>
      <c r="L84" s="40">
        <v>0</v>
      </c>
      <c r="M84" s="30">
        <f>Tabla2757[[#This Row],[Precio por hora]]*Tabla2757[[#This Row],[Cantidad horas]]</f>
        <v>0</v>
      </c>
      <c r="N84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85" spans="2:14" x14ac:dyDescent="0.3">
      <c r="B85" s="28"/>
      <c r="C85" s="20"/>
      <c r="E85" s="136"/>
      <c r="F85" s="177">
        <f>_xlfn.XLOOKUP(Tabla2757[[#This Row],[Tipo de venta]],Tabla2329[Tipo de venta],Tabla2329[Moneda final], "Error - Seleccionar Tipo de Venta", 0,1)</f>
        <v>0</v>
      </c>
      <c r="G85" s="178"/>
      <c r="H85" s="21"/>
      <c r="I85" s="30">
        <f>_xlfn.XLOOKUP(Tabla2757[[#This Row],[Puesto Encargado]], Tabla9[Puesto], Tabla9[Precio cliente],0,1,1)</f>
        <v>0</v>
      </c>
      <c r="J85" s="30">
        <f>_xlfn.XLOOKUP(Tabla2757[[#This Row],[Cargo]], Tabla958[Cargos], Tabla958[Ponderador Precio],0,1,1)</f>
        <v>0</v>
      </c>
      <c r="K85" s="30">
        <f>Tabla2757[[#This Row],[Precio por hora UF]]*Tabla2757[[#This Row],[Ponderador]]</f>
        <v>0</v>
      </c>
      <c r="L85" s="40">
        <v>0</v>
      </c>
      <c r="M85" s="30">
        <f>Tabla2757[[#This Row],[Precio por hora]]*Tabla2757[[#This Row],[Cantidad horas]]</f>
        <v>0</v>
      </c>
      <c r="N85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86" spans="2:14" x14ac:dyDescent="0.3">
      <c r="B86" s="28"/>
      <c r="C86" s="20"/>
      <c r="E86" s="136"/>
      <c r="F86" s="177">
        <f>_xlfn.XLOOKUP(Tabla2757[[#This Row],[Tipo de venta]],Tabla2329[Tipo de venta],Tabla2329[Moneda final], "Error - Seleccionar Tipo de Venta", 0,1)</f>
        <v>0</v>
      </c>
      <c r="G86" s="178"/>
      <c r="H86" s="21"/>
      <c r="I86" s="30">
        <f>_xlfn.XLOOKUP(Tabla2757[[#This Row],[Puesto Encargado]], Tabla9[Puesto], Tabla9[Precio cliente],0,1,1)</f>
        <v>0</v>
      </c>
      <c r="J86" s="30">
        <f>_xlfn.XLOOKUP(Tabla2757[[#This Row],[Cargo]], Tabla958[Cargos], Tabla958[Ponderador Precio],0,1,1)</f>
        <v>0</v>
      </c>
      <c r="K86" s="30">
        <f>Tabla2757[[#This Row],[Precio por hora UF]]*Tabla2757[[#This Row],[Ponderador]]</f>
        <v>0</v>
      </c>
      <c r="L86" s="40">
        <v>0</v>
      </c>
      <c r="M86" s="30">
        <f>Tabla2757[[#This Row],[Precio por hora]]*Tabla2757[[#This Row],[Cantidad horas]]</f>
        <v>0</v>
      </c>
      <c r="N86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87" spans="2:14" x14ac:dyDescent="0.3">
      <c r="B87" s="28"/>
      <c r="C87" s="20"/>
      <c r="E87" s="136"/>
      <c r="F87" s="177">
        <f>_xlfn.XLOOKUP(Tabla2757[[#This Row],[Tipo de venta]],Tabla2329[Tipo de venta],Tabla2329[Moneda final], "Error - Seleccionar Tipo de Venta", 0,1)</f>
        <v>0</v>
      </c>
      <c r="G87" s="178"/>
      <c r="H87" s="21"/>
      <c r="I87" s="30">
        <f>_xlfn.XLOOKUP(Tabla2757[[#This Row],[Puesto Encargado]], Tabla9[Puesto], Tabla9[Precio cliente],0,1,1)</f>
        <v>0</v>
      </c>
      <c r="J87" s="30">
        <f>_xlfn.XLOOKUP(Tabla2757[[#This Row],[Cargo]], Tabla958[Cargos], Tabla958[Ponderador Precio],0,1,1)</f>
        <v>0</v>
      </c>
      <c r="K87" s="30">
        <f>Tabla2757[[#This Row],[Precio por hora UF]]*Tabla2757[[#This Row],[Ponderador]]</f>
        <v>0</v>
      </c>
      <c r="L87" s="40">
        <v>0</v>
      </c>
      <c r="M87" s="30">
        <f>Tabla2757[[#This Row],[Precio por hora]]*Tabla2757[[#This Row],[Cantidad horas]]</f>
        <v>0</v>
      </c>
      <c r="N87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88" spans="2:14" x14ac:dyDescent="0.3">
      <c r="B88" s="28"/>
      <c r="C88" s="20"/>
      <c r="E88" s="136"/>
      <c r="F88" s="177">
        <f>_xlfn.XLOOKUP(Tabla2757[[#This Row],[Tipo de venta]],Tabla2329[Tipo de venta],Tabla2329[Moneda final], "Error - Seleccionar Tipo de Venta", 0,1)</f>
        <v>0</v>
      </c>
      <c r="G88" s="178"/>
      <c r="H88" s="21"/>
      <c r="I88" s="30">
        <f>_xlfn.XLOOKUP(Tabla2757[[#This Row],[Puesto Encargado]], Tabla9[Puesto], Tabla9[Precio cliente],0,1,1)</f>
        <v>0</v>
      </c>
      <c r="J88" s="30">
        <f>_xlfn.XLOOKUP(Tabla2757[[#This Row],[Cargo]], Tabla958[Cargos], Tabla958[Ponderador Precio],0,1,1)</f>
        <v>0</v>
      </c>
      <c r="K88" s="30">
        <f>Tabla2757[[#This Row],[Precio por hora UF]]*Tabla2757[[#This Row],[Ponderador]]</f>
        <v>0</v>
      </c>
      <c r="L88" s="40">
        <v>0</v>
      </c>
      <c r="M88" s="30">
        <f>Tabla2757[[#This Row],[Precio por hora]]*Tabla2757[[#This Row],[Cantidad horas]]</f>
        <v>0</v>
      </c>
      <c r="N88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89" spans="2:14" x14ac:dyDescent="0.3">
      <c r="B89" s="28"/>
      <c r="C89" s="20"/>
      <c r="E89" s="136"/>
      <c r="F89" s="177">
        <f>_xlfn.XLOOKUP(Tabla2757[[#This Row],[Tipo de venta]],Tabla2329[Tipo de venta],Tabla2329[Moneda final], "Error - Seleccionar Tipo de Venta", 0,1)</f>
        <v>0</v>
      </c>
      <c r="G89" s="178"/>
      <c r="H89" s="21"/>
      <c r="I89" s="30">
        <f>_xlfn.XLOOKUP(Tabla2757[[#This Row],[Puesto Encargado]], Tabla9[Puesto], Tabla9[Precio cliente],0,1,1)</f>
        <v>0</v>
      </c>
      <c r="J89" s="30">
        <f>_xlfn.XLOOKUP(Tabla2757[[#This Row],[Cargo]], Tabla958[Cargos], Tabla958[Ponderador Precio],0,1,1)</f>
        <v>0</v>
      </c>
      <c r="K89" s="30">
        <f>Tabla2757[[#This Row],[Precio por hora UF]]*Tabla2757[[#This Row],[Ponderador]]</f>
        <v>0</v>
      </c>
      <c r="L89" s="40">
        <v>0</v>
      </c>
      <c r="M89" s="30">
        <f>Tabla2757[[#This Row],[Precio por hora]]*Tabla2757[[#This Row],[Cantidad horas]]</f>
        <v>0</v>
      </c>
      <c r="N89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90" spans="2:14" x14ac:dyDescent="0.3">
      <c r="B90" s="28"/>
      <c r="C90" s="20"/>
      <c r="E90" s="136"/>
      <c r="F90" s="177">
        <f>_xlfn.XLOOKUP(Tabla2757[[#This Row],[Tipo de venta]],Tabla2329[Tipo de venta],Tabla2329[Moneda final], "Error - Seleccionar Tipo de Venta", 0,1)</f>
        <v>0</v>
      </c>
      <c r="G90" s="178"/>
      <c r="H90" s="21"/>
      <c r="I90" s="30">
        <f>_xlfn.XLOOKUP(Tabla2757[[#This Row],[Puesto Encargado]], Tabla9[Puesto], Tabla9[Precio cliente],0,1,1)</f>
        <v>0</v>
      </c>
      <c r="J90" s="30">
        <f>_xlfn.XLOOKUP(Tabla2757[[#This Row],[Cargo]], Tabla958[Cargos], Tabla958[Ponderador Precio],0,1,1)</f>
        <v>0</v>
      </c>
      <c r="K90" s="30">
        <f>Tabla2757[[#This Row],[Precio por hora UF]]*Tabla2757[[#This Row],[Ponderador]]</f>
        <v>0</v>
      </c>
      <c r="L90" s="40">
        <v>0</v>
      </c>
      <c r="M90" s="30">
        <f>Tabla2757[[#This Row],[Precio por hora]]*Tabla2757[[#This Row],[Cantidad horas]]</f>
        <v>0</v>
      </c>
      <c r="N90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91" spans="2:14" x14ac:dyDescent="0.3">
      <c r="B91" s="28"/>
      <c r="C91" s="20"/>
      <c r="E91" s="136"/>
      <c r="F91" s="177">
        <f>_xlfn.XLOOKUP(Tabla2757[[#This Row],[Tipo de venta]],Tabla2329[Tipo de venta],Tabla2329[Moneda final], "Error - Seleccionar Tipo de Venta", 0,1)</f>
        <v>0</v>
      </c>
      <c r="G91" s="178"/>
      <c r="H91" s="21"/>
      <c r="I91" s="30">
        <f>_xlfn.XLOOKUP(Tabla2757[[#This Row],[Puesto Encargado]], Tabla9[Puesto], Tabla9[Precio cliente],0,1,1)</f>
        <v>0</v>
      </c>
      <c r="J91" s="30">
        <f>_xlfn.XLOOKUP(Tabla2757[[#This Row],[Cargo]], Tabla958[Cargos], Tabla958[Ponderador Precio],0,1,1)</f>
        <v>0</v>
      </c>
      <c r="K91" s="30">
        <f>Tabla2757[[#This Row],[Precio por hora UF]]*Tabla2757[[#This Row],[Ponderador]]</f>
        <v>0</v>
      </c>
      <c r="L91" s="40">
        <v>0</v>
      </c>
      <c r="M91" s="30">
        <f>Tabla2757[[#This Row],[Precio por hora]]*Tabla2757[[#This Row],[Cantidad horas]]</f>
        <v>0</v>
      </c>
      <c r="N91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92" spans="2:14" x14ac:dyDescent="0.3">
      <c r="B92" s="28"/>
      <c r="C92" s="20"/>
      <c r="E92" s="136"/>
      <c r="F92" s="177">
        <f>_xlfn.XLOOKUP(Tabla2757[[#This Row],[Tipo de venta]],Tabla2329[Tipo de venta],Tabla2329[Moneda final], "Error - Seleccionar Tipo de Venta", 0,1)</f>
        <v>0</v>
      </c>
      <c r="G92" s="178"/>
      <c r="H92" s="21"/>
      <c r="I92" s="30">
        <f>_xlfn.XLOOKUP(Tabla2757[[#This Row],[Puesto Encargado]], Tabla9[Puesto], Tabla9[Precio cliente],0,1,1)</f>
        <v>0</v>
      </c>
      <c r="J92" s="30">
        <f>_xlfn.XLOOKUP(Tabla2757[[#This Row],[Cargo]], Tabla958[Cargos], Tabla958[Ponderador Precio],0,1,1)</f>
        <v>0</v>
      </c>
      <c r="K92" s="30">
        <f>Tabla2757[[#This Row],[Precio por hora UF]]*Tabla2757[[#This Row],[Ponderador]]</f>
        <v>0</v>
      </c>
      <c r="L92" s="40">
        <v>0</v>
      </c>
      <c r="M92" s="30">
        <f>Tabla2757[[#This Row],[Precio por hora]]*Tabla2757[[#This Row],[Cantidad horas]]</f>
        <v>0</v>
      </c>
      <c r="N92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93" spans="2:14" x14ac:dyDescent="0.3">
      <c r="B93" s="28"/>
      <c r="C93" s="20"/>
      <c r="E93" s="136"/>
      <c r="F93" s="177">
        <f>_xlfn.XLOOKUP(Tabla2757[[#This Row],[Tipo de venta]],Tabla2329[Tipo de venta],Tabla2329[Moneda final], "Error - Seleccionar Tipo de Venta", 0,1)</f>
        <v>0</v>
      </c>
      <c r="G93" s="178"/>
      <c r="H93" s="21"/>
      <c r="I93" s="30">
        <f>_xlfn.XLOOKUP(Tabla2757[[#This Row],[Puesto Encargado]], Tabla9[Puesto], Tabla9[Precio cliente],0,1,1)</f>
        <v>0</v>
      </c>
      <c r="J93" s="30">
        <f>_xlfn.XLOOKUP(Tabla2757[[#This Row],[Cargo]], Tabla958[Cargos], Tabla958[Ponderador Precio],0,1,1)</f>
        <v>0</v>
      </c>
      <c r="K93" s="30">
        <f>Tabla2757[[#This Row],[Precio por hora UF]]*Tabla2757[[#This Row],[Ponderador]]</f>
        <v>0</v>
      </c>
      <c r="L93" s="40">
        <v>0</v>
      </c>
      <c r="M93" s="30">
        <f>Tabla2757[[#This Row],[Precio por hora]]*Tabla2757[[#This Row],[Cantidad horas]]</f>
        <v>0</v>
      </c>
      <c r="N93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94" spans="2:14" x14ac:dyDescent="0.3">
      <c r="B94" s="28"/>
      <c r="C94" s="20"/>
      <c r="E94" s="136"/>
      <c r="F94" s="177">
        <f>_xlfn.XLOOKUP(Tabla2757[[#This Row],[Tipo de venta]],Tabla2329[Tipo de venta],Tabla2329[Moneda final], "Error - Seleccionar Tipo de Venta", 0,1)</f>
        <v>0</v>
      </c>
      <c r="G94" s="178"/>
      <c r="H94" s="21"/>
      <c r="I94" s="30">
        <f>_xlfn.XLOOKUP(Tabla2757[[#This Row],[Puesto Encargado]], Tabla9[Puesto], Tabla9[Precio cliente],0,1,1)</f>
        <v>0</v>
      </c>
      <c r="J94" s="30">
        <f>_xlfn.XLOOKUP(Tabla2757[[#This Row],[Cargo]], Tabla958[Cargos], Tabla958[Ponderador Precio],0,1,1)</f>
        <v>0</v>
      </c>
      <c r="K94" s="30">
        <f>Tabla2757[[#This Row],[Precio por hora UF]]*Tabla2757[[#This Row],[Ponderador]]</f>
        <v>0</v>
      </c>
      <c r="L94" s="40">
        <v>0</v>
      </c>
      <c r="M94" s="30">
        <f>Tabla2757[[#This Row],[Precio por hora]]*Tabla2757[[#This Row],[Cantidad horas]]</f>
        <v>0</v>
      </c>
      <c r="N94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95" spans="2:14" x14ac:dyDescent="0.3">
      <c r="B95" s="28"/>
      <c r="C95" s="20"/>
      <c r="E95" s="136"/>
      <c r="F95" s="177">
        <f>_xlfn.XLOOKUP(Tabla2757[[#This Row],[Tipo de venta]],Tabla2329[Tipo de venta],Tabla2329[Moneda final], "Error - Seleccionar Tipo de Venta", 0,1)</f>
        <v>0</v>
      </c>
      <c r="G95" s="178"/>
      <c r="H95" s="21"/>
      <c r="I95" s="30">
        <f>_xlfn.XLOOKUP(Tabla2757[[#This Row],[Puesto Encargado]], Tabla9[Puesto], Tabla9[Precio cliente],0,1,1)</f>
        <v>0</v>
      </c>
      <c r="J95" s="30">
        <f>_xlfn.XLOOKUP(Tabla2757[[#This Row],[Cargo]], Tabla958[Cargos], Tabla958[Ponderador Precio],0,1,1)</f>
        <v>0</v>
      </c>
      <c r="K95" s="30">
        <f>Tabla2757[[#This Row],[Precio por hora UF]]*Tabla2757[[#This Row],[Ponderador]]</f>
        <v>0</v>
      </c>
      <c r="L95" s="40">
        <v>0</v>
      </c>
      <c r="M95" s="30">
        <f>Tabla2757[[#This Row],[Precio por hora]]*Tabla2757[[#This Row],[Cantidad horas]]</f>
        <v>0</v>
      </c>
      <c r="N95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96" spans="2:14" x14ac:dyDescent="0.3">
      <c r="B96" s="28"/>
      <c r="C96" s="20"/>
      <c r="E96" s="136"/>
      <c r="F96" s="177">
        <f>_xlfn.XLOOKUP(Tabla2757[[#This Row],[Tipo de venta]],Tabla2329[Tipo de venta],Tabla2329[Moneda final], "Error - Seleccionar Tipo de Venta", 0,1)</f>
        <v>0</v>
      </c>
      <c r="G96" s="178"/>
      <c r="H96" s="21"/>
      <c r="I96" s="30">
        <f>_xlfn.XLOOKUP(Tabla2757[[#This Row],[Puesto Encargado]], Tabla9[Puesto], Tabla9[Precio cliente],0,1,1)</f>
        <v>0</v>
      </c>
      <c r="J96" s="30">
        <f>_xlfn.XLOOKUP(Tabla2757[[#This Row],[Cargo]], Tabla958[Cargos], Tabla958[Ponderador Precio],0,1,1)</f>
        <v>0</v>
      </c>
      <c r="K96" s="30">
        <f>Tabla2757[[#This Row],[Precio por hora UF]]*Tabla2757[[#This Row],[Ponderador]]</f>
        <v>0</v>
      </c>
      <c r="L96" s="40">
        <v>0</v>
      </c>
      <c r="M96" s="30">
        <f>Tabla2757[[#This Row],[Precio por hora]]*Tabla2757[[#This Row],[Cantidad horas]]</f>
        <v>0</v>
      </c>
      <c r="N96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97" spans="2:14" x14ac:dyDescent="0.3">
      <c r="B97" s="28"/>
      <c r="C97" s="20"/>
      <c r="E97" s="136"/>
      <c r="F97" s="177">
        <f>_xlfn.XLOOKUP(Tabla2757[[#This Row],[Tipo de venta]],Tabla2329[Tipo de venta],Tabla2329[Moneda final], "Error - Seleccionar Tipo de Venta", 0,1)</f>
        <v>0</v>
      </c>
      <c r="G97" s="178"/>
      <c r="H97" s="21"/>
      <c r="I97" s="30">
        <f>_xlfn.XLOOKUP(Tabla2757[[#This Row],[Puesto Encargado]], Tabla9[Puesto], Tabla9[Precio cliente],0,1,1)</f>
        <v>0</v>
      </c>
      <c r="J97" s="30">
        <f>_xlfn.XLOOKUP(Tabla2757[[#This Row],[Cargo]], Tabla958[Cargos], Tabla958[Ponderador Precio],0,1,1)</f>
        <v>0</v>
      </c>
      <c r="K97" s="30">
        <f>Tabla2757[[#This Row],[Precio por hora UF]]*Tabla2757[[#This Row],[Ponderador]]</f>
        <v>0</v>
      </c>
      <c r="L97" s="40">
        <v>0</v>
      </c>
      <c r="M97" s="30">
        <f>Tabla2757[[#This Row],[Precio por hora]]*Tabla2757[[#This Row],[Cantidad horas]]</f>
        <v>0</v>
      </c>
      <c r="N97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98" spans="2:14" x14ac:dyDescent="0.3">
      <c r="B98" s="28"/>
      <c r="C98" s="20"/>
      <c r="E98" s="136"/>
      <c r="F98" s="177">
        <f>_xlfn.XLOOKUP(Tabla2757[[#This Row],[Tipo de venta]],Tabla2329[Tipo de venta],Tabla2329[Moneda final], "Error - Seleccionar Tipo de Venta", 0,1)</f>
        <v>0</v>
      </c>
      <c r="G98" s="178"/>
      <c r="H98" s="21"/>
      <c r="I98" s="30">
        <f>_xlfn.XLOOKUP(Tabla2757[[#This Row],[Puesto Encargado]], Tabla9[Puesto], Tabla9[Precio cliente],0,1,1)</f>
        <v>0</v>
      </c>
      <c r="J98" s="30">
        <f>_xlfn.XLOOKUP(Tabla2757[[#This Row],[Cargo]], Tabla958[Cargos], Tabla958[Ponderador Precio],0,1,1)</f>
        <v>0</v>
      </c>
      <c r="K98" s="30">
        <f>Tabla2757[[#This Row],[Precio por hora UF]]*Tabla2757[[#This Row],[Ponderador]]</f>
        <v>0</v>
      </c>
      <c r="L98" s="40">
        <v>0</v>
      </c>
      <c r="M98" s="30">
        <f>Tabla2757[[#This Row],[Precio por hora]]*Tabla2757[[#This Row],[Cantidad horas]]</f>
        <v>0</v>
      </c>
      <c r="N98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99" spans="2:14" x14ac:dyDescent="0.3">
      <c r="B99" s="28"/>
      <c r="C99" s="20"/>
      <c r="E99" s="136"/>
      <c r="F99" s="177">
        <f>_xlfn.XLOOKUP(Tabla2757[[#This Row],[Tipo de venta]],Tabla2329[Tipo de venta],Tabla2329[Moneda final], "Error - Seleccionar Tipo de Venta", 0,1)</f>
        <v>0</v>
      </c>
      <c r="G99" s="178"/>
      <c r="H99" s="21"/>
      <c r="I99" s="30">
        <f>_xlfn.XLOOKUP(Tabla2757[[#This Row],[Puesto Encargado]], Tabla9[Puesto], Tabla9[Precio cliente],0,1,1)</f>
        <v>0</v>
      </c>
      <c r="J99" s="30">
        <f>_xlfn.XLOOKUP(Tabla2757[[#This Row],[Cargo]], Tabla958[Cargos], Tabla958[Ponderador Precio],0,1,1)</f>
        <v>0</v>
      </c>
      <c r="K99" s="30">
        <f>Tabla2757[[#This Row],[Precio por hora UF]]*Tabla2757[[#This Row],[Ponderador]]</f>
        <v>0</v>
      </c>
      <c r="L99" s="40">
        <v>0</v>
      </c>
      <c r="M99" s="30">
        <f>Tabla2757[[#This Row],[Precio por hora]]*Tabla2757[[#This Row],[Cantidad horas]]</f>
        <v>0</v>
      </c>
      <c r="N99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100" spans="2:14" x14ac:dyDescent="0.3">
      <c r="B100" s="28"/>
      <c r="C100" s="20"/>
      <c r="E100" s="136"/>
      <c r="F100" s="177">
        <f>_xlfn.XLOOKUP(Tabla2757[[#This Row],[Tipo de venta]],Tabla2329[Tipo de venta],Tabla2329[Moneda final], "Error - Seleccionar Tipo de Venta", 0,1)</f>
        <v>0</v>
      </c>
      <c r="G100" s="178"/>
      <c r="H100" s="21"/>
      <c r="I100" s="30">
        <f>_xlfn.XLOOKUP(Tabla2757[[#This Row],[Puesto Encargado]], Tabla9[Puesto], Tabla9[Precio cliente],0,1,1)</f>
        <v>0</v>
      </c>
      <c r="J100" s="30">
        <f>_xlfn.XLOOKUP(Tabla2757[[#This Row],[Cargo]], Tabla958[Cargos], Tabla958[Ponderador Precio],0,1,1)</f>
        <v>0</v>
      </c>
      <c r="K100" s="30">
        <f>Tabla2757[[#This Row],[Precio por hora UF]]*Tabla2757[[#This Row],[Ponderador]]</f>
        <v>0</v>
      </c>
      <c r="L100" s="40">
        <v>0</v>
      </c>
      <c r="M100" s="30">
        <f>Tabla2757[[#This Row],[Precio por hora]]*Tabla2757[[#This Row],[Cantidad horas]]</f>
        <v>0</v>
      </c>
      <c r="N100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101" spans="2:14" x14ac:dyDescent="0.3">
      <c r="B101" s="28"/>
      <c r="C101" s="20"/>
      <c r="E101" s="136"/>
      <c r="F101" s="177">
        <f>_xlfn.XLOOKUP(Tabla2757[[#This Row],[Tipo de venta]],Tabla2329[Tipo de venta],Tabla2329[Moneda final], "Error - Seleccionar Tipo de Venta", 0,1)</f>
        <v>0</v>
      </c>
      <c r="G101" s="178"/>
      <c r="H101" s="21"/>
      <c r="I101" s="30">
        <f>_xlfn.XLOOKUP(Tabla2757[[#This Row],[Puesto Encargado]], Tabla9[Puesto], Tabla9[Precio cliente],0,1,1)</f>
        <v>0</v>
      </c>
      <c r="J101" s="30">
        <f>_xlfn.XLOOKUP(Tabla2757[[#This Row],[Cargo]], Tabla958[Cargos], Tabla958[Ponderador Precio],0,1,1)</f>
        <v>0</v>
      </c>
      <c r="K101" s="30">
        <f>Tabla2757[[#This Row],[Precio por hora UF]]*Tabla2757[[#This Row],[Ponderador]]</f>
        <v>0</v>
      </c>
      <c r="L101" s="40">
        <v>0</v>
      </c>
      <c r="M101" s="30">
        <f>Tabla2757[[#This Row],[Precio por hora]]*Tabla2757[[#This Row],[Cantidad horas]]</f>
        <v>0</v>
      </c>
      <c r="N101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102" spans="2:14" x14ac:dyDescent="0.3">
      <c r="B102" s="28"/>
      <c r="C102" s="20"/>
      <c r="E102" s="136"/>
      <c r="F102" s="177">
        <f>_xlfn.XLOOKUP(Tabla2757[[#This Row],[Tipo de venta]],Tabla2329[Tipo de venta],Tabla2329[Moneda final], "Error - Seleccionar Tipo de Venta", 0,1)</f>
        <v>0</v>
      </c>
      <c r="G102" s="178"/>
      <c r="H102" s="21"/>
      <c r="I102" s="30">
        <f>_xlfn.XLOOKUP(Tabla2757[[#This Row],[Puesto Encargado]], Tabla9[Puesto], Tabla9[Precio cliente],0,1,1)</f>
        <v>0</v>
      </c>
      <c r="J102" s="30">
        <f>_xlfn.XLOOKUP(Tabla2757[[#This Row],[Cargo]], Tabla958[Cargos], Tabla958[Ponderador Precio],0,1,1)</f>
        <v>0</v>
      </c>
      <c r="K102" s="30">
        <f>Tabla2757[[#This Row],[Precio por hora UF]]*Tabla2757[[#This Row],[Ponderador]]</f>
        <v>0</v>
      </c>
      <c r="L102" s="40">
        <v>0</v>
      </c>
      <c r="M102" s="30">
        <f>Tabla2757[[#This Row],[Precio por hora]]*Tabla2757[[#This Row],[Cantidad horas]]</f>
        <v>0</v>
      </c>
      <c r="N102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103" spans="2:14" x14ac:dyDescent="0.3">
      <c r="B103" s="28"/>
      <c r="C103" s="20"/>
      <c r="E103" s="136"/>
      <c r="F103" s="177">
        <f>_xlfn.XLOOKUP(Tabla2757[[#This Row],[Tipo de venta]],Tabla2329[Tipo de venta],Tabla2329[Moneda final], "Error - Seleccionar Tipo de Venta", 0,1)</f>
        <v>0</v>
      </c>
      <c r="G103" s="178"/>
      <c r="H103" s="21"/>
      <c r="I103" s="30">
        <f>_xlfn.XLOOKUP(Tabla2757[[#This Row],[Puesto Encargado]], Tabla9[Puesto], Tabla9[Precio cliente],0,1,1)</f>
        <v>0</v>
      </c>
      <c r="J103" s="30">
        <f>_xlfn.XLOOKUP(Tabla2757[[#This Row],[Cargo]], Tabla958[Cargos], Tabla958[Ponderador Precio],0,1,1)</f>
        <v>0</v>
      </c>
      <c r="K103" s="30">
        <f>Tabla2757[[#This Row],[Precio por hora UF]]*Tabla2757[[#This Row],[Ponderador]]</f>
        <v>0</v>
      </c>
      <c r="L103" s="40">
        <v>0</v>
      </c>
      <c r="M103" s="30">
        <f>Tabla2757[[#This Row],[Precio por hora]]*Tabla2757[[#This Row],[Cantidad horas]]</f>
        <v>0</v>
      </c>
      <c r="N103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104" spans="2:14" x14ac:dyDescent="0.3">
      <c r="B104" s="28"/>
      <c r="C104" s="20"/>
      <c r="E104" s="136"/>
      <c r="F104" s="177">
        <f>_xlfn.XLOOKUP(Tabla2757[[#This Row],[Tipo de venta]],Tabla2329[Tipo de venta],Tabla2329[Moneda final], "Error - Seleccionar Tipo de Venta", 0,1)</f>
        <v>0</v>
      </c>
      <c r="G104" s="178"/>
      <c r="H104" s="21"/>
      <c r="I104" s="30">
        <f>_xlfn.XLOOKUP(Tabla2757[[#This Row],[Puesto Encargado]], Tabla9[Puesto], Tabla9[Precio cliente],0,1,1)</f>
        <v>0</v>
      </c>
      <c r="J104" s="30">
        <f>_xlfn.XLOOKUP(Tabla2757[[#This Row],[Cargo]], Tabla958[Cargos], Tabla958[Ponderador Precio],0,1,1)</f>
        <v>0</v>
      </c>
      <c r="K104" s="30">
        <f>Tabla2757[[#This Row],[Precio por hora UF]]*Tabla2757[[#This Row],[Ponderador]]</f>
        <v>0</v>
      </c>
      <c r="L104" s="40">
        <v>0</v>
      </c>
      <c r="M104" s="30">
        <f>Tabla2757[[#This Row],[Precio por hora]]*Tabla2757[[#This Row],[Cantidad horas]]</f>
        <v>0</v>
      </c>
      <c r="N104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105" spans="2:14" x14ac:dyDescent="0.3">
      <c r="B105" s="28"/>
      <c r="C105" s="20"/>
      <c r="E105" s="136"/>
      <c r="F105" s="177">
        <f>_xlfn.XLOOKUP(Tabla2757[[#This Row],[Tipo de venta]],Tabla2329[Tipo de venta],Tabla2329[Moneda final], "Error - Seleccionar Tipo de Venta", 0,1)</f>
        <v>0</v>
      </c>
      <c r="G105" s="178"/>
      <c r="H105" s="21"/>
      <c r="I105" s="30">
        <f>_xlfn.XLOOKUP(Tabla2757[[#This Row],[Puesto Encargado]], Tabla9[Puesto], Tabla9[Precio cliente],0,1,1)</f>
        <v>0</v>
      </c>
      <c r="J105" s="30">
        <f>_xlfn.XLOOKUP(Tabla2757[[#This Row],[Cargo]], Tabla958[Cargos], Tabla958[Ponderador Precio],0,1,1)</f>
        <v>0</v>
      </c>
      <c r="K105" s="30">
        <f>Tabla2757[[#This Row],[Precio por hora UF]]*Tabla2757[[#This Row],[Ponderador]]</f>
        <v>0</v>
      </c>
      <c r="L105" s="40">
        <v>0</v>
      </c>
      <c r="M105" s="30">
        <f>Tabla2757[[#This Row],[Precio por hora]]*Tabla2757[[#This Row],[Cantidad horas]]</f>
        <v>0</v>
      </c>
      <c r="N105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106" spans="2:14" x14ac:dyDescent="0.3">
      <c r="B106" s="28"/>
      <c r="C106" s="20"/>
      <c r="E106" s="136"/>
      <c r="F106" s="177">
        <f>_xlfn.XLOOKUP(Tabla2757[[#This Row],[Tipo de venta]],Tabla2329[Tipo de venta],Tabla2329[Moneda final], "Error - Seleccionar Tipo de Venta", 0,1)</f>
        <v>0</v>
      </c>
      <c r="G106" s="178"/>
      <c r="H106" s="21"/>
      <c r="I106" s="30">
        <f>_xlfn.XLOOKUP(Tabla2757[[#This Row],[Puesto Encargado]], Tabla9[Puesto], Tabla9[Precio cliente],0,1,1)</f>
        <v>0</v>
      </c>
      <c r="J106" s="30">
        <f>_xlfn.XLOOKUP(Tabla2757[[#This Row],[Cargo]], Tabla958[Cargos], Tabla958[Ponderador Precio],0,1,1)</f>
        <v>0</v>
      </c>
      <c r="K106" s="30">
        <f>Tabla2757[[#This Row],[Precio por hora UF]]*Tabla2757[[#This Row],[Ponderador]]</f>
        <v>0</v>
      </c>
      <c r="L106" s="40">
        <v>0</v>
      </c>
      <c r="M106" s="30">
        <f>Tabla2757[[#This Row],[Precio por hora]]*Tabla2757[[#This Row],[Cantidad horas]]</f>
        <v>0</v>
      </c>
      <c r="N106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107" spans="2:14" x14ac:dyDescent="0.3">
      <c r="B107" s="28"/>
      <c r="C107" s="20"/>
      <c r="E107" s="136"/>
      <c r="F107" s="177">
        <f>_xlfn.XLOOKUP(Tabla2757[[#This Row],[Tipo de venta]],Tabla2329[Tipo de venta],Tabla2329[Moneda final], "Error - Seleccionar Tipo de Venta", 0,1)</f>
        <v>0</v>
      </c>
      <c r="G107" s="178"/>
      <c r="H107" s="21"/>
      <c r="I107" s="30">
        <f>_xlfn.XLOOKUP(Tabla2757[[#This Row],[Puesto Encargado]], Tabla9[Puesto], Tabla9[Precio cliente],0,1,1)</f>
        <v>0</v>
      </c>
      <c r="J107" s="30">
        <f>_xlfn.XLOOKUP(Tabla2757[[#This Row],[Cargo]], Tabla958[Cargos], Tabla958[Ponderador Precio],0,1,1)</f>
        <v>0</v>
      </c>
      <c r="K107" s="30">
        <f>Tabla2757[[#This Row],[Precio por hora UF]]*Tabla2757[[#This Row],[Ponderador]]</f>
        <v>0</v>
      </c>
      <c r="L107" s="40">
        <v>0</v>
      </c>
      <c r="M107" s="30">
        <f>Tabla2757[[#This Row],[Precio por hora]]*Tabla2757[[#This Row],[Cantidad horas]]</f>
        <v>0</v>
      </c>
      <c r="N107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108" spans="2:14" x14ac:dyDescent="0.3">
      <c r="B108" s="28"/>
      <c r="C108" s="20"/>
      <c r="E108" s="136"/>
      <c r="F108" s="177">
        <f>_xlfn.XLOOKUP(Tabla2757[[#This Row],[Tipo de venta]],Tabla2329[Tipo de venta],Tabla2329[Moneda final], "Error - Seleccionar Tipo de Venta", 0,1)</f>
        <v>0</v>
      </c>
      <c r="G108" s="178"/>
      <c r="H108" s="21"/>
      <c r="I108" s="30">
        <f>_xlfn.XLOOKUP(Tabla2757[[#This Row],[Puesto Encargado]], Tabla9[Puesto], Tabla9[Precio cliente],0,1,1)</f>
        <v>0</v>
      </c>
      <c r="J108" s="30">
        <f>_xlfn.XLOOKUP(Tabla2757[[#This Row],[Cargo]], Tabla958[Cargos], Tabla958[Ponderador Precio],0,1,1)</f>
        <v>0</v>
      </c>
      <c r="K108" s="30">
        <f>Tabla2757[[#This Row],[Precio por hora UF]]*Tabla2757[[#This Row],[Ponderador]]</f>
        <v>0</v>
      </c>
      <c r="L108" s="40">
        <v>0</v>
      </c>
      <c r="M108" s="30">
        <f>Tabla2757[[#This Row],[Precio por hora]]*Tabla2757[[#This Row],[Cantidad horas]]</f>
        <v>0</v>
      </c>
      <c r="N108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109" spans="2:14" x14ac:dyDescent="0.3">
      <c r="B109" s="28"/>
      <c r="C109" s="20"/>
      <c r="E109" s="136"/>
      <c r="F109" s="177">
        <f>_xlfn.XLOOKUP(Tabla2757[[#This Row],[Tipo de venta]],Tabla2329[Tipo de venta],Tabla2329[Moneda final], "Error - Seleccionar Tipo de Venta", 0,1)</f>
        <v>0</v>
      </c>
      <c r="G109" s="178"/>
      <c r="H109" s="21"/>
      <c r="I109" s="30">
        <f>_xlfn.XLOOKUP(Tabla2757[[#This Row],[Puesto Encargado]], Tabla9[Puesto], Tabla9[Precio cliente],0,1,1)</f>
        <v>0</v>
      </c>
      <c r="J109" s="30">
        <f>_xlfn.XLOOKUP(Tabla2757[[#This Row],[Cargo]], Tabla958[Cargos], Tabla958[Ponderador Precio],0,1,1)</f>
        <v>0</v>
      </c>
      <c r="K109" s="30">
        <f>Tabla2757[[#This Row],[Precio por hora UF]]*Tabla2757[[#This Row],[Ponderador]]</f>
        <v>0</v>
      </c>
      <c r="L109" s="40">
        <v>0</v>
      </c>
      <c r="M109" s="30">
        <f>Tabla2757[[#This Row],[Precio por hora]]*Tabla2757[[#This Row],[Cantidad horas]]</f>
        <v>0</v>
      </c>
      <c r="N109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110" spans="2:14" x14ac:dyDescent="0.3">
      <c r="B110" s="28"/>
      <c r="C110" s="20"/>
      <c r="E110" s="136"/>
      <c r="F110" s="177">
        <f>_xlfn.XLOOKUP(Tabla2757[[#This Row],[Tipo de venta]],Tabla2329[Tipo de venta],Tabla2329[Moneda final], "Error - Seleccionar Tipo de Venta", 0,1)</f>
        <v>0</v>
      </c>
      <c r="G110" s="178"/>
      <c r="H110" s="21"/>
      <c r="I110" s="30">
        <f>_xlfn.XLOOKUP(Tabla2757[[#This Row],[Puesto Encargado]], Tabla9[Puesto], Tabla9[Precio cliente],0,1,1)</f>
        <v>0</v>
      </c>
      <c r="J110" s="30">
        <f>_xlfn.XLOOKUP(Tabla2757[[#This Row],[Cargo]], Tabla958[Cargos], Tabla958[Ponderador Precio],0,1,1)</f>
        <v>0</v>
      </c>
      <c r="K110" s="30">
        <f>Tabla2757[[#This Row],[Precio por hora UF]]*Tabla2757[[#This Row],[Ponderador]]</f>
        <v>0</v>
      </c>
      <c r="L110" s="40">
        <v>0</v>
      </c>
      <c r="M110" s="30">
        <f>Tabla2757[[#This Row],[Precio por hora]]*Tabla2757[[#This Row],[Cantidad horas]]</f>
        <v>0</v>
      </c>
      <c r="N110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111" spans="2:14" x14ac:dyDescent="0.3">
      <c r="B111" s="28"/>
      <c r="C111" s="20"/>
      <c r="E111" s="136"/>
      <c r="F111" s="177">
        <f>_xlfn.XLOOKUP(Tabla2757[[#This Row],[Tipo de venta]],Tabla2329[Tipo de venta],Tabla2329[Moneda final], "Error - Seleccionar Tipo de Venta", 0,1)</f>
        <v>0</v>
      </c>
      <c r="G111" s="178"/>
      <c r="H111" s="21"/>
      <c r="I111" s="30">
        <f>_xlfn.XLOOKUP(Tabla2757[[#This Row],[Puesto Encargado]], Tabla9[Puesto], Tabla9[Precio cliente],0,1,1)</f>
        <v>0</v>
      </c>
      <c r="J111" s="30">
        <f>_xlfn.XLOOKUP(Tabla2757[[#This Row],[Cargo]], Tabla958[Cargos], Tabla958[Ponderador Precio],0,1,1)</f>
        <v>0</v>
      </c>
      <c r="K111" s="30">
        <f>Tabla2757[[#This Row],[Precio por hora UF]]*Tabla2757[[#This Row],[Ponderador]]</f>
        <v>0</v>
      </c>
      <c r="L111" s="40">
        <v>0</v>
      </c>
      <c r="M111" s="30">
        <f>Tabla2757[[#This Row],[Precio por hora]]*Tabla2757[[#This Row],[Cantidad horas]]</f>
        <v>0</v>
      </c>
      <c r="N111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112" spans="2:14" x14ac:dyDescent="0.3">
      <c r="B112" s="28"/>
      <c r="C112" s="20"/>
      <c r="E112" s="136"/>
      <c r="F112" s="177">
        <f>_xlfn.XLOOKUP(Tabla2757[[#This Row],[Tipo de venta]],Tabla2329[Tipo de venta],Tabla2329[Moneda final], "Error - Seleccionar Tipo de Venta", 0,1)</f>
        <v>0</v>
      </c>
      <c r="G112" s="178"/>
      <c r="H112" s="21"/>
      <c r="I112" s="30">
        <f>_xlfn.XLOOKUP(Tabla2757[[#This Row],[Puesto Encargado]], Tabla9[Puesto], Tabla9[Precio cliente],0,1,1)</f>
        <v>0</v>
      </c>
      <c r="J112" s="30">
        <f>_xlfn.XLOOKUP(Tabla2757[[#This Row],[Cargo]], Tabla958[Cargos], Tabla958[Ponderador Precio],0,1,1)</f>
        <v>0</v>
      </c>
      <c r="K112" s="30">
        <f>Tabla2757[[#This Row],[Precio por hora UF]]*Tabla2757[[#This Row],[Ponderador]]</f>
        <v>0</v>
      </c>
      <c r="L112" s="40">
        <v>0</v>
      </c>
      <c r="M112" s="30">
        <f>Tabla2757[[#This Row],[Precio por hora]]*Tabla2757[[#This Row],[Cantidad horas]]</f>
        <v>0</v>
      </c>
      <c r="N112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113" spans="2:14" x14ac:dyDescent="0.3">
      <c r="B113" s="28"/>
      <c r="C113" s="20"/>
      <c r="E113" s="136"/>
      <c r="F113" s="177">
        <f>_xlfn.XLOOKUP(Tabla2757[[#This Row],[Tipo de venta]],Tabla2329[Tipo de venta],Tabla2329[Moneda final], "Error - Seleccionar Tipo de Venta", 0,1)</f>
        <v>0</v>
      </c>
      <c r="G113" s="178"/>
      <c r="H113" s="21"/>
      <c r="I113" s="30">
        <f>_xlfn.XLOOKUP(Tabla2757[[#This Row],[Puesto Encargado]], Tabla9[Puesto], Tabla9[Precio cliente],0,1,1)</f>
        <v>0</v>
      </c>
      <c r="J113" s="30">
        <f>_xlfn.XLOOKUP(Tabla2757[[#This Row],[Cargo]], Tabla958[Cargos], Tabla958[Ponderador Precio],0,1,1)</f>
        <v>0</v>
      </c>
      <c r="K113" s="30">
        <f>Tabla2757[[#This Row],[Precio por hora UF]]*Tabla2757[[#This Row],[Ponderador]]</f>
        <v>0</v>
      </c>
      <c r="L113" s="40">
        <v>0</v>
      </c>
      <c r="M113" s="30">
        <f>Tabla2757[[#This Row],[Precio por hora]]*Tabla2757[[#This Row],[Cantidad horas]]</f>
        <v>0</v>
      </c>
      <c r="N113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114" spans="2:14" x14ac:dyDescent="0.3">
      <c r="B114" s="28"/>
      <c r="C114" s="20"/>
      <c r="E114" s="136"/>
      <c r="F114" s="177">
        <f>_xlfn.XLOOKUP(Tabla2757[[#This Row],[Tipo de venta]],Tabla2329[Tipo de venta],Tabla2329[Moneda final], "Error - Seleccionar Tipo de Venta", 0,1)</f>
        <v>0</v>
      </c>
      <c r="G114" s="178"/>
      <c r="H114" s="21"/>
      <c r="I114" s="30">
        <f>_xlfn.XLOOKUP(Tabla2757[[#This Row],[Puesto Encargado]], Tabla9[Puesto], Tabla9[Precio cliente],0,1,1)</f>
        <v>0</v>
      </c>
      <c r="J114" s="30">
        <f>_xlfn.XLOOKUP(Tabla2757[[#This Row],[Cargo]], Tabla958[Cargos], Tabla958[Ponderador Precio],0,1,1)</f>
        <v>0</v>
      </c>
      <c r="K114" s="30">
        <f>Tabla2757[[#This Row],[Precio por hora UF]]*Tabla2757[[#This Row],[Ponderador]]</f>
        <v>0</v>
      </c>
      <c r="L114" s="40">
        <v>0</v>
      </c>
      <c r="M114" s="30">
        <f>Tabla2757[[#This Row],[Precio por hora]]*Tabla2757[[#This Row],[Cantidad horas]]</f>
        <v>0</v>
      </c>
      <c r="N114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115" spans="2:14" x14ac:dyDescent="0.3">
      <c r="B115" s="28"/>
      <c r="C115" s="20"/>
      <c r="E115" s="136"/>
      <c r="F115" s="177">
        <f>_xlfn.XLOOKUP(Tabla2757[[#This Row],[Tipo de venta]],Tabla2329[Tipo de venta],Tabla2329[Moneda final], "Error - Seleccionar Tipo de Venta", 0,1)</f>
        <v>0</v>
      </c>
      <c r="G115" s="178"/>
      <c r="H115" s="21"/>
      <c r="I115" s="30">
        <f>_xlfn.XLOOKUP(Tabla2757[[#This Row],[Puesto Encargado]], Tabla9[Puesto], Tabla9[Precio cliente],0,1,1)</f>
        <v>0</v>
      </c>
      <c r="J115" s="30">
        <f>_xlfn.XLOOKUP(Tabla2757[[#This Row],[Cargo]], Tabla958[Cargos], Tabla958[Ponderador Precio],0,1,1)</f>
        <v>0</v>
      </c>
      <c r="K115" s="30">
        <f>Tabla2757[[#This Row],[Precio por hora UF]]*Tabla2757[[#This Row],[Ponderador]]</f>
        <v>0</v>
      </c>
      <c r="L115" s="40">
        <v>0</v>
      </c>
      <c r="M115" s="30">
        <f>Tabla2757[[#This Row],[Precio por hora]]*Tabla2757[[#This Row],[Cantidad horas]]</f>
        <v>0</v>
      </c>
      <c r="N115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116" spans="2:14" x14ac:dyDescent="0.3">
      <c r="B116" s="28"/>
      <c r="C116" s="20"/>
      <c r="E116" s="136"/>
      <c r="F116" s="177">
        <f>_xlfn.XLOOKUP(Tabla2757[[#This Row],[Tipo de venta]],Tabla2329[Tipo de venta],Tabla2329[Moneda final], "Error - Seleccionar Tipo de Venta", 0,1)</f>
        <v>0</v>
      </c>
      <c r="G116" s="178"/>
      <c r="H116" s="21"/>
      <c r="I116" s="30">
        <f>_xlfn.XLOOKUP(Tabla2757[[#This Row],[Puesto Encargado]], Tabla9[Puesto], Tabla9[Precio cliente],0,1,1)</f>
        <v>0</v>
      </c>
      <c r="J116" s="30">
        <f>_xlfn.XLOOKUP(Tabla2757[[#This Row],[Cargo]], Tabla958[Cargos], Tabla958[Ponderador Precio],0,1,1)</f>
        <v>0</v>
      </c>
      <c r="K116" s="30">
        <f>Tabla2757[[#This Row],[Precio por hora UF]]*Tabla2757[[#This Row],[Ponderador]]</f>
        <v>0</v>
      </c>
      <c r="L116" s="40">
        <v>0</v>
      </c>
      <c r="M116" s="30">
        <f>Tabla2757[[#This Row],[Precio por hora]]*Tabla2757[[#This Row],[Cantidad horas]]</f>
        <v>0</v>
      </c>
      <c r="N116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117" spans="2:14" x14ac:dyDescent="0.3">
      <c r="B117" s="28"/>
      <c r="C117" s="20"/>
      <c r="E117" s="136"/>
      <c r="F117" s="177">
        <f>_xlfn.XLOOKUP(Tabla2757[[#This Row],[Tipo de venta]],Tabla2329[Tipo de venta],Tabla2329[Moneda final], "Error - Seleccionar Tipo de Venta", 0,1)</f>
        <v>0</v>
      </c>
      <c r="G117" s="178"/>
      <c r="H117" s="21"/>
      <c r="I117" s="30">
        <f>_xlfn.XLOOKUP(Tabla2757[[#This Row],[Puesto Encargado]], Tabla9[Puesto], Tabla9[Precio cliente],0,1,1)</f>
        <v>0</v>
      </c>
      <c r="J117" s="30">
        <f>_xlfn.XLOOKUP(Tabla2757[[#This Row],[Cargo]], Tabla958[Cargos], Tabla958[Ponderador Precio],0,1,1)</f>
        <v>0</v>
      </c>
      <c r="K117" s="30">
        <f>Tabla2757[[#This Row],[Precio por hora UF]]*Tabla2757[[#This Row],[Ponderador]]</f>
        <v>0</v>
      </c>
      <c r="L117" s="40">
        <v>0</v>
      </c>
      <c r="M117" s="30">
        <f>Tabla2757[[#This Row],[Precio por hora]]*Tabla2757[[#This Row],[Cantidad horas]]</f>
        <v>0</v>
      </c>
      <c r="N117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118" spans="2:14" x14ac:dyDescent="0.3">
      <c r="B118" s="28"/>
      <c r="C118" s="20"/>
      <c r="E118" s="136"/>
      <c r="F118" s="177">
        <f>_xlfn.XLOOKUP(Tabla2757[[#This Row],[Tipo de venta]],Tabla2329[Tipo de venta],Tabla2329[Moneda final], "Error - Seleccionar Tipo de Venta", 0,1)</f>
        <v>0</v>
      </c>
      <c r="G118" s="178"/>
      <c r="H118" s="21"/>
      <c r="I118" s="30">
        <f>_xlfn.XLOOKUP(Tabla2757[[#This Row],[Puesto Encargado]], Tabla9[Puesto], Tabla9[Precio cliente],0,1,1)</f>
        <v>0</v>
      </c>
      <c r="J118" s="30">
        <f>_xlfn.XLOOKUP(Tabla2757[[#This Row],[Cargo]], Tabla958[Cargos], Tabla958[Ponderador Precio],0,1,1)</f>
        <v>0</v>
      </c>
      <c r="K118" s="30">
        <f>Tabla2757[[#This Row],[Precio por hora UF]]*Tabla2757[[#This Row],[Ponderador]]</f>
        <v>0</v>
      </c>
      <c r="L118" s="40">
        <v>0</v>
      </c>
      <c r="M118" s="30">
        <f>Tabla2757[[#This Row],[Precio por hora]]*Tabla2757[[#This Row],[Cantidad horas]]</f>
        <v>0</v>
      </c>
      <c r="N118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119" spans="2:14" x14ac:dyDescent="0.3">
      <c r="B119" s="28"/>
      <c r="C119" s="20"/>
      <c r="E119" s="136"/>
      <c r="F119" s="177">
        <f>_xlfn.XLOOKUP(Tabla2757[[#This Row],[Tipo de venta]],Tabla2329[Tipo de venta],Tabla2329[Moneda final], "Error - Seleccionar Tipo de Venta", 0,1)</f>
        <v>0</v>
      </c>
      <c r="G119" s="178"/>
      <c r="H119" s="21"/>
      <c r="I119" s="30">
        <f>_xlfn.XLOOKUP(Tabla2757[[#This Row],[Puesto Encargado]], Tabla9[Puesto], Tabla9[Precio cliente],0,1,1)</f>
        <v>0</v>
      </c>
      <c r="J119" s="30">
        <f>_xlfn.XLOOKUP(Tabla2757[[#This Row],[Cargo]], Tabla958[Cargos], Tabla958[Ponderador Precio],0,1,1)</f>
        <v>0</v>
      </c>
      <c r="K119" s="30">
        <f>Tabla2757[[#This Row],[Precio por hora UF]]*Tabla2757[[#This Row],[Ponderador]]</f>
        <v>0</v>
      </c>
      <c r="L119" s="40">
        <v>0</v>
      </c>
      <c r="M119" s="30">
        <f>Tabla2757[[#This Row],[Precio por hora]]*Tabla2757[[#This Row],[Cantidad horas]]</f>
        <v>0</v>
      </c>
      <c r="N119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120" spans="2:14" x14ac:dyDescent="0.3">
      <c r="B120" s="28"/>
      <c r="C120" s="20"/>
      <c r="E120" s="136"/>
      <c r="F120" s="177">
        <f>_xlfn.XLOOKUP(Tabla2757[[#This Row],[Tipo de venta]],Tabla2329[Tipo de venta],Tabla2329[Moneda final], "Error - Seleccionar Tipo de Venta", 0,1)</f>
        <v>0</v>
      </c>
      <c r="G120" s="178"/>
      <c r="H120" s="21"/>
      <c r="I120" s="30">
        <f>_xlfn.XLOOKUP(Tabla2757[[#This Row],[Puesto Encargado]], Tabla9[Puesto], Tabla9[Precio cliente],0,1,1)</f>
        <v>0</v>
      </c>
      <c r="J120" s="30">
        <f>_xlfn.XLOOKUP(Tabla2757[[#This Row],[Cargo]], Tabla958[Cargos], Tabla958[Ponderador Precio],0,1,1)</f>
        <v>0</v>
      </c>
      <c r="K120" s="30">
        <f>Tabla2757[[#This Row],[Precio por hora UF]]*Tabla2757[[#This Row],[Ponderador]]</f>
        <v>0</v>
      </c>
      <c r="L120" s="40">
        <v>0</v>
      </c>
      <c r="M120" s="30">
        <f>Tabla2757[[#This Row],[Precio por hora]]*Tabla2757[[#This Row],[Cantidad horas]]</f>
        <v>0</v>
      </c>
      <c r="N120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121" spans="2:14" x14ac:dyDescent="0.3">
      <c r="B121" s="28"/>
      <c r="C121" s="20"/>
      <c r="E121" s="136"/>
      <c r="F121" s="177">
        <f>_xlfn.XLOOKUP(Tabla2757[[#This Row],[Tipo de venta]],Tabla2329[Tipo de venta],Tabla2329[Moneda final], "Error - Seleccionar Tipo de Venta", 0,1)</f>
        <v>0</v>
      </c>
      <c r="G121" s="178"/>
      <c r="H121" s="21"/>
      <c r="I121" s="30">
        <f>_xlfn.XLOOKUP(Tabla2757[[#This Row],[Puesto Encargado]], Tabla9[Puesto], Tabla9[Precio cliente],0,1,1)</f>
        <v>0</v>
      </c>
      <c r="J121" s="30">
        <f>_xlfn.XLOOKUP(Tabla2757[[#This Row],[Cargo]], Tabla958[Cargos], Tabla958[Ponderador Precio],0,1,1)</f>
        <v>0</v>
      </c>
      <c r="K121" s="30">
        <f>Tabla2757[[#This Row],[Precio por hora UF]]*Tabla2757[[#This Row],[Ponderador]]</f>
        <v>0</v>
      </c>
      <c r="L121" s="40">
        <v>0</v>
      </c>
      <c r="M121" s="30">
        <f>Tabla2757[[#This Row],[Precio por hora]]*Tabla2757[[#This Row],[Cantidad horas]]</f>
        <v>0</v>
      </c>
      <c r="N121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122" spans="2:14" x14ac:dyDescent="0.3">
      <c r="B122" s="28"/>
      <c r="C122" s="20"/>
      <c r="E122" s="136"/>
      <c r="F122" s="177">
        <f>_xlfn.XLOOKUP(Tabla2757[[#This Row],[Tipo de venta]],Tabla2329[Tipo de venta],Tabla2329[Moneda final], "Error - Seleccionar Tipo de Venta", 0,1)</f>
        <v>0</v>
      </c>
      <c r="G122" s="178"/>
      <c r="H122" s="21"/>
      <c r="I122" s="30">
        <f>_xlfn.XLOOKUP(Tabla2757[[#This Row],[Puesto Encargado]], Tabla9[Puesto], Tabla9[Precio cliente],0,1,1)</f>
        <v>0</v>
      </c>
      <c r="J122" s="30">
        <f>_xlfn.XLOOKUP(Tabla2757[[#This Row],[Cargo]], Tabla958[Cargos], Tabla958[Ponderador Precio],0,1,1)</f>
        <v>0</v>
      </c>
      <c r="K122" s="30">
        <f>Tabla2757[[#This Row],[Precio por hora UF]]*Tabla2757[[#This Row],[Ponderador]]</f>
        <v>0</v>
      </c>
      <c r="L122" s="40">
        <v>0</v>
      </c>
      <c r="M122" s="30">
        <f>Tabla2757[[#This Row],[Precio por hora]]*Tabla2757[[#This Row],[Cantidad horas]]</f>
        <v>0</v>
      </c>
      <c r="N122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123" spans="2:14" x14ac:dyDescent="0.3">
      <c r="B123" s="28"/>
      <c r="C123" s="20"/>
      <c r="E123" s="136"/>
      <c r="F123" s="177">
        <f>_xlfn.XLOOKUP(Tabla2757[[#This Row],[Tipo de venta]],Tabla2329[Tipo de venta],Tabla2329[Moneda final], "Error - Seleccionar Tipo de Venta", 0,1)</f>
        <v>0</v>
      </c>
      <c r="G123" s="178"/>
      <c r="H123" s="21"/>
      <c r="I123" s="30">
        <f>_xlfn.XLOOKUP(Tabla2757[[#This Row],[Puesto Encargado]], Tabla9[Puesto], Tabla9[Precio cliente],0,1,1)</f>
        <v>0</v>
      </c>
      <c r="J123" s="30">
        <f>_xlfn.XLOOKUP(Tabla2757[[#This Row],[Cargo]], Tabla958[Cargos], Tabla958[Ponderador Precio],0,1,1)</f>
        <v>0</v>
      </c>
      <c r="K123" s="30">
        <f>Tabla2757[[#This Row],[Precio por hora UF]]*Tabla2757[[#This Row],[Ponderador]]</f>
        <v>0</v>
      </c>
      <c r="L123" s="40">
        <v>0</v>
      </c>
      <c r="M123" s="30">
        <f>Tabla2757[[#This Row],[Precio por hora]]*Tabla2757[[#This Row],[Cantidad horas]]</f>
        <v>0</v>
      </c>
      <c r="N123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124" spans="2:14" x14ac:dyDescent="0.3">
      <c r="B124" s="28"/>
      <c r="C124" s="20"/>
      <c r="E124" s="136"/>
      <c r="F124" s="177">
        <f>_xlfn.XLOOKUP(Tabla2757[[#This Row],[Tipo de venta]],Tabla2329[Tipo de venta],Tabla2329[Moneda final], "Error - Seleccionar Tipo de Venta", 0,1)</f>
        <v>0</v>
      </c>
      <c r="G124" s="178"/>
      <c r="H124" s="21"/>
      <c r="I124" s="30">
        <f>_xlfn.XLOOKUP(Tabla2757[[#This Row],[Puesto Encargado]], Tabla9[Puesto], Tabla9[Precio cliente],0,1,1)</f>
        <v>0</v>
      </c>
      <c r="J124" s="30">
        <f>_xlfn.XLOOKUP(Tabla2757[[#This Row],[Cargo]], Tabla958[Cargos], Tabla958[Ponderador Precio],0,1,1)</f>
        <v>0</v>
      </c>
      <c r="K124" s="30">
        <f>Tabla2757[[#This Row],[Precio por hora UF]]*Tabla2757[[#This Row],[Ponderador]]</f>
        <v>0</v>
      </c>
      <c r="L124" s="40">
        <v>0</v>
      </c>
      <c r="M124" s="30">
        <f>Tabla2757[[#This Row],[Precio por hora]]*Tabla2757[[#This Row],[Cantidad horas]]</f>
        <v>0</v>
      </c>
      <c r="N124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125" spans="2:14" x14ac:dyDescent="0.3">
      <c r="B125" s="28"/>
      <c r="C125" s="20"/>
      <c r="E125" s="136"/>
      <c r="F125" s="177">
        <f>_xlfn.XLOOKUP(Tabla2757[[#This Row],[Tipo de venta]],Tabla2329[Tipo de venta],Tabla2329[Moneda final], "Error - Seleccionar Tipo de Venta", 0,1)</f>
        <v>0</v>
      </c>
      <c r="G125" s="178"/>
      <c r="H125" s="21"/>
      <c r="I125" s="30">
        <f>_xlfn.XLOOKUP(Tabla2757[[#This Row],[Puesto Encargado]], Tabla9[Puesto], Tabla9[Precio cliente],0,1,1)</f>
        <v>0</v>
      </c>
      <c r="J125" s="30">
        <f>_xlfn.XLOOKUP(Tabla2757[[#This Row],[Cargo]], Tabla958[Cargos], Tabla958[Ponderador Precio],0,1,1)</f>
        <v>0</v>
      </c>
      <c r="K125" s="30">
        <f>Tabla2757[[#This Row],[Precio por hora UF]]*Tabla2757[[#This Row],[Ponderador]]</f>
        <v>0</v>
      </c>
      <c r="L125" s="40">
        <v>0</v>
      </c>
      <c r="M125" s="30">
        <f>Tabla2757[[#This Row],[Precio por hora]]*Tabla2757[[#This Row],[Cantidad horas]]</f>
        <v>0</v>
      </c>
      <c r="N125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126" spans="2:14" x14ac:dyDescent="0.3">
      <c r="B126" s="28"/>
      <c r="C126" s="20"/>
      <c r="E126" s="136"/>
      <c r="F126" s="177">
        <f>_xlfn.XLOOKUP(Tabla2757[[#This Row],[Tipo de venta]],Tabla2329[Tipo de venta],Tabla2329[Moneda final], "Error - Seleccionar Tipo de Venta", 0,1)</f>
        <v>0</v>
      </c>
      <c r="G126" s="178"/>
      <c r="H126" s="21"/>
      <c r="I126" s="30">
        <f>_xlfn.XLOOKUP(Tabla2757[[#This Row],[Puesto Encargado]], Tabla9[Puesto], Tabla9[Precio cliente],0,1,1)</f>
        <v>0</v>
      </c>
      <c r="J126" s="30">
        <f>_xlfn.XLOOKUP(Tabla2757[[#This Row],[Cargo]], Tabla958[Cargos], Tabla958[Ponderador Precio],0,1,1)</f>
        <v>0</v>
      </c>
      <c r="K126" s="30">
        <f>Tabla2757[[#This Row],[Precio por hora UF]]*Tabla2757[[#This Row],[Ponderador]]</f>
        <v>0</v>
      </c>
      <c r="L126" s="40">
        <v>0</v>
      </c>
      <c r="M126" s="30">
        <f>Tabla2757[[#This Row],[Precio por hora]]*Tabla2757[[#This Row],[Cantidad horas]]</f>
        <v>0</v>
      </c>
      <c r="N126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127" spans="2:14" x14ac:dyDescent="0.3">
      <c r="B127" s="28"/>
      <c r="C127" s="20"/>
      <c r="E127" s="136"/>
      <c r="F127" s="177">
        <f>_xlfn.XLOOKUP(Tabla2757[[#This Row],[Tipo de venta]],Tabla2329[Tipo de venta],Tabla2329[Moneda final], "Error - Seleccionar Tipo de Venta", 0,1)</f>
        <v>0</v>
      </c>
      <c r="G127" s="178"/>
      <c r="H127" s="21"/>
      <c r="I127" s="30">
        <f>_xlfn.XLOOKUP(Tabla2757[[#This Row],[Puesto Encargado]], Tabla9[Puesto], Tabla9[Precio cliente],0,1,1)</f>
        <v>0</v>
      </c>
      <c r="J127" s="30">
        <f>_xlfn.XLOOKUP(Tabla2757[[#This Row],[Cargo]], Tabla958[Cargos], Tabla958[Ponderador Precio],0,1,1)</f>
        <v>0</v>
      </c>
      <c r="K127" s="30">
        <f>Tabla2757[[#This Row],[Precio por hora UF]]*Tabla2757[[#This Row],[Ponderador]]</f>
        <v>0</v>
      </c>
      <c r="L127" s="40">
        <v>0</v>
      </c>
      <c r="M127" s="30">
        <f>Tabla2757[[#This Row],[Precio por hora]]*Tabla2757[[#This Row],[Cantidad horas]]</f>
        <v>0</v>
      </c>
      <c r="N127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128" spans="2:14" x14ac:dyDescent="0.3">
      <c r="B128" s="28"/>
      <c r="C128" s="20"/>
      <c r="E128" s="136"/>
      <c r="F128" s="177">
        <f>_xlfn.XLOOKUP(Tabla2757[[#This Row],[Tipo de venta]],Tabla2329[Tipo de venta],Tabla2329[Moneda final], "Error - Seleccionar Tipo de Venta", 0,1)</f>
        <v>0</v>
      </c>
      <c r="G128" s="178"/>
      <c r="H128" s="21"/>
      <c r="I128" s="30">
        <f>_xlfn.XLOOKUP(Tabla2757[[#This Row],[Puesto Encargado]], Tabla9[Puesto], Tabla9[Precio cliente],0,1,1)</f>
        <v>0</v>
      </c>
      <c r="J128" s="30">
        <f>_xlfn.XLOOKUP(Tabla2757[[#This Row],[Cargo]], Tabla958[Cargos], Tabla958[Ponderador Precio],0,1,1)</f>
        <v>0</v>
      </c>
      <c r="K128" s="30">
        <f>Tabla2757[[#This Row],[Precio por hora UF]]*Tabla2757[[#This Row],[Ponderador]]</f>
        <v>0</v>
      </c>
      <c r="L128" s="40">
        <v>0</v>
      </c>
      <c r="M128" s="30">
        <f>Tabla2757[[#This Row],[Precio por hora]]*Tabla2757[[#This Row],[Cantidad horas]]</f>
        <v>0</v>
      </c>
      <c r="N128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129" spans="2:14" x14ac:dyDescent="0.3">
      <c r="B129" s="28"/>
      <c r="C129" s="20"/>
      <c r="E129" s="136"/>
      <c r="F129" s="177">
        <f>_xlfn.XLOOKUP(Tabla2757[[#This Row],[Tipo de venta]],Tabla2329[Tipo de venta],Tabla2329[Moneda final], "Error - Seleccionar Tipo de Venta", 0,1)</f>
        <v>0</v>
      </c>
      <c r="G129" s="178"/>
      <c r="H129" s="21"/>
      <c r="I129" s="30">
        <f>_xlfn.XLOOKUP(Tabla2757[[#This Row],[Puesto Encargado]], Tabla9[Puesto], Tabla9[Precio cliente],0,1,1)</f>
        <v>0</v>
      </c>
      <c r="J129" s="30">
        <f>_xlfn.XLOOKUP(Tabla2757[[#This Row],[Cargo]], Tabla958[Cargos], Tabla958[Ponderador Precio],0,1,1)</f>
        <v>0</v>
      </c>
      <c r="K129" s="30">
        <f>Tabla2757[[#This Row],[Precio por hora UF]]*Tabla2757[[#This Row],[Ponderador]]</f>
        <v>0</v>
      </c>
      <c r="L129" s="40">
        <v>0</v>
      </c>
      <c r="M129" s="30">
        <f>Tabla2757[[#This Row],[Precio por hora]]*Tabla2757[[#This Row],[Cantidad horas]]</f>
        <v>0</v>
      </c>
      <c r="N129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130" spans="2:14" x14ac:dyDescent="0.3">
      <c r="B130" s="28"/>
      <c r="C130" s="20"/>
      <c r="E130" s="136"/>
      <c r="F130" s="177">
        <f>_xlfn.XLOOKUP(Tabla2757[[#This Row],[Tipo de venta]],Tabla2329[Tipo de venta],Tabla2329[Moneda final], "Error - Seleccionar Tipo de Venta", 0,1)</f>
        <v>0</v>
      </c>
      <c r="G130" s="178"/>
      <c r="H130" s="21"/>
      <c r="I130" s="30">
        <f>_xlfn.XLOOKUP(Tabla2757[[#This Row],[Puesto Encargado]], Tabla9[Puesto], Tabla9[Precio cliente],0,1,1)</f>
        <v>0</v>
      </c>
      <c r="J130" s="30">
        <f>_xlfn.XLOOKUP(Tabla2757[[#This Row],[Cargo]], Tabla958[Cargos], Tabla958[Ponderador Precio],0,1,1)</f>
        <v>0</v>
      </c>
      <c r="K130" s="30">
        <f>Tabla2757[[#This Row],[Precio por hora UF]]*Tabla2757[[#This Row],[Ponderador]]</f>
        <v>0</v>
      </c>
      <c r="L130" s="40">
        <v>0</v>
      </c>
      <c r="M130" s="30">
        <f>Tabla2757[[#This Row],[Precio por hora]]*Tabla2757[[#This Row],[Cantidad horas]]</f>
        <v>0</v>
      </c>
      <c r="N130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131" spans="2:14" x14ac:dyDescent="0.3">
      <c r="B131" s="28"/>
      <c r="C131" s="20"/>
      <c r="E131" s="136"/>
      <c r="F131" s="177">
        <f>_xlfn.XLOOKUP(Tabla2757[[#This Row],[Tipo de venta]],Tabla2329[Tipo de venta],Tabla2329[Moneda final], "Error - Seleccionar Tipo de Venta", 0,1)</f>
        <v>0</v>
      </c>
      <c r="G131" s="178"/>
      <c r="H131" s="21"/>
      <c r="I131" s="30">
        <f>_xlfn.XLOOKUP(Tabla2757[[#This Row],[Puesto Encargado]], Tabla9[Puesto], Tabla9[Precio cliente],0,1,1)</f>
        <v>0</v>
      </c>
      <c r="J131" s="30">
        <f>_xlfn.XLOOKUP(Tabla2757[[#This Row],[Cargo]], Tabla958[Cargos], Tabla958[Ponderador Precio],0,1,1)</f>
        <v>0</v>
      </c>
      <c r="K131" s="30">
        <f>Tabla2757[[#This Row],[Precio por hora UF]]*Tabla2757[[#This Row],[Ponderador]]</f>
        <v>0</v>
      </c>
      <c r="L131" s="40">
        <v>0</v>
      </c>
      <c r="M131" s="30">
        <f>Tabla2757[[#This Row],[Precio por hora]]*Tabla2757[[#This Row],[Cantidad horas]]</f>
        <v>0</v>
      </c>
      <c r="N131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132" spans="2:14" x14ac:dyDescent="0.3">
      <c r="B132" s="28"/>
      <c r="C132" s="20"/>
      <c r="E132" s="136"/>
      <c r="F132" s="177">
        <f>_xlfn.XLOOKUP(Tabla2757[[#This Row],[Tipo de venta]],Tabla2329[Tipo de venta],Tabla2329[Moneda final], "Error - Seleccionar Tipo de Venta", 0,1)</f>
        <v>0</v>
      </c>
      <c r="G132" s="178"/>
      <c r="H132" s="21"/>
      <c r="I132" s="30">
        <f>_xlfn.XLOOKUP(Tabla2757[[#This Row],[Puesto Encargado]], Tabla9[Puesto], Tabla9[Precio cliente],0,1,1)</f>
        <v>0</v>
      </c>
      <c r="J132" s="30">
        <f>_xlfn.XLOOKUP(Tabla2757[[#This Row],[Cargo]], Tabla958[Cargos], Tabla958[Ponderador Precio],0,1,1)</f>
        <v>0</v>
      </c>
      <c r="K132" s="30">
        <f>Tabla2757[[#This Row],[Precio por hora UF]]*Tabla2757[[#This Row],[Ponderador]]</f>
        <v>0</v>
      </c>
      <c r="L132" s="40">
        <v>0</v>
      </c>
      <c r="M132" s="30">
        <f>Tabla2757[[#This Row],[Precio por hora]]*Tabla2757[[#This Row],[Cantidad horas]]</f>
        <v>0</v>
      </c>
      <c r="N132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133" spans="2:14" x14ac:dyDescent="0.3">
      <c r="B133" s="28"/>
      <c r="C133" s="20"/>
      <c r="E133" s="136"/>
      <c r="F133" s="177">
        <f>_xlfn.XLOOKUP(Tabla2757[[#This Row],[Tipo de venta]],Tabla2329[Tipo de venta],Tabla2329[Moneda final], "Error - Seleccionar Tipo de Venta", 0,1)</f>
        <v>0</v>
      </c>
      <c r="G133" s="178"/>
      <c r="H133" s="21"/>
      <c r="I133" s="30">
        <f>_xlfn.XLOOKUP(Tabla2757[[#This Row],[Puesto Encargado]], Tabla9[Puesto], Tabla9[Precio cliente],0,1,1)</f>
        <v>0</v>
      </c>
      <c r="J133" s="30">
        <f>_xlfn.XLOOKUP(Tabla2757[[#This Row],[Cargo]], Tabla958[Cargos], Tabla958[Ponderador Precio],0,1,1)</f>
        <v>0</v>
      </c>
      <c r="K133" s="30">
        <f>Tabla2757[[#This Row],[Precio por hora UF]]*Tabla2757[[#This Row],[Ponderador]]</f>
        <v>0</v>
      </c>
      <c r="L133" s="40">
        <v>0</v>
      </c>
      <c r="M133" s="30">
        <f>Tabla2757[[#This Row],[Precio por hora]]*Tabla2757[[#This Row],[Cantidad horas]]</f>
        <v>0</v>
      </c>
      <c r="N133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134" spans="2:14" x14ac:dyDescent="0.3">
      <c r="B134" s="28"/>
      <c r="C134" s="20"/>
      <c r="E134" s="136"/>
      <c r="F134" s="177">
        <f>_xlfn.XLOOKUP(Tabla2757[[#This Row],[Tipo de venta]],Tabla2329[Tipo de venta],Tabla2329[Moneda final], "Error - Seleccionar Tipo de Venta", 0,1)</f>
        <v>0</v>
      </c>
      <c r="G134" s="178"/>
      <c r="H134" s="21"/>
      <c r="I134" s="30">
        <f>_xlfn.XLOOKUP(Tabla2757[[#This Row],[Puesto Encargado]], Tabla9[Puesto], Tabla9[Precio cliente],0,1,1)</f>
        <v>0</v>
      </c>
      <c r="J134" s="30">
        <f>_xlfn.XLOOKUP(Tabla2757[[#This Row],[Cargo]], Tabla958[Cargos], Tabla958[Ponderador Precio],0,1,1)</f>
        <v>0</v>
      </c>
      <c r="K134" s="30">
        <f>Tabla2757[[#This Row],[Precio por hora UF]]*Tabla2757[[#This Row],[Ponderador]]</f>
        <v>0</v>
      </c>
      <c r="L134" s="40">
        <v>0</v>
      </c>
      <c r="M134" s="30">
        <f>Tabla2757[[#This Row],[Precio por hora]]*Tabla2757[[#This Row],[Cantidad horas]]</f>
        <v>0</v>
      </c>
      <c r="N134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135" spans="2:14" x14ac:dyDescent="0.3">
      <c r="B135" s="28"/>
      <c r="C135" s="20"/>
      <c r="E135" s="136"/>
      <c r="F135" s="177">
        <f>_xlfn.XLOOKUP(Tabla2757[[#This Row],[Tipo de venta]],Tabla2329[Tipo de venta],Tabla2329[Moneda final], "Error - Seleccionar Tipo de Venta", 0,1)</f>
        <v>0</v>
      </c>
      <c r="G135" s="178"/>
      <c r="H135" s="21"/>
      <c r="I135" s="30">
        <f>_xlfn.XLOOKUP(Tabla2757[[#This Row],[Puesto Encargado]], Tabla9[Puesto], Tabla9[Precio cliente],0,1,1)</f>
        <v>0</v>
      </c>
      <c r="J135" s="30">
        <f>_xlfn.XLOOKUP(Tabla2757[[#This Row],[Cargo]], Tabla958[Cargos], Tabla958[Ponderador Precio],0,1,1)</f>
        <v>0</v>
      </c>
      <c r="K135" s="30">
        <f>Tabla2757[[#This Row],[Precio por hora UF]]*Tabla2757[[#This Row],[Ponderador]]</f>
        <v>0</v>
      </c>
      <c r="L135" s="40">
        <v>0</v>
      </c>
      <c r="M135" s="30">
        <f>Tabla2757[[#This Row],[Precio por hora]]*Tabla2757[[#This Row],[Cantidad horas]]</f>
        <v>0</v>
      </c>
      <c r="N135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136" spans="2:14" x14ac:dyDescent="0.3">
      <c r="B136" s="28"/>
      <c r="C136" s="20"/>
      <c r="E136" s="136"/>
      <c r="F136" s="177">
        <f>_xlfn.XLOOKUP(Tabla2757[[#This Row],[Tipo de venta]],Tabla2329[Tipo de venta],Tabla2329[Moneda final], "Error - Seleccionar Tipo de Venta", 0,1)</f>
        <v>0</v>
      </c>
      <c r="G136" s="178"/>
      <c r="H136" s="21"/>
      <c r="I136" s="30">
        <f>_xlfn.XLOOKUP(Tabla2757[[#This Row],[Puesto Encargado]], Tabla9[Puesto], Tabla9[Precio cliente],0,1,1)</f>
        <v>0</v>
      </c>
      <c r="J136" s="30">
        <f>_xlfn.XLOOKUP(Tabla2757[[#This Row],[Cargo]], Tabla958[Cargos], Tabla958[Ponderador Precio],0,1,1)</f>
        <v>0</v>
      </c>
      <c r="K136" s="30">
        <f>Tabla2757[[#This Row],[Precio por hora UF]]*Tabla2757[[#This Row],[Ponderador]]</f>
        <v>0</v>
      </c>
      <c r="L136" s="40">
        <v>0</v>
      </c>
      <c r="M136" s="30">
        <f>Tabla2757[[#This Row],[Precio por hora]]*Tabla2757[[#This Row],[Cantidad horas]]</f>
        <v>0</v>
      </c>
      <c r="N136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137" spans="2:14" x14ac:dyDescent="0.3">
      <c r="B137" s="28"/>
      <c r="C137" s="20"/>
      <c r="E137" s="136"/>
      <c r="F137" s="177">
        <f>_xlfn.XLOOKUP(Tabla2757[[#This Row],[Tipo de venta]],Tabla2329[Tipo de venta],Tabla2329[Moneda final], "Error - Seleccionar Tipo de Venta", 0,1)</f>
        <v>0</v>
      </c>
      <c r="G137" s="178"/>
      <c r="H137" s="21"/>
      <c r="I137" s="30">
        <f>_xlfn.XLOOKUP(Tabla2757[[#This Row],[Puesto Encargado]], Tabla9[Puesto], Tabla9[Precio cliente],0,1,1)</f>
        <v>0</v>
      </c>
      <c r="J137" s="30">
        <f>_xlfn.XLOOKUP(Tabla2757[[#This Row],[Cargo]], Tabla958[Cargos], Tabla958[Ponderador Precio],0,1,1)</f>
        <v>0</v>
      </c>
      <c r="K137" s="30">
        <f>Tabla2757[[#This Row],[Precio por hora UF]]*Tabla2757[[#This Row],[Ponderador]]</f>
        <v>0</v>
      </c>
      <c r="L137" s="40">
        <v>0</v>
      </c>
      <c r="M137" s="30">
        <f>Tabla2757[[#This Row],[Precio por hora]]*Tabla2757[[#This Row],[Cantidad horas]]</f>
        <v>0</v>
      </c>
      <c r="N137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138" spans="2:14" x14ac:dyDescent="0.3">
      <c r="B138" s="28"/>
      <c r="C138" s="20"/>
      <c r="E138" s="136"/>
      <c r="F138" s="177">
        <f>_xlfn.XLOOKUP(Tabla2757[[#This Row],[Tipo de venta]],Tabla2329[Tipo de venta],Tabla2329[Moneda final], "Error - Seleccionar Tipo de Venta", 0,1)</f>
        <v>0</v>
      </c>
      <c r="G138" s="178"/>
      <c r="H138" s="21"/>
      <c r="I138" s="30">
        <f>_xlfn.XLOOKUP(Tabla2757[[#This Row],[Puesto Encargado]], Tabla9[Puesto], Tabla9[Precio cliente],0,1,1)</f>
        <v>0</v>
      </c>
      <c r="J138" s="30">
        <f>_xlfn.XLOOKUP(Tabla2757[[#This Row],[Cargo]], Tabla958[Cargos], Tabla958[Ponderador Precio],0,1,1)</f>
        <v>0</v>
      </c>
      <c r="K138" s="30">
        <f>Tabla2757[[#This Row],[Precio por hora UF]]*Tabla2757[[#This Row],[Ponderador]]</f>
        <v>0</v>
      </c>
      <c r="L138" s="40">
        <v>0</v>
      </c>
      <c r="M138" s="30">
        <f>Tabla2757[[#This Row],[Precio por hora]]*Tabla2757[[#This Row],[Cantidad horas]]</f>
        <v>0</v>
      </c>
      <c r="N138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139" spans="2:14" x14ac:dyDescent="0.3">
      <c r="B139" s="28"/>
      <c r="C139" s="20"/>
      <c r="E139" s="136"/>
      <c r="F139" s="177">
        <f>_xlfn.XLOOKUP(Tabla2757[[#This Row],[Tipo de venta]],Tabla2329[Tipo de venta],Tabla2329[Moneda final], "Error - Seleccionar Tipo de Venta", 0,1)</f>
        <v>0</v>
      </c>
      <c r="G139" s="178"/>
      <c r="H139" s="21"/>
      <c r="I139" s="30">
        <f>_xlfn.XLOOKUP(Tabla2757[[#This Row],[Puesto Encargado]], Tabla9[Puesto], Tabla9[Precio cliente],0,1,1)</f>
        <v>0</v>
      </c>
      <c r="J139" s="30">
        <f>_xlfn.XLOOKUP(Tabla2757[[#This Row],[Cargo]], Tabla958[Cargos], Tabla958[Ponderador Precio],0,1,1)</f>
        <v>0</v>
      </c>
      <c r="K139" s="30">
        <f>Tabla2757[[#This Row],[Precio por hora UF]]*Tabla2757[[#This Row],[Ponderador]]</f>
        <v>0</v>
      </c>
      <c r="L139" s="40">
        <v>0</v>
      </c>
      <c r="M139" s="30">
        <f>Tabla2757[[#This Row],[Precio por hora]]*Tabla2757[[#This Row],[Cantidad horas]]</f>
        <v>0</v>
      </c>
      <c r="N139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140" spans="2:14" x14ac:dyDescent="0.3">
      <c r="B140" s="28"/>
      <c r="C140" s="20"/>
      <c r="E140" s="136"/>
      <c r="F140" s="177">
        <f>_xlfn.XLOOKUP(Tabla2757[[#This Row],[Tipo de venta]],Tabla2329[Tipo de venta],Tabla2329[Moneda final], "Error - Seleccionar Tipo de Venta", 0,1)</f>
        <v>0</v>
      </c>
      <c r="G140" s="178"/>
      <c r="H140" s="21"/>
      <c r="I140" s="30">
        <f>_xlfn.XLOOKUP(Tabla2757[[#This Row],[Puesto Encargado]], Tabla9[Puesto], Tabla9[Precio cliente],0,1,1)</f>
        <v>0</v>
      </c>
      <c r="J140" s="30">
        <f>_xlfn.XLOOKUP(Tabla2757[[#This Row],[Cargo]], Tabla958[Cargos], Tabla958[Ponderador Precio],0,1,1)</f>
        <v>0</v>
      </c>
      <c r="K140" s="30">
        <f>Tabla2757[[#This Row],[Precio por hora UF]]*Tabla2757[[#This Row],[Ponderador]]</f>
        <v>0</v>
      </c>
      <c r="L140" s="40">
        <v>0</v>
      </c>
      <c r="M140" s="30">
        <f>Tabla2757[[#This Row],[Precio por hora]]*Tabla2757[[#This Row],[Cantidad horas]]</f>
        <v>0</v>
      </c>
      <c r="N140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141" spans="2:14" x14ac:dyDescent="0.3">
      <c r="B141" s="28"/>
      <c r="C141" s="20"/>
      <c r="E141" s="136"/>
      <c r="F141" s="177">
        <f>_xlfn.XLOOKUP(Tabla2757[[#This Row],[Tipo de venta]],Tabla2329[Tipo de venta],Tabla2329[Moneda final], "Error - Seleccionar Tipo de Venta", 0,1)</f>
        <v>0</v>
      </c>
      <c r="G141" s="178"/>
      <c r="H141" s="21"/>
      <c r="I141" s="30">
        <f>_xlfn.XLOOKUP(Tabla2757[[#This Row],[Puesto Encargado]], Tabla9[Puesto], Tabla9[Precio cliente],0,1,1)</f>
        <v>0</v>
      </c>
      <c r="J141" s="30">
        <f>_xlfn.XLOOKUP(Tabla2757[[#This Row],[Cargo]], Tabla958[Cargos], Tabla958[Ponderador Precio],0,1,1)</f>
        <v>0</v>
      </c>
      <c r="K141" s="30">
        <f>Tabla2757[[#This Row],[Precio por hora UF]]*Tabla2757[[#This Row],[Ponderador]]</f>
        <v>0</v>
      </c>
      <c r="L141" s="40">
        <v>0</v>
      </c>
      <c r="M141" s="30">
        <f>Tabla2757[[#This Row],[Precio por hora]]*Tabla2757[[#This Row],[Cantidad horas]]</f>
        <v>0</v>
      </c>
      <c r="N141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142" spans="2:14" x14ac:dyDescent="0.3">
      <c r="B142" s="28"/>
      <c r="C142" s="20"/>
      <c r="E142" s="136"/>
      <c r="F142" s="177">
        <f>_xlfn.XLOOKUP(Tabla2757[[#This Row],[Tipo de venta]],Tabla2329[Tipo de venta],Tabla2329[Moneda final], "Error - Seleccionar Tipo de Venta", 0,1)</f>
        <v>0</v>
      </c>
      <c r="G142" s="178"/>
      <c r="H142" s="21"/>
      <c r="I142" s="30">
        <f>_xlfn.XLOOKUP(Tabla2757[[#This Row],[Puesto Encargado]], Tabla9[Puesto], Tabla9[Precio cliente],0,1,1)</f>
        <v>0</v>
      </c>
      <c r="J142" s="30">
        <f>_xlfn.XLOOKUP(Tabla2757[[#This Row],[Cargo]], Tabla958[Cargos], Tabla958[Ponderador Precio],0,1,1)</f>
        <v>0</v>
      </c>
      <c r="K142" s="30">
        <f>Tabla2757[[#This Row],[Precio por hora UF]]*Tabla2757[[#This Row],[Ponderador]]</f>
        <v>0</v>
      </c>
      <c r="L142" s="40">
        <v>0</v>
      </c>
      <c r="M142" s="30">
        <f>Tabla2757[[#This Row],[Precio por hora]]*Tabla2757[[#This Row],[Cantidad horas]]</f>
        <v>0</v>
      </c>
      <c r="N142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143" spans="2:14" x14ac:dyDescent="0.3">
      <c r="B143" s="28"/>
      <c r="C143" s="20"/>
      <c r="E143" s="136"/>
      <c r="F143" s="177">
        <f>_xlfn.XLOOKUP(Tabla2757[[#This Row],[Tipo de venta]],Tabla2329[Tipo de venta],Tabla2329[Moneda final], "Error - Seleccionar Tipo de Venta", 0,1)</f>
        <v>0</v>
      </c>
      <c r="G143" s="178"/>
      <c r="H143" s="21"/>
      <c r="I143" s="30">
        <f>_xlfn.XLOOKUP(Tabla2757[[#This Row],[Puesto Encargado]], Tabla9[Puesto], Tabla9[Precio cliente],0,1,1)</f>
        <v>0</v>
      </c>
      <c r="J143" s="30">
        <f>_xlfn.XLOOKUP(Tabla2757[[#This Row],[Cargo]], Tabla958[Cargos], Tabla958[Ponderador Precio],0,1,1)</f>
        <v>0</v>
      </c>
      <c r="K143" s="30">
        <f>Tabla2757[[#This Row],[Precio por hora UF]]*Tabla2757[[#This Row],[Ponderador]]</f>
        <v>0</v>
      </c>
      <c r="L143" s="40">
        <v>0</v>
      </c>
      <c r="M143" s="30">
        <f>Tabla2757[[#This Row],[Precio por hora]]*Tabla2757[[#This Row],[Cantidad horas]]</f>
        <v>0</v>
      </c>
      <c r="N143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144" spans="2:14" x14ac:dyDescent="0.3">
      <c r="B144" s="28"/>
      <c r="C144" s="20"/>
      <c r="E144" s="136"/>
      <c r="F144" s="177">
        <f>_xlfn.XLOOKUP(Tabla2757[[#This Row],[Tipo de venta]],Tabla2329[Tipo de venta],Tabla2329[Moneda final], "Error - Seleccionar Tipo de Venta", 0,1)</f>
        <v>0</v>
      </c>
      <c r="G144" s="178"/>
      <c r="H144" s="21"/>
      <c r="I144" s="30">
        <f>_xlfn.XLOOKUP(Tabla2757[[#This Row],[Puesto Encargado]], Tabla9[Puesto], Tabla9[Precio cliente],0,1,1)</f>
        <v>0</v>
      </c>
      <c r="J144" s="30">
        <f>_xlfn.XLOOKUP(Tabla2757[[#This Row],[Cargo]], Tabla958[Cargos], Tabla958[Ponderador Precio],0,1,1)</f>
        <v>0</v>
      </c>
      <c r="K144" s="30">
        <f>Tabla2757[[#This Row],[Precio por hora UF]]*Tabla2757[[#This Row],[Ponderador]]</f>
        <v>0</v>
      </c>
      <c r="L144" s="40">
        <v>0</v>
      </c>
      <c r="M144" s="30">
        <f>Tabla2757[[#This Row],[Precio por hora]]*Tabla2757[[#This Row],[Cantidad horas]]</f>
        <v>0</v>
      </c>
      <c r="N144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145" spans="2:14" x14ac:dyDescent="0.3">
      <c r="B145" s="28"/>
      <c r="C145" s="20"/>
      <c r="E145" s="136"/>
      <c r="F145" s="177">
        <f>_xlfn.XLOOKUP(Tabla2757[[#This Row],[Tipo de venta]],Tabla2329[Tipo de venta],Tabla2329[Moneda final], "Error - Seleccionar Tipo de Venta", 0,1)</f>
        <v>0</v>
      </c>
      <c r="G145" s="178"/>
      <c r="H145" s="21"/>
      <c r="I145" s="30">
        <f>_xlfn.XLOOKUP(Tabla2757[[#This Row],[Puesto Encargado]], Tabla9[Puesto], Tabla9[Precio cliente],0,1,1)</f>
        <v>0</v>
      </c>
      <c r="J145" s="30">
        <f>_xlfn.XLOOKUP(Tabla2757[[#This Row],[Cargo]], Tabla958[Cargos], Tabla958[Ponderador Precio],0,1,1)</f>
        <v>0</v>
      </c>
      <c r="K145" s="30">
        <f>Tabla2757[[#This Row],[Precio por hora UF]]*Tabla2757[[#This Row],[Ponderador]]</f>
        <v>0</v>
      </c>
      <c r="L145" s="40">
        <v>0</v>
      </c>
      <c r="M145" s="30">
        <f>Tabla2757[[#This Row],[Precio por hora]]*Tabla2757[[#This Row],[Cantidad horas]]</f>
        <v>0</v>
      </c>
      <c r="N145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146" spans="2:14" x14ac:dyDescent="0.3">
      <c r="B146" s="28"/>
      <c r="C146" s="20"/>
      <c r="E146" s="136"/>
      <c r="F146" s="177">
        <f>_xlfn.XLOOKUP(Tabla2757[[#This Row],[Tipo de venta]],Tabla2329[Tipo de venta],Tabla2329[Moneda final], "Error - Seleccionar Tipo de Venta", 0,1)</f>
        <v>0</v>
      </c>
      <c r="G146" s="178"/>
      <c r="H146" s="21"/>
      <c r="I146" s="30">
        <f>_xlfn.XLOOKUP(Tabla2757[[#This Row],[Puesto Encargado]], Tabla9[Puesto], Tabla9[Precio cliente],0,1,1)</f>
        <v>0</v>
      </c>
      <c r="J146" s="30">
        <f>_xlfn.XLOOKUP(Tabla2757[[#This Row],[Cargo]], Tabla958[Cargos], Tabla958[Ponderador Precio],0,1,1)</f>
        <v>0</v>
      </c>
      <c r="K146" s="30">
        <f>Tabla2757[[#This Row],[Precio por hora UF]]*Tabla2757[[#This Row],[Ponderador]]</f>
        <v>0</v>
      </c>
      <c r="L146" s="40">
        <v>0</v>
      </c>
      <c r="M146" s="30">
        <f>Tabla2757[[#This Row],[Precio por hora]]*Tabla2757[[#This Row],[Cantidad horas]]</f>
        <v>0</v>
      </c>
      <c r="N146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147" spans="2:14" x14ac:dyDescent="0.3">
      <c r="B147" s="28"/>
      <c r="C147" s="20"/>
      <c r="E147" s="136"/>
      <c r="F147" s="177">
        <f>_xlfn.XLOOKUP(Tabla2757[[#This Row],[Tipo de venta]],Tabla2329[Tipo de venta],Tabla2329[Moneda final], "Error - Seleccionar Tipo de Venta", 0,1)</f>
        <v>0</v>
      </c>
      <c r="G147" s="178"/>
      <c r="H147" s="21"/>
      <c r="I147" s="30">
        <f>_xlfn.XLOOKUP(Tabla2757[[#This Row],[Puesto Encargado]], Tabla9[Puesto], Tabla9[Precio cliente],0,1,1)</f>
        <v>0</v>
      </c>
      <c r="J147" s="30">
        <f>_xlfn.XLOOKUP(Tabla2757[[#This Row],[Cargo]], Tabla958[Cargos], Tabla958[Ponderador Precio],0,1,1)</f>
        <v>0</v>
      </c>
      <c r="K147" s="30">
        <f>Tabla2757[[#This Row],[Precio por hora UF]]*Tabla2757[[#This Row],[Ponderador]]</f>
        <v>0</v>
      </c>
      <c r="L147" s="40">
        <v>0</v>
      </c>
      <c r="M147" s="30">
        <f>Tabla2757[[#This Row],[Precio por hora]]*Tabla2757[[#This Row],[Cantidad horas]]</f>
        <v>0</v>
      </c>
      <c r="N147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148" spans="2:14" x14ac:dyDescent="0.3">
      <c r="B148" s="28"/>
      <c r="C148" s="20"/>
      <c r="E148" s="136"/>
      <c r="F148" s="177">
        <f>_xlfn.XLOOKUP(Tabla2757[[#This Row],[Tipo de venta]],Tabla2329[Tipo de venta],Tabla2329[Moneda final], "Error - Seleccionar Tipo de Venta", 0,1)</f>
        <v>0</v>
      </c>
      <c r="G148" s="178"/>
      <c r="H148" s="21"/>
      <c r="I148" s="30">
        <f>_xlfn.XLOOKUP(Tabla2757[[#This Row],[Puesto Encargado]], Tabla9[Puesto], Tabla9[Precio cliente],0,1,1)</f>
        <v>0</v>
      </c>
      <c r="J148" s="30">
        <f>_xlfn.XLOOKUP(Tabla2757[[#This Row],[Cargo]], Tabla958[Cargos], Tabla958[Ponderador Precio],0,1,1)</f>
        <v>0</v>
      </c>
      <c r="K148" s="30">
        <f>Tabla2757[[#This Row],[Precio por hora UF]]*Tabla2757[[#This Row],[Ponderador]]</f>
        <v>0</v>
      </c>
      <c r="L148" s="40">
        <v>0</v>
      </c>
      <c r="M148" s="30">
        <f>Tabla2757[[#This Row],[Precio por hora]]*Tabla2757[[#This Row],[Cantidad horas]]</f>
        <v>0</v>
      </c>
      <c r="N148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149" spans="2:14" x14ac:dyDescent="0.3">
      <c r="B149" s="28"/>
      <c r="C149" s="20"/>
      <c r="E149" s="136"/>
      <c r="F149" s="177">
        <f>_xlfn.XLOOKUP(Tabla2757[[#This Row],[Tipo de venta]],Tabla2329[Tipo de venta],Tabla2329[Moneda final], "Error - Seleccionar Tipo de Venta", 0,1)</f>
        <v>0</v>
      </c>
      <c r="G149" s="178"/>
      <c r="H149" s="21"/>
      <c r="I149" s="30">
        <f>_xlfn.XLOOKUP(Tabla2757[[#This Row],[Puesto Encargado]], Tabla9[Puesto], Tabla9[Precio cliente],0,1,1)</f>
        <v>0</v>
      </c>
      <c r="J149" s="30">
        <f>_xlfn.XLOOKUP(Tabla2757[[#This Row],[Cargo]], Tabla958[Cargos], Tabla958[Ponderador Precio],0,1,1)</f>
        <v>0</v>
      </c>
      <c r="K149" s="30">
        <f>Tabla2757[[#This Row],[Precio por hora UF]]*Tabla2757[[#This Row],[Ponderador]]</f>
        <v>0</v>
      </c>
      <c r="L149" s="40">
        <v>0</v>
      </c>
      <c r="M149" s="30">
        <f>Tabla2757[[#This Row],[Precio por hora]]*Tabla2757[[#This Row],[Cantidad horas]]</f>
        <v>0</v>
      </c>
      <c r="N149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150" spans="2:14" x14ac:dyDescent="0.3">
      <c r="B150" s="28"/>
      <c r="C150" s="20"/>
      <c r="E150" s="136"/>
      <c r="F150" s="177">
        <f>_xlfn.XLOOKUP(Tabla2757[[#This Row],[Tipo de venta]],Tabla2329[Tipo de venta],Tabla2329[Moneda final], "Error - Seleccionar Tipo de Venta", 0,1)</f>
        <v>0</v>
      </c>
      <c r="G150" s="178"/>
      <c r="H150" s="21"/>
      <c r="I150" s="30">
        <f>_xlfn.XLOOKUP(Tabla2757[[#This Row],[Puesto Encargado]], Tabla9[Puesto], Tabla9[Precio cliente],0,1,1)</f>
        <v>0</v>
      </c>
      <c r="J150" s="30">
        <f>_xlfn.XLOOKUP(Tabla2757[[#This Row],[Cargo]], Tabla958[Cargos], Tabla958[Ponderador Precio],0,1,1)</f>
        <v>0</v>
      </c>
      <c r="K150" s="30">
        <f>Tabla2757[[#This Row],[Precio por hora UF]]*Tabla2757[[#This Row],[Ponderador]]</f>
        <v>0</v>
      </c>
      <c r="L150" s="40">
        <v>0</v>
      </c>
      <c r="M150" s="30">
        <f>Tabla2757[[#This Row],[Precio por hora]]*Tabla2757[[#This Row],[Cantidad horas]]</f>
        <v>0</v>
      </c>
      <c r="N150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151" spans="2:14" x14ac:dyDescent="0.3">
      <c r="B151" s="28"/>
      <c r="C151" s="20"/>
      <c r="E151" s="136"/>
      <c r="F151" s="177">
        <f>_xlfn.XLOOKUP(Tabla2757[[#This Row],[Tipo de venta]],Tabla2329[Tipo de venta],Tabla2329[Moneda final], "Error - Seleccionar Tipo de Venta", 0,1)</f>
        <v>0</v>
      </c>
      <c r="G151" s="178"/>
      <c r="H151" s="21"/>
      <c r="I151" s="30">
        <f>_xlfn.XLOOKUP(Tabla2757[[#This Row],[Puesto Encargado]], Tabla9[Puesto], Tabla9[Precio cliente],0,1,1)</f>
        <v>0</v>
      </c>
      <c r="J151" s="30">
        <f>_xlfn.XLOOKUP(Tabla2757[[#This Row],[Cargo]], Tabla958[Cargos], Tabla958[Ponderador Precio],0,1,1)</f>
        <v>0</v>
      </c>
      <c r="K151" s="30">
        <f>Tabla2757[[#This Row],[Precio por hora UF]]*Tabla2757[[#This Row],[Ponderador]]</f>
        <v>0</v>
      </c>
      <c r="L151" s="40">
        <v>0</v>
      </c>
      <c r="M151" s="30">
        <f>Tabla2757[[#This Row],[Precio por hora]]*Tabla2757[[#This Row],[Cantidad horas]]</f>
        <v>0</v>
      </c>
      <c r="N151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152" spans="2:14" x14ac:dyDescent="0.3">
      <c r="B152" s="28"/>
      <c r="C152" s="20"/>
      <c r="E152" s="136"/>
      <c r="F152" s="177">
        <f>_xlfn.XLOOKUP(Tabla2757[[#This Row],[Tipo de venta]],Tabla2329[Tipo de venta],Tabla2329[Moneda final], "Error - Seleccionar Tipo de Venta", 0,1)</f>
        <v>0</v>
      </c>
      <c r="G152" s="178"/>
      <c r="H152" s="21"/>
      <c r="I152" s="30">
        <f>_xlfn.XLOOKUP(Tabla2757[[#This Row],[Puesto Encargado]], Tabla9[Puesto], Tabla9[Precio cliente],0,1,1)</f>
        <v>0</v>
      </c>
      <c r="J152" s="30">
        <f>_xlfn.XLOOKUP(Tabla2757[[#This Row],[Cargo]], Tabla958[Cargos], Tabla958[Ponderador Precio],0,1,1)</f>
        <v>0</v>
      </c>
      <c r="K152" s="30">
        <f>Tabla2757[[#This Row],[Precio por hora UF]]*Tabla2757[[#This Row],[Ponderador]]</f>
        <v>0</v>
      </c>
      <c r="L152" s="40">
        <v>0</v>
      </c>
      <c r="M152" s="30">
        <f>Tabla2757[[#This Row],[Precio por hora]]*Tabla2757[[#This Row],[Cantidad horas]]</f>
        <v>0</v>
      </c>
      <c r="N152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153" spans="2:14" x14ac:dyDescent="0.3">
      <c r="B153" s="28"/>
      <c r="C153" s="20"/>
      <c r="E153" s="136"/>
      <c r="F153" s="177">
        <f>_xlfn.XLOOKUP(Tabla2757[[#This Row],[Tipo de venta]],Tabla2329[Tipo de venta],Tabla2329[Moneda final], "Error - Seleccionar Tipo de Venta", 0,1)</f>
        <v>0</v>
      </c>
      <c r="G153" s="178"/>
      <c r="H153" s="21"/>
      <c r="I153" s="30">
        <f>_xlfn.XLOOKUP(Tabla2757[[#This Row],[Puesto Encargado]], Tabla9[Puesto], Tabla9[Precio cliente],0,1,1)</f>
        <v>0</v>
      </c>
      <c r="J153" s="30">
        <f>_xlfn.XLOOKUP(Tabla2757[[#This Row],[Cargo]], Tabla958[Cargos], Tabla958[Ponderador Precio],0,1,1)</f>
        <v>0</v>
      </c>
      <c r="K153" s="30">
        <f>Tabla2757[[#This Row],[Precio por hora UF]]*Tabla2757[[#This Row],[Ponderador]]</f>
        <v>0</v>
      </c>
      <c r="L153" s="40">
        <v>0</v>
      </c>
      <c r="M153" s="30">
        <f>Tabla2757[[#This Row],[Precio por hora]]*Tabla2757[[#This Row],[Cantidad horas]]</f>
        <v>0</v>
      </c>
      <c r="N153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154" spans="2:14" x14ac:dyDescent="0.3">
      <c r="B154" s="28"/>
      <c r="C154" s="20"/>
      <c r="E154" s="136"/>
      <c r="F154" s="177">
        <f>_xlfn.XLOOKUP(Tabla2757[[#This Row],[Tipo de venta]],Tabla2329[Tipo de venta],Tabla2329[Moneda final], "Error - Seleccionar Tipo de Venta", 0,1)</f>
        <v>0</v>
      </c>
      <c r="G154" s="178"/>
      <c r="H154" s="21"/>
      <c r="I154" s="30">
        <f>_xlfn.XLOOKUP(Tabla2757[[#This Row],[Puesto Encargado]], Tabla9[Puesto], Tabla9[Precio cliente],0,1,1)</f>
        <v>0</v>
      </c>
      <c r="J154" s="30">
        <f>_xlfn.XLOOKUP(Tabla2757[[#This Row],[Cargo]], Tabla958[Cargos], Tabla958[Ponderador Precio],0,1,1)</f>
        <v>0</v>
      </c>
      <c r="K154" s="30">
        <f>Tabla2757[[#This Row],[Precio por hora UF]]*Tabla2757[[#This Row],[Ponderador]]</f>
        <v>0</v>
      </c>
      <c r="L154" s="40">
        <v>0</v>
      </c>
      <c r="M154" s="30">
        <f>Tabla2757[[#This Row],[Precio por hora]]*Tabla2757[[#This Row],[Cantidad horas]]</f>
        <v>0</v>
      </c>
      <c r="N154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155" spans="2:14" x14ac:dyDescent="0.3">
      <c r="B155" s="28"/>
      <c r="C155" s="20"/>
      <c r="E155" s="136"/>
      <c r="F155" s="177">
        <f>_xlfn.XLOOKUP(Tabla2757[[#This Row],[Tipo de venta]],Tabla2329[Tipo de venta],Tabla2329[Moneda final], "Error - Seleccionar Tipo de Venta", 0,1)</f>
        <v>0</v>
      </c>
      <c r="G155" s="178"/>
      <c r="H155" s="21"/>
      <c r="I155" s="30">
        <f>_xlfn.XLOOKUP(Tabla2757[[#This Row],[Puesto Encargado]], Tabla9[Puesto], Tabla9[Precio cliente],0,1,1)</f>
        <v>0</v>
      </c>
      <c r="J155" s="30">
        <f>_xlfn.XLOOKUP(Tabla2757[[#This Row],[Cargo]], Tabla958[Cargos], Tabla958[Ponderador Precio],0,1,1)</f>
        <v>0</v>
      </c>
      <c r="K155" s="30">
        <f>Tabla2757[[#This Row],[Precio por hora UF]]*Tabla2757[[#This Row],[Ponderador]]</f>
        <v>0</v>
      </c>
      <c r="L155" s="40">
        <v>0</v>
      </c>
      <c r="M155" s="30">
        <f>Tabla2757[[#This Row],[Precio por hora]]*Tabla2757[[#This Row],[Cantidad horas]]</f>
        <v>0</v>
      </c>
      <c r="N155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156" spans="2:14" x14ac:dyDescent="0.3">
      <c r="B156" s="28"/>
      <c r="C156" s="20"/>
      <c r="E156" s="136"/>
      <c r="F156" s="177">
        <f>_xlfn.XLOOKUP(Tabla2757[[#This Row],[Tipo de venta]],Tabla2329[Tipo de venta],Tabla2329[Moneda final], "Error - Seleccionar Tipo de Venta", 0,1)</f>
        <v>0</v>
      </c>
      <c r="G156" s="178"/>
      <c r="H156" s="21"/>
      <c r="I156" s="30">
        <f>_xlfn.XLOOKUP(Tabla2757[[#This Row],[Puesto Encargado]], Tabla9[Puesto], Tabla9[Precio cliente],0,1,1)</f>
        <v>0</v>
      </c>
      <c r="J156" s="30">
        <f>_xlfn.XLOOKUP(Tabla2757[[#This Row],[Cargo]], Tabla958[Cargos], Tabla958[Ponderador Precio],0,1,1)</f>
        <v>0</v>
      </c>
      <c r="K156" s="30">
        <f>Tabla2757[[#This Row],[Precio por hora UF]]*Tabla2757[[#This Row],[Ponderador]]</f>
        <v>0</v>
      </c>
      <c r="L156" s="40">
        <v>0</v>
      </c>
      <c r="M156" s="30">
        <f>Tabla2757[[#This Row],[Precio por hora]]*Tabla2757[[#This Row],[Cantidad horas]]</f>
        <v>0</v>
      </c>
      <c r="N156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157" spans="2:14" x14ac:dyDescent="0.3">
      <c r="B157" s="28"/>
      <c r="C157" s="20"/>
      <c r="E157" s="136"/>
      <c r="F157" s="177">
        <f>_xlfn.XLOOKUP(Tabla2757[[#This Row],[Tipo de venta]],Tabla2329[Tipo de venta],Tabla2329[Moneda final], "Error - Seleccionar Tipo de Venta", 0,1)</f>
        <v>0</v>
      </c>
      <c r="G157" s="178"/>
      <c r="H157" s="21"/>
      <c r="I157" s="30">
        <f>_xlfn.XLOOKUP(Tabla2757[[#This Row],[Puesto Encargado]], Tabla9[Puesto], Tabla9[Precio cliente],0,1,1)</f>
        <v>0</v>
      </c>
      <c r="J157" s="30">
        <f>_xlfn.XLOOKUP(Tabla2757[[#This Row],[Cargo]], Tabla958[Cargos], Tabla958[Ponderador Precio],0,1,1)</f>
        <v>0</v>
      </c>
      <c r="K157" s="30">
        <f>Tabla2757[[#This Row],[Precio por hora UF]]*Tabla2757[[#This Row],[Ponderador]]</f>
        <v>0</v>
      </c>
      <c r="L157" s="40">
        <v>0</v>
      </c>
      <c r="M157" s="30">
        <f>Tabla2757[[#This Row],[Precio por hora]]*Tabla2757[[#This Row],[Cantidad horas]]</f>
        <v>0</v>
      </c>
      <c r="N157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158" spans="2:14" x14ac:dyDescent="0.3">
      <c r="B158" s="28"/>
      <c r="C158" s="20"/>
      <c r="E158" s="136"/>
      <c r="F158" s="177">
        <f>_xlfn.XLOOKUP(Tabla2757[[#This Row],[Tipo de venta]],Tabla2329[Tipo de venta],Tabla2329[Moneda final], "Error - Seleccionar Tipo de Venta", 0,1)</f>
        <v>0</v>
      </c>
      <c r="G158" s="178"/>
      <c r="H158" s="21"/>
      <c r="I158" s="30">
        <f>_xlfn.XLOOKUP(Tabla2757[[#This Row],[Puesto Encargado]], Tabla9[Puesto], Tabla9[Precio cliente],0,1,1)</f>
        <v>0</v>
      </c>
      <c r="J158" s="30">
        <f>_xlfn.XLOOKUP(Tabla2757[[#This Row],[Cargo]], Tabla958[Cargos], Tabla958[Ponderador Precio],0,1,1)</f>
        <v>0</v>
      </c>
      <c r="K158" s="30">
        <f>Tabla2757[[#This Row],[Precio por hora UF]]*Tabla2757[[#This Row],[Ponderador]]</f>
        <v>0</v>
      </c>
      <c r="L158" s="40">
        <v>0</v>
      </c>
      <c r="M158" s="30">
        <f>Tabla2757[[#This Row],[Precio por hora]]*Tabla2757[[#This Row],[Cantidad horas]]</f>
        <v>0</v>
      </c>
      <c r="N158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159" spans="2:14" x14ac:dyDescent="0.3">
      <c r="B159" s="28"/>
      <c r="C159" s="20"/>
      <c r="E159" s="136"/>
      <c r="F159" s="177">
        <f>_xlfn.XLOOKUP(Tabla2757[[#This Row],[Tipo de venta]],Tabla2329[Tipo de venta],Tabla2329[Moneda final], "Error - Seleccionar Tipo de Venta", 0,1)</f>
        <v>0</v>
      </c>
      <c r="G159" s="178"/>
      <c r="H159" s="21"/>
      <c r="I159" s="30">
        <f>_xlfn.XLOOKUP(Tabla2757[[#This Row],[Puesto Encargado]], Tabla9[Puesto], Tabla9[Precio cliente],0,1,1)</f>
        <v>0</v>
      </c>
      <c r="J159" s="30">
        <f>_xlfn.XLOOKUP(Tabla2757[[#This Row],[Cargo]], Tabla958[Cargos], Tabla958[Ponderador Precio],0,1,1)</f>
        <v>0</v>
      </c>
      <c r="K159" s="30">
        <f>Tabla2757[[#This Row],[Precio por hora UF]]*Tabla2757[[#This Row],[Ponderador]]</f>
        <v>0</v>
      </c>
      <c r="L159" s="40">
        <v>0</v>
      </c>
      <c r="M159" s="30">
        <f>Tabla2757[[#This Row],[Precio por hora]]*Tabla2757[[#This Row],[Cantidad horas]]</f>
        <v>0</v>
      </c>
      <c r="N159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160" spans="2:14" x14ac:dyDescent="0.3">
      <c r="B160" s="28"/>
      <c r="C160" s="20"/>
      <c r="E160" s="136"/>
      <c r="F160" s="177">
        <f>_xlfn.XLOOKUP(Tabla2757[[#This Row],[Tipo de venta]],Tabla2329[Tipo de venta],Tabla2329[Moneda final], "Error - Seleccionar Tipo de Venta", 0,1)</f>
        <v>0</v>
      </c>
      <c r="G160" s="178"/>
      <c r="H160" s="21"/>
      <c r="I160" s="30">
        <f>_xlfn.XLOOKUP(Tabla2757[[#This Row],[Puesto Encargado]], Tabla9[Puesto], Tabla9[Precio cliente],0,1,1)</f>
        <v>0</v>
      </c>
      <c r="J160" s="30">
        <f>_xlfn.XLOOKUP(Tabla2757[[#This Row],[Cargo]], Tabla958[Cargos], Tabla958[Ponderador Precio],0,1,1)</f>
        <v>0</v>
      </c>
      <c r="K160" s="30">
        <f>Tabla2757[[#This Row],[Precio por hora UF]]*Tabla2757[[#This Row],[Ponderador]]</f>
        <v>0</v>
      </c>
      <c r="L160" s="40">
        <v>0</v>
      </c>
      <c r="M160" s="30">
        <f>Tabla2757[[#This Row],[Precio por hora]]*Tabla2757[[#This Row],[Cantidad horas]]</f>
        <v>0</v>
      </c>
      <c r="N160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161" spans="2:14" x14ac:dyDescent="0.3">
      <c r="B161" s="28"/>
      <c r="C161" s="20"/>
      <c r="E161" s="136"/>
      <c r="F161" s="177">
        <f>_xlfn.XLOOKUP(Tabla2757[[#This Row],[Tipo de venta]],Tabla2329[Tipo de venta],Tabla2329[Moneda final], "Error - Seleccionar Tipo de Venta", 0,1)</f>
        <v>0</v>
      </c>
      <c r="G161" s="178"/>
      <c r="H161" s="21"/>
      <c r="I161" s="30">
        <f>_xlfn.XLOOKUP(Tabla2757[[#This Row],[Puesto Encargado]], Tabla9[Puesto], Tabla9[Precio cliente],0,1,1)</f>
        <v>0</v>
      </c>
      <c r="J161" s="30">
        <f>_xlfn.XLOOKUP(Tabla2757[[#This Row],[Cargo]], Tabla958[Cargos], Tabla958[Ponderador Precio],0,1,1)</f>
        <v>0</v>
      </c>
      <c r="K161" s="30">
        <f>Tabla2757[[#This Row],[Precio por hora UF]]*Tabla2757[[#This Row],[Ponderador]]</f>
        <v>0</v>
      </c>
      <c r="L161" s="40">
        <v>0</v>
      </c>
      <c r="M161" s="30">
        <f>Tabla2757[[#This Row],[Precio por hora]]*Tabla2757[[#This Row],[Cantidad horas]]</f>
        <v>0</v>
      </c>
      <c r="N161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162" spans="2:14" x14ac:dyDescent="0.3">
      <c r="B162" s="28"/>
      <c r="C162" s="20"/>
      <c r="E162" s="136"/>
      <c r="F162" s="177">
        <f>_xlfn.XLOOKUP(Tabla2757[[#This Row],[Tipo de venta]],Tabla2329[Tipo de venta],Tabla2329[Moneda final], "Error - Seleccionar Tipo de Venta", 0,1)</f>
        <v>0</v>
      </c>
      <c r="G162" s="178"/>
      <c r="H162" s="21"/>
      <c r="I162" s="30">
        <f>_xlfn.XLOOKUP(Tabla2757[[#This Row],[Puesto Encargado]], Tabla9[Puesto], Tabla9[Precio cliente],0,1,1)</f>
        <v>0</v>
      </c>
      <c r="J162" s="30">
        <f>_xlfn.XLOOKUP(Tabla2757[[#This Row],[Cargo]], Tabla958[Cargos], Tabla958[Ponderador Precio],0,1,1)</f>
        <v>0</v>
      </c>
      <c r="K162" s="30">
        <f>Tabla2757[[#This Row],[Precio por hora UF]]*Tabla2757[[#This Row],[Ponderador]]</f>
        <v>0</v>
      </c>
      <c r="L162" s="40">
        <v>0</v>
      </c>
      <c r="M162" s="30">
        <f>Tabla2757[[#This Row],[Precio por hora]]*Tabla2757[[#This Row],[Cantidad horas]]</f>
        <v>0</v>
      </c>
      <c r="N162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163" spans="2:14" x14ac:dyDescent="0.3">
      <c r="B163" s="28"/>
      <c r="C163" s="20"/>
      <c r="E163" s="136"/>
      <c r="F163" s="177">
        <f>_xlfn.XLOOKUP(Tabla2757[[#This Row],[Tipo de venta]],Tabla2329[Tipo de venta],Tabla2329[Moneda final], "Error - Seleccionar Tipo de Venta", 0,1)</f>
        <v>0</v>
      </c>
      <c r="G163" s="178"/>
      <c r="H163" s="21"/>
      <c r="I163" s="30">
        <f>_xlfn.XLOOKUP(Tabla2757[[#This Row],[Puesto Encargado]], Tabla9[Puesto], Tabla9[Precio cliente],0,1,1)</f>
        <v>0</v>
      </c>
      <c r="J163" s="30">
        <f>_xlfn.XLOOKUP(Tabla2757[[#This Row],[Cargo]], Tabla958[Cargos], Tabla958[Ponderador Precio],0,1,1)</f>
        <v>0</v>
      </c>
      <c r="K163" s="30">
        <f>Tabla2757[[#This Row],[Precio por hora UF]]*Tabla2757[[#This Row],[Ponderador]]</f>
        <v>0</v>
      </c>
      <c r="L163" s="40">
        <v>0</v>
      </c>
      <c r="M163" s="30">
        <f>Tabla2757[[#This Row],[Precio por hora]]*Tabla2757[[#This Row],[Cantidad horas]]</f>
        <v>0</v>
      </c>
      <c r="N163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164" spans="2:14" x14ac:dyDescent="0.3">
      <c r="B164" s="28"/>
      <c r="C164" s="20"/>
      <c r="E164" s="136"/>
      <c r="F164" s="177">
        <f>_xlfn.XLOOKUP(Tabla2757[[#This Row],[Tipo de venta]],Tabla2329[Tipo de venta],Tabla2329[Moneda final], "Error - Seleccionar Tipo de Venta", 0,1)</f>
        <v>0</v>
      </c>
      <c r="G164" s="178"/>
      <c r="H164" s="21"/>
      <c r="I164" s="30">
        <f>_xlfn.XLOOKUP(Tabla2757[[#This Row],[Puesto Encargado]], Tabla9[Puesto], Tabla9[Precio cliente],0,1,1)</f>
        <v>0</v>
      </c>
      <c r="J164" s="30">
        <f>_xlfn.XLOOKUP(Tabla2757[[#This Row],[Cargo]], Tabla958[Cargos], Tabla958[Ponderador Precio],0,1,1)</f>
        <v>0</v>
      </c>
      <c r="K164" s="30">
        <f>Tabla2757[[#This Row],[Precio por hora UF]]*Tabla2757[[#This Row],[Ponderador]]</f>
        <v>0</v>
      </c>
      <c r="L164" s="40">
        <v>0</v>
      </c>
      <c r="M164" s="30">
        <f>Tabla2757[[#This Row],[Precio por hora]]*Tabla2757[[#This Row],[Cantidad horas]]</f>
        <v>0</v>
      </c>
      <c r="N164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165" spans="2:14" x14ac:dyDescent="0.3">
      <c r="B165" s="28"/>
      <c r="C165" s="20"/>
      <c r="E165" s="136"/>
      <c r="F165" s="177">
        <f>_xlfn.XLOOKUP(Tabla2757[[#This Row],[Tipo de venta]],Tabla2329[Tipo de venta],Tabla2329[Moneda final], "Error - Seleccionar Tipo de Venta", 0,1)</f>
        <v>0</v>
      </c>
      <c r="G165" s="178"/>
      <c r="H165" s="21"/>
      <c r="I165" s="30">
        <f>_xlfn.XLOOKUP(Tabla2757[[#This Row],[Puesto Encargado]], Tabla9[Puesto], Tabla9[Precio cliente],0,1,1)</f>
        <v>0</v>
      </c>
      <c r="J165" s="30">
        <f>_xlfn.XLOOKUP(Tabla2757[[#This Row],[Cargo]], Tabla958[Cargos], Tabla958[Ponderador Precio],0,1,1)</f>
        <v>0</v>
      </c>
      <c r="K165" s="30">
        <f>Tabla2757[[#This Row],[Precio por hora UF]]*Tabla2757[[#This Row],[Ponderador]]</f>
        <v>0</v>
      </c>
      <c r="L165" s="40">
        <v>0</v>
      </c>
      <c r="M165" s="30">
        <f>Tabla2757[[#This Row],[Precio por hora]]*Tabla2757[[#This Row],[Cantidad horas]]</f>
        <v>0</v>
      </c>
      <c r="N165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166" spans="2:14" x14ac:dyDescent="0.3">
      <c r="B166" s="28"/>
      <c r="C166" s="20"/>
      <c r="E166" s="136"/>
      <c r="F166" s="177">
        <f>_xlfn.XLOOKUP(Tabla2757[[#This Row],[Tipo de venta]],Tabla2329[Tipo de venta],Tabla2329[Moneda final], "Error - Seleccionar Tipo de Venta", 0,1)</f>
        <v>0</v>
      </c>
      <c r="G166" s="178"/>
      <c r="H166" s="21"/>
      <c r="I166" s="30">
        <f>_xlfn.XLOOKUP(Tabla2757[[#This Row],[Puesto Encargado]], Tabla9[Puesto], Tabla9[Precio cliente],0,1,1)</f>
        <v>0</v>
      </c>
      <c r="J166" s="30">
        <f>_xlfn.XLOOKUP(Tabla2757[[#This Row],[Cargo]], Tabla958[Cargos], Tabla958[Ponderador Precio],0,1,1)</f>
        <v>0</v>
      </c>
      <c r="K166" s="30">
        <f>Tabla2757[[#This Row],[Precio por hora UF]]*Tabla2757[[#This Row],[Ponderador]]</f>
        <v>0</v>
      </c>
      <c r="L166" s="40">
        <v>0</v>
      </c>
      <c r="M166" s="30">
        <f>Tabla2757[[#This Row],[Precio por hora]]*Tabla2757[[#This Row],[Cantidad horas]]</f>
        <v>0</v>
      </c>
      <c r="N166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167" spans="2:14" x14ac:dyDescent="0.3">
      <c r="B167" s="28"/>
      <c r="C167" s="20"/>
      <c r="E167" s="136"/>
      <c r="F167" s="177">
        <f>_xlfn.XLOOKUP(Tabla2757[[#This Row],[Tipo de venta]],Tabla2329[Tipo de venta],Tabla2329[Moneda final], "Error - Seleccionar Tipo de Venta", 0,1)</f>
        <v>0</v>
      </c>
      <c r="G167" s="178"/>
      <c r="H167" s="21"/>
      <c r="I167" s="30">
        <f>_xlfn.XLOOKUP(Tabla2757[[#This Row],[Puesto Encargado]], Tabla9[Puesto], Tabla9[Precio cliente],0,1,1)</f>
        <v>0</v>
      </c>
      <c r="J167" s="30">
        <f>_xlfn.XLOOKUP(Tabla2757[[#This Row],[Cargo]], Tabla958[Cargos], Tabla958[Ponderador Precio],0,1,1)</f>
        <v>0</v>
      </c>
      <c r="K167" s="30">
        <f>Tabla2757[[#This Row],[Precio por hora UF]]*Tabla2757[[#This Row],[Ponderador]]</f>
        <v>0</v>
      </c>
      <c r="L167" s="40">
        <v>0</v>
      </c>
      <c r="M167" s="30">
        <f>Tabla2757[[#This Row],[Precio por hora]]*Tabla2757[[#This Row],[Cantidad horas]]</f>
        <v>0</v>
      </c>
      <c r="N167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168" spans="2:14" x14ac:dyDescent="0.3">
      <c r="B168" s="28"/>
      <c r="C168" s="20"/>
      <c r="E168" s="136"/>
      <c r="F168" s="177">
        <f>_xlfn.XLOOKUP(Tabla2757[[#This Row],[Tipo de venta]],Tabla2329[Tipo de venta],Tabla2329[Moneda final], "Error - Seleccionar Tipo de Venta", 0,1)</f>
        <v>0</v>
      </c>
      <c r="G168" s="178"/>
      <c r="H168" s="21"/>
      <c r="I168" s="30">
        <f>_xlfn.XLOOKUP(Tabla2757[[#This Row],[Puesto Encargado]], Tabla9[Puesto], Tabla9[Precio cliente],0,1,1)</f>
        <v>0</v>
      </c>
      <c r="J168" s="30">
        <f>_xlfn.XLOOKUP(Tabla2757[[#This Row],[Cargo]], Tabla958[Cargos], Tabla958[Ponderador Precio],0,1,1)</f>
        <v>0</v>
      </c>
      <c r="K168" s="30">
        <f>Tabla2757[[#This Row],[Precio por hora UF]]*Tabla2757[[#This Row],[Ponderador]]</f>
        <v>0</v>
      </c>
      <c r="L168" s="40">
        <v>0</v>
      </c>
      <c r="M168" s="30">
        <f>Tabla2757[[#This Row],[Precio por hora]]*Tabla2757[[#This Row],[Cantidad horas]]</f>
        <v>0</v>
      </c>
      <c r="N168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169" spans="2:14" x14ac:dyDescent="0.3">
      <c r="B169" s="28"/>
      <c r="C169" s="20"/>
      <c r="E169" s="136"/>
      <c r="F169" s="177">
        <f>_xlfn.XLOOKUP(Tabla2757[[#This Row],[Tipo de venta]],Tabla2329[Tipo de venta],Tabla2329[Moneda final], "Error - Seleccionar Tipo de Venta", 0,1)</f>
        <v>0</v>
      </c>
      <c r="G169" s="178"/>
      <c r="H169" s="21"/>
      <c r="I169" s="30">
        <f>_xlfn.XLOOKUP(Tabla2757[[#This Row],[Puesto Encargado]], Tabla9[Puesto], Tabla9[Precio cliente],0,1,1)</f>
        <v>0</v>
      </c>
      <c r="J169" s="30">
        <f>_xlfn.XLOOKUP(Tabla2757[[#This Row],[Cargo]], Tabla958[Cargos], Tabla958[Ponderador Precio],0,1,1)</f>
        <v>0</v>
      </c>
      <c r="K169" s="30">
        <f>Tabla2757[[#This Row],[Precio por hora UF]]*Tabla2757[[#This Row],[Ponderador]]</f>
        <v>0</v>
      </c>
      <c r="L169" s="40">
        <v>0</v>
      </c>
      <c r="M169" s="30">
        <f>Tabla2757[[#This Row],[Precio por hora]]*Tabla2757[[#This Row],[Cantidad horas]]</f>
        <v>0</v>
      </c>
      <c r="N169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170" spans="2:14" x14ac:dyDescent="0.3">
      <c r="B170" s="28"/>
      <c r="C170" s="20"/>
      <c r="E170" s="136"/>
      <c r="F170" s="177">
        <f>_xlfn.XLOOKUP(Tabla2757[[#This Row],[Tipo de venta]],Tabla2329[Tipo de venta],Tabla2329[Moneda final], "Error - Seleccionar Tipo de Venta", 0,1)</f>
        <v>0</v>
      </c>
      <c r="G170" s="178"/>
      <c r="H170" s="21"/>
      <c r="I170" s="30">
        <f>_xlfn.XLOOKUP(Tabla2757[[#This Row],[Puesto Encargado]], Tabla9[Puesto], Tabla9[Precio cliente],0,1,1)</f>
        <v>0</v>
      </c>
      <c r="J170" s="30">
        <f>_xlfn.XLOOKUP(Tabla2757[[#This Row],[Cargo]], Tabla958[Cargos], Tabla958[Ponderador Precio],0,1,1)</f>
        <v>0</v>
      </c>
      <c r="K170" s="30">
        <f>Tabla2757[[#This Row],[Precio por hora UF]]*Tabla2757[[#This Row],[Ponderador]]</f>
        <v>0</v>
      </c>
      <c r="L170" s="40">
        <v>0</v>
      </c>
      <c r="M170" s="30">
        <f>Tabla2757[[#This Row],[Precio por hora]]*Tabla2757[[#This Row],[Cantidad horas]]</f>
        <v>0</v>
      </c>
      <c r="N170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171" spans="2:14" x14ac:dyDescent="0.3">
      <c r="B171" s="28"/>
      <c r="C171" s="20"/>
      <c r="E171" s="136"/>
      <c r="F171" s="177">
        <f>_xlfn.XLOOKUP(Tabla2757[[#This Row],[Tipo de venta]],Tabla2329[Tipo de venta],Tabla2329[Moneda final], "Error - Seleccionar Tipo de Venta", 0,1)</f>
        <v>0</v>
      </c>
      <c r="G171" s="178"/>
      <c r="H171" s="21"/>
      <c r="I171" s="30">
        <f>_xlfn.XLOOKUP(Tabla2757[[#This Row],[Puesto Encargado]], Tabla9[Puesto], Tabla9[Precio cliente],0,1,1)</f>
        <v>0</v>
      </c>
      <c r="J171" s="30">
        <f>_xlfn.XLOOKUP(Tabla2757[[#This Row],[Cargo]], Tabla958[Cargos], Tabla958[Ponderador Precio],0,1,1)</f>
        <v>0</v>
      </c>
      <c r="K171" s="30">
        <f>Tabla2757[[#This Row],[Precio por hora UF]]*Tabla2757[[#This Row],[Ponderador]]</f>
        <v>0</v>
      </c>
      <c r="L171" s="40">
        <v>0</v>
      </c>
      <c r="M171" s="30">
        <f>Tabla2757[[#This Row],[Precio por hora]]*Tabla2757[[#This Row],[Cantidad horas]]</f>
        <v>0</v>
      </c>
      <c r="N171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172" spans="2:14" x14ac:dyDescent="0.3">
      <c r="B172" s="28"/>
      <c r="C172" s="20"/>
      <c r="E172" s="136"/>
      <c r="F172" s="177">
        <f>_xlfn.XLOOKUP(Tabla2757[[#This Row],[Tipo de venta]],Tabla2329[Tipo de venta],Tabla2329[Moneda final], "Error - Seleccionar Tipo de Venta", 0,1)</f>
        <v>0</v>
      </c>
      <c r="G172" s="178"/>
      <c r="H172" s="21"/>
      <c r="I172" s="30">
        <f>_xlfn.XLOOKUP(Tabla2757[[#This Row],[Puesto Encargado]], Tabla9[Puesto], Tabla9[Precio cliente],0,1,1)</f>
        <v>0</v>
      </c>
      <c r="J172" s="30">
        <f>_xlfn.XLOOKUP(Tabla2757[[#This Row],[Cargo]], Tabla958[Cargos], Tabla958[Ponderador Precio],0,1,1)</f>
        <v>0</v>
      </c>
      <c r="K172" s="30">
        <f>Tabla2757[[#This Row],[Precio por hora UF]]*Tabla2757[[#This Row],[Ponderador]]</f>
        <v>0</v>
      </c>
      <c r="L172" s="40">
        <v>0</v>
      </c>
      <c r="M172" s="30">
        <f>Tabla2757[[#This Row],[Precio por hora]]*Tabla2757[[#This Row],[Cantidad horas]]</f>
        <v>0</v>
      </c>
      <c r="N172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173" spans="2:14" x14ac:dyDescent="0.3">
      <c r="B173" s="28"/>
      <c r="C173" s="20"/>
      <c r="E173" s="136"/>
      <c r="F173" s="177">
        <f>_xlfn.XLOOKUP(Tabla2757[[#This Row],[Tipo de venta]],Tabla2329[Tipo de venta],Tabla2329[Moneda final], "Error - Seleccionar Tipo de Venta", 0,1)</f>
        <v>0</v>
      </c>
      <c r="G173" s="178"/>
      <c r="H173" s="21"/>
      <c r="I173" s="30">
        <f>_xlfn.XLOOKUP(Tabla2757[[#This Row],[Puesto Encargado]], Tabla9[Puesto], Tabla9[Precio cliente],0,1,1)</f>
        <v>0</v>
      </c>
      <c r="J173" s="30">
        <f>_xlfn.XLOOKUP(Tabla2757[[#This Row],[Cargo]], Tabla958[Cargos], Tabla958[Ponderador Precio],0,1,1)</f>
        <v>0</v>
      </c>
      <c r="K173" s="30">
        <f>Tabla2757[[#This Row],[Precio por hora UF]]*Tabla2757[[#This Row],[Ponderador]]</f>
        <v>0</v>
      </c>
      <c r="L173" s="40">
        <v>0</v>
      </c>
      <c r="M173" s="30">
        <f>Tabla2757[[#This Row],[Precio por hora]]*Tabla2757[[#This Row],[Cantidad horas]]</f>
        <v>0</v>
      </c>
      <c r="N173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174" spans="2:14" x14ac:dyDescent="0.3">
      <c r="B174" s="28"/>
      <c r="C174" s="20"/>
      <c r="E174" s="136"/>
      <c r="F174" s="177">
        <f>_xlfn.XLOOKUP(Tabla2757[[#This Row],[Tipo de venta]],Tabla2329[Tipo de venta],Tabla2329[Moneda final], "Error - Seleccionar Tipo de Venta", 0,1)</f>
        <v>0</v>
      </c>
      <c r="G174" s="178"/>
      <c r="H174" s="21"/>
      <c r="I174" s="30">
        <f>_xlfn.XLOOKUP(Tabla2757[[#This Row],[Puesto Encargado]], Tabla9[Puesto], Tabla9[Precio cliente],0,1,1)</f>
        <v>0</v>
      </c>
      <c r="J174" s="30">
        <f>_xlfn.XLOOKUP(Tabla2757[[#This Row],[Cargo]], Tabla958[Cargos], Tabla958[Ponderador Precio],0,1,1)</f>
        <v>0</v>
      </c>
      <c r="K174" s="30">
        <f>Tabla2757[[#This Row],[Precio por hora UF]]*Tabla2757[[#This Row],[Ponderador]]</f>
        <v>0</v>
      </c>
      <c r="L174" s="40">
        <v>0</v>
      </c>
      <c r="M174" s="30">
        <f>Tabla2757[[#This Row],[Precio por hora]]*Tabla2757[[#This Row],[Cantidad horas]]</f>
        <v>0</v>
      </c>
      <c r="N174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175" spans="2:14" x14ac:dyDescent="0.3">
      <c r="B175" s="28"/>
      <c r="C175" s="20"/>
      <c r="E175" s="136"/>
      <c r="F175" s="177">
        <f>_xlfn.XLOOKUP(Tabla2757[[#This Row],[Tipo de venta]],Tabla2329[Tipo de venta],Tabla2329[Moneda final], "Error - Seleccionar Tipo de Venta", 0,1)</f>
        <v>0</v>
      </c>
      <c r="G175" s="178"/>
      <c r="H175" s="21"/>
      <c r="I175" s="30">
        <f>_xlfn.XLOOKUP(Tabla2757[[#This Row],[Puesto Encargado]], Tabla9[Puesto], Tabla9[Precio cliente],0,1,1)</f>
        <v>0</v>
      </c>
      <c r="J175" s="30">
        <f>_xlfn.XLOOKUP(Tabla2757[[#This Row],[Cargo]], Tabla958[Cargos], Tabla958[Ponderador Precio],0,1,1)</f>
        <v>0</v>
      </c>
      <c r="K175" s="30">
        <f>Tabla2757[[#This Row],[Precio por hora UF]]*Tabla2757[[#This Row],[Ponderador]]</f>
        <v>0</v>
      </c>
      <c r="L175" s="40">
        <v>0</v>
      </c>
      <c r="M175" s="30">
        <f>Tabla2757[[#This Row],[Precio por hora]]*Tabla2757[[#This Row],[Cantidad horas]]</f>
        <v>0</v>
      </c>
      <c r="N175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176" spans="2:14" x14ac:dyDescent="0.3">
      <c r="B176" s="28"/>
      <c r="C176" s="20"/>
      <c r="E176" s="136"/>
      <c r="F176" s="177">
        <f>_xlfn.XLOOKUP(Tabla2757[[#This Row],[Tipo de venta]],Tabla2329[Tipo de venta],Tabla2329[Moneda final], "Error - Seleccionar Tipo de Venta", 0,1)</f>
        <v>0</v>
      </c>
      <c r="G176" s="178"/>
      <c r="H176" s="21"/>
      <c r="I176" s="30">
        <f>_xlfn.XLOOKUP(Tabla2757[[#This Row],[Puesto Encargado]], Tabla9[Puesto], Tabla9[Precio cliente],0,1,1)</f>
        <v>0</v>
      </c>
      <c r="J176" s="30">
        <f>_xlfn.XLOOKUP(Tabla2757[[#This Row],[Cargo]], Tabla958[Cargos], Tabla958[Ponderador Precio],0,1,1)</f>
        <v>0</v>
      </c>
      <c r="K176" s="30">
        <f>Tabla2757[[#This Row],[Precio por hora UF]]*Tabla2757[[#This Row],[Ponderador]]</f>
        <v>0</v>
      </c>
      <c r="L176" s="40">
        <v>0</v>
      </c>
      <c r="M176" s="30">
        <f>Tabla2757[[#This Row],[Precio por hora]]*Tabla2757[[#This Row],[Cantidad horas]]</f>
        <v>0</v>
      </c>
      <c r="N176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177" spans="2:14" x14ac:dyDescent="0.3">
      <c r="B177" s="28"/>
      <c r="C177" s="20"/>
      <c r="E177" s="136"/>
      <c r="F177" s="177">
        <f>_xlfn.XLOOKUP(Tabla2757[[#This Row],[Tipo de venta]],Tabla2329[Tipo de venta],Tabla2329[Moneda final], "Error - Seleccionar Tipo de Venta", 0,1)</f>
        <v>0</v>
      </c>
      <c r="G177" s="178"/>
      <c r="H177" s="21"/>
      <c r="I177" s="30">
        <f>_xlfn.XLOOKUP(Tabla2757[[#This Row],[Puesto Encargado]], Tabla9[Puesto], Tabla9[Precio cliente],0,1,1)</f>
        <v>0</v>
      </c>
      <c r="J177" s="30">
        <f>_xlfn.XLOOKUP(Tabla2757[[#This Row],[Cargo]], Tabla958[Cargos], Tabla958[Ponderador Precio],0,1,1)</f>
        <v>0</v>
      </c>
      <c r="K177" s="30">
        <f>Tabla2757[[#This Row],[Precio por hora UF]]*Tabla2757[[#This Row],[Ponderador]]</f>
        <v>0</v>
      </c>
      <c r="L177" s="40">
        <v>0</v>
      </c>
      <c r="M177" s="30">
        <f>Tabla2757[[#This Row],[Precio por hora]]*Tabla2757[[#This Row],[Cantidad horas]]</f>
        <v>0</v>
      </c>
      <c r="N177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178" spans="2:14" x14ac:dyDescent="0.3">
      <c r="B178" s="28"/>
      <c r="C178" s="20"/>
      <c r="E178" s="136"/>
      <c r="F178" s="177">
        <f>_xlfn.XLOOKUP(Tabla2757[[#This Row],[Tipo de venta]],Tabla2329[Tipo de venta],Tabla2329[Moneda final], "Error - Seleccionar Tipo de Venta", 0,1)</f>
        <v>0</v>
      </c>
      <c r="G178" s="178"/>
      <c r="H178" s="21"/>
      <c r="I178" s="30">
        <f>_xlfn.XLOOKUP(Tabla2757[[#This Row],[Puesto Encargado]], Tabla9[Puesto], Tabla9[Precio cliente],0,1,1)</f>
        <v>0</v>
      </c>
      <c r="J178" s="30">
        <f>_xlfn.XLOOKUP(Tabla2757[[#This Row],[Cargo]], Tabla958[Cargos], Tabla958[Ponderador Precio],0,1,1)</f>
        <v>0</v>
      </c>
      <c r="K178" s="30">
        <f>Tabla2757[[#This Row],[Precio por hora UF]]*Tabla2757[[#This Row],[Ponderador]]</f>
        <v>0</v>
      </c>
      <c r="L178" s="40">
        <v>0</v>
      </c>
      <c r="M178" s="30">
        <f>Tabla2757[[#This Row],[Precio por hora]]*Tabla2757[[#This Row],[Cantidad horas]]</f>
        <v>0</v>
      </c>
      <c r="N178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179" spans="2:14" x14ac:dyDescent="0.3">
      <c r="B179" s="28"/>
      <c r="C179" s="20"/>
      <c r="E179" s="136"/>
      <c r="F179" s="177">
        <f>_xlfn.XLOOKUP(Tabla2757[[#This Row],[Tipo de venta]],Tabla2329[Tipo de venta],Tabla2329[Moneda final], "Error - Seleccionar Tipo de Venta", 0,1)</f>
        <v>0</v>
      </c>
      <c r="G179" s="178"/>
      <c r="H179" s="21"/>
      <c r="I179" s="30">
        <f>_xlfn.XLOOKUP(Tabla2757[[#This Row],[Puesto Encargado]], Tabla9[Puesto], Tabla9[Precio cliente],0,1,1)</f>
        <v>0</v>
      </c>
      <c r="J179" s="30">
        <f>_xlfn.XLOOKUP(Tabla2757[[#This Row],[Cargo]], Tabla958[Cargos], Tabla958[Ponderador Precio],0,1,1)</f>
        <v>0</v>
      </c>
      <c r="K179" s="30">
        <f>Tabla2757[[#This Row],[Precio por hora UF]]*Tabla2757[[#This Row],[Ponderador]]</f>
        <v>0</v>
      </c>
      <c r="L179" s="40">
        <v>0</v>
      </c>
      <c r="M179" s="30">
        <f>Tabla2757[[#This Row],[Precio por hora]]*Tabla2757[[#This Row],[Cantidad horas]]</f>
        <v>0</v>
      </c>
      <c r="N179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180" spans="2:14" x14ac:dyDescent="0.3">
      <c r="B180" s="28"/>
      <c r="C180" s="20"/>
      <c r="E180" s="136"/>
      <c r="F180" s="177">
        <f>_xlfn.XLOOKUP(Tabla2757[[#This Row],[Tipo de venta]],Tabla2329[Tipo de venta],Tabla2329[Moneda final], "Error - Seleccionar Tipo de Venta", 0,1)</f>
        <v>0</v>
      </c>
      <c r="G180" s="178"/>
      <c r="H180" s="21"/>
      <c r="I180" s="30">
        <f>_xlfn.XLOOKUP(Tabla2757[[#This Row],[Puesto Encargado]], Tabla9[Puesto], Tabla9[Precio cliente],0,1,1)</f>
        <v>0</v>
      </c>
      <c r="J180" s="30">
        <f>_xlfn.XLOOKUP(Tabla2757[[#This Row],[Cargo]], Tabla958[Cargos], Tabla958[Ponderador Precio],0,1,1)</f>
        <v>0</v>
      </c>
      <c r="K180" s="30">
        <f>Tabla2757[[#This Row],[Precio por hora UF]]*Tabla2757[[#This Row],[Ponderador]]</f>
        <v>0</v>
      </c>
      <c r="L180" s="40">
        <v>0</v>
      </c>
      <c r="M180" s="30">
        <f>Tabla2757[[#This Row],[Precio por hora]]*Tabla2757[[#This Row],[Cantidad horas]]</f>
        <v>0</v>
      </c>
      <c r="N180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181" spans="2:14" x14ac:dyDescent="0.3">
      <c r="B181" s="28"/>
      <c r="C181" s="20"/>
      <c r="E181" s="136"/>
      <c r="F181" s="177">
        <f>_xlfn.XLOOKUP(Tabla2757[[#This Row],[Tipo de venta]],Tabla2329[Tipo de venta],Tabla2329[Moneda final], "Error - Seleccionar Tipo de Venta", 0,1)</f>
        <v>0</v>
      </c>
      <c r="G181" s="178"/>
      <c r="H181" s="21"/>
      <c r="I181" s="30">
        <f>_xlfn.XLOOKUP(Tabla2757[[#This Row],[Puesto Encargado]], Tabla9[Puesto], Tabla9[Precio cliente],0,1,1)</f>
        <v>0</v>
      </c>
      <c r="J181" s="30">
        <f>_xlfn.XLOOKUP(Tabla2757[[#This Row],[Cargo]], Tabla958[Cargos], Tabla958[Ponderador Precio],0,1,1)</f>
        <v>0</v>
      </c>
      <c r="K181" s="30">
        <f>Tabla2757[[#This Row],[Precio por hora UF]]*Tabla2757[[#This Row],[Ponderador]]</f>
        <v>0</v>
      </c>
      <c r="L181" s="40">
        <v>0</v>
      </c>
      <c r="M181" s="30">
        <f>Tabla2757[[#This Row],[Precio por hora]]*Tabla2757[[#This Row],[Cantidad horas]]</f>
        <v>0</v>
      </c>
      <c r="N181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182" spans="2:14" x14ac:dyDescent="0.3">
      <c r="B182" s="28"/>
      <c r="C182" s="20"/>
      <c r="E182" s="136"/>
      <c r="F182" s="177">
        <f>_xlfn.XLOOKUP(Tabla2757[[#This Row],[Tipo de venta]],Tabla2329[Tipo de venta],Tabla2329[Moneda final], "Error - Seleccionar Tipo de Venta", 0,1)</f>
        <v>0</v>
      </c>
      <c r="G182" s="178"/>
      <c r="H182" s="21"/>
      <c r="I182" s="30">
        <f>_xlfn.XLOOKUP(Tabla2757[[#This Row],[Puesto Encargado]], Tabla9[Puesto], Tabla9[Precio cliente],0,1,1)</f>
        <v>0</v>
      </c>
      <c r="J182" s="30">
        <f>_xlfn.XLOOKUP(Tabla2757[[#This Row],[Cargo]], Tabla958[Cargos], Tabla958[Ponderador Precio],0,1,1)</f>
        <v>0</v>
      </c>
      <c r="K182" s="30">
        <f>Tabla2757[[#This Row],[Precio por hora UF]]*Tabla2757[[#This Row],[Ponderador]]</f>
        <v>0</v>
      </c>
      <c r="L182" s="40">
        <v>0</v>
      </c>
      <c r="M182" s="30">
        <f>Tabla2757[[#This Row],[Precio por hora]]*Tabla2757[[#This Row],[Cantidad horas]]</f>
        <v>0</v>
      </c>
      <c r="N182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183" spans="2:14" x14ac:dyDescent="0.3">
      <c r="B183" s="28"/>
      <c r="C183" s="20"/>
      <c r="E183" s="136"/>
      <c r="F183" s="177">
        <f>_xlfn.XLOOKUP(Tabla2757[[#This Row],[Tipo de venta]],Tabla2329[Tipo de venta],Tabla2329[Moneda final], "Error - Seleccionar Tipo de Venta", 0,1)</f>
        <v>0</v>
      </c>
      <c r="G183" s="178"/>
      <c r="H183" s="21"/>
      <c r="I183" s="30">
        <f>_xlfn.XLOOKUP(Tabla2757[[#This Row],[Puesto Encargado]], Tabla9[Puesto], Tabla9[Precio cliente],0,1,1)</f>
        <v>0</v>
      </c>
      <c r="J183" s="30">
        <f>_xlfn.XLOOKUP(Tabla2757[[#This Row],[Cargo]], Tabla958[Cargos], Tabla958[Ponderador Precio],0,1,1)</f>
        <v>0</v>
      </c>
      <c r="K183" s="30">
        <f>Tabla2757[[#This Row],[Precio por hora UF]]*Tabla2757[[#This Row],[Ponderador]]</f>
        <v>0</v>
      </c>
      <c r="L183" s="40">
        <v>0</v>
      </c>
      <c r="M183" s="30">
        <f>Tabla2757[[#This Row],[Precio por hora]]*Tabla2757[[#This Row],[Cantidad horas]]</f>
        <v>0</v>
      </c>
      <c r="N183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184" spans="2:14" x14ac:dyDescent="0.3">
      <c r="B184" s="28"/>
      <c r="C184" s="20"/>
      <c r="E184" s="136"/>
      <c r="F184" s="177">
        <f>_xlfn.XLOOKUP(Tabla2757[[#This Row],[Tipo de venta]],Tabla2329[Tipo de venta],Tabla2329[Moneda final], "Error - Seleccionar Tipo de Venta", 0,1)</f>
        <v>0</v>
      </c>
      <c r="G184" s="178"/>
      <c r="H184" s="21"/>
      <c r="I184" s="30">
        <f>_xlfn.XLOOKUP(Tabla2757[[#This Row],[Puesto Encargado]], Tabla9[Puesto], Tabla9[Precio cliente],0,1,1)</f>
        <v>0</v>
      </c>
      <c r="J184" s="30">
        <f>_xlfn.XLOOKUP(Tabla2757[[#This Row],[Cargo]], Tabla958[Cargos], Tabla958[Ponderador Precio],0,1,1)</f>
        <v>0</v>
      </c>
      <c r="K184" s="30">
        <f>Tabla2757[[#This Row],[Precio por hora UF]]*Tabla2757[[#This Row],[Ponderador]]</f>
        <v>0</v>
      </c>
      <c r="L184" s="40">
        <v>0</v>
      </c>
      <c r="M184" s="30">
        <f>Tabla2757[[#This Row],[Precio por hora]]*Tabla2757[[#This Row],[Cantidad horas]]</f>
        <v>0</v>
      </c>
      <c r="N184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185" spans="2:14" x14ac:dyDescent="0.3">
      <c r="B185" s="28"/>
      <c r="C185" s="20"/>
      <c r="E185" s="136"/>
      <c r="F185" s="177">
        <f>_xlfn.XLOOKUP(Tabla2757[[#This Row],[Tipo de venta]],Tabla2329[Tipo de venta],Tabla2329[Moneda final], "Error - Seleccionar Tipo de Venta", 0,1)</f>
        <v>0</v>
      </c>
      <c r="G185" s="178"/>
      <c r="H185" s="21"/>
      <c r="I185" s="30">
        <f>_xlfn.XLOOKUP(Tabla2757[[#This Row],[Puesto Encargado]], Tabla9[Puesto], Tabla9[Precio cliente],0,1,1)</f>
        <v>0</v>
      </c>
      <c r="J185" s="30">
        <f>_xlfn.XLOOKUP(Tabla2757[[#This Row],[Cargo]], Tabla958[Cargos], Tabla958[Ponderador Precio],0,1,1)</f>
        <v>0</v>
      </c>
      <c r="K185" s="30">
        <f>Tabla2757[[#This Row],[Precio por hora UF]]*Tabla2757[[#This Row],[Ponderador]]</f>
        <v>0</v>
      </c>
      <c r="L185" s="40">
        <v>0</v>
      </c>
      <c r="M185" s="30">
        <f>Tabla2757[[#This Row],[Precio por hora]]*Tabla2757[[#This Row],[Cantidad horas]]</f>
        <v>0</v>
      </c>
      <c r="N185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186" spans="2:14" x14ac:dyDescent="0.3">
      <c r="B186" s="28"/>
      <c r="C186" s="20"/>
      <c r="E186" s="136"/>
      <c r="F186" s="177">
        <f>_xlfn.XLOOKUP(Tabla2757[[#This Row],[Tipo de venta]],Tabla2329[Tipo de venta],Tabla2329[Moneda final], "Error - Seleccionar Tipo de Venta", 0,1)</f>
        <v>0</v>
      </c>
      <c r="G186" s="178"/>
      <c r="H186" s="21"/>
      <c r="I186" s="30">
        <f>_xlfn.XLOOKUP(Tabla2757[[#This Row],[Puesto Encargado]], Tabla9[Puesto], Tabla9[Precio cliente],0,1,1)</f>
        <v>0</v>
      </c>
      <c r="J186" s="30">
        <f>_xlfn.XLOOKUP(Tabla2757[[#This Row],[Cargo]], Tabla958[Cargos], Tabla958[Ponderador Precio],0,1,1)</f>
        <v>0</v>
      </c>
      <c r="K186" s="30">
        <f>Tabla2757[[#This Row],[Precio por hora UF]]*Tabla2757[[#This Row],[Ponderador]]</f>
        <v>0</v>
      </c>
      <c r="L186" s="40">
        <v>0</v>
      </c>
      <c r="M186" s="30">
        <f>Tabla2757[[#This Row],[Precio por hora]]*Tabla2757[[#This Row],[Cantidad horas]]</f>
        <v>0</v>
      </c>
      <c r="N186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187" spans="2:14" x14ac:dyDescent="0.3">
      <c r="B187" s="28"/>
      <c r="C187" s="20"/>
      <c r="E187" s="136"/>
      <c r="F187" s="177">
        <f>_xlfn.XLOOKUP(Tabla2757[[#This Row],[Tipo de venta]],Tabla2329[Tipo de venta],Tabla2329[Moneda final], "Error - Seleccionar Tipo de Venta", 0,1)</f>
        <v>0</v>
      </c>
      <c r="G187" s="178"/>
      <c r="H187" s="21"/>
      <c r="I187" s="30">
        <f>_xlfn.XLOOKUP(Tabla2757[[#This Row],[Puesto Encargado]], Tabla9[Puesto], Tabla9[Precio cliente],0,1,1)</f>
        <v>0</v>
      </c>
      <c r="J187" s="30">
        <f>_xlfn.XLOOKUP(Tabla2757[[#This Row],[Cargo]], Tabla958[Cargos], Tabla958[Ponderador Precio],0,1,1)</f>
        <v>0</v>
      </c>
      <c r="K187" s="30">
        <f>Tabla2757[[#This Row],[Precio por hora UF]]*Tabla2757[[#This Row],[Ponderador]]</f>
        <v>0</v>
      </c>
      <c r="L187" s="40">
        <v>0</v>
      </c>
      <c r="M187" s="30">
        <f>Tabla2757[[#This Row],[Precio por hora]]*Tabla2757[[#This Row],[Cantidad horas]]</f>
        <v>0</v>
      </c>
      <c r="N187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188" spans="2:14" x14ac:dyDescent="0.3">
      <c r="B188" s="28"/>
      <c r="C188" s="20"/>
      <c r="E188" s="136"/>
      <c r="F188" s="177">
        <f>_xlfn.XLOOKUP(Tabla2757[[#This Row],[Tipo de venta]],Tabla2329[Tipo de venta],Tabla2329[Moneda final], "Error - Seleccionar Tipo de Venta", 0,1)</f>
        <v>0</v>
      </c>
      <c r="G188" s="178"/>
      <c r="H188" s="21"/>
      <c r="I188" s="30">
        <f>_xlfn.XLOOKUP(Tabla2757[[#This Row],[Puesto Encargado]], Tabla9[Puesto], Tabla9[Precio cliente],0,1,1)</f>
        <v>0</v>
      </c>
      <c r="J188" s="30">
        <f>_xlfn.XLOOKUP(Tabla2757[[#This Row],[Cargo]], Tabla958[Cargos], Tabla958[Ponderador Precio],0,1,1)</f>
        <v>0</v>
      </c>
      <c r="K188" s="30">
        <f>Tabla2757[[#This Row],[Precio por hora UF]]*Tabla2757[[#This Row],[Ponderador]]</f>
        <v>0</v>
      </c>
      <c r="L188" s="40">
        <v>0</v>
      </c>
      <c r="M188" s="30">
        <f>Tabla2757[[#This Row],[Precio por hora]]*Tabla2757[[#This Row],[Cantidad horas]]</f>
        <v>0</v>
      </c>
      <c r="N188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189" spans="2:14" x14ac:dyDescent="0.3">
      <c r="B189" s="28"/>
      <c r="C189" s="20"/>
      <c r="E189" s="136"/>
      <c r="F189" s="177">
        <f>_xlfn.XLOOKUP(Tabla2757[[#This Row],[Tipo de venta]],Tabla2329[Tipo de venta],Tabla2329[Moneda final], "Error - Seleccionar Tipo de Venta", 0,1)</f>
        <v>0</v>
      </c>
      <c r="G189" s="178"/>
      <c r="H189" s="21"/>
      <c r="I189" s="30">
        <f>_xlfn.XLOOKUP(Tabla2757[[#This Row],[Puesto Encargado]], Tabla9[Puesto], Tabla9[Precio cliente],0,1,1)</f>
        <v>0</v>
      </c>
      <c r="J189" s="30">
        <f>_xlfn.XLOOKUP(Tabla2757[[#This Row],[Cargo]], Tabla958[Cargos], Tabla958[Ponderador Precio],0,1,1)</f>
        <v>0</v>
      </c>
      <c r="K189" s="30">
        <f>Tabla2757[[#This Row],[Precio por hora UF]]*Tabla2757[[#This Row],[Ponderador]]</f>
        <v>0</v>
      </c>
      <c r="L189" s="40">
        <v>0</v>
      </c>
      <c r="M189" s="30">
        <f>Tabla2757[[#This Row],[Precio por hora]]*Tabla2757[[#This Row],[Cantidad horas]]</f>
        <v>0</v>
      </c>
      <c r="N189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190" spans="2:14" x14ac:dyDescent="0.3">
      <c r="B190" s="28"/>
      <c r="C190" s="20"/>
      <c r="E190" s="136"/>
      <c r="F190" s="177">
        <f>_xlfn.XLOOKUP(Tabla2757[[#This Row],[Tipo de venta]],Tabla2329[Tipo de venta],Tabla2329[Moneda final], "Error - Seleccionar Tipo de Venta", 0,1)</f>
        <v>0</v>
      </c>
      <c r="G190" s="178"/>
      <c r="H190" s="21"/>
      <c r="I190" s="30">
        <f>_xlfn.XLOOKUP(Tabla2757[[#This Row],[Puesto Encargado]], Tabla9[Puesto], Tabla9[Precio cliente],0,1,1)</f>
        <v>0</v>
      </c>
      <c r="J190" s="30">
        <f>_xlfn.XLOOKUP(Tabla2757[[#This Row],[Cargo]], Tabla958[Cargos], Tabla958[Ponderador Precio],0,1,1)</f>
        <v>0</v>
      </c>
      <c r="K190" s="30">
        <f>Tabla2757[[#This Row],[Precio por hora UF]]*Tabla2757[[#This Row],[Ponderador]]</f>
        <v>0</v>
      </c>
      <c r="L190" s="40">
        <v>0</v>
      </c>
      <c r="M190" s="30">
        <f>Tabla2757[[#This Row],[Precio por hora]]*Tabla2757[[#This Row],[Cantidad horas]]</f>
        <v>0</v>
      </c>
      <c r="N190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191" spans="2:14" x14ac:dyDescent="0.3">
      <c r="B191" s="28"/>
      <c r="C191" s="20"/>
      <c r="E191" s="136"/>
      <c r="F191" s="177">
        <f>_xlfn.XLOOKUP(Tabla2757[[#This Row],[Tipo de venta]],Tabla2329[Tipo de venta],Tabla2329[Moneda final], "Error - Seleccionar Tipo de Venta", 0,1)</f>
        <v>0</v>
      </c>
      <c r="G191" s="178"/>
      <c r="H191" s="21"/>
      <c r="I191" s="30">
        <f>_xlfn.XLOOKUP(Tabla2757[[#This Row],[Puesto Encargado]], Tabla9[Puesto], Tabla9[Precio cliente],0,1,1)</f>
        <v>0</v>
      </c>
      <c r="J191" s="30">
        <f>_xlfn.XLOOKUP(Tabla2757[[#This Row],[Cargo]], Tabla958[Cargos], Tabla958[Ponderador Precio],0,1,1)</f>
        <v>0</v>
      </c>
      <c r="K191" s="30">
        <f>Tabla2757[[#This Row],[Precio por hora UF]]*Tabla2757[[#This Row],[Ponderador]]</f>
        <v>0</v>
      </c>
      <c r="L191" s="40">
        <v>0</v>
      </c>
      <c r="M191" s="30">
        <f>Tabla2757[[#This Row],[Precio por hora]]*Tabla2757[[#This Row],[Cantidad horas]]</f>
        <v>0</v>
      </c>
      <c r="N191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192" spans="2:14" x14ac:dyDescent="0.3">
      <c r="B192" s="28"/>
      <c r="C192" s="20"/>
      <c r="E192" s="136"/>
      <c r="F192" s="177">
        <f>_xlfn.XLOOKUP(Tabla2757[[#This Row],[Tipo de venta]],Tabla2329[Tipo de venta],Tabla2329[Moneda final], "Error - Seleccionar Tipo de Venta", 0,1)</f>
        <v>0</v>
      </c>
      <c r="G192" s="178"/>
      <c r="H192" s="21"/>
      <c r="I192" s="30">
        <f>_xlfn.XLOOKUP(Tabla2757[[#This Row],[Puesto Encargado]], Tabla9[Puesto], Tabla9[Precio cliente],0,1,1)</f>
        <v>0</v>
      </c>
      <c r="J192" s="30">
        <f>_xlfn.XLOOKUP(Tabla2757[[#This Row],[Cargo]], Tabla958[Cargos], Tabla958[Ponderador Precio],0,1,1)</f>
        <v>0</v>
      </c>
      <c r="K192" s="30">
        <f>Tabla2757[[#This Row],[Precio por hora UF]]*Tabla2757[[#This Row],[Ponderador]]</f>
        <v>0</v>
      </c>
      <c r="L192" s="40">
        <v>0</v>
      </c>
      <c r="M192" s="30">
        <f>Tabla2757[[#This Row],[Precio por hora]]*Tabla2757[[#This Row],[Cantidad horas]]</f>
        <v>0</v>
      </c>
      <c r="N192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193" spans="2:14" x14ac:dyDescent="0.3">
      <c r="B193" s="28"/>
      <c r="C193" s="20"/>
      <c r="E193" s="136"/>
      <c r="F193" s="177">
        <f>_xlfn.XLOOKUP(Tabla2757[[#This Row],[Tipo de venta]],Tabla2329[Tipo de venta],Tabla2329[Moneda final], "Error - Seleccionar Tipo de Venta", 0,1)</f>
        <v>0</v>
      </c>
      <c r="G193" s="178"/>
      <c r="H193" s="21"/>
      <c r="I193" s="30">
        <f>_xlfn.XLOOKUP(Tabla2757[[#This Row],[Puesto Encargado]], Tabla9[Puesto], Tabla9[Precio cliente],0,1,1)</f>
        <v>0</v>
      </c>
      <c r="J193" s="30">
        <f>_xlfn.XLOOKUP(Tabla2757[[#This Row],[Cargo]], Tabla958[Cargos], Tabla958[Ponderador Precio],0,1,1)</f>
        <v>0</v>
      </c>
      <c r="K193" s="30">
        <f>Tabla2757[[#This Row],[Precio por hora UF]]*Tabla2757[[#This Row],[Ponderador]]</f>
        <v>0</v>
      </c>
      <c r="L193" s="40">
        <v>0</v>
      </c>
      <c r="M193" s="30">
        <f>Tabla2757[[#This Row],[Precio por hora]]*Tabla2757[[#This Row],[Cantidad horas]]</f>
        <v>0</v>
      </c>
      <c r="N193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194" spans="2:14" x14ac:dyDescent="0.3">
      <c r="B194" s="28"/>
      <c r="C194" s="20"/>
      <c r="E194" s="136"/>
      <c r="F194" s="177">
        <f>_xlfn.XLOOKUP(Tabla2757[[#This Row],[Tipo de venta]],Tabla2329[Tipo de venta],Tabla2329[Moneda final], "Error - Seleccionar Tipo de Venta", 0,1)</f>
        <v>0</v>
      </c>
      <c r="G194" s="178"/>
      <c r="H194" s="21"/>
      <c r="I194" s="30">
        <f>_xlfn.XLOOKUP(Tabla2757[[#This Row],[Puesto Encargado]], Tabla9[Puesto], Tabla9[Precio cliente],0,1,1)</f>
        <v>0</v>
      </c>
      <c r="J194" s="30">
        <f>_xlfn.XLOOKUP(Tabla2757[[#This Row],[Cargo]], Tabla958[Cargos], Tabla958[Ponderador Precio],0,1,1)</f>
        <v>0</v>
      </c>
      <c r="K194" s="30">
        <f>Tabla2757[[#This Row],[Precio por hora UF]]*Tabla2757[[#This Row],[Ponderador]]</f>
        <v>0</v>
      </c>
      <c r="L194" s="40">
        <v>0</v>
      </c>
      <c r="M194" s="30">
        <f>Tabla2757[[#This Row],[Precio por hora]]*Tabla2757[[#This Row],[Cantidad horas]]</f>
        <v>0</v>
      </c>
      <c r="N194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195" spans="2:14" x14ac:dyDescent="0.3">
      <c r="B195" s="28"/>
      <c r="C195" s="20"/>
      <c r="E195" s="136"/>
      <c r="F195" s="177">
        <f>_xlfn.XLOOKUP(Tabla2757[[#This Row],[Tipo de venta]],Tabla2329[Tipo de venta],Tabla2329[Moneda final], "Error - Seleccionar Tipo de Venta", 0,1)</f>
        <v>0</v>
      </c>
      <c r="G195" s="178"/>
      <c r="H195" s="21"/>
      <c r="I195" s="30">
        <f>_xlfn.XLOOKUP(Tabla2757[[#This Row],[Puesto Encargado]], Tabla9[Puesto], Tabla9[Precio cliente],0,1,1)</f>
        <v>0</v>
      </c>
      <c r="J195" s="30">
        <f>_xlfn.XLOOKUP(Tabla2757[[#This Row],[Cargo]], Tabla958[Cargos], Tabla958[Ponderador Precio],0,1,1)</f>
        <v>0</v>
      </c>
      <c r="K195" s="30">
        <f>Tabla2757[[#This Row],[Precio por hora UF]]*Tabla2757[[#This Row],[Ponderador]]</f>
        <v>0</v>
      </c>
      <c r="L195" s="40">
        <v>0</v>
      </c>
      <c r="M195" s="30">
        <f>Tabla2757[[#This Row],[Precio por hora]]*Tabla2757[[#This Row],[Cantidad horas]]</f>
        <v>0</v>
      </c>
      <c r="N195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196" spans="2:14" x14ac:dyDescent="0.3">
      <c r="B196" s="28"/>
      <c r="C196" s="20"/>
      <c r="E196" s="136"/>
      <c r="F196" s="177">
        <f>_xlfn.XLOOKUP(Tabla2757[[#This Row],[Tipo de venta]],Tabla2329[Tipo de venta],Tabla2329[Moneda final], "Error - Seleccionar Tipo de Venta", 0,1)</f>
        <v>0</v>
      </c>
      <c r="G196" s="178"/>
      <c r="H196" s="21"/>
      <c r="I196" s="30">
        <f>_xlfn.XLOOKUP(Tabla2757[[#This Row],[Puesto Encargado]], Tabla9[Puesto], Tabla9[Precio cliente],0,1,1)</f>
        <v>0</v>
      </c>
      <c r="J196" s="30">
        <f>_xlfn.XLOOKUP(Tabla2757[[#This Row],[Cargo]], Tabla958[Cargos], Tabla958[Ponderador Precio],0,1,1)</f>
        <v>0</v>
      </c>
      <c r="K196" s="30">
        <f>Tabla2757[[#This Row],[Precio por hora UF]]*Tabla2757[[#This Row],[Ponderador]]</f>
        <v>0</v>
      </c>
      <c r="L196" s="40">
        <v>0</v>
      </c>
      <c r="M196" s="30">
        <f>Tabla2757[[#This Row],[Precio por hora]]*Tabla2757[[#This Row],[Cantidad horas]]</f>
        <v>0</v>
      </c>
      <c r="N196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197" spans="2:14" x14ac:dyDescent="0.3">
      <c r="B197" s="28"/>
      <c r="C197" s="20"/>
      <c r="E197" s="136"/>
      <c r="F197" s="177">
        <f>_xlfn.XLOOKUP(Tabla2757[[#This Row],[Tipo de venta]],Tabla2329[Tipo de venta],Tabla2329[Moneda final], "Error - Seleccionar Tipo de Venta", 0,1)</f>
        <v>0</v>
      </c>
      <c r="G197" s="178"/>
      <c r="H197" s="21"/>
      <c r="I197" s="30">
        <f>_xlfn.XLOOKUP(Tabla2757[[#This Row],[Puesto Encargado]], Tabla9[Puesto], Tabla9[Precio cliente],0,1,1)</f>
        <v>0</v>
      </c>
      <c r="J197" s="30">
        <f>_xlfn.XLOOKUP(Tabla2757[[#This Row],[Cargo]], Tabla958[Cargos], Tabla958[Ponderador Precio],0,1,1)</f>
        <v>0</v>
      </c>
      <c r="K197" s="30">
        <f>Tabla2757[[#This Row],[Precio por hora UF]]*Tabla2757[[#This Row],[Ponderador]]</f>
        <v>0</v>
      </c>
      <c r="L197" s="40">
        <v>0</v>
      </c>
      <c r="M197" s="30">
        <f>Tabla2757[[#This Row],[Precio por hora]]*Tabla2757[[#This Row],[Cantidad horas]]</f>
        <v>0</v>
      </c>
      <c r="N197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198" spans="2:14" x14ac:dyDescent="0.3">
      <c r="B198" s="28"/>
      <c r="C198" s="20"/>
      <c r="E198" s="136"/>
      <c r="F198" s="177">
        <f>_xlfn.XLOOKUP(Tabla2757[[#This Row],[Tipo de venta]],Tabla2329[Tipo de venta],Tabla2329[Moneda final], "Error - Seleccionar Tipo de Venta", 0,1)</f>
        <v>0</v>
      </c>
      <c r="G198" s="178"/>
      <c r="H198" s="21"/>
      <c r="I198" s="30">
        <f>_xlfn.XLOOKUP(Tabla2757[[#This Row],[Puesto Encargado]], Tabla9[Puesto], Tabla9[Precio cliente],0,1,1)</f>
        <v>0</v>
      </c>
      <c r="J198" s="30">
        <f>_xlfn.XLOOKUP(Tabla2757[[#This Row],[Cargo]], Tabla958[Cargos], Tabla958[Ponderador Precio],0,1,1)</f>
        <v>0</v>
      </c>
      <c r="K198" s="30">
        <f>Tabla2757[[#This Row],[Precio por hora UF]]*Tabla2757[[#This Row],[Ponderador]]</f>
        <v>0</v>
      </c>
      <c r="L198" s="40">
        <v>0</v>
      </c>
      <c r="M198" s="30">
        <f>Tabla2757[[#This Row],[Precio por hora]]*Tabla2757[[#This Row],[Cantidad horas]]</f>
        <v>0</v>
      </c>
      <c r="N198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199" spans="2:14" x14ac:dyDescent="0.3">
      <c r="B199" s="28"/>
      <c r="C199" s="20"/>
      <c r="E199" s="136"/>
      <c r="F199" s="177">
        <f>_xlfn.XLOOKUP(Tabla2757[[#This Row],[Tipo de venta]],Tabla2329[Tipo de venta],Tabla2329[Moneda final], "Error - Seleccionar Tipo de Venta", 0,1)</f>
        <v>0</v>
      </c>
      <c r="G199" s="178"/>
      <c r="H199" s="21"/>
      <c r="I199" s="30">
        <f>_xlfn.XLOOKUP(Tabla2757[[#This Row],[Puesto Encargado]], Tabla9[Puesto], Tabla9[Precio cliente],0,1,1)</f>
        <v>0</v>
      </c>
      <c r="J199" s="30">
        <f>_xlfn.XLOOKUP(Tabla2757[[#This Row],[Cargo]], Tabla958[Cargos], Tabla958[Ponderador Precio],0,1,1)</f>
        <v>0</v>
      </c>
      <c r="K199" s="30">
        <f>Tabla2757[[#This Row],[Precio por hora UF]]*Tabla2757[[#This Row],[Ponderador]]</f>
        <v>0</v>
      </c>
      <c r="L199" s="40">
        <v>0</v>
      </c>
      <c r="M199" s="30">
        <f>Tabla2757[[#This Row],[Precio por hora]]*Tabla2757[[#This Row],[Cantidad horas]]</f>
        <v>0</v>
      </c>
      <c r="N199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200" spans="2:14" x14ac:dyDescent="0.3">
      <c r="B200" s="28"/>
      <c r="C200" s="20"/>
      <c r="E200" s="136"/>
      <c r="F200" s="177">
        <f>_xlfn.XLOOKUP(Tabla2757[[#This Row],[Tipo de venta]],Tabla2329[Tipo de venta],Tabla2329[Moneda final], "Error - Seleccionar Tipo de Venta", 0,1)</f>
        <v>0</v>
      </c>
      <c r="G200" s="178"/>
      <c r="H200" s="21"/>
      <c r="I200" s="30">
        <f>_xlfn.XLOOKUP(Tabla2757[[#This Row],[Puesto Encargado]], Tabla9[Puesto], Tabla9[Precio cliente],0,1,1)</f>
        <v>0</v>
      </c>
      <c r="J200" s="30">
        <f>_xlfn.XLOOKUP(Tabla2757[[#This Row],[Cargo]], Tabla958[Cargos], Tabla958[Ponderador Precio],0,1,1)</f>
        <v>0</v>
      </c>
      <c r="K200" s="30">
        <f>Tabla2757[[#This Row],[Precio por hora UF]]*Tabla2757[[#This Row],[Ponderador]]</f>
        <v>0</v>
      </c>
      <c r="L200" s="40">
        <v>0</v>
      </c>
      <c r="M200" s="30">
        <f>Tabla2757[[#This Row],[Precio por hora]]*Tabla2757[[#This Row],[Cantidad horas]]</f>
        <v>0</v>
      </c>
      <c r="N200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201" spans="2:14" x14ac:dyDescent="0.3">
      <c r="B201" s="28"/>
      <c r="C201" s="20"/>
      <c r="E201" s="136"/>
      <c r="F201" s="177">
        <f>_xlfn.XLOOKUP(Tabla2757[[#This Row],[Tipo de venta]],Tabla2329[Tipo de venta],Tabla2329[Moneda final], "Error - Seleccionar Tipo de Venta", 0,1)</f>
        <v>0</v>
      </c>
      <c r="G201" s="178"/>
      <c r="H201" s="21"/>
      <c r="I201" s="30">
        <f>_xlfn.XLOOKUP(Tabla2757[[#This Row],[Puesto Encargado]], Tabla9[Puesto], Tabla9[Precio cliente],0,1,1)</f>
        <v>0</v>
      </c>
      <c r="J201" s="30">
        <f>_xlfn.XLOOKUP(Tabla2757[[#This Row],[Cargo]], Tabla958[Cargos], Tabla958[Ponderador Precio],0,1,1)</f>
        <v>0</v>
      </c>
      <c r="K201" s="30">
        <f>Tabla2757[[#This Row],[Precio por hora UF]]*Tabla2757[[#This Row],[Ponderador]]</f>
        <v>0</v>
      </c>
      <c r="L201" s="40">
        <v>0</v>
      </c>
      <c r="M201" s="30">
        <f>Tabla2757[[#This Row],[Precio por hora]]*Tabla2757[[#This Row],[Cantidad horas]]</f>
        <v>0</v>
      </c>
      <c r="N201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202" spans="2:14" x14ac:dyDescent="0.3">
      <c r="B202" s="28"/>
      <c r="C202" s="20"/>
      <c r="E202" s="136"/>
      <c r="F202" s="177">
        <f>_xlfn.XLOOKUP(Tabla2757[[#This Row],[Tipo de venta]],Tabla2329[Tipo de venta],Tabla2329[Moneda final], "Error - Seleccionar Tipo de Venta", 0,1)</f>
        <v>0</v>
      </c>
      <c r="G202" s="178"/>
      <c r="H202" s="21"/>
      <c r="I202" s="30">
        <f>_xlfn.XLOOKUP(Tabla2757[[#This Row],[Puesto Encargado]], Tabla9[Puesto], Tabla9[Precio cliente],0,1,1)</f>
        <v>0</v>
      </c>
      <c r="J202" s="30">
        <f>_xlfn.XLOOKUP(Tabla2757[[#This Row],[Cargo]], Tabla958[Cargos], Tabla958[Ponderador Precio],0,1,1)</f>
        <v>0</v>
      </c>
      <c r="K202" s="30">
        <f>Tabla2757[[#This Row],[Precio por hora UF]]*Tabla2757[[#This Row],[Ponderador]]</f>
        <v>0</v>
      </c>
      <c r="L202" s="40">
        <v>0</v>
      </c>
      <c r="M202" s="30">
        <f>Tabla2757[[#This Row],[Precio por hora]]*Tabla2757[[#This Row],[Cantidad horas]]</f>
        <v>0</v>
      </c>
      <c r="N202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203" spans="2:14" x14ac:dyDescent="0.3">
      <c r="B203" s="28"/>
      <c r="C203" s="20"/>
      <c r="E203" s="136"/>
      <c r="F203" s="177">
        <f>_xlfn.XLOOKUP(Tabla2757[[#This Row],[Tipo de venta]],Tabla2329[Tipo de venta],Tabla2329[Moneda final], "Error - Seleccionar Tipo de Venta", 0,1)</f>
        <v>0</v>
      </c>
      <c r="G203" s="178"/>
      <c r="H203" s="21"/>
      <c r="I203" s="30">
        <f>_xlfn.XLOOKUP(Tabla2757[[#This Row],[Puesto Encargado]], Tabla9[Puesto], Tabla9[Precio cliente],0,1,1)</f>
        <v>0</v>
      </c>
      <c r="J203" s="30">
        <f>_xlfn.XLOOKUP(Tabla2757[[#This Row],[Cargo]], Tabla958[Cargos], Tabla958[Ponderador Precio],0,1,1)</f>
        <v>0</v>
      </c>
      <c r="K203" s="30">
        <f>Tabla2757[[#This Row],[Precio por hora UF]]*Tabla2757[[#This Row],[Ponderador]]</f>
        <v>0</v>
      </c>
      <c r="L203" s="40">
        <v>0</v>
      </c>
      <c r="M203" s="30">
        <f>Tabla2757[[#This Row],[Precio por hora]]*Tabla2757[[#This Row],[Cantidad horas]]</f>
        <v>0</v>
      </c>
      <c r="N203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204" spans="2:14" x14ac:dyDescent="0.3">
      <c r="B204" s="28"/>
      <c r="C204" s="20"/>
      <c r="E204" s="136"/>
      <c r="F204" s="177">
        <f>_xlfn.XLOOKUP(Tabla2757[[#This Row],[Tipo de venta]],Tabla2329[Tipo de venta],Tabla2329[Moneda final], "Error - Seleccionar Tipo de Venta", 0,1)</f>
        <v>0</v>
      </c>
      <c r="G204" s="178"/>
      <c r="H204" s="21"/>
      <c r="I204" s="30">
        <f>_xlfn.XLOOKUP(Tabla2757[[#This Row],[Puesto Encargado]], Tabla9[Puesto], Tabla9[Precio cliente],0,1,1)</f>
        <v>0</v>
      </c>
      <c r="J204" s="30">
        <f>_xlfn.XLOOKUP(Tabla2757[[#This Row],[Cargo]], Tabla958[Cargos], Tabla958[Ponderador Precio],0,1,1)</f>
        <v>0</v>
      </c>
      <c r="K204" s="30">
        <f>Tabla2757[[#This Row],[Precio por hora UF]]*Tabla2757[[#This Row],[Ponderador]]</f>
        <v>0</v>
      </c>
      <c r="L204" s="40">
        <v>0</v>
      </c>
      <c r="M204" s="30">
        <f>Tabla2757[[#This Row],[Precio por hora]]*Tabla2757[[#This Row],[Cantidad horas]]</f>
        <v>0</v>
      </c>
      <c r="N204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205" spans="2:14" x14ac:dyDescent="0.3">
      <c r="B205" s="28"/>
      <c r="C205" s="20"/>
      <c r="E205" s="136"/>
      <c r="F205" s="177">
        <f>_xlfn.XLOOKUP(Tabla2757[[#This Row],[Tipo de venta]],Tabla2329[Tipo de venta],Tabla2329[Moneda final], "Error - Seleccionar Tipo de Venta", 0,1)</f>
        <v>0</v>
      </c>
      <c r="G205" s="178"/>
      <c r="H205" s="21"/>
      <c r="I205" s="30">
        <f>_xlfn.XLOOKUP(Tabla2757[[#This Row],[Puesto Encargado]], Tabla9[Puesto], Tabla9[Precio cliente],0,1,1)</f>
        <v>0</v>
      </c>
      <c r="J205" s="30">
        <f>_xlfn.XLOOKUP(Tabla2757[[#This Row],[Cargo]], Tabla958[Cargos], Tabla958[Ponderador Precio],0,1,1)</f>
        <v>0</v>
      </c>
      <c r="K205" s="30">
        <f>Tabla2757[[#This Row],[Precio por hora UF]]*Tabla2757[[#This Row],[Ponderador]]</f>
        <v>0</v>
      </c>
      <c r="L205" s="40">
        <v>0</v>
      </c>
      <c r="M205" s="30">
        <f>Tabla2757[[#This Row],[Precio por hora]]*Tabla2757[[#This Row],[Cantidad horas]]</f>
        <v>0</v>
      </c>
      <c r="N205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206" spans="2:14" x14ac:dyDescent="0.3">
      <c r="B206" s="28"/>
      <c r="C206" s="20"/>
      <c r="E206" s="136"/>
      <c r="F206" s="177">
        <f>_xlfn.XLOOKUP(Tabla2757[[#This Row],[Tipo de venta]],Tabla2329[Tipo de venta],Tabla2329[Moneda final], "Error - Seleccionar Tipo de Venta", 0,1)</f>
        <v>0</v>
      </c>
      <c r="G206" s="178"/>
      <c r="H206" s="21"/>
      <c r="I206" s="30">
        <f>_xlfn.XLOOKUP(Tabla2757[[#This Row],[Puesto Encargado]], Tabla9[Puesto], Tabla9[Precio cliente],0,1,1)</f>
        <v>0</v>
      </c>
      <c r="J206" s="30">
        <f>_xlfn.XLOOKUP(Tabla2757[[#This Row],[Cargo]], Tabla958[Cargos], Tabla958[Ponderador Precio],0,1,1)</f>
        <v>0</v>
      </c>
      <c r="K206" s="30">
        <f>Tabla2757[[#This Row],[Precio por hora UF]]*Tabla2757[[#This Row],[Ponderador]]</f>
        <v>0</v>
      </c>
      <c r="L206" s="40">
        <v>0</v>
      </c>
      <c r="M206" s="30">
        <f>Tabla2757[[#This Row],[Precio por hora]]*Tabla2757[[#This Row],[Cantidad horas]]</f>
        <v>0</v>
      </c>
      <c r="N206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207" spans="2:14" x14ac:dyDescent="0.3">
      <c r="B207" s="28"/>
      <c r="C207" s="20"/>
      <c r="E207" s="136"/>
      <c r="F207" s="177">
        <f>_xlfn.XLOOKUP(Tabla2757[[#This Row],[Tipo de venta]],Tabla2329[Tipo de venta],Tabla2329[Moneda final], "Error - Seleccionar Tipo de Venta", 0,1)</f>
        <v>0</v>
      </c>
      <c r="G207" s="178"/>
      <c r="H207" s="21"/>
      <c r="I207" s="30">
        <f>_xlfn.XLOOKUP(Tabla2757[[#This Row],[Puesto Encargado]], Tabla9[Puesto], Tabla9[Precio cliente],0,1,1)</f>
        <v>0</v>
      </c>
      <c r="J207" s="30">
        <f>_xlfn.XLOOKUP(Tabla2757[[#This Row],[Cargo]], Tabla958[Cargos], Tabla958[Ponderador Precio],0,1,1)</f>
        <v>0</v>
      </c>
      <c r="K207" s="30">
        <f>Tabla2757[[#This Row],[Precio por hora UF]]*Tabla2757[[#This Row],[Ponderador]]</f>
        <v>0</v>
      </c>
      <c r="L207" s="40">
        <v>0</v>
      </c>
      <c r="M207" s="30">
        <f>Tabla2757[[#This Row],[Precio por hora]]*Tabla2757[[#This Row],[Cantidad horas]]</f>
        <v>0</v>
      </c>
      <c r="N207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208" spans="2:14" x14ac:dyDescent="0.3">
      <c r="B208" s="28"/>
      <c r="C208" s="20"/>
      <c r="E208" s="136"/>
      <c r="F208" s="177">
        <f>_xlfn.XLOOKUP(Tabla2757[[#This Row],[Tipo de venta]],Tabla2329[Tipo de venta],Tabla2329[Moneda final], "Error - Seleccionar Tipo de Venta", 0,1)</f>
        <v>0</v>
      </c>
      <c r="G208" s="178"/>
      <c r="H208" s="21"/>
      <c r="I208" s="30">
        <f>_xlfn.XLOOKUP(Tabla2757[[#This Row],[Puesto Encargado]], Tabla9[Puesto], Tabla9[Precio cliente],0,1,1)</f>
        <v>0</v>
      </c>
      <c r="J208" s="30">
        <f>_xlfn.XLOOKUP(Tabla2757[[#This Row],[Cargo]], Tabla958[Cargos], Tabla958[Ponderador Precio],0,1,1)</f>
        <v>0</v>
      </c>
      <c r="K208" s="30">
        <f>Tabla2757[[#This Row],[Precio por hora UF]]*Tabla2757[[#This Row],[Ponderador]]</f>
        <v>0</v>
      </c>
      <c r="L208" s="40">
        <v>0</v>
      </c>
      <c r="M208" s="30">
        <f>Tabla2757[[#This Row],[Precio por hora]]*Tabla2757[[#This Row],[Cantidad horas]]</f>
        <v>0</v>
      </c>
      <c r="N208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209" spans="2:14" x14ac:dyDescent="0.3">
      <c r="B209" s="28"/>
      <c r="C209" s="20"/>
      <c r="E209" s="136"/>
      <c r="F209" s="177">
        <f>_xlfn.XLOOKUP(Tabla2757[[#This Row],[Tipo de venta]],Tabla2329[Tipo de venta],Tabla2329[Moneda final], "Error - Seleccionar Tipo de Venta", 0,1)</f>
        <v>0</v>
      </c>
      <c r="G209" s="178"/>
      <c r="H209" s="21"/>
      <c r="I209" s="30">
        <f>_xlfn.XLOOKUP(Tabla2757[[#This Row],[Puesto Encargado]], Tabla9[Puesto], Tabla9[Precio cliente],0,1,1)</f>
        <v>0</v>
      </c>
      <c r="J209" s="30">
        <f>_xlfn.XLOOKUP(Tabla2757[[#This Row],[Cargo]], Tabla958[Cargos], Tabla958[Ponderador Precio],0,1,1)</f>
        <v>0</v>
      </c>
      <c r="K209" s="30">
        <f>Tabla2757[[#This Row],[Precio por hora UF]]*Tabla2757[[#This Row],[Ponderador]]</f>
        <v>0</v>
      </c>
      <c r="L209" s="40">
        <v>0</v>
      </c>
      <c r="M209" s="30">
        <f>Tabla2757[[#This Row],[Precio por hora]]*Tabla2757[[#This Row],[Cantidad horas]]</f>
        <v>0</v>
      </c>
      <c r="N209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210" spans="2:14" x14ac:dyDescent="0.3">
      <c r="B210" s="28"/>
      <c r="C210" s="20"/>
      <c r="E210" s="136"/>
      <c r="F210" s="177">
        <f>_xlfn.XLOOKUP(Tabla2757[[#This Row],[Tipo de venta]],Tabla2329[Tipo de venta],Tabla2329[Moneda final], "Error - Seleccionar Tipo de Venta", 0,1)</f>
        <v>0</v>
      </c>
      <c r="G210" s="178"/>
      <c r="H210" s="21"/>
      <c r="I210" s="30">
        <f>_xlfn.XLOOKUP(Tabla2757[[#This Row],[Puesto Encargado]], Tabla9[Puesto], Tabla9[Precio cliente],0,1,1)</f>
        <v>0</v>
      </c>
      <c r="J210" s="30">
        <f>_xlfn.XLOOKUP(Tabla2757[[#This Row],[Cargo]], Tabla958[Cargos], Tabla958[Ponderador Precio],0,1,1)</f>
        <v>0</v>
      </c>
      <c r="K210" s="30">
        <f>Tabla2757[[#This Row],[Precio por hora UF]]*Tabla2757[[#This Row],[Ponderador]]</f>
        <v>0</v>
      </c>
      <c r="L210" s="40">
        <v>0</v>
      </c>
      <c r="M210" s="30">
        <f>Tabla2757[[#This Row],[Precio por hora]]*Tabla2757[[#This Row],[Cantidad horas]]</f>
        <v>0</v>
      </c>
      <c r="N210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211" spans="2:14" x14ac:dyDescent="0.3">
      <c r="B211" s="28"/>
      <c r="C211" s="20"/>
      <c r="E211" s="136"/>
      <c r="F211" s="177">
        <f>_xlfn.XLOOKUP(Tabla2757[[#This Row],[Tipo de venta]],Tabla2329[Tipo de venta],Tabla2329[Moneda final], "Error - Seleccionar Tipo de Venta", 0,1)</f>
        <v>0</v>
      </c>
      <c r="G211" s="178"/>
      <c r="H211" s="21"/>
      <c r="I211" s="30">
        <f>_xlfn.XLOOKUP(Tabla2757[[#This Row],[Puesto Encargado]], Tabla9[Puesto], Tabla9[Precio cliente],0,1,1)</f>
        <v>0</v>
      </c>
      <c r="J211" s="30">
        <f>_xlfn.XLOOKUP(Tabla2757[[#This Row],[Cargo]], Tabla958[Cargos], Tabla958[Ponderador Precio],0,1,1)</f>
        <v>0</v>
      </c>
      <c r="K211" s="30">
        <f>Tabla2757[[#This Row],[Precio por hora UF]]*Tabla2757[[#This Row],[Ponderador]]</f>
        <v>0</v>
      </c>
      <c r="L211" s="40">
        <v>0</v>
      </c>
      <c r="M211" s="30">
        <f>Tabla2757[[#This Row],[Precio por hora]]*Tabla2757[[#This Row],[Cantidad horas]]</f>
        <v>0</v>
      </c>
      <c r="N211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212" spans="2:14" x14ac:dyDescent="0.3">
      <c r="B212" s="28"/>
      <c r="C212" s="20"/>
      <c r="E212" s="136"/>
      <c r="F212" s="177">
        <f>_xlfn.XLOOKUP(Tabla2757[[#This Row],[Tipo de venta]],Tabla2329[Tipo de venta],Tabla2329[Moneda final], "Error - Seleccionar Tipo de Venta", 0,1)</f>
        <v>0</v>
      </c>
      <c r="G212" s="178"/>
      <c r="H212" s="21"/>
      <c r="I212" s="30">
        <f>_xlfn.XLOOKUP(Tabla2757[[#This Row],[Puesto Encargado]], Tabla9[Puesto], Tabla9[Precio cliente],0,1,1)</f>
        <v>0</v>
      </c>
      <c r="J212" s="30">
        <f>_xlfn.XLOOKUP(Tabla2757[[#This Row],[Cargo]], Tabla958[Cargos], Tabla958[Ponderador Precio],0,1,1)</f>
        <v>0</v>
      </c>
      <c r="K212" s="30">
        <f>Tabla2757[[#This Row],[Precio por hora UF]]*Tabla2757[[#This Row],[Ponderador]]</f>
        <v>0</v>
      </c>
      <c r="L212" s="40">
        <v>0</v>
      </c>
      <c r="M212" s="30">
        <f>Tabla2757[[#This Row],[Precio por hora]]*Tabla2757[[#This Row],[Cantidad horas]]</f>
        <v>0</v>
      </c>
      <c r="N212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213" spans="2:14" x14ac:dyDescent="0.3">
      <c r="B213" s="28"/>
      <c r="C213" s="20"/>
      <c r="E213" s="136"/>
      <c r="F213" s="177">
        <f>_xlfn.XLOOKUP(Tabla2757[[#This Row],[Tipo de venta]],Tabla2329[Tipo de venta],Tabla2329[Moneda final], "Error - Seleccionar Tipo de Venta", 0,1)</f>
        <v>0</v>
      </c>
      <c r="G213" s="178"/>
      <c r="H213" s="21"/>
      <c r="I213" s="30">
        <f>_xlfn.XLOOKUP(Tabla2757[[#This Row],[Puesto Encargado]], Tabla9[Puesto], Tabla9[Precio cliente],0,1,1)</f>
        <v>0</v>
      </c>
      <c r="J213" s="30">
        <f>_xlfn.XLOOKUP(Tabla2757[[#This Row],[Cargo]], Tabla958[Cargos], Tabla958[Ponderador Precio],0,1,1)</f>
        <v>0</v>
      </c>
      <c r="K213" s="30">
        <f>Tabla2757[[#This Row],[Precio por hora UF]]*Tabla2757[[#This Row],[Ponderador]]</f>
        <v>0</v>
      </c>
      <c r="L213" s="40">
        <v>0</v>
      </c>
      <c r="M213" s="30">
        <f>Tabla2757[[#This Row],[Precio por hora]]*Tabla2757[[#This Row],[Cantidad horas]]</f>
        <v>0</v>
      </c>
      <c r="N213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214" spans="2:14" x14ac:dyDescent="0.3">
      <c r="B214" s="28"/>
      <c r="C214" s="20"/>
      <c r="E214" s="136"/>
      <c r="F214" s="177">
        <f>_xlfn.XLOOKUP(Tabla2757[[#This Row],[Tipo de venta]],Tabla2329[Tipo de venta],Tabla2329[Moneda final], "Error - Seleccionar Tipo de Venta", 0,1)</f>
        <v>0</v>
      </c>
      <c r="G214" s="178"/>
      <c r="H214" s="21"/>
      <c r="I214" s="30">
        <f>_xlfn.XLOOKUP(Tabla2757[[#This Row],[Puesto Encargado]], Tabla9[Puesto], Tabla9[Precio cliente],0,1,1)</f>
        <v>0</v>
      </c>
      <c r="J214" s="30">
        <f>_xlfn.XLOOKUP(Tabla2757[[#This Row],[Cargo]], Tabla958[Cargos], Tabla958[Ponderador Precio],0,1,1)</f>
        <v>0</v>
      </c>
      <c r="K214" s="30">
        <f>Tabla2757[[#This Row],[Precio por hora UF]]*Tabla2757[[#This Row],[Ponderador]]</f>
        <v>0</v>
      </c>
      <c r="L214" s="40">
        <v>0</v>
      </c>
      <c r="M214" s="30">
        <f>Tabla2757[[#This Row],[Precio por hora]]*Tabla2757[[#This Row],[Cantidad horas]]</f>
        <v>0</v>
      </c>
      <c r="N214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215" spans="2:14" x14ac:dyDescent="0.3">
      <c r="B215" s="28"/>
      <c r="C215" s="20"/>
      <c r="E215" s="136"/>
      <c r="F215" s="177">
        <f>_xlfn.XLOOKUP(Tabla2757[[#This Row],[Tipo de venta]],Tabla2329[Tipo de venta],Tabla2329[Moneda final], "Error - Seleccionar Tipo de Venta", 0,1)</f>
        <v>0</v>
      </c>
      <c r="G215" s="178"/>
      <c r="H215" s="21"/>
      <c r="I215" s="30">
        <f>_xlfn.XLOOKUP(Tabla2757[[#This Row],[Puesto Encargado]], Tabla9[Puesto], Tabla9[Precio cliente],0,1,1)</f>
        <v>0</v>
      </c>
      <c r="J215" s="30">
        <f>_xlfn.XLOOKUP(Tabla2757[[#This Row],[Cargo]], Tabla958[Cargos], Tabla958[Ponderador Precio],0,1,1)</f>
        <v>0</v>
      </c>
      <c r="K215" s="30">
        <f>Tabla2757[[#This Row],[Precio por hora UF]]*Tabla2757[[#This Row],[Ponderador]]</f>
        <v>0</v>
      </c>
      <c r="L215" s="40">
        <v>0</v>
      </c>
      <c r="M215" s="30">
        <f>Tabla2757[[#This Row],[Precio por hora]]*Tabla2757[[#This Row],[Cantidad horas]]</f>
        <v>0</v>
      </c>
      <c r="N215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216" spans="2:14" x14ac:dyDescent="0.3">
      <c r="B216" s="28"/>
      <c r="C216" s="20"/>
      <c r="E216" s="136"/>
      <c r="F216" s="177">
        <f>_xlfn.XLOOKUP(Tabla2757[[#This Row],[Tipo de venta]],Tabla2329[Tipo de venta],Tabla2329[Moneda final], "Error - Seleccionar Tipo de Venta", 0,1)</f>
        <v>0</v>
      </c>
      <c r="G216" s="178"/>
      <c r="H216" s="21"/>
      <c r="I216" s="30">
        <f>_xlfn.XLOOKUP(Tabla2757[[#This Row],[Puesto Encargado]], Tabla9[Puesto], Tabla9[Precio cliente],0,1,1)</f>
        <v>0</v>
      </c>
      <c r="J216" s="30">
        <f>_xlfn.XLOOKUP(Tabla2757[[#This Row],[Cargo]], Tabla958[Cargos], Tabla958[Ponderador Precio],0,1,1)</f>
        <v>0</v>
      </c>
      <c r="K216" s="30">
        <f>Tabla2757[[#This Row],[Precio por hora UF]]*Tabla2757[[#This Row],[Ponderador]]</f>
        <v>0</v>
      </c>
      <c r="L216" s="40">
        <v>0</v>
      </c>
      <c r="M216" s="30">
        <f>Tabla2757[[#This Row],[Precio por hora]]*Tabla2757[[#This Row],[Cantidad horas]]</f>
        <v>0</v>
      </c>
      <c r="N216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217" spans="2:14" x14ac:dyDescent="0.3">
      <c r="B217" s="28"/>
      <c r="C217" s="20"/>
      <c r="E217" s="136"/>
      <c r="F217" s="177">
        <f>_xlfn.XLOOKUP(Tabla2757[[#This Row],[Tipo de venta]],Tabla2329[Tipo de venta],Tabla2329[Moneda final], "Error - Seleccionar Tipo de Venta", 0,1)</f>
        <v>0</v>
      </c>
      <c r="G217" s="178"/>
      <c r="H217" s="21"/>
      <c r="I217" s="30">
        <f>_xlfn.XLOOKUP(Tabla2757[[#This Row],[Puesto Encargado]], Tabla9[Puesto], Tabla9[Precio cliente],0,1,1)</f>
        <v>0</v>
      </c>
      <c r="J217" s="30">
        <f>_xlfn.XLOOKUP(Tabla2757[[#This Row],[Cargo]], Tabla958[Cargos], Tabla958[Ponderador Precio],0,1,1)</f>
        <v>0</v>
      </c>
      <c r="K217" s="30">
        <f>Tabla2757[[#This Row],[Precio por hora UF]]*Tabla2757[[#This Row],[Ponderador]]</f>
        <v>0</v>
      </c>
      <c r="L217" s="40">
        <v>0</v>
      </c>
      <c r="M217" s="30">
        <f>Tabla2757[[#This Row],[Precio por hora]]*Tabla2757[[#This Row],[Cantidad horas]]</f>
        <v>0</v>
      </c>
      <c r="N217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218" spans="2:14" x14ac:dyDescent="0.3">
      <c r="B218" s="28"/>
      <c r="C218" s="20"/>
      <c r="E218" s="136"/>
      <c r="F218" s="177">
        <f>_xlfn.XLOOKUP(Tabla2757[[#This Row],[Tipo de venta]],Tabla2329[Tipo de venta],Tabla2329[Moneda final], "Error - Seleccionar Tipo de Venta", 0,1)</f>
        <v>0</v>
      </c>
      <c r="G218" s="178"/>
      <c r="H218" s="21"/>
      <c r="I218" s="30">
        <f>_xlfn.XLOOKUP(Tabla2757[[#This Row],[Puesto Encargado]], Tabla9[Puesto], Tabla9[Precio cliente],0,1,1)</f>
        <v>0</v>
      </c>
      <c r="J218" s="30">
        <f>_xlfn.XLOOKUP(Tabla2757[[#This Row],[Cargo]], Tabla958[Cargos], Tabla958[Ponderador Precio],0,1,1)</f>
        <v>0</v>
      </c>
      <c r="K218" s="30">
        <f>Tabla2757[[#This Row],[Precio por hora UF]]*Tabla2757[[#This Row],[Ponderador]]</f>
        <v>0</v>
      </c>
      <c r="L218" s="40">
        <v>0</v>
      </c>
      <c r="M218" s="30">
        <f>Tabla2757[[#This Row],[Precio por hora]]*Tabla2757[[#This Row],[Cantidad horas]]</f>
        <v>0</v>
      </c>
      <c r="N218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219" spans="2:14" x14ac:dyDescent="0.3">
      <c r="B219" s="28"/>
      <c r="C219" s="20"/>
      <c r="E219" s="136"/>
      <c r="F219" s="177">
        <f>_xlfn.XLOOKUP(Tabla2757[[#This Row],[Tipo de venta]],Tabla2329[Tipo de venta],Tabla2329[Moneda final], "Error - Seleccionar Tipo de Venta", 0,1)</f>
        <v>0</v>
      </c>
      <c r="G219" s="178"/>
      <c r="H219" s="21"/>
      <c r="I219" s="30">
        <f>_xlfn.XLOOKUP(Tabla2757[[#This Row],[Puesto Encargado]], Tabla9[Puesto], Tabla9[Precio cliente],0,1,1)</f>
        <v>0</v>
      </c>
      <c r="J219" s="30">
        <f>_xlfn.XLOOKUP(Tabla2757[[#This Row],[Cargo]], Tabla958[Cargos], Tabla958[Ponderador Precio],0,1,1)</f>
        <v>0</v>
      </c>
      <c r="K219" s="30">
        <f>Tabla2757[[#This Row],[Precio por hora UF]]*Tabla2757[[#This Row],[Ponderador]]</f>
        <v>0</v>
      </c>
      <c r="L219" s="40">
        <v>0</v>
      </c>
      <c r="M219" s="30">
        <f>Tabla2757[[#This Row],[Precio por hora]]*Tabla2757[[#This Row],[Cantidad horas]]</f>
        <v>0</v>
      </c>
      <c r="N219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220" spans="2:14" x14ac:dyDescent="0.3">
      <c r="B220" s="28"/>
      <c r="C220" s="20"/>
      <c r="E220" s="136"/>
      <c r="F220" s="177">
        <f>_xlfn.XLOOKUP(Tabla2757[[#This Row],[Tipo de venta]],Tabla2329[Tipo de venta],Tabla2329[Moneda final], "Error - Seleccionar Tipo de Venta", 0,1)</f>
        <v>0</v>
      </c>
      <c r="G220" s="178"/>
      <c r="H220" s="21"/>
      <c r="I220" s="30">
        <f>_xlfn.XLOOKUP(Tabla2757[[#This Row],[Puesto Encargado]], Tabla9[Puesto], Tabla9[Precio cliente],0,1,1)</f>
        <v>0</v>
      </c>
      <c r="J220" s="30">
        <f>_xlfn.XLOOKUP(Tabla2757[[#This Row],[Cargo]], Tabla958[Cargos], Tabla958[Ponderador Precio],0,1,1)</f>
        <v>0</v>
      </c>
      <c r="K220" s="30">
        <f>Tabla2757[[#This Row],[Precio por hora UF]]*Tabla2757[[#This Row],[Ponderador]]</f>
        <v>0</v>
      </c>
      <c r="L220" s="40">
        <v>0</v>
      </c>
      <c r="M220" s="30">
        <f>Tabla2757[[#This Row],[Precio por hora]]*Tabla2757[[#This Row],[Cantidad horas]]</f>
        <v>0</v>
      </c>
      <c r="N220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221" spans="2:14" x14ac:dyDescent="0.3">
      <c r="B221" s="28"/>
      <c r="C221" s="20"/>
      <c r="E221" s="136"/>
      <c r="F221" s="177">
        <f>_xlfn.XLOOKUP(Tabla2757[[#This Row],[Tipo de venta]],Tabla2329[Tipo de venta],Tabla2329[Moneda final], "Error - Seleccionar Tipo de Venta", 0,1)</f>
        <v>0</v>
      </c>
      <c r="G221" s="178"/>
      <c r="H221" s="21"/>
      <c r="I221" s="30">
        <f>_xlfn.XLOOKUP(Tabla2757[[#This Row],[Puesto Encargado]], Tabla9[Puesto], Tabla9[Precio cliente],0,1,1)</f>
        <v>0</v>
      </c>
      <c r="J221" s="30">
        <f>_xlfn.XLOOKUP(Tabla2757[[#This Row],[Cargo]], Tabla958[Cargos], Tabla958[Ponderador Precio],0,1,1)</f>
        <v>0</v>
      </c>
      <c r="K221" s="30">
        <f>Tabla2757[[#This Row],[Precio por hora UF]]*Tabla2757[[#This Row],[Ponderador]]</f>
        <v>0</v>
      </c>
      <c r="L221" s="40">
        <v>0</v>
      </c>
      <c r="M221" s="30">
        <f>Tabla2757[[#This Row],[Precio por hora]]*Tabla2757[[#This Row],[Cantidad horas]]</f>
        <v>0</v>
      </c>
      <c r="N221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222" spans="2:14" x14ac:dyDescent="0.3">
      <c r="B222" s="28"/>
      <c r="C222" s="20"/>
      <c r="E222" s="136"/>
      <c r="F222" s="177">
        <f>_xlfn.XLOOKUP(Tabla2757[[#This Row],[Tipo de venta]],Tabla2329[Tipo de venta],Tabla2329[Moneda final], "Error - Seleccionar Tipo de Venta", 0,1)</f>
        <v>0</v>
      </c>
      <c r="G222" s="178"/>
      <c r="H222" s="21"/>
      <c r="I222" s="30">
        <f>_xlfn.XLOOKUP(Tabla2757[[#This Row],[Puesto Encargado]], Tabla9[Puesto], Tabla9[Precio cliente],0,1,1)</f>
        <v>0</v>
      </c>
      <c r="J222" s="30">
        <f>_xlfn.XLOOKUP(Tabla2757[[#This Row],[Cargo]], Tabla958[Cargos], Tabla958[Ponderador Precio],0,1,1)</f>
        <v>0</v>
      </c>
      <c r="K222" s="30">
        <f>Tabla2757[[#This Row],[Precio por hora UF]]*Tabla2757[[#This Row],[Ponderador]]</f>
        <v>0</v>
      </c>
      <c r="L222" s="40">
        <v>0</v>
      </c>
      <c r="M222" s="30">
        <f>Tabla2757[[#This Row],[Precio por hora]]*Tabla2757[[#This Row],[Cantidad horas]]</f>
        <v>0</v>
      </c>
      <c r="N222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223" spans="2:14" x14ac:dyDescent="0.3">
      <c r="B223" s="28"/>
      <c r="C223" s="20"/>
      <c r="E223" s="136"/>
      <c r="F223" s="177">
        <f>_xlfn.XLOOKUP(Tabla2757[[#This Row],[Tipo de venta]],Tabla2329[Tipo de venta],Tabla2329[Moneda final], "Error - Seleccionar Tipo de Venta", 0,1)</f>
        <v>0</v>
      </c>
      <c r="G223" s="178"/>
      <c r="H223" s="21"/>
      <c r="I223" s="30">
        <f>_xlfn.XLOOKUP(Tabla2757[[#This Row],[Puesto Encargado]], Tabla9[Puesto], Tabla9[Precio cliente],0,1,1)</f>
        <v>0</v>
      </c>
      <c r="J223" s="30">
        <f>_xlfn.XLOOKUP(Tabla2757[[#This Row],[Cargo]], Tabla958[Cargos], Tabla958[Ponderador Precio],0,1,1)</f>
        <v>0</v>
      </c>
      <c r="K223" s="30">
        <f>Tabla2757[[#This Row],[Precio por hora UF]]*Tabla2757[[#This Row],[Ponderador]]</f>
        <v>0</v>
      </c>
      <c r="L223" s="40">
        <v>0</v>
      </c>
      <c r="M223" s="30">
        <f>Tabla2757[[#This Row],[Precio por hora]]*Tabla2757[[#This Row],[Cantidad horas]]</f>
        <v>0</v>
      </c>
      <c r="N223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224" spans="2:14" x14ac:dyDescent="0.3">
      <c r="B224" s="28"/>
      <c r="C224" s="20"/>
      <c r="E224" s="136"/>
      <c r="F224" s="177">
        <f>_xlfn.XLOOKUP(Tabla2757[[#This Row],[Tipo de venta]],Tabla2329[Tipo de venta],Tabla2329[Moneda final], "Error - Seleccionar Tipo de Venta", 0,1)</f>
        <v>0</v>
      </c>
      <c r="G224" s="178"/>
      <c r="H224" s="21"/>
      <c r="I224" s="30">
        <f>_xlfn.XLOOKUP(Tabla2757[[#This Row],[Puesto Encargado]], Tabla9[Puesto], Tabla9[Precio cliente],0,1,1)</f>
        <v>0</v>
      </c>
      <c r="J224" s="30">
        <f>_xlfn.XLOOKUP(Tabla2757[[#This Row],[Cargo]], Tabla958[Cargos], Tabla958[Ponderador Precio],0,1,1)</f>
        <v>0</v>
      </c>
      <c r="K224" s="30">
        <f>Tabla2757[[#This Row],[Precio por hora UF]]*Tabla2757[[#This Row],[Ponderador]]</f>
        <v>0</v>
      </c>
      <c r="L224" s="40">
        <v>0</v>
      </c>
      <c r="M224" s="30">
        <f>Tabla2757[[#This Row],[Precio por hora]]*Tabla2757[[#This Row],[Cantidad horas]]</f>
        <v>0</v>
      </c>
      <c r="N224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225" spans="2:14" x14ac:dyDescent="0.3">
      <c r="B225" s="28"/>
      <c r="C225" s="20"/>
      <c r="E225" s="136"/>
      <c r="F225" s="177">
        <f>_xlfn.XLOOKUP(Tabla2757[[#This Row],[Tipo de venta]],Tabla2329[Tipo de venta],Tabla2329[Moneda final], "Error - Seleccionar Tipo de Venta", 0,1)</f>
        <v>0</v>
      </c>
      <c r="G225" s="178"/>
      <c r="H225" s="21"/>
      <c r="I225" s="30">
        <f>_xlfn.XLOOKUP(Tabla2757[[#This Row],[Puesto Encargado]], Tabla9[Puesto], Tabla9[Precio cliente],0,1,1)</f>
        <v>0</v>
      </c>
      <c r="J225" s="30">
        <f>_xlfn.XLOOKUP(Tabla2757[[#This Row],[Cargo]], Tabla958[Cargos], Tabla958[Ponderador Precio],0,1,1)</f>
        <v>0</v>
      </c>
      <c r="K225" s="30">
        <f>Tabla2757[[#This Row],[Precio por hora UF]]*Tabla2757[[#This Row],[Ponderador]]</f>
        <v>0</v>
      </c>
      <c r="L225" s="40">
        <v>0</v>
      </c>
      <c r="M225" s="30">
        <f>Tabla2757[[#This Row],[Precio por hora]]*Tabla2757[[#This Row],[Cantidad horas]]</f>
        <v>0</v>
      </c>
      <c r="N225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226" spans="2:14" x14ac:dyDescent="0.3">
      <c r="B226" s="28"/>
      <c r="C226" s="20"/>
      <c r="E226" s="136"/>
      <c r="F226" s="177">
        <f>_xlfn.XLOOKUP(Tabla2757[[#This Row],[Tipo de venta]],Tabla2329[Tipo de venta],Tabla2329[Moneda final], "Error - Seleccionar Tipo de Venta", 0,1)</f>
        <v>0</v>
      </c>
      <c r="G226" s="178"/>
      <c r="H226" s="21"/>
      <c r="I226" s="30">
        <f>_xlfn.XLOOKUP(Tabla2757[[#This Row],[Puesto Encargado]], Tabla9[Puesto], Tabla9[Precio cliente],0,1,1)</f>
        <v>0</v>
      </c>
      <c r="J226" s="30">
        <f>_xlfn.XLOOKUP(Tabla2757[[#This Row],[Cargo]], Tabla958[Cargos], Tabla958[Ponderador Precio],0,1,1)</f>
        <v>0</v>
      </c>
      <c r="K226" s="30">
        <f>Tabla2757[[#This Row],[Precio por hora UF]]*Tabla2757[[#This Row],[Ponderador]]</f>
        <v>0</v>
      </c>
      <c r="L226" s="40">
        <v>0</v>
      </c>
      <c r="M226" s="30">
        <f>Tabla2757[[#This Row],[Precio por hora]]*Tabla2757[[#This Row],[Cantidad horas]]</f>
        <v>0</v>
      </c>
      <c r="N226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227" spans="2:14" x14ac:dyDescent="0.3">
      <c r="B227" s="28"/>
      <c r="C227" s="20"/>
      <c r="E227" s="136"/>
      <c r="F227" s="177">
        <f>_xlfn.XLOOKUP(Tabla2757[[#This Row],[Tipo de venta]],Tabla2329[Tipo de venta],Tabla2329[Moneda final], "Error - Seleccionar Tipo de Venta", 0,1)</f>
        <v>0</v>
      </c>
      <c r="G227" s="178"/>
      <c r="H227" s="21"/>
      <c r="I227" s="30">
        <f>_xlfn.XLOOKUP(Tabla2757[[#This Row],[Puesto Encargado]], Tabla9[Puesto], Tabla9[Precio cliente],0,1,1)</f>
        <v>0</v>
      </c>
      <c r="J227" s="30">
        <f>_xlfn.XLOOKUP(Tabla2757[[#This Row],[Cargo]], Tabla958[Cargos], Tabla958[Ponderador Precio],0,1,1)</f>
        <v>0</v>
      </c>
      <c r="K227" s="30">
        <f>Tabla2757[[#This Row],[Precio por hora UF]]*Tabla2757[[#This Row],[Ponderador]]</f>
        <v>0</v>
      </c>
      <c r="L227" s="40">
        <v>0</v>
      </c>
      <c r="M227" s="30">
        <f>Tabla2757[[#This Row],[Precio por hora]]*Tabla2757[[#This Row],[Cantidad horas]]</f>
        <v>0</v>
      </c>
      <c r="N227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228" spans="2:14" x14ac:dyDescent="0.3">
      <c r="B228" s="28"/>
      <c r="C228" s="20"/>
      <c r="E228" s="136"/>
      <c r="F228" s="177">
        <f>_xlfn.XLOOKUP(Tabla2757[[#This Row],[Tipo de venta]],Tabla2329[Tipo de venta],Tabla2329[Moneda final], "Error - Seleccionar Tipo de Venta", 0,1)</f>
        <v>0</v>
      </c>
      <c r="G228" s="178"/>
      <c r="H228" s="21"/>
      <c r="I228" s="30">
        <f>_xlfn.XLOOKUP(Tabla2757[[#This Row],[Puesto Encargado]], Tabla9[Puesto], Tabla9[Precio cliente],0,1,1)</f>
        <v>0</v>
      </c>
      <c r="J228" s="30">
        <f>_xlfn.XLOOKUP(Tabla2757[[#This Row],[Cargo]], Tabla958[Cargos], Tabla958[Ponderador Precio],0,1,1)</f>
        <v>0</v>
      </c>
      <c r="K228" s="30">
        <f>Tabla2757[[#This Row],[Precio por hora UF]]*Tabla2757[[#This Row],[Ponderador]]</f>
        <v>0</v>
      </c>
      <c r="L228" s="40">
        <v>0</v>
      </c>
      <c r="M228" s="30">
        <f>Tabla2757[[#This Row],[Precio por hora]]*Tabla2757[[#This Row],[Cantidad horas]]</f>
        <v>0</v>
      </c>
      <c r="N228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229" spans="2:14" x14ac:dyDescent="0.3">
      <c r="B229" s="28"/>
      <c r="C229" s="20"/>
      <c r="E229" s="136"/>
      <c r="F229" s="177">
        <f>_xlfn.XLOOKUP(Tabla2757[[#This Row],[Tipo de venta]],Tabla2329[Tipo de venta],Tabla2329[Moneda final], "Error - Seleccionar Tipo de Venta", 0,1)</f>
        <v>0</v>
      </c>
      <c r="G229" s="178"/>
      <c r="H229" s="21"/>
      <c r="I229" s="30">
        <f>_xlfn.XLOOKUP(Tabla2757[[#This Row],[Puesto Encargado]], Tabla9[Puesto], Tabla9[Precio cliente],0,1,1)</f>
        <v>0</v>
      </c>
      <c r="J229" s="30">
        <f>_xlfn.XLOOKUP(Tabla2757[[#This Row],[Cargo]], Tabla958[Cargos], Tabla958[Ponderador Precio],0,1,1)</f>
        <v>0</v>
      </c>
      <c r="K229" s="30">
        <f>Tabla2757[[#This Row],[Precio por hora UF]]*Tabla2757[[#This Row],[Ponderador]]</f>
        <v>0</v>
      </c>
      <c r="L229" s="40">
        <v>0</v>
      </c>
      <c r="M229" s="30">
        <f>Tabla2757[[#This Row],[Precio por hora]]*Tabla2757[[#This Row],[Cantidad horas]]</f>
        <v>0</v>
      </c>
      <c r="N229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230" spans="2:14" x14ac:dyDescent="0.3">
      <c r="B230" s="28"/>
      <c r="C230" s="20"/>
      <c r="E230" s="136"/>
      <c r="F230" s="177">
        <f>_xlfn.XLOOKUP(Tabla2757[[#This Row],[Tipo de venta]],Tabla2329[Tipo de venta],Tabla2329[Moneda final], "Error - Seleccionar Tipo de Venta", 0,1)</f>
        <v>0</v>
      </c>
      <c r="G230" s="178"/>
      <c r="H230" s="21"/>
      <c r="I230" s="30">
        <f>_xlfn.XLOOKUP(Tabla2757[[#This Row],[Puesto Encargado]], Tabla9[Puesto], Tabla9[Precio cliente],0,1,1)</f>
        <v>0</v>
      </c>
      <c r="J230" s="30">
        <f>_xlfn.XLOOKUP(Tabla2757[[#This Row],[Cargo]], Tabla958[Cargos], Tabla958[Ponderador Precio],0,1,1)</f>
        <v>0</v>
      </c>
      <c r="K230" s="30">
        <f>Tabla2757[[#This Row],[Precio por hora UF]]*Tabla2757[[#This Row],[Ponderador]]</f>
        <v>0</v>
      </c>
      <c r="L230" s="40">
        <v>0</v>
      </c>
      <c r="M230" s="30">
        <f>Tabla2757[[#This Row],[Precio por hora]]*Tabla2757[[#This Row],[Cantidad horas]]</f>
        <v>0</v>
      </c>
      <c r="N230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231" spans="2:14" x14ac:dyDescent="0.3">
      <c r="B231" s="28"/>
      <c r="C231" s="20"/>
      <c r="E231" s="136"/>
      <c r="F231" s="177">
        <f>_xlfn.XLOOKUP(Tabla2757[[#This Row],[Tipo de venta]],Tabla2329[Tipo de venta],Tabla2329[Moneda final], "Error - Seleccionar Tipo de Venta", 0,1)</f>
        <v>0</v>
      </c>
      <c r="G231" s="178"/>
      <c r="H231" s="21"/>
      <c r="I231" s="30">
        <f>_xlfn.XLOOKUP(Tabla2757[[#This Row],[Puesto Encargado]], Tabla9[Puesto], Tabla9[Precio cliente],0,1,1)</f>
        <v>0</v>
      </c>
      <c r="J231" s="30">
        <f>_xlfn.XLOOKUP(Tabla2757[[#This Row],[Cargo]], Tabla958[Cargos], Tabla958[Ponderador Precio],0,1,1)</f>
        <v>0</v>
      </c>
      <c r="K231" s="30">
        <f>Tabla2757[[#This Row],[Precio por hora UF]]*Tabla2757[[#This Row],[Ponderador]]</f>
        <v>0</v>
      </c>
      <c r="L231" s="40">
        <v>0</v>
      </c>
      <c r="M231" s="30">
        <f>Tabla2757[[#This Row],[Precio por hora]]*Tabla2757[[#This Row],[Cantidad horas]]</f>
        <v>0</v>
      </c>
      <c r="N231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232" spans="2:14" x14ac:dyDescent="0.3">
      <c r="B232" s="28"/>
      <c r="C232" s="20"/>
      <c r="E232" s="136"/>
      <c r="F232" s="177">
        <f>_xlfn.XLOOKUP(Tabla2757[[#This Row],[Tipo de venta]],Tabla2329[Tipo de venta],Tabla2329[Moneda final], "Error - Seleccionar Tipo de Venta", 0,1)</f>
        <v>0</v>
      </c>
      <c r="G232" s="178"/>
      <c r="H232" s="21"/>
      <c r="I232" s="30">
        <f>_xlfn.XLOOKUP(Tabla2757[[#This Row],[Puesto Encargado]], Tabla9[Puesto], Tabla9[Precio cliente],0,1,1)</f>
        <v>0</v>
      </c>
      <c r="J232" s="30">
        <f>_xlfn.XLOOKUP(Tabla2757[[#This Row],[Cargo]], Tabla958[Cargos], Tabla958[Ponderador Precio],0,1,1)</f>
        <v>0</v>
      </c>
      <c r="K232" s="30">
        <f>Tabla2757[[#This Row],[Precio por hora UF]]*Tabla2757[[#This Row],[Ponderador]]</f>
        <v>0</v>
      </c>
      <c r="L232" s="40">
        <v>0</v>
      </c>
      <c r="M232" s="30">
        <f>Tabla2757[[#This Row],[Precio por hora]]*Tabla2757[[#This Row],[Cantidad horas]]</f>
        <v>0</v>
      </c>
      <c r="N232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233" spans="2:14" x14ac:dyDescent="0.3">
      <c r="B233" s="28"/>
      <c r="C233" s="20"/>
      <c r="E233" s="136"/>
      <c r="F233" s="177">
        <f>_xlfn.XLOOKUP(Tabla2757[[#This Row],[Tipo de venta]],Tabla2329[Tipo de venta],Tabla2329[Moneda final], "Error - Seleccionar Tipo de Venta", 0,1)</f>
        <v>0</v>
      </c>
      <c r="G233" s="178"/>
      <c r="H233" s="21"/>
      <c r="I233" s="30">
        <f>_xlfn.XLOOKUP(Tabla2757[[#This Row],[Puesto Encargado]], Tabla9[Puesto], Tabla9[Precio cliente],0,1,1)</f>
        <v>0</v>
      </c>
      <c r="J233" s="30">
        <f>_xlfn.XLOOKUP(Tabla2757[[#This Row],[Cargo]], Tabla958[Cargos], Tabla958[Ponderador Precio],0,1,1)</f>
        <v>0</v>
      </c>
      <c r="K233" s="30">
        <f>Tabla2757[[#This Row],[Precio por hora UF]]*Tabla2757[[#This Row],[Ponderador]]</f>
        <v>0</v>
      </c>
      <c r="L233" s="40">
        <v>0</v>
      </c>
      <c r="M233" s="30">
        <f>Tabla2757[[#This Row],[Precio por hora]]*Tabla2757[[#This Row],[Cantidad horas]]</f>
        <v>0</v>
      </c>
      <c r="N233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234" spans="2:14" x14ac:dyDescent="0.3">
      <c r="B234" s="28"/>
      <c r="C234" s="20"/>
      <c r="E234" s="136"/>
      <c r="F234" s="177">
        <f>_xlfn.XLOOKUP(Tabla2757[[#This Row],[Tipo de venta]],Tabla2329[Tipo de venta],Tabla2329[Moneda final], "Error - Seleccionar Tipo de Venta", 0,1)</f>
        <v>0</v>
      </c>
      <c r="G234" s="178"/>
      <c r="H234" s="21"/>
      <c r="I234" s="30">
        <f>_xlfn.XLOOKUP(Tabla2757[[#This Row],[Puesto Encargado]], Tabla9[Puesto], Tabla9[Precio cliente],0,1,1)</f>
        <v>0</v>
      </c>
      <c r="J234" s="30">
        <f>_xlfn.XLOOKUP(Tabla2757[[#This Row],[Cargo]], Tabla958[Cargos], Tabla958[Ponderador Precio],0,1,1)</f>
        <v>0</v>
      </c>
      <c r="K234" s="30">
        <f>Tabla2757[[#This Row],[Precio por hora UF]]*Tabla2757[[#This Row],[Ponderador]]</f>
        <v>0</v>
      </c>
      <c r="L234" s="40">
        <v>0</v>
      </c>
      <c r="M234" s="30">
        <f>Tabla2757[[#This Row],[Precio por hora]]*Tabla2757[[#This Row],[Cantidad horas]]</f>
        <v>0</v>
      </c>
      <c r="N234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235" spans="2:14" x14ac:dyDescent="0.3">
      <c r="B235" s="28"/>
      <c r="C235" s="20"/>
      <c r="E235" s="136"/>
      <c r="F235" s="177">
        <f>_xlfn.XLOOKUP(Tabla2757[[#This Row],[Tipo de venta]],Tabla2329[Tipo de venta],Tabla2329[Moneda final], "Error - Seleccionar Tipo de Venta", 0,1)</f>
        <v>0</v>
      </c>
      <c r="G235" s="178"/>
      <c r="H235" s="21"/>
      <c r="I235" s="30">
        <f>_xlfn.XLOOKUP(Tabla2757[[#This Row],[Puesto Encargado]], Tabla9[Puesto], Tabla9[Precio cliente],0,1,1)</f>
        <v>0</v>
      </c>
      <c r="J235" s="30">
        <f>_xlfn.XLOOKUP(Tabla2757[[#This Row],[Cargo]], Tabla958[Cargos], Tabla958[Ponderador Precio],0,1,1)</f>
        <v>0</v>
      </c>
      <c r="K235" s="30">
        <f>Tabla2757[[#This Row],[Precio por hora UF]]*Tabla2757[[#This Row],[Ponderador]]</f>
        <v>0</v>
      </c>
      <c r="L235" s="40">
        <v>0</v>
      </c>
      <c r="M235" s="30">
        <f>Tabla2757[[#This Row],[Precio por hora]]*Tabla2757[[#This Row],[Cantidad horas]]</f>
        <v>0</v>
      </c>
      <c r="N235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236" spans="2:14" x14ac:dyDescent="0.3">
      <c r="B236" s="28"/>
      <c r="C236" s="20"/>
      <c r="E236" s="136"/>
      <c r="F236" s="177">
        <f>_xlfn.XLOOKUP(Tabla2757[[#This Row],[Tipo de venta]],Tabla2329[Tipo de venta],Tabla2329[Moneda final], "Error - Seleccionar Tipo de Venta", 0,1)</f>
        <v>0</v>
      </c>
      <c r="G236" s="178"/>
      <c r="H236" s="21"/>
      <c r="I236" s="30">
        <f>_xlfn.XLOOKUP(Tabla2757[[#This Row],[Puesto Encargado]], Tabla9[Puesto], Tabla9[Precio cliente],0,1,1)</f>
        <v>0</v>
      </c>
      <c r="J236" s="30">
        <f>_xlfn.XLOOKUP(Tabla2757[[#This Row],[Cargo]], Tabla958[Cargos], Tabla958[Ponderador Precio],0,1,1)</f>
        <v>0</v>
      </c>
      <c r="K236" s="30">
        <f>Tabla2757[[#This Row],[Precio por hora UF]]*Tabla2757[[#This Row],[Ponderador]]</f>
        <v>0</v>
      </c>
      <c r="L236" s="40">
        <v>0</v>
      </c>
      <c r="M236" s="30">
        <f>Tabla2757[[#This Row],[Precio por hora]]*Tabla2757[[#This Row],[Cantidad horas]]</f>
        <v>0</v>
      </c>
      <c r="N236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237" spans="2:14" x14ac:dyDescent="0.3">
      <c r="B237" s="28"/>
      <c r="C237" s="20"/>
      <c r="E237" s="136"/>
      <c r="F237" s="177">
        <f>_xlfn.XLOOKUP(Tabla2757[[#This Row],[Tipo de venta]],Tabla2329[Tipo de venta],Tabla2329[Moneda final], "Error - Seleccionar Tipo de Venta", 0,1)</f>
        <v>0</v>
      </c>
      <c r="G237" s="178"/>
      <c r="H237" s="21"/>
      <c r="I237" s="30">
        <f>_xlfn.XLOOKUP(Tabla2757[[#This Row],[Puesto Encargado]], Tabla9[Puesto], Tabla9[Precio cliente],0,1,1)</f>
        <v>0</v>
      </c>
      <c r="J237" s="30">
        <f>_xlfn.XLOOKUP(Tabla2757[[#This Row],[Cargo]], Tabla958[Cargos], Tabla958[Ponderador Precio],0,1,1)</f>
        <v>0</v>
      </c>
      <c r="K237" s="30">
        <f>Tabla2757[[#This Row],[Precio por hora UF]]*Tabla2757[[#This Row],[Ponderador]]</f>
        <v>0</v>
      </c>
      <c r="L237" s="40">
        <v>0</v>
      </c>
      <c r="M237" s="30">
        <f>Tabla2757[[#This Row],[Precio por hora]]*Tabla2757[[#This Row],[Cantidad horas]]</f>
        <v>0</v>
      </c>
      <c r="N237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238" spans="2:14" x14ac:dyDescent="0.3">
      <c r="B238" s="28"/>
      <c r="C238" s="20"/>
      <c r="E238" s="136"/>
      <c r="F238" s="177">
        <f>_xlfn.XLOOKUP(Tabla2757[[#This Row],[Tipo de venta]],Tabla2329[Tipo de venta],Tabla2329[Moneda final], "Error - Seleccionar Tipo de Venta", 0,1)</f>
        <v>0</v>
      </c>
      <c r="G238" s="178"/>
      <c r="H238" s="21"/>
      <c r="I238" s="30">
        <f>_xlfn.XLOOKUP(Tabla2757[[#This Row],[Puesto Encargado]], Tabla9[Puesto], Tabla9[Precio cliente],0,1,1)</f>
        <v>0</v>
      </c>
      <c r="J238" s="30">
        <f>_xlfn.XLOOKUP(Tabla2757[[#This Row],[Cargo]], Tabla958[Cargos], Tabla958[Ponderador Precio],0,1,1)</f>
        <v>0</v>
      </c>
      <c r="K238" s="30">
        <f>Tabla2757[[#This Row],[Precio por hora UF]]*Tabla2757[[#This Row],[Ponderador]]</f>
        <v>0</v>
      </c>
      <c r="L238" s="40">
        <v>0</v>
      </c>
      <c r="M238" s="30">
        <f>Tabla2757[[#This Row],[Precio por hora]]*Tabla2757[[#This Row],[Cantidad horas]]</f>
        <v>0</v>
      </c>
      <c r="N238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239" spans="2:14" x14ac:dyDescent="0.3">
      <c r="B239" s="28"/>
      <c r="C239" s="20"/>
      <c r="E239" s="136"/>
      <c r="F239" s="177">
        <f>_xlfn.XLOOKUP(Tabla2757[[#This Row],[Tipo de venta]],Tabla2329[Tipo de venta],Tabla2329[Moneda final], "Error - Seleccionar Tipo de Venta", 0,1)</f>
        <v>0</v>
      </c>
      <c r="G239" s="178"/>
      <c r="H239" s="21"/>
      <c r="I239" s="30">
        <f>_xlfn.XLOOKUP(Tabla2757[[#This Row],[Puesto Encargado]], Tabla9[Puesto], Tabla9[Precio cliente],0,1,1)</f>
        <v>0</v>
      </c>
      <c r="J239" s="30">
        <f>_xlfn.XLOOKUP(Tabla2757[[#This Row],[Cargo]], Tabla958[Cargos], Tabla958[Ponderador Precio],0,1,1)</f>
        <v>0</v>
      </c>
      <c r="K239" s="30">
        <f>Tabla2757[[#This Row],[Precio por hora UF]]*Tabla2757[[#This Row],[Ponderador]]</f>
        <v>0</v>
      </c>
      <c r="L239" s="40">
        <v>0</v>
      </c>
      <c r="M239" s="30">
        <f>Tabla2757[[#This Row],[Precio por hora]]*Tabla2757[[#This Row],[Cantidad horas]]</f>
        <v>0</v>
      </c>
      <c r="N239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240" spans="2:14" x14ac:dyDescent="0.3">
      <c r="B240" s="28"/>
      <c r="C240" s="20"/>
      <c r="E240" s="136"/>
      <c r="F240" s="177">
        <f>_xlfn.XLOOKUP(Tabla2757[[#This Row],[Tipo de venta]],Tabla2329[Tipo de venta],Tabla2329[Moneda final], "Error - Seleccionar Tipo de Venta", 0,1)</f>
        <v>0</v>
      </c>
      <c r="G240" s="178"/>
      <c r="H240" s="21"/>
      <c r="I240" s="30">
        <f>_xlfn.XLOOKUP(Tabla2757[[#This Row],[Puesto Encargado]], Tabla9[Puesto], Tabla9[Precio cliente],0,1,1)</f>
        <v>0</v>
      </c>
      <c r="J240" s="30">
        <f>_xlfn.XLOOKUP(Tabla2757[[#This Row],[Cargo]], Tabla958[Cargos], Tabla958[Ponderador Precio],0,1,1)</f>
        <v>0</v>
      </c>
      <c r="K240" s="30">
        <f>Tabla2757[[#This Row],[Precio por hora UF]]*Tabla2757[[#This Row],[Ponderador]]</f>
        <v>0</v>
      </c>
      <c r="L240" s="40">
        <v>0</v>
      </c>
      <c r="M240" s="30">
        <f>Tabla2757[[#This Row],[Precio por hora]]*Tabla2757[[#This Row],[Cantidad horas]]</f>
        <v>0</v>
      </c>
      <c r="N240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241" spans="2:14" x14ac:dyDescent="0.3">
      <c r="B241" s="28"/>
      <c r="C241" s="20"/>
      <c r="E241" s="136"/>
      <c r="F241" s="177">
        <f>_xlfn.XLOOKUP(Tabla2757[[#This Row],[Tipo de venta]],Tabla2329[Tipo de venta],Tabla2329[Moneda final], "Error - Seleccionar Tipo de Venta", 0,1)</f>
        <v>0</v>
      </c>
      <c r="G241" s="178"/>
      <c r="H241" s="21"/>
      <c r="I241" s="30">
        <f>_xlfn.XLOOKUP(Tabla2757[[#This Row],[Puesto Encargado]], Tabla9[Puesto], Tabla9[Precio cliente],0,1,1)</f>
        <v>0</v>
      </c>
      <c r="J241" s="30">
        <f>_xlfn.XLOOKUP(Tabla2757[[#This Row],[Cargo]], Tabla958[Cargos], Tabla958[Ponderador Precio],0,1,1)</f>
        <v>0</v>
      </c>
      <c r="K241" s="30">
        <f>Tabla2757[[#This Row],[Precio por hora UF]]*Tabla2757[[#This Row],[Ponderador]]</f>
        <v>0</v>
      </c>
      <c r="L241" s="40">
        <v>0</v>
      </c>
      <c r="M241" s="30">
        <f>Tabla2757[[#This Row],[Precio por hora]]*Tabla2757[[#This Row],[Cantidad horas]]</f>
        <v>0</v>
      </c>
      <c r="N241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242" spans="2:14" x14ac:dyDescent="0.3">
      <c r="B242" s="28"/>
      <c r="C242" s="20"/>
      <c r="E242" s="136"/>
      <c r="F242" s="177">
        <f>_xlfn.XLOOKUP(Tabla2757[[#This Row],[Tipo de venta]],Tabla2329[Tipo de venta],Tabla2329[Moneda final], "Error - Seleccionar Tipo de Venta", 0,1)</f>
        <v>0</v>
      </c>
      <c r="G242" s="178"/>
      <c r="H242" s="21"/>
      <c r="I242" s="30">
        <f>_xlfn.XLOOKUP(Tabla2757[[#This Row],[Puesto Encargado]], Tabla9[Puesto], Tabla9[Precio cliente],0,1,1)</f>
        <v>0</v>
      </c>
      <c r="J242" s="30">
        <f>_xlfn.XLOOKUP(Tabla2757[[#This Row],[Cargo]], Tabla958[Cargos], Tabla958[Ponderador Precio],0,1,1)</f>
        <v>0</v>
      </c>
      <c r="K242" s="30">
        <f>Tabla2757[[#This Row],[Precio por hora UF]]*Tabla2757[[#This Row],[Ponderador]]</f>
        <v>0</v>
      </c>
      <c r="L242" s="40">
        <v>0</v>
      </c>
      <c r="M242" s="30">
        <f>Tabla2757[[#This Row],[Precio por hora]]*Tabla2757[[#This Row],[Cantidad horas]]</f>
        <v>0</v>
      </c>
      <c r="N242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243" spans="2:14" x14ac:dyDescent="0.3">
      <c r="B243" s="28"/>
      <c r="C243" s="20"/>
      <c r="E243" s="136"/>
      <c r="F243" s="177">
        <f>_xlfn.XLOOKUP(Tabla2757[[#This Row],[Tipo de venta]],Tabla2329[Tipo de venta],Tabla2329[Moneda final], "Error - Seleccionar Tipo de Venta", 0,1)</f>
        <v>0</v>
      </c>
      <c r="G243" s="178"/>
      <c r="H243" s="21"/>
      <c r="I243" s="30">
        <f>_xlfn.XLOOKUP(Tabla2757[[#This Row],[Puesto Encargado]], Tabla9[Puesto], Tabla9[Precio cliente],0,1,1)</f>
        <v>0</v>
      </c>
      <c r="J243" s="30">
        <f>_xlfn.XLOOKUP(Tabla2757[[#This Row],[Cargo]], Tabla958[Cargos], Tabla958[Ponderador Precio],0,1,1)</f>
        <v>0</v>
      </c>
      <c r="K243" s="30">
        <f>Tabla2757[[#This Row],[Precio por hora UF]]*Tabla2757[[#This Row],[Ponderador]]</f>
        <v>0</v>
      </c>
      <c r="L243" s="40">
        <v>0</v>
      </c>
      <c r="M243" s="30">
        <f>Tabla2757[[#This Row],[Precio por hora]]*Tabla2757[[#This Row],[Cantidad horas]]</f>
        <v>0</v>
      </c>
      <c r="N243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244" spans="2:14" x14ac:dyDescent="0.3">
      <c r="B244" s="28"/>
      <c r="C244" s="20"/>
      <c r="E244" s="136"/>
      <c r="F244" s="177">
        <f>_xlfn.XLOOKUP(Tabla2757[[#This Row],[Tipo de venta]],Tabla2329[Tipo de venta],Tabla2329[Moneda final], "Error - Seleccionar Tipo de Venta", 0,1)</f>
        <v>0</v>
      </c>
      <c r="G244" s="178"/>
      <c r="H244" s="21"/>
      <c r="I244" s="30">
        <f>_xlfn.XLOOKUP(Tabla2757[[#This Row],[Puesto Encargado]], Tabla9[Puesto], Tabla9[Precio cliente],0,1,1)</f>
        <v>0</v>
      </c>
      <c r="J244" s="30">
        <f>_xlfn.XLOOKUP(Tabla2757[[#This Row],[Cargo]], Tabla958[Cargos], Tabla958[Ponderador Precio],0,1,1)</f>
        <v>0</v>
      </c>
      <c r="K244" s="30">
        <f>Tabla2757[[#This Row],[Precio por hora UF]]*Tabla2757[[#This Row],[Ponderador]]</f>
        <v>0</v>
      </c>
      <c r="L244" s="40">
        <v>0</v>
      </c>
      <c r="M244" s="30">
        <f>Tabla2757[[#This Row],[Precio por hora]]*Tabla2757[[#This Row],[Cantidad horas]]</f>
        <v>0</v>
      </c>
      <c r="N244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245" spans="2:14" x14ac:dyDescent="0.3">
      <c r="B245" s="28"/>
      <c r="C245" s="20"/>
      <c r="E245" s="136"/>
      <c r="F245" s="177">
        <f>_xlfn.XLOOKUP(Tabla2757[[#This Row],[Tipo de venta]],Tabla2329[Tipo de venta],Tabla2329[Moneda final], "Error - Seleccionar Tipo de Venta", 0,1)</f>
        <v>0</v>
      </c>
      <c r="G245" s="178"/>
      <c r="H245" s="21"/>
      <c r="I245" s="30">
        <f>_xlfn.XLOOKUP(Tabla2757[[#This Row],[Puesto Encargado]], Tabla9[Puesto], Tabla9[Precio cliente],0,1,1)</f>
        <v>0</v>
      </c>
      <c r="J245" s="30">
        <f>_xlfn.XLOOKUP(Tabla2757[[#This Row],[Cargo]], Tabla958[Cargos], Tabla958[Ponderador Precio],0,1,1)</f>
        <v>0</v>
      </c>
      <c r="K245" s="30">
        <f>Tabla2757[[#This Row],[Precio por hora UF]]*Tabla2757[[#This Row],[Ponderador]]</f>
        <v>0</v>
      </c>
      <c r="L245" s="40">
        <v>0</v>
      </c>
      <c r="M245" s="30">
        <f>Tabla2757[[#This Row],[Precio por hora]]*Tabla2757[[#This Row],[Cantidad horas]]</f>
        <v>0</v>
      </c>
      <c r="N245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246" spans="2:14" x14ac:dyDescent="0.3">
      <c r="B246" s="28"/>
      <c r="C246" s="20"/>
      <c r="E246" s="136"/>
      <c r="F246" s="177">
        <f>_xlfn.XLOOKUP(Tabla2757[[#This Row],[Tipo de venta]],Tabla2329[Tipo de venta],Tabla2329[Moneda final], "Error - Seleccionar Tipo de Venta", 0,1)</f>
        <v>0</v>
      </c>
      <c r="G246" s="178"/>
      <c r="H246" s="21"/>
      <c r="I246" s="30">
        <f>_xlfn.XLOOKUP(Tabla2757[[#This Row],[Puesto Encargado]], Tabla9[Puesto], Tabla9[Precio cliente],0,1,1)</f>
        <v>0</v>
      </c>
      <c r="J246" s="30">
        <f>_xlfn.XLOOKUP(Tabla2757[[#This Row],[Cargo]], Tabla958[Cargos], Tabla958[Ponderador Precio],0,1,1)</f>
        <v>0</v>
      </c>
      <c r="K246" s="30">
        <f>Tabla2757[[#This Row],[Precio por hora UF]]*Tabla2757[[#This Row],[Ponderador]]</f>
        <v>0</v>
      </c>
      <c r="L246" s="40">
        <v>0</v>
      </c>
      <c r="M246" s="30">
        <f>Tabla2757[[#This Row],[Precio por hora]]*Tabla2757[[#This Row],[Cantidad horas]]</f>
        <v>0</v>
      </c>
      <c r="N246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247" spans="2:14" x14ac:dyDescent="0.3">
      <c r="B247" s="28"/>
      <c r="C247" s="20"/>
      <c r="E247" s="136"/>
      <c r="F247" s="177">
        <f>_xlfn.XLOOKUP(Tabla2757[[#This Row],[Tipo de venta]],Tabla2329[Tipo de venta],Tabla2329[Moneda final], "Error - Seleccionar Tipo de Venta", 0,1)</f>
        <v>0</v>
      </c>
      <c r="G247" s="178"/>
      <c r="H247" s="21"/>
      <c r="I247" s="30">
        <f>_xlfn.XLOOKUP(Tabla2757[[#This Row],[Puesto Encargado]], Tabla9[Puesto], Tabla9[Precio cliente],0,1,1)</f>
        <v>0</v>
      </c>
      <c r="J247" s="30">
        <f>_xlfn.XLOOKUP(Tabla2757[[#This Row],[Cargo]], Tabla958[Cargos], Tabla958[Ponderador Precio],0,1,1)</f>
        <v>0</v>
      </c>
      <c r="K247" s="30">
        <f>Tabla2757[[#This Row],[Precio por hora UF]]*Tabla2757[[#This Row],[Ponderador]]</f>
        <v>0</v>
      </c>
      <c r="L247" s="40">
        <v>0</v>
      </c>
      <c r="M247" s="30">
        <f>Tabla2757[[#This Row],[Precio por hora]]*Tabla2757[[#This Row],[Cantidad horas]]</f>
        <v>0</v>
      </c>
      <c r="N247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248" spans="2:14" x14ac:dyDescent="0.3">
      <c r="B248" s="28"/>
      <c r="C248" s="20"/>
      <c r="E248" s="136"/>
      <c r="F248" s="177">
        <f>_xlfn.XLOOKUP(Tabla2757[[#This Row],[Tipo de venta]],Tabla2329[Tipo de venta],Tabla2329[Moneda final], "Error - Seleccionar Tipo de Venta", 0,1)</f>
        <v>0</v>
      </c>
      <c r="G248" s="178"/>
      <c r="H248" s="21"/>
      <c r="I248" s="30">
        <f>_xlfn.XLOOKUP(Tabla2757[[#This Row],[Puesto Encargado]], Tabla9[Puesto], Tabla9[Precio cliente],0,1,1)</f>
        <v>0</v>
      </c>
      <c r="J248" s="30">
        <f>_xlfn.XLOOKUP(Tabla2757[[#This Row],[Cargo]], Tabla958[Cargos], Tabla958[Ponderador Precio],0,1,1)</f>
        <v>0</v>
      </c>
      <c r="K248" s="30">
        <f>Tabla2757[[#This Row],[Precio por hora UF]]*Tabla2757[[#This Row],[Ponderador]]</f>
        <v>0</v>
      </c>
      <c r="L248" s="40">
        <v>0</v>
      </c>
      <c r="M248" s="30">
        <f>Tabla2757[[#This Row],[Precio por hora]]*Tabla2757[[#This Row],[Cantidad horas]]</f>
        <v>0</v>
      </c>
      <c r="N248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249" spans="2:14" x14ac:dyDescent="0.3">
      <c r="B249" s="28"/>
      <c r="C249" s="20"/>
      <c r="E249" s="136"/>
      <c r="F249" s="177">
        <f>_xlfn.XLOOKUP(Tabla2757[[#This Row],[Tipo de venta]],Tabla2329[Tipo de venta],Tabla2329[Moneda final], "Error - Seleccionar Tipo de Venta", 0,1)</f>
        <v>0</v>
      </c>
      <c r="G249" s="178"/>
      <c r="H249" s="21"/>
      <c r="I249" s="30">
        <f>_xlfn.XLOOKUP(Tabla2757[[#This Row],[Puesto Encargado]], Tabla9[Puesto], Tabla9[Precio cliente],0,1,1)</f>
        <v>0</v>
      </c>
      <c r="J249" s="30">
        <f>_xlfn.XLOOKUP(Tabla2757[[#This Row],[Cargo]], Tabla958[Cargos], Tabla958[Ponderador Precio],0,1,1)</f>
        <v>0</v>
      </c>
      <c r="K249" s="30">
        <f>Tabla2757[[#This Row],[Precio por hora UF]]*Tabla2757[[#This Row],[Ponderador]]</f>
        <v>0</v>
      </c>
      <c r="L249" s="40">
        <v>0</v>
      </c>
      <c r="M249" s="30">
        <f>Tabla2757[[#This Row],[Precio por hora]]*Tabla2757[[#This Row],[Cantidad horas]]</f>
        <v>0</v>
      </c>
      <c r="N249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250" spans="2:14" x14ac:dyDescent="0.3">
      <c r="B250" s="28"/>
      <c r="C250" s="20"/>
      <c r="E250" s="136"/>
      <c r="F250" s="177">
        <f>_xlfn.XLOOKUP(Tabla2757[[#This Row],[Tipo de venta]],Tabla2329[Tipo de venta],Tabla2329[Moneda final], "Error - Seleccionar Tipo de Venta", 0,1)</f>
        <v>0</v>
      </c>
      <c r="G250" s="178"/>
      <c r="H250" s="21"/>
      <c r="I250" s="30">
        <f>_xlfn.XLOOKUP(Tabla2757[[#This Row],[Puesto Encargado]], Tabla9[Puesto], Tabla9[Precio cliente],0,1,1)</f>
        <v>0</v>
      </c>
      <c r="J250" s="30">
        <f>_xlfn.XLOOKUP(Tabla2757[[#This Row],[Cargo]], Tabla958[Cargos], Tabla958[Ponderador Precio],0,1,1)</f>
        <v>0</v>
      </c>
      <c r="K250" s="30">
        <f>Tabla2757[[#This Row],[Precio por hora UF]]*Tabla2757[[#This Row],[Ponderador]]</f>
        <v>0</v>
      </c>
      <c r="L250" s="40">
        <v>0</v>
      </c>
      <c r="M250" s="30">
        <f>Tabla2757[[#This Row],[Precio por hora]]*Tabla2757[[#This Row],[Cantidad horas]]</f>
        <v>0</v>
      </c>
      <c r="N250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251" spans="2:14" x14ac:dyDescent="0.3">
      <c r="B251" s="28"/>
      <c r="C251" s="20"/>
      <c r="E251" s="136"/>
      <c r="F251" s="177">
        <f>_xlfn.XLOOKUP(Tabla2757[[#This Row],[Tipo de venta]],Tabla2329[Tipo de venta],Tabla2329[Moneda final], "Error - Seleccionar Tipo de Venta", 0,1)</f>
        <v>0</v>
      </c>
      <c r="G251" s="178"/>
      <c r="H251" s="21"/>
      <c r="I251" s="30">
        <f>_xlfn.XLOOKUP(Tabla2757[[#This Row],[Puesto Encargado]], Tabla9[Puesto], Tabla9[Precio cliente],0,1,1)</f>
        <v>0</v>
      </c>
      <c r="J251" s="30">
        <f>_xlfn.XLOOKUP(Tabla2757[[#This Row],[Cargo]], Tabla958[Cargos], Tabla958[Ponderador Precio],0,1,1)</f>
        <v>0</v>
      </c>
      <c r="K251" s="30">
        <f>Tabla2757[[#This Row],[Precio por hora UF]]*Tabla2757[[#This Row],[Ponderador]]</f>
        <v>0</v>
      </c>
      <c r="L251" s="40">
        <v>0</v>
      </c>
      <c r="M251" s="30">
        <f>Tabla2757[[#This Row],[Precio por hora]]*Tabla2757[[#This Row],[Cantidad horas]]</f>
        <v>0</v>
      </c>
      <c r="N251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252" spans="2:14" x14ac:dyDescent="0.3">
      <c r="B252" s="28"/>
      <c r="C252" s="20"/>
      <c r="E252" s="136"/>
      <c r="F252" s="177">
        <f>_xlfn.XLOOKUP(Tabla2757[[#This Row],[Tipo de venta]],Tabla2329[Tipo de venta],Tabla2329[Moneda final], "Error - Seleccionar Tipo de Venta", 0,1)</f>
        <v>0</v>
      </c>
      <c r="G252" s="178"/>
      <c r="H252" s="21"/>
      <c r="I252" s="30">
        <f>_xlfn.XLOOKUP(Tabla2757[[#This Row],[Puesto Encargado]], Tabla9[Puesto], Tabla9[Precio cliente],0,1,1)</f>
        <v>0</v>
      </c>
      <c r="J252" s="30">
        <f>_xlfn.XLOOKUP(Tabla2757[[#This Row],[Cargo]], Tabla958[Cargos], Tabla958[Ponderador Precio],0,1,1)</f>
        <v>0</v>
      </c>
      <c r="K252" s="30">
        <f>Tabla2757[[#This Row],[Precio por hora UF]]*Tabla2757[[#This Row],[Ponderador]]</f>
        <v>0</v>
      </c>
      <c r="L252" s="40">
        <v>0</v>
      </c>
      <c r="M252" s="30">
        <f>Tabla2757[[#This Row],[Precio por hora]]*Tabla2757[[#This Row],[Cantidad horas]]</f>
        <v>0</v>
      </c>
      <c r="N252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253" spans="2:14" x14ac:dyDescent="0.3">
      <c r="B253" s="28"/>
      <c r="C253" s="20"/>
      <c r="E253" s="136"/>
      <c r="F253" s="177">
        <f>_xlfn.XLOOKUP(Tabla2757[[#This Row],[Tipo de venta]],Tabla2329[Tipo de venta],Tabla2329[Moneda final], "Error - Seleccionar Tipo de Venta", 0,1)</f>
        <v>0</v>
      </c>
      <c r="G253" s="178"/>
      <c r="H253" s="21"/>
      <c r="I253" s="30">
        <f>_xlfn.XLOOKUP(Tabla2757[[#This Row],[Puesto Encargado]], Tabla9[Puesto], Tabla9[Precio cliente],0,1,1)</f>
        <v>0</v>
      </c>
      <c r="J253" s="30">
        <f>_xlfn.XLOOKUP(Tabla2757[[#This Row],[Cargo]], Tabla958[Cargos], Tabla958[Ponderador Precio],0,1,1)</f>
        <v>0</v>
      </c>
      <c r="K253" s="30">
        <f>Tabla2757[[#This Row],[Precio por hora UF]]*Tabla2757[[#This Row],[Ponderador]]</f>
        <v>0</v>
      </c>
      <c r="L253" s="40">
        <v>0</v>
      </c>
      <c r="M253" s="30">
        <f>Tabla2757[[#This Row],[Precio por hora]]*Tabla2757[[#This Row],[Cantidad horas]]</f>
        <v>0</v>
      </c>
      <c r="N253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254" spans="2:14" x14ac:dyDescent="0.3">
      <c r="B254" s="28"/>
      <c r="C254" s="20"/>
      <c r="E254" s="136"/>
      <c r="F254" s="177">
        <f>_xlfn.XLOOKUP(Tabla2757[[#This Row],[Tipo de venta]],Tabla2329[Tipo de venta],Tabla2329[Moneda final], "Error - Seleccionar Tipo de Venta", 0,1)</f>
        <v>0</v>
      </c>
      <c r="G254" s="178"/>
      <c r="H254" s="21"/>
      <c r="I254" s="30">
        <f>_xlfn.XLOOKUP(Tabla2757[[#This Row],[Puesto Encargado]], Tabla9[Puesto], Tabla9[Precio cliente],0,1,1)</f>
        <v>0</v>
      </c>
      <c r="J254" s="30">
        <f>_xlfn.XLOOKUP(Tabla2757[[#This Row],[Cargo]], Tabla958[Cargos], Tabla958[Ponderador Precio],0,1,1)</f>
        <v>0</v>
      </c>
      <c r="K254" s="30">
        <f>Tabla2757[[#This Row],[Precio por hora UF]]*Tabla2757[[#This Row],[Ponderador]]</f>
        <v>0</v>
      </c>
      <c r="L254" s="40">
        <v>0</v>
      </c>
      <c r="M254" s="30">
        <f>Tabla2757[[#This Row],[Precio por hora]]*Tabla2757[[#This Row],[Cantidad horas]]</f>
        <v>0</v>
      </c>
      <c r="N254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255" spans="2:14" x14ac:dyDescent="0.3">
      <c r="B255" s="28"/>
      <c r="C255" s="20"/>
      <c r="E255" s="136"/>
      <c r="F255" s="177">
        <f>_xlfn.XLOOKUP(Tabla2757[[#This Row],[Tipo de venta]],Tabla2329[Tipo de venta],Tabla2329[Moneda final], "Error - Seleccionar Tipo de Venta", 0,1)</f>
        <v>0</v>
      </c>
      <c r="G255" s="178"/>
      <c r="H255" s="21"/>
      <c r="I255" s="30">
        <f>_xlfn.XLOOKUP(Tabla2757[[#This Row],[Puesto Encargado]], Tabla9[Puesto], Tabla9[Precio cliente],0,1,1)</f>
        <v>0</v>
      </c>
      <c r="J255" s="30">
        <f>_xlfn.XLOOKUP(Tabla2757[[#This Row],[Cargo]], Tabla958[Cargos], Tabla958[Ponderador Precio],0,1,1)</f>
        <v>0</v>
      </c>
      <c r="K255" s="30">
        <f>Tabla2757[[#This Row],[Precio por hora UF]]*Tabla2757[[#This Row],[Ponderador]]</f>
        <v>0</v>
      </c>
      <c r="L255" s="40">
        <v>0</v>
      </c>
      <c r="M255" s="30">
        <f>Tabla2757[[#This Row],[Precio por hora]]*Tabla2757[[#This Row],[Cantidad horas]]</f>
        <v>0</v>
      </c>
      <c r="N255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256" spans="2:14" x14ac:dyDescent="0.3">
      <c r="B256" s="28"/>
      <c r="C256" s="20"/>
      <c r="E256" s="136"/>
      <c r="F256" s="177">
        <f>_xlfn.XLOOKUP(Tabla2757[[#This Row],[Tipo de venta]],Tabla2329[Tipo de venta],Tabla2329[Moneda final], "Error - Seleccionar Tipo de Venta", 0,1)</f>
        <v>0</v>
      </c>
      <c r="G256" s="178"/>
      <c r="H256" s="21"/>
      <c r="I256" s="30">
        <f>_xlfn.XLOOKUP(Tabla2757[[#This Row],[Puesto Encargado]], Tabla9[Puesto], Tabla9[Precio cliente],0,1,1)</f>
        <v>0</v>
      </c>
      <c r="J256" s="30">
        <f>_xlfn.XLOOKUP(Tabla2757[[#This Row],[Cargo]], Tabla958[Cargos], Tabla958[Ponderador Precio],0,1,1)</f>
        <v>0</v>
      </c>
      <c r="K256" s="30">
        <f>Tabla2757[[#This Row],[Precio por hora UF]]*Tabla2757[[#This Row],[Ponderador]]</f>
        <v>0</v>
      </c>
      <c r="L256" s="40">
        <v>0</v>
      </c>
      <c r="M256" s="30">
        <f>Tabla2757[[#This Row],[Precio por hora]]*Tabla2757[[#This Row],[Cantidad horas]]</f>
        <v>0</v>
      </c>
      <c r="N256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257" spans="2:14" x14ac:dyDescent="0.3">
      <c r="B257" s="28"/>
      <c r="C257" s="20"/>
      <c r="E257" s="136"/>
      <c r="F257" s="177">
        <f>_xlfn.XLOOKUP(Tabla2757[[#This Row],[Tipo de venta]],Tabla2329[Tipo de venta],Tabla2329[Moneda final], "Error - Seleccionar Tipo de Venta", 0,1)</f>
        <v>0</v>
      </c>
      <c r="G257" s="178"/>
      <c r="H257" s="21"/>
      <c r="I257" s="30">
        <f>_xlfn.XLOOKUP(Tabla2757[[#This Row],[Puesto Encargado]], Tabla9[Puesto], Tabla9[Precio cliente],0,1,1)</f>
        <v>0</v>
      </c>
      <c r="J257" s="30">
        <f>_xlfn.XLOOKUP(Tabla2757[[#This Row],[Cargo]], Tabla958[Cargos], Tabla958[Ponderador Precio],0,1,1)</f>
        <v>0</v>
      </c>
      <c r="K257" s="30">
        <f>Tabla2757[[#This Row],[Precio por hora UF]]*Tabla2757[[#This Row],[Ponderador]]</f>
        <v>0</v>
      </c>
      <c r="L257" s="40">
        <v>0</v>
      </c>
      <c r="M257" s="30">
        <f>Tabla2757[[#This Row],[Precio por hora]]*Tabla2757[[#This Row],[Cantidad horas]]</f>
        <v>0</v>
      </c>
      <c r="N257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258" spans="2:14" x14ac:dyDescent="0.3">
      <c r="B258" s="28"/>
      <c r="C258" s="20"/>
      <c r="E258" s="136"/>
      <c r="F258" s="177">
        <f>_xlfn.XLOOKUP(Tabla2757[[#This Row],[Tipo de venta]],Tabla2329[Tipo de venta],Tabla2329[Moneda final], "Error - Seleccionar Tipo de Venta", 0,1)</f>
        <v>0</v>
      </c>
      <c r="G258" s="178"/>
      <c r="H258" s="21"/>
      <c r="I258" s="30">
        <f>_xlfn.XLOOKUP(Tabla2757[[#This Row],[Puesto Encargado]], Tabla9[Puesto], Tabla9[Precio cliente],0,1,1)</f>
        <v>0</v>
      </c>
      <c r="J258" s="30">
        <f>_xlfn.XLOOKUP(Tabla2757[[#This Row],[Cargo]], Tabla958[Cargos], Tabla958[Ponderador Precio],0,1,1)</f>
        <v>0</v>
      </c>
      <c r="K258" s="30">
        <f>Tabla2757[[#This Row],[Precio por hora UF]]*Tabla2757[[#This Row],[Ponderador]]</f>
        <v>0</v>
      </c>
      <c r="L258" s="40">
        <v>0</v>
      </c>
      <c r="M258" s="30">
        <f>Tabla2757[[#This Row],[Precio por hora]]*Tabla2757[[#This Row],[Cantidad horas]]</f>
        <v>0</v>
      </c>
      <c r="N258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259" spans="2:14" x14ac:dyDescent="0.3">
      <c r="B259" s="28"/>
      <c r="C259" s="20"/>
      <c r="E259" s="136"/>
      <c r="F259" s="177">
        <f>_xlfn.XLOOKUP(Tabla2757[[#This Row],[Tipo de venta]],Tabla2329[Tipo de venta],Tabla2329[Moneda final], "Error - Seleccionar Tipo de Venta", 0,1)</f>
        <v>0</v>
      </c>
      <c r="G259" s="178"/>
      <c r="H259" s="21"/>
      <c r="I259" s="30">
        <f>_xlfn.XLOOKUP(Tabla2757[[#This Row],[Puesto Encargado]], Tabla9[Puesto], Tabla9[Precio cliente],0,1,1)</f>
        <v>0</v>
      </c>
      <c r="J259" s="30">
        <f>_xlfn.XLOOKUP(Tabla2757[[#This Row],[Cargo]], Tabla958[Cargos], Tabla958[Ponderador Precio],0,1,1)</f>
        <v>0</v>
      </c>
      <c r="K259" s="30">
        <f>Tabla2757[[#This Row],[Precio por hora UF]]*Tabla2757[[#This Row],[Ponderador]]</f>
        <v>0</v>
      </c>
      <c r="L259" s="40">
        <v>0</v>
      </c>
      <c r="M259" s="30">
        <f>Tabla2757[[#This Row],[Precio por hora]]*Tabla2757[[#This Row],[Cantidad horas]]</f>
        <v>0</v>
      </c>
      <c r="N259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260" spans="2:14" x14ac:dyDescent="0.3">
      <c r="B260" s="28"/>
      <c r="C260" s="20"/>
      <c r="E260" s="136"/>
      <c r="F260" s="177">
        <f>_xlfn.XLOOKUP(Tabla2757[[#This Row],[Tipo de venta]],Tabla2329[Tipo de venta],Tabla2329[Moneda final], "Error - Seleccionar Tipo de Venta", 0,1)</f>
        <v>0</v>
      </c>
      <c r="G260" s="178"/>
      <c r="H260" s="21"/>
      <c r="I260" s="30">
        <f>_xlfn.XLOOKUP(Tabla2757[[#This Row],[Puesto Encargado]], Tabla9[Puesto], Tabla9[Precio cliente],0,1,1)</f>
        <v>0</v>
      </c>
      <c r="J260" s="30">
        <f>_xlfn.XLOOKUP(Tabla2757[[#This Row],[Cargo]], Tabla958[Cargos], Tabla958[Ponderador Precio],0,1,1)</f>
        <v>0</v>
      </c>
      <c r="K260" s="30">
        <f>Tabla2757[[#This Row],[Precio por hora UF]]*Tabla2757[[#This Row],[Ponderador]]</f>
        <v>0</v>
      </c>
      <c r="L260" s="40">
        <v>0</v>
      </c>
      <c r="M260" s="30">
        <f>Tabla2757[[#This Row],[Precio por hora]]*Tabla2757[[#This Row],[Cantidad horas]]</f>
        <v>0</v>
      </c>
      <c r="N260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261" spans="2:14" x14ac:dyDescent="0.3">
      <c r="B261" s="28"/>
      <c r="C261" s="20"/>
      <c r="E261" s="136"/>
      <c r="F261" s="177">
        <f>_xlfn.XLOOKUP(Tabla2757[[#This Row],[Tipo de venta]],Tabla2329[Tipo de venta],Tabla2329[Moneda final], "Error - Seleccionar Tipo de Venta", 0,1)</f>
        <v>0</v>
      </c>
      <c r="G261" s="178"/>
      <c r="H261" s="21"/>
      <c r="I261" s="30">
        <f>_xlfn.XLOOKUP(Tabla2757[[#This Row],[Puesto Encargado]], Tabla9[Puesto], Tabla9[Precio cliente],0,1,1)</f>
        <v>0</v>
      </c>
      <c r="J261" s="30">
        <f>_xlfn.XLOOKUP(Tabla2757[[#This Row],[Cargo]], Tabla958[Cargos], Tabla958[Ponderador Precio],0,1,1)</f>
        <v>0</v>
      </c>
      <c r="K261" s="30">
        <f>Tabla2757[[#This Row],[Precio por hora UF]]*Tabla2757[[#This Row],[Ponderador]]</f>
        <v>0</v>
      </c>
      <c r="L261" s="40">
        <v>0</v>
      </c>
      <c r="M261" s="30">
        <f>Tabla2757[[#This Row],[Precio por hora]]*Tabla2757[[#This Row],[Cantidad horas]]</f>
        <v>0</v>
      </c>
      <c r="N261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262" spans="2:14" x14ac:dyDescent="0.3">
      <c r="B262" s="28"/>
      <c r="C262" s="20"/>
      <c r="E262" s="136"/>
      <c r="F262" s="177">
        <f>_xlfn.XLOOKUP(Tabla2757[[#This Row],[Tipo de venta]],Tabla2329[Tipo de venta],Tabla2329[Moneda final], "Error - Seleccionar Tipo de Venta", 0,1)</f>
        <v>0</v>
      </c>
      <c r="G262" s="178"/>
      <c r="H262" s="21"/>
      <c r="I262" s="30">
        <f>_xlfn.XLOOKUP(Tabla2757[[#This Row],[Puesto Encargado]], Tabla9[Puesto], Tabla9[Precio cliente],0,1,1)</f>
        <v>0</v>
      </c>
      <c r="J262" s="30">
        <f>_xlfn.XLOOKUP(Tabla2757[[#This Row],[Cargo]], Tabla958[Cargos], Tabla958[Ponderador Precio],0,1,1)</f>
        <v>0</v>
      </c>
      <c r="K262" s="30">
        <f>Tabla2757[[#This Row],[Precio por hora UF]]*Tabla2757[[#This Row],[Ponderador]]</f>
        <v>0</v>
      </c>
      <c r="L262" s="40">
        <v>0</v>
      </c>
      <c r="M262" s="30">
        <f>Tabla2757[[#This Row],[Precio por hora]]*Tabla2757[[#This Row],[Cantidad horas]]</f>
        <v>0</v>
      </c>
      <c r="N262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263" spans="2:14" x14ac:dyDescent="0.3">
      <c r="B263" s="28"/>
      <c r="C263" s="20"/>
      <c r="E263" s="136"/>
      <c r="F263" s="177">
        <f>_xlfn.XLOOKUP(Tabla2757[[#This Row],[Tipo de venta]],Tabla2329[Tipo de venta],Tabla2329[Moneda final], "Error - Seleccionar Tipo de Venta", 0,1)</f>
        <v>0</v>
      </c>
      <c r="G263" s="178"/>
      <c r="H263" s="21"/>
      <c r="I263" s="30">
        <f>_xlfn.XLOOKUP(Tabla2757[[#This Row],[Puesto Encargado]], Tabla9[Puesto], Tabla9[Precio cliente],0,1,1)</f>
        <v>0</v>
      </c>
      <c r="J263" s="30">
        <f>_xlfn.XLOOKUP(Tabla2757[[#This Row],[Cargo]], Tabla958[Cargos], Tabla958[Ponderador Precio],0,1,1)</f>
        <v>0</v>
      </c>
      <c r="K263" s="30">
        <f>Tabla2757[[#This Row],[Precio por hora UF]]*Tabla2757[[#This Row],[Ponderador]]</f>
        <v>0</v>
      </c>
      <c r="L263" s="40">
        <v>0</v>
      </c>
      <c r="M263" s="30">
        <f>Tabla2757[[#This Row],[Precio por hora]]*Tabla2757[[#This Row],[Cantidad horas]]</f>
        <v>0</v>
      </c>
      <c r="N263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264" spans="2:14" x14ac:dyDescent="0.3">
      <c r="B264" s="28"/>
      <c r="C264" s="20"/>
      <c r="E264" s="136"/>
      <c r="F264" s="177">
        <f>_xlfn.XLOOKUP(Tabla2757[[#This Row],[Tipo de venta]],Tabla2329[Tipo de venta],Tabla2329[Moneda final], "Error - Seleccionar Tipo de Venta", 0,1)</f>
        <v>0</v>
      </c>
      <c r="G264" s="178"/>
      <c r="H264" s="21"/>
      <c r="I264" s="30">
        <f>_xlfn.XLOOKUP(Tabla2757[[#This Row],[Puesto Encargado]], Tabla9[Puesto], Tabla9[Precio cliente],0,1,1)</f>
        <v>0</v>
      </c>
      <c r="J264" s="30">
        <f>_xlfn.XLOOKUP(Tabla2757[[#This Row],[Cargo]], Tabla958[Cargos], Tabla958[Ponderador Precio],0,1,1)</f>
        <v>0</v>
      </c>
      <c r="K264" s="30">
        <f>Tabla2757[[#This Row],[Precio por hora UF]]*Tabla2757[[#This Row],[Ponderador]]</f>
        <v>0</v>
      </c>
      <c r="L264" s="40">
        <v>0</v>
      </c>
      <c r="M264" s="30">
        <f>Tabla2757[[#This Row],[Precio por hora]]*Tabla2757[[#This Row],[Cantidad horas]]</f>
        <v>0</v>
      </c>
      <c r="N264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265" spans="2:14" x14ac:dyDescent="0.3">
      <c r="B265" s="28"/>
      <c r="C265" s="20"/>
      <c r="E265" s="136"/>
      <c r="F265" s="177">
        <f>_xlfn.XLOOKUP(Tabla2757[[#This Row],[Tipo de venta]],Tabla2329[Tipo de venta],Tabla2329[Moneda final], "Error - Seleccionar Tipo de Venta", 0,1)</f>
        <v>0</v>
      </c>
      <c r="G265" s="178"/>
      <c r="H265" s="21"/>
      <c r="I265" s="30">
        <f>_xlfn.XLOOKUP(Tabla2757[[#This Row],[Puesto Encargado]], Tabla9[Puesto], Tabla9[Precio cliente],0,1,1)</f>
        <v>0</v>
      </c>
      <c r="J265" s="30">
        <f>_xlfn.XLOOKUP(Tabla2757[[#This Row],[Cargo]], Tabla958[Cargos], Tabla958[Ponderador Precio],0,1,1)</f>
        <v>0</v>
      </c>
      <c r="K265" s="30">
        <f>Tabla2757[[#This Row],[Precio por hora UF]]*Tabla2757[[#This Row],[Ponderador]]</f>
        <v>0</v>
      </c>
      <c r="L265" s="40">
        <v>0</v>
      </c>
      <c r="M265" s="30">
        <f>Tabla2757[[#This Row],[Precio por hora]]*Tabla2757[[#This Row],[Cantidad horas]]</f>
        <v>0</v>
      </c>
      <c r="N265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266" spans="2:14" x14ac:dyDescent="0.3">
      <c r="B266" s="28"/>
      <c r="C266" s="20"/>
      <c r="E266" s="136"/>
      <c r="F266" s="177">
        <f>_xlfn.XLOOKUP(Tabla2757[[#This Row],[Tipo de venta]],Tabla2329[Tipo de venta],Tabla2329[Moneda final], "Error - Seleccionar Tipo de Venta", 0,1)</f>
        <v>0</v>
      </c>
      <c r="G266" s="178"/>
      <c r="H266" s="21"/>
      <c r="I266" s="30">
        <f>_xlfn.XLOOKUP(Tabla2757[[#This Row],[Puesto Encargado]], Tabla9[Puesto], Tabla9[Precio cliente],0,1,1)</f>
        <v>0</v>
      </c>
      <c r="J266" s="30">
        <f>_xlfn.XLOOKUP(Tabla2757[[#This Row],[Cargo]], Tabla958[Cargos], Tabla958[Ponderador Precio],0,1,1)</f>
        <v>0</v>
      </c>
      <c r="K266" s="30">
        <f>Tabla2757[[#This Row],[Precio por hora UF]]*Tabla2757[[#This Row],[Ponderador]]</f>
        <v>0</v>
      </c>
      <c r="L266" s="40">
        <v>0</v>
      </c>
      <c r="M266" s="30">
        <f>Tabla2757[[#This Row],[Precio por hora]]*Tabla2757[[#This Row],[Cantidad horas]]</f>
        <v>0</v>
      </c>
      <c r="N266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267" spans="2:14" x14ac:dyDescent="0.3">
      <c r="B267" s="28"/>
      <c r="C267" s="20"/>
      <c r="E267" s="136"/>
      <c r="F267" s="177">
        <f>_xlfn.XLOOKUP(Tabla2757[[#This Row],[Tipo de venta]],Tabla2329[Tipo de venta],Tabla2329[Moneda final], "Error - Seleccionar Tipo de Venta", 0,1)</f>
        <v>0</v>
      </c>
      <c r="G267" s="178"/>
      <c r="H267" s="21"/>
      <c r="I267" s="30">
        <f>_xlfn.XLOOKUP(Tabla2757[[#This Row],[Puesto Encargado]], Tabla9[Puesto], Tabla9[Precio cliente],0,1,1)</f>
        <v>0</v>
      </c>
      <c r="J267" s="30">
        <f>_xlfn.XLOOKUP(Tabla2757[[#This Row],[Cargo]], Tabla958[Cargos], Tabla958[Ponderador Precio],0,1,1)</f>
        <v>0</v>
      </c>
      <c r="K267" s="30">
        <f>Tabla2757[[#This Row],[Precio por hora UF]]*Tabla2757[[#This Row],[Ponderador]]</f>
        <v>0</v>
      </c>
      <c r="L267" s="40">
        <v>0</v>
      </c>
      <c r="M267" s="30">
        <f>Tabla2757[[#This Row],[Precio por hora]]*Tabla2757[[#This Row],[Cantidad horas]]</f>
        <v>0</v>
      </c>
      <c r="N267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268" spans="2:14" x14ac:dyDescent="0.3">
      <c r="B268" s="28"/>
      <c r="C268" s="20"/>
      <c r="E268" s="136"/>
      <c r="F268" s="177">
        <f>_xlfn.XLOOKUP(Tabla2757[[#This Row],[Tipo de venta]],Tabla2329[Tipo de venta],Tabla2329[Moneda final], "Error - Seleccionar Tipo de Venta", 0,1)</f>
        <v>0</v>
      </c>
      <c r="G268" s="178"/>
      <c r="H268" s="21"/>
      <c r="I268" s="30">
        <f>_xlfn.XLOOKUP(Tabla2757[[#This Row],[Puesto Encargado]], Tabla9[Puesto], Tabla9[Precio cliente],0,1,1)</f>
        <v>0</v>
      </c>
      <c r="J268" s="30">
        <f>_xlfn.XLOOKUP(Tabla2757[[#This Row],[Cargo]], Tabla958[Cargos], Tabla958[Ponderador Precio],0,1,1)</f>
        <v>0</v>
      </c>
      <c r="K268" s="30">
        <f>Tabla2757[[#This Row],[Precio por hora UF]]*Tabla2757[[#This Row],[Ponderador]]</f>
        <v>0</v>
      </c>
      <c r="L268" s="40">
        <v>0</v>
      </c>
      <c r="M268" s="30">
        <f>Tabla2757[[#This Row],[Precio por hora]]*Tabla2757[[#This Row],[Cantidad horas]]</f>
        <v>0</v>
      </c>
      <c r="N268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269" spans="2:14" x14ac:dyDescent="0.3">
      <c r="B269" s="28"/>
      <c r="C269" s="20"/>
      <c r="E269" s="136"/>
      <c r="F269" s="177">
        <f>_xlfn.XLOOKUP(Tabla2757[[#This Row],[Tipo de venta]],Tabla2329[Tipo de venta],Tabla2329[Moneda final], "Error - Seleccionar Tipo de Venta", 0,1)</f>
        <v>0</v>
      </c>
      <c r="G269" s="178"/>
      <c r="H269" s="21"/>
      <c r="I269" s="30">
        <f>_xlfn.XLOOKUP(Tabla2757[[#This Row],[Puesto Encargado]], Tabla9[Puesto], Tabla9[Precio cliente],0,1,1)</f>
        <v>0</v>
      </c>
      <c r="J269" s="30">
        <f>_xlfn.XLOOKUP(Tabla2757[[#This Row],[Cargo]], Tabla958[Cargos], Tabla958[Ponderador Precio],0,1,1)</f>
        <v>0</v>
      </c>
      <c r="K269" s="30">
        <f>Tabla2757[[#This Row],[Precio por hora UF]]*Tabla2757[[#This Row],[Ponderador]]</f>
        <v>0</v>
      </c>
      <c r="L269" s="40">
        <v>0</v>
      </c>
      <c r="M269" s="30">
        <f>Tabla2757[[#This Row],[Precio por hora]]*Tabla2757[[#This Row],[Cantidad horas]]</f>
        <v>0</v>
      </c>
      <c r="N269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270" spans="2:14" x14ac:dyDescent="0.3">
      <c r="B270" s="28"/>
      <c r="C270" s="20"/>
      <c r="E270" s="136"/>
      <c r="F270" s="177">
        <f>_xlfn.XLOOKUP(Tabla2757[[#This Row],[Tipo de venta]],Tabla2329[Tipo de venta],Tabla2329[Moneda final], "Error - Seleccionar Tipo de Venta", 0,1)</f>
        <v>0</v>
      </c>
      <c r="G270" s="178"/>
      <c r="H270" s="21"/>
      <c r="I270" s="30">
        <f>_xlfn.XLOOKUP(Tabla2757[[#This Row],[Puesto Encargado]], Tabla9[Puesto], Tabla9[Precio cliente],0,1,1)</f>
        <v>0</v>
      </c>
      <c r="J270" s="30">
        <f>_xlfn.XLOOKUP(Tabla2757[[#This Row],[Cargo]], Tabla958[Cargos], Tabla958[Ponderador Precio],0,1,1)</f>
        <v>0</v>
      </c>
      <c r="K270" s="30">
        <f>Tabla2757[[#This Row],[Precio por hora UF]]*Tabla2757[[#This Row],[Ponderador]]</f>
        <v>0</v>
      </c>
      <c r="L270" s="40">
        <v>0</v>
      </c>
      <c r="M270" s="30">
        <f>Tabla2757[[#This Row],[Precio por hora]]*Tabla2757[[#This Row],[Cantidad horas]]</f>
        <v>0</v>
      </c>
      <c r="N270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271" spans="2:14" x14ac:dyDescent="0.3">
      <c r="B271" s="28"/>
      <c r="C271" s="20"/>
      <c r="E271" s="136"/>
      <c r="F271" s="177">
        <f>_xlfn.XLOOKUP(Tabla2757[[#This Row],[Tipo de venta]],Tabla2329[Tipo de venta],Tabla2329[Moneda final], "Error - Seleccionar Tipo de Venta", 0,1)</f>
        <v>0</v>
      </c>
      <c r="G271" s="178"/>
      <c r="H271" s="21"/>
      <c r="I271" s="30">
        <f>_xlfn.XLOOKUP(Tabla2757[[#This Row],[Puesto Encargado]], Tabla9[Puesto], Tabla9[Precio cliente],0,1,1)</f>
        <v>0</v>
      </c>
      <c r="J271" s="30">
        <f>_xlfn.XLOOKUP(Tabla2757[[#This Row],[Cargo]], Tabla958[Cargos], Tabla958[Ponderador Precio],0,1,1)</f>
        <v>0</v>
      </c>
      <c r="K271" s="30">
        <f>Tabla2757[[#This Row],[Precio por hora UF]]*Tabla2757[[#This Row],[Ponderador]]</f>
        <v>0</v>
      </c>
      <c r="L271" s="40">
        <v>0</v>
      </c>
      <c r="M271" s="30">
        <f>Tabla2757[[#This Row],[Precio por hora]]*Tabla2757[[#This Row],[Cantidad horas]]</f>
        <v>0</v>
      </c>
      <c r="N271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272" spans="2:14" x14ac:dyDescent="0.3">
      <c r="B272" s="28"/>
      <c r="C272" s="20"/>
      <c r="E272" s="136"/>
      <c r="F272" s="177">
        <f>_xlfn.XLOOKUP(Tabla2757[[#This Row],[Tipo de venta]],Tabla2329[Tipo de venta],Tabla2329[Moneda final], "Error - Seleccionar Tipo de Venta", 0,1)</f>
        <v>0</v>
      </c>
      <c r="G272" s="178"/>
      <c r="H272" s="21"/>
      <c r="I272" s="30">
        <f>_xlfn.XLOOKUP(Tabla2757[[#This Row],[Puesto Encargado]], Tabla9[Puesto], Tabla9[Precio cliente],0,1,1)</f>
        <v>0</v>
      </c>
      <c r="J272" s="30">
        <f>_xlfn.XLOOKUP(Tabla2757[[#This Row],[Cargo]], Tabla958[Cargos], Tabla958[Ponderador Precio],0,1,1)</f>
        <v>0</v>
      </c>
      <c r="K272" s="30">
        <f>Tabla2757[[#This Row],[Precio por hora UF]]*Tabla2757[[#This Row],[Ponderador]]</f>
        <v>0</v>
      </c>
      <c r="L272" s="40">
        <v>0</v>
      </c>
      <c r="M272" s="30">
        <f>Tabla2757[[#This Row],[Precio por hora]]*Tabla2757[[#This Row],[Cantidad horas]]</f>
        <v>0</v>
      </c>
      <c r="N272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273" spans="2:14" x14ac:dyDescent="0.3">
      <c r="B273" s="28"/>
      <c r="C273" s="20"/>
      <c r="E273" s="136"/>
      <c r="F273" s="177">
        <f>_xlfn.XLOOKUP(Tabla2757[[#This Row],[Tipo de venta]],Tabla2329[Tipo de venta],Tabla2329[Moneda final], "Error - Seleccionar Tipo de Venta", 0,1)</f>
        <v>0</v>
      </c>
      <c r="G273" s="178"/>
      <c r="H273" s="21"/>
      <c r="I273" s="30">
        <f>_xlfn.XLOOKUP(Tabla2757[[#This Row],[Puesto Encargado]], Tabla9[Puesto], Tabla9[Precio cliente],0,1,1)</f>
        <v>0</v>
      </c>
      <c r="J273" s="30">
        <f>_xlfn.XLOOKUP(Tabla2757[[#This Row],[Cargo]], Tabla958[Cargos], Tabla958[Ponderador Precio],0,1,1)</f>
        <v>0</v>
      </c>
      <c r="K273" s="30">
        <f>Tabla2757[[#This Row],[Precio por hora UF]]*Tabla2757[[#This Row],[Ponderador]]</f>
        <v>0</v>
      </c>
      <c r="L273" s="40">
        <v>0</v>
      </c>
      <c r="M273" s="30">
        <f>Tabla2757[[#This Row],[Precio por hora]]*Tabla2757[[#This Row],[Cantidad horas]]</f>
        <v>0</v>
      </c>
      <c r="N273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274" spans="2:14" x14ac:dyDescent="0.3">
      <c r="B274" s="28"/>
      <c r="C274" s="20"/>
      <c r="E274" s="136"/>
      <c r="F274" s="177">
        <f>_xlfn.XLOOKUP(Tabla2757[[#This Row],[Tipo de venta]],Tabla2329[Tipo de venta],Tabla2329[Moneda final], "Error - Seleccionar Tipo de Venta", 0,1)</f>
        <v>0</v>
      </c>
      <c r="G274" s="178"/>
      <c r="H274" s="21"/>
      <c r="I274" s="30">
        <f>_xlfn.XLOOKUP(Tabla2757[[#This Row],[Puesto Encargado]], Tabla9[Puesto], Tabla9[Precio cliente],0,1,1)</f>
        <v>0</v>
      </c>
      <c r="J274" s="30">
        <f>_xlfn.XLOOKUP(Tabla2757[[#This Row],[Cargo]], Tabla958[Cargos], Tabla958[Ponderador Precio],0,1,1)</f>
        <v>0</v>
      </c>
      <c r="K274" s="30">
        <f>Tabla2757[[#This Row],[Precio por hora UF]]*Tabla2757[[#This Row],[Ponderador]]</f>
        <v>0</v>
      </c>
      <c r="L274" s="40">
        <v>0</v>
      </c>
      <c r="M274" s="30">
        <f>Tabla2757[[#This Row],[Precio por hora]]*Tabla2757[[#This Row],[Cantidad horas]]</f>
        <v>0</v>
      </c>
      <c r="N274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275" spans="2:14" x14ac:dyDescent="0.3">
      <c r="B275" s="28"/>
      <c r="C275" s="20"/>
      <c r="E275" s="136"/>
      <c r="F275" s="177">
        <f>_xlfn.XLOOKUP(Tabla2757[[#This Row],[Tipo de venta]],Tabla2329[Tipo de venta],Tabla2329[Moneda final], "Error - Seleccionar Tipo de Venta", 0,1)</f>
        <v>0</v>
      </c>
      <c r="G275" s="178"/>
      <c r="H275" s="21"/>
      <c r="I275" s="30">
        <f>_xlfn.XLOOKUP(Tabla2757[[#This Row],[Puesto Encargado]], Tabla9[Puesto], Tabla9[Precio cliente],0,1,1)</f>
        <v>0</v>
      </c>
      <c r="J275" s="30">
        <f>_xlfn.XLOOKUP(Tabla2757[[#This Row],[Cargo]], Tabla958[Cargos], Tabla958[Ponderador Precio],0,1,1)</f>
        <v>0</v>
      </c>
      <c r="K275" s="30">
        <f>Tabla2757[[#This Row],[Precio por hora UF]]*Tabla2757[[#This Row],[Ponderador]]</f>
        <v>0</v>
      </c>
      <c r="L275" s="40">
        <v>0</v>
      </c>
      <c r="M275" s="30">
        <f>Tabla2757[[#This Row],[Precio por hora]]*Tabla2757[[#This Row],[Cantidad horas]]</f>
        <v>0</v>
      </c>
      <c r="N275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276" spans="2:14" x14ac:dyDescent="0.3">
      <c r="B276" s="28"/>
      <c r="C276" s="20"/>
      <c r="E276" s="136"/>
      <c r="F276" s="177">
        <f>_xlfn.XLOOKUP(Tabla2757[[#This Row],[Tipo de venta]],Tabla2329[Tipo de venta],Tabla2329[Moneda final], "Error - Seleccionar Tipo de Venta", 0,1)</f>
        <v>0</v>
      </c>
      <c r="G276" s="178"/>
      <c r="H276" s="21"/>
      <c r="I276" s="30">
        <f>_xlfn.XLOOKUP(Tabla2757[[#This Row],[Puesto Encargado]], Tabla9[Puesto], Tabla9[Precio cliente],0,1,1)</f>
        <v>0</v>
      </c>
      <c r="J276" s="30">
        <f>_xlfn.XLOOKUP(Tabla2757[[#This Row],[Cargo]], Tabla958[Cargos], Tabla958[Ponderador Precio],0,1,1)</f>
        <v>0</v>
      </c>
      <c r="K276" s="30">
        <f>Tabla2757[[#This Row],[Precio por hora UF]]*Tabla2757[[#This Row],[Ponderador]]</f>
        <v>0</v>
      </c>
      <c r="L276" s="40">
        <v>0</v>
      </c>
      <c r="M276" s="30">
        <f>Tabla2757[[#This Row],[Precio por hora]]*Tabla2757[[#This Row],[Cantidad horas]]</f>
        <v>0</v>
      </c>
      <c r="N276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277" spans="2:14" x14ac:dyDescent="0.3">
      <c r="B277" s="28"/>
      <c r="C277" s="20"/>
      <c r="E277" s="136"/>
      <c r="F277" s="177">
        <f>_xlfn.XLOOKUP(Tabla2757[[#This Row],[Tipo de venta]],Tabla2329[Tipo de venta],Tabla2329[Moneda final], "Error - Seleccionar Tipo de Venta", 0,1)</f>
        <v>0</v>
      </c>
      <c r="G277" s="178"/>
      <c r="H277" s="21"/>
      <c r="I277" s="30">
        <f>_xlfn.XLOOKUP(Tabla2757[[#This Row],[Puesto Encargado]], Tabla9[Puesto], Tabla9[Precio cliente],0,1,1)</f>
        <v>0</v>
      </c>
      <c r="J277" s="30">
        <f>_xlfn.XLOOKUP(Tabla2757[[#This Row],[Cargo]], Tabla958[Cargos], Tabla958[Ponderador Precio],0,1,1)</f>
        <v>0</v>
      </c>
      <c r="K277" s="30">
        <f>Tabla2757[[#This Row],[Precio por hora UF]]*Tabla2757[[#This Row],[Ponderador]]</f>
        <v>0</v>
      </c>
      <c r="L277" s="40">
        <v>0</v>
      </c>
      <c r="M277" s="30">
        <f>Tabla2757[[#This Row],[Precio por hora]]*Tabla2757[[#This Row],[Cantidad horas]]</f>
        <v>0</v>
      </c>
      <c r="N277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278" spans="2:14" x14ac:dyDescent="0.3">
      <c r="B278" s="28"/>
      <c r="C278" s="20"/>
      <c r="E278" s="136"/>
      <c r="F278" s="177">
        <f>_xlfn.XLOOKUP(Tabla2757[[#This Row],[Tipo de venta]],Tabla2329[Tipo de venta],Tabla2329[Moneda final], "Error - Seleccionar Tipo de Venta", 0,1)</f>
        <v>0</v>
      </c>
      <c r="G278" s="178"/>
      <c r="H278" s="21"/>
      <c r="I278" s="30">
        <f>_xlfn.XLOOKUP(Tabla2757[[#This Row],[Puesto Encargado]], Tabla9[Puesto], Tabla9[Precio cliente],0,1,1)</f>
        <v>0</v>
      </c>
      <c r="J278" s="30">
        <f>_xlfn.XLOOKUP(Tabla2757[[#This Row],[Cargo]], Tabla958[Cargos], Tabla958[Ponderador Precio],0,1,1)</f>
        <v>0</v>
      </c>
      <c r="K278" s="30">
        <f>Tabla2757[[#This Row],[Precio por hora UF]]*Tabla2757[[#This Row],[Ponderador]]</f>
        <v>0</v>
      </c>
      <c r="L278" s="40">
        <v>0</v>
      </c>
      <c r="M278" s="30">
        <f>Tabla2757[[#This Row],[Precio por hora]]*Tabla2757[[#This Row],[Cantidad horas]]</f>
        <v>0</v>
      </c>
      <c r="N278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279" spans="2:14" x14ac:dyDescent="0.3">
      <c r="B279" s="28"/>
      <c r="C279" s="20"/>
      <c r="E279" s="136"/>
      <c r="F279" s="177">
        <f>_xlfn.XLOOKUP(Tabla2757[[#This Row],[Tipo de venta]],Tabla2329[Tipo de venta],Tabla2329[Moneda final], "Error - Seleccionar Tipo de Venta", 0,1)</f>
        <v>0</v>
      </c>
      <c r="G279" s="178"/>
      <c r="H279" s="21"/>
      <c r="I279" s="30">
        <f>_xlfn.XLOOKUP(Tabla2757[[#This Row],[Puesto Encargado]], Tabla9[Puesto], Tabla9[Precio cliente],0,1,1)</f>
        <v>0</v>
      </c>
      <c r="J279" s="30">
        <f>_xlfn.XLOOKUP(Tabla2757[[#This Row],[Cargo]], Tabla958[Cargos], Tabla958[Ponderador Precio],0,1,1)</f>
        <v>0</v>
      </c>
      <c r="K279" s="30">
        <f>Tabla2757[[#This Row],[Precio por hora UF]]*Tabla2757[[#This Row],[Ponderador]]</f>
        <v>0</v>
      </c>
      <c r="L279" s="40">
        <v>0</v>
      </c>
      <c r="M279" s="30">
        <f>Tabla2757[[#This Row],[Precio por hora]]*Tabla2757[[#This Row],[Cantidad horas]]</f>
        <v>0</v>
      </c>
      <c r="N279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280" spans="2:14" x14ac:dyDescent="0.3">
      <c r="B280" s="28"/>
      <c r="C280" s="20"/>
      <c r="E280" s="136"/>
      <c r="F280" s="177">
        <f>_xlfn.XLOOKUP(Tabla2757[[#This Row],[Tipo de venta]],Tabla2329[Tipo de venta],Tabla2329[Moneda final], "Error - Seleccionar Tipo de Venta", 0,1)</f>
        <v>0</v>
      </c>
      <c r="G280" s="178"/>
      <c r="H280" s="21"/>
      <c r="I280" s="30">
        <f>_xlfn.XLOOKUP(Tabla2757[[#This Row],[Puesto Encargado]], Tabla9[Puesto], Tabla9[Precio cliente],0,1,1)</f>
        <v>0</v>
      </c>
      <c r="J280" s="30">
        <f>_xlfn.XLOOKUP(Tabla2757[[#This Row],[Cargo]], Tabla958[Cargos], Tabla958[Ponderador Precio],0,1,1)</f>
        <v>0</v>
      </c>
      <c r="K280" s="30">
        <f>Tabla2757[[#This Row],[Precio por hora UF]]*Tabla2757[[#This Row],[Ponderador]]</f>
        <v>0</v>
      </c>
      <c r="L280" s="40">
        <v>0</v>
      </c>
      <c r="M280" s="30">
        <f>Tabla2757[[#This Row],[Precio por hora]]*Tabla2757[[#This Row],[Cantidad horas]]</f>
        <v>0</v>
      </c>
      <c r="N280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281" spans="2:14" x14ac:dyDescent="0.3">
      <c r="B281" s="28"/>
      <c r="C281" s="20"/>
      <c r="E281" s="136"/>
      <c r="F281" s="177">
        <f>_xlfn.XLOOKUP(Tabla2757[[#This Row],[Tipo de venta]],Tabla2329[Tipo de venta],Tabla2329[Moneda final], "Error - Seleccionar Tipo de Venta", 0,1)</f>
        <v>0</v>
      </c>
      <c r="G281" s="178"/>
      <c r="H281" s="21"/>
      <c r="I281" s="30">
        <f>_xlfn.XLOOKUP(Tabla2757[[#This Row],[Puesto Encargado]], Tabla9[Puesto], Tabla9[Precio cliente],0,1,1)</f>
        <v>0</v>
      </c>
      <c r="J281" s="30">
        <f>_xlfn.XLOOKUP(Tabla2757[[#This Row],[Cargo]], Tabla958[Cargos], Tabla958[Ponderador Precio],0,1,1)</f>
        <v>0</v>
      </c>
      <c r="K281" s="30">
        <f>Tabla2757[[#This Row],[Precio por hora UF]]*Tabla2757[[#This Row],[Ponderador]]</f>
        <v>0</v>
      </c>
      <c r="L281" s="40">
        <v>0</v>
      </c>
      <c r="M281" s="30">
        <f>Tabla2757[[#This Row],[Precio por hora]]*Tabla2757[[#This Row],[Cantidad horas]]</f>
        <v>0</v>
      </c>
      <c r="N281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282" spans="2:14" x14ac:dyDescent="0.3">
      <c r="B282" s="28"/>
      <c r="C282" s="20"/>
      <c r="E282" s="136"/>
      <c r="F282" s="177">
        <f>_xlfn.XLOOKUP(Tabla2757[[#This Row],[Tipo de venta]],Tabla2329[Tipo de venta],Tabla2329[Moneda final], "Error - Seleccionar Tipo de Venta", 0,1)</f>
        <v>0</v>
      </c>
      <c r="G282" s="178"/>
      <c r="H282" s="21"/>
      <c r="I282" s="30">
        <f>_xlfn.XLOOKUP(Tabla2757[[#This Row],[Puesto Encargado]], Tabla9[Puesto], Tabla9[Precio cliente],0,1,1)</f>
        <v>0</v>
      </c>
      <c r="J282" s="30">
        <f>_xlfn.XLOOKUP(Tabla2757[[#This Row],[Cargo]], Tabla958[Cargos], Tabla958[Ponderador Precio],0,1,1)</f>
        <v>0</v>
      </c>
      <c r="K282" s="30">
        <f>Tabla2757[[#This Row],[Precio por hora UF]]*Tabla2757[[#This Row],[Ponderador]]</f>
        <v>0</v>
      </c>
      <c r="L282" s="40">
        <v>0</v>
      </c>
      <c r="M282" s="30">
        <f>Tabla2757[[#This Row],[Precio por hora]]*Tabla2757[[#This Row],[Cantidad horas]]</f>
        <v>0</v>
      </c>
      <c r="N282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283" spans="2:14" x14ac:dyDescent="0.3">
      <c r="B283" s="28"/>
      <c r="C283" s="20"/>
      <c r="E283" s="136"/>
      <c r="F283" s="177">
        <f>_xlfn.XLOOKUP(Tabla2757[[#This Row],[Tipo de venta]],Tabla2329[Tipo de venta],Tabla2329[Moneda final], "Error - Seleccionar Tipo de Venta", 0,1)</f>
        <v>0</v>
      </c>
      <c r="G283" s="178"/>
      <c r="H283" s="21"/>
      <c r="I283" s="30">
        <f>_xlfn.XLOOKUP(Tabla2757[[#This Row],[Puesto Encargado]], Tabla9[Puesto], Tabla9[Precio cliente],0,1,1)</f>
        <v>0</v>
      </c>
      <c r="J283" s="30">
        <f>_xlfn.XLOOKUP(Tabla2757[[#This Row],[Cargo]], Tabla958[Cargos], Tabla958[Ponderador Precio],0,1,1)</f>
        <v>0</v>
      </c>
      <c r="K283" s="30">
        <f>Tabla2757[[#This Row],[Precio por hora UF]]*Tabla2757[[#This Row],[Ponderador]]</f>
        <v>0</v>
      </c>
      <c r="L283" s="40">
        <v>0</v>
      </c>
      <c r="M283" s="30">
        <f>Tabla2757[[#This Row],[Precio por hora]]*Tabla2757[[#This Row],[Cantidad horas]]</f>
        <v>0</v>
      </c>
      <c r="N283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284" spans="2:14" x14ac:dyDescent="0.3">
      <c r="B284" s="28"/>
      <c r="C284" s="20"/>
      <c r="E284" s="136"/>
      <c r="F284" s="177">
        <f>_xlfn.XLOOKUP(Tabla2757[[#This Row],[Tipo de venta]],Tabla2329[Tipo de venta],Tabla2329[Moneda final], "Error - Seleccionar Tipo de Venta", 0,1)</f>
        <v>0</v>
      </c>
      <c r="G284" s="178"/>
      <c r="H284" s="21"/>
      <c r="I284" s="30">
        <f>_xlfn.XLOOKUP(Tabla2757[[#This Row],[Puesto Encargado]], Tabla9[Puesto], Tabla9[Precio cliente],0,1,1)</f>
        <v>0</v>
      </c>
      <c r="J284" s="30">
        <f>_xlfn.XLOOKUP(Tabla2757[[#This Row],[Cargo]], Tabla958[Cargos], Tabla958[Ponderador Precio],0,1,1)</f>
        <v>0</v>
      </c>
      <c r="K284" s="30">
        <f>Tabla2757[[#This Row],[Precio por hora UF]]*Tabla2757[[#This Row],[Ponderador]]</f>
        <v>0</v>
      </c>
      <c r="L284" s="40">
        <v>0</v>
      </c>
      <c r="M284" s="30">
        <f>Tabla2757[[#This Row],[Precio por hora]]*Tabla2757[[#This Row],[Cantidad horas]]</f>
        <v>0</v>
      </c>
      <c r="N284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285" spans="2:14" x14ac:dyDescent="0.3">
      <c r="B285" s="28"/>
      <c r="C285" s="20"/>
      <c r="E285" s="136"/>
      <c r="F285" s="177">
        <f>_xlfn.XLOOKUP(Tabla2757[[#This Row],[Tipo de venta]],Tabla2329[Tipo de venta],Tabla2329[Moneda final], "Error - Seleccionar Tipo de Venta", 0,1)</f>
        <v>0</v>
      </c>
      <c r="G285" s="178"/>
      <c r="H285" s="21"/>
      <c r="I285" s="30">
        <f>_xlfn.XLOOKUP(Tabla2757[[#This Row],[Puesto Encargado]], Tabla9[Puesto], Tabla9[Precio cliente],0,1,1)</f>
        <v>0</v>
      </c>
      <c r="J285" s="30">
        <f>_xlfn.XLOOKUP(Tabla2757[[#This Row],[Cargo]], Tabla958[Cargos], Tabla958[Ponderador Precio],0,1,1)</f>
        <v>0</v>
      </c>
      <c r="K285" s="30">
        <f>Tabla2757[[#This Row],[Precio por hora UF]]*Tabla2757[[#This Row],[Ponderador]]</f>
        <v>0</v>
      </c>
      <c r="L285" s="40">
        <v>0</v>
      </c>
      <c r="M285" s="30">
        <f>Tabla2757[[#This Row],[Precio por hora]]*Tabla2757[[#This Row],[Cantidad horas]]</f>
        <v>0</v>
      </c>
      <c r="N285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286" spans="2:14" x14ac:dyDescent="0.3">
      <c r="B286" s="28"/>
      <c r="C286" s="20"/>
      <c r="E286" s="136"/>
      <c r="F286" s="177">
        <f>_xlfn.XLOOKUP(Tabla2757[[#This Row],[Tipo de venta]],Tabla2329[Tipo de venta],Tabla2329[Moneda final], "Error - Seleccionar Tipo de Venta", 0,1)</f>
        <v>0</v>
      </c>
      <c r="G286" s="178"/>
      <c r="H286" s="21"/>
      <c r="I286" s="30">
        <f>_xlfn.XLOOKUP(Tabla2757[[#This Row],[Puesto Encargado]], Tabla9[Puesto], Tabla9[Precio cliente],0,1,1)</f>
        <v>0</v>
      </c>
      <c r="J286" s="30">
        <f>_xlfn.XLOOKUP(Tabla2757[[#This Row],[Cargo]], Tabla958[Cargos], Tabla958[Ponderador Precio],0,1,1)</f>
        <v>0</v>
      </c>
      <c r="K286" s="30">
        <f>Tabla2757[[#This Row],[Precio por hora UF]]*Tabla2757[[#This Row],[Ponderador]]</f>
        <v>0</v>
      </c>
      <c r="L286" s="40">
        <v>0</v>
      </c>
      <c r="M286" s="30">
        <f>Tabla2757[[#This Row],[Precio por hora]]*Tabla2757[[#This Row],[Cantidad horas]]</f>
        <v>0</v>
      </c>
      <c r="N286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287" spans="2:14" x14ac:dyDescent="0.3">
      <c r="B287" s="28"/>
      <c r="C287" s="20"/>
      <c r="E287" s="136"/>
      <c r="F287" s="177">
        <f>_xlfn.XLOOKUP(Tabla2757[[#This Row],[Tipo de venta]],Tabla2329[Tipo de venta],Tabla2329[Moneda final], "Error - Seleccionar Tipo de Venta", 0,1)</f>
        <v>0</v>
      </c>
      <c r="G287" s="178"/>
      <c r="H287" s="21"/>
      <c r="I287" s="30">
        <f>_xlfn.XLOOKUP(Tabla2757[[#This Row],[Puesto Encargado]], Tabla9[Puesto], Tabla9[Precio cliente],0,1,1)</f>
        <v>0</v>
      </c>
      <c r="J287" s="30">
        <f>_xlfn.XLOOKUP(Tabla2757[[#This Row],[Cargo]], Tabla958[Cargos], Tabla958[Ponderador Precio],0,1,1)</f>
        <v>0</v>
      </c>
      <c r="K287" s="30">
        <f>Tabla2757[[#This Row],[Precio por hora UF]]*Tabla2757[[#This Row],[Ponderador]]</f>
        <v>0</v>
      </c>
      <c r="L287" s="40">
        <v>0</v>
      </c>
      <c r="M287" s="30">
        <f>Tabla2757[[#This Row],[Precio por hora]]*Tabla2757[[#This Row],[Cantidad horas]]</f>
        <v>0</v>
      </c>
      <c r="N287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288" spans="2:14" x14ac:dyDescent="0.3">
      <c r="B288" s="28"/>
      <c r="C288" s="20"/>
      <c r="E288" s="136"/>
      <c r="F288" s="177">
        <f>_xlfn.XLOOKUP(Tabla2757[[#This Row],[Tipo de venta]],Tabla2329[Tipo de venta],Tabla2329[Moneda final], "Error - Seleccionar Tipo de Venta", 0,1)</f>
        <v>0</v>
      </c>
      <c r="G288" s="178"/>
      <c r="H288" s="21"/>
      <c r="I288" s="30">
        <f>_xlfn.XLOOKUP(Tabla2757[[#This Row],[Puesto Encargado]], Tabla9[Puesto], Tabla9[Precio cliente],0,1,1)</f>
        <v>0</v>
      </c>
      <c r="J288" s="30">
        <f>_xlfn.XLOOKUP(Tabla2757[[#This Row],[Cargo]], Tabla958[Cargos], Tabla958[Ponderador Precio],0,1,1)</f>
        <v>0</v>
      </c>
      <c r="K288" s="30">
        <f>Tabla2757[[#This Row],[Precio por hora UF]]*Tabla2757[[#This Row],[Ponderador]]</f>
        <v>0</v>
      </c>
      <c r="L288" s="40">
        <v>0</v>
      </c>
      <c r="M288" s="30">
        <f>Tabla2757[[#This Row],[Precio por hora]]*Tabla2757[[#This Row],[Cantidad horas]]</f>
        <v>0</v>
      </c>
      <c r="N288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289" spans="2:14" x14ac:dyDescent="0.3">
      <c r="B289" s="28"/>
      <c r="C289" s="20"/>
      <c r="E289" s="136"/>
      <c r="F289" s="177">
        <f>_xlfn.XLOOKUP(Tabla2757[[#This Row],[Tipo de venta]],Tabla2329[Tipo de venta],Tabla2329[Moneda final], "Error - Seleccionar Tipo de Venta", 0,1)</f>
        <v>0</v>
      </c>
      <c r="G289" s="178"/>
      <c r="H289" s="21"/>
      <c r="I289" s="30">
        <f>_xlfn.XLOOKUP(Tabla2757[[#This Row],[Puesto Encargado]], Tabla9[Puesto], Tabla9[Precio cliente],0,1,1)</f>
        <v>0</v>
      </c>
      <c r="J289" s="30">
        <f>_xlfn.XLOOKUP(Tabla2757[[#This Row],[Cargo]], Tabla958[Cargos], Tabla958[Ponderador Precio],0,1,1)</f>
        <v>0</v>
      </c>
      <c r="K289" s="30">
        <f>Tabla2757[[#This Row],[Precio por hora UF]]*Tabla2757[[#This Row],[Ponderador]]</f>
        <v>0</v>
      </c>
      <c r="L289" s="40">
        <v>0</v>
      </c>
      <c r="M289" s="30">
        <f>Tabla2757[[#This Row],[Precio por hora]]*Tabla2757[[#This Row],[Cantidad horas]]</f>
        <v>0</v>
      </c>
      <c r="N289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290" spans="2:14" x14ac:dyDescent="0.3">
      <c r="B290" s="28"/>
      <c r="C290" s="20"/>
      <c r="E290" s="136"/>
      <c r="F290" s="177">
        <f>_xlfn.XLOOKUP(Tabla2757[[#This Row],[Tipo de venta]],Tabla2329[Tipo de venta],Tabla2329[Moneda final], "Error - Seleccionar Tipo de Venta", 0,1)</f>
        <v>0</v>
      </c>
      <c r="G290" s="178"/>
      <c r="H290" s="21"/>
      <c r="I290" s="30">
        <f>_xlfn.XLOOKUP(Tabla2757[[#This Row],[Puesto Encargado]], Tabla9[Puesto], Tabla9[Precio cliente],0,1,1)</f>
        <v>0</v>
      </c>
      <c r="J290" s="30">
        <f>_xlfn.XLOOKUP(Tabla2757[[#This Row],[Cargo]], Tabla958[Cargos], Tabla958[Ponderador Precio],0,1,1)</f>
        <v>0</v>
      </c>
      <c r="K290" s="30">
        <f>Tabla2757[[#This Row],[Precio por hora UF]]*Tabla2757[[#This Row],[Ponderador]]</f>
        <v>0</v>
      </c>
      <c r="L290" s="40">
        <v>0</v>
      </c>
      <c r="M290" s="30">
        <f>Tabla2757[[#This Row],[Precio por hora]]*Tabla2757[[#This Row],[Cantidad horas]]</f>
        <v>0</v>
      </c>
      <c r="N290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291" spans="2:14" x14ac:dyDescent="0.3">
      <c r="B291" s="28"/>
      <c r="C291" s="20"/>
      <c r="E291" s="136"/>
      <c r="F291" s="177">
        <f>_xlfn.XLOOKUP(Tabla2757[[#This Row],[Tipo de venta]],Tabla2329[Tipo de venta],Tabla2329[Moneda final], "Error - Seleccionar Tipo de Venta", 0,1)</f>
        <v>0</v>
      </c>
      <c r="G291" s="178"/>
      <c r="H291" s="21"/>
      <c r="I291" s="30">
        <f>_xlfn.XLOOKUP(Tabla2757[[#This Row],[Puesto Encargado]], Tabla9[Puesto], Tabla9[Precio cliente],0,1,1)</f>
        <v>0</v>
      </c>
      <c r="J291" s="30">
        <f>_xlfn.XLOOKUP(Tabla2757[[#This Row],[Cargo]], Tabla958[Cargos], Tabla958[Ponderador Precio],0,1,1)</f>
        <v>0</v>
      </c>
      <c r="K291" s="30">
        <f>Tabla2757[[#This Row],[Precio por hora UF]]*Tabla2757[[#This Row],[Ponderador]]</f>
        <v>0</v>
      </c>
      <c r="L291" s="40">
        <v>0</v>
      </c>
      <c r="M291" s="30">
        <f>Tabla2757[[#This Row],[Precio por hora]]*Tabla2757[[#This Row],[Cantidad horas]]</f>
        <v>0</v>
      </c>
      <c r="N291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292" spans="2:14" x14ac:dyDescent="0.3">
      <c r="B292" s="28"/>
      <c r="C292" s="20"/>
      <c r="E292" s="136"/>
      <c r="F292" s="177">
        <f>_xlfn.XLOOKUP(Tabla2757[[#This Row],[Tipo de venta]],Tabla2329[Tipo de venta],Tabla2329[Moneda final], "Error - Seleccionar Tipo de Venta", 0,1)</f>
        <v>0</v>
      </c>
      <c r="G292" s="178"/>
      <c r="H292" s="21"/>
      <c r="I292" s="30">
        <f>_xlfn.XLOOKUP(Tabla2757[[#This Row],[Puesto Encargado]], Tabla9[Puesto], Tabla9[Precio cliente],0,1,1)</f>
        <v>0</v>
      </c>
      <c r="J292" s="30">
        <f>_xlfn.XLOOKUP(Tabla2757[[#This Row],[Cargo]], Tabla958[Cargos], Tabla958[Ponderador Precio],0,1,1)</f>
        <v>0</v>
      </c>
      <c r="K292" s="30">
        <f>Tabla2757[[#This Row],[Precio por hora UF]]*Tabla2757[[#This Row],[Ponderador]]</f>
        <v>0</v>
      </c>
      <c r="L292" s="40">
        <v>0</v>
      </c>
      <c r="M292" s="30">
        <f>Tabla2757[[#This Row],[Precio por hora]]*Tabla2757[[#This Row],[Cantidad horas]]</f>
        <v>0</v>
      </c>
      <c r="N292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293" spans="2:14" x14ac:dyDescent="0.3">
      <c r="B293" s="28"/>
      <c r="C293" s="20"/>
      <c r="E293" s="136"/>
      <c r="F293" s="177">
        <f>_xlfn.XLOOKUP(Tabla2757[[#This Row],[Tipo de venta]],Tabla2329[Tipo de venta],Tabla2329[Moneda final], "Error - Seleccionar Tipo de Venta", 0,1)</f>
        <v>0</v>
      </c>
      <c r="G293" s="178"/>
      <c r="H293" s="21"/>
      <c r="I293" s="30">
        <f>_xlfn.XLOOKUP(Tabla2757[[#This Row],[Puesto Encargado]], Tabla9[Puesto], Tabla9[Precio cliente],0,1,1)</f>
        <v>0</v>
      </c>
      <c r="J293" s="30">
        <f>_xlfn.XLOOKUP(Tabla2757[[#This Row],[Cargo]], Tabla958[Cargos], Tabla958[Ponderador Precio],0,1,1)</f>
        <v>0</v>
      </c>
      <c r="K293" s="30">
        <f>Tabla2757[[#This Row],[Precio por hora UF]]*Tabla2757[[#This Row],[Ponderador]]</f>
        <v>0</v>
      </c>
      <c r="L293" s="40">
        <v>0</v>
      </c>
      <c r="M293" s="30">
        <f>Tabla2757[[#This Row],[Precio por hora]]*Tabla2757[[#This Row],[Cantidad horas]]</f>
        <v>0</v>
      </c>
      <c r="N293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294" spans="2:14" x14ac:dyDescent="0.3">
      <c r="B294" s="28"/>
      <c r="C294" s="20"/>
      <c r="E294" s="136"/>
      <c r="F294" s="177">
        <f>_xlfn.XLOOKUP(Tabla2757[[#This Row],[Tipo de venta]],Tabla2329[Tipo de venta],Tabla2329[Moneda final], "Error - Seleccionar Tipo de Venta", 0,1)</f>
        <v>0</v>
      </c>
      <c r="G294" s="178"/>
      <c r="H294" s="21"/>
      <c r="I294" s="30">
        <f>_xlfn.XLOOKUP(Tabla2757[[#This Row],[Puesto Encargado]], Tabla9[Puesto], Tabla9[Precio cliente],0,1,1)</f>
        <v>0</v>
      </c>
      <c r="J294" s="30">
        <f>_xlfn.XLOOKUP(Tabla2757[[#This Row],[Cargo]], Tabla958[Cargos], Tabla958[Ponderador Precio],0,1,1)</f>
        <v>0</v>
      </c>
      <c r="K294" s="30">
        <f>Tabla2757[[#This Row],[Precio por hora UF]]*Tabla2757[[#This Row],[Ponderador]]</f>
        <v>0</v>
      </c>
      <c r="L294" s="40">
        <v>0</v>
      </c>
      <c r="M294" s="30">
        <f>Tabla2757[[#This Row],[Precio por hora]]*Tabla2757[[#This Row],[Cantidad horas]]</f>
        <v>0</v>
      </c>
      <c r="N294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295" spans="2:14" x14ac:dyDescent="0.3">
      <c r="B295" s="28"/>
      <c r="C295" s="20"/>
      <c r="E295" s="136"/>
      <c r="F295" s="177">
        <f>_xlfn.XLOOKUP(Tabla2757[[#This Row],[Tipo de venta]],Tabla2329[Tipo de venta],Tabla2329[Moneda final], "Error - Seleccionar Tipo de Venta", 0,1)</f>
        <v>0</v>
      </c>
      <c r="G295" s="178"/>
      <c r="H295" s="21"/>
      <c r="I295" s="30">
        <f>_xlfn.XLOOKUP(Tabla2757[[#This Row],[Puesto Encargado]], Tabla9[Puesto], Tabla9[Precio cliente],0,1,1)</f>
        <v>0</v>
      </c>
      <c r="J295" s="30">
        <f>_xlfn.XLOOKUP(Tabla2757[[#This Row],[Cargo]], Tabla958[Cargos], Tabla958[Ponderador Precio],0,1,1)</f>
        <v>0</v>
      </c>
      <c r="K295" s="30">
        <f>Tabla2757[[#This Row],[Precio por hora UF]]*Tabla2757[[#This Row],[Ponderador]]</f>
        <v>0</v>
      </c>
      <c r="L295" s="40">
        <v>0</v>
      </c>
      <c r="M295" s="30">
        <f>Tabla2757[[#This Row],[Precio por hora]]*Tabla2757[[#This Row],[Cantidad horas]]</f>
        <v>0</v>
      </c>
      <c r="N295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296" spans="2:14" x14ac:dyDescent="0.3">
      <c r="B296" s="28"/>
      <c r="C296" s="20"/>
      <c r="E296" s="136"/>
      <c r="F296" s="177">
        <f>_xlfn.XLOOKUP(Tabla2757[[#This Row],[Tipo de venta]],Tabla2329[Tipo de venta],Tabla2329[Moneda final], "Error - Seleccionar Tipo de Venta", 0,1)</f>
        <v>0</v>
      </c>
      <c r="G296" s="178"/>
      <c r="H296" s="21"/>
      <c r="I296" s="30">
        <f>_xlfn.XLOOKUP(Tabla2757[[#This Row],[Puesto Encargado]], Tabla9[Puesto], Tabla9[Precio cliente],0,1,1)</f>
        <v>0</v>
      </c>
      <c r="J296" s="30">
        <f>_xlfn.XLOOKUP(Tabla2757[[#This Row],[Cargo]], Tabla958[Cargos], Tabla958[Ponderador Precio],0,1,1)</f>
        <v>0</v>
      </c>
      <c r="K296" s="30">
        <f>Tabla2757[[#This Row],[Precio por hora UF]]*Tabla2757[[#This Row],[Ponderador]]</f>
        <v>0</v>
      </c>
      <c r="L296" s="40">
        <v>0</v>
      </c>
      <c r="M296" s="30">
        <f>Tabla2757[[#This Row],[Precio por hora]]*Tabla2757[[#This Row],[Cantidad horas]]</f>
        <v>0</v>
      </c>
      <c r="N296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297" spans="2:14" x14ac:dyDescent="0.3">
      <c r="B297" s="28"/>
      <c r="C297" s="20"/>
      <c r="E297" s="136"/>
      <c r="F297" s="177">
        <f>_xlfn.XLOOKUP(Tabla2757[[#This Row],[Tipo de venta]],Tabla2329[Tipo de venta],Tabla2329[Moneda final], "Error - Seleccionar Tipo de Venta", 0,1)</f>
        <v>0</v>
      </c>
      <c r="G297" s="178"/>
      <c r="H297" s="21"/>
      <c r="I297" s="30">
        <f>_xlfn.XLOOKUP(Tabla2757[[#This Row],[Puesto Encargado]], Tabla9[Puesto], Tabla9[Precio cliente],0,1,1)</f>
        <v>0</v>
      </c>
      <c r="J297" s="30">
        <f>_xlfn.XLOOKUP(Tabla2757[[#This Row],[Cargo]], Tabla958[Cargos], Tabla958[Ponderador Precio],0,1,1)</f>
        <v>0</v>
      </c>
      <c r="K297" s="30">
        <f>Tabla2757[[#This Row],[Precio por hora UF]]*Tabla2757[[#This Row],[Ponderador]]</f>
        <v>0</v>
      </c>
      <c r="L297" s="40">
        <v>0</v>
      </c>
      <c r="M297" s="30">
        <f>Tabla2757[[#This Row],[Precio por hora]]*Tabla2757[[#This Row],[Cantidad horas]]</f>
        <v>0</v>
      </c>
      <c r="N297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298" spans="2:14" x14ac:dyDescent="0.3">
      <c r="B298" s="28"/>
      <c r="C298" s="20"/>
      <c r="E298" s="136"/>
      <c r="F298" s="177">
        <f>_xlfn.XLOOKUP(Tabla2757[[#This Row],[Tipo de venta]],Tabla2329[Tipo de venta],Tabla2329[Moneda final], "Error - Seleccionar Tipo de Venta", 0,1)</f>
        <v>0</v>
      </c>
      <c r="G298" s="178"/>
      <c r="H298" s="21"/>
      <c r="I298" s="30">
        <f>_xlfn.XLOOKUP(Tabla2757[[#This Row],[Puesto Encargado]], Tabla9[Puesto], Tabla9[Precio cliente],0,1,1)</f>
        <v>0</v>
      </c>
      <c r="J298" s="30">
        <f>_xlfn.XLOOKUP(Tabla2757[[#This Row],[Cargo]], Tabla958[Cargos], Tabla958[Ponderador Precio],0,1,1)</f>
        <v>0</v>
      </c>
      <c r="K298" s="30">
        <f>Tabla2757[[#This Row],[Precio por hora UF]]*Tabla2757[[#This Row],[Ponderador]]</f>
        <v>0</v>
      </c>
      <c r="L298" s="40">
        <v>0</v>
      </c>
      <c r="M298" s="30">
        <f>Tabla2757[[#This Row],[Precio por hora]]*Tabla2757[[#This Row],[Cantidad horas]]</f>
        <v>0</v>
      </c>
      <c r="N298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299" spans="2:14" x14ac:dyDescent="0.3">
      <c r="B299" s="28"/>
      <c r="C299" s="20"/>
      <c r="E299" s="136"/>
      <c r="F299" s="177">
        <f>_xlfn.XLOOKUP(Tabla2757[[#This Row],[Tipo de venta]],Tabla2329[Tipo de venta],Tabla2329[Moneda final], "Error - Seleccionar Tipo de Venta", 0,1)</f>
        <v>0</v>
      </c>
      <c r="G299" s="178"/>
      <c r="H299" s="21"/>
      <c r="I299" s="30">
        <f>_xlfn.XLOOKUP(Tabla2757[[#This Row],[Puesto Encargado]], Tabla9[Puesto], Tabla9[Precio cliente],0,1,1)</f>
        <v>0</v>
      </c>
      <c r="J299" s="30">
        <f>_xlfn.XLOOKUP(Tabla2757[[#This Row],[Cargo]], Tabla958[Cargos], Tabla958[Ponderador Precio],0,1,1)</f>
        <v>0</v>
      </c>
      <c r="K299" s="30">
        <f>Tabla2757[[#This Row],[Precio por hora UF]]*Tabla2757[[#This Row],[Ponderador]]</f>
        <v>0</v>
      </c>
      <c r="L299" s="40">
        <v>0</v>
      </c>
      <c r="M299" s="30">
        <f>Tabla2757[[#This Row],[Precio por hora]]*Tabla2757[[#This Row],[Cantidad horas]]</f>
        <v>0</v>
      </c>
      <c r="N299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300" spans="2:14" x14ac:dyDescent="0.3">
      <c r="B300" s="28"/>
      <c r="C300" s="20"/>
      <c r="E300" s="136"/>
      <c r="F300" s="177">
        <f>_xlfn.XLOOKUP(Tabla2757[[#This Row],[Tipo de venta]],Tabla2329[Tipo de venta],Tabla2329[Moneda final], "Error - Seleccionar Tipo de Venta", 0,1)</f>
        <v>0</v>
      </c>
      <c r="G300" s="178"/>
      <c r="H300" s="21"/>
      <c r="I300" s="30">
        <f>_xlfn.XLOOKUP(Tabla2757[[#This Row],[Puesto Encargado]], Tabla9[Puesto], Tabla9[Precio cliente],0,1,1)</f>
        <v>0</v>
      </c>
      <c r="J300" s="30">
        <f>_xlfn.XLOOKUP(Tabla2757[[#This Row],[Cargo]], Tabla958[Cargos], Tabla958[Ponderador Precio],0,1,1)</f>
        <v>0</v>
      </c>
      <c r="K300" s="30">
        <f>Tabla2757[[#This Row],[Precio por hora UF]]*Tabla2757[[#This Row],[Ponderador]]</f>
        <v>0</v>
      </c>
      <c r="L300" s="40">
        <v>0</v>
      </c>
      <c r="M300" s="30">
        <f>Tabla2757[[#This Row],[Precio por hora]]*Tabla2757[[#This Row],[Cantidad horas]]</f>
        <v>0</v>
      </c>
      <c r="N300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301" spans="2:14" x14ac:dyDescent="0.3">
      <c r="B301" s="28"/>
      <c r="C301" s="20"/>
      <c r="E301" s="136"/>
      <c r="F301" s="177">
        <f>_xlfn.XLOOKUP(Tabla2757[[#This Row],[Tipo de venta]],Tabla2329[Tipo de venta],Tabla2329[Moneda final], "Error - Seleccionar Tipo de Venta", 0,1)</f>
        <v>0</v>
      </c>
      <c r="G301" s="178"/>
      <c r="H301" s="21"/>
      <c r="I301" s="30">
        <f>_xlfn.XLOOKUP(Tabla2757[[#This Row],[Puesto Encargado]], Tabla9[Puesto], Tabla9[Precio cliente],0,1,1)</f>
        <v>0</v>
      </c>
      <c r="J301" s="30">
        <f>_xlfn.XLOOKUP(Tabla2757[[#This Row],[Cargo]], Tabla958[Cargos], Tabla958[Ponderador Precio],0,1,1)</f>
        <v>0</v>
      </c>
      <c r="K301" s="30">
        <f>Tabla2757[[#This Row],[Precio por hora UF]]*Tabla2757[[#This Row],[Ponderador]]</f>
        <v>0</v>
      </c>
      <c r="L301" s="40">
        <v>0</v>
      </c>
      <c r="M301" s="30">
        <f>Tabla2757[[#This Row],[Precio por hora]]*Tabla2757[[#This Row],[Cantidad horas]]</f>
        <v>0</v>
      </c>
      <c r="N301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302" spans="2:14" x14ac:dyDescent="0.3">
      <c r="B302" s="28"/>
      <c r="C302" s="20"/>
      <c r="E302" s="136"/>
      <c r="F302" s="177">
        <f>_xlfn.XLOOKUP(Tabla2757[[#This Row],[Tipo de venta]],Tabla2329[Tipo de venta],Tabla2329[Moneda final], "Error - Seleccionar Tipo de Venta", 0,1)</f>
        <v>0</v>
      </c>
      <c r="G302" s="178"/>
      <c r="H302" s="21"/>
      <c r="I302" s="30">
        <f>_xlfn.XLOOKUP(Tabla2757[[#This Row],[Puesto Encargado]], Tabla9[Puesto], Tabla9[Precio cliente],0,1,1)</f>
        <v>0</v>
      </c>
      <c r="J302" s="30">
        <f>_xlfn.XLOOKUP(Tabla2757[[#This Row],[Cargo]], Tabla958[Cargos], Tabla958[Ponderador Precio],0,1,1)</f>
        <v>0</v>
      </c>
      <c r="K302" s="30">
        <f>Tabla2757[[#This Row],[Precio por hora UF]]*Tabla2757[[#This Row],[Ponderador]]</f>
        <v>0</v>
      </c>
      <c r="L302" s="40">
        <v>0</v>
      </c>
      <c r="M302" s="30">
        <f>Tabla2757[[#This Row],[Precio por hora]]*Tabla2757[[#This Row],[Cantidad horas]]</f>
        <v>0</v>
      </c>
      <c r="N302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303" spans="2:14" x14ac:dyDescent="0.3">
      <c r="B303" s="28"/>
      <c r="C303" s="20"/>
      <c r="E303" s="136"/>
      <c r="F303" s="177">
        <f>_xlfn.XLOOKUP(Tabla2757[[#This Row],[Tipo de venta]],Tabla2329[Tipo de venta],Tabla2329[Moneda final], "Error - Seleccionar Tipo de Venta", 0,1)</f>
        <v>0</v>
      </c>
      <c r="G303" s="178"/>
      <c r="H303" s="21"/>
      <c r="I303" s="30">
        <f>_xlfn.XLOOKUP(Tabla2757[[#This Row],[Puesto Encargado]], Tabla9[Puesto], Tabla9[Precio cliente],0,1,1)</f>
        <v>0</v>
      </c>
      <c r="J303" s="30">
        <f>_xlfn.XLOOKUP(Tabla2757[[#This Row],[Cargo]], Tabla958[Cargos], Tabla958[Ponderador Precio],0,1,1)</f>
        <v>0</v>
      </c>
      <c r="K303" s="30">
        <f>Tabla2757[[#This Row],[Precio por hora UF]]*Tabla2757[[#This Row],[Ponderador]]</f>
        <v>0</v>
      </c>
      <c r="L303" s="40">
        <v>0</v>
      </c>
      <c r="M303" s="30">
        <f>Tabla2757[[#This Row],[Precio por hora]]*Tabla2757[[#This Row],[Cantidad horas]]</f>
        <v>0</v>
      </c>
      <c r="N303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304" spans="2:14" x14ac:dyDescent="0.3">
      <c r="B304" s="28"/>
      <c r="C304" s="20"/>
      <c r="E304" s="136"/>
      <c r="F304" s="177">
        <f>_xlfn.XLOOKUP(Tabla2757[[#This Row],[Tipo de venta]],Tabla2329[Tipo de venta],Tabla2329[Moneda final], "Error - Seleccionar Tipo de Venta", 0,1)</f>
        <v>0</v>
      </c>
      <c r="G304" s="178"/>
      <c r="H304" s="21"/>
      <c r="I304" s="30">
        <f>_xlfn.XLOOKUP(Tabla2757[[#This Row],[Puesto Encargado]], Tabla9[Puesto], Tabla9[Precio cliente],0,1,1)</f>
        <v>0</v>
      </c>
      <c r="J304" s="30">
        <f>_xlfn.XLOOKUP(Tabla2757[[#This Row],[Cargo]], Tabla958[Cargos], Tabla958[Ponderador Precio],0,1,1)</f>
        <v>0</v>
      </c>
      <c r="K304" s="30">
        <f>Tabla2757[[#This Row],[Precio por hora UF]]*Tabla2757[[#This Row],[Ponderador]]</f>
        <v>0</v>
      </c>
      <c r="L304" s="40">
        <v>0</v>
      </c>
      <c r="M304" s="30">
        <f>Tabla2757[[#This Row],[Precio por hora]]*Tabla2757[[#This Row],[Cantidad horas]]</f>
        <v>0</v>
      </c>
      <c r="N304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305" spans="2:14" x14ac:dyDescent="0.3">
      <c r="B305" s="28"/>
      <c r="C305" s="20"/>
      <c r="E305" s="136"/>
      <c r="F305" s="177">
        <f>_xlfn.XLOOKUP(Tabla2757[[#This Row],[Tipo de venta]],Tabla2329[Tipo de venta],Tabla2329[Moneda final], "Error - Seleccionar Tipo de Venta", 0,1)</f>
        <v>0</v>
      </c>
      <c r="G305" s="178"/>
      <c r="H305" s="21"/>
      <c r="I305" s="30">
        <f>_xlfn.XLOOKUP(Tabla2757[[#This Row],[Puesto Encargado]], Tabla9[Puesto], Tabla9[Precio cliente],0,1,1)</f>
        <v>0</v>
      </c>
      <c r="J305" s="30">
        <f>_xlfn.XLOOKUP(Tabla2757[[#This Row],[Cargo]], Tabla958[Cargos], Tabla958[Ponderador Precio],0,1,1)</f>
        <v>0</v>
      </c>
      <c r="K305" s="30">
        <f>Tabla2757[[#This Row],[Precio por hora UF]]*Tabla2757[[#This Row],[Ponderador]]</f>
        <v>0</v>
      </c>
      <c r="L305" s="40">
        <v>0</v>
      </c>
      <c r="M305" s="30">
        <f>Tabla2757[[#This Row],[Precio por hora]]*Tabla2757[[#This Row],[Cantidad horas]]</f>
        <v>0</v>
      </c>
      <c r="N305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306" spans="2:14" x14ac:dyDescent="0.3">
      <c r="B306" s="28"/>
      <c r="C306" s="20"/>
      <c r="E306" s="136"/>
      <c r="F306" s="177">
        <f>_xlfn.XLOOKUP(Tabla2757[[#This Row],[Tipo de venta]],Tabla2329[Tipo de venta],Tabla2329[Moneda final], "Error - Seleccionar Tipo de Venta", 0,1)</f>
        <v>0</v>
      </c>
      <c r="G306" s="178"/>
      <c r="H306" s="21"/>
      <c r="I306" s="30">
        <f>_xlfn.XLOOKUP(Tabla2757[[#This Row],[Puesto Encargado]], Tabla9[Puesto], Tabla9[Precio cliente],0,1,1)</f>
        <v>0</v>
      </c>
      <c r="J306" s="30">
        <f>_xlfn.XLOOKUP(Tabla2757[[#This Row],[Cargo]], Tabla958[Cargos], Tabla958[Ponderador Precio],0,1,1)</f>
        <v>0</v>
      </c>
      <c r="K306" s="30">
        <f>Tabla2757[[#This Row],[Precio por hora UF]]*Tabla2757[[#This Row],[Ponderador]]</f>
        <v>0</v>
      </c>
      <c r="L306" s="40">
        <v>0</v>
      </c>
      <c r="M306" s="30">
        <f>Tabla2757[[#This Row],[Precio por hora]]*Tabla2757[[#This Row],[Cantidad horas]]</f>
        <v>0</v>
      </c>
      <c r="N306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307" spans="2:14" x14ac:dyDescent="0.3">
      <c r="B307" s="28"/>
      <c r="C307" s="20"/>
      <c r="E307" s="136"/>
      <c r="F307" s="177">
        <f>_xlfn.XLOOKUP(Tabla2757[[#This Row],[Tipo de venta]],Tabla2329[Tipo de venta],Tabla2329[Moneda final], "Error - Seleccionar Tipo de Venta", 0,1)</f>
        <v>0</v>
      </c>
      <c r="G307" s="178"/>
      <c r="H307" s="21"/>
      <c r="I307" s="30">
        <f>_xlfn.XLOOKUP(Tabla2757[[#This Row],[Puesto Encargado]], Tabla9[Puesto], Tabla9[Precio cliente],0,1,1)</f>
        <v>0</v>
      </c>
      <c r="J307" s="30">
        <f>_xlfn.XLOOKUP(Tabla2757[[#This Row],[Cargo]], Tabla958[Cargos], Tabla958[Ponderador Precio],0,1,1)</f>
        <v>0</v>
      </c>
      <c r="K307" s="30">
        <f>Tabla2757[[#This Row],[Precio por hora UF]]*Tabla2757[[#This Row],[Ponderador]]</f>
        <v>0</v>
      </c>
      <c r="L307" s="40">
        <v>0</v>
      </c>
      <c r="M307" s="30">
        <f>Tabla2757[[#This Row],[Precio por hora]]*Tabla2757[[#This Row],[Cantidad horas]]</f>
        <v>0</v>
      </c>
      <c r="N307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308" spans="2:14" x14ac:dyDescent="0.3">
      <c r="B308" s="28"/>
      <c r="C308" s="20"/>
      <c r="E308" s="136"/>
      <c r="F308" s="177">
        <f>_xlfn.XLOOKUP(Tabla2757[[#This Row],[Tipo de venta]],Tabla2329[Tipo de venta],Tabla2329[Moneda final], "Error - Seleccionar Tipo de Venta", 0,1)</f>
        <v>0</v>
      </c>
      <c r="G308" s="178"/>
      <c r="H308" s="21"/>
      <c r="I308" s="30">
        <f>_xlfn.XLOOKUP(Tabla2757[[#This Row],[Puesto Encargado]], Tabla9[Puesto], Tabla9[Precio cliente],0,1,1)</f>
        <v>0</v>
      </c>
      <c r="J308" s="30">
        <f>_xlfn.XLOOKUP(Tabla2757[[#This Row],[Cargo]], Tabla958[Cargos], Tabla958[Ponderador Precio],0,1,1)</f>
        <v>0</v>
      </c>
      <c r="K308" s="30">
        <f>Tabla2757[[#This Row],[Precio por hora UF]]*Tabla2757[[#This Row],[Ponderador]]</f>
        <v>0</v>
      </c>
      <c r="L308" s="40">
        <v>0</v>
      </c>
      <c r="M308" s="30">
        <f>Tabla2757[[#This Row],[Precio por hora]]*Tabla2757[[#This Row],[Cantidad horas]]</f>
        <v>0</v>
      </c>
      <c r="N308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309" spans="2:14" x14ac:dyDescent="0.3">
      <c r="B309" s="28"/>
      <c r="C309" s="20"/>
      <c r="E309" s="136"/>
      <c r="F309" s="177">
        <f>_xlfn.XLOOKUP(Tabla2757[[#This Row],[Tipo de venta]],Tabla2329[Tipo de venta],Tabla2329[Moneda final], "Error - Seleccionar Tipo de Venta", 0,1)</f>
        <v>0</v>
      </c>
      <c r="G309" s="178"/>
      <c r="H309" s="21"/>
      <c r="I309" s="30">
        <f>_xlfn.XLOOKUP(Tabla2757[[#This Row],[Puesto Encargado]], Tabla9[Puesto], Tabla9[Precio cliente],0,1,1)</f>
        <v>0</v>
      </c>
      <c r="J309" s="30">
        <f>_xlfn.XLOOKUP(Tabla2757[[#This Row],[Cargo]], Tabla958[Cargos], Tabla958[Ponderador Precio],0,1,1)</f>
        <v>0</v>
      </c>
      <c r="K309" s="30">
        <f>Tabla2757[[#This Row],[Precio por hora UF]]*Tabla2757[[#This Row],[Ponderador]]</f>
        <v>0</v>
      </c>
      <c r="L309" s="40">
        <v>0</v>
      </c>
      <c r="M309" s="30">
        <f>Tabla2757[[#This Row],[Precio por hora]]*Tabla2757[[#This Row],[Cantidad horas]]</f>
        <v>0</v>
      </c>
      <c r="N309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310" spans="2:14" x14ac:dyDescent="0.3">
      <c r="B310" s="28"/>
      <c r="C310" s="20"/>
      <c r="E310" s="136"/>
      <c r="F310" s="177">
        <f>_xlfn.XLOOKUP(Tabla2757[[#This Row],[Tipo de venta]],Tabla2329[Tipo de venta],Tabla2329[Moneda final], "Error - Seleccionar Tipo de Venta", 0,1)</f>
        <v>0</v>
      </c>
      <c r="G310" s="178"/>
      <c r="H310" s="21"/>
      <c r="I310" s="30">
        <f>_xlfn.XLOOKUP(Tabla2757[[#This Row],[Puesto Encargado]], Tabla9[Puesto], Tabla9[Precio cliente],0,1,1)</f>
        <v>0</v>
      </c>
      <c r="J310" s="30">
        <f>_xlfn.XLOOKUP(Tabla2757[[#This Row],[Cargo]], Tabla958[Cargos], Tabla958[Ponderador Precio],0,1,1)</f>
        <v>0</v>
      </c>
      <c r="K310" s="30">
        <f>Tabla2757[[#This Row],[Precio por hora UF]]*Tabla2757[[#This Row],[Ponderador]]</f>
        <v>0</v>
      </c>
      <c r="L310" s="40">
        <v>0</v>
      </c>
      <c r="M310" s="30">
        <f>Tabla2757[[#This Row],[Precio por hora]]*Tabla2757[[#This Row],[Cantidad horas]]</f>
        <v>0</v>
      </c>
      <c r="N310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311" spans="2:14" x14ac:dyDescent="0.3">
      <c r="B311" s="28"/>
      <c r="C311" s="20"/>
      <c r="E311" s="136"/>
      <c r="F311" s="177">
        <f>_xlfn.XLOOKUP(Tabla2757[[#This Row],[Tipo de venta]],Tabla2329[Tipo de venta],Tabla2329[Moneda final], "Error - Seleccionar Tipo de Venta", 0,1)</f>
        <v>0</v>
      </c>
      <c r="G311" s="178"/>
      <c r="H311" s="21"/>
      <c r="I311" s="30">
        <f>_xlfn.XLOOKUP(Tabla2757[[#This Row],[Puesto Encargado]], Tabla9[Puesto], Tabla9[Precio cliente],0,1,1)</f>
        <v>0</v>
      </c>
      <c r="J311" s="30">
        <f>_xlfn.XLOOKUP(Tabla2757[[#This Row],[Cargo]], Tabla958[Cargos], Tabla958[Ponderador Precio],0,1,1)</f>
        <v>0</v>
      </c>
      <c r="K311" s="30">
        <f>Tabla2757[[#This Row],[Precio por hora UF]]*Tabla2757[[#This Row],[Ponderador]]</f>
        <v>0</v>
      </c>
      <c r="L311" s="40">
        <v>0</v>
      </c>
      <c r="M311" s="30">
        <f>Tabla2757[[#This Row],[Precio por hora]]*Tabla2757[[#This Row],[Cantidad horas]]</f>
        <v>0</v>
      </c>
      <c r="N311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312" spans="2:14" x14ac:dyDescent="0.3">
      <c r="B312" s="28"/>
      <c r="C312" s="20"/>
      <c r="E312" s="136"/>
      <c r="F312" s="177">
        <f>_xlfn.XLOOKUP(Tabla2757[[#This Row],[Tipo de venta]],Tabla2329[Tipo de venta],Tabla2329[Moneda final], "Error - Seleccionar Tipo de Venta", 0,1)</f>
        <v>0</v>
      </c>
      <c r="G312" s="178"/>
      <c r="H312" s="21"/>
      <c r="I312" s="30">
        <f>_xlfn.XLOOKUP(Tabla2757[[#This Row],[Puesto Encargado]], Tabla9[Puesto], Tabla9[Precio cliente],0,1,1)</f>
        <v>0</v>
      </c>
      <c r="J312" s="30">
        <f>_xlfn.XLOOKUP(Tabla2757[[#This Row],[Cargo]], Tabla958[Cargos], Tabla958[Ponderador Precio],0,1,1)</f>
        <v>0</v>
      </c>
      <c r="K312" s="30">
        <f>Tabla2757[[#This Row],[Precio por hora UF]]*Tabla2757[[#This Row],[Ponderador]]</f>
        <v>0</v>
      </c>
      <c r="L312" s="40">
        <v>0</v>
      </c>
      <c r="M312" s="30">
        <f>Tabla2757[[#This Row],[Precio por hora]]*Tabla2757[[#This Row],[Cantidad horas]]</f>
        <v>0</v>
      </c>
      <c r="N312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313" spans="2:14" x14ac:dyDescent="0.3">
      <c r="B313" s="28"/>
      <c r="C313" s="20"/>
      <c r="E313" s="136"/>
      <c r="F313" s="177">
        <f>_xlfn.XLOOKUP(Tabla2757[[#This Row],[Tipo de venta]],Tabla2329[Tipo de venta],Tabla2329[Moneda final], "Error - Seleccionar Tipo de Venta", 0,1)</f>
        <v>0</v>
      </c>
      <c r="G313" s="178"/>
      <c r="H313" s="21"/>
      <c r="I313" s="30">
        <f>_xlfn.XLOOKUP(Tabla2757[[#This Row],[Puesto Encargado]], Tabla9[Puesto], Tabla9[Precio cliente],0,1,1)</f>
        <v>0</v>
      </c>
      <c r="J313" s="30">
        <f>_xlfn.XLOOKUP(Tabla2757[[#This Row],[Cargo]], Tabla958[Cargos], Tabla958[Ponderador Precio],0,1,1)</f>
        <v>0</v>
      </c>
      <c r="K313" s="30">
        <f>Tabla2757[[#This Row],[Precio por hora UF]]*Tabla2757[[#This Row],[Ponderador]]</f>
        <v>0</v>
      </c>
      <c r="L313" s="40">
        <v>0</v>
      </c>
      <c r="M313" s="30">
        <f>Tabla2757[[#This Row],[Precio por hora]]*Tabla2757[[#This Row],[Cantidad horas]]</f>
        <v>0</v>
      </c>
      <c r="N313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314" spans="2:14" x14ac:dyDescent="0.3">
      <c r="B314" s="28"/>
      <c r="C314" s="20"/>
      <c r="E314" s="136"/>
      <c r="F314" s="177">
        <f>_xlfn.XLOOKUP(Tabla2757[[#This Row],[Tipo de venta]],Tabla2329[Tipo de venta],Tabla2329[Moneda final], "Error - Seleccionar Tipo de Venta", 0,1)</f>
        <v>0</v>
      </c>
      <c r="G314" s="178"/>
      <c r="H314" s="21"/>
      <c r="I314" s="30">
        <f>_xlfn.XLOOKUP(Tabla2757[[#This Row],[Puesto Encargado]], Tabla9[Puesto], Tabla9[Precio cliente],0,1,1)</f>
        <v>0</v>
      </c>
      <c r="J314" s="30">
        <f>_xlfn.XLOOKUP(Tabla2757[[#This Row],[Cargo]], Tabla958[Cargos], Tabla958[Ponderador Precio],0,1,1)</f>
        <v>0</v>
      </c>
      <c r="K314" s="30">
        <f>Tabla2757[[#This Row],[Precio por hora UF]]*Tabla2757[[#This Row],[Ponderador]]</f>
        <v>0</v>
      </c>
      <c r="L314" s="40">
        <v>0</v>
      </c>
      <c r="M314" s="30">
        <f>Tabla2757[[#This Row],[Precio por hora]]*Tabla2757[[#This Row],[Cantidad horas]]</f>
        <v>0</v>
      </c>
      <c r="N314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315" spans="2:14" x14ac:dyDescent="0.3">
      <c r="B315" s="28"/>
      <c r="C315" s="20"/>
      <c r="E315" s="136"/>
      <c r="F315" s="177">
        <f>_xlfn.XLOOKUP(Tabla2757[[#This Row],[Tipo de venta]],Tabla2329[Tipo de venta],Tabla2329[Moneda final], "Error - Seleccionar Tipo de Venta", 0,1)</f>
        <v>0</v>
      </c>
      <c r="G315" s="178"/>
      <c r="H315" s="21"/>
      <c r="I315" s="30">
        <f>_xlfn.XLOOKUP(Tabla2757[[#This Row],[Puesto Encargado]], Tabla9[Puesto], Tabla9[Precio cliente],0,1,1)</f>
        <v>0</v>
      </c>
      <c r="J315" s="30">
        <f>_xlfn.XLOOKUP(Tabla2757[[#This Row],[Cargo]], Tabla958[Cargos], Tabla958[Ponderador Precio],0,1,1)</f>
        <v>0</v>
      </c>
      <c r="K315" s="30">
        <f>Tabla2757[[#This Row],[Precio por hora UF]]*Tabla2757[[#This Row],[Ponderador]]</f>
        <v>0</v>
      </c>
      <c r="L315" s="40">
        <v>0</v>
      </c>
      <c r="M315" s="30">
        <f>Tabla2757[[#This Row],[Precio por hora]]*Tabla2757[[#This Row],[Cantidad horas]]</f>
        <v>0</v>
      </c>
      <c r="N315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316" spans="2:14" x14ac:dyDescent="0.3">
      <c r="B316" s="28"/>
      <c r="C316" s="20"/>
      <c r="E316" s="136"/>
      <c r="F316" s="177">
        <f>_xlfn.XLOOKUP(Tabla2757[[#This Row],[Tipo de venta]],Tabla2329[Tipo de venta],Tabla2329[Moneda final], "Error - Seleccionar Tipo de Venta", 0,1)</f>
        <v>0</v>
      </c>
      <c r="G316" s="178"/>
      <c r="H316" s="21"/>
      <c r="I316" s="30">
        <f>_xlfn.XLOOKUP(Tabla2757[[#This Row],[Puesto Encargado]], Tabla9[Puesto], Tabla9[Precio cliente],0,1,1)</f>
        <v>0</v>
      </c>
      <c r="J316" s="30">
        <f>_xlfn.XLOOKUP(Tabla2757[[#This Row],[Cargo]], Tabla958[Cargos], Tabla958[Ponderador Precio],0,1,1)</f>
        <v>0</v>
      </c>
      <c r="K316" s="30">
        <f>Tabla2757[[#This Row],[Precio por hora UF]]*Tabla2757[[#This Row],[Ponderador]]</f>
        <v>0</v>
      </c>
      <c r="L316" s="40">
        <v>0</v>
      </c>
      <c r="M316" s="30">
        <f>Tabla2757[[#This Row],[Precio por hora]]*Tabla2757[[#This Row],[Cantidad horas]]</f>
        <v>0</v>
      </c>
      <c r="N316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317" spans="2:14" x14ac:dyDescent="0.3">
      <c r="B317" s="28"/>
      <c r="C317" s="20"/>
      <c r="E317" s="136"/>
      <c r="F317" s="177">
        <f>_xlfn.XLOOKUP(Tabla2757[[#This Row],[Tipo de venta]],Tabla2329[Tipo de venta],Tabla2329[Moneda final], "Error - Seleccionar Tipo de Venta", 0,1)</f>
        <v>0</v>
      </c>
      <c r="G317" s="178"/>
      <c r="H317" s="21"/>
      <c r="I317" s="30">
        <f>_xlfn.XLOOKUP(Tabla2757[[#This Row],[Puesto Encargado]], Tabla9[Puesto], Tabla9[Precio cliente],0,1,1)</f>
        <v>0</v>
      </c>
      <c r="J317" s="30">
        <f>_xlfn.XLOOKUP(Tabla2757[[#This Row],[Cargo]], Tabla958[Cargos], Tabla958[Ponderador Precio],0,1,1)</f>
        <v>0</v>
      </c>
      <c r="K317" s="30">
        <f>Tabla2757[[#This Row],[Precio por hora UF]]*Tabla2757[[#This Row],[Ponderador]]</f>
        <v>0</v>
      </c>
      <c r="L317" s="40">
        <v>0</v>
      </c>
      <c r="M317" s="30">
        <f>Tabla2757[[#This Row],[Precio por hora]]*Tabla2757[[#This Row],[Cantidad horas]]</f>
        <v>0</v>
      </c>
      <c r="N317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318" spans="2:14" x14ac:dyDescent="0.3">
      <c r="B318" s="28"/>
      <c r="C318" s="20"/>
      <c r="E318" s="136"/>
      <c r="F318" s="177">
        <f>_xlfn.XLOOKUP(Tabla2757[[#This Row],[Tipo de venta]],Tabla2329[Tipo de venta],Tabla2329[Moneda final], "Error - Seleccionar Tipo de Venta", 0,1)</f>
        <v>0</v>
      </c>
      <c r="G318" s="178"/>
      <c r="H318" s="21"/>
      <c r="I318" s="30">
        <f>_xlfn.XLOOKUP(Tabla2757[[#This Row],[Puesto Encargado]], Tabla9[Puesto], Tabla9[Precio cliente],0,1,1)</f>
        <v>0</v>
      </c>
      <c r="J318" s="30">
        <f>_xlfn.XLOOKUP(Tabla2757[[#This Row],[Cargo]], Tabla958[Cargos], Tabla958[Ponderador Precio],0,1,1)</f>
        <v>0</v>
      </c>
      <c r="K318" s="30">
        <f>Tabla2757[[#This Row],[Precio por hora UF]]*Tabla2757[[#This Row],[Ponderador]]</f>
        <v>0</v>
      </c>
      <c r="L318" s="40">
        <v>0</v>
      </c>
      <c r="M318" s="30">
        <f>Tabla2757[[#This Row],[Precio por hora]]*Tabla2757[[#This Row],[Cantidad horas]]</f>
        <v>0</v>
      </c>
      <c r="N318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319" spans="2:14" x14ac:dyDescent="0.3">
      <c r="B319" s="28"/>
      <c r="C319" s="20"/>
      <c r="E319" s="136"/>
      <c r="F319" s="177">
        <f>_xlfn.XLOOKUP(Tabla2757[[#This Row],[Tipo de venta]],Tabla2329[Tipo de venta],Tabla2329[Moneda final], "Error - Seleccionar Tipo de Venta", 0,1)</f>
        <v>0</v>
      </c>
      <c r="G319" s="178"/>
      <c r="H319" s="21"/>
      <c r="I319" s="30">
        <f>_xlfn.XLOOKUP(Tabla2757[[#This Row],[Puesto Encargado]], Tabla9[Puesto], Tabla9[Precio cliente],0,1,1)</f>
        <v>0</v>
      </c>
      <c r="J319" s="30">
        <f>_xlfn.XLOOKUP(Tabla2757[[#This Row],[Cargo]], Tabla958[Cargos], Tabla958[Ponderador Precio],0,1,1)</f>
        <v>0</v>
      </c>
      <c r="K319" s="30">
        <f>Tabla2757[[#This Row],[Precio por hora UF]]*Tabla2757[[#This Row],[Ponderador]]</f>
        <v>0</v>
      </c>
      <c r="L319" s="40">
        <v>0</v>
      </c>
      <c r="M319" s="30">
        <f>Tabla2757[[#This Row],[Precio por hora]]*Tabla2757[[#This Row],[Cantidad horas]]</f>
        <v>0</v>
      </c>
      <c r="N319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320" spans="2:14" x14ac:dyDescent="0.3">
      <c r="B320" s="28"/>
      <c r="C320" s="20"/>
      <c r="E320" s="136"/>
      <c r="F320" s="177">
        <f>_xlfn.XLOOKUP(Tabla2757[[#This Row],[Tipo de venta]],Tabla2329[Tipo de venta],Tabla2329[Moneda final], "Error - Seleccionar Tipo de Venta", 0,1)</f>
        <v>0</v>
      </c>
      <c r="G320" s="178"/>
      <c r="H320" s="21"/>
      <c r="I320" s="30">
        <f>_xlfn.XLOOKUP(Tabla2757[[#This Row],[Puesto Encargado]], Tabla9[Puesto], Tabla9[Precio cliente],0,1,1)</f>
        <v>0</v>
      </c>
      <c r="J320" s="30">
        <f>_xlfn.XLOOKUP(Tabla2757[[#This Row],[Cargo]], Tabla958[Cargos], Tabla958[Ponderador Precio],0,1,1)</f>
        <v>0</v>
      </c>
      <c r="K320" s="30">
        <f>Tabla2757[[#This Row],[Precio por hora UF]]*Tabla2757[[#This Row],[Ponderador]]</f>
        <v>0</v>
      </c>
      <c r="L320" s="40">
        <v>0</v>
      </c>
      <c r="M320" s="30">
        <f>Tabla2757[[#This Row],[Precio por hora]]*Tabla2757[[#This Row],[Cantidad horas]]</f>
        <v>0</v>
      </c>
      <c r="N320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321" spans="2:14" x14ac:dyDescent="0.3">
      <c r="B321" s="28"/>
      <c r="C321" s="20"/>
      <c r="E321" s="136"/>
      <c r="F321" s="177">
        <f>_xlfn.XLOOKUP(Tabla2757[[#This Row],[Tipo de venta]],Tabla2329[Tipo de venta],Tabla2329[Moneda final], "Error - Seleccionar Tipo de Venta", 0,1)</f>
        <v>0</v>
      </c>
      <c r="G321" s="178"/>
      <c r="H321" s="21"/>
      <c r="I321" s="30">
        <f>_xlfn.XLOOKUP(Tabla2757[[#This Row],[Puesto Encargado]], Tabla9[Puesto], Tabla9[Precio cliente],0,1,1)</f>
        <v>0</v>
      </c>
      <c r="J321" s="30">
        <f>_xlfn.XLOOKUP(Tabla2757[[#This Row],[Cargo]], Tabla958[Cargos], Tabla958[Ponderador Precio],0,1,1)</f>
        <v>0</v>
      </c>
      <c r="K321" s="30">
        <f>Tabla2757[[#This Row],[Precio por hora UF]]*Tabla2757[[#This Row],[Ponderador]]</f>
        <v>0</v>
      </c>
      <c r="L321" s="40">
        <v>0</v>
      </c>
      <c r="M321" s="30">
        <f>Tabla2757[[#This Row],[Precio por hora]]*Tabla2757[[#This Row],[Cantidad horas]]</f>
        <v>0</v>
      </c>
      <c r="N321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322" spans="2:14" x14ac:dyDescent="0.3">
      <c r="B322" s="28"/>
      <c r="C322" s="20"/>
      <c r="E322" s="136"/>
      <c r="F322" s="177">
        <f>_xlfn.XLOOKUP(Tabla2757[[#This Row],[Tipo de venta]],Tabla2329[Tipo de venta],Tabla2329[Moneda final], "Error - Seleccionar Tipo de Venta", 0,1)</f>
        <v>0</v>
      </c>
      <c r="G322" s="178"/>
      <c r="H322" s="21"/>
      <c r="I322" s="30">
        <f>_xlfn.XLOOKUP(Tabla2757[[#This Row],[Puesto Encargado]], Tabla9[Puesto], Tabla9[Precio cliente],0,1,1)</f>
        <v>0</v>
      </c>
      <c r="J322" s="30">
        <f>_xlfn.XLOOKUP(Tabla2757[[#This Row],[Cargo]], Tabla958[Cargos], Tabla958[Ponderador Precio],0,1,1)</f>
        <v>0</v>
      </c>
      <c r="K322" s="30">
        <f>Tabla2757[[#This Row],[Precio por hora UF]]*Tabla2757[[#This Row],[Ponderador]]</f>
        <v>0</v>
      </c>
      <c r="L322" s="40">
        <v>0</v>
      </c>
      <c r="M322" s="30">
        <f>Tabla2757[[#This Row],[Precio por hora]]*Tabla2757[[#This Row],[Cantidad horas]]</f>
        <v>0</v>
      </c>
      <c r="N322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323" spans="2:14" x14ac:dyDescent="0.3">
      <c r="B323" s="28"/>
      <c r="C323" s="20"/>
      <c r="E323" s="136"/>
      <c r="F323" s="177">
        <f>_xlfn.XLOOKUP(Tabla2757[[#This Row],[Tipo de venta]],Tabla2329[Tipo de venta],Tabla2329[Moneda final], "Error - Seleccionar Tipo de Venta", 0,1)</f>
        <v>0</v>
      </c>
      <c r="G323" s="178"/>
      <c r="H323" s="21"/>
      <c r="I323" s="30">
        <f>_xlfn.XLOOKUP(Tabla2757[[#This Row],[Puesto Encargado]], Tabla9[Puesto], Tabla9[Precio cliente],0,1,1)</f>
        <v>0</v>
      </c>
      <c r="J323" s="30">
        <f>_xlfn.XLOOKUP(Tabla2757[[#This Row],[Cargo]], Tabla958[Cargos], Tabla958[Ponderador Precio],0,1,1)</f>
        <v>0</v>
      </c>
      <c r="K323" s="30">
        <f>Tabla2757[[#This Row],[Precio por hora UF]]*Tabla2757[[#This Row],[Ponderador]]</f>
        <v>0</v>
      </c>
      <c r="L323" s="40">
        <v>0</v>
      </c>
      <c r="M323" s="30">
        <f>Tabla2757[[#This Row],[Precio por hora]]*Tabla2757[[#This Row],[Cantidad horas]]</f>
        <v>0</v>
      </c>
      <c r="N323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324" spans="2:14" x14ac:dyDescent="0.3">
      <c r="B324" s="28"/>
      <c r="C324" s="20"/>
      <c r="E324" s="136"/>
      <c r="F324" s="177">
        <f>_xlfn.XLOOKUP(Tabla2757[[#This Row],[Tipo de venta]],Tabla2329[Tipo de venta],Tabla2329[Moneda final], "Error - Seleccionar Tipo de Venta", 0,1)</f>
        <v>0</v>
      </c>
      <c r="G324" s="178"/>
      <c r="H324" s="21"/>
      <c r="I324" s="30">
        <f>_xlfn.XLOOKUP(Tabla2757[[#This Row],[Puesto Encargado]], Tabla9[Puesto], Tabla9[Precio cliente],0,1,1)</f>
        <v>0</v>
      </c>
      <c r="J324" s="30">
        <f>_xlfn.XLOOKUP(Tabla2757[[#This Row],[Cargo]], Tabla958[Cargos], Tabla958[Ponderador Precio],0,1,1)</f>
        <v>0</v>
      </c>
      <c r="K324" s="30">
        <f>Tabla2757[[#This Row],[Precio por hora UF]]*Tabla2757[[#This Row],[Ponderador]]</f>
        <v>0</v>
      </c>
      <c r="L324" s="40">
        <v>0</v>
      </c>
      <c r="M324" s="30">
        <f>Tabla2757[[#This Row],[Precio por hora]]*Tabla2757[[#This Row],[Cantidad horas]]</f>
        <v>0</v>
      </c>
      <c r="N324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325" spans="2:14" x14ac:dyDescent="0.3">
      <c r="B325" s="28"/>
      <c r="C325" s="20"/>
      <c r="E325" s="136"/>
      <c r="F325" s="177">
        <f>_xlfn.XLOOKUP(Tabla2757[[#This Row],[Tipo de venta]],Tabla2329[Tipo de venta],Tabla2329[Moneda final], "Error - Seleccionar Tipo de Venta", 0,1)</f>
        <v>0</v>
      </c>
      <c r="G325" s="178"/>
      <c r="H325" s="21"/>
      <c r="I325" s="30">
        <f>_xlfn.XLOOKUP(Tabla2757[[#This Row],[Puesto Encargado]], Tabla9[Puesto], Tabla9[Precio cliente],0,1,1)</f>
        <v>0</v>
      </c>
      <c r="J325" s="30">
        <f>_xlfn.XLOOKUP(Tabla2757[[#This Row],[Cargo]], Tabla958[Cargos], Tabla958[Ponderador Precio],0,1,1)</f>
        <v>0</v>
      </c>
      <c r="K325" s="30">
        <f>Tabla2757[[#This Row],[Precio por hora UF]]*Tabla2757[[#This Row],[Ponderador]]</f>
        <v>0</v>
      </c>
      <c r="L325" s="40">
        <v>0</v>
      </c>
      <c r="M325" s="30">
        <f>Tabla2757[[#This Row],[Precio por hora]]*Tabla2757[[#This Row],[Cantidad horas]]</f>
        <v>0</v>
      </c>
      <c r="N325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326" spans="2:14" x14ac:dyDescent="0.3">
      <c r="B326" s="28"/>
      <c r="C326" s="20"/>
      <c r="E326" s="136"/>
      <c r="F326" s="177">
        <f>_xlfn.XLOOKUP(Tabla2757[[#This Row],[Tipo de venta]],Tabla2329[Tipo de venta],Tabla2329[Moneda final], "Error - Seleccionar Tipo de Venta", 0,1)</f>
        <v>0</v>
      </c>
      <c r="G326" s="178"/>
      <c r="H326" s="21"/>
      <c r="I326" s="30">
        <f>_xlfn.XLOOKUP(Tabla2757[[#This Row],[Puesto Encargado]], Tabla9[Puesto], Tabla9[Precio cliente],0,1,1)</f>
        <v>0</v>
      </c>
      <c r="J326" s="30">
        <f>_xlfn.XLOOKUP(Tabla2757[[#This Row],[Cargo]], Tabla958[Cargos], Tabla958[Ponderador Precio],0,1,1)</f>
        <v>0</v>
      </c>
      <c r="K326" s="30">
        <f>Tabla2757[[#This Row],[Precio por hora UF]]*Tabla2757[[#This Row],[Ponderador]]</f>
        <v>0</v>
      </c>
      <c r="L326" s="40">
        <v>0</v>
      </c>
      <c r="M326" s="30">
        <f>Tabla2757[[#This Row],[Precio por hora]]*Tabla2757[[#This Row],[Cantidad horas]]</f>
        <v>0</v>
      </c>
      <c r="N326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327" spans="2:14" x14ac:dyDescent="0.3">
      <c r="B327" s="28"/>
      <c r="C327" s="20"/>
      <c r="E327" s="136"/>
      <c r="F327" s="177">
        <f>_xlfn.XLOOKUP(Tabla2757[[#This Row],[Tipo de venta]],Tabla2329[Tipo de venta],Tabla2329[Moneda final], "Error - Seleccionar Tipo de Venta", 0,1)</f>
        <v>0</v>
      </c>
      <c r="G327" s="178"/>
      <c r="H327" s="21"/>
      <c r="I327" s="30">
        <f>_xlfn.XLOOKUP(Tabla2757[[#This Row],[Puesto Encargado]], Tabla9[Puesto], Tabla9[Precio cliente],0,1,1)</f>
        <v>0</v>
      </c>
      <c r="J327" s="30">
        <f>_xlfn.XLOOKUP(Tabla2757[[#This Row],[Cargo]], Tabla958[Cargos], Tabla958[Ponderador Precio],0,1,1)</f>
        <v>0</v>
      </c>
      <c r="K327" s="30">
        <f>Tabla2757[[#This Row],[Precio por hora UF]]*Tabla2757[[#This Row],[Ponderador]]</f>
        <v>0</v>
      </c>
      <c r="L327" s="40">
        <v>0</v>
      </c>
      <c r="M327" s="30">
        <f>Tabla2757[[#This Row],[Precio por hora]]*Tabla2757[[#This Row],[Cantidad horas]]</f>
        <v>0</v>
      </c>
      <c r="N327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328" spans="2:14" x14ac:dyDescent="0.3">
      <c r="B328" s="28"/>
      <c r="C328" s="20"/>
      <c r="E328" s="136"/>
      <c r="F328" s="177">
        <f>_xlfn.XLOOKUP(Tabla2757[[#This Row],[Tipo de venta]],Tabla2329[Tipo de venta],Tabla2329[Moneda final], "Error - Seleccionar Tipo de Venta", 0,1)</f>
        <v>0</v>
      </c>
      <c r="G328" s="178"/>
      <c r="H328" s="21"/>
      <c r="I328" s="30">
        <f>_xlfn.XLOOKUP(Tabla2757[[#This Row],[Puesto Encargado]], Tabla9[Puesto], Tabla9[Precio cliente],0,1,1)</f>
        <v>0</v>
      </c>
      <c r="J328" s="30">
        <f>_xlfn.XLOOKUP(Tabla2757[[#This Row],[Cargo]], Tabla958[Cargos], Tabla958[Ponderador Precio],0,1,1)</f>
        <v>0</v>
      </c>
      <c r="K328" s="30">
        <f>Tabla2757[[#This Row],[Precio por hora UF]]*Tabla2757[[#This Row],[Ponderador]]</f>
        <v>0</v>
      </c>
      <c r="L328" s="40">
        <v>0</v>
      </c>
      <c r="M328" s="30">
        <f>Tabla2757[[#This Row],[Precio por hora]]*Tabla2757[[#This Row],[Cantidad horas]]</f>
        <v>0</v>
      </c>
      <c r="N328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329" spans="2:14" x14ac:dyDescent="0.3">
      <c r="B329" s="28"/>
      <c r="C329" s="20"/>
      <c r="E329" s="136"/>
      <c r="F329" s="177">
        <f>_xlfn.XLOOKUP(Tabla2757[[#This Row],[Tipo de venta]],Tabla2329[Tipo de venta],Tabla2329[Moneda final], "Error - Seleccionar Tipo de Venta", 0,1)</f>
        <v>0</v>
      </c>
      <c r="G329" s="178"/>
      <c r="H329" s="21"/>
      <c r="I329" s="30">
        <f>_xlfn.XLOOKUP(Tabla2757[[#This Row],[Puesto Encargado]], Tabla9[Puesto], Tabla9[Precio cliente],0,1,1)</f>
        <v>0</v>
      </c>
      <c r="J329" s="30">
        <f>_xlfn.XLOOKUP(Tabla2757[[#This Row],[Cargo]], Tabla958[Cargos], Tabla958[Ponderador Precio],0,1,1)</f>
        <v>0</v>
      </c>
      <c r="K329" s="30">
        <f>Tabla2757[[#This Row],[Precio por hora UF]]*Tabla2757[[#This Row],[Ponderador]]</f>
        <v>0</v>
      </c>
      <c r="L329" s="40">
        <v>0</v>
      </c>
      <c r="M329" s="30">
        <f>Tabla2757[[#This Row],[Precio por hora]]*Tabla2757[[#This Row],[Cantidad horas]]</f>
        <v>0</v>
      </c>
      <c r="N329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330" spans="2:14" x14ac:dyDescent="0.3">
      <c r="B330" s="28"/>
      <c r="C330" s="20"/>
      <c r="E330" s="136"/>
      <c r="F330" s="177">
        <f>_xlfn.XLOOKUP(Tabla2757[[#This Row],[Tipo de venta]],Tabla2329[Tipo de venta],Tabla2329[Moneda final], "Error - Seleccionar Tipo de Venta", 0,1)</f>
        <v>0</v>
      </c>
      <c r="G330" s="178"/>
      <c r="H330" s="21"/>
      <c r="I330" s="30">
        <f>_xlfn.XLOOKUP(Tabla2757[[#This Row],[Puesto Encargado]], Tabla9[Puesto], Tabla9[Precio cliente],0,1,1)</f>
        <v>0</v>
      </c>
      <c r="J330" s="30">
        <f>_xlfn.XLOOKUP(Tabla2757[[#This Row],[Cargo]], Tabla958[Cargos], Tabla958[Ponderador Precio],0,1,1)</f>
        <v>0</v>
      </c>
      <c r="K330" s="30">
        <f>Tabla2757[[#This Row],[Precio por hora UF]]*Tabla2757[[#This Row],[Ponderador]]</f>
        <v>0</v>
      </c>
      <c r="L330" s="40">
        <v>0</v>
      </c>
      <c r="M330" s="30">
        <f>Tabla2757[[#This Row],[Precio por hora]]*Tabla2757[[#This Row],[Cantidad horas]]</f>
        <v>0</v>
      </c>
      <c r="N330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331" spans="2:14" x14ac:dyDescent="0.3">
      <c r="B331" s="28"/>
      <c r="C331" s="20"/>
      <c r="E331" s="136"/>
      <c r="F331" s="177">
        <f>_xlfn.XLOOKUP(Tabla2757[[#This Row],[Tipo de venta]],Tabla2329[Tipo de venta],Tabla2329[Moneda final], "Error - Seleccionar Tipo de Venta", 0,1)</f>
        <v>0</v>
      </c>
      <c r="G331" s="178"/>
      <c r="H331" s="21"/>
      <c r="I331" s="30">
        <f>_xlfn.XLOOKUP(Tabla2757[[#This Row],[Puesto Encargado]], Tabla9[Puesto], Tabla9[Precio cliente],0,1,1)</f>
        <v>0</v>
      </c>
      <c r="J331" s="30">
        <f>_xlfn.XLOOKUP(Tabla2757[[#This Row],[Cargo]], Tabla958[Cargos], Tabla958[Ponderador Precio],0,1,1)</f>
        <v>0</v>
      </c>
      <c r="K331" s="30">
        <f>Tabla2757[[#This Row],[Precio por hora UF]]*Tabla2757[[#This Row],[Ponderador]]</f>
        <v>0</v>
      </c>
      <c r="L331" s="40">
        <v>0</v>
      </c>
      <c r="M331" s="30">
        <f>Tabla2757[[#This Row],[Precio por hora]]*Tabla2757[[#This Row],[Cantidad horas]]</f>
        <v>0</v>
      </c>
      <c r="N331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332" spans="2:14" x14ac:dyDescent="0.3">
      <c r="B332" s="28"/>
      <c r="C332" s="20"/>
      <c r="E332" s="136"/>
      <c r="F332" s="177">
        <f>_xlfn.XLOOKUP(Tabla2757[[#This Row],[Tipo de venta]],Tabla2329[Tipo de venta],Tabla2329[Moneda final], "Error - Seleccionar Tipo de Venta", 0,1)</f>
        <v>0</v>
      </c>
      <c r="G332" s="178"/>
      <c r="H332" s="21"/>
      <c r="I332" s="30">
        <f>_xlfn.XLOOKUP(Tabla2757[[#This Row],[Puesto Encargado]], Tabla9[Puesto], Tabla9[Precio cliente],0,1,1)</f>
        <v>0</v>
      </c>
      <c r="J332" s="30">
        <f>_xlfn.XLOOKUP(Tabla2757[[#This Row],[Cargo]], Tabla958[Cargos], Tabla958[Ponderador Precio],0,1,1)</f>
        <v>0</v>
      </c>
      <c r="K332" s="30">
        <f>Tabla2757[[#This Row],[Precio por hora UF]]*Tabla2757[[#This Row],[Ponderador]]</f>
        <v>0</v>
      </c>
      <c r="L332" s="40">
        <v>0</v>
      </c>
      <c r="M332" s="30">
        <f>Tabla2757[[#This Row],[Precio por hora]]*Tabla2757[[#This Row],[Cantidad horas]]</f>
        <v>0</v>
      </c>
      <c r="N332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333" spans="2:14" x14ac:dyDescent="0.3">
      <c r="B333" s="28"/>
      <c r="C333" s="20"/>
      <c r="E333" s="136"/>
      <c r="F333" s="177">
        <f>_xlfn.XLOOKUP(Tabla2757[[#This Row],[Tipo de venta]],Tabla2329[Tipo de venta],Tabla2329[Moneda final], "Error - Seleccionar Tipo de Venta", 0,1)</f>
        <v>0</v>
      </c>
      <c r="G333" s="178"/>
      <c r="H333" s="21"/>
      <c r="I333" s="30">
        <f>_xlfn.XLOOKUP(Tabla2757[[#This Row],[Puesto Encargado]], Tabla9[Puesto], Tabla9[Precio cliente],0,1,1)</f>
        <v>0</v>
      </c>
      <c r="J333" s="30">
        <f>_xlfn.XLOOKUP(Tabla2757[[#This Row],[Cargo]], Tabla958[Cargos], Tabla958[Ponderador Precio],0,1,1)</f>
        <v>0</v>
      </c>
      <c r="K333" s="30">
        <f>Tabla2757[[#This Row],[Precio por hora UF]]*Tabla2757[[#This Row],[Ponderador]]</f>
        <v>0</v>
      </c>
      <c r="L333" s="40">
        <v>0</v>
      </c>
      <c r="M333" s="30">
        <f>Tabla2757[[#This Row],[Precio por hora]]*Tabla2757[[#This Row],[Cantidad horas]]</f>
        <v>0</v>
      </c>
      <c r="N333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334" spans="2:14" x14ac:dyDescent="0.3">
      <c r="B334" s="28"/>
      <c r="C334" s="20"/>
      <c r="E334" s="136"/>
      <c r="F334" s="177">
        <f>_xlfn.XLOOKUP(Tabla2757[[#This Row],[Tipo de venta]],Tabla2329[Tipo de venta],Tabla2329[Moneda final], "Error - Seleccionar Tipo de Venta", 0,1)</f>
        <v>0</v>
      </c>
      <c r="G334" s="178"/>
      <c r="H334" s="21"/>
      <c r="I334" s="30">
        <f>_xlfn.XLOOKUP(Tabla2757[[#This Row],[Puesto Encargado]], Tabla9[Puesto], Tabla9[Precio cliente],0,1,1)</f>
        <v>0</v>
      </c>
      <c r="J334" s="30">
        <f>_xlfn.XLOOKUP(Tabla2757[[#This Row],[Cargo]], Tabla958[Cargos], Tabla958[Ponderador Precio],0,1,1)</f>
        <v>0</v>
      </c>
      <c r="K334" s="30">
        <f>Tabla2757[[#This Row],[Precio por hora UF]]*Tabla2757[[#This Row],[Ponderador]]</f>
        <v>0</v>
      </c>
      <c r="L334" s="40">
        <v>0</v>
      </c>
      <c r="M334" s="30">
        <f>Tabla2757[[#This Row],[Precio por hora]]*Tabla2757[[#This Row],[Cantidad horas]]</f>
        <v>0</v>
      </c>
      <c r="N334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335" spans="2:14" x14ac:dyDescent="0.3">
      <c r="B335" s="28"/>
      <c r="C335" s="20"/>
      <c r="E335" s="136"/>
      <c r="F335" s="177">
        <f>_xlfn.XLOOKUP(Tabla2757[[#This Row],[Tipo de venta]],Tabla2329[Tipo de venta],Tabla2329[Moneda final], "Error - Seleccionar Tipo de Venta", 0,1)</f>
        <v>0</v>
      </c>
      <c r="G335" s="178"/>
      <c r="H335" s="21"/>
      <c r="I335" s="30">
        <f>_xlfn.XLOOKUP(Tabla2757[[#This Row],[Puesto Encargado]], Tabla9[Puesto], Tabla9[Precio cliente],0,1,1)</f>
        <v>0</v>
      </c>
      <c r="J335" s="30">
        <f>_xlfn.XLOOKUP(Tabla2757[[#This Row],[Cargo]], Tabla958[Cargos], Tabla958[Ponderador Precio],0,1,1)</f>
        <v>0</v>
      </c>
      <c r="K335" s="30">
        <f>Tabla2757[[#This Row],[Precio por hora UF]]*Tabla2757[[#This Row],[Ponderador]]</f>
        <v>0</v>
      </c>
      <c r="L335" s="40">
        <v>0</v>
      </c>
      <c r="M335" s="30">
        <f>Tabla2757[[#This Row],[Precio por hora]]*Tabla2757[[#This Row],[Cantidad horas]]</f>
        <v>0</v>
      </c>
      <c r="N335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336" spans="2:14" x14ac:dyDescent="0.3">
      <c r="B336" s="28"/>
      <c r="C336" s="20"/>
      <c r="E336" s="136"/>
      <c r="F336" s="177">
        <f>_xlfn.XLOOKUP(Tabla2757[[#This Row],[Tipo de venta]],Tabla2329[Tipo de venta],Tabla2329[Moneda final], "Error - Seleccionar Tipo de Venta", 0,1)</f>
        <v>0</v>
      </c>
      <c r="G336" s="178"/>
      <c r="H336" s="21"/>
      <c r="I336" s="30">
        <f>_xlfn.XLOOKUP(Tabla2757[[#This Row],[Puesto Encargado]], Tabla9[Puesto], Tabla9[Precio cliente],0,1,1)</f>
        <v>0</v>
      </c>
      <c r="J336" s="30">
        <f>_xlfn.XLOOKUP(Tabla2757[[#This Row],[Cargo]], Tabla958[Cargos], Tabla958[Ponderador Precio],0,1,1)</f>
        <v>0</v>
      </c>
      <c r="K336" s="30">
        <f>Tabla2757[[#This Row],[Precio por hora UF]]*Tabla2757[[#This Row],[Ponderador]]</f>
        <v>0</v>
      </c>
      <c r="L336" s="40">
        <v>0</v>
      </c>
      <c r="M336" s="30">
        <f>Tabla2757[[#This Row],[Precio por hora]]*Tabla2757[[#This Row],[Cantidad horas]]</f>
        <v>0</v>
      </c>
      <c r="N336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337" spans="2:14" x14ac:dyDescent="0.3">
      <c r="B337" s="28"/>
      <c r="C337" s="20"/>
      <c r="E337" s="136"/>
      <c r="F337" s="177">
        <f>_xlfn.XLOOKUP(Tabla2757[[#This Row],[Tipo de venta]],Tabla2329[Tipo de venta],Tabla2329[Moneda final], "Error - Seleccionar Tipo de Venta", 0,1)</f>
        <v>0</v>
      </c>
      <c r="G337" s="178"/>
      <c r="H337" s="21"/>
      <c r="I337" s="30">
        <f>_xlfn.XLOOKUP(Tabla2757[[#This Row],[Puesto Encargado]], Tabla9[Puesto], Tabla9[Precio cliente],0,1,1)</f>
        <v>0</v>
      </c>
      <c r="J337" s="30">
        <f>_xlfn.XLOOKUP(Tabla2757[[#This Row],[Cargo]], Tabla958[Cargos], Tabla958[Ponderador Precio],0,1,1)</f>
        <v>0</v>
      </c>
      <c r="K337" s="30">
        <f>Tabla2757[[#This Row],[Precio por hora UF]]*Tabla2757[[#This Row],[Ponderador]]</f>
        <v>0</v>
      </c>
      <c r="L337" s="40">
        <v>0</v>
      </c>
      <c r="M337" s="30">
        <f>Tabla2757[[#This Row],[Precio por hora]]*Tabla2757[[#This Row],[Cantidad horas]]</f>
        <v>0</v>
      </c>
      <c r="N337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338" spans="2:14" x14ac:dyDescent="0.3">
      <c r="B338" s="28"/>
      <c r="C338" s="20"/>
      <c r="E338" s="136"/>
      <c r="F338" s="177">
        <f>_xlfn.XLOOKUP(Tabla2757[[#This Row],[Tipo de venta]],Tabla2329[Tipo de venta],Tabla2329[Moneda final], "Error - Seleccionar Tipo de Venta", 0,1)</f>
        <v>0</v>
      </c>
      <c r="G338" s="178"/>
      <c r="H338" s="21"/>
      <c r="I338" s="30">
        <f>_xlfn.XLOOKUP(Tabla2757[[#This Row],[Puesto Encargado]], Tabla9[Puesto], Tabla9[Precio cliente],0,1,1)</f>
        <v>0</v>
      </c>
      <c r="J338" s="30">
        <f>_xlfn.XLOOKUP(Tabla2757[[#This Row],[Cargo]], Tabla958[Cargos], Tabla958[Ponderador Precio],0,1,1)</f>
        <v>0</v>
      </c>
      <c r="K338" s="30">
        <f>Tabla2757[[#This Row],[Precio por hora UF]]*Tabla2757[[#This Row],[Ponderador]]</f>
        <v>0</v>
      </c>
      <c r="L338" s="40">
        <v>0</v>
      </c>
      <c r="M338" s="30">
        <f>Tabla2757[[#This Row],[Precio por hora]]*Tabla2757[[#This Row],[Cantidad horas]]</f>
        <v>0</v>
      </c>
      <c r="N338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339" spans="2:14" x14ac:dyDescent="0.3">
      <c r="B339" s="28"/>
      <c r="C339" s="20"/>
      <c r="E339" s="136"/>
      <c r="F339" s="177">
        <f>_xlfn.XLOOKUP(Tabla2757[[#This Row],[Tipo de venta]],Tabla2329[Tipo de venta],Tabla2329[Moneda final], "Error - Seleccionar Tipo de Venta", 0,1)</f>
        <v>0</v>
      </c>
      <c r="G339" s="178"/>
      <c r="H339" s="21"/>
      <c r="I339" s="30">
        <f>_xlfn.XLOOKUP(Tabla2757[[#This Row],[Puesto Encargado]], Tabla9[Puesto], Tabla9[Precio cliente],0,1,1)</f>
        <v>0</v>
      </c>
      <c r="J339" s="30">
        <f>_xlfn.XLOOKUP(Tabla2757[[#This Row],[Cargo]], Tabla958[Cargos], Tabla958[Ponderador Precio],0,1,1)</f>
        <v>0</v>
      </c>
      <c r="K339" s="30">
        <f>Tabla2757[[#This Row],[Precio por hora UF]]*Tabla2757[[#This Row],[Ponderador]]</f>
        <v>0</v>
      </c>
      <c r="L339" s="40">
        <v>0</v>
      </c>
      <c r="M339" s="30">
        <f>Tabla2757[[#This Row],[Precio por hora]]*Tabla2757[[#This Row],[Cantidad horas]]</f>
        <v>0</v>
      </c>
      <c r="N339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340" spans="2:14" x14ac:dyDescent="0.3">
      <c r="B340" s="28"/>
      <c r="C340" s="20"/>
      <c r="E340" s="136"/>
      <c r="F340" s="177">
        <f>_xlfn.XLOOKUP(Tabla2757[[#This Row],[Tipo de venta]],Tabla2329[Tipo de venta],Tabla2329[Moneda final], "Error - Seleccionar Tipo de Venta", 0,1)</f>
        <v>0</v>
      </c>
      <c r="G340" s="178"/>
      <c r="H340" s="21"/>
      <c r="I340" s="30">
        <f>_xlfn.XLOOKUP(Tabla2757[[#This Row],[Puesto Encargado]], Tabla9[Puesto], Tabla9[Precio cliente],0,1,1)</f>
        <v>0</v>
      </c>
      <c r="J340" s="30">
        <f>_xlfn.XLOOKUP(Tabla2757[[#This Row],[Cargo]], Tabla958[Cargos], Tabla958[Ponderador Precio],0,1,1)</f>
        <v>0</v>
      </c>
      <c r="K340" s="30">
        <f>Tabla2757[[#This Row],[Precio por hora UF]]*Tabla2757[[#This Row],[Ponderador]]</f>
        <v>0</v>
      </c>
      <c r="L340" s="40">
        <v>0</v>
      </c>
      <c r="M340" s="30">
        <f>Tabla2757[[#This Row],[Precio por hora]]*Tabla2757[[#This Row],[Cantidad horas]]</f>
        <v>0</v>
      </c>
      <c r="N340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341" spans="2:14" x14ac:dyDescent="0.3">
      <c r="B341" s="28"/>
      <c r="C341" s="20"/>
      <c r="E341" s="136"/>
      <c r="F341" s="177">
        <f>_xlfn.XLOOKUP(Tabla2757[[#This Row],[Tipo de venta]],Tabla2329[Tipo de venta],Tabla2329[Moneda final], "Error - Seleccionar Tipo de Venta", 0,1)</f>
        <v>0</v>
      </c>
      <c r="G341" s="178"/>
      <c r="H341" s="21"/>
      <c r="I341" s="30">
        <f>_xlfn.XLOOKUP(Tabla2757[[#This Row],[Puesto Encargado]], Tabla9[Puesto], Tabla9[Precio cliente],0,1,1)</f>
        <v>0</v>
      </c>
      <c r="J341" s="30">
        <f>_xlfn.XLOOKUP(Tabla2757[[#This Row],[Cargo]], Tabla958[Cargos], Tabla958[Ponderador Precio],0,1,1)</f>
        <v>0</v>
      </c>
      <c r="K341" s="30">
        <f>Tabla2757[[#This Row],[Precio por hora UF]]*Tabla2757[[#This Row],[Ponderador]]</f>
        <v>0</v>
      </c>
      <c r="L341" s="40">
        <v>0</v>
      </c>
      <c r="M341" s="30">
        <f>Tabla2757[[#This Row],[Precio por hora]]*Tabla2757[[#This Row],[Cantidad horas]]</f>
        <v>0</v>
      </c>
      <c r="N341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342" spans="2:14" x14ac:dyDescent="0.3">
      <c r="B342" s="28"/>
      <c r="C342" s="20"/>
      <c r="E342" s="136"/>
      <c r="F342" s="177">
        <f>_xlfn.XLOOKUP(Tabla2757[[#This Row],[Tipo de venta]],Tabla2329[Tipo de venta],Tabla2329[Moneda final], "Error - Seleccionar Tipo de Venta", 0,1)</f>
        <v>0</v>
      </c>
      <c r="G342" s="178"/>
      <c r="H342" s="21"/>
      <c r="I342" s="30">
        <f>_xlfn.XLOOKUP(Tabla2757[[#This Row],[Puesto Encargado]], Tabla9[Puesto], Tabla9[Precio cliente],0,1,1)</f>
        <v>0</v>
      </c>
      <c r="J342" s="30">
        <f>_xlfn.XLOOKUP(Tabla2757[[#This Row],[Cargo]], Tabla958[Cargos], Tabla958[Ponderador Precio],0,1,1)</f>
        <v>0</v>
      </c>
      <c r="K342" s="30">
        <f>Tabla2757[[#This Row],[Precio por hora UF]]*Tabla2757[[#This Row],[Ponderador]]</f>
        <v>0</v>
      </c>
      <c r="L342" s="40">
        <v>0</v>
      </c>
      <c r="M342" s="30">
        <f>Tabla2757[[#This Row],[Precio por hora]]*Tabla2757[[#This Row],[Cantidad horas]]</f>
        <v>0</v>
      </c>
      <c r="N342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343" spans="2:14" x14ac:dyDescent="0.3">
      <c r="B343" s="28"/>
      <c r="C343" s="20"/>
      <c r="E343" s="136"/>
      <c r="F343" s="177">
        <f>_xlfn.XLOOKUP(Tabla2757[[#This Row],[Tipo de venta]],Tabla2329[Tipo de venta],Tabla2329[Moneda final], "Error - Seleccionar Tipo de Venta", 0,1)</f>
        <v>0</v>
      </c>
      <c r="G343" s="178"/>
      <c r="H343" s="21"/>
      <c r="I343" s="30">
        <f>_xlfn.XLOOKUP(Tabla2757[[#This Row],[Puesto Encargado]], Tabla9[Puesto], Tabla9[Precio cliente],0,1,1)</f>
        <v>0</v>
      </c>
      <c r="J343" s="30">
        <f>_xlfn.XLOOKUP(Tabla2757[[#This Row],[Cargo]], Tabla958[Cargos], Tabla958[Ponderador Precio],0,1,1)</f>
        <v>0</v>
      </c>
      <c r="K343" s="30">
        <f>Tabla2757[[#This Row],[Precio por hora UF]]*Tabla2757[[#This Row],[Ponderador]]</f>
        <v>0</v>
      </c>
      <c r="L343" s="40">
        <v>0</v>
      </c>
      <c r="M343" s="30">
        <f>Tabla2757[[#This Row],[Precio por hora]]*Tabla2757[[#This Row],[Cantidad horas]]</f>
        <v>0</v>
      </c>
      <c r="N343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344" spans="2:14" x14ac:dyDescent="0.3">
      <c r="B344" s="28"/>
      <c r="C344" s="20"/>
      <c r="E344" s="136"/>
      <c r="F344" s="177">
        <f>_xlfn.XLOOKUP(Tabla2757[[#This Row],[Tipo de venta]],Tabla2329[Tipo de venta],Tabla2329[Moneda final], "Error - Seleccionar Tipo de Venta", 0,1)</f>
        <v>0</v>
      </c>
      <c r="G344" s="178"/>
      <c r="H344" s="21"/>
      <c r="I344" s="30">
        <f>_xlfn.XLOOKUP(Tabla2757[[#This Row],[Puesto Encargado]], Tabla9[Puesto], Tabla9[Precio cliente],0,1,1)</f>
        <v>0</v>
      </c>
      <c r="J344" s="30">
        <f>_xlfn.XLOOKUP(Tabla2757[[#This Row],[Cargo]], Tabla958[Cargos], Tabla958[Ponderador Precio],0,1,1)</f>
        <v>0</v>
      </c>
      <c r="K344" s="30">
        <f>Tabla2757[[#This Row],[Precio por hora UF]]*Tabla2757[[#This Row],[Ponderador]]</f>
        <v>0</v>
      </c>
      <c r="L344" s="40">
        <v>0</v>
      </c>
      <c r="M344" s="30">
        <f>Tabla2757[[#This Row],[Precio por hora]]*Tabla2757[[#This Row],[Cantidad horas]]</f>
        <v>0</v>
      </c>
      <c r="N344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345" spans="2:14" x14ac:dyDescent="0.3">
      <c r="B345" s="28"/>
      <c r="C345" s="20"/>
      <c r="E345" s="136"/>
      <c r="F345" s="177">
        <f>_xlfn.XLOOKUP(Tabla2757[[#This Row],[Tipo de venta]],Tabla2329[Tipo de venta],Tabla2329[Moneda final], "Error - Seleccionar Tipo de Venta", 0,1)</f>
        <v>0</v>
      </c>
      <c r="G345" s="178"/>
      <c r="H345" s="21"/>
      <c r="I345" s="30">
        <f>_xlfn.XLOOKUP(Tabla2757[[#This Row],[Puesto Encargado]], Tabla9[Puesto], Tabla9[Precio cliente],0,1,1)</f>
        <v>0</v>
      </c>
      <c r="J345" s="30">
        <f>_xlfn.XLOOKUP(Tabla2757[[#This Row],[Cargo]], Tabla958[Cargos], Tabla958[Ponderador Precio],0,1,1)</f>
        <v>0</v>
      </c>
      <c r="K345" s="30">
        <f>Tabla2757[[#This Row],[Precio por hora UF]]*Tabla2757[[#This Row],[Ponderador]]</f>
        <v>0</v>
      </c>
      <c r="L345" s="40">
        <v>0</v>
      </c>
      <c r="M345" s="30">
        <f>Tabla2757[[#This Row],[Precio por hora]]*Tabla2757[[#This Row],[Cantidad horas]]</f>
        <v>0</v>
      </c>
      <c r="N345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346" spans="2:14" x14ac:dyDescent="0.3">
      <c r="B346" s="28"/>
      <c r="C346" s="20"/>
      <c r="E346" s="136"/>
      <c r="F346" s="177">
        <f>_xlfn.XLOOKUP(Tabla2757[[#This Row],[Tipo de venta]],Tabla2329[Tipo de venta],Tabla2329[Moneda final], "Error - Seleccionar Tipo de Venta", 0,1)</f>
        <v>0</v>
      </c>
      <c r="G346" s="178"/>
      <c r="H346" s="21"/>
      <c r="I346" s="30">
        <f>_xlfn.XLOOKUP(Tabla2757[[#This Row],[Puesto Encargado]], Tabla9[Puesto], Tabla9[Precio cliente],0,1,1)</f>
        <v>0</v>
      </c>
      <c r="J346" s="30">
        <f>_xlfn.XLOOKUP(Tabla2757[[#This Row],[Cargo]], Tabla958[Cargos], Tabla958[Ponderador Precio],0,1,1)</f>
        <v>0</v>
      </c>
      <c r="K346" s="30">
        <f>Tabla2757[[#This Row],[Precio por hora UF]]*Tabla2757[[#This Row],[Ponderador]]</f>
        <v>0</v>
      </c>
      <c r="L346" s="40">
        <v>0</v>
      </c>
      <c r="M346" s="30">
        <f>Tabla2757[[#This Row],[Precio por hora]]*Tabla2757[[#This Row],[Cantidad horas]]</f>
        <v>0</v>
      </c>
      <c r="N346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347" spans="2:14" x14ac:dyDescent="0.3">
      <c r="B347" s="28"/>
      <c r="C347" s="20"/>
      <c r="E347" s="136"/>
      <c r="F347" s="177">
        <f>_xlfn.XLOOKUP(Tabla2757[[#This Row],[Tipo de venta]],Tabla2329[Tipo de venta],Tabla2329[Moneda final], "Error - Seleccionar Tipo de Venta", 0,1)</f>
        <v>0</v>
      </c>
      <c r="G347" s="178"/>
      <c r="H347" s="21"/>
      <c r="I347" s="30">
        <f>_xlfn.XLOOKUP(Tabla2757[[#This Row],[Puesto Encargado]], Tabla9[Puesto], Tabla9[Precio cliente],0,1,1)</f>
        <v>0</v>
      </c>
      <c r="J347" s="30">
        <f>_xlfn.XLOOKUP(Tabla2757[[#This Row],[Cargo]], Tabla958[Cargos], Tabla958[Ponderador Precio],0,1,1)</f>
        <v>0</v>
      </c>
      <c r="K347" s="30">
        <f>Tabla2757[[#This Row],[Precio por hora UF]]*Tabla2757[[#This Row],[Ponderador]]</f>
        <v>0</v>
      </c>
      <c r="L347" s="40">
        <v>0</v>
      </c>
      <c r="M347" s="30">
        <f>Tabla2757[[#This Row],[Precio por hora]]*Tabla2757[[#This Row],[Cantidad horas]]</f>
        <v>0</v>
      </c>
      <c r="N347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348" spans="2:14" x14ac:dyDescent="0.3">
      <c r="B348" s="28"/>
      <c r="C348" s="20"/>
      <c r="E348" s="136"/>
      <c r="F348" s="177">
        <f>_xlfn.XLOOKUP(Tabla2757[[#This Row],[Tipo de venta]],Tabla2329[Tipo de venta],Tabla2329[Moneda final], "Error - Seleccionar Tipo de Venta", 0,1)</f>
        <v>0</v>
      </c>
      <c r="G348" s="178"/>
      <c r="H348" s="21"/>
      <c r="I348" s="30">
        <f>_xlfn.XLOOKUP(Tabla2757[[#This Row],[Puesto Encargado]], Tabla9[Puesto], Tabla9[Precio cliente],0,1,1)</f>
        <v>0</v>
      </c>
      <c r="J348" s="30">
        <f>_xlfn.XLOOKUP(Tabla2757[[#This Row],[Cargo]], Tabla958[Cargos], Tabla958[Ponderador Precio],0,1,1)</f>
        <v>0</v>
      </c>
      <c r="K348" s="30">
        <f>Tabla2757[[#This Row],[Precio por hora UF]]*Tabla2757[[#This Row],[Ponderador]]</f>
        <v>0</v>
      </c>
      <c r="L348" s="40">
        <v>0</v>
      </c>
      <c r="M348" s="30">
        <f>Tabla2757[[#This Row],[Precio por hora]]*Tabla2757[[#This Row],[Cantidad horas]]</f>
        <v>0</v>
      </c>
      <c r="N348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349" spans="2:14" x14ac:dyDescent="0.3">
      <c r="B349" s="28"/>
      <c r="C349" s="20"/>
      <c r="E349" s="136"/>
      <c r="F349" s="177">
        <f>_xlfn.XLOOKUP(Tabla2757[[#This Row],[Tipo de venta]],Tabla2329[Tipo de venta],Tabla2329[Moneda final], "Error - Seleccionar Tipo de Venta", 0,1)</f>
        <v>0</v>
      </c>
      <c r="G349" s="178"/>
      <c r="H349" s="21"/>
      <c r="I349" s="30">
        <f>_xlfn.XLOOKUP(Tabla2757[[#This Row],[Puesto Encargado]], Tabla9[Puesto], Tabla9[Precio cliente],0,1,1)</f>
        <v>0</v>
      </c>
      <c r="J349" s="30">
        <f>_xlfn.XLOOKUP(Tabla2757[[#This Row],[Cargo]], Tabla958[Cargos], Tabla958[Ponderador Precio],0,1,1)</f>
        <v>0</v>
      </c>
      <c r="K349" s="30">
        <f>Tabla2757[[#This Row],[Precio por hora UF]]*Tabla2757[[#This Row],[Ponderador]]</f>
        <v>0</v>
      </c>
      <c r="L349" s="40">
        <v>0</v>
      </c>
      <c r="M349" s="30">
        <f>Tabla2757[[#This Row],[Precio por hora]]*Tabla2757[[#This Row],[Cantidad horas]]</f>
        <v>0</v>
      </c>
      <c r="N349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350" spans="2:14" x14ac:dyDescent="0.3">
      <c r="B350" s="28"/>
      <c r="C350" s="20"/>
      <c r="E350" s="136"/>
      <c r="F350" s="177">
        <f>_xlfn.XLOOKUP(Tabla2757[[#This Row],[Tipo de venta]],Tabla2329[Tipo de venta],Tabla2329[Moneda final], "Error - Seleccionar Tipo de Venta", 0,1)</f>
        <v>0</v>
      </c>
      <c r="G350" s="178"/>
      <c r="H350" s="21"/>
      <c r="I350" s="30">
        <f>_xlfn.XLOOKUP(Tabla2757[[#This Row],[Puesto Encargado]], Tabla9[Puesto], Tabla9[Precio cliente],0,1,1)</f>
        <v>0</v>
      </c>
      <c r="J350" s="30">
        <f>_xlfn.XLOOKUP(Tabla2757[[#This Row],[Cargo]], Tabla958[Cargos], Tabla958[Ponderador Precio],0,1,1)</f>
        <v>0</v>
      </c>
      <c r="K350" s="30">
        <f>Tabla2757[[#This Row],[Precio por hora UF]]*Tabla2757[[#This Row],[Ponderador]]</f>
        <v>0</v>
      </c>
      <c r="L350" s="40">
        <v>0</v>
      </c>
      <c r="M350" s="30">
        <f>Tabla2757[[#This Row],[Precio por hora]]*Tabla2757[[#This Row],[Cantidad horas]]</f>
        <v>0</v>
      </c>
      <c r="N350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351" spans="2:14" x14ac:dyDescent="0.3">
      <c r="B351" s="28"/>
      <c r="C351" s="20"/>
      <c r="E351" s="136"/>
      <c r="F351" s="177">
        <f>_xlfn.XLOOKUP(Tabla2757[[#This Row],[Tipo de venta]],Tabla2329[Tipo de venta],Tabla2329[Moneda final], "Error - Seleccionar Tipo de Venta", 0,1)</f>
        <v>0</v>
      </c>
      <c r="G351" s="178"/>
      <c r="H351" s="21"/>
      <c r="I351" s="30">
        <f>_xlfn.XLOOKUP(Tabla2757[[#This Row],[Puesto Encargado]], Tabla9[Puesto], Tabla9[Precio cliente],0,1,1)</f>
        <v>0</v>
      </c>
      <c r="J351" s="30">
        <f>_xlfn.XLOOKUP(Tabla2757[[#This Row],[Cargo]], Tabla958[Cargos], Tabla958[Ponderador Precio],0,1,1)</f>
        <v>0</v>
      </c>
      <c r="K351" s="30">
        <f>Tabla2757[[#This Row],[Precio por hora UF]]*Tabla2757[[#This Row],[Ponderador]]</f>
        <v>0</v>
      </c>
      <c r="L351" s="40">
        <v>0</v>
      </c>
      <c r="M351" s="30">
        <f>Tabla2757[[#This Row],[Precio por hora]]*Tabla2757[[#This Row],[Cantidad horas]]</f>
        <v>0</v>
      </c>
      <c r="N351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352" spans="2:14" x14ac:dyDescent="0.3">
      <c r="B352" s="28"/>
      <c r="C352" s="20"/>
      <c r="E352" s="136"/>
      <c r="F352" s="177">
        <f>_xlfn.XLOOKUP(Tabla2757[[#This Row],[Tipo de venta]],Tabla2329[Tipo de venta],Tabla2329[Moneda final], "Error - Seleccionar Tipo de Venta", 0,1)</f>
        <v>0</v>
      </c>
      <c r="G352" s="178"/>
      <c r="H352" s="21"/>
      <c r="I352" s="30">
        <f>_xlfn.XLOOKUP(Tabla2757[[#This Row],[Puesto Encargado]], Tabla9[Puesto], Tabla9[Precio cliente],0,1,1)</f>
        <v>0</v>
      </c>
      <c r="J352" s="30">
        <f>_xlfn.XLOOKUP(Tabla2757[[#This Row],[Cargo]], Tabla958[Cargos], Tabla958[Ponderador Precio],0,1,1)</f>
        <v>0</v>
      </c>
      <c r="K352" s="30">
        <f>Tabla2757[[#This Row],[Precio por hora UF]]*Tabla2757[[#This Row],[Ponderador]]</f>
        <v>0</v>
      </c>
      <c r="L352" s="40">
        <v>0</v>
      </c>
      <c r="M352" s="30">
        <f>Tabla2757[[#This Row],[Precio por hora]]*Tabla2757[[#This Row],[Cantidad horas]]</f>
        <v>0</v>
      </c>
      <c r="N352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353" spans="2:14" x14ac:dyDescent="0.3">
      <c r="B353" s="28"/>
      <c r="C353" s="20"/>
      <c r="E353" s="136"/>
      <c r="F353" s="177">
        <f>_xlfn.XLOOKUP(Tabla2757[[#This Row],[Tipo de venta]],Tabla2329[Tipo de venta],Tabla2329[Moneda final], "Error - Seleccionar Tipo de Venta", 0,1)</f>
        <v>0</v>
      </c>
      <c r="G353" s="178"/>
      <c r="H353" s="21"/>
      <c r="I353" s="30">
        <f>_xlfn.XLOOKUP(Tabla2757[[#This Row],[Puesto Encargado]], Tabla9[Puesto], Tabla9[Precio cliente],0,1,1)</f>
        <v>0</v>
      </c>
      <c r="J353" s="30">
        <f>_xlfn.XLOOKUP(Tabla2757[[#This Row],[Cargo]], Tabla958[Cargos], Tabla958[Ponderador Precio],0,1,1)</f>
        <v>0</v>
      </c>
      <c r="K353" s="30">
        <f>Tabla2757[[#This Row],[Precio por hora UF]]*Tabla2757[[#This Row],[Ponderador]]</f>
        <v>0</v>
      </c>
      <c r="L353" s="40">
        <v>0</v>
      </c>
      <c r="M353" s="30">
        <f>Tabla2757[[#This Row],[Precio por hora]]*Tabla2757[[#This Row],[Cantidad horas]]</f>
        <v>0</v>
      </c>
      <c r="N353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354" spans="2:14" x14ac:dyDescent="0.3">
      <c r="B354" s="28"/>
      <c r="C354" s="20"/>
      <c r="E354" s="136"/>
      <c r="F354" s="177">
        <f>_xlfn.XLOOKUP(Tabla2757[[#This Row],[Tipo de venta]],Tabla2329[Tipo de venta],Tabla2329[Moneda final], "Error - Seleccionar Tipo de Venta", 0,1)</f>
        <v>0</v>
      </c>
      <c r="G354" s="178"/>
      <c r="H354" s="21"/>
      <c r="I354" s="30">
        <f>_xlfn.XLOOKUP(Tabla2757[[#This Row],[Puesto Encargado]], Tabla9[Puesto], Tabla9[Precio cliente],0,1,1)</f>
        <v>0</v>
      </c>
      <c r="J354" s="30">
        <f>_xlfn.XLOOKUP(Tabla2757[[#This Row],[Cargo]], Tabla958[Cargos], Tabla958[Ponderador Precio],0,1,1)</f>
        <v>0</v>
      </c>
      <c r="K354" s="30">
        <f>Tabla2757[[#This Row],[Precio por hora UF]]*Tabla2757[[#This Row],[Ponderador]]</f>
        <v>0</v>
      </c>
      <c r="L354" s="40">
        <v>0</v>
      </c>
      <c r="M354" s="30">
        <f>Tabla2757[[#This Row],[Precio por hora]]*Tabla2757[[#This Row],[Cantidad horas]]</f>
        <v>0</v>
      </c>
      <c r="N354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355" spans="2:14" x14ac:dyDescent="0.3">
      <c r="B355" s="28"/>
      <c r="C355" s="20"/>
      <c r="E355" s="136"/>
      <c r="F355" s="177">
        <f>_xlfn.XLOOKUP(Tabla2757[[#This Row],[Tipo de venta]],Tabla2329[Tipo de venta],Tabla2329[Moneda final], "Error - Seleccionar Tipo de Venta", 0,1)</f>
        <v>0</v>
      </c>
      <c r="G355" s="178"/>
      <c r="H355" s="21"/>
      <c r="I355" s="30">
        <f>_xlfn.XLOOKUP(Tabla2757[[#This Row],[Puesto Encargado]], Tabla9[Puesto], Tabla9[Precio cliente],0,1,1)</f>
        <v>0</v>
      </c>
      <c r="J355" s="30">
        <f>_xlfn.XLOOKUP(Tabla2757[[#This Row],[Cargo]], Tabla958[Cargos], Tabla958[Ponderador Precio],0,1,1)</f>
        <v>0</v>
      </c>
      <c r="K355" s="30">
        <f>Tabla2757[[#This Row],[Precio por hora UF]]*Tabla2757[[#This Row],[Ponderador]]</f>
        <v>0</v>
      </c>
      <c r="L355" s="40">
        <v>0</v>
      </c>
      <c r="M355" s="30">
        <f>Tabla2757[[#This Row],[Precio por hora]]*Tabla2757[[#This Row],[Cantidad horas]]</f>
        <v>0</v>
      </c>
      <c r="N355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356" spans="2:14" x14ac:dyDescent="0.3">
      <c r="B356" s="28"/>
      <c r="C356" s="20"/>
      <c r="E356" s="136"/>
      <c r="F356" s="177">
        <f>_xlfn.XLOOKUP(Tabla2757[[#This Row],[Tipo de venta]],Tabla2329[Tipo de venta],Tabla2329[Moneda final], "Error - Seleccionar Tipo de Venta", 0,1)</f>
        <v>0</v>
      </c>
      <c r="G356" s="178"/>
      <c r="H356" s="21"/>
      <c r="I356" s="30">
        <f>_xlfn.XLOOKUP(Tabla2757[[#This Row],[Puesto Encargado]], Tabla9[Puesto], Tabla9[Precio cliente],0,1,1)</f>
        <v>0</v>
      </c>
      <c r="J356" s="30">
        <f>_xlfn.XLOOKUP(Tabla2757[[#This Row],[Cargo]], Tabla958[Cargos], Tabla958[Ponderador Precio],0,1,1)</f>
        <v>0</v>
      </c>
      <c r="K356" s="30">
        <f>Tabla2757[[#This Row],[Precio por hora UF]]*Tabla2757[[#This Row],[Ponderador]]</f>
        <v>0</v>
      </c>
      <c r="L356" s="40">
        <v>0</v>
      </c>
      <c r="M356" s="30">
        <f>Tabla2757[[#This Row],[Precio por hora]]*Tabla2757[[#This Row],[Cantidad horas]]</f>
        <v>0</v>
      </c>
      <c r="N356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357" spans="2:14" x14ac:dyDescent="0.3">
      <c r="B357" s="28"/>
      <c r="C357" s="20"/>
      <c r="E357" s="136"/>
      <c r="F357" s="177">
        <f>_xlfn.XLOOKUP(Tabla2757[[#This Row],[Tipo de venta]],Tabla2329[Tipo de venta],Tabla2329[Moneda final], "Error - Seleccionar Tipo de Venta", 0,1)</f>
        <v>0</v>
      </c>
      <c r="G357" s="178"/>
      <c r="H357" s="21"/>
      <c r="I357" s="30">
        <f>_xlfn.XLOOKUP(Tabla2757[[#This Row],[Puesto Encargado]], Tabla9[Puesto], Tabla9[Precio cliente],0,1,1)</f>
        <v>0</v>
      </c>
      <c r="J357" s="30">
        <f>_xlfn.XLOOKUP(Tabla2757[[#This Row],[Cargo]], Tabla958[Cargos], Tabla958[Ponderador Precio],0,1,1)</f>
        <v>0</v>
      </c>
      <c r="K357" s="30">
        <f>Tabla2757[[#This Row],[Precio por hora UF]]*Tabla2757[[#This Row],[Ponderador]]</f>
        <v>0</v>
      </c>
      <c r="L357" s="40">
        <v>0</v>
      </c>
      <c r="M357" s="30">
        <f>Tabla2757[[#This Row],[Precio por hora]]*Tabla2757[[#This Row],[Cantidad horas]]</f>
        <v>0</v>
      </c>
      <c r="N357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358" spans="2:14" x14ac:dyDescent="0.3">
      <c r="B358" s="28"/>
      <c r="C358" s="20"/>
      <c r="E358" s="136"/>
      <c r="F358" s="177">
        <f>_xlfn.XLOOKUP(Tabla2757[[#This Row],[Tipo de venta]],Tabla2329[Tipo de venta],Tabla2329[Moneda final], "Error - Seleccionar Tipo de Venta", 0,1)</f>
        <v>0</v>
      </c>
      <c r="G358" s="178"/>
      <c r="H358" s="21"/>
      <c r="I358" s="30">
        <f>_xlfn.XLOOKUP(Tabla2757[[#This Row],[Puesto Encargado]], Tabla9[Puesto], Tabla9[Precio cliente],0,1,1)</f>
        <v>0</v>
      </c>
      <c r="J358" s="30">
        <f>_xlfn.XLOOKUP(Tabla2757[[#This Row],[Cargo]], Tabla958[Cargos], Tabla958[Ponderador Precio],0,1,1)</f>
        <v>0</v>
      </c>
      <c r="K358" s="30">
        <f>Tabla2757[[#This Row],[Precio por hora UF]]*Tabla2757[[#This Row],[Ponderador]]</f>
        <v>0</v>
      </c>
      <c r="L358" s="40">
        <v>0</v>
      </c>
      <c r="M358" s="30">
        <f>Tabla2757[[#This Row],[Precio por hora]]*Tabla2757[[#This Row],[Cantidad horas]]</f>
        <v>0</v>
      </c>
      <c r="N358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359" spans="2:14" x14ac:dyDescent="0.3">
      <c r="B359" s="28"/>
      <c r="C359" s="20"/>
      <c r="E359" s="136"/>
      <c r="F359" s="177">
        <f>_xlfn.XLOOKUP(Tabla2757[[#This Row],[Tipo de venta]],Tabla2329[Tipo de venta],Tabla2329[Moneda final], "Error - Seleccionar Tipo de Venta", 0,1)</f>
        <v>0</v>
      </c>
      <c r="G359" s="178"/>
      <c r="H359" s="21"/>
      <c r="I359" s="30">
        <f>_xlfn.XLOOKUP(Tabla2757[[#This Row],[Puesto Encargado]], Tabla9[Puesto], Tabla9[Precio cliente],0,1,1)</f>
        <v>0</v>
      </c>
      <c r="J359" s="30">
        <f>_xlfn.XLOOKUP(Tabla2757[[#This Row],[Cargo]], Tabla958[Cargos], Tabla958[Ponderador Precio],0,1,1)</f>
        <v>0</v>
      </c>
      <c r="K359" s="30">
        <f>Tabla2757[[#This Row],[Precio por hora UF]]*Tabla2757[[#This Row],[Ponderador]]</f>
        <v>0</v>
      </c>
      <c r="L359" s="40">
        <v>0</v>
      </c>
      <c r="M359" s="30">
        <f>Tabla2757[[#This Row],[Precio por hora]]*Tabla2757[[#This Row],[Cantidad horas]]</f>
        <v>0</v>
      </c>
      <c r="N359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360" spans="2:14" x14ac:dyDescent="0.3">
      <c r="B360" s="28"/>
      <c r="C360" s="20"/>
      <c r="E360" s="136"/>
      <c r="F360" s="177">
        <f>_xlfn.XLOOKUP(Tabla2757[[#This Row],[Tipo de venta]],Tabla2329[Tipo de venta],Tabla2329[Moneda final], "Error - Seleccionar Tipo de Venta", 0,1)</f>
        <v>0</v>
      </c>
      <c r="G360" s="178"/>
      <c r="H360" s="21"/>
      <c r="I360" s="30">
        <f>_xlfn.XLOOKUP(Tabla2757[[#This Row],[Puesto Encargado]], Tabla9[Puesto], Tabla9[Precio cliente],0,1,1)</f>
        <v>0</v>
      </c>
      <c r="J360" s="30">
        <f>_xlfn.XLOOKUP(Tabla2757[[#This Row],[Cargo]], Tabla958[Cargos], Tabla958[Ponderador Precio],0,1,1)</f>
        <v>0</v>
      </c>
      <c r="K360" s="30">
        <f>Tabla2757[[#This Row],[Precio por hora UF]]*Tabla2757[[#This Row],[Ponderador]]</f>
        <v>0</v>
      </c>
      <c r="L360" s="40">
        <v>0</v>
      </c>
      <c r="M360" s="30">
        <f>Tabla2757[[#This Row],[Precio por hora]]*Tabla2757[[#This Row],[Cantidad horas]]</f>
        <v>0</v>
      </c>
      <c r="N360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361" spans="2:14" x14ac:dyDescent="0.3">
      <c r="B361" s="28"/>
      <c r="C361" s="20"/>
      <c r="E361" s="136"/>
      <c r="F361" s="177">
        <f>_xlfn.XLOOKUP(Tabla2757[[#This Row],[Tipo de venta]],Tabla2329[Tipo de venta],Tabla2329[Moneda final], "Error - Seleccionar Tipo de Venta", 0,1)</f>
        <v>0</v>
      </c>
      <c r="G361" s="178"/>
      <c r="H361" s="21"/>
      <c r="I361" s="30">
        <f>_xlfn.XLOOKUP(Tabla2757[[#This Row],[Puesto Encargado]], Tabla9[Puesto], Tabla9[Precio cliente],0,1,1)</f>
        <v>0</v>
      </c>
      <c r="J361" s="30">
        <f>_xlfn.XLOOKUP(Tabla2757[[#This Row],[Cargo]], Tabla958[Cargos], Tabla958[Ponderador Precio],0,1,1)</f>
        <v>0</v>
      </c>
      <c r="K361" s="30">
        <f>Tabla2757[[#This Row],[Precio por hora UF]]*Tabla2757[[#This Row],[Ponderador]]</f>
        <v>0</v>
      </c>
      <c r="L361" s="40">
        <v>0</v>
      </c>
      <c r="M361" s="30">
        <f>Tabla2757[[#This Row],[Precio por hora]]*Tabla2757[[#This Row],[Cantidad horas]]</f>
        <v>0</v>
      </c>
      <c r="N361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362" spans="2:14" x14ac:dyDescent="0.3">
      <c r="B362" s="28"/>
      <c r="C362" s="20"/>
      <c r="E362" s="136"/>
      <c r="F362" s="177">
        <f>_xlfn.XLOOKUP(Tabla2757[[#This Row],[Tipo de venta]],Tabla2329[Tipo de venta],Tabla2329[Moneda final], "Error - Seleccionar Tipo de Venta", 0,1)</f>
        <v>0</v>
      </c>
      <c r="G362" s="178"/>
      <c r="H362" s="21"/>
      <c r="I362" s="30">
        <f>_xlfn.XLOOKUP(Tabla2757[[#This Row],[Puesto Encargado]], Tabla9[Puesto], Tabla9[Precio cliente],0,1,1)</f>
        <v>0</v>
      </c>
      <c r="J362" s="30">
        <f>_xlfn.XLOOKUP(Tabla2757[[#This Row],[Cargo]], Tabla958[Cargos], Tabla958[Ponderador Precio],0,1,1)</f>
        <v>0</v>
      </c>
      <c r="K362" s="30">
        <f>Tabla2757[[#This Row],[Precio por hora UF]]*Tabla2757[[#This Row],[Ponderador]]</f>
        <v>0</v>
      </c>
      <c r="L362" s="40">
        <v>0</v>
      </c>
      <c r="M362" s="30">
        <f>Tabla2757[[#This Row],[Precio por hora]]*Tabla2757[[#This Row],[Cantidad horas]]</f>
        <v>0</v>
      </c>
      <c r="N362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363" spans="2:14" x14ac:dyDescent="0.3">
      <c r="B363" s="28"/>
      <c r="C363" s="20"/>
      <c r="E363" s="136"/>
      <c r="F363" s="177">
        <f>_xlfn.XLOOKUP(Tabla2757[[#This Row],[Tipo de venta]],Tabla2329[Tipo de venta],Tabla2329[Moneda final], "Error - Seleccionar Tipo de Venta", 0,1)</f>
        <v>0</v>
      </c>
      <c r="G363" s="178"/>
      <c r="H363" s="21"/>
      <c r="I363" s="30">
        <f>_xlfn.XLOOKUP(Tabla2757[[#This Row],[Puesto Encargado]], Tabla9[Puesto], Tabla9[Precio cliente],0,1,1)</f>
        <v>0</v>
      </c>
      <c r="J363" s="30">
        <f>_xlfn.XLOOKUP(Tabla2757[[#This Row],[Cargo]], Tabla958[Cargos], Tabla958[Ponderador Precio],0,1,1)</f>
        <v>0</v>
      </c>
      <c r="K363" s="30">
        <f>Tabla2757[[#This Row],[Precio por hora UF]]*Tabla2757[[#This Row],[Ponderador]]</f>
        <v>0</v>
      </c>
      <c r="L363" s="40">
        <v>0</v>
      </c>
      <c r="M363" s="30">
        <f>Tabla2757[[#This Row],[Precio por hora]]*Tabla2757[[#This Row],[Cantidad horas]]</f>
        <v>0</v>
      </c>
      <c r="N363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364" spans="2:14" x14ac:dyDescent="0.3">
      <c r="B364" s="28"/>
      <c r="C364" s="20"/>
      <c r="E364" s="136"/>
      <c r="F364" s="177">
        <f>_xlfn.XLOOKUP(Tabla2757[[#This Row],[Tipo de venta]],Tabla2329[Tipo de venta],Tabla2329[Moneda final], "Error - Seleccionar Tipo de Venta", 0,1)</f>
        <v>0</v>
      </c>
      <c r="G364" s="178"/>
      <c r="H364" s="21"/>
      <c r="I364" s="30">
        <f>_xlfn.XLOOKUP(Tabla2757[[#This Row],[Puesto Encargado]], Tabla9[Puesto], Tabla9[Precio cliente],0,1,1)</f>
        <v>0</v>
      </c>
      <c r="J364" s="30">
        <f>_xlfn.XLOOKUP(Tabla2757[[#This Row],[Cargo]], Tabla958[Cargos], Tabla958[Ponderador Precio],0,1,1)</f>
        <v>0</v>
      </c>
      <c r="K364" s="30">
        <f>Tabla2757[[#This Row],[Precio por hora UF]]*Tabla2757[[#This Row],[Ponderador]]</f>
        <v>0</v>
      </c>
      <c r="L364" s="40">
        <v>0</v>
      </c>
      <c r="M364" s="30">
        <f>Tabla2757[[#This Row],[Precio por hora]]*Tabla2757[[#This Row],[Cantidad horas]]</f>
        <v>0</v>
      </c>
      <c r="N364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365" spans="2:14" x14ac:dyDescent="0.3">
      <c r="B365" s="28"/>
      <c r="C365" s="20"/>
      <c r="E365" s="136"/>
      <c r="F365" s="177">
        <f>_xlfn.XLOOKUP(Tabla2757[[#This Row],[Tipo de venta]],Tabla2329[Tipo de venta],Tabla2329[Moneda final], "Error - Seleccionar Tipo de Venta", 0,1)</f>
        <v>0</v>
      </c>
      <c r="G365" s="178"/>
      <c r="H365" s="21"/>
      <c r="I365" s="30">
        <f>_xlfn.XLOOKUP(Tabla2757[[#This Row],[Puesto Encargado]], Tabla9[Puesto], Tabla9[Precio cliente],0,1,1)</f>
        <v>0</v>
      </c>
      <c r="J365" s="30">
        <f>_xlfn.XLOOKUP(Tabla2757[[#This Row],[Cargo]], Tabla958[Cargos], Tabla958[Ponderador Precio],0,1,1)</f>
        <v>0</v>
      </c>
      <c r="K365" s="30">
        <f>Tabla2757[[#This Row],[Precio por hora UF]]*Tabla2757[[#This Row],[Ponderador]]</f>
        <v>0</v>
      </c>
      <c r="L365" s="40">
        <v>0</v>
      </c>
      <c r="M365" s="30">
        <f>Tabla2757[[#This Row],[Precio por hora]]*Tabla2757[[#This Row],[Cantidad horas]]</f>
        <v>0</v>
      </c>
      <c r="N365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366" spans="2:14" x14ac:dyDescent="0.3">
      <c r="B366" s="28"/>
      <c r="C366" s="20"/>
      <c r="E366" s="136"/>
      <c r="F366" s="177">
        <f>_xlfn.XLOOKUP(Tabla2757[[#This Row],[Tipo de venta]],Tabla2329[Tipo de venta],Tabla2329[Moneda final], "Error - Seleccionar Tipo de Venta", 0,1)</f>
        <v>0</v>
      </c>
      <c r="G366" s="178"/>
      <c r="H366" s="21"/>
      <c r="I366" s="30">
        <f>_xlfn.XLOOKUP(Tabla2757[[#This Row],[Puesto Encargado]], Tabla9[Puesto], Tabla9[Precio cliente],0,1,1)</f>
        <v>0</v>
      </c>
      <c r="J366" s="30">
        <f>_xlfn.XLOOKUP(Tabla2757[[#This Row],[Cargo]], Tabla958[Cargos], Tabla958[Ponderador Precio],0,1,1)</f>
        <v>0</v>
      </c>
      <c r="K366" s="30">
        <f>Tabla2757[[#This Row],[Precio por hora UF]]*Tabla2757[[#This Row],[Ponderador]]</f>
        <v>0</v>
      </c>
      <c r="L366" s="40">
        <v>0</v>
      </c>
      <c r="M366" s="30">
        <f>Tabla2757[[#This Row],[Precio por hora]]*Tabla2757[[#This Row],[Cantidad horas]]</f>
        <v>0</v>
      </c>
      <c r="N366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367" spans="2:14" x14ac:dyDescent="0.3">
      <c r="B367" s="28"/>
      <c r="C367" s="20"/>
      <c r="E367" s="136"/>
      <c r="F367" s="177">
        <f>_xlfn.XLOOKUP(Tabla2757[[#This Row],[Tipo de venta]],Tabla2329[Tipo de venta],Tabla2329[Moneda final], "Error - Seleccionar Tipo de Venta", 0,1)</f>
        <v>0</v>
      </c>
      <c r="G367" s="178"/>
      <c r="H367" s="21"/>
      <c r="I367" s="30">
        <f>_xlfn.XLOOKUP(Tabla2757[[#This Row],[Puesto Encargado]], Tabla9[Puesto], Tabla9[Precio cliente],0,1,1)</f>
        <v>0</v>
      </c>
      <c r="J367" s="30">
        <f>_xlfn.XLOOKUP(Tabla2757[[#This Row],[Cargo]], Tabla958[Cargos], Tabla958[Ponderador Precio],0,1,1)</f>
        <v>0</v>
      </c>
      <c r="K367" s="30">
        <f>Tabla2757[[#This Row],[Precio por hora UF]]*Tabla2757[[#This Row],[Ponderador]]</f>
        <v>0</v>
      </c>
      <c r="L367" s="40">
        <v>0</v>
      </c>
      <c r="M367" s="30">
        <f>Tabla2757[[#This Row],[Precio por hora]]*Tabla2757[[#This Row],[Cantidad horas]]</f>
        <v>0</v>
      </c>
      <c r="N367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368" spans="2:14" x14ac:dyDescent="0.3">
      <c r="B368" s="28"/>
      <c r="C368" s="20"/>
      <c r="E368" s="136"/>
      <c r="F368" s="177">
        <f>_xlfn.XLOOKUP(Tabla2757[[#This Row],[Tipo de venta]],Tabla2329[Tipo de venta],Tabla2329[Moneda final], "Error - Seleccionar Tipo de Venta", 0,1)</f>
        <v>0</v>
      </c>
      <c r="G368" s="178"/>
      <c r="H368" s="21"/>
      <c r="I368" s="30">
        <f>_xlfn.XLOOKUP(Tabla2757[[#This Row],[Puesto Encargado]], Tabla9[Puesto], Tabla9[Precio cliente],0,1,1)</f>
        <v>0</v>
      </c>
      <c r="J368" s="30">
        <f>_xlfn.XLOOKUP(Tabla2757[[#This Row],[Cargo]], Tabla958[Cargos], Tabla958[Ponderador Precio],0,1,1)</f>
        <v>0</v>
      </c>
      <c r="K368" s="30">
        <f>Tabla2757[[#This Row],[Precio por hora UF]]*Tabla2757[[#This Row],[Ponderador]]</f>
        <v>0</v>
      </c>
      <c r="L368" s="40">
        <v>0</v>
      </c>
      <c r="M368" s="30">
        <f>Tabla2757[[#This Row],[Precio por hora]]*Tabla2757[[#This Row],[Cantidad horas]]</f>
        <v>0</v>
      </c>
      <c r="N368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369" spans="2:14" x14ac:dyDescent="0.3">
      <c r="B369" s="28"/>
      <c r="C369" s="20"/>
      <c r="E369" s="136"/>
      <c r="F369" s="177">
        <f>_xlfn.XLOOKUP(Tabla2757[[#This Row],[Tipo de venta]],Tabla2329[Tipo de venta],Tabla2329[Moneda final], "Error - Seleccionar Tipo de Venta", 0,1)</f>
        <v>0</v>
      </c>
      <c r="G369" s="178"/>
      <c r="H369" s="21"/>
      <c r="I369" s="30">
        <f>_xlfn.XLOOKUP(Tabla2757[[#This Row],[Puesto Encargado]], Tabla9[Puesto], Tabla9[Precio cliente],0,1,1)</f>
        <v>0</v>
      </c>
      <c r="J369" s="30">
        <f>_xlfn.XLOOKUP(Tabla2757[[#This Row],[Cargo]], Tabla958[Cargos], Tabla958[Ponderador Precio],0,1,1)</f>
        <v>0</v>
      </c>
      <c r="K369" s="30">
        <f>Tabla2757[[#This Row],[Precio por hora UF]]*Tabla2757[[#This Row],[Ponderador]]</f>
        <v>0</v>
      </c>
      <c r="L369" s="40">
        <v>0</v>
      </c>
      <c r="M369" s="30">
        <f>Tabla2757[[#This Row],[Precio por hora]]*Tabla2757[[#This Row],[Cantidad horas]]</f>
        <v>0</v>
      </c>
      <c r="N369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370" spans="2:14" x14ac:dyDescent="0.3">
      <c r="B370" s="28"/>
      <c r="C370" s="20"/>
      <c r="E370" s="136"/>
      <c r="F370" s="177">
        <f>_xlfn.XLOOKUP(Tabla2757[[#This Row],[Tipo de venta]],Tabla2329[Tipo de venta],Tabla2329[Moneda final], "Error - Seleccionar Tipo de Venta", 0,1)</f>
        <v>0</v>
      </c>
      <c r="G370" s="178"/>
      <c r="H370" s="21"/>
      <c r="I370" s="30">
        <f>_xlfn.XLOOKUP(Tabla2757[[#This Row],[Puesto Encargado]], Tabla9[Puesto], Tabla9[Precio cliente],0,1,1)</f>
        <v>0</v>
      </c>
      <c r="J370" s="30">
        <f>_xlfn.XLOOKUP(Tabla2757[[#This Row],[Cargo]], Tabla958[Cargos], Tabla958[Ponderador Precio],0,1,1)</f>
        <v>0</v>
      </c>
      <c r="K370" s="30">
        <f>Tabla2757[[#This Row],[Precio por hora UF]]*Tabla2757[[#This Row],[Ponderador]]</f>
        <v>0</v>
      </c>
      <c r="L370" s="40">
        <v>0</v>
      </c>
      <c r="M370" s="30">
        <f>Tabla2757[[#This Row],[Precio por hora]]*Tabla2757[[#This Row],[Cantidad horas]]</f>
        <v>0</v>
      </c>
      <c r="N370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371" spans="2:14" x14ac:dyDescent="0.3">
      <c r="B371" s="28"/>
      <c r="C371" s="20"/>
      <c r="E371" s="136"/>
      <c r="F371" s="177">
        <f>_xlfn.XLOOKUP(Tabla2757[[#This Row],[Tipo de venta]],Tabla2329[Tipo de venta],Tabla2329[Moneda final], "Error - Seleccionar Tipo de Venta", 0,1)</f>
        <v>0</v>
      </c>
      <c r="G371" s="178"/>
      <c r="H371" s="21"/>
      <c r="I371" s="30">
        <f>_xlfn.XLOOKUP(Tabla2757[[#This Row],[Puesto Encargado]], Tabla9[Puesto], Tabla9[Precio cliente],0,1,1)</f>
        <v>0</v>
      </c>
      <c r="J371" s="30">
        <f>_xlfn.XLOOKUP(Tabla2757[[#This Row],[Cargo]], Tabla958[Cargos], Tabla958[Ponderador Precio],0,1,1)</f>
        <v>0</v>
      </c>
      <c r="K371" s="30">
        <f>Tabla2757[[#This Row],[Precio por hora UF]]*Tabla2757[[#This Row],[Ponderador]]</f>
        <v>0</v>
      </c>
      <c r="L371" s="40">
        <v>0</v>
      </c>
      <c r="M371" s="30">
        <f>Tabla2757[[#This Row],[Precio por hora]]*Tabla2757[[#This Row],[Cantidad horas]]</f>
        <v>0</v>
      </c>
      <c r="N371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372" spans="2:14" x14ac:dyDescent="0.3">
      <c r="B372" s="28"/>
      <c r="C372" s="20"/>
      <c r="E372" s="136"/>
      <c r="F372" s="177">
        <f>_xlfn.XLOOKUP(Tabla2757[[#This Row],[Tipo de venta]],Tabla2329[Tipo de venta],Tabla2329[Moneda final], "Error - Seleccionar Tipo de Venta", 0,1)</f>
        <v>0</v>
      </c>
      <c r="G372" s="178"/>
      <c r="H372" s="21"/>
      <c r="I372" s="30">
        <f>_xlfn.XLOOKUP(Tabla2757[[#This Row],[Puesto Encargado]], Tabla9[Puesto], Tabla9[Precio cliente],0,1,1)</f>
        <v>0</v>
      </c>
      <c r="J372" s="30">
        <f>_xlfn.XLOOKUP(Tabla2757[[#This Row],[Cargo]], Tabla958[Cargos], Tabla958[Ponderador Precio],0,1,1)</f>
        <v>0</v>
      </c>
      <c r="K372" s="30">
        <f>Tabla2757[[#This Row],[Precio por hora UF]]*Tabla2757[[#This Row],[Ponderador]]</f>
        <v>0</v>
      </c>
      <c r="L372" s="40">
        <v>0</v>
      </c>
      <c r="M372" s="30">
        <f>Tabla2757[[#This Row],[Precio por hora]]*Tabla2757[[#This Row],[Cantidad horas]]</f>
        <v>0</v>
      </c>
      <c r="N372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373" spans="2:14" x14ac:dyDescent="0.3">
      <c r="B373" s="28"/>
      <c r="C373" s="20"/>
      <c r="E373" s="136"/>
      <c r="F373" s="177">
        <f>_xlfn.XLOOKUP(Tabla2757[[#This Row],[Tipo de venta]],Tabla2329[Tipo de venta],Tabla2329[Moneda final], "Error - Seleccionar Tipo de Venta", 0,1)</f>
        <v>0</v>
      </c>
      <c r="G373" s="178"/>
      <c r="H373" s="21"/>
      <c r="I373" s="30">
        <f>_xlfn.XLOOKUP(Tabla2757[[#This Row],[Puesto Encargado]], Tabla9[Puesto], Tabla9[Precio cliente],0,1,1)</f>
        <v>0</v>
      </c>
      <c r="J373" s="30">
        <f>_xlfn.XLOOKUP(Tabla2757[[#This Row],[Cargo]], Tabla958[Cargos], Tabla958[Ponderador Precio],0,1,1)</f>
        <v>0</v>
      </c>
      <c r="K373" s="30">
        <f>Tabla2757[[#This Row],[Precio por hora UF]]*Tabla2757[[#This Row],[Ponderador]]</f>
        <v>0</v>
      </c>
      <c r="L373" s="40">
        <v>0</v>
      </c>
      <c r="M373" s="30">
        <f>Tabla2757[[#This Row],[Precio por hora]]*Tabla2757[[#This Row],[Cantidad horas]]</f>
        <v>0</v>
      </c>
      <c r="N373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374" spans="2:14" x14ac:dyDescent="0.3">
      <c r="B374" s="28"/>
      <c r="C374" s="20"/>
      <c r="E374" s="136"/>
      <c r="F374" s="177">
        <f>_xlfn.XLOOKUP(Tabla2757[[#This Row],[Tipo de venta]],Tabla2329[Tipo de venta],Tabla2329[Moneda final], "Error - Seleccionar Tipo de Venta", 0,1)</f>
        <v>0</v>
      </c>
      <c r="G374" s="178"/>
      <c r="H374" s="21"/>
      <c r="I374" s="30">
        <f>_xlfn.XLOOKUP(Tabla2757[[#This Row],[Puesto Encargado]], Tabla9[Puesto], Tabla9[Precio cliente],0,1,1)</f>
        <v>0</v>
      </c>
      <c r="J374" s="30">
        <f>_xlfn.XLOOKUP(Tabla2757[[#This Row],[Cargo]], Tabla958[Cargos], Tabla958[Ponderador Precio],0,1,1)</f>
        <v>0</v>
      </c>
      <c r="K374" s="30">
        <f>Tabla2757[[#This Row],[Precio por hora UF]]*Tabla2757[[#This Row],[Ponderador]]</f>
        <v>0</v>
      </c>
      <c r="L374" s="40">
        <v>0</v>
      </c>
      <c r="M374" s="30">
        <f>Tabla2757[[#This Row],[Precio por hora]]*Tabla2757[[#This Row],[Cantidad horas]]</f>
        <v>0</v>
      </c>
      <c r="N374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375" spans="2:14" x14ac:dyDescent="0.3">
      <c r="B375" s="28"/>
      <c r="C375" s="20"/>
      <c r="E375" s="136"/>
      <c r="F375" s="177">
        <f>_xlfn.XLOOKUP(Tabla2757[[#This Row],[Tipo de venta]],Tabla2329[Tipo de venta],Tabla2329[Moneda final], "Error - Seleccionar Tipo de Venta", 0,1)</f>
        <v>0</v>
      </c>
      <c r="G375" s="178"/>
      <c r="H375" s="21"/>
      <c r="I375" s="30">
        <f>_xlfn.XLOOKUP(Tabla2757[[#This Row],[Puesto Encargado]], Tabla9[Puesto], Tabla9[Precio cliente],0,1,1)</f>
        <v>0</v>
      </c>
      <c r="J375" s="30">
        <f>_xlfn.XLOOKUP(Tabla2757[[#This Row],[Cargo]], Tabla958[Cargos], Tabla958[Ponderador Precio],0,1,1)</f>
        <v>0</v>
      </c>
      <c r="K375" s="30">
        <f>Tabla2757[[#This Row],[Precio por hora UF]]*Tabla2757[[#This Row],[Ponderador]]</f>
        <v>0</v>
      </c>
      <c r="L375" s="40">
        <v>0</v>
      </c>
      <c r="M375" s="30">
        <f>Tabla2757[[#This Row],[Precio por hora]]*Tabla2757[[#This Row],[Cantidad horas]]</f>
        <v>0</v>
      </c>
      <c r="N375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376" spans="2:14" x14ac:dyDescent="0.3">
      <c r="B376" s="28"/>
      <c r="C376" s="20"/>
      <c r="E376" s="136"/>
      <c r="F376" s="177">
        <f>_xlfn.XLOOKUP(Tabla2757[[#This Row],[Tipo de venta]],Tabla2329[Tipo de venta],Tabla2329[Moneda final], "Error - Seleccionar Tipo de Venta", 0,1)</f>
        <v>0</v>
      </c>
      <c r="G376" s="178"/>
      <c r="H376" s="21"/>
      <c r="I376" s="30">
        <f>_xlfn.XLOOKUP(Tabla2757[[#This Row],[Puesto Encargado]], Tabla9[Puesto], Tabla9[Precio cliente],0,1,1)</f>
        <v>0</v>
      </c>
      <c r="J376" s="30">
        <f>_xlfn.XLOOKUP(Tabla2757[[#This Row],[Cargo]], Tabla958[Cargos], Tabla958[Ponderador Precio],0,1,1)</f>
        <v>0</v>
      </c>
      <c r="K376" s="30">
        <f>Tabla2757[[#This Row],[Precio por hora UF]]*Tabla2757[[#This Row],[Ponderador]]</f>
        <v>0</v>
      </c>
      <c r="L376" s="40">
        <v>0</v>
      </c>
      <c r="M376" s="30">
        <f>Tabla2757[[#This Row],[Precio por hora]]*Tabla2757[[#This Row],[Cantidad horas]]</f>
        <v>0</v>
      </c>
      <c r="N376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377" spans="2:14" x14ac:dyDescent="0.3">
      <c r="B377" s="28"/>
      <c r="C377" s="20"/>
      <c r="E377" s="136"/>
      <c r="F377" s="177">
        <f>_xlfn.XLOOKUP(Tabla2757[[#This Row],[Tipo de venta]],Tabla2329[Tipo de venta],Tabla2329[Moneda final], "Error - Seleccionar Tipo de Venta", 0,1)</f>
        <v>0</v>
      </c>
      <c r="G377" s="178"/>
      <c r="H377" s="21"/>
      <c r="I377" s="30">
        <f>_xlfn.XLOOKUP(Tabla2757[[#This Row],[Puesto Encargado]], Tabla9[Puesto], Tabla9[Precio cliente],0,1,1)</f>
        <v>0</v>
      </c>
      <c r="J377" s="30">
        <f>_xlfn.XLOOKUP(Tabla2757[[#This Row],[Cargo]], Tabla958[Cargos], Tabla958[Ponderador Precio],0,1,1)</f>
        <v>0</v>
      </c>
      <c r="K377" s="30">
        <f>Tabla2757[[#This Row],[Precio por hora UF]]*Tabla2757[[#This Row],[Ponderador]]</f>
        <v>0</v>
      </c>
      <c r="L377" s="40">
        <v>0</v>
      </c>
      <c r="M377" s="30">
        <f>Tabla2757[[#This Row],[Precio por hora]]*Tabla2757[[#This Row],[Cantidad horas]]</f>
        <v>0</v>
      </c>
      <c r="N377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378" spans="2:14" x14ac:dyDescent="0.3">
      <c r="B378" s="28"/>
      <c r="C378" s="20"/>
      <c r="E378" s="136"/>
      <c r="F378" s="177">
        <f>_xlfn.XLOOKUP(Tabla2757[[#This Row],[Tipo de venta]],Tabla2329[Tipo de venta],Tabla2329[Moneda final], "Error - Seleccionar Tipo de Venta", 0,1)</f>
        <v>0</v>
      </c>
      <c r="G378" s="178"/>
      <c r="H378" s="21"/>
      <c r="I378" s="30">
        <f>_xlfn.XLOOKUP(Tabla2757[[#This Row],[Puesto Encargado]], Tabla9[Puesto], Tabla9[Precio cliente],0,1,1)</f>
        <v>0</v>
      </c>
      <c r="J378" s="30">
        <f>_xlfn.XLOOKUP(Tabla2757[[#This Row],[Cargo]], Tabla958[Cargos], Tabla958[Ponderador Precio],0,1,1)</f>
        <v>0</v>
      </c>
      <c r="K378" s="30">
        <f>Tabla2757[[#This Row],[Precio por hora UF]]*Tabla2757[[#This Row],[Ponderador]]</f>
        <v>0</v>
      </c>
      <c r="L378" s="40">
        <v>0</v>
      </c>
      <c r="M378" s="30">
        <f>Tabla2757[[#This Row],[Precio por hora]]*Tabla2757[[#This Row],[Cantidad horas]]</f>
        <v>0</v>
      </c>
      <c r="N378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379" spans="2:14" x14ac:dyDescent="0.3">
      <c r="B379" s="28"/>
      <c r="C379" s="20"/>
      <c r="E379" s="136"/>
      <c r="F379" s="177">
        <f>_xlfn.XLOOKUP(Tabla2757[[#This Row],[Tipo de venta]],Tabla2329[Tipo de venta],Tabla2329[Moneda final], "Error - Seleccionar Tipo de Venta", 0,1)</f>
        <v>0</v>
      </c>
      <c r="G379" s="178"/>
      <c r="H379" s="21"/>
      <c r="I379" s="30">
        <f>_xlfn.XLOOKUP(Tabla2757[[#This Row],[Puesto Encargado]], Tabla9[Puesto], Tabla9[Precio cliente],0,1,1)</f>
        <v>0</v>
      </c>
      <c r="J379" s="30">
        <f>_xlfn.XLOOKUP(Tabla2757[[#This Row],[Cargo]], Tabla958[Cargos], Tabla958[Ponderador Precio],0,1,1)</f>
        <v>0</v>
      </c>
      <c r="K379" s="30">
        <f>Tabla2757[[#This Row],[Precio por hora UF]]*Tabla2757[[#This Row],[Ponderador]]</f>
        <v>0</v>
      </c>
      <c r="L379" s="40">
        <v>0</v>
      </c>
      <c r="M379" s="30">
        <f>Tabla2757[[#This Row],[Precio por hora]]*Tabla2757[[#This Row],[Cantidad horas]]</f>
        <v>0</v>
      </c>
      <c r="N379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380" spans="2:14" x14ac:dyDescent="0.3">
      <c r="B380" s="28"/>
      <c r="C380" s="20"/>
      <c r="E380" s="136"/>
      <c r="F380" s="177">
        <f>_xlfn.XLOOKUP(Tabla2757[[#This Row],[Tipo de venta]],Tabla2329[Tipo de venta],Tabla2329[Moneda final], "Error - Seleccionar Tipo de Venta", 0,1)</f>
        <v>0</v>
      </c>
      <c r="G380" s="178"/>
      <c r="H380" s="21"/>
      <c r="I380" s="30">
        <f>_xlfn.XLOOKUP(Tabla2757[[#This Row],[Puesto Encargado]], Tabla9[Puesto], Tabla9[Precio cliente],0,1,1)</f>
        <v>0</v>
      </c>
      <c r="J380" s="30">
        <f>_xlfn.XLOOKUP(Tabla2757[[#This Row],[Cargo]], Tabla958[Cargos], Tabla958[Ponderador Precio],0,1,1)</f>
        <v>0</v>
      </c>
      <c r="K380" s="30">
        <f>Tabla2757[[#This Row],[Precio por hora UF]]*Tabla2757[[#This Row],[Ponderador]]</f>
        <v>0</v>
      </c>
      <c r="L380" s="40">
        <v>0</v>
      </c>
      <c r="M380" s="30">
        <f>Tabla2757[[#This Row],[Precio por hora]]*Tabla2757[[#This Row],[Cantidad horas]]</f>
        <v>0</v>
      </c>
      <c r="N380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381" spans="2:14" x14ac:dyDescent="0.3">
      <c r="B381" s="28"/>
      <c r="C381" s="20"/>
      <c r="E381" s="136"/>
      <c r="F381" s="177">
        <f>_xlfn.XLOOKUP(Tabla2757[[#This Row],[Tipo de venta]],Tabla2329[Tipo de venta],Tabla2329[Moneda final], "Error - Seleccionar Tipo de Venta", 0,1)</f>
        <v>0</v>
      </c>
      <c r="G381" s="178"/>
      <c r="H381" s="21"/>
      <c r="I381" s="30">
        <f>_xlfn.XLOOKUP(Tabla2757[[#This Row],[Puesto Encargado]], Tabla9[Puesto], Tabla9[Precio cliente],0,1,1)</f>
        <v>0</v>
      </c>
      <c r="J381" s="30">
        <f>_xlfn.XLOOKUP(Tabla2757[[#This Row],[Cargo]], Tabla958[Cargos], Tabla958[Ponderador Precio],0,1,1)</f>
        <v>0</v>
      </c>
      <c r="K381" s="30">
        <f>Tabla2757[[#This Row],[Precio por hora UF]]*Tabla2757[[#This Row],[Ponderador]]</f>
        <v>0</v>
      </c>
      <c r="L381" s="40">
        <v>0</v>
      </c>
      <c r="M381" s="30">
        <f>Tabla2757[[#This Row],[Precio por hora]]*Tabla2757[[#This Row],[Cantidad horas]]</f>
        <v>0</v>
      </c>
      <c r="N381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382" spans="2:14" x14ac:dyDescent="0.3">
      <c r="B382" s="28"/>
      <c r="C382" s="20"/>
      <c r="E382" s="136"/>
      <c r="F382" s="177">
        <f>_xlfn.XLOOKUP(Tabla2757[[#This Row],[Tipo de venta]],Tabla2329[Tipo de venta],Tabla2329[Moneda final], "Error - Seleccionar Tipo de Venta", 0,1)</f>
        <v>0</v>
      </c>
      <c r="G382" s="178"/>
      <c r="H382" s="21"/>
      <c r="I382" s="30">
        <f>_xlfn.XLOOKUP(Tabla2757[[#This Row],[Puesto Encargado]], Tabla9[Puesto], Tabla9[Precio cliente],0,1,1)</f>
        <v>0</v>
      </c>
      <c r="J382" s="30">
        <f>_xlfn.XLOOKUP(Tabla2757[[#This Row],[Cargo]], Tabla958[Cargos], Tabla958[Ponderador Precio],0,1,1)</f>
        <v>0</v>
      </c>
      <c r="K382" s="30">
        <f>Tabla2757[[#This Row],[Precio por hora UF]]*Tabla2757[[#This Row],[Ponderador]]</f>
        <v>0</v>
      </c>
      <c r="L382" s="40">
        <v>0</v>
      </c>
      <c r="M382" s="30">
        <f>Tabla2757[[#This Row],[Precio por hora]]*Tabla2757[[#This Row],[Cantidad horas]]</f>
        <v>0</v>
      </c>
      <c r="N382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383" spans="2:14" x14ac:dyDescent="0.3">
      <c r="B383" s="28"/>
      <c r="C383" s="20"/>
      <c r="E383" s="136"/>
      <c r="F383" s="177">
        <f>_xlfn.XLOOKUP(Tabla2757[[#This Row],[Tipo de venta]],Tabla2329[Tipo de venta],Tabla2329[Moneda final], "Error - Seleccionar Tipo de Venta", 0,1)</f>
        <v>0</v>
      </c>
      <c r="G383" s="178"/>
      <c r="H383" s="21"/>
      <c r="I383" s="30">
        <f>_xlfn.XLOOKUP(Tabla2757[[#This Row],[Puesto Encargado]], Tabla9[Puesto], Tabla9[Precio cliente],0,1,1)</f>
        <v>0</v>
      </c>
      <c r="J383" s="30">
        <f>_xlfn.XLOOKUP(Tabla2757[[#This Row],[Cargo]], Tabla958[Cargos], Tabla958[Ponderador Precio],0,1,1)</f>
        <v>0</v>
      </c>
      <c r="K383" s="30">
        <f>Tabla2757[[#This Row],[Precio por hora UF]]*Tabla2757[[#This Row],[Ponderador]]</f>
        <v>0</v>
      </c>
      <c r="L383" s="40">
        <v>0</v>
      </c>
      <c r="M383" s="30">
        <f>Tabla2757[[#This Row],[Precio por hora]]*Tabla2757[[#This Row],[Cantidad horas]]</f>
        <v>0</v>
      </c>
      <c r="N383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384" spans="2:14" x14ac:dyDescent="0.3">
      <c r="B384" s="28"/>
      <c r="C384" s="20"/>
      <c r="E384" s="136"/>
      <c r="F384" s="177">
        <f>_xlfn.XLOOKUP(Tabla2757[[#This Row],[Tipo de venta]],Tabla2329[Tipo de venta],Tabla2329[Moneda final], "Error - Seleccionar Tipo de Venta", 0,1)</f>
        <v>0</v>
      </c>
      <c r="G384" s="178"/>
      <c r="H384" s="21"/>
      <c r="I384" s="30">
        <f>_xlfn.XLOOKUP(Tabla2757[[#This Row],[Puesto Encargado]], Tabla9[Puesto], Tabla9[Precio cliente],0,1,1)</f>
        <v>0</v>
      </c>
      <c r="J384" s="30">
        <f>_xlfn.XLOOKUP(Tabla2757[[#This Row],[Cargo]], Tabla958[Cargos], Tabla958[Ponderador Precio],0,1,1)</f>
        <v>0</v>
      </c>
      <c r="K384" s="30">
        <f>Tabla2757[[#This Row],[Precio por hora UF]]*Tabla2757[[#This Row],[Ponderador]]</f>
        <v>0</v>
      </c>
      <c r="L384" s="40">
        <v>0</v>
      </c>
      <c r="M384" s="30">
        <f>Tabla2757[[#This Row],[Precio por hora]]*Tabla2757[[#This Row],[Cantidad horas]]</f>
        <v>0</v>
      </c>
      <c r="N384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385" spans="2:14" x14ac:dyDescent="0.3">
      <c r="B385" s="28"/>
      <c r="C385" s="20"/>
      <c r="E385" s="136"/>
      <c r="F385" s="177">
        <f>_xlfn.XLOOKUP(Tabla2757[[#This Row],[Tipo de venta]],Tabla2329[Tipo de venta],Tabla2329[Moneda final], "Error - Seleccionar Tipo de Venta", 0,1)</f>
        <v>0</v>
      </c>
      <c r="G385" s="178"/>
      <c r="H385" s="21"/>
      <c r="I385" s="30">
        <f>_xlfn.XLOOKUP(Tabla2757[[#This Row],[Puesto Encargado]], Tabla9[Puesto], Tabla9[Precio cliente],0,1,1)</f>
        <v>0</v>
      </c>
      <c r="J385" s="30">
        <f>_xlfn.XLOOKUP(Tabla2757[[#This Row],[Cargo]], Tabla958[Cargos], Tabla958[Ponderador Precio],0,1,1)</f>
        <v>0</v>
      </c>
      <c r="K385" s="30">
        <f>Tabla2757[[#This Row],[Precio por hora UF]]*Tabla2757[[#This Row],[Ponderador]]</f>
        <v>0</v>
      </c>
      <c r="L385" s="40">
        <v>0</v>
      </c>
      <c r="M385" s="30">
        <f>Tabla2757[[#This Row],[Precio por hora]]*Tabla2757[[#This Row],[Cantidad horas]]</f>
        <v>0</v>
      </c>
      <c r="N385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386" spans="2:14" x14ac:dyDescent="0.3">
      <c r="B386" s="28"/>
      <c r="C386" s="20"/>
      <c r="E386" s="136"/>
      <c r="F386" s="177">
        <f>_xlfn.XLOOKUP(Tabla2757[[#This Row],[Tipo de venta]],Tabla2329[Tipo de venta],Tabla2329[Moneda final], "Error - Seleccionar Tipo de Venta", 0,1)</f>
        <v>0</v>
      </c>
      <c r="G386" s="178"/>
      <c r="H386" s="21"/>
      <c r="I386" s="30">
        <f>_xlfn.XLOOKUP(Tabla2757[[#This Row],[Puesto Encargado]], Tabla9[Puesto], Tabla9[Precio cliente],0,1,1)</f>
        <v>0</v>
      </c>
      <c r="J386" s="30">
        <f>_xlfn.XLOOKUP(Tabla2757[[#This Row],[Cargo]], Tabla958[Cargos], Tabla958[Ponderador Precio],0,1,1)</f>
        <v>0</v>
      </c>
      <c r="K386" s="30">
        <f>Tabla2757[[#This Row],[Precio por hora UF]]*Tabla2757[[#This Row],[Ponderador]]</f>
        <v>0</v>
      </c>
      <c r="L386" s="40">
        <v>0</v>
      </c>
      <c r="M386" s="30">
        <f>Tabla2757[[#This Row],[Precio por hora]]*Tabla2757[[#This Row],[Cantidad horas]]</f>
        <v>0</v>
      </c>
      <c r="N386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387" spans="2:14" x14ac:dyDescent="0.3">
      <c r="B387" s="28"/>
      <c r="C387" s="20"/>
      <c r="E387" s="136"/>
      <c r="F387" s="177">
        <f>_xlfn.XLOOKUP(Tabla2757[[#This Row],[Tipo de venta]],Tabla2329[Tipo de venta],Tabla2329[Moneda final], "Error - Seleccionar Tipo de Venta", 0,1)</f>
        <v>0</v>
      </c>
      <c r="G387" s="178"/>
      <c r="H387" s="21"/>
      <c r="I387" s="30">
        <f>_xlfn.XLOOKUP(Tabla2757[[#This Row],[Puesto Encargado]], Tabla9[Puesto], Tabla9[Precio cliente],0,1,1)</f>
        <v>0</v>
      </c>
      <c r="J387" s="30">
        <f>_xlfn.XLOOKUP(Tabla2757[[#This Row],[Cargo]], Tabla958[Cargos], Tabla958[Ponderador Precio],0,1,1)</f>
        <v>0</v>
      </c>
      <c r="K387" s="30">
        <f>Tabla2757[[#This Row],[Precio por hora UF]]*Tabla2757[[#This Row],[Ponderador]]</f>
        <v>0</v>
      </c>
      <c r="L387" s="40">
        <v>0</v>
      </c>
      <c r="M387" s="30">
        <f>Tabla2757[[#This Row],[Precio por hora]]*Tabla2757[[#This Row],[Cantidad horas]]</f>
        <v>0</v>
      </c>
      <c r="N387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388" spans="2:14" x14ac:dyDescent="0.3">
      <c r="B388" s="28"/>
      <c r="C388" s="20"/>
      <c r="E388" s="136"/>
      <c r="F388" s="177">
        <f>_xlfn.XLOOKUP(Tabla2757[[#This Row],[Tipo de venta]],Tabla2329[Tipo de venta],Tabla2329[Moneda final], "Error - Seleccionar Tipo de Venta", 0,1)</f>
        <v>0</v>
      </c>
      <c r="G388" s="178"/>
      <c r="H388" s="21"/>
      <c r="I388" s="30">
        <f>_xlfn.XLOOKUP(Tabla2757[[#This Row],[Puesto Encargado]], Tabla9[Puesto], Tabla9[Precio cliente],0,1,1)</f>
        <v>0</v>
      </c>
      <c r="J388" s="30">
        <f>_xlfn.XLOOKUP(Tabla2757[[#This Row],[Cargo]], Tabla958[Cargos], Tabla958[Ponderador Precio],0,1,1)</f>
        <v>0</v>
      </c>
      <c r="K388" s="30">
        <f>Tabla2757[[#This Row],[Precio por hora UF]]*Tabla2757[[#This Row],[Ponderador]]</f>
        <v>0</v>
      </c>
      <c r="L388" s="40">
        <v>0</v>
      </c>
      <c r="M388" s="30">
        <f>Tabla2757[[#This Row],[Precio por hora]]*Tabla2757[[#This Row],[Cantidad horas]]</f>
        <v>0</v>
      </c>
      <c r="N388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389" spans="2:14" x14ac:dyDescent="0.3">
      <c r="B389" s="28"/>
      <c r="C389" s="20"/>
      <c r="E389" s="136"/>
      <c r="F389" s="177">
        <f>_xlfn.XLOOKUP(Tabla2757[[#This Row],[Tipo de venta]],Tabla2329[Tipo de venta],Tabla2329[Moneda final], "Error - Seleccionar Tipo de Venta", 0,1)</f>
        <v>0</v>
      </c>
      <c r="G389" s="178"/>
      <c r="H389" s="21"/>
      <c r="I389" s="30">
        <f>_xlfn.XLOOKUP(Tabla2757[[#This Row],[Puesto Encargado]], Tabla9[Puesto], Tabla9[Precio cliente],0,1,1)</f>
        <v>0</v>
      </c>
      <c r="J389" s="30">
        <f>_xlfn.XLOOKUP(Tabla2757[[#This Row],[Cargo]], Tabla958[Cargos], Tabla958[Ponderador Precio],0,1,1)</f>
        <v>0</v>
      </c>
      <c r="K389" s="30">
        <f>Tabla2757[[#This Row],[Precio por hora UF]]*Tabla2757[[#This Row],[Ponderador]]</f>
        <v>0</v>
      </c>
      <c r="L389" s="40">
        <v>0</v>
      </c>
      <c r="M389" s="30">
        <f>Tabla2757[[#This Row],[Precio por hora]]*Tabla2757[[#This Row],[Cantidad horas]]</f>
        <v>0</v>
      </c>
      <c r="N389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390" spans="2:14" x14ac:dyDescent="0.3">
      <c r="B390" s="28"/>
      <c r="C390" s="20"/>
      <c r="E390" s="136"/>
      <c r="F390" s="177">
        <f>_xlfn.XLOOKUP(Tabla2757[[#This Row],[Tipo de venta]],Tabla2329[Tipo de venta],Tabla2329[Moneda final], "Error - Seleccionar Tipo de Venta", 0,1)</f>
        <v>0</v>
      </c>
      <c r="G390" s="178"/>
      <c r="H390" s="21"/>
      <c r="I390" s="30">
        <f>_xlfn.XLOOKUP(Tabla2757[[#This Row],[Puesto Encargado]], Tabla9[Puesto], Tabla9[Precio cliente],0,1,1)</f>
        <v>0</v>
      </c>
      <c r="J390" s="30">
        <f>_xlfn.XLOOKUP(Tabla2757[[#This Row],[Cargo]], Tabla958[Cargos], Tabla958[Ponderador Precio],0,1,1)</f>
        <v>0</v>
      </c>
      <c r="K390" s="30">
        <f>Tabla2757[[#This Row],[Precio por hora UF]]*Tabla2757[[#This Row],[Ponderador]]</f>
        <v>0</v>
      </c>
      <c r="L390" s="40">
        <v>0</v>
      </c>
      <c r="M390" s="30">
        <f>Tabla2757[[#This Row],[Precio por hora]]*Tabla2757[[#This Row],[Cantidad horas]]</f>
        <v>0</v>
      </c>
      <c r="N390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391" spans="2:14" x14ac:dyDescent="0.3">
      <c r="B391" s="28"/>
      <c r="C391" s="20"/>
      <c r="E391" s="136"/>
      <c r="F391" s="177">
        <f>_xlfn.XLOOKUP(Tabla2757[[#This Row],[Tipo de venta]],Tabla2329[Tipo de venta],Tabla2329[Moneda final], "Error - Seleccionar Tipo de Venta", 0,1)</f>
        <v>0</v>
      </c>
      <c r="G391" s="178"/>
      <c r="H391" s="21"/>
      <c r="I391" s="30">
        <f>_xlfn.XLOOKUP(Tabla2757[[#This Row],[Puesto Encargado]], Tabla9[Puesto], Tabla9[Precio cliente],0,1,1)</f>
        <v>0</v>
      </c>
      <c r="J391" s="30">
        <f>_xlfn.XLOOKUP(Tabla2757[[#This Row],[Cargo]], Tabla958[Cargos], Tabla958[Ponderador Precio],0,1,1)</f>
        <v>0</v>
      </c>
      <c r="K391" s="30">
        <f>Tabla2757[[#This Row],[Precio por hora UF]]*Tabla2757[[#This Row],[Ponderador]]</f>
        <v>0</v>
      </c>
      <c r="L391" s="40">
        <v>0</v>
      </c>
      <c r="M391" s="30">
        <f>Tabla2757[[#This Row],[Precio por hora]]*Tabla2757[[#This Row],[Cantidad horas]]</f>
        <v>0</v>
      </c>
      <c r="N391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392" spans="2:14" x14ac:dyDescent="0.3">
      <c r="B392" s="28"/>
      <c r="C392" s="20"/>
      <c r="E392" s="136"/>
      <c r="F392" s="177">
        <f>_xlfn.XLOOKUP(Tabla2757[[#This Row],[Tipo de venta]],Tabla2329[Tipo de venta],Tabla2329[Moneda final], "Error - Seleccionar Tipo de Venta", 0,1)</f>
        <v>0</v>
      </c>
      <c r="G392" s="178"/>
      <c r="H392" s="21"/>
      <c r="I392" s="30">
        <f>_xlfn.XLOOKUP(Tabla2757[[#This Row],[Puesto Encargado]], Tabla9[Puesto], Tabla9[Precio cliente],0,1,1)</f>
        <v>0</v>
      </c>
      <c r="J392" s="30">
        <f>_xlfn.XLOOKUP(Tabla2757[[#This Row],[Cargo]], Tabla958[Cargos], Tabla958[Ponderador Precio],0,1,1)</f>
        <v>0</v>
      </c>
      <c r="K392" s="30">
        <f>Tabla2757[[#This Row],[Precio por hora UF]]*Tabla2757[[#This Row],[Ponderador]]</f>
        <v>0</v>
      </c>
      <c r="L392" s="40">
        <v>0</v>
      </c>
      <c r="M392" s="30">
        <f>Tabla2757[[#This Row],[Precio por hora]]*Tabla2757[[#This Row],[Cantidad horas]]</f>
        <v>0</v>
      </c>
      <c r="N392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393" spans="2:14" x14ac:dyDescent="0.3">
      <c r="B393" s="28"/>
      <c r="C393" s="20"/>
      <c r="E393" s="136"/>
      <c r="F393" s="177">
        <f>_xlfn.XLOOKUP(Tabla2757[[#This Row],[Tipo de venta]],Tabla2329[Tipo de venta],Tabla2329[Moneda final], "Error - Seleccionar Tipo de Venta", 0,1)</f>
        <v>0</v>
      </c>
      <c r="G393" s="178"/>
      <c r="H393" s="21"/>
      <c r="I393" s="30">
        <f>_xlfn.XLOOKUP(Tabla2757[[#This Row],[Puesto Encargado]], Tabla9[Puesto], Tabla9[Precio cliente],0,1,1)</f>
        <v>0</v>
      </c>
      <c r="J393" s="30">
        <f>_xlfn.XLOOKUP(Tabla2757[[#This Row],[Cargo]], Tabla958[Cargos], Tabla958[Ponderador Precio],0,1,1)</f>
        <v>0</v>
      </c>
      <c r="K393" s="30">
        <f>Tabla2757[[#This Row],[Precio por hora UF]]*Tabla2757[[#This Row],[Ponderador]]</f>
        <v>0</v>
      </c>
      <c r="L393" s="40">
        <v>0</v>
      </c>
      <c r="M393" s="30">
        <f>Tabla2757[[#This Row],[Precio por hora]]*Tabla2757[[#This Row],[Cantidad horas]]</f>
        <v>0</v>
      </c>
      <c r="N393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394" spans="2:14" x14ac:dyDescent="0.3">
      <c r="B394" s="28"/>
      <c r="C394" s="20"/>
      <c r="E394" s="136"/>
      <c r="F394" s="177">
        <f>_xlfn.XLOOKUP(Tabla2757[[#This Row],[Tipo de venta]],Tabla2329[Tipo de venta],Tabla2329[Moneda final], "Error - Seleccionar Tipo de Venta", 0,1)</f>
        <v>0</v>
      </c>
      <c r="G394" s="178"/>
      <c r="H394" s="21"/>
      <c r="I394" s="30">
        <f>_xlfn.XLOOKUP(Tabla2757[[#This Row],[Puesto Encargado]], Tabla9[Puesto], Tabla9[Precio cliente],0,1,1)</f>
        <v>0</v>
      </c>
      <c r="J394" s="30">
        <f>_xlfn.XLOOKUP(Tabla2757[[#This Row],[Cargo]], Tabla958[Cargos], Tabla958[Ponderador Precio],0,1,1)</f>
        <v>0</v>
      </c>
      <c r="K394" s="30">
        <f>Tabla2757[[#This Row],[Precio por hora UF]]*Tabla2757[[#This Row],[Ponderador]]</f>
        <v>0</v>
      </c>
      <c r="L394" s="40">
        <v>0</v>
      </c>
      <c r="M394" s="30">
        <f>Tabla2757[[#This Row],[Precio por hora]]*Tabla2757[[#This Row],[Cantidad horas]]</f>
        <v>0</v>
      </c>
      <c r="N394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395" spans="2:14" x14ac:dyDescent="0.3">
      <c r="B395" s="28"/>
      <c r="C395" s="20"/>
      <c r="E395" s="136"/>
      <c r="F395" s="177">
        <f>_xlfn.XLOOKUP(Tabla2757[[#This Row],[Tipo de venta]],Tabla2329[Tipo de venta],Tabla2329[Moneda final], "Error - Seleccionar Tipo de Venta", 0,1)</f>
        <v>0</v>
      </c>
      <c r="G395" s="178"/>
      <c r="H395" s="21"/>
      <c r="I395" s="30">
        <f>_xlfn.XLOOKUP(Tabla2757[[#This Row],[Puesto Encargado]], Tabla9[Puesto], Tabla9[Precio cliente],0,1,1)</f>
        <v>0</v>
      </c>
      <c r="J395" s="30">
        <f>_xlfn.XLOOKUP(Tabla2757[[#This Row],[Cargo]], Tabla958[Cargos], Tabla958[Ponderador Precio],0,1,1)</f>
        <v>0</v>
      </c>
      <c r="K395" s="30">
        <f>Tabla2757[[#This Row],[Precio por hora UF]]*Tabla2757[[#This Row],[Ponderador]]</f>
        <v>0</v>
      </c>
      <c r="L395" s="40">
        <v>0</v>
      </c>
      <c r="M395" s="30">
        <f>Tabla2757[[#This Row],[Precio por hora]]*Tabla2757[[#This Row],[Cantidad horas]]</f>
        <v>0</v>
      </c>
      <c r="N395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396" spans="2:14" x14ac:dyDescent="0.3">
      <c r="B396" s="28"/>
      <c r="C396" s="20"/>
      <c r="E396" s="136"/>
      <c r="F396" s="177">
        <f>_xlfn.XLOOKUP(Tabla2757[[#This Row],[Tipo de venta]],Tabla2329[Tipo de venta],Tabla2329[Moneda final], "Error - Seleccionar Tipo de Venta", 0,1)</f>
        <v>0</v>
      </c>
      <c r="G396" s="178"/>
      <c r="H396" s="21"/>
      <c r="I396" s="30">
        <f>_xlfn.XLOOKUP(Tabla2757[[#This Row],[Puesto Encargado]], Tabla9[Puesto], Tabla9[Precio cliente],0,1,1)</f>
        <v>0</v>
      </c>
      <c r="J396" s="30">
        <f>_xlfn.XLOOKUP(Tabla2757[[#This Row],[Cargo]], Tabla958[Cargos], Tabla958[Ponderador Precio],0,1,1)</f>
        <v>0</v>
      </c>
      <c r="K396" s="30">
        <f>Tabla2757[[#This Row],[Precio por hora UF]]*Tabla2757[[#This Row],[Ponderador]]</f>
        <v>0</v>
      </c>
      <c r="L396" s="40">
        <v>0</v>
      </c>
      <c r="M396" s="30">
        <f>Tabla2757[[#This Row],[Precio por hora]]*Tabla2757[[#This Row],[Cantidad horas]]</f>
        <v>0</v>
      </c>
      <c r="N396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397" spans="2:14" x14ac:dyDescent="0.3">
      <c r="B397" s="28"/>
      <c r="C397" s="20"/>
      <c r="E397" s="136"/>
      <c r="F397" s="177">
        <f>_xlfn.XLOOKUP(Tabla2757[[#This Row],[Tipo de venta]],Tabla2329[Tipo de venta],Tabla2329[Moneda final], "Error - Seleccionar Tipo de Venta", 0,1)</f>
        <v>0</v>
      </c>
      <c r="G397" s="178"/>
      <c r="H397" s="21"/>
      <c r="I397" s="30">
        <f>_xlfn.XLOOKUP(Tabla2757[[#This Row],[Puesto Encargado]], Tabla9[Puesto], Tabla9[Precio cliente],0,1,1)</f>
        <v>0</v>
      </c>
      <c r="J397" s="30">
        <f>_xlfn.XLOOKUP(Tabla2757[[#This Row],[Cargo]], Tabla958[Cargos], Tabla958[Ponderador Precio],0,1,1)</f>
        <v>0</v>
      </c>
      <c r="K397" s="30">
        <f>Tabla2757[[#This Row],[Precio por hora UF]]*Tabla2757[[#This Row],[Ponderador]]</f>
        <v>0</v>
      </c>
      <c r="L397" s="40">
        <v>0</v>
      </c>
      <c r="M397" s="30">
        <f>Tabla2757[[#This Row],[Precio por hora]]*Tabla2757[[#This Row],[Cantidad horas]]</f>
        <v>0</v>
      </c>
      <c r="N397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398" spans="2:14" x14ac:dyDescent="0.3">
      <c r="B398" s="28"/>
      <c r="C398" s="20"/>
      <c r="E398" s="136"/>
      <c r="F398" s="177">
        <f>_xlfn.XLOOKUP(Tabla2757[[#This Row],[Tipo de venta]],Tabla2329[Tipo de venta],Tabla2329[Moneda final], "Error - Seleccionar Tipo de Venta", 0,1)</f>
        <v>0</v>
      </c>
      <c r="G398" s="178"/>
      <c r="H398" s="21"/>
      <c r="I398" s="30">
        <f>_xlfn.XLOOKUP(Tabla2757[[#This Row],[Puesto Encargado]], Tabla9[Puesto], Tabla9[Precio cliente],0,1,1)</f>
        <v>0</v>
      </c>
      <c r="J398" s="30">
        <f>_xlfn.XLOOKUP(Tabla2757[[#This Row],[Cargo]], Tabla958[Cargos], Tabla958[Ponderador Precio],0,1,1)</f>
        <v>0</v>
      </c>
      <c r="K398" s="30">
        <f>Tabla2757[[#This Row],[Precio por hora UF]]*Tabla2757[[#This Row],[Ponderador]]</f>
        <v>0</v>
      </c>
      <c r="L398" s="40">
        <v>0</v>
      </c>
      <c r="M398" s="30">
        <f>Tabla2757[[#This Row],[Precio por hora]]*Tabla2757[[#This Row],[Cantidad horas]]</f>
        <v>0</v>
      </c>
      <c r="N398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399" spans="2:14" x14ac:dyDescent="0.3">
      <c r="B399" s="28"/>
      <c r="C399" s="20"/>
      <c r="E399" s="136"/>
      <c r="F399" s="177">
        <f>_xlfn.XLOOKUP(Tabla2757[[#This Row],[Tipo de venta]],Tabla2329[Tipo de venta],Tabla2329[Moneda final], "Error - Seleccionar Tipo de Venta", 0,1)</f>
        <v>0</v>
      </c>
      <c r="G399" s="178"/>
      <c r="H399" s="21"/>
      <c r="I399" s="30">
        <f>_xlfn.XLOOKUP(Tabla2757[[#This Row],[Puesto Encargado]], Tabla9[Puesto], Tabla9[Precio cliente],0,1,1)</f>
        <v>0</v>
      </c>
      <c r="J399" s="30">
        <f>_xlfn.XLOOKUP(Tabla2757[[#This Row],[Cargo]], Tabla958[Cargos], Tabla958[Ponderador Precio],0,1,1)</f>
        <v>0</v>
      </c>
      <c r="K399" s="30">
        <f>Tabla2757[[#This Row],[Precio por hora UF]]*Tabla2757[[#This Row],[Ponderador]]</f>
        <v>0</v>
      </c>
      <c r="L399" s="40">
        <v>0</v>
      </c>
      <c r="M399" s="30">
        <f>Tabla2757[[#This Row],[Precio por hora]]*Tabla2757[[#This Row],[Cantidad horas]]</f>
        <v>0</v>
      </c>
      <c r="N399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400" spans="2:14" x14ac:dyDescent="0.3">
      <c r="B400" s="28"/>
      <c r="C400" s="20"/>
      <c r="E400" s="136"/>
      <c r="F400" s="177">
        <f>_xlfn.XLOOKUP(Tabla2757[[#This Row],[Tipo de venta]],Tabla2329[Tipo de venta],Tabla2329[Moneda final], "Error - Seleccionar Tipo de Venta", 0,1)</f>
        <v>0</v>
      </c>
      <c r="G400" s="178"/>
      <c r="H400" s="21"/>
      <c r="I400" s="30">
        <f>_xlfn.XLOOKUP(Tabla2757[[#This Row],[Puesto Encargado]], Tabla9[Puesto], Tabla9[Precio cliente],0,1,1)</f>
        <v>0</v>
      </c>
      <c r="J400" s="30">
        <f>_xlfn.XLOOKUP(Tabla2757[[#This Row],[Cargo]], Tabla958[Cargos], Tabla958[Ponderador Precio],0,1,1)</f>
        <v>0</v>
      </c>
      <c r="K400" s="30">
        <f>Tabla2757[[#This Row],[Precio por hora UF]]*Tabla2757[[#This Row],[Ponderador]]</f>
        <v>0</v>
      </c>
      <c r="L400" s="40">
        <v>0</v>
      </c>
      <c r="M400" s="30">
        <f>Tabla2757[[#This Row],[Precio por hora]]*Tabla2757[[#This Row],[Cantidad horas]]</f>
        <v>0</v>
      </c>
      <c r="N400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401" spans="2:14" x14ac:dyDescent="0.3">
      <c r="B401" s="28"/>
      <c r="C401" s="20"/>
      <c r="E401" s="136"/>
      <c r="F401" s="177">
        <f>_xlfn.XLOOKUP(Tabla2757[[#This Row],[Tipo de venta]],Tabla2329[Tipo de venta],Tabla2329[Moneda final], "Error - Seleccionar Tipo de Venta", 0,1)</f>
        <v>0</v>
      </c>
      <c r="G401" s="178"/>
      <c r="H401" s="21"/>
      <c r="I401" s="30">
        <f>_xlfn.XLOOKUP(Tabla2757[[#This Row],[Puesto Encargado]], Tabla9[Puesto], Tabla9[Precio cliente],0,1,1)</f>
        <v>0</v>
      </c>
      <c r="J401" s="30">
        <f>_xlfn.XLOOKUP(Tabla2757[[#This Row],[Cargo]], Tabla958[Cargos], Tabla958[Ponderador Precio],0,1,1)</f>
        <v>0</v>
      </c>
      <c r="K401" s="30">
        <f>Tabla2757[[#This Row],[Precio por hora UF]]*Tabla2757[[#This Row],[Ponderador]]</f>
        <v>0</v>
      </c>
      <c r="L401" s="40">
        <v>0</v>
      </c>
      <c r="M401" s="30">
        <f>Tabla2757[[#This Row],[Precio por hora]]*Tabla2757[[#This Row],[Cantidad horas]]</f>
        <v>0</v>
      </c>
      <c r="N401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402" spans="2:14" x14ac:dyDescent="0.3">
      <c r="B402" s="28"/>
      <c r="C402" s="20"/>
      <c r="E402" s="136"/>
      <c r="F402" s="177">
        <f>_xlfn.XLOOKUP(Tabla2757[[#This Row],[Tipo de venta]],Tabla2329[Tipo de venta],Tabla2329[Moneda final], "Error - Seleccionar Tipo de Venta", 0,1)</f>
        <v>0</v>
      </c>
      <c r="G402" s="178"/>
      <c r="H402" s="21"/>
      <c r="I402" s="30">
        <f>_xlfn.XLOOKUP(Tabla2757[[#This Row],[Puesto Encargado]], Tabla9[Puesto], Tabla9[Precio cliente],0,1,1)</f>
        <v>0</v>
      </c>
      <c r="J402" s="30">
        <f>_xlfn.XLOOKUP(Tabla2757[[#This Row],[Cargo]], Tabla958[Cargos], Tabla958[Ponderador Precio],0,1,1)</f>
        <v>0</v>
      </c>
      <c r="K402" s="30">
        <f>Tabla2757[[#This Row],[Precio por hora UF]]*Tabla2757[[#This Row],[Ponderador]]</f>
        <v>0</v>
      </c>
      <c r="L402" s="40">
        <v>0</v>
      </c>
      <c r="M402" s="30">
        <f>Tabla2757[[#This Row],[Precio por hora]]*Tabla2757[[#This Row],[Cantidad horas]]</f>
        <v>0</v>
      </c>
      <c r="N402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403" spans="2:14" x14ac:dyDescent="0.3">
      <c r="B403" s="28"/>
      <c r="C403" s="20"/>
      <c r="E403" s="136"/>
      <c r="F403" s="177">
        <f>_xlfn.XLOOKUP(Tabla2757[[#This Row],[Tipo de venta]],Tabla2329[Tipo de venta],Tabla2329[Moneda final], "Error - Seleccionar Tipo de Venta", 0,1)</f>
        <v>0</v>
      </c>
      <c r="G403" s="178"/>
      <c r="H403" s="21"/>
      <c r="I403" s="30">
        <f>_xlfn.XLOOKUP(Tabla2757[[#This Row],[Puesto Encargado]], Tabla9[Puesto], Tabla9[Precio cliente],0,1,1)</f>
        <v>0</v>
      </c>
      <c r="J403" s="30">
        <f>_xlfn.XLOOKUP(Tabla2757[[#This Row],[Cargo]], Tabla958[Cargos], Tabla958[Ponderador Precio],0,1,1)</f>
        <v>0</v>
      </c>
      <c r="K403" s="30">
        <f>Tabla2757[[#This Row],[Precio por hora UF]]*Tabla2757[[#This Row],[Ponderador]]</f>
        <v>0</v>
      </c>
      <c r="L403" s="40">
        <v>0</v>
      </c>
      <c r="M403" s="30">
        <f>Tabla2757[[#This Row],[Precio por hora]]*Tabla2757[[#This Row],[Cantidad horas]]</f>
        <v>0</v>
      </c>
      <c r="N403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404" spans="2:14" x14ac:dyDescent="0.3">
      <c r="B404" s="28"/>
      <c r="C404" s="20"/>
      <c r="E404" s="136"/>
      <c r="F404" s="177">
        <f>_xlfn.XLOOKUP(Tabla2757[[#This Row],[Tipo de venta]],Tabla2329[Tipo de venta],Tabla2329[Moneda final], "Error - Seleccionar Tipo de Venta", 0,1)</f>
        <v>0</v>
      </c>
      <c r="G404" s="178"/>
      <c r="H404" s="21"/>
      <c r="I404" s="30">
        <f>_xlfn.XLOOKUP(Tabla2757[[#This Row],[Puesto Encargado]], Tabla9[Puesto], Tabla9[Precio cliente],0,1,1)</f>
        <v>0</v>
      </c>
      <c r="J404" s="30">
        <f>_xlfn.XLOOKUP(Tabla2757[[#This Row],[Cargo]], Tabla958[Cargos], Tabla958[Ponderador Precio],0,1,1)</f>
        <v>0</v>
      </c>
      <c r="K404" s="30">
        <f>Tabla2757[[#This Row],[Precio por hora UF]]*Tabla2757[[#This Row],[Ponderador]]</f>
        <v>0</v>
      </c>
      <c r="L404" s="40">
        <v>0</v>
      </c>
      <c r="M404" s="30">
        <f>Tabla2757[[#This Row],[Precio por hora]]*Tabla2757[[#This Row],[Cantidad horas]]</f>
        <v>0</v>
      </c>
      <c r="N404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405" spans="2:14" x14ac:dyDescent="0.3">
      <c r="B405" s="28"/>
      <c r="C405" s="20"/>
      <c r="E405" s="136"/>
      <c r="F405" s="177">
        <f>_xlfn.XLOOKUP(Tabla2757[[#This Row],[Tipo de venta]],Tabla2329[Tipo de venta],Tabla2329[Moneda final], "Error - Seleccionar Tipo de Venta", 0,1)</f>
        <v>0</v>
      </c>
      <c r="G405" s="178"/>
      <c r="H405" s="21"/>
      <c r="I405" s="30">
        <f>_xlfn.XLOOKUP(Tabla2757[[#This Row],[Puesto Encargado]], Tabla9[Puesto], Tabla9[Precio cliente],0,1,1)</f>
        <v>0</v>
      </c>
      <c r="J405" s="30">
        <f>_xlfn.XLOOKUP(Tabla2757[[#This Row],[Cargo]], Tabla958[Cargos], Tabla958[Ponderador Precio],0,1,1)</f>
        <v>0</v>
      </c>
      <c r="K405" s="30">
        <f>Tabla2757[[#This Row],[Precio por hora UF]]*Tabla2757[[#This Row],[Ponderador]]</f>
        <v>0</v>
      </c>
      <c r="L405" s="40">
        <v>0</v>
      </c>
      <c r="M405" s="30">
        <f>Tabla2757[[#This Row],[Precio por hora]]*Tabla2757[[#This Row],[Cantidad horas]]</f>
        <v>0</v>
      </c>
      <c r="N405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406" spans="2:14" x14ac:dyDescent="0.3">
      <c r="B406" s="28"/>
      <c r="C406" s="20"/>
      <c r="E406" s="136"/>
      <c r="F406" s="177">
        <f>_xlfn.XLOOKUP(Tabla2757[[#This Row],[Tipo de venta]],Tabla2329[Tipo de venta],Tabla2329[Moneda final], "Error - Seleccionar Tipo de Venta", 0,1)</f>
        <v>0</v>
      </c>
      <c r="G406" s="178"/>
      <c r="H406" s="21"/>
      <c r="I406" s="30">
        <f>_xlfn.XLOOKUP(Tabla2757[[#This Row],[Puesto Encargado]], Tabla9[Puesto], Tabla9[Precio cliente],0,1,1)</f>
        <v>0</v>
      </c>
      <c r="J406" s="30">
        <f>_xlfn.XLOOKUP(Tabla2757[[#This Row],[Cargo]], Tabla958[Cargos], Tabla958[Ponderador Precio],0,1,1)</f>
        <v>0</v>
      </c>
      <c r="K406" s="30">
        <f>Tabla2757[[#This Row],[Precio por hora UF]]*Tabla2757[[#This Row],[Ponderador]]</f>
        <v>0</v>
      </c>
      <c r="L406" s="40">
        <v>0</v>
      </c>
      <c r="M406" s="30">
        <f>Tabla2757[[#This Row],[Precio por hora]]*Tabla2757[[#This Row],[Cantidad horas]]</f>
        <v>0</v>
      </c>
      <c r="N406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407" spans="2:14" x14ac:dyDescent="0.3">
      <c r="B407" s="28"/>
      <c r="C407" s="20"/>
      <c r="E407" s="136"/>
      <c r="F407" s="177">
        <f>_xlfn.XLOOKUP(Tabla2757[[#This Row],[Tipo de venta]],Tabla2329[Tipo de venta],Tabla2329[Moneda final], "Error - Seleccionar Tipo de Venta", 0,1)</f>
        <v>0</v>
      </c>
      <c r="G407" s="178"/>
      <c r="H407" s="21"/>
      <c r="I407" s="30">
        <f>_xlfn.XLOOKUP(Tabla2757[[#This Row],[Puesto Encargado]], Tabla9[Puesto], Tabla9[Precio cliente],0,1,1)</f>
        <v>0</v>
      </c>
      <c r="J407" s="30">
        <f>_xlfn.XLOOKUP(Tabla2757[[#This Row],[Cargo]], Tabla958[Cargos], Tabla958[Ponderador Precio],0,1,1)</f>
        <v>0</v>
      </c>
      <c r="K407" s="30">
        <f>Tabla2757[[#This Row],[Precio por hora UF]]*Tabla2757[[#This Row],[Ponderador]]</f>
        <v>0</v>
      </c>
      <c r="L407" s="40">
        <v>0</v>
      </c>
      <c r="M407" s="30">
        <f>Tabla2757[[#This Row],[Precio por hora]]*Tabla2757[[#This Row],[Cantidad horas]]</f>
        <v>0</v>
      </c>
      <c r="N407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408" spans="2:14" x14ac:dyDescent="0.3">
      <c r="B408" s="28"/>
      <c r="C408" s="20"/>
      <c r="E408" s="136"/>
      <c r="F408" s="177">
        <f>_xlfn.XLOOKUP(Tabla2757[[#This Row],[Tipo de venta]],Tabla2329[Tipo de venta],Tabla2329[Moneda final], "Error - Seleccionar Tipo de Venta", 0,1)</f>
        <v>0</v>
      </c>
      <c r="G408" s="178"/>
      <c r="H408" s="21"/>
      <c r="I408" s="30">
        <f>_xlfn.XLOOKUP(Tabla2757[[#This Row],[Puesto Encargado]], Tabla9[Puesto], Tabla9[Precio cliente],0,1,1)</f>
        <v>0</v>
      </c>
      <c r="J408" s="30">
        <f>_xlfn.XLOOKUP(Tabla2757[[#This Row],[Cargo]], Tabla958[Cargos], Tabla958[Ponderador Precio],0,1,1)</f>
        <v>0</v>
      </c>
      <c r="K408" s="30">
        <f>Tabla2757[[#This Row],[Precio por hora UF]]*Tabla2757[[#This Row],[Ponderador]]</f>
        <v>0</v>
      </c>
      <c r="L408" s="40">
        <v>0</v>
      </c>
      <c r="M408" s="30">
        <f>Tabla2757[[#This Row],[Precio por hora]]*Tabla2757[[#This Row],[Cantidad horas]]</f>
        <v>0</v>
      </c>
      <c r="N408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409" spans="2:14" x14ac:dyDescent="0.3">
      <c r="B409" s="28"/>
      <c r="C409" s="20"/>
      <c r="E409" s="136"/>
      <c r="F409" s="177">
        <f>_xlfn.XLOOKUP(Tabla2757[[#This Row],[Tipo de venta]],Tabla2329[Tipo de venta],Tabla2329[Moneda final], "Error - Seleccionar Tipo de Venta", 0,1)</f>
        <v>0</v>
      </c>
      <c r="G409" s="178"/>
      <c r="H409" s="21"/>
      <c r="I409" s="30">
        <f>_xlfn.XLOOKUP(Tabla2757[[#This Row],[Puesto Encargado]], Tabla9[Puesto], Tabla9[Precio cliente],0,1,1)</f>
        <v>0</v>
      </c>
      <c r="J409" s="30">
        <f>_xlfn.XLOOKUP(Tabla2757[[#This Row],[Cargo]], Tabla958[Cargos], Tabla958[Ponderador Precio],0,1,1)</f>
        <v>0</v>
      </c>
      <c r="K409" s="30">
        <f>Tabla2757[[#This Row],[Precio por hora UF]]*Tabla2757[[#This Row],[Ponderador]]</f>
        <v>0</v>
      </c>
      <c r="L409" s="40">
        <v>0</v>
      </c>
      <c r="M409" s="30">
        <f>Tabla2757[[#This Row],[Precio por hora]]*Tabla2757[[#This Row],[Cantidad horas]]</f>
        <v>0</v>
      </c>
      <c r="N409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410" spans="2:14" x14ac:dyDescent="0.3">
      <c r="B410" s="28"/>
      <c r="C410" s="20"/>
      <c r="E410" s="136"/>
      <c r="F410" s="177">
        <f>_xlfn.XLOOKUP(Tabla2757[[#This Row],[Tipo de venta]],Tabla2329[Tipo de venta],Tabla2329[Moneda final], "Error - Seleccionar Tipo de Venta", 0,1)</f>
        <v>0</v>
      </c>
      <c r="G410" s="178"/>
      <c r="H410" s="21"/>
      <c r="I410" s="30">
        <f>_xlfn.XLOOKUP(Tabla2757[[#This Row],[Puesto Encargado]], Tabla9[Puesto], Tabla9[Precio cliente],0,1,1)</f>
        <v>0</v>
      </c>
      <c r="J410" s="30">
        <f>_xlfn.XLOOKUP(Tabla2757[[#This Row],[Cargo]], Tabla958[Cargos], Tabla958[Ponderador Precio],0,1,1)</f>
        <v>0</v>
      </c>
      <c r="K410" s="30">
        <f>Tabla2757[[#This Row],[Precio por hora UF]]*Tabla2757[[#This Row],[Ponderador]]</f>
        <v>0</v>
      </c>
      <c r="L410" s="40">
        <v>0</v>
      </c>
      <c r="M410" s="30">
        <f>Tabla2757[[#This Row],[Precio por hora]]*Tabla2757[[#This Row],[Cantidad horas]]</f>
        <v>0</v>
      </c>
      <c r="N410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411" spans="2:14" x14ac:dyDescent="0.3">
      <c r="B411" s="28"/>
      <c r="C411" s="20"/>
      <c r="E411" s="136"/>
      <c r="F411" s="177">
        <f>_xlfn.XLOOKUP(Tabla2757[[#This Row],[Tipo de venta]],Tabla2329[Tipo de venta],Tabla2329[Moneda final], "Error - Seleccionar Tipo de Venta", 0,1)</f>
        <v>0</v>
      </c>
      <c r="G411" s="178"/>
      <c r="H411" s="21"/>
      <c r="I411" s="30">
        <f>_xlfn.XLOOKUP(Tabla2757[[#This Row],[Puesto Encargado]], Tabla9[Puesto], Tabla9[Precio cliente],0,1,1)</f>
        <v>0</v>
      </c>
      <c r="J411" s="30">
        <f>_xlfn.XLOOKUP(Tabla2757[[#This Row],[Cargo]], Tabla958[Cargos], Tabla958[Ponderador Precio],0,1,1)</f>
        <v>0</v>
      </c>
      <c r="K411" s="30">
        <f>Tabla2757[[#This Row],[Precio por hora UF]]*Tabla2757[[#This Row],[Ponderador]]</f>
        <v>0</v>
      </c>
      <c r="L411" s="40">
        <v>0</v>
      </c>
      <c r="M411" s="30">
        <f>Tabla2757[[#This Row],[Precio por hora]]*Tabla2757[[#This Row],[Cantidad horas]]</f>
        <v>0</v>
      </c>
      <c r="N411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412" spans="2:14" x14ac:dyDescent="0.3">
      <c r="B412" s="28"/>
      <c r="C412" s="20"/>
      <c r="E412" s="136"/>
      <c r="F412" s="177">
        <f>_xlfn.XLOOKUP(Tabla2757[[#This Row],[Tipo de venta]],Tabla2329[Tipo de venta],Tabla2329[Moneda final], "Error - Seleccionar Tipo de Venta", 0,1)</f>
        <v>0</v>
      </c>
      <c r="G412" s="178"/>
      <c r="H412" s="21"/>
      <c r="I412" s="30">
        <f>_xlfn.XLOOKUP(Tabla2757[[#This Row],[Puesto Encargado]], Tabla9[Puesto], Tabla9[Precio cliente],0,1,1)</f>
        <v>0</v>
      </c>
      <c r="J412" s="30">
        <f>_xlfn.XLOOKUP(Tabla2757[[#This Row],[Cargo]], Tabla958[Cargos], Tabla958[Ponderador Precio],0,1,1)</f>
        <v>0</v>
      </c>
      <c r="K412" s="30">
        <f>Tabla2757[[#This Row],[Precio por hora UF]]*Tabla2757[[#This Row],[Ponderador]]</f>
        <v>0</v>
      </c>
      <c r="L412" s="40">
        <v>0</v>
      </c>
      <c r="M412" s="30">
        <f>Tabla2757[[#This Row],[Precio por hora]]*Tabla2757[[#This Row],[Cantidad horas]]</f>
        <v>0</v>
      </c>
      <c r="N412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413" spans="2:14" x14ac:dyDescent="0.3">
      <c r="B413" s="28"/>
      <c r="C413" s="20"/>
      <c r="E413" s="136"/>
      <c r="F413" s="177">
        <f>_xlfn.XLOOKUP(Tabla2757[[#This Row],[Tipo de venta]],Tabla2329[Tipo de venta],Tabla2329[Moneda final], "Error - Seleccionar Tipo de Venta", 0,1)</f>
        <v>0</v>
      </c>
      <c r="G413" s="178"/>
      <c r="H413" s="21"/>
      <c r="I413" s="30">
        <f>_xlfn.XLOOKUP(Tabla2757[[#This Row],[Puesto Encargado]], Tabla9[Puesto], Tabla9[Precio cliente],0,1,1)</f>
        <v>0</v>
      </c>
      <c r="J413" s="30">
        <f>_xlfn.XLOOKUP(Tabla2757[[#This Row],[Cargo]], Tabla958[Cargos], Tabla958[Ponderador Precio],0,1,1)</f>
        <v>0</v>
      </c>
      <c r="K413" s="30">
        <f>Tabla2757[[#This Row],[Precio por hora UF]]*Tabla2757[[#This Row],[Ponderador]]</f>
        <v>0</v>
      </c>
      <c r="L413" s="40">
        <v>0</v>
      </c>
      <c r="M413" s="30">
        <f>Tabla2757[[#This Row],[Precio por hora]]*Tabla2757[[#This Row],[Cantidad horas]]</f>
        <v>0</v>
      </c>
      <c r="N413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414" spans="2:14" x14ac:dyDescent="0.3">
      <c r="B414" s="28"/>
      <c r="C414" s="20"/>
      <c r="E414" s="136"/>
      <c r="F414" s="177">
        <f>_xlfn.XLOOKUP(Tabla2757[[#This Row],[Tipo de venta]],Tabla2329[Tipo de venta],Tabla2329[Moneda final], "Error - Seleccionar Tipo de Venta", 0,1)</f>
        <v>0</v>
      </c>
      <c r="G414" s="178"/>
      <c r="H414" s="21"/>
      <c r="I414" s="30">
        <f>_xlfn.XLOOKUP(Tabla2757[[#This Row],[Puesto Encargado]], Tabla9[Puesto], Tabla9[Precio cliente],0,1,1)</f>
        <v>0</v>
      </c>
      <c r="J414" s="30">
        <f>_xlfn.XLOOKUP(Tabla2757[[#This Row],[Cargo]], Tabla958[Cargos], Tabla958[Ponderador Precio],0,1,1)</f>
        <v>0</v>
      </c>
      <c r="K414" s="30">
        <f>Tabla2757[[#This Row],[Precio por hora UF]]*Tabla2757[[#This Row],[Ponderador]]</f>
        <v>0</v>
      </c>
      <c r="L414" s="40">
        <v>0</v>
      </c>
      <c r="M414" s="30">
        <f>Tabla2757[[#This Row],[Precio por hora]]*Tabla2757[[#This Row],[Cantidad horas]]</f>
        <v>0</v>
      </c>
      <c r="N414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415" spans="2:14" x14ac:dyDescent="0.3">
      <c r="B415" s="28"/>
      <c r="C415" s="20"/>
      <c r="E415" s="136"/>
      <c r="F415" s="177">
        <f>_xlfn.XLOOKUP(Tabla2757[[#This Row],[Tipo de venta]],Tabla2329[Tipo de venta],Tabla2329[Moneda final], "Error - Seleccionar Tipo de Venta", 0,1)</f>
        <v>0</v>
      </c>
      <c r="G415" s="178"/>
      <c r="H415" s="21"/>
      <c r="I415" s="30">
        <f>_xlfn.XLOOKUP(Tabla2757[[#This Row],[Puesto Encargado]], Tabla9[Puesto], Tabla9[Precio cliente],0,1,1)</f>
        <v>0</v>
      </c>
      <c r="J415" s="30">
        <f>_xlfn.XLOOKUP(Tabla2757[[#This Row],[Cargo]], Tabla958[Cargos], Tabla958[Ponderador Precio],0,1,1)</f>
        <v>0</v>
      </c>
      <c r="K415" s="30">
        <f>Tabla2757[[#This Row],[Precio por hora UF]]*Tabla2757[[#This Row],[Ponderador]]</f>
        <v>0</v>
      </c>
      <c r="L415" s="40">
        <v>0</v>
      </c>
      <c r="M415" s="30">
        <f>Tabla2757[[#This Row],[Precio por hora]]*Tabla2757[[#This Row],[Cantidad horas]]</f>
        <v>0</v>
      </c>
      <c r="N415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416" spans="2:14" x14ac:dyDescent="0.3">
      <c r="B416" s="28"/>
      <c r="C416" s="20"/>
      <c r="E416" s="136"/>
      <c r="F416" s="177">
        <f>_xlfn.XLOOKUP(Tabla2757[[#This Row],[Tipo de venta]],Tabla2329[Tipo de venta],Tabla2329[Moneda final], "Error - Seleccionar Tipo de Venta", 0,1)</f>
        <v>0</v>
      </c>
      <c r="G416" s="178"/>
      <c r="H416" s="21"/>
      <c r="I416" s="30">
        <f>_xlfn.XLOOKUP(Tabla2757[[#This Row],[Puesto Encargado]], Tabla9[Puesto], Tabla9[Precio cliente],0,1,1)</f>
        <v>0</v>
      </c>
      <c r="J416" s="30">
        <f>_xlfn.XLOOKUP(Tabla2757[[#This Row],[Cargo]], Tabla958[Cargos], Tabla958[Ponderador Precio],0,1,1)</f>
        <v>0</v>
      </c>
      <c r="K416" s="30">
        <f>Tabla2757[[#This Row],[Precio por hora UF]]*Tabla2757[[#This Row],[Ponderador]]</f>
        <v>0</v>
      </c>
      <c r="L416" s="40">
        <v>0</v>
      </c>
      <c r="M416" s="30">
        <f>Tabla2757[[#This Row],[Precio por hora]]*Tabla2757[[#This Row],[Cantidad horas]]</f>
        <v>0</v>
      </c>
      <c r="N416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417" spans="2:14" x14ac:dyDescent="0.3">
      <c r="B417" s="28"/>
      <c r="C417" s="20"/>
      <c r="E417" s="136"/>
      <c r="F417" s="177">
        <f>_xlfn.XLOOKUP(Tabla2757[[#This Row],[Tipo de venta]],Tabla2329[Tipo de venta],Tabla2329[Moneda final], "Error - Seleccionar Tipo de Venta", 0,1)</f>
        <v>0</v>
      </c>
      <c r="G417" s="178"/>
      <c r="H417" s="21"/>
      <c r="I417" s="30">
        <f>_xlfn.XLOOKUP(Tabla2757[[#This Row],[Puesto Encargado]], Tabla9[Puesto], Tabla9[Precio cliente],0,1,1)</f>
        <v>0</v>
      </c>
      <c r="J417" s="30">
        <f>_xlfn.XLOOKUP(Tabla2757[[#This Row],[Cargo]], Tabla958[Cargos], Tabla958[Ponderador Precio],0,1,1)</f>
        <v>0</v>
      </c>
      <c r="K417" s="30">
        <f>Tabla2757[[#This Row],[Precio por hora UF]]*Tabla2757[[#This Row],[Ponderador]]</f>
        <v>0</v>
      </c>
      <c r="L417" s="40">
        <v>0</v>
      </c>
      <c r="M417" s="30">
        <f>Tabla2757[[#This Row],[Precio por hora]]*Tabla2757[[#This Row],[Cantidad horas]]</f>
        <v>0</v>
      </c>
      <c r="N417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418" spans="2:14" x14ac:dyDescent="0.3">
      <c r="B418" s="28"/>
      <c r="C418" s="20"/>
      <c r="E418" s="136"/>
      <c r="F418" s="177">
        <f>_xlfn.XLOOKUP(Tabla2757[[#This Row],[Tipo de venta]],Tabla2329[Tipo de venta],Tabla2329[Moneda final], "Error - Seleccionar Tipo de Venta", 0,1)</f>
        <v>0</v>
      </c>
      <c r="G418" s="178"/>
      <c r="H418" s="21"/>
      <c r="I418" s="30">
        <f>_xlfn.XLOOKUP(Tabla2757[[#This Row],[Puesto Encargado]], Tabla9[Puesto], Tabla9[Precio cliente],0,1,1)</f>
        <v>0</v>
      </c>
      <c r="J418" s="30">
        <f>_xlfn.XLOOKUP(Tabla2757[[#This Row],[Cargo]], Tabla958[Cargos], Tabla958[Ponderador Precio],0,1,1)</f>
        <v>0</v>
      </c>
      <c r="K418" s="30">
        <f>Tabla2757[[#This Row],[Precio por hora UF]]*Tabla2757[[#This Row],[Ponderador]]</f>
        <v>0</v>
      </c>
      <c r="L418" s="40">
        <v>0</v>
      </c>
      <c r="M418" s="30">
        <f>Tabla2757[[#This Row],[Precio por hora]]*Tabla2757[[#This Row],[Cantidad horas]]</f>
        <v>0</v>
      </c>
      <c r="N418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419" spans="2:14" x14ac:dyDescent="0.3">
      <c r="B419" s="28"/>
      <c r="C419" s="20"/>
      <c r="E419" s="136"/>
      <c r="F419" s="177">
        <f>_xlfn.XLOOKUP(Tabla2757[[#This Row],[Tipo de venta]],Tabla2329[Tipo de venta],Tabla2329[Moneda final], "Error - Seleccionar Tipo de Venta", 0,1)</f>
        <v>0</v>
      </c>
      <c r="G419" s="178"/>
      <c r="H419" s="21"/>
      <c r="I419" s="30">
        <f>_xlfn.XLOOKUP(Tabla2757[[#This Row],[Puesto Encargado]], Tabla9[Puesto], Tabla9[Precio cliente],0,1,1)</f>
        <v>0</v>
      </c>
      <c r="J419" s="30">
        <f>_xlfn.XLOOKUP(Tabla2757[[#This Row],[Cargo]], Tabla958[Cargos], Tabla958[Ponderador Precio],0,1,1)</f>
        <v>0</v>
      </c>
      <c r="K419" s="30">
        <f>Tabla2757[[#This Row],[Precio por hora UF]]*Tabla2757[[#This Row],[Ponderador]]</f>
        <v>0</v>
      </c>
      <c r="L419" s="40">
        <v>0</v>
      </c>
      <c r="M419" s="30">
        <f>Tabla2757[[#This Row],[Precio por hora]]*Tabla2757[[#This Row],[Cantidad horas]]</f>
        <v>0</v>
      </c>
      <c r="N419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420" spans="2:14" x14ac:dyDescent="0.3">
      <c r="B420" s="28"/>
      <c r="C420" s="20"/>
      <c r="E420" s="136"/>
      <c r="F420" s="177">
        <f>_xlfn.XLOOKUP(Tabla2757[[#This Row],[Tipo de venta]],Tabla2329[Tipo de venta],Tabla2329[Moneda final], "Error - Seleccionar Tipo de Venta", 0,1)</f>
        <v>0</v>
      </c>
      <c r="G420" s="178"/>
      <c r="H420" s="21"/>
      <c r="I420" s="30">
        <f>_xlfn.XLOOKUP(Tabla2757[[#This Row],[Puesto Encargado]], Tabla9[Puesto], Tabla9[Precio cliente],0,1,1)</f>
        <v>0</v>
      </c>
      <c r="J420" s="30">
        <f>_xlfn.XLOOKUP(Tabla2757[[#This Row],[Cargo]], Tabla958[Cargos], Tabla958[Ponderador Precio],0,1,1)</f>
        <v>0</v>
      </c>
      <c r="K420" s="30">
        <f>Tabla2757[[#This Row],[Precio por hora UF]]*Tabla2757[[#This Row],[Ponderador]]</f>
        <v>0</v>
      </c>
      <c r="L420" s="40">
        <v>0</v>
      </c>
      <c r="M420" s="30">
        <f>Tabla2757[[#This Row],[Precio por hora]]*Tabla2757[[#This Row],[Cantidad horas]]</f>
        <v>0</v>
      </c>
      <c r="N420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421" spans="2:14" x14ac:dyDescent="0.3">
      <c r="B421" s="28"/>
      <c r="C421" s="20"/>
      <c r="E421" s="136"/>
      <c r="F421" s="177">
        <f>_xlfn.XLOOKUP(Tabla2757[[#This Row],[Tipo de venta]],Tabla2329[Tipo de venta],Tabla2329[Moneda final], "Error - Seleccionar Tipo de Venta", 0,1)</f>
        <v>0</v>
      </c>
      <c r="G421" s="178"/>
      <c r="H421" s="21"/>
      <c r="I421" s="30">
        <f>_xlfn.XLOOKUP(Tabla2757[[#This Row],[Puesto Encargado]], Tabla9[Puesto], Tabla9[Precio cliente],0,1,1)</f>
        <v>0</v>
      </c>
      <c r="J421" s="30">
        <f>_xlfn.XLOOKUP(Tabla2757[[#This Row],[Cargo]], Tabla958[Cargos], Tabla958[Ponderador Precio],0,1,1)</f>
        <v>0</v>
      </c>
      <c r="K421" s="30">
        <f>Tabla2757[[#This Row],[Precio por hora UF]]*Tabla2757[[#This Row],[Ponderador]]</f>
        <v>0</v>
      </c>
      <c r="L421" s="40">
        <v>0</v>
      </c>
      <c r="M421" s="30">
        <f>Tabla2757[[#This Row],[Precio por hora]]*Tabla2757[[#This Row],[Cantidad horas]]</f>
        <v>0</v>
      </c>
      <c r="N421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422" spans="2:14" x14ac:dyDescent="0.3">
      <c r="B422" s="28"/>
      <c r="C422" s="20"/>
      <c r="E422" s="136"/>
      <c r="F422" s="177">
        <f>_xlfn.XLOOKUP(Tabla2757[[#This Row],[Tipo de venta]],Tabla2329[Tipo de venta],Tabla2329[Moneda final], "Error - Seleccionar Tipo de Venta", 0,1)</f>
        <v>0</v>
      </c>
      <c r="G422" s="178"/>
      <c r="H422" s="21"/>
      <c r="I422" s="30">
        <f>_xlfn.XLOOKUP(Tabla2757[[#This Row],[Puesto Encargado]], Tabla9[Puesto], Tabla9[Precio cliente],0,1,1)</f>
        <v>0</v>
      </c>
      <c r="J422" s="30">
        <f>_xlfn.XLOOKUP(Tabla2757[[#This Row],[Cargo]], Tabla958[Cargos], Tabla958[Ponderador Precio],0,1,1)</f>
        <v>0</v>
      </c>
      <c r="K422" s="30">
        <f>Tabla2757[[#This Row],[Precio por hora UF]]*Tabla2757[[#This Row],[Ponderador]]</f>
        <v>0</v>
      </c>
      <c r="L422" s="40">
        <v>0</v>
      </c>
      <c r="M422" s="30">
        <f>Tabla2757[[#This Row],[Precio por hora]]*Tabla2757[[#This Row],[Cantidad horas]]</f>
        <v>0</v>
      </c>
      <c r="N422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423" spans="2:14" x14ac:dyDescent="0.3">
      <c r="B423" s="28"/>
      <c r="C423" s="20"/>
      <c r="E423" s="136"/>
      <c r="F423" s="177">
        <f>_xlfn.XLOOKUP(Tabla2757[[#This Row],[Tipo de venta]],Tabla2329[Tipo de venta],Tabla2329[Moneda final], "Error - Seleccionar Tipo de Venta", 0,1)</f>
        <v>0</v>
      </c>
      <c r="G423" s="178"/>
      <c r="H423" s="21"/>
      <c r="I423" s="30">
        <f>_xlfn.XLOOKUP(Tabla2757[[#This Row],[Puesto Encargado]], Tabla9[Puesto], Tabla9[Precio cliente],0,1,1)</f>
        <v>0</v>
      </c>
      <c r="J423" s="30">
        <f>_xlfn.XLOOKUP(Tabla2757[[#This Row],[Cargo]], Tabla958[Cargos], Tabla958[Ponderador Precio],0,1,1)</f>
        <v>0</v>
      </c>
      <c r="K423" s="30">
        <f>Tabla2757[[#This Row],[Precio por hora UF]]*Tabla2757[[#This Row],[Ponderador]]</f>
        <v>0</v>
      </c>
      <c r="L423" s="40">
        <v>0</v>
      </c>
      <c r="M423" s="30">
        <f>Tabla2757[[#This Row],[Precio por hora]]*Tabla2757[[#This Row],[Cantidad horas]]</f>
        <v>0</v>
      </c>
      <c r="N423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424" spans="2:14" x14ac:dyDescent="0.3">
      <c r="B424" s="28"/>
      <c r="C424" s="20"/>
      <c r="E424" s="136"/>
      <c r="F424" s="177">
        <f>_xlfn.XLOOKUP(Tabla2757[[#This Row],[Tipo de venta]],Tabla2329[Tipo de venta],Tabla2329[Moneda final], "Error - Seleccionar Tipo de Venta", 0,1)</f>
        <v>0</v>
      </c>
      <c r="G424" s="178"/>
      <c r="H424" s="21"/>
      <c r="I424" s="30">
        <f>_xlfn.XLOOKUP(Tabla2757[[#This Row],[Puesto Encargado]], Tabla9[Puesto], Tabla9[Precio cliente],0,1,1)</f>
        <v>0</v>
      </c>
      <c r="J424" s="30">
        <f>_xlfn.XLOOKUP(Tabla2757[[#This Row],[Cargo]], Tabla958[Cargos], Tabla958[Ponderador Precio],0,1,1)</f>
        <v>0</v>
      </c>
      <c r="K424" s="30">
        <f>Tabla2757[[#This Row],[Precio por hora UF]]*Tabla2757[[#This Row],[Ponderador]]</f>
        <v>0</v>
      </c>
      <c r="L424" s="40">
        <v>0</v>
      </c>
      <c r="M424" s="30">
        <f>Tabla2757[[#This Row],[Precio por hora]]*Tabla2757[[#This Row],[Cantidad horas]]</f>
        <v>0</v>
      </c>
      <c r="N424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425" spans="2:14" x14ac:dyDescent="0.3">
      <c r="B425" s="28"/>
      <c r="C425" s="20"/>
      <c r="E425" s="136"/>
      <c r="F425" s="177">
        <f>_xlfn.XLOOKUP(Tabla2757[[#This Row],[Tipo de venta]],Tabla2329[Tipo de venta],Tabla2329[Moneda final], "Error - Seleccionar Tipo de Venta", 0,1)</f>
        <v>0</v>
      </c>
      <c r="G425" s="178"/>
      <c r="H425" s="21"/>
      <c r="I425" s="30">
        <f>_xlfn.XLOOKUP(Tabla2757[[#This Row],[Puesto Encargado]], Tabla9[Puesto], Tabla9[Precio cliente],0,1,1)</f>
        <v>0</v>
      </c>
      <c r="J425" s="30">
        <f>_xlfn.XLOOKUP(Tabla2757[[#This Row],[Cargo]], Tabla958[Cargos], Tabla958[Ponderador Precio],0,1,1)</f>
        <v>0</v>
      </c>
      <c r="K425" s="30">
        <f>Tabla2757[[#This Row],[Precio por hora UF]]*Tabla2757[[#This Row],[Ponderador]]</f>
        <v>0</v>
      </c>
      <c r="L425" s="40">
        <v>0</v>
      </c>
      <c r="M425" s="30">
        <f>Tabla2757[[#This Row],[Precio por hora]]*Tabla2757[[#This Row],[Cantidad horas]]</f>
        <v>0</v>
      </c>
      <c r="N425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426" spans="2:14" x14ac:dyDescent="0.3">
      <c r="B426" s="28"/>
      <c r="C426" s="20"/>
      <c r="E426" s="136"/>
      <c r="F426" s="177">
        <f>_xlfn.XLOOKUP(Tabla2757[[#This Row],[Tipo de venta]],Tabla2329[Tipo de venta],Tabla2329[Moneda final], "Error - Seleccionar Tipo de Venta", 0,1)</f>
        <v>0</v>
      </c>
      <c r="G426" s="178"/>
      <c r="H426" s="21"/>
      <c r="I426" s="30">
        <f>_xlfn.XLOOKUP(Tabla2757[[#This Row],[Puesto Encargado]], Tabla9[Puesto], Tabla9[Precio cliente],0,1,1)</f>
        <v>0</v>
      </c>
      <c r="J426" s="30">
        <f>_xlfn.XLOOKUP(Tabla2757[[#This Row],[Cargo]], Tabla958[Cargos], Tabla958[Ponderador Precio],0,1,1)</f>
        <v>0</v>
      </c>
      <c r="K426" s="30">
        <f>Tabla2757[[#This Row],[Precio por hora UF]]*Tabla2757[[#This Row],[Ponderador]]</f>
        <v>0</v>
      </c>
      <c r="L426" s="40">
        <v>0</v>
      </c>
      <c r="M426" s="30">
        <f>Tabla2757[[#This Row],[Precio por hora]]*Tabla2757[[#This Row],[Cantidad horas]]</f>
        <v>0</v>
      </c>
      <c r="N426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427" spans="2:14" x14ac:dyDescent="0.3">
      <c r="B427" s="28"/>
      <c r="C427" s="20"/>
      <c r="E427" s="136"/>
      <c r="F427" s="177">
        <f>_xlfn.XLOOKUP(Tabla2757[[#This Row],[Tipo de venta]],Tabla2329[Tipo de venta],Tabla2329[Moneda final], "Error - Seleccionar Tipo de Venta", 0,1)</f>
        <v>0</v>
      </c>
      <c r="G427" s="178"/>
      <c r="H427" s="21"/>
      <c r="I427" s="30">
        <f>_xlfn.XLOOKUP(Tabla2757[[#This Row],[Puesto Encargado]], Tabla9[Puesto], Tabla9[Precio cliente],0,1,1)</f>
        <v>0</v>
      </c>
      <c r="J427" s="30">
        <f>_xlfn.XLOOKUP(Tabla2757[[#This Row],[Cargo]], Tabla958[Cargos], Tabla958[Ponderador Precio],0,1,1)</f>
        <v>0</v>
      </c>
      <c r="K427" s="30">
        <f>Tabla2757[[#This Row],[Precio por hora UF]]*Tabla2757[[#This Row],[Ponderador]]</f>
        <v>0</v>
      </c>
      <c r="L427" s="40">
        <v>0</v>
      </c>
      <c r="M427" s="30">
        <f>Tabla2757[[#This Row],[Precio por hora]]*Tabla2757[[#This Row],[Cantidad horas]]</f>
        <v>0</v>
      </c>
      <c r="N427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428" spans="2:14" x14ac:dyDescent="0.3">
      <c r="B428" s="28"/>
      <c r="C428" s="20"/>
      <c r="E428" s="136"/>
      <c r="F428" s="177">
        <f>_xlfn.XLOOKUP(Tabla2757[[#This Row],[Tipo de venta]],Tabla2329[Tipo de venta],Tabla2329[Moneda final], "Error - Seleccionar Tipo de Venta", 0,1)</f>
        <v>0</v>
      </c>
      <c r="G428" s="178"/>
      <c r="H428" s="21"/>
      <c r="I428" s="30">
        <f>_xlfn.XLOOKUP(Tabla2757[[#This Row],[Puesto Encargado]], Tabla9[Puesto], Tabla9[Precio cliente],0,1,1)</f>
        <v>0</v>
      </c>
      <c r="J428" s="30">
        <f>_xlfn.XLOOKUP(Tabla2757[[#This Row],[Cargo]], Tabla958[Cargos], Tabla958[Ponderador Precio],0,1,1)</f>
        <v>0</v>
      </c>
      <c r="K428" s="30">
        <f>Tabla2757[[#This Row],[Precio por hora UF]]*Tabla2757[[#This Row],[Ponderador]]</f>
        <v>0</v>
      </c>
      <c r="L428" s="40">
        <v>0</v>
      </c>
      <c r="M428" s="30">
        <f>Tabla2757[[#This Row],[Precio por hora]]*Tabla2757[[#This Row],[Cantidad horas]]</f>
        <v>0</v>
      </c>
      <c r="N428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429" spans="2:14" x14ac:dyDescent="0.3">
      <c r="B429" s="28"/>
      <c r="C429" s="20"/>
      <c r="E429" s="136"/>
      <c r="F429" s="177">
        <f>_xlfn.XLOOKUP(Tabla2757[[#This Row],[Tipo de venta]],Tabla2329[Tipo de venta],Tabla2329[Moneda final], "Error - Seleccionar Tipo de Venta", 0,1)</f>
        <v>0</v>
      </c>
      <c r="G429" s="178"/>
      <c r="H429" s="21"/>
      <c r="I429" s="30">
        <f>_xlfn.XLOOKUP(Tabla2757[[#This Row],[Puesto Encargado]], Tabla9[Puesto], Tabla9[Precio cliente],0,1,1)</f>
        <v>0</v>
      </c>
      <c r="J429" s="30">
        <f>_xlfn.XLOOKUP(Tabla2757[[#This Row],[Cargo]], Tabla958[Cargos], Tabla958[Ponderador Precio],0,1,1)</f>
        <v>0</v>
      </c>
      <c r="K429" s="30">
        <f>Tabla2757[[#This Row],[Precio por hora UF]]*Tabla2757[[#This Row],[Ponderador]]</f>
        <v>0</v>
      </c>
      <c r="L429" s="40">
        <v>0</v>
      </c>
      <c r="M429" s="30">
        <f>Tabla2757[[#This Row],[Precio por hora]]*Tabla2757[[#This Row],[Cantidad horas]]</f>
        <v>0</v>
      </c>
      <c r="N429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430" spans="2:14" x14ac:dyDescent="0.3">
      <c r="B430" s="28"/>
      <c r="C430" s="20"/>
      <c r="E430" s="136"/>
      <c r="F430" s="177">
        <f>_xlfn.XLOOKUP(Tabla2757[[#This Row],[Tipo de venta]],Tabla2329[Tipo de venta],Tabla2329[Moneda final], "Error - Seleccionar Tipo de Venta", 0,1)</f>
        <v>0</v>
      </c>
      <c r="G430" s="178"/>
      <c r="H430" s="21"/>
      <c r="I430" s="30">
        <f>_xlfn.XLOOKUP(Tabla2757[[#This Row],[Puesto Encargado]], Tabla9[Puesto], Tabla9[Precio cliente],0,1,1)</f>
        <v>0</v>
      </c>
      <c r="J430" s="30">
        <f>_xlfn.XLOOKUP(Tabla2757[[#This Row],[Cargo]], Tabla958[Cargos], Tabla958[Ponderador Precio],0,1,1)</f>
        <v>0</v>
      </c>
      <c r="K430" s="30">
        <f>Tabla2757[[#This Row],[Precio por hora UF]]*Tabla2757[[#This Row],[Ponderador]]</f>
        <v>0</v>
      </c>
      <c r="L430" s="40">
        <v>0</v>
      </c>
      <c r="M430" s="30">
        <f>Tabla2757[[#This Row],[Precio por hora]]*Tabla2757[[#This Row],[Cantidad horas]]</f>
        <v>0</v>
      </c>
      <c r="N430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431" spans="2:14" x14ac:dyDescent="0.3">
      <c r="B431" s="28"/>
      <c r="C431" s="20"/>
      <c r="E431" s="136"/>
      <c r="F431" s="177">
        <f>_xlfn.XLOOKUP(Tabla2757[[#This Row],[Tipo de venta]],Tabla2329[Tipo de venta],Tabla2329[Moneda final], "Error - Seleccionar Tipo de Venta", 0,1)</f>
        <v>0</v>
      </c>
      <c r="G431" s="178"/>
      <c r="H431" s="21"/>
      <c r="I431" s="30">
        <f>_xlfn.XLOOKUP(Tabla2757[[#This Row],[Puesto Encargado]], Tabla9[Puesto], Tabla9[Precio cliente],0,1,1)</f>
        <v>0</v>
      </c>
      <c r="J431" s="30">
        <f>_xlfn.XLOOKUP(Tabla2757[[#This Row],[Cargo]], Tabla958[Cargos], Tabla958[Ponderador Precio],0,1,1)</f>
        <v>0</v>
      </c>
      <c r="K431" s="30">
        <f>Tabla2757[[#This Row],[Precio por hora UF]]*Tabla2757[[#This Row],[Ponderador]]</f>
        <v>0</v>
      </c>
      <c r="L431" s="40">
        <v>0</v>
      </c>
      <c r="M431" s="30">
        <f>Tabla2757[[#This Row],[Precio por hora]]*Tabla2757[[#This Row],[Cantidad horas]]</f>
        <v>0</v>
      </c>
      <c r="N431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432" spans="2:14" x14ac:dyDescent="0.3">
      <c r="B432" s="28"/>
      <c r="C432" s="20"/>
      <c r="E432" s="136"/>
      <c r="F432" s="177">
        <f>_xlfn.XLOOKUP(Tabla2757[[#This Row],[Tipo de venta]],Tabla2329[Tipo de venta],Tabla2329[Moneda final], "Error - Seleccionar Tipo de Venta", 0,1)</f>
        <v>0</v>
      </c>
      <c r="G432" s="178"/>
      <c r="H432" s="21"/>
      <c r="I432" s="30">
        <f>_xlfn.XLOOKUP(Tabla2757[[#This Row],[Puesto Encargado]], Tabla9[Puesto], Tabla9[Precio cliente],0,1,1)</f>
        <v>0</v>
      </c>
      <c r="J432" s="30">
        <f>_xlfn.XLOOKUP(Tabla2757[[#This Row],[Cargo]], Tabla958[Cargos], Tabla958[Ponderador Precio],0,1,1)</f>
        <v>0</v>
      </c>
      <c r="K432" s="30">
        <f>Tabla2757[[#This Row],[Precio por hora UF]]*Tabla2757[[#This Row],[Ponderador]]</f>
        <v>0</v>
      </c>
      <c r="L432" s="40">
        <v>0</v>
      </c>
      <c r="M432" s="30">
        <f>Tabla2757[[#This Row],[Precio por hora]]*Tabla2757[[#This Row],[Cantidad horas]]</f>
        <v>0</v>
      </c>
      <c r="N432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433" spans="2:14" x14ac:dyDescent="0.3">
      <c r="B433" s="28"/>
      <c r="C433" s="20"/>
      <c r="E433" s="136"/>
      <c r="F433" s="177">
        <f>_xlfn.XLOOKUP(Tabla2757[[#This Row],[Tipo de venta]],Tabla2329[Tipo de venta],Tabla2329[Moneda final], "Error - Seleccionar Tipo de Venta", 0,1)</f>
        <v>0</v>
      </c>
      <c r="G433" s="178"/>
      <c r="H433" s="21"/>
      <c r="I433" s="30">
        <f>_xlfn.XLOOKUP(Tabla2757[[#This Row],[Puesto Encargado]], Tabla9[Puesto], Tabla9[Precio cliente],0,1,1)</f>
        <v>0</v>
      </c>
      <c r="J433" s="30">
        <f>_xlfn.XLOOKUP(Tabla2757[[#This Row],[Cargo]], Tabla958[Cargos], Tabla958[Ponderador Precio],0,1,1)</f>
        <v>0</v>
      </c>
      <c r="K433" s="30">
        <f>Tabla2757[[#This Row],[Precio por hora UF]]*Tabla2757[[#This Row],[Ponderador]]</f>
        <v>0</v>
      </c>
      <c r="L433" s="40">
        <v>0</v>
      </c>
      <c r="M433" s="30">
        <f>Tabla2757[[#This Row],[Precio por hora]]*Tabla2757[[#This Row],[Cantidad horas]]</f>
        <v>0</v>
      </c>
      <c r="N433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434" spans="2:14" x14ac:dyDescent="0.3">
      <c r="B434" s="28"/>
      <c r="C434" s="20"/>
      <c r="E434" s="136"/>
      <c r="F434" s="177">
        <f>_xlfn.XLOOKUP(Tabla2757[[#This Row],[Tipo de venta]],Tabla2329[Tipo de venta],Tabla2329[Moneda final], "Error - Seleccionar Tipo de Venta", 0,1)</f>
        <v>0</v>
      </c>
      <c r="G434" s="178"/>
      <c r="H434" s="21"/>
      <c r="I434" s="30">
        <f>_xlfn.XLOOKUP(Tabla2757[[#This Row],[Puesto Encargado]], Tabla9[Puesto], Tabla9[Precio cliente],0,1,1)</f>
        <v>0</v>
      </c>
      <c r="J434" s="30">
        <f>_xlfn.XLOOKUP(Tabla2757[[#This Row],[Cargo]], Tabla958[Cargos], Tabla958[Ponderador Precio],0,1,1)</f>
        <v>0</v>
      </c>
      <c r="K434" s="30">
        <f>Tabla2757[[#This Row],[Precio por hora UF]]*Tabla2757[[#This Row],[Ponderador]]</f>
        <v>0</v>
      </c>
      <c r="L434" s="40">
        <v>0</v>
      </c>
      <c r="M434" s="30">
        <f>Tabla2757[[#This Row],[Precio por hora]]*Tabla2757[[#This Row],[Cantidad horas]]</f>
        <v>0</v>
      </c>
      <c r="N434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435" spans="2:14" x14ac:dyDescent="0.3">
      <c r="B435" s="28"/>
      <c r="C435" s="20"/>
      <c r="E435" s="136"/>
      <c r="F435" s="177">
        <f>_xlfn.XLOOKUP(Tabla2757[[#This Row],[Tipo de venta]],Tabla2329[Tipo de venta],Tabla2329[Moneda final], "Error - Seleccionar Tipo de Venta", 0,1)</f>
        <v>0</v>
      </c>
      <c r="G435" s="178"/>
      <c r="H435" s="21"/>
      <c r="I435" s="30">
        <f>_xlfn.XLOOKUP(Tabla2757[[#This Row],[Puesto Encargado]], Tabla9[Puesto], Tabla9[Precio cliente],0,1,1)</f>
        <v>0</v>
      </c>
      <c r="J435" s="30">
        <f>_xlfn.XLOOKUP(Tabla2757[[#This Row],[Cargo]], Tabla958[Cargos], Tabla958[Ponderador Precio],0,1,1)</f>
        <v>0</v>
      </c>
      <c r="K435" s="30">
        <f>Tabla2757[[#This Row],[Precio por hora UF]]*Tabla2757[[#This Row],[Ponderador]]</f>
        <v>0</v>
      </c>
      <c r="L435" s="40">
        <v>0</v>
      </c>
      <c r="M435" s="30">
        <f>Tabla2757[[#This Row],[Precio por hora]]*Tabla2757[[#This Row],[Cantidad horas]]</f>
        <v>0</v>
      </c>
      <c r="N435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436" spans="2:14" x14ac:dyDescent="0.3">
      <c r="B436" s="28"/>
      <c r="C436" s="20"/>
      <c r="E436" s="136"/>
      <c r="F436" s="177">
        <f>_xlfn.XLOOKUP(Tabla2757[[#This Row],[Tipo de venta]],Tabla2329[Tipo de venta],Tabla2329[Moneda final], "Error - Seleccionar Tipo de Venta", 0,1)</f>
        <v>0</v>
      </c>
      <c r="G436" s="178"/>
      <c r="H436" s="21"/>
      <c r="I436" s="30">
        <f>_xlfn.XLOOKUP(Tabla2757[[#This Row],[Puesto Encargado]], Tabla9[Puesto], Tabla9[Precio cliente],0,1,1)</f>
        <v>0</v>
      </c>
      <c r="J436" s="30">
        <f>_xlfn.XLOOKUP(Tabla2757[[#This Row],[Cargo]], Tabla958[Cargos], Tabla958[Ponderador Precio],0,1,1)</f>
        <v>0</v>
      </c>
      <c r="K436" s="30">
        <f>Tabla2757[[#This Row],[Precio por hora UF]]*Tabla2757[[#This Row],[Ponderador]]</f>
        <v>0</v>
      </c>
      <c r="L436" s="40">
        <v>0</v>
      </c>
      <c r="M436" s="30">
        <f>Tabla2757[[#This Row],[Precio por hora]]*Tabla2757[[#This Row],[Cantidad horas]]</f>
        <v>0</v>
      </c>
      <c r="N436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437" spans="2:14" x14ac:dyDescent="0.3">
      <c r="B437" s="28"/>
      <c r="C437" s="20"/>
      <c r="E437" s="136"/>
      <c r="F437" s="177">
        <f>_xlfn.XLOOKUP(Tabla2757[[#This Row],[Tipo de venta]],Tabla2329[Tipo de venta],Tabla2329[Moneda final], "Error - Seleccionar Tipo de Venta", 0,1)</f>
        <v>0</v>
      </c>
      <c r="G437" s="178"/>
      <c r="H437" s="21"/>
      <c r="I437" s="30">
        <f>_xlfn.XLOOKUP(Tabla2757[[#This Row],[Puesto Encargado]], Tabla9[Puesto], Tabla9[Precio cliente],0,1,1)</f>
        <v>0</v>
      </c>
      <c r="J437" s="30">
        <f>_xlfn.XLOOKUP(Tabla2757[[#This Row],[Cargo]], Tabla958[Cargos], Tabla958[Ponderador Precio],0,1,1)</f>
        <v>0</v>
      </c>
      <c r="K437" s="30">
        <f>Tabla2757[[#This Row],[Precio por hora UF]]*Tabla2757[[#This Row],[Ponderador]]</f>
        <v>0</v>
      </c>
      <c r="L437" s="40">
        <v>0</v>
      </c>
      <c r="M437" s="30">
        <f>Tabla2757[[#This Row],[Precio por hora]]*Tabla2757[[#This Row],[Cantidad horas]]</f>
        <v>0</v>
      </c>
      <c r="N437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438" spans="2:14" x14ac:dyDescent="0.3">
      <c r="B438" s="28"/>
      <c r="C438" s="20"/>
      <c r="E438" s="136"/>
      <c r="F438" s="177">
        <f>_xlfn.XLOOKUP(Tabla2757[[#This Row],[Tipo de venta]],Tabla2329[Tipo de venta],Tabla2329[Moneda final], "Error - Seleccionar Tipo de Venta", 0,1)</f>
        <v>0</v>
      </c>
      <c r="G438" s="178"/>
      <c r="H438" s="21"/>
      <c r="I438" s="30">
        <f>_xlfn.XLOOKUP(Tabla2757[[#This Row],[Puesto Encargado]], Tabla9[Puesto], Tabla9[Precio cliente],0,1,1)</f>
        <v>0</v>
      </c>
      <c r="J438" s="30">
        <f>_xlfn.XLOOKUP(Tabla2757[[#This Row],[Cargo]], Tabla958[Cargos], Tabla958[Ponderador Precio],0,1,1)</f>
        <v>0</v>
      </c>
      <c r="K438" s="30">
        <f>Tabla2757[[#This Row],[Precio por hora UF]]*Tabla2757[[#This Row],[Ponderador]]</f>
        <v>0</v>
      </c>
      <c r="L438" s="40">
        <v>0</v>
      </c>
      <c r="M438" s="30">
        <f>Tabla2757[[#This Row],[Precio por hora]]*Tabla2757[[#This Row],[Cantidad horas]]</f>
        <v>0</v>
      </c>
      <c r="N438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439" spans="2:14" x14ac:dyDescent="0.3">
      <c r="B439" s="28"/>
      <c r="C439" s="20"/>
      <c r="E439" s="136"/>
      <c r="F439" s="177">
        <f>_xlfn.XLOOKUP(Tabla2757[[#This Row],[Tipo de venta]],Tabla2329[Tipo de venta],Tabla2329[Moneda final], "Error - Seleccionar Tipo de Venta", 0,1)</f>
        <v>0</v>
      </c>
      <c r="G439" s="178"/>
      <c r="H439" s="21"/>
      <c r="I439" s="30">
        <f>_xlfn.XLOOKUP(Tabla2757[[#This Row],[Puesto Encargado]], Tabla9[Puesto], Tabla9[Precio cliente],0,1,1)</f>
        <v>0</v>
      </c>
      <c r="J439" s="30">
        <f>_xlfn.XLOOKUP(Tabla2757[[#This Row],[Cargo]], Tabla958[Cargos], Tabla958[Ponderador Precio],0,1,1)</f>
        <v>0</v>
      </c>
      <c r="K439" s="30">
        <f>Tabla2757[[#This Row],[Precio por hora UF]]*Tabla2757[[#This Row],[Ponderador]]</f>
        <v>0</v>
      </c>
      <c r="L439" s="40">
        <v>0</v>
      </c>
      <c r="M439" s="30">
        <f>Tabla2757[[#This Row],[Precio por hora]]*Tabla2757[[#This Row],[Cantidad horas]]</f>
        <v>0</v>
      </c>
      <c r="N439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440" spans="2:14" x14ac:dyDescent="0.3">
      <c r="B440" s="28"/>
      <c r="C440" s="20"/>
      <c r="E440" s="136"/>
      <c r="F440" s="177">
        <f>_xlfn.XLOOKUP(Tabla2757[[#This Row],[Tipo de venta]],Tabla2329[Tipo de venta],Tabla2329[Moneda final], "Error - Seleccionar Tipo de Venta", 0,1)</f>
        <v>0</v>
      </c>
      <c r="G440" s="178"/>
      <c r="H440" s="21"/>
      <c r="I440" s="30">
        <f>_xlfn.XLOOKUP(Tabla2757[[#This Row],[Puesto Encargado]], Tabla9[Puesto], Tabla9[Precio cliente],0,1,1)</f>
        <v>0</v>
      </c>
      <c r="J440" s="30">
        <f>_xlfn.XLOOKUP(Tabla2757[[#This Row],[Cargo]], Tabla958[Cargos], Tabla958[Ponderador Precio],0,1,1)</f>
        <v>0</v>
      </c>
      <c r="K440" s="30">
        <f>Tabla2757[[#This Row],[Precio por hora UF]]*Tabla2757[[#This Row],[Ponderador]]</f>
        <v>0</v>
      </c>
      <c r="L440" s="40">
        <v>0</v>
      </c>
      <c r="M440" s="30">
        <f>Tabla2757[[#This Row],[Precio por hora]]*Tabla2757[[#This Row],[Cantidad horas]]</f>
        <v>0</v>
      </c>
      <c r="N440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441" spans="2:14" x14ac:dyDescent="0.3">
      <c r="B441" s="28"/>
      <c r="C441" s="20"/>
      <c r="E441" s="136"/>
      <c r="F441" s="177">
        <f>_xlfn.XLOOKUP(Tabla2757[[#This Row],[Tipo de venta]],Tabla2329[Tipo de venta],Tabla2329[Moneda final], "Error - Seleccionar Tipo de Venta", 0,1)</f>
        <v>0</v>
      </c>
      <c r="G441" s="178"/>
      <c r="H441" s="21"/>
      <c r="I441" s="30">
        <f>_xlfn.XLOOKUP(Tabla2757[[#This Row],[Puesto Encargado]], Tabla9[Puesto], Tabla9[Precio cliente],0,1,1)</f>
        <v>0</v>
      </c>
      <c r="J441" s="30">
        <f>_xlfn.XLOOKUP(Tabla2757[[#This Row],[Cargo]], Tabla958[Cargos], Tabla958[Ponderador Precio],0,1,1)</f>
        <v>0</v>
      </c>
      <c r="K441" s="30">
        <f>Tabla2757[[#This Row],[Precio por hora UF]]*Tabla2757[[#This Row],[Ponderador]]</f>
        <v>0</v>
      </c>
      <c r="L441" s="40">
        <v>0</v>
      </c>
      <c r="M441" s="30">
        <f>Tabla2757[[#This Row],[Precio por hora]]*Tabla2757[[#This Row],[Cantidad horas]]</f>
        <v>0</v>
      </c>
      <c r="N441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442" spans="2:14" x14ac:dyDescent="0.3">
      <c r="B442" s="28"/>
      <c r="C442" s="20"/>
      <c r="E442" s="136"/>
      <c r="F442" s="177">
        <f>_xlfn.XLOOKUP(Tabla2757[[#This Row],[Tipo de venta]],Tabla2329[Tipo de venta],Tabla2329[Moneda final], "Error - Seleccionar Tipo de Venta", 0,1)</f>
        <v>0</v>
      </c>
      <c r="G442" s="178"/>
      <c r="H442" s="21"/>
      <c r="I442" s="30">
        <f>_xlfn.XLOOKUP(Tabla2757[[#This Row],[Puesto Encargado]], Tabla9[Puesto], Tabla9[Precio cliente],0,1,1)</f>
        <v>0</v>
      </c>
      <c r="J442" s="30">
        <f>_xlfn.XLOOKUP(Tabla2757[[#This Row],[Cargo]], Tabla958[Cargos], Tabla958[Ponderador Precio],0,1,1)</f>
        <v>0</v>
      </c>
      <c r="K442" s="30">
        <f>Tabla2757[[#This Row],[Precio por hora UF]]*Tabla2757[[#This Row],[Ponderador]]</f>
        <v>0</v>
      </c>
      <c r="L442" s="40">
        <v>0</v>
      </c>
      <c r="M442" s="30">
        <f>Tabla2757[[#This Row],[Precio por hora]]*Tabla2757[[#This Row],[Cantidad horas]]</f>
        <v>0</v>
      </c>
      <c r="N442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443" spans="2:14" x14ac:dyDescent="0.3">
      <c r="B443" s="28"/>
      <c r="C443" s="20"/>
      <c r="E443" s="136"/>
      <c r="F443" s="177">
        <f>_xlfn.XLOOKUP(Tabla2757[[#This Row],[Tipo de venta]],Tabla2329[Tipo de venta],Tabla2329[Moneda final], "Error - Seleccionar Tipo de Venta", 0,1)</f>
        <v>0</v>
      </c>
      <c r="G443" s="178"/>
      <c r="H443" s="21"/>
      <c r="I443" s="30">
        <f>_xlfn.XLOOKUP(Tabla2757[[#This Row],[Puesto Encargado]], Tabla9[Puesto], Tabla9[Precio cliente],0,1,1)</f>
        <v>0</v>
      </c>
      <c r="J443" s="30">
        <f>_xlfn.XLOOKUP(Tabla2757[[#This Row],[Cargo]], Tabla958[Cargos], Tabla958[Ponderador Precio],0,1,1)</f>
        <v>0</v>
      </c>
      <c r="K443" s="30">
        <f>Tabla2757[[#This Row],[Precio por hora UF]]*Tabla2757[[#This Row],[Ponderador]]</f>
        <v>0</v>
      </c>
      <c r="L443" s="40">
        <v>0</v>
      </c>
      <c r="M443" s="30">
        <f>Tabla2757[[#This Row],[Precio por hora]]*Tabla2757[[#This Row],[Cantidad horas]]</f>
        <v>0</v>
      </c>
      <c r="N443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444" spans="2:14" x14ac:dyDescent="0.3">
      <c r="B444" s="28"/>
      <c r="C444" s="20"/>
      <c r="E444" s="136"/>
      <c r="F444" s="177">
        <f>_xlfn.XLOOKUP(Tabla2757[[#This Row],[Tipo de venta]],Tabla2329[Tipo de venta],Tabla2329[Moneda final], "Error - Seleccionar Tipo de Venta", 0,1)</f>
        <v>0</v>
      </c>
      <c r="G444" s="178"/>
      <c r="H444" s="21"/>
      <c r="I444" s="30">
        <f>_xlfn.XLOOKUP(Tabla2757[[#This Row],[Puesto Encargado]], Tabla9[Puesto], Tabla9[Precio cliente],0,1,1)</f>
        <v>0</v>
      </c>
      <c r="J444" s="30">
        <f>_xlfn.XLOOKUP(Tabla2757[[#This Row],[Cargo]], Tabla958[Cargos], Tabla958[Ponderador Precio],0,1,1)</f>
        <v>0</v>
      </c>
      <c r="K444" s="30">
        <f>Tabla2757[[#This Row],[Precio por hora UF]]*Tabla2757[[#This Row],[Ponderador]]</f>
        <v>0</v>
      </c>
      <c r="L444" s="40">
        <v>0</v>
      </c>
      <c r="M444" s="30">
        <f>Tabla2757[[#This Row],[Precio por hora]]*Tabla2757[[#This Row],[Cantidad horas]]</f>
        <v>0</v>
      </c>
      <c r="N444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445" spans="2:14" x14ac:dyDescent="0.3">
      <c r="B445" s="28"/>
      <c r="C445" s="20"/>
      <c r="E445" s="136"/>
      <c r="F445" s="177">
        <f>_xlfn.XLOOKUP(Tabla2757[[#This Row],[Tipo de venta]],Tabla2329[Tipo de venta],Tabla2329[Moneda final], "Error - Seleccionar Tipo de Venta", 0,1)</f>
        <v>0</v>
      </c>
      <c r="G445" s="178"/>
      <c r="H445" s="21"/>
      <c r="I445" s="30">
        <f>_xlfn.XLOOKUP(Tabla2757[[#This Row],[Puesto Encargado]], Tabla9[Puesto], Tabla9[Precio cliente],0,1,1)</f>
        <v>0</v>
      </c>
      <c r="J445" s="30">
        <f>_xlfn.XLOOKUP(Tabla2757[[#This Row],[Cargo]], Tabla958[Cargos], Tabla958[Ponderador Precio],0,1,1)</f>
        <v>0</v>
      </c>
      <c r="K445" s="30">
        <f>Tabla2757[[#This Row],[Precio por hora UF]]*Tabla2757[[#This Row],[Ponderador]]</f>
        <v>0</v>
      </c>
      <c r="L445" s="40">
        <v>0</v>
      </c>
      <c r="M445" s="30">
        <f>Tabla2757[[#This Row],[Precio por hora]]*Tabla2757[[#This Row],[Cantidad horas]]</f>
        <v>0</v>
      </c>
      <c r="N445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446" spans="2:14" x14ac:dyDescent="0.3">
      <c r="B446" s="28"/>
      <c r="C446" s="20"/>
      <c r="E446" s="136"/>
      <c r="F446" s="177">
        <f>_xlfn.XLOOKUP(Tabla2757[[#This Row],[Tipo de venta]],Tabla2329[Tipo de venta],Tabla2329[Moneda final], "Error - Seleccionar Tipo de Venta", 0,1)</f>
        <v>0</v>
      </c>
      <c r="G446" s="178"/>
      <c r="H446" s="21"/>
      <c r="I446" s="30">
        <f>_xlfn.XLOOKUP(Tabla2757[[#This Row],[Puesto Encargado]], Tabla9[Puesto], Tabla9[Precio cliente],0,1,1)</f>
        <v>0</v>
      </c>
      <c r="J446" s="30">
        <f>_xlfn.XLOOKUP(Tabla2757[[#This Row],[Cargo]], Tabla958[Cargos], Tabla958[Ponderador Precio],0,1,1)</f>
        <v>0</v>
      </c>
      <c r="K446" s="30">
        <f>Tabla2757[[#This Row],[Precio por hora UF]]*Tabla2757[[#This Row],[Ponderador]]</f>
        <v>0</v>
      </c>
      <c r="L446" s="40">
        <v>0</v>
      </c>
      <c r="M446" s="30">
        <f>Tabla2757[[#This Row],[Precio por hora]]*Tabla2757[[#This Row],[Cantidad horas]]</f>
        <v>0</v>
      </c>
      <c r="N446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447" spans="2:14" x14ac:dyDescent="0.3">
      <c r="B447" s="28"/>
      <c r="C447" s="20"/>
      <c r="E447" s="136"/>
      <c r="F447" s="177">
        <f>_xlfn.XLOOKUP(Tabla2757[[#This Row],[Tipo de venta]],Tabla2329[Tipo de venta],Tabla2329[Moneda final], "Error - Seleccionar Tipo de Venta", 0,1)</f>
        <v>0</v>
      </c>
      <c r="G447" s="178"/>
      <c r="H447" s="21"/>
      <c r="I447" s="30">
        <f>_xlfn.XLOOKUP(Tabla2757[[#This Row],[Puesto Encargado]], Tabla9[Puesto], Tabla9[Precio cliente],0,1,1)</f>
        <v>0</v>
      </c>
      <c r="J447" s="30">
        <f>_xlfn.XLOOKUP(Tabla2757[[#This Row],[Cargo]], Tabla958[Cargos], Tabla958[Ponderador Precio],0,1,1)</f>
        <v>0</v>
      </c>
      <c r="K447" s="30">
        <f>Tabla2757[[#This Row],[Precio por hora UF]]*Tabla2757[[#This Row],[Ponderador]]</f>
        <v>0</v>
      </c>
      <c r="L447" s="40">
        <v>0</v>
      </c>
      <c r="M447" s="30">
        <f>Tabla2757[[#This Row],[Precio por hora]]*Tabla2757[[#This Row],[Cantidad horas]]</f>
        <v>0</v>
      </c>
      <c r="N447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448" spans="2:14" x14ac:dyDescent="0.3">
      <c r="B448" s="28"/>
      <c r="C448" s="20"/>
      <c r="E448" s="136"/>
      <c r="F448" s="177">
        <f>_xlfn.XLOOKUP(Tabla2757[[#This Row],[Tipo de venta]],Tabla2329[Tipo de venta],Tabla2329[Moneda final], "Error - Seleccionar Tipo de Venta", 0,1)</f>
        <v>0</v>
      </c>
      <c r="G448" s="178"/>
      <c r="H448" s="21"/>
      <c r="I448" s="30">
        <f>_xlfn.XLOOKUP(Tabla2757[[#This Row],[Puesto Encargado]], Tabla9[Puesto], Tabla9[Precio cliente],0,1,1)</f>
        <v>0</v>
      </c>
      <c r="J448" s="30">
        <f>_xlfn.XLOOKUP(Tabla2757[[#This Row],[Cargo]], Tabla958[Cargos], Tabla958[Ponderador Precio],0,1,1)</f>
        <v>0</v>
      </c>
      <c r="K448" s="30">
        <f>Tabla2757[[#This Row],[Precio por hora UF]]*Tabla2757[[#This Row],[Ponderador]]</f>
        <v>0</v>
      </c>
      <c r="L448" s="40">
        <v>0</v>
      </c>
      <c r="M448" s="30">
        <f>Tabla2757[[#This Row],[Precio por hora]]*Tabla2757[[#This Row],[Cantidad horas]]</f>
        <v>0</v>
      </c>
      <c r="N448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449" spans="2:14" x14ac:dyDescent="0.3">
      <c r="B449" s="28"/>
      <c r="C449" s="20"/>
      <c r="E449" s="136"/>
      <c r="F449" s="177">
        <f>_xlfn.XLOOKUP(Tabla2757[[#This Row],[Tipo de venta]],Tabla2329[Tipo de venta],Tabla2329[Moneda final], "Error - Seleccionar Tipo de Venta", 0,1)</f>
        <v>0</v>
      </c>
      <c r="G449" s="178"/>
      <c r="H449" s="21"/>
      <c r="I449" s="30">
        <f>_xlfn.XLOOKUP(Tabla2757[[#This Row],[Puesto Encargado]], Tabla9[Puesto], Tabla9[Precio cliente],0,1,1)</f>
        <v>0</v>
      </c>
      <c r="J449" s="30">
        <f>_xlfn.XLOOKUP(Tabla2757[[#This Row],[Cargo]], Tabla958[Cargos], Tabla958[Ponderador Precio],0,1,1)</f>
        <v>0</v>
      </c>
      <c r="K449" s="30">
        <f>Tabla2757[[#This Row],[Precio por hora UF]]*Tabla2757[[#This Row],[Ponderador]]</f>
        <v>0</v>
      </c>
      <c r="L449" s="40">
        <v>0</v>
      </c>
      <c r="M449" s="30">
        <f>Tabla2757[[#This Row],[Precio por hora]]*Tabla2757[[#This Row],[Cantidad horas]]</f>
        <v>0</v>
      </c>
      <c r="N449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450" spans="2:14" x14ac:dyDescent="0.3">
      <c r="B450" s="28"/>
      <c r="C450" s="20"/>
      <c r="E450" s="136"/>
      <c r="F450" s="177">
        <f>_xlfn.XLOOKUP(Tabla2757[[#This Row],[Tipo de venta]],Tabla2329[Tipo de venta],Tabla2329[Moneda final], "Error - Seleccionar Tipo de Venta", 0,1)</f>
        <v>0</v>
      </c>
      <c r="G450" s="178"/>
      <c r="H450" s="21"/>
      <c r="I450" s="30">
        <f>_xlfn.XLOOKUP(Tabla2757[[#This Row],[Puesto Encargado]], Tabla9[Puesto], Tabla9[Precio cliente],0,1,1)</f>
        <v>0</v>
      </c>
      <c r="J450" s="30">
        <f>_xlfn.XLOOKUP(Tabla2757[[#This Row],[Cargo]], Tabla958[Cargos], Tabla958[Ponderador Precio],0,1,1)</f>
        <v>0</v>
      </c>
      <c r="K450" s="30">
        <f>Tabla2757[[#This Row],[Precio por hora UF]]*Tabla2757[[#This Row],[Ponderador]]</f>
        <v>0</v>
      </c>
      <c r="L450" s="40">
        <v>0</v>
      </c>
      <c r="M450" s="30">
        <f>Tabla2757[[#This Row],[Precio por hora]]*Tabla2757[[#This Row],[Cantidad horas]]</f>
        <v>0</v>
      </c>
      <c r="N450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451" spans="2:14" x14ac:dyDescent="0.3">
      <c r="B451" s="28"/>
      <c r="C451" s="20"/>
      <c r="E451" s="136"/>
      <c r="F451" s="177">
        <f>_xlfn.XLOOKUP(Tabla2757[[#This Row],[Tipo de venta]],Tabla2329[Tipo de venta],Tabla2329[Moneda final], "Error - Seleccionar Tipo de Venta", 0,1)</f>
        <v>0</v>
      </c>
      <c r="G451" s="178"/>
      <c r="H451" s="21"/>
      <c r="I451" s="30">
        <f>_xlfn.XLOOKUP(Tabla2757[[#This Row],[Puesto Encargado]], Tabla9[Puesto], Tabla9[Precio cliente],0,1,1)</f>
        <v>0</v>
      </c>
      <c r="J451" s="30">
        <f>_xlfn.XLOOKUP(Tabla2757[[#This Row],[Cargo]], Tabla958[Cargos], Tabla958[Ponderador Precio],0,1,1)</f>
        <v>0</v>
      </c>
      <c r="K451" s="30">
        <f>Tabla2757[[#This Row],[Precio por hora UF]]*Tabla2757[[#This Row],[Ponderador]]</f>
        <v>0</v>
      </c>
      <c r="L451" s="40">
        <v>0</v>
      </c>
      <c r="M451" s="30">
        <f>Tabla2757[[#This Row],[Precio por hora]]*Tabla2757[[#This Row],[Cantidad horas]]</f>
        <v>0</v>
      </c>
      <c r="N451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452" spans="2:14" x14ac:dyDescent="0.3">
      <c r="B452" s="28"/>
      <c r="C452" s="20"/>
      <c r="E452" s="136"/>
      <c r="F452" s="177">
        <f>_xlfn.XLOOKUP(Tabla2757[[#This Row],[Tipo de venta]],Tabla2329[Tipo de venta],Tabla2329[Moneda final], "Error - Seleccionar Tipo de Venta", 0,1)</f>
        <v>0</v>
      </c>
      <c r="G452" s="178"/>
      <c r="H452" s="21"/>
      <c r="I452" s="30">
        <f>_xlfn.XLOOKUP(Tabla2757[[#This Row],[Puesto Encargado]], Tabla9[Puesto], Tabla9[Precio cliente],0,1,1)</f>
        <v>0</v>
      </c>
      <c r="J452" s="30">
        <f>_xlfn.XLOOKUP(Tabla2757[[#This Row],[Cargo]], Tabla958[Cargos], Tabla958[Ponderador Precio],0,1,1)</f>
        <v>0</v>
      </c>
      <c r="K452" s="30">
        <f>Tabla2757[[#This Row],[Precio por hora UF]]*Tabla2757[[#This Row],[Ponderador]]</f>
        <v>0</v>
      </c>
      <c r="L452" s="40">
        <v>0</v>
      </c>
      <c r="M452" s="30">
        <f>Tabla2757[[#This Row],[Precio por hora]]*Tabla2757[[#This Row],[Cantidad horas]]</f>
        <v>0</v>
      </c>
      <c r="N452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453" spans="2:14" x14ac:dyDescent="0.3">
      <c r="B453" s="28"/>
      <c r="C453" s="20"/>
      <c r="E453" s="136"/>
      <c r="F453" s="177">
        <f>_xlfn.XLOOKUP(Tabla2757[[#This Row],[Tipo de venta]],Tabla2329[Tipo de venta],Tabla2329[Moneda final], "Error - Seleccionar Tipo de Venta", 0,1)</f>
        <v>0</v>
      </c>
      <c r="G453" s="178"/>
      <c r="H453" s="21"/>
      <c r="I453" s="30">
        <f>_xlfn.XLOOKUP(Tabla2757[[#This Row],[Puesto Encargado]], Tabla9[Puesto], Tabla9[Precio cliente],0,1,1)</f>
        <v>0</v>
      </c>
      <c r="J453" s="30">
        <f>_xlfn.XLOOKUP(Tabla2757[[#This Row],[Cargo]], Tabla958[Cargos], Tabla958[Ponderador Precio],0,1,1)</f>
        <v>0</v>
      </c>
      <c r="K453" s="30">
        <f>Tabla2757[[#This Row],[Precio por hora UF]]*Tabla2757[[#This Row],[Ponderador]]</f>
        <v>0</v>
      </c>
      <c r="L453" s="40">
        <v>0</v>
      </c>
      <c r="M453" s="30">
        <f>Tabla2757[[#This Row],[Precio por hora]]*Tabla2757[[#This Row],[Cantidad horas]]</f>
        <v>0</v>
      </c>
      <c r="N453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454" spans="2:14" x14ac:dyDescent="0.3">
      <c r="B454" s="28"/>
      <c r="C454" s="20"/>
      <c r="E454" s="136"/>
      <c r="F454" s="177">
        <f>_xlfn.XLOOKUP(Tabla2757[[#This Row],[Tipo de venta]],Tabla2329[Tipo de venta],Tabla2329[Moneda final], "Error - Seleccionar Tipo de Venta", 0,1)</f>
        <v>0</v>
      </c>
      <c r="G454" s="178"/>
      <c r="H454" s="21"/>
      <c r="I454" s="30">
        <f>_xlfn.XLOOKUP(Tabla2757[[#This Row],[Puesto Encargado]], Tabla9[Puesto], Tabla9[Precio cliente],0,1,1)</f>
        <v>0</v>
      </c>
      <c r="J454" s="30">
        <f>_xlfn.XLOOKUP(Tabla2757[[#This Row],[Cargo]], Tabla958[Cargos], Tabla958[Ponderador Precio],0,1,1)</f>
        <v>0</v>
      </c>
      <c r="K454" s="30">
        <f>Tabla2757[[#This Row],[Precio por hora UF]]*Tabla2757[[#This Row],[Ponderador]]</f>
        <v>0</v>
      </c>
      <c r="L454" s="40">
        <v>0</v>
      </c>
      <c r="M454" s="30">
        <f>Tabla2757[[#This Row],[Precio por hora]]*Tabla2757[[#This Row],[Cantidad horas]]</f>
        <v>0</v>
      </c>
      <c r="N454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455" spans="2:14" x14ac:dyDescent="0.3">
      <c r="B455" s="28"/>
      <c r="C455" s="20"/>
      <c r="E455" s="136"/>
      <c r="F455" s="177">
        <f>_xlfn.XLOOKUP(Tabla2757[[#This Row],[Tipo de venta]],Tabla2329[Tipo de venta],Tabla2329[Moneda final], "Error - Seleccionar Tipo de Venta", 0,1)</f>
        <v>0</v>
      </c>
      <c r="G455" s="178"/>
      <c r="H455" s="21"/>
      <c r="I455" s="30">
        <f>_xlfn.XLOOKUP(Tabla2757[[#This Row],[Puesto Encargado]], Tabla9[Puesto], Tabla9[Precio cliente],0,1,1)</f>
        <v>0</v>
      </c>
      <c r="J455" s="30">
        <f>_xlfn.XLOOKUP(Tabla2757[[#This Row],[Cargo]], Tabla958[Cargos], Tabla958[Ponderador Precio],0,1,1)</f>
        <v>0</v>
      </c>
      <c r="K455" s="30">
        <f>Tabla2757[[#This Row],[Precio por hora UF]]*Tabla2757[[#This Row],[Ponderador]]</f>
        <v>0</v>
      </c>
      <c r="L455" s="40">
        <v>0</v>
      </c>
      <c r="M455" s="30">
        <f>Tabla2757[[#This Row],[Precio por hora]]*Tabla2757[[#This Row],[Cantidad horas]]</f>
        <v>0</v>
      </c>
      <c r="N455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456" spans="2:14" x14ac:dyDescent="0.3">
      <c r="B456" s="28"/>
      <c r="C456" s="20"/>
      <c r="E456" s="136"/>
      <c r="F456" s="177">
        <f>_xlfn.XLOOKUP(Tabla2757[[#This Row],[Tipo de venta]],Tabla2329[Tipo de venta],Tabla2329[Moneda final], "Error - Seleccionar Tipo de Venta", 0,1)</f>
        <v>0</v>
      </c>
      <c r="G456" s="178"/>
      <c r="H456" s="21"/>
      <c r="I456" s="30">
        <f>_xlfn.XLOOKUP(Tabla2757[[#This Row],[Puesto Encargado]], Tabla9[Puesto], Tabla9[Precio cliente],0,1,1)</f>
        <v>0</v>
      </c>
      <c r="J456" s="30">
        <f>_xlfn.XLOOKUP(Tabla2757[[#This Row],[Cargo]], Tabla958[Cargos], Tabla958[Ponderador Precio],0,1,1)</f>
        <v>0</v>
      </c>
      <c r="K456" s="30">
        <f>Tabla2757[[#This Row],[Precio por hora UF]]*Tabla2757[[#This Row],[Ponderador]]</f>
        <v>0</v>
      </c>
      <c r="L456" s="40">
        <v>0</v>
      </c>
      <c r="M456" s="30">
        <f>Tabla2757[[#This Row],[Precio por hora]]*Tabla2757[[#This Row],[Cantidad horas]]</f>
        <v>0</v>
      </c>
      <c r="N456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457" spans="2:14" x14ac:dyDescent="0.3">
      <c r="B457" s="28"/>
      <c r="C457" s="20"/>
      <c r="E457" s="136"/>
      <c r="F457" s="177">
        <f>_xlfn.XLOOKUP(Tabla2757[[#This Row],[Tipo de venta]],Tabla2329[Tipo de venta],Tabla2329[Moneda final], "Error - Seleccionar Tipo de Venta", 0,1)</f>
        <v>0</v>
      </c>
      <c r="G457" s="178"/>
      <c r="H457" s="21"/>
      <c r="I457" s="30">
        <f>_xlfn.XLOOKUP(Tabla2757[[#This Row],[Puesto Encargado]], Tabla9[Puesto], Tabla9[Precio cliente],0,1,1)</f>
        <v>0</v>
      </c>
      <c r="J457" s="30">
        <f>_xlfn.XLOOKUP(Tabla2757[[#This Row],[Cargo]], Tabla958[Cargos], Tabla958[Ponderador Precio],0,1,1)</f>
        <v>0</v>
      </c>
      <c r="K457" s="30">
        <f>Tabla2757[[#This Row],[Precio por hora UF]]*Tabla2757[[#This Row],[Ponderador]]</f>
        <v>0</v>
      </c>
      <c r="L457" s="40">
        <v>0</v>
      </c>
      <c r="M457" s="30">
        <f>Tabla2757[[#This Row],[Precio por hora]]*Tabla2757[[#This Row],[Cantidad horas]]</f>
        <v>0</v>
      </c>
      <c r="N457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458" spans="2:14" x14ac:dyDescent="0.3">
      <c r="B458" s="28"/>
      <c r="C458" s="20"/>
      <c r="E458" s="136"/>
      <c r="F458" s="177">
        <f>_xlfn.XLOOKUP(Tabla2757[[#This Row],[Tipo de venta]],Tabla2329[Tipo de venta],Tabla2329[Moneda final], "Error - Seleccionar Tipo de Venta", 0,1)</f>
        <v>0</v>
      </c>
      <c r="G458" s="178"/>
      <c r="H458" s="21"/>
      <c r="I458" s="30">
        <f>_xlfn.XLOOKUP(Tabla2757[[#This Row],[Puesto Encargado]], Tabla9[Puesto], Tabla9[Precio cliente],0,1,1)</f>
        <v>0</v>
      </c>
      <c r="J458" s="30">
        <f>_xlfn.XLOOKUP(Tabla2757[[#This Row],[Cargo]], Tabla958[Cargos], Tabla958[Ponderador Precio],0,1,1)</f>
        <v>0</v>
      </c>
      <c r="K458" s="30">
        <f>Tabla2757[[#This Row],[Precio por hora UF]]*Tabla2757[[#This Row],[Ponderador]]</f>
        <v>0</v>
      </c>
      <c r="L458" s="40">
        <v>0</v>
      </c>
      <c r="M458" s="30">
        <f>Tabla2757[[#This Row],[Precio por hora]]*Tabla2757[[#This Row],[Cantidad horas]]</f>
        <v>0</v>
      </c>
      <c r="N458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459" spans="2:14" x14ac:dyDescent="0.3">
      <c r="B459" s="28"/>
      <c r="C459" s="20"/>
      <c r="E459" s="136"/>
      <c r="F459" s="177">
        <f>_xlfn.XLOOKUP(Tabla2757[[#This Row],[Tipo de venta]],Tabla2329[Tipo de venta],Tabla2329[Moneda final], "Error - Seleccionar Tipo de Venta", 0,1)</f>
        <v>0</v>
      </c>
      <c r="G459" s="178"/>
      <c r="H459" s="21"/>
      <c r="I459" s="30">
        <f>_xlfn.XLOOKUP(Tabla2757[[#This Row],[Puesto Encargado]], Tabla9[Puesto], Tabla9[Precio cliente],0,1,1)</f>
        <v>0</v>
      </c>
      <c r="J459" s="30">
        <f>_xlfn.XLOOKUP(Tabla2757[[#This Row],[Cargo]], Tabla958[Cargos], Tabla958[Ponderador Precio],0,1,1)</f>
        <v>0</v>
      </c>
      <c r="K459" s="30">
        <f>Tabla2757[[#This Row],[Precio por hora UF]]*Tabla2757[[#This Row],[Ponderador]]</f>
        <v>0</v>
      </c>
      <c r="L459" s="40">
        <v>0</v>
      </c>
      <c r="M459" s="30">
        <f>Tabla2757[[#This Row],[Precio por hora]]*Tabla2757[[#This Row],[Cantidad horas]]</f>
        <v>0</v>
      </c>
      <c r="N459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460" spans="2:14" x14ac:dyDescent="0.3">
      <c r="B460" s="28"/>
      <c r="C460" s="20"/>
      <c r="E460" s="136"/>
      <c r="F460" s="177">
        <f>_xlfn.XLOOKUP(Tabla2757[[#This Row],[Tipo de venta]],Tabla2329[Tipo de venta],Tabla2329[Moneda final], "Error - Seleccionar Tipo de Venta", 0,1)</f>
        <v>0</v>
      </c>
      <c r="G460" s="178"/>
      <c r="H460" s="21"/>
      <c r="I460" s="30">
        <f>_xlfn.XLOOKUP(Tabla2757[[#This Row],[Puesto Encargado]], Tabla9[Puesto], Tabla9[Precio cliente],0,1,1)</f>
        <v>0</v>
      </c>
      <c r="J460" s="30">
        <f>_xlfn.XLOOKUP(Tabla2757[[#This Row],[Cargo]], Tabla958[Cargos], Tabla958[Ponderador Precio],0,1,1)</f>
        <v>0</v>
      </c>
      <c r="K460" s="30">
        <f>Tabla2757[[#This Row],[Precio por hora UF]]*Tabla2757[[#This Row],[Ponderador]]</f>
        <v>0</v>
      </c>
      <c r="L460" s="40">
        <v>0</v>
      </c>
      <c r="M460" s="30">
        <f>Tabla2757[[#This Row],[Precio por hora]]*Tabla2757[[#This Row],[Cantidad horas]]</f>
        <v>0</v>
      </c>
      <c r="N460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461" spans="2:14" x14ac:dyDescent="0.3">
      <c r="B461" s="28"/>
      <c r="C461" s="20"/>
      <c r="E461" s="136"/>
      <c r="F461" s="177">
        <f>_xlfn.XLOOKUP(Tabla2757[[#This Row],[Tipo de venta]],Tabla2329[Tipo de venta],Tabla2329[Moneda final], "Error - Seleccionar Tipo de Venta", 0,1)</f>
        <v>0</v>
      </c>
      <c r="G461" s="178"/>
      <c r="H461" s="21"/>
      <c r="I461" s="30">
        <f>_xlfn.XLOOKUP(Tabla2757[[#This Row],[Puesto Encargado]], Tabla9[Puesto], Tabla9[Precio cliente],0,1,1)</f>
        <v>0</v>
      </c>
      <c r="J461" s="30">
        <f>_xlfn.XLOOKUP(Tabla2757[[#This Row],[Cargo]], Tabla958[Cargos], Tabla958[Ponderador Precio],0,1,1)</f>
        <v>0</v>
      </c>
      <c r="K461" s="30">
        <f>Tabla2757[[#This Row],[Precio por hora UF]]*Tabla2757[[#This Row],[Ponderador]]</f>
        <v>0</v>
      </c>
      <c r="L461" s="40">
        <v>0</v>
      </c>
      <c r="M461" s="30">
        <f>Tabla2757[[#This Row],[Precio por hora]]*Tabla2757[[#This Row],[Cantidad horas]]</f>
        <v>0</v>
      </c>
      <c r="N461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462" spans="2:14" x14ac:dyDescent="0.3">
      <c r="B462" s="28"/>
      <c r="C462" s="20"/>
      <c r="E462" s="136"/>
      <c r="F462" s="177">
        <f>_xlfn.XLOOKUP(Tabla2757[[#This Row],[Tipo de venta]],Tabla2329[Tipo de venta],Tabla2329[Moneda final], "Error - Seleccionar Tipo de Venta", 0,1)</f>
        <v>0</v>
      </c>
      <c r="G462" s="178"/>
      <c r="H462" s="21"/>
      <c r="I462" s="30">
        <f>_xlfn.XLOOKUP(Tabla2757[[#This Row],[Puesto Encargado]], Tabla9[Puesto], Tabla9[Precio cliente],0,1,1)</f>
        <v>0</v>
      </c>
      <c r="J462" s="30">
        <f>_xlfn.XLOOKUP(Tabla2757[[#This Row],[Cargo]], Tabla958[Cargos], Tabla958[Ponderador Precio],0,1,1)</f>
        <v>0</v>
      </c>
      <c r="K462" s="30">
        <f>Tabla2757[[#This Row],[Precio por hora UF]]*Tabla2757[[#This Row],[Ponderador]]</f>
        <v>0</v>
      </c>
      <c r="L462" s="40">
        <v>0</v>
      </c>
      <c r="M462" s="30">
        <f>Tabla2757[[#This Row],[Precio por hora]]*Tabla2757[[#This Row],[Cantidad horas]]</f>
        <v>0</v>
      </c>
      <c r="N462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463" spans="2:14" x14ac:dyDescent="0.3">
      <c r="B463" s="28"/>
      <c r="C463" s="20"/>
      <c r="E463" s="136"/>
      <c r="F463" s="177">
        <f>_xlfn.XLOOKUP(Tabla2757[[#This Row],[Tipo de venta]],Tabla2329[Tipo de venta],Tabla2329[Moneda final], "Error - Seleccionar Tipo de Venta", 0,1)</f>
        <v>0</v>
      </c>
      <c r="G463" s="178"/>
      <c r="H463" s="21"/>
      <c r="I463" s="30">
        <f>_xlfn.XLOOKUP(Tabla2757[[#This Row],[Puesto Encargado]], Tabla9[Puesto], Tabla9[Precio cliente],0,1,1)</f>
        <v>0</v>
      </c>
      <c r="J463" s="30">
        <f>_xlfn.XLOOKUP(Tabla2757[[#This Row],[Cargo]], Tabla958[Cargos], Tabla958[Ponderador Precio],0,1,1)</f>
        <v>0</v>
      </c>
      <c r="K463" s="30">
        <f>Tabla2757[[#This Row],[Precio por hora UF]]*Tabla2757[[#This Row],[Ponderador]]</f>
        <v>0</v>
      </c>
      <c r="L463" s="40">
        <v>0</v>
      </c>
      <c r="M463" s="30">
        <f>Tabla2757[[#This Row],[Precio por hora]]*Tabla2757[[#This Row],[Cantidad horas]]</f>
        <v>0</v>
      </c>
      <c r="N463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464" spans="2:14" x14ac:dyDescent="0.3">
      <c r="B464" s="28"/>
      <c r="C464" s="20"/>
      <c r="E464" s="136"/>
      <c r="F464" s="177">
        <f>_xlfn.XLOOKUP(Tabla2757[[#This Row],[Tipo de venta]],Tabla2329[Tipo de venta],Tabla2329[Moneda final], "Error - Seleccionar Tipo de Venta", 0,1)</f>
        <v>0</v>
      </c>
      <c r="G464" s="178"/>
      <c r="H464" s="21"/>
      <c r="I464" s="30">
        <f>_xlfn.XLOOKUP(Tabla2757[[#This Row],[Puesto Encargado]], Tabla9[Puesto], Tabla9[Precio cliente],0,1,1)</f>
        <v>0</v>
      </c>
      <c r="J464" s="30">
        <f>_xlfn.XLOOKUP(Tabla2757[[#This Row],[Cargo]], Tabla958[Cargos], Tabla958[Ponderador Precio],0,1,1)</f>
        <v>0</v>
      </c>
      <c r="K464" s="30">
        <f>Tabla2757[[#This Row],[Precio por hora UF]]*Tabla2757[[#This Row],[Ponderador]]</f>
        <v>0</v>
      </c>
      <c r="L464" s="40">
        <v>0</v>
      </c>
      <c r="M464" s="30">
        <f>Tabla2757[[#This Row],[Precio por hora]]*Tabla2757[[#This Row],[Cantidad horas]]</f>
        <v>0</v>
      </c>
      <c r="N464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465" spans="2:14" x14ac:dyDescent="0.3">
      <c r="B465" s="28"/>
      <c r="C465" s="20"/>
      <c r="E465" s="136"/>
      <c r="F465" s="177">
        <f>_xlfn.XLOOKUP(Tabla2757[[#This Row],[Tipo de venta]],Tabla2329[Tipo de venta],Tabla2329[Moneda final], "Error - Seleccionar Tipo de Venta", 0,1)</f>
        <v>0</v>
      </c>
      <c r="G465" s="178"/>
      <c r="H465" s="21"/>
      <c r="I465" s="30">
        <f>_xlfn.XLOOKUP(Tabla2757[[#This Row],[Puesto Encargado]], Tabla9[Puesto], Tabla9[Precio cliente],0,1,1)</f>
        <v>0</v>
      </c>
      <c r="J465" s="30">
        <f>_xlfn.XLOOKUP(Tabla2757[[#This Row],[Cargo]], Tabla958[Cargos], Tabla958[Ponderador Precio],0,1,1)</f>
        <v>0</v>
      </c>
      <c r="K465" s="30">
        <f>Tabla2757[[#This Row],[Precio por hora UF]]*Tabla2757[[#This Row],[Ponderador]]</f>
        <v>0</v>
      </c>
      <c r="L465" s="40">
        <v>0</v>
      </c>
      <c r="M465" s="30">
        <f>Tabla2757[[#This Row],[Precio por hora]]*Tabla2757[[#This Row],[Cantidad horas]]</f>
        <v>0</v>
      </c>
      <c r="N465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466" spans="2:14" x14ac:dyDescent="0.3">
      <c r="B466" s="28"/>
      <c r="C466" s="20"/>
      <c r="E466" s="136"/>
      <c r="F466" s="177">
        <f>_xlfn.XLOOKUP(Tabla2757[[#This Row],[Tipo de venta]],Tabla2329[Tipo de venta],Tabla2329[Moneda final], "Error - Seleccionar Tipo de Venta", 0,1)</f>
        <v>0</v>
      </c>
      <c r="G466" s="178"/>
      <c r="H466" s="21"/>
      <c r="I466" s="30">
        <f>_xlfn.XLOOKUP(Tabla2757[[#This Row],[Puesto Encargado]], Tabla9[Puesto], Tabla9[Precio cliente],0,1,1)</f>
        <v>0</v>
      </c>
      <c r="J466" s="30">
        <f>_xlfn.XLOOKUP(Tabla2757[[#This Row],[Cargo]], Tabla958[Cargos], Tabla958[Ponderador Precio],0,1,1)</f>
        <v>0</v>
      </c>
      <c r="K466" s="30">
        <f>Tabla2757[[#This Row],[Precio por hora UF]]*Tabla2757[[#This Row],[Ponderador]]</f>
        <v>0</v>
      </c>
      <c r="L466" s="40">
        <v>0</v>
      </c>
      <c r="M466" s="30">
        <f>Tabla2757[[#This Row],[Precio por hora]]*Tabla2757[[#This Row],[Cantidad horas]]</f>
        <v>0</v>
      </c>
      <c r="N466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467" spans="2:14" x14ac:dyDescent="0.3">
      <c r="B467" s="28"/>
      <c r="C467" s="20"/>
      <c r="E467" s="136"/>
      <c r="F467" s="177">
        <f>_xlfn.XLOOKUP(Tabla2757[[#This Row],[Tipo de venta]],Tabla2329[Tipo de venta],Tabla2329[Moneda final], "Error - Seleccionar Tipo de Venta", 0,1)</f>
        <v>0</v>
      </c>
      <c r="G467" s="178"/>
      <c r="H467" s="21"/>
      <c r="I467" s="30">
        <f>_xlfn.XLOOKUP(Tabla2757[[#This Row],[Puesto Encargado]], Tabla9[Puesto], Tabla9[Precio cliente],0,1,1)</f>
        <v>0</v>
      </c>
      <c r="J467" s="30">
        <f>_xlfn.XLOOKUP(Tabla2757[[#This Row],[Cargo]], Tabla958[Cargos], Tabla958[Ponderador Precio],0,1,1)</f>
        <v>0</v>
      </c>
      <c r="K467" s="30">
        <f>Tabla2757[[#This Row],[Precio por hora UF]]*Tabla2757[[#This Row],[Ponderador]]</f>
        <v>0</v>
      </c>
      <c r="L467" s="40">
        <v>0</v>
      </c>
      <c r="M467" s="30">
        <f>Tabla2757[[#This Row],[Precio por hora]]*Tabla2757[[#This Row],[Cantidad horas]]</f>
        <v>0</v>
      </c>
      <c r="N467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468" spans="2:14" x14ac:dyDescent="0.3">
      <c r="B468" s="28"/>
      <c r="C468" s="20"/>
      <c r="E468" s="136"/>
      <c r="F468" s="177">
        <f>_xlfn.XLOOKUP(Tabla2757[[#This Row],[Tipo de venta]],Tabla2329[Tipo de venta],Tabla2329[Moneda final], "Error - Seleccionar Tipo de Venta", 0,1)</f>
        <v>0</v>
      </c>
      <c r="G468" s="178"/>
      <c r="H468" s="21"/>
      <c r="I468" s="30">
        <f>_xlfn.XLOOKUP(Tabla2757[[#This Row],[Puesto Encargado]], Tabla9[Puesto], Tabla9[Precio cliente],0,1,1)</f>
        <v>0</v>
      </c>
      <c r="J468" s="30">
        <f>_xlfn.XLOOKUP(Tabla2757[[#This Row],[Cargo]], Tabla958[Cargos], Tabla958[Ponderador Precio],0,1,1)</f>
        <v>0</v>
      </c>
      <c r="K468" s="30">
        <f>Tabla2757[[#This Row],[Precio por hora UF]]*Tabla2757[[#This Row],[Ponderador]]</f>
        <v>0</v>
      </c>
      <c r="L468" s="40">
        <v>0</v>
      </c>
      <c r="M468" s="30">
        <f>Tabla2757[[#This Row],[Precio por hora]]*Tabla2757[[#This Row],[Cantidad horas]]</f>
        <v>0</v>
      </c>
      <c r="N468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469" spans="2:14" x14ac:dyDescent="0.3">
      <c r="B469" s="28"/>
      <c r="C469" s="20"/>
      <c r="E469" s="136"/>
      <c r="F469" s="177">
        <f>_xlfn.XLOOKUP(Tabla2757[[#This Row],[Tipo de venta]],Tabla2329[Tipo de venta],Tabla2329[Moneda final], "Error - Seleccionar Tipo de Venta", 0,1)</f>
        <v>0</v>
      </c>
      <c r="G469" s="178"/>
      <c r="H469" s="21"/>
      <c r="I469" s="30">
        <f>_xlfn.XLOOKUP(Tabla2757[[#This Row],[Puesto Encargado]], Tabla9[Puesto], Tabla9[Precio cliente],0,1,1)</f>
        <v>0</v>
      </c>
      <c r="J469" s="30">
        <f>_xlfn.XLOOKUP(Tabla2757[[#This Row],[Cargo]], Tabla958[Cargos], Tabla958[Ponderador Precio],0,1,1)</f>
        <v>0</v>
      </c>
      <c r="K469" s="30">
        <f>Tabla2757[[#This Row],[Precio por hora UF]]*Tabla2757[[#This Row],[Ponderador]]</f>
        <v>0</v>
      </c>
      <c r="L469" s="40">
        <v>0</v>
      </c>
      <c r="M469" s="30">
        <f>Tabla2757[[#This Row],[Precio por hora]]*Tabla2757[[#This Row],[Cantidad horas]]</f>
        <v>0</v>
      </c>
      <c r="N469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470" spans="2:14" x14ac:dyDescent="0.3">
      <c r="B470" s="28"/>
      <c r="C470" s="20"/>
      <c r="E470" s="136"/>
      <c r="F470" s="177">
        <f>_xlfn.XLOOKUP(Tabla2757[[#This Row],[Tipo de venta]],Tabla2329[Tipo de venta],Tabla2329[Moneda final], "Error - Seleccionar Tipo de Venta", 0,1)</f>
        <v>0</v>
      </c>
      <c r="G470" s="178"/>
      <c r="H470" s="21"/>
      <c r="I470" s="30">
        <f>_xlfn.XLOOKUP(Tabla2757[[#This Row],[Puesto Encargado]], Tabla9[Puesto], Tabla9[Precio cliente],0,1,1)</f>
        <v>0</v>
      </c>
      <c r="J470" s="30">
        <f>_xlfn.XLOOKUP(Tabla2757[[#This Row],[Cargo]], Tabla958[Cargos], Tabla958[Ponderador Precio],0,1,1)</f>
        <v>0</v>
      </c>
      <c r="K470" s="30">
        <f>Tabla2757[[#This Row],[Precio por hora UF]]*Tabla2757[[#This Row],[Ponderador]]</f>
        <v>0</v>
      </c>
      <c r="L470" s="40">
        <v>0</v>
      </c>
      <c r="M470" s="30">
        <f>Tabla2757[[#This Row],[Precio por hora]]*Tabla2757[[#This Row],[Cantidad horas]]</f>
        <v>0</v>
      </c>
      <c r="N470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471" spans="2:14" x14ac:dyDescent="0.3">
      <c r="B471" s="28"/>
      <c r="C471" s="20"/>
      <c r="E471" s="136"/>
      <c r="F471" s="177">
        <f>_xlfn.XLOOKUP(Tabla2757[[#This Row],[Tipo de venta]],Tabla2329[Tipo de venta],Tabla2329[Moneda final], "Error - Seleccionar Tipo de Venta", 0,1)</f>
        <v>0</v>
      </c>
      <c r="G471" s="178"/>
      <c r="H471" s="21"/>
      <c r="I471" s="30">
        <f>_xlfn.XLOOKUP(Tabla2757[[#This Row],[Puesto Encargado]], Tabla9[Puesto], Tabla9[Precio cliente],0,1,1)</f>
        <v>0</v>
      </c>
      <c r="J471" s="30">
        <f>_xlfn.XLOOKUP(Tabla2757[[#This Row],[Cargo]], Tabla958[Cargos], Tabla958[Ponderador Precio],0,1,1)</f>
        <v>0</v>
      </c>
      <c r="K471" s="30">
        <f>Tabla2757[[#This Row],[Precio por hora UF]]*Tabla2757[[#This Row],[Ponderador]]</f>
        <v>0</v>
      </c>
      <c r="L471" s="40">
        <v>0</v>
      </c>
      <c r="M471" s="30">
        <f>Tabla2757[[#This Row],[Precio por hora]]*Tabla2757[[#This Row],[Cantidad horas]]</f>
        <v>0</v>
      </c>
      <c r="N471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472" spans="2:14" x14ac:dyDescent="0.3">
      <c r="B472" s="28"/>
      <c r="C472" s="20"/>
      <c r="E472" s="136"/>
      <c r="F472" s="177">
        <f>_xlfn.XLOOKUP(Tabla2757[[#This Row],[Tipo de venta]],Tabla2329[Tipo de venta],Tabla2329[Moneda final], "Error - Seleccionar Tipo de Venta", 0,1)</f>
        <v>0</v>
      </c>
      <c r="G472" s="178"/>
      <c r="H472" s="21"/>
      <c r="I472" s="30">
        <f>_xlfn.XLOOKUP(Tabla2757[[#This Row],[Puesto Encargado]], Tabla9[Puesto], Tabla9[Precio cliente],0,1,1)</f>
        <v>0</v>
      </c>
      <c r="J472" s="30">
        <f>_xlfn.XLOOKUP(Tabla2757[[#This Row],[Cargo]], Tabla958[Cargos], Tabla958[Ponderador Precio],0,1,1)</f>
        <v>0</v>
      </c>
      <c r="K472" s="30">
        <f>Tabla2757[[#This Row],[Precio por hora UF]]*Tabla2757[[#This Row],[Ponderador]]</f>
        <v>0</v>
      </c>
      <c r="L472" s="40">
        <v>0</v>
      </c>
      <c r="M472" s="30">
        <f>Tabla2757[[#This Row],[Precio por hora]]*Tabla2757[[#This Row],[Cantidad horas]]</f>
        <v>0</v>
      </c>
      <c r="N472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473" spans="2:14" x14ac:dyDescent="0.3">
      <c r="B473" s="28"/>
      <c r="C473" s="20"/>
      <c r="E473" s="136"/>
      <c r="F473" s="177">
        <f>_xlfn.XLOOKUP(Tabla2757[[#This Row],[Tipo de venta]],Tabla2329[Tipo de venta],Tabla2329[Moneda final], "Error - Seleccionar Tipo de Venta", 0,1)</f>
        <v>0</v>
      </c>
      <c r="G473" s="178"/>
      <c r="H473" s="21"/>
      <c r="I473" s="30">
        <f>_xlfn.XLOOKUP(Tabla2757[[#This Row],[Puesto Encargado]], Tabla9[Puesto], Tabla9[Precio cliente],0,1,1)</f>
        <v>0</v>
      </c>
      <c r="J473" s="30">
        <f>_xlfn.XLOOKUP(Tabla2757[[#This Row],[Cargo]], Tabla958[Cargos], Tabla958[Ponderador Precio],0,1,1)</f>
        <v>0</v>
      </c>
      <c r="K473" s="30">
        <f>Tabla2757[[#This Row],[Precio por hora UF]]*Tabla2757[[#This Row],[Ponderador]]</f>
        <v>0</v>
      </c>
      <c r="L473" s="40">
        <v>0</v>
      </c>
      <c r="M473" s="30">
        <f>Tabla2757[[#This Row],[Precio por hora]]*Tabla2757[[#This Row],[Cantidad horas]]</f>
        <v>0</v>
      </c>
      <c r="N473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474" spans="2:14" x14ac:dyDescent="0.3">
      <c r="B474" s="28"/>
      <c r="C474" s="20"/>
      <c r="E474" s="136"/>
      <c r="F474" s="177">
        <f>_xlfn.XLOOKUP(Tabla2757[[#This Row],[Tipo de venta]],Tabla2329[Tipo de venta],Tabla2329[Moneda final], "Error - Seleccionar Tipo de Venta", 0,1)</f>
        <v>0</v>
      </c>
      <c r="G474" s="178"/>
      <c r="H474" s="21"/>
      <c r="I474" s="30">
        <f>_xlfn.XLOOKUP(Tabla2757[[#This Row],[Puesto Encargado]], Tabla9[Puesto], Tabla9[Precio cliente],0,1,1)</f>
        <v>0</v>
      </c>
      <c r="J474" s="30">
        <f>_xlfn.XLOOKUP(Tabla2757[[#This Row],[Cargo]], Tabla958[Cargos], Tabla958[Ponderador Precio],0,1,1)</f>
        <v>0</v>
      </c>
      <c r="K474" s="30">
        <f>Tabla2757[[#This Row],[Precio por hora UF]]*Tabla2757[[#This Row],[Ponderador]]</f>
        <v>0</v>
      </c>
      <c r="L474" s="40">
        <v>0</v>
      </c>
      <c r="M474" s="30">
        <f>Tabla2757[[#This Row],[Precio por hora]]*Tabla2757[[#This Row],[Cantidad horas]]</f>
        <v>0</v>
      </c>
      <c r="N474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475" spans="2:14" x14ac:dyDescent="0.3">
      <c r="B475" s="28"/>
      <c r="C475" s="20"/>
      <c r="E475" s="136"/>
      <c r="F475" s="177">
        <f>_xlfn.XLOOKUP(Tabla2757[[#This Row],[Tipo de venta]],Tabla2329[Tipo de venta],Tabla2329[Moneda final], "Error - Seleccionar Tipo de Venta", 0,1)</f>
        <v>0</v>
      </c>
      <c r="G475" s="178"/>
      <c r="H475" s="21"/>
      <c r="I475" s="30">
        <f>_xlfn.XLOOKUP(Tabla2757[[#This Row],[Puesto Encargado]], Tabla9[Puesto], Tabla9[Precio cliente],0,1,1)</f>
        <v>0</v>
      </c>
      <c r="J475" s="30">
        <f>_xlfn.XLOOKUP(Tabla2757[[#This Row],[Cargo]], Tabla958[Cargos], Tabla958[Ponderador Precio],0,1,1)</f>
        <v>0</v>
      </c>
      <c r="K475" s="30">
        <f>Tabla2757[[#This Row],[Precio por hora UF]]*Tabla2757[[#This Row],[Ponderador]]</f>
        <v>0</v>
      </c>
      <c r="L475" s="40">
        <v>0</v>
      </c>
      <c r="M475" s="30">
        <f>Tabla2757[[#This Row],[Precio por hora]]*Tabla2757[[#This Row],[Cantidad horas]]</f>
        <v>0</v>
      </c>
      <c r="N475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476" spans="2:14" x14ac:dyDescent="0.3">
      <c r="B476" s="28"/>
      <c r="C476" s="20"/>
      <c r="E476" s="136"/>
      <c r="F476" s="177">
        <f>_xlfn.XLOOKUP(Tabla2757[[#This Row],[Tipo de venta]],Tabla2329[Tipo de venta],Tabla2329[Moneda final], "Error - Seleccionar Tipo de Venta", 0,1)</f>
        <v>0</v>
      </c>
      <c r="G476" s="178"/>
      <c r="H476" s="21"/>
      <c r="I476" s="30">
        <f>_xlfn.XLOOKUP(Tabla2757[[#This Row],[Puesto Encargado]], Tabla9[Puesto], Tabla9[Precio cliente],0,1,1)</f>
        <v>0</v>
      </c>
      <c r="J476" s="30">
        <f>_xlfn.XLOOKUP(Tabla2757[[#This Row],[Cargo]], Tabla958[Cargos], Tabla958[Ponderador Precio],0,1,1)</f>
        <v>0</v>
      </c>
      <c r="K476" s="30">
        <f>Tabla2757[[#This Row],[Precio por hora UF]]*Tabla2757[[#This Row],[Ponderador]]</f>
        <v>0</v>
      </c>
      <c r="L476" s="40">
        <v>0</v>
      </c>
      <c r="M476" s="30">
        <f>Tabla2757[[#This Row],[Precio por hora]]*Tabla2757[[#This Row],[Cantidad horas]]</f>
        <v>0</v>
      </c>
      <c r="N476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477" spans="2:14" x14ac:dyDescent="0.3">
      <c r="B477" s="28"/>
      <c r="C477" s="20"/>
      <c r="E477" s="136"/>
      <c r="F477" s="177">
        <f>_xlfn.XLOOKUP(Tabla2757[[#This Row],[Tipo de venta]],Tabla2329[Tipo de venta],Tabla2329[Moneda final], "Error - Seleccionar Tipo de Venta", 0,1)</f>
        <v>0</v>
      </c>
      <c r="G477" s="178"/>
      <c r="H477" s="21"/>
      <c r="I477" s="30">
        <f>_xlfn.XLOOKUP(Tabla2757[[#This Row],[Puesto Encargado]], Tabla9[Puesto], Tabla9[Precio cliente],0,1,1)</f>
        <v>0</v>
      </c>
      <c r="J477" s="30">
        <f>_xlfn.XLOOKUP(Tabla2757[[#This Row],[Cargo]], Tabla958[Cargos], Tabla958[Ponderador Precio],0,1,1)</f>
        <v>0</v>
      </c>
      <c r="K477" s="30">
        <f>Tabla2757[[#This Row],[Precio por hora UF]]*Tabla2757[[#This Row],[Ponderador]]</f>
        <v>0</v>
      </c>
      <c r="L477" s="40">
        <v>0</v>
      </c>
      <c r="M477" s="30">
        <f>Tabla2757[[#This Row],[Precio por hora]]*Tabla2757[[#This Row],[Cantidad horas]]</f>
        <v>0</v>
      </c>
      <c r="N477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478" spans="2:14" x14ac:dyDescent="0.3">
      <c r="B478" s="28"/>
      <c r="C478" s="20"/>
      <c r="E478" s="136"/>
      <c r="F478" s="177">
        <f>_xlfn.XLOOKUP(Tabla2757[[#This Row],[Tipo de venta]],Tabla2329[Tipo de venta],Tabla2329[Moneda final], "Error - Seleccionar Tipo de Venta", 0,1)</f>
        <v>0</v>
      </c>
      <c r="G478" s="178"/>
      <c r="H478" s="21"/>
      <c r="I478" s="30">
        <f>_xlfn.XLOOKUP(Tabla2757[[#This Row],[Puesto Encargado]], Tabla9[Puesto], Tabla9[Precio cliente],0,1,1)</f>
        <v>0</v>
      </c>
      <c r="J478" s="30">
        <f>_xlfn.XLOOKUP(Tabla2757[[#This Row],[Cargo]], Tabla958[Cargos], Tabla958[Ponderador Precio],0,1,1)</f>
        <v>0</v>
      </c>
      <c r="K478" s="30">
        <f>Tabla2757[[#This Row],[Precio por hora UF]]*Tabla2757[[#This Row],[Ponderador]]</f>
        <v>0</v>
      </c>
      <c r="L478" s="40">
        <v>0</v>
      </c>
      <c r="M478" s="30">
        <f>Tabla2757[[#This Row],[Precio por hora]]*Tabla2757[[#This Row],[Cantidad horas]]</f>
        <v>0</v>
      </c>
      <c r="N478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479" spans="2:14" x14ac:dyDescent="0.3">
      <c r="B479" s="28"/>
      <c r="C479" s="20"/>
      <c r="E479" s="136"/>
      <c r="F479" s="177">
        <f>_xlfn.XLOOKUP(Tabla2757[[#This Row],[Tipo de venta]],Tabla2329[Tipo de venta],Tabla2329[Moneda final], "Error - Seleccionar Tipo de Venta", 0,1)</f>
        <v>0</v>
      </c>
      <c r="G479" s="178"/>
      <c r="H479" s="21"/>
      <c r="I479" s="30">
        <f>_xlfn.XLOOKUP(Tabla2757[[#This Row],[Puesto Encargado]], Tabla9[Puesto], Tabla9[Precio cliente],0,1,1)</f>
        <v>0</v>
      </c>
      <c r="J479" s="30">
        <f>_xlfn.XLOOKUP(Tabla2757[[#This Row],[Cargo]], Tabla958[Cargos], Tabla958[Ponderador Precio],0,1,1)</f>
        <v>0</v>
      </c>
      <c r="K479" s="30">
        <f>Tabla2757[[#This Row],[Precio por hora UF]]*Tabla2757[[#This Row],[Ponderador]]</f>
        <v>0</v>
      </c>
      <c r="L479" s="40">
        <v>0</v>
      </c>
      <c r="M479" s="30">
        <f>Tabla2757[[#This Row],[Precio por hora]]*Tabla2757[[#This Row],[Cantidad horas]]</f>
        <v>0</v>
      </c>
      <c r="N479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480" spans="2:14" x14ac:dyDescent="0.3">
      <c r="B480" s="28"/>
      <c r="C480" s="20"/>
      <c r="E480" s="136"/>
      <c r="F480" s="177">
        <f>_xlfn.XLOOKUP(Tabla2757[[#This Row],[Tipo de venta]],Tabla2329[Tipo de venta],Tabla2329[Moneda final], "Error - Seleccionar Tipo de Venta", 0,1)</f>
        <v>0</v>
      </c>
      <c r="G480" s="178"/>
      <c r="H480" s="21"/>
      <c r="I480" s="30">
        <f>_xlfn.XLOOKUP(Tabla2757[[#This Row],[Puesto Encargado]], Tabla9[Puesto], Tabla9[Precio cliente],0,1,1)</f>
        <v>0</v>
      </c>
      <c r="J480" s="30">
        <f>_xlfn.XLOOKUP(Tabla2757[[#This Row],[Cargo]], Tabla958[Cargos], Tabla958[Ponderador Precio],0,1,1)</f>
        <v>0</v>
      </c>
      <c r="K480" s="30">
        <f>Tabla2757[[#This Row],[Precio por hora UF]]*Tabla2757[[#This Row],[Ponderador]]</f>
        <v>0</v>
      </c>
      <c r="L480" s="40">
        <v>0</v>
      </c>
      <c r="M480" s="30">
        <f>Tabla2757[[#This Row],[Precio por hora]]*Tabla2757[[#This Row],[Cantidad horas]]</f>
        <v>0</v>
      </c>
      <c r="N480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481" spans="2:14" x14ac:dyDescent="0.3">
      <c r="B481" s="28"/>
      <c r="C481" s="20"/>
      <c r="E481" s="136"/>
      <c r="F481" s="177">
        <f>_xlfn.XLOOKUP(Tabla2757[[#This Row],[Tipo de venta]],Tabla2329[Tipo de venta],Tabla2329[Moneda final], "Error - Seleccionar Tipo de Venta", 0,1)</f>
        <v>0</v>
      </c>
      <c r="G481" s="178"/>
      <c r="H481" s="21"/>
      <c r="I481" s="30">
        <f>_xlfn.XLOOKUP(Tabla2757[[#This Row],[Puesto Encargado]], Tabla9[Puesto], Tabla9[Precio cliente],0,1,1)</f>
        <v>0</v>
      </c>
      <c r="J481" s="30">
        <f>_xlfn.XLOOKUP(Tabla2757[[#This Row],[Cargo]], Tabla958[Cargos], Tabla958[Ponderador Precio],0,1,1)</f>
        <v>0</v>
      </c>
      <c r="K481" s="30">
        <f>Tabla2757[[#This Row],[Precio por hora UF]]*Tabla2757[[#This Row],[Ponderador]]</f>
        <v>0</v>
      </c>
      <c r="L481" s="40">
        <v>0</v>
      </c>
      <c r="M481" s="30">
        <f>Tabla2757[[#This Row],[Precio por hora]]*Tabla2757[[#This Row],[Cantidad horas]]</f>
        <v>0</v>
      </c>
      <c r="N481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482" spans="2:14" x14ac:dyDescent="0.3">
      <c r="B482" s="28"/>
      <c r="C482" s="20"/>
      <c r="E482" s="136"/>
      <c r="F482" s="177">
        <f>_xlfn.XLOOKUP(Tabla2757[[#This Row],[Tipo de venta]],Tabla2329[Tipo de venta],Tabla2329[Moneda final], "Error - Seleccionar Tipo de Venta", 0,1)</f>
        <v>0</v>
      </c>
      <c r="G482" s="178"/>
      <c r="H482" s="21"/>
      <c r="I482" s="30">
        <f>_xlfn.XLOOKUP(Tabla2757[[#This Row],[Puesto Encargado]], Tabla9[Puesto], Tabla9[Precio cliente],0,1,1)</f>
        <v>0</v>
      </c>
      <c r="J482" s="30">
        <f>_xlfn.XLOOKUP(Tabla2757[[#This Row],[Cargo]], Tabla958[Cargos], Tabla958[Ponderador Precio],0,1,1)</f>
        <v>0</v>
      </c>
      <c r="K482" s="30">
        <f>Tabla2757[[#This Row],[Precio por hora UF]]*Tabla2757[[#This Row],[Ponderador]]</f>
        <v>0</v>
      </c>
      <c r="L482" s="40">
        <v>0</v>
      </c>
      <c r="M482" s="30">
        <f>Tabla2757[[#This Row],[Precio por hora]]*Tabla2757[[#This Row],[Cantidad horas]]</f>
        <v>0</v>
      </c>
      <c r="N482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483" spans="2:14" x14ac:dyDescent="0.3">
      <c r="B483" s="28"/>
      <c r="C483" s="20"/>
      <c r="E483" s="136"/>
      <c r="F483" s="177">
        <f>_xlfn.XLOOKUP(Tabla2757[[#This Row],[Tipo de venta]],Tabla2329[Tipo de venta],Tabla2329[Moneda final], "Error - Seleccionar Tipo de Venta", 0,1)</f>
        <v>0</v>
      </c>
      <c r="G483" s="178"/>
      <c r="H483" s="21"/>
      <c r="I483" s="30">
        <f>_xlfn.XLOOKUP(Tabla2757[[#This Row],[Puesto Encargado]], Tabla9[Puesto], Tabla9[Precio cliente],0,1,1)</f>
        <v>0</v>
      </c>
      <c r="J483" s="30">
        <f>_xlfn.XLOOKUP(Tabla2757[[#This Row],[Cargo]], Tabla958[Cargos], Tabla958[Ponderador Precio],0,1,1)</f>
        <v>0</v>
      </c>
      <c r="K483" s="30">
        <f>Tabla2757[[#This Row],[Precio por hora UF]]*Tabla2757[[#This Row],[Ponderador]]</f>
        <v>0</v>
      </c>
      <c r="L483" s="40">
        <v>0</v>
      </c>
      <c r="M483" s="30">
        <f>Tabla2757[[#This Row],[Precio por hora]]*Tabla2757[[#This Row],[Cantidad horas]]</f>
        <v>0</v>
      </c>
      <c r="N483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484" spans="2:14" x14ac:dyDescent="0.3">
      <c r="B484" s="28"/>
      <c r="C484" s="20"/>
      <c r="E484" s="136"/>
      <c r="F484" s="177">
        <f>_xlfn.XLOOKUP(Tabla2757[[#This Row],[Tipo de venta]],Tabla2329[Tipo de venta],Tabla2329[Moneda final], "Error - Seleccionar Tipo de Venta", 0,1)</f>
        <v>0</v>
      </c>
      <c r="G484" s="178"/>
      <c r="H484" s="21"/>
      <c r="I484" s="30">
        <f>_xlfn.XLOOKUP(Tabla2757[[#This Row],[Puesto Encargado]], Tabla9[Puesto], Tabla9[Precio cliente],0,1,1)</f>
        <v>0</v>
      </c>
      <c r="J484" s="30">
        <f>_xlfn.XLOOKUP(Tabla2757[[#This Row],[Cargo]], Tabla958[Cargos], Tabla958[Ponderador Precio],0,1,1)</f>
        <v>0</v>
      </c>
      <c r="K484" s="30">
        <f>Tabla2757[[#This Row],[Precio por hora UF]]*Tabla2757[[#This Row],[Ponderador]]</f>
        <v>0</v>
      </c>
      <c r="L484" s="40">
        <v>0</v>
      </c>
      <c r="M484" s="30">
        <f>Tabla2757[[#This Row],[Precio por hora]]*Tabla2757[[#This Row],[Cantidad horas]]</f>
        <v>0</v>
      </c>
      <c r="N484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485" spans="2:14" x14ac:dyDescent="0.3">
      <c r="B485" s="28"/>
      <c r="C485" s="20"/>
      <c r="E485" s="136"/>
      <c r="F485" s="177">
        <f>_xlfn.XLOOKUP(Tabla2757[[#This Row],[Tipo de venta]],Tabla2329[Tipo de venta],Tabla2329[Moneda final], "Error - Seleccionar Tipo de Venta", 0,1)</f>
        <v>0</v>
      </c>
      <c r="G485" s="178"/>
      <c r="H485" s="21"/>
      <c r="I485" s="30">
        <f>_xlfn.XLOOKUP(Tabla2757[[#This Row],[Puesto Encargado]], Tabla9[Puesto], Tabla9[Precio cliente],0,1,1)</f>
        <v>0</v>
      </c>
      <c r="J485" s="30">
        <f>_xlfn.XLOOKUP(Tabla2757[[#This Row],[Cargo]], Tabla958[Cargos], Tabla958[Ponderador Precio],0,1,1)</f>
        <v>0</v>
      </c>
      <c r="K485" s="30">
        <f>Tabla2757[[#This Row],[Precio por hora UF]]*Tabla2757[[#This Row],[Ponderador]]</f>
        <v>0</v>
      </c>
      <c r="L485" s="40">
        <v>0</v>
      </c>
      <c r="M485" s="30">
        <f>Tabla2757[[#This Row],[Precio por hora]]*Tabla2757[[#This Row],[Cantidad horas]]</f>
        <v>0</v>
      </c>
      <c r="N485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486" spans="2:14" x14ac:dyDescent="0.3">
      <c r="B486" s="28"/>
      <c r="C486" s="20"/>
      <c r="E486" s="136"/>
      <c r="F486" s="177">
        <f>_xlfn.XLOOKUP(Tabla2757[[#This Row],[Tipo de venta]],Tabla2329[Tipo de venta],Tabla2329[Moneda final], "Error - Seleccionar Tipo de Venta", 0,1)</f>
        <v>0</v>
      </c>
      <c r="G486" s="178"/>
      <c r="H486" s="21"/>
      <c r="I486" s="30">
        <f>_xlfn.XLOOKUP(Tabla2757[[#This Row],[Puesto Encargado]], Tabla9[Puesto], Tabla9[Precio cliente],0,1,1)</f>
        <v>0</v>
      </c>
      <c r="J486" s="30">
        <f>_xlfn.XLOOKUP(Tabla2757[[#This Row],[Cargo]], Tabla958[Cargos], Tabla958[Ponderador Precio],0,1,1)</f>
        <v>0</v>
      </c>
      <c r="K486" s="30">
        <f>Tabla2757[[#This Row],[Precio por hora UF]]*Tabla2757[[#This Row],[Ponderador]]</f>
        <v>0</v>
      </c>
      <c r="L486" s="40">
        <v>0</v>
      </c>
      <c r="M486" s="30">
        <f>Tabla2757[[#This Row],[Precio por hora]]*Tabla2757[[#This Row],[Cantidad horas]]</f>
        <v>0</v>
      </c>
      <c r="N486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487" spans="2:14" x14ac:dyDescent="0.3">
      <c r="B487" s="28"/>
      <c r="C487" s="20"/>
      <c r="E487" s="136"/>
      <c r="F487" s="177">
        <f>_xlfn.XLOOKUP(Tabla2757[[#This Row],[Tipo de venta]],Tabla2329[Tipo de venta],Tabla2329[Moneda final], "Error - Seleccionar Tipo de Venta", 0,1)</f>
        <v>0</v>
      </c>
      <c r="G487" s="178"/>
      <c r="H487" s="21"/>
      <c r="I487" s="30">
        <f>_xlfn.XLOOKUP(Tabla2757[[#This Row],[Puesto Encargado]], Tabla9[Puesto], Tabla9[Precio cliente],0,1,1)</f>
        <v>0</v>
      </c>
      <c r="J487" s="30">
        <f>_xlfn.XLOOKUP(Tabla2757[[#This Row],[Cargo]], Tabla958[Cargos], Tabla958[Ponderador Precio],0,1,1)</f>
        <v>0</v>
      </c>
      <c r="K487" s="30">
        <f>Tabla2757[[#This Row],[Precio por hora UF]]*Tabla2757[[#This Row],[Ponderador]]</f>
        <v>0</v>
      </c>
      <c r="L487" s="40">
        <v>0</v>
      </c>
      <c r="M487" s="30">
        <f>Tabla2757[[#This Row],[Precio por hora]]*Tabla2757[[#This Row],[Cantidad horas]]</f>
        <v>0</v>
      </c>
      <c r="N487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488" spans="2:14" x14ac:dyDescent="0.3">
      <c r="B488" s="28"/>
      <c r="C488" s="20"/>
      <c r="E488" s="136"/>
      <c r="F488" s="177">
        <f>_xlfn.XLOOKUP(Tabla2757[[#This Row],[Tipo de venta]],Tabla2329[Tipo de venta],Tabla2329[Moneda final], "Error - Seleccionar Tipo de Venta", 0,1)</f>
        <v>0</v>
      </c>
      <c r="G488" s="178"/>
      <c r="H488" s="21"/>
      <c r="I488" s="30">
        <f>_xlfn.XLOOKUP(Tabla2757[[#This Row],[Puesto Encargado]], Tabla9[Puesto], Tabla9[Precio cliente],0,1,1)</f>
        <v>0</v>
      </c>
      <c r="J488" s="30">
        <f>_xlfn.XLOOKUP(Tabla2757[[#This Row],[Cargo]], Tabla958[Cargos], Tabla958[Ponderador Precio],0,1,1)</f>
        <v>0</v>
      </c>
      <c r="K488" s="30">
        <f>Tabla2757[[#This Row],[Precio por hora UF]]*Tabla2757[[#This Row],[Ponderador]]</f>
        <v>0</v>
      </c>
      <c r="L488" s="40">
        <v>0</v>
      </c>
      <c r="M488" s="30">
        <f>Tabla2757[[#This Row],[Precio por hora]]*Tabla2757[[#This Row],[Cantidad horas]]</f>
        <v>0</v>
      </c>
      <c r="N488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489" spans="2:14" x14ac:dyDescent="0.3">
      <c r="B489" s="28"/>
      <c r="C489" s="20"/>
      <c r="E489" s="136"/>
      <c r="F489" s="177">
        <f>_xlfn.XLOOKUP(Tabla2757[[#This Row],[Tipo de venta]],Tabla2329[Tipo de venta],Tabla2329[Moneda final], "Error - Seleccionar Tipo de Venta", 0,1)</f>
        <v>0</v>
      </c>
      <c r="G489" s="178"/>
      <c r="H489" s="21"/>
      <c r="I489" s="30">
        <f>_xlfn.XLOOKUP(Tabla2757[[#This Row],[Puesto Encargado]], Tabla9[Puesto], Tabla9[Precio cliente],0,1,1)</f>
        <v>0</v>
      </c>
      <c r="J489" s="30">
        <f>_xlfn.XLOOKUP(Tabla2757[[#This Row],[Cargo]], Tabla958[Cargos], Tabla958[Ponderador Precio],0,1,1)</f>
        <v>0</v>
      </c>
      <c r="K489" s="30">
        <f>Tabla2757[[#This Row],[Precio por hora UF]]*Tabla2757[[#This Row],[Ponderador]]</f>
        <v>0</v>
      </c>
      <c r="L489" s="40">
        <v>0</v>
      </c>
      <c r="M489" s="30">
        <f>Tabla2757[[#This Row],[Precio por hora]]*Tabla2757[[#This Row],[Cantidad horas]]</f>
        <v>0</v>
      </c>
      <c r="N489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490" spans="2:14" x14ac:dyDescent="0.3">
      <c r="B490" s="28"/>
      <c r="C490" s="20"/>
      <c r="E490" s="136"/>
      <c r="F490" s="177">
        <f>_xlfn.XLOOKUP(Tabla2757[[#This Row],[Tipo de venta]],Tabla2329[Tipo de venta],Tabla2329[Moneda final], "Error - Seleccionar Tipo de Venta", 0,1)</f>
        <v>0</v>
      </c>
      <c r="G490" s="178"/>
      <c r="H490" s="21"/>
      <c r="I490" s="30">
        <f>_xlfn.XLOOKUP(Tabla2757[[#This Row],[Puesto Encargado]], Tabla9[Puesto], Tabla9[Precio cliente],0,1,1)</f>
        <v>0</v>
      </c>
      <c r="J490" s="30">
        <f>_xlfn.XLOOKUP(Tabla2757[[#This Row],[Cargo]], Tabla958[Cargos], Tabla958[Ponderador Precio],0,1,1)</f>
        <v>0</v>
      </c>
      <c r="K490" s="30">
        <f>Tabla2757[[#This Row],[Precio por hora UF]]*Tabla2757[[#This Row],[Ponderador]]</f>
        <v>0</v>
      </c>
      <c r="L490" s="40">
        <v>0</v>
      </c>
      <c r="M490" s="30">
        <f>Tabla2757[[#This Row],[Precio por hora]]*Tabla2757[[#This Row],[Cantidad horas]]</f>
        <v>0</v>
      </c>
      <c r="N490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491" spans="2:14" x14ac:dyDescent="0.3">
      <c r="B491" s="28"/>
      <c r="C491" s="20"/>
      <c r="E491" s="136"/>
      <c r="F491" s="177">
        <f>_xlfn.XLOOKUP(Tabla2757[[#This Row],[Tipo de venta]],Tabla2329[Tipo de venta],Tabla2329[Moneda final], "Error - Seleccionar Tipo de Venta", 0,1)</f>
        <v>0</v>
      </c>
      <c r="G491" s="178"/>
      <c r="H491" s="21"/>
      <c r="I491" s="30">
        <f>_xlfn.XLOOKUP(Tabla2757[[#This Row],[Puesto Encargado]], Tabla9[Puesto], Tabla9[Precio cliente],0,1,1)</f>
        <v>0</v>
      </c>
      <c r="J491" s="30">
        <f>_xlfn.XLOOKUP(Tabla2757[[#This Row],[Cargo]], Tabla958[Cargos], Tabla958[Ponderador Precio],0,1,1)</f>
        <v>0</v>
      </c>
      <c r="K491" s="30">
        <f>Tabla2757[[#This Row],[Precio por hora UF]]*Tabla2757[[#This Row],[Ponderador]]</f>
        <v>0</v>
      </c>
      <c r="L491" s="40">
        <v>0</v>
      </c>
      <c r="M491" s="30">
        <f>Tabla2757[[#This Row],[Precio por hora]]*Tabla2757[[#This Row],[Cantidad horas]]</f>
        <v>0</v>
      </c>
      <c r="N491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492" spans="2:14" x14ac:dyDescent="0.3">
      <c r="B492" s="28"/>
      <c r="C492" s="20"/>
      <c r="E492" s="136"/>
      <c r="F492" s="177">
        <f>_xlfn.XLOOKUP(Tabla2757[[#This Row],[Tipo de venta]],Tabla2329[Tipo de venta],Tabla2329[Moneda final], "Error - Seleccionar Tipo de Venta", 0,1)</f>
        <v>0</v>
      </c>
      <c r="G492" s="178"/>
      <c r="H492" s="21"/>
      <c r="I492" s="30">
        <f>_xlfn.XLOOKUP(Tabla2757[[#This Row],[Puesto Encargado]], Tabla9[Puesto], Tabla9[Precio cliente],0,1,1)</f>
        <v>0</v>
      </c>
      <c r="J492" s="30">
        <f>_xlfn.XLOOKUP(Tabla2757[[#This Row],[Cargo]], Tabla958[Cargos], Tabla958[Ponderador Precio],0,1,1)</f>
        <v>0</v>
      </c>
      <c r="K492" s="30">
        <f>Tabla2757[[#This Row],[Precio por hora UF]]*Tabla2757[[#This Row],[Ponderador]]</f>
        <v>0</v>
      </c>
      <c r="L492" s="40">
        <v>0</v>
      </c>
      <c r="M492" s="30">
        <f>Tabla2757[[#This Row],[Precio por hora]]*Tabla2757[[#This Row],[Cantidad horas]]</f>
        <v>0</v>
      </c>
      <c r="N492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493" spans="2:14" x14ac:dyDescent="0.3">
      <c r="B493" s="28"/>
      <c r="C493" s="20"/>
      <c r="E493" s="136"/>
      <c r="F493" s="177">
        <f>_xlfn.XLOOKUP(Tabla2757[[#This Row],[Tipo de venta]],Tabla2329[Tipo de venta],Tabla2329[Moneda final], "Error - Seleccionar Tipo de Venta", 0,1)</f>
        <v>0</v>
      </c>
      <c r="G493" s="178"/>
      <c r="H493" s="21"/>
      <c r="I493" s="30">
        <f>_xlfn.XLOOKUP(Tabla2757[[#This Row],[Puesto Encargado]], Tabla9[Puesto], Tabla9[Precio cliente],0,1,1)</f>
        <v>0</v>
      </c>
      <c r="J493" s="30">
        <f>_xlfn.XLOOKUP(Tabla2757[[#This Row],[Cargo]], Tabla958[Cargos], Tabla958[Ponderador Precio],0,1,1)</f>
        <v>0</v>
      </c>
      <c r="K493" s="30">
        <f>Tabla2757[[#This Row],[Precio por hora UF]]*Tabla2757[[#This Row],[Ponderador]]</f>
        <v>0</v>
      </c>
      <c r="L493" s="40">
        <v>0</v>
      </c>
      <c r="M493" s="30">
        <f>Tabla2757[[#This Row],[Precio por hora]]*Tabla2757[[#This Row],[Cantidad horas]]</f>
        <v>0</v>
      </c>
      <c r="N493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494" spans="2:14" x14ac:dyDescent="0.3">
      <c r="B494" s="28"/>
      <c r="C494" s="20"/>
      <c r="E494" s="136"/>
      <c r="F494" s="177">
        <f>_xlfn.XLOOKUP(Tabla2757[[#This Row],[Tipo de venta]],Tabla2329[Tipo de venta],Tabla2329[Moneda final], "Error - Seleccionar Tipo de Venta", 0,1)</f>
        <v>0</v>
      </c>
      <c r="G494" s="178"/>
      <c r="H494" s="21"/>
      <c r="I494" s="30">
        <f>_xlfn.XLOOKUP(Tabla2757[[#This Row],[Puesto Encargado]], Tabla9[Puesto], Tabla9[Precio cliente],0,1,1)</f>
        <v>0</v>
      </c>
      <c r="J494" s="30">
        <f>_xlfn.XLOOKUP(Tabla2757[[#This Row],[Cargo]], Tabla958[Cargos], Tabla958[Ponderador Precio],0,1,1)</f>
        <v>0</v>
      </c>
      <c r="K494" s="30">
        <f>Tabla2757[[#This Row],[Precio por hora UF]]*Tabla2757[[#This Row],[Ponderador]]</f>
        <v>0</v>
      </c>
      <c r="L494" s="40">
        <v>0</v>
      </c>
      <c r="M494" s="30">
        <f>Tabla2757[[#This Row],[Precio por hora]]*Tabla2757[[#This Row],[Cantidad horas]]</f>
        <v>0</v>
      </c>
      <c r="N494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495" spans="2:14" x14ac:dyDescent="0.3">
      <c r="B495" s="28"/>
      <c r="C495" s="20"/>
      <c r="E495" s="136"/>
      <c r="F495" s="177">
        <f>_xlfn.XLOOKUP(Tabla2757[[#This Row],[Tipo de venta]],Tabla2329[Tipo de venta],Tabla2329[Moneda final], "Error - Seleccionar Tipo de Venta", 0,1)</f>
        <v>0</v>
      </c>
      <c r="G495" s="178"/>
      <c r="H495" s="21"/>
      <c r="I495" s="30">
        <f>_xlfn.XLOOKUP(Tabla2757[[#This Row],[Puesto Encargado]], Tabla9[Puesto], Tabla9[Precio cliente],0,1,1)</f>
        <v>0</v>
      </c>
      <c r="J495" s="30">
        <f>_xlfn.XLOOKUP(Tabla2757[[#This Row],[Cargo]], Tabla958[Cargos], Tabla958[Ponderador Precio],0,1,1)</f>
        <v>0</v>
      </c>
      <c r="K495" s="30">
        <f>Tabla2757[[#This Row],[Precio por hora UF]]*Tabla2757[[#This Row],[Ponderador]]</f>
        <v>0</v>
      </c>
      <c r="L495" s="40">
        <v>0</v>
      </c>
      <c r="M495" s="30">
        <f>Tabla2757[[#This Row],[Precio por hora]]*Tabla2757[[#This Row],[Cantidad horas]]</f>
        <v>0</v>
      </c>
      <c r="N495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496" spans="2:14" x14ac:dyDescent="0.3">
      <c r="B496" s="28"/>
      <c r="C496" s="20"/>
      <c r="E496" s="136"/>
      <c r="F496" s="177">
        <f>_xlfn.XLOOKUP(Tabla2757[[#This Row],[Tipo de venta]],Tabla2329[Tipo de venta],Tabla2329[Moneda final], "Error - Seleccionar Tipo de Venta", 0,1)</f>
        <v>0</v>
      </c>
      <c r="G496" s="178"/>
      <c r="H496" s="21"/>
      <c r="I496" s="30">
        <f>_xlfn.XLOOKUP(Tabla2757[[#This Row],[Puesto Encargado]], Tabla9[Puesto], Tabla9[Precio cliente],0,1,1)</f>
        <v>0</v>
      </c>
      <c r="J496" s="30">
        <f>_xlfn.XLOOKUP(Tabla2757[[#This Row],[Cargo]], Tabla958[Cargos], Tabla958[Ponderador Precio],0,1,1)</f>
        <v>0</v>
      </c>
      <c r="K496" s="30">
        <f>Tabla2757[[#This Row],[Precio por hora UF]]*Tabla2757[[#This Row],[Ponderador]]</f>
        <v>0</v>
      </c>
      <c r="L496" s="40">
        <v>0</v>
      </c>
      <c r="M496" s="30">
        <f>Tabla2757[[#This Row],[Precio por hora]]*Tabla2757[[#This Row],[Cantidad horas]]</f>
        <v>0</v>
      </c>
      <c r="N496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497" spans="2:14" x14ac:dyDescent="0.3">
      <c r="B497" s="28"/>
      <c r="C497" s="20"/>
      <c r="E497" s="136"/>
      <c r="F497" s="177">
        <f>_xlfn.XLOOKUP(Tabla2757[[#This Row],[Tipo de venta]],Tabla2329[Tipo de venta],Tabla2329[Moneda final], "Error - Seleccionar Tipo de Venta", 0,1)</f>
        <v>0</v>
      </c>
      <c r="G497" s="178"/>
      <c r="H497" s="21"/>
      <c r="I497" s="30">
        <f>_xlfn.XLOOKUP(Tabla2757[[#This Row],[Puesto Encargado]], Tabla9[Puesto], Tabla9[Precio cliente],0,1,1)</f>
        <v>0</v>
      </c>
      <c r="J497" s="30">
        <f>_xlfn.XLOOKUP(Tabla2757[[#This Row],[Cargo]], Tabla958[Cargos], Tabla958[Ponderador Precio],0,1,1)</f>
        <v>0</v>
      </c>
      <c r="K497" s="30">
        <f>Tabla2757[[#This Row],[Precio por hora UF]]*Tabla2757[[#This Row],[Ponderador]]</f>
        <v>0</v>
      </c>
      <c r="L497" s="40">
        <v>0</v>
      </c>
      <c r="M497" s="30">
        <f>Tabla2757[[#This Row],[Precio por hora]]*Tabla2757[[#This Row],[Cantidad horas]]</f>
        <v>0</v>
      </c>
      <c r="N497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498" spans="2:14" x14ac:dyDescent="0.3">
      <c r="B498" s="28"/>
      <c r="C498" s="20"/>
      <c r="E498" s="136"/>
      <c r="F498" s="177">
        <f>_xlfn.XLOOKUP(Tabla2757[[#This Row],[Tipo de venta]],Tabla2329[Tipo de venta],Tabla2329[Moneda final], "Error - Seleccionar Tipo de Venta", 0,1)</f>
        <v>0</v>
      </c>
      <c r="G498" s="178"/>
      <c r="H498" s="21"/>
      <c r="I498" s="30">
        <f>_xlfn.XLOOKUP(Tabla2757[[#This Row],[Puesto Encargado]], Tabla9[Puesto], Tabla9[Precio cliente],0,1,1)</f>
        <v>0</v>
      </c>
      <c r="J498" s="30">
        <f>_xlfn.XLOOKUP(Tabla2757[[#This Row],[Cargo]], Tabla958[Cargos], Tabla958[Ponderador Precio],0,1,1)</f>
        <v>0</v>
      </c>
      <c r="K498" s="30">
        <f>Tabla2757[[#This Row],[Precio por hora UF]]*Tabla2757[[#This Row],[Ponderador]]</f>
        <v>0</v>
      </c>
      <c r="L498" s="40">
        <v>0</v>
      </c>
      <c r="M498" s="30">
        <f>Tabla2757[[#This Row],[Precio por hora]]*Tabla2757[[#This Row],[Cantidad horas]]</f>
        <v>0</v>
      </c>
      <c r="N498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499" spans="2:14" x14ac:dyDescent="0.3">
      <c r="B499" s="28"/>
      <c r="C499" s="20"/>
      <c r="E499" s="136"/>
      <c r="F499" s="177">
        <f>_xlfn.XLOOKUP(Tabla2757[[#This Row],[Tipo de venta]],Tabla2329[Tipo de venta],Tabla2329[Moneda final], "Error - Seleccionar Tipo de Venta", 0,1)</f>
        <v>0</v>
      </c>
      <c r="G499" s="178"/>
      <c r="H499" s="21"/>
      <c r="I499" s="30">
        <f>_xlfn.XLOOKUP(Tabla2757[[#This Row],[Puesto Encargado]], Tabla9[Puesto], Tabla9[Precio cliente],0,1,1)</f>
        <v>0</v>
      </c>
      <c r="J499" s="30">
        <f>_xlfn.XLOOKUP(Tabla2757[[#This Row],[Cargo]], Tabla958[Cargos], Tabla958[Ponderador Precio],0,1,1)</f>
        <v>0</v>
      </c>
      <c r="K499" s="30">
        <f>Tabla2757[[#This Row],[Precio por hora UF]]*Tabla2757[[#This Row],[Ponderador]]</f>
        <v>0</v>
      </c>
      <c r="L499" s="40">
        <v>0</v>
      </c>
      <c r="M499" s="30">
        <f>Tabla2757[[#This Row],[Precio por hora]]*Tabla2757[[#This Row],[Cantidad horas]]</f>
        <v>0</v>
      </c>
      <c r="N499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500" spans="2:14" x14ac:dyDescent="0.3">
      <c r="B500" s="28"/>
      <c r="C500" s="20"/>
      <c r="E500" s="136"/>
      <c r="F500" s="177">
        <f>_xlfn.XLOOKUP(Tabla2757[[#This Row],[Tipo de venta]],Tabla2329[Tipo de venta],Tabla2329[Moneda final], "Error - Seleccionar Tipo de Venta", 0,1)</f>
        <v>0</v>
      </c>
      <c r="G500" s="178"/>
      <c r="H500" s="21"/>
      <c r="I500" s="30">
        <f>_xlfn.XLOOKUP(Tabla2757[[#This Row],[Puesto Encargado]], Tabla9[Puesto], Tabla9[Precio cliente],0,1,1)</f>
        <v>0</v>
      </c>
      <c r="J500" s="30">
        <f>_xlfn.XLOOKUP(Tabla2757[[#This Row],[Cargo]], Tabla958[Cargos], Tabla958[Ponderador Precio],0,1,1)</f>
        <v>0</v>
      </c>
      <c r="K500" s="30">
        <f>Tabla2757[[#This Row],[Precio por hora UF]]*Tabla2757[[#This Row],[Ponderador]]</f>
        <v>0</v>
      </c>
      <c r="L500" s="40">
        <v>0</v>
      </c>
      <c r="M500" s="30">
        <f>Tabla2757[[#This Row],[Precio por hora]]*Tabla2757[[#This Row],[Cantidad horas]]</f>
        <v>0</v>
      </c>
      <c r="N500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501" spans="2:14" x14ac:dyDescent="0.3">
      <c r="B501" s="28"/>
      <c r="C501" s="20"/>
      <c r="E501" s="136"/>
      <c r="F501" s="177">
        <f>_xlfn.XLOOKUP(Tabla2757[[#This Row],[Tipo de venta]],Tabla2329[Tipo de venta],Tabla2329[Moneda final], "Error - Seleccionar Tipo de Venta", 0,1)</f>
        <v>0</v>
      </c>
      <c r="G501" s="178"/>
      <c r="H501" s="21"/>
      <c r="I501" s="30">
        <f>_xlfn.XLOOKUP(Tabla2757[[#This Row],[Puesto Encargado]], Tabla9[Puesto], Tabla9[Precio cliente],0,1,1)</f>
        <v>0</v>
      </c>
      <c r="J501" s="30">
        <f>_xlfn.XLOOKUP(Tabla2757[[#This Row],[Cargo]], Tabla958[Cargos], Tabla958[Ponderador Precio],0,1,1)</f>
        <v>0</v>
      </c>
      <c r="K501" s="30">
        <f>Tabla2757[[#This Row],[Precio por hora UF]]*Tabla2757[[#This Row],[Ponderador]]</f>
        <v>0</v>
      </c>
      <c r="L501" s="40">
        <v>0</v>
      </c>
      <c r="M501" s="30">
        <f>Tabla2757[[#This Row],[Precio por hora]]*Tabla2757[[#This Row],[Cantidad horas]]</f>
        <v>0</v>
      </c>
      <c r="N501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502" spans="2:14" x14ac:dyDescent="0.3">
      <c r="B502" s="28"/>
      <c r="C502" s="20"/>
      <c r="E502" s="136"/>
      <c r="F502" s="177">
        <f>_xlfn.XLOOKUP(Tabla2757[[#This Row],[Tipo de venta]],Tabla2329[Tipo de venta],Tabla2329[Moneda final], "Error - Seleccionar Tipo de Venta", 0,1)</f>
        <v>0</v>
      </c>
      <c r="G502" s="178"/>
      <c r="H502" s="21"/>
      <c r="I502" s="30">
        <f>_xlfn.XLOOKUP(Tabla2757[[#This Row],[Puesto Encargado]], Tabla9[Puesto], Tabla9[Precio cliente],0,1,1)</f>
        <v>0</v>
      </c>
      <c r="J502" s="30">
        <f>_xlfn.XLOOKUP(Tabla2757[[#This Row],[Cargo]], Tabla958[Cargos], Tabla958[Ponderador Precio],0,1,1)</f>
        <v>0</v>
      </c>
      <c r="K502" s="30">
        <f>Tabla2757[[#This Row],[Precio por hora UF]]*Tabla2757[[#This Row],[Ponderador]]</f>
        <v>0</v>
      </c>
      <c r="L502" s="40">
        <v>0</v>
      </c>
      <c r="M502" s="30">
        <f>Tabla2757[[#This Row],[Precio por hora]]*Tabla2757[[#This Row],[Cantidad horas]]</f>
        <v>0</v>
      </c>
      <c r="N502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503" spans="2:14" x14ac:dyDescent="0.3">
      <c r="B503" s="28"/>
      <c r="C503" s="20"/>
      <c r="E503" s="136"/>
      <c r="F503" s="177">
        <f>_xlfn.XLOOKUP(Tabla2757[[#This Row],[Tipo de venta]],Tabla2329[Tipo de venta],Tabla2329[Moneda final], "Error - Seleccionar Tipo de Venta", 0,1)</f>
        <v>0</v>
      </c>
      <c r="G503" s="178"/>
      <c r="H503" s="21"/>
      <c r="I503" s="30">
        <f>_xlfn.XLOOKUP(Tabla2757[[#This Row],[Puesto Encargado]], Tabla9[Puesto], Tabla9[Precio cliente],0,1,1)</f>
        <v>0</v>
      </c>
      <c r="J503" s="30">
        <f>_xlfn.XLOOKUP(Tabla2757[[#This Row],[Cargo]], Tabla958[Cargos], Tabla958[Ponderador Precio],0,1,1)</f>
        <v>0</v>
      </c>
      <c r="K503" s="30">
        <f>Tabla2757[[#This Row],[Precio por hora UF]]*Tabla2757[[#This Row],[Ponderador]]</f>
        <v>0</v>
      </c>
      <c r="L503" s="40">
        <v>0</v>
      </c>
      <c r="M503" s="30">
        <f>Tabla2757[[#This Row],[Precio por hora]]*Tabla2757[[#This Row],[Cantidad horas]]</f>
        <v>0</v>
      </c>
      <c r="N503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504" spans="2:14" x14ac:dyDescent="0.3">
      <c r="B504" s="28"/>
      <c r="C504" s="20"/>
      <c r="E504" s="136"/>
      <c r="F504" s="177">
        <f>_xlfn.XLOOKUP(Tabla2757[[#This Row],[Tipo de venta]],Tabla2329[Tipo de venta],Tabla2329[Moneda final], "Error - Seleccionar Tipo de Venta", 0,1)</f>
        <v>0</v>
      </c>
      <c r="G504" s="178"/>
      <c r="H504" s="21"/>
      <c r="I504" s="30">
        <f>_xlfn.XLOOKUP(Tabla2757[[#This Row],[Puesto Encargado]], Tabla9[Puesto], Tabla9[Precio cliente],0,1,1)</f>
        <v>0</v>
      </c>
      <c r="J504" s="30">
        <f>_xlfn.XLOOKUP(Tabla2757[[#This Row],[Cargo]], Tabla958[Cargos], Tabla958[Ponderador Precio],0,1,1)</f>
        <v>0</v>
      </c>
      <c r="K504" s="30">
        <f>Tabla2757[[#This Row],[Precio por hora UF]]*Tabla2757[[#This Row],[Ponderador]]</f>
        <v>0</v>
      </c>
      <c r="L504" s="40">
        <v>0</v>
      </c>
      <c r="M504" s="30">
        <f>Tabla2757[[#This Row],[Precio por hora]]*Tabla2757[[#This Row],[Cantidad horas]]</f>
        <v>0</v>
      </c>
      <c r="N504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505" spans="2:14" x14ac:dyDescent="0.3">
      <c r="B505" s="28"/>
      <c r="C505" s="20"/>
      <c r="E505" s="136"/>
      <c r="F505" s="177">
        <f>_xlfn.XLOOKUP(Tabla2757[[#This Row],[Tipo de venta]],Tabla2329[Tipo de venta],Tabla2329[Moneda final], "Error - Seleccionar Tipo de Venta", 0,1)</f>
        <v>0</v>
      </c>
      <c r="G505" s="178"/>
      <c r="H505" s="21"/>
      <c r="I505" s="30">
        <f>_xlfn.XLOOKUP(Tabla2757[[#This Row],[Puesto Encargado]], Tabla9[Puesto], Tabla9[Precio cliente],0,1,1)</f>
        <v>0</v>
      </c>
      <c r="J505" s="30">
        <f>_xlfn.XLOOKUP(Tabla2757[[#This Row],[Cargo]], Tabla958[Cargos], Tabla958[Ponderador Precio],0,1,1)</f>
        <v>0</v>
      </c>
      <c r="K505" s="30">
        <f>Tabla2757[[#This Row],[Precio por hora UF]]*Tabla2757[[#This Row],[Ponderador]]</f>
        <v>0</v>
      </c>
      <c r="L505" s="40">
        <v>0</v>
      </c>
      <c r="M505" s="30">
        <f>Tabla2757[[#This Row],[Precio por hora]]*Tabla2757[[#This Row],[Cantidad horas]]</f>
        <v>0</v>
      </c>
      <c r="N505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506" spans="2:14" x14ac:dyDescent="0.3">
      <c r="B506" s="28"/>
      <c r="C506" s="20"/>
      <c r="E506" s="136"/>
      <c r="F506" s="177">
        <f>_xlfn.XLOOKUP(Tabla2757[[#This Row],[Tipo de venta]],Tabla2329[Tipo de venta],Tabla2329[Moneda final], "Error - Seleccionar Tipo de Venta", 0,1)</f>
        <v>0</v>
      </c>
      <c r="G506" s="178"/>
      <c r="H506" s="21"/>
      <c r="I506" s="30">
        <f>_xlfn.XLOOKUP(Tabla2757[[#This Row],[Puesto Encargado]], Tabla9[Puesto], Tabla9[Precio cliente],0,1,1)</f>
        <v>0</v>
      </c>
      <c r="J506" s="30">
        <f>_xlfn.XLOOKUP(Tabla2757[[#This Row],[Cargo]], Tabla958[Cargos], Tabla958[Ponderador Precio],0,1,1)</f>
        <v>0</v>
      </c>
      <c r="K506" s="30">
        <f>Tabla2757[[#This Row],[Precio por hora UF]]*Tabla2757[[#This Row],[Ponderador]]</f>
        <v>0</v>
      </c>
      <c r="L506" s="40">
        <v>0</v>
      </c>
      <c r="M506" s="30">
        <f>Tabla2757[[#This Row],[Precio por hora]]*Tabla2757[[#This Row],[Cantidad horas]]</f>
        <v>0</v>
      </c>
      <c r="N506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507" spans="2:14" x14ac:dyDescent="0.3">
      <c r="B507" s="28"/>
      <c r="C507" s="20"/>
      <c r="E507" s="136"/>
      <c r="F507" s="177">
        <f>_xlfn.XLOOKUP(Tabla2757[[#This Row],[Tipo de venta]],Tabla2329[Tipo de venta],Tabla2329[Moneda final], "Error - Seleccionar Tipo de Venta", 0,1)</f>
        <v>0</v>
      </c>
      <c r="G507" s="178"/>
      <c r="H507" s="21"/>
      <c r="I507" s="30">
        <f>_xlfn.XLOOKUP(Tabla2757[[#This Row],[Puesto Encargado]], Tabla9[Puesto], Tabla9[Precio cliente],0,1,1)</f>
        <v>0</v>
      </c>
      <c r="J507" s="30">
        <f>_xlfn.XLOOKUP(Tabla2757[[#This Row],[Cargo]], Tabla958[Cargos], Tabla958[Ponderador Precio],0,1,1)</f>
        <v>0</v>
      </c>
      <c r="K507" s="30">
        <f>Tabla2757[[#This Row],[Precio por hora UF]]*Tabla2757[[#This Row],[Ponderador]]</f>
        <v>0</v>
      </c>
      <c r="L507" s="40">
        <v>0</v>
      </c>
      <c r="M507" s="30">
        <f>Tabla2757[[#This Row],[Precio por hora]]*Tabla2757[[#This Row],[Cantidad horas]]</f>
        <v>0</v>
      </c>
      <c r="N507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508" spans="2:14" x14ac:dyDescent="0.3">
      <c r="B508" s="28"/>
      <c r="C508" s="20"/>
      <c r="E508" s="136"/>
      <c r="F508" s="177">
        <f>_xlfn.XLOOKUP(Tabla2757[[#This Row],[Tipo de venta]],Tabla2329[Tipo de venta],Tabla2329[Moneda final], "Error - Seleccionar Tipo de Venta", 0,1)</f>
        <v>0</v>
      </c>
      <c r="G508" s="178"/>
      <c r="H508" s="21"/>
      <c r="I508" s="30">
        <f>_xlfn.XLOOKUP(Tabla2757[[#This Row],[Puesto Encargado]], Tabla9[Puesto], Tabla9[Precio cliente],0,1,1)</f>
        <v>0</v>
      </c>
      <c r="J508" s="30">
        <f>_xlfn.XLOOKUP(Tabla2757[[#This Row],[Cargo]], Tabla958[Cargos], Tabla958[Ponderador Precio],0,1,1)</f>
        <v>0</v>
      </c>
      <c r="K508" s="30">
        <f>Tabla2757[[#This Row],[Precio por hora UF]]*Tabla2757[[#This Row],[Ponderador]]</f>
        <v>0</v>
      </c>
      <c r="L508" s="40">
        <v>0</v>
      </c>
      <c r="M508" s="30">
        <f>Tabla2757[[#This Row],[Precio por hora]]*Tabla2757[[#This Row],[Cantidad horas]]</f>
        <v>0</v>
      </c>
      <c r="N508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509" spans="2:14" x14ac:dyDescent="0.3">
      <c r="B509" s="28"/>
      <c r="C509" s="20"/>
      <c r="E509" s="136"/>
      <c r="F509" s="177">
        <f>_xlfn.XLOOKUP(Tabla2757[[#This Row],[Tipo de venta]],Tabla2329[Tipo de venta],Tabla2329[Moneda final], "Error - Seleccionar Tipo de Venta", 0,1)</f>
        <v>0</v>
      </c>
      <c r="G509" s="178"/>
      <c r="H509" s="21"/>
      <c r="I509" s="30">
        <f>_xlfn.XLOOKUP(Tabla2757[[#This Row],[Puesto Encargado]], Tabla9[Puesto], Tabla9[Precio cliente],0,1,1)</f>
        <v>0</v>
      </c>
      <c r="J509" s="30">
        <f>_xlfn.XLOOKUP(Tabla2757[[#This Row],[Cargo]], Tabla958[Cargos], Tabla958[Ponderador Precio],0,1,1)</f>
        <v>0</v>
      </c>
      <c r="K509" s="30">
        <f>Tabla2757[[#This Row],[Precio por hora UF]]*Tabla2757[[#This Row],[Ponderador]]</f>
        <v>0</v>
      </c>
      <c r="L509" s="40">
        <v>0</v>
      </c>
      <c r="M509" s="30">
        <f>Tabla2757[[#This Row],[Precio por hora]]*Tabla2757[[#This Row],[Cantidad horas]]</f>
        <v>0</v>
      </c>
      <c r="N509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510" spans="2:14" x14ac:dyDescent="0.3">
      <c r="B510" s="28"/>
      <c r="C510" s="20"/>
      <c r="E510" s="136"/>
      <c r="F510" s="177">
        <f>_xlfn.XLOOKUP(Tabla2757[[#This Row],[Tipo de venta]],Tabla2329[Tipo de venta],Tabla2329[Moneda final], "Error - Seleccionar Tipo de Venta", 0,1)</f>
        <v>0</v>
      </c>
      <c r="G510" s="178"/>
      <c r="H510" s="21"/>
      <c r="I510" s="30">
        <f>_xlfn.XLOOKUP(Tabla2757[[#This Row],[Puesto Encargado]], Tabla9[Puesto], Tabla9[Precio cliente],0,1,1)</f>
        <v>0</v>
      </c>
      <c r="J510" s="30">
        <f>_xlfn.XLOOKUP(Tabla2757[[#This Row],[Cargo]], Tabla958[Cargos], Tabla958[Ponderador Precio],0,1,1)</f>
        <v>0</v>
      </c>
      <c r="K510" s="30">
        <f>Tabla2757[[#This Row],[Precio por hora UF]]*Tabla2757[[#This Row],[Ponderador]]</f>
        <v>0</v>
      </c>
      <c r="L510" s="40">
        <v>0</v>
      </c>
      <c r="M510" s="30">
        <f>Tabla2757[[#This Row],[Precio por hora]]*Tabla2757[[#This Row],[Cantidad horas]]</f>
        <v>0</v>
      </c>
      <c r="N510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511" spans="2:14" x14ac:dyDescent="0.3">
      <c r="B511" s="28"/>
      <c r="C511" s="20"/>
      <c r="E511" s="136"/>
      <c r="F511" s="177">
        <f>_xlfn.XLOOKUP(Tabla2757[[#This Row],[Tipo de venta]],Tabla2329[Tipo de venta],Tabla2329[Moneda final], "Error - Seleccionar Tipo de Venta", 0,1)</f>
        <v>0</v>
      </c>
      <c r="G511" s="178"/>
      <c r="H511" s="21"/>
      <c r="I511" s="30">
        <f>_xlfn.XLOOKUP(Tabla2757[[#This Row],[Puesto Encargado]], Tabla9[Puesto], Tabla9[Precio cliente],0,1,1)</f>
        <v>0</v>
      </c>
      <c r="J511" s="30">
        <f>_xlfn.XLOOKUP(Tabla2757[[#This Row],[Cargo]], Tabla958[Cargos], Tabla958[Ponderador Precio],0,1,1)</f>
        <v>0</v>
      </c>
      <c r="K511" s="30">
        <f>Tabla2757[[#This Row],[Precio por hora UF]]*Tabla2757[[#This Row],[Ponderador]]</f>
        <v>0</v>
      </c>
      <c r="L511" s="40">
        <v>0</v>
      </c>
      <c r="M511" s="30">
        <f>Tabla2757[[#This Row],[Precio por hora]]*Tabla2757[[#This Row],[Cantidad horas]]</f>
        <v>0</v>
      </c>
      <c r="N511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512" spans="2:14" x14ac:dyDescent="0.3">
      <c r="B512" s="28"/>
      <c r="C512" s="20"/>
      <c r="E512" s="136"/>
      <c r="F512" s="177">
        <f>_xlfn.XLOOKUP(Tabla2757[[#This Row],[Tipo de venta]],Tabla2329[Tipo de venta],Tabla2329[Moneda final], "Error - Seleccionar Tipo de Venta", 0,1)</f>
        <v>0</v>
      </c>
      <c r="G512" s="178"/>
      <c r="H512" s="21"/>
      <c r="I512" s="30">
        <f>_xlfn.XLOOKUP(Tabla2757[[#This Row],[Puesto Encargado]], Tabla9[Puesto], Tabla9[Precio cliente],0,1,1)</f>
        <v>0</v>
      </c>
      <c r="J512" s="30">
        <f>_xlfn.XLOOKUP(Tabla2757[[#This Row],[Cargo]], Tabla958[Cargos], Tabla958[Ponderador Precio],0,1,1)</f>
        <v>0</v>
      </c>
      <c r="K512" s="30">
        <f>Tabla2757[[#This Row],[Precio por hora UF]]*Tabla2757[[#This Row],[Ponderador]]</f>
        <v>0</v>
      </c>
      <c r="L512" s="40">
        <v>0</v>
      </c>
      <c r="M512" s="30">
        <f>Tabla2757[[#This Row],[Precio por hora]]*Tabla2757[[#This Row],[Cantidad horas]]</f>
        <v>0</v>
      </c>
      <c r="N512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513" spans="2:14" x14ac:dyDescent="0.3">
      <c r="B513" s="28"/>
      <c r="C513" s="20"/>
      <c r="E513" s="136"/>
      <c r="F513" s="177">
        <f>_xlfn.XLOOKUP(Tabla2757[[#This Row],[Tipo de venta]],Tabla2329[Tipo de venta],Tabla2329[Moneda final], "Error - Seleccionar Tipo de Venta", 0,1)</f>
        <v>0</v>
      </c>
      <c r="G513" s="178"/>
      <c r="H513" s="21"/>
      <c r="I513" s="30">
        <f>_xlfn.XLOOKUP(Tabla2757[[#This Row],[Puesto Encargado]], Tabla9[Puesto], Tabla9[Precio cliente],0,1,1)</f>
        <v>0</v>
      </c>
      <c r="J513" s="30">
        <f>_xlfn.XLOOKUP(Tabla2757[[#This Row],[Cargo]], Tabla958[Cargos], Tabla958[Ponderador Precio],0,1,1)</f>
        <v>0</v>
      </c>
      <c r="K513" s="30">
        <f>Tabla2757[[#This Row],[Precio por hora UF]]*Tabla2757[[#This Row],[Ponderador]]</f>
        <v>0</v>
      </c>
      <c r="L513" s="40">
        <v>0</v>
      </c>
      <c r="M513" s="30">
        <f>Tabla2757[[#This Row],[Precio por hora]]*Tabla2757[[#This Row],[Cantidad horas]]</f>
        <v>0</v>
      </c>
      <c r="N513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514" spans="2:14" x14ac:dyDescent="0.3">
      <c r="B514" s="28"/>
      <c r="C514" s="20"/>
      <c r="E514" s="136"/>
      <c r="F514" s="177">
        <f>_xlfn.XLOOKUP(Tabla2757[[#This Row],[Tipo de venta]],Tabla2329[Tipo de venta],Tabla2329[Moneda final], "Error - Seleccionar Tipo de Venta", 0,1)</f>
        <v>0</v>
      </c>
      <c r="G514" s="178"/>
      <c r="H514" s="21"/>
      <c r="I514" s="30">
        <f>_xlfn.XLOOKUP(Tabla2757[[#This Row],[Puesto Encargado]], Tabla9[Puesto], Tabla9[Precio cliente],0,1,1)</f>
        <v>0</v>
      </c>
      <c r="J514" s="30">
        <f>_xlfn.XLOOKUP(Tabla2757[[#This Row],[Cargo]], Tabla958[Cargos], Tabla958[Ponderador Precio],0,1,1)</f>
        <v>0</v>
      </c>
      <c r="K514" s="30">
        <f>Tabla2757[[#This Row],[Precio por hora UF]]*Tabla2757[[#This Row],[Ponderador]]</f>
        <v>0</v>
      </c>
      <c r="L514" s="40">
        <v>0</v>
      </c>
      <c r="M514" s="30">
        <f>Tabla2757[[#This Row],[Precio por hora]]*Tabla2757[[#This Row],[Cantidad horas]]</f>
        <v>0</v>
      </c>
      <c r="N514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515" spans="2:14" x14ac:dyDescent="0.3">
      <c r="B515" s="28"/>
      <c r="C515" s="20"/>
      <c r="E515" s="136"/>
      <c r="F515" s="177">
        <f>_xlfn.XLOOKUP(Tabla2757[[#This Row],[Tipo de venta]],Tabla2329[Tipo de venta],Tabla2329[Moneda final], "Error - Seleccionar Tipo de Venta", 0,1)</f>
        <v>0</v>
      </c>
      <c r="G515" s="178"/>
      <c r="H515" s="21"/>
      <c r="I515" s="30">
        <f>_xlfn.XLOOKUP(Tabla2757[[#This Row],[Puesto Encargado]], Tabla9[Puesto], Tabla9[Precio cliente],0,1,1)</f>
        <v>0</v>
      </c>
      <c r="J515" s="30">
        <f>_xlfn.XLOOKUP(Tabla2757[[#This Row],[Cargo]], Tabla958[Cargos], Tabla958[Ponderador Precio],0,1,1)</f>
        <v>0</v>
      </c>
      <c r="K515" s="30">
        <f>Tabla2757[[#This Row],[Precio por hora UF]]*Tabla2757[[#This Row],[Ponderador]]</f>
        <v>0</v>
      </c>
      <c r="L515" s="40">
        <v>0</v>
      </c>
      <c r="M515" s="30">
        <f>Tabla2757[[#This Row],[Precio por hora]]*Tabla2757[[#This Row],[Cantidad horas]]</f>
        <v>0</v>
      </c>
      <c r="N515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516" spans="2:14" x14ac:dyDescent="0.3">
      <c r="B516" s="28"/>
      <c r="C516" s="20"/>
      <c r="E516" s="136"/>
      <c r="F516" s="177">
        <f>_xlfn.XLOOKUP(Tabla2757[[#This Row],[Tipo de venta]],Tabla2329[Tipo de venta],Tabla2329[Moneda final], "Error - Seleccionar Tipo de Venta", 0,1)</f>
        <v>0</v>
      </c>
      <c r="G516" s="178"/>
      <c r="H516" s="21"/>
      <c r="I516" s="30">
        <f>_xlfn.XLOOKUP(Tabla2757[[#This Row],[Puesto Encargado]], Tabla9[Puesto], Tabla9[Precio cliente],0,1,1)</f>
        <v>0</v>
      </c>
      <c r="J516" s="30">
        <f>_xlfn.XLOOKUP(Tabla2757[[#This Row],[Cargo]], Tabla958[Cargos], Tabla958[Ponderador Precio],0,1,1)</f>
        <v>0</v>
      </c>
      <c r="K516" s="30">
        <f>Tabla2757[[#This Row],[Precio por hora UF]]*Tabla2757[[#This Row],[Ponderador]]</f>
        <v>0</v>
      </c>
      <c r="L516" s="40">
        <v>0</v>
      </c>
      <c r="M516" s="30">
        <f>Tabla2757[[#This Row],[Precio por hora]]*Tabla2757[[#This Row],[Cantidad horas]]</f>
        <v>0</v>
      </c>
      <c r="N516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517" spans="2:14" x14ac:dyDescent="0.3">
      <c r="B517" s="28"/>
      <c r="C517" s="20"/>
      <c r="E517" s="136"/>
      <c r="F517" s="177">
        <f>_xlfn.XLOOKUP(Tabla2757[[#This Row],[Tipo de venta]],Tabla2329[Tipo de venta],Tabla2329[Moneda final], "Error - Seleccionar Tipo de Venta", 0,1)</f>
        <v>0</v>
      </c>
      <c r="G517" s="178"/>
      <c r="H517" s="21"/>
      <c r="I517" s="30">
        <f>_xlfn.XLOOKUP(Tabla2757[[#This Row],[Puesto Encargado]], Tabla9[Puesto], Tabla9[Precio cliente],0,1,1)</f>
        <v>0</v>
      </c>
      <c r="J517" s="30">
        <f>_xlfn.XLOOKUP(Tabla2757[[#This Row],[Cargo]], Tabla958[Cargos], Tabla958[Ponderador Precio],0,1,1)</f>
        <v>0</v>
      </c>
      <c r="K517" s="30">
        <f>Tabla2757[[#This Row],[Precio por hora UF]]*Tabla2757[[#This Row],[Ponderador]]</f>
        <v>0</v>
      </c>
      <c r="L517" s="40">
        <v>0</v>
      </c>
      <c r="M517" s="30">
        <f>Tabla2757[[#This Row],[Precio por hora]]*Tabla2757[[#This Row],[Cantidad horas]]</f>
        <v>0</v>
      </c>
      <c r="N517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518" spans="2:14" x14ac:dyDescent="0.3">
      <c r="B518" s="28"/>
      <c r="C518" s="20"/>
      <c r="E518" s="136"/>
      <c r="F518" s="177">
        <f>_xlfn.XLOOKUP(Tabla2757[[#This Row],[Tipo de venta]],Tabla2329[Tipo de venta],Tabla2329[Moneda final], "Error - Seleccionar Tipo de Venta", 0,1)</f>
        <v>0</v>
      </c>
      <c r="G518" s="178"/>
      <c r="H518" s="21"/>
      <c r="I518" s="30">
        <f>_xlfn.XLOOKUP(Tabla2757[[#This Row],[Puesto Encargado]], Tabla9[Puesto], Tabla9[Precio cliente],0,1,1)</f>
        <v>0</v>
      </c>
      <c r="J518" s="30">
        <f>_xlfn.XLOOKUP(Tabla2757[[#This Row],[Cargo]], Tabla958[Cargos], Tabla958[Ponderador Precio],0,1,1)</f>
        <v>0</v>
      </c>
      <c r="K518" s="30">
        <f>Tabla2757[[#This Row],[Precio por hora UF]]*Tabla2757[[#This Row],[Ponderador]]</f>
        <v>0</v>
      </c>
      <c r="L518" s="40">
        <v>0</v>
      </c>
      <c r="M518" s="30">
        <f>Tabla2757[[#This Row],[Precio por hora]]*Tabla2757[[#This Row],[Cantidad horas]]</f>
        <v>0</v>
      </c>
      <c r="N518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519" spans="2:14" x14ac:dyDescent="0.3">
      <c r="B519" s="28"/>
      <c r="C519" s="20"/>
      <c r="E519" s="136"/>
      <c r="F519" s="177">
        <f>_xlfn.XLOOKUP(Tabla2757[[#This Row],[Tipo de venta]],Tabla2329[Tipo de venta],Tabla2329[Moneda final], "Error - Seleccionar Tipo de Venta", 0,1)</f>
        <v>0</v>
      </c>
      <c r="G519" s="178"/>
      <c r="H519" s="21"/>
      <c r="I519" s="30">
        <f>_xlfn.XLOOKUP(Tabla2757[[#This Row],[Puesto Encargado]], Tabla9[Puesto], Tabla9[Precio cliente],0,1,1)</f>
        <v>0</v>
      </c>
      <c r="J519" s="30">
        <f>_xlfn.XLOOKUP(Tabla2757[[#This Row],[Cargo]], Tabla958[Cargos], Tabla958[Ponderador Precio],0,1,1)</f>
        <v>0</v>
      </c>
      <c r="K519" s="30">
        <f>Tabla2757[[#This Row],[Precio por hora UF]]*Tabla2757[[#This Row],[Ponderador]]</f>
        <v>0</v>
      </c>
      <c r="L519" s="40">
        <v>0</v>
      </c>
      <c r="M519" s="30">
        <f>Tabla2757[[#This Row],[Precio por hora]]*Tabla2757[[#This Row],[Cantidad horas]]</f>
        <v>0</v>
      </c>
      <c r="N519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520" spans="2:14" x14ac:dyDescent="0.3">
      <c r="B520" s="28"/>
      <c r="C520" s="20"/>
      <c r="E520" s="136"/>
      <c r="F520" s="177">
        <f>_xlfn.XLOOKUP(Tabla2757[[#This Row],[Tipo de venta]],Tabla2329[Tipo de venta],Tabla2329[Moneda final], "Error - Seleccionar Tipo de Venta", 0,1)</f>
        <v>0</v>
      </c>
      <c r="G520" s="178"/>
      <c r="H520" s="21"/>
      <c r="I520" s="30">
        <f>_xlfn.XLOOKUP(Tabla2757[[#This Row],[Puesto Encargado]], Tabla9[Puesto], Tabla9[Precio cliente],0,1,1)</f>
        <v>0</v>
      </c>
      <c r="J520" s="30">
        <f>_xlfn.XLOOKUP(Tabla2757[[#This Row],[Cargo]], Tabla958[Cargos], Tabla958[Ponderador Precio],0,1,1)</f>
        <v>0</v>
      </c>
      <c r="K520" s="30">
        <f>Tabla2757[[#This Row],[Precio por hora UF]]*Tabla2757[[#This Row],[Ponderador]]</f>
        <v>0</v>
      </c>
      <c r="L520" s="40">
        <v>0</v>
      </c>
      <c r="M520" s="30">
        <f>Tabla2757[[#This Row],[Precio por hora]]*Tabla2757[[#This Row],[Cantidad horas]]</f>
        <v>0</v>
      </c>
      <c r="N520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521" spans="2:14" x14ac:dyDescent="0.3">
      <c r="B521" s="28"/>
      <c r="C521" s="20"/>
      <c r="E521" s="136"/>
      <c r="F521" s="177">
        <f>_xlfn.XLOOKUP(Tabla2757[[#This Row],[Tipo de venta]],Tabla2329[Tipo de venta],Tabla2329[Moneda final], "Error - Seleccionar Tipo de Venta", 0,1)</f>
        <v>0</v>
      </c>
      <c r="G521" s="178"/>
      <c r="H521" s="21"/>
      <c r="I521" s="30">
        <f>_xlfn.XLOOKUP(Tabla2757[[#This Row],[Puesto Encargado]], Tabla9[Puesto], Tabla9[Precio cliente],0,1,1)</f>
        <v>0</v>
      </c>
      <c r="J521" s="30">
        <f>_xlfn.XLOOKUP(Tabla2757[[#This Row],[Cargo]], Tabla958[Cargos], Tabla958[Ponderador Precio],0,1,1)</f>
        <v>0</v>
      </c>
      <c r="K521" s="30">
        <f>Tabla2757[[#This Row],[Precio por hora UF]]*Tabla2757[[#This Row],[Ponderador]]</f>
        <v>0</v>
      </c>
      <c r="L521" s="40">
        <v>0</v>
      </c>
      <c r="M521" s="30">
        <f>Tabla2757[[#This Row],[Precio por hora]]*Tabla2757[[#This Row],[Cantidad horas]]</f>
        <v>0</v>
      </c>
      <c r="N521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522" spans="2:14" x14ac:dyDescent="0.3">
      <c r="B522" s="28"/>
      <c r="C522" s="20"/>
      <c r="E522" s="136"/>
      <c r="F522" s="177">
        <f>_xlfn.XLOOKUP(Tabla2757[[#This Row],[Tipo de venta]],Tabla2329[Tipo de venta],Tabla2329[Moneda final], "Error - Seleccionar Tipo de Venta", 0,1)</f>
        <v>0</v>
      </c>
      <c r="G522" s="178"/>
      <c r="H522" s="21"/>
      <c r="I522" s="30">
        <f>_xlfn.XLOOKUP(Tabla2757[[#This Row],[Puesto Encargado]], Tabla9[Puesto], Tabla9[Precio cliente],0,1,1)</f>
        <v>0</v>
      </c>
      <c r="J522" s="30">
        <f>_xlfn.XLOOKUP(Tabla2757[[#This Row],[Cargo]], Tabla958[Cargos], Tabla958[Ponderador Precio],0,1,1)</f>
        <v>0</v>
      </c>
      <c r="K522" s="30">
        <f>Tabla2757[[#This Row],[Precio por hora UF]]*Tabla2757[[#This Row],[Ponderador]]</f>
        <v>0</v>
      </c>
      <c r="L522" s="40">
        <v>0</v>
      </c>
      <c r="M522" s="30">
        <f>Tabla2757[[#This Row],[Precio por hora]]*Tabla2757[[#This Row],[Cantidad horas]]</f>
        <v>0</v>
      </c>
      <c r="N522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523" spans="2:14" x14ac:dyDescent="0.3">
      <c r="B523" s="28"/>
      <c r="C523" s="20"/>
      <c r="E523" s="136"/>
      <c r="F523" s="177">
        <f>_xlfn.XLOOKUP(Tabla2757[[#This Row],[Tipo de venta]],Tabla2329[Tipo de venta],Tabla2329[Moneda final], "Error - Seleccionar Tipo de Venta", 0,1)</f>
        <v>0</v>
      </c>
      <c r="G523" s="178"/>
      <c r="H523" s="21"/>
      <c r="I523" s="30">
        <f>_xlfn.XLOOKUP(Tabla2757[[#This Row],[Puesto Encargado]], Tabla9[Puesto], Tabla9[Precio cliente],0,1,1)</f>
        <v>0</v>
      </c>
      <c r="J523" s="30">
        <f>_xlfn.XLOOKUP(Tabla2757[[#This Row],[Cargo]], Tabla958[Cargos], Tabla958[Ponderador Precio],0,1,1)</f>
        <v>0</v>
      </c>
      <c r="K523" s="30">
        <f>Tabla2757[[#This Row],[Precio por hora UF]]*Tabla2757[[#This Row],[Ponderador]]</f>
        <v>0</v>
      </c>
      <c r="L523" s="40">
        <v>0</v>
      </c>
      <c r="M523" s="30">
        <f>Tabla2757[[#This Row],[Precio por hora]]*Tabla2757[[#This Row],[Cantidad horas]]</f>
        <v>0</v>
      </c>
      <c r="N523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524" spans="2:14" x14ac:dyDescent="0.3">
      <c r="B524" s="28"/>
      <c r="C524" s="20"/>
      <c r="E524" s="136"/>
      <c r="F524" s="177">
        <f>_xlfn.XLOOKUP(Tabla2757[[#This Row],[Tipo de venta]],Tabla2329[Tipo de venta],Tabla2329[Moneda final], "Error - Seleccionar Tipo de Venta", 0,1)</f>
        <v>0</v>
      </c>
      <c r="G524" s="178"/>
      <c r="H524" s="21"/>
      <c r="I524" s="30">
        <f>_xlfn.XLOOKUP(Tabla2757[[#This Row],[Puesto Encargado]], Tabla9[Puesto], Tabla9[Precio cliente],0,1,1)</f>
        <v>0</v>
      </c>
      <c r="J524" s="30">
        <f>_xlfn.XLOOKUP(Tabla2757[[#This Row],[Cargo]], Tabla958[Cargos], Tabla958[Ponderador Precio],0,1,1)</f>
        <v>0</v>
      </c>
      <c r="K524" s="30">
        <f>Tabla2757[[#This Row],[Precio por hora UF]]*Tabla2757[[#This Row],[Ponderador]]</f>
        <v>0</v>
      </c>
      <c r="L524" s="40">
        <v>0</v>
      </c>
      <c r="M524" s="30">
        <f>Tabla2757[[#This Row],[Precio por hora]]*Tabla2757[[#This Row],[Cantidad horas]]</f>
        <v>0</v>
      </c>
      <c r="N524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525" spans="2:14" x14ac:dyDescent="0.3">
      <c r="B525" s="28"/>
      <c r="C525" s="20"/>
      <c r="E525" s="136"/>
      <c r="F525" s="177">
        <f>_xlfn.XLOOKUP(Tabla2757[[#This Row],[Tipo de venta]],Tabla2329[Tipo de venta],Tabla2329[Moneda final], "Error - Seleccionar Tipo de Venta", 0,1)</f>
        <v>0</v>
      </c>
      <c r="G525" s="178"/>
      <c r="H525" s="21"/>
      <c r="I525" s="30">
        <f>_xlfn.XLOOKUP(Tabla2757[[#This Row],[Puesto Encargado]], Tabla9[Puesto], Tabla9[Precio cliente],0,1,1)</f>
        <v>0</v>
      </c>
      <c r="J525" s="30">
        <f>_xlfn.XLOOKUP(Tabla2757[[#This Row],[Cargo]], Tabla958[Cargos], Tabla958[Ponderador Precio],0,1,1)</f>
        <v>0</v>
      </c>
      <c r="K525" s="30">
        <f>Tabla2757[[#This Row],[Precio por hora UF]]*Tabla2757[[#This Row],[Ponderador]]</f>
        <v>0</v>
      </c>
      <c r="L525" s="40">
        <v>0</v>
      </c>
      <c r="M525" s="30">
        <f>Tabla2757[[#This Row],[Precio por hora]]*Tabla2757[[#This Row],[Cantidad horas]]</f>
        <v>0</v>
      </c>
      <c r="N525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526" spans="2:14" x14ac:dyDescent="0.3">
      <c r="B526" s="28"/>
      <c r="C526" s="20"/>
      <c r="E526" s="136"/>
      <c r="F526" s="177">
        <f>_xlfn.XLOOKUP(Tabla2757[[#This Row],[Tipo de venta]],Tabla2329[Tipo de venta],Tabla2329[Moneda final], "Error - Seleccionar Tipo de Venta", 0,1)</f>
        <v>0</v>
      </c>
      <c r="G526" s="178"/>
      <c r="H526" s="21"/>
      <c r="I526" s="30">
        <f>_xlfn.XLOOKUP(Tabla2757[[#This Row],[Puesto Encargado]], Tabla9[Puesto], Tabla9[Precio cliente],0,1,1)</f>
        <v>0</v>
      </c>
      <c r="J526" s="30">
        <f>_xlfn.XLOOKUP(Tabla2757[[#This Row],[Cargo]], Tabla958[Cargos], Tabla958[Ponderador Precio],0,1,1)</f>
        <v>0</v>
      </c>
      <c r="K526" s="30">
        <f>Tabla2757[[#This Row],[Precio por hora UF]]*Tabla2757[[#This Row],[Ponderador]]</f>
        <v>0</v>
      </c>
      <c r="L526" s="40">
        <v>0</v>
      </c>
      <c r="M526" s="30">
        <f>Tabla2757[[#This Row],[Precio por hora]]*Tabla2757[[#This Row],[Cantidad horas]]</f>
        <v>0</v>
      </c>
      <c r="N526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527" spans="2:14" x14ac:dyDescent="0.3">
      <c r="B527" s="28"/>
      <c r="C527" s="20"/>
      <c r="E527" s="136"/>
      <c r="F527" s="177">
        <f>_xlfn.XLOOKUP(Tabla2757[[#This Row],[Tipo de venta]],Tabla2329[Tipo de venta],Tabla2329[Moneda final], "Error - Seleccionar Tipo de Venta", 0,1)</f>
        <v>0</v>
      </c>
      <c r="G527" s="178"/>
      <c r="H527" s="21"/>
      <c r="I527" s="30">
        <f>_xlfn.XLOOKUP(Tabla2757[[#This Row],[Puesto Encargado]], Tabla9[Puesto], Tabla9[Precio cliente],0,1,1)</f>
        <v>0</v>
      </c>
      <c r="J527" s="30">
        <f>_xlfn.XLOOKUP(Tabla2757[[#This Row],[Cargo]], Tabla958[Cargos], Tabla958[Ponderador Precio],0,1,1)</f>
        <v>0</v>
      </c>
      <c r="K527" s="30">
        <f>Tabla2757[[#This Row],[Precio por hora UF]]*Tabla2757[[#This Row],[Ponderador]]</f>
        <v>0</v>
      </c>
      <c r="L527" s="40">
        <v>0</v>
      </c>
      <c r="M527" s="30">
        <f>Tabla2757[[#This Row],[Precio por hora]]*Tabla2757[[#This Row],[Cantidad horas]]</f>
        <v>0</v>
      </c>
      <c r="N527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528" spans="2:14" x14ac:dyDescent="0.3">
      <c r="B528" s="28"/>
      <c r="C528" s="20"/>
      <c r="E528" s="136"/>
      <c r="F528" s="177">
        <f>_xlfn.XLOOKUP(Tabla2757[[#This Row],[Tipo de venta]],Tabla2329[Tipo de venta],Tabla2329[Moneda final], "Error - Seleccionar Tipo de Venta", 0,1)</f>
        <v>0</v>
      </c>
      <c r="G528" s="178"/>
      <c r="H528" s="21"/>
      <c r="I528" s="30">
        <f>_xlfn.XLOOKUP(Tabla2757[[#This Row],[Puesto Encargado]], Tabla9[Puesto], Tabla9[Precio cliente],0,1,1)</f>
        <v>0</v>
      </c>
      <c r="J528" s="30">
        <f>_xlfn.XLOOKUP(Tabla2757[[#This Row],[Cargo]], Tabla958[Cargos], Tabla958[Ponderador Precio],0,1,1)</f>
        <v>0</v>
      </c>
      <c r="K528" s="30">
        <f>Tabla2757[[#This Row],[Precio por hora UF]]*Tabla2757[[#This Row],[Ponderador]]</f>
        <v>0</v>
      </c>
      <c r="L528" s="40">
        <v>0</v>
      </c>
      <c r="M528" s="30">
        <f>Tabla2757[[#This Row],[Precio por hora]]*Tabla2757[[#This Row],[Cantidad horas]]</f>
        <v>0</v>
      </c>
      <c r="N528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529" spans="2:14" x14ac:dyDescent="0.3">
      <c r="B529" s="28"/>
      <c r="C529" s="20"/>
      <c r="E529" s="136"/>
      <c r="F529" s="177">
        <f>_xlfn.XLOOKUP(Tabla2757[[#This Row],[Tipo de venta]],Tabla2329[Tipo de venta],Tabla2329[Moneda final], "Error - Seleccionar Tipo de Venta", 0,1)</f>
        <v>0</v>
      </c>
      <c r="G529" s="178"/>
      <c r="H529" s="21"/>
      <c r="I529" s="30">
        <f>_xlfn.XLOOKUP(Tabla2757[[#This Row],[Puesto Encargado]], Tabla9[Puesto], Tabla9[Precio cliente],0,1,1)</f>
        <v>0</v>
      </c>
      <c r="J529" s="30">
        <f>_xlfn.XLOOKUP(Tabla2757[[#This Row],[Cargo]], Tabla958[Cargos], Tabla958[Ponderador Precio],0,1,1)</f>
        <v>0</v>
      </c>
      <c r="K529" s="30">
        <f>Tabla2757[[#This Row],[Precio por hora UF]]*Tabla2757[[#This Row],[Ponderador]]</f>
        <v>0</v>
      </c>
      <c r="L529" s="40">
        <v>0</v>
      </c>
      <c r="M529" s="30">
        <f>Tabla2757[[#This Row],[Precio por hora]]*Tabla2757[[#This Row],[Cantidad horas]]</f>
        <v>0</v>
      </c>
      <c r="N529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530" spans="2:14" x14ac:dyDescent="0.3">
      <c r="B530" s="28"/>
      <c r="C530" s="20"/>
      <c r="E530" s="136"/>
      <c r="F530" s="177">
        <f>_xlfn.XLOOKUP(Tabla2757[[#This Row],[Tipo de venta]],Tabla2329[Tipo de venta],Tabla2329[Moneda final], "Error - Seleccionar Tipo de Venta", 0,1)</f>
        <v>0</v>
      </c>
      <c r="G530" s="178"/>
      <c r="H530" s="21"/>
      <c r="I530" s="30">
        <f>_xlfn.XLOOKUP(Tabla2757[[#This Row],[Puesto Encargado]], Tabla9[Puesto], Tabla9[Precio cliente],0,1,1)</f>
        <v>0</v>
      </c>
      <c r="J530" s="30">
        <f>_xlfn.XLOOKUP(Tabla2757[[#This Row],[Cargo]], Tabla958[Cargos], Tabla958[Ponderador Precio],0,1,1)</f>
        <v>0</v>
      </c>
      <c r="K530" s="30">
        <f>Tabla2757[[#This Row],[Precio por hora UF]]*Tabla2757[[#This Row],[Ponderador]]</f>
        <v>0</v>
      </c>
      <c r="L530" s="40">
        <v>0</v>
      </c>
      <c r="M530" s="30">
        <f>Tabla2757[[#This Row],[Precio por hora]]*Tabla2757[[#This Row],[Cantidad horas]]</f>
        <v>0</v>
      </c>
      <c r="N530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531" spans="2:14" x14ac:dyDescent="0.3">
      <c r="B531" s="28"/>
      <c r="C531" s="20"/>
      <c r="E531" s="136"/>
      <c r="F531" s="177">
        <f>_xlfn.XLOOKUP(Tabla2757[[#This Row],[Tipo de venta]],Tabla2329[Tipo de venta],Tabla2329[Moneda final], "Error - Seleccionar Tipo de Venta", 0,1)</f>
        <v>0</v>
      </c>
      <c r="G531" s="178"/>
      <c r="H531" s="21"/>
      <c r="I531" s="30">
        <f>_xlfn.XLOOKUP(Tabla2757[[#This Row],[Puesto Encargado]], Tabla9[Puesto], Tabla9[Precio cliente],0,1,1)</f>
        <v>0</v>
      </c>
      <c r="J531" s="30">
        <f>_xlfn.XLOOKUP(Tabla2757[[#This Row],[Cargo]], Tabla958[Cargos], Tabla958[Ponderador Precio],0,1,1)</f>
        <v>0</v>
      </c>
      <c r="K531" s="30">
        <f>Tabla2757[[#This Row],[Precio por hora UF]]*Tabla2757[[#This Row],[Ponderador]]</f>
        <v>0</v>
      </c>
      <c r="L531" s="40">
        <v>0</v>
      </c>
      <c r="M531" s="30">
        <f>Tabla2757[[#This Row],[Precio por hora]]*Tabla2757[[#This Row],[Cantidad horas]]</f>
        <v>0</v>
      </c>
      <c r="N531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532" spans="2:14" x14ac:dyDescent="0.3">
      <c r="B532" s="28"/>
      <c r="C532" s="20"/>
      <c r="E532" s="136"/>
      <c r="F532" s="177">
        <f>_xlfn.XLOOKUP(Tabla2757[[#This Row],[Tipo de venta]],Tabla2329[Tipo de venta],Tabla2329[Moneda final], "Error - Seleccionar Tipo de Venta", 0,1)</f>
        <v>0</v>
      </c>
      <c r="G532" s="178"/>
      <c r="H532" s="21"/>
      <c r="I532" s="30">
        <f>_xlfn.XLOOKUP(Tabla2757[[#This Row],[Puesto Encargado]], Tabla9[Puesto], Tabla9[Precio cliente],0,1,1)</f>
        <v>0</v>
      </c>
      <c r="J532" s="30">
        <f>_xlfn.XLOOKUP(Tabla2757[[#This Row],[Cargo]], Tabla958[Cargos], Tabla958[Ponderador Precio],0,1,1)</f>
        <v>0</v>
      </c>
      <c r="K532" s="30">
        <f>Tabla2757[[#This Row],[Precio por hora UF]]*Tabla2757[[#This Row],[Ponderador]]</f>
        <v>0</v>
      </c>
      <c r="L532" s="40">
        <v>0</v>
      </c>
      <c r="M532" s="30">
        <f>Tabla2757[[#This Row],[Precio por hora]]*Tabla2757[[#This Row],[Cantidad horas]]</f>
        <v>0</v>
      </c>
      <c r="N532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533" spans="2:14" x14ac:dyDescent="0.3">
      <c r="B533" s="28"/>
      <c r="C533" s="20"/>
      <c r="E533" s="136"/>
      <c r="F533" s="177">
        <f>_xlfn.XLOOKUP(Tabla2757[[#This Row],[Tipo de venta]],Tabla2329[Tipo de venta],Tabla2329[Moneda final], "Error - Seleccionar Tipo de Venta", 0,1)</f>
        <v>0</v>
      </c>
      <c r="G533" s="178"/>
      <c r="H533" s="21"/>
      <c r="I533" s="30">
        <f>_xlfn.XLOOKUP(Tabla2757[[#This Row],[Puesto Encargado]], Tabla9[Puesto], Tabla9[Precio cliente],0,1,1)</f>
        <v>0</v>
      </c>
      <c r="J533" s="30">
        <f>_xlfn.XLOOKUP(Tabla2757[[#This Row],[Cargo]], Tabla958[Cargos], Tabla958[Ponderador Precio],0,1,1)</f>
        <v>0</v>
      </c>
      <c r="K533" s="30">
        <f>Tabla2757[[#This Row],[Precio por hora UF]]*Tabla2757[[#This Row],[Ponderador]]</f>
        <v>0</v>
      </c>
      <c r="L533" s="40">
        <v>0</v>
      </c>
      <c r="M533" s="30">
        <f>Tabla2757[[#This Row],[Precio por hora]]*Tabla2757[[#This Row],[Cantidad horas]]</f>
        <v>0</v>
      </c>
      <c r="N533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534" spans="2:14" x14ac:dyDescent="0.3">
      <c r="B534" s="28"/>
      <c r="C534" s="20"/>
      <c r="E534" s="136"/>
      <c r="F534" s="177">
        <f>_xlfn.XLOOKUP(Tabla2757[[#This Row],[Tipo de venta]],Tabla2329[Tipo de venta],Tabla2329[Moneda final], "Error - Seleccionar Tipo de Venta", 0,1)</f>
        <v>0</v>
      </c>
      <c r="G534" s="178"/>
      <c r="H534" s="21"/>
      <c r="I534" s="30">
        <f>_xlfn.XLOOKUP(Tabla2757[[#This Row],[Puesto Encargado]], Tabla9[Puesto], Tabla9[Precio cliente],0,1,1)</f>
        <v>0</v>
      </c>
      <c r="J534" s="30">
        <f>_xlfn.XLOOKUP(Tabla2757[[#This Row],[Cargo]], Tabla958[Cargos], Tabla958[Ponderador Precio],0,1,1)</f>
        <v>0</v>
      </c>
      <c r="K534" s="30">
        <f>Tabla2757[[#This Row],[Precio por hora UF]]*Tabla2757[[#This Row],[Ponderador]]</f>
        <v>0</v>
      </c>
      <c r="L534" s="40">
        <v>0</v>
      </c>
      <c r="M534" s="30">
        <f>Tabla2757[[#This Row],[Precio por hora]]*Tabla2757[[#This Row],[Cantidad horas]]</f>
        <v>0</v>
      </c>
      <c r="N534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535" spans="2:14" x14ac:dyDescent="0.3">
      <c r="B535" s="28"/>
      <c r="C535" s="20"/>
      <c r="E535" s="136"/>
      <c r="F535" s="177">
        <f>_xlfn.XLOOKUP(Tabla2757[[#This Row],[Tipo de venta]],Tabla2329[Tipo de venta],Tabla2329[Moneda final], "Error - Seleccionar Tipo de Venta", 0,1)</f>
        <v>0</v>
      </c>
      <c r="G535" s="178"/>
      <c r="H535" s="21"/>
      <c r="I535" s="30">
        <f>_xlfn.XLOOKUP(Tabla2757[[#This Row],[Puesto Encargado]], Tabla9[Puesto], Tabla9[Precio cliente],0,1,1)</f>
        <v>0</v>
      </c>
      <c r="J535" s="30">
        <f>_xlfn.XLOOKUP(Tabla2757[[#This Row],[Cargo]], Tabla958[Cargos], Tabla958[Ponderador Precio],0,1,1)</f>
        <v>0</v>
      </c>
      <c r="K535" s="30">
        <f>Tabla2757[[#This Row],[Precio por hora UF]]*Tabla2757[[#This Row],[Ponderador]]</f>
        <v>0</v>
      </c>
      <c r="L535" s="40">
        <v>0</v>
      </c>
      <c r="M535" s="30">
        <f>Tabla2757[[#This Row],[Precio por hora]]*Tabla2757[[#This Row],[Cantidad horas]]</f>
        <v>0</v>
      </c>
      <c r="N535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536" spans="2:14" x14ac:dyDescent="0.3">
      <c r="B536" s="28"/>
      <c r="C536" s="20"/>
      <c r="E536" s="136"/>
      <c r="F536" s="177">
        <f>_xlfn.XLOOKUP(Tabla2757[[#This Row],[Tipo de venta]],Tabla2329[Tipo de venta],Tabla2329[Moneda final], "Error - Seleccionar Tipo de Venta", 0,1)</f>
        <v>0</v>
      </c>
      <c r="G536" s="178"/>
      <c r="H536" s="21"/>
      <c r="I536" s="30">
        <f>_xlfn.XLOOKUP(Tabla2757[[#This Row],[Puesto Encargado]], Tabla9[Puesto], Tabla9[Precio cliente],0,1,1)</f>
        <v>0</v>
      </c>
      <c r="J536" s="30">
        <f>_xlfn.XLOOKUP(Tabla2757[[#This Row],[Cargo]], Tabla958[Cargos], Tabla958[Ponderador Precio],0,1,1)</f>
        <v>0</v>
      </c>
      <c r="K536" s="30">
        <f>Tabla2757[[#This Row],[Precio por hora UF]]*Tabla2757[[#This Row],[Ponderador]]</f>
        <v>0</v>
      </c>
      <c r="L536" s="40">
        <v>0</v>
      </c>
      <c r="M536" s="30">
        <f>Tabla2757[[#This Row],[Precio por hora]]*Tabla2757[[#This Row],[Cantidad horas]]</f>
        <v>0</v>
      </c>
      <c r="N536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537" spans="2:14" x14ac:dyDescent="0.3">
      <c r="B537" s="28"/>
      <c r="C537" s="20"/>
      <c r="E537" s="136"/>
      <c r="F537" s="177">
        <f>_xlfn.XLOOKUP(Tabla2757[[#This Row],[Tipo de venta]],Tabla2329[Tipo de venta],Tabla2329[Moneda final], "Error - Seleccionar Tipo de Venta", 0,1)</f>
        <v>0</v>
      </c>
      <c r="G537" s="178"/>
      <c r="H537" s="21"/>
      <c r="I537" s="30">
        <f>_xlfn.XLOOKUP(Tabla2757[[#This Row],[Puesto Encargado]], Tabla9[Puesto], Tabla9[Precio cliente],0,1,1)</f>
        <v>0</v>
      </c>
      <c r="J537" s="30">
        <f>_xlfn.XLOOKUP(Tabla2757[[#This Row],[Cargo]], Tabla958[Cargos], Tabla958[Ponderador Precio],0,1,1)</f>
        <v>0</v>
      </c>
      <c r="K537" s="30">
        <f>Tabla2757[[#This Row],[Precio por hora UF]]*Tabla2757[[#This Row],[Ponderador]]</f>
        <v>0</v>
      </c>
      <c r="L537" s="40">
        <v>0</v>
      </c>
      <c r="M537" s="30">
        <f>Tabla2757[[#This Row],[Precio por hora]]*Tabla2757[[#This Row],[Cantidad horas]]</f>
        <v>0</v>
      </c>
      <c r="N537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538" spans="2:14" x14ac:dyDescent="0.3">
      <c r="B538" s="28"/>
      <c r="C538" s="20"/>
      <c r="E538" s="136"/>
      <c r="F538" s="177">
        <f>_xlfn.XLOOKUP(Tabla2757[[#This Row],[Tipo de venta]],Tabla2329[Tipo de venta],Tabla2329[Moneda final], "Error - Seleccionar Tipo de Venta", 0,1)</f>
        <v>0</v>
      </c>
      <c r="G538" s="178"/>
      <c r="H538" s="21"/>
      <c r="I538" s="30">
        <f>_xlfn.XLOOKUP(Tabla2757[[#This Row],[Puesto Encargado]], Tabla9[Puesto], Tabla9[Precio cliente],0,1,1)</f>
        <v>0</v>
      </c>
      <c r="J538" s="30">
        <f>_xlfn.XLOOKUP(Tabla2757[[#This Row],[Cargo]], Tabla958[Cargos], Tabla958[Ponderador Precio],0,1,1)</f>
        <v>0</v>
      </c>
      <c r="K538" s="30">
        <f>Tabla2757[[#This Row],[Precio por hora UF]]*Tabla2757[[#This Row],[Ponderador]]</f>
        <v>0</v>
      </c>
      <c r="L538" s="40">
        <v>0</v>
      </c>
      <c r="M538" s="30">
        <f>Tabla2757[[#This Row],[Precio por hora]]*Tabla2757[[#This Row],[Cantidad horas]]</f>
        <v>0</v>
      </c>
      <c r="N538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539" spans="2:14" x14ac:dyDescent="0.3">
      <c r="B539" s="28"/>
      <c r="C539" s="20"/>
      <c r="E539" s="136"/>
      <c r="F539" s="177">
        <f>_xlfn.XLOOKUP(Tabla2757[[#This Row],[Tipo de venta]],Tabla2329[Tipo de venta],Tabla2329[Moneda final], "Error - Seleccionar Tipo de Venta", 0,1)</f>
        <v>0</v>
      </c>
      <c r="G539" s="178"/>
      <c r="H539" s="21"/>
      <c r="I539" s="30">
        <f>_xlfn.XLOOKUP(Tabla2757[[#This Row],[Puesto Encargado]], Tabla9[Puesto], Tabla9[Precio cliente],0,1,1)</f>
        <v>0</v>
      </c>
      <c r="J539" s="30">
        <f>_xlfn.XLOOKUP(Tabla2757[[#This Row],[Cargo]], Tabla958[Cargos], Tabla958[Ponderador Precio],0,1,1)</f>
        <v>0</v>
      </c>
      <c r="K539" s="30">
        <f>Tabla2757[[#This Row],[Precio por hora UF]]*Tabla2757[[#This Row],[Ponderador]]</f>
        <v>0</v>
      </c>
      <c r="L539" s="40">
        <v>0</v>
      </c>
      <c r="M539" s="30">
        <f>Tabla2757[[#This Row],[Precio por hora]]*Tabla2757[[#This Row],[Cantidad horas]]</f>
        <v>0</v>
      </c>
      <c r="N539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540" spans="2:14" x14ac:dyDescent="0.3">
      <c r="B540" s="28"/>
      <c r="C540" s="20"/>
      <c r="E540" s="136"/>
      <c r="F540" s="177">
        <f>_xlfn.XLOOKUP(Tabla2757[[#This Row],[Tipo de venta]],Tabla2329[Tipo de venta],Tabla2329[Moneda final], "Error - Seleccionar Tipo de Venta", 0,1)</f>
        <v>0</v>
      </c>
      <c r="G540" s="178"/>
      <c r="H540" s="21"/>
      <c r="I540" s="30">
        <f>_xlfn.XLOOKUP(Tabla2757[[#This Row],[Puesto Encargado]], Tabla9[Puesto], Tabla9[Precio cliente],0,1,1)</f>
        <v>0</v>
      </c>
      <c r="J540" s="30">
        <f>_xlfn.XLOOKUP(Tabla2757[[#This Row],[Cargo]], Tabla958[Cargos], Tabla958[Ponderador Precio],0,1,1)</f>
        <v>0</v>
      </c>
      <c r="K540" s="30">
        <f>Tabla2757[[#This Row],[Precio por hora UF]]*Tabla2757[[#This Row],[Ponderador]]</f>
        <v>0</v>
      </c>
      <c r="L540" s="40">
        <v>0</v>
      </c>
      <c r="M540" s="30">
        <f>Tabla2757[[#This Row],[Precio por hora]]*Tabla2757[[#This Row],[Cantidad horas]]</f>
        <v>0</v>
      </c>
      <c r="N540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541" spans="2:14" x14ac:dyDescent="0.3">
      <c r="B541" s="28"/>
      <c r="C541" s="20"/>
      <c r="E541" s="136"/>
      <c r="F541" s="177">
        <f>_xlfn.XLOOKUP(Tabla2757[[#This Row],[Tipo de venta]],Tabla2329[Tipo de venta],Tabla2329[Moneda final], "Error - Seleccionar Tipo de Venta", 0,1)</f>
        <v>0</v>
      </c>
      <c r="G541" s="178"/>
      <c r="H541" s="21"/>
      <c r="I541" s="30">
        <f>_xlfn.XLOOKUP(Tabla2757[[#This Row],[Puesto Encargado]], Tabla9[Puesto], Tabla9[Precio cliente],0,1,1)</f>
        <v>0</v>
      </c>
      <c r="J541" s="30">
        <f>_xlfn.XLOOKUP(Tabla2757[[#This Row],[Cargo]], Tabla958[Cargos], Tabla958[Ponderador Precio],0,1,1)</f>
        <v>0</v>
      </c>
      <c r="K541" s="30">
        <f>Tabla2757[[#This Row],[Precio por hora UF]]*Tabla2757[[#This Row],[Ponderador]]</f>
        <v>0</v>
      </c>
      <c r="L541" s="40">
        <v>0</v>
      </c>
      <c r="M541" s="30">
        <f>Tabla2757[[#This Row],[Precio por hora]]*Tabla2757[[#This Row],[Cantidad horas]]</f>
        <v>0</v>
      </c>
      <c r="N541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542" spans="2:14" x14ac:dyDescent="0.3">
      <c r="B542" s="28"/>
      <c r="C542" s="20"/>
      <c r="E542" s="136"/>
      <c r="F542" s="177">
        <f>_xlfn.XLOOKUP(Tabla2757[[#This Row],[Tipo de venta]],Tabla2329[Tipo de venta],Tabla2329[Moneda final], "Error - Seleccionar Tipo de Venta", 0,1)</f>
        <v>0</v>
      </c>
      <c r="G542" s="178"/>
      <c r="H542" s="21"/>
      <c r="I542" s="30">
        <f>_xlfn.XLOOKUP(Tabla2757[[#This Row],[Puesto Encargado]], Tabla9[Puesto], Tabla9[Precio cliente],0,1,1)</f>
        <v>0</v>
      </c>
      <c r="J542" s="30">
        <f>_xlfn.XLOOKUP(Tabla2757[[#This Row],[Cargo]], Tabla958[Cargos], Tabla958[Ponderador Precio],0,1,1)</f>
        <v>0</v>
      </c>
      <c r="K542" s="30">
        <f>Tabla2757[[#This Row],[Precio por hora UF]]*Tabla2757[[#This Row],[Ponderador]]</f>
        <v>0</v>
      </c>
      <c r="L542" s="40">
        <v>0</v>
      </c>
      <c r="M542" s="30">
        <f>Tabla2757[[#This Row],[Precio por hora]]*Tabla2757[[#This Row],[Cantidad horas]]</f>
        <v>0</v>
      </c>
      <c r="N542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543" spans="2:14" x14ac:dyDescent="0.3">
      <c r="B543" s="28"/>
      <c r="C543" s="20"/>
      <c r="E543" s="136"/>
      <c r="F543" s="177">
        <f>_xlfn.XLOOKUP(Tabla2757[[#This Row],[Tipo de venta]],Tabla2329[Tipo de venta],Tabla2329[Moneda final], "Error - Seleccionar Tipo de Venta", 0,1)</f>
        <v>0</v>
      </c>
      <c r="G543" s="178"/>
      <c r="H543" s="21"/>
      <c r="I543" s="30">
        <f>_xlfn.XLOOKUP(Tabla2757[[#This Row],[Puesto Encargado]], Tabla9[Puesto], Tabla9[Precio cliente],0,1,1)</f>
        <v>0</v>
      </c>
      <c r="J543" s="30">
        <f>_xlfn.XLOOKUP(Tabla2757[[#This Row],[Cargo]], Tabla958[Cargos], Tabla958[Ponderador Precio],0,1,1)</f>
        <v>0</v>
      </c>
      <c r="K543" s="30">
        <f>Tabla2757[[#This Row],[Precio por hora UF]]*Tabla2757[[#This Row],[Ponderador]]</f>
        <v>0</v>
      </c>
      <c r="L543" s="40">
        <v>0</v>
      </c>
      <c r="M543" s="30">
        <f>Tabla2757[[#This Row],[Precio por hora]]*Tabla2757[[#This Row],[Cantidad horas]]</f>
        <v>0</v>
      </c>
      <c r="N543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544" spans="2:14" x14ac:dyDescent="0.3">
      <c r="B544" s="28"/>
      <c r="C544" s="20"/>
      <c r="E544" s="136"/>
      <c r="F544" s="177">
        <f>_xlfn.XLOOKUP(Tabla2757[[#This Row],[Tipo de venta]],Tabla2329[Tipo de venta],Tabla2329[Moneda final], "Error - Seleccionar Tipo de Venta", 0,1)</f>
        <v>0</v>
      </c>
      <c r="G544" s="178"/>
      <c r="H544" s="21"/>
      <c r="I544" s="30">
        <f>_xlfn.XLOOKUP(Tabla2757[[#This Row],[Puesto Encargado]], Tabla9[Puesto], Tabla9[Precio cliente],0,1,1)</f>
        <v>0</v>
      </c>
      <c r="J544" s="30">
        <f>_xlfn.XLOOKUP(Tabla2757[[#This Row],[Cargo]], Tabla958[Cargos], Tabla958[Ponderador Precio],0,1,1)</f>
        <v>0</v>
      </c>
      <c r="K544" s="30">
        <f>Tabla2757[[#This Row],[Precio por hora UF]]*Tabla2757[[#This Row],[Ponderador]]</f>
        <v>0</v>
      </c>
      <c r="L544" s="40">
        <v>0</v>
      </c>
      <c r="M544" s="30">
        <f>Tabla2757[[#This Row],[Precio por hora]]*Tabla2757[[#This Row],[Cantidad horas]]</f>
        <v>0</v>
      </c>
      <c r="N544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545" spans="2:14" x14ac:dyDescent="0.3">
      <c r="B545" s="28"/>
      <c r="C545" s="20"/>
      <c r="E545" s="136"/>
      <c r="F545" s="177">
        <f>_xlfn.XLOOKUP(Tabla2757[[#This Row],[Tipo de venta]],Tabla2329[Tipo de venta],Tabla2329[Moneda final], "Error - Seleccionar Tipo de Venta", 0,1)</f>
        <v>0</v>
      </c>
      <c r="G545" s="178"/>
      <c r="H545" s="21"/>
      <c r="I545" s="30">
        <f>_xlfn.XLOOKUP(Tabla2757[[#This Row],[Puesto Encargado]], Tabla9[Puesto], Tabla9[Precio cliente],0,1,1)</f>
        <v>0</v>
      </c>
      <c r="J545" s="30">
        <f>_xlfn.XLOOKUP(Tabla2757[[#This Row],[Cargo]], Tabla958[Cargos], Tabla958[Ponderador Precio],0,1,1)</f>
        <v>0</v>
      </c>
      <c r="K545" s="30">
        <f>Tabla2757[[#This Row],[Precio por hora UF]]*Tabla2757[[#This Row],[Ponderador]]</f>
        <v>0</v>
      </c>
      <c r="L545" s="40">
        <v>0</v>
      </c>
      <c r="M545" s="30">
        <f>Tabla2757[[#This Row],[Precio por hora]]*Tabla2757[[#This Row],[Cantidad horas]]</f>
        <v>0</v>
      </c>
      <c r="N545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546" spans="2:14" x14ac:dyDescent="0.3">
      <c r="B546" s="28"/>
      <c r="C546" s="20"/>
      <c r="E546" s="136"/>
      <c r="F546" s="177">
        <f>_xlfn.XLOOKUP(Tabla2757[[#This Row],[Tipo de venta]],Tabla2329[Tipo de venta],Tabla2329[Moneda final], "Error - Seleccionar Tipo de Venta", 0,1)</f>
        <v>0</v>
      </c>
      <c r="G546" s="178"/>
      <c r="H546" s="21"/>
      <c r="I546" s="30">
        <f>_xlfn.XLOOKUP(Tabla2757[[#This Row],[Puesto Encargado]], Tabla9[Puesto], Tabla9[Precio cliente],0,1,1)</f>
        <v>0</v>
      </c>
      <c r="J546" s="30">
        <f>_xlfn.XLOOKUP(Tabla2757[[#This Row],[Cargo]], Tabla958[Cargos], Tabla958[Ponderador Precio],0,1,1)</f>
        <v>0</v>
      </c>
      <c r="K546" s="30">
        <f>Tabla2757[[#This Row],[Precio por hora UF]]*Tabla2757[[#This Row],[Ponderador]]</f>
        <v>0</v>
      </c>
      <c r="L546" s="40">
        <v>0</v>
      </c>
      <c r="M546" s="30">
        <f>Tabla2757[[#This Row],[Precio por hora]]*Tabla2757[[#This Row],[Cantidad horas]]</f>
        <v>0</v>
      </c>
      <c r="N546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547" spans="2:14" x14ac:dyDescent="0.3">
      <c r="B547" s="28"/>
      <c r="C547" s="20"/>
      <c r="E547" s="136"/>
      <c r="F547" s="177">
        <f>_xlfn.XLOOKUP(Tabla2757[[#This Row],[Tipo de venta]],Tabla2329[Tipo de venta],Tabla2329[Moneda final], "Error - Seleccionar Tipo de Venta", 0,1)</f>
        <v>0</v>
      </c>
      <c r="G547" s="178"/>
      <c r="H547" s="21"/>
      <c r="I547" s="30">
        <f>_xlfn.XLOOKUP(Tabla2757[[#This Row],[Puesto Encargado]], Tabla9[Puesto], Tabla9[Precio cliente],0,1,1)</f>
        <v>0</v>
      </c>
      <c r="J547" s="30">
        <f>_xlfn.XLOOKUP(Tabla2757[[#This Row],[Cargo]], Tabla958[Cargos], Tabla958[Ponderador Precio],0,1,1)</f>
        <v>0</v>
      </c>
      <c r="K547" s="30">
        <f>Tabla2757[[#This Row],[Precio por hora UF]]*Tabla2757[[#This Row],[Ponderador]]</f>
        <v>0</v>
      </c>
      <c r="L547" s="40">
        <v>0</v>
      </c>
      <c r="M547" s="30">
        <f>Tabla2757[[#This Row],[Precio por hora]]*Tabla2757[[#This Row],[Cantidad horas]]</f>
        <v>0</v>
      </c>
      <c r="N547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548" spans="2:14" x14ac:dyDescent="0.3">
      <c r="B548" s="28"/>
      <c r="C548" s="20"/>
      <c r="E548" s="136"/>
      <c r="F548" s="177">
        <f>_xlfn.XLOOKUP(Tabla2757[[#This Row],[Tipo de venta]],Tabla2329[Tipo de venta],Tabla2329[Moneda final], "Error - Seleccionar Tipo de Venta", 0,1)</f>
        <v>0</v>
      </c>
      <c r="G548" s="178"/>
      <c r="H548" s="21"/>
      <c r="I548" s="30">
        <f>_xlfn.XLOOKUP(Tabla2757[[#This Row],[Puesto Encargado]], Tabla9[Puesto], Tabla9[Precio cliente],0,1,1)</f>
        <v>0</v>
      </c>
      <c r="J548" s="30">
        <f>_xlfn.XLOOKUP(Tabla2757[[#This Row],[Cargo]], Tabla958[Cargos], Tabla958[Ponderador Precio],0,1,1)</f>
        <v>0</v>
      </c>
      <c r="K548" s="30">
        <f>Tabla2757[[#This Row],[Precio por hora UF]]*Tabla2757[[#This Row],[Ponderador]]</f>
        <v>0</v>
      </c>
      <c r="L548" s="40">
        <v>0</v>
      </c>
      <c r="M548" s="30">
        <f>Tabla2757[[#This Row],[Precio por hora]]*Tabla2757[[#This Row],[Cantidad horas]]</f>
        <v>0</v>
      </c>
      <c r="N548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549" spans="2:14" x14ac:dyDescent="0.3">
      <c r="B549" s="28"/>
      <c r="C549" s="20"/>
      <c r="E549" s="136"/>
      <c r="F549" s="177">
        <f>_xlfn.XLOOKUP(Tabla2757[[#This Row],[Tipo de venta]],Tabla2329[Tipo de venta],Tabla2329[Moneda final], "Error - Seleccionar Tipo de Venta", 0,1)</f>
        <v>0</v>
      </c>
      <c r="G549" s="178"/>
      <c r="H549" s="21"/>
      <c r="I549" s="30">
        <f>_xlfn.XLOOKUP(Tabla2757[[#This Row],[Puesto Encargado]], Tabla9[Puesto], Tabla9[Precio cliente],0,1,1)</f>
        <v>0</v>
      </c>
      <c r="J549" s="30">
        <f>_xlfn.XLOOKUP(Tabla2757[[#This Row],[Cargo]], Tabla958[Cargos], Tabla958[Ponderador Precio],0,1,1)</f>
        <v>0</v>
      </c>
      <c r="K549" s="30">
        <f>Tabla2757[[#This Row],[Precio por hora UF]]*Tabla2757[[#This Row],[Ponderador]]</f>
        <v>0</v>
      </c>
      <c r="L549" s="40">
        <v>0</v>
      </c>
      <c r="M549" s="30">
        <f>Tabla2757[[#This Row],[Precio por hora]]*Tabla2757[[#This Row],[Cantidad horas]]</f>
        <v>0</v>
      </c>
      <c r="N549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550" spans="2:14" x14ac:dyDescent="0.3">
      <c r="B550" s="28"/>
      <c r="C550" s="20"/>
      <c r="E550" s="136"/>
      <c r="F550" s="177">
        <f>_xlfn.XLOOKUP(Tabla2757[[#This Row],[Tipo de venta]],Tabla2329[Tipo de venta],Tabla2329[Moneda final], "Error - Seleccionar Tipo de Venta", 0,1)</f>
        <v>0</v>
      </c>
      <c r="G550" s="178"/>
      <c r="H550" s="21"/>
      <c r="I550" s="30">
        <f>_xlfn.XLOOKUP(Tabla2757[[#This Row],[Puesto Encargado]], Tabla9[Puesto], Tabla9[Precio cliente],0,1,1)</f>
        <v>0</v>
      </c>
      <c r="J550" s="30">
        <f>_xlfn.XLOOKUP(Tabla2757[[#This Row],[Cargo]], Tabla958[Cargos], Tabla958[Ponderador Precio],0,1,1)</f>
        <v>0</v>
      </c>
      <c r="K550" s="30">
        <f>Tabla2757[[#This Row],[Precio por hora UF]]*Tabla2757[[#This Row],[Ponderador]]</f>
        <v>0</v>
      </c>
      <c r="L550" s="40">
        <v>0</v>
      </c>
      <c r="M550" s="30">
        <f>Tabla2757[[#This Row],[Precio por hora]]*Tabla2757[[#This Row],[Cantidad horas]]</f>
        <v>0</v>
      </c>
      <c r="N550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551" spans="2:14" x14ac:dyDescent="0.3">
      <c r="B551" s="28"/>
      <c r="C551" s="20"/>
      <c r="E551" s="136"/>
      <c r="F551" s="177">
        <f>_xlfn.XLOOKUP(Tabla2757[[#This Row],[Tipo de venta]],Tabla2329[Tipo de venta],Tabla2329[Moneda final], "Error - Seleccionar Tipo de Venta", 0,1)</f>
        <v>0</v>
      </c>
      <c r="G551" s="178"/>
      <c r="H551" s="21"/>
      <c r="I551" s="30">
        <f>_xlfn.XLOOKUP(Tabla2757[[#This Row],[Puesto Encargado]], Tabla9[Puesto], Tabla9[Precio cliente],0,1,1)</f>
        <v>0</v>
      </c>
      <c r="J551" s="30">
        <f>_xlfn.XLOOKUP(Tabla2757[[#This Row],[Cargo]], Tabla958[Cargos], Tabla958[Ponderador Precio],0,1,1)</f>
        <v>0</v>
      </c>
      <c r="K551" s="30">
        <f>Tabla2757[[#This Row],[Precio por hora UF]]*Tabla2757[[#This Row],[Ponderador]]</f>
        <v>0</v>
      </c>
      <c r="L551" s="40">
        <v>0</v>
      </c>
      <c r="M551" s="30">
        <f>Tabla2757[[#This Row],[Precio por hora]]*Tabla2757[[#This Row],[Cantidad horas]]</f>
        <v>0</v>
      </c>
      <c r="N551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552" spans="2:14" x14ac:dyDescent="0.3">
      <c r="B552" s="28"/>
      <c r="C552" s="20"/>
      <c r="E552" s="136"/>
      <c r="F552" s="177">
        <f>_xlfn.XLOOKUP(Tabla2757[[#This Row],[Tipo de venta]],Tabla2329[Tipo de venta],Tabla2329[Moneda final], "Error - Seleccionar Tipo de Venta", 0,1)</f>
        <v>0</v>
      </c>
      <c r="G552" s="178"/>
      <c r="H552" s="21"/>
      <c r="I552" s="30">
        <f>_xlfn.XLOOKUP(Tabla2757[[#This Row],[Puesto Encargado]], Tabla9[Puesto], Tabla9[Precio cliente],0,1,1)</f>
        <v>0</v>
      </c>
      <c r="J552" s="30">
        <f>_xlfn.XLOOKUP(Tabla2757[[#This Row],[Cargo]], Tabla958[Cargos], Tabla958[Ponderador Precio],0,1,1)</f>
        <v>0</v>
      </c>
      <c r="K552" s="30">
        <f>Tabla2757[[#This Row],[Precio por hora UF]]*Tabla2757[[#This Row],[Ponderador]]</f>
        <v>0</v>
      </c>
      <c r="L552" s="40">
        <v>0</v>
      </c>
      <c r="M552" s="30">
        <f>Tabla2757[[#This Row],[Precio por hora]]*Tabla2757[[#This Row],[Cantidad horas]]</f>
        <v>0</v>
      </c>
      <c r="N552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553" spans="2:14" x14ac:dyDescent="0.3">
      <c r="B553" s="28"/>
      <c r="C553" s="20"/>
      <c r="E553" s="136"/>
      <c r="F553" s="177">
        <f>_xlfn.XLOOKUP(Tabla2757[[#This Row],[Tipo de venta]],Tabla2329[Tipo de venta],Tabla2329[Moneda final], "Error - Seleccionar Tipo de Venta", 0,1)</f>
        <v>0</v>
      </c>
      <c r="G553" s="178"/>
      <c r="H553" s="21"/>
      <c r="I553" s="30">
        <f>_xlfn.XLOOKUP(Tabla2757[[#This Row],[Puesto Encargado]], Tabla9[Puesto], Tabla9[Precio cliente],0,1,1)</f>
        <v>0</v>
      </c>
      <c r="J553" s="30">
        <f>_xlfn.XLOOKUP(Tabla2757[[#This Row],[Cargo]], Tabla958[Cargos], Tabla958[Ponderador Precio],0,1,1)</f>
        <v>0</v>
      </c>
      <c r="K553" s="30">
        <f>Tabla2757[[#This Row],[Precio por hora UF]]*Tabla2757[[#This Row],[Ponderador]]</f>
        <v>0</v>
      </c>
      <c r="L553" s="40">
        <v>0</v>
      </c>
      <c r="M553" s="30">
        <f>Tabla2757[[#This Row],[Precio por hora]]*Tabla2757[[#This Row],[Cantidad horas]]</f>
        <v>0</v>
      </c>
      <c r="N553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554" spans="2:14" x14ac:dyDescent="0.3">
      <c r="B554" s="28"/>
      <c r="C554" s="20"/>
      <c r="E554" s="136"/>
      <c r="F554" s="177">
        <f>_xlfn.XLOOKUP(Tabla2757[[#This Row],[Tipo de venta]],Tabla2329[Tipo de venta],Tabla2329[Moneda final], "Error - Seleccionar Tipo de Venta", 0,1)</f>
        <v>0</v>
      </c>
      <c r="G554" s="178"/>
      <c r="H554" s="21"/>
      <c r="I554" s="30">
        <f>_xlfn.XLOOKUP(Tabla2757[[#This Row],[Puesto Encargado]], Tabla9[Puesto], Tabla9[Precio cliente],0,1,1)</f>
        <v>0</v>
      </c>
      <c r="J554" s="30">
        <f>_xlfn.XLOOKUP(Tabla2757[[#This Row],[Cargo]], Tabla958[Cargos], Tabla958[Ponderador Precio],0,1,1)</f>
        <v>0</v>
      </c>
      <c r="K554" s="30">
        <f>Tabla2757[[#This Row],[Precio por hora UF]]*Tabla2757[[#This Row],[Ponderador]]</f>
        <v>0</v>
      </c>
      <c r="L554" s="40">
        <v>0</v>
      </c>
      <c r="M554" s="30">
        <f>Tabla2757[[#This Row],[Precio por hora]]*Tabla2757[[#This Row],[Cantidad horas]]</f>
        <v>0</v>
      </c>
      <c r="N554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555" spans="2:14" x14ac:dyDescent="0.3">
      <c r="B555" s="28"/>
      <c r="C555" s="20"/>
      <c r="E555" s="136"/>
      <c r="F555" s="177">
        <f>_xlfn.XLOOKUP(Tabla2757[[#This Row],[Tipo de venta]],Tabla2329[Tipo de venta],Tabla2329[Moneda final], "Error - Seleccionar Tipo de Venta", 0,1)</f>
        <v>0</v>
      </c>
      <c r="G555" s="178"/>
      <c r="H555" s="21"/>
      <c r="I555" s="30">
        <f>_xlfn.XLOOKUP(Tabla2757[[#This Row],[Puesto Encargado]], Tabla9[Puesto], Tabla9[Precio cliente],0,1,1)</f>
        <v>0</v>
      </c>
      <c r="J555" s="30">
        <f>_xlfn.XLOOKUP(Tabla2757[[#This Row],[Cargo]], Tabla958[Cargos], Tabla958[Ponderador Precio],0,1,1)</f>
        <v>0</v>
      </c>
      <c r="K555" s="30">
        <f>Tabla2757[[#This Row],[Precio por hora UF]]*Tabla2757[[#This Row],[Ponderador]]</f>
        <v>0</v>
      </c>
      <c r="L555" s="40">
        <v>0</v>
      </c>
      <c r="M555" s="30">
        <f>Tabla2757[[#This Row],[Precio por hora]]*Tabla2757[[#This Row],[Cantidad horas]]</f>
        <v>0</v>
      </c>
      <c r="N555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556" spans="2:14" x14ac:dyDescent="0.3">
      <c r="B556" s="28"/>
      <c r="C556" s="20"/>
      <c r="E556" s="136"/>
      <c r="F556" s="177">
        <f>_xlfn.XLOOKUP(Tabla2757[[#This Row],[Tipo de venta]],Tabla2329[Tipo de venta],Tabla2329[Moneda final], "Error - Seleccionar Tipo de Venta", 0,1)</f>
        <v>0</v>
      </c>
      <c r="G556" s="178"/>
      <c r="H556" s="21"/>
      <c r="I556" s="30">
        <f>_xlfn.XLOOKUP(Tabla2757[[#This Row],[Puesto Encargado]], Tabla9[Puesto], Tabla9[Precio cliente],0,1,1)</f>
        <v>0</v>
      </c>
      <c r="J556" s="30">
        <f>_xlfn.XLOOKUP(Tabla2757[[#This Row],[Cargo]], Tabla958[Cargos], Tabla958[Ponderador Precio],0,1,1)</f>
        <v>0</v>
      </c>
      <c r="K556" s="30">
        <f>Tabla2757[[#This Row],[Precio por hora UF]]*Tabla2757[[#This Row],[Ponderador]]</f>
        <v>0</v>
      </c>
      <c r="L556" s="40">
        <v>0</v>
      </c>
      <c r="M556" s="30">
        <f>Tabla2757[[#This Row],[Precio por hora]]*Tabla2757[[#This Row],[Cantidad horas]]</f>
        <v>0</v>
      </c>
      <c r="N556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557" spans="2:14" x14ac:dyDescent="0.3">
      <c r="B557" s="28"/>
      <c r="C557" s="20"/>
      <c r="E557" s="136"/>
      <c r="F557" s="177">
        <f>_xlfn.XLOOKUP(Tabla2757[[#This Row],[Tipo de venta]],Tabla2329[Tipo de venta],Tabla2329[Moneda final], "Error - Seleccionar Tipo de Venta", 0,1)</f>
        <v>0</v>
      </c>
      <c r="G557" s="178"/>
      <c r="H557" s="21"/>
      <c r="I557" s="30">
        <f>_xlfn.XLOOKUP(Tabla2757[[#This Row],[Puesto Encargado]], Tabla9[Puesto], Tabla9[Precio cliente],0,1,1)</f>
        <v>0</v>
      </c>
      <c r="J557" s="30">
        <f>_xlfn.XLOOKUP(Tabla2757[[#This Row],[Cargo]], Tabla958[Cargos], Tabla958[Ponderador Precio],0,1,1)</f>
        <v>0</v>
      </c>
      <c r="K557" s="30">
        <f>Tabla2757[[#This Row],[Precio por hora UF]]*Tabla2757[[#This Row],[Ponderador]]</f>
        <v>0</v>
      </c>
      <c r="L557" s="40">
        <v>0</v>
      </c>
      <c r="M557" s="30">
        <f>Tabla2757[[#This Row],[Precio por hora]]*Tabla2757[[#This Row],[Cantidad horas]]</f>
        <v>0</v>
      </c>
      <c r="N557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558" spans="2:14" x14ac:dyDescent="0.3">
      <c r="B558" s="28"/>
      <c r="C558" s="20"/>
      <c r="E558" s="136"/>
      <c r="F558" s="177">
        <f>_xlfn.XLOOKUP(Tabla2757[[#This Row],[Tipo de venta]],Tabla2329[Tipo de venta],Tabla2329[Moneda final], "Error - Seleccionar Tipo de Venta", 0,1)</f>
        <v>0</v>
      </c>
      <c r="G558" s="178"/>
      <c r="H558" s="21"/>
      <c r="I558" s="30">
        <f>_xlfn.XLOOKUP(Tabla2757[[#This Row],[Puesto Encargado]], Tabla9[Puesto], Tabla9[Precio cliente],0,1,1)</f>
        <v>0</v>
      </c>
      <c r="J558" s="30">
        <f>_xlfn.XLOOKUP(Tabla2757[[#This Row],[Cargo]], Tabla958[Cargos], Tabla958[Ponderador Precio],0,1,1)</f>
        <v>0</v>
      </c>
      <c r="K558" s="30">
        <f>Tabla2757[[#This Row],[Precio por hora UF]]*Tabla2757[[#This Row],[Ponderador]]</f>
        <v>0</v>
      </c>
      <c r="L558" s="40">
        <v>0</v>
      </c>
      <c r="M558" s="30">
        <f>Tabla2757[[#This Row],[Precio por hora]]*Tabla2757[[#This Row],[Cantidad horas]]</f>
        <v>0</v>
      </c>
      <c r="N558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559" spans="2:14" x14ac:dyDescent="0.3">
      <c r="B559" s="28"/>
      <c r="C559" s="20"/>
      <c r="E559" s="136"/>
      <c r="F559" s="177">
        <f>_xlfn.XLOOKUP(Tabla2757[[#This Row],[Tipo de venta]],Tabla2329[Tipo de venta],Tabla2329[Moneda final], "Error - Seleccionar Tipo de Venta", 0,1)</f>
        <v>0</v>
      </c>
      <c r="G559" s="178"/>
      <c r="H559" s="21"/>
      <c r="I559" s="30">
        <f>_xlfn.XLOOKUP(Tabla2757[[#This Row],[Puesto Encargado]], Tabla9[Puesto], Tabla9[Precio cliente],0,1,1)</f>
        <v>0</v>
      </c>
      <c r="J559" s="30">
        <f>_xlfn.XLOOKUP(Tabla2757[[#This Row],[Cargo]], Tabla958[Cargos], Tabla958[Ponderador Precio],0,1,1)</f>
        <v>0</v>
      </c>
      <c r="K559" s="30">
        <f>Tabla2757[[#This Row],[Precio por hora UF]]*Tabla2757[[#This Row],[Ponderador]]</f>
        <v>0</v>
      </c>
      <c r="L559" s="40">
        <v>0</v>
      </c>
      <c r="M559" s="30">
        <f>Tabla2757[[#This Row],[Precio por hora]]*Tabla2757[[#This Row],[Cantidad horas]]</f>
        <v>0</v>
      </c>
      <c r="N559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560" spans="2:14" x14ac:dyDescent="0.3">
      <c r="B560" s="28"/>
      <c r="C560" s="20"/>
      <c r="E560" s="136"/>
      <c r="F560" s="177">
        <f>_xlfn.XLOOKUP(Tabla2757[[#This Row],[Tipo de venta]],Tabla2329[Tipo de venta],Tabla2329[Moneda final], "Error - Seleccionar Tipo de Venta", 0,1)</f>
        <v>0</v>
      </c>
      <c r="G560" s="178"/>
      <c r="H560" s="21"/>
      <c r="I560" s="30">
        <f>_xlfn.XLOOKUP(Tabla2757[[#This Row],[Puesto Encargado]], Tabla9[Puesto], Tabla9[Precio cliente],0,1,1)</f>
        <v>0</v>
      </c>
      <c r="J560" s="30">
        <f>_xlfn.XLOOKUP(Tabla2757[[#This Row],[Cargo]], Tabla958[Cargos], Tabla958[Ponderador Precio],0,1,1)</f>
        <v>0</v>
      </c>
      <c r="K560" s="30">
        <f>Tabla2757[[#This Row],[Precio por hora UF]]*Tabla2757[[#This Row],[Ponderador]]</f>
        <v>0</v>
      </c>
      <c r="L560" s="40">
        <v>0</v>
      </c>
      <c r="M560" s="30">
        <f>Tabla2757[[#This Row],[Precio por hora]]*Tabla2757[[#This Row],[Cantidad horas]]</f>
        <v>0</v>
      </c>
      <c r="N560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561" spans="2:14" x14ac:dyDescent="0.3">
      <c r="B561" s="28"/>
      <c r="C561" s="20"/>
      <c r="E561" s="136"/>
      <c r="F561" s="177">
        <f>_xlfn.XLOOKUP(Tabla2757[[#This Row],[Tipo de venta]],Tabla2329[Tipo de venta],Tabla2329[Moneda final], "Error - Seleccionar Tipo de Venta", 0,1)</f>
        <v>0</v>
      </c>
      <c r="G561" s="178"/>
      <c r="H561" s="21"/>
      <c r="I561" s="30">
        <f>_xlfn.XLOOKUP(Tabla2757[[#This Row],[Puesto Encargado]], Tabla9[Puesto], Tabla9[Precio cliente],0,1,1)</f>
        <v>0</v>
      </c>
      <c r="J561" s="30">
        <f>_xlfn.XLOOKUP(Tabla2757[[#This Row],[Cargo]], Tabla958[Cargos], Tabla958[Ponderador Precio],0,1,1)</f>
        <v>0</v>
      </c>
      <c r="K561" s="30">
        <f>Tabla2757[[#This Row],[Precio por hora UF]]*Tabla2757[[#This Row],[Ponderador]]</f>
        <v>0</v>
      </c>
      <c r="L561" s="40">
        <v>0</v>
      </c>
      <c r="M561" s="30">
        <f>Tabla2757[[#This Row],[Precio por hora]]*Tabla2757[[#This Row],[Cantidad horas]]</f>
        <v>0</v>
      </c>
      <c r="N561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562" spans="2:14" x14ac:dyDescent="0.3">
      <c r="B562" s="28"/>
      <c r="C562" s="20"/>
      <c r="E562" s="136"/>
      <c r="F562" s="177">
        <f>_xlfn.XLOOKUP(Tabla2757[[#This Row],[Tipo de venta]],Tabla2329[Tipo de venta],Tabla2329[Moneda final], "Error - Seleccionar Tipo de Venta", 0,1)</f>
        <v>0</v>
      </c>
      <c r="G562" s="178"/>
      <c r="H562" s="21"/>
      <c r="I562" s="30">
        <f>_xlfn.XLOOKUP(Tabla2757[[#This Row],[Puesto Encargado]], Tabla9[Puesto], Tabla9[Precio cliente],0,1,1)</f>
        <v>0</v>
      </c>
      <c r="J562" s="30">
        <f>_xlfn.XLOOKUP(Tabla2757[[#This Row],[Cargo]], Tabla958[Cargos], Tabla958[Ponderador Precio],0,1,1)</f>
        <v>0</v>
      </c>
      <c r="K562" s="30">
        <f>Tabla2757[[#This Row],[Precio por hora UF]]*Tabla2757[[#This Row],[Ponderador]]</f>
        <v>0</v>
      </c>
      <c r="L562" s="40">
        <v>0</v>
      </c>
      <c r="M562" s="30">
        <f>Tabla2757[[#This Row],[Precio por hora]]*Tabla2757[[#This Row],[Cantidad horas]]</f>
        <v>0</v>
      </c>
      <c r="N562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563" spans="2:14" x14ac:dyDescent="0.3">
      <c r="B563" s="28"/>
      <c r="C563" s="20"/>
      <c r="E563" s="136"/>
      <c r="F563" s="177">
        <f>_xlfn.XLOOKUP(Tabla2757[[#This Row],[Tipo de venta]],Tabla2329[Tipo de venta],Tabla2329[Moneda final], "Error - Seleccionar Tipo de Venta", 0,1)</f>
        <v>0</v>
      </c>
      <c r="G563" s="178"/>
      <c r="H563" s="21"/>
      <c r="I563" s="30">
        <f>_xlfn.XLOOKUP(Tabla2757[[#This Row],[Puesto Encargado]], Tabla9[Puesto], Tabla9[Precio cliente],0,1,1)</f>
        <v>0</v>
      </c>
      <c r="J563" s="30">
        <f>_xlfn.XLOOKUP(Tabla2757[[#This Row],[Cargo]], Tabla958[Cargos], Tabla958[Ponderador Precio],0,1,1)</f>
        <v>0</v>
      </c>
      <c r="K563" s="30">
        <f>Tabla2757[[#This Row],[Precio por hora UF]]*Tabla2757[[#This Row],[Ponderador]]</f>
        <v>0</v>
      </c>
      <c r="L563" s="40">
        <v>0</v>
      </c>
      <c r="M563" s="30">
        <f>Tabla2757[[#This Row],[Precio por hora]]*Tabla2757[[#This Row],[Cantidad horas]]</f>
        <v>0</v>
      </c>
      <c r="N563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564" spans="2:14" x14ac:dyDescent="0.3">
      <c r="B564" s="28"/>
      <c r="C564" s="20"/>
      <c r="E564" s="136"/>
      <c r="F564" s="177">
        <f>_xlfn.XLOOKUP(Tabla2757[[#This Row],[Tipo de venta]],Tabla2329[Tipo de venta],Tabla2329[Moneda final], "Error - Seleccionar Tipo de Venta", 0,1)</f>
        <v>0</v>
      </c>
      <c r="G564" s="178"/>
      <c r="H564" s="21"/>
      <c r="I564" s="30">
        <f>_xlfn.XLOOKUP(Tabla2757[[#This Row],[Puesto Encargado]], Tabla9[Puesto], Tabla9[Precio cliente],0,1,1)</f>
        <v>0</v>
      </c>
      <c r="J564" s="30">
        <f>_xlfn.XLOOKUP(Tabla2757[[#This Row],[Cargo]], Tabla958[Cargos], Tabla958[Ponderador Precio],0,1,1)</f>
        <v>0</v>
      </c>
      <c r="K564" s="30">
        <f>Tabla2757[[#This Row],[Precio por hora UF]]*Tabla2757[[#This Row],[Ponderador]]</f>
        <v>0</v>
      </c>
      <c r="L564" s="40">
        <v>0</v>
      </c>
      <c r="M564" s="30">
        <f>Tabla2757[[#This Row],[Precio por hora]]*Tabla2757[[#This Row],[Cantidad horas]]</f>
        <v>0</v>
      </c>
      <c r="N564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565" spans="2:14" x14ac:dyDescent="0.3">
      <c r="B565" s="28"/>
      <c r="C565" s="20"/>
      <c r="E565" s="136"/>
      <c r="F565" s="177">
        <f>_xlfn.XLOOKUP(Tabla2757[[#This Row],[Tipo de venta]],Tabla2329[Tipo de venta],Tabla2329[Moneda final], "Error - Seleccionar Tipo de Venta", 0,1)</f>
        <v>0</v>
      </c>
      <c r="G565" s="178"/>
      <c r="H565" s="21"/>
      <c r="I565" s="30">
        <f>_xlfn.XLOOKUP(Tabla2757[[#This Row],[Puesto Encargado]], Tabla9[Puesto], Tabla9[Precio cliente],0,1,1)</f>
        <v>0</v>
      </c>
      <c r="J565" s="30">
        <f>_xlfn.XLOOKUP(Tabla2757[[#This Row],[Cargo]], Tabla958[Cargos], Tabla958[Ponderador Precio],0,1,1)</f>
        <v>0</v>
      </c>
      <c r="K565" s="30">
        <f>Tabla2757[[#This Row],[Precio por hora UF]]*Tabla2757[[#This Row],[Ponderador]]</f>
        <v>0</v>
      </c>
      <c r="L565" s="40">
        <v>0</v>
      </c>
      <c r="M565" s="30">
        <f>Tabla2757[[#This Row],[Precio por hora]]*Tabla2757[[#This Row],[Cantidad horas]]</f>
        <v>0</v>
      </c>
      <c r="N565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566" spans="2:14" x14ac:dyDescent="0.3">
      <c r="B566" s="28"/>
      <c r="C566" s="20"/>
      <c r="E566" s="136"/>
      <c r="F566" s="177">
        <f>_xlfn.XLOOKUP(Tabla2757[[#This Row],[Tipo de venta]],Tabla2329[Tipo de venta],Tabla2329[Moneda final], "Error - Seleccionar Tipo de Venta", 0,1)</f>
        <v>0</v>
      </c>
      <c r="G566" s="178"/>
      <c r="H566" s="21"/>
      <c r="I566" s="30">
        <f>_xlfn.XLOOKUP(Tabla2757[[#This Row],[Puesto Encargado]], Tabla9[Puesto], Tabla9[Precio cliente],0,1,1)</f>
        <v>0</v>
      </c>
      <c r="J566" s="30">
        <f>_xlfn.XLOOKUP(Tabla2757[[#This Row],[Cargo]], Tabla958[Cargos], Tabla958[Ponderador Precio],0,1,1)</f>
        <v>0</v>
      </c>
      <c r="K566" s="30">
        <f>Tabla2757[[#This Row],[Precio por hora UF]]*Tabla2757[[#This Row],[Ponderador]]</f>
        <v>0</v>
      </c>
      <c r="L566" s="40">
        <v>0</v>
      </c>
      <c r="M566" s="30">
        <f>Tabla2757[[#This Row],[Precio por hora]]*Tabla2757[[#This Row],[Cantidad horas]]</f>
        <v>0</v>
      </c>
      <c r="N566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567" spans="2:14" x14ac:dyDescent="0.3">
      <c r="B567" s="28"/>
      <c r="C567" s="20"/>
      <c r="E567" s="136"/>
      <c r="F567" s="177">
        <f>_xlfn.XLOOKUP(Tabla2757[[#This Row],[Tipo de venta]],Tabla2329[Tipo de venta],Tabla2329[Moneda final], "Error - Seleccionar Tipo de Venta", 0,1)</f>
        <v>0</v>
      </c>
      <c r="G567" s="178"/>
      <c r="H567" s="21"/>
      <c r="I567" s="30">
        <f>_xlfn.XLOOKUP(Tabla2757[[#This Row],[Puesto Encargado]], Tabla9[Puesto], Tabla9[Precio cliente],0,1,1)</f>
        <v>0</v>
      </c>
      <c r="J567" s="30">
        <f>_xlfn.XLOOKUP(Tabla2757[[#This Row],[Cargo]], Tabla958[Cargos], Tabla958[Ponderador Precio],0,1,1)</f>
        <v>0</v>
      </c>
      <c r="K567" s="30">
        <f>Tabla2757[[#This Row],[Precio por hora UF]]*Tabla2757[[#This Row],[Ponderador]]</f>
        <v>0</v>
      </c>
      <c r="L567" s="40">
        <v>0</v>
      </c>
      <c r="M567" s="30">
        <f>Tabla2757[[#This Row],[Precio por hora]]*Tabla2757[[#This Row],[Cantidad horas]]</f>
        <v>0</v>
      </c>
      <c r="N567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568" spans="2:14" x14ac:dyDescent="0.3">
      <c r="B568" s="28"/>
      <c r="C568" s="20"/>
      <c r="E568" s="136"/>
      <c r="F568" s="177">
        <f>_xlfn.XLOOKUP(Tabla2757[[#This Row],[Tipo de venta]],Tabla2329[Tipo de venta],Tabla2329[Moneda final], "Error - Seleccionar Tipo de Venta", 0,1)</f>
        <v>0</v>
      </c>
      <c r="G568" s="178"/>
      <c r="H568" s="21"/>
      <c r="I568" s="30">
        <f>_xlfn.XLOOKUP(Tabla2757[[#This Row],[Puesto Encargado]], Tabla9[Puesto], Tabla9[Precio cliente],0,1,1)</f>
        <v>0</v>
      </c>
      <c r="J568" s="30">
        <f>_xlfn.XLOOKUP(Tabla2757[[#This Row],[Cargo]], Tabla958[Cargos], Tabla958[Ponderador Precio],0,1,1)</f>
        <v>0</v>
      </c>
      <c r="K568" s="30">
        <f>Tabla2757[[#This Row],[Precio por hora UF]]*Tabla2757[[#This Row],[Ponderador]]</f>
        <v>0</v>
      </c>
      <c r="L568" s="40">
        <v>0</v>
      </c>
      <c r="M568" s="30">
        <f>Tabla2757[[#This Row],[Precio por hora]]*Tabla2757[[#This Row],[Cantidad horas]]</f>
        <v>0</v>
      </c>
      <c r="N568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569" spans="2:14" x14ac:dyDescent="0.3">
      <c r="B569" s="28"/>
      <c r="C569" s="20"/>
      <c r="E569" s="136"/>
      <c r="F569" s="177">
        <f>_xlfn.XLOOKUP(Tabla2757[[#This Row],[Tipo de venta]],Tabla2329[Tipo de venta],Tabla2329[Moneda final], "Error - Seleccionar Tipo de Venta", 0,1)</f>
        <v>0</v>
      </c>
      <c r="G569" s="178"/>
      <c r="H569" s="21"/>
      <c r="I569" s="30">
        <f>_xlfn.XLOOKUP(Tabla2757[[#This Row],[Puesto Encargado]], Tabla9[Puesto], Tabla9[Precio cliente],0,1,1)</f>
        <v>0</v>
      </c>
      <c r="J569" s="30">
        <f>_xlfn.XLOOKUP(Tabla2757[[#This Row],[Cargo]], Tabla958[Cargos], Tabla958[Ponderador Precio],0,1,1)</f>
        <v>0</v>
      </c>
      <c r="K569" s="30">
        <f>Tabla2757[[#This Row],[Precio por hora UF]]*Tabla2757[[#This Row],[Ponderador]]</f>
        <v>0</v>
      </c>
      <c r="L569" s="40">
        <v>0</v>
      </c>
      <c r="M569" s="30">
        <f>Tabla2757[[#This Row],[Precio por hora]]*Tabla2757[[#This Row],[Cantidad horas]]</f>
        <v>0</v>
      </c>
      <c r="N569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570" spans="2:14" x14ac:dyDescent="0.3">
      <c r="B570" s="28"/>
      <c r="C570" s="20"/>
      <c r="E570" s="136"/>
      <c r="F570" s="177">
        <f>_xlfn.XLOOKUP(Tabla2757[[#This Row],[Tipo de venta]],Tabla2329[Tipo de venta],Tabla2329[Moneda final], "Error - Seleccionar Tipo de Venta", 0,1)</f>
        <v>0</v>
      </c>
      <c r="G570" s="178"/>
      <c r="H570" s="21"/>
      <c r="I570" s="30">
        <f>_xlfn.XLOOKUP(Tabla2757[[#This Row],[Puesto Encargado]], Tabla9[Puesto], Tabla9[Precio cliente],0,1,1)</f>
        <v>0</v>
      </c>
      <c r="J570" s="30">
        <f>_xlfn.XLOOKUP(Tabla2757[[#This Row],[Cargo]], Tabla958[Cargos], Tabla958[Ponderador Precio],0,1,1)</f>
        <v>0</v>
      </c>
      <c r="K570" s="30">
        <f>Tabla2757[[#This Row],[Precio por hora UF]]*Tabla2757[[#This Row],[Ponderador]]</f>
        <v>0</v>
      </c>
      <c r="L570" s="40">
        <v>0</v>
      </c>
      <c r="M570" s="30">
        <f>Tabla2757[[#This Row],[Precio por hora]]*Tabla2757[[#This Row],[Cantidad horas]]</f>
        <v>0</v>
      </c>
      <c r="N570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571" spans="2:14" x14ac:dyDescent="0.3">
      <c r="B571" s="28"/>
      <c r="C571" s="20"/>
      <c r="E571" s="136"/>
      <c r="F571" s="177">
        <f>_xlfn.XLOOKUP(Tabla2757[[#This Row],[Tipo de venta]],Tabla2329[Tipo de venta],Tabla2329[Moneda final], "Error - Seleccionar Tipo de Venta", 0,1)</f>
        <v>0</v>
      </c>
      <c r="G571" s="178"/>
      <c r="H571" s="21"/>
      <c r="I571" s="30">
        <f>_xlfn.XLOOKUP(Tabla2757[[#This Row],[Puesto Encargado]], Tabla9[Puesto], Tabla9[Precio cliente],0,1,1)</f>
        <v>0</v>
      </c>
      <c r="J571" s="30">
        <f>_xlfn.XLOOKUP(Tabla2757[[#This Row],[Cargo]], Tabla958[Cargos], Tabla958[Ponderador Precio],0,1,1)</f>
        <v>0</v>
      </c>
      <c r="K571" s="30">
        <f>Tabla2757[[#This Row],[Precio por hora UF]]*Tabla2757[[#This Row],[Ponderador]]</f>
        <v>0</v>
      </c>
      <c r="L571" s="40">
        <v>0</v>
      </c>
      <c r="M571" s="30">
        <f>Tabla2757[[#This Row],[Precio por hora]]*Tabla2757[[#This Row],[Cantidad horas]]</f>
        <v>0</v>
      </c>
      <c r="N571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572" spans="2:14" x14ac:dyDescent="0.3">
      <c r="B572" s="28"/>
      <c r="C572" s="20"/>
      <c r="E572" s="136"/>
      <c r="F572" s="177">
        <f>_xlfn.XLOOKUP(Tabla2757[[#This Row],[Tipo de venta]],Tabla2329[Tipo de venta],Tabla2329[Moneda final], "Error - Seleccionar Tipo de Venta", 0,1)</f>
        <v>0</v>
      </c>
      <c r="G572" s="178"/>
      <c r="H572" s="21"/>
      <c r="I572" s="30">
        <f>_xlfn.XLOOKUP(Tabla2757[[#This Row],[Puesto Encargado]], Tabla9[Puesto], Tabla9[Precio cliente],0,1,1)</f>
        <v>0</v>
      </c>
      <c r="J572" s="30">
        <f>_xlfn.XLOOKUP(Tabla2757[[#This Row],[Cargo]], Tabla958[Cargos], Tabla958[Ponderador Precio],0,1,1)</f>
        <v>0</v>
      </c>
      <c r="K572" s="30">
        <f>Tabla2757[[#This Row],[Precio por hora UF]]*Tabla2757[[#This Row],[Ponderador]]</f>
        <v>0</v>
      </c>
      <c r="L572" s="40">
        <v>0</v>
      </c>
      <c r="M572" s="30">
        <f>Tabla2757[[#This Row],[Precio por hora]]*Tabla2757[[#This Row],[Cantidad horas]]</f>
        <v>0</v>
      </c>
      <c r="N572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573" spans="2:14" x14ac:dyDescent="0.3">
      <c r="B573" s="28"/>
      <c r="C573" s="20"/>
      <c r="E573" s="136"/>
      <c r="F573" s="177">
        <f>_xlfn.XLOOKUP(Tabla2757[[#This Row],[Tipo de venta]],Tabla2329[Tipo de venta],Tabla2329[Moneda final], "Error - Seleccionar Tipo de Venta", 0,1)</f>
        <v>0</v>
      </c>
      <c r="G573" s="178"/>
      <c r="H573" s="21"/>
      <c r="I573" s="30">
        <f>_xlfn.XLOOKUP(Tabla2757[[#This Row],[Puesto Encargado]], Tabla9[Puesto], Tabla9[Precio cliente],0,1,1)</f>
        <v>0</v>
      </c>
      <c r="J573" s="30">
        <f>_xlfn.XLOOKUP(Tabla2757[[#This Row],[Cargo]], Tabla958[Cargos], Tabla958[Ponderador Precio],0,1,1)</f>
        <v>0</v>
      </c>
      <c r="K573" s="30">
        <f>Tabla2757[[#This Row],[Precio por hora UF]]*Tabla2757[[#This Row],[Ponderador]]</f>
        <v>0</v>
      </c>
      <c r="L573" s="40">
        <v>0</v>
      </c>
      <c r="M573" s="30">
        <f>Tabla2757[[#This Row],[Precio por hora]]*Tabla2757[[#This Row],[Cantidad horas]]</f>
        <v>0</v>
      </c>
      <c r="N573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574" spans="2:14" x14ac:dyDescent="0.3">
      <c r="B574" s="28"/>
      <c r="C574" s="20"/>
      <c r="E574" s="136"/>
      <c r="F574" s="177">
        <f>_xlfn.XLOOKUP(Tabla2757[[#This Row],[Tipo de venta]],Tabla2329[Tipo de venta],Tabla2329[Moneda final], "Error - Seleccionar Tipo de Venta", 0,1)</f>
        <v>0</v>
      </c>
      <c r="G574" s="178"/>
      <c r="H574" s="21"/>
      <c r="I574" s="30">
        <f>_xlfn.XLOOKUP(Tabla2757[[#This Row],[Puesto Encargado]], Tabla9[Puesto], Tabla9[Precio cliente],0,1,1)</f>
        <v>0</v>
      </c>
      <c r="J574" s="30">
        <f>_xlfn.XLOOKUP(Tabla2757[[#This Row],[Cargo]], Tabla958[Cargos], Tabla958[Ponderador Precio],0,1,1)</f>
        <v>0</v>
      </c>
      <c r="K574" s="30">
        <f>Tabla2757[[#This Row],[Precio por hora UF]]*Tabla2757[[#This Row],[Ponderador]]</f>
        <v>0</v>
      </c>
      <c r="L574" s="40">
        <v>0</v>
      </c>
      <c r="M574" s="30">
        <f>Tabla2757[[#This Row],[Precio por hora]]*Tabla2757[[#This Row],[Cantidad horas]]</f>
        <v>0</v>
      </c>
      <c r="N574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575" spans="2:14" x14ac:dyDescent="0.3">
      <c r="B575" s="28"/>
      <c r="C575" s="20"/>
      <c r="E575" s="136"/>
      <c r="F575" s="177">
        <f>_xlfn.XLOOKUP(Tabla2757[[#This Row],[Tipo de venta]],Tabla2329[Tipo de venta],Tabla2329[Moneda final], "Error - Seleccionar Tipo de Venta", 0,1)</f>
        <v>0</v>
      </c>
      <c r="G575" s="178"/>
      <c r="H575" s="21"/>
      <c r="I575" s="30">
        <f>_xlfn.XLOOKUP(Tabla2757[[#This Row],[Puesto Encargado]], Tabla9[Puesto], Tabla9[Precio cliente],0,1,1)</f>
        <v>0</v>
      </c>
      <c r="J575" s="30">
        <f>_xlfn.XLOOKUP(Tabla2757[[#This Row],[Cargo]], Tabla958[Cargos], Tabla958[Ponderador Precio],0,1,1)</f>
        <v>0</v>
      </c>
      <c r="K575" s="30">
        <f>Tabla2757[[#This Row],[Precio por hora UF]]*Tabla2757[[#This Row],[Ponderador]]</f>
        <v>0</v>
      </c>
      <c r="L575" s="40">
        <v>0</v>
      </c>
      <c r="M575" s="30">
        <f>Tabla2757[[#This Row],[Precio por hora]]*Tabla2757[[#This Row],[Cantidad horas]]</f>
        <v>0</v>
      </c>
      <c r="N575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576" spans="2:14" x14ac:dyDescent="0.3">
      <c r="B576" s="28"/>
      <c r="C576" s="20"/>
      <c r="E576" s="136"/>
      <c r="F576" s="177">
        <f>_xlfn.XLOOKUP(Tabla2757[[#This Row],[Tipo de venta]],Tabla2329[Tipo de venta],Tabla2329[Moneda final], "Error - Seleccionar Tipo de Venta", 0,1)</f>
        <v>0</v>
      </c>
      <c r="G576" s="178"/>
      <c r="H576" s="21"/>
      <c r="I576" s="30">
        <f>_xlfn.XLOOKUP(Tabla2757[[#This Row],[Puesto Encargado]], Tabla9[Puesto], Tabla9[Precio cliente],0,1,1)</f>
        <v>0</v>
      </c>
      <c r="J576" s="30">
        <f>_xlfn.XLOOKUP(Tabla2757[[#This Row],[Cargo]], Tabla958[Cargos], Tabla958[Ponderador Precio],0,1,1)</f>
        <v>0</v>
      </c>
      <c r="K576" s="30">
        <f>Tabla2757[[#This Row],[Precio por hora UF]]*Tabla2757[[#This Row],[Ponderador]]</f>
        <v>0</v>
      </c>
      <c r="L576" s="40">
        <v>0</v>
      </c>
      <c r="M576" s="30">
        <f>Tabla2757[[#This Row],[Precio por hora]]*Tabla2757[[#This Row],[Cantidad horas]]</f>
        <v>0</v>
      </c>
      <c r="N576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577" spans="2:14" x14ac:dyDescent="0.3">
      <c r="B577" s="28"/>
      <c r="C577" s="20"/>
      <c r="E577" s="136"/>
      <c r="F577" s="177">
        <f>_xlfn.XLOOKUP(Tabla2757[[#This Row],[Tipo de venta]],Tabla2329[Tipo de venta],Tabla2329[Moneda final], "Error - Seleccionar Tipo de Venta", 0,1)</f>
        <v>0</v>
      </c>
      <c r="G577" s="178"/>
      <c r="H577" s="21"/>
      <c r="I577" s="30">
        <f>_xlfn.XLOOKUP(Tabla2757[[#This Row],[Puesto Encargado]], Tabla9[Puesto], Tabla9[Precio cliente],0,1,1)</f>
        <v>0</v>
      </c>
      <c r="J577" s="30">
        <f>_xlfn.XLOOKUP(Tabla2757[[#This Row],[Cargo]], Tabla958[Cargos], Tabla958[Ponderador Precio],0,1,1)</f>
        <v>0</v>
      </c>
      <c r="K577" s="30">
        <f>Tabla2757[[#This Row],[Precio por hora UF]]*Tabla2757[[#This Row],[Ponderador]]</f>
        <v>0</v>
      </c>
      <c r="L577" s="40">
        <v>0</v>
      </c>
      <c r="M577" s="30">
        <f>Tabla2757[[#This Row],[Precio por hora]]*Tabla2757[[#This Row],[Cantidad horas]]</f>
        <v>0</v>
      </c>
      <c r="N577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578" spans="2:14" x14ac:dyDescent="0.3">
      <c r="B578" s="28"/>
      <c r="C578" s="20"/>
      <c r="E578" s="136"/>
      <c r="F578" s="177">
        <f>_xlfn.XLOOKUP(Tabla2757[[#This Row],[Tipo de venta]],Tabla2329[Tipo de venta],Tabla2329[Moneda final], "Error - Seleccionar Tipo de Venta", 0,1)</f>
        <v>0</v>
      </c>
      <c r="G578" s="178"/>
      <c r="H578" s="21"/>
      <c r="I578" s="30">
        <f>_xlfn.XLOOKUP(Tabla2757[[#This Row],[Puesto Encargado]], Tabla9[Puesto], Tabla9[Precio cliente],0,1,1)</f>
        <v>0</v>
      </c>
      <c r="J578" s="30">
        <f>_xlfn.XLOOKUP(Tabla2757[[#This Row],[Cargo]], Tabla958[Cargos], Tabla958[Ponderador Precio],0,1,1)</f>
        <v>0</v>
      </c>
      <c r="K578" s="30">
        <f>Tabla2757[[#This Row],[Precio por hora UF]]*Tabla2757[[#This Row],[Ponderador]]</f>
        <v>0</v>
      </c>
      <c r="L578" s="40">
        <v>0</v>
      </c>
      <c r="M578" s="30">
        <f>Tabla2757[[#This Row],[Precio por hora]]*Tabla2757[[#This Row],[Cantidad horas]]</f>
        <v>0</v>
      </c>
      <c r="N578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579" spans="2:14" x14ac:dyDescent="0.3">
      <c r="B579" s="28"/>
      <c r="C579" s="20"/>
      <c r="E579" s="136"/>
      <c r="F579" s="177">
        <f>_xlfn.XLOOKUP(Tabla2757[[#This Row],[Tipo de venta]],Tabla2329[Tipo de venta],Tabla2329[Moneda final], "Error - Seleccionar Tipo de Venta", 0,1)</f>
        <v>0</v>
      </c>
      <c r="G579" s="178"/>
      <c r="H579" s="21"/>
      <c r="I579" s="30">
        <f>_xlfn.XLOOKUP(Tabla2757[[#This Row],[Puesto Encargado]], Tabla9[Puesto], Tabla9[Precio cliente],0,1,1)</f>
        <v>0</v>
      </c>
      <c r="J579" s="30">
        <f>_xlfn.XLOOKUP(Tabla2757[[#This Row],[Cargo]], Tabla958[Cargos], Tabla958[Ponderador Precio],0,1,1)</f>
        <v>0</v>
      </c>
      <c r="K579" s="30">
        <f>Tabla2757[[#This Row],[Precio por hora UF]]*Tabla2757[[#This Row],[Ponderador]]</f>
        <v>0</v>
      </c>
      <c r="L579" s="40">
        <v>0</v>
      </c>
      <c r="M579" s="30">
        <f>Tabla2757[[#This Row],[Precio por hora]]*Tabla2757[[#This Row],[Cantidad horas]]</f>
        <v>0</v>
      </c>
      <c r="N579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580" spans="2:14" x14ac:dyDescent="0.3">
      <c r="B580" s="28"/>
      <c r="C580" s="20"/>
      <c r="E580" s="136"/>
      <c r="F580" s="177">
        <f>_xlfn.XLOOKUP(Tabla2757[[#This Row],[Tipo de venta]],Tabla2329[Tipo de venta],Tabla2329[Moneda final], "Error - Seleccionar Tipo de Venta", 0,1)</f>
        <v>0</v>
      </c>
      <c r="G580" s="178"/>
      <c r="H580" s="21"/>
      <c r="I580" s="30">
        <f>_xlfn.XLOOKUP(Tabla2757[[#This Row],[Puesto Encargado]], Tabla9[Puesto], Tabla9[Precio cliente],0,1,1)</f>
        <v>0</v>
      </c>
      <c r="J580" s="30">
        <f>_xlfn.XLOOKUP(Tabla2757[[#This Row],[Cargo]], Tabla958[Cargos], Tabla958[Ponderador Precio],0,1,1)</f>
        <v>0</v>
      </c>
      <c r="K580" s="30">
        <f>Tabla2757[[#This Row],[Precio por hora UF]]*Tabla2757[[#This Row],[Ponderador]]</f>
        <v>0</v>
      </c>
      <c r="L580" s="40">
        <v>0</v>
      </c>
      <c r="M580" s="30">
        <f>Tabla2757[[#This Row],[Precio por hora]]*Tabla2757[[#This Row],[Cantidad horas]]</f>
        <v>0</v>
      </c>
      <c r="N580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581" spans="2:14" x14ac:dyDescent="0.3">
      <c r="B581" s="28"/>
      <c r="C581" s="20"/>
      <c r="E581" s="136"/>
      <c r="F581" s="177">
        <f>_xlfn.XLOOKUP(Tabla2757[[#This Row],[Tipo de venta]],Tabla2329[Tipo de venta],Tabla2329[Moneda final], "Error - Seleccionar Tipo de Venta", 0,1)</f>
        <v>0</v>
      </c>
      <c r="G581" s="178"/>
      <c r="H581" s="21"/>
      <c r="I581" s="30">
        <f>_xlfn.XLOOKUP(Tabla2757[[#This Row],[Puesto Encargado]], Tabla9[Puesto], Tabla9[Precio cliente],0,1,1)</f>
        <v>0</v>
      </c>
      <c r="J581" s="30">
        <f>_xlfn.XLOOKUP(Tabla2757[[#This Row],[Cargo]], Tabla958[Cargos], Tabla958[Ponderador Precio],0,1,1)</f>
        <v>0</v>
      </c>
      <c r="K581" s="30">
        <f>Tabla2757[[#This Row],[Precio por hora UF]]*Tabla2757[[#This Row],[Ponderador]]</f>
        <v>0</v>
      </c>
      <c r="L581" s="40">
        <v>0</v>
      </c>
      <c r="M581" s="30">
        <f>Tabla2757[[#This Row],[Precio por hora]]*Tabla2757[[#This Row],[Cantidad horas]]</f>
        <v>0</v>
      </c>
      <c r="N581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582" spans="2:14" x14ac:dyDescent="0.3">
      <c r="B582" s="28"/>
      <c r="C582" s="20"/>
      <c r="E582" s="136"/>
      <c r="F582" s="177">
        <f>_xlfn.XLOOKUP(Tabla2757[[#This Row],[Tipo de venta]],Tabla2329[Tipo de venta],Tabla2329[Moneda final], "Error - Seleccionar Tipo de Venta", 0,1)</f>
        <v>0</v>
      </c>
      <c r="G582" s="178"/>
      <c r="H582" s="21"/>
      <c r="I582" s="30">
        <f>_xlfn.XLOOKUP(Tabla2757[[#This Row],[Puesto Encargado]], Tabla9[Puesto], Tabla9[Precio cliente],0,1,1)</f>
        <v>0</v>
      </c>
      <c r="J582" s="30">
        <f>_xlfn.XLOOKUP(Tabla2757[[#This Row],[Cargo]], Tabla958[Cargos], Tabla958[Ponderador Precio],0,1,1)</f>
        <v>0</v>
      </c>
      <c r="K582" s="30">
        <f>Tabla2757[[#This Row],[Precio por hora UF]]*Tabla2757[[#This Row],[Ponderador]]</f>
        <v>0</v>
      </c>
      <c r="L582" s="40">
        <v>0</v>
      </c>
      <c r="M582" s="30">
        <f>Tabla2757[[#This Row],[Precio por hora]]*Tabla2757[[#This Row],[Cantidad horas]]</f>
        <v>0</v>
      </c>
      <c r="N582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583" spans="2:14" x14ac:dyDescent="0.3">
      <c r="B583" s="28"/>
      <c r="C583" s="20"/>
      <c r="E583" s="136"/>
      <c r="F583" s="177">
        <f>_xlfn.XLOOKUP(Tabla2757[[#This Row],[Tipo de venta]],Tabla2329[Tipo de venta],Tabla2329[Moneda final], "Error - Seleccionar Tipo de Venta", 0,1)</f>
        <v>0</v>
      </c>
      <c r="G583" s="178"/>
      <c r="H583" s="21"/>
      <c r="I583" s="30">
        <f>_xlfn.XLOOKUP(Tabla2757[[#This Row],[Puesto Encargado]], Tabla9[Puesto], Tabla9[Precio cliente],0,1,1)</f>
        <v>0</v>
      </c>
      <c r="J583" s="30">
        <f>_xlfn.XLOOKUP(Tabla2757[[#This Row],[Cargo]], Tabla958[Cargos], Tabla958[Ponderador Precio],0,1,1)</f>
        <v>0</v>
      </c>
      <c r="K583" s="30">
        <f>Tabla2757[[#This Row],[Precio por hora UF]]*Tabla2757[[#This Row],[Ponderador]]</f>
        <v>0</v>
      </c>
      <c r="L583" s="40">
        <v>0</v>
      </c>
      <c r="M583" s="30">
        <f>Tabla2757[[#This Row],[Precio por hora]]*Tabla2757[[#This Row],[Cantidad horas]]</f>
        <v>0</v>
      </c>
      <c r="N583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584" spans="2:14" x14ac:dyDescent="0.3">
      <c r="B584" s="28"/>
      <c r="C584" s="20"/>
      <c r="E584" s="136"/>
      <c r="F584" s="177">
        <f>_xlfn.XLOOKUP(Tabla2757[[#This Row],[Tipo de venta]],Tabla2329[Tipo de venta],Tabla2329[Moneda final], "Error - Seleccionar Tipo de Venta", 0,1)</f>
        <v>0</v>
      </c>
      <c r="G584" s="178"/>
      <c r="H584" s="21"/>
      <c r="I584" s="30">
        <f>_xlfn.XLOOKUP(Tabla2757[[#This Row],[Puesto Encargado]], Tabla9[Puesto], Tabla9[Precio cliente],0,1,1)</f>
        <v>0</v>
      </c>
      <c r="J584" s="30">
        <f>_xlfn.XLOOKUP(Tabla2757[[#This Row],[Cargo]], Tabla958[Cargos], Tabla958[Ponderador Precio],0,1,1)</f>
        <v>0</v>
      </c>
      <c r="K584" s="30">
        <f>Tabla2757[[#This Row],[Precio por hora UF]]*Tabla2757[[#This Row],[Ponderador]]</f>
        <v>0</v>
      </c>
      <c r="L584" s="40">
        <v>0</v>
      </c>
      <c r="M584" s="30">
        <f>Tabla2757[[#This Row],[Precio por hora]]*Tabla2757[[#This Row],[Cantidad horas]]</f>
        <v>0</v>
      </c>
      <c r="N584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585" spans="2:14" x14ac:dyDescent="0.3">
      <c r="B585" s="28"/>
      <c r="C585" s="20"/>
      <c r="E585" s="136"/>
      <c r="F585" s="177">
        <f>_xlfn.XLOOKUP(Tabla2757[[#This Row],[Tipo de venta]],Tabla2329[Tipo de venta],Tabla2329[Moneda final], "Error - Seleccionar Tipo de Venta", 0,1)</f>
        <v>0</v>
      </c>
      <c r="G585" s="178"/>
      <c r="H585" s="21"/>
      <c r="I585" s="30">
        <f>_xlfn.XLOOKUP(Tabla2757[[#This Row],[Puesto Encargado]], Tabla9[Puesto], Tabla9[Precio cliente],0,1,1)</f>
        <v>0</v>
      </c>
      <c r="J585" s="30">
        <f>_xlfn.XLOOKUP(Tabla2757[[#This Row],[Cargo]], Tabla958[Cargos], Tabla958[Ponderador Precio],0,1,1)</f>
        <v>0</v>
      </c>
      <c r="K585" s="30">
        <f>Tabla2757[[#This Row],[Precio por hora UF]]*Tabla2757[[#This Row],[Ponderador]]</f>
        <v>0</v>
      </c>
      <c r="L585" s="40">
        <v>0</v>
      </c>
      <c r="M585" s="30">
        <f>Tabla2757[[#This Row],[Precio por hora]]*Tabla2757[[#This Row],[Cantidad horas]]</f>
        <v>0</v>
      </c>
      <c r="N585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586" spans="2:14" x14ac:dyDescent="0.3">
      <c r="B586" s="28"/>
      <c r="C586" s="20"/>
      <c r="E586" s="136"/>
      <c r="F586" s="177">
        <f>_xlfn.XLOOKUP(Tabla2757[[#This Row],[Tipo de venta]],Tabla2329[Tipo de venta],Tabla2329[Moneda final], "Error - Seleccionar Tipo de Venta", 0,1)</f>
        <v>0</v>
      </c>
      <c r="G586" s="178"/>
      <c r="H586" s="21"/>
      <c r="I586" s="30">
        <f>_xlfn.XLOOKUP(Tabla2757[[#This Row],[Puesto Encargado]], Tabla9[Puesto], Tabla9[Precio cliente],0,1,1)</f>
        <v>0</v>
      </c>
      <c r="J586" s="30">
        <f>_xlfn.XLOOKUP(Tabla2757[[#This Row],[Cargo]], Tabla958[Cargos], Tabla958[Ponderador Precio],0,1,1)</f>
        <v>0</v>
      </c>
      <c r="K586" s="30">
        <f>Tabla2757[[#This Row],[Precio por hora UF]]*Tabla2757[[#This Row],[Ponderador]]</f>
        <v>0</v>
      </c>
      <c r="L586" s="40">
        <v>0</v>
      </c>
      <c r="M586" s="30">
        <f>Tabla2757[[#This Row],[Precio por hora]]*Tabla2757[[#This Row],[Cantidad horas]]</f>
        <v>0</v>
      </c>
      <c r="N586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587" spans="2:14" x14ac:dyDescent="0.3">
      <c r="B587" s="28"/>
      <c r="C587" s="20"/>
      <c r="E587" s="136"/>
      <c r="F587" s="177">
        <f>_xlfn.XLOOKUP(Tabla2757[[#This Row],[Tipo de venta]],Tabla2329[Tipo de venta],Tabla2329[Moneda final], "Error - Seleccionar Tipo de Venta", 0,1)</f>
        <v>0</v>
      </c>
      <c r="G587" s="178"/>
      <c r="H587" s="21"/>
      <c r="I587" s="30">
        <f>_xlfn.XLOOKUP(Tabla2757[[#This Row],[Puesto Encargado]], Tabla9[Puesto], Tabla9[Precio cliente],0,1,1)</f>
        <v>0</v>
      </c>
      <c r="J587" s="30">
        <f>_xlfn.XLOOKUP(Tabla2757[[#This Row],[Cargo]], Tabla958[Cargos], Tabla958[Ponderador Precio],0,1,1)</f>
        <v>0</v>
      </c>
      <c r="K587" s="30">
        <f>Tabla2757[[#This Row],[Precio por hora UF]]*Tabla2757[[#This Row],[Ponderador]]</f>
        <v>0</v>
      </c>
      <c r="L587" s="40">
        <v>0</v>
      </c>
      <c r="M587" s="30">
        <f>Tabla2757[[#This Row],[Precio por hora]]*Tabla2757[[#This Row],[Cantidad horas]]</f>
        <v>0</v>
      </c>
      <c r="N587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588" spans="2:14" x14ac:dyDescent="0.3">
      <c r="B588" s="28"/>
      <c r="C588" s="20"/>
      <c r="E588" s="136"/>
      <c r="F588" s="177">
        <f>_xlfn.XLOOKUP(Tabla2757[[#This Row],[Tipo de venta]],Tabla2329[Tipo de venta],Tabla2329[Moneda final], "Error - Seleccionar Tipo de Venta", 0,1)</f>
        <v>0</v>
      </c>
      <c r="G588" s="178"/>
      <c r="H588" s="21"/>
      <c r="I588" s="30">
        <f>_xlfn.XLOOKUP(Tabla2757[[#This Row],[Puesto Encargado]], Tabla9[Puesto], Tabla9[Precio cliente],0,1,1)</f>
        <v>0</v>
      </c>
      <c r="J588" s="30">
        <f>_xlfn.XLOOKUP(Tabla2757[[#This Row],[Cargo]], Tabla958[Cargos], Tabla958[Ponderador Precio],0,1,1)</f>
        <v>0</v>
      </c>
      <c r="K588" s="30">
        <f>Tabla2757[[#This Row],[Precio por hora UF]]*Tabla2757[[#This Row],[Ponderador]]</f>
        <v>0</v>
      </c>
      <c r="L588" s="40">
        <v>0</v>
      </c>
      <c r="M588" s="30">
        <f>Tabla2757[[#This Row],[Precio por hora]]*Tabla2757[[#This Row],[Cantidad horas]]</f>
        <v>0</v>
      </c>
      <c r="N588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589" spans="2:14" x14ac:dyDescent="0.3">
      <c r="B589" s="28"/>
      <c r="C589" s="20"/>
      <c r="E589" s="136"/>
      <c r="F589" s="177">
        <f>_xlfn.XLOOKUP(Tabla2757[[#This Row],[Tipo de venta]],Tabla2329[Tipo de venta],Tabla2329[Moneda final], "Error - Seleccionar Tipo de Venta", 0,1)</f>
        <v>0</v>
      </c>
      <c r="G589" s="178"/>
      <c r="H589" s="21"/>
      <c r="I589" s="30">
        <f>_xlfn.XLOOKUP(Tabla2757[[#This Row],[Puesto Encargado]], Tabla9[Puesto], Tabla9[Precio cliente],0,1,1)</f>
        <v>0</v>
      </c>
      <c r="J589" s="30">
        <f>_xlfn.XLOOKUP(Tabla2757[[#This Row],[Cargo]], Tabla958[Cargos], Tabla958[Ponderador Precio],0,1,1)</f>
        <v>0</v>
      </c>
      <c r="K589" s="30">
        <f>Tabla2757[[#This Row],[Precio por hora UF]]*Tabla2757[[#This Row],[Ponderador]]</f>
        <v>0</v>
      </c>
      <c r="L589" s="40">
        <v>0</v>
      </c>
      <c r="M589" s="30">
        <f>Tabla2757[[#This Row],[Precio por hora]]*Tabla2757[[#This Row],[Cantidad horas]]</f>
        <v>0</v>
      </c>
      <c r="N589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590" spans="2:14" x14ac:dyDescent="0.3">
      <c r="B590" s="28"/>
      <c r="C590" s="20"/>
      <c r="E590" s="136"/>
      <c r="F590" s="177">
        <f>_xlfn.XLOOKUP(Tabla2757[[#This Row],[Tipo de venta]],Tabla2329[Tipo de venta],Tabla2329[Moneda final], "Error - Seleccionar Tipo de Venta", 0,1)</f>
        <v>0</v>
      </c>
      <c r="G590" s="178"/>
      <c r="H590" s="21"/>
      <c r="I590" s="30">
        <f>_xlfn.XLOOKUP(Tabla2757[[#This Row],[Puesto Encargado]], Tabla9[Puesto], Tabla9[Precio cliente],0,1,1)</f>
        <v>0</v>
      </c>
      <c r="J590" s="30">
        <f>_xlfn.XLOOKUP(Tabla2757[[#This Row],[Cargo]], Tabla958[Cargos], Tabla958[Ponderador Precio],0,1,1)</f>
        <v>0</v>
      </c>
      <c r="K590" s="30">
        <f>Tabla2757[[#This Row],[Precio por hora UF]]*Tabla2757[[#This Row],[Ponderador]]</f>
        <v>0</v>
      </c>
      <c r="L590" s="40">
        <v>0</v>
      </c>
      <c r="M590" s="30">
        <f>Tabla2757[[#This Row],[Precio por hora]]*Tabla2757[[#This Row],[Cantidad horas]]</f>
        <v>0</v>
      </c>
      <c r="N590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591" spans="2:14" x14ac:dyDescent="0.3">
      <c r="B591" s="28"/>
      <c r="C591" s="20"/>
      <c r="E591" s="136"/>
      <c r="F591" s="177">
        <f>_xlfn.XLOOKUP(Tabla2757[[#This Row],[Tipo de venta]],Tabla2329[Tipo de venta],Tabla2329[Moneda final], "Error - Seleccionar Tipo de Venta", 0,1)</f>
        <v>0</v>
      </c>
      <c r="G591" s="178"/>
      <c r="H591" s="21"/>
      <c r="I591" s="30">
        <f>_xlfn.XLOOKUP(Tabla2757[[#This Row],[Puesto Encargado]], Tabla9[Puesto], Tabla9[Precio cliente],0,1,1)</f>
        <v>0</v>
      </c>
      <c r="J591" s="30">
        <f>_xlfn.XLOOKUP(Tabla2757[[#This Row],[Cargo]], Tabla958[Cargos], Tabla958[Ponderador Precio],0,1,1)</f>
        <v>0</v>
      </c>
      <c r="K591" s="30">
        <f>Tabla2757[[#This Row],[Precio por hora UF]]*Tabla2757[[#This Row],[Ponderador]]</f>
        <v>0</v>
      </c>
      <c r="L591" s="40">
        <v>0</v>
      </c>
      <c r="M591" s="30">
        <f>Tabla2757[[#This Row],[Precio por hora]]*Tabla2757[[#This Row],[Cantidad horas]]</f>
        <v>0</v>
      </c>
      <c r="N591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592" spans="2:14" x14ac:dyDescent="0.3">
      <c r="B592" s="28"/>
      <c r="C592" s="20"/>
      <c r="E592" s="136"/>
      <c r="F592" s="177">
        <f>_xlfn.XLOOKUP(Tabla2757[[#This Row],[Tipo de venta]],Tabla2329[Tipo de venta],Tabla2329[Moneda final], "Error - Seleccionar Tipo de Venta", 0,1)</f>
        <v>0</v>
      </c>
      <c r="G592" s="178"/>
      <c r="H592" s="21"/>
      <c r="I592" s="30">
        <f>_xlfn.XLOOKUP(Tabla2757[[#This Row],[Puesto Encargado]], Tabla9[Puesto], Tabla9[Precio cliente],0,1,1)</f>
        <v>0</v>
      </c>
      <c r="J592" s="30">
        <f>_xlfn.XLOOKUP(Tabla2757[[#This Row],[Cargo]], Tabla958[Cargos], Tabla958[Ponderador Precio],0,1,1)</f>
        <v>0</v>
      </c>
      <c r="K592" s="30">
        <f>Tabla2757[[#This Row],[Precio por hora UF]]*Tabla2757[[#This Row],[Ponderador]]</f>
        <v>0</v>
      </c>
      <c r="L592" s="40">
        <v>0</v>
      </c>
      <c r="M592" s="30">
        <f>Tabla2757[[#This Row],[Precio por hora]]*Tabla2757[[#This Row],[Cantidad horas]]</f>
        <v>0</v>
      </c>
      <c r="N592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593" spans="2:14" x14ac:dyDescent="0.3">
      <c r="B593" s="28"/>
      <c r="C593" s="20"/>
      <c r="E593" s="136"/>
      <c r="F593" s="177">
        <f>_xlfn.XLOOKUP(Tabla2757[[#This Row],[Tipo de venta]],Tabla2329[Tipo de venta],Tabla2329[Moneda final], "Error - Seleccionar Tipo de Venta", 0,1)</f>
        <v>0</v>
      </c>
      <c r="G593" s="178"/>
      <c r="H593" s="21"/>
      <c r="I593" s="30">
        <f>_xlfn.XLOOKUP(Tabla2757[[#This Row],[Puesto Encargado]], Tabla9[Puesto], Tabla9[Precio cliente],0,1,1)</f>
        <v>0</v>
      </c>
      <c r="J593" s="30">
        <f>_xlfn.XLOOKUP(Tabla2757[[#This Row],[Cargo]], Tabla958[Cargos], Tabla958[Ponderador Precio],0,1,1)</f>
        <v>0</v>
      </c>
      <c r="K593" s="30">
        <f>Tabla2757[[#This Row],[Precio por hora UF]]*Tabla2757[[#This Row],[Ponderador]]</f>
        <v>0</v>
      </c>
      <c r="L593" s="40">
        <v>0</v>
      </c>
      <c r="M593" s="30">
        <f>Tabla2757[[#This Row],[Precio por hora]]*Tabla2757[[#This Row],[Cantidad horas]]</f>
        <v>0</v>
      </c>
      <c r="N593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594" spans="2:14" x14ac:dyDescent="0.3">
      <c r="B594" s="28"/>
      <c r="C594" s="20"/>
      <c r="E594" s="136"/>
      <c r="F594" s="177">
        <f>_xlfn.XLOOKUP(Tabla2757[[#This Row],[Tipo de venta]],Tabla2329[Tipo de venta],Tabla2329[Moneda final], "Error - Seleccionar Tipo de Venta", 0,1)</f>
        <v>0</v>
      </c>
      <c r="G594" s="178"/>
      <c r="H594" s="21"/>
      <c r="I594" s="30">
        <f>_xlfn.XLOOKUP(Tabla2757[[#This Row],[Puesto Encargado]], Tabla9[Puesto], Tabla9[Precio cliente],0,1,1)</f>
        <v>0</v>
      </c>
      <c r="J594" s="30">
        <f>_xlfn.XLOOKUP(Tabla2757[[#This Row],[Cargo]], Tabla958[Cargos], Tabla958[Ponderador Precio],0,1,1)</f>
        <v>0</v>
      </c>
      <c r="K594" s="30">
        <f>Tabla2757[[#This Row],[Precio por hora UF]]*Tabla2757[[#This Row],[Ponderador]]</f>
        <v>0</v>
      </c>
      <c r="L594" s="40">
        <v>0</v>
      </c>
      <c r="M594" s="30">
        <f>Tabla2757[[#This Row],[Precio por hora]]*Tabla2757[[#This Row],[Cantidad horas]]</f>
        <v>0</v>
      </c>
      <c r="N594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595" spans="2:14" x14ac:dyDescent="0.3">
      <c r="B595" s="28"/>
      <c r="C595" s="20"/>
      <c r="E595" s="136"/>
      <c r="F595" s="177">
        <f>_xlfn.XLOOKUP(Tabla2757[[#This Row],[Tipo de venta]],Tabla2329[Tipo de venta],Tabla2329[Moneda final], "Error - Seleccionar Tipo de Venta", 0,1)</f>
        <v>0</v>
      </c>
      <c r="G595" s="178"/>
      <c r="H595" s="21"/>
      <c r="I595" s="30">
        <f>_xlfn.XLOOKUP(Tabla2757[[#This Row],[Puesto Encargado]], Tabla9[Puesto], Tabla9[Precio cliente],0,1,1)</f>
        <v>0</v>
      </c>
      <c r="J595" s="30">
        <f>_xlfn.XLOOKUP(Tabla2757[[#This Row],[Cargo]], Tabla958[Cargos], Tabla958[Ponderador Precio],0,1,1)</f>
        <v>0</v>
      </c>
      <c r="K595" s="30">
        <f>Tabla2757[[#This Row],[Precio por hora UF]]*Tabla2757[[#This Row],[Ponderador]]</f>
        <v>0</v>
      </c>
      <c r="L595" s="40">
        <v>0</v>
      </c>
      <c r="M595" s="30">
        <f>Tabla2757[[#This Row],[Precio por hora]]*Tabla2757[[#This Row],[Cantidad horas]]</f>
        <v>0</v>
      </c>
      <c r="N595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596" spans="2:14" x14ac:dyDescent="0.3">
      <c r="B596" s="28"/>
      <c r="C596" s="20"/>
      <c r="E596" s="136"/>
      <c r="F596" s="177">
        <f>_xlfn.XLOOKUP(Tabla2757[[#This Row],[Tipo de venta]],Tabla2329[Tipo de venta],Tabla2329[Moneda final], "Error - Seleccionar Tipo de Venta", 0,1)</f>
        <v>0</v>
      </c>
      <c r="G596" s="178"/>
      <c r="H596" s="21"/>
      <c r="I596" s="30">
        <f>_xlfn.XLOOKUP(Tabla2757[[#This Row],[Puesto Encargado]], Tabla9[Puesto], Tabla9[Precio cliente],0,1,1)</f>
        <v>0</v>
      </c>
      <c r="J596" s="30">
        <f>_xlfn.XLOOKUP(Tabla2757[[#This Row],[Cargo]], Tabla958[Cargos], Tabla958[Ponderador Precio],0,1,1)</f>
        <v>0</v>
      </c>
      <c r="K596" s="30">
        <f>Tabla2757[[#This Row],[Precio por hora UF]]*Tabla2757[[#This Row],[Ponderador]]</f>
        <v>0</v>
      </c>
      <c r="L596" s="40">
        <v>0</v>
      </c>
      <c r="M596" s="30">
        <f>Tabla2757[[#This Row],[Precio por hora]]*Tabla2757[[#This Row],[Cantidad horas]]</f>
        <v>0</v>
      </c>
      <c r="N596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597" spans="2:14" x14ac:dyDescent="0.3">
      <c r="B597" s="28"/>
      <c r="C597" s="20"/>
      <c r="E597" s="136"/>
      <c r="F597" s="177">
        <f>_xlfn.XLOOKUP(Tabla2757[[#This Row],[Tipo de venta]],Tabla2329[Tipo de venta],Tabla2329[Moneda final], "Error - Seleccionar Tipo de Venta", 0,1)</f>
        <v>0</v>
      </c>
      <c r="G597" s="178"/>
      <c r="H597" s="21"/>
      <c r="I597" s="30">
        <f>_xlfn.XLOOKUP(Tabla2757[[#This Row],[Puesto Encargado]], Tabla9[Puesto], Tabla9[Precio cliente],0,1,1)</f>
        <v>0</v>
      </c>
      <c r="J597" s="30">
        <f>_xlfn.XLOOKUP(Tabla2757[[#This Row],[Cargo]], Tabla958[Cargos], Tabla958[Ponderador Precio],0,1,1)</f>
        <v>0</v>
      </c>
      <c r="K597" s="30">
        <f>Tabla2757[[#This Row],[Precio por hora UF]]*Tabla2757[[#This Row],[Ponderador]]</f>
        <v>0</v>
      </c>
      <c r="L597" s="40">
        <v>0</v>
      </c>
      <c r="M597" s="30">
        <f>Tabla2757[[#This Row],[Precio por hora]]*Tabla2757[[#This Row],[Cantidad horas]]</f>
        <v>0</v>
      </c>
      <c r="N597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598" spans="2:14" x14ac:dyDescent="0.3">
      <c r="B598" s="28"/>
      <c r="C598" s="20"/>
      <c r="E598" s="136"/>
      <c r="F598" s="177">
        <f>_xlfn.XLOOKUP(Tabla2757[[#This Row],[Tipo de venta]],Tabla2329[Tipo de venta],Tabla2329[Moneda final], "Error - Seleccionar Tipo de Venta", 0,1)</f>
        <v>0</v>
      </c>
      <c r="G598" s="178"/>
      <c r="H598" s="21"/>
      <c r="I598" s="30">
        <f>_xlfn.XLOOKUP(Tabla2757[[#This Row],[Puesto Encargado]], Tabla9[Puesto], Tabla9[Precio cliente],0,1,1)</f>
        <v>0</v>
      </c>
      <c r="J598" s="30">
        <f>_xlfn.XLOOKUP(Tabla2757[[#This Row],[Cargo]], Tabla958[Cargos], Tabla958[Ponderador Precio],0,1,1)</f>
        <v>0</v>
      </c>
      <c r="K598" s="30">
        <f>Tabla2757[[#This Row],[Precio por hora UF]]*Tabla2757[[#This Row],[Ponderador]]</f>
        <v>0</v>
      </c>
      <c r="L598" s="40">
        <v>0</v>
      </c>
      <c r="M598" s="30">
        <f>Tabla2757[[#This Row],[Precio por hora]]*Tabla2757[[#This Row],[Cantidad horas]]</f>
        <v>0</v>
      </c>
      <c r="N598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599" spans="2:14" x14ac:dyDescent="0.3">
      <c r="B599" s="28"/>
      <c r="C599" s="20"/>
      <c r="E599" s="136"/>
      <c r="F599" s="177">
        <f>_xlfn.XLOOKUP(Tabla2757[[#This Row],[Tipo de venta]],Tabla2329[Tipo de venta],Tabla2329[Moneda final], "Error - Seleccionar Tipo de Venta", 0,1)</f>
        <v>0</v>
      </c>
      <c r="G599" s="178"/>
      <c r="H599" s="21"/>
      <c r="I599" s="30">
        <f>_xlfn.XLOOKUP(Tabla2757[[#This Row],[Puesto Encargado]], Tabla9[Puesto], Tabla9[Precio cliente],0,1,1)</f>
        <v>0</v>
      </c>
      <c r="J599" s="30">
        <f>_xlfn.XLOOKUP(Tabla2757[[#This Row],[Cargo]], Tabla958[Cargos], Tabla958[Ponderador Precio],0,1,1)</f>
        <v>0</v>
      </c>
      <c r="K599" s="30">
        <f>Tabla2757[[#This Row],[Precio por hora UF]]*Tabla2757[[#This Row],[Ponderador]]</f>
        <v>0</v>
      </c>
      <c r="L599" s="40">
        <v>0</v>
      </c>
      <c r="M599" s="30">
        <f>Tabla2757[[#This Row],[Precio por hora]]*Tabla2757[[#This Row],[Cantidad horas]]</f>
        <v>0</v>
      </c>
      <c r="N599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600" spans="2:14" x14ac:dyDescent="0.3">
      <c r="B600" s="28"/>
      <c r="C600" s="20"/>
      <c r="E600" s="136"/>
      <c r="F600" s="177">
        <f>_xlfn.XLOOKUP(Tabla2757[[#This Row],[Tipo de venta]],Tabla2329[Tipo de venta],Tabla2329[Moneda final], "Error - Seleccionar Tipo de Venta", 0,1)</f>
        <v>0</v>
      </c>
      <c r="G600" s="178"/>
      <c r="H600" s="21"/>
      <c r="I600" s="30">
        <f>_xlfn.XLOOKUP(Tabla2757[[#This Row],[Puesto Encargado]], Tabla9[Puesto], Tabla9[Precio cliente],0,1,1)</f>
        <v>0</v>
      </c>
      <c r="J600" s="30">
        <f>_xlfn.XLOOKUP(Tabla2757[[#This Row],[Cargo]], Tabla958[Cargos], Tabla958[Ponderador Precio],0,1,1)</f>
        <v>0</v>
      </c>
      <c r="K600" s="30">
        <f>Tabla2757[[#This Row],[Precio por hora UF]]*Tabla2757[[#This Row],[Ponderador]]</f>
        <v>0</v>
      </c>
      <c r="L600" s="40">
        <v>0</v>
      </c>
      <c r="M600" s="30">
        <f>Tabla2757[[#This Row],[Precio por hora]]*Tabla2757[[#This Row],[Cantidad horas]]</f>
        <v>0</v>
      </c>
      <c r="N600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601" spans="2:14" x14ac:dyDescent="0.3">
      <c r="B601" s="28"/>
      <c r="C601" s="20"/>
      <c r="E601" s="136"/>
      <c r="F601" s="177">
        <f>_xlfn.XLOOKUP(Tabla2757[[#This Row],[Tipo de venta]],Tabla2329[Tipo de venta],Tabla2329[Moneda final], "Error - Seleccionar Tipo de Venta", 0,1)</f>
        <v>0</v>
      </c>
      <c r="G601" s="178"/>
      <c r="H601" s="21"/>
      <c r="I601" s="30">
        <f>_xlfn.XLOOKUP(Tabla2757[[#This Row],[Puesto Encargado]], Tabla9[Puesto], Tabla9[Precio cliente],0,1,1)</f>
        <v>0</v>
      </c>
      <c r="J601" s="30">
        <f>_xlfn.XLOOKUP(Tabla2757[[#This Row],[Cargo]], Tabla958[Cargos], Tabla958[Ponderador Precio],0,1,1)</f>
        <v>0</v>
      </c>
      <c r="K601" s="30">
        <f>Tabla2757[[#This Row],[Precio por hora UF]]*Tabla2757[[#This Row],[Ponderador]]</f>
        <v>0</v>
      </c>
      <c r="L601" s="40">
        <v>0</v>
      </c>
      <c r="M601" s="30">
        <f>Tabla2757[[#This Row],[Precio por hora]]*Tabla2757[[#This Row],[Cantidad horas]]</f>
        <v>0</v>
      </c>
      <c r="N601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602" spans="2:14" x14ac:dyDescent="0.3">
      <c r="B602" s="28"/>
      <c r="C602" s="20"/>
      <c r="E602" s="136"/>
      <c r="F602" s="177">
        <f>_xlfn.XLOOKUP(Tabla2757[[#This Row],[Tipo de venta]],Tabla2329[Tipo de venta],Tabla2329[Moneda final], "Error - Seleccionar Tipo de Venta", 0,1)</f>
        <v>0</v>
      </c>
      <c r="G602" s="178"/>
      <c r="H602" s="21"/>
      <c r="I602" s="30">
        <f>_xlfn.XLOOKUP(Tabla2757[[#This Row],[Puesto Encargado]], Tabla9[Puesto], Tabla9[Precio cliente],0,1,1)</f>
        <v>0</v>
      </c>
      <c r="J602" s="30">
        <f>_xlfn.XLOOKUP(Tabla2757[[#This Row],[Cargo]], Tabla958[Cargos], Tabla958[Ponderador Precio],0,1,1)</f>
        <v>0</v>
      </c>
      <c r="K602" s="30">
        <f>Tabla2757[[#This Row],[Precio por hora UF]]*Tabla2757[[#This Row],[Ponderador]]</f>
        <v>0</v>
      </c>
      <c r="L602" s="40">
        <v>0</v>
      </c>
      <c r="M602" s="30">
        <f>Tabla2757[[#This Row],[Precio por hora]]*Tabla2757[[#This Row],[Cantidad horas]]</f>
        <v>0</v>
      </c>
      <c r="N602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603" spans="2:14" x14ac:dyDescent="0.3">
      <c r="B603" s="28"/>
      <c r="C603" s="20"/>
      <c r="E603" s="136"/>
      <c r="F603" s="177">
        <f>_xlfn.XLOOKUP(Tabla2757[[#This Row],[Tipo de venta]],Tabla2329[Tipo de venta],Tabla2329[Moneda final], "Error - Seleccionar Tipo de Venta", 0,1)</f>
        <v>0</v>
      </c>
      <c r="G603" s="178"/>
      <c r="H603" s="21"/>
      <c r="I603" s="30">
        <f>_xlfn.XLOOKUP(Tabla2757[[#This Row],[Puesto Encargado]], Tabla9[Puesto], Tabla9[Precio cliente],0,1,1)</f>
        <v>0</v>
      </c>
      <c r="J603" s="30">
        <f>_xlfn.XLOOKUP(Tabla2757[[#This Row],[Cargo]], Tabla958[Cargos], Tabla958[Ponderador Precio],0,1,1)</f>
        <v>0</v>
      </c>
      <c r="K603" s="30">
        <f>Tabla2757[[#This Row],[Precio por hora UF]]*Tabla2757[[#This Row],[Ponderador]]</f>
        <v>0</v>
      </c>
      <c r="L603" s="40">
        <v>0</v>
      </c>
      <c r="M603" s="30">
        <f>Tabla2757[[#This Row],[Precio por hora]]*Tabla2757[[#This Row],[Cantidad horas]]</f>
        <v>0</v>
      </c>
      <c r="N603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604" spans="2:14" x14ac:dyDescent="0.3">
      <c r="B604" s="28"/>
      <c r="C604" s="20"/>
      <c r="E604" s="136"/>
      <c r="F604" s="177">
        <f>_xlfn.XLOOKUP(Tabla2757[[#This Row],[Tipo de venta]],Tabla2329[Tipo de venta],Tabla2329[Moneda final], "Error - Seleccionar Tipo de Venta", 0,1)</f>
        <v>0</v>
      </c>
      <c r="G604" s="178"/>
      <c r="H604" s="21"/>
      <c r="I604" s="30">
        <f>_xlfn.XLOOKUP(Tabla2757[[#This Row],[Puesto Encargado]], Tabla9[Puesto], Tabla9[Precio cliente],0,1,1)</f>
        <v>0</v>
      </c>
      <c r="J604" s="30">
        <f>_xlfn.XLOOKUP(Tabla2757[[#This Row],[Cargo]], Tabla958[Cargos], Tabla958[Ponderador Precio],0,1,1)</f>
        <v>0</v>
      </c>
      <c r="K604" s="30">
        <f>Tabla2757[[#This Row],[Precio por hora UF]]*Tabla2757[[#This Row],[Ponderador]]</f>
        <v>0</v>
      </c>
      <c r="L604" s="40">
        <v>0</v>
      </c>
      <c r="M604" s="30">
        <f>Tabla2757[[#This Row],[Precio por hora]]*Tabla2757[[#This Row],[Cantidad horas]]</f>
        <v>0</v>
      </c>
      <c r="N604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605" spans="2:14" x14ac:dyDescent="0.3">
      <c r="B605" s="28"/>
      <c r="C605" s="20"/>
      <c r="E605" s="136"/>
      <c r="F605" s="177">
        <f>_xlfn.XLOOKUP(Tabla2757[[#This Row],[Tipo de venta]],Tabla2329[Tipo de venta],Tabla2329[Moneda final], "Error - Seleccionar Tipo de Venta", 0,1)</f>
        <v>0</v>
      </c>
      <c r="G605" s="178"/>
      <c r="H605" s="21"/>
      <c r="I605" s="30">
        <f>_xlfn.XLOOKUP(Tabla2757[[#This Row],[Puesto Encargado]], Tabla9[Puesto], Tabla9[Precio cliente],0,1,1)</f>
        <v>0</v>
      </c>
      <c r="J605" s="30">
        <f>_xlfn.XLOOKUP(Tabla2757[[#This Row],[Cargo]], Tabla958[Cargos], Tabla958[Ponderador Precio],0,1,1)</f>
        <v>0</v>
      </c>
      <c r="K605" s="30">
        <f>Tabla2757[[#This Row],[Precio por hora UF]]*Tabla2757[[#This Row],[Ponderador]]</f>
        <v>0</v>
      </c>
      <c r="L605" s="40">
        <v>0</v>
      </c>
      <c r="M605" s="30">
        <f>Tabla2757[[#This Row],[Precio por hora]]*Tabla2757[[#This Row],[Cantidad horas]]</f>
        <v>0</v>
      </c>
      <c r="N605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606" spans="2:14" x14ac:dyDescent="0.3">
      <c r="B606" s="28"/>
      <c r="C606" s="20"/>
      <c r="E606" s="136"/>
      <c r="F606" s="177">
        <f>_xlfn.XLOOKUP(Tabla2757[[#This Row],[Tipo de venta]],Tabla2329[Tipo de venta],Tabla2329[Moneda final], "Error - Seleccionar Tipo de Venta", 0,1)</f>
        <v>0</v>
      </c>
      <c r="G606" s="178"/>
      <c r="H606" s="21"/>
      <c r="I606" s="30">
        <f>_xlfn.XLOOKUP(Tabla2757[[#This Row],[Puesto Encargado]], Tabla9[Puesto], Tabla9[Precio cliente],0,1,1)</f>
        <v>0</v>
      </c>
      <c r="J606" s="30">
        <f>_xlfn.XLOOKUP(Tabla2757[[#This Row],[Cargo]], Tabla958[Cargos], Tabla958[Ponderador Precio],0,1,1)</f>
        <v>0</v>
      </c>
      <c r="K606" s="30">
        <f>Tabla2757[[#This Row],[Precio por hora UF]]*Tabla2757[[#This Row],[Ponderador]]</f>
        <v>0</v>
      </c>
      <c r="L606" s="40">
        <v>0</v>
      </c>
      <c r="M606" s="30">
        <f>Tabla2757[[#This Row],[Precio por hora]]*Tabla2757[[#This Row],[Cantidad horas]]</f>
        <v>0</v>
      </c>
      <c r="N606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607" spans="2:14" x14ac:dyDescent="0.3">
      <c r="B607" s="28"/>
      <c r="C607" s="20"/>
      <c r="E607" s="136"/>
      <c r="F607" s="177">
        <f>_xlfn.XLOOKUP(Tabla2757[[#This Row],[Tipo de venta]],Tabla2329[Tipo de venta],Tabla2329[Moneda final], "Error - Seleccionar Tipo de Venta", 0,1)</f>
        <v>0</v>
      </c>
      <c r="G607" s="178"/>
      <c r="H607" s="21"/>
      <c r="I607" s="30">
        <f>_xlfn.XLOOKUP(Tabla2757[[#This Row],[Puesto Encargado]], Tabla9[Puesto], Tabla9[Precio cliente],0,1,1)</f>
        <v>0</v>
      </c>
      <c r="J607" s="30">
        <f>_xlfn.XLOOKUP(Tabla2757[[#This Row],[Cargo]], Tabla958[Cargos], Tabla958[Ponderador Precio],0,1,1)</f>
        <v>0</v>
      </c>
      <c r="K607" s="30">
        <f>Tabla2757[[#This Row],[Precio por hora UF]]*Tabla2757[[#This Row],[Ponderador]]</f>
        <v>0</v>
      </c>
      <c r="L607" s="40">
        <v>0</v>
      </c>
      <c r="M607" s="30">
        <f>Tabla2757[[#This Row],[Precio por hora]]*Tabla2757[[#This Row],[Cantidad horas]]</f>
        <v>0</v>
      </c>
      <c r="N607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608" spans="2:14" x14ac:dyDescent="0.3">
      <c r="B608" s="28"/>
      <c r="C608" s="20"/>
      <c r="E608" s="136"/>
      <c r="F608" s="177">
        <f>_xlfn.XLOOKUP(Tabla2757[[#This Row],[Tipo de venta]],Tabla2329[Tipo de venta],Tabla2329[Moneda final], "Error - Seleccionar Tipo de Venta", 0,1)</f>
        <v>0</v>
      </c>
      <c r="G608" s="178"/>
      <c r="H608" s="21"/>
      <c r="I608" s="30">
        <f>_xlfn.XLOOKUP(Tabla2757[[#This Row],[Puesto Encargado]], Tabla9[Puesto], Tabla9[Precio cliente],0,1,1)</f>
        <v>0</v>
      </c>
      <c r="J608" s="30">
        <f>_xlfn.XLOOKUP(Tabla2757[[#This Row],[Cargo]], Tabla958[Cargos], Tabla958[Ponderador Precio],0,1,1)</f>
        <v>0</v>
      </c>
      <c r="K608" s="30">
        <f>Tabla2757[[#This Row],[Precio por hora UF]]*Tabla2757[[#This Row],[Ponderador]]</f>
        <v>0</v>
      </c>
      <c r="L608" s="40">
        <v>0</v>
      </c>
      <c r="M608" s="30">
        <f>Tabla2757[[#This Row],[Precio por hora]]*Tabla2757[[#This Row],[Cantidad horas]]</f>
        <v>0</v>
      </c>
      <c r="N608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609" spans="2:14" x14ac:dyDescent="0.3">
      <c r="B609" s="28"/>
      <c r="C609" s="20"/>
      <c r="E609" s="136"/>
      <c r="F609" s="177">
        <f>_xlfn.XLOOKUP(Tabla2757[[#This Row],[Tipo de venta]],Tabla2329[Tipo de venta],Tabla2329[Moneda final], "Error - Seleccionar Tipo de Venta", 0,1)</f>
        <v>0</v>
      </c>
      <c r="G609" s="178"/>
      <c r="H609" s="21"/>
      <c r="I609" s="30">
        <f>_xlfn.XLOOKUP(Tabla2757[[#This Row],[Puesto Encargado]], Tabla9[Puesto], Tabla9[Precio cliente],0,1,1)</f>
        <v>0</v>
      </c>
      <c r="J609" s="30">
        <f>_xlfn.XLOOKUP(Tabla2757[[#This Row],[Cargo]], Tabla958[Cargos], Tabla958[Ponderador Precio],0,1,1)</f>
        <v>0</v>
      </c>
      <c r="K609" s="30">
        <f>Tabla2757[[#This Row],[Precio por hora UF]]*Tabla2757[[#This Row],[Ponderador]]</f>
        <v>0</v>
      </c>
      <c r="L609" s="40">
        <v>0</v>
      </c>
      <c r="M609" s="30">
        <f>Tabla2757[[#This Row],[Precio por hora]]*Tabla2757[[#This Row],[Cantidad horas]]</f>
        <v>0</v>
      </c>
      <c r="N609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610" spans="2:14" x14ac:dyDescent="0.3">
      <c r="B610" s="28"/>
      <c r="C610" s="20"/>
      <c r="E610" s="136"/>
      <c r="F610" s="177">
        <f>_xlfn.XLOOKUP(Tabla2757[[#This Row],[Tipo de venta]],Tabla2329[Tipo de venta],Tabla2329[Moneda final], "Error - Seleccionar Tipo de Venta", 0,1)</f>
        <v>0</v>
      </c>
      <c r="G610" s="178"/>
      <c r="H610" s="21"/>
      <c r="I610" s="30">
        <f>_xlfn.XLOOKUP(Tabla2757[[#This Row],[Puesto Encargado]], Tabla9[Puesto], Tabla9[Precio cliente],0,1,1)</f>
        <v>0</v>
      </c>
      <c r="J610" s="30">
        <f>_xlfn.XLOOKUP(Tabla2757[[#This Row],[Cargo]], Tabla958[Cargos], Tabla958[Ponderador Precio],0,1,1)</f>
        <v>0</v>
      </c>
      <c r="K610" s="30">
        <f>Tabla2757[[#This Row],[Precio por hora UF]]*Tabla2757[[#This Row],[Ponderador]]</f>
        <v>0</v>
      </c>
      <c r="L610" s="40">
        <v>0</v>
      </c>
      <c r="M610" s="30">
        <f>Tabla2757[[#This Row],[Precio por hora]]*Tabla2757[[#This Row],[Cantidad horas]]</f>
        <v>0</v>
      </c>
      <c r="N610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611" spans="2:14" x14ac:dyDescent="0.3">
      <c r="B611" s="28"/>
      <c r="C611" s="20"/>
      <c r="E611" s="136"/>
      <c r="F611" s="177">
        <f>_xlfn.XLOOKUP(Tabla2757[[#This Row],[Tipo de venta]],Tabla2329[Tipo de venta],Tabla2329[Moneda final], "Error - Seleccionar Tipo de Venta", 0,1)</f>
        <v>0</v>
      </c>
      <c r="G611" s="178"/>
      <c r="H611" s="21"/>
      <c r="I611" s="30">
        <f>_xlfn.XLOOKUP(Tabla2757[[#This Row],[Puesto Encargado]], Tabla9[Puesto], Tabla9[Precio cliente],0,1,1)</f>
        <v>0</v>
      </c>
      <c r="J611" s="30">
        <f>_xlfn.XLOOKUP(Tabla2757[[#This Row],[Cargo]], Tabla958[Cargos], Tabla958[Ponderador Precio],0,1,1)</f>
        <v>0</v>
      </c>
      <c r="K611" s="30">
        <f>Tabla2757[[#This Row],[Precio por hora UF]]*Tabla2757[[#This Row],[Ponderador]]</f>
        <v>0</v>
      </c>
      <c r="L611" s="40">
        <v>0</v>
      </c>
      <c r="M611" s="30">
        <f>Tabla2757[[#This Row],[Precio por hora]]*Tabla2757[[#This Row],[Cantidad horas]]</f>
        <v>0</v>
      </c>
      <c r="N611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612" spans="2:14" x14ac:dyDescent="0.3">
      <c r="B612" s="28"/>
      <c r="C612" s="20"/>
      <c r="E612" s="136"/>
      <c r="F612" s="177">
        <f>_xlfn.XLOOKUP(Tabla2757[[#This Row],[Tipo de venta]],Tabla2329[Tipo de venta],Tabla2329[Moneda final], "Error - Seleccionar Tipo de Venta", 0,1)</f>
        <v>0</v>
      </c>
      <c r="G612" s="178"/>
      <c r="H612" s="21"/>
      <c r="I612" s="30">
        <f>_xlfn.XLOOKUP(Tabla2757[[#This Row],[Puesto Encargado]], Tabla9[Puesto], Tabla9[Precio cliente],0,1,1)</f>
        <v>0</v>
      </c>
      <c r="J612" s="30">
        <f>_xlfn.XLOOKUP(Tabla2757[[#This Row],[Cargo]], Tabla958[Cargos], Tabla958[Ponderador Precio],0,1,1)</f>
        <v>0</v>
      </c>
      <c r="K612" s="30">
        <f>Tabla2757[[#This Row],[Precio por hora UF]]*Tabla2757[[#This Row],[Ponderador]]</f>
        <v>0</v>
      </c>
      <c r="L612" s="40">
        <v>0</v>
      </c>
      <c r="M612" s="30">
        <f>Tabla2757[[#This Row],[Precio por hora]]*Tabla2757[[#This Row],[Cantidad horas]]</f>
        <v>0</v>
      </c>
      <c r="N612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613" spans="2:14" x14ac:dyDescent="0.3">
      <c r="B613" s="28"/>
      <c r="C613" s="20"/>
      <c r="E613" s="136"/>
      <c r="F613" s="177">
        <f>_xlfn.XLOOKUP(Tabla2757[[#This Row],[Tipo de venta]],Tabla2329[Tipo de venta],Tabla2329[Moneda final], "Error - Seleccionar Tipo de Venta", 0,1)</f>
        <v>0</v>
      </c>
      <c r="G613" s="178"/>
      <c r="H613" s="21"/>
      <c r="I613" s="30">
        <f>_xlfn.XLOOKUP(Tabla2757[[#This Row],[Puesto Encargado]], Tabla9[Puesto], Tabla9[Precio cliente],0,1,1)</f>
        <v>0</v>
      </c>
      <c r="J613" s="30">
        <f>_xlfn.XLOOKUP(Tabla2757[[#This Row],[Cargo]], Tabla958[Cargos], Tabla958[Ponderador Precio],0,1,1)</f>
        <v>0</v>
      </c>
      <c r="K613" s="30">
        <f>Tabla2757[[#This Row],[Precio por hora UF]]*Tabla2757[[#This Row],[Ponderador]]</f>
        <v>0</v>
      </c>
      <c r="L613" s="40">
        <v>0</v>
      </c>
      <c r="M613" s="30">
        <f>Tabla2757[[#This Row],[Precio por hora]]*Tabla2757[[#This Row],[Cantidad horas]]</f>
        <v>0</v>
      </c>
      <c r="N613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614" spans="2:14" x14ac:dyDescent="0.3">
      <c r="B614" s="28"/>
      <c r="C614" s="20"/>
      <c r="E614" s="136"/>
      <c r="F614" s="177">
        <f>_xlfn.XLOOKUP(Tabla2757[[#This Row],[Tipo de venta]],Tabla2329[Tipo de venta],Tabla2329[Moneda final], "Error - Seleccionar Tipo de Venta", 0,1)</f>
        <v>0</v>
      </c>
      <c r="G614" s="178"/>
      <c r="H614" s="21"/>
      <c r="I614" s="30">
        <f>_xlfn.XLOOKUP(Tabla2757[[#This Row],[Puesto Encargado]], Tabla9[Puesto], Tabla9[Precio cliente],0,1,1)</f>
        <v>0</v>
      </c>
      <c r="J614" s="30">
        <f>_xlfn.XLOOKUP(Tabla2757[[#This Row],[Cargo]], Tabla958[Cargos], Tabla958[Ponderador Precio],0,1,1)</f>
        <v>0</v>
      </c>
      <c r="K614" s="30">
        <f>Tabla2757[[#This Row],[Precio por hora UF]]*Tabla2757[[#This Row],[Ponderador]]</f>
        <v>0</v>
      </c>
      <c r="L614" s="40">
        <v>0</v>
      </c>
      <c r="M614" s="30">
        <f>Tabla2757[[#This Row],[Precio por hora]]*Tabla2757[[#This Row],[Cantidad horas]]</f>
        <v>0</v>
      </c>
      <c r="N614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615" spans="2:14" x14ac:dyDescent="0.3">
      <c r="B615" s="28"/>
      <c r="C615" s="20"/>
      <c r="E615" s="136"/>
      <c r="F615" s="177">
        <f>_xlfn.XLOOKUP(Tabla2757[[#This Row],[Tipo de venta]],Tabla2329[Tipo de venta],Tabla2329[Moneda final], "Error - Seleccionar Tipo de Venta", 0,1)</f>
        <v>0</v>
      </c>
      <c r="G615" s="178"/>
      <c r="H615" s="21"/>
      <c r="I615" s="30">
        <f>_xlfn.XLOOKUP(Tabla2757[[#This Row],[Puesto Encargado]], Tabla9[Puesto], Tabla9[Precio cliente],0,1,1)</f>
        <v>0</v>
      </c>
      <c r="J615" s="30">
        <f>_xlfn.XLOOKUP(Tabla2757[[#This Row],[Cargo]], Tabla958[Cargos], Tabla958[Ponderador Precio],0,1,1)</f>
        <v>0</v>
      </c>
      <c r="K615" s="30">
        <f>Tabla2757[[#This Row],[Precio por hora UF]]*Tabla2757[[#This Row],[Ponderador]]</f>
        <v>0</v>
      </c>
      <c r="L615" s="40">
        <v>0</v>
      </c>
      <c r="M615" s="30">
        <f>Tabla2757[[#This Row],[Precio por hora]]*Tabla2757[[#This Row],[Cantidad horas]]</f>
        <v>0</v>
      </c>
      <c r="N615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616" spans="2:14" x14ac:dyDescent="0.3">
      <c r="B616" s="28"/>
      <c r="C616" s="20"/>
      <c r="E616" s="136"/>
      <c r="F616" s="177">
        <f>_xlfn.XLOOKUP(Tabla2757[[#This Row],[Tipo de venta]],Tabla2329[Tipo de venta],Tabla2329[Moneda final], "Error - Seleccionar Tipo de Venta", 0,1)</f>
        <v>0</v>
      </c>
      <c r="G616" s="178"/>
      <c r="H616" s="21"/>
      <c r="I616" s="30">
        <f>_xlfn.XLOOKUP(Tabla2757[[#This Row],[Puesto Encargado]], Tabla9[Puesto], Tabla9[Precio cliente],0,1,1)</f>
        <v>0</v>
      </c>
      <c r="J616" s="30">
        <f>_xlfn.XLOOKUP(Tabla2757[[#This Row],[Cargo]], Tabla958[Cargos], Tabla958[Ponderador Precio],0,1,1)</f>
        <v>0</v>
      </c>
      <c r="K616" s="30">
        <f>Tabla2757[[#This Row],[Precio por hora UF]]*Tabla2757[[#This Row],[Ponderador]]</f>
        <v>0</v>
      </c>
      <c r="L616" s="40">
        <v>0</v>
      </c>
      <c r="M616" s="30">
        <f>Tabla2757[[#This Row],[Precio por hora]]*Tabla2757[[#This Row],[Cantidad horas]]</f>
        <v>0</v>
      </c>
      <c r="N616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617" spans="2:14" x14ac:dyDescent="0.3">
      <c r="B617" s="28"/>
      <c r="C617" s="20"/>
      <c r="E617" s="136"/>
      <c r="F617" s="177">
        <f>_xlfn.XLOOKUP(Tabla2757[[#This Row],[Tipo de venta]],Tabla2329[Tipo de venta],Tabla2329[Moneda final], "Error - Seleccionar Tipo de Venta", 0,1)</f>
        <v>0</v>
      </c>
      <c r="G617" s="178"/>
      <c r="H617" s="21"/>
      <c r="I617" s="30">
        <f>_xlfn.XLOOKUP(Tabla2757[[#This Row],[Puesto Encargado]], Tabla9[Puesto], Tabla9[Precio cliente],0,1,1)</f>
        <v>0</v>
      </c>
      <c r="J617" s="30">
        <f>_xlfn.XLOOKUP(Tabla2757[[#This Row],[Cargo]], Tabla958[Cargos], Tabla958[Ponderador Precio],0,1,1)</f>
        <v>0</v>
      </c>
      <c r="K617" s="30">
        <f>Tabla2757[[#This Row],[Precio por hora UF]]*Tabla2757[[#This Row],[Ponderador]]</f>
        <v>0</v>
      </c>
      <c r="L617" s="40">
        <v>0</v>
      </c>
      <c r="M617" s="30">
        <f>Tabla2757[[#This Row],[Precio por hora]]*Tabla2757[[#This Row],[Cantidad horas]]</f>
        <v>0</v>
      </c>
      <c r="N617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618" spans="2:14" x14ac:dyDescent="0.3">
      <c r="B618" s="28"/>
      <c r="C618" s="20"/>
      <c r="E618" s="136"/>
      <c r="F618" s="177">
        <f>_xlfn.XLOOKUP(Tabla2757[[#This Row],[Tipo de venta]],Tabla2329[Tipo de venta],Tabla2329[Moneda final], "Error - Seleccionar Tipo de Venta", 0,1)</f>
        <v>0</v>
      </c>
      <c r="G618" s="178"/>
      <c r="H618" s="21"/>
      <c r="I618" s="30">
        <f>_xlfn.XLOOKUP(Tabla2757[[#This Row],[Puesto Encargado]], Tabla9[Puesto], Tabla9[Precio cliente],0,1,1)</f>
        <v>0</v>
      </c>
      <c r="J618" s="30">
        <f>_xlfn.XLOOKUP(Tabla2757[[#This Row],[Cargo]], Tabla958[Cargos], Tabla958[Ponderador Precio],0,1,1)</f>
        <v>0</v>
      </c>
      <c r="K618" s="30">
        <f>Tabla2757[[#This Row],[Precio por hora UF]]*Tabla2757[[#This Row],[Ponderador]]</f>
        <v>0</v>
      </c>
      <c r="L618" s="40">
        <v>0</v>
      </c>
      <c r="M618" s="30">
        <f>Tabla2757[[#This Row],[Precio por hora]]*Tabla2757[[#This Row],[Cantidad horas]]</f>
        <v>0</v>
      </c>
      <c r="N618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619" spans="2:14" x14ac:dyDescent="0.3">
      <c r="B619" s="28"/>
      <c r="C619" s="20"/>
      <c r="E619" s="136"/>
      <c r="F619" s="177">
        <f>_xlfn.XLOOKUP(Tabla2757[[#This Row],[Tipo de venta]],Tabla2329[Tipo de venta],Tabla2329[Moneda final], "Error - Seleccionar Tipo de Venta", 0,1)</f>
        <v>0</v>
      </c>
      <c r="G619" s="178"/>
      <c r="H619" s="21"/>
      <c r="I619" s="30">
        <f>_xlfn.XLOOKUP(Tabla2757[[#This Row],[Puesto Encargado]], Tabla9[Puesto], Tabla9[Precio cliente],0,1,1)</f>
        <v>0</v>
      </c>
      <c r="J619" s="30">
        <f>_xlfn.XLOOKUP(Tabla2757[[#This Row],[Cargo]], Tabla958[Cargos], Tabla958[Ponderador Precio],0,1,1)</f>
        <v>0</v>
      </c>
      <c r="K619" s="30">
        <f>Tabla2757[[#This Row],[Precio por hora UF]]*Tabla2757[[#This Row],[Ponderador]]</f>
        <v>0</v>
      </c>
      <c r="L619" s="40">
        <v>0</v>
      </c>
      <c r="M619" s="30">
        <f>Tabla2757[[#This Row],[Precio por hora]]*Tabla2757[[#This Row],[Cantidad horas]]</f>
        <v>0</v>
      </c>
      <c r="N619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620" spans="2:14" x14ac:dyDescent="0.3">
      <c r="B620" s="28"/>
      <c r="C620" s="20"/>
      <c r="E620" s="136"/>
      <c r="F620" s="177">
        <f>_xlfn.XLOOKUP(Tabla2757[[#This Row],[Tipo de venta]],Tabla2329[Tipo de venta],Tabla2329[Moneda final], "Error - Seleccionar Tipo de Venta", 0,1)</f>
        <v>0</v>
      </c>
      <c r="G620" s="178"/>
      <c r="H620" s="21"/>
      <c r="I620" s="30">
        <f>_xlfn.XLOOKUP(Tabla2757[[#This Row],[Puesto Encargado]], Tabla9[Puesto], Tabla9[Precio cliente],0,1,1)</f>
        <v>0</v>
      </c>
      <c r="J620" s="30">
        <f>_xlfn.XLOOKUP(Tabla2757[[#This Row],[Cargo]], Tabla958[Cargos], Tabla958[Ponderador Precio],0,1,1)</f>
        <v>0</v>
      </c>
      <c r="K620" s="30">
        <f>Tabla2757[[#This Row],[Precio por hora UF]]*Tabla2757[[#This Row],[Ponderador]]</f>
        <v>0</v>
      </c>
      <c r="L620" s="40">
        <v>0</v>
      </c>
      <c r="M620" s="30">
        <f>Tabla2757[[#This Row],[Precio por hora]]*Tabla2757[[#This Row],[Cantidad horas]]</f>
        <v>0</v>
      </c>
      <c r="N620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621" spans="2:14" x14ac:dyDescent="0.3">
      <c r="B621" s="28"/>
      <c r="C621" s="20"/>
      <c r="E621" s="136"/>
      <c r="F621" s="177">
        <f>_xlfn.XLOOKUP(Tabla2757[[#This Row],[Tipo de venta]],Tabla2329[Tipo de venta],Tabla2329[Moneda final], "Error - Seleccionar Tipo de Venta", 0,1)</f>
        <v>0</v>
      </c>
      <c r="G621" s="178"/>
      <c r="H621" s="21"/>
      <c r="I621" s="30">
        <f>_xlfn.XLOOKUP(Tabla2757[[#This Row],[Puesto Encargado]], Tabla9[Puesto], Tabla9[Precio cliente],0,1,1)</f>
        <v>0</v>
      </c>
      <c r="J621" s="30">
        <f>_xlfn.XLOOKUP(Tabla2757[[#This Row],[Cargo]], Tabla958[Cargos], Tabla958[Ponderador Precio],0,1,1)</f>
        <v>0</v>
      </c>
      <c r="K621" s="30">
        <f>Tabla2757[[#This Row],[Precio por hora UF]]*Tabla2757[[#This Row],[Ponderador]]</f>
        <v>0</v>
      </c>
      <c r="L621" s="40">
        <v>0</v>
      </c>
      <c r="M621" s="30">
        <f>Tabla2757[[#This Row],[Precio por hora]]*Tabla2757[[#This Row],[Cantidad horas]]</f>
        <v>0</v>
      </c>
      <c r="N621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622" spans="2:14" x14ac:dyDescent="0.3">
      <c r="B622" s="28"/>
      <c r="C622" s="20"/>
      <c r="E622" s="136"/>
      <c r="F622" s="177">
        <f>_xlfn.XLOOKUP(Tabla2757[[#This Row],[Tipo de venta]],Tabla2329[Tipo de venta],Tabla2329[Moneda final], "Error - Seleccionar Tipo de Venta", 0,1)</f>
        <v>0</v>
      </c>
      <c r="G622" s="178"/>
      <c r="H622" s="21"/>
      <c r="I622" s="30">
        <f>_xlfn.XLOOKUP(Tabla2757[[#This Row],[Puesto Encargado]], Tabla9[Puesto], Tabla9[Precio cliente],0,1,1)</f>
        <v>0</v>
      </c>
      <c r="J622" s="30">
        <f>_xlfn.XLOOKUP(Tabla2757[[#This Row],[Cargo]], Tabla958[Cargos], Tabla958[Ponderador Precio],0,1,1)</f>
        <v>0</v>
      </c>
      <c r="K622" s="30">
        <f>Tabla2757[[#This Row],[Precio por hora UF]]*Tabla2757[[#This Row],[Ponderador]]</f>
        <v>0</v>
      </c>
      <c r="L622" s="40">
        <v>0</v>
      </c>
      <c r="M622" s="30">
        <f>Tabla2757[[#This Row],[Precio por hora]]*Tabla2757[[#This Row],[Cantidad horas]]</f>
        <v>0</v>
      </c>
      <c r="N622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623" spans="2:14" x14ac:dyDescent="0.3">
      <c r="B623" s="28"/>
      <c r="C623" s="20"/>
      <c r="E623" s="136"/>
      <c r="F623" s="177">
        <f>_xlfn.XLOOKUP(Tabla2757[[#This Row],[Tipo de venta]],Tabla2329[Tipo de venta],Tabla2329[Moneda final], "Error - Seleccionar Tipo de Venta", 0,1)</f>
        <v>0</v>
      </c>
      <c r="G623" s="178"/>
      <c r="H623" s="21"/>
      <c r="I623" s="30">
        <f>_xlfn.XLOOKUP(Tabla2757[[#This Row],[Puesto Encargado]], Tabla9[Puesto], Tabla9[Precio cliente],0,1,1)</f>
        <v>0</v>
      </c>
      <c r="J623" s="30">
        <f>_xlfn.XLOOKUP(Tabla2757[[#This Row],[Cargo]], Tabla958[Cargos], Tabla958[Ponderador Precio],0,1,1)</f>
        <v>0</v>
      </c>
      <c r="K623" s="30">
        <f>Tabla2757[[#This Row],[Precio por hora UF]]*Tabla2757[[#This Row],[Ponderador]]</f>
        <v>0</v>
      </c>
      <c r="L623" s="40">
        <v>0</v>
      </c>
      <c r="M623" s="30">
        <f>Tabla2757[[#This Row],[Precio por hora]]*Tabla2757[[#This Row],[Cantidad horas]]</f>
        <v>0</v>
      </c>
      <c r="N623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624" spans="2:14" x14ac:dyDescent="0.3">
      <c r="B624" s="28"/>
      <c r="C624" s="20"/>
      <c r="E624" s="136"/>
      <c r="F624" s="177">
        <f>_xlfn.XLOOKUP(Tabla2757[[#This Row],[Tipo de venta]],Tabla2329[Tipo de venta],Tabla2329[Moneda final], "Error - Seleccionar Tipo de Venta", 0,1)</f>
        <v>0</v>
      </c>
      <c r="G624" s="178"/>
      <c r="H624" s="21"/>
      <c r="I624" s="30">
        <f>_xlfn.XLOOKUP(Tabla2757[[#This Row],[Puesto Encargado]], Tabla9[Puesto], Tabla9[Precio cliente],0,1,1)</f>
        <v>0</v>
      </c>
      <c r="J624" s="30">
        <f>_xlfn.XLOOKUP(Tabla2757[[#This Row],[Cargo]], Tabla958[Cargos], Tabla958[Ponderador Precio],0,1,1)</f>
        <v>0</v>
      </c>
      <c r="K624" s="30">
        <f>Tabla2757[[#This Row],[Precio por hora UF]]*Tabla2757[[#This Row],[Ponderador]]</f>
        <v>0</v>
      </c>
      <c r="L624" s="40">
        <v>0</v>
      </c>
      <c r="M624" s="30">
        <f>Tabla2757[[#This Row],[Precio por hora]]*Tabla2757[[#This Row],[Cantidad horas]]</f>
        <v>0</v>
      </c>
      <c r="N624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625" spans="2:14" x14ac:dyDescent="0.3">
      <c r="B625" s="28"/>
      <c r="C625" s="20"/>
      <c r="E625" s="136"/>
      <c r="F625" s="177">
        <f>_xlfn.XLOOKUP(Tabla2757[[#This Row],[Tipo de venta]],Tabla2329[Tipo de venta],Tabla2329[Moneda final], "Error - Seleccionar Tipo de Venta", 0,1)</f>
        <v>0</v>
      </c>
      <c r="G625" s="178"/>
      <c r="H625" s="21"/>
      <c r="I625" s="30">
        <f>_xlfn.XLOOKUP(Tabla2757[[#This Row],[Puesto Encargado]], Tabla9[Puesto], Tabla9[Precio cliente],0,1,1)</f>
        <v>0</v>
      </c>
      <c r="J625" s="30">
        <f>_xlfn.XLOOKUP(Tabla2757[[#This Row],[Cargo]], Tabla958[Cargos], Tabla958[Ponderador Precio],0,1,1)</f>
        <v>0</v>
      </c>
      <c r="K625" s="30">
        <f>Tabla2757[[#This Row],[Precio por hora UF]]*Tabla2757[[#This Row],[Ponderador]]</f>
        <v>0</v>
      </c>
      <c r="L625" s="40">
        <v>0</v>
      </c>
      <c r="M625" s="30">
        <f>Tabla2757[[#This Row],[Precio por hora]]*Tabla2757[[#This Row],[Cantidad horas]]</f>
        <v>0</v>
      </c>
      <c r="N625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626" spans="2:14" x14ac:dyDescent="0.3">
      <c r="B626" s="28"/>
      <c r="C626" s="20"/>
      <c r="E626" s="136"/>
      <c r="F626" s="177">
        <f>_xlfn.XLOOKUP(Tabla2757[[#This Row],[Tipo de venta]],Tabla2329[Tipo de venta],Tabla2329[Moneda final], "Error - Seleccionar Tipo de Venta", 0,1)</f>
        <v>0</v>
      </c>
      <c r="G626" s="178"/>
      <c r="H626" s="21"/>
      <c r="I626" s="30">
        <f>_xlfn.XLOOKUP(Tabla2757[[#This Row],[Puesto Encargado]], Tabla9[Puesto], Tabla9[Precio cliente],0,1,1)</f>
        <v>0</v>
      </c>
      <c r="J626" s="30">
        <f>_xlfn.XLOOKUP(Tabla2757[[#This Row],[Cargo]], Tabla958[Cargos], Tabla958[Ponderador Precio],0,1,1)</f>
        <v>0</v>
      </c>
      <c r="K626" s="30">
        <f>Tabla2757[[#This Row],[Precio por hora UF]]*Tabla2757[[#This Row],[Ponderador]]</f>
        <v>0</v>
      </c>
      <c r="L626" s="40">
        <v>0</v>
      </c>
      <c r="M626" s="30">
        <f>Tabla2757[[#This Row],[Precio por hora]]*Tabla2757[[#This Row],[Cantidad horas]]</f>
        <v>0</v>
      </c>
      <c r="N626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627" spans="2:14" x14ac:dyDescent="0.3">
      <c r="B627" s="28"/>
      <c r="C627" s="20"/>
      <c r="E627" s="136"/>
      <c r="F627" s="177">
        <f>_xlfn.XLOOKUP(Tabla2757[[#This Row],[Tipo de venta]],Tabla2329[Tipo de venta],Tabla2329[Moneda final], "Error - Seleccionar Tipo de Venta", 0,1)</f>
        <v>0</v>
      </c>
      <c r="G627" s="178"/>
      <c r="H627" s="21"/>
      <c r="I627" s="30">
        <f>_xlfn.XLOOKUP(Tabla2757[[#This Row],[Puesto Encargado]], Tabla9[Puesto], Tabla9[Precio cliente],0,1,1)</f>
        <v>0</v>
      </c>
      <c r="J627" s="30">
        <f>_xlfn.XLOOKUP(Tabla2757[[#This Row],[Cargo]], Tabla958[Cargos], Tabla958[Ponderador Precio],0,1,1)</f>
        <v>0</v>
      </c>
      <c r="K627" s="30">
        <f>Tabla2757[[#This Row],[Precio por hora UF]]*Tabla2757[[#This Row],[Ponderador]]</f>
        <v>0</v>
      </c>
      <c r="L627" s="40">
        <v>0</v>
      </c>
      <c r="M627" s="30">
        <f>Tabla2757[[#This Row],[Precio por hora]]*Tabla2757[[#This Row],[Cantidad horas]]</f>
        <v>0</v>
      </c>
      <c r="N627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628" spans="2:14" x14ac:dyDescent="0.3">
      <c r="B628" s="28"/>
      <c r="C628" s="20"/>
      <c r="E628" s="136"/>
      <c r="F628" s="177">
        <f>_xlfn.XLOOKUP(Tabla2757[[#This Row],[Tipo de venta]],Tabla2329[Tipo de venta],Tabla2329[Moneda final], "Error - Seleccionar Tipo de Venta", 0,1)</f>
        <v>0</v>
      </c>
      <c r="G628" s="178"/>
      <c r="H628" s="21"/>
      <c r="I628" s="30">
        <f>_xlfn.XLOOKUP(Tabla2757[[#This Row],[Puesto Encargado]], Tabla9[Puesto], Tabla9[Precio cliente],0,1,1)</f>
        <v>0</v>
      </c>
      <c r="J628" s="30">
        <f>_xlfn.XLOOKUP(Tabla2757[[#This Row],[Cargo]], Tabla958[Cargos], Tabla958[Ponderador Precio],0,1,1)</f>
        <v>0</v>
      </c>
      <c r="K628" s="30">
        <f>Tabla2757[[#This Row],[Precio por hora UF]]*Tabla2757[[#This Row],[Ponderador]]</f>
        <v>0</v>
      </c>
      <c r="L628" s="40">
        <v>0</v>
      </c>
      <c r="M628" s="30">
        <f>Tabla2757[[#This Row],[Precio por hora]]*Tabla2757[[#This Row],[Cantidad horas]]</f>
        <v>0</v>
      </c>
      <c r="N628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629" spans="2:14" x14ac:dyDescent="0.3">
      <c r="B629" s="28"/>
      <c r="C629" s="20"/>
      <c r="E629" s="136"/>
      <c r="F629" s="177">
        <f>_xlfn.XLOOKUP(Tabla2757[[#This Row],[Tipo de venta]],Tabla2329[Tipo de venta],Tabla2329[Moneda final], "Error - Seleccionar Tipo de Venta", 0,1)</f>
        <v>0</v>
      </c>
      <c r="G629" s="178"/>
      <c r="H629" s="21"/>
      <c r="I629" s="30">
        <f>_xlfn.XLOOKUP(Tabla2757[[#This Row],[Puesto Encargado]], Tabla9[Puesto], Tabla9[Precio cliente],0,1,1)</f>
        <v>0</v>
      </c>
      <c r="J629" s="30">
        <f>_xlfn.XLOOKUP(Tabla2757[[#This Row],[Cargo]], Tabla958[Cargos], Tabla958[Ponderador Precio],0,1,1)</f>
        <v>0</v>
      </c>
      <c r="K629" s="30">
        <f>Tabla2757[[#This Row],[Precio por hora UF]]*Tabla2757[[#This Row],[Ponderador]]</f>
        <v>0</v>
      </c>
      <c r="L629" s="40">
        <v>0</v>
      </c>
      <c r="M629" s="30">
        <f>Tabla2757[[#This Row],[Precio por hora]]*Tabla2757[[#This Row],[Cantidad horas]]</f>
        <v>0</v>
      </c>
      <c r="N629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630" spans="2:14" x14ac:dyDescent="0.3">
      <c r="B630" s="28"/>
      <c r="C630" s="20"/>
      <c r="E630" s="136"/>
      <c r="F630" s="177">
        <f>_xlfn.XLOOKUP(Tabla2757[[#This Row],[Tipo de venta]],Tabla2329[Tipo de venta],Tabla2329[Moneda final], "Error - Seleccionar Tipo de Venta", 0,1)</f>
        <v>0</v>
      </c>
      <c r="G630" s="178"/>
      <c r="H630" s="21"/>
      <c r="I630" s="30">
        <f>_xlfn.XLOOKUP(Tabla2757[[#This Row],[Puesto Encargado]], Tabla9[Puesto], Tabla9[Precio cliente],0,1,1)</f>
        <v>0</v>
      </c>
      <c r="J630" s="30">
        <f>_xlfn.XLOOKUP(Tabla2757[[#This Row],[Cargo]], Tabla958[Cargos], Tabla958[Ponderador Precio],0,1,1)</f>
        <v>0</v>
      </c>
      <c r="K630" s="30">
        <f>Tabla2757[[#This Row],[Precio por hora UF]]*Tabla2757[[#This Row],[Ponderador]]</f>
        <v>0</v>
      </c>
      <c r="L630" s="40">
        <v>0</v>
      </c>
      <c r="M630" s="30">
        <f>Tabla2757[[#This Row],[Precio por hora]]*Tabla2757[[#This Row],[Cantidad horas]]</f>
        <v>0</v>
      </c>
      <c r="N630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631" spans="2:14" x14ac:dyDescent="0.3">
      <c r="B631" s="28"/>
      <c r="C631" s="20"/>
      <c r="E631" s="136"/>
      <c r="F631" s="177">
        <f>_xlfn.XLOOKUP(Tabla2757[[#This Row],[Tipo de venta]],Tabla2329[Tipo de venta],Tabla2329[Moneda final], "Error - Seleccionar Tipo de Venta", 0,1)</f>
        <v>0</v>
      </c>
      <c r="G631" s="178"/>
      <c r="H631" s="21"/>
      <c r="I631" s="30">
        <f>_xlfn.XLOOKUP(Tabla2757[[#This Row],[Puesto Encargado]], Tabla9[Puesto], Tabla9[Precio cliente],0,1,1)</f>
        <v>0</v>
      </c>
      <c r="J631" s="30">
        <f>_xlfn.XLOOKUP(Tabla2757[[#This Row],[Cargo]], Tabla958[Cargos], Tabla958[Ponderador Precio],0,1,1)</f>
        <v>0</v>
      </c>
      <c r="K631" s="30">
        <f>Tabla2757[[#This Row],[Precio por hora UF]]*Tabla2757[[#This Row],[Ponderador]]</f>
        <v>0</v>
      </c>
      <c r="L631" s="40">
        <v>0</v>
      </c>
      <c r="M631" s="30">
        <f>Tabla2757[[#This Row],[Precio por hora]]*Tabla2757[[#This Row],[Cantidad horas]]</f>
        <v>0</v>
      </c>
      <c r="N631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632" spans="2:14" x14ac:dyDescent="0.3">
      <c r="B632" s="28"/>
      <c r="C632" s="20"/>
      <c r="E632" s="136"/>
      <c r="F632" s="177">
        <f>_xlfn.XLOOKUP(Tabla2757[[#This Row],[Tipo de venta]],Tabla2329[Tipo de venta],Tabla2329[Moneda final], "Error - Seleccionar Tipo de Venta", 0,1)</f>
        <v>0</v>
      </c>
      <c r="G632" s="178"/>
      <c r="H632" s="21"/>
      <c r="I632" s="30">
        <f>_xlfn.XLOOKUP(Tabla2757[[#This Row],[Puesto Encargado]], Tabla9[Puesto], Tabla9[Precio cliente],0,1,1)</f>
        <v>0</v>
      </c>
      <c r="J632" s="30">
        <f>_xlfn.XLOOKUP(Tabla2757[[#This Row],[Cargo]], Tabla958[Cargos], Tabla958[Ponderador Precio],0,1,1)</f>
        <v>0</v>
      </c>
      <c r="K632" s="30">
        <f>Tabla2757[[#This Row],[Precio por hora UF]]*Tabla2757[[#This Row],[Ponderador]]</f>
        <v>0</v>
      </c>
      <c r="L632" s="40">
        <v>0</v>
      </c>
      <c r="M632" s="30">
        <f>Tabla2757[[#This Row],[Precio por hora]]*Tabla2757[[#This Row],[Cantidad horas]]</f>
        <v>0</v>
      </c>
      <c r="N632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633" spans="2:14" x14ac:dyDescent="0.3">
      <c r="B633" s="28"/>
      <c r="C633" s="20"/>
      <c r="E633" s="136"/>
      <c r="F633" s="177">
        <f>_xlfn.XLOOKUP(Tabla2757[[#This Row],[Tipo de venta]],Tabla2329[Tipo de venta],Tabla2329[Moneda final], "Error - Seleccionar Tipo de Venta", 0,1)</f>
        <v>0</v>
      </c>
      <c r="G633" s="178"/>
      <c r="H633" s="21"/>
      <c r="I633" s="30">
        <f>_xlfn.XLOOKUP(Tabla2757[[#This Row],[Puesto Encargado]], Tabla9[Puesto], Tabla9[Precio cliente],0,1,1)</f>
        <v>0</v>
      </c>
      <c r="J633" s="30">
        <f>_xlfn.XLOOKUP(Tabla2757[[#This Row],[Cargo]], Tabla958[Cargos], Tabla958[Ponderador Precio],0,1,1)</f>
        <v>0</v>
      </c>
      <c r="K633" s="30">
        <f>Tabla2757[[#This Row],[Precio por hora UF]]*Tabla2757[[#This Row],[Ponderador]]</f>
        <v>0</v>
      </c>
      <c r="L633" s="40">
        <v>0</v>
      </c>
      <c r="M633" s="30">
        <f>Tabla2757[[#This Row],[Precio por hora]]*Tabla2757[[#This Row],[Cantidad horas]]</f>
        <v>0</v>
      </c>
      <c r="N633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634" spans="2:14" x14ac:dyDescent="0.3">
      <c r="B634" s="28"/>
      <c r="C634" s="20"/>
      <c r="E634" s="136"/>
      <c r="F634" s="177">
        <f>_xlfn.XLOOKUP(Tabla2757[[#This Row],[Tipo de venta]],Tabla2329[Tipo de venta],Tabla2329[Moneda final], "Error - Seleccionar Tipo de Venta", 0,1)</f>
        <v>0</v>
      </c>
      <c r="G634" s="178"/>
      <c r="H634" s="21"/>
      <c r="I634" s="30">
        <f>_xlfn.XLOOKUP(Tabla2757[[#This Row],[Puesto Encargado]], Tabla9[Puesto], Tabla9[Precio cliente],0,1,1)</f>
        <v>0</v>
      </c>
      <c r="J634" s="30">
        <f>_xlfn.XLOOKUP(Tabla2757[[#This Row],[Cargo]], Tabla958[Cargos], Tabla958[Ponderador Precio],0,1,1)</f>
        <v>0</v>
      </c>
      <c r="K634" s="30">
        <f>Tabla2757[[#This Row],[Precio por hora UF]]*Tabla2757[[#This Row],[Ponderador]]</f>
        <v>0</v>
      </c>
      <c r="L634" s="40">
        <v>0</v>
      </c>
      <c r="M634" s="30">
        <f>Tabla2757[[#This Row],[Precio por hora]]*Tabla2757[[#This Row],[Cantidad horas]]</f>
        <v>0</v>
      </c>
      <c r="N634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635" spans="2:14" x14ac:dyDescent="0.3">
      <c r="B635" s="28"/>
      <c r="C635" s="20"/>
      <c r="E635" s="136"/>
      <c r="F635" s="177">
        <f>_xlfn.XLOOKUP(Tabla2757[[#This Row],[Tipo de venta]],Tabla2329[Tipo de venta],Tabla2329[Moneda final], "Error - Seleccionar Tipo de Venta", 0,1)</f>
        <v>0</v>
      </c>
      <c r="G635" s="178"/>
      <c r="H635" s="21"/>
      <c r="I635" s="30">
        <f>_xlfn.XLOOKUP(Tabla2757[[#This Row],[Puesto Encargado]], Tabla9[Puesto], Tabla9[Precio cliente],0,1,1)</f>
        <v>0</v>
      </c>
      <c r="J635" s="30">
        <f>_xlfn.XLOOKUP(Tabla2757[[#This Row],[Cargo]], Tabla958[Cargos], Tabla958[Ponderador Precio],0,1,1)</f>
        <v>0</v>
      </c>
      <c r="K635" s="30">
        <f>Tabla2757[[#This Row],[Precio por hora UF]]*Tabla2757[[#This Row],[Ponderador]]</f>
        <v>0</v>
      </c>
      <c r="L635" s="40">
        <v>0</v>
      </c>
      <c r="M635" s="30">
        <f>Tabla2757[[#This Row],[Precio por hora]]*Tabla2757[[#This Row],[Cantidad horas]]</f>
        <v>0</v>
      </c>
      <c r="N635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636" spans="2:14" x14ac:dyDescent="0.3">
      <c r="B636" s="28"/>
      <c r="C636" s="20"/>
      <c r="E636" s="136"/>
      <c r="F636" s="177">
        <f>_xlfn.XLOOKUP(Tabla2757[[#This Row],[Tipo de venta]],Tabla2329[Tipo de venta],Tabla2329[Moneda final], "Error - Seleccionar Tipo de Venta", 0,1)</f>
        <v>0</v>
      </c>
      <c r="G636" s="178"/>
      <c r="H636" s="21"/>
      <c r="I636" s="30">
        <f>_xlfn.XLOOKUP(Tabla2757[[#This Row],[Puesto Encargado]], Tabla9[Puesto], Tabla9[Precio cliente],0,1,1)</f>
        <v>0</v>
      </c>
      <c r="J636" s="30">
        <f>_xlfn.XLOOKUP(Tabla2757[[#This Row],[Cargo]], Tabla958[Cargos], Tabla958[Ponderador Precio],0,1,1)</f>
        <v>0</v>
      </c>
      <c r="K636" s="30">
        <f>Tabla2757[[#This Row],[Precio por hora UF]]*Tabla2757[[#This Row],[Ponderador]]</f>
        <v>0</v>
      </c>
      <c r="L636" s="40">
        <v>0</v>
      </c>
      <c r="M636" s="30">
        <f>Tabla2757[[#This Row],[Precio por hora]]*Tabla2757[[#This Row],[Cantidad horas]]</f>
        <v>0</v>
      </c>
      <c r="N636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637" spans="2:14" x14ac:dyDescent="0.3">
      <c r="B637" s="28"/>
      <c r="C637" s="20"/>
      <c r="E637" s="136"/>
      <c r="F637" s="177">
        <f>_xlfn.XLOOKUP(Tabla2757[[#This Row],[Tipo de venta]],Tabla2329[Tipo de venta],Tabla2329[Moneda final], "Error - Seleccionar Tipo de Venta", 0,1)</f>
        <v>0</v>
      </c>
      <c r="G637" s="178"/>
      <c r="H637" s="21"/>
      <c r="I637" s="30">
        <f>_xlfn.XLOOKUP(Tabla2757[[#This Row],[Puesto Encargado]], Tabla9[Puesto], Tabla9[Precio cliente],0,1,1)</f>
        <v>0</v>
      </c>
      <c r="J637" s="30">
        <f>_xlfn.XLOOKUP(Tabla2757[[#This Row],[Cargo]], Tabla958[Cargos], Tabla958[Ponderador Precio],0,1,1)</f>
        <v>0</v>
      </c>
      <c r="K637" s="30">
        <f>Tabla2757[[#This Row],[Precio por hora UF]]*Tabla2757[[#This Row],[Ponderador]]</f>
        <v>0</v>
      </c>
      <c r="L637" s="40">
        <v>0</v>
      </c>
      <c r="M637" s="30">
        <f>Tabla2757[[#This Row],[Precio por hora]]*Tabla2757[[#This Row],[Cantidad horas]]</f>
        <v>0</v>
      </c>
      <c r="N637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638" spans="2:14" x14ac:dyDescent="0.3">
      <c r="B638" s="28"/>
      <c r="C638" s="20"/>
      <c r="E638" s="136"/>
      <c r="F638" s="177">
        <f>_xlfn.XLOOKUP(Tabla2757[[#This Row],[Tipo de venta]],Tabla2329[Tipo de venta],Tabla2329[Moneda final], "Error - Seleccionar Tipo de Venta", 0,1)</f>
        <v>0</v>
      </c>
      <c r="G638" s="178"/>
      <c r="H638" s="21"/>
      <c r="I638" s="30">
        <f>_xlfn.XLOOKUP(Tabla2757[[#This Row],[Puesto Encargado]], Tabla9[Puesto], Tabla9[Precio cliente],0,1,1)</f>
        <v>0</v>
      </c>
      <c r="J638" s="30">
        <f>_xlfn.XLOOKUP(Tabla2757[[#This Row],[Cargo]], Tabla958[Cargos], Tabla958[Ponderador Precio],0,1,1)</f>
        <v>0</v>
      </c>
      <c r="K638" s="30">
        <f>Tabla2757[[#This Row],[Precio por hora UF]]*Tabla2757[[#This Row],[Ponderador]]</f>
        <v>0</v>
      </c>
      <c r="L638" s="40">
        <v>0</v>
      </c>
      <c r="M638" s="30">
        <f>Tabla2757[[#This Row],[Precio por hora]]*Tabla2757[[#This Row],[Cantidad horas]]</f>
        <v>0</v>
      </c>
      <c r="N638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639" spans="2:14" x14ac:dyDescent="0.3">
      <c r="B639" s="28"/>
      <c r="C639" s="20"/>
      <c r="E639" s="136"/>
      <c r="F639" s="177">
        <f>_xlfn.XLOOKUP(Tabla2757[[#This Row],[Tipo de venta]],Tabla2329[Tipo de venta],Tabla2329[Moneda final], "Error - Seleccionar Tipo de Venta", 0,1)</f>
        <v>0</v>
      </c>
      <c r="G639" s="178"/>
      <c r="H639" s="21"/>
      <c r="I639" s="30">
        <f>_xlfn.XLOOKUP(Tabla2757[[#This Row],[Puesto Encargado]], Tabla9[Puesto], Tabla9[Precio cliente],0,1,1)</f>
        <v>0</v>
      </c>
      <c r="J639" s="30">
        <f>_xlfn.XLOOKUP(Tabla2757[[#This Row],[Cargo]], Tabla958[Cargos], Tabla958[Ponderador Precio],0,1,1)</f>
        <v>0</v>
      </c>
      <c r="K639" s="30">
        <f>Tabla2757[[#This Row],[Precio por hora UF]]*Tabla2757[[#This Row],[Ponderador]]</f>
        <v>0</v>
      </c>
      <c r="L639" s="40">
        <v>0</v>
      </c>
      <c r="M639" s="30">
        <f>Tabla2757[[#This Row],[Precio por hora]]*Tabla2757[[#This Row],[Cantidad horas]]</f>
        <v>0</v>
      </c>
      <c r="N639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640" spans="2:14" x14ac:dyDescent="0.3">
      <c r="B640" s="28"/>
      <c r="C640" s="20"/>
      <c r="E640" s="136"/>
      <c r="F640" s="177">
        <f>_xlfn.XLOOKUP(Tabla2757[[#This Row],[Tipo de venta]],Tabla2329[Tipo de venta],Tabla2329[Moneda final], "Error - Seleccionar Tipo de Venta", 0,1)</f>
        <v>0</v>
      </c>
      <c r="G640" s="178"/>
      <c r="H640" s="21"/>
      <c r="I640" s="30">
        <f>_xlfn.XLOOKUP(Tabla2757[[#This Row],[Puesto Encargado]], Tabla9[Puesto], Tabla9[Precio cliente],0,1,1)</f>
        <v>0</v>
      </c>
      <c r="J640" s="30">
        <f>_xlfn.XLOOKUP(Tabla2757[[#This Row],[Cargo]], Tabla958[Cargos], Tabla958[Ponderador Precio],0,1,1)</f>
        <v>0</v>
      </c>
      <c r="K640" s="30">
        <f>Tabla2757[[#This Row],[Precio por hora UF]]*Tabla2757[[#This Row],[Ponderador]]</f>
        <v>0</v>
      </c>
      <c r="L640" s="40">
        <v>0</v>
      </c>
      <c r="M640" s="30">
        <f>Tabla2757[[#This Row],[Precio por hora]]*Tabla2757[[#This Row],[Cantidad horas]]</f>
        <v>0</v>
      </c>
      <c r="N640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641" spans="2:14" x14ac:dyDescent="0.3">
      <c r="B641" s="28"/>
      <c r="C641" s="20"/>
      <c r="E641" s="136"/>
      <c r="F641" s="177">
        <f>_xlfn.XLOOKUP(Tabla2757[[#This Row],[Tipo de venta]],Tabla2329[Tipo de venta],Tabla2329[Moneda final], "Error - Seleccionar Tipo de Venta", 0,1)</f>
        <v>0</v>
      </c>
      <c r="G641" s="178"/>
      <c r="H641" s="21"/>
      <c r="I641" s="30">
        <f>_xlfn.XLOOKUP(Tabla2757[[#This Row],[Puesto Encargado]], Tabla9[Puesto], Tabla9[Precio cliente],0,1,1)</f>
        <v>0</v>
      </c>
      <c r="J641" s="30">
        <f>_xlfn.XLOOKUP(Tabla2757[[#This Row],[Cargo]], Tabla958[Cargos], Tabla958[Ponderador Precio],0,1,1)</f>
        <v>0</v>
      </c>
      <c r="K641" s="30">
        <f>Tabla2757[[#This Row],[Precio por hora UF]]*Tabla2757[[#This Row],[Ponderador]]</f>
        <v>0</v>
      </c>
      <c r="L641" s="40">
        <v>0</v>
      </c>
      <c r="M641" s="30">
        <f>Tabla2757[[#This Row],[Precio por hora]]*Tabla2757[[#This Row],[Cantidad horas]]</f>
        <v>0</v>
      </c>
      <c r="N641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642" spans="2:14" x14ac:dyDescent="0.3">
      <c r="B642" s="28"/>
      <c r="C642" s="20"/>
      <c r="E642" s="136"/>
      <c r="F642" s="177">
        <f>_xlfn.XLOOKUP(Tabla2757[[#This Row],[Tipo de venta]],Tabla2329[Tipo de venta],Tabla2329[Moneda final], "Error - Seleccionar Tipo de Venta", 0,1)</f>
        <v>0</v>
      </c>
      <c r="G642" s="178"/>
      <c r="H642" s="21"/>
      <c r="I642" s="30">
        <f>_xlfn.XLOOKUP(Tabla2757[[#This Row],[Puesto Encargado]], Tabla9[Puesto], Tabla9[Precio cliente],0,1,1)</f>
        <v>0</v>
      </c>
      <c r="J642" s="30">
        <f>_xlfn.XLOOKUP(Tabla2757[[#This Row],[Cargo]], Tabla958[Cargos], Tabla958[Ponderador Precio],0,1,1)</f>
        <v>0</v>
      </c>
      <c r="K642" s="30">
        <f>Tabla2757[[#This Row],[Precio por hora UF]]*Tabla2757[[#This Row],[Ponderador]]</f>
        <v>0</v>
      </c>
      <c r="L642" s="40">
        <v>0</v>
      </c>
      <c r="M642" s="30">
        <f>Tabla2757[[#This Row],[Precio por hora]]*Tabla2757[[#This Row],[Cantidad horas]]</f>
        <v>0</v>
      </c>
      <c r="N642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643" spans="2:14" x14ac:dyDescent="0.3">
      <c r="B643" s="28"/>
      <c r="C643" s="20"/>
      <c r="E643" s="136"/>
      <c r="F643" s="177">
        <f>_xlfn.XLOOKUP(Tabla2757[[#This Row],[Tipo de venta]],Tabla2329[Tipo de venta],Tabla2329[Moneda final], "Error - Seleccionar Tipo de Venta", 0,1)</f>
        <v>0</v>
      </c>
      <c r="G643" s="178"/>
      <c r="H643" s="21"/>
      <c r="I643" s="30">
        <f>_xlfn.XLOOKUP(Tabla2757[[#This Row],[Puesto Encargado]], Tabla9[Puesto], Tabla9[Precio cliente],0,1,1)</f>
        <v>0</v>
      </c>
      <c r="J643" s="30">
        <f>_xlfn.XLOOKUP(Tabla2757[[#This Row],[Cargo]], Tabla958[Cargos], Tabla958[Ponderador Precio],0,1,1)</f>
        <v>0</v>
      </c>
      <c r="K643" s="30">
        <f>Tabla2757[[#This Row],[Precio por hora UF]]*Tabla2757[[#This Row],[Ponderador]]</f>
        <v>0</v>
      </c>
      <c r="L643" s="40">
        <v>0</v>
      </c>
      <c r="M643" s="30">
        <f>Tabla2757[[#This Row],[Precio por hora]]*Tabla2757[[#This Row],[Cantidad horas]]</f>
        <v>0</v>
      </c>
      <c r="N643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644" spans="2:14" x14ac:dyDescent="0.3">
      <c r="B644" s="28"/>
      <c r="C644" s="20"/>
      <c r="E644" s="136"/>
      <c r="F644" s="177">
        <f>_xlfn.XLOOKUP(Tabla2757[[#This Row],[Tipo de venta]],Tabla2329[Tipo de venta],Tabla2329[Moneda final], "Error - Seleccionar Tipo de Venta", 0,1)</f>
        <v>0</v>
      </c>
      <c r="G644" s="178"/>
      <c r="H644" s="21"/>
      <c r="I644" s="30">
        <f>_xlfn.XLOOKUP(Tabla2757[[#This Row],[Puesto Encargado]], Tabla9[Puesto], Tabla9[Precio cliente],0,1,1)</f>
        <v>0</v>
      </c>
      <c r="J644" s="30">
        <f>_xlfn.XLOOKUP(Tabla2757[[#This Row],[Cargo]], Tabla958[Cargos], Tabla958[Ponderador Precio],0,1,1)</f>
        <v>0</v>
      </c>
      <c r="K644" s="30">
        <f>Tabla2757[[#This Row],[Precio por hora UF]]*Tabla2757[[#This Row],[Ponderador]]</f>
        <v>0</v>
      </c>
      <c r="L644" s="40">
        <v>0</v>
      </c>
      <c r="M644" s="30">
        <f>Tabla2757[[#This Row],[Precio por hora]]*Tabla2757[[#This Row],[Cantidad horas]]</f>
        <v>0</v>
      </c>
      <c r="N644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645" spans="2:14" x14ac:dyDescent="0.3">
      <c r="B645" s="28"/>
      <c r="C645" s="20"/>
      <c r="E645" s="136"/>
      <c r="F645" s="177">
        <f>_xlfn.XLOOKUP(Tabla2757[[#This Row],[Tipo de venta]],Tabla2329[Tipo de venta],Tabla2329[Moneda final], "Error - Seleccionar Tipo de Venta", 0,1)</f>
        <v>0</v>
      </c>
      <c r="G645" s="178"/>
      <c r="H645" s="21"/>
      <c r="I645" s="30">
        <f>_xlfn.XLOOKUP(Tabla2757[[#This Row],[Puesto Encargado]], Tabla9[Puesto], Tabla9[Precio cliente],0,1,1)</f>
        <v>0</v>
      </c>
      <c r="J645" s="30">
        <f>_xlfn.XLOOKUP(Tabla2757[[#This Row],[Cargo]], Tabla958[Cargos], Tabla958[Ponderador Precio],0,1,1)</f>
        <v>0</v>
      </c>
      <c r="K645" s="30">
        <f>Tabla2757[[#This Row],[Precio por hora UF]]*Tabla2757[[#This Row],[Ponderador]]</f>
        <v>0</v>
      </c>
      <c r="L645" s="40">
        <v>0</v>
      </c>
      <c r="M645" s="30">
        <f>Tabla2757[[#This Row],[Precio por hora]]*Tabla2757[[#This Row],[Cantidad horas]]</f>
        <v>0</v>
      </c>
      <c r="N645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646" spans="2:14" x14ac:dyDescent="0.3">
      <c r="B646" s="28"/>
      <c r="C646" s="20"/>
      <c r="E646" s="136"/>
      <c r="F646" s="177">
        <f>_xlfn.XLOOKUP(Tabla2757[[#This Row],[Tipo de venta]],Tabla2329[Tipo de venta],Tabla2329[Moneda final], "Error - Seleccionar Tipo de Venta", 0,1)</f>
        <v>0</v>
      </c>
      <c r="G646" s="178"/>
      <c r="H646" s="21"/>
      <c r="I646" s="30">
        <f>_xlfn.XLOOKUP(Tabla2757[[#This Row],[Puesto Encargado]], Tabla9[Puesto], Tabla9[Precio cliente],0,1,1)</f>
        <v>0</v>
      </c>
      <c r="J646" s="30">
        <f>_xlfn.XLOOKUP(Tabla2757[[#This Row],[Cargo]], Tabla958[Cargos], Tabla958[Ponderador Precio],0,1,1)</f>
        <v>0</v>
      </c>
      <c r="K646" s="30">
        <f>Tabla2757[[#This Row],[Precio por hora UF]]*Tabla2757[[#This Row],[Ponderador]]</f>
        <v>0</v>
      </c>
      <c r="L646" s="40">
        <v>0</v>
      </c>
      <c r="M646" s="30">
        <f>Tabla2757[[#This Row],[Precio por hora]]*Tabla2757[[#This Row],[Cantidad horas]]</f>
        <v>0</v>
      </c>
      <c r="N646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647" spans="2:14" x14ac:dyDescent="0.3">
      <c r="B647" s="28"/>
      <c r="C647" s="20"/>
      <c r="E647" s="136"/>
      <c r="F647" s="177">
        <f>_xlfn.XLOOKUP(Tabla2757[[#This Row],[Tipo de venta]],Tabla2329[Tipo de venta],Tabla2329[Moneda final], "Error - Seleccionar Tipo de Venta", 0,1)</f>
        <v>0</v>
      </c>
      <c r="G647" s="178"/>
      <c r="H647" s="21"/>
      <c r="I647" s="30">
        <f>_xlfn.XLOOKUP(Tabla2757[[#This Row],[Puesto Encargado]], Tabla9[Puesto], Tabla9[Precio cliente],0,1,1)</f>
        <v>0</v>
      </c>
      <c r="J647" s="30">
        <f>_xlfn.XLOOKUP(Tabla2757[[#This Row],[Cargo]], Tabla958[Cargos], Tabla958[Ponderador Precio],0,1,1)</f>
        <v>0</v>
      </c>
      <c r="K647" s="30">
        <f>Tabla2757[[#This Row],[Precio por hora UF]]*Tabla2757[[#This Row],[Ponderador]]</f>
        <v>0</v>
      </c>
      <c r="L647" s="40">
        <v>0</v>
      </c>
      <c r="M647" s="30">
        <f>Tabla2757[[#This Row],[Precio por hora]]*Tabla2757[[#This Row],[Cantidad horas]]</f>
        <v>0</v>
      </c>
      <c r="N647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648" spans="2:14" x14ac:dyDescent="0.3">
      <c r="B648" s="28"/>
      <c r="C648" s="20"/>
      <c r="E648" s="136"/>
      <c r="F648" s="177">
        <f>_xlfn.XLOOKUP(Tabla2757[[#This Row],[Tipo de venta]],Tabla2329[Tipo de venta],Tabla2329[Moneda final], "Error - Seleccionar Tipo de Venta", 0,1)</f>
        <v>0</v>
      </c>
      <c r="G648" s="178"/>
      <c r="H648" s="21"/>
      <c r="I648" s="30">
        <f>_xlfn.XLOOKUP(Tabla2757[[#This Row],[Puesto Encargado]], Tabla9[Puesto], Tabla9[Precio cliente],0,1,1)</f>
        <v>0</v>
      </c>
      <c r="J648" s="30">
        <f>_xlfn.XLOOKUP(Tabla2757[[#This Row],[Cargo]], Tabla958[Cargos], Tabla958[Ponderador Precio],0,1,1)</f>
        <v>0</v>
      </c>
      <c r="K648" s="30">
        <f>Tabla2757[[#This Row],[Precio por hora UF]]*Tabla2757[[#This Row],[Ponderador]]</f>
        <v>0</v>
      </c>
      <c r="L648" s="40">
        <v>0</v>
      </c>
      <c r="M648" s="30">
        <f>Tabla2757[[#This Row],[Precio por hora]]*Tabla2757[[#This Row],[Cantidad horas]]</f>
        <v>0</v>
      </c>
      <c r="N648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649" spans="2:14" x14ac:dyDescent="0.3">
      <c r="B649" s="28"/>
      <c r="C649" s="20"/>
      <c r="E649" s="136"/>
      <c r="F649" s="177">
        <f>_xlfn.XLOOKUP(Tabla2757[[#This Row],[Tipo de venta]],Tabla2329[Tipo de venta],Tabla2329[Moneda final], "Error - Seleccionar Tipo de Venta", 0,1)</f>
        <v>0</v>
      </c>
      <c r="G649" s="178"/>
      <c r="H649" s="21"/>
      <c r="I649" s="30">
        <f>_xlfn.XLOOKUP(Tabla2757[[#This Row],[Puesto Encargado]], Tabla9[Puesto], Tabla9[Precio cliente],0,1,1)</f>
        <v>0</v>
      </c>
      <c r="J649" s="30">
        <f>_xlfn.XLOOKUP(Tabla2757[[#This Row],[Cargo]], Tabla958[Cargos], Tabla958[Ponderador Precio],0,1,1)</f>
        <v>0</v>
      </c>
      <c r="K649" s="30">
        <f>Tabla2757[[#This Row],[Precio por hora UF]]*Tabla2757[[#This Row],[Ponderador]]</f>
        <v>0</v>
      </c>
      <c r="L649" s="40">
        <v>0</v>
      </c>
      <c r="M649" s="30">
        <f>Tabla2757[[#This Row],[Precio por hora]]*Tabla2757[[#This Row],[Cantidad horas]]</f>
        <v>0</v>
      </c>
      <c r="N649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650" spans="2:14" x14ac:dyDescent="0.3">
      <c r="B650" s="28"/>
      <c r="C650" s="20"/>
      <c r="E650" s="136"/>
      <c r="F650" s="177">
        <f>_xlfn.XLOOKUP(Tabla2757[[#This Row],[Tipo de venta]],Tabla2329[Tipo de venta],Tabla2329[Moneda final], "Error - Seleccionar Tipo de Venta", 0,1)</f>
        <v>0</v>
      </c>
      <c r="G650" s="178"/>
      <c r="H650" s="21"/>
      <c r="I650" s="30">
        <f>_xlfn.XLOOKUP(Tabla2757[[#This Row],[Puesto Encargado]], Tabla9[Puesto], Tabla9[Precio cliente],0,1,1)</f>
        <v>0</v>
      </c>
      <c r="J650" s="30">
        <f>_xlfn.XLOOKUP(Tabla2757[[#This Row],[Cargo]], Tabla958[Cargos], Tabla958[Ponderador Precio],0,1,1)</f>
        <v>0</v>
      </c>
      <c r="K650" s="30">
        <f>Tabla2757[[#This Row],[Precio por hora UF]]*Tabla2757[[#This Row],[Ponderador]]</f>
        <v>0</v>
      </c>
      <c r="L650" s="40">
        <v>0</v>
      </c>
      <c r="M650" s="30">
        <f>Tabla2757[[#This Row],[Precio por hora]]*Tabla2757[[#This Row],[Cantidad horas]]</f>
        <v>0</v>
      </c>
      <c r="N650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651" spans="2:14" x14ac:dyDescent="0.3">
      <c r="B651" s="28"/>
      <c r="C651" s="20"/>
      <c r="E651" s="136"/>
      <c r="F651" s="177">
        <f>_xlfn.XLOOKUP(Tabla2757[[#This Row],[Tipo de venta]],Tabla2329[Tipo de venta],Tabla2329[Moneda final], "Error - Seleccionar Tipo de Venta", 0,1)</f>
        <v>0</v>
      </c>
      <c r="G651" s="178"/>
      <c r="H651" s="21"/>
      <c r="I651" s="30">
        <f>_xlfn.XLOOKUP(Tabla2757[[#This Row],[Puesto Encargado]], Tabla9[Puesto], Tabla9[Precio cliente],0,1,1)</f>
        <v>0</v>
      </c>
      <c r="J651" s="30">
        <f>_xlfn.XLOOKUP(Tabla2757[[#This Row],[Cargo]], Tabla958[Cargos], Tabla958[Ponderador Precio],0,1,1)</f>
        <v>0</v>
      </c>
      <c r="K651" s="30">
        <f>Tabla2757[[#This Row],[Precio por hora UF]]*Tabla2757[[#This Row],[Ponderador]]</f>
        <v>0</v>
      </c>
      <c r="L651" s="40">
        <v>0</v>
      </c>
      <c r="M651" s="30">
        <f>Tabla2757[[#This Row],[Precio por hora]]*Tabla2757[[#This Row],[Cantidad horas]]</f>
        <v>0</v>
      </c>
      <c r="N651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652" spans="2:14" x14ac:dyDescent="0.3">
      <c r="B652" s="28"/>
      <c r="C652" s="20"/>
      <c r="E652" s="136"/>
      <c r="F652" s="177">
        <f>_xlfn.XLOOKUP(Tabla2757[[#This Row],[Tipo de venta]],Tabla2329[Tipo de venta],Tabla2329[Moneda final], "Error - Seleccionar Tipo de Venta", 0,1)</f>
        <v>0</v>
      </c>
      <c r="G652" s="178"/>
      <c r="H652" s="21"/>
      <c r="I652" s="30">
        <f>_xlfn.XLOOKUP(Tabla2757[[#This Row],[Puesto Encargado]], Tabla9[Puesto], Tabla9[Precio cliente],0,1,1)</f>
        <v>0</v>
      </c>
      <c r="J652" s="30">
        <f>_xlfn.XLOOKUP(Tabla2757[[#This Row],[Cargo]], Tabla958[Cargos], Tabla958[Ponderador Precio],0,1,1)</f>
        <v>0</v>
      </c>
      <c r="K652" s="30">
        <f>Tabla2757[[#This Row],[Precio por hora UF]]*Tabla2757[[#This Row],[Ponderador]]</f>
        <v>0</v>
      </c>
      <c r="L652" s="40">
        <v>0</v>
      </c>
      <c r="M652" s="30">
        <f>Tabla2757[[#This Row],[Precio por hora]]*Tabla2757[[#This Row],[Cantidad horas]]</f>
        <v>0</v>
      </c>
      <c r="N652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653" spans="2:14" x14ac:dyDescent="0.3">
      <c r="B653" s="28"/>
      <c r="C653" s="20"/>
      <c r="E653" s="136"/>
      <c r="F653" s="177">
        <f>_xlfn.XLOOKUP(Tabla2757[[#This Row],[Tipo de venta]],Tabla2329[Tipo de venta],Tabla2329[Moneda final], "Error - Seleccionar Tipo de Venta", 0,1)</f>
        <v>0</v>
      </c>
      <c r="G653" s="178"/>
      <c r="H653" s="21"/>
      <c r="I653" s="30">
        <f>_xlfn.XLOOKUP(Tabla2757[[#This Row],[Puesto Encargado]], Tabla9[Puesto], Tabla9[Precio cliente],0,1,1)</f>
        <v>0</v>
      </c>
      <c r="J653" s="30">
        <f>_xlfn.XLOOKUP(Tabla2757[[#This Row],[Cargo]], Tabla958[Cargos], Tabla958[Ponderador Precio],0,1,1)</f>
        <v>0</v>
      </c>
      <c r="K653" s="30">
        <f>Tabla2757[[#This Row],[Precio por hora UF]]*Tabla2757[[#This Row],[Ponderador]]</f>
        <v>0</v>
      </c>
      <c r="L653" s="40">
        <v>0</v>
      </c>
      <c r="M653" s="30">
        <f>Tabla2757[[#This Row],[Precio por hora]]*Tabla2757[[#This Row],[Cantidad horas]]</f>
        <v>0</v>
      </c>
      <c r="N653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654" spans="2:14" x14ac:dyDescent="0.3">
      <c r="B654" s="28"/>
      <c r="C654" s="20"/>
      <c r="E654" s="136"/>
      <c r="F654" s="177">
        <f>_xlfn.XLOOKUP(Tabla2757[[#This Row],[Tipo de venta]],Tabla2329[Tipo de venta],Tabla2329[Moneda final], "Error - Seleccionar Tipo de Venta", 0,1)</f>
        <v>0</v>
      </c>
      <c r="G654" s="178"/>
      <c r="H654" s="21"/>
      <c r="I654" s="30">
        <f>_xlfn.XLOOKUP(Tabla2757[[#This Row],[Puesto Encargado]], Tabla9[Puesto], Tabla9[Precio cliente],0,1,1)</f>
        <v>0</v>
      </c>
      <c r="J654" s="30">
        <f>_xlfn.XLOOKUP(Tabla2757[[#This Row],[Cargo]], Tabla958[Cargos], Tabla958[Ponderador Precio],0,1,1)</f>
        <v>0</v>
      </c>
      <c r="K654" s="30">
        <f>Tabla2757[[#This Row],[Precio por hora UF]]*Tabla2757[[#This Row],[Ponderador]]</f>
        <v>0</v>
      </c>
      <c r="L654" s="40">
        <v>0</v>
      </c>
      <c r="M654" s="30">
        <f>Tabla2757[[#This Row],[Precio por hora]]*Tabla2757[[#This Row],[Cantidad horas]]</f>
        <v>0</v>
      </c>
      <c r="N654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655" spans="2:14" x14ac:dyDescent="0.3">
      <c r="B655" s="28"/>
      <c r="C655" s="20"/>
      <c r="E655" s="136"/>
      <c r="F655" s="177">
        <f>_xlfn.XLOOKUP(Tabla2757[[#This Row],[Tipo de venta]],Tabla2329[Tipo de venta],Tabla2329[Moneda final], "Error - Seleccionar Tipo de Venta", 0,1)</f>
        <v>0</v>
      </c>
      <c r="G655" s="178"/>
      <c r="H655" s="21"/>
      <c r="I655" s="30">
        <f>_xlfn.XLOOKUP(Tabla2757[[#This Row],[Puesto Encargado]], Tabla9[Puesto], Tabla9[Precio cliente],0,1,1)</f>
        <v>0</v>
      </c>
      <c r="J655" s="30">
        <f>_xlfn.XLOOKUP(Tabla2757[[#This Row],[Cargo]], Tabla958[Cargos], Tabla958[Ponderador Precio],0,1,1)</f>
        <v>0</v>
      </c>
      <c r="K655" s="30">
        <f>Tabla2757[[#This Row],[Precio por hora UF]]*Tabla2757[[#This Row],[Ponderador]]</f>
        <v>0</v>
      </c>
      <c r="L655" s="40">
        <v>0</v>
      </c>
      <c r="M655" s="30">
        <f>Tabla2757[[#This Row],[Precio por hora]]*Tabla2757[[#This Row],[Cantidad horas]]</f>
        <v>0</v>
      </c>
      <c r="N655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656" spans="2:14" x14ac:dyDescent="0.3">
      <c r="B656" s="28"/>
      <c r="C656" s="20"/>
      <c r="E656" s="136"/>
      <c r="F656" s="177">
        <f>_xlfn.XLOOKUP(Tabla2757[[#This Row],[Tipo de venta]],Tabla2329[Tipo de venta],Tabla2329[Moneda final], "Error - Seleccionar Tipo de Venta", 0,1)</f>
        <v>0</v>
      </c>
      <c r="G656" s="178"/>
      <c r="H656" s="21"/>
      <c r="I656" s="30">
        <f>_xlfn.XLOOKUP(Tabla2757[[#This Row],[Puesto Encargado]], Tabla9[Puesto], Tabla9[Precio cliente],0,1,1)</f>
        <v>0</v>
      </c>
      <c r="J656" s="30">
        <f>_xlfn.XLOOKUP(Tabla2757[[#This Row],[Cargo]], Tabla958[Cargos], Tabla958[Ponderador Precio],0,1,1)</f>
        <v>0</v>
      </c>
      <c r="K656" s="30">
        <f>Tabla2757[[#This Row],[Precio por hora UF]]*Tabla2757[[#This Row],[Ponderador]]</f>
        <v>0</v>
      </c>
      <c r="L656" s="40">
        <v>0</v>
      </c>
      <c r="M656" s="30">
        <f>Tabla2757[[#This Row],[Precio por hora]]*Tabla2757[[#This Row],[Cantidad horas]]</f>
        <v>0</v>
      </c>
      <c r="N656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657" spans="2:14" x14ac:dyDescent="0.3">
      <c r="B657" s="28"/>
      <c r="C657" s="20"/>
      <c r="E657" s="136"/>
      <c r="F657" s="177">
        <f>_xlfn.XLOOKUP(Tabla2757[[#This Row],[Tipo de venta]],Tabla2329[Tipo de venta],Tabla2329[Moneda final], "Error - Seleccionar Tipo de Venta", 0,1)</f>
        <v>0</v>
      </c>
      <c r="G657" s="178"/>
      <c r="H657" s="21"/>
      <c r="I657" s="30">
        <f>_xlfn.XLOOKUP(Tabla2757[[#This Row],[Puesto Encargado]], Tabla9[Puesto], Tabla9[Precio cliente],0,1,1)</f>
        <v>0</v>
      </c>
      <c r="J657" s="30">
        <f>_xlfn.XLOOKUP(Tabla2757[[#This Row],[Cargo]], Tabla958[Cargos], Tabla958[Ponderador Precio],0,1,1)</f>
        <v>0</v>
      </c>
      <c r="K657" s="30">
        <f>Tabla2757[[#This Row],[Precio por hora UF]]*Tabla2757[[#This Row],[Ponderador]]</f>
        <v>0</v>
      </c>
      <c r="L657" s="40">
        <v>0</v>
      </c>
      <c r="M657" s="30">
        <f>Tabla2757[[#This Row],[Precio por hora]]*Tabla2757[[#This Row],[Cantidad horas]]</f>
        <v>0</v>
      </c>
      <c r="N657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658" spans="2:14" x14ac:dyDescent="0.3">
      <c r="B658" s="28"/>
      <c r="C658" s="20"/>
      <c r="E658" s="136"/>
      <c r="F658" s="177">
        <f>_xlfn.XLOOKUP(Tabla2757[[#This Row],[Tipo de venta]],Tabla2329[Tipo de venta],Tabla2329[Moneda final], "Error - Seleccionar Tipo de Venta", 0,1)</f>
        <v>0</v>
      </c>
      <c r="G658" s="178"/>
      <c r="H658" s="21"/>
      <c r="I658" s="30">
        <f>_xlfn.XLOOKUP(Tabla2757[[#This Row],[Puesto Encargado]], Tabla9[Puesto], Tabla9[Precio cliente],0,1,1)</f>
        <v>0</v>
      </c>
      <c r="J658" s="30">
        <f>_xlfn.XLOOKUP(Tabla2757[[#This Row],[Cargo]], Tabla958[Cargos], Tabla958[Ponderador Precio],0,1,1)</f>
        <v>0</v>
      </c>
      <c r="K658" s="30">
        <f>Tabla2757[[#This Row],[Precio por hora UF]]*Tabla2757[[#This Row],[Ponderador]]</f>
        <v>0</v>
      </c>
      <c r="L658" s="40">
        <v>0</v>
      </c>
      <c r="M658" s="30">
        <f>Tabla2757[[#This Row],[Precio por hora]]*Tabla2757[[#This Row],[Cantidad horas]]</f>
        <v>0</v>
      </c>
      <c r="N658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659" spans="2:14" x14ac:dyDescent="0.3">
      <c r="B659" s="28"/>
      <c r="C659" s="20"/>
      <c r="E659" s="136"/>
      <c r="F659" s="177">
        <f>_xlfn.XLOOKUP(Tabla2757[[#This Row],[Tipo de venta]],Tabla2329[Tipo de venta],Tabla2329[Moneda final], "Error - Seleccionar Tipo de Venta", 0,1)</f>
        <v>0</v>
      </c>
      <c r="G659" s="178"/>
      <c r="H659" s="21"/>
      <c r="I659" s="30">
        <f>_xlfn.XLOOKUP(Tabla2757[[#This Row],[Puesto Encargado]], Tabla9[Puesto], Tabla9[Precio cliente],0,1,1)</f>
        <v>0</v>
      </c>
      <c r="J659" s="30">
        <f>_xlfn.XLOOKUP(Tabla2757[[#This Row],[Cargo]], Tabla958[Cargos], Tabla958[Ponderador Precio],0,1,1)</f>
        <v>0</v>
      </c>
      <c r="K659" s="30">
        <f>Tabla2757[[#This Row],[Precio por hora UF]]*Tabla2757[[#This Row],[Ponderador]]</f>
        <v>0</v>
      </c>
      <c r="L659" s="40">
        <v>0</v>
      </c>
      <c r="M659" s="30">
        <f>Tabla2757[[#This Row],[Precio por hora]]*Tabla2757[[#This Row],[Cantidad horas]]</f>
        <v>0</v>
      </c>
      <c r="N659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660" spans="2:14" x14ac:dyDescent="0.3">
      <c r="B660" s="28"/>
      <c r="C660" s="20"/>
      <c r="E660" s="136"/>
      <c r="F660" s="177">
        <f>_xlfn.XLOOKUP(Tabla2757[[#This Row],[Tipo de venta]],Tabla2329[Tipo de venta],Tabla2329[Moneda final], "Error - Seleccionar Tipo de Venta", 0,1)</f>
        <v>0</v>
      </c>
      <c r="G660" s="178"/>
      <c r="H660" s="21"/>
      <c r="I660" s="30">
        <f>_xlfn.XLOOKUP(Tabla2757[[#This Row],[Puesto Encargado]], Tabla9[Puesto], Tabla9[Precio cliente],0,1,1)</f>
        <v>0</v>
      </c>
      <c r="J660" s="30">
        <f>_xlfn.XLOOKUP(Tabla2757[[#This Row],[Cargo]], Tabla958[Cargos], Tabla958[Ponderador Precio],0,1,1)</f>
        <v>0</v>
      </c>
      <c r="K660" s="30">
        <f>Tabla2757[[#This Row],[Precio por hora UF]]*Tabla2757[[#This Row],[Ponderador]]</f>
        <v>0</v>
      </c>
      <c r="L660" s="40">
        <v>0</v>
      </c>
      <c r="M660" s="30">
        <f>Tabla2757[[#This Row],[Precio por hora]]*Tabla2757[[#This Row],[Cantidad horas]]</f>
        <v>0</v>
      </c>
      <c r="N660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661" spans="2:14" x14ac:dyDescent="0.3">
      <c r="B661" s="28"/>
      <c r="C661" s="20"/>
      <c r="E661" s="136"/>
      <c r="F661" s="177">
        <f>_xlfn.XLOOKUP(Tabla2757[[#This Row],[Tipo de venta]],Tabla2329[Tipo de venta],Tabla2329[Moneda final], "Error - Seleccionar Tipo de Venta", 0,1)</f>
        <v>0</v>
      </c>
      <c r="G661" s="178"/>
      <c r="H661" s="21"/>
      <c r="I661" s="30">
        <f>_xlfn.XLOOKUP(Tabla2757[[#This Row],[Puesto Encargado]], Tabla9[Puesto], Tabla9[Precio cliente],0,1,1)</f>
        <v>0</v>
      </c>
      <c r="J661" s="30">
        <f>_xlfn.XLOOKUP(Tabla2757[[#This Row],[Cargo]], Tabla958[Cargos], Tabla958[Ponderador Precio],0,1,1)</f>
        <v>0</v>
      </c>
      <c r="K661" s="30">
        <f>Tabla2757[[#This Row],[Precio por hora UF]]*Tabla2757[[#This Row],[Ponderador]]</f>
        <v>0</v>
      </c>
      <c r="L661" s="40">
        <v>0</v>
      </c>
      <c r="M661" s="30">
        <f>Tabla2757[[#This Row],[Precio por hora]]*Tabla2757[[#This Row],[Cantidad horas]]</f>
        <v>0</v>
      </c>
      <c r="N661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662" spans="2:14" x14ac:dyDescent="0.3">
      <c r="B662" s="28"/>
      <c r="C662" s="20"/>
      <c r="E662" s="136"/>
      <c r="F662" s="177">
        <f>_xlfn.XLOOKUP(Tabla2757[[#This Row],[Tipo de venta]],Tabla2329[Tipo de venta],Tabla2329[Moneda final], "Error - Seleccionar Tipo de Venta", 0,1)</f>
        <v>0</v>
      </c>
      <c r="G662" s="178"/>
      <c r="H662" s="21"/>
      <c r="I662" s="30">
        <f>_xlfn.XLOOKUP(Tabla2757[[#This Row],[Puesto Encargado]], Tabla9[Puesto], Tabla9[Precio cliente],0,1,1)</f>
        <v>0</v>
      </c>
      <c r="J662" s="30">
        <f>_xlfn.XLOOKUP(Tabla2757[[#This Row],[Cargo]], Tabla958[Cargos], Tabla958[Ponderador Precio],0,1,1)</f>
        <v>0</v>
      </c>
      <c r="K662" s="30">
        <f>Tabla2757[[#This Row],[Precio por hora UF]]*Tabla2757[[#This Row],[Ponderador]]</f>
        <v>0</v>
      </c>
      <c r="L662" s="40">
        <v>0</v>
      </c>
      <c r="M662" s="30">
        <f>Tabla2757[[#This Row],[Precio por hora]]*Tabla2757[[#This Row],[Cantidad horas]]</f>
        <v>0</v>
      </c>
      <c r="N662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663" spans="2:14" x14ac:dyDescent="0.3">
      <c r="B663" s="28"/>
      <c r="C663" s="20"/>
      <c r="E663" s="136"/>
      <c r="F663" s="177">
        <f>_xlfn.XLOOKUP(Tabla2757[[#This Row],[Tipo de venta]],Tabla2329[Tipo de venta],Tabla2329[Moneda final], "Error - Seleccionar Tipo de Venta", 0,1)</f>
        <v>0</v>
      </c>
      <c r="G663" s="178"/>
      <c r="H663" s="21"/>
      <c r="I663" s="30">
        <f>_xlfn.XLOOKUP(Tabla2757[[#This Row],[Puesto Encargado]], Tabla9[Puesto], Tabla9[Precio cliente],0,1,1)</f>
        <v>0</v>
      </c>
      <c r="J663" s="30">
        <f>_xlfn.XLOOKUP(Tabla2757[[#This Row],[Cargo]], Tabla958[Cargos], Tabla958[Ponderador Precio],0,1,1)</f>
        <v>0</v>
      </c>
      <c r="K663" s="30">
        <f>Tabla2757[[#This Row],[Precio por hora UF]]*Tabla2757[[#This Row],[Ponderador]]</f>
        <v>0</v>
      </c>
      <c r="L663" s="40">
        <v>0</v>
      </c>
      <c r="M663" s="30">
        <f>Tabla2757[[#This Row],[Precio por hora]]*Tabla2757[[#This Row],[Cantidad horas]]</f>
        <v>0</v>
      </c>
      <c r="N663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664" spans="2:14" x14ac:dyDescent="0.3">
      <c r="B664" s="28"/>
      <c r="C664" s="20"/>
      <c r="E664" s="136"/>
      <c r="F664" s="177">
        <f>_xlfn.XLOOKUP(Tabla2757[[#This Row],[Tipo de venta]],Tabla2329[Tipo de venta],Tabla2329[Moneda final], "Error - Seleccionar Tipo de Venta", 0,1)</f>
        <v>0</v>
      </c>
      <c r="G664" s="178"/>
      <c r="H664" s="21"/>
      <c r="I664" s="30">
        <f>_xlfn.XLOOKUP(Tabla2757[[#This Row],[Puesto Encargado]], Tabla9[Puesto], Tabla9[Precio cliente],0,1,1)</f>
        <v>0</v>
      </c>
      <c r="J664" s="30">
        <f>_xlfn.XLOOKUP(Tabla2757[[#This Row],[Cargo]], Tabla958[Cargos], Tabla958[Ponderador Precio],0,1,1)</f>
        <v>0</v>
      </c>
      <c r="K664" s="30">
        <f>Tabla2757[[#This Row],[Precio por hora UF]]*Tabla2757[[#This Row],[Ponderador]]</f>
        <v>0</v>
      </c>
      <c r="L664" s="40">
        <v>0</v>
      </c>
      <c r="M664" s="30">
        <f>Tabla2757[[#This Row],[Precio por hora]]*Tabla2757[[#This Row],[Cantidad horas]]</f>
        <v>0</v>
      </c>
      <c r="N664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665" spans="2:14" x14ac:dyDescent="0.3">
      <c r="B665" s="28"/>
      <c r="C665" s="20"/>
      <c r="E665" s="136"/>
      <c r="F665" s="177">
        <f>_xlfn.XLOOKUP(Tabla2757[[#This Row],[Tipo de venta]],Tabla2329[Tipo de venta],Tabla2329[Moneda final], "Error - Seleccionar Tipo de Venta", 0,1)</f>
        <v>0</v>
      </c>
      <c r="G665" s="178"/>
      <c r="H665" s="21"/>
      <c r="I665" s="30">
        <f>_xlfn.XLOOKUP(Tabla2757[[#This Row],[Puesto Encargado]], Tabla9[Puesto], Tabla9[Precio cliente],0,1,1)</f>
        <v>0</v>
      </c>
      <c r="J665" s="30">
        <f>_xlfn.XLOOKUP(Tabla2757[[#This Row],[Cargo]], Tabla958[Cargos], Tabla958[Ponderador Precio],0,1,1)</f>
        <v>0</v>
      </c>
      <c r="K665" s="30">
        <f>Tabla2757[[#This Row],[Precio por hora UF]]*Tabla2757[[#This Row],[Ponderador]]</f>
        <v>0</v>
      </c>
      <c r="L665" s="40">
        <v>0</v>
      </c>
      <c r="M665" s="30">
        <f>Tabla2757[[#This Row],[Precio por hora]]*Tabla2757[[#This Row],[Cantidad horas]]</f>
        <v>0</v>
      </c>
      <c r="N665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666" spans="2:14" x14ac:dyDescent="0.3">
      <c r="B666" s="28"/>
      <c r="C666" s="20"/>
      <c r="E666" s="136"/>
      <c r="F666" s="177">
        <f>_xlfn.XLOOKUP(Tabla2757[[#This Row],[Tipo de venta]],Tabla2329[Tipo de venta],Tabla2329[Moneda final], "Error - Seleccionar Tipo de Venta", 0,1)</f>
        <v>0</v>
      </c>
      <c r="G666" s="178"/>
      <c r="H666" s="21"/>
      <c r="I666" s="30">
        <f>_xlfn.XLOOKUP(Tabla2757[[#This Row],[Puesto Encargado]], Tabla9[Puesto], Tabla9[Precio cliente],0,1,1)</f>
        <v>0</v>
      </c>
      <c r="J666" s="30">
        <f>_xlfn.XLOOKUP(Tabla2757[[#This Row],[Cargo]], Tabla958[Cargos], Tabla958[Ponderador Precio],0,1,1)</f>
        <v>0</v>
      </c>
      <c r="K666" s="30">
        <f>Tabla2757[[#This Row],[Precio por hora UF]]*Tabla2757[[#This Row],[Ponderador]]</f>
        <v>0</v>
      </c>
      <c r="L666" s="40">
        <v>0</v>
      </c>
      <c r="M666" s="30">
        <f>Tabla2757[[#This Row],[Precio por hora]]*Tabla2757[[#This Row],[Cantidad horas]]</f>
        <v>0</v>
      </c>
      <c r="N666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667" spans="2:14" x14ac:dyDescent="0.3">
      <c r="B667" s="28"/>
      <c r="C667" s="20"/>
      <c r="E667" s="136"/>
      <c r="F667" s="177">
        <f>_xlfn.XLOOKUP(Tabla2757[[#This Row],[Tipo de venta]],Tabla2329[Tipo de venta],Tabla2329[Moneda final], "Error - Seleccionar Tipo de Venta", 0,1)</f>
        <v>0</v>
      </c>
      <c r="G667" s="178"/>
      <c r="H667" s="21"/>
      <c r="I667" s="30">
        <f>_xlfn.XLOOKUP(Tabla2757[[#This Row],[Puesto Encargado]], Tabla9[Puesto], Tabla9[Precio cliente],0,1,1)</f>
        <v>0</v>
      </c>
      <c r="J667" s="30">
        <f>_xlfn.XLOOKUP(Tabla2757[[#This Row],[Cargo]], Tabla958[Cargos], Tabla958[Ponderador Precio],0,1,1)</f>
        <v>0</v>
      </c>
      <c r="K667" s="30">
        <f>Tabla2757[[#This Row],[Precio por hora UF]]*Tabla2757[[#This Row],[Ponderador]]</f>
        <v>0</v>
      </c>
      <c r="L667" s="40">
        <v>0</v>
      </c>
      <c r="M667" s="30">
        <f>Tabla2757[[#This Row],[Precio por hora]]*Tabla2757[[#This Row],[Cantidad horas]]</f>
        <v>0</v>
      </c>
      <c r="N667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668" spans="2:14" x14ac:dyDescent="0.3">
      <c r="B668" s="28"/>
      <c r="C668" s="20"/>
      <c r="E668" s="136"/>
      <c r="F668" s="177">
        <f>_xlfn.XLOOKUP(Tabla2757[[#This Row],[Tipo de venta]],Tabla2329[Tipo de venta],Tabla2329[Moneda final], "Error - Seleccionar Tipo de Venta", 0,1)</f>
        <v>0</v>
      </c>
      <c r="G668" s="178"/>
      <c r="H668" s="21"/>
      <c r="I668" s="30">
        <f>_xlfn.XLOOKUP(Tabla2757[[#This Row],[Puesto Encargado]], Tabla9[Puesto], Tabla9[Precio cliente],0,1,1)</f>
        <v>0</v>
      </c>
      <c r="J668" s="30">
        <f>_xlfn.XLOOKUP(Tabla2757[[#This Row],[Cargo]], Tabla958[Cargos], Tabla958[Ponderador Precio],0,1,1)</f>
        <v>0</v>
      </c>
      <c r="K668" s="30">
        <f>Tabla2757[[#This Row],[Precio por hora UF]]*Tabla2757[[#This Row],[Ponderador]]</f>
        <v>0</v>
      </c>
      <c r="L668" s="40">
        <v>0</v>
      </c>
      <c r="M668" s="30">
        <f>Tabla2757[[#This Row],[Precio por hora]]*Tabla2757[[#This Row],[Cantidad horas]]</f>
        <v>0</v>
      </c>
      <c r="N668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669" spans="2:14" x14ac:dyDescent="0.3">
      <c r="B669" s="28"/>
      <c r="C669" s="20"/>
      <c r="E669" s="136"/>
      <c r="F669" s="177">
        <f>_xlfn.XLOOKUP(Tabla2757[[#This Row],[Tipo de venta]],Tabla2329[Tipo de venta],Tabla2329[Moneda final], "Error - Seleccionar Tipo de Venta", 0,1)</f>
        <v>0</v>
      </c>
      <c r="G669" s="178"/>
      <c r="H669" s="21"/>
      <c r="I669" s="30">
        <f>_xlfn.XLOOKUP(Tabla2757[[#This Row],[Puesto Encargado]], Tabla9[Puesto], Tabla9[Precio cliente],0,1,1)</f>
        <v>0</v>
      </c>
      <c r="J669" s="30">
        <f>_xlfn.XLOOKUP(Tabla2757[[#This Row],[Cargo]], Tabla958[Cargos], Tabla958[Ponderador Precio],0,1,1)</f>
        <v>0</v>
      </c>
      <c r="K669" s="30">
        <f>Tabla2757[[#This Row],[Precio por hora UF]]*Tabla2757[[#This Row],[Ponderador]]</f>
        <v>0</v>
      </c>
      <c r="L669" s="40">
        <v>0</v>
      </c>
      <c r="M669" s="30">
        <f>Tabla2757[[#This Row],[Precio por hora]]*Tabla2757[[#This Row],[Cantidad horas]]</f>
        <v>0</v>
      </c>
      <c r="N669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670" spans="2:14" x14ac:dyDescent="0.3">
      <c r="B670" s="28"/>
      <c r="C670" s="20"/>
      <c r="E670" s="136"/>
      <c r="F670" s="177">
        <f>_xlfn.XLOOKUP(Tabla2757[[#This Row],[Tipo de venta]],Tabla2329[Tipo de venta],Tabla2329[Moneda final], "Error - Seleccionar Tipo de Venta", 0,1)</f>
        <v>0</v>
      </c>
      <c r="G670" s="178"/>
      <c r="H670" s="21"/>
      <c r="I670" s="30">
        <f>_xlfn.XLOOKUP(Tabla2757[[#This Row],[Puesto Encargado]], Tabla9[Puesto], Tabla9[Precio cliente],0,1,1)</f>
        <v>0</v>
      </c>
      <c r="J670" s="30">
        <f>_xlfn.XLOOKUP(Tabla2757[[#This Row],[Cargo]], Tabla958[Cargos], Tabla958[Ponderador Precio],0,1,1)</f>
        <v>0</v>
      </c>
      <c r="K670" s="30">
        <f>Tabla2757[[#This Row],[Precio por hora UF]]*Tabla2757[[#This Row],[Ponderador]]</f>
        <v>0</v>
      </c>
      <c r="L670" s="40">
        <v>0</v>
      </c>
      <c r="M670" s="30">
        <f>Tabla2757[[#This Row],[Precio por hora]]*Tabla2757[[#This Row],[Cantidad horas]]</f>
        <v>0</v>
      </c>
      <c r="N670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671" spans="2:14" x14ac:dyDescent="0.3">
      <c r="B671" s="28"/>
      <c r="C671" s="20"/>
      <c r="E671" s="136"/>
      <c r="F671" s="177">
        <f>_xlfn.XLOOKUP(Tabla2757[[#This Row],[Tipo de venta]],Tabla2329[Tipo de venta],Tabla2329[Moneda final], "Error - Seleccionar Tipo de Venta", 0,1)</f>
        <v>0</v>
      </c>
      <c r="G671" s="178"/>
      <c r="H671" s="21"/>
      <c r="I671" s="30">
        <f>_xlfn.XLOOKUP(Tabla2757[[#This Row],[Puesto Encargado]], Tabla9[Puesto], Tabla9[Precio cliente],0,1,1)</f>
        <v>0</v>
      </c>
      <c r="J671" s="30">
        <f>_xlfn.XLOOKUP(Tabla2757[[#This Row],[Cargo]], Tabla958[Cargos], Tabla958[Ponderador Precio],0,1,1)</f>
        <v>0</v>
      </c>
      <c r="K671" s="30">
        <f>Tabla2757[[#This Row],[Precio por hora UF]]*Tabla2757[[#This Row],[Ponderador]]</f>
        <v>0</v>
      </c>
      <c r="L671" s="40">
        <v>0</v>
      </c>
      <c r="M671" s="30">
        <f>Tabla2757[[#This Row],[Precio por hora]]*Tabla2757[[#This Row],[Cantidad horas]]</f>
        <v>0</v>
      </c>
      <c r="N671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672" spans="2:14" x14ac:dyDescent="0.3">
      <c r="B672" s="28"/>
      <c r="C672" s="20"/>
      <c r="E672" s="136"/>
      <c r="F672" s="177">
        <f>_xlfn.XLOOKUP(Tabla2757[[#This Row],[Tipo de venta]],Tabla2329[Tipo de venta],Tabla2329[Moneda final], "Error - Seleccionar Tipo de Venta", 0,1)</f>
        <v>0</v>
      </c>
      <c r="G672" s="178"/>
      <c r="H672" s="21"/>
      <c r="I672" s="30">
        <f>_xlfn.XLOOKUP(Tabla2757[[#This Row],[Puesto Encargado]], Tabla9[Puesto], Tabla9[Precio cliente],0,1,1)</f>
        <v>0</v>
      </c>
      <c r="J672" s="30">
        <f>_xlfn.XLOOKUP(Tabla2757[[#This Row],[Cargo]], Tabla958[Cargos], Tabla958[Ponderador Precio],0,1,1)</f>
        <v>0</v>
      </c>
      <c r="K672" s="30">
        <f>Tabla2757[[#This Row],[Precio por hora UF]]*Tabla2757[[#This Row],[Ponderador]]</f>
        <v>0</v>
      </c>
      <c r="L672" s="40">
        <v>0</v>
      </c>
      <c r="M672" s="30">
        <f>Tabla2757[[#This Row],[Precio por hora]]*Tabla2757[[#This Row],[Cantidad horas]]</f>
        <v>0</v>
      </c>
      <c r="N672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673" spans="2:14" x14ac:dyDescent="0.3">
      <c r="B673" s="28"/>
      <c r="C673" s="20"/>
      <c r="E673" s="136"/>
      <c r="F673" s="177">
        <f>_xlfn.XLOOKUP(Tabla2757[[#This Row],[Tipo de venta]],Tabla2329[Tipo de venta],Tabla2329[Moneda final], "Error - Seleccionar Tipo de Venta", 0,1)</f>
        <v>0</v>
      </c>
      <c r="G673" s="178"/>
      <c r="H673" s="21"/>
      <c r="I673" s="30">
        <f>_xlfn.XLOOKUP(Tabla2757[[#This Row],[Puesto Encargado]], Tabla9[Puesto], Tabla9[Precio cliente],0,1,1)</f>
        <v>0</v>
      </c>
      <c r="J673" s="30">
        <f>_xlfn.XLOOKUP(Tabla2757[[#This Row],[Cargo]], Tabla958[Cargos], Tabla958[Ponderador Precio],0,1,1)</f>
        <v>0</v>
      </c>
      <c r="K673" s="30">
        <f>Tabla2757[[#This Row],[Precio por hora UF]]*Tabla2757[[#This Row],[Ponderador]]</f>
        <v>0</v>
      </c>
      <c r="L673" s="40">
        <v>0</v>
      </c>
      <c r="M673" s="30">
        <f>Tabla2757[[#This Row],[Precio por hora]]*Tabla2757[[#This Row],[Cantidad horas]]</f>
        <v>0</v>
      </c>
      <c r="N673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674" spans="2:14" x14ac:dyDescent="0.3">
      <c r="B674" s="28"/>
      <c r="C674" s="20"/>
      <c r="E674" s="136"/>
      <c r="F674" s="177">
        <f>_xlfn.XLOOKUP(Tabla2757[[#This Row],[Tipo de venta]],Tabla2329[Tipo de venta],Tabla2329[Moneda final], "Error - Seleccionar Tipo de Venta", 0,1)</f>
        <v>0</v>
      </c>
      <c r="G674" s="178"/>
      <c r="H674" s="21"/>
      <c r="I674" s="30">
        <f>_xlfn.XLOOKUP(Tabla2757[[#This Row],[Puesto Encargado]], Tabla9[Puesto], Tabla9[Precio cliente],0,1,1)</f>
        <v>0</v>
      </c>
      <c r="J674" s="30">
        <f>_xlfn.XLOOKUP(Tabla2757[[#This Row],[Cargo]], Tabla958[Cargos], Tabla958[Ponderador Precio],0,1,1)</f>
        <v>0</v>
      </c>
      <c r="K674" s="30">
        <f>Tabla2757[[#This Row],[Precio por hora UF]]*Tabla2757[[#This Row],[Ponderador]]</f>
        <v>0</v>
      </c>
      <c r="L674" s="40">
        <v>0</v>
      </c>
      <c r="M674" s="30">
        <f>Tabla2757[[#This Row],[Precio por hora]]*Tabla2757[[#This Row],[Cantidad horas]]</f>
        <v>0</v>
      </c>
      <c r="N674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675" spans="2:14" x14ac:dyDescent="0.3">
      <c r="B675" s="28"/>
      <c r="C675" s="20"/>
      <c r="E675" s="136"/>
      <c r="F675" s="177">
        <f>_xlfn.XLOOKUP(Tabla2757[[#This Row],[Tipo de venta]],Tabla2329[Tipo de venta],Tabla2329[Moneda final], "Error - Seleccionar Tipo de Venta", 0,1)</f>
        <v>0</v>
      </c>
      <c r="G675" s="178"/>
      <c r="H675" s="21"/>
      <c r="I675" s="30">
        <f>_xlfn.XLOOKUP(Tabla2757[[#This Row],[Puesto Encargado]], Tabla9[Puesto], Tabla9[Precio cliente],0,1,1)</f>
        <v>0</v>
      </c>
      <c r="J675" s="30">
        <f>_xlfn.XLOOKUP(Tabla2757[[#This Row],[Cargo]], Tabla958[Cargos], Tabla958[Ponderador Precio],0,1,1)</f>
        <v>0</v>
      </c>
      <c r="K675" s="30">
        <f>Tabla2757[[#This Row],[Precio por hora UF]]*Tabla2757[[#This Row],[Ponderador]]</f>
        <v>0</v>
      </c>
      <c r="L675" s="40">
        <v>0</v>
      </c>
      <c r="M675" s="30">
        <f>Tabla2757[[#This Row],[Precio por hora]]*Tabla2757[[#This Row],[Cantidad horas]]</f>
        <v>0</v>
      </c>
      <c r="N675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676" spans="2:14" x14ac:dyDescent="0.3">
      <c r="B676" s="28"/>
      <c r="C676" s="20"/>
      <c r="E676" s="136"/>
      <c r="F676" s="177">
        <f>_xlfn.XLOOKUP(Tabla2757[[#This Row],[Tipo de venta]],Tabla2329[Tipo de venta],Tabla2329[Moneda final], "Error - Seleccionar Tipo de Venta", 0,1)</f>
        <v>0</v>
      </c>
      <c r="G676" s="178"/>
      <c r="H676" s="21"/>
      <c r="I676" s="30">
        <f>_xlfn.XLOOKUP(Tabla2757[[#This Row],[Puesto Encargado]], Tabla9[Puesto], Tabla9[Precio cliente],0,1,1)</f>
        <v>0</v>
      </c>
      <c r="J676" s="30">
        <f>_xlfn.XLOOKUP(Tabla2757[[#This Row],[Cargo]], Tabla958[Cargos], Tabla958[Ponderador Precio],0,1,1)</f>
        <v>0</v>
      </c>
      <c r="K676" s="30">
        <f>Tabla2757[[#This Row],[Precio por hora UF]]*Tabla2757[[#This Row],[Ponderador]]</f>
        <v>0</v>
      </c>
      <c r="L676" s="40">
        <v>0</v>
      </c>
      <c r="M676" s="30">
        <f>Tabla2757[[#This Row],[Precio por hora]]*Tabla2757[[#This Row],[Cantidad horas]]</f>
        <v>0</v>
      </c>
      <c r="N676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677" spans="2:14" x14ac:dyDescent="0.3">
      <c r="B677" s="28"/>
      <c r="C677" s="20"/>
      <c r="E677" s="136"/>
      <c r="F677" s="177">
        <f>_xlfn.XLOOKUP(Tabla2757[[#This Row],[Tipo de venta]],Tabla2329[Tipo de venta],Tabla2329[Moneda final], "Error - Seleccionar Tipo de Venta", 0,1)</f>
        <v>0</v>
      </c>
      <c r="G677" s="178"/>
      <c r="H677" s="21"/>
      <c r="I677" s="30">
        <f>_xlfn.XLOOKUP(Tabla2757[[#This Row],[Puesto Encargado]], Tabla9[Puesto], Tabla9[Precio cliente],0,1,1)</f>
        <v>0</v>
      </c>
      <c r="J677" s="30">
        <f>_xlfn.XLOOKUP(Tabla2757[[#This Row],[Cargo]], Tabla958[Cargos], Tabla958[Ponderador Precio],0,1,1)</f>
        <v>0</v>
      </c>
      <c r="K677" s="30">
        <f>Tabla2757[[#This Row],[Precio por hora UF]]*Tabla2757[[#This Row],[Ponderador]]</f>
        <v>0</v>
      </c>
      <c r="L677" s="40">
        <v>0</v>
      </c>
      <c r="M677" s="30">
        <f>Tabla2757[[#This Row],[Precio por hora]]*Tabla2757[[#This Row],[Cantidad horas]]</f>
        <v>0</v>
      </c>
      <c r="N677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678" spans="2:14" x14ac:dyDescent="0.3">
      <c r="B678" s="28"/>
      <c r="C678" s="20"/>
      <c r="E678" s="136"/>
      <c r="F678" s="177">
        <f>_xlfn.XLOOKUP(Tabla2757[[#This Row],[Tipo de venta]],Tabla2329[Tipo de venta],Tabla2329[Moneda final], "Error - Seleccionar Tipo de Venta", 0,1)</f>
        <v>0</v>
      </c>
      <c r="G678" s="178"/>
      <c r="H678" s="21"/>
      <c r="I678" s="30">
        <f>_xlfn.XLOOKUP(Tabla2757[[#This Row],[Puesto Encargado]], Tabla9[Puesto], Tabla9[Precio cliente],0,1,1)</f>
        <v>0</v>
      </c>
      <c r="J678" s="30">
        <f>_xlfn.XLOOKUP(Tabla2757[[#This Row],[Cargo]], Tabla958[Cargos], Tabla958[Ponderador Precio],0,1,1)</f>
        <v>0</v>
      </c>
      <c r="K678" s="30">
        <f>Tabla2757[[#This Row],[Precio por hora UF]]*Tabla2757[[#This Row],[Ponderador]]</f>
        <v>0</v>
      </c>
      <c r="L678" s="40">
        <v>0</v>
      </c>
      <c r="M678" s="30">
        <f>Tabla2757[[#This Row],[Precio por hora]]*Tabla2757[[#This Row],[Cantidad horas]]</f>
        <v>0</v>
      </c>
      <c r="N678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679" spans="2:14" x14ac:dyDescent="0.3">
      <c r="B679" s="28"/>
      <c r="C679" s="20"/>
      <c r="E679" s="136"/>
      <c r="F679" s="177">
        <f>_xlfn.XLOOKUP(Tabla2757[[#This Row],[Tipo de venta]],Tabla2329[Tipo de venta],Tabla2329[Moneda final], "Error - Seleccionar Tipo de Venta", 0,1)</f>
        <v>0</v>
      </c>
      <c r="G679" s="178"/>
      <c r="H679" s="21"/>
      <c r="I679" s="30">
        <f>_xlfn.XLOOKUP(Tabla2757[[#This Row],[Puesto Encargado]], Tabla9[Puesto], Tabla9[Precio cliente],0,1,1)</f>
        <v>0</v>
      </c>
      <c r="J679" s="30">
        <f>_xlfn.XLOOKUP(Tabla2757[[#This Row],[Cargo]], Tabla958[Cargos], Tabla958[Ponderador Precio],0,1,1)</f>
        <v>0</v>
      </c>
      <c r="K679" s="30">
        <f>Tabla2757[[#This Row],[Precio por hora UF]]*Tabla2757[[#This Row],[Ponderador]]</f>
        <v>0</v>
      </c>
      <c r="L679" s="40">
        <v>0</v>
      </c>
      <c r="M679" s="30">
        <f>Tabla2757[[#This Row],[Precio por hora]]*Tabla2757[[#This Row],[Cantidad horas]]</f>
        <v>0</v>
      </c>
      <c r="N679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680" spans="2:14" x14ac:dyDescent="0.3">
      <c r="B680" s="28"/>
      <c r="C680" s="20"/>
      <c r="E680" s="136"/>
      <c r="F680" s="177">
        <f>_xlfn.XLOOKUP(Tabla2757[[#This Row],[Tipo de venta]],Tabla2329[Tipo de venta],Tabla2329[Moneda final], "Error - Seleccionar Tipo de Venta", 0,1)</f>
        <v>0</v>
      </c>
      <c r="G680" s="178"/>
      <c r="H680" s="21"/>
      <c r="I680" s="30">
        <f>_xlfn.XLOOKUP(Tabla2757[[#This Row],[Puesto Encargado]], Tabla9[Puesto], Tabla9[Precio cliente],0,1,1)</f>
        <v>0</v>
      </c>
      <c r="J680" s="30">
        <f>_xlfn.XLOOKUP(Tabla2757[[#This Row],[Cargo]], Tabla958[Cargos], Tabla958[Ponderador Precio],0,1,1)</f>
        <v>0</v>
      </c>
      <c r="K680" s="30">
        <f>Tabla2757[[#This Row],[Precio por hora UF]]*Tabla2757[[#This Row],[Ponderador]]</f>
        <v>0</v>
      </c>
      <c r="L680" s="40">
        <v>0</v>
      </c>
      <c r="M680" s="30">
        <f>Tabla2757[[#This Row],[Precio por hora]]*Tabla2757[[#This Row],[Cantidad horas]]</f>
        <v>0</v>
      </c>
      <c r="N680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681" spans="2:14" x14ac:dyDescent="0.3">
      <c r="B681" s="28"/>
      <c r="C681" s="20"/>
      <c r="E681" s="136"/>
      <c r="F681" s="177">
        <f>_xlfn.XLOOKUP(Tabla2757[[#This Row],[Tipo de venta]],Tabla2329[Tipo de venta],Tabla2329[Moneda final], "Error - Seleccionar Tipo de Venta", 0,1)</f>
        <v>0</v>
      </c>
      <c r="G681" s="178"/>
      <c r="H681" s="21"/>
      <c r="I681" s="30">
        <f>_xlfn.XLOOKUP(Tabla2757[[#This Row],[Puesto Encargado]], Tabla9[Puesto], Tabla9[Precio cliente],0,1,1)</f>
        <v>0</v>
      </c>
      <c r="J681" s="30">
        <f>_xlfn.XLOOKUP(Tabla2757[[#This Row],[Cargo]], Tabla958[Cargos], Tabla958[Ponderador Precio],0,1,1)</f>
        <v>0</v>
      </c>
      <c r="K681" s="30">
        <f>Tabla2757[[#This Row],[Precio por hora UF]]*Tabla2757[[#This Row],[Ponderador]]</f>
        <v>0</v>
      </c>
      <c r="L681" s="40">
        <v>0</v>
      </c>
      <c r="M681" s="30">
        <f>Tabla2757[[#This Row],[Precio por hora]]*Tabla2757[[#This Row],[Cantidad horas]]</f>
        <v>0</v>
      </c>
      <c r="N681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682" spans="2:14" x14ac:dyDescent="0.3">
      <c r="B682" s="28"/>
      <c r="C682" s="20"/>
      <c r="E682" s="136"/>
      <c r="F682" s="177">
        <f>_xlfn.XLOOKUP(Tabla2757[[#This Row],[Tipo de venta]],Tabla2329[Tipo de venta],Tabla2329[Moneda final], "Error - Seleccionar Tipo de Venta", 0,1)</f>
        <v>0</v>
      </c>
      <c r="G682" s="178"/>
      <c r="H682" s="21"/>
      <c r="I682" s="30">
        <f>_xlfn.XLOOKUP(Tabla2757[[#This Row],[Puesto Encargado]], Tabla9[Puesto], Tabla9[Precio cliente],0,1,1)</f>
        <v>0</v>
      </c>
      <c r="J682" s="30">
        <f>_xlfn.XLOOKUP(Tabla2757[[#This Row],[Cargo]], Tabla958[Cargos], Tabla958[Ponderador Precio],0,1,1)</f>
        <v>0</v>
      </c>
      <c r="K682" s="30">
        <f>Tabla2757[[#This Row],[Precio por hora UF]]*Tabla2757[[#This Row],[Ponderador]]</f>
        <v>0</v>
      </c>
      <c r="L682" s="40">
        <v>0</v>
      </c>
      <c r="M682" s="30">
        <f>Tabla2757[[#This Row],[Precio por hora]]*Tabla2757[[#This Row],[Cantidad horas]]</f>
        <v>0</v>
      </c>
      <c r="N682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683" spans="2:14" x14ac:dyDescent="0.3">
      <c r="B683" s="28"/>
      <c r="C683" s="20"/>
      <c r="E683" s="136"/>
      <c r="F683" s="177">
        <f>_xlfn.XLOOKUP(Tabla2757[[#This Row],[Tipo de venta]],Tabla2329[Tipo de venta],Tabla2329[Moneda final], "Error - Seleccionar Tipo de Venta", 0,1)</f>
        <v>0</v>
      </c>
      <c r="G683" s="178"/>
      <c r="H683" s="21"/>
      <c r="I683" s="30">
        <f>_xlfn.XLOOKUP(Tabla2757[[#This Row],[Puesto Encargado]], Tabla9[Puesto], Tabla9[Precio cliente],0,1,1)</f>
        <v>0</v>
      </c>
      <c r="J683" s="30">
        <f>_xlfn.XLOOKUP(Tabla2757[[#This Row],[Cargo]], Tabla958[Cargos], Tabla958[Ponderador Precio],0,1,1)</f>
        <v>0</v>
      </c>
      <c r="K683" s="30">
        <f>Tabla2757[[#This Row],[Precio por hora UF]]*Tabla2757[[#This Row],[Ponderador]]</f>
        <v>0</v>
      </c>
      <c r="L683" s="40">
        <v>0</v>
      </c>
      <c r="M683" s="30">
        <f>Tabla2757[[#This Row],[Precio por hora]]*Tabla2757[[#This Row],[Cantidad horas]]</f>
        <v>0</v>
      </c>
      <c r="N683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684" spans="2:14" x14ac:dyDescent="0.3">
      <c r="B684" s="28"/>
      <c r="C684" s="20"/>
      <c r="E684" s="136"/>
      <c r="F684" s="177">
        <f>_xlfn.XLOOKUP(Tabla2757[[#This Row],[Tipo de venta]],Tabla2329[Tipo de venta],Tabla2329[Moneda final], "Error - Seleccionar Tipo de Venta", 0,1)</f>
        <v>0</v>
      </c>
      <c r="G684" s="178"/>
      <c r="H684" s="21"/>
      <c r="I684" s="30">
        <f>_xlfn.XLOOKUP(Tabla2757[[#This Row],[Puesto Encargado]], Tabla9[Puesto], Tabla9[Precio cliente],0,1,1)</f>
        <v>0</v>
      </c>
      <c r="J684" s="30">
        <f>_xlfn.XLOOKUP(Tabla2757[[#This Row],[Cargo]], Tabla958[Cargos], Tabla958[Ponderador Precio],0,1,1)</f>
        <v>0</v>
      </c>
      <c r="K684" s="30">
        <f>Tabla2757[[#This Row],[Precio por hora UF]]*Tabla2757[[#This Row],[Ponderador]]</f>
        <v>0</v>
      </c>
      <c r="L684" s="40">
        <v>0</v>
      </c>
      <c r="M684" s="30">
        <f>Tabla2757[[#This Row],[Precio por hora]]*Tabla2757[[#This Row],[Cantidad horas]]</f>
        <v>0</v>
      </c>
      <c r="N684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685" spans="2:14" x14ac:dyDescent="0.3">
      <c r="B685" s="28"/>
      <c r="C685" s="20"/>
      <c r="E685" s="136"/>
      <c r="F685" s="177">
        <f>_xlfn.XLOOKUP(Tabla2757[[#This Row],[Tipo de venta]],Tabla2329[Tipo de venta],Tabla2329[Moneda final], "Error - Seleccionar Tipo de Venta", 0,1)</f>
        <v>0</v>
      </c>
      <c r="G685" s="178"/>
      <c r="H685" s="21"/>
      <c r="I685" s="30">
        <f>_xlfn.XLOOKUP(Tabla2757[[#This Row],[Puesto Encargado]], Tabla9[Puesto], Tabla9[Precio cliente],0,1,1)</f>
        <v>0</v>
      </c>
      <c r="J685" s="30">
        <f>_xlfn.XLOOKUP(Tabla2757[[#This Row],[Cargo]], Tabla958[Cargos], Tabla958[Ponderador Precio],0,1,1)</f>
        <v>0</v>
      </c>
      <c r="K685" s="30">
        <f>Tabla2757[[#This Row],[Precio por hora UF]]*Tabla2757[[#This Row],[Ponderador]]</f>
        <v>0</v>
      </c>
      <c r="L685" s="40">
        <v>0</v>
      </c>
      <c r="M685" s="30">
        <f>Tabla2757[[#This Row],[Precio por hora]]*Tabla2757[[#This Row],[Cantidad horas]]</f>
        <v>0</v>
      </c>
      <c r="N685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686" spans="2:14" x14ac:dyDescent="0.3">
      <c r="B686" s="28"/>
      <c r="C686" s="20"/>
      <c r="E686" s="136"/>
      <c r="F686" s="177">
        <f>_xlfn.XLOOKUP(Tabla2757[[#This Row],[Tipo de venta]],Tabla2329[Tipo de venta],Tabla2329[Moneda final], "Error - Seleccionar Tipo de Venta", 0,1)</f>
        <v>0</v>
      </c>
      <c r="G686" s="178"/>
      <c r="H686" s="21"/>
      <c r="I686" s="30">
        <f>_xlfn.XLOOKUP(Tabla2757[[#This Row],[Puesto Encargado]], Tabla9[Puesto], Tabla9[Precio cliente],0,1,1)</f>
        <v>0</v>
      </c>
      <c r="J686" s="30">
        <f>_xlfn.XLOOKUP(Tabla2757[[#This Row],[Cargo]], Tabla958[Cargos], Tabla958[Ponderador Precio],0,1,1)</f>
        <v>0</v>
      </c>
      <c r="K686" s="30">
        <f>Tabla2757[[#This Row],[Precio por hora UF]]*Tabla2757[[#This Row],[Ponderador]]</f>
        <v>0</v>
      </c>
      <c r="L686" s="40">
        <v>0</v>
      </c>
      <c r="M686" s="30">
        <f>Tabla2757[[#This Row],[Precio por hora]]*Tabla2757[[#This Row],[Cantidad horas]]</f>
        <v>0</v>
      </c>
      <c r="N686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687" spans="2:14" x14ac:dyDescent="0.3">
      <c r="B687" s="28"/>
      <c r="C687" s="20"/>
      <c r="E687" s="136"/>
      <c r="F687" s="177">
        <f>_xlfn.XLOOKUP(Tabla2757[[#This Row],[Tipo de venta]],Tabla2329[Tipo de venta],Tabla2329[Moneda final], "Error - Seleccionar Tipo de Venta", 0,1)</f>
        <v>0</v>
      </c>
      <c r="G687" s="178"/>
      <c r="H687" s="21"/>
      <c r="I687" s="30">
        <f>_xlfn.XLOOKUP(Tabla2757[[#This Row],[Puesto Encargado]], Tabla9[Puesto], Tabla9[Precio cliente],0,1,1)</f>
        <v>0</v>
      </c>
      <c r="J687" s="30">
        <f>_xlfn.XLOOKUP(Tabla2757[[#This Row],[Cargo]], Tabla958[Cargos], Tabla958[Ponderador Precio],0,1,1)</f>
        <v>0</v>
      </c>
      <c r="K687" s="30">
        <f>Tabla2757[[#This Row],[Precio por hora UF]]*Tabla2757[[#This Row],[Ponderador]]</f>
        <v>0</v>
      </c>
      <c r="L687" s="40">
        <v>0</v>
      </c>
      <c r="M687" s="30">
        <f>Tabla2757[[#This Row],[Precio por hora]]*Tabla2757[[#This Row],[Cantidad horas]]</f>
        <v>0</v>
      </c>
      <c r="N687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688" spans="2:14" x14ac:dyDescent="0.3">
      <c r="B688" s="28"/>
      <c r="C688" s="20"/>
      <c r="E688" s="136"/>
      <c r="F688" s="177">
        <f>_xlfn.XLOOKUP(Tabla2757[[#This Row],[Tipo de venta]],Tabla2329[Tipo de venta],Tabla2329[Moneda final], "Error - Seleccionar Tipo de Venta", 0,1)</f>
        <v>0</v>
      </c>
      <c r="G688" s="178"/>
      <c r="H688" s="21"/>
      <c r="I688" s="30">
        <f>_xlfn.XLOOKUP(Tabla2757[[#This Row],[Puesto Encargado]], Tabla9[Puesto], Tabla9[Precio cliente],0,1,1)</f>
        <v>0</v>
      </c>
      <c r="J688" s="30">
        <f>_xlfn.XLOOKUP(Tabla2757[[#This Row],[Cargo]], Tabla958[Cargos], Tabla958[Ponderador Precio],0,1,1)</f>
        <v>0</v>
      </c>
      <c r="K688" s="30">
        <f>Tabla2757[[#This Row],[Precio por hora UF]]*Tabla2757[[#This Row],[Ponderador]]</f>
        <v>0</v>
      </c>
      <c r="L688" s="40">
        <v>0</v>
      </c>
      <c r="M688" s="30">
        <f>Tabla2757[[#This Row],[Precio por hora]]*Tabla2757[[#This Row],[Cantidad horas]]</f>
        <v>0</v>
      </c>
      <c r="N688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689" spans="2:14" x14ac:dyDescent="0.3">
      <c r="B689" s="28"/>
      <c r="C689" s="20"/>
      <c r="E689" s="136"/>
      <c r="F689" s="177">
        <f>_xlfn.XLOOKUP(Tabla2757[[#This Row],[Tipo de venta]],Tabla2329[Tipo de venta],Tabla2329[Moneda final], "Error - Seleccionar Tipo de Venta", 0,1)</f>
        <v>0</v>
      </c>
      <c r="G689" s="178"/>
      <c r="H689" s="21"/>
      <c r="I689" s="30">
        <f>_xlfn.XLOOKUP(Tabla2757[[#This Row],[Puesto Encargado]], Tabla9[Puesto], Tabla9[Precio cliente],0,1,1)</f>
        <v>0</v>
      </c>
      <c r="J689" s="30">
        <f>_xlfn.XLOOKUP(Tabla2757[[#This Row],[Cargo]], Tabla958[Cargos], Tabla958[Ponderador Precio],0,1,1)</f>
        <v>0</v>
      </c>
      <c r="K689" s="30">
        <f>Tabla2757[[#This Row],[Precio por hora UF]]*Tabla2757[[#This Row],[Ponderador]]</f>
        <v>0</v>
      </c>
      <c r="L689" s="40">
        <v>0</v>
      </c>
      <c r="M689" s="30">
        <f>Tabla2757[[#This Row],[Precio por hora]]*Tabla2757[[#This Row],[Cantidad horas]]</f>
        <v>0</v>
      </c>
      <c r="N689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690" spans="2:14" x14ac:dyDescent="0.3">
      <c r="B690" s="28"/>
      <c r="C690" s="20"/>
      <c r="E690" s="136"/>
      <c r="F690" s="177">
        <f>_xlfn.XLOOKUP(Tabla2757[[#This Row],[Tipo de venta]],Tabla2329[Tipo de venta],Tabla2329[Moneda final], "Error - Seleccionar Tipo de Venta", 0,1)</f>
        <v>0</v>
      </c>
      <c r="G690" s="178"/>
      <c r="H690" s="21"/>
      <c r="I690" s="30">
        <f>_xlfn.XLOOKUP(Tabla2757[[#This Row],[Puesto Encargado]], Tabla9[Puesto], Tabla9[Precio cliente],0,1,1)</f>
        <v>0</v>
      </c>
      <c r="J690" s="30">
        <f>_xlfn.XLOOKUP(Tabla2757[[#This Row],[Cargo]], Tabla958[Cargos], Tabla958[Ponderador Precio],0,1,1)</f>
        <v>0</v>
      </c>
      <c r="K690" s="30">
        <f>Tabla2757[[#This Row],[Precio por hora UF]]*Tabla2757[[#This Row],[Ponderador]]</f>
        <v>0</v>
      </c>
      <c r="L690" s="40">
        <v>0</v>
      </c>
      <c r="M690" s="30">
        <f>Tabla2757[[#This Row],[Precio por hora]]*Tabla2757[[#This Row],[Cantidad horas]]</f>
        <v>0</v>
      </c>
      <c r="N690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691" spans="2:14" x14ac:dyDescent="0.3">
      <c r="B691" s="28"/>
      <c r="C691" s="20"/>
      <c r="E691" s="136"/>
      <c r="F691" s="177">
        <f>_xlfn.XLOOKUP(Tabla2757[[#This Row],[Tipo de venta]],Tabla2329[Tipo de venta],Tabla2329[Moneda final], "Error - Seleccionar Tipo de Venta", 0,1)</f>
        <v>0</v>
      </c>
      <c r="G691" s="178"/>
      <c r="H691" s="21"/>
      <c r="I691" s="30">
        <f>_xlfn.XLOOKUP(Tabla2757[[#This Row],[Puesto Encargado]], Tabla9[Puesto], Tabla9[Precio cliente],0,1,1)</f>
        <v>0</v>
      </c>
      <c r="J691" s="30">
        <f>_xlfn.XLOOKUP(Tabla2757[[#This Row],[Cargo]], Tabla958[Cargos], Tabla958[Ponderador Precio],0,1,1)</f>
        <v>0</v>
      </c>
      <c r="K691" s="30">
        <f>Tabla2757[[#This Row],[Precio por hora UF]]*Tabla2757[[#This Row],[Ponderador]]</f>
        <v>0</v>
      </c>
      <c r="L691" s="40">
        <v>0</v>
      </c>
      <c r="M691" s="30">
        <f>Tabla2757[[#This Row],[Precio por hora]]*Tabla2757[[#This Row],[Cantidad horas]]</f>
        <v>0</v>
      </c>
      <c r="N691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692" spans="2:14" x14ac:dyDescent="0.3">
      <c r="B692" s="28"/>
      <c r="C692" s="20"/>
      <c r="E692" s="136"/>
      <c r="F692" s="177">
        <f>_xlfn.XLOOKUP(Tabla2757[[#This Row],[Tipo de venta]],Tabla2329[Tipo de venta],Tabla2329[Moneda final], "Error - Seleccionar Tipo de Venta", 0,1)</f>
        <v>0</v>
      </c>
      <c r="G692" s="178"/>
      <c r="H692" s="21"/>
      <c r="I692" s="30">
        <f>_xlfn.XLOOKUP(Tabla2757[[#This Row],[Puesto Encargado]], Tabla9[Puesto], Tabla9[Precio cliente],0,1,1)</f>
        <v>0</v>
      </c>
      <c r="J692" s="30">
        <f>_xlfn.XLOOKUP(Tabla2757[[#This Row],[Cargo]], Tabla958[Cargos], Tabla958[Ponderador Precio],0,1,1)</f>
        <v>0</v>
      </c>
      <c r="K692" s="30">
        <f>Tabla2757[[#This Row],[Precio por hora UF]]*Tabla2757[[#This Row],[Ponderador]]</f>
        <v>0</v>
      </c>
      <c r="L692" s="40">
        <v>0</v>
      </c>
      <c r="M692" s="30">
        <f>Tabla2757[[#This Row],[Precio por hora]]*Tabla2757[[#This Row],[Cantidad horas]]</f>
        <v>0</v>
      </c>
      <c r="N692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693" spans="2:14" x14ac:dyDescent="0.3">
      <c r="B693" s="28"/>
      <c r="C693" s="20"/>
      <c r="E693" s="136"/>
      <c r="F693" s="177">
        <f>_xlfn.XLOOKUP(Tabla2757[[#This Row],[Tipo de venta]],Tabla2329[Tipo de venta],Tabla2329[Moneda final], "Error - Seleccionar Tipo de Venta", 0,1)</f>
        <v>0</v>
      </c>
      <c r="G693" s="178"/>
      <c r="H693" s="21"/>
      <c r="I693" s="30">
        <f>_xlfn.XLOOKUP(Tabla2757[[#This Row],[Puesto Encargado]], Tabla9[Puesto], Tabla9[Precio cliente],0,1,1)</f>
        <v>0</v>
      </c>
      <c r="J693" s="30">
        <f>_xlfn.XLOOKUP(Tabla2757[[#This Row],[Cargo]], Tabla958[Cargos], Tabla958[Ponderador Precio],0,1,1)</f>
        <v>0</v>
      </c>
      <c r="K693" s="30">
        <f>Tabla2757[[#This Row],[Precio por hora UF]]*Tabla2757[[#This Row],[Ponderador]]</f>
        <v>0</v>
      </c>
      <c r="L693" s="40">
        <v>0</v>
      </c>
      <c r="M693" s="30">
        <f>Tabla2757[[#This Row],[Precio por hora]]*Tabla2757[[#This Row],[Cantidad horas]]</f>
        <v>0</v>
      </c>
      <c r="N693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694" spans="2:14" x14ac:dyDescent="0.3">
      <c r="B694" s="28"/>
      <c r="C694" s="20"/>
      <c r="E694" s="136"/>
      <c r="F694" s="177">
        <f>_xlfn.XLOOKUP(Tabla2757[[#This Row],[Tipo de venta]],Tabla2329[Tipo de venta],Tabla2329[Moneda final], "Error - Seleccionar Tipo de Venta", 0,1)</f>
        <v>0</v>
      </c>
      <c r="G694" s="178"/>
      <c r="H694" s="21"/>
      <c r="I694" s="30">
        <f>_xlfn.XLOOKUP(Tabla2757[[#This Row],[Puesto Encargado]], Tabla9[Puesto], Tabla9[Precio cliente],0,1,1)</f>
        <v>0</v>
      </c>
      <c r="J694" s="30">
        <f>_xlfn.XLOOKUP(Tabla2757[[#This Row],[Cargo]], Tabla958[Cargos], Tabla958[Ponderador Precio],0,1,1)</f>
        <v>0</v>
      </c>
      <c r="K694" s="30">
        <f>Tabla2757[[#This Row],[Precio por hora UF]]*Tabla2757[[#This Row],[Ponderador]]</f>
        <v>0</v>
      </c>
      <c r="L694" s="40">
        <v>0</v>
      </c>
      <c r="M694" s="30">
        <f>Tabla2757[[#This Row],[Precio por hora]]*Tabla2757[[#This Row],[Cantidad horas]]</f>
        <v>0</v>
      </c>
      <c r="N694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695" spans="2:14" x14ac:dyDescent="0.3">
      <c r="B695" s="28"/>
      <c r="C695" s="20"/>
      <c r="E695" s="136"/>
      <c r="F695" s="177">
        <f>_xlfn.XLOOKUP(Tabla2757[[#This Row],[Tipo de venta]],Tabla2329[Tipo de venta],Tabla2329[Moneda final], "Error - Seleccionar Tipo de Venta", 0,1)</f>
        <v>0</v>
      </c>
      <c r="G695" s="178"/>
      <c r="H695" s="21"/>
      <c r="I695" s="30">
        <f>_xlfn.XLOOKUP(Tabla2757[[#This Row],[Puesto Encargado]], Tabla9[Puesto], Tabla9[Precio cliente],0,1,1)</f>
        <v>0</v>
      </c>
      <c r="J695" s="30">
        <f>_xlfn.XLOOKUP(Tabla2757[[#This Row],[Cargo]], Tabla958[Cargos], Tabla958[Ponderador Precio],0,1,1)</f>
        <v>0</v>
      </c>
      <c r="K695" s="30">
        <f>Tabla2757[[#This Row],[Precio por hora UF]]*Tabla2757[[#This Row],[Ponderador]]</f>
        <v>0</v>
      </c>
      <c r="L695" s="40">
        <v>0</v>
      </c>
      <c r="M695" s="30">
        <f>Tabla2757[[#This Row],[Precio por hora]]*Tabla2757[[#This Row],[Cantidad horas]]</f>
        <v>0</v>
      </c>
      <c r="N695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696" spans="2:14" x14ac:dyDescent="0.3">
      <c r="B696" s="28"/>
      <c r="C696" s="20"/>
      <c r="E696" s="136"/>
      <c r="F696" s="177">
        <f>_xlfn.XLOOKUP(Tabla2757[[#This Row],[Tipo de venta]],Tabla2329[Tipo de venta],Tabla2329[Moneda final], "Error - Seleccionar Tipo de Venta", 0,1)</f>
        <v>0</v>
      </c>
      <c r="G696" s="178"/>
      <c r="H696" s="21"/>
      <c r="I696" s="30">
        <f>_xlfn.XLOOKUP(Tabla2757[[#This Row],[Puesto Encargado]], Tabla9[Puesto], Tabla9[Precio cliente],0,1,1)</f>
        <v>0</v>
      </c>
      <c r="J696" s="30">
        <f>_xlfn.XLOOKUP(Tabla2757[[#This Row],[Cargo]], Tabla958[Cargos], Tabla958[Ponderador Precio],0,1,1)</f>
        <v>0</v>
      </c>
      <c r="K696" s="30">
        <f>Tabla2757[[#This Row],[Precio por hora UF]]*Tabla2757[[#This Row],[Ponderador]]</f>
        <v>0</v>
      </c>
      <c r="L696" s="40">
        <v>0</v>
      </c>
      <c r="M696" s="30">
        <f>Tabla2757[[#This Row],[Precio por hora]]*Tabla2757[[#This Row],[Cantidad horas]]</f>
        <v>0</v>
      </c>
      <c r="N696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697" spans="2:14" x14ac:dyDescent="0.3">
      <c r="B697" s="28"/>
      <c r="C697" s="20"/>
      <c r="E697" s="136"/>
      <c r="F697" s="177">
        <f>_xlfn.XLOOKUP(Tabla2757[[#This Row],[Tipo de venta]],Tabla2329[Tipo de venta],Tabla2329[Moneda final], "Error - Seleccionar Tipo de Venta", 0,1)</f>
        <v>0</v>
      </c>
      <c r="G697" s="178"/>
      <c r="H697" s="21"/>
      <c r="I697" s="30">
        <f>_xlfn.XLOOKUP(Tabla2757[[#This Row],[Puesto Encargado]], Tabla9[Puesto], Tabla9[Precio cliente],0,1,1)</f>
        <v>0</v>
      </c>
      <c r="J697" s="30">
        <f>_xlfn.XLOOKUP(Tabla2757[[#This Row],[Cargo]], Tabla958[Cargos], Tabla958[Ponderador Precio],0,1,1)</f>
        <v>0</v>
      </c>
      <c r="K697" s="30">
        <f>Tabla2757[[#This Row],[Precio por hora UF]]*Tabla2757[[#This Row],[Ponderador]]</f>
        <v>0</v>
      </c>
      <c r="L697" s="40">
        <v>0</v>
      </c>
      <c r="M697" s="30">
        <f>Tabla2757[[#This Row],[Precio por hora]]*Tabla2757[[#This Row],[Cantidad horas]]</f>
        <v>0</v>
      </c>
      <c r="N697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698" spans="2:14" x14ac:dyDescent="0.3">
      <c r="B698" s="28"/>
      <c r="C698" s="20"/>
      <c r="E698" s="136"/>
      <c r="F698" s="177">
        <f>_xlfn.XLOOKUP(Tabla2757[[#This Row],[Tipo de venta]],Tabla2329[Tipo de venta],Tabla2329[Moneda final], "Error - Seleccionar Tipo de Venta", 0,1)</f>
        <v>0</v>
      </c>
      <c r="G698" s="178"/>
      <c r="H698" s="21"/>
      <c r="I698" s="30">
        <f>_xlfn.XLOOKUP(Tabla2757[[#This Row],[Puesto Encargado]], Tabla9[Puesto], Tabla9[Precio cliente],0,1,1)</f>
        <v>0</v>
      </c>
      <c r="J698" s="30">
        <f>_xlfn.XLOOKUP(Tabla2757[[#This Row],[Cargo]], Tabla958[Cargos], Tabla958[Ponderador Precio],0,1,1)</f>
        <v>0</v>
      </c>
      <c r="K698" s="30">
        <f>Tabla2757[[#This Row],[Precio por hora UF]]*Tabla2757[[#This Row],[Ponderador]]</f>
        <v>0</v>
      </c>
      <c r="L698" s="40">
        <v>0</v>
      </c>
      <c r="M698" s="30">
        <f>Tabla2757[[#This Row],[Precio por hora]]*Tabla2757[[#This Row],[Cantidad horas]]</f>
        <v>0</v>
      </c>
      <c r="N698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699" spans="2:14" x14ac:dyDescent="0.3">
      <c r="B699" s="28"/>
      <c r="C699" s="20"/>
      <c r="E699" s="136"/>
      <c r="F699" s="177">
        <f>_xlfn.XLOOKUP(Tabla2757[[#This Row],[Tipo de venta]],Tabla2329[Tipo de venta],Tabla2329[Moneda final], "Error - Seleccionar Tipo de Venta", 0,1)</f>
        <v>0</v>
      </c>
      <c r="G699" s="178"/>
      <c r="H699" s="21"/>
      <c r="I699" s="30">
        <f>_xlfn.XLOOKUP(Tabla2757[[#This Row],[Puesto Encargado]], Tabla9[Puesto], Tabla9[Precio cliente],0,1,1)</f>
        <v>0</v>
      </c>
      <c r="J699" s="30">
        <f>_xlfn.XLOOKUP(Tabla2757[[#This Row],[Cargo]], Tabla958[Cargos], Tabla958[Ponderador Precio],0,1,1)</f>
        <v>0</v>
      </c>
      <c r="K699" s="30">
        <f>Tabla2757[[#This Row],[Precio por hora UF]]*Tabla2757[[#This Row],[Ponderador]]</f>
        <v>0</v>
      </c>
      <c r="L699" s="40">
        <v>0</v>
      </c>
      <c r="M699" s="30">
        <f>Tabla2757[[#This Row],[Precio por hora]]*Tabla2757[[#This Row],[Cantidad horas]]</f>
        <v>0</v>
      </c>
      <c r="N699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700" spans="2:14" x14ac:dyDescent="0.3">
      <c r="B700" s="28"/>
      <c r="C700" s="20"/>
      <c r="E700" s="136"/>
      <c r="F700" s="177">
        <f>_xlfn.XLOOKUP(Tabla2757[[#This Row],[Tipo de venta]],Tabla2329[Tipo de venta],Tabla2329[Moneda final], "Error - Seleccionar Tipo de Venta", 0,1)</f>
        <v>0</v>
      </c>
      <c r="G700" s="178"/>
      <c r="H700" s="21"/>
      <c r="I700" s="30">
        <f>_xlfn.XLOOKUP(Tabla2757[[#This Row],[Puesto Encargado]], Tabla9[Puesto], Tabla9[Precio cliente],0,1,1)</f>
        <v>0</v>
      </c>
      <c r="J700" s="30">
        <f>_xlfn.XLOOKUP(Tabla2757[[#This Row],[Cargo]], Tabla958[Cargos], Tabla958[Ponderador Precio],0,1,1)</f>
        <v>0</v>
      </c>
      <c r="K700" s="30">
        <f>Tabla2757[[#This Row],[Precio por hora UF]]*Tabla2757[[#This Row],[Ponderador]]</f>
        <v>0</v>
      </c>
      <c r="L700" s="40">
        <v>0</v>
      </c>
      <c r="M700" s="30">
        <f>Tabla2757[[#This Row],[Precio por hora]]*Tabla2757[[#This Row],[Cantidad horas]]</f>
        <v>0</v>
      </c>
      <c r="N700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701" spans="2:14" x14ac:dyDescent="0.3">
      <c r="B701" s="28"/>
      <c r="C701" s="20"/>
      <c r="E701" s="136"/>
      <c r="F701" s="177">
        <f>_xlfn.XLOOKUP(Tabla2757[[#This Row],[Tipo de venta]],Tabla2329[Tipo de venta],Tabla2329[Moneda final], "Error - Seleccionar Tipo de Venta", 0,1)</f>
        <v>0</v>
      </c>
      <c r="G701" s="178"/>
      <c r="H701" s="21"/>
      <c r="I701" s="30">
        <f>_xlfn.XLOOKUP(Tabla2757[[#This Row],[Puesto Encargado]], Tabla9[Puesto], Tabla9[Precio cliente],0,1,1)</f>
        <v>0</v>
      </c>
      <c r="J701" s="30">
        <f>_xlfn.XLOOKUP(Tabla2757[[#This Row],[Cargo]], Tabla958[Cargos], Tabla958[Ponderador Precio],0,1,1)</f>
        <v>0</v>
      </c>
      <c r="K701" s="30">
        <f>Tabla2757[[#This Row],[Precio por hora UF]]*Tabla2757[[#This Row],[Ponderador]]</f>
        <v>0</v>
      </c>
      <c r="L701" s="40">
        <v>0</v>
      </c>
      <c r="M701" s="30">
        <f>Tabla2757[[#This Row],[Precio por hora]]*Tabla2757[[#This Row],[Cantidad horas]]</f>
        <v>0</v>
      </c>
      <c r="N701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702" spans="2:14" x14ac:dyDescent="0.3">
      <c r="B702" s="28"/>
      <c r="C702" s="20"/>
      <c r="E702" s="136"/>
      <c r="F702" s="177">
        <f>_xlfn.XLOOKUP(Tabla2757[[#This Row],[Tipo de venta]],Tabla2329[Tipo de venta],Tabla2329[Moneda final], "Error - Seleccionar Tipo de Venta", 0,1)</f>
        <v>0</v>
      </c>
      <c r="G702" s="178"/>
      <c r="H702" s="21"/>
      <c r="I702" s="30">
        <f>_xlfn.XLOOKUP(Tabla2757[[#This Row],[Puesto Encargado]], Tabla9[Puesto], Tabla9[Precio cliente],0,1,1)</f>
        <v>0</v>
      </c>
      <c r="J702" s="30">
        <f>_xlfn.XLOOKUP(Tabla2757[[#This Row],[Cargo]], Tabla958[Cargos], Tabla958[Ponderador Precio],0,1,1)</f>
        <v>0</v>
      </c>
      <c r="K702" s="30">
        <f>Tabla2757[[#This Row],[Precio por hora UF]]*Tabla2757[[#This Row],[Ponderador]]</f>
        <v>0</v>
      </c>
      <c r="L702" s="40">
        <v>0</v>
      </c>
      <c r="M702" s="30">
        <f>Tabla2757[[#This Row],[Precio por hora]]*Tabla2757[[#This Row],[Cantidad horas]]</f>
        <v>0</v>
      </c>
      <c r="N702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703" spans="2:14" x14ac:dyDescent="0.3">
      <c r="B703" s="28"/>
      <c r="C703" s="20"/>
      <c r="E703" s="136"/>
      <c r="F703" s="177">
        <f>_xlfn.XLOOKUP(Tabla2757[[#This Row],[Tipo de venta]],Tabla2329[Tipo de venta],Tabla2329[Moneda final], "Error - Seleccionar Tipo de Venta", 0,1)</f>
        <v>0</v>
      </c>
      <c r="G703" s="178"/>
      <c r="H703" s="21"/>
      <c r="I703" s="30">
        <f>_xlfn.XLOOKUP(Tabla2757[[#This Row],[Puesto Encargado]], Tabla9[Puesto], Tabla9[Precio cliente],0,1,1)</f>
        <v>0</v>
      </c>
      <c r="J703" s="30">
        <f>_xlfn.XLOOKUP(Tabla2757[[#This Row],[Cargo]], Tabla958[Cargos], Tabla958[Ponderador Precio],0,1,1)</f>
        <v>0</v>
      </c>
      <c r="K703" s="30">
        <f>Tabla2757[[#This Row],[Precio por hora UF]]*Tabla2757[[#This Row],[Ponderador]]</f>
        <v>0</v>
      </c>
      <c r="L703" s="40">
        <v>0</v>
      </c>
      <c r="M703" s="30">
        <f>Tabla2757[[#This Row],[Precio por hora]]*Tabla2757[[#This Row],[Cantidad horas]]</f>
        <v>0</v>
      </c>
      <c r="N703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704" spans="2:14" x14ac:dyDescent="0.3">
      <c r="B704" s="28"/>
      <c r="C704" s="20"/>
      <c r="E704" s="136"/>
      <c r="F704" s="177">
        <f>_xlfn.XLOOKUP(Tabla2757[[#This Row],[Tipo de venta]],Tabla2329[Tipo de venta],Tabla2329[Moneda final], "Error - Seleccionar Tipo de Venta", 0,1)</f>
        <v>0</v>
      </c>
      <c r="G704" s="178"/>
      <c r="H704" s="21"/>
      <c r="I704" s="30">
        <f>_xlfn.XLOOKUP(Tabla2757[[#This Row],[Puesto Encargado]], Tabla9[Puesto], Tabla9[Precio cliente],0,1,1)</f>
        <v>0</v>
      </c>
      <c r="J704" s="30">
        <f>_xlfn.XLOOKUP(Tabla2757[[#This Row],[Cargo]], Tabla958[Cargos], Tabla958[Ponderador Precio],0,1,1)</f>
        <v>0</v>
      </c>
      <c r="K704" s="30">
        <f>Tabla2757[[#This Row],[Precio por hora UF]]*Tabla2757[[#This Row],[Ponderador]]</f>
        <v>0</v>
      </c>
      <c r="L704" s="40">
        <v>0</v>
      </c>
      <c r="M704" s="30">
        <f>Tabla2757[[#This Row],[Precio por hora]]*Tabla2757[[#This Row],[Cantidad horas]]</f>
        <v>0</v>
      </c>
      <c r="N704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705" spans="2:14" x14ac:dyDescent="0.3">
      <c r="B705" s="28"/>
      <c r="C705" s="20"/>
      <c r="E705" s="136"/>
      <c r="F705" s="177">
        <f>_xlfn.XLOOKUP(Tabla2757[[#This Row],[Tipo de venta]],Tabla2329[Tipo de venta],Tabla2329[Moneda final], "Error - Seleccionar Tipo de Venta", 0,1)</f>
        <v>0</v>
      </c>
      <c r="G705" s="178"/>
      <c r="H705" s="21"/>
      <c r="I705" s="30">
        <f>_xlfn.XLOOKUP(Tabla2757[[#This Row],[Puesto Encargado]], Tabla9[Puesto], Tabla9[Precio cliente],0,1,1)</f>
        <v>0</v>
      </c>
      <c r="J705" s="30">
        <f>_xlfn.XLOOKUP(Tabla2757[[#This Row],[Cargo]], Tabla958[Cargos], Tabla958[Ponderador Precio],0,1,1)</f>
        <v>0</v>
      </c>
      <c r="K705" s="30">
        <f>Tabla2757[[#This Row],[Precio por hora UF]]*Tabla2757[[#This Row],[Ponderador]]</f>
        <v>0</v>
      </c>
      <c r="L705" s="40">
        <v>0</v>
      </c>
      <c r="M705" s="30">
        <f>Tabla2757[[#This Row],[Precio por hora]]*Tabla2757[[#This Row],[Cantidad horas]]</f>
        <v>0</v>
      </c>
      <c r="N705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706" spans="2:14" x14ac:dyDescent="0.3">
      <c r="B706" s="28"/>
      <c r="C706" s="20"/>
      <c r="E706" s="136"/>
      <c r="F706" s="177">
        <f>_xlfn.XLOOKUP(Tabla2757[[#This Row],[Tipo de venta]],Tabla2329[Tipo de venta],Tabla2329[Moneda final], "Error - Seleccionar Tipo de Venta", 0,1)</f>
        <v>0</v>
      </c>
      <c r="G706" s="178"/>
      <c r="H706" s="21"/>
      <c r="I706" s="30">
        <f>_xlfn.XLOOKUP(Tabla2757[[#This Row],[Puesto Encargado]], Tabla9[Puesto], Tabla9[Precio cliente],0,1,1)</f>
        <v>0</v>
      </c>
      <c r="J706" s="30">
        <f>_xlfn.XLOOKUP(Tabla2757[[#This Row],[Cargo]], Tabla958[Cargos], Tabla958[Ponderador Precio],0,1,1)</f>
        <v>0</v>
      </c>
      <c r="K706" s="30">
        <f>Tabla2757[[#This Row],[Precio por hora UF]]*Tabla2757[[#This Row],[Ponderador]]</f>
        <v>0</v>
      </c>
      <c r="L706" s="40">
        <v>0</v>
      </c>
      <c r="M706" s="30">
        <f>Tabla2757[[#This Row],[Precio por hora]]*Tabla2757[[#This Row],[Cantidad horas]]</f>
        <v>0</v>
      </c>
      <c r="N706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707" spans="2:14" x14ac:dyDescent="0.3">
      <c r="B707" s="28"/>
      <c r="C707" s="20"/>
      <c r="E707" s="136"/>
      <c r="F707" s="177">
        <f>_xlfn.XLOOKUP(Tabla2757[[#This Row],[Tipo de venta]],Tabla2329[Tipo de venta],Tabla2329[Moneda final], "Error - Seleccionar Tipo de Venta", 0,1)</f>
        <v>0</v>
      </c>
      <c r="G707" s="178"/>
      <c r="H707" s="21"/>
      <c r="I707" s="30">
        <f>_xlfn.XLOOKUP(Tabla2757[[#This Row],[Puesto Encargado]], Tabla9[Puesto], Tabla9[Precio cliente],0,1,1)</f>
        <v>0</v>
      </c>
      <c r="J707" s="30">
        <f>_xlfn.XLOOKUP(Tabla2757[[#This Row],[Cargo]], Tabla958[Cargos], Tabla958[Ponderador Precio],0,1,1)</f>
        <v>0</v>
      </c>
      <c r="K707" s="30">
        <f>Tabla2757[[#This Row],[Precio por hora UF]]*Tabla2757[[#This Row],[Ponderador]]</f>
        <v>0</v>
      </c>
      <c r="L707" s="40">
        <v>0</v>
      </c>
      <c r="M707" s="30">
        <f>Tabla2757[[#This Row],[Precio por hora]]*Tabla2757[[#This Row],[Cantidad horas]]</f>
        <v>0</v>
      </c>
      <c r="N707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708" spans="2:14" x14ac:dyDescent="0.3">
      <c r="B708" s="28"/>
      <c r="C708" s="20"/>
      <c r="E708" s="136"/>
      <c r="F708" s="177">
        <f>_xlfn.XLOOKUP(Tabla2757[[#This Row],[Tipo de venta]],Tabla2329[Tipo de venta],Tabla2329[Moneda final], "Error - Seleccionar Tipo de Venta", 0,1)</f>
        <v>0</v>
      </c>
      <c r="G708" s="178"/>
      <c r="H708" s="21"/>
      <c r="I708" s="30">
        <f>_xlfn.XLOOKUP(Tabla2757[[#This Row],[Puesto Encargado]], Tabla9[Puesto], Tabla9[Precio cliente],0,1,1)</f>
        <v>0</v>
      </c>
      <c r="J708" s="30">
        <f>_xlfn.XLOOKUP(Tabla2757[[#This Row],[Cargo]], Tabla958[Cargos], Tabla958[Ponderador Precio],0,1,1)</f>
        <v>0</v>
      </c>
      <c r="K708" s="30">
        <f>Tabla2757[[#This Row],[Precio por hora UF]]*Tabla2757[[#This Row],[Ponderador]]</f>
        <v>0</v>
      </c>
      <c r="L708" s="40">
        <v>0</v>
      </c>
      <c r="M708" s="30">
        <f>Tabla2757[[#This Row],[Precio por hora]]*Tabla2757[[#This Row],[Cantidad horas]]</f>
        <v>0</v>
      </c>
      <c r="N708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709" spans="2:14" x14ac:dyDescent="0.3">
      <c r="B709" s="28"/>
      <c r="C709" s="20"/>
      <c r="E709" s="136"/>
      <c r="F709" s="177">
        <f>_xlfn.XLOOKUP(Tabla2757[[#This Row],[Tipo de venta]],Tabla2329[Tipo de venta],Tabla2329[Moneda final], "Error - Seleccionar Tipo de Venta", 0,1)</f>
        <v>0</v>
      </c>
      <c r="G709" s="178"/>
      <c r="H709" s="21"/>
      <c r="I709" s="30">
        <f>_xlfn.XLOOKUP(Tabla2757[[#This Row],[Puesto Encargado]], Tabla9[Puesto], Tabla9[Precio cliente],0,1,1)</f>
        <v>0</v>
      </c>
      <c r="J709" s="30">
        <f>_xlfn.XLOOKUP(Tabla2757[[#This Row],[Cargo]], Tabla958[Cargos], Tabla958[Ponderador Precio],0,1,1)</f>
        <v>0</v>
      </c>
      <c r="K709" s="30">
        <f>Tabla2757[[#This Row],[Precio por hora UF]]*Tabla2757[[#This Row],[Ponderador]]</f>
        <v>0</v>
      </c>
      <c r="L709" s="40">
        <v>0</v>
      </c>
      <c r="M709" s="30">
        <f>Tabla2757[[#This Row],[Precio por hora]]*Tabla2757[[#This Row],[Cantidad horas]]</f>
        <v>0</v>
      </c>
      <c r="N709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710" spans="2:14" x14ac:dyDescent="0.3">
      <c r="B710" s="28"/>
      <c r="C710" s="20"/>
      <c r="E710" s="136"/>
      <c r="F710" s="177">
        <f>_xlfn.XLOOKUP(Tabla2757[[#This Row],[Tipo de venta]],Tabla2329[Tipo de venta],Tabla2329[Moneda final], "Error - Seleccionar Tipo de Venta", 0,1)</f>
        <v>0</v>
      </c>
      <c r="G710" s="178"/>
      <c r="H710" s="21"/>
      <c r="I710" s="30">
        <f>_xlfn.XLOOKUP(Tabla2757[[#This Row],[Puesto Encargado]], Tabla9[Puesto], Tabla9[Precio cliente],0,1,1)</f>
        <v>0</v>
      </c>
      <c r="J710" s="30">
        <f>_xlfn.XLOOKUP(Tabla2757[[#This Row],[Cargo]], Tabla958[Cargos], Tabla958[Ponderador Precio],0,1,1)</f>
        <v>0</v>
      </c>
      <c r="K710" s="30">
        <f>Tabla2757[[#This Row],[Precio por hora UF]]*Tabla2757[[#This Row],[Ponderador]]</f>
        <v>0</v>
      </c>
      <c r="L710" s="40">
        <v>0</v>
      </c>
      <c r="M710" s="30">
        <f>Tabla2757[[#This Row],[Precio por hora]]*Tabla2757[[#This Row],[Cantidad horas]]</f>
        <v>0</v>
      </c>
      <c r="N710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711" spans="2:14" x14ac:dyDescent="0.3">
      <c r="B711" s="28"/>
      <c r="C711" s="20"/>
      <c r="E711" s="136"/>
      <c r="F711" s="177">
        <f>_xlfn.XLOOKUP(Tabla2757[[#This Row],[Tipo de venta]],Tabla2329[Tipo de venta],Tabla2329[Moneda final], "Error - Seleccionar Tipo de Venta", 0,1)</f>
        <v>0</v>
      </c>
      <c r="G711" s="178"/>
      <c r="H711" s="21"/>
      <c r="I711" s="30">
        <f>_xlfn.XLOOKUP(Tabla2757[[#This Row],[Puesto Encargado]], Tabla9[Puesto], Tabla9[Precio cliente],0,1,1)</f>
        <v>0</v>
      </c>
      <c r="J711" s="30">
        <f>_xlfn.XLOOKUP(Tabla2757[[#This Row],[Cargo]], Tabla958[Cargos], Tabla958[Ponderador Precio],0,1,1)</f>
        <v>0</v>
      </c>
      <c r="K711" s="30">
        <f>Tabla2757[[#This Row],[Precio por hora UF]]*Tabla2757[[#This Row],[Ponderador]]</f>
        <v>0</v>
      </c>
      <c r="L711" s="40">
        <v>0</v>
      </c>
      <c r="M711" s="30">
        <f>Tabla2757[[#This Row],[Precio por hora]]*Tabla2757[[#This Row],[Cantidad horas]]</f>
        <v>0</v>
      </c>
      <c r="N711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712" spans="2:14" x14ac:dyDescent="0.3">
      <c r="B712" s="28"/>
      <c r="C712" s="20"/>
      <c r="E712" s="136"/>
      <c r="F712" s="177">
        <f>_xlfn.XLOOKUP(Tabla2757[[#This Row],[Tipo de venta]],Tabla2329[Tipo de venta],Tabla2329[Moneda final], "Error - Seleccionar Tipo de Venta", 0,1)</f>
        <v>0</v>
      </c>
      <c r="G712" s="178"/>
      <c r="H712" s="21"/>
      <c r="I712" s="30">
        <f>_xlfn.XLOOKUP(Tabla2757[[#This Row],[Puesto Encargado]], Tabla9[Puesto], Tabla9[Precio cliente],0,1,1)</f>
        <v>0</v>
      </c>
      <c r="J712" s="30">
        <f>_xlfn.XLOOKUP(Tabla2757[[#This Row],[Cargo]], Tabla958[Cargos], Tabla958[Ponderador Precio],0,1,1)</f>
        <v>0</v>
      </c>
      <c r="K712" s="30">
        <f>Tabla2757[[#This Row],[Precio por hora UF]]*Tabla2757[[#This Row],[Ponderador]]</f>
        <v>0</v>
      </c>
      <c r="L712" s="40">
        <v>0</v>
      </c>
      <c r="M712" s="30">
        <f>Tabla2757[[#This Row],[Precio por hora]]*Tabla2757[[#This Row],[Cantidad horas]]</f>
        <v>0</v>
      </c>
      <c r="N712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713" spans="2:14" x14ac:dyDescent="0.3">
      <c r="B713" s="28"/>
      <c r="C713" s="20"/>
      <c r="E713" s="136"/>
      <c r="F713" s="177">
        <f>_xlfn.XLOOKUP(Tabla2757[[#This Row],[Tipo de venta]],Tabla2329[Tipo de venta],Tabla2329[Moneda final], "Error - Seleccionar Tipo de Venta", 0,1)</f>
        <v>0</v>
      </c>
      <c r="G713" s="178"/>
      <c r="H713" s="21"/>
      <c r="I713" s="30">
        <f>_xlfn.XLOOKUP(Tabla2757[[#This Row],[Puesto Encargado]], Tabla9[Puesto], Tabla9[Precio cliente],0,1,1)</f>
        <v>0</v>
      </c>
      <c r="J713" s="30">
        <f>_xlfn.XLOOKUP(Tabla2757[[#This Row],[Cargo]], Tabla958[Cargos], Tabla958[Ponderador Precio],0,1,1)</f>
        <v>0</v>
      </c>
      <c r="K713" s="30">
        <f>Tabla2757[[#This Row],[Precio por hora UF]]*Tabla2757[[#This Row],[Ponderador]]</f>
        <v>0</v>
      </c>
      <c r="L713" s="40">
        <v>0</v>
      </c>
      <c r="M713" s="30">
        <f>Tabla2757[[#This Row],[Precio por hora]]*Tabla2757[[#This Row],[Cantidad horas]]</f>
        <v>0</v>
      </c>
      <c r="N713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714" spans="2:14" x14ac:dyDescent="0.3">
      <c r="B714" s="28"/>
      <c r="C714" s="20"/>
      <c r="E714" s="136"/>
      <c r="F714" s="177">
        <f>_xlfn.XLOOKUP(Tabla2757[[#This Row],[Tipo de venta]],Tabla2329[Tipo de venta],Tabla2329[Moneda final], "Error - Seleccionar Tipo de Venta", 0,1)</f>
        <v>0</v>
      </c>
      <c r="G714" s="178"/>
      <c r="H714" s="21"/>
      <c r="I714" s="30">
        <f>_xlfn.XLOOKUP(Tabla2757[[#This Row],[Puesto Encargado]], Tabla9[Puesto], Tabla9[Precio cliente],0,1,1)</f>
        <v>0</v>
      </c>
      <c r="J714" s="30">
        <f>_xlfn.XLOOKUP(Tabla2757[[#This Row],[Cargo]], Tabla958[Cargos], Tabla958[Ponderador Precio],0,1,1)</f>
        <v>0</v>
      </c>
      <c r="K714" s="30">
        <f>Tabla2757[[#This Row],[Precio por hora UF]]*Tabla2757[[#This Row],[Ponderador]]</f>
        <v>0</v>
      </c>
      <c r="L714" s="40">
        <v>0</v>
      </c>
      <c r="M714" s="30">
        <f>Tabla2757[[#This Row],[Precio por hora]]*Tabla2757[[#This Row],[Cantidad horas]]</f>
        <v>0</v>
      </c>
      <c r="N714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715" spans="2:14" x14ac:dyDescent="0.3">
      <c r="B715" s="28"/>
      <c r="C715" s="20"/>
      <c r="E715" s="136"/>
      <c r="F715" s="177">
        <f>_xlfn.XLOOKUP(Tabla2757[[#This Row],[Tipo de venta]],Tabla2329[Tipo de venta],Tabla2329[Moneda final], "Error - Seleccionar Tipo de Venta", 0,1)</f>
        <v>0</v>
      </c>
      <c r="G715" s="178"/>
      <c r="H715" s="21"/>
      <c r="I715" s="30">
        <f>_xlfn.XLOOKUP(Tabla2757[[#This Row],[Puesto Encargado]], Tabla9[Puesto], Tabla9[Precio cliente],0,1,1)</f>
        <v>0</v>
      </c>
      <c r="J715" s="30">
        <f>_xlfn.XLOOKUP(Tabla2757[[#This Row],[Cargo]], Tabla958[Cargos], Tabla958[Ponderador Precio],0,1,1)</f>
        <v>0</v>
      </c>
      <c r="K715" s="30">
        <f>Tabla2757[[#This Row],[Precio por hora UF]]*Tabla2757[[#This Row],[Ponderador]]</f>
        <v>0</v>
      </c>
      <c r="L715" s="40">
        <v>0</v>
      </c>
      <c r="M715" s="30">
        <f>Tabla2757[[#This Row],[Precio por hora]]*Tabla2757[[#This Row],[Cantidad horas]]</f>
        <v>0</v>
      </c>
      <c r="N715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716" spans="2:14" x14ac:dyDescent="0.3">
      <c r="B716" s="28"/>
      <c r="C716" s="20"/>
      <c r="E716" s="136"/>
      <c r="F716" s="177">
        <f>_xlfn.XLOOKUP(Tabla2757[[#This Row],[Tipo de venta]],Tabla2329[Tipo de venta],Tabla2329[Moneda final], "Error - Seleccionar Tipo de Venta", 0,1)</f>
        <v>0</v>
      </c>
      <c r="G716" s="178"/>
      <c r="H716" s="21"/>
      <c r="I716" s="30">
        <f>_xlfn.XLOOKUP(Tabla2757[[#This Row],[Puesto Encargado]], Tabla9[Puesto], Tabla9[Precio cliente],0,1,1)</f>
        <v>0</v>
      </c>
      <c r="J716" s="30">
        <f>_xlfn.XLOOKUP(Tabla2757[[#This Row],[Cargo]], Tabla958[Cargos], Tabla958[Ponderador Precio],0,1,1)</f>
        <v>0</v>
      </c>
      <c r="K716" s="30">
        <f>Tabla2757[[#This Row],[Precio por hora UF]]*Tabla2757[[#This Row],[Ponderador]]</f>
        <v>0</v>
      </c>
      <c r="L716" s="40">
        <v>0</v>
      </c>
      <c r="M716" s="30">
        <f>Tabla2757[[#This Row],[Precio por hora]]*Tabla2757[[#This Row],[Cantidad horas]]</f>
        <v>0</v>
      </c>
      <c r="N716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717" spans="2:14" x14ac:dyDescent="0.3">
      <c r="B717" s="28"/>
      <c r="C717" s="20"/>
      <c r="E717" s="136"/>
      <c r="F717" s="177">
        <f>_xlfn.XLOOKUP(Tabla2757[[#This Row],[Tipo de venta]],Tabla2329[Tipo de venta],Tabla2329[Moneda final], "Error - Seleccionar Tipo de Venta", 0,1)</f>
        <v>0</v>
      </c>
      <c r="G717" s="178"/>
      <c r="H717" s="21"/>
      <c r="I717" s="30">
        <f>_xlfn.XLOOKUP(Tabla2757[[#This Row],[Puesto Encargado]], Tabla9[Puesto], Tabla9[Precio cliente],0,1,1)</f>
        <v>0</v>
      </c>
      <c r="J717" s="30">
        <f>_xlfn.XLOOKUP(Tabla2757[[#This Row],[Cargo]], Tabla958[Cargos], Tabla958[Ponderador Precio],0,1,1)</f>
        <v>0</v>
      </c>
      <c r="K717" s="30">
        <f>Tabla2757[[#This Row],[Precio por hora UF]]*Tabla2757[[#This Row],[Ponderador]]</f>
        <v>0</v>
      </c>
      <c r="L717" s="40">
        <v>0</v>
      </c>
      <c r="M717" s="30">
        <f>Tabla2757[[#This Row],[Precio por hora]]*Tabla2757[[#This Row],[Cantidad horas]]</f>
        <v>0</v>
      </c>
      <c r="N717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718" spans="2:14" x14ac:dyDescent="0.3">
      <c r="B718" s="28"/>
      <c r="C718" s="20"/>
      <c r="E718" s="136"/>
      <c r="F718" s="177">
        <f>_xlfn.XLOOKUP(Tabla2757[[#This Row],[Tipo de venta]],Tabla2329[Tipo de venta],Tabla2329[Moneda final], "Error - Seleccionar Tipo de Venta", 0,1)</f>
        <v>0</v>
      </c>
      <c r="G718" s="178"/>
      <c r="H718" s="21"/>
      <c r="I718" s="30">
        <f>_xlfn.XLOOKUP(Tabla2757[[#This Row],[Puesto Encargado]], Tabla9[Puesto], Tabla9[Precio cliente],0,1,1)</f>
        <v>0</v>
      </c>
      <c r="J718" s="30">
        <f>_xlfn.XLOOKUP(Tabla2757[[#This Row],[Cargo]], Tabla958[Cargos], Tabla958[Ponderador Precio],0,1,1)</f>
        <v>0</v>
      </c>
      <c r="K718" s="30">
        <f>Tabla2757[[#This Row],[Precio por hora UF]]*Tabla2757[[#This Row],[Ponderador]]</f>
        <v>0</v>
      </c>
      <c r="L718" s="40">
        <v>0</v>
      </c>
      <c r="M718" s="30">
        <f>Tabla2757[[#This Row],[Precio por hora]]*Tabla2757[[#This Row],[Cantidad horas]]</f>
        <v>0</v>
      </c>
      <c r="N718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719" spans="2:14" x14ac:dyDescent="0.3">
      <c r="B719" s="28"/>
      <c r="C719" s="20"/>
      <c r="E719" s="136"/>
      <c r="F719" s="177">
        <f>_xlfn.XLOOKUP(Tabla2757[[#This Row],[Tipo de venta]],Tabla2329[Tipo de venta],Tabla2329[Moneda final], "Error - Seleccionar Tipo de Venta", 0,1)</f>
        <v>0</v>
      </c>
      <c r="G719" s="178"/>
      <c r="H719" s="21"/>
      <c r="I719" s="30">
        <f>_xlfn.XLOOKUP(Tabla2757[[#This Row],[Puesto Encargado]], Tabla9[Puesto], Tabla9[Precio cliente],0,1,1)</f>
        <v>0</v>
      </c>
      <c r="J719" s="30">
        <f>_xlfn.XLOOKUP(Tabla2757[[#This Row],[Cargo]], Tabla958[Cargos], Tabla958[Ponderador Precio],0,1,1)</f>
        <v>0</v>
      </c>
      <c r="K719" s="30">
        <f>Tabla2757[[#This Row],[Precio por hora UF]]*Tabla2757[[#This Row],[Ponderador]]</f>
        <v>0</v>
      </c>
      <c r="L719" s="40">
        <v>0</v>
      </c>
      <c r="M719" s="30">
        <f>Tabla2757[[#This Row],[Precio por hora]]*Tabla2757[[#This Row],[Cantidad horas]]</f>
        <v>0</v>
      </c>
      <c r="N719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720" spans="2:14" x14ac:dyDescent="0.3">
      <c r="B720" s="28"/>
      <c r="C720" s="20"/>
      <c r="E720" s="136"/>
      <c r="F720" s="177">
        <f>_xlfn.XLOOKUP(Tabla2757[[#This Row],[Tipo de venta]],Tabla2329[Tipo de venta],Tabla2329[Moneda final], "Error - Seleccionar Tipo de Venta", 0,1)</f>
        <v>0</v>
      </c>
      <c r="G720" s="178"/>
      <c r="H720" s="21"/>
      <c r="I720" s="30">
        <f>_xlfn.XLOOKUP(Tabla2757[[#This Row],[Puesto Encargado]], Tabla9[Puesto], Tabla9[Precio cliente],0,1,1)</f>
        <v>0</v>
      </c>
      <c r="J720" s="30">
        <f>_xlfn.XLOOKUP(Tabla2757[[#This Row],[Cargo]], Tabla958[Cargos], Tabla958[Ponderador Precio],0,1,1)</f>
        <v>0</v>
      </c>
      <c r="K720" s="30">
        <f>Tabla2757[[#This Row],[Precio por hora UF]]*Tabla2757[[#This Row],[Ponderador]]</f>
        <v>0</v>
      </c>
      <c r="L720" s="40">
        <v>0</v>
      </c>
      <c r="M720" s="30">
        <f>Tabla2757[[#This Row],[Precio por hora]]*Tabla2757[[#This Row],[Cantidad horas]]</f>
        <v>0</v>
      </c>
      <c r="N720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721" spans="2:14" x14ac:dyDescent="0.3">
      <c r="B721" s="28"/>
      <c r="C721" s="20"/>
      <c r="E721" s="136"/>
      <c r="F721" s="177">
        <f>_xlfn.XLOOKUP(Tabla2757[[#This Row],[Tipo de venta]],Tabla2329[Tipo de venta],Tabla2329[Moneda final], "Error - Seleccionar Tipo de Venta", 0,1)</f>
        <v>0</v>
      </c>
      <c r="G721" s="178"/>
      <c r="H721" s="21"/>
      <c r="I721" s="30">
        <f>_xlfn.XLOOKUP(Tabla2757[[#This Row],[Puesto Encargado]], Tabla9[Puesto], Tabla9[Precio cliente],0,1,1)</f>
        <v>0</v>
      </c>
      <c r="J721" s="30">
        <f>_xlfn.XLOOKUP(Tabla2757[[#This Row],[Cargo]], Tabla958[Cargos], Tabla958[Ponderador Precio],0,1,1)</f>
        <v>0</v>
      </c>
      <c r="K721" s="30">
        <f>Tabla2757[[#This Row],[Precio por hora UF]]*Tabla2757[[#This Row],[Ponderador]]</f>
        <v>0</v>
      </c>
      <c r="L721" s="40">
        <v>0</v>
      </c>
      <c r="M721" s="30">
        <f>Tabla2757[[#This Row],[Precio por hora]]*Tabla2757[[#This Row],[Cantidad horas]]</f>
        <v>0</v>
      </c>
      <c r="N721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722" spans="2:14" x14ac:dyDescent="0.3">
      <c r="B722" s="28"/>
      <c r="C722" s="20"/>
      <c r="E722" s="136"/>
      <c r="F722" s="177">
        <f>_xlfn.XLOOKUP(Tabla2757[[#This Row],[Tipo de venta]],Tabla2329[Tipo de venta],Tabla2329[Moneda final], "Error - Seleccionar Tipo de Venta", 0,1)</f>
        <v>0</v>
      </c>
      <c r="G722" s="178"/>
      <c r="H722" s="21"/>
      <c r="I722" s="30">
        <f>_xlfn.XLOOKUP(Tabla2757[[#This Row],[Puesto Encargado]], Tabla9[Puesto], Tabla9[Precio cliente],0,1,1)</f>
        <v>0</v>
      </c>
      <c r="J722" s="30">
        <f>_xlfn.XLOOKUP(Tabla2757[[#This Row],[Cargo]], Tabla958[Cargos], Tabla958[Ponderador Precio],0,1,1)</f>
        <v>0</v>
      </c>
      <c r="K722" s="30">
        <f>Tabla2757[[#This Row],[Precio por hora UF]]*Tabla2757[[#This Row],[Ponderador]]</f>
        <v>0</v>
      </c>
      <c r="L722" s="40">
        <v>0</v>
      </c>
      <c r="M722" s="30">
        <f>Tabla2757[[#This Row],[Precio por hora]]*Tabla2757[[#This Row],[Cantidad horas]]</f>
        <v>0</v>
      </c>
      <c r="N722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723" spans="2:14" x14ac:dyDescent="0.3">
      <c r="B723" s="28"/>
      <c r="C723" s="20"/>
      <c r="E723" s="136"/>
      <c r="F723" s="177">
        <f>_xlfn.XLOOKUP(Tabla2757[[#This Row],[Tipo de venta]],Tabla2329[Tipo de venta],Tabla2329[Moneda final], "Error - Seleccionar Tipo de Venta", 0,1)</f>
        <v>0</v>
      </c>
      <c r="G723" s="178"/>
      <c r="H723" s="21"/>
      <c r="I723" s="30">
        <f>_xlfn.XLOOKUP(Tabla2757[[#This Row],[Puesto Encargado]], Tabla9[Puesto], Tabla9[Precio cliente],0,1,1)</f>
        <v>0</v>
      </c>
      <c r="J723" s="30">
        <f>_xlfn.XLOOKUP(Tabla2757[[#This Row],[Cargo]], Tabla958[Cargos], Tabla958[Ponderador Precio],0,1,1)</f>
        <v>0</v>
      </c>
      <c r="K723" s="30">
        <f>Tabla2757[[#This Row],[Precio por hora UF]]*Tabla2757[[#This Row],[Ponderador]]</f>
        <v>0</v>
      </c>
      <c r="L723" s="40">
        <v>0</v>
      </c>
      <c r="M723" s="30">
        <f>Tabla2757[[#This Row],[Precio por hora]]*Tabla2757[[#This Row],[Cantidad horas]]</f>
        <v>0</v>
      </c>
      <c r="N723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724" spans="2:14" x14ac:dyDescent="0.3">
      <c r="B724" s="28"/>
      <c r="C724" s="20"/>
      <c r="E724" s="136"/>
      <c r="F724" s="177">
        <f>_xlfn.XLOOKUP(Tabla2757[[#This Row],[Tipo de venta]],Tabla2329[Tipo de venta],Tabla2329[Moneda final], "Error - Seleccionar Tipo de Venta", 0,1)</f>
        <v>0</v>
      </c>
      <c r="G724" s="178"/>
      <c r="H724" s="21"/>
      <c r="I724" s="30">
        <f>_xlfn.XLOOKUP(Tabla2757[[#This Row],[Puesto Encargado]], Tabla9[Puesto], Tabla9[Precio cliente],0,1,1)</f>
        <v>0</v>
      </c>
      <c r="J724" s="30">
        <f>_xlfn.XLOOKUP(Tabla2757[[#This Row],[Cargo]], Tabla958[Cargos], Tabla958[Ponderador Precio],0,1,1)</f>
        <v>0</v>
      </c>
      <c r="K724" s="30">
        <f>Tabla2757[[#This Row],[Precio por hora UF]]*Tabla2757[[#This Row],[Ponderador]]</f>
        <v>0</v>
      </c>
      <c r="L724" s="40">
        <v>0</v>
      </c>
      <c r="M724" s="30">
        <f>Tabla2757[[#This Row],[Precio por hora]]*Tabla2757[[#This Row],[Cantidad horas]]</f>
        <v>0</v>
      </c>
      <c r="N724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725" spans="2:14" x14ac:dyDescent="0.3">
      <c r="B725" s="28"/>
      <c r="C725" s="20"/>
      <c r="E725" s="136"/>
      <c r="F725" s="177">
        <f>_xlfn.XLOOKUP(Tabla2757[[#This Row],[Tipo de venta]],Tabla2329[Tipo de venta],Tabla2329[Moneda final], "Error - Seleccionar Tipo de Venta", 0,1)</f>
        <v>0</v>
      </c>
      <c r="G725" s="178"/>
      <c r="H725" s="21"/>
      <c r="I725" s="30">
        <f>_xlfn.XLOOKUP(Tabla2757[[#This Row],[Puesto Encargado]], Tabla9[Puesto], Tabla9[Precio cliente],0,1,1)</f>
        <v>0</v>
      </c>
      <c r="J725" s="30">
        <f>_xlfn.XLOOKUP(Tabla2757[[#This Row],[Cargo]], Tabla958[Cargos], Tabla958[Ponderador Precio],0,1,1)</f>
        <v>0</v>
      </c>
      <c r="K725" s="30">
        <f>Tabla2757[[#This Row],[Precio por hora UF]]*Tabla2757[[#This Row],[Ponderador]]</f>
        <v>0</v>
      </c>
      <c r="L725" s="40">
        <v>0</v>
      </c>
      <c r="M725" s="30">
        <f>Tabla2757[[#This Row],[Precio por hora]]*Tabla2757[[#This Row],[Cantidad horas]]</f>
        <v>0</v>
      </c>
      <c r="N725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726" spans="2:14" x14ac:dyDescent="0.3">
      <c r="B726" s="28"/>
      <c r="C726" s="20"/>
      <c r="E726" s="136"/>
      <c r="F726" s="177">
        <f>_xlfn.XLOOKUP(Tabla2757[[#This Row],[Tipo de venta]],Tabla2329[Tipo de venta],Tabla2329[Moneda final], "Error - Seleccionar Tipo de Venta", 0,1)</f>
        <v>0</v>
      </c>
      <c r="G726" s="178"/>
      <c r="H726" s="21"/>
      <c r="I726" s="30">
        <f>_xlfn.XLOOKUP(Tabla2757[[#This Row],[Puesto Encargado]], Tabla9[Puesto], Tabla9[Precio cliente],0,1,1)</f>
        <v>0</v>
      </c>
      <c r="J726" s="30">
        <f>_xlfn.XLOOKUP(Tabla2757[[#This Row],[Cargo]], Tabla958[Cargos], Tabla958[Ponderador Precio],0,1,1)</f>
        <v>0</v>
      </c>
      <c r="K726" s="30">
        <f>Tabla2757[[#This Row],[Precio por hora UF]]*Tabla2757[[#This Row],[Ponderador]]</f>
        <v>0</v>
      </c>
      <c r="L726" s="40">
        <v>0</v>
      </c>
      <c r="M726" s="30">
        <f>Tabla2757[[#This Row],[Precio por hora]]*Tabla2757[[#This Row],[Cantidad horas]]</f>
        <v>0</v>
      </c>
      <c r="N726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727" spans="2:14" x14ac:dyDescent="0.3">
      <c r="B727" s="28"/>
      <c r="C727" s="20"/>
      <c r="E727" s="136"/>
      <c r="F727" s="177">
        <f>_xlfn.XLOOKUP(Tabla2757[[#This Row],[Tipo de venta]],Tabla2329[Tipo de venta],Tabla2329[Moneda final], "Error - Seleccionar Tipo de Venta", 0,1)</f>
        <v>0</v>
      </c>
      <c r="G727" s="178"/>
      <c r="H727" s="21"/>
      <c r="I727" s="30">
        <f>_xlfn.XLOOKUP(Tabla2757[[#This Row],[Puesto Encargado]], Tabla9[Puesto], Tabla9[Precio cliente],0,1,1)</f>
        <v>0</v>
      </c>
      <c r="J727" s="30">
        <f>_xlfn.XLOOKUP(Tabla2757[[#This Row],[Cargo]], Tabla958[Cargos], Tabla958[Ponderador Precio],0,1,1)</f>
        <v>0</v>
      </c>
      <c r="K727" s="30">
        <f>Tabla2757[[#This Row],[Precio por hora UF]]*Tabla2757[[#This Row],[Ponderador]]</f>
        <v>0</v>
      </c>
      <c r="L727" s="40">
        <v>0</v>
      </c>
      <c r="M727" s="30">
        <f>Tabla2757[[#This Row],[Precio por hora]]*Tabla2757[[#This Row],[Cantidad horas]]</f>
        <v>0</v>
      </c>
      <c r="N727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728" spans="2:14" x14ac:dyDescent="0.3">
      <c r="B728" s="28"/>
      <c r="C728" s="20"/>
      <c r="E728" s="136"/>
      <c r="F728" s="177">
        <f>_xlfn.XLOOKUP(Tabla2757[[#This Row],[Tipo de venta]],Tabla2329[Tipo de venta],Tabla2329[Moneda final], "Error - Seleccionar Tipo de Venta", 0,1)</f>
        <v>0</v>
      </c>
      <c r="G728" s="178"/>
      <c r="H728" s="21"/>
      <c r="I728" s="30">
        <f>_xlfn.XLOOKUP(Tabla2757[[#This Row],[Puesto Encargado]], Tabla9[Puesto], Tabla9[Precio cliente],0,1,1)</f>
        <v>0</v>
      </c>
      <c r="J728" s="30">
        <f>_xlfn.XLOOKUP(Tabla2757[[#This Row],[Cargo]], Tabla958[Cargos], Tabla958[Ponderador Precio],0,1,1)</f>
        <v>0</v>
      </c>
      <c r="K728" s="30">
        <f>Tabla2757[[#This Row],[Precio por hora UF]]*Tabla2757[[#This Row],[Ponderador]]</f>
        <v>0</v>
      </c>
      <c r="L728" s="40">
        <v>0</v>
      </c>
      <c r="M728" s="30">
        <f>Tabla2757[[#This Row],[Precio por hora]]*Tabla2757[[#This Row],[Cantidad horas]]</f>
        <v>0</v>
      </c>
      <c r="N728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729" spans="2:14" x14ac:dyDescent="0.3">
      <c r="B729" s="28"/>
      <c r="C729" s="20"/>
      <c r="E729" s="136"/>
      <c r="F729" s="177">
        <f>_xlfn.XLOOKUP(Tabla2757[[#This Row],[Tipo de venta]],Tabla2329[Tipo de venta],Tabla2329[Moneda final], "Error - Seleccionar Tipo de Venta", 0,1)</f>
        <v>0</v>
      </c>
      <c r="G729" s="178"/>
      <c r="H729" s="21"/>
      <c r="I729" s="30">
        <f>_xlfn.XLOOKUP(Tabla2757[[#This Row],[Puesto Encargado]], Tabla9[Puesto], Tabla9[Precio cliente],0,1,1)</f>
        <v>0</v>
      </c>
      <c r="J729" s="30">
        <f>_xlfn.XLOOKUP(Tabla2757[[#This Row],[Cargo]], Tabla958[Cargos], Tabla958[Ponderador Precio],0,1,1)</f>
        <v>0</v>
      </c>
      <c r="K729" s="30">
        <f>Tabla2757[[#This Row],[Precio por hora UF]]*Tabla2757[[#This Row],[Ponderador]]</f>
        <v>0</v>
      </c>
      <c r="L729" s="40">
        <v>0</v>
      </c>
      <c r="M729" s="30">
        <f>Tabla2757[[#This Row],[Precio por hora]]*Tabla2757[[#This Row],[Cantidad horas]]</f>
        <v>0</v>
      </c>
      <c r="N729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730" spans="2:14" x14ac:dyDescent="0.3">
      <c r="B730" s="28"/>
      <c r="C730" s="20"/>
      <c r="E730" s="136"/>
      <c r="F730" s="177">
        <f>_xlfn.XLOOKUP(Tabla2757[[#This Row],[Tipo de venta]],Tabla2329[Tipo de venta],Tabla2329[Moneda final], "Error - Seleccionar Tipo de Venta", 0,1)</f>
        <v>0</v>
      </c>
      <c r="G730" s="178"/>
      <c r="H730" s="21"/>
      <c r="I730" s="30">
        <f>_xlfn.XLOOKUP(Tabla2757[[#This Row],[Puesto Encargado]], Tabla9[Puesto], Tabla9[Precio cliente],0,1,1)</f>
        <v>0</v>
      </c>
      <c r="J730" s="30">
        <f>_xlfn.XLOOKUP(Tabla2757[[#This Row],[Cargo]], Tabla958[Cargos], Tabla958[Ponderador Precio],0,1,1)</f>
        <v>0</v>
      </c>
      <c r="K730" s="30">
        <f>Tabla2757[[#This Row],[Precio por hora UF]]*Tabla2757[[#This Row],[Ponderador]]</f>
        <v>0</v>
      </c>
      <c r="L730" s="40">
        <v>0</v>
      </c>
      <c r="M730" s="30">
        <f>Tabla2757[[#This Row],[Precio por hora]]*Tabla2757[[#This Row],[Cantidad horas]]</f>
        <v>0</v>
      </c>
      <c r="N730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731" spans="2:14" x14ac:dyDescent="0.3">
      <c r="B731" s="28"/>
      <c r="C731" s="20"/>
      <c r="E731" s="136"/>
      <c r="F731" s="177">
        <f>_xlfn.XLOOKUP(Tabla2757[[#This Row],[Tipo de venta]],Tabla2329[Tipo de venta],Tabla2329[Moneda final], "Error - Seleccionar Tipo de Venta", 0,1)</f>
        <v>0</v>
      </c>
      <c r="G731" s="178"/>
      <c r="H731" s="21"/>
      <c r="I731" s="30">
        <f>_xlfn.XLOOKUP(Tabla2757[[#This Row],[Puesto Encargado]], Tabla9[Puesto], Tabla9[Precio cliente],0,1,1)</f>
        <v>0</v>
      </c>
      <c r="J731" s="30">
        <f>_xlfn.XLOOKUP(Tabla2757[[#This Row],[Cargo]], Tabla958[Cargos], Tabla958[Ponderador Precio],0,1,1)</f>
        <v>0</v>
      </c>
      <c r="K731" s="30">
        <f>Tabla2757[[#This Row],[Precio por hora UF]]*Tabla2757[[#This Row],[Ponderador]]</f>
        <v>0</v>
      </c>
      <c r="L731" s="40">
        <v>0</v>
      </c>
      <c r="M731" s="30">
        <f>Tabla2757[[#This Row],[Precio por hora]]*Tabla2757[[#This Row],[Cantidad horas]]</f>
        <v>0</v>
      </c>
      <c r="N731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732" spans="2:14" x14ac:dyDescent="0.3">
      <c r="B732" s="28"/>
      <c r="C732" s="20"/>
      <c r="E732" s="136"/>
      <c r="F732" s="177">
        <f>_xlfn.XLOOKUP(Tabla2757[[#This Row],[Tipo de venta]],Tabla2329[Tipo de venta],Tabla2329[Moneda final], "Error - Seleccionar Tipo de Venta", 0,1)</f>
        <v>0</v>
      </c>
      <c r="G732" s="178"/>
      <c r="H732" s="21"/>
      <c r="I732" s="30">
        <f>_xlfn.XLOOKUP(Tabla2757[[#This Row],[Puesto Encargado]], Tabla9[Puesto], Tabla9[Precio cliente],0,1,1)</f>
        <v>0</v>
      </c>
      <c r="J732" s="30">
        <f>_xlfn.XLOOKUP(Tabla2757[[#This Row],[Cargo]], Tabla958[Cargos], Tabla958[Ponderador Precio],0,1,1)</f>
        <v>0</v>
      </c>
      <c r="K732" s="30">
        <f>Tabla2757[[#This Row],[Precio por hora UF]]*Tabla2757[[#This Row],[Ponderador]]</f>
        <v>0</v>
      </c>
      <c r="L732" s="40">
        <v>0</v>
      </c>
      <c r="M732" s="30">
        <f>Tabla2757[[#This Row],[Precio por hora]]*Tabla2757[[#This Row],[Cantidad horas]]</f>
        <v>0</v>
      </c>
      <c r="N732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733" spans="2:14" x14ac:dyDescent="0.3">
      <c r="B733" s="28"/>
      <c r="C733" s="20"/>
      <c r="E733" s="136"/>
      <c r="F733" s="177">
        <f>_xlfn.XLOOKUP(Tabla2757[[#This Row],[Tipo de venta]],Tabla2329[Tipo de venta],Tabla2329[Moneda final], "Error - Seleccionar Tipo de Venta", 0,1)</f>
        <v>0</v>
      </c>
      <c r="G733" s="178"/>
      <c r="H733" s="21"/>
      <c r="I733" s="30">
        <f>_xlfn.XLOOKUP(Tabla2757[[#This Row],[Puesto Encargado]], Tabla9[Puesto], Tabla9[Precio cliente],0,1,1)</f>
        <v>0</v>
      </c>
      <c r="J733" s="30">
        <f>_xlfn.XLOOKUP(Tabla2757[[#This Row],[Cargo]], Tabla958[Cargos], Tabla958[Ponderador Precio],0,1,1)</f>
        <v>0</v>
      </c>
      <c r="K733" s="30">
        <f>Tabla2757[[#This Row],[Precio por hora UF]]*Tabla2757[[#This Row],[Ponderador]]</f>
        <v>0</v>
      </c>
      <c r="L733" s="40">
        <v>0</v>
      </c>
      <c r="M733" s="30">
        <f>Tabla2757[[#This Row],[Precio por hora]]*Tabla2757[[#This Row],[Cantidad horas]]</f>
        <v>0</v>
      </c>
      <c r="N733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734" spans="2:14" x14ac:dyDescent="0.3">
      <c r="B734" s="28"/>
      <c r="C734" s="20"/>
      <c r="E734" s="136"/>
      <c r="F734" s="177">
        <f>_xlfn.XLOOKUP(Tabla2757[[#This Row],[Tipo de venta]],Tabla2329[Tipo de venta],Tabla2329[Moneda final], "Error - Seleccionar Tipo de Venta", 0,1)</f>
        <v>0</v>
      </c>
      <c r="G734" s="178"/>
      <c r="H734" s="21"/>
      <c r="I734" s="30">
        <f>_xlfn.XLOOKUP(Tabla2757[[#This Row],[Puesto Encargado]], Tabla9[Puesto], Tabla9[Precio cliente],0,1,1)</f>
        <v>0</v>
      </c>
      <c r="J734" s="30">
        <f>_xlfn.XLOOKUP(Tabla2757[[#This Row],[Cargo]], Tabla958[Cargos], Tabla958[Ponderador Precio],0,1,1)</f>
        <v>0</v>
      </c>
      <c r="K734" s="30">
        <f>Tabla2757[[#This Row],[Precio por hora UF]]*Tabla2757[[#This Row],[Ponderador]]</f>
        <v>0</v>
      </c>
      <c r="L734" s="40">
        <v>0</v>
      </c>
      <c r="M734" s="30">
        <f>Tabla2757[[#This Row],[Precio por hora]]*Tabla2757[[#This Row],[Cantidad horas]]</f>
        <v>0</v>
      </c>
      <c r="N734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735" spans="2:14" x14ac:dyDescent="0.3">
      <c r="B735" s="28"/>
      <c r="C735" s="20"/>
      <c r="E735" s="136"/>
      <c r="F735" s="177">
        <f>_xlfn.XLOOKUP(Tabla2757[[#This Row],[Tipo de venta]],Tabla2329[Tipo de venta],Tabla2329[Moneda final], "Error - Seleccionar Tipo de Venta", 0,1)</f>
        <v>0</v>
      </c>
      <c r="G735" s="178"/>
      <c r="H735" s="21"/>
      <c r="I735" s="30">
        <f>_xlfn.XLOOKUP(Tabla2757[[#This Row],[Puesto Encargado]], Tabla9[Puesto], Tabla9[Precio cliente],0,1,1)</f>
        <v>0</v>
      </c>
      <c r="J735" s="30">
        <f>_xlfn.XLOOKUP(Tabla2757[[#This Row],[Cargo]], Tabla958[Cargos], Tabla958[Ponderador Precio],0,1,1)</f>
        <v>0</v>
      </c>
      <c r="K735" s="30">
        <f>Tabla2757[[#This Row],[Precio por hora UF]]*Tabla2757[[#This Row],[Ponderador]]</f>
        <v>0</v>
      </c>
      <c r="L735" s="40">
        <v>0</v>
      </c>
      <c r="M735" s="30">
        <f>Tabla2757[[#This Row],[Precio por hora]]*Tabla2757[[#This Row],[Cantidad horas]]</f>
        <v>0</v>
      </c>
      <c r="N735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736" spans="2:14" x14ac:dyDescent="0.3">
      <c r="B736" s="28"/>
      <c r="C736" s="20"/>
      <c r="E736" s="136"/>
      <c r="F736" s="177">
        <f>_xlfn.XLOOKUP(Tabla2757[[#This Row],[Tipo de venta]],Tabla2329[Tipo de venta],Tabla2329[Moneda final], "Error - Seleccionar Tipo de Venta", 0,1)</f>
        <v>0</v>
      </c>
      <c r="G736" s="178"/>
      <c r="H736" s="21"/>
      <c r="I736" s="30">
        <f>_xlfn.XLOOKUP(Tabla2757[[#This Row],[Puesto Encargado]], Tabla9[Puesto], Tabla9[Precio cliente],0,1,1)</f>
        <v>0</v>
      </c>
      <c r="J736" s="30">
        <f>_xlfn.XLOOKUP(Tabla2757[[#This Row],[Cargo]], Tabla958[Cargos], Tabla958[Ponderador Precio],0,1,1)</f>
        <v>0</v>
      </c>
      <c r="K736" s="30">
        <f>Tabla2757[[#This Row],[Precio por hora UF]]*Tabla2757[[#This Row],[Ponderador]]</f>
        <v>0</v>
      </c>
      <c r="L736" s="40">
        <v>0</v>
      </c>
      <c r="M736" s="30">
        <f>Tabla2757[[#This Row],[Precio por hora]]*Tabla2757[[#This Row],[Cantidad horas]]</f>
        <v>0</v>
      </c>
      <c r="N736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737" spans="2:14" x14ac:dyDescent="0.3">
      <c r="B737" s="28"/>
      <c r="C737" s="20"/>
      <c r="E737" s="136"/>
      <c r="F737" s="177">
        <f>_xlfn.XLOOKUP(Tabla2757[[#This Row],[Tipo de venta]],Tabla2329[Tipo de venta],Tabla2329[Moneda final], "Error - Seleccionar Tipo de Venta", 0,1)</f>
        <v>0</v>
      </c>
      <c r="G737" s="178"/>
      <c r="H737" s="21"/>
      <c r="I737" s="30">
        <f>_xlfn.XLOOKUP(Tabla2757[[#This Row],[Puesto Encargado]], Tabla9[Puesto], Tabla9[Precio cliente],0,1,1)</f>
        <v>0</v>
      </c>
      <c r="J737" s="30">
        <f>_xlfn.XLOOKUP(Tabla2757[[#This Row],[Cargo]], Tabla958[Cargos], Tabla958[Ponderador Precio],0,1,1)</f>
        <v>0</v>
      </c>
      <c r="K737" s="30">
        <f>Tabla2757[[#This Row],[Precio por hora UF]]*Tabla2757[[#This Row],[Ponderador]]</f>
        <v>0</v>
      </c>
      <c r="L737" s="40">
        <v>0</v>
      </c>
      <c r="M737" s="30">
        <f>Tabla2757[[#This Row],[Precio por hora]]*Tabla2757[[#This Row],[Cantidad horas]]</f>
        <v>0</v>
      </c>
      <c r="N737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738" spans="2:14" x14ac:dyDescent="0.3">
      <c r="B738" s="28"/>
      <c r="C738" s="20"/>
      <c r="E738" s="136"/>
      <c r="F738" s="177">
        <f>_xlfn.XLOOKUP(Tabla2757[[#This Row],[Tipo de venta]],Tabla2329[Tipo de venta],Tabla2329[Moneda final], "Error - Seleccionar Tipo de Venta", 0,1)</f>
        <v>0</v>
      </c>
      <c r="G738" s="178"/>
      <c r="H738" s="21"/>
      <c r="I738" s="30">
        <f>_xlfn.XLOOKUP(Tabla2757[[#This Row],[Puesto Encargado]], Tabla9[Puesto], Tabla9[Precio cliente],0,1,1)</f>
        <v>0</v>
      </c>
      <c r="J738" s="30">
        <f>_xlfn.XLOOKUP(Tabla2757[[#This Row],[Cargo]], Tabla958[Cargos], Tabla958[Ponderador Precio],0,1,1)</f>
        <v>0</v>
      </c>
      <c r="K738" s="30">
        <f>Tabla2757[[#This Row],[Precio por hora UF]]*Tabla2757[[#This Row],[Ponderador]]</f>
        <v>0</v>
      </c>
      <c r="L738" s="40">
        <v>0</v>
      </c>
      <c r="M738" s="30">
        <f>Tabla2757[[#This Row],[Precio por hora]]*Tabla2757[[#This Row],[Cantidad horas]]</f>
        <v>0</v>
      </c>
      <c r="N738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739" spans="2:14" x14ac:dyDescent="0.3">
      <c r="B739" s="28"/>
      <c r="C739" s="20"/>
      <c r="E739" s="136"/>
      <c r="F739" s="177">
        <f>_xlfn.XLOOKUP(Tabla2757[[#This Row],[Tipo de venta]],Tabla2329[Tipo de venta],Tabla2329[Moneda final], "Error - Seleccionar Tipo de Venta", 0,1)</f>
        <v>0</v>
      </c>
      <c r="G739" s="178"/>
      <c r="H739" s="21"/>
      <c r="I739" s="30">
        <f>_xlfn.XLOOKUP(Tabla2757[[#This Row],[Puesto Encargado]], Tabla9[Puesto], Tabla9[Precio cliente],0,1,1)</f>
        <v>0</v>
      </c>
      <c r="J739" s="30">
        <f>_xlfn.XLOOKUP(Tabla2757[[#This Row],[Cargo]], Tabla958[Cargos], Tabla958[Ponderador Precio],0,1,1)</f>
        <v>0</v>
      </c>
      <c r="K739" s="30">
        <f>Tabla2757[[#This Row],[Precio por hora UF]]*Tabla2757[[#This Row],[Ponderador]]</f>
        <v>0</v>
      </c>
      <c r="L739" s="40">
        <v>0</v>
      </c>
      <c r="M739" s="30">
        <f>Tabla2757[[#This Row],[Precio por hora]]*Tabla2757[[#This Row],[Cantidad horas]]</f>
        <v>0</v>
      </c>
      <c r="N739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740" spans="2:14" x14ac:dyDescent="0.3">
      <c r="B740" s="28"/>
      <c r="C740" s="20"/>
      <c r="E740" s="136"/>
      <c r="F740" s="177">
        <f>_xlfn.XLOOKUP(Tabla2757[[#This Row],[Tipo de venta]],Tabla2329[Tipo de venta],Tabla2329[Moneda final], "Error - Seleccionar Tipo de Venta", 0,1)</f>
        <v>0</v>
      </c>
      <c r="G740" s="178"/>
      <c r="H740" s="21"/>
      <c r="I740" s="30">
        <f>_xlfn.XLOOKUP(Tabla2757[[#This Row],[Puesto Encargado]], Tabla9[Puesto], Tabla9[Precio cliente],0,1,1)</f>
        <v>0</v>
      </c>
      <c r="J740" s="30">
        <f>_xlfn.XLOOKUP(Tabla2757[[#This Row],[Cargo]], Tabla958[Cargos], Tabla958[Ponderador Precio],0,1,1)</f>
        <v>0</v>
      </c>
      <c r="K740" s="30">
        <f>Tabla2757[[#This Row],[Precio por hora UF]]*Tabla2757[[#This Row],[Ponderador]]</f>
        <v>0</v>
      </c>
      <c r="L740" s="40">
        <v>0</v>
      </c>
      <c r="M740" s="30">
        <f>Tabla2757[[#This Row],[Precio por hora]]*Tabla2757[[#This Row],[Cantidad horas]]</f>
        <v>0</v>
      </c>
      <c r="N740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741" spans="2:14" x14ac:dyDescent="0.3">
      <c r="B741" s="28"/>
      <c r="C741" s="20"/>
      <c r="E741" s="136"/>
      <c r="F741" s="177">
        <f>_xlfn.XLOOKUP(Tabla2757[[#This Row],[Tipo de venta]],Tabla2329[Tipo de venta],Tabla2329[Moneda final], "Error - Seleccionar Tipo de Venta", 0,1)</f>
        <v>0</v>
      </c>
      <c r="G741" s="178"/>
      <c r="H741" s="21"/>
      <c r="I741" s="30">
        <f>_xlfn.XLOOKUP(Tabla2757[[#This Row],[Puesto Encargado]], Tabla9[Puesto], Tabla9[Precio cliente],0,1,1)</f>
        <v>0</v>
      </c>
      <c r="J741" s="30">
        <f>_xlfn.XLOOKUP(Tabla2757[[#This Row],[Cargo]], Tabla958[Cargos], Tabla958[Ponderador Precio],0,1,1)</f>
        <v>0</v>
      </c>
      <c r="K741" s="30">
        <f>Tabla2757[[#This Row],[Precio por hora UF]]*Tabla2757[[#This Row],[Ponderador]]</f>
        <v>0</v>
      </c>
      <c r="L741" s="40">
        <v>0</v>
      </c>
      <c r="M741" s="30">
        <f>Tabla2757[[#This Row],[Precio por hora]]*Tabla2757[[#This Row],[Cantidad horas]]</f>
        <v>0</v>
      </c>
      <c r="N741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742" spans="2:14" x14ac:dyDescent="0.3">
      <c r="B742" s="28"/>
      <c r="C742" s="20"/>
      <c r="E742" s="136"/>
      <c r="F742" s="177">
        <f>_xlfn.XLOOKUP(Tabla2757[[#This Row],[Tipo de venta]],Tabla2329[Tipo de venta],Tabla2329[Moneda final], "Error - Seleccionar Tipo de Venta", 0,1)</f>
        <v>0</v>
      </c>
      <c r="G742" s="178"/>
      <c r="H742" s="21"/>
      <c r="I742" s="30">
        <f>_xlfn.XLOOKUP(Tabla2757[[#This Row],[Puesto Encargado]], Tabla9[Puesto], Tabla9[Precio cliente],0,1,1)</f>
        <v>0</v>
      </c>
      <c r="J742" s="30">
        <f>_xlfn.XLOOKUP(Tabla2757[[#This Row],[Cargo]], Tabla958[Cargos], Tabla958[Ponderador Precio],0,1,1)</f>
        <v>0</v>
      </c>
      <c r="K742" s="30">
        <f>Tabla2757[[#This Row],[Precio por hora UF]]*Tabla2757[[#This Row],[Ponderador]]</f>
        <v>0</v>
      </c>
      <c r="L742" s="40">
        <v>0</v>
      </c>
      <c r="M742" s="30">
        <f>Tabla2757[[#This Row],[Precio por hora]]*Tabla2757[[#This Row],[Cantidad horas]]</f>
        <v>0</v>
      </c>
      <c r="N742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743" spans="2:14" x14ac:dyDescent="0.3">
      <c r="B743" s="28"/>
      <c r="C743" s="20"/>
      <c r="E743" s="136"/>
      <c r="F743" s="177">
        <f>_xlfn.XLOOKUP(Tabla2757[[#This Row],[Tipo de venta]],Tabla2329[Tipo de venta],Tabla2329[Moneda final], "Error - Seleccionar Tipo de Venta", 0,1)</f>
        <v>0</v>
      </c>
      <c r="G743" s="178"/>
      <c r="H743" s="21"/>
      <c r="I743" s="30">
        <f>_xlfn.XLOOKUP(Tabla2757[[#This Row],[Puesto Encargado]], Tabla9[Puesto], Tabla9[Precio cliente],0,1,1)</f>
        <v>0</v>
      </c>
      <c r="J743" s="30">
        <f>_xlfn.XLOOKUP(Tabla2757[[#This Row],[Cargo]], Tabla958[Cargos], Tabla958[Ponderador Precio],0,1,1)</f>
        <v>0</v>
      </c>
      <c r="K743" s="30">
        <f>Tabla2757[[#This Row],[Precio por hora UF]]*Tabla2757[[#This Row],[Ponderador]]</f>
        <v>0</v>
      </c>
      <c r="L743" s="40">
        <v>0</v>
      </c>
      <c r="M743" s="30">
        <f>Tabla2757[[#This Row],[Precio por hora]]*Tabla2757[[#This Row],[Cantidad horas]]</f>
        <v>0</v>
      </c>
      <c r="N743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744" spans="2:14" x14ac:dyDescent="0.3">
      <c r="B744" s="28"/>
      <c r="C744" s="20"/>
      <c r="E744" s="136"/>
      <c r="F744" s="177">
        <f>_xlfn.XLOOKUP(Tabla2757[[#This Row],[Tipo de venta]],Tabla2329[Tipo de venta],Tabla2329[Moneda final], "Error - Seleccionar Tipo de Venta", 0,1)</f>
        <v>0</v>
      </c>
      <c r="G744" s="178"/>
      <c r="H744" s="21"/>
      <c r="I744" s="30">
        <f>_xlfn.XLOOKUP(Tabla2757[[#This Row],[Puesto Encargado]], Tabla9[Puesto], Tabla9[Precio cliente],0,1,1)</f>
        <v>0</v>
      </c>
      <c r="J744" s="30">
        <f>_xlfn.XLOOKUP(Tabla2757[[#This Row],[Cargo]], Tabla958[Cargos], Tabla958[Ponderador Precio],0,1,1)</f>
        <v>0</v>
      </c>
      <c r="K744" s="30">
        <f>Tabla2757[[#This Row],[Precio por hora UF]]*Tabla2757[[#This Row],[Ponderador]]</f>
        <v>0</v>
      </c>
      <c r="L744" s="40">
        <v>0</v>
      </c>
      <c r="M744" s="30">
        <f>Tabla2757[[#This Row],[Precio por hora]]*Tabla2757[[#This Row],[Cantidad horas]]</f>
        <v>0</v>
      </c>
      <c r="N744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745" spans="2:14" x14ac:dyDescent="0.3">
      <c r="B745" s="28"/>
      <c r="C745" s="20"/>
      <c r="E745" s="136"/>
      <c r="F745" s="177">
        <f>_xlfn.XLOOKUP(Tabla2757[[#This Row],[Tipo de venta]],Tabla2329[Tipo de venta],Tabla2329[Moneda final], "Error - Seleccionar Tipo de Venta", 0,1)</f>
        <v>0</v>
      </c>
      <c r="G745" s="178"/>
      <c r="H745" s="21"/>
      <c r="I745" s="30">
        <f>_xlfn.XLOOKUP(Tabla2757[[#This Row],[Puesto Encargado]], Tabla9[Puesto], Tabla9[Precio cliente],0,1,1)</f>
        <v>0</v>
      </c>
      <c r="J745" s="30">
        <f>_xlfn.XLOOKUP(Tabla2757[[#This Row],[Cargo]], Tabla958[Cargos], Tabla958[Ponderador Precio],0,1,1)</f>
        <v>0</v>
      </c>
      <c r="K745" s="30">
        <f>Tabla2757[[#This Row],[Precio por hora UF]]*Tabla2757[[#This Row],[Ponderador]]</f>
        <v>0</v>
      </c>
      <c r="L745" s="40">
        <v>0</v>
      </c>
      <c r="M745" s="30">
        <f>Tabla2757[[#This Row],[Precio por hora]]*Tabla2757[[#This Row],[Cantidad horas]]</f>
        <v>0</v>
      </c>
      <c r="N745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746" spans="2:14" x14ac:dyDescent="0.3">
      <c r="B746" s="28"/>
      <c r="C746" s="20"/>
      <c r="E746" s="136"/>
      <c r="F746" s="177">
        <f>_xlfn.XLOOKUP(Tabla2757[[#This Row],[Tipo de venta]],Tabla2329[Tipo de venta],Tabla2329[Moneda final], "Error - Seleccionar Tipo de Venta", 0,1)</f>
        <v>0</v>
      </c>
      <c r="G746" s="178"/>
      <c r="H746" s="21"/>
      <c r="I746" s="30">
        <f>_xlfn.XLOOKUP(Tabla2757[[#This Row],[Puesto Encargado]], Tabla9[Puesto], Tabla9[Precio cliente],0,1,1)</f>
        <v>0</v>
      </c>
      <c r="J746" s="30">
        <f>_xlfn.XLOOKUP(Tabla2757[[#This Row],[Cargo]], Tabla958[Cargos], Tabla958[Ponderador Precio],0,1,1)</f>
        <v>0</v>
      </c>
      <c r="K746" s="30">
        <f>Tabla2757[[#This Row],[Precio por hora UF]]*Tabla2757[[#This Row],[Ponderador]]</f>
        <v>0</v>
      </c>
      <c r="L746" s="40">
        <v>0</v>
      </c>
      <c r="M746" s="30">
        <f>Tabla2757[[#This Row],[Precio por hora]]*Tabla2757[[#This Row],[Cantidad horas]]</f>
        <v>0</v>
      </c>
      <c r="N746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747" spans="2:14" x14ac:dyDescent="0.3">
      <c r="B747" s="28"/>
      <c r="C747" s="20"/>
      <c r="E747" s="136"/>
      <c r="F747" s="177">
        <f>_xlfn.XLOOKUP(Tabla2757[[#This Row],[Tipo de venta]],Tabla2329[Tipo de venta],Tabla2329[Moneda final], "Error - Seleccionar Tipo de Venta", 0,1)</f>
        <v>0</v>
      </c>
      <c r="G747" s="178"/>
      <c r="H747" s="21"/>
      <c r="I747" s="30">
        <f>_xlfn.XLOOKUP(Tabla2757[[#This Row],[Puesto Encargado]], Tabla9[Puesto], Tabla9[Precio cliente],0,1,1)</f>
        <v>0</v>
      </c>
      <c r="J747" s="30">
        <f>_xlfn.XLOOKUP(Tabla2757[[#This Row],[Cargo]], Tabla958[Cargos], Tabla958[Ponderador Precio],0,1,1)</f>
        <v>0</v>
      </c>
      <c r="K747" s="30">
        <f>Tabla2757[[#This Row],[Precio por hora UF]]*Tabla2757[[#This Row],[Ponderador]]</f>
        <v>0</v>
      </c>
      <c r="L747" s="40">
        <v>0</v>
      </c>
      <c r="M747" s="30">
        <f>Tabla2757[[#This Row],[Precio por hora]]*Tabla2757[[#This Row],[Cantidad horas]]</f>
        <v>0</v>
      </c>
      <c r="N747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748" spans="2:14" x14ac:dyDescent="0.3">
      <c r="B748" s="28"/>
      <c r="C748" s="20"/>
      <c r="E748" s="136"/>
      <c r="F748" s="177">
        <f>_xlfn.XLOOKUP(Tabla2757[[#This Row],[Tipo de venta]],Tabla2329[Tipo de venta],Tabla2329[Moneda final], "Error - Seleccionar Tipo de Venta", 0,1)</f>
        <v>0</v>
      </c>
      <c r="G748" s="178"/>
      <c r="H748" s="21"/>
      <c r="I748" s="30">
        <f>_xlfn.XLOOKUP(Tabla2757[[#This Row],[Puesto Encargado]], Tabla9[Puesto], Tabla9[Precio cliente],0,1,1)</f>
        <v>0</v>
      </c>
      <c r="J748" s="30">
        <f>_xlfn.XLOOKUP(Tabla2757[[#This Row],[Cargo]], Tabla958[Cargos], Tabla958[Ponderador Precio],0,1,1)</f>
        <v>0</v>
      </c>
      <c r="K748" s="30">
        <f>Tabla2757[[#This Row],[Precio por hora UF]]*Tabla2757[[#This Row],[Ponderador]]</f>
        <v>0</v>
      </c>
      <c r="L748" s="40">
        <v>0</v>
      </c>
      <c r="M748" s="30">
        <f>Tabla2757[[#This Row],[Precio por hora]]*Tabla2757[[#This Row],[Cantidad horas]]</f>
        <v>0</v>
      </c>
      <c r="N748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749" spans="2:14" x14ac:dyDescent="0.3">
      <c r="B749" s="28"/>
      <c r="C749" s="20"/>
      <c r="E749" s="136"/>
      <c r="F749" s="177">
        <f>_xlfn.XLOOKUP(Tabla2757[[#This Row],[Tipo de venta]],Tabla2329[Tipo de venta],Tabla2329[Moneda final], "Error - Seleccionar Tipo de Venta", 0,1)</f>
        <v>0</v>
      </c>
      <c r="G749" s="178"/>
      <c r="H749" s="21"/>
      <c r="I749" s="30">
        <f>_xlfn.XLOOKUP(Tabla2757[[#This Row],[Puesto Encargado]], Tabla9[Puesto], Tabla9[Precio cliente],0,1,1)</f>
        <v>0</v>
      </c>
      <c r="J749" s="30">
        <f>_xlfn.XLOOKUP(Tabla2757[[#This Row],[Cargo]], Tabla958[Cargos], Tabla958[Ponderador Precio],0,1,1)</f>
        <v>0</v>
      </c>
      <c r="K749" s="30">
        <f>Tabla2757[[#This Row],[Precio por hora UF]]*Tabla2757[[#This Row],[Ponderador]]</f>
        <v>0</v>
      </c>
      <c r="L749" s="40">
        <v>0</v>
      </c>
      <c r="M749" s="30">
        <f>Tabla2757[[#This Row],[Precio por hora]]*Tabla2757[[#This Row],[Cantidad horas]]</f>
        <v>0</v>
      </c>
      <c r="N749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750" spans="2:14" x14ac:dyDescent="0.3">
      <c r="B750" s="28"/>
      <c r="C750" s="20"/>
      <c r="E750" s="136"/>
      <c r="F750" s="177">
        <f>_xlfn.XLOOKUP(Tabla2757[[#This Row],[Tipo de venta]],Tabla2329[Tipo de venta],Tabla2329[Moneda final], "Error - Seleccionar Tipo de Venta", 0,1)</f>
        <v>0</v>
      </c>
      <c r="G750" s="178"/>
      <c r="H750" s="21"/>
      <c r="I750" s="30">
        <f>_xlfn.XLOOKUP(Tabla2757[[#This Row],[Puesto Encargado]], Tabla9[Puesto], Tabla9[Precio cliente],0,1,1)</f>
        <v>0</v>
      </c>
      <c r="J750" s="30">
        <f>_xlfn.XLOOKUP(Tabla2757[[#This Row],[Cargo]], Tabla958[Cargos], Tabla958[Ponderador Precio],0,1,1)</f>
        <v>0</v>
      </c>
      <c r="K750" s="30">
        <f>Tabla2757[[#This Row],[Precio por hora UF]]*Tabla2757[[#This Row],[Ponderador]]</f>
        <v>0</v>
      </c>
      <c r="L750" s="40">
        <v>0</v>
      </c>
      <c r="M750" s="30">
        <f>Tabla2757[[#This Row],[Precio por hora]]*Tabla2757[[#This Row],[Cantidad horas]]</f>
        <v>0</v>
      </c>
      <c r="N750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751" spans="2:14" x14ac:dyDescent="0.3">
      <c r="B751" s="28"/>
      <c r="C751" s="20"/>
      <c r="E751" s="136"/>
      <c r="F751" s="177">
        <f>_xlfn.XLOOKUP(Tabla2757[[#This Row],[Tipo de venta]],Tabla2329[Tipo de venta],Tabla2329[Moneda final], "Error - Seleccionar Tipo de Venta", 0,1)</f>
        <v>0</v>
      </c>
      <c r="G751" s="178"/>
      <c r="H751" s="21"/>
      <c r="I751" s="30">
        <f>_xlfn.XLOOKUP(Tabla2757[[#This Row],[Puesto Encargado]], Tabla9[Puesto], Tabla9[Precio cliente],0,1,1)</f>
        <v>0</v>
      </c>
      <c r="J751" s="30">
        <f>_xlfn.XLOOKUP(Tabla2757[[#This Row],[Cargo]], Tabla958[Cargos], Tabla958[Ponderador Precio],0,1,1)</f>
        <v>0</v>
      </c>
      <c r="K751" s="30">
        <f>Tabla2757[[#This Row],[Precio por hora UF]]*Tabla2757[[#This Row],[Ponderador]]</f>
        <v>0</v>
      </c>
      <c r="L751" s="40">
        <v>0</v>
      </c>
      <c r="M751" s="30">
        <f>Tabla2757[[#This Row],[Precio por hora]]*Tabla2757[[#This Row],[Cantidad horas]]</f>
        <v>0</v>
      </c>
      <c r="N751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752" spans="2:14" x14ac:dyDescent="0.3">
      <c r="B752" s="28"/>
      <c r="C752" s="20"/>
      <c r="E752" s="136"/>
      <c r="F752" s="177">
        <f>_xlfn.XLOOKUP(Tabla2757[[#This Row],[Tipo de venta]],Tabla2329[Tipo de venta],Tabla2329[Moneda final], "Error - Seleccionar Tipo de Venta", 0,1)</f>
        <v>0</v>
      </c>
      <c r="G752" s="178"/>
      <c r="H752" s="21"/>
      <c r="I752" s="30">
        <f>_xlfn.XLOOKUP(Tabla2757[[#This Row],[Puesto Encargado]], Tabla9[Puesto], Tabla9[Precio cliente],0,1,1)</f>
        <v>0</v>
      </c>
      <c r="J752" s="30">
        <f>_xlfn.XLOOKUP(Tabla2757[[#This Row],[Cargo]], Tabla958[Cargos], Tabla958[Ponderador Precio],0,1,1)</f>
        <v>0</v>
      </c>
      <c r="K752" s="30">
        <f>Tabla2757[[#This Row],[Precio por hora UF]]*Tabla2757[[#This Row],[Ponderador]]</f>
        <v>0</v>
      </c>
      <c r="L752" s="40">
        <v>0</v>
      </c>
      <c r="M752" s="30">
        <f>Tabla2757[[#This Row],[Precio por hora]]*Tabla2757[[#This Row],[Cantidad horas]]</f>
        <v>0</v>
      </c>
      <c r="N752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753" spans="2:14" x14ac:dyDescent="0.3">
      <c r="B753" s="28"/>
      <c r="C753" s="20"/>
      <c r="E753" s="136"/>
      <c r="F753" s="177">
        <f>_xlfn.XLOOKUP(Tabla2757[[#This Row],[Tipo de venta]],Tabla2329[Tipo de venta],Tabla2329[Moneda final], "Error - Seleccionar Tipo de Venta", 0,1)</f>
        <v>0</v>
      </c>
      <c r="G753" s="178"/>
      <c r="H753" s="21"/>
      <c r="I753" s="30">
        <f>_xlfn.XLOOKUP(Tabla2757[[#This Row],[Puesto Encargado]], Tabla9[Puesto], Tabla9[Precio cliente],0,1,1)</f>
        <v>0</v>
      </c>
      <c r="J753" s="30">
        <f>_xlfn.XLOOKUP(Tabla2757[[#This Row],[Cargo]], Tabla958[Cargos], Tabla958[Ponderador Precio],0,1,1)</f>
        <v>0</v>
      </c>
      <c r="K753" s="30">
        <f>Tabla2757[[#This Row],[Precio por hora UF]]*Tabla2757[[#This Row],[Ponderador]]</f>
        <v>0</v>
      </c>
      <c r="L753" s="40">
        <v>0</v>
      </c>
      <c r="M753" s="30">
        <f>Tabla2757[[#This Row],[Precio por hora]]*Tabla2757[[#This Row],[Cantidad horas]]</f>
        <v>0</v>
      </c>
      <c r="N753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754" spans="2:14" x14ac:dyDescent="0.3">
      <c r="B754" s="28"/>
      <c r="C754" s="20"/>
      <c r="E754" s="136"/>
      <c r="F754" s="177">
        <f>_xlfn.XLOOKUP(Tabla2757[[#This Row],[Tipo de venta]],Tabla2329[Tipo de venta],Tabla2329[Moneda final], "Error - Seleccionar Tipo de Venta", 0,1)</f>
        <v>0</v>
      </c>
      <c r="G754" s="178"/>
      <c r="H754" s="21"/>
      <c r="I754" s="30">
        <f>_xlfn.XLOOKUP(Tabla2757[[#This Row],[Puesto Encargado]], Tabla9[Puesto], Tabla9[Precio cliente],0,1,1)</f>
        <v>0</v>
      </c>
      <c r="J754" s="30">
        <f>_xlfn.XLOOKUP(Tabla2757[[#This Row],[Cargo]], Tabla958[Cargos], Tabla958[Ponderador Precio],0,1,1)</f>
        <v>0</v>
      </c>
      <c r="K754" s="30">
        <f>Tabla2757[[#This Row],[Precio por hora UF]]*Tabla2757[[#This Row],[Ponderador]]</f>
        <v>0</v>
      </c>
      <c r="L754" s="40">
        <v>0</v>
      </c>
      <c r="M754" s="30">
        <f>Tabla2757[[#This Row],[Precio por hora]]*Tabla2757[[#This Row],[Cantidad horas]]</f>
        <v>0</v>
      </c>
      <c r="N754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755" spans="2:14" x14ac:dyDescent="0.3">
      <c r="B755" s="28"/>
      <c r="C755" s="20"/>
      <c r="E755" s="136"/>
      <c r="F755" s="177">
        <f>_xlfn.XLOOKUP(Tabla2757[[#This Row],[Tipo de venta]],Tabla2329[Tipo de venta],Tabla2329[Moneda final], "Error - Seleccionar Tipo de Venta", 0,1)</f>
        <v>0</v>
      </c>
      <c r="G755" s="178"/>
      <c r="H755" s="21"/>
      <c r="I755" s="30">
        <f>_xlfn.XLOOKUP(Tabla2757[[#This Row],[Puesto Encargado]], Tabla9[Puesto], Tabla9[Precio cliente],0,1,1)</f>
        <v>0</v>
      </c>
      <c r="J755" s="30">
        <f>_xlfn.XLOOKUP(Tabla2757[[#This Row],[Cargo]], Tabla958[Cargos], Tabla958[Ponderador Precio],0,1,1)</f>
        <v>0</v>
      </c>
      <c r="K755" s="30">
        <f>Tabla2757[[#This Row],[Precio por hora UF]]*Tabla2757[[#This Row],[Ponderador]]</f>
        <v>0</v>
      </c>
      <c r="L755" s="40">
        <v>0</v>
      </c>
      <c r="M755" s="30">
        <f>Tabla2757[[#This Row],[Precio por hora]]*Tabla2757[[#This Row],[Cantidad horas]]</f>
        <v>0</v>
      </c>
      <c r="N755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756" spans="2:14" x14ac:dyDescent="0.3">
      <c r="B756" s="28"/>
      <c r="C756" s="20"/>
      <c r="E756" s="136"/>
      <c r="F756" s="177">
        <f>_xlfn.XLOOKUP(Tabla2757[[#This Row],[Tipo de venta]],Tabla2329[Tipo de venta],Tabla2329[Moneda final], "Error - Seleccionar Tipo de Venta", 0,1)</f>
        <v>0</v>
      </c>
      <c r="G756" s="178"/>
      <c r="H756" s="21"/>
      <c r="I756" s="30">
        <f>_xlfn.XLOOKUP(Tabla2757[[#This Row],[Puesto Encargado]], Tabla9[Puesto], Tabla9[Precio cliente],0,1,1)</f>
        <v>0</v>
      </c>
      <c r="J756" s="30">
        <f>_xlfn.XLOOKUP(Tabla2757[[#This Row],[Cargo]], Tabla958[Cargos], Tabla958[Ponderador Precio],0,1,1)</f>
        <v>0</v>
      </c>
      <c r="K756" s="30">
        <f>Tabla2757[[#This Row],[Precio por hora UF]]*Tabla2757[[#This Row],[Ponderador]]</f>
        <v>0</v>
      </c>
      <c r="L756" s="40">
        <v>0</v>
      </c>
      <c r="M756" s="30">
        <f>Tabla2757[[#This Row],[Precio por hora]]*Tabla2757[[#This Row],[Cantidad horas]]</f>
        <v>0</v>
      </c>
      <c r="N756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757" spans="2:14" x14ac:dyDescent="0.3">
      <c r="B757" s="28"/>
      <c r="C757" s="20"/>
      <c r="E757" s="136"/>
      <c r="F757" s="177">
        <f>_xlfn.XLOOKUP(Tabla2757[[#This Row],[Tipo de venta]],Tabla2329[Tipo de venta],Tabla2329[Moneda final], "Error - Seleccionar Tipo de Venta", 0,1)</f>
        <v>0</v>
      </c>
      <c r="G757" s="178"/>
      <c r="H757" s="21"/>
      <c r="I757" s="30">
        <f>_xlfn.XLOOKUP(Tabla2757[[#This Row],[Puesto Encargado]], Tabla9[Puesto], Tabla9[Precio cliente],0,1,1)</f>
        <v>0</v>
      </c>
      <c r="J757" s="30">
        <f>_xlfn.XLOOKUP(Tabla2757[[#This Row],[Cargo]], Tabla958[Cargos], Tabla958[Ponderador Precio],0,1,1)</f>
        <v>0</v>
      </c>
      <c r="K757" s="30">
        <f>Tabla2757[[#This Row],[Precio por hora UF]]*Tabla2757[[#This Row],[Ponderador]]</f>
        <v>0</v>
      </c>
      <c r="L757" s="40">
        <v>0</v>
      </c>
      <c r="M757" s="30">
        <f>Tabla2757[[#This Row],[Precio por hora]]*Tabla2757[[#This Row],[Cantidad horas]]</f>
        <v>0</v>
      </c>
      <c r="N757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758" spans="2:14" x14ac:dyDescent="0.3">
      <c r="B758" s="28"/>
      <c r="C758" s="20"/>
      <c r="E758" s="136"/>
      <c r="F758" s="177">
        <f>_xlfn.XLOOKUP(Tabla2757[[#This Row],[Tipo de venta]],Tabla2329[Tipo de venta],Tabla2329[Moneda final], "Error - Seleccionar Tipo de Venta", 0,1)</f>
        <v>0</v>
      </c>
      <c r="G758" s="178"/>
      <c r="H758" s="21"/>
      <c r="I758" s="30">
        <f>_xlfn.XLOOKUP(Tabla2757[[#This Row],[Puesto Encargado]], Tabla9[Puesto], Tabla9[Precio cliente],0,1,1)</f>
        <v>0</v>
      </c>
      <c r="J758" s="30">
        <f>_xlfn.XLOOKUP(Tabla2757[[#This Row],[Cargo]], Tabla958[Cargos], Tabla958[Ponderador Precio],0,1,1)</f>
        <v>0</v>
      </c>
      <c r="K758" s="30">
        <f>Tabla2757[[#This Row],[Precio por hora UF]]*Tabla2757[[#This Row],[Ponderador]]</f>
        <v>0</v>
      </c>
      <c r="L758" s="40">
        <v>0</v>
      </c>
      <c r="M758" s="30">
        <f>Tabla2757[[#This Row],[Precio por hora]]*Tabla2757[[#This Row],[Cantidad horas]]</f>
        <v>0</v>
      </c>
      <c r="N758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759" spans="2:14" x14ac:dyDescent="0.3">
      <c r="B759" s="28"/>
      <c r="C759" s="20"/>
      <c r="E759" s="136"/>
      <c r="F759" s="177">
        <f>_xlfn.XLOOKUP(Tabla2757[[#This Row],[Tipo de venta]],Tabla2329[Tipo de venta],Tabla2329[Moneda final], "Error - Seleccionar Tipo de Venta", 0,1)</f>
        <v>0</v>
      </c>
      <c r="G759" s="178"/>
      <c r="H759" s="21"/>
      <c r="I759" s="30">
        <f>_xlfn.XLOOKUP(Tabla2757[[#This Row],[Puesto Encargado]], Tabla9[Puesto], Tabla9[Precio cliente],0,1,1)</f>
        <v>0</v>
      </c>
      <c r="J759" s="30">
        <f>_xlfn.XLOOKUP(Tabla2757[[#This Row],[Cargo]], Tabla958[Cargos], Tabla958[Ponderador Precio],0,1,1)</f>
        <v>0</v>
      </c>
      <c r="K759" s="30">
        <f>Tabla2757[[#This Row],[Precio por hora UF]]*Tabla2757[[#This Row],[Ponderador]]</f>
        <v>0</v>
      </c>
      <c r="L759" s="40">
        <v>0</v>
      </c>
      <c r="M759" s="30">
        <f>Tabla2757[[#This Row],[Precio por hora]]*Tabla2757[[#This Row],[Cantidad horas]]</f>
        <v>0</v>
      </c>
      <c r="N759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760" spans="2:14" x14ac:dyDescent="0.3">
      <c r="B760" s="28"/>
      <c r="C760" s="20"/>
      <c r="E760" s="136"/>
      <c r="F760" s="177">
        <f>_xlfn.XLOOKUP(Tabla2757[[#This Row],[Tipo de venta]],Tabla2329[Tipo de venta],Tabla2329[Moneda final], "Error - Seleccionar Tipo de Venta", 0,1)</f>
        <v>0</v>
      </c>
      <c r="G760" s="178"/>
      <c r="H760" s="21"/>
      <c r="I760" s="30">
        <f>_xlfn.XLOOKUP(Tabla2757[[#This Row],[Puesto Encargado]], Tabla9[Puesto], Tabla9[Precio cliente],0,1,1)</f>
        <v>0</v>
      </c>
      <c r="J760" s="30">
        <f>_xlfn.XLOOKUP(Tabla2757[[#This Row],[Cargo]], Tabla958[Cargos], Tabla958[Ponderador Precio],0,1,1)</f>
        <v>0</v>
      </c>
      <c r="K760" s="30">
        <f>Tabla2757[[#This Row],[Precio por hora UF]]*Tabla2757[[#This Row],[Ponderador]]</f>
        <v>0</v>
      </c>
      <c r="L760" s="40">
        <v>0</v>
      </c>
      <c r="M760" s="30">
        <f>Tabla2757[[#This Row],[Precio por hora]]*Tabla2757[[#This Row],[Cantidad horas]]</f>
        <v>0</v>
      </c>
      <c r="N760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761" spans="2:14" x14ac:dyDescent="0.3">
      <c r="B761" s="28"/>
      <c r="C761" s="20"/>
      <c r="E761" s="136"/>
      <c r="F761" s="177">
        <f>_xlfn.XLOOKUP(Tabla2757[[#This Row],[Tipo de venta]],Tabla2329[Tipo de venta],Tabla2329[Moneda final], "Error - Seleccionar Tipo de Venta", 0,1)</f>
        <v>0</v>
      </c>
      <c r="G761" s="178"/>
      <c r="H761" s="21"/>
      <c r="I761" s="30">
        <f>_xlfn.XLOOKUP(Tabla2757[[#This Row],[Puesto Encargado]], Tabla9[Puesto], Tabla9[Precio cliente],0,1,1)</f>
        <v>0</v>
      </c>
      <c r="J761" s="30">
        <f>_xlfn.XLOOKUP(Tabla2757[[#This Row],[Cargo]], Tabla958[Cargos], Tabla958[Ponderador Precio],0,1,1)</f>
        <v>0</v>
      </c>
      <c r="K761" s="30">
        <f>Tabla2757[[#This Row],[Precio por hora UF]]*Tabla2757[[#This Row],[Ponderador]]</f>
        <v>0</v>
      </c>
      <c r="L761" s="40">
        <v>0</v>
      </c>
      <c r="M761" s="30">
        <f>Tabla2757[[#This Row],[Precio por hora]]*Tabla2757[[#This Row],[Cantidad horas]]</f>
        <v>0</v>
      </c>
      <c r="N761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762" spans="2:14" x14ac:dyDescent="0.3">
      <c r="B762" s="28"/>
      <c r="C762" s="20"/>
      <c r="E762" s="136"/>
      <c r="F762" s="177">
        <f>_xlfn.XLOOKUP(Tabla2757[[#This Row],[Tipo de venta]],Tabla2329[Tipo de venta],Tabla2329[Moneda final], "Error - Seleccionar Tipo de Venta", 0,1)</f>
        <v>0</v>
      </c>
      <c r="G762" s="178"/>
      <c r="H762" s="21"/>
      <c r="I762" s="30">
        <f>_xlfn.XLOOKUP(Tabla2757[[#This Row],[Puesto Encargado]], Tabla9[Puesto], Tabla9[Precio cliente],0,1,1)</f>
        <v>0</v>
      </c>
      <c r="J762" s="30">
        <f>_xlfn.XLOOKUP(Tabla2757[[#This Row],[Cargo]], Tabla958[Cargos], Tabla958[Ponderador Precio],0,1,1)</f>
        <v>0</v>
      </c>
      <c r="K762" s="30">
        <f>Tabla2757[[#This Row],[Precio por hora UF]]*Tabla2757[[#This Row],[Ponderador]]</f>
        <v>0</v>
      </c>
      <c r="L762" s="40">
        <v>0</v>
      </c>
      <c r="M762" s="30">
        <f>Tabla2757[[#This Row],[Precio por hora]]*Tabla2757[[#This Row],[Cantidad horas]]</f>
        <v>0</v>
      </c>
      <c r="N762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763" spans="2:14" x14ac:dyDescent="0.3">
      <c r="B763" s="28"/>
      <c r="C763" s="20"/>
      <c r="E763" s="136"/>
      <c r="F763" s="177">
        <f>_xlfn.XLOOKUP(Tabla2757[[#This Row],[Tipo de venta]],Tabla2329[Tipo de venta],Tabla2329[Moneda final], "Error - Seleccionar Tipo de Venta", 0,1)</f>
        <v>0</v>
      </c>
      <c r="G763" s="178"/>
      <c r="H763" s="21"/>
      <c r="I763" s="30">
        <f>_xlfn.XLOOKUP(Tabla2757[[#This Row],[Puesto Encargado]], Tabla9[Puesto], Tabla9[Precio cliente],0,1,1)</f>
        <v>0</v>
      </c>
      <c r="J763" s="30">
        <f>_xlfn.XLOOKUP(Tabla2757[[#This Row],[Cargo]], Tabla958[Cargos], Tabla958[Ponderador Precio],0,1,1)</f>
        <v>0</v>
      </c>
      <c r="K763" s="30">
        <f>Tabla2757[[#This Row],[Precio por hora UF]]*Tabla2757[[#This Row],[Ponderador]]</f>
        <v>0</v>
      </c>
      <c r="L763" s="40">
        <v>0</v>
      </c>
      <c r="M763" s="30">
        <f>Tabla2757[[#This Row],[Precio por hora]]*Tabla2757[[#This Row],[Cantidad horas]]</f>
        <v>0</v>
      </c>
      <c r="N763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764" spans="2:14" x14ac:dyDescent="0.3">
      <c r="B764" s="28"/>
      <c r="C764" s="20"/>
      <c r="E764" s="136"/>
      <c r="F764" s="177">
        <f>_xlfn.XLOOKUP(Tabla2757[[#This Row],[Tipo de venta]],Tabla2329[Tipo de venta],Tabla2329[Moneda final], "Error - Seleccionar Tipo de Venta", 0,1)</f>
        <v>0</v>
      </c>
      <c r="G764" s="178"/>
      <c r="H764" s="21"/>
      <c r="I764" s="30">
        <f>_xlfn.XLOOKUP(Tabla2757[[#This Row],[Puesto Encargado]], Tabla9[Puesto], Tabla9[Precio cliente],0,1,1)</f>
        <v>0</v>
      </c>
      <c r="J764" s="30">
        <f>_xlfn.XLOOKUP(Tabla2757[[#This Row],[Cargo]], Tabla958[Cargos], Tabla958[Ponderador Precio],0,1,1)</f>
        <v>0</v>
      </c>
      <c r="K764" s="30">
        <f>Tabla2757[[#This Row],[Precio por hora UF]]*Tabla2757[[#This Row],[Ponderador]]</f>
        <v>0</v>
      </c>
      <c r="L764" s="40">
        <v>0</v>
      </c>
      <c r="M764" s="30">
        <f>Tabla2757[[#This Row],[Precio por hora]]*Tabla2757[[#This Row],[Cantidad horas]]</f>
        <v>0</v>
      </c>
      <c r="N764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765" spans="2:14" x14ac:dyDescent="0.3">
      <c r="B765" s="28"/>
      <c r="C765" s="20"/>
      <c r="E765" s="136"/>
      <c r="F765" s="177">
        <f>_xlfn.XLOOKUP(Tabla2757[[#This Row],[Tipo de venta]],Tabla2329[Tipo de venta],Tabla2329[Moneda final], "Error - Seleccionar Tipo de Venta", 0,1)</f>
        <v>0</v>
      </c>
      <c r="G765" s="178"/>
      <c r="H765" s="21"/>
      <c r="I765" s="30">
        <f>_xlfn.XLOOKUP(Tabla2757[[#This Row],[Puesto Encargado]], Tabla9[Puesto], Tabla9[Precio cliente],0,1,1)</f>
        <v>0</v>
      </c>
      <c r="J765" s="30">
        <f>_xlfn.XLOOKUP(Tabla2757[[#This Row],[Cargo]], Tabla958[Cargos], Tabla958[Ponderador Precio],0,1,1)</f>
        <v>0</v>
      </c>
      <c r="K765" s="30">
        <f>Tabla2757[[#This Row],[Precio por hora UF]]*Tabla2757[[#This Row],[Ponderador]]</f>
        <v>0</v>
      </c>
      <c r="L765" s="40">
        <v>0</v>
      </c>
      <c r="M765" s="30">
        <f>Tabla2757[[#This Row],[Precio por hora]]*Tabla2757[[#This Row],[Cantidad horas]]</f>
        <v>0</v>
      </c>
      <c r="N765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766" spans="2:14" x14ac:dyDescent="0.3">
      <c r="B766" s="28"/>
      <c r="C766" s="20"/>
      <c r="E766" s="136"/>
      <c r="F766" s="177">
        <f>_xlfn.XLOOKUP(Tabla2757[[#This Row],[Tipo de venta]],Tabla2329[Tipo de venta],Tabla2329[Moneda final], "Error - Seleccionar Tipo de Venta", 0,1)</f>
        <v>0</v>
      </c>
      <c r="G766" s="178"/>
      <c r="H766" s="21"/>
      <c r="I766" s="30">
        <f>_xlfn.XLOOKUP(Tabla2757[[#This Row],[Puesto Encargado]], Tabla9[Puesto], Tabla9[Precio cliente],0,1,1)</f>
        <v>0</v>
      </c>
      <c r="J766" s="30">
        <f>_xlfn.XLOOKUP(Tabla2757[[#This Row],[Cargo]], Tabla958[Cargos], Tabla958[Ponderador Precio],0,1,1)</f>
        <v>0</v>
      </c>
      <c r="K766" s="30">
        <f>Tabla2757[[#This Row],[Precio por hora UF]]*Tabla2757[[#This Row],[Ponderador]]</f>
        <v>0</v>
      </c>
      <c r="L766" s="40">
        <v>0</v>
      </c>
      <c r="M766" s="30">
        <f>Tabla2757[[#This Row],[Precio por hora]]*Tabla2757[[#This Row],[Cantidad horas]]</f>
        <v>0</v>
      </c>
      <c r="N766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767" spans="2:14" x14ac:dyDescent="0.3">
      <c r="B767" s="28"/>
      <c r="C767" s="20"/>
      <c r="E767" s="136"/>
      <c r="F767" s="177">
        <f>_xlfn.XLOOKUP(Tabla2757[[#This Row],[Tipo de venta]],Tabla2329[Tipo de venta],Tabla2329[Moneda final], "Error - Seleccionar Tipo de Venta", 0,1)</f>
        <v>0</v>
      </c>
      <c r="G767" s="178"/>
      <c r="H767" s="21"/>
      <c r="I767" s="30">
        <f>_xlfn.XLOOKUP(Tabla2757[[#This Row],[Puesto Encargado]], Tabla9[Puesto], Tabla9[Precio cliente],0,1,1)</f>
        <v>0</v>
      </c>
      <c r="J767" s="30">
        <f>_xlfn.XLOOKUP(Tabla2757[[#This Row],[Cargo]], Tabla958[Cargos], Tabla958[Ponderador Precio],0,1,1)</f>
        <v>0</v>
      </c>
      <c r="K767" s="30">
        <f>Tabla2757[[#This Row],[Precio por hora UF]]*Tabla2757[[#This Row],[Ponderador]]</f>
        <v>0</v>
      </c>
      <c r="L767" s="40">
        <v>0</v>
      </c>
      <c r="M767" s="30">
        <f>Tabla2757[[#This Row],[Precio por hora]]*Tabla2757[[#This Row],[Cantidad horas]]</f>
        <v>0</v>
      </c>
      <c r="N767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768" spans="2:14" x14ac:dyDescent="0.3">
      <c r="B768" s="28"/>
      <c r="C768" s="20"/>
      <c r="E768" s="136"/>
      <c r="F768" s="177">
        <f>_xlfn.XLOOKUP(Tabla2757[[#This Row],[Tipo de venta]],Tabla2329[Tipo de venta],Tabla2329[Moneda final], "Error - Seleccionar Tipo de Venta", 0,1)</f>
        <v>0</v>
      </c>
      <c r="G768" s="178"/>
      <c r="H768" s="21"/>
      <c r="I768" s="30">
        <f>_xlfn.XLOOKUP(Tabla2757[[#This Row],[Puesto Encargado]], Tabla9[Puesto], Tabla9[Precio cliente],0,1,1)</f>
        <v>0</v>
      </c>
      <c r="J768" s="30">
        <f>_xlfn.XLOOKUP(Tabla2757[[#This Row],[Cargo]], Tabla958[Cargos], Tabla958[Ponderador Precio],0,1,1)</f>
        <v>0</v>
      </c>
      <c r="K768" s="30">
        <f>Tabla2757[[#This Row],[Precio por hora UF]]*Tabla2757[[#This Row],[Ponderador]]</f>
        <v>0</v>
      </c>
      <c r="L768" s="40">
        <v>0</v>
      </c>
      <c r="M768" s="30">
        <f>Tabla2757[[#This Row],[Precio por hora]]*Tabla2757[[#This Row],[Cantidad horas]]</f>
        <v>0</v>
      </c>
      <c r="N768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769" spans="2:14" x14ac:dyDescent="0.3">
      <c r="B769" s="28"/>
      <c r="C769" s="20"/>
      <c r="E769" s="136"/>
      <c r="F769" s="177">
        <f>_xlfn.XLOOKUP(Tabla2757[[#This Row],[Tipo de venta]],Tabla2329[Tipo de venta],Tabla2329[Moneda final], "Error - Seleccionar Tipo de Venta", 0,1)</f>
        <v>0</v>
      </c>
      <c r="G769" s="178"/>
      <c r="H769" s="21"/>
      <c r="I769" s="30">
        <f>_xlfn.XLOOKUP(Tabla2757[[#This Row],[Puesto Encargado]], Tabla9[Puesto], Tabla9[Precio cliente],0,1,1)</f>
        <v>0</v>
      </c>
      <c r="J769" s="30">
        <f>_xlfn.XLOOKUP(Tabla2757[[#This Row],[Cargo]], Tabla958[Cargos], Tabla958[Ponderador Precio],0,1,1)</f>
        <v>0</v>
      </c>
      <c r="K769" s="30">
        <f>Tabla2757[[#This Row],[Precio por hora UF]]*Tabla2757[[#This Row],[Ponderador]]</f>
        <v>0</v>
      </c>
      <c r="L769" s="40">
        <v>0</v>
      </c>
      <c r="M769" s="30">
        <f>Tabla2757[[#This Row],[Precio por hora]]*Tabla2757[[#This Row],[Cantidad horas]]</f>
        <v>0</v>
      </c>
      <c r="N769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770" spans="2:14" x14ac:dyDescent="0.3">
      <c r="B770" s="28"/>
      <c r="C770" s="20"/>
      <c r="E770" s="136"/>
      <c r="F770" s="177">
        <f>_xlfn.XLOOKUP(Tabla2757[[#This Row],[Tipo de venta]],Tabla2329[Tipo de venta],Tabla2329[Moneda final], "Error - Seleccionar Tipo de Venta", 0,1)</f>
        <v>0</v>
      </c>
      <c r="G770" s="178"/>
      <c r="H770" s="21"/>
      <c r="I770" s="30">
        <f>_xlfn.XLOOKUP(Tabla2757[[#This Row],[Puesto Encargado]], Tabla9[Puesto], Tabla9[Precio cliente],0,1,1)</f>
        <v>0</v>
      </c>
      <c r="J770" s="30">
        <f>_xlfn.XLOOKUP(Tabla2757[[#This Row],[Cargo]], Tabla958[Cargos], Tabla958[Ponderador Precio],0,1,1)</f>
        <v>0</v>
      </c>
      <c r="K770" s="30">
        <f>Tabla2757[[#This Row],[Precio por hora UF]]*Tabla2757[[#This Row],[Ponderador]]</f>
        <v>0</v>
      </c>
      <c r="L770" s="40">
        <v>0</v>
      </c>
      <c r="M770" s="30">
        <f>Tabla2757[[#This Row],[Precio por hora]]*Tabla2757[[#This Row],[Cantidad horas]]</f>
        <v>0</v>
      </c>
      <c r="N770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771" spans="2:14" x14ac:dyDescent="0.3">
      <c r="B771" s="28"/>
      <c r="C771" s="20"/>
      <c r="E771" s="136"/>
      <c r="F771" s="177">
        <f>_xlfn.XLOOKUP(Tabla2757[[#This Row],[Tipo de venta]],Tabla2329[Tipo de venta],Tabla2329[Moneda final], "Error - Seleccionar Tipo de Venta", 0,1)</f>
        <v>0</v>
      </c>
      <c r="G771" s="178"/>
      <c r="H771" s="21"/>
      <c r="I771" s="30">
        <f>_xlfn.XLOOKUP(Tabla2757[[#This Row],[Puesto Encargado]], Tabla9[Puesto], Tabla9[Precio cliente],0,1,1)</f>
        <v>0</v>
      </c>
      <c r="J771" s="30">
        <f>_xlfn.XLOOKUP(Tabla2757[[#This Row],[Cargo]], Tabla958[Cargos], Tabla958[Ponderador Precio],0,1,1)</f>
        <v>0</v>
      </c>
      <c r="K771" s="30">
        <f>Tabla2757[[#This Row],[Precio por hora UF]]*Tabla2757[[#This Row],[Ponderador]]</f>
        <v>0</v>
      </c>
      <c r="L771" s="40">
        <v>0</v>
      </c>
      <c r="M771" s="30">
        <f>Tabla2757[[#This Row],[Precio por hora]]*Tabla2757[[#This Row],[Cantidad horas]]</f>
        <v>0</v>
      </c>
      <c r="N771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772" spans="2:14" x14ac:dyDescent="0.3">
      <c r="B772" s="28"/>
      <c r="C772" s="20"/>
      <c r="E772" s="136"/>
      <c r="F772" s="177">
        <f>_xlfn.XLOOKUP(Tabla2757[[#This Row],[Tipo de venta]],Tabla2329[Tipo de venta],Tabla2329[Moneda final], "Error - Seleccionar Tipo de Venta", 0,1)</f>
        <v>0</v>
      </c>
      <c r="G772" s="178"/>
      <c r="H772" s="21"/>
      <c r="I772" s="30">
        <f>_xlfn.XLOOKUP(Tabla2757[[#This Row],[Puesto Encargado]], Tabla9[Puesto], Tabla9[Precio cliente],0,1,1)</f>
        <v>0</v>
      </c>
      <c r="J772" s="30">
        <f>_xlfn.XLOOKUP(Tabla2757[[#This Row],[Cargo]], Tabla958[Cargos], Tabla958[Ponderador Precio],0,1,1)</f>
        <v>0</v>
      </c>
      <c r="K772" s="30">
        <f>Tabla2757[[#This Row],[Precio por hora UF]]*Tabla2757[[#This Row],[Ponderador]]</f>
        <v>0</v>
      </c>
      <c r="L772" s="40">
        <v>0</v>
      </c>
      <c r="M772" s="30">
        <f>Tabla2757[[#This Row],[Precio por hora]]*Tabla2757[[#This Row],[Cantidad horas]]</f>
        <v>0</v>
      </c>
      <c r="N772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773" spans="2:14" x14ac:dyDescent="0.3">
      <c r="B773" s="28"/>
      <c r="C773" s="20"/>
      <c r="E773" s="136"/>
      <c r="F773" s="177">
        <f>_xlfn.XLOOKUP(Tabla2757[[#This Row],[Tipo de venta]],Tabla2329[Tipo de venta],Tabla2329[Moneda final], "Error - Seleccionar Tipo de Venta", 0,1)</f>
        <v>0</v>
      </c>
      <c r="G773" s="178"/>
      <c r="H773" s="21"/>
      <c r="I773" s="30">
        <f>_xlfn.XLOOKUP(Tabla2757[[#This Row],[Puesto Encargado]], Tabla9[Puesto], Tabla9[Precio cliente],0,1,1)</f>
        <v>0</v>
      </c>
      <c r="J773" s="30">
        <f>_xlfn.XLOOKUP(Tabla2757[[#This Row],[Cargo]], Tabla958[Cargos], Tabla958[Ponderador Precio],0,1,1)</f>
        <v>0</v>
      </c>
      <c r="K773" s="30">
        <f>Tabla2757[[#This Row],[Precio por hora UF]]*Tabla2757[[#This Row],[Ponderador]]</f>
        <v>0</v>
      </c>
      <c r="L773" s="40">
        <v>0</v>
      </c>
      <c r="M773" s="30">
        <f>Tabla2757[[#This Row],[Precio por hora]]*Tabla2757[[#This Row],[Cantidad horas]]</f>
        <v>0</v>
      </c>
      <c r="N773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774" spans="2:14" x14ac:dyDescent="0.3">
      <c r="B774" s="28"/>
      <c r="C774" s="20"/>
      <c r="E774" s="136"/>
      <c r="F774" s="177">
        <f>_xlfn.XLOOKUP(Tabla2757[[#This Row],[Tipo de venta]],Tabla2329[Tipo de venta],Tabla2329[Moneda final], "Error - Seleccionar Tipo de Venta", 0,1)</f>
        <v>0</v>
      </c>
      <c r="G774" s="178"/>
      <c r="H774" s="21"/>
      <c r="I774" s="30">
        <f>_xlfn.XLOOKUP(Tabla2757[[#This Row],[Puesto Encargado]], Tabla9[Puesto], Tabla9[Precio cliente],0,1,1)</f>
        <v>0</v>
      </c>
      <c r="J774" s="30">
        <f>_xlfn.XLOOKUP(Tabla2757[[#This Row],[Cargo]], Tabla958[Cargos], Tabla958[Ponderador Precio],0,1,1)</f>
        <v>0</v>
      </c>
      <c r="K774" s="30">
        <f>Tabla2757[[#This Row],[Precio por hora UF]]*Tabla2757[[#This Row],[Ponderador]]</f>
        <v>0</v>
      </c>
      <c r="L774" s="40">
        <v>0</v>
      </c>
      <c r="M774" s="30">
        <f>Tabla2757[[#This Row],[Precio por hora]]*Tabla2757[[#This Row],[Cantidad horas]]</f>
        <v>0</v>
      </c>
      <c r="N774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775" spans="2:14" x14ac:dyDescent="0.3">
      <c r="B775" s="28"/>
      <c r="C775" s="20"/>
      <c r="E775" s="136"/>
      <c r="F775" s="177">
        <f>_xlfn.XLOOKUP(Tabla2757[[#This Row],[Tipo de venta]],Tabla2329[Tipo de venta],Tabla2329[Moneda final], "Error - Seleccionar Tipo de Venta", 0,1)</f>
        <v>0</v>
      </c>
      <c r="G775" s="178"/>
      <c r="H775" s="21"/>
      <c r="I775" s="30">
        <f>_xlfn.XLOOKUP(Tabla2757[[#This Row],[Puesto Encargado]], Tabla9[Puesto], Tabla9[Precio cliente],0,1,1)</f>
        <v>0</v>
      </c>
      <c r="J775" s="30">
        <f>_xlfn.XLOOKUP(Tabla2757[[#This Row],[Cargo]], Tabla958[Cargos], Tabla958[Ponderador Precio],0,1,1)</f>
        <v>0</v>
      </c>
      <c r="K775" s="30">
        <f>Tabla2757[[#This Row],[Precio por hora UF]]*Tabla2757[[#This Row],[Ponderador]]</f>
        <v>0</v>
      </c>
      <c r="L775" s="40">
        <v>0</v>
      </c>
      <c r="M775" s="30">
        <f>Tabla2757[[#This Row],[Precio por hora]]*Tabla2757[[#This Row],[Cantidad horas]]</f>
        <v>0</v>
      </c>
      <c r="N775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776" spans="2:14" x14ac:dyDescent="0.3">
      <c r="B776" s="28"/>
      <c r="C776" s="20"/>
      <c r="E776" s="136"/>
      <c r="F776" s="177">
        <f>_xlfn.XLOOKUP(Tabla2757[[#This Row],[Tipo de venta]],Tabla2329[Tipo de venta],Tabla2329[Moneda final], "Error - Seleccionar Tipo de Venta", 0,1)</f>
        <v>0</v>
      </c>
      <c r="G776" s="178"/>
      <c r="H776" s="21"/>
      <c r="I776" s="30">
        <f>_xlfn.XLOOKUP(Tabla2757[[#This Row],[Puesto Encargado]], Tabla9[Puesto], Tabla9[Precio cliente],0,1,1)</f>
        <v>0</v>
      </c>
      <c r="J776" s="30">
        <f>_xlfn.XLOOKUP(Tabla2757[[#This Row],[Cargo]], Tabla958[Cargos], Tabla958[Ponderador Precio],0,1,1)</f>
        <v>0</v>
      </c>
      <c r="K776" s="30">
        <f>Tabla2757[[#This Row],[Precio por hora UF]]*Tabla2757[[#This Row],[Ponderador]]</f>
        <v>0</v>
      </c>
      <c r="L776" s="40">
        <v>0</v>
      </c>
      <c r="M776" s="30">
        <f>Tabla2757[[#This Row],[Precio por hora]]*Tabla2757[[#This Row],[Cantidad horas]]</f>
        <v>0</v>
      </c>
      <c r="N776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777" spans="2:14" x14ac:dyDescent="0.3">
      <c r="B777" s="28"/>
      <c r="C777" s="20"/>
      <c r="E777" s="136"/>
      <c r="F777" s="177">
        <f>_xlfn.XLOOKUP(Tabla2757[[#This Row],[Tipo de venta]],Tabla2329[Tipo de venta],Tabla2329[Moneda final], "Error - Seleccionar Tipo de Venta", 0,1)</f>
        <v>0</v>
      </c>
      <c r="G777" s="178"/>
      <c r="H777" s="21"/>
      <c r="I777" s="30">
        <f>_xlfn.XLOOKUP(Tabla2757[[#This Row],[Puesto Encargado]], Tabla9[Puesto], Tabla9[Precio cliente],0,1,1)</f>
        <v>0</v>
      </c>
      <c r="J777" s="30">
        <f>_xlfn.XLOOKUP(Tabla2757[[#This Row],[Cargo]], Tabla958[Cargos], Tabla958[Ponderador Precio],0,1,1)</f>
        <v>0</v>
      </c>
      <c r="K777" s="30">
        <f>Tabla2757[[#This Row],[Precio por hora UF]]*Tabla2757[[#This Row],[Ponderador]]</f>
        <v>0</v>
      </c>
      <c r="L777" s="40">
        <v>0</v>
      </c>
      <c r="M777" s="30">
        <f>Tabla2757[[#This Row],[Precio por hora]]*Tabla2757[[#This Row],[Cantidad horas]]</f>
        <v>0</v>
      </c>
      <c r="N777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778" spans="2:14" x14ac:dyDescent="0.3">
      <c r="B778" s="28"/>
      <c r="C778" s="20"/>
      <c r="E778" s="136"/>
      <c r="F778" s="177">
        <f>_xlfn.XLOOKUP(Tabla2757[[#This Row],[Tipo de venta]],Tabla2329[Tipo de venta],Tabla2329[Moneda final], "Error - Seleccionar Tipo de Venta", 0,1)</f>
        <v>0</v>
      </c>
      <c r="G778" s="178"/>
      <c r="H778" s="21"/>
      <c r="I778" s="30">
        <f>_xlfn.XLOOKUP(Tabla2757[[#This Row],[Puesto Encargado]], Tabla9[Puesto], Tabla9[Precio cliente],0,1,1)</f>
        <v>0</v>
      </c>
      <c r="J778" s="30">
        <f>_xlfn.XLOOKUP(Tabla2757[[#This Row],[Cargo]], Tabla958[Cargos], Tabla958[Ponderador Precio],0,1,1)</f>
        <v>0</v>
      </c>
      <c r="K778" s="30">
        <f>Tabla2757[[#This Row],[Precio por hora UF]]*Tabla2757[[#This Row],[Ponderador]]</f>
        <v>0</v>
      </c>
      <c r="L778" s="40">
        <v>0</v>
      </c>
      <c r="M778" s="30">
        <f>Tabla2757[[#This Row],[Precio por hora]]*Tabla2757[[#This Row],[Cantidad horas]]</f>
        <v>0</v>
      </c>
      <c r="N778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779" spans="2:14" x14ac:dyDescent="0.3">
      <c r="B779" s="28"/>
      <c r="C779" s="20"/>
      <c r="E779" s="136"/>
      <c r="F779" s="177">
        <f>_xlfn.XLOOKUP(Tabla2757[[#This Row],[Tipo de venta]],Tabla2329[Tipo de venta],Tabla2329[Moneda final], "Error - Seleccionar Tipo de Venta", 0,1)</f>
        <v>0</v>
      </c>
      <c r="G779" s="178"/>
      <c r="H779" s="21"/>
      <c r="I779" s="30">
        <f>_xlfn.XLOOKUP(Tabla2757[[#This Row],[Puesto Encargado]], Tabla9[Puesto], Tabla9[Precio cliente],0,1,1)</f>
        <v>0</v>
      </c>
      <c r="J779" s="30">
        <f>_xlfn.XLOOKUP(Tabla2757[[#This Row],[Cargo]], Tabla958[Cargos], Tabla958[Ponderador Precio],0,1,1)</f>
        <v>0</v>
      </c>
      <c r="K779" s="30">
        <f>Tabla2757[[#This Row],[Precio por hora UF]]*Tabla2757[[#This Row],[Ponderador]]</f>
        <v>0</v>
      </c>
      <c r="L779" s="40">
        <v>0</v>
      </c>
      <c r="M779" s="30">
        <f>Tabla2757[[#This Row],[Precio por hora]]*Tabla2757[[#This Row],[Cantidad horas]]</f>
        <v>0</v>
      </c>
      <c r="N779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780" spans="2:14" x14ac:dyDescent="0.3">
      <c r="B780" s="28"/>
      <c r="C780" s="20"/>
      <c r="E780" s="136"/>
      <c r="F780" s="177">
        <f>_xlfn.XLOOKUP(Tabla2757[[#This Row],[Tipo de venta]],Tabla2329[Tipo de venta],Tabla2329[Moneda final], "Error - Seleccionar Tipo de Venta", 0,1)</f>
        <v>0</v>
      </c>
      <c r="G780" s="178"/>
      <c r="H780" s="21"/>
      <c r="I780" s="30">
        <f>_xlfn.XLOOKUP(Tabla2757[[#This Row],[Puesto Encargado]], Tabla9[Puesto], Tabla9[Precio cliente],0,1,1)</f>
        <v>0</v>
      </c>
      <c r="J780" s="30">
        <f>_xlfn.XLOOKUP(Tabla2757[[#This Row],[Cargo]], Tabla958[Cargos], Tabla958[Ponderador Precio],0,1,1)</f>
        <v>0</v>
      </c>
      <c r="K780" s="30">
        <f>Tabla2757[[#This Row],[Precio por hora UF]]*Tabla2757[[#This Row],[Ponderador]]</f>
        <v>0</v>
      </c>
      <c r="L780" s="40">
        <v>0</v>
      </c>
      <c r="M780" s="30">
        <f>Tabla2757[[#This Row],[Precio por hora]]*Tabla2757[[#This Row],[Cantidad horas]]</f>
        <v>0</v>
      </c>
      <c r="N780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781" spans="2:14" x14ac:dyDescent="0.3">
      <c r="B781" s="28"/>
      <c r="C781" s="20"/>
      <c r="E781" s="136"/>
      <c r="F781" s="177">
        <f>_xlfn.XLOOKUP(Tabla2757[[#This Row],[Tipo de venta]],Tabla2329[Tipo de venta],Tabla2329[Moneda final], "Error - Seleccionar Tipo de Venta", 0,1)</f>
        <v>0</v>
      </c>
      <c r="G781" s="178"/>
      <c r="H781" s="21"/>
      <c r="I781" s="30">
        <f>_xlfn.XLOOKUP(Tabla2757[[#This Row],[Puesto Encargado]], Tabla9[Puesto], Tabla9[Precio cliente],0,1,1)</f>
        <v>0</v>
      </c>
      <c r="J781" s="30">
        <f>_xlfn.XLOOKUP(Tabla2757[[#This Row],[Cargo]], Tabla958[Cargos], Tabla958[Ponderador Precio],0,1,1)</f>
        <v>0</v>
      </c>
      <c r="K781" s="30">
        <f>Tabla2757[[#This Row],[Precio por hora UF]]*Tabla2757[[#This Row],[Ponderador]]</f>
        <v>0</v>
      </c>
      <c r="L781" s="40">
        <v>0</v>
      </c>
      <c r="M781" s="30">
        <f>Tabla2757[[#This Row],[Precio por hora]]*Tabla2757[[#This Row],[Cantidad horas]]</f>
        <v>0</v>
      </c>
      <c r="N781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782" spans="2:14" x14ac:dyDescent="0.3">
      <c r="B782" s="28"/>
      <c r="C782" s="20"/>
      <c r="E782" s="136"/>
      <c r="F782" s="177">
        <f>_xlfn.XLOOKUP(Tabla2757[[#This Row],[Tipo de venta]],Tabla2329[Tipo de venta],Tabla2329[Moneda final], "Error - Seleccionar Tipo de Venta", 0,1)</f>
        <v>0</v>
      </c>
      <c r="G782" s="178"/>
      <c r="H782" s="21"/>
      <c r="I782" s="30">
        <f>_xlfn.XLOOKUP(Tabla2757[[#This Row],[Puesto Encargado]], Tabla9[Puesto], Tabla9[Precio cliente],0,1,1)</f>
        <v>0</v>
      </c>
      <c r="J782" s="30">
        <f>_xlfn.XLOOKUP(Tabla2757[[#This Row],[Cargo]], Tabla958[Cargos], Tabla958[Ponderador Precio],0,1,1)</f>
        <v>0</v>
      </c>
      <c r="K782" s="30">
        <f>Tabla2757[[#This Row],[Precio por hora UF]]*Tabla2757[[#This Row],[Ponderador]]</f>
        <v>0</v>
      </c>
      <c r="L782" s="40">
        <v>0</v>
      </c>
      <c r="M782" s="30">
        <f>Tabla2757[[#This Row],[Precio por hora]]*Tabla2757[[#This Row],[Cantidad horas]]</f>
        <v>0</v>
      </c>
      <c r="N782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783" spans="2:14" x14ac:dyDescent="0.3">
      <c r="B783" s="28"/>
      <c r="C783" s="20"/>
      <c r="E783" s="136"/>
      <c r="F783" s="177">
        <f>_xlfn.XLOOKUP(Tabla2757[[#This Row],[Tipo de venta]],Tabla2329[Tipo de venta],Tabla2329[Moneda final], "Error - Seleccionar Tipo de Venta", 0,1)</f>
        <v>0</v>
      </c>
      <c r="G783" s="178"/>
      <c r="H783" s="21"/>
      <c r="I783" s="30">
        <f>_xlfn.XLOOKUP(Tabla2757[[#This Row],[Puesto Encargado]], Tabla9[Puesto], Tabla9[Precio cliente],0,1,1)</f>
        <v>0</v>
      </c>
      <c r="J783" s="30">
        <f>_xlfn.XLOOKUP(Tabla2757[[#This Row],[Cargo]], Tabla958[Cargos], Tabla958[Ponderador Precio],0,1,1)</f>
        <v>0</v>
      </c>
      <c r="K783" s="30">
        <f>Tabla2757[[#This Row],[Precio por hora UF]]*Tabla2757[[#This Row],[Ponderador]]</f>
        <v>0</v>
      </c>
      <c r="L783" s="40">
        <v>0</v>
      </c>
      <c r="M783" s="30">
        <f>Tabla2757[[#This Row],[Precio por hora]]*Tabla2757[[#This Row],[Cantidad horas]]</f>
        <v>0</v>
      </c>
      <c r="N783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784" spans="2:14" x14ac:dyDescent="0.3">
      <c r="B784" s="28"/>
      <c r="C784" s="20"/>
      <c r="E784" s="136"/>
      <c r="F784" s="177">
        <f>_xlfn.XLOOKUP(Tabla2757[[#This Row],[Tipo de venta]],Tabla2329[Tipo de venta],Tabla2329[Moneda final], "Error - Seleccionar Tipo de Venta", 0,1)</f>
        <v>0</v>
      </c>
      <c r="G784" s="178"/>
      <c r="H784" s="21"/>
      <c r="I784" s="30">
        <f>_xlfn.XLOOKUP(Tabla2757[[#This Row],[Puesto Encargado]], Tabla9[Puesto], Tabla9[Precio cliente],0,1,1)</f>
        <v>0</v>
      </c>
      <c r="J784" s="30">
        <f>_xlfn.XLOOKUP(Tabla2757[[#This Row],[Cargo]], Tabla958[Cargos], Tabla958[Ponderador Precio],0,1,1)</f>
        <v>0</v>
      </c>
      <c r="K784" s="30">
        <f>Tabla2757[[#This Row],[Precio por hora UF]]*Tabla2757[[#This Row],[Ponderador]]</f>
        <v>0</v>
      </c>
      <c r="L784" s="40">
        <v>0</v>
      </c>
      <c r="M784" s="30">
        <f>Tabla2757[[#This Row],[Precio por hora]]*Tabla2757[[#This Row],[Cantidad horas]]</f>
        <v>0</v>
      </c>
      <c r="N784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785" spans="2:14" x14ac:dyDescent="0.3">
      <c r="B785" s="28"/>
      <c r="C785" s="20"/>
      <c r="E785" s="136"/>
      <c r="F785" s="177">
        <f>_xlfn.XLOOKUP(Tabla2757[[#This Row],[Tipo de venta]],Tabla2329[Tipo de venta],Tabla2329[Moneda final], "Error - Seleccionar Tipo de Venta", 0,1)</f>
        <v>0</v>
      </c>
      <c r="G785" s="178"/>
      <c r="H785" s="21"/>
      <c r="I785" s="30">
        <f>_xlfn.XLOOKUP(Tabla2757[[#This Row],[Puesto Encargado]], Tabla9[Puesto], Tabla9[Precio cliente],0,1,1)</f>
        <v>0</v>
      </c>
      <c r="J785" s="30">
        <f>_xlfn.XLOOKUP(Tabla2757[[#This Row],[Cargo]], Tabla958[Cargos], Tabla958[Ponderador Precio],0,1,1)</f>
        <v>0</v>
      </c>
      <c r="K785" s="30">
        <f>Tabla2757[[#This Row],[Precio por hora UF]]*Tabla2757[[#This Row],[Ponderador]]</f>
        <v>0</v>
      </c>
      <c r="L785" s="40">
        <v>0</v>
      </c>
      <c r="M785" s="30">
        <f>Tabla2757[[#This Row],[Precio por hora]]*Tabla2757[[#This Row],[Cantidad horas]]</f>
        <v>0</v>
      </c>
      <c r="N785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786" spans="2:14" x14ac:dyDescent="0.3">
      <c r="B786" s="28"/>
      <c r="C786" s="20"/>
      <c r="E786" s="136"/>
      <c r="F786" s="177">
        <f>_xlfn.XLOOKUP(Tabla2757[[#This Row],[Tipo de venta]],Tabla2329[Tipo de venta],Tabla2329[Moneda final], "Error - Seleccionar Tipo de Venta", 0,1)</f>
        <v>0</v>
      </c>
      <c r="G786" s="178"/>
      <c r="H786" s="21"/>
      <c r="I786" s="30">
        <f>_xlfn.XLOOKUP(Tabla2757[[#This Row],[Puesto Encargado]], Tabla9[Puesto], Tabla9[Precio cliente],0,1,1)</f>
        <v>0</v>
      </c>
      <c r="J786" s="30">
        <f>_xlfn.XLOOKUP(Tabla2757[[#This Row],[Cargo]], Tabla958[Cargos], Tabla958[Ponderador Precio],0,1,1)</f>
        <v>0</v>
      </c>
      <c r="K786" s="30">
        <f>Tabla2757[[#This Row],[Precio por hora UF]]*Tabla2757[[#This Row],[Ponderador]]</f>
        <v>0</v>
      </c>
      <c r="L786" s="40">
        <v>0</v>
      </c>
      <c r="M786" s="30">
        <f>Tabla2757[[#This Row],[Precio por hora]]*Tabla2757[[#This Row],[Cantidad horas]]</f>
        <v>0</v>
      </c>
      <c r="N786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787" spans="2:14" x14ac:dyDescent="0.3">
      <c r="B787" s="28"/>
      <c r="C787" s="20"/>
      <c r="E787" s="136"/>
      <c r="F787" s="177">
        <f>_xlfn.XLOOKUP(Tabla2757[[#This Row],[Tipo de venta]],Tabla2329[Tipo de venta],Tabla2329[Moneda final], "Error - Seleccionar Tipo de Venta", 0,1)</f>
        <v>0</v>
      </c>
      <c r="G787" s="178"/>
      <c r="H787" s="21"/>
      <c r="I787" s="30">
        <f>_xlfn.XLOOKUP(Tabla2757[[#This Row],[Puesto Encargado]], Tabla9[Puesto], Tabla9[Precio cliente],0,1,1)</f>
        <v>0</v>
      </c>
      <c r="J787" s="30">
        <f>_xlfn.XLOOKUP(Tabla2757[[#This Row],[Cargo]], Tabla958[Cargos], Tabla958[Ponderador Precio],0,1,1)</f>
        <v>0</v>
      </c>
      <c r="K787" s="30">
        <f>Tabla2757[[#This Row],[Precio por hora UF]]*Tabla2757[[#This Row],[Ponderador]]</f>
        <v>0</v>
      </c>
      <c r="L787" s="40">
        <v>0</v>
      </c>
      <c r="M787" s="30">
        <f>Tabla2757[[#This Row],[Precio por hora]]*Tabla2757[[#This Row],[Cantidad horas]]</f>
        <v>0</v>
      </c>
      <c r="N787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788" spans="2:14" x14ac:dyDescent="0.3">
      <c r="B788" s="28"/>
      <c r="C788" s="20"/>
      <c r="E788" s="136"/>
      <c r="F788" s="177">
        <f>_xlfn.XLOOKUP(Tabla2757[[#This Row],[Tipo de venta]],Tabla2329[Tipo de venta],Tabla2329[Moneda final], "Error - Seleccionar Tipo de Venta", 0,1)</f>
        <v>0</v>
      </c>
      <c r="G788" s="178"/>
      <c r="H788" s="21"/>
      <c r="I788" s="30">
        <f>_xlfn.XLOOKUP(Tabla2757[[#This Row],[Puesto Encargado]], Tabla9[Puesto], Tabla9[Precio cliente],0,1,1)</f>
        <v>0</v>
      </c>
      <c r="J788" s="30">
        <f>_xlfn.XLOOKUP(Tabla2757[[#This Row],[Cargo]], Tabla958[Cargos], Tabla958[Ponderador Precio],0,1,1)</f>
        <v>0</v>
      </c>
      <c r="K788" s="30">
        <f>Tabla2757[[#This Row],[Precio por hora UF]]*Tabla2757[[#This Row],[Ponderador]]</f>
        <v>0</v>
      </c>
      <c r="L788" s="40">
        <v>0</v>
      </c>
      <c r="M788" s="30">
        <f>Tabla2757[[#This Row],[Precio por hora]]*Tabla2757[[#This Row],[Cantidad horas]]</f>
        <v>0</v>
      </c>
      <c r="N788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789" spans="2:14" x14ac:dyDescent="0.3">
      <c r="B789" s="28"/>
      <c r="C789" s="20"/>
      <c r="E789" s="136"/>
      <c r="F789" s="177">
        <f>_xlfn.XLOOKUP(Tabla2757[[#This Row],[Tipo de venta]],Tabla2329[Tipo de venta],Tabla2329[Moneda final], "Error - Seleccionar Tipo de Venta", 0,1)</f>
        <v>0</v>
      </c>
      <c r="G789" s="178"/>
      <c r="H789" s="21"/>
      <c r="I789" s="30">
        <f>_xlfn.XLOOKUP(Tabla2757[[#This Row],[Puesto Encargado]], Tabla9[Puesto], Tabla9[Precio cliente],0,1,1)</f>
        <v>0</v>
      </c>
      <c r="J789" s="30">
        <f>_xlfn.XLOOKUP(Tabla2757[[#This Row],[Cargo]], Tabla958[Cargos], Tabla958[Ponderador Precio],0,1,1)</f>
        <v>0</v>
      </c>
      <c r="K789" s="30">
        <f>Tabla2757[[#This Row],[Precio por hora UF]]*Tabla2757[[#This Row],[Ponderador]]</f>
        <v>0</v>
      </c>
      <c r="L789" s="40">
        <v>0</v>
      </c>
      <c r="M789" s="30">
        <f>Tabla2757[[#This Row],[Precio por hora]]*Tabla2757[[#This Row],[Cantidad horas]]</f>
        <v>0</v>
      </c>
      <c r="N789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790" spans="2:14" x14ac:dyDescent="0.3">
      <c r="B790" s="28"/>
      <c r="C790" s="20"/>
      <c r="E790" s="136"/>
      <c r="F790" s="177">
        <f>_xlfn.XLOOKUP(Tabla2757[[#This Row],[Tipo de venta]],Tabla2329[Tipo de venta],Tabla2329[Moneda final], "Error - Seleccionar Tipo de Venta", 0,1)</f>
        <v>0</v>
      </c>
      <c r="G790" s="178"/>
      <c r="H790" s="21"/>
      <c r="I790" s="30">
        <f>_xlfn.XLOOKUP(Tabla2757[[#This Row],[Puesto Encargado]], Tabla9[Puesto], Tabla9[Precio cliente],0,1,1)</f>
        <v>0</v>
      </c>
      <c r="J790" s="30">
        <f>_xlfn.XLOOKUP(Tabla2757[[#This Row],[Cargo]], Tabla958[Cargos], Tabla958[Ponderador Precio],0,1,1)</f>
        <v>0</v>
      </c>
      <c r="K790" s="30">
        <f>Tabla2757[[#This Row],[Precio por hora UF]]*Tabla2757[[#This Row],[Ponderador]]</f>
        <v>0</v>
      </c>
      <c r="L790" s="40">
        <v>0</v>
      </c>
      <c r="M790" s="30">
        <f>Tabla2757[[#This Row],[Precio por hora]]*Tabla2757[[#This Row],[Cantidad horas]]</f>
        <v>0</v>
      </c>
      <c r="N790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791" spans="2:14" x14ac:dyDescent="0.3">
      <c r="B791" s="28"/>
      <c r="C791" s="20"/>
      <c r="E791" s="136"/>
      <c r="F791" s="177">
        <f>_xlfn.XLOOKUP(Tabla2757[[#This Row],[Tipo de venta]],Tabla2329[Tipo de venta],Tabla2329[Moneda final], "Error - Seleccionar Tipo de Venta", 0,1)</f>
        <v>0</v>
      </c>
      <c r="G791" s="178"/>
      <c r="H791" s="21"/>
      <c r="I791" s="30">
        <f>_xlfn.XLOOKUP(Tabla2757[[#This Row],[Puesto Encargado]], Tabla9[Puesto], Tabla9[Precio cliente],0,1,1)</f>
        <v>0</v>
      </c>
      <c r="J791" s="30">
        <f>_xlfn.XLOOKUP(Tabla2757[[#This Row],[Cargo]], Tabla958[Cargos], Tabla958[Ponderador Precio],0,1,1)</f>
        <v>0</v>
      </c>
      <c r="K791" s="30">
        <f>Tabla2757[[#This Row],[Precio por hora UF]]*Tabla2757[[#This Row],[Ponderador]]</f>
        <v>0</v>
      </c>
      <c r="L791" s="40">
        <v>0</v>
      </c>
      <c r="M791" s="30">
        <f>Tabla2757[[#This Row],[Precio por hora]]*Tabla2757[[#This Row],[Cantidad horas]]</f>
        <v>0</v>
      </c>
      <c r="N791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792" spans="2:14" x14ac:dyDescent="0.3">
      <c r="B792" s="28"/>
      <c r="C792" s="20"/>
      <c r="E792" s="136"/>
      <c r="F792" s="177">
        <f>_xlfn.XLOOKUP(Tabla2757[[#This Row],[Tipo de venta]],Tabla2329[Tipo de venta],Tabla2329[Moneda final], "Error - Seleccionar Tipo de Venta", 0,1)</f>
        <v>0</v>
      </c>
      <c r="G792" s="178"/>
      <c r="H792" s="21"/>
      <c r="I792" s="30">
        <f>_xlfn.XLOOKUP(Tabla2757[[#This Row],[Puesto Encargado]], Tabla9[Puesto], Tabla9[Precio cliente],0,1,1)</f>
        <v>0</v>
      </c>
      <c r="J792" s="30">
        <f>_xlfn.XLOOKUP(Tabla2757[[#This Row],[Cargo]], Tabla958[Cargos], Tabla958[Ponderador Precio],0,1,1)</f>
        <v>0</v>
      </c>
      <c r="K792" s="30">
        <f>Tabla2757[[#This Row],[Precio por hora UF]]*Tabla2757[[#This Row],[Ponderador]]</f>
        <v>0</v>
      </c>
      <c r="L792" s="40">
        <v>0</v>
      </c>
      <c r="M792" s="30">
        <f>Tabla2757[[#This Row],[Precio por hora]]*Tabla2757[[#This Row],[Cantidad horas]]</f>
        <v>0</v>
      </c>
      <c r="N792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793" spans="2:14" x14ac:dyDescent="0.3">
      <c r="B793" s="28"/>
      <c r="C793" s="20"/>
      <c r="E793" s="136"/>
      <c r="F793" s="177">
        <f>_xlfn.XLOOKUP(Tabla2757[[#This Row],[Tipo de venta]],Tabla2329[Tipo de venta],Tabla2329[Moneda final], "Error - Seleccionar Tipo de Venta", 0,1)</f>
        <v>0</v>
      </c>
      <c r="G793" s="178"/>
      <c r="H793" s="21"/>
      <c r="I793" s="30">
        <f>_xlfn.XLOOKUP(Tabla2757[[#This Row],[Puesto Encargado]], Tabla9[Puesto], Tabla9[Precio cliente],0,1,1)</f>
        <v>0</v>
      </c>
      <c r="J793" s="30">
        <f>_xlfn.XLOOKUP(Tabla2757[[#This Row],[Cargo]], Tabla958[Cargos], Tabla958[Ponderador Precio],0,1,1)</f>
        <v>0</v>
      </c>
      <c r="K793" s="30">
        <f>Tabla2757[[#This Row],[Precio por hora UF]]*Tabla2757[[#This Row],[Ponderador]]</f>
        <v>0</v>
      </c>
      <c r="L793" s="40">
        <v>0</v>
      </c>
      <c r="M793" s="30">
        <f>Tabla2757[[#This Row],[Precio por hora]]*Tabla2757[[#This Row],[Cantidad horas]]</f>
        <v>0</v>
      </c>
      <c r="N793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794" spans="2:14" x14ac:dyDescent="0.3">
      <c r="B794" s="28"/>
      <c r="C794" s="20"/>
      <c r="E794" s="136"/>
      <c r="F794" s="177">
        <f>_xlfn.XLOOKUP(Tabla2757[[#This Row],[Tipo de venta]],Tabla2329[Tipo de venta],Tabla2329[Moneda final], "Error - Seleccionar Tipo de Venta", 0,1)</f>
        <v>0</v>
      </c>
      <c r="G794" s="178"/>
      <c r="H794" s="21"/>
      <c r="I794" s="30">
        <f>_xlfn.XLOOKUP(Tabla2757[[#This Row],[Puesto Encargado]], Tabla9[Puesto], Tabla9[Precio cliente],0,1,1)</f>
        <v>0</v>
      </c>
      <c r="J794" s="30">
        <f>_xlfn.XLOOKUP(Tabla2757[[#This Row],[Cargo]], Tabla958[Cargos], Tabla958[Ponderador Precio],0,1,1)</f>
        <v>0</v>
      </c>
      <c r="K794" s="30">
        <f>Tabla2757[[#This Row],[Precio por hora UF]]*Tabla2757[[#This Row],[Ponderador]]</f>
        <v>0</v>
      </c>
      <c r="L794" s="40">
        <v>0</v>
      </c>
      <c r="M794" s="30">
        <f>Tabla2757[[#This Row],[Precio por hora]]*Tabla2757[[#This Row],[Cantidad horas]]</f>
        <v>0</v>
      </c>
      <c r="N794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795" spans="2:14" x14ac:dyDescent="0.3">
      <c r="B795" s="28"/>
      <c r="C795" s="20"/>
      <c r="E795" s="136"/>
      <c r="F795" s="177">
        <f>_xlfn.XLOOKUP(Tabla2757[[#This Row],[Tipo de venta]],Tabla2329[Tipo de venta],Tabla2329[Moneda final], "Error - Seleccionar Tipo de Venta", 0,1)</f>
        <v>0</v>
      </c>
      <c r="G795" s="178"/>
      <c r="H795" s="21"/>
      <c r="I795" s="30">
        <f>_xlfn.XLOOKUP(Tabla2757[[#This Row],[Puesto Encargado]], Tabla9[Puesto], Tabla9[Precio cliente],0,1,1)</f>
        <v>0</v>
      </c>
      <c r="J795" s="30">
        <f>_xlfn.XLOOKUP(Tabla2757[[#This Row],[Cargo]], Tabla958[Cargos], Tabla958[Ponderador Precio],0,1,1)</f>
        <v>0</v>
      </c>
      <c r="K795" s="30">
        <f>Tabla2757[[#This Row],[Precio por hora UF]]*Tabla2757[[#This Row],[Ponderador]]</f>
        <v>0</v>
      </c>
      <c r="L795" s="40">
        <v>0</v>
      </c>
      <c r="M795" s="30">
        <f>Tabla2757[[#This Row],[Precio por hora]]*Tabla2757[[#This Row],[Cantidad horas]]</f>
        <v>0</v>
      </c>
      <c r="N795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796" spans="2:14" x14ac:dyDescent="0.3">
      <c r="B796" s="28"/>
      <c r="C796" s="20"/>
      <c r="E796" s="136"/>
      <c r="F796" s="177">
        <f>_xlfn.XLOOKUP(Tabla2757[[#This Row],[Tipo de venta]],Tabla2329[Tipo de venta],Tabla2329[Moneda final], "Error - Seleccionar Tipo de Venta", 0,1)</f>
        <v>0</v>
      </c>
      <c r="G796" s="178"/>
      <c r="H796" s="21"/>
      <c r="I796" s="30">
        <f>_xlfn.XLOOKUP(Tabla2757[[#This Row],[Puesto Encargado]], Tabla9[Puesto], Tabla9[Precio cliente],0,1,1)</f>
        <v>0</v>
      </c>
      <c r="J796" s="30">
        <f>_xlfn.XLOOKUP(Tabla2757[[#This Row],[Cargo]], Tabla958[Cargos], Tabla958[Ponderador Precio],0,1,1)</f>
        <v>0</v>
      </c>
      <c r="K796" s="30">
        <f>Tabla2757[[#This Row],[Precio por hora UF]]*Tabla2757[[#This Row],[Ponderador]]</f>
        <v>0</v>
      </c>
      <c r="L796" s="40">
        <v>0</v>
      </c>
      <c r="M796" s="30">
        <f>Tabla2757[[#This Row],[Precio por hora]]*Tabla2757[[#This Row],[Cantidad horas]]</f>
        <v>0</v>
      </c>
      <c r="N796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797" spans="2:14" x14ac:dyDescent="0.3">
      <c r="B797" s="28"/>
      <c r="C797" s="20"/>
      <c r="E797" s="136"/>
      <c r="F797" s="177">
        <f>_xlfn.XLOOKUP(Tabla2757[[#This Row],[Tipo de venta]],Tabla2329[Tipo de venta],Tabla2329[Moneda final], "Error - Seleccionar Tipo de Venta", 0,1)</f>
        <v>0</v>
      </c>
      <c r="G797" s="178"/>
      <c r="H797" s="21"/>
      <c r="I797" s="30">
        <f>_xlfn.XLOOKUP(Tabla2757[[#This Row],[Puesto Encargado]], Tabla9[Puesto], Tabla9[Precio cliente],0,1,1)</f>
        <v>0</v>
      </c>
      <c r="J797" s="30">
        <f>_xlfn.XLOOKUP(Tabla2757[[#This Row],[Cargo]], Tabla958[Cargos], Tabla958[Ponderador Precio],0,1,1)</f>
        <v>0</v>
      </c>
      <c r="K797" s="30">
        <f>Tabla2757[[#This Row],[Precio por hora UF]]*Tabla2757[[#This Row],[Ponderador]]</f>
        <v>0</v>
      </c>
      <c r="L797" s="40">
        <v>0</v>
      </c>
      <c r="M797" s="30">
        <f>Tabla2757[[#This Row],[Precio por hora]]*Tabla2757[[#This Row],[Cantidad horas]]</f>
        <v>0</v>
      </c>
      <c r="N797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798" spans="2:14" x14ac:dyDescent="0.3">
      <c r="B798" s="28"/>
      <c r="C798" s="20"/>
      <c r="E798" s="136"/>
      <c r="F798" s="177">
        <f>_xlfn.XLOOKUP(Tabla2757[[#This Row],[Tipo de venta]],Tabla2329[Tipo de venta],Tabla2329[Moneda final], "Error - Seleccionar Tipo de Venta", 0,1)</f>
        <v>0</v>
      </c>
      <c r="G798" s="178"/>
      <c r="H798" s="21"/>
      <c r="I798" s="30">
        <f>_xlfn.XLOOKUP(Tabla2757[[#This Row],[Puesto Encargado]], Tabla9[Puesto], Tabla9[Precio cliente],0,1,1)</f>
        <v>0</v>
      </c>
      <c r="J798" s="30">
        <f>_xlfn.XLOOKUP(Tabla2757[[#This Row],[Cargo]], Tabla958[Cargos], Tabla958[Ponderador Precio],0,1,1)</f>
        <v>0</v>
      </c>
      <c r="K798" s="30">
        <f>Tabla2757[[#This Row],[Precio por hora UF]]*Tabla2757[[#This Row],[Ponderador]]</f>
        <v>0</v>
      </c>
      <c r="L798" s="40">
        <v>0</v>
      </c>
      <c r="M798" s="30">
        <f>Tabla2757[[#This Row],[Precio por hora]]*Tabla2757[[#This Row],[Cantidad horas]]</f>
        <v>0</v>
      </c>
      <c r="N798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799" spans="2:14" x14ac:dyDescent="0.3">
      <c r="B799" s="28"/>
      <c r="C799" s="20"/>
      <c r="E799" s="136"/>
      <c r="F799" s="177">
        <f>_xlfn.XLOOKUP(Tabla2757[[#This Row],[Tipo de venta]],Tabla2329[Tipo de venta],Tabla2329[Moneda final], "Error - Seleccionar Tipo de Venta", 0,1)</f>
        <v>0</v>
      </c>
      <c r="G799" s="178"/>
      <c r="H799" s="21"/>
      <c r="I799" s="30">
        <f>_xlfn.XLOOKUP(Tabla2757[[#This Row],[Puesto Encargado]], Tabla9[Puesto], Tabla9[Precio cliente],0,1,1)</f>
        <v>0</v>
      </c>
      <c r="J799" s="30">
        <f>_xlfn.XLOOKUP(Tabla2757[[#This Row],[Cargo]], Tabla958[Cargos], Tabla958[Ponderador Precio],0,1,1)</f>
        <v>0</v>
      </c>
      <c r="K799" s="30">
        <f>Tabla2757[[#This Row],[Precio por hora UF]]*Tabla2757[[#This Row],[Ponderador]]</f>
        <v>0</v>
      </c>
      <c r="L799" s="40">
        <v>0</v>
      </c>
      <c r="M799" s="30">
        <f>Tabla2757[[#This Row],[Precio por hora]]*Tabla2757[[#This Row],[Cantidad horas]]</f>
        <v>0</v>
      </c>
      <c r="N799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800" spans="2:14" x14ac:dyDescent="0.3">
      <c r="B800" s="28"/>
      <c r="C800" s="20"/>
      <c r="E800" s="136"/>
      <c r="F800" s="177">
        <f>_xlfn.XLOOKUP(Tabla2757[[#This Row],[Tipo de venta]],Tabla2329[Tipo de venta],Tabla2329[Moneda final], "Error - Seleccionar Tipo de Venta", 0,1)</f>
        <v>0</v>
      </c>
      <c r="G800" s="178"/>
      <c r="H800" s="21"/>
      <c r="I800" s="30">
        <f>_xlfn.XLOOKUP(Tabla2757[[#This Row],[Puesto Encargado]], Tabla9[Puesto], Tabla9[Precio cliente],0,1,1)</f>
        <v>0</v>
      </c>
      <c r="J800" s="30">
        <f>_xlfn.XLOOKUP(Tabla2757[[#This Row],[Cargo]], Tabla958[Cargos], Tabla958[Ponderador Precio],0,1,1)</f>
        <v>0</v>
      </c>
      <c r="K800" s="30">
        <f>Tabla2757[[#This Row],[Precio por hora UF]]*Tabla2757[[#This Row],[Ponderador]]</f>
        <v>0</v>
      </c>
      <c r="L800" s="40">
        <v>0</v>
      </c>
      <c r="M800" s="30">
        <f>Tabla2757[[#This Row],[Precio por hora]]*Tabla2757[[#This Row],[Cantidad horas]]</f>
        <v>0</v>
      </c>
      <c r="N800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801" spans="2:14" x14ac:dyDescent="0.3">
      <c r="B801" s="28"/>
      <c r="C801" s="20"/>
      <c r="E801" s="136"/>
      <c r="F801" s="177">
        <f>_xlfn.XLOOKUP(Tabla2757[[#This Row],[Tipo de venta]],Tabla2329[Tipo de venta],Tabla2329[Moneda final], "Error - Seleccionar Tipo de Venta", 0,1)</f>
        <v>0</v>
      </c>
      <c r="G801" s="178"/>
      <c r="H801" s="21"/>
      <c r="I801" s="30">
        <f>_xlfn.XLOOKUP(Tabla2757[[#This Row],[Puesto Encargado]], Tabla9[Puesto], Tabla9[Precio cliente],0,1,1)</f>
        <v>0</v>
      </c>
      <c r="J801" s="30">
        <f>_xlfn.XLOOKUP(Tabla2757[[#This Row],[Cargo]], Tabla958[Cargos], Tabla958[Ponderador Precio],0,1,1)</f>
        <v>0</v>
      </c>
      <c r="K801" s="30">
        <f>Tabla2757[[#This Row],[Precio por hora UF]]*Tabla2757[[#This Row],[Ponderador]]</f>
        <v>0</v>
      </c>
      <c r="L801" s="40">
        <v>0</v>
      </c>
      <c r="M801" s="30">
        <f>Tabla2757[[#This Row],[Precio por hora]]*Tabla2757[[#This Row],[Cantidad horas]]</f>
        <v>0</v>
      </c>
      <c r="N801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802" spans="2:14" x14ac:dyDescent="0.3">
      <c r="B802" s="28"/>
      <c r="C802" s="20"/>
      <c r="E802" s="136"/>
      <c r="F802" s="177">
        <f>_xlfn.XLOOKUP(Tabla2757[[#This Row],[Tipo de venta]],Tabla2329[Tipo de venta],Tabla2329[Moneda final], "Error - Seleccionar Tipo de Venta", 0,1)</f>
        <v>0</v>
      </c>
      <c r="G802" s="178"/>
      <c r="H802" s="21"/>
      <c r="I802" s="30">
        <f>_xlfn.XLOOKUP(Tabla2757[[#This Row],[Puesto Encargado]], Tabla9[Puesto], Tabla9[Precio cliente],0,1,1)</f>
        <v>0</v>
      </c>
      <c r="J802" s="30">
        <f>_xlfn.XLOOKUP(Tabla2757[[#This Row],[Cargo]], Tabla958[Cargos], Tabla958[Ponderador Precio],0,1,1)</f>
        <v>0</v>
      </c>
      <c r="K802" s="30">
        <f>Tabla2757[[#This Row],[Precio por hora UF]]*Tabla2757[[#This Row],[Ponderador]]</f>
        <v>0</v>
      </c>
      <c r="L802" s="40">
        <v>0</v>
      </c>
      <c r="M802" s="30">
        <f>Tabla2757[[#This Row],[Precio por hora]]*Tabla2757[[#This Row],[Cantidad horas]]</f>
        <v>0</v>
      </c>
      <c r="N802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803" spans="2:14" x14ac:dyDescent="0.3">
      <c r="B803" s="28"/>
      <c r="C803" s="20"/>
      <c r="E803" s="136"/>
      <c r="F803" s="177">
        <f>_xlfn.XLOOKUP(Tabla2757[[#This Row],[Tipo de venta]],Tabla2329[Tipo de venta],Tabla2329[Moneda final], "Error - Seleccionar Tipo de Venta", 0,1)</f>
        <v>0</v>
      </c>
      <c r="G803" s="178"/>
      <c r="H803" s="21"/>
      <c r="I803" s="30">
        <f>_xlfn.XLOOKUP(Tabla2757[[#This Row],[Puesto Encargado]], Tabla9[Puesto], Tabla9[Precio cliente],0,1,1)</f>
        <v>0</v>
      </c>
      <c r="J803" s="30">
        <f>_xlfn.XLOOKUP(Tabla2757[[#This Row],[Cargo]], Tabla958[Cargos], Tabla958[Ponderador Precio],0,1,1)</f>
        <v>0</v>
      </c>
      <c r="K803" s="30">
        <f>Tabla2757[[#This Row],[Precio por hora UF]]*Tabla2757[[#This Row],[Ponderador]]</f>
        <v>0</v>
      </c>
      <c r="L803" s="40">
        <v>0</v>
      </c>
      <c r="M803" s="30">
        <f>Tabla2757[[#This Row],[Precio por hora]]*Tabla2757[[#This Row],[Cantidad horas]]</f>
        <v>0</v>
      </c>
      <c r="N803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804" spans="2:14" x14ac:dyDescent="0.3">
      <c r="B804" s="28"/>
      <c r="C804" s="20"/>
      <c r="E804" s="136"/>
      <c r="F804" s="177">
        <f>_xlfn.XLOOKUP(Tabla2757[[#This Row],[Tipo de venta]],Tabla2329[Tipo de venta],Tabla2329[Moneda final], "Error - Seleccionar Tipo de Venta", 0,1)</f>
        <v>0</v>
      </c>
      <c r="G804" s="178"/>
      <c r="H804" s="21"/>
      <c r="I804" s="30">
        <f>_xlfn.XLOOKUP(Tabla2757[[#This Row],[Puesto Encargado]], Tabla9[Puesto], Tabla9[Precio cliente],0,1,1)</f>
        <v>0</v>
      </c>
      <c r="J804" s="30">
        <f>_xlfn.XLOOKUP(Tabla2757[[#This Row],[Cargo]], Tabla958[Cargos], Tabla958[Ponderador Precio],0,1,1)</f>
        <v>0</v>
      </c>
      <c r="K804" s="30">
        <f>Tabla2757[[#This Row],[Precio por hora UF]]*Tabla2757[[#This Row],[Ponderador]]</f>
        <v>0</v>
      </c>
      <c r="L804" s="40">
        <v>0</v>
      </c>
      <c r="M804" s="30">
        <f>Tabla2757[[#This Row],[Precio por hora]]*Tabla2757[[#This Row],[Cantidad horas]]</f>
        <v>0</v>
      </c>
      <c r="N804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805" spans="2:14" x14ac:dyDescent="0.3">
      <c r="B805" s="28"/>
      <c r="C805" s="20"/>
      <c r="E805" s="136"/>
      <c r="F805" s="177">
        <f>_xlfn.XLOOKUP(Tabla2757[[#This Row],[Tipo de venta]],Tabla2329[Tipo de venta],Tabla2329[Moneda final], "Error - Seleccionar Tipo de Venta", 0,1)</f>
        <v>0</v>
      </c>
      <c r="G805" s="178"/>
      <c r="H805" s="21"/>
      <c r="I805" s="30">
        <f>_xlfn.XLOOKUP(Tabla2757[[#This Row],[Puesto Encargado]], Tabla9[Puesto], Tabla9[Precio cliente],0,1,1)</f>
        <v>0</v>
      </c>
      <c r="J805" s="30">
        <f>_xlfn.XLOOKUP(Tabla2757[[#This Row],[Cargo]], Tabla958[Cargos], Tabla958[Ponderador Precio],0,1,1)</f>
        <v>0</v>
      </c>
      <c r="K805" s="30">
        <f>Tabla2757[[#This Row],[Precio por hora UF]]*Tabla2757[[#This Row],[Ponderador]]</f>
        <v>0</v>
      </c>
      <c r="L805" s="40">
        <v>0</v>
      </c>
      <c r="M805" s="30">
        <f>Tabla2757[[#This Row],[Precio por hora]]*Tabla2757[[#This Row],[Cantidad horas]]</f>
        <v>0</v>
      </c>
      <c r="N805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806" spans="2:14" x14ac:dyDescent="0.3">
      <c r="B806" s="28"/>
      <c r="C806" s="20"/>
      <c r="E806" s="136"/>
      <c r="F806" s="177">
        <f>_xlfn.XLOOKUP(Tabla2757[[#This Row],[Tipo de venta]],Tabla2329[Tipo de venta],Tabla2329[Moneda final], "Error - Seleccionar Tipo de Venta", 0,1)</f>
        <v>0</v>
      </c>
      <c r="G806" s="178"/>
      <c r="H806" s="21"/>
      <c r="I806" s="30">
        <f>_xlfn.XLOOKUP(Tabla2757[[#This Row],[Puesto Encargado]], Tabla9[Puesto], Tabla9[Precio cliente],0,1,1)</f>
        <v>0</v>
      </c>
      <c r="J806" s="30">
        <f>_xlfn.XLOOKUP(Tabla2757[[#This Row],[Cargo]], Tabla958[Cargos], Tabla958[Ponderador Precio],0,1,1)</f>
        <v>0</v>
      </c>
      <c r="K806" s="30">
        <f>Tabla2757[[#This Row],[Precio por hora UF]]*Tabla2757[[#This Row],[Ponderador]]</f>
        <v>0</v>
      </c>
      <c r="L806" s="40">
        <v>0</v>
      </c>
      <c r="M806" s="30">
        <f>Tabla2757[[#This Row],[Precio por hora]]*Tabla2757[[#This Row],[Cantidad horas]]</f>
        <v>0</v>
      </c>
      <c r="N806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807" spans="2:14" x14ac:dyDescent="0.3">
      <c r="B807" s="28"/>
      <c r="C807" s="20"/>
      <c r="E807" s="136"/>
      <c r="F807" s="177">
        <f>_xlfn.XLOOKUP(Tabla2757[[#This Row],[Tipo de venta]],Tabla2329[Tipo de venta],Tabla2329[Moneda final], "Error - Seleccionar Tipo de Venta", 0,1)</f>
        <v>0</v>
      </c>
      <c r="G807" s="178"/>
      <c r="H807" s="21"/>
      <c r="I807" s="30">
        <f>_xlfn.XLOOKUP(Tabla2757[[#This Row],[Puesto Encargado]], Tabla9[Puesto], Tabla9[Precio cliente],0,1,1)</f>
        <v>0</v>
      </c>
      <c r="J807" s="30">
        <f>_xlfn.XLOOKUP(Tabla2757[[#This Row],[Cargo]], Tabla958[Cargos], Tabla958[Ponderador Precio],0,1,1)</f>
        <v>0</v>
      </c>
      <c r="K807" s="30">
        <f>Tabla2757[[#This Row],[Precio por hora UF]]*Tabla2757[[#This Row],[Ponderador]]</f>
        <v>0</v>
      </c>
      <c r="L807" s="40">
        <v>0</v>
      </c>
      <c r="M807" s="30">
        <f>Tabla2757[[#This Row],[Precio por hora]]*Tabla2757[[#This Row],[Cantidad horas]]</f>
        <v>0</v>
      </c>
      <c r="N807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808" spans="2:14" x14ac:dyDescent="0.3">
      <c r="B808" s="28"/>
      <c r="C808" s="20"/>
      <c r="E808" s="136"/>
      <c r="F808" s="177">
        <f>_xlfn.XLOOKUP(Tabla2757[[#This Row],[Tipo de venta]],Tabla2329[Tipo de venta],Tabla2329[Moneda final], "Error - Seleccionar Tipo de Venta", 0,1)</f>
        <v>0</v>
      </c>
      <c r="G808" s="178"/>
      <c r="H808" s="21"/>
      <c r="I808" s="30">
        <f>_xlfn.XLOOKUP(Tabla2757[[#This Row],[Puesto Encargado]], Tabla9[Puesto], Tabla9[Precio cliente],0,1,1)</f>
        <v>0</v>
      </c>
      <c r="J808" s="30">
        <f>_xlfn.XLOOKUP(Tabla2757[[#This Row],[Cargo]], Tabla958[Cargos], Tabla958[Ponderador Precio],0,1,1)</f>
        <v>0</v>
      </c>
      <c r="K808" s="30">
        <f>Tabla2757[[#This Row],[Precio por hora UF]]*Tabla2757[[#This Row],[Ponderador]]</f>
        <v>0</v>
      </c>
      <c r="L808" s="40">
        <v>0</v>
      </c>
      <c r="M808" s="30">
        <f>Tabla2757[[#This Row],[Precio por hora]]*Tabla2757[[#This Row],[Cantidad horas]]</f>
        <v>0</v>
      </c>
      <c r="N808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809" spans="2:14" x14ac:dyDescent="0.3">
      <c r="B809" s="28"/>
      <c r="C809" s="20"/>
      <c r="E809" s="136"/>
      <c r="F809" s="177">
        <f>_xlfn.XLOOKUP(Tabla2757[[#This Row],[Tipo de venta]],Tabla2329[Tipo de venta],Tabla2329[Moneda final], "Error - Seleccionar Tipo de Venta", 0,1)</f>
        <v>0</v>
      </c>
      <c r="G809" s="178"/>
      <c r="H809" s="21"/>
      <c r="I809" s="30">
        <f>_xlfn.XLOOKUP(Tabla2757[[#This Row],[Puesto Encargado]], Tabla9[Puesto], Tabla9[Precio cliente],0,1,1)</f>
        <v>0</v>
      </c>
      <c r="J809" s="30">
        <f>_xlfn.XLOOKUP(Tabla2757[[#This Row],[Cargo]], Tabla958[Cargos], Tabla958[Ponderador Precio],0,1,1)</f>
        <v>0</v>
      </c>
      <c r="K809" s="30">
        <f>Tabla2757[[#This Row],[Precio por hora UF]]*Tabla2757[[#This Row],[Ponderador]]</f>
        <v>0</v>
      </c>
      <c r="L809" s="40">
        <v>0</v>
      </c>
      <c r="M809" s="30">
        <f>Tabla2757[[#This Row],[Precio por hora]]*Tabla2757[[#This Row],[Cantidad horas]]</f>
        <v>0</v>
      </c>
      <c r="N809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810" spans="2:14" x14ac:dyDescent="0.3">
      <c r="B810" s="28"/>
      <c r="C810" s="20"/>
      <c r="E810" s="136"/>
      <c r="F810" s="177">
        <f>_xlfn.XLOOKUP(Tabla2757[[#This Row],[Tipo de venta]],Tabla2329[Tipo de venta],Tabla2329[Moneda final], "Error - Seleccionar Tipo de Venta", 0,1)</f>
        <v>0</v>
      </c>
      <c r="G810" s="178"/>
      <c r="H810" s="21"/>
      <c r="I810" s="30">
        <f>_xlfn.XLOOKUP(Tabla2757[[#This Row],[Puesto Encargado]], Tabla9[Puesto], Tabla9[Precio cliente],0,1,1)</f>
        <v>0</v>
      </c>
      <c r="J810" s="30">
        <f>_xlfn.XLOOKUP(Tabla2757[[#This Row],[Cargo]], Tabla958[Cargos], Tabla958[Ponderador Precio],0,1,1)</f>
        <v>0</v>
      </c>
      <c r="K810" s="30">
        <f>Tabla2757[[#This Row],[Precio por hora UF]]*Tabla2757[[#This Row],[Ponderador]]</f>
        <v>0</v>
      </c>
      <c r="L810" s="40">
        <v>0</v>
      </c>
      <c r="M810" s="30">
        <f>Tabla2757[[#This Row],[Precio por hora]]*Tabla2757[[#This Row],[Cantidad horas]]</f>
        <v>0</v>
      </c>
      <c r="N810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811" spans="2:14" x14ac:dyDescent="0.3">
      <c r="B811" s="28"/>
      <c r="C811" s="20"/>
      <c r="E811" s="136"/>
      <c r="F811" s="177">
        <f>_xlfn.XLOOKUP(Tabla2757[[#This Row],[Tipo de venta]],Tabla2329[Tipo de venta],Tabla2329[Moneda final], "Error - Seleccionar Tipo de Venta", 0,1)</f>
        <v>0</v>
      </c>
      <c r="G811" s="178"/>
      <c r="H811" s="21"/>
      <c r="I811" s="30">
        <f>_xlfn.XLOOKUP(Tabla2757[[#This Row],[Puesto Encargado]], Tabla9[Puesto], Tabla9[Precio cliente],0,1,1)</f>
        <v>0</v>
      </c>
      <c r="J811" s="30">
        <f>_xlfn.XLOOKUP(Tabla2757[[#This Row],[Cargo]], Tabla958[Cargos], Tabla958[Ponderador Precio],0,1,1)</f>
        <v>0</v>
      </c>
      <c r="K811" s="30">
        <f>Tabla2757[[#This Row],[Precio por hora UF]]*Tabla2757[[#This Row],[Ponderador]]</f>
        <v>0</v>
      </c>
      <c r="L811" s="40">
        <v>0</v>
      </c>
      <c r="M811" s="30">
        <f>Tabla2757[[#This Row],[Precio por hora]]*Tabla2757[[#This Row],[Cantidad horas]]</f>
        <v>0</v>
      </c>
      <c r="N811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812" spans="2:14" x14ac:dyDescent="0.3">
      <c r="B812" s="28"/>
      <c r="C812" s="20"/>
      <c r="E812" s="136"/>
      <c r="F812" s="177">
        <f>_xlfn.XLOOKUP(Tabla2757[[#This Row],[Tipo de venta]],Tabla2329[Tipo de venta],Tabla2329[Moneda final], "Error - Seleccionar Tipo de Venta", 0,1)</f>
        <v>0</v>
      </c>
      <c r="G812" s="178"/>
      <c r="H812" s="21"/>
      <c r="I812" s="30">
        <f>_xlfn.XLOOKUP(Tabla2757[[#This Row],[Puesto Encargado]], Tabla9[Puesto], Tabla9[Precio cliente],0,1,1)</f>
        <v>0</v>
      </c>
      <c r="J812" s="30">
        <f>_xlfn.XLOOKUP(Tabla2757[[#This Row],[Cargo]], Tabla958[Cargos], Tabla958[Ponderador Precio],0,1,1)</f>
        <v>0</v>
      </c>
      <c r="K812" s="30">
        <f>Tabla2757[[#This Row],[Precio por hora UF]]*Tabla2757[[#This Row],[Ponderador]]</f>
        <v>0</v>
      </c>
      <c r="L812" s="40">
        <v>0</v>
      </c>
      <c r="M812" s="30">
        <f>Tabla2757[[#This Row],[Precio por hora]]*Tabla2757[[#This Row],[Cantidad horas]]</f>
        <v>0</v>
      </c>
      <c r="N812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813" spans="2:14" x14ac:dyDescent="0.3">
      <c r="B813" s="28"/>
      <c r="C813" s="20"/>
      <c r="E813" s="136"/>
      <c r="F813" s="177">
        <f>_xlfn.XLOOKUP(Tabla2757[[#This Row],[Tipo de venta]],Tabla2329[Tipo de venta],Tabla2329[Moneda final], "Error - Seleccionar Tipo de Venta", 0,1)</f>
        <v>0</v>
      </c>
      <c r="G813" s="178"/>
      <c r="H813" s="21"/>
      <c r="I813" s="30">
        <f>_xlfn.XLOOKUP(Tabla2757[[#This Row],[Puesto Encargado]], Tabla9[Puesto], Tabla9[Precio cliente],0,1,1)</f>
        <v>0</v>
      </c>
      <c r="J813" s="30">
        <f>_xlfn.XLOOKUP(Tabla2757[[#This Row],[Cargo]], Tabla958[Cargos], Tabla958[Ponderador Precio],0,1,1)</f>
        <v>0</v>
      </c>
      <c r="K813" s="30">
        <f>Tabla2757[[#This Row],[Precio por hora UF]]*Tabla2757[[#This Row],[Ponderador]]</f>
        <v>0</v>
      </c>
      <c r="L813" s="40">
        <v>0</v>
      </c>
      <c r="M813" s="30">
        <f>Tabla2757[[#This Row],[Precio por hora]]*Tabla2757[[#This Row],[Cantidad horas]]</f>
        <v>0</v>
      </c>
      <c r="N813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814" spans="2:14" x14ac:dyDescent="0.3">
      <c r="B814" s="28"/>
      <c r="C814" s="20"/>
      <c r="E814" s="136"/>
      <c r="F814" s="177">
        <f>_xlfn.XLOOKUP(Tabla2757[[#This Row],[Tipo de venta]],Tabla2329[Tipo de venta],Tabla2329[Moneda final], "Error - Seleccionar Tipo de Venta", 0,1)</f>
        <v>0</v>
      </c>
      <c r="G814" s="178"/>
      <c r="H814" s="21"/>
      <c r="I814" s="30">
        <f>_xlfn.XLOOKUP(Tabla2757[[#This Row],[Puesto Encargado]], Tabla9[Puesto], Tabla9[Precio cliente],0,1,1)</f>
        <v>0</v>
      </c>
      <c r="J814" s="30">
        <f>_xlfn.XLOOKUP(Tabla2757[[#This Row],[Cargo]], Tabla958[Cargos], Tabla958[Ponderador Precio],0,1,1)</f>
        <v>0</v>
      </c>
      <c r="K814" s="30">
        <f>Tabla2757[[#This Row],[Precio por hora UF]]*Tabla2757[[#This Row],[Ponderador]]</f>
        <v>0</v>
      </c>
      <c r="L814" s="40">
        <v>0</v>
      </c>
      <c r="M814" s="30">
        <f>Tabla2757[[#This Row],[Precio por hora]]*Tabla2757[[#This Row],[Cantidad horas]]</f>
        <v>0</v>
      </c>
      <c r="N814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815" spans="2:14" x14ac:dyDescent="0.3">
      <c r="B815" s="28"/>
      <c r="C815" s="20"/>
      <c r="E815" s="136"/>
      <c r="F815" s="177">
        <f>_xlfn.XLOOKUP(Tabla2757[[#This Row],[Tipo de venta]],Tabla2329[Tipo de venta],Tabla2329[Moneda final], "Error - Seleccionar Tipo de Venta", 0,1)</f>
        <v>0</v>
      </c>
      <c r="G815" s="178"/>
      <c r="H815" s="21"/>
      <c r="I815" s="30">
        <f>_xlfn.XLOOKUP(Tabla2757[[#This Row],[Puesto Encargado]], Tabla9[Puesto], Tabla9[Precio cliente],0,1,1)</f>
        <v>0</v>
      </c>
      <c r="J815" s="30">
        <f>_xlfn.XLOOKUP(Tabla2757[[#This Row],[Cargo]], Tabla958[Cargos], Tabla958[Ponderador Precio],0,1,1)</f>
        <v>0</v>
      </c>
      <c r="K815" s="30">
        <f>Tabla2757[[#This Row],[Precio por hora UF]]*Tabla2757[[#This Row],[Ponderador]]</f>
        <v>0</v>
      </c>
      <c r="L815" s="40">
        <v>0</v>
      </c>
      <c r="M815" s="30">
        <f>Tabla2757[[#This Row],[Precio por hora]]*Tabla2757[[#This Row],[Cantidad horas]]</f>
        <v>0</v>
      </c>
      <c r="N815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816" spans="2:14" x14ac:dyDescent="0.3">
      <c r="B816" s="28"/>
      <c r="C816" s="20"/>
      <c r="E816" s="136"/>
      <c r="F816" s="177">
        <f>_xlfn.XLOOKUP(Tabla2757[[#This Row],[Tipo de venta]],Tabla2329[Tipo de venta],Tabla2329[Moneda final], "Error - Seleccionar Tipo de Venta", 0,1)</f>
        <v>0</v>
      </c>
      <c r="G816" s="178"/>
      <c r="H816" s="21"/>
      <c r="I816" s="30">
        <f>_xlfn.XLOOKUP(Tabla2757[[#This Row],[Puesto Encargado]], Tabla9[Puesto], Tabla9[Precio cliente],0,1,1)</f>
        <v>0</v>
      </c>
      <c r="J816" s="30">
        <f>_xlfn.XLOOKUP(Tabla2757[[#This Row],[Cargo]], Tabla958[Cargos], Tabla958[Ponderador Precio],0,1,1)</f>
        <v>0</v>
      </c>
      <c r="K816" s="30">
        <f>Tabla2757[[#This Row],[Precio por hora UF]]*Tabla2757[[#This Row],[Ponderador]]</f>
        <v>0</v>
      </c>
      <c r="L816" s="40">
        <v>0</v>
      </c>
      <c r="M816" s="30">
        <f>Tabla2757[[#This Row],[Precio por hora]]*Tabla2757[[#This Row],[Cantidad horas]]</f>
        <v>0</v>
      </c>
      <c r="N816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817" spans="2:14" x14ac:dyDescent="0.3">
      <c r="B817" s="28"/>
      <c r="C817" s="20"/>
      <c r="E817" s="136"/>
      <c r="F817" s="177">
        <f>_xlfn.XLOOKUP(Tabla2757[[#This Row],[Tipo de venta]],Tabla2329[Tipo de venta],Tabla2329[Moneda final], "Error - Seleccionar Tipo de Venta", 0,1)</f>
        <v>0</v>
      </c>
      <c r="G817" s="178"/>
      <c r="H817" s="21"/>
      <c r="I817" s="30">
        <f>_xlfn.XLOOKUP(Tabla2757[[#This Row],[Puesto Encargado]], Tabla9[Puesto], Tabla9[Precio cliente],0,1,1)</f>
        <v>0</v>
      </c>
      <c r="J817" s="30">
        <f>_xlfn.XLOOKUP(Tabla2757[[#This Row],[Cargo]], Tabla958[Cargos], Tabla958[Ponderador Precio],0,1,1)</f>
        <v>0</v>
      </c>
      <c r="K817" s="30">
        <f>Tabla2757[[#This Row],[Precio por hora UF]]*Tabla2757[[#This Row],[Ponderador]]</f>
        <v>0</v>
      </c>
      <c r="L817" s="40">
        <v>0</v>
      </c>
      <c r="M817" s="30">
        <f>Tabla2757[[#This Row],[Precio por hora]]*Tabla2757[[#This Row],[Cantidad horas]]</f>
        <v>0</v>
      </c>
      <c r="N817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818" spans="2:14" x14ac:dyDescent="0.3">
      <c r="B818" s="28"/>
      <c r="C818" s="20"/>
      <c r="E818" s="136"/>
      <c r="F818" s="177">
        <f>_xlfn.XLOOKUP(Tabla2757[[#This Row],[Tipo de venta]],Tabla2329[Tipo de venta],Tabla2329[Moneda final], "Error - Seleccionar Tipo de Venta", 0,1)</f>
        <v>0</v>
      </c>
      <c r="G818" s="178"/>
      <c r="H818" s="21"/>
      <c r="I818" s="30">
        <f>_xlfn.XLOOKUP(Tabla2757[[#This Row],[Puesto Encargado]], Tabla9[Puesto], Tabla9[Precio cliente],0,1,1)</f>
        <v>0</v>
      </c>
      <c r="J818" s="30">
        <f>_xlfn.XLOOKUP(Tabla2757[[#This Row],[Cargo]], Tabla958[Cargos], Tabla958[Ponderador Precio],0,1,1)</f>
        <v>0</v>
      </c>
      <c r="K818" s="30">
        <f>Tabla2757[[#This Row],[Precio por hora UF]]*Tabla2757[[#This Row],[Ponderador]]</f>
        <v>0</v>
      </c>
      <c r="L818" s="40">
        <v>0</v>
      </c>
      <c r="M818" s="30">
        <f>Tabla2757[[#This Row],[Precio por hora]]*Tabla2757[[#This Row],[Cantidad horas]]</f>
        <v>0</v>
      </c>
      <c r="N818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819" spans="2:14" x14ac:dyDescent="0.3">
      <c r="B819" s="28"/>
      <c r="C819" s="20"/>
      <c r="E819" s="136"/>
      <c r="F819" s="177">
        <f>_xlfn.XLOOKUP(Tabla2757[[#This Row],[Tipo de venta]],Tabla2329[Tipo de venta],Tabla2329[Moneda final], "Error - Seleccionar Tipo de Venta", 0,1)</f>
        <v>0</v>
      </c>
      <c r="G819" s="178"/>
      <c r="H819" s="21"/>
      <c r="I819" s="30">
        <f>_xlfn.XLOOKUP(Tabla2757[[#This Row],[Puesto Encargado]], Tabla9[Puesto], Tabla9[Precio cliente],0,1,1)</f>
        <v>0</v>
      </c>
      <c r="J819" s="30">
        <f>_xlfn.XLOOKUP(Tabla2757[[#This Row],[Cargo]], Tabla958[Cargos], Tabla958[Ponderador Precio],0,1,1)</f>
        <v>0</v>
      </c>
      <c r="K819" s="30">
        <f>Tabla2757[[#This Row],[Precio por hora UF]]*Tabla2757[[#This Row],[Ponderador]]</f>
        <v>0</v>
      </c>
      <c r="L819" s="40">
        <v>0</v>
      </c>
      <c r="M819" s="30">
        <f>Tabla2757[[#This Row],[Precio por hora]]*Tabla2757[[#This Row],[Cantidad horas]]</f>
        <v>0</v>
      </c>
      <c r="N819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820" spans="2:14" x14ac:dyDescent="0.3">
      <c r="B820" s="28"/>
      <c r="C820" s="20"/>
      <c r="E820" s="136"/>
      <c r="F820" s="177">
        <f>_xlfn.XLOOKUP(Tabla2757[[#This Row],[Tipo de venta]],Tabla2329[Tipo de venta],Tabla2329[Moneda final], "Error - Seleccionar Tipo de Venta", 0,1)</f>
        <v>0</v>
      </c>
      <c r="G820" s="178"/>
      <c r="H820" s="21"/>
      <c r="I820" s="30">
        <f>_xlfn.XLOOKUP(Tabla2757[[#This Row],[Puesto Encargado]], Tabla9[Puesto], Tabla9[Precio cliente],0,1,1)</f>
        <v>0</v>
      </c>
      <c r="J820" s="30">
        <f>_xlfn.XLOOKUP(Tabla2757[[#This Row],[Cargo]], Tabla958[Cargos], Tabla958[Ponderador Precio],0,1,1)</f>
        <v>0</v>
      </c>
      <c r="K820" s="30">
        <f>Tabla2757[[#This Row],[Precio por hora UF]]*Tabla2757[[#This Row],[Ponderador]]</f>
        <v>0</v>
      </c>
      <c r="L820" s="40">
        <v>0</v>
      </c>
      <c r="M820" s="30">
        <f>Tabla2757[[#This Row],[Precio por hora]]*Tabla2757[[#This Row],[Cantidad horas]]</f>
        <v>0</v>
      </c>
      <c r="N820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821" spans="2:14" x14ac:dyDescent="0.3">
      <c r="B821" s="28"/>
      <c r="C821" s="20"/>
      <c r="E821" s="136"/>
      <c r="F821" s="177">
        <f>_xlfn.XLOOKUP(Tabla2757[[#This Row],[Tipo de venta]],Tabla2329[Tipo de venta],Tabla2329[Moneda final], "Error - Seleccionar Tipo de Venta", 0,1)</f>
        <v>0</v>
      </c>
      <c r="G821" s="178"/>
      <c r="H821" s="21"/>
      <c r="I821" s="30">
        <f>_xlfn.XLOOKUP(Tabla2757[[#This Row],[Puesto Encargado]], Tabla9[Puesto], Tabla9[Precio cliente],0,1,1)</f>
        <v>0</v>
      </c>
      <c r="J821" s="30">
        <f>_xlfn.XLOOKUP(Tabla2757[[#This Row],[Cargo]], Tabla958[Cargos], Tabla958[Ponderador Precio],0,1,1)</f>
        <v>0</v>
      </c>
      <c r="K821" s="30">
        <f>Tabla2757[[#This Row],[Precio por hora UF]]*Tabla2757[[#This Row],[Ponderador]]</f>
        <v>0</v>
      </c>
      <c r="L821" s="40">
        <v>0</v>
      </c>
      <c r="M821" s="30">
        <f>Tabla2757[[#This Row],[Precio por hora]]*Tabla2757[[#This Row],[Cantidad horas]]</f>
        <v>0</v>
      </c>
      <c r="N821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822" spans="2:14" x14ac:dyDescent="0.3">
      <c r="B822" s="28"/>
      <c r="C822" s="20"/>
      <c r="E822" s="136"/>
      <c r="F822" s="177">
        <f>_xlfn.XLOOKUP(Tabla2757[[#This Row],[Tipo de venta]],Tabla2329[Tipo de venta],Tabla2329[Moneda final], "Error - Seleccionar Tipo de Venta", 0,1)</f>
        <v>0</v>
      </c>
      <c r="G822" s="178"/>
      <c r="H822" s="21"/>
      <c r="I822" s="30">
        <f>_xlfn.XLOOKUP(Tabla2757[[#This Row],[Puesto Encargado]], Tabla9[Puesto], Tabla9[Precio cliente],0,1,1)</f>
        <v>0</v>
      </c>
      <c r="J822" s="30">
        <f>_xlfn.XLOOKUP(Tabla2757[[#This Row],[Cargo]], Tabla958[Cargos], Tabla958[Ponderador Precio],0,1,1)</f>
        <v>0</v>
      </c>
      <c r="K822" s="30">
        <f>Tabla2757[[#This Row],[Precio por hora UF]]*Tabla2757[[#This Row],[Ponderador]]</f>
        <v>0</v>
      </c>
      <c r="L822" s="40">
        <v>0</v>
      </c>
      <c r="M822" s="30">
        <f>Tabla2757[[#This Row],[Precio por hora]]*Tabla2757[[#This Row],[Cantidad horas]]</f>
        <v>0</v>
      </c>
      <c r="N822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823" spans="2:14" x14ac:dyDescent="0.3">
      <c r="B823" s="28"/>
      <c r="C823" s="20"/>
      <c r="E823" s="136"/>
      <c r="F823" s="177">
        <f>_xlfn.XLOOKUP(Tabla2757[[#This Row],[Tipo de venta]],Tabla2329[Tipo de venta],Tabla2329[Moneda final], "Error - Seleccionar Tipo de Venta", 0,1)</f>
        <v>0</v>
      </c>
      <c r="G823" s="178"/>
      <c r="H823" s="21"/>
      <c r="I823" s="30">
        <f>_xlfn.XLOOKUP(Tabla2757[[#This Row],[Puesto Encargado]], Tabla9[Puesto], Tabla9[Precio cliente],0,1,1)</f>
        <v>0</v>
      </c>
      <c r="J823" s="30">
        <f>_xlfn.XLOOKUP(Tabla2757[[#This Row],[Cargo]], Tabla958[Cargos], Tabla958[Ponderador Precio],0,1,1)</f>
        <v>0</v>
      </c>
      <c r="K823" s="30">
        <f>Tabla2757[[#This Row],[Precio por hora UF]]*Tabla2757[[#This Row],[Ponderador]]</f>
        <v>0</v>
      </c>
      <c r="L823" s="40">
        <v>0</v>
      </c>
      <c r="M823" s="30">
        <f>Tabla2757[[#This Row],[Precio por hora]]*Tabla2757[[#This Row],[Cantidad horas]]</f>
        <v>0</v>
      </c>
      <c r="N823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824" spans="2:14" x14ac:dyDescent="0.3">
      <c r="B824" s="28"/>
      <c r="C824" s="20"/>
      <c r="E824" s="136"/>
      <c r="F824" s="177">
        <f>_xlfn.XLOOKUP(Tabla2757[[#This Row],[Tipo de venta]],Tabla2329[Tipo de venta],Tabla2329[Moneda final], "Error - Seleccionar Tipo de Venta", 0,1)</f>
        <v>0</v>
      </c>
      <c r="G824" s="178"/>
      <c r="H824" s="21"/>
      <c r="I824" s="30">
        <f>_xlfn.XLOOKUP(Tabla2757[[#This Row],[Puesto Encargado]], Tabla9[Puesto], Tabla9[Precio cliente],0,1,1)</f>
        <v>0</v>
      </c>
      <c r="J824" s="30">
        <f>_xlfn.XLOOKUP(Tabla2757[[#This Row],[Cargo]], Tabla958[Cargos], Tabla958[Ponderador Precio],0,1,1)</f>
        <v>0</v>
      </c>
      <c r="K824" s="30">
        <f>Tabla2757[[#This Row],[Precio por hora UF]]*Tabla2757[[#This Row],[Ponderador]]</f>
        <v>0</v>
      </c>
      <c r="L824" s="40">
        <v>0</v>
      </c>
      <c r="M824" s="30">
        <f>Tabla2757[[#This Row],[Precio por hora]]*Tabla2757[[#This Row],[Cantidad horas]]</f>
        <v>0</v>
      </c>
      <c r="N824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825" spans="2:14" x14ac:dyDescent="0.3">
      <c r="B825" s="28"/>
      <c r="C825" s="20"/>
      <c r="E825" s="136"/>
      <c r="F825" s="177">
        <f>_xlfn.XLOOKUP(Tabla2757[[#This Row],[Tipo de venta]],Tabla2329[Tipo de venta],Tabla2329[Moneda final], "Error - Seleccionar Tipo de Venta", 0,1)</f>
        <v>0</v>
      </c>
      <c r="G825" s="178"/>
      <c r="H825" s="21"/>
      <c r="I825" s="30">
        <f>_xlfn.XLOOKUP(Tabla2757[[#This Row],[Puesto Encargado]], Tabla9[Puesto], Tabla9[Precio cliente],0,1,1)</f>
        <v>0</v>
      </c>
      <c r="J825" s="30">
        <f>_xlfn.XLOOKUP(Tabla2757[[#This Row],[Cargo]], Tabla958[Cargos], Tabla958[Ponderador Precio],0,1,1)</f>
        <v>0</v>
      </c>
      <c r="K825" s="30">
        <f>Tabla2757[[#This Row],[Precio por hora UF]]*Tabla2757[[#This Row],[Ponderador]]</f>
        <v>0</v>
      </c>
      <c r="L825" s="40">
        <v>0</v>
      </c>
      <c r="M825" s="30">
        <f>Tabla2757[[#This Row],[Precio por hora]]*Tabla2757[[#This Row],[Cantidad horas]]</f>
        <v>0</v>
      </c>
      <c r="N825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826" spans="2:14" x14ac:dyDescent="0.3">
      <c r="B826" s="28"/>
      <c r="C826" s="20"/>
      <c r="E826" s="136"/>
      <c r="F826" s="177">
        <f>_xlfn.XLOOKUP(Tabla2757[[#This Row],[Tipo de venta]],Tabla2329[Tipo de venta],Tabla2329[Moneda final], "Error - Seleccionar Tipo de Venta", 0,1)</f>
        <v>0</v>
      </c>
      <c r="G826" s="178"/>
      <c r="H826" s="21"/>
      <c r="I826" s="30">
        <f>_xlfn.XLOOKUP(Tabla2757[[#This Row],[Puesto Encargado]], Tabla9[Puesto], Tabla9[Precio cliente],0,1,1)</f>
        <v>0</v>
      </c>
      <c r="J826" s="30">
        <f>_xlfn.XLOOKUP(Tabla2757[[#This Row],[Cargo]], Tabla958[Cargos], Tabla958[Ponderador Precio],0,1,1)</f>
        <v>0</v>
      </c>
      <c r="K826" s="30">
        <f>Tabla2757[[#This Row],[Precio por hora UF]]*Tabla2757[[#This Row],[Ponderador]]</f>
        <v>0</v>
      </c>
      <c r="L826" s="40">
        <v>0</v>
      </c>
      <c r="M826" s="30">
        <f>Tabla2757[[#This Row],[Precio por hora]]*Tabla2757[[#This Row],[Cantidad horas]]</f>
        <v>0</v>
      </c>
      <c r="N826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827" spans="2:14" x14ac:dyDescent="0.3">
      <c r="B827" s="28"/>
      <c r="C827" s="20"/>
      <c r="E827" s="136"/>
      <c r="F827" s="177">
        <f>_xlfn.XLOOKUP(Tabla2757[[#This Row],[Tipo de venta]],Tabla2329[Tipo de venta],Tabla2329[Moneda final], "Error - Seleccionar Tipo de Venta", 0,1)</f>
        <v>0</v>
      </c>
      <c r="G827" s="178"/>
      <c r="H827" s="21"/>
      <c r="I827" s="30">
        <f>_xlfn.XLOOKUP(Tabla2757[[#This Row],[Puesto Encargado]], Tabla9[Puesto], Tabla9[Precio cliente],0,1,1)</f>
        <v>0</v>
      </c>
      <c r="J827" s="30">
        <f>_xlfn.XLOOKUP(Tabla2757[[#This Row],[Cargo]], Tabla958[Cargos], Tabla958[Ponderador Precio],0,1,1)</f>
        <v>0</v>
      </c>
      <c r="K827" s="30">
        <f>Tabla2757[[#This Row],[Precio por hora UF]]*Tabla2757[[#This Row],[Ponderador]]</f>
        <v>0</v>
      </c>
      <c r="L827" s="40">
        <v>0</v>
      </c>
      <c r="M827" s="30">
        <f>Tabla2757[[#This Row],[Precio por hora]]*Tabla2757[[#This Row],[Cantidad horas]]</f>
        <v>0</v>
      </c>
      <c r="N827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828" spans="2:14" x14ac:dyDescent="0.3">
      <c r="B828" s="28"/>
      <c r="C828" s="20"/>
      <c r="E828" s="136"/>
      <c r="F828" s="177">
        <f>_xlfn.XLOOKUP(Tabla2757[[#This Row],[Tipo de venta]],Tabla2329[Tipo de venta],Tabla2329[Moneda final], "Error - Seleccionar Tipo de Venta", 0,1)</f>
        <v>0</v>
      </c>
      <c r="G828" s="178"/>
      <c r="H828" s="21"/>
      <c r="I828" s="30">
        <f>_xlfn.XLOOKUP(Tabla2757[[#This Row],[Puesto Encargado]], Tabla9[Puesto], Tabla9[Precio cliente],0,1,1)</f>
        <v>0</v>
      </c>
      <c r="J828" s="30">
        <f>_xlfn.XLOOKUP(Tabla2757[[#This Row],[Cargo]], Tabla958[Cargos], Tabla958[Ponderador Precio],0,1,1)</f>
        <v>0</v>
      </c>
      <c r="K828" s="30">
        <f>Tabla2757[[#This Row],[Precio por hora UF]]*Tabla2757[[#This Row],[Ponderador]]</f>
        <v>0</v>
      </c>
      <c r="L828" s="40">
        <v>0</v>
      </c>
      <c r="M828" s="30">
        <f>Tabla2757[[#This Row],[Precio por hora]]*Tabla2757[[#This Row],[Cantidad horas]]</f>
        <v>0</v>
      </c>
      <c r="N828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829" spans="2:14" x14ac:dyDescent="0.3">
      <c r="B829" s="28"/>
      <c r="C829" s="20"/>
      <c r="E829" s="136"/>
      <c r="F829" s="177">
        <f>_xlfn.XLOOKUP(Tabla2757[[#This Row],[Tipo de venta]],Tabla2329[Tipo de venta],Tabla2329[Moneda final], "Error - Seleccionar Tipo de Venta", 0,1)</f>
        <v>0</v>
      </c>
      <c r="G829" s="178"/>
      <c r="H829" s="21"/>
      <c r="I829" s="30">
        <f>_xlfn.XLOOKUP(Tabla2757[[#This Row],[Puesto Encargado]], Tabla9[Puesto], Tabla9[Precio cliente],0,1,1)</f>
        <v>0</v>
      </c>
      <c r="J829" s="30">
        <f>_xlfn.XLOOKUP(Tabla2757[[#This Row],[Cargo]], Tabla958[Cargos], Tabla958[Ponderador Precio],0,1,1)</f>
        <v>0</v>
      </c>
      <c r="K829" s="30">
        <f>Tabla2757[[#This Row],[Precio por hora UF]]*Tabla2757[[#This Row],[Ponderador]]</f>
        <v>0</v>
      </c>
      <c r="L829" s="40">
        <v>0</v>
      </c>
      <c r="M829" s="30">
        <f>Tabla2757[[#This Row],[Precio por hora]]*Tabla2757[[#This Row],[Cantidad horas]]</f>
        <v>0</v>
      </c>
      <c r="N829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830" spans="2:14" x14ac:dyDescent="0.3">
      <c r="B830" s="28"/>
      <c r="C830" s="20"/>
      <c r="E830" s="136"/>
      <c r="F830" s="177">
        <f>_xlfn.XLOOKUP(Tabla2757[[#This Row],[Tipo de venta]],Tabla2329[Tipo de venta],Tabla2329[Moneda final], "Error - Seleccionar Tipo de Venta", 0,1)</f>
        <v>0</v>
      </c>
      <c r="G830" s="178"/>
      <c r="H830" s="21"/>
      <c r="I830" s="30">
        <f>_xlfn.XLOOKUP(Tabla2757[[#This Row],[Puesto Encargado]], Tabla9[Puesto], Tabla9[Precio cliente],0,1,1)</f>
        <v>0</v>
      </c>
      <c r="J830" s="30">
        <f>_xlfn.XLOOKUP(Tabla2757[[#This Row],[Cargo]], Tabla958[Cargos], Tabla958[Ponderador Precio],0,1,1)</f>
        <v>0</v>
      </c>
      <c r="K830" s="30">
        <f>Tabla2757[[#This Row],[Precio por hora UF]]*Tabla2757[[#This Row],[Ponderador]]</f>
        <v>0</v>
      </c>
      <c r="L830" s="40">
        <v>0</v>
      </c>
      <c r="M830" s="30">
        <f>Tabla2757[[#This Row],[Precio por hora]]*Tabla2757[[#This Row],[Cantidad horas]]</f>
        <v>0</v>
      </c>
      <c r="N830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831" spans="2:14" x14ac:dyDescent="0.3">
      <c r="B831" s="28"/>
      <c r="C831" s="20"/>
      <c r="E831" s="136"/>
      <c r="F831" s="177">
        <f>_xlfn.XLOOKUP(Tabla2757[[#This Row],[Tipo de venta]],Tabla2329[Tipo de venta],Tabla2329[Moneda final], "Error - Seleccionar Tipo de Venta", 0,1)</f>
        <v>0</v>
      </c>
      <c r="G831" s="178"/>
      <c r="H831" s="21"/>
      <c r="I831" s="30">
        <f>_xlfn.XLOOKUP(Tabla2757[[#This Row],[Puesto Encargado]], Tabla9[Puesto], Tabla9[Precio cliente],0,1,1)</f>
        <v>0</v>
      </c>
      <c r="J831" s="30">
        <f>_xlfn.XLOOKUP(Tabla2757[[#This Row],[Cargo]], Tabla958[Cargos], Tabla958[Ponderador Precio],0,1,1)</f>
        <v>0</v>
      </c>
      <c r="K831" s="30">
        <f>Tabla2757[[#This Row],[Precio por hora UF]]*Tabla2757[[#This Row],[Ponderador]]</f>
        <v>0</v>
      </c>
      <c r="L831" s="40">
        <v>0</v>
      </c>
      <c r="M831" s="30">
        <f>Tabla2757[[#This Row],[Precio por hora]]*Tabla2757[[#This Row],[Cantidad horas]]</f>
        <v>0</v>
      </c>
      <c r="N831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832" spans="2:14" x14ac:dyDescent="0.3">
      <c r="B832" s="28"/>
      <c r="C832" s="20"/>
      <c r="E832" s="136"/>
      <c r="F832" s="177">
        <f>_xlfn.XLOOKUP(Tabla2757[[#This Row],[Tipo de venta]],Tabla2329[Tipo de venta],Tabla2329[Moneda final], "Error - Seleccionar Tipo de Venta", 0,1)</f>
        <v>0</v>
      </c>
      <c r="G832" s="178"/>
      <c r="H832" s="21"/>
      <c r="I832" s="30">
        <f>_xlfn.XLOOKUP(Tabla2757[[#This Row],[Puesto Encargado]], Tabla9[Puesto], Tabla9[Precio cliente],0,1,1)</f>
        <v>0</v>
      </c>
      <c r="J832" s="30">
        <f>_xlfn.XLOOKUP(Tabla2757[[#This Row],[Cargo]], Tabla958[Cargos], Tabla958[Ponderador Precio],0,1,1)</f>
        <v>0</v>
      </c>
      <c r="K832" s="30">
        <f>Tabla2757[[#This Row],[Precio por hora UF]]*Tabla2757[[#This Row],[Ponderador]]</f>
        <v>0</v>
      </c>
      <c r="L832" s="40">
        <v>0</v>
      </c>
      <c r="M832" s="30">
        <f>Tabla2757[[#This Row],[Precio por hora]]*Tabla2757[[#This Row],[Cantidad horas]]</f>
        <v>0</v>
      </c>
      <c r="N832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833" spans="2:14" x14ac:dyDescent="0.3">
      <c r="B833" s="28"/>
      <c r="C833" s="20"/>
      <c r="E833" s="136"/>
      <c r="F833" s="177">
        <f>_xlfn.XLOOKUP(Tabla2757[[#This Row],[Tipo de venta]],Tabla2329[Tipo de venta],Tabla2329[Moneda final], "Error - Seleccionar Tipo de Venta", 0,1)</f>
        <v>0</v>
      </c>
      <c r="G833" s="178"/>
      <c r="H833" s="21"/>
      <c r="I833" s="30">
        <f>_xlfn.XLOOKUP(Tabla2757[[#This Row],[Puesto Encargado]], Tabla9[Puesto], Tabla9[Precio cliente],0,1,1)</f>
        <v>0</v>
      </c>
      <c r="J833" s="30">
        <f>_xlfn.XLOOKUP(Tabla2757[[#This Row],[Cargo]], Tabla958[Cargos], Tabla958[Ponderador Precio],0,1,1)</f>
        <v>0</v>
      </c>
      <c r="K833" s="30">
        <f>Tabla2757[[#This Row],[Precio por hora UF]]*Tabla2757[[#This Row],[Ponderador]]</f>
        <v>0</v>
      </c>
      <c r="L833" s="40">
        <v>0</v>
      </c>
      <c r="M833" s="30">
        <f>Tabla2757[[#This Row],[Precio por hora]]*Tabla2757[[#This Row],[Cantidad horas]]</f>
        <v>0</v>
      </c>
      <c r="N833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834" spans="2:14" x14ac:dyDescent="0.3">
      <c r="B834" s="28"/>
      <c r="C834" s="20"/>
      <c r="E834" s="136"/>
      <c r="F834" s="177">
        <f>_xlfn.XLOOKUP(Tabla2757[[#This Row],[Tipo de venta]],Tabla2329[Tipo de venta],Tabla2329[Moneda final], "Error - Seleccionar Tipo de Venta", 0,1)</f>
        <v>0</v>
      </c>
      <c r="G834" s="178"/>
      <c r="H834" s="21"/>
      <c r="I834" s="30">
        <f>_xlfn.XLOOKUP(Tabla2757[[#This Row],[Puesto Encargado]], Tabla9[Puesto], Tabla9[Precio cliente],0,1,1)</f>
        <v>0</v>
      </c>
      <c r="J834" s="30">
        <f>_xlfn.XLOOKUP(Tabla2757[[#This Row],[Cargo]], Tabla958[Cargos], Tabla958[Ponderador Precio],0,1,1)</f>
        <v>0</v>
      </c>
      <c r="K834" s="30">
        <f>Tabla2757[[#This Row],[Precio por hora UF]]*Tabla2757[[#This Row],[Ponderador]]</f>
        <v>0</v>
      </c>
      <c r="L834" s="40">
        <v>0</v>
      </c>
      <c r="M834" s="30">
        <f>Tabla2757[[#This Row],[Precio por hora]]*Tabla2757[[#This Row],[Cantidad horas]]</f>
        <v>0</v>
      </c>
      <c r="N834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835" spans="2:14" x14ac:dyDescent="0.3">
      <c r="B835" s="28"/>
      <c r="C835" s="20"/>
      <c r="E835" s="136"/>
      <c r="F835" s="177">
        <f>_xlfn.XLOOKUP(Tabla2757[[#This Row],[Tipo de venta]],Tabla2329[Tipo de venta],Tabla2329[Moneda final], "Error - Seleccionar Tipo de Venta", 0,1)</f>
        <v>0</v>
      </c>
      <c r="G835" s="178"/>
      <c r="H835" s="21"/>
      <c r="I835" s="30">
        <f>_xlfn.XLOOKUP(Tabla2757[[#This Row],[Puesto Encargado]], Tabla9[Puesto], Tabla9[Precio cliente],0,1,1)</f>
        <v>0</v>
      </c>
      <c r="J835" s="30">
        <f>_xlfn.XLOOKUP(Tabla2757[[#This Row],[Cargo]], Tabla958[Cargos], Tabla958[Ponderador Precio],0,1,1)</f>
        <v>0</v>
      </c>
      <c r="K835" s="30">
        <f>Tabla2757[[#This Row],[Precio por hora UF]]*Tabla2757[[#This Row],[Ponderador]]</f>
        <v>0</v>
      </c>
      <c r="L835" s="40">
        <v>0</v>
      </c>
      <c r="M835" s="30">
        <f>Tabla2757[[#This Row],[Precio por hora]]*Tabla2757[[#This Row],[Cantidad horas]]</f>
        <v>0</v>
      </c>
      <c r="N835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836" spans="2:14" x14ac:dyDescent="0.3">
      <c r="B836" s="28"/>
      <c r="C836" s="20"/>
      <c r="E836" s="136"/>
      <c r="F836" s="177">
        <f>_xlfn.XLOOKUP(Tabla2757[[#This Row],[Tipo de venta]],Tabla2329[Tipo de venta],Tabla2329[Moneda final], "Error - Seleccionar Tipo de Venta", 0,1)</f>
        <v>0</v>
      </c>
      <c r="G836" s="178"/>
      <c r="H836" s="21"/>
      <c r="I836" s="30">
        <f>_xlfn.XLOOKUP(Tabla2757[[#This Row],[Puesto Encargado]], Tabla9[Puesto], Tabla9[Precio cliente],0,1,1)</f>
        <v>0</v>
      </c>
      <c r="J836" s="30">
        <f>_xlfn.XLOOKUP(Tabla2757[[#This Row],[Cargo]], Tabla958[Cargos], Tabla958[Ponderador Precio],0,1,1)</f>
        <v>0</v>
      </c>
      <c r="K836" s="30">
        <f>Tabla2757[[#This Row],[Precio por hora UF]]*Tabla2757[[#This Row],[Ponderador]]</f>
        <v>0</v>
      </c>
      <c r="L836" s="40">
        <v>0</v>
      </c>
      <c r="M836" s="30">
        <f>Tabla2757[[#This Row],[Precio por hora]]*Tabla2757[[#This Row],[Cantidad horas]]</f>
        <v>0</v>
      </c>
      <c r="N836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837" spans="2:14" x14ac:dyDescent="0.3">
      <c r="B837" s="28"/>
      <c r="C837" s="20"/>
      <c r="E837" s="136"/>
      <c r="F837" s="177">
        <f>_xlfn.XLOOKUP(Tabla2757[[#This Row],[Tipo de venta]],Tabla2329[Tipo de venta],Tabla2329[Moneda final], "Error - Seleccionar Tipo de Venta", 0,1)</f>
        <v>0</v>
      </c>
      <c r="G837" s="178"/>
      <c r="H837" s="21"/>
      <c r="I837" s="30">
        <f>_xlfn.XLOOKUP(Tabla2757[[#This Row],[Puesto Encargado]], Tabla9[Puesto], Tabla9[Precio cliente],0,1,1)</f>
        <v>0</v>
      </c>
      <c r="J837" s="30">
        <f>_xlfn.XLOOKUP(Tabla2757[[#This Row],[Cargo]], Tabla958[Cargos], Tabla958[Ponderador Precio],0,1,1)</f>
        <v>0</v>
      </c>
      <c r="K837" s="30">
        <f>Tabla2757[[#This Row],[Precio por hora UF]]*Tabla2757[[#This Row],[Ponderador]]</f>
        <v>0</v>
      </c>
      <c r="L837" s="40">
        <v>0</v>
      </c>
      <c r="M837" s="30">
        <f>Tabla2757[[#This Row],[Precio por hora]]*Tabla2757[[#This Row],[Cantidad horas]]</f>
        <v>0</v>
      </c>
      <c r="N837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838" spans="2:14" x14ac:dyDescent="0.3">
      <c r="B838" s="28"/>
      <c r="C838" s="20"/>
      <c r="E838" s="136"/>
      <c r="F838" s="177">
        <f>_xlfn.XLOOKUP(Tabla2757[[#This Row],[Tipo de venta]],Tabla2329[Tipo de venta],Tabla2329[Moneda final], "Error - Seleccionar Tipo de Venta", 0,1)</f>
        <v>0</v>
      </c>
      <c r="G838" s="178"/>
      <c r="H838" s="21"/>
      <c r="I838" s="30">
        <f>_xlfn.XLOOKUP(Tabla2757[[#This Row],[Puesto Encargado]], Tabla9[Puesto], Tabla9[Precio cliente],0,1,1)</f>
        <v>0</v>
      </c>
      <c r="J838" s="30">
        <f>_xlfn.XLOOKUP(Tabla2757[[#This Row],[Cargo]], Tabla958[Cargos], Tabla958[Ponderador Precio],0,1,1)</f>
        <v>0</v>
      </c>
      <c r="K838" s="30">
        <f>Tabla2757[[#This Row],[Precio por hora UF]]*Tabla2757[[#This Row],[Ponderador]]</f>
        <v>0</v>
      </c>
      <c r="L838" s="40">
        <v>0</v>
      </c>
      <c r="M838" s="30">
        <f>Tabla2757[[#This Row],[Precio por hora]]*Tabla2757[[#This Row],[Cantidad horas]]</f>
        <v>0</v>
      </c>
      <c r="N838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839" spans="2:14" x14ac:dyDescent="0.3">
      <c r="B839" s="28"/>
      <c r="C839" s="20"/>
      <c r="E839" s="136"/>
      <c r="F839" s="177">
        <f>_xlfn.XLOOKUP(Tabla2757[[#This Row],[Tipo de venta]],Tabla2329[Tipo de venta],Tabla2329[Moneda final], "Error - Seleccionar Tipo de Venta", 0,1)</f>
        <v>0</v>
      </c>
      <c r="G839" s="178"/>
      <c r="H839" s="21"/>
      <c r="I839" s="30">
        <f>_xlfn.XLOOKUP(Tabla2757[[#This Row],[Puesto Encargado]], Tabla9[Puesto], Tabla9[Precio cliente],0,1,1)</f>
        <v>0</v>
      </c>
      <c r="J839" s="30">
        <f>_xlfn.XLOOKUP(Tabla2757[[#This Row],[Cargo]], Tabla958[Cargos], Tabla958[Ponderador Precio],0,1,1)</f>
        <v>0</v>
      </c>
      <c r="K839" s="30">
        <f>Tabla2757[[#This Row],[Precio por hora UF]]*Tabla2757[[#This Row],[Ponderador]]</f>
        <v>0</v>
      </c>
      <c r="L839" s="40">
        <v>0</v>
      </c>
      <c r="M839" s="30">
        <f>Tabla2757[[#This Row],[Precio por hora]]*Tabla2757[[#This Row],[Cantidad horas]]</f>
        <v>0</v>
      </c>
      <c r="N839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840" spans="2:14" x14ac:dyDescent="0.3">
      <c r="B840" s="28"/>
      <c r="C840" s="20"/>
      <c r="E840" s="136"/>
      <c r="F840" s="177">
        <f>_xlfn.XLOOKUP(Tabla2757[[#This Row],[Tipo de venta]],Tabla2329[Tipo de venta],Tabla2329[Moneda final], "Error - Seleccionar Tipo de Venta", 0,1)</f>
        <v>0</v>
      </c>
      <c r="G840" s="178"/>
      <c r="H840" s="21"/>
      <c r="I840" s="30">
        <f>_xlfn.XLOOKUP(Tabla2757[[#This Row],[Puesto Encargado]], Tabla9[Puesto], Tabla9[Precio cliente],0,1,1)</f>
        <v>0</v>
      </c>
      <c r="J840" s="30">
        <f>_xlfn.XLOOKUP(Tabla2757[[#This Row],[Cargo]], Tabla958[Cargos], Tabla958[Ponderador Precio],0,1,1)</f>
        <v>0</v>
      </c>
      <c r="K840" s="30">
        <f>Tabla2757[[#This Row],[Precio por hora UF]]*Tabla2757[[#This Row],[Ponderador]]</f>
        <v>0</v>
      </c>
      <c r="L840" s="40">
        <v>0</v>
      </c>
      <c r="M840" s="30">
        <f>Tabla2757[[#This Row],[Precio por hora]]*Tabla2757[[#This Row],[Cantidad horas]]</f>
        <v>0</v>
      </c>
      <c r="N840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841" spans="2:14" x14ac:dyDescent="0.3">
      <c r="B841" s="28"/>
      <c r="C841" s="20"/>
      <c r="E841" s="136"/>
      <c r="F841" s="177">
        <f>_xlfn.XLOOKUP(Tabla2757[[#This Row],[Tipo de venta]],Tabla2329[Tipo de venta],Tabla2329[Moneda final], "Error - Seleccionar Tipo de Venta", 0,1)</f>
        <v>0</v>
      </c>
      <c r="G841" s="178"/>
      <c r="H841" s="21"/>
      <c r="I841" s="30">
        <f>_xlfn.XLOOKUP(Tabla2757[[#This Row],[Puesto Encargado]], Tabla9[Puesto], Tabla9[Precio cliente],0,1,1)</f>
        <v>0</v>
      </c>
      <c r="J841" s="30">
        <f>_xlfn.XLOOKUP(Tabla2757[[#This Row],[Cargo]], Tabla958[Cargos], Tabla958[Ponderador Precio],0,1,1)</f>
        <v>0</v>
      </c>
      <c r="K841" s="30">
        <f>Tabla2757[[#This Row],[Precio por hora UF]]*Tabla2757[[#This Row],[Ponderador]]</f>
        <v>0</v>
      </c>
      <c r="L841" s="40">
        <v>0</v>
      </c>
      <c r="M841" s="30">
        <f>Tabla2757[[#This Row],[Precio por hora]]*Tabla2757[[#This Row],[Cantidad horas]]</f>
        <v>0</v>
      </c>
      <c r="N841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842" spans="2:14" x14ac:dyDescent="0.3">
      <c r="B842" s="28"/>
      <c r="C842" s="20"/>
      <c r="E842" s="136"/>
      <c r="F842" s="177">
        <f>_xlfn.XLOOKUP(Tabla2757[[#This Row],[Tipo de venta]],Tabla2329[Tipo de venta],Tabla2329[Moneda final], "Error - Seleccionar Tipo de Venta", 0,1)</f>
        <v>0</v>
      </c>
      <c r="G842" s="178"/>
      <c r="H842" s="21"/>
      <c r="I842" s="30">
        <f>_xlfn.XLOOKUP(Tabla2757[[#This Row],[Puesto Encargado]], Tabla9[Puesto], Tabla9[Precio cliente],0,1,1)</f>
        <v>0</v>
      </c>
      <c r="J842" s="30">
        <f>_xlfn.XLOOKUP(Tabla2757[[#This Row],[Cargo]], Tabla958[Cargos], Tabla958[Ponderador Precio],0,1,1)</f>
        <v>0</v>
      </c>
      <c r="K842" s="30">
        <f>Tabla2757[[#This Row],[Precio por hora UF]]*Tabla2757[[#This Row],[Ponderador]]</f>
        <v>0</v>
      </c>
      <c r="L842" s="40">
        <v>0</v>
      </c>
      <c r="M842" s="30">
        <f>Tabla2757[[#This Row],[Precio por hora]]*Tabla2757[[#This Row],[Cantidad horas]]</f>
        <v>0</v>
      </c>
      <c r="N842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843" spans="2:14" x14ac:dyDescent="0.3">
      <c r="B843" s="28"/>
      <c r="C843" s="20"/>
      <c r="E843" s="136"/>
      <c r="F843" s="177">
        <f>_xlfn.XLOOKUP(Tabla2757[[#This Row],[Tipo de venta]],Tabla2329[Tipo de venta],Tabla2329[Moneda final], "Error - Seleccionar Tipo de Venta", 0,1)</f>
        <v>0</v>
      </c>
      <c r="G843" s="178"/>
      <c r="H843" s="21"/>
      <c r="I843" s="30">
        <f>_xlfn.XLOOKUP(Tabla2757[[#This Row],[Puesto Encargado]], Tabla9[Puesto], Tabla9[Precio cliente],0,1,1)</f>
        <v>0</v>
      </c>
      <c r="J843" s="30">
        <f>_xlfn.XLOOKUP(Tabla2757[[#This Row],[Cargo]], Tabla958[Cargos], Tabla958[Ponderador Precio],0,1,1)</f>
        <v>0</v>
      </c>
      <c r="K843" s="30">
        <f>Tabla2757[[#This Row],[Precio por hora UF]]*Tabla2757[[#This Row],[Ponderador]]</f>
        <v>0</v>
      </c>
      <c r="L843" s="40">
        <v>0</v>
      </c>
      <c r="M843" s="30">
        <f>Tabla2757[[#This Row],[Precio por hora]]*Tabla2757[[#This Row],[Cantidad horas]]</f>
        <v>0</v>
      </c>
      <c r="N843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844" spans="2:14" x14ac:dyDescent="0.3">
      <c r="B844" s="28"/>
      <c r="C844" s="20"/>
      <c r="E844" s="136"/>
      <c r="F844" s="177">
        <f>_xlfn.XLOOKUP(Tabla2757[[#This Row],[Tipo de venta]],Tabla2329[Tipo de venta],Tabla2329[Moneda final], "Error - Seleccionar Tipo de Venta", 0,1)</f>
        <v>0</v>
      </c>
      <c r="G844" s="178"/>
      <c r="H844" s="21"/>
      <c r="I844" s="30">
        <f>_xlfn.XLOOKUP(Tabla2757[[#This Row],[Puesto Encargado]], Tabla9[Puesto], Tabla9[Precio cliente],0,1,1)</f>
        <v>0</v>
      </c>
      <c r="J844" s="30">
        <f>_xlfn.XLOOKUP(Tabla2757[[#This Row],[Cargo]], Tabla958[Cargos], Tabla958[Ponderador Precio],0,1,1)</f>
        <v>0</v>
      </c>
      <c r="K844" s="30">
        <f>Tabla2757[[#This Row],[Precio por hora UF]]*Tabla2757[[#This Row],[Ponderador]]</f>
        <v>0</v>
      </c>
      <c r="L844" s="40">
        <v>0</v>
      </c>
      <c r="M844" s="30">
        <f>Tabla2757[[#This Row],[Precio por hora]]*Tabla2757[[#This Row],[Cantidad horas]]</f>
        <v>0</v>
      </c>
      <c r="N844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845" spans="2:14" x14ac:dyDescent="0.3">
      <c r="B845" s="28"/>
      <c r="C845" s="20"/>
      <c r="E845" s="136"/>
      <c r="F845" s="177">
        <f>_xlfn.XLOOKUP(Tabla2757[[#This Row],[Tipo de venta]],Tabla2329[Tipo de venta],Tabla2329[Moneda final], "Error - Seleccionar Tipo de Venta", 0,1)</f>
        <v>0</v>
      </c>
      <c r="G845" s="178"/>
      <c r="H845" s="21"/>
      <c r="I845" s="30">
        <f>_xlfn.XLOOKUP(Tabla2757[[#This Row],[Puesto Encargado]], Tabla9[Puesto], Tabla9[Precio cliente],0,1,1)</f>
        <v>0</v>
      </c>
      <c r="J845" s="30">
        <f>_xlfn.XLOOKUP(Tabla2757[[#This Row],[Cargo]], Tabla958[Cargos], Tabla958[Ponderador Precio],0,1,1)</f>
        <v>0</v>
      </c>
      <c r="K845" s="30">
        <f>Tabla2757[[#This Row],[Precio por hora UF]]*Tabla2757[[#This Row],[Ponderador]]</f>
        <v>0</v>
      </c>
      <c r="L845" s="40">
        <v>0</v>
      </c>
      <c r="M845" s="30">
        <f>Tabla2757[[#This Row],[Precio por hora]]*Tabla2757[[#This Row],[Cantidad horas]]</f>
        <v>0</v>
      </c>
      <c r="N845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846" spans="2:14" x14ac:dyDescent="0.3">
      <c r="B846" s="28"/>
      <c r="C846" s="20"/>
      <c r="E846" s="136"/>
      <c r="F846" s="177">
        <f>_xlfn.XLOOKUP(Tabla2757[[#This Row],[Tipo de venta]],Tabla2329[Tipo de venta],Tabla2329[Moneda final], "Error - Seleccionar Tipo de Venta", 0,1)</f>
        <v>0</v>
      </c>
      <c r="G846" s="178"/>
      <c r="H846" s="21"/>
      <c r="I846" s="30">
        <f>_xlfn.XLOOKUP(Tabla2757[[#This Row],[Puesto Encargado]], Tabla9[Puesto], Tabla9[Precio cliente],0,1,1)</f>
        <v>0</v>
      </c>
      <c r="J846" s="30">
        <f>_xlfn.XLOOKUP(Tabla2757[[#This Row],[Cargo]], Tabla958[Cargos], Tabla958[Ponderador Precio],0,1,1)</f>
        <v>0</v>
      </c>
      <c r="K846" s="30">
        <f>Tabla2757[[#This Row],[Precio por hora UF]]*Tabla2757[[#This Row],[Ponderador]]</f>
        <v>0</v>
      </c>
      <c r="L846" s="40">
        <v>0</v>
      </c>
      <c r="M846" s="30">
        <f>Tabla2757[[#This Row],[Precio por hora]]*Tabla2757[[#This Row],[Cantidad horas]]</f>
        <v>0</v>
      </c>
      <c r="N846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847" spans="2:14" x14ac:dyDescent="0.3">
      <c r="B847" s="28"/>
      <c r="C847" s="20"/>
      <c r="E847" s="136"/>
      <c r="F847" s="177">
        <f>_xlfn.XLOOKUP(Tabla2757[[#This Row],[Tipo de venta]],Tabla2329[Tipo de venta],Tabla2329[Moneda final], "Error - Seleccionar Tipo de Venta", 0,1)</f>
        <v>0</v>
      </c>
      <c r="G847" s="178"/>
      <c r="H847" s="21"/>
      <c r="I847" s="30">
        <f>_xlfn.XLOOKUP(Tabla2757[[#This Row],[Puesto Encargado]], Tabla9[Puesto], Tabla9[Precio cliente],0,1,1)</f>
        <v>0</v>
      </c>
      <c r="J847" s="30">
        <f>_xlfn.XLOOKUP(Tabla2757[[#This Row],[Cargo]], Tabla958[Cargos], Tabla958[Ponderador Precio],0,1,1)</f>
        <v>0</v>
      </c>
      <c r="K847" s="30">
        <f>Tabla2757[[#This Row],[Precio por hora UF]]*Tabla2757[[#This Row],[Ponderador]]</f>
        <v>0</v>
      </c>
      <c r="L847" s="40">
        <v>0</v>
      </c>
      <c r="M847" s="30">
        <f>Tabla2757[[#This Row],[Precio por hora]]*Tabla2757[[#This Row],[Cantidad horas]]</f>
        <v>0</v>
      </c>
      <c r="N847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848" spans="2:14" x14ac:dyDescent="0.3">
      <c r="B848" s="28"/>
      <c r="C848" s="20"/>
      <c r="E848" s="136"/>
      <c r="F848" s="177">
        <f>_xlfn.XLOOKUP(Tabla2757[[#This Row],[Tipo de venta]],Tabla2329[Tipo de venta],Tabla2329[Moneda final], "Error - Seleccionar Tipo de Venta", 0,1)</f>
        <v>0</v>
      </c>
      <c r="G848" s="178"/>
      <c r="H848" s="21"/>
      <c r="I848" s="30">
        <f>_xlfn.XLOOKUP(Tabla2757[[#This Row],[Puesto Encargado]], Tabla9[Puesto], Tabla9[Precio cliente],0,1,1)</f>
        <v>0</v>
      </c>
      <c r="J848" s="30">
        <f>_xlfn.XLOOKUP(Tabla2757[[#This Row],[Cargo]], Tabla958[Cargos], Tabla958[Ponderador Precio],0,1,1)</f>
        <v>0</v>
      </c>
      <c r="K848" s="30">
        <f>Tabla2757[[#This Row],[Precio por hora UF]]*Tabla2757[[#This Row],[Ponderador]]</f>
        <v>0</v>
      </c>
      <c r="L848" s="40">
        <v>0</v>
      </c>
      <c r="M848" s="30">
        <f>Tabla2757[[#This Row],[Precio por hora]]*Tabla2757[[#This Row],[Cantidad horas]]</f>
        <v>0</v>
      </c>
      <c r="N848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849" spans="2:14" x14ac:dyDescent="0.3">
      <c r="B849" s="28"/>
      <c r="C849" s="20"/>
      <c r="E849" s="136"/>
      <c r="F849" s="177">
        <f>_xlfn.XLOOKUP(Tabla2757[[#This Row],[Tipo de venta]],Tabla2329[Tipo de venta],Tabla2329[Moneda final], "Error - Seleccionar Tipo de Venta", 0,1)</f>
        <v>0</v>
      </c>
      <c r="G849" s="178"/>
      <c r="H849" s="21"/>
      <c r="I849" s="30">
        <f>_xlfn.XLOOKUP(Tabla2757[[#This Row],[Puesto Encargado]], Tabla9[Puesto], Tabla9[Precio cliente],0,1,1)</f>
        <v>0</v>
      </c>
      <c r="J849" s="30">
        <f>_xlfn.XLOOKUP(Tabla2757[[#This Row],[Cargo]], Tabla958[Cargos], Tabla958[Ponderador Precio],0,1,1)</f>
        <v>0</v>
      </c>
      <c r="K849" s="30">
        <f>Tabla2757[[#This Row],[Precio por hora UF]]*Tabla2757[[#This Row],[Ponderador]]</f>
        <v>0</v>
      </c>
      <c r="L849" s="40">
        <v>0</v>
      </c>
      <c r="M849" s="30">
        <f>Tabla2757[[#This Row],[Precio por hora]]*Tabla2757[[#This Row],[Cantidad horas]]</f>
        <v>0</v>
      </c>
      <c r="N849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850" spans="2:14" x14ac:dyDescent="0.3">
      <c r="B850" s="28"/>
      <c r="C850" s="20"/>
      <c r="E850" s="136"/>
      <c r="F850" s="177">
        <f>_xlfn.XLOOKUP(Tabla2757[[#This Row],[Tipo de venta]],Tabla2329[Tipo de venta],Tabla2329[Moneda final], "Error - Seleccionar Tipo de Venta", 0,1)</f>
        <v>0</v>
      </c>
      <c r="G850" s="178"/>
      <c r="H850" s="21"/>
      <c r="I850" s="30">
        <f>_xlfn.XLOOKUP(Tabla2757[[#This Row],[Puesto Encargado]], Tabla9[Puesto], Tabla9[Precio cliente],0,1,1)</f>
        <v>0</v>
      </c>
      <c r="J850" s="30">
        <f>_xlfn.XLOOKUP(Tabla2757[[#This Row],[Cargo]], Tabla958[Cargos], Tabla958[Ponderador Precio],0,1,1)</f>
        <v>0</v>
      </c>
      <c r="K850" s="30">
        <f>Tabla2757[[#This Row],[Precio por hora UF]]*Tabla2757[[#This Row],[Ponderador]]</f>
        <v>0</v>
      </c>
      <c r="L850" s="40">
        <v>0</v>
      </c>
      <c r="M850" s="30">
        <f>Tabla2757[[#This Row],[Precio por hora]]*Tabla2757[[#This Row],[Cantidad horas]]</f>
        <v>0</v>
      </c>
      <c r="N850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851" spans="2:14" x14ac:dyDescent="0.3">
      <c r="B851" s="28"/>
      <c r="C851" s="20"/>
      <c r="E851" s="136"/>
      <c r="F851" s="177">
        <f>_xlfn.XLOOKUP(Tabla2757[[#This Row],[Tipo de venta]],Tabla2329[Tipo de venta],Tabla2329[Moneda final], "Error - Seleccionar Tipo de Venta", 0,1)</f>
        <v>0</v>
      </c>
      <c r="G851" s="178"/>
      <c r="H851" s="21"/>
      <c r="I851" s="30">
        <f>_xlfn.XLOOKUP(Tabla2757[[#This Row],[Puesto Encargado]], Tabla9[Puesto], Tabla9[Precio cliente],0,1,1)</f>
        <v>0</v>
      </c>
      <c r="J851" s="30">
        <f>_xlfn.XLOOKUP(Tabla2757[[#This Row],[Cargo]], Tabla958[Cargos], Tabla958[Ponderador Precio],0,1,1)</f>
        <v>0</v>
      </c>
      <c r="K851" s="30">
        <f>Tabla2757[[#This Row],[Precio por hora UF]]*Tabla2757[[#This Row],[Ponderador]]</f>
        <v>0</v>
      </c>
      <c r="L851" s="40">
        <v>0</v>
      </c>
      <c r="M851" s="30">
        <f>Tabla2757[[#This Row],[Precio por hora]]*Tabla2757[[#This Row],[Cantidad horas]]</f>
        <v>0</v>
      </c>
      <c r="N851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852" spans="2:14" x14ac:dyDescent="0.3">
      <c r="B852" s="28"/>
      <c r="C852" s="20"/>
      <c r="E852" s="136"/>
      <c r="F852" s="177">
        <f>_xlfn.XLOOKUP(Tabla2757[[#This Row],[Tipo de venta]],Tabla2329[Tipo de venta],Tabla2329[Moneda final], "Error - Seleccionar Tipo de Venta", 0,1)</f>
        <v>0</v>
      </c>
      <c r="G852" s="178"/>
      <c r="H852" s="21"/>
      <c r="I852" s="30">
        <f>_xlfn.XLOOKUP(Tabla2757[[#This Row],[Puesto Encargado]], Tabla9[Puesto], Tabla9[Precio cliente],0,1,1)</f>
        <v>0</v>
      </c>
      <c r="J852" s="30">
        <f>_xlfn.XLOOKUP(Tabla2757[[#This Row],[Cargo]], Tabla958[Cargos], Tabla958[Ponderador Precio],0,1,1)</f>
        <v>0</v>
      </c>
      <c r="K852" s="30">
        <f>Tabla2757[[#This Row],[Precio por hora UF]]*Tabla2757[[#This Row],[Ponderador]]</f>
        <v>0</v>
      </c>
      <c r="L852" s="40">
        <v>0</v>
      </c>
      <c r="M852" s="30">
        <f>Tabla2757[[#This Row],[Precio por hora]]*Tabla2757[[#This Row],[Cantidad horas]]</f>
        <v>0</v>
      </c>
      <c r="N852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853" spans="2:14" x14ac:dyDescent="0.3">
      <c r="B853" s="28"/>
      <c r="C853" s="20"/>
      <c r="E853" s="136"/>
      <c r="F853" s="177">
        <f>_xlfn.XLOOKUP(Tabla2757[[#This Row],[Tipo de venta]],Tabla2329[Tipo de venta],Tabla2329[Moneda final], "Error - Seleccionar Tipo de Venta", 0,1)</f>
        <v>0</v>
      </c>
      <c r="G853" s="178"/>
      <c r="H853" s="21"/>
      <c r="I853" s="30">
        <f>_xlfn.XLOOKUP(Tabla2757[[#This Row],[Puesto Encargado]], Tabla9[Puesto], Tabla9[Precio cliente],0,1,1)</f>
        <v>0</v>
      </c>
      <c r="J853" s="30">
        <f>_xlfn.XLOOKUP(Tabla2757[[#This Row],[Cargo]], Tabla958[Cargos], Tabla958[Ponderador Precio],0,1,1)</f>
        <v>0</v>
      </c>
      <c r="K853" s="30">
        <f>Tabla2757[[#This Row],[Precio por hora UF]]*Tabla2757[[#This Row],[Ponderador]]</f>
        <v>0</v>
      </c>
      <c r="L853" s="40">
        <v>0</v>
      </c>
      <c r="M853" s="30">
        <f>Tabla2757[[#This Row],[Precio por hora]]*Tabla2757[[#This Row],[Cantidad horas]]</f>
        <v>0</v>
      </c>
      <c r="N853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854" spans="2:14" x14ac:dyDescent="0.3">
      <c r="B854" s="28"/>
      <c r="C854" s="20"/>
      <c r="E854" s="136"/>
      <c r="F854" s="177">
        <f>_xlfn.XLOOKUP(Tabla2757[[#This Row],[Tipo de venta]],Tabla2329[Tipo de venta],Tabla2329[Moneda final], "Error - Seleccionar Tipo de Venta", 0,1)</f>
        <v>0</v>
      </c>
      <c r="G854" s="178"/>
      <c r="H854" s="21"/>
      <c r="I854" s="30">
        <f>_xlfn.XLOOKUP(Tabla2757[[#This Row],[Puesto Encargado]], Tabla9[Puesto], Tabla9[Precio cliente],0,1,1)</f>
        <v>0</v>
      </c>
      <c r="J854" s="30">
        <f>_xlfn.XLOOKUP(Tabla2757[[#This Row],[Cargo]], Tabla958[Cargos], Tabla958[Ponderador Precio],0,1,1)</f>
        <v>0</v>
      </c>
      <c r="K854" s="30">
        <f>Tabla2757[[#This Row],[Precio por hora UF]]*Tabla2757[[#This Row],[Ponderador]]</f>
        <v>0</v>
      </c>
      <c r="L854" s="40">
        <v>0</v>
      </c>
      <c r="M854" s="30">
        <f>Tabla2757[[#This Row],[Precio por hora]]*Tabla2757[[#This Row],[Cantidad horas]]</f>
        <v>0</v>
      </c>
      <c r="N854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855" spans="2:14" x14ac:dyDescent="0.3">
      <c r="B855" s="28"/>
      <c r="C855" s="20"/>
      <c r="E855" s="136"/>
      <c r="F855" s="177">
        <f>_xlfn.XLOOKUP(Tabla2757[[#This Row],[Tipo de venta]],Tabla2329[Tipo de venta],Tabla2329[Moneda final], "Error - Seleccionar Tipo de Venta", 0,1)</f>
        <v>0</v>
      </c>
      <c r="G855" s="178"/>
      <c r="H855" s="21"/>
      <c r="I855" s="30">
        <f>_xlfn.XLOOKUP(Tabla2757[[#This Row],[Puesto Encargado]], Tabla9[Puesto], Tabla9[Precio cliente],0,1,1)</f>
        <v>0</v>
      </c>
      <c r="J855" s="30">
        <f>_xlfn.XLOOKUP(Tabla2757[[#This Row],[Cargo]], Tabla958[Cargos], Tabla958[Ponderador Precio],0,1,1)</f>
        <v>0</v>
      </c>
      <c r="K855" s="30">
        <f>Tabla2757[[#This Row],[Precio por hora UF]]*Tabla2757[[#This Row],[Ponderador]]</f>
        <v>0</v>
      </c>
      <c r="L855" s="40">
        <v>0</v>
      </c>
      <c r="M855" s="30">
        <f>Tabla2757[[#This Row],[Precio por hora]]*Tabla2757[[#This Row],[Cantidad horas]]</f>
        <v>0</v>
      </c>
      <c r="N855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856" spans="2:14" x14ac:dyDescent="0.3">
      <c r="B856" s="28"/>
      <c r="C856" s="20"/>
      <c r="E856" s="136"/>
      <c r="F856" s="177">
        <f>_xlfn.XLOOKUP(Tabla2757[[#This Row],[Tipo de venta]],Tabla2329[Tipo de venta],Tabla2329[Moneda final], "Error - Seleccionar Tipo de Venta", 0,1)</f>
        <v>0</v>
      </c>
      <c r="G856" s="178"/>
      <c r="H856" s="21"/>
      <c r="I856" s="30">
        <f>_xlfn.XLOOKUP(Tabla2757[[#This Row],[Puesto Encargado]], Tabla9[Puesto], Tabla9[Precio cliente],0,1,1)</f>
        <v>0</v>
      </c>
      <c r="J856" s="30">
        <f>_xlfn.XLOOKUP(Tabla2757[[#This Row],[Cargo]], Tabla958[Cargos], Tabla958[Ponderador Precio],0,1,1)</f>
        <v>0</v>
      </c>
      <c r="K856" s="30">
        <f>Tabla2757[[#This Row],[Precio por hora UF]]*Tabla2757[[#This Row],[Ponderador]]</f>
        <v>0</v>
      </c>
      <c r="L856" s="40">
        <v>0</v>
      </c>
      <c r="M856" s="30">
        <f>Tabla2757[[#This Row],[Precio por hora]]*Tabla2757[[#This Row],[Cantidad horas]]</f>
        <v>0</v>
      </c>
      <c r="N856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857" spans="2:14" x14ac:dyDescent="0.3">
      <c r="B857" s="28"/>
      <c r="C857" s="20"/>
      <c r="E857" s="136"/>
      <c r="F857" s="177">
        <f>_xlfn.XLOOKUP(Tabla2757[[#This Row],[Tipo de venta]],Tabla2329[Tipo de venta],Tabla2329[Moneda final], "Error - Seleccionar Tipo de Venta", 0,1)</f>
        <v>0</v>
      </c>
      <c r="G857" s="178"/>
      <c r="H857" s="21"/>
      <c r="I857" s="30">
        <f>_xlfn.XLOOKUP(Tabla2757[[#This Row],[Puesto Encargado]], Tabla9[Puesto], Tabla9[Precio cliente],0,1,1)</f>
        <v>0</v>
      </c>
      <c r="J857" s="30">
        <f>_xlfn.XLOOKUP(Tabla2757[[#This Row],[Cargo]], Tabla958[Cargos], Tabla958[Ponderador Precio],0,1,1)</f>
        <v>0</v>
      </c>
      <c r="K857" s="30">
        <f>Tabla2757[[#This Row],[Precio por hora UF]]*Tabla2757[[#This Row],[Ponderador]]</f>
        <v>0</v>
      </c>
      <c r="L857" s="40">
        <v>0</v>
      </c>
      <c r="M857" s="30">
        <f>Tabla2757[[#This Row],[Precio por hora]]*Tabla2757[[#This Row],[Cantidad horas]]</f>
        <v>0</v>
      </c>
      <c r="N857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858" spans="2:14" x14ac:dyDescent="0.3">
      <c r="B858" s="28"/>
      <c r="C858" s="20"/>
      <c r="E858" s="136"/>
      <c r="F858" s="177">
        <f>_xlfn.XLOOKUP(Tabla2757[[#This Row],[Tipo de venta]],Tabla2329[Tipo de venta],Tabla2329[Moneda final], "Error - Seleccionar Tipo de Venta", 0,1)</f>
        <v>0</v>
      </c>
      <c r="G858" s="178"/>
      <c r="H858" s="21"/>
      <c r="I858" s="30">
        <f>_xlfn.XLOOKUP(Tabla2757[[#This Row],[Puesto Encargado]], Tabla9[Puesto], Tabla9[Precio cliente],0,1,1)</f>
        <v>0</v>
      </c>
      <c r="J858" s="30">
        <f>_xlfn.XLOOKUP(Tabla2757[[#This Row],[Cargo]], Tabla958[Cargos], Tabla958[Ponderador Precio],0,1,1)</f>
        <v>0</v>
      </c>
      <c r="K858" s="30">
        <f>Tabla2757[[#This Row],[Precio por hora UF]]*Tabla2757[[#This Row],[Ponderador]]</f>
        <v>0</v>
      </c>
      <c r="L858" s="40">
        <v>0</v>
      </c>
      <c r="M858" s="30">
        <f>Tabla2757[[#This Row],[Precio por hora]]*Tabla2757[[#This Row],[Cantidad horas]]</f>
        <v>0</v>
      </c>
      <c r="N858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859" spans="2:14" x14ac:dyDescent="0.3">
      <c r="B859" s="28"/>
      <c r="C859" s="20"/>
      <c r="E859" s="136"/>
      <c r="F859" s="177">
        <f>_xlfn.XLOOKUP(Tabla2757[[#This Row],[Tipo de venta]],Tabla2329[Tipo de venta],Tabla2329[Moneda final], "Error - Seleccionar Tipo de Venta", 0,1)</f>
        <v>0</v>
      </c>
      <c r="G859" s="178"/>
      <c r="H859" s="21"/>
      <c r="I859" s="30">
        <f>_xlfn.XLOOKUP(Tabla2757[[#This Row],[Puesto Encargado]], Tabla9[Puesto], Tabla9[Precio cliente],0,1,1)</f>
        <v>0</v>
      </c>
      <c r="J859" s="30">
        <f>_xlfn.XLOOKUP(Tabla2757[[#This Row],[Cargo]], Tabla958[Cargos], Tabla958[Ponderador Precio],0,1,1)</f>
        <v>0</v>
      </c>
      <c r="K859" s="30">
        <f>Tabla2757[[#This Row],[Precio por hora UF]]*Tabla2757[[#This Row],[Ponderador]]</f>
        <v>0</v>
      </c>
      <c r="L859" s="40">
        <v>0</v>
      </c>
      <c r="M859" s="30">
        <f>Tabla2757[[#This Row],[Precio por hora]]*Tabla2757[[#This Row],[Cantidad horas]]</f>
        <v>0</v>
      </c>
      <c r="N859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860" spans="2:14" x14ac:dyDescent="0.3">
      <c r="B860" s="28"/>
      <c r="C860" s="20"/>
      <c r="E860" s="136"/>
      <c r="F860" s="177">
        <f>_xlfn.XLOOKUP(Tabla2757[[#This Row],[Tipo de venta]],Tabla2329[Tipo de venta],Tabla2329[Moneda final], "Error - Seleccionar Tipo de Venta", 0,1)</f>
        <v>0</v>
      </c>
      <c r="G860" s="178"/>
      <c r="H860" s="21"/>
      <c r="I860" s="30">
        <f>_xlfn.XLOOKUP(Tabla2757[[#This Row],[Puesto Encargado]], Tabla9[Puesto], Tabla9[Precio cliente],0,1,1)</f>
        <v>0</v>
      </c>
      <c r="J860" s="30">
        <f>_xlfn.XLOOKUP(Tabla2757[[#This Row],[Cargo]], Tabla958[Cargos], Tabla958[Ponderador Precio],0,1,1)</f>
        <v>0</v>
      </c>
      <c r="K860" s="30">
        <f>Tabla2757[[#This Row],[Precio por hora UF]]*Tabla2757[[#This Row],[Ponderador]]</f>
        <v>0</v>
      </c>
      <c r="L860" s="40">
        <v>0</v>
      </c>
      <c r="M860" s="30">
        <f>Tabla2757[[#This Row],[Precio por hora]]*Tabla2757[[#This Row],[Cantidad horas]]</f>
        <v>0</v>
      </c>
      <c r="N860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861" spans="2:14" x14ac:dyDescent="0.3">
      <c r="B861" s="28"/>
      <c r="C861" s="20"/>
      <c r="E861" s="136"/>
      <c r="F861" s="177">
        <f>_xlfn.XLOOKUP(Tabla2757[[#This Row],[Tipo de venta]],Tabla2329[Tipo de venta],Tabla2329[Moneda final], "Error - Seleccionar Tipo de Venta", 0,1)</f>
        <v>0</v>
      </c>
      <c r="G861" s="178"/>
      <c r="H861" s="21"/>
      <c r="I861" s="30">
        <f>_xlfn.XLOOKUP(Tabla2757[[#This Row],[Puesto Encargado]], Tabla9[Puesto], Tabla9[Precio cliente],0,1,1)</f>
        <v>0</v>
      </c>
      <c r="J861" s="30">
        <f>_xlfn.XLOOKUP(Tabla2757[[#This Row],[Cargo]], Tabla958[Cargos], Tabla958[Ponderador Precio],0,1,1)</f>
        <v>0</v>
      </c>
      <c r="K861" s="30">
        <f>Tabla2757[[#This Row],[Precio por hora UF]]*Tabla2757[[#This Row],[Ponderador]]</f>
        <v>0</v>
      </c>
      <c r="L861" s="40">
        <v>0</v>
      </c>
      <c r="M861" s="30">
        <f>Tabla2757[[#This Row],[Precio por hora]]*Tabla2757[[#This Row],[Cantidad horas]]</f>
        <v>0</v>
      </c>
      <c r="N861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862" spans="2:14" x14ac:dyDescent="0.3">
      <c r="B862" s="28"/>
      <c r="C862" s="20"/>
      <c r="E862" s="136"/>
      <c r="F862" s="177">
        <f>_xlfn.XLOOKUP(Tabla2757[[#This Row],[Tipo de venta]],Tabla2329[Tipo de venta],Tabla2329[Moneda final], "Error - Seleccionar Tipo de Venta", 0,1)</f>
        <v>0</v>
      </c>
      <c r="G862" s="178"/>
      <c r="H862" s="21"/>
      <c r="I862" s="30">
        <f>_xlfn.XLOOKUP(Tabla2757[[#This Row],[Puesto Encargado]], Tabla9[Puesto], Tabla9[Precio cliente],0,1,1)</f>
        <v>0</v>
      </c>
      <c r="J862" s="30">
        <f>_xlfn.XLOOKUP(Tabla2757[[#This Row],[Cargo]], Tabla958[Cargos], Tabla958[Ponderador Precio],0,1,1)</f>
        <v>0</v>
      </c>
      <c r="K862" s="30">
        <f>Tabla2757[[#This Row],[Precio por hora UF]]*Tabla2757[[#This Row],[Ponderador]]</f>
        <v>0</v>
      </c>
      <c r="L862" s="40">
        <v>0</v>
      </c>
      <c r="M862" s="30">
        <f>Tabla2757[[#This Row],[Precio por hora]]*Tabla2757[[#This Row],[Cantidad horas]]</f>
        <v>0</v>
      </c>
      <c r="N862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863" spans="2:14" x14ac:dyDescent="0.3">
      <c r="B863" s="28"/>
      <c r="C863" s="20"/>
      <c r="E863" s="136"/>
      <c r="F863" s="177">
        <f>_xlfn.XLOOKUP(Tabla2757[[#This Row],[Tipo de venta]],Tabla2329[Tipo de venta],Tabla2329[Moneda final], "Error - Seleccionar Tipo de Venta", 0,1)</f>
        <v>0</v>
      </c>
      <c r="G863" s="178"/>
      <c r="H863" s="21"/>
      <c r="I863" s="30">
        <f>_xlfn.XLOOKUP(Tabla2757[[#This Row],[Puesto Encargado]], Tabla9[Puesto], Tabla9[Precio cliente],0,1,1)</f>
        <v>0</v>
      </c>
      <c r="J863" s="30">
        <f>_xlfn.XLOOKUP(Tabla2757[[#This Row],[Cargo]], Tabla958[Cargos], Tabla958[Ponderador Precio],0,1,1)</f>
        <v>0</v>
      </c>
      <c r="K863" s="30">
        <f>Tabla2757[[#This Row],[Precio por hora UF]]*Tabla2757[[#This Row],[Ponderador]]</f>
        <v>0</v>
      </c>
      <c r="L863" s="40">
        <v>0</v>
      </c>
      <c r="M863" s="30">
        <f>Tabla2757[[#This Row],[Precio por hora]]*Tabla2757[[#This Row],[Cantidad horas]]</f>
        <v>0</v>
      </c>
      <c r="N863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864" spans="2:14" x14ac:dyDescent="0.3">
      <c r="B864" s="28"/>
      <c r="C864" s="20"/>
      <c r="E864" s="136"/>
      <c r="F864" s="177">
        <f>_xlfn.XLOOKUP(Tabla2757[[#This Row],[Tipo de venta]],Tabla2329[Tipo de venta],Tabla2329[Moneda final], "Error - Seleccionar Tipo de Venta", 0,1)</f>
        <v>0</v>
      </c>
      <c r="G864" s="178"/>
      <c r="H864" s="21"/>
      <c r="I864" s="30">
        <f>_xlfn.XLOOKUP(Tabla2757[[#This Row],[Puesto Encargado]], Tabla9[Puesto], Tabla9[Precio cliente],0,1,1)</f>
        <v>0</v>
      </c>
      <c r="J864" s="30">
        <f>_xlfn.XLOOKUP(Tabla2757[[#This Row],[Cargo]], Tabla958[Cargos], Tabla958[Ponderador Precio],0,1,1)</f>
        <v>0</v>
      </c>
      <c r="K864" s="30">
        <f>Tabla2757[[#This Row],[Precio por hora UF]]*Tabla2757[[#This Row],[Ponderador]]</f>
        <v>0</v>
      </c>
      <c r="L864" s="40">
        <v>0</v>
      </c>
      <c r="M864" s="30">
        <f>Tabla2757[[#This Row],[Precio por hora]]*Tabla2757[[#This Row],[Cantidad horas]]</f>
        <v>0</v>
      </c>
      <c r="N864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865" spans="2:14" x14ac:dyDescent="0.3">
      <c r="B865" s="28"/>
      <c r="C865" s="20"/>
      <c r="E865" s="136"/>
      <c r="F865" s="177">
        <f>_xlfn.XLOOKUP(Tabla2757[[#This Row],[Tipo de venta]],Tabla2329[Tipo de venta],Tabla2329[Moneda final], "Error - Seleccionar Tipo de Venta", 0,1)</f>
        <v>0</v>
      </c>
      <c r="G865" s="178"/>
      <c r="H865" s="21"/>
      <c r="I865" s="30">
        <f>_xlfn.XLOOKUP(Tabla2757[[#This Row],[Puesto Encargado]], Tabla9[Puesto], Tabla9[Precio cliente],0,1,1)</f>
        <v>0</v>
      </c>
      <c r="J865" s="30">
        <f>_xlfn.XLOOKUP(Tabla2757[[#This Row],[Cargo]], Tabla958[Cargos], Tabla958[Ponderador Precio],0,1,1)</f>
        <v>0</v>
      </c>
      <c r="K865" s="30">
        <f>Tabla2757[[#This Row],[Precio por hora UF]]*Tabla2757[[#This Row],[Ponderador]]</f>
        <v>0</v>
      </c>
      <c r="L865" s="40">
        <v>0</v>
      </c>
      <c r="M865" s="30">
        <f>Tabla2757[[#This Row],[Precio por hora]]*Tabla2757[[#This Row],[Cantidad horas]]</f>
        <v>0</v>
      </c>
      <c r="N865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866" spans="2:14" x14ac:dyDescent="0.3">
      <c r="B866" s="28"/>
      <c r="C866" s="20"/>
      <c r="E866" s="136"/>
      <c r="F866" s="177">
        <f>_xlfn.XLOOKUP(Tabla2757[[#This Row],[Tipo de venta]],Tabla2329[Tipo de venta],Tabla2329[Moneda final], "Error - Seleccionar Tipo de Venta", 0,1)</f>
        <v>0</v>
      </c>
      <c r="G866" s="178"/>
      <c r="H866" s="21"/>
      <c r="I866" s="30">
        <f>_xlfn.XLOOKUP(Tabla2757[[#This Row],[Puesto Encargado]], Tabla9[Puesto], Tabla9[Precio cliente],0,1,1)</f>
        <v>0</v>
      </c>
      <c r="J866" s="30">
        <f>_xlfn.XLOOKUP(Tabla2757[[#This Row],[Cargo]], Tabla958[Cargos], Tabla958[Ponderador Precio],0,1,1)</f>
        <v>0</v>
      </c>
      <c r="K866" s="30">
        <f>Tabla2757[[#This Row],[Precio por hora UF]]*Tabla2757[[#This Row],[Ponderador]]</f>
        <v>0</v>
      </c>
      <c r="L866" s="40">
        <v>0</v>
      </c>
      <c r="M866" s="30">
        <f>Tabla2757[[#This Row],[Precio por hora]]*Tabla2757[[#This Row],[Cantidad horas]]</f>
        <v>0</v>
      </c>
      <c r="N866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867" spans="2:14" x14ac:dyDescent="0.3">
      <c r="B867" s="28"/>
      <c r="C867" s="20"/>
      <c r="E867" s="136"/>
      <c r="F867" s="177">
        <f>_xlfn.XLOOKUP(Tabla2757[[#This Row],[Tipo de venta]],Tabla2329[Tipo de venta],Tabla2329[Moneda final], "Error - Seleccionar Tipo de Venta", 0,1)</f>
        <v>0</v>
      </c>
      <c r="G867" s="178"/>
      <c r="H867" s="21"/>
      <c r="I867" s="30">
        <f>_xlfn.XLOOKUP(Tabla2757[[#This Row],[Puesto Encargado]], Tabla9[Puesto], Tabla9[Precio cliente],0,1,1)</f>
        <v>0</v>
      </c>
      <c r="J867" s="30">
        <f>_xlfn.XLOOKUP(Tabla2757[[#This Row],[Cargo]], Tabla958[Cargos], Tabla958[Ponderador Precio],0,1,1)</f>
        <v>0</v>
      </c>
      <c r="K867" s="30">
        <f>Tabla2757[[#This Row],[Precio por hora UF]]*Tabla2757[[#This Row],[Ponderador]]</f>
        <v>0</v>
      </c>
      <c r="L867" s="40">
        <v>0</v>
      </c>
      <c r="M867" s="30">
        <f>Tabla2757[[#This Row],[Precio por hora]]*Tabla2757[[#This Row],[Cantidad horas]]</f>
        <v>0</v>
      </c>
      <c r="N867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868" spans="2:14" x14ac:dyDescent="0.3">
      <c r="B868" s="28"/>
      <c r="C868" s="20"/>
      <c r="E868" s="136"/>
      <c r="F868" s="177">
        <f>_xlfn.XLOOKUP(Tabla2757[[#This Row],[Tipo de venta]],Tabla2329[Tipo de venta],Tabla2329[Moneda final], "Error - Seleccionar Tipo de Venta", 0,1)</f>
        <v>0</v>
      </c>
      <c r="G868" s="178"/>
      <c r="H868" s="21"/>
      <c r="I868" s="30">
        <f>_xlfn.XLOOKUP(Tabla2757[[#This Row],[Puesto Encargado]], Tabla9[Puesto], Tabla9[Precio cliente],0,1,1)</f>
        <v>0</v>
      </c>
      <c r="J868" s="30">
        <f>_xlfn.XLOOKUP(Tabla2757[[#This Row],[Cargo]], Tabla958[Cargos], Tabla958[Ponderador Precio],0,1,1)</f>
        <v>0</v>
      </c>
      <c r="K868" s="30">
        <f>Tabla2757[[#This Row],[Precio por hora UF]]*Tabla2757[[#This Row],[Ponderador]]</f>
        <v>0</v>
      </c>
      <c r="L868" s="40">
        <v>0</v>
      </c>
      <c r="M868" s="30">
        <f>Tabla2757[[#This Row],[Precio por hora]]*Tabla2757[[#This Row],[Cantidad horas]]</f>
        <v>0</v>
      </c>
      <c r="N868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869" spans="2:14" x14ac:dyDescent="0.3">
      <c r="B869" s="28"/>
      <c r="C869" s="20"/>
      <c r="E869" s="136"/>
      <c r="F869" s="177">
        <f>_xlfn.XLOOKUP(Tabla2757[[#This Row],[Tipo de venta]],Tabla2329[Tipo de venta],Tabla2329[Moneda final], "Error - Seleccionar Tipo de Venta", 0,1)</f>
        <v>0</v>
      </c>
      <c r="G869" s="178"/>
      <c r="H869" s="21"/>
      <c r="I869" s="30">
        <f>_xlfn.XLOOKUP(Tabla2757[[#This Row],[Puesto Encargado]], Tabla9[Puesto], Tabla9[Precio cliente],0,1,1)</f>
        <v>0</v>
      </c>
      <c r="J869" s="30">
        <f>_xlfn.XLOOKUP(Tabla2757[[#This Row],[Cargo]], Tabla958[Cargos], Tabla958[Ponderador Precio],0,1,1)</f>
        <v>0</v>
      </c>
      <c r="K869" s="30">
        <f>Tabla2757[[#This Row],[Precio por hora UF]]*Tabla2757[[#This Row],[Ponderador]]</f>
        <v>0</v>
      </c>
      <c r="L869" s="40">
        <v>0</v>
      </c>
      <c r="M869" s="30">
        <f>Tabla2757[[#This Row],[Precio por hora]]*Tabla2757[[#This Row],[Cantidad horas]]</f>
        <v>0</v>
      </c>
      <c r="N869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870" spans="2:14" x14ac:dyDescent="0.3">
      <c r="B870" s="28"/>
      <c r="C870" s="20"/>
      <c r="E870" s="136"/>
      <c r="F870" s="177">
        <f>_xlfn.XLOOKUP(Tabla2757[[#This Row],[Tipo de venta]],Tabla2329[Tipo de venta],Tabla2329[Moneda final], "Error - Seleccionar Tipo de Venta", 0,1)</f>
        <v>0</v>
      </c>
      <c r="G870" s="178"/>
      <c r="H870" s="21"/>
      <c r="I870" s="30">
        <f>_xlfn.XLOOKUP(Tabla2757[[#This Row],[Puesto Encargado]], Tabla9[Puesto], Tabla9[Precio cliente],0,1,1)</f>
        <v>0</v>
      </c>
      <c r="J870" s="30">
        <f>_xlfn.XLOOKUP(Tabla2757[[#This Row],[Cargo]], Tabla958[Cargos], Tabla958[Ponderador Precio],0,1,1)</f>
        <v>0</v>
      </c>
      <c r="K870" s="30">
        <f>Tabla2757[[#This Row],[Precio por hora UF]]*Tabla2757[[#This Row],[Ponderador]]</f>
        <v>0</v>
      </c>
      <c r="L870" s="40">
        <v>0</v>
      </c>
      <c r="M870" s="30">
        <f>Tabla2757[[#This Row],[Precio por hora]]*Tabla2757[[#This Row],[Cantidad horas]]</f>
        <v>0</v>
      </c>
      <c r="N870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871" spans="2:14" x14ac:dyDescent="0.3">
      <c r="B871" s="28"/>
      <c r="C871" s="20"/>
      <c r="E871" s="136"/>
      <c r="F871" s="177">
        <f>_xlfn.XLOOKUP(Tabla2757[[#This Row],[Tipo de venta]],Tabla2329[Tipo de venta],Tabla2329[Moneda final], "Error - Seleccionar Tipo de Venta", 0,1)</f>
        <v>0</v>
      </c>
      <c r="G871" s="178"/>
      <c r="H871" s="21"/>
      <c r="I871" s="30">
        <f>_xlfn.XLOOKUP(Tabla2757[[#This Row],[Puesto Encargado]], Tabla9[Puesto], Tabla9[Precio cliente],0,1,1)</f>
        <v>0</v>
      </c>
      <c r="J871" s="30">
        <f>_xlfn.XLOOKUP(Tabla2757[[#This Row],[Cargo]], Tabla958[Cargos], Tabla958[Ponderador Precio],0,1,1)</f>
        <v>0</v>
      </c>
      <c r="K871" s="30">
        <f>Tabla2757[[#This Row],[Precio por hora UF]]*Tabla2757[[#This Row],[Ponderador]]</f>
        <v>0</v>
      </c>
      <c r="L871" s="40">
        <v>0</v>
      </c>
      <c r="M871" s="30">
        <f>Tabla2757[[#This Row],[Precio por hora]]*Tabla2757[[#This Row],[Cantidad horas]]</f>
        <v>0</v>
      </c>
      <c r="N871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872" spans="2:14" x14ac:dyDescent="0.3">
      <c r="B872" s="28"/>
      <c r="C872" s="20"/>
      <c r="E872" s="136"/>
      <c r="F872" s="177">
        <f>_xlfn.XLOOKUP(Tabla2757[[#This Row],[Tipo de venta]],Tabla2329[Tipo de venta],Tabla2329[Moneda final], "Error - Seleccionar Tipo de Venta", 0,1)</f>
        <v>0</v>
      </c>
      <c r="G872" s="178"/>
      <c r="H872" s="21"/>
      <c r="I872" s="30">
        <f>_xlfn.XLOOKUP(Tabla2757[[#This Row],[Puesto Encargado]], Tabla9[Puesto], Tabla9[Precio cliente],0,1,1)</f>
        <v>0</v>
      </c>
      <c r="J872" s="30">
        <f>_xlfn.XLOOKUP(Tabla2757[[#This Row],[Cargo]], Tabla958[Cargos], Tabla958[Ponderador Precio],0,1,1)</f>
        <v>0</v>
      </c>
      <c r="K872" s="30">
        <f>Tabla2757[[#This Row],[Precio por hora UF]]*Tabla2757[[#This Row],[Ponderador]]</f>
        <v>0</v>
      </c>
      <c r="L872" s="40">
        <v>0</v>
      </c>
      <c r="M872" s="30">
        <f>Tabla2757[[#This Row],[Precio por hora]]*Tabla2757[[#This Row],[Cantidad horas]]</f>
        <v>0</v>
      </c>
      <c r="N872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873" spans="2:14" x14ac:dyDescent="0.3">
      <c r="B873" s="28"/>
      <c r="C873" s="20"/>
      <c r="E873" s="136"/>
      <c r="F873" s="177">
        <f>_xlfn.XLOOKUP(Tabla2757[[#This Row],[Tipo de venta]],Tabla2329[Tipo de venta],Tabla2329[Moneda final], "Error - Seleccionar Tipo de Venta", 0,1)</f>
        <v>0</v>
      </c>
      <c r="G873" s="178"/>
      <c r="H873" s="21"/>
      <c r="I873" s="30">
        <f>_xlfn.XLOOKUP(Tabla2757[[#This Row],[Puesto Encargado]], Tabla9[Puesto], Tabla9[Precio cliente],0,1,1)</f>
        <v>0</v>
      </c>
      <c r="J873" s="30">
        <f>_xlfn.XLOOKUP(Tabla2757[[#This Row],[Cargo]], Tabla958[Cargos], Tabla958[Ponderador Precio],0,1,1)</f>
        <v>0</v>
      </c>
      <c r="K873" s="30">
        <f>Tabla2757[[#This Row],[Precio por hora UF]]*Tabla2757[[#This Row],[Ponderador]]</f>
        <v>0</v>
      </c>
      <c r="L873" s="40">
        <v>0</v>
      </c>
      <c r="M873" s="30">
        <f>Tabla2757[[#This Row],[Precio por hora]]*Tabla2757[[#This Row],[Cantidad horas]]</f>
        <v>0</v>
      </c>
      <c r="N873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874" spans="2:14" x14ac:dyDescent="0.3">
      <c r="B874" s="28"/>
      <c r="C874" s="20"/>
      <c r="E874" s="136"/>
      <c r="F874" s="177">
        <f>_xlfn.XLOOKUP(Tabla2757[[#This Row],[Tipo de venta]],Tabla2329[Tipo de venta],Tabla2329[Moneda final], "Error - Seleccionar Tipo de Venta", 0,1)</f>
        <v>0</v>
      </c>
      <c r="G874" s="178"/>
      <c r="H874" s="21"/>
      <c r="I874" s="30">
        <f>_xlfn.XLOOKUP(Tabla2757[[#This Row],[Puesto Encargado]], Tabla9[Puesto], Tabla9[Precio cliente],0,1,1)</f>
        <v>0</v>
      </c>
      <c r="J874" s="30">
        <f>_xlfn.XLOOKUP(Tabla2757[[#This Row],[Cargo]], Tabla958[Cargos], Tabla958[Ponderador Precio],0,1,1)</f>
        <v>0</v>
      </c>
      <c r="K874" s="30">
        <f>Tabla2757[[#This Row],[Precio por hora UF]]*Tabla2757[[#This Row],[Ponderador]]</f>
        <v>0</v>
      </c>
      <c r="L874" s="40">
        <v>0</v>
      </c>
      <c r="M874" s="30">
        <f>Tabla2757[[#This Row],[Precio por hora]]*Tabla2757[[#This Row],[Cantidad horas]]</f>
        <v>0</v>
      </c>
      <c r="N874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875" spans="2:14" x14ac:dyDescent="0.3">
      <c r="B875" s="28"/>
      <c r="C875" s="20"/>
      <c r="E875" s="136"/>
      <c r="F875" s="177">
        <f>_xlfn.XLOOKUP(Tabla2757[[#This Row],[Tipo de venta]],Tabla2329[Tipo de venta],Tabla2329[Moneda final], "Error - Seleccionar Tipo de Venta", 0,1)</f>
        <v>0</v>
      </c>
      <c r="G875" s="178"/>
      <c r="H875" s="21"/>
      <c r="I875" s="30">
        <f>_xlfn.XLOOKUP(Tabla2757[[#This Row],[Puesto Encargado]], Tabla9[Puesto], Tabla9[Precio cliente],0,1,1)</f>
        <v>0</v>
      </c>
      <c r="J875" s="30">
        <f>_xlfn.XLOOKUP(Tabla2757[[#This Row],[Cargo]], Tabla958[Cargos], Tabla958[Ponderador Precio],0,1,1)</f>
        <v>0</v>
      </c>
      <c r="K875" s="30">
        <f>Tabla2757[[#This Row],[Precio por hora UF]]*Tabla2757[[#This Row],[Ponderador]]</f>
        <v>0</v>
      </c>
      <c r="L875" s="40">
        <v>0</v>
      </c>
      <c r="M875" s="30">
        <f>Tabla2757[[#This Row],[Precio por hora]]*Tabla2757[[#This Row],[Cantidad horas]]</f>
        <v>0</v>
      </c>
      <c r="N875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876" spans="2:14" x14ac:dyDescent="0.3">
      <c r="B876" s="28"/>
      <c r="C876" s="20"/>
      <c r="E876" s="136"/>
      <c r="F876" s="177">
        <f>_xlfn.XLOOKUP(Tabla2757[[#This Row],[Tipo de venta]],Tabla2329[Tipo de venta],Tabla2329[Moneda final], "Error - Seleccionar Tipo de Venta", 0,1)</f>
        <v>0</v>
      </c>
      <c r="G876" s="178"/>
      <c r="H876" s="21"/>
      <c r="I876" s="30">
        <f>_xlfn.XLOOKUP(Tabla2757[[#This Row],[Puesto Encargado]], Tabla9[Puesto], Tabla9[Precio cliente],0,1,1)</f>
        <v>0</v>
      </c>
      <c r="J876" s="30">
        <f>_xlfn.XLOOKUP(Tabla2757[[#This Row],[Cargo]], Tabla958[Cargos], Tabla958[Ponderador Precio],0,1,1)</f>
        <v>0</v>
      </c>
      <c r="K876" s="30">
        <f>Tabla2757[[#This Row],[Precio por hora UF]]*Tabla2757[[#This Row],[Ponderador]]</f>
        <v>0</v>
      </c>
      <c r="L876" s="40">
        <v>0</v>
      </c>
      <c r="M876" s="30">
        <f>Tabla2757[[#This Row],[Precio por hora]]*Tabla2757[[#This Row],[Cantidad horas]]</f>
        <v>0</v>
      </c>
      <c r="N876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877" spans="2:14" x14ac:dyDescent="0.3">
      <c r="B877" s="28"/>
      <c r="C877" s="20"/>
      <c r="E877" s="136"/>
      <c r="F877" s="177">
        <f>_xlfn.XLOOKUP(Tabla2757[[#This Row],[Tipo de venta]],Tabla2329[Tipo de venta],Tabla2329[Moneda final], "Error - Seleccionar Tipo de Venta", 0,1)</f>
        <v>0</v>
      </c>
      <c r="G877" s="178"/>
      <c r="H877" s="21"/>
      <c r="I877" s="30">
        <f>_xlfn.XLOOKUP(Tabla2757[[#This Row],[Puesto Encargado]], Tabla9[Puesto], Tabla9[Precio cliente],0,1,1)</f>
        <v>0</v>
      </c>
      <c r="J877" s="30">
        <f>_xlfn.XLOOKUP(Tabla2757[[#This Row],[Cargo]], Tabla958[Cargos], Tabla958[Ponderador Precio],0,1,1)</f>
        <v>0</v>
      </c>
      <c r="K877" s="30">
        <f>Tabla2757[[#This Row],[Precio por hora UF]]*Tabla2757[[#This Row],[Ponderador]]</f>
        <v>0</v>
      </c>
      <c r="L877" s="40">
        <v>0</v>
      </c>
      <c r="M877" s="30">
        <f>Tabla2757[[#This Row],[Precio por hora]]*Tabla2757[[#This Row],[Cantidad horas]]</f>
        <v>0</v>
      </c>
      <c r="N877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878" spans="2:14" x14ac:dyDescent="0.3">
      <c r="B878" s="28"/>
      <c r="C878" s="20"/>
      <c r="E878" s="136"/>
      <c r="F878" s="177">
        <f>_xlfn.XLOOKUP(Tabla2757[[#This Row],[Tipo de venta]],Tabla2329[Tipo de venta],Tabla2329[Moneda final], "Error - Seleccionar Tipo de Venta", 0,1)</f>
        <v>0</v>
      </c>
      <c r="G878" s="178"/>
      <c r="H878" s="21"/>
      <c r="I878" s="30">
        <f>_xlfn.XLOOKUP(Tabla2757[[#This Row],[Puesto Encargado]], Tabla9[Puesto], Tabla9[Precio cliente],0,1,1)</f>
        <v>0</v>
      </c>
      <c r="J878" s="30">
        <f>_xlfn.XLOOKUP(Tabla2757[[#This Row],[Cargo]], Tabla958[Cargos], Tabla958[Ponderador Precio],0,1,1)</f>
        <v>0</v>
      </c>
      <c r="K878" s="30">
        <f>Tabla2757[[#This Row],[Precio por hora UF]]*Tabla2757[[#This Row],[Ponderador]]</f>
        <v>0</v>
      </c>
      <c r="L878" s="40">
        <v>0</v>
      </c>
      <c r="M878" s="30">
        <f>Tabla2757[[#This Row],[Precio por hora]]*Tabla2757[[#This Row],[Cantidad horas]]</f>
        <v>0</v>
      </c>
      <c r="N878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879" spans="2:14" x14ac:dyDescent="0.3">
      <c r="B879" s="28"/>
      <c r="C879" s="20"/>
      <c r="E879" s="136"/>
      <c r="F879" s="177">
        <f>_xlfn.XLOOKUP(Tabla2757[[#This Row],[Tipo de venta]],Tabla2329[Tipo de venta],Tabla2329[Moneda final], "Error - Seleccionar Tipo de Venta", 0,1)</f>
        <v>0</v>
      </c>
      <c r="G879" s="178"/>
      <c r="H879" s="21"/>
      <c r="I879" s="30">
        <f>_xlfn.XLOOKUP(Tabla2757[[#This Row],[Puesto Encargado]], Tabla9[Puesto], Tabla9[Precio cliente],0,1,1)</f>
        <v>0</v>
      </c>
      <c r="J879" s="30">
        <f>_xlfn.XLOOKUP(Tabla2757[[#This Row],[Cargo]], Tabla958[Cargos], Tabla958[Ponderador Precio],0,1,1)</f>
        <v>0</v>
      </c>
      <c r="K879" s="30">
        <f>Tabla2757[[#This Row],[Precio por hora UF]]*Tabla2757[[#This Row],[Ponderador]]</f>
        <v>0</v>
      </c>
      <c r="L879" s="40">
        <v>0</v>
      </c>
      <c r="M879" s="30">
        <f>Tabla2757[[#This Row],[Precio por hora]]*Tabla2757[[#This Row],[Cantidad horas]]</f>
        <v>0</v>
      </c>
      <c r="N879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880" spans="2:14" x14ac:dyDescent="0.3">
      <c r="B880" s="28"/>
      <c r="C880" s="20"/>
      <c r="E880" s="136"/>
      <c r="F880" s="177">
        <f>_xlfn.XLOOKUP(Tabla2757[[#This Row],[Tipo de venta]],Tabla2329[Tipo de venta],Tabla2329[Moneda final], "Error - Seleccionar Tipo de Venta", 0,1)</f>
        <v>0</v>
      </c>
      <c r="G880" s="178"/>
      <c r="H880" s="21"/>
      <c r="I880" s="30">
        <f>_xlfn.XLOOKUP(Tabla2757[[#This Row],[Puesto Encargado]], Tabla9[Puesto], Tabla9[Precio cliente],0,1,1)</f>
        <v>0</v>
      </c>
      <c r="J880" s="30">
        <f>_xlfn.XLOOKUP(Tabla2757[[#This Row],[Cargo]], Tabla958[Cargos], Tabla958[Ponderador Precio],0,1,1)</f>
        <v>0</v>
      </c>
      <c r="K880" s="30">
        <f>Tabla2757[[#This Row],[Precio por hora UF]]*Tabla2757[[#This Row],[Ponderador]]</f>
        <v>0</v>
      </c>
      <c r="L880" s="40">
        <v>0</v>
      </c>
      <c r="M880" s="30">
        <f>Tabla2757[[#This Row],[Precio por hora]]*Tabla2757[[#This Row],[Cantidad horas]]</f>
        <v>0</v>
      </c>
      <c r="N880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881" spans="2:14" x14ac:dyDescent="0.3">
      <c r="B881" s="28"/>
      <c r="C881" s="20"/>
      <c r="E881" s="136"/>
      <c r="F881" s="177">
        <f>_xlfn.XLOOKUP(Tabla2757[[#This Row],[Tipo de venta]],Tabla2329[Tipo de venta],Tabla2329[Moneda final], "Error - Seleccionar Tipo de Venta", 0,1)</f>
        <v>0</v>
      </c>
      <c r="G881" s="178"/>
      <c r="H881" s="21"/>
      <c r="I881" s="30">
        <f>_xlfn.XLOOKUP(Tabla2757[[#This Row],[Puesto Encargado]], Tabla9[Puesto], Tabla9[Precio cliente],0,1,1)</f>
        <v>0</v>
      </c>
      <c r="J881" s="30">
        <f>_xlfn.XLOOKUP(Tabla2757[[#This Row],[Cargo]], Tabla958[Cargos], Tabla958[Ponderador Precio],0,1,1)</f>
        <v>0</v>
      </c>
      <c r="K881" s="30">
        <f>Tabla2757[[#This Row],[Precio por hora UF]]*Tabla2757[[#This Row],[Ponderador]]</f>
        <v>0</v>
      </c>
      <c r="L881" s="40">
        <v>0</v>
      </c>
      <c r="M881" s="30">
        <f>Tabla2757[[#This Row],[Precio por hora]]*Tabla2757[[#This Row],[Cantidad horas]]</f>
        <v>0</v>
      </c>
      <c r="N881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882" spans="2:14" x14ac:dyDescent="0.3">
      <c r="B882" s="28"/>
      <c r="C882" s="20"/>
      <c r="E882" s="136"/>
      <c r="F882" s="177">
        <f>_xlfn.XLOOKUP(Tabla2757[[#This Row],[Tipo de venta]],Tabla2329[Tipo de venta],Tabla2329[Moneda final], "Error - Seleccionar Tipo de Venta", 0,1)</f>
        <v>0</v>
      </c>
      <c r="G882" s="178"/>
      <c r="H882" s="21"/>
      <c r="I882" s="30">
        <f>_xlfn.XLOOKUP(Tabla2757[[#This Row],[Puesto Encargado]], Tabla9[Puesto], Tabla9[Precio cliente],0,1,1)</f>
        <v>0</v>
      </c>
      <c r="J882" s="30">
        <f>_xlfn.XLOOKUP(Tabla2757[[#This Row],[Cargo]], Tabla958[Cargos], Tabla958[Ponderador Precio],0,1,1)</f>
        <v>0</v>
      </c>
      <c r="K882" s="30">
        <f>Tabla2757[[#This Row],[Precio por hora UF]]*Tabla2757[[#This Row],[Ponderador]]</f>
        <v>0</v>
      </c>
      <c r="L882" s="40">
        <v>0</v>
      </c>
      <c r="M882" s="30">
        <f>Tabla2757[[#This Row],[Precio por hora]]*Tabla2757[[#This Row],[Cantidad horas]]</f>
        <v>0</v>
      </c>
      <c r="N882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883" spans="2:14" x14ac:dyDescent="0.3">
      <c r="B883" s="28"/>
      <c r="C883" s="20"/>
      <c r="E883" s="136"/>
      <c r="F883" s="177">
        <f>_xlfn.XLOOKUP(Tabla2757[[#This Row],[Tipo de venta]],Tabla2329[Tipo de venta],Tabla2329[Moneda final], "Error - Seleccionar Tipo de Venta", 0,1)</f>
        <v>0</v>
      </c>
      <c r="G883" s="178"/>
      <c r="H883" s="21"/>
      <c r="I883" s="30">
        <f>_xlfn.XLOOKUP(Tabla2757[[#This Row],[Puesto Encargado]], Tabla9[Puesto], Tabla9[Precio cliente],0,1,1)</f>
        <v>0</v>
      </c>
      <c r="J883" s="30">
        <f>_xlfn.XLOOKUP(Tabla2757[[#This Row],[Cargo]], Tabla958[Cargos], Tabla958[Ponderador Precio],0,1,1)</f>
        <v>0</v>
      </c>
      <c r="K883" s="30">
        <f>Tabla2757[[#This Row],[Precio por hora UF]]*Tabla2757[[#This Row],[Ponderador]]</f>
        <v>0</v>
      </c>
      <c r="L883" s="40">
        <v>0</v>
      </c>
      <c r="M883" s="30">
        <f>Tabla2757[[#This Row],[Precio por hora]]*Tabla2757[[#This Row],[Cantidad horas]]</f>
        <v>0</v>
      </c>
      <c r="N883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884" spans="2:14" x14ac:dyDescent="0.3">
      <c r="B884" s="28"/>
      <c r="C884" s="20"/>
      <c r="E884" s="136"/>
      <c r="F884" s="177">
        <f>_xlfn.XLOOKUP(Tabla2757[[#This Row],[Tipo de venta]],Tabla2329[Tipo de venta],Tabla2329[Moneda final], "Error - Seleccionar Tipo de Venta", 0,1)</f>
        <v>0</v>
      </c>
      <c r="G884" s="178"/>
      <c r="H884" s="21"/>
      <c r="I884" s="30">
        <f>_xlfn.XLOOKUP(Tabla2757[[#This Row],[Puesto Encargado]], Tabla9[Puesto], Tabla9[Precio cliente],0,1,1)</f>
        <v>0</v>
      </c>
      <c r="J884" s="30">
        <f>_xlfn.XLOOKUP(Tabla2757[[#This Row],[Cargo]], Tabla958[Cargos], Tabla958[Ponderador Precio],0,1,1)</f>
        <v>0</v>
      </c>
      <c r="K884" s="30">
        <f>Tabla2757[[#This Row],[Precio por hora UF]]*Tabla2757[[#This Row],[Ponderador]]</f>
        <v>0</v>
      </c>
      <c r="L884" s="40">
        <v>0</v>
      </c>
      <c r="M884" s="30">
        <f>Tabla2757[[#This Row],[Precio por hora]]*Tabla2757[[#This Row],[Cantidad horas]]</f>
        <v>0</v>
      </c>
      <c r="N884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885" spans="2:14" x14ac:dyDescent="0.3">
      <c r="B885" s="28"/>
      <c r="C885" s="20"/>
      <c r="E885" s="136"/>
      <c r="F885" s="177">
        <f>_xlfn.XLOOKUP(Tabla2757[[#This Row],[Tipo de venta]],Tabla2329[Tipo de venta],Tabla2329[Moneda final], "Error - Seleccionar Tipo de Venta", 0,1)</f>
        <v>0</v>
      </c>
      <c r="G885" s="178"/>
      <c r="H885" s="21"/>
      <c r="I885" s="30">
        <f>_xlfn.XLOOKUP(Tabla2757[[#This Row],[Puesto Encargado]], Tabla9[Puesto], Tabla9[Precio cliente],0,1,1)</f>
        <v>0</v>
      </c>
      <c r="J885" s="30">
        <f>_xlfn.XLOOKUP(Tabla2757[[#This Row],[Cargo]], Tabla958[Cargos], Tabla958[Ponderador Precio],0,1,1)</f>
        <v>0</v>
      </c>
      <c r="K885" s="30">
        <f>Tabla2757[[#This Row],[Precio por hora UF]]*Tabla2757[[#This Row],[Ponderador]]</f>
        <v>0</v>
      </c>
      <c r="L885" s="40">
        <v>0</v>
      </c>
      <c r="M885" s="30">
        <f>Tabla2757[[#This Row],[Precio por hora]]*Tabla2757[[#This Row],[Cantidad horas]]</f>
        <v>0</v>
      </c>
      <c r="N885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886" spans="2:14" x14ac:dyDescent="0.3">
      <c r="B886" s="28"/>
      <c r="C886" s="20"/>
      <c r="E886" s="136"/>
      <c r="F886" s="177">
        <f>_xlfn.XLOOKUP(Tabla2757[[#This Row],[Tipo de venta]],Tabla2329[Tipo de venta],Tabla2329[Moneda final], "Error - Seleccionar Tipo de Venta", 0,1)</f>
        <v>0</v>
      </c>
      <c r="G886" s="178"/>
      <c r="H886" s="21"/>
      <c r="I886" s="30">
        <f>_xlfn.XLOOKUP(Tabla2757[[#This Row],[Puesto Encargado]], Tabla9[Puesto], Tabla9[Precio cliente],0,1,1)</f>
        <v>0</v>
      </c>
      <c r="J886" s="30">
        <f>_xlfn.XLOOKUP(Tabla2757[[#This Row],[Cargo]], Tabla958[Cargos], Tabla958[Ponderador Precio],0,1,1)</f>
        <v>0</v>
      </c>
      <c r="K886" s="30">
        <f>Tabla2757[[#This Row],[Precio por hora UF]]*Tabla2757[[#This Row],[Ponderador]]</f>
        <v>0</v>
      </c>
      <c r="L886" s="40">
        <v>0</v>
      </c>
      <c r="M886" s="30">
        <f>Tabla2757[[#This Row],[Precio por hora]]*Tabla2757[[#This Row],[Cantidad horas]]</f>
        <v>0</v>
      </c>
      <c r="N886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887" spans="2:14" x14ac:dyDescent="0.3">
      <c r="B887" s="28"/>
      <c r="C887" s="20"/>
      <c r="E887" s="136"/>
      <c r="F887" s="177">
        <f>_xlfn.XLOOKUP(Tabla2757[[#This Row],[Tipo de venta]],Tabla2329[Tipo de venta],Tabla2329[Moneda final], "Error - Seleccionar Tipo de Venta", 0,1)</f>
        <v>0</v>
      </c>
      <c r="G887" s="178"/>
      <c r="H887" s="21"/>
      <c r="I887" s="30">
        <f>_xlfn.XLOOKUP(Tabla2757[[#This Row],[Puesto Encargado]], Tabla9[Puesto], Tabla9[Precio cliente],0,1,1)</f>
        <v>0</v>
      </c>
      <c r="J887" s="30">
        <f>_xlfn.XLOOKUP(Tabla2757[[#This Row],[Cargo]], Tabla958[Cargos], Tabla958[Ponderador Precio],0,1,1)</f>
        <v>0</v>
      </c>
      <c r="K887" s="30">
        <f>Tabla2757[[#This Row],[Precio por hora UF]]*Tabla2757[[#This Row],[Ponderador]]</f>
        <v>0</v>
      </c>
      <c r="L887" s="40">
        <v>0</v>
      </c>
      <c r="M887" s="30">
        <f>Tabla2757[[#This Row],[Precio por hora]]*Tabla2757[[#This Row],[Cantidad horas]]</f>
        <v>0</v>
      </c>
      <c r="N887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888" spans="2:14" x14ac:dyDescent="0.3">
      <c r="B888" s="28"/>
      <c r="C888" s="20"/>
      <c r="E888" s="136"/>
      <c r="F888" s="177">
        <f>_xlfn.XLOOKUP(Tabla2757[[#This Row],[Tipo de venta]],Tabla2329[Tipo de venta],Tabla2329[Moneda final], "Error - Seleccionar Tipo de Venta", 0,1)</f>
        <v>0</v>
      </c>
      <c r="G888" s="178"/>
      <c r="H888" s="21"/>
      <c r="I888" s="30">
        <f>_xlfn.XLOOKUP(Tabla2757[[#This Row],[Puesto Encargado]], Tabla9[Puesto], Tabla9[Precio cliente],0,1,1)</f>
        <v>0</v>
      </c>
      <c r="J888" s="30">
        <f>_xlfn.XLOOKUP(Tabla2757[[#This Row],[Cargo]], Tabla958[Cargos], Tabla958[Ponderador Precio],0,1,1)</f>
        <v>0</v>
      </c>
      <c r="K888" s="30">
        <f>Tabla2757[[#This Row],[Precio por hora UF]]*Tabla2757[[#This Row],[Ponderador]]</f>
        <v>0</v>
      </c>
      <c r="L888" s="40">
        <v>0</v>
      </c>
      <c r="M888" s="30">
        <f>Tabla2757[[#This Row],[Precio por hora]]*Tabla2757[[#This Row],[Cantidad horas]]</f>
        <v>0</v>
      </c>
      <c r="N888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889" spans="2:14" x14ac:dyDescent="0.3">
      <c r="B889" s="28"/>
      <c r="C889" s="20"/>
      <c r="E889" s="136"/>
      <c r="F889" s="177">
        <f>_xlfn.XLOOKUP(Tabla2757[[#This Row],[Tipo de venta]],Tabla2329[Tipo de venta],Tabla2329[Moneda final], "Error - Seleccionar Tipo de Venta", 0,1)</f>
        <v>0</v>
      </c>
      <c r="G889" s="178"/>
      <c r="H889" s="21"/>
      <c r="I889" s="30">
        <f>_xlfn.XLOOKUP(Tabla2757[[#This Row],[Puesto Encargado]], Tabla9[Puesto], Tabla9[Precio cliente],0,1,1)</f>
        <v>0</v>
      </c>
      <c r="J889" s="30">
        <f>_xlfn.XLOOKUP(Tabla2757[[#This Row],[Cargo]], Tabla958[Cargos], Tabla958[Ponderador Precio],0,1,1)</f>
        <v>0</v>
      </c>
      <c r="K889" s="30">
        <f>Tabla2757[[#This Row],[Precio por hora UF]]*Tabla2757[[#This Row],[Ponderador]]</f>
        <v>0</v>
      </c>
      <c r="L889" s="40">
        <v>0</v>
      </c>
      <c r="M889" s="30">
        <f>Tabla2757[[#This Row],[Precio por hora]]*Tabla2757[[#This Row],[Cantidad horas]]</f>
        <v>0</v>
      </c>
      <c r="N889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890" spans="2:14" x14ac:dyDescent="0.3">
      <c r="B890" s="28"/>
      <c r="C890" s="20"/>
      <c r="E890" s="136"/>
      <c r="F890" s="177">
        <f>_xlfn.XLOOKUP(Tabla2757[[#This Row],[Tipo de venta]],Tabla2329[Tipo de venta],Tabla2329[Moneda final], "Error - Seleccionar Tipo de Venta", 0,1)</f>
        <v>0</v>
      </c>
      <c r="G890" s="178"/>
      <c r="H890" s="21"/>
      <c r="I890" s="30">
        <f>_xlfn.XLOOKUP(Tabla2757[[#This Row],[Puesto Encargado]], Tabla9[Puesto], Tabla9[Precio cliente],0,1,1)</f>
        <v>0</v>
      </c>
      <c r="J890" s="30">
        <f>_xlfn.XLOOKUP(Tabla2757[[#This Row],[Cargo]], Tabla958[Cargos], Tabla958[Ponderador Precio],0,1,1)</f>
        <v>0</v>
      </c>
      <c r="K890" s="30">
        <f>Tabla2757[[#This Row],[Precio por hora UF]]*Tabla2757[[#This Row],[Ponderador]]</f>
        <v>0</v>
      </c>
      <c r="L890" s="40">
        <v>0</v>
      </c>
      <c r="M890" s="30">
        <f>Tabla2757[[#This Row],[Precio por hora]]*Tabla2757[[#This Row],[Cantidad horas]]</f>
        <v>0</v>
      </c>
      <c r="N890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891" spans="2:14" x14ac:dyDescent="0.3">
      <c r="B891" s="28"/>
      <c r="C891" s="20"/>
      <c r="E891" s="136"/>
      <c r="F891" s="177">
        <f>_xlfn.XLOOKUP(Tabla2757[[#This Row],[Tipo de venta]],Tabla2329[Tipo de venta],Tabla2329[Moneda final], "Error - Seleccionar Tipo de Venta", 0,1)</f>
        <v>0</v>
      </c>
      <c r="G891" s="178"/>
      <c r="H891" s="21"/>
      <c r="I891" s="30">
        <f>_xlfn.XLOOKUP(Tabla2757[[#This Row],[Puesto Encargado]], Tabla9[Puesto], Tabla9[Precio cliente],0,1,1)</f>
        <v>0</v>
      </c>
      <c r="J891" s="30">
        <f>_xlfn.XLOOKUP(Tabla2757[[#This Row],[Cargo]], Tabla958[Cargos], Tabla958[Ponderador Precio],0,1,1)</f>
        <v>0</v>
      </c>
      <c r="K891" s="30">
        <f>Tabla2757[[#This Row],[Precio por hora UF]]*Tabla2757[[#This Row],[Ponderador]]</f>
        <v>0</v>
      </c>
      <c r="L891" s="40">
        <v>0</v>
      </c>
      <c r="M891" s="30">
        <f>Tabla2757[[#This Row],[Precio por hora]]*Tabla2757[[#This Row],[Cantidad horas]]</f>
        <v>0</v>
      </c>
      <c r="N891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892" spans="2:14" x14ac:dyDescent="0.3">
      <c r="B892" s="28"/>
      <c r="C892" s="20"/>
      <c r="E892" s="136"/>
      <c r="F892" s="177">
        <f>_xlfn.XLOOKUP(Tabla2757[[#This Row],[Tipo de venta]],Tabla2329[Tipo de venta],Tabla2329[Moneda final], "Error - Seleccionar Tipo de Venta", 0,1)</f>
        <v>0</v>
      </c>
      <c r="G892" s="178"/>
      <c r="H892" s="21"/>
      <c r="I892" s="30">
        <f>_xlfn.XLOOKUP(Tabla2757[[#This Row],[Puesto Encargado]], Tabla9[Puesto], Tabla9[Precio cliente],0,1,1)</f>
        <v>0</v>
      </c>
      <c r="J892" s="30">
        <f>_xlfn.XLOOKUP(Tabla2757[[#This Row],[Cargo]], Tabla958[Cargos], Tabla958[Ponderador Precio],0,1,1)</f>
        <v>0</v>
      </c>
      <c r="K892" s="30">
        <f>Tabla2757[[#This Row],[Precio por hora UF]]*Tabla2757[[#This Row],[Ponderador]]</f>
        <v>0</v>
      </c>
      <c r="L892" s="40">
        <v>0</v>
      </c>
      <c r="M892" s="30">
        <f>Tabla2757[[#This Row],[Precio por hora]]*Tabla2757[[#This Row],[Cantidad horas]]</f>
        <v>0</v>
      </c>
      <c r="N892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893" spans="2:14" x14ac:dyDescent="0.3">
      <c r="B893" s="28"/>
      <c r="C893" s="20"/>
      <c r="E893" s="136"/>
      <c r="F893" s="177">
        <f>_xlfn.XLOOKUP(Tabla2757[[#This Row],[Tipo de venta]],Tabla2329[Tipo de venta],Tabla2329[Moneda final], "Error - Seleccionar Tipo de Venta", 0,1)</f>
        <v>0</v>
      </c>
      <c r="G893" s="178"/>
      <c r="H893" s="21"/>
      <c r="I893" s="30">
        <f>_xlfn.XLOOKUP(Tabla2757[[#This Row],[Puesto Encargado]], Tabla9[Puesto], Tabla9[Precio cliente],0,1,1)</f>
        <v>0</v>
      </c>
      <c r="J893" s="30">
        <f>_xlfn.XLOOKUP(Tabla2757[[#This Row],[Cargo]], Tabla958[Cargos], Tabla958[Ponderador Precio],0,1,1)</f>
        <v>0</v>
      </c>
      <c r="K893" s="30">
        <f>Tabla2757[[#This Row],[Precio por hora UF]]*Tabla2757[[#This Row],[Ponderador]]</f>
        <v>0</v>
      </c>
      <c r="L893" s="40">
        <v>0</v>
      </c>
      <c r="M893" s="30">
        <f>Tabla2757[[#This Row],[Precio por hora]]*Tabla2757[[#This Row],[Cantidad horas]]</f>
        <v>0</v>
      </c>
      <c r="N893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894" spans="2:14" x14ac:dyDescent="0.3">
      <c r="B894" s="28"/>
      <c r="C894" s="20"/>
      <c r="E894" s="136"/>
      <c r="F894" s="177">
        <f>_xlfn.XLOOKUP(Tabla2757[[#This Row],[Tipo de venta]],Tabla2329[Tipo de venta],Tabla2329[Moneda final], "Error - Seleccionar Tipo de Venta", 0,1)</f>
        <v>0</v>
      </c>
      <c r="G894" s="178"/>
      <c r="H894" s="21"/>
      <c r="I894" s="30">
        <f>_xlfn.XLOOKUP(Tabla2757[[#This Row],[Puesto Encargado]], Tabla9[Puesto], Tabla9[Precio cliente],0,1,1)</f>
        <v>0</v>
      </c>
      <c r="J894" s="30">
        <f>_xlfn.XLOOKUP(Tabla2757[[#This Row],[Cargo]], Tabla958[Cargos], Tabla958[Ponderador Precio],0,1,1)</f>
        <v>0</v>
      </c>
      <c r="K894" s="30">
        <f>Tabla2757[[#This Row],[Precio por hora UF]]*Tabla2757[[#This Row],[Ponderador]]</f>
        <v>0</v>
      </c>
      <c r="L894" s="40">
        <v>0</v>
      </c>
      <c r="M894" s="30">
        <f>Tabla2757[[#This Row],[Precio por hora]]*Tabla2757[[#This Row],[Cantidad horas]]</f>
        <v>0</v>
      </c>
      <c r="N894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895" spans="2:14" x14ac:dyDescent="0.3">
      <c r="B895" s="28"/>
      <c r="C895" s="20"/>
      <c r="E895" s="136"/>
      <c r="F895" s="177">
        <f>_xlfn.XLOOKUP(Tabla2757[[#This Row],[Tipo de venta]],Tabla2329[Tipo de venta],Tabla2329[Moneda final], "Error - Seleccionar Tipo de Venta", 0,1)</f>
        <v>0</v>
      </c>
      <c r="G895" s="178"/>
      <c r="H895" s="21"/>
      <c r="I895" s="30">
        <f>_xlfn.XLOOKUP(Tabla2757[[#This Row],[Puesto Encargado]], Tabla9[Puesto], Tabla9[Precio cliente],0,1,1)</f>
        <v>0</v>
      </c>
      <c r="J895" s="30">
        <f>_xlfn.XLOOKUP(Tabla2757[[#This Row],[Cargo]], Tabla958[Cargos], Tabla958[Ponderador Precio],0,1,1)</f>
        <v>0</v>
      </c>
      <c r="K895" s="30">
        <f>Tabla2757[[#This Row],[Precio por hora UF]]*Tabla2757[[#This Row],[Ponderador]]</f>
        <v>0</v>
      </c>
      <c r="L895" s="40">
        <v>0</v>
      </c>
      <c r="M895" s="30">
        <f>Tabla2757[[#This Row],[Precio por hora]]*Tabla2757[[#This Row],[Cantidad horas]]</f>
        <v>0</v>
      </c>
      <c r="N895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896" spans="2:14" x14ac:dyDescent="0.3">
      <c r="B896" s="28"/>
      <c r="C896" s="20"/>
      <c r="E896" s="136"/>
      <c r="F896" s="177">
        <f>_xlfn.XLOOKUP(Tabla2757[[#This Row],[Tipo de venta]],Tabla2329[Tipo de venta],Tabla2329[Moneda final], "Error - Seleccionar Tipo de Venta", 0,1)</f>
        <v>0</v>
      </c>
      <c r="G896" s="178"/>
      <c r="H896" s="21"/>
      <c r="I896" s="30">
        <f>_xlfn.XLOOKUP(Tabla2757[[#This Row],[Puesto Encargado]], Tabla9[Puesto], Tabla9[Precio cliente],0,1,1)</f>
        <v>0</v>
      </c>
      <c r="J896" s="30">
        <f>_xlfn.XLOOKUP(Tabla2757[[#This Row],[Cargo]], Tabla958[Cargos], Tabla958[Ponderador Precio],0,1,1)</f>
        <v>0</v>
      </c>
      <c r="K896" s="30">
        <f>Tabla2757[[#This Row],[Precio por hora UF]]*Tabla2757[[#This Row],[Ponderador]]</f>
        <v>0</v>
      </c>
      <c r="L896" s="40">
        <v>0</v>
      </c>
      <c r="M896" s="30">
        <f>Tabla2757[[#This Row],[Precio por hora]]*Tabla2757[[#This Row],[Cantidad horas]]</f>
        <v>0</v>
      </c>
      <c r="N896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897" spans="2:14" x14ac:dyDescent="0.3">
      <c r="B897" s="28"/>
      <c r="C897" s="20"/>
      <c r="E897" s="136"/>
      <c r="F897" s="177">
        <f>_xlfn.XLOOKUP(Tabla2757[[#This Row],[Tipo de venta]],Tabla2329[Tipo de venta],Tabla2329[Moneda final], "Error - Seleccionar Tipo de Venta", 0,1)</f>
        <v>0</v>
      </c>
      <c r="G897" s="178"/>
      <c r="H897" s="21"/>
      <c r="I897" s="30">
        <f>_xlfn.XLOOKUP(Tabla2757[[#This Row],[Puesto Encargado]], Tabla9[Puesto], Tabla9[Precio cliente],0,1,1)</f>
        <v>0</v>
      </c>
      <c r="J897" s="30">
        <f>_xlfn.XLOOKUP(Tabla2757[[#This Row],[Cargo]], Tabla958[Cargos], Tabla958[Ponderador Precio],0,1,1)</f>
        <v>0</v>
      </c>
      <c r="K897" s="30">
        <f>Tabla2757[[#This Row],[Precio por hora UF]]*Tabla2757[[#This Row],[Ponderador]]</f>
        <v>0</v>
      </c>
      <c r="L897" s="40">
        <v>0</v>
      </c>
      <c r="M897" s="30">
        <f>Tabla2757[[#This Row],[Precio por hora]]*Tabla2757[[#This Row],[Cantidad horas]]</f>
        <v>0</v>
      </c>
      <c r="N897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898" spans="2:14" x14ac:dyDescent="0.3">
      <c r="B898" s="28"/>
      <c r="C898" s="20"/>
      <c r="E898" s="136"/>
      <c r="F898" s="177">
        <f>_xlfn.XLOOKUP(Tabla2757[[#This Row],[Tipo de venta]],Tabla2329[Tipo de venta],Tabla2329[Moneda final], "Error - Seleccionar Tipo de Venta", 0,1)</f>
        <v>0</v>
      </c>
      <c r="G898" s="178"/>
      <c r="H898" s="21"/>
      <c r="I898" s="30">
        <f>_xlfn.XLOOKUP(Tabla2757[[#This Row],[Puesto Encargado]], Tabla9[Puesto], Tabla9[Precio cliente],0,1,1)</f>
        <v>0</v>
      </c>
      <c r="J898" s="30">
        <f>_xlfn.XLOOKUP(Tabla2757[[#This Row],[Cargo]], Tabla958[Cargos], Tabla958[Ponderador Precio],0,1,1)</f>
        <v>0</v>
      </c>
      <c r="K898" s="30">
        <f>Tabla2757[[#This Row],[Precio por hora UF]]*Tabla2757[[#This Row],[Ponderador]]</f>
        <v>0</v>
      </c>
      <c r="L898" s="40">
        <v>0</v>
      </c>
      <c r="M898" s="30">
        <f>Tabla2757[[#This Row],[Precio por hora]]*Tabla2757[[#This Row],[Cantidad horas]]</f>
        <v>0</v>
      </c>
      <c r="N898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899" spans="2:14" x14ac:dyDescent="0.3">
      <c r="B899" s="28"/>
      <c r="C899" s="20"/>
      <c r="E899" s="136"/>
      <c r="F899" s="177">
        <f>_xlfn.XLOOKUP(Tabla2757[[#This Row],[Tipo de venta]],Tabla2329[Tipo de venta],Tabla2329[Moneda final], "Error - Seleccionar Tipo de Venta", 0,1)</f>
        <v>0</v>
      </c>
      <c r="G899" s="178"/>
      <c r="H899" s="21"/>
      <c r="I899" s="30">
        <f>_xlfn.XLOOKUP(Tabla2757[[#This Row],[Puesto Encargado]], Tabla9[Puesto], Tabla9[Precio cliente],0,1,1)</f>
        <v>0</v>
      </c>
      <c r="J899" s="30">
        <f>_xlfn.XLOOKUP(Tabla2757[[#This Row],[Cargo]], Tabla958[Cargos], Tabla958[Ponderador Precio],0,1,1)</f>
        <v>0</v>
      </c>
      <c r="K899" s="30">
        <f>Tabla2757[[#This Row],[Precio por hora UF]]*Tabla2757[[#This Row],[Ponderador]]</f>
        <v>0</v>
      </c>
      <c r="L899" s="40">
        <v>0</v>
      </c>
      <c r="M899" s="30">
        <f>Tabla2757[[#This Row],[Precio por hora]]*Tabla2757[[#This Row],[Cantidad horas]]</f>
        <v>0</v>
      </c>
      <c r="N899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900" spans="2:14" x14ac:dyDescent="0.3">
      <c r="B900" s="28"/>
      <c r="C900" s="20"/>
      <c r="E900" s="136"/>
      <c r="F900" s="177">
        <f>_xlfn.XLOOKUP(Tabla2757[[#This Row],[Tipo de venta]],Tabla2329[Tipo de venta],Tabla2329[Moneda final], "Error - Seleccionar Tipo de Venta", 0,1)</f>
        <v>0</v>
      </c>
      <c r="G900" s="178"/>
      <c r="H900" s="21"/>
      <c r="I900" s="30">
        <f>_xlfn.XLOOKUP(Tabla2757[[#This Row],[Puesto Encargado]], Tabla9[Puesto], Tabla9[Precio cliente],0,1,1)</f>
        <v>0</v>
      </c>
      <c r="J900" s="30">
        <f>_xlfn.XLOOKUP(Tabla2757[[#This Row],[Cargo]], Tabla958[Cargos], Tabla958[Ponderador Precio],0,1,1)</f>
        <v>0</v>
      </c>
      <c r="K900" s="30">
        <f>Tabla2757[[#This Row],[Precio por hora UF]]*Tabla2757[[#This Row],[Ponderador]]</f>
        <v>0</v>
      </c>
      <c r="L900" s="40">
        <v>0</v>
      </c>
      <c r="M900" s="30">
        <f>Tabla2757[[#This Row],[Precio por hora]]*Tabla2757[[#This Row],[Cantidad horas]]</f>
        <v>0</v>
      </c>
      <c r="N900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901" spans="2:14" x14ac:dyDescent="0.3">
      <c r="B901" s="28"/>
      <c r="C901" s="20"/>
      <c r="E901" s="136"/>
      <c r="F901" s="177">
        <f>_xlfn.XLOOKUP(Tabla2757[[#This Row],[Tipo de venta]],Tabla2329[Tipo de venta],Tabla2329[Moneda final], "Error - Seleccionar Tipo de Venta", 0,1)</f>
        <v>0</v>
      </c>
      <c r="G901" s="178"/>
      <c r="H901" s="21"/>
      <c r="I901" s="30">
        <f>_xlfn.XLOOKUP(Tabla2757[[#This Row],[Puesto Encargado]], Tabla9[Puesto], Tabla9[Precio cliente],0,1,1)</f>
        <v>0</v>
      </c>
      <c r="J901" s="30">
        <f>_xlfn.XLOOKUP(Tabla2757[[#This Row],[Cargo]], Tabla958[Cargos], Tabla958[Ponderador Precio],0,1,1)</f>
        <v>0</v>
      </c>
      <c r="K901" s="30">
        <f>Tabla2757[[#This Row],[Precio por hora UF]]*Tabla2757[[#This Row],[Ponderador]]</f>
        <v>0</v>
      </c>
      <c r="L901" s="40">
        <v>0</v>
      </c>
      <c r="M901" s="30">
        <f>Tabla2757[[#This Row],[Precio por hora]]*Tabla2757[[#This Row],[Cantidad horas]]</f>
        <v>0</v>
      </c>
      <c r="N901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902" spans="2:14" x14ac:dyDescent="0.3">
      <c r="B902" s="28"/>
      <c r="C902" s="20"/>
      <c r="E902" s="136"/>
      <c r="F902" s="177">
        <f>_xlfn.XLOOKUP(Tabla2757[[#This Row],[Tipo de venta]],Tabla2329[Tipo de venta],Tabla2329[Moneda final], "Error - Seleccionar Tipo de Venta", 0,1)</f>
        <v>0</v>
      </c>
      <c r="G902" s="178"/>
      <c r="H902" s="21"/>
      <c r="I902" s="30">
        <f>_xlfn.XLOOKUP(Tabla2757[[#This Row],[Puesto Encargado]], Tabla9[Puesto], Tabla9[Precio cliente],0,1,1)</f>
        <v>0</v>
      </c>
      <c r="J902" s="30">
        <f>_xlfn.XLOOKUP(Tabla2757[[#This Row],[Cargo]], Tabla958[Cargos], Tabla958[Ponderador Precio],0,1,1)</f>
        <v>0</v>
      </c>
      <c r="K902" s="30">
        <f>Tabla2757[[#This Row],[Precio por hora UF]]*Tabla2757[[#This Row],[Ponderador]]</f>
        <v>0</v>
      </c>
      <c r="L902" s="40">
        <v>0</v>
      </c>
      <c r="M902" s="30">
        <f>Tabla2757[[#This Row],[Precio por hora]]*Tabla2757[[#This Row],[Cantidad horas]]</f>
        <v>0</v>
      </c>
      <c r="N902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903" spans="2:14" x14ac:dyDescent="0.3">
      <c r="B903" s="28"/>
      <c r="C903" s="20"/>
      <c r="E903" s="136"/>
      <c r="F903" s="177">
        <f>_xlfn.XLOOKUP(Tabla2757[[#This Row],[Tipo de venta]],Tabla2329[Tipo de venta],Tabla2329[Moneda final], "Error - Seleccionar Tipo de Venta", 0,1)</f>
        <v>0</v>
      </c>
      <c r="G903" s="178"/>
      <c r="H903" s="21"/>
      <c r="I903" s="30">
        <f>_xlfn.XLOOKUP(Tabla2757[[#This Row],[Puesto Encargado]], Tabla9[Puesto], Tabla9[Precio cliente],0,1,1)</f>
        <v>0</v>
      </c>
      <c r="J903" s="30">
        <f>_xlfn.XLOOKUP(Tabla2757[[#This Row],[Cargo]], Tabla958[Cargos], Tabla958[Ponderador Precio],0,1,1)</f>
        <v>0</v>
      </c>
      <c r="K903" s="30">
        <f>Tabla2757[[#This Row],[Precio por hora UF]]*Tabla2757[[#This Row],[Ponderador]]</f>
        <v>0</v>
      </c>
      <c r="L903" s="40">
        <v>0</v>
      </c>
      <c r="M903" s="30">
        <f>Tabla2757[[#This Row],[Precio por hora]]*Tabla2757[[#This Row],[Cantidad horas]]</f>
        <v>0</v>
      </c>
      <c r="N903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904" spans="2:14" x14ac:dyDescent="0.3">
      <c r="B904" s="28"/>
      <c r="C904" s="20"/>
      <c r="E904" s="136"/>
      <c r="F904" s="177">
        <f>_xlfn.XLOOKUP(Tabla2757[[#This Row],[Tipo de venta]],Tabla2329[Tipo de venta],Tabla2329[Moneda final], "Error - Seleccionar Tipo de Venta", 0,1)</f>
        <v>0</v>
      </c>
      <c r="G904" s="178"/>
      <c r="H904" s="21"/>
      <c r="I904" s="30">
        <f>_xlfn.XLOOKUP(Tabla2757[[#This Row],[Puesto Encargado]], Tabla9[Puesto], Tabla9[Precio cliente],0,1,1)</f>
        <v>0</v>
      </c>
      <c r="J904" s="30">
        <f>_xlfn.XLOOKUP(Tabla2757[[#This Row],[Cargo]], Tabla958[Cargos], Tabla958[Ponderador Precio],0,1,1)</f>
        <v>0</v>
      </c>
      <c r="K904" s="30">
        <f>Tabla2757[[#This Row],[Precio por hora UF]]*Tabla2757[[#This Row],[Ponderador]]</f>
        <v>0</v>
      </c>
      <c r="L904" s="40">
        <v>0</v>
      </c>
      <c r="M904" s="30">
        <f>Tabla2757[[#This Row],[Precio por hora]]*Tabla2757[[#This Row],[Cantidad horas]]</f>
        <v>0</v>
      </c>
      <c r="N904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905" spans="2:14" x14ac:dyDescent="0.3">
      <c r="B905" s="28"/>
      <c r="C905" s="20"/>
      <c r="E905" s="136"/>
      <c r="F905" s="177">
        <f>_xlfn.XLOOKUP(Tabla2757[[#This Row],[Tipo de venta]],Tabla2329[Tipo de venta],Tabla2329[Moneda final], "Error - Seleccionar Tipo de Venta", 0,1)</f>
        <v>0</v>
      </c>
      <c r="G905" s="178"/>
      <c r="H905" s="21"/>
      <c r="I905" s="30">
        <f>_xlfn.XLOOKUP(Tabla2757[[#This Row],[Puesto Encargado]], Tabla9[Puesto], Tabla9[Precio cliente],0,1,1)</f>
        <v>0</v>
      </c>
      <c r="J905" s="30">
        <f>_xlfn.XLOOKUP(Tabla2757[[#This Row],[Cargo]], Tabla958[Cargos], Tabla958[Ponderador Precio],0,1,1)</f>
        <v>0</v>
      </c>
      <c r="K905" s="30">
        <f>Tabla2757[[#This Row],[Precio por hora UF]]*Tabla2757[[#This Row],[Ponderador]]</f>
        <v>0</v>
      </c>
      <c r="L905" s="40">
        <v>0</v>
      </c>
      <c r="M905" s="30">
        <f>Tabla2757[[#This Row],[Precio por hora]]*Tabla2757[[#This Row],[Cantidad horas]]</f>
        <v>0</v>
      </c>
      <c r="N905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906" spans="2:14" x14ac:dyDescent="0.3">
      <c r="B906" s="28"/>
      <c r="C906" s="20"/>
      <c r="E906" s="136"/>
      <c r="F906" s="177">
        <f>_xlfn.XLOOKUP(Tabla2757[[#This Row],[Tipo de venta]],Tabla2329[Tipo de venta],Tabla2329[Moneda final], "Error - Seleccionar Tipo de Venta", 0,1)</f>
        <v>0</v>
      </c>
      <c r="G906" s="178"/>
      <c r="H906" s="21"/>
      <c r="I906" s="30">
        <f>_xlfn.XLOOKUP(Tabla2757[[#This Row],[Puesto Encargado]], Tabla9[Puesto], Tabla9[Precio cliente],0,1,1)</f>
        <v>0</v>
      </c>
      <c r="J906" s="30">
        <f>_xlfn.XLOOKUP(Tabla2757[[#This Row],[Cargo]], Tabla958[Cargos], Tabla958[Ponderador Precio],0,1,1)</f>
        <v>0</v>
      </c>
      <c r="K906" s="30">
        <f>Tabla2757[[#This Row],[Precio por hora UF]]*Tabla2757[[#This Row],[Ponderador]]</f>
        <v>0</v>
      </c>
      <c r="L906" s="40">
        <v>0</v>
      </c>
      <c r="M906" s="30">
        <f>Tabla2757[[#This Row],[Precio por hora]]*Tabla2757[[#This Row],[Cantidad horas]]</f>
        <v>0</v>
      </c>
      <c r="N906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907" spans="2:14" x14ac:dyDescent="0.3">
      <c r="B907" s="28"/>
      <c r="C907" s="20"/>
      <c r="E907" s="136"/>
      <c r="F907" s="177">
        <f>_xlfn.XLOOKUP(Tabla2757[[#This Row],[Tipo de venta]],Tabla2329[Tipo de venta],Tabla2329[Moneda final], "Error - Seleccionar Tipo de Venta", 0,1)</f>
        <v>0</v>
      </c>
      <c r="G907" s="178"/>
      <c r="H907" s="21"/>
      <c r="I907" s="30">
        <f>_xlfn.XLOOKUP(Tabla2757[[#This Row],[Puesto Encargado]], Tabla9[Puesto], Tabla9[Precio cliente],0,1,1)</f>
        <v>0</v>
      </c>
      <c r="J907" s="30">
        <f>_xlfn.XLOOKUP(Tabla2757[[#This Row],[Cargo]], Tabla958[Cargos], Tabla958[Ponderador Precio],0,1,1)</f>
        <v>0</v>
      </c>
      <c r="K907" s="30">
        <f>Tabla2757[[#This Row],[Precio por hora UF]]*Tabla2757[[#This Row],[Ponderador]]</f>
        <v>0</v>
      </c>
      <c r="L907" s="40">
        <v>0</v>
      </c>
      <c r="M907" s="30">
        <f>Tabla2757[[#This Row],[Precio por hora]]*Tabla2757[[#This Row],[Cantidad horas]]</f>
        <v>0</v>
      </c>
      <c r="N907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908" spans="2:14" x14ac:dyDescent="0.3">
      <c r="B908" s="28"/>
      <c r="C908" s="20"/>
      <c r="E908" s="136"/>
      <c r="F908" s="177">
        <f>_xlfn.XLOOKUP(Tabla2757[[#This Row],[Tipo de venta]],Tabla2329[Tipo de venta],Tabla2329[Moneda final], "Error - Seleccionar Tipo de Venta", 0,1)</f>
        <v>0</v>
      </c>
      <c r="G908" s="178"/>
      <c r="H908" s="21"/>
      <c r="I908" s="30">
        <f>_xlfn.XLOOKUP(Tabla2757[[#This Row],[Puesto Encargado]], Tabla9[Puesto], Tabla9[Precio cliente],0,1,1)</f>
        <v>0</v>
      </c>
      <c r="J908" s="30">
        <f>_xlfn.XLOOKUP(Tabla2757[[#This Row],[Cargo]], Tabla958[Cargos], Tabla958[Ponderador Precio],0,1,1)</f>
        <v>0</v>
      </c>
      <c r="K908" s="30">
        <f>Tabla2757[[#This Row],[Precio por hora UF]]*Tabla2757[[#This Row],[Ponderador]]</f>
        <v>0</v>
      </c>
      <c r="L908" s="40">
        <v>0</v>
      </c>
      <c r="M908" s="30">
        <f>Tabla2757[[#This Row],[Precio por hora]]*Tabla2757[[#This Row],[Cantidad horas]]</f>
        <v>0</v>
      </c>
      <c r="N908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909" spans="2:14" x14ac:dyDescent="0.3">
      <c r="B909" s="28"/>
      <c r="C909" s="20"/>
      <c r="E909" s="136"/>
      <c r="F909" s="177">
        <f>_xlfn.XLOOKUP(Tabla2757[[#This Row],[Tipo de venta]],Tabla2329[Tipo de venta],Tabla2329[Moneda final], "Error - Seleccionar Tipo de Venta", 0,1)</f>
        <v>0</v>
      </c>
      <c r="G909" s="178"/>
      <c r="H909" s="21"/>
      <c r="I909" s="30">
        <f>_xlfn.XLOOKUP(Tabla2757[[#This Row],[Puesto Encargado]], Tabla9[Puesto], Tabla9[Precio cliente],0,1,1)</f>
        <v>0</v>
      </c>
      <c r="J909" s="30">
        <f>_xlfn.XLOOKUP(Tabla2757[[#This Row],[Cargo]], Tabla958[Cargos], Tabla958[Ponderador Precio],0,1,1)</f>
        <v>0</v>
      </c>
      <c r="K909" s="30">
        <f>Tabla2757[[#This Row],[Precio por hora UF]]*Tabla2757[[#This Row],[Ponderador]]</f>
        <v>0</v>
      </c>
      <c r="L909" s="40">
        <v>0</v>
      </c>
      <c r="M909" s="30">
        <f>Tabla2757[[#This Row],[Precio por hora]]*Tabla2757[[#This Row],[Cantidad horas]]</f>
        <v>0</v>
      </c>
      <c r="N909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910" spans="2:14" x14ac:dyDescent="0.3">
      <c r="B910" s="28"/>
      <c r="C910" s="20"/>
      <c r="E910" s="136"/>
      <c r="F910" s="177">
        <f>_xlfn.XLOOKUP(Tabla2757[[#This Row],[Tipo de venta]],Tabla2329[Tipo de venta],Tabla2329[Moneda final], "Error - Seleccionar Tipo de Venta", 0,1)</f>
        <v>0</v>
      </c>
      <c r="G910" s="178"/>
      <c r="H910" s="21"/>
      <c r="I910" s="30">
        <f>_xlfn.XLOOKUP(Tabla2757[[#This Row],[Puesto Encargado]], Tabla9[Puesto], Tabla9[Precio cliente],0,1,1)</f>
        <v>0</v>
      </c>
      <c r="J910" s="30">
        <f>_xlfn.XLOOKUP(Tabla2757[[#This Row],[Cargo]], Tabla958[Cargos], Tabla958[Ponderador Precio],0,1,1)</f>
        <v>0</v>
      </c>
      <c r="K910" s="30">
        <f>Tabla2757[[#This Row],[Precio por hora UF]]*Tabla2757[[#This Row],[Ponderador]]</f>
        <v>0</v>
      </c>
      <c r="L910" s="40">
        <v>0</v>
      </c>
      <c r="M910" s="30">
        <f>Tabla2757[[#This Row],[Precio por hora]]*Tabla2757[[#This Row],[Cantidad horas]]</f>
        <v>0</v>
      </c>
      <c r="N910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911" spans="2:14" x14ac:dyDescent="0.3">
      <c r="B911" s="28"/>
      <c r="C911" s="20"/>
      <c r="E911" s="136"/>
      <c r="F911" s="177">
        <f>_xlfn.XLOOKUP(Tabla2757[[#This Row],[Tipo de venta]],Tabla2329[Tipo de venta],Tabla2329[Moneda final], "Error - Seleccionar Tipo de Venta", 0,1)</f>
        <v>0</v>
      </c>
      <c r="G911" s="178"/>
      <c r="H911" s="21"/>
      <c r="I911" s="30">
        <f>_xlfn.XLOOKUP(Tabla2757[[#This Row],[Puesto Encargado]], Tabla9[Puesto], Tabla9[Precio cliente],0,1,1)</f>
        <v>0</v>
      </c>
      <c r="J911" s="30">
        <f>_xlfn.XLOOKUP(Tabla2757[[#This Row],[Cargo]], Tabla958[Cargos], Tabla958[Ponderador Precio],0,1,1)</f>
        <v>0</v>
      </c>
      <c r="K911" s="30">
        <f>Tabla2757[[#This Row],[Precio por hora UF]]*Tabla2757[[#This Row],[Ponderador]]</f>
        <v>0</v>
      </c>
      <c r="L911" s="40">
        <v>0</v>
      </c>
      <c r="M911" s="30">
        <f>Tabla2757[[#This Row],[Precio por hora]]*Tabla2757[[#This Row],[Cantidad horas]]</f>
        <v>0</v>
      </c>
      <c r="N911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912" spans="2:14" x14ac:dyDescent="0.3">
      <c r="B912" s="28"/>
      <c r="C912" s="20"/>
      <c r="E912" s="136"/>
      <c r="F912" s="177">
        <f>_xlfn.XLOOKUP(Tabla2757[[#This Row],[Tipo de venta]],Tabla2329[Tipo de venta],Tabla2329[Moneda final], "Error - Seleccionar Tipo de Venta", 0,1)</f>
        <v>0</v>
      </c>
      <c r="G912" s="178"/>
      <c r="H912" s="21"/>
      <c r="I912" s="30">
        <f>_xlfn.XLOOKUP(Tabla2757[[#This Row],[Puesto Encargado]], Tabla9[Puesto], Tabla9[Precio cliente],0,1,1)</f>
        <v>0</v>
      </c>
      <c r="J912" s="30">
        <f>_xlfn.XLOOKUP(Tabla2757[[#This Row],[Cargo]], Tabla958[Cargos], Tabla958[Ponderador Precio],0,1,1)</f>
        <v>0</v>
      </c>
      <c r="K912" s="30">
        <f>Tabla2757[[#This Row],[Precio por hora UF]]*Tabla2757[[#This Row],[Ponderador]]</f>
        <v>0</v>
      </c>
      <c r="L912" s="40">
        <v>0</v>
      </c>
      <c r="M912" s="30">
        <f>Tabla2757[[#This Row],[Precio por hora]]*Tabla2757[[#This Row],[Cantidad horas]]</f>
        <v>0</v>
      </c>
      <c r="N912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913" spans="2:14" x14ac:dyDescent="0.3">
      <c r="B913" s="28"/>
      <c r="C913" s="20"/>
      <c r="E913" s="136"/>
      <c r="F913" s="177">
        <f>_xlfn.XLOOKUP(Tabla2757[[#This Row],[Tipo de venta]],Tabla2329[Tipo de venta],Tabla2329[Moneda final], "Error - Seleccionar Tipo de Venta", 0,1)</f>
        <v>0</v>
      </c>
      <c r="G913" s="178"/>
      <c r="H913" s="21"/>
      <c r="I913" s="30">
        <f>_xlfn.XLOOKUP(Tabla2757[[#This Row],[Puesto Encargado]], Tabla9[Puesto], Tabla9[Precio cliente],0,1,1)</f>
        <v>0</v>
      </c>
      <c r="J913" s="30">
        <f>_xlfn.XLOOKUP(Tabla2757[[#This Row],[Cargo]], Tabla958[Cargos], Tabla958[Ponderador Precio],0,1,1)</f>
        <v>0</v>
      </c>
      <c r="K913" s="30">
        <f>Tabla2757[[#This Row],[Precio por hora UF]]*Tabla2757[[#This Row],[Ponderador]]</f>
        <v>0</v>
      </c>
      <c r="L913" s="40">
        <v>0</v>
      </c>
      <c r="M913" s="30">
        <f>Tabla2757[[#This Row],[Precio por hora]]*Tabla2757[[#This Row],[Cantidad horas]]</f>
        <v>0</v>
      </c>
      <c r="N913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914" spans="2:14" x14ac:dyDescent="0.3">
      <c r="B914" s="28"/>
      <c r="C914" s="20"/>
      <c r="E914" s="136"/>
      <c r="F914" s="177">
        <f>_xlfn.XLOOKUP(Tabla2757[[#This Row],[Tipo de venta]],Tabla2329[Tipo de venta],Tabla2329[Moneda final], "Error - Seleccionar Tipo de Venta", 0,1)</f>
        <v>0</v>
      </c>
      <c r="G914" s="178"/>
      <c r="H914" s="21"/>
      <c r="I914" s="30">
        <f>_xlfn.XLOOKUP(Tabla2757[[#This Row],[Puesto Encargado]], Tabla9[Puesto], Tabla9[Precio cliente],0,1,1)</f>
        <v>0</v>
      </c>
      <c r="J914" s="30">
        <f>_xlfn.XLOOKUP(Tabla2757[[#This Row],[Cargo]], Tabla958[Cargos], Tabla958[Ponderador Precio],0,1,1)</f>
        <v>0</v>
      </c>
      <c r="K914" s="30">
        <f>Tabla2757[[#This Row],[Precio por hora UF]]*Tabla2757[[#This Row],[Ponderador]]</f>
        <v>0</v>
      </c>
      <c r="L914" s="40">
        <v>0</v>
      </c>
      <c r="M914" s="30">
        <f>Tabla2757[[#This Row],[Precio por hora]]*Tabla2757[[#This Row],[Cantidad horas]]</f>
        <v>0</v>
      </c>
      <c r="N914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915" spans="2:14" x14ac:dyDescent="0.3">
      <c r="B915" s="28"/>
      <c r="C915" s="20"/>
      <c r="E915" s="136"/>
      <c r="F915" s="177">
        <f>_xlfn.XLOOKUP(Tabla2757[[#This Row],[Tipo de venta]],Tabla2329[Tipo de venta],Tabla2329[Moneda final], "Error - Seleccionar Tipo de Venta", 0,1)</f>
        <v>0</v>
      </c>
      <c r="G915" s="178"/>
      <c r="H915" s="21"/>
      <c r="I915" s="30">
        <f>_xlfn.XLOOKUP(Tabla2757[[#This Row],[Puesto Encargado]], Tabla9[Puesto], Tabla9[Precio cliente],0,1,1)</f>
        <v>0</v>
      </c>
      <c r="J915" s="30">
        <f>_xlfn.XLOOKUP(Tabla2757[[#This Row],[Cargo]], Tabla958[Cargos], Tabla958[Ponderador Precio],0,1,1)</f>
        <v>0</v>
      </c>
      <c r="K915" s="30">
        <f>Tabla2757[[#This Row],[Precio por hora UF]]*Tabla2757[[#This Row],[Ponderador]]</f>
        <v>0</v>
      </c>
      <c r="L915" s="40">
        <v>0</v>
      </c>
      <c r="M915" s="30">
        <f>Tabla2757[[#This Row],[Precio por hora]]*Tabla2757[[#This Row],[Cantidad horas]]</f>
        <v>0</v>
      </c>
      <c r="N915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916" spans="2:14" x14ac:dyDescent="0.3">
      <c r="B916" s="28"/>
      <c r="C916" s="20"/>
      <c r="E916" s="136"/>
      <c r="F916" s="177">
        <f>_xlfn.XLOOKUP(Tabla2757[[#This Row],[Tipo de venta]],Tabla2329[Tipo de venta],Tabla2329[Moneda final], "Error - Seleccionar Tipo de Venta", 0,1)</f>
        <v>0</v>
      </c>
      <c r="G916" s="178"/>
      <c r="H916" s="21"/>
      <c r="I916" s="30">
        <f>_xlfn.XLOOKUP(Tabla2757[[#This Row],[Puesto Encargado]], Tabla9[Puesto], Tabla9[Precio cliente],0,1,1)</f>
        <v>0</v>
      </c>
      <c r="J916" s="30">
        <f>_xlfn.XLOOKUP(Tabla2757[[#This Row],[Cargo]], Tabla958[Cargos], Tabla958[Ponderador Precio],0,1,1)</f>
        <v>0</v>
      </c>
      <c r="K916" s="30">
        <f>Tabla2757[[#This Row],[Precio por hora UF]]*Tabla2757[[#This Row],[Ponderador]]</f>
        <v>0</v>
      </c>
      <c r="L916" s="40">
        <v>0</v>
      </c>
      <c r="M916" s="30">
        <f>Tabla2757[[#This Row],[Precio por hora]]*Tabla2757[[#This Row],[Cantidad horas]]</f>
        <v>0</v>
      </c>
      <c r="N916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917" spans="2:14" x14ac:dyDescent="0.3">
      <c r="B917" s="28"/>
      <c r="C917" s="20"/>
      <c r="E917" s="136"/>
      <c r="F917" s="177">
        <f>_xlfn.XLOOKUP(Tabla2757[[#This Row],[Tipo de venta]],Tabla2329[Tipo de venta],Tabla2329[Moneda final], "Error - Seleccionar Tipo de Venta", 0,1)</f>
        <v>0</v>
      </c>
      <c r="G917" s="178"/>
      <c r="H917" s="21"/>
      <c r="I917" s="30">
        <f>_xlfn.XLOOKUP(Tabla2757[[#This Row],[Puesto Encargado]], Tabla9[Puesto], Tabla9[Precio cliente],0,1,1)</f>
        <v>0</v>
      </c>
      <c r="J917" s="30">
        <f>_xlfn.XLOOKUP(Tabla2757[[#This Row],[Cargo]], Tabla958[Cargos], Tabla958[Ponderador Precio],0,1,1)</f>
        <v>0</v>
      </c>
      <c r="K917" s="30">
        <f>Tabla2757[[#This Row],[Precio por hora UF]]*Tabla2757[[#This Row],[Ponderador]]</f>
        <v>0</v>
      </c>
      <c r="L917" s="40">
        <v>0</v>
      </c>
      <c r="M917" s="30">
        <f>Tabla2757[[#This Row],[Precio por hora]]*Tabla2757[[#This Row],[Cantidad horas]]</f>
        <v>0</v>
      </c>
      <c r="N917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918" spans="2:14" x14ac:dyDescent="0.3">
      <c r="B918" s="28"/>
      <c r="C918" s="20"/>
      <c r="E918" s="136"/>
      <c r="F918" s="177">
        <f>_xlfn.XLOOKUP(Tabla2757[[#This Row],[Tipo de venta]],Tabla2329[Tipo de venta],Tabla2329[Moneda final], "Error - Seleccionar Tipo de Venta", 0,1)</f>
        <v>0</v>
      </c>
      <c r="G918" s="178"/>
      <c r="H918" s="21"/>
      <c r="I918" s="30">
        <f>_xlfn.XLOOKUP(Tabla2757[[#This Row],[Puesto Encargado]], Tabla9[Puesto], Tabla9[Precio cliente],0,1,1)</f>
        <v>0</v>
      </c>
      <c r="J918" s="30">
        <f>_xlfn.XLOOKUP(Tabla2757[[#This Row],[Cargo]], Tabla958[Cargos], Tabla958[Ponderador Precio],0,1,1)</f>
        <v>0</v>
      </c>
      <c r="K918" s="30">
        <f>Tabla2757[[#This Row],[Precio por hora UF]]*Tabla2757[[#This Row],[Ponderador]]</f>
        <v>0</v>
      </c>
      <c r="L918" s="40">
        <v>0</v>
      </c>
      <c r="M918" s="30">
        <f>Tabla2757[[#This Row],[Precio por hora]]*Tabla2757[[#This Row],[Cantidad horas]]</f>
        <v>0</v>
      </c>
      <c r="N918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919" spans="2:14" x14ac:dyDescent="0.3">
      <c r="B919" s="28"/>
      <c r="C919" s="20"/>
      <c r="E919" s="136"/>
      <c r="F919" s="177">
        <f>_xlfn.XLOOKUP(Tabla2757[[#This Row],[Tipo de venta]],Tabla2329[Tipo de venta],Tabla2329[Moneda final], "Error - Seleccionar Tipo de Venta", 0,1)</f>
        <v>0</v>
      </c>
      <c r="G919" s="178"/>
      <c r="H919" s="21"/>
      <c r="I919" s="30">
        <f>_xlfn.XLOOKUP(Tabla2757[[#This Row],[Puesto Encargado]], Tabla9[Puesto], Tabla9[Precio cliente],0,1,1)</f>
        <v>0</v>
      </c>
      <c r="J919" s="30">
        <f>_xlfn.XLOOKUP(Tabla2757[[#This Row],[Cargo]], Tabla958[Cargos], Tabla958[Ponderador Precio],0,1,1)</f>
        <v>0</v>
      </c>
      <c r="K919" s="30">
        <f>Tabla2757[[#This Row],[Precio por hora UF]]*Tabla2757[[#This Row],[Ponderador]]</f>
        <v>0</v>
      </c>
      <c r="L919" s="40">
        <v>0</v>
      </c>
      <c r="M919" s="30">
        <f>Tabla2757[[#This Row],[Precio por hora]]*Tabla2757[[#This Row],[Cantidad horas]]</f>
        <v>0</v>
      </c>
      <c r="N919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920" spans="2:14" x14ac:dyDescent="0.3">
      <c r="B920" s="28"/>
      <c r="C920" s="20"/>
      <c r="E920" s="136"/>
      <c r="F920" s="177">
        <f>_xlfn.XLOOKUP(Tabla2757[[#This Row],[Tipo de venta]],Tabla2329[Tipo de venta],Tabla2329[Moneda final], "Error - Seleccionar Tipo de Venta", 0,1)</f>
        <v>0</v>
      </c>
      <c r="G920" s="178"/>
      <c r="H920" s="21"/>
      <c r="I920" s="30">
        <f>_xlfn.XLOOKUP(Tabla2757[[#This Row],[Puesto Encargado]], Tabla9[Puesto], Tabla9[Precio cliente],0,1,1)</f>
        <v>0</v>
      </c>
      <c r="J920" s="30">
        <f>_xlfn.XLOOKUP(Tabla2757[[#This Row],[Cargo]], Tabla958[Cargos], Tabla958[Ponderador Precio],0,1,1)</f>
        <v>0</v>
      </c>
      <c r="K920" s="30">
        <f>Tabla2757[[#This Row],[Precio por hora UF]]*Tabla2757[[#This Row],[Ponderador]]</f>
        <v>0</v>
      </c>
      <c r="L920" s="40">
        <v>0</v>
      </c>
      <c r="M920" s="30">
        <f>Tabla2757[[#This Row],[Precio por hora]]*Tabla2757[[#This Row],[Cantidad horas]]</f>
        <v>0</v>
      </c>
      <c r="N920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921" spans="2:14" x14ac:dyDescent="0.3">
      <c r="B921" s="28"/>
      <c r="C921" s="20"/>
      <c r="E921" s="136"/>
      <c r="F921" s="177">
        <f>_xlfn.XLOOKUP(Tabla2757[[#This Row],[Tipo de venta]],Tabla2329[Tipo de venta],Tabla2329[Moneda final], "Error - Seleccionar Tipo de Venta", 0,1)</f>
        <v>0</v>
      </c>
      <c r="G921" s="178"/>
      <c r="H921" s="21"/>
      <c r="I921" s="30">
        <f>_xlfn.XLOOKUP(Tabla2757[[#This Row],[Puesto Encargado]], Tabla9[Puesto], Tabla9[Precio cliente],0,1,1)</f>
        <v>0</v>
      </c>
      <c r="J921" s="30">
        <f>_xlfn.XLOOKUP(Tabla2757[[#This Row],[Cargo]], Tabla958[Cargos], Tabla958[Ponderador Precio],0,1,1)</f>
        <v>0</v>
      </c>
      <c r="K921" s="30">
        <f>Tabla2757[[#This Row],[Precio por hora UF]]*Tabla2757[[#This Row],[Ponderador]]</f>
        <v>0</v>
      </c>
      <c r="L921" s="40">
        <v>0</v>
      </c>
      <c r="M921" s="30">
        <f>Tabla2757[[#This Row],[Precio por hora]]*Tabla2757[[#This Row],[Cantidad horas]]</f>
        <v>0</v>
      </c>
      <c r="N921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922" spans="2:14" x14ac:dyDescent="0.3">
      <c r="B922" s="28"/>
      <c r="C922" s="20"/>
      <c r="E922" s="136"/>
      <c r="F922" s="177">
        <f>_xlfn.XLOOKUP(Tabla2757[[#This Row],[Tipo de venta]],Tabla2329[Tipo de venta],Tabla2329[Moneda final], "Error - Seleccionar Tipo de Venta", 0,1)</f>
        <v>0</v>
      </c>
      <c r="G922" s="178"/>
      <c r="H922" s="21"/>
      <c r="I922" s="30">
        <f>_xlfn.XLOOKUP(Tabla2757[[#This Row],[Puesto Encargado]], Tabla9[Puesto], Tabla9[Precio cliente],0,1,1)</f>
        <v>0</v>
      </c>
      <c r="J922" s="30">
        <f>_xlfn.XLOOKUP(Tabla2757[[#This Row],[Cargo]], Tabla958[Cargos], Tabla958[Ponderador Precio],0,1,1)</f>
        <v>0</v>
      </c>
      <c r="K922" s="30">
        <f>Tabla2757[[#This Row],[Precio por hora UF]]*Tabla2757[[#This Row],[Ponderador]]</f>
        <v>0</v>
      </c>
      <c r="L922" s="40">
        <v>0</v>
      </c>
      <c r="M922" s="30">
        <f>Tabla2757[[#This Row],[Precio por hora]]*Tabla2757[[#This Row],[Cantidad horas]]</f>
        <v>0</v>
      </c>
      <c r="N922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923" spans="2:14" x14ac:dyDescent="0.3">
      <c r="B923" s="28"/>
      <c r="C923" s="20"/>
      <c r="E923" s="136"/>
      <c r="F923" s="177">
        <f>_xlfn.XLOOKUP(Tabla2757[[#This Row],[Tipo de venta]],Tabla2329[Tipo de venta],Tabla2329[Moneda final], "Error - Seleccionar Tipo de Venta", 0,1)</f>
        <v>0</v>
      </c>
      <c r="G923" s="178"/>
      <c r="H923" s="21"/>
      <c r="I923" s="30">
        <f>_xlfn.XLOOKUP(Tabla2757[[#This Row],[Puesto Encargado]], Tabla9[Puesto], Tabla9[Precio cliente],0,1,1)</f>
        <v>0</v>
      </c>
      <c r="J923" s="30">
        <f>_xlfn.XLOOKUP(Tabla2757[[#This Row],[Cargo]], Tabla958[Cargos], Tabla958[Ponderador Precio],0,1,1)</f>
        <v>0</v>
      </c>
      <c r="K923" s="30">
        <f>Tabla2757[[#This Row],[Precio por hora UF]]*Tabla2757[[#This Row],[Ponderador]]</f>
        <v>0</v>
      </c>
      <c r="L923" s="40">
        <v>0</v>
      </c>
      <c r="M923" s="30">
        <f>Tabla2757[[#This Row],[Precio por hora]]*Tabla2757[[#This Row],[Cantidad horas]]</f>
        <v>0</v>
      </c>
      <c r="N923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924" spans="2:14" x14ac:dyDescent="0.3">
      <c r="B924" s="28"/>
      <c r="C924" s="20"/>
      <c r="E924" s="136"/>
      <c r="F924" s="177">
        <f>_xlfn.XLOOKUP(Tabla2757[[#This Row],[Tipo de venta]],Tabla2329[Tipo de venta],Tabla2329[Moneda final], "Error - Seleccionar Tipo de Venta", 0,1)</f>
        <v>0</v>
      </c>
      <c r="G924" s="178"/>
      <c r="H924" s="21"/>
      <c r="I924" s="30">
        <f>_xlfn.XLOOKUP(Tabla2757[[#This Row],[Puesto Encargado]], Tabla9[Puesto], Tabla9[Precio cliente],0,1,1)</f>
        <v>0</v>
      </c>
      <c r="J924" s="30">
        <f>_xlfn.XLOOKUP(Tabla2757[[#This Row],[Cargo]], Tabla958[Cargos], Tabla958[Ponderador Precio],0,1,1)</f>
        <v>0</v>
      </c>
      <c r="K924" s="30">
        <f>Tabla2757[[#This Row],[Precio por hora UF]]*Tabla2757[[#This Row],[Ponderador]]</f>
        <v>0</v>
      </c>
      <c r="L924" s="40">
        <v>0</v>
      </c>
      <c r="M924" s="30">
        <f>Tabla2757[[#This Row],[Precio por hora]]*Tabla2757[[#This Row],[Cantidad horas]]</f>
        <v>0</v>
      </c>
      <c r="N924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925" spans="2:14" x14ac:dyDescent="0.3">
      <c r="B925" s="28"/>
      <c r="C925" s="20"/>
      <c r="E925" s="136"/>
      <c r="F925" s="177">
        <f>_xlfn.XLOOKUP(Tabla2757[[#This Row],[Tipo de venta]],Tabla2329[Tipo de venta],Tabla2329[Moneda final], "Error - Seleccionar Tipo de Venta", 0,1)</f>
        <v>0</v>
      </c>
      <c r="G925" s="178"/>
      <c r="H925" s="21"/>
      <c r="I925" s="30">
        <f>_xlfn.XLOOKUP(Tabla2757[[#This Row],[Puesto Encargado]], Tabla9[Puesto], Tabla9[Precio cliente],0,1,1)</f>
        <v>0</v>
      </c>
      <c r="J925" s="30">
        <f>_xlfn.XLOOKUP(Tabla2757[[#This Row],[Cargo]], Tabla958[Cargos], Tabla958[Ponderador Precio],0,1,1)</f>
        <v>0</v>
      </c>
      <c r="K925" s="30">
        <f>Tabla2757[[#This Row],[Precio por hora UF]]*Tabla2757[[#This Row],[Ponderador]]</f>
        <v>0</v>
      </c>
      <c r="L925" s="40">
        <v>0</v>
      </c>
      <c r="M925" s="30">
        <f>Tabla2757[[#This Row],[Precio por hora]]*Tabla2757[[#This Row],[Cantidad horas]]</f>
        <v>0</v>
      </c>
      <c r="N925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926" spans="2:14" x14ac:dyDescent="0.3">
      <c r="B926" s="28"/>
      <c r="C926" s="20"/>
      <c r="E926" s="136"/>
      <c r="F926" s="177">
        <f>_xlfn.XLOOKUP(Tabla2757[[#This Row],[Tipo de venta]],Tabla2329[Tipo de venta],Tabla2329[Moneda final], "Error - Seleccionar Tipo de Venta", 0,1)</f>
        <v>0</v>
      </c>
      <c r="G926" s="178"/>
      <c r="H926" s="21"/>
      <c r="I926" s="30">
        <f>_xlfn.XLOOKUP(Tabla2757[[#This Row],[Puesto Encargado]], Tabla9[Puesto], Tabla9[Precio cliente],0,1,1)</f>
        <v>0</v>
      </c>
      <c r="J926" s="30">
        <f>_xlfn.XLOOKUP(Tabla2757[[#This Row],[Cargo]], Tabla958[Cargos], Tabla958[Ponderador Precio],0,1,1)</f>
        <v>0</v>
      </c>
      <c r="K926" s="30">
        <f>Tabla2757[[#This Row],[Precio por hora UF]]*Tabla2757[[#This Row],[Ponderador]]</f>
        <v>0</v>
      </c>
      <c r="L926" s="40">
        <v>0</v>
      </c>
      <c r="M926" s="30">
        <f>Tabla2757[[#This Row],[Precio por hora]]*Tabla2757[[#This Row],[Cantidad horas]]</f>
        <v>0</v>
      </c>
      <c r="N926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927" spans="2:14" x14ac:dyDescent="0.3">
      <c r="B927" s="28"/>
      <c r="C927" s="20"/>
      <c r="E927" s="136"/>
      <c r="F927" s="177">
        <f>_xlfn.XLOOKUP(Tabla2757[[#This Row],[Tipo de venta]],Tabla2329[Tipo de venta],Tabla2329[Moneda final], "Error - Seleccionar Tipo de Venta", 0,1)</f>
        <v>0</v>
      </c>
      <c r="G927" s="178"/>
      <c r="H927" s="21"/>
      <c r="I927" s="30">
        <f>_xlfn.XLOOKUP(Tabla2757[[#This Row],[Puesto Encargado]], Tabla9[Puesto], Tabla9[Precio cliente],0,1,1)</f>
        <v>0</v>
      </c>
      <c r="J927" s="30">
        <f>_xlfn.XLOOKUP(Tabla2757[[#This Row],[Cargo]], Tabla958[Cargos], Tabla958[Ponderador Precio],0,1,1)</f>
        <v>0</v>
      </c>
      <c r="K927" s="30">
        <f>Tabla2757[[#This Row],[Precio por hora UF]]*Tabla2757[[#This Row],[Ponderador]]</f>
        <v>0</v>
      </c>
      <c r="L927" s="40">
        <v>0</v>
      </c>
      <c r="M927" s="30">
        <f>Tabla2757[[#This Row],[Precio por hora]]*Tabla2757[[#This Row],[Cantidad horas]]</f>
        <v>0</v>
      </c>
      <c r="N927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928" spans="2:14" x14ac:dyDescent="0.3">
      <c r="B928" s="28"/>
      <c r="C928" s="20"/>
      <c r="E928" s="136"/>
      <c r="F928" s="177">
        <f>_xlfn.XLOOKUP(Tabla2757[[#This Row],[Tipo de venta]],Tabla2329[Tipo de venta],Tabla2329[Moneda final], "Error - Seleccionar Tipo de Venta", 0,1)</f>
        <v>0</v>
      </c>
      <c r="G928" s="178"/>
      <c r="H928" s="21"/>
      <c r="I928" s="30">
        <f>_xlfn.XLOOKUP(Tabla2757[[#This Row],[Puesto Encargado]], Tabla9[Puesto], Tabla9[Precio cliente],0,1,1)</f>
        <v>0</v>
      </c>
      <c r="J928" s="30">
        <f>_xlfn.XLOOKUP(Tabla2757[[#This Row],[Cargo]], Tabla958[Cargos], Tabla958[Ponderador Precio],0,1,1)</f>
        <v>0</v>
      </c>
      <c r="K928" s="30">
        <f>Tabla2757[[#This Row],[Precio por hora UF]]*Tabla2757[[#This Row],[Ponderador]]</f>
        <v>0</v>
      </c>
      <c r="L928" s="40">
        <v>0</v>
      </c>
      <c r="M928" s="30">
        <f>Tabla2757[[#This Row],[Precio por hora]]*Tabla2757[[#This Row],[Cantidad horas]]</f>
        <v>0</v>
      </c>
      <c r="N928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929" spans="2:14" x14ac:dyDescent="0.3">
      <c r="B929" s="28"/>
      <c r="C929" s="20"/>
      <c r="E929" s="136"/>
      <c r="F929" s="177">
        <f>_xlfn.XLOOKUP(Tabla2757[[#This Row],[Tipo de venta]],Tabla2329[Tipo de venta],Tabla2329[Moneda final], "Error - Seleccionar Tipo de Venta", 0,1)</f>
        <v>0</v>
      </c>
      <c r="G929" s="178"/>
      <c r="H929" s="21"/>
      <c r="I929" s="30">
        <f>_xlfn.XLOOKUP(Tabla2757[[#This Row],[Puesto Encargado]], Tabla9[Puesto], Tabla9[Precio cliente],0,1,1)</f>
        <v>0</v>
      </c>
      <c r="J929" s="30">
        <f>_xlfn.XLOOKUP(Tabla2757[[#This Row],[Cargo]], Tabla958[Cargos], Tabla958[Ponderador Precio],0,1,1)</f>
        <v>0</v>
      </c>
      <c r="K929" s="30">
        <f>Tabla2757[[#This Row],[Precio por hora UF]]*Tabla2757[[#This Row],[Ponderador]]</f>
        <v>0</v>
      </c>
      <c r="L929" s="40">
        <v>0</v>
      </c>
      <c r="M929" s="30">
        <f>Tabla2757[[#This Row],[Precio por hora]]*Tabla2757[[#This Row],[Cantidad horas]]</f>
        <v>0</v>
      </c>
      <c r="N929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930" spans="2:14" x14ac:dyDescent="0.3">
      <c r="B930" s="28"/>
      <c r="C930" s="20"/>
      <c r="E930" s="136"/>
      <c r="F930" s="177">
        <f>_xlfn.XLOOKUP(Tabla2757[[#This Row],[Tipo de venta]],Tabla2329[Tipo de venta],Tabla2329[Moneda final], "Error - Seleccionar Tipo de Venta", 0,1)</f>
        <v>0</v>
      </c>
      <c r="G930" s="178"/>
      <c r="H930" s="21"/>
      <c r="I930" s="30">
        <f>_xlfn.XLOOKUP(Tabla2757[[#This Row],[Puesto Encargado]], Tabla9[Puesto], Tabla9[Precio cliente],0,1,1)</f>
        <v>0</v>
      </c>
      <c r="J930" s="30">
        <f>_xlfn.XLOOKUP(Tabla2757[[#This Row],[Cargo]], Tabla958[Cargos], Tabla958[Ponderador Precio],0,1,1)</f>
        <v>0</v>
      </c>
      <c r="K930" s="30">
        <f>Tabla2757[[#This Row],[Precio por hora UF]]*Tabla2757[[#This Row],[Ponderador]]</f>
        <v>0</v>
      </c>
      <c r="L930" s="40">
        <v>0</v>
      </c>
      <c r="M930" s="30">
        <f>Tabla2757[[#This Row],[Precio por hora]]*Tabla2757[[#This Row],[Cantidad horas]]</f>
        <v>0</v>
      </c>
      <c r="N930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931" spans="2:14" x14ac:dyDescent="0.3">
      <c r="B931" s="28"/>
      <c r="C931" s="20"/>
      <c r="E931" s="136"/>
      <c r="F931" s="177">
        <f>_xlfn.XLOOKUP(Tabla2757[[#This Row],[Tipo de venta]],Tabla2329[Tipo de venta],Tabla2329[Moneda final], "Error - Seleccionar Tipo de Venta", 0,1)</f>
        <v>0</v>
      </c>
      <c r="G931" s="178"/>
      <c r="H931" s="21"/>
      <c r="I931" s="30">
        <f>_xlfn.XLOOKUP(Tabla2757[[#This Row],[Puesto Encargado]], Tabla9[Puesto], Tabla9[Precio cliente],0,1,1)</f>
        <v>0</v>
      </c>
      <c r="J931" s="30">
        <f>_xlfn.XLOOKUP(Tabla2757[[#This Row],[Cargo]], Tabla958[Cargos], Tabla958[Ponderador Precio],0,1,1)</f>
        <v>0</v>
      </c>
      <c r="K931" s="30">
        <f>Tabla2757[[#This Row],[Precio por hora UF]]*Tabla2757[[#This Row],[Ponderador]]</f>
        <v>0</v>
      </c>
      <c r="L931" s="40">
        <v>0</v>
      </c>
      <c r="M931" s="30">
        <f>Tabla2757[[#This Row],[Precio por hora]]*Tabla2757[[#This Row],[Cantidad horas]]</f>
        <v>0</v>
      </c>
      <c r="N931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932" spans="2:14" x14ac:dyDescent="0.3">
      <c r="B932" s="28"/>
      <c r="C932" s="20"/>
      <c r="E932" s="136"/>
      <c r="F932" s="177">
        <f>_xlfn.XLOOKUP(Tabla2757[[#This Row],[Tipo de venta]],Tabla2329[Tipo de venta],Tabla2329[Moneda final], "Error - Seleccionar Tipo de Venta", 0,1)</f>
        <v>0</v>
      </c>
      <c r="G932" s="178"/>
      <c r="H932" s="21"/>
      <c r="I932" s="30">
        <f>_xlfn.XLOOKUP(Tabla2757[[#This Row],[Puesto Encargado]], Tabla9[Puesto], Tabla9[Precio cliente],0,1,1)</f>
        <v>0</v>
      </c>
      <c r="J932" s="30">
        <f>_xlfn.XLOOKUP(Tabla2757[[#This Row],[Cargo]], Tabla958[Cargos], Tabla958[Ponderador Precio],0,1,1)</f>
        <v>0</v>
      </c>
      <c r="K932" s="30">
        <f>Tabla2757[[#This Row],[Precio por hora UF]]*Tabla2757[[#This Row],[Ponderador]]</f>
        <v>0</v>
      </c>
      <c r="L932" s="40">
        <v>0</v>
      </c>
      <c r="M932" s="30">
        <f>Tabla2757[[#This Row],[Precio por hora]]*Tabla2757[[#This Row],[Cantidad horas]]</f>
        <v>0</v>
      </c>
      <c r="N932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933" spans="2:14" x14ac:dyDescent="0.3">
      <c r="B933" s="28"/>
      <c r="C933" s="20"/>
      <c r="E933" s="136"/>
      <c r="F933" s="177">
        <f>_xlfn.XLOOKUP(Tabla2757[[#This Row],[Tipo de venta]],Tabla2329[Tipo de venta],Tabla2329[Moneda final], "Error - Seleccionar Tipo de Venta", 0,1)</f>
        <v>0</v>
      </c>
      <c r="G933" s="178"/>
      <c r="H933" s="21"/>
      <c r="I933" s="30">
        <f>_xlfn.XLOOKUP(Tabla2757[[#This Row],[Puesto Encargado]], Tabla9[Puesto], Tabla9[Precio cliente],0,1,1)</f>
        <v>0</v>
      </c>
      <c r="J933" s="30">
        <f>_xlfn.XLOOKUP(Tabla2757[[#This Row],[Cargo]], Tabla958[Cargos], Tabla958[Ponderador Precio],0,1,1)</f>
        <v>0</v>
      </c>
      <c r="K933" s="30">
        <f>Tabla2757[[#This Row],[Precio por hora UF]]*Tabla2757[[#This Row],[Ponderador]]</f>
        <v>0</v>
      </c>
      <c r="L933" s="40">
        <v>0</v>
      </c>
      <c r="M933" s="30">
        <f>Tabla2757[[#This Row],[Precio por hora]]*Tabla2757[[#This Row],[Cantidad horas]]</f>
        <v>0</v>
      </c>
      <c r="N933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934" spans="2:14" x14ac:dyDescent="0.3">
      <c r="B934" s="28"/>
      <c r="C934" s="20"/>
      <c r="E934" s="136"/>
      <c r="F934" s="177">
        <f>_xlfn.XLOOKUP(Tabla2757[[#This Row],[Tipo de venta]],Tabla2329[Tipo de venta],Tabla2329[Moneda final], "Error - Seleccionar Tipo de Venta", 0,1)</f>
        <v>0</v>
      </c>
      <c r="G934" s="178"/>
      <c r="H934" s="21"/>
      <c r="I934" s="30">
        <f>_xlfn.XLOOKUP(Tabla2757[[#This Row],[Puesto Encargado]], Tabla9[Puesto], Tabla9[Precio cliente],0,1,1)</f>
        <v>0</v>
      </c>
      <c r="J934" s="30">
        <f>_xlfn.XLOOKUP(Tabla2757[[#This Row],[Cargo]], Tabla958[Cargos], Tabla958[Ponderador Precio],0,1,1)</f>
        <v>0</v>
      </c>
      <c r="K934" s="30">
        <f>Tabla2757[[#This Row],[Precio por hora UF]]*Tabla2757[[#This Row],[Ponderador]]</f>
        <v>0</v>
      </c>
      <c r="L934" s="40">
        <v>0</v>
      </c>
      <c r="M934" s="30">
        <f>Tabla2757[[#This Row],[Precio por hora]]*Tabla2757[[#This Row],[Cantidad horas]]</f>
        <v>0</v>
      </c>
      <c r="N934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935" spans="2:14" x14ac:dyDescent="0.3">
      <c r="B935" s="28"/>
      <c r="C935" s="20"/>
      <c r="E935" s="136"/>
      <c r="F935" s="177">
        <f>_xlfn.XLOOKUP(Tabla2757[[#This Row],[Tipo de venta]],Tabla2329[Tipo de venta],Tabla2329[Moneda final], "Error - Seleccionar Tipo de Venta", 0,1)</f>
        <v>0</v>
      </c>
      <c r="G935" s="178"/>
      <c r="H935" s="21"/>
      <c r="I935" s="30">
        <f>_xlfn.XLOOKUP(Tabla2757[[#This Row],[Puesto Encargado]], Tabla9[Puesto], Tabla9[Precio cliente],0,1,1)</f>
        <v>0</v>
      </c>
      <c r="J935" s="30">
        <f>_xlfn.XLOOKUP(Tabla2757[[#This Row],[Cargo]], Tabla958[Cargos], Tabla958[Ponderador Precio],0,1,1)</f>
        <v>0</v>
      </c>
      <c r="K935" s="30">
        <f>Tabla2757[[#This Row],[Precio por hora UF]]*Tabla2757[[#This Row],[Ponderador]]</f>
        <v>0</v>
      </c>
      <c r="L935" s="40">
        <v>0</v>
      </c>
      <c r="M935" s="30">
        <f>Tabla2757[[#This Row],[Precio por hora]]*Tabla2757[[#This Row],[Cantidad horas]]</f>
        <v>0</v>
      </c>
      <c r="N935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936" spans="2:14" x14ac:dyDescent="0.3">
      <c r="B936" s="28"/>
      <c r="C936" s="20"/>
      <c r="E936" s="136"/>
      <c r="F936" s="177">
        <f>_xlfn.XLOOKUP(Tabla2757[[#This Row],[Tipo de venta]],Tabla2329[Tipo de venta],Tabla2329[Moneda final], "Error - Seleccionar Tipo de Venta", 0,1)</f>
        <v>0</v>
      </c>
      <c r="G936" s="178"/>
      <c r="H936" s="21"/>
      <c r="I936" s="30">
        <f>_xlfn.XLOOKUP(Tabla2757[[#This Row],[Puesto Encargado]], Tabla9[Puesto], Tabla9[Precio cliente],0,1,1)</f>
        <v>0</v>
      </c>
      <c r="J936" s="30">
        <f>_xlfn.XLOOKUP(Tabla2757[[#This Row],[Cargo]], Tabla958[Cargos], Tabla958[Ponderador Precio],0,1,1)</f>
        <v>0</v>
      </c>
      <c r="K936" s="30">
        <f>Tabla2757[[#This Row],[Precio por hora UF]]*Tabla2757[[#This Row],[Ponderador]]</f>
        <v>0</v>
      </c>
      <c r="L936" s="40">
        <v>0</v>
      </c>
      <c r="M936" s="30">
        <f>Tabla2757[[#This Row],[Precio por hora]]*Tabla2757[[#This Row],[Cantidad horas]]</f>
        <v>0</v>
      </c>
      <c r="N936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937" spans="2:14" x14ac:dyDescent="0.3">
      <c r="B937" s="28"/>
      <c r="C937" s="20"/>
      <c r="E937" s="136"/>
      <c r="F937" s="177">
        <f>_xlfn.XLOOKUP(Tabla2757[[#This Row],[Tipo de venta]],Tabla2329[Tipo de venta],Tabla2329[Moneda final], "Error - Seleccionar Tipo de Venta", 0,1)</f>
        <v>0</v>
      </c>
      <c r="G937" s="178"/>
      <c r="H937" s="21"/>
      <c r="I937" s="30">
        <f>_xlfn.XLOOKUP(Tabla2757[[#This Row],[Puesto Encargado]], Tabla9[Puesto], Tabla9[Precio cliente],0,1,1)</f>
        <v>0</v>
      </c>
      <c r="J937" s="30">
        <f>_xlfn.XLOOKUP(Tabla2757[[#This Row],[Cargo]], Tabla958[Cargos], Tabla958[Ponderador Precio],0,1,1)</f>
        <v>0</v>
      </c>
      <c r="K937" s="30">
        <f>Tabla2757[[#This Row],[Precio por hora UF]]*Tabla2757[[#This Row],[Ponderador]]</f>
        <v>0</v>
      </c>
      <c r="L937" s="40">
        <v>0</v>
      </c>
      <c r="M937" s="30">
        <f>Tabla2757[[#This Row],[Precio por hora]]*Tabla2757[[#This Row],[Cantidad horas]]</f>
        <v>0</v>
      </c>
      <c r="N937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938" spans="2:14" x14ac:dyDescent="0.3">
      <c r="B938" s="28"/>
      <c r="C938" s="20"/>
      <c r="E938" s="136"/>
      <c r="F938" s="177">
        <f>_xlfn.XLOOKUP(Tabla2757[[#This Row],[Tipo de venta]],Tabla2329[Tipo de venta],Tabla2329[Moneda final], "Error - Seleccionar Tipo de Venta", 0,1)</f>
        <v>0</v>
      </c>
      <c r="G938" s="178"/>
      <c r="H938" s="21"/>
      <c r="I938" s="30">
        <f>_xlfn.XLOOKUP(Tabla2757[[#This Row],[Puesto Encargado]], Tabla9[Puesto], Tabla9[Precio cliente],0,1,1)</f>
        <v>0</v>
      </c>
      <c r="J938" s="30">
        <f>_xlfn.XLOOKUP(Tabla2757[[#This Row],[Cargo]], Tabla958[Cargos], Tabla958[Ponderador Precio],0,1,1)</f>
        <v>0</v>
      </c>
      <c r="K938" s="30">
        <f>Tabla2757[[#This Row],[Precio por hora UF]]*Tabla2757[[#This Row],[Ponderador]]</f>
        <v>0</v>
      </c>
      <c r="L938" s="40">
        <v>0</v>
      </c>
      <c r="M938" s="30">
        <f>Tabla2757[[#This Row],[Precio por hora]]*Tabla2757[[#This Row],[Cantidad horas]]</f>
        <v>0</v>
      </c>
      <c r="N938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939" spans="2:14" x14ac:dyDescent="0.3">
      <c r="B939" s="28"/>
      <c r="C939" s="20"/>
      <c r="E939" s="136"/>
      <c r="F939" s="177">
        <f>_xlfn.XLOOKUP(Tabla2757[[#This Row],[Tipo de venta]],Tabla2329[Tipo de venta],Tabla2329[Moneda final], "Error - Seleccionar Tipo de Venta", 0,1)</f>
        <v>0</v>
      </c>
      <c r="G939" s="178"/>
      <c r="H939" s="21"/>
      <c r="I939" s="30">
        <f>_xlfn.XLOOKUP(Tabla2757[[#This Row],[Puesto Encargado]], Tabla9[Puesto], Tabla9[Precio cliente],0,1,1)</f>
        <v>0</v>
      </c>
      <c r="J939" s="30">
        <f>_xlfn.XLOOKUP(Tabla2757[[#This Row],[Cargo]], Tabla958[Cargos], Tabla958[Ponderador Precio],0,1,1)</f>
        <v>0</v>
      </c>
      <c r="K939" s="30">
        <f>Tabla2757[[#This Row],[Precio por hora UF]]*Tabla2757[[#This Row],[Ponderador]]</f>
        <v>0</v>
      </c>
      <c r="L939" s="40">
        <v>0</v>
      </c>
      <c r="M939" s="30">
        <f>Tabla2757[[#This Row],[Precio por hora]]*Tabla2757[[#This Row],[Cantidad horas]]</f>
        <v>0</v>
      </c>
      <c r="N939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940" spans="2:14" x14ac:dyDescent="0.3">
      <c r="B940" s="28"/>
      <c r="C940" s="20"/>
      <c r="E940" s="136"/>
      <c r="F940" s="177">
        <f>_xlfn.XLOOKUP(Tabla2757[[#This Row],[Tipo de venta]],Tabla2329[Tipo de venta],Tabla2329[Moneda final], "Error - Seleccionar Tipo de Venta", 0,1)</f>
        <v>0</v>
      </c>
      <c r="G940" s="178"/>
      <c r="H940" s="21"/>
      <c r="I940" s="30">
        <f>_xlfn.XLOOKUP(Tabla2757[[#This Row],[Puesto Encargado]], Tabla9[Puesto], Tabla9[Precio cliente],0,1,1)</f>
        <v>0</v>
      </c>
      <c r="J940" s="30">
        <f>_xlfn.XLOOKUP(Tabla2757[[#This Row],[Cargo]], Tabla958[Cargos], Tabla958[Ponderador Precio],0,1,1)</f>
        <v>0</v>
      </c>
      <c r="K940" s="30">
        <f>Tabla2757[[#This Row],[Precio por hora UF]]*Tabla2757[[#This Row],[Ponderador]]</f>
        <v>0</v>
      </c>
      <c r="L940" s="40">
        <v>0</v>
      </c>
      <c r="M940" s="30">
        <f>Tabla2757[[#This Row],[Precio por hora]]*Tabla2757[[#This Row],[Cantidad horas]]</f>
        <v>0</v>
      </c>
      <c r="N940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941" spans="2:14" x14ac:dyDescent="0.3">
      <c r="B941" s="28"/>
      <c r="C941" s="20"/>
      <c r="E941" s="136"/>
      <c r="F941" s="177">
        <f>_xlfn.XLOOKUP(Tabla2757[[#This Row],[Tipo de venta]],Tabla2329[Tipo de venta],Tabla2329[Moneda final], "Error - Seleccionar Tipo de Venta", 0,1)</f>
        <v>0</v>
      </c>
      <c r="G941" s="178"/>
      <c r="H941" s="21"/>
      <c r="I941" s="30">
        <f>_xlfn.XLOOKUP(Tabla2757[[#This Row],[Puesto Encargado]], Tabla9[Puesto], Tabla9[Precio cliente],0,1,1)</f>
        <v>0</v>
      </c>
      <c r="J941" s="30">
        <f>_xlfn.XLOOKUP(Tabla2757[[#This Row],[Cargo]], Tabla958[Cargos], Tabla958[Ponderador Precio],0,1,1)</f>
        <v>0</v>
      </c>
      <c r="K941" s="30">
        <f>Tabla2757[[#This Row],[Precio por hora UF]]*Tabla2757[[#This Row],[Ponderador]]</f>
        <v>0</v>
      </c>
      <c r="L941" s="40">
        <v>0</v>
      </c>
      <c r="M941" s="30">
        <f>Tabla2757[[#This Row],[Precio por hora]]*Tabla2757[[#This Row],[Cantidad horas]]</f>
        <v>0</v>
      </c>
      <c r="N941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942" spans="2:14" x14ac:dyDescent="0.3">
      <c r="B942" s="28"/>
      <c r="C942" s="20"/>
      <c r="E942" s="136"/>
      <c r="F942" s="177">
        <f>_xlfn.XLOOKUP(Tabla2757[[#This Row],[Tipo de venta]],Tabla2329[Tipo de venta],Tabla2329[Moneda final], "Error - Seleccionar Tipo de Venta", 0,1)</f>
        <v>0</v>
      </c>
      <c r="G942" s="178"/>
      <c r="H942" s="21"/>
      <c r="I942" s="30">
        <f>_xlfn.XLOOKUP(Tabla2757[[#This Row],[Puesto Encargado]], Tabla9[Puesto], Tabla9[Precio cliente],0,1,1)</f>
        <v>0</v>
      </c>
      <c r="J942" s="30">
        <f>_xlfn.XLOOKUP(Tabla2757[[#This Row],[Cargo]], Tabla958[Cargos], Tabla958[Ponderador Precio],0,1,1)</f>
        <v>0</v>
      </c>
      <c r="K942" s="30">
        <f>Tabla2757[[#This Row],[Precio por hora UF]]*Tabla2757[[#This Row],[Ponderador]]</f>
        <v>0</v>
      </c>
      <c r="L942" s="40">
        <v>0</v>
      </c>
      <c r="M942" s="30">
        <f>Tabla2757[[#This Row],[Precio por hora]]*Tabla2757[[#This Row],[Cantidad horas]]</f>
        <v>0</v>
      </c>
      <c r="N942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943" spans="2:14" x14ac:dyDescent="0.3">
      <c r="B943" s="28"/>
      <c r="C943" s="20"/>
      <c r="E943" s="136"/>
      <c r="F943" s="177">
        <f>_xlfn.XLOOKUP(Tabla2757[[#This Row],[Tipo de venta]],Tabla2329[Tipo de venta],Tabla2329[Moneda final], "Error - Seleccionar Tipo de Venta", 0,1)</f>
        <v>0</v>
      </c>
      <c r="G943" s="178"/>
      <c r="H943" s="21"/>
      <c r="I943" s="30">
        <f>_xlfn.XLOOKUP(Tabla2757[[#This Row],[Puesto Encargado]], Tabla9[Puesto], Tabla9[Precio cliente],0,1,1)</f>
        <v>0</v>
      </c>
      <c r="J943" s="30">
        <f>_xlfn.XLOOKUP(Tabla2757[[#This Row],[Cargo]], Tabla958[Cargos], Tabla958[Ponderador Precio],0,1,1)</f>
        <v>0</v>
      </c>
      <c r="K943" s="30">
        <f>Tabla2757[[#This Row],[Precio por hora UF]]*Tabla2757[[#This Row],[Ponderador]]</f>
        <v>0</v>
      </c>
      <c r="L943" s="40">
        <v>0</v>
      </c>
      <c r="M943" s="30">
        <f>Tabla2757[[#This Row],[Precio por hora]]*Tabla2757[[#This Row],[Cantidad horas]]</f>
        <v>0</v>
      </c>
      <c r="N943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944" spans="2:14" x14ac:dyDescent="0.3">
      <c r="B944" s="28"/>
      <c r="C944" s="20"/>
      <c r="E944" s="136"/>
      <c r="F944" s="177">
        <f>_xlfn.XLOOKUP(Tabla2757[[#This Row],[Tipo de venta]],Tabla2329[Tipo de venta],Tabla2329[Moneda final], "Error - Seleccionar Tipo de Venta", 0,1)</f>
        <v>0</v>
      </c>
      <c r="G944" s="178"/>
      <c r="H944" s="21"/>
      <c r="I944" s="30">
        <f>_xlfn.XLOOKUP(Tabla2757[[#This Row],[Puesto Encargado]], Tabla9[Puesto], Tabla9[Precio cliente],0,1,1)</f>
        <v>0</v>
      </c>
      <c r="J944" s="30">
        <f>_xlfn.XLOOKUP(Tabla2757[[#This Row],[Cargo]], Tabla958[Cargos], Tabla958[Ponderador Precio],0,1,1)</f>
        <v>0</v>
      </c>
      <c r="K944" s="30">
        <f>Tabla2757[[#This Row],[Precio por hora UF]]*Tabla2757[[#This Row],[Ponderador]]</f>
        <v>0</v>
      </c>
      <c r="L944" s="40">
        <v>0</v>
      </c>
      <c r="M944" s="30">
        <f>Tabla2757[[#This Row],[Precio por hora]]*Tabla2757[[#This Row],[Cantidad horas]]</f>
        <v>0</v>
      </c>
      <c r="N944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945" spans="2:14" x14ac:dyDescent="0.3">
      <c r="B945" s="28"/>
      <c r="C945" s="20"/>
      <c r="E945" s="136"/>
      <c r="F945" s="177">
        <f>_xlfn.XLOOKUP(Tabla2757[[#This Row],[Tipo de venta]],Tabla2329[Tipo de venta],Tabla2329[Moneda final], "Error - Seleccionar Tipo de Venta", 0,1)</f>
        <v>0</v>
      </c>
      <c r="G945" s="178"/>
      <c r="H945" s="21"/>
      <c r="I945" s="30">
        <f>_xlfn.XLOOKUP(Tabla2757[[#This Row],[Puesto Encargado]], Tabla9[Puesto], Tabla9[Precio cliente],0,1,1)</f>
        <v>0</v>
      </c>
      <c r="J945" s="30">
        <f>_xlfn.XLOOKUP(Tabla2757[[#This Row],[Cargo]], Tabla958[Cargos], Tabla958[Ponderador Precio],0,1,1)</f>
        <v>0</v>
      </c>
      <c r="K945" s="30">
        <f>Tabla2757[[#This Row],[Precio por hora UF]]*Tabla2757[[#This Row],[Ponderador]]</f>
        <v>0</v>
      </c>
      <c r="L945" s="40">
        <v>0</v>
      </c>
      <c r="M945" s="30">
        <f>Tabla2757[[#This Row],[Precio por hora]]*Tabla2757[[#This Row],[Cantidad horas]]</f>
        <v>0</v>
      </c>
      <c r="N945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946" spans="2:14" x14ac:dyDescent="0.3">
      <c r="B946" s="28"/>
      <c r="C946" s="20"/>
      <c r="E946" s="136"/>
      <c r="F946" s="177">
        <f>_xlfn.XLOOKUP(Tabla2757[[#This Row],[Tipo de venta]],Tabla2329[Tipo de venta],Tabla2329[Moneda final], "Error - Seleccionar Tipo de Venta", 0,1)</f>
        <v>0</v>
      </c>
      <c r="G946" s="178"/>
      <c r="H946" s="21"/>
      <c r="I946" s="30">
        <f>_xlfn.XLOOKUP(Tabla2757[[#This Row],[Puesto Encargado]], Tabla9[Puesto], Tabla9[Precio cliente],0,1,1)</f>
        <v>0</v>
      </c>
      <c r="J946" s="30">
        <f>_xlfn.XLOOKUP(Tabla2757[[#This Row],[Cargo]], Tabla958[Cargos], Tabla958[Ponderador Precio],0,1,1)</f>
        <v>0</v>
      </c>
      <c r="K946" s="30">
        <f>Tabla2757[[#This Row],[Precio por hora UF]]*Tabla2757[[#This Row],[Ponderador]]</f>
        <v>0</v>
      </c>
      <c r="L946" s="40">
        <v>0</v>
      </c>
      <c r="M946" s="30">
        <f>Tabla2757[[#This Row],[Precio por hora]]*Tabla2757[[#This Row],[Cantidad horas]]</f>
        <v>0</v>
      </c>
      <c r="N946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947" spans="2:14" x14ac:dyDescent="0.3">
      <c r="B947" s="28"/>
      <c r="C947" s="20"/>
      <c r="E947" s="136"/>
      <c r="F947" s="177">
        <f>_xlfn.XLOOKUP(Tabla2757[[#This Row],[Tipo de venta]],Tabla2329[Tipo de venta],Tabla2329[Moneda final], "Error - Seleccionar Tipo de Venta", 0,1)</f>
        <v>0</v>
      </c>
      <c r="G947" s="178"/>
      <c r="H947" s="21"/>
      <c r="I947" s="30">
        <f>_xlfn.XLOOKUP(Tabla2757[[#This Row],[Puesto Encargado]], Tabla9[Puesto], Tabla9[Precio cliente],0,1,1)</f>
        <v>0</v>
      </c>
      <c r="J947" s="30">
        <f>_xlfn.XLOOKUP(Tabla2757[[#This Row],[Cargo]], Tabla958[Cargos], Tabla958[Ponderador Precio],0,1,1)</f>
        <v>0</v>
      </c>
      <c r="K947" s="30">
        <f>Tabla2757[[#This Row],[Precio por hora UF]]*Tabla2757[[#This Row],[Ponderador]]</f>
        <v>0</v>
      </c>
      <c r="L947" s="40">
        <v>0</v>
      </c>
      <c r="M947" s="30">
        <f>Tabla2757[[#This Row],[Precio por hora]]*Tabla2757[[#This Row],[Cantidad horas]]</f>
        <v>0</v>
      </c>
      <c r="N947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948" spans="2:14" x14ac:dyDescent="0.3">
      <c r="B948" s="28"/>
      <c r="C948" s="20"/>
      <c r="E948" s="136"/>
      <c r="F948" s="177">
        <f>_xlfn.XLOOKUP(Tabla2757[[#This Row],[Tipo de venta]],Tabla2329[Tipo de venta],Tabla2329[Moneda final], "Error - Seleccionar Tipo de Venta", 0,1)</f>
        <v>0</v>
      </c>
      <c r="G948" s="178"/>
      <c r="H948" s="21"/>
      <c r="I948" s="30">
        <f>_xlfn.XLOOKUP(Tabla2757[[#This Row],[Puesto Encargado]], Tabla9[Puesto], Tabla9[Precio cliente],0,1,1)</f>
        <v>0</v>
      </c>
      <c r="J948" s="30">
        <f>_xlfn.XLOOKUP(Tabla2757[[#This Row],[Cargo]], Tabla958[Cargos], Tabla958[Ponderador Precio],0,1,1)</f>
        <v>0</v>
      </c>
      <c r="K948" s="30">
        <f>Tabla2757[[#This Row],[Precio por hora UF]]*Tabla2757[[#This Row],[Ponderador]]</f>
        <v>0</v>
      </c>
      <c r="L948" s="40">
        <v>0</v>
      </c>
      <c r="M948" s="30">
        <f>Tabla2757[[#This Row],[Precio por hora]]*Tabla2757[[#This Row],[Cantidad horas]]</f>
        <v>0</v>
      </c>
      <c r="N948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949" spans="2:14" x14ac:dyDescent="0.3">
      <c r="B949" s="28"/>
      <c r="C949" s="20"/>
      <c r="E949" s="136"/>
      <c r="F949" s="177">
        <f>_xlfn.XLOOKUP(Tabla2757[[#This Row],[Tipo de venta]],Tabla2329[Tipo de venta],Tabla2329[Moneda final], "Error - Seleccionar Tipo de Venta", 0,1)</f>
        <v>0</v>
      </c>
      <c r="G949" s="178"/>
      <c r="H949" s="21"/>
      <c r="I949" s="30">
        <f>_xlfn.XLOOKUP(Tabla2757[[#This Row],[Puesto Encargado]], Tabla9[Puesto], Tabla9[Precio cliente],0,1,1)</f>
        <v>0</v>
      </c>
      <c r="J949" s="30">
        <f>_xlfn.XLOOKUP(Tabla2757[[#This Row],[Cargo]], Tabla958[Cargos], Tabla958[Ponderador Precio],0,1,1)</f>
        <v>0</v>
      </c>
      <c r="K949" s="30">
        <f>Tabla2757[[#This Row],[Precio por hora UF]]*Tabla2757[[#This Row],[Ponderador]]</f>
        <v>0</v>
      </c>
      <c r="L949" s="40">
        <v>0</v>
      </c>
      <c r="M949" s="30">
        <f>Tabla2757[[#This Row],[Precio por hora]]*Tabla2757[[#This Row],[Cantidad horas]]</f>
        <v>0</v>
      </c>
      <c r="N949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950" spans="2:14" x14ac:dyDescent="0.3">
      <c r="B950" s="28"/>
      <c r="C950" s="20"/>
      <c r="E950" s="136"/>
      <c r="F950" s="177">
        <f>_xlfn.XLOOKUP(Tabla2757[[#This Row],[Tipo de venta]],Tabla2329[Tipo de venta],Tabla2329[Moneda final], "Error - Seleccionar Tipo de Venta", 0,1)</f>
        <v>0</v>
      </c>
      <c r="G950" s="178"/>
      <c r="H950" s="21"/>
      <c r="I950" s="30">
        <f>_xlfn.XLOOKUP(Tabla2757[[#This Row],[Puesto Encargado]], Tabla9[Puesto], Tabla9[Precio cliente],0,1,1)</f>
        <v>0</v>
      </c>
      <c r="J950" s="30">
        <f>_xlfn.XLOOKUP(Tabla2757[[#This Row],[Cargo]], Tabla958[Cargos], Tabla958[Ponderador Precio],0,1,1)</f>
        <v>0</v>
      </c>
      <c r="K950" s="30">
        <f>Tabla2757[[#This Row],[Precio por hora UF]]*Tabla2757[[#This Row],[Ponderador]]</f>
        <v>0</v>
      </c>
      <c r="L950" s="40">
        <v>0</v>
      </c>
      <c r="M950" s="30">
        <f>Tabla2757[[#This Row],[Precio por hora]]*Tabla2757[[#This Row],[Cantidad horas]]</f>
        <v>0</v>
      </c>
      <c r="N950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951" spans="2:14" x14ac:dyDescent="0.3">
      <c r="B951" s="28"/>
      <c r="C951" s="20"/>
      <c r="E951" s="136"/>
      <c r="F951" s="177">
        <f>_xlfn.XLOOKUP(Tabla2757[[#This Row],[Tipo de venta]],Tabla2329[Tipo de venta],Tabla2329[Moneda final], "Error - Seleccionar Tipo de Venta", 0,1)</f>
        <v>0</v>
      </c>
      <c r="G951" s="178"/>
      <c r="H951" s="21"/>
      <c r="I951" s="30">
        <f>_xlfn.XLOOKUP(Tabla2757[[#This Row],[Puesto Encargado]], Tabla9[Puesto], Tabla9[Precio cliente],0,1,1)</f>
        <v>0</v>
      </c>
      <c r="J951" s="30">
        <f>_xlfn.XLOOKUP(Tabla2757[[#This Row],[Cargo]], Tabla958[Cargos], Tabla958[Ponderador Precio],0,1,1)</f>
        <v>0</v>
      </c>
      <c r="K951" s="30">
        <f>Tabla2757[[#This Row],[Precio por hora UF]]*Tabla2757[[#This Row],[Ponderador]]</f>
        <v>0</v>
      </c>
      <c r="L951" s="40">
        <v>0</v>
      </c>
      <c r="M951" s="30">
        <f>Tabla2757[[#This Row],[Precio por hora]]*Tabla2757[[#This Row],[Cantidad horas]]</f>
        <v>0</v>
      </c>
      <c r="N951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952" spans="2:14" x14ac:dyDescent="0.3">
      <c r="B952" s="28"/>
      <c r="C952" s="20"/>
      <c r="E952" s="136"/>
      <c r="F952" s="177">
        <f>_xlfn.XLOOKUP(Tabla2757[[#This Row],[Tipo de venta]],Tabla2329[Tipo de venta],Tabla2329[Moneda final], "Error - Seleccionar Tipo de Venta", 0,1)</f>
        <v>0</v>
      </c>
      <c r="G952" s="178"/>
      <c r="H952" s="21"/>
      <c r="I952" s="30">
        <f>_xlfn.XLOOKUP(Tabla2757[[#This Row],[Puesto Encargado]], Tabla9[Puesto], Tabla9[Precio cliente],0,1,1)</f>
        <v>0</v>
      </c>
      <c r="J952" s="30">
        <f>_xlfn.XLOOKUP(Tabla2757[[#This Row],[Cargo]], Tabla958[Cargos], Tabla958[Ponderador Precio],0,1,1)</f>
        <v>0</v>
      </c>
      <c r="K952" s="30">
        <f>Tabla2757[[#This Row],[Precio por hora UF]]*Tabla2757[[#This Row],[Ponderador]]</f>
        <v>0</v>
      </c>
      <c r="L952" s="40">
        <v>0</v>
      </c>
      <c r="M952" s="30">
        <f>Tabla2757[[#This Row],[Precio por hora]]*Tabla2757[[#This Row],[Cantidad horas]]</f>
        <v>0</v>
      </c>
      <c r="N952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953" spans="2:14" x14ac:dyDescent="0.3">
      <c r="B953" s="28"/>
      <c r="C953" s="20"/>
      <c r="E953" s="136"/>
      <c r="F953" s="177">
        <f>_xlfn.XLOOKUP(Tabla2757[[#This Row],[Tipo de venta]],Tabla2329[Tipo de venta],Tabla2329[Moneda final], "Error - Seleccionar Tipo de Venta", 0,1)</f>
        <v>0</v>
      </c>
      <c r="G953" s="178"/>
      <c r="H953" s="21"/>
      <c r="I953" s="30">
        <f>_xlfn.XLOOKUP(Tabla2757[[#This Row],[Puesto Encargado]], Tabla9[Puesto], Tabla9[Precio cliente],0,1,1)</f>
        <v>0</v>
      </c>
      <c r="J953" s="30">
        <f>_xlfn.XLOOKUP(Tabla2757[[#This Row],[Cargo]], Tabla958[Cargos], Tabla958[Ponderador Precio],0,1,1)</f>
        <v>0</v>
      </c>
      <c r="K953" s="30">
        <f>Tabla2757[[#This Row],[Precio por hora UF]]*Tabla2757[[#This Row],[Ponderador]]</f>
        <v>0</v>
      </c>
      <c r="L953" s="40">
        <v>0</v>
      </c>
      <c r="M953" s="30">
        <f>Tabla2757[[#This Row],[Precio por hora]]*Tabla2757[[#This Row],[Cantidad horas]]</f>
        <v>0</v>
      </c>
      <c r="N953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954" spans="2:14" x14ac:dyDescent="0.3">
      <c r="B954" s="28"/>
      <c r="C954" s="20"/>
      <c r="E954" s="136"/>
      <c r="F954" s="177">
        <f>_xlfn.XLOOKUP(Tabla2757[[#This Row],[Tipo de venta]],Tabla2329[Tipo de venta],Tabla2329[Moneda final], "Error - Seleccionar Tipo de Venta", 0,1)</f>
        <v>0</v>
      </c>
      <c r="G954" s="178"/>
      <c r="H954" s="21"/>
      <c r="I954" s="30">
        <f>_xlfn.XLOOKUP(Tabla2757[[#This Row],[Puesto Encargado]], Tabla9[Puesto], Tabla9[Precio cliente],0,1,1)</f>
        <v>0</v>
      </c>
      <c r="J954" s="30">
        <f>_xlfn.XLOOKUP(Tabla2757[[#This Row],[Cargo]], Tabla958[Cargos], Tabla958[Ponderador Precio],0,1,1)</f>
        <v>0</v>
      </c>
      <c r="K954" s="30">
        <f>Tabla2757[[#This Row],[Precio por hora UF]]*Tabla2757[[#This Row],[Ponderador]]</f>
        <v>0</v>
      </c>
      <c r="L954" s="40">
        <v>0</v>
      </c>
      <c r="M954" s="30">
        <f>Tabla2757[[#This Row],[Precio por hora]]*Tabla2757[[#This Row],[Cantidad horas]]</f>
        <v>0</v>
      </c>
      <c r="N954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955" spans="2:14" x14ac:dyDescent="0.3">
      <c r="B955" s="28"/>
      <c r="C955" s="20"/>
      <c r="E955" s="136"/>
      <c r="F955" s="177">
        <f>_xlfn.XLOOKUP(Tabla2757[[#This Row],[Tipo de venta]],Tabla2329[Tipo de venta],Tabla2329[Moneda final], "Error - Seleccionar Tipo de Venta", 0,1)</f>
        <v>0</v>
      </c>
      <c r="G955" s="178"/>
      <c r="H955" s="21"/>
      <c r="I955" s="30">
        <f>_xlfn.XLOOKUP(Tabla2757[[#This Row],[Puesto Encargado]], Tabla9[Puesto], Tabla9[Precio cliente],0,1,1)</f>
        <v>0</v>
      </c>
      <c r="J955" s="30">
        <f>_xlfn.XLOOKUP(Tabla2757[[#This Row],[Cargo]], Tabla958[Cargos], Tabla958[Ponderador Precio],0,1,1)</f>
        <v>0</v>
      </c>
      <c r="K955" s="30">
        <f>Tabla2757[[#This Row],[Precio por hora UF]]*Tabla2757[[#This Row],[Ponderador]]</f>
        <v>0</v>
      </c>
      <c r="L955" s="40">
        <v>0</v>
      </c>
      <c r="M955" s="30">
        <f>Tabla2757[[#This Row],[Precio por hora]]*Tabla2757[[#This Row],[Cantidad horas]]</f>
        <v>0</v>
      </c>
      <c r="N955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956" spans="2:14" x14ac:dyDescent="0.3">
      <c r="B956" s="28"/>
      <c r="C956" s="20"/>
      <c r="E956" s="136"/>
      <c r="F956" s="177">
        <f>_xlfn.XLOOKUP(Tabla2757[[#This Row],[Tipo de venta]],Tabla2329[Tipo de venta],Tabla2329[Moneda final], "Error - Seleccionar Tipo de Venta", 0,1)</f>
        <v>0</v>
      </c>
      <c r="G956" s="178"/>
      <c r="H956" s="21"/>
      <c r="I956" s="30">
        <f>_xlfn.XLOOKUP(Tabla2757[[#This Row],[Puesto Encargado]], Tabla9[Puesto], Tabla9[Precio cliente],0,1,1)</f>
        <v>0</v>
      </c>
      <c r="J956" s="30">
        <f>_xlfn.XLOOKUP(Tabla2757[[#This Row],[Cargo]], Tabla958[Cargos], Tabla958[Ponderador Precio],0,1,1)</f>
        <v>0</v>
      </c>
      <c r="K956" s="30">
        <f>Tabla2757[[#This Row],[Precio por hora UF]]*Tabla2757[[#This Row],[Ponderador]]</f>
        <v>0</v>
      </c>
      <c r="L956" s="40">
        <v>0</v>
      </c>
      <c r="M956" s="30">
        <f>Tabla2757[[#This Row],[Precio por hora]]*Tabla2757[[#This Row],[Cantidad horas]]</f>
        <v>0</v>
      </c>
      <c r="N956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957" spans="2:14" x14ac:dyDescent="0.3">
      <c r="B957" s="28"/>
      <c r="C957" s="20"/>
      <c r="E957" s="136"/>
      <c r="F957" s="177">
        <f>_xlfn.XLOOKUP(Tabla2757[[#This Row],[Tipo de venta]],Tabla2329[Tipo de venta],Tabla2329[Moneda final], "Error - Seleccionar Tipo de Venta", 0,1)</f>
        <v>0</v>
      </c>
      <c r="G957" s="178"/>
      <c r="H957" s="21"/>
      <c r="I957" s="30">
        <f>_xlfn.XLOOKUP(Tabla2757[[#This Row],[Puesto Encargado]], Tabla9[Puesto], Tabla9[Precio cliente],0,1,1)</f>
        <v>0</v>
      </c>
      <c r="J957" s="30">
        <f>_xlfn.XLOOKUP(Tabla2757[[#This Row],[Cargo]], Tabla958[Cargos], Tabla958[Ponderador Precio],0,1,1)</f>
        <v>0</v>
      </c>
      <c r="K957" s="30">
        <f>Tabla2757[[#This Row],[Precio por hora UF]]*Tabla2757[[#This Row],[Ponderador]]</f>
        <v>0</v>
      </c>
      <c r="L957" s="40">
        <v>0</v>
      </c>
      <c r="M957" s="30">
        <f>Tabla2757[[#This Row],[Precio por hora]]*Tabla2757[[#This Row],[Cantidad horas]]</f>
        <v>0</v>
      </c>
      <c r="N957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958" spans="2:14" x14ac:dyDescent="0.3">
      <c r="B958" s="28"/>
      <c r="C958" s="20"/>
      <c r="E958" s="136"/>
      <c r="F958" s="177">
        <f>_xlfn.XLOOKUP(Tabla2757[[#This Row],[Tipo de venta]],Tabla2329[Tipo de venta],Tabla2329[Moneda final], "Error - Seleccionar Tipo de Venta", 0,1)</f>
        <v>0</v>
      </c>
      <c r="G958" s="178"/>
      <c r="H958" s="21"/>
      <c r="I958" s="30">
        <f>_xlfn.XLOOKUP(Tabla2757[[#This Row],[Puesto Encargado]], Tabla9[Puesto], Tabla9[Precio cliente],0,1,1)</f>
        <v>0</v>
      </c>
      <c r="J958" s="30">
        <f>_xlfn.XLOOKUP(Tabla2757[[#This Row],[Cargo]], Tabla958[Cargos], Tabla958[Ponderador Precio],0,1,1)</f>
        <v>0</v>
      </c>
      <c r="K958" s="30">
        <f>Tabla2757[[#This Row],[Precio por hora UF]]*Tabla2757[[#This Row],[Ponderador]]</f>
        <v>0</v>
      </c>
      <c r="L958" s="40">
        <v>0</v>
      </c>
      <c r="M958" s="30">
        <f>Tabla2757[[#This Row],[Precio por hora]]*Tabla2757[[#This Row],[Cantidad horas]]</f>
        <v>0</v>
      </c>
      <c r="N958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959" spans="2:14" x14ac:dyDescent="0.3">
      <c r="B959" s="28"/>
      <c r="C959" s="20"/>
      <c r="E959" s="136"/>
      <c r="F959" s="177">
        <f>_xlfn.XLOOKUP(Tabla2757[[#This Row],[Tipo de venta]],Tabla2329[Tipo de venta],Tabla2329[Moneda final], "Error - Seleccionar Tipo de Venta", 0,1)</f>
        <v>0</v>
      </c>
      <c r="G959" s="178"/>
      <c r="H959" s="21"/>
      <c r="I959" s="30">
        <f>_xlfn.XLOOKUP(Tabla2757[[#This Row],[Puesto Encargado]], Tabla9[Puesto], Tabla9[Precio cliente],0,1,1)</f>
        <v>0</v>
      </c>
      <c r="J959" s="30">
        <f>_xlfn.XLOOKUP(Tabla2757[[#This Row],[Cargo]], Tabla958[Cargos], Tabla958[Ponderador Precio],0,1,1)</f>
        <v>0</v>
      </c>
      <c r="K959" s="30">
        <f>Tabla2757[[#This Row],[Precio por hora UF]]*Tabla2757[[#This Row],[Ponderador]]</f>
        <v>0</v>
      </c>
      <c r="L959" s="40">
        <v>0</v>
      </c>
      <c r="M959" s="30">
        <f>Tabla2757[[#This Row],[Precio por hora]]*Tabla2757[[#This Row],[Cantidad horas]]</f>
        <v>0</v>
      </c>
      <c r="N959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960" spans="2:14" x14ac:dyDescent="0.3">
      <c r="B960" s="28"/>
      <c r="C960" s="20"/>
      <c r="E960" s="136"/>
      <c r="F960" s="177">
        <f>_xlfn.XLOOKUP(Tabla2757[[#This Row],[Tipo de venta]],Tabla2329[Tipo de venta],Tabla2329[Moneda final], "Error - Seleccionar Tipo de Venta", 0,1)</f>
        <v>0</v>
      </c>
      <c r="G960" s="178"/>
      <c r="H960" s="21"/>
      <c r="I960" s="30">
        <f>_xlfn.XLOOKUP(Tabla2757[[#This Row],[Puesto Encargado]], Tabla9[Puesto], Tabla9[Precio cliente],0,1,1)</f>
        <v>0</v>
      </c>
      <c r="J960" s="30">
        <f>_xlfn.XLOOKUP(Tabla2757[[#This Row],[Cargo]], Tabla958[Cargos], Tabla958[Ponderador Precio],0,1,1)</f>
        <v>0</v>
      </c>
      <c r="K960" s="30">
        <f>Tabla2757[[#This Row],[Precio por hora UF]]*Tabla2757[[#This Row],[Ponderador]]</f>
        <v>0</v>
      </c>
      <c r="L960" s="40">
        <v>0</v>
      </c>
      <c r="M960" s="30">
        <f>Tabla2757[[#This Row],[Precio por hora]]*Tabla2757[[#This Row],[Cantidad horas]]</f>
        <v>0</v>
      </c>
      <c r="N960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961" spans="2:14" x14ac:dyDescent="0.3">
      <c r="B961" s="28"/>
      <c r="C961" s="20"/>
      <c r="E961" s="136"/>
      <c r="F961" s="177">
        <f>_xlfn.XLOOKUP(Tabla2757[[#This Row],[Tipo de venta]],Tabla2329[Tipo de venta],Tabla2329[Moneda final], "Error - Seleccionar Tipo de Venta", 0,1)</f>
        <v>0</v>
      </c>
      <c r="G961" s="178"/>
      <c r="H961" s="21"/>
      <c r="I961" s="30">
        <f>_xlfn.XLOOKUP(Tabla2757[[#This Row],[Puesto Encargado]], Tabla9[Puesto], Tabla9[Precio cliente],0,1,1)</f>
        <v>0</v>
      </c>
      <c r="J961" s="30">
        <f>_xlfn.XLOOKUP(Tabla2757[[#This Row],[Cargo]], Tabla958[Cargos], Tabla958[Ponderador Precio],0,1,1)</f>
        <v>0</v>
      </c>
      <c r="K961" s="30">
        <f>Tabla2757[[#This Row],[Precio por hora UF]]*Tabla2757[[#This Row],[Ponderador]]</f>
        <v>0</v>
      </c>
      <c r="L961" s="40">
        <v>0</v>
      </c>
      <c r="M961" s="30">
        <f>Tabla2757[[#This Row],[Precio por hora]]*Tabla2757[[#This Row],[Cantidad horas]]</f>
        <v>0</v>
      </c>
      <c r="N961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962" spans="2:14" x14ac:dyDescent="0.3">
      <c r="B962" s="28"/>
      <c r="C962" s="20"/>
      <c r="E962" s="136"/>
      <c r="F962" s="177">
        <f>_xlfn.XLOOKUP(Tabla2757[[#This Row],[Tipo de venta]],Tabla2329[Tipo de venta],Tabla2329[Moneda final], "Error - Seleccionar Tipo de Venta", 0,1)</f>
        <v>0</v>
      </c>
      <c r="G962" s="178"/>
      <c r="H962" s="21"/>
      <c r="I962" s="30">
        <f>_xlfn.XLOOKUP(Tabla2757[[#This Row],[Puesto Encargado]], Tabla9[Puesto], Tabla9[Precio cliente],0,1,1)</f>
        <v>0</v>
      </c>
      <c r="J962" s="30">
        <f>_xlfn.XLOOKUP(Tabla2757[[#This Row],[Cargo]], Tabla958[Cargos], Tabla958[Ponderador Precio],0,1,1)</f>
        <v>0</v>
      </c>
      <c r="K962" s="30">
        <f>Tabla2757[[#This Row],[Precio por hora UF]]*Tabla2757[[#This Row],[Ponderador]]</f>
        <v>0</v>
      </c>
      <c r="L962" s="40">
        <v>0</v>
      </c>
      <c r="M962" s="30">
        <f>Tabla2757[[#This Row],[Precio por hora]]*Tabla2757[[#This Row],[Cantidad horas]]</f>
        <v>0</v>
      </c>
      <c r="N962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963" spans="2:14" x14ac:dyDescent="0.3">
      <c r="B963" s="28"/>
      <c r="C963" s="20"/>
      <c r="E963" s="136"/>
      <c r="F963" s="177">
        <f>_xlfn.XLOOKUP(Tabla2757[[#This Row],[Tipo de venta]],Tabla2329[Tipo de venta],Tabla2329[Moneda final], "Error - Seleccionar Tipo de Venta", 0,1)</f>
        <v>0</v>
      </c>
      <c r="G963" s="178"/>
      <c r="H963" s="21"/>
      <c r="I963" s="30">
        <f>_xlfn.XLOOKUP(Tabla2757[[#This Row],[Puesto Encargado]], Tabla9[Puesto], Tabla9[Precio cliente],0,1,1)</f>
        <v>0</v>
      </c>
      <c r="J963" s="30">
        <f>_xlfn.XLOOKUP(Tabla2757[[#This Row],[Cargo]], Tabla958[Cargos], Tabla958[Ponderador Precio],0,1,1)</f>
        <v>0</v>
      </c>
      <c r="K963" s="30">
        <f>Tabla2757[[#This Row],[Precio por hora UF]]*Tabla2757[[#This Row],[Ponderador]]</f>
        <v>0</v>
      </c>
      <c r="L963" s="40">
        <v>0</v>
      </c>
      <c r="M963" s="30">
        <f>Tabla2757[[#This Row],[Precio por hora]]*Tabla2757[[#This Row],[Cantidad horas]]</f>
        <v>0</v>
      </c>
      <c r="N963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964" spans="2:14" x14ac:dyDescent="0.3">
      <c r="B964" s="28"/>
      <c r="C964" s="20"/>
      <c r="E964" s="136"/>
      <c r="F964" s="177">
        <f>_xlfn.XLOOKUP(Tabla2757[[#This Row],[Tipo de venta]],Tabla2329[Tipo de venta],Tabla2329[Moneda final], "Error - Seleccionar Tipo de Venta", 0,1)</f>
        <v>0</v>
      </c>
      <c r="G964" s="178"/>
      <c r="H964" s="21"/>
      <c r="I964" s="30">
        <f>_xlfn.XLOOKUP(Tabla2757[[#This Row],[Puesto Encargado]], Tabla9[Puesto], Tabla9[Precio cliente],0,1,1)</f>
        <v>0</v>
      </c>
      <c r="J964" s="30">
        <f>_xlfn.XLOOKUP(Tabla2757[[#This Row],[Cargo]], Tabla958[Cargos], Tabla958[Ponderador Precio],0,1,1)</f>
        <v>0</v>
      </c>
      <c r="K964" s="30">
        <f>Tabla2757[[#This Row],[Precio por hora UF]]*Tabla2757[[#This Row],[Ponderador]]</f>
        <v>0</v>
      </c>
      <c r="L964" s="40">
        <v>0</v>
      </c>
      <c r="M964" s="30">
        <f>Tabla2757[[#This Row],[Precio por hora]]*Tabla2757[[#This Row],[Cantidad horas]]</f>
        <v>0</v>
      </c>
      <c r="N964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965" spans="2:14" x14ac:dyDescent="0.3">
      <c r="B965" s="28"/>
      <c r="C965" s="20"/>
      <c r="E965" s="136"/>
      <c r="F965" s="177">
        <f>_xlfn.XLOOKUP(Tabla2757[[#This Row],[Tipo de venta]],Tabla2329[Tipo de venta],Tabla2329[Moneda final], "Error - Seleccionar Tipo de Venta", 0,1)</f>
        <v>0</v>
      </c>
      <c r="G965" s="178"/>
      <c r="H965" s="21"/>
      <c r="I965" s="30">
        <f>_xlfn.XLOOKUP(Tabla2757[[#This Row],[Puesto Encargado]], Tabla9[Puesto], Tabla9[Precio cliente],0,1,1)</f>
        <v>0</v>
      </c>
      <c r="J965" s="30">
        <f>_xlfn.XLOOKUP(Tabla2757[[#This Row],[Cargo]], Tabla958[Cargos], Tabla958[Ponderador Precio],0,1,1)</f>
        <v>0</v>
      </c>
      <c r="K965" s="30">
        <f>Tabla2757[[#This Row],[Precio por hora UF]]*Tabla2757[[#This Row],[Ponderador]]</f>
        <v>0</v>
      </c>
      <c r="L965" s="40">
        <v>0</v>
      </c>
      <c r="M965" s="30">
        <f>Tabla2757[[#This Row],[Precio por hora]]*Tabla2757[[#This Row],[Cantidad horas]]</f>
        <v>0</v>
      </c>
      <c r="N965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966" spans="2:14" x14ac:dyDescent="0.3">
      <c r="B966" s="28"/>
      <c r="C966" s="20"/>
      <c r="E966" s="136"/>
      <c r="F966" s="177">
        <f>_xlfn.XLOOKUP(Tabla2757[[#This Row],[Tipo de venta]],Tabla2329[Tipo de venta],Tabla2329[Moneda final], "Error - Seleccionar Tipo de Venta", 0,1)</f>
        <v>0</v>
      </c>
      <c r="G966" s="178"/>
      <c r="H966" s="21"/>
      <c r="I966" s="30">
        <f>_xlfn.XLOOKUP(Tabla2757[[#This Row],[Puesto Encargado]], Tabla9[Puesto], Tabla9[Precio cliente],0,1,1)</f>
        <v>0</v>
      </c>
      <c r="J966" s="30">
        <f>_xlfn.XLOOKUP(Tabla2757[[#This Row],[Cargo]], Tabla958[Cargos], Tabla958[Ponderador Precio],0,1,1)</f>
        <v>0</v>
      </c>
      <c r="K966" s="30">
        <f>Tabla2757[[#This Row],[Precio por hora UF]]*Tabla2757[[#This Row],[Ponderador]]</f>
        <v>0</v>
      </c>
      <c r="L966" s="40">
        <v>0</v>
      </c>
      <c r="M966" s="30">
        <f>Tabla2757[[#This Row],[Precio por hora]]*Tabla2757[[#This Row],[Cantidad horas]]</f>
        <v>0</v>
      </c>
      <c r="N966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967" spans="2:14" x14ac:dyDescent="0.3">
      <c r="B967" s="28"/>
      <c r="C967" s="20"/>
      <c r="E967" s="136"/>
      <c r="F967" s="177">
        <f>_xlfn.XLOOKUP(Tabla2757[[#This Row],[Tipo de venta]],Tabla2329[Tipo de venta],Tabla2329[Moneda final], "Error - Seleccionar Tipo de Venta", 0,1)</f>
        <v>0</v>
      </c>
      <c r="G967" s="178"/>
      <c r="H967" s="21"/>
      <c r="I967" s="30">
        <f>_xlfn.XLOOKUP(Tabla2757[[#This Row],[Puesto Encargado]], Tabla9[Puesto], Tabla9[Precio cliente],0,1,1)</f>
        <v>0</v>
      </c>
      <c r="J967" s="30">
        <f>_xlfn.XLOOKUP(Tabla2757[[#This Row],[Cargo]], Tabla958[Cargos], Tabla958[Ponderador Precio],0,1,1)</f>
        <v>0</v>
      </c>
      <c r="K967" s="30">
        <f>Tabla2757[[#This Row],[Precio por hora UF]]*Tabla2757[[#This Row],[Ponderador]]</f>
        <v>0</v>
      </c>
      <c r="L967" s="40">
        <v>0</v>
      </c>
      <c r="M967" s="30">
        <f>Tabla2757[[#This Row],[Precio por hora]]*Tabla2757[[#This Row],[Cantidad horas]]</f>
        <v>0</v>
      </c>
      <c r="N967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968" spans="2:14" x14ac:dyDescent="0.3">
      <c r="B968" s="28"/>
      <c r="C968" s="20"/>
      <c r="E968" s="136"/>
      <c r="F968" s="177">
        <f>_xlfn.XLOOKUP(Tabla2757[[#This Row],[Tipo de venta]],Tabla2329[Tipo de venta],Tabla2329[Moneda final], "Error - Seleccionar Tipo de Venta", 0,1)</f>
        <v>0</v>
      </c>
      <c r="G968" s="178"/>
      <c r="H968" s="21"/>
      <c r="I968" s="30">
        <f>_xlfn.XLOOKUP(Tabla2757[[#This Row],[Puesto Encargado]], Tabla9[Puesto], Tabla9[Precio cliente],0,1,1)</f>
        <v>0</v>
      </c>
      <c r="J968" s="30">
        <f>_xlfn.XLOOKUP(Tabla2757[[#This Row],[Cargo]], Tabla958[Cargos], Tabla958[Ponderador Precio],0,1,1)</f>
        <v>0</v>
      </c>
      <c r="K968" s="30">
        <f>Tabla2757[[#This Row],[Precio por hora UF]]*Tabla2757[[#This Row],[Ponderador]]</f>
        <v>0</v>
      </c>
      <c r="L968" s="40">
        <v>0</v>
      </c>
      <c r="M968" s="30">
        <f>Tabla2757[[#This Row],[Precio por hora]]*Tabla2757[[#This Row],[Cantidad horas]]</f>
        <v>0</v>
      </c>
      <c r="N968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969" spans="2:14" x14ac:dyDescent="0.3">
      <c r="B969" s="28"/>
      <c r="C969" s="20"/>
      <c r="E969" s="136"/>
      <c r="F969" s="177">
        <f>_xlfn.XLOOKUP(Tabla2757[[#This Row],[Tipo de venta]],Tabla2329[Tipo de venta],Tabla2329[Moneda final], "Error - Seleccionar Tipo de Venta", 0,1)</f>
        <v>0</v>
      </c>
      <c r="G969" s="178"/>
      <c r="H969" s="21"/>
      <c r="I969" s="30">
        <f>_xlfn.XLOOKUP(Tabla2757[[#This Row],[Puesto Encargado]], Tabla9[Puesto], Tabla9[Precio cliente],0,1,1)</f>
        <v>0</v>
      </c>
      <c r="J969" s="30">
        <f>_xlfn.XLOOKUP(Tabla2757[[#This Row],[Cargo]], Tabla958[Cargos], Tabla958[Ponderador Precio],0,1,1)</f>
        <v>0</v>
      </c>
      <c r="K969" s="30">
        <f>Tabla2757[[#This Row],[Precio por hora UF]]*Tabla2757[[#This Row],[Ponderador]]</f>
        <v>0</v>
      </c>
      <c r="L969" s="40">
        <v>0</v>
      </c>
      <c r="M969" s="30">
        <f>Tabla2757[[#This Row],[Precio por hora]]*Tabla2757[[#This Row],[Cantidad horas]]</f>
        <v>0</v>
      </c>
      <c r="N969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970" spans="2:14" x14ac:dyDescent="0.3">
      <c r="B970" s="28"/>
      <c r="C970" s="20"/>
      <c r="E970" s="136"/>
      <c r="F970" s="177">
        <f>_xlfn.XLOOKUP(Tabla2757[[#This Row],[Tipo de venta]],Tabla2329[Tipo de venta],Tabla2329[Moneda final], "Error - Seleccionar Tipo de Venta", 0,1)</f>
        <v>0</v>
      </c>
      <c r="G970" s="178"/>
      <c r="H970" s="21"/>
      <c r="I970" s="30">
        <f>_xlfn.XLOOKUP(Tabla2757[[#This Row],[Puesto Encargado]], Tabla9[Puesto], Tabla9[Precio cliente],0,1,1)</f>
        <v>0</v>
      </c>
      <c r="J970" s="30">
        <f>_xlfn.XLOOKUP(Tabla2757[[#This Row],[Cargo]], Tabla958[Cargos], Tabla958[Ponderador Precio],0,1,1)</f>
        <v>0</v>
      </c>
      <c r="K970" s="30">
        <f>Tabla2757[[#This Row],[Precio por hora UF]]*Tabla2757[[#This Row],[Ponderador]]</f>
        <v>0</v>
      </c>
      <c r="L970" s="40">
        <v>0</v>
      </c>
      <c r="M970" s="30">
        <f>Tabla2757[[#This Row],[Precio por hora]]*Tabla2757[[#This Row],[Cantidad horas]]</f>
        <v>0</v>
      </c>
      <c r="N970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971" spans="2:14" x14ac:dyDescent="0.3">
      <c r="B971" s="28"/>
      <c r="C971" s="20"/>
      <c r="E971" s="136"/>
      <c r="F971" s="177">
        <f>_xlfn.XLOOKUP(Tabla2757[[#This Row],[Tipo de venta]],Tabla2329[Tipo de venta],Tabla2329[Moneda final], "Error - Seleccionar Tipo de Venta", 0,1)</f>
        <v>0</v>
      </c>
      <c r="G971" s="178"/>
      <c r="H971" s="21"/>
      <c r="I971" s="30">
        <f>_xlfn.XLOOKUP(Tabla2757[[#This Row],[Puesto Encargado]], Tabla9[Puesto], Tabla9[Precio cliente],0,1,1)</f>
        <v>0</v>
      </c>
      <c r="J971" s="30">
        <f>_xlfn.XLOOKUP(Tabla2757[[#This Row],[Cargo]], Tabla958[Cargos], Tabla958[Ponderador Precio],0,1,1)</f>
        <v>0</v>
      </c>
      <c r="K971" s="30">
        <f>Tabla2757[[#This Row],[Precio por hora UF]]*Tabla2757[[#This Row],[Ponderador]]</f>
        <v>0</v>
      </c>
      <c r="L971" s="40">
        <v>0</v>
      </c>
      <c r="M971" s="30">
        <f>Tabla2757[[#This Row],[Precio por hora]]*Tabla2757[[#This Row],[Cantidad horas]]</f>
        <v>0</v>
      </c>
      <c r="N971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972" spans="2:14" x14ac:dyDescent="0.3">
      <c r="B972" s="28"/>
      <c r="C972" s="20"/>
      <c r="E972" s="136"/>
      <c r="F972" s="177">
        <f>_xlfn.XLOOKUP(Tabla2757[[#This Row],[Tipo de venta]],Tabla2329[Tipo de venta],Tabla2329[Moneda final], "Error - Seleccionar Tipo de Venta", 0,1)</f>
        <v>0</v>
      </c>
      <c r="G972" s="178"/>
      <c r="H972" s="21"/>
      <c r="I972" s="30">
        <f>_xlfn.XLOOKUP(Tabla2757[[#This Row],[Puesto Encargado]], Tabla9[Puesto], Tabla9[Precio cliente],0,1,1)</f>
        <v>0</v>
      </c>
      <c r="J972" s="30">
        <f>_xlfn.XLOOKUP(Tabla2757[[#This Row],[Cargo]], Tabla958[Cargos], Tabla958[Ponderador Precio],0,1,1)</f>
        <v>0</v>
      </c>
      <c r="K972" s="30">
        <f>Tabla2757[[#This Row],[Precio por hora UF]]*Tabla2757[[#This Row],[Ponderador]]</f>
        <v>0</v>
      </c>
      <c r="L972" s="40">
        <v>0</v>
      </c>
      <c r="M972" s="30">
        <f>Tabla2757[[#This Row],[Precio por hora]]*Tabla2757[[#This Row],[Cantidad horas]]</f>
        <v>0</v>
      </c>
      <c r="N972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973" spans="2:14" x14ac:dyDescent="0.3">
      <c r="B973" s="28"/>
      <c r="C973" s="20"/>
      <c r="E973" s="136"/>
      <c r="F973" s="177">
        <f>_xlfn.XLOOKUP(Tabla2757[[#This Row],[Tipo de venta]],Tabla2329[Tipo de venta],Tabla2329[Moneda final], "Error - Seleccionar Tipo de Venta", 0,1)</f>
        <v>0</v>
      </c>
      <c r="G973" s="178"/>
      <c r="H973" s="21"/>
      <c r="I973" s="30">
        <f>_xlfn.XLOOKUP(Tabla2757[[#This Row],[Puesto Encargado]], Tabla9[Puesto], Tabla9[Precio cliente],0,1,1)</f>
        <v>0</v>
      </c>
      <c r="J973" s="30">
        <f>_xlfn.XLOOKUP(Tabla2757[[#This Row],[Cargo]], Tabla958[Cargos], Tabla958[Ponderador Precio],0,1,1)</f>
        <v>0</v>
      </c>
      <c r="K973" s="30">
        <f>Tabla2757[[#This Row],[Precio por hora UF]]*Tabla2757[[#This Row],[Ponderador]]</f>
        <v>0</v>
      </c>
      <c r="L973" s="40">
        <v>0</v>
      </c>
      <c r="M973" s="30">
        <f>Tabla2757[[#This Row],[Precio por hora]]*Tabla2757[[#This Row],[Cantidad horas]]</f>
        <v>0</v>
      </c>
      <c r="N973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974" spans="2:14" x14ac:dyDescent="0.3">
      <c r="B974" s="28"/>
      <c r="C974" s="20"/>
      <c r="E974" s="136"/>
      <c r="F974" s="177">
        <f>_xlfn.XLOOKUP(Tabla2757[[#This Row],[Tipo de venta]],Tabla2329[Tipo de venta],Tabla2329[Moneda final], "Error - Seleccionar Tipo de Venta", 0,1)</f>
        <v>0</v>
      </c>
      <c r="G974" s="178"/>
      <c r="H974" s="21"/>
      <c r="I974" s="30">
        <f>_xlfn.XLOOKUP(Tabla2757[[#This Row],[Puesto Encargado]], Tabla9[Puesto], Tabla9[Precio cliente],0,1,1)</f>
        <v>0</v>
      </c>
      <c r="J974" s="30">
        <f>_xlfn.XLOOKUP(Tabla2757[[#This Row],[Cargo]], Tabla958[Cargos], Tabla958[Ponderador Precio],0,1,1)</f>
        <v>0</v>
      </c>
      <c r="K974" s="30">
        <f>Tabla2757[[#This Row],[Precio por hora UF]]*Tabla2757[[#This Row],[Ponderador]]</f>
        <v>0</v>
      </c>
      <c r="L974" s="40">
        <v>0</v>
      </c>
      <c r="M974" s="30">
        <f>Tabla2757[[#This Row],[Precio por hora]]*Tabla2757[[#This Row],[Cantidad horas]]</f>
        <v>0</v>
      </c>
      <c r="N974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975" spans="2:14" x14ac:dyDescent="0.3">
      <c r="B975" s="28"/>
      <c r="C975" s="20"/>
      <c r="E975" s="136"/>
      <c r="F975" s="177">
        <f>_xlfn.XLOOKUP(Tabla2757[[#This Row],[Tipo de venta]],Tabla2329[Tipo de venta],Tabla2329[Moneda final], "Error - Seleccionar Tipo de Venta", 0,1)</f>
        <v>0</v>
      </c>
      <c r="G975" s="178"/>
      <c r="H975" s="21"/>
      <c r="I975" s="30">
        <f>_xlfn.XLOOKUP(Tabla2757[[#This Row],[Puesto Encargado]], Tabla9[Puesto], Tabla9[Precio cliente],0,1,1)</f>
        <v>0</v>
      </c>
      <c r="J975" s="30">
        <f>_xlfn.XLOOKUP(Tabla2757[[#This Row],[Cargo]], Tabla958[Cargos], Tabla958[Ponderador Precio],0,1,1)</f>
        <v>0</v>
      </c>
      <c r="K975" s="30">
        <f>Tabla2757[[#This Row],[Precio por hora UF]]*Tabla2757[[#This Row],[Ponderador]]</f>
        <v>0</v>
      </c>
      <c r="L975" s="40">
        <v>0</v>
      </c>
      <c r="M975" s="30">
        <f>Tabla2757[[#This Row],[Precio por hora]]*Tabla2757[[#This Row],[Cantidad horas]]</f>
        <v>0</v>
      </c>
      <c r="N975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976" spans="2:14" x14ac:dyDescent="0.3">
      <c r="B976" s="28"/>
      <c r="C976" s="20"/>
      <c r="E976" s="136"/>
      <c r="F976" s="177">
        <f>_xlfn.XLOOKUP(Tabla2757[[#This Row],[Tipo de venta]],Tabla2329[Tipo de venta],Tabla2329[Moneda final], "Error - Seleccionar Tipo de Venta", 0,1)</f>
        <v>0</v>
      </c>
      <c r="G976" s="178"/>
      <c r="H976" s="21"/>
      <c r="I976" s="30">
        <f>_xlfn.XLOOKUP(Tabla2757[[#This Row],[Puesto Encargado]], Tabla9[Puesto], Tabla9[Precio cliente],0,1,1)</f>
        <v>0</v>
      </c>
      <c r="J976" s="30">
        <f>_xlfn.XLOOKUP(Tabla2757[[#This Row],[Cargo]], Tabla958[Cargos], Tabla958[Ponderador Precio],0,1,1)</f>
        <v>0</v>
      </c>
      <c r="K976" s="30">
        <f>Tabla2757[[#This Row],[Precio por hora UF]]*Tabla2757[[#This Row],[Ponderador]]</f>
        <v>0</v>
      </c>
      <c r="L976" s="40">
        <v>0</v>
      </c>
      <c r="M976" s="30">
        <f>Tabla2757[[#This Row],[Precio por hora]]*Tabla2757[[#This Row],[Cantidad horas]]</f>
        <v>0</v>
      </c>
      <c r="N976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977" spans="2:14" x14ac:dyDescent="0.3">
      <c r="B977" s="28"/>
      <c r="C977" s="20"/>
      <c r="E977" s="136"/>
      <c r="F977" s="177">
        <f>_xlfn.XLOOKUP(Tabla2757[[#This Row],[Tipo de venta]],Tabla2329[Tipo de venta],Tabla2329[Moneda final], "Error - Seleccionar Tipo de Venta", 0,1)</f>
        <v>0</v>
      </c>
      <c r="G977" s="178"/>
      <c r="H977" s="21"/>
      <c r="I977" s="30">
        <f>_xlfn.XLOOKUP(Tabla2757[[#This Row],[Puesto Encargado]], Tabla9[Puesto], Tabla9[Precio cliente],0,1,1)</f>
        <v>0</v>
      </c>
      <c r="J977" s="30">
        <f>_xlfn.XLOOKUP(Tabla2757[[#This Row],[Cargo]], Tabla958[Cargos], Tabla958[Ponderador Precio],0,1,1)</f>
        <v>0</v>
      </c>
      <c r="K977" s="30">
        <f>Tabla2757[[#This Row],[Precio por hora UF]]*Tabla2757[[#This Row],[Ponderador]]</f>
        <v>0</v>
      </c>
      <c r="L977" s="40">
        <v>0</v>
      </c>
      <c r="M977" s="30">
        <f>Tabla2757[[#This Row],[Precio por hora]]*Tabla2757[[#This Row],[Cantidad horas]]</f>
        <v>0</v>
      </c>
      <c r="N977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978" spans="2:14" x14ac:dyDescent="0.3">
      <c r="B978" s="28"/>
      <c r="C978" s="20"/>
      <c r="E978" s="136"/>
      <c r="F978" s="177">
        <f>_xlfn.XLOOKUP(Tabla2757[[#This Row],[Tipo de venta]],Tabla2329[Tipo de venta],Tabla2329[Moneda final], "Error - Seleccionar Tipo de Venta", 0,1)</f>
        <v>0</v>
      </c>
      <c r="G978" s="178"/>
      <c r="H978" s="21"/>
      <c r="I978" s="30">
        <f>_xlfn.XLOOKUP(Tabla2757[[#This Row],[Puesto Encargado]], Tabla9[Puesto], Tabla9[Precio cliente],0,1,1)</f>
        <v>0</v>
      </c>
      <c r="J978" s="30">
        <f>_xlfn.XLOOKUP(Tabla2757[[#This Row],[Cargo]], Tabla958[Cargos], Tabla958[Ponderador Precio],0,1,1)</f>
        <v>0</v>
      </c>
      <c r="K978" s="30">
        <f>Tabla2757[[#This Row],[Precio por hora UF]]*Tabla2757[[#This Row],[Ponderador]]</f>
        <v>0</v>
      </c>
      <c r="L978" s="40">
        <v>0</v>
      </c>
      <c r="M978" s="30">
        <f>Tabla2757[[#This Row],[Precio por hora]]*Tabla2757[[#This Row],[Cantidad horas]]</f>
        <v>0</v>
      </c>
      <c r="N978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979" spans="2:14" x14ac:dyDescent="0.3">
      <c r="B979" s="28"/>
      <c r="C979" s="20"/>
      <c r="E979" s="136"/>
      <c r="F979" s="177">
        <f>_xlfn.XLOOKUP(Tabla2757[[#This Row],[Tipo de venta]],Tabla2329[Tipo de venta],Tabla2329[Moneda final], "Error - Seleccionar Tipo de Venta", 0,1)</f>
        <v>0</v>
      </c>
      <c r="G979" s="178"/>
      <c r="H979" s="21"/>
      <c r="I979" s="30">
        <f>_xlfn.XLOOKUP(Tabla2757[[#This Row],[Puesto Encargado]], Tabla9[Puesto], Tabla9[Precio cliente],0,1,1)</f>
        <v>0</v>
      </c>
      <c r="J979" s="30">
        <f>_xlfn.XLOOKUP(Tabla2757[[#This Row],[Cargo]], Tabla958[Cargos], Tabla958[Ponderador Precio],0,1,1)</f>
        <v>0</v>
      </c>
      <c r="K979" s="30">
        <f>Tabla2757[[#This Row],[Precio por hora UF]]*Tabla2757[[#This Row],[Ponderador]]</f>
        <v>0</v>
      </c>
      <c r="L979" s="40">
        <v>0</v>
      </c>
      <c r="M979" s="30">
        <f>Tabla2757[[#This Row],[Precio por hora]]*Tabla2757[[#This Row],[Cantidad horas]]</f>
        <v>0</v>
      </c>
      <c r="N979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980" spans="2:14" x14ac:dyDescent="0.3">
      <c r="B980" s="28"/>
      <c r="C980" s="20"/>
      <c r="E980" s="136"/>
      <c r="F980" s="177">
        <f>_xlfn.XLOOKUP(Tabla2757[[#This Row],[Tipo de venta]],Tabla2329[Tipo de venta],Tabla2329[Moneda final], "Error - Seleccionar Tipo de Venta", 0,1)</f>
        <v>0</v>
      </c>
      <c r="G980" s="178"/>
      <c r="H980" s="21"/>
      <c r="I980" s="30">
        <f>_xlfn.XLOOKUP(Tabla2757[[#This Row],[Puesto Encargado]], Tabla9[Puesto], Tabla9[Precio cliente],0,1,1)</f>
        <v>0</v>
      </c>
      <c r="J980" s="30">
        <f>_xlfn.XLOOKUP(Tabla2757[[#This Row],[Cargo]], Tabla958[Cargos], Tabla958[Ponderador Precio],0,1,1)</f>
        <v>0</v>
      </c>
      <c r="K980" s="30">
        <f>Tabla2757[[#This Row],[Precio por hora UF]]*Tabla2757[[#This Row],[Ponderador]]</f>
        <v>0</v>
      </c>
      <c r="L980" s="40">
        <v>0</v>
      </c>
      <c r="M980" s="30">
        <f>Tabla2757[[#This Row],[Precio por hora]]*Tabla2757[[#This Row],[Cantidad horas]]</f>
        <v>0</v>
      </c>
      <c r="N980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981" spans="2:14" x14ac:dyDescent="0.3">
      <c r="B981" s="28"/>
      <c r="C981" s="20"/>
      <c r="E981" s="136"/>
      <c r="F981" s="177">
        <f>_xlfn.XLOOKUP(Tabla2757[[#This Row],[Tipo de venta]],Tabla2329[Tipo de venta],Tabla2329[Moneda final], "Error - Seleccionar Tipo de Venta", 0,1)</f>
        <v>0</v>
      </c>
      <c r="G981" s="178"/>
      <c r="H981" s="21"/>
      <c r="I981" s="30">
        <f>_xlfn.XLOOKUP(Tabla2757[[#This Row],[Puesto Encargado]], Tabla9[Puesto], Tabla9[Precio cliente],0,1,1)</f>
        <v>0</v>
      </c>
      <c r="J981" s="30">
        <f>_xlfn.XLOOKUP(Tabla2757[[#This Row],[Cargo]], Tabla958[Cargos], Tabla958[Ponderador Precio],0,1,1)</f>
        <v>0</v>
      </c>
      <c r="K981" s="30">
        <f>Tabla2757[[#This Row],[Precio por hora UF]]*Tabla2757[[#This Row],[Ponderador]]</f>
        <v>0</v>
      </c>
      <c r="L981" s="40">
        <v>0</v>
      </c>
      <c r="M981" s="30">
        <f>Tabla2757[[#This Row],[Precio por hora]]*Tabla2757[[#This Row],[Cantidad horas]]</f>
        <v>0</v>
      </c>
      <c r="N981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982" spans="2:14" x14ac:dyDescent="0.3">
      <c r="B982" s="28"/>
      <c r="C982" s="20"/>
      <c r="E982" s="136"/>
      <c r="F982" s="177">
        <f>_xlfn.XLOOKUP(Tabla2757[[#This Row],[Tipo de venta]],Tabla2329[Tipo de venta],Tabla2329[Moneda final], "Error - Seleccionar Tipo de Venta", 0,1)</f>
        <v>0</v>
      </c>
      <c r="G982" s="178"/>
      <c r="H982" s="21"/>
      <c r="I982" s="30">
        <f>_xlfn.XLOOKUP(Tabla2757[[#This Row],[Puesto Encargado]], Tabla9[Puesto], Tabla9[Precio cliente],0,1,1)</f>
        <v>0</v>
      </c>
      <c r="J982" s="30">
        <f>_xlfn.XLOOKUP(Tabla2757[[#This Row],[Cargo]], Tabla958[Cargos], Tabla958[Ponderador Precio],0,1,1)</f>
        <v>0</v>
      </c>
      <c r="K982" s="30">
        <f>Tabla2757[[#This Row],[Precio por hora UF]]*Tabla2757[[#This Row],[Ponderador]]</f>
        <v>0</v>
      </c>
      <c r="L982" s="40">
        <v>0</v>
      </c>
      <c r="M982" s="30">
        <f>Tabla2757[[#This Row],[Precio por hora]]*Tabla2757[[#This Row],[Cantidad horas]]</f>
        <v>0</v>
      </c>
      <c r="N982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983" spans="2:14" x14ac:dyDescent="0.3">
      <c r="B983" s="28"/>
      <c r="C983" s="20"/>
      <c r="E983" s="136"/>
      <c r="F983" s="177">
        <f>_xlfn.XLOOKUP(Tabla2757[[#This Row],[Tipo de venta]],Tabla2329[Tipo de venta],Tabla2329[Moneda final], "Error - Seleccionar Tipo de Venta", 0,1)</f>
        <v>0</v>
      </c>
      <c r="G983" s="178"/>
      <c r="H983" s="21"/>
      <c r="I983" s="30">
        <f>_xlfn.XLOOKUP(Tabla2757[[#This Row],[Puesto Encargado]], Tabla9[Puesto], Tabla9[Precio cliente],0,1,1)</f>
        <v>0</v>
      </c>
      <c r="J983" s="30">
        <f>_xlfn.XLOOKUP(Tabla2757[[#This Row],[Cargo]], Tabla958[Cargos], Tabla958[Ponderador Precio],0,1,1)</f>
        <v>0</v>
      </c>
      <c r="K983" s="30">
        <f>Tabla2757[[#This Row],[Precio por hora UF]]*Tabla2757[[#This Row],[Ponderador]]</f>
        <v>0</v>
      </c>
      <c r="L983" s="40">
        <v>0</v>
      </c>
      <c r="M983" s="30">
        <f>Tabla2757[[#This Row],[Precio por hora]]*Tabla2757[[#This Row],[Cantidad horas]]</f>
        <v>0</v>
      </c>
      <c r="N983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984" spans="2:14" x14ac:dyDescent="0.3">
      <c r="B984" s="28"/>
      <c r="C984" s="20"/>
      <c r="E984" s="136"/>
      <c r="F984" s="177">
        <f>_xlfn.XLOOKUP(Tabla2757[[#This Row],[Tipo de venta]],Tabla2329[Tipo de venta],Tabla2329[Moneda final], "Error - Seleccionar Tipo de Venta", 0,1)</f>
        <v>0</v>
      </c>
      <c r="G984" s="178"/>
      <c r="H984" s="21"/>
      <c r="I984" s="30">
        <f>_xlfn.XLOOKUP(Tabla2757[[#This Row],[Puesto Encargado]], Tabla9[Puesto], Tabla9[Precio cliente],0,1,1)</f>
        <v>0</v>
      </c>
      <c r="J984" s="30">
        <f>_xlfn.XLOOKUP(Tabla2757[[#This Row],[Cargo]], Tabla958[Cargos], Tabla958[Ponderador Precio],0,1,1)</f>
        <v>0</v>
      </c>
      <c r="K984" s="30">
        <f>Tabla2757[[#This Row],[Precio por hora UF]]*Tabla2757[[#This Row],[Ponderador]]</f>
        <v>0</v>
      </c>
      <c r="L984" s="40">
        <v>0</v>
      </c>
      <c r="M984" s="30">
        <f>Tabla2757[[#This Row],[Precio por hora]]*Tabla2757[[#This Row],[Cantidad horas]]</f>
        <v>0</v>
      </c>
      <c r="N984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985" spans="2:14" x14ac:dyDescent="0.3">
      <c r="B985" s="28"/>
      <c r="C985" s="20"/>
      <c r="E985" s="136"/>
      <c r="F985" s="177">
        <f>_xlfn.XLOOKUP(Tabla2757[[#This Row],[Tipo de venta]],Tabla2329[Tipo de venta],Tabla2329[Moneda final], "Error - Seleccionar Tipo de Venta", 0,1)</f>
        <v>0</v>
      </c>
      <c r="G985" s="178"/>
      <c r="H985" s="21"/>
      <c r="I985" s="30">
        <f>_xlfn.XLOOKUP(Tabla2757[[#This Row],[Puesto Encargado]], Tabla9[Puesto], Tabla9[Precio cliente],0,1,1)</f>
        <v>0</v>
      </c>
      <c r="J985" s="30">
        <f>_xlfn.XLOOKUP(Tabla2757[[#This Row],[Cargo]], Tabla958[Cargos], Tabla958[Ponderador Precio],0,1,1)</f>
        <v>0</v>
      </c>
      <c r="K985" s="30">
        <f>Tabla2757[[#This Row],[Precio por hora UF]]*Tabla2757[[#This Row],[Ponderador]]</f>
        <v>0</v>
      </c>
      <c r="L985" s="40">
        <v>0</v>
      </c>
      <c r="M985" s="30">
        <f>Tabla2757[[#This Row],[Precio por hora]]*Tabla2757[[#This Row],[Cantidad horas]]</f>
        <v>0</v>
      </c>
      <c r="N985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986" spans="2:14" x14ac:dyDescent="0.3">
      <c r="B986" s="28"/>
      <c r="C986" s="20"/>
      <c r="E986" s="136"/>
      <c r="F986" s="177">
        <f>_xlfn.XLOOKUP(Tabla2757[[#This Row],[Tipo de venta]],Tabla2329[Tipo de venta],Tabla2329[Moneda final], "Error - Seleccionar Tipo de Venta", 0,1)</f>
        <v>0</v>
      </c>
      <c r="G986" s="178"/>
      <c r="H986" s="21"/>
      <c r="I986" s="30">
        <f>_xlfn.XLOOKUP(Tabla2757[[#This Row],[Puesto Encargado]], Tabla9[Puesto], Tabla9[Precio cliente],0,1,1)</f>
        <v>0</v>
      </c>
      <c r="J986" s="30">
        <f>_xlfn.XLOOKUP(Tabla2757[[#This Row],[Cargo]], Tabla958[Cargos], Tabla958[Ponderador Precio],0,1,1)</f>
        <v>0</v>
      </c>
      <c r="K986" s="30">
        <f>Tabla2757[[#This Row],[Precio por hora UF]]*Tabla2757[[#This Row],[Ponderador]]</f>
        <v>0</v>
      </c>
      <c r="L986" s="40">
        <v>0</v>
      </c>
      <c r="M986" s="30">
        <f>Tabla2757[[#This Row],[Precio por hora]]*Tabla2757[[#This Row],[Cantidad horas]]</f>
        <v>0</v>
      </c>
      <c r="N986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987" spans="2:14" x14ac:dyDescent="0.3">
      <c r="B987" s="28"/>
      <c r="C987" s="20"/>
      <c r="E987" s="136"/>
      <c r="F987" s="177">
        <f>_xlfn.XLOOKUP(Tabla2757[[#This Row],[Tipo de venta]],Tabla2329[Tipo de venta],Tabla2329[Moneda final], "Error - Seleccionar Tipo de Venta", 0,1)</f>
        <v>0</v>
      </c>
      <c r="G987" s="178"/>
      <c r="H987" s="21"/>
      <c r="I987" s="30">
        <f>_xlfn.XLOOKUP(Tabla2757[[#This Row],[Puesto Encargado]], Tabla9[Puesto], Tabla9[Precio cliente],0,1,1)</f>
        <v>0</v>
      </c>
      <c r="J987" s="30">
        <f>_xlfn.XLOOKUP(Tabla2757[[#This Row],[Cargo]], Tabla958[Cargos], Tabla958[Ponderador Precio],0,1,1)</f>
        <v>0</v>
      </c>
      <c r="K987" s="30">
        <f>Tabla2757[[#This Row],[Precio por hora UF]]*Tabla2757[[#This Row],[Ponderador]]</f>
        <v>0</v>
      </c>
      <c r="L987" s="40">
        <v>0</v>
      </c>
      <c r="M987" s="30">
        <f>Tabla2757[[#This Row],[Precio por hora]]*Tabla2757[[#This Row],[Cantidad horas]]</f>
        <v>0</v>
      </c>
      <c r="N987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988" spans="2:14" x14ac:dyDescent="0.3">
      <c r="B988" s="28"/>
      <c r="C988" s="20"/>
      <c r="E988" s="136"/>
      <c r="F988" s="177">
        <f>_xlfn.XLOOKUP(Tabla2757[[#This Row],[Tipo de venta]],Tabla2329[Tipo de venta],Tabla2329[Moneda final], "Error - Seleccionar Tipo de Venta", 0,1)</f>
        <v>0</v>
      </c>
      <c r="G988" s="178"/>
      <c r="H988" s="21"/>
      <c r="I988" s="30">
        <f>_xlfn.XLOOKUP(Tabla2757[[#This Row],[Puesto Encargado]], Tabla9[Puesto], Tabla9[Precio cliente],0,1,1)</f>
        <v>0</v>
      </c>
      <c r="J988" s="30">
        <f>_xlfn.XLOOKUP(Tabla2757[[#This Row],[Cargo]], Tabla958[Cargos], Tabla958[Ponderador Precio],0,1,1)</f>
        <v>0</v>
      </c>
      <c r="K988" s="30">
        <f>Tabla2757[[#This Row],[Precio por hora UF]]*Tabla2757[[#This Row],[Ponderador]]</f>
        <v>0</v>
      </c>
      <c r="L988" s="40">
        <v>0</v>
      </c>
      <c r="M988" s="30">
        <f>Tabla2757[[#This Row],[Precio por hora]]*Tabla2757[[#This Row],[Cantidad horas]]</f>
        <v>0</v>
      </c>
      <c r="N988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989" spans="2:14" x14ac:dyDescent="0.3">
      <c r="B989" s="28"/>
      <c r="C989" s="20"/>
      <c r="E989" s="136"/>
      <c r="F989" s="177">
        <f>_xlfn.XLOOKUP(Tabla2757[[#This Row],[Tipo de venta]],Tabla2329[Tipo de venta],Tabla2329[Moneda final], "Error - Seleccionar Tipo de Venta", 0,1)</f>
        <v>0</v>
      </c>
      <c r="G989" s="178"/>
      <c r="H989" s="21"/>
      <c r="I989" s="30">
        <f>_xlfn.XLOOKUP(Tabla2757[[#This Row],[Puesto Encargado]], Tabla9[Puesto], Tabla9[Precio cliente],0,1,1)</f>
        <v>0</v>
      </c>
      <c r="J989" s="30">
        <f>_xlfn.XLOOKUP(Tabla2757[[#This Row],[Cargo]], Tabla958[Cargos], Tabla958[Ponderador Precio],0,1,1)</f>
        <v>0</v>
      </c>
      <c r="K989" s="30">
        <f>Tabla2757[[#This Row],[Precio por hora UF]]*Tabla2757[[#This Row],[Ponderador]]</f>
        <v>0</v>
      </c>
      <c r="L989" s="40">
        <v>0</v>
      </c>
      <c r="M989" s="30">
        <f>Tabla2757[[#This Row],[Precio por hora]]*Tabla2757[[#This Row],[Cantidad horas]]</f>
        <v>0</v>
      </c>
      <c r="N989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990" spans="2:14" x14ac:dyDescent="0.3">
      <c r="B990" s="28"/>
      <c r="C990" s="20"/>
      <c r="E990" s="136"/>
      <c r="F990" s="177">
        <f>_xlfn.XLOOKUP(Tabla2757[[#This Row],[Tipo de venta]],Tabla2329[Tipo de venta],Tabla2329[Moneda final], "Error - Seleccionar Tipo de Venta", 0,1)</f>
        <v>0</v>
      </c>
      <c r="G990" s="178"/>
      <c r="H990" s="21"/>
      <c r="I990" s="30">
        <f>_xlfn.XLOOKUP(Tabla2757[[#This Row],[Puesto Encargado]], Tabla9[Puesto], Tabla9[Precio cliente],0,1,1)</f>
        <v>0</v>
      </c>
      <c r="J990" s="30">
        <f>_xlfn.XLOOKUP(Tabla2757[[#This Row],[Cargo]], Tabla958[Cargos], Tabla958[Ponderador Precio],0,1,1)</f>
        <v>0</v>
      </c>
      <c r="K990" s="30">
        <f>Tabla2757[[#This Row],[Precio por hora UF]]*Tabla2757[[#This Row],[Ponderador]]</f>
        <v>0</v>
      </c>
      <c r="L990" s="40">
        <v>0</v>
      </c>
      <c r="M990" s="30">
        <f>Tabla2757[[#This Row],[Precio por hora]]*Tabla2757[[#This Row],[Cantidad horas]]</f>
        <v>0</v>
      </c>
      <c r="N990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991" spans="2:14" x14ac:dyDescent="0.3">
      <c r="B991" s="28"/>
      <c r="C991" s="20"/>
      <c r="E991" s="136"/>
      <c r="F991" s="177">
        <f>_xlfn.XLOOKUP(Tabla2757[[#This Row],[Tipo de venta]],Tabla2329[Tipo de venta],Tabla2329[Moneda final], "Error - Seleccionar Tipo de Venta", 0,1)</f>
        <v>0</v>
      </c>
      <c r="G991" s="178"/>
      <c r="H991" s="21"/>
      <c r="I991" s="30">
        <f>_xlfn.XLOOKUP(Tabla2757[[#This Row],[Puesto Encargado]], Tabla9[Puesto], Tabla9[Precio cliente],0,1,1)</f>
        <v>0</v>
      </c>
      <c r="J991" s="30">
        <f>_xlfn.XLOOKUP(Tabla2757[[#This Row],[Cargo]], Tabla958[Cargos], Tabla958[Ponderador Precio],0,1,1)</f>
        <v>0</v>
      </c>
      <c r="K991" s="30">
        <f>Tabla2757[[#This Row],[Precio por hora UF]]*Tabla2757[[#This Row],[Ponderador]]</f>
        <v>0</v>
      </c>
      <c r="L991" s="40">
        <v>0</v>
      </c>
      <c r="M991" s="30">
        <f>Tabla2757[[#This Row],[Precio por hora]]*Tabla2757[[#This Row],[Cantidad horas]]</f>
        <v>0</v>
      </c>
      <c r="N991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992" spans="2:14" x14ac:dyDescent="0.3">
      <c r="B992" s="28"/>
      <c r="C992" s="20"/>
      <c r="E992" s="136"/>
      <c r="F992" s="177">
        <f>_xlfn.XLOOKUP(Tabla2757[[#This Row],[Tipo de venta]],Tabla2329[Tipo de venta],Tabla2329[Moneda final], "Error - Seleccionar Tipo de Venta", 0,1)</f>
        <v>0</v>
      </c>
      <c r="G992" s="178"/>
      <c r="H992" s="21"/>
      <c r="I992" s="30">
        <f>_xlfn.XLOOKUP(Tabla2757[[#This Row],[Puesto Encargado]], Tabla9[Puesto], Tabla9[Precio cliente],0,1,1)</f>
        <v>0</v>
      </c>
      <c r="J992" s="30">
        <f>_xlfn.XLOOKUP(Tabla2757[[#This Row],[Cargo]], Tabla958[Cargos], Tabla958[Ponderador Precio],0,1,1)</f>
        <v>0</v>
      </c>
      <c r="K992" s="30">
        <f>Tabla2757[[#This Row],[Precio por hora UF]]*Tabla2757[[#This Row],[Ponderador]]</f>
        <v>0</v>
      </c>
      <c r="L992" s="40">
        <v>0</v>
      </c>
      <c r="M992" s="30">
        <f>Tabla2757[[#This Row],[Precio por hora]]*Tabla2757[[#This Row],[Cantidad horas]]</f>
        <v>0</v>
      </c>
      <c r="N992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993" spans="2:14" x14ac:dyDescent="0.3">
      <c r="B993" s="28"/>
      <c r="C993" s="20"/>
      <c r="E993" s="136"/>
      <c r="F993" s="177">
        <f>_xlfn.XLOOKUP(Tabla2757[[#This Row],[Tipo de venta]],Tabla2329[Tipo de venta],Tabla2329[Moneda final], "Error - Seleccionar Tipo de Venta", 0,1)</f>
        <v>0</v>
      </c>
      <c r="G993" s="178"/>
      <c r="H993" s="21"/>
      <c r="I993" s="30">
        <f>_xlfn.XLOOKUP(Tabla2757[[#This Row],[Puesto Encargado]], Tabla9[Puesto], Tabla9[Precio cliente],0,1,1)</f>
        <v>0</v>
      </c>
      <c r="J993" s="30">
        <f>_xlfn.XLOOKUP(Tabla2757[[#This Row],[Cargo]], Tabla958[Cargos], Tabla958[Ponderador Precio],0,1,1)</f>
        <v>0</v>
      </c>
      <c r="K993" s="30">
        <f>Tabla2757[[#This Row],[Precio por hora UF]]*Tabla2757[[#This Row],[Ponderador]]</f>
        <v>0</v>
      </c>
      <c r="L993" s="40">
        <v>0</v>
      </c>
      <c r="M993" s="30">
        <f>Tabla2757[[#This Row],[Precio por hora]]*Tabla2757[[#This Row],[Cantidad horas]]</f>
        <v>0</v>
      </c>
      <c r="N993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994" spans="2:14" x14ac:dyDescent="0.3">
      <c r="B994" s="28"/>
      <c r="C994" s="20"/>
      <c r="E994" s="136"/>
      <c r="F994" s="177">
        <f>_xlfn.XLOOKUP(Tabla2757[[#This Row],[Tipo de venta]],Tabla2329[Tipo de venta],Tabla2329[Moneda final], "Error - Seleccionar Tipo de Venta", 0,1)</f>
        <v>0</v>
      </c>
      <c r="G994" s="178"/>
      <c r="H994" s="21"/>
      <c r="I994" s="30">
        <f>_xlfn.XLOOKUP(Tabla2757[[#This Row],[Puesto Encargado]], Tabla9[Puesto], Tabla9[Precio cliente],0,1,1)</f>
        <v>0</v>
      </c>
      <c r="J994" s="30">
        <f>_xlfn.XLOOKUP(Tabla2757[[#This Row],[Cargo]], Tabla958[Cargos], Tabla958[Ponderador Precio],0,1,1)</f>
        <v>0</v>
      </c>
      <c r="K994" s="30">
        <f>Tabla2757[[#This Row],[Precio por hora UF]]*Tabla2757[[#This Row],[Ponderador]]</f>
        <v>0</v>
      </c>
      <c r="L994" s="40">
        <v>0</v>
      </c>
      <c r="M994" s="30">
        <f>Tabla2757[[#This Row],[Precio por hora]]*Tabla2757[[#This Row],[Cantidad horas]]</f>
        <v>0</v>
      </c>
      <c r="N994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995" spans="2:14" x14ac:dyDescent="0.3">
      <c r="B995" s="28"/>
      <c r="C995" s="20"/>
      <c r="E995" s="136"/>
      <c r="F995" s="177">
        <f>_xlfn.XLOOKUP(Tabla2757[[#This Row],[Tipo de venta]],Tabla2329[Tipo de venta],Tabla2329[Moneda final], "Error - Seleccionar Tipo de Venta", 0,1)</f>
        <v>0</v>
      </c>
      <c r="G995" s="178"/>
      <c r="H995" s="21"/>
      <c r="I995" s="30">
        <f>_xlfn.XLOOKUP(Tabla2757[[#This Row],[Puesto Encargado]], Tabla9[Puesto], Tabla9[Precio cliente],0,1,1)</f>
        <v>0</v>
      </c>
      <c r="J995" s="30">
        <f>_xlfn.XLOOKUP(Tabla2757[[#This Row],[Cargo]], Tabla958[Cargos], Tabla958[Ponderador Precio],0,1,1)</f>
        <v>0</v>
      </c>
      <c r="K995" s="30">
        <f>Tabla2757[[#This Row],[Precio por hora UF]]*Tabla2757[[#This Row],[Ponderador]]</f>
        <v>0</v>
      </c>
      <c r="L995" s="40">
        <v>0</v>
      </c>
      <c r="M995" s="30">
        <f>Tabla2757[[#This Row],[Precio por hora]]*Tabla2757[[#This Row],[Cantidad horas]]</f>
        <v>0</v>
      </c>
      <c r="N995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996" spans="2:14" x14ac:dyDescent="0.3">
      <c r="B996" s="28"/>
      <c r="C996" s="20"/>
      <c r="E996" s="136"/>
      <c r="F996" s="177">
        <f>_xlfn.XLOOKUP(Tabla2757[[#This Row],[Tipo de venta]],Tabla2329[Tipo de venta],Tabla2329[Moneda final], "Error - Seleccionar Tipo de Venta", 0,1)</f>
        <v>0</v>
      </c>
      <c r="G996" s="178"/>
      <c r="H996" s="21"/>
      <c r="I996" s="30">
        <f>_xlfn.XLOOKUP(Tabla2757[[#This Row],[Puesto Encargado]], Tabla9[Puesto], Tabla9[Precio cliente],0,1,1)</f>
        <v>0</v>
      </c>
      <c r="J996" s="30">
        <f>_xlfn.XLOOKUP(Tabla2757[[#This Row],[Cargo]], Tabla958[Cargos], Tabla958[Ponderador Precio],0,1,1)</f>
        <v>0</v>
      </c>
      <c r="K996" s="30">
        <f>Tabla2757[[#This Row],[Precio por hora UF]]*Tabla2757[[#This Row],[Ponderador]]</f>
        <v>0</v>
      </c>
      <c r="L996" s="40">
        <v>0</v>
      </c>
      <c r="M996" s="30">
        <f>Tabla2757[[#This Row],[Precio por hora]]*Tabla2757[[#This Row],[Cantidad horas]]</f>
        <v>0</v>
      </c>
      <c r="N996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997" spans="2:14" x14ac:dyDescent="0.3">
      <c r="B997" s="28"/>
      <c r="C997" s="20"/>
      <c r="E997" s="136"/>
      <c r="F997" s="177">
        <f>_xlfn.XLOOKUP(Tabla2757[[#This Row],[Tipo de venta]],Tabla2329[Tipo de venta],Tabla2329[Moneda final], "Error - Seleccionar Tipo de Venta", 0,1)</f>
        <v>0</v>
      </c>
      <c r="G997" s="178"/>
      <c r="H997" s="21"/>
      <c r="I997" s="30">
        <f>_xlfn.XLOOKUP(Tabla2757[[#This Row],[Puesto Encargado]], Tabla9[Puesto], Tabla9[Precio cliente],0,1,1)</f>
        <v>0</v>
      </c>
      <c r="J997" s="30">
        <f>_xlfn.XLOOKUP(Tabla2757[[#This Row],[Cargo]], Tabla958[Cargos], Tabla958[Ponderador Precio],0,1,1)</f>
        <v>0</v>
      </c>
      <c r="K997" s="30">
        <f>Tabla2757[[#This Row],[Precio por hora UF]]*Tabla2757[[#This Row],[Ponderador]]</f>
        <v>0</v>
      </c>
      <c r="L997" s="40">
        <v>0</v>
      </c>
      <c r="M997" s="30">
        <f>Tabla2757[[#This Row],[Precio por hora]]*Tabla2757[[#This Row],[Cantidad horas]]</f>
        <v>0</v>
      </c>
      <c r="N997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998" spans="2:14" x14ac:dyDescent="0.3">
      <c r="B998" s="28"/>
      <c r="C998" s="20"/>
      <c r="E998" s="136"/>
      <c r="F998" s="177">
        <f>_xlfn.XLOOKUP(Tabla2757[[#This Row],[Tipo de venta]],Tabla2329[Tipo de venta],Tabla2329[Moneda final], "Error - Seleccionar Tipo de Venta", 0,1)</f>
        <v>0</v>
      </c>
      <c r="G998" s="178"/>
      <c r="H998" s="21"/>
      <c r="I998" s="30">
        <f>_xlfn.XLOOKUP(Tabla2757[[#This Row],[Puesto Encargado]], Tabla9[Puesto], Tabla9[Precio cliente],0,1,1)</f>
        <v>0</v>
      </c>
      <c r="J998" s="30">
        <f>_xlfn.XLOOKUP(Tabla2757[[#This Row],[Cargo]], Tabla958[Cargos], Tabla958[Ponderador Precio],0,1,1)</f>
        <v>0</v>
      </c>
      <c r="K998" s="30">
        <f>Tabla2757[[#This Row],[Precio por hora UF]]*Tabla2757[[#This Row],[Ponderador]]</f>
        <v>0</v>
      </c>
      <c r="L998" s="40">
        <v>0</v>
      </c>
      <c r="M998" s="30">
        <f>Tabla2757[[#This Row],[Precio por hora]]*Tabla2757[[#This Row],[Cantidad horas]]</f>
        <v>0</v>
      </c>
      <c r="N998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999" spans="2:14" x14ac:dyDescent="0.3">
      <c r="B999" s="28"/>
      <c r="C999" s="20"/>
      <c r="E999" s="136"/>
      <c r="F999" s="177">
        <f>_xlfn.XLOOKUP(Tabla2757[[#This Row],[Tipo de venta]],Tabla2329[Tipo de venta],Tabla2329[Moneda final], "Error - Seleccionar Tipo de Venta", 0,1)</f>
        <v>0</v>
      </c>
      <c r="G999" s="178"/>
      <c r="H999" s="21"/>
      <c r="I999" s="30">
        <f>_xlfn.XLOOKUP(Tabla2757[[#This Row],[Puesto Encargado]], Tabla9[Puesto], Tabla9[Precio cliente],0,1,1)</f>
        <v>0</v>
      </c>
      <c r="J999" s="30">
        <f>_xlfn.XLOOKUP(Tabla2757[[#This Row],[Cargo]], Tabla958[Cargos], Tabla958[Ponderador Precio],0,1,1)</f>
        <v>0</v>
      </c>
      <c r="K999" s="30">
        <f>Tabla2757[[#This Row],[Precio por hora UF]]*Tabla2757[[#This Row],[Ponderador]]</f>
        <v>0</v>
      </c>
      <c r="L999" s="40">
        <v>0</v>
      </c>
      <c r="M999" s="30">
        <f>Tabla2757[[#This Row],[Precio por hora]]*Tabla2757[[#This Row],[Cantidad horas]]</f>
        <v>0</v>
      </c>
      <c r="N999" s="113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  <row r="1000" spans="2:14" x14ac:dyDescent="0.3">
      <c r="B1000" s="28"/>
      <c r="C1000" s="20"/>
      <c r="D1000" s="45"/>
      <c r="E1000" s="136"/>
      <c r="F1000" s="177">
        <f>_xlfn.XLOOKUP(Tabla2757[[#This Row],[Tipo de venta]],Tabla2329[Tipo de venta],Tabla2329[Moneda final], "Error - Seleccionar Tipo de Venta", 0,1)</f>
        <v>0</v>
      </c>
      <c r="G1000" s="178"/>
      <c r="H1000" s="21"/>
      <c r="I1000" s="30">
        <f>_xlfn.XLOOKUP(Tabla2757[[#This Row],[Puesto Encargado]], Tabla9[Puesto], Tabla9[Precio cliente],0,1,1)</f>
        <v>0</v>
      </c>
      <c r="J1000" s="30">
        <f>_xlfn.XLOOKUP(Tabla2757[[#This Row],[Cargo]], Tabla958[Cargos], Tabla958[Ponderador Precio],0,1,1)</f>
        <v>0</v>
      </c>
      <c r="K1000" s="30">
        <f>Tabla2757[[#This Row],[Precio por hora UF]]*Tabla2757[[#This Row],[Ponderador]]</f>
        <v>0</v>
      </c>
      <c r="L1000" s="40">
        <v>0</v>
      </c>
      <c r="M1000" s="30">
        <f>Tabla2757[[#This Row],[Precio por hora]]*Tabla2757[[#This Row],[Cantidad horas]]</f>
        <v>0</v>
      </c>
      <c r="N1000" s="179">
        <f>IF(Tabla2757[[#This Row],[Moneda Final]]="UF", Tabla2757[[#This Row],[Precio UF]], IF(Tabla2757[[#This Row],[Moneda Final]]="USD", Tabla2757[[#This Row],[Precio UF]]*'Datos generales'!$C$9/'Datos generales'!$C$10, IF(Tabla2757[[#This Row],[Moneda Final]]="EUR", Tabla2757[[#This Row],[Precio UF]]*'Datos generales'!$C$9/'Datos generales'!$C$11,'Datos generales'!$C$9*Tabla2757[[#This Row],[Precio UF]])))</f>
        <v>0</v>
      </c>
    </row>
  </sheetData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B46E6B2C-48B8-45CD-B1F9-964DCCC3616C}">
          <x14:formula1>
            <xm:f>'Datos generales'!$B$8:$B$10</xm:f>
          </x14:formula1>
          <xm:sqref>B3</xm:sqref>
        </x14:dataValidation>
        <x14:dataValidation type="list" allowBlank="1" showInputMessage="1" showErrorMessage="1" xr:uid="{A7008E57-0800-47FA-B0F0-07FCFC13174C}">
          <x14:formula1>
            <xm:f>'Datos generales'!$M$8:$M$1048576</xm:f>
          </x14:formula1>
          <xm:sqref>G7:G1000</xm:sqref>
        </x14:dataValidation>
        <x14:dataValidation type="list" allowBlank="1" showInputMessage="1" showErrorMessage="1" xr:uid="{93465AEA-81E5-43DF-A490-FD4163C44584}">
          <x14:formula1>
            <xm:f>'Datos generales'!$J$8:$J$1048576</xm:f>
          </x14:formula1>
          <xm:sqref>H7:H1000</xm:sqref>
        </x14:dataValidation>
        <x14:dataValidation type="list" allowBlank="1" showInputMessage="1" showErrorMessage="1" xr:uid="{D963B687-010E-4EF5-820E-46B4DA572296}">
          <x14:formula1>
            <xm:f>'Datos proyecto'!$F$9:$F$1048576</xm:f>
          </x14:formula1>
          <xm:sqref>C7:C1000</xm:sqref>
        </x14:dataValidation>
        <x14:dataValidation type="list" allowBlank="1" showInputMessage="1" showErrorMessage="1" xr:uid="{FD3B6C4F-A24D-4888-8F37-673D4ED8C92E}">
          <x14:formula1>
            <xm:f>'Datos proyecto'!$I$9:$I$1048576</xm:f>
          </x14:formula1>
          <xm:sqref>B7:B1000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9248F3-FAE2-4D05-9726-08B2B350F69F}">
  <sheetPr codeName="Hoja2">
    <tabColor rgb="FF00B050"/>
  </sheetPr>
  <dimension ref="A1:AE1000"/>
  <sheetViews>
    <sheetView showGridLines="0" zoomScale="55" zoomScaleNormal="55" workbookViewId="0">
      <selection activeCell="J26" sqref="J26"/>
    </sheetView>
  </sheetViews>
  <sheetFormatPr baseColWidth="10" defaultColWidth="8.77734375" defaultRowHeight="14.4" x14ac:dyDescent="0.3"/>
  <cols>
    <col min="1" max="1" width="14.21875" style="166" bestFit="1" customWidth="1"/>
    <col min="2" max="2" width="9" style="166" bestFit="1" customWidth="1"/>
    <col min="3" max="3" width="17.33203125" style="166" bestFit="1" customWidth="1"/>
    <col min="4" max="4" width="17.44140625" style="166" bestFit="1" customWidth="1"/>
    <col min="5" max="5" width="19.109375" style="166" bestFit="1" customWidth="1"/>
    <col min="6" max="6" width="19.6640625" style="166" bestFit="1" customWidth="1"/>
    <col min="7" max="7" width="13" style="166" bestFit="1" customWidth="1"/>
    <col min="8" max="9" width="9.77734375" style="166" bestFit="1" customWidth="1"/>
    <col min="10" max="10" width="20.5546875" style="166" bestFit="1" customWidth="1"/>
    <col min="11" max="11" width="28" style="166" bestFit="1" customWidth="1"/>
    <col min="12" max="12" width="19.6640625" style="166" bestFit="1" customWidth="1"/>
    <col min="13" max="13" width="11.77734375" style="166" bestFit="1" customWidth="1"/>
    <col min="14" max="14" width="34.88671875" bestFit="1" customWidth="1"/>
    <col min="15" max="15" width="36.5546875" style="110" bestFit="1" customWidth="1"/>
    <col min="16" max="16" width="18.33203125" bestFit="1" customWidth="1"/>
    <col min="17" max="17" width="36.21875" bestFit="1" customWidth="1"/>
    <col min="18" max="18" width="12.21875" style="166" bestFit="1" customWidth="1"/>
    <col min="19" max="19" width="32.44140625" style="166" bestFit="1" customWidth="1"/>
    <col min="20" max="20" width="12" style="166" bestFit="1" customWidth="1"/>
    <col min="21" max="21" width="14.109375" style="172" bestFit="1" customWidth="1"/>
    <col min="22" max="22" width="18.88671875" style="166" bestFit="1" customWidth="1"/>
    <col min="23" max="23" width="24.33203125" style="166" bestFit="1" customWidth="1"/>
    <col min="24" max="25" width="24" style="166" bestFit="1" customWidth="1"/>
    <col min="26" max="26" width="17.33203125" style="166" bestFit="1" customWidth="1"/>
    <col min="27" max="27" width="24" style="172" bestFit="1" customWidth="1"/>
    <col min="28" max="28" width="18.109375" style="166" bestFit="1" customWidth="1"/>
    <col min="29" max="29" width="24.5546875" style="166" bestFit="1" customWidth="1"/>
    <col min="30" max="30" width="23" style="166" bestFit="1" customWidth="1"/>
    <col min="31" max="31" width="47.77734375" style="166" bestFit="1" customWidth="1"/>
    <col min="32" max="32" width="33.33203125" style="166" bestFit="1" customWidth="1"/>
    <col min="33" max="16384" width="8.77734375" style="166"/>
  </cols>
  <sheetData>
    <row r="1" spans="1:31" s="102" customFormat="1" x14ac:dyDescent="0.3">
      <c r="A1" s="41"/>
      <c r="B1" s="41"/>
      <c r="C1" s="42"/>
      <c r="F1" s="103"/>
      <c r="G1" s="104"/>
      <c r="H1" s="105"/>
      <c r="I1" s="106"/>
      <c r="K1" s="108"/>
      <c r="L1" s="107"/>
      <c r="M1" s="119"/>
      <c r="N1" s="119"/>
      <c r="O1" s="119"/>
      <c r="P1" s="119"/>
      <c r="S1" s="119"/>
      <c r="T1" s="119"/>
      <c r="U1" s="119"/>
      <c r="V1" s="119"/>
      <c r="W1" s="119"/>
      <c r="X1" s="119"/>
      <c r="Y1" s="119"/>
      <c r="Z1" s="119"/>
      <c r="AA1" s="119"/>
      <c r="AB1" s="119"/>
      <c r="AC1" s="119"/>
      <c r="AD1" s="119"/>
      <c r="AE1" s="119"/>
    </row>
    <row r="2" spans="1:31" customFormat="1" ht="52.2" customHeight="1" x14ac:dyDescent="0.3">
      <c r="C2" s="39"/>
      <c r="F2" s="46"/>
      <c r="G2" s="10"/>
      <c r="H2" s="43"/>
      <c r="I2" s="44"/>
      <c r="K2" s="39"/>
      <c r="L2" s="3"/>
      <c r="M2" s="110"/>
      <c r="N2" s="110"/>
      <c r="O2" s="110"/>
      <c r="P2" s="110"/>
      <c r="Q2" s="116"/>
      <c r="S2" s="110"/>
      <c r="T2" s="110"/>
      <c r="U2" s="110"/>
      <c r="V2" s="110"/>
      <c r="W2" s="110"/>
      <c r="X2" s="110"/>
      <c r="Y2" s="110"/>
      <c r="Z2" s="110"/>
      <c r="AA2" s="110"/>
      <c r="AB2" s="110"/>
      <c r="AC2" s="110"/>
      <c r="AD2" s="110"/>
      <c r="AE2" s="110"/>
    </row>
    <row r="3" spans="1:31" customFormat="1" ht="61.2" customHeight="1" x14ac:dyDescent="0.3">
      <c r="A3" s="120"/>
      <c r="B3" s="13"/>
      <c r="C3" s="140" t="s">
        <v>216</v>
      </c>
      <c r="D3" s="13"/>
      <c r="E3" s="13"/>
      <c r="F3" s="117"/>
      <c r="G3" s="118"/>
      <c r="H3" s="100"/>
      <c r="I3" s="100"/>
      <c r="J3" s="13"/>
      <c r="K3" s="38"/>
      <c r="L3" s="13"/>
      <c r="M3" s="109"/>
      <c r="N3" s="109"/>
      <c r="O3" s="109"/>
      <c r="P3" s="110"/>
      <c r="S3" s="110"/>
      <c r="T3" s="110"/>
      <c r="U3" s="110"/>
      <c r="V3" s="110"/>
      <c r="W3" s="110"/>
      <c r="X3" s="110"/>
      <c r="Y3" s="110"/>
      <c r="Z3" s="110"/>
      <c r="AA3" s="110"/>
      <c r="AB3" s="110"/>
      <c r="AC3" s="110"/>
      <c r="AD3" s="110"/>
      <c r="AE3" s="110"/>
    </row>
    <row r="4" spans="1:31" ht="27" customHeight="1" x14ac:dyDescent="0.35">
      <c r="N4" s="148" t="s">
        <v>202</v>
      </c>
      <c r="S4" s="169" t="s">
        <v>205</v>
      </c>
      <c r="Y4" s="148" t="s">
        <v>212</v>
      </c>
      <c r="Z4"/>
      <c r="AA4" s="110"/>
      <c r="AB4"/>
      <c r="AC4"/>
    </row>
    <row r="5" spans="1:31" ht="35.549999999999997" customHeight="1" x14ac:dyDescent="0.3">
      <c r="A5" s="147" t="s">
        <v>150</v>
      </c>
      <c r="B5" s="147" t="s">
        <v>151</v>
      </c>
      <c r="C5" s="147" t="s">
        <v>177</v>
      </c>
      <c r="D5" s="147" t="s">
        <v>178</v>
      </c>
      <c r="E5" s="147" t="s">
        <v>179</v>
      </c>
      <c r="F5" s="147" t="s">
        <v>183</v>
      </c>
      <c r="G5" s="147" t="s">
        <v>199</v>
      </c>
      <c r="H5" s="147" t="s">
        <v>43</v>
      </c>
      <c r="I5" s="147" t="s">
        <v>218</v>
      </c>
      <c r="J5" s="147" t="s">
        <v>195</v>
      </c>
      <c r="K5" s="147" t="s">
        <v>196</v>
      </c>
      <c r="L5" s="147" t="s">
        <v>197</v>
      </c>
      <c r="N5" s="149" t="s">
        <v>200</v>
      </c>
      <c r="O5" s="153" t="s">
        <v>62</v>
      </c>
      <c r="P5" s="149" t="s">
        <v>147</v>
      </c>
      <c r="Q5" s="149" t="s">
        <v>203</v>
      </c>
      <c r="S5" s="170" t="s">
        <v>47</v>
      </c>
      <c r="T5" s="170" t="s">
        <v>206</v>
      </c>
      <c r="U5" s="173" t="s">
        <v>207</v>
      </c>
      <c r="V5" s="170" t="s">
        <v>149</v>
      </c>
      <c r="W5" s="170" t="s">
        <v>213</v>
      </c>
      <c r="Y5" s="149" t="s">
        <v>47</v>
      </c>
      <c r="Z5" s="149" t="s">
        <v>150</v>
      </c>
      <c r="AA5" s="153" t="s">
        <v>104</v>
      </c>
      <c r="AB5" s="149" t="s">
        <v>257</v>
      </c>
      <c r="AC5" s="149" t="s">
        <v>258</v>
      </c>
    </row>
    <row r="6" spans="1:31" x14ac:dyDescent="0.3">
      <c r="A6" s="141" t="s">
        <v>40</v>
      </c>
      <c r="B6" s="142" t="s">
        <v>6</v>
      </c>
      <c r="C6" s="143">
        <v>7359.1754385964905</v>
      </c>
      <c r="D6" s="143">
        <v>15115.035087719296</v>
      </c>
      <c r="E6" s="143">
        <v>8549.6315789473683</v>
      </c>
      <c r="F6" s="143">
        <v>4161.5438596491222</v>
      </c>
      <c r="G6" s="143">
        <v>0</v>
      </c>
      <c r="H6" s="143">
        <v>0</v>
      </c>
      <c r="I6" s="143">
        <v>0</v>
      </c>
      <c r="J6" s="143" t="s">
        <v>253</v>
      </c>
      <c r="K6" s="143">
        <v>33426116.66666666</v>
      </c>
      <c r="L6" s="143">
        <v>39777078.833333321</v>
      </c>
      <c r="N6" s="192" t="s">
        <v>40</v>
      </c>
      <c r="S6" s="171" t="s">
        <v>177</v>
      </c>
      <c r="Y6" s="150" t="s">
        <v>199</v>
      </c>
      <c r="Z6"/>
      <c r="AA6" s="110"/>
      <c r="AB6"/>
      <c r="AC6"/>
    </row>
    <row r="7" spans="1:31" x14ac:dyDescent="0.3">
      <c r="A7" s="141" t="s">
        <v>46</v>
      </c>
      <c r="B7" s="142" t="s">
        <v>3</v>
      </c>
      <c r="C7" s="143">
        <v>6.666666666666667</v>
      </c>
      <c r="D7" s="143">
        <v>11.666666666666668</v>
      </c>
      <c r="E7" s="143">
        <v>8.3333333333333339</v>
      </c>
      <c r="F7" s="143">
        <v>6.666666666666667</v>
      </c>
      <c r="G7" s="143">
        <v>0</v>
      </c>
      <c r="H7" s="143">
        <v>0</v>
      </c>
      <c r="I7" s="143">
        <v>0</v>
      </c>
      <c r="J7" s="143" t="s">
        <v>204</v>
      </c>
      <c r="K7" s="143">
        <v>1280306.6666666667</v>
      </c>
      <c r="L7" s="143">
        <v>1523564.9333333333</v>
      </c>
      <c r="N7" s="150" t="s">
        <v>179</v>
      </c>
      <c r="S7" s="166" t="s">
        <v>184</v>
      </c>
      <c r="T7" s="166" t="s">
        <v>46</v>
      </c>
      <c r="U7" s="172">
        <v>8</v>
      </c>
      <c r="V7" s="166" t="s">
        <v>255</v>
      </c>
      <c r="W7" s="166" t="s">
        <v>208</v>
      </c>
      <c r="Y7" t="s">
        <v>193</v>
      </c>
      <c r="Z7" t="s">
        <v>191</v>
      </c>
      <c r="AA7" s="110">
        <v>5</v>
      </c>
      <c r="AB7" t="s">
        <v>259</v>
      </c>
      <c r="AC7" t="s">
        <v>211</v>
      </c>
    </row>
    <row r="8" spans="1:31" x14ac:dyDescent="0.3">
      <c r="A8" s="141" t="s">
        <v>191</v>
      </c>
      <c r="B8" s="142" t="s">
        <v>1</v>
      </c>
      <c r="C8" s="143">
        <v>0</v>
      </c>
      <c r="D8" s="143">
        <v>0</v>
      </c>
      <c r="E8" s="143">
        <v>0</v>
      </c>
      <c r="F8" s="143">
        <v>0</v>
      </c>
      <c r="G8" s="143">
        <v>576148</v>
      </c>
      <c r="H8" s="143">
        <v>0</v>
      </c>
      <c r="I8" s="143">
        <v>0</v>
      </c>
      <c r="J8" s="143" t="s">
        <v>224</v>
      </c>
      <c r="K8" s="143">
        <v>576148</v>
      </c>
      <c r="L8" s="143">
        <v>685616.12</v>
      </c>
      <c r="N8" s="144" t="s">
        <v>65</v>
      </c>
      <c r="Y8"/>
      <c r="Z8"/>
      <c r="AA8" s="110"/>
      <c r="AB8"/>
      <c r="AC8"/>
    </row>
    <row r="9" spans="1:31" x14ac:dyDescent="0.3">
      <c r="A9" s="166" t="s">
        <v>99</v>
      </c>
      <c r="B9" s="166" t="s">
        <v>1</v>
      </c>
      <c r="C9" s="167">
        <v>0</v>
      </c>
      <c r="D9" s="167">
        <v>0</v>
      </c>
      <c r="E9" s="167">
        <v>0</v>
      </c>
      <c r="F9" s="167">
        <v>0</v>
      </c>
      <c r="G9" s="167">
        <v>0</v>
      </c>
      <c r="H9" s="167">
        <v>0</v>
      </c>
      <c r="I9" s="167">
        <v>0</v>
      </c>
      <c r="N9" s="145" t="s">
        <v>48</v>
      </c>
      <c r="O9" s="110">
        <v>3</v>
      </c>
      <c r="P9" t="s">
        <v>234</v>
      </c>
      <c r="Q9" t="s">
        <v>251</v>
      </c>
      <c r="S9" s="171" t="s">
        <v>178</v>
      </c>
      <c r="Y9"/>
      <c r="Z9"/>
      <c r="AA9" s="110"/>
      <c r="AB9"/>
      <c r="AC9"/>
    </row>
    <row r="10" spans="1:31" x14ac:dyDescent="0.3">
      <c r="N10" s="144" t="s">
        <v>66</v>
      </c>
      <c r="S10" s="166" t="s">
        <v>184</v>
      </c>
      <c r="T10" s="166" t="s">
        <v>46</v>
      </c>
      <c r="U10" s="172">
        <v>14</v>
      </c>
      <c r="V10" s="166" t="s">
        <v>255</v>
      </c>
      <c r="W10" s="166" t="s">
        <v>209</v>
      </c>
      <c r="Y10"/>
      <c r="Z10"/>
      <c r="AA10" s="110"/>
      <c r="AB10"/>
      <c r="AC10"/>
    </row>
    <row r="11" spans="1:31" x14ac:dyDescent="0.3">
      <c r="N11" s="145" t="s">
        <v>165</v>
      </c>
      <c r="O11" s="110">
        <v>1</v>
      </c>
      <c r="P11" t="s">
        <v>226</v>
      </c>
      <c r="Q11" t="s">
        <v>226</v>
      </c>
      <c r="Y11"/>
      <c r="Z11"/>
      <c r="AA11" s="110"/>
      <c r="AB11"/>
      <c r="AC11"/>
    </row>
    <row r="12" spans="1:31" x14ac:dyDescent="0.3">
      <c r="N12" s="145" t="s">
        <v>157</v>
      </c>
      <c r="O12" s="110">
        <v>0</v>
      </c>
      <c r="P12" t="s">
        <v>227</v>
      </c>
      <c r="Q12" t="s">
        <v>227</v>
      </c>
      <c r="S12" s="171" t="s">
        <v>179</v>
      </c>
      <c r="Y12"/>
      <c r="Z12"/>
      <c r="AA12" s="110"/>
      <c r="AB12"/>
      <c r="AC12"/>
    </row>
    <row r="13" spans="1:31" x14ac:dyDescent="0.3">
      <c r="N13" s="145" t="s">
        <v>163</v>
      </c>
      <c r="O13" s="110">
        <v>1</v>
      </c>
      <c r="P13" t="s">
        <v>228</v>
      </c>
      <c r="Q13" t="s">
        <v>228</v>
      </c>
      <c r="S13" s="166" t="s">
        <v>184</v>
      </c>
      <c r="T13" s="166" t="s">
        <v>46</v>
      </c>
      <c r="U13" s="172">
        <v>10</v>
      </c>
      <c r="V13" s="166" t="s">
        <v>255</v>
      </c>
      <c r="W13" s="166" t="s">
        <v>210</v>
      </c>
      <c r="Y13"/>
      <c r="Z13"/>
      <c r="AA13" s="110"/>
      <c r="AB13"/>
      <c r="AC13"/>
    </row>
    <row r="14" spans="1:31" x14ac:dyDescent="0.3">
      <c r="N14" s="145" t="s">
        <v>154</v>
      </c>
      <c r="O14" s="110">
        <v>1</v>
      </c>
      <c r="P14" t="s">
        <v>229</v>
      </c>
      <c r="Q14" t="s">
        <v>229</v>
      </c>
      <c r="Y14"/>
      <c r="Z14"/>
      <c r="AA14" s="110"/>
      <c r="AB14"/>
      <c r="AC14"/>
    </row>
    <row r="15" spans="1:31" x14ac:dyDescent="0.3">
      <c r="N15" s="144" t="s">
        <v>99</v>
      </c>
      <c r="S15" s="171" t="s">
        <v>183</v>
      </c>
      <c r="Y15"/>
      <c r="Z15"/>
      <c r="AA15" s="110"/>
      <c r="AB15"/>
      <c r="AC15"/>
    </row>
    <row r="16" spans="1:31" x14ac:dyDescent="0.3">
      <c r="N16" s="145" t="s">
        <v>158</v>
      </c>
      <c r="O16" s="110">
        <v>0</v>
      </c>
      <c r="P16" t="s">
        <v>227</v>
      </c>
      <c r="Q16" t="s">
        <v>227</v>
      </c>
      <c r="S16" s="166" t="s">
        <v>184</v>
      </c>
      <c r="T16" s="166" t="s">
        <v>46</v>
      </c>
      <c r="U16" s="172">
        <v>8</v>
      </c>
      <c r="V16" s="166" t="s">
        <v>255</v>
      </c>
      <c r="W16" s="166" t="s">
        <v>208</v>
      </c>
      <c r="Y16"/>
      <c r="Z16"/>
      <c r="AA16" s="110"/>
      <c r="AB16"/>
      <c r="AC16"/>
    </row>
    <row r="17" spans="10:29" x14ac:dyDescent="0.3">
      <c r="N17" s="145" t="s">
        <v>110</v>
      </c>
      <c r="O17" s="110">
        <v>4</v>
      </c>
      <c r="P17" t="s">
        <v>230</v>
      </c>
      <c r="Q17" t="s">
        <v>231</v>
      </c>
      <c r="Y17"/>
      <c r="Z17"/>
      <c r="AA17" s="110"/>
      <c r="AB17"/>
      <c r="AC17"/>
    </row>
    <row r="18" spans="10:29" x14ac:dyDescent="0.3">
      <c r="N18" s="145" t="s">
        <v>187</v>
      </c>
      <c r="O18" s="110">
        <v>3</v>
      </c>
      <c r="P18" t="s">
        <v>232</v>
      </c>
      <c r="Q18" t="s">
        <v>233</v>
      </c>
      <c r="S18" s="171" t="s">
        <v>199</v>
      </c>
      <c r="Y18"/>
      <c r="Z18"/>
      <c r="AA18" s="110"/>
      <c r="AB18"/>
      <c r="AC18"/>
    </row>
    <row r="19" spans="10:29" x14ac:dyDescent="0.3">
      <c r="N19" s="151" t="s">
        <v>179</v>
      </c>
      <c r="O19" s="119">
        <v>13</v>
      </c>
      <c r="P19" s="102"/>
      <c r="Q19" s="102" t="s">
        <v>254</v>
      </c>
      <c r="S19" s="166" t="s">
        <v>189</v>
      </c>
      <c r="T19" s="166" t="s">
        <v>191</v>
      </c>
      <c r="U19" s="172">
        <v>20</v>
      </c>
      <c r="V19" s="166" t="s">
        <v>256</v>
      </c>
      <c r="W19" s="166" t="s">
        <v>225</v>
      </c>
      <c r="Y19"/>
      <c r="Z19"/>
      <c r="AA19" s="110"/>
      <c r="AB19"/>
      <c r="AC19"/>
    </row>
    <row r="20" spans="10:29" x14ac:dyDescent="0.3">
      <c r="Y20"/>
      <c r="Z20"/>
      <c r="AA20" s="110"/>
      <c r="AB20"/>
      <c r="AC20"/>
    </row>
    <row r="21" spans="10:29" x14ac:dyDescent="0.3">
      <c r="N21" s="150" t="s">
        <v>183</v>
      </c>
      <c r="Y21"/>
      <c r="Z21"/>
      <c r="AA21" s="110"/>
      <c r="AB21"/>
      <c r="AC21"/>
    </row>
    <row r="22" spans="10:29" x14ac:dyDescent="0.3">
      <c r="N22" s="144" t="s">
        <v>65</v>
      </c>
      <c r="Y22"/>
      <c r="Z22"/>
      <c r="AA22" s="110"/>
      <c r="AB22"/>
      <c r="AC22"/>
    </row>
    <row r="23" spans="10:29" x14ac:dyDescent="0.3">
      <c r="N23" s="145" t="s">
        <v>48</v>
      </c>
      <c r="O23" s="110">
        <v>2</v>
      </c>
      <c r="P23" t="s">
        <v>234</v>
      </c>
      <c r="Q23" t="s">
        <v>235</v>
      </c>
      <c r="Y23"/>
      <c r="Z23"/>
      <c r="AA23" s="110"/>
      <c r="AB23"/>
      <c r="AC23"/>
    </row>
    <row r="24" spans="10:29" x14ac:dyDescent="0.3">
      <c r="N24" s="144" t="s">
        <v>66</v>
      </c>
      <c r="Y24"/>
      <c r="Z24"/>
      <c r="AA24" s="110"/>
      <c r="AB24"/>
      <c r="AC24"/>
    </row>
    <row r="25" spans="10:29" x14ac:dyDescent="0.3">
      <c r="N25" s="145" t="s">
        <v>160</v>
      </c>
      <c r="O25" s="110">
        <v>2</v>
      </c>
      <c r="P25" t="s">
        <v>236</v>
      </c>
      <c r="Q25" t="s">
        <v>237</v>
      </c>
      <c r="Y25"/>
      <c r="Z25"/>
      <c r="AA25" s="110"/>
      <c r="AB25"/>
      <c r="AC25"/>
    </row>
    <row r="26" spans="10:29" x14ac:dyDescent="0.3">
      <c r="J26" s="196"/>
      <c r="N26" s="145" t="s">
        <v>163</v>
      </c>
      <c r="O26" s="110">
        <v>1</v>
      </c>
      <c r="P26" t="s">
        <v>228</v>
      </c>
      <c r="Q26" t="s">
        <v>228</v>
      </c>
      <c r="Y26"/>
      <c r="Z26"/>
      <c r="AA26" s="110"/>
      <c r="AB26"/>
      <c r="AC26"/>
    </row>
    <row r="27" spans="10:29" x14ac:dyDescent="0.3">
      <c r="N27" s="145" t="s">
        <v>187</v>
      </c>
      <c r="O27" s="110">
        <v>2</v>
      </c>
      <c r="P27" t="s">
        <v>232</v>
      </c>
      <c r="Q27" t="s">
        <v>238</v>
      </c>
      <c r="Y27"/>
      <c r="Z27"/>
      <c r="AA27" s="110"/>
      <c r="AB27"/>
      <c r="AC27"/>
    </row>
    <row r="28" spans="10:29" x14ac:dyDescent="0.3">
      <c r="N28" s="144" t="s">
        <v>99</v>
      </c>
      <c r="Y28"/>
      <c r="Z28"/>
      <c r="AA28" s="110"/>
      <c r="AB28"/>
      <c r="AC28"/>
    </row>
    <row r="29" spans="10:29" x14ac:dyDescent="0.3">
      <c r="N29" s="145" t="s">
        <v>110</v>
      </c>
      <c r="O29" s="110">
        <v>2</v>
      </c>
      <c r="P29" t="s">
        <v>230</v>
      </c>
      <c r="Q29" t="s">
        <v>239</v>
      </c>
      <c r="Y29"/>
      <c r="Z29"/>
      <c r="AA29" s="110"/>
      <c r="AB29"/>
      <c r="AC29"/>
    </row>
    <row r="30" spans="10:29" x14ac:dyDescent="0.3">
      <c r="N30" s="151" t="s">
        <v>183</v>
      </c>
      <c r="O30" s="119">
        <v>9</v>
      </c>
      <c r="P30" s="102"/>
      <c r="Q30" s="102" t="s">
        <v>240</v>
      </c>
      <c r="Y30"/>
      <c r="Z30"/>
      <c r="AA30" s="110"/>
      <c r="AB30"/>
      <c r="AC30"/>
    </row>
    <row r="31" spans="10:29" x14ac:dyDescent="0.3">
      <c r="Y31"/>
      <c r="Z31"/>
      <c r="AA31" s="110"/>
      <c r="AB31"/>
      <c r="AC31"/>
    </row>
    <row r="32" spans="10:29" x14ac:dyDescent="0.3">
      <c r="N32" s="150" t="s">
        <v>177</v>
      </c>
      <c r="Y32"/>
      <c r="Z32"/>
      <c r="AA32" s="110"/>
      <c r="AB32"/>
      <c r="AC32"/>
    </row>
    <row r="33" spans="14:29" x14ac:dyDescent="0.3">
      <c r="N33" s="144" t="s">
        <v>65</v>
      </c>
      <c r="Y33"/>
      <c r="Z33"/>
      <c r="AA33" s="110"/>
      <c r="AB33"/>
      <c r="AC33"/>
    </row>
    <row r="34" spans="14:29" x14ac:dyDescent="0.3">
      <c r="N34" s="145" t="s">
        <v>48</v>
      </c>
      <c r="O34" s="110">
        <v>2</v>
      </c>
      <c r="P34" t="s">
        <v>234</v>
      </c>
      <c r="Q34" t="s">
        <v>235</v>
      </c>
      <c r="Y34"/>
      <c r="Z34"/>
      <c r="AA34" s="110"/>
      <c r="AB34"/>
      <c r="AC34"/>
    </row>
    <row r="35" spans="14:29" x14ac:dyDescent="0.3">
      <c r="N35" s="144" t="s">
        <v>66</v>
      </c>
      <c r="Y35"/>
      <c r="Z35"/>
      <c r="AA35" s="110"/>
      <c r="AB35"/>
      <c r="AC35"/>
    </row>
    <row r="36" spans="14:29" x14ac:dyDescent="0.3">
      <c r="N36" s="145" t="s">
        <v>154</v>
      </c>
      <c r="O36" s="110">
        <v>1</v>
      </c>
      <c r="P36" t="s">
        <v>229</v>
      </c>
      <c r="Q36" t="s">
        <v>229</v>
      </c>
      <c r="Y36"/>
      <c r="Z36"/>
      <c r="AA36" s="110"/>
      <c r="AB36"/>
      <c r="AC36"/>
    </row>
    <row r="37" spans="14:29" x14ac:dyDescent="0.3">
      <c r="N37" s="145" t="s">
        <v>163</v>
      </c>
      <c r="O37" s="110">
        <v>2</v>
      </c>
      <c r="P37" t="s">
        <v>228</v>
      </c>
      <c r="Q37" t="s">
        <v>241</v>
      </c>
      <c r="Y37"/>
      <c r="Z37"/>
      <c r="AA37" s="110"/>
      <c r="AB37"/>
      <c r="AC37"/>
    </row>
    <row r="38" spans="14:29" x14ac:dyDescent="0.3">
      <c r="N38" s="145" t="s">
        <v>171</v>
      </c>
      <c r="O38" s="110">
        <v>1</v>
      </c>
      <c r="P38" t="s">
        <v>242</v>
      </c>
      <c r="Q38" t="s">
        <v>242</v>
      </c>
      <c r="Y38"/>
      <c r="Z38"/>
      <c r="AA38" s="110"/>
      <c r="AB38"/>
      <c r="AC38"/>
    </row>
    <row r="39" spans="14:29" x14ac:dyDescent="0.3">
      <c r="N39" s="144" t="s">
        <v>99</v>
      </c>
      <c r="Y39"/>
      <c r="Z39"/>
      <c r="AA39" s="110"/>
      <c r="AB39"/>
      <c r="AC39"/>
    </row>
    <row r="40" spans="14:29" x14ac:dyDescent="0.3">
      <c r="N40" s="145" t="s">
        <v>110</v>
      </c>
      <c r="O40" s="110">
        <v>4</v>
      </c>
      <c r="P40" t="s">
        <v>230</v>
      </c>
      <c r="Q40" t="s">
        <v>231</v>
      </c>
      <c r="Y40"/>
      <c r="Z40"/>
      <c r="AA40" s="110"/>
      <c r="AB40"/>
      <c r="AC40"/>
    </row>
    <row r="41" spans="14:29" x14ac:dyDescent="0.3">
      <c r="N41" s="145" t="s">
        <v>187</v>
      </c>
      <c r="O41" s="110">
        <v>2</v>
      </c>
      <c r="P41" t="s">
        <v>232</v>
      </c>
      <c r="Q41" t="s">
        <v>238</v>
      </c>
      <c r="Y41"/>
      <c r="Z41"/>
      <c r="AA41" s="110"/>
      <c r="AB41"/>
      <c r="AC41"/>
    </row>
    <row r="42" spans="14:29" x14ac:dyDescent="0.3">
      <c r="N42" s="151" t="s">
        <v>177</v>
      </c>
      <c r="O42" s="119">
        <v>12</v>
      </c>
      <c r="P42" s="102"/>
      <c r="Q42" s="102" t="s">
        <v>243</v>
      </c>
      <c r="Y42"/>
      <c r="Z42"/>
      <c r="AA42" s="110"/>
      <c r="AB42"/>
      <c r="AC42"/>
    </row>
    <row r="43" spans="14:29" x14ac:dyDescent="0.3">
      <c r="Y43"/>
      <c r="Z43"/>
      <c r="AA43" s="110"/>
      <c r="AB43"/>
      <c r="AC43"/>
    </row>
    <row r="44" spans="14:29" x14ac:dyDescent="0.3">
      <c r="N44" s="150" t="s">
        <v>178</v>
      </c>
      <c r="Y44"/>
      <c r="Z44"/>
      <c r="AA44" s="110"/>
      <c r="AB44"/>
      <c r="AC44"/>
    </row>
    <row r="45" spans="14:29" x14ac:dyDescent="0.3">
      <c r="N45" s="144" t="s">
        <v>65</v>
      </c>
      <c r="Y45"/>
      <c r="Z45"/>
      <c r="AA45" s="110"/>
      <c r="AB45"/>
      <c r="AC45"/>
    </row>
    <row r="46" spans="14:29" x14ac:dyDescent="0.3">
      <c r="N46" s="145" t="s">
        <v>48</v>
      </c>
      <c r="O46" s="110">
        <v>4</v>
      </c>
      <c r="P46" t="s">
        <v>234</v>
      </c>
      <c r="Q46" t="s">
        <v>244</v>
      </c>
      <c r="Y46"/>
      <c r="Z46"/>
      <c r="AA46" s="110"/>
      <c r="AB46"/>
      <c r="AC46"/>
    </row>
    <row r="47" spans="14:29" x14ac:dyDescent="0.3">
      <c r="N47" s="144" t="s">
        <v>66</v>
      </c>
      <c r="Y47"/>
      <c r="Z47"/>
      <c r="AA47" s="110"/>
      <c r="AB47"/>
      <c r="AC47"/>
    </row>
    <row r="48" spans="14:29" x14ac:dyDescent="0.3">
      <c r="N48" s="145" t="s">
        <v>160</v>
      </c>
      <c r="O48" s="110">
        <v>1</v>
      </c>
      <c r="P48" t="s">
        <v>236</v>
      </c>
      <c r="Q48" t="s">
        <v>236</v>
      </c>
      <c r="Y48"/>
      <c r="Z48"/>
      <c r="AA48" s="110"/>
      <c r="AB48"/>
      <c r="AC48"/>
    </row>
    <row r="49" spans="14:29" x14ac:dyDescent="0.3">
      <c r="N49" s="145" t="s">
        <v>175</v>
      </c>
      <c r="O49" s="110">
        <v>2</v>
      </c>
      <c r="P49" t="s">
        <v>245</v>
      </c>
      <c r="Q49" t="s">
        <v>246</v>
      </c>
      <c r="Y49"/>
      <c r="Z49"/>
      <c r="AA49" s="110"/>
      <c r="AB49"/>
      <c r="AC49"/>
    </row>
    <row r="50" spans="14:29" x14ac:dyDescent="0.3">
      <c r="N50" s="145" t="s">
        <v>173</v>
      </c>
      <c r="O50" s="110">
        <v>1</v>
      </c>
      <c r="P50" t="s">
        <v>228</v>
      </c>
      <c r="Q50" t="s">
        <v>228</v>
      </c>
      <c r="Y50"/>
      <c r="Z50"/>
      <c r="AA50" s="110"/>
      <c r="AB50"/>
      <c r="AC50"/>
    </row>
    <row r="51" spans="14:29" x14ac:dyDescent="0.3">
      <c r="N51" s="145" t="s">
        <v>154</v>
      </c>
      <c r="O51" s="110">
        <v>1</v>
      </c>
      <c r="P51" t="s">
        <v>229</v>
      </c>
      <c r="Q51" t="s">
        <v>229</v>
      </c>
      <c r="Y51"/>
      <c r="Z51"/>
      <c r="AA51" s="110"/>
      <c r="AB51"/>
      <c r="AC51"/>
    </row>
    <row r="52" spans="14:29" x14ac:dyDescent="0.3">
      <c r="N52" s="145" t="s">
        <v>167</v>
      </c>
      <c r="O52" s="110">
        <v>1</v>
      </c>
      <c r="P52" t="s">
        <v>247</v>
      </c>
      <c r="Q52" t="s">
        <v>247</v>
      </c>
      <c r="Y52"/>
      <c r="Z52"/>
      <c r="AA52" s="110"/>
      <c r="AB52"/>
      <c r="AC52"/>
    </row>
    <row r="53" spans="14:29" x14ac:dyDescent="0.3">
      <c r="N53" s="145" t="s">
        <v>163</v>
      </c>
      <c r="O53" s="110">
        <v>1</v>
      </c>
      <c r="P53" t="s">
        <v>228</v>
      </c>
      <c r="Q53" t="s">
        <v>228</v>
      </c>
      <c r="Y53"/>
      <c r="Z53"/>
      <c r="AA53" s="110"/>
      <c r="AB53"/>
      <c r="AC53"/>
    </row>
    <row r="54" spans="14:29" x14ac:dyDescent="0.3">
      <c r="N54" s="144" t="s">
        <v>99</v>
      </c>
      <c r="Y54"/>
      <c r="Z54"/>
      <c r="AA54" s="110"/>
      <c r="AB54"/>
      <c r="AC54"/>
    </row>
    <row r="55" spans="14:29" x14ac:dyDescent="0.3">
      <c r="N55" s="145" t="s">
        <v>110</v>
      </c>
      <c r="O55" s="110">
        <v>7</v>
      </c>
      <c r="P55" t="s">
        <v>230</v>
      </c>
      <c r="Q55" t="s">
        <v>248</v>
      </c>
      <c r="Y55"/>
      <c r="Z55"/>
      <c r="AA55" s="110"/>
      <c r="AB55"/>
      <c r="AC55"/>
    </row>
    <row r="56" spans="14:29" x14ac:dyDescent="0.3">
      <c r="N56" s="145" t="s">
        <v>187</v>
      </c>
      <c r="O56" s="110">
        <v>4</v>
      </c>
      <c r="P56" t="s">
        <v>232</v>
      </c>
      <c r="Q56" t="s">
        <v>249</v>
      </c>
      <c r="Y56"/>
      <c r="Z56"/>
      <c r="AA56" s="110"/>
      <c r="AB56"/>
      <c r="AC56"/>
    </row>
    <row r="57" spans="14:29" x14ac:dyDescent="0.3">
      <c r="N57" s="151" t="s">
        <v>178</v>
      </c>
      <c r="O57" s="119">
        <v>22</v>
      </c>
      <c r="P57" s="102"/>
      <c r="Q57" s="102" t="s">
        <v>250</v>
      </c>
      <c r="Y57"/>
      <c r="Z57"/>
      <c r="AA57" s="110"/>
      <c r="AB57"/>
      <c r="AC57"/>
    </row>
    <row r="58" spans="14:29" x14ac:dyDescent="0.3">
      <c r="Y58"/>
      <c r="Z58"/>
      <c r="AA58" s="110"/>
      <c r="AB58"/>
      <c r="AC58"/>
    </row>
    <row r="59" spans="14:29" x14ac:dyDescent="0.3">
      <c r="N59" s="168" t="s">
        <v>217</v>
      </c>
      <c r="Y59"/>
      <c r="Z59"/>
      <c r="AA59" s="110"/>
      <c r="AB59"/>
      <c r="AC59"/>
    </row>
    <row r="60" spans="14:29" x14ac:dyDescent="0.3">
      <c r="N60" s="152" t="s">
        <v>201</v>
      </c>
      <c r="O60" s="119">
        <v>56</v>
      </c>
      <c r="P60" s="102"/>
      <c r="Q60" s="102" t="s">
        <v>252</v>
      </c>
      <c r="Y60"/>
      <c r="Z60"/>
      <c r="AA60" s="110"/>
      <c r="AB60"/>
      <c r="AC60"/>
    </row>
    <row r="61" spans="14:29" x14ac:dyDescent="0.3">
      <c r="Y61"/>
      <c r="Z61"/>
      <c r="AA61" s="110"/>
      <c r="AB61"/>
      <c r="AC61"/>
    </row>
    <row r="62" spans="14:29" x14ac:dyDescent="0.3">
      <c r="Y62"/>
      <c r="Z62"/>
      <c r="AA62" s="110"/>
      <c r="AB62"/>
      <c r="AC62"/>
    </row>
    <row r="63" spans="14:29" x14ac:dyDescent="0.3">
      <c r="Y63"/>
      <c r="Z63"/>
      <c r="AA63" s="110"/>
      <c r="AB63"/>
      <c r="AC63"/>
    </row>
    <row r="64" spans="14:29" x14ac:dyDescent="0.3">
      <c r="Y64"/>
      <c r="Z64"/>
      <c r="AA64" s="110"/>
      <c r="AB64"/>
      <c r="AC64"/>
    </row>
    <row r="65" spans="25:29" x14ac:dyDescent="0.3">
      <c r="Y65"/>
      <c r="Z65"/>
      <c r="AA65" s="110"/>
      <c r="AB65"/>
      <c r="AC65"/>
    </row>
    <row r="66" spans="25:29" x14ac:dyDescent="0.3">
      <c r="Y66"/>
      <c r="Z66"/>
      <c r="AA66" s="110"/>
      <c r="AB66"/>
      <c r="AC66"/>
    </row>
    <row r="67" spans="25:29" x14ac:dyDescent="0.3">
      <c r="Y67"/>
      <c r="Z67"/>
      <c r="AA67" s="110"/>
      <c r="AB67"/>
      <c r="AC67"/>
    </row>
    <row r="68" spans="25:29" x14ac:dyDescent="0.3">
      <c r="Y68"/>
      <c r="Z68"/>
      <c r="AA68" s="110"/>
      <c r="AB68"/>
      <c r="AC68"/>
    </row>
    <row r="69" spans="25:29" x14ac:dyDescent="0.3">
      <c r="Y69"/>
      <c r="Z69"/>
      <c r="AA69" s="110"/>
      <c r="AB69"/>
      <c r="AC69"/>
    </row>
    <row r="70" spans="25:29" x14ac:dyDescent="0.3">
      <c r="Y70"/>
      <c r="Z70"/>
      <c r="AA70" s="110"/>
      <c r="AB70"/>
      <c r="AC70"/>
    </row>
    <row r="71" spans="25:29" x14ac:dyDescent="0.3">
      <c r="Y71"/>
      <c r="Z71"/>
      <c r="AA71" s="110"/>
      <c r="AB71"/>
      <c r="AC71"/>
    </row>
    <row r="72" spans="25:29" x14ac:dyDescent="0.3">
      <c r="Y72"/>
      <c r="Z72"/>
      <c r="AA72" s="110"/>
      <c r="AB72"/>
      <c r="AC72"/>
    </row>
    <row r="73" spans="25:29" x14ac:dyDescent="0.3">
      <c r="Y73"/>
      <c r="Z73"/>
      <c r="AA73" s="110"/>
      <c r="AB73"/>
      <c r="AC73"/>
    </row>
    <row r="74" spans="25:29" x14ac:dyDescent="0.3">
      <c r="Y74"/>
      <c r="Z74"/>
      <c r="AA74" s="110"/>
      <c r="AB74"/>
      <c r="AC74"/>
    </row>
    <row r="75" spans="25:29" x14ac:dyDescent="0.3">
      <c r="Y75"/>
      <c r="Z75"/>
      <c r="AA75" s="110"/>
      <c r="AB75"/>
      <c r="AC75"/>
    </row>
    <row r="76" spans="25:29" x14ac:dyDescent="0.3">
      <c r="Y76"/>
      <c r="Z76"/>
      <c r="AA76" s="110"/>
      <c r="AB76"/>
      <c r="AC76"/>
    </row>
    <row r="77" spans="25:29" x14ac:dyDescent="0.3">
      <c r="Y77"/>
      <c r="Z77"/>
      <c r="AA77" s="110"/>
      <c r="AB77"/>
      <c r="AC77"/>
    </row>
    <row r="78" spans="25:29" x14ac:dyDescent="0.3">
      <c r="Y78"/>
      <c r="Z78"/>
      <c r="AA78" s="110"/>
      <c r="AB78"/>
      <c r="AC78"/>
    </row>
    <row r="79" spans="25:29" x14ac:dyDescent="0.3">
      <c r="Y79"/>
      <c r="Z79"/>
      <c r="AA79" s="110"/>
      <c r="AB79"/>
      <c r="AC79"/>
    </row>
    <row r="80" spans="25:29" x14ac:dyDescent="0.3">
      <c r="Y80"/>
      <c r="Z80"/>
      <c r="AA80" s="110"/>
      <c r="AB80"/>
      <c r="AC80"/>
    </row>
    <row r="81" spans="25:29" x14ac:dyDescent="0.3">
      <c r="Y81"/>
      <c r="Z81"/>
      <c r="AA81" s="110"/>
      <c r="AB81"/>
      <c r="AC81"/>
    </row>
    <row r="82" spans="25:29" x14ac:dyDescent="0.3">
      <c r="Y82"/>
      <c r="Z82"/>
      <c r="AA82" s="110"/>
      <c r="AB82"/>
      <c r="AC82"/>
    </row>
    <row r="83" spans="25:29" x14ac:dyDescent="0.3">
      <c r="Y83"/>
      <c r="Z83"/>
      <c r="AA83" s="110"/>
      <c r="AB83"/>
      <c r="AC83"/>
    </row>
    <row r="84" spans="25:29" x14ac:dyDescent="0.3">
      <c r="Y84"/>
      <c r="Z84"/>
      <c r="AA84" s="110"/>
      <c r="AB84"/>
      <c r="AC84"/>
    </row>
    <row r="85" spans="25:29" x14ac:dyDescent="0.3">
      <c r="Y85"/>
      <c r="Z85"/>
      <c r="AA85" s="110"/>
      <c r="AB85"/>
      <c r="AC85"/>
    </row>
    <row r="86" spans="25:29" x14ac:dyDescent="0.3">
      <c r="Y86"/>
      <c r="Z86"/>
      <c r="AA86" s="110"/>
      <c r="AB86"/>
      <c r="AC86"/>
    </row>
    <row r="87" spans="25:29" x14ac:dyDescent="0.3">
      <c r="Y87"/>
      <c r="Z87"/>
      <c r="AA87" s="110"/>
      <c r="AB87"/>
      <c r="AC87"/>
    </row>
    <row r="88" spans="25:29" x14ac:dyDescent="0.3">
      <c r="Y88"/>
      <c r="Z88"/>
      <c r="AA88" s="110"/>
      <c r="AB88"/>
      <c r="AC88"/>
    </row>
    <row r="89" spans="25:29" x14ac:dyDescent="0.3">
      <c r="Y89"/>
      <c r="Z89"/>
      <c r="AA89" s="110"/>
      <c r="AB89"/>
      <c r="AC89"/>
    </row>
    <row r="90" spans="25:29" x14ac:dyDescent="0.3">
      <c r="Y90"/>
      <c r="Z90"/>
      <c r="AA90" s="110"/>
      <c r="AB90"/>
      <c r="AC90"/>
    </row>
    <row r="91" spans="25:29" x14ac:dyDescent="0.3">
      <c r="Y91"/>
      <c r="Z91"/>
      <c r="AA91" s="110"/>
      <c r="AB91"/>
      <c r="AC91"/>
    </row>
    <row r="92" spans="25:29" x14ac:dyDescent="0.3">
      <c r="Y92"/>
      <c r="Z92"/>
      <c r="AA92" s="110"/>
      <c r="AB92"/>
      <c r="AC92"/>
    </row>
    <row r="93" spans="25:29" x14ac:dyDescent="0.3">
      <c r="Y93"/>
      <c r="Z93"/>
      <c r="AA93" s="110"/>
      <c r="AB93"/>
      <c r="AC93"/>
    </row>
    <row r="94" spans="25:29" x14ac:dyDescent="0.3">
      <c r="Y94"/>
      <c r="Z94"/>
      <c r="AA94" s="110"/>
      <c r="AB94"/>
      <c r="AC94"/>
    </row>
    <row r="95" spans="25:29" x14ac:dyDescent="0.3">
      <c r="Y95"/>
      <c r="Z95"/>
      <c r="AA95" s="110"/>
      <c r="AB95"/>
      <c r="AC95"/>
    </row>
    <row r="96" spans="25:29" x14ac:dyDescent="0.3">
      <c r="Y96"/>
      <c r="Z96"/>
      <c r="AA96" s="110"/>
      <c r="AB96"/>
      <c r="AC96"/>
    </row>
    <row r="97" spans="25:29" x14ac:dyDescent="0.3">
      <c r="Y97"/>
      <c r="Z97"/>
      <c r="AA97" s="110"/>
      <c r="AB97"/>
      <c r="AC97"/>
    </row>
    <row r="98" spans="25:29" x14ac:dyDescent="0.3">
      <c r="Y98"/>
      <c r="Z98"/>
      <c r="AA98" s="110"/>
      <c r="AB98"/>
      <c r="AC98"/>
    </row>
    <row r="99" spans="25:29" x14ac:dyDescent="0.3">
      <c r="Y99"/>
      <c r="Z99"/>
      <c r="AA99" s="110"/>
      <c r="AB99"/>
      <c r="AC99"/>
    </row>
    <row r="100" spans="25:29" x14ac:dyDescent="0.3">
      <c r="Y100"/>
      <c r="Z100"/>
      <c r="AA100" s="110"/>
      <c r="AB100"/>
      <c r="AC100"/>
    </row>
    <row r="101" spans="25:29" x14ac:dyDescent="0.3">
      <c r="Y101"/>
      <c r="Z101"/>
      <c r="AA101" s="110"/>
      <c r="AB101"/>
      <c r="AC101"/>
    </row>
    <row r="102" spans="25:29" x14ac:dyDescent="0.3">
      <c r="Y102"/>
      <c r="Z102"/>
      <c r="AA102" s="110"/>
      <c r="AB102"/>
      <c r="AC102"/>
    </row>
    <row r="103" spans="25:29" x14ac:dyDescent="0.3">
      <c r="Y103"/>
      <c r="Z103"/>
      <c r="AA103" s="110"/>
      <c r="AB103"/>
      <c r="AC103"/>
    </row>
    <row r="104" spans="25:29" x14ac:dyDescent="0.3">
      <c r="Y104"/>
      <c r="Z104"/>
      <c r="AA104" s="110"/>
      <c r="AB104"/>
      <c r="AC104"/>
    </row>
    <row r="105" spans="25:29" x14ac:dyDescent="0.3">
      <c r="Y105"/>
      <c r="Z105"/>
      <c r="AA105" s="110"/>
      <c r="AB105"/>
      <c r="AC105"/>
    </row>
    <row r="106" spans="25:29" x14ac:dyDescent="0.3">
      <c r="Y106"/>
      <c r="Z106"/>
      <c r="AA106" s="110"/>
      <c r="AB106"/>
      <c r="AC106"/>
    </row>
    <row r="107" spans="25:29" x14ac:dyDescent="0.3">
      <c r="Y107"/>
      <c r="Z107"/>
      <c r="AA107" s="110"/>
      <c r="AB107"/>
      <c r="AC107"/>
    </row>
    <row r="108" spans="25:29" x14ac:dyDescent="0.3">
      <c r="Y108"/>
      <c r="Z108"/>
      <c r="AA108" s="110"/>
      <c r="AB108"/>
      <c r="AC108"/>
    </row>
    <row r="109" spans="25:29" x14ac:dyDescent="0.3">
      <c r="Y109"/>
      <c r="Z109"/>
      <c r="AA109" s="110"/>
      <c r="AB109"/>
      <c r="AC109"/>
    </row>
    <row r="110" spans="25:29" x14ac:dyDescent="0.3">
      <c r="Y110"/>
      <c r="Z110"/>
      <c r="AA110" s="110"/>
      <c r="AB110"/>
      <c r="AC110"/>
    </row>
    <row r="111" spans="25:29" x14ac:dyDescent="0.3">
      <c r="Y111"/>
      <c r="Z111"/>
      <c r="AA111" s="110"/>
      <c r="AB111"/>
      <c r="AC111"/>
    </row>
    <row r="112" spans="25:29" x14ac:dyDescent="0.3">
      <c r="Y112"/>
      <c r="Z112"/>
      <c r="AA112" s="110"/>
      <c r="AB112"/>
      <c r="AC112"/>
    </row>
    <row r="113" spans="25:29" x14ac:dyDescent="0.3">
      <c r="Y113"/>
      <c r="Z113"/>
      <c r="AA113" s="110"/>
      <c r="AB113"/>
      <c r="AC113"/>
    </row>
    <row r="114" spans="25:29" x14ac:dyDescent="0.3">
      <c r="Y114"/>
      <c r="Z114"/>
      <c r="AA114" s="110"/>
      <c r="AB114"/>
      <c r="AC114"/>
    </row>
    <row r="115" spans="25:29" x14ac:dyDescent="0.3">
      <c r="Y115"/>
      <c r="Z115"/>
      <c r="AA115" s="110"/>
      <c r="AB115"/>
      <c r="AC115"/>
    </row>
    <row r="116" spans="25:29" x14ac:dyDescent="0.3">
      <c r="Y116"/>
      <c r="Z116"/>
      <c r="AA116" s="110"/>
      <c r="AB116"/>
      <c r="AC116"/>
    </row>
    <row r="117" spans="25:29" x14ac:dyDescent="0.3">
      <c r="Y117"/>
      <c r="Z117"/>
      <c r="AA117" s="110"/>
      <c r="AB117"/>
      <c r="AC117"/>
    </row>
    <row r="118" spans="25:29" x14ac:dyDescent="0.3">
      <c r="Y118"/>
      <c r="Z118"/>
      <c r="AA118" s="110"/>
      <c r="AB118"/>
      <c r="AC118"/>
    </row>
    <row r="119" spans="25:29" x14ac:dyDescent="0.3">
      <c r="Y119"/>
      <c r="Z119"/>
      <c r="AA119" s="110"/>
      <c r="AB119"/>
      <c r="AC119"/>
    </row>
    <row r="120" spans="25:29" x14ac:dyDescent="0.3">
      <c r="Y120"/>
      <c r="Z120"/>
      <c r="AA120" s="110"/>
      <c r="AB120"/>
      <c r="AC120"/>
    </row>
    <row r="121" spans="25:29" x14ac:dyDescent="0.3">
      <c r="Y121"/>
      <c r="Z121"/>
      <c r="AA121" s="110"/>
      <c r="AB121"/>
      <c r="AC121"/>
    </row>
    <row r="122" spans="25:29" x14ac:dyDescent="0.3">
      <c r="Y122"/>
      <c r="Z122"/>
      <c r="AA122" s="110"/>
      <c r="AB122"/>
      <c r="AC122"/>
    </row>
    <row r="123" spans="25:29" x14ac:dyDescent="0.3">
      <c r="Y123"/>
      <c r="Z123"/>
      <c r="AA123" s="110"/>
      <c r="AB123"/>
      <c r="AC123"/>
    </row>
    <row r="124" spans="25:29" x14ac:dyDescent="0.3">
      <c r="Y124"/>
      <c r="Z124"/>
      <c r="AA124" s="110"/>
      <c r="AB124"/>
      <c r="AC124"/>
    </row>
    <row r="125" spans="25:29" x14ac:dyDescent="0.3">
      <c r="Y125"/>
      <c r="Z125"/>
      <c r="AA125" s="110"/>
      <c r="AB125"/>
      <c r="AC125"/>
    </row>
    <row r="126" spans="25:29" x14ac:dyDescent="0.3">
      <c r="Y126"/>
      <c r="Z126"/>
      <c r="AA126" s="110"/>
      <c r="AB126"/>
      <c r="AC126"/>
    </row>
    <row r="127" spans="25:29" x14ac:dyDescent="0.3">
      <c r="Y127"/>
      <c r="Z127"/>
      <c r="AA127" s="110"/>
      <c r="AB127"/>
      <c r="AC127"/>
    </row>
    <row r="128" spans="25:29" x14ac:dyDescent="0.3">
      <c r="Y128"/>
      <c r="Z128"/>
      <c r="AA128" s="110"/>
      <c r="AB128"/>
      <c r="AC128"/>
    </row>
    <row r="129" spans="25:29" x14ac:dyDescent="0.3">
      <c r="Y129"/>
      <c r="Z129"/>
      <c r="AA129" s="110"/>
      <c r="AB129"/>
      <c r="AC129"/>
    </row>
    <row r="130" spans="25:29" x14ac:dyDescent="0.3">
      <c r="Y130"/>
      <c r="Z130"/>
      <c r="AA130" s="110"/>
      <c r="AB130"/>
      <c r="AC130"/>
    </row>
    <row r="131" spans="25:29" x14ac:dyDescent="0.3">
      <c r="Y131"/>
      <c r="Z131"/>
      <c r="AA131" s="110"/>
      <c r="AB131"/>
      <c r="AC131"/>
    </row>
    <row r="132" spans="25:29" x14ac:dyDescent="0.3">
      <c r="Y132"/>
      <c r="Z132"/>
      <c r="AA132" s="110"/>
      <c r="AB132"/>
      <c r="AC132"/>
    </row>
    <row r="133" spans="25:29" x14ac:dyDescent="0.3">
      <c r="Y133"/>
      <c r="Z133"/>
      <c r="AA133" s="110"/>
      <c r="AB133"/>
      <c r="AC133"/>
    </row>
    <row r="134" spans="25:29" x14ac:dyDescent="0.3">
      <c r="Y134"/>
      <c r="Z134"/>
      <c r="AA134" s="110"/>
      <c r="AB134"/>
      <c r="AC134"/>
    </row>
    <row r="135" spans="25:29" x14ac:dyDescent="0.3">
      <c r="Y135"/>
      <c r="Z135"/>
      <c r="AA135" s="110"/>
      <c r="AB135"/>
      <c r="AC135"/>
    </row>
    <row r="136" spans="25:29" x14ac:dyDescent="0.3">
      <c r="Y136"/>
      <c r="Z136"/>
      <c r="AA136" s="110"/>
      <c r="AB136"/>
      <c r="AC136"/>
    </row>
    <row r="137" spans="25:29" x14ac:dyDescent="0.3">
      <c r="Y137"/>
      <c r="Z137"/>
      <c r="AA137" s="110"/>
      <c r="AB137"/>
      <c r="AC137"/>
    </row>
    <row r="138" spans="25:29" x14ac:dyDescent="0.3">
      <c r="Y138"/>
      <c r="Z138"/>
      <c r="AA138" s="110"/>
      <c r="AB138"/>
      <c r="AC138"/>
    </row>
    <row r="139" spans="25:29" x14ac:dyDescent="0.3">
      <c r="Y139"/>
      <c r="Z139"/>
      <c r="AA139" s="110"/>
      <c r="AB139"/>
      <c r="AC139"/>
    </row>
    <row r="140" spans="25:29" x14ac:dyDescent="0.3">
      <c r="Y140"/>
      <c r="Z140"/>
      <c r="AA140" s="110"/>
      <c r="AB140"/>
      <c r="AC140"/>
    </row>
    <row r="141" spans="25:29" x14ac:dyDescent="0.3">
      <c r="Y141"/>
      <c r="Z141"/>
      <c r="AA141" s="110"/>
      <c r="AB141"/>
      <c r="AC141"/>
    </row>
    <row r="142" spans="25:29" x14ac:dyDescent="0.3">
      <c r="Y142"/>
      <c r="Z142"/>
      <c r="AA142" s="110"/>
      <c r="AB142"/>
      <c r="AC142"/>
    </row>
    <row r="143" spans="25:29" x14ac:dyDescent="0.3">
      <c r="Y143"/>
      <c r="Z143"/>
      <c r="AA143" s="110"/>
      <c r="AB143"/>
      <c r="AC143"/>
    </row>
    <row r="144" spans="25:29" x14ac:dyDescent="0.3">
      <c r="Y144"/>
      <c r="Z144"/>
      <c r="AA144" s="110"/>
      <c r="AB144"/>
      <c r="AC144"/>
    </row>
    <row r="145" spans="25:29" x14ac:dyDescent="0.3">
      <c r="Y145"/>
      <c r="Z145"/>
      <c r="AA145" s="110"/>
      <c r="AB145"/>
      <c r="AC145"/>
    </row>
    <row r="146" spans="25:29" x14ac:dyDescent="0.3">
      <c r="Y146"/>
      <c r="Z146"/>
      <c r="AA146" s="110"/>
      <c r="AB146"/>
      <c r="AC146"/>
    </row>
    <row r="147" spans="25:29" x14ac:dyDescent="0.3">
      <c r="Y147"/>
      <c r="Z147"/>
      <c r="AA147" s="110"/>
      <c r="AB147"/>
      <c r="AC147"/>
    </row>
    <row r="148" spans="25:29" x14ac:dyDescent="0.3">
      <c r="Y148"/>
      <c r="Z148"/>
      <c r="AA148" s="110"/>
      <c r="AB148"/>
      <c r="AC148"/>
    </row>
    <row r="149" spans="25:29" x14ac:dyDescent="0.3">
      <c r="Y149"/>
      <c r="Z149"/>
      <c r="AA149" s="110"/>
      <c r="AB149"/>
      <c r="AC149"/>
    </row>
    <row r="150" spans="25:29" x14ac:dyDescent="0.3">
      <c r="Y150"/>
      <c r="Z150"/>
      <c r="AA150" s="110"/>
      <c r="AB150"/>
      <c r="AC150"/>
    </row>
    <row r="151" spans="25:29" x14ac:dyDescent="0.3">
      <c r="Y151"/>
      <c r="Z151"/>
      <c r="AA151" s="110"/>
      <c r="AB151"/>
      <c r="AC151"/>
    </row>
    <row r="152" spans="25:29" x14ac:dyDescent="0.3">
      <c r="Y152"/>
      <c r="Z152"/>
      <c r="AA152" s="110"/>
      <c r="AB152"/>
      <c r="AC152"/>
    </row>
    <row r="153" spans="25:29" x14ac:dyDescent="0.3">
      <c r="Y153"/>
      <c r="Z153"/>
      <c r="AA153" s="110"/>
      <c r="AB153"/>
      <c r="AC153"/>
    </row>
    <row r="154" spans="25:29" x14ac:dyDescent="0.3">
      <c r="Y154"/>
      <c r="Z154"/>
      <c r="AA154" s="110"/>
      <c r="AB154"/>
      <c r="AC154"/>
    </row>
    <row r="155" spans="25:29" x14ac:dyDescent="0.3">
      <c r="Y155"/>
      <c r="Z155"/>
      <c r="AA155" s="110"/>
      <c r="AB155"/>
      <c r="AC155"/>
    </row>
    <row r="156" spans="25:29" x14ac:dyDescent="0.3">
      <c r="Y156"/>
      <c r="Z156"/>
      <c r="AA156" s="110"/>
      <c r="AB156"/>
      <c r="AC156"/>
    </row>
    <row r="157" spans="25:29" x14ac:dyDescent="0.3">
      <c r="Y157"/>
      <c r="Z157"/>
      <c r="AA157" s="110"/>
      <c r="AB157"/>
      <c r="AC157"/>
    </row>
    <row r="158" spans="25:29" x14ac:dyDescent="0.3">
      <c r="Y158"/>
      <c r="Z158"/>
      <c r="AA158" s="110"/>
      <c r="AB158"/>
      <c r="AC158"/>
    </row>
    <row r="159" spans="25:29" x14ac:dyDescent="0.3">
      <c r="Y159"/>
      <c r="Z159"/>
      <c r="AA159" s="110"/>
      <c r="AB159"/>
      <c r="AC159"/>
    </row>
    <row r="160" spans="25:29" x14ac:dyDescent="0.3">
      <c r="Y160"/>
      <c r="Z160"/>
      <c r="AA160" s="110"/>
      <c r="AB160"/>
      <c r="AC160"/>
    </row>
    <row r="161" spans="25:29" x14ac:dyDescent="0.3">
      <c r="Y161"/>
      <c r="Z161"/>
      <c r="AA161" s="110"/>
      <c r="AB161"/>
      <c r="AC161"/>
    </row>
    <row r="162" spans="25:29" x14ac:dyDescent="0.3">
      <c r="Y162"/>
      <c r="Z162"/>
      <c r="AA162" s="110"/>
      <c r="AB162"/>
      <c r="AC162"/>
    </row>
    <row r="163" spans="25:29" x14ac:dyDescent="0.3">
      <c r="Y163"/>
      <c r="Z163"/>
      <c r="AA163" s="110"/>
      <c r="AB163"/>
      <c r="AC163"/>
    </row>
    <row r="164" spans="25:29" x14ac:dyDescent="0.3">
      <c r="Y164"/>
      <c r="Z164"/>
      <c r="AA164" s="110"/>
      <c r="AB164"/>
      <c r="AC164"/>
    </row>
    <row r="165" spans="25:29" x14ac:dyDescent="0.3">
      <c r="Y165"/>
      <c r="Z165"/>
      <c r="AA165" s="110"/>
      <c r="AB165"/>
      <c r="AC165"/>
    </row>
    <row r="166" spans="25:29" x14ac:dyDescent="0.3">
      <c r="Y166"/>
      <c r="Z166"/>
      <c r="AA166" s="110"/>
      <c r="AB166"/>
      <c r="AC166"/>
    </row>
    <row r="167" spans="25:29" x14ac:dyDescent="0.3">
      <c r="Y167"/>
      <c r="Z167"/>
      <c r="AA167" s="110"/>
      <c r="AB167"/>
      <c r="AC167"/>
    </row>
    <row r="168" spans="25:29" x14ac:dyDescent="0.3">
      <c r="Y168"/>
      <c r="Z168"/>
      <c r="AA168" s="110"/>
      <c r="AB168"/>
      <c r="AC168"/>
    </row>
    <row r="169" spans="25:29" x14ac:dyDescent="0.3">
      <c r="Y169"/>
      <c r="Z169"/>
      <c r="AA169" s="110"/>
      <c r="AB169"/>
      <c r="AC169"/>
    </row>
    <row r="170" spans="25:29" x14ac:dyDescent="0.3">
      <c r="Y170"/>
      <c r="Z170"/>
      <c r="AA170" s="110"/>
      <c r="AB170"/>
      <c r="AC170"/>
    </row>
    <row r="171" spans="25:29" x14ac:dyDescent="0.3">
      <c r="Y171"/>
      <c r="Z171"/>
      <c r="AA171" s="110"/>
      <c r="AB171"/>
      <c r="AC171"/>
    </row>
    <row r="172" spans="25:29" x14ac:dyDescent="0.3">
      <c r="Y172"/>
      <c r="Z172"/>
      <c r="AA172" s="110"/>
      <c r="AB172"/>
      <c r="AC172"/>
    </row>
    <row r="173" spans="25:29" x14ac:dyDescent="0.3">
      <c r="Y173"/>
      <c r="Z173"/>
      <c r="AA173" s="110"/>
      <c r="AB173"/>
      <c r="AC173"/>
    </row>
    <row r="174" spans="25:29" x14ac:dyDescent="0.3">
      <c r="Y174"/>
      <c r="Z174"/>
      <c r="AA174" s="110"/>
      <c r="AB174"/>
      <c r="AC174"/>
    </row>
    <row r="175" spans="25:29" x14ac:dyDescent="0.3">
      <c r="Y175"/>
      <c r="Z175"/>
      <c r="AA175" s="110"/>
      <c r="AB175"/>
      <c r="AC175"/>
    </row>
    <row r="176" spans="25:29" x14ac:dyDescent="0.3">
      <c r="Y176"/>
      <c r="Z176"/>
      <c r="AA176" s="110"/>
      <c r="AB176"/>
      <c r="AC176"/>
    </row>
    <row r="177" spans="25:29" x14ac:dyDescent="0.3">
      <c r="Y177"/>
      <c r="Z177"/>
      <c r="AA177" s="110"/>
      <c r="AB177"/>
      <c r="AC177"/>
    </row>
    <row r="178" spans="25:29" x14ac:dyDescent="0.3">
      <c r="Y178"/>
      <c r="Z178"/>
      <c r="AA178" s="110"/>
      <c r="AB178"/>
      <c r="AC178"/>
    </row>
    <row r="179" spans="25:29" x14ac:dyDescent="0.3">
      <c r="Y179"/>
      <c r="Z179"/>
      <c r="AA179" s="110"/>
      <c r="AB179"/>
      <c r="AC179"/>
    </row>
    <row r="180" spans="25:29" x14ac:dyDescent="0.3">
      <c r="Y180"/>
      <c r="Z180"/>
      <c r="AA180" s="110"/>
      <c r="AB180"/>
      <c r="AC180"/>
    </row>
    <row r="181" spans="25:29" x14ac:dyDescent="0.3">
      <c r="Y181"/>
      <c r="Z181"/>
      <c r="AA181" s="110"/>
      <c r="AB181"/>
      <c r="AC181"/>
    </row>
    <row r="182" spans="25:29" x14ac:dyDescent="0.3">
      <c r="Y182"/>
      <c r="Z182"/>
      <c r="AA182" s="110"/>
      <c r="AB182"/>
      <c r="AC182"/>
    </row>
    <row r="183" spans="25:29" x14ac:dyDescent="0.3">
      <c r="Y183"/>
      <c r="Z183"/>
      <c r="AA183" s="110"/>
      <c r="AB183"/>
      <c r="AC183"/>
    </row>
    <row r="184" spans="25:29" x14ac:dyDescent="0.3">
      <c r="Y184"/>
      <c r="Z184"/>
      <c r="AA184" s="110"/>
      <c r="AB184"/>
      <c r="AC184"/>
    </row>
    <row r="185" spans="25:29" x14ac:dyDescent="0.3">
      <c r="Y185"/>
      <c r="Z185"/>
      <c r="AA185" s="110"/>
      <c r="AB185"/>
      <c r="AC185"/>
    </row>
    <row r="186" spans="25:29" x14ac:dyDescent="0.3">
      <c r="Y186"/>
      <c r="Z186"/>
      <c r="AA186" s="110"/>
      <c r="AB186"/>
      <c r="AC186"/>
    </row>
    <row r="187" spans="25:29" x14ac:dyDescent="0.3">
      <c r="Y187"/>
      <c r="Z187"/>
      <c r="AA187" s="110"/>
      <c r="AB187"/>
      <c r="AC187"/>
    </row>
    <row r="188" spans="25:29" x14ac:dyDescent="0.3">
      <c r="Y188"/>
      <c r="Z188"/>
      <c r="AA188" s="110"/>
      <c r="AB188"/>
      <c r="AC188"/>
    </row>
    <row r="189" spans="25:29" x14ac:dyDescent="0.3">
      <c r="Y189"/>
      <c r="Z189"/>
      <c r="AA189" s="110"/>
      <c r="AB189"/>
      <c r="AC189"/>
    </row>
    <row r="190" spans="25:29" x14ac:dyDescent="0.3">
      <c r="Y190"/>
      <c r="Z190"/>
      <c r="AA190" s="110"/>
      <c r="AB190"/>
      <c r="AC190"/>
    </row>
    <row r="191" spans="25:29" x14ac:dyDescent="0.3">
      <c r="Y191"/>
      <c r="Z191"/>
      <c r="AA191" s="110"/>
      <c r="AB191"/>
      <c r="AC191"/>
    </row>
    <row r="192" spans="25:29" x14ac:dyDescent="0.3">
      <c r="Y192"/>
      <c r="Z192"/>
      <c r="AA192" s="110"/>
      <c r="AB192"/>
      <c r="AC192"/>
    </row>
    <row r="193" spans="25:29" x14ac:dyDescent="0.3">
      <c r="Y193"/>
      <c r="Z193"/>
      <c r="AA193" s="110"/>
      <c r="AB193"/>
      <c r="AC193"/>
    </row>
    <row r="194" spans="25:29" x14ac:dyDescent="0.3">
      <c r="Y194"/>
      <c r="Z194"/>
      <c r="AA194" s="110"/>
      <c r="AB194"/>
      <c r="AC194"/>
    </row>
    <row r="195" spans="25:29" x14ac:dyDescent="0.3">
      <c r="Y195"/>
      <c r="Z195"/>
      <c r="AA195" s="110"/>
      <c r="AB195"/>
      <c r="AC195"/>
    </row>
    <row r="196" spans="25:29" x14ac:dyDescent="0.3">
      <c r="Y196"/>
      <c r="Z196"/>
      <c r="AA196" s="110"/>
      <c r="AB196"/>
      <c r="AC196"/>
    </row>
    <row r="197" spans="25:29" x14ac:dyDescent="0.3">
      <c r="Y197"/>
      <c r="Z197"/>
      <c r="AA197" s="110"/>
      <c r="AB197"/>
      <c r="AC197"/>
    </row>
    <row r="198" spans="25:29" x14ac:dyDescent="0.3">
      <c r="Y198"/>
      <c r="Z198"/>
      <c r="AA198" s="110"/>
      <c r="AB198"/>
      <c r="AC198"/>
    </row>
    <row r="199" spans="25:29" x14ac:dyDescent="0.3">
      <c r="Y199"/>
      <c r="Z199"/>
      <c r="AA199" s="110"/>
      <c r="AB199"/>
      <c r="AC199"/>
    </row>
    <row r="200" spans="25:29" x14ac:dyDescent="0.3">
      <c r="Y200"/>
      <c r="Z200"/>
      <c r="AA200" s="110"/>
      <c r="AB200"/>
      <c r="AC200"/>
    </row>
    <row r="201" spans="25:29" x14ac:dyDescent="0.3">
      <c r="Y201"/>
      <c r="Z201"/>
      <c r="AA201" s="110"/>
      <c r="AB201"/>
      <c r="AC201"/>
    </row>
    <row r="202" spans="25:29" x14ac:dyDescent="0.3">
      <c r="Y202"/>
      <c r="Z202"/>
      <c r="AA202" s="110"/>
      <c r="AB202"/>
      <c r="AC202"/>
    </row>
    <row r="203" spans="25:29" x14ac:dyDescent="0.3">
      <c r="Y203"/>
      <c r="Z203"/>
      <c r="AA203" s="110"/>
      <c r="AB203"/>
      <c r="AC203"/>
    </row>
    <row r="204" spans="25:29" x14ac:dyDescent="0.3">
      <c r="Y204"/>
      <c r="Z204"/>
      <c r="AA204" s="110"/>
      <c r="AB204"/>
      <c r="AC204"/>
    </row>
    <row r="205" spans="25:29" x14ac:dyDescent="0.3">
      <c r="Y205"/>
      <c r="Z205"/>
      <c r="AA205" s="110"/>
      <c r="AB205"/>
      <c r="AC205"/>
    </row>
    <row r="206" spans="25:29" x14ac:dyDescent="0.3">
      <c r="Y206"/>
      <c r="Z206"/>
      <c r="AA206" s="110"/>
      <c r="AB206"/>
      <c r="AC206"/>
    </row>
    <row r="207" spans="25:29" x14ac:dyDescent="0.3">
      <c r="Y207"/>
      <c r="Z207"/>
      <c r="AA207" s="110"/>
      <c r="AB207"/>
      <c r="AC207"/>
    </row>
    <row r="208" spans="25:29" x14ac:dyDescent="0.3">
      <c r="Y208"/>
      <c r="Z208"/>
      <c r="AA208" s="110"/>
      <c r="AB208"/>
      <c r="AC208"/>
    </row>
    <row r="209" spans="25:29" x14ac:dyDescent="0.3">
      <c r="Y209"/>
      <c r="Z209"/>
      <c r="AA209" s="110"/>
      <c r="AB209"/>
      <c r="AC209"/>
    </row>
    <row r="210" spans="25:29" x14ac:dyDescent="0.3">
      <c r="Y210"/>
      <c r="Z210"/>
      <c r="AA210" s="110"/>
      <c r="AB210"/>
      <c r="AC210"/>
    </row>
    <row r="211" spans="25:29" x14ac:dyDescent="0.3">
      <c r="Y211"/>
      <c r="Z211"/>
      <c r="AA211" s="110"/>
      <c r="AB211"/>
      <c r="AC211"/>
    </row>
    <row r="212" spans="25:29" x14ac:dyDescent="0.3">
      <c r="Y212"/>
      <c r="Z212"/>
      <c r="AA212" s="110"/>
      <c r="AB212"/>
      <c r="AC212"/>
    </row>
    <row r="213" spans="25:29" x14ac:dyDescent="0.3">
      <c r="Y213"/>
      <c r="Z213"/>
      <c r="AA213" s="110"/>
      <c r="AB213"/>
      <c r="AC213"/>
    </row>
    <row r="214" spans="25:29" x14ac:dyDescent="0.3">
      <c r="Y214"/>
      <c r="Z214"/>
      <c r="AA214" s="110"/>
      <c r="AB214"/>
      <c r="AC214"/>
    </row>
    <row r="215" spans="25:29" x14ac:dyDescent="0.3">
      <c r="Y215"/>
      <c r="Z215"/>
      <c r="AA215" s="110"/>
      <c r="AB215"/>
      <c r="AC215"/>
    </row>
    <row r="216" spans="25:29" x14ac:dyDescent="0.3">
      <c r="Y216"/>
      <c r="Z216"/>
      <c r="AA216" s="110"/>
      <c r="AB216"/>
      <c r="AC216"/>
    </row>
    <row r="217" spans="25:29" x14ac:dyDescent="0.3">
      <c r="Y217"/>
      <c r="Z217"/>
      <c r="AA217" s="110"/>
      <c r="AB217"/>
      <c r="AC217"/>
    </row>
    <row r="218" spans="25:29" x14ac:dyDescent="0.3">
      <c r="Y218"/>
      <c r="Z218"/>
      <c r="AA218" s="110"/>
      <c r="AB218"/>
      <c r="AC218"/>
    </row>
    <row r="219" spans="25:29" x14ac:dyDescent="0.3">
      <c r="Y219"/>
      <c r="Z219"/>
      <c r="AA219" s="110"/>
      <c r="AB219"/>
      <c r="AC219"/>
    </row>
    <row r="220" spans="25:29" x14ac:dyDescent="0.3">
      <c r="Y220"/>
      <c r="Z220"/>
      <c r="AA220" s="110"/>
      <c r="AB220"/>
      <c r="AC220"/>
    </row>
    <row r="221" spans="25:29" x14ac:dyDescent="0.3">
      <c r="Y221"/>
      <c r="Z221"/>
      <c r="AA221" s="110"/>
      <c r="AB221"/>
      <c r="AC221"/>
    </row>
    <row r="222" spans="25:29" x14ac:dyDescent="0.3">
      <c r="Y222"/>
      <c r="Z222"/>
      <c r="AA222" s="110"/>
      <c r="AB222"/>
      <c r="AC222"/>
    </row>
    <row r="223" spans="25:29" x14ac:dyDescent="0.3">
      <c r="Y223"/>
      <c r="Z223"/>
      <c r="AA223" s="110"/>
      <c r="AB223"/>
      <c r="AC223"/>
    </row>
    <row r="224" spans="25:29" x14ac:dyDescent="0.3">
      <c r="Y224"/>
      <c r="Z224"/>
      <c r="AA224" s="110"/>
      <c r="AB224"/>
      <c r="AC224"/>
    </row>
    <row r="225" spans="25:29" x14ac:dyDescent="0.3">
      <c r="Y225"/>
      <c r="Z225"/>
      <c r="AA225" s="110"/>
      <c r="AB225"/>
      <c r="AC225"/>
    </row>
    <row r="226" spans="25:29" x14ac:dyDescent="0.3">
      <c r="Y226"/>
      <c r="Z226"/>
      <c r="AA226" s="110"/>
      <c r="AB226"/>
      <c r="AC226"/>
    </row>
    <row r="227" spans="25:29" x14ac:dyDescent="0.3">
      <c r="Y227"/>
      <c r="Z227"/>
      <c r="AA227" s="110"/>
      <c r="AB227"/>
      <c r="AC227"/>
    </row>
    <row r="228" spans="25:29" x14ac:dyDescent="0.3">
      <c r="Y228"/>
      <c r="Z228"/>
      <c r="AA228" s="110"/>
      <c r="AB228"/>
      <c r="AC228"/>
    </row>
    <row r="229" spans="25:29" x14ac:dyDescent="0.3">
      <c r="Y229"/>
      <c r="Z229"/>
      <c r="AA229" s="110"/>
      <c r="AB229"/>
      <c r="AC229"/>
    </row>
    <row r="230" spans="25:29" x14ac:dyDescent="0.3">
      <c r="Y230"/>
      <c r="Z230"/>
      <c r="AA230" s="110"/>
      <c r="AB230"/>
      <c r="AC230"/>
    </row>
    <row r="231" spans="25:29" x14ac:dyDescent="0.3">
      <c r="Y231"/>
      <c r="Z231"/>
      <c r="AA231" s="110"/>
      <c r="AB231"/>
      <c r="AC231"/>
    </row>
    <row r="232" spans="25:29" x14ac:dyDescent="0.3">
      <c r="Y232"/>
      <c r="Z232"/>
      <c r="AA232" s="110"/>
      <c r="AB232"/>
      <c r="AC232"/>
    </row>
    <row r="233" spans="25:29" x14ac:dyDescent="0.3">
      <c r="Y233"/>
      <c r="Z233"/>
      <c r="AA233" s="110"/>
      <c r="AB233"/>
      <c r="AC233"/>
    </row>
    <row r="234" spans="25:29" x14ac:dyDescent="0.3">
      <c r="Y234"/>
      <c r="Z234"/>
      <c r="AA234" s="110"/>
      <c r="AB234"/>
      <c r="AC234"/>
    </row>
    <row r="235" spans="25:29" x14ac:dyDescent="0.3">
      <c r="Y235"/>
      <c r="Z235"/>
      <c r="AA235" s="110"/>
      <c r="AB235"/>
      <c r="AC235"/>
    </row>
    <row r="236" spans="25:29" x14ac:dyDescent="0.3">
      <c r="Y236"/>
      <c r="Z236"/>
      <c r="AA236" s="110"/>
      <c r="AB236"/>
      <c r="AC236"/>
    </row>
    <row r="237" spans="25:29" x14ac:dyDescent="0.3">
      <c r="Y237"/>
      <c r="Z237"/>
      <c r="AA237" s="110"/>
      <c r="AB237"/>
      <c r="AC237"/>
    </row>
    <row r="238" spans="25:29" x14ac:dyDescent="0.3">
      <c r="Y238"/>
      <c r="Z238"/>
      <c r="AA238" s="110"/>
      <c r="AB238"/>
      <c r="AC238"/>
    </row>
    <row r="239" spans="25:29" x14ac:dyDescent="0.3">
      <c r="Y239"/>
      <c r="Z239"/>
      <c r="AA239" s="110"/>
      <c r="AB239"/>
      <c r="AC239"/>
    </row>
    <row r="240" spans="25:29" x14ac:dyDescent="0.3">
      <c r="Y240"/>
      <c r="Z240"/>
      <c r="AA240" s="110"/>
      <c r="AB240"/>
      <c r="AC240"/>
    </row>
    <row r="241" spans="25:29" x14ac:dyDescent="0.3">
      <c r="Y241"/>
      <c r="Z241"/>
      <c r="AA241" s="110"/>
      <c r="AB241"/>
      <c r="AC241"/>
    </row>
    <row r="242" spans="25:29" x14ac:dyDescent="0.3">
      <c r="Y242"/>
      <c r="Z242"/>
      <c r="AA242" s="110"/>
      <c r="AB242"/>
      <c r="AC242"/>
    </row>
    <row r="243" spans="25:29" x14ac:dyDescent="0.3">
      <c r="Y243"/>
      <c r="Z243"/>
      <c r="AA243" s="110"/>
      <c r="AB243"/>
      <c r="AC243"/>
    </row>
    <row r="244" spans="25:29" x14ac:dyDescent="0.3">
      <c r="Y244"/>
      <c r="Z244"/>
      <c r="AA244" s="110"/>
      <c r="AB244"/>
      <c r="AC244"/>
    </row>
    <row r="245" spans="25:29" x14ac:dyDescent="0.3">
      <c r="Y245"/>
      <c r="Z245"/>
      <c r="AA245" s="110"/>
      <c r="AB245"/>
      <c r="AC245"/>
    </row>
    <row r="246" spans="25:29" x14ac:dyDescent="0.3">
      <c r="Y246"/>
      <c r="Z246"/>
      <c r="AA246" s="110"/>
      <c r="AB246"/>
      <c r="AC246"/>
    </row>
    <row r="247" spans="25:29" x14ac:dyDescent="0.3">
      <c r="Y247"/>
      <c r="Z247"/>
      <c r="AA247" s="110"/>
      <c r="AB247"/>
      <c r="AC247"/>
    </row>
    <row r="248" spans="25:29" x14ac:dyDescent="0.3">
      <c r="Y248"/>
      <c r="Z248"/>
      <c r="AA248" s="110"/>
      <c r="AB248"/>
      <c r="AC248"/>
    </row>
    <row r="249" spans="25:29" x14ac:dyDescent="0.3">
      <c r="Y249"/>
      <c r="Z249"/>
      <c r="AA249" s="110"/>
      <c r="AB249"/>
      <c r="AC249"/>
    </row>
    <row r="250" spans="25:29" x14ac:dyDescent="0.3">
      <c r="Y250"/>
      <c r="Z250"/>
      <c r="AA250" s="110"/>
      <c r="AB250"/>
      <c r="AC250"/>
    </row>
    <row r="251" spans="25:29" x14ac:dyDescent="0.3">
      <c r="Y251"/>
      <c r="Z251"/>
      <c r="AA251" s="110"/>
      <c r="AB251"/>
      <c r="AC251"/>
    </row>
    <row r="252" spans="25:29" x14ac:dyDescent="0.3">
      <c r="Y252"/>
      <c r="Z252"/>
      <c r="AA252" s="110"/>
      <c r="AB252"/>
      <c r="AC252"/>
    </row>
    <row r="253" spans="25:29" x14ac:dyDescent="0.3">
      <c r="Y253"/>
      <c r="Z253"/>
      <c r="AA253" s="110"/>
      <c r="AB253"/>
      <c r="AC253"/>
    </row>
    <row r="254" spans="25:29" x14ac:dyDescent="0.3">
      <c r="Y254"/>
      <c r="Z254"/>
      <c r="AA254" s="110"/>
      <c r="AB254"/>
      <c r="AC254"/>
    </row>
    <row r="255" spans="25:29" x14ac:dyDescent="0.3">
      <c r="Y255"/>
      <c r="Z255"/>
      <c r="AA255" s="110"/>
      <c r="AB255"/>
      <c r="AC255"/>
    </row>
    <row r="256" spans="25:29" x14ac:dyDescent="0.3">
      <c r="Y256"/>
      <c r="Z256"/>
      <c r="AA256" s="110"/>
      <c r="AB256"/>
      <c r="AC256"/>
    </row>
    <row r="257" spans="25:29" x14ac:dyDescent="0.3">
      <c r="Y257"/>
      <c r="Z257"/>
      <c r="AA257" s="110"/>
      <c r="AB257"/>
      <c r="AC257"/>
    </row>
    <row r="258" spans="25:29" x14ac:dyDescent="0.3">
      <c r="Y258"/>
      <c r="Z258"/>
      <c r="AA258" s="110"/>
      <c r="AB258"/>
      <c r="AC258"/>
    </row>
    <row r="259" spans="25:29" x14ac:dyDescent="0.3">
      <c r="Y259"/>
      <c r="Z259"/>
      <c r="AA259" s="110"/>
      <c r="AB259"/>
      <c r="AC259"/>
    </row>
    <row r="260" spans="25:29" x14ac:dyDescent="0.3">
      <c r="Y260"/>
      <c r="Z260"/>
      <c r="AA260" s="110"/>
      <c r="AB260"/>
      <c r="AC260"/>
    </row>
    <row r="261" spans="25:29" x14ac:dyDescent="0.3">
      <c r="Y261"/>
      <c r="Z261"/>
      <c r="AA261" s="110"/>
      <c r="AB261"/>
      <c r="AC261"/>
    </row>
    <row r="262" spans="25:29" x14ac:dyDescent="0.3">
      <c r="Y262"/>
      <c r="Z262"/>
      <c r="AA262" s="110"/>
      <c r="AB262"/>
      <c r="AC262"/>
    </row>
    <row r="263" spans="25:29" x14ac:dyDescent="0.3">
      <c r="Y263"/>
      <c r="Z263"/>
      <c r="AA263" s="110"/>
      <c r="AB263"/>
      <c r="AC263"/>
    </row>
    <row r="264" spans="25:29" x14ac:dyDescent="0.3">
      <c r="Y264"/>
      <c r="Z264"/>
      <c r="AA264" s="110"/>
      <c r="AB264"/>
      <c r="AC264"/>
    </row>
    <row r="265" spans="25:29" x14ac:dyDescent="0.3">
      <c r="Y265"/>
      <c r="Z265"/>
      <c r="AA265" s="110"/>
      <c r="AB265"/>
      <c r="AC265"/>
    </row>
    <row r="266" spans="25:29" x14ac:dyDescent="0.3">
      <c r="Y266"/>
      <c r="Z266"/>
      <c r="AA266" s="110"/>
      <c r="AB266"/>
      <c r="AC266"/>
    </row>
    <row r="267" spans="25:29" x14ac:dyDescent="0.3">
      <c r="Y267"/>
      <c r="Z267"/>
      <c r="AA267" s="110"/>
      <c r="AB267"/>
      <c r="AC267"/>
    </row>
    <row r="268" spans="25:29" x14ac:dyDescent="0.3">
      <c r="Y268"/>
      <c r="Z268"/>
      <c r="AA268" s="110"/>
      <c r="AB268"/>
      <c r="AC268"/>
    </row>
    <row r="269" spans="25:29" x14ac:dyDescent="0.3">
      <c r="Y269"/>
      <c r="Z269"/>
      <c r="AA269" s="110"/>
      <c r="AB269"/>
      <c r="AC269"/>
    </row>
    <row r="270" spans="25:29" x14ac:dyDescent="0.3">
      <c r="Y270"/>
      <c r="Z270"/>
      <c r="AA270" s="110"/>
      <c r="AB270"/>
      <c r="AC270"/>
    </row>
    <row r="271" spans="25:29" x14ac:dyDescent="0.3">
      <c r="Y271"/>
      <c r="Z271"/>
      <c r="AA271" s="110"/>
      <c r="AB271"/>
      <c r="AC271"/>
    </row>
    <row r="272" spans="25:29" x14ac:dyDescent="0.3">
      <c r="Y272"/>
      <c r="Z272"/>
      <c r="AA272" s="110"/>
      <c r="AB272"/>
      <c r="AC272"/>
    </row>
    <row r="273" spans="25:29" x14ac:dyDescent="0.3">
      <c r="Y273"/>
      <c r="Z273"/>
      <c r="AA273" s="110"/>
      <c r="AB273"/>
      <c r="AC273"/>
    </row>
    <row r="274" spans="25:29" x14ac:dyDescent="0.3">
      <c r="Y274"/>
      <c r="Z274"/>
      <c r="AA274" s="110"/>
      <c r="AB274"/>
      <c r="AC274"/>
    </row>
    <row r="275" spans="25:29" x14ac:dyDescent="0.3">
      <c r="Y275"/>
      <c r="Z275"/>
      <c r="AA275" s="110"/>
      <c r="AB275"/>
      <c r="AC275"/>
    </row>
    <row r="276" spans="25:29" x14ac:dyDescent="0.3">
      <c r="Y276"/>
      <c r="Z276"/>
      <c r="AA276" s="110"/>
      <c r="AB276"/>
      <c r="AC276"/>
    </row>
    <row r="277" spans="25:29" x14ac:dyDescent="0.3">
      <c r="Y277"/>
      <c r="Z277"/>
      <c r="AA277" s="110"/>
      <c r="AB277"/>
      <c r="AC277"/>
    </row>
    <row r="278" spans="25:29" x14ac:dyDescent="0.3">
      <c r="Y278"/>
      <c r="Z278"/>
      <c r="AA278" s="110"/>
      <c r="AB278"/>
      <c r="AC278"/>
    </row>
    <row r="279" spans="25:29" x14ac:dyDescent="0.3">
      <c r="Y279"/>
      <c r="Z279"/>
      <c r="AA279" s="110"/>
      <c r="AB279"/>
      <c r="AC279"/>
    </row>
    <row r="280" spans="25:29" x14ac:dyDescent="0.3">
      <c r="Y280"/>
      <c r="Z280"/>
      <c r="AA280" s="110"/>
      <c r="AB280"/>
      <c r="AC280"/>
    </row>
    <row r="281" spans="25:29" x14ac:dyDescent="0.3">
      <c r="Y281"/>
      <c r="Z281"/>
      <c r="AA281" s="110"/>
      <c r="AB281"/>
      <c r="AC281"/>
    </row>
    <row r="282" spans="25:29" x14ac:dyDescent="0.3">
      <c r="Y282"/>
      <c r="Z282"/>
      <c r="AA282" s="110"/>
      <c r="AB282"/>
      <c r="AC282"/>
    </row>
    <row r="283" spans="25:29" x14ac:dyDescent="0.3">
      <c r="Y283"/>
      <c r="Z283"/>
      <c r="AA283" s="110"/>
      <c r="AB283"/>
      <c r="AC283"/>
    </row>
    <row r="284" spans="25:29" x14ac:dyDescent="0.3">
      <c r="Y284"/>
      <c r="Z284"/>
      <c r="AA284" s="110"/>
      <c r="AB284"/>
      <c r="AC284"/>
    </row>
    <row r="285" spans="25:29" x14ac:dyDescent="0.3">
      <c r="Y285"/>
      <c r="Z285"/>
      <c r="AA285" s="110"/>
      <c r="AB285"/>
      <c r="AC285"/>
    </row>
    <row r="286" spans="25:29" x14ac:dyDescent="0.3">
      <c r="Y286"/>
      <c r="Z286"/>
      <c r="AA286" s="110"/>
      <c r="AB286"/>
      <c r="AC286"/>
    </row>
    <row r="287" spans="25:29" x14ac:dyDescent="0.3">
      <c r="Y287"/>
      <c r="Z287"/>
      <c r="AA287" s="110"/>
      <c r="AB287"/>
      <c r="AC287"/>
    </row>
    <row r="288" spans="25:29" x14ac:dyDescent="0.3">
      <c r="Y288"/>
      <c r="Z288"/>
      <c r="AA288" s="110"/>
      <c r="AB288"/>
      <c r="AC288"/>
    </row>
    <row r="289" spans="25:29" x14ac:dyDescent="0.3">
      <c r="Y289"/>
      <c r="Z289"/>
      <c r="AA289" s="110"/>
      <c r="AB289"/>
      <c r="AC289"/>
    </row>
    <row r="290" spans="25:29" x14ac:dyDescent="0.3">
      <c r="Y290"/>
      <c r="Z290"/>
      <c r="AA290" s="110"/>
      <c r="AB290"/>
      <c r="AC290"/>
    </row>
    <row r="291" spans="25:29" x14ac:dyDescent="0.3">
      <c r="Y291"/>
      <c r="Z291"/>
      <c r="AA291" s="110"/>
      <c r="AB291"/>
      <c r="AC291"/>
    </row>
    <row r="292" spans="25:29" x14ac:dyDescent="0.3">
      <c r="Y292"/>
      <c r="Z292"/>
      <c r="AA292" s="110"/>
      <c r="AB292"/>
      <c r="AC292"/>
    </row>
    <row r="293" spans="25:29" x14ac:dyDescent="0.3">
      <c r="Y293"/>
      <c r="Z293"/>
      <c r="AA293" s="110"/>
      <c r="AB293"/>
      <c r="AC293"/>
    </row>
    <row r="294" spans="25:29" x14ac:dyDescent="0.3">
      <c r="Y294"/>
      <c r="Z294"/>
      <c r="AA294" s="110"/>
      <c r="AB294"/>
      <c r="AC294"/>
    </row>
    <row r="295" spans="25:29" x14ac:dyDescent="0.3">
      <c r="Y295"/>
      <c r="Z295"/>
      <c r="AA295" s="110"/>
      <c r="AB295"/>
      <c r="AC295"/>
    </row>
    <row r="296" spans="25:29" x14ac:dyDescent="0.3">
      <c r="Y296"/>
      <c r="Z296"/>
      <c r="AA296" s="110"/>
      <c r="AB296"/>
      <c r="AC296"/>
    </row>
    <row r="297" spans="25:29" x14ac:dyDescent="0.3">
      <c r="Y297"/>
      <c r="Z297"/>
      <c r="AA297" s="110"/>
      <c r="AB297"/>
      <c r="AC297"/>
    </row>
    <row r="298" spans="25:29" x14ac:dyDescent="0.3">
      <c r="Y298"/>
      <c r="Z298"/>
      <c r="AA298" s="110"/>
      <c r="AB298"/>
      <c r="AC298"/>
    </row>
    <row r="299" spans="25:29" x14ac:dyDescent="0.3">
      <c r="Y299"/>
      <c r="Z299"/>
      <c r="AA299" s="110"/>
      <c r="AB299"/>
      <c r="AC299"/>
    </row>
    <row r="300" spans="25:29" x14ac:dyDescent="0.3">
      <c r="Y300"/>
      <c r="Z300"/>
      <c r="AA300" s="110"/>
      <c r="AB300"/>
      <c r="AC300"/>
    </row>
    <row r="301" spans="25:29" x14ac:dyDescent="0.3">
      <c r="Y301"/>
      <c r="Z301"/>
      <c r="AA301" s="110"/>
      <c r="AB301"/>
      <c r="AC301"/>
    </row>
    <row r="302" spans="25:29" x14ac:dyDescent="0.3">
      <c r="Y302"/>
      <c r="Z302"/>
      <c r="AA302" s="110"/>
      <c r="AB302"/>
      <c r="AC302"/>
    </row>
    <row r="303" spans="25:29" x14ac:dyDescent="0.3">
      <c r="Y303"/>
      <c r="Z303"/>
      <c r="AA303" s="110"/>
      <c r="AB303"/>
      <c r="AC303"/>
    </row>
    <row r="304" spans="25:29" x14ac:dyDescent="0.3">
      <c r="Y304"/>
      <c r="Z304"/>
      <c r="AA304" s="110"/>
      <c r="AB304"/>
      <c r="AC304"/>
    </row>
    <row r="305" spans="25:29" x14ac:dyDescent="0.3">
      <c r="Y305"/>
      <c r="Z305"/>
      <c r="AA305" s="110"/>
      <c r="AB305"/>
      <c r="AC305"/>
    </row>
    <row r="306" spans="25:29" x14ac:dyDescent="0.3">
      <c r="Y306"/>
      <c r="Z306"/>
      <c r="AA306" s="110"/>
      <c r="AB306"/>
      <c r="AC306"/>
    </row>
    <row r="307" spans="25:29" x14ac:dyDescent="0.3">
      <c r="Y307"/>
      <c r="Z307"/>
      <c r="AA307" s="110"/>
      <c r="AB307"/>
      <c r="AC307"/>
    </row>
    <row r="308" spans="25:29" x14ac:dyDescent="0.3">
      <c r="Y308"/>
      <c r="Z308"/>
      <c r="AA308" s="110"/>
      <c r="AB308"/>
      <c r="AC308"/>
    </row>
    <row r="309" spans="25:29" x14ac:dyDescent="0.3">
      <c r="Y309"/>
      <c r="Z309"/>
      <c r="AA309" s="110"/>
      <c r="AB309"/>
      <c r="AC309"/>
    </row>
    <row r="310" spans="25:29" x14ac:dyDescent="0.3">
      <c r="Y310"/>
      <c r="Z310"/>
      <c r="AA310" s="110"/>
      <c r="AB310"/>
      <c r="AC310"/>
    </row>
    <row r="311" spans="25:29" x14ac:dyDescent="0.3">
      <c r="Y311"/>
      <c r="Z311"/>
      <c r="AA311" s="110"/>
      <c r="AB311"/>
      <c r="AC311"/>
    </row>
    <row r="312" spans="25:29" x14ac:dyDescent="0.3">
      <c r="Y312"/>
      <c r="Z312"/>
      <c r="AA312" s="110"/>
      <c r="AB312"/>
      <c r="AC312"/>
    </row>
    <row r="313" spans="25:29" x14ac:dyDescent="0.3">
      <c r="Y313"/>
      <c r="Z313"/>
      <c r="AA313" s="110"/>
      <c r="AB313"/>
      <c r="AC313"/>
    </row>
    <row r="314" spans="25:29" x14ac:dyDescent="0.3">
      <c r="Y314"/>
      <c r="Z314"/>
      <c r="AA314" s="110"/>
      <c r="AB314"/>
      <c r="AC314"/>
    </row>
    <row r="315" spans="25:29" x14ac:dyDescent="0.3">
      <c r="Y315"/>
      <c r="Z315"/>
      <c r="AA315" s="110"/>
      <c r="AB315"/>
      <c r="AC315"/>
    </row>
    <row r="316" spans="25:29" x14ac:dyDescent="0.3">
      <c r="Y316"/>
      <c r="Z316"/>
      <c r="AA316" s="110"/>
      <c r="AB316"/>
      <c r="AC316"/>
    </row>
    <row r="317" spans="25:29" x14ac:dyDescent="0.3">
      <c r="Y317"/>
      <c r="Z317"/>
      <c r="AA317" s="110"/>
      <c r="AB317"/>
      <c r="AC317"/>
    </row>
    <row r="318" spans="25:29" x14ac:dyDescent="0.3">
      <c r="Y318"/>
      <c r="Z318"/>
      <c r="AA318" s="110"/>
      <c r="AB318"/>
      <c r="AC318"/>
    </row>
    <row r="319" spans="25:29" x14ac:dyDescent="0.3">
      <c r="Y319"/>
      <c r="Z319"/>
      <c r="AA319" s="110"/>
      <c r="AB319"/>
      <c r="AC319"/>
    </row>
    <row r="320" spans="25:29" x14ac:dyDescent="0.3">
      <c r="Y320"/>
      <c r="Z320"/>
      <c r="AA320" s="110"/>
      <c r="AB320"/>
      <c r="AC320"/>
    </row>
    <row r="321" spans="25:29" x14ac:dyDescent="0.3">
      <c r="Y321"/>
      <c r="Z321"/>
      <c r="AA321" s="110"/>
      <c r="AB321"/>
      <c r="AC321"/>
    </row>
    <row r="322" spans="25:29" x14ac:dyDescent="0.3">
      <c r="Y322"/>
      <c r="Z322"/>
      <c r="AA322" s="110"/>
      <c r="AB322"/>
      <c r="AC322"/>
    </row>
    <row r="323" spans="25:29" x14ac:dyDescent="0.3">
      <c r="Y323"/>
      <c r="Z323"/>
      <c r="AA323" s="110"/>
      <c r="AB323"/>
      <c r="AC323"/>
    </row>
    <row r="324" spans="25:29" x14ac:dyDescent="0.3">
      <c r="Y324"/>
      <c r="Z324"/>
      <c r="AA324" s="110"/>
      <c r="AB324"/>
      <c r="AC324"/>
    </row>
    <row r="325" spans="25:29" x14ac:dyDescent="0.3">
      <c r="Y325"/>
      <c r="Z325"/>
      <c r="AA325" s="110"/>
      <c r="AB325"/>
      <c r="AC325"/>
    </row>
    <row r="326" spans="25:29" x14ac:dyDescent="0.3">
      <c r="Y326"/>
      <c r="Z326"/>
      <c r="AA326" s="110"/>
      <c r="AB326"/>
      <c r="AC326"/>
    </row>
    <row r="327" spans="25:29" x14ac:dyDescent="0.3">
      <c r="Y327"/>
      <c r="Z327"/>
      <c r="AA327" s="110"/>
      <c r="AB327"/>
      <c r="AC327"/>
    </row>
    <row r="328" spans="25:29" x14ac:dyDescent="0.3">
      <c r="Y328"/>
      <c r="Z328"/>
      <c r="AA328" s="110"/>
      <c r="AB328"/>
      <c r="AC328"/>
    </row>
    <row r="329" spans="25:29" x14ac:dyDescent="0.3">
      <c r="Y329"/>
      <c r="Z329"/>
      <c r="AA329" s="110"/>
      <c r="AB329"/>
      <c r="AC329"/>
    </row>
    <row r="330" spans="25:29" x14ac:dyDescent="0.3">
      <c r="Y330"/>
      <c r="Z330"/>
      <c r="AA330" s="110"/>
      <c r="AB330"/>
      <c r="AC330"/>
    </row>
    <row r="331" spans="25:29" x14ac:dyDescent="0.3">
      <c r="Y331"/>
      <c r="Z331"/>
      <c r="AA331" s="110"/>
      <c r="AB331"/>
      <c r="AC331"/>
    </row>
    <row r="332" spans="25:29" x14ac:dyDescent="0.3">
      <c r="Y332"/>
      <c r="Z332"/>
      <c r="AA332" s="110"/>
      <c r="AB332"/>
      <c r="AC332"/>
    </row>
    <row r="333" spans="25:29" x14ac:dyDescent="0.3">
      <c r="Y333"/>
      <c r="Z333"/>
      <c r="AA333" s="110"/>
      <c r="AB333"/>
      <c r="AC333"/>
    </row>
    <row r="334" spans="25:29" x14ac:dyDescent="0.3">
      <c r="Y334"/>
      <c r="Z334"/>
      <c r="AA334" s="110"/>
      <c r="AB334"/>
      <c r="AC334"/>
    </row>
    <row r="335" spans="25:29" x14ac:dyDescent="0.3">
      <c r="Y335"/>
      <c r="Z335"/>
      <c r="AA335" s="110"/>
      <c r="AB335"/>
      <c r="AC335"/>
    </row>
    <row r="336" spans="25:29" x14ac:dyDescent="0.3">
      <c r="Y336"/>
      <c r="Z336"/>
      <c r="AA336" s="110"/>
      <c r="AB336"/>
      <c r="AC336"/>
    </row>
    <row r="337" spans="25:29" x14ac:dyDescent="0.3">
      <c r="Y337"/>
      <c r="Z337"/>
      <c r="AA337" s="110"/>
      <c r="AB337"/>
      <c r="AC337"/>
    </row>
    <row r="338" spans="25:29" x14ac:dyDescent="0.3">
      <c r="Y338"/>
      <c r="Z338"/>
      <c r="AA338" s="110"/>
      <c r="AB338"/>
      <c r="AC338"/>
    </row>
    <row r="339" spans="25:29" x14ac:dyDescent="0.3">
      <c r="Y339"/>
      <c r="Z339"/>
      <c r="AA339" s="110"/>
      <c r="AB339"/>
      <c r="AC339"/>
    </row>
    <row r="340" spans="25:29" x14ac:dyDescent="0.3">
      <c r="Y340"/>
      <c r="Z340"/>
      <c r="AA340" s="110"/>
      <c r="AB340"/>
      <c r="AC340"/>
    </row>
    <row r="341" spans="25:29" x14ac:dyDescent="0.3">
      <c r="Y341"/>
      <c r="Z341"/>
      <c r="AA341" s="110"/>
      <c r="AB341"/>
      <c r="AC341"/>
    </row>
    <row r="342" spans="25:29" x14ac:dyDescent="0.3">
      <c r="Y342"/>
      <c r="Z342"/>
      <c r="AA342" s="110"/>
      <c r="AB342"/>
      <c r="AC342"/>
    </row>
    <row r="343" spans="25:29" x14ac:dyDescent="0.3">
      <c r="Y343"/>
      <c r="Z343"/>
      <c r="AA343" s="110"/>
      <c r="AB343"/>
      <c r="AC343"/>
    </row>
    <row r="344" spans="25:29" x14ac:dyDescent="0.3">
      <c r="Y344"/>
      <c r="Z344"/>
      <c r="AA344" s="110"/>
      <c r="AB344"/>
      <c r="AC344"/>
    </row>
    <row r="345" spans="25:29" x14ac:dyDescent="0.3">
      <c r="Y345"/>
      <c r="Z345"/>
      <c r="AA345" s="110"/>
      <c r="AB345"/>
      <c r="AC345"/>
    </row>
    <row r="346" spans="25:29" x14ac:dyDescent="0.3">
      <c r="Y346"/>
      <c r="Z346"/>
      <c r="AA346" s="110"/>
      <c r="AB346"/>
      <c r="AC346"/>
    </row>
    <row r="347" spans="25:29" x14ac:dyDescent="0.3">
      <c r="Y347"/>
      <c r="Z347"/>
      <c r="AA347" s="110"/>
      <c r="AB347"/>
      <c r="AC347"/>
    </row>
    <row r="348" spans="25:29" x14ac:dyDescent="0.3">
      <c r="Y348"/>
      <c r="Z348"/>
      <c r="AA348" s="110"/>
      <c r="AB348"/>
      <c r="AC348"/>
    </row>
    <row r="349" spans="25:29" x14ac:dyDescent="0.3">
      <c r="Y349"/>
      <c r="Z349"/>
      <c r="AA349" s="110"/>
      <c r="AB349"/>
      <c r="AC349"/>
    </row>
    <row r="350" spans="25:29" x14ac:dyDescent="0.3">
      <c r="Y350"/>
      <c r="Z350"/>
      <c r="AA350" s="110"/>
      <c r="AB350"/>
      <c r="AC350"/>
    </row>
    <row r="351" spans="25:29" x14ac:dyDescent="0.3">
      <c r="Y351"/>
      <c r="Z351"/>
      <c r="AA351" s="110"/>
      <c r="AB351"/>
      <c r="AC351"/>
    </row>
    <row r="352" spans="25:29" x14ac:dyDescent="0.3">
      <c r="Y352"/>
      <c r="Z352"/>
      <c r="AA352" s="110"/>
      <c r="AB352"/>
      <c r="AC352"/>
    </row>
    <row r="353" spans="25:29" x14ac:dyDescent="0.3">
      <c r="Y353"/>
      <c r="Z353"/>
      <c r="AA353" s="110"/>
      <c r="AB353"/>
      <c r="AC353"/>
    </row>
    <row r="354" spans="25:29" x14ac:dyDescent="0.3">
      <c r="Y354"/>
      <c r="Z354"/>
      <c r="AA354" s="110"/>
      <c r="AB354"/>
      <c r="AC354"/>
    </row>
    <row r="355" spans="25:29" x14ac:dyDescent="0.3">
      <c r="Y355"/>
      <c r="Z355"/>
      <c r="AA355" s="110"/>
      <c r="AB355"/>
      <c r="AC355"/>
    </row>
    <row r="356" spans="25:29" x14ac:dyDescent="0.3">
      <c r="Y356"/>
      <c r="Z356"/>
      <c r="AA356" s="110"/>
      <c r="AB356"/>
      <c r="AC356"/>
    </row>
    <row r="357" spans="25:29" x14ac:dyDescent="0.3">
      <c r="Y357"/>
      <c r="Z357"/>
      <c r="AA357" s="110"/>
      <c r="AB357"/>
      <c r="AC357"/>
    </row>
    <row r="358" spans="25:29" x14ac:dyDescent="0.3">
      <c r="Y358"/>
      <c r="Z358"/>
      <c r="AA358" s="110"/>
      <c r="AB358"/>
      <c r="AC358"/>
    </row>
    <row r="359" spans="25:29" x14ac:dyDescent="0.3">
      <c r="Y359"/>
      <c r="Z359"/>
      <c r="AA359" s="110"/>
      <c r="AB359"/>
      <c r="AC359"/>
    </row>
    <row r="360" spans="25:29" x14ac:dyDescent="0.3">
      <c r="Y360"/>
      <c r="Z360"/>
      <c r="AA360" s="110"/>
      <c r="AB360"/>
      <c r="AC360"/>
    </row>
    <row r="361" spans="25:29" x14ac:dyDescent="0.3">
      <c r="Y361"/>
      <c r="Z361"/>
      <c r="AA361" s="110"/>
      <c r="AB361"/>
      <c r="AC361"/>
    </row>
    <row r="362" spans="25:29" x14ac:dyDescent="0.3">
      <c r="Y362"/>
      <c r="Z362"/>
      <c r="AA362" s="110"/>
      <c r="AB362"/>
      <c r="AC362"/>
    </row>
    <row r="363" spans="25:29" x14ac:dyDescent="0.3">
      <c r="Y363"/>
      <c r="Z363"/>
      <c r="AA363" s="110"/>
      <c r="AB363"/>
      <c r="AC363"/>
    </row>
    <row r="364" spans="25:29" x14ac:dyDescent="0.3">
      <c r="Y364"/>
      <c r="Z364"/>
      <c r="AA364" s="110"/>
      <c r="AB364"/>
      <c r="AC364"/>
    </row>
    <row r="365" spans="25:29" x14ac:dyDescent="0.3">
      <c r="Y365"/>
      <c r="Z365"/>
      <c r="AA365" s="110"/>
      <c r="AB365"/>
      <c r="AC365"/>
    </row>
    <row r="366" spans="25:29" x14ac:dyDescent="0.3">
      <c r="Y366"/>
      <c r="Z366"/>
      <c r="AA366" s="110"/>
      <c r="AB366"/>
      <c r="AC366"/>
    </row>
    <row r="367" spans="25:29" x14ac:dyDescent="0.3">
      <c r="Y367"/>
      <c r="Z367"/>
      <c r="AA367" s="110"/>
      <c r="AB367"/>
      <c r="AC367"/>
    </row>
    <row r="368" spans="25:29" x14ac:dyDescent="0.3">
      <c r="Y368"/>
      <c r="Z368"/>
      <c r="AA368" s="110"/>
      <c r="AB368"/>
      <c r="AC368"/>
    </row>
    <row r="369" spans="25:29" x14ac:dyDescent="0.3">
      <c r="Y369"/>
      <c r="Z369"/>
      <c r="AA369" s="110"/>
      <c r="AB369"/>
      <c r="AC369"/>
    </row>
    <row r="370" spans="25:29" x14ac:dyDescent="0.3">
      <c r="Y370"/>
      <c r="Z370"/>
      <c r="AA370" s="110"/>
      <c r="AB370"/>
      <c r="AC370"/>
    </row>
    <row r="371" spans="25:29" x14ac:dyDescent="0.3">
      <c r="Y371"/>
      <c r="Z371"/>
      <c r="AA371" s="110"/>
      <c r="AB371"/>
      <c r="AC371"/>
    </row>
    <row r="372" spans="25:29" x14ac:dyDescent="0.3">
      <c r="Y372"/>
      <c r="Z372"/>
      <c r="AA372" s="110"/>
      <c r="AB372"/>
      <c r="AC372"/>
    </row>
    <row r="373" spans="25:29" x14ac:dyDescent="0.3">
      <c r="Y373"/>
      <c r="Z373"/>
      <c r="AA373" s="110"/>
      <c r="AB373"/>
      <c r="AC373"/>
    </row>
    <row r="374" spans="25:29" x14ac:dyDescent="0.3">
      <c r="Y374"/>
      <c r="Z374"/>
      <c r="AA374" s="110"/>
      <c r="AB374"/>
      <c r="AC374"/>
    </row>
    <row r="375" spans="25:29" x14ac:dyDescent="0.3">
      <c r="Y375"/>
      <c r="Z375"/>
      <c r="AA375" s="110"/>
      <c r="AB375"/>
      <c r="AC375"/>
    </row>
    <row r="376" spans="25:29" x14ac:dyDescent="0.3">
      <c r="Y376"/>
      <c r="Z376"/>
      <c r="AA376" s="110"/>
      <c r="AB376"/>
      <c r="AC376"/>
    </row>
    <row r="377" spans="25:29" x14ac:dyDescent="0.3">
      <c r="Y377"/>
      <c r="Z377"/>
      <c r="AA377" s="110"/>
      <c r="AB377"/>
      <c r="AC377"/>
    </row>
    <row r="378" spans="25:29" x14ac:dyDescent="0.3">
      <c r="Y378"/>
      <c r="Z378"/>
      <c r="AA378" s="110"/>
      <c r="AB378"/>
      <c r="AC378"/>
    </row>
    <row r="379" spans="25:29" x14ac:dyDescent="0.3">
      <c r="Y379"/>
      <c r="Z379"/>
      <c r="AA379" s="110"/>
      <c r="AB379"/>
      <c r="AC379"/>
    </row>
    <row r="380" spans="25:29" x14ac:dyDescent="0.3">
      <c r="Y380"/>
      <c r="Z380"/>
      <c r="AA380" s="110"/>
      <c r="AB380"/>
      <c r="AC380"/>
    </row>
    <row r="381" spans="25:29" x14ac:dyDescent="0.3">
      <c r="Y381"/>
      <c r="Z381"/>
      <c r="AA381" s="110"/>
      <c r="AB381"/>
      <c r="AC381"/>
    </row>
    <row r="382" spans="25:29" x14ac:dyDescent="0.3">
      <c r="Y382"/>
      <c r="Z382"/>
      <c r="AA382" s="110"/>
      <c r="AB382"/>
      <c r="AC382"/>
    </row>
    <row r="383" spans="25:29" x14ac:dyDescent="0.3">
      <c r="Y383"/>
      <c r="Z383"/>
      <c r="AA383" s="110"/>
      <c r="AB383"/>
      <c r="AC383"/>
    </row>
    <row r="384" spans="25:29" x14ac:dyDescent="0.3">
      <c r="Y384"/>
      <c r="Z384"/>
      <c r="AA384" s="110"/>
      <c r="AB384"/>
      <c r="AC384"/>
    </row>
    <row r="385" spans="25:29" x14ac:dyDescent="0.3">
      <c r="Y385"/>
      <c r="Z385"/>
      <c r="AA385" s="110"/>
      <c r="AB385"/>
      <c r="AC385"/>
    </row>
    <row r="386" spans="25:29" x14ac:dyDescent="0.3">
      <c r="Y386"/>
      <c r="Z386"/>
      <c r="AA386" s="110"/>
      <c r="AB386"/>
      <c r="AC386"/>
    </row>
    <row r="387" spans="25:29" x14ac:dyDescent="0.3">
      <c r="Y387"/>
      <c r="Z387"/>
      <c r="AA387" s="110"/>
      <c r="AB387"/>
      <c r="AC387"/>
    </row>
    <row r="388" spans="25:29" x14ac:dyDescent="0.3">
      <c r="Y388"/>
      <c r="Z388"/>
      <c r="AA388" s="110"/>
      <c r="AB388"/>
      <c r="AC388"/>
    </row>
    <row r="389" spans="25:29" x14ac:dyDescent="0.3">
      <c r="Y389"/>
      <c r="Z389"/>
      <c r="AA389" s="110"/>
      <c r="AB389"/>
      <c r="AC389"/>
    </row>
    <row r="390" spans="25:29" x14ac:dyDescent="0.3">
      <c r="Y390"/>
      <c r="Z390"/>
      <c r="AA390" s="110"/>
      <c r="AB390"/>
      <c r="AC390"/>
    </row>
    <row r="391" spans="25:29" x14ac:dyDescent="0.3">
      <c r="Y391"/>
      <c r="Z391"/>
      <c r="AA391" s="110"/>
      <c r="AB391"/>
      <c r="AC391"/>
    </row>
    <row r="392" spans="25:29" x14ac:dyDescent="0.3">
      <c r="Y392"/>
      <c r="Z392"/>
      <c r="AA392" s="110"/>
      <c r="AB392"/>
      <c r="AC392"/>
    </row>
    <row r="393" spans="25:29" x14ac:dyDescent="0.3">
      <c r="Y393"/>
      <c r="Z393"/>
      <c r="AA393" s="110"/>
      <c r="AB393"/>
      <c r="AC393"/>
    </row>
    <row r="394" spans="25:29" x14ac:dyDescent="0.3">
      <c r="Y394"/>
      <c r="Z394"/>
      <c r="AA394" s="110"/>
      <c r="AB394"/>
      <c r="AC394"/>
    </row>
    <row r="395" spans="25:29" x14ac:dyDescent="0.3">
      <c r="Y395"/>
      <c r="Z395"/>
      <c r="AA395" s="110"/>
      <c r="AB395"/>
      <c r="AC395"/>
    </row>
    <row r="396" spans="25:29" x14ac:dyDescent="0.3">
      <c r="Y396"/>
      <c r="Z396"/>
      <c r="AA396" s="110"/>
      <c r="AB396"/>
      <c r="AC396"/>
    </row>
    <row r="397" spans="25:29" x14ac:dyDescent="0.3">
      <c r="Y397"/>
      <c r="Z397"/>
      <c r="AA397" s="110"/>
      <c r="AB397"/>
      <c r="AC397"/>
    </row>
    <row r="398" spans="25:29" x14ac:dyDescent="0.3">
      <c r="Y398"/>
      <c r="Z398"/>
      <c r="AA398" s="110"/>
      <c r="AB398"/>
      <c r="AC398"/>
    </row>
    <row r="399" spans="25:29" x14ac:dyDescent="0.3">
      <c r="Y399"/>
      <c r="Z399"/>
      <c r="AA399" s="110"/>
      <c r="AB399"/>
      <c r="AC399"/>
    </row>
    <row r="400" spans="25:29" x14ac:dyDescent="0.3">
      <c r="Y400"/>
      <c r="Z400"/>
      <c r="AA400" s="110"/>
      <c r="AB400"/>
      <c r="AC400"/>
    </row>
    <row r="401" spans="25:29" x14ac:dyDescent="0.3">
      <c r="Y401"/>
      <c r="Z401"/>
      <c r="AA401" s="110"/>
      <c r="AB401"/>
      <c r="AC401"/>
    </row>
    <row r="402" spans="25:29" x14ac:dyDescent="0.3">
      <c r="Y402"/>
      <c r="Z402"/>
      <c r="AA402" s="110"/>
      <c r="AB402"/>
      <c r="AC402"/>
    </row>
    <row r="403" spans="25:29" x14ac:dyDescent="0.3">
      <c r="Y403"/>
      <c r="Z403"/>
      <c r="AA403" s="110"/>
      <c r="AB403"/>
      <c r="AC403"/>
    </row>
    <row r="404" spans="25:29" x14ac:dyDescent="0.3">
      <c r="Y404"/>
      <c r="Z404"/>
      <c r="AA404" s="110"/>
      <c r="AB404"/>
      <c r="AC404"/>
    </row>
    <row r="405" spans="25:29" x14ac:dyDescent="0.3">
      <c r="Y405"/>
      <c r="Z405"/>
      <c r="AA405" s="110"/>
      <c r="AB405"/>
      <c r="AC405"/>
    </row>
    <row r="406" spans="25:29" x14ac:dyDescent="0.3">
      <c r="Y406"/>
      <c r="Z406"/>
      <c r="AA406" s="110"/>
      <c r="AB406"/>
      <c r="AC406"/>
    </row>
    <row r="407" spans="25:29" x14ac:dyDescent="0.3">
      <c r="Y407"/>
      <c r="Z407"/>
      <c r="AA407" s="110"/>
      <c r="AB407"/>
      <c r="AC407"/>
    </row>
    <row r="408" spans="25:29" x14ac:dyDescent="0.3">
      <c r="Y408"/>
      <c r="Z408"/>
      <c r="AA408" s="110"/>
      <c r="AB408"/>
      <c r="AC408"/>
    </row>
    <row r="409" spans="25:29" x14ac:dyDescent="0.3">
      <c r="Y409"/>
      <c r="Z409"/>
      <c r="AA409" s="110"/>
      <c r="AB409"/>
      <c r="AC409"/>
    </row>
    <row r="410" spans="25:29" x14ac:dyDescent="0.3">
      <c r="Y410"/>
      <c r="Z410"/>
      <c r="AA410" s="110"/>
      <c r="AB410"/>
      <c r="AC410"/>
    </row>
    <row r="411" spans="25:29" x14ac:dyDescent="0.3">
      <c r="Y411"/>
      <c r="Z411"/>
      <c r="AA411" s="110"/>
      <c r="AB411"/>
      <c r="AC411"/>
    </row>
    <row r="412" spans="25:29" x14ac:dyDescent="0.3">
      <c r="Y412"/>
      <c r="Z412"/>
      <c r="AA412" s="110"/>
      <c r="AB412"/>
      <c r="AC412"/>
    </row>
    <row r="413" spans="25:29" x14ac:dyDescent="0.3">
      <c r="Y413"/>
      <c r="Z413"/>
      <c r="AA413" s="110"/>
      <c r="AB413"/>
      <c r="AC413"/>
    </row>
    <row r="414" spans="25:29" x14ac:dyDescent="0.3">
      <c r="Y414"/>
      <c r="Z414"/>
      <c r="AA414" s="110"/>
      <c r="AB414"/>
      <c r="AC414"/>
    </row>
    <row r="415" spans="25:29" x14ac:dyDescent="0.3">
      <c r="Y415"/>
      <c r="Z415"/>
      <c r="AA415" s="110"/>
      <c r="AB415"/>
      <c r="AC415"/>
    </row>
    <row r="416" spans="25:29" x14ac:dyDescent="0.3">
      <c r="Y416"/>
      <c r="Z416"/>
      <c r="AA416" s="110"/>
      <c r="AB416"/>
      <c r="AC416"/>
    </row>
    <row r="417" spans="25:29" x14ac:dyDescent="0.3">
      <c r="Y417"/>
      <c r="Z417"/>
      <c r="AA417" s="110"/>
      <c r="AB417"/>
      <c r="AC417"/>
    </row>
    <row r="418" spans="25:29" x14ac:dyDescent="0.3">
      <c r="Y418"/>
      <c r="Z418"/>
      <c r="AA418" s="110"/>
      <c r="AB418"/>
      <c r="AC418"/>
    </row>
    <row r="419" spans="25:29" x14ac:dyDescent="0.3">
      <c r="Y419"/>
      <c r="Z419"/>
      <c r="AA419" s="110"/>
      <c r="AB419"/>
      <c r="AC419"/>
    </row>
    <row r="420" spans="25:29" x14ac:dyDescent="0.3">
      <c r="Y420"/>
      <c r="Z420"/>
      <c r="AA420" s="110"/>
      <c r="AB420"/>
      <c r="AC420"/>
    </row>
    <row r="421" spans="25:29" x14ac:dyDescent="0.3">
      <c r="Y421"/>
      <c r="Z421"/>
      <c r="AA421" s="110"/>
      <c r="AB421"/>
      <c r="AC421"/>
    </row>
    <row r="422" spans="25:29" x14ac:dyDescent="0.3">
      <c r="Y422"/>
      <c r="Z422"/>
      <c r="AA422" s="110"/>
      <c r="AB422"/>
      <c r="AC422"/>
    </row>
    <row r="423" spans="25:29" x14ac:dyDescent="0.3">
      <c r="Y423"/>
      <c r="Z423"/>
      <c r="AA423" s="110"/>
      <c r="AB423"/>
      <c r="AC423"/>
    </row>
    <row r="424" spans="25:29" x14ac:dyDescent="0.3">
      <c r="Y424"/>
      <c r="Z424"/>
      <c r="AA424" s="110"/>
      <c r="AB424"/>
      <c r="AC424"/>
    </row>
    <row r="425" spans="25:29" x14ac:dyDescent="0.3">
      <c r="Y425"/>
      <c r="Z425"/>
      <c r="AA425" s="110"/>
      <c r="AB425"/>
      <c r="AC425"/>
    </row>
    <row r="426" spans="25:29" x14ac:dyDescent="0.3">
      <c r="Y426"/>
      <c r="Z426"/>
      <c r="AA426" s="110"/>
      <c r="AB426"/>
      <c r="AC426"/>
    </row>
    <row r="427" spans="25:29" x14ac:dyDescent="0.3">
      <c r="Y427"/>
      <c r="Z427"/>
      <c r="AA427" s="110"/>
      <c r="AB427"/>
      <c r="AC427"/>
    </row>
    <row r="428" spans="25:29" x14ac:dyDescent="0.3">
      <c r="Y428"/>
      <c r="Z428"/>
      <c r="AA428" s="110"/>
      <c r="AB428"/>
      <c r="AC428"/>
    </row>
    <row r="429" spans="25:29" x14ac:dyDescent="0.3">
      <c r="Y429"/>
      <c r="Z429"/>
      <c r="AA429" s="110"/>
      <c r="AB429"/>
      <c r="AC429"/>
    </row>
    <row r="430" spans="25:29" x14ac:dyDescent="0.3">
      <c r="Y430"/>
      <c r="Z430"/>
      <c r="AA430" s="110"/>
      <c r="AB430"/>
      <c r="AC430"/>
    </row>
    <row r="431" spans="25:29" x14ac:dyDescent="0.3">
      <c r="Y431"/>
      <c r="Z431"/>
      <c r="AA431" s="110"/>
      <c r="AB431"/>
      <c r="AC431"/>
    </row>
    <row r="432" spans="25:29" x14ac:dyDescent="0.3">
      <c r="Y432"/>
      <c r="Z432"/>
      <c r="AA432" s="110"/>
      <c r="AB432"/>
      <c r="AC432"/>
    </row>
    <row r="433" spans="25:29" x14ac:dyDescent="0.3">
      <c r="Y433"/>
      <c r="Z433"/>
      <c r="AA433" s="110"/>
      <c r="AB433"/>
      <c r="AC433"/>
    </row>
    <row r="434" spans="25:29" x14ac:dyDescent="0.3">
      <c r="Y434"/>
      <c r="Z434"/>
      <c r="AA434" s="110"/>
      <c r="AB434"/>
      <c r="AC434"/>
    </row>
    <row r="435" spans="25:29" x14ac:dyDescent="0.3">
      <c r="Y435"/>
      <c r="Z435"/>
      <c r="AA435" s="110"/>
      <c r="AB435"/>
      <c r="AC435"/>
    </row>
    <row r="436" spans="25:29" x14ac:dyDescent="0.3">
      <c r="Y436"/>
      <c r="Z436"/>
      <c r="AA436" s="110"/>
      <c r="AB436"/>
      <c r="AC436"/>
    </row>
    <row r="437" spans="25:29" x14ac:dyDescent="0.3">
      <c r="Y437"/>
      <c r="Z437"/>
      <c r="AA437" s="110"/>
      <c r="AB437"/>
      <c r="AC437"/>
    </row>
    <row r="438" spans="25:29" x14ac:dyDescent="0.3">
      <c r="Y438"/>
      <c r="Z438"/>
      <c r="AA438" s="110"/>
      <c r="AB438"/>
      <c r="AC438"/>
    </row>
    <row r="439" spans="25:29" x14ac:dyDescent="0.3">
      <c r="Y439"/>
      <c r="Z439"/>
      <c r="AA439" s="110"/>
      <c r="AB439"/>
      <c r="AC439"/>
    </row>
    <row r="440" spans="25:29" x14ac:dyDescent="0.3">
      <c r="Y440"/>
      <c r="Z440"/>
      <c r="AA440" s="110"/>
      <c r="AB440"/>
      <c r="AC440"/>
    </row>
    <row r="441" spans="25:29" x14ac:dyDescent="0.3">
      <c r="Y441"/>
      <c r="Z441"/>
      <c r="AA441" s="110"/>
      <c r="AB441"/>
      <c r="AC441"/>
    </row>
    <row r="442" spans="25:29" x14ac:dyDescent="0.3">
      <c r="Y442"/>
      <c r="Z442"/>
      <c r="AA442" s="110"/>
      <c r="AB442"/>
      <c r="AC442"/>
    </row>
    <row r="443" spans="25:29" x14ac:dyDescent="0.3">
      <c r="Y443"/>
      <c r="Z443"/>
      <c r="AA443" s="110"/>
      <c r="AB443"/>
      <c r="AC443"/>
    </row>
    <row r="444" spans="25:29" x14ac:dyDescent="0.3">
      <c r="Y444"/>
      <c r="Z444"/>
      <c r="AA444" s="110"/>
      <c r="AB444"/>
      <c r="AC444"/>
    </row>
    <row r="445" spans="25:29" x14ac:dyDescent="0.3">
      <c r="Y445"/>
      <c r="Z445"/>
      <c r="AA445" s="110"/>
      <c r="AB445"/>
      <c r="AC445"/>
    </row>
    <row r="446" spans="25:29" x14ac:dyDescent="0.3">
      <c r="Y446"/>
      <c r="Z446"/>
      <c r="AA446" s="110"/>
      <c r="AB446"/>
      <c r="AC446"/>
    </row>
    <row r="447" spans="25:29" x14ac:dyDescent="0.3">
      <c r="Y447"/>
      <c r="Z447"/>
      <c r="AA447" s="110"/>
      <c r="AB447"/>
      <c r="AC447"/>
    </row>
    <row r="448" spans="25:29" x14ac:dyDescent="0.3">
      <c r="Y448"/>
      <c r="Z448"/>
      <c r="AA448" s="110"/>
      <c r="AB448"/>
      <c r="AC448"/>
    </row>
    <row r="449" spans="25:29" x14ac:dyDescent="0.3">
      <c r="Y449"/>
      <c r="Z449"/>
      <c r="AA449" s="110"/>
      <c r="AB449"/>
      <c r="AC449"/>
    </row>
    <row r="450" spans="25:29" x14ac:dyDescent="0.3">
      <c r="Y450"/>
      <c r="Z450"/>
      <c r="AA450" s="110"/>
      <c r="AB450"/>
      <c r="AC450"/>
    </row>
    <row r="451" spans="25:29" x14ac:dyDescent="0.3">
      <c r="Y451"/>
      <c r="Z451"/>
      <c r="AA451" s="110"/>
      <c r="AB451"/>
      <c r="AC451"/>
    </row>
    <row r="452" spans="25:29" x14ac:dyDescent="0.3">
      <c r="Y452"/>
      <c r="Z452"/>
      <c r="AA452" s="110"/>
      <c r="AB452"/>
      <c r="AC452"/>
    </row>
    <row r="453" spans="25:29" x14ac:dyDescent="0.3">
      <c r="Y453"/>
      <c r="Z453"/>
      <c r="AA453" s="110"/>
      <c r="AB453"/>
      <c r="AC453"/>
    </row>
    <row r="454" spans="25:29" x14ac:dyDescent="0.3">
      <c r="Y454"/>
      <c r="Z454"/>
      <c r="AA454" s="110"/>
      <c r="AB454"/>
      <c r="AC454"/>
    </row>
    <row r="455" spans="25:29" x14ac:dyDescent="0.3">
      <c r="Y455"/>
      <c r="Z455"/>
      <c r="AA455" s="110"/>
      <c r="AB455"/>
      <c r="AC455"/>
    </row>
    <row r="456" spans="25:29" x14ac:dyDescent="0.3">
      <c r="Y456"/>
      <c r="Z456"/>
      <c r="AA456" s="110"/>
      <c r="AB456"/>
      <c r="AC456"/>
    </row>
    <row r="457" spans="25:29" x14ac:dyDescent="0.3">
      <c r="Y457"/>
      <c r="Z457"/>
      <c r="AA457" s="110"/>
      <c r="AB457"/>
      <c r="AC457"/>
    </row>
    <row r="458" spans="25:29" x14ac:dyDescent="0.3">
      <c r="Y458"/>
      <c r="Z458"/>
      <c r="AA458" s="110"/>
      <c r="AB458"/>
      <c r="AC458"/>
    </row>
    <row r="459" spans="25:29" x14ac:dyDescent="0.3">
      <c r="Y459"/>
      <c r="Z459"/>
      <c r="AA459" s="110"/>
      <c r="AB459"/>
      <c r="AC459"/>
    </row>
    <row r="460" spans="25:29" x14ac:dyDescent="0.3">
      <c r="Y460"/>
      <c r="Z460"/>
      <c r="AA460" s="110"/>
      <c r="AB460"/>
      <c r="AC460"/>
    </row>
    <row r="461" spans="25:29" x14ac:dyDescent="0.3">
      <c r="Y461"/>
      <c r="Z461"/>
      <c r="AA461" s="110"/>
      <c r="AB461"/>
      <c r="AC461"/>
    </row>
    <row r="462" spans="25:29" x14ac:dyDescent="0.3">
      <c r="Y462"/>
      <c r="Z462"/>
      <c r="AA462" s="110"/>
      <c r="AB462"/>
      <c r="AC462"/>
    </row>
    <row r="463" spans="25:29" x14ac:dyDescent="0.3">
      <c r="Y463"/>
      <c r="Z463"/>
      <c r="AA463" s="110"/>
      <c r="AB463"/>
      <c r="AC463"/>
    </row>
    <row r="464" spans="25:29" x14ac:dyDescent="0.3">
      <c r="Y464"/>
      <c r="Z464"/>
      <c r="AA464" s="110"/>
      <c r="AB464"/>
      <c r="AC464"/>
    </row>
    <row r="465" spans="25:29" x14ac:dyDescent="0.3">
      <c r="Y465"/>
      <c r="Z465"/>
      <c r="AA465" s="110"/>
      <c r="AB465"/>
      <c r="AC465"/>
    </row>
    <row r="466" spans="25:29" x14ac:dyDescent="0.3">
      <c r="Y466"/>
      <c r="Z466"/>
      <c r="AA466" s="110"/>
      <c r="AB466"/>
      <c r="AC466"/>
    </row>
    <row r="467" spans="25:29" x14ac:dyDescent="0.3">
      <c r="Y467"/>
      <c r="Z467"/>
      <c r="AA467" s="110"/>
      <c r="AB467"/>
      <c r="AC467"/>
    </row>
    <row r="468" spans="25:29" x14ac:dyDescent="0.3">
      <c r="Y468"/>
      <c r="Z468"/>
      <c r="AA468" s="110"/>
      <c r="AB468"/>
      <c r="AC468"/>
    </row>
    <row r="469" spans="25:29" x14ac:dyDescent="0.3">
      <c r="Y469"/>
      <c r="Z469"/>
      <c r="AA469" s="110"/>
      <c r="AB469"/>
      <c r="AC469"/>
    </row>
    <row r="470" spans="25:29" x14ac:dyDescent="0.3">
      <c r="Y470"/>
      <c r="Z470"/>
      <c r="AA470" s="110"/>
      <c r="AB470"/>
      <c r="AC470"/>
    </row>
    <row r="471" spans="25:29" x14ac:dyDescent="0.3">
      <c r="Y471"/>
      <c r="Z471"/>
      <c r="AA471" s="110"/>
      <c r="AB471"/>
      <c r="AC471"/>
    </row>
    <row r="472" spans="25:29" x14ac:dyDescent="0.3">
      <c r="Y472"/>
      <c r="Z472"/>
      <c r="AA472" s="110"/>
      <c r="AB472"/>
      <c r="AC472"/>
    </row>
    <row r="473" spans="25:29" x14ac:dyDescent="0.3">
      <c r="Y473"/>
      <c r="Z473"/>
      <c r="AA473" s="110"/>
      <c r="AB473"/>
      <c r="AC473"/>
    </row>
    <row r="474" spans="25:29" x14ac:dyDescent="0.3">
      <c r="Y474"/>
      <c r="Z474"/>
      <c r="AA474" s="110"/>
      <c r="AB474"/>
      <c r="AC474"/>
    </row>
    <row r="475" spans="25:29" x14ac:dyDescent="0.3">
      <c r="Y475"/>
      <c r="Z475"/>
      <c r="AA475" s="110"/>
      <c r="AB475"/>
      <c r="AC475"/>
    </row>
    <row r="476" spans="25:29" x14ac:dyDescent="0.3">
      <c r="Y476"/>
      <c r="Z476"/>
      <c r="AA476" s="110"/>
      <c r="AB476"/>
      <c r="AC476"/>
    </row>
    <row r="477" spans="25:29" x14ac:dyDescent="0.3">
      <c r="Y477"/>
      <c r="Z477"/>
      <c r="AA477" s="110"/>
      <c r="AB477"/>
      <c r="AC477"/>
    </row>
    <row r="478" spans="25:29" x14ac:dyDescent="0.3">
      <c r="Y478"/>
      <c r="Z478"/>
      <c r="AA478" s="110"/>
      <c r="AB478"/>
      <c r="AC478"/>
    </row>
    <row r="479" spans="25:29" x14ac:dyDescent="0.3">
      <c r="Y479"/>
      <c r="Z479"/>
      <c r="AA479" s="110"/>
      <c r="AB479"/>
      <c r="AC479"/>
    </row>
    <row r="480" spans="25:29" x14ac:dyDescent="0.3">
      <c r="Y480"/>
      <c r="Z480"/>
      <c r="AA480" s="110"/>
      <c r="AB480"/>
      <c r="AC480"/>
    </row>
    <row r="481" spans="25:29" x14ac:dyDescent="0.3">
      <c r="Y481"/>
      <c r="Z481"/>
      <c r="AA481" s="110"/>
      <c r="AB481"/>
      <c r="AC481"/>
    </row>
    <row r="482" spans="25:29" x14ac:dyDescent="0.3">
      <c r="Y482"/>
      <c r="Z482"/>
      <c r="AA482" s="110"/>
      <c r="AB482"/>
      <c r="AC482"/>
    </row>
    <row r="483" spans="25:29" x14ac:dyDescent="0.3">
      <c r="Y483"/>
      <c r="Z483"/>
      <c r="AA483" s="110"/>
      <c r="AB483"/>
      <c r="AC483"/>
    </row>
    <row r="484" spans="25:29" x14ac:dyDescent="0.3">
      <c r="Y484"/>
      <c r="Z484"/>
      <c r="AA484" s="110"/>
      <c r="AB484"/>
      <c r="AC484"/>
    </row>
    <row r="485" spans="25:29" x14ac:dyDescent="0.3">
      <c r="Y485"/>
      <c r="Z485"/>
      <c r="AA485" s="110"/>
      <c r="AB485"/>
      <c r="AC485"/>
    </row>
    <row r="486" spans="25:29" x14ac:dyDescent="0.3">
      <c r="Y486"/>
      <c r="Z486"/>
      <c r="AA486" s="110"/>
      <c r="AB486"/>
      <c r="AC486"/>
    </row>
    <row r="487" spans="25:29" x14ac:dyDescent="0.3">
      <c r="Y487"/>
      <c r="Z487"/>
      <c r="AA487" s="110"/>
      <c r="AB487"/>
      <c r="AC487"/>
    </row>
    <row r="488" spans="25:29" x14ac:dyDescent="0.3">
      <c r="Y488"/>
      <c r="Z488"/>
      <c r="AA488" s="110"/>
      <c r="AB488"/>
      <c r="AC488"/>
    </row>
    <row r="489" spans="25:29" x14ac:dyDescent="0.3">
      <c r="Y489"/>
      <c r="Z489"/>
      <c r="AA489" s="110"/>
      <c r="AB489"/>
      <c r="AC489"/>
    </row>
    <row r="490" spans="25:29" x14ac:dyDescent="0.3">
      <c r="Y490"/>
      <c r="Z490"/>
      <c r="AA490" s="110"/>
      <c r="AB490"/>
      <c r="AC490"/>
    </row>
    <row r="491" spans="25:29" x14ac:dyDescent="0.3">
      <c r="Y491"/>
      <c r="Z491"/>
      <c r="AA491" s="110"/>
      <c r="AB491"/>
      <c r="AC491"/>
    </row>
    <row r="492" spans="25:29" x14ac:dyDescent="0.3">
      <c r="Y492"/>
      <c r="Z492"/>
      <c r="AA492" s="110"/>
      <c r="AB492"/>
      <c r="AC492"/>
    </row>
    <row r="493" spans="25:29" x14ac:dyDescent="0.3">
      <c r="Y493"/>
      <c r="Z493"/>
      <c r="AA493" s="110"/>
      <c r="AB493"/>
      <c r="AC493"/>
    </row>
    <row r="494" spans="25:29" x14ac:dyDescent="0.3">
      <c r="Y494"/>
      <c r="Z494"/>
      <c r="AA494" s="110"/>
      <c r="AB494"/>
      <c r="AC494"/>
    </row>
    <row r="495" spans="25:29" x14ac:dyDescent="0.3">
      <c r="Y495"/>
      <c r="Z495"/>
      <c r="AA495" s="110"/>
      <c r="AB495"/>
      <c r="AC495"/>
    </row>
    <row r="496" spans="25:29" x14ac:dyDescent="0.3">
      <c r="Y496"/>
      <c r="Z496"/>
      <c r="AA496" s="110"/>
      <c r="AB496"/>
      <c r="AC496"/>
    </row>
    <row r="497" spans="25:29" x14ac:dyDescent="0.3">
      <c r="Y497"/>
      <c r="Z497"/>
      <c r="AA497" s="110"/>
      <c r="AB497"/>
      <c r="AC497"/>
    </row>
    <row r="498" spans="25:29" x14ac:dyDescent="0.3">
      <c r="Y498"/>
      <c r="Z498"/>
      <c r="AA498" s="110"/>
      <c r="AB498"/>
      <c r="AC498"/>
    </row>
    <row r="499" spans="25:29" x14ac:dyDescent="0.3">
      <c r="Y499"/>
      <c r="Z499"/>
      <c r="AA499" s="110"/>
      <c r="AB499"/>
      <c r="AC499"/>
    </row>
    <row r="500" spans="25:29" x14ac:dyDescent="0.3">
      <c r="Y500"/>
      <c r="Z500"/>
      <c r="AA500" s="110"/>
      <c r="AB500"/>
      <c r="AC500"/>
    </row>
    <row r="501" spans="25:29" x14ac:dyDescent="0.3">
      <c r="Y501"/>
      <c r="Z501"/>
      <c r="AA501" s="110"/>
      <c r="AB501"/>
      <c r="AC501"/>
    </row>
    <row r="502" spans="25:29" x14ac:dyDescent="0.3">
      <c r="Y502"/>
      <c r="Z502"/>
      <c r="AA502" s="110"/>
      <c r="AB502"/>
      <c r="AC502"/>
    </row>
    <row r="503" spans="25:29" x14ac:dyDescent="0.3">
      <c r="Y503"/>
      <c r="Z503"/>
      <c r="AA503" s="110"/>
      <c r="AB503"/>
      <c r="AC503"/>
    </row>
    <row r="504" spans="25:29" x14ac:dyDescent="0.3">
      <c r="Y504"/>
      <c r="Z504"/>
      <c r="AA504" s="110"/>
      <c r="AB504"/>
      <c r="AC504"/>
    </row>
    <row r="505" spans="25:29" x14ac:dyDescent="0.3">
      <c r="Y505"/>
      <c r="Z505"/>
      <c r="AA505" s="110"/>
      <c r="AB505"/>
      <c r="AC505"/>
    </row>
    <row r="506" spans="25:29" x14ac:dyDescent="0.3">
      <c r="Y506"/>
      <c r="Z506"/>
      <c r="AA506" s="110"/>
      <c r="AB506"/>
      <c r="AC506"/>
    </row>
    <row r="507" spans="25:29" x14ac:dyDescent="0.3">
      <c r="Y507"/>
      <c r="Z507"/>
      <c r="AA507" s="110"/>
      <c r="AB507"/>
      <c r="AC507"/>
    </row>
    <row r="508" spans="25:29" x14ac:dyDescent="0.3">
      <c r="Y508"/>
      <c r="Z508"/>
      <c r="AA508" s="110"/>
      <c r="AB508"/>
      <c r="AC508"/>
    </row>
    <row r="509" spans="25:29" x14ac:dyDescent="0.3">
      <c r="Y509"/>
      <c r="Z509"/>
      <c r="AA509" s="110"/>
      <c r="AB509"/>
      <c r="AC509"/>
    </row>
    <row r="510" spans="25:29" x14ac:dyDescent="0.3">
      <c r="Y510"/>
      <c r="Z510"/>
      <c r="AA510" s="110"/>
      <c r="AB510"/>
      <c r="AC510"/>
    </row>
    <row r="511" spans="25:29" x14ac:dyDescent="0.3">
      <c r="Y511"/>
      <c r="Z511"/>
      <c r="AA511" s="110"/>
      <c r="AB511"/>
      <c r="AC511"/>
    </row>
    <row r="512" spans="25:29" x14ac:dyDescent="0.3">
      <c r="Y512"/>
      <c r="Z512"/>
      <c r="AA512" s="110"/>
      <c r="AB512"/>
      <c r="AC512"/>
    </row>
    <row r="513" spans="25:29" x14ac:dyDescent="0.3">
      <c r="Y513"/>
      <c r="Z513"/>
      <c r="AA513" s="110"/>
      <c r="AB513"/>
      <c r="AC513"/>
    </row>
    <row r="514" spans="25:29" x14ac:dyDescent="0.3">
      <c r="Y514"/>
      <c r="Z514"/>
      <c r="AA514" s="110"/>
      <c r="AB514"/>
      <c r="AC514"/>
    </row>
    <row r="515" spans="25:29" x14ac:dyDescent="0.3">
      <c r="Y515"/>
      <c r="Z515"/>
      <c r="AA515" s="110"/>
      <c r="AB515"/>
      <c r="AC515"/>
    </row>
    <row r="516" spans="25:29" x14ac:dyDescent="0.3">
      <c r="Y516"/>
      <c r="Z516"/>
      <c r="AA516" s="110"/>
      <c r="AB516"/>
      <c r="AC516"/>
    </row>
    <row r="517" spans="25:29" x14ac:dyDescent="0.3">
      <c r="Y517"/>
      <c r="Z517"/>
      <c r="AA517" s="110"/>
      <c r="AB517"/>
      <c r="AC517"/>
    </row>
    <row r="518" spans="25:29" x14ac:dyDescent="0.3">
      <c r="Y518"/>
      <c r="Z518"/>
      <c r="AA518" s="110"/>
      <c r="AB518"/>
      <c r="AC518"/>
    </row>
    <row r="519" spans="25:29" x14ac:dyDescent="0.3">
      <c r="Y519"/>
      <c r="Z519"/>
      <c r="AA519" s="110"/>
      <c r="AB519"/>
      <c r="AC519"/>
    </row>
    <row r="520" spans="25:29" x14ac:dyDescent="0.3">
      <c r="Y520"/>
      <c r="Z520"/>
      <c r="AA520" s="110"/>
      <c r="AB520"/>
      <c r="AC520"/>
    </row>
    <row r="521" spans="25:29" x14ac:dyDescent="0.3">
      <c r="Y521"/>
      <c r="Z521"/>
      <c r="AA521" s="110"/>
      <c r="AB521"/>
      <c r="AC521"/>
    </row>
    <row r="522" spans="25:29" x14ac:dyDescent="0.3">
      <c r="Y522"/>
      <c r="Z522"/>
      <c r="AA522" s="110"/>
      <c r="AB522"/>
      <c r="AC522"/>
    </row>
    <row r="523" spans="25:29" x14ac:dyDescent="0.3">
      <c r="Y523"/>
      <c r="Z523"/>
      <c r="AA523" s="110"/>
      <c r="AB523"/>
      <c r="AC523"/>
    </row>
    <row r="524" spans="25:29" x14ac:dyDescent="0.3">
      <c r="Y524"/>
      <c r="Z524"/>
      <c r="AA524" s="110"/>
      <c r="AB524"/>
      <c r="AC524"/>
    </row>
    <row r="525" spans="25:29" x14ac:dyDescent="0.3">
      <c r="Y525"/>
      <c r="Z525"/>
      <c r="AA525" s="110"/>
      <c r="AB525"/>
      <c r="AC525"/>
    </row>
    <row r="526" spans="25:29" x14ac:dyDescent="0.3">
      <c r="Y526"/>
      <c r="Z526"/>
      <c r="AA526" s="110"/>
      <c r="AB526"/>
      <c r="AC526"/>
    </row>
    <row r="527" spans="25:29" x14ac:dyDescent="0.3">
      <c r="Y527"/>
      <c r="Z527"/>
      <c r="AA527" s="110"/>
      <c r="AB527"/>
      <c r="AC527"/>
    </row>
    <row r="528" spans="25:29" x14ac:dyDescent="0.3">
      <c r="Y528"/>
      <c r="Z528"/>
      <c r="AA528" s="110"/>
      <c r="AB528"/>
      <c r="AC528"/>
    </row>
    <row r="529" spans="25:29" x14ac:dyDescent="0.3">
      <c r="Y529"/>
      <c r="Z529"/>
      <c r="AA529" s="110"/>
      <c r="AB529"/>
      <c r="AC529"/>
    </row>
    <row r="530" spans="25:29" x14ac:dyDescent="0.3">
      <c r="Y530"/>
      <c r="Z530"/>
      <c r="AA530" s="110"/>
      <c r="AB530"/>
      <c r="AC530"/>
    </row>
    <row r="531" spans="25:29" x14ac:dyDescent="0.3">
      <c r="Y531"/>
      <c r="Z531"/>
      <c r="AA531" s="110"/>
      <c r="AB531"/>
      <c r="AC531"/>
    </row>
    <row r="532" spans="25:29" x14ac:dyDescent="0.3">
      <c r="Y532"/>
      <c r="Z532"/>
      <c r="AA532" s="110"/>
      <c r="AB532"/>
      <c r="AC532"/>
    </row>
    <row r="533" spans="25:29" x14ac:dyDescent="0.3">
      <c r="Y533"/>
      <c r="Z533"/>
      <c r="AA533" s="110"/>
      <c r="AB533"/>
      <c r="AC533"/>
    </row>
    <row r="534" spans="25:29" x14ac:dyDescent="0.3">
      <c r="Y534"/>
      <c r="Z534"/>
      <c r="AA534" s="110"/>
      <c r="AB534"/>
      <c r="AC534"/>
    </row>
    <row r="535" spans="25:29" x14ac:dyDescent="0.3">
      <c r="Y535"/>
      <c r="Z535"/>
      <c r="AA535" s="110"/>
      <c r="AB535"/>
      <c r="AC535"/>
    </row>
    <row r="536" spans="25:29" x14ac:dyDescent="0.3">
      <c r="Y536"/>
      <c r="Z536"/>
      <c r="AA536" s="110"/>
      <c r="AB536"/>
      <c r="AC536"/>
    </row>
    <row r="537" spans="25:29" x14ac:dyDescent="0.3">
      <c r="Y537"/>
      <c r="Z537"/>
      <c r="AA537" s="110"/>
      <c r="AB537"/>
      <c r="AC537"/>
    </row>
    <row r="538" spans="25:29" x14ac:dyDescent="0.3">
      <c r="Y538"/>
      <c r="Z538"/>
      <c r="AA538" s="110"/>
      <c r="AB538"/>
      <c r="AC538"/>
    </row>
    <row r="539" spans="25:29" x14ac:dyDescent="0.3">
      <c r="Y539"/>
      <c r="Z539"/>
      <c r="AA539" s="110"/>
      <c r="AB539"/>
      <c r="AC539"/>
    </row>
    <row r="540" spans="25:29" x14ac:dyDescent="0.3">
      <c r="Y540"/>
      <c r="Z540"/>
      <c r="AA540" s="110"/>
      <c r="AB540"/>
      <c r="AC540"/>
    </row>
    <row r="541" spans="25:29" x14ac:dyDescent="0.3">
      <c r="Y541"/>
      <c r="Z541"/>
      <c r="AA541" s="110"/>
      <c r="AB541"/>
      <c r="AC541"/>
    </row>
    <row r="542" spans="25:29" x14ac:dyDescent="0.3">
      <c r="Y542"/>
      <c r="Z542"/>
      <c r="AA542" s="110"/>
      <c r="AB542"/>
      <c r="AC542"/>
    </row>
    <row r="543" spans="25:29" x14ac:dyDescent="0.3">
      <c r="Y543"/>
      <c r="Z543"/>
      <c r="AA543" s="110"/>
      <c r="AB543"/>
      <c r="AC543"/>
    </row>
    <row r="544" spans="25:29" x14ac:dyDescent="0.3">
      <c r="Y544"/>
      <c r="Z544"/>
      <c r="AA544" s="110"/>
      <c r="AB544"/>
      <c r="AC544"/>
    </row>
    <row r="545" spans="25:29" x14ac:dyDescent="0.3">
      <c r="Y545"/>
      <c r="Z545"/>
      <c r="AA545" s="110"/>
      <c r="AB545"/>
      <c r="AC545"/>
    </row>
    <row r="546" spans="25:29" x14ac:dyDescent="0.3">
      <c r="Y546"/>
      <c r="Z546"/>
      <c r="AA546" s="110"/>
      <c r="AB546"/>
      <c r="AC546"/>
    </row>
    <row r="547" spans="25:29" x14ac:dyDescent="0.3">
      <c r="Y547"/>
      <c r="Z547"/>
      <c r="AA547" s="110"/>
      <c r="AB547"/>
      <c r="AC547"/>
    </row>
    <row r="548" spans="25:29" x14ac:dyDescent="0.3">
      <c r="Y548"/>
      <c r="Z548"/>
      <c r="AA548" s="110"/>
      <c r="AB548"/>
      <c r="AC548"/>
    </row>
    <row r="549" spans="25:29" x14ac:dyDescent="0.3">
      <c r="Y549"/>
      <c r="Z549"/>
      <c r="AA549" s="110"/>
      <c r="AB549"/>
      <c r="AC549"/>
    </row>
    <row r="550" spans="25:29" x14ac:dyDescent="0.3">
      <c r="Y550"/>
      <c r="Z550"/>
      <c r="AA550" s="110"/>
      <c r="AB550"/>
      <c r="AC550"/>
    </row>
    <row r="551" spans="25:29" x14ac:dyDescent="0.3">
      <c r="Y551"/>
      <c r="Z551"/>
      <c r="AA551" s="110"/>
      <c r="AB551"/>
      <c r="AC551"/>
    </row>
    <row r="552" spans="25:29" x14ac:dyDescent="0.3">
      <c r="Y552"/>
      <c r="Z552"/>
      <c r="AA552" s="110"/>
      <c r="AB552"/>
      <c r="AC552"/>
    </row>
    <row r="553" spans="25:29" x14ac:dyDescent="0.3">
      <c r="Y553"/>
      <c r="Z553"/>
      <c r="AA553" s="110"/>
      <c r="AB553"/>
      <c r="AC553"/>
    </row>
    <row r="554" spans="25:29" x14ac:dyDescent="0.3">
      <c r="Y554"/>
      <c r="Z554"/>
      <c r="AA554" s="110"/>
      <c r="AB554"/>
      <c r="AC554"/>
    </row>
    <row r="555" spans="25:29" x14ac:dyDescent="0.3">
      <c r="Y555"/>
      <c r="Z555"/>
      <c r="AA555" s="110"/>
      <c r="AB555"/>
      <c r="AC555"/>
    </row>
    <row r="556" spans="25:29" x14ac:dyDescent="0.3">
      <c r="Y556"/>
      <c r="Z556"/>
      <c r="AA556" s="110"/>
      <c r="AB556"/>
      <c r="AC556"/>
    </row>
    <row r="557" spans="25:29" x14ac:dyDescent="0.3">
      <c r="Y557"/>
      <c r="Z557"/>
      <c r="AA557" s="110"/>
      <c r="AB557"/>
      <c r="AC557"/>
    </row>
    <row r="558" spans="25:29" x14ac:dyDescent="0.3">
      <c r="Y558"/>
      <c r="Z558"/>
      <c r="AA558" s="110"/>
      <c r="AB558"/>
      <c r="AC558"/>
    </row>
    <row r="559" spans="25:29" x14ac:dyDescent="0.3">
      <c r="Y559"/>
      <c r="Z559"/>
      <c r="AA559" s="110"/>
      <c r="AB559"/>
      <c r="AC559"/>
    </row>
    <row r="560" spans="25:29" x14ac:dyDescent="0.3">
      <c r="Y560"/>
      <c r="Z560"/>
      <c r="AA560" s="110"/>
      <c r="AB560"/>
      <c r="AC560"/>
    </row>
    <row r="561" spans="25:29" x14ac:dyDescent="0.3">
      <c r="Y561"/>
      <c r="Z561"/>
      <c r="AA561" s="110"/>
      <c r="AB561"/>
      <c r="AC561"/>
    </row>
    <row r="562" spans="25:29" x14ac:dyDescent="0.3">
      <c r="Y562"/>
      <c r="Z562"/>
      <c r="AA562" s="110"/>
      <c r="AB562"/>
      <c r="AC562"/>
    </row>
    <row r="563" spans="25:29" x14ac:dyDescent="0.3">
      <c r="Y563"/>
      <c r="Z563"/>
      <c r="AA563" s="110"/>
      <c r="AB563"/>
      <c r="AC563"/>
    </row>
    <row r="564" spans="25:29" x14ac:dyDescent="0.3">
      <c r="Y564"/>
      <c r="Z564"/>
      <c r="AA564" s="110"/>
      <c r="AB564"/>
      <c r="AC564"/>
    </row>
    <row r="565" spans="25:29" x14ac:dyDescent="0.3">
      <c r="Y565"/>
      <c r="Z565"/>
      <c r="AA565" s="110"/>
      <c r="AB565"/>
      <c r="AC565"/>
    </row>
    <row r="566" spans="25:29" x14ac:dyDescent="0.3">
      <c r="Y566"/>
      <c r="Z566"/>
      <c r="AA566" s="110"/>
      <c r="AB566"/>
      <c r="AC566"/>
    </row>
    <row r="567" spans="25:29" x14ac:dyDescent="0.3">
      <c r="Y567"/>
      <c r="Z567"/>
      <c r="AA567" s="110"/>
      <c r="AB567"/>
      <c r="AC567"/>
    </row>
    <row r="568" spans="25:29" x14ac:dyDescent="0.3">
      <c r="Y568"/>
      <c r="Z568"/>
      <c r="AA568" s="110"/>
      <c r="AB568"/>
      <c r="AC568"/>
    </row>
    <row r="569" spans="25:29" x14ac:dyDescent="0.3">
      <c r="Y569"/>
      <c r="Z569"/>
      <c r="AA569" s="110"/>
      <c r="AB569"/>
      <c r="AC569"/>
    </row>
    <row r="570" spans="25:29" x14ac:dyDescent="0.3">
      <c r="Y570"/>
      <c r="Z570"/>
      <c r="AA570" s="110"/>
      <c r="AB570"/>
      <c r="AC570"/>
    </row>
    <row r="571" spans="25:29" x14ac:dyDescent="0.3">
      <c r="Y571"/>
      <c r="Z571"/>
      <c r="AA571" s="110"/>
      <c r="AB571"/>
      <c r="AC571"/>
    </row>
    <row r="572" spans="25:29" x14ac:dyDescent="0.3">
      <c r="Y572"/>
      <c r="Z572"/>
      <c r="AA572" s="110"/>
      <c r="AB572"/>
      <c r="AC572"/>
    </row>
    <row r="573" spans="25:29" x14ac:dyDescent="0.3">
      <c r="Y573"/>
      <c r="Z573"/>
      <c r="AA573" s="110"/>
      <c r="AB573"/>
      <c r="AC573"/>
    </row>
    <row r="574" spans="25:29" x14ac:dyDescent="0.3">
      <c r="Y574"/>
      <c r="Z574"/>
      <c r="AA574" s="110"/>
      <c r="AB574"/>
      <c r="AC574"/>
    </row>
    <row r="575" spans="25:29" x14ac:dyDescent="0.3">
      <c r="Y575"/>
      <c r="Z575"/>
      <c r="AA575" s="110"/>
      <c r="AB575"/>
      <c r="AC575"/>
    </row>
    <row r="576" spans="25:29" x14ac:dyDescent="0.3">
      <c r="Y576"/>
      <c r="Z576"/>
      <c r="AA576" s="110"/>
      <c r="AB576"/>
      <c r="AC576"/>
    </row>
    <row r="577" spans="25:29" x14ac:dyDescent="0.3">
      <c r="Y577"/>
      <c r="Z577"/>
      <c r="AA577" s="110"/>
      <c r="AB577"/>
      <c r="AC577"/>
    </row>
    <row r="578" spans="25:29" x14ac:dyDescent="0.3">
      <c r="Y578"/>
      <c r="Z578"/>
      <c r="AA578" s="110"/>
      <c r="AB578"/>
      <c r="AC578"/>
    </row>
    <row r="579" spans="25:29" x14ac:dyDescent="0.3">
      <c r="Y579"/>
      <c r="Z579"/>
      <c r="AA579" s="110"/>
      <c r="AB579"/>
      <c r="AC579"/>
    </row>
    <row r="580" spans="25:29" x14ac:dyDescent="0.3">
      <c r="Y580"/>
      <c r="Z580"/>
      <c r="AA580" s="110"/>
      <c r="AB580"/>
      <c r="AC580"/>
    </row>
    <row r="581" spans="25:29" x14ac:dyDescent="0.3">
      <c r="Y581"/>
      <c r="Z581"/>
      <c r="AA581" s="110"/>
      <c r="AB581"/>
      <c r="AC581"/>
    </row>
    <row r="582" spans="25:29" x14ac:dyDescent="0.3">
      <c r="Y582"/>
      <c r="Z582"/>
      <c r="AA582" s="110"/>
      <c r="AB582"/>
      <c r="AC582"/>
    </row>
    <row r="583" spans="25:29" x14ac:dyDescent="0.3">
      <c r="Y583"/>
      <c r="Z583"/>
      <c r="AA583" s="110"/>
      <c r="AB583"/>
      <c r="AC583"/>
    </row>
    <row r="584" spans="25:29" x14ac:dyDescent="0.3">
      <c r="Y584"/>
      <c r="Z584"/>
      <c r="AA584" s="110"/>
      <c r="AB584"/>
      <c r="AC584"/>
    </row>
    <row r="585" spans="25:29" x14ac:dyDescent="0.3">
      <c r="Y585"/>
      <c r="Z585"/>
      <c r="AA585" s="110"/>
      <c r="AB585"/>
      <c r="AC585"/>
    </row>
    <row r="586" spans="25:29" x14ac:dyDescent="0.3">
      <c r="Y586"/>
      <c r="Z586"/>
      <c r="AA586" s="110"/>
      <c r="AB586"/>
      <c r="AC586"/>
    </row>
    <row r="587" spans="25:29" x14ac:dyDescent="0.3">
      <c r="Y587"/>
      <c r="Z587"/>
      <c r="AA587" s="110"/>
      <c r="AB587"/>
      <c r="AC587"/>
    </row>
    <row r="588" spans="25:29" x14ac:dyDescent="0.3">
      <c r="Y588"/>
      <c r="Z588"/>
      <c r="AA588" s="110"/>
      <c r="AB588"/>
      <c r="AC588"/>
    </row>
    <row r="589" spans="25:29" x14ac:dyDescent="0.3">
      <c r="Y589"/>
      <c r="Z589"/>
      <c r="AA589" s="110"/>
      <c r="AB589"/>
      <c r="AC589"/>
    </row>
    <row r="590" spans="25:29" x14ac:dyDescent="0.3">
      <c r="Y590"/>
      <c r="Z590"/>
      <c r="AA590" s="110"/>
      <c r="AB590"/>
      <c r="AC590"/>
    </row>
    <row r="591" spans="25:29" x14ac:dyDescent="0.3">
      <c r="Y591"/>
      <c r="Z591"/>
      <c r="AA591" s="110"/>
      <c r="AB591"/>
      <c r="AC591"/>
    </row>
    <row r="592" spans="25:29" x14ac:dyDescent="0.3">
      <c r="Y592"/>
      <c r="Z592"/>
      <c r="AA592" s="110"/>
      <c r="AB592"/>
      <c r="AC592"/>
    </row>
    <row r="593" spans="25:29" x14ac:dyDescent="0.3">
      <c r="Y593"/>
      <c r="Z593"/>
      <c r="AA593" s="110"/>
      <c r="AB593"/>
      <c r="AC593"/>
    </row>
    <row r="594" spans="25:29" x14ac:dyDescent="0.3">
      <c r="Y594"/>
      <c r="Z594"/>
      <c r="AA594" s="110"/>
      <c r="AB594"/>
      <c r="AC594"/>
    </row>
    <row r="595" spans="25:29" x14ac:dyDescent="0.3">
      <c r="Y595"/>
      <c r="Z595"/>
      <c r="AA595" s="110"/>
      <c r="AB595"/>
      <c r="AC595"/>
    </row>
    <row r="596" spans="25:29" x14ac:dyDescent="0.3">
      <c r="Y596"/>
      <c r="Z596"/>
      <c r="AA596" s="110"/>
      <c r="AB596"/>
      <c r="AC596"/>
    </row>
    <row r="597" spans="25:29" x14ac:dyDescent="0.3">
      <c r="Y597"/>
      <c r="Z597"/>
      <c r="AA597" s="110"/>
      <c r="AB597"/>
      <c r="AC597"/>
    </row>
    <row r="598" spans="25:29" x14ac:dyDescent="0.3">
      <c r="Y598"/>
      <c r="Z598"/>
      <c r="AA598" s="110"/>
      <c r="AB598"/>
      <c r="AC598"/>
    </row>
    <row r="599" spans="25:29" x14ac:dyDescent="0.3">
      <c r="Y599"/>
      <c r="Z599"/>
      <c r="AA599" s="110"/>
      <c r="AB599"/>
      <c r="AC599"/>
    </row>
    <row r="600" spans="25:29" x14ac:dyDescent="0.3">
      <c r="Y600"/>
      <c r="Z600"/>
      <c r="AA600" s="110"/>
      <c r="AB600"/>
      <c r="AC600"/>
    </row>
    <row r="601" spans="25:29" x14ac:dyDescent="0.3">
      <c r="Y601"/>
      <c r="Z601"/>
      <c r="AA601" s="110"/>
      <c r="AB601"/>
      <c r="AC601"/>
    </row>
    <row r="602" spans="25:29" x14ac:dyDescent="0.3">
      <c r="Y602"/>
      <c r="Z602"/>
      <c r="AA602" s="110"/>
      <c r="AB602"/>
      <c r="AC602"/>
    </row>
    <row r="603" spans="25:29" x14ac:dyDescent="0.3">
      <c r="Y603"/>
      <c r="Z603"/>
      <c r="AA603" s="110"/>
      <c r="AB603"/>
      <c r="AC603"/>
    </row>
    <row r="604" spans="25:29" x14ac:dyDescent="0.3">
      <c r="Y604"/>
      <c r="Z604"/>
      <c r="AA604" s="110"/>
      <c r="AB604"/>
      <c r="AC604"/>
    </row>
    <row r="605" spans="25:29" x14ac:dyDescent="0.3">
      <c r="Y605"/>
      <c r="Z605"/>
      <c r="AA605" s="110"/>
      <c r="AB605"/>
      <c r="AC605"/>
    </row>
    <row r="606" spans="25:29" x14ac:dyDescent="0.3">
      <c r="Y606"/>
      <c r="Z606"/>
      <c r="AA606" s="110"/>
      <c r="AB606"/>
      <c r="AC606"/>
    </row>
    <row r="607" spans="25:29" x14ac:dyDescent="0.3">
      <c r="Y607"/>
      <c r="Z607"/>
      <c r="AA607" s="110"/>
      <c r="AB607"/>
      <c r="AC607"/>
    </row>
    <row r="608" spans="25:29" x14ac:dyDescent="0.3">
      <c r="Y608"/>
      <c r="Z608"/>
      <c r="AA608" s="110"/>
      <c r="AB608"/>
      <c r="AC608"/>
    </row>
    <row r="609" spans="25:29" x14ac:dyDescent="0.3">
      <c r="Y609"/>
      <c r="Z609"/>
      <c r="AA609" s="110"/>
      <c r="AB609"/>
      <c r="AC609"/>
    </row>
    <row r="610" spans="25:29" x14ac:dyDescent="0.3">
      <c r="Y610"/>
      <c r="Z610"/>
      <c r="AA610" s="110"/>
      <c r="AB610"/>
      <c r="AC610"/>
    </row>
    <row r="611" spans="25:29" x14ac:dyDescent="0.3">
      <c r="Y611"/>
      <c r="Z611"/>
      <c r="AA611" s="110"/>
      <c r="AB611"/>
      <c r="AC611"/>
    </row>
    <row r="612" spans="25:29" x14ac:dyDescent="0.3">
      <c r="Y612"/>
      <c r="Z612"/>
      <c r="AA612" s="110"/>
      <c r="AB612"/>
      <c r="AC612"/>
    </row>
    <row r="613" spans="25:29" x14ac:dyDescent="0.3">
      <c r="Y613"/>
      <c r="Z613"/>
      <c r="AA613" s="110"/>
      <c r="AB613"/>
      <c r="AC613"/>
    </row>
    <row r="614" spans="25:29" x14ac:dyDescent="0.3">
      <c r="Y614"/>
      <c r="Z614"/>
      <c r="AA614" s="110"/>
      <c r="AB614"/>
      <c r="AC614"/>
    </row>
    <row r="615" spans="25:29" x14ac:dyDescent="0.3">
      <c r="Y615"/>
      <c r="Z615"/>
      <c r="AA615" s="110"/>
      <c r="AB615"/>
      <c r="AC615"/>
    </row>
    <row r="616" spans="25:29" x14ac:dyDescent="0.3">
      <c r="Y616"/>
      <c r="Z616"/>
      <c r="AA616" s="110"/>
      <c r="AB616"/>
      <c r="AC616"/>
    </row>
    <row r="617" spans="25:29" x14ac:dyDescent="0.3">
      <c r="Y617"/>
      <c r="Z617"/>
      <c r="AA617" s="110"/>
      <c r="AB617"/>
      <c r="AC617"/>
    </row>
    <row r="618" spans="25:29" x14ac:dyDescent="0.3">
      <c r="Y618"/>
      <c r="Z618"/>
      <c r="AA618" s="110"/>
      <c r="AB618"/>
      <c r="AC618"/>
    </row>
    <row r="619" spans="25:29" x14ac:dyDescent="0.3">
      <c r="Y619"/>
      <c r="Z619"/>
      <c r="AA619" s="110"/>
      <c r="AB619"/>
      <c r="AC619"/>
    </row>
    <row r="620" spans="25:29" x14ac:dyDescent="0.3">
      <c r="Y620"/>
      <c r="Z620"/>
      <c r="AA620" s="110"/>
      <c r="AB620"/>
      <c r="AC620"/>
    </row>
    <row r="621" spans="25:29" x14ac:dyDescent="0.3">
      <c r="Y621"/>
      <c r="Z621"/>
      <c r="AA621" s="110"/>
      <c r="AB621"/>
      <c r="AC621"/>
    </row>
    <row r="622" spans="25:29" x14ac:dyDescent="0.3">
      <c r="Y622"/>
      <c r="Z622"/>
      <c r="AA622" s="110"/>
      <c r="AB622"/>
      <c r="AC622"/>
    </row>
    <row r="623" spans="25:29" x14ac:dyDescent="0.3">
      <c r="Y623"/>
      <c r="Z623"/>
      <c r="AA623" s="110"/>
      <c r="AB623"/>
      <c r="AC623"/>
    </row>
    <row r="624" spans="25:29" x14ac:dyDescent="0.3">
      <c r="Y624"/>
      <c r="Z624"/>
      <c r="AA624" s="110"/>
      <c r="AB624"/>
      <c r="AC624"/>
    </row>
    <row r="625" spans="25:29" x14ac:dyDescent="0.3">
      <c r="Y625"/>
      <c r="Z625"/>
      <c r="AA625" s="110"/>
      <c r="AB625"/>
      <c r="AC625"/>
    </row>
    <row r="626" spans="25:29" x14ac:dyDescent="0.3">
      <c r="Y626"/>
      <c r="Z626"/>
      <c r="AA626" s="110"/>
      <c r="AB626"/>
      <c r="AC626"/>
    </row>
    <row r="627" spans="25:29" x14ac:dyDescent="0.3">
      <c r="Y627"/>
      <c r="Z627"/>
      <c r="AA627" s="110"/>
      <c r="AB627"/>
      <c r="AC627"/>
    </row>
    <row r="628" spans="25:29" x14ac:dyDescent="0.3">
      <c r="Y628"/>
      <c r="Z628"/>
      <c r="AA628" s="110"/>
      <c r="AB628"/>
      <c r="AC628"/>
    </row>
    <row r="629" spans="25:29" x14ac:dyDescent="0.3">
      <c r="Y629"/>
      <c r="Z629"/>
      <c r="AA629" s="110"/>
      <c r="AB629"/>
      <c r="AC629"/>
    </row>
    <row r="630" spans="25:29" x14ac:dyDescent="0.3">
      <c r="Y630"/>
      <c r="Z630"/>
      <c r="AA630" s="110"/>
      <c r="AB630"/>
      <c r="AC630"/>
    </row>
    <row r="631" spans="25:29" x14ac:dyDescent="0.3">
      <c r="Y631"/>
      <c r="Z631"/>
      <c r="AA631" s="110"/>
      <c r="AB631"/>
      <c r="AC631"/>
    </row>
    <row r="632" spans="25:29" x14ac:dyDescent="0.3">
      <c r="Y632"/>
      <c r="Z632"/>
      <c r="AA632" s="110"/>
      <c r="AB632"/>
      <c r="AC632"/>
    </row>
    <row r="633" spans="25:29" x14ac:dyDescent="0.3">
      <c r="Y633"/>
      <c r="Z633"/>
      <c r="AA633" s="110"/>
      <c r="AB633"/>
      <c r="AC633"/>
    </row>
    <row r="634" spans="25:29" x14ac:dyDescent="0.3">
      <c r="Y634"/>
      <c r="Z634"/>
      <c r="AA634" s="110"/>
      <c r="AB634"/>
      <c r="AC634"/>
    </row>
    <row r="635" spans="25:29" x14ac:dyDescent="0.3">
      <c r="Y635"/>
      <c r="Z635"/>
      <c r="AA635" s="110"/>
      <c r="AB635"/>
      <c r="AC635"/>
    </row>
    <row r="636" spans="25:29" x14ac:dyDescent="0.3">
      <c r="Y636"/>
      <c r="Z636"/>
      <c r="AA636" s="110"/>
      <c r="AB636"/>
      <c r="AC636"/>
    </row>
    <row r="637" spans="25:29" x14ac:dyDescent="0.3">
      <c r="Y637"/>
      <c r="Z637"/>
      <c r="AA637" s="110"/>
      <c r="AB637"/>
      <c r="AC637"/>
    </row>
    <row r="638" spans="25:29" x14ac:dyDescent="0.3">
      <c r="Y638"/>
      <c r="Z638"/>
      <c r="AA638" s="110"/>
      <c r="AB638"/>
      <c r="AC638"/>
    </row>
    <row r="639" spans="25:29" x14ac:dyDescent="0.3">
      <c r="Y639"/>
      <c r="Z639"/>
      <c r="AA639" s="110"/>
      <c r="AB639"/>
      <c r="AC639"/>
    </row>
    <row r="640" spans="25:29" x14ac:dyDescent="0.3">
      <c r="Y640"/>
      <c r="Z640"/>
      <c r="AA640" s="110"/>
      <c r="AB640"/>
      <c r="AC640"/>
    </row>
    <row r="641" spans="25:29" x14ac:dyDescent="0.3">
      <c r="Y641"/>
      <c r="Z641"/>
      <c r="AA641" s="110"/>
      <c r="AB641"/>
      <c r="AC641"/>
    </row>
    <row r="642" spans="25:29" x14ac:dyDescent="0.3">
      <c r="Y642"/>
      <c r="Z642"/>
      <c r="AA642" s="110"/>
      <c r="AB642"/>
      <c r="AC642"/>
    </row>
    <row r="643" spans="25:29" x14ac:dyDescent="0.3">
      <c r="Y643"/>
      <c r="Z643"/>
      <c r="AA643" s="110"/>
      <c r="AB643"/>
      <c r="AC643"/>
    </row>
    <row r="644" spans="25:29" x14ac:dyDescent="0.3">
      <c r="Y644"/>
      <c r="Z644"/>
      <c r="AA644" s="110"/>
      <c r="AB644"/>
      <c r="AC644"/>
    </row>
    <row r="645" spans="25:29" x14ac:dyDescent="0.3">
      <c r="Y645"/>
      <c r="Z645"/>
      <c r="AA645" s="110"/>
      <c r="AB645"/>
      <c r="AC645"/>
    </row>
    <row r="646" spans="25:29" x14ac:dyDescent="0.3">
      <c r="Y646"/>
      <c r="Z646"/>
      <c r="AA646" s="110"/>
      <c r="AB646"/>
      <c r="AC646"/>
    </row>
    <row r="647" spans="25:29" x14ac:dyDescent="0.3">
      <c r="Y647"/>
      <c r="Z647"/>
      <c r="AA647" s="110"/>
      <c r="AB647"/>
      <c r="AC647"/>
    </row>
    <row r="648" spans="25:29" x14ac:dyDescent="0.3">
      <c r="Y648"/>
      <c r="Z648"/>
      <c r="AA648" s="110"/>
      <c r="AB648"/>
      <c r="AC648"/>
    </row>
    <row r="649" spans="25:29" x14ac:dyDescent="0.3">
      <c r="Y649"/>
      <c r="Z649"/>
      <c r="AA649" s="110"/>
      <c r="AB649"/>
      <c r="AC649"/>
    </row>
    <row r="650" spans="25:29" x14ac:dyDescent="0.3">
      <c r="Y650"/>
      <c r="Z650"/>
      <c r="AA650" s="110"/>
      <c r="AB650"/>
      <c r="AC650"/>
    </row>
    <row r="651" spans="25:29" x14ac:dyDescent="0.3">
      <c r="Y651"/>
      <c r="Z651"/>
      <c r="AA651" s="110"/>
      <c r="AB651"/>
      <c r="AC651"/>
    </row>
    <row r="652" spans="25:29" x14ac:dyDescent="0.3">
      <c r="Y652"/>
      <c r="Z652"/>
      <c r="AA652" s="110"/>
      <c r="AB652"/>
      <c r="AC652"/>
    </row>
    <row r="653" spans="25:29" x14ac:dyDescent="0.3">
      <c r="Y653"/>
      <c r="Z653"/>
      <c r="AA653" s="110"/>
      <c r="AB653"/>
      <c r="AC653"/>
    </row>
    <row r="654" spans="25:29" x14ac:dyDescent="0.3">
      <c r="Y654"/>
      <c r="Z654"/>
      <c r="AA654" s="110"/>
      <c r="AB654"/>
      <c r="AC654"/>
    </row>
    <row r="655" spans="25:29" x14ac:dyDescent="0.3">
      <c r="Y655"/>
      <c r="Z655"/>
      <c r="AA655" s="110"/>
      <c r="AB655"/>
      <c r="AC655"/>
    </row>
    <row r="656" spans="25:29" x14ac:dyDescent="0.3">
      <c r="Y656"/>
      <c r="Z656"/>
      <c r="AA656" s="110"/>
      <c r="AB656"/>
      <c r="AC656"/>
    </row>
    <row r="657" spans="25:29" x14ac:dyDescent="0.3">
      <c r="Y657"/>
      <c r="Z657"/>
      <c r="AA657" s="110"/>
      <c r="AB657"/>
      <c r="AC657"/>
    </row>
    <row r="658" spans="25:29" x14ac:dyDescent="0.3">
      <c r="Y658"/>
      <c r="Z658"/>
      <c r="AA658" s="110"/>
      <c r="AB658"/>
      <c r="AC658"/>
    </row>
    <row r="659" spans="25:29" x14ac:dyDescent="0.3">
      <c r="Y659"/>
      <c r="Z659"/>
      <c r="AA659" s="110"/>
      <c r="AB659"/>
      <c r="AC659"/>
    </row>
    <row r="660" spans="25:29" x14ac:dyDescent="0.3">
      <c r="Y660"/>
      <c r="Z660"/>
      <c r="AA660" s="110"/>
      <c r="AB660"/>
      <c r="AC660"/>
    </row>
    <row r="661" spans="25:29" x14ac:dyDescent="0.3">
      <c r="Y661"/>
      <c r="Z661"/>
      <c r="AA661" s="110"/>
      <c r="AB661"/>
      <c r="AC661"/>
    </row>
    <row r="662" spans="25:29" x14ac:dyDescent="0.3">
      <c r="Y662"/>
      <c r="Z662"/>
      <c r="AA662" s="110"/>
      <c r="AB662"/>
      <c r="AC662"/>
    </row>
    <row r="663" spans="25:29" x14ac:dyDescent="0.3">
      <c r="Y663"/>
      <c r="Z663"/>
      <c r="AA663" s="110"/>
      <c r="AB663"/>
      <c r="AC663"/>
    </row>
    <row r="664" spans="25:29" x14ac:dyDescent="0.3">
      <c r="Y664"/>
      <c r="Z664"/>
      <c r="AA664" s="110"/>
      <c r="AB664"/>
      <c r="AC664"/>
    </row>
    <row r="665" spans="25:29" x14ac:dyDescent="0.3">
      <c r="Y665"/>
      <c r="Z665"/>
      <c r="AA665" s="110"/>
      <c r="AB665"/>
      <c r="AC665"/>
    </row>
    <row r="666" spans="25:29" x14ac:dyDescent="0.3">
      <c r="Y666"/>
      <c r="Z666"/>
      <c r="AA666" s="110"/>
      <c r="AB666"/>
      <c r="AC666"/>
    </row>
    <row r="667" spans="25:29" x14ac:dyDescent="0.3">
      <c r="Y667"/>
      <c r="Z667"/>
      <c r="AA667" s="110"/>
      <c r="AB667"/>
      <c r="AC667"/>
    </row>
    <row r="668" spans="25:29" x14ac:dyDescent="0.3">
      <c r="Y668"/>
      <c r="Z668"/>
      <c r="AA668" s="110"/>
      <c r="AB668"/>
      <c r="AC668"/>
    </row>
    <row r="669" spans="25:29" x14ac:dyDescent="0.3">
      <c r="Y669"/>
      <c r="Z669"/>
      <c r="AA669" s="110"/>
      <c r="AB669"/>
      <c r="AC669"/>
    </row>
    <row r="670" spans="25:29" x14ac:dyDescent="0.3">
      <c r="Y670"/>
      <c r="Z670"/>
      <c r="AA670" s="110"/>
      <c r="AB670"/>
      <c r="AC670"/>
    </row>
    <row r="671" spans="25:29" x14ac:dyDescent="0.3">
      <c r="Y671"/>
      <c r="Z671"/>
      <c r="AA671" s="110"/>
      <c r="AB671"/>
      <c r="AC671"/>
    </row>
    <row r="672" spans="25:29" x14ac:dyDescent="0.3">
      <c r="Y672"/>
      <c r="Z672"/>
      <c r="AA672" s="110"/>
      <c r="AB672"/>
      <c r="AC672"/>
    </row>
    <row r="673" spans="25:29" x14ac:dyDescent="0.3">
      <c r="Y673"/>
      <c r="Z673"/>
      <c r="AA673" s="110"/>
      <c r="AB673"/>
      <c r="AC673"/>
    </row>
    <row r="674" spans="25:29" x14ac:dyDescent="0.3">
      <c r="Y674"/>
      <c r="Z674"/>
      <c r="AA674" s="110"/>
      <c r="AB674"/>
      <c r="AC674"/>
    </row>
    <row r="675" spans="25:29" x14ac:dyDescent="0.3">
      <c r="Y675"/>
      <c r="Z675"/>
      <c r="AA675" s="110"/>
      <c r="AB675"/>
      <c r="AC675"/>
    </row>
    <row r="676" spans="25:29" x14ac:dyDescent="0.3">
      <c r="Y676"/>
      <c r="Z676"/>
      <c r="AA676" s="110"/>
      <c r="AB676"/>
      <c r="AC676"/>
    </row>
    <row r="677" spans="25:29" x14ac:dyDescent="0.3">
      <c r="Y677"/>
      <c r="Z677"/>
      <c r="AA677" s="110"/>
      <c r="AB677"/>
      <c r="AC677"/>
    </row>
    <row r="678" spans="25:29" x14ac:dyDescent="0.3">
      <c r="Y678"/>
      <c r="Z678"/>
      <c r="AA678" s="110"/>
      <c r="AB678"/>
      <c r="AC678"/>
    </row>
    <row r="679" spans="25:29" x14ac:dyDescent="0.3">
      <c r="Y679"/>
      <c r="Z679"/>
      <c r="AA679" s="110"/>
      <c r="AB679"/>
      <c r="AC679"/>
    </row>
    <row r="680" spans="25:29" x14ac:dyDescent="0.3">
      <c r="Y680"/>
      <c r="Z680"/>
      <c r="AA680" s="110"/>
      <c r="AB680"/>
      <c r="AC680"/>
    </row>
    <row r="681" spans="25:29" x14ac:dyDescent="0.3">
      <c r="Y681"/>
      <c r="Z681"/>
      <c r="AA681" s="110"/>
      <c r="AB681"/>
      <c r="AC681"/>
    </row>
    <row r="682" spans="25:29" x14ac:dyDescent="0.3">
      <c r="Y682"/>
      <c r="Z682"/>
      <c r="AA682" s="110"/>
      <c r="AB682"/>
      <c r="AC682"/>
    </row>
    <row r="683" spans="25:29" x14ac:dyDescent="0.3">
      <c r="Y683"/>
      <c r="Z683"/>
      <c r="AA683" s="110"/>
      <c r="AB683"/>
      <c r="AC683"/>
    </row>
    <row r="684" spans="25:29" x14ac:dyDescent="0.3">
      <c r="Y684"/>
      <c r="Z684"/>
      <c r="AA684" s="110"/>
      <c r="AB684"/>
      <c r="AC684"/>
    </row>
    <row r="685" spans="25:29" x14ac:dyDescent="0.3">
      <c r="Y685"/>
      <c r="Z685"/>
      <c r="AA685" s="110"/>
      <c r="AB685"/>
      <c r="AC685"/>
    </row>
    <row r="686" spans="25:29" x14ac:dyDescent="0.3">
      <c r="Y686"/>
      <c r="Z686"/>
      <c r="AA686" s="110"/>
      <c r="AB686"/>
      <c r="AC686"/>
    </row>
    <row r="687" spans="25:29" x14ac:dyDescent="0.3">
      <c r="Y687"/>
      <c r="Z687"/>
      <c r="AA687" s="110"/>
      <c r="AB687"/>
      <c r="AC687"/>
    </row>
    <row r="688" spans="25:29" x14ac:dyDescent="0.3">
      <c r="Y688"/>
      <c r="Z688"/>
      <c r="AA688" s="110"/>
      <c r="AB688"/>
      <c r="AC688"/>
    </row>
    <row r="689" spans="25:29" x14ac:dyDescent="0.3">
      <c r="Y689"/>
      <c r="Z689"/>
      <c r="AA689" s="110"/>
      <c r="AB689"/>
      <c r="AC689"/>
    </row>
    <row r="690" spans="25:29" x14ac:dyDescent="0.3">
      <c r="Y690"/>
      <c r="Z690"/>
      <c r="AA690" s="110"/>
      <c r="AB690"/>
      <c r="AC690"/>
    </row>
    <row r="691" spans="25:29" x14ac:dyDescent="0.3">
      <c r="Y691"/>
      <c r="Z691"/>
      <c r="AA691" s="110"/>
      <c r="AB691"/>
      <c r="AC691"/>
    </row>
    <row r="692" spans="25:29" x14ac:dyDescent="0.3">
      <c r="Y692"/>
      <c r="Z692"/>
      <c r="AA692" s="110"/>
      <c r="AB692"/>
      <c r="AC692"/>
    </row>
    <row r="693" spans="25:29" x14ac:dyDescent="0.3">
      <c r="Y693"/>
      <c r="Z693"/>
      <c r="AA693" s="110"/>
      <c r="AB693"/>
      <c r="AC693"/>
    </row>
    <row r="694" spans="25:29" x14ac:dyDescent="0.3">
      <c r="Y694"/>
      <c r="Z694"/>
      <c r="AA694" s="110"/>
      <c r="AB694"/>
      <c r="AC694"/>
    </row>
    <row r="695" spans="25:29" x14ac:dyDescent="0.3">
      <c r="Y695"/>
      <c r="Z695"/>
      <c r="AA695" s="110"/>
      <c r="AB695"/>
      <c r="AC695"/>
    </row>
    <row r="696" spans="25:29" x14ac:dyDescent="0.3">
      <c r="Y696"/>
      <c r="Z696"/>
      <c r="AA696" s="110"/>
      <c r="AB696"/>
      <c r="AC696"/>
    </row>
    <row r="697" spans="25:29" x14ac:dyDescent="0.3">
      <c r="Y697"/>
      <c r="Z697"/>
      <c r="AA697" s="110"/>
      <c r="AB697"/>
      <c r="AC697"/>
    </row>
    <row r="698" spans="25:29" x14ac:dyDescent="0.3">
      <c r="Y698"/>
      <c r="Z698"/>
      <c r="AA698" s="110"/>
      <c r="AB698"/>
      <c r="AC698"/>
    </row>
    <row r="699" spans="25:29" x14ac:dyDescent="0.3">
      <c r="Y699"/>
      <c r="Z699"/>
      <c r="AA699" s="110"/>
      <c r="AB699"/>
      <c r="AC699"/>
    </row>
    <row r="700" spans="25:29" x14ac:dyDescent="0.3">
      <c r="Y700"/>
      <c r="Z700"/>
      <c r="AA700" s="110"/>
      <c r="AB700"/>
      <c r="AC700"/>
    </row>
    <row r="701" spans="25:29" x14ac:dyDescent="0.3">
      <c r="Y701"/>
      <c r="Z701"/>
      <c r="AA701" s="110"/>
      <c r="AB701"/>
      <c r="AC701"/>
    </row>
    <row r="702" spans="25:29" x14ac:dyDescent="0.3">
      <c r="Y702"/>
      <c r="Z702"/>
      <c r="AA702" s="110"/>
      <c r="AB702"/>
      <c r="AC702"/>
    </row>
    <row r="703" spans="25:29" x14ac:dyDescent="0.3">
      <c r="Y703"/>
      <c r="Z703"/>
      <c r="AA703" s="110"/>
      <c r="AB703"/>
      <c r="AC703"/>
    </row>
    <row r="704" spans="25:29" x14ac:dyDescent="0.3">
      <c r="Y704"/>
      <c r="Z704"/>
      <c r="AA704" s="110"/>
      <c r="AB704"/>
      <c r="AC704"/>
    </row>
    <row r="705" spans="25:29" x14ac:dyDescent="0.3">
      <c r="Y705"/>
      <c r="Z705"/>
      <c r="AA705" s="110"/>
      <c r="AB705"/>
      <c r="AC705"/>
    </row>
    <row r="706" spans="25:29" x14ac:dyDescent="0.3">
      <c r="Y706"/>
      <c r="Z706"/>
      <c r="AA706" s="110"/>
      <c r="AB706"/>
      <c r="AC706"/>
    </row>
    <row r="707" spans="25:29" x14ac:dyDescent="0.3">
      <c r="Y707"/>
      <c r="Z707"/>
      <c r="AA707" s="110"/>
      <c r="AB707"/>
      <c r="AC707"/>
    </row>
    <row r="708" spans="25:29" x14ac:dyDescent="0.3">
      <c r="Y708"/>
      <c r="Z708"/>
      <c r="AA708" s="110"/>
      <c r="AB708"/>
      <c r="AC708"/>
    </row>
    <row r="709" spans="25:29" x14ac:dyDescent="0.3">
      <c r="Y709"/>
      <c r="Z709"/>
      <c r="AA709" s="110"/>
      <c r="AB709"/>
      <c r="AC709"/>
    </row>
    <row r="710" spans="25:29" x14ac:dyDescent="0.3">
      <c r="Y710"/>
      <c r="Z710"/>
      <c r="AA710" s="110"/>
      <c r="AB710"/>
      <c r="AC710"/>
    </row>
    <row r="711" spans="25:29" x14ac:dyDescent="0.3">
      <c r="Y711"/>
      <c r="Z711"/>
      <c r="AA711" s="110"/>
      <c r="AB711"/>
      <c r="AC711"/>
    </row>
    <row r="712" spans="25:29" x14ac:dyDescent="0.3">
      <c r="Y712"/>
      <c r="Z712"/>
      <c r="AA712" s="110"/>
      <c r="AB712"/>
      <c r="AC712"/>
    </row>
    <row r="713" spans="25:29" x14ac:dyDescent="0.3">
      <c r="Y713"/>
      <c r="Z713"/>
      <c r="AA713" s="110"/>
      <c r="AB713"/>
      <c r="AC713"/>
    </row>
    <row r="714" spans="25:29" x14ac:dyDescent="0.3">
      <c r="Y714"/>
      <c r="Z714"/>
      <c r="AA714" s="110"/>
      <c r="AB714"/>
      <c r="AC714"/>
    </row>
    <row r="715" spans="25:29" x14ac:dyDescent="0.3">
      <c r="Y715"/>
      <c r="Z715"/>
      <c r="AA715" s="110"/>
      <c r="AB715"/>
      <c r="AC715"/>
    </row>
    <row r="716" spans="25:29" x14ac:dyDescent="0.3">
      <c r="Y716"/>
      <c r="Z716"/>
      <c r="AA716" s="110"/>
      <c r="AB716"/>
      <c r="AC716"/>
    </row>
    <row r="717" spans="25:29" x14ac:dyDescent="0.3">
      <c r="Y717"/>
      <c r="Z717"/>
      <c r="AA717" s="110"/>
      <c r="AB717"/>
      <c r="AC717"/>
    </row>
    <row r="718" spans="25:29" x14ac:dyDescent="0.3">
      <c r="Y718"/>
      <c r="Z718"/>
      <c r="AA718" s="110"/>
      <c r="AB718"/>
      <c r="AC718"/>
    </row>
    <row r="719" spans="25:29" x14ac:dyDescent="0.3">
      <c r="Y719"/>
      <c r="Z719"/>
      <c r="AA719" s="110"/>
      <c r="AB719"/>
      <c r="AC719"/>
    </row>
    <row r="720" spans="25:29" x14ac:dyDescent="0.3">
      <c r="Y720"/>
      <c r="Z720"/>
      <c r="AA720" s="110"/>
      <c r="AB720"/>
      <c r="AC720"/>
    </row>
    <row r="721" spans="25:29" x14ac:dyDescent="0.3">
      <c r="Y721"/>
      <c r="Z721"/>
      <c r="AA721" s="110"/>
      <c r="AB721"/>
      <c r="AC721"/>
    </row>
    <row r="722" spans="25:29" x14ac:dyDescent="0.3">
      <c r="Y722"/>
      <c r="Z722"/>
      <c r="AA722" s="110"/>
      <c r="AB722"/>
      <c r="AC722"/>
    </row>
    <row r="723" spans="25:29" x14ac:dyDescent="0.3">
      <c r="Y723"/>
      <c r="Z723"/>
      <c r="AA723" s="110"/>
      <c r="AB723"/>
      <c r="AC723"/>
    </row>
    <row r="724" spans="25:29" x14ac:dyDescent="0.3">
      <c r="Y724"/>
      <c r="Z724"/>
      <c r="AA724" s="110"/>
      <c r="AB724"/>
      <c r="AC724"/>
    </row>
    <row r="725" spans="25:29" x14ac:dyDescent="0.3">
      <c r="Y725"/>
      <c r="Z725"/>
      <c r="AA725" s="110"/>
      <c r="AB725"/>
      <c r="AC725"/>
    </row>
    <row r="726" spans="25:29" x14ac:dyDescent="0.3">
      <c r="Y726"/>
      <c r="Z726"/>
      <c r="AA726" s="110"/>
      <c r="AB726"/>
      <c r="AC726"/>
    </row>
    <row r="727" spans="25:29" x14ac:dyDescent="0.3">
      <c r="Y727"/>
      <c r="Z727"/>
      <c r="AA727" s="110"/>
      <c r="AB727"/>
      <c r="AC727"/>
    </row>
    <row r="728" spans="25:29" x14ac:dyDescent="0.3">
      <c r="Y728"/>
      <c r="Z728"/>
      <c r="AA728" s="110"/>
      <c r="AB728"/>
      <c r="AC728"/>
    </row>
    <row r="729" spans="25:29" x14ac:dyDescent="0.3">
      <c r="Y729"/>
      <c r="Z729"/>
      <c r="AA729" s="110"/>
      <c r="AB729"/>
      <c r="AC729"/>
    </row>
    <row r="730" spans="25:29" x14ac:dyDescent="0.3">
      <c r="Y730"/>
      <c r="Z730"/>
      <c r="AA730" s="110"/>
      <c r="AB730"/>
      <c r="AC730"/>
    </row>
    <row r="731" spans="25:29" x14ac:dyDescent="0.3">
      <c r="Y731"/>
      <c r="Z731"/>
      <c r="AA731" s="110"/>
      <c r="AB731"/>
      <c r="AC731"/>
    </row>
    <row r="732" spans="25:29" x14ac:dyDescent="0.3">
      <c r="Y732"/>
      <c r="Z732"/>
      <c r="AA732" s="110"/>
      <c r="AB732"/>
      <c r="AC732"/>
    </row>
    <row r="733" spans="25:29" x14ac:dyDescent="0.3">
      <c r="Y733"/>
      <c r="Z733"/>
      <c r="AA733" s="110"/>
      <c r="AB733"/>
      <c r="AC733"/>
    </row>
    <row r="734" spans="25:29" x14ac:dyDescent="0.3">
      <c r="Y734"/>
      <c r="Z734"/>
      <c r="AA734" s="110"/>
      <c r="AB734"/>
      <c r="AC734"/>
    </row>
    <row r="735" spans="25:29" x14ac:dyDescent="0.3">
      <c r="Y735"/>
      <c r="Z735"/>
      <c r="AA735" s="110"/>
      <c r="AB735"/>
      <c r="AC735"/>
    </row>
    <row r="736" spans="25:29" x14ac:dyDescent="0.3">
      <c r="Y736"/>
      <c r="Z736"/>
      <c r="AA736" s="110"/>
      <c r="AB736"/>
      <c r="AC736"/>
    </row>
    <row r="737" spans="25:29" x14ac:dyDescent="0.3">
      <c r="Y737"/>
      <c r="Z737"/>
      <c r="AA737" s="110"/>
      <c r="AB737"/>
      <c r="AC737"/>
    </row>
    <row r="738" spans="25:29" x14ac:dyDescent="0.3">
      <c r="Y738"/>
      <c r="Z738"/>
      <c r="AA738" s="110"/>
      <c r="AB738"/>
      <c r="AC738"/>
    </row>
    <row r="739" spans="25:29" x14ac:dyDescent="0.3">
      <c r="Y739"/>
      <c r="Z739"/>
      <c r="AA739" s="110"/>
      <c r="AB739"/>
      <c r="AC739"/>
    </row>
    <row r="740" spans="25:29" x14ac:dyDescent="0.3">
      <c r="Y740"/>
      <c r="Z740"/>
      <c r="AA740" s="110"/>
      <c r="AB740"/>
      <c r="AC740"/>
    </row>
    <row r="741" spans="25:29" x14ac:dyDescent="0.3">
      <c r="Y741"/>
      <c r="Z741"/>
      <c r="AA741" s="110"/>
      <c r="AB741"/>
      <c r="AC741"/>
    </row>
    <row r="742" spans="25:29" x14ac:dyDescent="0.3">
      <c r="Y742"/>
      <c r="Z742"/>
      <c r="AA742" s="110"/>
      <c r="AB742"/>
      <c r="AC742"/>
    </row>
    <row r="743" spans="25:29" x14ac:dyDescent="0.3">
      <c r="Y743"/>
      <c r="Z743"/>
      <c r="AA743" s="110"/>
      <c r="AB743"/>
      <c r="AC743"/>
    </row>
    <row r="744" spans="25:29" x14ac:dyDescent="0.3">
      <c r="Y744"/>
      <c r="Z744"/>
      <c r="AA744" s="110"/>
      <c r="AB744"/>
      <c r="AC744"/>
    </row>
    <row r="745" spans="25:29" x14ac:dyDescent="0.3">
      <c r="Y745"/>
      <c r="Z745"/>
      <c r="AA745" s="110"/>
      <c r="AB745"/>
      <c r="AC745"/>
    </row>
    <row r="746" spans="25:29" x14ac:dyDescent="0.3">
      <c r="Y746"/>
      <c r="Z746"/>
      <c r="AA746" s="110"/>
      <c r="AB746"/>
      <c r="AC746"/>
    </row>
    <row r="747" spans="25:29" x14ac:dyDescent="0.3">
      <c r="Y747"/>
      <c r="Z747"/>
      <c r="AA747" s="110"/>
      <c r="AB747"/>
      <c r="AC747"/>
    </row>
    <row r="748" spans="25:29" x14ac:dyDescent="0.3">
      <c r="Y748"/>
      <c r="Z748"/>
      <c r="AA748" s="110"/>
      <c r="AB748"/>
      <c r="AC748"/>
    </row>
    <row r="749" spans="25:29" x14ac:dyDescent="0.3">
      <c r="Y749"/>
      <c r="Z749"/>
      <c r="AA749" s="110"/>
      <c r="AB749"/>
      <c r="AC749"/>
    </row>
    <row r="750" spans="25:29" x14ac:dyDescent="0.3">
      <c r="Y750"/>
      <c r="Z750"/>
      <c r="AA750" s="110"/>
      <c r="AB750"/>
      <c r="AC750"/>
    </row>
    <row r="751" spans="25:29" x14ac:dyDescent="0.3">
      <c r="Y751"/>
      <c r="Z751"/>
      <c r="AA751" s="110"/>
      <c r="AB751"/>
      <c r="AC751"/>
    </row>
    <row r="752" spans="25:29" x14ac:dyDescent="0.3">
      <c r="Y752"/>
      <c r="Z752"/>
      <c r="AA752" s="110"/>
      <c r="AB752"/>
      <c r="AC752"/>
    </row>
    <row r="753" spans="25:29" x14ac:dyDescent="0.3">
      <c r="Y753"/>
      <c r="Z753"/>
      <c r="AA753" s="110"/>
      <c r="AB753"/>
      <c r="AC753"/>
    </row>
    <row r="754" spans="25:29" x14ac:dyDescent="0.3">
      <c r="Y754"/>
      <c r="Z754"/>
      <c r="AA754" s="110"/>
      <c r="AB754"/>
      <c r="AC754"/>
    </row>
    <row r="755" spans="25:29" x14ac:dyDescent="0.3">
      <c r="Y755"/>
      <c r="Z755"/>
      <c r="AA755" s="110"/>
      <c r="AB755"/>
      <c r="AC755"/>
    </row>
    <row r="756" spans="25:29" x14ac:dyDescent="0.3">
      <c r="Y756"/>
      <c r="Z756"/>
      <c r="AA756" s="110"/>
      <c r="AB756"/>
      <c r="AC756"/>
    </row>
    <row r="757" spans="25:29" x14ac:dyDescent="0.3">
      <c r="Y757"/>
      <c r="Z757"/>
      <c r="AA757" s="110"/>
      <c r="AB757"/>
      <c r="AC757"/>
    </row>
    <row r="758" spans="25:29" x14ac:dyDescent="0.3">
      <c r="Y758"/>
      <c r="Z758"/>
      <c r="AA758" s="110"/>
      <c r="AB758"/>
      <c r="AC758"/>
    </row>
    <row r="759" spans="25:29" x14ac:dyDescent="0.3">
      <c r="Y759"/>
      <c r="Z759"/>
      <c r="AA759" s="110"/>
      <c r="AB759"/>
      <c r="AC759"/>
    </row>
    <row r="760" spans="25:29" x14ac:dyDescent="0.3">
      <c r="Y760"/>
      <c r="Z760"/>
      <c r="AA760" s="110"/>
      <c r="AB760"/>
      <c r="AC760"/>
    </row>
    <row r="761" spans="25:29" x14ac:dyDescent="0.3">
      <c r="Y761"/>
      <c r="Z761"/>
      <c r="AA761" s="110"/>
      <c r="AB761"/>
      <c r="AC761"/>
    </row>
    <row r="762" spans="25:29" x14ac:dyDescent="0.3">
      <c r="Y762"/>
      <c r="Z762"/>
      <c r="AA762" s="110"/>
      <c r="AB762"/>
      <c r="AC762"/>
    </row>
    <row r="763" spans="25:29" x14ac:dyDescent="0.3">
      <c r="Y763"/>
      <c r="Z763"/>
      <c r="AA763" s="110"/>
      <c r="AB763"/>
      <c r="AC763"/>
    </row>
    <row r="764" spans="25:29" x14ac:dyDescent="0.3">
      <c r="Y764"/>
      <c r="Z764"/>
      <c r="AA764" s="110"/>
      <c r="AB764"/>
      <c r="AC764"/>
    </row>
    <row r="765" spans="25:29" x14ac:dyDescent="0.3">
      <c r="Y765"/>
      <c r="Z765"/>
      <c r="AA765" s="110"/>
      <c r="AB765"/>
      <c r="AC765"/>
    </row>
    <row r="766" spans="25:29" x14ac:dyDescent="0.3">
      <c r="Y766"/>
      <c r="Z766"/>
      <c r="AA766" s="110"/>
      <c r="AB766"/>
      <c r="AC766"/>
    </row>
    <row r="767" spans="25:29" x14ac:dyDescent="0.3">
      <c r="Y767"/>
      <c r="Z767"/>
      <c r="AA767" s="110"/>
      <c r="AB767"/>
      <c r="AC767"/>
    </row>
    <row r="768" spans="25:29" x14ac:dyDescent="0.3">
      <c r="Y768"/>
      <c r="Z768"/>
      <c r="AA768" s="110"/>
      <c r="AB768"/>
      <c r="AC768"/>
    </row>
    <row r="769" spans="25:29" x14ac:dyDescent="0.3">
      <c r="Y769"/>
      <c r="Z769"/>
      <c r="AA769" s="110"/>
      <c r="AB769"/>
      <c r="AC769"/>
    </row>
    <row r="770" spans="25:29" x14ac:dyDescent="0.3">
      <c r="Y770"/>
      <c r="Z770"/>
      <c r="AA770" s="110"/>
      <c r="AB770"/>
      <c r="AC770"/>
    </row>
    <row r="771" spans="25:29" x14ac:dyDescent="0.3">
      <c r="Y771"/>
      <c r="Z771"/>
      <c r="AA771" s="110"/>
      <c r="AB771"/>
      <c r="AC771"/>
    </row>
    <row r="772" spans="25:29" x14ac:dyDescent="0.3">
      <c r="Y772"/>
      <c r="Z772"/>
      <c r="AA772" s="110"/>
      <c r="AB772"/>
      <c r="AC772"/>
    </row>
    <row r="773" spans="25:29" x14ac:dyDescent="0.3">
      <c r="Y773"/>
      <c r="Z773"/>
      <c r="AA773" s="110"/>
      <c r="AB773"/>
      <c r="AC773"/>
    </row>
    <row r="774" spans="25:29" x14ac:dyDescent="0.3">
      <c r="Y774"/>
      <c r="Z774"/>
      <c r="AA774" s="110"/>
      <c r="AB774"/>
      <c r="AC774"/>
    </row>
    <row r="775" spans="25:29" x14ac:dyDescent="0.3">
      <c r="Y775"/>
      <c r="Z775"/>
      <c r="AA775" s="110"/>
      <c r="AB775"/>
      <c r="AC775"/>
    </row>
    <row r="776" spans="25:29" x14ac:dyDescent="0.3">
      <c r="Y776"/>
      <c r="Z776"/>
      <c r="AA776" s="110"/>
      <c r="AB776"/>
      <c r="AC776"/>
    </row>
    <row r="777" spans="25:29" x14ac:dyDescent="0.3">
      <c r="Y777"/>
      <c r="Z777"/>
      <c r="AA777" s="110"/>
      <c r="AB777"/>
      <c r="AC777"/>
    </row>
    <row r="778" spans="25:29" x14ac:dyDescent="0.3">
      <c r="Y778"/>
      <c r="Z778"/>
      <c r="AA778" s="110"/>
      <c r="AB778"/>
      <c r="AC778"/>
    </row>
    <row r="779" spans="25:29" x14ac:dyDescent="0.3">
      <c r="Y779"/>
      <c r="Z779"/>
      <c r="AA779" s="110"/>
      <c r="AB779"/>
      <c r="AC779"/>
    </row>
    <row r="780" spans="25:29" x14ac:dyDescent="0.3">
      <c r="Y780"/>
      <c r="Z780"/>
      <c r="AA780" s="110"/>
      <c r="AB780"/>
      <c r="AC780"/>
    </row>
    <row r="781" spans="25:29" x14ac:dyDescent="0.3">
      <c r="Y781"/>
      <c r="Z781"/>
      <c r="AA781" s="110"/>
      <c r="AB781"/>
      <c r="AC781"/>
    </row>
    <row r="782" spans="25:29" x14ac:dyDescent="0.3">
      <c r="Y782"/>
      <c r="Z782"/>
      <c r="AA782" s="110"/>
      <c r="AB782"/>
      <c r="AC782"/>
    </row>
    <row r="783" spans="25:29" x14ac:dyDescent="0.3">
      <c r="Y783"/>
      <c r="Z783"/>
      <c r="AA783" s="110"/>
      <c r="AB783"/>
      <c r="AC783"/>
    </row>
    <row r="784" spans="25:29" x14ac:dyDescent="0.3">
      <c r="Y784"/>
      <c r="Z784"/>
      <c r="AA784" s="110"/>
      <c r="AB784"/>
      <c r="AC784"/>
    </row>
    <row r="785" spans="25:29" x14ac:dyDescent="0.3">
      <c r="Y785"/>
      <c r="Z785"/>
      <c r="AA785" s="110"/>
      <c r="AB785"/>
      <c r="AC785"/>
    </row>
    <row r="786" spans="25:29" x14ac:dyDescent="0.3">
      <c r="Y786"/>
      <c r="Z786"/>
      <c r="AA786" s="110"/>
      <c r="AB786"/>
      <c r="AC786"/>
    </row>
    <row r="787" spans="25:29" x14ac:dyDescent="0.3">
      <c r="Y787"/>
      <c r="Z787"/>
      <c r="AA787" s="110"/>
      <c r="AB787"/>
      <c r="AC787"/>
    </row>
    <row r="788" spans="25:29" x14ac:dyDescent="0.3">
      <c r="Y788"/>
      <c r="Z788"/>
      <c r="AA788" s="110"/>
      <c r="AB788"/>
      <c r="AC788"/>
    </row>
    <row r="789" spans="25:29" x14ac:dyDescent="0.3">
      <c r="Y789"/>
      <c r="Z789"/>
      <c r="AA789" s="110"/>
      <c r="AB789"/>
      <c r="AC789"/>
    </row>
    <row r="790" spans="25:29" x14ac:dyDescent="0.3">
      <c r="Y790"/>
      <c r="Z790"/>
      <c r="AA790" s="110"/>
      <c r="AB790"/>
      <c r="AC790"/>
    </row>
    <row r="791" spans="25:29" x14ac:dyDescent="0.3">
      <c r="Y791"/>
      <c r="Z791"/>
      <c r="AA791" s="110"/>
      <c r="AB791"/>
      <c r="AC791"/>
    </row>
    <row r="792" spans="25:29" x14ac:dyDescent="0.3">
      <c r="Y792"/>
      <c r="Z792"/>
      <c r="AA792" s="110"/>
      <c r="AB792"/>
      <c r="AC792"/>
    </row>
    <row r="793" spans="25:29" x14ac:dyDescent="0.3">
      <c r="Y793"/>
      <c r="Z793"/>
      <c r="AA793" s="110"/>
      <c r="AB793"/>
      <c r="AC793"/>
    </row>
    <row r="794" spans="25:29" x14ac:dyDescent="0.3">
      <c r="Y794"/>
      <c r="Z794"/>
      <c r="AA794" s="110"/>
      <c r="AB794"/>
      <c r="AC794"/>
    </row>
    <row r="795" spans="25:29" x14ac:dyDescent="0.3">
      <c r="Y795"/>
      <c r="Z795"/>
      <c r="AA795" s="110"/>
      <c r="AB795"/>
      <c r="AC795"/>
    </row>
    <row r="796" spans="25:29" x14ac:dyDescent="0.3">
      <c r="Y796"/>
      <c r="Z796"/>
      <c r="AA796" s="110"/>
      <c r="AB796"/>
      <c r="AC796"/>
    </row>
    <row r="797" spans="25:29" x14ac:dyDescent="0.3">
      <c r="Y797"/>
      <c r="Z797"/>
      <c r="AA797" s="110"/>
      <c r="AB797"/>
      <c r="AC797"/>
    </row>
    <row r="798" spans="25:29" x14ac:dyDescent="0.3">
      <c r="Y798"/>
      <c r="Z798"/>
      <c r="AA798" s="110"/>
      <c r="AB798"/>
      <c r="AC798"/>
    </row>
    <row r="799" spans="25:29" x14ac:dyDescent="0.3">
      <c r="Y799"/>
      <c r="Z799"/>
      <c r="AA799" s="110"/>
      <c r="AB799"/>
      <c r="AC799"/>
    </row>
    <row r="800" spans="25:29" x14ac:dyDescent="0.3">
      <c r="Y800"/>
      <c r="Z800"/>
      <c r="AA800" s="110"/>
      <c r="AB800"/>
      <c r="AC800"/>
    </row>
    <row r="801" spans="25:29" x14ac:dyDescent="0.3">
      <c r="Y801"/>
      <c r="Z801"/>
      <c r="AA801" s="110"/>
      <c r="AB801"/>
      <c r="AC801"/>
    </row>
    <row r="802" spans="25:29" x14ac:dyDescent="0.3">
      <c r="Y802"/>
      <c r="Z802"/>
      <c r="AA802" s="110"/>
      <c r="AB802"/>
      <c r="AC802"/>
    </row>
    <row r="803" spans="25:29" x14ac:dyDescent="0.3">
      <c r="Y803"/>
      <c r="Z803"/>
      <c r="AA803" s="110"/>
      <c r="AB803"/>
      <c r="AC803"/>
    </row>
    <row r="804" spans="25:29" x14ac:dyDescent="0.3">
      <c r="Y804"/>
      <c r="Z804"/>
      <c r="AA804" s="110"/>
      <c r="AB804"/>
      <c r="AC804"/>
    </row>
    <row r="805" spans="25:29" x14ac:dyDescent="0.3">
      <c r="Y805"/>
      <c r="Z805"/>
      <c r="AA805" s="110"/>
      <c r="AB805"/>
      <c r="AC805"/>
    </row>
    <row r="806" spans="25:29" x14ac:dyDescent="0.3">
      <c r="Y806"/>
      <c r="Z806"/>
      <c r="AA806" s="110"/>
      <c r="AB806"/>
      <c r="AC806"/>
    </row>
    <row r="807" spans="25:29" x14ac:dyDescent="0.3">
      <c r="Y807"/>
      <c r="Z807"/>
      <c r="AA807" s="110"/>
      <c r="AB807"/>
      <c r="AC807"/>
    </row>
    <row r="808" spans="25:29" x14ac:dyDescent="0.3">
      <c r="Y808"/>
      <c r="Z808"/>
      <c r="AA808" s="110"/>
      <c r="AB808"/>
      <c r="AC808"/>
    </row>
    <row r="809" spans="25:29" x14ac:dyDescent="0.3">
      <c r="Y809"/>
      <c r="Z809"/>
      <c r="AA809" s="110"/>
      <c r="AB809"/>
      <c r="AC809"/>
    </row>
    <row r="810" spans="25:29" x14ac:dyDescent="0.3">
      <c r="Y810"/>
      <c r="Z810"/>
      <c r="AA810" s="110"/>
      <c r="AB810"/>
      <c r="AC810"/>
    </row>
    <row r="811" spans="25:29" x14ac:dyDescent="0.3">
      <c r="Y811"/>
      <c r="Z811"/>
      <c r="AA811" s="110"/>
      <c r="AB811"/>
      <c r="AC811"/>
    </row>
    <row r="812" spans="25:29" x14ac:dyDescent="0.3">
      <c r="Y812"/>
      <c r="Z812"/>
      <c r="AA812" s="110"/>
      <c r="AB812"/>
      <c r="AC812"/>
    </row>
    <row r="813" spans="25:29" x14ac:dyDescent="0.3">
      <c r="Y813"/>
      <c r="Z813"/>
      <c r="AA813" s="110"/>
      <c r="AB813"/>
      <c r="AC813"/>
    </row>
    <row r="814" spans="25:29" x14ac:dyDescent="0.3">
      <c r="Y814"/>
      <c r="Z814"/>
      <c r="AA814" s="110"/>
      <c r="AB814"/>
      <c r="AC814"/>
    </row>
    <row r="815" spans="25:29" x14ac:dyDescent="0.3">
      <c r="Y815"/>
      <c r="Z815"/>
      <c r="AA815" s="110"/>
      <c r="AB815"/>
      <c r="AC815"/>
    </row>
    <row r="816" spans="25:29" x14ac:dyDescent="0.3">
      <c r="Y816"/>
      <c r="Z816"/>
      <c r="AA816" s="110"/>
      <c r="AB816"/>
      <c r="AC816"/>
    </row>
    <row r="817" spans="25:29" x14ac:dyDescent="0.3">
      <c r="Y817"/>
      <c r="Z817"/>
      <c r="AA817" s="110"/>
      <c r="AB817"/>
      <c r="AC817"/>
    </row>
    <row r="818" spans="25:29" x14ac:dyDescent="0.3">
      <c r="Y818"/>
      <c r="Z818"/>
      <c r="AA818" s="110"/>
      <c r="AB818"/>
      <c r="AC818"/>
    </row>
    <row r="819" spans="25:29" x14ac:dyDescent="0.3">
      <c r="Y819"/>
      <c r="Z819"/>
      <c r="AA819" s="110"/>
      <c r="AB819"/>
      <c r="AC819"/>
    </row>
    <row r="820" spans="25:29" x14ac:dyDescent="0.3">
      <c r="Y820"/>
      <c r="Z820"/>
      <c r="AA820" s="110"/>
      <c r="AB820"/>
      <c r="AC820"/>
    </row>
    <row r="821" spans="25:29" x14ac:dyDescent="0.3">
      <c r="Y821"/>
      <c r="Z821"/>
      <c r="AA821" s="110"/>
      <c r="AB821"/>
      <c r="AC821"/>
    </row>
    <row r="822" spans="25:29" x14ac:dyDescent="0.3">
      <c r="Y822"/>
      <c r="Z822"/>
      <c r="AA822" s="110"/>
      <c r="AB822"/>
      <c r="AC822"/>
    </row>
    <row r="823" spans="25:29" x14ac:dyDescent="0.3">
      <c r="Y823"/>
      <c r="Z823"/>
      <c r="AA823" s="110"/>
      <c r="AB823"/>
      <c r="AC823"/>
    </row>
    <row r="824" spans="25:29" x14ac:dyDescent="0.3">
      <c r="Y824"/>
      <c r="Z824"/>
      <c r="AA824" s="110"/>
      <c r="AB824"/>
      <c r="AC824"/>
    </row>
    <row r="825" spans="25:29" x14ac:dyDescent="0.3">
      <c r="Y825"/>
      <c r="Z825"/>
      <c r="AA825" s="110"/>
      <c r="AB825"/>
      <c r="AC825"/>
    </row>
    <row r="826" spans="25:29" x14ac:dyDescent="0.3">
      <c r="Y826"/>
      <c r="Z826"/>
      <c r="AA826" s="110"/>
      <c r="AB826"/>
      <c r="AC826"/>
    </row>
    <row r="827" spans="25:29" x14ac:dyDescent="0.3">
      <c r="Y827"/>
      <c r="Z827"/>
      <c r="AA827" s="110"/>
      <c r="AB827"/>
      <c r="AC827"/>
    </row>
    <row r="828" spans="25:29" x14ac:dyDescent="0.3">
      <c r="Y828"/>
      <c r="Z828"/>
      <c r="AA828" s="110"/>
      <c r="AB828"/>
      <c r="AC828"/>
    </row>
    <row r="829" spans="25:29" x14ac:dyDescent="0.3">
      <c r="Y829"/>
      <c r="Z829"/>
      <c r="AA829" s="110"/>
      <c r="AB829"/>
      <c r="AC829"/>
    </row>
    <row r="830" spans="25:29" x14ac:dyDescent="0.3">
      <c r="Y830"/>
      <c r="Z830"/>
      <c r="AA830" s="110"/>
      <c r="AB830"/>
      <c r="AC830"/>
    </row>
    <row r="831" spans="25:29" x14ac:dyDescent="0.3">
      <c r="Y831"/>
      <c r="Z831"/>
      <c r="AA831" s="110"/>
      <c r="AB831"/>
      <c r="AC831"/>
    </row>
    <row r="832" spans="25:29" x14ac:dyDescent="0.3">
      <c r="Y832"/>
      <c r="Z832"/>
      <c r="AA832" s="110"/>
      <c r="AB832"/>
      <c r="AC832"/>
    </row>
    <row r="833" spans="25:29" x14ac:dyDescent="0.3">
      <c r="Y833"/>
      <c r="Z833"/>
      <c r="AA833" s="110"/>
      <c r="AB833"/>
      <c r="AC833"/>
    </row>
    <row r="834" spans="25:29" x14ac:dyDescent="0.3">
      <c r="Y834"/>
      <c r="Z834"/>
      <c r="AA834" s="110"/>
      <c r="AB834"/>
      <c r="AC834"/>
    </row>
    <row r="835" spans="25:29" x14ac:dyDescent="0.3">
      <c r="Y835"/>
      <c r="Z835"/>
      <c r="AA835" s="110"/>
      <c r="AB835"/>
      <c r="AC835"/>
    </row>
    <row r="836" spans="25:29" x14ac:dyDescent="0.3">
      <c r="Y836"/>
      <c r="Z836"/>
      <c r="AA836" s="110"/>
      <c r="AB836"/>
      <c r="AC836"/>
    </row>
    <row r="837" spans="25:29" x14ac:dyDescent="0.3">
      <c r="Y837"/>
      <c r="Z837"/>
      <c r="AA837" s="110"/>
      <c r="AB837"/>
      <c r="AC837"/>
    </row>
    <row r="838" spans="25:29" x14ac:dyDescent="0.3">
      <c r="Y838"/>
      <c r="Z838"/>
      <c r="AA838" s="110"/>
      <c r="AB838"/>
      <c r="AC838"/>
    </row>
    <row r="839" spans="25:29" x14ac:dyDescent="0.3">
      <c r="Y839"/>
      <c r="Z839"/>
      <c r="AA839" s="110"/>
      <c r="AB839"/>
      <c r="AC839"/>
    </row>
    <row r="840" spans="25:29" x14ac:dyDescent="0.3">
      <c r="Y840"/>
      <c r="Z840"/>
      <c r="AA840" s="110"/>
      <c r="AB840"/>
      <c r="AC840"/>
    </row>
    <row r="841" spans="25:29" x14ac:dyDescent="0.3">
      <c r="Y841"/>
      <c r="Z841"/>
      <c r="AA841" s="110"/>
      <c r="AB841"/>
      <c r="AC841"/>
    </row>
    <row r="842" spans="25:29" x14ac:dyDescent="0.3">
      <c r="Y842"/>
      <c r="Z842"/>
      <c r="AA842" s="110"/>
      <c r="AB842"/>
      <c r="AC842"/>
    </row>
    <row r="843" spans="25:29" x14ac:dyDescent="0.3">
      <c r="Y843"/>
      <c r="Z843"/>
      <c r="AA843" s="110"/>
      <c r="AB843"/>
      <c r="AC843"/>
    </row>
    <row r="844" spans="25:29" x14ac:dyDescent="0.3">
      <c r="Y844"/>
      <c r="Z844"/>
      <c r="AA844" s="110"/>
      <c r="AB844"/>
      <c r="AC844"/>
    </row>
    <row r="845" spans="25:29" x14ac:dyDescent="0.3">
      <c r="Y845"/>
      <c r="Z845"/>
      <c r="AA845" s="110"/>
      <c r="AB845"/>
      <c r="AC845"/>
    </row>
    <row r="846" spans="25:29" x14ac:dyDescent="0.3">
      <c r="Y846"/>
      <c r="Z846"/>
      <c r="AA846" s="110"/>
      <c r="AB846"/>
      <c r="AC846"/>
    </row>
    <row r="847" spans="25:29" x14ac:dyDescent="0.3">
      <c r="Y847"/>
      <c r="Z847"/>
      <c r="AA847" s="110"/>
      <c r="AB847"/>
      <c r="AC847"/>
    </row>
    <row r="848" spans="25:29" x14ac:dyDescent="0.3">
      <c r="Y848"/>
      <c r="Z848"/>
      <c r="AA848" s="110"/>
      <c r="AB848"/>
      <c r="AC848"/>
    </row>
    <row r="849" spans="25:29" x14ac:dyDescent="0.3">
      <c r="Y849"/>
      <c r="Z849"/>
      <c r="AA849" s="110"/>
      <c r="AB849"/>
      <c r="AC849"/>
    </row>
    <row r="850" spans="25:29" x14ac:dyDescent="0.3">
      <c r="Y850"/>
      <c r="Z850"/>
      <c r="AA850" s="110"/>
      <c r="AB850"/>
      <c r="AC850"/>
    </row>
    <row r="851" spans="25:29" x14ac:dyDescent="0.3">
      <c r="Y851"/>
      <c r="Z851"/>
      <c r="AA851" s="110"/>
      <c r="AB851"/>
      <c r="AC851"/>
    </row>
    <row r="852" spans="25:29" x14ac:dyDescent="0.3">
      <c r="Y852"/>
      <c r="Z852"/>
      <c r="AA852" s="110"/>
      <c r="AB852"/>
      <c r="AC852"/>
    </row>
    <row r="853" spans="25:29" x14ac:dyDescent="0.3">
      <c r="Y853"/>
      <c r="Z853"/>
      <c r="AA853" s="110"/>
      <c r="AB853"/>
      <c r="AC853"/>
    </row>
    <row r="854" spans="25:29" x14ac:dyDescent="0.3">
      <c r="Y854"/>
      <c r="Z854"/>
      <c r="AA854" s="110"/>
      <c r="AB854"/>
      <c r="AC854"/>
    </row>
    <row r="855" spans="25:29" x14ac:dyDescent="0.3">
      <c r="Y855"/>
      <c r="Z855"/>
      <c r="AA855" s="110"/>
      <c r="AB855"/>
      <c r="AC855"/>
    </row>
    <row r="856" spans="25:29" x14ac:dyDescent="0.3">
      <c r="Y856"/>
      <c r="Z856"/>
      <c r="AA856" s="110"/>
      <c r="AB856"/>
      <c r="AC856"/>
    </row>
    <row r="857" spans="25:29" x14ac:dyDescent="0.3">
      <c r="Y857"/>
      <c r="Z857"/>
      <c r="AA857" s="110"/>
      <c r="AB857"/>
      <c r="AC857"/>
    </row>
    <row r="858" spans="25:29" x14ac:dyDescent="0.3">
      <c r="Y858"/>
      <c r="Z858"/>
      <c r="AA858" s="110"/>
      <c r="AB858"/>
      <c r="AC858"/>
    </row>
    <row r="859" spans="25:29" x14ac:dyDescent="0.3">
      <c r="Y859"/>
      <c r="Z859"/>
      <c r="AA859" s="110"/>
      <c r="AB859"/>
      <c r="AC859"/>
    </row>
    <row r="860" spans="25:29" x14ac:dyDescent="0.3">
      <c r="Y860"/>
      <c r="Z860"/>
      <c r="AA860" s="110"/>
      <c r="AB860"/>
      <c r="AC860"/>
    </row>
    <row r="861" spans="25:29" x14ac:dyDescent="0.3">
      <c r="Y861"/>
      <c r="Z861"/>
      <c r="AA861" s="110"/>
      <c r="AB861"/>
      <c r="AC861"/>
    </row>
    <row r="862" spans="25:29" x14ac:dyDescent="0.3">
      <c r="Y862"/>
      <c r="Z862"/>
      <c r="AA862" s="110"/>
      <c r="AB862"/>
      <c r="AC862"/>
    </row>
    <row r="863" spans="25:29" x14ac:dyDescent="0.3">
      <c r="Y863"/>
      <c r="Z863"/>
      <c r="AA863" s="110"/>
      <c r="AB863"/>
      <c r="AC863"/>
    </row>
    <row r="864" spans="25:29" x14ac:dyDescent="0.3">
      <c r="Y864"/>
      <c r="Z864"/>
      <c r="AA864" s="110"/>
      <c r="AB864"/>
      <c r="AC864"/>
    </row>
    <row r="865" spans="25:29" x14ac:dyDescent="0.3">
      <c r="Y865"/>
      <c r="Z865"/>
      <c r="AA865" s="110"/>
      <c r="AB865"/>
      <c r="AC865"/>
    </row>
    <row r="866" spans="25:29" x14ac:dyDescent="0.3">
      <c r="Y866"/>
      <c r="Z866"/>
      <c r="AA866" s="110"/>
      <c r="AB866"/>
      <c r="AC866"/>
    </row>
    <row r="867" spans="25:29" x14ac:dyDescent="0.3">
      <c r="Y867"/>
      <c r="Z867"/>
      <c r="AA867" s="110"/>
      <c r="AB867"/>
      <c r="AC867"/>
    </row>
    <row r="868" spans="25:29" x14ac:dyDescent="0.3">
      <c r="Y868"/>
      <c r="Z868"/>
      <c r="AA868" s="110"/>
      <c r="AB868"/>
      <c r="AC868"/>
    </row>
    <row r="869" spans="25:29" x14ac:dyDescent="0.3">
      <c r="Y869"/>
      <c r="Z869"/>
      <c r="AA869" s="110"/>
      <c r="AB869"/>
      <c r="AC869"/>
    </row>
    <row r="870" spans="25:29" x14ac:dyDescent="0.3">
      <c r="Y870"/>
      <c r="Z870"/>
      <c r="AA870" s="110"/>
      <c r="AB870"/>
      <c r="AC870"/>
    </row>
    <row r="871" spans="25:29" x14ac:dyDescent="0.3">
      <c r="Y871"/>
      <c r="Z871"/>
      <c r="AA871" s="110"/>
      <c r="AB871"/>
      <c r="AC871"/>
    </row>
    <row r="872" spans="25:29" x14ac:dyDescent="0.3">
      <c r="Y872"/>
      <c r="Z872"/>
      <c r="AA872" s="110"/>
      <c r="AB872"/>
      <c r="AC872"/>
    </row>
    <row r="873" spans="25:29" x14ac:dyDescent="0.3">
      <c r="Y873"/>
      <c r="Z873"/>
      <c r="AA873" s="110"/>
      <c r="AB873"/>
      <c r="AC873"/>
    </row>
    <row r="874" spans="25:29" x14ac:dyDescent="0.3">
      <c r="Y874"/>
      <c r="Z874"/>
      <c r="AA874" s="110"/>
      <c r="AB874"/>
      <c r="AC874"/>
    </row>
    <row r="875" spans="25:29" x14ac:dyDescent="0.3">
      <c r="Y875"/>
      <c r="Z875"/>
      <c r="AA875" s="110"/>
      <c r="AB875"/>
      <c r="AC875"/>
    </row>
    <row r="876" spans="25:29" x14ac:dyDescent="0.3">
      <c r="Y876"/>
      <c r="Z876"/>
      <c r="AA876" s="110"/>
      <c r="AB876"/>
      <c r="AC876"/>
    </row>
    <row r="877" spans="25:29" x14ac:dyDescent="0.3">
      <c r="Y877"/>
      <c r="Z877"/>
      <c r="AA877" s="110"/>
      <c r="AB877"/>
      <c r="AC877"/>
    </row>
    <row r="878" spans="25:29" x14ac:dyDescent="0.3">
      <c r="Y878"/>
      <c r="Z878"/>
      <c r="AA878" s="110"/>
      <c r="AB878"/>
      <c r="AC878"/>
    </row>
    <row r="879" spans="25:29" x14ac:dyDescent="0.3">
      <c r="Y879"/>
      <c r="Z879"/>
      <c r="AA879" s="110"/>
      <c r="AB879"/>
      <c r="AC879"/>
    </row>
    <row r="880" spans="25:29" x14ac:dyDescent="0.3">
      <c r="Y880"/>
      <c r="Z880"/>
      <c r="AA880" s="110"/>
      <c r="AB880"/>
      <c r="AC880"/>
    </row>
    <row r="881" spans="25:29" x14ac:dyDescent="0.3">
      <c r="Y881"/>
      <c r="Z881"/>
      <c r="AA881" s="110"/>
      <c r="AB881"/>
      <c r="AC881"/>
    </row>
    <row r="882" spans="25:29" x14ac:dyDescent="0.3">
      <c r="Y882"/>
      <c r="Z882"/>
      <c r="AA882" s="110"/>
      <c r="AB882"/>
      <c r="AC882"/>
    </row>
    <row r="883" spans="25:29" x14ac:dyDescent="0.3">
      <c r="Y883"/>
      <c r="Z883"/>
      <c r="AA883" s="110"/>
      <c r="AB883"/>
      <c r="AC883"/>
    </row>
    <row r="884" spans="25:29" x14ac:dyDescent="0.3">
      <c r="Y884"/>
      <c r="Z884"/>
      <c r="AA884" s="110"/>
      <c r="AB884"/>
      <c r="AC884"/>
    </row>
    <row r="885" spans="25:29" x14ac:dyDescent="0.3">
      <c r="Y885"/>
      <c r="Z885"/>
      <c r="AA885" s="110"/>
      <c r="AB885"/>
      <c r="AC885"/>
    </row>
    <row r="886" spans="25:29" x14ac:dyDescent="0.3">
      <c r="Y886"/>
      <c r="Z886"/>
      <c r="AA886" s="110"/>
      <c r="AB886"/>
      <c r="AC886"/>
    </row>
    <row r="887" spans="25:29" x14ac:dyDescent="0.3">
      <c r="Y887"/>
      <c r="Z887"/>
      <c r="AA887" s="110"/>
      <c r="AB887"/>
      <c r="AC887"/>
    </row>
    <row r="888" spans="25:29" x14ac:dyDescent="0.3">
      <c r="Y888"/>
      <c r="Z888"/>
      <c r="AA888" s="110"/>
      <c r="AB888"/>
      <c r="AC888"/>
    </row>
    <row r="889" spans="25:29" x14ac:dyDescent="0.3">
      <c r="Y889"/>
      <c r="Z889"/>
      <c r="AA889" s="110"/>
      <c r="AB889"/>
      <c r="AC889"/>
    </row>
    <row r="890" spans="25:29" x14ac:dyDescent="0.3">
      <c r="Y890"/>
      <c r="Z890"/>
      <c r="AA890" s="110"/>
      <c r="AB890"/>
      <c r="AC890"/>
    </row>
    <row r="891" spans="25:29" x14ac:dyDescent="0.3">
      <c r="Y891"/>
      <c r="Z891"/>
      <c r="AA891" s="110"/>
      <c r="AB891"/>
      <c r="AC891"/>
    </row>
    <row r="892" spans="25:29" x14ac:dyDescent="0.3">
      <c r="Y892"/>
      <c r="Z892"/>
      <c r="AA892" s="110"/>
      <c r="AB892"/>
      <c r="AC892"/>
    </row>
    <row r="893" spans="25:29" x14ac:dyDescent="0.3">
      <c r="Y893"/>
      <c r="Z893"/>
      <c r="AA893" s="110"/>
      <c r="AB893"/>
      <c r="AC893"/>
    </row>
    <row r="894" spans="25:29" x14ac:dyDescent="0.3">
      <c r="Y894"/>
      <c r="Z894"/>
      <c r="AA894" s="110"/>
      <c r="AB894"/>
      <c r="AC894"/>
    </row>
    <row r="895" spans="25:29" x14ac:dyDescent="0.3">
      <c r="Y895"/>
      <c r="Z895"/>
      <c r="AA895" s="110"/>
      <c r="AB895"/>
      <c r="AC895"/>
    </row>
    <row r="896" spans="25:29" x14ac:dyDescent="0.3">
      <c r="Y896"/>
      <c r="Z896"/>
      <c r="AA896" s="110"/>
      <c r="AB896"/>
      <c r="AC896"/>
    </row>
    <row r="897" spans="25:29" x14ac:dyDescent="0.3">
      <c r="Y897"/>
      <c r="Z897"/>
      <c r="AA897" s="110"/>
      <c r="AB897"/>
      <c r="AC897"/>
    </row>
    <row r="898" spans="25:29" x14ac:dyDescent="0.3">
      <c r="Y898"/>
      <c r="Z898"/>
      <c r="AA898" s="110"/>
      <c r="AB898"/>
      <c r="AC898"/>
    </row>
    <row r="899" spans="25:29" x14ac:dyDescent="0.3">
      <c r="Y899"/>
      <c r="Z899"/>
      <c r="AA899" s="110"/>
      <c r="AB899"/>
      <c r="AC899"/>
    </row>
    <row r="900" spans="25:29" x14ac:dyDescent="0.3">
      <c r="Y900"/>
      <c r="Z900"/>
      <c r="AA900" s="110"/>
      <c r="AB900"/>
      <c r="AC900"/>
    </row>
    <row r="901" spans="25:29" x14ac:dyDescent="0.3">
      <c r="Y901"/>
      <c r="Z901"/>
      <c r="AA901" s="110"/>
      <c r="AB901"/>
      <c r="AC901"/>
    </row>
    <row r="902" spans="25:29" x14ac:dyDescent="0.3">
      <c r="Y902"/>
      <c r="Z902"/>
      <c r="AA902" s="110"/>
      <c r="AB902"/>
      <c r="AC902"/>
    </row>
    <row r="903" spans="25:29" x14ac:dyDescent="0.3">
      <c r="Y903"/>
      <c r="Z903"/>
      <c r="AA903" s="110"/>
      <c r="AB903"/>
      <c r="AC903"/>
    </row>
    <row r="904" spans="25:29" x14ac:dyDescent="0.3">
      <c r="Y904"/>
      <c r="Z904"/>
      <c r="AA904" s="110"/>
      <c r="AB904"/>
      <c r="AC904"/>
    </row>
    <row r="905" spans="25:29" x14ac:dyDescent="0.3">
      <c r="Y905"/>
      <c r="Z905"/>
      <c r="AA905" s="110"/>
      <c r="AB905"/>
      <c r="AC905"/>
    </row>
    <row r="906" spans="25:29" x14ac:dyDescent="0.3">
      <c r="Y906"/>
      <c r="Z906"/>
      <c r="AA906" s="110"/>
      <c r="AB906"/>
      <c r="AC906"/>
    </row>
    <row r="907" spans="25:29" x14ac:dyDescent="0.3">
      <c r="Y907"/>
      <c r="Z907"/>
      <c r="AA907" s="110"/>
      <c r="AB907"/>
      <c r="AC907"/>
    </row>
    <row r="908" spans="25:29" x14ac:dyDescent="0.3">
      <c r="Y908"/>
      <c r="Z908"/>
      <c r="AA908" s="110"/>
      <c r="AB908"/>
      <c r="AC908"/>
    </row>
    <row r="909" spans="25:29" x14ac:dyDescent="0.3">
      <c r="Y909"/>
      <c r="Z909"/>
      <c r="AA909" s="110"/>
      <c r="AB909"/>
      <c r="AC909"/>
    </row>
    <row r="910" spans="25:29" x14ac:dyDescent="0.3">
      <c r="Y910"/>
      <c r="Z910"/>
      <c r="AA910" s="110"/>
      <c r="AB910"/>
      <c r="AC910"/>
    </row>
    <row r="911" spans="25:29" x14ac:dyDescent="0.3">
      <c r="Y911"/>
      <c r="Z911"/>
      <c r="AA911" s="110"/>
      <c r="AB911"/>
      <c r="AC911"/>
    </row>
    <row r="912" spans="25:29" x14ac:dyDescent="0.3">
      <c r="Y912"/>
      <c r="Z912"/>
      <c r="AA912" s="110"/>
      <c r="AB912"/>
      <c r="AC912"/>
    </row>
    <row r="913" spans="25:29" x14ac:dyDescent="0.3">
      <c r="Y913"/>
      <c r="Z913"/>
      <c r="AA913" s="110"/>
      <c r="AB913"/>
      <c r="AC913"/>
    </row>
    <row r="914" spans="25:29" x14ac:dyDescent="0.3">
      <c r="Y914"/>
      <c r="Z914"/>
      <c r="AA914" s="110"/>
      <c r="AB914"/>
      <c r="AC914"/>
    </row>
    <row r="915" spans="25:29" x14ac:dyDescent="0.3">
      <c r="Y915"/>
      <c r="Z915"/>
      <c r="AA915" s="110"/>
      <c r="AB915"/>
      <c r="AC915"/>
    </row>
    <row r="916" spans="25:29" x14ac:dyDescent="0.3">
      <c r="Y916"/>
      <c r="Z916"/>
      <c r="AA916" s="110"/>
      <c r="AB916"/>
      <c r="AC916"/>
    </row>
    <row r="917" spans="25:29" x14ac:dyDescent="0.3">
      <c r="Y917"/>
      <c r="Z917"/>
      <c r="AA917" s="110"/>
      <c r="AB917"/>
      <c r="AC917"/>
    </row>
    <row r="918" spans="25:29" x14ac:dyDescent="0.3">
      <c r="Y918"/>
      <c r="Z918"/>
      <c r="AA918" s="110"/>
      <c r="AB918"/>
      <c r="AC918"/>
    </row>
    <row r="919" spans="25:29" x14ac:dyDescent="0.3">
      <c r="Y919"/>
      <c r="Z919"/>
      <c r="AA919" s="110"/>
      <c r="AB919"/>
      <c r="AC919"/>
    </row>
    <row r="920" spans="25:29" x14ac:dyDescent="0.3">
      <c r="Y920"/>
      <c r="Z920"/>
      <c r="AA920" s="110"/>
      <c r="AB920"/>
      <c r="AC920"/>
    </row>
    <row r="921" spans="25:29" x14ac:dyDescent="0.3">
      <c r="Y921"/>
      <c r="Z921"/>
      <c r="AA921" s="110"/>
      <c r="AB921"/>
      <c r="AC921"/>
    </row>
    <row r="922" spans="25:29" x14ac:dyDescent="0.3">
      <c r="Y922"/>
      <c r="Z922"/>
      <c r="AA922" s="110"/>
      <c r="AB922"/>
      <c r="AC922"/>
    </row>
    <row r="923" spans="25:29" x14ac:dyDescent="0.3">
      <c r="Y923"/>
      <c r="Z923"/>
      <c r="AA923" s="110"/>
      <c r="AB923"/>
      <c r="AC923"/>
    </row>
    <row r="924" spans="25:29" x14ac:dyDescent="0.3">
      <c r="Y924"/>
      <c r="Z924"/>
      <c r="AA924" s="110"/>
      <c r="AB924"/>
      <c r="AC924"/>
    </row>
    <row r="925" spans="25:29" x14ac:dyDescent="0.3">
      <c r="Y925"/>
      <c r="Z925"/>
      <c r="AA925" s="110"/>
      <c r="AB925"/>
      <c r="AC925"/>
    </row>
    <row r="926" spans="25:29" x14ac:dyDescent="0.3">
      <c r="Y926"/>
      <c r="Z926"/>
      <c r="AA926" s="110"/>
      <c r="AB926"/>
      <c r="AC926"/>
    </row>
    <row r="927" spans="25:29" x14ac:dyDescent="0.3">
      <c r="Y927"/>
      <c r="Z927"/>
      <c r="AA927" s="110"/>
      <c r="AB927"/>
      <c r="AC927"/>
    </row>
    <row r="928" spans="25:29" x14ac:dyDescent="0.3">
      <c r="Y928"/>
      <c r="Z928"/>
      <c r="AA928" s="110"/>
      <c r="AB928"/>
      <c r="AC928"/>
    </row>
    <row r="929" spans="25:29" x14ac:dyDescent="0.3">
      <c r="Y929"/>
      <c r="Z929"/>
      <c r="AA929" s="110"/>
      <c r="AB929"/>
      <c r="AC929"/>
    </row>
    <row r="930" spans="25:29" x14ac:dyDescent="0.3">
      <c r="Y930"/>
      <c r="Z930"/>
      <c r="AA930" s="110"/>
      <c r="AB930"/>
      <c r="AC930"/>
    </row>
    <row r="931" spans="25:29" x14ac:dyDescent="0.3">
      <c r="Y931"/>
      <c r="Z931"/>
      <c r="AA931" s="110"/>
      <c r="AB931"/>
      <c r="AC931"/>
    </row>
    <row r="932" spans="25:29" x14ac:dyDescent="0.3">
      <c r="Y932"/>
      <c r="Z932"/>
      <c r="AA932" s="110"/>
      <c r="AB932"/>
      <c r="AC932"/>
    </row>
    <row r="933" spans="25:29" x14ac:dyDescent="0.3">
      <c r="Y933"/>
      <c r="Z933"/>
      <c r="AA933" s="110"/>
      <c r="AB933"/>
      <c r="AC933"/>
    </row>
    <row r="934" spans="25:29" x14ac:dyDescent="0.3">
      <c r="Y934"/>
      <c r="Z934"/>
      <c r="AA934" s="110"/>
      <c r="AB934"/>
      <c r="AC934"/>
    </row>
    <row r="935" spans="25:29" x14ac:dyDescent="0.3">
      <c r="Y935"/>
      <c r="Z935"/>
      <c r="AA935" s="110"/>
      <c r="AB935"/>
      <c r="AC935"/>
    </row>
    <row r="936" spans="25:29" x14ac:dyDescent="0.3">
      <c r="Y936"/>
      <c r="Z936"/>
      <c r="AA936" s="110"/>
      <c r="AB936"/>
      <c r="AC936"/>
    </row>
    <row r="937" spans="25:29" x14ac:dyDescent="0.3">
      <c r="Y937"/>
      <c r="Z937"/>
      <c r="AA937" s="110"/>
      <c r="AB937"/>
      <c r="AC937"/>
    </row>
    <row r="938" spans="25:29" x14ac:dyDescent="0.3">
      <c r="Y938"/>
      <c r="Z938"/>
      <c r="AA938" s="110"/>
      <c r="AB938"/>
      <c r="AC938"/>
    </row>
    <row r="939" spans="25:29" x14ac:dyDescent="0.3">
      <c r="Y939"/>
      <c r="Z939"/>
      <c r="AA939" s="110"/>
      <c r="AB939"/>
      <c r="AC939"/>
    </row>
    <row r="940" spans="25:29" x14ac:dyDescent="0.3">
      <c r="Y940"/>
      <c r="Z940"/>
      <c r="AA940" s="110"/>
      <c r="AB940"/>
      <c r="AC940"/>
    </row>
    <row r="941" spans="25:29" x14ac:dyDescent="0.3">
      <c r="Y941"/>
      <c r="Z941"/>
      <c r="AA941" s="110"/>
      <c r="AB941"/>
      <c r="AC941"/>
    </row>
    <row r="942" spans="25:29" x14ac:dyDescent="0.3">
      <c r="Y942"/>
      <c r="Z942"/>
      <c r="AA942" s="110"/>
      <c r="AB942"/>
      <c r="AC942"/>
    </row>
    <row r="943" spans="25:29" x14ac:dyDescent="0.3">
      <c r="Y943"/>
      <c r="Z943"/>
      <c r="AA943" s="110"/>
      <c r="AB943"/>
      <c r="AC943"/>
    </row>
    <row r="944" spans="25:29" x14ac:dyDescent="0.3">
      <c r="Y944"/>
      <c r="Z944"/>
      <c r="AA944" s="110"/>
      <c r="AB944"/>
      <c r="AC944"/>
    </row>
    <row r="945" spans="25:29" x14ac:dyDescent="0.3">
      <c r="Y945"/>
      <c r="Z945"/>
      <c r="AA945" s="110"/>
      <c r="AB945"/>
      <c r="AC945"/>
    </row>
    <row r="946" spans="25:29" x14ac:dyDescent="0.3">
      <c r="Y946"/>
      <c r="Z946"/>
      <c r="AA946" s="110"/>
      <c r="AB946"/>
      <c r="AC946"/>
    </row>
    <row r="947" spans="25:29" x14ac:dyDescent="0.3">
      <c r="Y947"/>
      <c r="Z947"/>
      <c r="AA947" s="110"/>
      <c r="AB947"/>
      <c r="AC947"/>
    </row>
    <row r="948" spans="25:29" x14ac:dyDescent="0.3">
      <c r="Y948"/>
      <c r="Z948"/>
      <c r="AA948" s="110"/>
      <c r="AB948"/>
      <c r="AC948"/>
    </row>
    <row r="949" spans="25:29" x14ac:dyDescent="0.3">
      <c r="Y949"/>
      <c r="Z949"/>
      <c r="AA949" s="110"/>
      <c r="AB949"/>
      <c r="AC949"/>
    </row>
    <row r="950" spans="25:29" x14ac:dyDescent="0.3">
      <c r="Y950"/>
      <c r="Z950"/>
      <c r="AA950" s="110"/>
      <c r="AB950"/>
      <c r="AC950"/>
    </row>
    <row r="951" spans="25:29" x14ac:dyDescent="0.3">
      <c r="Y951"/>
      <c r="Z951"/>
      <c r="AA951" s="110"/>
      <c r="AB951"/>
      <c r="AC951"/>
    </row>
    <row r="952" spans="25:29" x14ac:dyDescent="0.3">
      <c r="Y952"/>
      <c r="Z952"/>
      <c r="AA952" s="110"/>
      <c r="AB952"/>
      <c r="AC952"/>
    </row>
    <row r="953" spans="25:29" x14ac:dyDescent="0.3">
      <c r="Y953"/>
      <c r="Z953"/>
      <c r="AA953" s="110"/>
      <c r="AB953"/>
      <c r="AC953"/>
    </row>
    <row r="954" spans="25:29" x14ac:dyDescent="0.3">
      <c r="Y954"/>
      <c r="Z954"/>
      <c r="AA954" s="110"/>
      <c r="AB954"/>
      <c r="AC954"/>
    </row>
    <row r="955" spans="25:29" x14ac:dyDescent="0.3">
      <c r="Y955"/>
      <c r="Z955"/>
      <c r="AA955" s="110"/>
      <c r="AB955"/>
      <c r="AC955"/>
    </row>
    <row r="956" spans="25:29" x14ac:dyDescent="0.3">
      <c r="Y956"/>
      <c r="Z956"/>
      <c r="AA956" s="110"/>
      <c r="AB956"/>
      <c r="AC956"/>
    </row>
    <row r="957" spans="25:29" x14ac:dyDescent="0.3">
      <c r="Y957"/>
      <c r="Z957"/>
      <c r="AA957" s="110"/>
      <c r="AB957"/>
      <c r="AC957"/>
    </row>
    <row r="958" spans="25:29" x14ac:dyDescent="0.3">
      <c r="Y958"/>
      <c r="Z958"/>
      <c r="AA958" s="110"/>
      <c r="AB958"/>
      <c r="AC958"/>
    </row>
    <row r="959" spans="25:29" x14ac:dyDescent="0.3">
      <c r="Y959"/>
      <c r="Z959"/>
      <c r="AA959" s="110"/>
      <c r="AB959"/>
      <c r="AC959"/>
    </row>
    <row r="960" spans="25:29" x14ac:dyDescent="0.3">
      <c r="Y960"/>
      <c r="Z960"/>
      <c r="AA960" s="110"/>
      <c r="AB960"/>
      <c r="AC960"/>
    </row>
    <row r="961" spans="25:29" x14ac:dyDescent="0.3">
      <c r="Y961"/>
      <c r="Z961"/>
      <c r="AA961" s="110"/>
      <c r="AB961"/>
      <c r="AC961"/>
    </row>
    <row r="962" spans="25:29" x14ac:dyDescent="0.3">
      <c r="Y962"/>
      <c r="Z962"/>
      <c r="AA962" s="110"/>
      <c r="AB962"/>
      <c r="AC962"/>
    </row>
    <row r="963" spans="25:29" x14ac:dyDescent="0.3">
      <c r="Y963"/>
      <c r="Z963"/>
      <c r="AA963" s="110"/>
      <c r="AB963"/>
      <c r="AC963"/>
    </row>
    <row r="964" spans="25:29" x14ac:dyDescent="0.3">
      <c r="Y964"/>
      <c r="Z964"/>
      <c r="AA964" s="110"/>
      <c r="AB964"/>
      <c r="AC964"/>
    </row>
    <row r="965" spans="25:29" x14ac:dyDescent="0.3">
      <c r="Y965"/>
      <c r="Z965"/>
      <c r="AA965" s="110"/>
      <c r="AB965"/>
      <c r="AC965"/>
    </row>
    <row r="966" spans="25:29" x14ac:dyDescent="0.3">
      <c r="Y966"/>
      <c r="Z966"/>
      <c r="AA966" s="110"/>
      <c r="AB966"/>
      <c r="AC966"/>
    </row>
    <row r="967" spans="25:29" x14ac:dyDescent="0.3">
      <c r="Y967"/>
      <c r="Z967"/>
      <c r="AA967" s="110"/>
      <c r="AB967"/>
      <c r="AC967"/>
    </row>
    <row r="968" spans="25:29" x14ac:dyDescent="0.3">
      <c r="Y968"/>
      <c r="Z968"/>
      <c r="AA968" s="110"/>
      <c r="AB968"/>
      <c r="AC968"/>
    </row>
    <row r="969" spans="25:29" x14ac:dyDescent="0.3">
      <c r="Y969"/>
      <c r="Z969"/>
      <c r="AA969" s="110"/>
      <c r="AB969"/>
      <c r="AC969"/>
    </row>
    <row r="970" spans="25:29" x14ac:dyDescent="0.3">
      <c r="Y970"/>
      <c r="Z970"/>
      <c r="AA970" s="110"/>
      <c r="AB970"/>
      <c r="AC970"/>
    </row>
    <row r="971" spans="25:29" x14ac:dyDescent="0.3">
      <c r="Y971"/>
      <c r="Z971"/>
      <c r="AA971" s="110"/>
      <c r="AB971"/>
      <c r="AC971"/>
    </row>
    <row r="972" spans="25:29" x14ac:dyDescent="0.3">
      <c r="Y972"/>
      <c r="Z972"/>
      <c r="AA972" s="110"/>
      <c r="AB972"/>
      <c r="AC972"/>
    </row>
    <row r="973" spans="25:29" x14ac:dyDescent="0.3">
      <c r="Y973"/>
      <c r="Z973"/>
      <c r="AA973" s="110"/>
      <c r="AB973"/>
      <c r="AC973"/>
    </row>
    <row r="974" spans="25:29" x14ac:dyDescent="0.3">
      <c r="Y974"/>
      <c r="Z974"/>
      <c r="AA974" s="110"/>
      <c r="AB974"/>
      <c r="AC974"/>
    </row>
    <row r="975" spans="25:29" x14ac:dyDescent="0.3">
      <c r="Y975"/>
      <c r="Z975"/>
      <c r="AA975" s="110"/>
      <c r="AB975"/>
      <c r="AC975"/>
    </row>
    <row r="976" spans="25:29" x14ac:dyDescent="0.3">
      <c r="Y976"/>
      <c r="Z976"/>
      <c r="AA976" s="110"/>
      <c r="AB976"/>
      <c r="AC976"/>
    </row>
    <row r="977" spans="25:29" x14ac:dyDescent="0.3">
      <c r="Y977"/>
      <c r="Z977"/>
      <c r="AA977" s="110"/>
      <c r="AB977"/>
      <c r="AC977"/>
    </row>
    <row r="978" spans="25:29" x14ac:dyDescent="0.3">
      <c r="Y978"/>
      <c r="Z978"/>
      <c r="AA978" s="110"/>
      <c r="AB978"/>
      <c r="AC978"/>
    </row>
    <row r="979" spans="25:29" x14ac:dyDescent="0.3">
      <c r="Y979"/>
      <c r="Z979"/>
      <c r="AA979" s="110"/>
      <c r="AB979"/>
      <c r="AC979"/>
    </row>
    <row r="980" spans="25:29" x14ac:dyDescent="0.3">
      <c r="Y980"/>
      <c r="Z980"/>
      <c r="AA980" s="110"/>
      <c r="AB980"/>
      <c r="AC980"/>
    </row>
    <row r="981" spans="25:29" x14ac:dyDescent="0.3">
      <c r="Y981"/>
      <c r="Z981"/>
      <c r="AA981" s="110"/>
      <c r="AB981"/>
      <c r="AC981"/>
    </row>
    <row r="982" spans="25:29" x14ac:dyDescent="0.3">
      <c r="Y982"/>
      <c r="Z982"/>
      <c r="AA982" s="110"/>
      <c r="AB982"/>
      <c r="AC982"/>
    </row>
    <row r="983" spans="25:29" x14ac:dyDescent="0.3">
      <c r="Y983"/>
      <c r="Z983"/>
      <c r="AA983" s="110"/>
      <c r="AB983"/>
      <c r="AC983"/>
    </row>
    <row r="984" spans="25:29" x14ac:dyDescent="0.3">
      <c r="Y984"/>
      <c r="Z984"/>
      <c r="AA984" s="110"/>
      <c r="AB984"/>
      <c r="AC984"/>
    </row>
    <row r="985" spans="25:29" x14ac:dyDescent="0.3">
      <c r="Y985"/>
      <c r="Z985"/>
      <c r="AA985" s="110"/>
      <c r="AB985"/>
      <c r="AC985"/>
    </row>
    <row r="986" spans="25:29" x14ac:dyDescent="0.3">
      <c r="Y986"/>
      <c r="Z986"/>
      <c r="AA986" s="110"/>
      <c r="AB986"/>
      <c r="AC986"/>
    </row>
    <row r="987" spans="25:29" x14ac:dyDescent="0.3">
      <c r="Y987"/>
      <c r="Z987"/>
      <c r="AA987" s="110"/>
      <c r="AB987"/>
      <c r="AC987"/>
    </row>
    <row r="988" spans="25:29" x14ac:dyDescent="0.3">
      <c r="Y988"/>
      <c r="Z988"/>
      <c r="AA988" s="110"/>
      <c r="AB988"/>
      <c r="AC988"/>
    </row>
    <row r="989" spans="25:29" x14ac:dyDescent="0.3">
      <c r="Y989"/>
      <c r="Z989"/>
      <c r="AA989" s="110"/>
      <c r="AB989"/>
      <c r="AC989"/>
    </row>
    <row r="990" spans="25:29" x14ac:dyDescent="0.3">
      <c r="Y990"/>
      <c r="Z990"/>
      <c r="AA990" s="110"/>
      <c r="AB990"/>
      <c r="AC990"/>
    </row>
    <row r="991" spans="25:29" x14ac:dyDescent="0.3">
      <c r="Y991"/>
      <c r="Z991"/>
      <c r="AA991" s="110"/>
      <c r="AB991"/>
      <c r="AC991"/>
    </row>
    <row r="992" spans="25:29" x14ac:dyDescent="0.3">
      <c r="Y992"/>
      <c r="Z992"/>
      <c r="AA992" s="110"/>
      <c r="AB992"/>
      <c r="AC992"/>
    </row>
    <row r="993" spans="25:29" x14ac:dyDescent="0.3">
      <c r="Y993"/>
      <c r="Z993"/>
      <c r="AA993" s="110"/>
      <c r="AB993"/>
      <c r="AC993"/>
    </row>
    <row r="994" spans="25:29" x14ac:dyDescent="0.3">
      <c r="Y994"/>
      <c r="Z994"/>
      <c r="AA994" s="110"/>
      <c r="AB994"/>
      <c r="AC994"/>
    </row>
    <row r="995" spans="25:29" x14ac:dyDescent="0.3">
      <c r="Y995"/>
      <c r="Z995"/>
      <c r="AA995" s="110"/>
      <c r="AB995"/>
      <c r="AC995"/>
    </row>
    <row r="996" spans="25:29" x14ac:dyDescent="0.3">
      <c r="Y996"/>
      <c r="Z996"/>
      <c r="AA996" s="110"/>
      <c r="AB996"/>
      <c r="AC996"/>
    </row>
    <row r="997" spans="25:29" x14ac:dyDescent="0.3">
      <c r="Y997"/>
      <c r="Z997"/>
      <c r="AA997" s="110"/>
      <c r="AB997"/>
      <c r="AC997"/>
    </row>
    <row r="998" spans="25:29" x14ac:dyDescent="0.3">
      <c r="Y998"/>
      <c r="Z998"/>
      <c r="AA998" s="110"/>
      <c r="AB998"/>
      <c r="AC998"/>
    </row>
    <row r="999" spans="25:29" x14ac:dyDescent="0.3">
      <c r="Y999"/>
      <c r="Z999"/>
      <c r="AA999" s="110"/>
      <c r="AB999"/>
      <c r="AC999"/>
    </row>
    <row r="1000" spans="25:29" x14ac:dyDescent="0.3">
      <c r="Y1000"/>
      <c r="Z1000"/>
      <c r="AA1000" s="110"/>
      <c r="AB1000"/>
      <c r="AC1000"/>
    </row>
  </sheetData>
  <phoneticPr fontId="1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91" r:id="rId3" name="Button 19">
              <controlPr defaultSize="0" print="0" autoFill="0" autoPict="0" macro="[0]!Module1.CrearTablaResumenConTotales" altText="Correr el código para habilitar la macros_x000a_">
                <anchor moveWithCells="1" sizeWithCells="1">
                  <from>
                    <xdr:col>4</xdr:col>
                    <xdr:colOff>7620</xdr:colOff>
                    <xdr:row>2</xdr:row>
                    <xdr:rowOff>53340</xdr:rowOff>
                  </from>
                  <to>
                    <xdr:col>13</xdr:col>
                    <xdr:colOff>2164080</xdr:colOff>
                    <xdr:row>2</xdr:row>
                    <xdr:rowOff>708660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D7DAEE-3CE5-4A1E-BCF3-4253B7319073}">
  <sheetPr codeName="Hoja10">
    <tabColor rgb="FF00B050"/>
  </sheetPr>
  <dimension ref="A1:N55"/>
  <sheetViews>
    <sheetView zoomScaleNormal="100" workbookViewId="0">
      <selection activeCell="I9" sqref="I9"/>
    </sheetView>
  </sheetViews>
  <sheetFormatPr baseColWidth="10" defaultColWidth="11.44140625" defaultRowHeight="14.4" x14ac:dyDescent="0.3"/>
  <cols>
    <col min="2" max="2" width="20.6640625" customWidth="1"/>
    <col min="3" max="3" width="20.77734375" customWidth="1"/>
    <col min="4" max="4" width="19.44140625" customWidth="1"/>
    <col min="5" max="5" width="28.44140625" customWidth="1"/>
    <col min="6" max="6" width="13.33203125" customWidth="1"/>
    <col min="7" max="7" width="17.77734375" customWidth="1"/>
    <col min="8" max="8" width="10.44140625" customWidth="1"/>
    <col min="9" max="9" width="10" customWidth="1"/>
    <col min="10" max="10" width="16.109375" customWidth="1"/>
    <col min="11" max="11" width="15.109375" customWidth="1"/>
  </cols>
  <sheetData>
    <row r="1" spans="1:14" x14ac:dyDescent="0.3">
      <c r="B1" t="s">
        <v>107</v>
      </c>
      <c r="C1" t="s">
        <v>36</v>
      </c>
      <c r="D1" t="s">
        <v>137</v>
      </c>
      <c r="E1" t="s">
        <v>141</v>
      </c>
      <c r="F1" t="s">
        <v>144</v>
      </c>
    </row>
    <row r="2" spans="1:14" ht="28.8" x14ac:dyDescent="0.3">
      <c r="B2" s="1" t="s">
        <v>136</v>
      </c>
      <c r="C2" s="1" t="s">
        <v>138</v>
      </c>
      <c r="D2" s="1">
        <v>2</v>
      </c>
      <c r="E2" s="1" t="s">
        <v>142</v>
      </c>
      <c r="F2" s="1" t="s">
        <v>142</v>
      </c>
      <c r="H2" s="159" t="s">
        <v>148</v>
      </c>
      <c r="I2" s="159"/>
      <c r="J2" s="159"/>
      <c r="K2" s="159"/>
    </row>
    <row r="3" spans="1:14" ht="28.8" x14ac:dyDescent="0.3">
      <c r="B3" s="1" t="s">
        <v>135</v>
      </c>
      <c r="C3" s="1" t="s">
        <v>139</v>
      </c>
      <c r="D3" s="1">
        <v>3</v>
      </c>
      <c r="E3" s="1" t="s">
        <v>142</v>
      </c>
      <c r="F3" s="1" t="s">
        <v>142</v>
      </c>
      <c r="H3" s="159"/>
      <c r="I3" s="159"/>
      <c r="J3" s="159"/>
      <c r="K3" s="159"/>
    </row>
    <row r="4" spans="1:14" ht="28.8" x14ac:dyDescent="0.3">
      <c r="B4" s="1" t="s">
        <v>131</v>
      </c>
      <c r="C4" s="1" t="s">
        <v>146</v>
      </c>
      <c r="D4" s="1">
        <f>(D3-1)*D2</f>
        <v>4</v>
      </c>
      <c r="E4" s="1">
        <f>_xlfn.XLOOKUP(Tabla3[[#This Row],[Columna1]], Tabla919[Tipo de viático], Tabla919[Costo UF], "Error", 0, 1)</f>
        <v>1.79</v>
      </c>
      <c r="F4" s="1">
        <f>Tabla3[[#This Row],[Costo unitario]]*Tabla3[[#This Row],[Cantidad/tipo]]</f>
        <v>7.16</v>
      </c>
      <c r="H4" s="159"/>
      <c r="I4" s="159"/>
      <c r="J4" s="159"/>
      <c r="K4" s="159"/>
    </row>
    <row r="5" spans="1:14" ht="28.8" x14ac:dyDescent="0.3">
      <c r="B5" s="1" t="s">
        <v>44</v>
      </c>
      <c r="C5" s="1" t="s">
        <v>140</v>
      </c>
      <c r="D5" s="1">
        <f>D3*D2</f>
        <v>6</v>
      </c>
      <c r="E5" s="1">
        <f>_xlfn.XLOOKUP(Tabla3[[#This Row],[Columna1]], Tabla919[Tipo de viático], Tabla919[Costo UF], "Error", 0, 1)</f>
        <v>2</v>
      </c>
      <c r="F5" s="1">
        <f>Tabla3[[#This Row],[Costo unitario]]*Tabla3[[#This Row],[Cantidad/tipo]]</f>
        <v>12</v>
      </c>
      <c r="H5" s="159"/>
      <c r="I5" s="159"/>
      <c r="J5" s="159"/>
      <c r="K5" s="159"/>
    </row>
    <row r="6" spans="1:14" x14ac:dyDescent="0.3">
      <c r="B6" s="7"/>
      <c r="C6" s="7"/>
      <c r="D6" s="92"/>
    </row>
    <row r="7" spans="1:14" x14ac:dyDescent="0.3">
      <c r="B7" s="91" t="s">
        <v>49</v>
      </c>
      <c r="C7" s="91" t="s">
        <v>49</v>
      </c>
      <c r="D7" s="91" t="s">
        <v>134</v>
      </c>
      <c r="E7" s="91" t="s">
        <v>134</v>
      </c>
      <c r="F7" s="4" t="s">
        <v>50</v>
      </c>
      <c r="G7" s="91" t="s">
        <v>134</v>
      </c>
      <c r="H7" s="91" t="s">
        <v>134</v>
      </c>
      <c r="I7" s="91" t="s">
        <v>134</v>
      </c>
      <c r="J7" s="91" t="s">
        <v>134</v>
      </c>
      <c r="K7" s="4" t="s">
        <v>50</v>
      </c>
    </row>
    <row r="8" spans="1:14" ht="28.8" x14ac:dyDescent="0.3">
      <c r="B8" s="19" t="s">
        <v>37</v>
      </c>
      <c r="C8" s="19" t="s">
        <v>51</v>
      </c>
      <c r="D8" s="19" t="s">
        <v>47</v>
      </c>
      <c r="E8" s="19" t="s">
        <v>36</v>
      </c>
      <c r="F8" s="29" t="s">
        <v>114</v>
      </c>
      <c r="G8" s="29" t="s">
        <v>260</v>
      </c>
      <c r="H8" s="29" t="s">
        <v>22</v>
      </c>
      <c r="I8" s="29" t="s">
        <v>147</v>
      </c>
      <c r="J8" s="19" t="s">
        <v>104</v>
      </c>
      <c r="K8" s="19" t="s">
        <v>261</v>
      </c>
    </row>
    <row r="9" spans="1:14" ht="47.55" customHeight="1" x14ac:dyDescent="0.3">
      <c r="A9" s="96" t="s">
        <v>145</v>
      </c>
      <c r="B9" s="93" t="s">
        <v>191</v>
      </c>
      <c r="C9" s="45" t="s">
        <v>180</v>
      </c>
      <c r="D9" s="56" t="s">
        <v>193</v>
      </c>
      <c r="E9" s="56" t="s">
        <v>194</v>
      </c>
      <c r="F9" s="66" t="str">
        <f>_xlfn.XLOOKUP(Tabla27573[[#This Row],[Tipo de venta]],Tabla2329[Tipo de venta],Tabla2329[Moneda final], "-----", 0,1)</f>
        <v>CLP</v>
      </c>
      <c r="G9" s="35">
        <v>1</v>
      </c>
      <c r="H9" s="97">
        <v>0.5</v>
      </c>
      <c r="I9" s="199">
        <f>Tabla27573[[#This Row],[Costo Unitario]]/(1-Tabla27573[[#This Row],[Margen]])</f>
        <v>2</v>
      </c>
      <c r="J9" s="95">
        <v>5</v>
      </c>
      <c r="K9" s="99">
        <f>Tabla27573[[#This Row],[Cantidad]]*Tabla27573[[#This Row],[Precio Unitario]]</f>
        <v>10</v>
      </c>
      <c r="N9" s="3"/>
    </row>
    <row r="10" spans="1:14" x14ac:dyDescent="0.3">
      <c r="A10" s="96" t="s">
        <v>145</v>
      </c>
      <c r="B10" s="93"/>
      <c r="C10" s="45"/>
      <c r="D10" s="23"/>
      <c r="E10" s="45"/>
      <c r="F10" s="94">
        <f>_xlfn.XLOOKUP(Tabla27573[[#This Row],[Tipo de venta]],Tabla2329[Tipo de venta],Tabla2329[Moneda final], "-----", 0,1)</f>
        <v>0</v>
      </c>
      <c r="G10" s="35"/>
      <c r="H10" s="97"/>
      <c r="I10" s="98">
        <f>Tabla27573[[#This Row],[Costo Unitario]]/(1-Tabla27573[[#This Row],[Margen]])</f>
        <v>0</v>
      </c>
      <c r="J10" s="95">
        <v>0</v>
      </c>
      <c r="K10" s="99">
        <f>Tabla27573[[#This Row],[Cantidad]]*Tabla27573[[#This Row],[Precio Unitario]]</f>
        <v>0</v>
      </c>
      <c r="M10" s="3"/>
    </row>
    <row r="11" spans="1:14" x14ac:dyDescent="0.3">
      <c r="B11" s="93"/>
      <c r="C11" s="45"/>
      <c r="D11" s="23"/>
      <c r="E11" s="45"/>
      <c r="F11" s="94">
        <f>_xlfn.XLOOKUP(Tabla27573[[#This Row],[Tipo de venta]],Tabla2329[Tipo de venta],Tabla2329[Moneda final], "-----", 0,1)</f>
        <v>0</v>
      </c>
      <c r="G11" s="35"/>
      <c r="H11" s="97"/>
      <c r="I11" s="98">
        <f>Tabla27573[[#This Row],[Costo Unitario]]/(1-Tabla27573[[#This Row],[Margen]])</f>
        <v>0</v>
      </c>
      <c r="J11" s="95"/>
      <c r="K11" s="99">
        <f>Tabla27573[[#This Row],[Cantidad]]*Tabla27573[[#This Row],[Precio Unitario]]</f>
        <v>0</v>
      </c>
    </row>
    <row r="12" spans="1:14" x14ac:dyDescent="0.3">
      <c r="B12" s="93"/>
      <c r="C12" s="45"/>
      <c r="D12" s="23"/>
      <c r="E12" s="45"/>
      <c r="F12" s="94">
        <f>_xlfn.XLOOKUP(Tabla27573[[#This Row],[Tipo de venta]],Tabla2329[Tipo de venta],Tabla2329[Moneda final], "-----", 0,1)</f>
        <v>0</v>
      </c>
      <c r="G12" s="35"/>
      <c r="H12" s="97"/>
      <c r="I12" s="98">
        <f>Tabla27573[[#This Row],[Costo Unitario]]/(1-Tabla27573[[#This Row],[Margen]])</f>
        <v>0</v>
      </c>
      <c r="J12" s="95"/>
      <c r="K12" s="99">
        <f>Tabla27573[[#This Row],[Cantidad]]*Tabla27573[[#This Row],[Precio Unitario]]</f>
        <v>0</v>
      </c>
    </row>
    <row r="13" spans="1:14" x14ac:dyDescent="0.3">
      <c r="B13" s="93"/>
      <c r="C13" s="45"/>
      <c r="D13" s="23"/>
      <c r="E13" s="45"/>
      <c r="F13" s="94">
        <f>_xlfn.XLOOKUP(Tabla27573[[#This Row],[Tipo de venta]],Tabla2329[Tipo de venta],Tabla2329[Moneda final], "-----", 0,1)</f>
        <v>0</v>
      </c>
      <c r="G13" s="35"/>
      <c r="H13" s="97"/>
      <c r="I13" s="98">
        <f>Tabla27573[[#This Row],[Costo Unitario]]/(1-Tabla27573[[#This Row],[Margen]])</f>
        <v>0</v>
      </c>
      <c r="J13" s="95"/>
      <c r="K13" s="99">
        <f>Tabla27573[[#This Row],[Cantidad]]*Tabla27573[[#This Row],[Precio Unitario]]</f>
        <v>0</v>
      </c>
    </row>
    <row r="14" spans="1:14" x14ac:dyDescent="0.3">
      <c r="B14" s="93"/>
      <c r="C14" s="45"/>
      <c r="D14" s="23"/>
      <c r="E14" s="45"/>
      <c r="F14" s="94">
        <f>_xlfn.XLOOKUP(Tabla27573[[#This Row],[Tipo de venta]],Tabla2329[Tipo de venta],Tabla2329[Moneda final], "-----", 0,1)</f>
        <v>0</v>
      </c>
      <c r="G14" s="35"/>
      <c r="H14" s="97"/>
      <c r="I14" s="98">
        <f>Tabla27573[[#This Row],[Costo Unitario]]/(1-Tabla27573[[#This Row],[Margen]])</f>
        <v>0</v>
      </c>
      <c r="J14" s="95"/>
      <c r="K14" s="99">
        <f>Tabla27573[[#This Row],[Cantidad]]*Tabla27573[[#This Row],[Precio Unitario]]</f>
        <v>0</v>
      </c>
    </row>
    <row r="15" spans="1:14" x14ac:dyDescent="0.3">
      <c r="B15" s="93"/>
      <c r="C15" s="45"/>
      <c r="D15" s="23"/>
      <c r="E15" s="45"/>
      <c r="F15" s="94">
        <f>_xlfn.XLOOKUP(Tabla27573[[#This Row],[Tipo de venta]],Tabla2329[Tipo de venta],Tabla2329[Moneda final], "-----", 0,1)</f>
        <v>0</v>
      </c>
      <c r="G15" s="35"/>
      <c r="H15" s="97"/>
      <c r="I15" s="98">
        <f>Tabla27573[[#This Row],[Costo Unitario]]/(1-Tabla27573[[#This Row],[Margen]])</f>
        <v>0</v>
      </c>
      <c r="J15" s="95"/>
      <c r="K15" s="99">
        <f>Tabla27573[[#This Row],[Cantidad]]*Tabla27573[[#This Row],[Precio Unitario]]</f>
        <v>0</v>
      </c>
    </row>
    <row r="16" spans="1:14" x14ac:dyDescent="0.3">
      <c r="B16" s="93"/>
      <c r="C16" s="45"/>
      <c r="D16" s="23"/>
      <c r="E16" s="45"/>
      <c r="F16" s="94">
        <f>_xlfn.XLOOKUP(Tabla27573[[#This Row],[Tipo de venta]],Tabla2329[Tipo de venta],Tabla2329[Moneda final], "-----", 0,1)</f>
        <v>0</v>
      </c>
      <c r="G16" s="35"/>
      <c r="H16" s="97"/>
      <c r="I16" s="98">
        <f>Tabla27573[[#This Row],[Costo Unitario]]/(1-Tabla27573[[#This Row],[Margen]])</f>
        <v>0</v>
      </c>
      <c r="J16" s="95"/>
      <c r="K16" s="99">
        <f>Tabla27573[[#This Row],[Cantidad]]*Tabla27573[[#This Row],[Precio Unitario]]</f>
        <v>0</v>
      </c>
    </row>
    <row r="17" spans="2:11" x14ac:dyDescent="0.3">
      <c r="B17" s="93"/>
      <c r="C17" s="45"/>
      <c r="D17" s="23"/>
      <c r="E17" s="45"/>
      <c r="F17" s="94">
        <f>_xlfn.XLOOKUP(Tabla27573[[#This Row],[Tipo de venta]],Tabla2329[Tipo de venta],Tabla2329[Moneda final], "-----", 0,1)</f>
        <v>0</v>
      </c>
      <c r="G17" s="35"/>
      <c r="H17" s="97"/>
      <c r="I17" s="98">
        <f>Tabla27573[[#This Row],[Costo Unitario]]/(1-Tabla27573[[#This Row],[Margen]])</f>
        <v>0</v>
      </c>
      <c r="J17" s="95"/>
      <c r="K17" s="99">
        <f>Tabla27573[[#This Row],[Cantidad]]*Tabla27573[[#This Row],[Precio Unitario]]</f>
        <v>0</v>
      </c>
    </row>
    <row r="18" spans="2:11" x14ac:dyDescent="0.3">
      <c r="B18" s="93"/>
      <c r="C18" s="45"/>
      <c r="D18" s="23"/>
      <c r="E18" s="45"/>
      <c r="F18" s="94">
        <f>_xlfn.XLOOKUP(Tabla27573[[#This Row],[Tipo de venta]],Tabla2329[Tipo de venta],Tabla2329[Moneda final], "-----", 0,1)</f>
        <v>0</v>
      </c>
      <c r="G18" s="35"/>
      <c r="H18" s="97"/>
      <c r="I18" s="98">
        <f>Tabla27573[[#This Row],[Costo Unitario]]/(1-Tabla27573[[#This Row],[Margen]])</f>
        <v>0</v>
      </c>
      <c r="J18" s="95"/>
      <c r="K18" s="99">
        <f>Tabla27573[[#This Row],[Cantidad]]*Tabla27573[[#This Row],[Precio Unitario]]</f>
        <v>0</v>
      </c>
    </row>
    <row r="19" spans="2:11" x14ac:dyDescent="0.3">
      <c r="B19" s="93"/>
      <c r="C19" s="45"/>
      <c r="D19" s="23"/>
      <c r="E19" s="45"/>
      <c r="F19" s="94">
        <f>_xlfn.XLOOKUP(Tabla27573[[#This Row],[Tipo de venta]],Tabla2329[Tipo de venta],Tabla2329[Moneda final], "-----", 0,1)</f>
        <v>0</v>
      </c>
      <c r="G19" s="35"/>
      <c r="H19" s="97"/>
      <c r="I19" s="98">
        <f>Tabla27573[[#This Row],[Costo Unitario]]/(1-Tabla27573[[#This Row],[Margen]])</f>
        <v>0</v>
      </c>
      <c r="J19" s="95"/>
      <c r="K19" s="99">
        <f>Tabla27573[[#This Row],[Cantidad]]*Tabla27573[[#This Row],[Precio Unitario]]</f>
        <v>0</v>
      </c>
    </row>
    <row r="20" spans="2:11" x14ac:dyDescent="0.3">
      <c r="B20" s="93"/>
      <c r="C20" s="45"/>
      <c r="D20" s="23"/>
      <c r="E20" s="45"/>
      <c r="F20" s="94">
        <f>_xlfn.XLOOKUP(Tabla27573[[#This Row],[Tipo de venta]],Tabla2329[Tipo de venta],Tabla2329[Moneda final], "-----", 0,1)</f>
        <v>0</v>
      </c>
      <c r="G20" s="35"/>
      <c r="H20" s="97"/>
      <c r="I20" s="98">
        <f>Tabla27573[[#This Row],[Costo Unitario]]/(1-Tabla27573[[#This Row],[Margen]])</f>
        <v>0</v>
      </c>
      <c r="J20" s="95"/>
      <c r="K20" s="99">
        <f>Tabla27573[[#This Row],[Cantidad]]*Tabla27573[[#This Row],[Precio Unitario]]</f>
        <v>0</v>
      </c>
    </row>
    <row r="21" spans="2:11" x14ac:dyDescent="0.3">
      <c r="B21" s="93"/>
      <c r="C21" s="45"/>
      <c r="D21" s="23"/>
      <c r="E21" s="45"/>
      <c r="F21" s="94">
        <f>_xlfn.XLOOKUP(Tabla27573[[#This Row],[Tipo de venta]],Tabla2329[Tipo de venta],Tabla2329[Moneda final], "-----", 0,1)</f>
        <v>0</v>
      </c>
      <c r="G21" s="35"/>
      <c r="H21" s="97"/>
      <c r="I21" s="98">
        <f>Tabla27573[[#This Row],[Costo Unitario]]/(1-Tabla27573[[#This Row],[Margen]])</f>
        <v>0</v>
      </c>
      <c r="J21" s="95"/>
      <c r="K21" s="99">
        <f>Tabla27573[[#This Row],[Cantidad]]*Tabla27573[[#This Row],[Precio Unitario]]</f>
        <v>0</v>
      </c>
    </row>
    <row r="22" spans="2:11" x14ac:dyDescent="0.3">
      <c r="B22" s="93"/>
      <c r="C22" s="45"/>
      <c r="D22" s="23"/>
      <c r="E22" s="45"/>
      <c r="F22" s="94">
        <f>_xlfn.XLOOKUP(Tabla27573[[#This Row],[Tipo de venta]],Tabla2329[Tipo de venta],Tabla2329[Moneda final], "-----", 0,1)</f>
        <v>0</v>
      </c>
      <c r="G22" s="35"/>
      <c r="H22" s="97"/>
      <c r="I22" s="98">
        <f>Tabla27573[[#This Row],[Costo Unitario]]/(1-Tabla27573[[#This Row],[Margen]])</f>
        <v>0</v>
      </c>
      <c r="J22" s="95"/>
      <c r="K22" s="99">
        <f>Tabla27573[[#This Row],[Cantidad]]*Tabla27573[[#This Row],[Precio Unitario]]</f>
        <v>0</v>
      </c>
    </row>
    <row r="23" spans="2:11" x14ac:dyDescent="0.3">
      <c r="B23" s="93"/>
      <c r="C23" s="45"/>
      <c r="D23" s="23"/>
      <c r="E23" s="45"/>
      <c r="F23" s="94">
        <f>_xlfn.XLOOKUP(Tabla27573[[#This Row],[Tipo de venta]],Tabla2329[Tipo de venta],Tabla2329[Moneda final], "-----", 0,1)</f>
        <v>0</v>
      </c>
      <c r="G23" s="35"/>
      <c r="H23" s="97"/>
      <c r="I23" s="98">
        <f>Tabla27573[[#This Row],[Costo Unitario]]/(1-Tabla27573[[#This Row],[Margen]])</f>
        <v>0</v>
      </c>
      <c r="J23" s="95"/>
      <c r="K23" s="99">
        <f>Tabla27573[[#This Row],[Cantidad]]*Tabla27573[[#This Row],[Precio Unitario]]</f>
        <v>0</v>
      </c>
    </row>
    <row r="24" spans="2:11" x14ac:dyDescent="0.3">
      <c r="B24" s="93"/>
      <c r="C24" s="45"/>
      <c r="D24" s="23"/>
      <c r="E24" s="45"/>
      <c r="F24" s="94">
        <f>_xlfn.XLOOKUP(Tabla27573[[#This Row],[Tipo de venta]],Tabla2329[Tipo de venta],Tabla2329[Moneda final], "-----", 0,1)</f>
        <v>0</v>
      </c>
      <c r="G24" s="35"/>
      <c r="H24" s="97"/>
      <c r="I24" s="98">
        <f>Tabla27573[[#This Row],[Costo Unitario]]/(1-Tabla27573[[#This Row],[Margen]])</f>
        <v>0</v>
      </c>
      <c r="J24" s="95"/>
      <c r="K24" s="99">
        <f>Tabla27573[[#This Row],[Cantidad]]*Tabla27573[[#This Row],[Precio Unitario]]</f>
        <v>0</v>
      </c>
    </row>
    <row r="25" spans="2:11" x14ac:dyDescent="0.3">
      <c r="B25" s="93"/>
      <c r="C25" s="45"/>
      <c r="D25" s="23"/>
      <c r="E25" s="45"/>
      <c r="F25" s="94">
        <f>_xlfn.XLOOKUP(Tabla27573[[#This Row],[Tipo de venta]],Tabla2329[Tipo de venta],Tabla2329[Moneda final], "-----", 0,1)</f>
        <v>0</v>
      </c>
      <c r="G25" s="35"/>
      <c r="H25" s="97"/>
      <c r="I25" s="98">
        <f>Tabla27573[[#This Row],[Costo Unitario]]/(1-Tabla27573[[#This Row],[Margen]])</f>
        <v>0</v>
      </c>
      <c r="J25" s="95"/>
      <c r="K25" s="99">
        <f>Tabla27573[[#This Row],[Cantidad]]*Tabla27573[[#This Row],[Precio Unitario]]</f>
        <v>0</v>
      </c>
    </row>
    <row r="26" spans="2:11" x14ac:dyDescent="0.3">
      <c r="B26" s="93"/>
      <c r="C26" s="45"/>
      <c r="D26" s="23"/>
      <c r="E26" s="45"/>
      <c r="F26" s="94">
        <f>_xlfn.XLOOKUP(Tabla27573[[#This Row],[Tipo de venta]],Tabla2329[Tipo de venta],Tabla2329[Moneda final], "-----", 0,1)</f>
        <v>0</v>
      </c>
      <c r="G26" s="35"/>
      <c r="H26" s="97"/>
      <c r="I26" s="98">
        <f>Tabla27573[[#This Row],[Costo Unitario]]/(1-Tabla27573[[#This Row],[Margen]])</f>
        <v>0</v>
      </c>
      <c r="J26" s="95"/>
      <c r="K26" s="99">
        <f>Tabla27573[[#This Row],[Cantidad]]*Tabla27573[[#This Row],[Precio Unitario]]</f>
        <v>0</v>
      </c>
    </row>
    <row r="27" spans="2:11" x14ac:dyDescent="0.3">
      <c r="B27" s="93"/>
      <c r="C27" s="45"/>
      <c r="D27" s="23"/>
      <c r="E27" s="45"/>
      <c r="F27" s="94">
        <f>_xlfn.XLOOKUP(Tabla27573[[#This Row],[Tipo de venta]],Tabla2329[Tipo de venta],Tabla2329[Moneda final], "-----", 0,1)</f>
        <v>0</v>
      </c>
      <c r="G27" s="35"/>
      <c r="H27" s="97"/>
      <c r="I27" s="98">
        <f>Tabla27573[[#This Row],[Costo Unitario]]/(1-Tabla27573[[#This Row],[Margen]])</f>
        <v>0</v>
      </c>
      <c r="J27" s="95"/>
      <c r="K27" s="99">
        <f>Tabla27573[[#This Row],[Cantidad]]*Tabla27573[[#This Row],[Precio Unitario]]</f>
        <v>0</v>
      </c>
    </row>
    <row r="28" spans="2:11" x14ac:dyDescent="0.3">
      <c r="B28" s="93"/>
      <c r="C28" s="45"/>
      <c r="D28" s="45"/>
      <c r="E28" s="45"/>
      <c r="F28" s="94">
        <f>_xlfn.XLOOKUP(Tabla27573[[#This Row],[Tipo de venta]],Tabla2329[Tipo de venta],Tabla2329[Moneda final], "-----", 0,1)</f>
        <v>0</v>
      </c>
      <c r="G28" s="35"/>
      <c r="H28" s="97"/>
      <c r="I28" s="98">
        <f>Tabla27573[[#This Row],[Costo Unitario]]/(1-Tabla27573[[#This Row],[Margen]])</f>
        <v>0</v>
      </c>
      <c r="J28" s="95"/>
      <c r="K28" s="99">
        <f>Tabla27573[[#This Row],[Cantidad]]*Tabla27573[[#This Row],[Precio Unitario]]</f>
        <v>0</v>
      </c>
    </row>
    <row r="29" spans="2:11" x14ac:dyDescent="0.3">
      <c r="B29" s="93"/>
      <c r="C29" s="45"/>
      <c r="D29" s="23"/>
      <c r="E29" s="45"/>
      <c r="F29" s="45">
        <f>_xlfn.XLOOKUP(Tabla27573[[#This Row],[Tipo de venta]],Tabla2329[Tipo de venta],Tabla2329[Moneda final], "-----", 0,1)</f>
        <v>0</v>
      </c>
      <c r="G29" s="35"/>
      <c r="H29" s="97"/>
      <c r="I29" s="98">
        <f>Tabla27573[[#This Row],[Costo Unitario]]/(1-Tabla27573[[#This Row],[Margen]])</f>
        <v>0</v>
      </c>
      <c r="J29" s="95"/>
      <c r="K29" s="114">
        <f>Tabla27573[[#This Row],[Cantidad]]*Tabla27573[[#This Row],[Precio Unitario]]</f>
        <v>0</v>
      </c>
    </row>
    <row r="30" spans="2:11" x14ac:dyDescent="0.3">
      <c r="B30" s="93"/>
      <c r="C30" s="45"/>
      <c r="D30" s="23"/>
      <c r="E30" s="45"/>
      <c r="F30" s="45">
        <f>_xlfn.XLOOKUP(Tabla27573[[#This Row],[Tipo de venta]],Tabla2329[Tipo de venta],Tabla2329[Moneda final], "-----", 0,1)</f>
        <v>0</v>
      </c>
      <c r="G30" s="35"/>
      <c r="H30" s="97"/>
      <c r="I30" s="98">
        <f>Tabla27573[[#This Row],[Costo Unitario]]/(1-Tabla27573[[#This Row],[Margen]])</f>
        <v>0</v>
      </c>
      <c r="J30" s="95"/>
      <c r="K30" s="114">
        <f>Tabla27573[[#This Row],[Cantidad]]*Tabla27573[[#This Row],[Precio Unitario]]</f>
        <v>0</v>
      </c>
    </row>
    <row r="31" spans="2:11" x14ac:dyDescent="0.3">
      <c r="B31" s="93"/>
      <c r="C31" s="45"/>
      <c r="D31" s="23"/>
      <c r="E31" s="45"/>
      <c r="F31" s="45">
        <f>_xlfn.XLOOKUP(Tabla27573[[#This Row],[Tipo de venta]],Tabla2329[Tipo de venta],Tabla2329[Moneda final], "-----", 0,1)</f>
        <v>0</v>
      </c>
      <c r="G31" s="35"/>
      <c r="H31" s="97"/>
      <c r="I31" s="98">
        <f>Tabla27573[[#This Row],[Costo Unitario]]/(1-Tabla27573[[#This Row],[Margen]])</f>
        <v>0</v>
      </c>
      <c r="J31" s="95"/>
      <c r="K31" s="114">
        <f>Tabla27573[[#This Row],[Cantidad]]*Tabla27573[[#This Row],[Precio Unitario]]</f>
        <v>0</v>
      </c>
    </row>
    <row r="32" spans="2:11" x14ac:dyDescent="0.3">
      <c r="B32" s="93"/>
      <c r="C32" s="45"/>
      <c r="D32" s="23"/>
      <c r="E32" s="45"/>
      <c r="F32" s="45">
        <f>_xlfn.XLOOKUP(Tabla27573[[#This Row],[Tipo de venta]],Tabla2329[Tipo de venta],Tabla2329[Moneda final], "-----", 0,1)</f>
        <v>0</v>
      </c>
      <c r="G32" s="35"/>
      <c r="H32" s="97"/>
      <c r="I32" s="98">
        <f>Tabla27573[[#This Row],[Costo Unitario]]/(1-Tabla27573[[#This Row],[Margen]])</f>
        <v>0</v>
      </c>
      <c r="J32" s="95"/>
      <c r="K32" s="114">
        <f>Tabla27573[[#This Row],[Cantidad]]*Tabla27573[[#This Row],[Precio Unitario]]</f>
        <v>0</v>
      </c>
    </row>
    <row r="33" spans="2:11" x14ac:dyDescent="0.3">
      <c r="B33" s="93"/>
      <c r="C33" s="45"/>
      <c r="D33" s="23"/>
      <c r="E33" s="45"/>
      <c r="F33" s="45">
        <f>_xlfn.XLOOKUP(Tabla27573[[#This Row],[Tipo de venta]],Tabla2329[Tipo de venta],Tabla2329[Moneda final], "-----", 0,1)</f>
        <v>0</v>
      </c>
      <c r="G33" s="35"/>
      <c r="H33" s="97"/>
      <c r="I33" s="98">
        <f>Tabla27573[[#This Row],[Costo Unitario]]/(1-Tabla27573[[#This Row],[Margen]])</f>
        <v>0</v>
      </c>
      <c r="J33" s="95"/>
      <c r="K33" s="114">
        <f>Tabla27573[[#This Row],[Cantidad]]*Tabla27573[[#This Row],[Precio Unitario]]</f>
        <v>0</v>
      </c>
    </row>
    <row r="34" spans="2:11" x14ac:dyDescent="0.3">
      <c r="B34" s="93"/>
      <c r="C34" s="45"/>
      <c r="D34" s="23"/>
      <c r="E34" s="45"/>
      <c r="F34" s="45">
        <f>_xlfn.XLOOKUP(Tabla27573[[#This Row],[Tipo de venta]],Tabla2329[Tipo de venta],Tabla2329[Moneda final], "-----", 0,1)</f>
        <v>0</v>
      </c>
      <c r="G34" s="35"/>
      <c r="H34" s="97"/>
      <c r="I34" s="98">
        <f>Tabla27573[[#This Row],[Costo Unitario]]/(1-Tabla27573[[#This Row],[Margen]])</f>
        <v>0</v>
      </c>
      <c r="J34" s="95"/>
      <c r="K34" s="114">
        <f>Tabla27573[[#This Row],[Cantidad]]*Tabla27573[[#This Row],[Precio Unitario]]</f>
        <v>0</v>
      </c>
    </row>
    <row r="35" spans="2:11" x14ac:dyDescent="0.3">
      <c r="B35" s="93"/>
      <c r="C35" s="45"/>
      <c r="D35" s="23"/>
      <c r="E35" s="45"/>
      <c r="F35" s="45">
        <f>_xlfn.XLOOKUP(Tabla27573[[#This Row],[Tipo de venta]],Tabla2329[Tipo de venta],Tabla2329[Moneda final], "-----", 0,1)</f>
        <v>0</v>
      </c>
      <c r="G35" s="35"/>
      <c r="H35" s="97"/>
      <c r="I35" s="98">
        <f>Tabla27573[[#This Row],[Costo Unitario]]/(1-Tabla27573[[#This Row],[Margen]])</f>
        <v>0</v>
      </c>
      <c r="J35" s="95"/>
      <c r="K35" s="114">
        <f>Tabla27573[[#This Row],[Cantidad]]*Tabla27573[[#This Row],[Precio Unitario]]</f>
        <v>0</v>
      </c>
    </row>
    <row r="36" spans="2:11" x14ac:dyDescent="0.3">
      <c r="B36" s="93"/>
      <c r="C36" s="45"/>
      <c r="D36" s="23"/>
      <c r="E36" s="45"/>
      <c r="F36" s="45">
        <f>_xlfn.XLOOKUP(Tabla27573[[#This Row],[Tipo de venta]],Tabla2329[Tipo de venta],Tabla2329[Moneda final], "-----", 0,1)</f>
        <v>0</v>
      </c>
      <c r="G36" s="35"/>
      <c r="H36" s="97"/>
      <c r="I36" s="98">
        <f>Tabla27573[[#This Row],[Costo Unitario]]/(1-Tabla27573[[#This Row],[Margen]])</f>
        <v>0</v>
      </c>
      <c r="J36" s="95"/>
      <c r="K36" s="114">
        <f>Tabla27573[[#This Row],[Cantidad]]*Tabla27573[[#This Row],[Precio Unitario]]</f>
        <v>0</v>
      </c>
    </row>
    <row r="37" spans="2:11" x14ac:dyDescent="0.3">
      <c r="B37" s="93"/>
      <c r="C37" s="45"/>
      <c r="D37" s="23"/>
      <c r="E37" s="45"/>
      <c r="F37" s="45">
        <f>_xlfn.XLOOKUP(Tabla27573[[#This Row],[Tipo de venta]],Tabla2329[Tipo de venta],Tabla2329[Moneda final], "-----", 0,1)</f>
        <v>0</v>
      </c>
      <c r="G37" s="35"/>
      <c r="H37" s="97"/>
      <c r="I37" s="98">
        <f>Tabla27573[[#This Row],[Costo Unitario]]/(1-Tabla27573[[#This Row],[Margen]])</f>
        <v>0</v>
      </c>
      <c r="J37" s="95"/>
      <c r="K37" s="114">
        <f>Tabla27573[[#This Row],[Cantidad]]*Tabla27573[[#This Row],[Precio Unitario]]</f>
        <v>0</v>
      </c>
    </row>
    <row r="38" spans="2:11" x14ac:dyDescent="0.3">
      <c r="B38" s="93"/>
      <c r="C38" s="45"/>
      <c r="D38" s="23"/>
      <c r="E38" s="45"/>
      <c r="F38" s="45">
        <f>_xlfn.XLOOKUP(Tabla27573[[#This Row],[Tipo de venta]],Tabla2329[Tipo de venta],Tabla2329[Moneda final], "-----", 0,1)</f>
        <v>0</v>
      </c>
      <c r="G38" s="35"/>
      <c r="H38" s="97"/>
      <c r="I38" s="98">
        <f>Tabla27573[[#This Row],[Costo Unitario]]/(1-Tabla27573[[#This Row],[Margen]])</f>
        <v>0</v>
      </c>
      <c r="J38" s="95"/>
      <c r="K38" s="114">
        <f>Tabla27573[[#This Row],[Cantidad]]*Tabla27573[[#This Row],[Precio Unitario]]</f>
        <v>0</v>
      </c>
    </row>
    <row r="39" spans="2:11" x14ac:dyDescent="0.3">
      <c r="B39" s="93"/>
      <c r="C39" s="45"/>
      <c r="D39" s="23"/>
      <c r="E39" s="45"/>
      <c r="F39" s="45">
        <f>_xlfn.XLOOKUP(Tabla27573[[#This Row],[Tipo de venta]],Tabla2329[Tipo de venta],Tabla2329[Moneda final], "-----", 0,1)</f>
        <v>0</v>
      </c>
      <c r="G39" s="35"/>
      <c r="H39" s="97"/>
      <c r="I39" s="98">
        <f>Tabla27573[[#This Row],[Costo Unitario]]/(1-Tabla27573[[#This Row],[Margen]])</f>
        <v>0</v>
      </c>
      <c r="J39" s="95"/>
      <c r="K39" s="114">
        <f>Tabla27573[[#This Row],[Cantidad]]*Tabla27573[[#This Row],[Precio Unitario]]</f>
        <v>0</v>
      </c>
    </row>
    <row r="40" spans="2:11" x14ac:dyDescent="0.3">
      <c r="B40" s="93"/>
      <c r="C40" s="45"/>
      <c r="D40" s="23"/>
      <c r="E40" s="45"/>
      <c r="F40" s="45">
        <f>_xlfn.XLOOKUP(Tabla27573[[#This Row],[Tipo de venta]],Tabla2329[Tipo de venta],Tabla2329[Moneda final], "-----", 0,1)</f>
        <v>0</v>
      </c>
      <c r="G40" s="35"/>
      <c r="H40" s="97"/>
      <c r="I40" s="98">
        <f>Tabla27573[[#This Row],[Costo Unitario]]/(1-Tabla27573[[#This Row],[Margen]])</f>
        <v>0</v>
      </c>
      <c r="J40" s="95"/>
      <c r="K40" s="114">
        <f>Tabla27573[[#This Row],[Cantidad]]*Tabla27573[[#This Row],[Precio Unitario]]</f>
        <v>0</v>
      </c>
    </row>
    <row r="41" spans="2:11" x14ac:dyDescent="0.3">
      <c r="B41" s="93"/>
      <c r="C41" s="45"/>
      <c r="D41" s="23"/>
      <c r="E41" s="45"/>
      <c r="F41" s="45">
        <f>_xlfn.XLOOKUP(Tabla27573[[#This Row],[Tipo de venta]],Tabla2329[Tipo de venta],Tabla2329[Moneda final], "-----", 0,1)</f>
        <v>0</v>
      </c>
      <c r="G41" s="35"/>
      <c r="H41" s="97"/>
      <c r="I41" s="98">
        <f>Tabla27573[[#This Row],[Costo Unitario]]/(1-Tabla27573[[#This Row],[Margen]])</f>
        <v>0</v>
      </c>
      <c r="J41" s="95"/>
      <c r="K41" s="114">
        <f>Tabla27573[[#This Row],[Cantidad]]*Tabla27573[[#This Row],[Precio Unitario]]</f>
        <v>0</v>
      </c>
    </row>
    <row r="42" spans="2:11" x14ac:dyDescent="0.3">
      <c r="B42" s="93"/>
      <c r="C42" s="45"/>
      <c r="D42" s="23"/>
      <c r="E42" s="45"/>
      <c r="F42" s="45">
        <f>_xlfn.XLOOKUP(Tabla27573[[#This Row],[Tipo de venta]],Tabla2329[Tipo de venta],Tabla2329[Moneda final], "-----", 0,1)</f>
        <v>0</v>
      </c>
      <c r="G42" s="35"/>
      <c r="H42" s="97"/>
      <c r="I42" s="98">
        <f>Tabla27573[[#This Row],[Costo Unitario]]/(1-Tabla27573[[#This Row],[Margen]])</f>
        <v>0</v>
      </c>
      <c r="J42" s="95"/>
      <c r="K42" s="114">
        <f>Tabla27573[[#This Row],[Cantidad]]*Tabla27573[[#This Row],[Precio Unitario]]</f>
        <v>0</v>
      </c>
    </row>
    <row r="43" spans="2:11" x14ac:dyDescent="0.3">
      <c r="B43" s="93"/>
      <c r="C43" s="45"/>
      <c r="D43" s="23"/>
      <c r="E43" s="45"/>
      <c r="F43" s="45">
        <f>_xlfn.XLOOKUP(Tabla27573[[#This Row],[Tipo de venta]],Tabla2329[Tipo de venta],Tabla2329[Moneda final], "-----", 0,1)</f>
        <v>0</v>
      </c>
      <c r="G43" s="35"/>
      <c r="H43" s="97"/>
      <c r="I43" s="98">
        <f>Tabla27573[[#This Row],[Costo Unitario]]/(1-Tabla27573[[#This Row],[Margen]])</f>
        <v>0</v>
      </c>
      <c r="J43" s="95"/>
      <c r="K43" s="114">
        <f>Tabla27573[[#This Row],[Cantidad]]*Tabla27573[[#This Row],[Precio Unitario]]</f>
        <v>0</v>
      </c>
    </row>
    <row r="44" spans="2:11" x14ac:dyDescent="0.3">
      <c r="B44" s="93"/>
      <c r="C44" s="45"/>
      <c r="D44" s="23"/>
      <c r="E44" s="45"/>
      <c r="F44" s="45">
        <f>_xlfn.XLOOKUP(Tabla27573[[#This Row],[Tipo de venta]],Tabla2329[Tipo de venta],Tabla2329[Moneda final], "-----", 0,1)</f>
        <v>0</v>
      </c>
      <c r="G44" s="35"/>
      <c r="H44" s="97"/>
      <c r="I44" s="98">
        <f>Tabla27573[[#This Row],[Costo Unitario]]/(1-Tabla27573[[#This Row],[Margen]])</f>
        <v>0</v>
      </c>
      <c r="J44" s="95"/>
      <c r="K44" s="114">
        <f>Tabla27573[[#This Row],[Cantidad]]*Tabla27573[[#This Row],[Precio Unitario]]</f>
        <v>0</v>
      </c>
    </row>
    <row r="45" spans="2:11" x14ac:dyDescent="0.3">
      <c r="B45" s="93"/>
      <c r="C45" s="45"/>
      <c r="D45" s="23"/>
      <c r="E45" s="45"/>
      <c r="F45" s="45">
        <f>_xlfn.XLOOKUP(Tabla27573[[#This Row],[Tipo de venta]],Tabla2329[Tipo de venta],Tabla2329[Moneda final], "-----", 0,1)</f>
        <v>0</v>
      </c>
      <c r="G45" s="35"/>
      <c r="H45" s="97"/>
      <c r="I45" s="98">
        <f>Tabla27573[[#This Row],[Costo Unitario]]/(1-Tabla27573[[#This Row],[Margen]])</f>
        <v>0</v>
      </c>
      <c r="J45" s="95"/>
      <c r="K45" s="114">
        <f>Tabla27573[[#This Row],[Cantidad]]*Tabla27573[[#This Row],[Precio Unitario]]</f>
        <v>0</v>
      </c>
    </row>
    <row r="46" spans="2:11" x14ac:dyDescent="0.3">
      <c r="B46" s="93"/>
      <c r="C46" s="45"/>
      <c r="D46" s="23"/>
      <c r="E46" s="45"/>
      <c r="F46" s="45">
        <f>_xlfn.XLOOKUP(Tabla27573[[#This Row],[Tipo de venta]],Tabla2329[Tipo de venta],Tabla2329[Moneda final], "-----", 0,1)</f>
        <v>0</v>
      </c>
      <c r="G46" s="35"/>
      <c r="H46" s="97"/>
      <c r="I46" s="98">
        <f>Tabla27573[[#This Row],[Costo Unitario]]/(1-Tabla27573[[#This Row],[Margen]])</f>
        <v>0</v>
      </c>
      <c r="J46" s="95"/>
      <c r="K46" s="114">
        <f>Tabla27573[[#This Row],[Cantidad]]*Tabla27573[[#This Row],[Precio Unitario]]</f>
        <v>0</v>
      </c>
    </row>
    <row r="47" spans="2:11" x14ac:dyDescent="0.3">
      <c r="B47" s="93"/>
      <c r="C47" s="45"/>
      <c r="D47" s="23"/>
      <c r="E47" s="45"/>
      <c r="F47" s="45">
        <f>_xlfn.XLOOKUP(Tabla27573[[#This Row],[Tipo de venta]],Tabla2329[Tipo de venta],Tabla2329[Moneda final], "-----", 0,1)</f>
        <v>0</v>
      </c>
      <c r="G47" s="35"/>
      <c r="H47" s="97"/>
      <c r="I47" s="98">
        <f>Tabla27573[[#This Row],[Costo Unitario]]/(1-Tabla27573[[#This Row],[Margen]])</f>
        <v>0</v>
      </c>
      <c r="J47" s="95"/>
      <c r="K47" s="114">
        <f>Tabla27573[[#This Row],[Cantidad]]*Tabla27573[[#This Row],[Precio Unitario]]</f>
        <v>0</v>
      </c>
    </row>
    <row r="48" spans="2:11" x14ac:dyDescent="0.3">
      <c r="B48" s="93"/>
      <c r="C48" s="45"/>
      <c r="D48" s="23"/>
      <c r="E48" s="45"/>
      <c r="F48" s="45">
        <f>_xlfn.XLOOKUP(Tabla27573[[#This Row],[Tipo de venta]],Tabla2329[Tipo de venta],Tabla2329[Moneda final], "-----", 0,1)</f>
        <v>0</v>
      </c>
      <c r="G48" s="35"/>
      <c r="H48" s="97"/>
      <c r="I48" s="98">
        <f>Tabla27573[[#This Row],[Costo Unitario]]/(1-Tabla27573[[#This Row],[Margen]])</f>
        <v>0</v>
      </c>
      <c r="J48" s="95"/>
      <c r="K48" s="114">
        <f>Tabla27573[[#This Row],[Cantidad]]*Tabla27573[[#This Row],[Precio Unitario]]</f>
        <v>0</v>
      </c>
    </row>
    <row r="49" spans="2:11" x14ac:dyDescent="0.3">
      <c r="B49" s="93"/>
      <c r="C49" s="45"/>
      <c r="D49" s="23"/>
      <c r="E49" s="45"/>
      <c r="F49" s="45">
        <f>_xlfn.XLOOKUP(Tabla27573[[#This Row],[Tipo de venta]],Tabla2329[Tipo de venta],Tabla2329[Moneda final], "-----", 0,1)</f>
        <v>0</v>
      </c>
      <c r="G49" s="35"/>
      <c r="H49" s="97"/>
      <c r="I49" s="98">
        <f>Tabla27573[[#This Row],[Costo Unitario]]/(1-Tabla27573[[#This Row],[Margen]])</f>
        <v>0</v>
      </c>
      <c r="J49" s="95"/>
      <c r="K49" s="114">
        <f>Tabla27573[[#This Row],[Cantidad]]*Tabla27573[[#This Row],[Precio Unitario]]</f>
        <v>0</v>
      </c>
    </row>
    <row r="50" spans="2:11" x14ac:dyDescent="0.3">
      <c r="B50" s="93"/>
      <c r="C50" s="45"/>
      <c r="D50" s="23"/>
      <c r="E50" s="45"/>
      <c r="F50" s="45">
        <f>_xlfn.XLOOKUP(Tabla27573[[#This Row],[Tipo de venta]],Tabla2329[Tipo de venta],Tabla2329[Moneda final], "-----", 0,1)</f>
        <v>0</v>
      </c>
      <c r="G50" s="35"/>
      <c r="H50" s="97"/>
      <c r="I50" s="98">
        <f>Tabla27573[[#This Row],[Costo Unitario]]/(1-Tabla27573[[#This Row],[Margen]])</f>
        <v>0</v>
      </c>
      <c r="J50" s="95"/>
      <c r="K50" s="114">
        <f>Tabla27573[[#This Row],[Cantidad]]*Tabla27573[[#This Row],[Precio Unitario]]</f>
        <v>0</v>
      </c>
    </row>
    <row r="51" spans="2:11" x14ac:dyDescent="0.3">
      <c r="B51" s="93"/>
      <c r="C51" s="45"/>
      <c r="D51" s="23"/>
      <c r="E51" s="45"/>
      <c r="F51" s="45">
        <f>_xlfn.XLOOKUP(Tabla27573[[#This Row],[Tipo de venta]],Tabla2329[Tipo de venta],Tabla2329[Moneda final], "-----", 0,1)</f>
        <v>0</v>
      </c>
      <c r="G51" s="35"/>
      <c r="H51" s="97"/>
      <c r="I51" s="98">
        <f>Tabla27573[[#This Row],[Costo Unitario]]/(1-Tabla27573[[#This Row],[Margen]])</f>
        <v>0</v>
      </c>
      <c r="J51" s="95"/>
      <c r="K51" s="114">
        <f>Tabla27573[[#This Row],[Cantidad]]*Tabla27573[[#This Row],[Precio Unitario]]</f>
        <v>0</v>
      </c>
    </row>
    <row r="52" spans="2:11" x14ac:dyDescent="0.3">
      <c r="B52" s="93"/>
      <c r="C52" s="45"/>
      <c r="D52" s="23"/>
      <c r="E52" s="45"/>
      <c r="F52" s="45">
        <f>_xlfn.XLOOKUP(Tabla27573[[#This Row],[Tipo de venta]],Tabla2329[Tipo de venta],Tabla2329[Moneda final], "-----", 0,1)</f>
        <v>0</v>
      </c>
      <c r="G52" s="35"/>
      <c r="H52" s="97"/>
      <c r="I52" s="98">
        <f>Tabla27573[[#This Row],[Costo Unitario]]/(1-Tabla27573[[#This Row],[Margen]])</f>
        <v>0</v>
      </c>
      <c r="J52" s="95"/>
      <c r="K52" s="114">
        <f>Tabla27573[[#This Row],[Cantidad]]*Tabla27573[[#This Row],[Precio Unitario]]</f>
        <v>0</v>
      </c>
    </row>
    <row r="53" spans="2:11" x14ac:dyDescent="0.3">
      <c r="B53" s="93"/>
      <c r="C53" s="45"/>
      <c r="D53" s="23"/>
      <c r="E53" s="45"/>
      <c r="F53" s="45">
        <f>_xlfn.XLOOKUP(Tabla27573[[#This Row],[Tipo de venta]],Tabla2329[Tipo de venta],Tabla2329[Moneda final], "-----", 0,1)</f>
        <v>0</v>
      </c>
      <c r="G53" s="35"/>
      <c r="H53" s="97"/>
      <c r="I53" s="98">
        <f>Tabla27573[[#This Row],[Costo Unitario]]/(1-Tabla27573[[#This Row],[Margen]])</f>
        <v>0</v>
      </c>
      <c r="J53" s="95"/>
      <c r="K53" s="114">
        <f>Tabla27573[[#This Row],[Cantidad]]*Tabla27573[[#This Row],[Precio Unitario]]</f>
        <v>0</v>
      </c>
    </row>
    <row r="54" spans="2:11" x14ac:dyDescent="0.3">
      <c r="B54" s="93"/>
      <c r="C54" s="45"/>
      <c r="D54" s="23"/>
      <c r="E54" s="45"/>
      <c r="F54" s="45">
        <f>_xlfn.XLOOKUP(Tabla27573[[#This Row],[Tipo de venta]],Tabla2329[Tipo de venta],Tabla2329[Moneda final], "-----", 0,1)</f>
        <v>0</v>
      </c>
      <c r="G54" s="35"/>
      <c r="H54" s="97"/>
      <c r="I54" s="98">
        <f>Tabla27573[[#This Row],[Costo Unitario]]/(1-Tabla27573[[#This Row],[Margen]])</f>
        <v>0</v>
      </c>
      <c r="J54" s="95"/>
      <c r="K54" s="114">
        <f>Tabla27573[[#This Row],[Cantidad]]*Tabla27573[[#This Row],[Precio Unitario]]</f>
        <v>0</v>
      </c>
    </row>
    <row r="55" spans="2:11" x14ac:dyDescent="0.3">
      <c r="D55" t="s">
        <v>223</v>
      </c>
    </row>
  </sheetData>
  <mergeCells count="1">
    <mergeCell ref="H2:K5"/>
  </mergeCells>
  <pageMargins left="0.7" right="0.7" top="0.75" bottom="0.75" header="0.3" footer="0.3"/>
  <tableParts count="2">
    <tablePart r:id="rId1"/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A9FEAC25-4B2F-4D75-8C52-AE34DBB4214B}">
          <x14:formula1>
            <xm:f>'Datos generales'!$V$8:$V$1048576</xm:f>
          </x14:formula1>
          <xm:sqref>B4:B5</xm:sqref>
        </x14:dataValidation>
        <x14:dataValidation type="list" allowBlank="1" showInputMessage="1" showErrorMessage="1" xr:uid="{2ED71F30-5068-4D42-9DA6-03E6E7BEFAF1}">
          <x14:formula1>
            <xm:f>'Datos proyecto'!$F$9:$F$1048576</xm:f>
          </x14:formula1>
          <xm:sqref>C9:C54</xm:sqref>
        </x14:dataValidation>
        <x14:dataValidation type="list" allowBlank="1" showInputMessage="1" showErrorMessage="1" xr:uid="{674C382B-6B38-4A31-BC2D-E92260845599}">
          <x14:formula1>
            <xm:f>'Datos proyecto'!$I$9:$I$1048576</xm:f>
          </x14:formula1>
          <xm:sqref>B9:B54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45313F-494E-4A77-871B-F748C9E5EBA4}">
  <sheetPr codeName="Hoja7">
    <tabColor theme="6" tint="0.39997558519241921"/>
  </sheetPr>
  <dimension ref="B2:T36"/>
  <sheetViews>
    <sheetView zoomScale="55" zoomScaleNormal="55" workbookViewId="0">
      <selection activeCell="H14" sqref="H14"/>
    </sheetView>
  </sheetViews>
  <sheetFormatPr baseColWidth="10" defaultColWidth="11.44140625" defaultRowHeight="14.4" x14ac:dyDescent="0.3"/>
  <cols>
    <col min="2" max="2" width="15.6640625" customWidth="1"/>
    <col min="3" max="3" width="12.6640625" customWidth="1"/>
    <col min="4" max="4" width="14.44140625" customWidth="1"/>
    <col min="5" max="5" width="19.44140625" customWidth="1"/>
    <col min="6" max="6" width="31.6640625" customWidth="1"/>
    <col min="7" max="7" width="17.77734375" customWidth="1"/>
    <col min="8" max="8" width="18.77734375" customWidth="1"/>
    <col min="9" max="10" width="17.44140625" customWidth="1"/>
    <col min="11" max="11" width="16.44140625" customWidth="1"/>
    <col min="12" max="12" width="16.109375" customWidth="1"/>
    <col min="13" max="13" width="15.109375" customWidth="1"/>
    <col min="16" max="16" width="14" customWidth="1"/>
    <col min="17" max="17" width="17.109375" customWidth="1"/>
    <col min="18" max="18" width="19.44140625" customWidth="1"/>
  </cols>
  <sheetData>
    <row r="2" spans="2:20" x14ac:dyDescent="0.3">
      <c r="E2" s="160" t="s">
        <v>130</v>
      </c>
      <c r="F2" s="160"/>
      <c r="G2" s="160"/>
      <c r="H2" s="160"/>
      <c r="I2" s="160"/>
      <c r="J2" s="160"/>
      <c r="K2" s="160"/>
      <c r="L2" s="160"/>
      <c r="M2" s="160"/>
      <c r="N2" s="160"/>
      <c r="O2" s="160"/>
      <c r="P2" s="160"/>
      <c r="Q2" s="160"/>
    </row>
    <row r="3" spans="2:20" x14ac:dyDescent="0.3">
      <c r="E3" s="160"/>
      <c r="F3" s="160"/>
      <c r="G3" s="160"/>
      <c r="H3" s="160"/>
      <c r="I3" s="160"/>
      <c r="J3" s="160"/>
      <c r="K3" s="160"/>
      <c r="L3" s="160"/>
      <c r="M3" s="160"/>
      <c r="N3" s="160"/>
      <c r="O3" s="160"/>
      <c r="P3" s="160"/>
      <c r="Q3" s="160"/>
    </row>
    <row r="4" spans="2:20" x14ac:dyDescent="0.3">
      <c r="E4" s="88"/>
    </row>
    <row r="5" spans="2:20" x14ac:dyDescent="0.3">
      <c r="B5" s="122" t="s">
        <v>49</v>
      </c>
      <c r="C5" s="122" t="s">
        <v>49</v>
      </c>
      <c r="D5" s="122" t="s">
        <v>49</v>
      </c>
      <c r="E5" s="122" t="s">
        <v>49</v>
      </c>
      <c r="F5" s="4" t="s">
        <v>50</v>
      </c>
      <c r="G5" s="4" t="s">
        <v>50</v>
      </c>
      <c r="H5" s="4" t="s">
        <v>50</v>
      </c>
      <c r="I5" s="122" t="s">
        <v>59</v>
      </c>
      <c r="J5" s="4" t="s">
        <v>50</v>
      </c>
      <c r="K5" s="4" t="s">
        <v>50</v>
      </c>
      <c r="L5" s="4" t="s">
        <v>50</v>
      </c>
      <c r="M5" s="4" t="s">
        <v>50</v>
      </c>
      <c r="N5" s="4" t="s">
        <v>50</v>
      </c>
      <c r="O5" s="4" t="s">
        <v>50</v>
      </c>
      <c r="P5" s="4" t="s">
        <v>50</v>
      </c>
      <c r="Q5" s="4" t="s">
        <v>50</v>
      </c>
      <c r="R5" s="4" t="s">
        <v>50</v>
      </c>
    </row>
    <row r="6" spans="2:20" ht="28.8" x14ac:dyDescent="0.3">
      <c r="B6" s="29" t="s">
        <v>37</v>
      </c>
      <c r="C6" s="29" t="s">
        <v>51</v>
      </c>
      <c r="D6" s="60" t="s">
        <v>60</v>
      </c>
      <c r="E6" s="29" t="s">
        <v>61</v>
      </c>
      <c r="F6" s="29" t="s">
        <v>36</v>
      </c>
      <c r="G6" s="29" t="s">
        <v>109</v>
      </c>
      <c r="H6" s="29" t="s">
        <v>198</v>
      </c>
      <c r="I6" s="29" t="s">
        <v>62</v>
      </c>
      <c r="J6" s="29" t="s">
        <v>129</v>
      </c>
      <c r="K6" s="29" t="s">
        <v>113</v>
      </c>
      <c r="L6" s="29" t="s">
        <v>125</v>
      </c>
      <c r="M6" s="29" t="s">
        <v>126</v>
      </c>
      <c r="N6" s="29" t="s">
        <v>127</v>
      </c>
      <c r="O6" s="29" t="s">
        <v>63</v>
      </c>
      <c r="P6" s="29" t="s">
        <v>64</v>
      </c>
      <c r="Q6" s="29" t="s">
        <v>114</v>
      </c>
      <c r="R6" s="29" t="s">
        <v>192</v>
      </c>
    </row>
    <row r="7" spans="2:20" ht="66" customHeight="1" x14ac:dyDescent="0.3">
      <c r="B7" s="93" t="s">
        <v>40</v>
      </c>
      <c r="C7" s="20" t="s">
        <v>179</v>
      </c>
      <c r="D7" s="22" t="s">
        <v>65</v>
      </c>
      <c r="E7" s="23" t="s">
        <v>48</v>
      </c>
      <c r="F7" s="31" t="str">
        <f>_xlfn.XLOOKUP(Tabla27[[#This Row],[Nombre producto]],Productos!C:C,Productos!D:D, "---",0,1)</f>
        <v>Datalogger de fabricación propia - No hay margen porque ese es el precio final</v>
      </c>
      <c r="G7" s="31" t="str">
        <f>_xlfn.XLOOKUP(Tabla27[[#This Row],[Nombre producto]], TablaProductos[Nombre producto], TablaProductos[Tipo de moneda],"-------",0,1)</f>
        <v>USD</v>
      </c>
      <c r="H7" s="181">
        <f>_xlfn.XLOOKUP(Tabla27[[#This Row],[Nombre producto]], TablaProductos[Nombre producto], TablaProductos[Costo producto],"-----",0,1)</f>
        <v>600</v>
      </c>
      <c r="I7" s="134">
        <v>3</v>
      </c>
      <c r="J7" s="183">
        <f>IF(Tabla27[[#This Row],[Moneda producto]]="USD",'Datos generales'!$G$3,IF(Tabla27[[#This Row],[Moneda producto]]="EUR",'Datos generales'!$G$3,0))</f>
        <v>0.05</v>
      </c>
      <c r="K7" s="35">
        <f>_xlfn.XLOOKUP(Tabla27[[#This Row],[Nombre producto]], TablaProductos[Nombre producto], TablaProductos[Precio USD],"0",0,1)</f>
        <v>666.66666666666663</v>
      </c>
      <c r="L7" s="35">
        <f>_xlfn.XLOOKUP(Tabla27[[#This Row],[Nombre producto]], TablaProductos[Nombre producto], TablaProductos[Precio CLP],"0",0,1)</f>
        <v>633333.33333333326</v>
      </c>
      <c r="M7" s="35">
        <f>_xlfn.XLOOKUP(Tabla27[[#This Row],[Nombre producto]], TablaProductos[Nombre producto], TablaProductos[Precio UF],"0",0,1)</f>
        <v>16.489105040806194</v>
      </c>
      <c r="N7" s="35">
        <f>_xlfn.XLOOKUP(Tabla27[[#This Row],[Nombre producto]], TablaProductos[Nombre producto], TablaProductos[Precio Euros],"0",0,1)</f>
        <v>617.88617886178849</v>
      </c>
      <c r="O7" s="45">
        <f>_xlfn.XLOOKUP(Tabla27[[#This Row],[Nombre producto]],Productos!$C:$C,Productos!N:N, "-----",0,1)</f>
        <v>617.88617886178849</v>
      </c>
      <c r="P7" s="45" t="str">
        <f>_xlfn.XLOOKUP(Tabla27[[#This Row],[Nombre producto]],Productos!$C:$C,Productos!O:O, "-----",0,1)</f>
        <v>Wolke</v>
      </c>
      <c r="Q7" s="184" t="str">
        <f>_xlfn.XLOOKUP(Tabla27[[#This Row],[Tipo de venta]], Tabla2329[Tipo de venta], Tabla2329[Moneda final], "-------", 0,1)</f>
        <v>USD</v>
      </c>
      <c r="R7" s="185">
        <f>IF(Tabla27[[#This Row],[Moneda Final]]="USD",Tabla27[[#This Row],[Unidades]]*Tabla27[[#This Row],[Precio USD/unitario]], IF(Tabla27[[#This Row],[Moneda Final]]="CLP",Tabla27[[#This Row],[Unidades]]*Tabla27[[#This Row],[Precio CLP/Unitario]],IF(Tabla27[[#This Row],[Moneda Final]]="EUR",Tabla27[[#This Row],[Unidades]]*Tabla27[[#This Row],[Precio EUR/ Unitario]],Tabla27[[#This Row],[Unidades]]*Tabla27[[#This Row],[Precio UF/Unitario]])))</f>
        <v>2000</v>
      </c>
      <c r="S7" s="193"/>
    </row>
    <row r="8" spans="2:20" ht="86.4" x14ac:dyDescent="0.3">
      <c r="B8" s="93" t="s">
        <v>40</v>
      </c>
      <c r="C8" s="20" t="s">
        <v>179</v>
      </c>
      <c r="D8" s="22" t="s">
        <v>66</v>
      </c>
      <c r="E8" s="23" t="s">
        <v>165</v>
      </c>
      <c r="F8" s="31" t="str">
        <f>_xlfn.XLOOKUP(Tabla27[[#This Row],[Nombre producto]],Productos!C:C,Productos!D:D, "---",0,1)</f>
        <v>TurBidity MetEr with built SenSor
Size: 183mm*349mm*113.5mm
IP54
Power supply 24VDC
Measure range 0-100NTU
Output: 4-20mA + RS485</v>
      </c>
      <c r="G8" s="31" t="str">
        <f>_xlfn.XLOOKUP(Tabla27[[#This Row],[Nombre producto]], TablaProductos[Nombre producto], TablaProductos[Tipo de moneda],"-------",0,1)</f>
        <v>USD</v>
      </c>
      <c r="H8" s="186">
        <f>_xlfn.XLOOKUP(Tabla27[[#This Row],[Nombre producto]], TablaProductos[Nombre producto], TablaProductos[Costo producto],"-----",0,1)</f>
        <v>800</v>
      </c>
      <c r="I8" s="134">
        <v>1</v>
      </c>
      <c r="J8" s="183">
        <f>IF(Tabla27[[#This Row],[Moneda producto]]="USD",'Datos generales'!$G$3,IF(Tabla27[[#This Row],[Moneda producto]]="EUR",'Datos generales'!$G$3,0))</f>
        <v>0.05</v>
      </c>
      <c r="K8" s="35">
        <f>_xlfn.XLOOKUP(Tabla27[[#This Row],[Nombre producto]], TablaProductos[Nombre producto], TablaProductos[Precio USD],"0",0,1)</f>
        <v>2080</v>
      </c>
      <c r="L8" s="35">
        <f>_xlfn.XLOOKUP(Tabla27[[#This Row],[Nombre producto]], TablaProductos[Nombre producto], TablaProductos[Precio CLP],"0",0,1)</f>
        <v>1976000</v>
      </c>
      <c r="M8" s="187">
        <f>_xlfn.XLOOKUP(Tabla27[[#This Row],[Nombre producto]], TablaProductos[Nombre producto], TablaProductos[Precio UF],"0",0,1)</f>
        <v>51.446007727315333</v>
      </c>
      <c r="N8" s="187">
        <f>_xlfn.XLOOKUP(Tabla27[[#This Row],[Nombre producto]], TablaProductos[Nombre producto], TablaProductos[Precio Euros],"0",0,1)</f>
        <v>1927.8048780487804</v>
      </c>
      <c r="O8" s="188">
        <f>_xlfn.XLOOKUP(Tabla27[[#This Row],[Nombre producto]],Productos!$C:$C,Productos!N:N, "-----",0,1)</f>
        <v>1927.8048780487804</v>
      </c>
      <c r="P8" s="189">
        <f>_xlfn.XLOOKUP(Tabla27[[#This Row],[Nombre producto]],Productos!$C:$C,Productos!O:O, "-----",0,1)</f>
        <v>0</v>
      </c>
      <c r="Q8" s="184" t="str">
        <f>_xlfn.XLOOKUP(Tabla27[[#This Row],[Tipo de venta]], Tabla2329[Tipo de venta], Tabla2329[Moneda final], "-------", 0,1)</f>
        <v>USD</v>
      </c>
      <c r="R8" s="185">
        <f>IF(Tabla27[[#This Row],[Moneda Final]]="USD",Tabla27[[#This Row],[Unidades]]*Tabla27[[#This Row],[Precio USD/unitario]], IF(Tabla27[[#This Row],[Moneda Final]]="CLP",Tabla27[[#This Row],[Unidades]]*Tabla27[[#This Row],[Precio CLP/Unitario]],IF(Tabla27[[#This Row],[Moneda Final]]="EUR",Tabla27[[#This Row],[Unidades]]*Tabla27[[#This Row],[Precio EUR/ Unitario]],Tabla27[[#This Row],[Unidades]]*Tabla27[[#This Row],[Precio UF/Unitario]])))</f>
        <v>2080</v>
      </c>
    </row>
    <row r="9" spans="2:20" ht="115.2" x14ac:dyDescent="0.3">
      <c r="B9" s="93" t="s">
        <v>40</v>
      </c>
      <c r="C9" s="20" t="s">
        <v>179</v>
      </c>
      <c r="D9" s="22" t="s">
        <v>66</v>
      </c>
      <c r="E9" s="23" t="s">
        <v>157</v>
      </c>
      <c r="F9" s="31" t="str">
        <f>_xlfn.XLOOKUP(Tabla27[[#This Row],[Nombre producto]],Productos!C:C,Productos!D:D, "---",0,1)</f>
        <v>Turbidity Sensor
Cable: 10m
Measure range :0-4000NTU o 0-1000NTU
IP68
Material : 316L+PVC
9-36VDC + RS485
With self cleaning function</v>
      </c>
      <c r="G9" s="31" t="str">
        <f>_xlfn.XLOOKUP(Tabla27[[#This Row],[Nombre producto]], TablaProductos[Nombre producto], TablaProductos[Tipo de moneda],"-------",0,1)</f>
        <v>USD</v>
      </c>
      <c r="H9" s="186">
        <f>_xlfn.XLOOKUP(Tabla27[[#This Row],[Nombre producto]], TablaProductos[Nombre producto], TablaProductos[Costo producto],"-----",0,1)</f>
        <v>1000</v>
      </c>
      <c r="I9" s="134"/>
      <c r="J9" s="183">
        <f>IF(Tabla27[[#This Row],[Moneda producto]]="USD",'Datos generales'!$G$3,IF(Tabla27[[#This Row],[Moneda producto]]="EUR",'Datos generales'!$G$3,0))</f>
        <v>0.05</v>
      </c>
      <c r="K9" s="35">
        <f>_xlfn.XLOOKUP(Tabla27[[#This Row],[Nombre producto]], TablaProductos[Nombre producto], TablaProductos[Precio USD],"0",0,1)</f>
        <v>2600</v>
      </c>
      <c r="L9" s="35">
        <f>_xlfn.XLOOKUP(Tabla27[[#This Row],[Nombre producto]], TablaProductos[Nombre producto], TablaProductos[Precio CLP],"0",0,1)</f>
        <v>2470000</v>
      </c>
      <c r="M9" s="187">
        <f>_xlfn.XLOOKUP(Tabla27[[#This Row],[Nombre producto]], TablaProductos[Nombre producto], TablaProductos[Precio UF],"0",0,1)</f>
        <v>64.307509659144173</v>
      </c>
      <c r="N9" s="187">
        <f>_xlfn.XLOOKUP(Tabla27[[#This Row],[Nombre producto]], TablaProductos[Nombre producto], TablaProductos[Precio Euros],"0",0,1)</f>
        <v>2409.7560975609758</v>
      </c>
      <c r="O9" s="188">
        <f>_xlfn.XLOOKUP(Tabla27[[#This Row],[Nombre producto]],Productos!$C:$C,Productos!N:N, "-----",0,1)</f>
        <v>2409.7560975609758</v>
      </c>
      <c r="P9" s="189">
        <f>_xlfn.XLOOKUP(Tabla27[[#This Row],[Nombre producto]],Productos!$C:$C,Productos!O:O, "-----",0,1)</f>
        <v>0</v>
      </c>
      <c r="Q9" s="184" t="str">
        <f>_xlfn.XLOOKUP(Tabla27[[#This Row],[Tipo de venta]], Tabla2329[Tipo de venta], Tabla2329[Moneda final], "-------", 0,1)</f>
        <v>USD</v>
      </c>
      <c r="R9" s="185">
        <f>IF(Tabla27[[#This Row],[Moneda Final]]="USD",Tabla27[[#This Row],[Unidades]]*Tabla27[[#This Row],[Precio USD/unitario]], IF(Tabla27[[#This Row],[Moneda Final]]="CLP",Tabla27[[#This Row],[Unidades]]*Tabla27[[#This Row],[Precio CLP/Unitario]],IF(Tabla27[[#This Row],[Moneda Final]]="EUR",Tabla27[[#This Row],[Unidades]]*Tabla27[[#This Row],[Precio EUR/ Unitario]],Tabla27[[#This Row],[Unidades]]*Tabla27[[#This Row],[Precio UF/Unitario]])))</f>
        <v>0</v>
      </c>
      <c r="T9" s="200"/>
    </row>
    <row r="10" spans="2:20" ht="43.2" x14ac:dyDescent="0.3">
      <c r="B10" s="93" t="s">
        <v>40</v>
      </c>
      <c r="C10" s="20" t="s">
        <v>179</v>
      </c>
      <c r="D10" s="22" t="s">
        <v>99</v>
      </c>
      <c r="E10" s="23" t="s">
        <v>158</v>
      </c>
      <c r="F10" s="31" t="str">
        <f>_xlfn.XLOOKUP(Tabla27[[#This Row],[Nombre producto]],Productos!C:C,Productos!D:D, "---",0,1)</f>
        <v>Specifically for pipeline installations, compatible with turbidity sensors. DN80</v>
      </c>
      <c r="G10" s="31" t="str">
        <f>_xlfn.XLOOKUP(Tabla27[[#This Row],[Nombre producto]], TablaProductos[Nombre producto], TablaProductos[Tipo de moneda],"-------",0,1)</f>
        <v>USD</v>
      </c>
      <c r="H10" s="186">
        <f>_xlfn.XLOOKUP(Tabla27[[#This Row],[Nombre producto]], TablaProductos[Nombre producto], TablaProductos[Costo producto],"-----",0,1)</f>
        <v>250</v>
      </c>
      <c r="I10" s="134"/>
      <c r="J10" s="183">
        <f>IF(Tabla27[[#This Row],[Moneda producto]]="USD",'Datos generales'!$G$3,IF(Tabla27[[#This Row],[Moneda producto]]="EUR",'Datos generales'!$G$3,0))</f>
        <v>0.05</v>
      </c>
      <c r="K10" s="35">
        <f>_xlfn.XLOOKUP(Tabla27[[#This Row],[Nombre producto]], TablaProductos[Nombre producto], TablaProductos[Precio USD],"0",0,1)</f>
        <v>812.5</v>
      </c>
      <c r="L10" s="35">
        <f>_xlfn.XLOOKUP(Tabla27[[#This Row],[Nombre producto]], TablaProductos[Nombre producto], TablaProductos[Precio CLP],"0",0,1)</f>
        <v>771875</v>
      </c>
      <c r="M10" s="187">
        <f>_xlfn.XLOOKUP(Tabla27[[#This Row],[Nombre producto]], TablaProductos[Nombre producto], TablaProductos[Precio UF],"0",0,1)</f>
        <v>20.096096768482553</v>
      </c>
      <c r="N10" s="187">
        <f>_xlfn.XLOOKUP(Tabla27[[#This Row],[Nombre producto]], TablaProductos[Nombre producto], TablaProductos[Precio Euros],"0",0,1)</f>
        <v>753.04878048780483</v>
      </c>
      <c r="O10" s="188">
        <f>_xlfn.XLOOKUP(Tabla27[[#This Row],[Nombre producto]],Productos!$C:$C,Productos!N:N, "-----",0,1)</f>
        <v>753.04878048780483</v>
      </c>
      <c r="P10" s="189">
        <f>_xlfn.XLOOKUP(Tabla27[[#This Row],[Nombre producto]],Productos!$C:$C,Productos!O:O, "-----",0,1)</f>
        <v>0</v>
      </c>
      <c r="Q10" s="184" t="str">
        <f>_xlfn.XLOOKUP(Tabla27[[#This Row],[Tipo de venta]], Tabla2329[Tipo de venta], Tabla2329[Moneda final], "-------", 0,1)</f>
        <v>USD</v>
      </c>
      <c r="R10" s="185">
        <f>IF(Tabla27[[#This Row],[Moneda Final]]="USD",Tabla27[[#This Row],[Unidades]]*Tabla27[[#This Row],[Precio USD/unitario]], IF(Tabla27[[#This Row],[Moneda Final]]="CLP",Tabla27[[#This Row],[Unidades]]*Tabla27[[#This Row],[Precio CLP/Unitario]],IF(Tabla27[[#This Row],[Moneda Final]]="EUR",Tabla27[[#This Row],[Unidades]]*Tabla27[[#This Row],[Precio EUR/ Unitario]],Tabla27[[#This Row],[Unidades]]*Tabla27[[#This Row],[Precio UF/Unitario]])))</f>
        <v>0</v>
      </c>
    </row>
    <row r="11" spans="2:20" ht="66" customHeight="1" x14ac:dyDescent="0.3">
      <c r="B11" s="93" t="s">
        <v>40</v>
      </c>
      <c r="C11" s="20" t="s">
        <v>179</v>
      </c>
      <c r="D11" s="22" t="s">
        <v>66</v>
      </c>
      <c r="E11" s="23" t="s">
        <v>163</v>
      </c>
      <c r="F11" s="31" t="str">
        <f>_xlfn.XLOOKUP(Tabla27[[#This Row],[Nombre producto]],Productos!C:C,Productos!D:D, "---",0,1)</f>
        <v>[pH digital electrode] [pH-8001]
Electrode connector: direct lead;
Salt bridge type: single-point ceramic diaphragm;
Temperature compensation type: NTC 22K;
Output: RS485;
Power supply: 12VDC;
Cable length: 10m;
Shell material and process connection: engineering plastic, G3/4
thread;
Measuring range: (0-14)pH
Temperature range: (0-60)℃
Pressure resistance: 0.3MPa</v>
      </c>
      <c r="G11" s="31" t="str">
        <f>_xlfn.XLOOKUP(Tabla27[[#This Row],[Nombre producto]], TablaProductos[Nombre producto], TablaProductos[Tipo de moneda],"-------",0,1)</f>
        <v>USD</v>
      </c>
      <c r="H11" s="186">
        <f>_xlfn.XLOOKUP(Tabla27[[#This Row],[Nombre producto]], TablaProductos[Nombre producto], TablaProductos[Costo producto],"-----",0,1)</f>
        <v>120</v>
      </c>
      <c r="I11" s="134">
        <v>1</v>
      </c>
      <c r="J11" s="183">
        <f>IF(Tabla27[[#This Row],[Moneda producto]]="USD",'Datos generales'!$G$3,IF(Tabla27[[#This Row],[Moneda producto]]="EUR",'Datos generales'!$G$3,0))</f>
        <v>0.05</v>
      </c>
      <c r="K11" s="35">
        <f>_xlfn.XLOOKUP(Tabla27[[#This Row],[Nombre producto]], TablaProductos[Nombre producto], TablaProductos[Precio USD],"0",0,1)</f>
        <v>312</v>
      </c>
      <c r="L11" s="35">
        <f>_xlfn.XLOOKUP(Tabla27[[#This Row],[Nombre producto]], TablaProductos[Nombre producto], TablaProductos[Precio CLP],"0",0,1)</f>
        <v>296400</v>
      </c>
      <c r="M11" s="35">
        <f>_xlfn.XLOOKUP(Tabla27[[#This Row],[Nombre producto]], TablaProductos[Nombre producto], TablaProductos[Precio UF],"0",0,1)</f>
        <v>7.7169011590972998</v>
      </c>
      <c r="N11" s="35">
        <f>_xlfn.XLOOKUP(Tabla27[[#This Row],[Nombre producto]], TablaProductos[Nombre producto], TablaProductos[Precio Euros],"0",0,1)</f>
        <v>289.17073170731709</v>
      </c>
      <c r="O11" s="45">
        <f>_xlfn.XLOOKUP(Tabla27[[#This Row],[Nombre producto]],Productos!$C:$C,Productos!N:N, "-----",0,1)</f>
        <v>289.17073170731709</v>
      </c>
      <c r="P11" s="45">
        <f>_xlfn.XLOOKUP(Tabla27[[#This Row],[Nombre producto]],Productos!$C:$C,Productos!O:O, "-----",0,1)</f>
        <v>0</v>
      </c>
      <c r="Q11" s="184" t="str">
        <f>_xlfn.XLOOKUP(Tabla27[[#This Row],[Tipo de venta]], Tabla2329[Tipo de venta], Tabla2329[Moneda final], "-------", 0,1)</f>
        <v>USD</v>
      </c>
      <c r="R11" s="185">
        <f>IF(Tabla27[[#This Row],[Moneda Final]]="USD",Tabla27[[#This Row],[Unidades]]*Tabla27[[#This Row],[Precio USD/unitario]], IF(Tabla27[[#This Row],[Moneda Final]]="CLP",Tabla27[[#This Row],[Unidades]]*Tabla27[[#This Row],[Precio CLP/Unitario]],IF(Tabla27[[#This Row],[Moneda Final]]="EUR",Tabla27[[#This Row],[Unidades]]*Tabla27[[#This Row],[Precio EUR/ Unitario]],Tabla27[[#This Row],[Unidades]]*Tabla27[[#This Row],[Precio UF/Unitario]])))</f>
        <v>312</v>
      </c>
    </row>
    <row r="12" spans="2:20" ht="201.6" x14ac:dyDescent="0.3">
      <c r="B12" s="93" t="s">
        <v>40</v>
      </c>
      <c r="C12" s="20" t="s">
        <v>179</v>
      </c>
      <c r="D12" s="22" t="s">
        <v>66</v>
      </c>
      <c r="E12" s="45" t="s">
        <v>154</v>
      </c>
      <c r="F12" s="31" t="str">
        <f>_xlfn.XLOOKUP(Tabla27[[#This Row],[Nombre producto]],Productos!C:C,Productos!D:D, "---",0,1)</f>
        <v>[Ultrasonic open channel flowmeter] [LMQ]
Water weir flume type: Parshall flume No. 1-5;
Accuracy: Class 0.5;
Output: 4-20mA+RS485;
Electrical interface, housing material and protection level: split type,
M18×1.5 cable plug, engineering plastic, IP68;
Power supply: 24VDC;
Cable length: 10m;
Level range: 0-5M
Flow range: 0.1L/s~9999.99m3/h</v>
      </c>
      <c r="G12" s="31" t="str">
        <f>_xlfn.XLOOKUP(Tabla27[[#This Row],[Nombre producto]], TablaProductos[Nombre producto], TablaProductos[Tipo de moneda],"-------",0,1)</f>
        <v>USD</v>
      </c>
      <c r="H12" s="186">
        <f>_xlfn.XLOOKUP(Tabla27[[#This Row],[Nombre producto]], TablaProductos[Nombre producto], TablaProductos[Costo producto],"-----",0,1)</f>
        <v>425</v>
      </c>
      <c r="I12" s="134">
        <v>1</v>
      </c>
      <c r="J12" s="183">
        <f>IF(Tabla27[[#This Row],[Moneda producto]]="USD",'Datos generales'!$G$3,IF(Tabla27[[#This Row],[Moneda producto]]="EUR",'Datos generales'!$G$3,0))</f>
        <v>0.05</v>
      </c>
      <c r="K12" s="35">
        <f>_xlfn.XLOOKUP(Tabla27[[#This Row],[Nombre producto]], TablaProductos[Nombre producto], TablaProductos[Precio USD],"0",0,1)</f>
        <v>1105</v>
      </c>
      <c r="L12" s="35">
        <f>_xlfn.XLOOKUP(Tabla27[[#This Row],[Nombre producto]], TablaProductos[Nombre producto], TablaProductos[Precio CLP],"0",0,1)</f>
        <v>1049750</v>
      </c>
      <c r="M12" s="187">
        <f>_xlfn.XLOOKUP(Tabla27[[#This Row],[Nombre producto]], TablaProductos[Nombre producto], TablaProductos[Precio UF],"0",0,1)</f>
        <v>27.33069160513627</v>
      </c>
      <c r="N12" s="187">
        <f>_xlfn.XLOOKUP(Tabla27[[#This Row],[Nombre producto]], TablaProductos[Nombre producto], TablaProductos[Precio Euros],"0",0,1)</f>
        <v>1024.1463414634147</v>
      </c>
      <c r="O12" s="188">
        <f>_xlfn.XLOOKUP(Tabla27[[#This Row],[Nombre producto]],Productos!$C:$C,Productos!N:N, "-----",0,1)</f>
        <v>1024.1463414634147</v>
      </c>
      <c r="P12" s="189" t="str">
        <f>_xlfn.XLOOKUP(Tabla27[[#This Row],[Nombre producto]],Productos!$C:$C,Productos!O:O, "-----",0,1)</f>
        <v>Supme</v>
      </c>
      <c r="Q12" s="184" t="str">
        <f>_xlfn.XLOOKUP(Tabla27[[#This Row],[Tipo de venta]], Tabla2329[Tipo de venta], Tabla2329[Moneda final], "-------", 0,1)</f>
        <v>USD</v>
      </c>
      <c r="R12" s="185">
        <f>IF(Tabla27[[#This Row],[Moneda Final]]="USD",Tabla27[[#This Row],[Unidades]]*Tabla27[[#This Row],[Precio USD/unitario]], IF(Tabla27[[#This Row],[Moneda Final]]="CLP",Tabla27[[#This Row],[Unidades]]*Tabla27[[#This Row],[Precio CLP/Unitario]],IF(Tabla27[[#This Row],[Moneda Final]]="EUR",Tabla27[[#This Row],[Unidades]]*Tabla27[[#This Row],[Precio EUR/ Unitario]],Tabla27[[#This Row],[Unidades]]*Tabla27[[#This Row],[Precio UF/Unitario]])))</f>
        <v>1105</v>
      </c>
    </row>
    <row r="13" spans="2:20" ht="28.8" x14ac:dyDescent="0.3">
      <c r="B13" s="93" t="s">
        <v>40</v>
      </c>
      <c r="C13" s="20" t="s">
        <v>179</v>
      </c>
      <c r="D13" s="22" t="s">
        <v>99</v>
      </c>
      <c r="E13" s="45" t="s">
        <v>110</v>
      </c>
      <c r="F13" s="31" t="str">
        <f>_xlfn.XLOOKUP(Tabla27[[#This Row],[Nombre producto]],Productos!C:C,Productos!D:D, "---",0,1)</f>
        <v>Soporte simple 1 sensor INOX</v>
      </c>
      <c r="G13" s="31" t="str">
        <f>_xlfn.XLOOKUP(Tabla27[[#This Row],[Nombre producto]], TablaProductos[Nombre producto], TablaProductos[Tipo de moneda],"-------",0,1)</f>
        <v>CLP</v>
      </c>
      <c r="H13" s="186">
        <f>_xlfn.XLOOKUP(Tabla27[[#This Row],[Nombre producto]], TablaProductos[Nombre producto], TablaProductos[Costo producto],"-----",0,1)</f>
        <v>200000</v>
      </c>
      <c r="I13" s="134">
        <v>4</v>
      </c>
      <c r="J13" s="183">
        <f>IF(Tabla27[[#This Row],[Moneda producto]]="USD",'Datos generales'!$G$3,IF(Tabla27[[#This Row],[Moneda producto]]="EUR",'Datos generales'!$G$3,0))</f>
        <v>0</v>
      </c>
      <c r="K13" s="35">
        <f>_xlfn.XLOOKUP(Tabla27[[#This Row],[Nombre producto]], TablaProductos[Nombre producto], TablaProductos[Precio USD],"0",0,1)</f>
        <v>526.31578947368416</v>
      </c>
      <c r="L13" s="35">
        <f>_xlfn.XLOOKUP(Tabla27[[#This Row],[Nombre producto]], TablaProductos[Nombre producto], TablaProductos[Precio CLP],"0",0,1)</f>
        <v>500000</v>
      </c>
      <c r="M13" s="35">
        <f>_xlfn.XLOOKUP(Tabla27[[#This Row],[Nombre producto]], TablaProductos[Nombre producto], TablaProductos[Precio UF],"0",0,1)</f>
        <v>13.01771450589963</v>
      </c>
      <c r="N13" s="187">
        <f>_xlfn.XLOOKUP(Tabla27[[#This Row],[Nombre producto]], TablaProductos[Nombre producto], TablaProductos[Precio Euros],"0",0,1)</f>
        <v>487.80487804878049</v>
      </c>
      <c r="O13" s="45">
        <f>_xlfn.XLOOKUP(Tabla27[[#This Row],[Nombre producto]],Productos!$C:$C,Productos!N:N, "-----",0,1)</f>
        <v>487.80487804878049</v>
      </c>
      <c r="P13" s="45" t="str">
        <f>_xlfn.XLOOKUP(Tabla27[[#This Row],[Nombre producto]],Productos!$C:$C,Productos!O:O, "-----",0,1)</f>
        <v>Mardinamica</v>
      </c>
      <c r="Q13" s="184" t="str">
        <f>_xlfn.XLOOKUP(Tabla27[[#This Row],[Tipo de venta]], Tabla2329[Tipo de venta], Tabla2329[Moneda final], "-------", 0,1)</f>
        <v>USD</v>
      </c>
      <c r="R13" s="185">
        <f>IF(Tabla27[[#This Row],[Moneda Final]]="USD",Tabla27[[#This Row],[Unidades]]*Tabla27[[#This Row],[Precio USD/unitario]], IF(Tabla27[[#This Row],[Moneda Final]]="CLP",Tabla27[[#This Row],[Unidades]]*Tabla27[[#This Row],[Precio CLP/Unitario]],IF(Tabla27[[#This Row],[Moneda Final]]="EUR",Tabla27[[#This Row],[Unidades]]*Tabla27[[#This Row],[Precio EUR/ Unitario]],Tabla27[[#This Row],[Unidades]]*Tabla27[[#This Row],[Precio UF/Unitario]])))</f>
        <v>2105.2631578947367</v>
      </c>
    </row>
    <row r="14" spans="2:20" ht="28.8" x14ac:dyDescent="0.3">
      <c r="B14" s="93" t="s">
        <v>40</v>
      </c>
      <c r="C14" s="20" t="s">
        <v>179</v>
      </c>
      <c r="D14" s="22" t="s">
        <v>99</v>
      </c>
      <c r="E14" s="23" t="s">
        <v>187</v>
      </c>
      <c r="F14" s="31" t="str">
        <f>_xlfn.XLOOKUP(Tabla27[[#This Row],[Nombre producto]],Productos!C:C,Productos!D:D, "---",0,1)</f>
        <v>Tablero IP65+ Fuente y accesorios</v>
      </c>
      <c r="G14" s="31" t="str">
        <f>_xlfn.XLOOKUP(Tabla27[[#This Row],[Nombre producto]], TablaProductos[Nombre producto], TablaProductos[Tipo de moneda],"-------",0,1)</f>
        <v>CLP</v>
      </c>
      <c r="H14" s="186">
        <f>_xlfn.XLOOKUP(Tabla27[[#This Row],[Nombre producto]], TablaProductos[Nombre producto], TablaProductos[Costo producto],"-----",0,1)</f>
        <v>150000</v>
      </c>
      <c r="I14" s="134">
        <v>3</v>
      </c>
      <c r="J14" s="183">
        <f>IF(Tabla27[[#This Row],[Moneda producto]]="USD",'Datos generales'!$G$3,IF(Tabla27[[#This Row],[Moneda producto]]="EUR",'Datos generales'!$G$3,0))</f>
        <v>0</v>
      </c>
      <c r="K14" s="35">
        <f>_xlfn.XLOOKUP(Tabla27[[#This Row],[Nombre producto]], TablaProductos[Nombre producto], TablaProductos[Precio USD],"0",0,1)</f>
        <v>315.78947368421052</v>
      </c>
      <c r="L14" s="35">
        <f>_xlfn.XLOOKUP(Tabla27[[#This Row],[Nombre producto]], TablaProductos[Nombre producto], TablaProductos[Precio CLP],"0",0,1)</f>
        <v>300000</v>
      </c>
      <c r="M14" s="35">
        <f>_xlfn.XLOOKUP(Tabla27[[#This Row],[Nombre producto]], TablaProductos[Nombre producto], TablaProductos[Precio UF],"0",0,1)</f>
        <v>7.8106287035397779</v>
      </c>
      <c r="N14" s="187">
        <f>_xlfn.XLOOKUP(Tabla27[[#This Row],[Nombre producto]], TablaProductos[Nombre producto], TablaProductos[Precio Euros],"0",0,1)</f>
        <v>292.6829268292683</v>
      </c>
      <c r="O14" s="45">
        <f>_xlfn.XLOOKUP(Tabla27[[#This Row],[Nombre producto]],Productos!$C:$C,Productos!N:N, "-----",0,1)</f>
        <v>292.6829268292683</v>
      </c>
      <c r="P14" s="45" t="str">
        <f>_xlfn.XLOOKUP(Tabla27[[#This Row],[Nombre producto]],Productos!$C:$C,Productos!O:O, "-----",0,1)</f>
        <v>Wolke</v>
      </c>
      <c r="Q14" s="184" t="str">
        <f>_xlfn.XLOOKUP(Tabla27[[#This Row],[Tipo de venta]], Tabla2329[Tipo de venta], Tabla2329[Moneda final], "-------", 0,1)</f>
        <v>USD</v>
      </c>
      <c r="R14" s="185">
        <f>IF(Tabla27[[#This Row],[Moneda Final]]="USD",Tabla27[[#This Row],[Unidades]]*Tabla27[[#This Row],[Precio USD/unitario]], IF(Tabla27[[#This Row],[Moneda Final]]="CLP",Tabla27[[#This Row],[Unidades]]*Tabla27[[#This Row],[Precio CLP/Unitario]],IF(Tabla27[[#This Row],[Moneda Final]]="EUR",Tabla27[[#This Row],[Unidades]]*Tabla27[[#This Row],[Precio EUR/ Unitario]],Tabla27[[#This Row],[Unidades]]*Tabla27[[#This Row],[Precio UF/Unitario]])))</f>
        <v>947.36842105263156</v>
      </c>
    </row>
    <row r="15" spans="2:20" ht="43.2" x14ac:dyDescent="0.3">
      <c r="B15" s="93" t="s">
        <v>40</v>
      </c>
      <c r="C15" s="20" t="s">
        <v>183</v>
      </c>
      <c r="D15" s="22" t="s">
        <v>65</v>
      </c>
      <c r="E15" s="23" t="s">
        <v>48</v>
      </c>
      <c r="F15" s="31" t="str">
        <f>_xlfn.XLOOKUP(Tabla27[[#This Row],[Nombre producto]],Productos!C:C,Productos!D:D, "---",0,1)</f>
        <v>Datalogger de fabricación propia - No hay margen porque ese es el precio final</v>
      </c>
      <c r="G15" s="31" t="str">
        <f>_xlfn.XLOOKUP(Tabla27[[#This Row],[Nombre producto]], TablaProductos[Nombre producto], TablaProductos[Tipo de moneda],"-------",0,1)</f>
        <v>USD</v>
      </c>
      <c r="H15" s="186">
        <f>_xlfn.XLOOKUP(Tabla27[[#This Row],[Nombre producto]], TablaProductos[Nombre producto], TablaProductos[Costo producto],"-----",0,1)</f>
        <v>600</v>
      </c>
      <c r="I15" s="134">
        <v>2</v>
      </c>
      <c r="J15" s="183">
        <f>IF(Tabla27[[#This Row],[Moneda producto]]="USD",'Datos generales'!$G$3,IF(Tabla27[[#This Row],[Moneda producto]]="EUR",'Datos generales'!$G$3,0))</f>
        <v>0.05</v>
      </c>
      <c r="K15" s="35">
        <f>_xlfn.XLOOKUP(Tabla27[[#This Row],[Nombre producto]], TablaProductos[Nombre producto], TablaProductos[Precio USD],"0",0,1)</f>
        <v>666.66666666666663</v>
      </c>
      <c r="L15" s="35">
        <f>_xlfn.XLOOKUP(Tabla27[[#This Row],[Nombre producto]], TablaProductos[Nombre producto], TablaProductos[Precio CLP],"0",0,1)</f>
        <v>633333.33333333326</v>
      </c>
      <c r="M15" s="35">
        <f>_xlfn.XLOOKUP(Tabla27[[#This Row],[Nombre producto]], TablaProductos[Nombre producto], TablaProductos[Precio UF],"0",0,1)</f>
        <v>16.489105040806194</v>
      </c>
      <c r="N15" s="187">
        <f>_xlfn.XLOOKUP(Tabla27[[#This Row],[Nombre producto]], TablaProductos[Nombre producto], TablaProductos[Precio Euros],"0",0,1)</f>
        <v>617.88617886178849</v>
      </c>
      <c r="O15" s="45">
        <f>_xlfn.XLOOKUP(Tabla27[[#This Row],[Nombre producto]],Productos!$C:$C,Productos!N:N, "-----",0,1)</f>
        <v>617.88617886178849</v>
      </c>
      <c r="P15" s="45" t="str">
        <f>_xlfn.XLOOKUP(Tabla27[[#This Row],[Nombre producto]],Productos!$C:$C,Productos!O:O, "-----",0,1)</f>
        <v>Wolke</v>
      </c>
      <c r="Q15" s="184" t="str">
        <f>_xlfn.XLOOKUP(Tabla27[[#This Row],[Tipo de venta]], Tabla2329[Tipo de venta], Tabla2329[Moneda final], "-------", 0,1)</f>
        <v>USD</v>
      </c>
      <c r="R15" s="185">
        <f>IF(Tabla27[[#This Row],[Moneda Final]]="USD",Tabla27[[#This Row],[Unidades]]*Tabla27[[#This Row],[Precio USD/unitario]], IF(Tabla27[[#This Row],[Moneda Final]]="CLP",Tabla27[[#This Row],[Unidades]]*Tabla27[[#This Row],[Precio CLP/Unitario]],IF(Tabla27[[#This Row],[Moneda Final]]="EUR",Tabla27[[#This Row],[Unidades]]*Tabla27[[#This Row],[Precio EUR/ Unitario]],Tabla27[[#This Row],[Unidades]]*Tabla27[[#This Row],[Precio UF/Unitario]])))</f>
        <v>1333.3333333333333</v>
      </c>
    </row>
    <row r="16" spans="2:20" ht="86.4" x14ac:dyDescent="0.3">
      <c r="B16" s="93" t="s">
        <v>40</v>
      </c>
      <c r="C16" s="20" t="s">
        <v>183</v>
      </c>
      <c r="D16" s="22" t="s">
        <v>66</v>
      </c>
      <c r="E16" s="45" t="s">
        <v>160</v>
      </c>
      <c r="F16" s="31" t="str">
        <f>_xlfn.XLOOKUP(Tabla27[[#This Row],[Nombre producto]],Productos!C:C,Productos!D:D, "---",0,1)</f>
        <v>Digital conductivity seNsor
Cable:10M
Range:0-70ms/cm
Temperaure range: 0-60℃
Material:POM
IP68 RS485</v>
      </c>
      <c r="G16" s="31" t="str">
        <f>_xlfn.XLOOKUP(Tabla27[[#This Row],[Nombre producto]], TablaProductos[Nombre producto], TablaProductos[Tipo de moneda],"-------",0,1)</f>
        <v>USD</v>
      </c>
      <c r="H16" s="186">
        <f>_xlfn.XLOOKUP(Tabla27[[#This Row],[Nombre producto]], TablaProductos[Nombre producto], TablaProductos[Costo producto],"-----",0,1)</f>
        <v>160</v>
      </c>
      <c r="I16" s="134">
        <v>2</v>
      </c>
      <c r="J16" s="183">
        <f>IF(Tabla27[[#This Row],[Moneda producto]]="USD",'Datos generales'!$G$3,IF(Tabla27[[#This Row],[Moneda producto]]="EUR",'Datos generales'!$G$3,0))</f>
        <v>0.05</v>
      </c>
      <c r="K16" s="35">
        <f>_xlfn.XLOOKUP(Tabla27[[#This Row],[Nombre producto]], TablaProductos[Nombre producto], TablaProductos[Precio USD],"0",0,1)</f>
        <v>416</v>
      </c>
      <c r="L16" s="35">
        <f>_xlfn.XLOOKUP(Tabla27[[#This Row],[Nombre producto]], TablaProductos[Nombre producto], TablaProductos[Precio CLP],"0",0,1)</f>
        <v>395200</v>
      </c>
      <c r="M16" s="35">
        <f>_xlfn.XLOOKUP(Tabla27[[#This Row],[Nombre producto]], TablaProductos[Nombre producto], TablaProductos[Precio UF],"0",0,1)</f>
        <v>10.289201545463067</v>
      </c>
      <c r="N16" s="187">
        <f>_xlfn.XLOOKUP(Tabla27[[#This Row],[Nombre producto]], TablaProductos[Nombre producto], TablaProductos[Precio Euros],"0",0,1)</f>
        <v>385.5609756097561</v>
      </c>
      <c r="O16" s="45">
        <f>_xlfn.XLOOKUP(Tabla27[[#This Row],[Nombre producto]],Productos!$C:$C,Productos!N:N, "-----",0,1)</f>
        <v>385.5609756097561</v>
      </c>
      <c r="P16" s="45">
        <f>_xlfn.XLOOKUP(Tabla27[[#This Row],[Nombre producto]],Productos!$C:$C,Productos!O:O, "-----",0,1)</f>
        <v>0</v>
      </c>
      <c r="Q16" s="184" t="str">
        <f>_xlfn.XLOOKUP(Tabla27[[#This Row],[Tipo de venta]], Tabla2329[Tipo de venta], Tabla2329[Moneda final], "-------", 0,1)</f>
        <v>USD</v>
      </c>
      <c r="R16" s="185">
        <f>IF(Tabla27[[#This Row],[Moneda Final]]="USD",Tabla27[[#This Row],[Unidades]]*Tabla27[[#This Row],[Precio USD/unitario]], IF(Tabla27[[#This Row],[Moneda Final]]="CLP",Tabla27[[#This Row],[Unidades]]*Tabla27[[#This Row],[Precio CLP/Unitario]],IF(Tabla27[[#This Row],[Moneda Final]]="EUR",Tabla27[[#This Row],[Unidades]]*Tabla27[[#This Row],[Precio EUR/ Unitario]],Tabla27[[#This Row],[Unidades]]*Tabla27[[#This Row],[Precio UF/Unitario]])))</f>
        <v>832</v>
      </c>
    </row>
    <row r="17" spans="2:18" ht="216" x14ac:dyDescent="0.3">
      <c r="B17" s="93" t="s">
        <v>40</v>
      </c>
      <c r="C17" s="20" t="s">
        <v>183</v>
      </c>
      <c r="D17" s="22" t="s">
        <v>66</v>
      </c>
      <c r="E17" s="23" t="s">
        <v>163</v>
      </c>
      <c r="F17" s="31" t="str">
        <f>_xlfn.XLOOKUP(Tabla27[[#This Row],[Nombre producto]],Productos!C:C,Productos!D:D, "---",0,1)</f>
        <v>[pH digital electrode] [pH-8001]
Electrode connector: direct lead;
Salt bridge type: single-point ceramic diaphragm;
Temperature compensation type: NTC 22K;
Output: RS485;
Power supply: 12VDC;
Cable length: 10m;
Shell material and process connection: engineering plastic, G3/4
thread;
Measuring range: (0-14)pH
Temperature range: (0-60)℃
Pressure resistance: 0.3MPa</v>
      </c>
      <c r="G17" s="31" t="str">
        <f>_xlfn.XLOOKUP(Tabla27[[#This Row],[Nombre producto]], TablaProductos[Nombre producto], TablaProductos[Tipo de moneda],"-------",0,1)</f>
        <v>USD</v>
      </c>
      <c r="H17" s="186">
        <f>_xlfn.XLOOKUP(Tabla27[[#This Row],[Nombre producto]], TablaProductos[Nombre producto], TablaProductos[Costo producto],"-----",0,1)</f>
        <v>120</v>
      </c>
      <c r="I17" s="134">
        <v>1</v>
      </c>
      <c r="J17" s="183">
        <f>IF(Tabla27[[#This Row],[Moneda producto]]="USD",'Datos generales'!$G$3,IF(Tabla27[[#This Row],[Moneda producto]]="EUR",'Datos generales'!$G$3,0))</f>
        <v>0.05</v>
      </c>
      <c r="K17" s="35">
        <f>_xlfn.XLOOKUP(Tabla27[[#This Row],[Nombre producto]], TablaProductos[Nombre producto], TablaProductos[Precio USD],"0",0,1)</f>
        <v>312</v>
      </c>
      <c r="L17" s="35">
        <f>_xlfn.XLOOKUP(Tabla27[[#This Row],[Nombre producto]], TablaProductos[Nombre producto], TablaProductos[Precio CLP],"0",0,1)</f>
        <v>296400</v>
      </c>
      <c r="M17" s="35">
        <f>_xlfn.XLOOKUP(Tabla27[[#This Row],[Nombre producto]], TablaProductos[Nombre producto], TablaProductos[Precio UF],"0",0,1)</f>
        <v>7.7169011590972998</v>
      </c>
      <c r="N17" s="187">
        <f>_xlfn.XLOOKUP(Tabla27[[#This Row],[Nombre producto]], TablaProductos[Nombre producto], TablaProductos[Precio Euros],"0",0,1)</f>
        <v>289.17073170731709</v>
      </c>
      <c r="O17" s="45">
        <f>_xlfn.XLOOKUP(Tabla27[[#This Row],[Nombre producto]],Productos!$C:$C,Productos!N:N, "-----",0,1)</f>
        <v>289.17073170731709</v>
      </c>
      <c r="P17" s="45">
        <f>_xlfn.XLOOKUP(Tabla27[[#This Row],[Nombre producto]],Productos!$C:$C,Productos!O:O, "-----",0,1)</f>
        <v>0</v>
      </c>
      <c r="Q17" s="184" t="str">
        <f>_xlfn.XLOOKUP(Tabla27[[#This Row],[Tipo de venta]], Tabla2329[Tipo de venta], Tabla2329[Moneda final], "-------", 0,1)</f>
        <v>USD</v>
      </c>
      <c r="R17" s="185">
        <f>IF(Tabla27[[#This Row],[Moneda Final]]="USD",Tabla27[[#This Row],[Unidades]]*Tabla27[[#This Row],[Precio USD/unitario]], IF(Tabla27[[#This Row],[Moneda Final]]="CLP",Tabla27[[#This Row],[Unidades]]*Tabla27[[#This Row],[Precio CLP/Unitario]],IF(Tabla27[[#This Row],[Moneda Final]]="EUR",Tabla27[[#This Row],[Unidades]]*Tabla27[[#This Row],[Precio EUR/ Unitario]],Tabla27[[#This Row],[Unidades]]*Tabla27[[#This Row],[Precio UF/Unitario]])))</f>
        <v>312</v>
      </c>
    </row>
    <row r="18" spans="2:18" ht="28.8" x14ac:dyDescent="0.3">
      <c r="B18" s="93" t="s">
        <v>40</v>
      </c>
      <c r="C18" s="20" t="s">
        <v>183</v>
      </c>
      <c r="D18" s="22" t="s">
        <v>99</v>
      </c>
      <c r="E18" s="45" t="s">
        <v>110</v>
      </c>
      <c r="F18" s="31" t="str">
        <f>_xlfn.XLOOKUP(Tabla27[[#This Row],[Nombre producto]],Productos!C:C,Productos!D:D, "---",0,1)</f>
        <v>Soporte simple 1 sensor INOX</v>
      </c>
      <c r="G18" s="31" t="str">
        <f>_xlfn.XLOOKUP(Tabla27[[#This Row],[Nombre producto]], TablaProductos[Nombre producto], TablaProductos[Tipo de moneda],"-------",0,1)</f>
        <v>CLP</v>
      </c>
      <c r="H18" s="186">
        <f>_xlfn.XLOOKUP(Tabla27[[#This Row],[Nombre producto]], TablaProductos[Nombre producto], TablaProductos[Costo producto],"-----",0,1)</f>
        <v>200000</v>
      </c>
      <c r="I18" s="134">
        <v>2</v>
      </c>
      <c r="J18" s="183">
        <f>IF(Tabla27[[#This Row],[Moneda producto]]="USD",'Datos generales'!$G$3,IF(Tabla27[[#This Row],[Moneda producto]]="EUR",'Datos generales'!$G$3,0))</f>
        <v>0</v>
      </c>
      <c r="K18" s="35">
        <f>_xlfn.XLOOKUP(Tabla27[[#This Row],[Nombre producto]], TablaProductos[Nombre producto], TablaProductos[Precio USD],"0",0,1)</f>
        <v>526.31578947368416</v>
      </c>
      <c r="L18" s="35">
        <f>_xlfn.XLOOKUP(Tabla27[[#This Row],[Nombre producto]], TablaProductos[Nombre producto], TablaProductos[Precio CLP],"0",0,1)</f>
        <v>500000</v>
      </c>
      <c r="M18" s="35">
        <f>_xlfn.XLOOKUP(Tabla27[[#This Row],[Nombre producto]], TablaProductos[Nombre producto], TablaProductos[Precio UF],"0",0,1)</f>
        <v>13.01771450589963</v>
      </c>
      <c r="N18" s="187">
        <f>_xlfn.XLOOKUP(Tabla27[[#This Row],[Nombre producto]], TablaProductos[Nombre producto], TablaProductos[Precio Euros],"0",0,1)</f>
        <v>487.80487804878049</v>
      </c>
      <c r="O18" s="45">
        <f>_xlfn.XLOOKUP(Tabla27[[#This Row],[Nombre producto]],Productos!$C:$C,Productos!N:N, "-----",0,1)</f>
        <v>487.80487804878049</v>
      </c>
      <c r="P18" s="45" t="str">
        <f>_xlfn.XLOOKUP(Tabla27[[#This Row],[Nombre producto]],Productos!$C:$C,Productos!O:O, "-----",0,1)</f>
        <v>Mardinamica</v>
      </c>
      <c r="Q18" s="184" t="str">
        <f>_xlfn.XLOOKUP(Tabla27[[#This Row],[Tipo de venta]], Tabla2329[Tipo de venta], Tabla2329[Moneda final], "-------", 0,1)</f>
        <v>USD</v>
      </c>
      <c r="R18" s="185">
        <f>IF(Tabla27[[#This Row],[Moneda Final]]="USD",Tabla27[[#This Row],[Unidades]]*Tabla27[[#This Row],[Precio USD/unitario]], IF(Tabla27[[#This Row],[Moneda Final]]="CLP",Tabla27[[#This Row],[Unidades]]*Tabla27[[#This Row],[Precio CLP/Unitario]],IF(Tabla27[[#This Row],[Moneda Final]]="EUR",Tabla27[[#This Row],[Unidades]]*Tabla27[[#This Row],[Precio EUR/ Unitario]],Tabla27[[#This Row],[Unidades]]*Tabla27[[#This Row],[Precio UF/Unitario]])))</f>
        <v>1052.6315789473683</v>
      </c>
    </row>
    <row r="19" spans="2:18" ht="28.8" x14ac:dyDescent="0.3">
      <c r="B19" s="93" t="s">
        <v>40</v>
      </c>
      <c r="C19" s="20" t="s">
        <v>183</v>
      </c>
      <c r="D19" s="22" t="s">
        <v>66</v>
      </c>
      <c r="E19" s="23" t="s">
        <v>187</v>
      </c>
      <c r="F19" s="31" t="str">
        <f>_xlfn.XLOOKUP(Tabla27[[#This Row],[Nombre producto]],Productos!C:C,Productos!D:D, "---",0,1)</f>
        <v>Tablero IP65+ Fuente y accesorios</v>
      </c>
      <c r="G19" s="31" t="str">
        <f>_xlfn.XLOOKUP(Tabla27[[#This Row],[Nombre producto]], TablaProductos[Nombre producto], TablaProductos[Tipo de moneda],"-------",0,1)</f>
        <v>CLP</v>
      </c>
      <c r="H19" s="186">
        <f>_xlfn.XLOOKUP(Tabla27[[#This Row],[Nombre producto]], TablaProductos[Nombre producto], TablaProductos[Costo producto],"-----",0,1)</f>
        <v>150000</v>
      </c>
      <c r="I19" s="134">
        <v>2</v>
      </c>
      <c r="J19" s="183">
        <f>IF(Tabla27[[#This Row],[Moneda producto]]="USD",'Datos generales'!$G$3,IF(Tabla27[[#This Row],[Moneda producto]]="EUR",'Datos generales'!$G$3,0))</f>
        <v>0</v>
      </c>
      <c r="K19" s="35">
        <f>_xlfn.XLOOKUP(Tabla27[[#This Row],[Nombre producto]], TablaProductos[Nombre producto], TablaProductos[Precio USD],"0",0,1)</f>
        <v>315.78947368421052</v>
      </c>
      <c r="L19" s="35">
        <f>_xlfn.XLOOKUP(Tabla27[[#This Row],[Nombre producto]], TablaProductos[Nombre producto], TablaProductos[Precio CLP],"0",0,1)</f>
        <v>300000</v>
      </c>
      <c r="M19" s="35">
        <f>_xlfn.XLOOKUP(Tabla27[[#This Row],[Nombre producto]], TablaProductos[Nombre producto], TablaProductos[Precio UF],"0",0,1)</f>
        <v>7.8106287035397779</v>
      </c>
      <c r="N19" s="187">
        <f>_xlfn.XLOOKUP(Tabla27[[#This Row],[Nombre producto]], TablaProductos[Nombre producto], TablaProductos[Precio Euros],"0",0,1)</f>
        <v>292.6829268292683</v>
      </c>
      <c r="O19" s="45">
        <f>_xlfn.XLOOKUP(Tabla27[[#This Row],[Nombre producto]],Productos!$C:$C,Productos!N:N, "-----",0,1)</f>
        <v>292.6829268292683</v>
      </c>
      <c r="P19" s="45" t="str">
        <f>_xlfn.XLOOKUP(Tabla27[[#This Row],[Nombre producto]],Productos!$C:$C,Productos!O:O, "-----",0,1)</f>
        <v>Wolke</v>
      </c>
      <c r="Q19" s="184" t="str">
        <f>_xlfn.XLOOKUP(Tabla27[[#This Row],[Tipo de venta]], Tabla2329[Tipo de venta], Tabla2329[Moneda final], "-------", 0,1)</f>
        <v>USD</v>
      </c>
      <c r="R19" s="185">
        <f>IF(Tabla27[[#This Row],[Moneda Final]]="USD",Tabla27[[#This Row],[Unidades]]*Tabla27[[#This Row],[Precio USD/unitario]], IF(Tabla27[[#This Row],[Moneda Final]]="CLP",Tabla27[[#This Row],[Unidades]]*Tabla27[[#This Row],[Precio CLP/Unitario]],IF(Tabla27[[#This Row],[Moneda Final]]="EUR",Tabla27[[#This Row],[Unidades]]*Tabla27[[#This Row],[Precio EUR/ Unitario]],Tabla27[[#This Row],[Unidades]]*Tabla27[[#This Row],[Precio UF/Unitario]])))</f>
        <v>631.57894736842104</v>
      </c>
    </row>
    <row r="20" spans="2:18" ht="43.2" x14ac:dyDescent="0.3">
      <c r="B20" s="93" t="s">
        <v>40</v>
      </c>
      <c r="C20" s="20" t="s">
        <v>177</v>
      </c>
      <c r="D20" s="22" t="s">
        <v>65</v>
      </c>
      <c r="E20" s="45" t="s">
        <v>48</v>
      </c>
      <c r="F20" s="31" t="str">
        <f>_xlfn.XLOOKUP(Tabla27[[#This Row],[Nombre producto]],Productos!C:C,Productos!D:D, "---",0,1)</f>
        <v>Datalogger de fabricación propia - No hay margen porque ese es el precio final</v>
      </c>
      <c r="G20" s="31" t="str">
        <f>_xlfn.XLOOKUP(Tabla27[[#This Row],[Nombre producto]], TablaProductos[Nombre producto], TablaProductos[Tipo de moneda],"-------",0,1)</f>
        <v>USD</v>
      </c>
      <c r="H20" s="186">
        <f>_xlfn.XLOOKUP(Tabla27[[#This Row],[Nombre producto]], TablaProductos[Nombre producto], TablaProductos[Costo producto],"-----",0,1)</f>
        <v>600</v>
      </c>
      <c r="I20" s="134">
        <v>2</v>
      </c>
      <c r="J20" s="183">
        <f>IF(Tabla27[[#This Row],[Moneda producto]]="USD",'Datos generales'!$G$3,IF(Tabla27[[#This Row],[Moneda producto]]="EUR",'Datos generales'!$G$3,0))</f>
        <v>0.05</v>
      </c>
      <c r="K20" s="35">
        <f>_xlfn.XLOOKUP(Tabla27[[#This Row],[Nombre producto]], TablaProductos[Nombre producto], TablaProductos[Precio USD],"0",0,1)</f>
        <v>666.66666666666663</v>
      </c>
      <c r="L20" s="35">
        <f>_xlfn.XLOOKUP(Tabla27[[#This Row],[Nombre producto]], TablaProductos[Nombre producto], TablaProductos[Precio CLP],"0",0,1)</f>
        <v>633333.33333333326</v>
      </c>
      <c r="M20" s="35">
        <f>_xlfn.XLOOKUP(Tabla27[[#This Row],[Nombre producto]], TablaProductos[Nombre producto], TablaProductos[Precio UF],"0",0,1)</f>
        <v>16.489105040806194</v>
      </c>
      <c r="N20" s="187">
        <f>_xlfn.XLOOKUP(Tabla27[[#This Row],[Nombre producto]], TablaProductos[Nombre producto], TablaProductos[Precio Euros],"0",0,1)</f>
        <v>617.88617886178849</v>
      </c>
      <c r="O20" s="45">
        <f>_xlfn.XLOOKUP(Tabla27[[#This Row],[Nombre producto]],Productos!$C:$C,Productos!N:N, "-----",0,1)</f>
        <v>617.88617886178849</v>
      </c>
      <c r="P20" s="45" t="str">
        <f>_xlfn.XLOOKUP(Tabla27[[#This Row],[Nombre producto]],Productos!$C:$C,Productos!O:O, "-----",0,1)</f>
        <v>Wolke</v>
      </c>
      <c r="Q20" s="184" t="str">
        <f>_xlfn.XLOOKUP(Tabla27[[#This Row],[Tipo de venta]], Tabla2329[Tipo de venta], Tabla2329[Moneda final], "-------", 0,1)</f>
        <v>USD</v>
      </c>
      <c r="R20" s="185">
        <f>IF(Tabla27[[#This Row],[Moneda Final]]="USD",Tabla27[[#This Row],[Unidades]]*Tabla27[[#This Row],[Precio USD/unitario]], IF(Tabla27[[#This Row],[Moneda Final]]="CLP",Tabla27[[#This Row],[Unidades]]*Tabla27[[#This Row],[Precio CLP/Unitario]],IF(Tabla27[[#This Row],[Moneda Final]]="EUR",Tabla27[[#This Row],[Unidades]]*Tabla27[[#This Row],[Precio EUR/ Unitario]],Tabla27[[#This Row],[Unidades]]*Tabla27[[#This Row],[Precio UF/Unitario]])))</f>
        <v>1333.3333333333333</v>
      </c>
    </row>
    <row r="21" spans="2:18" ht="201.6" x14ac:dyDescent="0.3">
      <c r="B21" s="93" t="s">
        <v>40</v>
      </c>
      <c r="C21" s="20" t="s">
        <v>177</v>
      </c>
      <c r="D21" s="22" t="s">
        <v>66</v>
      </c>
      <c r="E21" s="45" t="s">
        <v>154</v>
      </c>
      <c r="F21" s="31" t="str">
        <f>_xlfn.XLOOKUP(Tabla27[[#This Row],[Nombre producto]],Productos!C:C,Productos!D:D, "---",0,1)</f>
        <v>[Ultrasonic open channel flowmeter] [LMQ]
Water weir flume type: Parshall flume No. 1-5;
Accuracy: Class 0.5;
Output: 4-20mA+RS485;
Electrical interface, housing material and protection level: split type,
M18×1.5 cable plug, engineering plastic, IP68;
Power supply: 24VDC;
Cable length: 10m;
Level range: 0-5M
Flow range: 0.1L/s~9999.99m3/h</v>
      </c>
      <c r="G21" s="31" t="str">
        <f>_xlfn.XLOOKUP(Tabla27[[#This Row],[Nombre producto]], TablaProductos[Nombre producto], TablaProductos[Tipo de moneda],"-------",0,1)</f>
        <v>USD</v>
      </c>
      <c r="H21" s="186">
        <f>_xlfn.XLOOKUP(Tabla27[[#This Row],[Nombre producto]], TablaProductos[Nombre producto], TablaProductos[Costo producto],"-----",0,1)</f>
        <v>425</v>
      </c>
      <c r="I21" s="134">
        <v>1</v>
      </c>
      <c r="J21" s="183">
        <f>IF(Tabla27[[#This Row],[Moneda producto]]="USD",'Datos generales'!$G$3,IF(Tabla27[[#This Row],[Moneda producto]]="EUR",'Datos generales'!$G$3,0))</f>
        <v>0.05</v>
      </c>
      <c r="K21" s="35">
        <f>_xlfn.XLOOKUP(Tabla27[[#This Row],[Nombre producto]], TablaProductos[Nombre producto], TablaProductos[Precio USD],"0",0,1)</f>
        <v>1105</v>
      </c>
      <c r="L21" s="35">
        <f>_xlfn.XLOOKUP(Tabla27[[#This Row],[Nombre producto]], TablaProductos[Nombre producto], TablaProductos[Precio CLP],"0",0,1)</f>
        <v>1049750</v>
      </c>
      <c r="M21" s="35">
        <f>_xlfn.XLOOKUP(Tabla27[[#This Row],[Nombre producto]], TablaProductos[Nombre producto], TablaProductos[Precio UF],"0",0,1)</f>
        <v>27.33069160513627</v>
      </c>
      <c r="N21" s="187">
        <f>_xlfn.XLOOKUP(Tabla27[[#This Row],[Nombre producto]], TablaProductos[Nombre producto], TablaProductos[Precio Euros],"0",0,1)</f>
        <v>1024.1463414634147</v>
      </c>
      <c r="O21" s="45">
        <f>_xlfn.XLOOKUP(Tabla27[[#This Row],[Nombre producto]],Productos!$C:$C,Productos!N:N, "-----",0,1)</f>
        <v>1024.1463414634147</v>
      </c>
      <c r="P21" s="45" t="str">
        <f>_xlfn.XLOOKUP(Tabla27[[#This Row],[Nombre producto]],Productos!$C:$C,Productos!O:O, "-----",0,1)</f>
        <v>Supme</v>
      </c>
      <c r="Q21" s="184" t="str">
        <f>_xlfn.XLOOKUP(Tabla27[[#This Row],[Tipo de venta]], Tabla2329[Tipo de venta], Tabla2329[Moneda final], "-------", 0,1)</f>
        <v>USD</v>
      </c>
      <c r="R21" s="185">
        <f>IF(Tabla27[[#This Row],[Moneda Final]]="USD",Tabla27[[#This Row],[Unidades]]*Tabla27[[#This Row],[Precio USD/unitario]], IF(Tabla27[[#This Row],[Moneda Final]]="CLP",Tabla27[[#This Row],[Unidades]]*Tabla27[[#This Row],[Precio CLP/Unitario]],IF(Tabla27[[#This Row],[Moneda Final]]="EUR",Tabla27[[#This Row],[Unidades]]*Tabla27[[#This Row],[Precio EUR/ Unitario]],Tabla27[[#This Row],[Unidades]]*Tabla27[[#This Row],[Precio UF/Unitario]])))</f>
        <v>1105</v>
      </c>
    </row>
    <row r="22" spans="2:18" ht="216" x14ac:dyDescent="0.3">
      <c r="B22" s="93" t="s">
        <v>40</v>
      </c>
      <c r="C22" s="20" t="s">
        <v>177</v>
      </c>
      <c r="D22" s="22" t="s">
        <v>66</v>
      </c>
      <c r="E22" s="23" t="s">
        <v>163</v>
      </c>
      <c r="F22" s="31" t="str">
        <f>_xlfn.XLOOKUP(Tabla27[[#This Row],[Nombre producto]],Productos!C:C,Productos!D:D, "---",0,1)</f>
        <v>[pH digital electrode] [pH-8001]
Electrode connector: direct lead;
Salt bridge type: single-point ceramic diaphragm;
Temperature compensation type: NTC 22K;
Output: RS485;
Power supply: 12VDC;
Cable length: 10m;
Shell material and process connection: engineering plastic, G3/4
thread;
Measuring range: (0-14)pH
Temperature range: (0-60)℃
Pressure resistance: 0.3MPa</v>
      </c>
      <c r="G22" s="31" t="str">
        <f>_xlfn.XLOOKUP(Tabla27[[#This Row],[Nombre producto]], TablaProductos[Nombre producto], TablaProductos[Tipo de moneda],"-------",0,1)</f>
        <v>USD</v>
      </c>
      <c r="H22" s="186">
        <f>_xlfn.XLOOKUP(Tabla27[[#This Row],[Nombre producto]], TablaProductos[Nombre producto], TablaProductos[Costo producto],"-----",0,1)</f>
        <v>120</v>
      </c>
      <c r="I22" s="134">
        <v>1</v>
      </c>
      <c r="J22" s="183">
        <f>IF(Tabla27[[#This Row],[Moneda producto]]="USD",'Datos generales'!$G$3,IF(Tabla27[[#This Row],[Moneda producto]]="EUR",'Datos generales'!$G$3,0))</f>
        <v>0.05</v>
      </c>
      <c r="K22" s="35">
        <f>_xlfn.XLOOKUP(Tabla27[[#This Row],[Nombre producto]], TablaProductos[Nombre producto], TablaProductos[Precio USD],"0",0,1)</f>
        <v>312</v>
      </c>
      <c r="L22" s="35">
        <f>_xlfn.XLOOKUP(Tabla27[[#This Row],[Nombre producto]], TablaProductos[Nombre producto], TablaProductos[Precio CLP],"0",0,1)</f>
        <v>296400</v>
      </c>
      <c r="M22" s="35">
        <f>_xlfn.XLOOKUP(Tabla27[[#This Row],[Nombre producto]], TablaProductos[Nombre producto], TablaProductos[Precio UF],"0",0,1)</f>
        <v>7.7169011590972998</v>
      </c>
      <c r="N22" s="187">
        <f>_xlfn.XLOOKUP(Tabla27[[#This Row],[Nombre producto]], TablaProductos[Nombre producto], TablaProductos[Precio Euros],"0",0,1)</f>
        <v>289.17073170731709</v>
      </c>
      <c r="O22" s="45">
        <f>_xlfn.XLOOKUP(Tabla27[[#This Row],[Nombre producto]],Productos!$C:$C,Productos!N:N, "-----",0,1)</f>
        <v>289.17073170731709</v>
      </c>
      <c r="P22" s="45">
        <f>_xlfn.XLOOKUP(Tabla27[[#This Row],[Nombre producto]],Productos!$C:$C,Productos!O:O, "-----",0,1)</f>
        <v>0</v>
      </c>
      <c r="Q22" s="184" t="str">
        <f>_xlfn.XLOOKUP(Tabla27[[#This Row],[Tipo de venta]], Tabla2329[Tipo de venta], Tabla2329[Moneda final], "-------", 0,1)</f>
        <v>USD</v>
      </c>
      <c r="R22" s="185">
        <f>IF(Tabla27[[#This Row],[Moneda Final]]="USD",Tabla27[[#This Row],[Unidades]]*Tabla27[[#This Row],[Precio USD/unitario]], IF(Tabla27[[#This Row],[Moneda Final]]="CLP",Tabla27[[#This Row],[Unidades]]*Tabla27[[#This Row],[Precio CLP/Unitario]],IF(Tabla27[[#This Row],[Moneda Final]]="EUR",Tabla27[[#This Row],[Unidades]]*Tabla27[[#This Row],[Precio EUR/ Unitario]],Tabla27[[#This Row],[Unidades]]*Tabla27[[#This Row],[Precio UF/Unitario]])))</f>
        <v>312</v>
      </c>
    </row>
    <row r="23" spans="2:18" ht="115.2" x14ac:dyDescent="0.3">
      <c r="B23" s="93" t="s">
        <v>40</v>
      </c>
      <c r="C23" s="20" t="s">
        <v>177</v>
      </c>
      <c r="D23" s="191" t="s">
        <v>66</v>
      </c>
      <c r="E23" s="23" t="s">
        <v>171</v>
      </c>
      <c r="F23" s="31" t="str">
        <f>_xlfn.XLOOKUP(Tabla27[[#This Row],[Nombre producto]],Productos!C:C,Productos!D:D, "---",0,1)</f>
        <v>DO seNsor(Optical)
Cable: 10m
Range:0-20mg/L
Medium:wastewater
Material : Ti
IP68
Output : RS485
Note:Immersed installation only</v>
      </c>
      <c r="G23" s="31" t="str">
        <f>_xlfn.XLOOKUP(Tabla27[[#This Row],[Nombre producto]], TablaProductos[Nombre producto], TablaProductos[Tipo de moneda],"-------",0,1)</f>
        <v>USD</v>
      </c>
      <c r="H23" s="186">
        <f>_xlfn.XLOOKUP(Tabla27[[#This Row],[Nombre producto]], TablaProductos[Nombre producto], TablaProductos[Costo producto],"-----",0,1)</f>
        <v>600</v>
      </c>
      <c r="I23" s="134">
        <v>1</v>
      </c>
      <c r="J23" s="183">
        <f>IF(Tabla27[[#This Row],[Moneda producto]]="USD",'Datos generales'!$G$3,IF(Tabla27[[#This Row],[Moneda producto]]="EUR",'Datos generales'!$G$3,0))</f>
        <v>0.05</v>
      </c>
      <c r="K23" s="35">
        <f>_xlfn.XLOOKUP(Tabla27[[#This Row],[Nombre producto]], TablaProductos[Nombre producto], TablaProductos[Precio USD],"0",0,1)</f>
        <v>1560</v>
      </c>
      <c r="L23" s="35">
        <f>_xlfn.XLOOKUP(Tabla27[[#This Row],[Nombre producto]], TablaProductos[Nombre producto], TablaProductos[Precio CLP],"0",0,1)</f>
        <v>1482000</v>
      </c>
      <c r="M23" s="185">
        <f>_xlfn.XLOOKUP(Tabla27[[#This Row],[Nombre producto]], TablaProductos[Nombre producto], TablaProductos[Precio UF],"0",0,1)</f>
        <v>38.5845057954865</v>
      </c>
      <c r="N23" s="190">
        <f>_xlfn.XLOOKUP(Tabla27[[#This Row],[Nombre producto]], TablaProductos[Nombre producto], TablaProductos[Precio Euros],"0",0,1)</f>
        <v>1445.8536585365853</v>
      </c>
      <c r="O23" s="184">
        <f>_xlfn.XLOOKUP(Tabla27[[#This Row],[Nombre producto]],Productos!$C:$C,Productos!N:N, "-----",0,1)</f>
        <v>1445.8536585365853</v>
      </c>
      <c r="P23" s="184">
        <f>_xlfn.XLOOKUP(Tabla27[[#This Row],[Nombre producto]],Productos!$C:$C,Productos!O:O, "-----",0,1)</f>
        <v>0</v>
      </c>
      <c r="Q23" s="184" t="str">
        <f>_xlfn.XLOOKUP(Tabla27[[#This Row],[Tipo de venta]], Tabla2329[Tipo de venta], Tabla2329[Moneda final], "-------", 0,1)</f>
        <v>USD</v>
      </c>
      <c r="R23" s="185">
        <f>IF(Tabla27[[#This Row],[Moneda Final]]="USD",Tabla27[[#This Row],[Unidades]]*Tabla27[[#This Row],[Precio USD/unitario]], IF(Tabla27[[#This Row],[Moneda Final]]="CLP",Tabla27[[#This Row],[Unidades]]*Tabla27[[#This Row],[Precio CLP/Unitario]],IF(Tabla27[[#This Row],[Moneda Final]]="EUR",Tabla27[[#This Row],[Unidades]]*Tabla27[[#This Row],[Precio EUR/ Unitario]],Tabla27[[#This Row],[Unidades]]*Tabla27[[#This Row],[Precio UF/Unitario]])))</f>
        <v>1560</v>
      </c>
    </row>
    <row r="24" spans="2:18" ht="216" x14ac:dyDescent="0.3">
      <c r="B24" s="93" t="s">
        <v>40</v>
      </c>
      <c r="C24" s="20" t="s">
        <v>177</v>
      </c>
      <c r="D24" s="191" t="s">
        <v>66</v>
      </c>
      <c r="E24" s="23" t="s">
        <v>163</v>
      </c>
      <c r="F24" s="31" t="str">
        <f>_xlfn.XLOOKUP(Tabla27[[#This Row],[Nombre producto]],Productos!C:C,Productos!D:D, "---",0,1)</f>
        <v>[pH digital electrode] [pH-8001]
Electrode connector: direct lead;
Salt bridge type: single-point ceramic diaphragm;
Temperature compensation type: NTC 22K;
Output: RS485;
Power supply: 12VDC;
Cable length: 10m;
Shell material and process connection: engineering plastic, G3/4
thread;
Measuring range: (0-14)pH
Temperature range: (0-60)℃
Pressure resistance: 0.3MPa</v>
      </c>
      <c r="G24" s="31" t="str">
        <f>_xlfn.XLOOKUP(Tabla27[[#This Row],[Nombre producto]], TablaProductos[Nombre producto], TablaProductos[Tipo de moneda],"-------",0,1)</f>
        <v>USD</v>
      </c>
      <c r="H24" s="186">
        <f>_xlfn.XLOOKUP(Tabla27[[#This Row],[Nombre producto]], TablaProductos[Nombre producto], TablaProductos[Costo producto],"-----",0,1)</f>
        <v>120</v>
      </c>
      <c r="I24" s="134">
        <v>1</v>
      </c>
      <c r="J24" s="183">
        <f>IF(Tabla27[[#This Row],[Moneda producto]]="USD",'Datos generales'!$G$3,IF(Tabla27[[#This Row],[Moneda producto]]="EUR",'Datos generales'!$G$3,0))</f>
        <v>0.05</v>
      </c>
      <c r="K24" s="35">
        <f>_xlfn.XLOOKUP(Tabla27[[#This Row],[Nombre producto]], TablaProductos[Nombre producto], TablaProductos[Precio USD],"0",0,1)</f>
        <v>312</v>
      </c>
      <c r="L24" s="35">
        <f>_xlfn.XLOOKUP(Tabla27[[#This Row],[Nombre producto]], TablaProductos[Nombre producto], TablaProductos[Precio CLP],"0",0,1)</f>
        <v>296400</v>
      </c>
      <c r="M24" s="185">
        <f>_xlfn.XLOOKUP(Tabla27[[#This Row],[Nombre producto]], TablaProductos[Nombre producto], TablaProductos[Precio UF],"0",0,1)</f>
        <v>7.7169011590972998</v>
      </c>
      <c r="N24" s="190">
        <f>_xlfn.XLOOKUP(Tabla27[[#This Row],[Nombre producto]], TablaProductos[Nombre producto], TablaProductos[Precio Euros],"0",0,1)</f>
        <v>289.17073170731709</v>
      </c>
      <c r="O24" s="184">
        <f>_xlfn.XLOOKUP(Tabla27[[#This Row],[Nombre producto]],Productos!$C:$C,Productos!N:N, "-----",0,1)</f>
        <v>289.17073170731709</v>
      </c>
      <c r="P24" s="184">
        <f>_xlfn.XLOOKUP(Tabla27[[#This Row],[Nombre producto]],Productos!$C:$C,Productos!O:O, "-----",0,1)</f>
        <v>0</v>
      </c>
      <c r="Q24" s="184" t="str">
        <f>_xlfn.XLOOKUP(Tabla27[[#This Row],[Tipo de venta]], Tabla2329[Tipo de venta], Tabla2329[Moneda final], "-------", 0,1)</f>
        <v>USD</v>
      </c>
      <c r="R24" s="185">
        <f>IF(Tabla27[[#This Row],[Moneda Final]]="USD",Tabla27[[#This Row],[Unidades]]*Tabla27[[#This Row],[Precio USD/unitario]], IF(Tabla27[[#This Row],[Moneda Final]]="CLP",Tabla27[[#This Row],[Unidades]]*Tabla27[[#This Row],[Precio CLP/Unitario]],IF(Tabla27[[#This Row],[Moneda Final]]="EUR",Tabla27[[#This Row],[Unidades]]*Tabla27[[#This Row],[Precio EUR/ Unitario]],Tabla27[[#This Row],[Unidades]]*Tabla27[[#This Row],[Precio UF/Unitario]])))</f>
        <v>312</v>
      </c>
    </row>
    <row r="25" spans="2:18" ht="28.8" x14ac:dyDescent="0.3">
      <c r="B25" s="93" t="s">
        <v>40</v>
      </c>
      <c r="C25" s="20" t="s">
        <v>177</v>
      </c>
      <c r="D25" s="191" t="s">
        <v>99</v>
      </c>
      <c r="E25" s="23" t="s">
        <v>110</v>
      </c>
      <c r="F25" s="31" t="str">
        <f>_xlfn.XLOOKUP(Tabla27[[#This Row],[Nombre producto]],Productos!C:C,Productos!D:D, "---",0,1)</f>
        <v>Soporte simple 1 sensor INOX</v>
      </c>
      <c r="G25" s="31" t="str">
        <f>_xlfn.XLOOKUP(Tabla27[[#This Row],[Nombre producto]], TablaProductos[Nombre producto], TablaProductos[Tipo de moneda],"-------",0,1)</f>
        <v>CLP</v>
      </c>
      <c r="H25" s="186">
        <f>_xlfn.XLOOKUP(Tabla27[[#This Row],[Nombre producto]], TablaProductos[Nombre producto], TablaProductos[Costo producto],"-----",0,1)</f>
        <v>200000</v>
      </c>
      <c r="I25" s="134">
        <v>4</v>
      </c>
      <c r="J25" s="183">
        <f>IF(Tabla27[[#This Row],[Moneda producto]]="USD",'Datos generales'!$G$3,IF(Tabla27[[#This Row],[Moneda producto]]="EUR",'Datos generales'!$G$3,0))</f>
        <v>0</v>
      </c>
      <c r="K25" s="35">
        <f>_xlfn.XLOOKUP(Tabla27[[#This Row],[Nombre producto]], TablaProductos[Nombre producto], TablaProductos[Precio USD],"0",0,1)</f>
        <v>526.31578947368416</v>
      </c>
      <c r="L25" s="35">
        <f>_xlfn.XLOOKUP(Tabla27[[#This Row],[Nombre producto]], TablaProductos[Nombre producto], TablaProductos[Precio CLP],"0",0,1)</f>
        <v>500000</v>
      </c>
      <c r="M25" s="185">
        <f>_xlfn.XLOOKUP(Tabla27[[#This Row],[Nombre producto]], TablaProductos[Nombre producto], TablaProductos[Precio UF],"0",0,1)</f>
        <v>13.01771450589963</v>
      </c>
      <c r="N25" s="190">
        <f>_xlfn.XLOOKUP(Tabla27[[#This Row],[Nombre producto]], TablaProductos[Nombre producto], TablaProductos[Precio Euros],"0",0,1)</f>
        <v>487.80487804878049</v>
      </c>
      <c r="O25" s="184">
        <f>_xlfn.XLOOKUP(Tabla27[[#This Row],[Nombre producto]],Productos!$C:$C,Productos!N:N, "-----",0,1)</f>
        <v>487.80487804878049</v>
      </c>
      <c r="P25" s="184" t="str">
        <f>_xlfn.XLOOKUP(Tabla27[[#This Row],[Nombre producto]],Productos!$C:$C,Productos!O:O, "-----",0,1)</f>
        <v>Mardinamica</v>
      </c>
      <c r="Q25" s="184" t="str">
        <f>_xlfn.XLOOKUP(Tabla27[[#This Row],[Tipo de venta]], Tabla2329[Tipo de venta], Tabla2329[Moneda final], "-------", 0,1)</f>
        <v>USD</v>
      </c>
      <c r="R25" s="185">
        <f>IF(Tabla27[[#This Row],[Moneda Final]]="USD",Tabla27[[#This Row],[Unidades]]*Tabla27[[#This Row],[Precio USD/unitario]], IF(Tabla27[[#This Row],[Moneda Final]]="CLP",Tabla27[[#This Row],[Unidades]]*Tabla27[[#This Row],[Precio CLP/Unitario]],IF(Tabla27[[#This Row],[Moneda Final]]="EUR",Tabla27[[#This Row],[Unidades]]*Tabla27[[#This Row],[Precio EUR/ Unitario]],Tabla27[[#This Row],[Unidades]]*Tabla27[[#This Row],[Precio UF/Unitario]])))</f>
        <v>2105.2631578947367</v>
      </c>
    </row>
    <row r="26" spans="2:18" ht="28.8" x14ac:dyDescent="0.3">
      <c r="B26" s="93" t="s">
        <v>40</v>
      </c>
      <c r="C26" s="20" t="s">
        <v>177</v>
      </c>
      <c r="D26" s="22" t="s">
        <v>99</v>
      </c>
      <c r="E26" s="23" t="s">
        <v>187</v>
      </c>
      <c r="F26" s="31" t="str">
        <f>_xlfn.XLOOKUP(Tabla27[[#This Row],[Nombre producto]],Productos!C:C,Productos!D:D, "---",0,1)</f>
        <v>Tablero IP65+ Fuente y accesorios</v>
      </c>
      <c r="G26" s="31" t="str">
        <f>_xlfn.XLOOKUP(Tabla27[[#This Row],[Nombre producto]], TablaProductos[Nombre producto], TablaProductos[Tipo de moneda],"-------",0,1)</f>
        <v>CLP</v>
      </c>
      <c r="H26" s="186">
        <f>_xlfn.XLOOKUP(Tabla27[[#This Row],[Nombre producto]], TablaProductos[Nombre producto], TablaProductos[Costo producto],"-----",0,1)</f>
        <v>150000</v>
      </c>
      <c r="I26" s="134">
        <v>2</v>
      </c>
      <c r="J26" s="183">
        <f>IF(Tabla27[[#This Row],[Moneda producto]]="USD",'Datos generales'!$G$3,IF(Tabla27[[#This Row],[Moneda producto]]="EUR",'Datos generales'!$G$3,0))</f>
        <v>0</v>
      </c>
      <c r="K26" s="35">
        <f>_xlfn.XLOOKUP(Tabla27[[#This Row],[Nombre producto]], TablaProductos[Nombre producto], TablaProductos[Precio USD],"0",0,1)</f>
        <v>315.78947368421052</v>
      </c>
      <c r="L26" s="35">
        <f>_xlfn.XLOOKUP(Tabla27[[#This Row],[Nombre producto]], TablaProductos[Nombre producto], TablaProductos[Precio CLP],"0",0,1)</f>
        <v>300000</v>
      </c>
      <c r="M26" s="35">
        <f>_xlfn.XLOOKUP(Tabla27[[#This Row],[Nombre producto]], TablaProductos[Nombre producto], TablaProductos[Precio UF],"0",0,1)</f>
        <v>7.8106287035397779</v>
      </c>
      <c r="N26" s="187">
        <f>_xlfn.XLOOKUP(Tabla27[[#This Row],[Nombre producto]], TablaProductos[Nombre producto], TablaProductos[Precio Euros],"0",0,1)</f>
        <v>292.6829268292683</v>
      </c>
      <c r="O26" s="45">
        <f>_xlfn.XLOOKUP(Tabla27[[#This Row],[Nombre producto]],Productos!$C:$C,Productos!N:N, "-----",0,1)</f>
        <v>292.6829268292683</v>
      </c>
      <c r="P26" s="45" t="str">
        <f>_xlfn.XLOOKUP(Tabla27[[#This Row],[Nombre producto]],Productos!$C:$C,Productos!O:O, "-----",0,1)</f>
        <v>Wolke</v>
      </c>
      <c r="Q26" s="184" t="str">
        <f>_xlfn.XLOOKUP(Tabla27[[#This Row],[Tipo de venta]], Tabla2329[Tipo de venta], Tabla2329[Moneda final], "-------", 0,1)</f>
        <v>USD</v>
      </c>
      <c r="R26" s="185">
        <f>IF(Tabla27[[#This Row],[Moneda Final]]="USD",Tabla27[[#This Row],[Unidades]]*Tabla27[[#This Row],[Precio USD/unitario]], IF(Tabla27[[#This Row],[Moneda Final]]="CLP",Tabla27[[#This Row],[Unidades]]*Tabla27[[#This Row],[Precio CLP/Unitario]],IF(Tabla27[[#This Row],[Moneda Final]]="EUR",Tabla27[[#This Row],[Unidades]]*Tabla27[[#This Row],[Precio EUR/ Unitario]],Tabla27[[#This Row],[Unidades]]*Tabla27[[#This Row],[Precio UF/Unitario]])))</f>
        <v>631.57894736842104</v>
      </c>
    </row>
    <row r="27" spans="2:18" ht="43.2" x14ac:dyDescent="0.3">
      <c r="B27" s="93" t="s">
        <v>40</v>
      </c>
      <c r="C27" s="20" t="s">
        <v>178</v>
      </c>
      <c r="D27" s="191" t="s">
        <v>65</v>
      </c>
      <c r="E27" s="23" t="s">
        <v>48</v>
      </c>
      <c r="F27" s="31" t="str">
        <f>_xlfn.XLOOKUP(Tabla27[[#This Row],[Nombre producto]],Productos!C:C,Productos!D:D, "---",0,1)</f>
        <v>Datalogger de fabricación propia - No hay margen porque ese es el precio final</v>
      </c>
      <c r="G27" s="31" t="str">
        <f>_xlfn.XLOOKUP(Tabla27[[#This Row],[Nombre producto]], TablaProductos[Nombre producto], TablaProductos[Tipo de moneda],"-------",0,1)</f>
        <v>USD</v>
      </c>
      <c r="H27" s="186">
        <f>_xlfn.XLOOKUP(Tabla27[[#This Row],[Nombre producto]], TablaProductos[Nombre producto], TablaProductos[Costo producto],"-----",0,1)</f>
        <v>600</v>
      </c>
      <c r="I27" s="134">
        <v>4</v>
      </c>
      <c r="J27" s="183">
        <f>IF(Tabla27[[#This Row],[Moneda producto]]="USD",'Datos generales'!$G$3,IF(Tabla27[[#This Row],[Moneda producto]]="EUR",'Datos generales'!$G$3,0))</f>
        <v>0.05</v>
      </c>
      <c r="K27" s="35">
        <f>_xlfn.XLOOKUP(Tabla27[[#This Row],[Nombre producto]], TablaProductos[Nombre producto], TablaProductos[Precio USD],"0",0,1)</f>
        <v>666.66666666666663</v>
      </c>
      <c r="L27" s="35">
        <f>_xlfn.XLOOKUP(Tabla27[[#This Row],[Nombre producto]], TablaProductos[Nombre producto], TablaProductos[Precio CLP],"0",0,1)</f>
        <v>633333.33333333326</v>
      </c>
      <c r="M27" s="185">
        <f>_xlfn.XLOOKUP(Tabla27[[#This Row],[Nombre producto]], TablaProductos[Nombre producto], TablaProductos[Precio UF],"0",0,1)</f>
        <v>16.489105040806194</v>
      </c>
      <c r="N27" s="190">
        <f>_xlfn.XLOOKUP(Tabla27[[#This Row],[Nombre producto]], TablaProductos[Nombre producto], TablaProductos[Precio Euros],"0",0,1)</f>
        <v>617.88617886178849</v>
      </c>
      <c r="O27" s="184">
        <f>_xlfn.XLOOKUP(Tabla27[[#This Row],[Nombre producto]],Productos!$C:$C,Productos!N:N, "-----",0,1)</f>
        <v>617.88617886178849</v>
      </c>
      <c r="P27" s="184" t="str">
        <f>_xlfn.XLOOKUP(Tabla27[[#This Row],[Nombre producto]],Productos!$C:$C,Productos!O:O, "-----",0,1)</f>
        <v>Wolke</v>
      </c>
      <c r="Q27" s="184" t="str">
        <f>_xlfn.XLOOKUP(Tabla27[[#This Row],[Tipo de venta]], Tabla2329[Tipo de venta], Tabla2329[Moneda final], "-------", 0,1)</f>
        <v>USD</v>
      </c>
      <c r="R27" s="185">
        <f>IF(Tabla27[[#This Row],[Moneda Final]]="USD",Tabla27[[#This Row],[Unidades]]*Tabla27[[#This Row],[Precio USD/unitario]], IF(Tabla27[[#This Row],[Moneda Final]]="CLP",Tabla27[[#This Row],[Unidades]]*Tabla27[[#This Row],[Precio CLP/Unitario]],IF(Tabla27[[#This Row],[Moneda Final]]="EUR",Tabla27[[#This Row],[Unidades]]*Tabla27[[#This Row],[Precio EUR/ Unitario]],Tabla27[[#This Row],[Unidades]]*Tabla27[[#This Row],[Precio UF/Unitario]])))</f>
        <v>2666.6666666666665</v>
      </c>
    </row>
    <row r="28" spans="2:18" ht="86.4" x14ac:dyDescent="0.3">
      <c r="B28" s="93" t="s">
        <v>40</v>
      </c>
      <c r="C28" s="20" t="s">
        <v>178</v>
      </c>
      <c r="D28" s="191" t="s">
        <v>66</v>
      </c>
      <c r="E28" s="23" t="s">
        <v>160</v>
      </c>
      <c r="F28" s="31" t="str">
        <f>_xlfn.XLOOKUP(Tabla27[[#This Row],[Nombre producto]],Productos!C:C,Productos!D:D, "---",0,1)</f>
        <v>Digital conductivity seNsor
Cable:10M
Range:0-70ms/cm
Temperaure range: 0-60℃
Material:POM
IP68 RS485</v>
      </c>
      <c r="G28" s="31" t="str">
        <f>_xlfn.XLOOKUP(Tabla27[[#This Row],[Nombre producto]], TablaProductos[Nombre producto], TablaProductos[Tipo de moneda],"-------",0,1)</f>
        <v>USD</v>
      </c>
      <c r="H28" s="186">
        <f>_xlfn.XLOOKUP(Tabla27[[#This Row],[Nombre producto]], TablaProductos[Nombre producto], TablaProductos[Costo producto],"-----",0,1)</f>
        <v>160</v>
      </c>
      <c r="I28" s="134">
        <v>1</v>
      </c>
      <c r="J28" s="183">
        <f>IF(Tabla27[[#This Row],[Moneda producto]]="USD",'Datos generales'!$G$3,IF(Tabla27[[#This Row],[Moneda producto]]="EUR",'Datos generales'!$G$3,0))</f>
        <v>0.05</v>
      </c>
      <c r="K28" s="35">
        <f>_xlfn.XLOOKUP(Tabla27[[#This Row],[Nombre producto]], TablaProductos[Nombre producto], TablaProductos[Precio USD],"0",0,1)</f>
        <v>416</v>
      </c>
      <c r="L28" s="35">
        <f>_xlfn.XLOOKUP(Tabla27[[#This Row],[Nombre producto]], TablaProductos[Nombre producto], TablaProductos[Precio CLP],"0",0,1)</f>
        <v>395200</v>
      </c>
      <c r="M28" s="185">
        <f>_xlfn.XLOOKUP(Tabla27[[#This Row],[Nombre producto]], TablaProductos[Nombre producto], TablaProductos[Precio UF],"0",0,1)</f>
        <v>10.289201545463067</v>
      </c>
      <c r="N28" s="190">
        <f>_xlfn.XLOOKUP(Tabla27[[#This Row],[Nombre producto]], TablaProductos[Nombre producto], TablaProductos[Precio Euros],"0",0,1)</f>
        <v>385.5609756097561</v>
      </c>
      <c r="O28" s="184">
        <f>_xlfn.XLOOKUP(Tabla27[[#This Row],[Nombre producto]],Productos!$C:$C,Productos!N:N, "-----",0,1)</f>
        <v>385.5609756097561</v>
      </c>
      <c r="P28" s="184">
        <f>_xlfn.XLOOKUP(Tabla27[[#This Row],[Nombre producto]],Productos!$C:$C,Productos!O:O, "-----",0,1)</f>
        <v>0</v>
      </c>
      <c r="Q28" s="184" t="str">
        <f>_xlfn.XLOOKUP(Tabla27[[#This Row],[Tipo de venta]], Tabla2329[Tipo de venta], Tabla2329[Moneda final], "-------", 0,1)</f>
        <v>USD</v>
      </c>
      <c r="R28" s="185">
        <f>IF(Tabla27[[#This Row],[Moneda Final]]="USD",Tabla27[[#This Row],[Unidades]]*Tabla27[[#This Row],[Precio USD/unitario]], IF(Tabla27[[#This Row],[Moneda Final]]="CLP",Tabla27[[#This Row],[Unidades]]*Tabla27[[#This Row],[Precio CLP/Unitario]],IF(Tabla27[[#This Row],[Moneda Final]]="EUR",Tabla27[[#This Row],[Unidades]]*Tabla27[[#This Row],[Precio EUR/ Unitario]],Tabla27[[#This Row],[Unidades]]*Tabla27[[#This Row],[Precio UF/Unitario]])))</f>
        <v>416</v>
      </c>
    </row>
    <row r="29" spans="2:18" ht="172.8" x14ac:dyDescent="0.3">
      <c r="B29" s="93" t="s">
        <v>40</v>
      </c>
      <c r="C29" s="20" t="s">
        <v>178</v>
      </c>
      <c r="D29" s="22" t="s">
        <v>66</v>
      </c>
      <c r="E29" s="45" t="s">
        <v>175</v>
      </c>
      <c r="F29" s="31" t="str">
        <f>_xlfn.XLOOKUP(Tabla27[[#This Row],[Nombre producto]],Productos!C:C,Productos!D:D, "---",0,1)</f>
        <v>TSS seNsor
Cable: 10m
Measure range : 0.1 ~ 5000 mg/L or 0.1 ~ 500 mg/L
IP68
Material : 316L+PVC
9-36VDC + RS485
With self-cleaning function
Noted: add the pipe installation accessory for you, pressure rate lower
than 0.4MPa
Or use the Immersed installation</v>
      </c>
      <c r="G29" s="31" t="str">
        <f>_xlfn.XLOOKUP(Tabla27[[#This Row],[Nombre producto]], TablaProductos[Nombre producto], TablaProductos[Tipo de moneda],"-------",0,1)</f>
        <v>USD</v>
      </c>
      <c r="H29" s="186">
        <f>_xlfn.XLOOKUP(Tabla27[[#This Row],[Nombre producto]], TablaProductos[Nombre producto], TablaProductos[Costo producto],"-----",0,1)</f>
        <v>900</v>
      </c>
      <c r="I29" s="134">
        <v>2</v>
      </c>
      <c r="J29" s="183">
        <f>IF(Tabla27[[#This Row],[Moneda producto]]="USD",'Datos generales'!$G$3,IF(Tabla27[[#This Row],[Moneda producto]]="EUR",'Datos generales'!$G$3,0))</f>
        <v>0.05</v>
      </c>
      <c r="K29" s="35">
        <f>_xlfn.XLOOKUP(Tabla27[[#This Row],[Nombre producto]], TablaProductos[Nombre producto], TablaProductos[Precio USD],"0",0,1)</f>
        <v>2340</v>
      </c>
      <c r="L29" s="35">
        <f>_xlfn.XLOOKUP(Tabla27[[#This Row],[Nombre producto]], TablaProductos[Nombre producto], TablaProductos[Precio CLP],"0",0,1)</f>
        <v>2223000</v>
      </c>
      <c r="M29" s="35">
        <f>_xlfn.XLOOKUP(Tabla27[[#This Row],[Nombre producto]], TablaProductos[Nombre producto], TablaProductos[Precio UF],"0",0,1)</f>
        <v>57.876758693229753</v>
      </c>
      <c r="N29" s="187">
        <f>_xlfn.XLOOKUP(Tabla27[[#This Row],[Nombre producto]], TablaProductos[Nombre producto], TablaProductos[Precio Euros],"0",0,1)</f>
        <v>2168.7804878048782</v>
      </c>
      <c r="O29" s="45">
        <f>_xlfn.XLOOKUP(Tabla27[[#This Row],[Nombre producto]],Productos!$C:$C,Productos!N:N, "-----",0,1)</f>
        <v>2168.7804878048782</v>
      </c>
      <c r="P29" s="45">
        <f>_xlfn.XLOOKUP(Tabla27[[#This Row],[Nombre producto]],Productos!$C:$C,Productos!O:O, "-----",0,1)</f>
        <v>0</v>
      </c>
      <c r="Q29" s="184" t="str">
        <f>_xlfn.XLOOKUP(Tabla27[[#This Row],[Tipo de venta]], Tabla2329[Tipo de venta], Tabla2329[Moneda final], "-------", 0,1)</f>
        <v>USD</v>
      </c>
      <c r="R29" s="185">
        <f>IF(Tabla27[[#This Row],[Moneda Final]]="USD",Tabla27[[#This Row],[Unidades]]*Tabla27[[#This Row],[Precio USD/unitario]], IF(Tabla27[[#This Row],[Moneda Final]]="CLP",Tabla27[[#This Row],[Unidades]]*Tabla27[[#This Row],[Precio CLP/Unitario]],IF(Tabla27[[#This Row],[Moneda Final]]="EUR",Tabla27[[#This Row],[Unidades]]*Tabla27[[#This Row],[Precio EUR/ Unitario]],Tabla27[[#This Row],[Unidades]]*Tabla27[[#This Row],[Precio UF/Unitario]])))</f>
        <v>4680</v>
      </c>
    </row>
    <row r="30" spans="2:18" ht="216" x14ac:dyDescent="0.3">
      <c r="B30" s="93" t="s">
        <v>40</v>
      </c>
      <c r="C30" s="20" t="s">
        <v>178</v>
      </c>
      <c r="D30" s="22" t="s">
        <v>66</v>
      </c>
      <c r="E30" s="23" t="s">
        <v>173</v>
      </c>
      <c r="F30" s="31" t="str">
        <f>_xlfn.XLOOKUP(Tabla27[[#This Row],[Nombre producto]],Productos!C:C,Productos!D:D, "---",0,1)</f>
        <v>[pH digital electrode] [ORP-8001]
Electrode connector: direct lead;
Salt bridge type: single-point ceramic diaphragm;
Temperature compensation type: NTC 22K;
Output: RS485;
Power supply: 12VDC;
Cable length: 10m;
Shell material and process connection: engineering plastic, G3/4 thread;
Measuring range: （-1000-1000）mV
pH Temperature range: (0-60)℃
Pressure resistance: 0.3MPa</v>
      </c>
      <c r="G30" s="31" t="str">
        <f>_xlfn.XLOOKUP(Tabla27[[#This Row],[Nombre producto]], TablaProductos[Nombre producto], TablaProductos[Tipo de moneda],"-------",0,1)</f>
        <v>USD</v>
      </c>
      <c r="H30" s="186">
        <f>_xlfn.XLOOKUP(Tabla27[[#This Row],[Nombre producto]], TablaProductos[Nombre producto], TablaProductos[Costo producto],"-----",0,1)</f>
        <v>120</v>
      </c>
      <c r="I30" s="134">
        <v>1</v>
      </c>
      <c r="J30" s="183">
        <f>IF(Tabla27[[#This Row],[Moneda producto]]="USD",'Datos generales'!$G$3,IF(Tabla27[[#This Row],[Moneda producto]]="EUR",'Datos generales'!$G$3,0))</f>
        <v>0.05</v>
      </c>
      <c r="K30" s="35">
        <f>_xlfn.XLOOKUP(Tabla27[[#This Row],[Nombre producto]], TablaProductos[Nombre producto], TablaProductos[Precio USD],"0",0,1)</f>
        <v>312</v>
      </c>
      <c r="L30" s="35">
        <f>_xlfn.XLOOKUP(Tabla27[[#This Row],[Nombre producto]], TablaProductos[Nombre producto], TablaProductos[Precio CLP],"0",0,1)</f>
        <v>296400</v>
      </c>
      <c r="M30" s="35">
        <f>_xlfn.XLOOKUP(Tabla27[[#This Row],[Nombre producto]], TablaProductos[Nombre producto], TablaProductos[Precio UF],"0",0,1)</f>
        <v>7.7169011590972998</v>
      </c>
      <c r="N30" s="187">
        <f>_xlfn.XLOOKUP(Tabla27[[#This Row],[Nombre producto]], TablaProductos[Nombre producto], TablaProductos[Precio Euros],"0",0,1)</f>
        <v>289.17073170731709</v>
      </c>
      <c r="O30" s="45">
        <f>_xlfn.XLOOKUP(Tabla27[[#This Row],[Nombre producto]],Productos!$C:$C,Productos!N:N, "-----",0,1)</f>
        <v>289.17073170731709</v>
      </c>
      <c r="P30" s="45">
        <f>_xlfn.XLOOKUP(Tabla27[[#This Row],[Nombre producto]],Productos!$C:$C,Productos!O:O, "-----",0,1)</f>
        <v>0</v>
      </c>
      <c r="Q30" s="184" t="str">
        <f>_xlfn.XLOOKUP(Tabla27[[#This Row],[Tipo de venta]], Tabla2329[Tipo de venta], Tabla2329[Moneda final], "-------", 0,1)</f>
        <v>USD</v>
      </c>
      <c r="R30" s="185">
        <f>IF(Tabla27[[#This Row],[Moneda Final]]="USD",Tabla27[[#This Row],[Unidades]]*Tabla27[[#This Row],[Precio USD/unitario]], IF(Tabla27[[#This Row],[Moneda Final]]="CLP",Tabla27[[#This Row],[Unidades]]*Tabla27[[#This Row],[Precio CLP/Unitario]],IF(Tabla27[[#This Row],[Moneda Final]]="EUR",Tabla27[[#This Row],[Unidades]]*Tabla27[[#This Row],[Precio EUR/ Unitario]],Tabla27[[#This Row],[Unidades]]*Tabla27[[#This Row],[Precio UF/Unitario]])))</f>
        <v>312</v>
      </c>
    </row>
    <row r="31" spans="2:18" ht="201.6" x14ac:dyDescent="0.3">
      <c r="B31" s="93" t="s">
        <v>40</v>
      </c>
      <c r="C31" s="20" t="s">
        <v>178</v>
      </c>
      <c r="D31" s="191" t="s">
        <v>66</v>
      </c>
      <c r="E31" s="23" t="s">
        <v>154</v>
      </c>
      <c r="F31" s="31" t="str">
        <f>_xlfn.XLOOKUP(Tabla27[[#This Row],[Nombre producto]],Productos!C:C,Productos!D:D, "---",0,1)</f>
        <v>[Ultrasonic open channel flowmeter] [LMQ]
Water weir flume type: Parshall flume No. 1-5;
Accuracy: Class 0.5;
Output: 4-20mA+RS485;
Electrical interface, housing material and protection level: split type,
M18×1.5 cable plug, engineering plastic, IP68;
Power supply: 24VDC;
Cable length: 10m;
Level range: 0-5M
Flow range: 0.1L/s~9999.99m3/h</v>
      </c>
      <c r="G31" s="31" t="str">
        <f>_xlfn.XLOOKUP(Tabla27[[#This Row],[Nombre producto]], TablaProductos[Nombre producto], TablaProductos[Tipo de moneda],"-------",0,1)</f>
        <v>USD</v>
      </c>
      <c r="H31" s="186">
        <f>_xlfn.XLOOKUP(Tabla27[[#This Row],[Nombre producto]], TablaProductos[Nombre producto], TablaProductos[Costo producto],"-----",0,1)</f>
        <v>425</v>
      </c>
      <c r="I31" s="134">
        <v>1</v>
      </c>
      <c r="J31" s="183">
        <f>IF(Tabla27[[#This Row],[Moneda producto]]="USD",'Datos generales'!$G$3,IF(Tabla27[[#This Row],[Moneda producto]]="EUR",'Datos generales'!$G$3,0))</f>
        <v>0.05</v>
      </c>
      <c r="K31" s="35">
        <f>_xlfn.XLOOKUP(Tabla27[[#This Row],[Nombre producto]], TablaProductos[Nombre producto], TablaProductos[Precio USD],"0",0,1)</f>
        <v>1105</v>
      </c>
      <c r="L31" s="35">
        <f>_xlfn.XLOOKUP(Tabla27[[#This Row],[Nombre producto]], TablaProductos[Nombre producto], TablaProductos[Precio CLP],"0",0,1)</f>
        <v>1049750</v>
      </c>
      <c r="M31" s="185">
        <f>_xlfn.XLOOKUP(Tabla27[[#This Row],[Nombre producto]], TablaProductos[Nombre producto], TablaProductos[Precio UF],"0",0,1)</f>
        <v>27.33069160513627</v>
      </c>
      <c r="N31" s="190">
        <f>_xlfn.XLOOKUP(Tabla27[[#This Row],[Nombre producto]], TablaProductos[Nombre producto], TablaProductos[Precio Euros],"0",0,1)</f>
        <v>1024.1463414634147</v>
      </c>
      <c r="O31" s="184">
        <f>_xlfn.XLOOKUP(Tabla27[[#This Row],[Nombre producto]],Productos!$C:$C,Productos!N:N, "-----",0,1)</f>
        <v>1024.1463414634147</v>
      </c>
      <c r="P31" s="184" t="str">
        <f>_xlfn.XLOOKUP(Tabla27[[#This Row],[Nombre producto]],Productos!$C:$C,Productos!O:O, "-----",0,1)</f>
        <v>Supme</v>
      </c>
      <c r="Q31" s="184" t="str">
        <f>_xlfn.XLOOKUP(Tabla27[[#This Row],[Tipo de venta]], Tabla2329[Tipo de venta], Tabla2329[Moneda final], "-------", 0,1)</f>
        <v>USD</v>
      </c>
      <c r="R31" s="185">
        <f>IF(Tabla27[[#This Row],[Moneda Final]]="USD",Tabla27[[#This Row],[Unidades]]*Tabla27[[#This Row],[Precio USD/unitario]], IF(Tabla27[[#This Row],[Moneda Final]]="CLP",Tabla27[[#This Row],[Unidades]]*Tabla27[[#This Row],[Precio CLP/Unitario]],IF(Tabla27[[#This Row],[Moneda Final]]="EUR",Tabla27[[#This Row],[Unidades]]*Tabla27[[#This Row],[Precio EUR/ Unitario]],Tabla27[[#This Row],[Unidades]]*Tabla27[[#This Row],[Precio UF/Unitario]])))</f>
        <v>1105</v>
      </c>
    </row>
    <row r="32" spans="2:18" ht="144" x14ac:dyDescent="0.3">
      <c r="B32" s="93" t="s">
        <v>40</v>
      </c>
      <c r="C32" s="20" t="s">
        <v>178</v>
      </c>
      <c r="D32" s="191" t="s">
        <v>66</v>
      </c>
      <c r="E32" s="23" t="s">
        <v>167</v>
      </c>
      <c r="F32" s="31" t="str">
        <f>_xlfn.XLOOKUP(Tabla27[[#This Row],[Nombre producto]],Productos!C:C,Productos!D:D, "---",0,1)</f>
        <v>Residual chlorine electrode
Range: 0-10.00mg/L
temperature compensation：NTC 10K
output :RS485
power supply: 9-24VDC
Accuracy: ±3% (DPD comparison error ±10% or ±0.05mg/L, whichever
is greater)
Cable length: 10 meters</v>
      </c>
      <c r="G32" s="31" t="str">
        <f>_xlfn.XLOOKUP(Tabla27[[#This Row],[Nombre producto]], TablaProductos[Nombre producto], TablaProductos[Tipo de moneda],"-------",0,1)</f>
        <v>USD</v>
      </c>
      <c r="H32" s="186">
        <f>_xlfn.XLOOKUP(Tabla27[[#This Row],[Nombre producto]], TablaProductos[Nombre producto], TablaProductos[Costo producto],"-----",0,1)</f>
        <v>260</v>
      </c>
      <c r="I32" s="134">
        <v>1</v>
      </c>
      <c r="J32" s="183">
        <f>IF(Tabla27[[#This Row],[Moneda producto]]="USD",'Datos generales'!$G$3,IF(Tabla27[[#This Row],[Moneda producto]]="EUR",'Datos generales'!$G$3,0))</f>
        <v>0.05</v>
      </c>
      <c r="K32" s="35">
        <f>_xlfn.XLOOKUP(Tabla27[[#This Row],[Nombre producto]], TablaProductos[Nombre producto], TablaProductos[Precio USD],"0",0,1)</f>
        <v>676</v>
      </c>
      <c r="L32" s="35">
        <f>_xlfn.XLOOKUP(Tabla27[[#This Row],[Nombre producto]], TablaProductos[Nombre producto], TablaProductos[Precio CLP],"0",0,1)</f>
        <v>642200</v>
      </c>
      <c r="M32" s="185">
        <f>_xlfn.XLOOKUP(Tabla27[[#This Row],[Nombre producto]], TablaProductos[Nombre producto], TablaProductos[Precio UF],"0",0,1)</f>
        <v>16.719952511377485</v>
      </c>
      <c r="N32" s="190">
        <f>_xlfn.XLOOKUP(Tabla27[[#This Row],[Nombre producto]], TablaProductos[Nombre producto], TablaProductos[Precio Euros],"0",0,1)</f>
        <v>626.53658536585363</v>
      </c>
      <c r="O32" s="184">
        <f>_xlfn.XLOOKUP(Tabla27[[#This Row],[Nombre producto]],Productos!$C:$C,Productos!N:N, "-----",0,1)</f>
        <v>626.53658536585363</v>
      </c>
      <c r="P32" s="184">
        <f>_xlfn.XLOOKUP(Tabla27[[#This Row],[Nombre producto]],Productos!$C:$C,Productos!O:O, "-----",0,1)</f>
        <v>0</v>
      </c>
      <c r="Q32" s="184" t="str">
        <f>_xlfn.XLOOKUP(Tabla27[[#This Row],[Tipo de venta]], Tabla2329[Tipo de venta], Tabla2329[Moneda final], "-------", 0,1)</f>
        <v>USD</v>
      </c>
      <c r="R32" s="185">
        <f>IF(Tabla27[[#This Row],[Moneda Final]]="USD",Tabla27[[#This Row],[Unidades]]*Tabla27[[#This Row],[Precio USD/unitario]], IF(Tabla27[[#This Row],[Moneda Final]]="CLP",Tabla27[[#This Row],[Unidades]]*Tabla27[[#This Row],[Precio CLP/Unitario]],IF(Tabla27[[#This Row],[Moneda Final]]="EUR",Tabla27[[#This Row],[Unidades]]*Tabla27[[#This Row],[Precio EUR/ Unitario]],Tabla27[[#This Row],[Unidades]]*Tabla27[[#This Row],[Precio UF/Unitario]])))</f>
        <v>676</v>
      </c>
    </row>
    <row r="33" spans="2:18" ht="216" x14ac:dyDescent="0.3">
      <c r="B33" s="93" t="s">
        <v>40</v>
      </c>
      <c r="C33" s="20" t="s">
        <v>178</v>
      </c>
      <c r="D33" s="191" t="s">
        <v>66</v>
      </c>
      <c r="E33" s="23" t="s">
        <v>163</v>
      </c>
      <c r="F33" s="31" t="str">
        <f>_xlfn.XLOOKUP(Tabla27[[#This Row],[Nombre producto]],Productos!C:C,Productos!D:D, "---",0,1)</f>
        <v>[pH digital electrode] [pH-8001]
Electrode connector: direct lead;
Salt bridge type: single-point ceramic diaphragm;
Temperature compensation type: NTC 22K;
Output: RS485;
Power supply: 12VDC;
Cable length: 10m;
Shell material and process connection: engineering plastic, G3/4
thread;
Measuring range: (0-14)pH
Temperature range: (0-60)℃
Pressure resistance: 0.3MPa</v>
      </c>
      <c r="G33" s="31" t="str">
        <f>_xlfn.XLOOKUP(Tabla27[[#This Row],[Nombre producto]], TablaProductos[Nombre producto], TablaProductos[Tipo de moneda],"-------",0,1)</f>
        <v>USD</v>
      </c>
      <c r="H33" s="186">
        <f>_xlfn.XLOOKUP(Tabla27[[#This Row],[Nombre producto]], TablaProductos[Nombre producto], TablaProductos[Costo producto],"-----",0,1)</f>
        <v>120</v>
      </c>
      <c r="I33" s="134">
        <v>1</v>
      </c>
      <c r="J33" s="183">
        <f>IF(Tabla27[[#This Row],[Moneda producto]]="USD",'Datos generales'!$G$3,IF(Tabla27[[#This Row],[Moneda producto]]="EUR",'Datos generales'!$G$3,0))</f>
        <v>0.05</v>
      </c>
      <c r="K33" s="35">
        <f>_xlfn.XLOOKUP(Tabla27[[#This Row],[Nombre producto]], TablaProductos[Nombre producto], TablaProductos[Precio USD],"0",0,1)</f>
        <v>312</v>
      </c>
      <c r="L33" s="35">
        <f>_xlfn.XLOOKUP(Tabla27[[#This Row],[Nombre producto]], TablaProductos[Nombre producto], TablaProductos[Precio CLP],"0",0,1)</f>
        <v>296400</v>
      </c>
      <c r="M33" s="185">
        <f>_xlfn.XLOOKUP(Tabla27[[#This Row],[Nombre producto]], TablaProductos[Nombre producto], TablaProductos[Precio UF],"0",0,1)</f>
        <v>7.7169011590972998</v>
      </c>
      <c r="N33" s="190">
        <f>_xlfn.XLOOKUP(Tabla27[[#This Row],[Nombre producto]], TablaProductos[Nombre producto], TablaProductos[Precio Euros],"0",0,1)</f>
        <v>289.17073170731709</v>
      </c>
      <c r="O33" s="184">
        <f>_xlfn.XLOOKUP(Tabla27[[#This Row],[Nombre producto]],Productos!$C:$C,Productos!N:N, "-----",0,1)</f>
        <v>289.17073170731709</v>
      </c>
      <c r="P33" s="184">
        <f>_xlfn.XLOOKUP(Tabla27[[#This Row],[Nombre producto]],Productos!$C:$C,Productos!O:O, "-----",0,1)</f>
        <v>0</v>
      </c>
      <c r="Q33" s="184" t="str">
        <f>_xlfn.XLOOKUP(Tabla27[[#This Row],[Tipo de venta]], Tabla2329[Tipo de venta], Tabla2329[Moneda final], "-------", 0,1)</f>
        <v>USD</v>
      </c>
      <c r="R33" s="185">
        <f>IF(Tabla27[[#This Row],[Moneda Final]]="USD",Tabla27[[#This Row],[Unidades]]*Tabla27[[#This Row],[Precio USD/unitario]], IF(Tabla27[[#This Row],[Moneda Final]]="CLP",Tabla27[[#This Row],[Unidades]]*Tabla27[[#This Row],[Precio CLP/Unitario]],IF(Tabla27[[#This Row],[Moneda Final]]="EUR",Tabla27[[#This Row],[Unidades]]*Tabla27[[#This Row],[Precio EUR/ Unitario]],Tabla27[[#This Row],[Unidades]]*Tabla27[[#This Row],[Precio UF/Unitario]])))</f>
        <v>312</v>
      </c>
    </row>
    <row r="34" spans="2:18" ht="28.8" x14ac:dyDescent="0.3">
      <c r="B34" s="93" t="s">
        <v>40</v>
      </c>
      <c r="C34" s="20" t="s">
        <v>178</v>
      </c>
      <c r="D34" s="191" t="s">
        <v>99</v>
      </c>
      <c r="E34" s="23" t="s">
        <v>110</v>
      </c>
      <c r="F34" s="31" t="str">
        <f>_xlfn.XLOOKUP(Tabla27[[#This Row],[Nombre producto]],Productos!C:C,Productos!D:D, "---",0,1)</f>
        <v>Soporte simple 1 sensor INOX</v>
      </c>
      <c r="G34" s="31" t="str">
        <f>_xlfn.XLOOKUP(Tabla27[[#This Row],[Nombre producto]], TablaProductos[Nombre producto], TablaProductos[Tipo de moneda],"-------",0,1)</f>
        <v>CLP</v>
      </c>
      <c r="H34" s="186">
        <f>_xlfn.XLOOKUP(Tabla27[[#This Row],[Nombre producto]], TablaProductos[Nombre producto], TablaProductos[Costo producto],"-----",0,1)</f>
        <v>200000</v>
      </c>
      <c r="I34" s="134">
        <v>7</v>
      </c>
      <c r="J34" s="183">
        <f>IF(Tabla27[[#This Row],[Moneda producto]]="USD",'Datos generales'!$G$3,IF(Tabla27[[#This Row],[Moneda producto]]="EUR",'Datos generales'!$G$3,0))</f>
        <v>0</v>
      </c>
      <c r="K34" s="35">
        <f>_xlfn.XLOOKUP(Tabla27[[#This Row],[Nombre producto]], TablaProductos[Nombre producto], TablaProductos[Precio USD],"0",0,1)</f>
        <v>526.31578947368416</v>
      </c>
      <c r="L34" s="35">
        <f>_xlfn.XLOOKUP(Tabla27[[#This Row],[Nombre producto]], TablaProductos[Nombre producto], TablaProductos[Precio CLP],"0",0,1)</f>
        <v>500000</v>
      </c>
      <c r="M34" s="185">
        <f>_xlfn.XLOOKUP(Tabla27[[#This Row],[Nombre producto]], TablaProductos[Nombre producto], TablaProductos[Precio UF],"0",0,1)</f>
        <v>13.01771450589963</v>
      </c>
      <c r="N34" s="190">
        <f>_xlfn.XLOOKUP(Tabla27[[#This Row],[Nombre producto]], TablaProductos[Nombre producto], TablaProductos[Precio Euros],"0",0,1)</f>
        <v>487.80487804878049</v>
      </c>
      <c r="O34" s="184">
        <f>_xlfn.XLOOKUP(Tabla27[[#This Row],[Nombre producto]],Productos!$C:$C,Productos!N:N, "-----",0,1)</f>
        <v>487.80487804878049</v>
      </c>
      <c r="P34" s="184" t="str">
        <f>_xlfn.XLOOKUP(Tabla27[[#This Row],[Nombre producto]],Productos!$C:$C,Productos!O:O, "-----",0,1)</f>
        <v>Mardinamica</v>
      </c>
      <c r="Q34" s="184" t="str">
        <f>_xlfn.XLOOKUP(Tabla27[[#This Row],[Tipo de venta]], Tabla2329[Tipo de venta], Tabla2329[Moneda final], "-------", 0,1)</f>
        <v>USD</v>
      </c>
      <c r="R34" s="185">
        <f>IF(Tabla27[[#This Row],[Moneda Final]]="USD",Tabla27[[#This Row],[Unidades]]*Tabla27[[#This Row],[Precio USD/unitario]], IF(Tabla27[[#This Row],[Moneda Final]]="CLP",Tabla27[[#This Row],[Unidades]]*Tabla27[[#This Row],[Precio CLP/Unitario]],IF(Tabla27[[#This Row],[Moneda Final]]="EUR",Tabla27[[#This Row],[Unidades]]*Tabla27[[#This Row],[Precio EUR/ Unitario]],Tabla27[[#This Row],[Unidades]]*Tabla27[[#This Row],[Precio UF/Unitario]])))</f>
        <v>3684.2105263157891</v>
      </c>
    </row>
    <row r="35" spans="2:18" ht="28.8" x14ac:dyDescent="0.3">
      <c r="B35" s="93" t="s">
        <v>40</v>
      </c>
      <c r="C35" s="20" t="s">
        <v>178</v>
      </c>
      <c r="D35" s="22" t="s">
        <v>99</v>
      </c>
      <c r="E35" s="45" t="s">
        <v>187</v>
      </c>
      <c r="F35" s="31" t="str">
        <f>_xlfn.XLOOKUP(Tabla27[[#This Row],[Nombre producto]],Productos!C:C,Productos!D:D, "---",0,1)</f>
        <v>Tablero IP65+ Fuente y accesorios</v>
      </c>
      <c r="G35" s="31" t="str">
        <f>_xlfn.XLOOKUP(Tabla27[[#This Row],[Nombre producto]], TablaProductos[Nombre producto], TablaProductos[Tipo de moneda],"-------",0,1)</f>
        <v>CLP</v>
      </c>
      <c r="H35" s="186">
        <f>_xlfn.XLOOKUP(Tabla27[[#This Row],[Nombre producto]], TablaProductos[Nombre producto], TablaProductos[Costo producto],"-----",0,1)</f>
        <v>150000</v>
      </c>
      <c r="I35" s="134">
        <v>4</v>
      </c>
      <c r="J35" s="183">
        <f>IF(Tabla27[[#This Row],[Moneda producto]]="USD",'Datos generales'!$G$3,IF(Tabla27[[#This Row],[Moneda producto]]="EUR",'Datos generales'!$G$3,0))</f>
        <v>0</v>
      </c>
      <c r="K35" s="35">
        <f>_xlfn.XLOOKUP(Tabla27[[#This Row],[Nombre producto]], TablaProductos[Nombre producto], TablaProductos[Precio USD],"0",0,1)</f>
        <v>315.78947368421052</v>
      </c>
      <c r="L35" s="35">
        <f>_xlfn.XLOOKUP(Tabla27[[#This Row],[Nombre producto]], TablaProductos[Nombre producto], TablaProductos[Precio CLP],"0",0,1)</f>
        <v>300000</v>
      </c>
      <c r="M35" s="35">
        <f>_xlfn.XLOOKUP(Tabla27[[#This Row],[Nombre producto]], TablaProductos[Nombre producto], TablaProductos[Precio UF],"0",0,1)</f>
        <v>7.8106287035397779</v>
      </c>
      <c r="N35" s="187">
        <f>_xlfn.XLOOKUP(Tabla27[[#This Row],[Nombre producto]], TablaProductos[Nombre producto], TablaProductos[Precio Euros],"0",0,1)</f>
        <v>292.6829268292683</v>
      </c>
      <c r="O35" s="45">
        <f>_xlfn.XLOOKUP(Tabla27[[#This Row],[Nombre producto]],Productos!$C:$C,Productos!N:N, "-----",0,1)</f>
        <v>292.6829268292683</v>
      </c>
      <c r="P35" s="45" t="str">
        <f>_xlfn.XLOOKUP(Tabla27[[#This Row],[Nombre producto]],Productos!$C:$C,Productos!O:O, "-----",0,1)</f>
        <v>Wolke</v>
      </c>
      <c r="Q35" s="184" t="str">
        <f>_xlfn.XLOOKUP(Tabla27[[#This Row],[Tipo de venta]], Tabla2329[Tipo de venta], Tabla2329[Moneda final], "-------", 0,1)</f>
        <v>USD</v>
      </c>
      <c r="R35" s="185">
        <f>IF(Tabla27[[#This Row],[Moneda Final]]="USD",Tabla27[[#This Row],[Unidades]]*Tabla27[[#This Row],[Precio USD/unitario]], IF(Tabla27[[#This Row],[Moneda Final]]="CLP",Tabla27[[#This Row],[Unidades]]*Tabla27[[#This Row],[Precio CLP/Unitario]],IF(Tabla27[[#This Row],[Moneda Final]]="EUR",Tabla27[[#This Row],[Unidades]]*Tabla27[[#This Row],[Precio EUR/ Unitario]],Tabla27[[#This Row],[Unidades]]*Tabla27[[#This Row],[Precio UF/Unitario]])))</f>
        <v>1263.1578947368421</v>
      </c>
    </row>
    <row r="36" spans="2:18" x14ac:dyDescent="0.3">
      <c r="B36" s="45"/>
      <c r="C36" s="31"/>
      <c r="D36" s="180"/>
      <c r="E36" s="23"/>
      <c r="F36" s="31">
        <f>_xlfn.XLOOKUP(Tabla27[[#This Row],[Nombre producto]],Productos!C:C,Productos!D:D, "---",0,1)</f>
        <v>0</v>
      </c>
      <c r="G36" s="31" t="str">
        <f>_xlfn.XLOOKUP(Tabla27[[#This Row],[Nombre producto]], TablaProductos[Nombre producto], TablaProductos[Tipo de moneda],"-------",0,1)</f>
        <v>-------</v>
      </c>
      <c r="H36" s="186" t="str">
        <f>_xlfn.XLOOKUP(Tabla27[[#This Row],[Nombre producto]], TablaProductos[Nombre producto], TablaProductos[Costo producto],"-----",0,1)</f>
        <v>-----</v>
      </c>
      <c r="I36" s="182">
        <v>0</v>
      </c>
      <c r="J36" s="183">
        <f>IF(Tabla27[[#This Row],[Moneda producto]]="USD",'Datos generales'!$G$3,IF(Tabla27[[#This Row],[Moneda producto]]="EUR",'Datos generales'!$G$3,0))</f>
        <v>0</v>
      </c>
      <c r="K36" s="35" t="str">
        <f>_xlfn.XLOOKUP(Tabla27[[#This Row],[Nombre producto]], TablaProductos[Nombre producto], TablaProductos[Precio USD],"0",0,1)</f>
        <v>0</v>
      </c>
      <c r="L36" s="35" t="str">
        <f>_xlfn.XLOOKUP(Tabla27[[#This Row],[Nombre producto]], TablaProductos[Nombre producto], TablaProductos[Precio CLP],"0",0,1)</f>
        <v>0</v>
      </c>
      <c r="M36" s="35" t="str">
        <f>_xlfn.XLOOKUP(Tabla27[[#This Row],[Nombre producto]], TablaProductos[Nombre producto], TablaProductos[Precio UF],"0",0,1)</f>
        <v>0</v>
      </c>
      <c r="N36" s="187" t="str">
        <f>_xlfn.XLOOKUP(Tabla27[[#This Row],[Nombre producto]], TablaProductos[Nombre producto], TablaProductos[Precio Euros],"0",0,1)</f>
        <v>0</v>
      </c>
      <c r="O36" s="45">
        <f>_xlfn.XLOOKUP(Tabla27[[#This Row],[Nombre producto]],Productos!$C:$C,Productos!N:N, "-----",0,1)</f>
        <v>0</v>
      </c>
      <c r="P36" s="45">
        <f>_xlfn.XLOOKUP(Tabla27[[#This Row],[Nombre producto]],Productos!$C:$C,Productos!O:O, "-----",0,1)</f>
        <v>0</v>
      </c>
      <c r="Q36" s="184">
        <f>_xlfn.XLOOKUP(Tabla27[[#This Row],[Tipo de venta]], Tabla2329[Tipo de venta], Tabla2329[Moneda final], "-------", 0,1)</f>
        <v>0</v>
      </c>
      <c r="R36" s="185">
        <f>IF(Tabla27[[#This Row],[Moneda Final]]="USD",Tabla27[[#This Row],[Unidades]]*Tabla27[[#This Row],[Precio USD/unitario]], IF(Tabla27[[#This Row],[Moneda Final]]="CLP",Tabla27[[#This Row],[Unidades]]*Tabla27[[#This Row],[Precio CLP/Unitario]],IF(Tabla27[[#This Row],[Moneda Final]]="EUR",Tabla27[[#This Row],[Unidades]]*Tabla27[[#This Row],[Precio EUR/ Unitario]],Tabla27[[#This Row],[Unidades]]*Tabla27[[#This Row],[Precio UF/Unitario]])))</f>
        <v>0</v>
      </c>
    </row>
  </sheetData>
  <mergeCells count="1">
    <mergeCell ref="E2:Q3"/>
  </mergeCells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169857F6-556C-45F6-BEA0-70083EBE209E}">
          <x14:formula1>
            <xm:f>Productos!$C:$C</xm:f>
          </x14:formula1>
          <xm:sqref>E37:E393</xm:sqref>
        </x14:dataValidation>
        <x14:dataValidation type="list" allowBlank="1" showInputMessage="1" showErrorMessage="1" xr:uid="{AAB75971-646D-4890-BC7D-87C5374A7A5E}">
          <x14:formula1>
            <xm:f>'Datos proyecto'!$F$9:$F$1048576</xm:f>
          </x14:formula1>
          <xm:sqref>C36:C1048576 C7:C35</xm:sqref>
        </x14:dataValidation>
        <x14:dataValidation type="list" allowBlank="1" showInputMessage="1" showErrorMessage="1" xr:uid="{7D62D9C6-F9EB-4F4D-B453-168CE2B8B269}">
          <x14:formula1>
            <xm:f>'Datos proyecto'!$I$9:$I$529</xm:f>
          </x14:formula1>
          <xm:sqref>B36</xm:sqref>
        </x14:dataValidation>
        <x14:dataValidation type="list" allowBlank="1" showInputMessage="1" showErrorMessage="1" xr:uid="{3254E460-F81B-48C3-8DD6-5C6AF12428F7}">
          <x14:formula1>
            <xm:f>'Datos proyecto'!$I$9:$I$1048576</xm:f>
          </x14:formula1>
          <xm:sqref>B7:B35</xm:sqref>
        </x14:dataValidation>
        <x14:dataValidation type="list" allowBlank="1" showInputMessage="1" showErrorMessage="1" xr:uid="{FD92B769-0B65-274F-A183-CE821955D564}">
          <x14:formula1>
            <xm:f>ProductosPivot!$5:$5</xm:f>
          </x14:formula1>
          <xm:sqref>D7:D36</xm:sqref>
        </x14:dataValidation>
        <x14:dataValidation type="list" allowBlank="1" showInputMessage="1" showErrorMessage="1" xr:uid="{C098D6DE-CEB7-4011-B4A0-93466CDAC779}">
          <x14:formula1>
            <xm:f>'PV2'!$B7:$XFD7</xm:f>
          </x14:formula1>
          <xm:sqref>E7:E36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15A4AD-7A94-4514-8B00-3F75C5A38F9C}">
  <sheetPr codeName="Hoja8">
    <tabColor rgb="FF00B050"/>
  </sheetPr>
  <dimension ref="B2:Q29"/>
  <sheetViews>
    <sheetView zoomScale="63" zoomScaleNormal="85" workbookViewId="0">
      <selection activeCell="E2" sqref="E2:K4"/>
    </sheetView>
  </sheetViews>
  <sheetFormatPr baseColWidth="10" defaultColWidth="11.44140625" defaultRowHeight="14.4" x14ac:dyDescent="0.3"/>
  <cols>
    <col min="2" max="2" width="14.33203125" customWidth="1"/>
    <col min="3" max="3" width="23.6640625" customWidth="1"/>
    <col min="4" max="4" width="35.109375" customWidth="1"/>
    <col min="5" max="5" width="17.109375" customWidth="1"/>
    <col min="6" max="6" width="18.33203125" customWidth="1"/>
    <col min="7" max="7" width="16.77734375" bestFit="1" customWidth="1"/>
    <col min="8" max="8" width="17.109375" customWidth="1"/>
    <col min="9" max="9" width="12" customWidth="1"/>
    <col min="10" max="10" width="22.33203125" bestFit="1" customWidth="1"/>
    <col min="11" max="11" width="17.44140625" customWidth="1"/>
    <col min="12" max="12" width="16.109375" customWidth="1"/>
    <col min="13" max="13" width="14.77734375" customWidth="1"/>
    <col min="14" max="14" width="18.77734375" bestFit="1" customWidth="1"/>
    <col min="15" max="15" width="17.77734375" customWidth="1"/>
    <col min="16" max="16" width="23" bestFit="1" customWidth="1"/>
    <col min="17" max="17" width="27.44140625" bestFit="1" customWidth="1"/>
    <col min="18" max="18" width="19.44140625" bestFit="1" customWidth="1"/>
  </cols>
  <sheetData>
    <row r="2" spans="2:17" x14ac:dyDescent="0.3">
      <c r="E2" s="161"/>
      <c r="F2" s="161"/>
      <c r="G2" s="161"/>
      <c r="H2" s="161"/>
      <c r="I2" s="161"/>
      <c r="J2" s="161"/>
      <c r="K2" s="161"/>
    </row>
    <row r="3" spans="2:17" x14ac:dyDescent="0.3">
      <c r="E3" s="161"/>
      <c r="F3" s="161"/>
      <c r="G3" s="161"/>
      <c r="H3" s="161"/>
      <c r="I3" s="161"/>
      <c r="J3" s="161"/>
      <c r="K3" s="161"/>
    </row>
    <row r="4" spans="2:17" x14ac:dyDescent="0.3">
      <c r="E4" s="124"/>
      <c r="F4" s="162"/>
      <c r="G4" s="163"/>
      <c r="H4" s="163"/>
      <c r="I4" s="163"/>
      <c r="J4" s="163"/>
      <c r="K4" s="164"/>
    </row>
    <row r="5" spans="2:17" x14ac:dyDescent="0.3">
      <c r="B5" s="123" t="s">
        <v>49</v>
      </c>
      <c r="C5" s="122" t="s">
        <v>59</v>
      </c>
      <c r="D5" s="122" t="s">
        <v>59</v>
      </c>
      <c r="E5" s="122" t="s">
        <v>59</v>
      </c>
      <c r="F5" s="122" t="s">
        <v>59</v>
      </c>
      <c r="G5" s="122" t="s">
        <v>59</v>
      </c>
      <c r="H5" s="122" t="s">
        <v>59</v>
      </c>
      <c r="I5" s="122" t="s">
        <v>59</v>
      </c>
      <c r="J5" s="122" t="s">
        <v>59</v>
      </c>
      <c r="K5" s="122" t="s">
        <v>59</v>
      </c>
      <c r="L5" s="122" t="s">
        <v>59</v>
      </c>
      <c r="M5" s="122" t="s">
        <v>59</v>
      </c>
      <c r="N5" s="122" t="s">
        <v>59</v>
      </c>
      <c r="O5" s="122" t="s">
        <v>59</v>
      </c>
      <c r="P5" s="122" t="s">
        <v>59</v>
      </c>
      <c r="Q5" s="122" t="s">
        <v>59</v>
      </c>
    </row>
    <row r="6" spans="2:17" ht="28.8" x14ac:dyDescent="0.3">
      <c r="B6" s="19" t="s">
        <v>60</v>
      </c>
      <c r="C6" s="19" t="s">
        <v>61</v>
      </c>
      <c r="D6" s="19" t="s">
        <v>36</v>
      </c>
      <c r="E6" s="29" t="s">
        <v>68</v>
      </c>
      <c r="F6" s="19" t="s">
        <v>69</v>
      </c>
      <c r="G6" s="19" t="s">
        <v>70</v>
      </c>
      <c r="H6" s="29" t="s">
        <v>71</v>
      </c>
      <c r="I6" s="19" t="s">
        <v>22</v>
      </c>
      <c r="J6" s="19" t="s">
        <v>72</v>
      </c>
      <c r="K6" s="19" t="s">
        <v>73</v>
      </c>
      <c r="L6" s="19" t="s">
        <v>57</v>
      </c>
      <c r="M6" s="19" t="s">
        <v>74</v>
      </c>
      <c r="N6" s="19" t="s">
        <v>124</v>
      </c>
      <c r="O6" s="19" t="s">
        <v>75</v>
      </c>
      <c r="P6" s="19" t="s">
        <v>76</v>
      </c>
      <c r="Q6" s="19" t="s">
        <v>77</v>
      </c>
    </row>
    <row r="7" spans="2:17" ht="28.8" x14ac:dyDescent="0.3">
      <c r="B7" s="24" t="s">
        <v>65</v>
      </c>
      <c r="C7" s="23" t="s">
        <v>48</v>
      </c>
      <c r="D7" s="24" t="s">
        <v>78</v>
      </c>
      <c r="E7" s="24" t="s">
        <v>6</v>
      </c>
      <c r="F7" s="56" t="s">
        <v>17</v>
      </c>
      <c r="G7" s="51">
        <v>600</v>
      </c>
      <c r="H7" s="51">
        <f>IF(TablaProductos[[#This Row],[CIF/FOB/Nacional]]="Nacional", TablaProductos[[#This Row],[Costo producto]],IF(TablaProductos[[#This Row],[CIF/FOB/Nacional]]="CIF", TablaProductos[[#This Row],[Costo producto]], TablaProductos[[#This Row],[Costo producto]]*1.3))</f>
        <v>600</v>
      </c>
      <c r="I7" s="52">
        <f>_xlfn.XLOOKUP(TablaProductos[[#This Row],[Agrupación]], 'Datos generales'!$S$8:$S$1048576, 'Datos generales'!$T$8:$T$1048576,"Margen en agrupación no encontrado",0, 1)</f>
        <v>0.1</v>
      </c>
      <c r="J7" s="51">
        <f t="shared" ref="J7:J16" si="0">H7/(1-I7)</f>
        <v>666.66666666666663</v>
      </c>
      <c r="K7" s="53">
        <f>IF(TablaProductos[[#This Row],[Tipo de moneda]]="CLP", TablaProductos[[#This Row],[Precio Moneda compra]], IF(TablaProductos[[#This Row],[Tipo de moneda]]="USD",TablaProductos[[#This Row],[Precio Moneda compra]]*'Datos generales'!$C$10,IF(TablaProductos[[#This Row],[Tipo de moneda]]="EUR",TablaProductos[[#This Row],[Precio Moneda compra]]*'Datos generales'!$C$11,TablaProductos[[#This Row],[Precio Moneda compra]]*'Datos generales'!$C$9)))</f>
        <v>633333.33333333326</v>
      </c>
      <c r="L7" s="53">
        <f>IF(TablaProductos[[#This Row],[Tipo de moneda]]="UF", TablaProductos[[#This Row],[Precio Moneda compra]], IF(TablaProductos[[#This Row],[Tipo de moneda]]="USD",TablaProductos[[#This Row],[Precio Moneda compra]]*'Datos generales'!$C$10/'Datos generales'!$C$9,IF(TablaProductos[[#This Row],[Tipo de moneda]]="EUR",TablaProductos[[#This Row],[Precio Moneda compra]]*'Datos generales'!$C$11/'Datos generales'!$C$9,TablaProductos[[#This Row],[Precio Moneda compra]]/'Datos generales'!$C$9)))</f>
        <v>16.489105040806194</v>
      </c>
      <c r="M7" s="53">
        <f>IF(TablaProductos[[#This Row],[Tipo de moneda]]="USD", TablaProductos[[#This Row],[Precio Moneda compra]], IF(TablaProductos[[#This Row],[Tipo de moneda]]="CLP",TablaProductos[[#This Row],[Precio Moneda compra]]/'Datos generales'!$C$10,IF(TablaProductos[[#This Row],[Tipo de moneda]]="EUR",TablaProductos[[#This Row],[Precio Moneda compra]]*'Datos generales'!$C$11/'Datos generales'!$C$10,TablaProductos[[#This Row],[Precio Moneda compra]]*'Datos generales'!$C$9/'Datos generales'!$C$10)))</f>
        <v>666.66666666666663</v>
      </c>
      <c r="N7" s="53">
        <f>IF(TablaProductos[[#This Row],[Tipo de moneda]]="EUR",TablaProductos[[#This Row],[Precio Moneda compra]], IF(TablaProductos[[#This Row],[Tipo de moneda]]="USD", TablaProductos[[#This Row],[Precio Moneda compra]]*'Datos generales'!$C$10/'Datos generales'!$C$11, IF(TablaProductos[[#This Row],[Tipo de moneda]]="UF",'Datos generales'!$C$9/'Datos generales'!$C$11, TablaProductos[[#This Row],[Precio Moneda compra]]/'Datos generales'!$C$11)))</f>
        <v>617.88617886178849</v>
      </c>
      <c r="O7" s="25" t="s">
        <v>79</v>
      </c>
      <c r="P7" s="23" t="s">
        <v>10</v>
      </c>
      <c r="Q7" s="26" t="s">
        <v>80</v>
      </c>
    </row>
    <row r="8" spans="2:17" ht="28.8" x14ac:dyDescent="0.3">
      <c r="B8" s="24" t="s">
        <v>66</v>
      </c>
      <c r="C8" s="23" t="s">
        <v>67</v>
      </c>
      <c r="D8" s="24" t="s">
        <v>81</v>
      </c>
      <c r="E8" s="24" t="s">
        <v>6</v>
      </c>
      <c r="F8" s="56" t="s">
        <v>24</v>
      </c>
      <c r="G8" s="51">
        <v>118</v>
      </c>
      <c r="H8" s="51">
        <f>IF(TablaProductos[[#This Row],[CIF/FOB/Nacional]]="Nacional", TablaProductos[[#This Row],[Costo producto]],IF(TablaProductos[[#This Row],[CIF/FOB/Nacional]]="CIF", TablaProductos[[#This Row],[Costo producto]], TablaProductos[[#This Row],[Costo producto]]*1.3))</f>
        <v>153.4</v>
      </c>
      <c r="I8" s="52">
        <f>_xlfn.XLOOKUP(TablaProductos[[#This Row],[Agrupación]], 'Datos generales'!$S$8:$S$1048576, 'Datos generales'!$T$8:$T$1048576,"Margen en agrupación no encontrado",0, 1)</f>
        <v>0.5</v>
      </c>
      <c r="J8" s="51">
        <f t="shared" si="0"/>
        <v>306.8</v>
      </c>
      <c r="K8" s="53">
        <f>IF(TablaProductos[[#This Row],[Tipo de moneda]]="CLP", TablaProductos[[#This Row],[Precio Moneda compra]], IF(TablaProductos[[#This Row],[Tipo de moneda]]="USD",TablaProductos[[#This Row],[Precio Moneda compra]]*'Datos generales'!$C$10,IF(TablaProductos[[#This Row],[Tipo de moneda]]="EUR",TablaProductos[[#This Row],[Precio Moneda compra]]*'Datos generales'!$C$11,TablaProductos[[#This Row],[Precio Moneda compra]]*'Datos generales'!$C$9)))</f>
        <v>291460</v>
      </c>
      <c r="L8" s="53">
        <f>IF(TablaProductos[[#This Row],[Tipo de moneda]]="UF", TablaProductos[[#This Row],[Precio Moneda compra]], IF(TablaProductos[[#This Row],[Tipo de moneda]]="USD",TablaProductos[[#This Row],[Precio Moneda compra]]*'Datos generales'!$C$10/'Datos generales'!$C$9,IF(TablaProductos[[#This Row],[Tipo de moneda]]="EUR",TablaProductos[[#This Row],[Precio Moneda compra]]*'Datos generales'!$C$11/'Datos generales'!$C$9,TablaProductos[[#This Row],[Precio Moneda compra]]/'Datos generales'!$C$9)))</f>
        <v>7.5882861397790116</v>
      </c>
      <c r="M8" s="53">
        <f>IF(TablaProductos[[#This Row],[Tipo de moneda]]="USD", TablaProductos[[#This Row],[Precio Moneda compra]], IF(TablaProductos[[#This Row],[Tipo de moneda]]="CLP",TablaProductos[[#This Row],[Precio Moneda compra]]/'Datos generales'!$C$10,IF(TablaProductos[[#This Row],[Tipo de moneda]]="EUR",TablaProductos[[#This Row],[Precio Moneda compra]]*'Datos generales'!$C$11/'Datos generales'!$C$10,TablaProductos[[#This Row],[Precio Moneda compra]]*'Datos generales'!$C$9/'Datos generales'!$C$10)))</f>
        <v>306.8</v>
      </c>
      <c r="N8" s="53">
        <f>IF(TablaProductos[[#This Row],[Tipo de moneda]]="EUR",TablaProductos[[#This Row],[Precio Moneda compra]], IF(TablaProductos[[#This Row],[Tipo de moneda]]="USD", TablaProductos[[#This Row],[Precio Moneda compra]]*'Datos generales'!$C$10/'Datos generales'!$C$11, IF(TablaProductos[[#This Row],[Tipo de moneda]]="UF",'Datos generales'!$C$9/'Datos generales'!$C$11, TablaProductos[[#This Row],[Precio Moneda compra]]/'Datos generales'!$C$11)))</f>
        <v>284.35121951219514</v>
      </c>
      <c r="O8" s="25" t="s">
        <v>82</v>
      </c>
      <c r="P8" s="23" t="s">
        <v>83</v>
      </c>
      <c r="Q8" s="26" t="s">
        <v>84</v>
      </c>
    </row>
    <row r="9" spans="2:17" ht="28.8" x14ac:dyDescent="0.3">
      <c r="B9" s="20" t="s">
        <v>66</v>
      </c>
      <c r="C9" s="45" t="s">
        <v>85</v>
      </c>
      <c r="D9" s="20" t="s">
        <v>86</v>
      </c>
      <c r="E9" s="20" t="s">
        <v>6</v>
      </c>
      <c r="F9" s="31" t="s">
        <v>24</v>
      </c>
      <c r="G9" s="53">
        <v>93</v>
      </c>
      <c r="H9" s="53">
        <f>IF(TablaProductos[[#This Row],[CIF/FOB/Nacional]]="Nacional", TablaProductos[[#This Row],[Costo producto]],IF(TablaProductos[[#This Row],[CIF/FOB/Nacional]]="CIF", TablaProductos[[#This Row],[Costo producto]], TablaProductos[[#This Row],[Costo producto]]*1.3))</f>
        <v>120.9</v>
      </c>
      <c r="I9" s="52">
        <f>_xlfn.XLOOKUP(TablaProductos[[#This Row],[Agrupación]], 'Datos generales'!$S$8:$S$1048576, 'Datos generales'!$T$8:$T$1048576,"Margen en agrupación no encontrado",0, 1)</f>
        <v>0.5</v>
      </c>
      <c r="J9" s="53">
        <f t="shared" si="0"/>
        <v>241.8</v>
      </c>
      <c r="K9" s="53">
        <f>IF(TablaProductos[[#This Row],[Tipo de moneda]]="CLP", TablaProductos[[#This Row],[Precio Moneda compra]], IF(TablaProductos[[#This Row],[Tipo de moneda]]="USD",TablaProductos[[#This Row],[Precio Moneda compra]]*'Datos generales'!$C$10,IF(TablaProductos[[#This Row],[Tipo de moneda]]="EUR",TablaProductos[[#This Row],[Precio Moneda compra]]*'Datos generales'!$C$11,TablaProductos[[#This Row],[Precio Moneda compra]]*'Datos generales'!$C$9)))</f>
        <v>229710</v>
      </c>
      <c r="L9" s="53">
        <f>IF(TablaProductos[[#This Row],[Tipo de moneda]]="UF", TablaProductos[[#This Row],[Precio Moneda compra]], IF(TablaProductos[[#This Row],[Tipo de moneda]]="USD",TablaProductos[[#This Row],[Precio Moneda compra]]*'Datos generales'!$C$10/'Datos generales'!$C$9,IF(TablaProductos[[#This Row],[Tipo de moneda]]="EUR",TablaProductos[[#This Row],[Precio Moneda compra]]*'Datos generales'!$C$11/'Datos generales'!$C$9,TablaProductos[[#This Row],[Precio Moneda compra]]/'Datos generales'!$C$9)))</f>
        <v>5.9805983983004074</v>
      </c>
      <c r="M9" s="53">
        <f>IF(TablaProductos[[#This Row],[Tipo de moneda]]="USD", TablaProductos[[#This Row],[Precio Moneda compra]], IF(TablaProductos[[#This Row],[Tipo de moneda]]="CLP",TablaProductos[[#This Row],[Precio Moneda compra]]/'Datos generales'!$C$10,IF(TablaProductos[[#This Row],[Tipo de moneda]]="EUR",TablaProductos[[#This Row],[Precio Moneda compra]]*'Datos generales'!$C$11/'Datos generales'!$C$10,TablaProductos[[#This Row],[Precio Moneda compra]]*'Datos generales'!$C$9/'Datos generales'!$C$10)))</f>
        <v>241.8</v>
      </c>
      <c r="N9" s="53">
        <f>IF(TablaProductos[[#This Row],[Tipo de moneda]]="EUR",TablaProductos[[#This Row],[Precio Moneda compra]], IF(TablaProductos[[#This Row],[Tipo de moneda]]="USD", TablaProductos[[#This Row],[Precio Moneda compra]]*'Datos generales'!$C$10/'Datos generales'!$C$11, IF(TablaProductos[[#This Row],[Tipo de moneda]]="UF",'Datos generales'!$C$9/'Datos generales'!$C$11, TablaProductos[[#This Row],[Precio Moneda compra]]/'Datos generales'!$C$11)))</f>
        <v>224.10731707317072</v>
      </c>
      <c r="O9" s="25" t="s">
        <v>82</v>
      </c>
      <c r="P9" s="23" t="s">
        <v>83</v>
      </c>
      <c r="Q9" s="26" t="s">
        <v>84</v>
      </c>
    </row>
    <row r="10" spans="2:17" ht="28.8" x14ac:dyDescent="0.3">
      <c r="B10" s="20" t="s">
        <v>66</v>
      </c>
      <c r="C10" s="45" t="s">
        <v>87</v>
      </c>
      <c r="D10" s="20" t="s">
        <v>88</v>
      </c>
      <c r="E10" s="20" t="s">
        <v>6</v>
      </c>
      <c r="F10" s="31" t="s">
        <v>24</v>
      </c>
      <c r="G10" s="53">
        <v>490</v>
      </c>
      <c r="H10" s="53">
        <f>IF(TablaProductos[[#This Row],[CIF/FOB/Nacional]]="Nacional", TablaProductos[[#This Row],[Costo producto]],IF(TablaProductos[[#This Row],[CIF/FOB/Nacional]]="CIF", TablaProductos[[#This Row],[Costo producto]], TablaProductos[[#This Row],[Costo producto]]*1.3))</f>
        <v>637</v>
      </c>
      <c r="I10" s="52">
        <f>_xlfn.XLOOKUP(TablaProductos[[#This Row],[Agrupación]], 'Datos generales'!$S$8:$S$1048576, 'Datos generales'!$T$8:$T$1048576,"Margen en agrupación no encontrado",0, 1)</f>
        <v>0.5</v>
      </c>
      <c r="J10" s="53">
        <f t="shared" si="0"/>
        <v>1274</v>
      </c>
      <c r="K10" s="53">
        <f>IF(TablaProductos[[#This Row],[Tipo de moneda]]="CLP", TablaProductos[[#This Row],[Precio Moneda compra]], IF(TablaProductos[[#This Row],[Tipo de moneda]]="USD",TablaProductos[[#This Row],[Precio Moneda compra]]*'Datos generales'!$C$10,IF(TablaProductos[[#This Row],[Tipo de moneda]]="EUR",TablaProductos[[#This Row],[Precio Moneda compra]]*'Datos generales'!$C$11,TablaProductos[[#This Row],[Precio Moneda compra]]*'Datos generales'!$C$9)))</f>
        <v>1210300</v>
      </c>
      <c r="L10" s="53">
        <f>IF(TablaProductos[[#This Row],[Tipo de moneda]]="UF", TablaProductos[[#This Row],[Precio Moneda compra]], IF(TablaProductos[[#This Row],[Tipo de moneda]]="USD",TablaProductos[[#This Row],[Precio Moneda compra]]*'Datos generales'!$C$10/'Datos generales'!$C$9,IF(TablaProductos[[#This Row],[Tipo de moneda]]="EUR",TablaProductos[[#This Row],[Precio Moneda compra]]*'Datos generales'!$C$11/'Datos generales'!$C$9,TablaProductos[[#This Row],[Precio Moneda compra]]/'Datos generales'!$C$9)))</f>
        <v>31.510679732980641</v>
      </c>
      <c r="M10" s="53">
        <f>IF(TablaProductos[[#This Row],[Tipo de moneda]]="USD", TablaProductos[[#This Row],[Precio Moneda compra]], IF(TablaProductos[[#This Row],[Tipo de moneda]]="CLP",TablaProductos[[#This Row],[Precio Moneda compra]]/'Datos generales'!$C$10,IF(TablaProductos[[#This Row],[Tipo de moneda]]="EUR",TablaProductos[[#This Row],[Precio Moneda compra]]*'Datos generales'!$C$11/'Datos generales'!$C$10,TablaProductos[[#This Row],[Precio Moneda compra]]*'Datos generales'!$C$9/'Datos generales'!$C$10)))</f>
        <v>1274</v>
      </c>
      <c r="N10" s="53">
        <f>IF(TablaProductos[[#This Row],[Tipo de moneda]]="EUR",TablaProductos[[#This Row],[Precio Moneda compra]], IF(TablaProductos[[#This Row],[Tipo de moneda]]="USD", TablaProductos[[#This Row],[Precio Moneda compra]]*'Datos generales'!$C$10/'Datos generales'!$C$11, IF(TablaProductos[[#This Row],[Tipo de moneda]]="UF",'Datos generales'!$C$9/'Datos generales'!$C$11, TablaProductos[[#This Row],[Precio Moneda compra]]/'Datos generales'!$C$11)))</f>
        <v>1180.780487804878</v>
      </c>
      <c r="O10" s="25" t="s">
        <v>82</v>
      </c>
      <c r="P10" s="23" t="s">
        <v>83</v>
      </c>
      <c r="Q10" s="26" t="s">
        <v>84</v>
      </c>
    </row>
    <row r="11" spans="2:17" ht="28.8" x14ac:dyDescent="0.3">
      <c r="B11" s="20" t="s">
        <v>66</v>
      </c>
      <c r="C11" s="31" t="s">
        <v>89</v>
      </c>
      <c r="D11" s="20" t="s">
        <v>90</v>
      </c>
      <c r="E11" s="20" t="s">
        <v>6</v>
      </c>
      <c r="F11" s="31" t="s">
        <v>24</v>
      </c>
      <c r="G11" s="53">
        <v>650</v>
      </c>
      <c r="H11" s="53">
        <f>IF(TablaProductos[[#This Row],[CIF/FOB/Nacional]]="Nacional", TablaProductos[[#This Row],[Costo producto]],IF(TablaProductos[[#This Row],[CIF/FOB/Nacional]]="CIF", TablaProductos[[#This Row],[Costo producto]], TablaProductos[[#This Row],[Costo producto]]*1.3))</f>
        <v>845</v>
      </c>
      <c r="I11" s="52">
        <f>_xlfn.XLOOKUP(TablaProductos[[#This Row],[Agrupación]], 'Datos generales'!$S$8:$S$1048576, 'Datos generales'!$T$8:$T$1048576,"Margen en agrupación no encontrado",0, 1)</f>
        <v>0.5</v>
      </c>
      <c r="J11" s="53">
        <f t="shared" si="0"/>
        <v>1690</v>
      </c>
      <c r="K11" s="53">
        <f>IF(TablaProductos[[#This Row],[Tipo de moneda]]="CLP", TablaProductos[[#This Row],[Precio Moneda compra]], IF(TablaProductos[[#This Row],[Tipo de moneda]]="USD",TablaProductos[[#This Row],[Precio Moneda compra]]*'Datos generales'!$C$10,IF(TablaProductos[[#This Row],[Tipo de moneda]]="EUR",TablaProductos[[#This Row],[Precio Moneda compra]]*'Datos generales'!$C$11,TablaProductos[[#This Row],[Precio Moneda compra]]*'Datos generales'!$C$9)))</f>
        <v>1605500</v>
      </c>
      <c r="L11" s="53">
        <f>IF(TablaProductos[[#This Row],[Tipo de moneda]]="UF", TablaProductos[[#This Row],[Precio Moneda compra]], IF(TablaProductos[[#This Row],[Tipo de moneda]]="USD",TablaProductos[[#This Row],[Precio Moneda compra]]*'Datos generales'!$C$10/'Datos generales'!$C$9,IF(TablaProductos[[#This Row],[Tipo de moneda]]="EUR",TablaProductos[[#This Row],[Precio Moneda compra]]*'Datos generales'!$C$11/'Datos generales'!$C$9,TablaProductos[[#This Row],[Precio Moneda compra]]/'Datos generales'!$C$9)))</f>
        <v>41.799881278443706</v>
      </c>
      <c r="M11" s="53">
        <f>IF(TablaProductos[[#This Row],[Tipo de moneda]]="USD", TablaProductos[[#This Row],[Precio Moneda compra]], IF(TablaProductos[[#This Row],[Tipo de moneda]]="CLP",TablaProductos[[#This Row],[Precio Moneda compra]]/'Datos generales'!$C$10,IF(TablaProductos[[#This Row],[Tipo de moneda]]="EUR",TablaProductos[[#This Row],[Precio Moneda compra]]*'Datos generales'!$C$11/'Datos generales'!$C$10,TablaProductos[[#This Row],[Precio Moneda compra]]*'Datos generales'!$C$9/'Datos generales'!$C$10)))</f>
        <v>1690</v>
      </c>
      <c r="N11" s="53">
        <f>IF(TablaProductos[[#This Row],[Tipo de moneda]]="EUR",TablaProductos[[#This Row],[Precio Moneda compra]], IF(TablaProductos[[#This Row],[Tipo de moneda]]="USD", TablaProductos[[#This Row],[Precio Moneda compra]]*'Datos generales'!$C$10/'Datos generales'!$C$11, IF(TablaProductos[[#This Row],[Tipo de moneda]]="UF",'Datos generales'!$C$9/'Datos generales'!$C$11, TablaProductos[[#This Row],[Precio Moneda compra]]/'Datos generales'!$C$11)))</f>
        <v>1566.3414634146341</v>
      </c>
      <c r="O11" s="25" t="s">
        <v>82</v>
      </c>
      <c r="P11" s="23" t="s">
        <v>83</v>
      </c>
      <c r="Q11" s="26" t="s">
        <v>84</v>
      </c>
    </row>
    <row r="12" spans="2:17" x14ac:dyDescent="0.3">
      <c r="B12" s="20" t="s">
        <v>66</v>
      </c>
      <c r="C12" s="45" t="s">
        <v>91</v>
      </c>
      <c r="D12" s="20" t="s">
        <v>92</v>
      </c>
      <c r="E12" s="20" t="s">
        <v>6</v>
      </c>
      <c r="F12" s="31" t="s">
        <v>24</v>
      </c>
      <c r="G12" s="53">
        <v>850</v>
      </c>
      <c r="H12" s="53">
        <f>IF(TablaProductos[[#This Row],[CIF/FOB/Nacional]]="Nacional", TablaProductos[[#This Row],[Costo producto]],IF(TablaProductos[[#This Row],[CIF/FOB/Nacional]]="CIF", TablaProductos[[#This Row],[Costo producto]], TablaProductos[[#This Row],[Costo producto]]*1.3))</f>
        <v>1105</v>
      </c>
      <c r="I12" s="52">
        <f>_xlfn.XLOOKUP(TablaProductos[[#This Row],[Agrupación]], 'Datos generales'!$S$8:$S$1048576, 'Datos generales'!$T$8:$T$1048576,"Margen en agrupación no encontrado",0, 1)</f>
        <v>0.5</v>
      </c>
      <c r="J12" s="53">
        <f t="shared" si="0"/>
        <v>2210</v>
      </c>
      <c r="K12" s="53">
        <f>IF(TablaProductos[[#This Row],[Tipo de moneda]]="CLP", TablaProductos[[#This Row],[Precio Moneda compra]], IF(TablaProductos[[#This Row],[Tipo de moneda]]="USD",TablaProductos[[#This Row],[Precio Moneda compra]]*'Datos generales'!$C$10,IF(TablaProductos[[#This Row],[Tipo de moneda]]="EUR",TablaProductos[[#This Row],[Precio Moneda compra]]*'Datos generales'!$C$11,TablaProductos[[#This Row],[Precio Moneda compra]]*'Datos generales'!$C$9)))</f>
        <v>2099500</v>
      </c>
      <c r="L12" s="53">
        <f>IF(TablaProductos[[#This Row],[Tipo de moneda]]="UF", TablaProductos[[#This Row],[Precio Moneda compra]], IF(TablaProductos[[#This Row],[Tipo de moneda]]="USD",TablaProductos[[#This Row],[Precio Moneda compra]]*'Datos generales'!$C$10/'Datos generales'!$C$9,IF(TablaProductos[[#This Row],[Tipo de moneda]]="EUR",TablaProductos[[#This Row],[Precio Moneda compra]]*'Datos generales'!$C$11/'Datos generales'!$C$9,TablaProductos[[#This Row],[Precio Moneda compra]]/'Datos generales'!$C$9)))</f>
        <v>54.66138321027254</v>
      </c>
      <c r="M12" s="53">
        <f>IF(TablaProductos[[#This Row],[Tipo de moneda]]="USD", TablaProductos[[#This Row],[Precio Moneda compra]], IF(TablaProductos[[#This Row],[Tipo de moneda]]="CLP",TablaProductos[[#This Row],[Precio Moneda compra]]/'Datos generales'!$C$10,IF(TablaProductos[[#This Row],[Tipo de moneda]]="EUR",TablaProductos[[#This Row],[Precio Moneda compra]]*'Datos generales'!$C$11/'Datos generales'!$C$10,TablaProductos[[#This Row],[Precio Moneda compra]]*'Datos generales'!$C$9/'Datos generales'!$C$10)))</f>
        <v>2210</v>
      </c>
      <c r="N12" s="53">
        <f>IF(TablaProductos[[#This Row],[Tipo de moneda]]="EUR",TablaProductos[[#This Row],[Precio Moneda compra]], IF(TablaProductos[[#This Row],[Tipo de moneda]]="USD", TablaProductos[[#This Row],[Precio Moneda compra]]*'Datos generales'!$C$10/'Datos generales'!$C$11, IF(TablaProductos[[#This Row],[Tipo de moneda]]="UF",'Datos generales'!$C$9/'Datos generales'!$C$11, TablaProductos[[#This Row],[Precio Moneda compra]]/'Datos generales'!$C$11)))</f>
        <v>2048.2926829268295</v>
      </c>
      <c r="O12" s="25" t="s">
        <v>82</v>
      </c>
      <c r="P12" s="23" t="s">
        <v>83</v>
      </c>
      <c r="Q12" s="26" t="s">
        <v>84</v>
      </c>
    </row>
    <row r="13" spans="2:17" x14ac:dyDescent="0.3">
      <c r="B13" s="20" t="s">
        <v>66</v>
      </c>
      <c r="C13" s="31" t="s">
        <v>93</v>
      </c>
      <c r="D13" s="20" t="s">
        <v>94</v>
      </c>
      <c r="E13" s="20" t="s">
        <v>6</v>
      </c>
      <c r="F13" s="31" t="s">
        <v>24</v>
      </c>
      <c r="G13" s="53">
        <v>520</v>
      </c>
      <c r="H13" s="53">
        <f>IF(TablaProductos[[#This Row],[CIF/FOB/Nacional]]="Nacional", TablaProductos[[#This Row],[Costo producto]],IF(TablaProductos[[#This Row],[CIF/FOB/Nacional]]="CIF", TablaProductos[[#This Row],[Costo producto]], TablaProductos[[#This Row],[Costo producto]]*1.3))</f>
        <v>676</v>
      </c>
      <c r="I13" s="52">
        <f>_xlfn.XLOOKUP(TablaProductos[[#This Row],[Agrupación]], 'Datos generales'!$S$8:$S$1048576, 'Datos generales'!$T$8:$T$1048576,"Margen en agrupación no encontrado",0, 1)</f>
        <v>0.5</v>
      </c>
      <c r="J13" s="53">
        <f t="shared" si="0"/>
        <v>1352</v>
      </c>
      <c r="K13" s="53">
        <f>IF(TablaProductos[[#This Row],[Tipo de moneda]]="CLP", TablaProductos[[#This Row],[Precio Moneda compra]], IF(TablaProductos[[#This Row],[Tipo de moneda]]="USD",TablaProductos[[#This Row],[Precio Moneda compra]]*'Datos generales'!$C$10,IF(TablaProductos[[#This Row],[Tipo de moneda]]="EUR",TablaProductos[[#This Row],[Precio Moneda compra]]*'Datos generales'!$C$11,TablaProductos[[#This Row],[Precio Moneda compra]]*'Datos generales'!$C$9)))</f>
        <v>1284400</v>
      </c>
      <c r="L13" s="53">
        <f>IF(TablaProductos[[#This Row],[Tipo de moneda]]="UF", TablaProductos[[#This Row],[Precio Moneda compra]], IF(TablaProductos[[#This Row],[Tipo de moneda]]="USD",TablaProductos[[#This Row],[Precio Moneda compra]]*'Datos generales'!$C$10/'Datos generales'!$C$9,IF(TablaProductos[[#This Row],[Tipo de moneda]]="EUR",TablaProductos[[#This Row],[Precio Moneda compra]]*'Datos generales'!$C$11/'Datos generales'!$C$9,TablaProductos[[#This Row],[Precio Moneda compra]]/'Datos generales'!$C$9)))</f>
        <v>33.439905022754971</v>
      </c>
      <c r="M13" s="53">
        <f>IF(TablaProductos[[#This Row],[Tipo de moneda]]="USD", TablaProductos[[#This Row],[Precio Moneda compra]], IF(TablaProductos[[#This Row],[Tipo de moneda]]="CLP",TablaProductos[[#This Row],[Precio Moneda compra]]/'Datos generales'!$C$10,IF(TablaProductos[[#This Row],[Tipo de moneda]]="EUR",TablaProductos[[#This Row],[Precio Moneda compra]]*'Datos generales'!$C$11/'Datos generales'!$C$10,TablaProductos[[#This Row],[Precio Moneda compra]]*'Datos generales'!$C$9/'Datos generales'!$C$10)))</f>
        <v>1352</v>
      </c>
      <c r="N13" s="53">
        <f>IF(TablaProductos[[#This Row],[Tipo de moneda]]="EUR",TablaProductos[[#This Row],[Precio Moneda compra]], IF(TablaProductos[[#This Row],[Tipo de moneda]]="USD", TablaProductos[[#This Row],[Precio Moneda compra]]*'Datos generales'!$C$10/'Datos generales'!$C$11, IF(TablaProductos[[#This Row],[Tipo de moneda]]="UF",'Datos generales'!$C$9/'Datos generales'!$C$11, TablaProductos[[#This Row],[Precio Moneda compra]]/'Datos generales'!$C$11)))</f>
        <v>1253.0731707317073</v>
      </c>
      <c r="O13" s="25" t="s">
        <v>82</v>
      </c>
      <c r="P13" s="23" t="s">
        <v>83</v>
      </c>
      <c r="Q13" s="26" t="s">
        <v>84</v>
      </c>
    </row>
    <row r="14" spans="2:17" x14ac:dyDescent="0.3">
      <c r="B14" s="20" t="s">
        <v>66</v>
      </c>
      <c r="C14" s="45" t="s">
        <v>95</v>
      </c>
      <c r="D14" s="20" t="s">
        <v>96</v>
      </c>
      <c r="E14" s="20" t="s">
        <v>6</v>
      </c>
      <c r="F14" s="31" t="s">
        <v>24</v>
      </c>
      <c r="G14" s="53">
        <v>652</v>
      </c>
      <c r="H14" s="53">
        <f>IF(TablaProductos[[#This Row],[CIF/FOB/Nacional]]="Nacional", TablaProductos[[#This Row],[Costo producto]],IF(TablaProductos[[#This Row],[CIF/FOB/Nacional]]="CIF", TablaProductos[[#This Row],[Costo producto]], TablaProductos[[#This Row],[Costo producto]]*1.3))</f>
        <v>847.6</v>
      </c>
      <c r="I14" s="52">
        <f>_xlfn.XLOOKUP(TablaProductos[[#This Row],[Agrupación]], 'Datos generales'!$S$8:$S$1048576, 'Datos generales'!$T$8:$T$1048576,"Margen en agrupación no encontrado",0, 1)</f>
        <v>0.5</v>
      </c>
      <c r="J14" s="53">
        <f t="shared" si="0"/>
        <v>1695.2</v>
      </c>
      <c r="K14" s="53">
        <f>IF(TablaProductos[[#This Row],[Tipo de moneda]]="CLP", TablaProductos[[#This Row],[Precio Moneda compra]], IF(TablaProductos[[#This Row],[Tipo de moneda]]="USD",TablaProductos[[#This Row],[Precio Moneda compra]]*'Datos generales'!$C$10,IF(TablaProductos[[#This Row],[Tipo de moneda]]="EUR",TablaProductos[[#This Row],[Precio Moneda compra]]*'Datos generales'!$C$11,TablaProductos[[#This Row],[Precio Moneda compra]]*'Datos generales'!$C$9)))</f>
        <v>1610440</v>
      </c>
      <c r="L14" s="53">
        <f>IF(TablaProductos[[#This Row],[Tipo de moneda]]="UF", TablaProductos[[#This Row],[Precio Moneda compra]], IF(TablaProductos[[#This Row],[Tipo de moneda]]="USD",TablaProductos[[#This Row],[Precio Moneda compra]]*'Datos generales'!$C$10/'Datos generales'!$C$9,IF(TablaProductos[[#This Row],[Tipo de moneda]]="EUR",TablaProductos[[#This Row],[Precio Moneda compra]]*'Datos generales'!$C$11/'Datos generales'!$C$9,TablaProductos[[#This Row],[Precio Moneda compra]]/'Datos generales'!$C$9)))</f>
        <v>41.928496297761995</v>
      </c>
      <c r="M14" s="53">
        <f>IF(TablaProductos[[#This Row],[Tipo de moneda]]="USD", TablaProductos[[#This Row],[Precio Moneda compra]], IF(TablaProductos[[#This Row],[Tipo de moneda]]="CLP",TablaProductos[[#This Row],[Precio Moneda compra]]/'Datos generales'!$C$10,IF(TablaProductos[[#This Row],[Tipo de moneda]]="EUR",TablaProductos[[#This Row],[Precio Moneda compra]]*'Datos generales'!$C$11/'Datos generales'!$C$10,TablaProductos[[#This Row],[Precio Moneda compra]]*'Datos generales'!$C$9/'Datos generales'!$C$10)))</f>
        <v>1695.2</v>
      </c>
      <c r="N14" s="53">
        <f>IF(TablaProductos[[#This Row],[Tipo de moneda]]="EUR",TablaProductos[[#This Row],[Precio Moneda compra]], IF(TablaProductos[[#This Row],[Tipo de moneda]]="USD", TablaProductos[[#This Row],[Precio Moneda compra]]*'Datos generales'!$C$10/'Datos generales'!$C$11, IF(TablaProductos[[#This Row],[Tipo de moneda]]="UF",'Datos generales'!$C$9/'Datos generales'!$C$11, TablaProductos[[#This Row],[Precio Moneda compra]]/'Datos generales'!$C$11)))</f>
        <v>1571.1609756097562</v>
      </c>
      <c r="O14" s="25" t="s">
        <v>82</v>
      </c>
      <c r="P14" s="23" t="s">
        <v>83</v>
      </c>
      <c r="Q14" s="26" t="s">
        <v>84</v>
      </c>
    </row>
    <row r="15" spans="2:17" ht="100.8" x14ac:dyDescent="0.3">
      <c r="B15" s="20" t="s">
        <v>66</v>
      </c>
      <c r="C15" s="45" t="s">
        <v>97</v>
      </c>
      <c r="D15" s="20" t="s">
        <v>98</v>
      </c>
      <c r="E15" s="20" t="s">
        <v>6</v>
      </c>
      <c r="F15" s="31" t="s">
        <v>24</v>
      </c>
      <c r="G15" s="53">
        <v>368.8</v>
      </c>
      <c r="H15" s="53">
        <f>IF(TablaProductos[[#This Row],[CIF/FOB/Nacional]]="Nacional", TablaProductos[[#This Row],[Costo producto]],IF(TablaProductos[[#This Row],[CIF/FOB/Nacional]]="CIF", TablaProductos[[#This Row],[Costo producto]], TablaProductos[[#This Row],[Costo producto]]*1.3))</f>
        <v>479.44000000000005</v>
      </c>
      <c r="I15" s="52">
        <f>_xlfn.XLOOKUP(TablaProductos[[#This Row],[Agrupación]], 'Datos generales'!$S$8:$S$1048576, 'Datos generales'!$T$8:$T$1048576,"Margen en agrupación no encontrado",0, 1)</f>
        <v>0.5</v>
      </c>
      <c r="J15" s="53">
        <f t="shared" si="0"/>
        <v>958.88000000000011</v>
      </c>
      <c r="K15" s="53">
        <f>IF(TablaProductos[[#This Row],[Tipo de moneda]]="CLP", TablaProductos[[#This Row],[Precio Moneda compra]], IF(TablaProductos[[#This Row],[Tipo de moneda]]="USD",TablaProductos[[#This Row],[Precio Moneda compra]]*'Datos generales'!$C$10,IF(TablaProductos[[#This Row],[Tipo de moneda]]="EUR",TablaProductos[[#This Row],[Precio Moneda compra]]*'Datos generales'!$C$11,TablaProductos[[#This Row],[Precio Moneda compra]]*'Datos generales'!$C$9)))</f>
        <v>910936.00000000012</v>
      </c>
      <c r="L15" s="53">
        <f>IF(TablaProductos[[#This Row],[Tipo de moneda]]="UF", TablaProductos[[#This Row],[Precio Moneda compra]], IF(TablaProductos[[#This Row],[Tipo de moneda]]="USD",TablaProductos[[#This Row],[Precio Moneda compra]]*'Datos generales'!$C$10/'Datos generales'!$C$9,IF(TablaProductos[[#This Row],[Tipo de moneda]]="EUR",TablaProductos[[#This Row],[Precio Moneda compra]]*'Datos generales'!$C$11/'Datos generales'!$C$9,TablaProductos[[#This Row],[Precio Moneda compra]]/'Datos generales'!$C$9)))</f>
        <v>23.716609562292373</v>
      </c>
      <c r="M15" s="53">
        <f>IF(TablaProductos[[#This Row],[Tipo de moneda]]="USD", TablaProductos[[#This Row],[Precio Moneda compra]], IF(TablaProductos[[#This Row],[Tipo de moneda]]="CLP",TablaProductos[[#This Row],[Precio Moneda compra]]/'Datos generales'!$C$10,IF(TablaProductos[[#This Row],[Tipo de moneda]]="EUR",TablaProductos[[#This Row],[Precio Moneda compra]]*'Datos generales'!$C$11/'Datos generales'!$C$10,TablaProductos[[#This Row],[Precio Moneda compra]]*'Datos generales'!$C$9/'Datos generales'!$C$10)))</f>
        <v>958.88000000000011</v>
      </c>
      <c r="N15" s="53">
        <f>IF(TablaProductos[[#This Row],[Tipo de moneda]]="EUR",TablaProductos[[#This Row],[Precio Moneda compra]], IF(TablaProductos[[#This Row],[Tipo de moneda]]="USD", TablaProductos[[#This Row],[Precio Moneda compra]]*'Datos generales'!$C$10/'Datos generales'!$C$11, IF(TablaProductos[[#This Row],[Tipo de moneda]]="UF",'Datos generales'!$C$9/'Datos generales'!$C$11, TablaProductos[[#This Row],[Precio Moneda compra]]/'Datos generales'!$C$11)))</f>
        <v>888.71804878048795</v>
      </c>
      <c r="O15" s="21"/>
      <c r="P15" s="45"/>
      <c r="Q15" s="54"/>
    </row>
    <row r="16" spans="2:17" x14ac:dyDescent="0.3">
      <c r="B16" s="20" t="s">
        <v>99</v>
      </c>
      <c r="C16" s="45" t="s">
        <v>110</v>
      </c>
      <c r="D16" s="20" t="s">
        <v>100</v>
      </c>
      <c r="E16" s="20" t="s">
        <v>1</v>
      </c>
      <c r="F16" s="31" t="s">
        <v>27</v>
      </c>
      <c r="G16" s="53">
        <v>200000</v>
      </c>
      <c r="H16" s="53">
        <f>IF(TablaProductos[[#This Row],[CIF/FOB/Nacional]]="Nacional", TablaProductos[[#This Row],[Costo producto]],IF(TablaProductos[[#This Row],[CIF/FOB/Nacional]]="CIF", TablaProductos[[#This Row],[Costo producto]], TablaProductos[[#This Row],[Costo producto]]*1.3))</f>
        <v>200000</v>
      </c>
      <c r="I16" s="52">
        <f>_xlfn.XLOOKUP(TablaProductos[[#This Row],[Agrupación]], 'Datos generales'!$S$8:$S$1048576, 'Datos generales'!$T$8:$T$1048576,"Margen en agrupación no encontrado",0, 1)</f>
        <v>0.6</v>
      </c>
      <c r="J16" s="53">
        <f t="shared" si="0"/>
        <v>500000</v>
      </c>
      <c r="K16" s="53">
        <f>IF(TablaProductos[[#This Row],[Tipo de moneda]]="CLP", TablaProductos[[#This Row],[Precio Moneda compra]], IF(TablaProductos[[#This Row],[Tipo de moneda]]="USD",TablaProductos[[#This Row],[Precio Moneda compra]]*'Datos generales'!$C$10,IF(TablaProductos[[#This Row],[Tipo de moneda]]="EUR",TablaProductos[[#This Row],[Precio Moneda compra]]*'Datos generales'!$C$11,TablaProductos[[#This Row],[Precio Moneda compra]]*'Datos generales'!$C$9)))</f>
        <v>500000</v>
      </c>
      <c r="L16" s="53">
        <f>IF(TablaProductos[[#This Row],[Tipo de moneda]]="UF", TablaProductos[[#This Row],[Precio Moneda compra]], IF(TablaProductos[[#This Row],[Tipo de moneda]]="USD",TablaProductos[[#This Row],[Precio Moneda compra]]*'Datos generales'!$C$10/'Datos generales'!$C$9,IF(TablaProductos[[#This Row],[Tipo de moneda]]="EUR",TablaProductos[[#This Row],[Precio Moneda compra]]*'Datos generales'!$C$11/'Datos generales'!$C$9,TablaProductos[[#This Row],[Precio Moneda compra]]/'Datos generales'!$C$9)))</f>
        <v>13.01771450589963</v>
      </c>
      <c r="M16" s="53">
        <f>IF(TablaProductos[[#This Row],[Tipo de moneda]]="USD", TablaProductos[[#This Row],[Precio Moneda compra]], IF(TablaProductos[[#This Row],[Tipo de moneda]]="CLP",TablaProductos[[#This Row],[Precio Moneda compra]]/'Datos generales'!$C$10,IF(TablaProductos[[#This Row],[Tipo de moneda]]="EUR",TablaProductos[[#This Row],[Precio Moneda compra]]*'Datos generales'!$C$11/'Datos generales'!$C$10,TablaProductos[[#This Row],[Precio Moneda compra]]*'Datos generales'!$C$9/'Datos generales'!$C$10)))</f>
        <v>526.31578947368416</v>
      </c>
      <c r="N16" s="53">
        <f>IF(TablaProductos[[#This Row],[Tipo de moneda]]="EUR",TablaProductos[[#This Row],[Precio Moneda compra]], IF(TablaProductos[[#This Row],[Tipo de moneda]]="USD", TablaProductos[[#This Row],[Precio Moneda compra]]*'Datos generales'!$C$10/'Datos generales'!$C$11, IF(TablaProductos[[#This Row],[Tipo de moneda]]="UF",'Datos generales'!$C$9/'Datos generales'!$C$11, TablaProductos[[#This Row],[Precio Moneda compra]]/'Datos generales'!$C$11)))</f>
        <v>487.80487804878049</v>
      </c>
      <c r="O16" s="201" t="s">
        <v>101</v>
      </c>
      <c r="P16" s="45" t="s">
        <v>102</v>
      </c>
      <c r="Q16" s="54"/>
    </row>
    <row r="17" spans="2:17" ht="201.6" x14ac:dyDescent="0.3">
      <c r="B17" s="20" t="s">
        <v>66</v>
      </c>
      <c r="C17" s="23" t="s">
        <v>154</v>
      </c>
      <c r="D17" s="20" t="s">
        <v>155</v>
      </c>
      <c r="E17" s="20" t="s">
        <v>6</v>
      </c>
      <c r="F17" s="31" t="s">
        <v>24</v>
      </c>
      <c r="G17" s="53">
        <v>425</v>
      </c>
      <c r="H17" s="53">
        <f>IF(TablaProductos[[#This Row],[CIF/FOB/Nacional]]="Nacional", TablaProductos[[#This Row],[Costo producto]],IF(TablaProductos[[#This Row],[CIF/FOB/Nacional]]="CIF", TablaProductos[[#This Row],[Costo producto]], TablaProductos[[#This Row],[Costo producto]]*1.3))</f>
        <v>552.5</v>
      </c>
      <c r="I17" s="52">
        <f>_xlfn.XLOOKUP(TablaProductos[[#This Row],[Agrupación]], 'Datos generales'!$S$8:$S$1048576, 'Datos generales'!$T$8:$T$1048576,"Margen en agrupación no encontrado",0, 1)</f>
        <v>0.5</v>
      </c>
      <c r="J17" s="53">
        <f t="shared" ref="J17:J28" si="1">H17/(1-I17)</f>
        <v>1105</v>
      </c>
      <c r="K17" s="53">
        <f>IF(TablaProductos[[#This Row],[Tipo de moneda]]="CLP", TablaProductos[[#This Row],[Precio Moneda compra]], IF(TablaProductos[[#This Row],[Tipo de moneda]]="USD",TablaProductos[[#This Row],[Precio Moneda compra]]*'Datos generales'!$C$10,IF(TablaProductos[[#This Row],[Tipo de moneda]]="EUR",TablaProductos[[#This Row],[Precio Moneda compra]]*'Datos generales'!$C$11,TablaProductos[[#This Row],[Precio Moneda compra]]*'Datos generales'!$C$9)))</f>
        <v>1049750</v>
      </c>
      <c r="L17" s="53">
        <f>IF(TablaProductos[[#This Row],[Tipo de moneda]]="UF", TablaProductos[[#This Row],[Precio Moneda compra]], IF(TablaProductos[[#This Row],[Tipo de moneda]]="USD",TablaProductos[[#This Row],[Precio Moneda compra]]*'Datos generales'!$C$10/'Datos generales'!$C$9,IF(TablaProductos[[#This Row],[Tipo de moneda]]="EUR",TablaProductos[[#This Row],[Precio Moneda compra]]*'Datos generales'!$C$11/'Datos generales'!$C$9,TablaProductos[[#This Row],[Precio Moneda compra]]/'Datos generales'!$C$9)))</f>
        <v>27.33069160513627</v>
      </c>
      <c r="M17" s="53">
        <f>IF(TablaProductos[[#This Row],[Tipo de moneda]]="USD", TablaProductos[[#This Row],[Precio Moneda compra]], IF(TablaProductos[[#This Row],[Tipo de moneda]]="CLP",TablaProductos[[#This Row],[Precio Moneda compra]]/'Datos generales'!$C$10,IF(TablaProductos[[#This Row],[Tipo de moneda]]="EUR",TablaProductos[[#This Row],[Precio Moneda compra]]*'Datos generales'!$C$11/'Datos generales'!$C$10,TablaProductos[[#This Row],[Precio Moneda compra]]*'Datos generales'!$C$9/'Datos generales'!$C$10)))</f>
        <v>1105</v>
      </c>
      <c r="N17" s="53">
        <f>IF(TablaProductos[[#This Row],[Tipo de moneda]]="EUR",TablaProductos[[#This Row],[Precio Moneda compra]], IF(TablaProductos[[#This Row],[Tipo de moneda]]="USD", TablaProductos[[#This Row],[Precio Moneda compra]]*'Datos generales'!$C$10/'Datos generales'!$C$11, IF(TablaProductos[[#This Row],[Tipo de moneda]]="UF",'Datos generales'!$C$9/'Datos generales'!$C$11, TablaProductos[[#This Row],[Precio Moneda compra]]/'Datos generales'!$C$11)))</f>
        <v>1024.1463414634147</v>
      </c>
      <c r="O17" s="21" t="s">
        <v>156</v>
      </c>
      <c r="P17" s="45"/>
      <c r="Q17" s="115"/>
    </row>
    <row r="18" spans="2:17" ht="100.8" x14ac:dyDescent="0.3">
      <c r="B18" s="20" t="s">
        <v>66</v>
      </c>
      <c r="C18" s="45" t="s">
        <v>157</v>
      </c>
      <c r="D18" s="20" t="s">
        <v>162</v>
      </c>
      <c r="E18" s="20" t="s">
        <v>6</v>
      </c>
      <c r="F18" s="31" t="s">
        <v>24</v>
      </c>
      <c r="G18" s="53">
        <v>1000</v>
      </c>
      <c r="H18" s="53">
        <f>IF(TablaProductos[[#This Row],[CIF/FOB/Nacional]]="Nacional", TablaProductos[[#This Row],[Costo producto]],IF(TablaProductos[[#This Row],[CIF/FOB/Nacional]]="CIF", TablaProductos[[#This Row],[Costo producto]], TablaProductos[[#This Row],[Costo producto]]*1.3))</f>
        <v>1300</v>
      </c>
      <c r="I18" s="132">
        <f>_xlfn.XLOOKUP(TablaProductos[[#This Row],[Agrupación]], 'Datos generales'!$S$8:$S$1048576, 'Datos generales'!$T$8:$T$1048576,"Margen en agrupación no encontrado",0, 1)</f>
        <v>0.5</v>
      </c>
      <c r="J18" s="53">
        <f t="shared" si="1"/>
        <v>2600</v>
      </c>
      <c r="K18" s="53">
        <f>IF(TablaProductos[[#This Row],[Tipo de moneda]]="CLP", TablaProductos[[#This Row],[Precio Moneda compra]], IF(TablaProductos[[#This Row],[Tipo de moneda]]="USD",TablaProductos[[#This Row],[Precio Moneda compra]]*'Datos generales'!$C$10,IF(TablaProductos[[#This Row],[Tipo de moneda]]="EUR",TablaProductos[[#This Row],[Precio Moneda compra]]*'Datos generales'!$C$11,TablaProductos[[#This Row],[Precio Moneda compra]]*'Datos generales'!$C$9)))</f>
        <v>2470000</v>
      </c>
      <c r="L18" s="53">
        <f>IF(TablaProductos[[#This Row],[Tipo de moneda]]="UF", TablaProductos[[#This Row],[Precio Moneda compra]], IF(TablaProductos[[#This Row],[Tipo de moneda]]="USD",TablaProductos[[#This Row],[Precio Moneda compra]]*'Datos generales'!$C$10/'Datos generales'!$C$9,IF(TablaProductos[[#This Row],[Tipo de moneda]]="EUR",TablaProductos[[#This Row],[Precio Moneda compra]]*'Datos generales'!$C$11/'Datos generales'!$C$9,TablaProductos[[#This Row],[Precio Moneda compra]]/'Datos generales'!$C$9)))</f>
        <v>64.307509659144173</v>
      </c>
      <c r="M18" s="53">
        <f>IF(TablaProductos[[#This Row],[Tipo de moneda]]="USD", TablaProductos[[#This Row],[Precio Moneda compra]], IF(TablaProductos[[#This Row],[Tipo de moneda]]="CLP",TablaProductos[[#This Row],[Precio Moneda compra]]/'Datos generales'!$C$10,IF(TablaProductos[[#This Row],[Tipo de moneda]]="EUR",TablaProductos[[#This Row],[Precio Moneda compra]]*'Datos generales'!$C$11/'Datos generales'!$C$10,TablaProductos[[#This Row],[Precio Moneda compra]]*'Datos generales'!$C$9/'Datos generales'!$C$10)))</f>
        <v>2600</v>
      </c>
      <c r="N18" s="53">
        <f>IF(TablaProductos[[#This Row],[Tipo de moneda]]="EUR",TablaProductos[[#This Row],[Precio Moneda compra]], IF(TablaProductos[[#This Row],[Tipo de moneda]]="USD", TablaProductos[[#This Row],[Precio Moneda compra]]*'Datos generales'!$C$10/'Datos generales'!$C$11, IF(TablaProductos[[#This Row],[Tipo de moneda]]="UF",'Datos generales'!$C$9/'Datos generales'!$C$11, TablaProductos[[#This Row],[Precio Moneda compra]]/'Datos generales'!$C$11)))</f>
        <v>2409.7560975609758</v>
      </c>
      <c r="O18" s="21"/>
      <c r="P18" s="45"/>
      <c r="Q18" s="115"/>
    </row>
    <row r="19" spans="2:17" ht="28.8" x14ac:dyDescent="0.3">
      <c r="B19" s="20" t="s">
        <v>99</v>
      </c>
      <c r="C19" s="45" t="s">
        <v>158</v>
      </c>
      <c r="D19" s="20" t="s">
        <v>159</v>
      </c>
      <c r="E19" s="20" t="s">
        <v>6</v>
      </c>
      <c r="F19" s="31" t="s">
        <v>24</v>
      </c>
      <c r="G19" s="53">
        <v>250</v>
      </c>
      <c r="H19" s="53">
        <f>IF(TablaProductos[[#This Row],[CIF/FOB/Nacional]]="Nacional", TablaProductos[[#This Row],[Costo producto]],IF(TablaProductos[[#This Row],[CIF/FOB/Nacional]]="CIF", TablaProductos[[#This Row],[Costo producto]], TablaProductos[[#This Row],[Costo producto]]*1.3))</f>
        <v>325</v>
      </c>
      <c r="I19" s="132">
        <f>_xlfn.XLOOKUP(TablaProductos[[#This Row],[Agrupación]], 'Datos generales'!$S$8:$S$1048576, 'Datos generales'!$T$8:$T$1048576,"Margen en agrupación no encontrado",0, 1)</f>
        <v>0.6</v>
      </c>
      <c r="J19" s="53">
        <f t="shared" si="1"/>
        <v>812.5</v>
      </c>
      <c r="K19" s="53">
        <f>IF(TablaProductos[[#This Row],[Tipo de moneda]]="CLP", TablaProductos[[#This Row],[Precio Moneda compra]], IF(TablaProductos[[#This Row],[Tipo de moneda]]="USD",TablaProductos[[#This Row],[Precio Moneda compra]]*'Datos generales'!$C$10,IF(TablaProductos[[#This Row],[Tipo de moneda]]="EUR",TablaProductos[[#This Row],[Precio Moneda compra]]*'Datos generales'!$C$11,TablaProductos[[#This Row],[Precio Moneda compra]]*'Datos generales'!$C$9)))</f>
        <v>771875</v>
      </c>
      <c r="L19" s="53">
        <f>IF(TablaProductos[[#This Row],[Tipo de moneda]]="UF", TablaProductos[[#This Row],[Precio Moneda compra]], IF(TablaProductos[[#This Row],[Tipo de moneda]]="USD",TablaProductos[[#This Row],[Precio Moneda compra]]*'Datos generales'!$C$10/'Datos generales'!$C$9,IF(TablaProductos[[#This Row],[Tipo de moneda]]="EUR",TablaProductos[[#This Row],[Precio Moneda compra]]*'Datos generales'!$C$11/'Datos generales'!$C$9,TablaProductos[[#This Row],[Precio Moneda compra]]/'Datos generales'!$C$9)))</f>
        <v>20.096096768482553</v>
      </c>
      <c r="M19" s="53">
        <f>IF(TablaProductos[[#This Row],[Tipo de moneda]]="USD", TablaProductos[[#This Row],[Precio Moneda compra]], IF(TablaProductos[[#This Row],[Tipo de moneda]]="CLP",TablaProductos[[#This Row],[Precio Moneda compra]]/'Datos generales'!$C$10,IF(TablaProductos[[#This Row],[Tipo de moneda]]="EUR",TablaProductos[[#This Row],[Precio Moneda compra]]*'Datos generales'!$C$11/'Datos generales'!$C$10,TablaProductos[[#This Row],[Precio Moneda compra]]*'Datos generales'!$C$9/'Datos generales'!$C$10)))</f>
        <v>812.5</v>
      </c>
      <c r="N19" s="53">
        <f>IF(TablaProductos[[#This Row],[Tipo de moneda]]="EUR",TablaProductos[[#This Row],[Precio Moneda compra]], IF(TablaProductos[[#This Row],[Tipo de moneda]]="USD", TablaProductos[[#This Row],[Precio Moneda compra]]*'Datos generales'!$C$10/'Datos generales'!$C$11, IF(TablaProductos[[#This Row],[Tipo de moneda]]="UF",'Datos generales'!$C$9/'Datos generales'!$C$11, TablaProductos[[#This Row],[Precio Moneda compra]]/'Datos generales'!$C$11)))</f>
        <v>753.04878048780483</v>
      </c>
      <c r="O19" s="21"/>
      <c r="P19" s="45"/>
      <c r="Q19" s="115"/>
    </row>
    <row r="20" spans="2:17" ht="86.4" x14ac:dyDescent="0.3">
      <c r="B20" s="20" t="s">
        <v>66</v>
      </c>
      <c r="C20" s="45" t="s">
        <v>160</v>
      </c>
      <c r="D20" s="20" t="s">
        <v>161</v>
      </c>
      <c r="E20" s="20" t="s">
        <v>6</v>
      </c>
      <c r="F20" s="31" t="s">
        <v>24</v>
      </c>
      <c r="G20" s="53">
        <v>160</v>
      </c>
      <c r="H20" s="53">
        <f>IF(TablaProductos[[#This Row],[CIF/FOB/Nacional]]="Nacional", TablaProductos[[#This Row],[Costo producto]],IF(TablaProductos[[#This Row],[CIF/FOB/Nacional]]="CIF", TablaProductos[[#This Row],[Costo producto]], TablaProductos[[#This Row],[Costo producto]]*1.3))</f>
        <v>208</v>
      </c>
      <c r="I20" s="132">
        <f>_xlfn.XLOOKUP(TablaProductos[[#This Row],[Agrupación]], 'Datos generales'!$S$8:$S$1048576, 'Datos generales'!$T$8:$T$1048576,"Margen en agrupación no encontrado",0, 1)</f>
        <v>0.5</v>
      </c>
      <c r="J20" s="53">
        <f t="shared" si="1"/>
        <v>416</v>
      </c>
      <c r="K20" s="53">
        <f>IF(TablaProductos[[#This Row],[Tipo de moneda]]="CLP", TablaProductos[[#This Row],[Precio Moneda compra]], IF(TablaProductos[[#This Row],[Tipo de moneda]]="USD",TablaProductos[[#This Row],[Precio Moneda compra]]*'Datos generales'!$C$10,IF(TablaProductos[[#This Row],[Tipo de moneda]]="EUR",TablaProductos[[#This Row],[Precio Moneda compra]]*'Datos generales'!$C$11,TablaProductos[[#This Row],[Precio Moneda compra]]*'Datos generales'!$C$9)))</f>
        <v>395200</v>
      </c>
      <c r="L20" s="53">
        <f>IF(TablaProductos[[#This Row],[Tipo de moneda]]="UF", TablaProductos[[#This Row],[Precio Moneda compra]], IF(TablaProductos[[#This Row],[Tipo de moneda]]="USD",TablaProductos[[#This Row],[Precio Moneda compra]]*'Datos generales'!$C$10/'Datos generales'!$C$9,IF(TablaProductos[[#This Row],[Tipo de moneda]]="EUR",TablaProductos[[#This Row],[Precio Moneda compra]]*'Datos generales'!$C$11/'Datos generales'!$C$9,TablaProductos[[#This Row],[Precio Moneda compra]]/'Datos generales'!$C$9)))</f>
        <v>10.289201545463067</v>
      </c>
      <c r="M20" s="53">
        <f>IF(TablaProductos[[#This Row],[Tipo de moneda]]="USD", TablaProductos[[#This Row],[Precio Moneda compra]], IF(TablaProductos[[#This Row],[Tipo de moneda]]="CLP",TablaProductos[[#This Row],[Precio Moneda compra]]/'Datos generales'!$C$10,IF(TablaProductos[[#This Row],[Tipo de moneda]]="EUR",TablaProductos[[#This Row],[Precio Moneda compra]]*'Datos generales'!$C$11/'Datos generales'!$C$10,TablaProductos[[#This Row],[Precio Moneda compra]]*'Datos generales'!$C$9/'Datos generales'!$C$10)))</f>
        <v>416</v>
      </c>
      <c r="N20" s="53">
        <f>IF(TablaProductos[[#This Row],[Tipo de moneda]]="EUR",TablaProductos[[#This Row],[Precio Moneda compra]], IF(TablaProductos[[#This Row],[Tipo de moneda]]="USD", TablaProductos[[#This Row],[Precio Moneda compra]]*'Datos generales'!$C$10/'Datos generales'!$C$11, IF(TablaProductos[[#This Row],[Tipo de moneda]]="UF",'Datos generales'!$C$9/'Datos generales'!$C$11, TablaProductos[[#This Row],[Precio Moneda compra]]/'Datos generales'!$C$11)))</f>
        <v>385.5609756097561</v>
      </c>
      <c r="O20" s="21"/>
      <c r="P20" s="45"/>
      <c r="Q20" s="115"/>
    </row>
    <row r="21" spans="2:17" ht="216" x14ac:dyDescent="0.3">
      <c r="B21" s="20" t="s">
        <v>66</v>
      </c>
      <c r="C21" s="45" t="s">
        <v>163</v>
      </c>
      <c r="D21" s="20" t="s">
        <v>164</v>
      </c>
      <c r="E21" s="20" t="s">
        <v>6</v>
      </c>
      <c r="F21" s="31" t="s">
        <v>24</v>
      </c>
      <c r="G21" s="53">
        <v>120</v>
      </c>
      <c r="H21" s="53">
        <f>IF(TablaProductos[[#This Row],[CIF/FOB/Nacional]]="Nacional", TablaProductos[[#This Row],[Costo producto]],IF(TablaProductos[[#This Row],[CIF/FOB/Nacional]]="CIF", TablaProductos[[#This Row],[Costo producto]], TablaProductos[[#This Row],[Costo producto]]*1.3))</f>
        <v>156</v>
      </c>
      <c r="I21" s="132">
        <f>_xlfn.XLOOKUP(TablaProductos[[#This Row],[Agrupación]], 'Datos generales'!$S$8:$S$1048576, 'Datos generales'!$T$8:$T$1048576,"Margen en agrupación no encontrado",0, 1)</f>
        <v>0.5</v>
      </c>
      <c r="J21" s="53">
        <f t="shared" si="1"/>
        <v>312</v>
      </c>
      <c r="K21" s="53">
        <f>IF(TablaProductos[[#This Row],[Tipo de moneda]]="CLP", TablaProductos[[#This Row],[Precio Moneda compra]], IF(TablaProductos[[#This Row],[Tipo de moneda]]="USD",TablaProductos[[#This Row],[Precio Moneda compra]]*'Datos generales'!$C$10,IF(TablaProductos[[#This Row],[Tipo de moneda]]="EUR",TablaProductos[[#This Row],[Precio Moneda compra]]*'Datos generales'!$C$11,TablaProductos[[#This Row],[Precio Moneda compra]]*'Datos generales'!$C$9)))</f>
        <v>296400</v>
      </c>
      <c r="L21" s="53">
        <f>IF(TablaProductos[[#This Row],[Tipo de moneda]]="UF", TablaProductos[[#This Row],[Precio Moneda compra]], IF(TablaProductos[[#This Row],[Tipo de moneda]]="USD",TablaProductos[[#This Row],[Precio Moneda compra]]*'Datos generales'!$C$10/'Datos generales'!$C$9,IF(TablaProductos[[#This Row],[Tipo de moneda]]="EUR",TablaProductos[[#This Row],[Precio Moneda compra]]*'Datos generales'!$C$11/'Datos generales'!$C$9,TablaProductos[[#This Row],[Precio Moneda compra]]/'Datos generales'!$C$9)))</f>
        <v>7.7169011590972998</v>
      </c>
      <c r="M21" s="53">
        <f>IF(TablaProductos[[#This Row],[Tipo de moneda]]="USD", TablaProductos[[#This Row],[Precio Moneda compra]], IF(TablaProductos[[#This Row],[Tipo de moneda]]="CLP",TablaProductos[[#This Row],[Precio Moneda compra]]/'Datos generales'!$C$10,IF(TablaProductos[[#This Row],[Tipo de moneda]]="EUR",TablaProductos[[#This Row],[Precio Moneda compra]]*'Datos generales'!$C$11/'Datos generales'!$C$10,TablaProductos[[#This Row],[Precio Moneda compra]]*'Datos generales'!$C$9/'Datos generales'!$C$10)))</f>
        <v>312</v>
      </c>
      <c r="N21" s="53">
        <f>IF(TablaProductos[[#This Row],[Tipo de moneda]]="EUR",TablaProductos[[#This Row],[Precio Moneda compra]], IF(TablaProductos[[#This Row],[Tipo de moneda]]="USD", TablaProductos[[#This Row],[Precio Moneda compra]]*'Datos generales'!$C$10/'Datos generales'!$C$11, IF(TablaProductos[[#This Row],[Tipo de moneda]]="UF",'Datos generales'!$C$9/'Datos generales'!$C$11, TablaProductos[[#This Row],[Precio Moneda compra]]/'Datos generales'!$C$11)))</f>
        <v>289.17073170731709</v>
      </c>
      <c r="O21" s="21"/>
      <c r="P21" s="45"/>
      <c r="Q21" s="115"/>
    </row>
    <row r="22" spans="2:17" ht="86.4" x14ac:dyDescent="0.3">
      <c r="B22" s="20" t="s">
        <v>66</v>
      </c>
      <c r="C22" s="45" t="s">
        <v>165</v>
      </c>
      <c r="D22" s="20" t="s">
        <v>166</v>
      </c>
      <c r="E22" s="20" t="s">
        <v>6</v>
      </c>
      <c r="F22" s="31" t="s">
        <v>24</v>
      </c>
      <c r="G22" s="53">
        <v>800</v>
      </c>
      <c r="H22" s="53">
        <f>IF(TablaProductos[[#This Row],[CIF/FOB/Nacional]]="Nacional", TablaProductos[[#This Row],[Costo producto]],IF(TablaProductos[[#This Row],[CIF/FOB/Nacional]]="CIF", TablaProductos[[#This Row],[Costo producto]], TablaProductos[[#This Row],[Costo producto]]*1.3))</f>
        <v>1040</v>
      </c>
      <c r="I22" s="132">
        <f>_xlfn.XLOOKUP(TablaProductos[[#This Row],[Agrupación]], 'Datos generales'!$S$8:$S$1048576, 'Datos generales'!$T$8:$T$1048576,"Margen en agrupación no encontrado",0, 1)</f>
        <v>0.5</v>
      </c>
      <c r="J22" s="53">
        <f t="shared" si="1"/>
        <v>2080</v>
      </c>
      <c r="K22" s="53">
        <f>IF(TablaProductos[[#This Row],[Tipo de moneda]]="CLP", TablaProductos[[#This Row],[Precio Moneda compra]], IF(TablaProductos[[#This Row],[Tipo de moneda]]="USD",TablaProductos[[#This Row],[Precio Moneda compra]]*'Datos generales'!$C$10,IF(TablaProductos[[#This Row],[Tipo de moneda]]="EUR",TablaProductos[[#This Row],[Precio Moneda compra]]*'Datos generales'!$C$11,TablaProductos[[#This Row],[Precio Moneda compra]]*'Datos generales'!$C$9)))</f>
        <v>1976000</v>
      </c>
      <c r="L22" s="53">
        <f>IF(TablaProductos[[#This Row],[Tipo de moneda]]="UF", TablaProductos[[#This Row],[Precio Moneda compra]], IF(TablaProductos[[#This Row],[Tipo de moneda]]="USD",TablaProductos[[#This Row],[Precio Moneda compra]]*'Datos generales'!$C$10/'Datos generales'!$C$9,IF(TablaProductos[[#This Row],[Tipo de moneda]]="EUR",TablaProductos[[#This Row],[Precio Moneda compra]]*'Datos generales'!$C$11/'Datos generales'!$C$9,TablaProductos[[#This Row],[Precio Moneda compra]]/'Datos generales'!$C$9)))</f>
        <v>51.446007727315333</v>
      </c>
      <c r="M22" s="53">
        <f>IF(TablaProductos[[#This Row],[Tipo de moneda]]="USD", TablaProductos[[#This Row],[Precio Moneda compra]], IF(TablaProductos[[#This Row],[Tipo de moneda]]="CLP",TablaProductos[[#This Row],[Precio Moneda compra]]/'Datos generales'!$C$10,IF(TablaProductos[[#This Row],[Tipo de moneda]]="EUR",TablaProductos[[#This Row],[Precio Moneda compra]]*'Datos generales'!$C$11/'Datos generales'!$C$10,TablaProductos[[#This Row],[Precio Moneda compra]]*'Datos generales'!$C$9/'Datos generales'!$C$10)))</f>
        <v>2080</v>
      </c>
      <c r="N22" s="53">
        <f>IF(TablaProductos[[#This Row],[Tipo de moneda]]="EUR",TablaProductos[[#This Row],[Precio Moneda compra]], IF(TablaProductos[[#This Row],[Tipo de moneda]]="USD", TablaProductos[[#This Row],[Precio Moneda compra]]*'Datos generales'!$C$10/'Datos generales'!$C$11, IF(TablaProductos[[#This Row],[Tipo de moneda]]="UF",'Datos generales'!$C$9/'Datos generales'!$C$11, TablaProductos[[#This Row],[Precio Moneda compra]]/'Datos generales'!$C$11)))</f>
        <v>1927.8048780487804</v>
      </c>
      <c r="O22" s="21"/>
      <c r="P22" s="45"/>
      <c r="Q22" s="115"/>
    </row>
    <row r="23" spans="2:17" ht="129.6" x14ac:dyDescent="0.3">
      <c r="B23" s="20" t="s">
        <v>66</v>
      </c>
      <c r="C23" s="45" t="s">
        <v>167</v>
      </c>
      <c r="D23" s="20" t="s">
        <v>168</v>
      </c>
      <c r="E23" s="20" t="s">
        <v>6</v>
      </c>
      <c r="F23" s="31" t="s">
        <v>24</v>
      </c>
      <c r="G23" s="53">
        <v>260</v>
      </c>
      <c r="H23" s="53">
        <f>IF(TablaProductos[[#This Row],[CIF/FOB/Nacional]]="Nacional", TablaProductos[[#This Row],[Costo producto]],IF(TablaProductos[[#This Row],[CIF/FOB/Nacional]]="CIF", TablaProductos[[#This Row],[Costo producto]], TablaProductos[[#This Row],[Costo producto]]*1.3))</f>
        <v>338</v>
      </c>
      <c r="I23" s="132">
        <f>_xlfn.XLOOKUP(TablaProductos[[#This Row],[Agrupación]], 'Datos generales'!$S$8:$S$1048576, 'Datos generales'!$T$8:$T$1048576,"Margen en agrupación no encontrado",0, 1)</f>
        <v>0.5</v>
      </c>
      <c r="J23" s="53">
        <f t="shared" si="1"/>
        <v>676</v>
      </c>
      <c r="K23" s="53">
        <f>IF(TablaProductos[[#This Row],[Tipo de moneda]]="CLP", TablaProductos[[#This Row],[Precio Moneda compra]], IF(TablaProductos[[#This Row],[Tipo de moneda]]="USD",TablaProductos[[#This Row],[Precio Moneda compra]]*'Datos generales'!$C$10,IF(TablaProductos[[#This Row],[Tipo de moneda]]="EUR",TablaProductos[[#This Row],[Precio Moneda compra]]*'Datos generales'!$C$11,TablaProductos[[#This Row],[Precio Moneda compra]]*'Datos generales'!$C$9)))</f>
        <v>642200</v>
      </c>
      <c r="L23" s="53">
        <f>IF(TablaProductos[[#This Row],[Tipo de moneda]]="UF", TablaProductos[[#This Row],[Precio Moneda compra]], IF(TablaProductos[[#This Row],[Tipo de moneda]]="USD",TablaProductos[[#This Row],[Precio Moneda compra]]*'Datos generales'!$C$10/'Datos generales'!$C$9,IF(TablaProductos[[#This Row],[Tipo de moneda]]="EUR",TablaProductos[[#This Row],[Precio Moneda compra]]*'Datos generales'!$C$11/'Datos generales'!$C$9,TablaProductos[[#This Row],[Precio Moneda compra]]/'Datos generales'!$C$9)))</f>
        <v>16.719952511377485</v>
      </c>
      <c r="M23" s="53">
        <f>IF(TablaProductos[[#This Row],[Tipo de moneda]]="USD", TablaProductos[[#This Row],[Precio Moneda compra]], IF(TablaProductos[[#This Row],[Tipo de moneda]]="CLP",TablaProductos[[#This Row],[Precio Moneda compra]]/'Datos generales'!$C$10,IF(TablaProductos[[#This Row],[Tipo de moneda]]="EUR",TablaProductos[[#This Row],[Precio Moneda compra]]*'Datos generales'!$C$11/'Datos generales'!$C$10,TablaProductos[[#This Row],[Precio Moneda compra]]*'Datos generales'!$C$9/'Datos generales'!$C$10)))</f>
        <v>676</v>
      </c>
      <c r="N23" s="53">
        <f>IF(TablaProductos[[#This Row],[Tipo de moneda]]="EUR",TablaProductos[[#This Row],[Precio Moneda compra]], IF(TablaProductos[[#This Row],[Tipo de moneda]]="USD", TablaProductos[[#This Row],[Precio Moneda compra]]*'Datos generales'!$C$10/'Datos generales'!$C$11, IF(TablaProductos[[#This Row],[Tipo de moneda]]="UF",'Datos generales'!$C$9/'Datos generales'!$C$11, TablaProductos[[#This Row],[Precio Moneda compra]]/'Datos generales'!$C$11)))</f>
        <v>626.53658536585363</v>
      </c>
      <c r="O23" s="21"/>
      <c r="P23" s="45"/>
      <c r="Q23" s="115"/>
    </row>
    <row r="24" spans="2:17" x14ac:dyDescent="0.3">
      <c r="B24" s="20" t="s">
        <v>99</v>
      </c>
      <c r="C24" s="45" t="s">
        <v>169</v>
      </c>
      <c r="D24" s="20" t="s">
        <v>170</v>
      </c>
      <c r="E24" s="20" t="s">
        <v>6</v>
      </c>
      <c r="F24" s="31" t="s">
        <v>24</v>
      </c>
      <c r="G24" s="53">
        <v>50</v>
      </c>
      <c r="H24" s="53">
        <f>IF(TablaProductos[[#This Row],[CIF/FOB/Nacional]]="Nacional", TablaProductos[[#This Row],[Costo producto]],IF(TablaProductos[[#This Row],[CIF/FOB/Nacional]]="CIF", TablaProductos[[#This Row],[Costo producto]], TablaProductos[[#This Row],[Costo producto]]*1.3))</f>
        <v>65</v>
      </c>
      <c r="I24" s="132">
        <f>_xlfn.XLOOKUP(TablaProductos[[#This Row],[Agrupación]], 'Datos generales'!$S$8:$S$1048576, 'Datos generales'!$T$8:$T$1048576,"Margen en agrupación no encontrado",0, 1)</f>
        <v>0.6</v>
      </c>
      <c r="J24" s="53">
        <f t="shared" si="1"/>
        <v>162.5</v>
      </c>
      <c r="K24" s="53">
        <f>IF(TablaProductos[[#This Row],[Tipo de moneda]]="CLP", TablaProductos[[#This Row],[Precio Moneda compra]], IF(TablaProductos[[#This Row],[Tipo de moneda]]="USD",TablaProductos[[#This Row],[Precio Moneda compra]]*'Datos generales'!$C$10,IF(TablaProductos[[#This Row],[Tipo de moneda]]="EUR",TablaProductos[[#This Row],[Precio Moneda compra]]*'Datos generales'!$C$11,TablaProductos[[#This Row],[Precio Moneda compra]]*'Datos generales'!$C$9)))</f>
        <v>154375</v>
      </c>
      <c r="L24" s="53">
        <f>IF(TablaProductos[[#This Row],[Tipo de moneda]]="UF", TablaProductos[[#This Row],[Precio Moneda compra]], IF(TablaProductos[[#This Row],[Tipo de moneda]]="USD",TablaProductos[[#This Row],[Precio Moneda compra]]*'Datos generales'!$C$10/'Datos generales'!$C$9,IF(TablaProductos[[#This Row],[Tipo de moneda]]="EUR",TablaProductos[[#This Row],[Precio Moneda compra]]*'Datos generales'!$C$11/'Datos generales'!$C$9,TablaProductos[[#This Row],[Precio Moneda compra]]/'Datos generales'!$C$9)))</f>
        <v>4.0192193536965108</v>
      </c>
      <c r="M24" s="53">
        <f>IF(TablaProductos[[#This Row],[Tipo de moneda]]="USD", TablaProductos[[#This Row],[Precio Moneda compra]], IF(TablaProductos[[#This Row],[Tipo de moneda]]="CLP",TablaProductos[[#This Row],[Precio Moneda compra]]/'Datos generales'!$C$10,IF(TablaProductos[[#This Row],[Tipo de moneda]]="EUR",TablaProductos[[#This Row],[Precio Moneda compra]]*'Datos generales'!$C$11/'Datos generales'!$C$10,TablaProductos[[#This Row],[Precio Moneda compra]]*'Datos generales'!$C$9/'Datos generales'!$C$10)))</f>
        <v>162.5</v>
      </c>
      <c r="N24" s="53">
        <f>IF(TablaProductos[[#This Row],[Tipo de moneda]]="EUR",TablaProductos[[#This Row],[Precio Moneda compra]], IF(TablaProductos[[#This Row],[Tipo de moneda]]="USD", TablaProductos[[#This Row],[Precio Moneda compra]]*'Datos generales'!$C$10/'Datos generales'!$C$11, IF(TablaProductos[[#This Row],[Tipo de moneda]]="UF",'Datos generales'!$C$9/'Datos generales'!$C$11, TablaProductos[[#This Row],[Precio Moneda compra]]/'Datos generales'!$C$11)))</f>
        <v>150.60975609756099</v>
      </c>
      <c r="O24" s="21"/>
      <c r="P24" s="45"/>
      <c r="Q24" s="115"/>
    </row>
    <row r="25" spans="2:17" ht="115.2" x14ac:dyDescent="0.3">
      <c r="B25" s="20" t="s">
        <v>66</v>
      </c>
      <c r="C25" s="45" t="s">
        <v>171</v>
      </c>
      <c r="D25" s="20" t="s">
        <v>172</v>
      </c>
      <c r="E25" s="20" t="s">
        <v>6</v>
      </c>
      <c r="F25" s="31" t="s">
        <v>24</v>
      </c>
      <c r="G25" s="53">
        <v>600</v>
      </c>
      <c r="H25" s="53">
        <f>IF(TablaProductos[[#This Row],[CIF/FOB/Nacional]]="Nacional", TablaProductos[[#This Row],[Costo producto]],IF(TablaProductos[[#This Row],[CIF/FOB/Nacional]]="CIF", TablaProductos[[#This Row],[Costo producto]], TablaProductos[[#This Row],[Costo producto]]*1.3))</f>
        <v>780</v>
      </c>
      <c r="I25" s="132">
        <f>_xlfn.XLOOKUP(TablaProductos[[#This Row],[Agrupación]], 'Datos generales'!$S$8:$S$1048576, 'Datos generales'!$T$8:$T$1048576,"Margen en agrupación no encontrado",0, 1)</f>
        <v>0.5</v>
      </c>
      <c r="J25" s="53">
        <f t="shared" si="1"/>
        <v>1560</v>
      </c>
      <c r="K25" s="53">
        <f>IF(TablaProductos[[#This Row],[Tipo de moneda]]="CLP", TablaProductos[[#This Row],[Precio Moneda compra]], IF(TablaProductos[[#This Row],[Tipo de moneda]]="USD",TablaProductos[[#This Row],[Precio Moneda compra]]*'Datos generales'!$C$10,IF(TablaProductos[[#This Row],[Tipo de moneda]]="EUR",TablaProductos[[#This Row],[Precio Moneda compra]]*'Datos generales'!$C$11,TablaProductos[[#This Row],[Precio Moneda compra]]*'Datos generales'!$C$9)))</f>
        <v>1482000</v>
      </c>
      <c r="L25" s="53">
        <f>IF(TablaProductos[[#This Row],[Tipo de moneda]]="UF", TablaProductos[[#This Row],[Precio Moneda compra]], IF(TablaProductos[[#This Row],[Tipo de moneda]]="USD",TablaProductos[[#This Row],[Precio Moneda compra]]*'Datos generales'!$C$10/'Datos generales'!$C$9,IF(TablaProductos[[#This Row],[Tipo de moneda]]="EUR",TablaProductos[[#This Row],[Precio Moneda compra]]*'Datos generales'!$C$11/'Datos generales'!$C$9,TablaProductos[[#This Row],[Precio Moneda compra]]/'Datos generales'!$C$9)))</f>
        <v>38.5845057954865</v>
      </c>
      <c r="M25" s="53">
        <f>IF(TablaProductos[[#This Row],[Tipo de moneda]]="USD", TablaProductos[[#This Row],[Precio Moneda compra]], IF(TablaProductos[[#This Row],[Tipo de moneda]]="CLP",TablaProductos[[#This Row],[Precio Moneda compra]]/'Datos generales'!$C$10,IF(TablaProductos[[#This Row],[Tipo de moneda]]="EUR",TablaProductos[[#This Row],[Precio Moneda compra]]*'Datos generales'!$C$11/'Datos generales'!$C$10,TablaProductos[[#This Row],[Precio Moneda compra]]*'Datos generales'!$C$9/'Datos generales'!$C$10)))</f>
        <v>1560</v>
      </c>
      <c r="N25" s="53">
        <f>IF(TablaProductos[[#This Row],[Tipo de moneda]]="EUR",TablaProductos[[#This Row],[Precio Moneda compra]], IF(TablaProductos[[#This Row],[Tipo de moneda]]="USD", TablaProductos[[#This Row],[Precio Moneda compra]]*'Datos generales'!$C$10/'Datos generales'!$C$11, IF(TablaProductos[[#This Row],[Tipo de moneda]]="UF",'Datos generales'!$C$9/'Datos generales'!$C$11, TablaProductos[[#This Row],[Precio Moneda compra]]/'Datos generales'!$C$11)))</f>
        <v>1445.8536585365853</v>
      </c>
      <c r="O25" s="21"/>
      <c r="P25" s="45"/>
      <c r="Q25" s="115"/>
    </row>
    <row r="26" spans="2:17" ht="201.6" x14ac:dyDescent="0.3">
      <c r="B26" s="20" t="s">
        <v>66</v>
      </c>
      <c r="C26" s="45" t="s">
        <v>173</v>
      </c>
      <c r="D26" s="20" t="s">
        <v>174</v>
      </c>
      <c r="E26" s="20" t="s">
        <v>6</v>
      </c>
      <c r="F26" s="31" t="s">
        <v>24</v>
      </c>
      <c r="G26" s="53">
        <v>120</v>
      </c>
      <c r="H26" s="53">
        <f>IF(TablaProductos[[#This Row],[CIF/FOB/Nacional]]="Nacional", TablaProductos[[#This Row],[Costo producto]],IF(TablaProductos[[#This Row],[CIF/FOB/Nacional]]="CIF", TablaProductos[[#This Row],[Costo producto]], TablaProductos[[#This Row],[Costo producto]]*1.3))</f>
        <v>156</v>
      </c>
      <c r="I26" s="132">
        <f>_xlfn.XLOOKUP(TablaProductos[[#This Row],[Agrupación]], 'Datos generales'!$S$8:$S$1048576, 'Datos generales'!$T$8:$T$1048576,"Margen en agrupación no encontrado",0, 1)</f>
        <v>0.5</v>
      </c>
      <c r="J26" s="53">
        <f t="shared" si="1"/>
        <v>312</v>
      </c>
      <c r="K26" s="53">
        <f>IF(TablaProductos[[#This Row],[Tipo de moneda]]="CLP", TablaProductos[[#This Row],[Precio Moneda compra]], IF(TablaProductos[[#This Row],[Tipo de moneda]]="USD",TablaProductos[[#This Row],[Precio Moneda compra]]*'Datos generales'!$C$10,IF(TablaProductos[[#This Row],[Tipo de moneda]]="EUR",TablaProductos[[#This Row],[Precio Moneda compra]]*'Datos generales'!$C$11,TablaProductos[[#This Row],[Precio Moneda compra]]*'Datos generales'!$C$9)))</f>
        <v>296400</v>
      </c>
      <c r="L26" s="53">
        <f>IF(TablaProductos[[#This Row],[Tipo de moneda]]="UF", TablaProductos[[#This Row],[Precio Moneda compra]], IF(TablaProductos[[#This Row],[Tipo de moneda]]="USD",TablaProductos[[#This Row],[Precio Moneda compra]]*'Datos generales'!$C$10/'Datos generales'!$C$9,IF(TablaProductos[[#This Row],[Tipo de moneda]]="EUR",TablaProductos[[#This Row],[Precio Moneda compra]]*'Datos generales'!$C$11/'Datos generales'!$C$9,TablaProductos[[#This Row],[Precio Moneda compra]]/'Datos generales'!$C$9)))</f>
        <v>7.7169011590972998</v>
      </c>
      <c r="M26" s="53">
        <f>IF(TablaProductos[[#This Row],[Tipo de moneda]]="USD", TablaProductos[[#This Row],[Precio Moneda compra]], IF(TablaProductos[[#This Row],[Tipo de moneda]]="CLP",TablaProductos[[#This Row],[Precio Moneda compra]]/'Datos generales'!$C$10,IF(TablaProductos[[#This Row],[Tipo de moneda]]="EUR",TablaProductos[[#This Row],[Precio Moneda compra]]*'Datos generales'!$C$11/'Datos generales'!$C$10,TablaProductos[[#This Row],[Precio Moneda compra]]*'Datos generales'!$C$9/'Datos generales'!$C$10)))</f>
        <v>312</v>
      </c>
      <c r="N26" s="53">
        <f>IF(TablaProductos[[#This Row],[Tipo de moneda]]="EUR",TablaProductos[[#This Row],[Precio Moneda compra]], IF(TablaProductos[[#This Row],[Tipo de moneda]]="USD", TablaProductos[[#This Row],[Precio Moneda compra]]*'Datos generales'!$C$10/'Datos generales'!$C$11, IF(TablaProductos[[#This Row],[Tipo de moneda]]="UF",'Datos generales'!$C$9/'Datos generales'!$C$11, TablaProductos[[#This Row],[Precio Moneda compra]]/'Datos generales'!$C$11)))</f>
        <v>289.17073170731709</v>
      </c>
      <c r="O26" s="21"/>
      <c r="P26" s="45"/>
      <c r="Q26" s="115"/>
    </row>
    <row r="27" spans="2:17" ht="172.8" x14ac:dyDescent="0.3">
      <c r="B27" s="20" t="s">
        <v>66</v>
      </c>
      <c r="C27" s="45" t="s">
        <v>175</v>
      </c>
      <c r="D27" s="20" t="s">
        <v>176</v>
      </c>
      <c r="E27" s="20" t="s">
        <v>6</v>
      </c>
      <c r="F27" s="31" t="s">
        <v>24</v>
      </c>
      <c r="G27" s="53">
        <v>900</v>
      </c>
      <c r="H27" s="53">
        <f>IF(TablaProductos[[#This Row],[CIF/FOB/Nacional]]="Nacional", TablaProductos[[#This Row],[Costo producto]],IF(TablaProductos[[#This Row],[CIF/FOB/Nacional]]="CIF", TablaProductos[[#This Row],[Costo producto]], TablaProductos[[#This Row],[Costo producto]]*1.3))</f>
        <v>1170</v>
      </c>
      <c r="I27" s="132">
        <f>_xlfn.XLOOKUP(TablaProductos[[#This Row],[Agrupación]], 'Datos generales'!$S$8:$S$1048576, 'Datos generales'!$T$8:$T$1048576,"Margen en agrupación no encontrado",0, 1)</f>
        <v>0.5</v>
      </c>
      <c r="J27" s="53">
        <f t="shared" si="1"/>
        <v>2340</v>
      </c>
      <c r="K27" s="53">
        <f>IF(TablaProductos[[#This Row],[Tipo de moneda]]="CLP", TablaProductos[[#This Row],[Precio Moneda compra]], IF(TablaProductos[[#This Row],[Tipo de moneda]]="USD",TablaProductos[[#This Row],[Precio Moneda compra]]*'Datos generales'!$C$10,IF(TablaProductos[[#This Row],[Tipo de moneda]]="EUR",TablaProductos[[#This Row],[Precio Moneda compra]]*'Datos generales'!$C$11,TablaProductos[[#This Row],[Precio Moneda compra]]*'Datos generales'!$C$9)))</f>
        <v>2223000</v>
      </c>
      <c r="L27" s="53">
        <f>IF(TablaProductos[[#This Row],[Tipo de moneda]]="UF", TablaProductos[[#This Row],[Precio Moneda compra]], IF(TablaProductos[[#This Row],[Tipo de moneda]]="USD",TablaProductos[[#This Row],[Precio Moneda compra]]*'Datos generales'!$C$10/'Datos generales'!$C$9,IF(TablaProductos[[#This Row],[Tipo de moneda]]="EUR",TablaProductos[[#This Row],[Precio Moneda compra]]*'Datos generales'!$C$11/'Datos generales'!$C$9,TablaProductos[[#This Row],[Precio Moneda compra]]/'Datos generales'!$C$9)))</f>
        <v>57.876758693229753</v>
      </c>
      <c r="M27" s="53">
        <f>IF(TablaProductos[[#This Row],[Tipo de moneda]]="USD", TablaProductos[[#This Row],[Precio Moneda compra]], IF(TablaProductos[[#This Row],[Tipo de moneda]]="CLP",TablaProductos[[#This Row],[Precio Moneda compra]]/'Datos generales'!$C$10,IF(TablaProductos[[#This Row],[Tipo de moneda]]="EUR",TablaProductos[[#This Row],[Precio Moneda compra]]*'Datos generales'!$C$11/'Datos generales'!$C$10,TablaProductos[[#This Row],[Precio Moneda compra]]*'Datos generales'!$C$9/'Datos generales'!$C$10)))</f>
        <v>2340</v>
      </c>
      <c r="N27" s="53">
        <f>IF(TablaProductos[[#This Row],[Tipo de moneda]]="EUR",TablaProductos[[#This Row],[Precio Moneda compra]], IF(TablaProductos[[#This Row],[Tipo de moneda]]="USD", TablaProductos[[#This Row],[Precio Moneda compra]]*'Datos generales'!$C$10/'Datos generales'!$C$11, IF(TablaProductos[[#This Row],[Tipo de moneda]]="UF",'Datos generales'!$C$9/'Datos generales'!$C$11, TablaProductos[[#This Row],[Precio Moneda compra]]/'Datos generales'!$C$11)))</f>
        <v>2168.7804878048782</v>
      </c>
      <c r="O27" s="21"/>
      <c r="P27" s="45"/>
      <c r="Q27" s="115"/>
    </row>
    <row r="28" spans="2:17" ht="230.4" x14ac:dyDescent="0.3">
      <c r="B28" s="20" t="s">
        <v>66</v>
      </c>
      <c r="C28" s="45" t="s">
        <v>182</v>
      </c>
      <c r="D28" s="20" t="s">
        <v>181</v>
      </c>
      <c r="E28" s="24"/>
      <c r="F28" s="31" t="s">
        <v>24</v>
      </c>
      <c r="G28" s="53">
        <v>3400</v>
      </c>
      <c r="H28" s="53">
        <f>IF(TablaProductos[[#This Row],[CIF/FOB/Nacional]]="Nacional", TablaProductos[[#This Row],[Costo producto]],IF(TablaProductos[[#This Row],[CIF/FOB/Nacional]]="CIF", TablaProductos[[#This Row],[Costo producto]], TablaProductos[[#This Row],[Costo producto]]*1.3))</f>
        <v>4420</v>
      </c>
      <c r="I28" s="132">
        <f>_xlfn.XLOOKUP(TablaProductos[[#This Row],[Agrupación]], 'Datos generales'!$S$8:$S$1048576, 'Datos generales'!$T$8:$T$1048576,"Margen en agrupación no encontrado",0, 1)</f>
        <v>0.5</v>
      </c>
      <c r="J28" s="53">
        <f t="shared" si="1"/>
        <v>8840</v>
      </c>
      <c r="K28" s="53">
        <f>IF(TablaProductos[[#This Row],[Tipo de moneda]]="CLP", TablaProductos[[#This Row],[Precio Moneda compra]], IF(TablaProductos[[#This Row],[Tipo de moneda]]="USD",TablaProductos[[#This Row],[Precio Moneda compra]]*'Datos generales'!$C$10,IF(TablaProductos[[#This Row],[Tipo de moneda]]="EUR",TablaProductos[[#This Row],[Precio Moneda compra]]*'Datos generales'!$C$11,TablaProductos[[#This Row],[Precio Moneda compra]]*'Datos generales'!$C$9)))</f>
        <v>339537328</v>
      </c>
      <c r="L28" s="53">
        <f>IF(TablaProductos[[#This Row],[Tipo de moneda]]="UF", TablaProductos[[#This Row],[Precio Moneda compra]], IF(TablaProductos[[#This Row],[Tipo de moneda]]="USD",TablaProductos[[#This Row],[Precio Moneda compra]]*'Datos generales'!$C$10/'Datos generales'!$C$9,IF(TablaProductos[[#This Row],[Tipo de moneda]]="EUR",TablaProductos[[#This Row],[Precio Moneda compra]]*'Datos generales'!$C$11/'Datos generales'!$C$9,TablaProductos[[#This Row],[Precio Moneda compra]]/'Datos generales'!$C$9)))</f>
        <v>0.23015319246430543</v>
      </c>
      <c r="M28" s="53">
        <f>IF(TablaProductos[[#This Row],[Tipo de moneda]]="USD", TablaProductos[[#This Row],[Precio Moneda compra]], IF(TablaProductos[[#This Row],[Tipo de moneda]]="CLP",TablaProductos[[#This Row],[Precio Moneda compra]]/'Datos generales'!$C$10,IF(TablaProductos[[#This Row],[Tipo de moneda]]="EUR",TablaProductos[[#This Row],[Precio Moneda compra]]*'Datos generales'!$C$11/'Datos generales'!$C$10,TablaProductos[[#This Row],[Precio Moneda compra]]*'Datos generales'!$C$9/'Datos generales'!$C$10)))</f>
        <v>357407.71368421055</v>
      </c>
      <c r="N28" s="53">
        <f>IF(TablaProductos[[#This Row],[Tipo de moneda]]="EUR",TablaProductos[[#This Row],[Precio Moneda compra]], IF(TablaProductos[[#This Row],[Tipo de moneda]]="USD", TablaProductos[[#This Row],[Precio Moneda compra]]*'Datos generales'!$C$10/'Datos generales'!$C$11, IF(TablaProductos[[#This Row],[Tipo de moneda]]="UF",'Datos generales'!$C$9/'Datos generales'!$C$11, TablaProductos[[#This Row],[Precio Moneda compra]]/'Datos generales'!$C$11)))</f>
        <v>8.6243902439024396</v>
      </c>
      <c r="O28" s="21"/>
      <c r="P28" s="45"/>
      <c r="Q28" s="115"/>
    </row>
    <row r="29" spans="2:17" x14ac:dyDescent="0.3">
      <c r="B29" s="20" t="s">
        <v>186</v>
      </c>
      <c r="C29" s="45" t="s">
        <v>187</v>
      </c>
      <c r="D29" s="20" t="s">
        <v>188</v>
      </c>
      <c r="E29" s="20" t="s">
        <v>1</v>
      </c>
      <c r="F29" s="31" t="s">
        <v>27</v>
      </c>
      <c r="G29" s="53">
        <v>150000</v>
      </c>
      <c r="H29" s="53">
        <f>IF(TablaProductos[[#This Row],[CIF/FOB/Nacional]]="Nacional", TablaProductos[[#This Row],[Costo producto]],IF(TablaProductos[[#This Row],[CIF/FOB/Nacional]]="CIF", TablaProductos[[#This Row],[Costo producto]], TablaProductos[[#This Row],[Costo producto]]*1.3))</f>
        <v>150000</v>
      </c>
      <c r="I29" s="132">
        <f>_xlfn.XLOOKUP(TablaProductos[[#This Row],[Agrupación]], 'Datos generales'!$S$8:$S$1048576, 'Datos generales'!$T$8:$T$1048576,"Margen en agrupación no encontrado",0, 1)</f>
        <v>0.5</v>
      </c>
      <c r="J29" s="53">
        <f>H29/(1-I29)</f>
        <v>300000</v>
      </c>
      <c r="K29" s="53">
        <f>IF(TablaProductos[[#This Row],[Tipo de moneda]]="CLP", TablaProductos[[#This Row],[Precio Moneda compra]], IF(TablaProductos[[#This Row],[Tipo de moneda]]="USD",TablaProductos[[#This Row],[Precio Moneda compra]]*'Datos generales'!$C$10,IF(TablaProductos[[#This Row],[Tipo de moneda]]="EUR",TablaProductos[[#This Row],[Precio Moneda compra]]*'Datos generales'!$C$11,TablaProductos[[#This Row],[Precio Moneda compra]]*'Datos generales'!$C$9)))</f>
        <v>300000</v>
      </c>
      <c r="L29" s="53">
        <f>IF(TablaProductos[[#This Row],[Tipo de moneda]]="UF", TablaProductos[[#This Row],[Precio Moneda compra]], IF(TablaProductos[[#This Row],[Tipo de moneda]]="USD",TablaProductos[[#This Row],[Precio Moneda compra]]*'Datos generales'!$C$10/'Datos generales'!$C$9,IF(TablaProductos[[#This Row],[Tipo de moneda]]="EUR",TablaProductos[[#This Row],[Precio Moneda compra]]*'Datos generales'!$C$11/'Datos generales'!$C$9,TablaProductos[[#This Row],[Precio Moneda compra]]/'Datos generales'!$C$9)))</f>
        <v>7.8106287035397779</v>
      </c>
      <c r="M29" s="53">
        <f>IF(TablaProductos[[#This Row],[Tipo de moneda]]="USD", TablaProductos[[#This Row],[Precio Moneda compra]], IF(TablaProductos[[#This Row],[Tipo de moneda]]="CLP",TablaProductos[[#This Row],[Precio Moneda compra]]/'Datos generales'!$C$10,IF(TablaProductos[[#This Row],[Tipo de moneda]]="EUR",TablaProductos[[#This Row],[Precio Moneda compra]]*'Datos generales'!$C$11/'Datos generales'!$C$10,TablaProductos[[#This Row],[Precio Moneda compra]]*'Datos generales'!$C$9/'Datos generales'!$C$10)))</f>
        <v>315.78947368421052</v>
      </c>
      <c r="N29" s="53">
        <f>IF(TablaProductos[[#This Row],[Tipo de moneda]]="EUR",TablaProductos[[#This Row],[Precio Moneda compra]], IF(TablaProductos[[#This Row],[Tipo de moneda]]="USD", TablaProductos[[#This Row],[Precio Moneda compra]]*'Datos generales'!$C$10/'Datos generales'!$C$11, IF(TablaProductos[[#This Row],[Tipo de moneda]]="UF",'Datos generales'!$C$9/'Datos generales'!$C$11, TablaProductos[[#This Row],[Precio Moneda compra]]/'Datos generales'!$C$11)))</f>
        <v>292.6829268292683</v>
      </c>
      <c r="O29" s="25" t="s">
        <v>79</v>
      </c>
      <c r="P29" s="45"/>
      <c r="Q29" s="115"/>
    </row>
  </sheetData>
  <mergeCells count="2">
    <mergeCell ref="E2:K3"/>
    <mergeCell ref="F4:K4"/>
  </mergeCells>
  <dataValidations count="1">
    <dataValidation type="list" allowBlank="1" showInputMessage="1" showErrorMessage="1" sqref="C3" xr:uid="{F71B8CD7-3D14-40CE-9270-B35EF4C83E60}">
      <formula1>$B$3</formula1>
    </dataValidation>
  </dataValidations>
  <hyperlinks>
    <hyperlink ref="Q7" r:id="rId1" xr:uid="{CB8D171E-CB3D-4D15-9B4A-C52C535AD811}"/>
    <hyperlink ref="Q8" r:id="rId2" xr:uid="{E6D217ED-2CF0-41AE-8410-95C7F1D2F7C7}"/>
    <hyperlink ref="Q9:Q13" r:id="rId3" display="kyla@hondetech.com" xr:uid="{83D943AB-91B6-4C24-A1D0-F2D4C2429BD8}"/>
    <hyperlink ref="Q14" r:id="rId4" xr:uid="{90F59941-1F9A-46C0-A0F0-156378B83547}"/>
  </hyperlinks>
  <pageMargins left="0.7" right="0.7" top="0.75" bottom="0.75" header="0.3" footer="0.3"/>
  <tableParts count="1"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B2C61AC4-ADC8-4000-8369-DFA2E060DACC}">
          <x14:formula1>
            <xm:f>'Datos generales'!$F$8:$F$1048576</xm:f>
          </x14:formula1>
          <xm:sqref>F7:F1048576</xm:sqref>
        </x14:dataValidation>
        <x14:dataValidation type="list" allowBlank="1" showInputMessage="1" showErrorMessage="1" xr:uid="{17488019-F271-4DDF-8327-0A51ECC4A32D}">
          <x14:formula1>
            <xm:f>'Datos generales'!$S$8:$S$1048576</xm:f>
          </x14:formula1>
          <xm:sqref>B7:B1048576</xm:sqref>
        </x14:dataValidation>
        <x14:dataValidation type="list" allowBlank="1" showInputMessage="1" showErrorMessage="1" xr:uid="{F113163F-A343-42D0-9952-298CF978A04A}">
          <x14:formula1>
            <xm:f>'Datos generales'!$B$8:$B$13</xm:f>
          </x14:formula1>
          <xm:sqref>E7:E27 E29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02BB4E-4E32-4A43-8BFD-327DC426DCC9}">
  <sheetPr codeName="Hoja4"/>
  <dimension ref="B2:XFD23"/>
  <sheetViews>
    <sheetView workbookViewId="0">
      <selection activeCell="G6" sqref="G6"/>
    </sheetView>
  </sheetViews>
  <sheetFormatPr baseColWidth="10" defaultRowHeight="14.4" x14ac:dyDescent="0.3"/>
  <cols>
    <col min="2" max="2" width="11.6640625" customWidth="1"/>
    <col min="5" max="5" width="16.33203125" customWidth="1"/>
  </cols>
  <sheetData>
    <row r="2" spans="2:16384" x14ac:dyDescent="0.3">
      <c r="B2" s="165" t="s">
        <v>145</v>
      </c>
      <c r="C2" s="165"/>
      <c r="D2" s="165"/>
      <c r="E2" s="165"/>
    </row>
    <row r="3" spans="2:16384" x14ac:dyDescent="0.3">
      <c r="B3" s="165"/>
      <c r="C3" s="165"/>
      <c r="D3" s="165"/>
      <c r="E3" s="165"/>
    </row>
    <row r="5" spans="2:16384" x14ac:dyDescent="0.3">
      <c r="B5" s="194"/>
      <c r="C5" s="194" t="str" cm="1">
        <f t="array" ref="C5:F5">TRANSPOSE(_xlfn._xlws.SORT(_xlfn.UNIQUE(TablaProductos[Agrupación])))</f>
        <v>RTU</v>
      </c>
      <c r="D5" s="194" t="str">
        <v>Sensor</v>
      </c>
      <c r="E5" s="194" t="str">
        <v>Soporte</v>
      </c>
      <c r="F5" s="195" t="str">
        <v>Tableros</v>
      </c>
      <c r="G5" s="195"/>
      <c r="H5" s="195"/>
      <c r="I5" s="195"/>
      <c r="J5" s="195"/>
      <c r="K5" s="195"/>
      <c r="L5" s="195"/>
      <c r="M5" s="195"/>
      <c r="N5" s="195"/>
      <c r="O5" s="195"/>
      <c r="P5" s="195"/>
      <c r="Q5" s="195"/>
    </row>
    <row r="6" spans="2:16384" x14ac:dyDescent="0.3">
      <c r="B6" s="146"/>
      <c r="C6" s="68" t="str" cm="1">
        <f t="array" ref="C6">_xlfn._xlws.FILTER(TablaProductos[Nombre producto],TablaProductos[Agrupación]=ProductosPivot!C5)</f>
        <v>VigíaBox Neo</v>
      </c>
      <c r="D6" s="68" t="str" cm="1">
        <f t="array" ref="D6:D23">_xlfn._xlws.FILTER(TablaProductos[Nombre producto],TablaProductos[Agrupación]=ProductosPivot!D5)</f>
        <v>ORP-RDSOR</v>
      </c>
      <c r="E6" s="68" t="str" cm="1">
        <f t="array" ref="E6:E8">_xlfn._xlws.FILTER(TablaProductos[Nombre producto],TablaProductos[Agrupación]=ProductosPivot!E5)</f>
        <v>Soporte simple</v>
      </c>
      <c r="F6" s="68" t="str" cm="1">
        <f t="array" ref="F6">_xlfn._xlws.FILTER(TablaProductos[Nombre producto],TablaProductos[Agrupación]=ProductosPivot!F5)</f>
        <v>TBL-PWR-GEN</v>
      </c>
      <c r="G6" s="68" t="e" cm="1" vm="1">
        <f t="array" ref="G6">_xlfn._xlws.FILTER(TablaProductos[Nombre producto],TablaProductos[Agrupación]=ProductosPivot!G5)</f>
        <v>#VALUE!</v>
      </c>
      <c r="H6" s="68" t="e" cm="1" vm="1">
        <f t="array" ref="H6">_xlfn._xlws.FILTER(TablaProductos[Nombre producto],TablaProductos[Agrupación]=ProductosPivot!H5)</f>
        <v>#VALUE!</v>
      </c>
      <c r="I6" s="68" t="e" cm="1" vm="1">
        <f t="array" ref="I6">_xlfn._xlws.FILTER(TablaProductos[Nombre producto],TablaProductos[Agrupación]=ProductosPivot!I5)</f>
        <v>#VALUE!</v>
      </c>
      <c r="J6" s="68" t="e" cm="1" vm="1">
        <f t="array" ref="J6">_xlfn._xlws.FILTER(TablaProductos[Nombre producto],TablaProductos[Agrupación]=ProductosPivot!J5)</f>
        <v>#VALUE!</v>
      </c>
      <c r="K6" s="68" t="e" cm="1" vm="1">
        <f t="array" ref="K6">_xlfn._xlws.FILTER(TablaProductos[Nombre producto],TablaProductos[Agrupación]=ProductosPivot!K5)</f>
        <v>#VALUE!</v>
      </c>
      <c r="L6" s="68" t="e" cm="1" vm="1">
        <f t="array" ref="L6">_xlfn._xlws.FILTER(TablaProductos[Nombre producto],TablaProductos[Agrupación]=ProductosPivot!L5)</f>
        <v>#VALUE!</v>
      </c>
      <c r="M6" s="68" t="e" cm="1" vm="1">
        <f t="array" ref="M6">_xlfn._xlws.FILTER(TablaProductos[Nombre producto],TablaProductos[Agrupación]=ProductosPivot!M5)</f>
        <v>#VALUE!</v>
      </c>
      <c r="N6" s="68" t="e" cm="1" vm="1">
        <f t="array" ref="N6">_xlfn._xlws.FILTER(TablaProductos[Nombre producto],TablaProductos[Agrupación]=ProductosPivot!N5)</f>
        <v>#VALUE!</v>
      </c>
      <c r="O6" s="68" t="e" cm="1" vm="1">
        <f t="array" ref="O6">_xlfn._xlws.FILTER(TablaProductos[Nombre producto],TablaProductos[Agrupación]=ProductosPivot!O5)</f>
        <v>#VALUE!</v>
      </c>
      <c r="P6" s="68" t="e" cm="1" vm="1">
        <f t="array" ref="P6">_xlfn._xlws.FILTER(TablaProductos[Nombre producto],TablaProductos[Agrupación]=ProductosPivot!P5)</f>
        <v>#VALUE!</v>
      </c>
      <c r="Q6" s="68" t="e" cm="1" vm="1">
        <f t="array" ref="Q6">_xlfn._xlws.FILTER(TablaProductos[Nombre producto],TablaProductos[Agrupación]=ProductosPivot!Q5)</f>
        <v>#VALUE!</v>
      </c>
      <c r="R6" s="68" t="e" cm="1" vm="1">
        <f t="array" ref="R6">_xlfn._xlws.FILTER(TablaProductos[Nombre producto],TablaProductos[Agrupación]=ProductosPivot!R5)</f>
        <v>#VALUE!</v>
      </c>
      <c r="S6" s="68" t="e" cm="1" vm="1">
        <f t="array" ref="S6">_xlfn._xlws.FILTER(TablaProductos[Nombre producto],TablaProductos[Agrupación]=ProductosPivot!S5)</f>
        <v>#VALUE!</v>
      </c>
      <c r="T6" s="68" t="e" cm="1" vm="1">
        <f t="array" ref="T6">_xlfn._xlws.FILTER(TablaProductos[Nombre producto],TablaProductos[Agrupación]=ProductosPivot!T5)</f>
        <v>#VALUE!</v>
      </c>
      <c r="U6" s="68" t="e" cm="1" vm="1">
        <f t="array" ref="U6">_xlfn._xlws.FILTER(TablaProductos[Nombre producto],TablaProductos[Agrupación]=ProductosPivot!U5)</f>
        <v>#VALUE!</v>
      </c>
      <c r="V6" s="68" t="e" cm="1" vm="1">
        <f t="array" ref="V6">_xlfn._xlws.FILTER(TablaProductos[Nombre producto],TablaProductos[Agrupación]=ProductosPivot!V5)</f>
        <v>#VALUE!</v>
      </c>
      <c r="W6" s="68" t="e" cm="1" vm="1">
        <f t="array" ref="W6">_xlfn._xlws.FILTER(TablaProductos[Nombre producto],TablaProductos[Agrupación]=ProductosPivot!W5)</f>
        <v>#VALUE!</v>
      </c>
      <c r="X6" s="68" t="e" cm="1" vm="1">
        <f t="array" ref="X6">_xlfn._xlws.FILTER(TablaProductos[Nombre producto],TablaProductos[Agrupación]=ProductosPivot!X5)</f>
        <v>#VALUE!</v>
      </c>
      <c r="Y6" s="68" t="e" cm="1" vm="1">
        <f t="array" ref="Y6">_xlfn._xlws.FILTER(TablaProductos[Nombre producto],TablaProductos[Agrupación]=ProductosPivot!Y5)</f>
        <v>#VALUE!</v>
      </c>
      <c r="Z6" s="68" t="e" cm="1" vm="1">
        <f t="array" ref="Z6">_xlfn._xlws.FILTER(TablaProductos[Nombre producto],TablaProductos[Agrupación]=ProductosPivot!Z5)</f>
        <v>#VALUE!</v>
      </c>
      <c r="AA6" s="68" t="e" cm="1" vm="1">
        <f t="array" ref="AA6">_xlfn._xlws.FILTER(TablaProductos[Nombre producto],TablaProductos[Agrupación]=ProductosPivot!AA5)</f>
        <v>#VALUE!</v>
      </c>
      <c r="AB6" s="68" t="e" cm="1" vm="1">
        <f t="array" ref="AB6">_xlfn._xlws.FILTER(TablaProductos[Nombre producto],TablaProductos[Agrupación]=ProductosPivot!AB5)</f>
        <v>#VALUE!</v>
      </c>
      <c r="AC6" s="68" t="e" cm="1" vm="1">
        <f t="array" ref="AC6">_xlfn._xlws.FILTER(TablaProductos[Nombre producto],TablaProductos[Agrupación]=ProductosPivot!AC5)</f>
        <v>#VALUE!</v>
      </c>
      <c r="AD6" s="68" t="e" cm="1" vm="1">
        <f t="array" ref="AD6">_xlfn._xlws.FILTER(TablaProductos[Nombre producto],TablaProductos[Agrupación]=ProductosPivot!AD5)</f>
        <v>#VALUE!</v>
      </c>
      <c r="AE6" s="68" t="e" cm="1" vm="1">
        <f t="array" ref="AE6">_xlfn._xlws.FILTER(TablaProductos[Nombre producto],TablaProductos[Agrupación]=ProductosPivot!AE5)</f>
        <v>#VALUE!</v>
      </c>
      <c r="AF6" s="68" t="e" cm="1" vm="1">
        <f t="array" ref="AF6">_xlfn._xlws.FILTER(TablaProductos[Nombre producto],TablaProductos[Agrupación]=ProductosPivot!AF5)</f>
        <v>#VALUE!</v>
      </c>
      <c r="AG6" s="68" t="e" cm="1" vm="1">
        <f t="array" ref="AG6">_xlfn._xlws.FILTER(TablaProductos[Nombre producto],TablaProductos[Agrupación]=ProductosPivot!AG5)</f>
        <v>#VALUE!</v>
      </c>
      <c r="AH6" s="68" t="e" cm="1" vm="1">
        <f t="array" ref="AH6">_xlfn._xlws.FILTER(TablaProductos[Nombre producto],TablaProductos[Agrupación]=ProductosPivot!AH5)</f>
        <v>#VALUE!</v>
      </c>
      <c r="AI6" s="68" t="e" cm="1" vm="1">
        <f t="array" ref="AI6">_xlfn._xlws.FILTER(TablaProductos[Nombre producto],TablaProductos[Agrupación]=ProductosPivot!AI5)</f>
        <v>#VALUE!</v>
      </c>
      <c r="AJ6" s="68" t="e" cm="1" vm="1">
        <f t="array" ref="AJ6">_xlfn._xlws.FILTER(TablaProductos[Nombre producto],TablaProductos[Agrupación]=ProductosPivot!AJ5)</f>
        <v>#VALUE!</v>
      </c>
      <c r="AK6" s="68" t="e" cm="1" vm="1">
        <f t="array" ref="AK6">_xlfn._xlws.FILTER(TablaProductos[Nombre producto],TablaProductos[Agrupación]=ProductosPivot!AK5)</f>
        <v>#VALUE!</v>
      </c>
      <c r="AL6" s="68" t="e" cm="1" vm="1">
        <f t="array" ref="AL6">_xlfn._xlws.FILTER(TablaProductos[Nombre producto],TablaProductos[Agrupación]=ProductosPivot!AL5)</f>
        <v>#VALUE!</v>
      </c>
      <c r="AM6" s="68" t="e" cm="1" vm="1">
        <f t="array" ref="AM6">_xlfn._xlws.FILTER(TablaProductos[Nombre producto],TablaProductos[Agrupación]=ProductosPivot!AM5)</f>
        <v>#VALUE!</v>
      </c>
      <c r="AN6" s="68" t="e" cm="1" vm="1">
        <f t="array" ref="AN6">_xlfn._xlws.FILTER(TablaProductos[Nombre producto],TablaProductos[Agrupación]=ProductosPivot!AN5)</f>
        <v>#VALUE!</v>
      </c>
      <c r="AO6" s="68" t="e" cm="1" vm="1">
        <f t="array" ref="AO6">_xlfn._xlws.FILTER(TablaProductos[Nombre producto],TablaProductos[Agrupación]=ProductosPivot!AO5)</f>
        <v>#VALUE!</v>
      </c>
      <c r="AP6" s="68" t="e" cm="1" vm="1">
        <f t="array" ref="AP6">_xlfn._xlws.FILTER(TablaProductos[Nombre producto],TablaProductos[Agrupación]=ProductosPivot!AP5)</f>
        <v>#VALUE!</v>
      </c>
      <c r="AQ6" s="68" t="e" cm="1" vm="1">
        <f t="array" ref="AQ6">_xlfn._xlws.FILTER(TablaProductos[Nombre producto],TablaProductos[Agrupación]=ProductosPivot!AQ5)</f>
        <v>#VALUE!</v>
      </c>
      <c r="AR6" s="68" t="e" cm="1" vm="1">
        <f t="array" ref="AR6">_xlfn._xlws.FILTER(TablaProductos[Nombre producto],TablaProductos[Agrupación]=ProductosPivot!AR5)</f>
        <v>#VALUE!</v>
      </c>
      <c r="AS6" s="68" t="e" cm="1" vm="1">
        <f t="array" ref="AS6">_xlfn._xlws.FILTER(TablaProductos[Nombre producto],TablaProductos[Agrupación]=ProductosPivot!AS5)</f>
        <v>#VALUE!</v>
      </c>
      <c r="AT6" s="68" t="e" cm="1" vm="1">
        <f t="array" ref="AT6">_xlfn._xlws.FILTER(TablaProductos[Nombre producto],TablaProductos[Agrupación]=ProductosPivot!AT5)</f>
        <v>#VALUE!</v>
      </c>
      <c r="AU6" s="68" t="e" cm="1" vm="1">
        <f t="array" ref="AU6">_xlfn._xlws.FILTER(TablaProductos[Nombre producto],TablaProductos[Agrupación]=ProductosPivot!AU5)</f>
        <v>#VALUE!</v>
      </c>
      <c r="AV6" s="68" t="e" cm="1" vm="1">
        <f t="array" ref="AV6">_xlfn._xlws.FILTER(TablaProductos[Nombre producto],TablaProductos[Agrupación]=ProductosPivot!AV5)</f>
        <v>#VALUE!</v>
      </c>
      <c r="AW6" s="68" t="e" cm="1" vm="1">
        <f t="array" ref="AW6">_xlfn._xlws.FILTER(TablaProductos[Nombre producto],TablaProductos[Agrupación]=ProductosPivot!AW5)</f>
        <v>#VALUE!</v>
      </c>
      <c r="AX6" s="68" t="e" cm="1" vm="1">
        <f t="array" ref="AX6">_xlfn._xlws.FILTER(TablaProductos[Nombre producto],TablaProductos[Agrupación]=ProductosPivot!AX5)</f>
        <v>#VALUE!</v>
      </c>
      <c r="AY6" s="68" t="e" cm="1" vm="1">
        <f t="array" ref="AY6">_xlfn._xlws.FILTER(TablaProductos[Nombre producto],TablaProductos[Agrupación]=ProductosPivot!AY5)</f>
        <v>#VALUE!</v>
      </c>
      <c r="AZ6" s="68" t="e" cm="1" vm="1">
        <f t="array" ref="AZ6">_xlfn._xlws.FILTER(TablaProductos[Nombre producto],TablaProductos[Agrupación]=ProductosPivot!AZ5)</f>
        <v>#VALUE!</v>
      </c>
      <c r="BA6" s="68" t="e" cm="1" vm="1">
        <f t="array" ref="BA6">_xlfn._xlws.FILTER(TablaProductos[Nombre producto],TablaProductos[Agrupación]=ProductosPivot!BA5)</f>
        <v>#VALUE!</v>
      </c>
      <c r="BB6" s="68" t="e" cm="1" vm="1">
        <f t="array" ref="BB6">_xlfn._xlws.FILTER(TablaProductos[Nombre producto],TablaProductos[Agrupación]=ProductosPivot!BB5)</f>
        <v>#VALUE!</v>
      </c>
      <c r="BC6" s="68" t="e" cm="1" vm="1">
        <f t="array" ref="BC6">_xlfn._xlws.FILTER(TablaProductos[Nombre producto],TablaProductos[Agrupación]=ProductosPivot!BC5)</f>
        <v>#VALUE!</v>
      </c>
      <c r="BD6" s="68" t="e" cm="1" vm="1">
        <f t="array" ref="BD6">_xlfn._xlws.FILTER(TablaProductos[Nombre producto],TablaProductos[Agrupación]=ProductosPivot!BD5)</f>
        <v>#VALUE!</v>
      </c>
      <c r="BE6" s="68" t="e" cm="1" vm="1">
        <f t="array" ref="BE6">_xlfn._xlws.FILTER(TablaProductos[Nombre producto],TablaProductos[Agrupación]=ProductosPivot!BE5)</f>
        <v>#VALUE!</v>
      </c>
      <c r="BF6" s="68" t="e" cm="1" vm="1">
        <f t="array" ref="BF6">_xlfn._xlws.FILTER(TablaProductos[Nombre producto],TablaProductos[Agrupación]=ProductosPivot!BF5)</f>
        <v>#VALUE!</v>
      </c>
      <c r="BG6" s="68" t="e" cm="1" vm="1">
        <f t="array" ref="BG6">_xlfn._xlws.FILTER(TablaProductos[Nombre producto],TablaProductos[Agrupación]=ProductosPivot!BG5)</f>
        <v>#VALUE!</v>
      </c>
      <c r="BH6" s="68" t="e" cm="1" vm="1">
        <f t="array" ref="BH6">_xlfn._xlws.FILTER(TablaProductos[Nombre producto],TablaProductos[Agrupación]=ProductosPivot!BH5)</f>
        <v>#VALUE!</v>
      </c>
      <c r="BI6" s="68" t="e" cm="1" vm="1">
        <f t="array" ref="BI6">_xlfn._xlws.FILTER(TablaProductos[Nombre producto],TablaProductos[Agrupación]=ProductosPivot!BI5)</f>
        <v>#VALUE!</v>
      </c>
      <c r="BJ6" s="68" t="e" cm="1" vm="1">
        <f t="array" ref="BJ6">_xlfn._xlws.FILTER(TablaProductos[Nombre producto],TablaProductos[Agrupación]=ProductosPivot!BJ5)</f>
        <v>#VALUE!</v>
      </c>
      <c r="BK6" s="68" t="e" cm="1" vm="1">
        <f t="array" ref="BK6">_xlfn._xlws.FILTER(TablaProductos[Nombre producto],TablaProductos[Agrupación]=ProductosPivot!BK5)</f>
        <v>#VALUE!</v>
      </c>
      <c r="BL6" s="68" t="e" cm="1" vm="1">
        <f t="array" ref="BL6">_xlfn._xlws.FILTER(TablaProductos[Nombre producto],TablaProductos[Agrupación]=ProductosPivot!BL5)</f>
        <v>#VALUE!</v>
      </c>
      <c r="BM6" s="68" t="e" cm="1" vm="1">
        <f t="array" ref="BM6">_xlfn._xlws.FILTER(TablaProductos[Nombre producto],TablaProductos[Agrupación]=ProductosPivot!BM5)</f>
        <v>#VALUE!</v>
      </c>
      <c r="BN6" s="68" t="e" cm="1" vm="1">
        <f t="array" ref="BN6">_xlfn._xlws.FILTER(TablaProductos[Nombre producto],TablaProductos[Agrupación]=ProductosPivot!BN5)</f>
        <v>#VALUE!</v>
      </c>
      <c r="BO6" s="68" t="e" cm="1" vm="1">
        <f t="array" ref="BO6">_xlfn._xlws.FILTER(TablaProductos[Nombre producto],TablaProductos[Agrupación]=ProductosPivot!BO5)</f>
        <v>#VALUE!</v>
      </c>
      <c r="BP6" s="68" t="e" cm="1" vm="1">
        <f t="array" ref="BP6">_xlfn._xlws.FILTER(TablaProductos[Nombre producto],TablaProductos[Agrupación]=ProductosPivot!BP5)</f>
        <v>#VALUE!</v>
      </c>
      <c r="BQ6" s="68" t="e" cm="1" vm="1">
        <f t="array" ref="BQ6">_xlfn._xlws.FILTER(TablaProductos[Nombre producto],TablaProductos[Agrupación]=ProductosPivot!BQ5)</f>
        <v>#VALUE!</v>
      </c>
      <c r="BR6" s="68" t="e" cm="1" vm="1">
        <f t="array" ref="BR6">_xlfn._xlws.FILTER(TablaProductos[Nombre producto],TablaProductos[Agrupación]=ProductosPivot!BR5)</f>
        <v>#VALUE!</v>
      </c>
      <c r="BS6" s="68" t="e" cm="1" vm="1">
        <f t="array" ref="BS6">_xlfn._xlws.FILTER(TablaProductos[Nombre producto],TablaProductos[Agrupación]=ProductosPivot!BS5)</f>
        <v>#VALUE!</v>
      </c>
      <c r="BT6" s="68" t="e" cm="1" vm="1">
        <f t="array" ref="BT6">_xlfn._xlws.FILTER(TablaProductos[Nombre producto],TablaProductos[Agrupación]=ProductosPivot!BT5)</f>
        <v>#VALUE!</v>
      </c>
      <c r="BU6" s="68" t="e" cm="1" vm="1">
        <f t="array" ref="BU6">_xlfn._xlws.FILTER(TablaProductos[Nombre producto],TablaProductos[Agrupación]=ProductosPivot!BU5)</f>
        <v>#VALUE!</v>
      </c>
      <c r="BV6" s="68" t="e" cm="1" vm="1">
        <f t="array" ref="BV6">_xlfn._xlws.FILTER(TablaProductos[Nombre producto],TablaProductos[Agrupación]=ProductosPivot!BV5)</f>
        <v>#VALUE!</v>
      </c>
      <c r="BW6" s="68" t="e" cm="1" vm="1">
        <f t="array" ref="BW6">_xlfn._xlws.FILTER(TablaProductos[Nombre producto],TablaProductos[Agrupación]=ProductosPivot!BW5)</f>
        <v>#VALUE!</v>
      </c>
      <c r="BX6" s="68" t="e" cm="1" vm="1">
        <f t="array" ref="BX6">_xlfn._xlws.FILTER(TablaProductos[Nombre producto],TablaProductos[Agrupación]=ProductosPivot!BX5)</f>
        <v>#VALUE!</v>
      </c>
      <c r="BY6" s="68" t="e" cm="1" vm="1">
        <f t="array" ref="BY6">_xlfn._xlws.FILTER(TablaProductos[Nombre producto],TablaProductos[Agrupación]=ProductosPivot!BY5)</f>
        <v>#VALUE!</v>
      </c>
      <c r="BZ6" s="68" t="e" cm="1" vm="1">
        <f t="array" ref="BZ6">_xlfn._xlws.FILTER(TablaProductos[Nombre producto],TablaProductos[Agrupación]=ProductosPivot!BZ5)</f>
        <v>#VALUE!</v>
      </c>
      <c r="CA6" s="68" t="e" cm="1" vm="1">
        <f t="array" ref="CA6">_xlfn._xlws.FILTER(TablaProductos[Nombre producto],TablaProductos[Agrupación]=ProductosPivot!CA5)</f>
        <v>#VALUE!</v>
      </c>
      <c r="CB6" s="68" t="e" cm="1" vm="1">
        <f t="array" ref="CB6">_xlfn._xlws.FILTER(TablaProductos[Nombre producto],TablaProductos[Agrupación]=ProductosPivot!CB5)</f>
        <v>#VALUE!</v>
      </c>
      <c r="CC6" s="68" t="e" cm="1" vm="1">
        <f t="array" ref="CC6">_xlfn._xlws.FILTER(TablaProductos[Nombre producto],TablaProductos[Agrupación]=ProductosPivot!CC5)</f>
        <v>#VALUE!</v>
      </c>
      <c r="CD6" s="68" t="e" cm="1" vm="1">
        <f t="array" ref="CD6">_xlfn._xlws.FILTER(TablaProductos[Nombre producto],TablaProductos[Agrupación]=ProductosPivot!CD5)</f>
        <v>#VALUE!</v>
      </c>
      <c r="CE6" s="68" t="e" cm="1" vm="1">
        <f t="array" ref="CE6">_xlfn._xlws.FILTER(TablaProductos[Nombre producto],TablaProductos[Agrupación]=ProductosPivot!CE5)</f>
        <v>#VALUE!</v>
      </c>
      <c r="CF6" s="68" t="e" cm="1" vm="1">
        <f t="array" ref="CF6">_xlfn._xlws.FILTER(TablaProductos[Nombre producto],TablaProductos[Agrupación]=ProductosPivot!CF5)</f>
        <v>#VALUE!</v>
      </c>
      <c r="CG6" s="68" t="e" cm="1" vm="1">
        <f t="array" ref="CG6">_xlfn._xlws.FILTER(TablaProductos[Nombre producto],TablaProductos[Agrupación]=ProductosPivot!CG5)</f>
        <v>#VALUE!</v>
      </c>
      <c r="CH6" s="68" t="e" cm="1" vm="1">
        <f t="array" ref="CH6">_xlfn._xlws.FILTER(TablaProductos[Nombre producto],TablaProductos[Agrupación]=ProductosPivot!CH5)</f>
        <v>#VALUE!</v>
      </c>
      <c r="CI6" s="68" t="e" cm="1" vm="1">
        <f t="array" ref="CI6">_xlfn._xlws.FILTER(TablaProductos[Nombre producto],TablaProductos[Agrupación]=ProductosPivot!CI5)</f>
        <v>#VALUE!</v>
      </c>
      <c r="CJ6" s="68" t="e" cm="1" vm="1">
        <f t="array" ref="CJ6">_xlfn._xlws.FILTER(TablaProductos[Nombre producto],TablaProductos[Agrupación]=ProductosPivot!CJ5)</f>
        <v>#VALUE!</v>
      </c>
      <c r="CK6" s="68" t="e" cm="1" vm="1">
        <f t="array" ref="CK6">_xlfn._xlws.FILTER(TablaProductos[Nombre producto],TablaProductos[Agrupación]=ProductosPivot!CK5)</f>
        <v>#VALUE!</v>
      </c>
      <c r="CL6" s="68" t="e" cm="1" vm="1">
        <f t="array" ref="CL6">_xlfn._xlws.FILTER(TablaProductos[Nombre producto],TablaProductos[Agrupación]=ProductosPivot!CL5)</f>
        <v>#VALUE!</v>
      </c>
      <c r="CM6" s="68" t="e" cm="1" vm="1">
        <f t="array" ref="CM6">_xlfn._xlws.FILTER(TablaProductos[Nombre producto],TablaProductos[Agrupación]=ProductosPivot!CM5)</f>
        <v>#VALUE!</v>
      </c>
      <c r="CN6" s="68" t="e" cm="1" vm="1">
        <f t="array" ref="CN6">_xlfn._xlws.FILTER(TablaProductos[Nombre producto],TablaProductos[Agrupación]=ProductosPivot!CN5)</f>
        <v>#VALUE!</v>
      </c>
      <c r="CO6" s="68" t="e" cm="1" vm="1">
        <f t="array" ref="CO6">_xlfn._xlws.FILTER(TablaProductos[Nombre producto],TablaProductos[Agrupación]=ProductosPivot!CO5)</f>
        <v>#VALUE!</v>
      </c>
      <c r="CP6" s="68" t="e" cm="1" vm="1">
        <f t="array" ref="CP6">_xlfn._xlws.FILTER(TablaProductos[Nombre producto],TablaProductos[Agrupación]=ProductosPivot!CP5)</f>
        <v>#VALUE!</v>
      </c>
      <c r="CQ6" s="68" t="e" cm="1" vm="1">
        <f t="array" ref="CQ6">_xlfn._xlws.FILTER(TablaProductos[Nombre producto],TablaProductos[Agrupación]=ProductosPivot!CQ5)</f>
        <v>#VALUE!</v>
      </c>
      <c r="CR6" s="68" t="e" cm="1" vm="1">
        <f t="array" ref="CR6">_xlfn._xlws.FILTER(TablaProductos[Nombre producto],TablaProductos[Agrupación]=ProductosPivot!CR5)</f>
        <v>#VALUE!</v>
      </c>
      <c r="CS6" s="68" t="e" cm="1" vm="1">
        <f t="array" ref="CS6">_xlfn._xlws.FILTER(TablaProductos[Nombre producto],TablaProductos[Agrupación]=ProductosPivot!CS5)</f>
        <v>#VALUE!</v>
      </c>
      <c r="CT6" s="68" t="e" cm="1" vm="1">
        <f t="array" ref="CT6">_xlfn._xlws.FILTER(TablaProductos[Nombre producto],TablaProductos[Agrupación]=ProductosPivot!CT5)</f>
        <v>#VALUE!</v>
      </c>
      <c r="CU6" s="68" t="e" cm="1" vm="1">
        <f t="array" ref="CU6">_xlfn._xlws.FILTER(TablaProductos[Nombre producto],TablaProductos[Agrupación]=ProductosPivot!CU5)</f>
        <v>#VALUE!</v>
      </c>
      <c r="CV6" s="68" t="e" cm="1" vm="1">
        <f t="array" ref="CV6">_xlfn._xlws.FILTER(TablaProductos[Nombre producto],TablaProductos[Agrupación]=ProductosPivot!CV5)</f>
        <v>#VALUE!</v>
      </c>
      <c r="CW6" s="68" t="e" cm="1" vm="1">
        <f t="array" ref="CW6">_xlfn._xlws.FILTER(TablaProductos[Nombre producto],TablaProductos[Agrupación]=ProductosPivot!CW5)</f>
        <v>#VALUE!</v>
      </c>
      <c r="CX6" s="68" t="e" cm="1" vm="1">
        <f t="array" ref="CX6">_xlfn._xlws.FILTER(TablaProductos[Nombre producto],TablaProductos[Agrupación]=ProductosPivot!CX5)</f>
        <v>#VALUE!</v>
      </c>
      <c r="CY6" s="68" t="e" cm="1" vm="1">
        <f t="array" ref="CY6">_xlfn._xlws.FILTER(TablaProductos[Nombre producto],TablaProductos[Agrupación]=ProductosPivot!CY5)</f>
        <v>#VALUE!</v>
      </c>
      <c r="CZ6" s="68" t="e" cm="1" vm="1">
        <f t="array" ref="CZ6">_xlfn._xlws.FILTER(TablaProductos[Nombre producto],TablaProductos[Agrupación]=ProductosPivot!CZ5)</f>
        <v>#VALUE!</v>
      </c>
      <c r="DA6" s="68" t="e" cm="1" vm="1">
        <f t="array" ref="DA6">_xlfn._xlws.FILTER(TablaProductos[Nombre producto],TablaProductos[Agrupación]=ProductosPivot!DA5)</f>
        <v>#VALUE!</v>
      </c>
      <c r="DB6" s="68" t="e" cm="1" vm="1">
        <f t="array" ref="DB6">_xlfn._xlws.FILTER(TablaProductos[Nombre producto],TablaProductos[Agrupación]=ProductosPivot!DB5)</f>
        <v>#VALUE!</v>
      </c>
      <c r="DC6" s="68" t="e" cm="1" vm="1">
        <f t="array" ref="DC6">_xlfn._xlws.FILTER(TablaProductos[Nombre producto],TablaProductos[Agrupación]=ProductosPivot!DC5)</f>
        <v>#VALUE!</v>
      </c>
      <c r="DD6" s="68" t="e" cm="1" vm="1">
        <f t="array" ref="DD6">_xlfn._xlws.FILTER(TablaProductos[Nombre producto],TablaProductos[Agrupación]=ProductosPivot!DD5)</f>
        <v>#VALUE!</v>
      </c>
      <c r="DE6" s="68" t="e" cm="1" vm="1">
        <f t="array" ref="DE6">_xlfn._xlws.FILTER(TablaProductos[Nombre producto],TablaProductos[Agrupación]=ProductosPivot!DE5)</f>
        <v>#VALUE!</v>
      </c>
      <c r="DF6" s="68" t="e" cm="1" vm="1">
        <f t="array" ref="DF6">_xlfn._xlws.FILTER(TablaProductos[Nombre producto],TablaProductos[Agrupación]=ProductosPivot!DF5)</f>
        <v>#VALUE!</v>
      </c>
      <c r="DG6" s="68" t="e" cm="1" vm="1">
        <f t="array" ref="DG6">_xlfn._xlws.FILTER(TablaProductos[Nombre producto],TablaProductos[Agrupación]=ProductosPivot!DG5)</f>
        <v>#VALUE!</v>
      </c>
      <c r="DH6" s="68" t="e" cm="1" vm="1">
        <f t="array" ref="DH6">_xlfn._xlws.FILTER(TablaProductos[Nombre producto],TablaProductos[Agrupación]=ProductosPivot!DH5)</f>
        <v>#VALUE!</v>
      </c>
      <c r="DI6" s="68" t="e" cm="1" vm="1">
        <f t="array" ref="DI6">_xlfn._xlws.FILTER(TablaProductos[Nombre producto],TablaProductos[Agrupación]=ProductosPivot!DI5)</f>
        <v>#VALUE!</v>
      </c>
      <c r="DJ6" s="68" t="e" cm="1" vm="1">
        <f t="array" ref="DJ6">_xlfn._xlws.FILTER(TablaProductos[Nombre producto],TablaProductos[Agrupación]=ProductosPivot!DJ5)</f>
        <v>#VALUE!</v>
      </c>
      <c r="DK6" s="68" t="e" cm="1" vm="1">
        <f t="array" ref="DK6">_xlfn._xlws.FILTER(TablaProductos[Nombre producto],TablaProductos[Agrupación]=ProductosPivot!DK5)</f>
        <v>#VALUE!</v>
      </c>
      <c r="DL6" s="68" t="e" cm="1" vm="1">
        <f t="array" ref="DL6">_xlfn._xlws.FILTER(TablaProductos[Nombre producto],TablaProductos[Agrupación]=ProductosPivot!DL5)</f>
        <v>#VALUE!</v>
      </c>
      <c r="DM6" s="68" t="e" cm="1" vm="1">
        <f t="array" ref="DM6">_xlfn._xlws.FILTER(TablaProductos[Nombre producto],TablaProductos[Agrupación]=ProductosPivot!DM5)</f>
        <v>#VALUE!</v>
      </c>
      <c r="DN6" s="68" t="e" cm="1" vm="1">
        <f t="array" ref="DN6">_xlfn._xlws.FILTER(TablaProductos[Nombre producto],TablaProductos[Agrupación]=ProductosPivot!DN5)</f>
        <v>#VALUE!</v>
      </c>
      <c r="DO6" s="68" t="e" cm="1" vm="1">
        <f t="array" ref="DO6">_xlfn._xlws.FILTER(TablaProductos[Nombre producto],TablaProductos[Agrupación]=ProductosPivot!DO5)</f>
        <v>#VALUE!</v>
      </c>
      <c r="DP6" s="68" t="e" cm="1" vm="1">
        <f t="array" ref="DP6">_xlfn._xlws.FILTER(TablaProductos[Nombre producto],TablaProductos[Agrupación]=ProductosPivot!DP5)</f>
        <v>#VALUE!</v>
      </c>
      <c r="DQ6" s="68" t="e" cm="1" vm="1">
        <f t="array" ref="DQ6">_xlfn._xlws.FILTER(TablaProductos[Nombre producto],TablaProductos[Agrupación]=ProductosPivot!DQ5)</f>
        <v>#VALUE!</v>
      </c>
      <c r="DR6" s="68" t="e" cm="1" vm="1">
        <f t="array" ref="DR6">_xlfn._xlws.FILTER(TablaProductos[Nombre producto],TablaProductos[Agrupación]=ProductosPivot!DR5)</f>
        <v>#VALUE!</v>
      </c>
      <c r="DS6" s="68" t="e" cm="1" vm="1">
        <f t="array" ref="DS6">_xlfn._xlws.FILTER(TablaProductos[Nombre producto],TablaProductos[Agrupación]=ProductosPivot!DS5)</f>
        <v>#VALUE!</v>
      </c>
      <c r="DT6" s="68" t="e" cm="1" vm="1">
        <f t="array" ref="DT6">_xlfn._xlws.FILTER(TablaProductos[Nombre producto],TablaProductos[Agrupación]=ProductosPivot!DT5)</f>
        <v>#VALUE!</v>
      </c>
      <c r="DU6" s="68" t="e" cm="1" vm="1">
        <f t="array" ref="DU6">_xlfn._xlws.FILTER(TablaProductos[Nombre producto],TablaProductos[Agrupación]=ProductosPivot!DU5)</f>
        <v>#VALUE!</v>
      </c>
      <c r="DV6" s="68" t="e" cm="1" vm="1">
        <f t="array" ref="DV6">_xlfn._xlws.FILTER(TablaProductos[Nombre producto],TablaProductos[Agrupación]=ProductosPivot!DV5)</f>
        <v>#VALUE!</v>
      </c>
      <c r="DW6" s="68" t="e" cm="1" vm="1">
        <f t="array" ref="DW6">_xlfn._xlws.FILTER(TablaProductos[Nombre producto],TablaProductos[Agrupación]=ProductosPivot!DW5)</f>
        <v>#VALUE!</v>
      </c>
      <c r="DX6" s="68" t="e" cm="1" vm="1">
        <f t="array" ref="DX6">_xlfn._xlws.FILTER(TablaProductos[Nombre producto],TablaProductos[Agrupación]=ProductosPivot!DX5)</f>
        <v>#VALUE!</v>
      </c>
      <c r="DY6" s="68" t="e" cm="1" vm="1">
        <f t="array" ref="DY6">_xlfn._xlws.FILTER(TablaProductos[Nombre producto],TablaProductos[Agrupación]=ProductosPivot!DY5)</f>
        <v>#VALUE!</v>
      </c>
      <c r="DZ6" s="68" t="e" cm="1" vm="1">
        <f t="array" ref="DZ6">_xlfn._xlws.FILTER(TablaProductos[Nombre producto],TablaProductos[Agrupación]=ProductosPivot!DZ5)</f>
        <v>#VALUE!</v>
      </c>
      <c r="EA6" s="68" t="e" cm="1" vm="1">
        <f t="array" ref="EA6">_xlfn._xlws.FILTER(TablaProductos[Nombre producto],TablaProductos[Agrupación]=ProductosPivot!EA5)</f>
        <v>#VALUE!</v>
      </c>
      <c r="EB6" s="68" t="e" cm="1" vm="1">
        <f t="array" ref="EB6">_xlfn._xlws.FILTER(TablaProductos[Nombre producto],TablaProductos[Agrupación]=ProductosPivot!EB5)</f>
        <v>#VALUE!</v>
      </c>
      <c r="EC6" s="68" t="e" cm="1" vm="1">
        <f t="array" ref="EC6">_xlfn._xlws.FILTER(TablaProductos[Nombre producto],TablaProductos[Agrupación]=ProductosPivot!EC5)</f>
        <v>#VALUE!</v>
      </c>
      <c r="ED6" s="68" t="e" cm="1" vm="1">
        <f t="array" ref="ED6">_xlfn._xlws.FILTER(TablaProductos[Nombre producto],TablaProductos[Agrupación]=ProductosPivot!ED5)</f>
        <v>#VALUE!</v>
      </c>
      <c r="EE6" s="68" t="e" cm="1" vm="1">
        <f t="array" ref="EE6">_xlfn._xlws.FILTER(TablaProductos[Nombre producto],TablaProductos[Agrupación]=ProductosPivot!EE5)</f>
        <v>#VALUE!</v>
      </c>
      <c r="EF6" s="68" t="e" cm="1" vm="1">
        <f t="array" ref="EF6">_xlfn._xlws.FILTER(TablaProductos[Nombre producto],TablaProductos[Agrupación]=ProductosPivot!EF5)</f>
        <v>#VALUE!</v>
      </c>
      <c r="EG6" s="68" t="e" cm="1" vm="1">
        <f t="array" ref="EG6">_xlfn._xlws.FILTER(TablaProductos[Nombre producto],TablaProductos[Agrupación]=ProductosPivot!EG5)</f>
        <v>#VALUE!</v>
      </c>
      <c r="EH6" s="68" t="e" cm="1" vm="1">
        <f t="array" ref="EH6">_xlfn._xlws.FILTER(TablaProductos[Nombre producto],TablaProductos[Agrupación]=ProductosPivot!EH5)</f>
        <v>#VALUE!</v>
      </c>
      <c r="EI6" s="68" t="e" cm="1" vm="1">
        <f t="array" ref="EI6">_xlfn._xlws.FILTER(TablaProductos[Nombre producto],TablaProductos[Agrupación]=ProductosPivot!EI5)</f>
        <v>#VALUE!</v>
      </c>
      <c r="EJ6" s="68" t="e" cm="1" vm="1">
        <f t="array" ref="EJ6">_xlfn._xlws.FILTER(TablaProductos[Nombre producto],TablaProductos[Agrupación]=ProductosPivot!EJ5)</f>
        <v>#VALUE!</v>
      </c>
      <c r="EK6" s="68" t="e" cm="1" vm="1">
        <f t="array" ref="EK6">_xlfn._xlws.FILTER(TablaProductos[Nombre producto],TablaProductos[Agrupación]=ProductosPivot!EK5)</f>
        <v>#VALUE!</v>
      </c>
      <c r="EL6" s="68" t="e" cm="1" vm="1">
        <f t="array" ref="EL6">_xlfn._xlws.FILTER(TablaProductos[Nombre producto],TablaProductos[Agrupación]=ProductosPivot!EL5)</f>
        <v>#VALUE!</v>
      </c>
      <c r="EM6" s="68" t="e" cm="1" vm="1">
        <f t="array" ref="EM6">_xlfn._xlws.FILTER(TablaProductos[Nombre producto],TablaProductos[Agrupación]=ProductosPivot!EM5)</f>
        <v>#VALUE!</v>
      </c>
      <c r="EN6" s="68" t="e" cm="1" vm="1">
        <f t="array" ref="EN6">_xlfn._xlws.FILTER(TablaProductos[Nombre producto],TablaProductos[Agrupación]=ProductosPivot!EN5)</f>
        <v>#VALUE!</v>
      </c>
      <c r="EO6" s="68" t="e" cm="1" vm="1">
        <f t="array" ref="EO6">_xlfn._xlws.FILTER(TablaProductos[Nombre producto],TablaProductos[Agrupación]=ProductosPivot!EO5)</f>
        <v>#VALUE!</v>
      </c>
      <c r="EP6" s="68" t="e" cm="1" vm="1">
        <f t="array" ref="EP6">_xlfn._xlws.FILTER(TablaProductos[Nombre producto],TablaProductos[Agrupación]=ProductosPivot!EP5)</f>
        <v>#VALUE!</v>
      </c>
      <c r="EQ6" s="68" t="e" cm="1" vm="1">
        <f t="array" ref="EQ6">_xlfn._xlws.FILTER(TablaProductos[Nombre producto],TablaProductos[Agrupación]=ProductosPivot!EQ5)</f>
        <v>#VALUE!</v>
      </c>
      <c r="ER6" s="68" t="e" cm="1" vm="1">
        <f t="array" ref="ER6">_xlfn._xlws.FILTER(TablaProductos[Nombre producto],TablaProductos[Agrupación]=ProductosPivot!ER5)</f>
        <v>#VALUE!</v>
      </c>
      <c r="ES6" s="68" t="e" cm="1" vm="1">
        <f t="array" ref="ES6">_xlfn._xlws.FILTER(TablaProductos[Nombre producto],TablaProductos[Agrupación]=ProductosPivot!ES5)</f>
        <v>#VALUE!</v>
      </c>
      <c r="ET6" s="68" t="e" cm="1" vm="1">
        <f t="array" ref="ET6">_xlfn._xlws.FILTER(TablaProductos[Nombre producto],TablaProductos[Agrupación]=ProductosPivot!ET5)</f>
        <v>#VALUE!</v>
      </c>
      <c r="EU6" s="68" t="e" cm="1" vm="1">
        <f t="array" ref="EU6">_xlfn._xlws.FILTER(TablaProductos[Nombre producto],TablaProductos[Agrupación]=ProductosPivot!EU5)</f>
        <v>#VALUE!</v>
      </c>
      <c r="EV6" s="68" t="e" cm="1" vm="1">
        <f t="array" ref="EV6">_xlfn._xlws.FILTER(TablaProductos[Nombre producto],TablaProductos[Agrupación]=ProductosPivot!EV5)</f>
        <v>#VALUE!</v>
      </c>
      <c r="EW6" s="68" t="e" cm="1" vm="1">
        <f t="array" ref="EW6">_xlfn._xlws.FILTER(TablaProductos[Nombre producto],TablaProductos[Agrupación]=ProductosPivot!EW5)</f>
        <v>#VALUE!</v>
      </c>
      <c r="EX6" s="68" t="e" cm="1" vm="1">
        <f t="array" ref="EX6">_xlfn._xlws.FILTER(TablaProductos[Nombre producto],TablaProductos[Agrupación]=ProductosPivot!EX5)</f>
        <v>#VALUE!</v>
      </c>
      <c r="EY6" s="68" t="e" cm="1" vm="1">
        <f t="array" ref="EY6">_xlfn._xlws.FILTER(TablaProductos[Nombre producto],TablaProductos[Agrupación]=ProductosPivot!EY5)</f>
        <v>#VALUE!</v>
      </c>
      <c r="EZ6" s="68" t="e" cm="1" vm="1">
        <f t="array" ref="EZ6">_xlfn._xlws.FILTER(TablaProductos[Nombre producto],TablaProductos[Agrupación]=ProductosPivot!EZ5)</f>
        <v>#VALUE!</v>
      </c>
      <c r="FA6" s="68" t="e" cm="1" vm="1">
        <f t="array" ref="FA6">_xlfn._xlws.FILTER(TablaProductos[Nombre producto],TablaProductos[Agrupación]=ProductosPivot!FA5)</f>
        <v>#VALUE!</v>
      </c>
      <c r="FB6" s="68" t="e" cm="1" vm="1">
        <f t="array" ref="FB6">_xlfn._xlws.FILTER(TablaProductos[Nombre producto],TablaProductos[Agrupación]=ProductosPivot!FB5)</f>
        <v>#VALUE!</v>
      </c>
      <c r="FC6" s="68" t="e" cm="1" vm="1">
        <f t="array" ref="FC6">_xlfn._xlws.FILTER(TablaProductos[Nombre producto],TablaProductos[Agrupación]=ProductosPivot!FC5)</f>
        <v>#VALUE!</v>
      </c>
      <c r="FD6" s="68" t="e" cm="1" vm="1">
        <f t="array" ref="FD6">_xlfn._xlws.FILTER(TablaProductos[Nombre producto],TablaProductos[Agrupación]=ProductosPivot!FD5)</f>
        <v>#VALUE!</v>
      </c>
      <c r="FE6" s="68" t="e" cm="1" vm="1">
        <f t="array" ref="FE6">_xlfn._xlws.FILTER(TablaProductos[Nombre producto],TablaProductos[Agrupación]=ProductosPivot!FE5)</f>
        <v>#VALUE!</v>
      </c>
      <c r="FF6" s="68" t="e" cm="1" vm="1">
        <f t="array" ref="FF6">_xlfn._xlws.FILTER(TablaProductos[Nombre producto],TablaProductos[Agrupación]=ProductosPivot!FF5)</f>
        <v>#VALUE!</v>
      </c>
      <c r="FG6" s="68" t="e" cm="1" vm="1">
        <f t="array" ref="FG6">_xlfn._xlws.FILTER(TablaProductos[Nombre producto],TablaProductos[Agrupación]=ProductosPivot!FG5)</f>
        <v>#VALUE!</v>
      </c>
      <c r="FH6" s="68" t="e" cm="1" vm="1">
        <f t="array" ref="FH6">_xlfn._xlws.FILTER(TablaProductos[Nombre producto],TablaProductos[Agrupación]=ProductosPivot!FH5)</f>
        <v>#VALUE!</v>
      </c>
      <c r="FI6" s="68" t="e" cm="1" vm="1">
        <f t="array" ref="FI6">_xlfn._xlws.FILTER(TablaProductos[Nombre producto],TablaProductos[Agrupación]=ProductosPivot!FI5)</f>
        <v>#VALUE!</v>
      </c>
      <c r="FJ6" s="68" t="e" cm="1" vm="1">
        <f t="array" ref="FJ6">_xlfn._xlws.FILTER(TablaProductos[Nombre producto],TablaProductos[Agrupación]=ProductosPivot!FJ5)</f>
        <v>#VALUE!</v>
      </c>
      <c r="FK6" s="68" t="e" cm="1" vm="1">
        <f t="array" ref="FK6">_xlfn._xlws.FILTER(TablaProductos[Nombre producto],TablaProductos[Agrupación]=ProductosPivot!FK5)</f>
        <v>#VALUE!</v>
      </c>
      <c r="FL6" s="68" t="e" cm="1" vm="1">
        <f t="array" ref="FL6">_xlfn._xlws.FILTER(TablaProductos[Nombre producto],TablaProductos[Agrupación]=ProductosPivot!FL5)</f>
        <v>#VALUE!</v>
      </c>
      <c r="FM6" s="68" t="e" cm="1" vm="1">
        <f t="array" ref="FM6">_xlfn._xlws.FILTER(TablaProductos[Nombre producto],TablaProductos[Agrupación]=ProductosPivot!FM5)</f>
        <v>#VALUE!</v>
      </c>
      <c r="FN6" s="68" t="e" cm="1" vm="1">
        <f t="array" ref="FN6">_xlfn._xlws.FILTER(TablaProductos[Nombre producto],TablaProductos[Agrupación]=ProductosPivot!FN5)</f>
        <v>#VALUE!</v>
      </c>
      <c r="FO6" s="68" t="e" cm="1" vm="1">
        <f t="array" ref="FO6">_xlfn._xlws.FILTER(TablaProductos[Nombre producto],TablaProductos[Agrupación]=ProductosPivot!FO5)</f>
        <v>#VALUE!</v>
      </c>
      <c r="FP6" s="68" t="e" cm="1" vm="1">
        <f t="array" ref="FP6">_xlfn._xlws.FILTER(TablaProductos[Nombre producto],TablaProductos[Agrupación]=ProductosPivot!FP5)</f>
        <v>#VALUE!</v>
      </c>
      <c r="FQ6" s="68" t="e" cm="1" vm="1">
        <f t="array" ref="FQ6">_xlfn._xlws.FILTER(TablaProductos[Nombre producto],TablaProductos[Agrupación]=ProductosPivot!FQ5)</f>
        <v>#VALUE!</v>
      </c>
      <c r="FR6" s="68" t="e" cm="1" vm="1">
        <f t="array" ref="FR6">_xlfn._xlws.FILTER(TablaProductos[Nombre producto],TablaProductos[Agrupación]=ProductosPivot!FR5)</f>
        <v>#VALUE!</v>
      </c>
      <c r="FS6" s="68" t="e" cm="1" vm="1">
        <f t="array" ref="FS6">_xlfn._xlws.FILTER(TablaProductos[Nombre producto],TablaProductos[Agrupación]=ProductosPivot!FS5)</f>
        <v>#VALUE!</v>
      </c>
      <c r="FT6" s="68" t="e" cm="1" vm="1">
        <f t="array" ref="FT6">_xlfn._xlws.FILTER(TablaProductos[Nombre producto],TablaProductos[Agrupación]=ProductosPivot!FT5)</f>
        <v>#VALUE!</v>
      </c>
      <c r="FU6" s="68" t="e" cm="1" vm="1">
        <f t="array" ref="FU6">_xlfn._xlws.FILTER(TablaProductos[Nombre producto],TablaProductos[Agrupación]=ProductosPivot!FU5)</f>
        <v>#VALUE!</v>
      </c>
      <c r="FV6" s="68" t="e" cm="1" vm="1">
        <f t="array" ref="FV6">_xlfn._xlws.FILTER(TablaProductos[Nombre producto],TablaProductos[Agrupación]=ProductosPivot!FV5)</f>
        <v>#VALUE!</v>
      </c>
      <c r="FW6" s="68" t="e" cm="1" vm="1">
        <f t="array" ref="FW6">_xlfn._xlws.FILTER(TablaProductos[Nombre producto],TablaProductos[Agrupación]=ProductosPivot!FW5)</f>
        <v>#VALUE!</v>
      </c>
      <c r="FX6" s="68" t="e" cm="1" vm="1">
        <f t="array" ref="FX6">_xlfn._xlws.FILTER(TablaProductos[Nombre producto],TablaProductos[Agrupación]=ProductosPivot!FX5)</f>
        <v>#VALUE!</v>
      </c>
      <c r="FY6" s="68" t="e" cm="1" vm="1">
        <f t="array" ref="FY6">_xlfn._xlws.FILTER(TablaProductos[Nombre producto],TablaProductos[Agrupación]=ProductosPivot!FY5)</f>
        <v>#VALUE!</v>
      </c>
      <c r="FZ6" s="68" t="e" cm="1" vm="1">
        <f t="array" ref="FZ6">_xlfn._xlws.FILTER(TablaProductos[Nombre producto],TablaProductos[Agrupación]=ProductosPivot!FZ5)</f>
        <v>#VALUE!</v>
      </c>
      <c r="GA6" s="68" t="e" cm="1" vm="1">
        <f t="array" ref="GA6">_xlfn._xlws.FILTER(TablaProductos[Nombre producto],TablaProductos[Agrupación]=ProductosPivot!GA5)</f>
        <v>#VALUE!</v>
      </c>
      <c r="GB6" s="68" t="e" cm="1" vm="1">
        <f t="array" ref="GB6">_xlfn._xlws.FILTER(TablaProductos[Nombre producto],TablaProductos[Agrupación]=ProductosPivot!GB5)</f>
        <v>#VALUE!</v>
      </c>
      <c r="GC6" s="68" t="e" cm="1" vm="1">
        <f t="array" ref="GC6">_xlfn._xlws.FILTER(TablaProductos[Nombre producto],TablaProductos[Agrupación]=ProductosPivot!GC5)</f>
        <v>#VALUE!</v>
      </c>
      <c r="GD6" s="68" t="e" cm="1" vm="1">
        <f t="array" ref="GD6">_xlfn._xlws.FILTER(TablaProductos[Nombre producto],TablaProductos[Agrupación]=ProductosPivot!GD5)</f>
        <v>#VALUE!</v>
      </c>
      <c r="GE6" s="68" t="e" cm="1" vm="1">
        <f t="array" ref="GE6">_xlfn._xlws.FILTER(TablaProductos[Nombre producto],TablaProductos[Agrupación]=ProductosPivot!GE5)</f>
        <v>#VALUE!</v>
      </c>
      <c r="GF6" s="68" t="e" cm="1" vm="1">
        <f t="array" ref="GF6">_xlfn._xlws.FILTER(TablaProductos[Nombre producto],TablaProductos[Agrupación]=ProductosPivot!GF5)</f>
        <v>#VALUE!</v>
      </c>
      <c r="GG6" s="68" t="e" cm="1" vm="1">
        <f t="array" ref="GG6">_xlfn._xlws.FILTER(TablaProductos[Nombre producto],TablaProductos[Agrupación]=ProductosPivot!GG5)</f>
        <v>#VALUE!</v>
      </c>
      <c r="GH6" s="68" t="e" cm="1" vm="1">
        <f t="array" ref="GH6">_xlfn._xlws.FILTER(TablaProductos[Nombre producto],TablaProductos[Agrupación]=ProductosPivot!GH5)</f>
        <v>#VALUE!</v>
      </c>
      <c r="GI6" s="68" t="e" cm="1" vm="1">
        <f t="array" ref="GI6">_xlfn._xlws.FILTER(TablaProductos[Nombre producto],TablaProductos[Agrupación]=ProductosPivot!GI5)</f>
        <v>#VALUE!</v>
      </c>
      <c r="GJ6" s="68" t="e" cm="1" vm="1">
        <f t="array" ref="GJ6">_xlfn._xlws.FILTER(TablaProductos[Nombre producto],TablaProductos[Agrupación]=ProductosPivot!GJ5)</f>
        <v>#VALUE!</v>
      </c>
      <c r="GK6" s="68" t="e" cm="1" vm="1">
        <f t="array" ref="GK6">_xlfn._xlws.FILTER(TablaProductos[Nombre producto],TablaProductos[Agrupación]=ProductosPivot!GK5)</f>
        <v>#VALUE!</v>
      </c>
      <c r="GL6" s="68" t="e" cm="1" vm="1">
        <f t="array" ref="GL6">_xlfn._xlws.FILTER(TablaProductos[Nombre producto],TablaProductos[Agrupación]=ProductosPivot!GL5)</f>
        <v>#VALUE!</v>
      </c>
      <c r="GM6" s="68" t="e" cm="1" vm="1">
        <f t="array" ref="GM6">_xlfn._xlws.FILTER(TablaProductos[Nombre producto],TablaProductos[Agrupación]=ProductosPivot!GM5)</f>
        <v>#VALUE!</v>
      </c>
      <c r="GN6" s="68" t="e" cm="1" vm="1">
        <f t="array" ref="GN6">_xlfn._xlws.FILTER(TablaProductos[Nombre producto],TablaProductos[Agrupación]=ProductosPivot!GN5)</f>
        <v>#VALUE!</v>
      </c>
      <c r="GO6" s="68" t="e" cm="1" vm="1">
        <f t="array" ref="GO6">_xlfn._xlws.FILTER(TablaProductos[Nombre producto],TablaProductos[Agrupación]=ProductosPivot!GO5)</f>
        <v>#VALUE!</v>
      </c>
      <c r="GP6" s="68" t="e" cm="1" vm="1">
        <f t="array" ref="GP6">_xlfn._xlws.FILTER(TablaProductos[Nombre producto],TablaProductos[Agrupación]=ProductosPivot!GP5)</f>
        <v>#VALUE!</v>
      </c>
      <c r="GQ6" s="68" t="e" cm="1" vm="1">
        <f t="array" ref="GQ6">_xlfn._xlws.FILTER(TablaProductos[Nombre producto],TablaProductos[Agrupación]=ProductosPivot!GQ5)</f>
        <v>#VALUE!</v>
      </c>
      <c r="GR6" s="68" t="e" cm="1" vm="1">
        <f t="array" ref="GR6">_xlfn._xlws.FILTER(TablaProductos[Nombre producto],TablaProductos[Agrupación]=ProductosPivot!GR5)</f>
        <v>#VALUE!</v>
      </c>
      <c r="GS6" s="68" t="e" cm="1" vm="1">
        <f t="array" ref="GS6">_xlfn._xlws.FILTER(TablaProductos[Nombre producto],TablaProductos[Agrupación]=ProductosPivot!GS5)</f>
        <v>#VALUE!</v>
      </c>
      <c r="GT6" s="68" t="e" cm="1" vm="1">
        <f t="array" ref="GT6">_xlfn._xlws.FILTER(TablaProductos[Nombre producto],TablaProductos[Agrupación]=ProductosPivot!GT5)</f>
        <v>#VALUE!</v>
      </c>
      <c r="GU6" s="68" t="e" cm="1" vm="1">
        <f t="array" ref="GU6">_xlfn._xlws.FILTER(TablaProductos[Nombre producto],TablaProductos[Agrupación]=ProductosPivot!GU5)</f>
        <v>#VALUE!</v>
      </c>
      <c r="GV6" s="68" t="e" cm="1" vm="1">
        <f t="array" ref="GV6">_xlfn._xlws.FILTER(TablaProductos[Nombre producto],TablaProductos[Agrupación]=ProductosPivot!GV5)</f>
        <v>#VALUE!</v>
      </c>
      <c r="GW6" s="68" t="e" cm="1" vm="1">
        <f t="array" ref="GW6">_xlfn._xlws.FILTER(TablaProductos[Nombre producto],TablaProductos[Agrupación]=ProductosPivot!GW5)</f>
        <v>#VALUE!</v>
      </c>
      <c r="GX6" s="68" t="e" cm="1" vm="1">
        <f t="array" ref="GX6">_xlfn._xlws.FILTER(TablaProductos[Nombre producto],TablaProductos[Agrupación]=ProductosPivot!GX5)</f>
        <v>#VALUE!</v>
      </c>
      <c r="GY6" s="68" t="e" cm="1" vm="1">
        <f t="array" ref="GY6">_xlfn._xlws.FILTER(TablaProductos[Nombre producto],TablaProductos[Agrupación]=ProductosPivot!GY5)</f>
        <v>#VALUE!</v>
      </c>
      <c r="GZ6" s="68" t="e" cm="1" vm="1">
        <f t="array" ref="GZ6">_xlfn._xlws.FILTER(TablaProductos[Nombre producto],TablaProductos[Agrupación]=ProductosPivot!GZ5)</f>
        <v>#VALUE!</v>
      </c>
      <c r="HA6" s="68" t="e" cm="1" vm="1">
        <f t="array" ref="HA6">_xlfn._xlws.FILTER(TablaProductos[Nombre producto],TablaProductos[Agrupación]=ProductosPivot!HA5)</f>
        <v>#VALUE!</v>
      </c>
      <c r="HB6" s="68" t="e" cm="1" vm="1">
        <f t="array" ref="HB6">_xlfn._xlws.FILTER(TablaProductos[Nombre producto],TablaProductos[Agrupación]=ProductosPivot!HB5)</f>
        <v>#VALUE!</v>
      </c>
      <c r="HC6" s="68" t="e" cm="1" vm="1">
        <f t="array" ref="HC6">_xlfn._xlws.FILTER(TablaProductos[Nombre producto],TablaProductos[Agrupación]=ProductosPivot!HC5)</f>
        <v>#VALUE!</v>
      </c>
      <c r="HD6" s="68" t="e" cm="1" vm="1">
        <f t="array" ref="HD6">_xlfn._xlws.FILTER(TablaProductos[Nombre producto],TablaProductos[Agrupación]=ProductosPivot!HD5)</f>
        <v>#VALUE!</v>
      </c>
      <c r="HE6" s="68" t="e" cm="1" vm="1">
        <f t="array" ref="HE6">_xlfn._xlws.FILTER(TablaProductos[Nombre producto],TablaProductos[Agrupación]=ProductosPivot!HE5)</f>
        <v>#VALUE!</v>
      </c>
      <c r="HF6" s="68" t="e" cm="1" vm="1">
        <f t="array" ref="HF6">_xlfn._xlws.FILTER(TablaProductos[Nombre producto],TablaProductos[Agrupación]=ProductosPivot!HF5)</f>
        <v>#VALUE!</v>
      </c>
      <c r="HG6" s="68" t="e" cm="1" vm="1">
        <f t="array" ref="HG6">_xlfn._xlws.FILTER(TablaProductos[Nombre producto],TablaProductos[Agrupación]=ProductosPivot!HG5)</f>
        <v>#VALUE!</v>
      </c>
      <c r="HH6" s="68" t="e" cm="1" vm="1">
        <f t="array" ref="HH6">_xlfn._xlws.FILTER(TablaProductos[Nombre producto],TablaProductos[Agrupación]=ProductosPivot!HH5)</f>
        <v>#VALUE!</v>
      </c>
      <c r="HI6" s="68" t="e" cm="1" vm="1">
        <f t="array" ref="HI6">_xlfn._xlws.FILTER(TablaProductos[Nombre producto],TablaProductos[Agrupación]=ProductosPivot!HI5)</f>
        <v>#VALUE!</v>
      </c>
      <c r="HJ6" s="68" t="e" cm="1" vm="1">
        <f t="array" ref="HJ6">_xlfn._xlws.FILTER(TablaProductos[Nombre producto],TablaProductos[Agrupación]=ProductosPivot!HJ5)</f>
        <v>#VALUE!</v>
      </c>
      <c r="HK6" s="68" t="e" cm="1" vm="1">
        <f t="array" ref="HK6">_xlfn._xlws.FILTER(TablaProductos[Nombre producto],TablaProductos[Agrupación]=ProductosPivot!HK5)</f>
        <v>#VALUE!</v>
      </c>
      <c r="HL6" s="68" t="e" cm="1" vm="1">
        <f t="array" ref="HL6">_xlfn._xlws.FILTER(TablaProductos[Nombre producto],TablaProductos[Agrupación]=ProductosPivot!HL5)</f>
        <v>#VALUE!</v>
      </c>
      <c r="HM6" s="68" t="e" cm="1" vm="1">
        <f t="array" ref="HM6">_xlfn._xlws.FILTER(TablaProductos[Nombre producto],TablaProductos[Agrupación]=ProductosPivot!HM5)</f>
        <v>#VALUE!</v>
      </c>
      <c r="HN6" s="68" t="e" cm="1" vm="1">
        <f t="array" ref="HN6">_xlfn._xlws.FILTER(TablaProductos[Nombre producto],TablaProductos[Agrupación]=ProductosPivot!HN5)</f>
        <v>#VALUE!</v>
      </c>
      <c r="HO6" s="68" t="e" cm="1" vm="1">
        <f t="array" ref="HO6">_xlfn._xlws.FILTER(TablaProductos[Nombre producto],TablaProductos[Agrupación]=ProductosPivot!HO5)</f>
        <v>#VALUE!</v>
      </c>
      <c r="HP6" s="68" t="e" cm="1" vm="1">
        <f t="array" ref="HP6">_xlfn._xlws.FILTER(TablaProductos[Nombre producto],TablaProductos[Agrupación]=ProductosPivot!HP5)</f>
        <v>#VALUE!</v>
      </c>
      <c r="HQ6" s="68" t="e" cm="1" vm="1">
        <f t="array" ref="HQ6">_xlfn._xlws.FILTER(TablaProductos[Nombre producto],TablaProductos[Agrupación]=ProductosPivot!HQ5)</f>
        <v>#VALUE!</v>
      </c>
      <c r="HR6" s="68" t="e" cm="1" vm="1">
        <f t="array" ref="HR6">_xlfn._xlws.FILTER(TablaProductos[Nombre producto],TablaProductos[Agrupación]=ProductosPivot!HR5)</f>
        <v>#VALUE!</v>
      </c>
      <c r="HS6" s="68" t="e" cm="1" vm="1">
        <f t="array" ref="HS6">_xlfn._xlws.FILTER(TablaProductos[Nombre producto],TablaProductos[Agrupación]=ProductosPivot!HS5)</f>
        <v>#VALUE!</v>
      </c>
      <c r="HT6" s="68" t="e" cm="1" vm="1">
        <f t="array" ref="HT6">_xlfn._xlws.FILTER(TablaProductos[Nombre producto],TablaProductos[Agrupación]=ProductosPivot!HT5)</f>
        <v>#VALUE!</v>
      </c>
      <c r="HU6" s="68" t="e" cm="1" vm="1">
        <f t="array" ref="HU6">_xlfn._xlws.FILTER(TablaProductos[Nombre producto],TablaProductos[Agrupación]=ProductosPivot!HU5)</f>
        <v>#VALUE!</v>
      </c>
      <c r="HV6" s="68" t="e" cm="1" vm="1">
        <f t="array" ref="HV6">_xlfn._xlws.FILTER(TablaProductos[Nombre producto],TablaProductos[Agrupación]=ProductosPivot!HV5)</f>
        <v>#VALUE!</v>
      </c>
      <c r="HW6" s="68" t="e" cm="1" vm="1">
        <f t="array" ref="HW6">_xlfn._xlws.FILTER(TablaProductos[Nombre producto],TablaProductos[Agrupación]=ProductosPivot!HW5)</f>
        <v>#VALUE!</v>
      </c>
      <c r="HX6" s="68" t="e" cm="1" vm="1">
        <f t="array" ref="HX6">_xlfn._xlws.FILTER(TablaProductos[Nombre producto],TablaProductos[Agrupación]=ProductosPivot!HX5)</f>
        <v>#VALUE!</v>
      </c>
      <c r="HY6" s="68" t="e" cm="1" vm="1">
        <f t="array" ref="HY6">_xlfn._xlws.FILTER(TablaProductos[Nombre producto],TablaProductos[Agrupación]=ProductosPivot!HY5)</f>
        <v>#VALUE!</v>
      </c>
      <c r="HZ6" s="68" t="e" cm="1" vm="1">
        <f t="array" ref="HZ6">_xlfn._xlws.FILTER(TablaProductos[Nombre producto],TablaProductos[Agrupación]=ProductosPivot!HZ5)</f>
        <v>#VALUE!</v>
      </c>
      <c r="IA6" s="68" t="e" cm="1" vm="1">
        <f t="array" ref="IA6">_xlfn._xlws.FILTER(TablaProductos[Nombre producto],TablaProductos[Agrupación]=ProductosPivot!IA5)</f>
        <v>#VALUE!</v>
      </c>
      <c r="IB6" s="68" t="e" cm="1" vm="1">
        <f t="array" ref="IB6">_xlfn._xlws.FILTER(TablaProductos[Nombre producto],TablaProductos[Agrupación]=ProductosPivot!IB5)</f>
        <v>#VALUE!</v>
      </c>
      <c r="IC6" s="68" t="e" cm="1" vm="1">
        <f t="array" ref="IC6">_xlfn._xlws.FILTER(TablaProductos[Nombre producto],TablaProductos[Agrupación]=ProductosPivot!IC5)</f>
        <v>#VALUE!</v>
      </c>
      <c r="ID6" s="68" t="e" cm="1" vm="1">
        <f t="array" ref="ID6">_xlfn._xlws.FILTER(TablaProductos[Nombre producto],TablaProductos[Agrupación]=ProductosPivot!ID5)</f>
        <v>#VALUE!</v>
      </c>
      <c r="IE6" s="68" t="e" cm="1" vm="1">
        <f t="array" ref="IE6">_xlfn._xlws.FILTER(TablaProductos[Nombre producto],TablaProductos[Agrupación]=ProductosPivot!IE5)</f>
        <v>#VALUE!</v>
      </c>
      <c r="IF6" s="68" t="e" cm="1" vm="1">
        <f t="array" ref="IF6">_xlfn._xlws.FILTER(TablaProductos[Nombre producto],TablaProductos[Agrupación]=ProductosPivot!IF5)</f>
        <v>#VALUE!</v>
      </c>
      <c r="IG6" s="68" t="e" cm="1" vm="1">
        <f t="array" ref="IG6">_xlfn._xlws.FILTER(TablaProductos[Nombre producto],TablaProductos[Agrupación]=ProductosPivot!IG5)</f>
        <v>#VALUE!</v>
      </c>
      <c r="IH6" s="68" t="e" cm="1" vm="1">
        <f t="array" ref="IH6">_xlfn._xlws.FILTER(TablaProductos[Nombre producto],TablaProductos[Agrupación]=ProductosPivot!IH5)</f>
        <v>#VALUE!</v>
      </c>
      <c r="II6" s="68" t="e" cm="1" vm="1">
        <f t="array" ref="II6">_xlfn._xlws.FILTER(TablaProductos[Nombre producto],TablaProductos[Agrupación]=ProductosPivot!II5)</f>
        <v>#VALUE!</v>
      </c>
      <c r="IJ6" s="68" t="e" cm="1" vm="1">
        <f t="array" ref="IJ6">_xlfn._xlws.FILTER(TablaProductos[Nombre producto],TablaProductos[Agrupación]=ProductosPivot!IJ5)</f>
        <v>#VALUE!</v>
      </c>
      <c r="IK6" s="68" t="e" cm="1" vm="1">
        <f t="array" ref="IK6">_xlfn._xlws.FILTER(TablaProductos[Nombre producto],TablaProductos[Agrupación]=ProductosPivot!IK5)</f>
        <v>#VALUE!</v>
      </c>
      <c r="IL6" s="68" t="e" cm="1" vm="1">
        <f t="array" ref="IL6">_xlfn._xlws.FILTER(TablaProductos[Nombre producto],TablaProductos[Agrupación]=ProductosPivot!IL5)</f>
        <v>#VALUE!</v>
      </c>
      <c r="IM6" s="68" t="e" cm="1" vm="1">
        <f t="array" ref="IM6">_xlfn._xlws.FILTER(TablaProductos[Nombre producto],TablaProductos[Agrupación]=ProductosPivot!IM5)</f>
        <v>#VALUE!</v>
      </c>
      <c r="IN6" s="68" t="e" cm="1" vm="1">
        <f t="array" ref="IN6">_xlfn._xlws.FILTER(TablaProductos[Nombre producto],TablaProductos[Agrupación]=ProductosPivot!IN5)</f>
        <v>#VALUE!</v>
      </c>
      <c r="IO6" s="68" t="e" cm="1" vm="1">
        <f t="array" ref="IO6">_xlfn._xlws.FILTER(TablaProductos[Nombre producto],TablaProductos[Agrupación]=ProductosPivot!IO5)</f>
        <v>#VALUE!</v>
      </c>
      <c r="IP6" s="68" t="e" cm="1" vm="1">
        <f t="array" ref="IP6">_xlfn._xlws.FILTER(TablaProductos[Nombre producto],TablaProductos[Agrupación]=ProductosPivot!IP5)</f>
        <v>#VALUE!</v>
      </c>
      <c r="IQ6" s="68" t="e" cm="1" vm="1">
        <f t="array" ref="IQ6">_xlfn._xlws.FILTER(TablaProductos[Nombre producto],TablaProductos[Agrupación]=ProductosPivot!IQ5)</f>
        <v>#VALUE!</v>
      </c>
      <c r="IR6" s="68" t="e" cm="1" vm="1">
        <f t="array" ref="IR6">_xlfn._xlws.FILTER(TablaProductos[Nombre producto],TablaProductos[Agrupación]=ProductosPivot!IR5)</f>
        <v>#VALUE!</v>
      </c>
      <c r="IS6" s="68" t="e" cm="1" vm="1">
        <f t="array" ref="IS6">_xlfn._xlws.FILTER(TablaProductos[Nombre producto],TablaProductos[Agrupación]=ProductosPivot!IS5)</f>
        <v>#VALUE!</v>
      </c>
      <c r="IT6" s="68" t="e" cm="1" vm="1">
        <f t="array" ref="IT6">_xlfn._xlws.FILTER(TablaProductos[Nombre producto],TablaProductos[Agrupación]=ProductosPivot!IT5)</f>
        <v>#VALUE!</v>
      </c>
      <c r="IU6" s="68" t="e" cm="1" vm="1">
        <f t="array" ref="IU6">_xlfn._xlws.FILTER(TablaProductos[Nombre producto],TablaProductos[Agrupación]=ProductosPivot!IU5)</f>
        <v>#VALUE!</v>
      </c>
      <c r="IV6" s="68" t="e" cm="1" vm="1">
        <f t="array" ref="IV6">_xlfn._xlws.FILTER(TablaProductos[Nombre producto],TablaProductos[Agrupación]=ProductosPivot!IV5)</f>
        <v>#VALUE!</v>
      </c>
      <c r="IW6" s="68" t="e" cm="1" vm="1">
        <f t="array" ref="IW6">_xlfn._xlws.FILTER(TablaProductos[Nombre producto],TablaProductos[Agrupación]=ProductosPivot!IW5)</f>
        <v>#VALUE!</v>
      </c>
      <c r="IX6" s="68" t="e" cm="1" vm="1">
        <f t="array" ref="IX6">_xlfn._xlws.FILTER(TablaProductos[Nombre producto],TablaProductos[Agrupación]=ProductosPivot!IX5)</f>
        <v>#VALUE!</v>
      </c>
      <c r="IY6" s="68" t="e" cm="1" vm="1">
        <f t="array" ref="IY6">_xlfn._xlws.FILTER(TablaProductos[Nombre producto],TablaProductos[Agrupación]=ProductosPivot!IY5)</f>
        <v>#VALUE!</v>
      </c>
      <c r="IZ6" s="68" t="e" cm="1" vm="1">
        <f t="array" ref="IZ6">_xlfn._xlws.FILTER(TablaProductos[Nombre producto],TablaProductos[Agrupación]=ProductosPivot!IZ5)</f>
        <v>#VALUE!</v>
      </c>
      <c r="JA6" s="68" t="e" cm="1" vm="1">
        <f t="array" ref="JA6">_xlfn._xlws.FILTER(TablaProductos[Nombre producto],TablaProductos[Agrupación]=ProductosPivot!JA5)</f>
        <v>#VALUE!</v>
      </c>
      <c r="JB6" s="68" t="e" cm="1" vm="1">
        <f t="array" ref="JB6">_xlfn._xlws.FILTER(TablaProductos[Nombre producto],TablaProductos[Agrupación]=ProductosPivot!JB5)</f>
        <v>#VALUE!</v>
      </c>
      <c r="JC6" s="68" t="e" cm="1" vm="1">
        <f t="array" ref="JC6">_xlfn._xlws.FILTER(TablaProductos[Nombre producto],TablaProductos[Agrupación]=ProductosPivot!JC5)</f>
        <v>#VALUE!</v>
      </c>
      <c r="JD6" s="68" t="e" cm="1" vm="1">
        <f t="array" ref="JD6">_xlfn._xlws.FILTER(TablaProductos[Nombre producto],TablaProductos[Agrupación]=ProductosPivot!JD5)</f>
        <v>#VALUE!</v>
      </c>
      <c r="JE6" s="68" t="e" cm="1" vm="1">
        <f t="array" ref="JE6">_xlfn._xlws.FILTER(TablaProductos[Nombre producto],TablaProductos[Agrupación]=ProductosPivot!JE5)</f>
        <v>#VALUE!</v>
      </c>
      <c r="JF6" s="68" t="e" cm="1" vm="1">
        <f t="array" ref="JF6">_xlfn._xlws.FILTER(TablaProductos[Nombre producto],TablaProductos[Agrupación]=ProductosPivot!JF5)</f>
        <v>#VALUE!</v>
      </c>
      <c r="JG6" s="68" t="e" cm="1" vm="1">
        <f t="array" ref="JG6">_xlfn._xlws.FILTER(TablaProductos[Nombre producto],TablaProductos[Agrupación]=ProductosPivot!JG5)</f>
        <v>#VALUE!</v>
      </c>
      <c r="JH6" s="68" t="e" cm="1" vm="1">
        <f t="array" ref="JH6">_xlfn._xlws.FILTER(TablaProductos[Nombre producto],TablaProductos[Agrupación]=ProductosPivot!JH5)</f>
        <v>#VALUE!</v>
      </c>
      <c r="JI6" s="68" t="e" cm="1" vm="1">
        <f t="array" ref="JI6">_xlfn._xlws.FILTER(TablaProductos[Nombre producto],TablaProductos[Agrupación]=ProductosPivot!JI5)</f>
        <v>#VALUE!</v>
      </c>
      <c r="JJ6" s="68" t="e" cm="1" vm="1">
        <f t="array" ref="JJ6">_xlfn._xlws.FILTER(TablaProductos[Nombre producto],TablaProductos[Agrupación]=ProductosPivot!JJ5)</f>
        <v>#VALUE!</v>
      </c>
      <c r="JK6" s="68" t="e" cm="1" vm="1">
        <f t="array" ref="JK6">_xlfn._xlws.FILTER(TablaProductos[Nombre producto],TablaProductos[Agrupación]=ProductosPivot!JK5)</f>
        <v>#VALUE!</v>
      </c>
      <c r="JL6" s="68" t="e" cm="1" vm="1">
        <f t="array" ref="JL6">_xlfn._xlws.FILTER(TablaProductos[Nombre producto],TablaProductos[Agrupación]=ProductosPivot!JL5)</f>
        <v>#VALUE!</v>
      </c>
      <c r="JM6" s="68" t="e" cm="1" vm="1">
        <f t="array" ref="JM6">_xlfn._xlws.FILTER(TablaProductos[Nombre producto],TablaProductos[Agrupación]=ProductosPivot!JM5)</f>
        <v>#VALUE!</v>
      </c>
      <c r="JN6" s="68" t="e" cm="1" vm="1">
        <f t="array" ref="JN6">_xlfn._xlws.FILTER(TablaProductos[Nombre producto],TablaProductos[Agrupación]=ProductosPivot!JN5)</f>
        <v>#VALUE!</v>
      </c>
      <c r="JO6" s="68" t="e" cm="1" vm="1">
        <f t="array" ref="JO6">_xlfn._xlws.FILTER(TablaProductos[Nombre producto],TablaProductos[Agrupación]=ProductosPivot!JO5)</f>
        <v>#VALUE!</v>
      </c>
      <c r="JP6" s="68" t="e" cm="1" vm="1">
        <f t="array" ref="JP6">_xlfn._xlws.FILTER(TablaProductos[Nombre producto],TablaProductos[Agrupación]=ProductosPivot!JP5)</f>
        <v>#VALUE!</v>
      </c>
      <c r="JQ6" s="68" t="e" cm="1" vm="1">
        <f t="array" ref="JQ6">_xlfn._xlws.FILTER(TablaProductos[Nombre producto],TablaProductos[Agrupación]=ProductosPivot!JQ5)</f>
        <v>#VALUE!</v>
      </c>
      <c r="JR6" s="68" t="e" cm="1" vm="1">
        <f t="array" ref="JR6">_xlfn._xlws.FILTER(TablaProductos[Nombre producto],TablaProductos[Agrupación]=ProductosPivot!JR5)</f>
        <v>#VALUE!</v>
      </c>
      <c r="JS6" s="68" t="e" cm="1" vm="1">
        <f t="array" ref="JS6">_xlfn._xlws.FILTER(TablaProductos[Nombre producto],TablaProductos[Agrupación]=ProductosPivot!JS5)</f>
        <v>#VALUE!</v>
      </c>
      <c r="JT6" s="68" t="e" cm="1" vm="1">
        <f t="array" ref="JT6">_xlfn._xlws.FILTER(TablaProductos[Nombre producto],TablaProductos[Agrupación]=ProductosPivot!JT5)</f>
        <v>#VALUE!</v>
      </c>
      <c r="JU6" s="68" t="e" cm="1" vm="1">
        <f t="array" ref="JU6">_xlfn._xlws.FILTER(TablaProductos[Nombre producto],TablaProductos[Agrupación]=ProductosPivot!JU5)</f>
        <v>#VALUE!</v>
      </c>
      <c r="JV6" s="68" t="e" cm="1" vm="1">
        <f t="array" ref="JV6">_xlfn._xlws.FILTER(TablaProductos[Nombre producto],TablaProductos[Agrupación]=ProductosPivot!JV5)</f>
        <v>#VALUE!</v>
      </c>
      <c r="JW6" s="68" t="e" cm="1" vm="1">
        <f t="array" ref="JW6">_xlfn._xlws.FILTER(TablaProductos[Nombre producto],TablaProductos[Agrupación]=ProductosPivot!JW5)</f>
        <v>#VALUE!</v>
      </c>
      <c r="JX6" s="68" t="e" cm="1" vm="1">
        <f t="array" ref="JX6">_xlfn._xlws.FILTER(TablaProductos[Nombre producto],TablaProductos[Agrupación]=ProductosPivot!JX5)</f>
        <v>#VALUE!</v>
      </c>
      <c r="JY6" s="68" t="e" cm="1" vm="1">
        <f t="array" ref="JY6">_xlfn._xlws.FILTER(TablaProductos[Nombre producto],TablaProductos[Agrupación]=ProductosPivot!JY5)</f>
        <v>#VALUE!</v>
      </c>
      <c r="JZ6" s="68" t="e" cm="1" vm="1">
        <f t="array" ref="JZ6">_xlfn._xlws.FILTER(TablaProductos[Nombre producto],TablaProductos[Agrupación]=ProductosPivot!JZ5)</f>
        <v>#VALUE!</v>
      </c>
      <c r="KA6" s="68" t="e" cm="1" vm="1">
        <f t="array" ref="KA6">_xlfn._xlws.FILTER(TablaProductos[Nombre producto],TablaProductos[Agrupación]=ProductosPivot!KA5)</f>
        <v>#VALUE!</v>
      </c>
      <c r="KB6" s="68" t="e" cm="1" vm="1">
        <f t="array" ref="KB6">_xlfn._xlws.FILTER(TablaProductos[Nombre producto],TablaProductos[Agrupación]=ProductosPivot!KB5)</f>
        <v>#VALUE!</v>
      </c>
      <c r="KC6" s="68" t="e" cm="1" vm="1">
        <f t="array" ref="KC6">_xlfn._xlws.FILTER(TablaProductos[Nombre producto],TablaProductos[Agrupación]=ProductosPivot!KC5)</f>
        <v>#VALUE!</v>
      </c>
      <c r="KD6" s="68" t="e" cm="1" vm="1">
        <f t="array" ref="KD6">_xlfn._xlws.FILTER(TablaProductos[Nombre producto],TablaProductos[Agrupación]=ProductosPivot!KD5)</f>
        <v>#VALUE!</v>
      </c>
      <c r="KE6" s="68" t="e" cm="1" vm="1">
        <f t="array" ref="KE6">_xlfn._xlws.FILTER(TablaProductos[Nombre producto],TablaProductos[Agrupación]=ProductosPivot!KE5)</f>
        <v>#VALUE!</v>
      </c>
      <c r="KF6" s="68" t="e" cm="1" vm="1">
        <f t="array" ref="KF6">_xlfn._xlws.FILTER(TablaProductos[Nombre producto],TablaProductos[Agrupación]=ProductosPivot!KF5)</f>
        <v>#VALUE!</v>
      </c>
      <c r="KG6" s="68" t="e" cm="1" vm="1">
        <f t="array" ref="KG6">_xlfn._xlws.FILTER(TablaProductos[Nombre producto],TablaProductos[Agrupación]=ProductosPivot!KG5)</f>
        <v>#VALUE!</v>
      </c>
      <c r="KH6" s="68" t="e" cm="1" vm="1">
        <f t="array" ref="KH6">_xlfn._xlws.FILTER(TablaProductos[Nombre producto],TablaProductos[Agrupación]=ProductosPivot!KH5)</f>
        <v>#VALUE!</v>
      </c>
      <c r="KI6" s="68" t="e" cm="1" vm="1">
        <f t="array" ref="KI6">_xlfn._xlws.FILTER(TablaProductos[Nombre producto],TablaProductos[Agrupación]=ProductosPivot!KI5)</f>
        <v>#VALUE!</v>
      </c>
      <c r="KJ6" s="68" t="e" cm="1" vm="1">
        <f t="array" ref="KJ6">_xlfn._xlws.FILTER(TablaProductos[Nombre producto],TablaProductos[Agrupación]=ProductosPivot!KJ5)</f>
        <v>#VALUE!</v>
      </c>
      <c r="KK6" s="68" t="e" cm="1" vm="1">
        <f t="array" ref="KK6">_xlfn._xlws.FILTER(TablaProductos[Nombre producto],TablaProductos[Agrupación]=ProductosPivot!KK5)</f>
        <v>#VALUE!</v>
      </c>
      <c r="KL6" s="68" t="e" cm="1" vm="1">
        <f t="array" ref="KL6">_xlfn._xlws.FILTER(TablaProductos[Nombre producto],TablaProductos[Agrupación]=ProductosPivot!KL5)</f>
        <v>#VALUE!</v>
      </c>
      <c r="KM6" s="68" t="e" cm="1" vm="1">
        <f t="array" ref="KM6">_xlfn._xlws.FILTER(TablaProductos[Nombre producto],TablaProductos[Agrupación]=ProductosPivot!KM5)</f>
        <v>#VALUE!</v>
      </c>
      <c r="KN6" s="68" t="e" cm="1" vm="1">
        <f t="array" ref="KN6">_xlfn._xlws.FILTER(TablaProductos[Nombre producto],TablaProductos[Agrupación]=ProductosPivot!KN5)</f>
        <v>#VALUE!</v>
      </c>
      <c r="KO6" s="68" t="e" cm="1" vm="1">
        <f t="array" ref="KO6">_xlfn._xlws.FILTER(TablaProductos[Nombre producto],TablaProductos[Agrupación]=ProductosPivot!KO5)</f>
        <v>#VALUE!</v>
      </c>
      <c r="KP6" s="68" t="e" cm="1" vm="1">
        <f t="array" ref="KP6">_xlfn._xlws.FILTER(TablaProductos[Nombre producto],TablaProductos[Agrupación]=ProductosPivot!KP5)</f>
        <v>#VALUE!</v>
      </c>
      <c r="KQ6" s="68" t="e" cm="1" vm="1">
        <f t="array" ref="KQ6">_xlfn._xlws.FILTER(TablaProductos[Nombre producto],TablaProductos[Agrupación]=ProductosPivot!KQ5)</f>
        <v>#VALUE!</v>
      </c>
      <c r="KR6" s="68" t="e" cm="1" vm="1">
        <f t="array" ref="KR6">_xlfn._xlws.FILTER(TablaProductos[Nombre producto],TablaProductos[Agrupación]=ProductosPivot!KR5)</f>
        <v>#VALUE!</v>
      </c>
      <c r="KS6" s="68" t="e" cm="1" vm="1">
        <f t="array" ref="KS6">_xlfn._xlws.FILTER(TablaProductos[Nombre producto],TablaProductos[Agrupación]=ProductosPivot!KS5)</f>
        <v>#VALUE!</v>
      </c>
      <c r="KT6" s="68" t="e" cm="1" vm="1">
        <f t="array" ref="KT6">_xlfn._xlws.FILTER(TablaProductos[Nombre producto],TablaProductos[Agrupación]=ProductosPivot!KT5)</f>
        <v>#VALUE!</v>
      </c>
      <c r="KU6" s="68" t="e" cm="1" vm="1">
        <f t="array" ref="KU6">_xlfn._xlws.FILTER(TablaProductos[Nombre producto],TablaProductos[Agrupación]=ProductosPivot!KU5)</f>
        <v>#VALUE!</v>
      </c>
      <c r="KV6" s="68" t="e" cm="1" vm="1">
        <f t="array" ref="KV6">_xlfn._xlws.FILTER(TablaProductos[Nombre producto],TablaProductos[Agrupación]=ProductosPivot!KV5)</f>
        <v>#VALUE!</v>
      </c>
      <c r="KW6" s="68" t="e" cm="1" vm="1">
        <f t="array" ref="KW6">_xlfn._xlws.FILTER(TablaProductos[Nombre producto],TablaProductos[Agrupación]=ProductosPivot!KW5)</f>
        <v>#VALUE!</v>
      </c>
      <c r="KX6" s="68" t="e" cm="1" vm="1">
        <f t="array" ref="KX6">_xlfn._xlws.FILTER(TablaProductos[Nombre producto],TablaProductos[Agrupación]=ProductosPivot!KX5)</f>
        <v>#VALUE!</v>
      </c>
      <c r="KY6" s="68" t="e" cm="1" vm="1">
        <f t="array" ref="KY6">_xlfn._xlws.FILTER(TablaProductos[Nombre producto],TablaProductos[Agrupación]=ProductosPivot!KY5)</f>
        <v>#VALUE!</v>
      </c>
      <c r="KZ6" s="68" t="e" cm="1" vm="1">
        <f t="array" ref="KZ6">_xlfn._xlws.FILTER(TablaProductos[Nombre producto],TablaProductos[Agrupación]=ProductosPivot!KZ5)</f>
        <v>#VALUE!</v>
      </c>
      <c r="LA6" s="68" t="e" cm="1" vm="1">
        <f t="array" ref="LA6">_xlfn._xlws.FILTER(TablaProductos[Nombre producto],TablaProductos[Agrupación]=ProductosPivot!LA5)</f>
        <v>#VALUE!</v>
      </c>
      <c r="LB6" s="68" t="e" cm="1" vm="1">
        <f t="array" ref="LB6">_xlfn._xlws.FILTER(TablaProductos[Nombre producto],TablaProductos[Agrupación]=ProductosPivot!LB5)</f>
        <v>#VALUE!</v>
      </c>
      <c r="LC6" s="68" t="e" cm="1" vm="1">
        <f t="array" ref="LC6">_xlfn._xlws.FILTER(TablaProductos[Nombre producto],TablaProductos[Agrupación]=ProductosPivot!LC5)</f>
        <v>#VALUE!</v>
      </c>
      <c r="LD6" s="68" t="e" cm="1" vm="1">
        <f t="array" ref="LD6">_xlfn._xlws.FILTER(TablaProductos[Nombre producto],TablaProductos[Agrupación]=ProductosPivot!LD5)</f>
        <v>#VALUE!</v>
      </c>
      <c r="LE6" s="68" t="e" cm="1" vm="1">
        <f t="array" ref="LE6">_xlfn._xlws.FILTER(TablaProductos[Nombre producto],TablaProductos[Agrupación]=ProductosPivot!LE5)</f>
        <v>#VALUE!</v>
      </c>
      <c r="LF6" s="68" t="e" cm="1" vm="1">
        <f t="array" ref="LF6">_xlfn._xlws.FILTER(TablaProductos[Nombre producto],TablaProductos[Agrupación]=ProductosPivot!LF5)</f>
        <v>#VALUE!</v>
      </c>
      <c r="LG6" s="68" t="e" cm="1" vm="1">
        <f t="array" ref="LG6">_xlfn._xlws.FILTER(TablaProductos[Nombre producto],TablaProductos[Agrupación]=ProductosPivot!LG5)</f>
        <v>#VALUE!</v>
      </c>
      <c r="LH6" s="68" t="e" cm="1" vm="1">
        <f t="array" ref="LH6">_xlfn._xlws.FILTER(TablaProductos[Nombre producto],TablaProductos[Agrupación]=ProductosPivot!LH5)</f>
        <v>#VALUE!</v>
      </c>
      <c r="LI6" s="68" t="e" cm="1" vm="1">
        <f t="array" ref="LI6">_xlfn._xlws.FILTER(TablaProductos[Nombre producto],TablaProductos[Agrupación]=ProductosPivot!LI5)</f>
        <v>#VALUE!</v>
      </c>
      <c r="LJ6" s="68" t="e" cm="1" vm="1">
        <f t="array" ref="LJ6">_xlfn._xlws.FILTER(TablaProductos[Nombre producto],TablaProductos[Agrupación]=ProductosPivot!LJ5)</f>
        <v>#VALUE!</v>
      </c>
      <c r="LK6" s="68" t="e" cm="1" vm="1">
        <f t="array" ref="LK6">_xlfn._xlws.FILTER(TablaProductos[Nombre producto],TablaProductos[Agrupación]=ProductosPivot!LK5)</f>
        <v>#VALUE!</v>
      </c>
      <c r="LL6" s="68" t="e" cm="1" vm="1">
        <f t="array" ref="LL6">_xlfn._xlws.FILTER(TablaProductos[Nombre producto],TablaProductos[Agrupación]=ProductosPivot!LL5)</f>
        <v>#VALUE!</v>
      </c>
      <c r="LM6" s="68" t="e" cm="1" vm="1">
        <f t="array" ref="LM6">_xlfn._xlws.FILTER(TablaProductos[Nombre producto],TablaProductos[Agrupación]=ProductosPivot!LM5)</f>
        <v>#VALUE!</v>
      </c>
      <c r="LN6" s="68" t="e" cm="1" vm="1">
        <f t="array" ref="LN6">_xlfn._xlws.FILTER(TablaProductos[Nombre producto],TablaProductos[Agrupación]=ProductosPivot!LN5)</f>
        <v>#VALUE!</v>
      </c>
      <c r="LO6" s="68" t="e" cm="1" vm="1">
        <f t="array" ref="LO6">_xlfn._xlws.FILTER(TablaProductos[Nombre producto],TablaProductos[Agrupación]=ProductosPivot!LO5)</f>
        <v>#VALUE!</v>
      </c>
      <c r="LP6" s="68" t="e" cm="1" vm="1">
        <f t="array" ref="LP6">_xlfn._xlws.FILTER(TablaProductos[Nombre producto],TablaProductos[Agrupación]=ProductosPivot!LP5)</f>
        <v>#VALUE!</v>
      </c>
      <c r="LQ6" s="68" t="e" cm="1" vm="1">
        <f t="array" ref="LQ6">_xlfn._xlws.FILTER(TablaProductos[Nombre producto],TablaProductos[Agrupación]=ProductosPivot!LQ5)</f>
        <v>#VALUE!</v>
      </c>
      <c r="LR6" s="68" t="e" cm="1" vm="1">
        <f t="array" ref="LR6">_xlfn._xlws.FILTER(TablaProductos[Nombre producto],TablaProductos[Agrupación]=ProductosPivot!LR5)</f>
        <v>#VALUE!</v>
      </c>
      <c r="LS6" s="68" t="e" cm="1" vm="1">
        <f t="array" ref="LS6">_xlfn._xlws.FILTER(TablaProductos[Nombre producto],TablaProductos[Agrupación]=ProductosPivot!LS5)</f>
        <v>#VALUE!</v>
      </c>
      <c r="LT6" s="68" t="e" cm="1" vm="1">
        <f t="array" ref="LT6">_xlfn._xlws.FILTER(TablaProductos[Nombre producto],TablaProductos[Agrupación]=ProductosPivot!LT5)</f>
        <v>#VALUE!</v>
      </c>
      <c r="LU6" s="68" t="e" cm="1" vm="1">
        <f t="array" ref="LU6">_xlfn._xlws.FILTER(TablaProductos[Nombre producto],TablaProductos[Agrupación]=ProductosPivot!LU5)</f>
        <v>#VALUE!</v>
      </c>
      <c r="LV6" s="68" t="e" cm="1" vm="1">
        <f t="array" ref="LV6">_xlfn._xlws.FILTER(TablaProductos[Nombre producto],TablaProductos[Agrupación]=ProductosPivot!LV5)</f>
        <v>#VALUE!</v>
      </c>
      <c r="LW6" s="68" t="e" cm="1" vm="1">
        <f t="array" ref="LW6">_xlfn._xlws.FILTER(TablaProductos[Nombre producto],TablaProductos[Agrupación]=ProductosPivot!LW5)</f>
        <v>#VALUE!</v>
      </c>
      <c r="LX6" s="68" t="e" cm="1" vm="1">
        <f t="array" ref="LX6">_xlfn._xlws.FILTER(TablaProductos[Nombre producto],TablaProductos[Agrupación]=ProductosPivot!LX5)</f>
        <v>#VALUE!</v>
      </c>
      <c r="LY6" s="68" t="e" cm="1" vm="1">
        <f t="array" ref="LY6">_xlfn._xlws.FILTER(TablaProductos[Nombre producto],TablaProductos[Agrupación]=ProductosPivot!LY5)</f>
        <v>#VALUE!</v>
      </c>
      <c r="LZ6" s="68" t="e" cm="1" vm="1">
        <f t="array" ref="LZ6">_xlfn._xlws.FILTER(TablaProductos[Nombre producto],TablaProductos[Agrupación]=ProductosPivot!LZ5)</f>
        <v>#VALUE!</v>
      </c>
      <c r="MA6" s="68" t="e" cm="1" vm="1">
        <f t="array" ref="MA6">_xlfn._xlws.FILTER(TablaProductos[Nombre producto],TablaProductos[Agrupación]=ProductosPivot!MA5)</f>
        <v>#VALUE!</v>
      </c>
      <c r="MB6" s="68" t="e" cm="1" vm="1">
        <f t="array" ref="MB6">_xlfn._xlws.FILTER(TablaProductos[Nombre producto],TablaProductos[Agrupación]=ProductosPivot!MB5)</f>
        <v>#VALUE!</v>
      </c>
      <c r="MC6" s="68" t="e" cm="1" vm="1">
        <f t="array" ref="MC6">_xlfn._xlws.FILTER(TablaProductos[Nombre producto],TablaProductos[Agrupación]=ProductosPivot!MC5)</f>
        <v>#VALUE!</v>
      </c>
      <c r="MD6" s="68" t="e" cm="1" vm="1">
        <f t="array" ref="MD6">_xlfn._xlws.FILTER(TablaProductos[Nombre producto],TablaProductos[Agrupación]=ProductosPivot!MD5)</f>
        <v>#VALUE!</v>
      </c>
      <c r="ME6" s="68" t="e" cm="1" vm="1">
        <f t="array" ref="ME6">_xlfn._xlws.FILTER(TablaProductos[Nombre producto],TablaProductos[Agrupación]=ProductosPivot!ME5)</f>
        <v>#VALUE!</v>
      </c>
      <c r="MF6" s="68" t="e" cm="1" vm="1">
        <f t="array" ref="MF6">_xlfn._xlws.FILTER(TablaProductos[Nombre producto],TablaProductos[Agrupación]=ProductosPivot!MF5)</f>
        <v>#VALUE!</v>
      </c>
      <c r="MG6" s="68" t="e" cm="1" vm="1">
        <f t="array" ref="MG6">_xlfn._xlws.FILTER(TablaProductos[Nombre producto],TablaProductos[Agrupación]=ProductosPivot!MG5)</f>
        <v>#VALUE!</v>
      </c>
      <c r="MH6" s="68" t="e" cm="1" vm="1">
        <f t="array" ref="MH6">_xlfn._xlws.FILTER(TablaProductos[Nombre producto],TablaProductos[Agrupación]=ProductosPivot!MH5)</f>
        <v>#VALUE!</v>
      </c>
      <c r="MI6" s="68" t="e" cm="1" vm="1">
        <f t="array" ref="MI6">_xlfn._xlws.FILTER(TablaProductos[Nombre producto],TablaProductos[Agrupación]=ProductosPivot!MI5)</f>
        <v>#VALUE!</v>
      </c>
      <c r="MJ6" s="68" t="e" cm="1" vm="1">
        <f t="array" ref="MJ6">_xlfn._xlws.FILTER(TablaProductos[Nombre producto],TablaProductos[Agrupación]=ProductosPivot!MJ5)</f>
        <v>#VALUE!</v>
      </c>
      <c r="MK6" s="68" t="e" cm="1" vm="1">
        <f t="array" ref="MK6">_xlfn._xlws.FILTER(TablaProductos[Nombre producto],TablaProductos[Agrupación]=ProductosPivot!MK5)</f>
        <v>#VALUE!</v>
      </c>
      <c r="ML6" s="68" t="e" cm="1" vm="1">
        <f t="array" ref="ML6">_xlfn._xlws.FILTER(TablaProductos[Nombre producto],TablaProductos[Agrupación]=ProductosPivot!ML5)</f>
        <v>#VALUE!</v>
      </c>
      <c r="MM6" s="68" t="e" cm="1" vm="1">
        <f t="array" ref="MM6">_xlfn._xlws.FILTER(TablaProductos[Nombre producto],TablaProductos[Agrupación]=ProductosPivot!MM5)</f>
        <v>#VALUE!</v>
      </c>
      <c r="MN6" s="68" t="e" cm="1" vm="1">
        <f t="array" ref="MN6">_xlfn._xlws.FILTER(TablaProductos[Nombre producto],TablaProductos[Agrupación]=ProductosPivot!MN5)</f>
        <v>#VALUE!</v>
      </c>
      <c r="MO6" s="68" t="e" cm="1" vm="1">
        <f t="array" ref="MO6">_xlfn._xlws.FILTER(TablaProductos[Nombre producto],TablaProductos[Agrupación]=ProductosPivot!MO5)</f>
        <v>#VALUE!</v>
      </c>
      <c r="MP6" s="68" t="e" cm="1" vm="1">
        <f t="array" ref="MP6">_xlfn._xlws.FILTER(TablaProductos[Nombre producto],TablaProductos[Agrupación]=ProductosPivot!MP5)</f>
        <v>#VALUE!</v>
      </c>
      <c r="MQ6" s="68" t="e" cm="1" vm="1">
        <f t="array" ref="MQ6">_xlfn._xlws.FILTER(TablaProductos[Nombre producto],TablaProductos[Agrupación]=ProductosPivot!MQ5)</f>
        <v>#VALUE!</v>
      </c>
      <c r="MR6" s="68" t="e" cm="1" vm="1">
        <f t="array" ref="MR6">_xlfn._xlws.FILTER(TablaProductos[Nombre producto],TablaProductos[Agrupación]=ProductosPivot!MR5)</f>
        <v>#VALUE!</v>
      </c>
      <c r="MS6" s="68" t="e" cm="1" vm="1">
        <f t="array" ref="MS6">_xlfn._xlws.FILTER(TablaProductos[Nombre producto],TablaProductos[Agrupación]=ProductosPivot!MS5)</f>
        <v>#VALUE!</v>
      </c>
      <c r="MT6" s="68" t="e" cm="1" vm="1">
        <f t="array" ref="MT6">_xlfn._xlws.FILTER(TablaProductos[Nombre producto],TablaProductos[Agrupación]=ProductosPivot!MT5)</f>
        <v>#VALUE!</v>
      </c>
      <c r="MU6" s="68" t="e" cm="1" vm="1">
        <f t="array" ref="MU6">_xlfn._xlws.FILTER(TablaProductos[Nombre producto],TablaProductos[Agrupación]=ProductosPivot!MU5)</f>
        <v>#VALUE!</v>
      </c>
      <c r="MV6" s="68" t="e" cm="1" vm="1">
        <f t="array" ref="MV6">_xlfn._xlws.FILTER(TablaProductos[Nombre producto],TablaProductos[Agrupación]=ProductosPivot!MV5)</f>
        <v>#VALUE!</v>
      </c>
      <c r="MW6" s="68" t="e" cm="1" vm="1">
        <f t="array" ref="MW6">_xlfn._xlws.FILTER(TablaProductos[Nombre producto],TablaProductos[Agrupación]=ProductosPivot!MW5)</f>
        <v>#VALUE!</v>
      </c>
      <c r="MX6" s="68" t="e" cm="1" vm="1">
        <f t="array" ref="MX6">_xlfn._xlws.FILTER(TablaProductos[Nombre producto],TablaProductos[Agrupación]=ProductosPivot!MX5)</f>
        <v>#VALUE!</v>
      </c>
      <c r="MY6" s="68" t="e" cm="1" vm="1">
        <f t="array" ref="MY6">_xlfn._xlws.FILTER(TablaProductos[Nombre producto],TablaProductos[Agrupación]=ProductosPivot!MY5)</f>
        <v>#VALUE!</v>
      </c>
      <c r="MZ6" s="68" t="e" cm="1" vm="1">
        <f t="array" ref="MZ6">_xlfn._xlws.FILTER(TablaProductos[Nombre producto],TablaProductos[Agrupación]=ProductosPivot!MZ5)</f>
        <v>#VALUE!</v>
      </c>
      <c r="NA6" s="68" t="e" cm="1" vm="1">
        <f t="array" ref="NA6">_xlfn._xlws.FILTER(TablaProductos[Nombre producto],TablaProductos[Agrupación]=ProductosPivot!NA5)</f>
        <v>#VALUE!</v>
      </c>
      <c r="NB6" s="68" t="e" cm="1" vm="1">
        <f t="array" ref="NB6">_xlfn._xlws.FILTER(TablaProductos[Nombre producto],TablaProductos[Agrupación]=ProductosPivot!NB5)</f>
        <v>#VALUE!</v>
      </c>
      <c r="NC6" s="68" t="e" cm="1" vm="1">
        <f t="array" ref="NC6">_xlfn._xlws.FILTER(TablaProductos[Nombre producto],TablaProductos[Agrupación]=ProductosPivot!NC5)</f>
        <v>#VALUE!</v>
      </c>
      <c r="ND6" s="68" t="e" cm="1" vm="1">
        <f t="array" ref="ND6">_xlfn._xlws.FILTER(TablaProductos[Nombre producto],TablaProductos[Agrupación]=ProductosPivot!ND5)</f>
        <v>#VALUE!</v>
      </c>
      <c r="NE6" s="68" t="e" cm="1" vm="1">
        <f t="array" ref="NE6">_xlfn._xlws.FILTER(TablaProductos[Nombre producto],TablaProductos[Agrupación]=ProductosPivot!NE5)</f>
        <v>#VALUE!</v>
      </c>
      <c r="NF6" s="68" t="e" cm="1" vm="1">
        <f t="array" ref="NF6">_xlfn._xlws.FILTER(TablaProductos[Nombre producto],TablaProductos[Agrupación]=ProductosPivot!NF5)</f>
        <v>#VALUE!</v>
      </c>
      <c r="NG6" s="68" t="e" cm="1" vm="1">
        <f t="array" ref="NG6">_xlfn._xlws.FILTER(TablaProductos[Nombre producto],TablaProductos[Agrupación]=ProductosPivot!NG5)</f>
        <v>#VALUE!</v>
      </c>
      <c r="NH6" s="68" t="e" cm="1" vm="1">
        <f t="array" ref="NH6">_xlfn._xlws.FILTER(TablaProductos[Nombre producto],TablaProductos[Agrupación]=ProductosPivot!NH5)</f>
        <v>#VALUE!</v>
      </c>
      <c r="NI6" s="68" t="e" cm="1" vm="1">
        <f t="array" ref="NI6">_xlfn._xlws.FILTER(TablaProductos[Nombre producto],TablaProductos[Agrupación]=ProductosPivot!NI5)</f>
        <v>#VALUE!</v>
      </c>
      <c r="NJ6" s="68" t="e" cm="1" vm="1">
        <f t="array" ref="NJ6">_xlfn._xlws.FILTER(TablaProductos[Nombre producto],TablaProductos[Agrupación]=ProductosPivot!NJ5)</f>
        <v>#VALUE!</v>
      </c>
      <c r="NK6" s="68" t="e" cm="1" vm="1">
        <f t="array" ref="NK6">_xlfn._xlws.FILTER(TablaProductos[Nombre producto],TablaProductos[Agrupación]=ProductosPivot!NK5)</f>
        <v>#VALUE!</v>
      </c>
      <c r="NL6" s="68" t="e" cm="1" vm="1">
        <f t="array" ref="NL6">_xlfn._xlws.FILTER(TablaProductos[Nombre producto],TablaProductos[Agrupación]=ProductosPivot!NL5)</f>
        <v>#VALUE!</v>
      </c>
      <c r="NM6" s="68" t="e" cm="1" vm="1">
        <f t="array" ref="NM6">_xlfn._xlws.FILTER(TablaProductos[Nombre producto],TablaProductos[Agrupación]=ProductosPivot!NM5)</f>
        <v>#VALUE!</v>
      </c>
      <c r="NN6" s="68" t="e" cm="1" vm="1">
        <f t="array" ref="NN6">_xlfn._xlws.FILTER(TablaProductos[Nombre producto],TablaProductos[Agrupación]=ProductosPivot!NN5)</f>
        <v>#VALUE!</v>
      </c>
      <c r="NO6" s="68" t="e" cm="1" vm="1">
        <f t="array" ref="NO6">_xlfn._xlws.FILTER(TablaProductos[Nombre producto],TablaProductos[Agrupación]=ProductosPivot!NO5)</f>
        <v>#VALUE!</v>
      </c>
      <c r="NP6" s="68" t="e" cm="1" vm="1">
        <f t="array" ref="NP6">_xlfn._xlws.FILTER(TablaProductos[Nombre producto],TablaProductos[Agrupación]=ProductosPivot!NP5)</f>
        <v>#VALUE!</v>
      </c>
      <c r="NQ6" s="68" t="e" cm="1" vm="1">
        <f t="array" ref="NQ6">_xlfn._xlws.FILTER(TablaProductos[Nombre producto],TablaProductos[Agrupación]=ProductosPivot!NQ5)</f>
        <v>#VALUE!</v>
      </c>
      <c r="NR6" s="68" t="e" cm="1" vm="1">
        <f t="array" ref="NR6">_xlfn._xlws.FILTER(TablaProductos[Nombre producto],TablaProductos[Agrupación]=ProductosPivot!NR5)</f>
        <v>#VALUE!</v>
      </c>
      <c r="NS6" s="68" t="e" cm="1" vm="1">
        <f t="array" ref="NS6">_xlfn._xlws.FILTER(TablaProductos[Nombre producto],TablaProductos[Agrupación]=ProductosPivot!NS5)</f>
        <v>#VALUE!</v>
      </c>
      <c r="NT6" s="68" t="e" cm="1" vm="1">
        <f t="array" ref="NT6">_xlfn._xlws.FILTER(TablaProductos[Nombre producto],TablaProductos[Agrupación]=ProductosPivot!NT5)</f>
        <v>#VALUE!</v>
      </c>
      <c r="NU6" s="68" t="e" cm="1" vm="1">
        <f t="array" ref="NU6">_xlfn._xlws.FILTER(TablaProductos[Nombre producto],TablaProductos[Agrupación]=ProductosPivot!NU5)</f>
        <v>#VALUE!</v>
      </c>
      <c r="NV6" s="68" t="e" cm="1" vm="1">
        <f t="array" ref="NV6">_xlfn._xlws.FILTER(TablaProductos[Nombre producto],TablaProductos[Agrupación]=ProductosPivot!NV5)</f>
        <v>#VALUE!</v>
      </c>
      <c r="NW6" s="68" t="e" cm="1" vm="1">
        <f t="array" ref="NW6">_xlfn._xlws.FILTER(TablaProductos[Nombre producto],TablaProductos[Agrupación]=ProductosPivot!NW5)</f>
        <v>#VALUE!</v>
      </c>
      <c r="NX6" s="68" t="e" cm="1" vm="1">
        <f t="array" ref="NX6">_xlfn._xlws.FILTER(TablaProductos[Nombre producto],TablaProductos[Agrupación]=ProductosPivot!NX5)</f>
        <v>#VALUE!</v>
      </c>
      <c r="NY6" s="68" t="e" cm="1" vm="1">
        <f t="array" ref="NY6">_xlfn._xlws.FILTER(TablaProductos[Nombre producto],TablaProductos[Agrupación]=ProductosPivot!NY5)</f>
        <v>#VALUE!</v>
      </c>
      <c r="NZ6" s="68" t="e" cm="1" vm="1">
        <f t="array" ref="NZ6">_xlfn._xlws.FILTER(TablaProductos[Nombre producto],TablaProductos[Agrupación]=ProductosPivot!NZ5)</f>
        <v>#VALUE!</v>
      </c>
      <c r="OA6" s="68" t="e" cm="1" vm="1">
        <f t="array" ref="OA6">_xlfn._xlws.FILTER(TablaProductos[Nombre producto],TablaProductos[Agrupación]=ProductosPivot!OA5)</f>
        <v>#VALUE!</v>
      </c>
      <c r="OB6" s="68" t="e" cm="1" vm="1">
        <f t="array" ref="OB6">_xlfn._xlws.FILTER(TablaProductos[Nombre producto],TablaProductos[Agrupación]=ProductosPivot!OB5)</f>
        <v>#VALUE!</v>
      </c>
      <c r="OC6" s="68" t="e" cm="1" vm="1">
        <f t="array" ref="OC6">_xlfn._xlws.FILTER(TablaProductos[Nombre producto],TablaProductos[Agrupación]=ProductosPivot!OC5)</f>
        <v>#VALUE!</v>
      </c>
      <c r="OD6" s="68" t="e" cm="1" vm="1">
        <f t="array" ref="OD6">_xlfn._xlws.FILTER(TablaProductos[Nombre producto],TablaProductos[Agrupación]=ProductosPivot!OD5)</f>
        <v>#VALUE!</v>
      </c>
      <c r="OE6" s="68" t="e" cm="1" vm="1">
        <f t="array" ref="OE6">_xlfn._xlws.FILTER(TablaProductos[Nombre producto],TablaProductos[Agrupación]=ProductosPivot!OE5)</f>
        <v>#VALUE!</v>
      </c>
      <c r="OF6" s="68" t="e" cm="1" vm="1">
        <f t="array" ref="OF6">_xlfn._xlws.FILTER(TablaProductos[Nombre producto],TablaProductos[Agrupación]=ProductosPivot!OF5)</f>
        <v>#VALUE!</v>
      </c>
      <c r="OG6" s="68" t="e" cm="1" vm="1">
        <f t="array" ref="OG6">_xlfn._xlws.FILTER(TablaProductos[Nombre producto],TablaProductos[Agrupación]=ProductosPivot!OG5)</f>
        <v>#VALUE!</v>
      </c>
      <c r="OH6" s="68" t="e" cm="1" vm="1">
        <f t="array" ref="OH6">_xlfn._xlws.FILTER(TablaProductos[Nombre producto],TablaProductos[Agrupación]=ProductosPivot!OH5)</f>
        <v>#VALUE!</v>
      </c>
      <c r="OI6" s="68" t="e" cm="1" vm="1">
        <f t="array" ref="OI6">_xlfn._xlws.FILTER(TablaProductos[Nombre producto],TablaProductos[Agrupación]=ProductosPivot!OI5)</f>
        <v>#VALUE!</v>
      </c>
      <c r="OJ6" s="68" t="e" cm="1" vm="1">
        <f t="array" ref="OJ6">_xlfn._xlws.FILTER(TablaProductos[Nombre producto],TablaProductos[Agrupación]=ProductosPivot!OJ5)</f>
        <v>#VALUE!</v>
      </c>
      <c r="OK6" s="68" t="e" cm="1" vm="1">
        <f t="array" ref="OK6">_xlfn._xlws.FILTER(TablaProductos[Nombre producto],TablaProductos[Agrupación]=ProductosPivot!OK5)</f>
        <v>#VALUE!</v>
      </c>
      <c r="OL6" s="68" t="e" cm="1" vm="1">
        <f t="array" ref="OL6">_xlfn._xlws.FILTER(TablaProductos[Nombre producto],TablaProductos[Agrupación]=ProductosPivot!OL5)</f>
        <v>#VALUE!</v>
      </c>
      <c r="OM6" s="68" t="e" cm="1" vm="1">
        <f t="array" ref="OM6">_xlfn._xlws.FILTER(TablaProductos[Nombre producto],TablaProductos[Agrupación]=ProductosPivot!OM5)</f>
        <v>#VALUE!</v>
      </c>
      <c r="ON6" s="68" t="e" cm="1" vm="1">
        <f t="array" ref="ON6">_xlfn._xlws.FILTER(TablaProductos[Nombre producto],TablaProductos[Agrupación]=ProductosPivot!ON5)</f>
        <v>#VALUE!</v>
      </c>
      <c r="OO6" s="68" t="e" cm="1" vm="1">
        <f t="array" ref="OO6">_xlfn._xlws.FILTER(TablaProductos[Nombre producto],TablaProductos[Agrupación]=ProductosPivot!OO5)</f>
        <v>#VALUE!</v>
      </c>
      <c r="OP6" s="68" t="e" cm="1" vm="1">
        <f t="array" ref="OP6">_xlfn._xlws.FILTER(TablaProductos[Nombre producto],TablaProductos[Agrupación]=ProductosPivot!OP5)</f>
        <v>#VALUE!</v>
      </c>
      <c r="OQ6" s="68" t="e" cm="1" vm="1">
        <f t="array" ref="OQ6">_xlfn._xlws.FILTER(TablaProductos[Nombre producto],TablaProductos[Agrupación]=ProductosPivot!OQ5)</f>
        <v>#VALUE!</v>
      </c>
      <c r="OR6" s="68" t="e" cm="1" vm="1">
        <f t="array" ref="OR6">_xlfn._xlws.FILTER(TablaProductos[Nombre producto],TablaProductos[Agrupación]=ProductosPivot!OR5)</f>
        <v>#VALUE!</v>
      </c>
      <c r="OS6" s="68" t="e" cm="1" vm="1">
        <f t="array" ref="OS6">_xlfn._xlws.FILTER(TablaProductos[Nombre producto],TablaProductos[Agrupación]=ProductosPivot!OS5)</f>
        <v>#VALUE!</v>
      </c>
      <c r="OT6" s="68" t="e" cm="1" vm="1">
        <f t="array" ref="OT6">_xlfn._xlws.FILTER(TablaProductos[Nombre producto],TablaProductos[Agrupación]=ProductosPivot!OT5)</f>
        <v>#VALUE!</v>
      </c>
      <c r="OU6" s="68" t="e" cm="1" vm="1">
        <f t="array" ref="OU6">_xlfn._xlws.FILTER(TablaProductos[Nombre producto],TablaProductos[Agrupación]=ProductosPivot!OU5)</f>
        <v>#VALUE!</v>
      </c>
      <c r="OV6" s="68" t="e" cm="1" vm="1">
        <f t="array" ref="OV6">_xlfn._xlws.FILTER(TablaProductos[Nombre producto],TablaProductos[Agrupación]=ProductosPivot!OV5)</f>
        <v>#VALUE!</v>
      </c>
      <c r="OW6" s="68" t="e" cm="1" vm="1">
        <f t="array" ref="OW6">_xlfn._xlws.FILTER(TablaProductos[Nombre producto],TablaProductos[Agrupación]=ProductosPivot!OW5)</f>
        <v>#VALUE!</v>
      </c>
      <c r="OX6" s="68" t="e" cm="1" vm="1">
        <f t="array" ref="OX6">_xlfn._xlws.FILTER(TablaProductos[Nombre producto],TablaProductos[Agrupación]=ProductosPivot!OX5)</f>
        <v>#VALUE!</v>
      </c>
      <c r="OY6" s="68" t="e" cm="1" vm="1">
        <f t="array" ref="OY6">_xlfn._xlws.FILTER(TablaProductos[Nombre producto],TablaProductos[Agrupación]=ProductosPivot!OY5)</f>
        <v>#VALUE!</v>
      </c>
      <c r="OZ6" s="68" t="e" cm="1" vm="1">
        <f t="array" ref="OZ6">_xlfn._xlws.FILTER(TablaProductos[Nombre producto],TablaProductos[Agrupación]=ProductosPivot!OZ5)</f>
        <v>#VALUE!</v>
      </c>
      <c r="PA6" s="68" t="e" cm="1" vm="1">
        <f t="array" ref="PA6">_xlfn._xlws.FILTER(TablaProductos[Nombre producto],TablaProductos[Agrupación]=ProductosPivot!PA5)</f>
        <v>#VALUE!</v>
      </c>
      <c r="PB6" s="68" t="e" cm="1" vm="1">
        <f t="array" ref="PB6">_xlfn._xlws.FILTER(TablaProductos[Nombre producto],TablaProductos[Agrupación]=ProductosPivot!PB5)</f>
        <v>#VALUE!</v>
      </c>
      <c r="PC6" s="68" t="e" cm="1" vm="1">
        <f t="array" ref="PC6">_xlfn._xlws.FILTER(TablaProductos[Nombre producto],TablaProductos[Agrupación]=ProductosPivot!PC5)</f>
        <v>#VALUE!</v>
      </c>
      <c r="PD6" s="68" t="e" cm="1" vm="1">
        <f t="array" ref="PD6">_xlfn._xlws.FILTER(TablaProductos[Nombre producto],TablaProductos[Agrupación]=ProductosPivot!PD5)</f>
        <v>#VALUE!</v>
      </c>
      <c r="PE6" s="68" t="e" cm="1" vm="1">
        <f t="array" ref="PE6">_xlfn._xlws.FILTER(TablaProductos[Nombre producto],TablaProductos[Agrupación]=ProductosPivot!PE5)</f>
        <v>#VALUE!</v>
      </c>
      <c r="PF6" s="68" t="e" cm="1" vm="1">
        <f t="array" ref="PF6">_xlfn._xlws.FILTER(TablaProductos[Nombre producto],TablaProductos[Agrupación]=ProductosPivot!PF5)</f>
        <v>#VALUE!</v>
      </c>
      <c r="PG6" s="68" t="e" cm="1" vm="1">
        <f t="array" ref="PG6">_xlfn._xlws.FILTER(TablaProductos[Nombre producto],TablaProductos[Agrupación]=ProductosPivot!PG5)</f>
        <v>#VALUE!</v>
      </c>
      <c r="PH6" s="68" t="e" cm="1" vm="1">
        <f t="array" ref="PH6">_xlfn._xlws.FILTER(TablaProductos[Nombre producto],TablaProductos[Agrupación]=ProductosPivot!PH5)</f>
        <v>#VALUE!</v>
      </c>
      <c r="PI6" s="68" t="e" cm="1" vm="1">
        <f t="array" ref="PI6">_xlfn._xlws.FILTER(TablaProductos[Nombre producto],TablaProductos[Agrupación]=ProductosPivot!PI5)</f>
        <v>#VALUE!</v>
      </c>
      <c r="PJ6" s="68" t="e" cm="1" vm="1">
        <f t="array" ref="PJ6">_xlfn._xlws.FILTER(TablaProductos[Nombre producto],TablaProductos[Agrupación]=ProductosPivot!PJ5)</f>
        <v>#VALUE!</v>
      </c>
      <c r="PK6" s="68" t="e" cm="1" vm="1">
        <f t="array" ref="PK6">_xlfn._xlws.FILTER(TablaProductos[Nombre producto],TablaProductos[Agrupación]=ProductosPivot!PK5)</f>
        <v>#VALUE!</v>
      </c>
      <c r="PL6" s="68" t="e" cm="1" vm="1">
        <f t="array" ref="PL6">_xlfn._xlws.FILTER(TablaProductos[Nombre producto],TablaProductos[Agrupación]=ProductosPivot!PL5)</f>
        <v>#VALUE!</v>
      </c>
      <c r="PM6" s="68" t="e" cm="1" vm="1">
        <f t="array" ref="PM6">_xlfn._xlws.FILTER(TablaProductos[Nombre producto],TablaProductos[Agrupación]=ProductosPivot!PM5)</f>
        <v>#VALUE!</v>
      </c>
      <c r="PN6" s="68" t="e" cm="1" vm="1">
        <f t="array" ref="PN6">_xlfn._xlws.FILTER(TablaProductos[Nombre producto],TablaProductos[Agrupación]=ProductosPivot!PN5)</f>
        <v>#VALUE!</v>
      </c>
      <c r="PO6" s="68" t="e" cm="1" vm="1">
        <f t="array" ref="PO6">_xlfn._xlws.FILTER(TablaProductos[Nombre producto],TablaProductos[Agrupación]=ProductosPivot!PO5)</f>
        <v>#VALUE!</v>
      </c>
      <c r="PP6" s="68" t="e" cm="1" vm="1">
        <f t="array" ref="PP6">_xlfn._xlws.FILTER(TablaProductos[Nombre producto],TablaProductos[Agrupación]=ProductosPivot!PP5)</f>
        <v>#VALUE!</v>
      </c>
      <c r="PQ6" s="68" t="e" cm="1" vm="1">
        <f t="array" ref="PQ6">_xlfn._xlws.FILTER(TablaProductos[Nombre producto],TablaProductos[Agrupación]=ProductosPivot!PQ5)</f>
        <v>#VALUE!</v>
      </c>
      <c r="PR6" s="68" t="e" cm="1" vm="1">
        <f t="array" ref="PR6">_xlfn._xlws.FILTER(TablaProductos[Nombre producto],TablaProductos[Agrupación]=ProductosPivot!PR5)</f>
        <v>#VALUE!</v>
      </c>
      <c r="PS6" s="68" t="e" cm="1" vm="1">
        <f t="array" ref="PS6">_xlfn._xlws.FILTER(TablaProductos[Nombre producto],TablaProductos[Agrupación]=ProductosPivot!PS5)</f>
        <v>#VALUE!</v>
      </c>
      <c r="PT6" s="68" t="e" cm="1" vm="1">
        <f t="array" ref="PT6">_xlfn._xlws.FILTER(TablaProductos[Nombre producto],TablaProductos[Agrupación]=ProductosPivot!PT5)</f>
        <v>#VALUE!</v>
      </c>
      <c r="PU6" s="68" t="e" cm="1" vm="1">
        <f t="array" ref="PU6">_xlfn._xlws.FILTER(TablaProductos[Nombre producto],TablaProductos[Agrupación]=ProductosPivot!PU5)</f>
        <v>#VALUE!</v>
      </c>
      <c r="PV6" s="68" t="e" cm="1" vm="1">
        <f t="array" ref="PV6">_xlfn._xlws.FILTER(TablaProductos[Nombre producto],TablaProductos[Agrupación]=ProductosPivot!PV5)</f>
        <v>#VALUE!</v>
      </c>
      <c r="PW6" s="68" t="e" cm="1" vm="1">
        <f t="array" ref="PW6">_xlfn._xlws.FILTER(TablaProductos[Nombre producto],TablaProductos[Agrupación]=ProductosPivot!PW5)</f>
        <v>#VALUE!</v>
      </c>
      <c r="PX6" s="68" t="e" cm="1" vm="1">
        <f t="array" ref="PX6">_xlfn._xlws.FILTER(TablaProductos[Nombre producto],TablaProductos[Agrupación]=ProductosPivot!PX5)</f>
        <v>#VALUE!</v>
      </c>
      <c r="PY6" s="68" t="e" cm="1" vm="1">
        <f t="array" ref="PY6">_xlfn._xlws.FILTER(TablaProductos[Nombre producto],TablaProductos[Agrupación]=ProductosPivot!PY5)</f>
        <v>#VALUE!</v>
      </c>
      <c r="PZ6" s="68" t="e" cm="1" vm="1">
        <f t="array" ref="PZ6">_xlfn._xlws.FILTER(TablaProductos[Nombre producto],TablaProductos[Agrupación]=ProductosPivot!PZ5)</f>
        <v>#VALUE!</v>
      </c>
      <c r="QA6" s="68" t="e" cm="1" vm="1">
        <f t="array" ref="QA6">_xlfn._xlws.FILTER(TablaProductos[Nombre producto],TablaProductos[Agrupación]=ProductosPivot!QA5)</f>
        <v>#VALUE!</v>
      </c>
      <c r="QB6" s="68" t="e" cm="1" vm="1">
        <f t="array" ref="QB6">_xlfn._xlws.FILTER(TablaProductos[Nombre producto],TablaProductos[Agrupación]=ProductosPivot!QB5)</f>
        <v>#VALUE!</v>
      </c>
      <c r="QC6" s="68" t="e" cm="1" vm="1">
        <f t="array" ref="QC6">_xlfn._xlws.FILTER(TablaProductos[Nombre producto],TablaProductos[Agrupación]=ProductosPivot!QC5)</f>
        <v>#VALUE!</v>
      </c>
      <c r="QD6" s="68" t="e" cm="1" vm="1">
        <f t="array" ref="QD6">_xlfn._xlws.FILTER(TablaProductos[Nombre producto],TablaProductos[Agrupación]=ProductosPivot!QD5)</f>
        <v>#VALUE!</v>
      </c>
      <c r="QE6" s="68" t="e" cm="1" vm="1">
        <f t="array" ref="QE6">_xlfn._xlws.FILTER(TablaProductos[Nombre producto],TablaProductos[Agrupación]=ProductosPivot!QE5)</f>
        <v>#VALUE!</v>
      </c>
      <c r="QF6" s="68" t="e" cm="1" vm="1">
        <f t="array" ref="QF6">_xlfn._xlws.FILTER(TablaProductos[Nombre producto],TablaProductos[Agrupación]=ProductosPivot!QF5)</f>
        <v>#VALUE!</v>
      </c>
      <c r="QG6" s="68" t="e" cm="1" vm="1">
        <f t="array" ref="QG6">_xlfn._xlws.FILTER(TablaProductos[Nombre producto],TablaProductos[Agrupación]=ProductosPivot!QG5)</f>
        <v>#VALUE!</v>
      </c>
      <c r="QH6" s="68" t="e" cm="1" vm="1">
        <f t="array" ref="QH6">_xlfn._xlws.FILTER(TablaProductos[Nombre producto],TablaProductos[Agrupación]=ProductosPivot!QH5)</f>
        <v>#VALUE!</v>
      </c>
      <c r="QI6" s="68" t="e" cm="1" vm="1">
        <f t="array" ref="QI6">_xlfn._xlws.FILTER(TablaProductos[Nombre producto],TablaProductos[Agrupación]=ProductosPivot!QI5)</f>
        <v>#VALUE!</v>
      </c>
      <c r="QJ6" s="68" t="e" cm="1" vm="1">
        <f t="array" ref="QJ6">_xlfn._xlws.FILTER(TablaProductos[Nombre producto],TablaProductos[Agrupación]=ProductosPivot!QJ5)</f>
        <v>#VALUE!</v>
      </c>
      <c r="QK6" s="68" t="e" cm="1" vm="1">
        <f t="array" ref="QK6">_xlfn._xlws.FILTER(TablaProductos[Nombre producto],TablaProductos[Agrupación]=ProductosPivot!QK5)</f>
        <v>#VALUE!</v>
      </c>
      <c r="QL6" s="68" t="e" cm="1" vm="1">
        <f t="array" ref="QL6">_xlfn._xlws.FILTER(TablaProductos[Nombre producto],TablaProductos[Agrupación]=ProductosPivot!QL5)</f>
        <v>#VALUE!</v>
      </c>
      <c r="QM6" s="68" t="e" cm="1" vm="1">
        <f t="array" ref="QM6">_xlfn._xlws.FILTER(TablaProductos[Nombre producto],TablaProductos[Agrupación]=ProductosPivot!QM5)</f>
        <v>#VALUE!</v>
      </c>
      <c r="QN6" s="68" t="e" cm="1" vm="1">
        <f t="array" ref="QN6">_xlfn._xlws.FILTER(TablaProductos[Nombre producto],TablaProductos[Agrupación]=ProductosPivot!QN5)</f>
        <v>#VALUE!</v>
      </c>
      <c r="QO6" s="68" t="e" cm="1" vm="1">
        <f t="array" ref="QO6">_xlfn._xlws.FILTER(TablaProductos[Nombre producto],TablaProductos[Agrupación]=ProductosPivot!QO5)</f>
        <v>#VALUE!</v>
      </c>
      <c r="QP6" s="68" t="e" cm="1" vm="1">
        <f t="array" ref="QP6">_xlfn._xlws.FILTER(TablaProductos[Nombre producto],TablaProductos[Agrupación]=ProductosPivot!QP5)</f>
        <v>#VALUE!</v>
      </c>
      <c r="QQ6" s="68" t="e" cm="1" vm="1">
        <f t="array" ref="QQ6">_xlfn._xlws.FILTER(TablaProductos[Nombre producto],TablaProductos[Agrupación]=ProductosPivot!QQ5)</f>
        <v>#VALUE!</v>
      </c>
      <c r="QR6" s="68" t="e" cm="1" vm="1">
        <f t="array" ref="QR6">_xlfn._xlws.FILTER(TablaProductos[Nombre producto],TablaProductos[Agrupación]=ProductosPivot!QR5)</f>
        <v>#VALUE!</v>
      </c>
      <c r="QS6" s="68" t="e" cm="1" vm="1">
        <f t="array" ref="QS6">_xlfn._xlws.FILTER(TablaProductos[Nombre producto],TablaProductos[Agrupación]=ProductosPivot!QS5)</f>
        <v>#VALUE!</v>
      </c>
      <c r="QT6" s="68" t="e" cm="1" vm="1">
        <f t="array" ref="QT6">_xlfn._xlws.FILTER(TablaProductos[Nombre producto],TablaProductos[Agrupación]=ProductosPivot!QT5)</f>
        <v>#VALUE!</v>
      </c>
      <c r="QU6" s="68" t="e" cm="1" vm="1">
        <f t="array" ref="QU6">_xlfn._xlws.FILTER(TablaProductos[Nombre producto],TablaProductos[Agrupación]=ProductosPivot!QU5)</f>
        <v>#VALUE!</v>
      </c>
      <c r="QV6" s="68" t="e" cm="1" vm="1">
        <f t="array" ref="QV6">_xlfn._xlws.FILTER(TablaProductos[Nombre producto],TablaProductos[Agrupación]=ProductosPivot!QV5)</f>
        <v>#VALUE!</v>
      </c>
      <c r="QW6" s="68" t="e" cm="1" vm="1">
        <f t="array" ref="QW6">_xlfn._xlws.FILTER(TablaProductos[Nombre producto],TablaProductos[Agrupación]=ProductosPivot!QW5)</f>
        <v>#VALUE!</v>
      </c>
      <c r="QX6" s="68" t="e" cm="1" vm="1">
        <f t="array" ref="QX6">_xlfn._xlws.FILTER(TablaProductos[Nombre producto],TablaProductos[Agrupación]=ProductosPivot!QX5)</f>
        <v>#VALUE!</v>
      </c>
      <c r="QY6" s="68" t="e" cm="1" vm="1">
        <f t="array" ref="QY6">_xlfn._xlws.FILTER(TablaProductos[Nombre producto],TablaProductos[Agrupación]=ProductosPivot!QY5)</f>
        <v>#VALUE!</v>
      </c>
      <c r="QZ6" s="68" t="e" cm="1" vm="1">
        <f t="array" ref="QZ6">_xlfn._xlws.FILTER(TablaProductos[Nombre producto],TablaProductos[Agrupación]=ProductosPivot!QZ5)</f>
        <v>#VALUE!</v>
      </c>
      <c r="RA6" s="68" t="e" cm="1" vm="1">
        <f t="array" ref="RA6">_xlfn._xlws.FILTER(TablaProductos[Nombre producto],TablaProductos[Agrupación]=ProductosPivot!RA5)</f>
        <v>#VALUE!</v>
      </c>
      <c r="RB6" s="68" t="e" cm="1" vm="1">
        <f t="array" ref="RB6">_xlfn._xlws.FILTER(TablaProductos[Nombre producto],TablaProductos[Agrupación]=ProductosPivot!RB5)</f>
        <v>#VALUE!</v>
      </c>
      <c r="RC6" s="68" t="e" cm="1" vm="1">
        <f t="array" ref="RC6">_xlfn._xlws.FILTER(TablaProductos[Nombre producto],TablaProductos[Agrupación]=ProductosPivot!RC5)</f>
        <v>#VALUE!</v>
      </c>
      <c r="RD6" s="68" t="e" cm="1" vm="1">
        <f t="array" ref="RD6">_xlfn._xlws.FILTER(TablaProductos[Nombre producto],TablaProductos[Agrupación]=ProductosPivot!RD5)</f>
        <v>#VALUE!</v>
      </c>
      <c r="RE6" s="68" t="e" cm="1" vm="1">
        <f t="array" ref="RE6">_xlfn._xlws.FILTER(TablaProductos[Nombre producto],TablaProductos[Agrupación]=ProductosPivot!RE5)</f>
        <v>#VALUE!</v>
      </c>
      <c r="RF6" s="68" t="e" cm="1" vm="1">
        <f t="array" ref="RF6">_xlfn._xlws.FILTER(TablaProductos[Nombre producto],TablaProductos[Agrupación]=ProductosPivot!RF5)</f>
        <v>#VALUE!</v>
      </c>
      <c r="RG6" s="68" t="e" cm="1" vm="1">
        <f t="array" ref="RG6">_xlfn._xlws.FILTER(TablaProductos[Nombre producto],TablaProductos[Agrupación]=ProductosPivot!RG5)</f>
        <v>#VALUE!</v>
      </c>
      <c r="RH6" s="68" t="e" cm="1" vm="1">
        <f t="array" ref="RH6">_xlfn._xlws.FILTER(TablaProductos[Nombre producto],TablaProductos[Agrupación]=ProductosPivot!RH5)</f>
        <v>#VALUE!</v>
      </c>
      <c r="RI6" s="68" t="e" cm="1" vm="1">
        <f t="array" ref="RI6">_xlfn._xlws.FILTER(TablaProductos[Nombre producto],TablaProductos[Agrupación]=ProductosPivot!RI5)</f>
        <v>#VALUE!</v>
      </c>
      <c r="RJ6" s="68" t="e" cm="1" vm="1">
        <f t="array" ref="RJ6">_xlfn._xlws.FILTER(TablaProductos[Nombre producto],TablaProductos[Agrupación]=ProductosPivot!RJ5)</f>
        <v>#VALUE!</v>
      </c>
      <c r="RK6" s="68" t="e" cm="1" vm="1">
        <f t="array" ref="RK6">_xlfn._xlws.FILTER(TablaProductos[Nombre producto],TablaProductos[Agrupación]=ProductosPivot!RK5)</f>
        <v>#VALUE!</v>
      </c>
      <c r="RL6" s="68" t="e" cm="1" vm="1">
        <f t="array" ref="RL6">_xlfn._xlws.FILTER(TablaProductos[Nombre producto],TablaProductos[Agrupación]=ProductosPivot!RL5)</f>
        <v>#VALUE!</v>
      </c>
      <c r="RM6" s="68" t="e" cm="1" vm="1">
        <f t="array" ref="RM6">_xlfn._xlws.FILTER(TablaProductos[Nombre producto],TablaProductos[Agrupación]=ProductosPivot!RM5)</f>
        <v>#VALUE!</v>
      </c>
      <c r="RN6" s="68" t="e" cm="1" vm="1">
        <f t="array" ref="RN6">_xlfn._xlws.FILTER(TablaProductos[Nombre producto],TablaProductos[Agrupación]=ProductosPivot!RN5)</f>
        <v>#VALUE!</v>
      </c>
      <c r="RO6" s="68" t="e" cm="1" vm="1">
        <f t="array" ref="RO6">_xlfn._xlws.FILTER(TablaProductos[Nombre producto],TablaProductos[Agrupación]=ProductosPivot!RO5)</f>
        <v>#VALUE!</v>
      </c>
      <c r="RP6" s="68" t="e" cm="1" vm="1">
        <f t="array" ref="RP6">_xlfn._xlws.FILTER(TablaProductos[Nombre producto],TablaProductos[Agrupación]=ProductosPivot!RP5)</f>
        <v>#VALUE!</v>
      </c>
      <c r="RQ6" s="68" t="e" cm="1" vm="1">
        <f t="array" ref="RQ6">_xlfn._xlws.FILTER(TablaProductos[Nombre producto],TablaProductos[Agrupación]=ProductosPivot!RQ5)</f>
        <v>#VALUE!</v>
      </c>
      <c r="RR6" s="68" t="e" cm="1" vm="1">
        <f t="array" ref="RR6">_xlfn._xlws.FILTER(TablaProductos[Nombre producto],TablaProductos[Agrupación]=ProductosPivot!RR5)</f>
        <v>#VALUE!</v>
      </c>
      <c r="RS6" s="68" t="e" cm="1" vm="1">
        <f t="array" ref="RS6">_xlfn._xlws.FILTER(TablaProductos[Nombre producto],TablaProductos[Agrupación]=ProductosPivot!RS5)</f>
        <v>#VALUE!</v>
      </c>
      <c r="RT6" s="68" t="e" cm="1" vm="1">
        <f t="array" ref="RT6">_xlfn._xlws.FILTER(TablaProductos[Nombre producto],TablaProductos[Agrupación]=ProductosPivot!RT5)</f>
        <v>#VALUE!</v>
      </c>
      <c r="RU6" s="68" t="e" cm="1" vm="1">
        <f t="array" ref="RU6">_xlfn._xlws.FILTER(TablaProductos[Nombre producto],TablaProductos[Agrupación]=ProductosPivot!RU5)</f>
        <v>#VALUE!</v>
      </c>
      <c r="RV6" s="68" t="e" cm="1" vm="1">
        <f t="array" ref="RV6">_xlfn._xlws.FILTER(TablaProductos[Nombre producto],TablaProductos[Agrupación]=ProductosPivot!RV5)</f>
        <v>#VALUE!</v>
      </c>
      <c r="RW6" s="68" t="e" cm="1" vm="1">
        <f t="array" ref="RW6">_xlfn._xlws.FILTER(TablaProductos[Nombre producto],TablaProductos[Agrupación]=ProductosPivot!RW5)</f>
        <v>#VALUE!</v>
      </c>
      <c r="RX6" s="68" t="e" cm="1" vm="1">
        <f t="array" ref="RX6">_xlfn._xlws.FILTER(TablaProductos[Nombre producto],TablaProductos[Agrupación]=ProductosPivot!RX5)</f>
        <v>#VALUE!</v>
      </c>
      <c r="RY6" s="68" t="e" cm="1" vm="1">
        <f t="array" ref="RY6">_xlfn._xlws.FILTER(TablaProductos[Nombre producto],TablaProductos[Agrupación]=ProductosPivot!RY5)</f>
        <v>#VALUE!</v>
      </c>
      <c r="RZ6" s="68" t="e" cm="1" vm="1">
        <f t="array" ref="RZ6">_xlfn._xlws.FILTER(TablaProductos[Nombre producto],TablaProductos[Agrupación]=ProductosPivot!RZ5)</f>
        <v>#VALUE!</v>
      </c>
      <c r="SA6" s="68" t="e" cm="1" vm="1">
        <f t="array" ref="SA6">_xlfn._xlws.FILTER(TablaProductos[Nombre producto],TablaProductos[Agrupación]=ProductosPivot!SA5)</f>
        <v>#VALUE!</v>
      </c>
      <c r="SB6" s="68" t="e" cm="1" vm="1">
        <f t="array" ref="SB6">_xlfn._xlws.FILTER(TablaProductos[Nombre producto],TablaProductos[Agrupación]=ProductosPivot!SB5)</f>
        <v>#VALUE!</v>
      </c>
      <c r="SC6" s="68" t="e" cm="1" vm="1">
        <f t="array" ref="SC6">_xlfn._xlws.FILTER(TablaProductos[Nombre producto],TablaProductos[Agrupación]=ProductosPivot!SC5)</f>
        <v>#VALUE!</v>
      </c>
      <c r="SD6" s="68" t="e" cm="1" vm="1">
        <f t="array" ref="SD6">_xlfn._xlws.FILTER(TablaProductos[Nombre producto],TablaProductos[Agrupación]=ProductosPivot!SD5)</f>
        <v>#VALUE!</v>
      </c>
      <c r="SE6" s="68" t="e" cm="1" vm="1">
        <f t="array" ref="SE6">_xlfn._xlws.FILTER(TablaProductos[Nombre producto],TablaProductos[Agrupación]=ProductosPivot!SE5)</f>
        <v>#VALUE!</v>
      </c>
      <c r="SF6" s="68" t="e" cm="1" vm="1">
        <f t="array" ref="SF6">_xlfn._xlws.FILTER(TablaProductos[Nombre producto],TablaProductos[Agrupación]=ProductosPivot!SF5)</f>
        <v>#VALUE!</v>
      </c>
      <c r="SG6" s="68" t="e" cm="1" vm="1">
        <f t="array" ref="SG6">_xlfn._xlws.FILTER(TablaProductos[Nombre producto],TablaProductos[Agrupación]=ProductosPivot!SG5)</f>
        <v>#VALUE!</v>
      </c>
      <c r="SH6" s="68" t="e" cm="1" vm="1">
        <f t="array" ref="SH6">_xlfn._xlws.FILTER(TablaProductos[Nombre producto],TablaProductos[Agrupación]=ProductosPivot!SH5)</f>
        <v>#VALUE!</v>
      </c>
      <c r="SI6" s="68" t="e" cm="1" vm="1">
        <f t="array" ref="SI6">_xlfn._xlws.FILTER(TablaProductos[Nombre producto],TablaProductos[Agrupación]=ProductosPivot!SI5)</f>
        <v>#VALUE!</v>
      </c>
      <c r="SJ6" s="68" t="e" cm="1" vm="1">
        <f t="array" ref="SJ6">_xlfn._xlws.FILTER(TablaProductos[Nombre producto],TablaProductos[Agrupación]=ProductosPivot!SJ5)</f>
        <v>#VALUE!</v>
      </c>
      <c r="SK6" s="68" t="e" cm="1" vm="1">
        <f t="array" ref="SK6">_xlfn._xlws.FILTER(TablaProductos[Nombre producto],TablaProductos[Agrupación]=ProductosPivot!SK5)</f>
        <v>#VALUE!</v>
      </c>
      <c r="SL6" s="68" t="e" cm="1" vm="1">
        <f t="array" ref="SL6">_xlfn._xlws.FILTER(TablaProductos[Nombre producto],TablaProductos[Agrupación]=ProductosPivot!SL5)</f>
        <v>#VALUE!</v>
      </c>
      <c r="SM6" s="68" t="e" cm="1" vm="1">
        <f t="array" ref="SM6">_xlfn._xlws.FILTER(TablaProductos[Nombre producto],TablaProductos[Agrupación]=ProductosPivot!SM5)</f>
        <v>#VALUE!</v>
      </c>
      <c r="SN6" s="68" t="e" cm="1" vm="1">
        <f t="array" ref="SN6">_xlfn._xlws.FILTER(TablaProductos[Nombre producto],TablaProductos[Agrupación]=ProductosPivot!SN5)</f>
        <v>#VALUE!</v>
      </c>
      <c r="SO6" s="68" t="e" cm="1" vm="1">
        <f t="array" ref="SO6">_xlfn._xlws.FILTER(TablaProductos[Nombre producto],TablaProductos[Agrupación]=ProductosPivot!SO5)</f>
        <v>#VALUE!</v>
      </c>
      <c r="SP6" s="68" t="e" cm="1" vm="1">
        <f t="array" ref="SP6">_xlfn._xlws.FILTER(TablaProductos[Nombre producto],TablaProductos[Agrupación]=ProductosPivot!SP5)</f>
        <v>#VALUE!</v>
      </c>
      <c r="SQ6" s="68" t="e" cm="1" vm="1">
        <f t="array" ref="SQ6">_xlfn._xlws.FILTER(TablaProductos[Nombre producto],TablaProductos[Agrupación]=ProductosPivot!SQ5)</f>
        <v>#VALUE!</v>
      </c>
      <c r="SR6" s="68" t="e" cm="1" vm="1">
        <f t="array" ref="SR6">_xlfn._xlws.FILTER(TablaProductos[Nombre producto],TablaProductos[Agrupación]=ProductosPivot!SR5)</f>
        <v>#VALUE!</v>
      </c>
      <c r="SS6" s="68" t="e" cm="1" vm="1">
        <f t="array" ref="SS6">_xlfn._xlws.FILTER(TablaProductos[Nombre producto],TablaProductos[Agrupación]=ProductosPivot!SS5)</f>
        <v>#VALUE!</v>
      </c>
      <c r="ST6" s="68" t="e" cm="1" vm="1">
        <f t="array" ref="ST6">_xlfn._xlws.FILTER(TablaProductos[Nombre producto],TablaProductos[Agrupación]=ProductosPivot!ST5)</f>
        <v>#VALUE!</v>
      </c>
      <c r="SU6" s="68" t="e" cm="1" vm="1">
        <f t="array" ref="SU6">_xlfn._xlws.FILTER(TablaProductos[Nombre producto],TablaProductos[Agrupación]=ProductosPivot!SU5)</f>
        <v>#VALUE!</v>
      </c>
      <c r="SV6" s="68" t="e" cm="1" vm="1">
        <f t="array" ref="SV6">_xlfn._xlws.FILTER(TablaProductos[Nombre producto],TablaProductos[Agrupación]=ProductosPivot!SV5)</f>
        <v>#VALUE!</v>
      </c>
      <c r="SW6" s="68" t="e" cm="1" vm="1">
        <f t="array" ref="SW6">_xlfn._xlws.FILTER(TablaProductos[Nombre producto],TablaProductos[Agrupación]=ProductosPivot!SW5)</f>
        <v>#VALUE!</v>
      </c>
      <c r="SX6" s="68" t="e" cm="1" vm="1">
        <f t="array" ref="SX6">_xlfn._xlws.FILTER(TablaProductos[Nombre producto],TablaProductos[Agrupación]=ProductosPivot!SX5)</f>
        <v>#VALUE!</v>
      </c>
      <c r="SY6" s="68" t="e" cm="1" vm="1">
        <f t="array" ref="SY6">_xlfn._xlws.FILTER(TablaProductos[Nombre producto],TablaProductos[Agrupación]=ProductosPivot!SY5)</f>
        <v>#VALUE!</v>
      </c>
      <c r="SZ6" s="68" t="e" cm="1" vm="1">
        <f t="array" ref="SZ6">_xlfn._xlws.FILTER(TablaProductos[Nombre producto],TablaProductos[Agrupación]=ProductosPivot!SZ5)</f>
        <v>#VALUE!</v>
      </c>
      <c r="TA6" s="68" t="e" cm="1" vm="1">
        <f t="array" ref="TA6">_xlfn._xlws.FILTER(TablaProductos[Nombre producto],TablaProductos[Agrupación]=ProductosPivot!TA5)</f>
        <v>#VALUE!</v>
      </c>
      <c r="TB6" s="68" t="e" cm="1" vm="1">
        <f t="array" ref="TB6">_xlfn._xlws.FILTER(TablaProductos[Nombre producto],TablaProductos[Agrupación]=ProductosPivot!TB5)</f>
        <v>#VALUE!</v>
      </c>
      <c r="TC6" s="68" t="e" cm="1" vm="1">
        <f t="array" ref="TC6">_xlfn._xlws.FILTER(TablaProductos[Nombre producto],TablaProductos[Agrupación]=ProductosPivot!TC5)</f>
        <v>#VALUE!</v>
      </c>
      <c r="TD6" s="68" t="e" cm="1" vm="1">
        <f t="array" ref="TD6">_xlfn._xlws.FILTER(TablaProductos[Nombre producto],TablaProductos[Agrupación]=ProductosPivot!TD5)</f>
        <v>#VALUE!</v>
      </c>
      <c r="TE6" s="68" t="e" cm="1" vm="1">
        <f t="array" ref="TE6">_xlfn._xlws.FILTER(TablaProductos[Nombre producto],TablaProductos[Agrupación]=ProductosPivot!TE5)</f>
        <v>#VALUE!</v>
      </c>
      <c r="TF6" s="68" t="e" cm="1" vm="1">
        <f t="array" ref="TF6">_xlfn._xlws.FILTER(TablaProductos[Nombre producto],TablaProductos[Agrupación]=ProductosPivot!TF5)</f>
        <v>#VALUE!</v>
      </c>
      <c r="TG6" s="68" t="e" cm="1" vm="1">
        <f t="array" ref="TG6">_xlfn._xlws.FILTER(TablaProductos[Nombre producto],TablaProductos[Agrupación]=ProductosPivot!TG5)</f>
        <v>#VALUE!</v>
      </c>
      <c r="TH6" s="68" t="e" cm="1" vm="1">
        <f t="array" ref="TH6">_xlfn._xlws.FILTER(TablaProductos[Nombre producto],TablaProductos[Agrupación]=ProductosPivot!TH5)</f>
        <v>#VALUE!</v>
      </c>
      <c r="TI6" s="68" t="e" cm="1" vm="1">
        <f t="array" ref="TI6">_xlfn._xlws.FILTER(TablaProductos[Nombre producto],TablaProductos[Agrupación]=ProductosPivot!TI5)</f>
        <v>#VALUE!</v>
      </c>
      <c r="TJ6" s="68" t="e" cm="1" vm="1">
        <f t="array" ref="TJ6">_xlfn._xlws.FILTER(TablaProductos[Nombre producto],TablaProductos[Agrupación]=ProductosPivot!TJ5)</f>
        <v>#VALUE!</v>
      </c>
      <c r="TK6" s="68" t="e" cm="1" vm="1">
        <f t="array" ref="TK6">_xlfn._xlws.FILTER(TablaProductos[Nombre producto],TablaProductos[Agrupación]=ProductosPivot!TK5)</f>
        <v>#VALUE!</v>
      </c>
      <c r="TL6" s="68" t="e" cm="1" vm="1">
        <f t="array" ref="TL6">_xlfn._xlws.FILTER(TablaProductos[Nombre producto],TablaProductos[Agrupación]=ProductosPivot!TL5)</f>
        <v>#VALUE!</v>
      </c>
      <c r="TM6" s="68" t="e" cm="1" vm="1">
        <f t="array" ref="TM6">_xlfn._xlws.FILTER(TablaProductos[Nombre producto],TablaProductos[Agrupación]=ProductosPivot!TM5)</f>
        <v>#VALUE!</v>
      </c>
      <c r="TN6" s="68" t="e" cm="1" vm="1">
        <f t="array" ref="TN6">_xlfn._xlws.FILTER(TablaProductos[Nombre producto],TablaProductos[Agrupación]=ProductosPivot!TN5)</f>
        <v>#VALUE!</v>
      </c>
      <c r="TO6" s="68" t="e" cm="1" vm="1">
        <f t="array" ref="TO6">_xlfn._xlws.FILTER(TablaProductos[Nombre producto],TablaProductos[Agrupación]=ProductosPivot!TO5)</f>
        <v>#VALUE!</v>
      </c>
      <c r="TP6" s="68" t="e" cm="1" vm="1">
        <f t="array" ref="TP6">_xlfn._xlws.FILTER(TablaProductos[Nombre producto],TablaProductos[Agrupación]=ProductosPivot!TP5)</f>
        <v>#VALUE!</v>
      </c>
      <c r="TQ6" s="68" t="e" cm="1" vm="1">
        <f t="array" ref="TQ6">_xlfn._xlws.FILTER(TablaProductos[Nombre producto],TablaProductos[Agrupación]=ProductosPivot!TQ5)</f>
        <v>#VALUE!</v>
      </c>
      <c r="TR6" s="68" t="e" cm="1" vm="1">
        <f t="array" ref="TR6">_xlfn._xlws.FILTER(TablaProductos[Nombre producto],TablaProductos[Agrupación]=ProductosPivot!TR5)</f>
        <v>#VALUE!</v>
      </c>
      <c r="TS6" s="68" t="e" cm="1" vm="1">
        <f t="array" ref="TS6">_xlfn._xlws.FILTER(TablaProductos[Nombre producto],TablaProductos[Agrupación]=ProductosPivot!TS5)</f>
        <v>#VALUE!</v>
      </c>
      <c r="TT6" s="68" t="e" cm="1" vm="1">
        <f t="array" ref="TT6">_xlfn._xlws.FILTER(TablaProductos[Nombre producto],TablaProductos[Agrupación]=ProductosPivot!TT5)</f>
        <v>#VALUE!</v>
      </c>
      <c r="TU6" s="68" t="e" cm="1" vm="1">
        <f t="array" ref="TU6">_xlfn._xlws.FILTER(TablaProductos[Nombre producto],TablaProductos[Agrupación]=ProductosPivot!TU5)</f>
        <v>#VALUE!</v>
      </c>
      <c r="TV6" s="68" t="e" cm="1" vm="1">
        <f t="array" ref="TV6">_xlfn._xlws.FILTER(TablaProductos[Nombre producto],TablaProductos[Agrupación]=ProductosPivot!TV5)</f>
        <v>#VALUE!</v>
      </c>
      <c r="TW6" s="68" t="e" cm="1" vm="1">
        <f t="array" ref="TW6">_xlfn._xlws.FILTER(TablaProductos[Nombre producto],TablaProductos[Agrupación]=ProductosPivot!TW5)</f>
        <v>#VALUE!</v>
      </c>
      <c r="TX6" s="68" t="e" cm="1" vm="1">
        <f t="array" ref="TX6">_xlfn._xlws.FILTER(TablaProductos[Nombre producto],TablaProductos[Agrupación]=ProductosPivot!TX5)</f>
        <v>#VALUE!</v>
      </c>
      <c r="TY6" s="68" t="e" cm="1" vm="1">
        <f t="array" ref="TY6">_xlfn._xlws.FILTER(TablaProductos[Nombre producto],TablaProductos[Agrupación]=ProductosPivot!TY5)</f>
        <v>#VALUE!</v>
      </c>
      <c r="TZ6" s="68" t="e" cm="1" vm="1">
        <f t="array" ref="TZ6">_xlfn._xlws.FILTER(TablaProductos[Nombre producto],TablaProductos[Agrupación]=ProductosPivot!TZ5)</f>
        <v>#VALUE!</v>
      </c>
      <c r="UA6" s="68" t="e" cm="1" vm="1">
        <f t="array" ref="UA6">_xlfn._xlws.FILTER(TablaProductos[Nombre producto],TablaProductos[Agrupación]=ProductosPivot!UA5)</f>
        <v>#VALUE!</v>
      </c>
      <c r="UB6" s="68" t="e" cm="1" vm="1">
        <f t="array" ref="UB6">_xlfn._xlws.FILTER(TablaProductos[Nombre producto],TablaProductos[Agrupación]=ProductosPivot!UB5)</f>
        <v>#VALUE!</v>
      </c>
      <c r="UC6" s="68" t="e" cm="1" vm="1">
        <f t="array" ref="UC6">_xlfn._xlws.FILTER(TablaProductos[Nombre producto],TablaProductos[Agrupación]=ProductosPivot!UC5)</f>
        <v>#VALUE!</v>
      </c>
      <c r="UD6" s="68" t="e" cm="1" vm="1">
        <f t="array" ref="UD6">_xlfn._xlws.FILTER(TablaProductos[Nombre producto],TablaProductos[Agrupación]=ProductosPivot!UD5)</f>
        <v>#VALUE!</v>
      </c>
      <c r="UE6" s="68" t="e" cm="1" vm="1">
        <f t="array" ref="UE6">_xlfn._xlws.FILTER(TablaProductos[Nombre producto],TablaProductos[Agrupación]=ProductosPivot!UE5)</f>
        <v>#VALUE!</v>
      </c>
      <c r="UF6" s="68" t="e" cm="1" vm="1">
        <f t="array" ref="UF6">_xlfn._xlws.FILTER(TablaProductos[Nombre producto],TablaProductos[Agrupación]=ProductosPivot!UF5)</f>
        <v>#VALUE!</v>
      </c>
      <c r="UG6" s="68" t="e" cm="1" vm="1">
        <f t="array" ref="UG6">_xlfn._xlws.FILTER(TablaProductos[Nombre producto],TablaProductos[Agrupación]=ProductosPivot!UG5)</f>
        <v>#VALUE!</v>
      </c>
      <c r="UH6" s="68" t="e" cm="1" vm="1">
        <f t="array" ref="UH6">_xlfn._xlws.FILTER(TablaProductos[Nombre producto],TablaProductos[Agrupación]=ProductosPivot!UH5)</f>
        <v>#VALUE!</v>
      </c>
      <c r="UI6" s="68" t="e" cm="1" vm="1">
        <f t="array" ref="UI6">_xlfn._xlws.FILTER(TablaProductos[Nombre producto],TablaProductos[Agrupación]=ProductosPivot!UI5)</f>
        <v>#VALUE!</v>
      </c>
      <c r="UJ6" s="68" t="e" cm="1" vm="1">
        <f t="array" ref="UJ6">_xlfn._xlws.FILTER(TablaProductos[Nombre producto],TablaProductos[Agrupación]=ProductosPivot!UJ5)</f>
        <v>#VALUE!</v>
      </c>
      <c r="UK6" s="68" t="e" cm="1" vm="1">
        <f t="array" ref="UK6">_xlfn._xlws.FILTER(TablaProductos[Nombre producto],TablaProductos[Agrupación]=ProductosPivot!UK5)</f>
        <v>#VALUE!</v>
      </c>
      <c r="UL6" s="68" t="e" cm="1" vm="1">
        <f t="array" ref="UL6">_xlfn._xlws.FILTER(TablaProductos[Nombre producto],TablaProductos[Agrupación]=ProductosPivot!UL5)</f>
        <v>#VALUE!</v>
      </c>
      <c r="UM6" s="68" t="e" cm="1" vm="1">
        <f t="array" ref="UM6">_xlfn._xlws.FILTER(TablaProductos[Nombre producto],TablaProductos[Agrupación]=ProductosPivot!UM5)</f>
        <v>#VALUE!</v>
      </c>
      <c r="UN6" s="68" t="e" cm="1" vm="1">
        <f t="array" ref="UN6">_xlfn._xlws.FILTER(TablaProductos[Nombre producto],TablaProductos[Agrupación]=ProductosPivot!UN5)</f>
        <v>#VALUE!</v>
      </c>
      <c r="UO6" s="68" t="e" cm="1" vm="1">
        <f t="array" ref="UO6">_xlfn._xlws.FILTER(TablaProductos[Nombre producto],TablaProductos[Agrupación]=ProductosPivot!UO5)</f>
        <v>#VALUE!</v>
      </c>
      <c r="UP6" s="68" t="e" cm="1" vm="1">
        <f t="array" ref="UP6">_xlfn._xlws.FILTER(TablaProductos[Nombre producto],TablaProductos[Agrupación]=ProductosPivot!UP5)</f>
        <v>#VALUE!</v>
      </c>
      <c r="UQ6" s="68" t="e" cm="1" vm="1">
        <f t="array" ref="UQ6">_xlfn._xlws.FILTER(TablaProductos[Nombre producto],TablaProductos[Agrupación]=ProductosPivot!UQ5)</f>
        <v>#VALUE!</v>
      </c>
      <c r="UR6" s="68" t="e" cm="1" vm="1">
        <f t="array" ref="UR6">_xlfn._xlws.FILTER(TablaProductos[Nombre producto],TablaProductos[Agrupación]=ProductosPivot!UR5)</f>
        <v>#VALUE!</v>
      </c>
      <c r="US6" s="68" t="e" cm="1" vm="1">
        <f t="array" ref="US6">_xlfn._xlws.FILTER(TablaProductos[Nombre producto],TablaProductos[Agrupación]=ProductosPivot!US5)</f>
        <v>#VALUE!</v>
      </c>
      <c r="UT6" s="68" t="e" cm="1" vm="1">
        <f t="array" ref="UT6">_xlfn._xlws.FILTER(TablaProductos[Nombre producto],TablaProductos[Agrupación]=ProductosPivot!UT5)</f>
        <v>#VALUE!</v>
      </c>
      <c r="UU6" s="68" t="e" cm="1" vm="1">
        <f t="array" ref="UU6">_xlfn._xlws.FILTER(TablaProductos[Nombre producto],TablaProductos[Agrupación]=ProductosPivot!UU5)</f>
        <v>#VALUE!</v>
      </c>
      <c r="UV6" s="68" t="e" cm="1" vm="1">
        <f t="array" ref="UV6">_xlfn._xlws.FILTER(TablaProductos[Nombre producto],TablaProductos[Agrupación]=ProductosPivot!UV5)</f>
        <v>#VALUE!</v>
      </c>
      <c r="UW6" s="68" t="e" cm="1" vm="1">
        <f t="array" ref="UW6">_xlfn._xlws.FILTER(TablaProductos[Nombre producto],TablaProductos[Agrupación]=ProductosPivot!UW5)</f>
        <v>#VALUE!</v>
      </c>
      <c r="UX6" s="68" t="e" cm="1" vm="1">
        <f t="array" ref="UX6">_xlfn._xlws.FILTER(TablaProductos[Nombre producto],TablaProductos[Agrupación]=ProductosPivot!UX5)</f>
        <v>#VALUE!</v>
      </c>
      <c r="UY6" s="68" t="e" cm="1" vm="1">
        <f t="array" ref="UY6">_xlfn._xlws.FILTER(TablaProductos[Nombre producto],TablaProductos[Agrupación]=ProductosPivot!UY5)</f>
        <v>#VALUE!</v>
      </c>
      <c r="UZ6" s="68" t="e" cm="1" vm="1">
        <f t="array" ref="UZ6">_xlfn._xlws.FILTER(TablaProductos[Nombre producto],TablaProductos[Agrupación]=ProductosPivot!UZ5)</f>
        <v>#VALUE!</v>
      </c>
      <c r="VA6" s="68" t="e" cm="1" vm="1">
        <f t="array" ref="VA6">_xlfn._xlws.FILTER(TablaProductos[Nombre producto],TablaProductos[Agrupación]=ProductosPivot!VA5)</f>
        <v>#VALUE!</v>
      </c>
      <c r="VB6" s="68" t="e" cm="1" vm="1">
        <f t="array" ref="VB6">_xlfn._xlws.FILTER(TablaProductos[Nombre producto],TablaProductos[Agrupación]=ProductosPivot!VB5)</f>
        <v>#VALUE!</v>
      </c>
      <c r="VC6" s="68" t="e" cm="1" vm="1">
        <f t="array" ref="VC6">_xlfn._xlws.FILTER(TablaProductos[Nombre producto],TablaProductos[Agrupación]=ProductosPivot!VC5)</f>
        <v>#VALUE!</v>
      </c>
      <c r="VD6" s="68" t="e" cm="1" vm="1">
        <f t="array" ref="VD6">_xlfn._xlws.FILTER(TablaProductos[Nombre producto],TablaProductos[Agrupación]=ProductosPivot!VD5)</f>
        <v>#VALUE!</v>
      </c>
      <c r="VE6" s="68" t="e" cm="1" vm="1">
        <f t="array" ref="VE6">_xlfn._xlws.FILTER(TablaProductos[Nombre producto],TablaProductos[Agrupación]=ProductosPivot!VE5)</f>
        <v>#VALUE!</v>
      </c>
      <c r="VF6" s="68" t="e" cm="1" vm="1">
        <f t="array" ref="VF6">_xlfn._xlws.FILTER(TablaProductos[Nombre producto],TablaProductos[Agrupación]=ProductosPivot!VF5)</f>
        <v>#VALUE!</v>
      </c>
      <c r="VG6" s="68" t="e" cm="1" vm="1">
        <f t="array" ref="VG6">_xlfn._xlws.FILTER(TablaProductos[Nombre producto],TablaProductos[Agrupación]=ProductosPivot!VG5)</f>
        <v>#VALUE!</v>
      </c>
      <c r="VH6" s="68" t="e" cm="1" vm="1">
        <f t="array" ref="VH6">_xlfn._xlws.FILTER(TablaProductos[Nombre producto],TablaProductos[Agrupación]=ProductosPivot!VH5)</f>
        <v>#VALUE!</v>
      </c>
      <c r="VI6" s="68" t="e" cm="1" vm="1">
        <f t="array" ref="VI6">_xlfn._xlws.FILTER(TablaProductos[Nombre producto],TablaProductos[Agrupación]=ProductosPivot!VI5)</f>
        <v>#VALUE!</v>
      </c>
      <c r="VJ6" s="68" t="e" cm="1" vm="1">
        <f t="array" ref="VJ6">_xlfn._xlws.FILTER(TablaProductos[Nombre producto],TablaProductos[Agrupación]=ProductosPivot!VJ5)</f>
        <v>#VALUE!</v>
      </c>
      <c r="VK6" s="68" t="e" cm="1" vm="1">
        <f t="array" ref="VK6">_xlfn._xlws.FILTER(TablaProductos[Nombre producto],TablaProductos[Agrupación]=ProductosPivot!VK5)</f>
        <v>#VALUE!</v>
      </c>
      <c r="VL6" s="68" t="e" cm="1" vm="1">
        <f t="array" ref="VL6">_xlfn._xlws.FILTER(TablaProductos[Nombre producto],TablaProductos[Agrupación]=ProductosPivot!VL5)</f>
        <v>#VALUE!</v>
      </c>
      <c r="VM6" s="68" t="e" cm="1" vm="1">
        <f t="array" ref="VM6">_xlfn._xlws.FILTER(TablaProductos[Nombre producto],TablaProductos[Agrupación]=ProductosPivot!VM5)</f>
        <v>#VALUE!</v>
      </c>
      <c r="VN6" s="68" t="e" cm="1" vm="1">
        <f t="array" ref="VN6">_xlfn._xlws.FILTER(TablaProductos[Nombre producto],TablaProductos[Agrupación]=ProductosPivot!VN5)</f>
        <v>#VALUE!</v>
      </c>
      <c r="VO6" s="68" t="e" cm="1" vm="1">
        <f t="array" ref="VO6">_xlfn._xlws.FILTER(TablaProductos[Nombre producto],TablaProductos[Agrupación]=ProductosPivot!VO5)</f>
        <v>#VALUE!</v>
      </c>
      <c r="VP6" s="68" t="e" cm="1" vm="1">
        <f t="array" ref="VP6">_xlfn._xlws.FILTER(TablaProductos[Nombre producto],TablaProductos[Agrupación]=ProductosPivot!VP5)</f>
        <v>#VALUE!</v>
      </c>
      <c r="VQ6" s="68" t="e" cm="1" vm="1">
        <f t="array" ref="VQ6">_xlfn._xlws.FILTER(TablaProductos[Nombre producto],TablaProductos[Agrupación]=ProductosPivot!VQ5)</f>
        <v>#VALUE!</v>
      </c>
      <c r="VR6" s="68" t="e" cm="1" vm="1">
        <f t="array" ref="VR6">_xlfn._xlws.FILTER(TablaProductos[Nombre producto],TablaProductos[Agrupación]=ProductosPivot!VR5)</f>
        <v>#VALUE!</v>
      </c>
      <c r="VS6" s="68" t="e" cm="1" vm="1">
        <f t="array" ref="VS6">_xlfn._xlws.FILTER(TablaProductos[Nombre producto],TablaProductos[Agrupación]=ProductosPivot!VS5)</f>
        <v>#VALUE!</v>
      </c>
      <c r="VT6" s="68" t="e" cm="1" vm="1">
        <f t="array" ref="VT6">_xlfn._xlws.FILTER(TablaProductos[Nombre producto],TablaProductos[Agrupación]=ProductosPivot!VT5)</f>
        <v>#VALUE!</v>
      </c>
      <c r="VU6" s="68" t="e" cm="1" vm="1">
        <f t="array" ref="VU6">_xlfn._xlws.FILTER(TablaProductos[Nombre producto],TablaProductos[Agrupación]=ProductosPivot!VU5)</f>
        <v>#VALUE!</v>
      </c>
      <c r="VV6" s="68" t="e" cm="1" vm="1">
        <f t="array" ref="VV6">_xlfn._xlws.FILTER(TablaProductos[Nombre producto],TablaProductos[Agrupación]=ProductosPivot!VV5)</f>
        <v>#VALUE!</v>
      </c>
      <c r="VW6" s="68" t="e" cm="1" vm="1">
        <f t="array" ref="VW6">_xlfn._xlws.FILTER(TablaProductos[Nombre producto],TablaProductos[Agrupación]=ProductosPivot!VW5)</f>
        <v>#VALUE!</v>
      </c>
      <c r="VX6" s="68" t="e" cm="1" vm="1">
        <f t="array" ref="VX6">_xlfn._xlws.FILTER(TablaProductos[Nombre producto],TablaProductos[Agrupación]=ProductosPivot!VX5)</f>
        <v>#VALUE!</v>
      </c>
      <c r="VY6" s="68" t="e" cm="1" vm="1">
        <f t="array" ref="VY6">_xlfn._xlws.FILTER(TablaProductos[Nombre producto],TablaProductos[Agrupación]=ProductosPivot!VY5)</f>
        <v>#VALUE!</v>
      </c>
      <c r="VZ6" s="68" t="e" cm="1" vm="1">
        <f t="array" ref="VZ6">_xlfn._xlws.FILTER(TablaProductos[Nombre producto],TablaProductos[Agrupación]=ProductosPivot!VZ5)</f>
        <v>#VALUE!</v>
      </c>
      <c r="WA6" s="68" t="e" cm="1" vm="1">
        <f t="array" ref="WA6">_xlfn._xlws.FILTER(TablaProductos[Nombre producto],TablaProductos[Agrupación]=ProductosPivot!WA5)</f>
        <v>#VALUE!</v>
      </c>
      <c r="WB6" s="68" t="e" cm="1" vm="1">
        <f t="array" ref="WB6">_xlfn._xlws.FILTER(TablaProductos[Nombre producto],TablaProductos[Agrupación]=ProductosPivot!WB5)</f>
        <v>#VALUE!</v>
      </c>
      <c r="WC6" s="68" t="e" cm="1" vm="1">
        <f t="array" ref="WC6">_xlfn._xlws.FILTER(TablaProductos[Nombre producto],TablaProductos[Agrupación]=ProductosPivot!WC5)</f>
        <v>#VALUE!</v>
      </c>
      <c r="WD6" s="68" t="e" cm="1" vm="1">
        <f t="array" ref="WD6">_xlfn._xlws.FILTER(TablaProductos[Nombre producto],TablaProductos[Agrupación]=ProductosPivot!WD5)</f>
        <v>#VALUE!</v>
      </c>
      <c r="WE6" s="68" t="e" cm="1" vm="1">
        <f t="array" ref="WE6">_xlfn._xlws.FILTER(TablaProductos[Nombre producto],TablaProductos[Agrupación]=ProductosPivot!WE5)</f>
        <v>#VALUE!</v>
      </c>
      <c r="WF6" s="68" t="e" cm="1" vm="1">
        <f t="array" ref="WF6">_xlfn._xlws.FILTER(TablaProductos[Nombre producto],TablaProductos[Agrupación]=ProductosPivot!WF5)</f>
        <v>#VALUE!</v>
      </c>
      <c r="WG6" s="68" t="e" cm="1" vm="1">
        <f t="array" ref="WG6">_xlfn._xlws.FILTER(TablaProductos[Nombre producto],TablaProductos[Agrupación]=ProductosPivot!WG5)</f>
        <v>#VALUE!</v>
      </c>
      <c r="WH6" s="68" t="e" cm="1" vm="1">
        <f t="array" ref="WH6">_xlfn._xlws.FILTER(TablaProductos[Nombre producto],TablaProductos[Agrupación]=ProductosPivot!WH5)</f>
        <v>#VALUE!</v>
      </c>
      <c r="WI6" s="68" t="e" cm="1" vm="1">
        <f t="array" ref="WI6">_xlfn._xlws.FILTER(TablaProductos[Nombre producto],TablaProductos[Agrupación]=ProductosPivot!WI5)</f>
        <v>#VALUE!</v>
      </c>
      <c r="WJ6" s="68" t="e" cm="1" vm="1">
        <f t="array" ref="WJ6">_xlfn._xlws.FILTER(TablaProductos[Nombre producto],TablaProductos[Agrupación]=ProductosPivot!WJ5)</f>
        <v>#VALUE!</v>
      </c>
      <c r="WK6" s="68" t="e" cm="1" vm="1">
        <f t="array" ref="WK6">_xlfn._xlws.FILTER(TablaProductos[Nombre producto],TablaProductos[Agrupación]=ProductosPivot!WK5)</f>
        <v>#VALUE!</v>
      </c>
      <c r="WL6" s="68" t="e" cm="1" vm="1">
        <f t="array" ref="WL6">_xlfn._xlws.FILTER(TablaProductos[Nombre producto],TablaProductos[Agrupación]=ProductosPivot!WL5)</f>
        <v>#VALUE!</v>
      </c>
      <c r="WM6" s="68" t="e" cm="1" vm="1">
        <f t="array" ref="WM6">_xlfn._xlws.FILTER(TablaProductos[Nombre producto],TablaProductos[Agrupación]=ProductosPivot!WM5)</f>
        <v>#VALUE!</v>
      </c>
      <c r="WN6" s="68" t="e" cm="1" vm="1">
        <f t="array" ref="WN6">_xlfn._xlws.FILTER(TablaProductos[Nombre producto],TablaProductos[Agrupación]=ProductosPivot!WN5)</f>
        <v>#VALUE!</v>
      </c>
      <c r="WO6" s="68" t="e" cm="1" vm="1">
        <f t="array" ref="WO6">_xlfn._xlws.FILTER(TablaProductos[Nombre producto],TablaProductos[Agrupación]=ProductosPivot!WO5)</f>
        <v>#VALUE!</v>
      </c>
      <c r="WP6" s="68" t="e" cm="1" vm="1">
        <f t="array" ref="WP6">_xlfn._xlws.FILTER(TablaProductos[Nombre producto],TablaProductos[Agrupación]=ProductosPivot!WP5)</f>
        <v>#VALUE!</v>
      </c>
      <c r="WQ6" s="68" t="e" cm="1" vm="1">
        <f t="array" ref="WQ6">_xlfn._xlws.FILTER(TablaProductos[Nombre producto],TablaProductos[Agrupación]=ProductosPivot!WQ5)</f>
        <v>#VALUE!</v>
      </c>
      <c r="WR6" s="68" t="e" cm="1" vm="1">
        <f t="array" ref="WR6">_xlfn._xlws.FILTER(TablaProductos[Nombre producto],TablaProductos[Agrupación]=ProductosPivot!WR5)</f>
        <v>#VALUE!</v>
      </c>
      <c r="WS6" s="68" t="e" cm="1" vm="1">
        <f t="array" ref="WS6">_xlfn._xlws.FILTER(TablaProductos[Nombre producto],TablaProductos[Agrupación]=ProductosPivot!WS5)</f>
        <v>#VALUE!</v>
      </c>
      <c r="WT6" s="68" t="e" cm="1" vm="1">
        <f t="array" ref="WT6">_xlfn._xlws.FILTER(TablaProductos[Nombre producto],TablaProductos[Agrupación]=ProductosPivot!WT5)</f>
        <v>#VALUE!</v>
      </c>
      <c r="WU6" s="68" t="e" cm="1" vm="1">
        <f t="array" ref="WU6">_xlfn._xlws.FILTER(TablaProductos[Nombre producto],TablaProductos[Agrupación]=ProductosPivot!WU5)</f>
        <v>#VALUE!</v>
      </c>
      <c r="WV6" s="68" t="e" cm="1" vm="1">
        <f t="array" ref="WV6">_xlfn._xlws.FILTER(TablaProductos[Nombre producto],TablaProductos[Agrupación]=ProductosPivot!WV5)</f>
        <v>#VALUE!</v>
      </c>
      <c r="WW6" s="68" t="e" cm="1" vm="1">
        <f t="array" ref="WW6">_xlfn._xlws.FILTER(TablaProductos[Nombre producto],TablaProductos[Agrupación]=ProductosPivot!WW5)</f>
        <v>#VALUE!</v>
      </c>
      <c r="WX6" s="68" t="e" cm="1" vm="1">
        <f t="array" ref="WX6">_xlfn._xlws.FILTER(TablaProductos[Nombre producto],TablaProductos[Agrupación]=ProductosPivot!WX5)</f>
        <v>#VALUE!</v>
      </c>
      <c r="WY6" s="68" t="e" cm="1" vm="1">
        <f t="array" ref="WY6">_xlfn._xlws.FILTER(TablaProductos[Nombre producto],TablaProductos[Agrupación]=ProductosPivot!WY5)</f>
        <v>#VALUE!</v>
      </c>
      <c r="WZ6" s="68" t="e" cm="1" vm="1">
        <f t="array" ref="WZ6">_xlfn._xlws.FILTER(TablaProductos[Nombre producto],TablaProductos[Agrupación]=ProductosPivot!WZ5)</f>
        <v>#VALUE!</v>
      </c>
      <c r="XA6" s="68" t="e" cm="1" vm="1">
        <f t="array" ref="XA6">_xlfn._xlws.FILTER(TablaProductos[Nombre producto],TablaProductos[Agrupación]=ProductosPivot!XA5)</f>
        <v>#VALUE!</v>
      </c>
      <c r="XB6" s="68" t="e" cm="1" vm="1">
        <f t="array" ref="XB6">_xlfn._xlws.FILTER(TablaProductos[Nombre producto],TablaProductos[Agrupación]=ProductosPivot!XB5)</f>
        <v>#VALUE!</v>
      </c>
      <c r="XC6" s="68" t="e" cm="1" vm="1">
        <f t="array" ref="XC6">_xlfn._xlws.FILTER(TablaProductos[Nombre producto],TablaProductos[Agrupación]=ProductosPivot!XC5)</f>
        <v>#VALUE!</v>
      </c>
      <c r="XD6" s="68" t="e" cm="1" vm="1">
        <f t="array" ref="XD6">_xlfn._xlws.FILTER(TablaProductos[Nombre producto],TablaProductos[Agrupación]=ProductosPivot!XD5)</f>
        <v>#VALUE!</v>
      </c>
      <c r="XE6" s="68" t="e" cm="1" vm="1">
        <f t="array" ref="XE6">_xlfn._xlws.FILTER(TablaProductos[Nombre producto],TablaProductos[Agrupación]=ProductosPivot!XE5)</f>
        <v>#VALUE!</v>
      </c>
      <c r="XF6" s="68" t="e" cm="1" vm="1">
        <f t="array" ref="XF6">_xlfn._xlws.FILTER(TablaProductos[Nombre producto],TablaProductos[Agrupación]=ProductosPivot!XF5)</f>
        <v>#VALUE!</v>
      </c>
      <c r="XG6" s="68" t="e" cm="1" vm="1">
        <f t="array" ref="XG6">_xlfn._xlws.FILTER(TablaProductos[Nombre producto],TablaProductos[Agrupación]=ProductosPivot!XG5)</f>
        <v>#VALUE!</v>
      </c>
      <c r="XH6" s="68" t="e" cm="1" vm="1">
        <f t="array" ref="XH6">_xlfn._xlws.FILTER(TablaProductos[Nombre producto],TablaProductos[Agrupación]=ProductosPivot!XH5)</f>
        <v>#VALUE!</v>
      </c>
      <c r="XI6" s="68" t="e" cm="1" vm="1">
        <f t="array" ref="XI6">_xlfn._xlws.FILTER(TablaProductos[Nombre producto],TablaProductos[Agrupación]=ProductosPivot!XI5)</f>
        <v>#VALUE!</v>
      </c>
      <c r="XJ6" s="68" t="e" cm="1" vm="1">
        <f t="array" ref="XJ6">_xlfn._xlws.FILTER(TablaProductos[Nombre producto],TablaProductos[Agrupación]=ProductosPivot!XJ5)</f>
        <v>#VALUE!</v>
      </c>
      <c r="XK6" s="68" t="e" cm="1" vm="1">
        <f t="array" ref="XK6">_xlfn._xlws.FILTER(TablaProductos[Nombre producto],TablaProductos[Agrupación]=ProductosPivot!XK5)</f>
        <v>#VALUE!</v>
      </c>
      <c r="XL6" s="68" t="e" cm="1" vm="1">
        <f t="array" ref="XL6">_xlfn._xlws.FILTER(TablaProductos[Nombre producto],TablaProductos[Agrupación]=ProductosPivot!XL5)</f>
        <v>#VALUE!</v>
      </c>
      <c r="XM6" s="68" t="e" cm="1" vm="1">
        <f t="array" ref="XM6">_xlfn._xlws.FILTER(TablaProductos[Nombre producto],TablaProductos[Agrupación]=ProductosPivot!XM5)</f>
        <v>#VALUE!</v>
      </c>
      <c r="XN6" s="68" t="e" cm="1" vm="1">
        <f t="array" ref="XN6">_xlfn._xlws.FILTER(TablaProductos[Nombre producto],TablaProductos[Agrupación]=ProductosPivot!XN5)</f>
        <v>#VALUE!</v>
      </c>
      <c r="XO6" s="68" t="e" cm="1" vm="1">
        <f t="array" ref="XO6">_xlfn._xlws.FILTER(TablaProductos[Nombre producto],TablaProductos[Agrupación]=ProductosPivot!XO5)</f>
        <v>#VALUE!</v>
      </c>
      <c r="XP6" s="68" t="e" cm="1" vm="1">
        <f t="array" ref="XP6">_xlfn._xlws.FILTER(TablaProductos[Nombre producto],TablaProductos[Agrupación]=ProductosPivot!XP5)</f>
        <v>#VALUE!</v>
      </c>
      <c r="XQ6" s="68" t="e" cm="1" vm="1">
        <f t="array" ref="XQ6">_xlfn._xlws.FILTER(TablaProductos[Nombre producto],TablaProductos[Agrupación]=ProductosPivot!XQ5)</f>
        <v>#VALUE!</v>
      </c>
      <c r="XR6" s="68" t="e" cm="1" vm="1">
        <f t="array" ref="XR6">_xlfn._xlws.FILTER(TablaProductos[Nombre producto],TablaProductos[Agrupación]=ProductosPivot!XR5)</f>
        <v>#VALUE!</v>
      </c>
      <c r="XS6" s="68" t="e" cm="1" vm="1">
        <f t="array" ref="XS6">_xlfn._xlws.FILTER(TablaProductos[Nombre producto],TablaProductos[Agrupación]=ProductosPivot!XS5)</f>
        <v>#VALUE!</v>
      </c>
      <c r="XT6" s="68" t="e" cm="1" vm="1">
        <f t="array" ref="XT6">_xlfn._xlws.FILTER(TablaProductos[Nombre producto],TablaProductos[Agrupación]=ProductosPivot!XT5)</f>
        <v>#VALUE!</v>
      </c>
      <c r="XU6" s="68" t="e" cm="1" vm="1">
        <f t="array" ref="XU6">_xlfn._xlws.FILTER(TablaProductos[Nombre producto],TablaProductos[Agrupación]=ProductosPivot!XU5)</f>
        <v>#VALUE!</v>
      </c>
      <c r="XV6" s="68" t="e" cm="1" vm="1">
        <f t="array" ref="XV6">_xlfn._xlws.FILTER(TablaProductos[Nombre producto],TablaProductos[Agrupación]=ProductosPivot!XV5)</f>
        <v>#VALUE!</v>
      </c>
      <c r="XW6" s="68" t="e" cm="1" vm="1">
        <f t="array" ref="XW6">_xlfn._xlws.FILTER(TablaProductos[Nombre producto],TablaProductos[Agrupación]=ProductosPivot!XW5)</f>
        <v>#VALUE!</v>
      </c>
      <c r="XX6" s="68" t="e" cm="1" vm="1">
        <f t="array" ref="XX6">_xlfn._xlws.FILTER(TablaProductos[Nombre producto],TablaProductos[Agrupación]=ProductosPivot!XX5)</f>
        <v>#VALUE!</v>
      </c>
      <c r="XY6" s="68" t="e" cm="1" vm="1">
        <f t="array" ref="XY6">_xlfn._xlws.FILTER(TablaProductos[Nombre producto],TablaProductos[Agrupación]=ProductosPivot!XY5)</f>
        <v>#VALUE!</v>
      </c>
      <c r="XZ6" s="68" t="e" cm="1" vm="1">
        <f t="array" ref="XZ6">_xlfn._xlws.FILTER(TablaProductos[Nombre producto],TablaProductos[Agrupación]=ProductosPivot!XZ5)</f>
        <v>#VALUE!</v>
      </c>
      <c r="YA6" s="68" t="e" cm="1" vm="1">
        <f t="array" ref="YA6">_xlfn._xlws.FILTER(TablaProductos[Nombre producto],TablaProductos[Agrupación]=ProductosPivot!YA5)</f>
        <v>#VALUE!</v>
      </c>
      <c r="YB6" s="68" t="e" cm="1" vm="1">
        <f t="array" ref="YB6">_xlfn._xlws.FILTER(TablaProductos[Nombre producto],TablaProductos[Agrupación]=ProductosPivot!YB5)</f>
        <v>#VALUE!</v>
      </c>
      <c r="YC6" s="68" t="e" cm="1" vm="1">
        <f t="array" ref="YC6">_xlfn._xlws.FILTER(TablaProductos[Nombre producto],TablaProductos[Agrupación]=ProductosPivot!YC5)</f>
        <v>#VALUE!</v>
      </c>
      <c r="YD6" s="68" t="e" cm="1" vm="1">
        <f t="array" ref="YD6">_xlfn._xlws.FILTER(TablaProductos[Nombre producto],TablaProductos[Agrupación]=ProductosPivot!YD5)</f>
        <v>#VALUE!</v>
      </c>
      <c r="YE6" s="68" t="e" cm="1" vm="1">
        <f t="array" ref="YE6">_xlfn._xlws.FILTER(TablaProductos[Nombre producto],TablaProductos[Agrupación]=ProductosPivot!YE5)</f>
        <v>#VALUE!</v>
      </c>
      <c r="YF6" s="68" t="e" cm="1" vm="1">
        <f t="array" ref="YF6">_xlfn._xlws.FILTER(TablaProductos[Nombre producto],TablaProductos[Agrupación]=ProductosPivot!YF5)</f>
        <v>#VALUE!</v>
      </c>
      <c r="YG6" s="68" t="e" cm="1" vm="1">
        <f t="array" ref="YG6">_xlfn._xlws.FILTER(TablaProductos[Nombre producto],TablaProductos[Agrupación]=ProductosPivot!YG5)</f>
        <v>#VALUE!</v>
      </c>
      <c r="YH6" s="68" t="e" cm="1" vm="1">
        <f t="array" ref="YH6">_xlfn._xlws.FILTER(TablaProductos[Nombre producto],TablaProductos[Agrupación]=ProductosPivot!YH5)</f>
        <v>#VALUE!</v>
      </c>
      <c r="YI6" s="68" t="e" cm="1" vm="1">
        <f t="array" ref="YI6">_xlfn._xlws.FILTER(TablaProductos[Nombre producto],TablaProductos[Agrupación]=ProductosPivot!YI5)</f>
        <v>#VALUE!</v>
      </c>
      <c r="YJ6" s="68" t="e" cm="1" vm="1">
        <f t="array" ref="YJ6">_xlfn._xlws.FILTER(TablaProductos[Nombre producto],TablaProductos[Agrupación]=ProductosPivot!YJ5)</f>
        <v>#VALUE!</v>
      </c>
      <c r="YK6" s="68" t="e" cm="1" vm="1">
        <f t="array" ref="YK6">_xlfn._xlws.FILTER(TablaProductos[Nombre producto],TablaProductos[Agrupación]=ProductosPivot!YK5)</f>
        <v>#VALUE!</v>
      </c>
      <c r="YL6" s="68" t="e" cm="1" vm="1">
        <f t="array" ref="YL6">_xlfn._xlws.FILTER(TablaProductos[Nombre producto],TablaProductos[Agrupación]=ProductosPivot!YL5)</f>
        <v>#VALUE!</v>
      </c>
      <c r="YM6" s="68" t="e" cm="1" vm="1">
        <f t="array" ref="YM6">_xlfn._xlws.FILTER(TablaProductos[Nombre producto],TablaProductos[Agrupación]=ProductosPivot!YM5)</f>
        <v>#VALUE!</v>
      </c>
      <c r="YN6" s="68" t="e" cm="1" vm="1">
        <f t="array" ref="YN6">_xlfn._xlws.FILTER(TablaProductos[Nombre producto],TablaProductos[Agrupación]=ProductosPivot!YN5)</f>
        <v>#VALUE!</v>
      </c>
      <c r="YO6" s="68" t="e" cm="1" vm="1">
        <f t="array" ref="YO6">_xlfn._xlws.FILTER(TablaProductos[Nombre producto],TablaProductos[Agrupación]=ProductosPivot!YO5)</f>
        <v>#VALUE!</v>
      </c>
      <c r="YP6" s="68" t="e" cm="1" vm="1">
        <f t="array" ref="YP6">_xlfn._xlws.FILTER(TablaProductos[Nombre producto],TablaProductos[Agrupación]=ProductosPivot!YP5)</f>
        <v>#VALUE!</v>
      </c>
      <c r="YQ6" s="68" t="e" cm="1" vm="1">
        <f t="array" ref="YQ6">_xlfn._xlws.FILTER(TablaProductos[Nombre producto],TablaProductos[Agrupación]=ProductosPivot!YQ5)</f>
        <v>#VALUE!</v>
      </c>
      <c r="YR6" s="68" t="e" cm="1" vm="1">
        <f t="array" ref="YR6">_xlfn._xlws.FILTER(TablaProductos[Nombre producto],TablaProductos[Agrupación]=ProductosPivot!YR5)</f>
        <v>#VALUE!</v>
      </c>
      <c r="YS6" s="68" t="e" cm="1" vm="1">
        <f t="array" ref="YS6">_xlfn._xlws.FILTER(TablaProductos[Nombre producto],TablaProductos[Agrupación]=ProductosPivot!YS5)</f>
        <v>#VALUE!</v>
      </c>
      <c r="YT6" s="68" t="e" cm="1" vm="1">
        <f t="array" ref="YT6">_xlfn._xlws.FILTER(TablaProductos[Nombre producto],TablaProductos[Agrupación]=ProductosPivot!YT5)</f>
        <v>#VALUE!</v>
      </c>
      <c r="YU6" s="68" t="e" cm="1" vm="1">
        <f t="array" ref="YU6">_xlfn._xlws.FILTER(TablaProductos[Nombre producto],TablaProductos[Agrupación]=ProductosPivot!YU5)</f>
        <v>#VALUE!</v>
      </c>
      <c r="YV6" s="68" t="e" cm="1" vm="1">
        <f t="array" ref="YV6">_xlfn._xlws.FILTER(TablaProductos[Nombre producto],TablaProductos[Agrupación]=ProductosPivot!YV5)</f>
        <v>#VALUE!</v>
      </c>
      <c r="YW6" s="68" t="e" cm="1" vm="1">
        <f t="array" ref="YW6">_xlfn._xlws.FILTER(TablaProductos[Nombre producto],TablaProductos[Agrupación]=ProductosPivot!YW5)</f>
        <v>#VALUE!</v>
      </c>
      <c r="YX6" s="68" t="e" cm="1" vm="1">
        <f t="array" ref="YX6">_xlfn._xlws.FILTER(TablaProductos[Nombre producto],TablaProductos[Agrupación]=ProductosPivot!YX5)</f>
        <v>#VALUE!</v>
      </c>
      <c r="YY6" s="68" t="e" cm="1" vm="1">
        <f t="array" ref="YY6">_xlfn._xlws.FILTER(TablaProductos[Nombre producto],TablaProductos[Agrupación]=ProductosPivot!YY5)</f>
        <v>#VALUE!</v>
      </c>
      <c r="YZ6" s="68" t="e" cm="1" vm="1">
        <f t="array" ref="YZ6">_xlfn._xlws.FILTER(TablaProductos[Nombre producto],TablaProductos[Agrupación]=ProductosPivot!YZ5)</f>
        <v>#VALUE!</v>
      </c>
      <c r="ZA6" s="68" t="e" cm="1" vm="1">
        <f t="array" ref="ZA6">_xlfn._xlws.FILTER(TablaProductos[Nombre producto],TablaProductos[Agrupación]=ProductosPivot!ZA5)</f>
        <v>#VALUE!</v>
      </c>
      <c r="ZB6" s="68" t="e" cm="1" vm="1">
        <f t="array" ref="ZB6">_xlfn._xlws.FILTER(TablaProductos[Nombre producto],TablaProductos[Agrupación]=ProductosPivot!ZB5)</f>
        <v>#VALUE!</v>
      </c>
      <c r="ZC6" s="68" t="e" cm="1" vm="1">
        <f t="array" ref="ZC6">_xlfn._xlws.FILTER(TablaProductos[Nombre producto],TablaProductos[Agrupación]=ProductosPivot!ZC5)</f>
        <v>#VALUE!</v>
      </c>
      <c r="ZD6" s="68" t="e" cm="1" vm="1">
        <f t="array" ref="ZD6">_xlfn._xlws.FILTER(TablaProductos[Nombre producto],TablaProductos[Agrupación]=ProductosPivot!ZD5)</f>
        <v>#VALUE!</v>
      </c>
      <c r="ZE6" s="68" t="e" cm="1" vm="1">
        <f t="array" ref="ZE6">_xlfn._xlws.FILTER(TablaProductos[Nombre producto],TablaProductos[Agrupación]=ProductosPivot!ZE5)</f>
        <v>#VALUE!</v>
      </c>
      <c r="ZF6" s="68" t="e" cm="1" vm="1">
        <f t="array" ref="ZF6">_xlfn._xlws.FILTER(TablaProductos[Nombre producto],TablaProductos[Agrupación]=ProductosPivot!ZF5)</f>
        <v>#VALUE!</v>
      </c>
      <c r="ZG6" s="68" t="e" cm="1" vm="1">
        <f t="array" ref="ZG6">_xlfn._xlws.FILTER(TablaProductos[Nombre producto],TablaProductos[Agrupación]=ProductosPivot!ZG5)</f>
        <v>#VALUE!</v>
      </c>
      <c r="ZH6" s="68" t="e" cm="1" vm="1">
        <f t="array" ref="ZH6">_xlfn._xlws.FILTER(TablaProductos[Nombre producto],TablaProductos[Agrupación]=ProductosPivot!ZH5)</f>
        <v>#VALUE!</v>
      </c>
      <c r="ZI6" s="68" t="e" cm="1" vm="1">
        <f t="array" ref="ZI6">_xlfn._xlws.FILTER(TablaProductos[Nombre producto],TablaProductos[Agrupación]=ProductosPivot!ZI5)</f>
        <v>#VALUE!</v>
      </c>
      <c r="ZJ6" s="68" t="e" cm="1" vm="1">
        <f t="array" ref="ZJ6">_xlfn._xlws.FILTER(TablaProductos[Nombre producto],TablaProductos[Agrupación]=ProductosPivot!ZJ5)</f>
        <v>#VALUE!</v>
      </c>
      <c r="ZK6" s="68" t="e" cm="1" vm="1">
        <f t="array" ref="ZK6">_xlfn._xlws.FILTER(TablaProductos[Nombre producto],TablaProductos[Agrupación]=ProductosPivot!ZK5)</f>
        <v>#VALUE!</v>
      </c>
      <c r="ZL6" s="68" t="e" cm="1" vm="1">
        <f t="array" ref="ZL6">_xlfn._xlws.FILTER(TablaProductos[Nombre producto],TablaProductos[Agrupación]=ProductosPivot!ZL5)</f>
        <v>#VALUE!</v>
      </c>
      <c r="ZM6" s="68" t="e" cm="1" vm="1">
        <f t="array" ref="ZM6">_xlfn._xlws.FILTER(TablaProductos[Nombre producto],TablaProductos[Agrupación]=ProductosPivot!ZM5)</f>
        <v>#VALUE!</v>
      </c>
      <c r="ZN6" s="68" t="e" cm="1" vm="1">
        <f t="array" ref="ZN6">_xlfn._xlws.FILTER(TablaProductos[Nombre producto],TablaProductos[Agrupación]=ProductosPivot!ZN5)</f>
        <v>#VALUE!</v>
      </c>
      <c r="ZO6" s="68" t="e" cm="1" vm="1">
        <f t="array" ref="ZO6">_xlfn._xlws.FILTER(TablaProductos[Nombre producto],TablaProductos[Agrupación]=ProductosPivot!ZO5)</f>
        <v>#VALUE!</v>
      </c>
      <c r="ZP6" s="68" t="e" cm="1" vm="1">
        <f t="array" ref="ZP6">_xlfn._xlws.FILTER(TablaProductos[Nombre producto],TablaProductos[Agrupación]=ProductosPivot!ZP5)</f>
        <v>#VALUE!</v>
      </c>
      <c r="ZQ6" s="68" t="e" cm="1" vm="1">
        <f t="array" ref="ZQ6">_xlfn._xlws.FILTER(TablaProductos[Nombre producto],TablaProductos[Agrupación]=ProductosPivot!ZQ5)</f>
        <v>#VALUE!</v>
      </c>
      <c r="ZR6" s="68" t="e" cm="1" vm="1">
        <f t="array" ref="ZR6">_xlfn._xlws.FILTER(TablaProductos[Nombre producto],TablaProductos[Agrupación]=ProductosPivot!ZR5)</f>
        <v>#VALUE!</v>
      </c>
      <c r="ZS6" s="68" t="e" cm="1" vm="1">
        <f t="array" ref="ZS6">_xlfn._xlws.FILTER(TablaProductos[Nombre producto],TablaProductos[Agrupación]=ProductosPivot!ZS5)</f>
        <v>#VALUE!</v>
      </c>
      <c r="ZT6" s="68" t="e" cm="1" vm="1">
        <f t="array" ref="ZT6">_xlfn._xlws.FILTER(TablaProductos[Nombre producto],TablaProductos[Agrupación]=ProductosPivot!ZT5)</f>
        <v>#VALUE!</v>
      </c>
      <c r="ZU6" s="68" t="e" cm="1" vm="1">
        <f t="array" ref="ZU6">_xlfn._xlws.FILTER(TablaProductos[Nombre producto],TablaProductos[Agrupación]=ProductosPivot!ZU5)</f>
        <v>#VALUE!</v>
      </c>
      <c r="ZV6" s="68" t="e" cm="1" vm="1">
        <f t="array" ref="ZV6">_xlfn._xlws.FILTER(TablaProductos[Nombre producto],TablaProductos[Agrupación]=ProductosPivot!ZV5)</f>
        <v>#VALUE!</v>
      </c>
      <c r="ZW6" s="68" t="e" cm="1" vm="1">
        <f t="array" ref="ZW6">_xlfn._xlws.FILTER(TablaProductos[Nombre producto],TablaProductos[Agrupación]=ProductosPivot!ZW5)</f>
        <v>#VALUE!</v>
      </c>
      <c r="ZX6" s="68" t="e" cm="1" vm="1">
        <f t="array" ref="ZX6">_xlfn._xlws.FILTER(TablaProductos[Nombre producto],TablaProductos[Agrupación]=ProductosPivot!ZX5)</f>
        <v>#VALUE!</v>
      </c>
      <c r="ZY6" s="68" t="e" cm="1" vm="1">
        <f t="array" ref="ZY6">_xlfn._xlws.FILTER(TablaProductos[Nombre producto],TablaProductos[Agrupación]=ProductosPivot!ZY5)</f>
        <v>#VALUE!</v>
      </c>
      <c r="ZZ6" s="68" t="e" cm="1" vm="1">
        <f t="array" ref="ZZ6">_xlfn._xlws.FILTER(TablaProductos[Nombre producto],TablaProductos[Agrupación]=ProductosPivot!ZZ5)</f>
        <v>#VALUE!</v>
      </c>
      <c r="AAA6" s="68" t="e" cm="1" vm="1">
        <f t="array" ref="AAA6">_xlfn._xlws.FILTER(TablaProductos[Nombre producto],TablaProductos[Agrupación]=ProductosPivot!AAA5)</f>
        <v>#VALUE!</v>
      </c>
      <c r="AAB6" s="68" t="e" cm="1" vm="1">
        <f t="array" ref="AAB6">_xlfn._xlws.FILTER(TablaProductos[Nombre producto],TablaProductos[Agrupación]=ProductosPivot!AAB5)</f>
        <v>#VALUE!</v>
      </c>
      <c r="AAC6" s="68" t="e" cm="1" vm="1">
        <f t="array" ref="AAC6">_xlfn._xlws.FILTER(TablaProductos[Nombre producto],TablaProductos[Agrupación]=ProductosPivot!AAC5)</f>
        <v>#VALUE!</v>
      </c>
      <c r="AAD6" s="68" t="e" cm="1" vm="1">
        <f t="array" ref="AAD6">_xlfn._xlws.FILTER(TablaProductos[Nombre producto],TablaProductos[Agrupación]=ProductosPivot!AAD5)</f>
        <v>#VALUE!</v>
      </c>
      <c r="AAE6" s="68" t="e" cm="1" vm="1">
        <f t="array" ref="AAE6">_xlfn._xlws.FILTER(TablaProductos[Nombre producto],TablaProductos[Agrupación]=ProductosPivot!AAE5)</f>
        <v>#VALUE!</v>
      </c>
      <c r="AAF6" s="68" t="e" cm="1" vm="1">
        <f t="array" ref="AAF6">_xlfn._xlws.FILTER(TablaProductos[Nombre producto],TablaProductos[Agrupación]=ProductosPivot!AAF5)</f>
        <v>#VALUE!</v>
      </c>
      <c r="AAG6" s="68" t="e" cm="1" vm="1">
        <f t="array" ref="AAG6">_xlfn._xlws.FILTER(TablaProductos[Nombre producto],TablaProductos[Agrupación]=ProductosPivot!AAG5)</f>
        <v>#VALUE!</v>
      </c>
      <c r="AAH6" s="68" t="e" cm="1" vm="1">
        <f t="array" ref="AAH6">_xlfn._xlws.FILTER(TablaProductos[Nombre producto],TablaProductos[Agrupación]=ProductosPivot!AAH5)</f>
        <v>#VALUE!</v>
      </c>
      <c r="AAI6" s="68" t="e" cm="1" vm="1">
        <f t="array" ref="AAI6">_xlfn._xlws.FILTER(TablaProductos[Nombre producto],TablaProductos[Agrupación]=ProductosPivot!AAI5)</f>
        <v>#VALUE!</v>
      </c>
      <c r="AAJ6" s="68" t="e" cm="1" vm="1">
        <f t="array" ref="AAJ6">_xlfn._xlws.FILTER(TablaProductos[Nombre producto],TablaProductos[Agrupación]=ProductosPivot!AAJ5)</f>
        <v>#VALUE!</v>
      </c>
      <c r="AAK6" s="68" t="e" cm="1" vm="1">
        <f t="array" ref="AAK6">_xlfn._xlws.FILTER(TablaProductos[Nombre producto],TablaProductos[Agrupación]=ProductosPivot!AAK5)</f>
        <v>#VALUE!</v>
      </c>
      <c r="AAL6" s="68" t="e" cm="1" vm="1">
        <f t="array" ref="AAL6">_xlfn._xlws.FILTER(TablaProductos[Nombre producto],TablaProductos[Agrupación]=ProductosPivot!AAL5)</f>
        <v>#VALUE!</v>
      </c>
      <c r="AAM6" s="68" t="e" cm="1" vm="1">
        <f t="array" ref="AAM6">_xlfn._xlws.FILTER(TablaProductos[Nombre producto],TablaProductos[Agrupación]=ProductosPivot!AAM5)</f>
        <v>#VALUE!</v>
      </c>
      <c r="AAN6" s="68" t="e" cm="1" vm="1">
        <f t="array" ref="AAN6">_xlfn._xlws.FILTER(TablaProductos[Nombre producto],TablaProductos[Agrupación]=ProductosPivot!AAN5)</f>
        <v>#VALUE!</v>
      </c>
      <c r="AAO6" s="68" t="e" cm="1" vm="1">
        <f t="array" ref="AAO6">_xlfn._xlws.FILTER(TablaProductos[Nombre producto],TablaProductos[Agrupación]=ProductosPivot!AAO5)</f>
        <v>#VALUE!</v>
      </c>
      <c r="AAP6" s="68" t="e" cm="1" vm="1">
        <f t="array" ref="AAP6">_xlfn._xlws.FILTER(TablaProductos[Nombre producto],TablaProductos[Agrupación]=ProductosPivot!AAP5)</f>
        <v>#VALUE!</v>
      </c>
      <c r="AAQ6" s="68" t="e" cm="1" vm="1">
        <f t="array" ref="AAQ6">_xlfn._xlws.FILTER(TablaProductos[Nombre producto],TablaProductos[Agrupación]=ProductosPivot!AAQ5)</f>
        <v>#VALUE!</v>
      </c>
      <c r="AAR6" s="68" t="e" cm="1" vm="1">
        <f t="array" ref="AAR6">_xlfn._xlws.FILTER(TablaProductos[Nombre producto],TablaProductos[Agrupación]=ProductosPivot!AAR5)</f>
        <v>#VALUE!</v>
      </c>
      <c r="AAS6" s="68" t="e" cm="1" vm="1">
        <f t="array" ref="AAS6">_xlfn._xlws.FILTER(TablaProductos[Nombre producto],TablaProductos[Agrupación]=ProductosPivot!AAS5)</f>
        <v>#VALUE!</v>
      </c>
      <c r="AAT6" s="68" t="e" cm="1" vm="1">
        <f t="array" ref="AAT6">_xlfn._xlws.FILTER(TablaProductos[Nombre producto],TablaProductos[Agrupación]=ProductosPivot!AAT5)</f>
        <v>#VALUE!</v>
      </c>
      <c r="AAU6" s="68" t="e" cm="1" vm="1">
        <f t="array" ref="AAU6">_xlfn._xlws.FILTER(TablaProductos[Nombre producto],TablaProductos[Agrupación]=ProductosPivot!AAU5)</f>
        <v>#VALUE!</v>
      </c>
      <c r="AAV6" s="68" t="e" cm="1" vm="1">
        <f t="array" ref="AAV6">_xlfn._xlws.FILTER(TablaProductos[Nombre producto],TablaProductos[Agrupación]=ProductosPivot!AAV5)</f>
        <v>#VALUE!</v>
      </c>
      <c r="AAW6" s="68" t="e" cm="1" vm="1">
        <f t="array" ref="AAW6">_xlfn._xlws.FILTER(TablaProductos[Nombre producto],TablaProductos[Agrupación]=ProductosPivot!AAW5)</f>
        <v>#VALUE!</v>
      </c>
      <c r="AAX6" s="68" t="e" cm="1" vm="1">
        <f t="array" ref="AAX6">_xlfn._xlws.FILTER(TablaProductos[Nombre producto],TablaProductos[Agrupación]=ProductosPivot!AAX5)</f>
        <v>#VALUE!</v>
      </c>
      <c r="AAY6" s="68" t="e" cm="1" vm="1">
        <f t="array" ref="AAY6">_xlfn._xlws.FILTER(TablaProductos[Nombre producto],TablaProductos[Agrupación]=ProductosPivot!AAY5)</f>
        <v>#VALUE!</v>
      </c>
      <c r="AAZ6" s="68" t="e" cm="1" vm="1">
        <f t="array" ref="AAZ6">_xlfn._xlws.FILTER(TablaProductos[Nombre producto],TablaProductos[Agrupación]=ProductosPivot!AAZ5)</f>
        <v>#VALUE!</v>
      </c>
      <c r="ABA6" s="68" t="e" cm="1" vm="1">
        <f t="array" ref="ABA6">_xlfn._xlws.FILTER(TablaProductos[Nombre producto],TablaProductos[Agrupación]=ProductosPivot!ABA5)</f>
        <v>#VALUE!</v>
      </c>
      <c r="ABB6" s="68" t="e" cm="1" vm="1">
        <f t="array" ref="ABB6">_xlfn._xlws.FILTER(TablaProductos[Nombre producto],TablaProductos[Agrupación]=ProductosPivot!ABB5)</f>
        <v>#VALUE!</v>
      </c>
      <c r="ABC6" s="68" t="e" cm="1" vm="1">
        <f t="array" ref="ABC6">_xlfn._xlws.FILTER(TablaProductos[Nombre producto],TablaProductos[Agrupación]=ProductosPivot!ABC5)</f>
        <v>#VALUE!</v>
      </c>
      <c r="ABD6" s="68" t="e" cm="1" vm="1">
        <f t="array" ref="ABD6">_xlfn._xlws.FILTER(TablaProductos[Nombre producto],TablaProductos[Agrupación]=ProductosPivot!ABD5)</f>
        <v>#VALUE!</v>
      </c>
      <c r="ABE6" s="68" t="e" cm="1" vm="1">
        <f t="array" ref="ABE6">_xlfn._xlws.FILTER(TablaProductos[Nombre producto],TablaProductos[Agrupación]=ProductosPivot!ABE5)</f>
        <v>#VALUE!</v>
      </c>
      <c r="ABF6" s="68" t="e" cm="1" vm="1">
        <f t="array" ref="ABF6">_xlfn._xlws.FILTER(TablaProductos[Nombre producto],TablaProductos[Agrupación]=ProductosPivot!ABF5)</f>
        <v>#VALUE!</v>
      </c>
      <c r="ABG6" s="68" t="e" cm="1" vm="1">
        <f t="array" ref="ABG6">_xlfn._xlws.FILTER(TablaProductos[Nombre producto],TablaProductos[Agrupación]=ProductosPivot!ABG5)</f>
        <v>#VALUE!</v>
      </c>
      <c r="ABH6" s="68" t="e" cm="1" vm="1">
        <f t="array" ref="ABH6">_xlfn._xlws.FILTER(TablaProductos[Nombre producto],TablaProductos[Agrupación]=ProductosPivot!ABH5)</f>
        <v>#VALUE!</v>
      </c>
      <c r="ABI6" s="68" t="e" cm="1" vm="1">
        <f t="array" ref="ABI6">_xlfn._xlws.FILTER(TablaProductos[Nombre producto],TablaProductos[Agrupación]=ProductosPivot!ABI5)</f>
        <v>#VALUE!</v>
      </c>
      <c r="ABJ6" s="68" t="e" cm="1" vm="1">
        <f t="array" ref="ABJ6">_xlfn._xlws.FILTER(TablaProductos[Nombre producto],TablaProductos[Agrupación]=ProductosPivot!ABJ5)</f>
        <v>#VALUE!</v>
      </c>
      <c r="ABK6" s="68" t="e" cm="1" vm="1">
        <f t="array" ref="ABK6">_xlfn._xlws.FILTER(TablaProductos[Nombre producto],TablaProductos[Agrupación]=ProductosPivot!ABK5)</f>
        <v>#VALUE!</v>
      </c>
      <c r="ABL6" s="68" t="e" cm="1" vm="1">
        <f t="array" ref="ABL6">_xlfn._xlws.FILTER(TablaProductos[Nombre producto],TablaProductos[Agrupación]=ProductosPivot!ABL5)</f>
        <v>#VALUE!</v>
      </c>
      <c r="ABM6" s="68" t="e" cm="1" vm="1">
        <f t="array" ref="ABM6">_xlfn._xlws.FILTER(TablaProductos[Nombre producto],TablaProductos[Agrupación]=ProductosPivot!ABM5)</f>
        <v>#VALUE!</v>
      </c>
      <c r="ABN6" s="68" t="e" cm="1" vm="1">
        <f t="array" ref="ABN6">_xlfn._xlws.FILTER(TablaProductos[Nombre producto],TablaProductos[Agrupación]=ProductosPivot!ABN5)</f>
        <v>#VALUE!</v>
      </c>
      <c r="ABO6" s="68" t="e" cm="1" vm="1">
        <f t="array" ref="ABO6">_xlfn._xlws.FILTER(TablaProductos[Nombre producto],TablaProductos[Agrupación]=ProductosPivot!ABO5)</f>
        <v>#VALUE!</v>
      </c>
      <c r="ABP6" s="68" t="e" cm="1" vm="1">
        <f t="array" ref="ABP6">_xlfn._xlws.FILTER(TablaProductos[Nombre producto],TablaProductos[Agrupación]=ProductosPivot!ABP5)</f>
        <v>#VALUE!</v>
      </c>
      <c r="ABQ6" s="68" t="e" cm="1" vm="1">
        <f t="array" ref="ABQ6">_xlfn._xlws.FILTER(TablaProductos[Nombre producto],TablaProductos[Agrupación]=ProductosPivot!ABQ5)</f>
        <v>#VALUE!</v>
      </c>
      <c r="ABR6" s="68" t="e" cm="1" vm="1">
        <f t="array" ref="ABR6">_xlfn._xlws.FILTER(TablaProductos[Nombre producto],TablaProductos[Agrupación]=ProductosPivot!ABR5)</f>
        <v>#VALUE!</v>
      </c>
      <c r="ABS6" s="68" t="e" cm="1" vm="1">
        <f t="array" ref="ABS6">_xlfn._xlws.FILTER(TablaProductos[Nombre producto],TablaProductos[Agrupación]=ProductosPivot!ABS5)</f>
        <v>#VALUE!</v>
      </c>
      <c r="ABT6" s="68" t="e" cm="1" vm="1">
        <f t="array" ref="ABT6">_xlfn._xlws.FILTER(TablaProductos[Nombre producto],TablaProductos[Agrupación]=ProductosPivot!ABT5)</f>
        <v>#VALUE!</v>
      </c>
      <c r="ABU6" s="68" t="e" cm="1" vm="1">
        <f t="array" ref="ABU6">_xlfn._xlws.FILTER(TablaProductos[Nombre producto],TablaProductos[Agrupación]=ProductosPivot!ABU5)</f>
        <v>#VALUE!</v>
      </c>
      <c r="ABV6" s="68" t="e" cm="1" vm="1">
        <f t="array" ref="ABV6">_xlfn._xlws.FILTER(TablaProductos[Nombre producto],TablaProductos[Agrupación]=ProductosPivot!ABV5)</f>
        <v>#VALUE!</v>
      </c>
      <c r="ABW6" s="68" t="e" cm="1" vm="1">
        <f t="array" ref="ABW6">_xlfn._xlws.FILTER(TablaProductos[Nombre producto],TablaProductos[Agrupación]=ProductosPivot!ABW5)</f>
        <v>#VALUE!</v>
      </c>
      <c r="ABX6" s="68" t="e" cm="1" vm="1">
        <f t="array" ref="ABX6">_xlfn._xlws.FILTER(TablaProductos[Nombre producto],TablaProductos[Agrupación]=ProductosPivot!ABX5)</f>
        <v>#VALUE!</v>
      </c>
      <c r="ABY6" s="68" t="e" cm="1" vm="1">
        <f t="array" ref="ABY6">_xlfn._xlws.FILTER(TablaProductos[Nombre producto],TablaProductos[Agrupación]=ProductosPivot!ABY5)</f>
        <v>#VALUE!</v>
      </c>
      <c r="ABZ6" s="68" t="e" cm="1" vm="1">
        <f t="array" ref="ABZ6">_xlfn._xlws.FILTER(TablaProductos[Nombre producto],TablaProductos[Agrupación]=ProductosPivot!ABZ5)</f>
        <v>#VALUE!</v>
      </c>
      <c r="ACA6" s="68" t="e" cm="1" vm="1">
        <f t="array" ref="ACA6">_xlfn._xlws.FILTER(TablaProductos[Nombre producto],TablaProductos[Agrupación]=ProductosPivot!ACA5)</f>
        <v>#VALUE!</v>
      </c>
      <c r="ACB6" s="68" t="e" cm="1" vm="1">
        <f t="array" ref="ACB6">_xlfn._xlws.FILTER(TablaProductos[Nombre producto],TablaProductos[Agrupación]=ProductosPivot!ACB5)</f>
        <v>#VALUE!</v>
      </c>
      <c r="ACC6" s="68" t="e" cm="1" vm="1">
        <f t="array" ref="ACC6">_xlfn._xlws.FILTER(TablaProductos[Nombre producto],TablaProductos[Agrupación]=ProductosPivot!ACC5)</f>
        <v>#VALUE!</v>
      </c>
      <c r="ACD6" s="68" t="e" cm="1" vm="1">
        <f t="array" ref="ACD6">_xlfn._xlws.FILTER(TablaProductos[Nombre producto],TablaProductos[Agrupación]=ProductosPivot!ACD5)</f>
        <v>#VALUE!</v>
      </c>
      <c r="ACE6" s="68" t="e" cm="1" vm="1">
        <f t="array" ref="ACE6">_xlfn._xlws.FILTER(TablaProductos[Nombre producto],TablaProductos[Agrupación]=ProductosPivot!ACE5)</f>
        <v>#VALUE!</v>
      </c>
      <c r="ACF6" s="68" t="e" cm="1" vm="1">
        <f t="array" ref="ACF6">_xlfn._xlws.FILTER(TablaProductos[Nombre producto],TablaProductos[Agrupación]=ProductosPivot!ACF5)</f>
        <v>#VALUE!</v>
      </c>
      <c r="ACG6" s="68" t="e" cm="1" vm="1">
        <f t="array" ref="ACG6">_xlfn._xlws.FILTER(TablaProductos[Nombre producto],TablaProductos[Agrupación]=ProductosPivot!ACG5)</f>
        <v>#VALUE!</v>
      </c>
      <c r="ACH6" s="68" t="e" cm="1" vm="1">
        <f t="array" ref="ACH6">_xlfn._xlws.FILTER(TablaProductos[Nombre producto],TablaProductos[Agrupación]=ProductosPivot!ACH5)</f>
        <v>#VALUE!</v>
      </c>
      <c r="ACI6" s="68" t="e" cm="1" vm="1">
        <f t="array" ref="ACI6">_xlfn._xlws.FILTER(TablaProductos[Nombre producto],TablaProductos[Agrupación]=ProductosPivot!ACI5)</f>
        <v>#VALUE!</v>
      </c>
      <c r="ACJ6" s="68" t="e" cm="1" vm="1">
        <f t="array" ref="ACJ6">_xlfn._xlws.FILTER(TablaProductos[Nombre producto],TablaProductos[Agrupación]=ProductosPivot!ACJ5)</f>
        <v>#VALUE!</v>
      </c>
      <c r="ACK6" s="68" t="e" cm="1" vm="1">
        <f t="array" ref="ACK6">_xlfn._xlws.FILTER(TablaProductos[Nombre producto],TablaProductos[Agrupación]=ProductosPivot!ACK5)</f>
        <v>#VALUE!</v>
      </c>
      <c r="ACL6" s="68" t="e" cm="1" vm="1">
        <f t="array" ref="ACL6">_xlfn._xlws.FILTER(TablaProductos[Nombre producto],TablaProductos[Agrupación]=ProductosPivot!ACL5)</f>
        <v>#VALUE!</v>
      </c>
      <c r="ACM6" s="68" t="e" cm="1" vm="1">
        <f t="array" ref="ACM6">_xlfn._xlws.FILTER(TablaProductos[Nombre producto],TablaProductos[Agrupación]=ProductosPivot!ACM5)</f>
        <v>#VALUE!</v>
      </c>
      <c r="ACN6" s="68" t="e" cm="1" vm="1">
        <f t="array" ref="ACN6">_xlfn._xlws.FILTER(TablaProductos[Nombre producto],TablaProductos[Agrupación]=ProductosPivot!ACN5)</f>
        <v>#VALUE!</v>
      </c>
      <c r="ACO6" s="68" t="e" cm="1" vm="1">
        <f t="array" ref="ACO6">_xlfn._xlws.FILTER(TablaProductos[Nombre producto],TablaProductos[Agrupación]=ProductosPivot!ACO5)</f>
        <v>#VALUE!</v>
      </c>
      <c r="ACP6" s="68" t="e" cm="1" vm="1">
        <f t="array" ref="ACP6">_xlfn._xlws.FILTER(TablaProductos[Nombre producto],TablaProductos[Agrupación]=ProductosPivot!ACP5)</f>
        <v>#VALUE!</v>
      </c>
      <c r="ACQ6" s="68" t="e" cm="1" vm="1">
        <f t="array" ref="ACQ6">_xlfn._xlws.FILTER(TablaProductos[Nombre producto],TablaProductos[Agrupación]=ProductosPivot!ACQ5)</f>
        <v>#VALUE!</v>
      </c>
      <c r="ACR6" s="68" t="e" cm="1" vm="1">
        <f t="array" ref="ACR6">_xlfn._xlws.FILTER(TablaProductos[Nombre producto],TablaProductos[Agrupación]=ProductosPivot!ACR5)</f>
        <v>#VALUE!</v>
      </c>
      <c r="ACS6" s="68" t="e" cm="1" vm="1">
        <f t="array" ref="ACS6">_xlfn._xlws.FILTER(TablaProductos[Nombre producto],TablaProductos[Agrupación]=ProductosPivot!ACS5)</f>
        <v>#VALUE!</v>
      </c>
      <c r="ACT6" s="68" t="e" cm="1" vm="1">
        <f t="array" ref="ACT6">_xlfn._xlws.FILTER(TablaProductos[Nombre producto],TablaProductos[Agrupación]=ProductosPivot!ACT5)</f>
        <v>#VALUE!</v>
      </c>
      <c r="ACU6" s="68" t="e" cm="1" vm="1">
        <f t="array" ref="ACU6">_xlfn._xlws.FILTER(TablaProductos[Nombre producto],TablaProductos[Agrupación]=ProductosPivot!ACU5)</f>
        <v>#VALUE!</v>
      </c>
      <c r="ACV6" s="68" t="e" cm="1" vm="1">
        <f t="array" ref="ACV6">_xlfn._xlws.FILTER(TablaProductos[Nombre producto],TablaProductos[Agrupación]=ProductosPivot!ACV5)</f>
        <v>#VALUE!</v>
      </c>
      <c r="ACW6" s="68" t="e" cm="1" vm="1">
        <f t="array" ref="ACW6">_xlfn._xlws.FILTER(TablaProductos[Nombre producto],TablaProductos[Agrupación]=ProductosPivot!ACW5)</f>
        <v>#VALUE!</v>
      </c>
      <c r="ACX6" s="68" t="e" cm="1" vm="1">
        <f t="array" ref="ACX6">_xlfn._xlws.FILTER(TablaProductos[Nombre producto],TablaProductos[Agrupación]=ProductosPivot!ACX5)</f>
        <v>#VALUE!</v>
      </c>
      <c r="ACY6" s="68" t="e" cm="1" vm="1">
        <f t="array" ref="ACY6">_xlfn._xlws.FILTER(TablaProductos[Nombre producto],TablaProductos[Agrupación]=ProductosPivot!ACY5)</f>
        <v>#VALUE!</v>
      </c>
      <c r="ACZ6" s="68" t="e" cm="1" vm="1">
        <f t="array" ref="ACZ6">_xlfn._xlws.FILTER(TablaProductos[Nombre producto],TablaProductos[Agrupación]=ProductosPivot!ACZ5)</f>
        <v>#VALUE!</v>
      </c>
      <c r="ADA6" s="68" t="e" cm="1" vm="1">
        <f t="array" ref="ADA6">_xlfn._xlws.FILTER(TablaProductos[Nombre producto],TablaProductos[Agrupación]=ProductosPivot!ADA5)</f>
        <v>#VALUE!</v>
      </c>
      <c r="ADB6" s="68" t="e" cm="1" vm="1">
        <f t="array" ref="ADB6">_xlfn._xlws.FILTER(TablaProductos[Nombre producto],TablaProductos[Agrupación]=ProductosPivot!ADB5)</f>
        <v>#VALUE!</v>
      </c>
      <c r="ADC6" s="68" t="e" cm="1" vm="1">
        <f t="array" ref="ADC6">_xlfn._xlws.FILTER(TablaProductos[Nombre producto],TablaProductos[Agrupación]=ProductosPivot!ADC5)</f>
        <v>#VALUE!</v>
      </c>
      <c r="ADD6" s="68" t="e" cm="1" vm="1">
        <f t="array" ref="ADD6">_xlfn._xlws.FILTER(TablaProductos[Nombre producto],TablaProductos[Agrupación]=ProductosPivot!ADD5)</f>
        <v>#VALUE!</v>
      </c>
      <c r="ADE6" s="68" t="e" cm="1" vm="1">
        <f t="array" ref="ADE6">_xlfn._xlws.FILTER(TablaProductos[Nombre producto],TablaProductos[Agrupación]=ProductosPivot!ADE5)</f>
        <v>#VALUE!</v>
      </c>
      <c r="ADF6" s="68" t="e" cm="1" vm="1">
        <f t="array" ref="ADF6">_xlfn._xlws.FILTER(TablaProductos[Nombre producto],TablaProductos[Agrupación]=ProductosPivot!ADF5)</f>
        <v>#VALUE!</v>
      </c>
      <c r="ADG6" s="68" t="e" cm="1" vm="1">
        <f t="array" ref="ADG6">_xlfn._xlws.FILTER(TablaProductos[Nombre producto],TablaProductos[Agrupación]=ProductosPivot!ADG5)</f>
        <v>#VALUE!</v>
      </c>
      <c r="ADH6" s="68" t="e" cm="1" vm="1">
        <f t="array" ref="ADH6">_xlfn._xlws.FILTER(TablaProductos[Nombre producto],TablaProductos[Agrupación]=ProductosPivot!ADH5)</f>
        <v>#VALUE!</v>
      </c>
      <c r="ADI6" s="68" t="e" cm="1" vm="1">
        <f t="array" ref="ADI6">_xlfn._xlws.FILTER(TablaProductos[Nombre producto],TablaProductos[Agrupación]=ProductosPivot!ADI5)</f>
        <v>#VALUE!</v>
      </c>
      <c r="ADJ6" s="68" t="e" cm="1" vm="1">
        <f t="array" ref="ADJ6">_xlfn._xlws.FILTER(TablaProductos[Nombre producto],TablaProductos[Agrupación]=ProductosPivot!ADJ5)</f>
        <v>#VALUE!</v>
      </c>
      <c r="ADK6" s="68" t="e" cm="1" vm="1">
        <f t="array" ref="ADK6">_xlfn._xlws.FILTER(TablaProductos[Nombre producto],TablaProductos[Agrupación]=ProductosPivot!ADK5)</f>
        <v>#VALUE!</v>
      </c>
      <c r="ADL6" s="68" t="e" cm="1" vm="1">
        <f t="array" ref="ADL6">_xlfn._xlws.FILTER(TablaProductos[Nombre producto],TablaProductos[Agrupación]=ProductosPivot!ADL5)</f>
        <v>#VALUE!</v>
      </c>
      <c r="ADM6" s="68" t="e" cm="1" vm="1">
        <f t="array" ref="ADM6">_xlfn._xlws.FILTER(TablaProductos[Nombre producto],TablaProductos[Agrupación]=ProductosPivot!ADM5)</f>
        <v>#VALUE!</v>
      </c>
      <c r="ADN6" s="68" t="e" cm="1" vm="1">
        <f t="array" ref="ADN6">_xlfn._xlws.FILTER(TablaProductos[Nombre producto],TablaProductos[Agrupación]=ProductosPivot!ADN5)</f>
        <v>#VALUE!</v>
      </c>
      <c r="ADO6" s="68" t="e" cm="1" vm="1">
        <f t="array" ref="ADO6">_xlfn._xlws.FILTER(TablaProductos[Nombre producto],TablaProductos[Agrupación]=ProductosPivot!ADO5)</f>
        <v>#VALUE!</v>
      </c>
      <c r="ADP6" s="68" t="e" cm="1" vm="1">
        <f t="array" ref="ADP6">_xlfn._xlws.FILTER(TablaProductos[Nombre producto],TablaProductos[Agrupación]=ProductosPivot!ADP5)</f>
        <v>#VALUE!</v>
      </c>
      <c r="ADQ6" s="68" t="e" cm="1" vm="1">
        <f t="array" ref="ADQ6">_xlfn._xlws.FILTER(TablaProductos[Nombre producto],TablaProductos[Agrupación]=ProductosPivot!ADQ5)</f>
        <v>#VALUE!</v>
      </c>
      <c r="ADR6" s="68" t="e" cm="1" vm="1">
        <f t="array" ref="ADR6">_xlfn._xlws.FILTER(TablaProductos[Nombre producto],TablaProductos[Agrupación]=ProductosPivot!ADR5)</f>
        <v>#VALUE!</v>
      </c>
      <c r="ADS6" s="68" t="e" cm="1" vm="1">
        <f t="array" ref="ADS6">_xlfn._xlws.FILTER(TablaProductos[Nombre producto],TablaProductos[Agrupación]=ProductosPivot!ADS5)</f>
        <v>#VALUE!</v>
      </c>
      <c r="ADT6" s="68" t="e" cm="1" vm="1">
        <f t="array" ref="ADT6">_xlfn._xlws.FILTER(TablaProductos[Nombre producto],TablaProductos[Agrupación]=ProductosPivot!ADT5)</f>
        <v>#VALUE!</v>
      </c>
      <c r="ADU6" s="68" t="e" cm="1" vm="1">
        <f t="array" ref="ADU6">_xlfn._xlws.FILTER(TablaProductos[Nombre producto],TablaProductos[Agrupación]=ProductosPivot!ADU5)</f>
        <v>#VALUE!</v>
      </c>
      <c r="ADV6" s="68" t="e" cm="1" vm="1">
        <f t="array" ref="ADV6">_xlfn._xlws.FILTER(TablaProductos[Nombre producto],TablaProductos[Agrupación]=ProductosPivot!ADV5)</f>
        <v>#VALUE!</v>
      </c>
      <c r="ADW6" s="68" t="e" cm="1" vm="1">
        <f t="array" ref="ADW6">_xlfn._xlws.FILTER(TablaProductos[Nombre producto],TablaProductos[Agrupación]=ProductosPivot!ADW5)</f>
        <v>#VALUE!</v>
      </c>
      <c r="ADX6" s="68" t="e" cm="1" vm="1">
        <f t="array" ref="ADX6">_xlfn._xlws.FILTER(TablaProductos[Nombre producto],TablaProductos[Agrupación]=ProductosPivot!ADX5)</f>
        <v>#VALUE!</v>
      </c>
      <c r="ADY6" s="68" t="e" cm="1" vm="1">
        <f t="array" ref="ADY6">_xlfn._xlws.FILTER(TablaProductos[Nombre producto],TablaProductos[Agrupación]=ProductosPivot!ADY5)</f>
        <v>#VALUE!</v>
      </c>
      <c r="ADZ6" s="68" t="e" cm="1" vm="1">
        <f t="array" ref="ADZ6">_xlfn._xlws.FILTER(TablaProductos[Nombre producto],TablaProductos[Agrupación]=ProductosPivot!ADZ5)</f>
        <v>#VALUE!</v>
      </c>
      <c r="AEA6" s="68" t="e" cm="1" vm="1">
        <f t="array" ref="AEA6">_xlfn._xlws.FILTER(TablaProductos[Nombre producto],TablaProductos[Agrupación]=ProductosPivot!AEA5)</f>
        <v>#VALUE!</v>
      </c>
      <c r="AEB6" s="68" t="e" cm="1" vm="1">
        <f t="array" ref="AEB6">_xlfn._xlws.FILTER(TablaProductos[Nombre producto],TablaProductos[Agrupación]=ProductosPivot!AEB5)</f>
        <v>#VALUE!</v>
      </c>
      <c r="AEC6" s="68" t="e" cm="1" vm="1">
        <f t="array" ref="AEC6">_xlfn._xlws.FILTER(TablaProductos[Nombre producto],TablaProductos[Agrupación]=ProductosPivot!AEC5)</f>
        <v>#VALUE!</v>
      </c>
      <c r="AED6" s="68" t="e" cm="1" vm="1">
        <f t="array" ref="AED6">_xlfn._xlws.FILTER(TablaProductos[Nombre producto],TablaProductos[Agrupación]=ProductosPivot!AED5)</f>
        <v>#VALUE!</v>
      </c>
      <c r="AEE6" s="68" t="e" cm="1" vm="1">
        <f t="array" ref="AEE6">_xlfn._xlws.FILTER(TablaProductos[Nombre producto],TablaProductos[Agrupación]=ProductosPivot!AEE5)</f>
        <v>#VALUE!</v>
      </c>
      <c r="AEF6" s="68" t="e" cm="1" vm="1">
        <f t="array" ref="AEF6">_xlfn._xlws.FILTER(TablaProductos[Nombre producto],TablaProductos[Agrupación]=ProductosPivot!AEF5)</f>
        <v>#VALUE!</v>
      </c>
      <c r="AEG6" s="68" t="e" cm="1" vm="1">
        <f t="array" ref="AEG6">_xlfn._xlws.FILTER(TablaProductos[Nombre producto],TablaProductos[Agrupación]=ProductosPivot!AEG5)</f>
        <v>#VALUE!</v>
      </c>
      <c r="AEH6" s="68" t="e" cm="1" vm="1">
        <f t="array" ref="AEH6">_xlfn._xlws.FILTER(TablaProductos[Nombre producto],TablaProductos[Agrupación]=ProductosPivot!AEH5)</f>
        <v>#VALUE!</v>
      </c>
      <c r="AEI6" s="68" t="e" cm="1" vm="1">
        <f t="array" ref="AEI6">_xlfn._xlws.FILTER(TablaProductos[Nombre producto],TablaProductos[Agrupación]=ProductosPivot!AEI5)</f>
        <v>#VALUE!</v>
      </c>
      <c r="AEJ6" s="68" t="e" cm="1" vm="1">
        <f t="array" ref="AEJ6">_xlfn._xlws.FILTER(TablaProductos[Nombre producto],TablaProductos[Agrupación]=ProductosPivot!AEJ5)</f>
        <v>#VALUE!</v>
      </c>
      <c r="AEK6" s="68" t="e" cm="1" vm="1">
        <f t="array" ref="AEK6">_xlfn._xlws.FILTER(TablaProductos[Nombre producto],TablaProductos[Agrupación]=ProductosPivot!AEK5)</f>
        <v>#VALUE!</v>
      </c>
      <c r="AEL6" s="68" t="e" cm="1" vm="1">
        <f t="array" ref="AEL6">_xlfn._xlws.FILTER(TablaProductos[Nombre producto],TablaProductos[Agrupación]=ProductosPivot!AEL5)</f>
        <v>#VALUE!</v>
      </c>
      <c r="AEM6" s="68" t="e" cm="1" vm="1">
        <f t="array" ref="AEM6">_xlfn._xlws.FILTER(TablaProductos[Nombre producto],TablaProductos[Agrupación]=ProductosPivot!AEM5)</f>
        <v>#VALUE!</v>
      </c>
      <c r="AEN6" s="68" t="e" cm="1" vm="1">
        <f t="array" ref="AEN6">_xlfn._xlws.FILTER(TablaProductos[Nombre producto],TablaProductos[Agrupación]=ProductosPivot!AEN5)</f>
        <v>#VALUE!</v>
      </c>
      <c r="AEO6" s="68" t="e" cm="1" vm="1">
        <f t="array" ref="AEO6">_xlfn._xlws.FILTER(TablaProductos[Nombre producto],TablaProductos[Agrupación]=ProductosPivot!AEO5)</f>
        <v>#VALUE!</v>
      </c>
      <c r="AEP6" s="68" t="e" cm="1" vm="1">
        <f t="array" ref="AEP6">_xlfn._xlws.FILTER(TablaProductos[Nombre producto],TablaProductos[Agrupación]=ProductosPivot!AEP5)</f>
        <v>#VALUE!</v>
      </c>
      <c r="AEQ6" s="68" t="e" cm="1" vm="1">
        <f t="array" ref="AEQ6">_xlfn._xlws.FILTER(TablaProductos[Nombre producto],TablaProductos[Agrupación]=ProductosPivot!AEQ5)</f>
        <v>#VALUE!</v>
      </c>
      <c r="AER6" s="68" t="e" cm="1" vm="1">
        <f t="array" ref="AER6">_xlfn._xlws.FILTER(TablaProductos[Nombre producto],TablaProductos[Agrupación]=ProductosPivot!AER5)</f>
        <v>#VALUE!</v>
      </c>
      <c r="AES6" s="68" t="e" cm="1" vm="1">
        <f t="array" ref="AES6">_xlfn._xlws.FILTER(TablaProductos[Nombre producto],TablaProductos[Agrupación]=ProductosPivot!AES5)</f>
        <v>#VALUE!</v>
      </c>
      <c r="AET6" s="68" t="e" cm="1" vm="1">
        <f t="array" ref="AET6">_xlfn._xlws.FILTER(TablaProductos[Nombre producto],TablaProductos[Agrupación]=ProductosPivot!AET5)</f>
        <v>#VALUE!</v>
      </c>
      <c r="AEU6" s="68" t="e" cm="1" vm="1">
        <f t="array" ref="AEU6">_xlfn._xlws.FILTER(TablaProductos[Nombre producto],TablaProductos[Agrupación]=ProductosPivot!AEU5)</f>
        <v>#VALUE!</v>
      </c>
      <c r="AEV6" s="68" t="e" cm="1" vm="1">
        <f t="array" ref="AEV6">_xlfn._xlws.FILTER(TablaProductos[Nombre producto],TablaProductos[Agrupación]=ProductosPivot!AEV5)</f>
        <v>#VALUE!</v>
      </c>
      <c r="AEW6" s="68" t="e" cm="1" vm="1">
        <f t="array" ref="AEW6">_xlfn._xlws.FILTER(TablaProductos[Nombre producto],TablaProductos[Agrupación]=ProductosPivot!AEW5)</f>
        <v>#VALUE!</v>
      </c>
      <c r="AEX6" s="68" t="e" cm="1" vm="1">
        <f t="array" ref="AEX6">_xlfn._xlws.FILTER(TablaProductos[Nombre producto],TablaProductos[Agrupación]=ProductosPivot!AEX5)</f>
        <v>#VALUE!</v>
      </c>
      <c r="AEY6" s="68" t="e" cm="1" vm="1">
        <f t="array" ref="AEY6">_xlfn._xlws.FILTER(TablaProductos[Nombre producto],TablaProductos[Agrupación]=ProductosPivot!AEY5)</f>
        <v>#VALUE!</v>
      </c>
      <c r="AEZ6" s="68" t="e" cm="1" vm="1">
        <f t="array" ref="AEZ6">_xlfn._xlws.FILTER(TablaProductos[Nombre producto],TablaProductos[Agrupación]=ProductosPivot!AEZ5)</f>
        <v>#VALUE!</v>
      </c>
      <c r="AFA6" s="68" t="e" cm="1" vm="1">
        <f t="array" ref="AFA6">_xlfn._xlws.FILTER(TablaProductos[Nombre producto],TablaProductos[Agrupación]=ProductosPivot!AFA5)</f>
        <v>#VALUE!</v>
      </c>
      <c r="AFB6" s="68" t="e" cm="1" vm="1">
        <f t="array" ref="AFB6">_xlfn._xlws.FILTER(TablaProductos[Nombre producto],TablaProductos[Agrupación]=ProductosPivot!AFB5)</f>
        <v>#VALUE!</v>
      </c>
      <c r="AFC6" s="68" t="e" cm="1" vm="1">
        <f t="array" ref="AFC6">_xlfn._xlws.FILTER(TablaProductos[Nombre producto],TablaProductos[Agrupación]=ProductosPivot!AFC5)</f>
        <v>#VALUE!</v>
      </c>
      <c r="AFD6" s="68" t="e" cm="1" vm="1">
        <f t="array" ref="AFD6">_xlfn._xlws.FILTER(TablaProductos[Nombre producto],TablaProductos[Agrupación]=ProductosPivot!AFD5)</f>
        <v>#VALUE!</v>
      </c>
      <c r="AFE6" s="68" t="e" cm="1" vm="1">
        <f t="array" ref="AFE6">_xlfn._xlws.FILTER(TablaProductos[Nombre producto],TablaProductos[Agrupación]=ProductosPivot!AFE5)</f>
        <v>#VALUE!</v>
      </c>
      <c r="AFF6" s="68" t="e" cm="1" vm="1">
        <f t="array" ref="AFF6">_xlfn._xlws.FILTER(TablaProductos[Nombre producto],TablaProductos[Agrupación]=ProductosPivot!AFF5)</f>
        <v>#VALUE!</v>
      </c>
      <c r="AFG6" s="68" t="e" cm="1" vm="1">
        <f t="array" ref="AFG6">_xlfn._xlws.FILTER(TablaProductos[Nombre producto],TablaProductos[Agrupación]=ProductosPivot!AFG5)</f>
        <v>#VALUE!</v>
      </c>
      <c r="AFH6" s="68" t="e" cm="1" vm="1">
        <f t="array" ref="AFH6">_xlfn._xlws.FILTER(TablaProductos[Nombre producto],TablaProductos[Agrupación]=ProductosPivot!AFH5)</f>
        <v>#VALUE!</v>
      </c>
      <c r="AFI6" s="68" t="e" cm="1" vm="1">
        <f t="array" ref="AFI6">_xlfn._xlws.FILTER(TablaProductos[Nombre producto],TablaProductos[Agrupación]=ProductosPivot!AFI5)</f>
        <v>#VALUE!</v>
      </c>
      <c r="AFJ6" s="68" t="e" cm="1" vm="1">
        <f t="array" ref="AFJ6">_xlfn._xlws.FILTER(TablaProductos[Nombre producto],TablaProductos[Agrupación]=ProductosPivot!AFJ5)</f>
        <v>#VALUE!</v>
      </c>
      <c r="AFK6" s="68" t="e" cm="1" vm="1">
        <f t="array" ref="AFK6">_xlfn._xlws.FILTER(TablaProductos[Nombre producto],TablaProductos[Agrupación]=ProductosPivot!AFK5)</f>
        <v>#VALUE!</v>
      </c>
      <c r="AFL6" s="68" t="e" cm="1" vm="1">
        <f t="array" ref="AFL6">_xlfn._xlws.FILTER(TablaProductos[Nombre producto],TablaProductos[Agrupación]=ProductosPivot!AFL5)</f>
        <v>#VALUE!</v>
      </c>
      <c r="AFM6" s="68" t="e" cm="1" vm="1">
        <f t="array" ref="AFM6">_xlfn._xlws.FILTER(TablaProductos[Nombre producto],TablaProductos[Agrupación]=ProductosPivot!AFM5)</f>
        <v>#VALUE!</v>
      </c>
      <c r="AFN6" s="68" t="e" cm="1" vm="1">
        <f t="array" ref="AFN6">_xlfn._xlws.FILTER(TablaProductos[Nombre producto],TablaProductos[Agrupación]=ProductosPivot!AFN5)</f>
        <v>#VALUE!</v>
      </c>
      <c r="AFO6" s="68" t="e" cm="1" vm="1">
        <f t="array" ref="AFO6">_xlfn._xlws.FILTER(TablaProductos[Nombre producto],TablaProductos[Agrupación]=ProductosPivot!AFO5)</f>
        <v>#VALUE!</v>
      </c>
      <c r="AFP6" s="68" t="e" cm="1" vm="1">
        <f t="array" ref="AFP6">_xlfn._xlws.FILTER(TablaProductos[Nombre producto],TablaProductos[Agrupación]=ProductosPivot!AFP5)</f>
        <v>#VALUE!</v>
      </c>
      <c r="AFQ6" s="68" t="e" cm="1" vm="1">
        <f t="array" ref="AFQ6">_xlfn._xlws.FILTER(TablaProductos[Nombre producto],TablaProductos[Agrupación]=ProductosPivot!AFQ5)</f>
        <v>#VALUE!</v>
      </c>
      <c r="AFR6" s="68" t="e" cm="1" vm="1">
        <f t="array" ref="AFR6">_xlfn._xlws.FILTER(TablaProductos[Nombre producto],TablaProductos[Agrupación]=ProductosPivot!AFR5)</f>
        <v>#VALUE!</v>
      </c>
      <c r="AFS6" s="68" t="e" cm="1" vm="1">
        <f t="array" ref="AFS6">_xlfn._xlws.FILTER(TablaProductos[Nombre producto],TablaProductos[Agrupación]=ProductosPivot!AFS5)</f>
        <v>#VALUE!</v>
      </c>
      <c r="AFT6" s="68" t="e" cm="1" vm="1">
        <f t="array" ref="AFT6">_xlfn._xlws.FILTER(TablaProductos[Nombre producto],TablaProductos[Agrupación]=ProductosPivot!AFT5)</f>
        <v>#VALUE!</v>
      </c>
      <c r="AFU6" s="68" t="e" cm="1" vm="1">
        <f t="array" ref="AFU6">_xlfn._xlws.FILTER(TablaProductos[Nombre producto],TablaProductos[Agrupación]=ProductosPivot!AFU5)</f>
        <v>#VALUE!</v>
      </c>
      <c r="AFV6" s="68" t="e" cm="1" vm="1">
        <f t="array" ref="AFV6">_xlfn._xlws.FILTER(TablaProductos[Nombre producto],TablaProductos[Agrupación]=ProductosPivot!AFV5)</f>
        <v>#VALUE!</v>
      </c>
      <c r="AFW6" s="68" t="e" cm="1" vm="1">
        <f t="array" ref="AFW6">_xlfn._xlws.FILTER(TablaProductos[Nombre producto],TablaProductos[Agrupación]=ProductosPivot!AFW5)</f>
        <v>#VALUE!</v>
      </c>
      <c r="AFX6" s="68" t="e" cm="1" vm="1">
        <f t="array" ref="AFX6">_xlfn._xlws.FILTER(TablaProductos[Nombre producto],TablaProductos[Agrupación]=ProductosPivot!AFX5)</f>
        <v>#VALUE!</v>
      </c>
      <c r="AFY6" s="68" t="e" cm="1" vm="1">
        <f t="array" ref="AFY6">_xlfn._xlws.FILTER(TablaProductos[Nombre producto],TablaProductos[Agrupación]=ProductosPivot!AFY5)</f>
        <v>#VALUE!</v>
      </c>
      <c r="AFZ6" s="68" t="e" cm="1" vm="1">
        <f t="array" ref="AFZ6">_xlfn._xlws.FILTER(TablaProductos[Nombre producto],TablaProductos[Agrupación]=ProductosPivot!AFZ5)</f>
        <v>#VALUE!</v>
      </c>
      <c r="AGA6" s="68" t="e" cm="1" vm="1">
        <f t="array" ref="AGA6">_xlfn._xlws.FILTER(TablaProductos[Nombre producto],TablaProductos[Agrupación]=ProductosPivot!AGA5)</f>
        <v>#VALUE!</v>
      </c>
      <c r="AGB6" s="68" t="e" cm="1" vm="1">
        <f t="array" ref="AGB6">_xlfn._xlws.FILTER(TablaProductos[Nombre producto],TablaProductos[Agrupación]=ProductosPivot!AGB5)</f>
        <v>#VALUE!</v>
      </c>
      <c r="AGC6" s="68" t="e" cm="1" vm="1">
        <f t="array" ref="AGC6">_xlfn._xlws.FILTER(TablaProductos[Nombre producto],TablaProductos[Agrupación]=ProductosPivot!AGC5)</f>
        <v>#VALUE!</v>
      </c>
      <c r="AGD6" s="68" t="e" cm="1" vm="1">
        <f t="array" ref="AGD6">_xlfn._xlws.FILTER(TablaProductos[Nombre producto],TablaProductos[Agrupación]=ProductosPivot!AGD5)</f>
        <v>#VALUE!</v>
      </c>
      <c r="AGE6" s="68" t="e" cm="1" vm="1">
        <f t="array" ref="AGE6">_xlfn._xlws.FILTER(TablaProductos[Nombre producto],TablaProductos[Agrupación]=ProductosPivot!AGE5)</f>
        <v>#VALUE!</v>
      </c>
      <c r="AGF6" s="68" t="e" cm="1" vm="1">
        <f t="array" ref="AGF6">_xlfn._xlws.FILTER(TablaProductos[Nombre producto],TablaProductos[Agrupación]=ProductosPivot!AGF5)</f>
        <v>#VALUE!</v>
      </c>
      <c r="AGG6" s="68" t="e" cm="1" vm="1">
        <f t="array" ref="AGG6">_xlfn._xlws.FILTER(TablaProductos[Nombre producto],TablaProductos[Agrupación]=ProductosPivot!AGG5)</f>
        <v>#VALUE!</v>
      </c>
      <c r="AGH6" s="68" t="e" cm="1" vm="1">
        <f t="array" ref="AGH6">_xlfn._xlws.FILTER(TablaProductos[Nombre producto],TablaProductos[Agrupación]=ProductosPivot!AGH5)</f>
        <v>#VALUE!</v>
      </c>
      <c r="AGI6" s="68" t="e" cm="1" vm="1">
        <f t="array" ref="AGI6">_xlfn._xlws.FILTER(TablaProductos[Nombre producto],TablaProductos[Agrupación]=ProductosPivot!AGI5)</f>
        <v>#VALUE!</v>
      </c>
      <c r="AGJ6" s="68" t="e" cm="1" vm="1">
        <f t="array" ref="AGJ6">_xlfn._xlws.FILTER(TablaProductos[Nombre producto],TablaProductos[Agrupación]=ProductosPivot!AGJ5)</f>
        <v>#VALUE!</v>
      </c>
      <c r="AGK6" s="68" t="e" cm="1" vm="1">
        <f t="array" ref="AGK6">_xlfn._xlws.FILTER(TablaProductos[Nombre producto],TablaProductos[Agrupación]=ProductosPivot!AGK5)</f>
        <v>#VALUE!</v>
      </c>
      <c r="AGL6" s="68" t="e" cm="1" vm="1">
        <f t="array" ref="AGL6">_xlfn._xlws.FILTER(TablaProductos[Nombre producto],TablaProductos[Agrupación]=ProductosPivot!AGL5)</f>
        <v>#VALUE!</v>
      </c>
      <c r="AGM6" s="68" t="e" cm="1" vm="1">
        <f t="array" ref="AGM6">_xlfn._xlws.FILTER(TablaProductos[Nombre producto],TablaProductos[Agrupación]=ProductosPivot!AGM5)</f>
        <v>#VALUE!</v>
      </c>
      <c r="AGN6" s="68" t="e" cm="1" vm="1">
        <f t="array" ref="AGN6">_xlfn._xlws.FILTER(TablaProductos[Nombre producto],TablaProductos[Agrupación]=ProductosPivot!AGN5)</f>
        <v>#VALUE!</v>
      </c>
      <c r="AGO6" s="68" t="e" cm="1" vm="1">
        <f t="array" ref="AGO6">_xlfn._xlws.FILTER(TablaProductos[Nombre producto],TablaProductos[Agrupación]=ProductosPivot!AGO5)</f>
        <v>#VALUE!</v>
      </c>
      <c r="AGP6" s="68" t="e" cm="1" vm="1">
        <f t="array" ref="AGP6">_xlfn._xlws.FILTER(TablaProductos[Nombre producto],TablaProductos[Agrupación]=ProductosPivot!AGP5)</f>
        <v>#VALUE!</v>
      </c>
      <c r="AGQ6" s="68" t="e" cm="1" vm="1">
        <f t="array" ref="AGQ6">_xlfn._xlws.FILTER(TablaProductos[Nombre producto],TablaProductos[Agrupación]=ProductosPivot!AGQ5)</f>
        <v>#VALUE!</v>
      </c>
      <c r="AGR6" s="68" t="e" cm="1" vm="1">
        <f t="array" ref="AGR6">_xlfn._xlws.FILTER(TablaProductos[Nombre producto],TablaProductos[Agrupación]=ProductosPivot!AGR5)</f>
        <v>#VALUE!</v>
      </c>
      <c r="AGS6" s="68" t="e" cm="1" vm="1">
        <f t="array" ref="AGS6">_xlfn._xlws.FILTER(TablaProductos[Nombre producto],TablaProductos[Agrupación]=ProductosPivot!AGS5)</f>
        <v>#VALUE!</v>
      </c>
      <c r="AGT6" s="68" t="e" cm="1" vm="1">
        <f t="array" ref="AGT6">_xlfn._xlws.FILTER(TablaProductos[Nombre producto],TablaProductos[Agrupación]=ProductosPivot!AGT5)</f>
        <v>#VALUE!</v>
      </c>
      <c r="AGU6" s="68" t="e" cm="1" vm="1">
        <f t="array" ref="AGU6">_xlfn._xlws.FILTER(TablaProductos[Nombre producto],TablaProductos[Agrupación]=ProductosPivot!AGU5)</f>
        <v>#VALUE!</v>
      </c>
      <c r="AGV6" s="68" t="e" cm="1" vm="1">
        <f t="array" ref="AGV6">_xlfn._xlws.FILTER(TablaProductos[Nombre producto],TablaProductos[Agrupación]=ProductosPivot!AGV5)</f>
        <v>#VALUE!</v>
      </c>
      <c r="AGW6" s="68" t="e" cm="1" vm="1">
        <f t="array" ref="AGW6">_xlfn._xlws.FILTER(TablaProductos[Nombre producto],TablaProductos[Agrupación]=ProductosPivot!AGW5)</f>
        <v>#VALUE!</v>
      </c>
      <c r="AGX6" s="68" t="e" cm="1" vm="1">
        <f t="array" ref="AGX6">_xlfn._xlws.FILTER(TablaProductos[Nombre producto],TablaProductos[Agrupación]=ProductosPivot!AGX5)</f>
        <v>#VALUE!</v>
      </c>
      <c r="AGY6" s="68" t="e" cm="1" vm="1">
        <f t="array" ref="AGY6">_xlfn._xlws.FILTER(TablaProductos[Nombre producto],TablaProductos[Agrupación]=ProductosPivot!AGY5)</f>
        <v>#VALUE!</v>
      </c>
      <c r="AGZ6" s="68" t="e" cm="1" vm="1">
        <f t="array" ref="AGZ6">_xlfn._xlws.FILTER(TablaProductos[Nombre producto],TablaProductos[Agrupación]=ProductosPivot!AGZ5)</f>
        <v>#VALUE!</v>
      </c>
      <c r="AHA6" s="68" t="e" cm="1" vm="1">
        <f t="array" ref="AHA6">_xlfn._xlws.FILTER(TablaProductos[Nombre producto],TablaProductos[Agrupación]=ProductosPivot!AHA5)</f>
        <v>#VALUE!</v>
      </c>
      <c r="AHB6" s="68" t="e" cm="1" vm="1">
        <f t="array" ref="AHB6">_xlfn._xlws.FILTER(TablaProductos[Nombre producto],TablaProductos[Agrupación]=ProductosPivot!AHB5)</f>
        <v>#VALUE!</v>
      </c>
      <c r="AHC6" s="68" t="e" cm="1" vm="1">
        <f t="array" ref="AHC6">_xlfn._xlws.FILTER(TablaProductos[Nombre producto],TablaProductos[Agrupación]=ProductosPivot!AHC5)</f>
        <v>#VALUE!</v>
      </c>
      <c r="AHD6" s="68" t="e" cm="1" vm="1">
        <f t="array" ref="AHD6">_xlfn._xlws.FILTER(TablaProductos[Nombre producto],TablaProductos[Agrupación]=ProductosPivot!AHD5)</f>
        <v>#VALUE!</v>
      </c>
      <c r="AHE6" s="68" t="e" cm="1" vm="1">
        <f t="array" ref="AHE6">_xlfn._xlws.FILTER(TablaProductos[Nombre producto],TablaProductos[Agrupación]=ProductosPivot!AHE5)</f>
        <v>#VALUE!</v>
      </c>
      <c r="AHF6" s="68" t="e" cm="1" vm="1">
        <f t="array" ref="AHF6">_xlfn._xlws.FILTER(TablaProductos[Nombre producto],TablaProductos[Agrupación]=ProductosPivot!AHF5)</f>
        <v>#VALUE!</v>
      </c>
      <c r="AHG6" s="68" t="e" cm="1" vm="1">
        <f t="array" ref="AHG6">_xlfn._xlws.FILTER(TablaProductos[Nombre producto],TablaProductos[Agrupación]=ProductosPivot!AHG5)</f>
        <v>#VALUE!</v>
      </c>
      <c r="AHH6" s="68" t="e" cm="1" vm="1">
        <f t="array" ref="AHH6">_xlfn._xlws.FILTER(TablaProductos[Nombre producto],TablaProductos[Agrupación]=ProductosPivot!AHH5)</f>
        <v>#VALUE!</v>
      </c>
      <c r="AHI6" s="68" t="e" cm="1" vm="1">
        <f t="array" ref="AHI6">_xlfn._xlws.FILTER(TablaProductos[Nombre producto],TablaProductos[Agrupación]=ProductosPivot!AHI5)</f>
        <v>#VALUE!</v>
      </c>
      <c r="AHJ6" s="68" t="e" cm="1" vm="1">
        <f t="array" ref="AHJ6">_xlfn._xlws.FILTER(TablaProductos[Nombre producto],TablaProductos[Agrupación]=ProductosPivot!AHJ5)</f>
        <v>#VALUE!</v>
      </c>
      <c r="AHK6" s="68" t="e" cm="1" vm="1">
        <f t="array" ref="AHK6">_xlfn._xlws.FILTER(TablaProductos[Nombre producto],TablaProductos[Agrupación]=ProductosPivot!AHK5)</f>
        <v>#VALUE!</v>
      </c>
      <c r="AHL6" s="68" t="e" cm="1" vm="1">
        <f t="array" ref="AHL6">_xlfn._xlws.FILTER(TablaProductos[Nombre producto],TablaProductos[Agrupación]=ProductosPivot!AHL5)</f>
        <v>#VALUE!</v>
      </c>
      <c r="AHM6" s="68" t="e" cm="1" vm="1">
        <f t="array" ref="AHM6">_xlfn._xlws.FILTER(TablaProductos[Nombre producto],TablaProductos[Agrupación]=ProductosPivot!AHM5)</f>
        <v>#VALUE!</v>
      </c>
      <c r="AHN6" s="68" t="e" cm="1" vm="1">
        <f t="array" ref="AHN6">_xlfn._xlws.FILTER(TablaProductos[Nombre producto],TablaProductos[Agrupación]=ProductosPivot!AHN5)</f>
        <v>#VALUE!</v>
      </c>
      <c r="AHO6" s="68" t="e" cm="1" vm="1">
        <f t="array" ref="AHO6">_xlfn._xlws.FILTER(TablaProductos[Nombre producto],TablaProductos[Agrupación]=ProductosPivot!AHO5)</f>
        <v>#VALUE!</v>
      </c>
      <c r="AHP6" s="68" t="e" cm="1" vm="1">
        <f t="array" ref="AHP6">_xlfn._xlws.FILTER(TablaProductos[Nombre producto],TablaProductos[Agrupación]=ProductosPivot!AHP5)</f>
        <v>#VALUE!</v>
      </c>
      <c r="AHQ6" s="68" t="e" cm="1" vm="1">
        <f t="array" ref="AHQ6">_xlfn._xlws.FILTER(TablaProductos[Nombre producto],TablaProductos[Agrupación]=ProductosPivot!AHQ5)</f>
        <v>#VALUE!</v>
      </c>
      <c r="AHR6" s="68" t="e" cm="1" vm="1">
        <f t="array" ref="AHR6">_xlfn._xlws.FILTER(TablaProductos[Nombre producto],TablaProductos[Agrupación]=ProductosPivot!AHR5)</f>
        <v>#VALUE!</v>
      </c>
      <c r="AHS6" s="68" t="e" cm="1" vm="1">
        <f t="array" ref="AHS6">_xlfn._xlws.FILTER(TablaProductos[Nombre producto],TablaProductos[Agrupación]=ProductosPivot!AHS5)</f>
        <v>#VALUE!</v>
      </c>
      <c r="AHT6" s="68" t="e" cm="1" vm="1">
        <f t="array" ref="AHT6">_xlfn._xlws.FILTER(TablaProductos[Nombre producto],TablaProductos[Agrupación]=ProductosPivot!AHT5)</f>
        <v>#VALUE!</v>
      </c>
      <c r="AHU6" s="68" t="e" cm="1" vm="1">
        <f t="array" ref="AHU6">_xlfn._xlws.FILTER(TablaProductos[Nombre producto],TablaProductos[Agrupación]=ProductosPivot!AHU5)</f>
        <v>#VALUE!</v>
      </c>
      <c r="AHV6" s="68" t="e" cm="1" vm="1">
        <f t="array" ref="AHV6">_xlfn._xlws.FILTER(TablaProductos[Nombre producto],TablaProductos[Agrupación]=ProductosPivot!AHV5)</f>
        <v>#VALUE!</v>
      </c>
      <c r="AHW6" s="68" t="e" cm="1" vm="1">
        <f t="array" ref="AHW6">_xlfn._xlws.FILTER(TablaProductos[Nombre producto],TablaProductos[Agrupación]=ProductosPivot!AHW5)</f>
        <v>#VALUE!</v>
      </c>
      <c r="AHX6" s="68" t="e" cm="1" vm="1">
        <f t="array" ref="AHX6">_xlfn._xlws.FILTER(TablaProductos[Nombre producto],TablaProductos[Agrupación]=ProductosPivot!AHX5)</f>
        <v>#VALUE!</v>
      </c>
      <c r="AHY6" s="68" t="e" cm="1" vm="1">
        <f t="array" ref="AHY6">_xlfn._xlws.FILTER(TablaProductos[Nombre producto],TablaProductos[Agrupación]=ProductosPivot!AHY5)</f>
        <v>#VALUE!</v>
      </c>
      <c r="AHZ6" s="68" t="e" cm="1" vm="1">
        <f t="array" ref="AHZ6">_xlfn._xlws.FILTER(TablaProductos[Nombre producto],TablaProductos[Agrupación]=ProductosPivot!AHZ5)</f>
        <v>#VALUE!</v>
      </c>
      <c r="AIA6" s="68" t="e" cm="1" vm="1">
        <f t="array" ref="AIA6">_xlfn._xlws.FILTER(TablaProductos[Nombre producto],TablaProductos[Agrupación]=ProductosPivot!AIA5)</f>
        <v>#VALUE!</v>
      </c>
      <c r="AIB6" s="68" t="e" cm="1" vm="1">
        <f t="array" ref="AIB6">_xlfn._xlws.FILTER(TablaProductos[Nombre producto],TablaProductos[Agrupación]=ProductosPivot!AIB5)</f>
        <v>#VALUE!</v>
      </c>
      <c r="AIC6" s="68" t="e" cm="1" vm="1">
        <f t="array" ref="AIC6">_xlfn._xlws.FILTER(TablaProductos[Nombre producto],TablaProductos[Agrupación]=ProductosPivot!AIC5)</f>
        <v>#VALUE!</v>
      </c>
      <c r="AID6" s="68" t="e" cm="1" vm="1">
        <f t="array" ref="AID6">_xlfn._xlws.FILTER(TablaProductos[Nombre producto],TablaProductos[Agrupación]=ProductosPivot!AID5)</f>
        <v>#VALUE!</v>
      </c>
      <c r="AIE6" s="68" t="e" cm="1" vm="1">
        <f t="array" ref="AIE6">_xlfn._xlws.FILTER(TablaProductos[Nombre producto],TablaProductos[Agrupación]=ProductosPivot!AIE5)</f>
        <v>#VALUE!</v>
      </c>
      <c r="AIF6" s="68" t="e" cm="1" vm="1">
        <f t="array" ref="AIF6">_xlfn._xlws.FILTER(TablaProductos[Nombre producto],TablaProductos[Agrupación]=ProductosPivot!AIF5)</f>
        <v>#VALUE!</v>
      </c>
      <c r="AIG6" s="68" t="e" cm="1" vm="1">
        <f t="array" ref="AIG6">_xlfn._xlws.FILTER(TablaProductos[Nombre producto],TablaProductos[Agrupación]=ProductosPivot!AIG5)</f>
        <v>#VALUE!</v>
      </c>
      <c r="AIH6" s="68" t="e" cm="1" vm="1">
        <f t="array" ref="AIH6">_xlfn._xlws.FILTER(TablaProductos[Nombre producto],TablaProductos[Agrupación]=ProductosPivot!AIH5)</f>
        <v>#VALUE!</v>
      </c>
      <c r="AII6" s="68" t="e" cm="1" vm="1">
        <f t="array" ref="AII6">_xlfn._xlws.FILTER(TablaProductos[Nombre producto],TablaProductos[Agrupación]=ProductosPivot!AII5)</f>
        <v>#VALUE!</v>
      </c>
      <c r="AIJ6" s="68" t="e" cm="1" vm="1">
        <f t="array" ref="AIJ6">_xlfn._xlws.FILTER(TablaProductos[Nombre producto],TablaProductos[Agrupación]=ProductosPivot!AIJ5)</f>
        <v>#VALUE!</v>
      </c>
      <c r="AIK6" s="68" t="e" cm="1" vm="1">
        <f t="array" ref="AIK6">_xlfn._xlws.FILTER(TablaProductos[Nombre producto],TablaProductos[Agrupación]=ProductosPivot!AIK5)</f>
        <v>#VALUE!</v>
      </c>
      <c r="AIL6" s="68" t="e" cm="1" vm="1">
        <f t="array" ref="AIL6">_xlfn._xlws.FILTER(TablaProductos[Nombre producto],TablaProductos[Agrupación]=ProductosPivot!AIL5)</f>
        <v>#VALUE!</v>
      </c>
      <c r="AIM6" s="68" t="e" cm="1" vm="1">
        <f t="array" ref="AIM6">_xlfn._xlws.FILTER(TablaProductos[Nombre producto],TablaProductos[Agrupación]=ProductosPivot!AIM5)</f>
        <v>#VALUE!</v>
      </c>
      <c r="AIN6" s="68" t="e" cm="1" vm="1">
        <f t="array" ref="AIN6">_xlfn._xlws.FILTER(TablaProductos[Nombre producto],TablaProductos[Agrupación]=ProductosPivot!AIN5)</f>
        <v>#VALUE!</v>
      </c>
      <c r="AIO6" s="68" t="e" cm="1" vm="1">
        <f t="array" ref="AIO6">_xlfn._xlws.FILTER(TablaProductos[Nombre producto],TablaProductos[Agrupación]=ProductosPivot!AIO5)</f>
        <v>#VALUE!</v>
      </c>
      <c r="AIP6" s="68" t="e" cm="1" vm="1">
        <f t="array" ref="AIP6">_xlfn._xlws.FILTER(TablaProductos[Nombre producto],TablaProductos[Agrupación]=ProductosPivot!AIP5)</f>
        <v>#VALUE!</v>
      </c>
      <c r="AIQ6" s="68" t="e" cm="1" vm="1">
        <f t="array" ref="AIQ6">_xlfn._xlws.FILTER(TablaProductos[Nombre producto],TablaProductos[Agrupación]=ProductosPivot!AIQ5)</f>
        <v>#VALUE!</v>
      </c>
      <c r="AIR6" s="68" t="e" cm="1" vm="1">
        <f t="array" ref="AIR6">_xlfn._xlws.FILTER(TablaProductos[Nombre producto],TablaProductos[Agrupación]=ProductosPivot!AIR5)</f>
        <v>#VALUE!</v>
      </c>
      <c r="AIS6" s="68" t="e" cm="1" vm="1">
        <f t="array" ref="AIS6">_xlfn._xlws.FILTER(TablaProductos[Nombre producto],TablaProductos[Agrupación]=ProductosPivot!AIS5)</f>
        <v>#VALUE!</v>
      </c>
      <c r="AIT6" s="68" t="e" cm="1" vm="1">
        <f t="array" ref="AIT6">_xlfn._xlws.FILTER(TablaProductos[Nombre producto],TablaProductos[Agrupación]=ProductosPivot!AIT5)</f>
        <v>#VALUE!</v>
      </c>
      <c r="AIU6" s="68" t="e" cm="1" vm="1">
        <f t="array" ref="AIU6">_xlfn._xlws.FILTER(TablaProductos[Nombre producto],TablaProductos[Agrupación]=ProductosPivot!AIU5)</f>
        <v>#VALUE!</v>
      </c>
      <c r="AIV6" s="68" t="e" cm="1" vm="1">
        <f t="array" ref="AIV6">_xlfn._xlws.FILTER(TablaProductos[Nombre producto],TablaProductos[Agrupación]=ProductosPivot!AIV5)</f>
        <v>#VALUE!</v>
      </c>
      <c r="AIW6" s="68" t="e" cm="1" vm="1">
        <f t="array" ref="AIW6">_xlfn._xlws.FILTER(TablaProductos[Nombre producto],TablaProductos[Agrupación]=ProductosPivot!AIW5)</f>
        <v>#VALUE!</v>
      </c>
      <c r="AIX6" s="68" t="e" cm="1" vm="1">
        <f t="array" ref="AIX6">_xlfn._xlws.FILTER(TablaProductos[Nombre producto],TablaProductos[Agrupación]=ProductosPivot!AIX5)</f>
        <v>#VALUE!</v>
      </c>
      <c r="AIY6" s="68" t="e" cm="1" vm="1">
        <f t="array" ref="AIY6">_xlfn._xlws.FILTER(TablaProductos[Nombre producto],TablaProductos[Agrupación]=ProductosPivot!AIY5)</f>
        <v>#VALUE!</v>
      </c>
      <c r="AIZ6" s="68" t="e" cm="1" vm="1">
        <f t="array" ref="AIZ6">_xlfn._xlws.FILTER(TablaProductos[Nombre producto],TablaProductos[Agrupación]=ProductosPivot!AIZ5)</f>
        <v>#VALUE!</v>
      </c>
      <c r="AJA6" s="68" t="e" cm="1" vm="1">
        <f t="array" ref="AJA6">_xlfn._xlws.FILTER(TablaProductos[Nombre producto],TablaProductos[Agrupación]=ProductosPivot!AJA5)</f>
        <v>#VALUE!</v>
      </c>
      <c r="AJB6" s="68" t="e" cm="1" vm="1">
        <f t="array" ref="AJB6">_xlfn._xlws.FILTER(TablaProductos[Nombre producto],TablaProductos[Agrupación]=ProductosPivot!AJB5)</f>
        <v>#VALUE!</v>
      </c>
      <c r="AJC6" s="68" t="e" cm="1" vm="1">
        <f t="array" ref="AJC6">_xlfn._xlws.FILTER(TablaProductos[Nombre producto],TablaProductos[Agrupación]=ProductosPivot!AJC5)</f>
        <v>#VALUE!</v>
      </c>
      <c r="AJD6" s="68" t="e" cm="1" vm="1">
        <f t="array" ref="AJD6">_xlfn._xlws.FILTER(TablaProductos[Nombre producto],TablaProductos[Agrupación]=ProductosPivot!AJD5)</f>
        <v>#VALUE!</v>
      </c>
      <c r="AJE6" s="68" t="e" cm="1" vm="1">
        <f t="array" ref="AJE6">_xlfn._xlws.FILTER(TablaProductos[Nombre producto],TablaProductos[Agrupación]=ProductosPivot!AJE5)</f>
        <v>#VALUE!</v>
      </c>
      <c r="AJF6" s="68" t="e" cm="1" vm="1">
        <f t="array" ref="AJF6">_xlfn._xlws.FILTER(TablaProductos[Nombre producto],TablaProductos[Agrupación]=ProductosPivot!AJF5)</f>
        <v>#VALUE!</v>
      </c>
      <c r="AJG6" s="68" t="e" cm="1" vm="1">
        <f t="array" ref="AJG6">_xlfn._xlws.FILTER(TablaProductos[Nombre producto],TablaProductos[Agrupación]=ProductosPivot!AJG5)</f>
        <v>#VALUE!</v>
      </c>
      <c r="AJH6" s="68" t="e" cm="1" vm="1">
        <f t="array" ref="AJH6">_xlfn._xlws.FILTER(TablaProductos[Nombre producto],TablaProductos[Agrupación]=ProductosPivot!AJH5)</f>
        <v>#VALUE!</v>
      </c>
      <c r="AJI6" s="68" t="e" cm="1" vm="1">
        <f t="array" ref="AJI6">_xlfn._xlws.FILTER(TablaProductos[Nombre producto],TablaProductos[Agrupación]=ProductosPivot!AJI5)</f>
        <v>#VALUE!</v>
      </c>
      <c r="AJJ6" s="68" t="e" cm="1" vm="1">
        <f t="array" ref="AJJ6">_xlfn._xlws.FILTER(TablaProductos[Nombre producto],TablaProductos[Agrupación]=ProductosPivot!AJJ5)</f>
        <v>#VALUE!</v>
      </c>
      <c r="AJK6" s="68" t="e" cm="1" vm="1">
        <f t="array" ref="AJK6">_xlfn._xlws.FILTER(TablaProductos[Nombre producto],TablaProductos[Agrupación]=ProductosPivot!AJK5)</f>
        <v>#VALUE!</v>
      </c>
      <c r="AJL6" s="68" t="e" cm="1" vm="1">
        <f t="array" ref="AJL6">_xlfn._xlws.FILTER(TablaProductos[Nombre producto],TablaProductos[Agrupación]=ProductosPivot!AJL5)</f>
        <v>#VALUE!</v>
      </c>
      <c r="AJM6" s="68" t="e" cm="1" vm="1">
        <f t="array" ref="AJM6">_xlfn._xlws.FILTER(TablaProductos[Nombre producto],TablaProductos[Agrupación]=ProductosPivot!AJM5)</f>
        <v>#VALUE!</v>
      </c>
      <c r="AJN6" s="68" t="e" cm="1" vm="1">
        <f t="array" ref="AJN6">_xlfn._xlws.FILTER(TablaProductos[Nombre producto],TablaProductos[Agrupación]=ProductosPivot!AJN5)</f>
        <v>#VALUE!</v>
      </c>
      <c r="AJO6" s="68" t="e" cm="1" vm="1">
        <f t="array" ref="AJO6">_xlfn._xlws.FILTER(TablaProductos[Nombre producto],TablaProductos[Agrupación]=ProductosPivot!AJO5)</f>
        <v>#VALUE!</v>
      </c>
      <c r="AJP6" s="68" t="e" cm="1" vm="1">
        <f t="array" ref="AJP6">_xlfn._xlws.FILTER(TablaProductos[Nombre producto],TablaProductos[Agrupación]=ProductosPivot!AJP5)</f>
        <v>#VALUE!</v>
      </c>
      <c r="AJQ6" s="68" t="e" cm="1" vm="1">
        <f t="array" ref="AJQ6">_xlfn._xlws.FILTER(TablaProductos[Nombre producto],TablaProductos[Agrupación]=ProductosPivot!AJQ5)</f>
        <v>#VALUE!</v>
      </c>
      <c r="AJR6" s="68" t="e" cm="1" vm="1">
        <f t="array" ref="AJR6">_xlfn._xlws.FILTER(TablaProductos[Nombre producto],TablaProductos[Agrupación]=ProductosPivot!AJR5)</f>
        <v>#VALUE!</v>
      </c>
      <c r="AJS6" s="68" t="e" cm="1" vm="1">
        <f t="array" ref="AJS6">_xlfn._xlws.FILTER(TablaProductos[Nombre producto],TablaProductos[Agrupación]=ProductosPivot!AJS5)</f>
        <v>#VALUE!</v>
      </c>
      <c r="AJT6" s="68" t="e" cm="1" vm="1">
        <f t="array" ref="AJT6">_xlfn._xlws.FILTER(TablaProductos[Nombre producto],TablaProductos[Agrupación]=ProductosPivot!AJT5)</f>
        <v>#VALUE!</v>
      </c>
      <c r="AJU6" s="68" t="e" cm="1" vm="1">
        <f t="array" ref="AJU6">_xlfn._xlws.FILTER(TablaProductos[Nombre producto],TablaProductos[Agrupación]=ProductosPivot!AJU5)</f>
        <v>#VALUE!</v>
      </c>
      <c r="AJV6" s="68" t="e" cm="1" vm="1">
        <f t="array" ref="AJV6">_xlfn._xlws.FILTER(TablaProductos[Nombre producto],TablaProductos[Agrupación]=ProductosPivot!AJV5)</f>
        <v>#VALUE!</v>
      </c>
      <c r="AJW6" s="68" t="e" cm="1" vm="1">
        <f t="array" ref="AJW6">_xlfn._xlws.FILTER(TablaProductos[Nombre producto],TablaProductos[Agrupación]=ProductosPivot!AJW5)</f>
        <v>#VALUE!</v>
      </c>
      <c r="AJX6" s="68" t="e" cm="1" vm="1">
        <f t="array" ref="AJX6">_xlfn._xlws.FILTER(TablaProductos[Nombre producto],TablaProductos[Agrupación]=ProductosPivot!AJX5)</f>
        <v>#VALUE!</v>
      </c>
      <c r="AJY6" s="68" t="e" cm="1" vm="1">
        <f t="array" ref="AJY6">_xlfn._xlws.FILTER(TablaProductos[Nombre producto],TablaProductos[Agrupación]=ProductosPivot!AJY5)</f>
        <v>#VALUE!</v>
      </c>
      <c r="AJZ6" s="68" t="e" cm="1" vm="1">
        <f t="array" ref="AJZ6">_xlfn._xlws.FILTER(TablaProductos[Nombre producto],TablaProductos[Agrupación]=ProductosPivot!AJZ5)</f>
        <v>#VALUE!</v>
      </c>
      <c r="AKA6" s="68" t="e" cm="1" vm="1">
        <f t="array" ref="AKA6">_xlfn._xlws.FILTER(TablaProductos[Nombre producto],TablaProductos[Agrupación]=ProductosPivot!AKA5)</f>
        <v>#VALUE!</v>
      </c>
      <c r="AKB6" s="68" t="e" cm="1" vm="1">
        <f t="array" ref="AKB6">_xlfn._xlws.FILTER(TablaProductos[Nombre producto],TablaProductos[Agrupación]=ProductosPivot!AKB5)</f>
        <v>#VALUE!</v>
      </c>
      <c r="AKC6" s="68" t="e" cm="1" vm="1">
        <f t="array" ref="AKC6">_xlfn._xlws.FILTER(TablaProductos[Nombre producto],TablaProductos[Agrupación]=ProductosPivot!AKC5)</f>
        <v>#VALUE!</v>
      </c>
      <c r="AKD6" s="68" t="e" cm="1" vm="1">
        <f t="array" ref="AKD6">_xlfn._xlws.FILTER(TablaProductos[Nombre producto],TablaProductos[Agrupación]=ProductosPivot!AKD5)</f>
        <v>#VALUE!</v>
      </c>
      <c r="AKE6" s="68" t="e" cm="1" vm="1">
        <f t="array" ref="AKE6">_xlfn._xlws.FILTER(TablaProductos[Nombre producto],TablaProductos[Agrupación]=ProductosPivot!AKE5)</f>
        <v>#VALUE!</v>
      </c>
      <c r="AKF6" s="68" t="e" cm="1" vm="1">
        <f t="array" ref="AKF6">_xlfn._xlws.FILTER(TablaProductos[Nombre producto],TablaProductos[Agrupación]=ProductosPivot!AKF5)</f>
        <v>#VALUE!</v>
      </c>
      <c r="AKG6" s="68" t="e" cm="1" vm="1">
        <f t="array" ref="AKG6">_xlfn._xlws.FILTER(TablaProductos[Nombre producto],TablaProductos[Agrupación]=ProductosPivot!AKG5)</f>
        <v>#VALUE!</v>
      </c>
      <c r="AKH6" s="68" t="e" cm="1" vm="1">
        <f t="array" ref="AKH6">_xlfn._xlws.FILTER(TablaProductos[Nombre producto],TablaProductos[Agrupación]=ProductosPivot!AKH5)</f>
        <v>#VALUE!</v>
      </c>
      <c r="AKI6" s="68" t="e" cm="1" vm="1">
        <f t="array" ref="AKI6">_xlfn._xlws.FILTER(TablaProductos[Nombre producto],TablaProductos[Agrupación]=ProductosPivot!AKI5)</f>
        <v>#VALUE!</v>
      </c>
      <c r="AKJ6" s="68" t="e" cm="1" vm="1">
        <f t="array" ref="AKJ6">_xlfn._xlws.FILTER(TablaProductos[Nombre producto],TablaProductos[Agrupación]=ProductosPivot!AKJ5)</f>
        <v>#VALUE!</v>
      </c>
      <c r="AKK6" s="68" t="e" cm="1" vm="1">
        <f t="array" ref="AKK6">_xlfn._xlws.FILTER(TablaProductos[Nombre producto],TablaProductos[Agrupación]=ProductosPivot!AKK5)</f>
        <v>#VALUE!</v>
      </c>
      <c r="AKL6" s="68" t="e" cm="1" vm="1">
        <f t="array" ref="AKL6">_xlfn._xlws.FILTER(TablaProductos[Nombre producto],TablaProductos[Agrupación]=ProductosPivot!AKL5)</f>
        <v>#VALUE!</v>
      </c>
      <c r="AKM6" s="68" t="e" cm="1" vm="1">
        <f t="array" ref="AKM6">_xlfn._xlws.FILTER(TablaProductos[Nombre producto],TablaProductos[Agrupación]=ProductosPivot!AKM5)</f>
        <v>#VALUE!</v>
      </c>
      <c r="AKN6" s="68" t="e" cm="1" vm="1">
        <f t="array" ref="AKN6">_xlfn._xlws.FILTER(TablaProductos[Nombre producto],TablaProductos[Agrupación]=ProductosPivot!AKN5)</f>
        <v>#VALUE!</v>
      </c>
      <c r="AKO6" s="68" t="e" cm="1" vm="1">
        <f t="array" ref="AKO6">_xlfn._xlws.FILTER(TablaProductos[Nombre producto],TablaProductos[Agrupación]=ProductosPivot!AKO5)</f>
        <v>#VALUE!</v>
      </c>
      <c r="AKP6" s="68" t="e" cm="1" vm="1">
        <f t="array" ref="AKP6">_xlfn._xlws.FILTER(TablaProductos[Nombre producto],TablaProductos[Agrupación]=ProductosPivot!AKP5)</f>
        <v>#VALUE!</v>
      </c>
      <c r="AKQ6" s="68" t="e" cm="1" vm="1">
        <f t="array" ref="AKQ6">_xlfn._xlws.FILTER(TablaProductos[Nombre producto],TablaProductos[Agrupación]=ProductosPivot!AKQ5)</f>
        <v>#VALUE!</v>
      </c>
      <c r="AKR6" s="68" t="e" cm="1" vm="1">
        <f t="array" ref="AKR6">_xlfn._xlws.FILTER(TablaProductos[Nombre producto],TablaProductos[Agrupación]=ProductosPivot!AKR5)</f>
        <v>#VALUE!</v>
      </c>
      <c r="AKS6" s="68" t="e" cm="1" vm="1">
        <f t="array" ref="AKS6">_xlfn._xlws.FILTER(TablaProductos[Nombre producto],TablaProductos[Agrupación]=ProductosPivot!AKS5)</f>
        <v>#VALUE!</v>
      </c>
      <c r="AKT6" s="68" t="e" cm="1" vm="1">
        <f t="array" ref="AKT6">_xlfn._xlws.FILTER(TablaProductos[Nombre producto],TablaProductos[Agrupación]=ProductosPivot!AKT5)</f>
        <v>#VALUE!</v>
      </c>
      <c r="AKU6" s="68" t="e" cm="1" vm="1">
        <f t="array" ref="AKU6">_xlfn._xlws.FILTER(TablaProductos[Nombre producto],TablaProductos[Agrupación]=ProductosPivot!AKU5)</f>
        <v>#VALUE!</v>
      </c>
      <c r="AKV6" s="68" t="e" cm="1" vm="1">
        <f t="array" ref="AKV6">_xlfn._xlws.FILTER(TablaProductos[Nombre producto],TablaProductos[Agrupación]=ProductosPivot!AKV5)</f>
        <v>#VALUE!</v>
      </c>
      <c r="AKW6" s="68" t="e" cm="1" vm="1">
        <f t="array" ref="AKW6">_xlfn._xlws.FILTER(TablaProductos[Nombre producto],TablaProductos[Agrupación]=ProductosPivot!AKW5)</f>
        <v>#VALUE!</v>
      </c>
      <c r="AKX6" s="68" t="e" cm="1" vm="1">
        <f t="array" ref="AKX6">_xlfn._xlws.FILTER(TablaProductos[Nombre producto],TablaProductos[Agrupación]=ProductosPivot!AKX5)</f>
        <v>#VALUE!</v>
      </c>
      <c r="AKY6" s="68" t="e" cm="1" vm="1">
        <f t="array" ref="AKY6">_xlfn._xlws.FILTER(TablaProductos[Nombre producto],TablaProductos[Agrupación]=ProductosPivot!AKY5)</f>
        <v>#VALUE!</v>
      </c>
      <c r="AKZ6" s="68" t="e" cm="1" vm="1">
        <f t="array" ref="AKZ6">_xlfn._xlws.FILTER(TablaProductos[Nombre producto],TablaProductos[Agrupación]=ProductosPivot!AKZ5)</f>
        <v>#VALUE!</v>
      </c>
      <c r="ALA6" s="68" t="e" cm="1" vm="1">
        <f t="array" ref="ALA6">_xlfn._xlws.FILTER(TablaProductos[Nombre producto],TablaProductos[Agrupación]=ProductosPivot!ALA5)</f>
        <v>#VALUE!</v>
      </c>
      <c r="ALB6" s="68" t="e" cm="1" vm="1">
        <f t="array" ref="ALB6">_xlfn._xlws.FILTER(TablaProductos[Nombre producto],TablaProductos[Agrupación]=ProductosPivot!ALB5)</f>
        <v>#VALUE!</v>
      </c>
      <c r="ALC6" s="68" t="e" cm="1" vm="1">
        <f t="array" ref="ALC6">_xlfn._xlws.FILTER(TablaProductos[Nombre producto],TablaProductos[Agrupación]=ProductosPivot!ALC5)</f>
        <v>#VALUE!</v>
      </c>
      <c r="ALD6" s="68" t="e" cm="1" vm="1">
        <f t="array" ref="ALD6">_xlfn._xlws.FILTER(TablaProductos[Nombre producto],TablaProductos[Agrupación]=ProductosPivot!ALD5)</f>
        <v>#VALUE!</v>
      </c>
      <c r="ALE6" s="68" t="e" cm="1" vm="1">
        <f t="array" ref="ALE6">_xlfn._xlws.FILTER(TablaProductos[Nombre producto],TablaProductos[Agrupación]=ProductosPivot!ALE5)</f>
        <v>#VALUE!</v>
      </c>
      <c r="ALF6" s="68" t="e" cm="1" vm="1">
        <f t="array" ref="ALF6">_xlfn._xlws.FILTER(TablaProductos[Nombre producto],TablaProductos[Agrupación]=ProductosPivot!ALF5)</f>
        <v>#VALUE!</v>
      </c>
      <c r="ALG6" s="68" t="e" cm="1" vm="1">
        <f t="array" ref="ALG6">_xlfn._xlws.FILTER(TablaProductos[Nombre producto],TablaProductos[Agrupación]=ProductosPivot!ALG5)</f>
        <v>#VALUE!</v>
      </c>
      <c r="ALH6" s="68" t="e" cm="1" vm="1">
        <f t="array" ref="ALH6">_xlfn._xlws.FILTER(TablaProductos[Nombre producto],TablaProductos[Agrupación]=ProductosPivot!ALH5)</f>
        <v>#VALUE!</v>
      </c>
      <c r="ALI6" s="68" t="e" cm="1" vm="1">
        <f t="array" ref="ALI6">_xlfn._xlws.FILTER(TablaProductos[Nombre producto],TablaProductos[Agrupación]=ProductosPivot!ALI5)</f>
        <v>#VALUE!</v>
      </c>
      <c r="ALJ6" s="68" t="e" cm="1" vm="1">
        <f t="array" ref="ALJ6">_xlfn._xlws.FILTER(TablaProductos[Nombre producto],TablaProductos[Agrupación]=ProductosPivot!ALJ5)</f>
        <v>#VALUE!</v>
      </c>
      <c r="ALK6" s="68" t="e" cm="1" vm="1">
        <f t="array" ref="ALK6">_xlfn._xlws.FILTER(TablaProductos[Nombre producto],TablaProductos[Agrupación]=ProductosPivot!ALK5)</f>
        <v>#VALUE!</v>
      </c>
      <c r="ALL6" s="68" t="e" cm="1" vm="1">
        <f t="array" ref="ALL6">_xlfn._xlws.FILTER(TablaProductos[Nombre producto],TablaProductos[Agrupación]=ProductosPivot!ALL5)</f>
        <v>#VALUE!</v>
      </c>
      <c r="ALM6" s="68" t="e" cm="1" vm="1">
        <f t="array" ref="ALM6">_xlfn._xlws.FILTER(TablaProductos[Nombre producto],TablaProductos[Agrupación]=ProductosPivot!ALM5)</f>
        <v>#VALUE!</v>
      </c>
      <c r="ALN6" s="68" t="e" cm="1" vm="1">
        <f t="array" ref="ALN6">_xlfn._xlws.FILTER(TablaProductos[Nombre producto],TablaProductos[Agrupación]=ProductosPivot!ALN5)</f>
        <v>#VALUE!</v>
      </c>
      <c r="ALO6" s="68" t="e" cm="1" vm="1">
        <f t="array" ref="ALO6">_xlfn._xlws.FILTER(TablaProductos[Nombre producto],TablaProductos[Agrupación]=ProductosPivot!ALO5)</f>
        <v>#VALUE!</v>
      </c>
      <c r="ALP6" s="68" t="e" cm="1" vm="1">
        <f t="array" ref="ALP6">_xlfn._xlws.FILTER(TablaProductos[Nombre producto],TablaProductos[Agrupación]=ProductosPivot!ALP5)</f>
        <v>#VALUE!</v>
      </c>
      <c r="ALQ6" s="68" t="e" cm="1" vm="1">
        <f t="array" ref="ALQ6">_xlfn._xlws.FILTER(TablaProductos[Nombre producto],TablaProductos[Agrupación]=ProductosPivot!ALQ5)</f>
        <v>#VALUE!</v>
      </c>
      <c r="ALR6" s="68" t="e" cm="1" vm="1">
        <f t="array" ref="ALR6">_xlfn._xlws.FILTER(TablaProductos[Nombre producto],TablaProductos[Agrupación]=ProductosPivot!ALR5)</f>
        <v>#VALUE!</v>
      </c>
      <c r="ALS6" s="68" t="e" cm="1" vm="1">
        <f t="array" ref="ALS6">_xlfn._xlws.FILTER(TablaProductos[Nombre producto],TablaProductos[Agrupación]=ProductosPivot!ALS5)</f>
        <v>#VALUE!</v>
      </c>
      <c r="ALT6" s="68" t="e" cm="1" vm="1">
        <f t="array" ref="ALT6">_xlfn._xlws.FILTER(TablaProductos[Nombre producto],TablaProductos[Agrupación]=ProductosPivot!ALT5)</f>
        <v>#VALUE!</v>
      </c>
      <c r="ALU6" s="68" t="e" cm="1" vm="1">
        <f t="array" ref="ALU6">_xlfn._xlws.FILTER(TablaProductos[Nombre producto],TablaProductos[Agrupación]=ProductosPivot!ALU5)</f>
        <v>#VALUE!</v>
      </c>
      <c r="ALV6" s="68" t="e" cm="1" vm="1">
        <f t="array" ref="ALV6">_xlfn._xlws.FILTER(TablaProductos[Nombre producto],TablaProductos[Agrupación]=ProductosPivot!ALV5)</f>
        <v>#VALUE!</v>
      </c>
      <c r="ALW6" s="68" t="e" cm="1" vm="1">
        <f t="array" ref="ALW6">_xlfn._xlws.FILTER(TablaProductos[Nombre producto],TablaProductos[Agrupación]=ProductosPivot!ALW5)</f>
        <v>#VALUE!</v>
      </c>
      <c r="ALX6" s="68" t="e" cm="1" vm="1">
        <f t="array" ref="ALX6">_xlfn._xlws.FILTER(TablaProductos[Nombre producto],TablaProductos[Agrupación]=ProductosPivot!ALX5)</f>
        <v>#VALUE!</v>
      </c>
      <c r="ALY6" s="68" t="e" cm="1" vm="1">
        <f t="array" ref="ALY6">_xlfn._xlws.FILTER(TablaProductos[Nombre producto],TablaProductos[Agrupación]=ProductosPivot!ALY5)</f>
        <v>#VALUE!</v>
      </c>
      <c r="ALZ6" s="68" t="e" cm="1" vm="1">
        <f t="array" ref="ALZ6">_xlfn._xlws.FILTER(TablaProductos[Nombre producto],TablaProductos[Agrupación]=ProductosPivot!ALZ5)</f>
        <v>#VALUE!</v>
      </c>
      <c r="AMA6" s="68" t="e" cm="1" vm="1">
        <f t="array" ref="AMA6">_xlfn._xlws.FILTER(TablaProductos[Nombre producto],TablaProductos[Agrupación]=ProductosPivot!AMA5)</f>
        <v>#VALUE!</v>
      </c>
      <c r="AMB6" s="68" t="e" cm="1" vm="1">
        <f t="array" ref="AMB6">_xlfn._xlws.FILTER(TablaProductos[Nombre producto],TablaProductos[Agrupación]=ProductosPivot!AMB5)</f>
        <v>#VALUE!</v>
      </c>
      <c r="AMC6" s="68" t="e" cm="1" vm="1">
        <f t="array" ref="AMC6">_xlfn._xlws.FILTER(TablaProductos[Nombre producto],TablaProductos[Agrupación]=ProductosPivot!AMC5)</f>
        <v>#VALUE!</v>
      </c>
      <c r="AMD6" s="68" t="e" cm="1" vm="1">
        <f t="array" ref="AMD6">_xlfn._xlws.FILTER(TablaProductos[Nombre producto],TablaProductos[Agrupación]=ProductosPivot!AMD5)</f>
        <v>#VALUE!</v>
      </c>
      <c r="AME6" s="68" t="e" cm="1" vm="1">
        <f t="array" ref="AME6">_xlfn._xlws.FILTER(TablaProductos[Nombre producto],TablaProductos[Agrupación]=ProductosPivot!AME5)</f>
        <v>#VALUE!</v>
      </c>
      <c r="AMF6" s="68" t="e" cm="1" vm="1">
        <f t="array" ref="AMF6">_xlfn._xlws.FILTER(TablaProductos[Nombre producto],TablaProductos[Agrupación]=ProductosPivot!AMF5)</f>
        <v>#VALUE!</v>
      </c>
      <c r="AMG6" s="68" t="e" cm="1" vm="1">
        <f t="array" ref="AMG6">_xlfn._xlws.FILTER(TablaProductos[Nombre producto],TablaProductos[Agrupación]=ProductosPivot!AMG5)</f>
        <v>#VALUE!</v>
      </c>
      <c r="AMH6" s="68" t="e" cm="1" vm="1">
        <f t="array" ref="AMH6">_xlfn._xlws.FILTER(TablaProductos[Nombre producto],TablaProductos[Agrupación]=ProductosPivot!AMH5)</f>
        <v>#VALUE!</v>
      </c>
      <c r="AMI6" s="68" t="e" cm="1" vm="1">
        <f t="array" ref="AMI6">_xlfn._xlws.FILTER(TablaProductos[Nombre producto],TablaProductos[Agrupación]=ProductosPivot!AMI5)</f>
        <v>#VALUE!</v>
      </c>
      <c r="AMJ6" s="68" t="e" cm="1" vm="1">
        <f t="array" ref="AMJ6">_xlfn._xlws.FILTER(TablaProductos[Nombre producto],TablaProductos[Agrupación]=ProductosPivot!AMJ5)</f>
        <v>#VALUE!</v>
      </c>
      <c r="AMK6" s="68" t="e" cm="1" vm="1">
        <f t="array" ref="AMK6">_xlfn._xlws.FILTER(TablaProductos[Nombre producto],TablaProductos[Agrupación]=ProductosPivot!AMK5)</f>
        <v>#VALUE!</v>
      </c>
      <c r="AML6" s="68" t="e" cm="1" vm="1">
        <f t="array" ref="AML6">_xlfn._xlws.FILTER(TablaProductos[Nombre producto],TablaProductos[Agrupación]=ProductosPivot!AML5)</f>
        <v>#VALUE!</v>
      </c>
      <c r="AMM6" s="68" t="e" cm="1" vm="1">
        <f t="array" ref="AMM6">_xlfn._xlws.FILTER(TablaProductos[Nombre producto],TablaProductos[Agrupación]=ProductosPivot!AMM5)</f>
        <v>#VALUE!</v>
      </c>
      <c r="AMN6" s="68" t="e" cm="1" vm="1">
        <f t="array" ref="AMN6">_xlfn._xlws.FILTER(TablaProductos[Nombre producto],TablaProductos[Agrupación]=ProductosPivot!AMN5)</f>
        <v>#VALUE!</v>
      </c>
      <c r="AMO6" s="68" t="e" cm="1" vm="1">
        <f t="array" ref="AMO6">_xlfn._xlws.FILTER(TablaProductos[Nombre producto],TablaProductos[Agrupación]=ProductosPivot!AMO5)</f>
        <v>#VALUE!</v>
      </c>
      <c r="AMP6" s="68" t="e" cm="1" vm="1">
        <f t="array" ref="AMP6">_xlfn._xlws.FILTER(TablaProductos[Nombre producto],TablaProductos[Agrupación]=ProductosPivot!AMP5)</f>
        <v>#VALUE!</v>
      </c>
      <c r="AMQ6" s="68" t="e" cm="1" vm="1">
        <f t="array" ref="AMQ6">_xlfn._xlws.FILTER(TablaProductos[Nombre producto],TablaProductos[Agrupación]=ProductosPivot!AMQ5)</f>
        <v>#VALUE!</v>
      </c>
      <c r="AMR6" s="68" t="e" cm="1" vm="1">
        <f t="array" ref="AMR6">_xlfn._xlws.FILTER(TablaProductos[Nombre producto],TablaProductos[Agrupación]=ProductosPivot!AMR5)</f>
        <v>#VALUE!</v>
      </c>
      <c r="AMS6" s="68" t="e" cm="1" vm="1">
        <f t="array" ref="AMS6">_xlfn._xlws.FILTER(TablaProductos[Nombre producto],TablaProductos[Agrupación]=ProductosPivot!AMS5)</f>
        <v>#VALUE!</v>
      </c>
      <c r="AMT6" s="68" t="e" cm="1" vm="1">
        <f t="array" ref="AMT6">_xlfn._xlws.FILTER(TablaProductos[Nombre producto],TablaProductos[Agrupación]=ProductosPivot!AMT5)</f>
        <v>#VALUE!</v>
      </c>
      <c r="AMU6" s="68" t="e" cm="1" vm="1">
        <f t="array" ref="AMU6">_xlfn._xlws.FILTER(TablaProductos[Nombre producto],TablaProductos[Agrupación]=ProductosPivot!AMU5)</f>
        <v>#VALUE!</v>
      </c>
      <c r="AMV6" s="68" t="e" cm="1" vm="1">
        <f t="array" ref="AMV6">_xlfn._xlws.FILTER(TablaProductos[Nombre producto],TablaProductos[Agrupación]=ProductosPivot!AMV5)</f>
        <v>#VALUE!</v>
      </c>
      <c r="AMW6" s="68" t="e" cm="1" vm="1">
        <f t="array" ref="AMW6">_xlfn._xlws.FILTER(TablaProductos[Nombre producto],TablaProductos[Agrupación]=ProductosPivot!AMW5)</f>
        <v>#VALUE!</v>
      </c>
      <c r="AMX6" s="68" t="e" cm="1" vm="1">
        <f t="array" ref="AMX6">_xlfn._xlws.FILTER(TablaProductos[Nombre producto],TablaProductos[Agrupación]=ProductosPivot!AMX5)</f>
        <v>#VALUE!</v>
      </c>
      <c r="AMY6" s="68" t="e" cm="1" vm="1">
        <f t="array" ref="AMY6">_xlfn._xlws.FILTER(TablaProductos[Nombre producto],TablaProductos[Agrupación]=ProductosPivot!AMY5)</f>
        <v>#VALUE!</v>
      </c>
      <c r="AMZ6" s="68" t="e" cm="1" vm="1">
        <f t="array" ref="AMZ6">_xlfn._xlws.FILTER(TablaProductos[Nombre producto],TablaProductos[Agrupación]=ProductosPivot!AMZ5)</f>
        <v>#VALUE!</v>
      </c>
      <c r="ANA6" s="68" t="e" cm="1" vm="1">
        <f t="array" ref="ANA6">_xlfn._xlws.FILTER(TablaProductos[Nombre producto],TablaProductos[Agrupación]=ProductosPivot!ANA5)</f>
        <v>#VALUE!</v>
      </c>
      <c r="ANB6" s="68" t="e" cm="1" vm="1">
        <f t="array" ref="ANB6">_xlfn._xlws.FILTER(TablaProductos[Nombre producto],TablaProductos[Agrupación]=ProductosPivot!ANB5)</f>
        <v>#VALUE!</v>
      </c>
      <c r="ANC6" s="68" t="e" cm="1" vm="1">
        <f t="array" ref="ANC6">_xlfn._xlws.FILTER(TablaProductos[Nombre producto],TablaProductos[Agrupación]=ProductosPivot!ANC5)</f>
        <v>#VALUE!</v>
      </c>
      <c r="AND6" s="68" t="e" cm="1" vm="1">
        <f t="array" ref="AND6">_xlfn._xlws.FILTER(TablaProductos[Nombre producto],TablaProductos[Agrupación]=ProductosPivot!AND5)</f>
        <v>#VALUE!</v>
      </c>
      <c r="ANE6" s="68" t="e" cm="1" vm="1">
        <f t="array" ref="ANE6">_xlfn._xlws.FILTER(TablaProductos[Nombre producto],TablaProductos[Agrupación]=ProductosPivot!ANE5)</f>
        <v>#VALUE!</v>
      </c>
      <c r="ANF6" s="68" t="e" cm="1" vm="1">
        <f t="array" ref="ANF6">_xlfn._xlws.FILTER(TablaProductos[Nombre producto],TablaProductos[Agrupación]=ProductosPivot!ANF5)</f>
        <v>#VALUE!</v>
      </c>
      <c r="ANG6" s="68" t="e" cm="1" vm="1">
        <f t="array" ref="ANG6">_xlfn._xlws.FILTER(TablaProductos[Nombre producto],TablaProductos[Agrupación]=ProductosPivot!ANG5)</f>
        <v>#VALUE!</v>
      </c>
      <c r="ANH6" s="68" t="e" cm="1" vm="1">
        <f t="array" ref="ANH6">_xlfn._xlws.FILTER(TablaProductos[Nombre producto],TablaProductos[Agrupación]=ProductosPivot!ANH5)</f>
        <v>#VALUE!</v>
      </c>
      <c r="ANI6" s="68" t="e" cm="1" vm="1">
        <f t="array" ref="ANI6">_xlfn._xlws.FILTER(TablaProductos[Nombre producto],TablaProductos[Agrupación]=ProductosPivot!ANI5)</f>
        <v>#VALUE!</v>
      </c>
      <c r="ANJ6" s="68" t="e" cm="1" vm="1">
        <f t="array" ref="ANJ6">_xlfn._xlws.FILTER(TablaProductos[Nombre producto],TablaProductos[Agrupación]=ProductosPivot!ANJ5)</f>
        <v>#VALUE!</v>
      </c>
      <c r="ANK6" s="68" t="e" cm="1" vm="1">
        <f t="array" ref="ANK6">_xlfn._xlws.FILTER(TablaProductos[Nombre producto],TablaProductos[Agrupación]=ProductosPivot!ANK5)</f>
        <v>#VALUE!</v>
      </c>
      <c r="ANL6" s="68" t="e" cm="1" vm="1">
        <f t="array" ref="ANL6">_xlfn._xlws.FILTER(TablaProductos[Nombre producto],TablaProductos[Agrupación]=ProductosPivot!ANL5)</f>
        <v>#VALUE!</v>
      </c>
      <c r="ANM6" s="68" t="e" cm="1" vm="1">
        <f t="array" ref="ANM6">_xlfn._xlws.FILTER(TablaProductos[Nombre producto],TablaProductos[Agrupación]=ProductosPivot!ANM5)</f>
        <v>#VALUE!</v>
      </c>
      <c r="ANN6" s="68" t="e" cm="1" vm="1">
        <f t="array" ref="ANN6">_xlfn._xlws.FILTER(TablaProductos[Nombre producto],TablaProductos[Agrupación]=ProductosPivot!ANN5)</f>
        <v>#VALUE!</v>
      </c>
      <c r="ANO6" s="68" t="e" cm="1" vm="1">
        <f t="array" ref="ANO6">_xlfn._xlws.FILTER(TablaProductos[Nombre producto],TablaProductos[Agrupación]=ProductosPivot!ANO5)</f>
        <v>#VALUE!</v>
      </c>
      <c r="ANP6" s="68" t="e" cm="1" vm="1">
        <f t="array" ref="ANP6">_xlfn._xlws.FILTER(TablaProductos[Nombre producto],TablaProductos[Agrupación]=ProductosPivot!ANP5)</f>
        <v>#VALUE!</v>
      </c>
      <c r="ANQ6" s="68" t="e" cm="1" vm="1">
        <f t="array" ref="ANQ6">_xlfn._xlws.FILTER(TablaProductos[Nombre producto],TablaProductos[Agrupación]=ProductosPivot!ANQ5)</f>
        <v>#VALUE!</v>
      </c>
      <c r="ANR6" s="68" t="e" cm="1" vm="1">
        <f t="array" ref="ANR6">_xlfn._xlws.FILTER(TablaProductos[Nombre producto],TablaProductos[Agrupación]=ProductosPivot!ANR5)</f>
        <v>#VALUE!</v>
      </c>
      <c r="ANS6" s="68" t="e" cm="1" vm="1">
        <f t="array" ref="ANS6">_xlfn._xlws.FILTER(TablaProductos[Nombre producto],TablaProductos[Agrupación]=ProductosPivot!ANS5)</f>
        <v>#VALUE!</v>
      </c>
      <c r="ANT6" s="68" t="e" cm="1" vm="1">
        <f t="array" ref="ANT6">_xlfn._xlws.FILTER(TablaProductos[Nombre producto],TablaProductos[Agrupación]=ProductosPivot!ANT5)</f>
        <v>#VALUE!</v>
      </c>
      <c r="ANU6" s="68" t="e" cm="1" vm="1">
        <f t="array" ref="ANU6">_xlfn._xlws.FILTER(TablaProductos[Nombre producto],TablaProductos[Agrupación]=ProductosPivot!ANU5)</f>
        <v>#VALUE!</v>
      </c>
      <c r="ANV6" s="68" t="e" cm="1" vm="1">
        <f t="array" ref="ANV6">_xlfn._xlws.FILTER(TablaProductos[Nombre producto],TablaProductos[Agrupación]=ProductosPivot!ANV5)</f>
        <v>#VALUE!</v>
      </c>
      <c r="ANW6" s="68" t="e" cm="1" vm="1">
        <f t="array" ref="ANW6">_xlfn._xlws.FILTER(TablaProductos[Nombre producto],TablaProductos[Agrupación]=ProductosPivot!ANW5)</f>
        <v>#VALUE!</v>
      </c>
      <c r="ANX6" s="68" t="e" cm="1" vm="1">
        <f t="array" ref="ANX6">_xlfn._xlws.FILTER(TablaProductos[Nombre producto],TablaProductos[Agrupación]=ProductosPivot!ANX5)</f>
        <v>#VALUE!</v>
      </c>
      <c r="ANY6" s="68" t="e" cm="1" vm="1">
        <f t="array" ref="ANY6">_xlfn._xlws.FILTER(TablaProductos[Nombre producto],TablaProductos[Agrupación]=ProductosPivot!ANY5)</f>
        <v>#VALUE!</v>
      </c>
      <c r="ANZ6" s="68" t="e" cm="1" vm="1">
        <f t="array" ref="ANZ6">_xlfn._xlws.FILTER(TablaProductos[Nombre producto],TablaProductos[Agrupación]=ProductosPivot!ANZ5)</f>
        <v>#VALUE!</v>
      </c>
      <c r="AOA6" s="68" t="e" cm="1" vm="1">
        <f t="array" ref="AOA6">_xlfn._xlws.FILTER(TablaProductos[Nombre producto],TablaProductos[Agrupación]=ProductosPivot!AOA5)</f>
        <v>#VALUE!</v>
      </c>
      <c r="AOB6" s="68" t="e" cm="1" vm="1">
        <f t="array" ref="AOB6">_xlfn._xlws.FILTER(TablaProductos[Nombre producto],TablaProductos[Agrupación]=ProductosPivot!AOB5)</f>
        <v>#VALUE!</v>
      </c>
      <c r="AOC6" s="68" t="e" cm="1" vm="1">
        <f t="array" ref="AOC6">_xlfn._xlws.FILTER(TablaProductos[Nombre producto],TablaProductos[Agrupación]=ProductosPivot!AOC5)</f>
        <v>#VALUE!</v>
      </c>
      <c r="AOD6" s="68" t="e" cm="1" vm="1">
        <f t="array" ref="AOD6">_xlfn._xlws.FILTER(TablaProductos[Nombre producto],TablaProductos[Agrupación]=ProductosPivot!AOD5)</f>
        <v>#VALUE!</v>
      </c>
      <c r="AOE6" s="68" t="e" cm="1" vm="1">
        <f t="array" ref="AOE6">_xlfn._xlws.FILTER(TablaProductos[Nombre producto],TablaProductos[Agrupación]=ProductosPivot!AOE5)</f>
        <v>#VALUE!</v>
      </c>
      <c r="AOF6" s="68" t="e" cm="1" vm="1">
        <f t="array" ref="AOF6">_xlfn._xlws.FILTER(TablaProductos[Nombre producto],TablaProductos[Agrupación]=ProductosPivot!AOF5)</f>
        <v>#VALUE!</v>
      </c>
      <c r="AOG6" s="68" t="e" cm="1" vm="1">
        <f t="array" ref="AOG6">_xlfn._xlws.FILTER(TablaProductos[Nombre producto],TablaProductos[Agrupación]=ProductosPivot!AOG5)</f>
        <v>#VALUE!</v>
      </c>
      <c r="AOH6" s="68" t="e" cm="1" vm="1">
        <f t="array" ref="AOH6">_xlfn._xlws.FILTER(TablaProductos[Nombre producto],TablaProductos[Agrupación]=ProductosPivot!AOH5)</f>
        <v>#VALUE!</v>
      </c>
      <c r="AOI6" s="68" t="e" cm="1" vm="1">
        <f t="array" ref="AOI6">_xlfn._xlws.FILTER(TablaProductos[Nombre producto],TablaProductos[Agrupación]=ProductosPivot!AOI5)</f>
        <v>#VALUE!</v>
      </c>
      <c r="AOJ6" s="68" t="e" cm="1" vm="1">
        <f t="array" ref="AOJ6">_xlfn._xlws.FILTER(TablaProductos[Nombre producto],TablaProductos[Agrupación]=ProductosPivot!AOJ5)</f>
        <v>#VALUE!</v>
      </c>
      <c r="AOK6" s="68" t="e" cm="1" vm="1">
        <f t="array" ref="AOK6">_xlfn._xlws.FILTER(TablaProductos[Nombre producto],TablaProductos[Agrupación]=ProductosPivot!AOK5)</f>
        <v>#VALUE!</v>
      </c>
      <c r="AOL6" s="68" t="e" cm="1" vm="1">
        <f t="array" ref="AOL6">_xlfn._xlws.FILTER(TablaProductos[Nombre producto],TablaProductos[Agrupación]=ProductosPivot!AOL5)</f>
        <v>#VALUE!</v>
      </c>
      <c r="AOM6" s="68" t="e" cm="1" vm="1">
        <f t="array" ref="AOM6">_xlfn._xlws.FILTER(TablaProductos[Nombre producto],TablaProductos[Agrupación]=ProductosPivot!AOM5)</f>
        <v>#VALUE!</v>
      </c>
      <c r="AON6" s="68" t="e" cm="1" vm="1">
        <f t="array" ref="AON6">_xlfn._xlws.FILTER(TablaProductos[Nombre producto],TablaProductos[Agrupación]=ProductosPivot!AON5)</f>
        <v>#VALUE!</v>
      </c>
      <c r="AOO6" s="68" t="e" cm="1" vm="1">
        <f t="array" ref="AOO6">_xlfn._xlws.FILTER(TablaProductos[Nombre producto],TablaProductos[Agrupación]=ProductosPivot!AOO5)</f>
        <v>#VALUE!</v>
      </c>
      <c r="AOP6" s="68" t="e" cm="1" vm="1">
        <f t="array" ref="AOP6">_xlfn._xlws.FILTER(TablaProductos[Nombre producto],TablaProductos[Agrupación]=ProductosPivot!AOP5)</f>
        <v>#VALUE!</v>
      </c>
      <c r="AOQ6" s="68" t="e" cm="1" vm="1">
        <f t="array" ref="AOQ6">_xlfn._xlws.FILTER(TablaProductos[Nombre producto],TablaProductos[Agrupación]=ProductosPivot!AOQ5)</f>
        <v>#VALUE!</v>
      </c>
      <c r="AOR6" s="68" t="e" cm="1" vm="1">
        <f t="array" ref="AOR6">_xlfn._xlws.FILTER(TablaProductos[Nombre producto],TablaProductos[Agrupación]=ProductosPivot!AOR5)</f>
        <v>#VALUE!</v>
      </c>
      <c r="AOS6" s="68" t="e" cm="1" vm="1">
        <f t="array" ref="AOS6">_xlfn._xlws.FILTER(TablaProductos[Nombre producto],TablaProductos[Agrupación]=ProductosPivot!AOS5)</f>
        <v>#VALUE!</v>
      </c>
      <c r="AOT6" s="68" t="e" cm="1" vm="1">
        <f t="array" ref="AOT6">_xlfn._xlws.FILTER(TablaProductos[Nombre producto],TablaProductos[Agrupación]=ProductosPivot!AOT5)</f>
        <v>#VALUE!</v>
      </c>
      <c r="AOU6" s="68" t="e" cm="1" vm="1">
        <f t="array" ref="AOU6">_xlfn._xlws.FILTER(TablaProductos[Nombre producto],TablaProductos[Agrupación]=ProductosPivot!AOU5)</f>
        <v>#VALUE!</v>
      </c>
      <c r="AOV6" s="68" t="e" cm="1" vm="1">
        <f t="array" ref="AOV6">_xlfn._xlws.FILTER(TablaProductos[Nombre producto],TablaProductos[Agrupación]=ProductosPivot!AOV5)</f>
        <v>#VALUE!</v>
      </c>
      <c r="AOW6" s="68" t="e" cm="1" vm="1">
        <f t="array" ref="AOW6">_xlfn._xlws.FILTER(TablaProductos[Nombre producto],TablaProductos[Agrupación]=ProductosPivot!AOW5)</f>
        <v>#VALUE!</v>
      </c>
      <c r="AOX6" s="68" t="e" cm="1" vm="1">
        <f t="array" ref="AOX6">_xlfn._xlws.FILTER(TablaProductos[Nombre producto],TablaProductos[Agrupación]=ProductosPivot!AOX5)</f>
        <v>#VALUE!</v>
      </c>
      <c r="AOY6" s="68" t="e" cm="1" vm="1">
        <f t="array" ref="AOY6">_xlfn._xlws.FILTER(TablaProductos[Nombre producto],TablaProductos[Agrupación]=ProductosPivot!AOY5)</f>
        <v>#VALUE!</v>
      </c>
      <c r="AOZ6" s="68" t="e" cm="1" vm="1">
        <f t="array" ref="AOZ6">_xlfn._xlws.FILTER(TablaProductos[Nombre producto],TablaProductos[Agrupación]=ProductosPivot!AOZ5)</f>
        <v>#VALUE!</v>
      </c>
      <c r="APA6" s="68" t="e" cm="1" vm="1">
        <f t="array" ref="APA6">_xlfn._xlws.FILTER(TablaProductos[Nombre producto],TablaProductos[Agrupación]=ProductosPivot!APA5)</f>
        <v>#VALUE!</v>
      </c>
      <c r="APB6" s="68" t="e" cm="1" vm="1">
        <f t="array" ref="APB6">_xlfn._xlws.FILTER(TablaProductos[Nombre producto],TablaProductos[Agrupación]=ProductosPivot!APB5)</f>
        <v>#VALUE!</v>
      </c>
      <c r="APC6" s="68" t="e" cm="1" vm="1">
        <f t="array" ref="APC6">_xlfn._xlws.FILTER(TablaProductos[Nombre producto],TablaProductos[Agrupación]=ProductosPivot!APC5)</f>
        <v>#VALUE!</v>
      </c>
      <c r="APD6" s="68" t="e" cm="1" vm="1">
        <f t="array" ref="APD6">_xlfn._xlws.FILTER(TablaProductos[Nombre producto],TablaProductos[Agrupación]=ProductosPivot!APD5)</f>
        <v>#VALUE!</v>
      </c>
      <c r="APE6" s="68" t="e" cm="1" vm="1">
        <f t="array" ref="APE6">_xlfn._xlws.FILTER(TablaProductos[Nombre producto],TablaProductos[Agrupación]=ProductosPivot!APE5)</f>
        <v>#VALUE!</v>
      </c>
      <c r="APF6" s="68" t="e" cm="1" vm="1">
        <f t="array" ref="APF6">_xlfn._xlws.FILTER(TablaProductos[Nombre producto],TablaProductos[Agrupación]=ProductosPivot!APF5)</f>
        <v>#VALUE!</v>
      </c>
      <c r="APG6" s="68" t="e" cm="1" vm="1">
        <f t="array" ref="APG6">_xlfn._xlws.FILTER(TablaProductos[Nombre producto],TablaProductos[Agrupación]=ProductosPivot!APG5)</f>
        <v>#VALUE!</v>
      </c>
      <c r="APH6" s="68" t="e" cm="1" vm="1">
        <f t="array" ref="APH6">_xlfn._xlws.FILTER(TablaProductos[Nombre producto],TablaProductos[Agrupación]=ProductosPivot!APH5)</f>
        <v>#VALUE!</v>
      </c>
      <c r="API6" s="68" t="e" cm="1" vm="1">
        <f t="array" ref="API6">_xlfn._xlws.FILTER(TablaProductos[Nombre producto],TablaProductos[Agrupación]=ProductosPivot!API5)</f>
        <v>#VALUE!</v>
      </c>
      <c r="APJ6" s="68" t="e" cm="1" vm="1">
        <f t="array" ref="APJ6">_xlfn._xlws.FILTER(TablaProductos[Nombre producto],TablaProductos[Agrupación]=ProductosPivot!APJ5)</f>
        <v>#VALUE!</v>
      </c>
      <c r="APK6" s="68" t="e" cm="1" vm="1">
        <f t="array" ref="APK6">_xlfn._xlws.FILTER(TablaProductos[Nombre producto],TablaProductos[Agrupación]=ProductosPivot!APK5)</f>
        <v>#VALUE!</v>
      </c>
      <c r="APL6" s="68" t="e" cm="1" vm="1">
        <f t="array" ref="APL6">_xlfn._xlws.FILTER(TablaProductos[Nombre producto],TablaProductos[Agrupación]=ProductosPivot!APL5)</f>
        <v>#VALUE!</v>
      </c>
      <c r="APM6" s="68" t="e" cm="1" vm="1">
        <f t="array" ref="APM6">_xlfn._xlws.FILTER(TablaProductos[Nombre producto],TablaProductos[Agrupación]=ProductosPivot!APM5)</f>
        <v>#VALUE!</v>
      </c>
      <c r="APN6" s="68" t="e" cm="1" vm="1">
        <f t="array" ref="APN6">_xlfn._xlws.FILTER(TablaProductos[Nombre producto],TablaProductos[Agrupación]=ProductosPivot!APN5)</f>
        <v>#VALUE!</v>
      </c>
      <c r="APO6" s="68" t="e" cm="1" vm="1">
        <f t="array" ref="APO6">_xlfn._xlws.FILTER(TablaProductos[Nombre producto],TablaProductos[Agrupación]=ProductosPivot!APO5)</f>
        <v>#VALUE!</v>
      </c>
      <c r="APP6" s="68" t="e" cm="1" vm="1">
        <f t="array" ref="APP6">_xlfn._xlws.FILTER(TablaProductos[Nombre producto],TablaProductos[Agrupación]=ProductosPivot!APP5)</f>
        <v>#VALUE!</v>
      </c>
      <c r="APQ6" s="68" t="e" cm="1" vm="1">
        <f t="array" ref="APQ6">_xlfn._xlws.FILTER(TablaProductos[Nombre producto],TablaProductos[Agrupación]=ProductosPivot!APQ5)</f>
        <v>#VALUE!</v>
      </c>
      <c r="APR6" s="68" t="e" cm="1" vm="1">
        <f t="array" ref="APR6">_xlfn._xlws.FILTER(TablaProductos[Nombre producto],TablaProductos[Agrupación]=ProductosPivot!APR5)</f>
        <v>#VALUE!</v>
      </c>
      <c r="APS6" s="68" t="e" cm="1" vm="1">
        <f t="array" ref="APS6">_xlfn._xlws.FILTER(TablaProductos[Nombre producto],TablaProductos[Agrupación]=ProductosPivot!APS5)</f>
        <v>#VALUE!</v>
      </c>
      <c r="APT6" s="68" t="e" cm="1" vm="1">
        <f t="array" ref="APT6">_xlfn._xlws.FILTER(TablaProductos[Nombre producto],TablaProductos[Agrupación]=ProductosPivot!APT5)</f>
        <v>#VALUE!</v>
      </c>
      <c r="APU6" s="68" t="e" cm="1" vm="1">
        <f t="array" ref="APU6">_xlfn._xlws.FILTER(TablaProductos[Nombre producto],TablaProductos[Agrupación]=ProductosPivot!APU5)</f>
        <v>#VALUE!</v>
      </c>
      <c r="APV6" s="68" t="e" cm="1" vm="1">
        <f t="array" ref="APV6">_xlfn._xlws.FILTER(TablaProductos[Nombre producto],TablaProductos[Agrupación]=ProductosPivot!APV5)</f>
        <v>#VALUE!</v>
      </c>
      <c r="APW6" s="68" t="e" cm="1" vm="1">
        <f t="array" ref="APW6">_xlfn._xlws.FILTER(TablaProductos[Nombre producto],TablaProductos[Agrupación]=ProductosPivot!APW5)</f>
        <v>#VALUE!</v>
      </c>
      <c r="APX6" s="68" t="e" cm="1" vm="1">
        <f t="array" ref="APX6">_xlfn._xlws.FILTER(TablaProductos[Nombre producto],TablaProductos[Agrupación]=ProductosPivot!APX5)</f>
        <v>#VALUE!</v>
      </c>
      <c r="APY6" s="68" t="e" cm="1" vm="1">
        <f t="array" ref="APY6">_xlfn._xlws.FILTER(TablaProductos[Nombre producto],TablaProductos[Agrupación]=ProductosPivot!APY5)</f>
        <v>#VALUE!</v>
      </c>
      <c r="APZ6" s="68" t="e" cm="1" vm="1">
        <f t="array" ref="APZ6">_xlfn._xlws.FILTER(TablaProductos[Nombre producto],TablaProductos[Agrupación]=ProductosPivot!APZ5)</f>
        <v>#VALUE!</v>
      </c>
      <c r="AQA6" s="68" t="e" cm="1" vm="1">
        <f t="array" ref="AQA6">_xlfn._xlws.FILTER(TablaProductos[Nombre producto],TablaProductos[Agrupación]=ProductosPivot!AQA5)</f>
        <v>#VALUE!</v>
      </c>
      <c r="AQB6" s="68" t="e" cm="1" vm="1">
        <f t="array" ref="AQB6">_xlfn._xlws.FILTER(TablaProductos[Nombre producto],TablaProductos[Agrupación]=ProductosPivot!AQB5)</f>
        <v>#VALUE!</v>
      </c>
      <c r="AQC6" s="68" t="e" cm="1" vm="1">
        <f t="array" ref="AQC6">_xlfn._xlws.FILTER(TablaProductos[Nombre producto],TablaProductos[Agrupación]=ProductosPivot!AQC5)</f>
        <v>#VALUE!</v>
      </c>
      <c r="AQD6" s="68" t="e" cm="1" vm="1">
        <f t="array" ref="AQD6">_xlfn._xlws.FILTER(TablaProductos[Nombre producto],TablaProductos[Agrupación]=ProductosPivot!AQD5)</f>
        <v>#VALUE!</v>
      </c>
      <c r="AQE6" s="68" t="e" cm="1" vm="1">
        <f t="array" ref="AQE6">_xlfn._xlws.FILTER(TablaProductos[Nombre producto],TablaProductos[Agrupación]=ProductosPivot!AQE5)</f>
        <v>#VALUE!</v>
      </c>
      <c r="AQF6" s="68" t="e" cm="1" vm="1">
        <f t="array" ref="AQF6">_xlfn._xlws.FILTER(TablaProductos[Nombre producto],TablaProductos[Agrupación]=ProductosPivot!AQF5)</f>
        <v>#VALUE!</v>
      </c>
      <c r="AQG6" s="68" t="e" cm="1" vm="1">
        <f t="array" ref="AQG6">_xlfn._xlws.FILTER(TablaProductos[Nombre producto],TablaProductos[Agrupación]=ProductosPivot!AQG5)</f>
        <v>#VALUE!</v>
      </c>
      <c r="AQH6" s="68" t="e" cm="1" vm="1">
        <f t="array" ref="AQH6">_xlfn._xlws.FILTER(TablaProductos[Nombre producto],TablaProductos[Agrupación]=ProductosPivot!AQH5)</f>
        <v>#VALUE!</v>
      </c>
      <c r="AQI6" s="68" t="e" cm="1" vm="1">
        <f t="array" ref="AQI6">_xlfn._xlws.FILTER(TablaProductos[Nombre producto],TablaProductos[Agrupación]=ProductosPivot!AQI5)</f>
        <v>#VALUE!</v>
      </c>
      <c r="AQJ6" s="68" t="e" cm="1" vm="1">
        <f t="array" ref="AQJ6">_xlfn._xlws.FILTER(TablaProductos[Nombre producto],TablaProductos[Agrupación]=ProductosPivot!AQJ5)</f>
        <v>#VALUE!</v>
      </c>
      <c r="AQK6" s="68" t="e" cm="1" vm="1">
        <f t="array" ref="AQK6">_xlfn._xlws.FILTER(TablaProductos[Nombre producto],TablaProductos[Agrupación]=ProductosPivot!AQK5)</f>
        <v>#VALUE!</v>
      </c>
      <c r="AQL6" s="68" t="e" cm="1" vm="1">
        <f t="array" ref="AQL6">_xlfn._xlws.FILTER(TablaProductos[Nombre producto],TablaProductos[Agrupación]=ProductosPivot!AQL5)</f>
        <v>#VALUE!</v>
      </c>
      <c r="AQM6" s="68" t="e" cm="1" vm="1">
        <f t="array" ref="AQM6">_xlfn._xlws.FILTER(TablaProductos[Nombre producto],TablaProductos[Agrupación]=ProductosPivot!AQM5)</f>
        <v>#VALUE!</v>
      </c>
      <c r="AQN6" s="68" t="e" cm="1" vm="1">
        <f t="array" ref="AQN6">_xlfn._xlws.FILTER(TablaProductos[Nombre producto],TablaProductos[Agrupación]=ProductosPivot!AQN5)</f>
        <v>#VALUE!</v>
      </c>
      <c r="AQO6" s="68" t="e" cm="1" vm="1">
        <f t="array" ref="AQO6">_xlfn._xlws.FILTER(TablaProductos[Nombre producto],TablaProductos[Agrupación]=ProductosPivot!AQO5)</f>
        <v>#VALUE!</v>
      </c>
      <c r="AQP6" s="68" t="e" cm="1" vm="1">
        <f t="array" ref="AQP6">_xlfn._xlws.FILTER(TablaProductos[Nombre producto],TablaProductos[Agrupación]=ProductosPivot!AQP5)</f>
        <v>#VALUE!</v>
      </c>
      <c r="AQQ6" s="68" t="e" cm="1" vm="1">
        <f t="array" ref="AQQ6">_xlfn._xlws.FILTER(TablaProductos[Nombre producto],TablaProductos[Agrupación]=ProductosPivot!AQQ5)</f>
        <v>#VALUE!</v>
      </c>
      <c r="AQR6" s="68" t="e" cm="1" vm="1">
        <f t="array" ref="AQR6">_xlfn._xlws.FILTER(TablaProductos[Nombre producto],TablaProductos[Agrupación]=ProductosPivot!AQR5)</f>
        <v>#VALUE!</v>
      </c>
      <c r="AQS6" s="68" t="e" cm="1" vm="1">
        <f t="array" ref="AQS6">_xlfn._xlws.FILTER(TablaProductos[Nombre producto],TablaProductos[Agrupación]=ProductosPivot!AQS5)</f>
        <v>#VALUE!</v>
      </c>
      <c r="AQT6" s="68" t="e" cm="1" vm="1">
        <f t="array" ref="AQT6">_xlfn._xlws.FILTER(TablaProductos[Nombre producto],TablaProductos[Agrupación]=ProductosPivot!AQT5)</f>
        <v>#VALUE!</v>
      </c>
      <c r="AQU6" s="68" t="e" cm="1" vm="1">
        <f t="array" ref="AQU6">_xlfn._xlws.FILTER(TablaProductos[Nombre producto],TablaProductos[Agrupación]=ProductosPivot!AQU5)</f>
        <v>#VALUE!</v>
      </c>
      <c r="AQV6" s="68" t="e" cm="1" vm="1">
        <f t="array" ref="AQV6">_xlfn._xlws.FILTER(TablaProductos[Nombre producto],TablaProductos[Agrupación]=ProductosPivot!AQV5)</f>
        <v>#VALUE!</v>
      </c>
      <c r="AQW6" s="68" t="e" cm="1" vm="1">
        <f t="array" ref="AQW6">_xlfn._xlws.FILTER(TablaProductos[Nombre producto],TablaProductos[Agrupación]=ProductosPivot!AQW5)</f>
        <v>#VALUE!</v>
      </c>
      <c r="AQX6" s="68" t="e" cm="1" vm="1">
        <f t="array" ref="AQX6">_xlfn._xlws.FILTER(TablaProductos[Nombre producto],TablaProductos[Agrupación]=ProductosPivot!AQX5)</f>
        <v>#VALUE!</v>
      </c>
      <c r="AQY6" s="68" t="e" cm="1" vm="1">
        <f t="array" ref="AQY6">_xlfn._xlws.FILTER(TablaProductos[Nombre producto],TablaProductos[Agrupación]=ProductosPivot!AQY5)</f>
        <v>#VALUE!</v>
      </c>
      <c r="AQZ6" s="68" t="e" cm="1" vm="1">
        <f t="array" ref="AQZ6">_xlfn._xlws.FILTER(TablaProductos[Nombre producto],TablaProductos[Agrupación]=ProductosPivot!AQZ5)</f>
        <v>#VALUE!</v>
      </c>
      <c r="ARA6" s="68" t="e" cm="1" vm="1">
        <f t="array" ref="ARA6">_xlfn._xlws.FILTER(TablaProductos[Nombre producto],TablaProductos[Agrupación]=ProductosPivot!ARA5)</f>
        <v>#VALUE!</v>
      </c>
      <c r="ARB6" s="68" t="e" cm="1" vm="1">
        <f t="array" ref="ARB6">_xlfn._xlws.FILTER(TablaProductos[Nombre producto],TablaProductos[Agrupación]=ProductosPivot!ARB5)</f>
        <v>#VALUE!</v>
      </c>
      <c r="ARC6" s="68" t="e" cm="1" vm="1">
        <f t="array" ref="ARC6">_xlfn._xlws.FILTER(TablaProductos[Nombre producto],TablaProductos[Agrupación]=ProductosPivot!ARC5)</f>
        <v>#VALUE!</v>
      </c>
      <c r="ARD6" s="68" t="e" cm="1" vm="1">
        <f t="array" ref="ARD6">_xlfn._xlws.FILTER(TablaProductos[Nombre producto],TablaProductos[Agrupación]=ProductosPivot!ARD5)</f>
        <v>#VALUE!</v>
      </c>
      <c r="ARE6" s="68" t="e" cm="1" vm="1">
        <f t="array" ref="ARE6">_xlfn._xlws.FILTER(TablaProductos[Nombre producto],TablaProductos[Agrupación]=ProductosPivot!ARE5)</f>
        <v>#VALUE!</v>
      </c>
      <c r="ARF6" s="68" t="e" cm="1" vm="1">
        <f t="array" ref="ARF6">_xlfn._xlws.FILTER(TablaProductos[Nombre producto],TablaProductos[Agrupación]=ProductosPivot!ARF5)</f>
        <v>#VALUE!</v>
      </c>
      <c r="ARG6" s="68" t="e" cm="1" vm="1">
        <f t="array" ref="ARG6">_xlfn._xlws.FILTER(TablaProductos[Nombre producto],TablaProductos[Agrupación]=ProductosPivot!ARG5)</f>
        <v>#VALUE!</v>
      </c>
      <c r="ARH6" s="68" t="e" cm="1" vm="1">
        <f t="array" ref="ARH6">_xlfn._xlws.FILTER(TablaProductos[Nombre producto],TablaProductos[Agrupación]=ProductosPivot!ARH5)</f>
        <v>#VALUE!</v>
      </c>
      <c r="ARI6" s="68" t="e" cm="1" vm="1">
        <f t="array" ref="ARI6">_xlfn._xlws.FILTER(TablaProductos[Nombre producto],TablaProductos[Agrupación]=ProductosPivot!ARI5)</f>
        <v>#VALUE!</v>
      </c>
      <c r="ARJ6" s="68" t="e" cm="1" vm="1">
        <f t="array" ref="ARJ6">_xlfn._xlws.FILTER(TablaProductos[Nombre producto],TablaProductos[Agrupación]=ProductosPivot!ARJ5)</f>
        <v>#VALUE!</v>
      </c>
      <c r="ARK6" s="68" t="e" cm="1" vm="1">
        <f t="array" ref="ARK6">_xlfn._xlws.FILTER(TablaProductos[Nombre producto],TablaProductos[Agrupación]=ProductosPivot!ARK5)</f>
        <v>#VALUE!</v>
      </c>
      <c r="ARL6" s="68" t="e" cm="1" vm="1">
        <f t="array" ref="ARL6">_xlfn._xlws.FILTER(TablaProductos[Nombre producto],TablaProductos[Agrupación]=ProductosPivot!ARL5)</f>
        <v>#VALUE!</v>
      </c>
      <c r="ARM6" s="68" t="e" cm="1" vm="1">
        <f t="array" ref="ARM6">_xlfn._xlws.FILTER(TablaProductos[Nombre producto],TablaProductos[Agrupación]=ProductosPivot!ARM5)</f>
        <v>#VALUE!</v>
      </c>
      <c r="ARN6" s="68" t="e" cm="1" vm="1">
        <f t="array" ref="ARN6">_xlfn._xlws.FILTER(TablaProductos[Nombre producto],TablaProductos[Agrupación]=ProductosPivot!ARN5)</f>
        <v>#VALUE!</v>
      </c>
      <c r="ARO6" s="68" t="e" cm="1" vm="1">
        <f t="array" ref="ARO6">_xlfn._xlws.FILTER(TablaProductos[Nombre producto],TablaProductos[Agrupación]=ProductosPivot!ARO5)</f>
        <v>#VALUE!</v>
      </c>
      <c r="ARP6" s="68" t="e" cm="1" vm="1">
        <f t="array" ref="ARP6">_xlfn._xlws.FILTER(TablaProductos[Nombre producto],TablaProductos[Agrupación]=ProductosPivot!ARP5)</f>
        <v>#VALUE!</v>
      </c>
      <c r="ARQ6" s="68" t="e" cm="1" vm="1">
        <f t="array" ref="ARQ6">_xlfn._xlws.FILTER(TablaProductos[Nombre producto],TablaProductos[Agrupación]=ProductosPivot!ARQ5)</f>
        <v>#VALUE!</v>
      </c>
      <c r="ARR6" s="68" t="e" cm="1" vm="1">
        <f t="array" ref="ARR6">_xlfn._xlws.FILTER(TablaProductos[Nombre producto],TablaProductos[Agrupación]=ProductosPivot!ARR5)</f>
        <v>#VALUE!</v>
      </c>
      <c r="ARS6" s="68" t="e" cm="1" vm="1">
        <f t="array" ref="ARS6">_xlfn._xlws.FILTER(TablaProductos[Nombre producto],TablaProductos[Agrupación]=ProductosPivot!ARS5)</f>
        <v>#VALUE!</v>
      </c>
      <c r="ART6" s="68" t="e" cm="1" vm="1">
        <f t="array" ref="ART6">_xlfn._xlws.FILTER(TablaProductos[Nombre producto],TablaProductos[Agrupación]=ProductosPivot!ART5)</f>
        <v>#VALUE!</v>
      </c>
      <c r="ARU6" s="68" t="e" cm="1" vm="1">
        <f t="array" ref="ARU6">_xlfn._xlws.FILTER(TablaProductos[Nombre producto],TablaProductos[Agrupación]=ProductosPivot!ARU5)</f>
        <v>#VALUE!</v>
      </c>
      <c r="ARV6" s="68" t="e" cm="1" vm="1">
        <f t="array" ref="ARV6">_xlfn._xlws.FILTER(TablaProductos[Nombre producto],TablaProductos[Agrupación]=ProductosPivot!ARV5)</f>
        <v>#VALUE!</v>
      </c>
      <c r="ARW6" s="68" t="e" cm="1" vm="1">
        <f t="array" ref="ARW6">_xlfn._xlws.FILTER(TablaProductos[Nombre producto],TablaProductos[Agrupación]=ProductosPivot!ARW5)</f>
        <v>#VALUE!</v>
      </c>
      <c r="ARX6" s="68" t="e" cm="1" vm="1">
        <f t="array" ref="ARX6">_xlfn._xlws.FILTER(TablaProductos[Nombre producto],TablaProductos[Agrupación]=ProductosPivot!ARX5)</f>
        <v>#VALUE!</v>
      </c>
      <c r="ARY6" s="68" t="e" cm="1" vm="1">
        <f t="array" ref="ARY6">_xlfn._xlws.FILTER(TablaProductos[Nombre producto],TablaProductos[Agrupación]=ProductosPivot!ARY5)</f>
        <v>#VALUE!</v>
      </c>
      <c r="ARZ6" s="68" t="e" cm="1" vm="1">
        <f t="array" ref="ARZ6">_xlfn._xlws.FILTER(TablaProductos[Nombre producto],TablaProductos[Agrupación]=ProductosPivot!ARZ5)</f>
        <v>#VALUE!</v>
      </c>
      <c r="ASA6" s="68" t="e" cm="1" vm="1">
        <f t="array" ref="ASA6">_xlfn._xlws.FILTER(TablaProductos[Nombre producto],TablaProductos[Agrupación]=ProductosPivot!ASA5)</f>
        <v>#VALUE!</v>
      </c>
      <c r="ASB6" s="68" t="e" cm="1" vm="1">
        <f t="array" ref="ASB6">_xlfn._xlws.FILTER(TablaProductos[Nombre producto],TablaProductos[Agrupación]=ProductosPivot!ASB5)</f>
        <v>#VALUE!</v>
      </c>
      <c r="ASC6" s="68" t="e" cm="1" vm="1">
        <f t="array" ref="ASC6">_xlfn._xlws.FILTER(TablaProductos[Nombre producto],TablaProductos[Agrupación]=ProductosPivot!ASC5)</f>
        <v>#VALUE!</v>
      </c>
      <c r="ASD6" s="68" t="e" cm="1" vm="1">
        <f t="array" ref="ASD6">_xlfn._xlws.FILTER(TablaProductos[Nombre producto],TablaProductos[Agrupación]=ProductosPivot!ASD5)</f>
        <v>#VALUE!</v>
      </c>
      <c r="ASE6" s="68" t="e" cm="1" vm="1">
        <f t="array" ref="ASE6">_xlfn._xlws.FILTER(TablaProductos[Nombre producto],TablaProductos[Agrupación]=ProductosPivot!ASE5)</f>
        <v>#VALUE!</v>
      </c>
      <c r="ASF6" s="68" t="e" cm="1" vm="1">
        <f t="array" ref="ASF6">_xlfn._xlws.FILTER(TablaProductos[Nombre producto],TablaProductos[Agrupación]=ProductosPivot!ASF5)</f>
        <v>#VALUE!</v>
      </c>
      <c r="ASG6" s="68" t="e" cm="1" vm="1">
        <f t="array" ref="ASG6">_xlfn._xlws.FILTER(TablaProductos[Nombre producto],TablaProductos[Agrupación]=ProductosPivot!ASG5)</f>
        <v>#VALUE!</v>
      </c>
      <c r="ASH6" s="68" t="e" cm="1" vm="1">
        <f t="array" ref="ASH6">_xlfn._xlws.FILTER(TablaProductos[Nombre producto],TablaProductos[Agrupación]=ProductosPivot!ASH5)</f>
        <v>#VALUE!</v>
      </c>
      <c r="ASI6" s="68" t="e" cm="1" vm="1">
        <f t="array" ref="ASI6">_xlfn._xlws.FILTER(TablaProductos[Nombre producto],TablaProductos[Agrupación]=ProductosPivot!ASI5)</f>
        <v>#VALUE!</v>
      </c>
      <c r="ASJ6" s="68" t="e" cm="1" vm="1">
        <f t="array" ref="ASJ6">_xlfn._xlws.FILTER(TablaProductos[Nombre producto],TablaProductos[Agrupación]=ProductosPivot!ASJ5)</f>
        <v>#VALUE!</v>
      </c>
      <c r="ASK6" s="68" t="e" cm="1" vm="1">
        <f t="array" ref="ASK6">_xlfn._xlws.FILTER(TablaProductos[Nombre producto],TablaProductos[Agrupación]=ProductosPivot!ASK5)</f>
        <v>#VALUE!</v>
      </c>
      <c r="ASL6" s="68" t="e" cm="1" vm="1">
        <f t="array" ref="ASL6">_xlfn._xlws.FILTER(TablaProductos[Nombre producto],TablaProductos[Agrupación]=ProductosPivot!ASL5)</f>
        <v>#VALUE!</v>
      </c>
      <c r="ASM6" s="68" t="e" cm="1" vm="1">
        <f t="array" ref="ASM6">_xlfn._xlws.FILTER(TablaProductos[Nombre producto],TablaProductos[Agrupación]=ProductosPivot!ASM5)</f>
        <v>#VALUE!</v>
      </c>
      <c r="ASN6" s="68" t="e" cm="1" vm="1">
        <f t="array" ref="ASN6">_xlfn._xlws.FILTER(TablaProductos[Nombre producto],TablaProductos[Agrupación]=ProductosPivot!ASN5)</f>
        <v>#VALUE!</v>
      </c>
      <c r="ASO6" s="68" t="e" cm="1" vm="1">
        <f t="array" ref="ASO6">_xlfn._xlws.FILTER(TablaProductos[Nombre producto],TablaProductos[Agrupación]=ProductosPivot!ASO5)</f>
        <v>#VALUE!</v>
      </c>
      <c r="ASP6" s="68" t="e" cm="1" vm="1">
        <f t="array" ref="ASP6">_xlfn._xlws.FILTER(TablaProductos[Nombre producto],TablaProductos[Agrupación]=ProductosPivot!ASP5)</f>
        <v>#VALUE!</v>
      </c>
      <c r="ASQ6" s="68" t="e" cm="1" vm="1">
        <f t="array" ref="ASQ6">_xlfn._xlws.FILTER(TablaProductos[Nombre producto],TablaProductos[Agrupación]=ProductosPivot!ASQ5)</f>
        <v>#VALUE!</v>
      </c>
      <c r="ASR6" s="68" t="e" cm="1" vm="1">
        <f t="array" ref="ASR6">_xlfn._xlws.FILTER(TablaProductos[Nombre producto],TablaProductos[Agrupación]=ProductosPivot!ASR5)</f>
        <v>#VALUE!</v>
      </c>
      <c r="ASS6" s="68" t="e" cm="1" vm="1">
        <f t="array" ref="ASS6">_xlfn._xlws.FILTER(TablaProductos[Nombre producto],TablaProductos[Agrupación]=ProductosPivot!ASS5)</f>
        <v>#VALUE!</v>
      </c>
      <c r="AST6" s="68" t="e" cm="1" vm="1">
        <f t="array" ref="AST6">_xlfn._xlws.FILTER(TablaProductos[Nombre producto],TablaProductos[Agrupación]=ProductosPivot!AST5)</f>
        <v>#VALUE!</v>
      </c>
      <c r="ASU6" s="68" t="e" cm="1" vm="1">
        <f t="array" ref="ASU6">_xlfn._xlws.FILTER(TablaProductos[Nombre producto],TablaProductos[Agrupación]=ProductosPivot!ASU5)</f>
        <v>#VALUE!</v>
      </c>
      <c r="ASV6" s="68" t="e" cm="1" vm="1">
        <f t="array" ref="ASV6">_xlfn._xlws.FILTER(TablaProductos[Nombre producto],TablaProductos[Agrupación]=ProductosPivot!ASV5)</f>
        <v>#VALUE!</v>
      </c>
      <c r="ASW6" s="68" t="e" cm="1" vm="1">
        <f t="array" ref="ASW6">_xlfn._xlws.FILTER(TablaProductos[Nombre producto],TablaProductos[Agrupación]=ProductosPivot!ASW5)</f>
        <v>#VALUE!</v>
      </c>
      <c r="ASX6" s="68" t="e" cm="1" vm="1">
        <f t="array" ref="ASX6">_xlfn._xlws.FILTER(TablaProductos[Nombre producto],TablaProductos[Agrupación]=ProductosPivot!ASX5)</f>
        <v>#VALUE!</v>
      </c>
      <c r="ASY6" s="68" t="e" cm="1" vm="1">
        <f t="array" ref="ASY6">_xlfn._xlws.FILTER(TablaProductos[Nombre producto],TablaProductos[Agrupación]=ProductosPivot!ASY5)</f>
        <v>#VALUE!</v>
      </c>
      <c r="ASZ6" s="68" t="e" cm="1" vm="1">
        <f t="array" ref="ASZ6">_xlfn._xlws.FILTER(TablaProductos[Nombre producto],TablaProductos[Agrupación]=ProductosPivot!ASZ5)</f>
        <v>#VALUE!</v>
      </c>
      <c r="ATA6" s="68" t="e" cm="1" vm="1">
        <f t="array" ref="ATA6">_xlfn._xlws.FILTER(TablaProductos[Nombre producto],TablaProductos[Agrupación]=ProductosPivot!ATA5)</f>
        <v>#VALUE!</v>
      </c>
      <c r="ATB6" s="68" t="e" cm="1" vm="1">
        <f t="array" ref="ATB6">_xlfn._xlws.FILTER(TablaProductos[Nombre producto],TablaProductos[Agrupación]=ProductosPivot!ATB5)</f>
        <v>#VALUE!</v>
      </c>
      <c r="ATC6" s="68" t="e" cm="1" vm="1">
        <f t="array" ref="ATC6">_xlfn._xlws.FILTER(TablaProductos[Nombre producto],TablaProductos[Agrupación]=ProductosPivot!ATC5)</f>
        <v>#VALUE!</v>
      </c>
      <c r="ATD6" s="68" t="e" cm="1" vm="1">
        <f t="array" ref="ATD6">_xlfn._xlws.FILTER(TablaProductos[Nombre producto],TablaProductos[Agrupación]=ProductosPivot!ATD5)</f>
        <v>#VALUE!</v>
      </c>
      <c r="ATE6" s="68" t="e" cm="1" vm="1">
        <f t="array" ref="ATE6">_xlfn._xlws.FILTER(TablaProductos[Nombre producto],TablaProductos[Agrupación]=ProductosPivot!ATE5)</f>
        <v>#VALUE!</v>
      </c>
      <c r="ATF6" s="68" t="e" cm="1" vm="1">
        <f t="array" ref="ATF6">_xlfn._xlws.FILTER(TablaProductos[Nombre producto],TablaProductos[Agrupación]=ProductosPivot!ATF5)</f>
        <v>#VALUE!</v>
      </c>
      <c r="ATG6" s="68" t="e" cm="1" vm="1">
        <f t="array" ref="ATG6">_xlfn._xlws.FILTER(TablaProductos[Nombre producto],TablaProductos[Agrupación]=ProductosPivot!ATG5)</f>
        <v>#VALUE!</v>
      </c>
      <c r="ATH6" s="68" t="e" cm="1" vm="1">
        <f t="array" ref="ATH6">_xlfn._xlws.FILTER(TablaProductos[Nombre producto],TablaProductos[Agrupación]=ProductosPivot!ATH5)</f>
        <v>#VALUE!</v>
      </c>
      <c r="ATI6" s="68" t="e" cm="1" vm="1">
        <f t="array" ref="ATI6">_xlfn._xlws.FILTER(TablaProductos[Nombre producto],TablaProductos[Agrupación]=ProductosPivot!ATI5)</f>
        <v>#VALUE!</v>
      </c>
      <c r="ATJ6" s="68" t="e" cm="1" vm="1">
        <f t="array" ref="ATJ6">_xlfn._xlws.FILTER(TablaProductos[Nombre producto],TablaProductos[Agrupación]=ProductosPivot!ATJ5)</f>
        <v>#VALUE!</v>
      </c>
      <c r="ATK6" s="68" t="e" cm="1" vm="1">
        <f t="array" ref="ATK6">_xlfn._xlws.FILTER(TablaProductos[Nombre producto],TablaProductos[Agrupación]=ProductosPivot!ATK5)</f>
        <v>#VALUE!</v>
      </c>
      <c r="ATL6" s="68" t="e" cm="1" vm="1">
        <f t="array" ref="ATL6">_xlfn._xlws.FILTER(TablaProductos[Nombre producto],TablaProductos[Agrupación]=ProductosPivot!ATL5)</f>
        <v>#VALUE!</v>
      </c>
      <c r="ATM6" s="68" t="e" cm="1" vm="1">
        <f t="array" ref="ATM6">_xlfn._xlws.FILTER(TablaProductos[Nombre producto],TablaProductos[Agrupación]=ProductosPivot!ATM5)</f>
        <v>#VALUE!</v>
      </c>
      <c r="ATN6" s="68" t="e" cm="1" vm="1">
        <f t="array" ref="ATN6">_xlfn._xlws.FILTER(TablaProductos[Nombre producto],TablaProductos[Agrupación]=ProductosPivot!ATN5)</f>
        <v>#VALUE!</v>
      </c>
      <c r="ATO6" s="68" t="e" cm="1" vm="1">
        <f t="array" ref="ATO6">_xlfn._xlws.FILTER(TablaProductos[Nombre producto],TablaProductos[Agrupación]=ProductosPivot!ATO5)</f>
        <v>#VALUE!</v>
      </c>
      <c r="ATP6" s="68" t="e" cm="1" vm="1">
        <f t="array" ref="ATP6">_xlfn._xlws.FILTER(TablaProductos[Nombre producto],TablaProductos[Agrupación]=ProductosPivot!ATP5)</f>
        <v>#VALUE!</v>
      </c>
      <c r="ATQ6" s="68" t="e" cm="1" vm="1">
        <f t="array" ref="ATQ6">_xlfn._xlws.FILTER(TablaProductos[Nombre producto],TablaProductos[Agrupación]=ProductosPivot!ATQ5)</f>
        <v>#VALUE!</v>
      </c>
      <c r="ATR6" s="68" t="e" cm="1" vm="1">
        <f t="array" ref="ATR6">_xlfn._xlws.FILTER(TablaProductos[Nombre producto],TablaProductos[Agrupación]=ProductosPivot!ATR5)</f>
        <v>#VALUE!</v>
      </c>
      <c r="ATS6" s="68" t="e" cm="1" vm="1">
        <f t="array" ref="ATS6">_xlfn._xlws.FILTER(TablaProductos[Nombre producto],TablaProductos[Agrupación]=ProductosPivot!ATS5)</f>
        <v>#VALUE!</v>
      </c>
      <c r="ATT6" s="68" t="e" cm="1" vm="1">
        <f t="array" ref="ATT6">_xlfn._xlws.FILTER(TablaProductos[Nombre producto],TablaProductos[Agrupación]=ProductosPivot!ATT5)</f>
        <v>#VALUE!</v>
      </c>
      <c r="ATU6" s="68" t="e" cm="1" vm="1">
        <f t="array" ref="ATU6">_xlfn._xlws.FILTER(TablaProductos[Nombre producto],TablaProductos[Agrupación]=ProductosPivot!ATU5)</f>
        <v>#VALUE!</v>
      </c>
      <c r="ATV6" s="68" t="e" cm="1" vm="1">
        <f t="array" ref="ATV6">_xlfn._xlws.FILTER(TablaProductos[Nombre producto],TablaProductos[Agrupación]=ProductosPivot!ATV5)</f>
        <v>#VALUE!</v>
      </c>
      <c r="ATW6" s="68" t="e" cm="1" vm="1">
        <f t="array" ref="ATW6">_xlfn._xlws.FILTER(TablaProductos[Nombre producto],TablaProductos[Agrupación]=ProductosPivot!ATW5)</f>
        <v>#VALUE!</v>
      </c>
      <c r="ATX6" s="68" t="e" cm="1" vm="1">
        <f t="array" ref="ATX6">_xlfn._xlws.FILTER(TablaProductos[Nombre producto],TablaProductos[Agrupación]=ProductosPivot!ATX5)</f>
        <v>#VALUE!</v>
      </c>
      <c r="ATY6" s="68" t="e" cm="1" vm="1">
        <f t="array" ref="ATY6">_xlfn._xlws.FILTER(TablaProductos[Nombre producto],TablaProductos[Agrupación]=ProductosPivot!ATY5)</f>
        <v>#VALUE!</v>
      </c>
      <c r="ATZ6" s="68" t="e" cm="1" vm="1">
        <f t="array" ref="ATZ6">_xlfn._xlws.FILTER(TablaProductos[Nombre producto],TablaProductos[Agrupación]=ProductosPivot!ATZ5)</f>
        <v>#VALUE!</v>
      </c>
      <c r="AUA6" s="68" t="e" cm="1" vm="1">
        <f t="array" ref="AUA6">_xlfn._xlws.FILTER(TablaProductos[Nombre producto],TablaProductos[Agrupación]=ProductosPivot!AUA5)</f>
        <v>#VALUE!</v>
      </c>
      <c r="AUB6" s="68" t="e" cm="1" vm="1">
        <f t="array" ref="AUB6">_xlfn._xlws.FILTER(TablaProductos[Nombre producto],TablaProductos[Agrupación]=ProductosPivot!AUB5)</f>
        <v>#VALUE!</v>
      </c>
      <c r="AUC6" s="68" t="e" cm="1" vm="1">
        <f t="array" ref="AUC6">_xlfn._xlws.FILTER(TablaProductos[Nombre producto],TablaProductos[Agrupación]=ProductosPivot!AUC5)</f>
        <v>#VALUE!</v>
      </c>
      <c r="AUD6" s="68" t="e" cm="1" vm="1">
        <f t="array" ref="AUD6">_xlfn._xlws.FILTER(TablaProductos[Nombre producto],TablaProductos[Agrupación]=ProductosPivot!AUD5)</f>
        <v>#VALUE!</v>
      </c>
      <c r="AUE6" s="68" t="e" cm="1" vm="1">
        <f t="array" ref="AUE6">_xlfn._xlws.FILTER(TablaProductos[Nombre producto],TablaProductos[Agrupación]=ProductosPivot!AUE5)</f>
        <v>#VALUE!</v>
      </c>
      <c r="AUF6" s="68" t="e" cm="1" vm="1">
        <f t="array" ref="AUF6">_xlfn._xlws.FILTER(TablaProductos[Nombre producto],TablaProductos[Agrupación]=ProductosPivot!AUF5)</f>
        <v>#VALUE!</v>
      </c>
      <c r="AUG6" s="68" t="e" cm="1" vm="1">
        <f t="array" ref="AUG6">_xlfn._xlws.FILTER(TablaProductos[Nombre producto],TablaProductos[Agrupación]=ProductosPivot!AUG5)</f>
        <v>#VALUE!</v>
      </c>
      <c r="AUH6" s="68" t="e" cm="1" vm="1">
        <f t="array" ref="AUH6">_xlfn._xlws.FILTER(TablaProductos[Nombre producto],TablaProductos[Agrupación]=ProductosPivot!AUH5)</f>
        <v>#VALUE!</v>
      </c>
      <c r="AUI6" s="68" t="e" cm="1" vm="1">
        <f t="array" ref="AUI6">_xlfn._xlws.FILTER(TablaProductos[Nombre producto],TablaProductos[Agrupación]=ProductosPivot!AUI5)</f>
        <v>#VALUE!</v>
      </c>
      <c r="AUJ6" s="68" t="e" cm="1" vm="1">
        <f t="array" ref="AUJ6">_xlfn._xlws.FILTER(TablaProductos[Nombre producto],TablaProductos[Agrupación]=ProductosPivot!AUJ5)</f>
        <v>#VALUE!</v>
      </c>
      <c r="AUK6" s="68" t="e" cm="1" vm="1">
        <f t="array" ref="AUK6">_xlfn._xlws.FILTER(TablaProductos[Nombre producto],TablaProductos[Agrupación]=ProductosPivot!AUK5)</f>
        <v>#VALUE!</v>
      </c>
      <c r="AUL6" s="68" t="e" cm="1" vm="1">
        <f t="array" ref="AUL6">_xlfn._xlws.FILTER(TablaProductos[Nombre producto],TablaProductos[Agrupación]=ProductosPivot!AUL5)</f>
        <v>#VALUE!</v>
      </c>
      <c r="AUM6" s="68" t="e" cm="1" vm="1">
        <f t="array" ref="AUM6">_xlfn._xlws.FILTER(TablaProductos[Nombre producto],TablaProductos[Agrupación]=ProductosPivot!AUM5)</f>
        <v>#VALUE!</v>
      </c>
      <c r="AUN6" s="68" t="e" cm="1" vm="1">
        <f t="array" ref="AUN6">_xlfn._xlws.FILTER(TablaProductos[Nombre producto],TablaProductos[Agrupación]=ProductosPivot!AUN5)</f>
        <v>#VALUE!</v>
      </c>
      <c r="AUO6" s="68" t="e" cm="1" vm="1">
        <f t="array" ref="AUO6">_xlfn._xlws.FILTER(TablaProductos[Nombre producto],TablaProductos[Agrupación]=ProductosPivot!AUO5)</f>
        <v>#VALUE!</v>
      </c>
      <c r="AUP6" s="68" t="e" cm="1" vm="1">
        <f t="array" ref="AUP6">_xlfn._xlws.FILTER(TablaProductos[Nombre producto],TablaProductos[Agrupación]=ProductosPivot!AUP5)</f>
        <v>#VALUE!</v>
      </c>
      <c r="AUQ6" s="68" t="e" cm="1" vm="1">
        <f t="array" ref="AUQ6">_xlfn._xlws.FILTER(TablaProductos[Nombre producto],TablaProductos[Agrupación]=ProductosPivot!AUQ5)</f>
        <v>#VALUE!</v>
      </c>
      <c r="AUR6" s="68" t="e" cm="1" vm="1">
        <f t="array" ref="AUR6">_xlfn._xlws.FILTER(TablaProductos[Nombre producto],TablaProductos[Agrupación]=ProductosPivot!AUR5)</f>
        <v>#VALUE!</v>
      </c>
      <c r="AUS6" s="68" t="e" cm="1" vm="1">
        <f t="array" ref="AUS6">_xlfn._xlws.FILTER(TablaProductos[Nombre producto],TablaProductos[Agrupación]=ProductosPivot!AUS5)</f>
        <v>#VALUE!</v>
      </c>
      <c r="AUT6" s="68" t="e" cm="1" vm="1">
        <f t="array" ref="AUT6">_xlfn._xlws.FILTER(TablaProductos[Nombre producto],TablaProductos[Agrupación]=ProductosPivot!AUT5)</f>
        <v>#VALUE!</v>
      </c>
      <c r="AUU6" s="68" t="e" cm="1" vm="1">
        <f t="array" ref="AUU6">_xlfn._xlws.FILTER(TablaProductos[Nombre producto],TablaProductos[Agrupación]=ProductosPivot!AUU5)</f>
        <v>#VALUE!</v>
      </c>
      <c r="AUV6" s="68" t="e" cm="1" vm="1">
        <f t="array" ref="AUV6">_xlfn._xlws.FILTER(TablaProductos[Nombre producto],TablaProductos[Agrupación]=ProductosPivot!AUV5)</f>
        <v>#VALUE!</v>
      </c>
      <c r="AUW6" s="68" t="e" cm="1" vm="1">
        <f t="array" ref="AUW6">_xlfn._xlws.FILTER(TablaProductos[Nombre producto],TablaProductos[Agrupación]=ProductosPivot!AUW5)</f>
        <v>#VALUE!</v>
      </c>
      <c r="AUX6" s="68" t="e" cm="1" vm="1">
        <f t="array" ref="AUX6">_xlfn._xlws.FILTER(TablaProductos[Nombre producto],TablaProductos[Agrupación]=ProductosPivot!AUX5)</f>
        <v>#VALUE!</v>
      </c>
      <c r="AUY6" s="68" t="e" cm="1" vm="1">
        <f t="array" ref="AUY6">_xlfn._xlws.FILTER(TablaProductos[Nombre producto],TablaProductos[Agrupación]=ProductosPivot!AUY5)</f>
        <v>#VALUE!</v>
      </c>
      <c r="AUZ6" s="68" t="e" cm="1" vm="1">
        <f t="array" ref="AUZ6">_xlfn._xlws.FILTER(TablaProductos[Nombre producto],TablaProductos[Agrupación]=ProductosPivot!AUZ5)</f>
        <v>#VALUE!</v>
      </c>
      <c r="AVA6" s="68" t="e" cm="1" vm="1">
        <f t="array" ref="AVA6">_xlfn._xlws.FILTER(TablaProductos[Nombre producto],TablaProductos[Agrupación]=ProductosPivot!AVA5)</f>
        <v>#VALUE!</v>
      </c>
      <c r="AVB6" s="68" t="e" cm="1" vm="1">
        <f t="array" ref="AVB6">_xlfn._xlws.FILTER(TablaProductos[Nombre producto],TablaProductos[Agrupación]=ProductosPivot!AVB5)</f>
        <v>#VALUE!</v>
      </c>
      <c r="AVC6" s="68" t="e" cm="1" vm="1">
        <f t="array" ref="AVC6">_xlfn._xlws.FILTER(TablaProductos[Nombre producto],TablaProductos[Agrupación]=ProductosPivot!AVC5)</f>
        <v>#VALUE!</v>
      </c>
      <c r="AVD6" s="68" t="e" cm="1" vm="1">
        <f t="array" ref="AVD6">_xlfn._xlws.FILTER(TablaProductos[Nombre producto],TablaProductos[Agrupación]=ProductosPivot!AVD5)</f>
        <v>#VALUE!</v>
      </c>
      <c r="AVE6" s="68" t="e" cm="1" vm="1">
        <f t="array" ref="AVE6">_xlfn._xlws.FILTER(TablaProductos[Nombre producto],TablaProductos[Agrupación]=ProductosPivot!AVE5)</f>
        <v>#VALUE!</v>
      </c>
      <c r="AVF6" s="68" t="e" cm="1" vm="1">
        <f t="array" ref="AVF6">_xlfn._xlws.FILTER(TablaProductos[Nombre producto],TablaProductos[Agrupación]=ProductosPivot!AVF5)</f>
        <v>#VALUE!</v>
      </c>
      <c r="AVG6" s="68" t="e" cm="1" vm="1">
        <f t="array" ref="AVG6">_xlfn._xlws.FILTER(TablaProductos[Nombre producto],TablaProductos[Agrupación]=ProductosPivot!AVG5)</f>
        <v>#VALUE!</v>
      </c>
      <c r="AVH6" s="68" t="e" cm="1" vm="1">
        <f t="array" ref="AVH6">_xlfn._xlws.FILTER(TablaProductos[Nombre producto],TablaProductos[Agrupación]=ProductosPivot!AVH5)</f>
        <v>#VALUE!</v>
      </c>
      <c r="AVI6" s="68" t="e" cm="1" vm="1">
        <f t="array" ref="AVI6">_xlfn._xlws.FILTER(TablaProductos[Nombre producto],TablaProductos[Agrupación]=ProductosPivot!AVI5)</f>
        <v>#VALUE!</v>
      </c>
      <c r="AVJ6" s="68" t="e" cm="1" vm="1">
        <f t="array" ref="AVJ6">_xlfn._xlws.FILTER(TablaProductos[Nombre producto],TablaProductos[Agrupación]=ProductosPivot!AVJ5)</f>
        <v>#VALUE!</v>
      </c>
      <c r="AVK6" s="68" t="e" cm="1" vm="1">
        <f t="array" ref="AVK6">_xlfn._xlws.FILTER(TablaProductos[Nombre producto],TablaProductos[Agrupación]=ProductosPivot!AVK5)</f>
        <v>#VALUE!</v>
      </c>
      <c r="AVL6" s="68" t="e" cm="1" vm="1">
        <f t="array" ref="AVL6">_xlfn._xlws.FILTER(TablaProductos[Nombre producto],TablaProductos[Agrupación]=ProductosPivot!AVL5)</f>
        <v>#VALUE!</v>
      </c>
      <c r="AVM6" s="68" t="e" cm="1" vm="1">
        <f t="array" ref="AVM6">_xlfn._xlws.FILTER(TablaProductos[Nombre producto],TablaProductos[Agrupación]=ProductosPivot!AVM5)</f>
        <v>#VALUE!</v>
      </c>
      <c r="AVN6" s="68" t="e" cm="1" vm="1">
        <f t="array" ref="AVN6">_xlfn._xlws.FILTER(TablaProductos[Nombre producto],TablaProductos[Agrupación]=ProductosPivot!AVN5)</f>
        <v>#VALUE!</v>
      </c>
      <c r="AVO6" s="68" t="e" cm="1" vm="1">
        <f t="array" ref="AVO6">_xlfn._xlws.FILTER(TablaProductos[Nombre producto],TablaProductos[Agrupación]=ProductosPivot!AVO5)</f>
        <v>#VALUE!</v>
      </c>
      <c r="AVP6" s="68" t="e" cm="1" vm="1">
        <f t="array" ref="AVP6">_xlfn._xlws.FILTER(TablaProductos[Nombre producto],TablaProductos[Agrupación]=ProductosPivot!AVP5)</f>
        <v>#VALUE!</v>
      </c>
      <c r="AVQ6" s="68" t="e" cm="1" vm="1">
        <f t="array" ref="AVQ6">_xlfn._xlws.FILTER(TablaProductos[Nombre producto],TablaProductos[Agrupación]=ProductosPivot!AVQ5)</f>
        <v>#VALUE!</v>
      </c>
      <c r="AVR6" s="68" t="e" cm="1" vm="1">
        <f t="array" ref="AVR6">_xlfn._xlws.FILTER(TablaProductos[Nombre producto],TablaProductos[Agrupación]=ProductosPivot!AVR5)</f>
        <v>#VALUE!</v>
      </c>
      <c r="AVS6" s="68" t="e" cm="1" vm="1">
        <f t="array" ref="AVS6">_xlfn._xlws.FILTER(TablaProductos[Nombre producto],TablaProductos[Agrupación]=ProductosPivot!AVS5)</f>
        <v>#VALUE!</v>
      </c>
      <c r="AVT6" s="68" t="e" cm="1" vm="1">
        <f t="array" ref="AVT6">_xlfn._xlws.FILTER(TablaProductos[Nombre producto],TablaProductos[Agrupación]=ProductosPivot!AVT5)</f>
        <v>#VALUE!</v>
      </c>
      <c r="AVU6" s="68" t="e" cm="1" vm="1">
        <f t="array" ref="AVU6">_xlfn._xlws.FILTER(TablaProductos[Nombre producto],TablaProductos[Agrupación]=ProductosPivot!AVU5)</f>
        <v>#VALUE!</v>
      </c>
      <c r="AVV6" s="68" t="e" cm="1" vm="1">
        <f t="array" ref="AVV6">_xlfn._xlws.FILTER(TablaProductos[Nombre producto],TablaProductos[Agrupación]=ProductosPivot!AVV5)</f>
        <v>#VALUE!</v>
      </c>
      <c r="AVW6" s="68" t="e" cm="1" vm="1">
        <f t="array" ref="AVW6">_xlfn._xlws.FILTER(TablaProductos[Nombre producto],TablaProductos[Agrupación]=ProductosPivot!AVW5)</f>
        <v>#VALUE!</v>
      </c>
      <c r="AVX6" s="68" t="e" cm="1" vm="1">
        <f t="array" ref="AVX6">_xlfn._xlws.FILTER(TablaProductos[Nombre producto],TablaProductos[Agrupación]=ProductosPivot!AVX5)</f>
        <v>#VALUE!</v>
      </c>
      <c r="AVY6" s="68" t="e" cm="1" vm="1">
        <f t="array" ref="AVY6">_xlfn._xlws.FILTER(TablaProductos[Nombre producto],TablaProductos[Agrupación]=ProductosPivot!AVY5)</f>
        <v>#VALUE!</v>
      </c>
      <c r="AVZ6" s="68" t="e" cm="1" vm="1">
        <f t="array" ref="AVZ6">_xlfn._xlws.FILTER(TablaProductos[Nombre producto],TablaProductos[Agrupación]=ProductosPivot!AVZ5)</f>
        <v>#VALUE!</v>
      </c>
      <c r="AWA6" s="68" t="e" cm="1" vm="1">
        <f t="array" ref="AWA6">_xlfn._xlws.FILTER(TablaProductos[Nombre producto],TablaProductos[Agrupación]=ProductosPivot!AWA5)</f>
        <v>#VALUE!</v>
      </c>
      <c r="AWB6" s="68" t="e" cm="1" vm="1">
        <f t="array" ref="AWB6">_xlfn._xlws.FILTER(TablaProductos[Nombre producto],TablaProductos[Agrupación]=ProductosPivot!AWB5)</f>
        <v>#VALUE!</v>
      </c>
      <c r="AWC6" s="68" t="e" cm="1" vm="1">
        <f t="array" ref="AWC6">_xlfn._xlws.FILTER(TablaProductos[Nombre producto],TablaProductos[Agrupación]=ProductosPivot!AWC5)</f>
        <v>#VALUE!</v>
      </c>
      <c r="AWD6" s="68" t="e" cm="1" vm="1">
        <f t="array" ref="AWD6">_xlfn._xlws.FILTER(TablaProductos[Nombre producto],TablaProductos[Agrupación]=ProductosPivot!AWD5)</f>
        <v>#VALUE!</v>
      </c>
      <c r="AWE6" s="68" t="e" cm="1" vm="1">
        <f t="array" ref="AWE6">_xlfn._xlws.FILTER(TablaProductos[Nombre producto],TablaProductos[Agrupación]=ProductosPivot!AWE5)</f>
        <v>#VALUE!</v>
      </c>
      <c r="AWF6" s="68" t="e" cm="1" vm="1">
        <f t="array" ref="AWF6">_xlfn._xlws.FILTER(TablaProductos[Nombre producto],TablaProductos[Agrupación]=ProductosPivot!AWF5)</f>
        <v>#VALUE!</v>
      </c>
      <c r="AWG6" s="68" t="e" cm="1" vm="1">
        <f t="array" ref="AWG6">_xlfn._xlws.FILTER(TablaProductos[Nombre producto],TablaProductos[Agrupación]=ProductosPivot!AWG5)</f>
        <v>#VALUE!</v>
      </c>
      <c r="AWH6" s="68" t="e" cm="1" vm="1">
        <f t="array" ref="AWH6">_xlfn._xlws.FILTER(TablaProductos[Nombre producto],TablaProductos[Agrupación]=ProductosPivot!AWH5)</f>
        <v>#VALUE!</v>
      </c>
      <c r="AWI6" s="68" t="e" cm="1" vm="1">
        <f t="array" ref="AWI6">_xlfn._xlws.FILTER(TablaProductos[Nombre producto],TablaProductos[Agrupación]=ProductosPivot!AWI5)</f>
        <v>#VALUE!</v>
      </c>
      <c r="AWJ6" s="68" t="e" cm="1" vm="1">
        <f t="array" ref="AWJ6">_xlfn._xlws.FILTER(TablaProductos[Nombre producto],TablaProductos[Agrupación]=ProductosPivot!AWJ5)</f>
        <v>#VALUE!</v>
      </c>
      <c r="AWK6" s="68" t="e" cm="1" vm="1">
        <f t="array" ref="AWK6">_xlfn._xlws.FILTER(TablaProductos[Nombre producto],TablaProductos[Agrupación]=ProductosPivot!AWK5)</f>
        <v>#VALUE!</v>
      </c>
      <c r="AWL6" s="68" t="e" cm="1" vm="1">
        <f t="array" ref="AWL6">_xlfn._xlws.FILTER(TablaProductos[Nombre producto],TablaProductos[Agrupación]=ProductosPivot!AWL5)</f>
        <v>#VALUE!</v>
      </c>
      <c r="AWM6" s="68" t="e" cm="1" vm="1">
        <f t="array" ref="AWM6">_xlfn._xlws.FILTER(TablaProductos[Nombre producto],TablaProductos[Agrupación]=ProductosPivot!AWM5)</f>
        <v>#VALUE!</v>
      </c>
      <c r="AWN6" s="68" t="e" cm="1" vm="1">
        <f t="array" ref="AWN6">_xlfn._xlws.FILTER(TablaProductos[Nombre producto],TablaProductos[Agrupación]=ProductosPivot!AWN5)</f>
        <v>#VALUE!</v>
      </c>
      <c r="AWO6" s="68" t="e" cm="1" vm="1">
        <f t="array" ref="AWO6">_xlfn._xlws.FILTER(TablaProductos[Nombre producto],TablaProductos[Agrupación]=ProductosPivot!AWO5)</f>
        <v>#VALUE!</v>
      </c>
      <c r="AWP6" s="68" t="e" cm="1" vm="1">
        <f t="array" ref="AWP6">_xlfn._xlws.FILTER(TablaProductos[Nombre producto],TablaProductos[Agrupación]=ProductosPivot!AWP5)</f>
        <v>#VALUE!</v>
      </c>
      <c r="AWQ6" s="68" t="e" cm="1" vm="1">
        <f t="array" ref="AWQ6">_xlfn._xlws.FILTER(TablaProductos[Nombre producto],TablaProductos[Agrupación]=ProductosPivot!AWQ5)</f>
        <v>#VALUE!</v>
      </c>
      <c r="AWR6" s="68" t="e" cm="1" vm="1">
        <f t="array" ref="AWR6">_xlfn._xlws.FILTER(TablaProductos[Nombre producto],TablaProductos[Agrupación]=ProductosPivot!AWR5)</f>
        <v>#VALUE!</v>
      </c>
      <c r="AWS6" s="68" t="e" cm="1" vm="1">
        <f t="array" ref="AWS6">_xlfn._xlws.FILTER(TablaProductos[Nombre producto],TablaProductos[Agrupación]=ProductosPivot!AWS5)</f>
        <v>#VALUE!</v>
      </c>
      <c r="AWT6" s="68" t="e" cm="1" vm="1">
        <f t="array" ref="AWT6">_xlfn._xlws.FILTER(TablaProductos[Nombre producto],TablaProductos[Agrupación]=ProductosPivot!AWT5)</f>
        <v>#VALUE!</v>
      </c>
      <c r="AWU6" s="68" t="e" cm="1" vm="1">
        <f t="array" ref="AWU6">_xlfn._xlws.FILTER(TablaProductos[Nombre producto],TablaProductos[Agrupación]=ProductosPivot!AWU5)</f>
        <v>#VALUE!</v>
      </c>
      <c r="AWV6" s="68" t="e" cm="1" vm="1">
        <f t="array" ref="AWV6">_xlfn._xlws.FILTER(TablaProductos[Nombre producto],TablaProductos[Agrupación]=ProductosPivot!AWV5)</f>
        <v>#VALUE!</v>
      </c>
      <c r="AWW6" s="68" t="e" cm="1" vm="1">
        <f t="array" ref="AWW6">_xlfn._xlws.FILTER(TablaProductos[Nombre producto],TablaProductos[Agrupación]=ProductosPivot!AWW5)</f>
        <v>#VALUE!</v>
      </c>
      <c r="AWX6" s="68" t="e" cm="1" vm="1">
        <f t="array" ref="AWX6">_xlfn._xlws.FILTER(TablaProductos[Nombre producto],TablaProductos[Agrupación]=ProductosPivot!AWX5)</f>
        <v>#VALUE!</v>
      </c>
      <c r="AWY6" s="68" t="e" cm="1" vm="1">
        <f t="array" ref="AWY6">_xlfn._xlws.FILTER(TablaProductos[Nombre producto],TablaProductos[Agrupación]=ProductosPivot!AWY5)</f>
        <v>#VALUE!</v>
      </c>
      <c r="AWZ6" s="68" t="e" cm="1" vm="1">
        <f t="array" ref="AWZ6">_xlfn._xlws.FILTER(TablaProductos[Nombre producto],TablaProductos[Agrupación]=ProductosPivot!AWZ5)</f>
        <v>#VALUE!</v>
      </c>
      <c r="AXA6" s="68" t="e" cm="1" vm="1">
        <f t="array" ref="AXA6">_xlfn._xlws.FILTER(TablaProductos[Nombre producto],TablaProductos[Agrupación]=ProductosPivot!AXA5)</f>
        <v>#VALUE!</v>
      </c>
      <c r="AXB6" s="68" t="e" cm="1" vm="1">
        <f t="array" ref="AXB6">_xlfn._xlws.FILTER(TablaProductos[Nombre producto],TablaProductos[Agrupación]=ProductosPivot!AXB5)</f>
        <v>#VALUE!</v>
      </c>
      <c r="AXC6" s="68" t="e" cm="1" vm="1">
        <f t="array" ref="AXC6">_xlfn._xlws.FILTER(TablaProductos[Nombre producto],TablaProductos[Agrupación]=ProductosPivot!AXC5)</f>
        <v>#VALUE!</v>
      </c>
      <c r="AXD6" s="68" t="e" cm="1" vm="1">
        <f t="array" ref="AXD6">_xlfn._xlws.FILTER(TablaProductos[Nombre producto],TablaProductos[Agrupación]=ProductosPivot!AXD5)</f>
        <v>#VALUE!</v>
      </c>
      <c r="AXE6" s="68" t="e" cm="1" vm="1">
        <f t="array" ref="AXE6">_xlfn._xlws.FILTER(TablaProductos[Nombre producto],TablaProductos[Agrupación]=ProductosPivot!AXE5)</f>
        <v>#VALUE!</v>
      </c>
      <c r="AXF6" s="68" t="e" cm="1" vm="1">
        <f t="array" ref="AXF6">_xlfn._xlws.FILTER(TablaProductos[Nombre producto],TablaProductos[Agrupación]=ProductosPivot!AXF5)</f>
        <v>#VALUE!</v>
      </c>
      <c r="AXG6" s="68" t="e" cm="1" vm="1">
        <f t="array" ref="AXG6">_xlfn._xlws.FILTER(TablaProductos[Nombre producto],TablaProductos[Agrupación]=ProductosPivot!AXG5)</f>
        <v>#VALUE!</v>
      </c>
      <c r="AXH6" s="68" t="e" cm="1" vm="1">
        <f t="array" ref="AXH6">_xlfn._xlws.FILTER(TablaProductos[Nombre producto],TablaProductos[Agrupación]=ProductosPivot!AXH5)</f>
        <v>#VALUE!</v>
      </c>
      <c r="AXI6" s="68" t="e" cm="1" vm="1">
        <f t="array" ref="AXI6">_xlfn._xlws.FILTER(TablaProductos[Nombre producto],TablaProductos[Agrupación]=ProductosPivot!AXI5)</f>
        <v>#VALUE!</v>
      </c>
      <c r="AXJ6" s="68" t="e" cm="1" vm="1">
        <f t="array" ref="AXJ6">_xlfn._xlws.FILTER(TablaProductos[Nombre producto],TablaProductos[Agrupación]=ProductosPivot!AXJ5)</f>
        <v>#VALUE!</v>
      </c>
      <c r="AXK6" s="68" t="e" cm="1" vm="1">
        <f t="array" ref="AXK6">_xlfn._xlws.FILTER(TablaProductos[Nombre producto],TablaProductos[Agrupación]=ProductosPivot!AXK5)</f>
        <v>#VALUE!</v>
      </c>
      <c r="AXL6" s="68" t="e" cm="1" vm="1">
        <f t="array" ref="AXL6">_xlfn._xlws.FILTER(TablaProductos[Nombre producto],TablaProductos[Agrupación]=ProductosPivot!AXL5)</f>
        <v>#VALUE!</v>
      </c>
      <c r="AXM6" s="68" t="e" cm="1" vm="1">
        <f t="array" ref="AXM6">_xlfn._xlws.FILTER(TablaProductos[Nombre producto],TablaProductos[Agrupación]=ProductosPivot!AXM5)</f>
        <v>#VALUE!</v>
      </c>
      <c r="AXN6" s="68" t="e" cm="1" vm="1">
        <f t="array" ref="AXN6">_xlfn._xlws.FILTER(TablaProductos[Nombre producto],TablaProductos[Agrupación]=ProductosPivot!AXN5)</f>
        <v>#VALUE!</v>
      </c>
      <c r="AXO6" s="68" t="e" cm="1" vm="1">
        <f t="array" ref="AXO6">_xlfn._xlws.FILTER(TablaProductos[Nombre producto],TablaProductos[Agrupación]=ProductosPivot!AXO5)</f>
        <v>#VALUE!</v>
      </c>
      <c r="AXP6" s="68" t="e" cm="1" vm="1">
        <f t="array" ref="AXP6">_xlfn._xlws.FILTER(TablaProductos[Nombre producto],TablaProductos[Agrupación]=ProductosPivot!AXP5)</f>
        <v>#VALUE!</v>
      </c>
      <c r="AXQ6" s="68" t="e" cm="1" vm="1">
        <f t="array" ref="AXQ6">_xlfn._xlws.FILTER(TablaProductos[Nombre producto],TablaProductos[Agrupación]=ProductosPivot!AXQ5)</f>
        <v>#VALUE!</v>
      </c>
      <c r="AXR6" s="68" t="e" cm="1" vm="1">
        <f t="array" ref="AXR6">_xlfn._xlws.FILTER(TablaProductos[Nombre producto],TablaProductos[Agrupación]=ProductosPivot!AXR5)</f>
        <v>#VALUE!</v>
      </c>
      <c r="AXS6" s="68" t="e" cm="1" vm="1">
        <f t="array" ref="AXS6">_xlfn._xlws.FILTER(TablaProductos[Nombre producto],TablaProductos[Agrupación]=ProductosPivot!AXS5)</f>
        <v>#VALUE!</v>
      </c>
      <c r="AXT6" s="68" t="e" cm="1" vm="1">
        <f t="array" ref="AXT6">_xlfn._xlws.FILTER(TablaProductos[Nombre producto],TablaProductos[Agrupación]=ProductosPivot!AXT5)</f>
        <v>#VALUE!</v>
      </c>
      <c r="AXU6" s="68" t="e" cm="1" vm="1">
        <f t="array" ref="AXU6">_xlfn._xlws.FILTER(TablaProductos[Nombre producto],TablaProductos[Agrupación]=ProductosPivot!AXU5)</f>
        <v>#VALUE!</v>
      </c>
      <c r="AXV6" s="68" t="e" cm="1" vm="1">
        <f t="array" ref="AXV6">_xlfn._xlws.FILTER(TablaProductos[Nombre producto],TablaProductos[Agrupación]=ProductosPivot!AXV5)</f>
        <v>#VALUE!</v>
      </c>
      <c r="AXW6" s="68" t="e" cm="1" vm="1">
        <f t="array" ref="AXW6">_xlfn._xlws.FILTER(TablaProductos[Nombre producto],TablaProductos[Agrupación]=ProductosPivot!AXW5)</f>
        <v>#VALUE!</v>
      </c>
      <c r="AXX6" s="68" t="e" cm="1" vm="1">
        <f t="array" ref="AXX6">_xlfn._xlws.FILTER(TablaProductos[Nombre producto],TablaProductos[Agrupación]=ProductosPivot!AXX5)</f>
        <v>#VALUE!</v>
      </c>
      <c r="AXY6" s="68" t="e" cm="1" vm="1">
        <f t="array" ref="AXY6">_xlfn._xlws.FILTER(TablaProductos[Nombre producto],TablaProductos[Agrupación]=ProductosPivot!AXY5)</f>
        <v>#VALUE!</v>
      </c>
      <c r="AXZ6" s="68" t="e" cm="1" vm="1">
        <f t="array" ref="AXZ6">_xlfn._xlws.FILTER(TablaProductos[Nombre producto],TablaProductos[Agrupación]=ProductosPivot!AXZ5)</f>
        <v>#VALUE!</v>
      </c>
      <c r="AYA6" s="68" t="e" cm="1" vm="1">
        <f t="array" ref="AYA6">_xlfn._xlws.FILTER(TablaProductos[Nombre producto],TablaProductos[Agrupación]=ProductosPivot!AYA5)</f>
        <v>#VALUE!</v>
      </c>
      <c r="AYB6" s="68" t="e" cm="1" vm="1">
        <f t="array" ref="AYB6">_xlfn._xlws.FILTER(TablaProductos[Nombre producto],TablaProductos[Agrupación]=ProductosPivot!AYB5)</f>
        <v>#VALUE!</v>
      </c>
      <c r="AYC6" s="68" t="e" cm="1" vm="1">
        <f t="array" ref="AYC6">_xlfn._xlws.FILTER(TablaProductos[Nombre producto],TablaProductos[Agrupación]=ProductosPivot!AYC5)</f>
        <v>#VALUE!</v>
      </c>
      <c r="AYD6" s="68" t="e" cm="1" vm="1">
        <f t="array" ref="AYD6">_xlfn._xlws.FILTER(TablaProductos[Nombre producto],TablaProductos[Agrupación]=ProductosPivot!AYD5)</f>
        <v>#VALUE!</v>
      </c>
      <c r="AYE6" s="68" t="e" cm="1" vm="1">
        <f t="array" ref="AYE6">_xlfn._xlws.FILTER(TablaProductos[Nombre producto],TablaProductos[Agrupación]=ProductosPivot!AYE5)</f>
        <v>#VALUE!</v>
      </c>
      <c r="AYF6" s="68" t="e" cm="1" vm="1">
        <f t="array" ref="AYF6">_xlfn._xlws.FILTER(TablaProductos[Nombre producto],TablaProductos[Agrupación]=ProductosPivot!AYF5)</f>
        <v>#VALUE!</v>
      </c>
      <c r="AYG6" s="68" t="e" cm="1" vm="1">
        <f t="array" ref="AYG6">_xlfn._xlws.FILTER(TablaProductos[Nombre producto],TablaProductos[Agrupación]=ProductosPivot!AYG5)</f>
        <v>#VALUE!</v>
      </c>
      <c r="AYH6" s="68" t="e" cm="1" vm="1">
        <f t="array" ref="AYH6">_xlfn._xlws.FILTER(TablaProductos[Nombre producto],TablaProductos[Agrupación]=ProductosPivot!AYH5)</f>
        <v>#VALUE!</v>
      </c>
      <c r="AYI6" s="68" t="e" cm="1" vm="1">
        <f t="array" ref="AYI6">_xlfn._xlws.FILTER(TablaProductos[Nombre producto],TablaProductos[Agrupación]=ProductosPivot!AYI5)</f>
        <v>#VALUE!</v>
      </c>
      <c r="AYJ6" s="68" t="e" cm="1" vm="1">
        <f t="array" ref="AYJ6">_xlfn._xlws.FILTER(TablaProductos[Nombre producto],TablaProductos[Agrupación]=ProductosPivot!AYJ5)</f>
        <v>#VALUE!</v>
      </c>
      <c r="AYK6" s="68" t="e" cm="1" vm="1">
        <f t="array" ref="AYK6">_xlfn._xlws.FILTER(TablaProductos[Nombre producto],TablaProductos[Agrupación]=ProductosPivot!AYK5)</f>
        <v>#VALUE!</v>
      </c>
      <c r="AYL6" s="68" t="e" cm="1" vm="1">
        <f t="array" ref="AYL6">_xlfn._xlws.FILTER(TablaProductos[Nombre producto],TablaProductos[Agrupación]=ProductosPivot!AYL5)</f>
        <v>#VALUE!</v>
      </c>
      <c r="AYM6" s="68" t="e" cm="1" vm="1">
        <f t="array" ref="AYM6">_xlfn._xlws.FILTER(TablaProductos[Nombre producto],TablaProductos[Agrupación]=ProductosPivot!AYM5)</f>
        <v>#VALUE!</v>
      </c>
      <c r="AYN6" s="68" t="e" cm="1" vm="1">
        <f t="array" ref="AYN6">_xlfn._xlws.FILTER(TablaProductos[Nombre producto],TablaProductos[Agrupación]=ProductosPivot!AYN5)</f>
        <v>#VALUE!</v>
      </c>
      <c r="AYO6" s="68" t="e" cm="1" vm="1">
        <f t="array" ref="AYO6">_xlfn._xlws.FILTER(TablaProductos[Nombre producto],TablaProductos[Agrupación]=ProductosPivot!AYO5)</f>
        <v>#VALUE!</v>
      </c>
      <c r="AYP6" s="68" t="e" cm="1" vm="1">
        <f t="array" ref="AYP6">_xlfn._xlws.FILTER(TablaProductos[Nombre producto],TablaProductos[Agrupación]=ProductosPivot!AYP5)</f>
        <v>#VALUE!</v>
      </c>
      <c r="AYQ6" s="68" t="e" cm="1" vm="1">
        <f t="array" ref="AYQ6">_xlfn._xlws.FILTER(TablaProductos[Nombre producto],TablaProductos[Agrupación]=ProductosPivot!AYQ5)</f>
        <v>#VALUE!</v>
      </c>
      <c r="AYR6" s="68" t="e" cm="1" vm="1">
        <f t="array" ref="AYR6">_xlfn._xlws.FILTER(TablaProductos[Nombre producto],TablaProductos[Agrupación]=ProductosPivot!AYR5)</f>
        <v>#VALUE!</v>
      </c>
      <c r="AYS6" s="68" t="e" cm="1" vm="1">
        <f t="array" ref="AYS6">_xlfn._xlws.FILTER(TablaProductos[Nombre producto],TablaProductos[Agrupación]=ProductosPivot!AYS5)</f>
        <v>#VALUE!</v>
      </c>
      <c r="AYT6" s="68" t="e" cm="1" vm="1">
        <f t="array" ref="AYT6">_xlfn._xlws.FILTER(TablaProductos[Nombre producto],TablaProductos[Agrupación]=ProductosPivot!AYT5)</f>
        <v>#VALUE!</v>
      </c>
      <c r="AYU6" s="68" t="e" cm="1" vm="1">
        <f t="array" ref="AYU6">_xlfn._xlws.FILTER(TablaProductos[Nombre producto],TablaProductos[Agrupación]=ProductosPivot!AYU5)</f>
        <v>#VALUE!</v>
      </c>
      <c r="AYV6" s="68" t="e" cm="1" vm="1">
        <f t="array" ref="AYV6">_xlfn._xlws.FILTER(TablaProductos[Nombre producto],TablaProductos[Agrupación]=ProductosPivot!AYV5)</f>
        <v>#VALUE!</v>
      </c>
      <c r="AYW6" s="68" t="e" cm="1" vm="1">
        <f t="array" ref="AYW6">_xlfn._xlws.FILTER(TablaProductos[Nombre producto],TablaProductos[Agrupación]=ProductosPivot!AYW5)</f>
        <v>#VALUE!</v>
      </c>
      <c r="AYX6" s="68" t="e" cm="1" vm="1">
        <f t="array" ref="AYX6">_xlfn._xlws.FILTER(TablaProductos[Nombre producto],TablaProductos[Agrupación]=ProductosPivot!AYX5)</f>
        <v>#VALUE!</v>
      </c>
      <c r="AYY6" s="68" t="e" cm="1" vm="1">
        <f t="array" ref="AYY6">_xlfn._xlws.FILTER(TablaProductos[Nombre producto],TablaProductos[Agrupación]=ProductosPivot!AYY5)</f>
        <v>#VALUE!</v>
      </c>
      <c r="AYZ6" s="68" t="e" cm="1" vm="1">
        <f t="array" ref="AYZ6">_xlfn._xlws.FILTER(TablaProductos[Nombre producto],TablaProductos[Agrupación]=ProductosPivot!AYZ5)</f>
        <v>#VALUE!</v>
      </c>
      <c r="AZA6" s="68" t="e" cm="1" vm="1">
        <f t="array" ref="AZA6">_xlfn._xlws.FILTER(TablaProductos[Nombre producto],TablaProductos[Agrupación]=ProductosPivot!AZA5)</f>
        <v>#VALUE!</v>
      </c>
      <c r="AZB6" s="68" t="e" cm="1" vm="1">
        <f t="array" ref="AZB6">_xlfn._xlws.FILTER(TablaProductos[Nombre producto],TablaProductos[Agrupación]=ProductosPivot!AZB5)</f>
        <v>#VALUE!</v>
      </c>
      <c r="AZC6" s="68" t="e" cm="1" vm="1">
        <f t="array" ref="AZC6">_xlfn._xlws.FILTER(TablaProductos[Nombre producto],TablaProductos[Agrupación]=ProductosPivot!AZC5)</f>
        <v>#VALUE!</v>
      </c>
      <c r="AZD6" s="68" t="e" cm="1" vm="1">
        <f t="array" ref="AZD6">_xlfn._xlws.FILTER(TablaProductos[Nombre producto],TablaProductos[Agrupación]=ProductosPivot!AZD5)</f>
        <v>#VALUE!</v>
      </c>
      <c r="AZE6" s="68" t="e" cm="1" vm="1">
        <f t="array" ref="AZE6">_xlfn._xlws.FILTER(TablaProductos[Nombre producto],TablaProductos[Agrupación]=ProductosPivot!AZE5)</f>
        <v>#VALUE!</v>
      </c>
      <c r="AZF6" s="68" t="e" cm="1" vm="1">
        <f t="array" ref="AZF6">_xlfn._xlws.FILTER(TablaProductos[Nombre producto],TablaProductos[Agrupación]=ProductosPivot!AZF5)</f>
        <v>#VALUE!</v>
      </c>
      <c r="AZG6" s="68" t="e" cm="1" vm="1">
        <f t="array" ref="AZG6">_xlfn._xlws.FILTER(TablaProductos[Nombre producto],TablaProductos[Agrupación]=ProductosPivot!AZG5)</f>
        <v>#VALUE!</v>
      </c>
      <c r="AZH6" s="68" t="e" cm="1" vm="1">
        <f t="array" ref="AZH6">_xlfn._xlws.FILTER(TablaProductos[Nombre producto],TablaProductos[Agrupación]=ProductosPivot!AZH5)</f>
        <v>#VALUE!</v>
      </c>
      <c r="AZI6" s="68" t="e" cm="1" vm="1">
        <f t="array" ref="AZI6">_xlfn._xlws.FILTER(TablaProductos[Nombre producto],TablaProductos[Agrupación]=ProductosPivot!AZI5)</f>
        <v>#VALUE!</v>
      </c>
      <c r="AZJ6" s="68" t="e" cm="1" vm="1">
        <f t="array" ref="AZJ6">_xlfn._xlws.FILTER(TablaProductos[Nombre producto],TablaProductos[Agrupación]=ProductosPivot!AZJ5)</f>
        <v>#VALUE!</v>
      </c>
      <c r="AZK6" s="68" t="e" cm="1" vm="1">
        <f t="array" ref="AZK6">_xlfn._xlws.FILTER(TablaProductos[Nombre producto],TablaProductos[Agrupación]=ProductosPivot!AZK5)</f>
        <v>#VALUE!</v>
      </c>
      <c r="AZL6" s="68" t="e" cm="1" vm="1">
        <f t="array" ref="AZL6">_xlfn._xlws.FILTER(TablaProductos[Nombre producto],TablaProductos[Agrupación]=ProductosPivot!AZL5)</f>
        <v>#VALUE!</v>
      </c>
      <c r="AZM6" s="68" t="e" cm="1" vm="1">
        <f t="array" ref="AZM6">_xlfn._xlws.FILTER(TablaProductos[Nombre producto],TablaProductos[Agrupación]=ProductosPivot!AZM5)</f>
        <v>#VALUE!</v>
      </c>
      <c r="AZN6" s="68" t="e" cm="1" vm="1">
        <f t="array" ref="AZN6">_xlfn._xlws.FILTER(TablaProductos[Nombre producto],TablaProductos[Agrupación]=ProductosPivot!AZN5)</f>
        <v>#VALUE!</v>
      </c>
      <c r="AZO6" s="68" t="e" cm="1" vm="1">
        <f t="array" ref="AZO6">_xlfn._xlws.FILTER(TablaProductos[Nombre producto],TablaProductos[Agrupación]=ProductosPivot!AZO5)</f>
        <v>#VALUE!</v>
      </c>
      <c r="AZP6" s="68" t="e" cm="1" vm="1">
        <f t="array" ref="AZP6">_xlfn._xlws.FILTER(TablaProductos[Nombre producto],TablaProductos[Agrupación]=ProductosPivot!AZP5)</f>
        <v>#VALUE!</v>
      </c>
      <c r="AZQ6" s="68" t="e" cm="1" vm="1">
        <f t="array" ref="AZQ6">_xlfn._xlws.FILTER(TablaProductos[Nombre producto],TablaProductos[Agrupación]=ProductosPivot!AZQ5)</f>
        <v>#VALUE!</v>
      </c>
      <c r="AZR6" s="68" t="e" cm="1" vm="1">
        <f t="array" ref="AZR6">_xlfn._xlws.FILTER(TablaProductos[Nombre producto],TablaProductos[Agrupación]=ProductosPivot!AZR5)</f>
        <v>#VALUE!</v>
      </c>
      <c r="AZS6" s="68" t="e" cm="1" vm="1">
        <f t="array" ref="AZS6">_xlfn._xlws.FILTER(TablaProductos[Nombre producto],TablaProductos[Agrupación]=ProductosPivot!AZS5)</f>
        <v>#VALUE!</v>
      </c>
      <c r="AZT6" s="68" t="e" cm="1" vm="1">
        <f t="array" ref="AZT6">_xlfn._xlws.FILTER(TablaProductos[Nombre producto],TablaProductos[Agrupación]=ProductosPivot!AZT5)</f>
        <v>#VALUE!</v>
      </c>
      <c r="AZU6" s="68" t="e" cm="1" vm="1">
        <f t="array" ref="AZU6">_xlfn._xlws.FILTER(TablaProductos[Nombre producto],TablaProductos[Agrupación]=ProductosPivot!AZU5)</f>
        <v>#VALUE!</v>
      </c>
      <c r="AZV6" s="68" t="e" cm="1" vm="1">
        <f t="array" ref="AZV6">_xlfn._xlws.FILTER(TablaProductos[Nombre producto],TablaProductos[Agrupación]=ProductosPivot!AZV5)</f>
        <v>#VALUE!</v>
      </c>
      <c r="AZW6" s="68" t="e" cm="1" vm="1">
        <f t="array" ref="AZW6">_xlfn._xlws.FILTER(TablaProductos[Nombre producto],TablaProductos[Agrupación]=ProductosPivot!AZW5)</f>
        <v>#VALUE!</v>
      </c>
      <c r="AZX6" s="68" t="e" cm="1" vm="1">
        <f t="array" ref="AZX6">_xlfn._xlws.FILTER(TablaProductos[Nombre producto],TablaProductos[Agrupación]=ProductosPivot!AZX5)</f>
        <v>#VALUE!</v>
      </c>
      <c r="AZY6" s="68" t="e" cm="1" vm="1">
        <f t="array" ref="AZY6">_xlfn._xlws.FILTER(TablaProductos[Nombre producto],TablaProductos[Agrupación]=ProductosPivot!AZY5)</f>
        <v>#VALUE!</v>
      </c>
      <c r="AZZ6" s="68" t="e" cm="1" vm="1">
        <f t="array" ref="AZZ6">_xlfn._xlws.FILTER(TablaProductos[Nombre producto],TablaProductos[Agrupación]=ProductosPivot!AZZ5)</f>
        <v>#VALUE!</v>
      </c>
      <c r="BAA6" s="68" t="e" cm="1" vm="1">
        <f t="array" ref="BAA6">_xlfn._xlws.FILTER(TablaProductos[Nombre producto],TablaProductos[Agrupación]=ProductosPivot!BAA5)</f>
        <v>#VALUE!</v>
      </c>
      <c r="BAB6" s="68" t="e" cm="1" vm="1">
        <f t="array" ref="BAB6">_xlfn._xlws.FILTER(TablaProductos[Nombre producto],TablaProductos[Agrupación]=ProductosPivot!BAB5)</f>
        <v>#VALUE!</v>
      </c>
      <c r="BAC6" s="68" t="e" cm="1" vm="1">
        <f t="array" ref="BAC6">_xlfn._xlws.FILTER(TablaProductos[Nombre producto],TablaProductos[Agrupación]=ProductosPivot!BAC5)</f>
        <v>#VALUE!</v>
      </c>
      <c r="BAD6" s="68" t="e" cm="1" vm="1">
        <f t="array" ref="BAD6">_xlfn._xlws.FILTER(TablaProductos[Nombre producto],TablaProductos[Agrupación]=ProductosPivot!BAD5)</f>
        <v>#VALUE!</v>
      </c>
      <c r="BAE6" s="68" t="e" cm="1" vm="1">
        <f t="array" ref="BAE6">_xlfn._xlws.FILTER(TablaProductos[Nombre producto],TablaProductos[Agrupación]=ProductosPivot!BAE5)</f>
        <v>#VALUE!</v>
      </c>
      <c r="BAF6" s="68" t="e" cm="1" vm="1">
        <f t="array" ref="BAF6">_xlfn._xlws.FILTER(TablaProductos[Nombre producto],TablaProductos[Agrupación]=ProductosPivot!BAF5)</f>
        <v>#VALUE!</v>
      </c>
      <c r="BAG6" s="68" t="e" cm="1" vm="1">
        <f t="array" ref="BAG6">_xlfn._xlws.FILTER(TablaProductos[Nombre producto],TablaProductos[Agrupación]=ProductosPivot!BAG5)</f>
        <v>#VALUE!</v>
      </c>
      <c r="BAH6" s="68" t="e" cm="1" vm="1">
        <f t="array" ref="BAH6">_xlfn._xlws.FILTER(TablaProductos[Nombre producto],TablaProductos[Agrupación]=ProductosPivot!BAH5)</f>
        <v>#VALUE!</v>
      </c>
      <c r="BAI6" s="68" t="e" cm="1" vm="1">
        <f t="array" ref="BAI6">_xlfn._xlws.FILTER(TablaProductos[Nombre producto],TablaProductos[Agrupación]=ProductosPivot!BAI5)</f>
        <v>#VALUE!</v>
      </c>
      <c r="BAJ6" s="68" t="e" cm="1" vm="1">
        <f t="array" ref="BAJ6">_xlfn._xlws.FILTER(TablaProductos[Nombre producto],TablaProductos[Agrupación]=ProductosPivot!BAJ5)</f>
        <v>#VALUE!</v>
      </c>
      <c r="BAK6" s="68" t="e" cm="1" vm="1">
        <f t="array" ref="BAK6">_xlfn._xlws.FILTER(TablaProductos[Nombre producto],TablaProductos[Agrupación]=ProductosPivot!BAK5)</f>
        <v>#VALUE!</v>
      </c>
      <c r="BAL6" s="68" t="e" cm="1" vm="1">
        <f t="array" ref="BAL6">_xlfn._xlws.FILTER(TablaProductos[Nombre producto],TablaProductos[Agrupación]=ProductosPivot!BAL5)</f>
        <v>#VALUE!</v>
      </c>
      <c r="BAM6" s="68" t="e" cm="1" vm="1">
        <f t="array" ref="BAM6">_xlfn._xlws.FILTER(TablaProductos[Nombre producto],TablaProductos[Agrupación]=ProductosPivot!BAM5)</f>
        <v>#VALUE!</v>
      </c>
      <c r="BAN6" s="68" t="e" cm="1" vm="1">
        <f t="array" ref="BAN6">_xlfn._xlws.FILTER(TablaProductos[Nombre producto],TablaProductos[Agrupación]=ProductosPivot!BAN5)</f>
        <v>#VALUE!</v>
      </c>
      <c r="BAO6" s="68" t="e" cm="1" vm="1">
        <f t="array" ref="BAO6">_xlfn._xlws.FILTER(TablaProductos[Nombre producto],TablaProductos[Agrupación]=ProductosPivot!BAO5)</f>
        <v>#VALUE!</v>
      </c>
      <c r="BAP6" s="68" t="e" cm="1" vm="1">
        <f t="array" ref="BAP6">_xlfn._xlws.FILTER(TablaProductos[Nombre producto],TablaProductos[Agrupación]=ProductosPivot!BAP5)</f>
        <v>#VALUE!</v>
      </c>
      <c r="BAQ6" s="68" t="e" cm="1" vm="1">
        <f t="array" ref="BAQ6">_xlfn._xlws.FILTER(TablaProductos[Nombre producto],TablaProductos[Agrupación]=ProductosPivot!BAQ5)</f>
        <v>#VALUE!</v>
      </c>
      <c r="BAR6" s="68" t="e" cm="1" vm="1">
        <f t="array" ref="BAR6">_xlfn._xlws.FILTER(TablaProductos[Nombre producto],TablaProductos[Agrupación]=ProductosPivot!BAR5)</f>
        <v>#VALUE!</v>
      </c>
      <c r="BAS6" s="68" t="e" cm="1" vm="1">
        <f t="array" ref="BAS6">_xlfn._xlws.FILTER(TablaProductos[Nombre producto],TablaProductos[Agrupación]=ProductosPivot!BAS5)</f>
        <v>#VALUE!</v>
      </c>
      <c r="BAT6" s="68" t="e" cm="1" vm="1">
        <f t="array" ref="BAT6">_xlfn._xlws.FILTER(TablaProductos[Nombre producto],TablaProductos[Agrupación]=ProductosPivot!BAT5)</f>
        <v>#VALUE!</v>
      </c>
      <c r="BAU6" s="68" t="e" cm="1" vm="1">
        <f t="array" ref="BAU6">_xlfn._xlws.FILTER(TablaProductos[Nombre producto],TablaProductos[Agrupación]=ProductosPivot!BAU5)</f>
        <v>#VALUE!</v>
      </c>
      <c r="BAV6" s="68" t="e" cm="1" vm="1">
        <f t="array" ref="BAV6">_xlfn._xlws.FILTER(TablaProductos[Nombre producto],TablaProductos[Agrupación]=ProductosPivot!BAV5)</f>
        <v>#VALUE!</v>
      </c>
      <c r="BAW6" s="68" t="e" cm="1" vm="1">
        <f t="array" ref="BAW6">_xlfn._xlws.FILTER(TablaProductos[Nombre producto],TablaProductos[Agrupación]=ProductosPivot!BAW5)</f>
        <v>#VALUE!</v>
      </c>
      <c r="BAX6" s="68" t="e" cm="1" vm="1">
        <f t="array" ref="BAX6">_xlfn._xlws.FILTER(TablaProductos[Nombre producto],TablaProductos[Agrupación]=ProductosPivot!BAX5)</f>
        <v>#VALUE!</v>
      </c>
      <c r="BAY6" s="68" t="e" cm="1" vm="1">
        <f t="array" ref="BAY6">_xlfn._xlws.FILTER(TablaProductos[Nombre producto],TablaProductos[Agrupación]=ProductosPivot!BAY5)</f>
        <v>#VALUE!</v>
      </c>
      <c r="BAZ6" s="68" t="e" cm="1" vm="1">
        <f t="array" ref="BAZ6">_xlfn._xlws.FILTER(TablaProductos[Nombre producto],TablaProductos[Agrupación]=ProductosPivot!BAZ5)</f>
        <v>#VALUE!</v>
      </c>
      <c r="BBA6" s="68" t="e" cm="1" vm="1">
        <f t="array" ref="BBA6">_xlfn._xlws.FILTER(TablaProductos[Nombre producto],TablaProductos[Agrupación]=ProductosPivot!BBA5)</f>
        <v>#VALUE!</v>
      </c>
      <c r="BBB6" s="68" t="e" cm="1" vm="1">
        <f t="array" ref="BBB6">_xlfn._xlws.FILTER(TablaProductos[Nombre producto],TablaProductos[Agrupación]=ProductosPivot!BBB5)</f>
        <v>#VALUE!</v>
      </c>
      <c r="BBC6" s="68" t="e" cm="1" vm="1">
        <f t="array" ref="BBC6">_xlfn._xlws.FILTER(TablaProductos[Nombre producto],TablaProductos[Agrupación]=ProductosPivot!BBC5)</f>
        <v>#VALUE!</v>
      </c>
      <c r="BBD6" s="68" t="e" cm="1" vm="1">
        <f t="array" ref="BBD6">_xlfn._xlws.FILTER(TablaProductos[Nombre producto],TablaProductos[Agrupación]=ProductosPivot!BBD5)</f>
        <v>#VALUE!</v>
      </c>
      <c r="BBE6" s="68" t="e" cm="1" vm="1">
        <f t="array" ref="BBE6">_xlfn._xlws.FILTER(TablaProductos[Nombre producto],TablaProductos[Agrupación]=ProductosPivot!BBE5)</f>
        <v>#VALUE!</v>
      </c>
      <c r="BBF6" s="68" t="e" cm="1" vm="1">
        <f t="array" ref="BBF6">_xlfn._xlws.FILTER(TablaProductos[Nombre producto],TablaProductos[Agrupación]=ProductosPivot!BBF5)</f>
        <v>#VALUE!</v>
      </c>
      <c r="BBG6" s="68" t="e" cm="1" vm="1">
        <f t="array" ref="BBG6">_xlfn._xlws.FILTER(TablaProductos[Nombre producto],TablaProductos[Agrupación]=ProductosPivot!BBG5)</f>
        <v>#VALUE!</v>
      </c>
      <c r="BBH6" s="68" t="e" cm="1" vm="1">
        <f t="array" ref="BBH6">_xlfn._xlws.FILTER(TablaProductos[Nombre producto],TablaProductos[Agrupación]=ProductosPivot!BBH5)</f>
        <v>#VALUE!</v>
      </c>
      <c r="BBI6" s="68" t="e" cm="1" vm="1">
        <f t="array" ref="BBI6">_xlfn._xlws.FILTER(TablaProductos[Nombre producto],TablaProductos[Agrupación]=ProductosPivot!BBI5)</f>
        <v>#VALUE!</v>
      </c>
      <c r="BBJ6" s="68" t="e" cm="1" vm="1">
        <f t="array" ref="BBJ6">_xlfn._xlws.FILTER(TablaProductos[Nombre producto],TablaProductos[Agrupación]=ProductosPivot!BBJ5)</f>
        <v>#VALUE!</v>
      </c>
      <c r="BBK6" s="68" t="e" cm="1" vm="1">
        <f t="array" ref="BBK6">_xlfn._xlws.FILTER(TablaProductos[Nombre producto],TablaProductos[Agrupación]=ProductosPivot!BBK5)</f>
        <v>#VALUE!</v>
      </c>
      <c r="BBL6" s="68" t="e" cm="1" vm="1">
        <f t="array" ref="BBL6">_xlfn._xlws.FILTER(TablaProductos[Nombre producto],TablaProductos[Agrupación]=ProductosPivot!BBL5)</f>
        <v>#VALUE!</v>
      </c>
      <c r="BBM6" s="68" t="e" cm="1" vm="1">
        <f t="array" ref="BBM6">_xlfn._xlws.FILTER(TablaProductos[Nombre producto],TablaProductos[Agrupación]=ProductosPivot!BBM5)</f>
        <v>#VALUE!</v>
      </c>
      <c r="BBN6" s="68" t="e" cm="1" vm="1">
        <f t="array" ref="BBN6">_xlfn._xlws.FILTER(TablaProductos[Nombre producto],TablaProductos[Agrupación]=ProductosPivot!BBN5)</f>
        <v>#VALUE!</v>
      </c>
      <c r="BBO6" s="68" t="e" cm="1" vm="1">
        <f t="array" ref="BBO6">_xlfn._xlws.FILTER(TablaProductos[Nombre producto],TablaProductos[Agrupación]=ProductosPivot!BBO5)</f>
        <v>#VALUE!</v>
      </c>
      <c r="BBP6" s="68" t="e" cm="1" vm="1">
        <f t="array" ref="BBP6">_xlfn._xlws.FILTER(TablaProductos[Nombre producto],TablaProductos[Agrupación]=ProductosPivot!BBP5)</f>
        <v>#VALUE!</v>
      </c>
      <c r="BBQ6" s="68" t="e" cm="1" vm="1">
        <f t="array" ref="BBQ6">_xlfn._xlws.FILTER(TablaProductos[Nombre producto],TablaProductos[Agrupación]=ProductosPivot!BBQ5)</f>
        <v>#VALUE!</v>
      </c>
      <c r="BBR6" s="68" t="e" cm="1" vm="1">
        <f t="array" ref="BBR6">_xlfn._xlws.FILTER(TablaProductos[Nombre producto],TablaProductos[Agrupación]=ProductosPivot!BBR5)</f>
        <v>#VALUE!</v>
      </c>
      <c r="BBS6" s="68" t="e" cm="1" vm="1">
        <f t="array" ref="BBS6">_xlfn._xlws.FILTER(TablaProductos[Nombre producto],TablaProductos[Agrupación]=ProductosPivot!BBS5)</f>
        <v>#VALUE!</v>
      </c>
      <c r="BBT6" s="68" t="e" cm="1" vm="1">
        <f t="array" ref="BBT6">_xlfn._xlws.FILTER(TablaProductos[Nombre producto],TablaProductos[Agrupación]=ProductosPivot!BBT5)</f>
        <v>#VALUE!</v>
      </c>
      <c r="BBU6" s="68" t="e" cm="1" vm="1">
        <f t="array" ref="BBU6">_xlfn._xlws.FILTER(TablaProductos[Nombre producto],TablaProductos[Agrupación]=ProductosPivot!BBU5)</f>
        <v>#VALUE!</v>
      </c>
      <c r="BBV6" s="68" t="e" cm="1" vm="1">
        <f t="array" ref="BBV6">_xlfn._xlws.FILTER(TablaProductos[Nombre producto],TablaProductos[Agrupación]=ProductosPivot!BBV5)</f>
        <v>#VALUE!</v>
      </c>
      <c r="BBW6" s="68" t="e" cm="1" vm="1">
        <f t="array" ref="BBW6">_xlfn._xlws.FILTER(TablaProductos[Nombre producto],TablaProductos[Agrupación]=ProductosPivot!BBW5)</f>
        <v>#VALUE!</v>
      </c>
      <c r="BBX6" s="68" t="e" cm="1" vm="1">
        <f t="array" ref="BBX6">_xlfn._xlws.FILTER(TablaProductos[Nombre producto],TablaProductos[Agrupación]=ProductosPivot!BBX5)</f>
        <v>#VALUE!</v>
      </c>
      <c r="BBY6" s="68" t="e" cm="1" vm="1">
        <f t="array" ref="BBY6">_xlfn._xlws.FILTER(TablaProductos[Nombre producto],TablaProductos[Agrupación]=ProductosPivot!BBY5)</f>
        <v>#VALUE!</v>
      </c>
      <c r="BBZ6" s="68" t="e" cm="1" vm="1">
        <f t="array" ref="BBZ6">_xlfn._xlws.FILTER(TablaProductos[Nombre producto],TablaProductos[Agrupación]=ProductosPivot!BBZ5)</f>
        <v>#VALUE!</v>
      </c>
      <c r="BCA6" s="68" t="e" cm="1" vm="1">
        <f t="array" ref="BCA6">_xlfn._xlws.FILTER(TablaProductos[Nombre producto],TablaProductos[Agrupación]=ProductosPivot!BCA5)</f>
        <v>#VALUE!</v>
      </c>
      <c r="BCB6" s="68" t="e" cm="1" vm="1">
        <f t="array" ref="BCB6">_xlfn._xlws.FILTER(TablaProductos[Nombre producto],TablaProductos[Agrupación]=ProductosPivot!BCB5)</f>
        <v>#VALUE!</v>
      </c>
      <c r="BCC6" s="68" t="e" cm="1" vm="1">
        <f t="array" ref="BCC6">_xlfn._xlws.FILTER(TablaProductos[Nombre producto],TablaProductos[Agrupación]=ProductosPivot!BCC5)</f>
        <v>#VALUE!</v>
      </c>
      <c r="BCD6" s="68" t="e" cm="1" vm="1">
        <f t="array" ref="BCD6">_xlfn._xlws.FILTER(TablaProductos[Nombre producto],TablaProductos[Agrupación]=ProductosPivot!BCD5)</f>
        <v>#VALUE!</v>
      </c>
      <c r="BCE6" s="68" t="e" cm="1" vm="1">
        <f t="array" ref="BCE6">_xlfn._xlws.FILTER(TablaProductos[Nombre producto],TablaProductos[Agrupación]=ProductosPivot!BCE5)</f>
        <v>#VALUE!</v>
      </c>
      <c r="BCF6" s="68" t="e" cm="1" vm="1">
        <f t="array" ref="BCF6">_xlfn._xlws.FILTER(TablaProductos[Nombre producto],TablaProductos[Agrupación]=ProductosPivot!BCF5)</f>
        <v>#VALUE!</v>
      </c>
      <c r="BCG6" s="68" t="e" cm="1" vm="1">
        <f t="array" ref="BCG6">_xlfn._xlws.FILTER(TablaProductos[Nombre producto],TablaProductos[Agrupación]=ProductosPivot!BCG5)</f>
        <v>#VALUE!</v>
      </c>
      <c r="BCH6" s="68" t="e" cm="1" vm="1">
        <f t="array" ref="BCH6">_xlfn._xlws.FILTER(TablaProductos[Nombre producto],TablaProductos[Agrupación]=ProductosPivot!BCH5)</f>
        <v>#VALUE!</v>
      </c>
      <c r="BCI6" s="68" t="e" cm="1" vm="1">
        <f t="array" ref="BCI6">_xlfn._xlws.FILTER(TablaProductos[Nombre producto],TablaProductos[Agrupación]=ProductosPivot!BCI5)</f>
        <v>#VALUE!</v>
      </c>
      <c r="BCJ6" s="68" t="e" cm="1" vm="1">
        <f t="array" ref="BCJ6">_xlfn._xlws.FILTER(TablaProductos[Nombre producto],TablaProductos[Agrupación]=ProductosPivot!BCJ5)</f>
        <v>#VALUE!</v>
      </c>
      <c r="BCK6" s="68" t="e" cm="1" vm="1">
        <f t="array" ref="BCK6">_xlfn._xlws.FILTER(TablaProductos[Nombre producto],TablaProductos[Agrupación]=ProductosPivot!BCK5)</f>
        <v>#VALUE!</v>
      </c>
      <c r="BCL6" s="68" t="e" cm="1" vm="1">
        <f t="array" ref="BCL6">_xlfn._xlws.FILTER(TablaProductos[Nombre producto],TablaProductos[Agrupación]=ProductosPivot!BCL5)</f>
        <v>#VALUE!</v>
      </c>
      <c r="BCM6" s="68" t="e" cm="1" vm="1">
        <f t="array" ref="BCM6">_xlfn._xlws.FILTER(TablaProductos[Nombre producto],TablaProductos[Agrupación]=ProductosPivot!BCM5)</f>
        <v>#VALUE!</v>
      </c>
      <c r="BCN6" s="68" t="e" cm="1" vm="1">
        <f t="array" ref="BCN6">_xlfn._xlws.FILTER(TablaProductos[Nombre producto],TablaProductos[Agrupación]=ProductosPivot!BCN5)</f>
        <v>#VALUE!</v>
      </c>
      <c r="BCO6" s="68" t="e" cm="1" vm="1">
        <f t="array" ref="BCO6">_xlfn._xlws.FILTER(TablaProductos[Nombre producto],TablaProductos[Agrupación]=ProductosPivot!BCO5)</f>
        <v>#VALUE!</v>
      </c>
      <c r="BCP6" s="68" t="e" cm="1" vm="1">
        <f t="array" ref="BCP6">_xlfn._xlws.FILTER(TablaProductos[Nombre producto],TablaProductos[Agrupación]=ProductosPivot!BCP5)</f>
        <v>#VALUE!</v>
      </c>
      <c r="BCQ6" s="68" t="e" cm="1" vm="1">
        <f t="array" ref="BCQ6">_xlfn._xlws.FILTER(TablaProductos[Nombre producto],TablaProductos[Agrupación]=ProductosPivot!BCQ5)</f>
        <v>#VALUE!</v>
      </c>
      <c r="BCR6" s="68" t="e" cm="1" vm="1">
        <f t="array" ref="BCR6">_xlfn._xlws.FILTER(TablaProductos[Nombre producto],TablaProductos[Agrupación]=ProductosPivot!BCR5)</f>
        <v>#VALUE!</v>
      </c>
      <c r="BCS6" s="68" t="e" cm="1" vm="1">
        <f t="array" ref="BCS6">_xlfn._xlws.FILTER(TablaProductos[Nombre producto],TablaProductos[Agrupación]=ProductosPivot!BCS5)</f>
        <v>#VALUE!</v>
      </c>
      <c r="BCT6" s="68" t="e" cm="1" vm="1">
        <f t="array" ref="BCT6">_xlfn._xlws.FILTER(TablaProductos[Nombre producto],TablaProductos[Agrupación]=ProductosPivot!BCT5)</f>
        <v>#VALUE!</v>
      </c>
      <c r="BCU6" s="68" t="e" cm="1" vm="1">
        <f t="array" ref="BCU6">_xlfn._xlws.FILTER(TablaProductos[Nombre producto],TablaProductos[Agrupación]=ProductosPivot!BCU5)</f>
        <v>#VALUE!</v>
      </c>
      <c r="BCV6" s="68" t="e" cm="1" vm="1">
        <f t="array" ref="BCV6">_xlfn._xlws.FILTER(TablaProductos[Nombre producto],TablaProductos[Agrupación]=ProductosPivot!BCV5)</f>
        <v>#VALUE!</v>
      </c>
      <c r="BCW6" s="68" t="e" cm="1" vm="1">
        <f t="array" ref="BCW6">_xlfn._xlws.FILTER(TablaProductos[Nombre producto],TablaProductos[Agrupación]=ProductosPivot!BCW5)</f>
        <v>#VALUE!</v>
      </c>
      <c r="BCX6" s="68" t="e" cm="1" vm="1">
        <f t="array" ref="BCX6">_xlfn._xlws.FILTER(TablaProductos[Nombre producto],TablaProductos[Agrupación]=ProductosPivot!BCX5)</f>
        <v>#VALUE!</v>
      </c>
      <c r="BCY6" s="68" t="e" cm="1" vm="1">
        <f t="array" ref="BCY6">_xlfn._xlws.FILTER(TablaProductos[Nombre producto],TablaProductos[Agrupación]=ProductosPivot!BCY5)</f>
        <v>#VALUE!</v>
      </c>
      <c r="BCZ6" s="68" t="e" cm="1" vm="1">
        <f t="array" ref="BCZ6">_xlfn._xlws.FILTER(TablaProductos[Nombre producto],TablaProductos[Agrupación]=ProductosPivot!BCZ5)</f>
        <v>#VALUE!</v>
      </c>
      <c r="BDA6" s="68" t="e" cm="1" vm="1">
        <f t="array" ref="BDA6">_xlfn._xlws.FILTER(TablaProductos[Nombre producto],TablaProductos[Agrupación]=ProductosPivot!BDA5)</f>
        <v>#VALUE!</v>
      </c>
      <c r="BDB6" s="68" t="e" cm="1" vm="1">
        <f t="array" ref="BDB6">_xlfn._xlws.FILTER(TablaProductos[Nombre producto],TablaProductos[Agrupación]=ProductosPivot!BDB5)</f>
        <v>#VALUE!</v>
      </c>
      <c r="BDC6" s="68" t="e" cm="1" vm="1">
        <f t="array" ref="BDC6">_xlfn._xlws.FILTER(TablaProductos[Nombre producto],TablaProductos[Agrupación]=ProductosPivot!BDC5)</f>
        <v>#VALUE!</v>
      </c>
      <c r="BDD6" s="68" t="e" cm="1" vm="1">
        <f t="array" ref="BDD6">_xlfn._xlws.FILTER(TablaProductos[Nombre producto],TablaProductos[Agrupación]=ProductosPivot!BDD5)</f>
        <v>#VALUE!</v>
      </c>
      <c r="BDE6" s="68" t="e" cm="1" vm="1">
        <f t="array" ref="BDE6">_xlfn._xlws.FILTER(TablaProductos[Nombre producto],TablaProductos[Agrupación]=ProductosPivot!BDE5)</f>
        <v>#VALUE!</v>
      </c>
      <c r="BDF6" s="68" t="e" cm="1" vm="1">
        <f t="array" ref="BDF6">_xlfn._xlws.FILTER(TablaProductos[Nombre producto],TablaProductos[Agrupación]=ProductosPivot!BDF5)</f>
        <v>#VALUE!</v>
      </c>
      <c r="BDG6" s="68" t="e" cm="1" vm="1">
        <f t="array" ref="BDG6">_xlfn._xlws.FILTER(TablaProductos[Nombre producto],TablaProductos[Agrupación]=ProductosPivot!BDG5)</f>
        <v>#VALUE!</v>
      </c>
      <c r="BDH6" s="68" t="e" cm="1" vm="1">
        <f t="array" ref="BDH6">_xlfn._xlws.FILTER(TablaProductos[Nombre producto],TablaProductos[Agrupación]=ProductosPivot!BDH5)</f>
        <v>#VALUE!</v>
      </c>
      <c r="BDI6" s="68" t="e" cm="1" vm="1">
        <f t="array" ref="BDI6">_xlfn._xlws.FILTER(TablaProductos[Nombre producto],TablaProductos[Agrupación]=ProductosPivot!BDI5)</f>
        <v>#VALUE!</v>
      </c>
      <c r="BDJ6" s="68" t="e" cm="1" vm="1">
        <f t="array" ref="BDJ6">_xlfn._xlws.FILTER(TablaProductos[Nombre producto],TablaProductos[Agrupación]=ProductosPivot!BDJ5)</f>
        <v>#VALUE!</v>
      </c>
      <c r="BDK6" s="68" t="e" cm="1" vm="1">
        <f t="array" ref="BDK6">_xlfn._xlws.FILTER(TablaProductos[Nombre producto],TablaProductos[Agrupación]=ProductosPivot!BDK5)</f>
        <v>#VALUE!</v>
      </c>
      <c r="BDL6" s="68" t="e" cm="1" vm="1">
        <f t="array" ref="BDL6">_xlfn._xlws.FILTER(TablaProductos[Nombre producto],TablaProductos[Agrupación]=ProductosPivot!BDL5)</f>
        <v>#VALUE!</v>
      </c>
      <c r="BDM6" s="68" t="e" cm="1" vm="1">
        <f t="array" ref="BDM6">_xlfn._xlws.FILTER(TablaProductos[Nombre producto],TablaProductos[Agrupación]=ProductosPivot!BDM5)</f>
        <v>#VALUE!</v>
      </c>
      <c r="BDN6" s="68" t="e" cm="1" vm="1">
        <f t="array" ref="BDN6">_xlfn._xlws.FILTER(TablaProductos[Nombre producto],TablaProductos[Agrupación]=ProductosPivot!BDN5)</f>
        <v>#VALUE!</v>
      </c>
      <c r="BDO6" s="68" t="e" cm="1" vm="1">
        <f t="array" ref="BDO6">_xlfn._xlws.FILTER(TablaProductos[Nombre producto],TablaProductos[Agrupación]=ProductosPivot!BDO5)</f>
        <v>#VALUE!</v>
      </c>
      <c r="BDP6" s="68" t="e" cm="1" vm="1">
        <f t="array" ref="BDP6">_xlfn._xlws.FILTER(TablaProductos[Nombre producto],TablaProductos[Agrupación]=ProductosPivot!BDP5)</f>
        <v>#VALUE!</v>
      </c>
      <c r="BDQ6" s="68" t="e" cm="1" vm="1">
        <f t="array" ref="BDQ6">_xlfn._xlws.FILTER(TablaProductos[Nombre producto],TablaProductos[Agrupación]=ProductosPivot!BDQ5)</f>
        <v>#VALUE!</v>
      </c>
      <c r="BDR6" s="68" t="e" cm="1" vm="1">
        <f t="array" ref="BDR6">_xlfn._xlws.FILTER(TablaProductos[Nombre producto],TablaProductos[Agrupación]=ProductosPivot!BDR5)</f>
        <v>#VALUE!</v>
      </c>
      <c r="BDS6" s="68" t="e" cm="1" vm="1">
        <f t="array" ref="BDS6">_xlfn._xlws.FILTER(TablaProductos[Nombre producto],TablaProductos[Agrupación]=ProductosPivot!BDS5)</f>
        <v>#VALUE!</v>
      </c>
      <c r="BDT6" s="68" t="e" cm="1" vm="1">
        <f t="array" ref="BDT6">_xlfn._xlws.FILTER(TablaProductos[Nombre producto],TablaProductos[Agrupación]=ProductosPivot!BDT5)</f>
        <v>#VALUE!</v>
      </c>
      <c r="BDU6" s="68" t="e" cm="1" vm="1">
        <f t="array" ref="BDU6">_xlfn._xlws.FILTER(TablaProductos[Nombre producto],TablaProductos[Agrupación]=ProductosPivot!BDU5)</f>
        <v>#VALUE!</v>
      </c>
      <c r="BDV6" s="68" t="e" cm="1" vm="1">
        <f t="array" ref="BDV6">_xlfn._xlws.FILTER(TablaProductos[Nombre producto],TablaProductos[Agrupación]=ProductosPivot!BDV5)</f>
        <v>#VALUE!</v>
      </c>
      <c r="BDW6" s="68" t="e" cm="1" vm="1">
        <f t="array" ref="BDW6">_xlfn._xlws.FILTER(TablaProductos[Nombre producto],TablaProductos[Agrupación]=ProductosPivot!BDW5)</f>
        <v>#VALUE!</v>
      </c>
      <c r="BDX6" s="68" t="e" cm="1" vm="1">
        <f t="array" ref="BDX6">_xlfn._xlws.FILTER(TablaProductos[Nombre producto],TablaProductos[Agrupación]=ProductosPivot!BDX5)</f>
        <v>#VALUE!</v>
      </c>
      <c r="BDY6" s="68" t="e" cm="1" vm="1">
        <f t="array" ref="BDY6">_xlfn._xlws.FILTER(TablaProductos[Nombre producto],TablaProductos[Agrupación]=ProductosPivot!BDY5)</f>
        <v>#VALUE!</v>
      </c>
      <c r="BDZ6" s="68" t="e" cm="1" vm="1">
        <f t="array" ref="BDZ6">_xlfn._xlws.FILTER(TablaProductos[Nombre producto],TablaProductos[Agrupación]=ProductosPivot!BDZ5)</f>
        <v>#VALUE!</v>
      </c>
      <c r="BEA6" s="68" t="e" cm="1" vm="1">
        <f t="array" ref="BEA6">_xlfn._xlws.FILTER(TablaProductos[Nombre producto],TablaProductos[Agrupación]=ProductosPivot!BEA5)</f>
        <v>#VALUE!</v>
      </c>
      <c r="BEB6" s="68" t="e" cm="1" vm="1">
        <f t="array" ref="BEB6">_xlfn._xlws.FILTER(TablaProductos[Nombre producto],TablaProductos[Agrupación]=ProductosPivot!BEB5)</f>
        <v>#VALUE!</v>
      </c>
      <c r="BEC6" s="68" t="e" cm="1" vm="1">
        <f t="array" ref="BEC6">_xlfn._xlws.FILTER(TablaProductos[Nombre producto],TablaProductos[Agrupación]=ProductosPivot!BEC5)</f>
        <v>#VALUE!</v>
      </c>
      <c r="BED6" s="68" t="e" cm="1" vm="1">
        <f t="array" ref="BED6">_xlfn._xlws.FILTER(TablaProductos[Nombre producto],TablaProductos[Agrupación]=ProductosPivot!BED5)</f>
        <v>#VALUE!</v>
      </c>
      <c r="BEE6" s="68" t="e" cm="1" vm="1">
        <f t="array" ref="BEE6">_xlfn._xlws.FILTER(TablaProductos[Nombre producto],TablaProductos[Agrupación]=ProductosPivot!BEE5)</f>
        <v>#VALUE!</v>
      </c>
      <c r="BEF6" s="68" t="e" cm="1" vm="1">
        <f t="array" ref="BEF6">_xlfn._xlws.FILTER(TablaProductos[Nombre producto],TablaProductos[Agrupación]=ProductosPivot!BEF5)</f>
        <v>#VALUE!</v>
      </c>
      <c r="BEG6" s="68" t="e" cm="1" vm="1">
        <f t="array" ref="BEG6">_xlfn._xlws.FILTER(TablaProductos[Nombre producto],TablaProductos[Agrupación]=ProductosPivot!BEG5)</f>
        <v>#VALUE!</v>
      </c>
      <c r="BEH6" s="68" t="e" cm="1" vm="1">
        <f t="array" ref="BEH6">_xlfn._xlws.FILTER(TablaProductos[Nombre producto],TablaProductos[Agrupación]=ProductosPivot!BEH5)</f>
        <v>#VALUE!</v>
      </c>
      <c r="BEI6" s="68" t="e" cm="1" vm="1">
        <f t="array" ref="BEI6">_xlfn._xlws.FILTER(TablaProductos[Nombre producto],TablaProductos[Agrupación]=ProductosPivot!BEI5)</f>
        <v>#VALUE!</v>
      </c>
      <c r="BEJ6" s="68" t="e" cm="1" vm="1">
        <f t="array" ref="BEJ6">_xlfn._xlws.FILTER(TablaProductos[Nombre producto],TablaProductos[Agrupación]=ProductosPivot!BEJ5)</f>
        <v>#VALUE!</v>
      </c>
      <c r="BEK6" s="68" t="e" cm="1" vm="1">
        <f t="array" ref="BEK6">_xlfn._xlws.FILTER(TablaProductos[Nombre producto],TablaProductos[Agrupación]=ProductosPivot!BEK5)</f>
        <v>#VALUE!</v>
      </c>
      <c r="BEL6" s="68" t="e" cm="1" vm="1">
        <f t="array" ref="BEL6">_xlfn._xlws.FILTER(TablaProductos[Nombre producto],TablaProductos[Agrupación]=ProductosPivot!BEL5)</f>
        <v>#VALUE!</v>
      </c>
      <c r="BEM6" s="68" t="e" cm="1" vm="1">
        <f t="array" ref="BEM6">_xlfn._xlws.FILTER(TablaProductos[Nombre producto],TablaProductos[Agrupación]=ProductosPivot!BEM5)</f>
        <v>#VALUE!</v>
      </c>
      <c r="BEN6" s="68" t="e" cm="1" vm="1">
        <f t="array" ref="BEN6">_xlfn._xlws.FILTER(TablaProductos[Nombre producto],TablaProductos[Agrupación]=ProductosPivot!BEN5)</f>
        <v>#VALUE!</v>
      </c>
      <c r="BEO6" s="68" t="e" cm="1" vm="1">
        <f t="array" ref="BEO6">_xlfn._xlws.FILTER(TablaProductos[Nombre producto],TablaProductos[Agrupación]=ProductosPivot!BEO5)</f>
        <v>#VALUE!</v>
      </c>
      <c r="BEP6" s="68" t="e" cm="1" vm="1">
        <f t="array" ref="BEP6">_xlfn._xlws.FILTER(TablaProductos[Nombre producto],TablaProductos[Agrupación]=ProductosPivot!BEP5)</f>
        <v>#VALUE!</v>
      </c>
      <c r="BEQ6" s="68" t="e" cm="1" vm="1">
        <f t="array" ref="BEQ6">_xlfn._xlws.FILTER(TablaProductos[Nombre producto],TablaProductos[Agrupación]=ProductosPivot!BEQ5)</f>
        <v>#VALUE!</v>
      </c>
      <c r="BER6" s="68" t="e" cm="1" vm="1">
        <f t="array" ref="BER6">_xlfn._xlws.FILTER(TablaProductos[Nombre producto],TablaProductos[Agrupación]=ProductosPivot!BER5)</f>
        <v>#VALUE!</v>
      </c>
      <c r="BES6" s="68" t="e" cm="1" vm="1">
        <f t="array" ref="BES6">_xlfn._xlws.FILTER(TablaProductos[Nombre producto],TablaProductos[Agrupación]=ProductosPivot!BES5)</f>
        <v>#VALUE!</v>
      </c>
      <c r="BET6" s="68" t="e" cm="1" vm="1">
        <f t="array" ref="BET6">_xlfn._xlws.FILTER(TablaProductos[Nombre producto],TablaProductos[Agrupación]=ProductosPivot!BET5)</f>
        <v>#VALUE!</v>
      </c>
      <c r="BEU6" s="68" t="e" cm="1" vm="1">
        <f t="array" ref="BEU6">_xlfn._xlws.FILTER(TablaProductos[Nombre producto],TablaProductos[Agrupación]=ProductosPivot!BEU5)</f>
        <v>#VALUE!</v>
      </c>
      <c r="BEV6" s="68" t="e" cm="1" vm="1">
        <f t="array" ref="BEV6">_xlfn._xlws.FILTER(TablaProductos[Nombre producto],TablaProductos[Agrupación]=ProductosPivot!BEV5)</f>
        <v>#VALUE!</v>
      </c>
      <c r="BEW6" s="68" t="e" cm="1" vm="1">
        <f t="array" ref="BEW6">_xlfn._xlws.FILTER(TablaProductos[Nombre producto],TablaProductos[Agrupación]=ProductosPivot!BEW5)</f>
        <v>#VALUE!</v>
      </c>
      <c r="BEX6" s="68" t="e" cm="1" vm="1">
        <f t="array" ref="BEX6">_xlfn._xlws.FILTER(TablaProductos[Nombre producto],TablaProductos[Agrupación]=ProductosPivot!BEX5)</f>
        <v>#VALUE!</v>
      </c>
      <c r="BEY6" s="68" t="e" cm="1" vm="1">
        <f t="array" ref="BEY6">_xlfn._xlws.FILTER(TablaProductos[Nombre producto],TablaProductos[Agrupación]=ProductosPivot!BEY5)</f>
        <v>#VALUE!</v>
      </c>
      <c r="BEZ6" s="68" t="e" cm="1" vm="1">
        <f t="array" ref="BEZ6">_xlfn._xlws.FILTER(TablaProductos[Nombre producto],TablaProductos[Agrupación]=ProductosPivot!BEZ5)</f>
        <v>#VALUE!</v>
      </c>
      <c r="BFA6" s="68" t="e" cm="1" vm="1">
        <f t="array" ref="BFA6">_xlfn._xlws.FILTER(TablaProductos[Nombre producto],TablaProductos[Agrupación]=ProductosPivot!BFA5)</f>
        <v>#VALUE!</v>
      </c>
      <c r="BFB6" s="68" t="e" cm="1" vm="1">
        <f t="array" ref="BFB6">_xlfn._xlws.FILTER(TablaProductos[Nombre producto],TablaProductos[Agrupación]=ProductosPivot!BFB5)</f>
        <v>#VALUE!</v>
      </c>
      <c r="BFC6" s="68" t="e" cm="1" vm="1">
        <f t="array" ref="BFC6">_xlfn._xlws.FILTER(TablaProductos[Nombre producto],TablaProductos[Agrupación]=ProductosPivot!BFC5)</f>
        <v>#VALUE!</v>
      </c>
      <c r="BFD6" s="68" t="e" cm="1" vm="1">
        <f t="array" ref="BFD6">_xlfn._xlws.FILTER(TablaProductos[Nombre producto],TablaProductos[Agrupación]=ProductosPivot!BFD5)</f>
        <v>#VALUE!</v>
      </c>
      <c r="BFE6" s="68" t="e" cm="1" vm="1">
        <f t="array" ref="BFE6">_xlfn._xlws.FILTER(TablaProductos[Nombre producto],TablaProductos[Agrupación]=ProductosPivot!BFE5)</f>
        <v>#VALUE!</v>
      </c>
      <c r="BFF6" s="68" t="e" cm="1" vm="1">
        <f t="array" ref="BFF6">_xlfn._xlws.FILTER(TablaProductos[Nombre producto],TablaProductos[Agrupación]=ProductosPivot!BFF5)</f>
        <v>#VALUE!</v>
      </c>
      <c r="BFG6" s="68" t="e" cm="1" vm="1">
        <f t="array" ref="BFG6">_xlfn._xlws.FILTER(TablaProductos[Nombre producto],TablaProductos[Agrupación]=ProductosPivot!BFG5)</f>
        <v>#VALUE!</v>
      </c>
      <c r="BFH6" s="68" t="e" cm="1" vm="1">
        <f t="array" ref="BFH6">_xlfn._xlws.FILTER(TablaProductos[Nombre producto],TablaProductos[Agrupación]=ProductosPivot!BFH5)</f>
        <v>#VALUE!</v>
      </c>
      <c r="BFI6" s="68" t="e" cm="1" vm="1">
        <f t="array" ref="BFI6">_xlfn._xlws.FILTER(TablaProductos[Nombre producto],TablaProductos[Agrupación]=ProductosPivot!BFI5)</f>
        <v>#VALUE!</v>
      </c>
      <c r="BFJ6" s="68" t="e" cm="1" vm="1">
        <f t="array" ref="BFJ6">_xlfn._xlws.FILTER(TablaProductos[Nombre producto],TablaProductos[Agrupación]=ProductosPivot!BFJ5)</f>
        <v>#VALUE!</v>
      </c>
      <c r="BFK6" s="68" t="e" cm="1" vm="1">
        <f t="array" ref="BFK6">_xlfn._xlws.FILTER(TablaProductos[Nombre producto],TablaProductos[Agrupación]=ProductosPivot!BFK5)</f>
        <v>#VALUE!</v>
      </c>
      <c r="BFL6" s="68" t="e" cm="1" vm="1">
        <f t="array" ref="BFL6">_xlfn._xlws.FILTER(TablaProductos[Nombre producto],TablaProductos[Agrupación]=ProductosPivot!BFL5)</f>
        <v>#VALUE!</v>
      </c>
      <c r="BFM6" s="68" t="e" cm="1" vm="1">
        <f t="array" ref="BFM6">_xlfn._xlws.FILTER(TablaProductos[Nombre producto],TablaProductos[Agrupación]=ProductosPivot!BFM5)</f>
        <v>#VALUE!</v>
      </c>
      <c r="BFN6" s="68" t="e" cm="1" vm="1">
        <f t="array" ref="BFN6">_xlfn._xlws.FILTER(TablaProductos[Nombre producto],TablaProductos[Agrupación]=ProductosPivot!BFN5)</f>
        <v>#VALUE!</v>
      </c>
      <c r="BFO6" s="68" t="e" cm="1" vm="1">
        <f t="array" ref="BFO6">_xlfn._xlws.FILTER(TablaProductos[Nombre producto],TablaProductos[Agrupación]=ProductosPivot!BFO5)</f>
        <v>#VALUE!</v>
      </c>
      <c r="BFP6" s="68" t="e" cm="1" vm="1">
        <f t="array" ref="BFP6">_xlfn._xlws.FILTER(TablaProductos[Nombre producto],TablaProductos[Agrupación]=ProductosPivot!BFP5)</f>
        <v>#VALUE!</v>
      </c>
      <c r="BFQ6" s="68" t="e" cm="1" vm="1">
        <f t="array" ref="BFQ6">_xlfn._xlws.FILTER(TablaProductos[Nombre producto],TablaProductos[Agrupación]=ProductosPivot!BFQ5)</f>
        <v>#VALUE!</v>
      </c>
      <c r="BFR6" s="68" t="e" cm="1" vm="1">
        <f t="array" ref="BFR6">_xlfn._xlws.FILTER(TablaProductos[Nombre producto],TablaProductos[Agrupación]=ProductosPivot!BFR5)</f>
        <v>#VALUE!</v>
      </c>
      <c r="BFS6" s="68" t="e" cm="1" vm="1">
        <f t="array" ref="BFS6">_xlfn._xlws.FILTER(TablaProductos[Nombre producto],TablaProductos[Agrupación]=ProductosPivot!BFS5)</f>
        <v>#VALUE!</v>
      </c>
      <c r="BFT6" s="68" t="e" cm="1" vm="1">
        <f t="array" ref="BFT6">_xlfn._xlws.FILTER(TablaProductos[Nombre producto],TablaProductos[Agrupación]=ProductosPivot!BFT5)</f>
        <v>#VALUE!</v>
      </c>
      <c r="BFU6" s="68" t="e" cm="1" vm="1">
        <f t="array" ref="BFU6">_xlfn._xlws.FILTER(TablaProductos[Nombre producto],TablaProductos[Agrupación]=ProductosPivot!BFU5)</f>
        <v>#VALUE!</v>
      </c>
      <c r="BFV6" s="68" t="e" cm="1" vm="1">
        <f t="array" ref="BFV6">_xlfn._xlws.FILTER(TablaProductos[Nombre producto],TablaProductos[Agrupación]=ProductosPivot!BFV5)</f>
        <v>#VALUE!</v>
      </c>
      <c r="BFW6" s="68" t="e" cm="1" vm="1">
        <f t="array" ref="BFW6">_xlfn._xlws.FILTER(TablaProductos[Nombre producto],TablaProductos[Agrupación]=ProductosPivot!BFW5)</f>
        <v>#VALUE!</v>
      </c>
      <c r="BFX6" s="68" t="e" cm="1" vm="1">
        <f t="array" ref="BFX6">_xlfn._xlws.FILTER(TablaProductos[Nombre producto],TablaProductos[Agrupación]=ProductosPivot!BFX5)</f>
        <v>#VALUE!</v>
      </c>
      <c r="BFY6" s="68" t="e" cm="1" vm="1">
        <f t="array" ref="BFY6">_xlfn._xlws.FILTER(TablaProductos[Nombre producto],TablaProductos[Agrupación]=ProductosPivot!BFY5)</f>
        <v>#VALUE!</v>
      </c>
      <c r="BFZ6" s="68" t="e" cm="1" vm="1">
        <f t="array" ref="BFZ6">_xlfn._xlws.FILTER(TablaProductos[Nombre producto],TablaProductos[Agrupación]=ProductosPivot!BFZ5)</f>
        <v>#VALUE!</v>
      </c>
      <c r="BGA6" s="68" t="e" cm="1" vm="1">
        <f t="array" ref="BGA6">_xlfn._xlws.FILTER(TablaProductos[Nombre producto],TablaProductos[Agrupación]=ProductosPivot!BGA5)</f>
        <v>#VALUE!</v>
      </c>
      <c r="BGB6" s="68" t="e" cm="1" vm="1">
        <f t="array" ref="BGB6">_xlfn._xlws.FILTER(TablaProductos[Nombre producto],TablaProductos[Agrupación]=ProductosPivot!BGB5)</f>
        <v>#VALUE!</v>
      </c>
      <c r="BGC6" s="68" t="e" cm="1" vm="1">
        <f t="array" ref="BGC6">_xlfn._xlws.FILTER(TablaProductos[Nombre producto],TablaProductos[Agrupación]=ProductosPivot!BGC5)</f>
        <v>#VALUE!</v>
      </c>
      <c r="BGD6" s="68" t="e" cm="1" vm="1">
        <f t="array" ref="BGD6">_xlfn._xlws.FILTER(TablaProductos[Nombre producto],TablaProductos[Agrupación]=ProductosPivot!BGD5)</f>
        <v>#VALUE!</v>
      </c>
      <c r="BGE6" s="68" t="e" cm="1" vm="1">
        <f t="array" ref="BGE6">_xlfn._xlws.FILTER(TablaProductos[Nombre producto],TablaProductos[Agrupación]=ProductosPivot!BGE5)</f>
        <v>#VALUE!</v>
      </c>
      <c r="BGF6" s="68" t="e" cm="1" vm="1">
        <f t="array" ref="BGF6">_xlfn._xlws.FILTER(TablaProductos[Nombre producto],TablaProductos[Agrupación]=ProductosPivot!BGF5)</f>
        <v>#VALUE!</v>
      </c>
      <c r="BGG6" s="68" t="e" cm="1" vm="1">
        <f t="array" ref="BGG6">_xlfn._xlws.FILTER(TablaProductos[Nombre producto],TablaProductos[Agrupación]=ProductosPivot!BGG5)</f>
        <v>#VALUE!</v>
      </c>
      <c r="BGH6" s="68" t="e" cm="1" vm="1">
        <f t="array" ref="BGH6">_xlfn._xlws.FILTER(TablaProductos[Nombre producto],TablaProductos[Agrupación]=ProductosPivot!BGH5)</f>
        <v>#VALUE!</v>
      </c>
      <c r="BGI6" s="68" t="e" cm="1" vm="1">
        <f t="array" ref="BGI6">_xlfn._xlws.FILTER(TablaProductos[Nombre producto],TablaProductos[Agrupación]=ProductosPivot!BGI5)</f>
        <v>#VALUE!</v>
      </c>
      <c r="BGJ6" s="68" t="e" cm="1" vm="1">
        <f t="array" ref="BGJ6">_xlfn._xlws.FILTER(TablaProductos[Nombre producto],TablaProductos[Agrupación]=ProductosPivot!BGJ5)</f>
        <v>#VALUE!</v>
      </c>
      <c r="BGK6" s="68" t="e" cm="1" vm="1">
        <f t="array" ref="BGK6">_xlfn._xlws.FILTER(TablaProductos[Nombre producto],TablaProductos[Agrupación]=ProductosPivot!BGK5)</f>
        <v>#VALUE!</v>
      </c>
      <c r="BGL6" s="68" t="e" cm="1" vm="1">
        <f t="array" ref="BGL6">_xlfn._xlws.FILTER(TablaProductos[Nombre producto],TablaProductos[Agrupación]=ProductosPivot!BGL5)</f>
        <v>#VALUE!</v>
      </c>
      <c r="BGM6" s="68" t="e" cm="1" vm="1">
        <f t="array" ref="BGM6">_xlfn._xlws.FILTER(TablaProductos[Nombre producto],TablaProductos[Agrupación]=ProductosPivot!BGM5)</f>
        <v>#VALUE!</v>
      </c>
      <c r="BGN6" s="68" t="e" cm="1" vm="1">
        <f t="array" ref="BGN6">_xlfn._xlws.FILTER(TablaProductos[Nombre producto],TablaProductos[Agrupación]=ProductosPivot!BGN5)</f>
        <v>#VALUE!</v>
      </c>
      <c r="BGO6" s="68" t="e" cm="1" vm="1">
        <f t="array" ref="BGO6">_xlfn._xlws.FILTER(TablaProductos[Nombre producto],TablaProductos[Agrupación]=ProductosPivot!BGO5)</f>
        <v>#VALUE!</v>
      </c>
      <c r="BGP6" s="68" t="e" cm="1" vm="1">
        <f t="array" ref="BGP6">_xlfn._xlws.FILTER(TablaProductos[Nombre producto],TablaProductos[Agrupación]=ProductosPivot!BGP5)</f>
        <v>#VALUE!</v>
      </c>
      <c r="BGQ6" s="68" t="e" cm="1" vm="1">
        <f t="array" ref="BGQ6">_xlfn._xlws.FILTER(TablaProductos[Nombre producto],TablaProductos[Agrupación]=ProductosPivot!BGQ5)</f>
        <v>#VALUE!</v>
      </c>
      <c r="BGR6" s="68" t="e" cm="1" vm="1">
        <f t="array" ref="BGR6">_xlfn._xlws.FILTER(TablaProductos[Nombre producto],TablaProductos[Agrupación]=ProductosPivot!BGR5)</f>
        <v>#VALUE!</v>
      </c>
      <c r="BGS6" s="68" t="e" cm="1" vm="1">
        <f t="array" ref="BGS6">_xlfn._xlws.FILTER(TablaProductos[Nombre producto],TablaProductos[Agrupación]=ProductosPivot!BGS5)</f>
        <v>#VALUE!</v>
      </c>
      <c r="BGT6" s="68" t="e" cm="1" vm="1">
        <f t="array" ref="BGT6">_xlfn._xlws.FILTER(TablaProductos[Nombre producto],TablaProductos[Agrupación]=ProductosPivot!BGT5)</f>
        <v>#VALUE!</v>
      </c>
      <c r="BGU6" s="68" t="e" cm="1" vm="1">
        <f t="array" ref="BGU6">_xlfn._xlws.FILTER(TablaProductos[Nombre producto],TablaProductos[Agrupación]=ProductosPivot!BGU5)</f>
        <v>#VALUE!</v>
      </c>
      <c r="BGV6" s="68" t="e" cm="1" vm="1">
        <f t="array" ref="BGV6">_xlfn._xlws.FILTER(TablaProductos[Nombre producto],TablaProductos[Agrupación]=ProductosPivot!BGV5)</f>
        <v>#VALUE!</v>
      </c>
      <c r="BGW6" s="68" t="e" cm="1" vm="1">
        <f t="array" ref="BGW6">_xlfn._xlws.FILTER(TablaProductos[Nombre producto],TablaProductos[Agrupación]=ProductosPivot!BGW5)</f>
        <v>#VALUE!</v>
      </c>
      <c r="BGX6" s="68" t="e" cm="1" vm="1">
        <f t="array" ref="BGX6">_xlfn._xlws.FILTER(TablaProductos[Nombre producto],TablaProductos[Agrupación]=ProductosPivot!BGX5)</f>
        <v>#VALUE!</v>
      </c>
      <c r="BGY6" s="68" t="e" cm="1" vm="1">
        <f t="array" ref="BGY6">_xlfn._xlws.FILTER(TablaProductos[Nombre producto],TablaProductos[Agrupación]=ProductosPivot!BGY5)</f>
        <v>#VALUE!</v>
      </c>
      <c r="BGZ6" s="68" t="e" cm="1" vm="1">
        <f t="array" ref="BGZ6">_xlfn._xlws.FILTER(TablaProductos[Nombre producto],TablaProductos[Agrupación]=ProductosPivot!BGZ5)</f>
        <v>#VALUE!</v>
      </c>
      <c r="BHA6" s="68" t="e" cm="1" vm="1">
        <f t="array" ref="BHA6">_xlfn._xlws.FILTER(TablaProductos[Nombre producto],TablaProductos[Agrupación]=ProductosPivot!BHA5)</f>
        <v>#VALUE!</v>
      </c>
      <c r="BHB6" s="68" t="e" cm="1" vm="1">
        <f t="array" ref="BHB6">_xlfn._xlws.FILTER(TablaProductos[Nombre producto],TablaProductos[Agrupación]=ProductosPivot!BHB5)</f>
        <v>#VALUE!</v>
      </c>
      <c r="BHC6" s="68" t="e" cm="1" vm="1">
        <f t="array" ref="BHC6">_xlfn._xlws.FILTER(TablaProductos[Nombre producto],TablaProductos[Agrupación]=ProductosPivot!BHC5)</f>
        <v>#VALUE!</v>
      </c>
      <c r="BHD6" s="68" t="e" cm="1" vm="1">
        <f t="array" ref="BHD6">_xlfn._xlws.FILTER(TablaProductos[Nombre producto],TablaProductos[Agrupación]=ProductosPivot!BHD5)</f>
        <v>#VALUE!</v>
      </c>
      <c r="BHE6" s="68" t="e" cm="1" vm="1">
        <f t="array" ref="BHE6">_xlfn._xlws.FILTER(TablaProductos[Nombre producto],TablaProductos[Agrupación]=ProductosPivot!BHE5)</f>
        <v>#VALUE!</v>
      </c>
      <c r="BHF6" s="68" t="e" cm="1" vm="1">
        <f t="array" ref="BHF6">_xlfn._xlws.FILTER(TablaProductos[Nombre producto],TablaProductos[Agrupación]=ProductosPivot!BHF5)</f>
        <v>#VALUE!</v>
      </c>
      <c r="BHG6" s="68" t="e" cm="1" vm="1">
        <f t="array" ref="BHG6">_xlfn._xlws.FILTER(TablaProductos[Nombre producto],TablaProductos[Agrupación]=ProductosPivot!BHG5)</f>
        <v>#VALUE!</v>
      </c>
      <c r="BHH6" s="68" t="e" cm="1" vm="1">
        <f t="array" ref="BHH6">_xlfn._xlws.FILTER(TablaProductos[Nombre producto],TablaProductos[Agrupación]=ProductosPivot!BHH5)</f>
        <v>#VALUE!</v>
      </c>
      <c r="BHI6" s="68" t="e" cm="1" vm="1">
        <f t="array" ref="BHI6">_xlfn._xlws.FILTER(TablaProductos[Nombre producto],TablaProductos[Agrupación]=ProductosPivot!BHI5)</f>
        <v>#VALUE!</v>
      </c>
      <c r="BHJ6" s="68" t="e" cm="1" vm="1">
        <f t="array" ref="BHJ6">_xlfn._xlws.FILTER(TablaProductos[Nombre producto],TablaProductos[Agrupación]=ProductosPivot!BHJ5)</f>
        <v>#VALUE!</v>
      </c>
      <c r="BHK6" s="68" t="e" cm="1" vm="1">
        <f t="array" ref="BHK6">_xlfn._xlws.FILTER(TablaProductos[Nombre producto],TablaProductos[Agrupación]=ProductosPivot!BHK5)</f>
        <v>#VALUE!</v>
      </c>
      <c r="BHL6" s="68" t="e" cm="1" vm="1">
        <f t="array" ref="BHL6">_xlfn._xlws.FILTER(TablaProductos[Nombre producto],TablaProductos[Agrupación]=ProductosPivot!BHL5)</f>
        <v>#VALUE!</v>
      </c>
      <c r="BHM6" s="68" t="e" cm="1" vm="1">
        <f t="array" ref="BHM6">_xlfn._xlws.FILTER(TablaProductos[Nombre producto],TablaProductos[Agrupación]=ProductosPivot!BHM5)</f>
        <v>#VALUE!</v>
      </c>
      <c r="BHN6" s="68" t="e" cm="1" vm="1">
        <f t="array" ref="BHN6">_xlfn._xlws.FILTER(TablaProductos[Nombre producto],TablaProductos[Agrupación]=ProductosPivot!BHN5)</f>
        <v>#VALUE!</v>
      </c>
      <c r="BHO6" s="68" t="e" cm="1" vm="1">
        <f t="array" ref="BHO6">_xlfn._xlws.FILTER(TablaProductos[Nombre producto],TablaProductos[Agrupación]=ProductosPivot!BHO5)</f>
        <v>#VALUE!</v>
      </c>
      <c r="BHP6" s="68" t="e" cm="1" vm="1">
        <f t="array" ref="BHP6">_xlfn._xlws.FILTER(TablaProductos[Nombre producto],TablaProductos[Agrupación]=ProductosPivot!BHP5)</f>
        <v>#VALUE!</v>
      </c>
      <c r="BHQ6" s="68" t="e" cm="1" vm="1">
        <f t="array" ref="BHQ6">_xlfn._xlws.FILTER(TablaProductos[Nombre producto],TablaProductos[Agrupación]=ProductosPivot!BHQ5)</f>
        <v>#VALUE!</v>
      </c>
      <c r="BHR6" s="68" t="e" cm="1" vm="1">
        <f t="array" ref="BHR6">_xlfn._xlws.FILTER(TablaProductos[Nombre producto],TablaProductos[Agrupación]=ProductosPivot!BHR5)</f>
        <v>#VALUE!</v>
      </c>
      <c r="BHS6" s="68" t="e" cm="1" vm="1">
        <f t="array" ref="BHS6">_xlfn._xlws.FILTER(TablaProductos[Nombre producto],TablaProductos[Agrupación]=ProductosPivot!BHS5)</f>
        <v>#VALUE!</v>
      </c>
      <c r="BHT6" s="68" t="e" cm="1" vm="1">
        <f t="array" ref="BHT6">_xlfn._xlws.FILTER(TablaProductos[Nombre producto],TablaProductos[Agrupación]=ProductosPivot!BHT5)</f>
        <v>#VALUE!</v>
      </c>
      <c r="BHU6" s="68" t="e" cm="1" vm="1">
        <f t="array" ref="BHU6">_xlfn._xlws.FILTER(TablaProductos[Nombre producto],TablaProductos[Agrupación]=ProductosPivot!BHU5)</f>
        <v>#VALUE!</v>
      </c>
      <c r="BHV6" s="68" t="e" cm="1" vm="1">
        <f t="array" ref="BHV6">_xlfn._xlws.FILTER(TablaProductos[Nombre producto],TablaProductos[Agrupación]=ProductosPivot!BHV5)</f>
        <v>#VALUE!</v>
      </c>
      <c r="BHW6" s="68" t="e" cm="1" vm="1">
        <f t="array" ref="BHW6">_xlfn._xlws.FILTER(TablaProductos[Nombre producto],TablaProductos[Agrupación]=ProductosPivot!BHW5)</f>
        <v>#VALUE!</v>
      </c>
      <c r="BHX6" s="68" t="e" cm="1" vm="1">
        <f t="array" ref="BHX6">_xlfn._xlws.FILTER(TablaProductos[Nombre producto],TablaProductos[Agrupación]=ProductosPivot!BHX5)</f>
        <v>#VALUE!</v>
      </c>
      <c r="BHY6" s="68" t="e" cm="1" vm="1">
        <f t="array" ref="BHY6">_xlfn._xlws.FILTER(TablaProductos[Nombre producto],TablaProductos[Agrupación]=ProductosPivot!BHY5)</f>
        <v>#VALUE!</v>
      </c>
      <c r="BHZ6" s="68" t="e" cm="1" vm="1">
        <f t="array" ref="BHZ6">_xlfn._xlws.FILTER(TablaProductos[Nombre producto],TablaProductos[Agrupación]=ProductosPivot!BHZ5)</f>
        <v>#VALUE!</v>
      </c>
      <c r="BIA6" s="68" t="e" cm="1" vm="1">
        <f t="array" ref="BIA6">_xlfn._xlws.FILTER(TablaProductos[Nombre producto],TablaProductos[Agrupación]=ProductosPivot!BIA5)</f>
        <v>#VALUE!</v>
      </c>
      <c r="BIB6" s="68" t="e" cm="1" vm="1">
        <f t="array" ref="BIB6">_xlfn._xlws.FILTER(TablaProductos[Nombre producto],TablaProductos[Agrupación]=ProductosPivot!BIB5)</f>
        <v>#VALUE!</v>
      </c>
      <c r="BIC6" s="68" t="e" cm="1" vm="1">
        <f t="array" ref="BIC6">_xlfn._xlws.FILTER(TablaProductos[Nombre producto],TablaProductos[Agrupación]=ProductosPivot!BIC5)</f>
        <v>#VALUE!</v>
      </c>
      <c r="BID6" s="68" t="e" cm="1" vm="1">
        <f t="array" ref="BID6">_xlfn._xlws.FILTER(TablaProductos[Nombre producto],TablaProductos[Agrupación]=ProductosPivot!BID5)</f>
        <v>#VALUE!</v>
      </c>
      <c r="BIE6" s="68" t="e" cm="1" vm="1">
        <f t="array" ref="BIE6">_xlfn._xlws.FILTER(TablaProductos[Nombre producto],TablaProductos[Agrupación]=ProductosPivot!BIE5)</f>
        <v>#VALUE!</v>
      </c>
      <c r="BIF6" s="68" t="e" cm="1" vm="1">
        <f t="array" ref="BIF6">_xlfn._xlws.FILTER(TablaProductos[Nombre producto],TablaProductos[Agrupación]=ProductosPivot!BIF5)</f>
        <v>#VALUE!</v>
      </c>
      <c r="BIG6" s="68" t="e" cm="1" vm="1">
        <f t="array" ref="BIG6">_xlfn._xlws.FILTER(TablaProductos[Nombre producto],TablaProductos[Agrupación]=ProductosPivot!BIG5)</f>
        <v>#VALUE!</v>
      </c>
      <c r="BIH6" s="68" t="e" cm="1" vm="1">
        <f t="array" ref="BIH6">_xlfn._xlws.FILTER(TablaProductos[Nombre producto],TablaProductos[Agrupación]=ProductosPivot!BIH5)</f>
        <v>#VALUE!</v>
      </c>
      <c r="BII6" s="68" t="e" cm="1" vm="1">
        <f t="array" ref="BII6">_xlfn._xlws.FILTER(TablaProductos[Nombre producto],TablaProductos[Agrupación]=ProductosPivot!BII5)</f>
        <v>#VALUE!</v>
      </c>
      <c r="BIJ6" s="68" t="e" cm="1" vm="1">
        <f t="array" ref="BIJ6">_xlfn._xlws.FILTER(TablaProductos[Nombre producto],TablaProductos[Agrupación]=ProductosPivot!BIJ5)</f>
        <v>#VALUE!</v>
      </c>
      <c r="BIK6" s="68" t="e" cm="1" vm="1">
        <f t="array" ref="BIK6">_xlfn._xlws.FILTER(TablaProductos[Nombre producto],TablaProductos[Agrupación]=ProductosPivot!BIK5)</f>
        <v>#VALUE!</v>
      </c>
      <c r="BIL6" s="68" t="e" cm="1" vm="1">
        <f t="array" ref="BIL6">_xlfn._xlws.FILTER(TablaProductos[Nombre producto],TablaProductos[Agrupación]=ProductosPivot!BIL5)</f>
        <v>#VALUE!</v>
      </c>
      <c r="BIM6" s="68" t="e" cm="1" vm="1">
        <f t="array" ref="BIM6">_xlfn._xlws.FILTER(TablaProductos[Nombre producto],TablaProductos[Agrupación]=ProductosPivot!BIM5)</f>
        <v>#VALUE!</v>
      </c>
      <c r="BIN6" s="68" t="e" cm="1" vm="1">
        <f t="array" ref="BIN6">_xlfn._xlws.FILTER(TablaProductos[Nombre producto],TablaProductos[Agrupación]=ProductosPivot!BIN5)</f>
        <v>#VALUE!</v>
      </c>
      <c r="BIO6" s="68" t="e" cm="1" vm="1">
        <f t="array" ref="BIO6">_xlfn._xlws.FILTER(TablaProductos[Nombre producto],TablaProductos[Agrupación]=ProductosPivot!BIO5)</f>
        <v>#VALUE!</v>
      </c>
      <c r="BIP6" s="68" t="e" cm="1" vm="1">
        <f t="array" ref="BIP6">_xlfn._xlws.FILTER(TablaProductos[Nombre producto],TablaProductos[Agrupación]=ProductosPivot!BIP5)</f>
        <v>#VALUE!</v>
      </c>
      <c r="BIQ6" s="68" t="e" cm="1" vm="1">
        <f t="array" ref="BIQ6">_xlfn._xlws.FILTER(TablaProductos[Nombre producto],TablaProductos[Agrupación]=ProductosPivot!BIQ5)</f>
        <v>#VALUE!</v>
      </c>
      <c r="BIR6" s="68" t="e" cm="1" vm="1">
        <f t="array" ref="BIR6">_xlfn._xlws.FILTER(TablaProductos[Nombre producto],TablaProductos[Agrupación]=ProductosPivot!BIR5)</f>
        <v>#VALUE!</v>
      </c>
      <c r="BIS6" s="68" t="e" cm="1" vm="1">
        <f t="array" ref="BIS6">_xlfn._xlws.FILTER(TablaProductos[Nombre producto],TablaProductos[Agrupación]=ProductosPivot!BIS5)</f>
        <v>#VALUE!</v>
      </c>
      <c r="BIT6" s="68" t="e" cm="1" vm="1">
        <f t="array" ref="BIT6">_xlfn._xlws.FILTER(TablaProductos[Nombre producto],TablaProductos[Agrupación]=ProductosPivot!BIT5)</f>
        <v>#VALUE!</v>
      </c>
      <c r="BIU6" s="68" t="e" cm="1" vm="1">
        <f t="array" ref="BIU6">_xlfn._xlws.FILTER(TablaProductos[Nombre producto],TablaProductos[Agrupación]=ProductosPivot!BIU5)</f>
        <v>#VALUE!</v>
      </c>
      <c r="BIV6" s="68" t="e" cm="1" vm="1">
        <f t="array" ref="BIV6">_xlfn._xlws.FILTER(TablaProductos[Nombre producto],TablaProductos[Agrupación]=ProductosPivot!BIV5)</f>
        <v>#VALUE!</v>
      </c>
      <c r="BIW6" s="68" t="e" cm="1" vm="1">
        <f t="array" ref="BIW6">_xlfn._xlws.FILTER(TablaProductos[Nombre producto],TablaProductos[Agrupación]=ProductosPivot!BIW5)</f>
        <v>#VALUE!</v>
      </c>
      <c r="BIX6" s="68" t="e" cm="1" vm="1">
        <f t="array" ref="BIX6">_xlfn._xlws.FILTER(TablaProductos[Nombre producto],TablaProductos[Agrupación]=ProductosPivot!BIX5)</f>
        <v>#VALUE!</v>
      </c>
      <c r="BIY6" s="68" t="e" cm="1" vm="1">
        <f t="array" ref="BIY6">_xlfn._xlws.FILTER(TablaProductos[Nombre producto],TablaProductos[Agrupación]=ProductosPivot!BIY5)</f>
        <v>#VALUE!</v>
      </c>
      <c r="BIZ6" s="68" t="e" cm="1" vm="1">
        <f t="array" ref="BIZ6">_xlfn._xlws.FILTER(TablaProductos[Nombre producto],TablaProductos[Agrupación]=ProductosPivot!BIZ5)</f>
        <v>#VALUE!</v>
      </c>
      <c r="BJA6" s="68" t="e" cm="1" vm="1">
        <f t="array" ref="BJA6">_xlfn._xlws.FILTER(TablaProductos[Nombre producto],TablaProductos[Agrupación]=ProductosPivot!BJA5)</f>
        <v>#VALUE!</v>
      </c>
      <c r="BJB6" s="68" t="e" cm="1" vm="1">
        <f t="array" ref="BJB6">_xlfn._xlws.FILTER(TablaProductos[Nombre producto],TablaProductos[Agrupación]=ProductosPivot!BJB5)</f>
        <v>#VALUE!</v>
      </c>
      <c r="BJC6" s="68" t="e" cm="1" vm="1">
        <f t="array" ref="BJC6">_xlfn._xlws.FILTER(TablaProductos[Nombre producto],TablaProductos[Agrupación]=ProductosPivot!BJC5)</f>
        <v>#VALUE!</v>
      </c>
      <c r="BJD6" s="68" t="e" cm="1" vm="1">
        <f t="array" ref="BJD6">_xlfn._xlws.FILTER(TablaProductos[Nombre producto],TablaProductos[Agrupación]=ProductosPivot!BJD5)</f>
        <v>#VALUE!</v>
      </c>
      <c r="BJE6" s="68" t="e" cm="1" vm="1">
        <f t="array" ref="BJE6">_xlfn._xlws.FILTER(TablaProductos[Nombre producto],TablaProductos[Agrupación]=ProductosPivot!BJE5)</f>
        <v>#VALUE!</v>
      </c>
      <c r="BJF6" s="68" t="e" cm="1" vm="1">
        <f t="array" ref="BJF6">_xlfn._xlws.FILTER(TablaProductos[Nombre producto],TablaProductos[Agrupación]=ProductosPivot!BJF5)</f>
        <v>#VALUE!</v>
      </c>
      <c r="BJG6" s="68" t="e" cm="1" vm="1">
        <f t="array" ref="BJG6">_xlfn._xlws.FILTER(TablaProductos[Nombre producto],TablaProductos[Agrupación]=ProductosPivot!BJG5)</f>
        <v>#VALUE!</v>
      </c>
      <c r="BJH6" s="68" t="e" cm="1" vm="1">
        <f t="array" ref="BJH6">_xlfn._xlws.FILTER(TablaProductos[Nombre producto],TablaProductos[Agrupación]=ProductosPivot!BJH5)</f>
        <v>#VALUE!</v>
      </c>
      <c r="BJI6" s="68" t="e" cm="1" vm="1">
        <f t="array" ref="BJI6">_xlfn._xlws.FILTER(TablaProductos[Nombre producto],TablaProductos[Agrupación]=ProductosPivot!BJI5)</f>
        <v>#VALUE!</v>
      </c>
      <c r="BJJ6" s="68" t="e" cm="1" vm="1">
        <f t="array" ref="BJJ6">_xlfn._xlws.FILTER(TablaProductos[Nombre producto],TablaProductos[Agrupación]=ProductosPivot!BJJ5)</f>
        <v>#VALUE!</v>
      </c>
      <c r="BJK6" s="68" t="e" cm="1" vm="1">
        <f t="array" ref="BJK6">_xlfn._xlws.FILTER(TablaProductos[Nombre producto],TablaProductos[Agrupación]=ProductosPivot!BJK5)</f>
        <v>#VALUE!</v>
      </c>
      <c r="BJL6" s="68" t="e" cm="1" vm="1">
        <f t="array" ref="BJL6">_xlfn._xlws.FILTER(TablaProductos[Nombre producto],TablaProductos[Agrupación]=ProductosPivot!BJL5)</f>
        <v>#VALUE!</v>
      </c>
      <c r="BJM6" s="68" t="e" cm="1" vm="1">
        <f t="array" ref="BJM6">_xlfn._xlws.FILTER(TablaProductos[Nombre producto],TablaProductos[Agrupación]=ProductosPivot!BJM5)</f>
        <v>#VALUE!</v>
      </c>
      <c r="BJN6" s="68" t="e" cm="1" vm="1">
        <f t="array" ref="BJN6">_xlfn._xlws.FILTER(TablaProductos[Nombre producto],TablaProductos[Agrupación]=ProductosPivot!BJN5)</f>
        <v>#VALUE!</v>
      </c>
      <c r="BJO6" s="68" t="e" cm="1" vm="1">
        <f t="array" ref="BJO6">_xlfn._xlws.FILTER(TablaProductos[Nombre producto],TablaProductos[Agrupación]=ProductosPivot!BJO5)</f>
        <v>#VALUE!</v>
      </c>
      <c r="BJP6" s="68" t="e" cm="1" vm="1">
        <f t="array" ref="BJP6">_xlfn._xlws.FILTER(TablaProductos[Nombre producto],TablaProductos[Agrupación]=ProductosPivot!BJP5)</f>
        <v>#VALUE!</v>
      </c>
      <c r="BJQ6" s="68" t="e" cm="1" vm="1">
        <f t="array" ref="BJQ6">_xlfn._xlws.FILTER(TablaProductos[Nombre producto],TablaProductos[Agrupación]=ProductosPivot!BJQ5)</f>
        <v>#VALUE!</v>
      </c>
      <c r="BJR6" s="68" t="e" cm="1" vm="1">
        <f t="array" ref="BJR6">_xlfn._xlws.FILTER(TablaProductos[Nombre producto],TablaProductos[Agrupación]=ProductosPivot!BJR5)</f>
        <v>#VALUE!</v>
      </c>
      <c r="BJS6" s="68" t="e" cm="1" vm="1">
        <f t="array" ref="BJS6">_xlfn._xlws.FILTER(TablaProductos[Nombre producto],TablaProductos[Agrupación]=ProductosPivot!BJS5)</f>
        <v>#VALUE!</v>
      </c>
      <c r="BJT6" s="68" t="e" cm="1" vm="1">
        <f t="array" ref="BJT6">_xlfn._xlws.FILTER(TablaProductos[Nombre producto],TablaProductos[Agrupación]=ProductosPivot!BJT5)</f>
        <v>#VALUE!</v>
      </c>
      <c r="BJU6" s="68" t="e" cm="1" vm="1">
        <f t="array" ref="BJU6">_xlfn._xlws.FILTER(TablaProductos[Nombre producto],TablaProductos[Agrupación]=ProductosPivot!BJU5)</f>
        <v>#VALUE!</v>
      </c>
      <c r="BJV6" s="68" t="e" cm="1" vm="1">
        <f t="array" ref="BJV6">_xlfn._xlws.FILTER(TablaProductos[Nombre producto],TablaProductos[Agrupación]=ProductosPivot!BJV5)</f>
        <v>#VALUE!</v>
      </c>
      <c r="BJW6" s="68" t="e" cm="1" vm="1">
        <f t="array" ref="BJW6">_xlfn._xlws.FILTER(TablaProductos[Nombre producto],TablaProductos[Agrupación]=ProductosPivot!BJW5)</f>
        <v>#VALUE!</v>
      </c>
      <c r="BJX6" s="68" t="e" cm="1" vm="1">
        <f t="array" ref="BJX6">_xlfn._xlws.FILTER(TablaProductos[Nombre producto],TablaProductos[Agrupación]=ProductosPivot!BJX5)</f>
        <v>#VALUE!</v>
      </c>
      <c r="BJY6" s="68" t="e" cm="1" vm="1">
        <f t="array" ref="BJY6">_xlfn._xlws.FILTER(TablaProductos[Nombre producto],TablaProductos[Agrupación]=ProductosPivot!BJY5)</f>
        <v>#VALUE!</v>
      </c>
      <c r="BJZ6" s="68" t="e" cm="1" vm="1">
        <f t="array" ref="BJZ6">_xlfn._xlws.FILTER(TablaProductos[Nombre producto],TablaProductos[Agrupación]=ProductosPivot!BJZ5)</f>
        <v>#VALUE!</v>
      </c>
      <c r="BKA6" s="68" t="e" cm="1" vm="1">
        <f t="array" ref="BKA6">_xlfn._xlws.FILTER(TablaProductos[Nombre producto],TablaProductos[Agrupación]=ProductosPivot!BKA5)</f>
        <v>#VALUE!</v>
      </c>
      <c r="BKB6" s="68" t="e" cm="1" vm="1">
        <f t="array" ref="BKB6">_xlfn._xlws.FILTER(TablaProductos[Nombre producto],TablaProductos[Agrupación]=ProductosPivot!BKB5)</f>
        <v>#VALUE!</v>
      </c>
      <c r="BKC6" s="68" t="e" cm="1" vm="1">
        <f t="array" ref="BKC6">_xlfn._xlws.FILTER(TablaProductos[Nombre producto],TablaProductos[Agrupación]=ProductosPivot!BKC5)</f>
        <v>#VALUE!</v>
      </c>
      <c r="BKD6" s="68" t="e" cm="1" vm="1">
        <f t="array" ref="BKD6">_xlfn._xlws.FILTER(TablaProductos[Nombre producto],TablaProductos[Agrupación]=ProductosPivot!BKD5)</f>
        <v>#VALUE!</v>
      </c>
      <c r="BKE6" s="68" t="e" cm="1" vm="1">
        <f t="array" ref="BKE6">_xlfn._xlws.FILTER(TablaProductos[Nombre producto],TablaProductos[Agrupación]=ProductosPivot!BKE5)</f>
        <v>#VALUE!</v>
      </c>
      <c r="BKF6" s="68" t="e" cm="1" vm="1">
        <f t="array" ref="BKF6">_xlfn._xlws.FILTER(TablaProductos[Nombre producto],TablaProductos[Agrupación]=ProductosPivot!BKF5)</f>
        <v>#VALUE!</v>
      </c>
      <c r="BKG6" s="68" t="e" cm="1" vm="1">
        <f t="array" ref="BKG6">_xlfn._xlws.FILTER(TablaProductos[Nombre producto],TablaProductos[Agrupación]=ProductosPivot!BKG5)</f>
        <v>#VALUE!</v>
      </c>
      <c r="BKH6" s="68" t="e" cm="1" vm="1">
        <f t="array" ref="BKH6">_xlfn._xlws.FILTER(TablaProductos[Nombre producto],TablaProductos[Agrupación]=ProductosPivot!BKH5)</f>
        <v>#VALUE!</v>
      </c>
      <c r="BKI6" s="68" t="e" cm="1" vm="1">
        <f t="array" ref="BKI6">_xlfn._xlws.FILTER(TablaProductos[Nombre producto],TablaProductos[Agrupación]=ProductosPivot!BKI5)</f>
        <v>#VALUE!</v>
      </c>
      <c r="BKJ6" s="68" t="e" cm="1" vm="1">
        <f t="array" ref="BKJ6">_xlfn._xlws.FILTER(TablaProductos[Nombre producto],TablaProductos[Agrupación]=ProductosPivot!BKJ5)</f>
        <v>#VALUE!</v>
      </c>
      <c r="BKK6" s="68" t="e" cm="1" vm="1">
        <f t="array" ref="BKK6">_xlfn._xlws.FILTER(TablaProductos[Nombre producto],TablaProductos[Agrupación]=ProductosPivot!BKK5)</f>
        <v>#VALUE!</v>
      </c>
      <c r="BKL6" s="68" t="e" cm="1" vm="1">
        <f t="array" ref="BKL6">_xlfn._xlws.FILTER(TablaProductos[Nombre producto],TablaProductos[Agrupación]=ProductosPivot!BKL5)</f>
        <v>#VALUE!</v>
      </c>
      <c r="BKM6" s="68" t="e" cm="1" vm="1">
        <f t="array" ref="BKM6">_xlfn._xlws.FILTER(TablaProductos[Nombre producto],TablaProductos[Agrupación]=ProductosPivot!BKM5)</f>
        <v>#VALUE!</v>
      </c>
      <c r="BKN6" s="68" t="e" cm="1" vm="1">
        <f t="array" ref="BKN6">_xlfn._xlws.FILTER(TablaProductos[Nombre producto],TablaProductos[Agrupación]=ProductosPivot!BKN5)</f>
        <v>#VALUE!</v>
      </c>
      <c r="BKO6" s="68" t="e" cm="1" vm="1">
        <f t="array" ref="BKO6">_xlfn._xlws.FILTER(TablaProductos[Nombre producto],TablaProductos[Agrupación]=ProductosPivot!BKO5)</f>
        <v>#VALUE!</v>
      </c>
      <c r="BKP6" s="68" t="e" cm="1" vm="1">
        <f t="array" ref="BKP6">_xlfn._xlws.FILTER(TablaProductos[Nombre producto],TablaProductos[Agrupación]=ProductosPivot!BKP5)</f>
        <v>#VALUE!</v>
      </c>
      <c r="BKQ6" s="68" t="e" cm="1" vm="1">
        <f t="array" ref="BKQ6">_xlfn._xlws.FILTER(TablaProductos[Nombre producto],TablaProductos[Agrupación]=ProductosPivot!BKQ5)</f>
        <v>#VALUE!</v>
      </c>
      <c r="BKR6" s="68" t="e" cm="1" vm="1">
        <f t="array" ref="BKR6">_xlfn._xlws.FILTER(TablaProductos[Nombre producto],TablaProductos[Agrupación]=ProductosPivot!BKR5)</f>
        <v>#VALUE!</v>
      </c>
      <c r="BKS6" s="68" t="e" cm="1" vm="1">
        <f t="array" ref="BKS6">_xlfn._xlws.FILTER(TablaProductos[Nombre producto],TablaProductos[Agrupación]=ProductosPivot!BKS5)</f>
        <v>#VALUE!</v>
      </c>
      <c r="BKT6" s="68" t="e" cm="1" vm="1">
        <f t="array" ref="BKT6">_xlfn._xlws.FILTER(TablaProductos[Nombre producto],TablaProductos[Agrupación]=ProductosPivot!BKT5)</f>
        <v>#VALUE!</v>
      </c>
      <c r="BKU6" s="68" t="e" cm="1" vm="1">
        <f t="array" ref="BKU6">_xlfn._xlws.FILTER(TablaProductos[Nombre producto],TablaProductos[Agrupación]=ProductosPivot!BKU5)</f>
        <v>#VALUE!</v>
      </c>
      <c r="BKV6" s="68" t="e" cm="1" vm="1">
        <f t="array" ref="BKV6">_xlfn._xlws.FILTER(TablaProductos[Nombre producto],TablaProductos[Agrupación]=ProductosPivot!BKV5)</f>
        <v>#VALUE!</v>
      </c>
      <c r="BKW6" s="68" t="e" cm="1" vm="1">
        <f t="array" ref="BKW6">_xlfn._xlws.FILTER(TablaProductos[Nombre producto],TablaProductos[Agrupación]=ProductosPivot!BKW5)</f>
        <v>#VALUE!</v>
      </c>
      <c r="BKX6" s="68" t="e" cm="1" vm="1">
        <f t="array" ref="BKX6">_xlfn._xlws.FILTER(TablaProductos[Nombre producto],TablaProductos[Agrupación]=ProductosPivot!BKX5)</f>
        <v>#VALUE!</v>
      </c>
      <c r="BKY6" s="68" t="e" cm="1" vm="1">
        <f t="array" ref="BKY6">_xlfn._xlws.FILTER(TablaProductos[Nombre producto],TablaProductos[Agrupación]=ProductosPivot!BKY5)</f>
        <v>#VALUE!</v>
      </c>
      <c r="BKZ6" s="68" t="e" cm="1" vm="1">
        <f t="array" ref="BKZ6">_xlfn._xlws.FILTER(TablaProductos[Nombre producto],TablaProductos[Agrupación]=ProductosPivot!BKZ5)</f>
        <v>#VALUE!</v>
      </c>
      <c r="BLA6" s="68" t="e" cm="1" vm="1">
        <f t="array" ref="BLA6">_xlfn._xlws.FILTER(TablaProductos[Nombre producto],TablaProductos[Agrupación]=ProductosPivot!BLA5)</f>
        <v>#VALUE!</v>
      </c>
      <c r="BLB6" s="68" t="e" cm="1" vm="1">
        <f t="array" ref="BLB6">_xlfn._xlws.FILTER(TablaProductos[Nombre producto],TablaProductos[Agrupación]=ProductosPivot!BLB5)</f>
        <v>#VALUE!</v>
      </c>
      <c r="BLC6" s="68" t="e" cm="1" vm="1">
        <f t="array" ref="BLC6">_xlfn._xlws.FILTER(TablaProductos[Nombre producto],TablaProductos[Agrupación]=ProductosPivot!BLC5)</f>
        <v>#VALUE!</v>
      </c>
      <c r="BLD6" s="68" t="e" cm="1" vm="1">
        <f t="array" ref="BLD6">_xlfn._xlws.FILTER(TablaProductos[Nombre producto],TablaProductos[Agrupación]=ProductosPivot!BLD5)</f>
        <v>#VALUE!</v>
      </c>
      <c r="BLE6" s="68" t="e" cm="1" vm="1">
        <f t="array" ref="BLE6">_xlfn._xlws.FILTER(TablaProductos[Nombre producto],TablaProductos[Agrupación]=ProductosPivot!BLE5)</f>
        <v>#VALUE!</v>
      </c>
      <c r="BLF6" s="68" t="e" cm="1" vm="1">
        <f t="array" ref="BLF6">_xlfn._xlws.FILTER(TablaProductos[Nombre producto],TablaProductos[Agrupación]=ProductosPivot!BLF5)</f>
        <v>#VALUE!</v>
      </c>
      <c r="BLG6" s="68" t="e" cm="1" vm="1">
        <f t="array" ref="BLG6">_xlfn._xlws.FILTER(TablaProductos[Nombre producto],TablaProductos[Agrupación]=ProductosPivot!BLG5)</f>
        <v>#VALUE!</v>
      </c>
      <c r="BLH6" s="68" t="e" cm="1" vm="1">
        <f t="array" ref="BLH6">_xlfn._xlws.FILTER(TablaProductos[Nombre producto],TablaProductos[Agrupación]=ProductosPivot!BLH5)</f>
        <v>#VALUE!</v>
      </c>
      <c r="BLI6" s="68" t="e" cm="1" vm="1">
        <f t="array" ref="BLI6">_xlfn._xlws.FILTER(TablaProductos[Nombre producto],TablaProductos[Agrupación]=ProductosPivot!BLI5)</f>
        <v>#VALUE!</v>
      </c>
      <c r="BLJ6" s="68" t="e" cm="1" vm="1">
        <f t="array" ref="BLJ6">_xlfn._xlws.FILTER(TablaProductos[Nombre producto],TablaProductos[Agrupación]=ProductosPivot!BLJ5)</f>
        <v>#VALUE!</v>
      </c>
      <c r="BLK6" s="68" t="e" cm="1" vm="1">
        <f t="array" ref="BLK6">_xlfn._xlws.FILTER(TablaProductos[Nombre producto],TablaProductos[Agrupación]=ProductosPivot!BLK5)</f>
        <v>#VALUE!</v>
      </c>
      <c r="BLL6" s="68" t="e" cm="1" vm="1">
        <f t="array" ref="BLL6">_xlfn._xlws.FILTER(TablaProductos[Nombre producto],TablaProductos[Agrupación]=ProductosPivot!BLL5)</f>
        <v>#VALUE!</v>
      </c>
      <c r="BLM6" s="68" t="e" cm="1" vm="1">
        <f t="array" ref="BLM6">_xlfn._xlws.FILTER(TablaProductos[Nombre producto],TablaProductos[Agrupación]=ProductosPivot!BLM5)</f>
        <v>#VALUE!</v>
      </c>
      <c r="BLN6" s="68" t="e" cm="1" vm="1">
        <f t="array" ref="BLN6">_xlfn._xlws.FILTER(TablaProductos[Nombre producto],TablaProductos[Agrupación]=ProductosPivot!BLN5)</f>
        <v>#VALUE!</v>
      </c>
      <c r="BLO6" s="68" t="e" cm="1" vm="1">
        <f t="array" ref="BLO6">_xlfn._xlws.FILTER(TablaProductos[Nombre producto],TablaProductos[Agrupación]=ProductosPivot!BLO5)</f>
        <v>#VALUE!</v>
      </c>
      <c r="BLP6" s="68" t="e" cm="1" vm="1">
        <f t="array" ref="BLP6">_xlfn._xlws.FILTER(TablaProductos[Nombre producto],TablaProductos[Agrupación]=ProductosPivot!BLP5)</f>
        <v>#VALUE!</v>
      </c>
      <c r="BLQ6" s="68" t="e" cm="1" vm="1">
        <f t="array" ref="BLQ6">_xlfn._xlws.FILTER(TablaProductos[Nombre producto],TablaProductos[Agrupación]=ProductosPivot!BLQ5)</f>
        <v>#VALUE!</v>
      </c>
      <c r="BLR6" s="68" t="e" cm="1" vm="1">
        <f t="array" ref="BLR6">_xlfn._xlws.FILTER(TablaProductos[Nombre producto],TablaProductos[Agrupación]=ProductosPivot!BLR5)</f>
        <v>#VALUE!</v>
      </c>
      <c r="BLS6" s="68" t="e" cm="1" vm="1">
        <f t="array" ref="BLS6">_xlfn._xlws.FILTER(TablaProductos[Nombre producto],TablaProductos[Agrupación]=ProductosPivot!BLS5)</f>
        <v>#VALUE!</v>
      </c>
      <c r="BLT6" s="68" t="e" cm="1" vm="1">
        <f t="array" ref="BLT6">_xlfn._xlws.FILTER(TablaProductos[Nombre producto],TablaProductos[Agrupación]=ProductosPivot!BLT5)</f>
        <v>#VALUE!</v>
      </c>
      <c r="BLU6" s="68" t="e" cm="1" vm="1">
        <f t="array" ref="BLU6">_xlfn._xlws.FILTER(TablaProductos[Nombre producto],TablaProductos[Agrupación]=ProductosPivot!BLU5)</f>
        <v>#VALUE!</v>
      </c>
      <c r="BLV6" s="68" t="e" cm="1" vm="1">
        <f t="array" ref="BLV6">_xlfn._xlws.FILTER(TablaProductos[Nombre producto],TablaProductos[Agrupación]=ProductosPivot!BLV5)</f>
        <v>#VALUE!</v>
      </c>
      <c r="BLW6" s="68" t="e" cm="1" vm="1">
        <f t="array" ref="BLW6">_xlfn._xlws.FILTER(TablaProductos[Nombre producto],TablaProductos[Agrupación]=ProductosPivot!BLW5)</f>
        <v>#VALUE!</v>
      </c>
      <c r="BLX6" s="68" t="e" cm="1" vm="1">
        <f t="array" ref="BLX6">_xlfn._xlws.FILTER(TablaProductos[Nombre producto],TablaProductos[Agrupación]=ProductosPivot!BLX5)</f>
        <v>#VALUE!</v>
      </c>
      <c r="BLY6" s="68" t="e" cm="1" vm="1">
        <f t="array" ref="BLY6">_xlfn._xlws.FILTER(TablaProductos[Nombre producto],TablaProductos[Agrupación]=ProductosPivot!BLY5)</f>
        <v>#VALUE!</v>
      </c>
      <c r="BLZ6" s="68" t="e" cm="1" vm="1">
        <f t="array" ref="BLZ6">_xlfn._xlws.FILTER(TablaProductos[Nombre producto],TablaProductos[Agrupación]=ProductosPivot!BLZ5)</f>
        <v>#VALUE!</v>
      </c>
      <c r="BMA6" s="68" t="e" cm="1" vm="1">
        <f t="array" ref="BMA6">_xlfn._xlws.FILTER(TablaProductos[Nombre producto],TablaProductos[Agrupación]=ProductosPivot!BMA5)</f>
        <v>#VALUE!</v>
      </c>
      <c r="BMB6" s="68" t="e" cm="1" vm="1">
        <f t="array" ref="BMB6">_xlfn._xlws.FILTER(TablaProductos[Nombre producto],TablaProductos[Agrupación]=ProductosPivot!BMB5)</f>
        <v>#VALUE!</v>
      </c>
      <c r="BMC6" s="68" t="e" cm="1" vm="1">
        <f t="array" ref="BMC6">_xlfn._xlws.FILTER(TablaProductos[Nombre producto],TablaProductos[Agrupación]=ProductosPivot!BMC5)</f>
        <v>#VALUE!</v>
      </c>
      <c r="BMD6" s="68" t="e" cm="1" vm="1">
        <f t="array" ref="BMD6">_xlfn._xlws.FILTER(TablaProductos[Nombre producto],TablaProductos[Agrupación]=ProductosPivot!BMD5)</f>
        <v>#VALUE!</v>
      </c>
      <c r="BME6" s="68" t="e" cm="1" vm="1">
        <f t="array" ref="BME6">_xlfn._xlws.FILTER(TablaProductos[Nombre producto],TablaProductos[Agrupación]=ProductosPivot!BME5)</f>
        <v>#VALUE!</v>
      </c>
      <c r="BMF6" s="68" t="e" cm="1" vm="1">
        <f t="array" ref="BMF6">_xlfn._xlws.FILTER(TablaProductos[Nombre producto],TablaProductos[Agrupación]=ProductosPivot!BMF5)</f>
        <v>#VALUE!</v>
      </c>
      <c r="BMG6" s="68" t="e" cm="1" vm="1">
        <f t="array" ref="BMG6">_xlfn._xlws.FILTER(TablaProductos[Nombre producto],TablaProductos[Agrupación]=ProductosPivot!BMG5)</f>
        <v>#VALUE!</v>
      </c>
      <c r="BMH6" s="68" t="e" cm="1" vm="1">
        <f t="array" ref="BMH6">_xlfn._xlws.FILTER(TablaProductos[Nombre producto],TablaProductos[Agrupación]=ProductosPivot!BMH5)</f>
        <v>#VALUE!</v>
      </c>
      <c r="BMI6" s="68" t="e" cm="1" vm="1">
        <f t="array" ref="BMI6">_xlfn._xlws.FILTER(TablaProductos[Nombre producto],TablaProductos[Agrupación]=ProductosPivot!BMI5)</f>
        <v>#VALUE!</v>
      </c>
      <c r="BMJ6" s="68" t="e" cm="1" vm="1">
        <f t="array" ref="BMJ6">_xlfn._xlws.FILTER(TablaProductos[Nombre producto],TablaProductos[Agrupación]=ProductosPivot!BMJ5)</f>
        <v>#VALUE!</v>
      </c>
      <c r="BMK6" s="68" t="e" cm="1" vm="1">
        <f t="array" ref="BMK6">_xlfn._xlws.FILTER(TablaProductos[Nombre producto],TablaProductos[Agrupación]=ProductosPivot!BMK5)</f>
        <v>#VALUE!</v>
      </c>
      <c r="BML6" s="68" t="e" cm="1" vm="1">
        <f t="array" ref="BML6">_xlfn._xlws.FILTER(TablaProductos[Nombre producto],TablaProductos[Agrupación]=ProductosPivot!BML5)</f>
        <v>#VALUE!</v>
      </c>
      <c r="BMM6" s="68" t="e" cm="1" vm="1">
        <f t="array" ref="BMM6">_xlfn._xlws.FILTER(TablaProductos[Nombre producto],TablaProductos[Agrupación]=ProductosPivot!BMM5)</f>
        <v>#VALUE!</v>
      </c>
      <c r="BMN6" s="68" t="e" cm="1" vm="1">
        <f t="array" ref="BMN6">_xlfn._xlws.FILTER(TablaProductos[Nombre producto],TablaProductos[Agrupación]=ProductosPivot!BMN5)</f>
        <v>#VALUE!</v>
      </c>
      <c r="BMO6" s="68" t="e" cm="1" vm="1">
        <f t="array" ref="BMO6">_xlfn._xlws.FILTER(TablaProductos[Nombre producto],TablaProductos[Agrupación]=ProductosPivot!BMO5)</f>
        <v>#VALUE!</v>
      </c>
      <c r="BMP6" s="68" t="e" cm="1" vm="1">
        <f t="array" ref="BMP6">_xlfn._xlws.FILTER(TablaProductos[Nombre producto],TablaProductos[Agrupación]=ProductosPivot!BMP5)</f>
        <v>#VALUE!</v>
      </c>
      <c r="BMQ6" s="68" t="e" cm="1" vm="1">
        <f t="array" ref="BMQ6">_xlfn._xlws.FILTER(TablaProductos[Nombre producto],TablaProductos[Agrupación]=ProductosPivot!BMQ5)</f>
        <v>#VALUE!</v>
      </c>
      <c r="BMR6" s="68" t="e" cm="1" vm="1">
        <f t="array" ref="BMR6">_xlfn._xlws.FILTER(TablaProductos[Nombre producto],TablaProductos[Agrupación]=ProductosPivot!BMR5)</f>
        <v>#VALUE!</v>
      </c>
      <c r="BMS6" s="68" t="e" cm="1" vm="1">
        <f t="array" ref="BMS6">_xlfn._xlws.FILTER(TablaProductos[Nombre producto],TablaProductos[Agrupación]=ProductosPivot!BMS5)</f>
        <v>#VALUE!</v>
      </c>
      <c r="BMT6" s="68" t="e" cm="1" vm="1">
        <f t="array" ref="BMT6">_xlfn._xlws.FILTER(TablaProductos[Nombre producto],TablaProductos[Agrupación]=ProductosPivot!BMT5)</f>
        <v>#VALUE!</v>
      </c>
      <c r="BMU6" s="68" t="e" cm="1" vm="1">
        <f t="array" ref="BMU6">_xlfn._xlws.FILTER(TablaProductos[Nombre producto],TablaProductos[Agrupación]=ProductosPivot!BMU5)</f>
        <v>#VALUE!</v>
      </c>
      <c r="BMV6" s="68" t="e" cm="1" vm="1">
        <f t="array" ref="BMV6">_xlfn._xlws.FILTER(TablaProductos[Nombre producto],TablaProductos[Agrupación]=ProductosPivot!BMV5)</f>
        <v>#VALUE!</v>
      </c>
      <c r="BMW6" s="68" t="e" cm="1" vm="1">
        <f t="array" ref="BMW6">_xlfn._xlws.FILTER(TablaProductos[Nombre producto],TablaProductos[Agrupación]=ProductosPivot!BMW5)</f>
        <v>#VALUE!</v>
      </c>
      <c r="BMX6" s="68" t="e" cm="1" vm="1">
        <f t="array" ref="BMX6">_xlfn._xlws.FILTER(TablaProductos[Nombre producto],TablaProductos[Agrupación]=ProductosPivot!BMX5)</f>
        <v>#VALUE!</v>
      </c>
      <c r="BMY6" s="68" t="e" cm="1" vm="1">
        <f t="array" ref="BMY6">_xlfn._xlws.FILTER(TablaProductos[Nombre producto],TablaProductos[Agrupación]=ProductosPivot!BMY5)</f>
        <v>#VALUE!</v>
      </c>
      <c r="BMZ6" s="68" t="e" cm="1" vm="1">
        <f t="array" ref="BMZ6">_xlfn._xlws.FILTER(TablaProductos[Nombre producto],TablaProductos[Agrupación]=ProductosPivot!BMZ5)</f>
        <v>#VALUE!</v>
      </c>
      <c r="BNA6" s="68" t="e" cm="1" vm="1">
        <f t="array" ref="BNA6">_xlfn._xlws.FILTER(TablaProductos[Nombre producto],TablaProductos[Agrupación]=ProductosPivot!BNA5)</f>
        <v>#VALUE!</v>
      </c>
      <c r="BNB6" s="68" t="e" cm="1" vm="1">
        <f t="array" ref="BNB6">_xlfn._xlws.FILTER(TablaProductos[Nombre producto],TablaProductos[Agrupación]=ProductosPivot!BNB5)</f>
        <v>#VALUE!</v>
      </c>
      <c r="BNC6" s="68" t="e" cm="1" vm="1">
        <f t="array" ref="BNC6">_xlfn._xlws.FILTER(TablaProductos[Nombre producto],TablaProductos[Agrupación]=ProductosPivot!BNC5)</f>
        <v>#VALUE!</v>
      </c>
      <c r="BND6" s="68" t="e" cm="1" vm="1">
        <f t="array" ref="BND6">_xlfn._xlws.FILTER(TablaProductos[Nombre producto],TablaProductos[Agrupación]=ProductosPivot!BND5)</f>
        <v>#VALUE!</v>
      </c>
      <c r="BNE6" s="68" t="e" cm="1" vm="1">
        <f t="array" ref="BNE6">_xlfn._xlws.FILTER(TablaProductos[Nombre producto],TablaProductos[Agrupación]=ProductosPivot!BNE5)</f>
        <v>#VALUE!</v>
      </c>
      <c r="BNF6" s="68" t="e" cm="1" vm="1">
        <f t="array" ref="BNF6">_xlfn._xlws.FILTER(TablaProductos[Nombre producto],TablaProductos[Agrupación]=ProductosPivot!BNF5)</f>
        <v>#VALUE!</v>
      </c>
      <c r="BNG6" s="68" t="e" cm="1" vm="1">
        <f t="array" ref="BNG6">_xlfn._xlws.FILTER(TablaProductos[Nombre producto],TablaProductos[Agrupación]=ProductosPivot!BNG5)</f>
        <v>#VALUE!</v>
      </c>
      <c r="BNH6" s="68" t="e" cm="1" vm="1">
        <f t="array" ref="BNH6">_xlfn._xlws.FILTER(TablaProductos[Nombre producto],TablaProductos[Agrupación]=ProductosPivot!BNH5)</f>
        <v>#VALUE!</v>
      </c>
      <c r="BNI6" s="68" t="e" cm="1" vm="1">
        <f t="array" ref="BNI6">_xlfn._xlws.FILTER(TablaProductos[Nombre producto],TablaProductos[Agrupación]=ProductosPivot!BNI5)</f>
        <v>#VALUE!</v>
      </c>
      <c r="BNJ6" s="68" t="e" cm="1" vm="1">
        <f t="array" ref="BNJ6">_xlfn._xlws.FILTER(TablaProductos[Nombre producto],TablaProductos[Agrupación]=ProductosPivot!BNJ5)</f>
        <v>#VALUE!</v>
      </c>
      <c r="BNK6" s="68" t="e" cm="1" vm="1">
        <f t="array" ref="BNK6">_xlfn._xlws.FILTER(TablaProductos[Nombre producto],TablaProductos[Agrupación]=ProductosPivot!BNK5)</f>
        <v>#VALUE!</v>
      </c>
      <c r="BNL6" s="68" t="e" cm="1" vm="1">
        <f t="array" ref="BNL6">_xlfn._xlws.FILTER(TablaProductos[Nombre producto],TablaProductos[Agrupación]=ProductosPivot!BNL5)</f>
        <v>#VALUE!</v>
      </c>
      <c r="BNM6" s="68" t="e" cm="1" vm="1">
        <f t="array" ref="BNM6">_xlfn._xlws.FILTER(TablaProductos[Nombre producto],TablaProductos[Agrupación]=ProductosPivot!BNM5)</f>
        <v>#VALUE!</v>
      </c>
      <c r="BNN6" s="68" t="e" cm="1" vm="1">
        <f t="array" ref="BNN6">_xlfn._xlws.FILTER(TablaProductos[Nombre producto],TablaProductos[Agrupación]=ProductosPivot!BNN5)</f>
        <v>#VALUE!</v>
      </c>
      <c r="BNO6" s="68" t="e" cm="1" vm="1">
        <f t="array" ref="BNO6">_xlfn._xlws.FILTER(TablaProductos[Nombre producto],TablaProductos[Agrupación]=ProductosPivot!BNO5)</f>
        <v>#VALUE!</v>
      </c>
      <c r="BNP6" s="68" t="e" cm="1" vm="1">
        <f t="array" ref="BNP6">_xlfn._xlws.FILTER(TablaProductos[Nombre producto],TablaProductos[Agrupación]=ProductosPivot!BNP5)</f>
        <v>#VALUE!</v>
      </c>
      <c r="BNQ6" s="68" t="e" cm="1" vm="1">
        <f t="array" ref="BNQ6">_xlfn._xlws.FILTER(TablaProductos[Nombre producto],TablaProductos[Agrupación]=ProductosPivot!BNQ5)</f>
        <v>#VALUE!</v>
      </c>
      <c r="BNR6" s="68" t="e" cm="1" vm="1">
        <f t="array" ref="BNR6">_xlfn._xlws.FILTER(TablaProductos[Nombre producto],TablaProductos[Agrupación]=ProductosPivot!BNR5)</f>
        <v>#VALUE!</v>
      </c>
      <c r="BNS6" s="68" t="e" cm="1" vm="1">
        <f t="array" ref="BNS6">_xlfn._xlws.FILTER(TablaProductos[Nombre producto],TablaProductos[Agrupación]=ProductosPivot!BNS5)</f>
        <v>#VALUE!</v>
      </c>
      <c r="BNT6" s="68" t="e" cm="1" vm="1">
        <f t="array" ref="BNT6">_xlfn._xlws.FILTER(TablaProductos[Nombre producto],TablaProductos[Agrupación]=ProductosPivot!BNT5)</f>
        <v>#VALUE!</v>
      </c>
      <c r="BNU6" s="68" t="e" cm="1" vm="1">
        <f t="array" ref="BNU6">_xlfn._xlws.FILTER(TablaProductos[Nombre producto],TablaProductos[Agrupación]=ProductosPivot!BNU5)</f>
        <v>#VALUE!</v>
      </c>
      <c r="BNV6" s="68" t="e" cm="1" vm="1">
        <f t="array" ref="BNV6">_xlfn._xlws.FILTER(TablaProductos[Nombre producto],TablaProductos[Agrupación]=ProductosPivot!BNV5)</f>
        <v>#VALUE!</v>
      </c>
      <c r="BNW6" s="68" t="e" cm="1" vm="1">
        <f t="array" ref="BNW6">_xlfn._xlws.FILTER(TablaProductos[Nombre producto],TablaProductos[Agrupación]=ProductosPivot!BNW5)</f>
        <v>#VALUE!</v>
      </c>
      <c r="BNX6" s="68" t="e" cm="1" vm="1">
        <f t="array" ref="BNX6">_xlfn._xlws.FILTER(TablaProductos[Nombre producto],TablaProductos[Agrupación]=ProductosPivot!BNX5)</f>
        <v>#VALUE!</v>
      </c>
      <c r="BNY6" s="68" t="e" cm="1" vm="1">
        <f t="array" ref="BNY6">_xlfn._xlws.FILTER(TablaProductos[Nombre producto],TablaProductos[Agrupación]=ProductosPivot!BNY5)</f>
        <v>#VALUE!</v>
      </c>
      <c r="BNZ6" s="68" t="e" cm="1" vm="1">
        <f t="array" ref="BNZ6">_xlfn._xlws.FILTER(TablaProductos[Nombre producto],TablaProductos[Agrupación]=ProductosPivot!BNZ5)</f>
        <v>#VALUE!</v>
      </c>
      <c r="BOA6" s="68" t="e" cm="1" vm="1">
        <f t="array" ref="BOA6">_xlfn._xlws.FILTER(TablaProductos[Nombre producto],TablaProductos[Agrupación]=ProductosPivot!BOA5)</f>
        <v>#VALUE!</v>
      </c>
      <c r="BOB6" s="68" t="e" cm="1" vm="1">
        <f t="array" ref="BOB6">_xlfn._xlws.FILTER(TablaProductos[Nombre producto],TablaProductos[Agrupación]=ProductosPivot!BOB5)</f>
        <v>#VALUE!</v>
      </c>
      <c r="BOC6" s="68" t="e" cm="1" vm="1">
        <f t="array" ref="BOC6">_xlfn._xlws.FILTER(TablaProductos[Nombre producto],TablaProductos[Agrupación]=ProductosPivot!BOC5)</f>
        <v>#VALUE!</v>
      </c>
      <c r="BOD6" s="68" t="e" cm="1" vm="1">
        <f t="array" ref="BOD6">_xlfn._xlws.FILTER(TablaProductos[Nombre producto],TablaProductos[Agrupación]=ProductosPivot!BOD5)</f>
        <v>#VALUE!</v>
      </c>
      <c r="BOE6" s="68" t="e" cm="1" vm="1">
        <f t="array" ref="BOE6">_xlfn._xlws.FILTER(TablaProductos[Nombre producto],TablaProductos[Agrupación]=ProductosPivot!BOE5)</f>
        <v>#VALUE!</v>
      </c>
      <c r="BOF6" s="68" t="e" cm="1" vm="1">
        <f t="array" ref="BOF6">_xlfn._xlws.FILTER(TablaProductos[Nombre producto],TablaProductos[Agrupación]=ProductosPivot!BOF5)</f>
        <v>#VALUE!</v>
      </c>
      <c r="BOG6" s="68" t="e" cm="1" vm="1">
        <f t="array" ref="BOG6">_xlfn._xlws.FILTER(TablaProductos[Nombre producto],TablaProductos[Agrupación]=ProductosPivot!BOG5)</f>
        <v>#VALUE!</v>
      </c>
      <c r="BOH6" s="68" t="e" cm="1" vm="1">
        <f t="array" ref="BOH6">_xlfn._xlws.FILTER(TablaProductos[Nombre producto],TablaProductos[Agrupación]=ProductosPivot!BOH5)</f>
        <v>#VALUE!</v>
      </c>
      <c r="BOI6" s="68" t="e" cm="1" vm="1">
        <f t="array" ref="BOI6">_xlfn._xlws.FILTER(TablaProductos[Nombre producto],TablaProductos[Agrupación]=ProductosPivot!BOI5)</f>
        <v>#VALUE!</v>
      </c>
      <c r="BOJ6" s="68" t="e" cm="1" vm="1">
        <f t="array" ref="BOJ6">_xlfn._xlws.FILTER(TablaProductos[Nombre producto],TablaProductos[Agrupación]=ProductosPivot!BOJ5)</f>
        <v>#VALUE!</v>
      </c>
      <c r="BOK6" s="68" t="e" cm="1" vm="1">
        <f t="array" ref="BOK6">_xlfn._xlws.FILTER(TablaProductos[Nombre producto],TablaProductos[Agrupación]=ProductosPivot!BOK5)</f>
        <v>#VALUE!</v>
      </c>
      <c r="BOL6" s="68" t="e" cm="1" vm="1">
        <f t="array" ref="BOL6">_xlfn._xlws.FILTER(TablaProductos[Nombre producto],TablaProductos[Agrupación]=ProductosPivot!BOL5)</f>
        <v>#VALUE!</v>
      </c>
      <c r="BOM6" s="68" t="e" cm="1" vm="1">
        <f t="array" ref="BOM6">_xlfn._xlws.FILTER(TablaProductos[Nombre producto],TablaProductos[Agrupación]=ProductosPivot!BOM5)</f>
        <v>#VALUE!</v>
      </c>
      <c r="BON6" s="68" t="e" cm="1" vm="1">
        <f t="array" ref="BON6">_xlfn._xlws.FILTER(TablaProductos[Nombre producto],TablaProductos[Agrupación]=ProductosPivot!BON5)</f>
        <v>#VALUE!</v>
      </c>
      <c r="BOO6" s="68" t="e" cm="1" vm="1">
        <f t="array" ref="BOO6">_xlfn._xlws.FILTER(TablaProductos[Nombre producto],TablaProductos[Agrupación]=ProductosPivot!BOO5)</f>
        <v>#VALUE!</v>
      </c>
      <c r="BOP6" s="68" t="e" cm="1" vm="1">
        <f t="array" ref="BOP6">_xlfn._xlws.FILTER(TablaProductos[Nombre producto],TablaProductos[Agrupación]=ProductosPivot!BOP5)</f>
        <v>#VALUE!</v>
      </c>
      <c r="BOQ6" s="68" t="e" cm="1" vm="1">
        <f t="array" ref="BOQ6">_xlfn._xlws.FILTER(TablaProductos[Nombre producto],TablaProductos[Agrupación]=ProductosPivot!BOQ5)</f>
        <v>#VALUE!</v>
      </c>
      <c r="BOR6" s="68" t="e" cm="1" vm="1">
        <f t="array" ref="BOR6">_xlfn._xlws.FILTER(TablaProductos[Nombre producto],TablaProductos[Agrupación]=ProductosPivot!BOR5)</f>
        <v>#VALUE!</v>
      </c>
      <c r="BOS6" s="68" t="e" cm="1" vm="1">
        <f t="array" ref="BOS6">_xlfn._xlws.FILTER(TablaProductos[Nombre producto],TablaProductos[Agrupación]=ProductosPivot!BOS5)</f>
        <v>#VALUE!</v>
      </c>
      <c r="BOT6" s="68" t="e" cm="1" vm="1">
        <f t="array" ref="BOT6">_xlfn._xlws.FILTER(TablaProductos[Nombre producto],TablaProductos[Agrupación]=ProductosPivot!BOT5)</f>
        <v>#VALUE!</v>
      </c>
      <c r="BOU6" s="68" t="e" cm="1" vm="1">
        <f t="array" ref="BOU6">_xlfn._xlws.FILTER(TablaProductos[Nombre producto],TablaProductos[Agrupación]=ProductosPivot!BOU5)</f>
        <v>#VALUE!</v>
      </c>
      <c r="BOV6" s="68" t="e" cm="1" vm="1">
        <f t="array" ref="BOV6">_xlfn._xlws.FILTER(TablaProductos[Nombre producto],TablaProductos[Agrupación]=ProductosPivot!BOV5)</f>
        <v>#VALUE!</v>
      </c>
      <c r="BOW6" s="68" t="e" cm="1" vm="1">
        <f t="array" ref="BOW6">_xlfn._xlws.FILTER(TablaProductos[Nombre producto],TablaProductos[Agrupación]=ProductosPivot!BOW5)</f>
        <v>#VALUE!</v>
      </c>
      <c r="BOX6" s="68" t="e" cm="1" vm="1">
        <f t="array" ref="BOX6">_xlfn._xlws.FILTER(TablaProductos[Nombre producto],TablaProductos[Agrupación]=ProductosPivot!BOX5)</f>
        <v>#VALUE!</v>
      </c>
      <c r="BOY6" s="68" t="e" cm="1" vm="1">
        <f t="array" ref="BOY6">_xlfn._xlws.FILTER(TablaProductos[Nombre producto],TablaProductos[Agrupación]=ProductosPivot!BOY5)</f>
        <v>#VALUE!</v>
      </c>
      <c r="BOZ6" s="68" t="e" cm="1" vm="1">
        <f t="array" ref="BOZ6">_xlfn._xlws.FILTER(TablaProductos[Nombre producto],TablaProductos[Agrupación]=ProductosPivot!BOZ5)</f>
        <v>#VALUE!</v>
      </c>
      <c r="BPA6" s="68" t="e" cm="1" vm="1">
        <f t="array" ref="BPA6">_xlfn._xlws.FILTER(TablaProductos[Nombre producto],TablaProductos[Agrupación]=ProductosPivot!BPA5)</f>
        <v>#VALUE!</v>
      </c>
      <c r="BPB6" s="68" t="e" cm="1" vm="1">
        <f t="array" ref="BPB6">_xlfn._xlws.FILTER(TablaProductos[Nombre producto],TablaProductos[Agrupación]=ProductosPivot!BPB5)</f>
        <v>#VALUE!</v>
      </c>
      <c r="BPC6" s="68" t="e" cm="1" vm="1">
        <f t="array" ref="BPC6">_xlfn._xlws.FILTER(TablaProductos[Nombre producto],TablaProductos[Agrupación]=ProductosPivot!BPC5)</f>
        <v>#VALUE!</v>
      </c>
      <c r="BPD6" s="68" t="e" cm="1" vm="1">
        <f t="array" ref="BPD6">_xlfn._xlws.FILTER(TablaProductos[Nombre producto],TablaProductos[Agrupación]=ProductosPivot!BPD5)</f>
        <v>#VALUE!</v>
      </c>
      <c r="BPE6" s="68" t="e" cm="1" vm="1">
        <f t="array" ref="BPE6">_xlfn._xlws.FILTER(TablaProductos[Nombre producto],TablaProductos[Agrupación]=ProductosPivot!BPE5)</f>
        <v>#VALUE!</v>
      </c>
      <c r="BPF6" s="68" t="e" cm="1" vm="1">
        <f t="array" ref="BPF6">_xlfn._xlws.FILTER(TablaProductos[Nombre producto],TablaProductos[Agrupación]=ProductosPivot!BPF5)</f>
        <v>#VALUE!</v>
      </c>
      <c r="BPG6" s="68" t="e" cm="1" vm="1">
        <f t="array" ref="BPG6">_xlfn._xlws.FILTER(TablaProductos[Nombre producto],TablaProductos[Agrupación]=ProductosPivot!BPG5)</f>
        <v>#VALUE!</v>
      </c>
      <c r="BPH6" s="68" t="e" cm="1" vm="1">
        <f t="array" ref="BPH6">_xlfn._xlws.FILTER(TablaProductos[Nombre producto],TablaProductos[Agrupación]=ProductosPivot!BPH5)</f>
        <v>#VALUE!</v>
      </c>
      <c r="BPI6" s="68" t="e" cm="1" vm="1">
        <f t="array" ref="BPI6">_xlfn._xlws.FILTER(TablaProductos[Nombre producto],TablaProductos[Agrupación]=ProductosPivot!BPI5)</f>
        <v>#VALUE!</v>
      </c>
      <c r="BPJ6" s="68" t="e" cm="1" vm="1">
        <f t="array" ref="BPJ6">_xlfn._xlws.FILTER(TablaProductos[Nombre producto],TablaProductos[Agrupación]=ProductosPivot!BPJ5)</f>
        <v>#VALUE!</v>
      </c>
      <c r="BPK6" s="68" t="e" cm="1" vm="1">
        <f t="array" ref="BPK6">_xlfn._xlws.FILTER(TablaProductos[Nombre producto],TablaProductos[Agrupación]=ProductosPivot!BPK5)</f>
        <v>#VALUE!</v>
      </c>
      <c r="BPL6" s="68" t="e" cm="1" vm="1">
        <f t="array" ref="BPL6">_xlfn._xlws.FILTER(TablaProductos[Nombre producto],TablaProductos[Agrupación]=ProductosPivot!BPL5)</f>
        <v>#VALUE!</v>
      </c>
      <c r="BPM6" s="68" t="e" cm="1" vm="1">
        <f t="array" ref="BPM6">_xlfn._xlws.FILTER(TablaProductos[Nombre producto],TablaProductos[Agrupación]=ProductosPivot!BPM5)</f>
        <v>#VALUE!</v>
      </c>
      <c r="BPN6" s="68" t="e" cm="1" vm="1">
        <f t="array" ref="BPN6">_xlfn._xlws.FILTER(TablaProductos[Nombre producto],TablaProductos[Agrupación]=ProductosPivot!BPN5)</f>
        <v>#VALUE!</v>
      </c>
      <c r="BPO6" s="68" t="e" cm="1" vm="1">
        <f t="array" ref="BPO6">_xlfn._xlws.FILTER(TablaProductos[Nombre producto],TablaProductos[Agrupación]=ProductosPivot!BPO5)</f>
        <v>#VALUE!</v>
      </c>
      <c r="BPP6" s="68" t="e" cm="1" vm="1">
        <f t="array" ref="BPP6">_xlfn._xlws.FILTER(TablaProductos[Nombre producto],TablaProductos[Agrupación]=ProductosPivot!BPP5)</f>
        <v>#VALUE!</v>
      </c>
      <c r="BPQ6" s="68" t="e" cm="1" vm="1">
        <f t="array" ref="BPQ6">_xlfn._xlws.FILTER(TablaProductos[Nombre producto],TablaProductos[Agrupación]=ProductosPivot!BPQ5)</f>
        <v>#VALUE!</v>
      </c>
      <c r="BPR6" s="68" t="e" cm="1" vm="1">
        <f t="array" ref="BPR6">_xlfn._xlws.FILTER(TablaProductos[Nombre producto],TablaProductos[Agrupación]=ProductosPivot!BPR5)</f>
        <v>#VALUE!</v>
      </c>
      <c r="BPS6" s="68" t="e" cm="1" vm="1">
        <f t="array" ref="BPS6">_xlfn._xlws.FILTER(TablaProductos[Nombre producto],TablaProductos[Agrupación]=ProductosPivot!BPS5)</f>
        <v>#VALUE!</v>
      </c>
      <c r="BPT6" s="68" t="e" cm="1" vm="1">
        <f t="array" ref="BPT6">_xlfn._xlws.FILTER(TablaProductos[Nombre producto],TablaProductos[Agrupación]=ProductosPivot!BPT5)</f>
        <v>#VALUE!</v>
      </c>
      <c r="BPU6" s="68" t="e" cm="1" vm="1">
        <f t="array" ref="BPU6">_xlfn._xlws.FILTER(TablaProductos[Nombre producto],TablaProductos[Agrupación]=ProductosPivot!BPU5)</f>
        <v>#VALUE!</v>
      </c>
      <c r="BPV6" s="68" t="e" cm="1" vm="1">
        <f t="array" ref="BPV6">_xlfn._xlws.FILTER(TablaProductos[Nombre producto],TablaProductos[Agrupación]=ProductosPivot!BPV5)</f>
        <v>#VALUE!</v>
      </c>
      <c r="BPW6" s="68" t="e" cm="1" vm="1">
        <f t="array" ref="BPW6">_xlfn._xlws.FILTER(TablaProductos[Nombre producto],TablaProductos[Agrupación]=ProductosPivot!BPW5)</f>
        <v>#VALUE!</v>
      </c>
      <c r="BPX6" s="68" t="e" cm="1" vm="1">
        <f t="array" ref="BPX6">_xlfn._xlws.FILTER(TablaProductos[Nombre producto],TablaProductos[Agrupación]=ProductosPivot!BPX5)</f>
        <v>#VALUE!</v>
      </c>
      <c r="BPY6" s="68" t="e" cm="1" vm="1">
        <f t="array" ref="BPY6">_xlfn._xlws.FILTER(TablaProductos[Nombre producto],TablaProductos[Agrupación]=ProductosPivot!BPY5)</f>
        <v>#VALUE!</v>
      </c>
      <c r="BPZ6" s="68" t="e" cm="1" vm="1">
        <f t="array" ref="BPZ6">_xlfn._xlws.FILTER(TablaProductos[Nombre producto],TablaProductos[Agrupación]=ProductosPivot!BPZ5)</f>
        <v>#VALUE!</v>
      </c>
      <c r="BQA6" s="68" t="e" cm="1" vm="1">
        <f t="array" ref="BQA6">_xlfn._xlws.FILTER(TablaProductos[Nombre producto],TablaProductos[Agrupación]=ProductosPivot!BQA5)</f>
        <v>#VALUE!</v>
      </c>
      <c r="BQB6" s="68" t="e" cm="1" vm="1">
        <f t="array" ref="BQB6">_xlfn._xlws.FILTER(TablaProductos[Nombre producto],TablaProductos[Agrupación]=ProductosPivot!BQB5)</f>
        <v>#VALUE!</v>
      </c>
      <c r="BQC6" s="68" t="e" cm="1" vm="1">
        <f t="array" ref="BQC6">_xlfn._xlws.FILTER(TablaProductos[Nombre producto],TablaProductos[Agrupación]=ProductosPivot!BQC5)</f>
        <v>#VALUE!</v>
      </c>
      <c r="BQD6" s="68" t="e" cm="1" vm="1">
        <f t="array" ref="BQD6">_xlfn._xlws.FILTER(TablaProductos[Nombre producto],TablaProductos[Agrupación]=ProductosPivot!BQD5)</f>
        <v>#VALUE!</v>
      </c>
      <c r="BQE6" s="68" t="e" cm="1" vm="1">
        <f t="array" ref="BQE6">_xlfn._xlws.FILTER(TablaProductos[Nombre producto],TablaProductos[Agrupación]=ProductosPivot!BQE5)</f>
        <v>#VALUE!</v>
      </c>
      <c r="BQF6" s="68" t="e" cm="1" vm="1">
        <f t="array" ref="BQF6">_xlfn._xlws.FILTER(TablaProductos[Nombre producto],TablaProductos[Agrupación]=ProductosPivot!BQF5)</f>
        <v>#VALUE!</v>
      </c>
      <c r="BQG6" s="68" t="e" cm="1" vm="1">
        <f t="array" ref="BQG6">_xlfn._xlws.FILTER(TablaProductos[Nombre producto],TablaProductos[Agrupación]=ProductosPivot!BQG5)</f>
        <v>#VALUE!</v>
      </c>
      <c r="BQH6" s="68" t="e" cm="1" vm="1">
        <f t="array" ref="BQH6">_xlfn._xlws.FILTER(TablaProductos[Nombre producto],TablaProductos[Agrupación]=ProductosPivot!BQH5)</f>
        <v>#VALUE!</v>
      </c>
      <c r="BQI6" s="68" t="e" cm="1" vm="1">
        <f t="array" ref="BQI6">_xlfn._xlws.FILTER(TablaProductos[Nombre producto],TablaProductos[Agrupación]=ProductosPivot!BQI5)</f>
        <v>#VALUE!</v>
      </c>
      <c r="BQJ6" s="68" t="e" cm="1" vm="1">
        <f t="array" ref="BQJ6">_xlfn._xlws.FILTER(TablaProductos[Nombre producto],TablaProductos[Agrupación]=ProductosPivot!BQJ5)</f>
        <v>#VALUE!</v>
      </c>
      <c r="BQK6" s="68" t="e" cm="1" vm="1">
        <f t="array" ref="BQK6">_xlfn._xlws.FILTER(TablaProductos[Nombre producto],TablaProductos[Agrupación]=ProductosPivot!BQK5)</f>
        <v>#VALUE!</v>
      </c>
      <c r="BQL6" s="68" t="e" cm="1" vm="1">
        <f t="array" ref="BQL6">_xlfn._xlws.FILTER(TablaProductos[Nombre producto],TablaProductos[Agrupación]=ProductosPivot!BQL5)</f>
        <v>#VALUE!</v>
      </c>
      <c r="BQM6" s="68" t="e" cm="1" vm="1">
        <f t="array" ref="BQM6">_xlfn._xlws.FILTER(TablaProductos[Nombre producto],TablaProductos[Agrupación]=ProductosPivot!BQM5)</f>
        <v>#VALUE!</v>
      </c>
      <c r="BQN6" s="68" t="e" cm="1" vm="1">
        <f t="array" ref="BQN6">_xlfn._xlws.FILTER(TablaProductos[Nombre producto],TablaProductos[Agrupación]=ProductosPivot!BQN5)</f>
        <v>#VALUE!</v>
      </c>
      <c r="BQO6" s="68" t="e" cm="1" vm="1">
        <f t="array" ref="BQO6">_xlfn._xlws.FILTER(TablaProductos[Nombre producto],TablaProductos[Agrupación]=ProductosPivot!BQO5)</f>
        <v>#VALUE!</v>
      </c>
      <c r="BQP6" s="68" t="e" cm="1" vm="1">
        <f t="array" ref="BQP6">_xlfn._xlws.FILTER(TablaProductos[Nombre producto],TablaProductos[Agrupación]=ProductosPivot!BQP5)</f>
        <v>#VALUE!</v>
      </c>
      <c r="BQQ6" s="68" t="e" cm="1" vm="1">
        <f t="array" ref="BQQ6">_xlfn._xlws.FILTER(TablaProductos[Nombre producto],TablaProductos[Agrupación]=ProductosPivot!BQQ5)</f>
        <v>#VALUE!</v>
      </c>
      <c r="BQR6" s="68" t="e" cm="1" vm="1">
        <f t="array" ref="BQR6">_xlfn._xlws.FILTER(TablaProductos[Nombre producto],TablaProductos[Agrupación]=ProductosPivot!BQR5)</f>
        <v>#VALUE!</v>
      </c>
      <c r="BQS6" s="68" t="e" cm="1" vm="1">
        <f t="array" ref="BQS6">_xlfn._xlws.FILTER(TablaProductos[Nombre producto],TablaProductos[Agrupación]=ProductosPivot!BQS5)</f>
        <v>#VALUE!</v>
      </c>
      <c r="BQT6" s="68" t="e" cm="1" vm="1">
        <f t="array" ref="BQT6">_xlfn._xlws.FILTER(TablaProductos[Nombre producto],TablaProductos[Agrupación]=ProductosPivot!BQT5)</f>
        <v>#VALUE!</v>
      </c>
      <c r="BQU6" s="68" t="e" cm="1" vm="1">
        <f t="array" ref="BQU6">_xlfn._xlws.FILTER(TablaProductos[Nombre producto],TablaProductos[Agrupación]=ProductosPivot!BQU5)</f>
        <v>#VALUE!</v>
      </c>
      <c r="BQV6" s="68" t="e" cm="1" vm="1">
        <f t="array" ref="BQV6">_xlfn._xlws.FILTER(TablaProductos[Nombre producto],TablaProductos[Agrupación]=ProductosPivot!BQV5)</f>
        <v>#VALUE!</v>
      </c>
      <c r="BQW6" s="68" t="e" cm="1" vm="1">
        <f t="array" ref="BQW6">_xlfn._xlws.FILTER(TablaProductos[Nombre producto],TablaProductos[Agrupación]=ProductosPivot!BQW5)</f>
        <v>#VALUE!</v>
      </c>
      <c r="BQX6" s="68" t="e" cm="1" vm="1">
        <f t="array" ref="BQX6">_xlfn._xlws.FILTER(TablaProductos[Nombre producto],TablaProductos[Agrupación]=ProductosPivot!BQX5)</f>
        <v>#VALUE!</v>
      </c>
      <c r="BQY6" s="68" t="e" cm="1" vm="1">
        <f t="array" ref="BQY6">_xlfn._xlws.FILTER(TablaProductos[Nombre producto],TablaProductos[Agrupación]=ProductosPivot!BQY5)</f>
        <v>#VALUE!</v>
      </c>
      <c r="BQZ6" s="68" t="e" cm="1" vm="1">
        <f t="array" ref="BQZ6">_xlfn._xlws.FILTER(TablaProductos[Nombre producto],TablaProductos[Agrupación]=ProductosPivot!BQZ5)</f>
        <v>#VALUE!</v>
      </c>
      <c r="BRA6" s="68" t="e" cm="1" vm="1">
        <f t="array" ref="BRA6">_xlfn._xlws.FILTER(TablaProductos[Nombre producto],TablaProductos[Agrupación]=ProductosPivot!BRA5)</f>
        <v>#VALUE!</v>
      </c>
      <c r="BRB6" s="68" t="e" cm="1" vm="1">
        <f t="array" ref="BRB6">_xlfn._xlws.FILTER(TablaProductos[Nombre producto],TablaProductos[Agrupación]=ProductosPivot!BRB5)</f>
        <v>#VALUE!</v>
      </c>
      <c r="BRC6" s="68" t="e" cm="1" vm="1">
        <f t="array" ref="BRC6">_xlfn._xlws.FILTER(TablaProductos[Nombre producto],TablaProductos[Agrupación]=ProductosPivot!BRC5)</f>
        <v>#VALUE!</v>
      </c>
      <c r="BRD6" s="68" t="e" cm="1" vm="1">
        <f t="array" ref="BRD6">_xlfn._xlws.FILTER(TablaProductos[Nombre producto],TablaProductos[Agrupación]=ProductosPivot!BRD5)</f>
        <v>#VALUE!</v>
      </c>
      <c r="BRE6" s="68" t="e" cm="1" vm="1">
        <f t="array" ref="BRE6">_xlfn._xlws.FILTER(TablaProductos[Nombre producto],TablaProductos[Agrupación]=ProductosPivot!BRE5)</f>
        <v>#VALUE!</v>
      </c>
      <c r="BRF6" s="68" t="e" cm="1" vm="1">
        <f t="array" ref="BRF6">_xlfn._xlws.FILTER(TablaProductos[Nombre producto],TablaProductos[Agrupación]=ProductosPivot!BRF5)</f>
        <v>#VALUE!</v>
      </c>
      <c r="BRG6" s="68" t="e" cm="1" vm="1">
        <f t="array" ref="BRG6">_xlfn._xlws.FILTER(TablaProductos[Nombre producto],TablaProductos[Agrupación]=ProductosPivot!BRG5)</f>
        <v>#VALUE!</v>
      </c>
      <c r="BRH6" s="68" t="e" cm="1" vm="1">
        <f t="array" ref="BRH6">_xlfn._xlws.FILTER(TablaProductos[Nombre producto],TablaProductos[Agrupación]=ProductosPivot!BRH5)</f>
        <v>#VALUE!</v>
      </c>
      <c r="BRI6" s="68" t="e" cm="1" vm="1">
        <f t="array" ref="BRI6">_xlfn._xlws.FILTER(TablaProductos[Nombre producto],TablaProductos[Agrupación]=ProductosPivot!BRI5)</f>
        <v>#VALUE!</v>
      </c>
      <c r="BRJ6" s="68" t="e" cm="1" vm="1">
        <f t="array" ref="BRJ6">_xlfn._xlws.FILTER(TablaProductos[Nombre producto],TablaProductos[Agrupación]=ProductosPivot!BRJ5)</f>
        <v>#VALUE!</v>
      </c>
      <c r="BRK6" s="68" t="e" cm="1" vm="1">
        <f t="array" ref="BRK6">_xlfn._xlws.FILTER(TablaProductos[Nombre producto],TablaProductos[Agrupación]=ProductosPivot!BRK5)</f>
        <v>#VALUE!</v>
      </c>
      <c r="BRL6" s="68" t="e" cm="1" vm="1">
        <f t="array" ref="BRL6">_xlfn._xlws.FILTER(TablaProductos[Nombre producto],TablaProductos[Agrupación]=ProductosPivot!BRL5)</f>
        <v>#VALUE!</v>
      </c>
      <c r="BRM6" s="68" t="e" cm="1" vm="1">
        <f t="array" ref="BRM6">_xlfn._xlws.FILTER(TablaProductos[Nombre producto],TablaProductos[Agrupación]=ProductosPivot!BRM5)</f>
        <v>#VALUE!</v>
      </c>
      <c r="BRN6" s="68" t="e" cm="1" vm="1">
        <f t="array" ref="BRN6">_xlfn._xlws.FILTER(TablaProductos[Nombre producto],TablaProductos[Agrupación]=ProductosPivot!BRN5)</f>
        <v>#VALUE!</v>
      </c>
      <c r="BRO6" s="68" t="e" cm="1" vm="1">
        <f t="array" ref="BRO6">_xlfn._xlws.FILTER(TablaProductos[Nombre producto],TablaProductos[Agrupación]=ProductosPivot!BRO5)</f>
        <v>#VALUE!</v>
      </c>
      <c r="BRP6" s="68" t="e" cm="1" vm="1">
        <f t="array" ref="BRP6">_xlfn._xlws.FILTER(TablaProductos[Nombre producto],TablaProductos[Agrupación]=ProductosPivot!BRP5)</f>
        <v>#VALUE!</v>
      </c>
      <c r="BRQ6" s="68" t="e" cm="1" vm="1">
        <f t="array" ref="BRQ6">_xlfn._xlws.FILTER(TablaProductos[Nombre producto],TablaProductos[Agrupación]=ProductosPivot!BRQ5)</f>
        <v>#VALUE!</v>
      </c>
      <c r="BRR6" s="68" t="e" cm="1" vm="1">
        <f t="array" ref="BRR6">_xlfn._xlws.FILTER(TablaProductos[Nombre producto],TablaProductos[Agrupación]=ProductosPivot!BRR5)</f>
        <v>#VALUE!</v>
      </c>
      <c r="BRS6" s="68" t="e" cm="1" vm="1">
        <f t="array" ref="BRS6">_xlfn._xlws.FILTER(TablaProductos[Nombre producto],TablaProductos[Agrupación]=ProductosPivot!BRS5)</f>
        <v>#VALUE!</v>
      </c>
      <c r="BRT6" s="68" t="e" cm="1" vm="1">
        <f t="array" ref="BRT6">_xlfn._xlws.FILTER(TablaProductos[Nombre producto],TablaProductos[Agrupación]=ProductosPivot!BRT5)</f>
        <v>#VALUE!</v>
      </c>
      <c r="BRU6" s="68" t="e" cm="1" vm="1">
        <f t="array" ref="BRU6">_xlfn._xlws.FILTER(TablaProductos[Nombre producto],TablaProductos[Agrupación]=ProductosPivot!BRU5)</f>
        <v>#VALUE!</v>
      </c>
      <c r="BRV6" s="68" t="e" cm="1" vm="1">
        <f t="array" ref="BRV6">_xlfn._xlws.FILTER(TablaProductos[Nombre producto],TablaProductos[Agrupación]=ProductosPivot!BRV5)</f>
        <v>#VALUE!</v>
      </c>
      <c r="BRW6" s="68" t="e" cm="1" vm="1">
        <f t="array" ref="BRW6">_xlfn._xlws.FILTER(TablaProductos[Nombre producto],TablaProductos[Agrupación]=ProductosPivot!BRW5)</f>
        <v>#VALUE!</v>
      </c>
      <c r="BRX6" s="68" t="e" cm="1" vm="1">
        <f t="array" ref="BRX6">_xlfn._xlws.FILTER(TablaProductos[Nombre producto],TablaProductos[Agrupación]=ProductosPivot!BRX5)</f>
        <v>#VALUE!</v>
      </c>
      <c r="BRY6" s="68" t="e" cm="1" vm="1">
        <f t="array" ref="BRY6">_xlfn._xlws.FILTER(TablaProductos[Nombre producto],TablaProductos[Agrupación]=ProductosPivot!BRY5)</f>
        <v>#VALUE!</v>
      </c>
      <c r="BRZ6" s="68" t="e" cm="1" vm="1">
        <f t="array" ref="BRZ6">_xlfn._xlws.FILTER(TablaProductos[Nombre producto],TablaProductos[Agrupación]=ProductosPivot!BRZ5)</f>
        <v>#VALUE!</v>
      </c>
      <c r="BSA6" s="68" t="e" cm="1" vm="1">
        <f t="array" ref="BSA6">_xlfn._xlws.FILTER(TablaProductos[Nombre producto],TablaProductos[Agrupación]=ProductosPivot!BSA5)</f>
        <v>#VALUE!</v>
      </c>
      <c r="BSB6" s="68" t="e" cm="1" vm="1">
        <f t="array" ref="BSB6">_xlfn._xlws.FILTER(TablaProductos[Nombre producto],TablaProductos[Agrupación]=ProductosPivot!BSB5)</f>
        <v>#VALUE!</v>
      </c>
      <c r="BSC6" s="68" t="e" cm="1" vm="1">
        <f t="array" ref="BSC6">_xlfn._xlws.FILTER(TablaProductos[Nombre producto],TablaProductos[Agrupación]=ProductosPivot!BSC5)</f>
        <v>#VALUE!</v>
      </c>
      <c r="BSD6" s="68" t="e" cm="1" vm="1">
        <f t="array" ref="BSD6">_xlfn._xlws.FILTER(TablaProductos[Nombre producto],TablaProductos[Agrupación]=ProductosPivot!BSD5)</f>
        <v>#VALUE!</v>
      </c>
      <c r="BSE6" s="68" t="e" cm="1" vm="1">
        <f t="array" ref="BSE6">_xlfn._xlws.FILTER(TablaProductos[Nombre producto],TablaProductos[Agrupación]=ProductosPivot!BSE5)</f>
        <v>#VALUE!</v>
      </c>
      <c r="BSF6" s="68" t="e" cm="1" vm="1">
        <f t="array" ref="BSF6">_xlfn._xlws.FILTER(TablaProductos[Nombre producto],TablaProductos[Agrupación]=ProductosPivot!BSF5)</f>
        <v>#VALUE!</v>
      </c>
      <c r="BSG6" s="68" t="e" cm="1" vm="1">
        <f t="array" ref="BSG6">_xlfn._xlws.FILTER(TablaProductos[Nombre producto],TablaProductos[Agrupación]=ProductosPivot!BSG5)</f>
        <v>#VALUE!</v>
      </c>
      <c r="BSH6" s="68" t="e" cm="1" vm="1">
        <f t="array" ref="BSH6">_xlfn._xlws.FILTER(TablaProductos[Nombre producto],TablaProductos[Agrupación]=ProductosPivot!BSH5)</f>
        <v>#VALUE!</v>
      </c>
      <c r="BSI6" s="68" t="e" cm="1" vm="1">
        <f t="array" ref="BSI6">_xlfn._xlws.FILTER(TablaProductos[Nombre producto],TablaProductos[Agrupación]=ProductosPivot!BSI5)</f>
        <v>#VALUE!</v>
      </c>
      <c r="BSJ6" s="68" t="e" cm="1" vm="1">
        <f t="array" ref="BSJ6">_xlfn._xlws.FILTER(TablaProductos[Nombre producto],TablaProductos[Agrupación]=ProductosPivot!BSJ5)</f>
        <v>#VALUE!</v>
      </c>
      <c r="BSK6" s="68" t="e" cm="1" vm="1">
        <f t="array" ref="BSK6">_xlfn._xlws.FILTER(TablaProductos[Nombre producto],TablaProductos[Agrupación]=ProductosPivot!BSK5)</f>
        <v>#VALUE!</v>
      </c>
      <c r="BSL6" s="68" t="e" cm="1" vm="1">
        <f t="array" ref="BSL6">_xlfn._xlws.FILTER(TablaProductos[Nombre producto],TablaProductos[Agrupación]=ProductosPivot!BSL5)</f>
        <v>#VALUE!</v>
      </c>
      <c r="BSM6" s="68" t="e" cm="1" vm="1">
        <f t="array" ref="BSM6">_xlfn._xlws.FILTER(TablaProductos[Nombre producto],TablaProductos[Agrupación]=ProductosPivot!BSM5)</f>
        <v>#VALUE!</v>
      </c>
      <c r="BSN6" s="68" t="e" cm="1" vm="1">
        <f t="array" ref="BSN6">_xlfn._xlws.FILTER(TablaProductos[Nombre producto],TablaProductos[Agrupación]=ProductosPivot!BSN5)</f>
        <v>#VALUE!</v>
      </c>
      <c r="BSO6" s="68" t="e" cm="1" vm="1">
        <f t="array" ref="BSO6">_xlfn._xlws.FILTER(TablaProductos[Nombre producto],TablaProductos[Agrupación]=ProductosPivot!BSO5)</f>
        <v>#VALUE!</v>
      </c>
      <c r="BSP6" s="68" t="e" cm="1" vm="1">
        <f t="array" ref="BSP6">_xlfn._xlws.FILTER(TablaProductos[Nombre producto],TablaProductos[Agrupación]=ProductosPivot!BSP5)</f>
        <v>#VALUE!</v>
      </c>
      <c r="BSQ6" s="68" t="e" cm="1" vm="1">
        <f t="array" ref="BSQ6">_xlfn._xlws.FILTER(TablaProductos[Nombre producto],TablaProductos[Agrupación]=ProductosPivot!BSQ5)</f>
        <v>#VALUE!</v>
      </c>
      <c r="BSR6" s="68" t="e" cm="1" vm="1">
        <f t="array" ref="BSR6">_xlfn._xlws.FILTER(TablaProductos[Nombre producto],TablaProductos[Agrupación]=ProductosPivot!BSR5)</f>
        <v>#VALUE!</v>
      </c>
      <c r="BSS6" s="68" t="e" cm="1" vm="1">
        <f t="array" ref="BSS6">_xlfn._xlws.FILTER(TablaProductos[Nombre producto],TablaProductos[Agrupación]=ProductosPivot!BSS5)</f>
        <v>#VALUE!</v>
      </c>
      <c r="BST6" s="68" t="e" cm="1" vm="1">
        <f t="array" ref="BST6">_xlfn._xlws.FILTER(TablaProductos[Nombre producto],TablaProductos[Agrupación]=ProductosPivot!BST5)</f>
        <v>#VALUE!</v>
      </c>
      <c r="BSU6" s="68" t="e" cm="1" vm="1">
        <f t="array" ref="BSU6">_xlfn._xlws.FILTER(TablaProductos[Nombre producto],TablaProductos[Agrupación]=ProductosPivot!BSU5)</f>
        <v>#VALUE!</v>
      </c>
      <c r="BSV6" s="68" t="e" cm="1" vm="1">
        <f t="array" ref="BSV6">_xlfn._xlws.FILTER(TablaProductos[Nombre producto],TablaProductos[Agrupación]=ProductosPivot!BSV5)</f>
        <v>#VALUE!</v>
      </c>
      <c r="BSW6" s="68" t="e" cm="1" vm="1">
        <f t="array" ref="BSW6">_xlfn._xlws.FILTER(TablaProductos[Nombre producto],TablaProductos[Agrupación]=ProductosPivot!BSW5)</f>
        <v>#VALUE!</v>
      </c>
      <c r="BSX6" s="68" t="e" cm="1" vm="1">
        <f t="array" ref="BSX6">_xlfn._xlws.FILTER(TablaProductos[Nombre producto],TablaProductos[Agrupación]=ProductosPivot!BSX5)</f>
        <v>#VALUE!</v>
      </c>
      <c r="BSY6" s="68" t="e" cm="1" vm="1">
        <f t="array" ref="BSY6">_xlfn._xlws.FILTER(TablaProductos[Nombre producto],TablaProductos[Agrupación]=ProductosPivot!BSY5)</f>
        <v>#VALUE!</v>
      </c>
      <c r="BSZ6" s="68" t="e" cm="1" vm="1">
        <f t="array" ref="BSZ6">_xlfn._xlws.FILTER(TablaProductos[Nombre producto],TablaProductos[Agrupación]=ProductosPivot!BSZ5)</f>
        <v>#VALUE!</v>
      </c>
      <c r="BTA6" s="68" t="e" cm="1" vm="1">
        <f t="array" ref="BTA6">_xlfn._xlws.FILTER(TablaProductos[Nombre producto],TablaProductos[Agrupación]=ProductosPivot!BTA5)</f>
        <v>#VALUE!</v>
      </c>
      <c r="BTB6" s="68" t="e" cm="1" vm="1">
        <f t="array" ref="BTB6">_xlfn._xlws.FILTER(TablaProductos[Nombre producto],TablaProductos[Agrupación]=ProductosPivot!BTB5)</f>
        <v>#VALUE!</v>
      </c>
      <c r="BTC6" s="68" t="e" cm="1" vm="1">
        <f t="array" ref="BTC6">_xlfn._xlws.FILTER(TablaProductos[Nombre producto],TablaProductos[Agrupación]=ProductosPivot!BTC5)</f>
        <v>#VALUE!</v>
      </c>
      <c r="BTD6" s="68" t="e" cm="1" vm="1">
        <f t="array" ref="BTD6">_xlfn._xlws.FILTER(TablaProductos[Nombre producto],TablaProductos[Agrupación]=ProductosPivot!BTD5)</f>
        <v>#VALUE!</v>
      </c>
      <c r="BTE6" s="68" t="e" cm="1" vm="1">
        <f t="array" ref="BTE6">_xlfn._xlws.FILTER(TablaProductos[Nombre producto],TablaProductos[Agrupación]=ProductosPivot!BTE5)</f>
        <v>#VALUE!</v>
      </c>
      <c r="BTF6" s="68" t="e" cm="1" vm="1">
        <f t="array" ref="BTF6">_xlfn._xlws.FILTER(TablaProductos[Nombre producto],TablaProductos[Agrupación]=ProductosPivot!BTF5)</f>
        <v>#VALUE!</v>
      </c>
      <c r="BTG6" s="68" t="e" cm="1" vm="1">
        <f t="array" ref="BTG6">_xlfn._xlws.FILTER(TablaProductos[Nombre producto],TablaProductos[Agrupación]=ProductosPivot!BTG5)</f>
        <v>#VALUE!</v>
      </c>
      <c r="BTH6" s="68" t="e" cm="1" vm="1">
        <f t="array" ref="BTH6">_xlfn._xlws.FILTER(TablaProductos[Nombre producto],TablaProductos[Agrupación]=ProductosPivot!BTH5)</f>
        <v>#VALUE!</v>
      </c>
      <c r="BTI6" s="68" t="e" cm="1" vm="1">
        <f t="array" ref="BTI6">_xlfn._xlws.FILTER(TablaProductos[Nombre producto],TablaProductos[Agrupación]=ProductosPivot!BTI5)</f>
        <v>#VALUE!</v>
      </c>
      <c r="BTJ6" s="68" t="e" cm="1" vm="1">
        <f t="array" ref="BTJ6">_xlfn._xlws.FILTER(TablaProductos[Nombre producto],TablaProductos[Agrupación]=ProductosPivot!BTJ5)</f>
        <v>#VALUE!</v>
      </c>
      <c r="BTK6" s="68" t="e" cm="1" vm="1">
        <f t="array" ref="BTK6">_xlfn._xlws.FILTER(TablaProductos[Nombre producto],TablaProductos[Agrupación]=ProductosPivot!BTK5)</f>
        <v>#VALUE!</v>
      </c>
      <c r="BTL6" s="68" t="e" cm="1" vm="1">
        <f t="array" ref="BTL6">_xlfn._xlws.FILTER(TablaProductos[Nombre producto],TablaProductos[Agrupación]=ProductosPivot!BTL5)</f>
        <v>#VALUE!</v>
      </c>
      <c r="BTM6" s="68" t="e" cm="1" vm="1">
        <f t="array" ref="BTM6">_xlfn._xlws.FILTER(TablaProductos[Nombre producto],TablaProductos[Agrupación]=ProductosPivot!BTM5)</f>
        <v>#VALUE!</v>
      </c>
      <c r="BTN6" s="68" t="e" cm="1" vm="1">
        <f t="array" ref="BTN6">_xlfn._xlws.FILTER(TablaProductos[Nombre producto],TablaProductos[Agrupación]=ProductosPivot!BTN5)</f>
        <v>#VALUE!</v>
      </c>
      <c r="BTO6" s="68" t="e" cm="1" vm="1">
        <f t="array" ref="BTO6">_xlfn._xlws.FILTER(TablaProductos[Nombre producto],TablaProductos[Agrupación]=ProductosPivot!BTO5)</f>
        <v>#VALUE!</v>
      </c>
      <c r="BTP6" s="68" t="e" cm="1" vm="1">
        <f t="array" ref="BTP6">_xlfn._xlws.FILTER(TablaProductos[Nombre producto],TablaProductos[Agrupación]=ProductosPivot!BTP5)</f>
        <v>#VALUE!</v>
      </c>
      <c r="BTQ6" s="68" t="e" cm="1" vm="1">
        <f t="array" ref="BTQ6">_xlfn._xlws.FILTER(TablaProductos[Nombre producto],TablaProductos[Agrupación]=ProductosPivot!BTQ5)</f>
        <v>#VALUE!</v>
      </c>
      <c r="BTR6" s="68" t="e" cm="1" vm="1">
        <f t="array" ref="BTR6">_xlfn._xlws.FILTER(TablaProductos[Nombre producto],TablaProductos[Agrupación]=ProductosPivot!BTR5)</f>
        <v>#VALUE!</v>
      </c>
      <c r="BTS6" s="68" t="e" cm="1" vm="1">
        <f t="array" ref="BTS6">_xlfn._xlws.FILTER(TablaProductos[Nombre producto],TablaProductos[Agrupación]=ProductosPivot!BTS5)</f>
        <v>#VALUE!</v>
      </c>
      <c r="BTT6" s="68" t="e" cm="1" vm="1">
        <f t="array" ref="BTT6">_xlfn._xlws.FILTER(TablaProductos[Nombre producto],TablaProductos[Agrupación]=ProductosPivot!BTT5)</f>
        <v>#VALUE!</v>
      </c>
      <c r="BTU6" s="68" t="e" cm="1" vm="1">
        <f t="array" ref="BTU6">_xlfn._xlws.FILTER(TablaProductos[Nombre producto],TablaProductos[Agrupación]=ProductosPivot!BTU5)</f>
        <v>#VALUE!</v>
      </c>
      <c r="BTV6" s="68" t="e" cm="1" vm="1">
        <f t="array" ref="BTV6">_xlfn._xlws.FILTER(TablaProductos[Nombre producto],TablaProductos[Agrupación]=ProductosPivot!BTV5)</f>
        <v>#VALUE!</v>
      </c>
      <c r="BTW6" s="68" t="e" cm="1" vm="1">
        <f t="array" ref="BTW6">_xlfn._xlws.FILTER(TablaProductos[Nombre producto],TablaProductos[Agrupación]=ProductosPivot!BTW5)</f>
        <v>#VALUE!</v>
      </c>
      <c r="BTX6" s="68" t="e" cm="1" vm="1">
        <f t="array" ref="BTX6">_xlfn._xlws.FILTER(TablaProductos[Nombre producto],TablaProductos[Agrupación]=ProductosPivot!BTX5)</f>
        <v>#VALUE!</v>
      </c>
      <c r="BTY6" s="68" t="e" cm="1" vm="1">
        <f t="array" ref="BTY6">_xlfn._xlws.FILTER(TablaProductos[Nombre producto],TablaProductos[Agrupación]=ProductosPivot!BTY5)</f>
        <v>#VALUE!</v>
      </c>
      <c r="BTZ6" s="68" t="e" cm="1" vm="1">
        <f t="array" ref="BTZ6">_xlfn._xlws.FILTER(TablaProductos[Nombre producto],TablaProductos[Agrupación]=ProductosPivot!BTZ5)</f>
        <v>#VALUE!</v>
      </c>
      <c r="BUA6" s="68" t="e" cm="1" vm="1">
        <f t="array" ref="BUA6">_xlfn._xlws.FILTER(TablaProductos[Nombre producto],TablaProductos[Agrupación]=ProductosPivot!BUA5)</f>
        <v>#VALUE!</v>
      </c>
      <c r="BUB6" s="68" t="e" cm="1" vm="1">
        <f t="array" ref="BUB6">_xlfn._xlws.FILTER(TablaProductos[Nombre producto],TablaProductos[Agrupación]=ProductosPivot!BUB5)</f>
        <v>#VALUE!</v>
      </c>
      <c r="BUC6" s="68" t="e" cm="1" vm="1">
        <f t="array" ref="BUC6">_xlfn._xlws.FILTER(TablaProductos[Nombre producto],TablaProductos[Agrupación]=ProductosPivot!BUC5)</f>
        <v>#VALUE!</v>
      </c>
      <c r="BUD6" s="68" t="e" cm="1" vm="1">
        <f t="array" ref="BUD6">_xlfn._xlws.FILTER(TablaProductos[Nombre producto],TablaProductos[Agrupación]=ProductosPivot!BUD5)</f>
        <v>#VALUE!</v>
      </c>
      <c r="BUE6" s="68" t="e" cm="1" vm="1">
        <f t="array" ref="BUE6">_xlfn._xlws.FILTER(TablaProductos[Nombre producto],TablaProductos[Agrupación]=ProductosPivot!BUE5)</f>
        <v>#VALUE!</v>
      </c>
      <c r="BUF6" s="68" t="e" cm="1" vm="1">
        <f t="array" ref="BUF6">_xlfn._xlws.FILTER(TablaProductos[Nombre producto],TablaProductos[Agrupación]=ProductosPivot!BUF5)</f>
        <v>#VALUE!</v>
      </c>
      <c r="BUG6" s="68" t="e" cm="1" vm="1">
        <f t="array" ref="BUG6">_xlfn._xlws.FILTER(TablaProductos[Nombre producto],TablaProductos[Agrupación]=ProductosPivot!BUG5)</f>
        <v>#VALUE!</v>
      </c>
      <c r="BUH6" s="68" t="e" cm="1" vm="1">
        <f t="array" ref="BUH6">_xlfn._xlws.FILTER(TablaProductos[Nombre producto],TablaProductos[Agrupación]=ProductosPivot!BUH5)</f>
        <v>#VALUE!</v>
      </c>
      <c r="BUI6" s="68" t="e" cm="1" vm="1">
        <f t="array" ref="BUI6">_xlfn._xlws.FILTER(TablaProductos[Nombre producto],TablaProductos[Agrupación]=ProductosPivot!BUI5)</f>
        <v>#VALUE!</v>
      </c>
      <c r="BUJ6" s="68" t="e" cm="1" vm="1">
        <f t="array" ref="BUJ6">_xlfn._xlws.FILTER(TablaProductos[Nombre producto],TablaProductos[Agrupación]=ProductosPivot!BUJ5)</f>
        <v>#VALUE!</v>
      </c>
      <c r="BUK6" s="68" t="e" cm="1" vm="1">
        <f t="array" ref="BUK6">_xlfn._xlws.FILTER(TablaProductos[Nombre producto],TablaProductos[Agrupación]=ProductosPivot!BUK5)</f>
        <v>#VALUE!</v>
      </c>
      <c r="BUL6" s="68" t="e" cm="1" vm="1">
        <f t="array" ref="BUL6">_xlfn._xlws.FILTER(TablaProductos[Nombre producto],TablaProductos[Agrupación]=ProductosPivot!BUL5)</f>
        <v>#VALUE!</v>
      </c>
      <c r="BUM6" s="68" t="e" cm="1" vm="1">
        <f t="array" ref="BUM6">_xlfn._xlws.FILTER(TablaProductos[Nombre producto],TablaProductos[Agrupación]=ProductosPivot!BUM5)</f>
        <v>#VALUE!</v>
      </c>
      <c r="BUN6" s="68" t="e" cm="1" vm="1">
        <f t="array" ref="BUN6">_xlfn._xlws.FILTER(TablaProductos[Nombre producto],TablaProductos[Agrupación]=ProductosPivot!BUN5)</f>
        <v>#VALUE!</v>
      </c>
      <c r="BUO6" s="68" t="e" cm="1" vm="1">
        <f t="array" ref="BUO6">_xlfn._xlws.FILTER(TablaProductos[Nombre producto],TablaProductos[Agrupación]=ProductosPivot!BUO5)</f>
        <v>#VALUE!</v>
      </c>
      <c r="BUP6" s="68" t="e" cm="1" vm="1">
        <f t="array" ref="BUP6">_xlfn._xlws.FILTER(TablaProductos[Nombre producto],TablaProductos[Agrupación]=ProductosPivot!BUP5)</f>
        <v>#VALUE!</v>
      </c>
      <c r="BUQ6" s="68" t="e" cm="1" vm="1">
        <f t="array" ref="BUQ6">_xlfn._xlws.FILTER(TablaProductos[Nombre producto],TablaProductos[Agrupación]=ProductosPivot!BUQ5)</f>
        <v>#VALUE!</v>
      </c>
      <c r="BUR6" s="68" t="e" cm="1" vm="1">
        <f t="array" ref="BUR6">_xlfn._xlws.FILTER(TablaProductos[Nombre producto],TablaProductos[Agrupación]=ProductosPivot!BUR5)</f>
        <v>#VALUE!</v>
      </c>
      <c r="BUS6" s="68" t="e" cm="1" vm="1">
        <f t="array" ref="BUS6">_xlfn._xlws.FILTER(TablaProductos[Nombre producto],TablaProductos[Agrupación]=ProductosPivot!BUS5)</f>
        <v>#VALUE!</v>
      </c>
      <c r="BUT6" s="68" t="e" cm="1" vm="1">
        <f t="array" ref="BUT6">_xlfn._xlws.FILTER(TablaProductos[Nombre producto],TablaProductos[Agrupación]=ProductosPivot!BUT5)</f>
        <v>#VALUE!</v>
      </c>
      <c r="BUU6" s="68" t="e" cm="1" vm="1">
        <f t="array" ref="BUU6">_xlfn._xlws.FILTER(TablaProductos[Nombre producto],TablaProductos[Agrupación]=ProductosPivot!BUU5)</f>
        <v>#VALUE!</v>
      </c>
      <c r="BUV6" s="68" t="e" cm="1" vm="1">
        <f t="array" ref="BUV6">_xlfn._xlws.FILTER(TablaProductos[Nombre producto],TablaProductos[Agrupación]=ProductosPivot!BUV5)</f>
        <v>#VALUE!</v>
      </c>
      <c r="BUW6" s="68" t="e" cm="1" vm="1">
        <f t="array" ref="BUW6">_xlfn._xlws.FILTER(TablaProductos[Nombre producto],TablaProductos[Agrupación]=ProductosPivot!BUW5)</f>
        <v>#VALUE!</v>
      </c>
      <c r="BUX6" s="68" t="e" cm="1" vm="1">
        <f t="array" ref="BUX6">_xlfn._xlws.FILTER(TablaProductos[Nombre producto],TablaProductos[Agrupación]=ProductosPivot!BUX5)</f>
        <v>#VALUE!</v>
      </c>
      <c r="BUY6" s="68" t="e" cm="1" vm="1">
        <f t="array" ref="BUY6">_xlfn._xlws.FILTER(TablaProductos[Nombre producto],TablaProductos[Agrupación]=ProductosPivot!BUY5)</f>
        <v>#VALUE!</v>
      </c>
      <c r="BUZ6" s="68" t="e" cm="1" vm="1">
        <f t="array" ref="BUZ6">_xlfn._xlws.FILTER(TablaProductos[Nombre producto],TablaProductos[Agrupación]=ProductosPivot!BUZ5)</f>
        <v>#VALUE!</v>
      </c>
      <c r="BVA6" s="68" t="e" cm="1" vm="1">
        <f t="array" ref="BVA6">_xlfn._xlws.FILTER(TablaProductos[Nombre producto],TablaProductos[Agrupación]=ProductosPivot!BVA5)</f>
        <v>#VALUE!</v>
      </c>
      <c r="BVB6" s="68" t="e" cm="1" vm="1">
        <f t="array" ref="BVB6">_xlfn._xlws.FILTER(TablaProductos[Nombre producto],TablaProductos[Agrupación]=ProductosPivot!BVB5)</f>
        <v>#VALUE!</v>
      </c>
      <c r="BVC6" s="68" t="e" cm="1" vm="1">
        <f t="array" ref="BVC6">_xlfn._xlws.FILTER(TablaProductos[Nombre producto],TablaProductos[Agrupación]=ProductosPivot!BVC5)</f>
        <v>#VALUE!</v>
      </c>
      <c r="BVD6" s="68" t="e" cm="1" vm="1">
        <f t="array" ref="BVD6">_xlfn._xlws.FILTER(TablaProductos[Nombre producto],TablaProductos[Agrupación]=ProductosPivot!BVD5)</f>
        <v>#VALUE!</v>
      </c>
      <c r="BVE6" s="68" t="e" cm="1" vm="1">
        <f t="array" ref="BVE6">_xlfn._xlws.FILTER(TablaProductos[Nombre producto],TablaProductos[Agrupación]=ProductosPivot!BVE5)</f>
        <v>#VALUE!</v>
      </c>
      <c r="BVF6" s="68" t="e" cm="1" vm="1">
        <f t="array" ref="BVF6">_xlfn._xlws.FILTER(TablaProductos[Nombre producto],TablaProductos[Agrupación]=ProductosPivot!BVF5)</f>
        <v>#VALUE!</v>
      </c>
      <c r="BVG6" s="68" t="e" cm="1" vm="1">
        <f t="array" ref="BVG6">_xlfn._xlws.FILTER(TablaProductos[Nombre producto],TablaProductos[Agrupación]=ProductosPivot!BVG5)</f>
        <v>#VALUE!</v>
      </c>
      <c r="BVH6" s="68" t="e" cm="1" vm="1">
        <f t="array" ref="BVH6">_xlfn._xlws.FILTER(TablaProductos[Nombre producto],TablaProductos[Agrupación]=ProductosPivot!BVH5)</f>
        <v>#VALUE!</v>
      </c>
      <c r="BVI6" s="68" t="e" cm="1" vm="1">
        <f t="array" ref="BVI6">_xlfn._xlws.FILTER(TablaProductos[Nombre producto],TablaProductos[Agrupación]=ProductosPivot!BVI5)</f>
        <v>#VALUE!</v>
      </c>
      <c r="BVJ6" s="68" t="e" cm="1" vm="1">
        <f t="array" ref="BVJ6">_xlfn._xlws.FILTER(TablaProductos[Nombre producto],TablaProductos[Agrupación]=ProductosPivot!BVJ5)</f>
        <v>#VALUE!</v>
      </c>
      <c r="BVK6" s="68" t="e" cm="1" vm="1">
        <f t="array" ref="BVK6">_xlfn._xlws.FILTER(TablaProductos[Nombre producto],TablaProductos[Agrupación]=ProductosPivot!BVK5)</f>
        <v>#VALUE!</v>
      </c>
      <c r="BVL6" s="68" t="e" cm="1" vm="1">
        <f t="array" ref="BVL6">_xlfn._xlws.FILTER(TablaProductos[Nombre producto],TablaProductos[Agrupación]=ProductosPivot!BVL5)</f>
        <v>#VALUE!</v>
      </c>
      <c r="BVM6" s="68" t="e" cm="1" vm="1">
        <f t="array" ref="BVM6">_xlfn._xlws.FILTER(TablaProductos[Nombre producto],TablaProductos[Agrupación]=ProductosPivot!BVM5)</f>
        <v>#VALUE!</v>
      </c>
      <c r="BVN6" s="68" t="e" cm="1" vm="1">
        <f t="array" ref="BVN6">_xlfn._xlws.FILTER(TablaProductos[Nombre producto],TablaProductos[Agrupación]=ProductosPivot!BVN5)</f>
        <v>#VALUE!</v>
      </c>
      <c r="BVO6" s="68" t="e" cm="1" vm="1">
        <f t="array" ref="BVO6">_xlfn._xlws.FILTER(TablaProductos[Nombre producto],TablaProductos[Agrupación]=ProductosPivot!BVO5)</f>
        <v>#VALUE!</v>
      </c>
      <c r="BVP6" s="68" t="e" cm="1" vm="1">
        <f t="array" ref="BVP6">_xlfn._xlws.FILTER(TablaProductos[Nombre producto],TablaProductos[Agrupación]=ProductosPivot!BVP5)</f>
        <v>#VALUE!</v>
      </c>
      <c r="BVQ6" s="68" t="e" cm="1" vm="1">
        <f t="array" ref="BVQ6">_xlfn._xlws.FILTER(TablaProductos[Nombre producto],TablaProductos[Agrupación]=ProductosPivot!BVQ5)</f>
        <v>#VALUE!</v>
      </c>
      <c r="BVR6" s="68" t="e" cm="1" vm="1">
        <f t="array" ref="BVR6">_xlfn._xlws.FILTER(TablaProductos[Nombre producto],TablaProductos[Agrupación]=ProductosPivot!BVR5)</f>
        <v>#VALUE!</v>
      </c>
      <c r="BVS6" s="68" t="e" cm="1" vm="1">
        <f t="array" ref="BVS6">_xlfn._xlws.FILTER(TablaProductos[Nombre producto],TablaProductos[Agrupación]=ProductosPivot!BVS5)</f>
        <v>#VALUE!</v>
      </c>
      <c r="BVT6" s="68" t="e" cm="1" vm="1">
        <f t="array" ref="BVT6">_xlfn._xlws.FILTER(TablaProductos[Nombre producto],TablaProductos[Agrupación]=ProductosPivot!BVT5)</f>
        <v>#VALUE!</v>
      </c>
      <c r="BVU6" s="68" t="e" cm="1" vm="1">
        <f t="array" ref="BVU6">_xlfn._xlws.FILTER(TablaProductos[Nombre producto],TablaProductos[Agrupación]=ProductosPivot!BVU5)</f>
        <v>#VALUE!</v>
      </c>
      <c r="BVV6" s="68" t="e" cm="1" vm="1">
        <f t="array" ref="BVV6">_xlfn._xlws.FILTER(TablaProductos[Nombre producto],TablaProductos[Agrupación]=ProductosPivot!BVV5)</f>
        <v>#VALUE!</v>
      </c>
      <c r="BVW6" s="68" t="e" cm="1" vm="1">
        <f t="array" ref="BVW6">_xlfn._xlws.FILTER(TablaProductos[Nombre producto],TablaProductos[Agrupación]=ProductosPivot!BVW5)</f>
        <v>#VALUE!</v>
      </c>
      <c r="BVX6" s="68" t="e" cm="1" vm="1">
        <f t="array" ref="BVX6">_xlfn._xlws.FILTER(TablaProductos[Nombre producto],TablaProductos[Agrupación]=ProductosPivot!BVX5)</f>
        <v>#VALUE!</v>
      </c>
      <c r="BVY6" s="68" t="e" cm="1" vm="1">
        <f t="array" ref="BVY6">_xlfn._xlws.FILTER(TablaProductos[Nombre producto],TablaProductos[Agrupación]=ProductosPivot!BVY5)</f>
        <v>#VALUE!</v>
      </c>
      <c r="BVZ6" s="68" t="e" cm="1" vm="1">
        <f t="array" ref="BVZ6">_xlfn._xlws.FILTER(TablaProductos[Nombre producto],TablaProductos[Agrupación]=ProductosPivot!BVZ5)</f>
        <v>#VALUE!</v>
      </c>
      <c r="BWA6" s="68" t="e" cm="1" vm="1">
        <f t="array" ref="BWA6">_xlfn._xlws.FILTER(TablaProductos[Nombre producto],TablaProductos[Agrupación]=ProductosPivot!BWA5)</f>
        <v>#VALUE!</v>
      </c>
      <c r="BWB6" s="68" t="e" cm="1" vm="1">
        <f t="array" ref="BWB6">_xlfn._xlws.FILTER(TablaProductos[Nombre producto],TablaProductos[Agrupación]=ProductosPivot!BWB5)</f>
        <v>#VALUE!</v>
      </c>
      <c r="BWC6" s="68" t="e" cm="1" vm="1">
        <f t="array" ref="BWC6">_xlfn._xlws.FILTER(TablaProductos[Nombre producto],TablaProductos[Agrupación]=ProductosPivot!BWC5)</f>
        <v>#VALUE!</v>
      </c>
      <c r="BWD6" s="68" t="e" cm="1" vm="1">
        <f t="array" ref="BWD6">_xlfn._xlws.FILTER(TablaProductos[Nombre producto],TablaProductos[Agrupación]=ProductosPivot!BWD5)</f>
        <v>#VALUE!</v>
      </c>
      <c r="BWE6" s="68" t="e" cm="1" vm="1">
        <f t="array" ref="BWE6">_xlfn._xlws.FILTER(TablaProductos[Nombre producto],TablaProductos[Agrupación]=ProductosPivot!BWE5)</f>
        <v>#VALUE!</v>
      </c>
      <c r="BWF6" s="68" t="e" cm="1" vm="1">
        <f t="array" ref="BWF6">_xlfn._xlws.FILTER(TablaProductos[Nombre producto],TablaProductos[Agrupación]=ProductosPivot!BWF5)</f>
        <v>#VALUE!</v>
      </c>
      <c r="BWG6" s="68" t="e" cm="1" vm="1">
        <f t="array" ref="BWG6">_xlfn._xlws.FILTER(TablaProductos[Nombre producto],TablaProductos[Agrupación]=ProductosPivot!BWG5)</f>
        <v>#VALUE!</v>
      </c>
      <c r="BWH6" s="68" t="e" cm="1" vm="1">
        <f t="array" ref="BWH6">_xlfn._xlws.FILTER(TablaProductos[Nombre producto],TablaProductos[Agrupación]=ProductosPivot!BWH5)</f>
        <v>#VALUE!</v>
      </c>
      <c r="BWI6" s="68" t="e" cm="1" vm="1">
        <f t="array" ref="BWI6">_xlfn._xlws.FILTER(TablaProductos[Nombre producto],TablaProductos[Agrupación]=ProductosPivot!BWI5)</f>
        <v>#VALUE!</v>
      </c>
      <c r="BWJ6" s="68" t="e" cm="1" vm="1">
        <f t="array" ref="BWJ6">_xlfn._xlws.FILTER(TablaProductos[Nombre producto],TablaProductos[Agrupación]=ProductosPivot!BWJ5)</f>
        <v>#VALUE!</v>
      </c>
      <c r="BWK6" s="68" t="e" cm="1" vm="1">
        <f t="array" ref="BWK6">_xlfn._xlws.FILTER(TablaProductos[Nombre producto],TablaProductos[Agrupación]=ProductosPivot!BWK5)</f>
        <v>#VALUE!</v>
      </c>
      <c r="BWL6" s="68" t="e" cm="1" vm="1">
        <f t="array" ref="BWL6">_xlfn._xlws.FILTER(TablaProductos[Nombre producto],TablaProductos[Agrupación]=ProductosPivot!BWL5)</f>
        <v>#VALUE!</v>
      </c>
      <c r="BWM6" s="68" t="e" cm="1" vm="1">
        <f t="array" ref="BWM6">_xlfn._xlws.FILTER(TablaProductos[Nombre producto],TablaProductos[Agrupación]=ProductosPivot!BWM5)</f>
        <v>#VALUE!</v>
      </c>
      <c r="BWN6" s="68" t="e" cm="1" vm="1">
        <f t="array" ref="BWN6">_xlfn._xlws.FILTER(TablaProductos[Nombre producto],TablaProductos[Agrupación]=ProductosPivot!BWN5)</f>
        <v>#VALUE!</v>
      </c>
      <c r="BWO6" s="68" t="e" cm="1" vm="1">
        <f t="array" ref="BWO6">_xlfn._xlws.FILTER(TablaProductos[Nombre producto],TablaProductos[Agrupación]=ProductosPivot!BWO5)</f>
        <v>#VALUE!</v>
      </c>
      <c r="BWP6" s="68" t="e" cm="1" vm="1">
        <f t="array" ref="BWP6">_xlfn._xlws.FILTER(TablaProductos[Nombre producto],TablaProductos[Agrupación]=ProductosPivot!BWP5)</f>
        <v>#VALUE!</v>
      </c>
      <c r="BWQ6" s="68" t="e" cm="1" vm="1">
        <f t="array" ref="BWQ6">_xlfn._xlws.FILTER(TablaProductos[Nombre producto],TablaProductos[Agrupación]=ProductosPivot!BWQ5)</f>
        <v>#VALUE!</v>
      </c>
      <c r="BWR6" s="68" t="e" cm="1" vm="1">
        <f t="array" ref="BWR6">_xlfn._xlws.FILTER(TablaProductos[Nombre producto],TablaProductos[Agrupación]=ProductosPivot!BWR5)</f>
        <v>#VALUE!</v>
      </c>
      <c r="BWS6" s="68" t="e" cm="1" vm="1">
        <f t="array" ref="BWS6">_xlfn._xlws.FILTER(TablaProductos[Nombre producto],TablaProductos[Agrupación]=ProductosPivot!BWS5)</f>
        <v>#VALUE!</v>
      </c>
      <c r="BWT6" s="68" t="e" cm="1" vm="1">
        <f t="array" ref="BWT6">_xlfn._xlws.FILTER(TablaProductos[Nombre producto],TablaProductos[Agrupación]=ProductosPivot!BWT5)</f>
        <v>#VALUE!</v>
      </c>
      <c r="BWU6" s="68" t="e" cm="1" vm="1">
        <f t="array" ref="BWU6">_xlfn._xlws.FILTER(TablaProductos[Nombre producto],TablaProductos[Agrupación]=ProductosPivot!BWU5)</f>
        <v>#VALUE!</v>
      </c>
      <c r="BWV6" s="68" t="e" cm="1" vm="1">
        <f t="array" ref="BWV6">_xlfn._xlws.FILTER(TablaProductos[Nombre producto],TablaProductos[Agrupación]=ProductosPivot!BWV5)</f>
        <v>#VALUE!</v>
      </c>
      <c r="BWW6" s="68" t="e" cm="1" vm="1">
        <f t="array" ref="BWW6">_xlfn._xlws.FILTER(TablaProductos[Nombre producto],TablaProductos[Agrupación]=ProductosPivot!BWW5)</f>
        <v>#VALUE!</v>
      </c>
      <c r="BWX6" s="68" t="e" cm="1" vm="1">
        <f t="array" ref="BWX6">_xlfn._xlws.FILTER(TablaProductos[Nombre producto],TablaProductos[Agrupación]=ProductosPivot!BWX5)</f>
        <v>#VALUE!</v>
      </c>
      <c r="BWY6" s="68" t="e" cm="1" vm="1">
        <f t="array" ref="BWY6">_xlfn._xlws.FILTER(TablaProductos[Nombre producto],TablaProductos[Agrupación]=ProductosPivot!BWY5)</f>
        <v>#VALUE!</v>
      </c>
      <c r="BWZ6" s="68" t="e" cm="1" vm="1">
        <f t="array" ref="BWZ6">_xlfn._xlws.FILTER(TablaProductos[Nombre producto],TablaProductos[Agrupación]=ProductosPivot!BWZ5)</f>
        <v>#VALUE!</v>
      </c>
      <c r="BXA6" s="68" t="e" cm="1" vm="1">
        <f t="array" ref="BXA6">_xlfn._xlws.FILTER(TablaProductos[Nombre producto],TablaProductos[Agrupación]=ProductosPivot!BXA5)</f>
        <v>#VALUE!</v>
      </c>
      <c r="BXB6" s="68" t="e" cm="1" vm="1">
        <f t="array" ref="BXB6">_xlfn._xlws.FILTER(TablaProductos[Nombre producto],TablaProductos[Agrupación]=ProductosPivot!BXB5)</f>
        <v>#VALUE!</v>
      </c>
      <c r="BXC6" s="68" t="e" cm="1" vm="1">
        <f t="array" ref="BXC6">_xlfn._xlws.FILTER(TablaProductos[Nombre producto],TablaProductos[Agrupación]=ProductosPivot!BXC5)</f>
        <v>#VALUE!</v>
      </c>
      <c r="BXD6" s="68" t="e" cm="1" vm="1">
        <f t="array" ref="BXD6">_xlfn._xlws.FILTER(TablaProductos[Nombre producto],TablaProductos[Agrupación]=ProductosPivot!BXD5)</f>
        <v>#VALUE!</v>
      </c>
      <c r="BXE6" s="68" t="e" cm="1" vm="1">
        <f t="array" ref="BXE6">_xlfn._xlws.FILTER(TablaProductos[Nombre producto],TablaProductos[Agrupación]=ProductosPivot!BXE5)</f>
        <v>#VALUE!</v>
      </c>
      <c r="BXF6" s="68" t="e" cm="1" vm="1">
        <f t="array" ref="BXF6">_xlfn._xlws.FILTER(TablaProductos[Nombre producto],TablaProductos[Agrupación]=ProductosPivot!BXF5)</f>
        <v>#VALUE!</v>
      </c>
      <c r="BXG6" s="68" t="e" cm="1" vm="1">
        <f t="array" ref="BXG6">_xlfn._xlws.FILTER(TablaProductos[Nombre producto],TablaProductos[Agrupación]=ProductosPivot!BXG5)</f>
        <v>#VALUE!</v>
      </c>
      <c r="BXH6" s="68" t="e" cm="1" vm="1">
        <f t="array" ref="BXH6">_xlfn._xlws.FILTER(TablaProductos[Nombre producto],TablaProductos[Agrupación]=ProductosPivot!BXH5)</f>
        <v>#VALUE!</v>
      </c>
      <c r="BXI6" s="68" t="e" cm="1" vm="1">
        <f t="array" ref="BXI6">_xlfn._xlws.FILTER(TablaProductos[Nombre producto],TablaProductos[Agrupación]=ProductosPivot!BXI5)</f>
        <v>#VALUE!</v>
      </c>
      <c r="BXJ6" s="68" t="e" cm="1" vm="1">
        <f t="array" ref="BXJ6">_xlfn._xlws.FILTER(TablaProductos[Nombre producto],TablaProductos[Agrupación]=ProductosPivot!BXJ5)</f>
        <v>#VALUE!</v>
      </c>
      <c r="BXK6" s="68" t="e" cm="1" vm="1">
        <f t="array" ref="BXK6">_xlfn._xlws.FILTER(TablaProductos[Nombre producto],TablaProductos[Agrupación]=ProductosPivot!BXK5)</f>
        <v>#VALUE!</v>
      </c>
      <c r="BXL6" s="68" t="e" cm="1" vm="1">
        <f t="array" ref="BXL6">_xlfn._xlws.FILTER(TablaProductos[Nombre producto],TablaProductos[Agrupación]=ProductosPivot!BXL5)</f>
        <v>#VALUE!</v>
      </c>
      <c r="BXM6" s="68" t="e" cm="1" vm="1">
        <f t="array" ref="BXM6">_xlfn._xlws.FILTER(TablaProductos[Nombre producto],TablaProductos[Agrupación]=ProductosPivot!BXM5)</f>
        <v>#VALUE!</v>
      </c>
      <c r="BXN6" s="68" t="e" cm="1" vm="1">
        <f t="array" ref="BXN6">_xlfn._xlws.FILTER(TablaProductos[Nombre producto],TablaProductos[Agrupación]=ProductosPivot!BXN5)</f>
        <v>#VALUE!</v>
      </c>
      <c r="BXO6" s="68" t="e" cm="1" vm="1">
        <f t="array" ref="BXO6">_xlfn._xlws.FILTER(TablaProductos[Nombre producto],TablaProductos[Agrupación]=ProductosPivot!BXO5)</f>
        <v>#VALUE!</v>
      </c>
      <c r="BXP6" s="68" t="e" cm="1" vm="1">
        <f t="array" ref="BXP6">_xlfn._xlws.FILTER(TablaProductos[Nombre producto],TablaProductos[Agrupación]=ProductosPivot!BXP5)</f>
        <v>#VALUE!</v>
      </c>
      <c r="BXQ6" s="68" t="e" cm="1" vm="1">
        <f t="array" ref="BXQ6">_xlfn._xlws.FILTER(TablaProductos[Nombre producto],TablaProductos[Agrupación]=ProductosPivot!BXQ5)</f>
        <v>#VALUE!</v>
      </c>
      <c r="BXR6" s="68" t="e" cm="1" vm="1">
        <f t="array" ref="BXR6">_xlfn._xlws.FILTER(TablaProductos[Nombre producto],TablaProductos[Agrupación]=ProductosPivot!BXR5)</f>
        <v>#VALUE!</v>
      </c>
      <c r="BXS6" s="68" t="e" cm="1" vm="1">
        <f t="array" ref="BXS6">_xlfn._xlws.FILTER(TablaProductos[Nombre producto],TablaProductos[Agrupación]=ProductosPivot!BXS5)</f>
        <v>#VALUE!</v>
      </c>
      <c r="BXT6" s="68" t="e" cm="1" vm="1">
        <f t="array" ref="BXT6">_xlfn._xlws.FILTER(TablaProductos[Nombre producto],TablaProductos[Agrupación]=ProductosPivot!BXT5)</f>
        <v>#VALUE!</v>
      </c>
      <c r="BXU6" s="68" t="e" cm="1" vm="1">
        <f t="array" ref="BXU6">_xlfn._xlws.FILTER(TablaProductos[Nombre producto],TablaProductos[Agrupación]=ProductosPivot!BXU5)</f>
        <v>#VALUE!</v>
      </c>
      <c r="BXV6" s="68" t="e" cm="1" vm="1">
        <f t="array" ref="BXV6">_xlfn._xlws.FILTER(TablaProductos[Nombre producto],TablaProductos[Agrupación]=ProductosPivot!BXV5)</f>
        <v>#VALUE!</v>
      </c>
      <c r="BXW6" s="68" t="e" cm="1" vm="1">
        <f t="array" ref="BXW6">_xlfn._xlws.FILTER(TablaProductos[Nombre producto],TablaProductos[Agrupación]=ProductosPivot!BXW5)</f>
        <v>#VALUE!</v>
      </c>
      <c r="BXX6" s="68" t="e" cm="1" vm="1">
        <f t="array" ref="BXX6">_xlfn._xlws.FILTER(TablaProductos[Nombre producto],TablaProductos[Agrupación]=ProductosPivot!BXX5)</f>
        <v>#VALUE!</v>
      </c>
      <c r="BXY6" s="68" t="e" cm="1" vm="1">
        <f t="array" ref="BXY6">_xlfn._xlws.FILTER(TablaProductos[Nombre producto],TablaProductos[Agrupación]=ProductosPivot!BXY5)</f>
        <v>#VALUE!</v>
      </c>
      <c r="BXZ6" s="68" t="e" cm="1" vm="1">
        <f t="array" ref="BXZ6">_xlfn._xlws.FILTER(TablaProductos[Nombre producto],TablaProductos[Agrupación]=ProductosPivot!BXZ5)</f>
        <v>#VALUE!</v>
      </c>
      <c r="BYA6" s="68" t="e" cm="1" vm="1">
        <f t="array" ref="BYA6">_xlfn._xlws.FILTER(TablaProductos[Nombre producto],TablaProductos[Agrupación]=ProductosPivot!BYA5)</f>
        <v>#VALUE!</v>
      </c>
      <c r="BYB6" s="68" t="e" cm="1" vm="1">
        <f t="array" ref="BYB6">_xlfn._xlws.FILTER(TablaProductos[Nombre producto],TablaProductos[Agrupación]=ProductosPivot!BYB5)</f>
        <v>#VALUE!</v>
      </c>
      <c r="BYC6" s="68" t="e" cm="1" vm="1">
        <f t="array" ref="BYC6">_xlfn._xlws.FILTER(TablaProductos[Nombre producto],TablaProductos[Agrupación]=ProductosPivot!BYC5)</f>
        <v>#VALUE!</v>
      </c>
      <c r="BYD6" s="68" t="e" cm="1" vm="1">
        <f t="array" ref="BYD6">_xlfn._xlws.FILTER(TablaProductos[Nombre producto],TablaProductos[Agrupación]=ProductosPivot!BYD5)</f>
        <v>#VALUE!</v>
      </c>
      <c r="BYE6" s="68" t="e" cm="1" vm="1">
        <f t="array" ref="BYE6">_xlfn._xlws.FILTER(TablaProductos[Nombre producto],TablaProductos[Agrupación]=ProductosPivot!BYE5)</f>
        <v>#VALUE!</v>
      </c>
      <c r="BYF6" s="68" t="e" cm="1" vm="1">
        <f t="array" ref="BYF6">_xlfn._xlws.FILTER(TablaProductos[Nombre producto],TablaProductos[Agrupación]=ProductosPivot!BYF5)</f>
        <v>#VALUE!</v>
      </c>
      <c r="BYG6" s="68" t="e" cm="1" vm="1">
        <f t="array" ref="BYG6">_xlfn._xlws.FILTER(TablaProductos[Nombre producto],TablaProductos[Agrupación]=ProductosPivot!BYG5)</f>
        <v>#VALUE!</v>
      </c>
      <c r="BYH6" s="68" t="e" cm="1" vm="1">
        <f t="array" ref="BYH6">_xlfn._xlws.FILTER(TablaProductos[Nombre producto],TablaProductos[Agrupación]=ProductosPivot!BYH5)</f>
        <v>#VALUE!</v>
      </c>
      <c r="BYI6" s="68" t="e" cm="1" vm="1">
        <f t="array" ref="BYI6">_xlfn._xlws.FILTER(TablaProductos[Nombre producto],TablaProductos[Agrupación]=ProductosPivot!BYI5)</f>
        <v>#VALUE!</v>
      </c>
      <c r="BYJ6" s="68" t="e" cm="1" vm="1">
        <f t="array" ref="BYJ6">_xlfn._xlws.FILTER(TablaProductos[Nombre producto],TablaProductos[Agrupación]=ProductosPivot!BYJ5)</f>
        <v>#VALUE!</v>
      </c>
      <c r="BYK6" s="68" t="e" cm="1" vm="1">
        <f t="array" ref="BYK6">_xlfn._xlws.FILTER(TablaProductos[Nombre producto],TablaProductos[Agrupación]=ProductosPivot!BYK5)</f>
        <v>#VALUE!</v>
      </c>
      <c r="BYL6" s="68" t="e" cm="1" vm="1">
        <f t="array" ref="BYL6">_xlfn._xlws.FILTER(TablaProductos[Nombre producto],TablaProductos[Agrupación]=ProductosPivot!BYL5)</f>
        <v>#VALUE!</v>
      </c>
      <c r="BYM6" s="68" t="e" cm="1" vm="1">
        <f t="array" ref="BYM6">_xlfn._xlws.FILTER(TablaProductos[Nombre producto],TablaProductos[Agrupación]=ProductosPivot!BYM5)</f>
        <v>#VALUE!</v>
      </c>
      <c r="BYN6" s="68" t="e" cm="1" vm="1">
        <f t="array" ref="BYN6">_xlfn._xlws.FILTER(TablaProductos[Nombre producto],TablaProductos[Agrupación]=ProductosPivot!BYN5)</f>
        <v>#VALUE!</v>
      </c>
      <c r="BYO6" s="68" t="e" cm="1" vm="1">
        <f t="array" ref="BYO6">_xlfn._xlws.FILTER(TablaProductos[Nombre producto],TablaProductos[Agrupación]=ProductosPivot!BYO5)</f>
        <v>#VALUE!</v>
      </c>
      <c r="BYP6" s="68" t="e" cm="1" vm="1">
        <f t="array" ref="BYP6">_xlfn._xlws.FILTER(TablaProductos[Nombre producto],TablaProductos[Agrupación]=ProductosPivot!BYP5)</f>
        <v>#VALUE!</v>
      </c>
      <c r="BYQ6" s="68" t="e" cm="1" vm="1">
        <f t="array" ref="BYQ6">_xlfn._xlws.FILTER(TablaProductos[Nombre producto],TablaProductos[Agrupación]=ProductosPivot!BYQ5)</f>
        <v>#VALUE!</v>
      </c>
      <c r="BYR6" s="68" t="e" cm="1" vm="1">
        <f t="array" ref="BYR6">_xlfn._xlws.FILTER(TablaProductos[Nombre producto],TablaProductos[Agrupación]=ProductosPivot!BYR5)</f>
        <v>#VALUE!</v>
      </c>
      <c r="BYS6" s="68" t="e" cm="1" vm="1">
        <f t="array" ref="BYS6">_xlfn._xlws.FILTER(TablaProductos[Nombre producto],TablaProductos[Agrupación]=ProductosPivot!BYS5)</f>
        <v>#VALUE!</v>
      </c>
      <c r="BYT6" s="68" t="e" cm="1" vm="1">
        <f t="array" ref="BYT6">_xlfn._xlws.FILTER(TablaProductos[Nombre producto],TablaProductos[Agrupación]=ProductosPivot!BYT5)</f>
        <v>#VALUE!</v>
      </c>
      <c r="BYU6" s="68" t="e" cm="1" vm="1">
        <f t="array" ref="BYU6">_xlfn._xlws.FILTER(TablaProductos[Nombre producto],TablaProductos[Agrupación]=ProductosPivot!BYU5)</f>
        <v>#VALUE!</v>
      </c>
      <c r="BYV6" s="68" t="e" cm="1" vm="1">
        <f t="array" ref="BYV6">_xlfn._xlws.FILTER(TablaProductos[Nombre producto],TablaProductos[Agrupación]=ProductosPivot!BYV5)</f>
        <v>#VALUE!</v>
      </c>
      <c r="BYW6" s="68" t="e" cm="1" vm="1">
        <f t="array" ref="BYW6">_xlfn._xlws.FILTER(TablaProductos[Nombre producto],TablaProductos[Agrupación]=ProductosPivot!BYW5)</f>
        <v>#VALUE!</v>
      </c>
      <c r="BYX6" s="68" t="e" cm="1" vm="1">
        <f t="array" ref="BYX6">_xlfn._xlws.FILTER(TablaProductos[Nombre producto],TablaProductos[Agrupación]=ProductosPivot!BYX5)</f>
        <v>#VALUE!</v>
      </c>
      <c r="BYY6" s="68" t="e" cm="1" vm="1">
        <f t="array" ref="BYY6">_xlfn._xlws.FILTER(TablaProductos[Nombre producto],TablaProductos[Agrupación]=ProductosPivot!BYY5)</f>
        <v>#VALUE!</v>
      </c>
      <c r="BYZ6" s="68" t="e" cm="1" vm="1">
        <f t="array" ref="BYZ6">_xlfn._xlws.FILTER(TablaProductos[Nombre producto],TablaProductos[Agrupación]=ProductosPivot!BYZ5)</f>
        <v>#VALUE!</v>
      </c>
      <c r="BZA6" s="68" t="e" cm="1" vm="1">
        <f t="array" ref="BZA6">_xlfn._xlws.FILTER(TablaProductos[Nombre producto],TablaProductos[Agrupación]=ProductosPivot!BZA5)</f>
        <v>#VALUE!</v>
      </c>
      <c r="BZB6" s="68" t="e" cm="1" vm="1">
        <f t="array" ref="BZB6">_xlfn._xlws.FILTER(TablaProductos[Nombre producto],TablaProductos[Agrupación]=ProductosPivot!BZB5)</f>
        <v>#VALUE!</v>
      </c>
      <c r="BZC6" s="68" t="e" cm="1" vm="1">
        <f t="array" ref="BZC6">_xlfn._xlws.FILTER(TablaProductos[Nombre producto],TablaProductos[Agrupación]=ProductosPivot!BZC5)</f>
        <v>#VALUE!</v>
      </c>
      <c r="BZD6" s="68" t="e" cm="1" vm="1">
        <f t="array" ref="BZD6">_xlfn._xlws.FILTER(TablaProductos[Nombre producto],TablaProductos[Agrupación]=ProductosPivot!BZD5)</f>
        <v>#VALUE!</v>
      </c>
      <c r="BZE6" s="68" t="e" cm="1" vm="1">
        <f t="array" ref="BZE6">_xlfn._xlws.FILTER(TablaProductos[Nombre producto],TablaProductos[Agrupación]=ProductosPivot!BZE5)</f>
        <v>#VALUE!</v>
      </c>
      <c r="BZF6" s="68" t="e" cm="1" vm="1">
        <f t="array" ref="BZF6">_xlfn._xlws.FILTER(TablaProductos[Nombre producto],TablaProductos[Agrupación]=ProductosPivot!BZF5)</f>
        <v>#VALUE!</v>
      </c>
      <c r="BZG6" s="68" t="e" cm="1" vm="1">
        <f t="array" ref="BZG6">_xlfn._xlws.FILTER(TablaProductos[Nombre producto],TablaProductos[Agrupación]=ProductosPivot!BZG5)</f>
        <v>#VALUE!</v>
      </c>
      <c r="BZH6" s="68" t="e" cm="1" vm="1">
        <f t="array" ref="BZH6">_xlfn._xlws.FILTER(TablaProductos[Nombre producto],TablaProductos[Agrupación]=ProductosPivot!BZH5)</f>
        <v>#VALUE!</v>
      </c>
      <c r="BZI6" s="68" t="e" cm="1" vm="1">
        <f t="array" ref="BZI6">_xlfn._xlws.FILTER(TablaProductos[Nombre producto],TablaProductos[Agrupación]=ProductosPivot!BZI5)</f>
        <v>#VALUE!</v>
      </c>
      <c r="BZJ6" s="68" t="e" cm="1" vm="1">
        <f t="array" ref="BZJ6">_xlfn._xlws.FILTER(TablaProductos[Nombre producto],TablaProductos[Agrupación]=ProductosPivot!BZJ5)</f>
        <v>#VALUE!</v>
      </c>
      <c r="BZK6" s="68" t="e" cm="1" vm="1">
        <f t="array" ref="BZK6">_xlfn._xlws.FILTER(TablaProductos[Nombre producto],TablaProductos[Agrupación]=ProductosPivot!BZK5)</f>
        <v>#VALUE!</v>
      </c>
      <c r="BZL6" s="68" t="e" cm="1" vm="1">
        <f t="array" ref="BZL6">_xlfn._xlws.FILTER(TablaProductos[Nombre producto],TablaProductos[Agrupación]=ProductosPivot!BZL5)</f>
        <v>#VALUE!</v>
      </c>
      <c r="BZM6" s="68" t="e" cm="1" vm="1">
        <f t="array" ref="BZM6">_xlfn._xlws.FILTER(TablaProductos[Nombre producto],TablaProductos[Agrupación]=ProductosPivot!BZM5)</f>
        <v>#VALUE!</v>
      </c>
      <c r="BZN6" s="68" t="e" cm="1" vm="1">
        <f t="array" ref="BZN6">_xlfn._xlws.FILTER(TablaProductos[Nombre producto],TablaProductos[Agrupación]=ProductosPivot!BZN5)</f>
        <v>#VALUE!</v>
      </c>
      <c r="BZO6" s="68" t="e" cm="1" vm="1">
        <f t="array" ref="BZO6">_xlfn._xlws.FILTER(TablaProductos[Nombre producto],TablaProductos[Agrupación]=ProductosPivot!BZO5)</f>
        <v>#VALUE!</v>
      </c>
      <c r="BZP6" s="68" t="e" cm="1" vm="1">
        <f t="array" ref="BZP6">_xlfn._xlws.FILTER(TablaProductos[Nombre producto],TablaProductos[Agrupación]=ProductosPivot!BZP5)</f>
        <v>#VALUE!</v>
      </c>
      <c r="BZQ6" s="68" t="e" cm="1" vm="1">
        <f t="array" ref="BZQ6">_xlfn._xlws.FILTER(TablaProductos[Nombre producto],TablaProductos[Agrupación]=ProductosPivot!BZQ5)</f>
        <v>#VALUE!</v>
      </c>
      <c r="BZR6" s="68" t="e" cm="1" vm="1">
        <f t="array" ref="BZR6">_xlfn._xlws.FILTER(TablaProductos[Nombre producto],TablaProductos[Agrupación]=ProductosPivot!BZR5)</f>
        <v>#VALUE!</v>
      </c>
      <c r="BZS6" s="68" t="e" cm="1" vm="1">
        <f t="array" ref="BZS6">_xlfn._xlws.FILTER(TablaProductos[Nombre producto],TablaProductos[Agrupación]=ProductosPivot!BZS5)</f>
        <v>#VALUE!</v>
      </c>
      <c r="BZT6" s="68" t="e" cm="1" vm="1">
        <f t="array" ref="BZT6">_xlfn._xlws.FILTER(TablaProductos[Nombre producto],TablaProductos[Agrupación]=ProductosPivot!BZT5)</f>
        <v>#VALUE!</v>
      </c>
      <c r="BZU6" s="68" t="e" cm="1" vm="1">
        <f t="array" ref="BZU6">_xlfn._xlws.FILTER(TablaProductos[Nombre producto],TablaProductos[Agrupación]=ProductosPivot!BZU5)</f>
        <v>#VALUE!</v>
      </c>
      <c r="BZV6" s="68" t="e" cm="1" vm="1">
        <f t="array" ref="BZV6">_xlfn._xlws.FILTER(TablaProductos[Nombre producto],TablaProductos[Agrupación]=ProductosPivot!BZV5)</f>
        <v>#VALUE!</v>
      </c>
      <c r="BZW6" s="68" t="e" cm="1" vm="1">
        <f t="array" ref="BZW6">_xlfn._xlws.FILTER(TablaProductos[Nombre producto],TablaProductos[Agrupación]=ProductosPivot!BZW5)</f>
        <v>#VALUE!</v>
      </c>
      <c r="BZX6" s="68" t="e" cm="1" vm="1">
        <f t="array" ref="BZX6">_xlfn._xlws.FILTER(TablaProductos[Nombre producto],TablaProductos[Agrupación]=ProductosPivot!BZX5)</f>
        <v>#VALUE!</v>
      </c>
      <c r="BZY6" s="68" t="e" cm="1" vm="1">
        <f t="array" ref="BZY6">_xlfn._xlws.FILTER(TablaProductos[Nombre producto],TablaProductos[Agrupación]=ProductosPivot!BZY5)</f>
        <v>#VALUE!</v>
      </c>
      <c r="BZZ6" s="68" t="e" cm="1" vm="1">
        <f t="array" ref="BZZ6">_xlfn._xlws.FILTER(TablaProductos[Nombre producto],TablaProductos[Agrupación]=ProductosPivot!BZZ5)</f>
        <v>#VALUE!</v>
      </c>
      <c r="CAA6" s="68" t="e" cm="1" vm="1">
        <f t="array" ref="CAA6">_xlfn._xlws.FILTER(TablaProductos[Nombre producto],TablaProductos[Agrupación]=ProductosPivot!CAA5)</f>
        <v>#VALUE!</v>
      </c>
      <c r="CAB6" s="68" t="e" cm="1" vm="1">
        <f t="array" ref="CAB6">_xlfn._xlws.FILTER(TablaProductos[Nombre producto],TablaProductos[Agrupación]=ProductosPivot!CAB5)</f>
        <v>#VALUE!</v>
      </c>
      <c r="CAC6" s="68" t="e" cm="1" vm="1">
        <f t="array" ref="CAC6">_xlfn._xlws.FILTER(TablaProductos[Nombre producto],TablaProductos[Agrupación]=ProductosPivot!CAC5)</f>
        <v>#VALUE!</v>
      </c>
      <c r="CAD6" s="68" t="e" cm="1" vm="1">
        <f t="array" ref="CAD6">_xlfn._xlws.FILTER(TablaProductos[Nombre producto],TablaProductos[Agrupación]=ProductosPivot!CAD5)</f>
        <v>#VALUE!</v>
      </c>
      <c r="CAE6" s="68" t="e" cm="1" vm="1">
        <f t="array" ref="CAE6">_xlfn._xlws.FILTER(TablaProductos[Nombre producto],TablaProductos[Agrupación]=ProductosPivot!CAE5)</f>
        <v>#VALUE!</v>
      </c>
      <c r="CAF6" s="68" t="e" cm="1" vm="1">
        <f t="array" ref="CAF6">_xlfn._xlws.FILTER(TablaProductos[Nombre producto],TablaProductos[Agrupación]=ProductosPivot!CAF5)</f>
        <v>#VALUE!</v>
      </c>
      <c r="CAG6" s="68" t="e" cm="1" vm="1">
        <f t="array" ref="CAG6">_xlfn._xlws.FILTER(TablaProductos[Nombre producto],TablaProductos[Agrupación]=ProductosPivot!CAG5)</f>
        <v>#VALUE!</v>
      </c>
      <c r="CAH6" s="68" t="e" cm="1" vm="1">
        <f t="array" ref="CAH6">_xlfn._xlws.FILTER(TablaProductos[Nombre producto],TablaProductos[Agrupación]=ProductosPivot!CAH5)</f>
        <v>#VALUE!</v>
      </c>
      <c r="CAI6" s="68" t="e" cm="1" vm="1">
        <f t="array" ref="CAI6">_xlfn._xlws.FILTER(TablaProductos[Nombre producto],TablaProductos[Agrupación]=ProductosPivot!CAI5)</f>
        <v>#VALUE!</v>
      </c>
      <c r="CAJ6" s="68" t="e" cm="1" vm="1">
        <f t="array" ref="CAJ6">_xlfn._xlws.FILTER(TablaProductos[Nombre producto],TablaProductos[Agrupación]=ProductosPivot!CAJ5)</f>
        <v>#VALUE!</v>
      </c>
      <c r="CAK6" s="68" t="e" cm="1" vm="1">
        <f t="array" ref="CAK6">_xlfn._xlws.FILTER(TablaProductos[Nombre producto],TablaProductos[Agrupación]=ProductosPivot!CAK5)</f>
        <v>#VALUE!</v>
      </c>
      <c r="CAL6" s="68" t="e" cm="1" vm="1">
        <f t="array" ref="CAL6">_xlfn._xlws.FILTER(TablaProductos[Nombre producto],TablaProductos[Agrupación]=ProductosPivot!CAL5)</f>
        <v>#VALUE!</v>
      </c>
      <c r="CAM6" s="68" t="e" cm="1" vm="1">
        <f t="array" ref="CAM6">_xlfn._xlws.FILTER(TablaProductos[Nombre producto],TablaProductos[Agrupación]=ProductosPivot!CAM5)</f>
        <v>#VALUE!</v>
      </c>
      <c r="CAN6" s="68" t="e" cm="1" vm="1">
        <f t="array" ref="CAN6">_xlfn._xlws.FILTER(TablaProductos[Nombre producto],TablaProductos[Agrupación]=ProductosPivot!CAN5)</f>
        <v>#VALUE!</v>
      </c>
      <c r="CAO6" s="68" t="e" cm="1" vm="1">
        <f t="array" ref="CAO6">_xlfn._xlws.FILTER(TablaProductos[Nombre producto],TablaProductos[Agrupación]=ProductosPivot!CAO5)</f>
        <v>#VALUE!</v>
      </c>
      <c r="CAP6" s="68" t="e" cm="1" vm="1">
        <f t="array" ref="CAP6">_xlfn._xlws.FILTER(TablaProductos[Nombre producto],TablaProductos[Agrupación]=ProductosPivot!CAP5)</f>
        <v>#VALUE!</v>
      </c>
      <c r="CAQ6" s="68" t="e" cm="1" vm="1">
        <f t="array" ref="CAQ6">_xlfn._xlws.FILTER(TablaProductos[Nombre producto],TablaProductos[Agrupación]=ProductosPivot!CAQ5)</f>
        <v>#VALUE!</v>
      </c>
      <c r="CAR6" s="68" t="e" cm="1" vm="1">
        <f t="array" ref="CAR6">_xlfn._xlws.FILTER(TablaProductos[Nombre producto],TablaProductos[Agrupación]=ProductosPivot!CAR5)</f>
        <v>#VALUE!</v>
      </c>
      <c r="CAS6" s="68" t="e" cm="1" vm="1">
        <f t="array" ref="CAS6">_xlfn._xlws.FILTER(TablaProductos[Nombre producto],TablaProductos[Agrupación]=ProductosPivot!CAS5)</f>
        <v>#VALUE!</v>
      </c>
      <c r="CAT6" s="68" t="e" cm="1" vm="1">
        <f t="array" ref="CAT6">_xlfn._xlws.FILTER(TablaProductos[Nombre producto],TablaProductos[Agrupación]=ProductosPivot!CAT5)</f>
        <v>#VALUE!</v>
      </c>
      <c r="CAU6" s="68" t="e" cm="1" vm="1">
        <f t="array" ref="CAU6">_xlfn._xlws.FILTER(TablaProductos[Nombre producto],TablaProductos[Agrupación]=ProductosPivot!CAU5)</f>
        <v>#VALUE!</v>
      </c>
      <c r="CAV6" s="68" t="e" cm="1" vm="1">
        <f t="array" ref="CAV6">_xlfn._xlws.FILTER(TablaProductos[Nombre producto],TablaProductos[Agrupación]=ProductosPivot!CAV5)</f>
        <v>#VALUE!</v>
      </c>
      <c r="CAW6" s="68" t="e" cm="1" vm="1">
        <f t="array" ref="CAW6">_xlfn._xlws.FILTER(TablaProductos[Nombre producto],TablaProductos[Agrupación]=ProductosPivot!CAW5)</f>
        <v>#VALUE!</v>
      </c>
      <c r="CAX6" s="68" t="e" cm="1" vm="1">
        <f t="array" ref="CAX6">_xlfn._xlws.FILTER(TablaProductos[Nombre producto],TablaProductos[Agrupación]=ProductosPivot!CAX5)</f>
        <v>#VALUE!</v>
      </c>
      <c r="CAY6" s="68" t="e" cm="1" vm="1">
        <f t="array" ref="CAY6">_xlfn._xlws.FILTER(TablaProductos[Nombre producto],TablaProductos[Agrupación]=ProductosPivot!CAY5)</f>
        <v>#VALUE!</v>
      </c>
      <c r="CAZ6" s="68" t="e" cm="1" vm="1">
        <f t="array" ref="CAZ6">_xlfn._xlws.FILTER(TablaProductos[Nombre producto],TablaProductos[Agrupación]=ProductosPivot!CAZ5)</f>
        <v>#VALUE!</v>
      </c>
      <c r="CBA6" s="68" t="e" cm="1" vm="1">
        <f t="array" ref="CBA6">_xlfn._xlws.FILTER(TablaProductos[Nombre producto],TablaProductos[Agrupación]=ProductosPivot!CBA5)</f>
        <v>#VALUE!</v>
      </c>
      <c r="CBB6" s="68" t="e" cm="1" vm="1">
        <f t="array" ref="CBB6">_xlfn._xlws.FILTER(TablaProductos[Nombre producto],TablaProductos[Agrupación]=ProductosPivot!CBB5)</f>
        <v>#VALUE!</v>
      </c>
      <c r="CBC6" s="68" t="e" cm="1" vm="1">
        <f t="array" ref="CBC6">_xlfn._xlws.FILTER(TablaProductos[Nombre producto],TablaProductos[Agrupación]=ProductosPivot!CBC5)</f>
        <v>#VALUE!</v>
      </c>
      <c r="CBD6" s="68" t="e" cm="1" vm="1">
        <f t="array" ref="CBD6">_xlfn._xlws.FILTER(TablaProductos[Nombre producto],TablaProductos[Agrupación]=ProductosPivot!CBD5)</f>
        <v>#VALUE!</v>
      </c>
      <c r="CBE6" s="68" t="e" cm="1" vm="1">
        <f t="array" ref="CBE6">_xlfn._xlws.FILTER(TablaProductos[Nombre producto],TablaProductos[Agrupación]=ProductosPivot!CBE5)</f>
        <v>#VALUE!</v>
      </c>
      <c r="CBF6" s="68" t="e" cm="1" vm="1">
        <f t="array" ref="CBF6">_xlfn._xlws.FILTER(TablaProductos[Nombre producto],TablaProductos[Agrupación]=ProductosPivot!CBF5)</f>
        <v>#VALUE!</v>
      </c>
      <c r="CBG6" s="68" t="e" cm="1" vm="1">
        <f t="array" ref="CBG6">_xlfn._xlws.FILTER(TablaProductos[Nombre producto],TablaProductos[Agrupación]=ProductosPivot!CBG5)</f>
        <v>#VALUE!</v>
      </c>
      <c r="CBH6" s="68" t="e" cm="1" vm="1">
        <f t="array" ref="CBH6">_xlfn._xlws.FILTER(TablaProductos[Nombre producto],TablaProductos[Agrupación]=ProductosPivot!CBH5)</f>
        <v>#VALUE!</v>
      </c>
      <c r="CBI6" s="68" t="e" cm="1" vm="1">
        <f t="array" ref="CBI6">_xlfn._xlws.FILTER(TablaProductos[Nombre producto],TablaProductos[Agrupación]=ProductosPivot!CBI5)</f>
        <v>#VALUE!</v>
      </c>
      <c r="CBJ6" s="68" t="e" cm="1" vm="1">
        <f t="array" ref="CBJ6">_xlfn._xlws.FILTER(TablaProductos[Nombre producto],TablaProductos[Agrupación]=ProductosPivot!CBJ5)</f>
        <v>#VALUE!</v>
      </c>
      <c r="CBK6" s="68" t="e" cm="1" vm="1">
        <f t="array" ref="CBK6">_xlfn._xlws.FILTER(TablaProductos[Nombre producto],TablaProductos[Agrupación]=ProductosPivot!CBK5)</f>
        <v>#VALUE!</v>
      </c>
      <c r="CBL6" s="68" t="e" cm="1" vm="1">
        <f t="array" ref="CBL6">_xlfn._xlws.FILTER(TablaProductos[Nombre producto],TablaProductos[Agrupación]=ProductosPivot!CBL5)</f>
        <v>#VALUE!</v>
      </c>
      <c r="CBM6" s="68" t="e" cm="1" vm="1">
        <f t="array" ref="CBM6">_xlfn._xlws.FILTER(TablaProductos[Nombre producto],TablaProductos[Agrupación]=ProductosPivot!CBM5)</f>
        <v>#VALUE!</v>
      </c>
      <c r="CBN6" s="68" t="e" cm="1" vm="1">
        <f t="array" ref="CBN6">_xlfn._xlws.FILTER(TablaProductos[Nombre producto],TablaProductos[Agrupación]=ProductosPivot!CBN5)</f>
        <v>#VALUE!</v>
      </c>
      <c r="CBO6" s="68" t="e" cm="1" vm="1">
        <f t="array" ref="CBO6">_xlfn._xlws.FILTER(TablaProductos[Nombre producto],TablaProductos[Agrupación]=ProductosPivot!CBO5)</f>
        <v>#VALUE!</v>
      </c>
      <c r="CBP6" s="68" t="e" cm="1" vm="1">
        <f t="array" ref="CBP6">_xlfn._xlws.FILTER(TablaProductos[Nombre producto],TablaProductos[Agrupación]=ProductosPivot!CBP5)</f>
        <v>#VALUE!</v>
      </c>
      <c r="CBQ6" s="68" t="e" cm="1" vm="1">
        <f t="array" ref="CBQ6">_xlfn._xlws.FILTER(TablaProductos[Nombre producto],TablaProductos[Agrupación]=ProductosPivot!CBQ5)</f>
        <v>#VALUE!</v>
      </c>
      <c r="CBR6" s="68" t="e" cm="1" vm="1">
        <f t="array" ref="CBR6">_xlfn._xlws.FILTER(TablaProductos[Nombre producto],TablaProductos[Agrupación]=ProductosPivot!CBR5)</f>
        <v>#VALUE!</v>
      </c>
      <c r="CBS6" s="68" t="e" cm="1" vm="1">
        <f t="array" ref="CBS6">_xlfn._xlws.FILTER(TablaProductos[Nombre producto],TablaProductos[Agrupación]=ProductosPivot!CBS5)</f>
        <v>#VALUE!</v>
      </c>
      <c r="CBT6" s="68" t="e" cm="1" vm="1">
        <f t="array" ref="CBT6">_xlfn._xlws.FILTER(TablaProductos[Nombre producto],TablaProductos[Agrupación]=ProductosPivot!CBT5)</f>
        <v>#VALUE!</v>
      </c>
      <c r="CBU6" s="68" t="e" cm="1" vm="1">
        <f t="array" ref="CBU6">_xlfn._xlws.FILTER(TablaProductos[Nombre producto],TablaProductos[Agrupación]=ProductosPivot!CBU5)</f>
        <v>#VALUE!</v>
      </c>
      <c r="CBV6" s="68" t="e" cm="1" vm="1">
        <f t="array" ref="CBV6">_xlfn._xlws.FILTER(TablaProductos[Nombre producto],TablaProductos[Agrupación]=ProductosPivot!CBV5)</f>
        <v>#VALUE!</v>
      </c>
      <c r="CBW6" s="68" t="e" cm="1" vm="1">
        <f t="array" ref="CBW6">_xlfn._xlws.FILTER(TablaProductos[Nombre producto],TablaProductos[Agrupación]=ProductosPivot!CBW5)</f>
        <v>#VALUE!</v>
      </c>
      <c r="CBX6" s="68" t="e" cm="1" vm="1">
        <f t="array" ref="CBX6">_xlfn._xlws.FILTER(TablaProductos[Nombre producto],TablaProductos[Agrupación]=ProductosPivot!CBX5)</f>
        <v>#VALUE!</v>
      </c>
      <c r="CBY6" s="68" t="e" cm="1" vm="1">
        <f t="array" ref="CBY6">_xlfn._xlws.FILTER(TablaProductos[Nombre producto],TablaProductos[Agrupación]=ProductosPivot!CBY5)</f>
        <v>#VALUE!</v>
      </c>
      <c r="CBZ6" s="68" t="e" cm="1" vm="1">
        <f t="array" ref="CBZ6">_xlfn._xlws.FILTER(TablaProductos[Nombre producto],TablaProductos[Agrupación]=ProductosPivot!CBZ5)</f>
        <v>#VALUE!</v>
      </c>
      <c r="CCA6" s="68" t="e" cm="1" vm="1">
        <f t="array" ref="CCA6">_xlfn._xlws.FILTER(TablaProductos[Nombre producto],TablaProductos[Agrupación]=ProductosPivot!CCA5)</f>
        <v>#VALUE!</v>
      </c>
      <c r="CCB6" s="68" t="e" cm="1" vm="1">
        <f t="array" ref="CCB6">_xlfn._xlws.FILTER(TablaProductos[Nombre producto],TablaProductos[Agrupación]=ProductosPivot!CCB5)</f>
        <v>#VALUE!</v>
      </c>
      <c r="CCC6" s="68" t="e" cm="1" vm="1">
        <f t="array" ref="CCC6">_xlfn._xlws.FILTER(TablaProductos[Nombre producto],TablaProductos[Agrupación]=ProductosPivot!CCC5)</f>
        <v>#VALUE!</v>
      </c>
      <c r="CCD6" s="68" t="e" cm="1" vm="1">
        <f t="array" ref="CCD6">_xlfn._xlws.FILTER(TablaProductos[Nombre producto],TablaProductos[Agrupación]=ProductosPivot!CCD5)</f>
        <v>#VALUE!</v>
      </c>
      <c r="CCE6" s="68" t="e" cm="1" vm="1">
        <f t="array" ref="CCE6">_xlfn._xlws.FILTER(TablaProductos[Nombre producto],TablaProductos[Agrupación]=ProductosPivot!CCE5)</f>
        <v>#VALUE!</v>
      </c>
      <c r="CCF6" s="68" t="e" cm="1" vm="1">
        <f t="array" ref="CCF6">_xlfn._xlws.FILTER(TablaProductos[Nombre producto],TablaProductos[Agrupación]=ProductosPivot!CCF5)</f>
        <v>#VALUE!</v>
      </c>
      <c r="CCG6" s="68" t="e" cm="1" vm="1">
        <f t="array" ref="CCG6">_xlfn._xlws.FILTER(TablaProductos[Nombre producto],TablaProductos[Agrupación]=ProductosPivot!CCG5)</f>
        <v>#VALUE!</v>
      </c>
      <c r="CCH6" s="68" t="e" cm="1" vm="1">
        <f t="array" ref="CCH6">_xlfn._xlws.FILTER(TablaProductos[Nombre producto],TablaProductos[Agrupación]=ProductosPivot!CCH5)</f>
        <v>#VALUE!</v>
      </c>
      <c r="CCI6" s="68" t="e" cm="1" vm="1">
        <f t="array" ref="CCI6">_xlfn._xlws.FILTER(TablaProductos[Nombre producto],TablaProductos[Agrupación]=ProductosPivot!CCI5)</f>
        <v>#VALUE!</v>
      </c>
      <c r="CCJ6" s="68" t="e" cm="1" vm="1">
        <f t="array" ref="CCJ6">_xlfn._xlws.FILTER(TablaProductos[Nombre producto],TablaProductos[Agrupación]=ProductosPivot!CCJ5)</f>
        <v>#VALUE!</v>
      </c>
      <c r="CCK6" s="68" t="e" cm="1" vm="1">
        <f t="array" ref="CCK6">_xlfn._xlws.FILTER(TablaProductos[Nombre producto],TablaProductos[Agrupación]=ProductosPivot!CCK5)</f>
        <v>#VALUE!</v>
      </c>
      <c r="CCL6" s="68" t="e" cm="1" vm="1">
        <f t="array" ref="CCL6">_xlfn._xlws.FILTER(TablaProductos[Nombre producto],TablaProductos[Agrupación]=ProductosPivot!CCL5)</f>
        <v>#VALUE!</v>
      </c>
      <c r="CCM6" s="68" t="e" cm="1" vm="1">
        <f t="array" ref="CCM6">_xlfn._xlws.FILTER(TablaProductos[Nombre producto],TablaProductos[Agrupación]=ProductosPivot!CCM5)</f>
        <v>#VALUE!</v>
      </c>
      <c r="CCN6" s="68" t="e" cm="1" vm="1">
        <f t="array" ref="CCN6">_xlfn._xlws.FILTER(TablaProductos[Nombre producto],TablaProductos[Agrupación]=ProductosPivot!CCN5)</f>
        <v>#VALUE!</v>
      </c>
      <c r="CCO6" s="68" t="e" cm="1" vm="1">
        <f t="array" ref="CCO6">_xlfn._xlws.FILTER(TablaProductos[Nombre producto],TablaProductos[Agrupación]=ProductosPivot!CCO5)</f>
        <v>#VALUE!</v>
      </c>
      <c r="CCP6" s="68" t="e" cm="1" vm="1">
        <f t="array" ref="CCP6">_xlfn._xlws.FILTER(TablaProductos[Nombre producto],TablaProductos[Agrupación]=ProductosPivot!CCP5)</f>
        <v>#VALUE!</v>
      </c>
      <c r="CCQ6" s="68" t="e" cm="1" vm="1">
        <f t="array" ref="CCQ6">_xlfn._xlws.FILTER(TablaProductos[Nombre producto],TablaProductos[Agrupación]=ProductosPivot!CCQ5)</f>
        <v>#VALUE!</v>
      </c>
      <c r="CCR6" s="68" t="e" cm="1" vm="1">
        <f t="array" ref="CCR6">_xlfn._xlws.FILTER(TablaProductos[Nombre producto],TablaProductos[Agrupación]=ProductosPivot!CCR5)</f>
        <v>#VALUE!</v>
      </c>
      <c r="CCS6" s="68" t="e" cm="1" vm="1">
        <f t="array" ref="CCS6">_xlfn._xlws.FILTER(TablaProductos[Nombre producto],TablaProductos[Agrupación]=ProductosPivot!CCS5)</f>
        <v>#VALUE!</v>
      </c>
      <c r="CCT6" s="68" t="e" cm="1" vm="1">
        <f t="array" ref="CCT6">_xlfn._xlws.FILTER(TablaProductos[Nombre producto],TablaProductos[Agrupación]=ProductosPivot!CCT5)</f>
        <v>#VALUE!</v>
      </c>
      <c r="CCU6" s="68" t="e" cm="1" vm="1">
        <f t="array" ref="CCU6">_xlfn._xlws.FILTER(TablaProductos[Nombre producto],TablaProductos[Agrupación]=ProductosPivot!CCU5)</f>
        <v>#VALUE!</v>
      </c>
      <c r="CCV6" s="68" t="e" cm="1" vm="1">
        <f t="array" ref="CCV6">_xlfn._xlws.FILTER(TablaProductos[Nombre producto],TablaProductos[Agrupación]=ProductosPivot!CCV5)</f>
        <v>#VALUE!</v>
      </c>
      <c r="CCW6" s="68" t="e" cm="1" vm="1">
        <f t="array" ref="CCW6">_xlfn._xlws.FILTER(TablaProductos[Nombre producto],TablaProductos[Agrupación]=ProductosPivot!CCW5)</f>
        <v>#VALUE!</v>
      </c>
      <c r="CCX6" s="68" t="e" cm="1" vm="1">
        <f t="array" ref="CCX6">_xlfn._xlws.FILTER(TablaProductos[Nombre producto],TablaProductos[Agrupación]=ProductosPivot!CCX5)</f>
        <v>#VALUE!</v>
      </c>
      <c r="CCY6" s="68" t="e" cm="1" vm="1">
        <f t="array" ref="CCY6">_xlfn._xlws.FILTER(TablaProductos[Nombre producto],TablaProductos[Agrupación]=ProductosPivot!CCY5)</f>
        <v>#VALUE!</v>
      </c>
      <c r="CCZ6" s="68" t="e" cm="1" vm="1">
        <f t="array" ref="CCZ6">_xlfn._xlws.FILTER(TablaProductos[Nombre producto],TablaProductos[Agrupación]=ProductosPivot!CCZ5)</f>
        <v>#VALUE!</v>
      </c>
      <c r="CDA6" s="68" t="e" cm="1" vm="1">
        <f t="array" ref="CDA6">_xlfn._xlws.FILTER(TablaProductos[Nombre producto],TablaProductos[Agrupación]=ProductosPivot!CDA5)</f>
        <v>#VALUE!</v>
      </c>
      <c r="CDB6" s="68" t="e" cm="1" vm="1">
        <f t="array" ref="CDB6">_xlfn._xlws.FILTER(TablaProductos[Nombre producto],TablaProductos[Agrupación]=ProductosPivot!CDB5)</f>
        <v>#VALUE!</v>
      </c>
      <c r="CDC6" s="68" t="e" cm="1" vm="1">
        <f t="array" ref="CDC6">_xlfn._xlws.FILTER(TablaProductos[Nombre producto],TablaProductos[Agrupación]=ProductosPivot!CDC5)</f>
        <v>#VALUE!</v>
      </c>
      <c r="CDD6" s="68" t="e" cm="1" vm="1">
        <f t="array" ref="CDD6">_xlfn._xlws.FILTER(TablaProductos[Nombre producto],TablaProductos[Agrupación]=ProductosPivot!CDD5)</f>
        <v>#VALUE!</v>
      </c>
      <c r="CDE6" s="68" t="e" cm="1" vm="1">
        <f t="array" ref="CDE6">_xlfn._xlws.FILTER(TablaProductos[Nombre producto],TablaProductos[Agrupación]=ProductosPivot!CDE5)</f>
        <v>#VALUE!</v>
      </c>
      <c r="CDF6" s="68" t="e" cm="1" vm="1">
        <f t="array" ref="CDF6">_xlfn._xlws.FILTER(TablaProductos[Nombre producto],TablaProductos[Agrupación]=ProductosPivot!CDF5)</f>
        <v>#VALUE!</v>
      </c>
      <c r="CDG6" s="68" t="e" cm="1" vm="1">
        <f t="array" ref="CDG6">_xlfn._xlws.FILTER(TablaProductos[Nombre producto],TablaProductos[Agrupación]=ProductosPivot!CDG5)</f>
        <v>#VALUE!</v>
      </c>
      <c r="CDH6" s="68" t="e" cm="1" vm="1">
        <f t="array" ref="CDH6">_xlfn._xlws.FILTER(TablaProductos[Nombre producto],TablaProductos[Agrupación]=ProductosPivot!CDH5)</f>
        <v>#VALUE!</v>
      </c>
      <c r="CDI6" s="68" t="e" cm="1" vm="1">
        <f t="array" ref="CDI6">_xlfn._xlws.FILTER(TablaProductos[Nombre producto],TablaProductos[Agrupación]=ProductosPivot!CDI5)</f>
        <v>#VALUE!</v>
      </c>
      <c r="CDJ6" s="68" t="e" cm="1" vm="1">
        <f t="array" ref="CDJ6">_xlfn._xlws.FILTER(TablaProductos[Nombre producto],TablaProductos[Agrupación]=ProductosPivot!CDJ5)</f>
        <v>#VALUE!</v>
      </c>
      <c r="CDK6" s="68" t="e" cm="1" vm="1">
        <f t="array" ref="CDK6">_xlfn._xlws.FILTER(TablaProductos[Nombre producto],TablaProductos[Agrupación]=ProductosPivot!CDK5)</f>
        <v>#VALUE!</v>
      </c>
      <c r="CDL6" s="68" t="e" cm="1" vm="1">
        <f t="array" ref="CDL6">_xlfn._xlws.FILTER(TablaProductos[Nombre producto],TablaProductos[Agrupación]=ProductosPivot!CDL5)</f>
        <v>#VALUE!</v>
      </c>
      <c r="CDM6" s="68" t="e" cm="1" vm="1">
        <f t="array" ref="CDM6">_xlfn._xlws.FILTER(TablaProductos[Nombre producto],TablaProductos[Agrupación]=ProductosPivot!CDM5)</f>
        <v>#VALUE!</v>
      </c>
      <c r="CDN6" s="68" t="e" cm="1" vm="1">
        <f t="array" ref="CDN6">_xlfn._xlws.FILTER(TablaProductos[Nombre producto],TablaProductos[Agrupación]=ProductosPivot!CDN5)</f>
        <v>#VALUE!</v>
      </c>
      <c r="CDO6" s="68" t="e" cm="1" vm="1">
        <f t="array" ref="CDO6">_xlfn._xlws.FILTER(TablaProductos[Nombre producto],TablaProductos[Agrupación]=ProductosPivot!CDO5)</f>
        <v>#VALUE!</v>
      </c>
      <c r="CDP6" s="68" t="e" cm="1" vm="1">
        <f t="array" ref="CDP6">_xlfn._xlws.FILTER(TablaProductos[Nombre producto],TablaProductos[Agrupación]=ProductosPivot!CDP5)</f>
        <v>#VALUE!</v>
      </c>
      <c r="CDQ6" s="68" t="e" cm="1" vm="1">
        <f t="array" ref="CDQ6">_xlfn._xlws.FILTER(TablaProductos[Nombre producto],TablaProductos[Agrupación]=ProductosPivot!CDQ5)</f>
        <v>#VALUE!</v>
      </c>
      <c r="CDR6" s="68" t="e" cm="1" vm="1">
        <f t="array" ref="CDR6">_xlfn._xlws.FILTER(TablaProductos[Nombre producto],TablaProductos[Agrupación]=ProductosPivot!CDR5)</f>
        <v>#VALUE!</v>
      </c>
      <c r="CDS6" s="68" t="e" cm="1" vm="1">
        <f t="array" ref="CDS6">_xlfn._xlws.FILTER(TablaProductos[Nombre producto],TablaProductos[Agrupación]=ProductosPivot!CDS5)</f>
        <v>#VALUE!</v>
      </c>
      <c r="CDT6" s="68" t="e" cm="1" vm="1">
        <f t="array" ref="CDT6">_xlfn._xlws.FILTER(TablaProductos[Nombre producto],TablaProductos[Agrupación]=ProductosPivot!CDT5)</f>
        <v>#VALUE!</v>
      </c>
      <c r="CDU6" s="68" t="e" cm="1" vm="1">
        <f t="array" ref="CDU6">_xlfn._xlws.FILTER(TablaProductos[Nombre producto],TablaProductos[Agrupación]=ProductosPivot!CDU5)</f>
        <v>#VALUE!</v>
      </c>
      <c r="CDV6" s="68" t="e" cm="1" vm="1">
        <f t="array" ref="CDV6">_xlfn._xlws.FILTER(TablaProductos[Nombre producto],TablaProductos[Agrupación]=ProductosPivot!CDV5)</f>
        <v>#VALUE!</v>
      </c>
      <c r="CDW6" s="68" t="e" cm="1" vm="1">
        <f t="array" ref="CDW6">_xlfn._xlws.FILTER(TablaProductos[Nombre producto],TablaProductos[Agrupación]=ProductosPivot!CDW5)</f>
        <v>#VALUE!</v>
      </c>
      <c r="CDX6" s="68" t="e" cm="1" vm="1">
        <f t="array" ref="CDX6">_xlfn._xlws.FILTER(TablaProductos[Nombre producto],TablaProductos[Agrupación]=ProductosPivot!CDX5)</f>
        <v>#VALUE!</v>
      </c>
      <c r="CDY6" s="68" t="e" cm="1" vm="1">
        <f t="array" ref="CDY6">_xlfn._xlws.FILTER(TablaProductos[Nombre producto],TablaProductos[Agrupación]=ProductosPivot!CDY5)</f>
        <v>#VALUE!</v>
      </c>
      <c r="CDZ6" s="68" t="e" cm="1" vm="1">
        <f t="array" ref="CDZ6">_xlfn._xlws.FILTER(TablaProductos[Nombre producto],TablaProductos[Agrupación]=ProductosPivot!CDZ5)</f>
        <v>#VALUE!</v>
      </c>
      <c r="CEA6" s="68" t="e" cm="1" vm="1">
        <f t="array" ref="CEA6">_xlfn._xlws.FILTER(TablaProductos[Nombre producto],TablaProductos[Agrupación]=ProductosPivot!CEA5)</f>
        <v>#VALUE!</v>
      </c>
      <c r="CEB6" s="68" t="e" cm="1" vm="1">
        <f t="array" ref="CEB6">_xlfn._xlws.FILTER(TablaProductos[Nombre producto],TablaProductos[Agrupación]=ProductosPivot!CEB5)</f>
        <v>#VALUE!</v>
      </c>
      <c r="CEC6" s="68" t="e" cm="1" vm="1">
        <f t="array" ref="CEC6">_xlfn._xlws.FILTER(TablaProductos[Nombre producto],TablaProductos[Agrupación]=ProductosPivot!CEC5)</f>
        <v>#VALUE!</v>
      </c>
      <c r="CED6" s="68" t="e" cm="1" vm="1">
        <f t="array" ref="CED6">_xlfn._xlws.FILTER(TablaProductos[Nombre producto],TablaProductos[Agrupación]=ProductosPivot!CED5)</f>
        <v>#VALUE!</v>
      </c>
      <c r="CEE6" s="68" t="e" cm="1" vm="1">
        <f t="array" ref="CEE6">_xlfn._xlws.FILTER(TablaProductos[Nombre producto],TablaProductos[Agrupación]=ProductosPivot!CEE5)</f>
        <v>#VALUE!</v>
      </c>
      <c r="CEF6" s="68" t="e" cm="1" vm="1">
        <f t="array" ref="CEF6">_xlfn._xlws.FILTER(TablaProductos[Nombre producto],TablaProductos[Agrupación]=ProductosPivot!CEF5)</f>
        <v>#VALUE!</v>
      </c>
      <c r="CEG6" s="68" t="e" cm="1" vm="1">
        <f t="array" ref="CEG6">_xlfn._xlws.FILTER(TablaProductos[Nombre producto],TablaProductos[Agrupación]=ProductosPivot!CEG5)</f>
        <v>#VALUE!</v>
      </c>
      <c r="CEH6" s="68" t="e" cm="1" vm="1">
        <f t="array" ref="CEH6">_xlfn._xlws.FILTER(TablaProductos[Nombre producto],TablaProductos[Agrupación]=ProductosPivot!CEH5)</f>
        <v>#VALUE!</v>
      </c>
      <c r="CEI6" s="68" t="e" cm="1" vm="1">
        <f t="array" ref="CEI6">_xlfn._xlws.FILTER(TablaProductos[Nombre producto],TablaProductos[Agrupación]=ProductosPivot!CEI5)</f>
        <v>#VALUE!</v>
      </c>
      <c r="CEJ6" s="68" t="e" cm="1" vm="1">
        <f t="array" ref="CEJ6">_xlfn._xlws.FILTER(TablaProductos[Nombre producto],TablaProductos[Agrupación]=ProductosPivot!CEJ5)</f>
        <v>#VALUE!</v>
      </c>
      <c r="CEK6" s="68" t="e" cm="1" vm="1">
        <f t="array" ref="CEK6">_xlfn._xlws.FILTER(TablaProductos[Nombre producto],TablaProductos[Agrupación]=ProductosPivot!CEK5)</f>
        <v>#VALUE!</v>
      </c>
      <c r="CEL6" s="68" t="e" cm="1" vm="1">
        <f t="array" ref="CEL6">_xlfn._xlws.FILTER(TablaProductos[Nombre producto],TablaProductos[Agrupación]=ProductosPivot!CEL5)</f>
        <v>#VALUE!</v>
      </c>
      <c r="CEM6" s="68" t="e" cm="1" vm="1">
        <f t="array" ref="CEM6">_xlfn._xlws.FILTER(TablaProductos[Nombre producto],TablaProductos[Agrupación]=ProductosPivot!CEM5)</f>
        <v>#VALUE!</v>
      </c>
      <c r="CEN6" s="68" t="e" cm="1" vm="1">
        <f t="array" ref="CEN6">_xlfn._xlws.FILTER(TablaProductos[Nombre producto],TablaProductos[Agrupación]=ProductosPivot!CEN5)</f>
        <v>#VALUE!</v>
      </c>
      <c r="CEO6" s="68" t="e" cm="1" vm="1">
        <f t="array" ref="CEO6">_xlfn._xlws.FILTER(TablaProductos[Nombre producto],TablaProductos[Agrupación]=ProductosPivot!CEO5)</f>
        <v>#VALUE!</v>
      </c>
      <c r="CEP6" s="68" t="e" cm="1" vm="1">
        <f t="array" ref="CEP6">_xlfn._xlws.FILTER(TablaProductos[Nombre producto],TablaProductos[Agrupación]=ProductosPivot!CEP5)</f>
        <v>#VALUE!</v>
      </c>
      <c r="CEQ6" s="68" t="e" cm="1" vm="1">
        <f t="array" ref="CEQ6">_xlfn._xlws.FILTER(TablaProductos[Nombre producto],TablaProductos[Agrupación]=ProductosPivot!CEQ5)</f>
        <v>#VALUE!</v>
      </c>
      <c r="CER6" s="68" t="e" cm="1" vm="1">
        <f t="array" ref="CER6">_xlfn._xlws.FILTER(TablaProductos[Nombre producto],TablaProductos[Agrupación]=ProductosPivot!CER5)</f>
        <v>#VALUE!</v>
      </c>
      <c r="CES6" s="68" t="e" cm="1" vm="1">
        <f t="array" ref="CES6">_xlfn._xlws.FILTER(TablaProductos[Nombre producto],TablaProductos[Agrupación]=ProductosPivot!CES5)</f>
        <v>#VALUE!</v>
      </c>
      <c r="CET6" s="68" t="e" cm="1" vm="1">
        <f t="array" ref="CET6">_xlfn._xlws.FILTER(TablaProductos[Nombre producto],TablaProductos[Agrupación]=ProductosPivot!CET5)</f>
        <v>#VALUE!</v>
      </c>
      <c r="CEU6" s="68" t="e" cm="1" vm="1">
        <f t="array" ref="CEU6">_xlfn._xlws.FILTER(TablaProductos[Nombre producto],TablaProductos[Agrupación]=ProductosPivot!CEU5)</f>
        <v>#VALUE!</v>
      </c>
      <c r="CEV6" s="68" t="e" cm="1" vm="1">
        <f t="array" ref="CEV6">_xlfn._xlws.FILTER(TablaProductos[Nombre producto],TablaProductos[Agrupación]=ProductosPivot!CEV5)</f>
        <v>#VALUE!</v>
      </c>
      <c r="CEW6" s="68" t="e" cm="1" vm="1">
        <f t="array" ref="CEW6">_xlfn._xlws.FILTER(TablaProductos[Nombre producto],TablaProductos[Agrupación]=ProductosPivot!CEW5)</f>
        <v>#VALUE!</v>
      </c>
      <c r="CEX6" s="68" t="e" cm="1" vm="1">
        <f t="array" ref="CEX6">_xlfn._xlws.FILTER(TablaProductos[Nombre producto],TablaProductos[Agrupación]=ProductosPivot!CEX5)</f>
        <v>#VALUE!</v>
      </c>
      <c r="CEY6" s="68" t="e" cm="1" vm="1">
        <f t="array" ref="CEY6">_xlfn._xlws.FILTER(TablaProductos[Nombre producto],TablaProductos[Agrupación]=ProductosPivot!CEY5)</f>
        <v>#VALUE!</v>
      </c>
      <c r="CEZ6" s="68" t="e" cm="1" vm="1">
        <f t="array" ref="CEZ6">_xlfn._xlws.FILTER(TablaProductos[Nombre producto],TablaProductos[Agrupación]=ProductosPivot!CEZ5)</f>
        <v>#VALUE!</v>
      </c>
      <c r="CFA6" s="68" t="e" cm="1" vm="1">
        <f t="array" ref="CFA6">_xlfn._xlws.FILTER(TablaProductos[Nombre producto],TablaProductos[Agrupación]=ProductosPivot!CFA5)</f>
        <v>#VALUE!</v>
      </c>
      <c r="CFB6" s="68" t="e" cm="1" vm="1">
        <f t="array" ref="CFB6">_xlfn._xlws.FILTER(TablaProductos[Nombre producto],TablaProductos[Agrupación]=ProductosPivot!CFB5)</f>
        <v>#VALUE!</v>
      </c>
      <c r="CFC6" s="68" t="e" cm="1" vm="1">
        <f t="array" ref="CFC6">_xlfn._xlws.FILTER(TablaProductos[Nombre producto],TablaProductos[Agrupación]=ProductosPivot!CFC5)</f>
        <v>#VALUE!</v>
      </c>
      <c r="CFD6" s="68" t="e" cm="1" vm="1">
        <f t="array" ref="CFD6">_xlfn._xlws.FILTER(TablaProductos[Nombre producto],TablaProductos[Agrupación]=ProductosPivot!CFD5)</f>
        <v>#VALUE!</v>
      </c>
      <c r="CFE6" s="68" t="e" cm="1" vm="1">
        <f t="array" ref="CFE6">_xlfn._xlws.FILTER(TablaProductos[Nombre producto],TablaProductos[Agrupación]=ProductosPivot!CFE5)</f>
        <v>#VALUE!</v>
      </c>
      <c r="CFF6" s="68" t="e" cm="1" vm="1">
        <f t="array" ref="CFF6">_xlfn._xlws.FILTER(TablaProductos[Nombre producto],TablaProductos[Agrupación]=ProductosPivot!CFF5)</f>
        <v>#VALUE!</v>
      </c>
      <c r="CFG6" s="68" t="e" cm="1" vm="1">
        <f t="array" ref="CFG6">_xlfn._xlws.FILTER(TablaProductos[Nombre producto],TablaProductos[Agrupación]=ProductosPivot!CFG5)</f>
        <v>#VALUE!</v>
      </c>
      <c r="CFH6" s="68" t="e" cm="1" vm="1">
        <f t="array" ref="CFH6">_xlfn._xlws.FILTER(TablaProductos[Nombre producto],TablaProductos[Agrupación]=ProductosPivot!CFH5)</f>
        <v>#VALUE!</v>
      </c>
      <c r="CFI6" s="68" t="e" cm="1" vm="1">
        <f t="array" ref="CFI6">_xlfn._xlws.FILTER(TablaProductos[Nombre producto],TablaProductos[Agrupación]=ProductosPivot!CFI5)</f>
        <v>#VALUE!</v>
      </c>
      <c r="CFJ6" s="68" t="e" cm="1" vm="1">
        <f t="array" ref="CFJ6">_xlfn._xlws.FILTER(TablaProductos[Nombre producto],TablaProductos[Agrupación]=ProductosPivot!CFJ5)</f>
        <v>#VALUE!</v>
      </c>
      <c r="CFK6" s="68" t="e" cm="1" vm="1">
        <f t="array" ref="CFK6">_xlfn._xlws.FILTER(TablaProductos[Nombre producto],TablaProductos[Agrupación]=ProductosPivot!CFK5)</f>
        <v>#VALUE!</v>
      </c>
      <c r="CFL6" s="68" t="e" cm="1" vm="1">
        <f t="array" ref="CFL6">_xlfn._xlws.FILTER(TablaProductos[Nombre producto],TablaProductos[Agrupación]=ProductosPivot!CFL5)</f>
        <v>#VALUE!</v>
      </c>
      <c r="CFM6" s="68" t="e" cm="1" vm="1">
        <f t="array" ref="CFM6">_xlfn._xlws.FILTER(TablaProductos[Nombre producto],TablaProductos[Agrupación]=ProductosPivot!CFM5)</f>
        <v>#VALUE!</v>
      </c>
      <c r="CFN6" s="68" t="e" cm="1" vm="1">
        <f t="array" ref="CFN6">_xlfn._xlws.FILTER(TablaProductos[Nombre producto],TablaProductos[Agrupación]=ProductosPivot!CFN5)</f>
        <v>#VALUE!</v>
      </c>
      <c r="CFO6" s="68" t="e" cm="1" vm="1">
        <f t="array" ref="CFO6">_xlfn._xlws.FILTER(TablaProductos[Nombre producto],TablaProductos[Agrupación]=ProductosPivot!CFO5)</f>
        <v>#VALUE!</v>
      </c>
      <c r="CFP6" s="68" t="e" cm="1" vm="1">
        <f t="array" ref="CFP6">_xlfn._xlws.FILTER(TablaProductos[Nombre producto],TablaProductos[Agrupación]=ProductosPivot!CFP5)</f>
        <v>#VALUE!</v>
      </c>
      <c r="CFQ6" s="68" t="e" cm="1" vm="1">
        <f t="array" ref="CFQ6">_xlfn._xlws.FILTER(TablaProductos[Nombre producto],TablaProductos[Agrupación]=ProductosPivot!CFQ5)</f>
        <v>#VALUE!</v>
      </c>
      <c r="CFR6" s="68" t="e" cm="1" vm="1">
        <f t="array" ref="CFR6">_xlfn._xlws.FILTER(TablaProductos[Nombre producto],TablaProductos[Agrupación]=ProductosPivot!CFR5)</f>
        <v>#VALUE!</v>
      </c>
      <c r="CFS6" s="68" t="e" cm="1" vm="1">
        <f t="array" ref="CFS6">_xlfn._xlws.FILTER(TablaProductos[Nombre producto],TablaProductos[Agrupación]=ProductosPivot!CFS5)</f>
        <v>#VALUE!</v>
      </c>
      <c r="CFT6" s="68" t="e" cm="1" vm="1">
        <f t="array" ref="CFT6">_xlfn._xlws.FILTER(TablaProductos[Nombre producto],TablaProductos[Agrupación]=ProductosPivot!CFT5)</f>
        <v>#VALUE!</v>
      </c>
      <c r="CFU6" s="68" t="e" cm="1" vm="1">
        <f t="array" ref="CFU6">_xlfn._xlws.FILTER(TablaProductos[Nombre producto],TablaProductos[Agrupación]=ProductosPivot!CFU5)</f>
        <v>#VALUE!</v>
      </c>
      <c r="CFV6" s="68" t="e" cm="1" vm="1">
        <f t="array" ref="CFV6">_xlfn._xlws.FILTER(TablaProductos[Nombre producto],TablaProductos[Agrupación]=ProductosPivot!CFV5)</f>
        <v>#VALUE!</v>
      </c>
      <c r="CFW6" s="68" t="e" cm="1" vm="1">
        <f t="array" ref="CFW6">_xlfn._xlws.FILTER(TablaProductos[Nombre producto],TablaProductos[Agrupación]=ProductosPivot!CFW5)</f>
        <v>#VALUE!</v>
      </c>
      <c r="CFX6" s="68" t="e" cm="1" vm="1">
        <f t="array" ref="CFX6">_xlfn._xlws.FILTER(TablaProductos[Nombre producto],TablaProductos[Agrupación]=ProductosPivot!CFX5)</f>
        <v>#VALUE!</v>
      </c>
      <c r="CFY6" s="68" t="e" cm="1" vm="1">
        <f t="array" ref="CFY6">_xlfn._xlws.FILTER(TablaProductos[Nombre producto],TablaProductos[Agrupación]=ProductosPivot!CFY5)</f>
        <v>#VALUE!</v>
      </c>
      <c r="CFZ6" s="68" t="e" cm="1" vm="1">
        <f t="array" ref="CFZ6">_xlfn._xlws.FILTER(TablaProductos[Nombre producto],TablaProductos[Agrupación]=ProductosPivot!CFZ5)</f>
        <v>#VALUE!</v>
      </c>
      <c r="CGA6" s="68" t="e" cm="1" vm="1">
        <f t="array" ref="CGA6">_xlfn._xlws.FILTER(TablaProductos[Nombre producto],TablaProductos[Agrupación]=ProductosPivot!CGA5)</f>
        <v>#VALUE!</v>
      </c>
      <c r="CGB6" s="68" t="e" cm="1" vm="1">
        <f t="array" ref="CGB6">_xlfn._xlws.FILTER(TablaProductos[Nombre producto],TablaProductos[Agrupación]=ProductosPivot!CGB5)</f>
        <v>#VALUE!</v>
      </c>
      <c r="CGC6" s="68" t="e" cm="1" vm="1">
        <f t="array" ref="CGC6">_xlfn._xlws.FILTER(TablaProductos[Nombre producto],TablaProductos[Agrupación]=ProductosPivot!CGC5)</f>
        <v>#VALUE!</v>
      </c>
      <c r="CGD6" s="68" t="e" cm="1" vm="1">
        <f t="array" ref="CGD6">_xlfn._xlws.FILTER(TablaProductos[Nombre producto],TablaProductos[Agrupación]=ProductosPivot!CGD5)</f>
        <v>#VALUE!</v>
      </c>
      <c r="CGE6" s="68" t="e" cm="1" vm="1">
        <f t="array" ref="CGE6">_xlfn._xlws.FILTER(TablaProductos[Nombre producto],TablaProductos[Agrupación]=ProductosPivot!CGE5)</f>
        <v>#VALUE!</v>
      </c>
      <c r="CGF6" s="68" t="e" cm="1" vm="1">
        <f t="array" ref="CGF6">_xlfn._xlws.FILTER(TablaProductos[Nombre producto],TablaProductos[Agrupación]=ProductosPivot!CGF5)</f>
        <v>#VALUE!</v>
      </c>
      <c r="CGG6" s="68" t="e" cm="1" vm="1">
        <f t="array" ref="CGG6">_xlfn._xlws.FILTER(TablaProductos[Nombre producto],TablaProductos[Agrupación]=ProductosPivot!CGG5)</f>
        <v>#VALUE!</v>
      </c>
      <c r="CGH6" s="68" t="e" cm="1" vm="1">
        <f t="array" ref="CGH6">_xlfn._xlws.FILTER(TablaProductos[Nombre producto],TablaProductos[Agrupación]=ProductosPivot!CGH5)</f>
        <v>#VALUE!</v>
      </c>
      <c r="CGI6" s="68" t="e" cm="1" vm="1">
        <f t="array" ref="CGI6">_xlfn._xlws.FILTER(TablaProductos[Nombre producto],TablaProductos[Agrupación]=ProductosPivot!CGI5)</f>
        <v>#VALUE!</v>
      </c>
      <c r="CGJ6" s="68" t="e" cm="1" vm="1">
        <f t="array" ref="CGJ6">_xlfn._xlws.FILTER(TablaProductos[Nombre producto],TablaProductos[Agrupación]=ProductosPivot!CGJ5)</f>
        <v>#VALUE!</v>
      </c>
      <c r="CGK6" s="68" t="e" cm="1" vm="1">
        <f t="array" ref="CGK6">_xlfn._xlws.FILTER(TablaProductos[Nombre producto],TablaProductos[Agrupación]=ProductosPivot!CGK5)</f>
        <v>#VALUE!</v>
      </c>
      <c r="CGL6" s="68" t="e" cm="1" vm="1">
        <f t="array" ref="CGL6">_xlfn._xlws.FILTER(TablaProductos[Nombre producto],TablaProductos[Agrupación]=ProductosPivot!CGL5)</f>
        <v>#VALUE!</v>
      </c>
      <c r="CGM6" s="68" t="e" cm="1" vm="1">
        <f t="array" ref="CGM6">_xlfn._xlws.FILTER(TablaProductos[Nombre producto],TablaProductos[Agrupación]=ProductosPivot!CGM5)</f>
        <v>#VALUE!</v>
      </c>
      <c r="CGN6" s="68" t="e" cm="1" vm="1">
        <f t="array" ref="CGN6">_xlfn._xlws.FILTER(TablaProductos[Nombre producto],TablaProductos[Agrupación]=ProductosPivot!CGN5)</f>
        <v>#VALUE!</v>
      </c>
      <c r="CGO6" s="68" t="e" cm="1" vm="1">
        <f t="array" ref="CGO6">_xlfn._xlws.FILTER(TablaProductos[Nombre producto],TablaProductos[Agrupación]=ProductosPivot!CGO5)</f>
        <v>#VALUE!</v>
      </c>
      <c r="CGP6" s="68" t="e" cm="1" vm="1">
        <f t="array" ref="CGP6">_xlfn._xlws.FILTER(TablaProductos[Nombre producto],TablaProductos[Agrupación]=ProductosPivot!CGP5)</f>
        <v>#VALUE!</v>
      </c>
      <c r="CGQ6" s="68" t="e" cm="1" vm="1">
        <f t="array" ref="CGQ6">_xlfn._xlws.FILTER(TablaProductos[Nombre producto],TablaProductos[Agrupación]=ProductosPivot!CGQ5)</f>
        <v>#VALUE!</v>
      </c>
      <c r="CGR6" s="68" t="e" cm="1" vm="1">
        <f t="array" ref="CGR6">_xlfn._xlws.FILTER(TablaProductos[Nombre producto],TablaProductos[Agrupación]=ProductosPivot!CGR5)</f>
        <v>#VALUE!</v>
      </c>
      <c r="CGS6" s="68" t="e" cm="1" vm="1">
        <f t="array" ref="CGS6">_xlfn._xlws.FILTER(TablaProductos[Nombre producto],TablaProductos[Agrupación]=ProductosPivot!CGS5)</f>
        <v>#VALUE!</v>
      </c>
      <c r="CGT6" s="68" t="e" cm="1" vm="1">
        <f t="array" ref="CGT6">_xlfn._xlws.FILTER(TablaProductos[Nombre producto],TablaProductos[Agrupación]=ProductosPivot!CGT5)</f>
        <v>#VALUE!</v>
      </c>
      <c r="CGU6" s="68" t="e" cm="1" vm="1">
        <f t="array" ref="CGU6">_xlfn._xlws.FILTER(TablaProductos[Nombre producto],TablaProductos[Agrupación]=ProductosPivot!CGU5)</f>
        <v>#VALUE!</v>
      </c>
      <c r="CGV6" s="68" t="e" cm="1" vm="1">
        <f t="array" ref="CGV6">_xlfn._xlws.FILTER(TablaProductos[Nombre producto],TablaProductos[Agrupación]=ProductosPivot!CGV5)</f>
        <v>#VALUE!</v>
      </c>
      <c r="CGW6" s="68" t="e" cm="1" vm="1">
        <f t="array" ref="CGW6">_xlfn._xlws.FILTER(TablaProductos[Nombre producto],TablaProductos[Agrupación]=ProductosPivot!CGW5)</f>
        <v>#VALUE!</v>
      </c>
      <c r="CGX6" s="68" t="e" cm="1" vm="1">
        <f t="array" ref="CGX6">_xlfn._xlws.FILTER(TablaProductos[Nombre producto],TablaProductos[Agrupación]=ProductosPivot!CGX5)</f>
        <v>#VALUE!</v>
      </c>
      <c r="CGY6" s="68" t="e" cm="1" vm="1">
        <f t="array" ref="CGY6">_xlfn._xlws.FILTER(TablaProductos[Nombre producto],TablaProductos[Agrupación]=ProductosPivot!CGY5)</f>
        <v>#VALUE!</v>
      </c>
      <c r="CGZ6" s="68" t="e" cm="1" vm="1">
        <f t="array" ref="CGZ6">_xlfn._xlws.FILTER(TablaProductos[Nombre producto],TablaProductos[Agrupación]=ProductosPivot!CGZ5)</f>
        <v>#VALUE!</v>
      </c>
      <c r="CHA6" s="68" t="e" cm="1" vm="1">
        <f t="array" ref="CHA6">_xlfn._xlws.FILTER(TablaProductos[Nombre producto],TablaProductos[Agrupación]=ProductosPivot!CHA5)</f>
        <v>#VALUE!</v>
      </c>
      <c r="CHB6" s="68" t="e" cm="1" vm="1">
        <f t="array" ref="CHB6">_xlfn._xlws.FILTER(TablaProductos[Nombre producto],TablaProductos[Agrupación]=ProductosPivot!CHB5)</f>
        <v>#VALUE!</v>
      </c>
      <c r="CHC6" s="68" t="e" cm="1" vm="1">
        <f t="array" ref="CHC6">_xlfn._xlws.FILTER(TablaProductos[Nombre producto],TablaProductos[Agrupación]=ProductosPivot!CHC5)</f>
        <v>#VALUE!</v>
      </c>
      <c r="CHD6" s="68" t="e" cm="1" vm="1">
        <f t="array" ref="CHD6">_xlfn._xlws.FILTER(TablaProductos[Nombre producto],TablaProductos[Agrupación]=ProductosPivot!CHD5)</f>
        <v>#VALUE!</v>
      </c>
      <c r="CHE6" s="68" t="e" cm="1" vm="1">
        <f t="array" ref="CHE6">_xlfn._xlws.FILTER(TablaProductos[Nombre producto],TablaProductos[Agrupación]=ProductosPivot!CHE5)</f>
        <v>#VALUE!</v>
      </c>
      <c r="CHF6" s="68" t="e" cm="1" vm="1">
        <f t="array" ref="CHF6">_xlfn._xlws.FILTER(TablaProductos[Nombre producto],TablaProductos[Agrupación]=ProductosPivot!CHF5)</f>
        <v>#VALUE!</v>
      </c>
      <c r="CHG6" s="68" t="e" cm="1" vm="1">
        <f t="array" ref="CHG6">_xlfn._xlws.FILTER(TablaProductos[Nombre producto],TablaProductos[Agrupación]=ProductosPivot!CHG5)</f>
        <v>#VALUE!</v>
      </c>
      <c r="CHH6" s="68" t="e" cm="1" vm="1">
        <f t="array" ref="CHH6">_xlfn._xlws.FILTER(TablaProductos[Nombre producto],TablaProductos[Agrupación]=ProductosPivot!CHH5)</f>
        <v>#VALUE!</v>
      </c>
      <c r="CHI6" s="68" t="e" cm="1" vm="1">
        <f t="array" ref="CHI6">_xlfn._xlws.FILTER(TablaProductos[Nombre producto],TablaProductos[Agrupación]=ProductosPivot!CHI5)</f>
        <v>#VALUE!</v>
      </c>
      <c r="CHJ6" s="68" t="e" cm="1" vm="1">
        <f t="array" ref="CHJ6">_xlfn._xlws.FILTER(TablaProductos[Nombre producto],TablaProductos[Agrupación]=ProductosPivot!CHJ5)</f>
        <v>#VALUE!</v>
      </c>
      <c r="CHK6" s="68" t="e" cm="1" vm="1">
        <f t="array" ref="CHK6">_xlfn._xlws.FILTER(TablaProductos[Nombre producto],TablaProductos[Agrupación]=ProductosPivot!CHK5)</f>
        <v>#VALUE!</v>
      </c>
      <c r="CHL6" s="68" t="e" cm="1" vm="1">
        <f t="array" ref="CHL6">_xlfn._xlws.FILTER(TablaProductos[Nombre producto],TablaProductos[Agrupación]=ProductosPivot!CHL5)</f>
        <v>#VALUE!</v>
      </c>
      <c r="CHM6" s="68" t="e" cm="1" vm="1">
        <f t="array" ref="CHM6">_xlfn._xlws.FILTER(TablaProductos[Nombre producto],TablaProductos[Agrupación]=ProductosPivot!CHM5)</f>
        <v>#VALUE!</v>
      </c>
      <c r="CHN6" s="68" t="e" cm="1" vm="1">
        <f t="array" ref="CHN6">_xlfn._xlws.FILTER(TablaProductos[Nombre producto],TablaProductos[Agrupación]=ProductosPivot!CHN5)</f>
        <v>#VALUE!</v>
      </c>
      <c r="CHO6" s="68" t="e" cm="1" vm="1">
        <f t="array" ref="CHO6">_xlfn._xlws.FILTER(TablaProductos[Nombre producto],TablaProductos[Agrupación]=ProductosPivot!CHO5)</f>
        <v>#VALUE!</v>
      </c>
      <c r="CHP6" s="68" t="e" cm="1" vm="1">
        <f t="array" ref="CHP6">_xlfn._xlws.FILTER(TablaProductos[Nombre producto],TablaProductos[Agrupación]=ProductosPivot!CHP5)</f>
        <v>#VALUE!</v>
      </c>
      <c r="CHQ6" s="68" t="e" cm="1" vm="1">
        <f t="array" ref="CHQ6">_xlfn._xlws.FILTER(TablaProductos[Nombre producto],TablaProductos[Agrupación]=ProductosPivot!CHQ5)</f>
        <v>#VALUE!</v>
      </c>
      <c r="CHR6" s="68" t="e" cm="1" vm="1">
        <f t="array" ref="CHR6">_xlfn._xlws.FILTER(TablaProductos[Nombre producto],TablaProductos[Agrupación]=ProductosPivot!CHR5)</f>
        <v>#VALUE!</v>
      </c>
      <c r="CHS6" s="68" t="e" cm="1" vm="1">
        <f t="array" ref="CHS6">_xlfn._xlws.FILTER(TablaProductos[Nombre producto],TablaProductos[Agrupación]=ProductosPivot!CHS5)</f>
        <v>#VALUE!</v>
      </c>
      <c r="CHT6" s="68" t="e" cm="1" vm="1">
        <f t="array" ref="CHT6">_xlfn._xlws.FILTER(TablaProductos[Nombre producto],TablaProductos[Agrupación]=ProductosPivot!CHT5)</f>
        <v>#VALUE!</v>
      </c>
      <c r="CHU6" s="68" t="e" cm="1" vm="1">
        <f t="array" ref="CHU6">_xlfn._xlws.FILTER(TablaProductos[Nombre producto],TablaProductos[Agrupación]=ProductosPivot!CHU5)</f>
        <v>#VALUE!</v>
      </c>
      <c r="CHV6" s="68" t="e" cm="1" vm="1">
        <f t="array" ref="CHV6">_xlfn._xlws.FILTER(TablaProductos[Nombre producto],TablaProductos[Agrupación]=ProductosPivot!CHV5)</f>
        <v>#VALUE!</v>
      </c>
      <c r="CHW6" s="68" t="e" cm="1" vm="1">
        <f t="array" ref="CHW6">_xlfn._xlws.FILTER(TablaProductos[Nombre producto],TablaProductos[Agrupación]=ProductosPivot!CHW5)</f>
        <v>#VALUE!</v>
      </c>
      <c r="CHX6" s="68" t="e" cm="1" vm="1">
        <f t="array" ref="CHX6">_xlfn._xlws.FILTER(TablaProductos[Nombre producto],TablaProductos[Agrupación]=ProductosPivot!CHX5)</f>
        <v>#VALUE!</v>
      </c>
      <c r="CHY6" s="68" t="e" cm="1" vm="1">
        <f t="array" ref="CHY6">_xlfn._xlws.FILTER(TablaProductos[Nombre producto],TablaProductos[Agrupación]=ProductosPivot!CHY5)</f>
        <v>#VALUE!</v>
      </c>
      <c r="CHZ6" s="68" t="e" cm="1" vm="1">
        <f t="array" ref="CHZ6">_xlfn._xlws.FILTER(TablaProductos[Nombre producto],TablaProductos[Agrupación]=ProductosPivot!CHZ5)</f>
        <v>#VALUE!</v>
      </c>
      <c r="CIA6" s="68" t="e" cm="1" vm="1">
        <f t="array" ref="CIA6">_xlfn._xlws.FILTER(TablaProductos[Nombre producto],TablaProductos[Agrupación]=ProductosPivot!CIA5)</f>
        <v>#VALUE!</v>
      </c>
      <c r="CIB6" s="68" t="e" cm="1" vm="1">
        <f t="array" ref="CIB6">_xlfn._xlws.FILTER(TablaProductos[Nombre producto],TablaProductos[Agrupación]=ProductosPivot!CIB5)</f>
        <v>#VALUE!</v>
      </c>
      <c r="CIC6" s="68" t="e" cm="1" vm="1">
        <f t="array" ref="CIC6">_xlfn._xlws.FILTER(TablaProductos[Nombre producto],TablaProductos[Agrupación]=ProductosPivot!CIC5)</f>
        <v>#VALUE!</v>
      </c>
      <c r="CID6" s="68" t="e" cm="1" vm="1">
        <f t="array" ref="CID6">_xlfn._xlws.FILTER(TablaProductos[Nombre producto],TablaProductos[Agrupación]=ProductosPivot!CID5)</f>
        <v>#VALUE!</v>
      </c>
      <c r="CIE6" s="68" t="e" cm="1" vm="1">
        <f t="array" ref="CIE6">_xlfn._xlws.FILTER(TablaProductos[Nombre producto],TablaProductos[Agrupación]=ProductosPivot!CIE5)</f>
        <v>#VALUE!</v>
      </c>
      <c r="CIF6" s="68" t="e" cm="1" vm="1">
        <f t="array" ref="CIF6">_xlfn._xlws.FILTER(TablaProductos[Nombre producto],TablaProductos[Agrupación]=ProductosPivot!CIF5)</f>
        <v>#VALUE!</v>
      </c>
      <c r="CIG6" s="68" t="e" cm="1" vm="1">
        <f t="array" ref="CIG6">_xlfn._xlws.FILTER(TablaProductos[Nombre producto],TablaProductos[Agrupación]=ProductosPivot!CIG5)</f>
        <v>#VALUE!</v>
      </c>
      <c r="CIH6" s="68" t="e" cm="1" vm="1">
        <f t="array" ref="CIH6">_xlfn._xlws.FILTER(TablaProductos[Nombre producto],TablaProductos[Agrupación]=ProductosPivot!CIH5)</f>
        <v>#VALUE!</v>
      </c>
      <c r="CII6" s="68" t="e" cm="1" vm="1">
        <f t="array" ref="CII6">_xlfn._xlws.FILTER(TablaProductos[Nombre producto],TablaProductos[Agrupación]=ProductosPivot!CII5)</f>
        <v>#VALUE!</v>
      </c>
      <c r="CIJ6" s="68" t="e" cm="1" vm="1">
        <f t="array" ref="CIJ6">_xlfn._xlws.FILTER(TablaProductos[Nombre producto],TablaProductos[Agrupación]=ProductosPivot!CIJ5)</f>
        <v>#VALUE!</v>
      </c>
      <c r="CIK6" s="68" t="e" cm="1" vm="1">
        <f t="array" ref="CIK6">_xlfn._xlws.FILTER(TablaProductos[Nombre producto],TablaProductos[Agrupación]=ProductosPivot!CIK5)</f>
        <v>#VALUE!</v>
      </c>
      <c r="CIL6" s="68" t="e" cm="1" vm="1">
        <f t="array" ref="CIL6">_xlfn._xlws.FILTER(TablaProductos[Nombre producto],TablaProductos[Agrupación]=ProductosPivot!CIL5)</f>
        <v>#VALUE!</v>
      </c>
      <c r="CIM6" s="68" t="e" cm="1" vm="1">
        <f t="array" ref="CIM6">_xlfn._xlws.FILTER(TablaProductos[Nombre producto],TablaProductos[Agrupación]=ProductosPivot!CIM5)</f>
        <v>#VALUE!</v>
      </c>
      <c r="CIN6" s="68" t="e" cm="1" vm="1">
        <f t="array" ref="CIN6">_xlfn._xlws.FILTER(TablaProductos[Nombre producto],TablaProductos[Agrupación]=ProductosPivot!CIN5)</f>
        <v>#VALUE!</v>
      </c>
      <c r="CIO6" s="68" t="e" cm="1" vm="1">
        <f t="array" ref="CIO6">_xlfn._xlws.FILTER(TablaProductos[Nombre producto],TablaProductos[Agrupación]=ProductosPivot!CIO5)</f>
        <v>#VALUE!</v>
      </c>
      <c r="CIP6" s="68" t="e" cm="1" vm="1">
        <f t="array" ref="CIP6">_xlfn._xlws.FILTER(TablaProductos[Nombre producto],TablaProductos[Agrupación]=ProductosPivot!CIP5)</f>
        <v>#VALUE!</v>
      </c>
      <c r="CIQ6" s="68" t="e" cm="1" vm="1">
        <f t="array" ref="CIQ6">_xlfn._xlws.FILTER(TablaProductos[Nombre producto],TablaProductos[Agrupación]=ProductosPivot!CIQ5)</f>
        <v>#VALUE!</v>
      </c>
      <c r="CIR6" s="68" t="e" cm="1" vm="1">
        <f t="array" ref="CIR6">_xlfn._xlws.FILTER(TablaProductos[Nombre producto],TablaProductos[Agrupación]=ProductosPivot!CIR5)</f>
        <v>#VALUE!</v>
      </c>
      <c r="CIS6" s="68" t="e" cm="1" vm="1">
        <f t="array" ref="CIS6">_xlfn._xlws.FILTER(TablaProductos[Nombre producto],TablaProductos[Agrupación]=ProductosPivot!CIS5)</f>
        <v>#VALUE!</v>
      </c>
      <c r="CIT6" s="68" t="e" cm="1" vm="1">
        <f t="array" ref="CIT6">_xlfn._xlws.FILTER(TablaProductos[Nombre producto],TablaProductos[Agrupación]=ProductosPivot!CIT5)</f>
        <v>#VALUE!</v>
      </c>
      <c r="CIU6" s="68" t="e" cm="1" vm="1">
        <f t="array" ref="CIU6">_xlfn._xlws.FILTER(TablaProductos[Nombre producto],TablaProductos[Agrupación]=ProductosPivot!CIU5)</f>
        <v>#VALUE!</v>
      </c>
      <c r="CIV6" s="68" t="e" cm="1" vm="1">
        <f t="array" ref="CIV6">_xlfn._xlws.FILTER(TablaProductos[Nombre producto],TablaProductos[Agrupación]=ProductosPivot!CIV5)</f>
        <v>#VALUE!</v>
      </c>
      <c r="CIW6" s="68" t="e" cm="1" vm="1">
        <f t="array" ref="CIW6">_xlfn._xlws.FILTER(TablaProductos[Nombre producto],TablaProductos[Agrupación]=ProductosPivot!CIW5)</f>
        <v>#VALUE!</v>
      </c>
      <c r="CIX6" s="68" t="e" cm="1" vm="1">
        <f t="array" ref="CIX6">_xlfn._xlws.FILTER(TablaProductos[Nombre producto],TablaProductos[Agrupación]=ProductosPivot!CIX5)</f>
        <v>#VALUE!</v>
      </c>
      <c r="CIY6" s="68" t="e" cm="1" vm="1">
        <f t="array" ref="CIY6">_xlfn._xlws.FILTER(TablaProductos[Nombre producto],TablaProductos[Agrupación]=ProductosPivot!CIY5)</f>
        <v>#VALUE!</v>
      </c>
      <c r="CIZ6" s="68" t="e" cm="1" vm="1">
        <f t="array" ref="CIZ6">_xlfn._xlws.FILTER(TablaProductos[Nombre producto],TablaProductos[Agrupación]=ProductosPivot!CIZ5)</f>
        <v>#VALUE!</v>
      </c>
      <c r="CJA6" s="68" t="e" cm="1" vm="1">
        <f t="array" ref="CJA6">_xlfn._xlws.FILTER(TablaProductos[Nombre producto],TablaProductos[Agrupación]=ProductosPivot!CJA5)</f>
        <v>#VALUE!</v>
      </c>
      <c r="CJB6" s="68" t="e" cm="1" vm="1">
        <f t="array" ref="CJB6">_xlfn._xlws.FILTER(TablaProductos[Nombre producto],TablaProductos[Agrupación]=ProductosPivot!CJB5)</f>
        <v>#VALUE!</v>
      </c>
      <c r="CJC6" s="68" t="e" cm="1" vm="1">
        <f t="array" ref="CJC6">_xlfn._xlws.FILTER(TablaProductos[Nombre producto],TablaProductos[Agrupación]=ProductosPivot!CJC5)</f>
        <v>#VALUE!</v>
      </c>
      <c r="CJD6" s="68" t="e" cm="1" vm="1">
        <f t="array" ref="CJD6">_xlfn._xlws.FILTER(TablaProductos[Nombre producto],TablaProductos[Agrupación]=ProductosPivot!CJD5)</f>
        <v>#VALUE!</v>
      </c>
      <c r="CJE6" s="68" t="e" cm="1" vm="1">
        <f t="array" ref="CJE6">_xlfn._xlws.FILTER(TablaProductos[Nombre producto],TablaProductos[Agrupación]=ProductosPivot!CJE5)</f>
        <v>#VALUE!</v>
      </c>
      <c r="CJF6" s="68" t="e" cm="1" vm="1">
        <f t="array" ref="CJF6">_xlfn._xlws.FILTER(TablaProductos[Nombre producto],TablaProductos[Agrupación]=ProductosPivot!CJF5)</f>
        <v>#VALUE!</v>
      </c>
      <c r="CJG6" s="68" t="e" cm="1" vm="1">
        <f t="array" ref="CJG6">_xlfn._xlws.FILTER(TablaProductos[Nombre producto],TablaProductos[Agrupación]=ProductosPivot!CJG5)</f>
        <v>#VALUE!</v>
      </c>
      <c r="CJH6" s="68" t="e" cm="1" vm="1">
        <f t="array" ref="CJH6">_xlfn._xlws.FILTER(TablaProductos[Nombre producto],TablaProductos[Agrupación]=ProductosPivot!CJH5)</f>
        <v>#VALUE!</v>
      </c>
      <c r="CJI6" s="68" t="e" cm="1" vm="1">
        <f t="array" ref="CJI6">_xlfn._xlws.FILTER(TablaProductos[Nombre producto],TablaProductos[Agrupación]=ProductosPivot!CJI5)</f>
        <v>#VALUE!</v>
      </c>
      <c r="CJJ6" s="68" t="e" cm="1" vm="1">
        <f t="array" ref="CJJ6">_xlfn._xlws.FILTER(TablaProductos[Nombre producto],TablaProductos[Agrupación]=ProductosPivot!CJJ5)</f>
        <v>#VALUE!</v>
      </c>
      <c r="CJK6" s="68" t="e" cm="1" vm="1">
        <f t="array" ref="CJK6">_xlfn._xlws.FILTER(TablaProductos[Nombre producto],TablaProductos[Agrupación]=ProductosPivot!CJK5)</f>
        <v>#VALUE!</v>
      </c>
      <c r="CJL6" s="68" t="e" cm="1" vm="1">
        <f t="array" ref="CJL6">_xlfn._xlws.FILTER(TablaProductos[Nombre producto],TablaProductos[Agrupación]=ProductosPivot!CJL5)</f>
        <v>#VALUE!</v>
      </c>
      <c r="CJM6" s="68" t="e" cm="1" vm="1">
        <f t="array" ref="CJM6">_xlfn._xlws.FILTER(TablaProductos[Nombre producto],TablaProductos[Agrupación]=ProductosPivot!CJM5)</f>
        <v>#VALUE!</v>
      </c>
      <c r="CJN6" s="68" t="e" cm="1" vm="1">
        <f t="array" ref="CJN6">_xlfn._xlws.FILTER(TablaProductos[Nombre producto],TablaProductos[Agrupación]=ProductosPivot!CJN5)</f>
        <v>#VALUE!</v>
      </c>
      <c r="CJO6" s="68" t="e" cm="1" vm="1">
        <f t="array" ref="CJO6">_xlfn._xlws.FILTER(TablaProductos[Nombre producto],TablaProductos[Agrupación]=ProductosPivot!CJO5)</f>
        <v>#VALUE!</v>
      </c>
      <c r="CJP6" s="68" t="e" cm="1" vm="1">
        <f t="array" ref="CJP6">_xlfn._xlws.FILTER(TablaProductos[Nombre producto],TablaProductos[Agrupación]=ProductosPivot!CJP5)</f>
        <v>#VALUE!</v>
      </c>
      <c r="CJQ6" s="68" t="e" cm="1" vm="1">
        <f t="array" ref="CJQ6">_xlfn._xlws.FILTER(TablaProductos[Nombre producto],TablaProductos[Agrupación]=ProductosPivot!CJQ5)</f>
        <v>#VALUE!</v>
      </c>
      <c r="CJR6" s="68" t="e" cm="1" vm="1">
        <f t="array" ref="CJR6">_xlfn._xlws.FILTER(TablaProductos[Nombre producto],TablaProductos[Agrupación]=ProductosPivot!CJR5)</f>
        <v>#VALUE!</v>
      </c>
      <c r="CJS6" s="68" t="e" cm="1" vm="1">
        <f t="array" ref="CJS6">_xlfn._xlws.FILTER(TablaProductos[Nombre producto],TablaProductos[Agrupación]=ProductosPivot!CJS5)</f>
        <v>#VALUE!</v>
      </c>
      <c r="CJT6" s="68" t="e" cm="1" vm="1">
        <f t="array" ref="CJT6">_xlfn._xlws.FILTER(TablaProductos[Nombre producto],TablaProductos[Agrupación]=ProductosPivot!CJT5)</f>
        <v>#VALUE!</v>
      </c>
      <c r="CJU6" s="68" t="e" cm="1" vm="1">
        <f t="array" ref="CJU6">_xlfn._xlws.FILTER(TablaProductos[Nombre producto],TablaProductos[Agrupación]=ProductosPivot!CJU5)</f>
        <v>#VALUE!</v>
      </c>
      <c r="CJV6" s="68" t="e" cm="1" vm="1">
        <f t="array" ref="CJV6">_xlfn._xlws.FILTER(TablaProductos[Nombre producto],TablaProductos[Agrupación]=ProductosPivot!CJV5)</f>
        <v>#VALUE!</v>
      </c>
      <c r="CJW6" s="68" t="e" cm="1" vm="1">
        <f t="array" ref="CJW6">_xlfn._xlws.FILTER(TablaProductos[Nombre producto],TablaProductos[Agrupación]=ProductosPivot!CJW5)</f>
        <v>#VALUE!</v>
      </c>
      <c r="CJX6" s="68" t="e" cm="1" vm="1">
        <f t="array" ref="CJX6">_xlfn._xlws.FILTER(TablaProductos[Nombre producto],TablaProductos[Agrupación]=ProductosPivot!CJX5)</f>
        <v>#VALUE!</v>
      </c>
      <c r="CJY6" s="68" t="e" cm="1" vm="1">
        <f t="array" ref="CJY6">_xlfn._xlws.FILTER(TablaProductos[Nombre producto],TablaProductos[Agrupación]=ProductosPivot!CJY5)</f>
        <v>#VALUE!</v>
      </c>
      <c r="CJZ6" s="68" t="e" cm="1" vm="1">
        <f t="array" ref="CJZ6">_xlfn._xlws.FILTER(TablaProductos[Nombre producto],TablaProductos[Agrupación]=ProductosPivot!CJZ5)</f>
        <v>#VALUE!</v>
      </c>
      <c r="CKA6" s="68" t="e" cm="1" vm="1">
        <f t="array" ref="CKA6">_xlfn._xlws.FILTER(TablaProductos[Nombre producto],TablaProductos[Agrupación]=ProductosPivot!CKA5)</f>
        <v>#VALUE!</v>
      </c>
      <c r="CKB6" s="68" t="e" cm="1" vm="1">
        <f t="array" ref="CKB6">_xlfn._xlws.FILTER(TablaProductos[Nombre producto],TablaProductos[Agrupación]=ProductosPivot!CKB5)</f>
        <v>#VALUE!</v>
      </c>
      <c r="CKC6" s="68" t="e" cm="1" vm="1">
        <f t="array" ref="CKC6">_xlfn._xlws.FILTER(TablaProductos[Nombre producto],TablaProductos[Agrupación]=ProductosPivot!CKC5)</f>
        <v>#VALUE!</v>
      </c>
      <c r="CKD6" s="68" t="e" cm="1" vm="1">
        <f t="array" ref="CKD6">_xlfn._xlws.FILTER(TablaProductos[Nombre producto],TablaProductos[Agrupación]=ProductosPivot!CKD5)</f>
        <v>#VALUE!</v>
      </c>
      <c r="CKE6" s="68" t="e" cm="1" vm="1">
        <f t="array" ref="CKE6">_xlfn._xlws.FILTER(TablaProductos[Nombre producto],TablaProductos[Agrupación]=ProductosPivot!CKE5)</f>
        <v>#VALUE!</v>
      </c>
      <c r="CKF6" s="68" t="e" cm="1" vm="1">
        <f t="array" ref="CKF6">_xlfn._xlws.FILTER(TablaProductos[Nombre producto],TablaProductos[Agrupación]=ProductosPivot!CKF5)</f>
        <v>#VALUE!</v>
      </c>
      <c r="CKG6" s="68" t="e" cm="1" vm="1">
        <f t="array" ref="CKG6">_xlfn._xlws.FILTER(TablaProductos[Nombre producto],TablaProductos[Agrupación]=ProductosPivot!CKG5)</f>
        <v>#VALUE!</v>
      </c>
      <c r="CKH6" s="68" t="e" cm="1" vm="1">
        <f t="array" ref="CKH6">_xlfn._xlws.FILTER(TablaProductos[Nombre producto],TablaProductos[Agrupación]=ProductosPivot!CKH5)</f>
        <v>#VALUE!</v>
      </c>
      <c r="CKI6" s="68" t="e" cm="1" vm="1">
        <f t="array" ref="CKI6">_xlfn._xlws.FILTER(TablaProductos[Nombre producto],TablaProductos[Agrupación]=ProductosPivot!CKI5)</f>
        <v>#VALUE!</v>
      </c>
      <c r="CKJ6" s="68" t="e" cm="1" vm="1">
        <f t="array" ref="CKJ6">_xlfn._xlws.FILTER(TablaProductos[Nombre producto],TablaProductos[Agrupación]=ProductosPivot!CKJ5)</f>
        <v>#VALUE!</v>
      </c>
      <c r="CKK6" s="68" t="e" cm="1" vm="1">
        <f t="array" ref="CKK6">_xlfn._xlws.FILTER(TablaProductos[Nombre producto],TablaProductos[Agrupación]=ProductosPivot!CKK5)</f>
        <v>#VALUE!</v>
      </c>
      <c r="CKL6" s="68" t="e" cm="1" vm="1">
        <f t="array" ref="CKL6">_xlfn._xlws.FILTER(TablaProductos[Nombre producto],TablaProductos[Agrupación]=ProductosPivot!CKL5)</f>
        <v>#VALUE!</v>
      </c>
      <c r="CKM6" s="68" t="e" cm="1" vm="1">
        <f t="array" ref="CKM6">_xlfn._xlws.FILTER(TablaProductos[Nombre producto],TablaProductos[Agrupación]=ProductosPivot!CKM5)</f>
        <v>#VALUE!</v>
      </c>
      <c r="CKN6" s="68" t="e" cm="1" vm="1">
        <f t="array" ref="CKN6">_xlfn._xlws.FILTER(TablaProductos[Nombre producto],TablaProductos[Agrupación]=ProductosPivot!CKN5)</f>
        <v>#VALUE!</v>
      </c>
      <c r="CKO6" s="68" t="e" cm="1" vm="1">
        <f t="array" ref="CKO6">_xlfn._xlws.FILTER(TablaProductos[Nombre producto],TablaProductos[Agrupación]=ProductosPivot!CKO5)</f>
        <v>#VALUE!</v>
      </c>
      <c r="CKP6" s="68" t="e" cm="1" vm="1">
        <f t="array" ref="CKP6">_xlfn._xlws.FILTER(TablaProductos[Nombre producto],TablaProductos[Agrupación]=ProductosPivot!CKP5)</f>
        <v>#VALUE!</v>
      </c>
      <c r="CKQ6" s="68" t="e" cm="1" vm="1">
        <f t="array" ref="CKQ6">_xlfn._xlws.FILTER(TablaProductos[Nombre producto],TablaProductos[Agrupación]=ProductosPivot!CKQ5)</f>
        <v>#VALUE!</v>
      </c>
      <c r="CKR6" s="68" t="e" cm="1" vm="1">
        <f t="array" ref="CKR6">_xlfn._xlws.FILTER(TablaProductos[Nombre producto],TablaProductos[Agrupación]=ProductosPivot!CKR5)</f>
        <v>#VALUE!</v>
      </c>
      <c r="CKS6" s="68" t="e" cm="1" vm="1">
        <f t="array" ref="CKS6">_xlfn._xlws.FILTER(TablaProductos[Nombre producto],TablaProductos[Agrupación]=ProductosPivot!CKS5)</f>
        <v>#VALUE!</v>
      </c>
      <c r="CKT6" s="68" t="e" cm="1" vm="1">
        <f t="array" ref="CKT6">_xlfn._xlws.FILTER(TablaProductos[Nombre producto],TablaProductos[Agrupación]=ProductosPivot!CKT5)</f>
        <v>#VALUE!</v>
      </c>
      <c r="CKU6" s="68" t="e" cm="1" vm="1">
        <f t="array" ref="CKU6">_xlfn._xlws.FILTER(TablaProductos[Nombre producto],TablaProductos[Agrupación]=ProductosPivot!CKU5)</f>
        <v>#VALUE!</v>
      </c>
      <c r="CKV6" s="68" t="e" cm="1" vm="1">
        <f t="array" ref="CKV6">_xlfn._xlws.FILTER(TablaProductos[Nombre producto],TablaProductos[Agrupación]=ProductosPivot!CKV5)</f>
        <v>#VALUE!</v>
      </c>
      <c r="CKW6" s="68" t="e" cm="1" vm="1">
        <f t="array" ref="CKW6">_xlfn._xlws.FILTER(TablaProductos[Nombre producto],TablaProductos[Agrupación]=ProductosPivot!CKW5)</f>
        <v>#VALUE!</v>
      </c>
      <c r="CKX6" s="68" t="e" cm="1" vm="1">
        <f t="array" ref="CKX6">_xlfn._xlws.FILTER(TablaProductos[Nombre producto],TablaProductos[Agrupación]=ProductosPivot!CKX5)</f>
        <v>#VALUE!</v>
      </c>
      <c r="CKY6" s="68" t="e" cm="1" vm="1">
        <f t="array" ref="CKY6">_xlfn._xlws.FILTER(TablaProductos[Nombre producto],TablaProductos[Agrupación]=ProductosPivot!CKY5)</f>
        <v>#VALUE!</v>
      </c>
      <c r="CKZ6" s="68" t="e" cm="1" vm="1">
        <f t="array" ref="CKZ6">_xlfn._xlws.FILTER(TablaProductos[Nombre producto],TablaProductos[Agrupación]=ProductosPivot!CKZ5)</f>
        <v>#VALUE!</v>
      </c>
      <c r="CLA6" s="68" t="e" cm="1" vm="1">
        <f t="array" ref="CLA6">_xlfn._xlws.FILTER(TablaProductos[Nombre producto],TablaProductos[Agrupación]=ProductosPivot!CLA5)</f>
        <v>#VALUE!</v>
      </c>
      <c r="CLB6" s="68" t="e" cm="1" vm="1">
        <f t="array" ref="CLB6">_xlfn._xlws.FILTER(TablaProductos[Nombre producto],TablaProductos[Agrupación]=ProductosPivot!CLB5)</f>
        <v>#VALUE!</v>
      </c>
      <c r="CLC6" s="68" t="e" cm="1" vm="1">
        <f t="array" ref="CLC6">_xlfn._xlws.FILTER(TablaProductos[Nombre producto],TablaProductos[Agrupación]=ProductosPivot!CLC5)</f>
        <v>#VALUE!</v>
      </c>
      <c r="CLD6" s="68" t="e" cm="1" vm="1">
        <f t="array" ref="CLD6">_xlfn._xlws.FILTER(TablaProductos[Nombre producto],TablaProductos[Agrupación]=ProductosPivot!CLD5)</f>
        <v>#VALUE!</v>
      </c>
      <c r="CLE6" s="68" t="e" cm="1" vm="1">
        <f t="array" ref="CLE6">_xlfn._xlws.FILTER(TablaProductos[Nombre producto],TablaProductos[Agrupación]=ProductosPivot!CLE5)</f>
        <v>#VALUE!</v>
      </c>
      <c r="CLF6" s="68" t="e" cm="1" vm="1">
        <f t="array" ref="CLF6">_xlfn._xlws.FILTER(TablaProductos[Nombre producto],TablaProductos[Agrupación]=ProductosPivot!CLF5)</f>
        <v>#VALUE!</v>
      </c>
      <c r="CLG6" s="68" t="e" cm="1" vm="1">
        <f t="array" ref="CLG6">_xlfn._xlws.FILTER(TablaProductos[Nombre producto],TablaProductos[Agrupación]=ProductosPivot!CLG5)</f>
        <v>#VALUE!</v>
      </c>
      <c r="CLH6" s="68" t="e" cm="1" vm="1">
        <f t="array" ref="CLH6">_xlfn._xlws.FILTER(TablaProductos[Nombre producto],TablaProductos[Agrupación]=ProductosPivot!CLH5)</f>
        <v>#VALUE!</v>
      </c>
      <c r="CLI6" s="68" t="e" cm="1" vm="1">
        <f t="array" ref="CLI6">_xlfn._xlws.FILTER(TablaProductos[Nombre producto],TablaProductos[Agrupación]=ProductosPivot!CLI5)</f>
        <v>#VALUE!</v>
      </c>
      <c r="CLJ6" s="68" t="e" cm="1" vm="1">
        <f t="array" ref="CLJ6">_xlfn._xlws.FILTER(TablaProductos[Nombre producto],TablaProductos[Agrupación]=ProductosPivot!CLJ5)</f>
        <v>#VALUE!</v>
      </c>
      <c r="CLK6" s="68" t="e" cm="1" vm="1">
        <f t="array" ref="CLK6">_xlfn._xlws.FILTER(TablaProductos[Nombre producto],TablaProductos[Agrupación]=ProductosPivot!CLK5)</f>
        <v>#VALUE!</v>
      </c>
      <c r="CLL6" s="68" t="e" cm="1" vm="1">
        <f t="array" ref="CLL6">_xlfn._xlws.FILTER(TablaProductos[Nombre producto],TablaProductos[Agrupación]=ProductosPivot!CLL5)</f>
        <v>#VALUE!</v>
      </c>
      <c r="CLM6" s="68" t="e" cm="1" vm="1">
        <f t="array" ref="CLM6">_xlfn._xlws.FILTER(TablaProductos[Nombre producto],TablaProductos[Agrupación]=ProductosPivot!CLM5)</f>
        <v>#VALUE!</v>
      </c>
      <c r="CLN6" s="68" t="e" cm="1" vm="1">
        <f t="array" ref="CLN6">_xlfn._xlws.FILTER(TablaProductos[Nombre producto],TablaProductos[Agrupación]=ProductosPivot!CLN5)</f>
        <v>#VALUE!</v>
      </c>
      <c r="CLO6" s="68" t="e" cm="1" vm="1">
        <f t="array" ref="CLO6">_xlfn._xlws.FILTER(TablaProductos[Nombre producto],TablaProductos[Agrupación]=ProductosPivot!CLO5)</f>
        <v>#VALUE!</v>
      </c>
      <c r="CLP6" s="68" t="e" cm="1" vm="1">
        <f t="array" ref="CLP6">_xlfn._xlws.FILTER(TablaProductos[Nombre producto],TablaProductos[Agrupación]=ProductosPivot!CLP5)</f>
        <v>#VALUE!</v>
      </c>
      <c r="CLQ6" s="68" t="e" cm="1" vm="1">
        <f t="array" ref="CLQ6">_xlfn._xlws.FILTER(TablaProductos[Nombre producto],TablaProductos[Agrupación]=ProductosPivot!CLQ5)</f>
        <v>#VALUE!</v>
      </c>
      <c r="CLR6" s="68" t="e" cm="1" vm="1">
        <f t="array" ref="CLR6">_xlfn._xlws.FILTER(TablaProductos[Nombre producto],TablaProductos[Agrupación]=ProductosPivot!CLR5)</f>
        <v>#VALUE!</v>
      </c>
      <c r="CLS6" s="68" t="e" cm="1" vm="1">
        <f t="array" ref="CLS6">_xlfn._xlws.FILTER(TablaProductos[Nombre producto],TablaProductos[Agrupación]=ProductosPivot!CLS5)</f>
        <v>#VALUE!</v>
      </c>
      <c r="CLT6" s="68" t="e" cm="1" vm="1">
        <f t="array" ref="CLT6">_xlfn._xlws.FILTER(TablaProductos[Nombre producto],TablaProductos[Agrupación]=ProductosPivot!CLT5)</f>
        <v>#VALUE!</v>
      </c>
      <c r="CLU6" s="68" t="e" cm="1" vm="1">
        <f t="array" ref="CLU6">_xlfn._xlws.FILTER(TablaProductos[Nombre producto],TablaProductos[Agrupación]=ProductosPivot!CLU5)</f>
        <v>#VALUE!</v>
      </c>
      <c r="CLV6" s="68" t="e" cm="1" vm="1">
        <f t="array" ref="CLV6">_xlfn._xlws.FILTER(TablaProductos[Nombre producto],TablaProductos[Agrupación]=ProductosPivot!CLV5)</f>
        <v>#VALUE!</v>
      </c>
      <c r="CLW6" s="68" t="e" cm="1" vm="1">
        <f t="array" ref="CLW6">_xlfn._xlws.FILTER(TablaProductos[Nombre producto],TablaProductos[Agrupación]=ProductosPivot!CLW5)</f>
        <v>#VALUE!</v>
      </c>
      <c r="CLX6" s="68" t="e" cm="1" vm="1">
        <f t="array" ref="CLX6">_xlfn._xlws.FILTER(TablaProductos[Nombre producto],TablaProductos[Agrupación]=ProductosPivot!CLX5)</f>
        <v>#VALUE!</v>
      </c>
      <c r="CLY6" s="68" t="e" cm="1" vm="1">
        <f t="array" ref="CLY6">_xlfn._xlws.FILTER(TablaProductos[Nombre producto],TablaProductos[Agrupación]=ProductosPivot!CLY5)</f>
        <v>#VALUE!</v>
      </c>
      <c r="CLZ6" s="68" t="e" cm="1" vm="1">
        <f t="array" ref="CLZ6">_xlfn._xlws.FILTER(TablaProductos[Nombre producto],TablaProductos[Agrupación]=ProductosPivot!CLZ5)</f>
        <v>#VALUE!</v>
      </c>
      <c r="CMA6" s="68" t="e" cm="1" vm="1">
        <f t="array" ref="CMA6">_xlfn._xlws.FILTER(TablaProductos[Nombre producto],TablaProductos[Agrupación]=ProductosPivot!CMA5)</f>
        <v>#VALUE!</v>
      </c>
      <c r="CMB6" s="68" t="e" cm="1" vm="1">
        <f t="array" ref="CMB6">_xlfn._xlws.FILTER(TablaProductos[Nombre producto],TablaProductos[Agrupación]=ProductosPivot!CMB5)</f>
        <v>#VALUE!</v>
      </c>
      <c r="CMC6" s="68" t="e" cm="1" vm="1">
        <f t="array" ref="CMC6">_xlfn._xlws.FILTER(TablaProductos[Nombre producto],TablaProductos[Agrupación]=ProductosPivot!CMC5)</f>
        <v>#VALUE!</v>
      </c>
      <c r="CMD6" s="68" t="e" cm="1" vm="1">
        <f t="array" ref="CMD6">_xlfn._xlws.FILTER(TablaProductos[Nombre producto],TablaProductos[Agrupación]=ProductosPivot!CMD5)</f>
        <v>#VALUE!</v>
      </c>
      <c r="CME6" s="68" t="e" cm="1" vm="1">
        <f t="array" ref="CME6">_xlfn._xlws.FILTER(TablaProductos[Nombre producto],TablaProductos[Agrupación]=ProductosPivot!CME5)</f>
        <v>#VALUE!</v>
      </c>
      <c r="CMF6" s="68" t="e" cm="1" vm="1">
        <f t="array" ref="CMF6">_xlfn._xlws.FILTER(TablaProductos[Nombre producto],TablaProductos[Agrupación]=ProductosPivot!CMF5)</f>
        <v>#VALUE!</v>
      </c>
      <c r="CMG6" s="68" t="e" cm="1" vm="1">
        <f t="array" ref="CMG6">_xlfn._xlws.FILTER(TablaProductos[Nombre producto],TablaProductos[Agrupación]=ProductosPivot!CMG5)</f>
        <v>#VALUE!</v>
      </c>
      <c r="CMH6" s="68" t="e" cm="1" vm="1">
        <f t="array" ref="CMH6">_xlfn._xlws.FILTER(TablaProductos[Nombre producto],TablaProductos[Agrupación]=ProductosPivot!CMH5)</f>
        <v>#VALUE!</v>
      </c>
      <c r="CMI6" s="68" t="e" cm="1" vm="1">
        <f t="array" ref="CMI6">_xlfn._xlws.FILTER(TablaProductos[Nombre producto],TablaProductos[Agrupación]=ProductosPivot!CMI5)</f>
        <v>#VALUE!</v>
      </c>
      <c r="CMJ6" s="68" t="e" cm="1" vm="1">
        <f t="array" ref="CMJ6">_xlfn._xlws.FILTER(TablaProductos[Nombre producto],TablaProductos[Agrupación]=ProductosPivot!CMJ5)</f>
        <v>#VALUE!</v>
      </c>
      <c r="CMK6" s="68" t="e" cm="1" vm="1">
        <f t="array" ref="CMK6">_xlfn._xlws.FILTER(TablaProductos[Nombre producto],TablaProductos[Agrupación]=ProductosPivot!CMK5)</f>
        <v>#VALUE!</v>
      </c>
      <c r="CML6" s="68" t="e" cm="1" vm="1">
        <f t="array" ref="CML6">_xlfn._xlws.FILTER(TablaProductos[Nombre producto],TablaProductos[Agrupación]=ProductosPivot!CML5)</f>
        <v>#VALUE!</v>
      </c>
      <c r="CMM6" s="68" t="e" cm="1" vm="1">
        <f t="array" ref="CMM6">_xlfn._xlws.FILTER(TablaProductos[Nombre producto],TablaProductos[Agrupación]=ProductosPivot!CMM5)</f>
        <v>#VALUE!</v>
      </c>
      <c r="CMN6" s="68" t="e" cm="1" vm="1">
        <f t="array" ref="CMN6">_xlfn._xlws.FILTER(TablaProductos[Nombre producto],TablaProductos[Agrupación]=ProductosPivot!CMN5)</f>
        <v>#VALUE!</v>
      </c>
      <c r="CMO6" s="68" t="e" cm="1" vm="1">
        <f t="array" ref="CMO6">_xlfn._xlws.FILTER(TablaProductos[Nombre producto],TablaProductos[Agrupación]=ProductosPivot!CMO5)</f>
        <v>#VALUE!</v>
      </c>
      <c r="CMP6" s="68" t="e" cm="1" vm="1">
        <f t="array" ref="CMP6">_xlfn._xlws.FILTER(TablaProductos[Nombre producto],TablaProductos[Agrupación]=ProductosPivot!CMP5)</f>
        <v>#VALUE!</v>
      </c>
      <c r="CMQ6" s="68" t="e" cm="1" vm="1">
        <f t="array" ref="CMQ6">_xlfn._xlws.FILTER(TablaProductos[Nombre producto],TablaProductos[Agrupación]=ProductosPivot!CMQ5)</f>
        <v>#VALUE!</v>
      </c>
      <c r="CMR6" s="68" t="e" cm="1" vm="1">
        <f t="array" ref="CMR6">_xlfn._xlws.FILTER(TablaProductos[Nombre producto],TablaProductos[Agrupación]=ProductosPivot!CMR5)</f>
        <v>#VALUE!</v>
      </c>
      <c r="CMS6" s="68" t="e" cm="1" vm="1">
        <f t="array" ref="CMS6">_xlfn._xlws.FILTER(TablaProductos[Nombre producto],TablaProductos[Agrupación]=ProductosPivot!CMS5)</f>
        <v>#VALUE!</v>
      </c>
      <c r="CMT6" s="68" t="e" cm="1" vm="1">
        <f t="array" ref="CMT6">_xlfn._xlws.FILTER(TablaProductos[Nombre producto],TablaProductos[Agrupación]=ProductosPivot!CMT5)</f>
        <v>#VALUE!</v>
      </c>
      <c r="CMU6" s="68" t="e" cm="1" vm="1">
        <f t="array" ref="CMU6">_xlfn._xlws.FILTER(TablaProductos[Nombre producto],TablaProductos[Agrupación]=ProductosPivot!CMU5)</f>
        <v>#VALUE!</v>
      </c>
      <c r="CMV6" s="68" t="e" cm="1" vm="1">
        <f t="array" ref="CMV6">_xlfn._xlws.FILTER(TablaProductos[Nombre producto],TablaProductos[Agrupación]=ProductosPivot!CMV5)</f>
        <v>#VALUE!</v>
      </c>
      <c r="CMW6" s="68" t="e" cm="1" vm="1">
        <f t="array" ref="CMW6">_xlfn._xlws.FILTER(TablaProductos[Nombre producto],TablaProductos[Agrupación]=ProductosPivot!CMW5)</f>
        <v>#VALUE!</v>
      </c>
      <c r="CMX6" s="68" t="e" cm="1" vm="1">
        <f t="array" ref="CMX6">_xlfn._xlws.FILTER(TablaProductos[Nombre producto],TablaProductos[Agrupación]=ProductosPivot!CMX5)</f>
        <v>#VALUE!</v>
      </c>
      <c r="CMY6" s="68" t="e" cm="1" vm="1">
        <f t="array" ref="CMY6">_xlfn._xlws.FILTER(TablaProductos[Nombre producto],TablaProductos[Agrupación]=ProductosPivot!CMY5)</f>
        <v>#VALUE!</v>
      </c>
      <c r="CMZ6" s="68" t="e" cm="1" vm="1">
        <f t="array" ref="CMZ6">_xlfn._xlws.FILTER(TablaProductos[Nombre producto],TablaProductos[Agrupación]=ProductosPivot!CMZ5)</f>
        <v>#VALUE!</v>
      </c>
      <c r="CNA6" s="68" t="e" cm="1" vm="1">
        <f t="array" ref="CNA6">_xlfn._xlws.FILTER(TablaProductos[Nombre producto],TablaProductos[Agrupación]=ProductosPivot!CNA5)</f>
        <v>#VALUE!</v>
      </c>
      <c r="CNB6" s="68" t="e" cm="1" vm="1">
        <f t="array" ref="CNB6">_xlfn._xlws.FILTER(TablaProductos[Nombre producto],TablaProductos[Agrupación]=ProductosPivot!CNB5)</f>
        <v>#VALUE!</v>
      </c>
      <c r="CNC6" s="68" t="e" cm="1" vm="1">
        <f t="array" ref="CNC6">_xlfn._xlws.FILTER(TablaProductos[Nombre producto],TablaProductos[Agrupación]=ProductosPivot!CNC5)</f>
        <v>#VALUE!</v>
      </c>
      <c r="CND6" s="68" t="e" cm="1" vm="1">
        <f t="array" ref="CND6">_xlfn._xlws.FILTER(TablaProductos[Nombre producto],TablaProductos[Agrupación]=ProductosPivot!CND5)</f>
        <v>#VALUE!</v>
      </c>
      <c r="CNE6" s="68" t="e" cm="1" vm="1">
        <f t="array" ref="CNE6">_xlfn._xlws.FILTER(TablaProductos[Nombre producto],TablaProductos[Agrupación]=ProductosPivot!CNE5)</f>
        <v>#VALUE!</v>
      </c>
      <c r="CNF6" s="68" t="e" cm="1" vm="1">
        <f t="array" ref="CNF6">_xlfn._xlws.FILTER(TablaProductos[Nombre producto],TablaProductos[Agrupación]=ProductosPivot!CNF5)</f>
        <v>#VALUE!</v>
      </c>
      <c r="CNG6" s="68" t="e" cm="1" vm="1">
        <f t="array" ref="CNG6">_xlfn._xlws.FILTER(TablaProductos[Nombre producto],TablaProductos[Agrupación]=ProductosPivot!CNG5)</f>
        <v>#VALUE!</v>
      </c>
      <c r="CNH6" s="68" t="e" cm="1" vm="1">
        <f t="array" ref="CNH6">_xlfn._xlws.FILTER(TablaProductos[Nombre producto],TablaProductos[Agrupación]=ProductosPivot!CNH5)</f>
        <v>#VALUE!</v>
      </c>
      <c r="CNI6" s="68" t="e" cm="1" vm="1">
        <f t="array" ref="CNI6">_xlfn._xlws.FILTER(TablaProductos[Nombre producto],TablaProductos[Agrupación]=ProductosPivot!CNI5)</f>
        <v>#VALUE!</v>
      </c>
      <c r="CNJ6" s="68" t="e" cm="1" vm="1">
        <f t="array" ref="CNJ6">_xlfn._xlws.FILTER(TablaProductos[Nombre producto],TablaProductos[Agrupación]=ProductosPivot!CNJ5)</f>
        <v>#VALUE!</v>
      </c>
      <c r="CNK6" s="68" t="e" cm="1" vm="1">
        <f t="array" ref="CNK6">_xlfn._xlws.FILTER(TablaProductos[Nombre producto],TablaProductos[Agrupación]=ProductosPivot!CNK5)</f>
        <v>#VALUE!</v>
      </c>
      <c r="CNL6" s="68" t="e" cm="1" vm="1">
        <f t="array" ref="CNL6">_xlfn._xlws.FILTER(TablaProductos[Nombre producto],TablaProductos[Agrupación]=ProductosPivot!CNL5)</f>
        <v>#VALUE!</v>
      </c>
      <c r="CNM6" s="68" t="e" cm="1" vm="1">
        <f t="array" ref="CNM6">_xlfn._xlws.FILTER(TablaProductos[Nombre producto],TablaProductos[Agrupación]=ProductosPivot!CNM5)</f>
        <v>#VALUE!</v>
      </c>
      <c r="CNN6" s="68" t="e" cm="1" vm="1">
        <f t="array" ref="CNN6">_xlfn._xlws.FILTER(TablaProductos[Nombre producto],TablaProductos[Agrupación]=ProductosPivot!CNN5)</f>
        <v>#VALUE!</v>
      </c>
      <c r="CNO6" s="68" t="e" cm="1" vm="1">
        <f t="array" ref="CNO6">_xlfn._xlws.FILTER(TablaProductos[Nombre producto],TablaProductos[Agrupación]=ProductosPivot!CNO5)</f>
        <v>#VALUE!</v>
      </c>
      <c r="CNP6" s="68" t="e" cm="1" vm="1">
        <f t="array" ref="CNP6">_xlfn._xlws.FILTER(TablaProductos[Nombre producto],TablaProductos[Agrupación]=ProductosPivot!CNP5)</f>
        <v>#VALUE!</v>
      </c>
      <c r="CNQ6" s="68" t="e" cm="1" vm="1">
        <f t="array" ref="CNQ6">_xlfn._xlws.FILTER(TablaProductos[Nombre producto],TablaProductos[Agrupación]=ProductosPivot!CNQ5)</f>
        <v>#VALUE!</v>
      </c>
      <c r="CNR6" s="68" t="e" cm="1" vm="1">
        <f t="array" ref="CNR6">_xlfn._xlws.FILTER(TablaProductos[Nombre producto],TablaProductos[Agrupación]=ProductosPivot!CNR5)</f>
        <v>#VALUE!</v>
      </c>
      <c r="CNS6" s="68" t="e" cm="1" vm="1">
        <f t="array" ref="CNS6">_xlfn._xlws.FILTER(TablaProductos[Nombre producto],TablaProductos[Agrupación]=ProductosPivot!CNS5)</f>
        <v>#VALUE!</v>
      </c>
      <c r="CNT6" s="68" t="e" cm="1" vm="1">
        <f t="array" ref="CNT6">_xlfn._xlws.FILTER(TablaProductos[Nombre producto],TablaProductos[Agrupación]=ProductosPivot!CNT5)</f>
        <v>#VALUE!</v>
      </c>
      <c r="CNU6" s="68" t="e" cm="1" vm="1">
        <f t="array" ref="CNU6">_xlfn._xlws.FILTER(TablaProductos[Nombre producto],TablaProductos[Agrupación]=ProductosPivot!CNU5)</f>
        <v>#VALUE!</v>
      </c>
      <c r="CNV6" s="68" t="e" cm="1" vm="1">
        <f t="array" ref="CNV6">_xlfn._xlws.FILTER(TablaProductos[Nombre producto],TablaProductos[Agrupación]=ProductosPivot!CNV5)</f>
        <v>#VALUE!</v>
      </c>
      <c r="CNW6" s="68" t="e" cm="1" vm="1">
        <f t="array" ref="CNW6">_xlfn._xlws.FILTER(TablaProductos[Nombre producto],TablaProductos[Agrupación]=ProductosPivot!CNW5)</f>
        <v>#VALUE!</v>
      </c>
      <c r="CNX6" s="68" t="e" cm="1" vm="1">
        <f t="array" ref="CNX6">_xlfn._xlws.FILTER(TablaProductos[Nombre producto],TablaProductos[Agrupación]=ProductosPivot!CNX5)</f>
        <v>#VALUE!</v>
      </c>
      <c r="CNY6" s="68" t="e" cm="1" vm="1">
        <f t="array" ref="CNY6">_xlfn._xlws.FILTER(TablaProductos[Nombre producto],TablaProductos[Agrupación]=ProductosPivot!CNY5)</f>
        <v>#VALUE!</v>
      </c>
      <c r="CNZ6" s="68" t="e" cm="1" vm="1">
        <f t="array" ref="CNZ6">_xlfn._xlws.FILTER(TablaProductos[Nombre producto],TablaProductos[Agrupación]=ProductosPivot!CNZ5)</f>
        <v>#VALUE!</v>
      </c>
      <c r="COA6" s="68" t="e" cm="1" vm="1">
        <f t="array" ref="COA6">_xlfn._xlws.FILTER(TablaProductos[Nombre producto],TablaProductos[Agrupación]=ProductosPivot!COA5)</f>
        <v>#VALUE!</v>
      </c>
      <c r="COB6" s="68" t="e" cm="1" vm="1">
        <f t="array" ref="COB6">_xlfn._xlws.FILTER(TablaProductos[Nombre producto],TablaProductos[Agrupación]=ProductosPivot!COB5)</f>
        <v>#VALUE!</v>
      </c>
      <c r="COC6" s="68" t="e" cm="1" vm="1">
        <f t="array" ref="COC6">_xlfn._xlws.FILTER(TablaProductos[Nombre producto],TablaProductos[Agrupación]=ProductosPivot!COC5)</f>
        <v>#VALUE!</v>
      </c>
      <c r="COD6" s="68" t="e" cm="1" vm="1">
        <f t="array" ref="COD6">_xlfn._xlws.FILTER(TablaProductos[Nombre producto],TablaProductos[Agrupación]=ProductosPivot!COD5)</f>
        <v>#VALUE!</v>
      </c>
      <c r="COE6" s="68" t="e" cm="1" vm="1">
        <f t="array" ref="COE6">_xlfn._xlws.FILTER(TablaProductos[Nombre producto],TablaProductos[Agrupación]=ProductosPivot!COE5)</f>
        <v>#VALUE!</v>
      </c>
      <c r="COF6" s="68" t="e" cm="1" vm="1">
        <f t="array" ref="COF6">_xlfn._xlws.FILTER(TablaProductos[Nombre producto],TablaProductos[Agrupación]=ProductosPivot!COF5)</f>
        <v>#VALUE!</v>
      </c>
      <c r="COG6" s="68" t="e" cm="1" vm="1">
        <f t="array" ref="COG6">_xlfn._xlws.FILTER(TablaProductos[Nombre producto],TablaProductos[Agrupación]=ProductosPivot!COG5)</f>
        <v>#VALUE!</v>
      </c>
      <c r="COH6" s="68" t="e" cm="1" vm="1">
        <f t="array" ref="COH6">_xlfn._xlws.FILTER(TablaProductos[Nombre producto],TablaProductos[Agrupación]=ProductosPivot!COH5)</f>
        <v>#VALUE!</v>
      </c>
      <c r="COI6" s="68" t="e" cm="1" vm="1">
        <f t="array" ref="COI6">_xlfn._xlws.FILTER(TablaProductos[Nombre producto],TablaProductos[Agrupación]=ProductosPivot!COI5)</f>
        <v>#VALUE!</v>
      </c>
      <c r="COJ6" s="68" t="e" cm="1" vm="1">
        <f t="array" ref="COJ6">_xlfn._xlws.FILTER(TablaProductos[Nombre producto],TablaProductos[Agrupación]=ProductosPivot!COJ5)</f>
        <v>#VALUE!</v>
      </c>
      <c r="COK6" s="68" t="e" cm="1" vm="1">
        <f t="array" ref="COK6">_xlfn._xlws.FILTER(TablaProductos[Nombre producto],TablaProductos[Agrupación]=ProductosPivot!COK5)</f>
        <v>#VALUE!</v>
      </c>
      <c r="COL6" s="68" t="e" cm="1" vm="1">
        <f t="array" ref="COL6">_xlfn._xlws.FILTER(TablaProductos[Nombre producto],TablaProductos[Agrupación]=ProductosPivot!COL5)</f>
        <v>#VALUE!</v>
      </c>
      <c r="COM6" s="68" t="e" cm="1" vm="1">
        <f t="array" ref="COM6">_xlfn._xlws.FILTER(TablaProductos[Nombre producto],TablaProductos[Agrupación]=ProductosPivot!COM5)</f>
        <v>#VALUE!</v>
      </c>
      <c r="CON6" s="68" t="e" cm="1" vm="1">
        <f t="array" ref="CON6">_xlfn._xlws.FILTER(TablaProductos[Nombre producto],TablaProductos[Agrupación]=ProductosPivot!CON5)</f>
        <v>#VALUE!</v>
      </c>
      <c r="COO6" s="68" t="e" cm="1" vm="1">
        <f t="array" ref="COO6">_xlfn._xlws.FILTER(TablaProductos[Nombre producto],TablaProductos[Agrupación]=ProductosPivot!COO5)</f>
        <v>#VALUE!</v>
      </c>
      <c r="COP6" s="68" t="e" cm="1" vm="1">
        <f t="array" ref="COP6">_xlfn._xlws.FILTER(TablaProductos[Nombre producto],TablaProductos[Agrupación]=ProductosPivot!COP5)</f>
        <v>#VALUE!</v>
      </c>
      <c r="COQ6" s="68" t="e" cm="1" vm="1">
        <f t="array" ref="COQ6">_xlfn._xlws.FILTER(TablaProductos[Nombre producto],TablaProductos[Agrupación]=ProductosPivot!COQ5)</f>
        <v>#VALUE!</v>
      </c>
      <c r="COR6" s="68" t="e" cm="1" vm="1">
        <f t="array" ref="COR6">_xlfn._xlws.FILTER(TablaProductos[Nombre producto],TablaProductos[Agrupación]=ProductosPivot!COR5)</f>
        <v>#VALUE!</v>
      </c>
      <c r="COS6" s="68" t="e" cm="1" vm="1">
        <f t="array" ref="COS6">_xlfn._xlws.FILTER(TablaProductos[Nombre producto],TablaProductos[Agrupación]=ProductosPivot!COS5)</f>
        <v>#VALUE!</v>
      </c>
      <c r="COT6" s="68" t="e" cm="1" vm="1">
        <f t="array" ref="COT6">_xlfn._xlws.FILTER(TablaProductos[Nombre producto],TablaProductos[Agrupación]=ProductosPivot!COT5)</f>
        <v>#VALUE!</v>
      </c>
      <c r="COU6" s="68" t="e" cm="1" vm="1">
        <f t="array" ref="COU6">_xlfn._xlws.FILTER(TablaProductos[Nombre producto],TablaProductos[Agrupación]=ProductosPivot!COU5)</f>
        <v>#VALUE!</v>
      </c>
      <c r="COV6" s="68" t="e" cm="1" vm="1">
        <f t="array" ref="COV6">_xlfn._xlws.FILTER(TablaProductos[Nombre producto],TablaProductos[Agrupación]=ProductosPivot!COV5)</f>
        <v>#VALUE!</v>
      </c>
      <c r="COW6" s="68" t="e" cm="1" vm="1">
        <f t="array" ref="COW6">_xlfn._xlws.FILTER(TablaProductos[Nombre producto],TablaProductos[Agrupación]=ProductosPivot!COW5)</f>
        <v>#VALUE!</v>
      </c>
      <c r="COX6" s="68" t="e" cm="1" vm="1">
        <f t="array" ref="COX6">_xlfn._xlws.FILTER(TablaProductos[Nombre producto],TablaProductos[Agrupación]=ProductosPivot!COX5)</f>
        <v>#VALUE!</v>
      </c>
      <c r="COY6" s="68" t="e" cm="1" vm="1">
        <f t="array" ref="COY6">_xlfn._xlws.FILTER(TablaProductos[Nombre producto],TablaProductos[Agrupación]=ProductosPivot!COY5)</f>
        <v>#VALUE!</v>
      </c>
      <c r="COZ6" s="68" t="e" cm="1" vm="1">
        <f t="array" ref="COZ6">_xlfn._xlws.FILTER(TablaProductos[Nombre producto],TablaProductos[Agrupación]=ProductosPivot!COZ5)</f>
        <v>#VALUE!</v>
      </c>
      <c r="CPA6" s="68" t="e" cm="1" vm="1">
        <f t="array" ref="CPA6">_xlfn._xlws.FILTER(TablaProductos[Nombre producto],TablaProductos[Agrupación]=ProductosPivot!CPA5)</f>
        <v>#VALUE!</v>
      </c>
      <c r="CPB6" s="68" t="e" cm="1" vm="1">
        <f t="array" ref="CPB6">_xlfn._xlws.FILTER(TablaProductos[Nombre producto],TablaProductos[Agrupación]=ProductosPivot!CPB5)</f>
        <v>#VALUE!</v>
      </c>
      <c r="CPC6" s="68" t="e" cm="1" vm="1">
        <f t="array" ref="CPC6">_xlfn._xlws.FILTER(TablaProductos[Nombre producto],TablaProductos[Agrupación]=ProductosPivot!CPC5)</f>
        <v>#VALUE!</v>
      </c>
      <c r="CPD6" s="68" t="e" cm="1" vm="1">
        <f t="array" ref="CPD6">_xlfn._xlws.FILTER(TablaProductos[Nombre producto],TablaProductos[Agrupación]=ProductosPivot!CPD5)</f>
        <v>#VALUE!</v>
      </c>
      <c r="CPE6" s="68" t="e" cm="1" vm="1">
        <f t="array" ref="CPE6">_xlfn._xlws.FILTER(TablaProductos[Nombre producto],TablaProductos[Agrupación]=ProductosPivot!CPE5)</f>
        <v>#VALUE!</v>
      </c>
      <c r="CPF6" s="68" t="e" cm="1" vm="1">
        <f t="array" ref="CPF6">_xlfn._xlws.FILTER(TablaProductos[Nombre producto],TablaProductos[Agrupación]=ProductosPivot!CPF5)</f>
        <v>#VALUE!</v>
      </c>
      <c r="CPG6" s="68" t="e" cm="1" vm="1">
        <f t="array" ref="CPG6">_xlfn._xlws.FILTER(TablaProductos[Nombre producto],TablaProductos[Agrupación]=ProductosPivot!CPG5)</f>
        <v>#VALUE!</v>
      </c>
      <c r="CPH6" s="68" t="e" cm="1" vm="1">
        <f t="array" ref="CPH6">_xlfn._xlws.FILTER(TablaProductos[Nombre producto],TablaProductos[Agrupación]=ProductosPivot!CPH5)</f>
        <v>#VALUE!</v>
      </c>
      <c r="CPI6" s="68" t="e" cm="1" vm="1">
        <f t="array" ref="CPI6">_xlfn._xlws.FILTER(TablaProductos[Nombre producto],TablaProductos[Agrupación]=ProductosPivot!CPI5)</f>
        <v>#VALUE!</v>
      </c>
      <c r="CPJ6" s="68" t="e" cm="1" vm="1">
        <f t="array" ref="CPJ6">_xlfn._xlws.FILTER(TablaProductos[Nombre producto],TablaProductos[Agrupación]=ProductosPivot!CPJ5)</f>
        <v>#VALUE!</v>
      </c>
      <c r="CPK6" s="68" t="e" cm="1" vm="1">
        <f t="array" ref="CPK6">_xlfn._xlws.FILTER(TablaProductos[Nombre producto],TablaProductos[Agrupación]=ProductosPivot!CPK5)</f>
        <v>#VALUE!</v>
      </c>
      <c r="CPL6" s="68" t="e" cm="1" vm="1">
        <f t="array" ref="CPL6">_xlfn._xlws.FILTER(TablaProductos[Nombre producto],TablaProductos[Agrupación]=ProductosPivot!CPL5)</f>
        <v>#VALUE!</v>
      </c>
      <c r="CPM6" s="68" t="e" cm="1" vm="1">
        <f t="array" ref="CPM6">_xlfn._xlws.FILTER(TablaProductos[Nombre producto],TablaProductos[Agrupación]=ProductosPivot!CPM5)</f>
        <v>#VALUE!</v>
      </c>
      <c r="CPN6" s="68" t="e" cm="1" vm="1">
        <f t="array" ref="CPN6">_xlfn._xlws.FILTER(TablaProductos[Nombre producto],TablaProductos[Agrupación]=ProductosPivot!CPN5)</f>
        <v>#VALUE!</v>
      </c>
      <c r="CPO6" s="68" t="e" cm="1" vm="1">
        <f t="array" ref="CPO6">_xlfn._xlws.FILTER(TablaProductos[Nombre producto],TablaProductos[Agrupación]=ProductosPivot!CPO5)</f>
        <v>#VALUE!</v>
      </c>
      <c r="CPP6" s="68" t="e" cm="1" vm="1">
        <f t="array" ref="CPP6">_xlfn._xlws.FILTER(TablaProductos[Nombre producto],TablaProductos[Agrupación]=ProductosPivot!CPP5)</f>
        <v>#VALUE!</v>
      </c>
      <c r="CPQ6" s="68" t="e" cm="1" vm="1">
        <f t="array" ref="CPQ6">_xlfn._xlws.FILTER(TablaProductos[Nombre producto],TablaProductos[Agrupación]=ProductosPivot!CPQ5)</f>
        <v>#VALUE!</v>
      </c>
      <c r="CPR6" s="68" t="e" cm="1" vm="1">
        <f t="array" ref="CPR6">_xlfn._xlws.FILTER(TablaProductos[Nombre producto],TablaProductos[Agrupación]=ProductosPivot!CPR5)</f>
        <v>#VALUE!</v>
      </c>
      <c r="CPS6" s="68" t="e" cm="1" vm="1">
        <f t="array" ref="CPS6">_xlfn._xlws.FILTER(TablaProductos[Nombre producto],TablaProductos[Agrupación]=ProductosPivot!CPS5)</f>
        <v>#VALUE!</v>
      </c>
      <c r="CPT6" s="68" t="e" cm="1" vm="1">
        <f t="array" ref="CPT6">_xlfn._xlws.FILTER(TablaProductos[Nombre producto],TablaProductos[Agrupación]=ProductosPivot!CPT5)</f>
        <v>#VALUE!</v>
      </c>
      <c r="CPU6" s="68" t="e" cm="1" vm="1">
        <f t="array" ref="CPU6">_xlfn._xlws.FILTER(TablaProductos[Nombre producto],TablaProductos[Agrupación]=ProductosPivot!CPU5)</f>
        <v>#VALUE!</v>
      </c>
      <c r="CPV6" s="68" t="e" cm="1" vm="1">
        <f t="array" ref="CPV6">_xlfn._xlws.FILTER(TablaProductos[Nombre producto],TablaProductos[Agrupación]=ProductosPivot!CPV5)</f>
        <v>#VALUE!</v>
      </c>
      <c r="CPW6" s="68" t="e" cm="1" vm="1">
        <f t="array" ref="CPW6">_xlfn._xlws.FILTER(TablaProductos[Nombre producto],TablaProductos[Agrupación]=ProductosPivot!CPW5)</f>
        <v>#VALUE!</v>
      </c>
      <c r="CPX6" s="68" t="e" cm="1" vm="1">
        <f t="array" ref="CPX6">_xlfn._xlws.FILTER(TablaProductos[Nombre producto],TablaProductos[Agrupación]=ProductosPivot!CPX5)</f>
        <v>#VALUE!</v>
      </c>
      <c r="CPY6" s="68" t="e" cm="1" vm="1">
        <f t="array" ref="CPY6">_xlfn._xlws.FILTER(TablaProductos[Nombre producto],TablaProductos[Agrupación]=ProductosPivot!CPY5)</f>
        <v>#VALUE!</v>
      </c>
      <c r="CPZ6" s="68" t="e" cm="1" vm="1">
        <f t="array" ref="CPZ6">_xlfn._xlws.FILTER(TablaProductos[Nombre producto],TablaProductos[Agrupación]=ProductosPivot!CPZ5)</f>
        <v>#VALUE!</v>
      </c>
      <c r="CQA6" s="68" t="e" cm="1" vm="1">
        <f t="array" ref="CQA6">_xlfn._xlws.FILTER(TablaProductos[Nombre producto],TablaProductos[Agrupación]=ProductosPivot!CQA5)</f>
        <v>#VALUE!</v>
      </c>
      <c r="CQB6" s="68" t="e" cm="1" vm="1">
        <f t="array" ref="CQB6">_xlfn._xlws.FILTER(TablaProductos[Nombre producto],TablaProductos[Agrupación]=ProductosPivot!CQB5)</f>
        <v>#VALUE!</v>
      </c>
      <c r="CQC6" s="68" t="e" cm="1" vm="1">
        <f t="array" ref="CQC6">_xlfn._xlws.FILTER(TablaProductos[Nombre producto],TablaProductos[Agrupación]=ProductosPivot!CQC5)</f>
        <v>#VALUE!</v>
      </c>
      <c r="CQD6" s="68" t="e" cm="1" vm="1">
        <f t="array" ref="CQD6">_xlfn._xlws.FILTER(TablaProductos[Nombre producto],TablaProductos[Agrupación]=ProductosPivot!CQD5)</f>
        <v>#VALUE!</v>
      </c>
      <c r="CQE6" s="68" t="e" cm="1" vm="1">
        <f t="array" ref="CQE6">_xlfn._xlws.FILTER(TablaProductos[Nombre producto],TablaProductos[Agrupación]=ProductosPivot!CQE5)</f>
        <v>#VALUE!</v>
      </c>
      <c r="CQF6" s="68" t="e" cm="1" vm="1">
        <f t="array" ref="CQF6">_xlfn._xlws.FILTER(TablaProductos[Nombre producto],TablaProductos[Agrupación]=ProductosPivot!CQF5)</f>
        <v>#VALUE!</v>
      </c>
      <c r="CQG6" s="68" t="e" cm="1" vm="1">
        <f t="array" ref="CQG6">_xlfn._xlws.FILTER(TablaProductos[Nombre producto],TablaProductos[Agrupación]=ProductosPivot!CQG5)</f>
        <v>#VALUE!</v>
      </c>
      <c r="CQH6" s="68" t="e" cm="1" vm="1">
        <f t="array" ref="CQH6">_xlfn._xlws.FILTER(TablaProductos[Nombre producto],TablaProductos[Agrupación]=ProductosPivot!CQH5)</f>
        <v>#VALUE!</v>
      </c>
      <c r="CQI6" s="68" t="e" cm="1" vm="1">
        <f t="array" ref="CQI6">_xlfn._xlws.FILTER(TablaProductos[Nombre producto],TablaProductos[Agrupación]=ProductosPivot!CQI5)</f>
        <v>#VALUE!</v>
      </c>
      <c r="CQJ6" s="68" t="e" cm="1" vm="1">
        <f t="array" ref="CQJ6">_xlfn._xlws.FILTER(TablaProductos[Nombre producto],TablaProductos[Agrupación]=ProductosPivot!CQJ5)</f>
        <v>#VALUE!</v>
      </c>
      <c r="CQK6" s="68" t="e" cm="1" vm="1">
        <f t="array" ref="CQK6">_xlfn._xlws.FILTER(TablaProductos[Nombre producto],TablaProductos[Agrupación]=ProductosPivot!CQK5)</f>
        <v>#VALUE!</v>
      </c>
      <c r="CQL6" s="68" t="e" cm="1" vm="1">
        <f t="array" ref="CQL6">_xlfn._xlws.FILTER(TablaProductos[Nombre producto],TablaProductos[Agrupación]=ProductosPivot!CQL5)</f>
        <v>#VALUE!</v>
      </c>
      <c r="CQM6" s="68" t="e" cm="1" vm="1">
        <f t="array" ref="CQM6">_xlfn._xlws.FILTER(TablaProductos[Nombre producto],TablaProductos[Agrupación]=ProductosPivot!CQM5)</f>
        <v>#VALUE!</v>
      </c>
      <c r="CQN6" s="68" t="e" cm="1" vm="1">
        <f t="array" ref="CQN6">_xlfn._xlws.FILTER(TablaProductos[Nombre producto],TablaProductos[Agrupación]=ProductosPivot!CQN5)</f>
        <v>#VALUE!</v>
      </c>
      <c r="CQO6" s="68" t="e" cm="1" vm="1">
        <f t="array" ref="CQO6">_xlfn._xlws.FILTER(TablaProductos[Nombre producto],TablaProductos[Agrupación]=ProductosPivot!CQO5)</f>
        <v>#VALUE!</v>
      </c>
      <c r="CQP6" s="68" t="e" cm="1" vm="1">
        <f t="array" ref="CQP6">_xlfn._xlws.FILTER(TablaProductos[Nombre producto],TablaProductos[Agrupación]=ProductosPivot!CQP5)</f>
        <v>#VALUE!</v>
      </c>
      <c r="CQQ6" s="68" t="e" cm="1" vm="1">
        <f t="array" ref="CQQ6">_xlfn._xlws.FILTER(TablaProductos[Nombre producto],TablaProductos[Agrupación]=ProductosPivot!CQQ5)</f>
        <v>#VALUE!</v>
      </c>
      <c r="CQR6" s="68" t="e" cm="1" vm="1">
        <f t="array" ref="CQR6">_xlfn._xlws.FILTER(TablaProductos[Nombre producto],TablaProductos[Agrupación]=ProductosPivot!CQR5)</f>
        <v>#VALUE!</v>
      </c>
      <c r="CQS6" s="68" t="e" cm="1" vm="1">
        <f t="array" ref="CQS6">_xlfn._xlws.FILTER(TablaProductos[Nombre producto],TablaProductos[Agrupación]=ProductosPivot!CQS5)</f>
        <v>#VALUE!</v>
      </c>
      <c r="CQT6" s="68" t="e" cm="1" vm="1">
        <f t="array" ref="CQT6">_xlfn._xlws.FILTER(TablaProductos[Nombre producto],TablaProductos[Agrupación]=ProductosPivot!CQT5)</f>
        <v>#VALUE!</v>
      </c>
      <c r="CQU6" s="68" t="e" cm="1" vm="1">
        <f t="array" ref="CQU6">_xlfn._xlws.FILTER(TablaProductos[Nombre producto],TablaProductos[Agrupación]=ProductosPivot!CQU5)</f>
        <v>#VALUE!</v>
      </c>
      <c r="CQV6" s="68" t="e" cm="1" vm="1">
        <f t="array" ref="CQV6">_xlfn._xlws.FILTER(TablaProductos[Nombre producto],TablaProductos[Agrupación]=ProductosPivot!CQV5)</f>
        <v>#VALUE!</v>
      </c>
      <c r="CQW6" s="68" t="e" cm="1" vm="1">
        <f t="array" ref="CQW6">_xlfn._xlws.FILTER(TablaProductos[Nombre producto],TablaProductos[Agrupación]=ProductosPivot!CQW5)</f>
        <v>#VALUE!</v>
      </c>
      <c r="CQX6" s="68" t="e" cm="1" vm="1">
        <f t="array" ref="CQX6">_xlfn._xlws.FILTER(TablaProductos[Nombre producto],TablaProductos[Agrupación]=ProductosPivot!CQX5)</f>
        <v>#VALUE!</v>
      </c>
      <c r="CQY6" s="68" t="e" cm="1" vm="1">
        <f t="array" ref="CQY6">_xlfn._xlws.FILTER(TablaProductos[Nombre producto],TablaProductos[Agrupación]=ProductosPivot!CQY5)</f>
        <v>#VALUE!</v>
      </c>
      <c r="CQZ6" s="68" t="e" cm="1" vm="1">
        <f t="array" ref="CQZ6">_xlfn._xlws.FILTER(TablaProductos[Nombre producto],TablaProductos[Agrupación]=ProductosPivot!CQZ5)</f>
        <v>#VALUE!</v>
      </c>
      <c r="CRA6" s="68" t="e" cm="1" vm="1">
        <f t="array" ref="CRA6">_xlfn._xlws.FILTER(TablaProductos[Nombre producto],TablaProductos[Agrupación]=ProductosPivot!CRA5)</f>
        <v>#VALUE!</v>
      </c>
      <c r="CRB6" s="68" t="e" cm="1" vm="1">
        <f t="array" ref="CRB6">_xlfn._xlws.FILTER(TablaProductos[Nombre producto],TablaProductos[Agrupación]=ProductosPivot!CRB5)</f>
        <v>#VALUE!</v>
      </c>
      <c r="CRC6" s="68" t="e" cm="1" vm="1">
        <f t="array" ref="CRC6">_xlfn._xlws.FILTER(TablaProductos[Nombre producto],TablaProductos[Agrupación]=ProductosPivot!CRC5)</f>
        <v>#VALUE!</v>
      </c>
      <c r="CRD6" s="68" t="e" cm="1" vm="1">
        <f t="array" ref="CRD6">_xlfn._xlws.FILTER(TablaProductos[Nombre producto],TablaProductos[Agrupación]=ProductosPivot!CRD5)</f>
        <v>#VALUE!</v>
      </c>
      <c r="CRE6" s="68" t="e" cm="1" vm="1">
        <f t="array" ref="CRE6">_xlfn._xlws.FILTER(TablaProductos[Nombre producto],TablaProductos[Agrupación]=ProductosPivot!CRE5)</f>
        <v>#VALUE!</v>
      </c>
      <c r="CRF6" s="68" t="e" cm="1" vm="1">
        <f t="array" ref="CRF6">_xlfn._xlws.FILTER(TablaProductos[Nombre producto],TablaProductos[Agrupación]=ProductosPivot!CRF5)</f>
        <v>#VALUE!</v>
      </c>
      <c r="CRG6" s="68" t="e" cm="1" vm="1">
        <f t="array" ref="CRG6">_xlfn._xlws.FILTER(TablaProductos[Nombre producto],TablaProductos[Agrupación]=ProductosPivot!CRG5)</f>
        <v>#VALUE!</v>
      </c>
      <c r="CRH6" s="68" t="e" cm="1" vm="1">
        <f t="array" ref="CRH6">_xlfn._xlws.FILTER(TablaProductos[Nombre producto],TablaProductos[Agrupación]=ProductosPivot!CRH5)</f>
        <v>#VALUE!</v>
      </c>
      <c r="CRI6" s="68" t="e" cm="1" vm="1">
        <f t="array" ref="CRI6">_xlfn._xlws.FILTER(TablaProductos[Nombre producto],TablaProductos[Agrupación]=ProductosPivot!CRI5)</f>
        <v>#VALUE!</v>
      </c>
      <c r="CRJ6" s="68" t="e" cm="1" vm="1">
        <f t="array" ref="CRJ6">_xlfn._xlws.FILTER(TablaProductos[Nombre producto],TablaProductos[Agrupación]=ProductosPivot!CRJ5)</f>
        <v>#VALUE!</v>
      </c>
      <c r="CRK6" s="68" t="e" cm="1" vm="1">
        <f t="array" ref="CRK6">_xlfn._xlws.FILTER(TablaProductos[Nombre producto],TablaProductos[Agrupación]=ProductosPivot!CRK5)</f>
        <v>#VALUE!</v>
      </c>
      <c r="CRL6" s="68" t="e" cm="1" vm="1">
        <f t="array" ref="CRL6">_xlfn._xlws.FILTER(TablaProductos[Nombre producto],TablaProductos[Agrupación]=ProductosPivot!CRL5)</f>
        <v>#VALUE!</v>
      </c>
      <c r="CRM6" s="68" t="e" cm="1" vm="1">
        <f t="array" ref="CRM6">_xlfn._xlws.FILTER(TablaProductos[Nombre producto],TablaProductos[Agrupación]=ProductosPivot!CRM5)</f>
        <v>#VALUE!</v>
      </c>
      <c r="CRN6" s="68" t="e" cm="1" vm="1">
        <f t="array" ref="CRN6">_xlfn._xlws.FILTER(TablaProductos[Nombre producto],TablaProductos[Agrupación]=ProductosPivot!CRN5)</f>
        <v>#VALUE!</v>
      </c>
      <c r="CRO6" s="68" t="e" cm="1" vm="1">
        <f t="array" ref="CRO6">_xlfn._xlws.FILTER(TablaProductos[Nombre producto],TablaProductos[Agrupación]=ProductosPivot!CRO5)</f>
        <v>#VALUE!</v>
      </c>
      <c r="CRP6" s="68" t="e" cm="1" vm="1">
        <f t="array" ref="CRP6">_xlfn._xlws.FILTER(TablaProductos[Nombre producto],TablaProductos[Agrupación]=ProductosPivot!CRP5)</f>
        <v>#VALUE!</v>
      </c>
      <c r="CRQ6" s="68" t="e" cm="1" vm="1">
        <f t="array" ref="CRQ6">_xlfn._xlws.FILTER(TablaProductos[Nombre producto],TablaProductos[Agrupación]=ProductosPivot!CRQ5)</f>
        <v>#VALUE!</v>
      </c>
      <c r="CRR6" s="68" t="e" cm="1" vm="1">
        <f t="array" ref="CRR6">_xlfn._xlws.FILTER(TablaProductos[Nombre producto],TablaProductos[Agrupación]=ProductosPivot!CRR5)</f>
        <v>#VALUE!</v>
      </c>
      <c r="CRS6" s="68" t="e" cm="1" vm="1">
        <f t="array" ref="CRS6">_xlfn._xlws.FILTER(TablaProductos[Nombre producto],TablaProductos[Agrupación]=ProductosPivot!CRS5)</f>
        <v>#VALUE!</v>
      </c>
      <c r="CRT6" s="68" t="e" cm="1" vm="1">
        <f t="array" ref="CRT6">_xlfn._xlws.FILTER(TablaProductos[Nombre producto],TablaProductos[Agrupación]=ProductosPivot!CRT5)</f>
        <v>#VALUE!</v>
      </c>
      <c r="CRU6" s="68" t="e" cm="1" vm="1">
        <f t="array" ref="CRU6">_xlfn._xlws.FILTER(TablaProductos[Nombre producto],TablaProductos[Agrupación]=ProductosPivot!CRU5)</f>
        <v>#VALUE!</v>
      </c>
      <c r="CRV6" s="68" t="e" cm="1" vm="1">
        <f t="array" ref="CRV6">_xlfn._xlws.FILTER(TablaProductos[Nombre producto],TablaProductos[Agrupación]=ProductosPivot!CRV5)</f>
        <v>#VALUE!</v>
      </c>
      <c r="CRW6" s="68" t="e" cm="1" vm="1">
        <f t="array" ref="CRW6">_xlfn._xlws.FILTER(TablaProductos[Nombre producto],TablaProductos[Agrupación]=ProductosPivot!CRW5)</f>
        <v>#VALUE!</v>
      </c>
      <c r="CRX6" s="68" t="e" cm="1" vm="1">
        <f t="array" ref="CRX6">_xlfn._xlws.FILTER(TablaProductos[Nombre producto],TablaProductos[Agrupación]=ProductosPivot!CRX5)</f>
        <v>#VALUE!</v>
      </c>
      <c r="CRY6" s="68" t="e" cm="1" vm="1">
        <f t="array" ref="CRY6">_xlfn._xlws.FILTER(TablaProductos[Nombre producto],TablaProductos[Agrupación]=ProductosPivot!CRY5)</f>
        <v>#VALUE!</v>
      </c>
      <c r="CRZ6" s="68" t="e" cm="1" vm="1">
        <f t="array" ref="CRZ6">_xlfn._xlws.FILTER(TablaProductos[Nombre producto],TablaProductos[Agrupación]=ProductosPivot!CRZ5)</f>
        <v>#VALUE!</v>
      </c>
      <c r="CSA6" s="68" t="e" cm="1" vm="1">
        <f t="array" ref="CSA6">_xlfn._xlws.FILTER(TablaProductos[Nombre producto],TablaProductos[Agrupación]=ProductosPivot!CSA5)</f>
        <v>#VALUE!</v>
      </c>
      <c r="CSB6" s="68" t="e" cm="1" vm="1">
        <f t="array" ref="CSB6">_xlfn._xlws.FILTER(TablaProductos[Nombre producto],TablaProductos[Agrupación]=ProductosPivot!CSB5)</f>
        <v>#VALUE!</v>
      </c>
      <c r="CSC6" s="68" t="e" cm="1" vm="1">
        <f t="array" ref="CSC6">_xlfn._xlws.FILTER(TablaProductos[Nombre producto],TablaProductos[Agrupación]=ProductosPivot!CSC5)</f>
        <v>#VALUE!</v>
      </c>
      <c r="CSD6" s="68" t="e" cm="1" vm="1">
        <f t="array" ref="CSD6">_xlfn._xlws.FILTER(TablaProductos[Nombre producto],TablaProductos[Agrupación]=ProductosPivot!CSD5)</f>
        <v>#VALUE!</v>
      </c>
      <c r="CSE6" s="68" t="e" cm="1" vm="1">
        <f t="array" ref="CSE6">_xlfn._xlws.FILTER(TablaProductos[Nombre producto],TablaProductos[Agrupación]=ProductosPivot!CSE5)</f>
        <v>#VALUE!</v>
      </c>
      <c r="CSF6" s="68" t="e" cm="1" vm="1">
        <f t="array" ref="CSF6">_xlfn._xlws.FILTER(TablaProductos[Nombre producto],TablaProductos[Agrupación]=ProductosPivot!CSF5)</f>
        <v>#VALUE!</v>
      </c>
      <c r="CSG6" s="68" t="e" cm="1" vm="1">
        <f t="array" ref="CSG6">_xlfn._xlws.FILTER(TablaProductos[Nombre producto],TablaProductos[Agrupación]=ProductosPivot!CSG5)</f>
        <v>#VALUE!</v>
      </c>
      <c r="CSH6" s="68" t="e" cm="1" vm="1">
        <f t="array" ref="CSH6">_xlfn._xlws.FILTER(TablaProductos[Nombre producto],TablaProductos[Agrupación]=ProductosPivot!CSH5)</f>
        <v>#VALUE!</v>
      </c>
      <c r="CSI6" s="68" t="e" cm="1" vm="1">
        <f t="array" ref="CSI6">_xlfn._xlws.FILTER(TablaProductos[Nombre producto],TablaProductos[Agrupación]=ProductosPivot!CSI5)</f>
        <v>#VALUE!</v>
      </c>
      <c r="CSJ6" s="68" t="e" cm="1" vm="1">
        <f t="array" ref="CSJ6">_xlfn._xlws.FILTER(TablaProductos[Nombre producto],TablaProductos[Agrupación]=ProductosPivot!CSJ5)</f>
        <v>#VALUE!</v>
      </c>
      <c r="CSK6" s="68" t="e" cm="1" vm="1">
        <f t="array" ref="CSK6">_xlfn._xlws.FILTER(TablaProductos[Nombre producto],TablaProductos[Agrupación]=ProductosPivot!CSK5)</f>
        <v>#VALUE!</v>
      </c>
      <c r="CSL6" s="68" t="e" cm="1" vm="1">
        <f t="array" ref="CSL6">_xlfn._xlws.FILTER(TablaProductos[Nombre producto],TablaProductos[Agrupación]=ProductosPivot!CSL5)</f>
        <v>#VALUE!</v>
      </c>
      <c r="CSM6" s="68" t="e" cm="1" vm="1">
        <f t="array" ref="CSM6">_xlfn._xlws.FILTER(TablaProductos[Nombre producto],TablaProductos[Agrupación]=ProductosPivot!CSM5)</f>
        <v>#VALUE!</v>
      </c>
      <c r="CSN6" s="68" t="e" cm="1" vm="1">
        <f t="array" ref="CSN6">_xlfn._xlws.FILTER(TablaProductos[Nombre producto],TablaProductos[Agrupación]=ProductosPivot!CSN5)</f>
        <v>#VALUE!</v>
      </c>
      <c r="CSO6" s="68" t="e" cm="1" vm="1">
        <f t="array" ref="CSO6">_xlfn._xlws.FILTER(TablaProductos[Nombre producto],TablaProductos[Agrupación]=ProductosPivot!CSO5)</f>
        <v>#VALUE!</v>
      </c>
      <c r="CSP6" s="68" t="e" cm="1" vm="1">
        <f t="array" ref="CSP6">_xlfn._xlws.FILTER(TablaProductos[Nombre producto],TablaProductos[Agrupación]=ProductosPivot!CSP5)</f>
        <v>#VALUE!</v>
      </c>
      <c r="CSQ6" s="68" t="e" cm="1" vm="1">
        <f t="array" ref="CSQ6">_xlfn._xlws.FILTER(TablaProductos[Nombre producto],TablaProductos[Agrupación]=ProductosPivot!CSQ5)</f>
        <v>#VALUE!</v>
      </c>
      <c r="CSR6" s="68" t="e" cm="1" vm="1">
        <f t="array" ref="CSR6">_xlfn._xlws.FILTER(TablaProductos[Nombre producto],TablaProductos[Agrupación]=ProductosPivot!CSR5)</f>
        <v>#VALUE!</v>
      </c>
      <c r="CSS6" s="68" t="e" cm="1" vm="1">
        <f t="array" ref="CSS6">_xlfn._xlws.FILTER(TablaProductos[Nombre producto],TablaProductos[Agrupación]=ProductosPivot!CSS5)</f>
        <v>#VALUE!</v>
      </c>
      <c r="CST6" s="68" t="e" cm="1" vm="1">
        <f t="array" ref="CST6">_xlfn._xlws.FILTER(TablaProductos[Nombre producto],TablaProductos[Agrupación]=ProductosPivot!CST5)</f>
        <v>#VALUE!</v>
      </c>
      <c r="CSU6" s="68" t="e" cm="1" vm="1">
        <f t="array" ref="CSU6">_xlfn._xlws.FILTER(TablaProductos[Nombre producto],TablaProductos[Agrupación]=ProductosPivot!CSU5)</f>
        <v>#VALUE!</v>
      </c>
      <c r="CSV6" s="68" t="e" cm="1" vm="1">
        <f t="array" ref="CSV6">_xlfn._xlws.FILTER(TablaProductos[Nombre producto],TablaProductos[Agrupación]=ProductosPivot!CSV5)</f>
        <v>#VALUE!</v>
      </c>
      <c r="CSW6" s="68" t="e" cm="1" vm="1">
        <f t="array" ref="CSW6">_xlfn._xlws.FILTER(TablaProductos[Nombre producto],TablaProductos[Agrupación]=ProductosPivot!CSW5)</f>
        <v>#VALUE!</v>
      </c>
      <c r="CSX6" s="68" t="e" cm="1" vm="1">
        <f t="array" ref="CSX6">_xlfn._xlws.FILTER(TablaProductos[Nombre producto],TablaProductos[Agrupación]=ProductosPivot!CSX5)</f>
        <v>#VALUE!</v>
      </c>
      <c r="CSY6" s="68" t="e" cm="1" vm="1">
        <f t="array" ref="CSY6">_xlfn._xlws.FILTER(TablaProductos[Nombre producto],TablaProductos[Agrupación]=ProductosPivot!CSY5)</f>
        <v>#VALUE!</v>
      </c>
      <c r="CSZ6" s="68" t="e" cm="1" vm="1">
        <f t="array" ref="CSZ6">_xlfn._xlws.FILTER(TablaProductos[Nombre producto],TablaProductos[Agrupación]=ProductosPivot!CSZ5)</f>
        <v>#VALUE!</v>
      </c>
      <c r="CTA6" s="68" t="e" cm="1" vm="1">
        <f t="array" ref="CTA6">_xlfn._xlws.FILTER(TablaProductos[Nombre producto],TablaProductos[Agrupación]=ProductosPivot!CTA5)</f>
        <v>#VALUE!</v>
      </c>
      <c r="CTB6" s="68" t="e" cm="1" vm="1">
        <f t="array" ref="CTB6">_xlfn._xlws.FILTER(TablaProductos[Nombre producto],TablaProductos[Agrupación]=ProductosPivot!CTB5)</f>
        <v>#VALUE!</v>
      </c>
      <c r="CTC6" s="68" t="e" cm="1" vm="1">
        <f t="array" ref="CTC6">_xlfn._xlws.FILTER(TablaProductos[Nombre producto],TablaProductos[Agrupación]=ProductosPivot!CTC5)</f>
        <v>#VALUE!</v>
      </c>
      <c r="CTD6" s="68" t="e" cm="1" vm="1">
        <f t="array" ref="CTD6">_xlfn._xlws.FILTER(TablaProductos[Nombre producto],TablaProductos[Agrupación]=ProductosPivot!CTD5)</f>
        <v>#VALUE!</v>
      </c>
      <c r="CTE6" s="68" t="e" cm="1" vm="1">
        <f t="array" ref="CTE6">_xlfn._xlws.FILTER(TablaProductos[Nombre producto],TablaProductos[Agrupación]=ProductosPivot!CTE5)</f>
        <v>#VALUE!</v>
      </c>
      <c r="CTF6" s="68" t="e" cm="1" vm="1">
        <f t="array" ref="CTF6">_xlfn._xlws.FILTER(TablaProductos[Nombre producto],TablaProductos[Agrupación]=ProductosPivot!CTF5)</f>
        <v>#VALUE!</v>
      </c>
      <c r="CTG6" s="68" t="e" cm="1" vm="1">
        <f t="array" ref="CTG6">_xlfn._xlws.FILTER(TablaProductos[Nombre producto],TablaProductos[Agrupación]=ProductosPivot!CTG5)</f>
        <v>#VALUE!</v>
      </c>
      <c r="CTH6" s="68" t="e" cm="1" vm="1">
        <f t="array" ref="CTH6">_xlfn._xlws.FILTER(TablaProductos[Nombre producto],TablaProductos[Agrupación]=ProductosPivot!CTH5)</f>
        <v>#VALUE!</v>
      </c>
      <c r="CTI6" s="68" t="e" cm="1" vm="1">
        <f t="array" ref="CTI6">_xlfn._xlws.FILTER(TablaProductos[Nombre producto],TablaProductos[Agrupación]=ProductosPivot!CTI5)</f>
        <v>#VALUE!</v>
      </c>
      <c r="CTJ6" s="68" t="e" cm="1" vm="1">
        <f t="array" ref="CTJ6">_xlfn._xlws.FILTER(TablaProductos[Nombre producto],TablaProductos[Agrupación]=ProductosPivot!CTJ5)</f>
        <v>#VALUE!</v>
      </c>
      <c r="CTK6" s="68" t="e" cm="1" vm="1">
        <f t="array" ref="CTK6">_xlfn._xlws.FILTER(TablaProductos[Nombre producto],TablaProductos[Agrupación]=ProductosPivot!CTK5)</f>
        <v>#VALUE!</v>
      </c>
      <c r="CTL6" s="68" t="e" cm="1" vm="1">
        <f t="array" ref="CTL6">_xlfn._xlws.FILTER(TablaProductos[Nombre producto],TablaProductos[Agrupación]=ProductosPivot!CTL5)</f>
        <v>#VALUE!</v>
      </c>
      <c r="CTM6" s="68" t="e" cm="1" vm="1">
        <f t="array" ref="CTM6">_xlfn._xlws.FILTER(TablaProductos[Nombre producto],TablaProductos[Agrupación]=ProductosPivot!CTM5)</f>
        <v>#VALUE!</v>
      </c>
      <c r="CTN6" s="68" t="e" cm="1" vm="1">
        <f t="array" ref="CTN6">_xlfn._xlws.FILTER(TablaProductos[Nombre producto],TablaProductos[Agrupación]=ProductosPivot!CTN5)</f>
        <v>#VALUE!</v>
      </c>
      <c r="CTO6" s="68" t="e" cm="1" vm="1">
        <f t="array" ref="CTO6">_xlfn._xlws.FILTER(TablaProductos[Nombre producto],TablaProductos[Agrupación]=ProductosPivot!CTO5)</f>
        <v>#VALUE!</v>
      </c>
      <c r="CTP6" s="68" t="e" cm="1" vm="1">
        <f t="array" ref="CTP6">_xlfn._xlws.FILTER(TablaProductos[Nombre producto],TablaProductos[Agrupación]=ProductosPivot!CTP5)</f>
        <v>#VALUE!</v>
      </c>
      <c r="CTQ6" s="68" t="e" cm="1" vm="1">
        <f t="array" ref="CTQ6">_xlfn._xlws.FILTER(TablaProductos[Nombre producto],TablaProductos[Agrupación]=ProductosPivot!CTQ5)</f>
        <v>#VALUE!</v>
      </c>
      <c r="CTR6" s="68" t="e" cm="1" vm="1">
        <f t="array" ref="CTR6">_xlfn._xlws.FILTER(TablaProductos[Nombre producto],TablaProductos[Agrupación]=ProductosPivot!CTR5)</f>
        <v>#VALUE!</v>
      </c>
      <c r="CTS6" s="68" t="e" cm="1" vm="1">
        <f t="array" ref="CTS6">_xlfn._xlws.FILTER(TablaProductos[Nombre producto],TablaProductos[Agrupación]=ProductosPivot!CTS5)</f>
        <v>#VALUE!</v>
      </c>
      <c r="CTT6" s="68" t="e" cm="1" vm="1">
        <f t="array" ref="CTT6">_xlfn._xlws.FILTER(TablaProductos[Nombre producto],TablaProductos[Agrupación]=ProductosPivot!CTT5)</f>
        <v>#VALUE!</v>
      </c>
      <c r="CTU6" s="68" t="e" cm="1" vm="1">
        <f t="array" ref="CTU6">_xlfn._xlws.FILTER(TablaProductos[Nombre producto],TablaProductos[Agrupación]=ProductosPivot!CTU5)</f>
        <v>#VALUE!</v>
      </c>
      <c r="CTV6" s="68" t="e" cm="1" vm="1">
        <f t="array" ref="CTV6">_xlfn._xlws.FILTER(TablaProductos[Nombre producto],TablaProductos[Agrupación]=ProductosPivot!CTV5)</f>
        <v>#VALUE!</v>
      </c>
      <c r="CTW6" s="68" t="e" cm="1" vm="1">
        <f t="array" ref="CTW6">_xlfn._xlws.FILTER(TablaProductos[Nombre producto],TablaProductos[Agrupación]=ProductosPivot!CTW5)</f>
        <v>#VALUE!</v>
      </c>
      <c r="CTX6" s="68" t="e" cm="1" vm="1">
        <f t="array" ref="CTX6">_xlfn._xlws.FILTER(TablaProductos[Nombre producto],TablaProductos[Agrupación]=ProductosPivot!CTX5)</f>
        <v>#VALUE!</v>
      </c>
      <c r="CTY6" s="68" t="e" cm="1" vm="1">
        <f t="array" ref="CTY6">_xlfn._xlws.FILTER(TablaProductos[Nombre producto],TablaProductos[Agrupación]=ProductosPivot!CTY5)</f>
        <v>#VALUE!</v>
      </c>
      <c r="CTZ6" s="68" t="e" cm="1" vm="1">
        <f t="array" ref="CTZ6">_xlfn._xlws.FILTER(TablaProductos[Nombre producto],TablaProductos[Agrupación]=ProductosPivot!CTZ5)</f>
        <v>#VALUE!</v>
      </c>
      <c r="CUA6" s="68" t="e" cm="1" vm="1">
        <f t="array" ref="CUA6">_xlfn._xlws.FILTER(TablaProductos[Nombre producto],TablaProductos[Agrupación]=ProductosPivot!CUA5)</f>
        <v>#VALUE!</v>
      </c>
      <c r="CUB6" s="68" t="e" cm="1" vm="1">
        <f t="array" ref="CUB6">_xlfn._xlws.FILTER(TablaProductos[Nombre producto],TablaProductos[Agrupación]=ProductosPivot!CUB5)</f>
        <v>#VALUE!</v>
      </c>
      <c r="CUC6" s="68" t="e" cm="1" vm="1">
        <f t="array" ref="CUC6">_xlfn._xlws.FILTER(TablaProductos[Nombre producto],TablaProductos[Agrupación]=ProductosPivot!CUC5)</f>
        <v>#VALUE!</v>
      </c>
      <c r="CUD6" s="68" t="e" cm="1" vm="1">
        <f t="array" ref="CUD6">_xlfn._xlws.FILTER(TablaProductos[Nombre producto],TablaProductos[Agrupación]=ProductosPivot!CUD5)</f>
        <v>#VALUE!</v>
      </c>
      <c r="CUE6" s="68" t="e" cm="1" vm="1">
        <f t="array" ref="CUE6">_xlfn._xlws.FILTER(TablaProductos[Nombre producto],TablaProductos[Agrupación]=ProductosPivot!CUE5)</f>
        <v>#VALUE!</v>
      </c>
      <c r="CUF6" s="68" t="e" cm="1" vm="1">
        <f t="array" ref="CUF6">_xlfn._xlws.FILTER(TablaProductos[Nombre producto],TablaProductos[Agrupación]=ProductosPivot!CUF5)</f>
        <v>#VALUE!</v>
      </c>
      <c r="CUG6" s="68" t="e" cm="1" vm="1">
        <f t="array" ref="CUG6">_xlfn._xlws.FILTER(TablaProductos[Nombre producto],TablaProductos[Agrupación]=ProductosPivot!CUG5)</f>
        <v>#VALUE!</v>
      </c>
      <c r="CUH6" s="68" t="e" cm="1" vm="1">
        <f t="array" ref="CUH6">_xlfn._xlws.FILTER(TablaProductos[Nombre producto],TablaProductos[Agrupación]=ProductosPivot!CUH5)</f>
        <v>#VALUE!</v>
      </c>
      <c r="CUI6" s="68" t="e" cm="1" vm="1">
        <f t="array" ref="CUI6">_xlfn._xlws.FILTER(TablaProductos[Nombre producto],TablaProductos[Agrupación]=ProductosPivot!CUI5)</f>
        <v>#VALUE!</v>
      </c>
      <c r="CUJ6" s="68" t="e" cm="1" vm="1">
        <f t="array" ref="CUJ6">_xlfn._xlws.FILTER(TablaProductos[Nombre producto],TablaProductos[Agrupación]=ProductosPivot!CUJ5)</f>
        <v>#VALUE!</v>
      </c>
      <c r="CUK6" s="68" t="e" cm="1" vm="1">
        <f t="array" ref="CUK6">_xlfn._xlws.FILTER(TablaProductos[Nombre producto],TablaProductos[Agrupación]=ProductosPivot!CUK5)</f>
        <v>#VALUE!</v>
      </c>
      <c r="CUL6" s="68" t="e" cm="1" vm="1">
        <f t="array" ref="CUL6">_xlfn._xlws.FILTER(TablaProductos[Nombre producto],TablaProductos[Agrupación]=ProductosPivot!CUL5)</f>
        <v>#VALUE!</v>
      </c>
      <c r="CUM6" s="68" t="e" cm="1" vm="1">
        <f t="array" ref="CUM6">_xlfn._xlws.FILTER(TablaProductos[Nombre producto],TablaProductos[Agrupación]=ProductosPivot!CUM5)</f>
        <v>#VALUE!</v>
      </c>
      <c r="CUN6" s="68" t="e" cm="1" vm="1">
        <f t="array" ref="CUN6">_xlfn._xlws.FILTER(TablaProductos[Nombre producto],TablaProductos[Agrupación]=ProductosPivot!CUN5)</f>
        <v>#VALUE!</v>
      </c>
      <c r="CUO6" s="68" t="e" cm="1" vm="1">
        <f t="array" ref="CUO6">_xlfn._xlws.FILTER(TablaProductos[Nombre producto],TablaProductos[Agrupación]=ProductosPivot!CUO5)</f>
        <v>#VALUE!</v>
      </c>
      <c r="CUP6" s="68" t="e" cm="1" vm="1">
        <f t="array" ref="CUP6">_xlfn._xlws.FILTER(TablaProductos[Nombre producto],TablaProductos[Agrupación]=ProductosPivot!CUP5)</f>
        <v>#VALUE!</v>
      </c>
      <c r="CUQ6" s="68" t="e" cm="1" vm="1">
        <f t="array" ref="CUQ6">_xlfn._xlws.FILTER(TablaProductos[Nombre producto],TablaProductos[Agrupación]=ProductosPivot!CUQ5)</f>
        <v>#VALUE!</v>
      </c>
      <c r="CUR6" s="68" t="e" cm="1" vm="1">
        <f t="array" ref="CUR6">_xlfn._xlws.FILTER(TablaProductos[Nombre producto],TablaProductos[Agrupación]=ProductosPivot!CUR5)</f>
        <v>#VALUE!</v>
      </c>
      <c r="CUS6" s="68" t="e" cm="1" vm="1">
        <f t="array" ref="CUS6">_xlfn._xlws.FILTER(TablaProductos[Nombre producto],TablaProductos[Agrupación]=ProductosPivot!CUS5)</f>
        <v>#VALUE!</v>
      </c>
      <c r="CUT6" s="68" t="e" cm="1" vm="1">
        <f t="array" ref="CUT6">_xlfn._xlws.FILTER(TablaProductos[Nombre producto],TablaProductos[Agrupación]=ProductosPivot!CUT5)</f>
        <v>#VALUE!</v>
      </c>
      <c r="CUU6" s="68" t="e" cm="1" vm="1">
        <f t="array" ref="CUU6">_xlfn._xlws.FILTER(TablaProductos[Nombre producto],TablaProductos[Agrupación]=ProductosPivot!CUU5)</f>
        <v>#VALUE!</v>
      </c>
      <c r="CUV6" s="68" t="e" cm="1" vm="1">
        <f t="array" ref="CUV6">_xlfn._xlws.FILTER(TablaProductos[Nombre producto],TablaProductos[Agrupación]=ProductosPivot!CUV5)</f>
        <v>#VALUE!</v>
      </c>
      <c r="CUW6" s="68" t="e" cm="1" vm="1">
        <f t="array" ref="CUW6">_xlfn._xlws.FILTER(TablaProductos[Nombre producto],TablaProductos[Agrupación]=ProductosPivot!CUW5)</f>
        <v>#VALUE!</v>
      </c>
      <c r="CUX6" s="68" t="e" cm="1" vm="1">
        <f t="array" ref="CUX6">_xlfn._xlws.FILTER(TablaProductos[Nombre producto],TablaProductos[Agrupación]=ProductosPivot!CUX5)</f>
        <v>#VALUE!</v>
      </c>
      <c r="CUY6" s="68" t="e" cm="1" vm="1">
        <f t="array" ref="CUY6">_xlfn._xlws.FILTER(TablaProductos[Nombre producto],TablaProductos[Agrupación]=ProductosPivot!CUY5)</f>
        <v>#VALUE!</v>
      </c>
      <c r="CUZ6" s="68" t="e" cm="1" vm="1">
        <f t="array" ref="CUZ6">_xlfn._xlws.FILTER(TablaProductos[Nombre producto],TablaProductos[Agrupación]=ProductosPivot!CUZ5)</f>
        <v>#VALUE!</v>
      </c>
      <c r="CVA6" s="68" t="e" cm="1" vm="1">
        <f t="array" ref="CVA6">_xlfn._xlws.FILTER(TablaProductos[Nombre producto],TablaProductos[Agrupación]=ProductosPivot!CVA5)</f>
        <v>#VALUE!</v>
      </c>
      <c r="CVB6" s="68" t="e" cm="1" vm="1">
        <f t="array" ref="CVB6">_xlfn._xlws.FILTER(TablaProductos[Nombre producto],TablaProductos[Agrupación]=ProductosPivot!CVB5)</f>
        <v>#VALUE!</v>
      </c>
      <c r="CVC6" s="68" t="e" cm="1" vm="1">
        <f t="array" ref="CVC6">_xlfn._xlws.FILTER(TablaProductos[Nombre producto],TablaProductos[Agrupación]=ProductosPivot!CVC5)</f>
        <v>#VALUE!</v>
      </c>
      <c r="CVD6" s="68" t="e" cm="1" vm="1">
        <f t="array" ref="CVD6">_xlfn._xlws.FILTER(TablaProductos[Nombre producto],TablaProductos[Agrupación]=ProductosPivot!CVD5)</f>
        <v>#VALUE!</v>
      </c>
      <c r="CVE6" s="68" t="e" cm="1" vm="1">
        <f t="array" ref="CVE6">_xlfn._xlws.FILTER(TablaProductos[Nombre producto],TablaProductos[Agrupación]=ProductosPivot!CVE5)</f>
        <v>#VALUE!</v>
      </c>
      <c r="CVF6" s="68" t="e" cm="1" vm="1">
        <f t="array" ref="CVF6">_xlfn._xlws.FILTER(TablaProductos[Nombre producto],TablaProductos[Agrupación]=ProductosPivot!CVF5)</f>
        <v>#VALUE!</v>
      </c>
      <c r="CVG6" s="68" t="e" cm="1" vm="1">
        <f t="array" ref="CVG6">_xlfn._xlws.FILTER(TablaProductos[Nombre producto],TablaProductos[Agrupación]=ProductosPivot!CVG5)</f>
        <v>#VALUE!</v>
      </c>
      <c r="CVH6" s="68" t="e" cm="1" vm="1">
        <f t="array" ref="CVH6">_xlfn._xlws.FILTER(TablaProductos[Nombre producto],TablaProductos[Agrupación]=ProductosPivot!CVH5)</f>
        <v>#VALUE!</v>
      </c>
      <c r="CVI6" s="68" t="e" cm="1" vm="1">
        <f t="array" ref="CVI6">_xlfn._xlws.FILTER(TablaProductos[Nombre producto],TablaProductos[Agrupación]=ProductosPivot!CVI5)</f>
        <v>#VALUE!</v>
      </c>
      <c r="CVJ6" s="68" t="e" cm="1" vm="1">
        <f t="array" ref="CVJ6">_xlfn._xlws.FILTER(TablaProductos[Nombre producto],TablaProductos[Agrupación]=ProductosPivot!CVJ5)</f>
        <v>#VALUE!</v>
      </c>
      <c r="CVK6" s="68" t="e" cm="1" vm="1">
        <f t="array" ref="CVK6">_xlfn._xlws.FILTER(TablaProductos[Nombre producto],TablaProductos[Agrupación]=ProductosPivot!CVK5)</f>
        <v>#VALUE!</v>
      </c>
      <c r="CVL6" s="68" t="e" cm="1" vm="1">
        <f t="array" ref="CVL6">_xlfn._xlws.FILTER(TablaProductos[Nombre producto],TablaProductos[Agrupación]=ProductosPivot!CVL5)</f>
        <v>#VALUE!</v>
      </c>
      <c r="CVM6" s="68" t="e" cm="1" vm="1">
        <f t="array" ref="CVM6">_xlfn._xlws.FILTER(TablaProductos[Nombre producto],TablaProductos[Agrupación]=ProductosPivot!CVM5)</f>
        <v>#VALUE!</v>
      </c>
      <c r="CVN6" s="68" t="e" cm="1" vm="1">
        <f t="array" ref="CVN6">_xlfn._xlws.FILTER(TablaProductos[Nombre producto],TablaProductos[Agrupación]=ProductosPivot!CVN5)</f>
        <v>#VALUE!</v>
      </c>
      <c r="CVO6" s="68" t="e" cm="1" vm="1">
        <f t="array" ref="CVO6">_xlfn._xlws.FILTER(TablaProductos[Nombre producto],TablaProductos[Agrupación]=ProductosPivot!CVO5)</f>
        <v>#VALUE!</v>
      </c>
      <c r="CVP6" s="68" t="e" cm="1" vm="1">
        <f t="array" ref="CVP6">_xlfn._xlws.FILTER(TablaProductos[Nombre producto],TablaProductos[Agrupación]=ProductosPivot!CVP5)</f>
        <v>#VALUE!</v>
      </c>
      <c r="CVQ6" s="68" t="e" cm="1" vm="1">
        <f t="array" ref="CVQ6">_xlfn._xlws.FILTER(TablaProductos[Nombre producto],TablaProductos[Agrupación]=ProductosPivot!CVQ5)</f>
        <v>#VALUE!</v>
      </c>
      <c r="CVR6" s="68" t="e" cm="1" vm="1">
        <f t="array" ref="CVR6">_xlfn._xlws.FILTER(TablaProductos[Nombre producto],TablaProductos[Agrupación]=ProductosPivot!CVR5)</f>
        <v>#VALUE!</v>
      </c>
      <c r="CVS6" s="68" t="e" cm="1" vm="1">
        <f t="array" ref="CVS6">_xlfn._xlws.FILTER(TablaProductos[Nombre producto],TablaProductos[Agrupación]=ProductosPivot!CVS5)</f>
        <v>#VALUE!</v>
      </c>
      <c r="CVT6" s="68" t="e" cm="1" vm="1">
        <f t="array" ref="CVT6">_xlfn._xlws.FILTER(TablaProductos[Nombre producto],TablaProductos[Agrupación]=ProductosPivot!CVT5)</f>
        <v>#VALUE!</v>
      </c>
      <c r="CVU6" s="68" t="e" cm="1" vm="1">
        <f t="array" ref="CVU6">_xlfn._xlws.FILTER(TablaProductos[Nombre producto],TablaProductos[Agrupación]=ProductosPivot!CVU5)</f>
        <v>#VALUE!</v>
      </c>
      <c r="CVV6" s="68" t="e" cm="1" vm="1">
        <f t="array" ref="CVV6">_xlfn._xlws.FILTER(TablaProductos[Nombre producto],TablaProductos[Agrupación]=ProductosPivot!CVV5)</f>
        <v>#VALUE!</v>
      </c>
      <c r="CVW6" s="68" t="e" cm="1" vm="1">
        <f t="array" ref="CVW6">_xlfn._xlws.FILTER(TablaProductos[Nombre producto],TablaProductos[Agrupación]=ProductosPivot!CVW5)</f>
        <v>#VALUE!</v>
      </c>
      <c r="CVX6" s="68" t="e" cm="1" vm="1">
        <f t="array" ref="CVX6">_xlfn._xlws.FILTER(TablaProductos[Nombre producto],TablaProductos[Agrupación]=ProductosPivot!CVX5)</f>
        <v>#VALUE!</v>
      </c>
      <c r="CVY6" s="68" t="e" cm="1" vm="1">
        <f t="array" ref="CVY6">_xlfn._xlws.FILTER(TablaProductos[Nombre producto],TablaProductos[Agrupación]=ProductosPivot!CVY5)</f>
        <v>#VALUE!</v>
      </c>
      <c r="CVZ6" s="68" t="e" cm="1" vm="1">
        <f t="array" ref="CVZ6">_xlfn._xlws.FILTER(TablaProductos[Nombre producto],TablaProductos[Agrupación]=ProductosPivot!CVZ5)</f>
        <v>#VALUE!</v>
      </c>
      <c r="CWA6" s="68" t="e" cm="1" vm="1">
        <f t="array" ref="CWA6">_xlfn._xlws.FILTER(TablaProductos[Nombre producto],TablaProductos[Agrupación]=ProductosPivot!CWA5)</f>
        <v>#VALUE!</v>
      </c>
      <c r="CWB6" s="68" t="e" cm="1" vm="1">
        <f t="array" ref="CWB6">_xlfn._xlws.FILTER(TablaProductos[Nombre producto],TablaProductos[Agrupación]=ProductosPivot!CWB5)</f>
        <v>#VALUE!</v>
      </c>
      <c r="CWC6" s="68" t="e" cm="1" vm="1">
        <f t="array" ref="CWC6">_xlfn._xlws.FILTER(TablaProductos[Nombre producto],TablaProductos[Agrupación]=ProductosPivot!CWC5)</f>
        <v>#VALUE!</v>
      </c>
      <c r="CWD6" s="68" t="e" cm="1" vm="1">
        <f t="array" ref="CWD6">_xlfn._xlws.FILTER(TablaProductos[Nombre producto],TablaProductos[Agrupación]=ProductosPivot!CWD5)</f>
        <v>#VALUE!</v>
      </c>
      <c r="CWE6" s="68" t="e" cm="1" vm="1">
        <f t="array" ref="CWE6">_xlfn._xlws.FILTER(TablaProductos[Nombre producto],TablaProductos[Agrupación]=ProductosPivot!CWE5)</f>
        <v>#VALUE!</v>
      </c>
      <c r="CWF6" s="68" t="e" cm="1" vm="1">
        <f t="array" ref="CWF6">_xlfn._xlws.FILTER(TablaProductos[Nombre producto],TablaProductos[Agrupación]=ProductosPivot!CWF5)</f>
        <v>#VALUE!</v>
      </c>
      <c r="CWG6" s="68" t="e" cm="1" vm="1">
        <f t="array" ref="CWG6">_xlfn._xlws.FILTER(TablaProductos[Nombre producto],TablaProductos[Agrupación]=ProductosPivot!CWG5)</f>
        <v>#VALUE!</v>
      </c>
      <c r="CWH6" s="68" t="e" cm="1" vm="1">
        <f t="array" ref="CWH6">_xlfn._xlws.FILTER(TablaProductos[Nombre producto],TablaProductos[Agrupación]=ProductosPivot!CWH5)</f>
        <v>#VALUE!</v>
      </c>
      <c r="CWI6" s="68" t="e" cm="1" vm="1">
        <f t="array" ref="CWI6">_xlfn._xlws.FILTER(TablaProductos[Nombre producto],TablaProductos[Agrupación]=ProductosPivot!CWI5)</f>
        <v>#VALUE!</v>
      </c>
      <c r="CWJ6" s="68" t="e" cm="1" vm="1">
        <f t="array" ref="CWJ6">_xlfn._xlws.FILTER(TablaProductos[Nombre producto],TablaProductos[Agrupación]=ProductosPivot!CWJ5)</f>
        <v>#VALUE!</v>
      </c>
      <c r="CWK6" s="68" t="e" cm="1" vm="1">
        <f t="array" ref="CWK6">_xlfn._xlws.FILTER(TablaProductos[Nombre producto],TablaProductos[Agrupación]=ProductosPivot!CWK5)</f>
        <v>#VALUE!</v>
      </c>
      <c r="CWL6" s="68" t="e" cm="1" vm="1">
        <f t="array" ref="CWL6">_xlfn._xlws.FILTER(TablaProductos[Nombre producto],TablaProductos[Agrupación]=ProductosPivot!CWL5)</f>
        <v>#VALUE!</v>
      </c>
      <c r="CWM6" s="68" t="e" cm="1" vm="1">
        <f t="array" ref="CWM6">_xlfn._xlws.FILTER(TablaProductos[Nombre producto],TablaProductos[Agrupación]=ProductosPivot!CWM5)</f>
        <v>#VALUE!</v>
      </c>
      <c r="CWN6" s="68" t="e" cm="1" vm="1">
        <f t="array" ref="CWN6">_xlfn._xlws.FILTER(TablaProductos[Nombre producto],TablaProductos[Agrupación]=ProductosPivot!CWN5)</f>
        <v>#VALUE!</v>
      </c>
      <c r="CWO6" s="68" t="e" cm="1" vm="1">
        <f t="array" ref="CWO6">_xlfn._xlws.FILTER(TablaProductos[Nombre producto],TablaProductos[Agrupación]=ProductosPivot!CWO5)</f>
        <v>#VALUE!</v>
      </c>
      <c r="CWP6" s="68" t="e" cm="1" vm="1">
        <f t="array" ref="CWP6">_xlfn._xlws.FILTER(TablaProductos[Nombre producto],TablaProductos[Agrupación]=ProductosPivot!CWP5)</f>
        <v>#VALUE!</v>
      </c>
      <c r="CWQ6" s="68" t="e" cm="1" vm="1">
        <f t="array" ref="CWQ6">_xlfn._xlws.FILTER(TablaProductos[Nombre producto],TablaProductos[Agrupación]=ProductosPivot!CWQ5)</f>
        <v>#VALUE!</v>
      </c>
      <c r="CWR6" s="68" t="e" cm="1" vm="1">
        <f t="array" ref="CWR6">_xlfn._xlws.FILTER(TablaProductos[Nombre producto],TablaProductos[Agrupación]=ProductosPivot!CWR5)</f>
        <v>#VALUE!</v>
      </c>
      <c r="CWS6" s="68" t="e" cm="1" vm="1">
        <f t="array" ref="CWS6">_xlfn._xlws.FILTER(TablaProductos[Nombre producto],TablaProductos[Agrupación]=ProductosPivot!CWS5)</f>
        <v>#VALUE!</v>
      </c>
      <c r="CWT6" s="68" t="e" cm="1" vm="1">
        <f t="array" ref="CWT6">_xlfn._xlws.FILTER(TablaProductos[Nombre producto],TablaProductos[Agrupación]=ProductosPivot!CWT5)</f>
        <v>#VALUE!</v>
      </c>
      <c r="CWU6" s="68" t="e" cm="1" vm="1">
        <f t="array" ref="CWU6">_xlfn._xlws.FILTER(TablaProductos[Nombre producto],TablaProductos[Agrupación]=ProductosPivot!CWU5)</f>
        <v>#VALUE!</v>
      </c>
      <c r="CWV6" s="68" t="e" cm="1" vm="1">
        <f t="array" ref="CWV6">_xlfn._xlws.FILTER(TablaProductos[Nombre producto],TablaProductos[Agrupación]=ProductosPivot!CWV5)</f>
        <v>#VALUE!</v>
      </c>
      <c r="CWW6" s="68" t="e" cm="1" vm="1">
        <f t="array" ref="CWW6">_xlfn._xlws.FILTER(TablaProductos[Nombre producto],TablaProductos[Agrupación]=ProductosPivot!CWW5)</f>
        <v>#VALUE!</v>
      </c>
      <c r="CWX6" s="68" t="e" cm="1" vm="1">
        <f t="array" ref="CWX6">_xlfn._xlws.FILTER(TablaProductos[Nombre producto],TablaProductos[Agrupación]=ProductosPivot!CWX5)</f>
        <v>#VALUE!</v>
      </c>
      <c r="CWY6" s="68" t="e" cm="1" vm="1">
        <f t="array" ref="CWY6">_xlfn._xlws.FILTER(TablaProductos[Nombre producto],TablaProductos[Agrupación]=ProductosPivot!CWY5)</f>
        <v>#VALUE!</v>
      </c>
      <c r="CWZ6" s="68" t="e" cm="1" vm="1">
        <f t="array" ref="CWZ6">_xlfn._xlws.FILTER(TablaProductos[Nombre producto],TablaProductos[Agrupación]=ProductosPivot!CWZ5)</f>
        <v>#VALUE!</v>
      </c>
      <c r="CXA6" s="68" t="e" cm="1" vm="1">
        <f t="array" ref="CXA6">_xlfn._xlws.FILTER(TablaProductos[Nombre producto],TablaProductos[Agrupación]=ProductosPivot!CXA5)</f>
        <v>#VALUE!</v>
      </c>
      <c r="CXB6" s="68" t="e" cm="1" vm="1">
        <f t="array" ref="CXB6">_xlfn._xlws.FILTER(TablaProductos[Nombre producto],TablaProductos[Agrupación]=ProductosPivot!CXB5)</f>
        <v>#VALUE!</v>
      </c>
      <c r="CXC6" s="68" t="e" cm="1" vm="1">
        <f t="array" ref="CXC6">_xlfn._xlws.FILTER(TablaProductos[Nombre producto],TablaProductos[Agrupación]=ProductosPivot!CXC5)</f>
        <v>#VALUE!</v>
      </c>
      <c r="CXD6" s="68" t="e" cm="1" vm="1">
        <f t="array" ref="CXD6">_xlfn._xlws.FILTER(TablaProductos[Nombre producto],TablaProductos[Agrupación]=ProductosPivot!CXD5)</f>
        <v>#VALUE!</v>
      </c>
      <c r="CXE6" s="68" t="e" cm="1" vm="1">
        <f t="array" ref="CXE6">_xlfn._xlws.FILTER(TablaProductos[Nombre producto],TablaProductos[Agrupación]=ProductosPivot!CXE5)</f>
        <v>#VALUE!</v>
      </c>
      <c r="CXF6" s="68" t="e" cm="1" vm="1">
        <f t="array" ref="CXF6">_xlfn._xlws.FILTER(TablaProductos[Nombre producto],TablaProductos[Agrupación]=ProductosPivot!CXF5)</f>
        <v>#VALUE!</v>
      </c>
      <c r="CXG6" s="68" t="e" cm="1" vm="1">
        <f t="array" ref="CXG6">_xlfn._xlws.FILTER(TablaProductos[Nombre producto],TablaProductos[Agrupación]=ProductosPivot!CXG5)</f>
        <v>#VALUE!</v>
      </c>
      <c r="CXH6" s="68" t="e" cm="1" vm="1">
        <f t="array" ref="CXH6">_xlfn._xlws.FILTER(TablaProductos[Nombre producto],TablaProductos[Agrupación]=ProductosPivot!CXH5)</f>
        <v>#VALUE!</v>
      </c>
      <c r="CXI6" s="68" t="e" cm="1" vm="1">
        <f t="array" ref="CXI6">_xlfn._xlws.FILTER(TablaProductos[Nombre producto],TablaProductos[Agrupación]=ProductosPivot!CXI5)</f>
        <v>#VALUE!</v>
      </c>
      <c r="CXJ6" s="68" t="e" cm="1" vm="1">
        <f t="array" ref="CXJ6">_xlfn._xlws.FILTER(TablaProductos[Nombre producto],TablaProductos[Agrupación]=ProductosPivot!CXJ5)</f>
        <v>#VALUE!</v>
      </c>
      <c r="CXK6" s="68" t="e" cm="1" vm="1">
        <f t="array" ref="CXK6">_xlfn._xlws.FILTER(TablaProductos[Nombre producto],TablaProductos[Agrupación]=ProductosPivot!CXK5)</f>
        <v>#VALUE!</v>
      </c>
      <c r="CXL6" s="68" t="e" cm="1" vm="1">
        <f t="array" ref="CXL6">_xlfn._xlws.FILTER(TablaProductos[Nombre producto],TablaProductos[Agrupación]=ProductosPivot!CXL5)</f>
        <v>#VALUE!</v>
      </c>
      <c r="CXM6" s="68" t="e" cm="1" vm="1">
        <f t="array" ref="CXM6">_xlfn._xlws.FILTER(TablaProductos[Nombre producto],TablaProductos[Agrupación]=ProductosPivot!CXM5)</f>
        <v>#VALUE!</v>
      </c>
      <c r="CXN6" s="68" t="e" cm="1" vm="1">
        <f t="array" ref="CXN6">_xlfn._xlws.FILTER(TablaProductos[Nombre producto],TablaProductos[Agrupación]=ProductosPivot!CXN5)</f>
        <v>#VALUE!</v>
      </c>
      <c r="CXO6" s="68" t="e" cm="1" vm="1">
        <f t="array" ref="CXO6">_xlfn._xlws.FILTER(TablaProductos[Nombre producto],TablaProductos[Agrupación]=ProductosPivot!CXO5)</f>
        <v>#VALUE!</v>
      </c>
      <c r="CXP6" s="68" t="e" cm="1" vm="1">
        <f t="array" ref="CXP6">_xlfn._xlws.FILTER(TablaProductos[Nombre producto],TablaProductos[Agrupación]=ProductosPivot!CXP5)</f>
        <v>#VALUE!</v>
      </c>
      <c r="CXQ6" s="68" t="e" cm="1" vm="1">
        <f t="array" ref="CXQ6">_xlfn._xlws.FILTER(TablaProductos[Nombre producto],TablaProductos[Agrupación]=ProductosPivot!CXQ5)</f>
        <v>#VALUE!</v>
      </c>
      <c r="CXR6" s="68" t="e" cm="1" vm="1">
        <f t="array" ref="CXR6">_xlfn._xlws.FILTER(TablaProductos[Nombre producto],TablaProductos[Agrupación]=ProductosPivot!CXR5)</f>
        <v>#VALUE!</v>
      </c>
      <c r="CXS6" s="68" t="e" cm="1" vm="1">
        <f t="array" ref="CXS6">_xlfn._xlws.FILTER(TablaProductos[Nombre producto],TablaProductos[Agrupación]=ProductosPivot!CXS5)</f>
        <v>#VALUE!</v>
      </c>
      <c r="CXT6" s="68" t="e" cm="1" vm="1">
        <f t="array" ref="CXT6">_xlfn._xlws.FILTER(TablaProductos[Nombre producto],TablaProductos[Agrupación]=ProductosPivot!CXT5)</f>
        <v>#VALUE!</v>
      </c>
      <c r="CXU6" s="68" t="e" cm="1" vm="1">
        <f t="array" ref="CXU6">_xlfn._xlws.FILTER(TablaProductos[Nombre producto],TablaProductos[Agrupación]=ProductosPivot!CXU5)</f>
        <v>#VALUE!</v>
      </c>
      <c r="CXV6" s="68" t="e" cm="1" vm="1">
        <f t="array" ref="CXV6">_xlfn._xlws.FILTER(TablaProductos[Nombre producto],TablaProductos[Agrupación]=ProductosPivot!CXV5)</f>
        <v>#VALUE!</v>
      </c>
      <c r="CXW6" s="68" t="e" cm="1" vm="1">
        <f t="array" ref="CXW6">_xlfn._xlws.FILTER(TablaProductos[Nombre producto],TablaProductos[Agrupación]=ProductosPivot!CXW5)</f>
        <v>#VALUE!</v>
      </c>
      <c r="CXX6" s="68" t="e" cm="1" vm="1">
        <f t="array" ref="CXX6">_xlfn._xlws.FILTER(TablaProductos[Nombre producto],TablaProductos[Agrupación]=ProductosPivot!CXX5)</f>
        <v>#VALUE!</v>
      </c>
      <c r="CXY6" s="68" t="e" cm="1" vm="1">
        <f t="array" ref="CXY6">_xlfn._xlws.FILTER(TablaProductos[Nombre producto],TablaProductos[Agrupación]=ProductosPivot!CXY5)</f>
        <v>#VALUE!</v>
      </c>
      <c r="CXZ6" s="68" t="e" cm="1" vm="1">
        <f t="array" ref="CXZ6">_xlfn._xlws.FILTER(TablaProductos[Nombre producto],TablaProductos[Agrupación]=ProductosPivot!CXZ5)</f>
        <v>#VALUE!</v>
      </c>
      <c r="CYA6" s="68" t="e" cm="1" vm="1">
        <f t="array" ref="CYA6">_xlfn._xlws.FILTER(TablaProductos[Nombre producto],TablaProductos[Agrupación]=ProductosPivot!CYA5)</f>
        <v>#VALUE!</v>
      </c>
      <c r="CYB6" s="68" t="e" cm="1" vm="1">
        <f t="array" ref="CYB6">_xlfn._xlws.FILTER(TablaProductos[Nombre producto],TablaProductos[Agrupación]=ProductosPivot!CYB5)</f>
        <v>#VALUE!</v>
      </c>
      <c r="CYC6" s="68" t="e" cm="1" vm="1">
        <f t="array" ref="CYC6">_xlfn._xlws.FILTER(TablaProductos[Nombre producto],TablaProductos[Agrupación]=ProductosPivot!CYC5)</f>
        <v>#VALUE!</v>
      </c>
      <c r="CYD6" s="68" t="e" cm="1" vm="1">
        <f t="array" ref="CYD6">_xlfn._xlws.FILTER(TablaProductos[Nombre producto],TablaProductos[Agrupación]=ProductosPivot!CYD5)</f>
        <v>#VALUE!</v>
      </c>
      <c r="CYE6" s="68" t="e" cm="1" vm="1">
        <f t="array" ref="CYE6">_xlfn._xlws.FILTER(TablaProductos[Nombre producto],TablaProductos[Agrupación]=ProductosPivot!CYE5)</f>
        <v>#VALUE!</v>
      </c>
      <c r="CYF6" s="68" t="e" cm="1" vm="1">
        <f t="array" ref="CYF6">_xlfn._xlws.FILTER(TablaProductos[Nombre producto],TablaProductos[Agrupación]=ProductosPivot!CYF5)</f>
        <v>#VALUE!</v>
      </c>
      <c r="CYG6" s="68" t="e" cm="1" vm="1">
        <f t="array" ref="CYG6">_xlfn._xlws.FILTER(TablaProductos[Nombre producto],TablaProductos[Agrupación]=ProductosPivot!CYG5)</f>
        <v>#VALUE!</v>
      </c>
      <c r="CYH6" s="68" t="e" cm="1" vm="1">
        <f t="array" ref="CYH6">_xlfn._xlws.FILTER(TablaProductos[Nombre producto],TablaProductos[Agrupación]=ProductosPivot!CYH5)</f>
        <v>#VALUE!</v>
      </c>
      <c r="CYI6" s="68" t="e" cm="1" vm="1">
        <f t="array" ref="CYI6">_xlfn._xlws.FILTER(TablaProductos[Nombre producto],TablaProductos[Agrupación]=ProductosPivot!CYI5)</f>
        <v>#VALUE!</v>
      </c>
      <c r="CYJ6" s="68" t="e" cm="1" vm="1">
        <f t="array" ref="CYJ6">_xlfn._xlws.FILTER(TablaProductos[Nombre producto],TablaProductos[Agrupación]=ProductosPivot!CYJ5)</f>
        <v>#VALUE!</v>
      </c>
      <c r="CYK6" s="68" t="e" cm="1" vm="1">
        <f t="array" ref="CYK6">_xlfn._xlws.FILTER(TablaProductos[Nombre producto],TablaProductos[Agrupación]=ProductosPivot!CYK5)</f>
        <v>#VALUE!</v>
      </c>
      <c r="CYL6" s="68" t="e" cm="1" vm="1">
        <f t="array" ref="CYL6">_xlfn._xlws.FILTER(TablaProductos[Nombre producto],TablaProductos[Agrupación]=ProductosPivot!CYL5)</f>
        <v>#VALUE!</v>
      </c>
      <c r="CYM6" s="68" t="e" cm="1" vm="1">
        <f t="array" ref="CYM6">_xlfn._xlws.FILTER(TablaProductos[Nombre producto],TablaProductos[Agrupación]=ProductosPivot!CYM5)</f>
        <v>#VALUE!</v>
      </c>
      <c r="CYN6" s="68" t="e" cm="1" vm="1">
        <f t="array" ref="CYN6">_xlfn._xlws.FILTER(TablaProductos[Nombre producto],TablaProductos[Agrupación]=ProductosPivot!CYN5)</f>
        <v>#VALUE!</v>
      </c>
      <c r="CYO6" s="68" t="e" cm="1" vm="1">
        <f t="array" ref="CYO6">_xlfn._xlws.FILTER(TablaProductos[Nombre producto],TablaProductos[Agrupación]=ProductosPivot!CYO5)</f>
        <v>#VALUE!</v>
      </c>
      <c r="CYP6" s="68" t="e" cm="1" vm="1">
        <f t="array" ref="CYP6">_xlfn._xlws.FILTER(TablaProductos[Nombre producto],TablaProductos[Agrupación]=ProductosPivot!CYP5)</f>
        <v>#VALUE!</v>
      </c>
      <c r="CYQ6" s="68" t="e" cm="1" vm="1">
        <f t="array" ref="CYQ6">_xlfn._xlws.FILTER(TablaProductos[Nombre producto],TablaProductos[Agrupación]=ProductosPivot!CYQ5)</f>
        <v>#VALUE!</v>
      </c>
      <c r="CYR6" s="68" t="e" cm="1" vm="1">
        <f t="array" ref="CYR6">_xlfn._xlws.FILTER(TablaProductos[Nombre producto],TablaProductos[Agrupación]=ProductosPivot!CYR5)</f>
        <v>#VALUE!</v>
      </c>
      <c r="CYS6" s="68" t="e" cm="1" vm="1">
        <f t="array" ref="CYS6">_xlfn._xlws.FILTER(TablaProductos[Nombre producto],TablaProductos[Agrupación]=ProductosPivot!CYS5)</f>
        <v>#VALUE!</v>
      </c>
      <c r="CYT6" s="68" t="e" cm="1" vm="1">
        <f t="array" ref="CYT6">_xlfn._xlws.FILTER(TablaProductos[Nombre producto],TablaProductos[Agrupación]=ProductosPivot!CYT5)</f>
        <v>#VALUE!</v>
      </c>
      <c r="CYU6" s="68" t="e" cm="1" vm="1">
        <f t="array" ref="CYU6">_xlfn._xlws.FILTER(TablaProductos[Nombre producto],TablaProductos[Agrupación]=ProductosPivot!CYU5)</f>
        <v>#VALUE!</v>
      </c>
      <c r="CYV6" s="68" t="e" cm="1" vm="1">
        <f t="array" ref="CYV6">_xlfn._xlws.FILTER(TablaProductos[Nombre producto],TablaProductos[Agrupación]=ProductosPivot!CYV5)</f>
        <v>#VALUE!</v>
      </c>
      <c r="CYW6" s="68" t="e" cm="1" vm="1">
        <f t="array" ref="CYW6">_xlfn._xlws.FILTER(TablaProductos[Nombre producto],TablaProductos[Agrupación]=ProductosPivot!CYW5)</f>
        <v>#VALUE!</v>
      </c>
      <c r="CYX6" s="68" t="e" cm="1" vm="1">
        <f t="array" ref="CYX6">_xlfn._xlws.FILTER(TablaProductos[Nombre producto],TablaProductos[Agrupación]=ProductosPivot!CYX5)</f>
        <v>#VALUE!</v>
      </c>
      <c r="CYY6" s="68" t="e" cm="1" vm="1">
        <f t="array" ref="CYY6">_xlfn._xlws.FILTER(TablaProductos[Nombre producto],TablaProductos[Agrupación]=ProductosPivot!CYY5)</f>
        <v>#VALUE!</v>
      </c>
      <c r="CYZ6" s="68" t="e" cm="1" vm="1">
        <f t="array" ref="CYZ6">_xlfn._xlws.FILTER(TablaProductos[Nombre producto],TablaProductos[Agrupación]=ProductosPivot!CYZ5)</f>
        <v>#VALUE!</v>
      </c>
      <c r="CZA6" s="68" t="e" cm="1" vm="1">
        <f t="array" ref="CZA6">_xlfn._xlws.FILTER(TablaProductos[Nombre producto],TablaProductos[Agrupación]=ProductosPivot!CZA5)</f>
        <v>#VALUE!</v>
      </c>
      <c r="CZB6" s="68" t="e" cm="1" vm="1">
        <f t="array" ref="CZB6">_xlfn._xlws.FILTER(TablaProductos[Nombre producto],TablaProductos[Agrupación]=ProductosPivot!CZB5)</f>
        <v>#VALUE!</v>
      </c>
      <c r="CZC6" s="68" t="e" cm="1" vm="1">
        <f t="array" ref="CZC6">_xlfn._xlws.FILTER(TablaProductos[Nombre producto],TablaProductos[Agrupación]=ProductosPivot!CZC5)</f>
        <v>#VALUE!</v>
      </c>
      <c r="CZD6" s="68" t="e" cm="1" vm="1">
        <f t="array" ref="CZD6">_xlfn._xlws.FILTER(TablaProductos[Nombre producto],TablaProductos[Agrupación]=ProductosPivot!CZD5)</f>
        <v>#VALUE!</v>
      </c>
      <c r="CZE6" s="68" t="e" cm="1" vm="1">
        <f t="array" ref="CZE6">_xlfn._xlws.FILTER(TablaProductos[Nombre producto],TablaProductos[Agrupación]=ProductosPivot!CZE5)</f>
        <v>#VALUE!</v>
      </c>
      <c r="CZF6" s="68" t="e" cm="1" vm="1">
        <f t="array" ref="CZF6">_xlfn._xlws.FILTER(TablaProductos[Nombre producto],TablaProductos[Agrupación]=ProductosPivot!CZF5)</f>
        <v>#VALUE!</v>
      </c>
      <c r="CZG6" s="68" t="e" cm="1" vm="1">
        <f t="array" ref="CZG6">_xlfn._xlws.FILTER(TablaProductos[Nombre producto],TablaProductos[Agrupación]=ProductosPivot!CZG5)</f>
        <v>#VALUE!</v>
      </c>
      <c r="CZH6" s="68" t="e" cm="1" vm="1">
        <f t="array" ref="CZH6">_xlfn._xlws.FILTER(TablaProductos[Nombre producto],TablaProductos[Agrupación]=ProductosPivot!CZH5)</f>
        <v>#VALUE!</v>
      </c>
      <c r="CZI6" s="68" t="e" cm="1" vm="1">
        <f t="array" ref="CZI6">_xlfn._xlws.FILTER(TablaProductos[Nombre producto],TablaProductos[Agrupación]=ProductosPivot!CZI5)</f>
        <v>#VALUE!</v>
      </c>
      <c r="CZJ6" s="68" t="e" cm="1" vm="1">
        <f t="array" ref="CZJ6">_xlfn._xlws.FILTER(TablaProductos[Nombre producto],TablaProductos[Agrupación]=ProductosPivot!CZJ5)</f>
        <v>#VALUE!</v>
      </c>
      <c r="CZK6" s="68" t="e" cm="1" vm="1">
        <f t="array" ref="CZK6">_xlfn._xlws.FILTER(TablaProductos[Nombre producto],TablaProductos[Agrupación]=ProductosPivot!CZK5)</f>
        <v>#VALUE!</v>
      </c>
      <c r="CZL6" s="68" t="e" cm="1" vm="1">
        <f t="array" ref="CZL6">_xlfn._xlws.FILTER(TablaProductos[Nombre producto],TablaProductos[Agrupación]=ProductosPivot!CZL5)</f>
        <v>#VALUE!</v>
      </c>
      <c r="CZM6" s="68" t="e" cm="1" vm="1">
        <f t="array" ref="CZM6">_xlfn._xlws.FILTER(TablaProductos[Nombre producto],TablaProductos[Agrupación]=ProductosPivot!CZM5)</f>
        <v>#VALUE!</v>
      </c>
      <c r="CZN6" s="68" t="e" cm="1" vm="1">
        <f t="array" ref="CZN6">_xlfn._xlws.FILTER(TablaProductos[Nombre producto],TablaProductos[Agrupación]=ProductosPivot!CZN5)</f>
        <v>#VALUE!</v>
      </c>
      <c r="CZO6" s="68" t="e" cm="1" vm="1">
        <f t="array" ref="CZO6">_xlfn._xlws.FILTER(TablaProductos[Nombre producto],TablaProductos[Agrupación]=ProductosPivot!CZO5)</f>
        <v>#VALUE!</v>
      </c>
      <c r="CZP6" s="68" t="e" cm="1" vm="1">
        <f t="array" ref="CZP6">_xlfn._xlws.FILTER(TablaProductos[Nombre producto],TablaProductos[Agrupación]=ProductosPivot!CZP5)</f>
        <v>#VALUE!</v>
      </c>
      <c r="CZQ6" s="68" t="e" cm="1" vm="1">
        <f t="array" ref="CZQ6">_xlfn._xlws.FILTER(TablaProductos[Nombre producto],TablaProductos[Agrupación]=ProductosPivot!CZQ5)</f>
        <v>#VALUE!</v>
      </c>
      <c r="CZR6" s="68" t="e" cm="1" vm="1">
        <f t="array" ref="CZR6">_xlfn._xlws.FILTER(TablaProductos[Nombre producto],TablaProductos[Agrupación]=ProductosPivot!CZR5)</f>
        <v>#VALUE!</v>
      </c>
      <c r="CZS6" s="68" t="e" cm="1" vm="1">
        <f t="array" ref="CZS6">_xlfn._xlws.FILTER(TablaProductos[Nombre producto],TablaProductos[Agrupación]=ProductosPivot!CZS5)</f>
        <v>#VALUE!</v>
      </c>
      <c r="CZT6" s="68" t="e" cm="1" vm="1">
        <f t="array" ref="CZT6">_xlfn._xlws.FILTER(TablaProductos[Nombre producto],TablaProductos[Agrupación]=ProductosPivot!CZT5)</f>
        <v>#VALUE!</v>
      </c>
      <c r="CZU6" s="68" t="e" cm="1" vm="1">
        <f t="array" ref="CZU6">_xlfn._xlws.FILTER(TablaProductos[Nombre producto],TablaProductos[Agrupación]=ProductosPivot!CZU5)</f>
        <v>#VALUE!</v>
      </c>
      <c r="CZV6" s="68" t="e" cm="1" vm="1">
        <f t="array" ref="CZV6">_xlfn._xlws.FILTER(TablaProductos[Nombre producto],TablaProductos[Agrupación]=ProductosPivot!CZV5)</f>
        <v>#VALUE!</v>
      </c>
      <c r="CZW6" s="68" t="e" cm="1" vm="1">
        <f t="array" ref="CZW6">_xlfn._xlws.FILTER(TablaProductos[Nombre producto],TablaProductos[Agrupación]=ProductosPivot!CZW5)</f>
        <v>#VALUE!</v>
      </c>
      <c r="CZX6" s="68" t="e" cm="1" vm="1">
        <f t="array" ref="CZX6">_xlfn._xlws.FILTER(TablaProductos[Nombre producto],TablaProductos[Agrupación]=ProductosPivot!CZX5)</f>
        <v>#VALUE!</v>
      </c>
      <c r="CZY6" s="68" t="e" cm="1" vm="1">
        <f t="array" ref="CZY6">_xlfn._xlws.FILTER(TablaProductos[Nombre producto],TablaProductos[Agrupación]=ProductosPivot!CZY5)</f>
        <v>#VALUE!</v>
      </c>
      <c r="CZZ6" s="68" t="e" cm="1" vm="1">
        <f t="array" ref="CZZ6">_xlfn._xlws.FILTER(TablaProductos[Nombre producto],TablaProductos[Agrupación]=ProductosPivot!CZZ5)</f>
        <v>#VALUE!</v>
      </c>
      <c r="DAA6" s="68" t="e" cm="1" vm="1">
        <f t="array" ref="DAA6">_xlfn._xlws.FILTER(TablaProductos[Nombre producto],TablaProductos[Agrupación]=ProductosPivot!DAA5)</f>
        <v>#VALUE!</v>
      </c>
      <c r="DAB6" s="68" t="e" cm="1" vm="1">
        <f t="array" ref="DAB6">_xlfn._xlws.FILTER(TablaProductos[Nombre producto],TablaProductos[Agrupación]=ProductosPivot!DAB5)</f>
        <v>#VALUE!</v>
      </c>
      <c r="DAC6" s="68" t="e" cm="1" vm="1">
        <f t="array" ref="DAC6">_xlfn._xlws.FILTER(TablaProductos[Nombre producto],TablaProductos[Agrupación]=ProductosPivot!DAC5)</f>
        <v>#VALUE!</v>
      </c>
      <c r="DAD6" s="68" t="e" cm="1" vm="1">
        <f t="array" ref="DAD6">_xlfn._xlws.FILTER(TablaProductos[Nombre producto],TablaProductos[Agrupación]=ProductosPivot!DAD5)</f>
        <v>#VALUE!</v>
      </c>
      <c r="DAE6" s="68" t="e" cm="1" vm="1">
        <f t="array" ref="DAE6">_xlfn._xlws.FILTER(TablaProductos[Nombre producto],TablaProductos[Agrupación]=ProductosPivot!DAE5)</f>
        <v>#VALUE!</v>
      </c>
      <c r="DAF6" s="68" t="e" cm="1" vm="1">
        <f t="array" ref="DAF6">_xlfn._xlws.FILTER(TablaProductos[Nombre producto],TablaProductos[Agrupación]=ProductosPivot!DAF5)</f>
        <v>#VALUE!</v>
      </c>
      <c r="DAG6" s="68" t="e" cm="1" vm="1">
        <f t="array" ref="DAG6">_xlfn._xlws.FILTER(TablaProductos[Nombre producto],TablaProductos[Agrupación]=ProductosPivot!DAG5)</f>
        <v>#VALUE!</v>
      </c>
      <c r="DAH6" s="68" t="e" cm="1" vm="1">
        <f t="array" ref="DAH6">_xlfn._xlws.FILTER(TablaProductos[Nombre producto],TablaProductos[Agrupación]=ProductosPivot!DAH5)</f>
        <v>#VALUE!</v>
      </c>
      <c r="DAI6" s="68" t="e" cm="1" vm="1">
        <f t="array" ref="DAI6">_xlfn._xlws.FILTER(TablaProductos[Nombre producto],TablaProductos[Agrupación]=ProductosPivot!DAI5)</f>
        <v>#VALUE!</v>
      </c>
      <c r="DAJ6" s="68" t="e" cm="1" vm="1">
        <f t="array" ref="DAJ6">_xlfn._xlws.FILTER(TablaProductos[Nombre producto],TablaProductos[Agrupación]=ProductosPivot!DAJ5)</f>
        <v>#VALUE!</v>
      </c>
      <c r="DAK6" s="68" t="e" cm="1" vm="1">
        <f t="array" ref="DAK6">_xlfn._xlws.FILTER(TablaProductos[Nombre producto],TablaProductos[Agrupación]=ProductosPivot!DAK5)</f>
        <v>#VALUE!</v>
      </c>
      <c r="DAL6" s="68" t="e" cm="1" vm="1">
        <f t="array" ref="DAL6">_xlfn._xlws.FILTER(TablaProductos[Nombre producto],TablaProductos[Agrupación]=ProductosPivot!DAL5)</f>
        <v>#VALUE!</v>
      </c>
      <c r="DAM6" s="68" t="e" cm="1" vm="1">
        <f t="array" ref="DAM6">_xlfn._xlws.FILTER(TablaProductos[Nombre producto],TablaProductos[Agrupación]=ProductosPivot!DAM5)</f>
        <v>#VALUE!</v>
      </c>
      <c r="DAN6" s="68" t="e" cm="1" vm="1">
        <f t="array" ref="DAN6">_xlfn._xlws.FILTER(TablaProductos[Nombre producto],TablaProductos[Agrupación]=ProductosPivot!DAN5)</f>
        <v>#VALUE!</v>
      </c>
      <c r="DAO6" s="68" t="e" cm="1" vm="1">
        <f t="array" ref="DAO6">_xlfn._xlws.FILTER(TablaProductos[Nombre producto],TablaProductos[Agrupación]=ProductosPivot!DAO5)</f>
        <v>#VALUE!</v>
      </c>
      <c r="DAP6" s="68" t="e" cm="1" vm="1">
        <f t="array" ref="DAP6">_xlfn._xlws.FILTER(TablaProductos[Nombre producto],TablaProductos[Agrupación]=ProductosPivot!DAP5)</f>
        <v>#VALUE!</v>
      </c>
      <c r="DAQ6" s="68" t="e" cm="1" vm="1">
        <f t="array" ref="DAQ6">_xlfn._xlws.FILTER(TablaProductos[Nombre producto],TablaProductos[Agrupación]=ProductosPivot!DAQ5)</f>
        <v>#VALUE!</v>
      </c>
      <c r="DAR6" s="68" t="e" cm="1" vm="1">
        <f t="array" ref="DAR6">_xlfn._xlws.FILTER(TablaProductos[Nombre producto],TablaProductos[Agrupación]=ProductosPivot!DAR5)</f>
        <v>#VALUE!</v>
      </c>
      <c r="DAS6" s="68" t="e" cm="1" vm="1">
        <f t="array" ref="DAS6">_xlfn._xlws.FILTER(TablaProductos[Nombre producto],TablaProductos[Agrupación]=ProductosPivot!DAS5)</f>
        <v>#VALUE!</v>
      </c>
      <c r="DAT6" s="68" t="e" cm="1" vm="1">
        <f t="array" ref="DAT6">_xlfn._xlws.FILTER(TablaProductos[Nombre producto],TablaProductos[Agrupación]=ProductosPivot!DAT5)</f>
        <v>#VALUE!</v>
      </c>
      <c r="DAU6" s="68" t="e" cm="1" vm="1">
        <f t="array" ref="DAU6">_xlfn._xlws.FILTER(TablaProductos[Nombre producto],TablaProductos[Agrupación]=ProductosPivot!DAU5)</f>
        <v>#VALUE!</v>
      </c>
      <c r="DAV6" s="68" t="e" cm="1" vm="1">
        <f t="array" ref="DAV6">_xlfn._xlws.FILTER(TablaProductos[Nombre producto],TablaProductos[Agrupación]=ProductosPivot!DAV5)</f>
        <v>#VALUE!</v>
      </c>
      <c r="DAW6" s="68" t="e" cm="1" vm="1">
        <f t="array" ref="DAW6">_xlfn._xlws.FILTER(TablaProductos[Nombre producto],TablaProductos[Agrupación]=ProductosPivot!DAW5)</f>
        <v>#VALUE!</v>
      </c>
      <c r="DAX6" s="68" t="e" cm="1" vm="1">
        <f t="array" ref="DAX6">_xlfn._xlws.FILTER(TablaProductos[Nombre producto],TablaProductos[Agrupación]=ProductosPivot!DAX5)</f>
        <v>#VALUE!</v>
      </c>
      <c r="DAY6" s="68" t="e" cm="1" vm="1">
        <f t="array" ref="DAY6">_xlfn._xlws.FILTER(TablaProductos[Nombre producto],TablaProductos[Agrupación]=ProductosPivot!DAY5)</f>
        <v>#VALUE!</v>
      </c>
      <c r="DAZ6" s="68" t="e" cm="1" vm="1">
        <f t="array" ref="DAZ6">_xlfn._xlws.FILTER(TablaProductos[Nombre producto],TablaProductos[Agrupación]=ProductosPivot!DAZ5)</f>
        <v>#VALUE!</v>
      </c>
      <c r="DBA6" s="68" t="e" cm="1" vm="1">
        <f t="array" ref="DBA6">_xlfn._xlws.FILTER(TablaProductos[Nombre producto],TablaProductos[Agrupación]=ProductosPivot!DBA5)</f>
        <v>#VALUE!</v>
      </c>
      <c r="DBB6" s="68" t="e" cm="1" vm="1">
        <f t="array" ref="DBB6">_xlfn._xlws.FILTER(TablaProductos[Nombre producto],TablaProductos[Agrupación]=ProductosPivot!DBB5)</f>
        <v>#VALUE!</v>
      </c>
      <c r="DBC6" s="68" t="e" cm="1" vm="1">
        <f t="array" ref="DBC6">_xlfn._xlws.FILTER(TablaProductos[Nombre producto],TablaProductos[Agrupación]=ProductosPivot!DBC5)</f>
        <v>#VALUE!</v>
      </c>
      <c r="DBD6" s="68" t="e" cm="1" vm="1">
        <f t="array" ref="DBD6">_xlfn._xlws.FILTER(TablaProductos[Nombre producto],TablaProductos[Agrupación]=ProductosPivot!DBD5)</f>
        <v>#VALUE!</v>
      </c>
      <c r="DBE6" s="68" t="e" cm="1" vm="1">
        <f t="array" ref="DBE6">_xlfn._xlws.FILTER(TablaProductos[Nombre producto],TablaProductos[Agrupación]=ProductosPivot!DBE5)</f>
        <v>#VALUE!</v>
      </c>
      <c r="DBF6" s="68" t="e" cm="1" vm="1">
        <f t="array" ref="DBF6">_xlfn._xlws.FILTER(TablaProductos[Nombre producto],TablaProductos[Agrupación]=ProductosPivot!DBF5)</f>
        <v>#VALUE!</v>
      </c>
      <c r="DBG6" s="68" t="e" cm="1" vm="1">
        <f t="array" ref="DBG6">_xlfn._xlws.FILTER(TablaProductos[Nombre producto],TablaProductos[Agrupación]=ProductosPivot!DBG5)</f>
        <v>#VALUE!</v>
      </c>
      <c r="DBH6" s="68" t="e" cm="1" vm="1">
        <f t="array" ref="DBH6">_xlfn._xlws.FILTER(TablaProductos[Nombre producto],TablaProductos[Agrupación]=ProductosPivot!DBH5)</f>
        <v>#VALUE!</v>
      </c>
      <c r="DBI6" s="68" t="e" cm="1" vm="1">
        <f t="array" ref="DBI6">_xlfn._xlws.FILTER(TablaProductos[Nombre producto],TablaProductos[Agrupación]=ProductosPivot!DBI5)</f>
        <v>#VALUE!</v>
      </c>
      <c r="DBJ6" s="68" t="e" cm="1" vm="1">
        <f t="array" ref="DBJ6">_xlfn._xlws.FILTER(TablaProductos[Nombre producto],TablaProductos[Agrupación]=ProductosPivot!DBJ5)</f>
        <v>#VALUE!</v>
      </c>
      <c r="DBK6" s="68" t="e" cm="1" vm="1">
        <f t="array" ref="DBK6">_xlfn._xlws.FILTER(TablaProductos[Nombre producto],TablaProductos[Agrupación]=ProductosPivot!DBK5)</f>
        <v>#VALUE!</v>
      </c>
      <c r="DBL6" s="68" t="e" cm="1" vm="1">
        <f t="array" ref="DBL6">_xlfn._xlws.FILTER(TablaProductos[Nombre producto],TablaProductos[Agrupación]=ProductosPivot!DBL5)</f>
        <v>#VALUE!</v>
      </c>
      <c r="DBM6" s="68" t="e" cm="1" vm="1">
        <f t="array" ref="DBM6">_xlfn._xlws.FILTER(TablaProductos[Nombre producto],TablaProductos[Agrupación]=ProductosPivot!DBM5)</f>
        <v>#VALUE!</v>
      </c>
      <c r="DBN6" s="68" t="e" cm="1" vm="1">
        <f t="array" ref="DBN6">_xlfn._xlws.FILTER(TablaProductos[Nombre producto],TablaProductos[Agrupación]=ProductosPivot!DBN5)</f>
        <v>#VALUE!</v>
      </c>
      <c r="DBO6" s="68" t="e" cm="1" vm="1">
        <f t="array" ref="DBO6">_xlfn._xlws.FILTER(TablaProductos[Nombre producto],TablaProductos[Agrupación]=ProductosPivot!DBO5)</f>
        <v>#VALUE!</v>
      </c>
      <c r="DBP6" s="68" t="e" cm="1" vm="1">
        <f t="array" ref="DBP6">_xlfn._xlws.FILTER(TablaProductos[Nombre producto],TablaProductos[Agrupación]=ProductosPivot!DBP5)</f>
        <v>#VALUE!</v>
      </c>
      <c r="DBQ6" s="68" t="e" cm="1" vm="1">
        <f t="array" ref="DBQ6">_xlfn._xlws.FILTER(TablaProductos[Nombre producto],TablaProductos[Agrupación]=ProductosPivot!DBQ5)</f>
        <v>#VALUE!</v>
      </c>
      <c r="DBR6" s="68" t="e" cm="1" vm="1">
        <f t="array" ref="DBR6">_xlfn._xlws.FILTER(TablaProductos[Nombre producto],TablaProductos[Agrupación]=ProductosPivot!DBR5)</f>
        <v>#VALUE!</v>
      </c>
      <c r="DBS6" s="68" t="e" cm="1" vm="1">
        <f t="array" ref="DBS6">_xlfn._xlws.FILTER(TablaProductos[Nombre producto],TablaProductos[Agrupación]=ProductosPivot!DBS5)</f>
        <v>#VALUE!</v>
      </c>
      <c r="DBT6" s="68" t="e" cm="1" vm="1">
        <f t="array" ref="DBT6">_xlfn._xlws.FILTER(TablaProductos[Nombre producto],TablaProductos[Agrupación]=ProductosPivot!DBT5)</f>
        <v>#VALUE!</v>
      </c>
      <c r="DBU6" s="68" t="e" cm="1" vm="1">
        <f t="array" ref="DBU6">_xlfn._xlws.FILTER(TablaProductos[Nombre producto],TablaProductos[Agrupación]=ProductosPivot!DBU5)</f>
        <v>#VALUE!</v>
      </c>
      <c r="DBV6" s="68" t="e" cm="1" vm="1">
        <f t="array" ref="DBV6">_xlfn._xlws.FILTER(TablaProductos[Nombre producto],TablaProductos[Agrupación]=ProductosPivot!DBV5)</f>
        <v>#VALUE!</v>
      </c>
      <c r="DBW6" s="68" t="e" cm="1" vm="1">
        <f t="array" ref="DBW6">_xlfn._xlws.FILTER(TablaProductos[Nombre producto],TablaProductos[Agrupación]=ProductosPivot!DBW5)</f>
        <v>#VALUE!</v>
      </c>
      <c r="DBX6" s="68" t="e" cm="1" vm="1">
        <f t="array" ref="DBX6">_xlfn._xlws.FILTER(TablaProductos[Nombre producto],TablaProductos[Agrupación]=ProductosPivot!DBX5)</f>
        <v>#VALUE!</v>
      </c>
      <c r="DBY6" s="68" t="e" cm="1" vm="1">
        <f t="array" ref="DBY6">_xlfn._xlws.FILTER(TablaProductos[Nombre producto],TablaProductos[Agrupación]=ProductosPivot!DBY5)</f>
        <v>#VALUE!</v>
      </c>
      <c r="DBZ6" s="68" t="e" cm="1" vm="1">
        <f t="array" ref="DBZ6">_xlfn._xlws.FILTER(TablaProductos[Nombre producto],TablaProductos[Agrupación]=ProductosPivot!DBZ5)</f>
        <v>#VALUE!</v>
      </c>
      <c r="DCA6" s="68" t="e" cm="1" vm="1">
        <f t="array" ref="DCA6">_xlfn._xlws.FILTER(TablaProductos[Nombre producto],TablaProductos[Agrupación]=ProductosPivot!DCA5)</f>
        <v>#VALUE!</v>
      </c>
      <c r="DCB6" s="68" t="e" cm="1" vm="1">
        <f t="array" ref="DCB6">_xlfn._xlws.FILTER(TablaProductos[Nombre producto],TablaProductos[Agrupación]=ProductosPivot!DCB5)</f>
        <v>#VALUE!</v>
      </c>
      <c r="DCC6" s="68" t="e" cm="1" vm="1">
        <f t="array" ref="DCC6">_xlfn._xlws.FILTER(TablaProductos[Nombre producto],TablaProductos[Agrupación]=ProductosPivot!DCC5)</f>
        <v>#VALUE!</v>
      </c>
      <c r="DCD6" s="68" t="e" cm="1" vm="1">
        <f t="array" ref="DCD6">_xlfn._xlws.FILTER(TablaProductos[Nombre producto],TablaProductos[Agrupación]=ProductosPivot!DCD5)</f>
        <v>#VALUE!</v>
      </c>
      <c r="DCE6" s="68" t="e" cm="1" vm="1">
        <f t="array" ref="DCE6">_xlfn._xlws.FILTER(TablaProductos[Nombre producto],TablaProductos[Agrupación]=ProductosPivot!DCE5)</f>
        <v>#VALUE!</v>
      </c>
      <c r="DCF6" s="68" t="e" cm="1" vm="1">
        <f t="array" ref="DCF6">_xlfn._xlws.FILTER(TablaProductos[Nombre producto],TablaProductos[Agrupación]=ProductosPivot!DCF5)</f>
        <v>#VALUE!</v>
      </c>
      <c r="DCG6" s="68" t="e" cm="1" vm="1">
        <f t="array" ref="DCG6">_xlfn._xlws.FILTER(TablaProductos[Nombre producto],TablaProductos[Agrupación]=ProductosPivot!DCG5)</f>
        <v>#VALUE!</v>
      </c>
      <c r="DCH6" s="68" t="e" cm="1" vm="1">
        <f t="array" ref="DCH6">_xlfn._xlws.FILTER(TablaProductos[Nombre producto],TablaProductos[Agrupación]=ProductosPivot!DCH5)</f>
        <v>#VALUE!</v>
      </c>
      <c r="DCI6" s="68" t="e" cm="1" vm="1">
        <f t="array" ref="DCI6">_xlfn._xlws.FILTER(TablaProductos[Nombre producto],TablaProductos[Agrupación]=ProductosPivot!DCI5)</f>
        <v>#VALUE!</v>
      </c>
      <c r="DCJ6" s="68" t="e" cm="1" vm="1">
        <f t="array" ref="DCJ6">_xlfn._xlws.FILTER(TablaProductos[Nombre producto],TablaProductos[Agrupación]=ProductosPivot!DCJ5)</f>
        <v>#VALUE!</v>
      </c>
      <c r="DCK6" s="68" t="e" cm="1" vm="1">
        <f t="array" ref="DCK6">_xlfn._xlws.FILTER(TablaProductos[Nombre producto],TablaProductos[Agrupación]=ProductosPivot!DCK5)</f>
        <v>#VALUE!</v>
      </c>
      <c r="DCL6" s="68" t="e" cm="1" vm="1">
        <f t="array" ref="DCL6">_xlfn._xlws.FILTER(TablaProductos[Nombre producto],TablaProductos[Agrupación]=ProductosPivot!DCL5)</f>
        <v>#VALUE!</v>
      </c>
      <c r="DCM6" s="68" t="e" cm="1" vm="1">
        <f t="array" ref="DCM6">_xlfn._xlws.FILTER(TablaProductos[Nombre producto],TablaProductos[Agrupación]=ProductosPivot!DCM5)</f>
        <v>#VALUE!</v>
      </c>
      <c r="DCN6" s="68" t="e" cm="1" vm="1">
        <f t="array" ref="DCN6">_xlfn._xlws.FILTER(TablaProductos[Nombre producto],TablaProductos[Agrupación]=ProductosPivot!DCN5)</f>
        <v>#VALUE!</v>
      </c>
      <c r="DCO6" s="68" t="e" cm="1" vm="1">
        <f t="array" ref="DCO6">_xlfn._xlws.FILTER(TablaProductos[Nombre producto],TablaProductos[Agrupación]=ProductosPivot!DCO5)</f>
        <v>#VALUE!</v>
      </c>
      <c r="DCP6" s="68" t="e" cm="1" vm="1">
        <f t="array" ref="DCP6">_xlfn._xlws.FILTER(TablaProductos[Nombre producto],TablaProductos[Agrupación]=ProductosPivot!DCP5)</f>
        <v>#VALUE!</v>
      </c>
      <c r="DCQ6" s="68" t="e" cm="1" vm="1">
        <f t="array" ref="DCQ6">_xlfn._xlws.FILTER(TablaProductos[Nombre producto],TablaProductos[Agrupación]=ProductosPivot!DCQ5)</f>
        <v>#VALUE!</v>
      </c>
      <c r="DCR6" s="68" t="e" cm="1" vm="1">
        <f t="array" ref="DCR6">_xlfn._xlws.FILTER(TablaProductos[Nombre producto],TablaProductos[Agrupación]=ProductosPivot!DCR5)</f>
        <v>#VALUE!</v>
      </c>
      <c r="DCS6" s="68" t="e" cm="1" vm="1">
        <f t="array" ref="DCS6">_xlfn._xlws.FILTER(TablaProductos[Nombre producto],TablaProductos[Agrupación]=ProductosPivot!DCS5)</f>
        <v>#VALUE!</v>
      </c>
      <c r="DCT6" s="68" t="e" cm="1" vm="1">
        <f t="array" ref="DCT6">_xlfn._xlws.FILTER(TablaProductos[Nombre producto],TablaProductos[Agrupación]=ProductosPivot!DCT5)</f>
        <v>#VALUE!</v>
      </c>
      <c r="DCU6" s="68" t="e" cm="1" vm="1">
        <f t="array" ref="DCU6">_xlfn._xlws.FILTER(TablaProductos[Nombre producto],TablaProductos[Agrupación]=ProductosPivot!DCU5)</f>
        <v>#VALUE!</v>
      </c>
      <c r="DCV6" s="68" t="e" cm="1" vm="1">
        <f t="array" ref="DCV6">_xlfn._xlws.FILTER(TablaProductos[Nombre producto],TablaProductos[Agrupación]=ProductosPivot!DCV5)</f>
        <v>#VALUE!</v>
      </c>
      <c r="DCW6" s="68" t="e" cm="1" vm="1">
        <f t="array" ref="DCW6">_xlfn._xlws.FILTER(TablaProductos[Nombre producto],TablaProductos[Agrupación]=ProductosPivot!DCW5)</f>
        <v>#VALUE!</v>
      </c>
      <c r="DCX6" s="68" t="e" cm="1" vm="1">
        <f t="array" ref="DCX6">_xlfn._xlws.FILTER(TablaProductos[Nombre producto],TablaProductos[Agrupación]=ProductosPivot!DCX5)</f>
        <v>#VALUE!</v>
      </c>
      <c r="DCY6" s="68" t="e" cm="1" vm="1">
        <f t="array" ref="DCY6">_xlfn._xlws.FILTER(TablaProductos[Nombre producto],TablaProductos[Agrupación]=ProductosPivot!DCY5)</f>
        <v>#VALUE!</v>
      </c>
      <c r="DCZ6" s="68" t="e" cm="1" vm="1">
        <f t="array" ref="DCZ6">_xlfn._xlws.FILTER(TablaProductos[Nombre producto],TablaProductos[Agrupación]=ProductosPivot!DCZ5)</f>
        <v>#VALUE!</v>
      </c>
      <c r="DDA6" s="68" t="e" cm="1" vm="1">
        <f t="array" ref="DDA6">_xlfn._xlws.FILTER(TablaProductos[Nombre producto],TablaProductos[Agrupación]=ProductosPivot!DDA5)</f>
        <v>#VALUE!</v>
      </c>
      <c r="DDB6" s="68" t="e" cm="1" vm="1">
        <f t="array" ref="DDB6">_xlfn._xlws.FILTER(TablaProductos[Nombre producto],TablaProductos[Agrupación]=ProductosPivot!DDB5)</f>
        <v>#VALUE!</v>
      </c>
      <c r="DDC6" s="68" t="e" cm="1" vm="1">
        <f t="array" ref="DDC6">_xlfn._xlws.FILTER(TablaProductos[Nombre producto],TablaProductos[Agrupación]=ProductosPivot!DDC5)</f>
        <v>#VALUE!</v>
      </c>
      <c r="DDD6" s="68" t="e" cm="1" vm="1">
        <f t="array" ref="DDD6">_xlfn._xlws.FILTER(TablaProductos[Nombre producto],TablaProductos[Agrupación]=ProductosPivot!DDD5)</f>
        <v>#VALUE!</v>
      </c>
      <c r="DDE6" s="68" t="e" cm="1" vm="1">
        <f t="array" ref="DDE6">_xlfn._xlws.FILTER(TablaProductos[Nombre producto],TablaProductos[Agrupación]=ProductosPivot!DDE5)</f>
        <v>#VALUE!</v>
      </c>
      <c r="DDF6" s="68" t="e" cm="1" vm="1">
        <f t="array" ref="DDF6">_xlfn._xlws.FILTER(TablaProductos[Nombre producto],TablaProductos[Agrupación]=ProductosPivot!DDF5)</f>
        <v>#VALUE!</v>
      </c>
      <c r="DDG6" s="68" t="e" cm="1" vm="1">
        <f t="array" ref="DDG6">_xlfn._xlws.FILTER(TablaProductos[Nombre producto],TablaProductos[Agrupación]=ProductosPivot!DDG5)</f>
        <v>#VALUE!</v>
      </c>
      <c r="DDH6" s="68" t="e" cm="1" vm="1">
        <f t="array" ref="DDH6">_xlfn._xlws.FILTER(TablaProductos[Nombre producto],TablaProductos[Agrupación]=ProductosPivot!DDH5)</f>
        <v>#VALUE!</v>
      </c>
      <c r="DDI6" s="68" t="e" cm="1" vm="1">
        <f t="array" ref="DDI6">_xlfn._xlws.FILTER(TablaProductos[Nombre producto],TablaProductos[Agrupación]=ProductosPivot!DDI5)</f>
        <v>#VALUE!</v>
      </c>
      <c r="DDJ6" s="68" t="e" cm="1" vm="1">
        <f t="array" ref="DDJ6">_xlfn._xlws.FILTER(TablaProductos[Nombre producto],TablaProductos[Agrupación]=ProductosPivot!DDJ5)</f>
        <v>#VALUE!</v>
      </c>
      <c r="DDK6" s="68" t="e" cm="1" vm="1">
        <f t="array" ref="DDK6">_xlfn._xlws.FILTER(TablaProductos[Nombre producto],TablaProductos[Agrupación]=ProductosPivot!DDK5)</f>
        <v>#VALUE!</v>
      </c>
      <c r="DDL6" s="68" t="e" cm="1" vm="1">
        <f t="array" ref="DDL6">_xlfn._xlws.FILTER(TablaProductos[Nombre producto],TablaProductos[Agrupación]=ProductosPivot!DDL5)</f>
        <v>#VALUE!</v>
      </c>
      <c r="DDM6" s="68" t="e" cm="1" vm="1">
        <f t="array" ref="DDM6">_xlfn._xlws.FILTER(TablaProductos[Nombre producto],TablaProductos[Agrupación]=ProductosPivot!DDM5)</f>
        <v>#VALUE!</v>
      </c>
      <c r="DDN6" s="68" t="e" cm="1" vm="1">
        <f t="array" ref="DDN6">_xlfn._xlws.FILTER(TablaProductos[Nombre producto],TablaProductos[Agrupación]=ProductosPivot!DDN5)</f>
        <v>#VALUE!</v>
      </c>
      <c r="DDO6" s="68" t="e" cm="1" vm="1">
        <f t="array" ref="DDO6">_xlfn._xlws.FILTER(TablaProductos[Nombre producto],TablaProductos[Agrupación]=ProductosPivot!DDO5)</f>
        <v>#VALUE!</v>
      </c>
      <c r="DDP6" s="68" t="e" cm="1" vm="1">
        <f t="array" ref="DDP6">_xlfn._xlws.FILTER(TablaProductos[Nombre producto],TablaProductos[Agrupación]=ProductosPivot!DDP5)</f>
        <v>#VALUE!</v>
      </c>
      <c r="DDQ6" s="68" t="e" cm="1" vm="1">
        <f t="array" ref="DDQ6">_xlfn._xlws.FILTER(TablaProductos[Nombre producto],TablaProductos[Agrupación]=ProductosPivot!DDQ5)</f>
        <v>#VALUE!</v>
      </c>
      <c r="DDR6" s="68" t="e" cm="1" vm="1">
        <f t="array" ref="DDR6">_xlfn._xlws.FILTER(TablaProductos[Nombre producto],TablaProductos[Agrupación]=ProductosPivot!DDR5)</f>
        <v>#VALUE!</v>
      </c>
      <c r="DDS6" s="68" t="e" cm="1" vm="1">
        <f t="array" ref="DDS6">_xlfn._xlws.FILTER(TablaProductos[Nombre producto],TablaProductos[Agrupación]=ProductosPivot!DDS5)</f>
        <v>#VALUE!</v>
      </c>
      <c r="DDT6" s="68" t="e" cm="1" vm="1">
        <f t="array" ref="DDT6">_xlfn._xlws.FILTER(TablaProductos[Nombre producto],TablaProductos[Agrupación]=ProductosPivot!DDT5)</f>
        <v>#VALUE!</v>
      </c>
      <c r="DDU6" s="68" t="e" cm="1" vm="1">
        <f t="array" ref="DDU6">_xlfn._xlws.FILTER(TablaProductos[Nombre producto],TablaProductos[Agrupación]=ProductosPivot!DDU5)</f>
        <v>#VALUE!</v>
      </c>
      <c r="DDV6" s="68" t="e" cm="1" vm="1">
        <f t="array" ref="DDV6">_xlfn._xlws.FILTER(TablaProductos[Nombre producto],TablaProductos[Agrupación]=ProductosPivot!DDV5)</f>
        <v>#VALUE!</v>
      </c>
      <c r="DDW6" s="68" t="e" cm="1" vm="1">
        <f t="array" ref="DDW6">_xlfn._xlws.FILTER(TablaProductos[Nombre producto],TablaProductos[Agrupación]=ProductosPivot!DDW5)</f>
        <v>#VALUE!</v>
      </c>
      <c r="DDX6" s="68" t="e" cm="1" vm="1">
        <f t="array" ref="DDX6">_xlfn._xlws.FILTER(TablaProductos[Nombre producto],TablaProductos[Agrupación]=ProductosPivot!DDX5)</f>
        <v>#VALUE!</v>
      </c>
      <c r="DDY6" s="68" t="e" cm="1" vm="1">
        <f t="array" ref="DDY6">_xlfn._xlws.FILTER(TablaProductos[Nombre producto],TablaProductos[Agrupación]=ProductosPivot!DDY5)</f>
        <v>#VALUE!</v>
      </c>
      <c r="DDZ6" s="68" t="e" cm="1" vm="1">
        <f t="array" ref="DDZ6">_xlfn._xlws.FILTER(TablaProductos[Nombre producto],TablaProductos[Agrupación]=ProductosPivot!DDZ5)</f>
        <v>#VALUE!</v>
      </c>
      <c r="DEA6" s="68" t="e" cm="1" vm="1">
        <f t="array" ref="DEA6">_xlfn._xlws.FILTER(TablaProductos[Nombre producto],TablaProductos[Agrupación]=ProductosPivot!DEA5)</f>
        <v>#VALUE!</v>
      </c>
      <c r="DEB6" s="68" t="e" cm="1" vm="1">
        <f t="array" ref="DEB6">_xlfn._xlws.FILTER(TablaProductos[Nombre producto],TablaProductos[Agrupación]=ProductosPivot!DEB5)</f>
        <v>#VALUE!</v>
      </c>
      <c r="DEC6" s="68" t="e" cm="1" vm="1">
        <f t="array" ref="DEC6">_xlfn._xlws.FILTER(TablaProductos[Nombre producto],TablaProductos[Agrupación]=ProductosPivot!DEC5)</f>
        <v>#VALUE!</v>
      </c>
      <c r="DED6" s="68" t="e" cm="1" vm="1">
        <f t="array" ref="DED6">_xlfn._xlws.FILTER(TablaProductos[Nombre producto],TablaProductos[Agrupación]=ProductosPivot!DED5)</f>
        <v>#VALUE!</v>
      </c>
      <c r="DEE6" s="68" t="e" cm="1" vm="1">
        <f t="array" ref="DEE6">_xlfn._xlws.FILTER(TablaProductos[Nombre producto],TablaProductos[Agrupación]=ProductosPivot!DEE5)</f>
        <v>#VALUE!</v>
      </c>
      <c r="DEF6" s="68" t="e" cm="1" vm="1">
        <f t="array" ref="DEF6">_xlfn._xlws.FILTER(TablaProductos[Nombre producto],TablaProductos[Agrupación]=ProductosPivot!DEF5)</f>
        <v>#VALUE!</v>
      </c>
      <c r="DEG6" s="68" t="e" cm="1" vm="1">
        <f t="array" ref="DEG6">_xlfn._xlws.FILTER(TablaProductos[Nombre producto],TablaProductos[Agrupación]=ProductosPivot!DEG5)</f>
        <v>#VALUE!</v>
      </c>
      <c r="DEH6" s="68" t="e" cm="1" vm="1">
        <f t="array" ref="DEH6">_xlfn._xlws.FILTER(TablaProductos[Nombre producto],TablaProductos[Agrupación]=ProductosPivot!DEH5)</f>
        <v>#VALUE!</v>
      </c>
      <c r="DEI6" s="68" t="e" cm="1" vm="1">
        <f t="array" ref="DEI6">_xlfn._xlws.FILTER(TablaProductos[Nombre producto],TablaProductos[Agrupación]=ProductosPivot!DEI5)</f>
        <v>#VALUE!</v>
      </c>
      <c r="DEJ6" s="68" t="e" cm="1" vm="1">
        <f t="array" ref="DEJ6">_xlfn._xlws.FILTER(TablaProductos[Nombre producto],TablaProductos[Agrupación]=ProductosPivot!DEJ5)</f>
        <v>#VALUE!</v>
      </c>
      <c r="DEK6" s="68" t="e" cm="1" vm="1">
        <f t="array" ref="DEK6">_xlfn._xlws.FILTER(TablaProductos[Nombre producto],TablaProductos[Agrupación]=ProductosPivot!DEK5)</f>
        <v>#VALUE!</v>
      </c>
      <c r="DEL6" s="68" t="e" cm="1" vm="1">
        <f t="array" ref="DEL6">_xlfn._xlws.FILTER(TablaProductos[Nombre producto],TablaProductos[Agrupación]=ProductosPivot!DEL5)</f>
        <v>#VALUE!</v>
      </c>
      <c r="DEM6" s="68" t="e" cm="1" vm="1">
        <f t="array" ref="DEM6">_xlfn._xlws.FILTER(TablaProductos[Nombre producto],TablaProductos[Agrupación]=ProductosPivot!DEM5)</f>
        <v>#VALUE!</v>
      </c>
      <c r="DEN6" s="68" t="e" cm="1" vm="1">
        <f t="array" ref="DEN6">_xlfn._xlws.FILTER(TablaProductos[Nombre producto],TablaProductos[Agrupación]=ProductosPivot!DEN5)</f>
        <v>#VALUE!</v>
      </c>
      <c r="DEO6" s="68" t="e" cm="1" vm="1">
        <f t="array" ref="DEO6">_xlfn._xlws.FILTER(TablaProductos[Nombre producto],TablaProductos[Agrupación]=ProductosPivot!DEO5)</f>
        <v>#VALUE!</v>
      </c>
      <c r="DEP6" s="68" t="e" cm="1" vm="1">
        <f t="array" ref="DEP6">_xlfn._xlws.FILTER(TablaProductos[Nombre producto],TablaProductos[Agrupación]=ProductosPivot!DEP5)</f>
        <v>#VALUE!</v>
      </c>
      <c r="DEQ6" s="68" t="e" cm="1" vm="1">
        <f t="array" ref="DEQ6">_xlfn._xlws.FILTER(TablaProductos[Nombre producto],TablaProductos[Agrupación]=ProductosPivot!DEQ5)</f>
        <v>#VALUE!</v>
      </c>
      <c r="DER6" s="68" t="e" cm="1" vm="1">
        <f t="array" ref="DER6">_xlfn._xlws.FILTER(TablaProductos[Nombre producto],TablaProductos[Agrupación]=ProductosPivot!DER5)</f>
        <v>#VALUE!</v>
      </c>
      <c r="DES6" s="68" t="e" cm="1" vm="1">
        <f t="array" ref="DES6">_xlfn._xlws.FILTER(TablaProductos[Nombre producto],TablaProductos[Agrupación]=ProductosPivot!DES5)</f>
        <v>#VALUE!</v>
      </c>
      <c r="DET6" s="68" t="e" cm="1" vm="1">
        <f t="array" ref="DET6">_xlfn._xlws.FILTER(TablaProductos[Nombre producto],TablaProductos[Agrupación]=ProductosPivot!DET5)</f>
        <v>#VALUE!</v>
      </c>
      <c r="DEU6" s="68" t="e" cm="1" vm="1">
        <f t="array" ref="DEU6">_xlfn._xlws.FILTER(TablaProductos[Nombre producto],TablaProductos[Agrupación]=ProductosPivot!DEU5)</f>
        <v>#VALUE!</v>
      </c>
      <c r="DEV6" s="68" t="e" cm="1" vm="1">
        <f t="array" ref="DEV6">_xlfn._xlws.FILTER(TablaProductos[Nombre producto],TablaProductos[Agrupación]=ProductosPivot!DEV5)</f>
        <v>#VALUE!</v>
      </c>
      <c r="DEW6" s="68" t="e" cm="1" vm="1">
        <f t="array" ref="DEW6">_xlfn._xlws.FILTER(TablaProductos[Nombre producto],TablaProductos[Agrupación]=ProductosPivot!DEW5)</f>
        <v>#VALUE!</v>
      </c>
      <c r="DEX6" s="68" t="e" cm="1" vm="1">
        <f t="array" ref="DEX6">_xlfn._xlws.FILTER(TablaProductos[Nombre producto],TablaProductos[Agrupación]=ProductosPivot!DEX5)</f>
        <v>#VALUE!</v>
      </c>
      <c r="DEY6" s="68" t="e" cm="1" vm="1">
        <f t="array" ref="DEY6">_xlfn._xlws.FILTER(TablaProductos[Nombre producto],TablaProductos[Agrupación]=ProductosPivot!DEY5)</f>
        <v>#VALUE!</v>
      </c>
      <c r="DEZ6" s="68" t="e" cm="1" vm="1">
        <f t="array" ref="DEZ6">_xlfn._xlws.FILTER(TablaProductos[Nombre producto],TablaProductos[Agrupación]=ProductosPivot!DEZ5)</f>
        <v>#VALUE!</v>
      </c>
      <c r="DFA6" s="68" t="e" cm="1" vm="1">
        <f t="array" ref="DFA6">_xlfn._xlws.FILTER(TablaProductos[Nombre producto],TablaProductos[Agrupación]=ProductosPivot!DFA5)</f>
        <v>#VALUE!</v>
      </c>
      <c r="DFB6" s="68" t="e" cm="1" vm="1">
        <f t="array" ref="DFB6">_xlfn._xlws.FILTER(TablaProductos[Nombre producto],TablaProductos[Agrupación]=ProductosPivot!DFB5)</f>
        <v>#VALUE!</v>
      </c>
      <c r="DFC6" s="68" t="e" cm="1" vm="1">
        <f t="array" ref="DFC6">_xlfn._xlws.FILTER(TablaProductos[Nombre producto],TablaProductos[Agrupación]=ProductosPivot!DFC5)</f>
        <v>#VALUE!</v>
      </c>
      <c r="DFD6" s="68" t="e" cm="1" vm="1">
        <f t="array" ref="DFD6">_xlfn._xlws.FILTER(TablaProductos[Nombre producto],TablaProductos[Agrupación]=ProductosPivot!DFD5)</f>
        <v>#VALUE!</v>
      </c>
      <c r="DFE6" s="68" t="e" cm="1" vm="1">
        <f t="array" ref="DFE6">_xlfn._xlws.FILTER(TablaProductos[Nombre producto],TablaProductos[Agrupación]=ProductosPivot!DFE5)</f>
        <v>#VALUE!</v>
      </c>
      <c r="DFF6" s="68" t="e" cm="1" vm="1">
        <f t="array" ref="DFF6">_xlfn._xlws.FILTER(TablaProductos[Nombre producto],TablaProductos[Agrupación]=ProductosPivot!DFF5)</f>
        <v>#VALUE!</v>
      </c>
      <c r="DFG6" s="68" t="e" cm="1" vm="1">
        <f t="array" ref="DFG6">_xlfn._xlws.FILTER(TablaProductos[Nombre producto],TablaProductos[Agrupación]=ProductosPivot!DFG5)</f>
        <v>#VALUE!</v>
      </c>
      <c r="DFH6" s="68" t="e" cm="1" vm="1">
        <f t="array" ref="DFH6">_xlfn._xlws.FILTER(TablaProductos[Nombre producto],TablaProductos[Agrupación]=ProductosPivot!DFH5)</f>
        <v>#VALUE!</v>
      </c>
      <c r="DFI6" s="68" t="e" cm="1" vm="1">
        <f t="array" ref="DFI6">_xlfn._xlws.FILTER(TablaProductos[Nombre producto],TablaProductos[Agrupación]=ProductosPivot!DFI5)</f>
        <v>#VALUE!</v>
      </c>
      <c r="DFJ6" s="68" t="e" cm="1" vm="1">
        <f t="array" ref="DFJ6">_xlfn._xlws.FILTER(TablaProductos[Nombre producto],TablaProductos[Agrupación]=ProductosPivot!DFJ5)</f>
        <v>#VALUE!</v>
      </c>
      <c r="DFK6" s="68" t="e" cm="1" vm="1">
        <f t="array" ref="DFK6">_xlfn._xlws.FILTER(TablaProductos[Nombre producto],TablaProductos[Agrupación]=ProductosPivot!DFK5)</f>
        <v>#VALUE!</v>
      </c>
      <c r="DFL6" s="68" t="e" cm="1" vm="1">
        <f t="array" ref="DFL6">_xlfn._xlws.FILTER(TablaProductos[Nombre producto],TablaProductos[Agrupación]=ProductosPivot!DFL5)</f>
        <v>#VALUE!</v>
      </c>
      <c r="DFM6" s="68" t="e" cm="1" vm="1">
        <f t="array" ref="DFM6">_xlfn._xlws.FILTER(TablaProductos[Nombre producto],TablaProductos[Agrupación]=ProductosPivot!DFM5)</f>
        <v>#VALUE!</v>
      </c>
      <c r="DFN6" s="68" t="e" cm="1" vm="1">
        <f t="array" ref="DFN6">_xlfn._xlws.FILTER(TablaProductos[Nombre producto],TablaProductos[Agrupación]=ProductosPivot!DFN5)</f>
        <v>#VALUE!</v>
      </c>
      <c r="DFO6" s="68" t="e" cm="1" vm="1">
        <f t="array" ref="DFO6">_xlfn._xlws.FILTER(TablaProductos[Nombre producto],TablaProductos[Agrupación]=ProductosPivot!DFO5)</f>
        <v>#VALUE!</v>
      </c>
      <c r="DFP6" s="68" t="e" cm="1" vm="1">
        <f t="array" ref="DFP6">_xlfn._xlws.FILTER(TablaProductos[Nombre producto],TablaProductos[Agrupación]=ProductosPivot!DFP5)</f>
        <v>#VALUE!</v>
      </c>
      <c r="DFQ6" s="68" t="e" cm="1" vm="1">
        <f t="array" ref="DFQ6">_xlfn._xlws.FILTER(TablaProductos[Nombre producto],TablaProductos[Agrupación]=ProductosPivot!DFQ5)</f>
        <v>#VALUE!</v>
      </c>
      <c r="DFR6" s="68" t="e" cm="1" vm="1">
        <f t="array" ref="DFR6">_xlfn._xlws.FILTER(TablaProductos[Nombre producto],TablaProductos[Agrupación]=ProductosPivot!DFR5)</f>
        <v>#VALUE!</v>
      </c>
      <c r="DFS6" s="68" t="e" cm="1" vm="1">
        <f t="array" ref="DFS6">_xlfn._xlws.FILTER(TablaProductos[Nombre producto],TablaProductos[Agrupación]=ProductosPivot!DFS5)</f>
        <v>#VALUE!</v>
      </c>
      <c r="DFT6" s="68" t="e" cm="1" vm="1">
        <f t="array" ref="DFT6">_xlfn._xlws.FILTER(TablaProductos[Nombre producto],TablaProductos[Agrupación]=ProductosPivot!DFT5)</f>
        <v>#VALUE!</v>
      </c>
      <c r="DFU6" s="68" t="e" cm="1" vm="1">
        <f t="array" ref="DFU6">_xlfn._xlws.FILTER(TablaProductos[Nombre producto],TablaProductos[Agrupación]=ProductosPivot!DFU5)</f>
        <v>#VALUE!</v>
      </c>
      <c r="DFV6" s="68" t="e" cm="1" vm="1">
        <f t="array" ref="DFV6">_xlfn._xlws.FILTER(TablaProductos[Nombre producto],TablaProductos[Agrupación]=ProductosPivot!DFV5)</f>
        <v>#VALUE!</v>
      </c>
      <c r="DFW6" s="68" t="e" cm="1" vm="1">
        <f t="array" ref="DFW6">_xlfn._xlws.FILTER(TablaProductos[Nombre producto],TablaProductos[Agrupación]=ProductosPivot!DFW5)</f>
        <v>#VALUE!</v>
      </c>
      <c r="DFX6" s="68" t="e" cm="1" vm="1">
        <f t="array" ref="DFX6">_xlfn._xlws.FILTER(TablaProductos[Nombre producto],TablaProductos[Agrupación]=ProductosPivot!DFX5)</f>
        <v>#VALUE!</v>
      </c>
      <c r="DFY6" s="68" t="e" cm="1" vm="1">
        <f t="array" ref="DFY6">_xlfn._xlws.FILTER(TablaProductos[Nombre producto],TablaProductos[Agrupación]=ProductosPivot!DFY5)</f>
        <v>#VALUE!</v>
      </c>
      <c r="DFZ6" s="68" t="e" cm="1" vm="1">
        <f t="array" ref="DFZ6">_xlfn._xlws.FILTER(TablaProductos[Nombre producto],TablaProductos[Agrupación]=ProductosPivot!DFZ5)</f>
        <v>#VALUE!</v>
      </c>
      <c r="DGA6" s="68" t="e" cm="1" vm="1">
        <f t="array" ref="DGA6">_xlfn._xlws.FILTER(TablaProductos[Nombre producto],TablaProductos[Agrupación]=ProductosPivot!DGA5)</f>
        <v>#VALUE!</v>
      </c>
      <c r="DGB6" s="68" t="e" cm="1" vm="1">
        <f t="array" ref="DGB6">_xlfn._xlws.FILTER(TablaProductos[Nombre producto],TablaProductos[Agrupación]=ProductosPivot!DGB5)</f>
        <v>#VALUE!</v>
      </c>
      <c r="DGC6" s="68" t="e" cm="1" vm="1">
        <f t="array" ref="DGC6">_xlfn._xlws.FILTER(TablaProductos[Nombre producto],TablaProductos[Agrupación]=ProductosPivot!DGC5)</f>
        <v>#VALUE!</v>
      </c>
      <c r="DGD6" s="68" t="e" cm="1" vm="1">
        <f t="array" ref="DGD6">_xlfn._xlws.FILTER(TablaProductos[Nombre producto],TablaProductos[Agrupación]=ProductosPivot!DGD5)</f>
        <v>#VALUE!</v>
      </c>
      <c r="DGE6" s="68" t="e" cm="1" vm="1">
        <f t="array" ref="DGE6">_xlfn._xlws.FILTER(TablaProductos[Nombre producto],TablaProductos[Agrupación]=ProductosPivot!DGE5)</f>
        <v>#VALUE!</v>
      </c>
      <c r="DGF6" s="68" t="e" cm="1" vm="1">
        <f t="array" ref="DGF6">_xlfn._xlws.FILTER(TablaProductos[Nombre producto],TablaProductos[Agrupación]=ProductosPivot!DGF5)</f>
        <v>#VALUE!</v>
      </c>
      <c r="DGG6" s="68" t="e" cm="1" vm="1">
        <f t="array" ref="DGG6">_xlfn._xlws.FILTER(TablaProductos[Nombre producto],TablaProductos[Agrupación]=ProductosPivot!DGG5)</f>
        <v>#VALUE!</v>
      </c>
      <c r="DGH6" s="68" t="e" cm="1" vm="1">
        <f t="array" ref="DGH6">_xlfn._xlws.FILTER(TablaProductos[Nombre producto],TablaProductos[Agrupación]=ProductosPivot!DGH5)</f>
        <v>#VALUE!</v>
      </c>
      <c r="DGI6" s="68" t="e" cm="1" vm="1">
        <f t="array" ref="DGI6">_xlfn._xlws.FILTER(TablaProductos[Nombre producto],TablaProductos[Agrupación]=ProductosPivot!DGI5)</f>
        <v>#VALUE!</v>
      </c>
      <c r="DGJ6" s="68" t="e" cm="1" vm="1">
        <f t="array" ref="DGJ6">_xlfn._xlws.FILTER(TablaProductos[Nombre producto],TablaProductos[Agrupación]=ProductosPivot!DGJ5)</f>
        <v>#VALUE!</v>
      </c>
      <c r="DGK6" s="68" t="e" cm="1" vm="1">
        <f t="array" ref="DGK6">_xlfn._xlws.FILTER(TablaProductos[Nombre producto],TablaProductos[Agrupación]=ProductosPivot!DGK5)</f>
        <v>#VALUE!</v>
      </c>
      <c r="DGL6" s="68" t="e" cm="1" vm="1">
        <f t="array" ref="DGL6">_xlfn._xlws.FILTER(TablaProductos[Nombre producto],TablaProductos[Agrupación]=ProductosPivot!DGL5)</f>
        <v>#VALUE!</v>
      </c>
      <c r="DGM6" s="68" t="e" cm="1" vm="1">
        <f t="array" ref="DGM6">_xlfn._xlws.FILTER(TablaProductos[Nombre producto],TablaProductos[Agrupación]=ProductosPivot!DGM5)</f>
        <v>#VALUE!</v>
      </c>
      <c r="DGN6" s="68" t="e" cm="1" vm="1">
        <f t="array" ref="DGN6">_xlfn._xlws.FILTER(TablaProductos[Nombre producto],TablaProductos[Agrupación]=ProductosPivot!DGN5)</f>
        <v>#VALUE!</v>
      </c>
      <c r="DGO6" s="68" t="e" cm="1" vm="1">
        <f t="array" ref="DGO6">_xlfn._xlws.FILTER(TablaProductos[Nombre producto],TablaProductos[Agrupación]=ProductosPivot!DGO5)</f>
        <v>#VALUE!</v>
      </c>
      <c r="DGP6" s="68" t="e" cm="1" vm="1">
        <f t="array" ref="DGP6">_xlfn._xlws.FILTER(TablaProductos[Nombre producto],TablaProductos[Agrupación]=ProductosPivot!DGP5)</f>
        <v>#VALUE!</v>
      </c>
      <c r="DGQ6" s="68" t="e" cm="1" vm="1">
        <f t="array" ref="DGQ6">_xlfn._xlws.FILTER(TablaProductos[Nombre producto],TablaProductos[Agrupación]=ProductosPivot!DGQ5)</f>
        <v>#VALUE!</v>
      </c>
      <c r="DGR6" s="68" t="e" cm="1" vm="1">
        <f t="array" ref="DGR6">_xlfn._xlws.FILTER(TablaProductos[Nombre producto],TablaProductos[Agrupación]=ProductosPivot!DGR5)</f>
        <v>#VALUE!</v>
      </c>
      <c r="DGS6" s="68" t="e" cm="1" vm="1">
        <f t="array" ref="DGS6">_xlfn._xlws.FILTER(TablaProductos[Nombre producto],TablaProductos[Agrupación]=ProductosPivot!DGS5)</f>
        <v>#VALUE!</v>
      </c>
      <c r="DGT6" s="68" t="e" cm="1" vm="1">
        <f t="array" ref="DGT6">_xlfn._xlws.FILTER(TablaProductos[Nombre producto],TablaProductos[Agrupación]=ProductosPivot!DGT5)</f>
        <v>#VALUE!</v>
      </c>
      <c r="DGU6" s="68" t="e" cm="1" vm="1">
        <f t="array" ref="DGU6">_xlfn._xlws.FILTER(TablaProductos[Nombre producto],TablaProductos[Agrupación]=ProductosPivot!DGU5)</f>
        <v>#VALUE!</v>
      </c>
      <c r="DGV6" s="68" t="e" cm="1" vm="1">
        <f t="array" ref="DGV6">_xlfn._xlws.FILTER(TablaProductos[Nombre producto],TablaProductos[Agrupación]=ProductosPivot!DGV5)</f>
        <v>#VALUE!</v>
      </c>
      <c r="DGW6" s="68" t="e" cm="1" vm="1">
        <f t="array" ref="DGW6">_xlfn._xlws.FILTER(TablaProductos[Nombre producto],TablaProductos[Agrupación]=ProductosPivot!DGW5)</f>
        <v>#VALUE!</v>
      </c>
      <c r="DGX6" s="68" t="e" cm="1" vm="1">
        <f t="array" ref="DGX6">_xlfn._xlws.FILTER(TablaProductos[Nombre producto],TablaProductos[Agrupación]=ProductosPivot!DGX5)</f>
        <v>#VALUE!</v>
      </c>
      <c r="DGY6" s="68" t="e" cm="1" vm="1">
        <f t="array" ref="DGY6">_xlfn._xlws.FILTER(TablaProductos[Nombre producto],TablaProductos[Agrupación]=ProductosPivot!DGY5)</f>
        <v>#VALUE!</v>
      </c>
      <c r="DGZ6" s="68" t="e" cm="1" vm="1">
        <f t="array" ref="DGZ6">_xlfn._xlws.FILTER(TablaProductos[Nombre producto],TablaProductos[Agrupación]=ProductosPivot!DGZ5)</f>
        <v>#VALUE!</v>
      </c>
      <c r="DHA6" s="68" t="e" cm="1" vm="1">
        <f t="array" ref="DHA6">_xlfn._xlws.FILTER(TablaProductos[Nombre producto],TablaProductos[Agrupación]=ProductosPivot!DHA5)</f>
        <v>#VALUE!</v>
      </c>
      <c r="DHB6" s="68" t="e" cm="1" vm="1">
        <f t="array" ref="DHB6">_xlfn._xlws.FILTER(TablaProductos[Nombre producto],TablaProductos[Agrupación]=ProductosPivot!DHB5)</f>
        <v>#VALUE!</v>
      </c>
      <c r="DHC6" s="68" t="e" cm="1" vm="1">
        <f t="array" ref="DHC6">_xlfn._xlws.FILTER(TablaProductos[Nombre producto],TablaProductos[Agrupación]=ProductosPivot!DHC5)</f>
        <v>#VALUE!</v>
      </c>
      <c r="DHD6" s="68" t="e" cm="1" vm="1">
        <f t="array" ref="DHD6">_xlfn._xlws.FILTER(TablaProductos[Nombre producto],TablaProductos[Agrupación]=ProductosPivot!DHD5)</f>
        <v>#VALUE!</v>
      </c>
      <c r="DHE6" s="68" t="e" cm="1" vm="1">
        <f t="array" ref="DHE6">_xlfn._xlws.FILTER(TablaProductos[Nombre producto],TablaProductos[Agrupación]=ProductosPivot!DHE5)</f>
        <v>#VALUE!</v>
      </c>
      <c r="DHF6" s="68" t="e" cm="1" vm="1">
        <f t="array" ref="DHF6">_xlfn._xlws.FILTER(TablaProductos[Nombre producto],TablaProductos[Agrupación]=ProductosPivot!DHF5)</f>
        <v>#VALUE!</v>
      </c>
      <c r="DHG6" s="68" t="e" cm="1" vm="1">
        <f t="array" ref="DHG6">_xlfn._xlws.FILTER(TablaProductos[Nombre producto],TablaProductos[Agrupación]=ProductosPivot!DHG5)</f>
        <v>#VALUE!</v>
      </c>
      <c r="DHH6" s="68" t="e" cm="1" vm="1">
        <f t="array" ref="DHH6">_xlfn._xlws.FILTER(TablaProductos[Nombre producto],TablaProductos[Agrupación]=ProductosPivot!DHH5)</f>
        <v>#VALUE!</v>
      </c>
      <c r="DHI6" s="68" t="e" cm="1" vm="1">
        <f t="array" ref="DHI6">_xlfn._xlws.FILTER(TablaProductos[Nombre producto],TablaProductos[Agrupación]=ProductosPivot!DHI5)</f>
        <v>#VALUE!</v>
      </c>
      <c r="DHJ6" s="68" t="e" cm="1" vm="1">
        <f t="array" ref="DHJ6">_xlfn._xlws.FILTER(TablaProductos[Nombre producto],TablaProductos[Agrupación]=ProductosPivot!DHJ5)</f>
        <v>#VALUE!</v>
      </c>
      <c r="DHK6" s="68" t="e" cm="1" vm="1">
        <f t="array" ref="DHK6">_xlfn._xlws.FILTER(TablaProductos[Nombre producto],TablaProductos[Agrupación]=ProductosPivot!DHK5)</f>
        <v>#VALUE!</v>
      </c>
      <c r="DHL6" s="68" t="e" cm="1" vm="1">
        <f t="array" ref="DHL6">_xlfn._xlws.FILTER(TablaProductos[Nombre producto],TablaProductos[Agrupación]=ProductosPivot!DHL5)</f>
        <v>#VALUE!</v>
      </c>
      <c r="DHM6" s="68" t="e" cm="1" vm="1">
        <f t="array" ref="DHM6">_xlfn._xlws.FILTER(TablaProductos[Nombre producto],TablaProductos[Agrupación]=ProductosPivot!DHM5)</f>
        <v>#VALUE!</v>
      </c>
      <c r="DHN6" s="68" t="e" cm="1" vm="1">
        <f t="array" ref="DHN6">_xlfn._xlws.FILTER(TablaProductos[Nombre producto],TablaProductos[Agrupación]=ProductosPivot!DHN5)</f>
        <v>#VALUE!</v>
      </c>
      <c r="DHO6" s="68" t="e" cm="1" vm="1">
        <f t="array" ref="DHO6">_xlfn._xlws.FILTER(TablaProductos[Nombre producto],TablaProductos[Agrupación]=ProductosPivot!DHO5)</f>
        <v>#VALUE!</v>
      </c>
      <c r="DHP6" s="68" t="e" cm="1" vm="1">
        <f t="array" ref="DHP6">_xlfn._xlws.FILTER(TablaProductos[Nombre producto],TablaProductos[Agrupación]=ProductosPivot!DHP5)</f>
        <v>#VALUE!</v>
      </c>
      <c r="DHQ6" s="68" t="e" cm="1" vm="1">
        <f t="array" ref="DHQ6">_xlfn._xlws.FILTER(TablaProductos[Nombre producto],TablaProductos[Agrupación]=ProductosPivot!DHQ5)</f>
        <v>#VALUE!</v>
      </c>
      <c r="DHR6" s="68" t="e" cm="1" vm="1">
        <f t="array" ref="DHR6">_xlfn._xlws.FILTER(TablaProductos[Nombre producto],TablaProductos[Agrupación]=ProductosPivot!DHR5)</f>
        <v>#VALUE!</v>
      </c>
      <c r="DHS6" s="68" t="e" cm="1" vm="1">
        <f t="array" ref="DHS6">_xlfn._xlws.FILTER(TablaProductos[Nombre producto],TablaProductos[Agrupación]=ProductosPivot!DHS5)</f>
        <v>#VALUE!</v>
      </c>
      <c r="DHT6" s="68" t="e" cm="1" vm="1">
        <f t="array" ref="DHT6">_xlfn._xlws.FILTER(TablaProductos[Nombre producto],TablaProductos[Agrupación]=ProductosPivot!DHT5)</f>
        <v>#VALUE!</v>
      </c>
      <c r="DHU6" s="68" t="e" cm="1" vm="1">
        <f t="array" ref="DHU6">_xlfn._xlws.FILTER(TablaProductos[Nombre producto],TablaProductos[Agrupación]=ProductosPivot!DHU5)</f>
        <v>#VALUE!</v>
      </c>
      <c r="DHV6" s="68" t="e" cm="1" vm="1">
        <f t="array" ref="DHV6">_xlfn._xlws.FILTER(TablaProductos[Nombre producto],TablaProductos[Agrupación]=ProductosPivot!DHV5)</f>
        <v>#VALUE!</v>
      </c>
      <c r="DHW6" s="68" t="e" cm="1" vm="1">
        <f t="array" ref="DHW6">_xlfn._xlws.FILTER(TablaProductos[Nombre producto],TablaProductos[Agrupación]=ProductosPivot!DHW5)</f>
        <v>#VALUE!</v>
      </c>
      <c r="DHX6" s="68" t="e" cm="1" vm="1">
        <f t="array" ref="DHX6">_xlfn._xlws.FILTER(TablaProductos[Nombre producto],TablaProductos[Agrupación]=ProductosPivot!DHX5)</f>
        <v>#VALUE!</v>
      </c>
      <c r="DHY6" s="68" t="e" cm="1" vm="1">
        <f t="array" ref="DHY6">_xlfn._xlws.FILTER(TablaProductos[Nombre producto],TablaProductos[Agrupación]=ProductosPivot!DHY5)</f>
        <v>#VALUE!</v>
      </c>
      <c r="DHZ6" s="68" t="e" cm="1" vm="1">
        <f t="array" ref="DHZ6">_xlfn._xlws.FILTER(TablaProductos[Nombre producto],TablaProductos[Agrupación]=ProductosPivot!DHZ5)</f>
        <v>#VALUE!</v>
      </c>
      <c r="DIA6" s="68" t="e" cm="1" vm="1">
        <f t="array" ref="DIA6">_xlfn._xlws.FILTER(TablaProductos[Nombre producto],TablaProductos[Agrupación]=ProductosPivot!DIA5)</f>
        <v>#VALUE!</v>
      </c>
      <c r="DIB6" s="68" t="e" cm="1" vm="1">
        <f t="array" ref="DIB6">_xlfn._xlws.FILTER(TablaProductos[Nombre producto],TablaProductos[Agrupación]=ProductosPivot!DIB5)</f>
        <v>#VALUE!</v>
      </c>
      <c r="DIC6" s="68" t="e" cm="1" vm="1">
        <f t="array" ref="DIC6">_xlfn._xlws.FILTER(TablaProductos[Nombre producto],TablaProductos[Agrupación]=ProductosPivot!DIC5)</f>
        <v>#VALUE!</v>
      </c>
      <c r="DID6" s="68" t="e" cm="1" vm="1">
        <f t="array" ref="DID6">_xlfn._xlws.FILTER(TablaProductos[Nombre producto],TablaProductos[Agrupación]=ProductosPivot!DID5)</f>
        <v>#VALUE!</v>
      </c>
      <c r="DIE6" s="68" t="e" cm="1" vm="1">
        <f t="array" ref="DIE6">_xlfn._xlws.FILTER(TablaProductos[Nombre producto],TablaProductos[Agrupación]=ProductosPivot!DIE5)</f>
        <v>#VALUE!</v>
      </c>
      <c r="DIF6" s="68" t="e" cm="1" vm="1">
        <f t="array" ref="DIF6">_xlfn._xlws.FILTER(TablaProductos[Nombre producto],TablaProductos[Agrupación]=ProductosPivot!DIF5)</f>
        <v>#VALUE!</v>
      </c>
      <c r="DIG6" s="68" t="e" cm="1" vm="1">
        <f t="array" ref="DIG6">_xlfn._xlws.FILTER(TablaProductos[Nombre producto],TablaProductos[Agrupación]=ProductosPivot!DIG5)</f>
        <v>#VALUE!</v>
      </c>
      <c r="DIH6" s="68" t="e" cm="1" vm="1">
        <f t="array" ref="DIH6">_xlfn._xlws.FILTER(TablaProductos[Nombre producto],TablaProductos[Agrupación]=ProductosPivot!DIH5)</f>
        <v>#VALUE!</v>
      </c>
      <c r="DII6" s="68" t="e" cm="1" vm="1">
        <f t="array" ref="DII6">_xlfn._xlws.FILTER(TablaProductos[Nombre producto],TablaProductos[Agrupación]=ProductosPivot!DII5)</f>
        <v>#VALUE!</v>
      </c>
      <c r="DIJ6" s="68" t="e" cm="1" vm="1">
        <f t="array" ref="DIJ6">_xlfn._xlws.FILTER(TablaProductos[Nombre producto],TablaProductos[Agrupación]=ProductosPivot!DIJ5)</f>
        <v>#VALUE!</v>
      </c>
      <c r="DIK6" s="68" t="e" cm="1" vm="1">
        <f t="array" ref="DIK6">_xlfn._xlws.FILTER(TablaProductos[Nombre producto],TablaProductos[Agrupación]=ProductosPivot!DIK5)</f>
        <v>#VALUE!</v>
      </c>
      <c r="DIL6" s="68" t="e" cm="1" vm="1">
        <f t="array" ref="DIL6">_xlfn._xlws.FILTER(TablaProductos[Nombre producto],TablaProductos[Agrupación]=ProductosPivot!DIL5)</f>
        <v>#VALUE!</v>
      </c>
      <c r="DIM6" s="68" t="e" cm="1" vm="1">
        <f t="array" ref="DIM6">_xlfn._xlws.FILTER(TablaProductos[Nombre producto],TablaProductos[Agrupación]=ProductosPivot!DIM5)</f>
        <v>#VALUE!</v>
      </c>
      <c r="DIN6" s="68" t="e" cm="1" vm="1">
        <f t="array" ref="DIN6">_xlfn._xlws.FILTER(TablaProductos[Nombre producto],TablaProductos[Agrupación]=ProductosPivot!DIN5)</f>
        <v>#VALUE!</v>
      </c>
      <c r="DIO6" s="68" t="e" cm="1" vm="1">
        <f t="array" ref="DIO6">_xlfn._xlws.FILTER(TablaProductos[Nombre producto],TablaProductos[Agrupación]=ProductosPivot!DIO5)</f>
        <v>#VALUE!</v>
      </c>
      <c r="DIP6" s="68" t="e" cm="1" vm="1">
        <f t="array" ref="DIP6">_xlfn._xlws.FILTER(TablaProductos[Nombre producto],TablaProductos[Agrupación]=ProductosPivot!DIP5)</f>
        <v>#VALUE!</v>
      </c>
      <c r="DIQ6" s="68" t="e" cm="1" vm="1">
        <f t="array" ref="DIQ6">_xlfn._xlws.FILTER(TablaProductos[Nombre producto],TablaProductos[Agrupación]=ProductosPivot!DIQ5)</f>
        <v>#VALUE!</v>
      </c>
      <c r="DIR6" s="68" t="e" cm="1" vm="1">
        <f t="array" ref="DIR6">_xlfn._xlws.FILTER(TablaProductos[Nombre producto],TablaProductos[Agrupación]=ProductosPivot!DIR5)</f>
        <v>#VALUE!</v>
      </c>
      <c r="DIS6" s="68" t="e" cm="1" vm="1">
        <f t="array" ref="DIS6">_xlfn._xlws.FILTER(TablaProductos[Nombre producto],TablaProductos[Agrupación]=ProductosPivot!DIS5)</f>
        <v>#VALUE!</v>
      </c>
      <c r="DIT6" s="68" t="e" cm="1" vm="1">
        <f t="array" ref="DIT6">_xlfn._xlws.FILTER(TablaProductos[Nombre producto],TablaProductos[Agrupación]=ProductosPivot!DIT5)</f>
        <v>#VALUE!</v>
      </c>
      <c r="DIU6" s="68" t="e" cm="1" vm="1">
        <f t="array" ref="DIU6">_xlfn._xlws.FILTER(TablaProductos[Nombre producto],TablaProductos[Agrupación]=ProductosPivot!DIU5)</f>
        <v>#VALUE!</v>
      </c>
      <c r="DIV6" s="68" t="e" cm="1" vm="1">
        <f t="array" ref="DIV6">_xlfn._xlws.FILTER(TablaProductos[Nombre producto],TablaProductos[Agrupación]=ProductosPivot!DIV5)</f>
        <v>#VALUE!</v>
      </c>
      <c r="DIW6" s="68" t="e" cm="1" vm="1">
        <f t="array" ref="DIW6">_xlfn._xlws.FILTER(TablaProductos[Nombre producto],TablaProductos[Agrupación]=ProductosPivot!DIW5)</f>
        <v>#VALUE!</v>
      </c>
      <c r="DIX6" s="68" t="e" cm="1" vm="1">
        <f t="array" ref="DIX6">_xlfn._xlws.FILTER(TablaProductos[Nombre producto],TablaProductos[Agrupación]=ProductosPivot!DIX5)</f>
        <v>#VALUE!</v>
      </c>
      <c r="DIY6" s="68" t="e" cm="1" vm="1">
        <f t="array" ref="DIY6">_xlfn._xlws.FILTER(TablaProductos[Nombre producto],TablaProductos[Agrupación]=ProductosPivot!DIY5)</f>
        <v>#VALUE!</v>
      </c>
      <c r="DIZ6" s="68" t="e" cm="1" vm="1">
        <f t="array" ref="DIZ6">_xlfn._xlws.FILTER(TablaProductos[Nombre producto],TablaProductos[Agrupación]=ProductosPivot!DIZ5)</f>
        <v>#VALUE!</v>
      </c>
      <c r="DJA6" s="68" t="e" cm="1" vm="1">
        <f t="array" ref="DJA6">_xlfn._xlws.FILTER(TablaProductos[Nombre producto],TablaProductos[Agrupación]=ProductosPivot!DJA5)</f>
        <v>#VALUE!</v>
      </c>
      <c r="DJB6" s="68" t="e" cm="1" vm="1">
        <f t="array" ref="DJB6">_xlfn._xlws.FILTER(TablaProductos[Nombre producto],TablaProductos[Agrupación]=ProductosPivot!DJB5)</f>
        <v>#VALUE!</v>
      </c>
      <c r="DJC6" s="68" t="e" cm="1" vm="1">
        <f t="array" ref="DJC6">_xlfn._xlws.FILTER(TablaProductos[Nombre producto],TablaProductos[Agrupación]=ProductosPivot!DJC5)</f>
        <v>#VALUE!</v>
      </c>
      <c r="DJD6" s="68" t="e" cm="1" vm="1">
        <f t="array" ref="DJD6">_xlfn._xlws.FILTER(TablaProductos[Nombre producto],TablaProductos[Agrupación]=ProductosPivot!DJD5)</f>
        <v>#VALUE!</v>
      </c>
      <c r="DJE6" s="68" t="e" cm="1" vm="1">
        <f t="array" ref="DJE6">_xlfn._xlws.FILTER(TablaProductos[Nombre producto],TablaProductos[Agrupación]=ProductosPivot!DJE5)</f>
        <v>#VALUE!</v>
      </c>
      <c r="DJF6" s="68" t="e" cm="1" vm="1">
        <f t="array" ref="DJF6">_xlfn._xlws.FILTER(TablaProductos[Nombre producto],TablaProductos[Agrupación]=ProductosPivot!DJF5)</f>
        <v>#VALUE!</v>
      </c>
      <c r="DJG6" s="68" t="e" cm="1" vm="1">
        <f t="array" ref="DJG6">_xlfn._xlws.FILTER(TablaProductos[Nombre producto],TablaProductos[Agrupación]=ProductosPivot!DJG5)</f>
        <v>#VALUE!</v>
      </c>
      <c r="DJH6" s="68" t="e" cm="1" vm="1">
        <f t="array" ref="DJH6">_xlfn._xlws.FILTER(TablaProductos[Nombre producto],TablaProductos[Agrupación]=ProductosPivot!DJH5)</f>
        <v>#VALUE!</v>
      </c>
      <c r="DJI6" s="68" t="e" cm="1" vm="1">
        <f t="array" ref="DJI6">_xlfn._xlws.FILTER(TablaProductos[Nombre producto],TablaProductos[Agrupación]=ProductosPivot!DJI5)</f>
        <v>#VALUE!</v>
      </c>
      <c r="DJJ6" s="68" t="e" cm="1" vm="1">
        <f t="array" ref="DJJ6">_xlfn._xlws.FILTER(TablaProductos[Nombre producto],TablaProductos[Agrupación]=ProductosPivot!DJJ5)</f>
        <v>#VALUE!</v>
      </c>
      <c r="DJK6" s="68" t="e" cm="1" vm="1">
        <f t="array" ref="DJK6">_xlfn._xlws.FILTER(TablaProductos[Nombre producto],TablaProductos[Agrupación]=ProductosPivot!DJK5)</f>
        <v>#VALUE!</v>
      </c>
      <c r="DJL6" s="68" t="e" cm="1" vm="1">
        <f t="array" ref="DJL6">_xlfn._xlws.FILTER(TablaProductos[Nombre producto],TablaProductos[Agrupación]=ProductosPivot!DJL5)</f>
        <v>#VALUE!</v>
      </c>
      <c r="DJM6" s="68" t="e" cm="1" vm="1">
        <f t="array" ref="DJM6">_xlfn._xlws.FILTER(TablaProductos[Nombre producto],TablaProductos[Agrupación]=ProductosPivot!DJM5)</f>
        <v>#VALUE!</v>
      </c>
      <c r="DJN6" s="68" t="e" cm="1" vm="1">
        <f t="array" ref="DJN6">_xlfn._xlws.FILTER(TablaProductos[Nombre producto],TablaProductos[Agrupación]=ProductosPivot!DJN5)</f>
        <v>#VALUE!</v>
      </c>
      <c r="DJO6" s="68" t="e" cm="1" vm="1">
        <f t="array" ref="DJO6">_xlfn._xlws.FILTER(TablaProductos[Nombre producto],TablaProductos[Agrupación]=ProductosPivot!DJO5)</f>
        <v>#VALUE!</v>
      </c>
      <c r="DJP6" s="68" t="e" cm="1" vm="1">
        <f t="array" ref="DJP6">_xlfn._xlws.FILTER(TablaProductos[Nombre producto],TablaProductos[Agrupación]=ProductosPivot!DJP5)</f>
        <v>#VALUE!</v>
      </c>
      <c r="DJQ6" s="68" t="e" cm="1" vm="1">
        <f t="array" ref="DJQ6">_xlfn._xlws.FILTER(TablaProductos[Nombre producto],TablaProductos[Agrupación]=ProductosPivot!DJQ5)</f>
        <v>#VALUE!</v>
      </c>
      <c r="DJR6" s="68" t="e" cm="1" vm="1">
        <f t="array" ref="DJR6">_xlfn._xlws.FILTER(TablaProductos[Nombre producto],TablaProductos[Agrupación]=ProductosPivot!DJR5)</f>
        <v>#VALUE!</v>
      </c>
      <c r="DJS6" s="68" t="e" cm="1" vm="1">
        <f t="array" ref="DJS6">_xlfn._xlws.FILTER(TablaProductos[Nombre producto],TablaProductos[Agrupación]=ProductosPivot!DJS5)</f>
        <v>#VALUE!</v>
      </c>
      <c r="DJT6" s="68" t="e" cm="1" vm="1">
        <f t="array" ref="DJT6">_xlfn._xlws.FILTER(TablaProductos[Nombre producto],TablaProductos[Agrupación]=ProductosPivot!DJT5)</f>
        <v>#VALUE!</v>
      </c>
      <c r="DJU6" s="68" t="e" cm="1" vm="1">
        <f t="array" ref="DJU6">_xlfn._xlws.FILTER(TablaProductos[Nombre producto],TablaProductos[Agrupación]=ProductosPivot!DJU5)</f>
        <v>#VALUE!</v>
      </c>
      <c r="DJV6" s="68" t="e" cm="1" vm="1">
        <f t="array" ref="DJV6">_xlfn._xlws.FILTER(TablaProductos[Nombre producto],TablaProductos[Agrupación]=ProductosPivot!DJV5)</f>
        <v>#VALUE!</v>
      </c>
      <c r="DJW6" s="68" t="e" cm="1" vm="1">
        <f t="array" ref="DJW6">_xlfn._xlws.FILTER(TablaProductos[Nombre producto],TablaProductos[Agrupación]=ProductosPivot!DJW5)</f>
        <v>#VALUE!</v>
      </c>
      <c r="DJX6" s="68" t="e" cm="1" vm="1">
        <f t="array" ref="DJX6">_xlfn._xlws.FILTER(TablaProductos[Nombre producto],TablaProductos[Agrupación]=ProductosPivot!DJX5)</f>
        <v>#VALUE!</v>
      </c>
      <c r="DJY6" s="68" t="e" cm="1" vm="1">
        <f t="array" ref="DJY6">_xlfn._xlws.FILTER(TablaProductos[Nombre producto],TablaProductos[Agrupación]=ProductosPivot!DJY5)</f>
        <v>#VALUE!</v>
      </c>
      <c r="DJZ6" s="68" t="e" cm="1" vm="1">
        <f t="array" ref="DJZ6">_xlfn._xlws.FILTER(TablaProductos[Nombre producto],TablaProductos[Agrupación]=ProductosPivot!DJZ5)</f>
        <v>#VALUE!</v>
      </c>
      <c r="DKA6" s="68" t="e" cm="1" vm="1">
        <f t="array" ref="DKA6">_xlfn._xlws.FILTER(TablaProductos[Nombre producto],TablaProductos[Agrupación]=ProductosPivot!DKA5)</f>
        <v>#VALUE!</v>
      </c>
      <c r="DKB6" s="68" t="e" cm="1" vm="1">
        <f t="array" ref="DKB6">_xlfn._xlws.FILTER(TablaProductos[Nombre producto],TablaProductos[Agrupación]=ProductosPivot!DKB5)</f>
        <v>#VALUE!</v>
      </c>
      <c r="DKC6" s="68" t="e" cm="1" vm="1">
        <f t="array" ref="DKC6">_xlfn._xlws.FILTER(TablaProductos[Nombre producto],TablaProductos[Agrupación]=ProductosPivot!DKC5)</f>
        <v>#VALUE!</v>
      </c>
      <c r="DKD6" s="68" t="e" cm="1" vm="1">
        <f t="array" ref="DKD6">_xlfn._xlws.FILTER(TablaProductos[Nombre producto],TablaProductos[Agrupación]=ProductosPivot!DKD5)</f>
        <v>#VALUE!</v>
      </c>
      <c r="DKE6" s="68" t="e" cm="1" vm="1">
        <f t="array" ref="DKE6">_xlfn._xlws.FILTER(TablaProductos[Nombre producto],TablaProductos[Agrupación]=ProductosPivot!DKE5)</f>
        <v>#VALUE!</v>
      </c>
      <c r="DKF6" s="68" t="e" cm="1" vm="1">
        <f t="array" ref="DKF6">_xlfn._xlws.FILTER(TablaProductos[Nombre producto],TablaProductos[Agrupación]=ProductosPivot!DKF5)</f>
        <v>#VALUE!</v>
      </c>
      <c r="DKG6" s="68" t="e" cm="1" vm="1">
        <f t="array" ref="DKG6">_xlfn._xlws.FILTER(TablaProductos[Nombre producto],TablaProductos[Agrupación]=ProductosPivot!DKG5)</f>
        <v>#VALUE!</v>
      </c>
      <c r="DKH6" s="68" t="e" cm="1" vm="1">
        <f t="array" ref="DKH6">_xlfn._xlws.FILTER(TablaProductos[Nombre producto],TablaProductos[Agrupación]=ProductosPivot!DKH5)</f>
        <v>#VALUE!</v>
      </c>
      <c r="DKI6" s="68" t="e" cm="1" vm="1">
        <f t="array" ref="DKI6">_xlfn._xlws.FILTER(TablaProductos[Nombre producto],TablaProductos[Agrupación]=ProductosPivot!DKI5)</f>
        <v>#VALUE!</v>
      </c>
      <c r="DKJ6" s="68" t="e" cm="1" vm="1">
        <f t="array" ref="DKJ6">_xlfn._xlws.FILTER(TablaProductos[Nombre producto],TablaProductos[Agrupación]=ProductosPivot!DKJ5)</f>
        <v>#VALUE!</v>
      </c>
      <c r="DKK6" s="68" t="e" cm="1" vm="1">
        <f t="array" ref="DKK6">_xlfn._xlws.FILTER(TablaProductos[Nombre producto],TablaProductos[Agrupación]=ProductosPivot!DKK5)</f>
        <v>#VALUE!</v>
      </c>
      <c r="DKL6" s="68" t="e" cm="1" vm="1">
        <f t="array" ref="DKL6">_xlfn._xlws.FILTER(TablaProductos[Nombre producto],TablaProductos[Agrupación]=ProductosPivot!DKL5)</f>
        <v>#VALUE!</v>
      </c>
      <c r="DKM6" s="68" t="e" cm="1" vm="1">
        <f t="array" ref="DKM6">_xlfn._xlws.FILTER(TablaProductos[Nombre producto],TablaProductos[Agrupación]=ProductosPivot!DKM5)</f>
        <v>#VALUE!</v>
      </c>
      <c r="DKN6" s="68" t="e" cm="1" vm="1">
        <f t="array" ref="DKN6">_xlfn._xlws.FILTER(TablaProductos[Nombre producto],TablaProductos[Agrupación]=ProductosPivot!DKN5)</f>
        <v>#VALUE!</v>
      </c>
      <c r="DKO6" s="68" t="e" cm="1" vm="1">
        <f t="array" ref="DKO6">_xlfn._xlws.FILTER(TablaProductos[Nombre producto],TablaProductos[Agrupación]=ProductosPivot!DKO5)</f>
        <v>#VALUE!</v>
      </c>
      <c r="DKP6" s="68" t="e" cm="1" vm="1">
        <f t="array" ref="DKP6">_xlfn._xlws.FILTER(TablaProductos[Nombre producto],TablaProductos[Agrupación]=ProductosPivot!DKP5)</f>
        <v>#VALUE!</v>
      </c>
      <c r="DKQ6" s="68" t="e" cm="1" vm="1">
        <f t="array" ref="DKQ6">_xlfn._xlws.FILTER(TablaProductos[Nombre producto],TablaProductos[Agrupación]=ProductosPivot!DKQ5)</f>
        <v>#VALUE!</v>
      </c>
      <c r="DKR6" s="68" t="e" cm="1" vm="1">
        <f t="array" ref="DKR6">_xlfn._xlws.FILTER(TablaProductos[Nombre producto],TablaProductos[Agrupación]=ProductosPivot!DKR5)</f>
        <v>#VALUE!</v>
      </c>
      <c r="DKS6" s="68" t="e" cm="1" vm="1">
        <f t="array" ref="DKS6">_xlfn._xlws.FILTER(TablaProductos[Nombre producto],TablaProductos[Agrupación]=ProductosPivot!DKS5)</f>
        <v>#VALUE!</v>
      </c>
      <c r="DKT6" s="68" t="e" cm="1" vm="1">
        <f t="array" ref="DKT6">_xlfn._xlws.FILTER(TablaProductos[Nombre producto],TablaProductos[Agrupación]=ProductosPivot!DKT5)</f>
        <v>#VALUE!</v>
      </c>
      <c r="DKU6" s="68" t="e" cm="1" vm="1">
        <f t="array" ref="DKU6">_xlfn._xlws.FILTER(TablaProductos[Nombre producto],TablaProductos[Agrupación]=ProductosPivot!DKU5)</f>
        <v>#VALUE!</v>
      </c>
      <c r="DKV6" s="68" t="e" cm="1" vm="1">
        <f t="array" ref="DKV6">_xlfn._xlws.FILTER(TablaProductos[Nombre producto],TablaProductos[Agrupación]=ProductosPivot!DKV5)</f>
        <v>#VALUE!</v>
      </c>
      <c r="DKW6" s="68" t="e" cm="1" vm="1">
        <f t="array" ref="DKW6">_xlfn._xlws.FILTER(TablaProductos[Nombre producto],TablaProductos[Agrupación]=ProductosPivot!DKW5)</f>
        <v>#VALUE!</v>
      </c>
      <c r="DKX6" s="68" t="e" cm="1" vm="1">
        <f t="array" ref="DKX6">_xlfn._xlws.FILTER(TablaProductos[Nombre producto],TablaProductos[Agrupación]=ProductosPivot!DKX5)</f>
        <v>#VALUE!</v>
      </c>
      <c r="DKY6" s="68" t="e" cm="1" vm="1">
        <f t="array" ref="DKY6">_xlfn._xlws.FILTER(TablaProductos[Nombre producto],TablaProductos[Agrupación]=ProductosPivot!DKY5)</f>
        <v>#VALUE!</v>
      </c>
      <c r="DKZ6" s="68" t="e" cm="1" vm="1">
        <f t="array" ref="DKZ6">_xlfn._xlws.FILTER(TablaProductos[Nombre producto],TablaProductos[Agrupación]=ProductosPivot!DKZ5)</f>
        <v>#VALUE!</v>
      </c>
      <c r="DLA6" s="68" t="e" cm="1" vm="1">
        <f t="array" ref="DLA6">_xlfn._xlws.FILTER(TablaProductos[Nombre producto],TablaProductos[Agrupación]=ProductosPivot!DLA5)</f>
        <v>#VALUE!</v>
      </c>
      <c r="DLB6" s="68" t="e" cm="1" vm="1">
        <f t="array" ref="DLB6">_xlfn._xlws.FILTER(TablaProductos[Nombre producto],TablaProductos[Agrupación]=ProductosPivot!DLB5)</f>
        <v>#VALUE!</v>
      </c>
      <c r="DLC6" s="68" t="e" cm="1" vm="1">
        <f t="array" ref="DLC6">_xlfn._xlws.FILTER(TablaProductos[Nombre producto],TablaProductos[Agrupación]=ProductosPivot!DLC5)</f>
        <v>#VALUE!</v>
      </c>
      <c r="DLD6" s="68" t="e" cm="1" vm="1">
        <f t="array" ref="DLD6">_xlfn._xlws.FILTER(TablaProductos[Nombre producto],TablaProductos[Agrupación]=ProductosPivot!DLD5)</f>
        <v>#VALUE!</v>
      </c>
      <c r="DLE6" s="68" t="e" cm="1" vm="1">
        <f t="array" ref="DLE6">_xlfn._xlws.FILTER(TablaProductos[Nombre producto],TablaProductos[Agrupación]=ProductosPivot!DLE5)</f>
        <v>#VALUE!</v>
      </c>
      <c r="DLF6" s="68" t="e" cm="1" vm="1">
        <f t="array" ref="DLF6">_xlfn._xlws.FILTER(TablaProductos[Nombre producto],TablaProductos[Agrupación]=ProductosPivot!DLF5)</f>
        <v>#VALUE!</v>
      </c>
      <c r="DLG6" s="68" t="e" cm="1" vm="1">
        <f t="array" ref="DLG6">_xlfn._xlws.FILTER(TablaProductos[Nombre producto],TablaProductos[Agrupación]=ProductosPivot!DLG5)</f>
        <v>#VALUE!</v>
      </c>
      <c r="DLH6" s="68" t="e" cm="1" vm="1">
        <f t="array" ref="DLH6">_xlfn._xlws.FILTER(TablaProductos[Nombre producto],TablaProductos[Agrupación]=ProductosPivot!DLH5)</f>
        <v>#VALUE!</v>
      </c>
      <c r="DLI6" s="68" t="e" cm="1" vm="1">
        <f t="array" ref="DLI6">_xlfn._xlws.FILTER(TablaProductos[Nombre producto],TablaProductos[Agrupación]=ProductosPivot!DLI5)</f>
        <v>#VALUE!</v>
      </c>
      <c r="DLJ6" s="68" t="e" cm="1" vm="1">
        <f t="array" ref="DLJ6">_xlfn._xlws.FILTER(TablaProductos[Nombre producto],TablaProductos[Agrupación]=ProductosPivot!DLJ5)</f>
        <v>#VALUE!</v>
      </c>
      <c r="DLK6" s="68" t="e" cm="1" vm="1">
        <f t="array" ref="DLK6">_xlfn._xlws.FILTER(TablaProductos[Nombre producto],TablaProductos[Agrupación]=ProductosPivot!DLK5)</f>
        <v>#VALUE!</v>
      </c>
      <c r="DLL6" s="68" t="e" cm="1" vm="1">
        <f t="array" ref="DLL6">_xlfn._xlws.FILTER(TablaProductos[Nombre producto],TablaProductos[Agrupación]=ProductosPivot!DLL5)</f>
        <v>#VALUE!</v>
      </c>
      <c r="DLM6" s="68" t="e" cm="1" vm="1">
        <f t="array" ref="DLM6">_xlfn._xlws.FILTER(TablaProductos[Nombre producto],TablaProductos[Agrupación]=ProductosPivot!DLM5)</f>
        <v>#VALUE!</v>
      </c>
      <c r="DLN6" s="68" t="e" cm="1" vm="1">
        <f t="array" ref="DLN6">_xlfn._xlws.FILTER(TablaProductos[Nombre producto],TablaProductos[Agrupación]=ProductosPivot!DLN5)</f>
        <v>#VALUE!</v>
      </c>
      <c r="DLO6" s="68" t="e" cm="1" vm="1">
        <f t="array" ref="DLO6">_xlfn._xlws.FILTER(TablaProductos[Nombre producto],TablaProductos[Agrupación]=ProductosPivot!DLO5)</f>
        <v>#VALUE!</v>
      </c>
      <c r="DLP6" s="68" t="e" cm="1" vm="1">
        <f t="array" ref="DLP6">_xlfn._xlws.FILTER(TablaProductos[Nombre producto],TablaProductos[Agrupación]=ProductosPivot!DLP5)</f>
        <v>#VALUE!</v>
      </c>
      <c r="DLQ6" s="68" t="e" cm="1" vm="1">
        <f t="array" ref="DLQ6">_xlfn._xlws.FILTER(TablaProductos[Nombre producto],TablaProductos[Agrupación]=ProductosPivot!DLQ5)</f>
        <v>#VALUE!</v>
      </c>
      <c r="DLR6" s="68" t="e" cm="1" vm="1">
        <f t="array" ref="DLR6">_xlfn._xlws.FILTER(TablaProductos[Nombre producto],TablaProductos[Agrupación]=ProductosPivot!DLR5)</f>
        <v>#VALUE!</v>
      </c>
      <c r="DLS6" s="68" t="e" cm="1" vm="1">
        <f t="array" ref="DLS6">_xlfn._xlws.FILTER(TablaProductos[Nombre producto],TablaProductos[Agrupación]=ProductosPivot!DLS5)</f>
        <v>#VALUE!</v>
      </c>
      <c r="DLT6" s="68" t="e" cm="1" vm="1">
        <f t="array" ref="DLT6">_xlfn._xlws.FILTER(TablaProductos[Nombre producto],TablaProductos[Agrupación]=ProductosPivot!DLT5)</f>
        <v>#VALUE!</v>
      </c>
      <c r="DLU6" s="68" t="e" cm="1" vm="1">
        <f t="array" ref="DLU6">_xlfn._xlws.FILTER(TablaProductos[Nombre producto],TablaProductos[Agrupación]=ProductosPivot!DLU5)</f>
        <v>#VALUE!</v>
      </c>
      <c r="DLV6" s="68" t="e" cm="1" vm="1">
        <f t="array" ref="DLV6">_xlfn._xlws.FILTER(TablaProductos[Nombre producto],TablaProductos[Agrupación]=ProductosPivot!DLV5)</f>
        <v>#VALUE!</v>
      </c>
      <c r="DLW6" s="68" t="e" cm="1" vm="1">
        <f t="array" ref="DLW6">_xlfn._xlws.FILTER(TablaProductos[Nombre producto],TablaProductos[Agrupación]=ProductosPivot!DLW5)</f>
        <v>#VALUE!</v>
      </c>
      <c r="DLX6" s="68" t="e" cm="1" vm="1">
        <f t="array" ref="DLX6">_xlfn._xlws.FILTER(TablaProductos[Nombre producto],TablaProductos[Agrupación]=ProductosPivot!DLX5)</f>
        <v>#VALUE!</v>
      </c>
      <c r="DLY6" s="68" t="e" cm="1" vm="1">
        <f t="array" ref="DLY6">_xlfn._xlws.FILTER(TablaProductos[Nombre producto],TablaProductos[Agrupación]=ProductosPivot!DLY5)</f>
        <v>#VALUE!</v>
      </c>
      <c r="DLZ6" s="68" t="e" cm="1" vm="1">
        <f t="array" ref="DLZ6">_xlfn._xlws.FILTER(TablaProductos[Nombre producto],TablaProductos[Agrupación]=ProductosPivot!DLZ5)</f>
        <v>#VALUE!</v>
      </c>
      <c r="DMA6" s="68" t="e" cm="1" vm="1">
        <f t="array" ref="DMA6">_xlfn._xlws.FILTER(TablaProductos[Nombre producto],TablaProductos[Agrupación]=ProductosPivot!DMA5)</f>
        <v>#VALUE!</v>
      </c>
      <c r="DMB6" s="68" t="e" cm="1" vm="1">
        <f t="array" ref="DMB6">_xlfn._xlws.FILTER(TablaProductos[Nombre producto],TablaProductos[Agrupación]=ProductosPivot!DMB5)</f>
        <v>#VALUE!</v>
      </c>
      <c r="DMC6" s="68" t="e" cm="1" vm="1">
        <f t="array" ref="DMC6">_xlfn._xlws.FILTER(TablaProductos[Nombre producto],TablaProductos[Agrupación]=ProductosPivot!DMC5)</f>
        <v>#VALUE!</v>
      </c>
      <c r="DMD6" s="68" t="e" cm="1" vm="1">
        <f t="array" ref="DMD6">_xlfn._xlws.FILTER(TablaProductos[Nombre producto],TablaProductos[Agrupación]=ProductosPivot!DMD5)</f>
        <v>#VALUE!</v>
      </c>
      <c r="DME6" s="68" t="e" cm="1" vm="1">
        <f t="array" ref="DME6">_xlfn._xlws.FILTER(TablaProductos[Nombre producto],TablaProductos[Agrupación]=ProductosPivot!DME5)</f>
        <v>#VALUE!</v>
      </c>
      <c r="DMF6" s="68" t="e" cm="1" vm="1">
        <f t="array" ref="DMF6">_xlfn._xlws.FILTER(TablaProductos[Nombre producto],TablaProductos[Agrupación]=ProductosPivot!DMF5)</f>
        <v>#VALUE!</v>
      </c>
      <c r="DMG6" s="68" t="e" cm="1" vm="1">
        <f t="array" ref="DMG6">_xlfn._xlws.FILTER(TablaProductos[Nombre producto],TablaProductos[Agrupación]=ProductosPivot!DMG5)</f>
        <v>#VALUE!</v>
      </c>
      <c r="DMH6" s="68" t="e" cm="1" vm="1">
        <f t="array" ref="DMH6">_xlfn._xlws.FILTER(TablaProductos[Nombre producto],TablaProductos[Agrupación]=ProductosPivot!DMH5)</f>
        <v>#VALUE!</v>
      </c>
      <c r="DMI6" s="68" t="e" cm="1" vm="1">
        <f t="array" ref="DMI6">_xlfn._xlws.FILTER(TablaProductos[Nombre producto],TablaProductos[Agrupación]=ProductosPivot!DMI5)</f>
        <v>#VALUE!</v>
      </c>
      <c r="DMJ6" s="68" t="e" cm="1" vm="1">
        <f t="array" ref="DMJ6">_xlfn._xlws.FILTER(TablaProductos[Nombre producto],TablaProductos[Agrupación]=ProductosPivot!DMJ5)</f>
        <v>#VALUE!</v>
      </c>
      <c r="DMK6" s="68" t="e" cm="1" vm="1">
        <f t="array" ref="DMK6">_xlfn._xlws.FILTER(TablaProductos[Nombre producto],TablaProductos[Agrupación]=ProductosPivot!DMK5)</f>
        <v>#VALUE!</v>
      </c>
      <c r="DML6" s="68" t="e" cm="1" vm="1">
        <f t="array" ref="DML6">_xlfn._xlws.FILTER(TablaProductos[Nombre producto],TablaProductos[Agrupación]=ProductosPivot!DML5)</f>
        <v>#VALUE!</v>
      </c>
      <c r="DMM6" s="68" t="e" cm="1" vm="1">
        <f t="array" ref="DMM6">_xlfn._xlws.FILTER(TablaProductos[Nombre producto],TablaProductos[Agrupación]=ProductosPivot!DMM5)</f>
        <v>#VALUE!</v>
      </c>
      <c r="DMN6" s="68" t="e" cm="1" vm="1">
        <f t="array" ref="DMN6">_xlfn._xlws.FILTER(TablaProductos[Nombre producto],TablaProductos[Agrupación]=ProductosPivot!DMN5)</f>
        <v>#VALUE!</v>
      </c>
      <c r="DMO6" s="68" t="e" cm="1" vm="1">
        <f t="array" ref="DMO6">_xlfn._xlws.FILTER(TablaProductos[Nombre producto],TablaProductos[Agrupación]=ProductosPivot!DMO5)</f>
        <v>#VALUE!</v>
      </c>
      <c r="DMP6" s="68" t="e" cm="1" vm="1">
        <f t="array" ref="DMP6">_xlfn._xlws.FILTER(TablaProductos[Nombre producto],TablaProductos[Agrupación]=ProductosPivot!DMP5)</f>
        <v>#VALUE!</v>
      </c>
      <c r="DMQ6" s="68" t="e" cm="1" vm="1">
        <f t="array" ref="DMQ6">_xlfn._xlws.FILTER(TablaProductos[Nombre producto],TablaProductos[Agrupación]=ProductosPivot!DMQ5)</f>
        <v>#VALUE!</v>
      </c>
      <c r="DMR6" s="68" t="e" cm="1" vm="1">
        <f t="array" ref="DMR6">_xlfn._xlws.FILTER(TablaProductos[Nombre producto],TablaProductos[Agrupación]=ProductosPivot!DMR5)</f>
        <v>#VALUE!</v>
      </c>
      <c r="DMS6" s="68" t="e" cm="1" vm="1">
        <f t="array" ref="DMS6">_xlfn._xlws.FILTER(TablaProductos[Nombre producto],TablaProductos[Agrupación]=ProductosPivot!DMS5)</f>
        <v>#VALUE!</v>
      </c>
      <c r="DMT6" s="68" t="e" cm="1" vm="1">
        <f t="array" ref="DMT6">_xlfn._xlws.FILTER(TablaProductos[Nombre producto],TablaProductos[Agrupación]=ProductosPivot!DMT5)</f>
        <v>#VALUE!</v>
      </c>
      <c r="DMU6" s="68" t="e" cm="1" vm="1">
        <f t="array" ref="DMU6">_xlfn._xlws.FILTER(TablaProductos[Nombre producto],TablaProductos[Agrupación]=ProductosPivot!DMU5)</f>
        <v>#VALUE!</v>
      </c>
      <c r="DMV6" s="68" t="e" cm="1" vm="1">
        <f t="array" ref="DMV6">_xlfn._xlws.FILTER(TablaProductos[Nombre producto],TablaProductos[Agrupación]=ProductosPivot!DMV5)</f>
        <v>#VALUE!</v>
      </c>
      <c r="DMW6" s="68" t="e" cm="1" vm="1">
        <f t="array" ref="DMW6">_xlfn._xlws.FILTER(TablaProductos[Nombre producto],TablaProductos[Agrupación]=ProductosPivot!DMW5)</f>
        <v>#VALUE!</v>
      </c>
      <c r="DMX6" s="68" t="e" cm="1" vm="1">
        <f t="array" ref="DMX6">_xlfn._xlws.FILTER(TablaProductos[Nombre producto],TablaProductos[Agrupación]=ProductosPivot!DMX5)</f>
        <v>#VALUE!</v>
      </c>
      <c r="DMY6" s="68" t="e" cm="1" vm="1">
        <f t="array" ref="DMY6">_xlfn._xlws.FILTER(TablaProductos[Nombre producto],TablaProductos[Agrupación]=ProductosPivot!DMY5)</f>
        <v>#VALUE!</v>
      </c>
      <c r="DMZ6" s="68" t="e" cm="1" vm="1">
        <f t="array" ref="DMZ6">_xlfn._xlws.FILTER(TablaProductos[Nombre producto],TablaProductos[Agrupación]=ProductosPivot!DMZ5)</f>
        <v>#VALUE!</v>
      </c>
      <c r="DNA6" s="68" t="e" cm="1" vm="1">
        <f t="array" ref="DNA6">_xlfn._xlws.FILTER(TablaProductos[Nombre producto],TablaProductos[Agrupación]=ProductosPivot!DNA5)</f>
        <v>#VALUE!</v>
      </c>
      <c r="DNB6" s="68" t="e" cm="1" vm="1">
        <f t="array" ref="DNB6">_xlfn._xlws.FILTER(TablaProductos[Nombre producto],TablaProductos[Agrupación]=ProductosPivot!DNB5)</f>
        <v>#VALUE!</v>
      </c>
      <c r="DNC6" s="68" t="e" cm="1" vm="1">
        <f t="array" ref="DNC6">_xlfn._xlws.FILTER(TablaProductos[Nombre producto],TablaProductos[Agrupación]=ProductosPivot!DNC5)</f>
        <v>#VALUE!</v>
      </c>
      <c r="DND6" s="68" t="e" cm="1" vm="1">
        <f t="array" ref="DND6">_xlfn._xlws.FILTER(TablaProductos[Nombre producto],TablaProductos[Agrupación]=ProductosPivot!DND5)</f>
        <v>#VALUE!</v>
      </c>
      <c r="DNE6" s="68" t="e" cm="1" vm="1">
        <f t="array" ref="DNE6">_xlfn._xlws.FILTER(TablaProductos[Nombre producto],TablaProductos[Agrupación]=ProductosPivot!DNE5)</f>
        <v>#VALUE!</v>
      </c>
      <c r="DNF6" s="68" t="e" cm="1" vm="1">
        <f t="array" ref="DNF6">_xlfn._xlws.FILTER(TablaProductos[Nombre producto],TablaProductos[Agrupación]=ProductosPivot!DNF5)</f>
        <v>#VALUE!</v>
      </c>
      <c r="DNG6" s="68" t="e" cm="1" vm="1">
        <f t="array" ref="DNG6">_xlfn._xlws.FILTER(TablaProductos[Nombre producto],TablaProductos[Agrupación]=ProductosPivot!DNG5)</f>
        <v>#VALUE!</v>
      </c>
      <c r="DNH6" s="68" t="e" cm="1" vm="1">
        <f t="array" ref="DNH6">_xlfn._xlws.FILTER(TablaProductos[Nombre producto],TablaProductos[Agrupación]=ProductosPivot!DNH5)</f>
        <v>#VALUE!</v>
      </c>
      <c r="DNI6" s="68" t="e" cm="1" vm="1">
        <f t="array" ref="DNI6">_xlfn._xlws.FILTER(TablaProductos[Nombre producto],TablaProductos[Agrupación]=ProductosPivot!DNI5)</f>
        <v>#VALUE!</v>
      </c>
      <c r="DNJ6" s="68" t="e" cm="1" vm="1">
        <f t="array" ref="DNJ6">_xlfn._xlws.FILTER(TablaProductos[Nombre producto],TablaProductos[Agrupación]=ProductosPivot!DNJ5)</f>
        <v>#VALUE!</v>
      </c>
      <c r="DNK6" s="68" t="e" cm="1" vm="1">
        <f t="array" ref="DNK6">_xlfn._xlws.FILTER(TablaProductos[Nombre producto],TablaProductos[Agrupación]=ProductosPivot!DNK5)</f>
        <v>#VALUE!</v>
      </c>
      <c r="DNL6" s="68" t="e" cm="1" vm="1">
        <f t="array" ref="DNL6">_xlfn._xlws.FILTER(TablaProductos[Nombre producto],TablaProductos[Agrupación]=ProductosPivot!DNL5)</f>
        <v>#VALUE!</v>
      </c>
      <c r="DNM6" s="68" t="e" cm="1" vm="1">
        <f t="array" ref="DNM6">_xlfn._xlws.FILTER(TablaProductos[Nombre producto],TablaProductos[Agrupación]=ProductosPivot!DNM5)</f>
        <v>#VALUE!</v>
      </c>
      <c r="DNN6" s="68" t="e" cm="1" vm="1">
        <f t="array" ref="DNN6">_xlfn._xlws.FILTER(TablaProductos[Nombre producto],TablaProductos[Agrupación]=ProductosPivot!DNN5)</f>
        <v>#VALUE!</v>
      </c>
      <c r="DNO6" s="68" t="e" cm="1" vm="1">
        <f t="array" ref="DNO6">_xlfn._xlws.FILTER(TablaProductos[Nombre producto],TablaProductos[Agrupación]=ProductosPivot!DNO5)</f>
        <v>#VALUE!</v>
      </c>
      <c r="DNP6" s="68" t="e" cm="1" vm="1">
        <f t="array" ref="DNP6">_xlfn._xlws.FILTER(TablaProductos[Nombre producto],TablaProductos[Agrupación]=ProductosPivot!DNP5)</f>
        <v>#VALUE!</v>
      </c>
      <c r="DNQ6" s="68" t="e" cm="1" vm="1">
        <f t="array" ref="DNQ6">_xlfn._xlws.FILTER(TablaProductos[Nombre producto],TablaProductos[Agrupación]=ProductosPivot!DNQ5)</f>
        <v>#VALUE!</v>
      </c>
      <c r="DNR6" s="68" t="e" cm="1" vm="1">
        <f t="array" ref="DNR6">_xlfn._xlws.FILTER(TablaProductos[Nombre producto],TablaProductos[Agrupación]=ProductosPivot!DNR5)</f>
        <v>#VALUE!</v>
      </c>
      <c r="DNS6" s="68" t="e" cm="1" vm="1">
        <f t="array" ref="DNS6">_xlfn._xlws.FILTER(TablaProductos[Nombre producto],TablaProductos[Agrupación]=ProductosPivot!DNS5)</f>
        <v>#VALUE!</v>
      </c>
      <c r="DNT6" s="68" t="e" cm="1" vm="1">
        <f t="array" ref="DNT6">_xlfn._xlws.FILTER(TablaProductos[Nombre producto],TablaProductos[Agrupación]=ProductosPivot!DNT5)</f>
        <v>#VALUE!</v>
      </c>
      <c r="DNU6" s="68" t="e" cm="1" vm="1">
        <f t="array" ref="DNU6">_xlfn._xlws.FILTER(TablaProductos[Nombre producto],TablaProductos[Agrupación]=ProductosPivot!DNU5)</f>
        <v>#VALUE!</v>
      </c>
      <c r="DNV6" s="68" t="e" cm="1" vm="1">
        <f t="array" ref="DNV6">_xlfn._xlws.FILTER(TablaProductos[Nombre producto],TablaProductos[Agrupación]=ProductosPivot!DNV5)</f>
        <v>#VALUE!</v>
      </c>
      <c r="DNW6" s="68" t="e" cm="1" vm="1">
        <f t="array" ref="DNW6">_xlfn._xlws.FILTER(TablaProductos[Nombre producto],TablaProductos[Agrupación]=ProductosPivot!DNW5)</f>
        <v>#VALUE!</v>
      </c>
      <c r="DNX6" s="68" t="e" cm="1" vm="1">
        <f t="array" ref="DNX6">_xlfn._xlws.FILTER(TablaProductos[Nombre producto],TablaProductos[Agrupación]=ProductosPivot!DNX5)</f>
        <v>#VALUE!</v>
      </c>
      <c r="DNY6" s="68" t="e" cm="1" vm="1">
        <f t="array" ref="DNY6">_xlfn._xlws.FILTER(TablaProductos[Nombre producto],TablaProductos[Agrupación]=ProductosPivot!DNY5)</f>
        <v>#VALUE!</v>
      </c>
      <c r="DNZ6" s="68" t="e" cm="1" vm="1">
        <f t="array" ref="DNZ6">_xlfn._xlws.FILTER(TablaProductos[Nombre producto],TablaProductos[Agrupación]=ProductosPivot!DNZ5)</f>
        <v>#VALUE!</v>
      </c>
      <c r="DOA6" s="68" t="e" cm="1" vm="1">
        <f t="array" ref="DOA6">_xlfn._xlws.FILTER(TablaProductos[Nombre producto],TablaProductos[Agrupación]=ProductosPivot!DOA5)</f>
        <v>#VALUE!</v>
      </c>
      <c r="DOB6" s="68" t="e" cm="1" vm="1">
        <f t="array" ref="DOB6">_xlfn._xlws.FILTER(TablaProductos[Nombre producto],TablaProductos[Agrupación]=ProductosPivot!DOB5)</f>
        <v>#VALUE!</v>
      </c>
      <c r="DOC6" s="68" t="e" cm="1" vm="1">
        <f t="array" ref="DOC6">_xlfn._xlws.FILTER(TablaProductos[Nombre producto],TablaProductos[Agrupación]=ProductosPivot!DOC5)</f>
        <v>#VALUE!</v>
      </c>
      <c r="DOD6" s="68" t="e" cm="1" vm="1">
        <f t="array" ref="DOD6">_xlfn._xlws.FILTER(TablaProductos[Nombre producto],TablaProductos[Agrupación]=ProductosPivot!DOD5)</f>
        <v>#VALUE!</v>
      </c>
      <c r="DOE6" s="68" t="e" cm="1" vm="1">
        <f t="array" ref="DOE6">_xlfn._xlws.FILTER(TablaProductos[Nombre producto],TablaProductos[Agrupación]=ProductosPivot!DOE5)</f>
        <v>#VALUE!</v>
      </c>
      <c r="DOF6" s="68" t="e" cm="1" vm="1">
        <f t="array" ref="DOF6">_xlfn._xlws.FILTER(TablaProductos[Nombre producto],TablaProductos[Agrupación]=ProductosPivot!DOF5)</f>
        <v>#VALUE!</v>
      </c>
      <c r="DOG6" s="68" t="e" cm="1" vm="1">
        <f t="array" ref="DOG6">_xlfn._xlws.FILTER(TablaProductos[Nombre producto],TablaProductos[Agrupación]=ProductosPivot!DOG5)</f>
        <v>#VALUE!</v>
      </c>
      <c r="DOH6" s="68" t="e" cm="1" vm="1">
        <f t="array" ref="DOH6">_xlfn._xlws.FILTER(TablaProductos[Nombre producto],TablaProductos[Agrupación]=ProductosPivot!DOH5)</f>
        <v>#VALUE!</v>
      </c>
      <c r="DOI6" s="68" t="e" cm="1" vm="1">
        <f t="array" ref="DOI6">_xlfn._xlws.FILTER(TablaProductos[Nombre producto],TablaProductos[Agrupación]=ProductosPivot!DOI5)</f>
        <v>#VALUE!</v>
      </c>
      <c r="DOJ6" s="68" t="e" cm="1" vm="1">
        <f t="array" ref="DOJ6">_xlfn._xlws.FILTER(TablaProductos[Nombre producto],TablaProductos[Agrupación]=ProductosPivot!DOJ5)</f>
        <v>#VALUE!</v>
      </c>
      <c r="DOK6" s="68" t="e" cm="1" vm="1">
        <f t="array" ref="DOK6">_xlfn._xlws.FILTER(TablaProductos[Nombre producto],TablaProductos[Agrupación]=ProductosPivot!DOK5)</f>
        <v>#VALUE!</v>
      </c>
      <c r="DOL6" s="68" t="e" cm="1" vm="1">
        <f t="array" ref="DOL6">_xlfn._xlws.FILTER(TablaProductos[Nombre producto],TablaProductos[Agrupación]=ProductosPivot!DOL5)</f>
        <v>#VALUE!</v>
      </c>
      <c r="DOM6" s="68" t="e" cm="1" vm="1">
        <f t="array" ref="DOM6">_xlfn._xlws.FILTER(TablaProductos[Nombre producto],TablaProductos[Agrupación]=ProductosPivot!DOM5)</f>
        <v>#VALUE!</v>
      </c>
      <c r="DON6" s="68" t="e" cm="1" vm="1">
        <f t="array" ref="DON6">_xlfn._xlws.FILTER(TablaProductos[Nombre producto],TablaProductos[Agrupación]=ProductosPivot!DON5)</f>
        <v>#VALUE!</v>
      </c>
      <c r="DOO6" s="68" t="e" cm="1" vm="1">
        <f t="array" ref="DOO6">_xlfn._xlws.FILTER(TablaProductos[Nombre producto],TablaProductos[Agrupación]=ProductosPivot!DOO5)</f>
        <v>#VALUE!</v>
      </c>
      <c r="DOP6" s="68" t="e" cm="1" vm="1">
        <f t="array" ref="DOP6">_xlfn._xlws.FILTER(TablaProductos[Nombre producto],TablaProductos[Agrupación]=ProductosPivot!DOP5)</f>
        <v>#VALUE!</v>
      </c>
      <c r="DOQ6" s="68" t="e" cm="1" vm="1">
        <f t="array" ref="DOQ6">_xlfn._xlws.FILTER(TablaProductos[Nombre producto],TablaProductos[Agrupación]=ProductosPivot!DOQ5)</f>
        <v>#VALUE!</v>
      </c>
      <c r="DOR6" s="68" t="e" cm="1" vm="1">
        <f t="array" ref="DOR6">_xlfn._xlws.FILTER(TablaProductos[Nombre producto],TablaProductos[Agrupación]=ProductosPivot!DOR5)</f>
        <v>#VALUE!</v>
      </c>
      <c r="DOS6" s="68" t="e" cm="1" vm="1">
        <f t="array" ref="DOS6">_xlfn._xlws.FILTER(TablaProductos[Nombre producto],TablaProductos[Agrupación]=ProductosPivot!DOS5)</f>
        <v>#VALUE!</v>
      </c>
      <c r="DOT6" s="68" t="e" cm="1" vm="1">
        <f t="array" ref="DOT6">_xlfn._xlws.FILTER(TablaProductos[Nombre producto],TablaProductos[Agrupación]=ProductosPivot!DOT5)</f>
        <v>#VALUE!</v>
      </c>
      <c r="DOU6" s="68" t="e" cm="1" vm="1">
        <f t="array" ref="DOU6">_xlfn._xlws.FILTER(TablaProductos[Nombre producto],TablaProductos[Agrupación]=ProductosPivot!DOU5)</f>
        <v>#VALUE!</v>
      </c>
      <c r="DOV6" s="68" t="e" cm="1" vm="1">
        <f t="array" ref="DOV6">_xlfn._xlws.FILTER(TablaProductos[Nombre producto],TablaProductos[Agrupación]=ProductosPivot!DOV5)</f>
        <v>#VALUE!</v>
      </c>
      <c r="DOW6" s="68" t="e" cm="1" vm="1">
        <f t="array" ref="DOW6">_xlfn._xlws.FILTER(TablaProductos[Nombre producto],TablaProductos[Agrupación]=ProductosPivot!DOW5)</f>
        <v>#VALUE!</v>
      </c>
      <c r="DOX6" s="68" t="e" cm="1" vm="1">
        <f t="array" ref="DOX6">_xlfn._xlws.FILTER(TablaProductos[Nombre producto],TablaProductos[Agrupación]=ProductosPivot!DOX5)</f>
        <v>#VALUE!</v>
      </c>
      <c r="DOY6" s="68" t="e" cm="1" vm="1">
        <f t="array" ref="DOY6">_xlfn._xlws.FILTER(TablaProductos[Nombre producto],TablaProductos[Agrupación]=ProductosPivot!DOY5)</f>
        <v>#VALUE!</v>
      </c>
      <c r="DOZ6" s="68" t="e" cm="1" vm="1">
        <f t="array" ref="DOZ6">_xlfn._xlws.FILTER(TablaProductos[Nombre producto],TablaProductos[Agrupación]=ProductosPivot!DOZ5)</f>
        <v>#VALUE!</v>
      </c>
      <c r="DPA6" s="68" t="e" cm="1" vm="1">
        <f t="array" ref="DPA6">_xlfn._xlws.FILTER(TablaProductos[Nombre producto],TablaProductos[Agrupación]=ProductosPivot!DPA5)</f>
        <v>#VALUE!</v>
      </c>
      <c r="DPB6" s="68" t="e" cm="1" vm="1">
        <f t="array" ref="DPB6">_xlfn._xlws.FILTER(TablaProductos[Nombre producto],TablaProductos[Agrupación]=ProductosPivot!DPB5)</f>
        <v>#VALUE!</v>
      </c>
      <c r="DPC6" s="68" t="e" cm="1" vm="1">
        <f t="array" ref="DPC6">_xlfn._xlws.FILTER(TablaProductos[Nombre producto],TablaProductos[Agrupación]=ProductosPivot!DPC5)</f>
        <v>#VALUE!</v>
      </c>
      <c r="DPD6" s="68" t="e" cm="1" vm="1">
        <f t="array" ref="DPD6">_xlfn._xlws.FILTER(TablaProductos[Nombre producto],TablaProductos[Agrupación]=ProductosPivot!DPD5)</f>
        <v>#VALUE!</v>
      </c>
      <c r="DPE6" s="68" t="e" cm="1" vm="1">
        <f t="array" ref="DPE6">_xlfn._xlws.FILTER(TablaProductos[Nombre producto],TablaProductos[Agrupación]=ProductosPivot!DPE5)</f>
        <v>#VALUE!</v>
      </c>
      <c r="DPF6" s="68" t="e" cm="1" vm="1">
        <f t="array" ref="DPF6">_xlfn._xlws.FILTER(TablaProductos[Nombre producto],TablaProductos[Agrupación]=ProductosPivot!DPF5)</f>
        <v>#VALUE!</v>
      </c>
      <c r="DPG6" s="68" t="e" cm="1" vm="1">
        <f t="array" ref="DPG6">_xlfn._xlws.FILTER(TablaProductos[Nombre producto],TablaProductos[Agrupación]=ProductosPivot!DPG5)</f>
        <v>#VALUE!</v>
      </c>
      <c r="DPH6" s="68" t="e" cm="1" vm="1">
        <f t="array" ref="DPH6">_xlfn._xlws.FILTER(TablaProductos[Nombre producto],TablaProductos[Agrupación]=ProductosPivot!DPH5)</f>
        <v>#VALUE!</v>
      </c>
      <c r="DPI6" s="68" t="e" cm="1" vm="1">
        <f t="array" ref="DPI6">_xlfn._xlws.FILTER(TablaProductos[Nombre producto],TablaProductos[Agrupación]=ProductosPivot!DPI5)</f>
        <v>#VALUE!</v>
      </c>
      <c r="DPJ6" s="68" t="e" cm="1" vm="1">
        <f t="array" ref="DPJ6">_xlfn._xlws.FILTER(TablaProductos[Nombre producto],TablaProductos[Agrupación]=ProductosPivot!DPJ5)</f>
        <v>#VALUE!</v>
      </c>
      <c r="DPK6" s="68" t="e" cm="1" vm="1">
        <f t="array" ref="DPK6">_xlfn._xlws.FILTER(TablaProductos[Nombre producto],TablaProductos[Agrupación]=ProductosPivot!DPK5)</f>
        <v>#VALUE!</v>
      </c>
      <c r="DPL6" s="68" t="e" cm="1" vm="1">
        <f t="array" ref="DPL6">_xlfn._xlws.FILTER(TablaProductos[Nombre producto],TablaProductos[Agrupación]=ProductosPivot!DPL5)</f>
        <v>#VALUE!</v>
      </c>
      <c r="DPM6" s="68" t="e" cm="1" vm="1">
        <f t="array" ref="DPM6">_xlfn._xlws.FILTER(TablaProductos[Nombre producto],TablaProductos[Agrupación]=ProductosPivot!DPM5)</f>
        <v>#VALUE!</v>
      </c>
      <c r="DPN6" s="68" t="e" cm="1" vm="1">
        <f t="array" ref="DPN6">_xlfn._xlws.FILTER(TablaProductos[Nombre producto],TablaProductos[Agrupación]=ProductosPivot!DPN5)</f>
        <v>#VALUE!</v>
      </c>
      <c r="DPO6" s="68" t="e" cm="1" vm="1">
        <f t="array" ref="DPO6">_xlfn._xlws.FILTER(TablaProductos[Nombre producto],TablaProductos[Agrupación]=ProductosPivot!DPO5)</f>
        <v>#VALUE!</v>
      </c>
      <c r="DPP6" s="68" t="e" cm="1" vm="1">
        <f t="array" ref="DPP6">_xlfn._xlws.FILTER(TablaProductos[Nombre producto],TablaProductos[Agrupación]=ProductosPivot!DPP5)</f>
        <v>#VALUE!</v>
      </c>
      <c r="DPQ6" s="68" t="e" cm="1" vm="1">
        <f t="array" ref="DPQ6">_xlfn._xlws.FILTER(TablaProductos[Nombre producto],TablaProductos[Agrupación]=ProductosPivot!DPQ5)</f>
        <v>#VALUE!</v>
      </c>
      <c r="DPR6" s="68" t="e" cm="1" vm="1">
        <f t="array" ref="DPR6">_xlfn._xlws.FILTER(TablaProductos[Nombre producto],TablaProductos[Agrupación]=ProductosPivot!DPR5)</f>
        <v>#VALUE!</v>
      </c>
      <c r="DPS6" s="68" t="e" cm="1" vm="1">
        <f t="array" ref="DPS6">_xlfn._xlws.FILTER(TablaProductos[Nombre producto],TablaProductos[Agrupación]=ProductosPivot!DPS5)</f>
        <v>#VALUE!</v>
      </c>
      <c r="DPT6" s="68" t="e" cm="1" vm="1">
        <f t="array" ref="DPT6">_xlfn._xlws.FILTER(TablaProductos[Nombre producto],TablaProductos[Agrupación]=ProductosPivot!DPT5)</f>
        <v>#VALUE!</v>
      </c>
      <c r="DPU6" s="68" t="e" cm="1" vm="1">
        <f t="array" ref="DPU6">_xlfn._xlws.FILTER(TablaProductos[Nombre producto],TablaProductos[Agrupación]=ProductosPivot!DPU5)</f>
        <v>#VALUE!</v>
      </c>
      <c r="DPV6" s="68" t="e" cm="1" vm="1">
        <f t="array" ref="DPV6">_xlfn._xlws.FILTER(TablaProductos[Nombre producto],TablaProductos[Agrupación]=ProductosPivot!DPV5)</f>
        <v>#VALUE!</v>
      </c>
      <c r="DPW6" s="68" t="e" cm="1" vm="1">
        <f t="array" ref="DPW6">_xlfn._xlws.FILTER(TablaProductos[Nombre producto],TablaProductos[Agrupación]=ProductosPivot!DPW5)</f>
        <v>#VALUE!</v>
      </c>
      <c r="DPX6" s="68" t="e" cm="1" vm="1">
        <f t="array" ref="DPX6">_xlfn._xlws.FILTER(TablaProductos[Nombre producto],TablaProductos[Agrupación]=ProductosPivot!DPX5)</f>
        <v>#VALUE!</v>
      </c>
      <c r="DPY6" s="68" t="e" cm="1" vm="1">
        <f t="array" ref="DPY6">_xlfn._xlws.FILTER(TablaProductos[Nombre producto],TablaProductos[Agrupación]=ProductosPivot!DPY5)</f>
        <v>#VALUE!</v>
      </c>
      <c r="DPZ6" s="68" t="e" cm="1" vm="1">
        <f t="array" ref="DPZ6">_xlfn._xlws.FILTER(TablaProductos[Nombre producto],TablaProductos[Agrupación]=ProductosPivot!DPZ5)</f>
        <v>#VALUE!</v>
      </c>
      <c r="DQA6" s="68" t="e" cm="1" vm="1">
        <f t="array" ref="DQA6">_xlfn._xlws.FILTER(TablaProductos[Nombre producto],TablaProductos[Agrupación]=ProductosPivot!DQA5)</f>
        <v>#VALUE!</v>
      </c>
      <c r="DQB6" s="68" t="e" cm="1" vm="1">
        <f t="array" ref="DQB6">_xlfn._xlws.FILTER(TablaProductos[Nombre producto],TablaProductos[Agrupación]=ProductosPivot!DQB5)</f>
        <v>#VALUE!</v>
      </c>
      <c r="DQC6" s="68" t="e" cm="1" vm="1">
        <f t="array" ref="DQC6">_xlfn._xlws.FILTER(TablaProductos[Nombre producto],TablaProductos[Agrupación]=ProductosPivot!DQC5)</f>
        <v>#VALUE!</v>
      </c>
      <c r="DQD6" s="68" t="e" cm="1" vm="1">
        <f t="array" ref="DQD6">_xlfn._xlws.FILTER(TablaProductos[Nombre producto],TablaProductos[Agrupación]=ProductosPivot!DQD5)</f>
        <v>#VALUE!</v>
      </c>
      <c r="DQE6" s="68" t="e" cm="1" vm="1">
        <f t="array" ref="DQE6">_xlfn._xlws.FILTER(TablaProductos[Nombre producto],TablaProductos[Agrupación]=ProductosPivot!DQE5)</f>
        <v>#VALUE!</v>
      </c>
      <c r="DQF6" s="68" t="e" cm="1" vm="1">
        <f t="array" ref="DQF6">_xlfn._xlws.FILTER(TablaProductos[Nombre producto],TablaProductos[Agrupación]=ProductosPivot!DQF5)</f>
        <v>#VALUE!</v>
      </c>
      <c r="DQG6" s="68" t="e" cm="1" vm="1">
        <f t="array" ref="DQG6">_xlfn._xlws.FILTER(TablaProductos[Nombre producto],TablaProductos[Agrupación]=ProductosPivot!DQG5)</f>
        <v>#VALUE!</v>
      </c>
      <c r="DQH6" s="68" t="e" cm="1" vm="1">
        <f t="array" ref="DQH6">_xlfn._xlws.FILTER(TablaProductos[Nombre producto],TablaProductos[Agrupación]=ProductosPivot!DQH5)</f>
        <v>#VALUE!</v>
      </c>
      <c r="DQI6" s="68" t="e" cm="1" vm="1">
        <f t="array" ref="DQI6">_xlfn._xlws.FILTER(TablaProductos[Nombre producto],TablaProductos[Agrupación]=ProductosPivot!DQI5)</f>
        <v>#VALUE!</v>
      </c>
      <c r="DQJ6" s="68" t="e" cm="1" vm="1">
        <f t="array" ref="DQJ6">_xlfn._xlws.FILTER(TablaProductos[Nombre producto],TablaProductos[Agrupación]=ProductosPivot!DQJ5)</f>
        <v>#VALUE!</v>
      </c>
      <c r="DQK6" s="68" t="e" cm="1" vm="1">
        <f t="array" ref="DQK6">_xlfn._xlws.FILTER(TablaProductos[Nombre producto],TablaProductos[Agrupación]=ProductosPivot!DQK5)</f>
        <v>#VALUE!</v>
      </c>
      <c r="DQL6" s="68" t="e" cm="1" vm="1">
        <f t="array" ref="DQL6">_xlfn._xlws.FILTER(TablaProductos[Nombre producto],TablaProductos[Agrupación]=ProductosPivot!DQL5)</f>
        <v>#VALUE!</v>
      </c>
      <c r="DQM6" s="68" t="e" cm="1" vm="1">
        <f t="array" ref="DQM6">_xlfn._xlws.FILTER(TablaProductos[Nombre producto],TablaProductos[Agrupación]=ProductosPivot!DQM5)</f>
        <v>#VALUE!</v>
      </c>
      <c r="DQN6" s="68" t="e" cm="1" vm="1">
        <f t="array" ref="DQN6">_xlfn._xlws.FILTER(TablaProductos[Nombre producto],TablaProductos[Agrupación]=ProductosPivot!DQN5)</f>
        <v>#VALUE!</v>
      </c>
      <c r="DQO6" s="68" t="e" cm="1" vm="1">
        <f t="array" ref="DQO6">_xlfn._xlws.FILTER(TablaProductos[Nombre producto],TablaProductos[Agrupación]=ProductosPivot!DQO5)</f>
        <v>#VALUE!</v>
      </c>
      <c r="DQP6" s="68" t="e" cm="1" vm="1">
        <f t="array" ref="DQP6">_xlfn._xlws.FILTER(TablaProductos[Nombre producto],TablaProductos[Agrupación]=ProductosPivot!DQP5)</f>
        <v>#VALUE!</v>
      </c>
      <c r="DQQ6" s="68" t="e" cm="1" vm="1">
        <f t="array" ref="DQQ6">_xlfn._xlws.FILTER(TablaProductos[Nombre producto],TablaProductos[Agrupación]=ProductosPivot!DQQ5)</f>
        <v>#VALUE!</v>
      </c>
      <c r="DQR6" s="68" t="e" cm="1" vm="1">
        <f t="array" ref="DQR6">_xlfn._xlws.FILTER(TablaProductos[Nombre producto],TablaProductos[Agrupación]=ProductosPivot!DQR5)</f>
        <v>#VALUE!</v>
      </c>
      <c r="DQS6" s="68" t="e" cm="1" vm="1">
        <f t="array" ref="DQS6">_xlfn._xlws.FILTER(TablaProductos[Nombre producto],TablaProductos[Agrupación]=ProductosPivot!DQS5)</f>
        <v>#VALUE!</v>
      </c>
      <c r="DQT6" s="68" t="e" cm="1" vm="1">
        <f t="array" ref="DQT6">_xlfn._xlws.FILTER(TablaProductos[Nombre producto],TablaProductos[Agrupación]=ProductosPivot!DQT5)</f>
        <v>#VALUE!</v>
      </c>
      <c r="DQU6" s="68" t="e" cm="1" vm="1">
        <f t="array" ref="DQU6">_xlfn._xlws.FILTER(TablaProductos[Nombre producto],TablaProductos[Agrupación]=ProductosPivot!DQU5)</f>
        <v>#VALUE!</v>
      </c>
      <c r="DQV6" s="68" t="e" cm="1" vm="1">
        <f t="array" ref="DQV6">_xlfn._xlws.FILTER(TablaProductos[Nombre producto],TablaProductos[Agrupación]=ProductosPivot!DQV5)</f>
        <v>#VALUE!</v>
      </c>
      <c r="DQW6" s="68" t="e" cm="1" vm="1">
        <f t="array" ref="DQW6">_xlfn._xlws.FILTER(TablaProductos[Nombre producto],TablaProductos[Agrupación]=ProductosPivot!DQW5)</f>
        <v>#VALUE!</v>
      </c>
      <c r="DQX6" s="68" t="e" cm="1" vm="1">
        <f t="array" ref="DQX6">_xlfn._xlws.FILTER(TablaProductos[Nombre producto],TablaProductos[Agrupación]=ProductosPivot!DQX5)</f>
        <v>#VALUE!</v>
      </c>
      <c r="DQY6" s="68" t="e" cm="1" vm="1">
        <f t="array" ref="DQY6">_xlfn._xlws.FILTER(TablaProductos[Nombre producto],TablaProductos[Agrupación]=ProductosPivot!DQY5)</f>
        <v>#VALUE!</v>
      </c>
      <c r="DQZ6" s="68" t="e" cm="1" vm="1">
        <f t="array" ref="DQZ6">_xlfn._xlws.FILTER(TablaProductos[Nombre producto],TablaProductos[Agrupación]=ProductosPivot!DQZ5)</f>
        <v>#VALUE!</v>
      </c>
      <c r="DRA6" s="68" t="e" cm="1" vm="1">
        <f t="array" ref="DRA6">_xlfn._xlws.FILTER(TablaProductos[Nombre producto],TablaProductos[Agrupación]=ProductosPivot!DRA5)</f>
        <v>#VALUE!</v>
      </c>
      <c r="DRB6" s="68" t="e" cm="1" vm="1">
        <f t="array" ref="DRB6">_xlfn._xlws.FILTER(TablaProductos[Nombre producto],TablaProductos[Agrupación]=ProductosPivot!DRB5)</f>
        <v>#VALUE!</v>
      </c>
      <c r="DRC6" s="68" t="e" cm="1" vm="1">
        <f t="array" ref="DRC6">_xlfn._xlws.FILTER(TablaProductos[Nombre producto],TablaProductos[Agrupación]=ProductosPivot!DRC5)</f>
        <v>#VALUE!</v>
      </c>
      <c r="DRD6" s="68" t="e" cm="1" vm="1">
        <f t="array" ref="DRD6">_xlfn._xlws.FILTER(TablaProductos[Nombre producto],TablaProductos[Agrupación]=ProductosPivot!DRD5)</f>
        <v>#VALUE!</v>
      </c>
      <c r="DRE6" s="68" t="e" cm="1" vm="1">
        <f t="array" ref="DRE6">_xlfn._xlws.FILTER(TablaProductos[Nombre producto],TablaProductos[Agrupación]=ProductosPivot!DRE5)</f>
        <v>#VALUE!</v>
      </c>
      <c r="DRF6" s="68" t="e" cm="1" vm="1">
        <f t="array" ref="DRF6">_xlfn._xlws.FILTER(TablaProductos[Nombre producto],TablaProductos[Agrupación]=ProductosPivot!DRF5)</f>
        <v>#VALUE!</v>
      </c>
      <c r="DRG6" s="68" t="e" cm="1" vm="1">
        <f t="array" ref="DRG6">_xlfn._xlws.FILTER(TablaProductos[Nombre producto],TablaProductos[Agrupación]=ProductosPivot!DRG5)</f>
        <v>#VALUE!</v>
      </c>
      <c r="DRH6" s="68" t="e" cm="1" vm="1">
        <f t="array" ref="DRH6">_xlfn._xlws.FILTER(TablaProductos[Nombre producto],TablaProductos[Agrupación]=ProductosPivot!DRH5)</f>
        <v>#VALUE!</v>
      </c>
      <c r="DRI6" s="68" t="e" cm="1" vm="1">
        <f t="array" ref="DRI6">_xlfn._xlws.FILTER(TablaProductos[Nombre producto],TablaProductos[Agrupación]=ProductosPivot!DRI5)</f>
        <v>#VALUE!</v>
      </c>
      <c r="DRJ6" s="68" t="e" cm="1" vm="1">
        <f t="array" ref="DRJ6">_xlfn._xlws.FILTER(TablaProductos[Nombre producto],TablaProductos[Agrupación]=ProductosPivot!DRJ5)</f>
        <v>#VALUE!</v>
      </c>
      <c r="DRK6" s="68" t="e" cm="1" vm="1">
        <f t="array" ref="DRK6">_xlfn._xlws.FILTER(TablaProductos[Nombre producto],TablaProductos[Agrupación]=ProductosPivot!DRK5)</f>
        <v>#VALUE!</v>
      </c>
      <c r="DRL6" s="68" t="e" cm="1" vm="1">
        <f t="array" ref="DRL6">_xlfn._xlws.FILTER(TablaProductos[Nombre producto],TablaProductos[Agrupación]=ProductosPivot!DRL5)</f>
        <v>#VALUE!</v>
      </c>
      <c r="DRM6" s="68" t="e" cm="1" vm="1">
        <f t="array" ref="DRM6">_xlfn._xlws.FILTER(TablaProductos[Nombre producto],TablaProductos[Agrupación]=ProductosPivot!DRM5)</f>
        <v>#VALUE!</v>
      </c>
      <c r="DRN6" s="68" t="e" cm="1" vm="1">
        <f t="array" ref="DRN6">_xlfn._xlws.FILTER(TablaProductos[Nombre producto],TablaProductos[Agrupación]=ProductosPivot!DRN5)</f>
        <v>#VALUE!</v>
      </c>
      <c r="DRO6" s="68" t="e" cm="1" vm="1">
        <f t="array" ref="DRO6">_xlfn._xlws.FILTER(TablaProductos[Nombre producto],TablaProductos[Agrupación]=ProductosPivot!DRO5)</f>
        <v>#VALUE!</v>
      </c>
      <c r="DRP6" s="68" t="e" cm="1" vm="1">
        <f t="array" ref="DRP6">_xlfn._xlws.FILTER(TablaProductos[Nombre producto],TablaProductos[Agrupación]=ProductosPivot!DRP5)</f>
        <v>#VALUE!</v>
      </c>
      <c r="DRQ6" s="68" t="e" cm="1" vm="1">
        <f t="array" ref="DRQ6">_xlfn._xlws.FILTER(TablaProductos[Nombre producto],TablaProductos[Agrupación]=ProductosPivot!DRQ5)</f>
        <v>#VALUE!</v>
      </c>
      <c r="DRR6" s="68" t="e" cm="1" vm="1">
        <f t="array" ref="DRR6">_xlfn._xlws.FILTER(TablaProductos[Nombre producto],TablaProductos[Agrupación]=ProductosPivot!DRR5)</f>
        <v>#VALUE!</v>
      </c>
      <c r="DRS6" s="68" t="e" cm="1" vm="1">
        <f t="array" ref="DRS6">_xlfn._xlws.FILTER(TablaProductos[Nombre producto],TablaProductos[Agrupación]=ProductosPivot!DRS5)</f>
        <v>#VALUE!</v>
      </c>
      <c r="DRT6" s="68" t="e" cm="1" vm="1">
        <f t="array" ref="DRT6">_xlfn._xlws.FILTER(TablaProductos[Nombre producto],TablaProductos[Agrupación]=ProductosPivot!DRT5)</f>
        <v>#VALUE!</v>
      </c>
      <c r="DRU6" s="68" t="e" cm="1" vm="1">
        <f t="array" ref="DRU6">_xlfn._xlws.FILTER(TablaProductos[Nombre producto],TablaProductos[Agrupación]=ProductosPivot!DRU5)</f>
        <v>#VALUE!</v>
      </c>
      <c r="DRV6" s="68" t="e" cm="1" vm="1">
        <f t="array" ref="DRV6">_xlfn._xlws.FILTER(TablaProductos[Nombre producto],TablaProductos[Agrupación]=ProductosPivot!DRV5)</f>
        <v>#VALUE!</v>
      </c>
      <c r="DRW6" s="68" t="e" cm="1" vm="1">
        <f t="array" ref="DRW6">_xlfn._xlws.FILTER(TablaProductos[Nombre producto],TablaProductos[Agrupación]=ProductosPivot!DRW5)</f>
        <v>#VALUE!</v>
      </c>
      <c r="DRX6" s="68" t="e" cm="1" vm="1">
        <f t="array" ref="DRX6">_xlfn._xlws.FILTER(TablaProductos[Nombre producto],TablaProductos[Agrupación]=ProductosPivot!DRX5)</f>
        <v>#VALUE!</v>
      </c>
      <c r="DRY6" s="68" t="e" cm="1" vm="1">
        <f t="array" ref="DRY6">_xlfn._xlws.FILTER(TablaProductos[Nombre producto],TablaProductos[Agrupación]=ProductosPivot!DRY5)</f>
        <v>#VALUE!</v>
      </c>
      <c r="DRZ6" s="68" t="e" cm="1" vm="1">
        <f t="array" ref="DRZ6">_xlfn._xlws.FILTER(TablaProductos[Nombre producto],TablaProductos[Agrupación]=ProductosPivot!DRZ5)</f>
        <v>#VALUE!</v>
      </c>
      <c r="DSA6" s="68" t="e" cm="1" vm="1">
        <f t="array" ref="DSA6">_xlfn._xlws.FILTER(TablaProductos[Nombre producto],TablaProductos[Agrupación]=ProductosPivot!DSA5)</f>
        <v>#VALUE!</v>
      </c>
      <c r="DSB6" s="68" t="e" cm="1" vm="1">
        <f t="array" ref="DSB6">_xlfn._xlws.FILTER(TablaProductos[Nombre producto],TablaProductos[Agrupación]=ProductosPivot!DSB5)</f>
        <v>#VALUE!</v>
      </c>
      <c r="DSC6" s="68" t="e" cm="1" vm="1">
        <f t="array" ref="DSC6">_xlfn._xlws.FILTER(TablaProductos[Nombre producto],TablaProductos[Agrupación]=ProductosPivot!DSC5)</f>
        <v>#VALUE!</v>
      </c>
      <c r="DSD6" s="68" t="e" cm="1" vm="1">
        <f t="array" ref="DSD6">_xlfn._xlws.FILTER(TablaProductos[Nombre producto],TablaProductos[Agrupación]=ProductosPivot!DSD5)</f>
        <v>#VALUE!</v>
      </c>
      <c r="DSE6" s="68" t="e" cm="1" vm="1">
        <f t="array" ref="DSE6">_xlfn._xlws.FILTER(TablaProductos[Nombre producto],TablaProductos[Agrupación]=ProductosPivot!DSE5)</f>
        <v>#VALUE!</v>
      </c>
      <c r="DSF6" s="68" t="e" cm="1" vm="1">
        <f t="array" ref="DSF6">_xlfn._xlws.FILTER(TablaProductos[Nombre producto],TablaProductos[Agrupación]=ProductosPivot!DSF5)</f>
        <v>#VALUE!</v>
      </c>
      <c r="DSG6" s="68" t="e" cm="1" vm="1">
        <f t="array" ref="DSG6">_xlfn._xlws.FILTER(TablaProductos[Nombre producto],TablaProductos[Agrupación]=ProductosPivot!DSG5)</f>
        <v>#VALUE!</v>
      </c>
      <c r="DSH6" s="68" t="e" cm="1" vm="1">
        <f t="array" ref="DSH6">_xlfn._xlws.FILTER(TablaProductos[Nombre producto],TablaProductos[Agrupación]=ProductosPivot!DSH5)</f>
        <v>#VALUE!</v>
      </c>
      <c r="DSI6" s="68" t="e" cm="1" vm="1">
        <f t="array" ref="DSI6">_xlfn._xlws.FILTER(TablaProductos[Nombre producto],TablaProductos[Agrupación]=ProductosPivot!DSI5)</f>
        <v>#VALUE!</v>
      </c>
      <c r="DSJ6" s="68" t="e" cm="1" vm="1">
        <f t="array" ref="DSJ6">_xlfn._xlws.FILTER(TablaProductos[Nombre producto],TablaProductos[Agrupación]=ProductosPivot!DSJ5)</f>
        <v>#VALUE!</v>
      </c>
      <c r="DSK6" s="68" t="e" cm="1" vm="1">
        <f t="array" ref="DSK6">_xlfn._xlws.FILTER(TablaProductos[Nombre producto],TablaProductos[Agrupación]=ProductosPivot!DSK5)</f>
        <v>#VALUE!</v>
      </c>
      <c r="DSL6" s="68" t="e" cm="1" vm="1">
        <f t="array" ref="DSL6">_xlfn._xlws.FILTER(TablaProductos[Nombre producto],TablaProductos[Agrupación]=ProductosPivot!DSL5)</f>
        <v>#VALUE!</v>
      </c>
      <c r="DSM6" s="68" t="e" cm="1" vm="1">
        <f t="array" ref="DSM6">_xlfn._xlws.FILTER(TablaProductos[Nombre producto],TablaProductos[Agrupación]=ProductosPivot!DSM5)</f>
        <v>#VALUE!</v>
      </c>
      <c r="DSN6" s="68" t="e" cm="1" vm="1">
        <f t="array" ref="DSN6">_xlfn._xlws.FILTER(TablaProductos[Nombre producto],TablaProductos[Agrupación]=ProductosPivot!DSN5)</f>
        <v>#VALUE!</v>
      </c>
      <c r="DSO6" s="68" t="e" cm="1" vm="1">
        <f t="array" ref="DSO6">_xlfn._xlws.FILTER(TablaProductos[Nombre producto],TablaProductos[Agrupación]=ProductosPivot!DSO5)</f>
        <v>#VALUE!</v>
      </c>
      <c r="DSP6" s="68" t="e" cm="1" vm="1">
        <f t="array" ref="DSP6">_xlfn._xlws.FILTER(TablaProductos[Nombre producto],TablaProductos[Agrupación]=ProductosPivot!DSP5)</f>
        <v>#VALUE!</v>
      </c>
      <c r="DSQ6" s="68" t="e" cm="1" vm="1">
        <f t="array" ref="DSQ6">_xlfn._xlws.FILTER(TablaProductos[Nombre producto],TablaProductos[Agrupación]=ProductosPivot!DSQ5)</f>
        <v>#VALUE!</v>
      </c>
      <c r="DSR6" s="68" t="e" cm="1" vm="1">
        <f t="array" ref="DSR6">_xlfn._xlws.FILTER(TablaProductos[Nombre producto],TablaProductos[Agrupación]=ProductosPivot!DSR5)</f>
        <v>#VALUE!</v>
      </c>
      <c r="DSS6" s="68" t="e" cm="1" vm="1">
        <f t="array" ref="DSS6">_xlfn._xlws.FILTER(TablaProductos[Nombre producto],TablaProductos[Agrupación]=ProductosPivot!DSS5)</f>
        <v>#VALUE!</v>
      </c>
      <c r="DST6" s="68" t="e" cm="1" vm="1">
        <f t="array" ref="DST6">_xlfn._xlws.FILTER(TablaProductos[Nombre producto],TablaProductos[Agrupación]=ProductosPivot!DST5)</f>
        <v>#VALUE!</v>
      </c>
      <c r="DSU6" s="68" t="e" cm="1" vm="1">
        <f t="array" ref="DSU6">_xlfn._xlws.FILTER(TablaProductos[Nombre producto],TablaProductos[Agrupación]=ProductosPivot!DSU5)</f>
        <v>#VALUE!</v>
      </c>
      <c r="DSV6" s="68" t="e" cm="1" vm="1">
        <f t="array" ref="DSV6">_xlfn._xlws.FILTER(TablaProductos[Nombre producto],TablaProductos[Agrupación]=ProductosPivot!DSV5)</f>
        <v>#VALUE!</v>
      </c>
      <c r="DSW6" s="68" t="e" cm="1" vm="1">
        <f t="array" ref="DSW6">_xlfn._xlws.FILTER(TablaProductos[Nombre producto],TablaProductos[Agrupación]=ProductosPivot!DSW5)</f>
        <v>#VALUE!</v>
      </c>
      <c r="DSX6" s="68" t="e" cm="1" vm="1">
        <f t="array" ref="DSX6">_xlfn._xlws.FILTER(TablaProductos[Nombre producto],TablaProductos[Agrupación]=ProductosPivot!DSX5)</f>
        <v>#VALUE!</v>
      </c>
      <c r="DSY6" s="68" t="e" cm="1" vm="1">
        <f t="array" ref="DSY6">_xlfn._xlws.FILTER(TablaProductos[Nombre producto],TablaProductos[Agrupación]=ProductosPivot!DSY5)</f>
        <v>#VALUE!</v>
      </c>
      <c r="DSZ6" s="68" t="e" cm="1" vm="1">
        <f t="array" ref="DSZ6">_xlfn._xlws.FILTER(TablaProductos[Nombre producto],TablaProductos[Agrupación]=ProductosPivot!DSZ5)</f>
        <v>#VALUE!</v>
      </c>
      <c r="DTA6" s="68" t="e" cm="1" vm="1">
        <f t="array" ref="DTA6">_xlfn._xlws.FILTER(TablaProductos[Nombre producto],TablaProductos[Agrupación]=ProductosPivot!DTA5)</f>
        <v>#VALUE!</v>
      </c>
      <c r="DTB6" s="68" t="e" cm="1" vm="1">
        <f t="array" ref="DTB6">_xlfn._xlws.FILTER(TablaProductos[Nombre producto],TablaProductos[Agrupación]=ProductosPivot!DTB5)</f>
        <v>#VALUE!</v>
      </c>
      <c r="DTC6" s="68" t="e" cm="1" vm="1">
        <f t="array" ref="DTC6">_xlfn._xlws.FILTER(TablaProductos[Nombre producto],TablaProductos[Agrupación]=ProductosPivot!DTC5)</f>
        <v>#VALUE!</v>
      </c>
      <c r="DTD6" s="68" t="e" cm="1" vm="1">
        <f t="array" ref="DTD6">_xlfn._xlws.FILTER(TablaProductos[Nombre producto],TablaProductos[Agrupación]=ProductosPivot!DTD5)</f>
        <v>#VALUE!</v>
      </c>
      <c r="DTE6" s="68" t="e" cm="1" vm="1">
        <f t="array" ref="DTE6">_xlfn._xlws.FILTER(TablaProductos[Nombre producto],TablaProductos[Agrupación]=ProductosPivot!DTE5)</f>
        <v>#VALUE!</v>
      </c>
      <c r="DTF6" s="68" t="e" cm="1" vm="1">
        <f t="array" ref="DTF6">_xlfn._xlws.FILTER(TablaProductos[Nombre producto],TablaProductos[Agrupación]=ProductosPivot!DTF5)</f>
        <v>#VALUE!</v>
      </c>
      <c r="DTG6" s="68" t="e" cm="1" vm="1">
        <f t="array" ref="DTG6">_xlfn._xlws.FILTER(TablaProductos[Nombre producto],TablaProductos[Agrupación]=ProductosPivot!DTG5)</f>
        <v>#VALUE!</v>
      </c>
      <c r="DTH6" s="68" t="e" cm="1" vm="1">
        <f t="array" ref="DTH6">_xlfn._xlws.FILTER(TablaProductos[Nombre producto],TablaProductos[Agrupación]=ProductosPivot!DTH5)</f>
        <v>#VALUE!</v>
      </c>
      <c r="DTI6" s="68" t="e" cm="1" vm="1">
        <f t="array" ref="DTI6">_xlfn._xlws.FILTER(TablaProductos[Nombre producto],TablaProductos[Agrupación]=ProductosPivot!DTI5)</f>
        <v>#VALUE!</v>
      </c>
      <c r="DTJ6" s="68" t="e" cm="1" vm="1">
        <f t="array" ref="DTJ6">_xlfn._xlws.FILTER(TablaProductos[Nombre producto],TablaProductos[Agrupación]=ProductosPivot!DTJ5)</f>
        <v>#VALUE!</v>
      </c>
      <c r="DTK6" s="68" t="e" cm="1" vm="1">
        <f t="array" ref="DTK6">_xlfn._xlws.FILTER(TablaProductos[Nombre producto],TablaProductos[Agrupación]=ProductosPivot!DTK5)</f>
        <v>#VALUE!</v>
      </c>
      <c r="DTL6" s="68" t="e" cm="1" vm="1">
        <f t="array" ref="DTL6">_xlfn._xlws.FILTER(TablaProductos[Nombre producto],TablaProductos[Agrupación]=ProductosPivot!DTL5)</f>
        <v>#VALUE!</v>
      </c>
      <c r="DTM6" s="68" t="e" cm="1" vm="1">
        <f t="array" ref="DTM6">_xlfn._xlws.FILTER(TablaProductos[Nombre producto],TablaProductos[Agrupación]=ProductosPivot!DTM5)</f>
        <v>#VALUE!</v>
      </c>
      <c r="DTN6" s="68" t="e" cm="1" vm="1">
        <f t="array" ref="DTN6">_xlfn._xlws.FILTER(TablaProductos[Nombre producto],TablaProductos[Agrupación]=ProductosPivot!DTN5)</f>
        <v>#VALUE!</v>
      </c>
      <c r="DTO6" s="68" t="e" cm="1" vm="1">
        <f t="array" ref="DTO6">_xlfn._xlws.FILTER(TablaProductos[Nombre producto],TablaProductos[Agrupación]=ProductosPivot!DTO5)</f>
        <v>#VALUE!</v>
      </c>
      <c r="DTP6" s="68" t="e" cm="1" vm="1">
        <f t="array" ref="DTP6">_xlfn._xlws.FILTER(TablaProductos[Nombre producto],TablaProductos[Agrupación]=ProductosPivot!DTP5)</f>
        <v>#VALUE!</v>
      </c>
      <c r="DTQ6" s="68" t="e" cm="1" vm="1">
        <f t="array" ref="DTQ6">_xlfn._xlws.FILTER(TablaProductos[Nombre producto],TablaProductos[Agrupación]=ProductosPivot!DTQ5)</f>
        <v>#VALUE!</v>
      </c>
      <c r="DTR6" s="68" t="e" cm="1" vm="1">
        <f t="array" ref="DTR6">_xlfn._xlws.FILTER(TablaProductos[Nombre producto],TablaProductos[Agrupación]=ProductosPivot!DTR5)</f>
        <v>#VALUE!</v>
      </c>
      <c r="DTS6" s="68" t="e" cm="1" vm="1">
        <f t="array" ref="DTS6">_xlfn._xlws.FILTER(TablaProductos[Nombre producto],TablaProductos[Agrupación]=ProductosPivot!DTS5)</f>
        <v>#VALUE!</v>
      </c>
      <c r="DTT6" s="68" t="e" cm="1" vm="1">
        <f t="array" ref="DTT6">_xlfn._xlws.FILTER(TablaProductos[Nombre producto],TablaProductos[Agrupación]=ProductosPivot!DTT5)</f>
        <v>#VALUE!</v>
      </c>
      <c r="DTU6" s="68" t="e" cm="1" vm="1">
        <f t="array" ref="DTU6">_xlfn._xlws.FILTER(TablaProductos[Nombre producto],TablaProductos[Agrupación]=ProductosPivot!DTU5)</f>
        <v>#VALUE!</v>
      </c>
      <c r="DTV6" s="68" t="e" cm="1" vm="1">
        <f t="array" ref="DTV6">_xlfn._xlws.FILTER(TablaProductos[Nombre producto],TablaProductos[Agrupación]=ProductosPivot!DTV5)</f>
        <v>#VALUE!</v>
      </c>
      <c r="DTW6" s="68" t="e" cm="1" vm="1">
        <f t="array" ref="DTW6">_xlfn._xlws.FILTER(TablaProductos[Nombre producto],TablaProductos[Agrupación]=ProductosPivot!DTW5)</f>
        <v>#VALUE!</v>
      </c>
      <c r="DTX6" s="68" t="e" cm="1" vm="1">
        <f t="array" ref="DTX6">_xlfn._xlws.FILTER(TablaProductos[Nombre producto],TablaProductos[Agrupación]=ProductosPivot!DTX5)</f>
        <v>#VALUE!</v>
      </c>
      <c r="DTY6" s="68" t="e" cm="1" vm="1">
        <f t="array" ref="DTY6">_xlfn._xlws.FILTER(TablaProductos[Nombre producto],TablaProductos[Agrupación]=ProductosPivot!DTY5)</f>
        <v>#VALUE!</v>
      </c>
      <c r="DTZ6" s="68" t="e" cm="1" vm="1">
        <f t="array" ref="DTZ6">_xlfn._xlws.FILTER(TablaProductos[Nombre producto],TablaProductos[Agrupación]=ProductosPivot!DTZ5)</f>
        <v>#VALUE!</v>
      </c>
      <c r="DUA6" s="68" t="e" cm="1" vm="1">
        <f t="array" ref="DUA6">_xlfn._xlws.FILTER(TablaProductos[Nombre producto],TablaProductos[Agrupación]=ProductosPivot!DUA5)</f>
        <v>#VALUE!</v>
      </c>
      <c r="DUB6" s="68" t="e" cm="1" vm="1">
        <f t="array" ref="DUB6">_xlfn._xlws.FILTER(TablaProductos[Nombre producto],TablaProductos[Agrupación]=ProductosPivot!DUB5)</f>
        <v>#VALUE!</v>
      </c>
      <c r="DUC6" s="68" t="e" cm="1" vm="1">
        <f t="array" ref="DUC6">_xlfn._xlws.FILTER(TablaProductos[Nombre producto],TablaProductos[Agrupación]=ProductosPivot!DUC5)</f>
        <v>#VALUE!</v>
      </c>
      <c r="DUD6" s="68" t="e" cm="1" vm="1">
        <f t="array" ref="DUD6">_xlfn._xlws.FILTER(TablaProductos[Nombre producto],TablaProductos[Agrupación]=ProductosPivot!DUD5)</f>
        <v>#VALUE!</v>
      </c>
      <c r="DUE6" s="68" t="e" cm="1" vm="1">
        <f t="array" ref="DUE6">_xlfn._xlws.FILTER(TablaProductos[Nombre producto],TablaProductos[Agrupación]=ProductosPivot!DUE5)</f>
        <v>#VALUE!</v>
      </c>
      <c r="DUF6" s="68" t="e" cm="1" vm="1">
        <f t="array" ref="DUF6">_xlfn._xlws.FILTER(TablaProductos[Nombre producto],TablaProductos[Agrupación]=ProductosPivot!DUF5)</f>
        <v>#VALUE!</v>
      </c>
      <c r="DUG6" s="68" t="e" cm="1" vm="1">
        <f t="array" ref="DUG6">_xlfn._xlws.FILTER(TablaProductos[Nombre producto],TablaProductos[Agrupación]=ProductosPivot!DUG5)</f>
        <v>#VALUE!</v>
      </c>
      <c r="DUH6" s="68" t="e" cm="1" vm="1">
        <f t="array" ref="DUH6">_xlfn._xlws.FILTER(TablaProductos[Nombre producto],TablaProductos[Agrupación]=ProductosPivot!DUH5)</f>
        <v>#VALUE!</v>
      </c>
      <c r="DUI6" s="68" t="e" cm="1" vm="1">
        <f t="array" ref="DUI6">_xlfn._xlws.FILTER(TablaProductos[Nombre producto],TablaProductos[Agrupación]=ProductosPivot!DUI5)</f>
        <v>#VALUE!</v>
      </c>
      <c r="DUJ6" s="68" t="e" cm="1" vm="1">
        <f t="array" ref="DUJ6">_xlfn._xlws.FILTER(TablaProductos[Nombre producto],TablaProductos[Agrupación]=ProductosPivot!DUJ5)</f>
        <v>#VALUE!</v>
      </c>
      <c r="DUK6" s="68" t="e" cm="1" vm="1">
        <f t="array" ref="DUK6">_xlfn._xlws.FILTER(TablaProductos[Nombre producto],TablaProductos[Agrupación]=ProductosPivot!DUK5)</f>
        <v>#VALUE!</v>
      </c>
      <c r="DUL6" s="68" t="e" cm="1" vm="1">
        <f t="array" ref="DUL6">_xlfn._xlws.FILTER(TablaProductos[Nombre producto],TablaProductos[Agrupación]=ProductosPivot!DUL5)</f>
        <v>#VALUE!</v>
      </c>
      <c r="DUM6" s="68" t="e" cm="1" vm="1">
        <f t="array" ref="DUM6">_xlfn._xlws.FILTER(TablaProductos[Nombre producto],TablaProductos[Agrupación]=ProductosPivot!DUM5)</f>
        <v>#VALUE!</v>
      </c>
      <c r="DUN6" s="68" t="e" cm="1" vm="1">
        <f t="array" ref="DUN6">_xlfn._xlws.FILTER(TablaProductos[Nombre producto],TablaProductos[Agrupación]=ProductosPivot!DUN5)</f>
        <v>#VALUE!</v>
      </c>
      <c r="DUO6" s="68" t="e" cm="1" vm="1">
        <f t="array" ref="DUO6">_xlfn._xlws.FILTER(TablaProductos[Nombre producto],TablaProductos[Agrupación]=ProductosPivot!DUO5)</f>
        <v>#VALUE!</v>
      </c>
      <c r="DUP6" s="68" t="e" cm="1" vm="1">
        <f t="array" ref="DUP6">_xlfn._xlws.FILTER(TablaProductos[Nombre producto],TablaProductos[Agrupación]=ProductosPivot!DUP5)</f>
        <v>#VALUE!</v>
      </c>
      <c r="DUQ6" s="68" t="e" cm="1" vm="1">
        <f t="array" ref="DUQ6">_xlfn._xlws.FILTER(TablaProductos[Nombre producto],TablaProductos[Agrupación]=ProductosPivot!DUQ5)</f>
        <v>#VALUE!</v>
      </c>
      <c r="DUR6" s="68" t="e" cm="1" vm="1">
        <f t="array" ref="DUR6">_xlfn._xlws.FILTER(TablaProductos[Nombre producto],TablaProductos[Agrupación]=ProductosPivot!DUR5)</f>
        <v>#VALUE!</v>
      </c>
      <c r="DUS6" s="68" t="e" cm="1" vm="1">
        <f t="array" ref="DUS6">_xlfn._xlws.FILTER(TablaProductos[Nombre producto],TablaProductos[Agrupación]=ProductosPivot!DUS5)</f>
        <v>#VALUE!</v>
      </c>
      <c r="DUT6" s="68" t="e" cm="1" vm="1">
        <f t="array" ref="DUT6">_xlfn._xlws.FILTER(TablaProductos[Nombre producto],TablaProductos[Agrupación]=ProductosPivot!DUT5)</f>
        <v>#VALUE!</v>
      </c>
      <c r="DUU6" s="68" t="e" cm="1" vm="1">
        <f t="array" ref="DUU6">_xlfn._xlws.FILTER(TablaProductos[Nombre producto],TablaProductos[Agrupación]=ProductosPivot!DUU5)</f>
        <v>#VALUE!</v>
      </c>
      <c r="DUV6" s="68" t="e" cm="1" vm="1">
        <f t="array" ref="DUV6">_xlfn._xlws.FILTER(TablaProductos[Nombre producto],TablaProductos[Agrupación]=ProductosPivot!DUV5)</f>
        <v>#VALUE!</v>
      </c>
      <c r="DUW6" s="68" t="e" cm="1" vm="1">
        <f t="array" ref="DUW6">_xlfn._xlws.FILTER(TablaProductos[Nombre producto],TablaProductos[Agrupación]=ProductosPivot!DUW5)</f>
        <v>#VALUE!</v>
      </c>
      <c r="DUX6" s="68" t="e" cm="1" vm="1">
        <f t="array" ref="DUX6">_xlfn._xlws.FILTER(TablaProductos[Nombre producto],TablaProductos[Agrupación]=ProductosPivot!DUX5)</f>
        <v>#VALUE!</v>
      </c>
      <c r="DUY6" s="68" t="e" cm="1" vm="1">
        <f t="array" ref="DUY6">_xlfn._xlws.FILTER(TablaProductos[Nombre producto],TablaProductos[Agrupación]=ProductosPivot!DUY5)</f>
        <v>#VALUE!</v>
      </c>
      <c r="DUZ6" s="68" t="e" cm="1" vm="1">
        <f t="array" ref="DUZ6">_xlfn._xlws.FILTER(TablaProductos[Nombre producto],TablaProductos[Agrupación]=ProductosPivot!DUZ5)</f>
        <v>#VALUE!</v>
      </c>
      <c r="DVA6" s="68" t="e" cm="1" vm="1">
        <f t="array" ref="DVA6">_xlfn._xlws.FILTER(TablaProductos[Nombre producto],TablaProductos[Agrupación]=ProductosPivot!DVA5)</f>
        <v>#VALUE!</v>
      </c>
      <c r="DVB6" s="68" t="e" cm="1" vm="1">
        <f t="array" ref="DVB6">_xlfn._xlws.FILTER(TablaProductos[Nombre producto],TablaProductos[Agrupación]=ProductosPivot!DVB5)</f>
        <v>#VALUE!</v>
      </c>
      <c r="DVC6" s="68" t="e" cm="1" vm="1">
        <f t="array" ref="DVC6">_xlfn._xlws.FILTER(TablaProductos[Nombre producto],TablaProductos[Agrupación]=ProductosPivot!DVC5)</f>
        <v>#VALUE!</v>
      </c>
      <c r="DVD6" s="68" t="e" cm="1" vm="1">
        <f t="array" ref="DVD6">_xlfn._xlws.FILTER(TablaProductos[Nombre producto],TablaProductos[Agrupación]=ProductosPivot!DVD5)</f>
        <v>#VALUE!</v>
      </c>
      <c r="DVE6" s="68" t="e" cm="1" vm="1">
        <f t="array" ref="DVE6">_xlfn._xlws.FILTER(TablaProductos[Nombre producto],TablaProductos[Agrupación]=ProductosPivot!DVE5)</f>
        <v>#VALUE!</v>
      </c>
      <c r="DVF6" s="68" t="e" cm="1" vm="1">
        <f t="array" ref="DVF6">_xlfn._xlws.FILTER(TablaProductos[Nombre producto],TablaProductos[Agrupación]=ProductosPivot!DVF5)</f>
        <v>#VALUE!</v>
      </c>
      <c r="DVG6" s="68" t="e" cm="1" vm="1">
        <f t="array" ref="DVG6">_xlfn._xlws.FILTER(TablaProductos[Nombre producto],TablaProductos[Agrupación]=ProductosPivot!DVG5)</f>
        <v>#VALUE!</v>
      </c>
      <c r="DVH6" s="68" t="e" cm="1" vm="1">
        <f t="array" ref="DVH6">_xlfn._xlws.FILTER(TablaProductos[Nombre producto],TablaProductos[Agrupación]=ProductosPivot!DVH5)</f>
        <v>#VALUE!</v>
      </c>
      <c r="DVI6" s="68" t="e" cm="1" vm="1">
        <f t="array" ref="DVI6">_xlfn._xlws.FILTER(TablaProductos[Nombre producto],TablaProductos[Agrupación]=ProductosPivot!DVI5)</f>
        <v>#VALUE!</v>
      </c>
      <c r="DVJ6" s="68" t="e" cm="1" vm="1">
        <f t="array" ref="DVJ6">_xlfn._xlws.FILTER(TablaProductos[Nombre producto],TablaProductos[Agrupación]=ProductosPivot!DVJ5)</f>
        <v>#VALUE!</v>
      </c>
      <c r="DVK6" s="68" t="e" cm="1" vm="1">
        <f t="array" ref="DVK6">_xlfn._xlws.FILTER(TablaProductos[Nombre producto],TablaProductos[Agrupación]=ProductosPivot!DVK5)</f>
        <v>#VALUE!</v>
      </c>
      <c r="DVL6" s="68" t="e" cm="1" vm="1">
        <f t="array" ref="DVL6">_xlfn._xlws.FILTER(TablaProductos[Nombre producto],TablaProductos[Agrupación]=ProductosPivot!DVL5)</f>
        <v>#VALUE!</v>
      </c>
      <c r="DVM6" s="68" t="e" cm="1" vm="1">
        <f t="array" ref="DVM6">_xlfn._xlws.FILTER(TablaProductos[Nombre producto],TablaProductos[Agrupación]=ProductosPivot!DVM5)</f>
        <v>#VALUE!</v>
      </c>
      <c r="DVN6" s="68" t="e" cm="1" vm="1">
        <f t="array" ref="DVN6">_xlfn._xlws.FILTER(TablaProductos[Nombre producto],TablaProductos[Agrupación]=ProductosPivot!DVN5)</f>
        <v>#VALUE!</v>
      </c>
      <c r="DVO6" s="68" t="e" cm="1" vm="1">
        <f t="array" ref="DVO6">_xlfn._xlws.FILTER(TablaProductos[Nombre producto],TablaProductos[Agrupación]=ProductosPivot!DVO5)</f>
        <v>#VALUE!</v>
      </c>
      <c r="DVP6" s="68" t="e" cm="1" vm="1">
        <f t="array" ref="DVP6">_xlfn._xlws.FILTER(TablaProductos[Nombre producto],TablaProductos[Agrupación]=ProductosPivot!DVP5)</f>
        <v>#VALUE!</v>
      </c>
      <c r="DVQ6" s="68" t="e" cm="1" vm="1">
        <f t="array" ref="DVQ6">_xlfn._xlws.FILTER(TablaProductos[Nombre producto],TablaProductos[Agrupación]=ProductosPivot!DVQ5)</f>
        <v>#VALUE!</v>
      </c>
      <c r="DVR6" s="68" t="e" cm="1" vm="1">
        <f t="array" ref="DVR6">_xlfn._xlws.FILTER(TablaProductos[Nombre producto],TablaProductos[Agrupación]=ProductosPivot!DVR5)</f>
        <v>#VALUE!</v>
      </c>
      <c r="DVS6" s="68" t="e" cm="1" vm="1">
        <f t="array" ref="DVS6">_xlfn._xlws.FILTER(TablaProductos[Nombre producto],TablaProductos[Agrupación]=ProductosPivot!DVS5)</f>
        <v>#VALUE!</v>
      </c>
      <c r="DVT6" s="68" t="e" cm="1" vm="1">
        <f t="array" ref="DVT6">_xlfn._xlws.FILTER(TablaProductos[Nombre producto],TablaProductos[Agrupación]=ProductosPivot!DVT5)</f>
        <v>#VALUE!</v>
      </c>
      <c r="DVU6" s="68" t="e" cm="1" vm="1">
        <f t="array" ref="DVU6">_xlfn._xlws.FILTER(TablaProductos[Nombre producto],TablaProductos[Agrupación]=ProductosPivot!DVU5)</f>
        <v>#VALUE!</v>
      </c>
      <c r="DVV6" s="68" t="e" cm="1" vm="1">
        <f t="array" ref="DVV6">_xlfn._xlws.FILTER(TablaProductos[Nombre producto],TablaProductos[Agrupación]=ProductosPivot!DVV5)</f>
        <v>#VALUE!</v>
      </c>
      <c r="DVW6" s="68" t="e" cm="1" vm="1">
        <f t="array" ref="DVW6">_xlfn._xlws.FILTER(TablaProductos[Nombre producto],TablaProductos[Agrupación]=ProductosPivot!DVW5)</f>
        <v>#VALUE!</v>
      </c>
      <c r="DVX6" s="68" t="e" cm="1" vm="1">
        <f t="array" ref="DVX6">_xlfn._xlws.FILTER(TablaProductos[Nombre producto],TablaProductos[Agrupación]=ProductosPivot!DVX5)</f>
        <v>#VALUE!</v>
      </c>
      <c r="DVY6" s="68" t="e" cm="1" vm="1">
        <f t="array" ref="DVY6">_xlfn._xlws.FILTER(TablaProductos[Nombre producto],TablaProductos[Agrupación]=ProductosPivot!DVY5)</f>
        <v>#VALUE!</v>
      </c>
      <c r="DVZ6" s="68" t="e" cm="1" vm="1">
        <f t="array" ref="DVZ6">_xlfn._xlws.FILTER(TablaProductos[Nombre producto],TablaProductos[Agrupación]=ProductosPivot!DVZ5)</f>
        <v>#VALUE!</v>
      </c>
      <c r="DWA6" s="68" t="e" cm="1" vm="1">
        <f t="array" ref="DWA6">_xlfn._xlws.FILTER(TablaProductos[Nombre producto],TablaProductos[Agrupación]=ProductosPivot!DWA5)</f>
        <v>#VALUE!</v>
      </c>
      <c r="DWB6" s="68" t="e" cm="1" vm="1">
        <f t="array" ref="DWB6">_xlfn._xlws.FILTER(TablaProductos[Nombre producto],TablaProductos[Agrupación]=ProductosPivot!DWB5)</f>
        <v>#VALUE!</v>
      </c>
      <c r="DWC6" s="68" t="e" cm="1" vm="1">
        <f t="array" ref="DWC6">_xlfn._xlws.FILTER(TablaProductos[Nombre producto],TablaProductos[Agrupación]=ProductosPivot!DWC5)</f>
        <v>#VALUE!</v>
      </c>
      <c r="DWD6" s="68" t="e" cm="1" vm="1">
        <f t="array" ref="DWD6">_xlfn._xlws.FILTER(TablaProductos[Nombre producto],TablaProductos[Agrupación]=ProductosPivot!DWD5)</f>
        <v>#VALUE!</v>
      </c>
      <c r="DWE6" s="68" t="e" cm="1" vm="1">
        <f t="array" ref="DWE6">_xlfn._xlws.FILTER(TablaProductos[Nombre producto],TablaProductos[Agrupación]=ProductosPivot!DWE5)</f>
        <v>#VALUE!</v>
      </c>
      <c r="DWF6" s="68" t="e" cm="1" vm="1">
        <f t="array" ref="DWF6">_xlfn._xlws.FILTER(TablaProductos[Nombre producto],TablaProductos[Agrupación]=ProductosPivot!DWF5)</f>
        <v>#VALUE!</v>
      </c>
      <c r="DWG6" s="68" t="e" cm="1" vm="1">
        <f t="array" ref="DWG6">_xlfn._xlws.FILTER(TablaProductos[Nombre producto],TablaProductos[Agrupación]=ProductosPivot!DWG5)</f>
        <v>#VALUE!</v>
      </c>
      <c r="DWH6" s="68" t="e" cm="1" vm="1">
        <f t="array" ref="DWH6">_xlfn._xlws.FILTER(TablaProductos[Nombre producto],TablaProductos[Agrupación]=ProductosPivot!DWH5)</f>
        <v>#VALUE!</v>
      </c>
      <c r="DWI6" s="68" t="e" cm="1" vm="1">
        <f t="array" ref="DWI6">_xlfn._xlws.FILTER(TablaProductos[Nombre producto],TablaProductos[Agrupación]=ProductosPivot!DWI5)</f>
        <v>#VALUE!</v>
      </c>
      <c r="DWJ6" s="68" t="e" cm="1" vm="1">
        <f t="array" ref="DWJ6">_xlfn._xlws.FILTER(TablaProductos[Nombre producto],TablaProductos[Agrupación]=ProductosPivot!DWJ5)</f>
        <v>#VALUE!</v>
      </c>
      <c r="DWK6" s="68" t="e" cm="1" vm="1">
        <f t="array" ref="DWK6">_xlfn._xlws.FILTER(TablaProductos[Nombre producto],TablaProductos[Agrupación]=ProductosPivot!DWK5)</f>
        <v>#VALUE!</v>
      </c>
      <c r="DWL6" s="68" t="e" cm="1" vm="1">
        <f t="array" ref="DWL6">_xlfn._xlws.FILTER(TablaProductos[Nombre producto],TablaProductos[Agrupación]=ProductosPivot!DWL5)</f>
        <v>#VALUE!</v>
      </c>
      <c r="DWM6" s="68" t="e" cm="1" vm="1">
        <f t="array" ref="DWM6">_xlfn._xlws.FILTER(TablaProductos[Nombre producto],TablaProductos[Agrupación]=ProductosPivot!DWM5)</f>
        <v>#VALUE!</v>
      </c>
      <c r="DWN6" s="68" t="e" cm="1" vm="1">
        <f t="array" ref="DWN6">_xlfn._xlws.FILTER(TablaProductos[Nombre producto],TablaProductos[Agrupación]=ProductosPivot!DWN5)</f>
        <v>#VALUE!</v>
      </c>
      <c r="DWO6" s="68" t="e" cm="1" vm="1">
        <f t="array" ref="DWO6">_xlfn._xlws.FILTER(TablaProductos[Nombre producto],TablaProductos[Agrupación]=ProductosPivot!DWO5)</f>
        <v>#VALUE!</v>
      </c>
      <c r="DWP6" s="68" t="e" cm="1" vm="1">
        <f t="array" ref="DWP6">_xlfn._xlws.FILTER(TablaProductos[Nombre producto],TablaProductos[Agrupación]=ProductosPivot!DWP5)</f>
        <v>#VALUE!</v>
      </c>
      <c r="DWQ6" s="68" t="e" cm="1" vm="1">
        <f t="array" ref="DWQ6">_xlfn._xlws.FILTER(TablaProductos[Nombre producto],TablaProductos[Agrupación]=ProductosPivot!DWQ5)</f>
        <v>#VALUE!</v>
      </c>
      <c r="DWR6" s="68" t="e" cm="1" vm="1">
        <f t="array" ref="DWR6">_xlfn._xlws.FILTER(TablaProductos[Nombre producto],TablaProductos[Agrupación]=ProductosPivot!DWR5)</f>
        <v>#VALUE!</v>
      </c>
      <c r="DWS6" s="68" t="e" cm="1" vm="1">
        <f t="array" ref="DWS6">_xlfn._xlws.FILTER(TablaProductos[Nombre producto],TablaProductos[Agrupación]=ProductosPivot!DWS5)</f>
        <v>#VALUE!</v>
      </c>
      <c r="DWT6" s="68" t="e" cm="1" vm="1">
        <f t="array" ref="DWT6">_xlfn._xlws.FILTER(TablaProductos[Nombre producto],TablaProductos[Agrupación]=ProductosPivot!DWT5)</f>
        <v>#VALUE!</v>
      </c>
      <c r="DWU6" s="68" t="e" cm="1" vm="1">
        <f t="array" ref="DWU6">_xlfn._xlws.FILTER(TablaProductos[Nombre producto],TablaProductos[Agrupación]=ProductosPivot!DWU5)</f>
        <v>#VALUE!</v>
      </c>
      <c r="DWV6" s="68" t="e" cm="1" vm="1">
        <f t="array" ref="DWV6">_xlfn._xlws.FILTER(TablaProductos[Nombre producto],TablaProductos[Agrupación]=ProductosPivot!DWV5)</f>
        <v>#VALUE!</v>
      </c>
      <c r="DWW6" s="68" t="e" cm="1" vm="1">
        <f t="array" ref="DWW6">_xlfn._xlws.FILTER(TablaProductos[Nombre producto],TablaProductos[Agrupación]=ProductosPivot!DWW5)</f>
        <v>#VALUE!</v>
      </c>
      <c r="DWX6" s="68" t="e" cm="1" vm="1">
        <f t="array" ref="DWX6">_xlfn._xlws.FILTER(TablaProductos[Nombre producto],TablaProductos[Agrupación]=ProductosPivot!DWX5)</f>
        <v>#VALUE!</v>
      </c>
      <c r="DWY6" s="68" t="e" cm="1" vm="1">
        <f t="array" ref="DWY6">_xlfn._xlws.FILTER(TablaProductos[Nombre producto],TablaProductos[Agrupación]=ProductosPivot!DWY5)</f>
        <v>#VALUE!</v>
      </c>
      <c r="DWZ6" s="68" t="e" cm="1" vm="1">
        <f t="array" ref="DWZ6">_xlfn._xlws.FILTER(TablaProductos[Nombre producto],TablaProductos[Agrupación]=ProductosPivot!DWZ5)</f>
        <v>#VALUE!</v>
      </c>
      <c r="DXA6" s="68" t="e" cm="1" vm="1">
        <f t="array" ref="DXA6">_xlfn._xlws.FILTER(TablaProductos[Nombre producto],TablaProductos[Agrupación]=ProductosPivot!DXA5)</f>
        <v>#VALUE!</v>
      </c>
      <c r="DXB6" s="68" t="e" cm="1" vm="1">
        <f t="array" ref="DXB6">_xlfn._xlws.FILTER(TablaProductos[Nombre producto],TablaProductos[Agrupación]=ProductosPivot!DXB5)</f>
        <v>#VALUE!</v>
      </c>
      <c r="DXC6" s="68" t="e" cm="1" vm="1">
        <f t="array" ref="DXC6">_xlfn._xlws.FILTER(TablaProductos[Nombre producto],TablaProductos[Agrupación]=ProductosPivot!DXC5)</f>
        <v>#VALUE!</v>
      </c>
      <c r="DXD6" s="68" t="e" cm="1" vm="1">
        <f t="array" ref="DXD6">_xlfn._xlws.FILTER(TablaProductos[Nombre producto],TablaProductos[Agrupación]=ProductosPivot!DXD5)</f>
        <v>#VALUE!</v>
      </c>
      <c r="DXE6" s="68" t="e" cm="1" vm="1">
        <f t="array" ref="DXE6">_xlfn._xlws.FILTER(TablaProductos[Nombre producto],TablaProductos[Agrupación]=ProductosPivot!DXE5)</f>
        <v>#VALUE!</v>
      </c>
      <c r="DXF6" s="68" t="e" cm="1" vm="1">
        <f t="array" ref="DXF6">_xlfn._xlws.FILTER(TablaProductos[Nombre producto],TablaProductos[Agrupación]=ProductosPivot!DXF5)</f>
        <v>#VALUE!</v>
      </c>
      <c r="DXG6" s="68" t="e" cm="1" vm="1">
        <f t="array" ref="DXG6">_xlfn._xlws.FILTER(TablaProductos[Nombre producto],TablaProductos[Agrupación]=ProductosPivot!DXG5)</f>
        <v>#VALUE!</v>
      </c>
      <c r="DXH6" s="68" t="e" cm="1" vm="1">
        <f t="array" ref="DXH6">_xlfn._xlws.FILTER(TablaProductos[Nombre producto],TablaProductos[Agrupación]=ProductosPivot!DXH5)</f>
        <v>#VALUE!</v>
      </c>
      <c r="DXI6" s="68" t="e" cm="1" vm="1">
        <f t="array" ref="DXI6">_xlfn._xlws.FILTER(TablaProductos[Nombre producto],TablaProductos[Agrupación]=ProductosPivot!DXI5)</f>
        <v>#VALUE!</v>
      </c>
      <c r="DXJ6" s="68" t="e" cm="1" vm="1">
        <f t="array" ref="DXJ6">_xlfn._xlws.FILTER(TablaProductos[Nombre producto],TablaProductos[Agrupación]=ProductosPivot!DXJ5)</f>
        <v>#VALUE!</v>
      </c>
      <c r="DXK6" s="68" t="e" cm="1" vm="1">
        <f t="array" ref="DXK6">_xlfn._xlws.FILTER(TablaProductos[Nombre producto],TablaProductos[Agrupación]=ProductosPivot!DXK5)</f>
        <v>#VALUE!</v>
      </c>
      <c r="DXL6" s="68" t="e" cm="1" vm="1">
        <f t="array" ref="DXL6">_xlfn._xlws.FILTER(TablaProductos[Nombre producto],TablaProductos[Agrupación]=ProductosPivot!DXL5)</f>
        <v>#VALUE!</v>
      </c>
      <c r="DXM6" s="68" t="e" cm="1" vm="1">
        <f t="array" ref="DXM6">_xlfn._xlws.FILTER(TablaProductos[Nombre producto],TablaProductos[Agrupación]=ProductosPivot!DXM5)</f>
        <v>#VALUE!</v>
      </c>
      <c r="DXN6" s="68" t="e" cm="1" vm="1">
        <f t="array" ref="DXN6">_xlfn._xlws.FILTER(TablaProductos[Nombre producto],TablaProductos[Agrupación]=ProductosPivot!DXN5)</f>
        <v>#VALUE!</v>
      </c>
      <c r="DXO6" s="68" t="e" cm="1" vm="1">
        <f t="array" ref="DXO6">_xlfn._xlws.FILTER(TablaProductos[Nombre producto],TablaProductos[Agrupación]=ProductosPivot!DXO5)</f>
        <v>#VALUE!</v>
      </c>
      <c r="DXP6" s="68" t="e" cm="1" vm="1">
        <f t="array" ref="DXP6">_xlfn._xlws.FILTER(TablaProductos[Nombre producto],TablaProductos[Agrupación]=ProductosPivot!DXP5)</f>
        <v>#VALUE!</v>
      </c>
      <c r="DXQ6" s="68" t="e" cm="1" vm="1">
        <f t="array" ref="DXQ6">_xlfn._xlws.FILTER(TablaProductos[Nombre producto],TablaProductos[Agrupación]=ProductosPivot!DXQ5)</f>
        <v>#VALUE!</v>
      </c>
      <c r="DXR6" s="68" t="e" cm="1" vm="1">
        <f t="array" ref="DXR6">_xlfn._xlws.FILTER(TablaProductos[Nombre producto],TablaProductos[Agrupación]=ProductosPivot!DXR5)</f>
        <v>#VALUE!</v>
      </c>
      <c r="DXS6" s="68" t="e" cm="1" vm="1">
        <f t="array" ref="DXS6">_xlfn._xlws.FILTER(TablaProductos[Nombre producto],TablaProductos[Agrupación]=ProductosPivot!DXS5)</f>
        <v>#VALUE!</v>
      </c>
      <c r="DXT6" s="68" t="e" cm="1" vm="1">
        <f t="array" ref="DXT6">_xlfn._xlws.FILTER(TablaProductos[Nombre producto],TablaProductos[Agrupación]=ProductosPivot!DXT5)</f>
        <v>#VALUE!</v>
      </c>
      <c r="DXU6" s="68" t="e" cm="1" vm="1">
        <f t="array" ref="DXU6">_xlfn._xlws.FILTER(TablaProductos[Nombre producto],TablaProductos[Agrupación]=ProductosPivot!DXU5)</f>
        <v>#VALUE!</v>
      </c>
      <c r="DXV6" s="68" t="e" cm="1" vm="1">
        <f t="array" ref="DXV6">_xlfn._xlws.FILTER(TablaProductos[Nombre producto],TablaProductos[Agrupación]=ProductosPivot!DXV5)</f>
        <v>#VALUE!</v>
      </c>
      <c r="DXW6" s="68" t="e" cm="1" vm="1">
        <f t="array" ref="DXW6">_xlfn._xlws.FILTER(TablaProductos[Nombre producto],TablaProductos[Agrupación]=ProductosPivot!DXW5)</f>
        <v>#VALUE!</v>
      </c>
      <c r="DXX6" s="68" t="e" cm="1" vm="1">
        <f t="array" ref="DXX6">_xlfn._xlws.FILTER(TablaProductos[Nombre producto],TablaProductos[Agrupación]=ProductosPivot!DXX5)</f>
        <v>#VALUE!</v>
      </c>
      <c r="DXY6" s="68" t="e" cm="1" vm="1">
        <f t="array" ref="DXY6">_xlfn._xlws.FILTER(TablaProductos[Nombre producto],TablaProductos[Agrupación]=ProductosPivot!DXY5)</f>
        <v>#VALUE!</v>
      </c>
      <c r="DXZ6" s="68" t="e" cm="1" vm="1">
        <f t="array" ref="DXZ6">_xlfn._xlws.FILTER(TablaProductos[Nombre producto],TablaProductos[Agrupación]=ProductosPivot!DXZ5)</f>
        <v>#VALUE!</v>
      </c>
      <c r="DYA6" s="68" t="e" cm="1" vm="1">
        <f t="array" ref="DYA6">_xlfn._xlws.FILTER(TablaProductos[Nombre producto],TablaProductos[Agrupación]=ProductosPivot!DYA5)</f>
        <v>#VALUE!</v>
      </c>
      <c r="DYB6" s="68" t="e" cm="1" vm="1">
        <f t="array" ref="DYB6">_xlfn._xlws.FILTER(TablaProductos[Nombre producto],TablaProductos[Agrupación]=ProductosPivot!DYB5)</f>
        <v>#VALUE!</v>
      </c>
      <c r="DYC6" s="68" t="e" cm="1" vm="1">
        <f t="array" ref="DYC6">_xlfn._xlws.FILTER(TablaProductos[Nombre producto],TablaProductos[Agrupación]=ProductosPivot!DYC5)</f>
        <v>#VALUE!</v>
      </c>
      <c r="DYD6" s="68" t="e" cm="1" vm="1">
        <f t="array" ref="DYD6">_xlfn._xlws.FILTER(TablaProductos[Nombre producto],TablaProductos[Agrupación]=ProductosPivot!DYD5)</f>
        <v>#VALUE!</v>
      </c>
      <c r="DYE6" s="68" t="e" cm="1" vm="1">
        <f t="array" ref="DYE6">_xlfn._xlws.FILTER(TablaProductos[Nombre producto],TablaProductos[Agrupación]=ProductosPivot!DYE5)</f>
        <v>#VALUE!</v>
      </c>
      <c r="DYF6" s="68" t="e" cm="1" vm="1">
        <f t="array" ref="DYF6">_xlfn._xlws.FILTER(TablaProductos[Nombre producto],TablaProductos[Agrupación]=ProductosPivot!DYF5)</f>
        <v>#VALUE!</v>
      </c>
      <c r="DYG6" s="68" t="e" cm="1" vm="1">
        <f t="array" ref="DYG6">_xlfn._xlws.FILTER(TablaProductos[Nombre producto],TablaProductos[Agrupación]=ProductosPivot!DYG5)</f>
        <v>#VALUE!</v>
      </c>
      <c r="DYH6" s="68" t="e" cm="1" vm="1">
        <f t="array" ref="DYH6">_xlfn._xlws.FILTER(TablaProductos[Nombre producto],TablaProductos[Agrupación]=ProductosPivot!DYH5)</f>
        <v>#VALUE!</v>
      </c>
      <c r="DYI6" s="68" t="e" cm="1" vm="1">
        <f t="array" ref="DYI6">_xlfn._xlws.FILTER(TablaProductos[Nombre producto],TablaProductos[Agrupación]=ProductosPivot!DYI5)</f>
        <v>#VALUE!</v>
      </c>
      <c r="DYJ6" s="68" t="e" cm="1" vm="1">
        <f t="array" ref="DYJ6">_xlfn._xlws.FILTER(TablaProductos[Nombre producto],TablaProductos[Agrupación]=ProductosPivot!DYJ5)</f>
        <v>#VALUE!</v>
      </c>
      <c r="DYK6" s="68" t="e" cm="1" vm="1">
        <f t="array" ref="DYK6">_xlfn._xlws.FILTER(TablaProductos[Nombre producto],TablaProductos[Agrupación]=ProductosPivot!DYK5)</f>
        <v>#VALUE!</v>
      </c>
      <c r="DYL6" s="68" t="e" cm="1" vm="1">
        <f t="array" ref="DYL6">_xlfn._xlws.FILTER(TablaProductos[Nombre producto],TablaProductos[Agrupación]=ProductosPivot!DYL5)</f>
        <v>#VALUE!</v>
      </c>
      <c r="DYM6" s="68" t="e" cm="1" vm="1">
        <f t="array" ref="DYM6">_xlfn._xlws.FILTER(TablaProductos[Nombre producto],TablaProductos[Agrupación]=ProductosPivot!DYM5)</f>
        <v>#VALUE!</v>
      </c>
      <c r="DYN6" s="68" t="e" cm="1" vm="1">
        <f t="array" ref="DYN6">_xlfn._xlws.FILTER(TablaProductos[Nombre producto],TablaProductos[Agrupación]=ProductosPivot!DYN5)</f>
        <v>#VALUE!</v>
      </c>
      <c r="DYO6" s="68" t="e" cm="1" vm="1">
        <f t="array" ref="DYO6">_xlfn._xlws.FILTER(TablaProductos[Nombre producto],TablaProductos[Agrupación]=ProductosPivot!DYO5)</f>
        <v>#VALUE!</v>
      </c>
      <c r="DYP6" s="68" t="e" cm="1" vm="1">
        <f t="array" ref="DYP6">_xlfn._xlws.FILTER(TablaProductos[Nombre producto],TablaProductos[Agrupación]=ProductosPivot!DYP5)</f>
        <v>#VALUE!</v>
      </c>
      <c r="DYQ6" s="68" t="e" cm="1" vm="1">
        <f t="array" ref="DYQ6">_xlfn._xlws.FILTER(TablaProductos[Nombre producto],TablaProductos[Agrupación]=ProductosPivot!DYQ5)</f>
        <v>#VALUE!</v>
      </c>
      <c r="DYR6" s="68" t="e" cm="1" vm="1">
        <f t="array" ref="DYR6">_xlfn._xlws.FILTER(TablaProductos[Nombre producto],TablaProductos[Agrupación]=ProductosPivot!DYR5)</f>
        <v>#VALUE!</v>
      </c>
      <c r="DYS6" s="68" t="e" cm="1" vm="1">
        <f t="array" ref="DYS6">_xlfn._xlws.FILTER(TablaProductos[Nombre producto],TablaProductos[Agrupación]=ProductosPivot!DYS5)</f>
        <v>#VALUE!</v>
      </c>
      <c r="DYT6" s="68" t="e" cm="1" vm="1">
        <f t="array" ref="DYT6">_xlfn._xlws.FILTER(TablaProductos[Nombre producto],TablaProductos[Agrupación]=ProductosPivot!DYT5)</f>
        <v>#VALUE!</v>
      </c>
      <c r="DYU6" s="68" t="e" cm="1" vm="1">
        <f t="array" ref="DYU6">_xlfn._xlws.FILTER(TablaProductos[Nombre producto],TablaProductos[Agrupación]=ProductosPivot!DYU5)</f>
        <v>#VALUE!</v>
      </c>
      <c r="DYV6" s="68" t="e" cm="1" vm="1">
        <f t="array" ref="DYV6">_xlfn._xlws.FILTER(TablaProductos[Nombre producto],TablaProductos[Agrupación]=ProductosPivot!DYV5)</f>
        <v>#VALUE!</v>
      </c>
      <c r="DYW6" s="68" t="e" cm="1" vm="1">
        <f t="array" ref="DYW6">_xlfn._xlws.FILTER(TablaProductos[Nombre producto],TablaProductos[Agrupación]=ProductosPivot!DYW5)</f>
        <v>#VALUE!</v>
      </c>
      <c r="DYX6" s="68" t="e" cm="1" vm="1">
        <f t="array" ref="DYX6">_xlfn._xlws.FILTER(TablaProductos[Nombre producto],TablaProductos[Agrupación]=ProductosPivot!DYX5)</f>
        <v>#VALUE!</v>
      </c>
      <c r="DYY6" s="68" t="e" cm="1" vm="1">
        <f t="array" ref="DYY6">_xlfn._xlws.FILTER(TablaProductos[Nombre producto],TablaProductos[Agrupación]=ProductosPivot!DYY5)</f>
        <v>#VALUE!</v>
      </c>
      <c r="DYZ6" s="68" t="e" cm="1" vm="1">
        <f t="array" ref="DYZ6">_xlfn._xlws.FILTER(TablaProductos[Nombre producto],TablaProductos[Agrupación]=ProductosPivot!DYZ5)</f>
        <v>#VALUE!</v>
      </c>
      <c r="DZA6" s="68" t="e" cm="1" vm="1">
        <f t="array" ref="DZA6">_xlfn._xlws.FILTER(TablaProductos[Nombre producto],TablaProductos[Agrupación]=ProductosPivot!DZA5)</f>
        <v>#VALUE!</v>
      </c>
      <c r="DZB6" s="68" t="e" cm="1" vm="1">
        <f t="array" ref="DZB6">_xlfn._xlws.FILTER(TablaProductos[Nombre producto],TablaProductos[Agrupación]=ProductosPivot!DZB5)</f>
        <v>#VALUE!</v>
      </c>
      <c r="DZC6" s="68" t="e" cm="1" vm="1">
        <f t="array" ref="DZC6">_xlfn._xlws.FILTER(TablaProductos[Nombre producto],TablaProductos[Agrupación]=ProductosPivot!DZC5)</f>
        <v>#VALUE!</v>
      </c>
      <c r="DZD6" s="68" t="e" cm="1" vm="1">
        <f t="array" ref="DZD6">_xlfn._xlws.FILTER(TablaProductos[Nombre producto],TablaProductos[Agrupación]=ProductosPivot!DZD5)</f>
        <v>#VALUE!</v>
      </c>
      <c r="DZE6" s="68" t="e" cm="1" vm="1">
        <f t="array" ref="DZE6">_xlfn._xlws.FILTER(TablaProductos[Nombre producto],TablaProductos[Agrupación]=ProductosPivot!DZE5)</f>
        <v>#VALUE!</v>
      </c>
      <c r="DZF6" s="68" t="e" cm="1" vm="1">
        <f t="array" ref="DZF6">_xlfn._xlws.FILTER(TablaProductos[Nombre producto],TablaProductos[Agrupación]=ProductosPivot!DZF5)</f>
        <v>#VALUE!</v>
      </c>
      <c r="DZG6" s="68" t="e" cm="1" vm="1">
        <f t="array" ref="DZG6">_xlfn._xlws.FILTER(TablaProductos[Nombre producto],TablaProductos[Agrupación]=ProductosPivot!DZG5)</f>
        <v>#VALUE!</v>
      </c>
      <c r="DZH6" s="68" t="e" cm="1" vm="1">
        <f t="array" ref="DZH6">_xlfn._xlws.FILTER(TablaProductos[Nombre producto],TablaProductos[Agrupación]=ProductosPivot!DZH5)</f>
        <v>#VALUE!</v>
      </c>
      <c r="DZI6" s="68" t="e" cm="1" vm="1">
        <f t="array" ref="DZI6">_xlfn._xlws.FILTER(TablaProductos[Nombre producto],TablaProductos[Agrupación]=ProductosPivot!DZI5)</f>
        <v>#VALUE!</v>
      </c>
      <c r="DZJ6" s="68" t="e" cm="1" vm="1">
        <f t="array" ref="DZJ6">_xlfn._xlws.FILTER(TablaProductos[Nombre producto],TablaProductos[Agrupación]=ProductosPivot!DZJ5)</f>
        <v>#VALUE!</v>
      </c>
      <c r="DZK6" s="68" t="e" cm="1" vm="1">
        <f t="array" ref="DZK6">_xlfn._xlws.FILTER(TablaProductos[Nombre producto],TablaProductos[Agrupación]=ProductosPivot!DZK5)</f>
        <v>#VALUE!</v>
      </c>
      <c r="DZL6" s="68" t="e" cm="1" vm="1">
        <f t="array" ref="DZL6">_xlfn._xlws.FILTER(TablaProductos[Nombre producto],TablaProductos[Agrupación]=ProductosPivot!DZL5)</f>
        <v>#VALUE!</v>
      </c>
      <c r="DZM6" s="68" t="e" cm="1" vm="1">
        <f t="array" ref="DZM6">_xlfn._xlws.FILTER(TablaProductos[Nombre producto],TablaProductos[Agrupación]=ProductosPivot!DZM5)</f>
        <v>#VALUE!</v>
      </c>
      <c r="DZN6" s="68" t="e" cm="1" vm="1">
        <f t="array" ref="DZN6">_xlfn._xlws.FILTER(TablaProductos[Nombre producto],TablaProductos[Agrupación]=ProductosPivot!DZN5)</f>
        <v>#VALUE!</v>
      </c>
      <c r="DZO6" s="68" t="e" cm="1" vm="1">
        <f t="array" ref="DZO6">_xlfn._xlws.FILTER(TablaProductos[Nombre producto],TablaProductos[Agrupación]=ProductosPivot!DZO5)</f>
        <v>#VALUE!</v>
      </c>
      <c r="DZP6" s="68" t="e" cm="1" vm="1">
        <f t="array" ref="DZP6">_xlfn._xlws.FILTER(TablaProductos[Nombre producto],TablaProductos[Agrupación]=ProductosPivot!DZP5)</f>
        <v>#VALUE!</v>
      </c>
      <c r="DZQ6" s="68" t="e" cm="1" vm="1">
        <f t="array" ref="DZQ6">_xlfn._xlws.FILTER(TablaProductos[Nombre producto],TablaProductos[Agrupación]=ProductosPivot!DZQ5)</f>
        <v>#VALUE!</v>
      </c>
      <c r="DZR6" s="68" t="e" cm="1" vm="1">
        <f t="array" ref="DZR6">_xlfn._xlws.FILTER(TablaProductos[Nombre producto],TablaProductos[Agrupación]=ProductosPivot!DZR5)</f>
        <v>#VALUE!</v>
      </c>
      <c r="DZS6" s="68" t="e" cm="1" vm="1">
        <f t="array" ref="DZS6">_xlfn._xlws.FILTER(TablaProductos[Nombre producto],TablaProductos[Agrupación]=ProductosPivot!DZS5)</f>
        <v>#VALUE!</v>
      </c>
      <c r="DZT6" s="68" t="e" cm="1" vm="1">
        <f t="array" ref="DZT6">_xlfn._xlws.FILTER(TablaProductos[Nombre producto],TablaProductos[Agrupación]=ProductosPivot!DZT5)</f>
        <v>#VALUE!</v>
      </c>
      <c r="DZU6" s="68" t="e" cm="1" vm="1">
        <f t="array" ref="DZU6">_xlfn._xlws.FILTER(TablaProductos[Nombre producto],TablaProductos[Agrupación]=ProductosPivot!DZU5)</f>
        <v>#VALUE!</v>
      </c>
      <c r="DZV6" s="68" t="e" cm="1" vm="1">
        <f t="array" ref="DZV6">_xlfn._xlws.FILTER(TablaProductos[Nombre producto],TablaProductos[Agrupación]=ProductosPivot!DZV5)</f>
        <v>#VALUE!</v>
      </c>
      <c r="DZW6" s="68" t="e" cm="1" vm="1">
        <f t="array" ref="DZW6">_xlfn._xlws.FILTER(TablaProductos[Nombre producto],TablaProductos[Agrupación]=ProductosPivot!DZW5)</f>
        <v>#VALUE!</v>
      </c>
      <c r="DZX6" s="68" t="e" cm="1" vm="1">
        <f t="array" ref="DZX6">_xlfn._xlws.FILTER(TablaProductos[Nombre producto],TablaProductos[Agrupación]=ProductosPivot!DZX5)</f>
        <v>#VALUE!</v>
      </c>
      <c r="DZY6" s="68" t="e" cm="1" vm="1">
        <f t="array" ref="DZY6">_xlfn._xlws.FILTER(TablaProductos[Nombre producto],TablaProductos[Agrupación]=ProductosPivot!DZY5)</f>
        <v>#VALUE!</v>
      </c>
      <c r="DZZ6" s="68" t="e" cm="1" vm="1">
        <f t="array" ref="DZZ6">_xlfn._xlws.FILTER(TablaProductos[Nombre producto],TablaProductos[Agrupación]=ProductosPivot!DZZ5)</f>
        <v>#VALUE!</v>
      </c>
      <c r="EAA6" s="68" t="e" cm="1" vm="1">
        <f t="array" ref="EAA6">_xlfn._xlws.FILTER(TablaProductos[Nombre producto],TablaProductos[Agrupación]=ProductosPivot!EAA5)</f>
        <v>#VALUE!</v>
      </c>
      <c r="EAB6" s="68" t="e" cm="1" vm="1">
        <f t="array" ref="EAB6">_xlfn._xlws.FILTER(TablaProductos[Nombre producto],TablaProductos[Agrupación]=ProductosPivot!EAB5)</f>
        <v>#VALUE!</v>
      </c>
      <c r="EAC6" s="68" t="e" cm="1" vm="1">
        <f t="array" ref="EAC6">_xlfn._xlws.FILTER(TablaProductos[Nombre producto],TablaProductos[Agrupación]=ProductosPivot!EAC5)</f>
        <v>#VALUE!</v>
      </c>
      <c r="EAD6" s="68" t="e" cm="1" vm="1">
        <f t="array" ref="EAD6">_xlfn._xlws.FILTER(TablaProductos[Nombre producto],TablaProductos[Agrupación]=ProductosPivot!EAD5)</f>
        <v>#VALUE!</v>
      </c>
      <c r="EAE6" s="68" t="e" cm="1" vm="1">
        <f t="array" ref="EAE6">_xlfn._xlws.FILTER(TablaProductos[Nombre producto],TablaProductos[Agrupación]=ProductosPivot!EAE5)</f>
        <v>#VALUE!</v>
      </c>
      <c r="EAF6" s="68" t="e" cm="1" vm="1">
        <f t="array" ref="EAF6">_xlfn._xlws.FILTER(TablaProductos[Nombre producto],TablaProductos[Agrupación]=ProductosPivot!EAF5)</f>
        <v>#VALUE!</v>
      </c>
      <c r="EAG6" s="68" t="e" cm="1" vm="1">
        <f t="array" ref="EAG6">_xlfn._xlws.FILTER(TablaProductos[Nombre producto],TablaProductos[Agrupación]=ProductosPivot!EAG5)</f>
        <v>#VALUE!</v>
      </c>
      <c r="EAH6" s="68" t="e" cm="1" vm="1">
        <f t="array" ref="EAH6">_xlfn._xlws.FILTER(TablaProductos[Nombre producto],TablaProductos[Agrupación]=ProductosPivot!EAH5)</f>
        <v>#VALUE!</v>
      </c>
      <c r="EAI6" s="68" t="e" cm="1" vm="1">
        <f t="array" ref="EAI6">_xlfn._xlws.FILTER(TablaProductos[Nombre producto],TablaProductos[Agrupación]=ProductosPivot!EAI5)</f>
        <v>#VALUE!</v>
      </c>
      <c r="EAJ6" s="68" t="e" cm="1" vm="1">
        <f t="array" ref="EAJ6">_xlfn._xlws.FILTER(TablaProductos[Nombre producto],TablaProductos[Agrupación]=ProductosPivot!EAJ5)</f>
        <v>#VALUE!</v>
      </c>
      <c r="EAK6" s="68" t="e" cm="1" vm="1">
        <f t="array" ref="EAK6">_xlfn._xlws.FILTER(TablaProductos[Nombre producto],TablaProductos[Agrupación]=ProductosPivot!EAK5)</f>
        <v>#VALUE!</v>
      </c>
      <c r="EAL6" s="68" t="e" cm="1" vm="1">
        <f t="array" ref="EAL6">_xlfn._xlws.FILTER(TablaProductos[Nombre producto],TablaProductos[Agrupación]=ProductosPivot!EAL5)</f>
        <v>#VALUE!</v>
      </c>
      <c r="EAM6" s="68" t="e" cm="1" vm="1">
        <f t="array" ref="EAM6">_xlfn._xlws.FILTER(TablaProductos[Nombre producto],TablaProductos[Agrupación]=ProductosPivot!EAM5)</f>
        <v>#VALUE!</v>
      </c>
      <c r="EAN6" s="68" t="e" cm="1" vm="1">
        <f t="array" ref="EAN6">_xlfn._xlws.FILTER(TablaProductos[Nombre producto],TablaProductos[Agrupación]=ProductosPivot!EAN5)</f>
        <v>#VALUE!</v>
      </c>
      <c r="EAO6" s="68" t="e" cm="1" vm="1">
        <f t="array" ref="EAO6">_xlfn._xlws.FILTER(TablaProductos[Nombre producto],TablaProductos[Agrupación]=ProductosPivot!EAO5)</f>
        <v>#VALUE!</v>
      </c>
      <c r="EAP6" s="68" t="e" cm="1" vm="1">
        <f t="array" ref="EAP6">_xlfn._xlws.FILTER(TablaProductos[Nombre producto],TablaProductos[Agrupación]=ProductosPivot!EAP5)</f>
        <v>#VALUE!</v>
      </c>
      <c r="EAQ6" s="68" t="e" cm="1" vm="1">
        <f t="array" ref="EAQ6">_xlfn._xlws.FILTER(TablaProductos[Nombre producto],TablaProductos[Agrupación]=ProductosPivot!EAQ5)</f>
        <v>#VALUE!</v>
      </c>
      <c r="EAR6" s="68" t="e" cm="1" vm="1">
        <f t="array" ref="EAR6">_xlfn._xlws.FILTER(TablaProductos[Nombre producto],TablaProductos[Agrupación]=ProductosPivot!EAR5)</f>
        <v>#VALUE!</v>
      </c>
      <c r="EAS6" s="68" t="e" cm="1" vm="1">
        <f t="array" ref="EAS6">_xlfn._xlws.FILTER(TablaProductos[Nombre producto],TablaProductos[Agrupación]=ProductosPivot!EAS5)</f>
        <v>#VALUE!</v>
      </c>
      <c r="EAT6" s="68" t="e" cm="1" vm="1">
        <f t="array" ref="EAT6">_xlfn._xlws.FILTER(TablaProductos[Nombre producto],TablaProductos[Agrupación]=ProductosPivot!EAT5)</f>
        <v>#VALUE!</v>
      </c>
      <c r="EAU6" s="68" t="e" cm="1" vm="1">
        <f t="array" ref="EAU6">_xlfn._xlws.FILTER(TablaProductos[Nombre producto],TablaProductos[Agrupación]=ProductosPivot!EAU5)</f>
        <v>#VALUE!</v>
      </c>
      <c r="EAV6" s="68" t="e" cm="1" vm="1">
        <f t="array" ref="EAV6">_xlfn._xlws.FILTER(TablaProductos[Nombre producto],TablaProductos[Agrupación]=ProductosPivot!EAV5)</f>
        <v>#VALUE!</v>
      </c>
      <c r="EAW6" s="68" t="e" cm="1" vm="1">
        <f t="array" ref="EAW6">_xlfn._xlws.FILTER(TablaProductos[Nombre producto],TablaProductos[Agrupación]=ProductosPivot!EAW5)</f>
        <v>#VALUE!</v>
      </c>
      <c r="EAX6" s="68" t="e" cm="1" vm="1">
        <f t="array" ref="EAX6">_xlfn._xlws.FILTER(TablaProductos[Nombre producto],TablaProductos[Agrupación]=ProductosPivot!EAX5)</f>
        <v>#VALUE!</v>
      </c>
      <c r="EAY6" s="68" t="e" cm="1" vm="1">
        <f t="array" ref="EAY6">_xlfn._xlws.FILTER(TablaProductos[Nombre producto],TablaProductos[Agrupación]=ProductosPivot!EAY5)</f>
        <v>#VALUE!</v>
      </c>
      <c r="EAZ6" s="68" t="e" cm="1" vm="1">
        <f t="array" ref="EAZ6">_xlfn._xlws.FILTER(TablaProductos[Nombre producto],TablaProductos[Agrupación]=ProductosPivot!EAZ5)</f>
        <v>#VALUE!</v>
      </c>
      <c r="EBA6" s="68" t="e" cm="1" vm="1">
        <f t="array" ref="EBA6">_xlfn._xlws.FILTER(TablaProductos[Nombre producto],TablaProductos[Agrupación]=ProductosPivot!EBA5)</f>
        <v>#VALUE!</v>
      </c>
      <c r="EBB6" s="68" t="e" cm="1" vm="1">
        <f t="array" ref="EBB6">_xlfn._xlws.FILTER(TablaProductos[Nombre producto],TablaProductos[Agrupación]=ProductosPivot!EBB5)</f>
        <v>#VALUE!</v>
      </c>
      <c r="EBC6" s="68" t="e" cm="1" vm="1">
        <f t="array" ref="EBC6">_xlfn._xlws.FILTER(TablaProductos[Nombre producto],TablaProductos[Agrupación]=ProductosPivot!EBC5)</f>
        <v>#VALUE!</v>
      </c>
      <c r="EBD6" s="68" t="e" cm="1" vm="1">
        <f t="array" ref="EBD6">_xlfn._xlws.FILTER(TablaProductos[Nombre producto],TablaProductos[Agrupación]=ProductosPivot!EBD5)</f>
        <v>#VALUE!</v>
      </c>
      <c r="EBE6" s="68" t="e" cm="1" vm="1">
        <f t="array" ref="EBE6">_xlfn._xlws.FILTER(TablaProductos[Nombre producto],TablaProductos[Agrupación]=ProductosPivot!EBE5)</f>
        <v>#VALUE!</v>
      </c>
      <c r="EBF6" s="68" t="e" cm="1" vm="1">
        <f t="array" ref="EBF6">_xlfn._xlws.FILTER(TablaProductos[Nombre producto],TablaProductos[Agrupación]=ProductosPivot!EBF5)</f>
        <v>#VALUE!</v>
      </c>
      <c r="EBG6" s="68" t="e" cm="1" vm="1">
        <f t="array" ref="EBG6">_xlfn._xlws.FILTER(TablaProductos[Nombre producto],TablaProductos[Agrupación]=ProductosPivot!EBG5)</f>
        <v>#VALUE!</v>
      </c>
      <c r="EBH6" s="68" t="e" cm="1" vm="1">
        <f t="array" ref="EBH6">_xlfn._xlws.FILTER(TablaProductos[Nombre producto],TablaProductos[Agrupación]=ProductosPivot!EBH5)</f>
        <v>#VALUE!</v>
      </c>
      <c r="EBI6" s="68" t="e" cm="1" vm="1">
        <f t="array" ref="EBI6">_xlfn._xlws.FILTER(TablaProductos[Nombre producto],TablaProductos[Agrupación]=ProductosPivot!EBI5)</f>
        <v>#VALUE!</v>
      </c>
      <c r="EBJ6" s="68" t="e" cm="1" vm="1">
        <f t="array" ref="EBJ6">_xlfn._xlws.FILTER(TablaProductos[Nombre producto],TablaProductos[Agrupación]=ProductosPivot!EBJ5)</f>
        <v>#VALUE!</v>
      </c>
      <c r="EBK6" s="68" t="e" cm="1" vm="1">
        <f t="array" ref="EBK6">_xlfn._xlws.FILTER(TablaProductos[Nombre producto],TablaProductos[Agrupación]=ProductosPivot!EBK5)</f>
        <v>#VALUE!</v>
      </c>
      <c r="EBL6" s="68" t="e" cm="1" vm="1">
        <f t="array" ref="EBL6">_xlfn._xlws.FILTER(TablaProductos[Nombre producto],TablaProductos[Agrupación]=ProductosPivot!EBL5)</f>
        <v>#VALUE!</v>
      </c>
      <c r="EBM6" s="68" t="e" cm="1" vm="1">
        <f t="array" ref="EBM6">_xlfn._xlws.FILTER(TablaProductos[Nombre producto],TablaProductos[Agrupación]=ProductosPivot!EBM5)</f>
        <v>#VALUE!</v>
      </c>
      <c r="EBN6" s="68" t="e" cm="1" vm="1">
        <f t="array" ref="EBN6">_xlfn._xlws.FILTER(TablaProductos[Nombre producto],TablaProductos[Agrupación]=ProductosPivot!EBN5)</f>
        <v>#VALUE!</v>
      </c>
      <c r="EBO6" s="68" t="e" cm="1" vm="1">
        <f t="array" ref="EBO6">_xlfn._xlws.FILTER(TablaProductos[Nombre producto],TablaProductos[Agrupación]=ProductosPivot!EBO5)</f>
        <v>#VALUE!</v>
      </c>
      <c r="EBP6" s="68" t="e" cm="1" vm="1">
        <f t="array" ref="EBP6">_xlfn._xlws.FILTER(TablaProductos[Nombre producto],TablaProductos[Agrupación]=ProductosPivot!EBP5)</f>
        <v>#VALUE!</v>
      </c>
      <c r="EBQ6" s="68" t="e" cm="1" vm="1">
        <f t="array" ref="EBQ6">_xlfn._xlws.FILTER(TablaProductos[Nombre producto],TablaProductos[Agrupación]=ProductosPivot!EBQ5)</f>
        <v>#VALUE!</v>
      </c>
      <c r="EBR6" s="68" t="e" cm="1" vm="1">
        <f t="array" ref="EBR6">_xlfn._xlws.FILTER(TablaProductos[Nombre producto],TablaProductos[Agrupación]=ProductosPivot!EBR5)</f>
        <v>#VALUE!</v>
      </c>
      <c r="EBS6" s="68" t="e" cm="1" vm="1">
        <f t="array" ref="EBS6">_xlfn._xlws.FILTER(TablaProductos[Nombre producto],TablaProductos[Agrupación]=ProductosPivot!EBS5)</f>
        <v>#VALUE!</v>
      </c>
      <c r="EBT6" s="68" t="e" cm="1" vm="1">
        <f t="array" ref="EBT6">_xlfn._xlws.FILTER(TablaProductos[Nombre producto],TablaProductos[Agrupación]=ProductosPivot!EBT5)</f>
        <v>#VALUE!</v>
      </c>
      <c r="EBU6" s="68" t="e" cm="1" vm="1">
        <f t="array" ref="EBU6">_xlfn._xlws.FILTER(TablaProductos[Nombre producto],TablaProductos[Agrupación]=ProductosPivot!EBU5)</f>
        <v>#VALUE!</v>
      </c>
      <c r="EBV6" s="68" t="e" cm="1" vm="1">
        <f t="array" ref="EBV6">_xlfn._xlws.FILTER(TablaProductos[Nombre producto],TablaProductos[Agrupación]=ProductosPivot!EBV5)</f>
        <v>#VALUE!</v>
      </c>
      <c r="EBW6" s="68" t="e" cm="1" vm="1">
        <f t="array" ref="EBW6">_xlfn._xlws.FILTER(TablaProductos[Nombre producto],TablaProductos[Agrupación]=ProductosPivot!EBW5)</f>
        <v>#VALUE!</v>
      </c>
      <c r="EBX6" s="68" t="e" cm="1" vm="1">
        <f t="array" ref="EBX6">_xlfn._xlws.FILTER(TablaProductos[Nombre producto],TablaProductos[Agrupación]=ProductosPivot!EBX5)</f>
        <v>#VALUE!</v>
      </c>
      <c r="EBY6" s="68" t="e" cm="1" vm="1">
        <f t="array" ref="EBY6">_xlfn._xlws.FILTER(TablaProductos[Nombre producto],TablaProductos[Agrupación]=ProductosPivot!EBY5)</f>
        <v>#VALUE!</v>
      </c>
      <c r="EBZ6" s="68" t="e" cm="1" vm="1">
        <f t="array" ref="EBZ6">_xlfn._xlws.FILTER(TablaProductos[Nombre producto],TablaProductos[Agrupación]=ProductosPivot!EBZ5)</f>
        <v>#VALUE!</v>
      </c>
      <c r="ECA6" s="68" t="e" cm="1" vm="1">
        <f t="array" ref="ECA6">_xlfn._xlws.FILTER(TablaProductos[Nombre producto],TablaProductos[Agrupación]=ProductosPivot!ECA5)</f>
        <v>#VALUE!</v>
      </c>
      <c r="ECB6" s="68" t="e" cm="1" vm="1">
        <f t="array" ref="ECB6">_xlfn._xlws.FILTER(TablaProductos[Nombre producto],TablaProductos[Agrupación]=ProductosPivot!ECB5)</f>
        <v>#VALUE!</v>
      </c>
      <c r="ECC6" s="68" t="e" cm="1" vm="1">
        <f t="array" ref="ECC6">_xlfn._xlws.FILTER(TablaProductos[Nombre producto],TablaProductos[Agrupación]=ProductosPivot!ECC5)</f>
        <v>#VALUE!</v>
      </c>
      <c r="ECD6" s="68" t="e" cm="1" vm="1">
        <f t="array" ref="ECD6">_xlfn._xlws.FILTER(TablaProductos[Nombre producto],TablaProductos[Agrupación]=ProductosPivot!ECD5)</f>
        <v>#VALUE!</v>
      </c>
      <c r="ECE6" s="68" t="e" cm="1" vm="1">
        <f t="array" ref="ECE6">_xlfn._xlws.FILTER(TablaProductos[Nombre producto],TablaProductos[Agrupación]=ProductosPivot!ECE5)</f>
        <v>#VALUE!</v>
      </c>
      <c r="ECF6" s="68" t="e" cm="1" vm="1">
        <f t="array" ref="ECF6">_xlfn._xlws.FILTER(TablaProductos[Nombre producto],TablaProductos[Agrupación]=ProductosPivot!ECF5)</f>
        <v>#VALUE!</v>
      </c>
      <c r="ECG6" s="68" t="e" cm="1" vm="1">
        <f t="array" ref="ECG6">_xlfn._xlws.FILTER(TablaProductos[Nombre producto],TablaProductos[Agrupación]=ProductosPivot!ECG5)</f>
        <v>#VALUE!</v>
      </c>
      <c r="ECH6" s="68" t="e" cm="1" vm="1">
        <f t="array" ref="ECH6">_xlfn._xlws.FILTER(TablaProductos[Nombre producto],TablaProductos[Agrupación]=ProductosPivot!ECH5)</f>
        <v>#VALUE!</v>
      </c>
      <c r="ECI6" s="68" t="e" cm="1" vm="1">
        <f t="array" ref="ECI6">_xlfn._xlws.FILTER(TablaProductos[Nombre producto],TablaProductos[Agrupación]=ProductosPivot!ECI5)</f>
        <v>#VALUE!</v>
      </c>
      <c r="ECJ6" s="68" t="e" cm="1" vm="1">
        <f t="array" ref="ECJ6">_xlfn._xlws.FILTER(TablaProductos[Nombre producto],TablaProductos[Agrupación]=ProductosPivot!ECJ5)</f>
        <v>#VALUE!</v>
      </c>
      <c r="ECK6" s="68" t="e" cm="1" vm="1">
        <f t="array" ref="ECK6">_xlfn._xlws.FILTER(TablaProductos[Nombre producto],TablaProductos[Agrupación]=ProductosPivot!ECK5)</f>
        <v>#VALUE!</v>
      </c>
      <c r="ECL6" s="68" t="e" cm="1" vm="1">
        <f t="array" ref="ECL6">_xlfn._xlws.FILTER(TablaProductos[Nombre producto],TablaProductos[Agrupación]=ProductosPivot!ECL5)</f>
        <v>#VALUE!</v>
      </c>
      <c r="ECM6" s="68" t="e" cm="1" vm="1">
        <f t="array" ref="ECM6">_xlfn._xlws.FILTER(TablaProductos[Nombre producto],TablaProductos[Agrupación]=ProductosPivot!ECM5)</f>
        <v>#VALUE!</v>
      </c>
      <c r="ECN6" s="68" t="e" cm="1" vm="1">
        <f t="array" ref="ECN6">_xlfn._xlws.FILTER(TablaProductos[Nombre producto],TablaProductos[Agrupación]=ProductosPivot!ECN5)</f>
        <v>#VALUE!</v>
      </c>
      <c r="ECO6" s="68" t="e" cm="1" vm="1">
        <f t="array" ref="ECO6">_xlfn._xlws.FILTER(TablaProductos[Nombre producto],TablaProductos[Agrupación]=ProductosPivot!ECO5)</f>
        <v>#VALUE!</v>
      </c>
      <c r="ECP6" s="68" t="e" cm="1" vm="1">
        <f t="array" ref="ECP6">_xlfn._xlws.FILTER(TablaProductos[Nombre producto],TablaProductos[Agrupación]=ProductosPivot!ECP5)</f>
        <v>#VALUE!</v>
      </c>
      <c r="ECQ6" s="68" t="e" cm="1" vm="1">
        <f t="array" ref="ECQ6">_xlfn._xlws.FILTER(TablaProductos[Nombre producto],TablaProductos[Agrupación]=ProductosPivot!ECQ5)</f>
        <v>#VALUE!</v>
      </c>
      <c r="ECR6" s="68" t="e" cm="1" vm="1">
        <f t="array" ref="ECR6">_xlfn._xlws.FILTER(TablaProductos[Nombre producto],TablaProductos[Agrupación]=ProductosPivot!ECR5)</f>
        <v>#VALUE!</v>
      </c>
      <c r="ECS6" s="68" t="e" cm="1" vm="1">
        <f t="array" ref="ECS6">_xlfn._xlws.FILTER(TablaProductos[Nombre producto],TablaProductos[Agrupación]=ProductosPivot!ECS5)</f>
        <v>#VALUE!</v>
      </c>
      <c r="ECT6" s="68" t="e" cm="1" vm="1">
        <f t="array" ref="ECT6">_xlfn._xlws.FILTER(TablaProductos[Nombre producto],TablaProductos[Agrupación]=ProductosPivot!ECT5)</f>
        <v>#VALUE!</v>
      </c>
      <c r="ECU6" s="68" t="e" cm="1" vm="1">
        <f t="array" ref="ECU6">_xlfn._xlws.FILTER(TablaProductos[Nombre producto],TablaProductos[Agrupación]=ProductosPivot!ECU5)</f>
        <v>#VALUE!</v>
      </c>
      <c r="ECV6" s="68" t="e" cm="1" vm="1">
        <f t="array" ref="ECV6">_xlfn._xlws.FILTER(TablaProductos[Nombre producto],TablaProductos[Agrupación]=ProductosPivot!ECV5)</f>
        <v>#VALUE!</v>
      </c>
      <c r="ECW6" s="68" t="e" cm="1" vm="1">
        <f t="array" ref="ECW6">_xlfn._xlws.FILTER(TablaProductos[Nombre producto],TablaProductos[Agrupación]=ProductosPivot!ECW5)</f>
        <v>#VALUE!</v>
      </c>
      <c r="ECX6" s="68" t="e" cm="1" vm="1">
        <f t="array" ref="ECX6">_xlfn._xlws.FILTER(TablaProductos[Nombre producto],TablaProductos[Agrupación]=ProductosPivot!ECX5)</f>
        <v>#VALUE!</v>
      </c>
      <c r="ECY6" s="68" t="e" cm="1" vm="1">
        <f t="array" ref="ECY6">_xlfn._xlws.FILTER(TablaProductos[Nombre producto],TablaProductos[Agrupación]=ProductosPivot!ECY5)</f>
        <v>#VALUE!</v>
      </c>
      <c r="ECZ6" s="68" t="e" cm="1" vm="1">
        <f t="array" ref="ECZ6">_xlfn._xlws.FILTER(TablaProductos[Nombre producto],TablaProductos[Agrupación]=ProductosPivot!ECZ5)</f>
        <v>#VALUE!</v>
      </c>
      <c r="EDA6" s="68" t="e" cm="1" vm="1">
        <f t="array" ref="EDA6">_xlfn._xlws.FILTER(TablaProductos[Nombre producto],TablaProductos[Agrupación]=ProductosPivot!EDA5)</f>
        <v>#VALUE!</v>
      </c>
      <c r="EDB6" s="68" t="e" cm="1" vm="1">
        <f t="array" ref="EDB6">_xlfn._xlws.FILTER(TablaProductos[Nombre producto],TablaProductos[Agrupación]=ProductosPivot!EDB5)</f>
        <v>#VALUE!</v>
      </c>
      <c r="EDC6" s="68" t="e" cm="1" vm="1">
        <f t="array" ref="EDC6">_xlfn._xlws.FILTER(TablaProductos[Nombre producto],TablaProductos[Agrupación]=ProductosPivot!EDC5)</f>
        <v>#VALUE!</v>
      </c>
      <c r="EDD6" s="68" t="e" cm="1" vm="1">
        <f t="array" ref="EDD6">_xlfn._xlws.FILTER(TablaProductos[Nombre producto],TablaProductos[Agrupación]=ProductosPivot!EDD5)</f>
        <v>#VALUE!</v>
      </c>
      <c r="EDE6" s="68" t="e" cm="1" vm="1">
        <f t="array" ref="EDE6">_xlfn._xlws.FILTER(TablaProductos[Nombre producto],TablaProductos[Agrupación]=ProductosPivot!EDE5)</f>
        <v>#VALUE!</v>
      </c>
      <c r="EDF6" s="68" t="e" cm="1" vm="1">
        <f t="array" ref="EDF6">_xlfn._xlws.FILTER(TablaProductos[Nombre producto],TablaProductos[Agrupación]=ProductosPivot!EDF5)</f>
        <v>#VALUE!</v>
      </c>
      <c r="EDG6" s="68" t="e" cm="1" vm="1">
        <f t="array" ref="EDG6">_xlfn._xlws.FILTER(TablaProductos[Nombre producto],TablaProductos[Agrupación]=ProductosPivot!EDG5)</f>
        <v>#VALUE!</v>
      </c>
      <c r="EDH6" s="68" t="e" cm="1" vm="1">
        <f t="array" ref="EDH6">_xlfn._xlws.FILTER(TablaProductos[Nombre producto],TablaProductos[Agrupación]=ProductosPivot!EDH5)</f>
        <v>#VALUE!</v>
      </c>
      <c r="EDI6" s="68" t="e" cm="1" vm="1">
        <f t="array" ref="EDI6">_xlfn._xlws.FILTER(TablaProductos[Nombre producto],TablaProductos[Agrupación]=ProductosPivot!EDI5)</f>
        <v>#VALUE!</v>
      </c>
      <c r="EDJ6" s="68" t="e" cm="1" vm="1">
        <f t="array" ref="EDJ6">_xlfn._xlws.FILTER(TablaProductos[Nombre producto],TablaProductos[Agrupación]=ProductosPivot!EDJ5)</f>
        <v>#VALUE!</v>
      </c>
      <c r="EDK6" s="68" t="e" cm="1" vm="1">
        <f t="array" ref="EDK6">_xlfn._xlws.FILTER(TablaProductos[Nombre producto],TablaProductos[Agrupación]=ProductosPivot!EDK5)</f>
        <v>#VALUE!</v>
      </c>
      <c r="EDL6" s="68" t="e" cm="1" vm="1">
        <f t="array" ref="EDL6">_xlfn._xlws.FILTER(TablaProductos[Nombre producto],TablaProductos[Agrupación]=ProductosPivot!EDL5)</f>
        <v>#VALUE!</v>
      </c>
      <c r="EDM6" s="68" t="e" cm="1" vm="1">
        <f t="array" ref="EDM6">_xlfn._xlws.FILTER(TablaProductos[Nombre producto],TablaProductos[Agrupación]=ProductosPivot!EDM5)</f>
        <v>#VALUE!</v>
      </c>
      <c r="EDN6" s="68" t="e" cm="1" vm="1">
        <f t="array" ref="EDN6">_xlfn._xlws.FILTER(TablaProductos[Nombre producto],TablaProductos[Agrupación]=ProductosPivot!EDN5)</f>
        <v>#VALUE!</v>
      </c>
      <c r="EDO6" s="68" t="e" cm="1" vm="1">
        <f t="array" ref="EDO6">_xlfn._xlws.FILTER(TablaProductos[Nombre producto],TablaProductos[Agrupación]=ProductosPivot!EDO5)</f>
        <v>#VALUE!</v>
      </c>
      <c r="EDP6" s="68" t="e" cm="1" vm="1">
        <f t="array" ref="EDP6">_xlfn._xlws.FILTER(TablaProductos[Nombre producto],TablaProductos[Agrupación]=ProductosPivot!EDP5)</f>
        <v>#VALUE!</v>
      </c>
      <c r="EDQ6" s="68" t="e" cm="1" vm="1">
        <f t="array" ref="EDQ6">_xlfn._xlws.FILTER(TablaProductos[Nombre producto],TablaProductos[Agrupación]=ProductosPivot!EDQ5)</f>
        <v>#VALUE!</v>
      </c>
      <c r="EDR6" s="68" t="e" cm="1" vm="1">
        <f t="array" ref="EDR6">_xlfn._xlws.FILTER(TablaProductos[Nombre producto],TablaProductos[Agrupación]=ProductosPivot!EDR5)</f>
        <v>#VALUE!</v>
      </c>
      <c r="EDS6" s="68" t="e" cm="1" vm="1">
        <f t="array" ref="EDS6">_xlfn._xlws.FILTER(TablaProductos[Nombre producto],TablaProductos[Agrupación]=ProductosPivot!EDS5)</f>
        <v>#VALUE!</v>
      </c>
      <c r="EDT6" s="68" t="e" cm="1" vm="1">
        <f t="array" ref="EDT6">_xlfn._xlws.FILTER(TablaProductos[Nombre producto],TablaProductos[Agrupación]=ProductosPivot!EDT5)</f>
        <v>#VALUE!</v>
      </c>
      <c r="EDU6" s="68" t="e" cm="1" vm="1">
        <f t="array" ref="EDU6">_xlfn._xlws.FILTER(TablaProductos[Nombre producto],TablaProductos[Agrupación]=ProductosPivot!EDU5)</f>
        <v>#VALUE!</v>
      </c>
      <c r="EDV6" s="68" t="e" cm="1" vm="1">
        <f t="array" ref="EDV6">_xlfn._xlws.FILTER(TablaProductos[Nombre producto],TablaProductos[Agrupación]=ProductosPivot!EDV5)</f>
        <v>#VALUE!</v>
      </c>
      <c r="EDW6" s="68" t="e" cm="1" vm="1">
        <f t="array" ref="EDW6">_xlfn._xlws.FILTER(TablaProductos[Nombre producto],TablaProductos[Agrupación]=ProductosPivot!EDW5)</f>
        <v>#VALUE!</v>
      </c>
      <c r="EDX6" s="68" t="e" cm="1" vm="1">
        <f t="array" ref="EDX6">_xlfn._xlws.FILTER(TablaProductos[Nombre producto],TablaProductos[Agrupación]=ProductosPivot!EDX5)</f>
        <v>#VALUE!</v>
      </c>
      <c r="EDY6" s="68" t="e" cm="1" vm="1">
        <f t="array" ref="EDY6">_xlfn._xlws.FILTER(TablaProductos[Nombre producto],TablaProductos[Agrupación]=ProductosPivot!EDY5)</f>
        <v>#VALUE!</v>
      </c>
      <c r="EDZ6" s="68" t="e" cm="1" vm="1">
        <f t="array" ref="EDZ6">_xlfn._xlws.FILTER(TablaProductos[Nombre producto],TablaProductos[Agrupación]=ProductosPivot!EDZ5)</f>
        <v>#VALUE!</v>
      </c>
      <c r="EEA6" s="68" t="e" cm="1" vm="1">
        <f t="array" ref="EEA6">_xlfn._xlws.FILTER(TablaProductos[Nombre producto],TablaProductos[Agrupación]=ProductosPivot!EEA5)</f>
        <v>#VALUE!</v>
      </c>
      <c r="EEB6" s="68" t="e" cm="1" vm="1">
        <f t="array" ref="EEB6">_xlfn._xlws.FILTER(TablaProductos[Nombre producto],TablaProductos[Agrupación]=ProductosPivot!EEB5)</f>
        <v>#VALUE!</v>
      </c>
      <c r="EEC6" s="68" t="e" cm="1" vm="1">
        <f t="array" ref="EEC6">_xlfn._xlws.FILTER(TablaProductos[Nombre producto],TablaProductos[Agrupación]=ProductosPivot!EEC5)</f>
        <v>#VALUE!</v>
      </c>
      <c r="EED6" s="68" t="e" cm="1" vm="1">
        <f t="array" ref="EED6">_xlfn._xlws.FILTER(TablaProductos[Nombre producto],TablaProductos[Agrupación]=ProductosPivot!EED5)</f>
        <v>#VALUE!</v>
      </c>
      <c r="EEE6" s="68" t="e" cm="1" vm="1">
        <f t="array" ref="EEE6">_xlfn._xlws.FILTER(TablaProductos[Nombre producto],TablaProductos[Agrupación]=ProductosPivot!EEE5)</f>
        <v>#VALUE!</v>
      </c>
      <c r="EEF6" s="68" t="e" cm="1" vm="1">
        <f t="array" ref="EEF6">_xlfn._xlws.FILTER(TablaProductos[Nombre producto],TablaProductos[Agrupación]=ProductosPivot!EEF5)</f>
        <v>#VALUE!</v>
      </c>
      <c r="EEG6" s="68" t="e" cm="1" vm="1">
        <f t="array" ref="EEG6">_xlfn._xlws.FILTER(TablaProductos[Nombre producto],TablaProductos[Agrupación]=ProductosPivot!EEG5)</f>
        <v>#VALUE!</v>
      </c>
      <c r="EEH6" s="68" t="e" cm="1" vm="1">
        <f t="array" ref="EEH6">_xlfn._xlws.FILTER(TablaProductos[Nombre producto],TablaProductos[Agrupación]=ProductosPivot!EEH5)</f>
        <v>#VALUE!</v>
      </c>
      <c r="EEI6" s="68" t="e" cm="1" vm="1">
        <f t="array" ref="EEI6">_xlfn._xlws.FILTER(TablaProductos[Nombre producto],TablaProductos[Agrupación]=ProductosPivot!EEI5)</f>
        <v>#VALUE!</v>
      </c>
      <c r="EEJ6" s="68" t="e" cm="1" vm="1">
        <f t="array" ref="EEJ6">_xlfn._xlws.FILTER(TablaProductos[Nombre producto],TablaProductos[Agrupación]=ProductosPivot!EEJ5)</f>
        <v>#VALUE!</v>
      </c>
      <c r="EEK6" s="68" t="e" cm="1" vm="1">
        <f t="array" ref="EEK6">_xlfn._xlws.FILTER(TablaProductos[Nombre producto],TablaProductos[Agrupación]=ProductosPivot!EEK5)</f>
        <v>#VALUE!</v>
      </c>
      <c r="EEL6" s="68" t="e" cm="1" vm="1">
        <f t="array" ref="EEL6">_xlfn._xlws.FILTER(TablaProductos[Nombre producto],TablaProductos[Agrupación]=ProductosPivot!EEL5)</f>
        <v>#VALUE!</v>
      </c>
      <c r="EEM6" s="68" t="e" cm="1" vm="1">
        <f t="array" ref="EEM6">_xlfn._xlws.FILTER(TablaProductos[Nombre producto],TablaProductos[Agrupación]=ProductosPivot!EEM5)</f>
        <v>#VALUE!</v>
      </c>
      <c r="EEN6" s="68" t="e" cm="1" vm="1">
        <f t="array" ref="EEN6">_xlfn._xlws.FILTER(TablaProductos[Nombre producto],TablaProductos[Agrupación]=ProductosPivot!EEN5)</f>
        <v>#VALUE!</v>
      </c>
      <c r="EEO6" s="68" t="e" cm="1" vm="1">
        <f t="array" ref="EEO6">_xlfn._xlws.FILTER(TablaProductos[Nombre producto],TablaProductos[Agrupación]=ProductosPivot!EEO5)</f>
        <v>#VALUE!</v>
      </c>
      <c r="EEP6" s="68" t="e" cm="1" vm="1">
        <f t="array" ref="EEP6">_xlfn._xlws.FILTER(TablaProductos[Nombre producto],TablaProductos[Agrupación]=ProductosPivot!EEP5)</f>
        <v>#VALUE!</v>
      </c>
      <c r="EEQ6" s="68" t="e" cm="1" vm="1">
        <f t="array" ref="EEQ6">_xlfn._xlws.FILTER(TablaProductos[Nombre producto],TablaProductos[Agrupación]=ProductosPivot!EEQ5)</f>
        <v>#VALUE!</v>
      </c>
      <c r="EER6" s="68" t="e" cm="1" vm="1">
        <f t="array" ref="EER6">_xlfn._xlws.FILTER(TablaProductos[Nombre producto],TablaProductos[Agrupación]=ProductosPivot!EER5)</f>
        <v>#VALUE!</v>
      </c>
      <c r="EES6" s="68" t="e" cm="1" vm="1">
        <f t="array" ref="EES6">_xlfn._xlws.FILTER(TablaProductos[Nombre producto],TablaProductos[Agrupación]=ProductosPivot!EES5)</f>
        <v>#VALUE!</v>
      </c>
      <c r="EET6" s="68" t="e" cm="1" vm="1">
        <f t="array" ref="EET6">_xlfn._xlws.FILTER(TablaProductos[Nombre producto],TablaProductos[Agrupación]=ProductosPivot!EET5)</f>
        <v>#VALUE!</v>
      </c>
      <c r="EEU6" s="68" t="e" cm="1" vm="1">
        <f t="array" ref="EEU6">_xlfn._xlws.FILTER(TablaProductos[Nombre producto],TablaProductos[Agrupación]=ProductosPivot!EEU5)</f>
        <v>#VALUE!</v>
      </c>
      <c r="EEV6" s="68" t="e" cm="1" vm="1">
        <f t="array" ref="EEV6">_xlfn._xlws.FILTER(TablaProductos[Nombre producto],TablaProductos[Agrupación]=ProductosPivot!EEV5)</f>
        <v>#VALUE!</v>
      </c>
      <c r="EEW6" s="68" t="e" cm="1" vm="1">
        <f t="array" ref="EEW6">_xlfn._xlws.FILTER(TablaProductos[Nombre producto],TablaProductos[Agrupación]=ProductosPivot!EEW5)</f>
        <v>#VALUE!</v>
      </c>
      <c r="EEX6" s="68" t="e" cm="1" vm="1">
        <f t="array" ref="EEX6">_xlfn._xlws.FILTER(TablaProductos[Nombre producto],TablaProductos[Agrupación]=ProductosPivot!EEX5)</f>
        <v>#VALUE!</v>
      </c>
      <c r="EEY6" s="68" t="e" cm="1" vm="1">
        <f t="array" ref="EEY6">_xlfn._xlws.FILTER(TablaProductos[Nombre producto],TablaProductos[Agrupación]=ProductosPivot!EEY5)</f>
        <v>#VALUE!</v>
      </c>
      <c r="EEZ6" s="68" t="e" cm="1" vm="1">
        <f t="array" ref="EEZ6">_xlfn._xlws.FILTER(TablaProductos[Nombre producto],TablaProductos[Agrupación]=ProductosPivot!EEZ5)</f>
        <v>#VALUE!</v>
      </c>
      <c r="EFA6" s="68" t="e" cm="1" vm="1">
        <f t="array" ref="EFA6">_xlfn._xlws.FILTER(TablaProductos[Nombre producto],TablaProductos[Agrupación]=ProductosPivot!EFA5)</f>
        <v>#VALUE!</v>
      </c>
      <c r="EFB6" s="68" t="e" cm="1" vm="1">
        <f t="array" ref="EFB6">_xlfn._xlws.FILTER(TablaProductos[Nombre producto],TablaProductos[Agrupación]=ProductosPivot!EFB5)</f>
        <v>#VALUE!</v>
      </c>
      <c r="EFC6" s="68" t="e" cm="1" vm="1">
        <f t="array" ref="EFC6">_xlfn._xlws.FILTER(TablaProductos[Nombre producto],TablaProductos[Agrupación]=ProductosPivot!EFC5)</f>
        <v>#VALUE!</v>
      </c>
      <c r="EFD6" s="68" t="e" cm="1" vm="1">
        <f t="array" ref="EFD6">_xlfn._xlws.FILTER(TablaProductos[Nombre producto],TablaProductos[Agrupación]=ProductosPivot!EFD5)</f>
        <v>#VALUE!</v>
      </c>
      <c r="EFE6" s="68" t="e" cm="1" vm="1">
        <f t="array" ref="EFE6">_xlfn._xlws.FILTER(TablaProductos[Nombre producto],TablaProductos[Agrupación]=ProductosPivot!EFE5)</f>
        <v>#VALUE!</v>
      </c>
      <c r="EFF6" s="68" t="e" cm="1" vm="1">
        <f t="array" ref="EFF6">_xlfn._xlws.FILTER(TablaProductos[Nombre producto],TablaProductos[Agrupación]=ProductosPivot!EFF5)</f>
        <v>#VALUE!</v>
      </c>
      <c r="EFG6" s="68" t="e" cm="1" vm="1">
        <f t="array" ref="EFG6">_xlfn._xlws.FILTER(TablaProductos[Nombre producto],TablaProductos[Agrupación]=ProductosPivot!EFG5)</f>
        <v>#VALUE!</v>
      </c>
      <c r="EFH6" s="68" t="e" cm="1" vm="1">
        <f t="array" ref="EFH6">_xlfn._xlws.FILTER(TablaProductos[Nombre producto],TablaProductos[Agrupación]=ProductosPivot!EFH5)</f>
        <v>#VALUE!</v>
      </c>
      <c r="EFI6" s="68" t="e" cm="1" vm="1">
        <f t="array" ref="EFI6">_xlfn._xlws.FILTER(TablaProductos[Nombre producto],TablaProductos[Agrupación]=ProductosPivot!EFI5)</f>
        <v>#VALUE!</v>
      </c>
      <c r="EFJ6" s="68" t="e" cm="1" vm="1">
        <f t="array" ref="EFJ6">_xlfn._xlws.FILTER(TablaProductos[Nombre producto],TablaProductos[Agrupación]=ProductosPivot!EFJ5)</f>
        <v>#VALUE!</v>
      </c>
      <c r="EFK6" s="68" t="e" cm="1" vm="1">
        <f t="array" ref="EFK6">_xlfn._xlws.FILTER(TablaProductos[Nombre producto],TablaProductos[Agrupación]=ProductosPivot!EFK5)</f>
        <v>#VALUE!</v>
      </c>
      <c r="EFL6" s="68" t="e" cm="1" vm="1">
        <f t="array" ref="EFL6">_xlfn._xlws.FILTER(TablaProductos[Nombre producto],TablaProductos[Agrupación]=ProductosPivot!EFL5)</f>
        <v>#VALUE!</v>
      </c>
      <c r="EFM6" s="68" t="e" cm="1" vm="1">
        <f t="array" ref="EFM6">_xlfn._xlws.FILTER(TablaProductos[Nombre producto],TablaProductos[Agrupación]=ProductosPivot!EFM5)</f>
        <v>#VALUE!</v>
      </c>
      <c r="EFN6" s="68" t="e" cm="1" vm="1">
        <f t="array" ref="EFN6">_xlfn._xlws.FILTER(TablaProductos[Nombre producto],TablaProductos[Agrupación]=ProductosPivot!EFN5)</f>
        <v>#VALUE!</v>
      </c>
      <c r="EFO6" s="68" t="e" cm="1" vm="1">
        <f t="array" ref="EFO6">_xlfn._xlws.FILTER(TablaProductos[Nombre producto],TablaProductos[Agrupación]=ProductosPivot!EFO5)</f>
        <v>#VALUE!</v>
      </c>
      <c r="EFP6" s="68" t="e" cm="1" vm="1">
        <f t="array" ref="EFP6">_xlfn._xlws.FILTER(TablaProductos[Nombre producto],TablaProductos[Agrupación]=ProductosPivot!EFP5)</f>
        <v>#VALUE!</v>
      </c>
      <c r="EFQ6" s="68" t="e" cm="1" vm="1">
        <f t="array" ref="EFQ6">_xlfn._xlws.FILTER(TablaProductos[Nombre producto],TablaProductos[Agrupación]=ProductosPivot!EFQ5)</f>
        <v>#VALUE!</v>
      </c>
      <c r="EFR6" s="68" t="e" cm="1" vm="1">
        <f t="array" ref="EFR6">_xlfn._xlws.FILTER(TablaProductos[Nombre producto],TablaProductos[Agrupación]=ProductosPivot!EFR5)</f>
        <v>#VALUE!</v>
      </c>
      <c r="EFS6" s="68" t="e" cm="1" vm="1">
        <f t="array" ref="EFS6">_xlfn._xlws.FILTER(TablaProductos[Nombre producto],TablaProductos[Agrupación]=ProductosPivot!EFS5)</f>
        <v>#VALUE!</v>
      </c>
      <c r="EFT6" s="68" t="e" cm="1" vm="1">
        <f t="array" ref="EFT6">_xlfn._xlws.FILTER(TablaProductos[Nombre producto],TablaProductos[Agrupación]=ProductosPivot!EFT5)</f>
        <v>#VALUE!</v>
      </c>
      <c r="EFU6" s="68" t="e" cm="1" vm="1">
        <f t="array" ref="EFU6">_xlfn._xlws.FILTER(TablaProductos[Nombre producto],TablaProductos[Agrupación]=ProductosPivot!EFU5)</f>
        <v>#VALUE!</v>
      </c>
      <c r="EFV6" s="68" t="e" cm="1" vm="1">
        <f t="array" ref="EFV6">_xlfn._xlws.FILTER(TablaProductos[Nombre producto],TablaProductos[Agrupación]=ProductosPivot!EFV5)</f>
        <v>#VALUE!</v>
      </c>
      <c r="EFW6" s="68" t="e" cm="1" vm="1">
        <f t="array" ref="EFW6">_xlfn._xlws.FILTER(TablaProductos[Nombre producto],TablaProductos[Agrupación]=ProductosPivot!EFW5)</f>
        <v>#VALUE!</v>
      </c>
      <c r="EFX6" s="68" t="e" cm="1" vm="1">
        <f t="array" ref="EFX6">_xlfn._xlws.FILTER(TablaProductos[Nombre producto],TablaProductos[Agrupación]=ProductosPivot!EFX5)</f>
        <v>#VALUE!</v>
      </c>
      <c r="EFY6" s="68" t="e" cm="1" vm="1">
        <f t="array" ref="EFY6">_xlfn._xlws.FILTER(TablaProductos[Nombre producto],TablaProductos[Agrupación]=ProductosPivot!EFY5)</f>
        <v>#VALUE!</v>
      </c>
      <c r="EFZ6" s="68" t="e" cm="1" vm="1">
        <f t="array" ref="EFZ6">_xlfn._xlws.FILTER(TablaProductos[Nombre producto],TablaProductos[Agrupación]=ProductosPivot!EFZ5)</f>
        <v>#VALUE!</v>
      </c>
      <c r="EGA6" s="68" t="e" cm="1" vm="1">
        <f t="array" ref="EGA6">_xlfn._xlws.FILTER(TablaProductos[Nombre producto],TablaProductos[Agrupación]=ProductosPivot!EGA5)</f>
        <v>#VALUE!</v>
      </c>
      <c r="EGB6" s="68" t="e" cm="1" vm="1">
        <f t="array" ref="EGB6">_xlfn._xlws.FILTER(TablaProductos[Nombre producto],TablaProductos[Agrupación]=ProductosPivot!EGB5)</f>
        <v>#VALUE!</v>
      </c>
      <c r="EGC6" s="68" t="e" cm="1" vm="1">
        <f t="array" ref="EGC6">_xlfn._xlws.FILTER(TablaProductos[Nombre producto],TablaProductos[Agrupación]=ProductosPivot!EGC5)</f>
        <v>#VALUE!</v>
      </c>
      <c r="EGD6" s="68" t="e" cm="1" vm="1">
        <f t="array" ref="EGD6">_xlfn._xlws.FILTER(TablaProductos[Nombre producto],TablaProductos[Agrupación]=ProductosPivot!EGD5)</f>
        <v>#VALUE!</v>
      </c>
      <c r="EGE6" s="68" t="e" cm="1" vm="1">
        <f t="array" ref="EGE6">_xlfn._xlws.FILTER(TablaProductos[Nombre producto],TablaProductos[Agrupación]=ProductosPivot!EGE5)</f>
        <v>#VALUE!</v>
      </c>
      <c r="EGF6" s="68" t="e" cm="1" vm="1">
        <f t="array" ref="EGF6">_xlfn._xlws.FILTER(TablaProductos[Nombre producto],TablaProductos[Agrupación]=ProductosPivot!EGF5)</f>
        <v>#VALUE!</v>
      </c>
      <c r="EGG6" s="68" t="e" cm="1" vm="1">
        <f t="array" ref="EGG6">_xlfn._xlws.FILTER(TablaProductos[Nombre producto],TablaProductos[Agrupación]=ProductosPivot!EGG5)</f>
        <v>#VALUE!</v>
      </c>
      <c r="EGH6" s="68" t="e" cm="1" vm="1">
        <f t="array" ref="EGH6">_xlfn._xlws.FILTER(TablaProductos[Nombre producto],TablaProductos[Agrupación]=ProductosPivot!EGH5)</f>
        <v>#VALUE!</v>
      </c>
      <c r="EGI6" s="68" t="e" cm="1" vm="1">
        <f t="array" ref="EGI6">_xlfn._xlws.FILTER(TablaProductos[Nombre producto],TablaProductos[Agrupación]=ProductosPivot!EGI5)</f>
        <v>#VALUE!</v>
      </c>
      <c r="EGJ6" s="68" t="e" cm="1" vm="1">
        <f t="array" ref="EGJ6">_xlfn._xlws.FILTER(TablaProductos[Nombre producto],TablaProductos[Agrupación]=ProductosPivot!EGJ5)</f>
        <v>#VALUE!</v>
      </c>
      <c r="EGK6" s="68" t="e" cm="1" vm="1">
        <f t="array" ref="EGK6">_xlfn._xlws.FILTER(TablaProductos[Nombre producto],TablaProductos[Agrupación]=ProductosPivot!EGK5)</f>
        <v>#VALUE!</v>
      </c>
      <c r="EGL6" s="68" t="e" cm="1" vm="1">
        <f t="array" ref="EGL6">_xlfn._xlws.FILTER(TablaProductos[Nombre producto],TablaProductos[Agrupación]=ProductosPivot!EGL5)</f>
        <v>#VALUE!</v>
      </c>
      <c r="EGM6" s="68" t="e" cm="1" vm="1">
        <f t="array" ref="EGM6">_xlfn._xlws.FILTER(TablaProductos[Nombre producto],TablaProductos[Agrupación]=ProductosPivot!EGM5)</f>
        <v>#VALUE!</v>
      </c>
      <c r="EGN6" s="68" t="e" cm="1" vm="1">
        <f t="array" ref="EGN6">_xlfn._xlws.FILTER(TablaProductos[Nombre producto],TablaProductos[Agrupación]=ProductosPivot!EGN5)</f>
        <v>#VALUE!</v>
      </c>
      <c r="EGO6" s="68" t="e" cm="1" vm="1">
        <f t="array" ref="EGO6">_xlfn._xlws.FILTER(TablaProductos[Nombre producto],TablaProductos[Agrupación]=ProductosPivot!EGO5)</f>
        <v>#VALUE!</v>
      </c>
      <c r="EGP6" s="68" t="e" cm="1" vm="1">
        <f t="array" ref="EGP6">_xlfn._xlws.FILTER(TablaProductos[Nombre producto],TablaProductos[Agrupación]=ProductosPivot!EGP5)</f>
        <v>#VALUE!</v>
      </c>
      <c r="EGQ6" s="68" t="e" cm="1" vm="1">
        <f t="array" ref="EGQ6">_xlfn._xlws.FILTER(TablaProductos[Nombre producto],TablaProductos[Agrupación]=ProductosPivot!EGQ5)</f>
        <v>#VALUE!</v>
      </c>
      <c r="EGR6" s="68" t="e" cm="1" vm="1">
        <f t="array" ref="EGR6">_xlfn._xlws.FILTER(TablaProductos[Nombre producto],TablaProductos[Agrupación]=ProductosPivot!EGR5)</f>
        <v>#VALUE!</v>
      </c>
      <c r="EGS6" s="68" t="e" cm="1" vm="1">
        <f t="array" ref="EGS6">_xlfn._xlws.FILTER(TablaProductos[Nombre producto],TablaProductos[Agrupación]=ProductosPivot!EGS5)</f>
        <v>#VALUE!</v>
      </c>
      <c r="EGT6" s="68" t="e" cm="1" vm="1">
        <f t="array" ref="EGT6">_xlfn._xlws.FILTER(TablaProductos[Nombre producto],TablaProductos[Agrupación]=ProductosPivot!EGT5)</f>
        <v>#VALUE!</v>
      </c>
      <c r="EGU6" s="68" t="e" cm="1" vm="1">
        <f t="array" ref="EGU6">_xlfn._xlws.FILTER(TablaProductos[Nombre producto],TablaProductos[Agrupación]=ProductosPivot!EGU5)</f>
        <v>#VALUE!</v>
      </c>
      <c r="EGV6" s="68" t="e" cm="1" vm="1">
        <f t="array" ref="EGV6">_xlfn._xlws.FILTER(TablaProductos[Nombre producto],TablaProductos[Agrupación]=ProductosPivot!EGV5)</f>
        <v>#VALUE!</v>
      </c>
      <c r="EGW6" s="68" t="e" cm="1" vm="1">
        <f t="array" ref="EGW6">_xlfn._xlws.FILTER(TablaProductos[Nombre producto],TablaProductos[Agrupación]=ProductosPivot!EGW5)</f>
        <v>#VALUE!</v>
      </c>
      <c r="EGX6" s="68" t="e" cm="1" vm="1">
        <f t="array" ref="EGX6">_xlfn._xlws.FILTER(TablaProductos[Nombre producto],TablaProductos[Agrupación]=ProductosPivot!EGX5)</f>
        <v>#VALUE!</v>
      </c>
      <c r="EGY6" s="68" t="e" cm="1" vm="1">
        <f t="array" ref="EGY6">_xlfn._xlws.FILTER(TablaProductos[Nombre producto],TablaProductos[Agrupación]=ProductosPivot!EGY5)</f>
        <v>#VALUE!</v>
      </c>
      <c r="EGZ6" s="68" t="e" cm="1" vm="1">
        <f t="array" ref="EGZ6">_xlfn._xlws.FILTER(TablaProductos[Nombre producto],TablaProductos[Agrupación]=ProductosPivot!EGZ5)</f>
        <v>#VALUE!</v>
      </c>
      <c r="EHA6" s="68" t="e" cm="1" vm="1">
        <f t="array" ref="EHA6">_xlfn._xlws.FILTER(TablaProductos[Nombre producto],TablaProductos[Agrupación]=ProductosPivot!EHA5)</f>
        <v>#VALUE!</v>
      </c>
      <c r="EHB6" s="68" t="e" cm="1" vm="1">
        <f t="array" ref="EHB6">_xlfn._xlws.FILTER(TablaProductos[Nombre producto],TablaProductos[Agrupación]=ProductosPivot!EHB5)</f>
        <v>#VALUE!</v>
      </c>
      <c r="EHC6" s="68" t="e" cm="1" vm="1">
        <f t="array" ref="EHC6">_xlfn._xlws.FILTER(TablaProductos[Nombre producto],TablaProductos[Agrupación]=ProductosPivot!EHC5)</f>
        <v>#VALUE!</v>
      </c>
      <c r="EHD6" s="68" t="e" cm="1" vm="1">
        <f t="array" ref="EHD6">_xlfn._xlws.FILTER(TablaProductos[Nombre producto],TablaProductos[Agrupación]=ProductosPivot!EHD5)</f>
        <v>#VALUE!</v>
      </c>
      <c r="EHE6" s="68" t="e" cm="1" vm="1">
        <f t="array" ref="EHE6">_xlfn._xlws.FILTER(TablaProductos[Nombre producto],TablaProductos[Agrupación]=ProductosPivot!EHE5)</f>
        <v>#VALUE!</v>
      </c>
      <c r="EHF6" s="68" t="e" cm="1" vm="1">
        <f t="array" ref="EHF6">_xlfn._xlws.FILTER(TablaProductos[Nombre producto],TablaProductos[Agrupación]=ProductosPivot!EHF5)</f>
        <v>#VALUE!</v>
      </c>
      <c r="EHG6" s="68" t="e" cm="1" vm="1">
        <f t="array" ref="EHG6">_xlfn._xlws.FILTER(TablaProductos[Nombre producto],TablaProductos[Agrupación]=ProductosPivot!EHG5)</f>
        <v>#VALUE!</v>
      </c>
      <c r="EHH6" s="68" t="e" cm="1" vm="1">
        <f t="array" ref="EHH6">_xlfn._xlws.FILTER(TablaProductos[Nombre producto],TablaProductos[Agrupación]=ProductosPivot!EHH5)</f>
        <v>#VALUE!</v>
      </c>
      <c r="EHI6" s="68" t="e" cm="1" vm="1">
        <f t="array" ref="EHI6">_xlfn._xlws.FILTER(TablaProductos[Nombre producto],TablaProductos[Agrupación]=ProductosPivot!EHI5)</f>
        <v>#VALUE!</v>
      </c>
      <c r="EHJ6" s="68" t="e" cm="1" vm="1">
        <f t="array" ref="EHJ6">_xlfn._xlws.FILTER(TablaProductos[Nombre producto],TablaProductos[Agrupación]=ProductosPivot!EHJ5)</f>
        <v>#VALUE!</v>
      </c>
      <c r="EHK6" s="68" t="e" cm="1" vm="1">
        <f t="array" ref="EHK6">_xlfn._xlws.FILTER(TablaProductos[Nombre producto],TablaProductos[Agrupación]=ProductosPivot!EHK5)</f>
        <v>#VALUE!</v>
      </c>
      <c r="EHL6" s="68" t="e" cm="1" vm="1">
        <f t="array" ref="EHL6">_xlfn._xlws.FILTER(TablaProductos[Nombre producto],TablaProductos[Agrupación]=ProductosPivot!EHL5)</f>
        <v>#VALUE!</v>
      </c>
      <c r="EHM6" s="68" t="e" cm="1" vm="1">
        <f t="array" ref="EHM6">_xlfn._xlws.FILTER(TablaProductos[Nombre producto],TablaProductos[Agrupación]=ProductosPivot!EHM5)</f>
        <v>#VALUE!</v>
      </c>
      <c r="EHN6" s="68" t="e" cm="1" vm="1">
        <f t="array" ref="EHN6">_xlfn._xlws.FILTER(TablaProductos[Nombre producto],TablaProductos[Agrupación]=ProductosPivot!EHN5)</f>
        <v>#VALUE!</v>
      </c>
      <c r="EHO6" s="68" t="e" cm="1" vm="1">
        <f t="array" ref="EHO6">_xlfn._xlws.FILTER(TablaProductos[Nombre producto],TablaProductos[Agrupación]=ProductosPivot!EHO5)</f>
        <v>#VALUE!</v>
      </c>
      <c r="EHP6" s="68" t="e" cm="1" vm="1">
        <f t="array" ref="EHP6">_xlfn._xlws.FILTER(TablaProductos[Nombre producto],TablaProductos[Agrupación]=ProductosPivot!EHP5)</f>
        <v>#VALUE!</v>
      </c>
      <c r="EHQ6" s="68" t="e" cm="1" vm="1">
        <f t="array" ref="EHQ6">_xlfn._xlws.FILTER(TablaProductos[Nombre producto],TablaProductos[Agrupación]=ProductosPivot!EHQ5)</f>
        <v>#VALUE!</v>
      </c>
      <c r="EHR6" s="68" t="e" cm="1" vm="1">
        <f t="array" ref="EHR6">_xlfn._xlws.FILTER(TablaProductos[Nombre producto],TablaProductos[Agrupación]=ProductosPivot!EHR5)</f>
        <v>#VALUE!</v>
      </c>
      <c r="EHS6" s="68" t="e" cm="1" vm="1">
        <f t="array" ref="EHS6">_xlfn._xlws.FILTER(TablaProductos[Nombre producto],TablaProductos[Agrupación]=ProductosPivot!EHS5)</f>
        <v>#VALUE!</v>
      </c>
      <c r="EHT6" s="68" t="e" cm="1" vm="1">
        <f t="array" ref="EHT6">_xlfn._xlws.FILTER(TablaProductos[Nombre producto],TablaProductos[Agrupación]=ProductosPivot!EHT5)</f>
        <v>#VALUE!</v>
      </c>
      <c r="EHU6" s="68" t="e" cm="1" vm="1">
        <f t="array" ref="EHU6">_xlfn._xlws.FILTER(TablaProductos[Nombre producto],TablaProductos[Agrupación]=ProductosPivot!EHU5)</f>
        <v>#VALUE!</v>
      </c>
      <c r="EHV6" s="68" t="e" cm="1" vm="1">
        <f t="array" ref="EHV6">_xlfn._xlws.FILTER(TablaProductos[Nombre producto],TablaProductos[Agrupación]=ProductosPivot!EHV5)</f>
        <v>#VALUE!</v>
      </c>
      <c r="EHW6" s="68" t="e" cm="1" vm="1">
        <f t="array" ref="EHW6">_xlfn._xlws.FILTER(TablaProductos[Nombre producto],TablaProductos[Agrupación]=ProductosPivot!EHW5)</f>
        <v>#VALUE!</v>
      </c>
      <c r="EHX6" s="68" t="e" cm="1" vm="1">
        <f t="array" ref="EHX6">_xlfn._xlws.FILTER(TablaProductos[Nombre producto],TablaProductos[Agrupación]=ProductosPivot!EHX5)</f>
        <v>#VALUE!</v>
      </c>
      <c r="EHY6" s="68" t="e" cm="1" vm="1">
        <f t="array" ref="EHY6">_xlfn._xlws.FILTER(TablaProductos[Nombre producto],TablaProductos[Agrupación]=ProductosPivot!EHY5)</f>
        <v>#VALUE!</v>
      </c>
      <c r="EHZ6" s="68" t="e" cm="1" vm="1">
        <f t="array" ref="EHZ6">_xlfn._xlws.FILTER(TablaProductos[Nombre producto],TablaProductos[Agrupación]=ProductosPivot!EHZ5)</f>
        <v>#VALUE!</v>
      </c>
      <c r="EIA6" s="68" t="e" cm="1" vm="1">
        <f t="array" ref="EIA6">_xlfn._xlws.FILTER(TablaProductos[Nombre producto],TablaProductos[Agrupación]=ProductosPivot!EIA5)</f>
        <v>#VALUE!</v>
      </c>
      <c r="EIB6" s="68" t="e" cm="1" vm="1">
        <f t="array" ref="EIB6">_xlfn._xlws.FILTER(TablaProductos[Nombre producto],TablaProductos[Agrupación]=ProductosPivot!EIB5)</f>
        <v>#VALUE!</v>
      </c>
      <c r="EIC6" s="68" t="e" cm="1" vm="1">
        <f t="array" ref="EIC6">_xlfn._xlws.FILTER(TablaProductos[Nombre producto],TablaProductos[Agrupación]=ProductosPivot!EIC5)</f>
        <v>#VALUE!</v>
      </c>
      <c r="EID6" s="68" t="e" cm="1" vm="1">
        <f t="array" ref="EID6">_xlfn._xlws.FILTER(TablaProductos[Nombre producto],TablaProductos[Agrupación]=ProductosPivot!EID5)</f>
        <v>#VALUE!</v>
      </c>
      <c r="EIE6" s="68" t="e" cm="1" vm="1">
        <f t="array" ref="EIE6">_xlfn._xlws.FILTER(TablaProductos[Nombre producto],TablaProductos[Agrupación]=ProductosPivot!EIE5)</f>
        <v>#VALUE!</v>
      </c>
      <c r="EIF6" s="68" t="e" cm="1" vm="1">
        <f t="array" ref="EIF6">_xlfn._xlws.FILTER(TablaProductos[Nombre producto],TablaProductos[Agrupación]=ProductosPivot!EIF5)</f>
        <v>#VALUE!</v>
      </c>
      <c r="EIG6" s="68" t="e" cm="1" vm="1">
        <f t="array" ref="EIG6">_xlfn._xlws.FILTER(TablaProductos[Nombre producto],TablaProductos[Agrupación]=ProductosPivot!EIG5)</f>
        <v>#VALUE!</v>
      </c>
      <c r="EIH6" s="68" t="e" cm="1" vm="1">
        <f t="array" ref="EIH6">_xlfn._xlws.FILTER(TablaProductos[Nombre producto],TablaProductos[Agrupación]=ProductosPivot!EIH5)</f>
        <v>#VALUE!</v>
      </c>
      <c r="EII6" s="68" t="e" cm="1" vm="1">
        <f t="array" ref="EII6">_xlfn._xlws.FILTER(TablaProductos[Nombre producto],TablaProductos[Agrupación]=ProductosPivot!EII5)</f>
        <v>#VALUE!</v>
      </c>
      <c r="EIJ6" s="68" t="e" cm="1" vm="1">
        <f t="array" ref="EIJ6">_xlfn._xlws.FILTER(TablaProductos[Nombre producto],TablaProductos[Agrupación]=ProductosPivot!EIJ5)</f>
        <v>#VALUE!</v>
      </c>
      <c r="EIK6" s="68" t="e" cm="1" vm="1">
        <f t="array" ref="EIK6">_xlfn._xlws.FILTER(TablaProductos[Nombre producto],TablaProductos[Agrupación]=ProductosPivot!EIK5)</f>
        <v>#VALUE!</v>
      </c>
      <c r="EIL6" s="68" t="e" cm="1" vm="1">
        <f t="array" ref="EIL6">_xlfn._xlws.FILTER(TablaProductos[Nombre producto],TablaProductos[Agrupación]=ProductosPivot!EIL5)</f>
        <v>#VALUE!</v>
      </c>
      <c r="EIM6" s="68" t="e" cm="1" vm="1">
        <f t="array" ref="EIM6">_xlfn._xlws.FILTER(TablaProductos[Nombre producto],TablaProductos[Agrupación]=ProductosPivot!EIM5)</f>
        <v>#VALUE!</v>
      </c>
      <c r="EIN6" s="68" t="e" cm="1" vm="1">
        <f t="array" ref="EIN6">_xlfn._xlws.FILTER(TablaProductos[Nombre producto],TablaProductos[Agrupación]=ProductosPivot!EIN5)</f>
        <v>#VALUE!</v>
      </c>
      <c r="EIO6" s="68" t="e" cm="1" vm="1">
        <f t="array" ref="EIO6">_xlfn._xlws.FILTER(TablaProductos[Nombre producto],TablaProductos[Agrupación]=ProductosPivot!EIO5)</f>
        <v>#VALUE!</v>
      </c>
      <c r="EIP6" s="68" t="e" cm="1" vm="1">
        <f t="array" ref="EIP6">_xlfn._xlws.FILTER(TablaProductos[Nombre producto],TablaProductos[Agrupación]=ProductosPivot!EIP5)</f>
        <v>#VALUE!</v>
      </c>
      <c r="EIQ6" s="68" t="e" cm="1" vm="1">
        <f t="array" ref="EIQ6">_xlfn._xlws.FILTER(TablaProductos[Nombre producto],TablaProductos[Agrupación]=ProductosPivot!EIQ5)</f>
        <v>#VALUE!</v>
      </c>
      <c r="EIR6" s="68" t="e" cm="1" vm="1">
        <f t="array" ref="EIR6">_xlfn._xlws.FILTER(TablaProductos[Nombre producto],TablaProductos[Agrupación]=ProductosPivot!EIR5)</f>
        <v>#VALUE!</v>
      </c>
      <c r="EIS6" s="68" t="e" cm="1" vm="1">
        <f t="array" ref="EIS6">_xlfn._xlws.FILTER(TablaProductos[Nombre producto],TablaProductos[Agrupación]=ProductosPivot!EIS5)</f>
        <v>#VALUE!</v>
      </c>
      <c r="EIT6" s="68" t="e" cm="1" vm="1">
        <f t="array" ref="EIT6">_xlfn._xlws.FILTER(TablaProductos[Nombre producto],TablaProductos[Agrupación]=ProductosPivot!EIT5)</f>
        <v>#VALUE!</v>
      </c>
      <c r="EIU6" s="68" t="e" cm="1" vm="1">
        <f t="array" ref="EIU6">_xlfn._xlws.FILTER(TablaProductos[Nombre producto],TablaProductos[Agrupación]=ProductosPivot!EIU5)</f>
        <v>#VALUE!</v>
      </c>
      <c r="EIV6" s="68" t="e" cm="1" vm="1">
        <f t="array" ref="EIV6">_xlfn._xlws.FILTER(TablaProductos[Nombre producto],TablaProductos[Agrupación]=ProductosPivot!EIV5)</f>
        <v>#VALUE!</v>
      </c>
      <c r="EIW6" s="68" t="e" cm="1" vm="1">
        <f t="array" ref="EIW6">_xlfn._xlws.FILTER(TablaProductos[Nombre producto],TablaProductos[Agrupación]=ProductosPivot!EIW5)</f>
        <v>#VALUE!</v>
      </c>
      <c r="EIX6" s="68" t="e" cm="1" vm="1">
        <f t="array" ref="EIX6">_xlfn._xlws.FILTER(TablaProductos[Nombre producto],TablaProductos[Agrupación]=ProductosPivot!EIX5)</f>
        <v>#VALUE!</v>
      </c>
      <c r="EIY6" s="68" t="e" cm="1" vm="1">
        <f t="array" ref="EIY6">_xlfn._xlws.FILTER(TablaProductos[Nombre producto],TablaProductos[Agrupación]=ProductosPivot!EIY5)</f>
        <v>#VALUE!</v>
      </c>
      <c r="EIZ6" s="68" t="e" cm="1" vm="1">
        <f t="array" ref="EIZ6">_xlfn._xlws.FILTER(TablaProductos[Nombre producto],TablaProductos[Agrupación]=ProductosPivot!EIZ5)</f>
        <v>#VALUE!</v>
      </c>
      <c r="EJA6" s="68" t="e" cm="1" vm="1">
        <f t="array" ref="EJA6">_xlfn._xlws.FILTER(TablaProductos[Nombre producto],TablaProductos[Agrupación]=ProductosPivot!EJA5)</f>
        <v>#VALUE!</v>
      </c>
      <c r="EJB6" s="68" t="e" cm="1" vm="1">
        <f t="array" ref="EJB6">_xlfn._xlws.FILTER(TablaProductos[Nombre producto],TablaProductos[Agrupación]=ProductosPivot!EJB5)</f>
        <v>#VALUE!</v>
      </c>
      <c r="EJC6" s="68" t="e" cm="1" vm="1">
        <f t="array" ref="EJC6">_xlfn._xlws.FILTER(TablaProductos[Nombre producto],TablaProductos[Agrupación]=ProductosPivot!EJC5)</f>
        <v>#VALUE!</v>
      </c>
      <c r="EJD6" s="68" t="e" cm="1" vm="1">
        <f t="array" ref="EJD6">_xlfn._xlws.FILTER(TablaProductos[Nombre producto],TablaProductos[Agrupación]=ProductosPivot!EJD5)</f>
        <v>#VALUE!</v>
      </c>
      <c r="EJE6" s="68" t="e" cm="1" vm="1">
        <f t="array" ref="EJE6">_xlfn._xlws.FILTER(TablaProductos[Nombre producto],TablaProductos[Agrupación]=ProductosPivot!EJE5)</f>
        <v>#VALUE!</v>
      </c>
      <c r="EJF6" s="68" t="e" cm="1" vm="1">
        <f t="array" ref="EJF6">_xlfn._xlws.FILTER(TablaProductos[Nombre producto],TablaProductos[Agrupación]=ProductosPivot!EJF5)</f>
        <v>#VALUE!</v>
      </c>
      <c r="EJG6" s="68" t="e" cm="1" vm="1">
        <f t="array" ref="EJG6">_xlfn._xlws.FILTER(TablaProductos[Nombre producto],TablaProductos[Agrupación]=ProductosPivot!EJG5)</f>
        <v>#VALUE!</v>
      </c>
      <c r="EJH6" s="68" t="e" cm="1" vm="1">
        <f t="array" ref="EJH6">_xlfn._xlws.FILTER(TablaProductos[Nombre producto],TablaProductos[Agrupación]=ProductosPivot!EJH5)</f>
        <v>#VALUE!</v>
      </c>
      <c r="EJI6" s="68" t="e" cm="1" vm="1">
        <f t="array" ref="EJI6">_xlfn._xlws.FILTER(TablaProductos[Nombre producto],TablaProductos[Agrupación]=ProductosPivot!EJI5)</f>
        <v>#VALUE!</v>
      </c>
      <c r="EJJ6" s="68" t="e" cm="1" vm="1">
        <f t="array" ref="EJJ6">_xlfn._xlws.FILTER(TablaProductos[Nombre producto],TablaProductos[Agrupación]=ProductosPivot!EJJ5)</f>
        <v>#VALUE!</v>
      </c>
      <c r="EJK6" s="68" t="e" cm="1" vm="1">
        <f t="array" ref="EJK6">_xlfn._xlws.FILTER(TablaProductos[Nombre producto],TablaProductos[Agrupación]=ProductosPivot!EJK5)</f>
        <v>#VALUE!</v>
      </c>
      <c r="EJL6" s="68" t="e" cm="1" vm="1">
        <f t="array" ref="EJL6">_xlfn._xlws.FILTER(TablaProductos[Nombre producto],TablaProductos[Agrupación]=ProductosPivot!EJL5)</f>
        <v>#VALUE!</v>
      </c>
      <c r="EJM6" s="68" t="e" cm="1" vm="1">
        <f t="array" ref="EJM6">_xlfn._xlws.FILTER(TablaProductos[Nombre producto],TablaProductos[Agrupación]=ProductosPivot!EJM5)</f>
        <v>#VALUE!</v>
      </c>
      <c r="EJN6" s="68" t="e" cm="1" vm="1">
        <f t="array" ref="EJN6">_xlfn._xlws.FILTER(TablaProductos[Nombre producto],TablaProductos[Agrupación]=ProductosPivot!EJN5)</f>
        <v>#VALUE!</v>
      </c>
      <c r="EJO6" s="68" t="e" cm="1" vm="1">
        <f t="array" ref="EJO6">_xlfn._xlws.FILTER(TablaProductos[Nombre producto],TablaProductos[Agrupación]=ProductosPivot!EJO5)</f>
        <v>#VALUE!</v>
      </c>
      <c r="EJP6" s="68" t="e" cm="1" vm="1">
        <f t="array" ref="EJP6">_xlfn._xlws.FILTER(TablaProductos[Nombre producto],TablaProductos[Agrupación]=ProductosPivot!EJP5)</f>
        <v>#VALUE!</v>
      </c>
      <c r="EJQ6" s="68" t="e" cm="1" vm="1">
        <f t="array" ref="EJQ6">_xlfn._xlws.FILTER(TablaProductos[Nombre producto],TablaProductos[Agrupación]=ProductosPivot!EJQ5)</f>
        <v>#VALUE!</v>
      </c>
      <c r="EJR6" s="68" t="e" cm="1" vm="1">
        <f t="array" ref="EJR6">_xlfn._xlws.FILTER(TablaProductos[Nombre producto],TablaProductos[Agrupación]=ProductosPivot!EJR5)</f>
        <v>#VALUE!</v>
      </c>
      <c r="EJS6" s="68" t="e" cm="1" vm="1">
        <f t="array" ref="EJS6">_xlfn._xlws.FILTER(TablaProductos[Nombre producto],TablaProductos[Agrupación]=ProductosPivot!EJS5)</f>
        <v>#VALUE!</v>
      </c>
      <c r="EJT6" s="68" t="e" cm="1" vm="1">
        <f t="array" ref="EJT6">_xlfn._xlws.FILTER(TablaProductos[Nombre producto],TablaProductos[Agrupación]=ProductosPivot!EJT5)</f>
        <v>#VALUE!</v>
      </c>
      <c r="EJU6" s="68" t="e" cm="1" vm="1">
        <f t="array" ref="EJU6">_xlfn._xlws.FILTER(TablaProductos[Nombre producto],TablaProductos[Agrupación]=ProductosPivot!EJU5)</f>
        <v>#VALUE!</v>
      </c>
      <c r="EJV6" s="68" t="e" cm="1" vm="1">
        <f t="array" ref="EJV6">_xlfn._xlws.FILTER(TablaProductos[Nombre producto],TablaProductos[Agrupación]=ProductosPivot!EJV5)</f>
        <v>#VALUE!</v>
      </c>
      <c r="EJW6" s="68" t="e" cm="1" vm="1">
        <f t="array" ref="EJW6">_xlfn._xlws.FILTER(TablaProductos[Nombre producto],TablaProductos[Agrupación]=ProductosPivot!EJW5)</f>
        <v>#VALUE!</v>
      </c>
      <c r="EJX6" s="68" t="e" cm="1" vm="1">
        <f t="array" ref="EJX6">_xlfn._xlws.FILTER(TablaProductos[Nombre producto],TablaProductos[Agrupación]=ProductosPivot!EJX5)</f>
        <v>#VALUE!</v>
      </c>
      <c r="EJY6" s="68" t="e" cm="1" vm="1">
        <f t="array" ref="EJY6">_xlfn._xlws.FILTER(TablaProductos[Nombre producto],TablaProductos[Agrupación]=ProductosPivot!EJY5)</f>
        <v>#VALUE!</v>
      </c>
      <c r="EJZ6" s="68" t="e" cm="1" vm="1">
        <f t="array" ref="EJZ6">_xlfn._xlws.FILTER(TablaProductos[Nombre producto],TablaProductos[Agrupación]=ProductosPivot!EJZ5)</f>
        <v>#VALUE!</v>
      </c>
      <c r="EKA6" s="68" t="e" cm="1" vm="1">
        <f t="array" ref="EKA6">_xlfn._xlws.FILTER(TablaProductos[Nombre producto],TablaProductos[Agrupación]=ProductosPivot!EKA5)</f>
        <v>#VALUE!</v>
      </c>
      <c r="EKB6" s="68" t="e" cm="1" vm="1">
        <f t="array" ref="EKB6">_xlfn._xlws.FILTER(TablaProductos[Nombre producto],TablaProductos[Agrupación]=ProductosPivot!EKB5)</f>
        <v>#VALUE!</v>
      </c>
      <c r="EKC6" s="68" t="e" cm="1" vm="1">
        <f t="array" ref="EKC6">_xlfn._xlws.FILTER(TablaProductos[Nombre producto],TablaProductos[Agrupación]=ProductosPivot!EKC5)</f>
        <v>#VALUE!</v>
      </c>
      <c r="EKD6" s="68" t="e" cm="1" vm="1">
        <f t="array" ref="EKD6">_xlfn._xlws.FILTER(TablaProductos[Nombre producto],TablaProductos[Agrupación]=ProductosPivot!EKD5)</f>
        <v>#VALUE!</v>
      </c>
      <c r="EKE6" s="68" t="e" cm="1" vm="1">
        <f t="array" ref="EKE6">_xlfn._xlws.FILTER(TablaProductos[Nombre producto],TablaProductos[Agrupación]=ProductosPivot!EKE5)</f>
        <v>#VALUE!</v>
      </c>
      <c r="EKF6" s="68" t="e" cm="1" vm="1">
        <f t="array" ref="EKF6">_xlfn._xlws.FILTER(TablaProductos[Nombre producto],TablaProductos[Agrupación]=ProductosPivot!EKF5)</f>
        <v>#VALUE!</v>
      </c>
      <c r="EKG6" s="68" t="e" cm="1" vm="1">
        <f t="array" ref="EKG6">_xlfn._xlws.FILTER(TablaProductos[Nombre producto],TablaProductos[Agrupación]=ProductosPivot!EKG5)</f>
        <v>#VALUE!</v>
      </c>
      <c r="EKH6" s="68" t="e" cm="1" vm="1">
        <f t="array" ref="EKH6">_xlfn._xlws.FILTER(TablaProductos[Nombre producto],TablaProductos[Agrupación]=ProductosPivot!EKH5)</f>
        <v>#VALUE!</v>
      </c>
      <c r="EKI6" s="68" t="e" cm="1" vm="1">
        <f t="array" ref="EKI6">_xlfn._xlws.FILTER(TablaProductos[Nombre producto],TablaProductos[Agrupación]=ProductosPivot!EKI5)</f>
        <v>#VALUE!</v>
      </c>
      <c r="EKJ6" s="68" t="e" cm="1" vm="1">
        <f t="array" ref="EKJ6">_xlfn._xlws.FILTER(TablaProductos[Nombre producto],TablaProductos[Agrupación]=ProductosPivot!EKJ5)</f>
        <v>#VALUE!</v>
      </c>
      <c r="EKK6" s="68" t="e" cm="1" vm="1">
        <f t="array" ref="EKK6">_xlfn._xlws.FILTER(TablaProductos[Nombre producto],TablaProductos[Agrupación]=ProductosPivot!EKK5)</f>
        <v>#VALUE!</v>
      </c>
      <c r="EKL6" s="68" t="e" cm="1" vm="1">
        <f t="array" ref="EKL6">_xlfn._xlws.FILTER(TablaProductos[Nombre producto],TablaProductos[Agrupación]=ProductosPivot!EKL5)</f>
        <v>#VALUE!</v>
      </c>
      <c r="EKM6" s="68" t="e" cm="1" vm="1">
        <f t="array" ref="EKM6">_xlfn._xlws.FILTER(TablaProductos[Nombre producto],TablaProductos[Agrupación]=ProductosPivot!EKM5)</f>
        <v>#VALUE!</v>
      </c>
      <c r="EKN6" s="68" t="e" cm="1" vm="1">
        <f t="array" ref="EKN6">_xlfn._xlws.FILTER(TablaProductos[Nombre producto],TablaProductos[Agrupación]=ProductosPivot!EKN5)</f>
        <v>#VALUE!</v>
      </c>
      <c r="EKO6" s="68" t="e" cm="1" vm="1">
        <f t="array" ref="EKO6">_xlfn._xlws.FILTER(TablaProductos[Nombre producto],TablaProductos[Agrupación]=ProductosPivot!EKO5)</f>
        <v>#VALUE!</v>
      </c>
      <c r="EKP6" s="68" t="e" cm="1" vm="1">
        <f t="array" ref="EKP6">_xlfn._xlws.FILTER(TablaProductos[Nombre producto],TablaProductos[Agrupación]=ProductosPivot!EKP5)</f>
        <v>#VALUE!</v>
      </c>
      <c r="EKQ6" s="68" t="e" cm="1" vm="1">
        <f t="array" ref="EKQ6">_xlfn._xlws.FILTER(TablaProductos[Nombre producto],TablaProductos[Agrupación]=ProductosPivot!EKQ5)</f>
        <v>#VALUE!</v>
      </c>
      <c r="EKR6" s="68" t="e" cm="1" vm="1">
        <f t="array" ref="EKR6">_xlfn._xlws.FILTER(TablaProductos[Nombre producto],TablaProductos[Agrupación]=ProductosPivot!EKR5)</f>
        <v>#VALUE!</v>
      </c>
      <c r="EKS6" s="68" t="e" cm="1" vm="1">
        <f t="array" ref="EKS6">_xlfn._xlws.FILTER(TablaProductos[Nombre producto],TablaProductos[Agrupación]=ProductosPivot!EKS5)</f>
        <v>#VALUE!</v>
      </c>
      <c r="EKT6" s="68" t="e" cm="1" vm="1">
        <f t="array" ref="EKT6">_xlfn._xlws.FILTER(TablaProductos[Nombre producto],TablaProductos[Agrupación]=ProductosPivot!EKT5)</f>
        <v>#VALUE!</v>
      </c>
      <c r="EKU6" s="68" t="e" cm="1" vm="1">
        <f t="array" ref="EKU6">_xlfn._xlws.FILTER(TablaProductos[Nombre producto],TablaProductos[Agrupación]=ProductosPivot!EKU5)</f>
        <v>#VALUE!</v>
      </c>
      <c r="EKV6" s="68" t="e" cm="1" vm="1">
        <f t="array" ref="EKV6">_xlfn._xlws.FILTER(TablaProductos[Nombre producto],TablaProductos[Agrupación]=ProductosPivot!EKV5)</f>
        <v>#VALUE!</v>
      </c>
      <c r="EKW6" s="68" t="e" cm="1" vm="1">
        <f t="array" ref="EKW6">_xlfn._xlws.FILTER(TablaProductos[Nombre producto],TablaProductos[Agrupación]=ProductosPivot!EKW5)</f>
        <v>#VALUE!</v>
      </c>
      <c r="EKX6" s="68" t="e" cm="1" vm="1">
        <f t="array" ref="EKX6">_xlfn._xlws.FILTER(TablaProductos[Nombre producto],TablaProductos[Agrupación]=ProductosPivot!EKX5)</f>
        <v>#VALUE!</v>
      </c>
      <c r="EKY6" s="68" t="e" cm="1" vm="1">
        <f t="array" ref="EKY6">_xlfn._xlws.FILTER(TablaProductos[Nombre producto],TablaProductos[Agrupación]=ProductosPivot!EKY5)</f>
        <v>#VALUE!</v>
      </c>
      <c r="EKZ6" s="68" t="e" cm="1" vm="1">
        <f t="array" ref="EKZ6">_xlfn._xlws.FILTER(TablaProductos[Nombre producto],TablaProductos[Agrupación]=ProductosPivot!EKZ5)</f>
        <v>#VALUE!</v>
      </c>
      <c r="ELA6" s="68" t="e" cm="1" vm="1">
        <f t="array" ref="ELA6">_xlfn._xlws.FILTER(TablaProductos[Nombre producto],TablaProductos[Agrupación]=ProductosPivot!ELA5)</f>
        <v>#VALUE!</v>
      </c>
      <c r="ELB6" s="68" t="e" cm="1" vm="1">
        <f t="array" ref="ELB6">_xlfn._xlws.FILTER(TablaProductos[Nombre producto],TablaProductos[Agrupación]=ProductosPivot!ELB5)</f>
        <v>#VALUE!</v>
      </c>
      <c r="ELC6" s="68" t="e" cm="1" vm="1">
        <f t="array" ref="ELC6">_xlfn._xlws.FILTER(TablaProductos[Nombre producto],TablaProductos[Agrupación]=ProductosPivot!ELC5)</f>
        <v>#VALUE!</v>
      </c>
      <c r="ELD6" s="68" t="e" cm="1" vm="1">
        <f t="array" ref="ELD6">_xlfn._xlws.FILTER(TablaProductos[Nombre producto],TablaProductos[Agrupación]=ProductosPivot!ELD5)</f>
        <v>#VALUE!</v>
      </c>
      <c r="ELE6" s="68" t="e" cm="1" vm="1">
        <f t="array" ref="ELE6">_xlfn._xlws.FILTER(TablaProductos[Nombre producto],TablaProductos[Agrupación]=ProductosPivot!ELE5)</f>
        <v>#VALUE!</v>
      </c>
      <c r="ELF6" s="68" t="e" cm="1" vm="1">
        <f t="array" ref="ELF6">_xlfn._xlws.FILTER(TablaProductos[Nombre producto],TablaProductos[Agrupación]=ProductosPivot!ELF5)</f>
        <v>#VALUE!</v>
      </c>
      <c r="ELG6" s="68" t="e" cm="1" vm="1">
        <f t="array" ref="ELG6">_xlfn._xlws.FILTER(TablaProductos[Nombre producto],TablaProductos[Agrupación]=ProductosPivot!ELG5)</f>
        <v>#VALUE!</v>
      </c>
      <c r="ELH6" s="68" t="e" cm="1" vm="1">
        <f t="array" ref="ELH6">_xlfn._xlws.FILTER(TablaProductos[Nombre producto],TablaProductos[Agrupación]=ProductosPivot!ELH5)</f>
        <v>#VALUE!</v>
      </c>
      <c r="ELI6" s="68" t="e" cm="1" vm="1">
        <f t="array" ref="ELI6">_xlfn._xlws.FILTER(TablaProductos[Nombre producto],TablaProductos[Agrupación]=ProductosPivot!ELI5)</f>
        <v>#VALUE!</v>
      </c>
      <c r="ELJ6" s="68" t="e" cm="1" vm="1">
        <f t="array" ref="ELJ6">_xlfn._xlws.FILTER(TablaProductos[Nombre producto],TablaProductos[Agrupación]=ProductosPivot!ELJ5)</f>
        <v>#VALUE!</v>
      </c>
      <c r="ELK6" s="68" t="e" cm="1" vm="1">
        <f t="array" ref="ELK6">_xlfn._xlws.FILTER(TablaProductos[Nombre producto],TablaProductos[Agrupación]=ProductosPivot!ELK5)</f>
        <v>#VALUE!</v>
      </c>
      <c r="ELL6" s="68" t="e" cm="1" vm="1">
        <f t="array" ref="ELL6">_xlfn._xlws.FILTER(TablaProductos[Nombre producto],TablaProductos[Agrupación]=ProductosPivot!ELL5)</f>
        <v>#VALUE!</v>
      </c>
      <c r="ELM6" s="68" t="e" cm="1" vm="1">
        <f t="array" ref="ELM6">_xlfn._xlws.FILTER(TablaProductos[Nombre producto],TablaProductos[Agrupación]=ProductosPivot!ELM5)</f>
        <v>#VALUE!</v>
      </c>
      <c r="ELN6" s="68" t="e" cm="1" vm="1">
        <f t="array" ref="ELN6">_xlfn._xlws.FILTER(TablaProductos[Nombre producto],TablaProductos[Agrupación]=ProductosPivot!ELN5)</f>
        <v>#VALUE!</v>
      </c>
      <c r="ELO6" s="68" t="e" cm="1" vm="1">
        <f t="array" ref="ELO6">_xlfn._xlws.FILTER(TablaProductos[Nombre producto],TablaProductos[Agrupación]=ProductosPivot!ELO5)</f>
        <v>#VALUE!</v>
      </c>
      <c r="ELP6" s="68" t="e" cm="1" vm="1">
        <f t="array" ref="ELP6">_xlfn._xlws.FILTER(TablaProductos[Nombre producto],TablaProductos[Agrupación]=ProductosPivot!ELP5)</f>
        <v>#VALUE!</v>
      </c>
      <c r="ELQ6" s="68" t="e" cm="1" vm="1">
        <f t="array" ref="ELQ6">_xlfn._xlws.FILTER(TablaProductos[Nombre producto],TablaProductos[Agrupación]=ProductosPivot!ELQ5)</f>
        <v>#VALUE!</v>
      </c>
      <c r="ELR6" s="68" t="e" cm="1" vm="1">
        <f t="array" ref="ELR6">_xlfn._xlws.FILTER(TablaProductos[Nombre producto],TablaProductos[Agrupación]=ProductosPivot!ELR5)</f>
        <v>#VALUE!</v>
      </c>
      <c r="ELS6" s="68" t="e" cm="1" vm="1">
        <f t="array" ref="ELS6">_xlfn._xlws.FILTER(TablaProductos[Nombre producto],TablaProductos[Agrupación]=ProductosPivot!ELS5)</f>
        <v>#VALUE!</v>
      </c>
      <c r="ELT6" s="68" t="e" cm="1" vm="1">
        <f t="array" ref="ELT6">_xlfn._xlws.FILTER(TablaProductos[Nombre producto],TablaProductos[Agrupación]=ProductosPivot!ELT5)</f>
        <v>#VALUE!</v>
      </c>
      <c r="ELU6" s="68" t="e" cm="1" vm="1">
        <f t="array" ref="ELU6">_xlfn._xlws.FILTER(TablaProductos[Nombre producto],TablaProductos[Agrupación]=ProductosPivot!ELU5)</f>
        <v>#VALUE!</v>
      </c>
      <c r="ELV6" s="68" t="e" cm="1" vm="1">
        <f t="array" ref="ELV6">_xlfn._xlws.FILTER(TablaProductos[Nombre producto],TablaProductos[Agrupación]=ProductosPivot!ELV5)</f>
        <v>#VALUE!</v>
      </c>
      <c r="ELW6" s="68" t="e" cm="1" vm="1">
        <f t="array" ref="ELW6">_xlfn._xlws.FILTER(TablaProductos[Nombre producto],TablaProductos[Agrupación]=ProductosPivot!ELW5)</f>
        <v>#VALUE!</v>
      </c>
      <c r="ELX6" s="68" t="e" cm="1" vm="1">
        <f t="array" ref="ELX6">_xlfn._xlws.FILTER(TablaProductos[Nombre producto],TablaProductos[Agrupación]=ProductosPivot!ELX5)</f>
        <v>#VALUE!</v>
      </c>
      <c r="ELY6" s="68" t="e" cm="1" vm="1">
        <f t="array" ref="ELY6">_xlfn._xlws.FILTER(TablaProductos[Nombre producto],TablaProductos[Agrupación]=ProductosPivot!ELY5)</f>
        <v>#VALUE!</v>
      </c>
      <c r="ELZ6" s="68" t="e" cm="1" vm="1">
        <f t="array" ref="ELZ6">_xlfn._xlws.FILTER(TablaProductos[Nombre producto],TablaProductos[Agrupación]=ProductosPivot!ELZ5)</f>
        <v>#VALUE!</v>
      </c>
      <c r="EMA6" s="68" t="e" cm="1" vm="1">
        <f t="array" ref="EMA6">_xlfn._xlws.FILTER(TablaProductos[Nombre producto],TablaProductos[Agrupación]=ProductosPivot!EMA5)</f>
        <v>#VALUE!</v>
      </c>
      <c r="EMB6" s="68" t="e" cm="1" vm="1">
        <f t="array" ref="EMB6">_xlfn._xlws.FILTER(TablaProductos[Nombre producto],TablaProductos[Agrupación]=ProductosPivot!EMB5)</f>
        <v>#VALUE!</v>
      </c>
      <c r="EMC6" s="68" t="e" cm="1" vm="1">
        <f t="array" ref="EMC6">_xlfn._xlws.FILTER(TablaProductos[Nombre producto],TablaProductos[Agrupación]=ProductosPivot!EMC5)</f>
        <v>#VALUE!</v>
      </c>
      <c r="EMD6" s="68" t="e" cm="1" vm="1">
        <f t="array" ref="EMD6">_xlfn._xlws.FILTER(TablaProductos[Nombre producto],TablaProductos[Agrupación]=ProductosPivot!EMD5)</f>
        <v>#VALUE!</v>
      </c>
      <c r="EME6" s="68" t="e" cm="1" vm="1">
        <f t="array" ref="EME6">_xlfn._xlws.FILTER(TablaProductos[Nombre producto],TablaProductos[Agrupación]=ProductosPivot!EME5)</f>
        <v>#VALUE!</v>
      </c>
      <c r="EMF6" s="68" t="e" cm="1" vm="1">
        <f t="array" ref="EMF6">_xlfn._xlws.FILTER(TablaProductos[Nombre producto],TablaProductos[Agrupación]=ProductosPivot!EMF5)</f>
        <v>#VALUE!</v>
      </c>
      <c r="EMG6" s="68" t="e" cm="1" vm="1">
        <f t="array" ref="EMG6">_xlfn._xlws.FILTER(TablaProductos[Nombre producto],TablaProductos[Agrupación]=ProductosPivot!EMG5)</f>
        <v>#VALUE!</v>
      </c>
      <c r="EMH6" s="68" t="e" cm="1" vm="1">
        <f t="array" ref="EMH6">_xlfn._xlws.FILTER(TablaProductos[Nombre producto],TablaProductos[Agrupación]=ProductosPivot!EMH5)</f>
        <v>#VALUE!</v>
      </c>
      <c r="EMI6" s="68" t="e" cm="1" vm="1">
        <f t="array" ref="EMI6">_xlfn._xlws.FILTER(TablaProductos[Nombre producto],TablaProductos[Agrupación]=ProductosPivot!EMI5)</f>
        <v>#VALUE!</v>
      </c>
      <c r="EMJ6" s="68" t="e" cm="1" vm="1">
        <f t="array" ref="EMJ6">_xlfn._xlws.FILTER(TablaProductos[Nombre producto],TablaProductos[Agrupación]=ProductosPivot!EMJ5)</f>
        <v>#VALUE!</v>
      </c>
      <c r="EMK6" s="68" t="e" cm="1" vm="1">
        <f t="array" ref="EMK6">_xlfn._xlws.FILTER(TablaProductos[Nombre producto],TablaProductos[Agrupación]=ProductosPivot!EMK5)</f>
        <v>#VALUE!</v>
      </c>
      <c r="EML6" s="68" t="e" cm="1" vm="1">
        <f t="array" ref="EML6">_xlfn._xlws.FILTER(TablaProductos[Nombre producto],TablaProductos[Agrupación]=ProductosPivot!EML5)</f>
        <v>#VALUE!</v>
      </c>
      <c r="EMM6" s="68" t="e" cm="1" vm="1">
        <f t="array" ref="EMM6">_xlfn._xlws.FILTER(TablaProductos[Nombre producto],TablaProductos[Agrupación]=ProductosPivot!EMM5)</f>
        <v>#VALUE!</v>
      </c>
      <c r="EMN6" s="68" t="e" cm="1" vm="1">
        <f t="array" ref="EMN6">_xlfn._xlws.FILTER(TablaProductos[Nombre producto],TablaProductos[Agrupación]=ProductosPivot!EMN5)</f>
        <v>#VALUE!</v>
      </c>
      <c r="EMO6" s="68" t="e" cm="1" vm="1">
        <f t="array" ref="EMO6">_xlfn._xlws.FILTER(TablaProductos[Nombre producto],TablaProductos[Agrupación]=ProductosPivot!EMO5)</f>
        <v>#VALUE!</v>
      </c>
      <c r="EMP6" s="68" t="e" cm="1" vm="1">
        <f t="array" ref="EMP6">_xlfn._xlws.FILTER(TablaProductos[Nombre producto],TablaProductos[Agrupación]=ProductosPivot!EMP5)</f>
        <v>#VALUE!</v>
      </c>
      <c r="EMQ6" s="68" t="e" cm="1" vm="1">
        <f t="array" ref="EMQ6">_xlfn._xlws.FILTER(TablaProductos[Nombre producto],TablaProductos[Agrupación]=ProductosPivot!EMQ5)</f>
        <v>#VALUE!</v>
      </c>
      <c r="EMR6" s="68" t="e" cm="1" vm="1">
        <f t="array" ref="EMR6">_xlfn._xlws.FILTER(TablaProductos[Nombre producto],TablaProductos[Agrupación]=ProductosPivot!EMR5)</f>
        <v>#VALUE!</v>
      </c>
      <c r="EMS6" s="68" t="e" cm="1" vm="1">
        <f t="array" ref="EMS6">_xlfn._xlws.FILTER(TablaProductos[Nombre producto],TablaProductos[Agrupación]=ProductosPivot!EMS5)</f>
        <v>#VALUE!</v>
      </c>
      <c r="EMT6" s="68" t="e" cm="1" vm="1">
        <f t="array" ref="EMT6">_xlfn._xlws.FILTER(TablaProductos[Nombre producto],TablaProductos[Agrupación]=ProductosPivot!EMT5)</f>
        <v>#VALUE!</v>
      </c>
      <c r="EMU6" s="68" t="e" cm="1" vm="1">
        <f t="array" ref="EMU6">_xlfn._xlws.FILTER(TablaProductos[Nombre producto],TablaProductos[Agrupación]=ProductosPivot!EMU5)</f>
        <v>#VALUE!</v>
      </c>
      <c r="EMV6" s="68" t="e" cm="1" vm="1">
        <f t="array" ref="EMV6">_xlfn._xlws.FILTER(TablaProductos[Nombre producto],TablaProductos[Agrupación]=ProductosPivot!EMV5)</f>
        <v>#VALUE!</v>
      </c>
      <c r="EMW6" s="68" t="e" cm="1" vm="1">
        <f t="array" ref="EMW6">_xlfn._xlws.FILTER(TablaProductos[Nombre producto],TablaProductos[Agrupación]=ProductosPivot!EMW5)</f>
        <v>#VALUE!</v>
      </c>
      <c r="EMX6" s="68" t="e" cm="1" vm="1">
        <f t="array" ref="EMX6">_xlfn._xlws.FILTER(TablaProductos[Nombre producto],TablaProductos[Agrupación]=ProductosPivot!EMX5)</f>
        <v>#VALUE!</v>
      </c>
      <c r="EMY6" s="68" t="e" cm="1" vm="1">
        <f t="array" ref="EMY6">_xlfn._xlws.FILTER(TablaProductos[Nombre producto],TablaProductos[Agrupación]=ProductosPivot!EMY5)</f>
        <v>#VALUE!</v>
      </c>
      <c r="EMZ6" s="68" t="e" cm="1" vm="1">
        <f t="array" ref="EMZ6">_xlfn._xlws.FILTER(TablaProductos[Nombre producto],TablaProductos[Agrupación]=ProductosPivot!EMZ5)</f>
        <v>#VALUE!</v>
      </c>
      <c r="ENA6" s="68" t="e" cm="1" vm="1">
        <f t="array" ref="ENA6">_xlfn._xlws.FILTER(TablaProductos[Nombre producto],TablaProductos[Agrupación]=ProductosPivot!ENA5)</f>
        <v>#VALUE!</v>
      </c>
      <c r="ENB6" s="68" t="e" cm="1" vm="1">
        <f t="array" ref="ENB6">_xlfn._xlws.FILTER(TablaProductos[Nombre producto],TablaProductos[Agrupación]=ProductosPivot!ENB5)</f>
        <v>#VALUE!</v>
      </c>
      <c r="ENC6" s="68" t="e" cm="1" vm="1">
        <f t="array" ref="ENC6">_xlfn._xlws.FILTER(TablaProductos[Nombre producto],TablaProductos[Agrupación]=ProductosPivot!ENC5)</f>
        <v>#VALUE!</v>
      </c>
      <c r="END6" s="68" t="e" cm="1" vm="1">
        <f t="array" ref="END6">_xlfn._xlws.FILTER(TablaProductos[Nombre producto],TablaProductos[Agrupación]=ProductosPivot!END5)</f>
        <v>#VALUE!</v>
      </c>
      <c r="ENE6" s="68" t="e" cm="1" vm="1">
        <f t="array" ref="ENE6">_xlfn._xlws.FILTER(TablaProductos[Nombre producto],TablaProductos[Agrupación]=ProductosPivot!ENE5)</f>
        <v>#VALUE!</v>
      </c>
      <c r="ENF6" s="68" t="e" cm="1" vm="1">
        <f t="array" ref="ENF6">_xlfn._xlws.FILTER(TablaProductos[Nombre producto],TablaProductos[Agrupación]=ProductosPivot!ENF5)</f>
        <v>#VALUE!</v>
      </c>
      <c r="ENG6" s="68" t="e" cm="1" vm="1">
        <f t="array" ref="ENG6">_xlfn._xlws.FILTER(TablaProductos[Nombre producto],TablaProductos[Agrupación]=ProductosPivot!ENG5)</f>
        <v>#VALUE!</v>
      </c>
      <c r="ENH6" s="68" t="e" cm="1" vm="1">
        <f t="array" ref="ENH6">_xlfn._xlws.FILTER(TablaProductos[Nombre producto],TablaProductos[Agrupación]=ProductosPivot!ENH5)</f>
        <v>#VALUE!</v>
      </c>
      <c r="ENI6" s="68" t="e" cm="1" vm="1">
        <f t="array" ref="ENI6">_xlfn._xlws.FILTER(TablaProductos[Nombre producto],TablaProductos[Agrupación]=ProductosPivot!ENI5)</f>
        <v>#VALUE!</v>
      </c>
      <c r="ENJ6" s="68" t="e" cm="1" vm="1">
        <f t="array" ref="ENJ6">_xlfn._xlws.FILTER(TablaProductos[Nombre producto],TablaProductos[Agrupación]=ProductosPivot!ENJ5)</f>
        <v>#VALUE!</v>
      </c>
      <c r="ENK6" s="68" t="e" cm="1" vm="1">
        <f t="array" ref="ENK6">_xlfn._xlws.FILTER(TablaProductos[Nombre producto],TablaProductos[Agrupación]=ProductosPivot!ENK5)</f>
        <v>#VALUE!</v>
      </c>
      <c r="ENL6" s="68" t="e" cm="1" vm="1">
        <f t="array" ref="ENL6">_xlfn._xlws.FILTER(TablaProductos[Nombre producto],TablaProductos[Agrupación]=ProductosPivot!ENL5)</f>
        <v>#VALUE!</v>
      </c>
      <c r="ENM6" s="68" t="e" cm="1" vm="1">
        <f t="array" ref="ENM6">_xlfn._xlws.FILTER(TablaProductos[Nombre producto],TablaProductos[Agrupación]=ProductosPivot!ENM5)</f>
        <v>#VALUE!</v>
      </c>
      <c r="ENN6" s="68" t="e" cm="1" vm="1">
        <f t="array" ref="ENN6">_xlfn._xlws.FILTER(TablaProductos[Nombre producto],TablaProductos[Agrupación]=ProductosPivot!ENN5)</f>
        <v>#VALUE!</v>
      </c>
      <c r="ENO6" s="68" t="e" cm="1" vm="1">
        <f t="array" ref="ENO6">_xlfn._xlws.FILTER(TablaProductos[Nombre producto],TablaProductos[Agrupación]=ProductosPivot!ENO5)</f>
        <v>#VALUE!</v>
      </c>
      <c r="ENP6" s="68" t="e" cm="1" vm="1">
        <f t="array" ref="ENP6">_xlfn._xlws.FILTER(TablaProductos[Nombre producto],TablaProductos[Agrupación]=ProductosPivot!ENP5)</f>
        <v>#VALUE!</v>
      </c>
      <c r="ENQ6" s="68" t="e" cm="1" vm="1">
        <f t="array" ref="ENQ6">_xlfn._xlws.FILTER(TablaProductos[Nombre producto],TablaProductos[Agrupación]=ProductosPivot!ENQ5)</f>
        <v>#VALUE!</v>
      </c>
      <c r="ENR6" s="68" t="e" cm="1" vm="1">
        <f t="array" ref="ENR6">_xlfn._xlws.FILTER(TablaProductos[Nombre producto],TablaProductos[Agrupación]=ProductosPivot!ENR5)</f>
        <v>#VALUE!</v>
      </c>
      <c r="ENS6" s="68" t="e" cm="1" vm="1">
        <f t="array" ref="ENS6">_xlfn._xlws.FILTER(TablaProductos[Nombre producto],TablaProductos[Agrupación]=ProductosPivot!ENS5)</f>
        <v>#VALUE!</v>
      </c>
      <c r="ENT6" s="68" t="e" cm="1" vm="1">
        <f t="array" ref="ENT6">_xlfn._xlws.FILTER(TablaProductos[Nombre producto],TablaProductos[Agrupación]=ProductosPivot!ENT5)</f>
        <v>#VALUE!</v>
      </c>
      <c r="ENU6" s="68" t="e" cm="1" vm="1">
        <f t="array" ref="ENU6">_xlfn._xlws.FILTER(TablaProductos[Nombre producto],TablaProductos[Agrupación]=ProductosPivot!ENU5)</f>
        <v>#VALUE!</v>
      </c>
      <c r="ENV6" s="68" t="e" cm="1" vm="1">
        <f t="array" ref="ENV6">_xlfn._xlws.FILTER(TablaProductos[Nombre producto],TablaProductos[Agrupación]=ProductosPivot!ENV5)</f>
        <v>#VALUE!</v>
      </c>
      <c r="ENW6" s="68" t="e" cm="1" vm="1">
        <f t="array" ref="ENW6">_xlfn._xlws.FILTER(TablaProductos[Nombre producto],TablaProductos[Agrupación]=ProductosPivot!ENW5)</f>
        <v>#VALUE!</v>
      </c>
      <c r="ENX6" s="68" t="e" cm="1" vm="1">
        <f t="array" ref="ENX6">_xlfn._xlws.FILTER(TablaProductos[Nombre producto],TablaProductos[Agrupación]=ProductosPivot!ENX5)</f>
        <v>#VALUE!</v>
      </c>
      <c r="ENY6" s="68" t="e" cm="1" vm="1">
        <f t="array" ref="ENY6">_xlfn._xlws.FILTER(TablaProductos[Nombre producto],TablaProductos[Agrupación]=ProductosPivot!ENY5)</f>
        <v>#VALUE!</v>
      </c>
      <c r="ENZ6" s="68" t="e" cm="1" vm="1">
        <f t="array" ref="ENZ6">_xlfn._xlws.FILTER(TablaProductos[Nombre producto],TablaProductos[Agrupación]=ProductosPivot!ENZ5)</f>
        <v>#VALUE!</v>
      </c>
      <c r="EOA6" s="68" t="e" cm="1" vm="1">
        <f t="array" ref="EOA6">_xlfn._xlws.FILTER(TablaProductos[Nombre producto],TablaProductos[Agrupación]=ProductosPivot!EOA5)</f>
        <v>#VALUE!</v>
      </c>
      <c r="EOB6" s="68" t="e" cm="1" vm="1">
        <f t="array" ref="EOB6">_xlfn._xlws.FILTER(TablaProductos[Nombre producto],TablaProductos[Agrupación]=ProductosPivot!EOB5)</f>
        <v>#VALUE!</v>
      </c>
      <c r="EOC6" s="68" t="e" cm="1" vm="1">
        <f t="array" ref="EOC6">_xlfn._xlws.FILTER(TablaProductos[Nombre producto],TablaProductos[Agrupación]=ProductosPivot!EOC5)</f>
        <v>#VALUE!</v>
      </c>
      <c r="EOD6" s="68" t="e" cm="1" vm="1">
        <f t="array" ref="EOD6">_xlfn._xlws.FILTER(TablaProductos[Nombre producto],TablaProductos[Agrupación]=ProductosPivot!EOD5)</f>
        <v>#VALUE!</v>
      </c>
      <c r="EOE6" s="68" t="e" cm="1" vm="1">
        <f t="array" ref="EOE6">_xlfn._xlws.FILTER(TablaProductos[Nombre producto],TablaProductos[Agrupación]=ProductosPivot!EOE5)</f>
        <v>#VALUE!</v>
      </c>
      <c r="EOF6" s="68" t="e" cm="1" vm="1">
        <f t="array" ref="EOF6">_xlfn._xlws.FILTER(TablaProductos[Nombre producto],TablaProductos[Agrupación]=ProductosPivot!EOF5)</f>
        <v>#VALUE!</v>
      </c>
      <c r="EOG6" s="68" t="e" cm="1" vm="1">
        <f t="array" ref="EOG6">_xlfn._xlws.FILTER(TablaProductos[Nombre producto],TablaProductos[Agrupación]=ProductosPivot!EOG5)</f>
        <v>#VALUE!</v>
      </c>
      <c r="EOH6" s="68" t="e" cm="1" vm="1">
        <f t="array" ref="EOH6">_xlfn._xlws.FILTER(TablaProductos[Nombre producto],TablaProductos[Agrupación]=ProductosPivot!EOH5)</f>
        <v>#VALUE!</v>
      </c>
      <c r="EOI6" s="68" t="e" cm="1" vm="1">
        <f t="array" ref="EOI6">_xlfn._xlws.FILTER(TablaProductos[Nombre producto],TablaProductos[Agrupación]=ProductosPivot!EOI5)</f>
        <v>#VALUE!</v>
      </c>
      <c r="EOJ6" s="68" t="e" cm="1" vm="1">
        <f t="array" ref="EOJ6">_xlfn._xlws.FILTER(TablaProductos[Nombre producto],TablaProductos[Agrupación]=ProductosPivot!EOJ5)</f>
        <v>#VALUE!</v>
      </c>
      <c r="EOK6" s="68" t="e" cm="1" vm="1">
        <f t="array" ref="EOK6">_xlfn._xlws.FILTER(TablaProductos[Nombre producto],TablaProductos[Agrupación]=ProductosPivot!EOK5)</f>
        <v>#VALUE!</v>
      </c>
      <c r="EOL6" s="68" t="e" cm="1" vm="1">
        <f t="array" ref="EOL6">_xlfn._xlws.FILTER(TablaProductos[Nombre producto],TablaProductos[Agrupación]=ProductosPivot!EOL5)</f>
        <v>#VALUE!</v>
      </c>
      <c r="EOM6" s="68" t="e" cm="1" vm="1">
        <f t="array" ref="EOM6">_xlfn._xlws.FILTER(TablaProductos[Nombre producto],TablaProductos[Agrupación]=ProductosPivot!EOM5)</f>
        <v>#VALUE!</v>
      </c>
      <c r="EON6" s="68" t="e" cm="1" vm="1">
        <f t="array" ref="EON6">_xlfn._xlws.FILTER(TablaProductos[Nombre producto],TablaProductos[Agrupación]=ProductosPivot!EON5)</f>
        <v>#VALUE!</v>
      </c>
      <c r="EOO6" s="68" t="e" cm="1" vm="1">
        <f t="array" ref="EOO6">_xlfn._xlws.FILTER(TablaProductos[Nombre producto],TablaProductos[Agrupación]=ProductosPivot!EOO5)</f>
        <v>#VALUE!</v>
      </c>
      <c r="EOP6" s="68" t="e" cm="1" vm="1">
        <f t="array" ref="EOP6">_xlfn._xlws.FILTER(TablaProductos[Nombre producto],TablaProductos[Agrupación]=ProductosPivot!EOP5)</f>
        <v>#VALUE!</v>
      </c>
      <c r="EOQ6" s="68" t="e" cm="1" vm="1">
        <f t="array" ref="EOQ6">_xlfn._xlws.FILTER(TablaProductos[Nombre producto],TablaProductos[Agrupación]=ProductosPivot!EOQ5)</f>
        <v>#VALUE!</v>
      </c>
      <c r="EOR6" s="68" t="e" cm="1" vm="1">
        <f t="array" ref="EOR6">_xlfn._xlws.FILTER(TablaProductos[Nombre producto],TablaProductos[Agrupación]=ProductosPivot!EOR5)</f>
        <v>#VALUE!</v>
      </c>
      <c r="EOS6" s="68" t="e" cm="1" vm="1">
        <f t="array" ref="EOS6">_xlfn._xlws.FILTER(TablaProductos[Nombre producto],TablaProductos[Agrupación]=ProductosPivot!EOS5)</f>
        <v>#VALUE!</v>
      </c>
      <c r="EOT6" s="68" t="e" cm="1" vm="1">
        <f t="array" ref="EOT6">_xlfn._xlws.FILTER(TablaProductos[Nombre producto],TablaProductos[Agrupación]=ProductosPivot!EOT5)</f>
        <v>#VALUE!</v>
      </c>
      <c r="EOU6" s="68" t="e" cm="1" vm="1">
        <f t="array" ref="EOU6">_xlfn._xlws.FILTER(TablaProductos[Nombre producto],TablaProductos[Agrupación]=ProductosPivot!EOU5)</f>
        <v>#VALUE!</v>
      </c>
      <c r="EOV6" s="68" t="e" cm="1" vm="1">
        <f t="array" ref="EOV6">_xlfn._xlws.FILTER(TablaProductos[Nombre producto],TablaProductos[Agrupación]=ProductosPivot!EOV5)</f>
        <v>#VALUE!</v>
      </c>
      <c r="EOW6" s="68" t="e" cm="1" vm="1">
        <f t="array" ref="EOW6">_xlfn._xlws.FILTER(TablaProductos[Nombre producto],TablaProductos[Agrupación]=ProductosPivot!EOW5)</f>
        <v>#VALUE!</v>
      </c>
      <c r="EOX6" s="68" t="e" cm="1" vm="1">
        <f t="array" ref="EOX6">_xlfn._xlws.FILTER(TablaProductos[Nombre producto],TablaProductos[Agrupación]=ProductosPivot!EOX5)</f>
        <v>#VALUE!</v>
      </c>
      <c r="EOY6" s="68" t="e" cm="1" vm="1">
        <f t="array" ref="EOY6">_xlfn._xlws.FILTER(TablaProductos[Nombre producto],TablaProductos[Agrupación]=ProductosPivot!EOY5)</f>
        <v>#VALUE!</v>
      </c>
      <c r="EOZ6" s="68" t="e" cm="1" vm="1">
        <f t="array" ref="EOZ6">_xlfn._xlws.FILTER(TablaProductos[Nombre producto],TablaProductos[Agrupación]=ProductosPivot!EOZ5)</f>
        <v>#VALUE!</v>
      </c>
      <c r="EPA6" s="68" t="e" cm="1" vm="1">
        <f t="array" ref="EPA6">_xlfn._xlws.FILTER(TablaProductos[Nombre producto],TablaProductos[Agrupación]=ProductosPivot!EPA5)</f>
        <v>#VALUE!</v>
      </c>
      <c r="EPB6" s="68" t="e" cm="1" vm="1">
        <f t="array" ref="EPB6">_xlfn._xlws.FILTER(TablaProductos[Nombre producto],TablaProductos[Agrupación]=ProductosPivot!EPB5)</f>
        <v>#VALUE!</v>
      </c>
      <c r="EPC6" s="68" t="e" cm="1" vm="1">
        <f t="array" ref="EPC6">_xlfn._xlws.FILTER(TablaProductos[Nombre producto],TablaProductos[Agrupación]=ProductosPivot!EPC5)</f>
        <v>#VALUE!</v>
      </c>
      <c r="EPD6" s="68" t="e" cm="1" vm="1">
        <f t="array" ref="EPD6">_xlfn._xlws.FILTER(TablaProductos[Nombre producto],TablaProductos[Agrupación]=ProductosPivot!EPD5)</f>
        <v>#VALUE!</v>
      </c>
      <c r="EPE6" s="68" t="e" cm="1" vm="1">
        <f t="array" ref="EPE6">_xlfn._xlws.FILTER(TablaProductos[Nombre producto],TablaProductos[Agrupación]=ProductosPivot!EPE5)</f>
        <v>#VALUE!</v>
      </c>
      <c r="EPF6" s="68" t="e" cm="1" vm="1">
        <f t="array" ref="EPF6">_xlfn._xlws.FILTER(TablaProductos[Nombre producto],TablaProductos[Agrupación]=ProductosPivot!EPF5)</f>
        <v>#VALUE!</v>
      </c>
      <c r="EPG6" s="68" t="e" cm="1" vm="1">
        <f t="array" ref="EPG6">_xlfn._xlws.FILTER(TablaProductos[Nombre producto],TablaProductos[Agrupación]=ProductosPivot!EPG5)</f>
        <v>#VALUE!</v>
      </c>
      <c r="EPH6" s="68" t="e" cm="1" vm="1">
        <f t="array" ref="EPH6">_xlfn._xlws.FILTER(TablaProductos[Nombre producto],TablaProductos[Agrupación]=ProductosPivot!EPH5)</f>
        <v>#VALUE!</v>
      </c>
      <c r="EPI6" s="68" t="e" cm="1" vm="1">
        <f t="array" ref="EPI6">_xlfn._xlws.FILTER(TablaProductos[Nombre producto],TablaProductos[Agrupación]=ProductosPivot!EPI5)</f>
        <v>#VALUE!</v>
      </c>
      <c r="EPJ6" s="68" t="e" cm="1" vm="1">
        <f t="array" ref="EPJ6">_xlfn._xlws.FILTER(TablaProductos[Nombre producto],TablaProductos[Agrupación]=ProductosPivot!EPJ5)</f>
        <v>#VALUE!</v>
      </c>
      <c r="EPK6" s="68" t="e" cm="1" vm="1">
        <f t="array" ref="EPK6">_xlfn._xlws.FILTER(TablaProductos[Nombre producto],TablaProductos[Agrupación]=ProductosPivot!EPK5)</f>
        <v>#VALUE!</v>
      </c>
      <c r="EPL6" s="68" t="e" cm="1" vm="1">
        <f t="array" ref="EPL6">_xlfn._xlws.FILTER(TablaProductos[Nombre producto],TablaProductos[Agrupación]=ProductosPivot!EPL5)</f>
        <v>#VALUE!</v>
      </c>
      <c r="EPM6" s="68" t="e" cm="1" vm="1">
        <f t="array" ref="EPM6">_xlfn._xlws.FILTER(TablaProductos[Nombre producto],TablaProductos[Agrupación]=ProductosPivot!EPM5)</f>
        <v>#VALUE!</v>
      </c>
      <c r="EPN6" s="68" t="e" cm="1" vm="1">
        <f t="array" ref="EPN6">_xlfn._xlws.FILTER(TablaProductos[Nombre producto],TablaProductos[Agrupación]=ProductosPivot!EPN5)</f>
        <v>#VALUE!</v>
      </c>
      <c r="EPO6" s="68" t="e" cm="1" vm="1">
        <f t="array" ref="EPO6">_xlfn._xlws.FILTER(TablaProductos[Nombre producto],TablaProductos[Agrupación]=ProductosPivot!EPO5)</f>
        <v>#VALUE!</v>
      </c>
      <c r="EPP6" s="68" t="e" cm="1" vm="1">
        <f t="array" ref="EPP6">_xlfn._xlws.FILTER(TablaProductos[Nombre producto],TablaProductos[Agrupación]=ProductosPivot!EPP5)</f>
        <v>#VALUE!</v>
      </c>
      <c r="EPQ6" s="68" t="e" cm="1" vm="1">
        <f t="array" ref="EPQ6">_xlfn._xlws.FILTER(TablaProductos[Nombre producto],TablaProductos[Agrupación]=ProductosPivot!EPQ5)</f>
        <v>#VALUE!</v>
      </c>
      <c r="EPR6" s="68" t="e" cm="1" vm="1">
        <f t="array" ref="EPR6">_xlfn._xlws.FILTER(TablaProductos[Nombre producto],TablaProductos[Agrupación]=ProductosPivot!EPR5)</f>
        <v>#VALUE!</v>
      </c>
      <c r="EPS6" s="68" t="e" cm="1" vm="1">
        <f t="array" ref="EPS6">_xlfn._xlws.FILTER(TablaProductos[Nombre producto],TablaProductos[Agrupación]=ProductosPivot!EPS5)</f>
        <v>#VALUE!</v>
      </c>
      <c r="EPT6" s="68" t="e" cm="1" vm="1">
        <f t="array" ref="EPT6">_xlfn._xlws.FILTER(TablaProductos[Nombre producto],TablaProductos[Agrupación]=ProductosPivot!EPT5)</f>
        <v>#VALUE!</v>
      </c>
      <c r="EPU6" s="68" t="e" cm="1" vm="1">
        <f t="array" ref="EPU6">_xlfn._xlws.FILTER(TablaProductos[Nombre producto],TablaProductos[Agrupación]=ProductosPivot!EPU5)</f>
        <v>#VALUE!</v>
      </c>
      <c r="EPV6" s="68" t="e" cm="1" vm="1">
        <f t="array" ref="EPV6">_xlfn._xlws.FILTER(TablaProductos[Nombre producto],TablaProductos[Agrupación]=ProductosPivot!EPV5)</f>
        <v>#VALUE!</v>
      </c>
      <c r="EPW6" s="68" t="e" cm="1" vm="1">
        <f t="array" ref="EPW6">_xlfn._xlws.FILTER(TablaProductos[Nombre producto],TablaProductos[Agrupación]=ProductosPivot!EPW5)</f>
        <v>#VALUE!</v>
      </c>
      <c r="EPX6" s="68" t="e" cm="1" vm="1">
        <f t="array" ref="EPX6">_xlfn._xlws.FILTER(TablaProductos[Nombre producto],TablaProductos[Agrupación]=ProductosPivot!EPX5)</f>
        <v>#VALUE!</v>
      </c>
      <c r="EPY6" s="68" t="e" cm="1" vm="1">
        <f t="array" ref="EPY6">_xlfn._xlws.FILTER(TablaProductos[Nombre producto],TablaProductos[Agrupación]=ProductosPivot!EPY5)</f>
        <v>#VALUE!</v>
      </c>
      <c r="EPZ6" s="68" t="e" cm="1" vm="1">
        <f t="array" ref="EPZ6">_xlfn._xlws.FILTER(TablaProductos[Nombre producto],TablaProductos[Agrupación]=ProductosPivot!EPZ5)</f>
        <v>#VALUE!</v>
      </c>
      <c r="EQA6" s="68" t="e" cm="1" vm="1">
        <f t="array" ref="EQA6">_xlfn._xlws.FILTER(TablaProductos[Nombre producto],TablaProductos[Agrupación]=ProductosPivot!EQA5)</f>
        <v>#VALUE!</v>
      </c>
      <c r="EQB6" s="68" t="e" cm="1" vm="1">
        <f t="array" ref="EQB6">_xlfn._xlws.FILTER(TablaProductos[Nombre producto],TablaProductos[Agrupación]=ProductosPivot!EQB5)</f>
        <v>#VALUE!</v>
      </c>
      <c r="EQC6" s="68" t="e" cm="1" vm="1">
        <f t="array" ref="EQC6">_xlfn._xlws.FILTER(TablaProductos[Nombre producto],TablaProductos[Agrupación]=ProductosPivot!EQC5)</f>
        <v>#VALUE!</v>
      </c>
      <c r="EQD6" s="68" t="e" cm="1" vm="1">
        <f t="array" ref="EQD6">_xlfn._xlws.FILTER(TablaProductos[Nombre producto],TablaProductos[Agrupación]=ProductosPivot!EQD5)</f>
        <v>#VALUE!</v>
      </c>
      <c r="EQE6" s="68" t="e" cm="1" vm="1">
        <f t="array" ref="EQE6">_xlfn._xlws.FILTER(TablaProductos[Nombre producto],TablaProductos[Agrupación]=ProductosPivot!EQE5)</f>
        <v>#VALUE!</v>
      </c>
      <c r="EQF6" s="68" t="e" cm="1" vm="1">
        <f t="array" ref="EQF6">_xlfn._xlws.FILTER(TablaProductos[Nombre producto],TablaProductos[Agrupación]=ProductosPivot!EQF5)</f>
        <v>#VALUE!</v>
      </c>
      <c r="EQG6" s="68" t="e" cm="1" vm="1">
        <f t="array" ref="EQG6">_xlfn._xlws.FILTER(TablaProductos[Nombre producto],TablaProductos[Agrupación]=ProductosPivot!EQG5)</f>
        <v>#VALUE!</v>
      </c>
      <c r="EQH6" s="68" t="e" cm="1" vm="1">
        <f t="array" ref="EQH6">_xlfn._xlws.FILTER(TablaProductos[Nombre producto],TablaProductos[Agrupación]=ProductosPivot!EQH5)</f>
        <v>#VALUE!</v>
      </c>
      <c r="EQI6" s="68" t="e" cm="1" vm="1">
        <f t="array" ref="EQI6">_xlfn._xlws.FILTER(TablaProductos[Nombre producto],TablaProductos[Agrupación]=ProductosPivot!EQI5)</f>
        <v>#VALUE!</v>
      </c>
      <c r="EQJ6" s="68" t="e" cm="1" vm="1">
        <f t="array" ref="EQJ6">_xlfn._xlws.FILTER(TablaProductos[Nombre producto],TablaProductos[Agrupación]=ProductosPivot!EQJ5)</f>
        <v>#VALUE!</v>
      </c>
      <c r="EQK6" s="68" t="e" cm="1" vm="1">
        <f t="array" ref="EQK6">_xlfn._xlws.FILTER(TablaProductos[Nombre producto],TablaProductos[Agrupación]=ProductosPivot!EQK5)</f>
        <v>#VALUE!</v>
      </c>
      <c r="EQL6" s="68" t="e" cm="1" vm="1">
        <f t="array" ref="EQL6">_xlfn._xlws.FILTER(TablaProductos[Nombre producto],TablaProductos[Agrupación]=ProductosPivot!EQL5)</f>
        <v>#VALUE!</v>
      </c>
      <c r="EQM6" s="68" t="e" cm="1" vm="1">
        <f t="array" ref="EQM6">_xlfn._xlws.FILTER(TablaProductos[Nombre producto],TablaProductos[Agrupación]=ProductosPivot!EQM5)</f>
        <v>#VALUE!</v>
      </c>
      <c r="EQN6" s="68" t="e" cm="1" vm="1">
        <f t="array" ref="EQN6">_xlfn._xlws.FILTER(TablaProductos[Nombre producto],TablaProductos[Agrupación]=ProductosPivot!EQN5)</f>
        <v>#VALUE!</v>
      </c>
      <c r="EQO6" s="68" t="e" cm="1" vm="1">
        <f t="array" ref="EQO6">_xlfn._xlws.FILTER(TablaProductos[Nombre producto],TablaProductos[Agrupación]=ProductosPivot!EQO5)</f>
        <v>#VALUE!</v>
      </c>
      <c r="EQP6" s="68" t="e" cm="1" vm="1">
        <f t="array" ref="EQP6">_xlfn._xlws.FILTER(TablaProductos[Nombre producto],TablaProductos[Agrupación]=ProductosPivot!EQP5)</f>
        <v>#VALUE!</v>
      </c>
      <c r="EQQ6" s="68" t="e" cm="1" vm="1">
        <f t="array" ref="EQQ6">_xlfn._xlws.FILTER(TablaProductos[Nombre producto],TablaProductos[Agrupación]=ProductosPivot!EQQ5)</f>
        <v>#VALUE!</v>
      </c>
      <c r="EQR6" s="68" t="e" cm="1" vm="1">
        <f t="array" ref="EQR6">_xlfn._xlws.FILTER(TablaProductos[Nombre producto],TablaProductos[Agrupación]=ProductosPivot!EQR5)</f>
        <v>#VALUE!</v>
      </c>
      <c r="EQS6" s="68" t="e" cm="1" vm="1">
        <f t="array" ref="EQS6">_xlfn._xlws.FILTER(TablaProductos[Nombre producto],TablaProductos[Agrupación]=ProductosPivot!EQS5)</f>
        <v>#VALUE!</v>
      </c>
      <c r="EQT6" s="68" t="e" cm="1" vm="1">
        <f t="array" ref="EQT6">_xlfn._xlws.FILTER(TablaProductos[Nombre producto],TablaProductos[Agrupación]=ProductosPivot!EQT5)</f>
        <v>#VALUE!</v>
      </c>
      <c r="EQU6" s="68" t="e" cm="1" vm="1">
        <f t="array" ref="EQU6">_xlfn._xlws.FILTER(TablaProductos[Nombre producto],TablaProductos[Agrupación]=ProductosPivot!EQU5)</f>
        <v>#VALUE!</v>
      </c>
      <c r="EQV6" s="68" t="e" cm="1" vm="1">
        <f t="array" ref="EQV6">_xlfn._xlws.FILTER(TablaProductos[Nombre producto],TablaProductos[Agrupación]=ProductosPivot!EQV5)</f>
        <v>#VALUE!</v>
      </c>
      <c r="EQW6" s="68" t="e" cm="1" vm="1">
        <f t="array" ref="EQW6">_xlfn._xlws.FILTER(TablaProductos[Nombre producto],TablaProductos[Agrupación]=ProductosPivot!EQW5)</f>
        <v>#VALUE!</v>
      </c>
      <c r="EQX6" s="68" t="e" cm="1" vm="1">
        <f t="array" ref="EQX6">_xlfn._xlws.FILTER(TablaProductos[Nombre producto],TablaProductos[Agrupación]=ProductosPivot!EQX5)</f>
        <v>#VALUE!</v>
      </c>
      <c r="EQY6" s="68" t="e" cm="1" vm="1">
        <f t="array" ref="EQY6">_xlfn._xlws.FILTER(TablaProductos[Nombre producto],TablaProductos[Agrupación]=ProductosPivot!EQY5)</f>
        <v>#VALUE!</v>
      </c>
      <c r="EQZ6" s="68" t="e" cm="1" vm="1">
        <f t="array" ref="EQZ6">_xlfn._xlws.FILTER(TablaProductos[Nombre producto],TablaProductos[Agrupación]=ProductosPivot!EQZ5)</f>
        <v>#VALUE!</v>
      </c>
      <c r="ERA6" s="68" t="e" cm="1" vm="1">
        <f t="array" ref="ERA6">_xlfn._xlws.FILTER(TablaProductos[Nombre producto],TablaProductos[Agrupación]=ProductosPivot!ERA5)</f>
        <v>#VALUE!</v>
      </c>
      <c r="ERB6" s="68" t="e" cm="1" vm="1">
        <f t="array" ref="ERB6">_xlfn._xlws.FILTER(TablaProductos[Nombre producto],TablaProductos[Agrupación]=ProductosPivot!ERB5)</f>
        <v>#VALUE!</v>
      </c>
      <c r="ERC6" s="68" t="e" cm="1" vm="1">
        <f t="array" ref="ERC6">_xlfn._xlws.FILTER(TablaProductos[Nombre producto],TablaProductos[Agrupación]=ProductosPivot!ERC5)</f>
        <v>#VALUE!</v>
      </c>
      <c r="ERD6" s="68" t="e" cm="1" vm="1">
        <f t="array" ref="ERD6">_xlfn._xlws.FILTER(TablaProductos[Nombre producto],TablaProductos[Agrupación]=ProductosPivot!ERD5)</f>
        <v>#VALUE!</v>
      </c>
      <c r="ERE6" s="68" t="e" cm="1" vm="1">
        <f t="array" ref="ERE6">_xlfn._xlws.FILTER(TablaProductos[Nombre producto],TablaProductos[Agrupación]=ProductosPivot!ERE5)</f>
        <v>#VALUE!</v>
      </c>
      <c r="ERF6" s="68" t="e" cm="1" vm="1">
        <f t="array" ref="ERF6">_xlfn._xlws.FILTER(TablaProductos[Nombre producto],TablaProductos[Agrupación]=ProductosPivot!ERF5)</f>
        <v>#VALUE!</v>
      </c>
      <c r="ERG6" s="68" t="e" cm="1" vm="1">
        <f t="array" ref="ERG6">_xlfn._xlws.FILTER(TablaProductos[Nombre producto],TablaProductos[Agrupación]=ProductosPivot!ERG5)</f>
        <v>#VALUE!</v>
      </c>
      <c r="ERH6" s="68" t="e" cm="1" vm="1">
        <f t="array" ref="ERH6">_xlfn._xlws.FILTER(TablaProductos[Nombre producto],TablaProductos[Agrupación]=ProductosPivot!ERH5)</f>
        <v>#VALUE!</v>
      </c>
      <c r="ERI6" s="68" t="e" cm="1" vm="1">
        <f t="array" ref="ERI6">_xlfn._xlws.FILTER(TablaProductos[Nombre producto],TablaProductos[Agrupación]=ProductosPivot!ERI5)</f>
        <v>#VALUE!</v>
      </c>
      <c r="ERJ6" s="68" t="e" cm="1" vm="1">
        <f t="array" ref="ERJ6">_xlfn._xlws.FILTER(TablaProductos[Nombre producto],TablaProductos[Agrupación]=ProductosPivot!ERJ5)</f>
        <v>#VALUE!</v>
      </c>
      <c r="ERK6" s="68" t="e" cm="1" vm="1">
        <f t="array" ref="ERK6">_xlfn._xlws.FILTER(TablaProductos[Nombre producto],TablaProductos[Agrupación]=ProductosPivot!ERK5)</f>
        <v>#VALUE!</v>
      </c>
      <c r="ERL6" s="68" t="e" cm="1" vm="1">
        <f t="array" ref="ERL6">_xlfn._xlws.FILTER(TablaProductos[Nombre producto],TablaProductos[Agrupación]=ProductosPivot!ERL5)</f>
        <v>#VALUE!</v>
      </c>
      <c r="ERM6" s="68" t="e" cm="1" vm="1">
        <f t="array" ref="ERM6">_xlfn._xlws.FILTER(TablaProductos[Nombre producto],TablaProductos[Agrupación]=ProductosPivot!ERM5)</f>
        <v>#VALUE!</v>
      </c>
      <c r="ERN6" s="68" t="e" cm="1" vm="1">
        <f t="array" ref="ERN6">_xlfn._xlws.FILTER(TablaProductos[Nombre producto],TablaProductos[Agrupación]=ProductosPivot!ERN5)</f>
        <v>#VALUE!</v>
      </c>
      <c r="ERO6" s="68" t="e" cm="1" vm="1">
        <f t="array" ref="ERO6">_xlfn._xlws.FILTER(TablaProductos[Nombre producto],TablaProductos[Agrupación]=ProductosPivot!ERO5)</f>
        <v>#VALUE!</v>
      </c>
      <c r="ERP6" s="68" t="e" cm="1" vm="1">
        <f t="array" ref="ERP6">_xlfn._xlws.FILTER(TablaProductos[Nombre producto],TablaProductos[Agrupación]=ProductosPivot!ERP5)</f>
        <v>#VALUE!</v>
      </c>
      <c r="ERQ6" s="68" t="e" cm="1" vm="1">
        <f t="array" ref="ERQ6">_xlfn._xlws.FILTER(TablaProductos[Nombre producto],TablaProductos[Agrupación]=ProductosPivot!ERQ5)</f>
        <v>#VALUE!</v>
      </c>
      <c r="ERR6" s="68" t="e" cm="1" vm="1">
        <f t="array" ref="ERR6">_xlfn._xlws.FILTER(TablaProductos[Nombre producto],TablaProductos[Agrupación]=ProductosPivot!ERR5)</f>
        <v>#VALUE!</v>
      </c>
      <c r="ERS6" s="68" t="e" cm="1" vm="1">
        <f t="array" ref="ERS6">_xlfn._xlws.FILTER(TablaProductos[Nombre producto],TablaProductos[Agrupación]=ProductosPivot!ERS5)</f>
        <v>#VALUE!</v>
      </c>
      <c r="ERT6" s="68" t="e" cm="1" vm="1">
        <f t="array" ref="ERT6">_xlfn._xlws.FILTER(TablaProductos[Nombre producto],TablaProductos[Agrupación]=ProductosPivot!ERT5)</f>
        <v>#VALUE!</v>
      </c>
      <c r="ERU6" s="68" t="e" cm="1" vm="1">
        <f t="array" ref="ERU6">_xlfn._xlws.FILTER(TablaProductos[Nombre producto],TablaProductos[Agrupación]=ProductosPivot!ERU5)</f>
        <v>#VALUE!</v>
      </c>
      <c r="ERV6" s="68" t="e" cm="1" vm="1">
        <f t="array" ref="ERV6">_xlfn._xlws.FILTER(TablaProductos[Nombre producto],TablaProductos[Agrupación]=ProductosPivot!ERV5)</f>
        <v>#VALUE!</v>
      </c>
      <c r="ERW6" s="68" t="e" cm="1" vm="1">
        <f t="array" ref="ERW6">_xlfn._xlws.FILTER(TablaProductos[Nombre producto],TablaProductos[Agrupación]=ProductosPivot!ERW5)</f>
        <v>#VALUE!</v>
      </c>
      <c r="ERX6" s="68" t="e" cm="1" vm="1">
        <f t="array" ref="ERX6">_xlfn._xlws.FILTER(TablaProductos[Nombre producto],TablaProductos[Agrupación]=ProductosPivot!ERX5)</f>
        <v>#VALUE!</v>
      </c>
      <c r="ERY6" s="68" t="e" cm="1" vm="1">
        <f t="array" ref="ERY6">_xlfn._xlws.FILTER(TablaProductos[Nombre producto],TablaProductos[Agrupación]=ProductosPivot!ERY5)</f>
        <v>#VALUE!</v>
      </c>
      <c r="ERZ6" s="68" t="e" cm="1" vm="1">
        <f t="array" ref="ERZ6">_xlfn._xlws.FILTER(TablaProductos[Nombre producto],TablaProductos[Agrupación]=ProductosPivot!ERZ5)</f>
        <v>#VALUE!</v>
      </c>
      <c r="ESA6" s="68" t="e" cm="1" vm="1">
        <f t="array" ref="ESA6">_xlfn._xlws.FILTER(TablaProductos[Nombre producto],TablaProductos[Agrupación]=ProductosPivot!ESA5)</f>
        <v>#VALUE!</v>
      </c>
      <c r="ESB6" s="68" t="e" cm="1" vm="1">
        <f t="array" ref="ESB6">_xlfn._xlws.FILTER(TablaProductos[Nombre producto],TablaProductos[Agrupación]=ProductosPivot!ESB5)</f>
        <v>#VALUE!</v>
      </c>
      <c r="ESC6" s="68" t="e" cm="1" vm="1">
        <f t="array" ref="ESC6">_xlfn._xlws.FILTER(TablaProductos[Nombre producto],TablaProductos[Agrupación]=ProductosPivot!ESC5)</f>
        <v>#VALUE!</v>
      </c>
      <c r="ESD6" s="68" t="e" cm="1" vm="1">
        <f t="array" ref="ESD6">_xlfn._xlws.FILTER(TablaProductos[Nombre producto],TablaProductos[Agrupación]=ProductosPivot!ESD5)</f>
        <v>#VALUE!</v>
      </c>
      <c r="ESE6" s="68" t="e" cm="1" vm="1">
        <f t="array" ref="ESE6">_xlfn._xlws.FILTER(TablaProductos[Nombre producto],TablaProductos[Agrupación]=ProductosPivot!ESE5)</f>
        <v>#VALUE!</v>
      </c>
      <c r="ESF6" s="68" t="e" cm="1" vm="1">
        <f t="array" ref="ESF6">_xlfn._xlws.FILTER(TablaProductos[Nombre producto],TablaProductos[Agrupación]=ProductosPivot!ESF5)</f>
        <v>#VALUE!</v>
      </c>
      <c r="ESG6" s="68" t="e" cm="1" vm="1">
        <f t="array" ref="ESG6">_xlfn._xlws.FILTER(TablaProductos[Nombre producto],TablaProductos[Agrupación]=ProductosPivot!ESG5)</f>
        <v>#VALUE!</v>
      </c>
      <c r="ESH6" s="68" t="e" cm="1" vm="1">
        <f t="array" ref="ESH6">_xlfn._xlws.FILTER(TablaProductos[Nombre producto],TablaProductos[Agrupación]=ProductosPivot!ESH5)</f>
        <v>#VALUE!</v>
      </c>
      <c r="ESI6" s="68" t="e" cm="1" vm="1">
        <f t="array" ref="ESI6">_xlfn._xlws.FILTER(TablaProductos[Nombre producto],TablaProductos[Agrupación]=ProductosPivot!ESI5)</f>
        <v>#VALUE!</v>
      </c>
      <c r="ESJ6" s="68" t="e" cm="1" vm="1">
        <f t="array" ref="ESJ6">_xlfn._xlws.FILTER(TablaProductos[Nombre producto],TablaProductos[Agrupación]=ProductosPivot!ESJ5)</f>
        <v>#VALUE!</v>
      </c>
      <c r="ESK6" s="68" t="e" cm="1" vm="1">
        <f t="array" ref="ESK6">_xlfn._xlws.FILTER(TablaProductos[Nombre producto],TablaProductos[Agrupación]=ProductosPivot!ESK5)</f>
        <v>#VALUE!</v>
      </c>
      <c r="ESL6" s="68" t="e" cm="1" vm="1">
        <f t="array" ref="ESL6">_xlfn._xlws.FILTER(TablaProductos[Nombre producto],TablaProductos[Agrupación]=ProductosPivot!ESL5)</f>
        <v>#VALUE!</v>
      </c>
      <c r="ESM6" s="68" t="e" cm="1" vm="1">
        <f t="array" ref="ESM6">_xlfn._xlws.FILTER(TablaProductos[Nombre producto],TablaProductos[Agrupación]=ProductosPivot!ESM5)</f>
        <v>#VALUE!</v>
      </c>
      <c r="ESN6" s="68" t="e" cm="1" vm="1">
        <f t="array" ref="ESN6">_xlfn._xlws.FILTER(TablaProductos[Nombre producto],TablaProductos[Agrupación]=ProductosPivot!ESN5)</f>
        <v>#VALUE!</v>
      </c>
      <c r="ESO6" s="68" t="e" cm="1" vm="1">
        <f t="array" ref="ESO6">_xlfn._xlws.FILTER(TablaProductos[Nombre producto],TablaProductos[Agrupación]=ProductosPivot!ESO5)</f>
        <v>#VALUE!</v>
      </c>
      <c r="ESP6" s="68" t="e" cm="1" vm="1">
        <f t="array" ref="ESP6">_xlfn._xlws.FILTER(TablaProductos[Nombre producto],TablaProductos[Agrupación]=ProductosPivot!ESP5)</f>
        <v>#VALUE!</v>
      </c>
      <c r="ESQ6" s="68" t="e" cm="1" vm="1">
        <f t="array" ref="ESQ6">_xlfn._xlws.FILTER(TablaProductos[Nombre producto],TablaProductos[Agrupación]=ProductosPivot!ESQ5)</f>
        <v>#VALUE!</v>
      </c>
      <c r="ESR6" s="68" t="e" cm="1" vm="1">
        <f t="array" ref="ESR6">_xlfn._xlws.FILTER(TablaProductos[Nombre producto],TablaProductos[Agrupación]=ProductosPivot!ESR5)</f>
        <v>#VALUE!</v>
      </c>
      <c r="ESS6" s="68" t="e" cm="1" vm="1">
        <f t="array" ref="ESS6">_xlfn._xlws.FILTER(TablaProductos[Nombre producto],TablaProductos[Agrupación]=ProductosPivot!ESS5)</f>
        <v>#VALUE!</v>
      </c>
      <c r="EST6" s="68" t="e" cm="1" vm="1">
        <f t="array" ref="EST6">_xlfn._xlws.FILTER(TablaProductos[Nombre producto],TablaProductos[Agrupación]=ProductosPivot!EST5)</f>
        <v>#VALUE!</v>
      </c>
      <c r="ESU6" s="68" t="e" cm="1" vm="1">
        <f t="array" ref="ESU6">_xlfn._xlws.FILTER(TablaProductos[Nombre producto],TablaProductos[Agrupación]=ProductosPivot!ESU5)</f>
        <v>#VALUE!</v>
      </c>
      <c r="ESV6" s="68" t="e" cm="1" vm="1">
        <f t="array" ref="ESV6">_xlfn._xlws.FILTER(TablaProductos[Nombre producto],TablaProductos[Agrupación]=ProductosPivot!ESV5)</f>
        <v>#VALUE!</v>
      </c>
      <c r="ESW6" s="68" t="e" cm="1" vm="1">
        <f t="array" ref="ESW6">_xlfn._xlws.FILTER(TablaProductos[Nombre producto],TablaProductos[Agrupación]=ProductosPivot!ESW5)</f>
        <v>#VALUE!</v>
      </c>
      <c r="ESX6" s="68" t="e" cm="1" vm="1">
        <f t="array" ref="ESX6">_xlfn._xlws.FILTER(TablaProductos[Nombre producto],TablaProductos[Agrupación]=ProductosPivot!ESX5)</f>
        <v>#VALUE!</v>
      </c>
      <c r="ESY6" s="68" t="e" cm="1" vm="1">
        <f t="array" ref="ESY6">_xlfn._xlws.FILTER(TablaProductos[Nombre producto],TablaProductos[Agrupación]=ProductosPivot!ESY5)</f>
        <v>#VALUE!</v>
      </c>
      <c r="ESZ6" s="68" t="e" cm="1" vm="1">
        <f t="array" ref="ESZ6">_xlfn._xlws.FILTER(TablaProductos[Nombre producto],TablaProductos[Agrupación]=ProductosPivot!ESZ5)</f>
        <v>#VALUE!</v>
      </c>
      <c r="ETA6" s="68" t="e" cm="1" vm="1">
        <f t="array" ref="ETA6">_xlfn._xlws.FILTER(TablaProductos[Nombre producto],TablaProductos[Agrupación]=ProductosPivot!ETA5)</f>
        <v>#VALUE!</v>
      </c>
      <c r="ETB6" s="68" t="e" cm="1" vm="1">
        <f t="array" ref="ETB6">_xlfn._xlws.FILTER(TablaProductos[Nombre producto],TablaProductos[Agrupación]=ProductosPivot!ETB5)</f>
        <v>#VALUE!</v>
      </c>
      <c r="ETC6" s="68" t="e" cm="1" vm="1">
        <f t="array" ref="ETC6">_xlfn._xlws.FILTER(TablaProductos[Nombre producto],TablaProductos[Agrupación]=ProductosPivot!ETC5)</f>
        <v>#VALUE!</v>
      </c>
      <c r="ETD6" s="68" t="e" cm="1" vm="1">
        <f t="array" ref="ETD6">_xlfn._xlws.FILTER(TablaProductos[Nombre producto],TablaProductos[Agrupación]=ProductosPivot!ETD5)</f>
        <v>#VALUE!</v>
      </c>
      <c r="ETE6" s="68" t="e" cm="1" vm="1">
        <f t="array" ref="ETE6">_xlfn._xlws.FILTER(TablaProductos[Nombre producto],TablaProductos[Agrupación]=ProductosPivot!ETE5)</f>
        <v>#VALUE!</v>
      </c>
      <c r="ETF6" s="68" t="e" cm="1" vm="1">
        <f t="array" ref="ETF6">_xlfn._xlws.FILTER(TablaProductos[Nombre producto],TablaProductos[Agrupación]=ProductosPivot!ETF5)</f>
        <v>#VALUE!</v>
      </c>
      <c r="ETG6" s="68" t="e" cm="1" vm="1">
        <f t="array" ref="ETG6">_xlfn._xlws.FILTER(TablaProductos[Nombre producto],TablaProductos[Agrupación]=ProductosPivot!ETG5)</f>
        <v>#VALUE!</v>
      </c>
      <c r="ETH6" s="68" t="e" cm="1" vm="1">
        <f t="array" ref="ETH6">_xlfn._xlws.FILTER(TablaProductos[Nombre producto],TablaProductos[Agrupación]=ProductosPivot!ETH5)</f>
        <v>#VALUE!</v>
      </c>
      <c r="ETI6" s="68" t="e" cm="1" vm="1">
        <f t="array" ref="ETI6">_xlfn._xlws.FILTER(TablaProductos[Nombre producto],TablaProductos[Agrupación]=ProductosPivot!ETI5)</f>
        <v>#VALUE!</v>
      </c>
      <c r="ETJ6" s="68" t="e" cm="1" vm="1">
        <f t="array" ref="ETJ6">_xlfn._xlws.FILTER(TablaProductos[Nombre producto],TablaProductos[Agrupación]=ProductosPivot!ETJ5)</f>
        <v>#VALUE!</v>
      </c>
      <c r="ETK6" s="68" t="e" cm="1" vm="1">
        <f t="array" ref="ETK6">_xlfn._xlws.FILTER(TablaProductos[Nombre producto],TablaProductos[Agrupación]=ProductosPivot!ETK5)</f>
        <v>#VALUE!</v>
      </c>
      <c r="ETL6" s="68" t="e" cm="1" vm="1">
        <f t="array" ref="ETL6">_xlfn._xlws.FILTER(TablaProductos[Nombre producto],TablaProductos[Agrupación]=ProductosPivot!ETL5)</f>
        <v>#VALUE!</v>
      </c>
      <c r="ETM6" s="68" t="e" cm="1" vm="1">
        <f t="array" ref="ETM6">_xlfn._xlws.FILTER(TablaProductos[Nombre producto],TablaProductos[Agrupación]=ProductosPivot!ETM5)</f>
        <v>#VALUE!</v>
      </c>
      <c r="ETN6" s="68" t="e" cm="1" vm="1">
        <f t="array" ref="ETN6">_xlfn._xlws.FILTER(TablaProductos[Nombre producto],TablaProductos[Agrupación]=ProductosPivot!ETN5)</f>
        <v>#VALUE!</v>
      </c>
      <c r="ETO6" s="68" t="e" cm="1" vm="1">
        <f t="array" ref="ETO6">_xlfn._xlws.FILTER(TablaProductos[Nombre producto],TablaProductos[Agrupación]=ProductosPivot!ETO5)</f>
        <v>#VALUE!</v>
      </c>
      <c r="ETP6" s="68" t="e" cm="1" vm="1">
        <f t="array" ref="ETP6">_xlfn._xlws.FILTER(TablaProductos[Nombre producto],TablaProductos[Agrupación]=ProductosPivot!ETP5)</f>
        <v>#VALUE!</v>
      </c>
      <c r="ETQ6" s="68" t="e" cm="1" vm="1">
        <f t="array" ref="ETQ6">_xlfn._xlws.FILTER(TablaProductos[Nombre producto],TablaProductos[Agrupación]=ProductosPivot!ETQ5)</f>
        <v>#VALUE!</v>
      </c>
      <c r="ETR6" s="68" t="e" cm="1" vm="1">
        <f t="array" ref="ETR6">_xlfn._xlws.FILTER(TablaProductos[Nombre producto],TablaProductos[Agrupación]=ProductosPivot!ETR5)</f>
        <v>#VALUE!</v>
      </c>
      <c r="ETS6" s="68" t="e" cm="1" vm="1">
        <f t="array" ref="ETS6">_xlfn._xlws.FILTER(TablaProductos[Nombre producto],TablaProductos[Agrupación]=ProductosPivot!ETS5)</f>
        <v>#VALUE!</v>
      </c>
      <c r="ETT6" s="68" t="e" cm="1" vm="1">
        <f t="array" ref="ETT6">_xlfn._xlws.FILTER(TablaProductos[Nombre producto],TablaProductos[Agrupación]=ProductosPivot!ETT5)</f>
        <v>#VALUE!</v>
      </c>
      <c r="ETU6" s="68" t="e" cm="1" vm="1">
        <f t="array" ref="ETU6">_xlfn._xlws.FILTER(TablaProductos[Nombre producto],TablaProductos[Agrupación]=ProductosPivot!ETU5)</f>
        <v>#VALUE!</v>
      </c>
      <c r="ETV6" s="68" t="e" cm="1" vm="1">
        <f t="array" ref="ETV6">_xlfn._xlws.FILTER(TablaProductos[Nombre producto],TablaProductos[Agrupación]=ProductosPivot!ETV5)</f>
        <v>#VALUE!</v>
      </c>
      <c r="ETW6" s="68" t="e" cm="1" vm="1">
        <f t="array" ref="ETW6">_xlfn._xlws.FILTER(TablaProductos[Nombre producto],TablaProductos[Agrupación]=ProductosPivot!ETW5)</f>
        <v>#VALUE!</v>
      </c>
      <c r="ETX6" s="68" t="e" cm="1" vm="1">
        <f t="array" ref="ETX6">_xlfn._xlws.FILTER(TablaProductos[Nombre producto],TablaProductos[Agrupación]=ProductosPivot!ETX5)</f>
        <v>#VALUE!</v>
      </c>
      <c r="ETY6" s="68" t="e" cm="1" vm="1">
        <f t="array" ref="ETY6">_xlfn._xlws.FILTER(TablaProductos[Nombre producto],TablaProductos[Agrupación]=ProductosPivot!ETY5)</f>
        <v>#VALUE!</v>
      </c>
      <c r="ETZ6" s="68" t="e" cm="1" vm="1">
        <f t="array" ref="ETZ6">_xlfn._xlws.FILTER(TablaProductos[Nombre producto],TablaProductos[Agrupación]=ProductosPivot!ETZ5)</f>
        <v>#VALUE!</v>
      </c>
      <c r="EUA6" s="68" t="e" cm="1" vm="1">
        <f t="array" ref="EUA6">_xlfn._xlws.FILTER(TablaProductos[Nombre producto],TablaProductos[Agrupación]=ProductosPivot!EUA5)</f>
        <v>#VALUE!</v>
      </c>
      <c r="EUB6" s="68" t="e" cm="1" vm="1">
        <f t="array" ref="EUB6">_xlfn._xlws.FILTER(TablaProductos[Nombre producto],TablaProductos[Agrupación]=ProductosPivot!EUB5)</f>
        <v>#VALUE!</v>
      </c>
      <c r="EUC6" s="68" t="e" cm="1" vm="1">
        <f t="array" ref="EUC6">_xlfn._xlws.FILTER(TablaProductos[Nombre producto],TablaProductos[Agrupación]=ProductosPivot!EUC5)</f>
        <v>#VALUE!</v>
      </c>
      <c r="EUD6" s="68" t="e" cm="1" vm="1">
        <f t="array" ref="EUD6">_xlfn._xlws.FILTER(TablaProductos[Nombre producto],TablaProductos[Agrupación]=ProductosPivot!EUD5)</f>
        <v>#VALUE!</v>
      </c>
      <c r="EUE6" s="68" t="e" cm="1" vm="1">
        <f t="array" ref="EUE6">_xlfn._xlws.FILTER(TablaProductos[Nombre producto],TablaProductos[Agrupación]=ProductosPivot!EUE5)</f>
        <v>#VALUE!</v>
      </c>
      <c r="EUF6" s="68" t="e" cm="1" vm="1">
        <f t="array" ref="EUF6">_xlfn._xlws.FILTER(TablaProductos[Nombre producto],TablaProductos[Agrupación]=ProductosPivot!EUF5)</f>
        <v>#VALUE!</v>
      </c>
      <c r="EUG6" s="68" t="e" cm="1" vm="1">
        <f t="array" ref="EUG6">_xlfn._xlws.FILTER(TablaProductos[Nombre producto],TablaProductos[Agrupación]=ProductosPivot!EUG5)</f>
        <v>#VALUE!</v>
      </c>
      <c r="EUH6" s="68" t="e" cm="1" vm="1">
        <f t="array" ref="EUH6">_xlfn._xlws.FILTER(TablaProductos[Nombre producto],TablaProductos[Agrupación]=ProductosPivot!EUH5)</f>
        <v>#VALUE!</v>
      </c>
      <c r="EUI6" s="68" t="e" cm="1" vm="1">
        <f t="array" ref="EUI6">_xlfn._xlws.FILTER(TablaProductos[Nombre producto],TablaProductos[Agrupación]=ProductosPivot!EUI5)</f>
        <v>#VALUE!</v>
      </c>
      <c r="EUJ6" s="68" t="e" cm="1" vm="1">
        <f t="array" ref="EUJ6">_xlfn._xlws.FILTER(TablaProductos[Nombre producto],TablaProductos[Agrupación]=ProductosPivot!EUJ5)</f>
        <v>#VALUE!</v>
      </c>
      <c r="EUK6" s="68" t="e" cm="1" vm="1">
        <f t="array" ref="EUK6">_xlfn._xlws.FILTER(TablaProductos[Nombre producto],TablaProductos[Agrupación]=ProductosPivot!EUK5)</f>
        <v>#VALUE!</v>
      </c>
      <c r="EUL6" s="68" t="e" cm="1" vm="1">
        <f t="array" ref="EUL6">_xlfn._xlws.FILTER(TablaProductos[Nombre producto],TablaProductos[Agrupación]=ProductosPivot!EUL5)</f>
        <v>#VALUE!</v>
      </c>
      <c r="EUM6" s="68" t="e" cm="1" vm="1">
        <f t="array" ref="EUM6">_xlfn._xlws.FILTER(TablaProductos[Nombre producto],TablaProductos[Agrupación]=ProductosPivot!EUM5)</f>
        <v>#VALUE!</v>
      </c>
      <c r="EUN6" s="68" t="e" cm="1" vm="1">
        <f t="array" ref="EUN6">_xlfn._xlws.FILTER(TablaProductos[Nombre producto],TablaProductos[Agrupación]=ProductosPivot!EUN5)</f>
        <v>#VALUE!</v>
      </c>
      <c r="EUO6" s="68" t="e" cm="1" vm="1">
        <f t="array" ref="EUO6">_xlfn._xlws.FILTER(TablaProductos[Nombre producto],TablaProductos[Agrupación]=ProductosPivot!EUO5)</f>
        <v>#VALUE!</v>
      </c>
      <c r="EUP6" s="68" t="e" cm="1" vm="1">
        <f t="array" ref="EUP6">_xlfn._xlws.FILTER(TablaProductos[Nombre producto],TablaProductos[Agrupación]=ProductosPivot!EUP5)</f>
        <v>#VALUE!</v>
      </c>
      <c r="EUQ6" s="68" t="e" cm="1" vm="1">
        <f t="array" ref="EUQ6">_xlfn._xlws.FILTER(TablaProductos[Nombre producto],TablaProductos[Agrupación]=ProductosPivot!EUQ5)</f>
        <v>#VALUE!</v>
      </c>
      <c r="EUR6" s="68" t="e" cm="1" vm="1">
        <f t="array" ref="EUR6">_xlfn._xlws.FILTER(TablaProductos[Nombre producto],TablaProductos[Agrupación]=ProductosPivot!EUR5)</f>
        <v>#VALUE!</v>
      </c>
      <c r="EUS6" s="68" t="e" cm="1" vm="1">
        <f t="array" ref="EUS6">_xlfn._xlws.FILTER(TablaProductos[Nombre producto],TablaProductos[Agrupación]=ProductosPivot!EUS5)</f>
        <v>#VALUE!</v>
      </c>
      <c r="EUT6" s="68" t="e" cm="1" vm="1">
        <f t="array" ref="EUT6">_xlfn._xlws.FILTER(TablaProductos[Nombre producto],TablaProductos[Agrupación]=ProductosPivot!EUT5)</f>
        <v>#VALUE!</v>
      </c>
      <c r="EUU6" s="68" t="e" cm="1" vm="1">
        <f t="array" ref="EUU6">_xlfn._xlws.FILTER(TablaProductos[Nombre producto],TablaProductos[Agrupación]=ProductosPivot!EUU5)</f>
        <v>#VALUE!</v>
      </c>
      <c r="EUV6" s="68" t="e" cm="1" vm="1">
        <f t="array" ref="EUV6">_xlfn._xlws.FILTER(TablaProductos[Nombre producto],TablaProductos[Agrupación]=ProductosPivot!EUV5)</f>
        <v>#VALUE!</v>
      </c>
      <c r="EUW6" s="68" t="e" cm="1" vm="1">
        <f t="array" ref="EUW6">_xlfn._xlws.FILTER(TablaProductos[Nombre producto],TablaProductos[Agrupación]=ProductosPivot!EUW5)</f>
        <v>#VALUE!</v>
      </c>
      <c r="EUX6" s="68" t="e" cm="1" vm="1">
        <f t="array" ref="EUX6">_xlfn._xlws.FILTER(TablaProductos[Nombre producto],TablaProductos[Agrupación]=ProductosPivot!EUX5)</f>
        <v>#VALUE!</v>
      </c>
      <c r="EUY6" s="68" t="e" cm="1" vm="1">
        <f t="array" ref="EUY6">_xlfn._xlws.FILTER(TablaProductos[Nombre producto],TablaProductos[Agrupación]=ProductosPivot!EUY5)</f>
        <v>#VALUE!</v>
      </c>
      <c r="EUZ6" s="68" t="e" cm="1" vm="1">
        <f t="array" ref="EUZ6">_xlfn._xlws.FILTER(TablaProductos[Nombre producto],TablaProductos[Agrupación]=ProductosPivot!EUZ5)</f>
        <v>#VALUE!</v>
      </c>
      <c r="EVA6" s="68" t="e" cm="1" vm="1">
        <f t="array" ref="EVA6">_xlfn._xlws.FILTER(TablaProductos[Nombre producto],TablaProductos[Agrupación]=ProductosPivot!EVA5)</f>
        <v>#VALUE!</v>
      </c>
      <c r="EVB6" s="68" t="e" cm="1" vm="1">
        <f t="array" ref="EVB6">_xlfn._xlws.FILTER(TablaProductos[Nombre producto],TablaProductos[Agrupación]=ProductosPivot!EVB5)</f>
        <v>#VALUE!</v>
      </c>
      <c r="EVC6" s="68" t="e" cm="1" vm="1">
        <f t="array" ref="EVC6">_xlfn._xlws.FILTER(TablaProductos[Nombre producto],TablaProductos[Agrupación]=ProductosPivot!EVC5)</f>
        <v>#VALUE!</v>
      </c>
      <c r="EVD6" s="68" t="e" cm="1" vm="1">
        <f t="array" ref="EVD6">_xlfn._xlws.FILTER(TablaProductos[Nombre producto],TablaProductos[Agrupación]=ProductosPivot!EVD5)</f>
        <v>#VALUE!</v>
      </c>
      <c r="EVE6" s="68" t="e" cm="1" vm="1">
        <f t="array" ref="EVE6">_xlfn._xlws.FILTER(TablaProductos[Nombre producto],TablaProductos[Agrupación]=ProductosPivot!EVE5)</f>
        <v>#VALUE!</v>
      </c>
      <c r="EVF6" s="68" t="e" cm="1" vm="1">
        <f t="array" ref="EVF6">_xlfn._xlws.FILTER(TablaProductos[Nombre producto],TablaProductos[Agrupación]=ProductosPivot!EVF5)</f>
        <v>#VALUE!</v>
      </c>
      <c r="EVG6" s="68" t="e" cm="1" vm="1">
        <f t="array" ref="EVG6">_xlfn._xlws.FILTER(TablaProductos[Nombre producto],TablaProductos[Agrupación]=ProductosPivot!EVG5)</f>
        <v>#VALUE!</v>
      </c>
      <c r="EVH6" s="68" t="e" cm="1" vm="1">
        <f t="array" ref="EVH6">_xlfn._xlws.FILTER(TablaProductos[Nombre producto],TablaProductos[Agrupación]=ProductosPivot!EVH5)</f>
        <v>#VALUE!</v>
      </c>
      <c r="EVI6" s="68" t="e" cm="1" vm="1">
        <f t="array" ref="EVI6">_xlfn._xlws.FILTER(TablaProductos[Nombre producto],TablaProductos[Agrupación]=ProductosPivot!EVI5)</f>
        <v>#VALUE!</v>
      </c>
      <c r="EVJ6" s="68" t="e" cm="1" vm="1">
        <f t="array" ref="EVJ6">_xlfn._xlws.FILTER(TablaProductos[Nombre producto],TablaProductos[Agrupación]=ProductosPivot!EVJ5)</f>
        <v>#VALUE!</v>
      </c>
      <c r="EVK6" s="68" t="e" cm="1" vm="1">
        <f t="array" ref="EVK6">_xlfn._xlws.FILTER(TablaProductos[Nombre producto],TablaProductos[Agrupación]=ProductosPivot!EVK5)</f>
        <v>#VALUE!</v>
      </c>
      <c r="EVL6" s="68" t="e" cm="1" vm="1">
        <f t="array" ref="EVL6">_xlfn._xlws.FILTER(TablaProductos[Nombre producto],TablaProductos[Agrupación]=ProductosPivot!EVL5)</f>
        <v>#VALUE!</v>
      </c>
      <c r="EVM6" s="68" t="e" cm="1" vm="1">
        <f t="array" ref="EVM6">_xlfn._xlws.FILTER(TablaProductos[Nombre producto],TablaProductos[Agrupación]=ProductosPivot!EVM5)</f>
        <v>#VALUE!</v>
      </c>
      <c r="EVN6" s="68" t="e" cm="1" vm="1">
        <f t="array" ref="EVN6">_xlfn._xlws.FILTER(TablaProductos[Nombre producto],TablaProductos[Agrupación]=ProductosPivot!EVN5)</f>
        <v>#VALUE!</v>
      </c>
      <c r="EVO6" s="68" t="e" cm="1" vm="1">
        <f t="array" ref="EVO6">_xlfn._xlws.FILTER(TablaProductos[Nombre producto],TablaProductos[Agrupación]=ProductosPivot!EVO5)</f>
        <v>#VALUE!</v>
      </c>
      <c r="EVP6" s="68" t="e" cm="1" vm="1">
        <f t="array" ref="EVP6">_xlfn._xlws.FILTER(TablaProductos[Nombre producto],TablaProductos[Agrupación]=ProductosPivot!EVP5)</f>
        <v>#VALUE!</v>
      </c>
      <c r="EVQ6" s="68" t="e" cm="1" vm="1">
        <f t="array" ref="EVQ6">_xlfn._xlws.FILTER(TablaProductos[Nombre producto],TablaProductos[Agrupación]=ProductosPivot!EVQ5)</f>
        <v>#VALUE!</v>
      </c>
      <c r="EVR6" s="68" t="e" cm="1" vm="1">
        <f t="array" ref="EVR6">_xlfn._xlws.FILTER(TablaProductos[Nombre producto],TablaProductos[Agrupación]=ProductosPivot!EVR5)</f>
        <v>#VALUE!</v>
      </c>
      <c r="EVS6" s="68" t="e" cm="1" vm="1">
        <f t="array" ref="EVS6">_xlfn._xlws.FILTER(TablaProductos[Nombre producto],TablaProductos[Agrupación]=ProductosPivot!EVS5)</f>
        <v>#VALUE!</v>
      </c>
      <c r="EVT6" s="68" t="e" cm="1" vm="1">
        <f t="array" ref="EVT6">_xlfn._xlws.FILTER(TablaProductos[Nombre producto],TablaProductos[Agrupación]=ProductosPivot!EVT5)</f>
        <v>#VALUE!</v>
      </c>
      <c r="EVU6" s="68" t="e" cm="1" vm="1">
        <f t="array" ref="EVU6">_xlfn._xlws.FILTER(TablaProductos[Nombre producto],TablaProductos[Agrupación]=ProductosPivot!EVU5)</f>
        <v>#VALUE!</v>
      </c>
      <c r="EVV6" s="68" t="e" cm="1" vm="1">
        <f t="array" ref="EVV6">_xlfn._xlws.FILTER(TablaProductos[Nombre producto],TablaProductos[Agrupación]=ProductosPivot!EVV5)</f>
        <v>#VALUE!</v>
      </c>
      <c r="EVW6" s="68" t="e" cm="1" vm="1">
        <f t="array" ref="EVW6">_xlfn._xlws.FILTER(TablaProductos[Nombre producto],TablaProductos[Agrupación]=ProductosPivot!EVW5)</f>
        <v>#VALUE!</v>
      </c>
      <c r="EVX6" s="68" t="e" cm="1" vm="1">
        <f t="array" ref="EVX6">_xlfn._xlws.FILTER(TablaProductos[Nombre producto],TablaProductos[Agrupación]=ProductosPivot!EVX5)</f>
        <v>#VALUE!</v>
      </c>
      <c r="EVY6" s="68" t="e" cm="1" vm="1">
        <f t="array" ref="EVY6">_xlfn._xlws.FILTER(TablaProductos[Nombre producto],TablaProductos[Agrupación]=ProductosPivot!EVY5)</f>
        <v>#VALUE!</v>
      </c>
      <c r="EVZ6" s="68" t="e" cm="1" vm="1">
        <f t="array" ref="EVZ6">_xlfn._xlws.FILTER(TablaProductos[Nombre producto],TablaProductos[Agrupación]=ProductosPivot!EVZ5)</f>
        <v>#VALUE!</v>
      </c>
      <c r="EWA6" s="68" t="e" cm="1" vm="1">
        <f t="array" ref="EWA6">_xlfn._xlws.FILTER(TablaProductos[Nombre producto],TablaProductos[Agrupación]=ProductosPivot!EWA5)</f>
        <v>#VALUE!</v>
      </c>
      <c r="EWB6" s="68" t="e" cm="1" vm="1">
        <f t="array" ref="EWB6">_xlfn._xlws.FILTER(TablaProductos[Nombre producto],TablaProductos[Agrupación]=ProductosPivot!EWB5)</f>
        <v>#VALUE!</v>
      </c>
      <c r="EWC6" s="68" t="e" cm="1" vm="1">
        <f t="array" ref="EWC6">_xlfn._xlws.FILTER(TablaProductos[Nombre producto],TablaProductos[Agrupación]=ProductosPivot!EWC5)</f>
        <v>#VALUE!</v>
      </c>
      <c r="EWD6" s="68" t="e" cm="1" vm="1">
        <f t="array" ref="EWD6">_xlfn._xlws.FILTER(TablaProductos[Nombre producto],TablaProductos[Agrupación]=ProductosPivot!EWD5)</f>
        <v>#VALUE!</v>
      </c>
      <c r="EWE6" s="68" t="e" cm="1" vm="1">
        <f t="array" ref="EWE6">_xlfn._xlws.FILTER(TablaProductos[Nombre producto],TablaProductos[Agrupación]=ProductosPivot!EWE5)</f>
        <v>#VALUE!</v>
      </c>
      <c r="EWF6" s="68" t="e" cm="1" vm="1">
        <f t="array" ref="EWF6">_xlfn._xlws.FILTER(TablaProductos[Nombre producto],TablaProductos[Agrupación]=ProductosPivot!EWF5)</f>
        <v>#VALUE!</v>
      </c>
      <c r="EWG6" s="68" t="e" cm="1" vm="1">
        <f t="array" ref="EWG6">_xlfn._xlws.FILTER(TablaProductos[Nombre producto],TablaProductos[Agrupación]=ProductosPivot!EWG5)</f>
        <v>#VALUE!</v>
      </c>
      <c r="EWH6" s="68" t="e" cm="1" vm="1">
        <f t="array" ref="EWH6">_xlfn._xlws.FILTER(TablaProductos[Nombre producto],TablaProductos[Agrupación]=ProductosPivot!EWH5)</f>
        <v>#VALUE!</v>
      </c>
      <c r="EWI6" s="68" t="e" cm="1" vm="1">
        <f t="array" ref="EWI6">_xlfn._xlws.FILTER(TablaProductos[Nombre producto],TablaProductos[Agrupación]=ProductosPivot!EWI5)</f>
        <v>#VALUE!</v>
      </c>
      <c r="EWJ6" s="68" t="e" cm="1" vm="1">
        <f t="array" ref="EWJ6">_xlfn._xlws.FILTER(TablaProductos[Nombre producto],TablaProductos[Agrupación]=ProductosPivot!EWJ5)</f>
        <v>#VALUE!</v>
      </c>
      <c r="EWK6" s="68" t="e" cm="1" vm="1">
        <f t="array" ref="EWK6">_xlfn._xlws.FILTER(TablaProductos[Nombre producto],TablaProductos[Agrupación]=ProductosPivot!EWK5)</f>
        <v>#VALUE!</v>
      </c>
      <c r="EWL6" s="68" t="e" cm="1" vm="1">
        <f t="array" ref="EWL6">_xlfn._xlws.FILTER(TablaProductos[Nombre producto],TablaProductos[Agrupación]=ProductosPivot!EWL5)</f>
        <v>#VALUE!</v>
      </c>
      <c r="EWM6" s="68" t="e" cm="1" vm="1">
        <f t="array" ref="EWM6">_xlfn._xlws.FILTER(TablaProductos[Nombre producto],TablaProductos[Agrupación]=ProductosPivot!EWM5)</f>
        <v>#VALUE!</v>
      </c>
      <c r="EWN6" s="68" t="e" cm="1" vm="1">
        <f t="array" ref="EWN6">_xlfn._xlws.FILTER(TablaProductos[Nombre producto],TablaProductos[Agrupación]=ProductosPivot!EWN5)</f>
        <v>#VALUE!</v>
      </c>
      <c r="EWO6" s="68" t="e" cm="1" vm="1">
        <f t="array" ref="EWO6">_xlfn._xlws.FILTER(TablaProductos[Nombre producto],TablaProductos[Agrupación]=ProductosPivot!EWO5)</f>
        <v>#VALUE!</v>
      </c>
      <c r="EWP6" s="68" t="e" cm="1" vm="1">
        <f t="array" ref="EWP6">_xlfn._xlws.FILTER(TablaProductos[Nombre producto],TablaProductos[Agrupación]=ProductosPivot!EWP5)</f>
        <v>#VALUE!</v>
      </c>
      <c r="EWQ6" s="68" t="e" cm="1" vm="1">
        <f t="array" ref="EWQ6">_xlfn._xlws.FILTER(TablaProductos[Nombre producto],TablaProductos[Agrupación]=ProductosPivot!EWQ5)</f>
        <v>#VALUE!</v>
      </c>
      <c r="EWR6" s="68" t="e" cm="1" vm="1">
        <f t="array" ref="EWR6">_xlfn._xlws.FILTER(TablaProductos[Nombre producto],TablaProductos[Agrupación]=ProductosPivot!EWR5)</f>
        <v>#VALUE!</v>
      </c>
      <c r="EWS6" s="68" t="e" cm="1" vm="1">
        <f t="array" ref="EWS6">_xlfn._xlws.FILTER(TablaProductos[Nombre producto],TablaProductos[Agrupación]=ProductosPivot!EWS5)</f>
        <v>#VALUE!</v>
      </c>
      <c r="EWT6" s="68" t="e" cm="1" vm="1">
        <f t="array" ref="EWT6">_xlfn._xlws.FILTER(TablaProductos[Nombre producto],TablaProductos[Agrupación]=ProductosPivot!EWT5)</f>
        <v>#VALUE!</v>
      </c>
      <c r="EWU6" s="68" t="e" cm="1" vm="1">
        <f t="array" ref="EWU6">_xlfn._xlws.FILTER(TablaProductos[Nombre producto],TablaProductos[Agrupación]=ProductosPivot!EWU5)</f>
        <v>#VALUE!</v>
      </c>
      <c r="EWV6" s="68" t="e" cm="1" vm="1">
        <f t="array" ref="EWV6">_xlfn._xlws.FILTER(TablaProductos[Nombre producto],TablaProductos[Agrupación]=ProductosPivot!EWV5)</f>
        <v>#VALUE!</v>
      </c>
      <c r="EWW6" s="68" t="e" cm="1" vm="1">
        <f t="array" ref="EWW6">_xlfn._xlws.FILTER(TablaProductos[Nombre producto],TablaProductos[Agrupación]=ProductosPivot!EWW5)</f>
        <v>#VALUE!</v>
      </c>
      <c r="EWX6" s="68" t="e" cm="1" vm="1">
        <f t="array" ref="EWX6">_xlfn._xlws.FILTER(TablaProductos[Nombre producto],TablaProductos[Agrupación]=ProductosPivot!EWX5)</f>
        <v>#VALUE!</v>
      </c>
      <c r="EWY6" s="68" t="e" cm="1" vm="1">
        <f t="array" ref="EWY6">_xlfn._xlws.FILTER(TablaProductos[Nombre producto],TablaProductos[Agrupación]=ProductosPivot!EWY5)</f>
        <v>#VALUE!</v>
      </c>
      <c r="EWZ6" s="68" t="e" cm="1" vm="1">
        <f t="array" ref="EWZ6">_xlfn._xlws.FILTER(TablaProductos[Nombre producto],TablaProductos[Agrupación]=ProductosPivot!EWZ5)</f>
        <v>#VALUE!</v>
      </c>
      <c r="EXA6" s="68" t="e" cm="1" vm="1">
        <f t="array" ref="EXA6">_xlfn._xlws.FILTER(TablaProductos[Nombre producto],TablaProductos[Agrupación]=ProductosPivot!EXA5)</f>
        <v>#VALUE!</v>
      </c>
      <c r="EXB6" s="68" t="e" cm="1" vm="1">
        <f t="array" ref="EXB6">_xlfn._xlws.FILTER(TablaProductos[Nombre producto],TablaProductos[Agrupación]=ProductosPivot!EXB5)</f>
        <v>#VALUE!</v>
      </c>
      <c r="EXC6" s="68" t="e" cm="1" vm="1">
        <f t="array" ref="EXC6">_xlfn._xlws.FILTER(TablaProductos[Nombre producto],TablaProductos[Agrupación]=ProductosPivot!EXC5)</f>
        <v>#VALUE!</v>
      </c>
      <c r="EXD6" s="68" t="e" cm="1" vm="1">
        <f t="array" ref="EXD6">_xlfn._xlws.FILTER(TablaProductos[Nombre producto],TablaProductos[Agrupación]=ProductosPivot!EXD5)</f>
        <v>#VALUE!</v>
      </c>
      <c r="EXE6" s="68" t="e" cm="1" vm="1">
        <f t="array" ref="EXE6">_xlfn._xlws.FILTER(TablaProductos[Nombre producto],TablaProductos[Agrupación]=ProductosPivot!EXE5)</f>
        <v>#VALUE!</v>
      </c>
      <c r="EXF6" s="68" t="e" cm="1" vm="1">
        <f t="array" ref="EXF6">_xlfn._xlws.FILTER(TablaProductos[Nombre producto],TablaProductos[Agrupación]=ProductosPivot!EXF5)</f>
        <v>#VALUE!</v>
      </c>
      <c r="EXG6" s="68" t="e" cm="1" vm="1">
        <f t="array" ref="EXG6">_xlfn._xlws.FILTER(TablaProductos[Nombre producto],TablaProductos[Agrupación]=ProductosPivot!EXG5)</f>
        <v>#VALUE!</v>
      </c>
      <c r="EXH6" s="68" t="e" cm="1" vm="1">
        <f t="array" ref="EXH6">_xlfn._xlws.FILTER(TablaProductos[Nombre producto],TablaProductos[Agrupación]=ProductosPivot!EXH5)</f>
        <v>#VALUE!</v>
      </c>
      <c r="EXI6" s="68" t="e" cm="1" vm="1">
        <f t="array" ref="EXI6">_xlfn._xlws.FILTER(TablaProductos[Nombre producto],TablaProductos[Agrupación]=ProductosPivot!EXI5)</f>
        <v>#VALUE!</v>
      </c>
      <c r="EXJ6" s="68" t="e" cm="1" vm="1">
        <f t="array" ref="EXJ6">_xlfn._xlws.FILTER(TablaProductos[Nombre producto],TablaProductos[Agrupación]=ProductosPivot!EXJ5)</f>
        <v>#VALUE!</v>
      </c>
      <c r="EXK6" s="68" t="e" cm="1" vm="1">
        <f t="array" ref="EXK6">_xlfn._xlws.FILTER(TablaProductos[Nombre producto],TablaProductos[Agrupación]=ProductosPivot!EXK5)</f>
        <v>#VALUE!</v>
      </c>
      <c r="EXL6" s="68" t="e" cm="1" vm="1">
        <f t="array" ref="EXL6">_xlfn._xlws.FILTER(TablaProductos[Nombre producto],TablaProductos[Agrupación]=ProductosPivot!EXL5)</f>
        <v>#VALUE!</v>
      </c>
      <c r="EXM6" s="68" t="e" cm="1" vm="1">
        <f t="array" ref="EXM6">_xlfn._xlws.FILTER(TablaProductos[Nombre producto],TablaProductos[Agrupación]=ProductosPivot!EXM5)</f>
        <v>#VALUE!</v>
      </c>
      <c r="EXN6" s="68" t="e" cm="1" vm="1">
        <f t="array" ref="EXN6">_xlfn._xlws.FILTER(TablaProductos[Nombre producto],TablaProductos[Agrupación]=ProductosPivot!EXN5)</f>
        <v>#VALUE!</v>
      </c>
      <c r="EXO6" s="68" t="e" cm="1" vm="1">
        <f t="array" ref="EXO6">_xlfn._xlws.FILTER(TablaProductos[Nombre producto],TablaProductos[Agrupación]=ProductosPivot!EXO5)</f>
        <v>#VALUE!</v>
      </c>
      <c r="EXP6" s="68" t="e" cm="1" vm="1">
        <f t="array" ref="EXP6">_xlfn._xlws.FILTER(TablaProductos[Nombre producto],TablaProductos[Agrupación]=ProductosPivot!EXP5)</f>
        <v>#VALUE!</v>
      </c>
      <c r="EXQ6" s="68" t="e" cm="1" vm="1">
        <f t="array" ref="EXQ6">_xlfn._xlws.FILTER(TablaProductos[Nombre producto],TablaProductos[Agrupación]=ProductosPivot!EXQ5)</f>
        <v>#VALUE!</v>
      </c>
      <c r="EXR6" s="68" t="e" cm="1" vm="1">
        <f t="array" ref="EXR6">_xlfn._xlws.FILTER(TablaProductos[Nombre producto],TablaProductos[Agrupación]=ProductosPivot!EXR5)</f>
        <v>#VALUE!</v>
      </c>
      <c r="EXS6" s="68" t="e" cm="1" vm="1">
        <f t="array" ref="EXS6">_xlfn._xlws.FILTER(TablaProductos[Nombre producto],TablaProductos[Agrupación]=ProductosPivot!EXS5)</f>
        <v>#VALUE!</v>
      </c>
      <c r="EXT6" s="68" t="e" cm="1" vm="1">
        <f t="array" ref="EXT6">_xlfn._xlws.FILTER(TablaProductos[Nombre producto],TablaProductos[Agrupación]=ProductosPivot!EXT5)</f>
        <v>#VALUE!</v>
      </c>
      <c r="EXU6" s="68" t="e" cm="1" vm="1">
        <f t="array" ref="EXU6">_xlfn._xlws.FILTER(TablaProductos[Nombre producto],TablaProductos[Agrupación]=ProductosPivot!EXU5)</f>
        <v>#VALUE!</v>
      </c>
      <c r="EXV6" s="68" t="e" cm="1" vm="1">
        <f t="array" ref="EXV6">_xlfn._xlws.FILTER(TablaProductos[Nombre producto],TablaProductos[Agrupación]=ProductosPivot!EXV5)</f>
        <v>#VALUE!</v>
      </c>
      <c r="EXW6" s="68" t="e" cm="1" vm="1">
        <f t="array" ref="EXW6">_xlfn._xlws.FILTER(TablaProductos[Nombre producto],TablaProductos[Agrupación]=ProductosPivot!EXW5)</f>
        <v>#VALUE!</v>
      </c>
      <c r="EXX6" s="68" t="e" cm="1" vm="1">
        <f t="array" ref="EXX6">_xlfn._xlws.FILTER(TablaProductos[Nombre producto],TablaProductos[Agrupación]=ProductosPivot!EXX5)</f>
        <v>#VALUE!</v>
      </c>
      <c r="EXY6" s="68" t="e" cm="1" vm="1">
        <f t="array" ref="EXY6">_xlfn._xlws.FILTER(TablaProductos[Nombre producto],TablaProductos[Agrupación]=ProductosPivot!EXY5)</f>
        <v>#VALUE!</v>
      </c>
      <c r="EXZ6" s="68" t="e" cm="1" vm="1">
        <f t="array" ref="EXZ6">_xlfn._xlws.FILTER(TablaProductos[Nombre producto],TablaProductos[Agrupación]=ProductosPivot!EXZ5)</f>
        <v>#VALUE!</v>
      </c>
      <c r="EYA6" s="68" t="e" cm="1" vm="1">
        <f t="array" ref="EYA6">_xlfn._xlws.FILTER(TablaProductos[Nombre producto],TablaProductos[Agrupación]=ProductosPivot!EYA5)</f>
        <v>#VALUE!</v>
      </c>
      <c r="EYB6" s="68" t="e" cm="1" vm="1">
        <f t="array" ref="EYB6">_xlfn._xlws.FILTER(TablaProductos[Nombre producto],TablaProductos[Agrupación]=ProductosPivot!EYB5)</f>
        <v>#VALUE!</v>
      </c>
      <c r="EYC6" s="68" t="e" cm="1" vm="1">
        <f t="array" ref="EYC6">_xlfn._xlws.FILTER(TablaProductos[Nombre producto],TablaProductos[Agrupación]=ProductosPivot!EYC5)</f>
        <v>#VALUE!</v>
      </c>
      <c r="EYD6" s="68" t="e" cm="1" vm="1">
        <f t="array" ref="EYD6">_xlfn._xlws.FILTER(TablaProductos[Nombre producto],TablaProductos[Agrupación]=ProductosPivot!EYD5)</f>
        <v>#VALUE!</v>
      </c>
      <c r="EYE6" s="68" t="e" cm="1" vm="1">
        <f t="array" ref="EYE6">_xlfn._xlws.FILTER(TablaProductos[Nombre producto],TablaProductos[Agrupación]=ProductosPivot!EYE5)</f>
        <v>#VALUE!</v>
      </c>
      <c r="EYF6" s="68" t="e" cm="1" vm="1">
        <f t="array" ref="EYF6">_xlfn._xlws.FILTER(TablaProductos[Nombre producto],TablaProductos[Agrupación]=ProductosPivot!EYF5)</f>
        <v>#VALUE!</v>
      </c>
      <c r="EYG6" s="68" t="e" cm="1" vm="1">
        <f t="array" ref="EYG6">_xlfn._xlws.FILTER(TablaProductos[Nombre producto],TablaProductos[Agrupación]=ProductosPivot!EYG5)</f>
        <v>#VALUE!</v>
      </c>
      <c r="EYH6" s="68" t="e" cm="1" vm="1">
        <f t="array" ref="EYH6">_xlfn._xlws.FILTER(TablaProductos[Nombre producto],TablaProductos[Agrupación]=ProductosPivot!EYH5)</f>
        <v>#VALUE!</v>
      </c>
      <c r="EYI6" s="68" t="e" cm="1" vm="1">
        <f t="array" ref="EYI6">_xlfn._xlws.FILTER(TablaProductos[Nombre producto],TablaProductos[Agrupación]=ProductosPivot!EYI5)</f>
        <v>#VALUE!</v>
      </c>
      <c r="EYJ6" s="68" t="e" cm="1" vm="1">
        <f t="array" ref="EYJ6">_xlfn._xlws.FILTER(TablaProductos[Nombre producto],TablaProductos[Agrupación]=ProductosPivot!EYJ5)</f>
        <v>#VALUE!</v>
      </c>
      <c r="EYK6" s="68" t="e" cm="1" vm="1">
        <f t="array" ref="EYK6">_xlfn._xlws.FILTER(TablaProductos[Nombre producto],TablaProductos[Agrupación]=ProductosPivot!EYK5)</f>
        <v>#VALUE!</v>
      </c>
      <c r="EYL6" s="68" t="e" cm="1" vm="1">
        <f t="array" ref="EYL6">_xlfn._xlws.FILTER(TablaProductos[Nombre producto],TablaProductos[Agrupación]=ProductosPivot!EYL5)</f>
        <v>#VALUE!</v>
      </c>
      <c r="EYM6" s="68" t="e" cm="1" vm="1">
        <f t="array" ref="EYM6">_xlfn._xlws.FILTER(TablaProductos[Nombre producto],TablaProductos[Agrupación]=ProductosPivot!EYM5)</f>
        <v>#VALUE!</v>
      </c>
      <c r="EYN6" s="68" t="e" cm="1" vm="1">
        <f t="array" ref="EYN6">_xlfn._xlws.FILTER(TablaProductos[Nombre producto],TablaProductos[Agrupación]=ProductosPivot!EYN5)</f>
        <v>#VALUE!</v>
      </c>
      <c r="EYO6" s="68" t="e" cm="1" vm="1">
        <f t="array" ref="EYO6">_xlfn._xlws.FILTER(TablaProductos[Nombre producto],TablaProductos[Agrupación]=ProductosPivot!EYO5)</f>
        <v>#VALUE!</v>
      </c>
      <c r="EYP6" s="68" t="e" cm="1" vm="1">
        <f t="array" ref="EYP6">_xlfn._xlws.FILTER(TablaProductos[Nombre producto],TablaProductos[Agrupación]=ProductosPivot!EYP5)</f>
        <v>#VALUE!</v>
      </c>
      <c r="EYQ6" s="68" t="e" cm="1" vm="1">
        <f t="array" ref="EYQ6">_xlfn._xlws.FILTER(TablaProductos[Nombre producto],TablaProductos[Agrupación]=ProductosPivot!EYQ5)</f>
        <v>#VALUE!</v>
      </c>
      <c r="EYR6" s="68" t="e" cm="1" vm="1">
        <f t="array" ref="EYR6">_xlfn._xlws.FILTER(TablaProductos[Nombre producto],TablaProductos[Agrupación]=ProductosPivot!EYR5)</f>
        <v>#VALUE!</v>
      </c>
      <c r="EYS6" s="68" t="e" cm="1" vm="1">
        <f t="array" ref="EYS6">_xlfn._xlws.FILTER(TablaProductos[Nombre producto],TablaProductos[Agrupación]=ProductosPivot!EYS5)</f>
        <v>#VALUE!</v>
      </c>
      <c r="EYT6" s="68" t="e" cm="1" vm="1">
        <f t="array" ref="EYT6">_xlfn._xlws.FILTER(TablaProductos[Nombre producto],TablaProductos[Agrupación]=ProductosPivot!EYT5)</f>
        <v>#VALUE!</v>
      </c>
      <c r="EYU6" s="68" t="e" cm="1" vm="1">
        <f t="array" ref="EYU6">_xlfn._xlws.FILTER(TablaProductos[Nombre producto],TablaProductos[Agrupación]=ProductosPivot!EYU5)</f>
        <v>#VALUE!</v>
      </c>
      <c r="EYV6" s="68" t="e" cm="1" vm="1">
        <f t="array" ref="EYV6">_xlfn._xlws.FILTER(TablaProductos[Nombre producto],TablaProductos[Agrupación]=ProductosPivot!EYV5)</f>
        <v>#VALUE!</v>
      </c>
      <c r="EYW6" s="68" t="e" cm="1" vm="1">
        <f t="array" ref="EYW6">_xlfn._xlws.FILTER(TablaProductos[Nombre producto],TablaProductos[Agrupación]=ProductosPivot!EYW5)</f>
        <v>#VALUE!</v>
      </c>
      <c r="EYX6" s="68" t="e" cm="1" vm="1">
        <f t="array" ref="EYX6">_xlfn._xlws.FILTER(TablaProductos[Nombre producto],TablaProductos[Agrupación]=ProductosPivot!EYX5)</f>
        <v>#VALUE!</v>
      </c>
      <c r="EYY6" s="68" t="e" cm="1" vm="1">
        <f t="array" ref="EYY6">_xlfn._xlws.FILTER(TablaProductos[Nombre producto],TablaProductos[Agrupación]=ProductosPivot!EYY5)</f>
        <v>#VALUE!</v>
      </c>
      <c r="EYZ6" s="68" t="e" cm="1" vm="1">
        <f t="array" ref="EYZ6">_xlfn._xlws.FILTER(TablaProductos[Nombre producto],TablaProductos[Agrupación]=ProductosPivot!EYZ5)</f>
        <v>#VALUE!</v>
      </c>
      <c r="EZA6" s="68" t="e" cm="1" vm="1">
        <f t="array" ref="EZA6">_xlfn._xlws.FILTER(TablaProductos[Nombre producto],TablaProductos[Agrupación]=ProductosPivot!EZA5)</f>
        <v>#VALUE!</v>
      </c>
      <c r="EZB6" s="68" t="e" cm="1" vm="1">
        <f t="array" ref="EZB6">_xlfn._xlws.FILTER(TablaProductos[Nombre producto],TablaProductos[Agrupación]=ProductosPivot!EZB5)</f>
        <v>#VALUE!</v>
      </c>
      <c r="EZC6" s="68" t="e" cm="1" vm="1">
        <f t="array" ref="EZC6">_xlfn._xlws.FILTER(TablaProductos[Nombre producto],TablaProductos[Agrupación]=ProductosPivot!EZC5)</f>
        <v>#VALUE!</v>
      </c>
      <c r="EZD6" s="68" t="e" cm="1" vm="1">
        <f t="array" ref="EZD6">_xlfn._xlws.FILTER(TablaProductos[Nombre producto],TablaProductos[Agrupación]=ProductosPivot!EZD5)</f>
        <v>#VALUE!</v>
      </c>
      <c r="EZE6" s="68" t="e" cm="1" vm="1">
        <f t="array" ref="EZE6">_xlfn._xlws.FILTER(TablaProductos[Nombre producto],TablaProductos[Agrupación]=ProductosPivot!EZE5)</f>
        <v>#VALUE!</v>
      </c>
      <c r="EZF6" s="68" t="e" cm="1" vm="1">
        <f t="array" ref="EZF6">_xlfn._xlws.FILTER(TablaProductos[Nombre producto],TablaProductos[Agrupación]=ProductosPivot!EZF5)</f>
        <v>#VALUE!</v>
      </c>
      <c r="EZG6" s="68" t="e" cm="1" vm="1">
        <f t="array" ref="EZG6">_xlfn._xlws.FILTER(TablaProductos[Nombre producto],TablaProductos[Agrupación]=ProductosPivot!EZG5)</f>
        <v>#VALUE!</v>
      </c>
      <c r="EZH6" s="68" t="e" cm="1" vm="1">
        <f t="array" ref="EZH6">_xlfn._xlws.FILTER(TablaProductos[Nombre producto],TablaProductos[Agrupación]=ProductosPivot!EZH5)</f>
        <v>#VALUE!</v>
      </c>
      <c r="EZI6" s="68" t="e" cm="1" vm="1">
        <f t="array" ref="EZI6">_xlfn._xlws.FILTER(TablaProductos[Nombre producto],TablaProductos[Agrupación]=ProductosPivot!EZI5)</f>
        <v>#VALUE!</v>
      </c>
      <c r="EZJ6" s="68" t="e" cm="1" vm="1">
        <f t="array" ref="EZJ6">_xlfn._xlws.FILTER(TablaProductos[Nombre producto],TablaProductos[Agrupación]=ProductosPivot!EZJ5)</f>
        <v>#VALUE!</v>
      </c>
      <c r="EZK6" s="68" t="e" cm="1" vm="1">
        <f t="array" ref="EZK6">_xlfn._xlws.FILTER(TablaProductos[Nombre producto],TablaProductos[Agrupación]=ProductosPivot!EZK5)</f>
        <v>#VALUE!</v>
      </c>
      <c r="EZL6" s="68" t="e" cm="1" vm="1">
        <f t="array" ref="EZL6">_xlfn._xlws.FILTER(TablaProductos[Nombre producto],TablaProductos[Agrupación]=ProductosPivot!EZL5)</f>
        <v>#VALUE!</v>
      </c>
      <c r="EZM6" s="68" t="e" cm="1" vm="1">
        <f t="array" ref="EZM6">_xlfn._xlws.FILTER(TablaProductos[Nombre producto],TablaProductos[Agrupación]=ProductosPivot!EZM5)</f>
        <v>#VALUE!</v>
      </c>
      <c r="EZN6" s="68" t="e" cm="1" vm="1">
        <f t="array" ref="EZN6">_xlfn._xlws.FILTER(TablaProductos[Nombre producto],TablaProductos[Agrupación]=ProductosPivot!EZN5)</f>
        <v>#VALUE!</v>
      </c>
      <c r="EZO6" s="68" t="e" cm="1" vm="1">
        <f t="array" ref="EZO6">_xlfn._xlws.FILTER(TablaProductos[Nombre producto],TablaProductos[Agrupación]=ProductosPivot!EZO5)</f>
        <v>#VALUE!</v>
      </c>
      <c r="EZP6" s="68" t="e" cm="1" vm="1">
        <f t="array" ref="EZP6">_xlfn._xlws.FILTER(TablaProductos[Nombre producto],TablaProductos[Agrupación]=ProductosPivot!EZP5)</f>
        <v>#VALUE!</v>
      </c>
      <c r="EZQ6" s="68" t="e" cm="1" vm="1">
        <f t="array" ref="EZQ6">_xlfn._xlws.FILTER(TablaProductos[Nombre producto],TablaProductos[Agrupación]=ProductosPivot!EZQ5)</f>
        <v>#VALUE!</v>
      </c>
      <c r="EZR6" s="68" t="e" cm="1" vm="1">
        <f t="array" ref="EZR6">_xlfn._xlws.FILTER(TablaProductos[Nombre producto],TablaProductos[Agrupación]=ProductosPivot!EZR5)</f>
        <v>#VALUE!</v>
      </c>
      <c r="EZS6" s="68" t="e" cm="1" vm="1">
        <f t="array" ref="EZS6">_xlfn._xlws.FILTER(TablaProductos[Nombre producto],TablaProductos[Agrupación]=ProductosPivot!EZS5)</f>
        <v>#VALUE!</v>
      </c>
      <c r="EZT6" s="68" t="e" cm="1" vm="1">
        <f t="array" ref="EZT6">_xlfn._xlws.FILTER(TablaProductos[Nombre producto],TablaProductos[Agrupación]=ProductosPivot!EZT5)</f>
        <v>#VALUE!</v>
      </c>
      <c r="EZU6" s="68" t="e" cm="1" vm="1">
        <f t="array" ref="EZU6">_xlfn._xlws.FILTER(TablaProductos[Nombre producto],TablaProductos[Agrupación]=ProductosPivot!EZU5)</f>
        <v>#VALUE!</v>
      </c>
      <c r="EZV6" s="68" t="e" cm="1" vm="1">
        <f t="array" ref="EZV6">_xlfn._xlws.FILTER(TablaProductos[Nombre producto],TablaProductos[Agrupación]=ProductosPivot!EZV5)</f>
        <v>#VALUE!</v>
      </c>
      <c r="EZW6" s="68" t="e" cm="1" vm="1">
        <f t="array" ref="EZW6">_xlfn._xlws.FILTER(TablaProductos[Nombre producto],TablaProductos[Agrupación]=ProductosPivot!EZW5)</f>
        <v>#VALUE!</v>
      </c>
      <c r="EZX6" s="68" t="e" cm="1" vm="1">
        <f t="array" ref="EZX6">_xlfn._xlws.FILTER(TablaProductos[Nombre producto],TablaProductos[Agrupación]=ProductosPivot!EZX5)</f>
        <v>#VALUE!</v>
      </c>
      <c r="EZY6" s="68" t="e" cm="1" vm="1">
        <f t="array" ref="EZY6">_xlfn._xlws.FILTER(TablaProductos[Nombre producto],TablaProductos[Agrupación]=ProductosPivot!EZY5)</f>
        <v>#VALUE!</v>
      </c>
      <c r="EZZ6" s="68" t="e" cm="1" vm="1">
        <f t="array" ref="EZZ6">_xlfn._xlws.FILTER(TablaProductos[Nombre producto],TablaProductos[Agrupación]=ProductosPivot!EZZ5)</f>
        <v>#VALUE!</v>
      </c>
      <c r="FAA6" s="68" t="e" cm="1" vm="1">
        <f t="array" ref="FAA6">_xlfn._xlws.FILTER(TablaProductos[Nombre producto],TablaProductos[Agrupación]=ProductosPivot!FAA5)</f>
        <v>#VALUE!</v>
      </c>
      <c r="FAB6" s="68" t="e" cm="1" vm="1">
        <f t="array" ref="FAB6">_xlfn._xlws.FILTER(TablaProductos[Nombre producto],TablaProductos[Agrupación]=ProductosPivot!FAB5)</f>
        <v>#VALUE!</v>
      </c>
      <c r="FAC6" s="68" t="e" cm="1" vm="1">
        <f t="array" ref="FAC6">_xlfn._xlws.FILTER(TablaProductos[Nombre producto],TablaProductos[Agrupación]=ProductosPivot!FAC5)</f>
        <v>#VALUE!</v>
      </c>
      <c r="FAD6" s="68" t="e" cm="1" vm="1">
        <f t="array" ref="FAD6">_xlfn._xlws.FILTER(TablaProductos[Nombre producto],TablaProductos[Agrupación]=ProductosPivot!FAD5)</f>
        <v>#VALUE!</v>
      </c>
      <c r="FAE6" s="68" t="e" cm="1" vm="1">
        <f t="array" ref="FAE6">_xlfn._xlws.FILTER(TablaProductos[Nombre producto],TablaProductos[Agrupación]=ProductosPivot!FAE5)</f>
        <v>#VALUE!</v>
      </c>
      <c r="FAF6" s="68" t="e" cm="1" vm="1">
        <f t="array" ref="FAF6">_xlfn._xlws.FILTER(TablaProductos[Nombre producto],TablaProductos[Agrupación]=ProductosPivot!FAF5)</f>
        <v>#VALUE!</v>
      </c>
      <c r="FAG6" s="68" t="e" cm="1" vm="1">
        <f t="array" ref="FAG6">_xlfn._xlws.FILTER(TablaProductos[Nombre producto],TablaProductos[Agrupación]=ProductosPivot!FAG5)</f>
        <v>#VALUE!</v>
      </c>
      <c r="FAH6" s="68" t="e" cm="1" vm="1">
        <f t="array" ref="FAH6">_xlfn._xlws.FILTER(TablaProductos[Nombre producto],TablaProductos[Agrupación]=ProductosPivot!FAH5)</f>
        <v>#VALUE!</v>
      </c>
      <c r="FAI6" s="68" t="e" cm="1" vm="1">
        <f t="array" ref="FAI6">_xlfn._xlws.FILTER(TablaProductos[Nombre producto],TablaProductos[Agrupación]=ProductosPivot!FAI5)</f>
        <v>#VALUE!</v>
      </c>
      <c r="FAJ6" s="68" t="e" cm="1" vm="1">
        <f t="array" ref="FAJ6">_xlfn._xlws.FILTER(TablaProductos[Nombre producto],TablaProductos[Agrupación]=ProductosPivot!FAJ5)</f>
        <v>#VALUE!</v>
      </c>
      <c r="FAK6" s="68" t="e" cm="1" vm="1">
        <f t="array" ref="FAK6">_xlfn._xlws.FILTER(TablaProductos[Nombre producto],TablaProductos[Agrupación]=ProductosPivot!FAK5)</f>
        <v>#VALUE!</v>
      </c>
      <c r="FAL6" s="68" t="e" cm="1" vm="1">
        <f t="array" ref="FAL6">_xlfn._xlws.FILTER(TablaProductos[Nombre producto],TablaProductos[Agrupación]=ProductosPivot!FAL5)</f>
        <v>#VALUE!</v>
      </c>
      <c r="FAM6" s="68" t="e" cm="1" vm="1">
        <f t="array" ref="FAM6">_xlfn._xlws.FILTER(TablaProductos[Nombre producto],TablaProductos[Agrupación]=ProductosPivot!FAM5)</f>
        <v>#VALUE!</v>
      </c>
      <c r="FAN6" s="68" t="e" cm="1" vm="1">
        <f t="array" ref="FAN6">_xlfn._xlws.FILTER(TablaProductos[Nombre producto],TablaProductos[Agrupación]=ProductosPivot!FAN5)</f>
        <v>#VALUE!</v>
      </c>
      <c r="FAO6" s="68" t="e" cm="1" vm="1">
        <f t="array" ref="FAO6">_xlfn._xlws.FILTER(TablaProductos[Nombre producto],TablaProductos[Agrupación]=ProductosPivot!FAO5)</f>
        <v>#VALUE!</v>
      </c>
      <c r="FAP6" s="68" t="e" cm="1" vm="1">
        <f t="array" ref="FAP6">_xlfn._xlws.FILTER(TablaProductos[Nombre producto],TablaProductos[Agrupación]=ProductosPivot!FAP5)</f>
        <v>#VALUE!</v>
      </c>
      <c r="FAQ6" s="68" t="e" cm="1" vm="1">
        <f t="array" ref="FAQ6">_xlfn._xlws.FILTER(TablaProductos[Nombre producto],TablaProductos[Agrupación]=ProductosPivot!FAQ5)</f>
        <v>#VALUE!</v>
      </c>
      <c r="FAR6" s="68" t="e" cm="1" vm="1">
        <f t="array" ref="FAR6">_xlfn._xlws.FILTER(TablaProductos[Nombre producto],TablaProductos[Agrupación]=ProductosPivot!FAR5)</f>
        <v>#VALUE!</v>
      </c>
      <c r="FAS6" s="68" t="e" cm="1" vm="1">
        <f t="array" ref="FAS6">_xlfn._xlws.FILTER(TablaProductos[Nombre producto],TablaProductos[Agrupación]=ProductosPivot!FAS5)</f>
        <v>#VALUE!</v>
      </c>
      <c r="FAT6" s="68" t="e" cm="1" vm="1">
        <f t="array" ref="FAT6">_xlfn._xlws.FILTER(TablaProductos[Nombre producto],TablaProductos[Agrupación]=ProductosPivot!FAT5)</f>
        <v>#VALUE!</v>
      </c>
      <c r="FAU6" s="68" t="e" cm="1" vm="1">
        <f t="array" ref="FAU6">_xlfn._xlws.FILTER(TablaProductos[Nombre producto],TablaProductos[Agrupación]=ProductosPivot!FAU5)</f>
        <v>#VALUE!</v>
      </c>
      <c r="FAV6" s="68" t="e" cm="1" vm="1">
        <f t="array" ref="FAV6">_xlfn._xlws.FILTER(TablaProductos[Nombre producto],TablaProductos[Agrupación]=ProductosPivot!FAV5)</f>
        <v>#VALUE!</v>
      </c>
      <c r="FAW6" s="68" t="e" cm="1" vm="1">
        <f t="array" ref="FAW6">_xlfn._xlws.FILTER(TablaProductos[Nombre producto],TablaProductos[Agrupación]=ProductosPivot!FAW5)</f>
        <v>#VALUE!</v>
      </c>
      <c r="FAX6" s="68" t="e" cm="1" vm="1">
        <f t="array" ref="FAX6">_xlfn._xlws.FILTER(TablaProductos[Nombre producto],TablaProductos[Agrupación]=ProductosPivot!FAX5)</f>
        <v>#VALUE!</v>
      </c>
      <c r="FAY6" s="68" t="e" cm="1" vm="1">
        <f t="array" ref="FAY6">_xlfn._xlws.FILTER(TablaProductos[Nombre producto],TablaProductos[Agrupación]=ProductosPivot!FAY5)</f>
        <v>#VALUE!</v>
      </c>
      <c r="FAZ6" s="68" t="e" cm="1" vm="1">
        <f t="array" ref="FAZ6">_xlfn._xlws.FILTER(TablaProductos[Nombre producto],TablaProductos[Agrupación]=ProductosPivot!FAZ5)</f>
        <v>#VALUE!</v>
      </c>
      <c r="FBA6" s="68" t="e" cm="1" vm="1">
        <f t="array" ref="FBA6">_xlfn._xlws.FILTER(TablaProductos[Nombre producto],TablaProductos[Agrupación]=ProductosPivot!FBA5)</f>
        <v>#VALUE!</v>
      </c>
      <c r="FBB6" s="68" t="e" cm="1" vm="1">
        <f t="array" ref="FBB6">_xlfn._xlws.FILTER(TablaProductos[Nombre producto],TablaProductos[Agrupación]=ProductosPivot!FBB5)</f>
        <v>#VALUE!</v>
      </c>
      <c r="FBC6" s="68" t="e" cm="1" vm="1">
        <f t="array" ref="FBC6">_xlfn._xlws.FILTER(TablaProductos[Nombre producto],TablaProductos[Agrupación]=ProductosPivot!FBC5)</f>
        <v>#VALUE!</v>
      </c>
      <c r="FBD6" s="68" t="e" cm="1" vm="1">
        <f t="array" ref="FBD6">_xlfn._xlws.FILTER(TablaProductos[Nombre producto],TablaProductos[Agrupación]=ProductosPivot!FBD5)</f>
        <v>#VALUE!</v>
      </c>
      <c r="FBE6" s="68" t="e" cm="1" vm="1">
        <f t="array" ref="FBE6">_xlfn._xlws.FILTER(TablaProductos[Nombre producto],TablaProductos[Agrupación]=ProductosPivot!FBE5)</f>
        <v>#VALUE!</v>
      </c>
      <c r="FBF6" s="68" t="e" cm="1" vm="1">
        <f t="array" ref="FBF6">_xlfn._xlws.FILTER(TablaProductos[Nombre producto],TablaProductos[Agrupación]=ProductosPivot!FBF5)</f>
        <v>#VALUE!</v>
      </c>
      <c r="FBG6" s="68" t="e" cm="1" vm="1">
        <f t="array" ref="FBG6">_xlfn._xlws.FILTER(TablaProductos[Nombre producto],TablaProductos[Agrupación]=ProductosPivot!FBG5)</f>
        <v>#VALUE!</v>
      </c>
      <c r="FBH6" s="68" t="e" cm="1" vm="1">
        <f t="array" ref="FBH6">_xlfn._xlws.FILTER(TablaProductos[Nombre producto],TablaProductos[Agrupación]=ProductosPivot!FBH5)</f>
        <v>#VALUE!</v>
      </c>
      <c r="FBI6" s="68" t="e" cm="1" vm="1">
        <f t="array" ref="FBI6">_xlfn._xlws.FILTER(TablaProductos[Nombre producto],TablaProductos[Agrupación]=ProductosPivot!FBI5)</f>
        <v>#VALUE!</v>
      </c>
      <c r="FBJ6" s="68" t="e" cm="1" vm="1">
        <f t="array" ref="FBJ6">_xlfn._xlws.FILTER(TablaProductos[Nombre producto],TablaProductos[Agrupación]=ProductosPivot!FBJ5)</f>
        <v>#VALUE!</v>
      </c>
      <c r="FBK6" s="68" t="e" cm="1" vm="1">
        <f t="array" ref="FBK6">_xlfn._xlws.FILTER(TablaProductos[Nombre producto],TablaProductos[Agrupación]=ProductosPivot!FBK5)</f>
        <v>#VALUE!</v>
      </c>
      <c r="FBL6" s="68" t="e" cm="1" vm="1">
        <f t="array" ref="FBL6">_xlfn._xlws.FILTER(TablaProductos[Nombre producto],TablaProductos[Agrupación]=ProductosPivot!FBL5)</f>
        <v>#VALUE!</v>
      </c>
      <c r="FBM6" s="68" t="e" cm="1" vm="1">
        <f t="array" ref="FBM6">_xlfn._xlws.FILTER(TablaProductos[Nombre producto],TablaProductos[Agrupación]=ProductosPivot!FBM5)</f>
        <v>#VALUE!</v>
      </c>
      <c r="FBN6" s="68" t="e" cm="1" vm="1">
        <f t="array" ref="FBN6">_xlfn._xlws.FILTER(TablaProductos[Nombre producto],TablaProductos[Agrupación]=ProductosPivot!FBN5)</f>
        <v>#VALUE!</v>
      </c>
      <c r="FBO6" s="68" t="e" cm="1" vm="1">
        <f t="array" ref="FBO6">_xlfn._xlws.FILTER(TablaProductos[Nombre producto],TablaProductos[Agrupación]=ProductosPivot!FBO5)</f>
        <v>#VALUE!</v>
      </c>
      <c r="FBP6" s="68" t="e" cm="1" vm="1">
        <f t="array" ref="FBP6">_xlfn._xlws.FILTER(TablaProductos[Nombre producto],TablaProductos[Agrupación]=ProductosPivot!FBP5)</f>
        <v>#VALUE!</v>
      </c>
      <c r="FBQ6" s="68" t="e" cm="1" vm="1">
        <f t="array" ref="FBQ6">_xlfn._xlws.FILTER(TablaProductos[Nombre producto],TablaProductos[Agrupación]=ProductosPivot!FBQ5)</f>
        <v>#VALUE!</v>
      </c>
      <c r="FBR6" s="68" t="e" cm="1" vm="1">
        <f t="array" ref="FBR6">_xlfn._xlws.FILTER(TablaProductos[Nombre producto],TablaProductos[Agrupación]=ProductosPivot!FBR5)</f>
        <v>#VALUE!</v>
      </c>
      <c r="FBS6" s="68" t="e" cm="1" vm="1">
        <f t="array" ref="FBS6">_xlfn._xlws.FILTER(TablaProductos[Nombre producto],TablaProductos[Agrupación]=ProductosPivot!FBS5)</f>
        <v>#VALUE!</v>
      </c>
      <c r="FBT6" s="68" t="e" cm="1" vm="1">
        <f t="array" ref="FBT6">_xlfn._xlws.FILTER(TablaProductos[Nombre producto],TablaProductos[Agrupación]=ProductosPivot!FBT5)</f>
        <v>#VALUE!</v>
      </c>
      <c r="FBU6" s="68" t="e" cm="1" vm="1">
        <f t="array" ref="FBU6">_xlfn._xlws.FILTER(TablaProductos[Nombre producto],TablaProductos[Agrupación]=ProductosPivot!FBU5)</f>
        <v>#VALUE!</v>
      </c>
      <c r="FBV6" s="68" t="e" cm="1" vm="1">
        <f t="array" ref="FBV6">_xlfn._xlws.FILTER(TablaProductos[Nombre producto],TablaProductos[Agrupación]=ProductosPivot!FBV5)</f>
        <v>#VALUE!</v>
      </c>
      <c r="FBW6" s="68" t="e" cm="1" vm="1">
        <f t="array" ref="FBW6">_xlfn._xlws.FILTER(TablaProductos[Nombre producto],TablaProductos[Agrupación]=ProductosPivot!FBW5)</f>
        <v>#VALUE!</v>
      </c>
      <c r="FBX6" s="68" t="e" cm="1" vm="1">
        <f t="array" ref="FBX6">_xlfn._xlws.FILTER(TablaProductos[Nombre producto],TablaProductos[Agrupación]=ProductosPivot!FBX5)</f>
        <v>#VALUE!</v>
      </c>
      <c r="FBY6" s="68" t="e" cm="1" vm="1">
        <f t="array" ref="FBY6">_xlfn._xlws.FILTER(TablaProductos[Nombre producto],TablaProductos[Agrupación]=ProductosPivot!FBY5)</f>
        <v>#VALUE!</v>
      </c>
      <c r="FBZ6" s="68" t="e" cm="1" vm="1">
        <f t="array" ref="FBZ6">_xlfn._xlws.FILTER(TablaProductos[Nombre producto],TablaProductos[Agrupación]=ProductosPivot!FBZ5)</f>
        <v>#VALUE!</v>
      </c>
      <c r="FCA6" s="68" t="e" cm="1" vm="1">
        <f t="array" ref="FCA6">_xlfn._xlws.FILTER(TablaProductos[Nombre producto],TablaProductos[Agrupación]=ProductosPivot!FCA5)</f>
        <v>#VALUE!</v>
      </c>
      <c r="FCB6" s="68" t="e" cm="1" vm="1">
        <f t="array" ref="FCB6">_xlfn._xlws.FILTER(TablaProductos[Nombre producto],TablaProductos[Agrupación]=ProductosPivot!FCB5)</f>
        <v>#VALUE!</v>
      </c>
      <c r="FCC6" s="68" t="e" cm="1" vm="1">
        <f t="array" ref="FCC6">_xlfn._xlws.FILTER(TablaProductos[Nombre producto],TablaProductos[Agrupación]=ProductosPivot!FCC5)</f>
        <v>#VALUE!</v>
      </c>
      <c r="FCD6" s="68" t="e" cm="1" vm="1">
        <f t="array" ref="FCD6">_xlfn._xlws.FILTER(TablaProductos[Nombre producto],TablaProductos[Agrupación]=ProductosPivot!FCD5)</f>
        <v>#VALUE!</v>
      </c>
      <c r="FCE6" s="68" t="e" cm="1" vm="1">
        <f t="array" ref="FCE6">_xlfn._xlws.FILTER(TablaProductos[Nombre producto],TablaProductos[Agrupación]=ProductosPivot!FCE5)</f>
        <v>#VALUE!</v>
      </c>
      <c r="FCF6" s="68" t="e" cm="1" vm="1">
        <f t="array" ref="FCF6">_xlfn._xlws.FILTER(TablaProductos[Nombre producto],TablaProductos[Agrupación]=ProductosPivot!FCF5)</f>
        <v>#VALUE!</v>
      </c>
      <c r="FCG6" s="68" t="e" cm="1" vm="1">
        <f t="array" ref="FCG6">_xlfn._xlws.FILTER(TablaProductos[Nombre producto],TablaProductos[Agrupación]=ProductosPivot!FCG5)</f>
        <v>#VALUE!</v>
      </c>
      <c r="FCH6" s="68" t="e" cm="1" vm="1">
        <f t="array" ref="FCH6">_xlfn._xlws.FILTER(TablaProductos[Nombre producto],TablaProductos[Agrupación]=ProductosPivot!FCH5)</f>
        <v>#VALUE!</v>
      </c>
      <c r="FCI6" s="68" t="e" cm="1" vm="1">
        <f t="array" ref="FCI6">_xlfn._xlws.FILTER(TablaProductos[Nombre producto],TablaProductos[Agrupación]=ProductosPivot!FCI5)</f>
        <v>#VALUE!</v>
      </c>
      <c r="FCJ6" s="68" t="e" cm="1" vm="1">
        <f t="array" ref="FCJ6">_xlfn._xlws.FILTER(TablaProductos[Nombre producto],TablaProductos[Agrupación]=ProductosPivot!FCJ5)</f>
        <v>#VALUE!</v>
      </c>
      <c r="FCK6" s="68" t="e" cm="1" vm="1">
        <f t="array" ref="FCK6">_xlfn._xlws.FILTER(TablaProductos[Nombre producto],TablaProductos[Agrupación]=ProductosPivot!FCK5)</f>
        <v>#VALUE!</v>
      </c>
      <c r="FCL6" s="68" t="e" cm="1" vm="1">
        <f t="array" ref="FCL6">_xlfn._xlws.FILTER(TablaProductos[Nombre producto],TablaProductos[Agrupación]=ProductosPivot!FCL5)</f>
        <v>#VALUE!</v>
      </c>
      <c r="FCM6" s="68" t="e" cm="1" vm="1">
        <f t="array" ref="FCM6">_xlfn._xlws.FILTER(TablaProductos[Nombre producto],TablaProductos[Agrupación]=ProductosPivot!FCM5)</f>
        <v>#VALUE!</v>
      </c>
      <c r="FCN6" s="68" t="e" cm="1" vm="1">
        <f t="array" ref="FCN6">_xlfn._xlws.FILTER(TablaProductos[Nombre producto],TablaProductos[Agrupación]=ProductosPivot!FCN5)</f>
        <v>#VALUE!</v>
      </c>
      <c r="FCO6" s="68" t="e" cm="1" vm="1">
        <f t="array" ref="FCO6">_xlfn._xlws.FILTER(TablaProductos[Nombre producto],TablaProductos[Agrupación]=ProductosPivot!FCO5)</f>
        <v>#VALUE!</v>
      </c>
      <c r="FCP6" s="68" t="e" cm="1" vm="1">
        <f t="array" ref="FCP6">_xlfn._xlws.FILTER(TablaProductos[Nombre producto],TablaProductos[Agrupación]=ProductosPivot!FCP5)</f>
        <v>#VALUE!</v>
      </c>
      <c r="FCQ6" s="68" t="e" cm="1" vm="1">
        <f t="array" ref="FCQ6">_xlfn._xlws.FILTER(TablaProductos[Nombre producto],TablaProductos[Agrupación]=ProductosPivot!FCQ5)</f>
        <v>#VALUE!</v>
      </c>
      <c r="FCR6" s="68" t="e" cm="1" vm="1">
        <f t="array" ref="FCR6">_xlfn._xlws.FILTER(TablaProductos[Nombre producto],TablaProductos[Agrupación]=ProductosPivot!FCR5)</f>
        <v>#VALUE!</v>
      </c>
      <c r="FCS6" s="68" t="e" cm="1" vm="1">
        <f t="array" ref="FCS6">_xlfn._xlws.FILTER(TablaProductos[Nombre producto],TablaProductos[Agrupación]=ProductosPivot!FCS5)</f>
        <v>#VALUE!</v>
      </c>
      <c r="FCT6" s="68" t="e" cm="1" vm="1">
        <f t="array" ref="FCT6">_xlfn._xlws.FILTER(TablaProductos[Nombre producto],TablaProductos[Agrupación]=ProductosPivot!FCT5)</f>
        <v>#VALUE!</v>
      </c>
      <c r="FCU6" s="68" t="e" cm="1" vm="1">
        <f t="array" ref="FCU6">_xlfn._xlws.FILTER(TablaProductos[Nombre producto],TablaProductos[Agrupación]=ProductosPivot!FCU5)</f>
        <v>#VALUE!</v>
      </c>
      <c r="FCV6" s="68" t="e" cm="1" vm="1">
        <f t="array" ref="FCV6">_xlfn._xlws.FILTER(TablaProductos[Nombre producto],TablaProductos[Agrupación]=ProductosPivot!FCV5)</f>
        <v>#VALUE!</v>
      </c>
      <c r="FCW6" s="68" t="e" cm="1" vm="1">
        <f t="array" ref="FCW6">_xlfn._xlws.FILTER(TablaProductos[Nombre producto],TablaProductos[Agrupación]=ProductosPivot!FCW5)</f>
        <v>#VALUE!</v>
      </c>
      <c r="FCX6" s="68" t="e" cm="1" vm="1">
        <f t="array" ref="FCX6">_xlfn._xlws.FILTER(TablaProductos[Nombre producto],TablaProductos[Agrupación]=ProductosPivot!FCX5)</f>
        <v>#VALUE!</v>
      </c>
      <c r="FCY6" s="68" t="e" cm="1" vm="1">
        <f t="array" ref="FCY6">_xlfn._xlws.FILTER(TablaProductos[Nombre producto],TablaProductos[Agrupación]=ProductosPivot!FCY5)</f>
        <v>#VALUE!</v>
      </c>
      <c r="FCZ6" s="68" t="e" cm="1" vm="1">
        <f t="array" ref="FCZ6">_xlfn._xlws.FILTER(TablaProductos[Nombre producto],TablaProductos[Agrupación]=ProductosPivot!FCZ5)</f>
        <v>#VALUE!</v>
      </c>
      <c r="FDA6" s="68" t="e" cm="1" vm="1">
        <f t="array" ref="FDA6">_xlfn._xlws.FILTER(TablaProductos[Nombre producto],TablaProductos[Agrupación]=ProductosPivot!FDA5)</f>
        <v>#VALUE!</v>
      </c>
      <c r="FDB6" s="68" t="e" cm="1" vm="1">
        <f t="array" ref="FDB6">_xlfn._xlws.FILTER(TablaProductos[Nombre producto],TablaProductos[Agrupación]=ProductosPivot!FDB5)</f>
        <v>#VALUE!</v>
      </c>
      <c r="FDC6" s="68" t="e" cm="1" vm="1">
        <f t="array" ref="FDC6">_xlfn._xlws.FILTER(TablaProductos[Nombre producto],TablaProductos[Agrupación]=ProductosPivot!FDC5)</f>
        <v>#VALUE!</v>
      </c>
      <c r="FDD6" s="68" t="e" cm="1" vm="1">
        <f t="array" ref="FDD6">_xlfn._xlws.FILTER(TablaProductos[Nombre producto],TablaProductos[Agrupación]=ProductosPivot!FDD5)</f>
        <v>#VALUE!</v>
      </c>
      <c r="FDE6" s="68" t="e" cm="1" vm="1">
        <f t="array" ref="FDE6">_xlfn._xlws.FILTER(TablaProductos[Nombre producto],TablaProductos[Agrupación]=ProductosPivot!FDE5)</f>
        <v>#VALUE!</v>
      </c>
      <c r="FDF6" s="68" t="e" cm="1" vm="1">
        <f t="array" ref="FDF6">_xlfn._xlws.FILTER(TablaProductos[Nombre producto],TablaProductos[Agrupación]=ProductosPivot!FDF5)</f>
        <v>#VALUE!</v>
      </c>
      <c r="FDG6" s="68" t="e" cm="1" vm="1">
        <f t="array" ref="FDG6">_xlfn._xlws.FILTER(TablaProductos[Nombre producto],TablaProductos[Agrupación]=ProductosPivot!FDG5)</f>
        <v>#VALUE!</v>
      </c>
      <c r="FDH6" s="68" t="e" cm="1" vm="1">
        <f t="array" ref="FDH6">_xlfn._xlws.FILTER(TablaProductos[Nombre producto],TablaProductos[Agrupación]=ProductosPivot!FDH5)</f>
        <v>#VALUE!</v>
      </c>
      <c r="FDI6" s="68" t="e" cm="1" vm="1">
        <f t="array" ref="FDI6">_xlfn._xlws.FILTER(TablaProductos[Nombre producto],TablaProductos[Agrupación]=ProductosPivot!FDI5)</f>
        <v>#VALUE!</v>
      </c>
      <c r="FDJ6" s="68" t="e" cm="1" vm="1">
        <f t="array" ref="FDJ6">_xlfn._xlws.FILTER(TablaProductos[Nombre producto],TablaProductos[Agrupación]=ProductosPivot!FDJ5)</f>
        <v>#VALUE!</v>
      </c>
      <c r="FDK6" s="68" t="e" cm="1" vm="1">
        <f t="array" ref="FDK6">_xlfn._xlws.FILTER(TablaProductos[Nombre producto],TablaProductos[Agrupación]=ProductosPivot!FDK5)</f>
        <v>#VALUE!</v>
      </c>
      <c r="FDL6" s="68" t="e" cm="1" vm="1">
        <f t="array" ref="FDL6">_xlfn._xlws.FILTER(TablaProductos[Nombre producto],TablaProductos[Agrupación]=ProductosPivot!FDL5)</f>
        <v>#VALUE!</v>
      </c>
      <c r="FDM6" s="68" t="e" cm="1" vm="1">
        <f t="array" ref="FDM6">_xlfn._xlws.FILTER(TablaProductos[Nombre producto],TablaProductos[Agrupación]=ProductosPivot!FDM5)</f>
        <v>#VALUE!</v>
      </c>
      <c r="FDN6" s="68" t="e" cm="1" vm="1">
        <f t="array" ref="FDN6">_xlfn._xlws.FILTER(TablaProductos[Nombre producto],TablaProductos[Agrupación]=ProductosPivot!FDN5)</f>
        <v>#VALUE!</v>
      </c>
      <c r="FDO6" s="68" t="e" cm="1" vm="1">
        <f t="array" ref="FDO6">_xlfn._xlws.FILTER(TablaProductos[Nombre producto],TablaProductos[Agrupación]=ProductosPivot!FDO5)</f>
        <v>#VALUE!</v>
      </c>
      <c r="FDP6" s="68" t="e" cm="1" vm="1">
        <f t="array" ref="FDP6">_xlfn._xlws.FILTER(TablaProductos[Nombre producto],TablaProductos[Agrupación]=ProductosPivot!FDP5)</f>
        <v>#VALUE!</v>
      </c>
      <c r="FDQ6" s="68" t="e" cm="1" vm="1">
        <f t="array" ref="FDQ6">_xlfn._xlws.FILTER(TablaProductos[Nombre producto],TablaProductos[Agrupación]=ProductosPivot!FDQ5)</f>
        <v>#VALUE!</v>
      </c>
      <c r="FDR6" s="68" t="e" cm="1" vm="1">
        <f t="array" ref="FDR6">_xlfn._xlws.FILTER(TablaProductos[Nombre producto],TablaProductos[Agrupación]=ProductosPivot!FDR5)</f>
        <v>#VALUE!</v>
      </c>
      <c r="FDS6" s="68" t="e" cm="1" vm="1">
        <f t="array" ref="FDS6">_xlfn._xlws.FILTER(TablaProductos[Nombre producto],TablaProductos[Agrupación]=ProductosPivot!FDS5)</f>
        <v>#VALUE!</v>
      </c>
      <c r="FDT6" s="68" t="e" cm="1" vm="1">
        <f t="array" ref="FDT6">_xlfn._xlws.FILTER(TablaProductos[Nombre producto],TablaProductos[Agrupación]=ProductosPivot!FDT5)</f>
        <v>#VALUE!</v>
      </c>
      <c r="FDU6" s="68" t="e" cm="1" vm="1">
        <f t="array" ref="FDU6">_xlfn._xlws.FILTER(TablaProductos[Nombre producto],TablaProductos[Agrupación]=ProductosPivot!FDU5)</f>
        <v>#VALUE!</v>
      </c>
      <c r="FDV6" s="68" t="e" cm="1" vm="1">
        <f t="array" ref="FDV6">_xlfn._xlws.FILTER(TablaProductos[Nombre producto],TablaProductos[Agrupación]=ProductosPivot!FDV5)</f>
        <v>#VALUE!</v>
      </c>
      <c r="FDW6" s="68" t="e" cm="1" vm="1">
        <f t="array" ref="FDW6">_xlfn._xlws.FILTER(TablaProductos[Nombre producto],TablaProductos[Agrupación]=ProductosPivot!FDW5)</f>
        <v>#VALUE!</v>
      </c>
      <c r="FDX6" s="68" t="e" cm="1" vm="1">
        <f t="array" ref="FDX6">_xlfn._xlws.FILTER(TablaProductos[Nombre producto],TablaProductos[Agrupación]=ProductosPivot!FDX5)</f>
        <v>#VALUE!</v>
      </c>
      <c r="FDY6" s="68" t="e" cm="1" vm="1">
        <f t="array" ref="FDY6">_xlfn._xlws.FILTER(TablaProductos[Nombre producto],TablaProductos[Agrupación]=ProductosPivot!FDY5)</f>
        <v>#VALUE!</v>
      </c>
      <c r="FDZ6" s="68" t="e" cm="1" vm="1">
        <f t="array" ref="FDZ6">_xlfn._xlws.FILTER(TablaProductos[Nombre producto],TablaProductos[Agrupación]=ProductosPivot!FDZ5)</f>
        <v>#VALUE!</v>
      </c>
      <c r="FEA6" s="68" t="e" cm="1" vm="1">
        <f t="array" ref="FEA6">_xlfn._xlws.FILTER(TablaProductos[Nombre producto],TablaProductos[Agrupación]=ProductosPivot!FEA5)</f>
        <v>#VALUE!</v>
      </c>
      <c r="FEB6" s="68" t="e" cm="1" vm="1">
        <f t="array" ref="FEB6">_xlfn._xlws.FILTER(TablaProductos[Nombre producto],TablaProductos[Agrupación]=ProductosPivot!FEB5)</f>
        <v>#VALUE!</v>
      </c>
      <c r="FEC6" s="68" t="e" cm="1" vm="1">
        <f t="array" ref="FEC6">_xlfn._xlws.FILTER(TablaProductos[Nombre producto],TablaProductos[Agrupación]=ProductosPivot!FEC5)</f>
        <v>#VALUE!</v>
      </c>
      <c r="FED6" s="68" t="e" cm="1" vm="1">
        <f t="array" ref="FED6">_xlfn._xlws.FILTER(TablaProductos[Nombre producto],TablaProductos[Agrupación]=ProductosPivot!FED5)</f>
        <v>#VALUE!</v>
      </c>
      <c r="FEE6" s="68" t="e" cm="1" vm="1">
        <f t="array" ref="FEE6">_xlfn._xlws.FILTER(TablaProductos[Nombre producto],TablaProductos[Agrupación]=ProductosPivot!FEE5)</f>
        <v>#VALUE!</v>
      </c>
      <c r="FEF6" s="68" t="e" cm="1" vm="1">
        <f t="array" ref="FEF6">_xlfn._xlws.FILTER(TablaProductos[Nombre producto],TablaProductos[Agrupación]=ProductosPivot!FEF5)</f>
        <v>#VALUE!</v>
      </c>
      <c r="FEG6" s="68" t="e" cm="1" vm="1">
        <f t="array" ref="FEG6">_xlfn._xlws.FILTER(TablaProductos[Nombre producto],TablaProductos[Agrupación]=ProductosPivot!FEG5)</f>
        <v>#VALUE!</v>
      </c>
      <c r="FEH6" s="68" t="e" cm="1" vm="1">
        <f t="array" ref="FEH6">_xlfn._xlws.FILTER(TablaProductos[Nombre producto],TablaProductos[Agrupación]=ProductosPivot!FEH5)</f>
        <v>#VALUE!</v>
      </c>
      <c r="FEI6" s="68" t="e" cm="1" vm="1">
        <f t="array" ref="FEI6">_xlfn._xlws.FILTER(TablaProductos[Nombre producto],TablaProductos[Agrupación]=ProductosPivot!FEI5)</f>
        <v>#VALUE!</v>
      </c>
      <c r="FEJ6" s="68" t="e" cm="1" vm="1">
        <f t="array" ref="FEJ6">_xlfn._xlws.FILTER(TablaProductos[Nombre producto],TablaProductos[Agrupación]=ProductosPivot!FEJ5)</f>
        <v>#VALUE!</v>
      </c>
      <c r="FEK6" s="68" t="e" cm="1" vm="1">
        <f t="array" ref="FEK6">_xlfn._xlws.FILTER(TablaProductos[Nombre producto],TablaProductos[Agrupación]=ProductosPivot!FEK5)</f>
        <v>#VALUE!</v>
      </c>
      <c r="FEL6" s="68" t="e" cm="1" vm="1">
        <f t="array" ref="FEL6">_xlfn._xlws.FILTER(TablaProductos[Nombre producto],TablaProductos[Agrupación]=ProductosPivot!FEL5)</f>
        <v>#VALUE!</v>
      </c>
      <c r="FEM6" s="68" t="e" cm="1" vm="1">
        <f t="array" ref="FEM6">_xlfn._xlws.FILTER(TablaProductos[Nombre producto],TablaProductos[Agrupación]=ProductosPivot!FEM5)</f>
        <v>#VALUE!</v>
      </c>
      <c r="FEN6" s="68" t="e" cm="1" vm="1">
        <f t="array" ref="FEN6">_xlfn._xlws.FILTER(TablaProductos[Nombre producto],TablaProductos[Agrupación]=ProductosPivot!FEN5)</f>
        <v>#VALUE!</v>
      </c>
      <c r="FEO6" s="68" t="e" cm="1" vm="1">
        <f t="array" ref="FEO6">_xlfn._xlws.FILTER(TablaProductos[Nombre producto],TablaProductos[Agrupación]=ProductosPivot!FEO5)</f>
        <v>#VALUE!</v>
      </c>
      <c r="FEP6" s="68" t="e" cm="1" vm="1">
        <f t="array" ref="FEP6">_xlfn._xlws.FILTER(TablaProductos[Nombre producto],TablaProductos[Agrupación]=ProductosPivot!FEP5)</f>
        <v>#VALUE!</v>
      </c>
      <c r="FEQ6" s="68" t="e" cm="1" vm="1">
        <f t="array" ref="FEQ6">_xlfn._xlws.FILTER(TablaProductos[Nombre producto],TablaProductos[Agrupación]=ProductosPivot!FEQ5)</f>
        <v>#VALUE!</v>
      </c>
      <c r="FER6" s="68" t="e" cm="1" vm="1">
        <f t="array" ref="FER6">_xlfn._xlws.FILTER(TablaProductos[Nombre producto],TablaProductos[Agrupación]=ProductosPivot!FER5)</f>
        <v>#VALUE!</v>
      </c>
      <c r="FES6" s="68" t="e" cm="1" vm="1">
        <f t="array" ref="FES6">_xlfn._xlws.FILTER(TablaProductos[Nombre producto],TablaProductos[Agrupación]=ProductosPivot!FES5)</f>
        <v>#VALUE!</v>
      </c>
      <c r="FET6" s="68" t="e" cm="1" vm="1">
        <f t="array" ref="FET6">_xlfn._xlws.FILTER(TablaProductos[Nombre producto],TablaProductos[Agrupación]=ProductosPivot!FET5)</f>
        <v>#VALUE!</v>
      </c>
      <c r="FEU6" s="68" t="e" cm="1" vm="1">
        <f t="array" ref="FEU6">_xlfn._xlws.FILTER(TablaProductos[Nombre producto],TablaProductos[Agrupación]=ProductosPivot!FEU5)</f>
        <v>#VALUE!</v>
      </c>
      <c r="FEV6" s="68" t="e" cm="1" vm="1">
        <f t="array" ref="FEV6">_xlfn._xlws.FILTER(TablaProductos[Nombre producto],TablaProductos[Agrupación]=ProductosPivot!FEV5)</f>
        <v>#VALUE!</v>
      </c>
      <c r="FEW6" s="68" t="e" cm="1" vm="1">
        <f t="array" ref="FEW6">_xlfn._xlws.FILTER(TablaProductos[Nombre producto],TablaProductos[Agrupación]=ProductosPivot!FEW5)</f>
        <v>#VALUE!</v>
      </c>
      <c r="FEX6" s="68" t="e" cm="1" vm="1">
        <f t="array" ref="FEX6">_xlfn._xlws.FILTER(TablaProductos[Nombre producto],TablaProductos[Agrupación]=ProductosPivot!FEX5)</f>
        <v>#VALUE!</v>
      </c>
      <c r="FEY6" s="68" t="e" cm="1" vm="1">
        <f t="array" ref="FEY6">_xlfn._xlws.FILTER(TablaProductos[Nombre producto],TablaProductos[Agrupación]=ProductosPivot!FEY5)</f>
        <v>#VALUE!</v>
      </c>
      <c r="FEZ6" s="68" t="e" cm="1" vm="1">
        <f t="array" ref="FEZ6">_xlfn._xlws.FILTER(TablaProductos[Nombre producto],TablaProductos[Agrupación]=ProductosPivot!FEZ5)</f>
        <v>#VALUE!</v>
      </c>
      <c r="FFA6" s="68" t="e" cm="1" vm="1">
        <f t="array" ref="FFA6">_xlfn._xlws.FILTER(TablaProductos[Nombre producto],TablaProductos[Agrupación]=ProductosPivot!FFA5)</f>
        <v>#VALUE!</v>
      </c>
      <c r="FFB6" s="68" t="e" cm="1" vm="1">
        <f t="array" ref="FFB6">_xlfn._xlws.FILTER(TablaProductos[Nombre producto],TablaProductos[Agrupación]=ProductosPivot!FFB5)</f>
        <v>#VALUE!</v>
      </c>
      <c r="FFC6" s="68" t="e" cm="1" vm="1">
        <f t="array" ref="FFC6">_xlfn._xlws.FILTER(TablaProductos[Nombre producto],TablaProductos[Agrupación]=ProductosPivot!FFC5)</f>
        <v>#VALUE!</v>
      </c>
      <c r="FFD6" s="68" t="e" cm="1" vm="1">
        <f t="array" ref="FFD6">_xlfn._xlws.FILTER(TablaProductos[Nombre producto],TablaProductos[Agrupación]=ProductosPivot!FFD5)</f>
        <v>#VALUE!</v>
      </c>
      <c r="FFE6" s="68" t="e" cm="1" vm="1">
        <f t="array" ref="FFE6">_xlfn._xlws.FILTER(TablaProductos[Nombre producto],TablaProductos[Agrupación]=ProductosPivot!FFE5)</f>
        <v>#VALUE!</v>
      </c>
      <c r="FFF6" s="68" t="e" cm="1" vm="1">
        <f t="array" ref="FFF6">_xlfn._xlws.FILTER(TablaProductos[Nombre producto],TablaProductos[Agrupación]=ProductosPivot!FFF5)</f>
        <v>#VALUE!</v>
      </c>
      <c r="FFG6" s="68" t="e" cm="1" vm="1">
        <f t="array" ref="FFG6">_xlfn._xlws.FILTER(TablaProductos[Nombre producto],TablaProductos[Agrupación]=ProductosPivot!FFG5)</f>
        <v>#VALUE!</v>
      </c>
      <c r="FFH6" s="68" t="e" cm="1" vm="1">
        <f t="array" ref="FFH6">_xlfn._xlws.FILTER(TablaProductos[Nombre producto],TablaProductos[Agrupación]=ProductosPivot!FFH5)</f>
        <v>#VALUE!</v>
      </c>
      <c r="FFI6" s="68" t="e" cm="1" vm="1">
        <f t="array" ref="FFI6">_xlfn._xlws.FILTER(TablaProductos[Nombre producto],TablaProductos[Agrupación]=ProductosPivot!FFI5)</f>
        <v>#VALUE!</v>
      </c>
      <c r="FFJ6" s="68" t="e" cm="1" vm="1">
        <f t="array" ref="FFJ6">_xlfn._xlws.FILTER(TablaProductos[Nombre producto],TablaProductos[Agrupación]=ProductosPivot!FFJ5)</f>
        <v>#VALUE!</v>
      </c>
      <c r="FFK6" s="68" t="e" cm="1" vm="1">
        <f t="array" ref="FFK6">_xlfn._xlws.FILTER(TablaProductos[Nombre producto],TablaProductos[Agrupación]=ProductosPivot!FFK5)</f>
        <v>#VALUE!</v>
      </c>
      <c r="FFL6" s="68" t="e" cm="1" vm="1">
        <f t="array" ref="FFL6">_xlfn._xlws.FILTER(TablaProductos[Nombre producto],TablaProductos[Agrupación]=ProductosPivot!FFL5)</f>
        <v>#VALUE!</v>
      </c>
      <c r="FFM6" s="68" t="e" cm="1" vm="1">
        <f t="array" ref="FFM6">_xlfn._xlws.FILTER(TablaProductos[Nombre producto],TablaProductos[Agrupación]=ProductosPivot!FFM5)</f>
        <v>#VALUE!</v>
      </c>
      <c r="FFN6" s="68" t="e" cm="1" vm="1">
        <f t="array" ref="FFN6">_xlfn._xlws.FILTER(TablaProductos[Nombre producto],TablaProductos[Agrupación]=ProductosPivot!FFN5)</f>
        <v>#VALUE!</v>
      </c>
      <c r="FFO6" s="68" t="e" cm="1" vm="1">
        <f t="array" ref="FFO6">_xlfn._xlws.FILTER(TablaProductos[Nombre producto],TablaProductos[Agrupación]=ProductosPivot!FFO5)</f>
        <v>#VALUE!</v>
      </c>
      <c r="FFP6" s="68" t="e" cm="1" vm="1">
        <f t="array" ref="FFP6">_xlfn._xlws.FILTER(TablaProductos[Nombre producto],TablaProductos[Agrupación]=ProductosPivot!FFP5)</f>
        <v>#VALUE!</v>
      </c>
      <c r="FFQ6" s="68" t="e" cm="1" vm="1">
        <f t="array" ref="FFQ6">_xlfn._xlws.FILTER(TablaProductos[Nombre producto],TablaProductos[Agrupación]=ProductosPivot!FFQ5)</f>
        <v>#VALUE!</v>
      </c>
      <c r="FFR6" s="68" t="e" cm="1" vm="1">
        <f t="array" ref="FFR6">_xlfn._xlws.FILTER(TablaProductos[Nombre producto],TablaProductos[Agrupación]=ProductosPivot!FFR5)</f>
        <v>#VALUE!</v>
      </c>
      <c r="FFS6" s="68" t="e" cm="1" vm="1">
        <f t="array" ref="FFS6">_xlfn._xlws.FILTER(TablaProductos[Nombre producto],TablaProductos[Agrupación]=ProductosPivot!FFS5)</f>
        <v>#VALUE!</v>
      </c>
      <c r="FFT6" s="68" t="e" cm="1" vm="1">
        <f t="array" ref="FFT6">_xlfn._xlws.FILTER(TablaProductos[Nombre producto],TablaProductos[Agrupación]=ProductosPivot!FFT5)</f>
        <v>#VALUE!</v>
      </c>
      <c r="FFU6" s="68" t="e" cm="1" vm="1">
        <f t="array" ref="FFU6">_xlfn._xlws.FILTER(TablaProductos[Nombre producto],TablaProductos[Agrupación]=ProductosPivot!FFU5)</f>
        <v>#VALUE!</v>
      </c>
      <c r="FFV6" s="68" t="e" cm="1" vm="1">
        <f t="array" ref="FFV6">_xlfn._xlws.FILTER(TablaProductos[Nombre producto],TablaProductos[Agrupación]=ProductosPivot!FFV5)</f>
        <v>#VALUE!</v>
      </c>
      <c r="FFW6" s="68" t="e" cm="1" vm="1">
        <f t="array" ref="FFW6">_xlfn._xlws.FILTER(TablaProductos[Nombre producto],TablaProductos[Agrupación]=ProductosPivot!FFW5)</f>
        <v>#VALUE!</v>
      </c>
      <c r="FFX6" s="68" t="e" cm="1" vm="1">
        <f t="array" ref="FFX6">_xlfn._xlws.FILTER(TablaProductos[Nombre producto],TablaProductos[Agrupación]=ProductosPivot!FFX5)</f>
        <v>#VALUE!</v>
      </c>
      <c r="FFY6" s="68" t="e" cm="1" vm="1">
        <f t="array" ref="FFY6">_xlfn._xlws.FILTER(TablaProductos[Nombre producto],TablaProductos[Agrupación]=ProductosPivot!FFY5)</f>
        <v>#VALUE!</v>
      </c>
      <c r="FFZ6" s="68" t="e" cm="1" vm="1">
        <f t="array" ref="FFZ6">_xlfn._xlws.FILTER(TablaProductos[Nombre producto],TablaProductos[Agrupación]=ProductosPivot!FFZ5)</f>
        <v>#VALUE!</v>
      </c>
      <c r="FGA6" s="68" t="e" cm="1" vm="1">
        <f t="array" ref="FGA6">_xlfn._xlws.FILTER(TablaProductos[Nombre producto],TablaProductos[Agrupación]=ProductosPivot!FGA5)</f>
        <v>#VALUE!</v>
      </c>
      <c r="FGB6" s="68" t="e" cm="1" vm="1">
        <f t="array" ref="FGB6">_xlfn._xlws.FILTER(TablaProductos[Nombre producto],TablaProductos[Agrupación]=ProductosPivot!FGB5)</f>
        <v>#VALUE!</v>
      </c>
      <c r="FGC6" s="68" t="e" cm="1" vm="1">
        <f t="array" ref="FGC6">_xlfn._xlws.FILTER(TablaProductos[Nombre producto],TablaProductos[Agrupación]=ProductosPivot!FGC5)</f>
        <v>#VALUE!</v>
      </c>
      <c r="FGD6" s="68" t="e" cm="1" vm="1">
        <f t="array" ref="FGD6">_xlfn._xlws.FILTER(TablaProductos[Nombre producto],TablaProductos[Agrupación]=ProductosPivot!FGD5)</f>
        <v>#VALUE!</v>
      </c>
      <c r="FGE6" s="68" t="e" cm="1" vm="1">
        <f t="array" ref="FGE6">_xlfn._xlws.FILTER(TablaProductos[Nombre producto],TablaProductos[Agrupación]=ProductosPivot!FGE5)</f>
        <v>#VALUE!</v>
      </c>
      <c r="FGF6" s="68" t="e" cm="1" vm="1">
        <f t="array" ref="FGF6">_xlfn._xlws.FILTER(TablaProductos[Nombre producto],TablaProductos[Agrupación]=ProductosPivot!FGF5)</f>
        <v>#VALUE!</v>
      </c>
      <c r="FGG6" s="68" t="e" cm="1" vm="1">
        <f t="array" ref="FGG6">_xlfn._xlws.FILTER(TablaProductos[Nombre producto],TablaProductos[Agrupación]=ProductosPivot!FGG5)</f>
        <v>#VALUE!</v>
      </c>
      <c r="FGH6" s="68" t="e" cm="1" vm="1">
        <f t="array" ref="FGH6">_xlfn._xlws.FILTER(TablaProductos[Nombre producto],TablaProductos[Agrupación]=ProductosPivot!FGH5)</f>
        <v>#VALUE!</v>
      </c>
      <c r="FGI6" s="68" t="e" cm="1" vm="1">
        <f t="array" ref="FGI6">_xlfn._xlws.FILTER(TablaProductos[Nombre producto],TablaProductos[Agrupación]=ProductosPivot!FGI5)</f>
        <v>#VALUE!</v>
      </c>
      <c r="FGJ6" s="68" t="e" cm="1" vm="1">
        <f t="array" ref="FGJ6">_xlfn._xlws.FILTER(TablaProductos[Nombre producto],TablaProductos[Agrupación]=ProductosPivot!FGJ5)</f>
        <v>#VALUE!</v>
      </c>
      <c r="FGK6" s="68" t="e" cm="1" vm="1">
        <f t="array" ref="FGK6">_xlfn._xlws.FILTER(TablaProductos[Nombre producto],TablaProductos[Agrupación]=ProductosPivot!FGK5)</f>
        <v>#VALUE!</v>
      </c>
      <c r="FGL6" s="68" t="e" cm="1" vm="1">
        <f t="array" ref="FGL6">_xlfn._xlws.FILTER(TablaProductos[Nombre producto],TablaProductos[Agrupación]=ProductosPivot!FGL5)</f>
        <v>#VALUE!</v>
      </c>
      <c r="FGM6" s="68" t="e" cm="1" vm="1">
        <f t="array" ref="FGM6">_xlfn._xlws.FILTER(TablaProductos[Nombre producto],TablaProductos[Agrupación]=ProductosPivot!FGM5)</f>
        <v>#VALUE!</v>
      </c>
      <c r="FGN6" s="68" t="e" cm="1" vm="1">
        <f t="array" ref="FGN6">_xlfn._xlws.FILTER(TablaProductos[Nombre producto],TablaProductos[Agrupación]=ProductosPivot!FGN5)</f>
        <v>#VALUE!</v>
      </c>
      <c r="FGO6" s="68" t="e" cm="1" vm="1">
        <f t="array" ref="FGO6">_xlfn._xlws.FILTER(TablaProductos[Nombre producto],TablaProductos[Agrupación]=ProductosPivot!FGO5)</f>
        <v>#VALUE!</v>
      </c>
      <c r="FGP6" s="68" t="e" cm="1" vm="1">
        <f t="array" ref="FGP6">_xlfn._xlws.FILTER(TablaProductos[Nombre producto],TablaProductos[Agrupación]=ProductosPivot!FGP5)</f>
        <v>#VALUE!</v>
      </c>
      <c r="FGQ6" s="68" t="e" cm="1" vm="1">
        <f t="array" ref="FGQ6">_xlfn._xlws.FILTER(TablaProductos[Nombre producto],TablaProductos[Agrupación]=ProductosPivot!FGQ5)</f>
        <v>#VALUE!</v>
      </c>
      <c r="FGR6" s="68" t="e" cm="1" vm="1">
        <f t="array" ref="FGR6">_xlfn._xlws.FILTER(TablaProductos[Nombre producto],TablaProductos[Agrupación]=ProductosPivot!FGR5)</f>
        <v>#VALUE!</v>
      </c>
      <c r="FGS6" s="68" t="e" cm="1" vm="1">
        <f t="array" ref="FGS6">_xlfn._xlws.FILTER(TablaProductos[Nombre producto],TablaProductos[Agrupación]=ProductosPivot!FGS5)</f>
        <v>#VALUE!</v>
      </c>
      <c r="FGT6" s="68" t="e" cm="1" vm="1">
        <f t="array" ref="FGT6">_xlfn._xlws.FILTER(TablaProductos[Nombre producto],TablaProductos[Agrupación]=ProductosPivot!FGT5)</f>
        <v>#VALUE!</v>
      </c>
      <c r="FGU6" s="68" t="e" cm="1" vm="1">
        <f t="array" ref="FGU6">_xlfn._xlws.FILTER(TablaProductos[Nombre producto],TablaProductos[Agrupación]=ProductosPivot!FGU5)</f>
        <v>#VALUE!</v>
      </c>
      <c r="FGV6" s="68" t="e" cm="1" vm="1">
        <f t="array" ref="FGV6">_xlfn._xlws.FILTER(TablaProductos[Nombre producto],TablaProductos[Agrupación]=ProductosPivot!FGV5)</f>
        <v>#VALUE!</v>
      </c>
      <c r="FGW6" s="68" t="e" cm="1" vm="1">
        <f t="array" ref="FGW6">_xlfn._xlws.FILTER(TablaProductos[Nombre producto],TablaProductos[Agrupación]=ProductosPivot!FGW5)</f>
        <v>#VALUE!</v>
      </c>
      <c r="FGX6" s="68" t="e" cm="1" vm="1">
        <f t="array" ref="FGX6">_xlfn._xlws.FILTER(TablaProductos[Nombre producto],TablaProductos[Agrupación]=ProductosPivot!FGX5)</f>
        <v>#VALUE!</v>
      </c>
      <c r="FGY6" s="68" t="e" cm="1" vm="1">
        <f t="array" ref="FGY6">_xlfn._xlws.FILTER(TablaProductos[Nombre producto],TablaProductos[Agrupación]=ProductosPivot!FGY5)</f>
        <v>#VALUE!</v>
      </c>
      <c r="FGZ6" s="68" t="e" cm="1" vm="1">
        <f t="array" ref="FGZ6">_xlfn._xlws.FILTER(TablaProductos[Nombre producto],TablaProductos[Agrupación]=ProductosPivot!FGZ5)</f>
        <v>#VALUE!</v>
      </c>
      <c r="FHA6" s="68" t="e" cm="1" vm="1">
        <f t="array" ref="FHA6">_xlfn._xlws.FILTER(TablaProductos[Nombre producto],TablaProductos[Agrupación]=ProductosPivot!FHA5)</f>
        <v>#VALUE!</v>
      </c>
      <c r="FHB6" s="68" t="e" cm="1" vm="1">
        <f t="array" ref="FHB6">_xlfn._xlws.FILTER(TablaProductos[Nombre producto],TablaProductos[Agrupación]=ProductosPivot!FHB5)</f>
        <v>#VALUE!</v>
      </c>
      <c r="FHC6" s="68" t="e" cm="1" vm="1">
        <f t="array" ref="FHC6">_xlfn._xlws.FILTER(TablaProductos[Nombre producto],TablaProductos[Agrupación]=ProductosPivot!FHC5)</f>
        <v>#VALUE!</v>
      </c>
      <c r="FHD6" s="68" t="e" cm="1" vm="1">
        <f t="array" ref="FHD6">_xlfn._xlws.FILTER(TablaProductos[Nombre producto],TablaProductos[Agrupación]=ProductosPivot!FHD5)</f>
        <v>#VALUE!</v>
      </c>
      <c r="FHE6" s="68" t="e" cm="1" vm="1">
        <f t="array" ref="FHE6">_xlfn._xlws.FILTER(TablaProductos[Nombre producto],TablaProductos[Agrupación]=ProductosPivot!FHE5)</f>
        <v>#VALUE!</v>
      </c>
      <c r="FHF6" s="68" t="e" cm="1" vm="1">
        <f t="array" ref="FHF6">_xlfn._xlws.FILTER(TablaProductos[Nombre producto],TablaProductos[Agrupación]=ProductosPivot!FHF5)</f>
        <v>#VALUE!</v>
      </c>
      <c r="FHG6" s="68" t="e" cm="1" vm="1">
        <f t="array" ref="FHG6">_xlfn._xlws.FILTER(TablaProductos[Nombre producto],TablaProductos[Agrupación]=ProductosPivot!FHG5)</f>
        <v>#VALUE!</v>
      </c>
      <c r="FHH6" s="68" t="e" cm="1" vm="1">
        <f t="array" ref="FHH6">_xlfn._xlws.FILTER(TablaProductos[Nombre producto],TablaProductos[Agrupación]=ProductosPivot!FHH5)</f>
        <v>#VALUE!</v>
      </c>
      <c r="FHI6" s="68" t="e" cm="1" vm="1">
        <f t="array" ref="FHI6">_xlfn._xlws.FILTER(TablaProductos[Nombre producto],TablaProductos[Agrupación]=ProductosPivot!FHI5)</f>
        <v>#VALUE!</v>
      </c>
      <c r="FHJ6" s="68" t="e" cm="1" vm="1">
        <f t="array" ref="FHJ6">_xlfn._xlws.FILTER(TablaProductos[Nombre producto],TablaProductos[Agrupación]=ProductosPivot!FHJ5)</f>
        <v>#VALUE!</v>
      </c>
      <c r="FHK6" s="68" t="e" cm="1" vm="1">
        <f t="array" ref="FHK6">_xlfn._xlws.FILTER(TablaProductos[Nombre producto],TablaProductos[Agrupación]=ProductosPivot!FHK5)</f>
        <v>#VALUE!</v>
      </c>
      <c r="FHL6" s="68" t="e" cm="1" vm="1">
        <f t="array" ref="FHL6">_xlfn._xlws.FILTER(TablaProductos[Nombre producto],TablaProductos[Agrupación]=ProductosPivot!FHL5)</f>
        <v>#VALUE!</v>
      </c>
      <c r="FHM6" s="68" t="e" cm="1" vm="1">
        <f t="array" ref="FHM6">_xlfn._xlws.FILTER(TablaProductos[Nombre producto],TablaProductos[Agrupación]=ProductosPivot!FHM5)</f>
        <v>#VALUE!</v>
      </c>
      <c r="FHN6" s="68" t="e" cm="1" vm="1">
        <f t="array" ref="FHN6">_xlfn._xlws.FILTER(TablaProductos[Nombre producto],TablaProductos[Agrupación]=ProductosPivot!FHN5)</f>
        <v>#VALUE!</v>
      </c>
      <c r="FHO6" s="68" t="e" cm="1" vm="1">
        <f t="array" ref="FHO6">_xlfn._xlws.FILTER(TablaProductos[Nombre producto],TablaProductos[Agrupación]=ProductosPivot!FHO5)</f>
        <v>#VALUE!</v>
      </c>
      <c r="FHP6" s="68" t="e" cm="1" vm="1">
        <f t="array" ref="FHP6">_xlfn._xlws.FILTER(TablaProductos[Nombre producto],TablaProductos[Agrupación]=ProductosPivot!FHP5)</f>
        <v>#VALUE!</v>
      </c>
      <c r="FHQ6" s="68" t="e" cm="1" vm="1">
        <f t="array" ref="FHQ6">_xlfn._xlws.FILTER(TablaProductos[Nombre producto],TablaProductos[Agrupación]=ProductosPivot!FHQ5)</f>
        <v>#VALUE!</v>
      </c>
      <c r="FHR6" s="68" t="e" cm="1" vm="1">
        <f t="array" ref="FHR6">_xlfn._xlws.FILTER(TablaProductos[Nombre producto],TablaProductos[Agrupación]=ProductosPivot!FHR5)</f>
        <v>#VALUE!</v>
      </c>
      <c r="FHS6" s="68" t="e" cm="1" vm="1">
        <f t="array" ref="FHS6">_xlfn._xlws.FILTER(TablaProductos[Nombre producto],TablaProductos[Agrupación]=ProductosPivot!FHS5)</f>
        <v>#VALUE!</v>
      </c>
      <c r="FHT6" s="68" t="e" cm="1" vm="1">
        <f t="array" ref="FHT6">_xlfn._xlws.FILTER(TablaProductos[Nombre producto],TablaProductos[Agrupación]=ProductosPivot!FHT5)</f>
        <v>#VALUE!</v>
      </c>
      <c r="FHU6" s="68" t="e" cm="1" vm="1">
        <f t="array" ref="FHU6">_xlfn._xlws.FILTER(TablaProductos[Nombre producto],TablaProductos[Agrupación]=ProductosPivot!FHU5)</f>
        <v>#VALUE!</v>
      </c>
      <c r="FHV6" s="68" t="e" cm="1" vm="1">
        <f t="array" ref="FHV6">_xlfn._xlws.FILTER(TablaProductos[Nombre producto],TablaProductos[Agrupación]=ProductosPivot!FHV5)</f>
        <v>#VALUE!</v>
      </c>
      <c r="FHW6" s="68" t="e" cm="1" vm="1">
        <f t="array" ref="FHW6">_xlfn._xlws.FILTER(TablaProductos[Nombre producto],TablaProductos[Agrupación]=ProductosPivot!FHW5)</f>
        <v>#VALUE!</v>
      </c>
      <c r="FHX6" s="68" t="e" cm="1" vm="1">
        <f t="array" ref="FHX6">_xlfn._xlws.FILTER(TablaProductos[Nombre producto],TablaProductos[Agrupación]=ProductosPivot!FHX5)</f>
        <v>#VALUE!</v>
      </c>
      <c r="FHY6" s="68" t="e" cm="1" vm="1">
        <f t="array" ref="FHY6">_xlfn._xlws.FILTER(TablaProductos[Nombre producto],TablaProductos[Agrupación]=ProductosPivot!FHY5)</f>
        <v>#VALUE!</v>
      </c>
      <c r="FHZ6" s="68" t="e" cm="1" vm="1">
        <f t="array" ref="FHZ6">_xlfn._xlws.FILTER(TablaProductos[Nombre producto],TablaProductos[Agrupación]=ProductosPivot!FHZ5)</f>
        <v>#VALUE!</v>
      </c>
      <c r="FIA6" s="68" t="e" cm="1" vm="1">
        <f t="array" ref="FIA6">_xlfn._xlws.FILTER(TablaProductos[Nombre producto],TablaProductos[Agrupación]=ProductosPivot!FIA5)</f>
        <v>#VALUE!</v>
      </c>
      <c r="FIB6" s="68" t="e" cm="1" vm="1">
        <f t="array" ref="FIB6">_xlfn._xlws.FILTER(TablaProductos[Nombre producto],TablaProductos[Agrupación]=ProductosPivot!FIB5)</f>
        <v>#VALUE!</v>
      </c>
      <c r="FIC6" s="68" t="e" cm="1" vm="1">
        <f t="array" ref="FIC6">_xlfn._xlws.FILTER(TablaProductos[Nombre producto],TablaProductos[Agrupación]=ProductosPivot!FIC5)</f>
        <v>#VALUE!</v>
      </c>
      <c r="FID6" s="68" t="e" cm="1" vm="1">
        <f t="array" ref="FID6">_xlfn._xlws.FILTER(TablaProductos[Nombre producto],TablaProductos[Agrupación]=ProductosPivot!FID5)</f>
        <v>#VALUE!</v>
      </c>
      <c r="FIE6" s="68" t="e" cm="1" vm="1">
        <f t="array" ref="FIE6">_xlfn._xlws.FILTER(TablaProductos[Nombre producto],TablaProductos[Agrupación]=ProductosPivot!FIE5)</f>
        <v>#VALUE!</v>
      </c>
      <c r="FIF6" s="68" t="e" cm="1" vm="1">
        <f t="array" ref="FIF6">_xlfn._xlws.FILTER(TablaProductos[Nombre producto],TablaProductos[Agrupación]=ProductosPivot!FIF5)</f>
        <v>#VALUE!</v>
      </c>
      <c r="FIG6" s="68" t="e" cm="1" vm="1">
        <f t="array" ref="FIG6">_xlfn._xlws.FILTER(TablaProductos[Nombre producto],TablaProductos[Agrupación]=ProductosPivot!FIG5)</f>
        <v>#VALUE!</v>
      </c>
      <c r="FIH6" s="68" t="e" cm="1" vm="1">
        <f t="array" ref="FIH6">_xlfn._xlws.FILTER(TablaProductos[Nombre producto],TablaProductos[Agrupación]=ProductosPivot!FIH5)</f>
        <v>#VALUE!</v>
      </c>
      <c r="FII6" s="68" t="e" cm="1" vm="1">
        <f t="array" ref="FII6">_xlfn._xlws.FILTER(TablaProductos[Nombre producto],TablaProductos[Agrupación]=ProductosPivot!FII5)</f>
        <v>#VALUE!</v>
      </c>
      <c r="FIJ6" s="68" t="e" cm="1" vm="1">
        <f t="array" ref="FIJ6">_xlfn._xlws.FILTER(TablaProductos[Nombre producto],TablaProductos[Agrupación]=ProductosPivot!FIJ5)</f>
        <v>#VALUE!</v>
      </c>
      <c r="FIK6" s="68" t="e" cm="1" vm="1">
        <f t="array" ref="FIK6">_xlfn._xlws.FILTER(TablaProductos[Nombre producto],TablaProductos[Agrupación]=ProductosPivot!FIK5)</f>
        <v>#VALUE!</v>
      </c>
      <c r="FIL6" s="68" t="e" cm="1" vm="1">
        <f t="array" ref="FIL6">_xlfn._xlws.FILTER(TablaProductos[Nombre producto],TablaProductos[Agrupación]=ProductosPivot!FIL5)</f>
        <v>#VALUE!</v>
      </c>
      <c r="FIM6" s="68" t="e" cm="1" vm="1">
        <f t="array" ref="FIM6">_xlfn._xlws.FILTER(TablaProductos[Nombre producto],TablaProductos[Agrupación]=ProductosPivot!FIM5)</f>
        <v>#VALUE!</v>
      </c>
      <c r="FIN6" s="68" t="e" cm="1" vm="1">
        <f t="array" ref="FIN6">_xlfn._xlws.FILTER(TablaProductos[Nombre producto],TablaProductos[Agrupación]=ProductosPivot!FIN5)</f>
        <v>#VALUE!</v>
      </c>
      <c r="FIO6" s="68" t="e" cm="1" vm="1">
        <f t="array" ref="FIO6">_xlfn._xlws.FILTER(TablaProductos[Nombre producto],TablaProductos[Agrupación]=ProductosPivot!FIO5)</f>
        <v>#VALUE!</v>
      </c>
      <c r="FIP6" s="68" t="e" cm="1" vm="1">
        <f t="array" ref="FIP6">_xlfn._xlws.FILTER(TablaProductos[Nombre producto],TablaProductos[Agrupación]=ProductosPivot!FIP5)</f>
        <v>#VALUE!</v>
      </c>
      <c r="FIQ6" s="68" t="e" cm="1" vm="1">
        <f t="array" ref="FIQ6">_xlfn._xlws.FILTER(TablaProductos[Nombre producto],TablaProductos[Agrupación]=ProductosPivot!FIQ5)</f>
        <v>#VALUE!</v>
      </c>
      <c r="FIR6" s="68" t="e" cm="1" vm="1">
        <f t="array" ref="FIR6">_xlfn._xlws.FILTER(TablaProductos[Nombre producto],TablaProductos[Agrupación]=ProductosPivot!FIR5)</f>
        <v>#VALUE!</v>
      </c>
      <c r="FIS6" s="68" t="e" cm="1" vm="1">
        <f t="array" ref="FIS6">_xlfn._xlws.FILTER(TablaProductos[Nombre producto],TablaProductos[Agrupación]=ProductosPivot!FIS5)</f>
        <v>#VALUE!</v>
      </c>
      <c r="FIT6" s="68" t="e" cm="1" vm="1">
        <f t="array" ref="FIT6">_xlfn._xlws.FILTER(TablaProductos[Nombre producto],TablaProductos[Agrupación]=ProductosPivot!FIT5)</f>
        <v>#VALUE!</v>
      </c>
      <c r="FIU6" s="68" t="e" cm="1" vm="1">
        <f t="array" ref="FIU6">_xlfn._xlws.FILTER(TablaProductos[Nombre producto],TablaProductos[Agrupación]=ProductosPivot!FIU5)</f>
        <v>#VALUE!</v>
      </c>
      <c r="FIV6" s="68" t="e" cm="1" vm="1">
        <f t="array" ref="FIV6">_xlfn._xlws.FILTER(TablaProductos[Nombre producto],TablaProductos[Agrupación]=ProductosPivot!FIV5)</f>
        <v>#VALUE!</v>
      </c>
      <c r="FIW6" s="68" t="e" cm="1" vm="1">
        <f t="array" ref="FIW6">_xlfn._xlws.FILTER(TablaProductos[Nombre producto],TablaProductos[Agrupación]=ProductosPivot!FIW5)</f>
        <v>#VALUE!</v>
      </c>
      <c r="FIX6" s="68" t="e" cm="1" vm="1">
        <f t="array" ref="FIX6">_xlfn._xlws.FILTER(TablaProductos[Nombre producto],TablaProductos[Agrupación]=ProductosPivot!FIX5)</f>
        <v>#VALUE!</v>
      </c>
      <c r="FIY6" s="68" t="e" cm="1" vm="1">
        <f t="array" ref="FIY6">_xlfn._xlws.FILTER(TablaProductos[Nombre producto],TablaProductos[Agrupación]=ProductosPivot!FIY5)</f>
        <v>#VALUE!</v>
      </c>
      <c r="FIZ6" s="68" t="e" cm="1" vm="1">
        <f t="array" ref="FIZ6">_xlfn._xlws.FILTER(TablaProductos[Nombre producto],TablaProductos[Agrupación]=ProductosPivot!FIZ5)</f>
        <v>#VALUE!</v>
      </c>
      <c r="FJA6" s="68" t="e" cm="1" vm="1">
        <f t="array" ref="FJA6">_xlfn._xlws.FILTER(TablaProductos[Nombre producto],TablaProductos[Agrupación]=ProductosPivot!FJA5)</f>
        <v>#VALUE!</v>
      </c>
      <c r="FJB6" s="68" t="e" cm="1" vm="1">
        <f t="array" ref="FJB6">_xlfn._xlws.FILTER(TablaProductos[Nombre producto],TablaProductos[Agrupación]=ProductosPivot!FJB5)</f>
        <v>#VALUE!</v>
      </c>
      <c r="FJC6" s="68" t="e" cm="1" vm="1">
        <f t="array" ref="FJC6">_xlfn._xlws.FILTER(TablaProductos[Nombre producto],TablaProductos[Agrupación]=ProductosPivot!FJC5)</f>
        <v>#VALUE!</v>
      </c>
      <c r="FJD6" s="68" t="e" cm="1" vm="1">
        <f t="array" ref="FJD6">_xlfn._xlws.FILTER(TablaProductos[Nombre producto],TablaProductos[Agrupación]=ProductosPivot!FJD5)</f>
        <v>#VALUE!</v>
      </c>
      <c r="FJE6" s="68" t="e" cm="1" vm="1">
        <f t="array" ref="FJE6">_xlfn._xlws.FILTER(TablaProductos[Nombre producto],TablaProductos[Agrupación]=ProductosPivot!FJE5)</f>
        <v>#VALUE!</v>
      </c>
      <c r="FJF6" s="68" t="e" cm="1" vm="1">
        <f t="array" ref="FJF6">_xlfn._xlws.FILTER(TablaProductos[Nombre producto],TablaProductos[Agrupación]=ProductosPivot!FJF5)</f>
        <v>#VALUE!</v>
      </c>
      <c r="FJG6" s="68" t="e" cm="1" vm="1">
        <f t="array" ref="FJG6">_xlfn._xlws.FILTER(TablaProductos[Nombre producto],TablaProductos[Agrupación]=ProductosPivot!FJG5)</f>
        <v>#VALUE!</v>
      </c>
      <c r="FJH6" s="68" t="e" cm="1" vm="1">
        <f t="array" ref="FJH6">_xlfn._xlws.FILTER(TablaProductos[Nombre producto],TablaProductos[Agrupación]=ProductosPivot!FJH5)</f>
        <v>#VALUE!</v>
      </c>
      <c r="FJI6" s="68" t="e" cm="1" vm="1">
        <f t="array" ref="FJI6">_xlfn._xlws.FILTER(TablaProductos[Nombre producto],TablaProductos[Agrupación]=ProductosPivot!FJI5)</f>
        <v>#VALUE!</v>
      </c>
      <c r="FJJ6" s="68" t="e" cm="1" vm="1">
        <f t="array" ref="FJJ6">_xlfn._xlws.FILTER(TablaProductos[Nombre producto],TablaProductos[Agrupación]=ProductosPivot!FJJ5)</f>
        <v>#VALUE!</v>
      </c>
      <c r="FJK6" s="68" t="e" cm="1" vm="1">
        <f t="array" ref="FJK6">_xlfn._xlws.FILTER(TablaProductos[Nombre producto],TablaProductos[Agrupación]=ProductosPivot!FJK5)</f>
        <v>#VALUE!</v>
      </c>
      <c r="FJL6" s="68" t="e" cm="1" vm="1">
        <f t="array" ref="FJL6">_xlfn._xlws.FILTER(TablaProductos[Nombre producto],TablaProductos[Agrupación]=ProductosPivot!FJL5)</f>
        <v>#VALUE!</v>
      </c>
      <c r="FJM6" s="68" t="e" cm="1" vm="1">
        <f t="array" ref="FJM6">_xlfn._xlws.FILTER(TablaProductos[Nombre producto],TablaProductos[Agrupación]=ProductosPivot!FJM5)</f>
        <v>#VALUE!</v>
      </c>
      <c r="FJN6" s="68" t="e" cm="1" vm="1">
        <f t="array" ref="FJN6">_xlfn._xlws.FILTER(TablaProductos[Nombre producto],TablaProductos[Agrupación]=ProductosPivot!FJN5)</f>
        <v>#VALUE!</v>
      </c>
      <c r="FJO6" s="68" t="e" cm="1" vm="1">
        <f t="array" ref="FJO6">_xlfn._xlws.FILTER(TablaProductos[Nombre producto],TablaProductos[Agrupación]=ProductosPivot!FJO5)</f>
        <v>#VALUE!</v>
      </c>
      <c r="FJP6" s="68" t="e" cm="1" vm="1">
        <f t="array" ref="FJP6">_xlfn._xlws.FILTER(TablaProductos[Nombre producto],TablaProductos[Agrupación]=ProductosPivot!FJP5)</f>
        <v>#VALUE!</v>
      </c>
      <c r="FJQ6" s="68" t="e" cm="1" vm="1">
        <f t="array" ref="FJQ6">_xlfn._xlws.FILTER(TablaProductos[Nombre producto],TablaProductos[Agrupación]=ProductosPivot!FJQ5)</f>
        <v>#VALUE!</v>
      </c>
      <c r="FJR6" s="68" t="e" cm="1" vm="1">
        <f t="array" ref="FJR6">_xlfn._xlws.FILTER(TablaProductos[Nombre producto],TablaProductos[Agrupación]=ProductosPivot!FJR5)</f>
        <v>#VALUE!</v>
      </c>
      <c r="FJS6" s="68" t="e" cm="1" vm="1">
        <f t="array" ref="FJS6">_xlfn._xlws.FILTER(TablaProductos[Nombre producto],TablaProductos[Agrupación]=ProductosPivot!FJS5)</f>
        <v>#VALUE!</v>
      </c>
      <c r="FJT6" s="68" t="e" cm="1" vm="1">
        <f t="array" ref="FJT6">_xlfn._xlws.FILTER(TablaProductos[Nombre producto],TablaProductos[Agrupación]=ProductosPivot!FJT5)</f>
        <v>#VALUE!</v>
      </c>
      <c r="FJU6" s="68" t="e" cm="1" vm="1">
        <f t="array" ref="FJU6">_xlfn._xlws.FILTER(TablaProductos[Nombre producto],TablaProductos[Agrupación]=ProductosPivot!FJU5)</f>
        <v>#VALUE!</v>
      </c>
      <c r="FJV6" s="68" t="e" cm="1" vm="1">
        <f t="array" ref="FJV6">_xlfn._xlws.FILTER(TablaProductos[Nombre producto],TablaProductos[Agrupación]=ProductosPivot!FJV5)</f>
        <v>#VALUE!</v>
      </c>
      <c r="FJW6" s="68" t="e" cm="1" vm="1">
        <f t="array" ref="FJW6">_xlfn._xlws.FILTER(TablaProductos[Nombre producto],TablaProductos[Agrupación]=ProductosPivot!FJW5)</f>
        <v>#VALUE!</v>
      </c>
      <c r="FJX6" s="68" t="e" cm="1" vm="1">
        <f t="array" ref="FJX6">_xlfn._xlws.FILTER(TablaProductos[Nombre producto],TablaProductos[Agrupación]=ProductosPivot!FJX5)</f>
        <v>#VALUE!</v>
      </c>
      <c r="FJY6" s="68" t="e" cm="1" vm="1">
        <f t="array" ref="FJY6">_xlfn._xlws.FILTER(TablaProductos[Nombre producto],TablaProductos[Agrupación]=ProductosPivot!FJY5)</f>
        <v>#VALUE!</v>
      </c>
      <c r="FJZ6" s="68" t="e" cm="1" vm="1">
        <f t="array" ref="FJZ6">_xlfn._xlws.FILTER(TablaProductos[Nombre producto],TablaProductos[Agrupación]=ProductosPivot!FJZ5)</f>
        <v>#VALUE!</v>
      </c>
      <c r="FKA6" s="68" t="e" cm="1" vm="1">
        <f t="array" ref="FKA6">_xlfn._xlws.FILTER(TablaProductos[Nombre producto],TablaProductos[Agrupación]=ProductosPivot!FKA5)</f>
        <v>#VALUE!</v>
      </c>
      <c r="FKB6" s="68" t="e" cm="1" vm="1">
        <f t="array" ref="FKB6">_xlfn._xlws.FILTER(TablaProductos[Nombre producto],TablaProductos[Agrupación]=ProductosPivot!FKB5)</f>
        <v>#VALUE!</v>
      </c>
      <c r="FKC6" s="68" t="e" cm="1" vm="1">
        <f t="array" ref="FKC6">_xlfn._xlws.FILTER(TablaProductos[Nombre producto],TablaProductos[Agrupación]=ProductosPivot!FKC5)</f>
        <v>#VALUE!</v>
      </c>
      <c r="FKD6" s="68" t="e" cm="1" vm="1">
        <f t="array" ref="FKD6">_xlfn._xlws.FILTER(TablaProductos[Nombre producto],TablaProductos[Agrupación]=ProductosPivot!FKD5)</f>
        <v>#VALUE!</v>
      </c>
      <c r="FKE6" s="68" t="e" cm="1" vm="1">
        <f t="array" ref="FKE6">_xlfn._xlws.FILTER(TablaProductos[Nombre producto],TablaProductos[Agrupación]=ProductosPivot!FKE5)</f>
        <v>#VALUE!</v>
      </c>
      <c r="FKF6" s="68" t="e" cm="1" vm="1">
        <f t="array" ref="FKF6">_xlfn._xlws.FILTER(TablaProductos[Nombre producto],TablaProductos[Agrupación]=ProductosPivot!FKF5)</f>
        <v>#VALUE!</v>
      </c>
      <c r="FKG6" s="68" t="e" cm="1" vm="1">
        <f t="array" ref="FKG6">_xlfn._xlws.FILTER(TablaProductos[Nombre producto],TablaProductos[Agrupación]=ProductosPivot!FKG5)</f>
        <v>#VALUE!</v>
      </c>
      <c r="FKH6" s="68" t="e" cm="1" vm="1">
        <f t="array" ref="FKH6">_xlfn._xlws.FILTER(TablaProductos[Nombre producto],TablaProductos[Agrupación]=ProductosPivot!FKH5)</f>
        <v>#VALUE!</v>
      </c>
      <c r="FKI6" s="68" t="e" cm="1" vm="1">
        <f t="array" ref="FKI6">_xlfn._xlws.FILTER(TablaProductos[Nombre producto],TablaProductos[Agrupación]=ProductosPivot!FKI5)</f>
        <v>#VALUE!</v>
      </c>
      <c r="FKJ6" s="68" t="e" cm="1" vm="1">
        <f t="array" ref="FKJ6">_xlfn._xlws.FILTER(TablaProductos[Nombre producto],TablaProductos[Agrupación]=ProductosPivot!FKJ5)</f>
        <v>#VALUE!</v>
      </c>
      <c r="FKK6" s="68" t="e" cm="1" vm="1">
        <f t="array" ref="FKK6">_xlfn._xlws.FILTER(TablaProductos[Nombre producto],TablaProductos[Agrupación]=ProductosPivot!FKK5)</f>
        <v>#VALUE!</v>
      </c>
      <c r="FKL6" s="68" t="e" cm="1" vm="1">
        <f t="array" ref="FKL6">_xlfn._xlws.FILTER(TablaProductos[Nombre producto],TablaProductos[Agrupación]=ProductosPivot!FKL5)</f>
        <v>#VALUE!</v>
      </c>
      <c r="FKM6" s="68" t="e" cm="1" vm="1">
        <f t="array" ref="FKM6">_xlfn._xlws.FILTER(TablaProductos[Nombre producto],TablaProductos[Agrupación]=ProductosPivot!FKM5)</f>
        <v>#VALUE!</v>
      </c>
      <c r="FKN6" s="68" t="e" cm="1" vm="1">
        <f t="array" ref="FKN6">_xlfn._xlws.FILTER(TablaProductos[Nombre producto],TablaProductos[Agrupación]=ProductosPivot!FKN5)</f>
        <v>#VALUE!</v>
      </c>
      <c r="FKO6" s="68" t="e" cm="1" vm="1">
        <f t="array" ref="FKO6">_xlfn._xlws.FILTER(TablaProductos[Nombre producto],TablaProductos[Agrupación]=ProductosPivot!FKO5)</f>
        <v>#VALUE!</v>
      </c>
      <c r="FKP6" s="68" t="e" cm="1" vm="1">
        <f t="array" ref="FKP6">_xlfn._xlws.FILTER(TablaProductos[Nombre producto],TablaProductos[Agrupación]=ProductosPivot!FKP5)</f>
        <v>#VALUE!</v>
      </c>
      <c r="FKQ6" s="68" t="e" cm="1" vm="1">
        <f t="array" ref="FKQ6">_xlfn._xlws.FILTER(TablaProductos[Nombre producto],TablaProductos[Agrupación]=ProductosPivot!FKQ5)</f>
        <v>#VALUE!</v>
      </c>
      <c r="FKR6" s="68" t="e" cm="1" vm="1">
        <f t="array" ref="FKR6">_xlfn._xlws.FILTER(TablaProductos[Nombre producto],TablaProductos[Agrupación]=ProductosPivot!FKR5)</f>
        <v>#VALUE!</v>
      </c>
      <c r="FKS6" s="68" t="e" cm="1" vm="1">
        <f t="array" ref="FKS6">_xlfn._xlws.FILTER(TablaProductos[Nombre producto],TablaProductos[Agrupación]=ProductosPivot!FKS5)</f>
        <v>#VALUE!</v>
      </c>
      <c r="FKT6" s="68" t="e" cm="1" vm="1">
        <f t="array" ref="FKT6">_xlfn._xlws.FILTER(TablaProductos[Nombre producto],TablaProductos[Agrupación]=ProductosPivot!FKT5)</f>
        <v>#VALUE!</v>
      </c>
      <c r="FKU6" s="68" t="e" cm="1" vm="1">
        <f t="array" ref="FKU6">_xlfn._xlws.FILTER(TablaProductos[Nombre producto],TablaProductos[Agrupación]=ProductosPivot!FKU5)</f>
        <v>#VALUE!</v>
      </c>
      <c r="FKV6" s="68" t="e" cm="1" vm="1">
        <f t="array" ref="FKV6">_xlfn._xlws.FILTER(TablaProductos[Nombre producto],TablaProductos[Agrupación]=ProductosPivot!FKV5)</f>
        <v>#VALUE!</v>
      </c>
      <c r="FKW6" s="68" t="e" cm="1" vm="1">
        <f t="array" ref="FKW6">_xlfn._xlws.FILTER(TablaProductos[Nombre producto],TablaProductos[Agrupación]=ProductosPivot!FKW5)</f>
        <v>#VALUE!</v>
      </c>
      <c r="FKX6" s="68" t="e" cm="1" vm="1">
        <f t="array" ref="FKX6">_xlfn._xlws.FILTER(TablaProductos[Nombre producto],TablaProductos[Agrupación]=ProductosPivot!FKX5)</f>
        <v>#VALUE!</v>
      </c>
      <c r="FKY6" s="68" t="e" cm="1" vm="1">
        <f t="array" ref="FKY6">_xlfn._xlws.FILTER(TablaProductos[Nombre producto],TablaProductos[Agrupación]=ProductosPivot!FKY5)</f>
        <v>#VALUE!</v>
      </c>
      <c r="FKZ6" s="68" t="e" cm="1" vm="1">
        <f t="array" ref="FKZ6">_xlfn._xlws.FILTER(TablaProductos[Nombre producto],TablaProductos[Agrupación]=ProductosPivot!FKZ5)</f>
        <v>#VALUE!</v>
      </c>
      <c r="FLA6" s="68" t="e" cm="1" vm="1">
        <f t="array" ref="FLA6">_xlfn._xlws.FILTER(TablaProductos[Nombre producto],TablaProductos[Agrupación]=ProductosPivot!FLA5)</f>
        <v>#VALUE!</v>
      </c>
      <c r="FLB6" s="68" t="e" cm="1" vm="1">
        <f t="array" ref="FLB6">_xlfn._xlws.FILTER(TablaProductos[Nombre producto],TablaProductos[Agrupación]=ProductosPivot!FLB5)</f>
        <v>#VALUE!</v>
      </c>
      <c r="FLC6" s="68" t="e" cm="1" vm="1">
        <f t="array" ref="FLC6">_xlfn._xlws.FILTER(TablaProductos[Nombre producto],TablaProductos[Agrupación]=ProductosPivot!FLC5)</f>
        <v>#VALUE!</v>
      </c>
      <c r="FLD6" s="68" t="e" cm="1" vm="1">
        <f t="array" ref="FLD6">_xlfn._xlws.FILTER(TablaProductos[Nombre producto],TablaProductos[Agrupación]=ProductosPivot!FLD5)</f>
        <v>#VALUE!</v>
      </c>
      <c r="FLE6" s="68" t="e" cm="1" vm="1">
        <f t="array" ref="FLE6">_xlfn._xlws.FILTER(TablaProductos[Nombre producto],TablaProductos[Agrupación]=ProductosPivot!FLE5)</f>
        <v>#VALUE!</v>
      </c>
      <c r="FLF6" s="68" t="e" cm="1" vm="1">
        <f t="array" ref="FLF6">_xlfn._xlws.FILTER(TablaProductos[Nombre producto],TablaProductos[Agrupación]=ProductosPivot!FLF5)</f>
        <v>#VALUE!</v>
      </c>
      <c r="FLG6" s="68" t="e" cm="1" vm="1">
        <f t="array" ref="FLG6">_xlfn._xlws.FILTER(TablaProductos[Nombre producto],TablaProductos[Agrupación]=ProductosPivot!FLG5)</f>
        <v>#VALUE!</v>
      </c>
      <c r="FLH6" s="68" t="e" cm="1" vm="1">
        <f t="array" ref="FLH6">_xlfn._xlws.FILTER(TablaProductos[Nombre producto],TablaProductos[Agrupación]=ProductosPivot!FLH5)</f>
        <v>#VALUE!</v>
      </c>
      <c r="FLI6" s="68" t="e" cm="1" vm="1">
        <f t="array" ref="FLI6">_xlfn._xlws.FILTER(TablaProductos[Nombre producto],TablaProductos[Agrupación]=ProductosPivot!FLI5)</f>
        <v>#VALUE!</v>
      </c>
      <c r="FLJ6" s="68" t="e" cm="1" vm="1">
        <f t="array" ref="FLJ6">_xlfn._xlws.FILTER(TablaProductos[Nombre producto],TablaProductos[Agrupación]=ProductosPivot!FLJ5)</f>
        <v>#VALUE!</v>
      </c>
      <c r="FLK6" s="68" t="e" cm="1" vm="1">
        <f t="array" ref="FLK6">_xlfn._xlws.FILTER(TablaProductos[Nombre producto],TablaProductos[Agrupación]=ProductosPivot!FLK5)</f>
        <v>#VALUE!</v>
      </c>
      <c r="FLL6" s="68" t="e" cm="1" vm="1">
        <f t="array" ref="FLL6">_xlfn._xlws.FILTER(TablaProductos[Nombre producto],TablaProductos[Agrupación]=ProductosPivot!FLL5)</f>
        <v>#VALUE!</v>
      </c>
      <c r="FLM6" s="68" t="e" cm="1" vm="1">
        <f t="array" ref="FLM6">_xlfn._xlws.FILTER(TablaProductos[Nombre producto],TablaProductos[Agrupación]=ProductosPivot!FLM5)</f>
        <v>#VALUE!</v>
      </c>
      <c r="FLN6" s="68" t="e" cm="1" vm="1">
        <f t="array" ref="FLN6">_xlfn._xlws.FILTER(TablaProductos[Nombre producto],TablaProductos[Agrupación]=ProductosPivot!FLN5)</f>
        <v>#VALUE!</v>
      </c>
      <c r="FLO6" s="68" t="e" cm="1" vm="1">
        <f t="array" ref="FLO6">_xlfn._xlws.FILTER(TablaProductos[Nombre producto],TablaProductos[Agrupación]=ProductosPivot!FLO5)</f>
        <v>#VALUE!</v>
      </c>
      <c r="FLP6" s="68" t="e" cm="1" vm="1">
        <f t="array" ref="FLP6">_xlfn._xlws.FILTER(TablaProductos[Nombre producto],TablaProductos[Agrupación]=ProductosPivot!FLP5)</f>
        <v>#VALUE!</v>
      </c>
      <c r="FLQ6" s="68" t="e" cm="1" vm="1">
        <f t="array" ref="FLQ6">_xlfn._xlws.FILTER(TablaProductos[Nombre producto],TablaProductos[Agrupación]=ProductosPivot!FLQ5)</f>
        <v>#VALUE!</v>
      </c>
      <c r="FLR6" s="68" t="e" cm="1" vm="1">
        <f t="array" ref="FLR6">_xlfn._xlws.FILTER(TablaProductos[Nombre producto],TablaProductos[Agrupación]=ProductosPivot!FLR5)</f>
        <v>#VALUE!</v>
      </c>
      <c r="FLS6" s="68" t="e" cm="1" vm="1">
        <f t="array" ref="FLS6">_xlfn._xlws.FILTER(TablaProductos[Nombre producto],TablaProductos[Agrupación]=ProductosPivot!FLS5)</f>
        <v>#VALUE!</v>
      </c>
      <c r="FLT6" s="68" t="e" cm="1" vm="1">
        <f t="array" ref="FLT6">_xlfn._xlws.FILTER(TablaProductos[Nombre producto],TablaProductos[Agrupación]=ProductosPivot!FLT5)</f>
        <v>#VALUE!</v>
      </c>
      <c r="FLU6" s="68" t="e" cm="1" vm="1">
        <f t="array" ref="FLU6">_xlfn._xlws.FILTER(TablaProductos[Nombre producto],TablaProductos[Agrupación]=ProductosPivot!FLU5)</f>
        <v>#VALUE!</v>
      </c>
      <c r="FLV6" s="68" t="e" cm="1" vm="1">
        <f t="array" ref="FLV6">_xlfn._xlws.FILTER(TablaProductos[Nombre producto],TablaProductos[Agrupación]=ProductosPivot!FLV5)</f>
        <v>#VALUE!</v>
      </c>
      <c r="FLW6" s="68" t="e" cm="1" vm="1">
        <f t="array" ref="FLW6">_xlfn._xlws.FILTER(TablaProductos[Nombre producto],TablaProductos[Agrupación]=ProductosPivot!FLW5)</f>
        <v>#VALUE!</v>
      </c>
      <c r="FLX6" s="68" t="e" cm="1" vm="1">
        <f t="array" ref="FLX6">_xlfn._xlws.FILTER(TablaProductos[Nombre producto],TablaProductos[Agrupación]=ProductosPivot!FLX5)</f>
        <v>#VALUE!</v>
      </c>
      <c r="FLY6" s="68" t="e" cm="1" vm="1">
        <f t="array" ref="FLY6">_xlfn._xlws.FILTER(TablaProductos[Nombre producto],TablaProductos[Agrupación]=ProductosPivot!FLY5)</f>
        <v>#VALUE!</v>
      </c>
      <c r="FLZ6" s="68" t="e" cm="1" vm="1">
        <f t="array" ref="FLZ6">_xlfn._xlws.FILTER(TablaProductos[Nombre producto],TablaProductos[Agrupación]=ProductosPivot!FLZ5)</f>
        <v>#VALUE!</v>
      </c>
      <c r="FMA6" s="68" t="e" cm="1" vm="1">
        <f t="array" ref="FMA6">_xlfn._xlws.FILTER(TablaProductos[Nombre producto],TablaProductos[Agrupación]=ProductosPivot!FMA5)</f>
        <v>#VALUE!</v>
      </c>
      <c r="FMB6" s="68" t="e" cm="1" vm="1">
        <f t="array" ref="FMB6">_xlfn._xlws.FILTER(TablaProductos[Nombre producto],TablaProductos[Agrupación]=ProductosPivot!FMB5)</f>
        <v>#VALUE!</v>
      </c>
      <c r="FMC6" s="68" t="e" cm="1" vm="1">
        <f t="array" ref="FMC6">_xlfn._xlws.FILTER(TablaProductos[Nombre producto],TablaProductos[Agrupación]=ProductosPivot!FMC5)</f>
        <v>#VALUE!</v>
      </c>
      <c r="FMD6" s="68" t="e" cm="1" vm="1">
        <f t="array" ref="FMD6">_xlfn._xlws.FILTER(TablaProductos[Nombre producto],TablaProductos[Agrupación]=ProductosPivot!FMD5)</f>
        <v>#VALUE!</v>
      </c>
      <c r="FME6" s="68" t="e" cm="1" vm="1">
        <f t="array" ref="FME6">_xlfn._xlws.FILTER(TablaProductos[Nombre producto],TablaProductos[Agrupación]=ProductosPivot!FME5)</f>
        <v>#VALUE!</v>
      </c>
      <c r="FMF6" s="68" t="e" cm="1" vm="1">
        <f t="array" ref="FMF6">_xlfn._xlws.FILTER(TablaProductos[Nombre producto],TablaProductos[Agrupación]=ProductosPivot!FMF5)</f>
        <v>#VALUE!</v>
      </c>
      <c r="FMG6" s="68" t="e" cm="1" vm="1">
        <f t="array" ref="FMG6">_xlfn._xlws.FILTER(TablaProductos[Nombre producto],TablaProductos[Agrupación]=ProductosPivot!FMG5)</f>
        <v>#VALUE!</v>
      </c>
      <c r="FMH6" s="68" t="e" cm="1" vm="1">
        <f t="array" ref="FMH6">_xlfn._xlws.FILTER(TablaProductos[Nombre producto],TablaProductos[Agrupación]=ProductosPivot!FMH5)</f>
        <v>#VALUE!</v>
      </c>
      <c r="FMI6" s="68" t="e" cm="1" vm="1">
        <f t="array" ref="FMI6">_xlfn._xlws.FILTER(TablaProductos[Nombre producto],TablaProductos[Agrupación]=ProductosPivot!FMI5)</f>
        <v>#VALUE!</v>
      </c>
      <c r="FMJ6" s="68" t="e" cm="1" vm="1">
        <f t="array" ref="FMJ6">_xlfn._xlws.FILTER(TablaProductos[Nombre producto],TablaProductos[Agrupación]=ProductosPivot!FMJ5)</f>
        <v>#VALUE!</v>
      </c>
      <c r="FMK6" s="68" t="e" cm="1" vm="1">
        <f t="array" ref="FMK6">_xlfn._xlws.FILTER(TablaProductos[Nombre producto],TablaProductos[Agrupación]=ProductosPivot!FMK5)</f>
        <v>#VALUE!</v>
      </c>
      <c r="FML6" s="68" t="e" cm="1" vm="1">
        <f t="array" ref="FML6">_xlfn._xlws.FILTER(TablaProductos[Nombre producto],TablaProductos[Agrupación]=ProductosPivot!FML5)</f>
        <v>#VALUE!</v>
      </c>
      <c r="FMM6" s="68" t="e" cm="1" vm="1">
        <f t="array" ref="FMM6">_xlfn._xlws.FILTER(TablaProductos[Nombre producto],TablaProductos[Agrupación]=ProductosPivot!FMM5)</f>
        <v>#VALUE!</v>
      </c>
      <c r="FMN6" s="68" t="e" cm="1" vm="1">
        <f t="array" ref="FMN6">_xlfn._xlws.FILTER(TablaProductos[Nombre producto],TablaProductos[Agrupación]=ProductosPivot!FMN5)</f>
        <v>#VALUE!</v>
      </c>
      <c r="FMO6" s="68" t="e" cm="1" vm="1">
        <f t="array" ref="FMO6">_xlfn._xlws.FILTER(TablaProductos[Nombre producto],TablaProductos[Agrupación]=ProductosPivot!FMO5)</f>
        <v>#VALUE!</v>
      </c>
      <c r="FMP6" s="68" t="e" cm="1" vm="1">
        <f t="array" ref="FMP6">_xlfn._xlws.FILTER(TablaProductos[Nombre producto],TablaProductos[Agrupación]=ProductosPivot!FMP5)</f>
        <v>#VALUE!</v>
      </c>
      <c r="FMQ6" s="68" t="e" cm="1" vm="1">
        <f t="array" ref="FMQ6">_xlfn._xlws.FILTER(TablaProductos[Nombre producto],TablaProductos[Agrupación]=ProductosPivot!FMQ5)</f>
        <v>#VALUE!</v>
      </c>
      <c r="FMR6" s="68" t="e" cm="1" vm="1">
        <f t="array" ref="FMR6">_xlfn._xlws.FILTER(TablaProductos[Nombre producto],TablaProductos[Agrupación]=ProductosPivot!FMR5)</f>
        <v>#VALUE!</v>
      </c>
      <c r="FMS6" s="68" t="e" cm="1" vm="1">
        <f t="array" ref="FMS6">_xlfn._xlws.FILTER(TablaProductos[Nombre producto],TablaProductos[Agrupación]=ProductosPivot!FMS5)</f>
        <v>#VALUE!</v>
      </c>
      <c r="FMT6" s="68" t="e" cm="1" vm="1">
        <f t="array" ref="FMT6">_xlfn._xlws.FILTER(TablaProductos[Nombre producto],TablaProductos[Agrupación]=ProductosPivot!FMT5)</f>
        <v>#VALUE!</v>
      </c>
      <c r="FMU6" s="68" t="e" cm="1" vm="1">
        <f t="array" ref="FMU6">_xlfn._xlws.FILTER(TablaProductos[Nombre producto],TablaProductos[Agrupación]=ProductosPivot!FMU5)</f>
        <v>#VALUE!</v>
      </c>
      <c r="FMV6" s="68" t="e" cm="1" vm="1">
        <f t="array" ref="FMV6">_xlfn._xlws.FILTER(TablaProductos[Nombre producto],TablaProductos[Agrupación]=ProductosPivot!FMV5)</f>
        <v>#VALUE!</v>
      </c>
      <c r="FMW6" s="68" t="e" cm="1" vm="1">
        <f t="array" ref="FMW6">_xlfn._xlws.FILTER(TablaProductos[Nombre producto],TablaProductos[Agrupación]=ProductosPivot!FMW5)</f>
        <v>#VALUE!</v>
      </c>
      <c r="FMX6" s="68" t="e" cm="1" vm="1">
        <f t="array" ref="FMX6">_xlfn._xlws.FILTER(TablaProductos[Nombre producto],TablaProductos[Agrupación]=ProductosPivot!FMX5)</f>
        <v>#VALUE!</v>
      </c>
      <c r="FMY6" s="68" t="e" cm="1" vm="1">
        <f t="array" ref="FMY6">_xlfn._xlws.FILTER(TablaProductos[Nombre producto],TablaProductos[Agrupación]=ProductosPivot!FMY5)</f>
        <v>#VALUE!</v>
      </c>
      <c r="FMZ6" s="68" t="e" cm="1" vm="1">
        <f t="array" ref="FMZ6">_xlfn._xlws.FILTER(TablaProductos[Nombre producto],TablaProductos[Agrupación]=ProductosPivot!FMZ5)</f>
        <v>#VALUE!</v>
      </c>
      <c r="FNA6" s="68" t="e" cm="1" vm="1">
        <f t="array" ref="FNA6">_xlfn._xlws.FILTER(TablaProductos[Nombre producto],TablaProductos[Agrupación]=ProductosPivot!FNA5)</f>
        <v>#VALUE!</v>
      </c>
      <c r="FNB6" s="68" t="e" cm="1" vm="1">
        <f t="array" ref="FNB6">_xlfn._xlws.FILTER(TablaProductos[Nombre producto],TablaProductos[Agrupación]=ProductosPivot!FNB5)</f>
        <v>#VALUE!</v>
      </c>
      <c r="FNC6" s="68" t="e" cm="1" vm="1">
        <f t="array" ref="FNC6">_xlfn._xlws.FILTER(TablaProductos[Nombre producto],TablaProductos[Agrupación]=ProductosPivot!FNC5)</f>
        <v>#VALUE!</v>
      </c>
      <c r="FND6" s="68" t="e" cm="1" vm="1">
        <f t="array" ref="FND6">_xlfn._xlws.FILTER(TablaProductos[Nombre producto],TablaProductos[Agrupación]=ProductosPivot!FND5)</f>
        <v>#VALUE!</v>
      </c>
      <c r="FNE6" s="68" t="e" cm="1" vm="1">
        <f t="array" ref="FNE6">_xlfn._xlws.FILTER(TablaProductos[Nombre producto],TablaProductos[Agrupación]=ProductosPivot!FNE5)</f>
        <v>#VALUE!</v>
      </c>
      <c r="FNF6" s="68" t="e" cm="1" vm="1">
        <f t="array" ref="FNF6">_xlfn._xlws.FILTER(TablaProductos[Nombre producto],TablaProductos[Agrupación]=ProductosPivot!FNF5)</f>
        <v>#VALUE!</v>
      </c>
      <c r="FNG6" s="68" t="e" cm="1" vm="1">
        <f t="array" ref="FNG6">_xlfn._xlws.FILTER(TablaProductos[Nombre producto],TablaProductos[Agrupación]=ProductosPivot!FNG5)</f>
        <v>#VALUE!</v>
      </c>
      <c r="FNH6" s="68" t="e" cm="1" vm="1">
        <f t="array" ref="FNH6">_xlfn._xlws.FILTER(TablaProductos[Nombre producto],TablaProductos[Agrupación]=ProductosPivot!FNH5)</f>
        <v>#VALUE!</v>
      </c>
      <c r="FNI6" s="68" t="e" cm="1" vm="1">
        <f t="array" ref="FNI6">_xlfn._xlws.FILTER(TablaProductos[Nombre producto],TablaProductos[Agrupación]=ProductosPivot!FNI5)</f>
        <v>#VALUE!</v>
      </c>
      <c r="FNJ6" s="68" t="e" cm="1" vm="1">
        <f t="array" ref="FNJ6">_xlfn._xlws.FILTER(TablaProductos[Nombre producto],TablaProductos[Agrupación]=ProductosPivot!FNJ5)</f>
        <v>#VALUE!</v>
      </c>
      <c r="FNK6" s="68" t="e" cm="1" vm="1">
        <f t="array" ref="FNK6">_xlfn._xlws.FILTER(TablaProductos[Nombre producto],TablaProductos[Agrupación]=ProductosPivot!FNK5)</f>
        <v>#VALUE!</v>
      </c>
      <c r="FNL6" s="68" t="e" cm="1" vm="1">
        <f t="array" ref="FNL6">_xlfn._xlws.FILTER(TablaProductos[Nombre producto],TablaProductos[Agrupación]=ProductosPivot!FNL5)</f>
        <v>#VALUE!</v>
      </c>
      <c r="FNM6" s="68" t="e" cm="1" vm="1">
        <f t="array" ref="FNM6">_xlfn._xlws.FILTER(TablaProductos[Nombre producto],TablaProductos[Agrupación]=ProductosPivot!FNM5)</f>
        <v>#VALUE!</v>
      </c>
      <c r="FNN6" s="68" t="e" cm="1" vm="1">
        <f t="array" ref="FNN6">_xlfn._xlws.FILTER(TablaProductos[Nombre producto],TablaProductos[Agrupación]=ProductosPivot!FNN5)</f>
        <v>#VALUE!</v>
      </c>
      <c r="FNO6" s="68" t="e" cm="1" vm="1">
        <f t="array" ref="FNO6">_xlfn._xlws.FILTER(TablaProductos[Nombre producto],TablaProductos[Agrupación]=ProductosPivot!FNO5)</f>
        <v>#VALUE!</v>
      </c>
      <c r="FNP6" s="68" t="e" cm="1" vm="1">
        <f t="array" ref="FNP6">_xlfn._xlws.FILTER(TablaProductos[Nombre producto],TablaProductos[Agrupación]=ProductosPivot!FNP5)</f>
        <v>#VALUE!</v>
      </c>
      <c r="FNQ6" s="68" t="e" cm="1" vm="1">
        <f t="array" ref="FNQ6">_xlfn._xlws.FILTER(TablaProductos[Nombre producto],TablaProductos[Agrupación]=ProductosPivot!FNQ5)</f>
        <v>#VALUE!</v>
      </c>
      <c r="FNR6" s="68" t="e" cm="1" vm="1">
        <f t="array" ref="FNR6">_xlfn._xlws.FILTER(TablaProductos[Nombre producto],TablaProductos[Agrupación]=ProductosPivot!FNR5)</f>
        <v>#VALUE!</v>
      </c>
      <c r="FNS6" s="68" t="e" cm="1" vm="1">
        <f t="array" ref="FNS6">_xlfn._xlws.FILTER(TablaProductos[Nombre producto],TablaProductos[Agrupación]=ProductosPivot!FNS5)</f>
        <v>#VALUE!</v>
      </c>
      <c r="FNT6" s="68" t="e" cm="1" vm="1">
        <f t="array" ref="FNT6">_xlfn._xlws.FILTER(TablaProductos[Nombre producto],TablaProductos[Agrupación]=ProductosPivot!FNT5)</f>
        <v>#VALUE!</v>
      </c>
      <c r="FNU6" s="68" t="e" cm="1" vm="1">
        <f t="array" ref="FNU6">_xlfn._xlws.FILTER(TablaProductos[Nombre producto],TablaProductos[Agrupación]=ProductosPivot!FNU5)</f>
        <v>#VALUE!</v>
      </c>
      <c r="FNV6" s="68" t="e" cm="1" vm="1">
        <f t="array" ref="FNV6">_xlfn._xlws.FILTER(TablaProductos[Nombre producto],TablaProductos[Agrupación]=ProductosPivot!FNV5)</f>
        <v>#VALUE!</v>
      </c>
      <c r="FNW6" s="68" t="e" cm="1" vm="1">
        <f t="array" ref="FNW6">_xlfn._xlws.FILTER(TablaProductos[Nombre producto],TablaProductos[Agrupación]=ProductosPivot!FNW5)</f>
        <v>#VALUE!</v>
      </c>
      <c r="FNX6" s="68" t="e" cm="1" vm="1">
        <f t="array" ref="FNX6">_xlfn._xlws.FILTER(TablaProductos[Nombre producto],TablaProductos[Agrupación]=ProductosPivot!FNX5)</f>
        <v>#VALUE!</v>
      </c>
      <c r="FNY6" s="68" t="e" cm="1" vm="1">
        <f t="array" ref="FNY6">_xlfn._xlws.FILTER(TablaProductos[Nombre producto],TablaProductos[Agrupación]=ProductosPivot!FNY5)</f>
        <v>#VALUE!</v>
      </c>
      <c r="FNZ6" s="68" t="e" cm="1" vm="1">
        <f t="array" ref="FNZ6">_xlfn._xlws.FILTER(TablaProductos[Nombre producto],TablaProductos[Agrupación]=ProductosPivot!FNZ5)</f>
        <v>#VALUE!</v>
      </c>
      <c r="FOA6" s="68" t="e" cm="1" vm="1">
        <f t="array" ref="FOA6">_xlfn._xlws.FILTER(TablaProductos[Nombre producto],TablaProductos[Agrupación]=ProductosPivot!FOA5)</f>
        <v>#VALUE!</v>
      </c>
      <c r="FOB6" s="68" t="e" cm="1" vm="1">
        <f t="array" ref="FOB6">_xlfn._xlws.FILTER(TablaProductos[Nombre producto],TablaProductos[Agrupación]=ProductosPivot!FOB5)</f>
        <v>#VALUE!</v>
      </c>
      <c r="FOC6" s="68" t="e" cm="1" vm="1">
        <f t="array" ref="FOC6">_xlfn._xlws.FILTER(TablaProductos[Nombre producto],TablaProductos[Agrupación]=ProductosPivot!FOC5)</f>
        <v>#VALUE!</v>
      </c>
      <c r="FOD6" s="68" t="e" cm="1" vm="1">
        <f t="array" ref="FOD6">_xlfn._xlws.FILTER(TablaProductos[Nombre producto],TablaProductos[Agrupación]=ProductosPivot!FOD5)</f>
        <v>#VALUE!</v>
      </c>
      <c r="FOE6" s="68" t="e" cm="1" vm="1">
        <f t="array" ref="FOE6">_xlfn._xlws.FILTER(TablaProductos[Nombre producto],TablaProductos[Agrupación]=ProductosPivot!FOE5)</f>
        <v>#VALUE!</v>
      </c>
      <c r="FOF6" s="68" t="e" cm="1" vm="1">
        <f t="array" ref="FOF6">_xlfn._xlws.FILTER(TablaProductos[Nombre producto],TablaProductos[Agrupación]=ProductosPivot!FOF5)</f>
        <v>#VALUE!</v>
      </c>
      <c r="FOG6" s="68" t="e" cm="1" vm="1">
        <f t="array" ref="FOG6">_xlfn._xlws.FILTER(TablaProductos[Nombre producto],TablaProductos[Agrupación]=ProductosPivot!FOG5)</f>
        <v>#VALUE!</v>
      </c>
      <c r="FOH6" s="68" t="e" cm="1" vm="1">
        <f t="array" ref="FOH6">_xlfn._xlws.FILTER(TablaProductos[Nombre producto],TablaProductos[Agrupación]=ProductosPivot!FOH5)</f>
        <v>#VALUE!</v>
      </c>
      <c r="FOI6" s="68" t="e" cm="1" vm="1">
        <f t="array" ref="FOI6">_xlfn._xlws.FILTER(TablaProductos[Nombre producto],TablaProductos[Agrupación]=ProductosPivot!FOI5)</f>
        <v>#VALUE!</v>
      </c>
      <c r="FOJ6" s="68" t="e" cm="1" vm="1">
        <f t="array" ref="FOJ6">_xlfn._xlws.FILTER(TablaProductos[Nombre producto],TablaProductos[Agrupación]=ProductosPivot!FOJ5)</f>
        <v>#VALUE!</v>
      </c>
      <c r="FOK6" s="68" t="e" cm="1" vm="1">
        <f t="array" ref="FOK6">_xlfn._xlws.FILTER(TablaProductos[Nombre producto],TablaProductos[Agrupación]=ProductosPivot!FOK5)</f>
        <v>#VALUE!</v>
      </c>
      <c r="FOL6" s="68" t="e" cm="1" vm="1">
        <f t="array" ref="FOL6">_xlfn._xlws.FILTER(TablaProductos[Nombre producto],TablaProductos[Agrupación]=ProductosPivot!FOL5)</f>
        <v>#VALUE!</v>
      </c>
      <c r="FOM6" s="68" t="e" cm="1" vm="1">
        <f t="array" ref="FOM6">_xlfn._xlws.FILTER(TablaProductos[Nombre producto],TablaProductos[Agrupación]=ProductosPivot!FOM5)</f>
        <v>#VALUE!</v>
      </c>
      <c r="FON6" s="68" t="e" cm="1" vm="1">
        <f t="array" ref="FON6">_xlfn._xlws.FILTER(TablaProductos[Nombre producto],TablaProductos[Agrupación]=ProductosPivot!FON5)</f>
        <v>#VALUE!</v>
      </c>
      <c r="FOO6" s="68" t="e" cm="1" vm="1">
        <f t="array" ref="FOO6">_xlfn._xlws.FILTER(TablaProductos[Nombre producto],TablaProductos[Agrupación]=ProductosPivot!FOO5)</f>
        <v>#VALUE!</v>
      </c>
      <c r="FOP6" s="68" t="e" cm="1" vm="1">
        <f t="array" ref="FOP6">_xlfn._xlws.FILTER(TablaProductos[Nombre producto],TablaProductos[Agrupación]=ProductosPivot!FOP5)</f>
        <v>#VALUE!</v>
      </c>
      <c r="FOQ6" s="68" t="e" cm="1" vm="1">
        <f t="array" ref="FOQ6">_xlfn._xlws.FILTER(TablaProductos[Nombre producto],TablaProductos[Agrupación]=ProductosPivot!FOQ5)</f>
        <v>#VALUE!</v>
      </c>
      <c r="FOR6" s="68" t="e" cm="1" vm="1">
        <f t="array" ref="FOR6">_xlfn._xlws.FILTER(TablaProductos[Nombre producto],TablaProductos[Agrupación]=ProductosPivot!FOR5)</f>
        <v>#VALUE!</v>
      </c>
      <c r="FOS6" s="68" t="e" cm="1" vm="1">
        <f t="array" ref="FOS6">_xlfn._xlws.FILTER(TablaProductos[Nombre producto],TablaProductos[Agrupación]=ProductosPivot!FOS5)</f>
        <v>#VALUE!</v>
      </c>
      <c r="FOT6" s="68" t="e" cm="1" vm="1">
        <f t="array" ref="FOT6">_xlfn._xlws.FILTER(TablaProductos[Nombre producto],TablaProductos[Agrupación]=ProductosPivot!FOT5)</f>
        <v>#VALUE!</v>
      </c>
      <c r="FOU6" s="68" t="e" cm="1" vm="1">
        <f t="array" ref="FOU6">_xlfn._xlws.FILTER(TablaProductos[Nombre producto],TablaProductos[Agrupación]=ProductosPivot!FOU5)</f>
        <v>#VALUE!</v>
      </c>
      <c r="FOV6" s="68" t="e" cm="1" vm="1">
        <f t="array" ref="FOV6">_xlfn._xlws.FILTER(TablaProductos[Nombre producto],TablaProductos[Agrupación]=ProductosPivot!FOV5)</f>
        <v>#VALUE!</v>
      </c>
      <c r="FOW6" s="68" t="e" cm="1" vm="1">
        <f t="array" ref="FOW6">_xlfn._xlws.FILTER(TablaProductos[Nombre producto],TablaProductos[Agrupación]=ProductosPivot!FOW5)</f>
        <v>#VALUE!</v>
      </c>
      <c r="FOX6" s="68" t="e" cm="1" vm="1">
        <f t="array" ref="FOX6">_xlfn._xlws.FILTER(TablaProductos[Nombre producto],TablaProductos[Agrupación]=ProductosPivot!FOX5)</f>
        <v>#VALUE!</v>
      </c>
      <c r="FOY6" s="68" t="e" cm="1" vm="1">
        <f t="array" ref="FOY6">_xlfn._xlws.FILTER(TablaProductos[Nombre producto],TablaProductos[Agrupación]=ProductosPivot!FOY5)</f>
        <v>#VALUE!</v>
      </c>
      <c r="FOZ6" s="68" t="e" cm="1" vm="1">
        <f t="array" ref="FOZ6">_xlfn._xlws.FILTER(TablaProductos[Nombre producto],TablaProductos[Agrupación]=ProductosPivot!FOZ5)</f>
        <v>#VALUE!</v>
      </c>
      <c r="FPA6" s="68" t="e" cm="1" vm="1">
        <f t="array" ref="FPA6">_xlfn._xlws.FILTER(TablaProductos[Nombre producto],TablaProductos[Agrupación]=ProductosPivot!FPA5)</f>
        <v>#VALUE!</v>
      </c>
      <c r="FPB6" s="68" t="e" cm="1" vm="1">
        <f t="array" ref="FPB6">_xlfn._xlws.FILTER(TablaProductos[Nombre producto],TablaProductos[Agrupación]=ProductosPivot!FPB5)</f>
        <v>#VALUE!</v>
      </c>
      <c r="FPC6" s="68" t="e" cm="1" vm="1">
        <f t="array" ref="FPC6">_xlfn._xlws.FILTER(TablaProductos[Nombre producto],TablaProductos[Agrupación]=ProductosPivot!FPC5)</f>
        <v>#VALUE!</v>
      </c>
      <c r="FPD6" s="68" t="e" cm="1" vm="1">
        <f t="array" ref="FPD6">_xlfn._xlws.FILTER(TablaProductos[Nombre producto],TablaProductos[Agrupación]=ProductosPivot!FPD5)</f>
        <v>#VALUE!</v>
      </c>
      <c r="FPE6" s="68" t="e" cm="1" vm="1">
        <f t="array" ref="FPE6">_xlfn._xlws.FILTER(TablaProductos[Nombre producto],TablaProductos[Agrupación]=ProductosPivot!FPE5)</f>
        <v>#VALUE!</v>
      </c>
      <c r="FPF6" s="68" t="e" cm="1" vm="1">
        <f t="array" ref="FPF6">_xlfn._xlws.FILTER(TablaProductos[Nombre producto],TablaProductos[Agrupación]=ProductosPivot!FPF5)</f>
        <v>#VALUE!</v>
      </c>
      <c r="FPG6" s="68" t="e" cm="1" vm="1">
        <f t="array" ref="FPG6">_xlfn._xlws.FILTER(TablaProductos[Nombre producto],TablaProductos[Agrupación]=ProductosPivot!FPG5)</f>
        <v>#VALUE!</v>
      </c>
      <c r="FPH6" s="68" t="e" cm="1" vm="1">
        <f t="array" ref="FPH6">_xlfn._xlws.FILTER(TablaProductos[Nombre producto],TablaProductos[Agrupación]=ProductosPivot!FPH5)</f>
        <v>#VALUE!</v>
      </c>
      <c r="FPI6" s="68" t="e" cm="1" vm="1">
        <f t="array" ref="FPI6">_xlfn._xlws.FILTER(TablaProductos[Nombre producto],TablaProductos[Agrupación]=ProductosPivot!FPI5)</f>
        <v>#VALUE!</v>
      </c>
      <c r="FPJ6" s="68" t="e" cm="1" vm="1">
        <f t="array" ref="FPJ6">_xlfn._xlws.FILTER(TablaProductos[Nombre producto],TablaProductos[Agrupación]=ProductosPivot!FPJ5)</f>
        <v>#VALUE!</v>
      </c>
      <c r="FPK6" s="68" t="e" cm="1" vm="1">
        <f t="array" ref="FPK6">_xlfn._xlws.FILTER(TablaProductos[Nombre producto],TablaProductos[Agrupación]=ProductosPivot!FPK5)</f>
        <v>#VALUE!</v>
      </c>
      <c r="FPL6" s="68" t="e" cm="1" vm="1">
        <f t="array" ref="FPL6">_xlfn._xlws.FILTER(TablaProductos[Nombre producto],TablaProductos[Agrupación]=ProductosPivot!FPL5)</f>
        <v>#VALUE!</v>
      </c>
      <c r="FPM6" s="68" t="e" cm="1" vm="1">
        <f t="array" ref="FPM6">_xlfn._xlws.FILTER(TablaProductos[Nombre producto],TablaProductos[Agrupación]=ProductosPivot!FPM5)</f>
        <v>#VALUE!</v>
      </c>
      <c r="FPN6" s="68" t="e" cm="1" vm="1">
        <f t="array" ref="FPN6">_xlfn._xlws.FILTER(TablaProductos[Nombre producto],TablaProductos[Agrupación]=ProductosPivot!FPN5)</f>
        <v>#VALUE!</v>
      </c>
      <c r="FPO6" s="68" t="e" cm="1" vm="1">
        <f t="array" ref="FPO6">_xlfn._xlws.FILTER(TablaProductos[Nombre producto],TablaProductos[Agrupación]=ProductosPivot!FPO5)</f>
        <v>#VALUE!</v>
      </c>
      <c r="FPP6" s="68" t="e" cm="1" vm="1">
        <f t="array" ref="FPP6">_xlfn._xlws.FILTER(TablaProductos[Nombre producto],TablaProductos[Agrupación]=ProductosPivot!FPP5)</f>
        <v>#VALUE!</v>
      </c>
      <c r="FPQ6" s="68" t="e" cm="1" vm="1">
        <f t="array" ref="FPQ6">_xlfn._xlws.FILTER(TablaProductos[Nombre producto],TablaProductos[Agrupación]=ProductosPivot!FPQ5)</f>
        <v>#VALUE!</v>
      </c>
      <c r="FPR6" s="68" t="e" cm="1" vm="1">
        <f t="array" ref="FPR6">_xlfn._xlws.FILTER(TablaProductos[Nombre producto],TablaProductos[Agrupación]=ProductosPivot!FPR5)</f>
        <v>#VALUE!</v>
      </c>
      <c r="FPS6" s="68" t="e" cm="1" vm="1">
        <f t="array" ref="FPS6">_xlfn._xlws.FILTER(TablaProductos[Nombre producto],TablaProductos[Agrupación]=ProductosPivot!FPS5)</f>
        <v>#VALUE!</v>
      </c>
      <c r="FPT6" s="68" t="e" cm="1" vm="1">
        <f t="array" ref="FPT6">_xlfn._xlws.FILTER(TablaProductos[Nombre producto],TablaProductos[Agrupación]=ProductosPivot!FPT5)</f>
        <v>#VALUE!</v>
      </c>
      <c r="FPU6" s="68" t="e" cm="1" vm="1">
        <f t="array" ref="FPU6">_xlfn._xlws.FILTER(TablaProductos[Nombre producto],TablaProductos[Agrupación]=ProductosPivot!FPU5)</f>
        <v>#VALUE!</v>
      </c>
      <c r="FPV6" s="68" t="e" cm="1" vm="1">
        <f t="array" ref="FPV6">_xlfn._xlws.FILTER(TablaProductos[Nombre producto],TablaProductos[Agrupación]=ProductosPivot!FPV5)</f>
        <v>#VALUE!</v>
      </c>
      <c r="FPW6" s="68" t="e" cm="1" vm="1">
        <f t="array" ref="FPW6">_xlfn._xlws.FILTER(TablaProductos[Nombre producto],TablaProductos[Agrupación]=ProductosPivot!FPW5)</f>
        <v>#VALUE!</v>
      </c>
      <c r="FPX6" s="68" t="e" cm="1" vm="1">
        <f t="array" ref="FPX6">_xlfn._xlws.FILTER(TablaProductos[Nombre producto],TablaProductos[Agrupación]=ProductosPivot!FPX5)</f>
        <v>#VALUE!</v>
      </c>
      <c r="FPY6" s="68" t="e" cm="1" vm="1">
        <f t="array" ref="FPY6">_xlfn._xlws.FILTER(TablaProductos[Nombre producto],TablaProductos[Agrupación]=ProductosPivot!FPY5)</f>
        <v>#VALUE!</v>
      </c>
      <c r="FPZ6" s="68" t="e" cm="1" vm="1">
        <f t="array" ref="FPZ6">_xlfn._xlws.FILTER(TablaProductos[Nombre producto],TablaProductos[Agrupación]=ProductosPivot!FPZ5)</f>
        <v>#VALUE!</v>
      </c>
      <c r="FQA6" s="68" t="e" cm="1" vm="1">
        <f t="array" ref="FQA6">_xlfn._xlws.FILTER(TablaProductos[Nombre producto],TablaProductos[Agrupación]=ProductosPivot!FQA5)</f>
        <v>#VALUE!</v>
      </c>
      <c r="FQB6" s="68" t="e" cm="1" vm="1">
        <f t="array" ref="FQB6">_xlfn._xlws.FILTER(TablaProductos[Nombre producto],TablaProductos[Agrupación]=ProductosPivot!FQB5)</f>
        <v>#VALUE!</v>
      </c>
      <c r="FQC6" s="68" t="e" cm="1" vm="1">
        <f t="array" ref="FQC6">_xlfn._xlws.FILTER(TablaProductos[Nombre producto],TablaProductos[Agrupación]=ProductosPivot!FQC5)</f>
        <v>#VALUE!</v>
      </c>
      <c r="FQD6" s="68" t="e" cm="1" vm="1">
        <f t="array" ref="FQD6">_xlfn._xlws.FILTER(TablaProductos[Nombre producto],TablaProductos[Agrupación]=ProductosPivot!FQD5)</f>
        <v>#VALUE!</v>
      </c>
      <c r="FQE6" s="68" t="e" cm="1" vm="1">
        <f t="array" ref="FQE6">_xlfn._xlws.FILTER(TablaProductos[Nombre producto],TablaProductos[Agrupación]=ProductosPivot!FQE5)</f>
        <v>#VALUE!</v>
      </c>
      <c r="FQF6" s="68" t="e" cm="1" vm="1">
        <f t="array" ref="FQF6">_xlfn._xlws.FILTER(TablaProductos[Nombre producto],TablaProductos[Agrupación]=ProductosPivot!FQF5)</f>
        <v>#VALUE!</v>
      </c>
      <c r="FQG6" s="68" t="e" cm="1" vm="1">
        <f t="array" ref="FQG6">_xlfn._xlws.FILTER(TablaProductos[Nombre producto],TablaProductos[Agrupación]=ProductosPivot!FQG5)</f>
        <v>#VALUE!</v>
      </c>
      <c r="FQH6" s="68" t="e" cm="1" vm="1">
        <f t="array" ref="FQH6">_xlfn._xlws.FILTER(TablaProductos[Nombre producto],TablaProductos[Agrupación]=ProductosPivot!FQH5)</f>
        <v>#VALUE!</v>
      </c>
      <c r="FQI6" s="68" t="e" cm="1" vm="1">
        <f t="array" ref="FQI6">_xlfn._xlws.FILTER(TablaProductos[Nombre producto],TablaProductos[Agrupación]=ProductosPivot!FQI5)</f>
        <v>#VALUE!</v>
      </c>
      <c r="FQJ6" s="68" t="e" cm="1" vm="1">
        <f t="array" ref="FQJ6">_xlfn._xlws.FILTER(TablaProductos[Nombre producto],TablaProductos[Agrupación]=ProductosPivot!FQJ5)</f>
        <v>#VALUE!</v>
      </c>
      <c r="FQK6" s="68" t="e" cm="1" vm="1">
        <f t="array" ref="FQK6">_xlfn._xlws.FILTER(TablaProductos[Nombre producto],TablaProductos[Agrupación]=ProductosPivot!FQK5)</f>
        <v>#VALUE!</v>
      </c>
      <c r="FQL6" s="68" t="e" cm="1" vm="1">
        <f t="array" ref="FQL6">_xlfn._xlws.FILTER(TablaProductos[Nombre producto],TablaProductos[Agrupación]=ProductosPivot!FQL5)</f>
        <v>#VALUE!</v>
      </c>
      <c r="FQM6" s="68" t="e" cm="1" vm="1">
        <f t="array" ref="FQM6">_xlfn._xlws.FILTER(TablaProductos[Nombre producto],TablaProductos[Agrupación]=ProductosPivot!FQM5)</f>
        <v>#VALUE!</v>
      </c>
      <c r="FQN6" s="68" t="e" cm="1" vm="1">
        <f t="array" ref="FQN6">_xlfn._xlws.FILTER(TablaProductos[Nombre producto],TablaProductos[Agrupación]=ProductosPivot!FQN5)</f>
        <v>#VALUE!</v>
      </c>
      <c r="FQO6" s="68" t="e" cm="1" vm="1">
        <f t="array" ref="FQO6">_xlfn._xlws.FILTER(TablaProductos[Nombre producto],TablaProductos[Agrupación]=ProductosPivot!FQO5)</f>
        <v>#VALUE!</v>
      </c>
      <c r="FQP6" s="68" t="e" cm="1" vm="1">
        <f t="array" ref="FQP6">_xlfn._xlws.FILTER(TablaProductos[Nombre producto],TablaProductos[Agrupación]=ProductosPivot!FQP5)</f>
        <v>#VALUE!</v>
      </c>
      <c r="FQQ6" s="68" t="e" cm="1" vm="1">
        <f t="array" ref="FQQ6">_xlfn._xlws.FILTER(TablaProductos[Nombre producto],TablaProductos[Agrupación]=ProductosPivot!FQQ5)</f>
        <v>#VALUE!</v>
      </c>
      <c r="FQR6" s="68" t="e" cm="1" vm="1">
        <f t="array" ref="FQR6">_xlfn._xlws.FILTER(TablaProductos[Nombre producto],TablaProductos[Agrupación]=ProductosPivot!FQR5)</f>
        <v>#VALUE!</v>
      </c>
      <c r="FQS6" s="68" t="e" cm="1" vm="1">
        <f t="array" ref="FQS6">_xlfn._xlws.FILTER(TablaProductos[Nombre producto],TablaProductos[Agrupación]=ProductosPivot!FQS5)</f>
        <v>#VALUE!</v>
      </c>
      <c r="FQT6" s="68" t="e" cm="1" vm="1">
        <f t="array" ref="FQT6">_xlfn._xlws.FILTER(TablaProductos[Nombre producto],TablaProductos[Agrupación]=ProductosPivot!FQT5)</f>
        <v>#VALUE!</v>
      </c>
      <c r="FQU6" s="68" t="e" cm="1" vm="1">
        <f t="array" ref="FQU6">_xlfn._xlws.FILTER(TablaProductos[Nombre producto],TablaProductos[Agrupación]=ProductosPivot!FQU5)</f>
        <v>#VALUE!</v>
      </c>
      <c r="FQV6" s="68" t="e" cm="1" vm="1">
        <f t="array" ref="FQV6">_xlfn._xlws.FILTER(TablaProductos[Nombre producto],TablaProductos[Agrupación]=ProductosPivot!FQV5)</f>
        <v>#VALUE!</v>
      </c>
      <c r="FQW6" s="68" t="e" cm="1" vm="1">
        <f t="array" ref="FQW6">_xlfn._xlws.FILTER(TablaProductos[Nombre producto],TablaProductos[Agrupación]=ProductosPivot!FQW5)</f>
        <v>#VALUE!</v>
      </c>
      <c r="FQX6" s="68" t="e" cm="1" vm="1">
        <f t="array" ref="FQX6">_xlfn._xlws.FILTER(TablaProductos[Nombre producto],TablaProductos[Agrupación]=ProductosPivot!FQX5)</f>
        <v>#VALUE!</v>
      </c>
      <c r="FQY6" s="68" t="e" cm="1" vm="1">
        <f t="array" ref="FQY6">_xlfn._xlws.FILTER(TablaProductos[Nombre producto],TablaProductos[Agrupación]=ProductosPivot!FQY5)</f>
        <v>#VALUE!</v>
      </c>
      <c r="FQZ6" s="68" t="e" cm="1" vm="1">
        <f t="array" ref="FQZ6">_xlfn._xlws.FILTER(TablaProductos[Nombre producto],TablaProductos[Agrupación]=ProductosPivot!FQZ5)</f>
        <v>#VALUE!</v>
      </c>
      <c r="FRA6" s="68" t="e" cm="1" vm="1">
        <f t="array" ref="FRA6">_xlfn._xlws.FILTER(TablaProductos[Nombre producto],TablaProductos[Agrupación]=ProductosPivot!FRA5)</f>
        <v>#VALUE!</v>
      </c>
      <c r="FRB6" s="68" t="e" cm="1" vm="1">
        <f t="array" ref="FRB6">_xlfn._xlws.FILTER(TablaProductos[Nombre producto],TablaProductos[Agrupación]=ProductosPivot!FRB5)</f>
        <v>#VALUE!</v>
      </c>
      <c r="FRC6" s="68" t="e" cm="1" vm="1">
        <f t="array" ref="FRC6">_xlfn._xlws.FILTER(TablaProductos[Nombre producto],TablaProductos[Agrupación]=ProductosPivot!FRC5)</f>
        <v>#VALUE!</v>
      </c>
      <c r="FRD6" s="68" t="e" cm="1" vm="1">
        <f t="array" ref="FRD6">_xlfn._xlws.FILTER(TablaProductos[Nombre producto],TablaProductos[Agrupación]=ProductosPivot!FRD5)</f>
        <v>#VALUE!</v>
      </c>
      <c r="FRE6" s="68" t="e" cm="1" vm="1">
        <f t="array" ref="FRE6">_xlfn._xlws.FILTER(TablaProductos[Nombre producto],TablaProductos[Agrupación]=ProductosPivot!FRE5)</f>
        <v>#VALUE!</v>
      </c>
      <c r="FRF6" s="68" t="e" cm="1" vm="1">
        <f t="array" ref="FRF6">_xlfn._xlws.FILTER(TablaProductos[Nombre producto],TablaProductos[Agrupación]=ProductosPivot!FRF5)</f>
        <v>#VALUE!</v>
      </c>
      <c r="FRG6" s="68" t="e" cm="1" vm="1">
        <f t="array" ref="FRG6">_xlfn._xlws.FILTER(TablaProductos[Nombre producto],TablaProductos[Agrupación]=ProductosPivot!FRG5)</f>
        <v>#VALUE!</v>
      </c>
      <c r="FRH6" s="68" t="e" cm="1" vm="1">
        <f t="array" ref="FRH6">_xlfn._xlws.FILTER(TablaProductos[Nombre producto],TablaProductos[Agrupación]=ProductosPivot!FRH5)</f>
        <v>#VALUE!</v>
      </c>
      <c r="FRI6" s="68" t="e" cm="1" vm="1">
        <f t="array" ref="FRI6">_xlfn._xlws.FILTER(TablaProductos[Nombre producto],TablaProductos[Agrupación]=ProductosPivot!FRI5)</f>
        <v>#VALUE!</v>
      </c>
      <c r="FRJ6" s="68" t="e" cm="1" vm="1">
        <f t="array" ref="FRJ6">_xlfn._xlws.FILTER(TablaProductos[Nombre producto],TablaProductos[Agrupación]=ProductosPivot!FRJ5)</f>
        <v>#VALUE!</v>
      </c>
      <c r="FRK6" s="68" t="e" cm="1" vm="1">
        <f t="array" ref="FRK6">_xlfn._xlws.FILTER(TablaProductos[Nombre producto],TablaProductos[Agrupación]=ProductosPivot!FRK5)</f>
        <v>#VALUE!</v>
      </c>
      <c r="FRL6" s="68" t="e" cm="1" vm="1">
        <f t="array" ref="FRL6">_xlfn._xlws.FILTER(TablaProductos[Nombre producto],TablaProductos[Agrupación]=ProductosPivot!FRL5)</f>
        <v>#VALUE!</v>
      </c>
      <c r="FRM6" s="68" t="e" cm="1" vm="1">
        <f t="array" ref="FRM6">_xlfn._xlws.FILTER(TablaProductos[Nombre producto],TablaProductos[Agrupación]=ProductosPivot!FRM5)</f>
        <v>#VALUE!</v>
      </c>
      <c r="FRN6" s="68" t="e" cm="1" vm="1">
        <f t="array" ref="FRN6">_xlfn._xlws.FILTER(TablaProductos[Nombre producto],TablaProductos[Agrupación]=ProductosPivot!FRN5)</f>
        <v>#VALUE!</v>
      </c>
      <c r="FRO6" s="68" t="e" cm="1" vm="1">
        <f t="array" ref="FRO6">_xlfn._xlws.FILTER(TablaProductos[Nombre producto],TablaProductos[Agrupación]=ProductosPivot!FRO5)</f>
        <v>#VALUE!</v>
      </c>
      <c r="FRP6" s="68" t="e" cm="1" vm="1">
        <f t="array" ref="FRP6">_xlfn._xlws.FILTER(TablaProductos[Nombre producto],TablaProductos[Agrupación]=ProductosPivot!FRP5)</f>
        <v>#VALUE!</v>
      </c>
      <c r="FRQ6" s="68" t="e" cm="1" vm="1">
        <f t="array" ref="FRQ6">_xlfn._xlws.FILTER(TablaProductos[Nombre producto],TablaProductos[Agrupación]=ProductosPivot!FRQ5)</f>
        <v>#VALUE!</v>
      </c>
      <c r="FRR6" s="68" t="e" cm="1" vm="1">
        <f t="array" ref="FRR6">_xlfn._xlws.FILTER(TablaProductos[Nombre producto],TablaProductos[Agrupación]=ProductosPivot!FRR5)</f>
        <v>#VALUE!</v>
      </c>
      <c r="FRS6" s="68" t="e" cm="1" vm="1">
        <f t="array" ref="FRS6">_xlfn._xlws.FILTER(TablaProductos[Nombre producto],TablaProductos[Agrupación]=ProductosPivot!FRS5)</f>
        <v>#VALUE!</v>
      </c>
      <c r="FRT6" s="68" t="e" cm="1" vm="1">
        <f t="array" ref="FRT6">_xlfn._xlws.FILTER(TablaProductos[Nombre producto],TablaProductos[Agrupación]=ProductosPivot!FRT5)</f>
        <v>#VALUE!</v>
      </c>
      <c r="FRU6" s="68" t="e" cm="1" vm="1">
        <f t="array" ref="FRU6">_xlfn._xlws.FILTER(TablaProductos[Nombre producto],TablaProductos[Agrupación]=ProductosPivot!FRU5)</f>
        <v>#VALUE!</v>
      </c>
      <c r="FRV6" s="68" t="e" cm="1" vm="1">
        <f t="array" ref="FRV6">_xlfn._xlws.FILTER(TablaProductos[Nombre producto],TablaProductos[Agrupación]=ProductosPivot!FRV5)</f>
        <v>#VALUE!</v>
      </c>
      <c r="FRW6" s="68" t="e" cm="1" vm="1">
        <f t="array" ref="FRW6">_xlfn._xlws.FILTER(TablaProductos[Nombre producto],TablaProductos[Agrupación]=ProductosPivot!FRW5)</f>
        <v>#VALUE!</v>
      </c>
      <c r="FRX6" s="68" t="e" cm="1" vm="1">
        <f t="array" ref="FRX6">_xlfn._xlws.FILTER(TablaProductos[Nombre producto],TablaProductos[Agrupación]=ProductosPivot!FRX5)</f>
        <v>#VALUE!</v>
      </c>
      <c r="FRY6" s="68" t="e" cm="1" vm="1">
        <f t="array" ref="FRY6">_xlfn._xlws.FILTER(TablaProductos[Nombre producto],TablaProductos[Agrupación]=ProductosPivot!FRY5)</f>
        <v>#VALUE!</v>
      </c>
      <c r="FRZ6" s="68" t="e" cm="1" vm="1">
        <f t="array" ref="FRZ6">_xlfn._xlws.FILTER(TablaProductos[Nombre producto],TablaProductos[Agrupación]=ProductosPivot!FRZ5)</f>
        <v>#VALUE!</v>
      </c>
      <c r="FSA6" s="68" t="e" cm="1" vm="1">
        <f t="array" ref="FSA6">_xlfn._xlws.FILTER(TablaProductos[Nombre producto],TablaProductos[Agrupación]=ProductosPivot!FSA5)</f>
        <v>#VALUE!</v>
      </c>
      <c r="FSB6" s="68" t="e" cm="1" vm="1">
        <f t="array" ref="FSB6">_xlfn._xlws.FILTER(TablaProductos[Nombre producto],TablaProductos[Agrupación]=ProductosPivot!FSB5)</f>
        <v>#VALUE!</v>
      </c>
      <c r="FSC6" s="68" t="e" cm="1" vm="1">
        <f t="array" ref="FSC6">_xlfn._xlws.FILTER(TablaProductos[Nombre producto],TablaProductos[Agrupación]=ProductosPivot!FSC5)</f>
        <v>#VALUE!</v>
      </c>
      <c r="FSD6" s="68" t="e" cm="1" vm="1">
        <f t="array" ref="FSD6">_xlfn._xlws.FILTER(TablaProductos[Nombre producto],TablaProductos[Agrupación]=ProductosPivot!FSD5)</f>
        <v>#VALUE!</v>
      </c>
      <c r="FSE6" s="68" t="e" cm="1" vm="1">
        <f t="array" ref="FSE6">_xlfn._xlws.FILTER(TablaProductos[Nombre producto],TablaProductos[Agrupación]=ProductosPivot!FSE5)</f>
        <v>#VALUE!</v>
      </c>
      <c r="FSF6" s="68" t="e" cm="1" vm="1">
        <f t="array" ref="FSF6">_xlfn._xlws.FILTER(TablaProductos[Nombre producto],TablaProductos[Agrupación]=ProductosPivot!FSF5)</f>
        <v>#VALUE!</v>
      </c>
      <c r="FSG6" s="68" t="e" cm="1" vm="1">
        <f t="array" ref="FSG6">_xlfn._xlws.FILTER(TablaProductos[Nombre producto],TablaProductos[Agrupación]=ProductosPivot!FSG5)</f>
        <v>#VALUE!</v>
      </c>
      <c r="FSH6" s="68" t="e" cm="1" vm="1">
        <f t="array" ref="FSH6">_xlfn._xlws.FILTER(TablaProductos[Nombre producto],TablaProductos[Agrupación]=ProductosPivot!FSH5)</f>
        <v>#VALUE!</v>
      </c>
      <c r="FSI6" s="68" t="e" cm="1" vm="1">
        <f t="array" ref="FSI6">_xlfn._xlws.FILTER(TablaProductos[Nombre producto],TablaProductos[Agrupación]=ProductosPivot!FSI5)</f>
        <v>#VALUE!</v>
      </c>
      <c r="FSJ6" s="68" t="e" cm="1" vm="1">
        <f t="array" ref="FSJ6">_xlfn._xlws.FILTER(TablaProductos[Nombre producto],TablaProductos[Agrupación]=ProductosPivot!FSJ5)</f>
        <v>#VALUE!</v>
      </c>
      <c r="FSK6" s="68" t="e" cm="1" vm="1">
        <f t="array" ref="FSK6">_xlfn._xlws.FILTER(TablaProductos[Nombre producto],TablaProductos[Agrupación]=ProductosPivot!FSK5)</f>
        <v>#VALUE!</v>
      </c>
      <c r="FSL6" s="68" t="e" cm="1" vm="1">
        <f t="array" ref="FSL6">_xlfn._xlws.FILTER(TablaProductos[Nombre producto],TablaProductos[Agrupación]=ProductosPivot!FSL5)</f>
        <v>#VALUE!</v>
      </c>
      <c r="FSM6" s="68" t="e" cm="1" vm="1">
        <f t="array" ref="FSM6">_xlfn._xlws.FILTER(TablaProductos[Nombre producto],TablaProductos[Agrupación]=ProductosPivot!FSM5)</f>
        <v>#VALUE!</v>
      </c>
      <c r="FSN6" s="68" t="e" cm="1" vm="1">
        <f t="array" ref="FSN6">_xlfn._xlws.FILTER(TablaProductos[Nombre producto],TablaProductos[Agrupación]=ProductosPivot!FSN5)</f>
        <v>#VALUE!</v>
      </c>
      <c r="FSO6" s="68" t="e" cm="1" vm="1">
        <f t="array" ref="FSO6">_xlfn._xlws.FILTER(TablaProductos[Nombre producto],TablaProductos[Agrupación]=ProductosPivot!FSO5)</f>
        <v>#VALUE!</v>
      </c>
      <c r="FSP6" s="68" t="e" cm="1" vm="1">
        <f t="array" ref="FSP6">_xlfn._xlws.FILTER(TablaProductos[Nombre producto],TablaProductos[Agrupación]=ProductosPivot!FSP5)</f>
        <v>#VALUE!</v>
      </c>
      <c r="FSQ6" s="68" t="e" cm="1" vm="1">
        <f t="array" ref="FSQ6">_xlfn._xlws.FILTER(TablaProductos[Nombre producto],TablaProductos[Agrupación]=ProductosPivot!FSQ5)</f>
        <v>#VALUE!</v>
      </c>
      <c r="FSR6" s="68" t="e" cm="1" vm="1">
        <f t="array" ref="FSR6">_xlfn._xlws.FILTER(TablaProductos[Nombre producto],TablaProductos[Agrupación]=ProductosPivot!FSR5)</f>
        <v>#VALUE!</v>
      </c>
      <c r="FSS6" s="68" t="e" cm="1" vm="1">
        <f t="array" ref="FSS6">_xlfn._xlws.FILTER(TablaProductos[Nombre producto],TablaProductos[Agrupación]=ProductosPivot!FSS5)</f>
        <v>#VALUE!</v>
      </c>
      <c r="FST6" s="68" t="e" cm="1" vm="1">
        <f t="array" ref="FST6">_xlfn._xlws.FILTER(TablaProductos[Nombre producto],TablaProductos[Agrupación]=ProductosPivot!FST5)</f>
        <v>#VALUE!</v>
      </c>
      <c r="FSU6" s="68" t="e" cm="1" vm="1">
        <f t="array" ref="FSU6">_xlfn._xlws.FILTER(TablaProductos[Nombre producto],TablaProductos[Agrupación]=ProductosPivot!FSU5)</f>
        <v>#VALUE!</v>
      </c>
      <c r="FSV6" s="68" t="e" cm="1" vm="1">
        <f t="array" ref="FSV6">_xlfn._xlws.FILTER(TablaProductos[Nombre producto],TablaProductos[Agrupación]=ProductosPivot!FSV5)</f>
        <v>#VALUE!</v>
      </c>
      <c r="FSW6" s="68" t="e" cm="1" vm="1">
        <f t="array" ref="FSW6">_xlfn._xlws.FILTER(TablaProductos[Nombre producto],TablaProductos[Agrupación]=ProductosPivot!FSW5)</f>
        <v>#VALUE!</v>
      </c>
      <c r="FSX6" s="68" t="e" cm="1" vm="1">
        <f t="array" ref="FSX6">_xlfn._xlws.FILTER(TablaProductos[Nombre producto],TablaProductos[Agrupación]=ProductosPivot!FSX5)</f>
        <v>#VALUE!</v>
      </c>
      <c r="FSY6" s="68" t="e" cm="1" vm="1">
        <f t="array" ref="FSY6">_xlfn._xlws.FILTER(TablaProductos[Nombre producto],TablaProductos[Agrupación]=ProductosPivot!FSY5)</f>
        <v>#VALUE!</v>
      </c>
      <c r="FSZ6" s="68" t="e" cm="1" vm="1">
        <f t="array" ref="FSZ6">_xlfn._xlws.FILTER(TablaProductos[Nombre producto],TablaProductos[Agrupación]=ProductosPivot!FSZ5)</f>
        <v>#VALUE!</v>
      </c>
      <c r="FTA6" s="68" t="e" cm="1" vm="1">
        <f t="array" ref="FTA6">_xlfn._xlws.FILTER(TablaProductos[Nombre producto],TablaProductos[Agrupación]=ProductosPivot!FTA5)</f>
        <v>#VALUE!</v>
      </c>
      <c r="FTB6" s="68" t="e" cm="1" vm="1">
        <f t="array" ref="FTB6">_xlfn._xlws.FILTER(TablaProductos[Nombre producto],TablaProductos[Agrupación]=ProductosPivot!FTB5)</f>
        <v>#VALUE!</v>
      </c>
      <c r="FTC6" s="68" t="e" cm="1" vm="1">
        <f t="array" ref="FTC6">_xlfn._xlws.FILTER(TablaProductos[Nombre producto],TablaProductos[Agrupación]=ProductosPivot!FTC5)</f>
        <v>#VALUE!</v>
      </c>
      <c r="FTD6" s="68" t="e" cm="1" vm="1">
        <f t="array" ref="FTD6">_xlfn._xlws.FILTER(TablaProductos[Nombre producto],TablaProductos[Agrupación]=ProductosPivot!FTD5)</f>
        <v>#VALUE!</v>
      </c>
      <c r="FTE6" s="68" t="e" cm="1" vm="1">
        <f t="array" ref="FTE6">_xlfn._xlws.FILTER(TablaProductos[Nombre producto],TablaProductos[Agrupación]=ProductosPivot!FTE5)</f>
        <v>#VALUE!</v>
      </c>
      <c r="FTF6" s="68" t="e" cm="1" vm="1">
        <f t="array" ref="FTF6">_xlfn._xlws.FILTER(TablaProductos[Nombre producto],TablaProductos[Agrupación]=ProductosPivot!FTF5)</f>
        <v>#VALUE!</v>
      </c>
      <c r="FTG6" s="68" t="e" cm="1" vm="1">
        <f t="array" ref="FTG6">_xlfn._xlws.FILTER(TablaProductos[Nombre producto],TablaProductos[Agrupación]=ProductosPivot!FTG5)</f>
        <v>#VALUE!</v>
      </c>
      <c r="FTH6" s="68" t="e" cm="1" vm="1">
        <f t="array" ref="FTH6">_xlfn._xlws.FILTER(TablaProductos[Nombre producto],TablaProductos[Agrupación]=ProductosPivot!FTH5)</f>
        <v>#VALUE!</v>
      </c>
      <c r="FTI6" s="68" t="e" cm="1" vm="1">
        <f t="array" ref="FTI6">_xlfn._xlws.FILTER(TablaProductos[Nombre producto],TablaProductos[Agrupación]=ProductosPivot!FTI5)</f>
        <v>#VALUE!</v>
      </c>
      <c r="FTJ6" s="68" t="e" cm="1" vm="1">
        <f t="array" ref="FTJ6">_xlfn._xlws.FILTER(TablaProductos[Nombre producto],TablaProductos[Agrupación]=ProductosPivot!FTJ5)</f>
        <v>#VALUE!</v>
      </c>
      <c r="FTK6" s="68" t="e" cm="1" vm="1">
        <f t="array" ref="FTK6">_xlfn._xlws.FILTER(TablaProductos[Nombre producto],TablaProductos[Agrupación]=ProductosPivot!FTK5)</f>
        <v>#VALUE!</v>
      </c>
      <c r="FTL6" s="68" t="e" cm="1" vm="1">
        <f t="array" ref="FTL6">_xlfn._xlws.FILTER(TablaProductos[Nombre producto],TablaProductos[Agrupación]=ProductosPivot!FTL5)</f>
        <v>#VALUE!</v>
      </c>
      <c r="FTM6" s="68" t="e" cm="1" vm="1">
        <f t="array" ref="FTM6">_xlfn._xlws.FILTER(TablaProductos[Nombre producto],TablaProductos[Agrupación]=ProductosPivot!FTM5)</f>
        <v>#VALUE!</v>
      </c>
      <c r="FTN6" s="68" t="e" cm="1" vm="1">
        <f t="array" ref="FTN6">_xlfn._xlws.FILTER(TablaProductos[Nombre producto],TablaProductos[Agrupación]=ProductosPivot!FTN5)</f>
        <v>#VALUE!</v>
      </c>
      <c r="FTO6" s="68" t="e" cm="1" vm="1">
        <f t="array" ref="FTO6">_xlfn._xlws.FILTER(TablaProductos[Nombre producto],TablaProductos[Agrupación]=ProductosPivot!FTO5)</f>
        <v>#VALUE!</v>
      </c>
      <c r="FTP6" s="68" t="e" cm="1" vm="1">
        <f t="array" ref="FTP6">_xlfn._xlws.FILTER(TablaProductos[Nombre producto],TablaProductos[Agrupación]=ProductosPivot!FTP5)</f>
        <v>#VALUE!</v>
      </c>
      <c r="FTQ6" s="68" t="e" cm="1" vm="1">
        <f t="array" ref="FTQ6">_xlfn._xlws.FILTER(TablaProductos[Nombre producto],TablaProductos[Agrupación]=ProductosPivot!FTQ5)</f>
        <v>#VALUE!</v>
      </c>
      <c r="FTR6" s="68" t="e" cm="1" vm="1">
        <f t="array" ref="FTR6">_xlfn._xlws.FILTER(TablaProductos[Nombre producto],TablaProductos[Agrupación]=ProductosPivot!FTR5)</f>
        <v>#VALUE!</v>
      </c>
      <c r="FTS6" s="68" t="e" cm="1" vm="1">
        <f t="array" ref="FTS6">_xlfn._xlws.FILTER(TablaProductos[Nombre producto],TablaProductos[Agrupación]=ProductosPivot!FTS5)</f>
        <v>#VALUE!</v>
      </c>
      <c r="FTT6" s="68" t="e" cm="1" vm="1">
        <f t="array" ref="FTT6">_xlfn._xlws.FILTER(TablaProductos[Nombre producto],TablaProductos[Agrupación]=ProductosPivot!FTT5)</f>
        <v>#VALUE!</v>
      </c>
      <c r="FTU6" s="68" t="e" cm="1" vm="1">
        <f t="array" ref="FTU6">_xlfn._xlws.FILTER(TablaProductos[Nombre producto],TablaProductos[Agrupación]=ProductosPivot!FTU5)</f>
        <v>#VALUE!</v>
      </c>
      <c r="FTV6" s="68" t="e" cm="1" vm="1">
        <f t="array" ref="FTV6">_xlfn._xlws.FILTER(TablaProductos[Nombre producto],TablaProductos[Agrupación]=ProductosPivot!FTV5)</f>
        <v>#VALUE!</v>
      </c>
      <c r="FTW6" s="68" t="e" cm="1" vm="1">
        <f t="array" ref="FTW6">_xlfn._xlws.FILTER(TablaProductos[Nombre producto],TablaProductos[Agrupación]=ProductosPivot!FTW5)</f>
        <v>#VALUE!</v>
      </c>
      <c r="FTX6" s="68" t="e" cm="1" vm="1">
        <f t="array" ref="FTX6">_xlfn._xlws.FILTER(TablaProductos[Nombre producto],TablaProductos[Agrupación]=ProductosPivot!FTX5)</f>
        <v>#VALUE!</v>
      </c>
      <c r="FTY6" s="68" t="e" cm="1" vm="1">
        <f t="array" ref="FTY6">_xlfn._xlws.FILTER(TablaProductos[Nombre producto],TablaProductos[Agrupación]=ProductosPivot!FTY5)</f>
        <v>#VALUE!</v>
      </c>
      <c r="FTZ6" s="68" t="e" cm="1" vm="1">
        <f t="array" ref="FTZ6">_xlfn._xlws.FILTER(TablaProductos[Nombre producto],TablaProductos[Agrupación]=ProductosPivot!FTZ5)</f>
        <v>#VALUE!</v>
      </c>
      <c r="FUA6" s="68" t="e" cm="1" vm="1">
        <f t="array" ref="FUA6">_xlfn._xlws.FILTER(TablaProductos[Nombre producto],TablaProductos[Agrupación]=ProductosPivot!FUA5)</f>
        <v>#VALUE!</v>
      </c>
      <c r="FUB6" s="68" t="e" cm="1" vm="1">
        <f t="array" ref="FUB6">_xlfn._xlws.FILTER(TablaProductos[Nombre producto],TablaProductos[Agrupación]=ProductosPivot!FUB5)</f>
        <v>#VALUE!</v>
      </c>
      <c r="FUC6" s="68" t="e" cm="1" vm="1">
        <f t="array" ref="FUC6">_xlfn._xlws.FILTER(TablaProductos[Nombre producto],TablaProductos[Agrupación]=ProductosPivot!FUC5)</f>
        <v>#VALUE!</v>
      </c>
      <c r="FUD6" s="68" t="e" cm="1" vm="1">
        <f t="array" ref="FUD6">_xlfn._xlws.FILTER(TablaProductos[Nombre producto],TablaProductos[Agrupación]=ProductosPivot!FUD5)</f>
        <v>#VALUE!</v>
      </c>
      <c r="FUE6" s="68" t="e" cm="1" vm="1">
        <f t="array" ref="FUE6">_xlfn._xlws.FILTER(TablaProductos[Nombre producto],TablaProductos[Agrupación]=ProductosPivot!FUE5)</f>
        <v>#VALUE!</v>
      </c>
      <c r="FUF6" s="68" t="e" cm="1" vm="1">
        <f t="array" ref="FUF6">_xlfn._xlws.FILTER(TablaProductos[Nombre producto],TablaProductos[Agrupación]=ProductosPivot!FUF5)</f>
        <v>#VALUE!</v>
      </c>
      <c r="FUG6" s="68" t="e" cm="1" vm="1">
        <f t="array" ref="FUG6">_xlfn._xlws.FILTER(TablaProductos[Nombre producto],TablaProductos[Agrupación]=ProductosPivot!FUG5)</f>
        <v>#VALUE!</v>
      </c>
      <c r="FUH6" s="68" t="e" cm="1" vm="1">
        <f t="array" ref="FUH6">_xlfn._xlws.FILTER(TablaProductos[Nombre producto],TablaProductos[Agrupación]=ProductosPivot!FUH5)</f>
        <v>#VALUE!</v>
      </c>
      <c r="FUI6" s="68" t="e" cm="1" vm="1">
        <f t="array" ref="FUI6">_xlfn._xlws.FILTER(TablaProductos[Nombre producto],TablaProductos[Agrupación]=ProductosPivot!FUI5)</f>
        <v>#VALUE!</v>
      </c>
      <c r="FUJ6" s="68" t="e" cm="1" vm="1">
        <f t="array" ref="FUJ6">_xlfn._xlws.FILTER(TablaProductos[Nombre producto],TablaProductos[Agrupación]=ProductosPivot!FUJ5)</f>
        <v>#VALUE!</v>
      </c>
      <c r="FUK6" s="68" t="e" cm="1" vm="1">
        <f t="array" ref="FUK6">_xlfn._xlws.FILTER(TablaProductos[Nombre producto],TablaProductos[Agrupación]=ProductosPivot!FUK5)</f>
        <v>#VALUE!</v>
      </c>
      <c r="FUL6" s="68" t="e" cm="1" vm="1">
        <f t="array" ref="FUL6">_xlfn._xlws.FILTER(TablaProductos[Nombre producto],TablaProductos[Agrupación]=ProductosPivot!FUL5)</f>
        <v>#VALUE!</v>
      </c>
      <c r="FUM6" s="68" t="e" cm="1" vm="1">
        <f t="array" ref="FUM6">_xlfn._xlws.FILTER(TablaProductos[Nombre producto],TablaProductos[Agrupación]=ProductosPivot!FUM5)</f>
        <v>#VALUE!</v>
      </c>
      <c r="FUN6" s="68" t="e" cm="1" vm="1">
        <f t="array" ref="FUN6">_xlfn._xlws.FILTER(TablaProductos[Nombre producto],TablaProductos[Agrupación]=ProductosPivot!FUN5)</f>
        <v>#VALUE!</v>
      </c>
      <c r="FUO6" s="68" t="e" cm="1" vm="1">
        <f t="array" ref="FUO6">_xlfn._xlws.FILTER(TablaProductos[Nombre producto],TablaProductos[Agrupación]=ProductosPivot!FUO5)</f>
        <v>#VALUE!</v>
      </c>
      <c r="FUP6" s="68" t="e" cm="1" vm="1">
        <f t="array" ref="FUP6">_xlfn._xlws.FILTER(TablaProductos[Nombre producto],TablaProductos[Agrupación]=ProductosPivot!FUP5)</f>
        <v>#VALUE!</v>
      </c>
      <c r="FUQ6" s="68" t="e" cm="1" vm="1">
        <f t="array" ref="FUQ6">_xlfn._xlws.FILTER(TablaProductos[Nombre producto],TablaProductos[Agrupación]=ProductosPivot!FUQ5)</f>
        <v>#VALUE!</v>
      </c>
      <c r="FUR6" s="68" t="e" cm="1" vm="1">
        <f t="array" ref="FUR6">_xlfn._xlws.FILTER(TablaProductos[Nombre producto],TablaProductos[Agrupación]=ProductosPivot!FUR5)</f>
        <v>#VALUE!</v>
      </c>
      <c r="FUS6" s="68" t="e" cm="1" vm="1">
        <f t="array" ref="FUS6">_xlfn._xlws.FILTER(TablaProductos[Nombre producto],TablaProductos[Agrupación]=ProductosPivot!FUS5)</f>
        <v>#VALUE!</v>
      </c>
      <c r="FUT6" s="68" t="e" cm="1" vm="1">
        <f t="array" ref="FUT6">_xlfn._xlws.FILTER(TablaProductos[Nombre producto],TablaProductos[Agrupación]=ProductosPivot!FUT5)</f>
        <v>#VALUE!</v>
      </c>
      <c r="FUU6" s="68" t="e" cm="1" vm="1">
        <f t="array" ref="FUU6">_xlfn._xlws.FILTER(TablaProductos[Nombre producto],TablaProductos[Agrupación]=ProductosPivot!FUU5)</f>
        <v>#VALUE!</v>
      </c>
      <c r="FUV6" s="68" t="e" cm="1" vm="1">
        <f t="array" ref="FUV6">_xlfn._xlws.FILTER(TablaProductos[Nombre producto],TablaProductos[Agrupación]=ProductosPivot!FUV5)</f>
        <v>#VALUE!</v>
      </c>
      <c r="FUW6" s="68" t="e" cm="1" vm="1">
        <f t="array" ref="FUW6">_xlfn._xlws.FILTER(TablaProductos[Nombre producto],TablaProductos[Agrupación]=ProductosPivot!FUW5)</f>
        <v>#VALUE!</v>
      </c>
      <c r="FUX6" s="68" t="e" cm="1" vm="1">
        <f t="array" ref="FUX6">_xlfn._xlws.FILTER(TablaProductos[Nombre producto],TablaProductos[Agrupación]=ProductosPivot!FUX5)</f>
        <v>#VALUE!</v>
      </c>
      <c r="FUY6" s="68" t="e" cm="1" vm="1">
        <f t="array" ref="FUY6">_xlfn._xlws.FILTER(TablaProductos[Nombre producto],TablaProductos[Agrupación]=ProductosPivot!FUY5)</f>
        <v>#VALUE!</v>
      </c>
      <c r="FUZ6" s="68" t="e" cm="1" vm="1">
        <f t="array" ref="FUZ6">_xlfn._xlws.FILTER(TablaProductos[Nombre producto],TablaProductos[Agrupación]=ProductosPivot!FUZ5)</f>
        <v>#VALUE!</v>
      </c>
      <c r="FVA6" s="68" t="e" cm="1" vm="1">
        <f t="array" ref="FVA6">_xlfn._xlws.FILTER(TablaProductos[Nombre producto],TablaProductos[Agrupación]=ProductosPivot!FVA5)</f>
        <v>#VALUE!</v>
      </c>
      <c r="FVB6" s="68" t="e" cm="1" vm="1">
        <f t="array" ref="FVB6">_xlfn._xlws.FILTER(TablaProductos[Nombre producto],TablaProductos[Agrupación]=ProductosPivot!FVB5)</f>
        <v>#VALUE!</v>
      </c>
      <c r="FVC6" s="68" t="e" cm="1" vm="1">
        <f t="array" ref="FVC6">_xlfn._xlws.FILTER(TablaProductos[Nombre producto],TablaProductos[Agrupación]=ProductosPivot!FVC5)</f>
        <v>#VALUE!</v>
      </c>
      <c r="FVD6" s="68" t="e" cm="1" vm="1">
        <f t="array" ref="FVD6">_xlfn._xlws.FILTER(TablaProductos[Nombre producto],TablaProductos[Agrupación]=ProductosPivot!FVD5)</f>
        <v>#VALUE!</v>
      </c>
      <c r="FVE6" s="68" t="e" cm="1" vm="1">
        <f t="array" ref="FVE6">_xlfn._xlws.FILTER(TablaProductos[Nombre producto],TablaProductos[Agrupación]=ProductosPivot!FVE5)</f>
        <v>#VALUE!</v>
      </c>
      <c r="FVF6" s="68" t="e" cm="1" vm="1">
        <f t="array" ref="FVF6">_xlfn._xlws.FILTER(TablaProductos[Nombre producto],TablaProductos[Agrupación]=ProductosPivot!FVF5)</f>
        <v>#VALUE!</v>
      </c>
      <c r="FVG6" s="68" t="e" cm="1" vm="1">
        <f t="array" ref="FVG6">_xlfn._xlws.FILTER(TablaProductos[Nombre producto],TablaProductos[Agrupación]=ProductosPivot!FVG5)</f>
        <v>#VALUE!</v>
      </c>
      <c r="FVH6" s="68" t="e" cm="1" vm="1">
        <f t="array" ref="FVH6">_xlfn._xlws.FILTER(TablaProductos[Nombre producto],TablaProductos[Agrupación]=ProductosPivot!FVH5)</f>
        <v>#VALUE!</v>
      </c>
      <c r="FVI6" s="68" t="e" cm="1" vm="1">
        <f t="array" ref="FVI6">_xlfn._xlws.FILTER(TablaProductos[Nombre producto],TablaProductos[Agrupación]=ProductosPivot!FVI5)</f>
        <v>#VALUE!</v>
      </c>
      <c r="FVJ6" s="68" t="e" cm="1" vm="1">
        <f t="array" ref="FVJ6">_xlfn._xlws.FILTER(TablaProductos[Nombre producto],TablaProductos[Agrupación]=ProductosPivot!FVJ5)</f>
        <v>#VALUE!</v>
      </c>
      <c r="FVK6" s="68" t="e" cm="1" vm="1">
        <f t="array" ref="FVK6">_xlfn._xlws.FILTER(TablaProductos[Nombre producto],TablaProductos[Agrupación]=ProductosPivot!FVK5)</f>
        <v>#VALUE!</v>
      </c>
      <c r="FVL6" s="68" t="e" cm="1" vm="1">
        <f t="array" ref="FVL6">_xlfn._xlws.FILTER(TablaProductos[Nombre producto],TablaProductos[Agrupación]=ProductosPivot!FVL5)</f>
        <v>#VALUE!</v>
      </c>
      <c r="FVM6" s="68" t="e" cm="1" vm="1">
        <f t="array" ref="FVM6">_xlfn._xlws.FILTER(TablaProductos[Nombre producto],TablaProductos[Agrupación]=ProductosPivot!FVM5)</f>
        <v>#VALUE!</v>
      </c>
      <c r="FVN6" s="68" t="e" cm="1" vm="1">
        <f t="array" ref="FVN6">_xlfn._xlws.FILTER(TablaProductos[Nombre producto],TablaProductos[Agrupación]=ProductosPivot!FVN5)</f>
        <v>#VALUE!</v>
      </c>
      <c r="FVO6" s="68" t="e" cm="1" vm="1">
        <f t="array" ref="FVO6">_xlfn._xlws.FILTER(TablaProductos[Nombre producto],TablaProductos[Agrupación]=ProductosPivot!FVO5)</f>
        <v>#VALUE!</v>
      </c>
      <c r="FVP6" s="68" t="e" cm="1" vm="1">
        <f t="array" ref="FVP6">_xlfn._xlws.FILTER(TablaProductos[Nombre producto],TablaProductos[Agrupación]=ProductosPivot!FVP5)</f>
        <v>#VALUE!</v>
      </c>
      <c r="FVQ6" s="68" t="e" cm="1" vm="1">
        <f t="array" ref="FVQ6">_xlfn._xlws.FILTER(TablaProductos[Nombre producto],TablaProductos[Agrupación]=ProductosPivot!FVQ5)</f>
        <v>#VALUE!</v>
      </c>
      <c r="FVR6" s="68" t="e" cm="1" vm="1">
        <f t="array" ref="FVR6">_xlfn._xlws.FILTER(TablaProductos[Nombre producto],TablaProductos[Agrupación]=ProductosPivot!FVR5)</f>
        <v>#VALUE!</v>
      </c>
      <c r="FVS6" s="68" t="e" cm="1" vm="1">
        <f t="array" ref="FVS6">_xlfn._xlws.FILTER(TablaProductos[Nombre producto],TablaProductos[Agrupación]=ProductosPivot!FVS5)</f>
        <v>#VALUE!</v>
      </c>
      <c r="FVT6" s="68" t="e" cm="1" vm="1">
        <f t="array" ref="FVT6">_xlfn._xlws.FILTER(TablaProductos[Nombre producto],TablaProductos[Agrupación]=ProductosPivot!FVT5)</f>
        <v>#VALUE!</v>
      </c>
      <c r="FVU6" s="68" t="e" cm="1" vm="1">
        <f t="array" ref="FVU6">_xlfn._xlws.FILTER(TablaProductos[Nombre producto],TablaProductos[Agrupación]=ProductosPivot!FVU5)</f>
        <v>#VALUE!</v>
      </c>
      <c r="FVV6" s="68" t="e" cm="1" vm="1">
        <f t="array" ref="FVV6">_xlfn._xlws.FILTER(TablaProductos[Nombre producto],TablaProductos[Agrupación]=ProductosPivot!FVV5)</f>
        <v>#VALUE!</v>
      </c>
      <c r="FVW6" s="68" t="e" cm="1" vm="1">
        <f t="array" ref="FVW6">_xlfn._xlws.FILTER(TablaProductos[Nombre producto],TablaProductos[Agrupación]=ProductosPivot!FVW5)</f>
        <v>#VALUE!</v>
      </c>
      <c r="FVX6" s="68" t="e" cm="1" vm="1">
        <f t="array" ref="FVX6">_xlfn._xlws.FILTER(TablaProductos[Nombre producto],TablaProductos[Agrupación]=ProductosPivot!FVX5)</f>
        <v>#VALUE!</v>
      </c>
      <c r="FVY6" s="68" t="e" cm="1" vm="1">
        <f t="array" ref="FVY6">_xlfn._xlws.FILTER(TablaProductos[Nombre producto],TablaProductos[Agrupación]=ProductosPivot!FVY5)</f>
        <v>#VALUE!</v>
      </c>
      <c r="FVZ6" s="68" t="e" cm="1" vm="1">
        <f t="array" ref="FVZ6">_xlfn._xlws.FILTER(TablaProductos[Nombre producto],TablaProductos[Agrupación]=ProductosPivot!FVZ5)</f>
        <v>#VALUE!</v>
      </c>
      <c r="FWA6" s="68" t="e" cm="1" vm="1">
        <f t="array" ref="FWA6">_xlfn._xlws.FILTER(TablaProductos[Nombre producto],TablaProductos[Agrupación]=ProductosPivot!FWA5)</f>
        <v>#VALUE!</v>
      </c>
      <c r="FWB6" s="68" t="e" cm="1" vm="1">
        <f t="array" ref="FWB6">_xlfn._xlws.FILTER(TablaProductos[Nombre producto],TablaProductos[Agrupación]=ProductosPivot!FWB5)</f>
        <v>#VALUE!</v>
      </c>
      <c r="FWC6" s="68" t="e" cm="1" vm="1">
        <f t="array" ref="FWC6">_xlfn._xlws.FILTER(TablaProductos[Nombre producto],TablaProductos[Agrupación]=ProductosPivot!FWC5)</f>
        <v>#VALUE!</v>
      </c>
      <c r="FWD6" s="68" t="e" cm="1" vm="1">
        <f t="array" ref="FWD6">_xlfn._xlws.FILTER(TablaProductos[Nombre producto],TablaProductos[Agrupación]=ProductosPivot!FWD5)</f>
        <v>#VALUE!</v>
      </c>
      <c r="FWE6" s="68" t="e" cm="1" vm="1">
        <f t="array" ref="FWE6">_xlfn._xlws.FILTER(TablaProductos[Nombre producto],TablaProductos[Agrupación]=ProductosPivot!FWE5)</f>
        <v>#VALUE!</v>
      </c>
      <c r="FWF6" s="68" t="e" cm="1" vm="1">
        <f t="array" ref="FWF6">_xlfn._xlws.FILTER(TablaProductos[Nombre producto],TablaProductos[Agrupación]=ProductosPivot!FWF5)</f>
        <v>#VALUE!</v>
      </c>
      <c r="FWG6" s="68" t="e" cm="1" vm="1">
        <f t="array" ref="FWG6">_xlfn._xlws.FILTER(TablaProductos[Nombre producto],TablaProductos[Agrupación]=ProductosPivot!FWG5)</f>
        <v>#VALUE!</v>
      </c>
      <c r="FWH6" s="68" t="e" cm="1" vm="1">
        <f t="array" ref="FWH6">_xlfn._xlws.FILTER(TablaProductos[Nombre producto],TablaProductos[Agrupación]=ProductosPivot!FWH5)</f>
        <v>#VALUE!</v>
      </c>
      <c r="FWI6" s="68" t="e" cm="1" vm="1">
        <f t="array" ref="FWI6">_xlfn._xlws.FILTER(TablaProductos[Nombre producto],TablaProductos[Agrupación]=ProductosPivot!FWI5)</f>
        <v>#VALUE!</v>
      </c>
      <c r="FWJ6" s="68" t="e" cm="1" vm="1">
        <f t="array" ref="FWJ6">_xlfn._xlws.FILTER(TablaProductos[Nombre producto],TablaProductos[Agrupación]=ProductosPivot!FWJ5)</f>
        <v>#VALUE!</v>
      </c>
      <c r="FWK6" s="68" t="e" cm="1" vm="1">
        <f t="array" ref="FWK6">_xlfn._xlws.FILTER(TablaProductos[Nombre producto],TablaProductos[Agrupación]=ProductosPivot!FWK5)</f>
        <v>#VALUE!</v>
      </c>
      <c r="FWL6" s="68" t="e" cm="1" vm="1">
        <f t="array" ref="FWL6">_xlfn._xlws.FILTER(TablaProductos[Nombre producto],TablaProductos[Agrupación]=ProductosPivot!FWL5)</f>
        <v>#VALUE!</v>
      </c>
      <c r="FWM6" s="68" t="e" cm="1" vm="1">
        <f t="array" ref="FWM6">_xlfn._xlws.FILTER(TablaProductos[Nombre producto],TablaProductos[Agrupación]=ProductosPivot!FWM5)</f>
        <v>#VALUE!</v>
      </c>
      <c r="FWN6" s="68" t="e" cm="1" vm="1">
        <f t="array" ref="FWN6">_xlfn._xlws.FILTER(TablaProductos[Nombre producto],TablaProductos[Agrupación]=ProductosPivot!FWN5)</f>
        <v>#VALUE!</v>
      </c>
      <c r="FWO6" s="68" t="e" cm="1" vm="1">
        <f t="array" ref="FWO6">_xlfn._xlws.FILTER(TablaProductos[Nombre producto],TablaProductos[Agrupación]=ProductosPivot!FWO5)</f>
        <v>#VALUE!</v>
      </c>
      <c r="FWP6" s="68" t="e" cm="1" vm="1">
        <f t="array" ref="FWP6">_xlfn._xlws.FILTER(TablaProductos[Nombre producto],TablaProductos[Agrupación]=ProductosPivot!FWP5)</f>
        <v>#VALUE!</v>
      </c>
      <c r="FWQ6" s="68" t="e" cm="1" vm="1">
        <f t="array" ref="FWQ6">_xlfn._xlws.FILTER(TablaProductos[Nombre producto],TablaProductos[Agrupación]=ProductosPivot!FWQ5)</f>
        <v>#VALUE!</v>
      </c>
      <c r="FWR6" s="68" t="e" cm="1" vm="1">
        <f t="array" ref="FWR6">_xlfn._xlws.FILTER(TablaProductos[Nombre producto],TablaProductos[Agrupación]=ProductosPivot!FWR5)</f>
        <v>#VALUE!</v>
      </c>
      <c r="FWS6" s="68" t="e" cm="1" vm="1">
        <f t="array" ref="FWS6">_xlfn._xlws.FILTER(TablaProductos[Nombre producto],TablaProductos[Agrupación]=ProductosPivot!FWS5)</f>
        <v>#VALUE!</v>
      </c>
      <c r="FWT6" s="68" t="e" cm="1" vm="1">
        <f t="array" ref="FWT6">_xlfn._xlws.FILTER(TablaProductos[Nombre producto],TablaProductos[Agrupación]=ProductosPivot!FWT5)</f>
        <v>#VALUE!</v>
      </c>
      <c r="FWU6" s="68" t="e" cm="1" vm="1">
        <f t="array" ref="FWU6">_xlfn._xlws.FILTER(TablaProductos[Nombre producto],TablaProductos[Agrupación]=ProductosPivot!FWU5)</f>
        <v>#VALUE!</v>
      </c>
      <c r="FWV6" s="68" t="e" cm="1" vm="1">
        <f t="array" ref="FWV6">_xlfn._xlws.FILTER(TablaProductos[Nombre producto],TablaProductos[Agrupación]=ProductosPivot!FWV5)</f>
        <v>#VALUE!</v>
      </c>
      <c r="FWW6" s="68" t="e" cm="1" vm="1">
        <f t="array" ref="FWW6">_xlfn._xlws.FILTER(TablaProductos[Nombre producto],TablaProductos[Agrupación]=ProductosPivot!FWW5)</f>
        <v>#VALUE!</v>
      </c>
      <c r="FWX6" s="68" t="e" cm="1" vm="1">
        <f t="array" ref="FWX6">_xlfn._xlws.FILTER(TablaProductos[Nombre producto],TablaProductos[Agrupación]=ProductosPivot!FWX5)</f>
        <v>#VALUE!</v>
      </c>
      <c r="FWY6" s="68" t="e" cm="1" vm="1">
        <f t="array" ref="FWY6">_xlfn._xlws.FILTER(TablaProductos[Nombre producto],TablaProductos[Agrupación]=ProductosPivot!FWY5)</f>
        <v>#VALUE!</v>
      </c>
      <c r="FWZ6" s="68" t="e" cm="1" vm="1">
        <f t="array" ref="FWZ6">_xlfn._xlws.FILTER(TablaProductos[Nombre producto],TablaProductos[Agrupación]=ProductosPivot!FWZ5)</f>
        <v>#VALUE!</v>
      </c>
      <c r="FXA6" s="68" t="e" cm="1" vm="1">
        <f t="array" ref="FXA6">_xlfn._xlws.FILTER(TablaProductos[Nombre producto],TablaProductos[Agrupación]=ProductosPivot!FXA5)</f>
        <v>#VALUE!</v>
      </c>
      <c r="FXB6" s="68" t="e" cm="1" vm="1">
        <f t="array" ref="FXB6">_xlfn._xlws.FILTER(TablaProductos[Nombre producto],TablaProductos[Agrupación]=ProductosPivot!FXB5)</f>
        <v>#VALUE!</v>
      </c>
      <c r="FXC6" s="68" t="e" cm="1" vm="1">
        <f t="array" ref="FXC6">_xlfn._xlws.FILTER(TablaProductos[Nombre producto],TablaProductos[Agrupación]=ProductosPivot!FXC5)</f>
        <v>#VALUE!</v>
      </c>
      <c r="FXD6" s="68" t="e" cm="1" vm="1">
        <f t="array" ref="FXD6">_xlfn._xlws.FILTER(TablaProductos[Nombre producto],TablaProductos[Agrupación]=ProductosPivot!FXD5)</f>
        <v>#VALUE!</v>
      </c>
      <c r="FXE6" s="68" t="e" cm="1" vm="1">
        <f t="array" ref="FXE6">_xlfn._xlws.FILTER(TablaProductos[Nombre producto],TablaProductos[Agrupación]=ProductosPivot!FXE5)</f>
        <v>#VALUE!</v>
      </c>
      <c r="FXF6" s="68" t="e" cm="1" vm="1">
        <f t="array" ref="FXF6">_xlfn._xlws.FILTER(TablaProductos[Nombre producto],TablaProductos[Agrupación]=ProductosPivot!FXF5)</f>
        <v>#VALUE!</v>
      </c>
      <c r="FXG6" s="68" t="e" cm="1" vm="1">
        <f t="array" ref="FXG6">_xlfn._xlws.FILTER(TablaProductos[Nombre producto],TablaProductos[Agrupación]=ProductosPivot!FXG5)</f>
        <v>#VALUE!</v>
      </c>
      <c r="FXH6" s="68" t="e" cm="1" vm="1">
        <f t="array" ref="FXH6">_xlfn._xlws.FILTER(TablaProductos[Nombre producto],TablaProductos[Agrupación]=ProductosPivot!FXH5)</f>
        <v>#VALUE!</v>
      </c>
      <c r="FXI6" s="68" t="e" cm="1" vm="1">
        <f t="array" ref="FXI6">_xlfn._xlws.FILTER(TablaProductos[Nombre producto],TablaProductos[Agrupación]=ProductosPivot!FXI5)</f>
        <v>#VALUE!</v>
      </c>
      <c r="FXJ6" s="68" t="e" cm="1" vm="1">
        <f t="array" ref="FXJ6">_xlfn._xlws.FILTER(TablaProductos[Nombre producto],TablaProductos[Agrupación]=ProductosPivot!FXJ5)</f>
        <v>#VALUE!</v>
      </c>
      <c r="FXK6" s="68" t="e" cm="1" vm="1">
        <f t="array" ref="FXK6">_xlfn._xlws.FILTER(TablaProductos[Nombre producto],TablaProductos[Agrupación]=ProductosPivot!FXK5)</f>
        <v>#VALUE!</v>
      </c>
      <c r="FXL6" s="68" t="e" cm="1" vm="1">
        <f t="array" ref="FXL6">_xlfn._xlws.FILTER(TablaProductos[Nombre producto],TablaProductos[Agrupación]=ProductosPivot!FXL5)</f>
        <v>#VALUE!</v>
      </c>
      <c r="FXM6" s="68" t="e" cm="1" vm="1">
        <f t="array" ref="FXM6">_xlfn._xlws.FILTER(TablaProductos[Nombre producto],TablaProductos[Agrupación]=ProductosPivot!FXM5)</f>
        <v>#VALUE!</v>
      </c>
      <c r="FXN6" s="68" t="e" cm="1" vm="1">
        <f t="array" ref="FXN6">_xlfn._xlws.FILTER(TablaProductos[Nombre producto],TablaProductos[Agrupación]=ProductosPivot!FXN5)</f>
        <v>#VALUE!</v>
      </c>
      <c r="FXO6" s="68" t="e" cm="1" vm="1">
        <f t="array" ref="FXO6">_xlfn._xlws.FILTER(TablaProductos[Nombre producto],TablaProductos[Agrupación]=ProductosPivot!FXO5)</f>
        <v>#VALUE!</v>
      </c>
      <c r="FXP6" s="68" t="e" cm="1" vm="1">
        <f t="array" ref="FXP6">_xlfn._xlws.FILTER(TablaProductos[Nombre producto],TablaProductos[Agrupación]=ProductosPivot!FXP5)</f>
        <v>#VALUE!</v>
      </c>
      <c r="FXQ6" s="68" t="e" cm="1" vm="1">
        <f t="array" ref="FXQ6">_xlfn._xlws.FILTER(TablaProductos[Nombre producto],TablaProductos[Agrupación]=ProductosPivot!FXQ5)</f>
        <v>#VALUE!</v>
      </c>
      <c r="FXR6" s="68" t="e" cm="1" vm="1">
        <f t="array" ref="FXR6">_xlfn._xlws.FILTER(TablaProductos[Nombre producto],TablaProductos[Agrupación]=ProductosPivot!FXR5)</f>
        <v>#VALUE!</v>
      </c>
      <c r="FXS6" s="68" t="e" cm="1" vm="1">
        <f t="array" ref="FXS6">_xlfn._xlws.FILTER(TablaProductos[Nombre producto],TablaProductos[Agrupación]=ProductosPivot!FXS5)</f>
        <v>#VALUE!</v>
      </c>
      <c r="FXT6" s="68" t="e" cm="1" vm="1">
        <f t="array" ref="FXT6">_xlfn._xlws.FILTER(TablaProductos[Nombre producto],TablaProductos[Agrupación]=ProductosPivot!FXT5)</f>
        <v>#VALUE!</v>
      </c>
      <c r="FXU6" s="68" t="e" cm="1" vm="1">
        <f t="array" ref="FXU6">_xlfn._xlws.FILTER(TablaProductos[Nombre producto],TablaProductos[Agrupación]=ProductosPivot!FXU5)</f>
        <v>#VALUE!</v>
      </c>
      <c r="FXV6" s="68" t="e" cm="1" vm="1">
        <f t="array" ref="FXV6">_xlfn._xlws.FILTER(TablaProductos[Nombre producto],TablaProductos[Agrupación]=ProductosPivot!FXV5)</f>
        <v>#VALUE!</v>
      </c>
      <c r="FXW6" s="68" t="e" cm="1" vm="1">
        <f t="array" ref="FXW6">_xlfn._xlws.FILTER(TablaProductos[Nombre producto],TablaProductos[Agrupación]=ProductosPivot!FXW5)</f>
        <v>#VALUE!</v>
      </c>
      <c r="FXX6" s="68" t="e" cm="1" vm="1">
        <f t="array" ref="FXX6">_xlfn._xlws.FILTER(TablaProductos[Nombre producto],TablaProductos[Agrupación]=ProductosPivot!FXX5)</f>
        <v>#VALUE!</v>
      </c>
      <c r="FXY6" s="68" t="e" cm="1" vm="1">
        <f t="array" ref="FXY6">_xlfn._xlws.FILTER(TablaProductos[Nombre producto],TablaProductos[Agrupación]=ProductosPivot!FXY5)</f>
        <v>#VALUE!</v>
      </c>
      <c r="FXZ6" s="68" t="e" cm="1" vm="1">
        <f t="array" ref="FXZ6">_xlfn._xlws.FILTER(TablaProductos[Nombre producto],TablaProductos[Agrupación]=ProductosPivot!FXZ5)</f>
        <v>#VALUE!</v>
      </c>
      <c r="FYA6" s="68" t="e" cm="1" vm="1">
        <f t="array" ref="FYA6">_xlfn._xlws.FILTER(TablaProductos[Nombre producto],TablaProductos[Agrupación]=ProductosPivot!FYA5)</f>
        <v>#VALUE!</v>
      </c>
      <c r="FYB6" s="68" t="e" cm="1" vm="1">
        <f t="array" ref="FYB6">_xlfn._xlws.FILTER(TablaProductos[Nombre producto],TablaProductos[Agrupación]=ProductosPivot!FYB5)</f>
        <v>#VALUE!</v>
      </c>
      <c r="FYC6" s="68" t="e" cm="1" vm="1">
        <f t="array" ref="FYC6">_xlfn._xlws.FILTER(TablaProductos[Nombre producto],TablaProductos[Agrupación]=ProductosPivot!FYC5)</f>
        <v>#VALUE!</v>
      </c>
      <c r="FYD6" s="68" t="e" cm="1" vm="1">
        <f t="array" ref="FYD6">_xlfn._xlws.FILTER(TablaProductos[Nombre producto],TablaProductos[Agrupación]=ProductosPivot!FYD5)</f>
        <v>#VALUE!</v>
      </c>
      <c r="FYE6" s="68" t="e" cm="1" vm="1">
        <f t="array" ref="FYE6">_xlfn._xlws.FILTER(TablaProductos[Nombre producto],TablaProductos[Agrupación]=ProductosPivot!FYE5)</f>
        <v>#VALUE!</v>
      </c>
      <c r="FYF6" s="68" t="e" cm="1" vm="1">
        <f t="array" ref="FYF6">_xlfn._xlws.FILTER(TablaProductos[Nombre producto],TablaProductos[Agrupación]=ProductosPivot!FYF5)</f>
        <v>#VALUE!</v>
      </c>
      <c r="FYG6" s="68" t="e" cm="1" vm="1">
        <f t="array" ref="FYG6">_xlfn._xlws.FILTER(TablaProductos[Nombre producto],TablaProductos[Agrupación]=ProductosPivot!FYG5)</f>
        <v>#VALUE!</v>
      </c>
      <c r="FYH6" s="68" t="e" cm="1" vm="1">
        <f t="array" ref="FYH6">_xlfn._xlws.FILTER(TablaProductos[Nombre producto],TablaProductos[Agrupación]=ProductosPivot!FYH5)</f>
        <v>#VALUE!</v>
      </c>
      <c r="FYI6" s="68" t="e" cm="1" vm="1">
        <f t="array" ref="FYI6">_xlfn._xlws.FILTER(TablaProductos[Nombre producto],TablaProductos[Agrupación]=ProductosPivot!FYI5)</f>
        <v>#VALUE!</v>
      </c>
      <c r="FYJ6" s="68" t="e" cm="1" vm="1">
        <f t="array" ref="FYJ6">_xlfn._xlws.FILTER(TablaProductos[Nombre producto],TablaProductos[Agrupación]=ProductosPivot!FYJ5)</f>
        <v>#VALUE!</v>
      </c>
      <c r="FYK6" s="68" t="e" cm="1" vm="1">
        <f t="array" ref="FYK6">_xlfn._xlws.FILTER(TablaProductos[Nombre producto],TablaProductos[Agrupación]=ProductosPivot!FYK5)</f>
        <v>#VALUE!</v>
      </c>
      <c r="FYL6" s="68" t="e" cm="1" vm="1">
        <f t="array" ref="FYL6">_xlfn._xlws.FILTER(TablaProductos[Nombre producto],TablaProductos[Agrupación]=ProductosPivot!FYL5)</f>
        <v>#VALUE!</v>
      </c>
      <c r="FYM6" s="68" t="e" cm="1" vm="1">
        <f t="array" ref="FYM6">_xlfn._xlws.FILTER(TablaProductos[Nombre producto],TablaProductos[Agrupación]=ProductosPivot!FYM5)</f>
        <v>#VALUE!</v>
      </c>
      <c r="FYN6" s="68" t="e" cm="1" vm="1">
        <f t="array" ref="FYN6">_xlfn._xlws.FILTER(TablaProductos[Nombre producto],TablaProductos[Agrupación]=ProductosPivot!FYN5)</f>
        <v>#VALUE!</v>
      </c>
      <c r="FYO6" s="68" t="e" cm="1" vm="1">
        <f t="array" ref="FYO6">_xlfn._xlws.FILTER(TablaProductos[Nombre producto],TablaProductos[Agrupación]=ProductosPivot!FYO5)</f>
        <v>#VALUE!</v>
      </c>
      <c r="FYP6" s="68" t="e" cm="1" vm="1">
        <f t="array" ref="FYP6">_xlfn._xlws.FILTER(TablaProductos[Nombre producto],TablaProductos[Agrupación]=ProductosPivot!FYP5)</f>
        <v>#VALUE!</v>
      </c>
      <c r="FYQ6" s="68" t="e" cm="1" vm="1">
        <f t="array" ref="FYQ6">_xlfn._xlws.FILTER(TablaProductos[Nombre producto],TablaProductos[Agrupación]=ProductosPivot!FYQ5)</f>
        <v>#VALUE!</v>
      </c>
      <c r="FYR6" s="68" t="e" cm="1" vm="1">
        <f t="array" ref="FYR6">_xlfn._xlws.FILTER(TablaProductos[Nombre producto],TablaProductos[Agrupación]=ProductosPivot!FYR5)</f>
        <v>#VALUE!</v>
      </c>
      <c r="FYS6" s="68" t="e" cm="1" vm="1">
        <f t="array" ref="FYS6">_xlfn._xlws.FILTER(TablaProductos[Nombre producto],TablaProductos[Agrupación]=ProductosPivot!FYS5)</f>
        <v>#VALUE!</v>
      </c>
      <c r="FYT6" s="68" t="e" cm="1" vm="1">
        <f t="array" ref="FYT6">_xlfn._xlws.FILTER(TablaProductos[Nombre producto],TablaProductos[Agrupación]=ProductosPivot!FYT5)</f>
        <v>#VALUE!</v>
      </c>
      <c r="FYU6" s="68" t="e" cm="1" vm="1">
        <f t="array" ref="FYU6">_xlfn._xlws.FILTER(TablaProductos[Nombre producto],TablaProductos[Agrupación]=ProductosPivot!FYU5)</f>
        <v>#VALUE!</v>
      </c>
      <c r="FYV6" s="68" t="e" cm="1" vm="1">
        <f t="array" ref="FYV6">_xlfn._xlws.FILTER(TablaProductos[Nombre producto],TablaProductos[Agrupación]=ProductosPivot!FYV5)</f>
        <v>#VALUE!</v>
      </c>
      <c r="FYW6" s="68" t="e" cm="1" vm="1">
        <f t="array" ref="FYW6">_xlfn._xlws.FILTER(TablaProductos[Nombre producto],TablaProductos[Agrupación]=ProductosPivot!FYW5)</f>
        <v>#VALUE!</v>
      </c>
      <c r="FYX6" s="68" t="e" cm="1" vm="1">
        <f t="array" ref="FYX6">_xlfn._xlws.FILTER(TablaProductos[Nombre producto],TablaProductos[Agrupación]=ProductosPivot!FYX5)</f>
        <v>#VALUE!</v>
      </c>
      <c r="FYY6" s="68" t="e" cm="1" vm="1">
        <f t="array" ref="FYY6">_xlfn._xlws.FILTER(TablaProductos[Nombre producto],TablaProductos[Agrupación]=ProductosPivot!FYY5)</f>
        <v>#VALUE!</v>
      </c>
      <c r="FYZ6" s="68" t="e" cm="1" vm="1">
        <f t="array" ref="FYZ6">_xlfn._xlws.FILTER(TablaProductos[Nombre producto],TablaProductos[Agrupación]=ProductosPivot!FYZ5)</f>
        <v>#VALUE!</v>
      </c>
      <c r="FZA6" s="68" t="e" cm="1" vm="1">
        <f t="array" ref="FZA6">_xlfn._xlws.FILTER(TablaProductos[Nombre producto],TablaProductos[Agrupación]=ProductosPivot!FZA5)</f>
        <v>#VALUE!</v>
      </c>
      <c r="FZB6" s="68" t="e" cm="1" vm="1">
        <f t="array" ref="FZB6">_xlfn._xlws.FILTER(TablaProductos[Nombre producto],TablaProductos[Agrupación]=ProductosPivot!FZB5)</f>
        <v>#VALUE!</v>
      </c>
      <c r="FZC6" s="68" t="e" cm="1" vm="1">
        <f t="array" ref="FZC6">_xlfn._xlws.FILTER(TablaProductos[Nombre producto],TablaProductos[Agrupación]=ProductosPivot!FZC5)</f>
        <v>#VALUE!</v>
      </c>
      <c r="FZD6" s="68" t="e" cm="1" vm="1">
        <f t="array" ref="FZD6">_xlfn._xlws.FILTER(TablaProductos[Nombre producto],TablaProductos[Agrupación]=ProductosPivot!FZD5)</f>
        <v>#VALUE!</v>
      </c>
      <c r="FZE6" s="68" t="e" cm="1" vm="1">
        <f t="array" ref="FZE6">_xlfn._xlws.FILTER(TablaProductos[Nombre producto],TablaProductos[Agrupación]=ProductosPivot!FZE5)</f>
        <v>#VALUE!</v>
      </c>
      <c r="FZF6" s="68" t="e" cm="1" vm="1">
        <f t="array" ref="FZF6">_xlfn._xlws.FILTER(TablaProductos[Nombre producto],TablaProductos[Agrupación]=ProductosPivot!FZF5)</f>
        <v>#VALUE!</v>
      </c>
      <c r="FZG6" s="68" t="e" cm="1" vm="1">
        <f t="array" ref="FZG6">_xlfn._xlws.FILTER(TablaProductos[Nombre producto],TablaProductos[Agrupación]=ProductosPivot!FZG5)</f>
        <v>#VALUE!</v>
      </c>
      <c r="FZH6" s="68" t="e" cm="1" vm="1">
        <f t="array" ref="FZH6">_xlfn._xlws.FILTER(TablaProductos[Nombre producto],TablaProductos[Agrupación]=ProductosPivot!FZH5)</f>
        <v>#VALUE!</v>
      </c>
      <c r="FZI6" s="68" t="e" cm="1" vm="1">
        <f t="array" ref="FZI6">_xlfn._xlws.FILTER(TablaProductos[Nombre producto],TablaProductos[Agrupación]=ProductosPivot!FZI5)</f>
        <v>#VALUE!</v>
      </c>
      <c r="FZJ6" s="68" t="e" cm="1" vm="1">
        <f t="array" ref="FZJ6">_xlfn._xlws.FILTER(TablaProductos[Nombre producto],TablaProductos[Agrupación]=ProductosPivot!FZJ5)</f>
        <v>#VALUE!</v>
      </c>
      <c r="FZK6" s="68" t="e" cm="1" vm="1">
        <f t="array" ref="FZK6">_xlfn._xlws.FILTER(TablaProductos[Nombre producto],TablaProductos[Agrupación]=ProductosPivot!FZK5)</f>
        <v>#VALUE!</v>
      </c>
      <c r="FZL6" s="68" t="e" cm="1" vm="1">
        <f t="array" ref="FZL6">_xlfn._xlws.FILTER(TablaProductos[Nombre producto],TablaProductos[Agrupación]=ProductosPivot!FZL5)</f>
        <v>#VALUE!</v>
      </c>
      <c r="FZM6" s="68" t="e" cm="1" vm="1">
        <f t="array" ref="FZM6">_xlfn._xlws.FILTER(TablaProductos[Nombre producto],TablaProductos[Agrupación]=ProductosPivot!FZM5)</f>
        <v>#VALUE!</v>
      </c>
      <c r="FZN6" s="68" t="e" cm="1" vm="1">
        <f t="array" ref="FZN6">_xlfn._xlws.FILTER(TablaProductos[Nombre producto],TablaProductos[Agrupación]=ProductosPivot!FZN5)</f>
        <v>#VALUE!</v>
      </c>
      <c r="FZO6" s="68" t="e" cm="1" vm="1">
        <f t="array" ref="FZO6">_xlfn._xlws.FILTER(TablaProductos[Nombre producto],TablaProductos[Agrupación]=ProductosPivot!FZO5)</f>
        <v>#VALUE!</v>
      </c>
      <c r="FZP6" s="68" t="e" cm="1" vm="1">
        <f t="array" ref="FZP6">_xlfn._xlws.FILTER(TablaProductos[Nombre producto],TablaProductos[Agrupación]=ProductosPivot!FZP5)</f>
        <v>#VALUE!</v>
      </c>
      <c r="FZQ6" s="68" t="e" cm="1" vm="1">
        <f t="array" ref="FZQ6">_xlfn._xlws.FILTER(TablaProductos[Nombre producto],TablaProductos[Agrupación]=ProductosPivot!FZQ5)</f>
        <v>#VALUE!</v>
      </c>
      <c r="FZR6" s="68" t="e" cm="1" vm="1">
        <f t="array" ref="FZR6">_xlfn._xlws.FILTER(TablaProductos[Nombre producto],TablaProductos[Agrupación]=ProductosPivot!FZR5)</f>
        <v>#VALUE!</v>
      </c>
      <c r="FZS6" s="68" t="e" cm="1" vm="1">
        <f t="array" ref="FZS6">_xlfn._xlws.FILTER(TablaProductos[Nombre producto],TablaProductos[Agrupación]=ProductosPivot!FZS5)</f>
        <v>#VALUE!</v>
      </c>
      <c r="FZT6" s="68" t="e" cm="1" vm="1">
        <f t="array" ref="FZT6">_xlfn._xlws.FILTER(TablaProductos[Nombre producto],TablaProductos[Agrupación]=ProductosPivot!FZT5)</f>
        <v>#VALUE!</v>
      </c>
      <c r="FZU6" s="68" t="e" cm="1" vm="1">
        <f t="array" ref="FZU6">_xlfn._xlws.FILTER(TablaProductos[Nombre producto],TablaProductos[Agrupación]=ProductosPivot!FZU5)</f>
        <v>#VALUE!</v>
      </c>
      <c r="FZV6" s="68" t="e" cm="1" vm="1">
        <f t="array" ref="FZV6">_xlfn._xlws.FILTER(TablaProductos[Nombre producto],TablaProductos[Agrupación]=ProductosPivot!FZV5)</f>
        <v>#VALUE!</v>
      </c>
      <c r="FZW6" s="68" t="e" cm="1" vm="1">
        <f t="array" ref="FZW6">_xlfn._xlws.FILTER(TablaProductos[Nombre producto],TablaProductos[Agrupación]=ProductosPivot!FZW5)</f>
        <v>#VALUE!</v>
      </c>
      <c r="FZX6" s="68" t="e" cm="1" vm="1">
        <f t="array" ref="FZX6">_xlfn._xlws.FILTER(TablaProductos[Nombre producto],TablaProductos[Agrupación]=ProductosPivot!FZX5)</f>
        <v>#VALUE!</v>
      </c>
      <c r="FZY6" s="68" t="e" cm="1" vm="1">
        <f t="array" ref="FZY6">_xlfn._xlws.FILTER(TablaProductos[Nombre producto],TablaProductos[Agrupación]=ProductosPivot!FZY5)</f>
        <v>#VALUE!</v>
      </c>
      <c r="FZZ6" s="68" t="e" cm="1" vm="1">
        <f t="array" ref="FZZ6">_xlfn._xlws.FILTER(TablaProductos[Nombre producto],TablaProductos[Agrupación]=ProductosPivot!FZZ5)</f>
        <v>#VALUE!</v>
      </c>
      <c r="GAA6" s="68" t="e" cm="1" vm="1">
        <f t="array" ref="GAA6">_xlfn._xlws.FILTER(TablaProductos[Nombre producto],TablaProductos[Agrupación]=ProductosPivot!GAA5)</f>
        <v>#VALUE!</v>
      </c>
      <c r="GAB6" s="68" t="e" cm="1" vm="1">
        <f t="array" ref="GAB6">_xlfn._xlws.FILTER(TablaProductos[Nombre producto],TablaProductos[Agrupación]=ProductosPivot!GAB5)</f>
        <v>#VALUE!</v>
      </c>
      <c r="GAC6" s="68" t="e" cm="1" vm="1">
        <f t="array" ref="GAC6">_xlfn._xlws.FILTER(TablaProductos[Nombre producto],TablaProductos[Agrupación]=ProductosPivot!GAC5)</f>
        <v>#VALUE!</v>
      </c>
      <c r="GAD6" s="68" t="e" cm="1" vm="1">
        <f t="array" ref="GAD6">_xlfn._xlws.FILTER(TablaProductos[Nombre producto],TablaProductos[Agrupación]=ProductosPivot!GAD5)</f>
        <v>#VALUE!</v>
      </c>
      <c r="GAE6" s="68" t="e" cm="1" vm="1">
        <f t="array" ref="GAE6">_xlfn._xlws.FILTER(TablaProductos[Nombre producto],TablaProductos[Agrupación]=ProductosPivot!GAE5)</f>
        <v>#VALUE!</v>
      </c>
      <c r="GAF6" s="68" t="e" cm="1" vm="1">
        <f t="array" ref="GAF6">_xlfn._xlws.FILTER(TablaProductos[Nombre producto],TablaProductos[Agrupación]=ProductosPivot!GAF5)</f>
        <v>#VALUE!</v>
      </c>
      <c r="GAG6" s="68" t="e" cm="1" vm="1">
        <f t="array" ref="GAG6">_xlfn._xlws.FILTER(TablaProductos[Nombre producto],TablaProductos[Agrupación]=ProductosPivot!GAG5)</f>
        <v>#VALUE!</v>
      </c>
      <c r="GAH6" s="68" t="e" cm="1" vm="1">
        <f t="array" ref="GAH6">_xlfn._xlws.FILTER(TablaProductos[Nombre producto],TablaProductos[Agrupación]=ProductosPivot!GAH5)</f>
        <v>#VALUE!</v>
      </c>
      <c r="GAI6" s="68" t="e" cm="1" vm="1">
        <f t="array" ref="GAI6">_xlfn._xlws.FILTER(TablaProductos[Nombre producto],TablaProductos[Agrupación]=ProductosPivot!GAI5)</f>
        <v>#VALUE!</v>
      </c>
      <c r="GAJ6" s="68" t="e" cm="1" vm="1">
        <f t="array" ref="GAJ6">_xlfn._xlws.FILTER(TablaProductos[Nombre producto],TablaProductos[Agrupación]=ProductosPivot!GAJ5)</f>
        <v>#VALUE!</v>
      </c>
      <c r="GAK6" s="68" t="e" cm="1" vm="1">
        <f t="array" ref="GAK6">_xlfn._xlws.FILTER(TablaProductos[Nombre producto],TablaProductos[Agrupación]=ProductosPivot!GAK5)</f>
        <v>#VALUE!</v>
      </c>
      <c r="GAL6" s="68" t="e" cm="1" vm="1">
        <f t="array" ref="GAL6">_xlfn._xlws.FILTER(TablaProductos[Nombre producto],TablaProductos[Agrupación]=ProductosPivot!GAL5)</f>
        <v>#VALUE!</v>
      </c>
      <c r="GAM6" s="68" t="e" cm="1" vm="1">
        <f t="array" ref="GAM6">_xlfn._xlws.FILTER(TablaProductos[Nombre producto],TablaProductos[Agrupación]=ProductosPivot!GAM5)</f>
        <v>#VALUE!</v>
      </c>
      <c r="GAN6" s="68" t="e" cm="1" vm="1">
        <f t="array" ref="GAN6">_xlfn._xlws.FILTER(TablaProductos[Nombre producto],TablaProductos[Agrupación]=ProductosPivot!GAN5)</f>
        <v>#VALUE!</v>
      </c>
      <c r="GAO6" s="68" t="e" cm="1" vm="1">
        <f t="array" ref="GAO6">_xlfn._xlws.FILTER(TablaProductos[Nombre producto],TablaProductos[Agrupación]=ProductosPivot!GAO5)</f>
        <v>#VALUE!</v>
      </c>
      <c r="GAP6" s="68" t="e" cm="1" vm="1">
        <f t="array" ref="GAP6">_xlfn._xlws.FILTER(TablaProductos[Nombre producto],TablaProductos[Agrupación]=ProductosPivot!GAP5)</f>
        <v>#VALUE!</v>
      </c>
      <c r="GAQ6" s="68" t="e" cm="1" vm="1">
        <f t="array" ref="GAQ6">_xlfn._xlws.FILTER(TablaProductos[Nombre producto],TablaProductos[Agrupación]=ProductosPivot!GAQ5)</f>
        <v>#VALUE!</v>
      </c>
      <c r="GAR6" s="68" t="e" cm="1" vm="1">
        <f t="array" ref="GAR6">_xlfn._xlws.FILTER(TablaProductos[Nombre producto],TablaProductos[Agrupación]=ProductosPivot!GAR5)</f>
        <v>#VALUE!</v>
      </c>
      <c r="GAS6" s="68" t="e" cm="1" vm="1">
        <f t="array" ref="GAS6">_xlfn._xlws.FILTER(TablaProductos[Nombre producto],TablaProductos[Agrupación]=ProductosPivot!GAS5)</f>
        <v>#VALUE!</v>
      </c>
      <c r="GAT6" s="68" t="e" cm="1" vm="1">
        <f t="array" ref="GAT6">_xlfn._xlws.FILTER(TablaProductos[Nombre producto],TablaProductos[Agrupación]=ProductosPivot!GAT5)</f>
        <v>#VALUE!</v>
      </c>
      <c r="GAU6" s="68" t="e" cm="1" vm="1">
        <f t="array" ref="GAU6">_xlfn._xlws.FILTER(TablaProductos[Nombre producto],TablaProductos[Agrupación]=ProductosPivot!GAU5)</f>
        <v>#VALUE!</v>
      </c>
      <c r="GAV6" s="68" t="e" cm="1" vm="1">
        <f t="array" ref="GAV6">_xlfn._xlws.FILTER(TablaProductos[Nombre producto],TablaProductos[Agrupación]=ProductosPivot!GAV5)</f>
        <v>#VALUE!</v>
      </c>
      <c r="GAW6" s="68" t="e" cm="1" vm="1">
        <f t="array" ref="GAW6">_xlfn._xlws.FILTER(TablaProductos[Nombre producto],TablaProductos[Agrupación]=ProductosPivot!GAW5)</f>
        <v>#VALUE!</v>
      </c>
      <c r="GAX6" s="68" t="e" cm="1" vm="1">
        <f t="array" ref="GAX6">_xlfn._xlws.FILTER(TablaProductos[Nombre producto],TablaProductos[Agrupación]=ProductosPivot!GAX5)</f>
        <v>#VALUE!</v>
      </c>
      <c r="GAY6" s="68" t="e" cm="1" vm="1">
        <f t="array" ref="GAY6">_xlfn._xlws.FILTER(TablaProductos[Nombre producto],TablaProductos[Agrupación]=ProductosPivot!GAY5)</f>
        <v>#VALUE!</v>
      </c>
      <c r="GAZ6" s="68" t="e" cm="1" vm="1">
        <f t="array" ref="GAZ6">_xlfn._xlws.FILTER(TablaProductos[Nombre producto],TablaProductos[Agrupación]=ProductosPivot!GAZ5)</f>
        <v>#VALUE!</v>
      </c>
      <c r="GBA6" s="68" t="e" cm="1" vm="1">
        <f t="array" ref="GBA6">_xlfn._xlws.FILTER(TablaProductos[Nombre producto],TablaProductos[Agrupación]=ProductosPivot!GBA5)</f>
        <v>#VALUE!</v>
      </c>
      <c r="GBB6" s="68" t="e" cm="1" vm="1">
        <f t="array" ref="GBB6">_xlfn._xlws.FILTER(TablaProductos[Nombre producto],TablaProductos[Agrupación]=ProductosPivot!GBB5)</f>
        <v>#VALUE!</v>
      </c>
      <c r="GBC6" s="68" t="e" cm="1" vm="1">
        <f t="array" ref="GBC6">_xlfn._xlws.FILTER(TablaProductos[Nombre producto],TablaProductos[Agrupación]=ProductosPivot!GBC5)</f>
        <v>#VALUE!</v>
      </c>
      <c r="GBD6" s="68" t="e" cm="1" vm="1">
        <f t="array" ref="GBD6">_xlfn._xlws.FILTER(TablaProductos[Nombre producto],TablaProductos[Agrupación]=ProductosPivot!GBD5)</f>
        <v>#VALUE!</v>
      </c>
      <c r="GBE6" s="68" t="e" cm="1" vm="1">
        <f t="array" ref="GBE6">_xlfn._xlws.FILTER(TablaProductos[Nombre producto],TablaProductos[Agrupación]=ProductosPivot!GBE5)</f>
        <v>#VALUE!</v>
      </c>
      <c r="GBF6" s="68" t="e" cm="1" vm="1">
        <f t="array" ref="GBF6">_xlfn._xlws.FILTER(TablaProductos[Nombre producto],TablaProductos[Agrupación]=ProductosPivot!GBF5)</f>
        <v>#VALUE!</v>
      </c>
      <c r="GBG6" s="68" t="e" cm="1" vm="1">
        <f t="array" ref="GBG6">_xlfn._xlws.FILTER(TablaProductos[Nombre producto],TablaProductos[Agrupación]=ProductosPivot!GBG5)</f>
        <v>#VALUE!</v>
      </c>
      <c r="GBH6" s="68" t="e" cm="1" vm="1">
        <f t="array" ref="GBH6">_xlfn._xlws.FILTER(TablaProductos[Nombre producto],TablaProductos[Agrupación]=ProductosPivot!GBH5)</f>
        <v>#VALUE!</v>
      </c>
      <c r="GBI6" s="68" t="e" cm="1" vm="1">
        <f t="array" ref="GBI6">_xlfn._xlws.FILTER(TablaProductos[Nombre producto],TablaProductos[Agrupación]=ProductosPivot!GBI5)</f>
        <v>#VALUE!</v>
      </c>
      <c r="GBJ6" s="68" t="e" cm="1" vm="1">
        <f t="array" ref="GBJ6">_xlfn._xlws.FILTER(TablaProductos[Nombre producto],TablaProductos[Agrupación]=ProductosPivot!GBJ5)</f>
        <v>#VALUE!</v>
      </c>
      <c r="GBK6" s="68" t="e" cm="1" vm="1">
        <f t="array" ref="GBK6">_xlfn._xlws.FILTER(TablaProductos[Nombre producto],TablaProductos[Agrupación]=ProductosPivot!GBK5)</f>
        <v>#VALUE!</v>
      </c>
      <c r="GBL6" s="68" t="e" cm="1" vm="1">
        <f t="array" ref="GBL6">_xlfn._xlws.FILTER(TablaProductos[Nombre producto],TablaProductos[Agrupación]=ProductosPivot!GBL5)</f>
        <v>#VALUE!</v>
      </c>
      <c r="GBM6" s="68" t="e" cm="1" vm="1">
        <f t="array" ref="GBM6">_xlfn._xlws.FILTER(TablaProductos[Nombre producto],TablaProductos[Agrupación]=ProductosPivot!GBM5)</f>
        <v>#VALUE!</v>
      </c>
      <c r="GBN6" s="68" t="e" cm="1" vm="1">
        <f t="array" ref="GBN6">_xlfn._xlws.FILTER(TablaProductos[Nombre producto],TablaProductos[Agrupación]=ProductosPivot!GBN5)</f>
        <v>#VALUE!</v>
      </c>
      <c r="GBO6" s="68" t="e" cm="1" vm="1">
        <f t="array" ref="GBO6">_xlfn._xlws.FILTER(TablaProductos[Nombre producto],TablaProductos[Agrupación]=ProductosPivot!GBO5)</f>
        <v>#VALUE!</v>
      </c>
      <c r="GBP6" s="68" t="e" cm="1" vm="1">
        <f t="array" ref="GBP6">_xlfn._xlws.FILTER(TablaProductos[Nombre producto],TablaProductos[Agrupación]=ProductosPivot!GBP5)</f>
        <v>#VALUE!</v>
      </c>
      <c r="GBQ6" s="68" t="e" cm="1" vm="1">
        <f t="array" ref="GBQ6">_xlfn._xlws.FILTER(TablaProductos[Nombre producto],TablaProductos[Agrupación]=ProductosPivot!GBQ5)</f>
        <v>#VALUE!</v>
      </c>
      <c r="GBR6" s="68" t="e" cm="1" vm="1">
        <f t="array" ref="GBR6">_xlfn._xlws.FILTER(TablaProductos[Nombre producto],TablaProductos[Agrupación]=ProductosPivot!GBR5)</f>
        <v>#VALUE!</v>
      </c>
      <c r="GBS6" s="68" t="e" cm="1" vm="1">
        <f t="array" ref="GBS6">_xlfn._xlws.FILTER(TablaProductos[Nombre producto],TablaProductos[Agrupación]=ProductosPivot!GBS5)</f>
        <v>#VALUE!</v>
      </c>
      <c r="GBT6" s="68" t="e" cm="1" vm="1">
        <f t="array" ref="GBT6">_xlfn._xlws.FILTER(TablaProductos[Nombre producto],TablaProductos[Agrupación]=ProductosPivot!GBT5)</f>
        <v>#VALUE!</v>
      </c>
      <c r="GBU6" s="68" t="e" cm="1" vm="1">
        <f t="array" ref="GBU6">_xlfn._xlws.FILTER(TablaProductos[Nombre producto],TablaProductos[Agrupación]=ProductosPivot!GBU5)</f>
        <v>#VALUE!</v>
      </c>
      <c r="GBV6" s="68" t="e" cm="1" vm="1">
        <f t="array" ref="GBV6">_xlfn._xlws.FILTER(TablaProductos[Nombre producto],TablaProductos[Agrupación]=ProductosPivot!GBV5)</f>
        <v>#VALUE!</v>
      </c>
      <c r="GBW6" s="68" t="e" cm="1" vm="1">
        <f t="array" ref="GBW6">_xlfn._xlws.FILTER(TablaProductos[Nombre producto],TablaProductos[Agrupación]=ProductosPivot!GBW5)</f>
        <v>#VALUE!</v>
      </c>
      <c r="GBX6" s="68" t="e" cm="1" vm="1">
        <f t="array" ref="GBX6">_xlfn._xlws.FILTER(TablaProductos[Nombre producto],TablaProductos[Agrupación]=ProductosPivot!GBX5)</f>
        <v>#VALUE!</v>
      </c>
      <c r="GBY6" s="68" t="e" cm="1" vm="1">
        <f t="array" ref="GBY6">_xlfn._xlws.FILTER(TablaProductos[Nombre producto],TablaProductos[Agrupación]=ProductosPivot!GBY5)</f>
        <v>#VALUE!</v>
      </c>
      <c r="GBZ6" s="68" t="e" cm="1" vm="1">
        <f t="array" ref="GBZ6">_xlfn._xlws.FILTER(TablaProductos[Nombre producto],TablaProductos[Agrupación]=ProductosPivot!GBZ5)</f>
        <v>#VALUE!</v>
      </c>
      <c r="GCA6" s="68" t="e" cm="1" vm="1">
        <f t="array" ref="GCA6">_xlfn._xlws.FILTER(TablaProductos[Nombre producto],TablaProductos[Agrupación]=ProductosPivot!GCA5)</f>
        <v>#VALUE!</v>
      </c>
      <c r="GCB6" s="68" t="e" cm="1" vm="1">
        <f t="array" ref="GCB6">_xlfn._xlws.FILTER(TablaProductos[Nombre producto],TablaProductos[Agrupación]=ProductosPivot!GCB5)</f>
        <v>#VALUE!</v>
      </c>
      <c r="GCC6" s="68" t="e" cm="1" vm="1">
        <f t="array" ref="GCC6">_xlfn._xlws.FILTER(TablaProductos[Nombre producto],TablaProductos[Agrupación]=ProductosPivot!GCC5)</f>
        <v>#VALUE!</v>
      </c>
      <c r="GCD6" s="68" t="e" cm="1" vm="1">
        <f t="array" ref="GCD6">_xlfn._xlws.FILTER(TablaProductos[Nombre producto],TablaProductos[Agrupación]=ProductosPivot!GCD5)</f>
        <v>#VALUE!</v>
      </c>
      <c r="GCE6" s="68" t="e" cm="1" vm="1">
        <f t="array" ref="GCE6">_xlfn._xlws.FILTER(TablaProductos[Nombre producto],TablaProductos[Agrupación]=ProductosPivot!GCE5)</f>
        <v>#VALUE!</v>
      </c>
      <c r="GCF6" s="68" t="e" cm="1" vm="1">
        <f t="array" ref="GCF6">_xlfn._xlws.FILTER(TablaProductos[Nombre producto],TablaProductos[Agrupación]=ProductosPivot!GCF5)</f>
        <v>#VALUE!</v>
      </c>
      <c r="GCG6" s="68" t="e" cm="1" vm="1">
        <f t="array" ref="GCG6">_xlfn._xlws.FILTER(TablaProductos[Nombre producto],TablaProductos[Agrupación]=ProductosPivot!GCG5)</f>
        <v>#VALUE!</v>
      </c>
      <c r="GCH6" s="68" t="e" cm="1" vm="1">
        <f t="array" ref="GCH6">_xlfn._xlws.FILTER(TablaProductos[Nombre producto],TablaProductos[Agrupación]=ProductosPivot!GCH5)</f>
        <v>#VALUE!</v>
      </c>
      <c r="GCI6" s="68" t="e" cm="1" vm="1">
        <f t="array" ref="GCI6">_xlfn._xlws.FILTER(TablaProductos[Nombre producto],TablaProductos[Agrupación]=ProductosPivot!GCI5)</f>
        <v>#VALUE!</v>
      </c>
      <c r="GCJ6" s="68" t="e" cm="1" vm="1">
        <f t="array" ref="GCJ6">_xlfn._xlws.FILTER(TablaProductos[Nombre producto],TablaProductos[Agrupación]=ProductosPivot!GCJ5)</f>
        <v>#VALUE!</v>
      </c>
      <c r="GCK6" s="68" t="e" cm="1" vm="1">
        <f t="array" ref="GCK6">_xlfn._xlws.FILTER(TablaProductos[Nombre producto],TablaProductos[Agrupación]=ProductosPivot!GCK5)</f>
        <v>#VALUE!</v>
      </c>
      <c r="GCL6" s="68" t="e" cm="1" vm="1">
        <f t="array" ref="GCL6">_xlfn._xlws.FILTER(TablaProductos[Nombre producto],TablaProductos[Agrupación]=ProductosPivot!GCL5)</f>
        <v>#VALUE!</v>
      </c>
      <c r="GCM6" s="68" t="e" cm="1" vm="1">
        <f t="array" ref="GCM6">_xlfn._xlws.FILTER(TablaProductos[Nombre producto],TablaProductos[Agrupación]=ProductosPivot!GCM5)</f>
        <v>#VALUE!</v>
      </c>
      <c r="GCN6" s="68" t="e" cm="1" vm="1">
        <f t="array" ref="GCN6">_xlfn._xlws.FILTER(TablaProductos[Nombre producto],TablaProductos[Agrupación]=ProductosPivot!GCN5)</f>
        <v>#VALUE!</v>
      </c>
      <c r="GCO6" s="68" t="e" cm="1" vm="1">
        <f t="array" ref="GCO6">_xlfn._xlws.FILTER(TablaProductos[Nombre producto],TablaProductos[Agrupación]=ProductosPivot!GCO5)</f>
        <v>#VALUE!</v>
      </c>
      <c r="GCP6" s="68" t="e" cm="1" vm="1">
        <f t="array" ref="GCP6">_xlfn._xlws.FILTER(TablaProductos[Nombre producto],TablaProductos[Agrupación]=ProductosPivot!GCP5)</f>
        <v>#VALUE!</v>
      </c>
      <c r="GCQ6" s="68" t="e" cm="1" vm="1">
        <f t="array" ref="GCQ6">_xlfn._xlws.FILTER(TablaProductos[Nombre producto],TablaProductos[Agrupación]=ProductosPivot!GCQ5)</f>
        <v>#VALUE!</v>
      </c>
      <c r="GCR6" s="68" t="e" cm="1" vm="1">
        <f t="array" ref="GCR6">_xlfn._xlws.FILTER(TablaProductos[Nombre producto],TablaProductos[Agrupación]=ProductosPivot!GCR5)</f>
        <v>#VALUE!</v>
      </c>
      <c r="GCS6" s="68" t="e" cm="1" vm="1">
        <f t="array" ref="GCS6">_xlfn._xlws.FILTER(TablaProductos[Nombre producto],TablaProductos[Agrupación]=ProductosPivot!GCS5)</f>
        <v>#VALUE!</v>
      </c>
      <c r="GCT6" s="68" t="e" cm="1" vm="1">
        <f t="array" ref="GCT6">_xlfn._xlws.FILTER(TablaProductos[Nombre producto],TablaProductos[Agrupación]=ProductosPivot!GCT5)</f>
        <v>#VALUE!</v>
      </c>
      <c r="GCU6" s="68" t="e" cm="1" vm="1">
        <f t="array" ref="GCU6">_xlfn._xlws.FILTER(TablaProductos[Nombre producto],TablaProductos[Agrupación]=ProductosPivot!GCU5)</f>
        <v>#VALUE!</v>
      </c>
      <c r="GCV6" s="68" t="e" cm="1" vm="1">
        <f t="array" ref="GCV6">_xlfn._xlws.FILTER(TablaProductos[Nombre producto],TablaProductos[Agrupación]=ProductosPivot!GCV5)</f>
        <v>#VALUE!</v>
      </c>
      <c r="GCW6" s="68" t="e" cm="1" vm="1">
        <f t="array" ref="GCW6">_xlfn._xlws.FILTER(TablaProductos[Nombre producto],TablaProductos[Agrupación]=ProductosPivot!GCW5)</f>
        <v>#VALUE!</v>
      </c>
      <c r="GCX6" s="68" t="e" cm="1" vm="1">
        <f t="array" ref="GCX6">_xlfn._xlws.FILTER(TablaProductos[Nombre producto],TablaProductos[Agrupación]=ProductosPivot!GCX5)</f>
        <v>#VALUE!</v>
      </c>
      <c r="GCY6" s="68" t="e" cm="1" vm="1">
        <f t="array" ref="GCY6">_xlfn._xlws.FILTER(TablaProductos[Nombre producto],TablaProductos[Agrupación]=ProductosPivot!GCY5)</f>
        <v>#VALUE!</v>
      </c>
      <c r="GCZ6" s="68" t="e" cm="1" vm="1">
        <f t="array" ref="GCZ6">_xlfn._xlws.FILTER(TablaProductos[Nombre producto],TablaProductos[Agrupación]=ProductosPivot!GCZ5)</f>
        <v>#VALUE!</v>
      </c>
      <c r="GDA6" s="68" t="e" cm="1" vm="1">
        <f t="array" ref="GDA6">_xlfn._xlws.FILTER(TablaProductos[Nombre producto],TablaProductos[Agrupación]=ProductosPivot!GDA5)</f>
        <v>#VALUE!</v>
      </c>
      <c r="GDB6" s="68" t="e" cm="1" vm="1">
        <f t="array" ref="GDB6">_xlfn._xlws.FILTER(TablaProductos[Nombre producto],TablaProductos[Agrupación]=ProductosPivot!GDB5)</f>
        <v>#VALUE!</v>
      </c>
      <c r="GDC6" s="68" t="e" cm="1" vm="1">
        <f t="array" ref="GDC6">_xlfn._xlws.FILTER(TablaProductos[Nombre producto],TablaProductos[Agrupación]=ProductosPivot!GDC5)</f>
        <v>#VALUE!</v>
      </c>
      <c r="GDD6" s="68" t="e" cm="1" vm="1">
        <f t="array" ref="GDD6">_xlfn._xlws.FILTER(TablaProductos[Nombre producto],TablaProductos[Agrupación]=ProductosPivot!GDD5)</f>
        <v>#VALUE!</v>
      </c>
      <c r="GDE6" s="68" t="e" cm="1" vm="1">
        <f t="array" ref="GDE6">_xlfn._xlws.FILTER(TablaProductos[Nombre producto],TablaProductos[Agrupación]=ProductosPivot!GDE5)</f>
        <v>#VALUE!</v>
      </c>
      <c r="GDF6" s="68" t="e" cm="1" vm="1">
        <f t="array" ref="GDF6">_xlfn._xlws.FILTER(TablaProductos[Nombre producto],TablaProductos[Agrupación]=ProductosPivot!GDF5)</f>
        <v>#VALUE!</v>
      </c>
      <c r="GDG6" s="68" t="e" cm="1" vm="1">
        <f t="array" ref="GDG6">_xlfn._xlws.FILTER(TablaProductos[Nombre producto],TablaProductos[Agrupación]=ProductosPivot!GDG5)</f>
        <v>#VALUE!</v>
      </c>
      <c r="GDH6" s="68" t="e" cm="1" vm="1">
        <f t="array" ref="GDH6">_xlfn._xlws.FILTER(TablaProductos[Nombre producto],TablaProductos[Agrupación]=ProductosPivot!GDH5)</f>
        <v>#VALUE!</v>
      </c>
      <c r="GDI6" s="68" t="e" cm="1" vm="1">
        <f t="array" ref="GDI6">_xlfn._xlws.FILTER(TablaProductos[Nombre producto],TablaProductos[Agrupación]=ProductosPivot!GDI5)</f>
        <v>#VALUE!</v>
      </c>
      <c r="GDJ6" s="68" t="e" cm="1" vm="1">
        <f t="array" ref="GDJ6">_xlfn._xlws.FILTER(TablaProductos[Nombre producto],TablaProductos[Agrupación]=ProductosPivot!GDJ5)</f>
        <v>#VALUE!</v>
      </c>
      <c r="GDK6" s="68" t="e" cm="1" vm="1">
        <f t="array" ref="GDK6">_xlfn._xlws.FILTER(TablaProductos[Nombre producto],TablaProductos[Agrupación]=ProductosPivot!GDK5)</f>
        <v>#VALUE!</v>
      </c>
      <c r="GDL6" s="68" t="e" cm="1" vm="1">
        <f t="array" ref="GDL6">_xlfn._xlws.FILTER(TablaProductos[Nombre producto],TablaProductos[Agrupación]=ProductosPivot!GDL5)</f>
        <v>#VALUE!</v>
      </c>
      <c r="GDM6" s="68" t="e" cm="1" vm="1">
        <f t="array" ref="GDM6">_xlfn._xlws.FILTER(TablaProductos[Nombre producto],TablaProductos[Agrupación]=ProductosPivot!GDM5)</f>
        <v>#VALUE!</v>
      </c>
      <c r="GDN6" s="68" t="e" cm="1" vm="1">
        <f t="array" ref="GDN6">_xlfn._xlws.FILTER(TablaProductos[Nombre producto],TablaProductos[Agrupación]=ProductosPivot!GDN5)</f>
        <v>#VALUE!</v>
      </c>
      <c r="GDO6" s="68" t="e" cm="1" vm="1">
        <f t="array" ref="GDO6">_xlfn._xlws.FILTER(TablaProductos[Nombre producto],TablaProductos[Agrupación]=ProductosPivot!GDO5)</f>
        <v>#VALUE!</v>
      </c>
      <c r="GDP6" s="68" t="e" cm="1" vm="1">
        <f t="array" ref="GDP6">_xlfn._xlws.FILTER(TablaProductos[Nombre producto],TablaProductos[Agrupación]=ProductosPivot!GDP5)</f>
        <v>#VALUE!</v>
      </c>
      <c r="GDQ6" s="68" t="e" cm="1" vm="1">
        <f t="array" ref="GDQ6">_xlfn._xlws.FILTER(TablaProductos[Nombre producto],TablaProductos[Agrupación]=ProductosPivot!GDQ5)</f>
        <v>#VALUE!</v>
      </c>
      <c r="GDR6" s="68" t="e" cm="1" vm="1">
        <f t="array" ref="GDR6">_xlfn._xlws.FILTER(TablaProductos[Nombre producto],TablaProductos[Agrupación]=ProductosPivot!GDR5)</f>
        <v>#VALUE!</v>
      </c>
      <c r="GDS6" s="68" t="e" cm="1" vm="1">
        <f t="array" ref="GDS6">_xlfn._xlws.FILTER(TablaProductos[Nombre producto],TablaProductos[Agrupación]=ProductosPivot!GDS5)</f>
        <v>#VALUE!</v>
      </c>
      <c r="GDT6" s="68" t="e" cm="1" vm="1">
        <f t="array" ref="GDT6">_xlfn._xlws.FILTER(TablaProductos[Nombre producto],TablaProductos[Agrupación]=ProductosPivot!GDT5)</f>
        <v>#VALUE!</v>
      </c>
      <c r="GDU6" s="68" t="e" cm="1" vm="1">
        <f t="array" ref="GDU6">_xlfn._xlws.FILTER(TablaProductos[Nombre producto],TablaProductos[Agrupación]=ProductosPivot!GDU5)</f>
        <v>#VALUE!</v>
      </c>
      <c r="GDV6" s="68" t="e" cm="1" vm="1">
        <f t="array" ref="GDV6">_xlfn._xlws.FILTER(TablaProductos[Nombre producto],TablaProductos[Agrupación]=ProductosPivot!GDV5)</f>
        <v>#VALUE!</v>
      </c>
      <c r="GDW6" s="68" t="e" cm="1" vm="1">
        <f t="array" ref="GDW6">_xlfn._xlws.FILTER(TablaProductos[Nombre producto],TablaProductos[Agrupación]=ProductosPivot!GDW5)</f>
        <v>#VALUE!</v>
      </c>
      <c r="GDX6" s="68" t="e" cm="1" vm="1">
        <f t="array" ref="GDX6">_xlfn._xlws.FILTER(TablaProductos[Nombre producto],TablaProductos[Agrupación]=ProductosPivot!GDX5)</f>
        <v>#VALUE!</v>
      </c>
      <c r="GDY6" s="68" t="e" cm="1" vm="1">
        <f t="array" ref="GDY6">_xlfn._xlws.FILTER(TablaProductos[Nombre producto],TablaProductos[Agrupación]=ProductosPivot!GDY5)</f>
        <v>#VALUE!</v>
      </c>
      <c r="GDZ6" s="68" t="e" cm="1" vm="1">
        <f t="array" ref="GDZ6">_xlfn._xlws.FILTER(TablaProductos[Nombre producto],TablaProductos[Agrupación]=ProductosPivot!GDZ5)</f>
        <v>#VALUE!</v>
      </c>
      <c r="GEA6" s="68" t="e" cm="1" vm="1">
        <f t="array" ref="GEA6">_xlfn._xlws.FILTER(TablaProductos[Nombre producto],TablaProductos[Agrupación]=ProductosPivot!GEA5)</f>
        <v>#VALUE!</v>
      </c>
      <c r="GEB6" s="68" t="e" cm="1" vm="1">
        <f t="array" ref="GEB6">_xlfn._xlws.FILTER(TablaProductos[Nombre producto],TablaProductos[Agrupación]=ProductosPivot!GEB5)</f>
        <v>#VALUE!</v>
      </c>
      <c r="GEC6" s="68" t="e" cm="1" vm="1">
        <f t="array" ref="GEC6">_xlfn._xlws.FILTER(TablaProductos[Nombre producto],TablaProductos[Agrupación]=ProductosPivot!GEC5)</f>
        <v>#VALUE!</v>
      </c>
      <c r="GED6" s="68" t="e" cm="1" vm="1">
        <f t="array" ref="GED6">_xlfn._xlws.FILTER(TablaProductos[Nombre producto],TablaProductos[Agrupación]=ProductosPivot!GED5)</f>
        <v>#VALUE!</v>
      </c>
      <c r="GEE6" s="68" t="e" cm="1" vm="1">
        <f t="array" ref="GEE6">_xlfn._xlws.FILTER(TablaProductos[Nombre producto],TablaProductos[Agrupación]=ProductosPivot!GEE5)</f>
        <v>#VALUE!</v>
      </c>
      <c r="GEF6" s="68" t="e" cm="1" vm="1">
        <f t="array" ref="GEF6">_xlfn._xlws.FILTER(TablaProductos[Nombre producto],TablaProductos[Agrupación]=ProductosPivot!GEF5)</f>
        <v>#VALUE!</v>
      </c>
      <c r="GEG6" s="68" t="e" cm="1" vm="1">
        <f t="array" ref="GEG6">_xlfn._xlws.FILTER(TablaProductos[Nombre producto],TablaProductos[Agrupación]=ProductosPivot!GEG5)</f>
        <v>#VALUE!</v>
      </c>
      <c r="GEH6" s="68" t="e" cm="1" vm="1">
        <f t="array" ref="GEH6">_xlfn._xlws.FILTER(TablaProductos[Nombre producto],TablaProductos[Agrupación]=ProductosPivot!GEH5)</f>
        <v>#VALUE!</v>
      </c>
      <c r="GEI6" s="68" t="e" cm="1" vm="1">
        <f t="array" ref="GEI6">_xlfn._xlws.FILTER(TablaProductos[Nombre producto],TablaProductos[Agrupación]=ProductosPivot!GEI5)</f>
        <v>#VALUE!</v>
      </c>
      <c r="GEJ6" s="68" t="e" cm="1" vm="1">
        <f t="array" ref="GEJ6">_xlfn._xlws.FILTER(TablaProductos[Nombre producto],TablaProductos[Agrupación]=ProductosPivot!GEJ5)</f>
        <v>#VALUE!</v>
      </c>
      <c r="GEK6" s="68" t="e" cm="1" vm="1">
        <f t="array" ref="GEK6">_xlfn._xlws.FILTER(TablaProductos[Nombre producto],TablaProductos[Agrupación]=ProductosPivot!GEK5)</f>
        <v>#VALUE!</v>
      </c>
      <c r="GEL6" s="68" t="e" cm="1" vm="1">
        <f t="array" ref="GEL6">_xlfn._xlws.FILTER(TablaProductos[Nombre producto],TablaProductos[Agrupación]=ProductosPivot!GEL5)</f>
        <v>#VALUE!</v>
      </c>
      <c r="GEM6" s="68" t="e" cm="1" vm="1">
        <f t="array" ref="GEM6">_xlfn._xlws.FILTER(TablaProductos[Nombre producto],TablaProductos[Agrupación]=ProductosPivot!GEM5)</f>
        <v>#VALUE!</v>
      </c>
      <c r="GEN6" s="68" t="e" cm="1" vm="1">
        <f t="array" ref="GEN6">_xlfn._xlws.FILTER(TablaProductos[Nombre producto],TablaProductos[Agrupación]=ProductosPivot!GEN5)</f>
        <v>#VALUE!</v>
      </c>
      <c r="GEO6" s="68" t="e" cm="1" vm="1">
        <f t="array" ref="GEO6">_xlfn._xlws.FILTER(TablaProductos[Nombre producto],TablaProductos[Agrupación]=ProductosPivot!GEO5)</f>
        <v>#VALUE!</v>
      </c>
      <c r="GEP6" s="68" t="e" cm="1" vm="1">
        <f t="array" ref="GEP6">_xlfn._xlws.FILTER(TablaProductos[Nombre producto],TablaProductos[Agrupación]=ProductosPivot!GEP5)</f>
        <v>#VALUE!</v>
      </c>
      <c r="GEQ6" s="68" t="e" cm="1" vm="1">
        <f t="array" ref="GEQ6">_xlfn._xlws.FILTER(TablaProductos[Nombre producto],TablaProductos[Agrupación]=ProductosPivot!GEQ5)</f>
        <v>#VALUE!</v>
      </c>
      <c r="GER6" s="68" t="e" cm="1" vm="1">
        <f t="array" ref="GER6">_xlfn._xlws.FILTER(TablaProductos[Nombre producto],TablaProductos[Agrupación]=ProductosPivot!GER5)</f>
        <v>#VALUE!</v>
      </c>
      <c r="GES6" s="68" t="e" cm="1" vm="1">
        <f t="array" ref="GES6">_xlfn._xlws.FILTER(TablaProductos[Nombre producto],TablaProductos[Agrupación]=ProductosPivot!GES5)</f>
        <v>#VALUE!</v>
      </c>
      <c r="GET6" s="68" t="e" cm="1" vm="1">
        <f t="array" ref="GET6">_xlfn._xlws.FILTER(TablaProductos[Nombre producto],TablaProductos[Agrupación]=ProductosPivot!GET5)</f>
        <v>#VALUE!</v>
      </c>
      <c r="GEU6" s="68" t="e" cm="1" vm="1">
        <f t="array" ref="GEU6">_xlfn._xlws.FILTER(TablaProductos[Nombre producto],TablaProductos[Agrupación]=ProductosPivot!GEU5)</f>
        <v>#VALUE!</v>
      </c>
      <c r="GEV6" s="68" t="e" cm="1" vm="1">
        <f t="array" ref="GEV6">_xlfn._xlws.FILTER(TablaProductos[Nombre producto],TablaProductos[Agrupación]=ProductosPivot!GEV5)</f>
        <v>#VALUE!</v>
      </c>
      <c r="GEW6" s="68" t="e" cm="1" vm="1">
        <f t="array" ref="GEW6">_xlfn._xlws.FILTER(TablaProductos[Nombre producto],TablaProductos[Agrupación]=ProductosPivot!GEW5)</f>
        <v>#VALUE!</v>
      </c>
      <c r="GEX6" s="68" t="e" cm="1" vm="1">
        <f t="array" ref="GEX6">_xlfn._xlws.FILTER(TablaProductos[Nombre producto],TablaProductos[Agrupación]=ProductosPivot!GEX5)</f>
        <v>#VALUE!</v>
      </c>
      <c r="GEY6" s="68" t="e" cm="1" vm="1">
        <f t="array" ref="GEY6">_xlfn._xlws.FILTER(TablaProductos[Nombre producto],TablaProductos[Agrupación]=ProductosPivot!GEY5)</f>
        <v>#VALUE!</v>
      </c>
      <c r="GEZ6" s="68" t="e" cm="1" vm="1">
        <f t="array" ref="GEZ6">_xlfn._xlws.FILTER(TablaProductos[Nombre producto],TablaProductos[Agrupación]=ProductosPivot!GEZ5)</f>
        <v>#VALUE!</v>
      </c>
      <c r="GFA6" s="68" t="e" cm="1" vm="1">
        <f t="array" ref="GFA6">_xlfn._xlws.FILTER(TablaProductos[Nombre producto],TablaProductos[Agrupación]=ProductosPivot!GFA5)</f>
        <v>#VALUE!</v>
      </c>
      <c r="GFB6" s="68" t="e" cm="1" vm="1">
        <f t="array" ref="GFB6">_xlfn._xlws.FILTER(TablaProductos[Nombre producto],TablaProductos[Agrupación]=ProductosPivot!GFB5)</f>
        <v>#VALUE!</v>
      </c>
      <c r="GFC6" s="68" t="e" cm="1" vm="1">
        <f t="array" ref="GFC6">_xlfn._xlws.FILTER(TablaProductos[Nombre producto],TablaProductos[Agrupación]=ProductosPivot!GFC5)</f>
        <v>#VALUE!</v>
      </c>
      <c r="GFD6" s="68" t="e" cm="1" vm="1">
        <f t="array" ref="GFD6">_xlfn._xlws.FILTER(TablaProductos[Nombre producto],TablaProductos[Agrupación]=ProductosPivot!GFD5)</f>
        <v>#VALUE!</v>
      </c>
      <c r="GFE6" s="68" t="e" cm="1" vm="1">
        <f t="array" ref="GFE6">_xlfn._xlws.FILTER(TablaProductos[Nombre producto],TablaProductos[Agrupación]=ProductosPivot!GFE5)</f>
        <v>#VALUE!</v>
      </c>
      <c r="GFF6" s="68" t="e" cm="1" vm="1">
        <f t="array" ref="GFF6">_xlfn._xlws.FILTER(TablaProductos[Nombre producto],TablaProductos[Agrupación]=ProductosPivot!GFF5)</f>
        <v>#VALUE!</v>
      </c>
      <c r="GFG6" s="68" t="e" cm="1" vm="1">
        <f t="array" ref="GFG6">_xlfn._xlws.FILTER(TablaProductos[Nombre producto],TablaProductos[Agrupación]=ProductosPivot!GFG5)</f>
        <v>#VALUE!</v>
      </c>
      <c r="GFH6" s="68" t="e" cm="1" vm="1">
        <f t="array" ref="GFH6">_xlfn._xlws.FILTER(TablaProductos[Nombre producto],TablaProductos[Agrupación]=ProductosPivot!GFH5)</f>
        <v>#VALUE!</v>
      </c>
      <c r="GFI6" s="68" t="e" cm="1" vm="1">
        <f t="array" ref="GFI6">_xlfn._xlws.FILTER(TablaProductos[Nombre producto],TablaProductos[Agrupación]=ProductosPivot!GFI5)</f>
        <v>#VALUE!</v>
      </c>
      <c r="GFJ6" s="68" t="e" cm="1" vm="1">
        <f t="array" ref="GFJ6">_xlfn._xlws.FILTER(TablaProductos[Nombre producto],TablaProductos[Agrupación]=ProductosPivot!GFJ5)</f>
        <v>#VALUE!</v>
      </c>
      <c r="GFK6" s="68" t="e" cm="1" vm="1">
        <f t="array" ref="GFK6">_xlfn._xlws.FILTER(TablaProductos[Nombre producto],TablaProductos[Agrupación]=ProductosPivot!GFK5)</f>
        <v>#VALUE!</v>
      </c>
      <c r="GFL6" s="68" t="e" cm="1" vm="1">
        <f t="array" ref="GFL6">_xlfn._xlws.FILTER(TablaProductos[Nombre producto],TablaProductos[Agrupación]=ProductosPivot!GFL5)</f>
        <v>#VALUE!</v>
      </c>
      <c r="GFM6" s="68" t="e" cm="1" vm="1">
        <f t="array" ref="GFM6">_xlfn._xlws.FILTER(TablaProductos[Nombre producto],TablaProductos[Agrupación]=ProductosPivot!GFM5)</f>
        <v>#VALUE!</v>
      </c>
      <c r="GFN6" s="68" t="e" cm="1" vm="1">
        <f t="array" ref="GFN6">_xlfn._xlws.FILTER(TablaProductos[Nombre producto],TablaProductos[Agrupación]=ProductosPivot!GFN5)</f>
        <v>#VALUE!</v>
      </c>
      <c r="GFO6" s="68" t="e" cm="1" vm="1">
        <f t="array" ref="GFO6">_xlfn._xlws.FILTER(TablaProductos[Nombre producto],TablaProductos[Agrupación]=ProductosPivot!GFO5)</f>
        <v>#VALUE!</v>
      </c>
      <c r="GFP6" s="68" t="e" cm="1" vm="1">
        <f t="array" ref="GFP6">_xlfn._xlws.FILTER(TablaProductos[Nombre producto],TablaProductos[Agrupación]=ProductosPivot!GFP5)</f>
        <v>#VALUE!</v>
      </c>
      <c r="GFQ6" s="68" t="e" cm="1" vm="1">
        <f t="array" ref="GFQ6">_xlfn._xlws.FILTER(TablaProductos[Nombre producto],TablaProductos[Agrupación]=ProductosPivot!GFQ5)</f>
        <v>#VALUE!</v>
      </c>
      <c r="GFR6" s="68" t="e" cm="1" vm="1">
        <f t="array" ref="GFR6">_xlfn._xlws.FILTER(TablaProductos[Nombre producto],TablaProductos[Agrupación]=ProductosPivot!GFR5)</f>
        <v>#VALUE!</v>
      </c>
      <c r="GFS6" s="68" t="e" cm="1" vm="1">
        <f t="array" ref="GFS6">_xlfn._xlws.FILTER(TablaProductos[Nombre producto],TablaProductos[Agrupación]=ProductosPivot!GFS5)</f>
        <v>#VALUE!</v>
      </c>
      <c r="GFT6" s="68" t="e" cm="1" vm="1">
        <f t="array" ref="GFT6">_xlfn._xlws.FILTER(TablaProductos[Nombre producto],TablaProductos[Agrupación]=ProductosPivot!GFT5)</f>
        <v>#VALUE!</v>
      </c>
      <c r="GFU6" s="68" t="e" cm="1" vm="1">
        <f t="array" ref="GFU6">_xlfn._xlws.FILTER(TablaProductos[Nombre producto],TablaProductos[Agrupación]=ProductosPivot!GFU5)</f>
        <v>#VALUE!</v>
      </c>
      <c r="GFV6" s="68" t="e" cm="1" vm="1">
        <f t="array" ref="GFV6">_xlfn._xlws.FILTER(TablaProductos[Nombre producto],TablaProductos[Agrupación]=ProductosPivot!GFV5)</f>
        <v>#VALUE!</v>
      </c>
      <c r="GFW6" s="68" t="e" cm="1" vm="1">
        <f t="array" ref="GFW6">_xlfn._xlws.FILTER(TablaProductos[Nombre producto],TablaProductos[Agrupación]=ProductosPivot!GFW5)</f>
        <v>#VALUE!</v>
      </c>
      <c r="GFX6" s="68" t="e" cm="1" vm="1">
        <f t="array" ref="GFX6">_xlfn._xlws.FILTER(TablaProductos[Nombre producto],TablaProductos[Agrupación]=ProductosPivot!GFX5)</f>
        <v>#VALUE!</v>
      </c>
      <c r="GFY6" s="68" t="e" cm="1" vm="1">
        <f t="array" ref="GFY6">_xlfn._xlws.FILTER(TablaProductos[Nombre producto],TablaProductos[Agrupación]=ProductosPivot!GFY5)</f>
        <v>#VALUE!</v>
      </c>
      <c r="GFZ6" s="68" t="e" cm="1" vm="1">
        <f t="array" ref="GFZ6">_xlfn._xlws.FILTER(TablaProductos[Nombre producto],TablaProductos[Agrupación]=ProductosPivot!GFZ5)</f>
        <v>#VALUE!</v>
      </c>
      <c r="GGA6" s="68" t="e" cm="1" vm="1">
        <f t="array" ref="GGA6">_xlfn._xlws.FILTER(TablaProductos[Nombre producto],TablaProductos[Agrupación]=ProductosPivot!GGA5)</f>
        <v>#VALUE!</v>
      </c>
      <c r="GGB6" s="68" t="e" cm="1" vm="1">
        <f t="array" ref="GGB6">_xlfn._xlws.FILTER(TablaProductos[Nombre producto],TablaProductos[Agrupación]=ProductosPivot!GGB5)</f>
        <v>#VALUE!</v>
      </c>
      <c r="GGC6" s="68" t="e" cm="1" vm="1">
        <f t="array" ref="GGC6">_xlfn._xlws.FILTER(TablaProductos[Nombre producto],TablaProductos[Agrupación]=ProductosPivot!GGC5)</f>
        <v>#VALUE!</v>
      </c>
      <c r="GGD6" s="68" t="e" cm="1" vm="1">
        <f t="array" ref="GGD6">_xlfn._xlws.FILTER(TablaProductos[Nombre producto],TablaProductos[Agrupación]=ProductosPivot!GGD5)</f>
        <v>#VALUE!</v>
      </c>
      <c r="GGE6" s="68" t="e" cm="1" vm="1">
        <f t="array" ref="GGE6">_xlfn._xlws.FILTER(TablaProductos[Nombre producto],TablaProductos[Agrupación]=ProductosPivot!GGE5)</f>
        <v>#VALUE!</v>
      </c>
      <c r="GGF6" s="68" t="e" cm="1" vm="1">
        <f t="array" ref="GGF6">_xlfn._xlws.FILTER(TablaProductos[Nombre producto],TablaProductos[Agrupación]=ProductosPivot!GGF5)</f>
        <v>#VALUE!</v>
      </c>
      <c r="GGG6" s="68" t="e" cm="1" vm="1">
        <f t="array" ref="GGG6">_xlfn._xlws.FILTER(TablaProductos[Nombre producto],TablaProductos[Agrupación]=ProductosPivot!GGG5)</f>
        <v>#VALUE!</v>
      </c>
      <c r="GGH6" s="68" t="e" cm="1" vm="1">
        <f t="array" ref="GGH6">_xlfn._xlws.FILTER(TablaProductos[Nombre producto],TablaProductos[Agrupación]=ProductosPivot!GGH5)</f>
        <v>#VALUE!</v>
      </c>
      <c r="GGI6" s="68" t="e" cm="1" vm="1">
        <f t="array" ref="GGI6">_xlfn._xlws.FILTER(TablaProductos[Nombre producto],TablaProductos[Agrupación]=ProductosPivot!GGI5)</f>
        <v>#VALUE!</v>
      </c>
      <c r="GGJ6" s="68" t="e" cm="1" vm="1">
        <f t="array" ref="GGJ6">_xlfn._xlws.FILTER(TablaProductos[Nombre producto],TablaProductos[Agrupación]=ProductosPivot!GGJ5)</f>
        <v>#VALUE!</v>
      </c>
      <c r="GGK6" s="68" t="e" cm="1" vm="1">
        <f t="array" ref="GGK6">_xlfn._xlws.FILTER(TablaProductos[Nombre producto],TablaProductos[Agrupación]=ProductosPivot!GGK5)</f>
        <v>#VALUE!</v>
      </c>
      <c r="GGL6" s="68" t="e" cm="1" vm="1">
        <f t="array" ref="GGL6">_xlfn._xlws.FILTER(TablaProductos[Nombre producto],TablaProductos[Agrupación]=ProductosPivot!GGL5)</f>
        <v>#VALUE!</v>
      </c>
      <c r="GGM6" s="68" t="e" cm="1" vm="1">
        <f t="array" ref="GGM6">_xlfn._xlws.FILTER(TablaProductos[Nombre producto],TablaProductos[Agrupación]=ProductosPivot!GGM5)</f>
        <v>#VALUE!</v>
      </c>
      <c r="GGN6" s="68" t="e" cm="1" vm="1">
        <f t="array" ref="GGN6">_xlfn._xlws.FILTER(TablaProductos[Nombre producto],TablaProductos[Agrupación]=ProductosPivot!GGN5)</f>
        <v>#VALUE!</v>
      </c>
      <c r="GGO6" s="68" t="e" cm="1" vm="1">
        <f t="array" ref="GGO6">_xlfn._xlws.FILTER(TablaProductos[Nombre producto],TablaProductos[Agrupación]=ProductosPivot!GGO5)</f>
        <v>#VALUE!</v>
      </c>
      <c r="GGP6" s="68" t="e" cm="1" vm="1">
        <f t="array" ref="GGP6">_xlfn._xlws.FILTER(TablaProductos[Nombre producto],TablaProductos[Agrupación]=ProductosPivot!GGP5)</f>
        <v>#VALUE!</v>
      </c>
      <c r="GGQ6" s="68" t="e" cm="1" vm="1">
        <f t="array" ref="GGQ6">_xlfn._xlws.FILTER(TablaProductos[Nombre producto],TablaProductos[Agrupación]=ProductosPivot!GGQ5)</f>
        <v>#VALUE!</v>
      </c>
      <c r="GGR6" s="68" t="e" cm="1" vm="1">
        <f t="array" ref="GGR6">_xlfn._xlws.FILTER(TablaProductos[Nombre producto],TablaProductos[Agrupación]=ProductosPivot!GGR5)</f>
        <v>#VALUE!</v>
      </c>
      <c r="GGS6" s="68" t="e" cm="1" vm="1">
        <f t="array" ref="GGS6">_xlfn._xlws.FILTER(TablaProductos[Nombre producto],TablaProductos[Agrupación]=ProductosPivot!GGS5)</f>
        <v>#VALUE!</v>
      </c>
      <c r="GGT6" s="68" t="e" cm="1" vm="1">
        <f t="array" ref="GGT6">_xlfn._xlws.FILTER(TablaProductos[Nombre producto],TablaProductos[Agrupación]=ProductosPivot!GGT5)</f>
        <v>#VALUE!</v>
      </c>
      <c r="GGU6" s="68" t="e" cm="1" vm="1">
        <f t="array" ref="GGU6">_xlfn._xlws.FILTER(TablaProductos[Nombre producto],TablaProductos[Agrupación]=ProductosPivot!GGU5)</f>
        <v>#VALUE!</v>
      </c>
      <c r="GGV6" s="68" t="e" cm="1" vm="1">
        <f t="array" ref="GGV6">_xlfn._xlws.FILTER(TablaProductos[Nombre producto],TablaProductos[Agrupación]=ProductosPivot!GGV5)</f>
        <v>#VALUE!</v>
      </c>
      <c r="GGW6" s="68" t="e" cm="1" vm="1">
        <f t="array" ref="GGW6">_xlfn._xlws.FILTER(TablaProductos[Nombre producto],TablaProductos[Agrupación]=ProductosPivot!GGW5)</f>
        <v>#VALUE!</v>
      </c>
      <c r="GGX6" s="68" t="e" cm="1" vm="1">
        <f t="array" ref="GGX6">_xlfn._xlws.FILTER(TablaProductos[Nombre producto],TablaProductos[Agrupación]=ProductosPivot!GGX5)</f>
        <v>#VALUE!</v>
      </c>
      <c r="GGY6" s="68" t="e" cm="1" vm="1">
        <f t="array" ref="GGY6">_xlfn._xlws.FILTER(TablaProductos[Nombre producto],TablaProductos[Agrupación]=ProductosPivot!GGY5)</f>
        <v>#VALUE!</v>
      </c>
      <c r="GGZ6" s="68" t="e" cm="1" vm="1">
        <f t="array" ref="GGZ6">_xlfn._xlws.FILTER(TablaProductos[Nombre producto],TablaProductos[Agrupación]=ProductosPivot!GGZ5)</f>
        <v>#VALUE!</v>
      </c>
      <c r="GHA6" s="68" t="e" cm="1" vm="1">
        <f t="array" ref="GHA6">_xlfn._xlws.FILTER(TablaProductos[Nombre producto],TablaProductos[Agrupación]=ProductosPivot!GHA5)</f>
        <v>#VALUE!</v>
      </c>
      <c r="GHB6" s="68" t="e" cm="1" vm="1">
        <f t="array" ref="GHB6">_xlfn._xlws.FILTER(TablaProductos[Nombre producto],TablaProductos[Agrupación]=ProductosPivot!GHB5)</f>
        <v>#VALUE!</v>
      </c>
      <c r="GHC6" s="68" t="e" cm="1" vm="1">
        <f t="array" ref="GHC6">_xlfn._xlws.FILTER(TablaProductos[Nombre producto],TablaProductos[Agrupación]=ProductosPivot!GHC5)</f>
        <v>#VALUE!</v>
      </c>
      <c r="GHD6" s="68" t="e" cm="1" vm="1">
        <f t="array" ref="GHD6">_xlfn._xlws.FILTER(TablaProductos[Nombre producto],TablaProductos[Agrupación]=ProductosPivot!GHD5)</f>
        <v>#VALUE!</v>
      </c>
      <c r="GHE6" s="68" t="e" cm="1" vm="1">
        <f t="array" ref="GHE6">_xlfn._xlws.FILTER(TablaProductos[Nombre producto],TablaProductos[Agrupación]=ProductosPivot!GHE5)</f>
        <v>#VALUE!</v>
      </c>
      <c r="GHF6" s="68" t="e" cm="1" vm="1">
        <f t="array" ref="GHF6">_xlfn._xlws.FILTER(TablaProductos[Nombre producto],TablaProductos[Agrupación]=ProductosPivot!GHF5)</f>
        <v>#VALUE!</v>
      </c>
      <c r="GHG6" s="68" t="e" cm="1" vm="1">
        <f t="array" ref="GHG6">_xlfn._xlws.FILTER(TablaProductos[Nombre producto],TablaProductos[Agrupación]=ProductosPivot!GHG5)</f>
        <v>#VALUE!</v>
      </c>
      <c r="GHH6" s="68" t="e" cm="1" vm="1">
        <f t="array" ref="GHH6">_xlfn._xlws.FILTER(TablaProductos[Nombre producto],TablaProductos[Agrupación]=ProductosPivot!GHH5)</f>
        <v>#VALUE!</v>
      </c>
      <c r="GHI6" s="68" t="e" cm="1" vm="1">
        <f t="array" ref="GHI6">_xlfn._xlws.FILTER(TablaProductos[Nombre producto],TablaProductos[Agrupación]=ProductosPivot!GHI5)</f>
        <v>#VALUE!</v>
      </c>
      <c r="GHJ6" s="68" t="e" cm="1" vm="1">
        <f t="array" ref="GHJ6">_xlfn._xlws.FILTER(TablaProductos[Nombre producto],TablaProductos[Agrupación]=ProductosPivot!GHJ5)</f>
        <v>#VALUE!</v>
      </c>
      <c r="GHK6" s="68" t="e" cm="1" vm="1">
        <f t="array" ref="GHK6">_xlfn._xlws.FILTER(TablaProductos[Nombre producto],TablaProductos[Agrupación]=ProductosPivot!GHK5)</f>
        <v>#VALUE!</v>
      </c>
      <c r="GHL6" s="68" t="e" cm="1" vm="1">
        <f t="array" ref="GHL6">_xlfn._xlws.FILTER(TablaProductos[Nombre producto],TablaProductos[Agrupación]=ProductosPivot!GHL5)</f>
        <v>#VALUE!</v>
      </c>
      <c r="GHM6" s="68" t="e" cm="1" vm="1">
        <f t="array" ref="GHM6">_xlfn._xlws.FILTER(TablaProductos[Nombre producto],TablaProductos[Agrupación]=ProductosPivot!GHM5)</f>
        <v>#VALUE!</v>
      </c>
      <c r="GHN6" s="68" t="e" cm="1" vm="1">
        <f t="array" ref="GHN6">_xlfn._xlws.FILTER(TablaProductos[Nombre producto],TablaProductos[Agrupación]=ProductosPivot!GHN5)</f>
        <v>#VALUE!</v>
      </c>
      <c r="GHO6" s="68" t="e" cm="1" vm="1">
        <f t="array" ref="GHO6">_xlfn._xlws.FILTER(TablaProductos[Nombre producto],TablaProductos[Agrupación]=ProductosPivot!GHO5)</f>
        <v>#VALUE!</v>
      </c>
      <c r="GHP6" s="68" t="e" cm="1" vm="1">
        <f t="array" ref="GHP6">_xlfn._xlws.FILTER(TablaProductos[Nombre producto],TablaProductos[Agrupación]=ProductosPivot!GHP5)</f>
        <v>#VALUE!</v>
      </c>
      <c r="GHQ6" s="68" t="e" cm="1" vm="1">
        <f t="array" ref="GHQ6">_xlfn._xlws.FILTER(TablaProductos[Nombre producto],TablaProductos[Agrupación]=ProductosPivot!GHQ5)</f>
        <v>#VALUE!</v>
      </c>
      <c r="GHR6" s="68" t="e" cm="1" vm="1">
        <f t="array" ref="GHR6">_xlfn._xlws.FILTER(TablaProductos[Nombre producto],TablaProductos[Agrupación]=ProductosPivot!GHR5)</f>
        <v>#VALUE!</v>
      </c>
      <c r="GHS6" s="68" t="e" cm="1" vm="1">
        <f t="array" ref="GHS6">_xlfn._xlws.FILTER(TablaProductos[Nombre producto],TablaProductos[Agrupación]=ProductosPivot!GHS5)</f>
        <v>#VALUE!</v>
      </c>
      <c r="GHT6" s="68" t="e" cm="1" vm="1">
        <f t="array" ref="GHT6">_xlfn._xlws.FILTER(TablaProductos[Nombre producto],TablaProductos[Agrupación]=ProductosPivot!GHT5)</f>
        <v>#VALUE!</v>
      </c>
      <c r="GHU6" s="68" t="e" cm="1" vm="1">
        <f t="array" ref="GHU6">_xlfn._xlws.FILTER(TablaProductos[Nombre producto],TablaProductos[Agrupación]=ProductosPivot!GHU5)</f>
        <v>#VALUE!</v>
      </c>
      <c r="GHV6" s="68" t="e" cm="1" vm="1">
        <f t="array" ref="GHV6">_xlfn._xlws.FILTER(TablaProductos[Nombre producto],TablaProductos[Agrupación]=ProductosPivot!GHV5)</f>
        <v>#VALUE!</v>
      </c>
      <c r="GHW6" s="68" t="e" cm="1" vm="1">
        <f t="array" ref="GHW6">_xlfn._xlws.FILTER(TablaProductos[Nombre producto],TablaProductos[Agrupación]=ProductosPivot!GHW5)</f>
        <v>#VALUE!</v>
      </c>
      <c r="GHX6" s="68" t="e" cm="1" vm="1">
        <f t="array" ref="GHX6">_xlfn._xlws.FILTER(TablaProductos[Nombre producto],TablaProductos[Agrupación]=ProductosPivot!GHX5)</f>
        <v>#VALUE!</v>
      </c>
      <c r="GHY6" s="68" t="e" cm="1" vm="1">
        <f t="array" ref="GHY6">_xlfn._xlws.FILTER(TablaProductos[Nombre producto],TablaProductos[Agrupación]=ProductosPivot!GHY5)</f>
        <v>#VALUE!</v>
      </c>
      <c r="GHZ6" s="68" t="e" cm="1" vm="1">
        <f t="array" ref="GHZ6">_xlfn._xlws.FILTER(TablaProductos[Nombre producto],TablaProductos[Agrupación]=ProductosPivot!GHZ5)</f>
        <v>#VALUE!</v>
      </c>
      <c r="GIA6" s="68" t="e" cm="1" vm="1">
        <f t="array" ref="GIA6">_xlfn._xlws.FILTER(TablaProductos[Nombre producto],TablaProductos[Agrupación]=ProductosPivot!GIA5)</f>
        <v>#VALUE!</v>
      </c>
      <c r="GIB6" s="68" t="e" cm="1" vm="1">
        <f t="array" ref="GIB6">_xlfn._xlws.FILTER(TablaProductos[Nombre producto],TablaProductos[Agrupación]=ProductosPivot!GIB5)</f>
        <v>#VALUE!</v>
      </c>
      <c r="GIC6" s="68" t="e" cm="1" vm="1">
        <f t="array" ref="GIC6">_xlfn._xlws.FILTER(TablaProductos[Nombre producto],TablaProductos[Agrupación]=ProductosPivot!GIC5)</f>
        <v>#VALUE!</v>
      </c>
      <c r="GID6" s="68" t="e" cm="1" vm="1">
        <f t="array" ref="GID6">_xlfn._xlws.FILTER(TablaProductos[Nombre producto],TablaProductos[Agrupación]=ProductosPivot!GID5)</f>
        <v>#VALUE!</v>
      </c>
      <c r="GIE6" s="68" t="e" cm="1" vm="1">
        <f t="array" ref="GIE6">_xlfn._xlws.FILTER(TablaProductos[Nombre producto],TablaProductos[Agrupación]=ProductosPivot!GIE5)</f>
        <v>#VALUE!</v>
      </c>
      <c r="GIF6" s="68" t="e" cm="1" vm="1">
        <f t="array" ref="GIF6">_xlfn._xlws.FILTER(TablaProductos[Nombre producto],TablaProductos[Agrupación]=ProductosPivot!GIF5)</f>
        <v>#VALUE!</v>
      </c>
      <c r="GIG6" s="68" t="e" cm="1" vm="1">
        <f t="array" ref="GIG6">_xlfn._xlws.FILTER(TablaProductos[Nombre producto],TablaProductos[Agrupación]=ProductosPivot!GIG5)</f>
        <v>#VALUE!</v>
      </c>
      <c r="GIH6" s="68" t="e" cm="1" vm="1">
        <f t="array" ref="GIH6">_xlfn._xlws.FILTER(TablaProductos[Nombre producto],TablaProductos[Agrupación]=ProductosPivot!GIH5)</f>
        <v>#VALUE!</v>
      </c>
      <c r="GII6" s="68" t="e" cm="1" vm="1">
        <f t="array" ref="GII6">_xlfn._xlws.FILTER(TablaProductos[Nombre producto],TablaProductos[Agrupación]=ProductosPivot!GII5)</f>
        <v>#VALUE!</v>
      </c>
      <c r="GIJ6" s="68" t="e" cm="1" vm="1">
        <f t="array" ref="GIJ6">_xlfn._xlws.FILTER(TablaProductos[Nombre producto],TablaProductos[Agrupación]=ProductosPivot!GIJ5)</f>
        <v>#VALUE!</v>
      </c>
      <c r="GIK6" s="68" t="e" cm="1" vm="1">
        <f t="array" ref="GIK6">_xlfn._xlws.FILTER(TablaProductos[Nombre producto],TablaProductos[Agrupación]=ProductosPivot!GIK5)</f>
        <v>#VALUE!</v>
      </c>
      <c r="GIL6" s="68" t="e" cm="1" vm="1">
        <f t="array" ref="GIL6">_xlfn._xlws.FILTER(TablaProductos[Nombre producto],TablaProductos[Agrupación]=ProductosPivot!GIL5)</f>
        <v>#VALUE!</v>
      </c>
      <c r="GIM6" s="68" t="e" cm="1" vm="1">
        <f t="array" ref="GIM6">_xlfn._xlws.FILTER(TablaProductos[Nombre producto],TablaProductos[Agrupación]=ProductosPivot!GIM5)</f>
        <v>#VALUE!</v>
      </c>
      <c r="GIN6" s="68" t="e" cm="1" vm="1">
        <f t="array" ref="GIN6">_xlfn._xlws.FILTER(TablaProductos[Nombre producto],TablaProductos[Agrupación]=ProductosPivot!GIN5)</f>
        <v>#VALUE!</v>
      </c>
      <c r="GIO6" s="68" t="e" cm="1" vm="1">
        <f t="array" ref="GIO6">_xlfn._xlws.FILTER(TablaProductos[Nombre producto],TablaProductos[Agrupación]=ProductosPivot!GIO5)</f>
        <v>#VALUE!</v>
      </c>
      <c r="GIP6" s="68" t="e" cm="1" vm="1">
        <f t="array" ref="GIP6">_xlfn._xlws.FILTER(TablaProductos[Nombre producto],TablaProductos[Agrupación]=ProductosPivot!GIP5)</f>
        <v>#VALUE!</v>
      </c>
      <c r="GIQ6" s="68" t="e" cm="1" vm="1">
        <f t="array" ref="GIQ6">_xlfn._xlws.FILTER(TablaProductos[Nombre producto],TablaProductos[Agrupación]=ProductosPivot!GIQ5)</f>
        <v>#VALUE!</v>
      </c>
      <c r="GIR6" s="68" t="e" cm="1" vm="1">
        <f t="array" ref="GIR6">_xlfn._xlws.FILTER(TablaProductos[Nombre producto],TablaProductos[Agrupación]=ProductosPivot!GIR5)</f>
        <v>#VALUE!</v>
      </c>
      <c r="GIS6" s="68" t="e" cm="1" vm="1">
        <f t="array" ref="GIS6">_xlfn._xlws.FILTER(TablaProductos[Nombre producto],TablaProductos[Agrupación]=ProductosPivot!GIS5)</f>
        <v>#VALUE!</v>
      </c>
      <c r="GIT6" s="68" t="e" cm="1" vm="1">
        <f t="array" ref="GIT6">_xlfn._xlws.FILTER(TablaProductos[Nombre producto],TablaProductos[Agrupación]=ProductosPivot!GIT5)</f>
        <v>#VALUE!</v>
      </c>
      <c r="GIU6" s="68" t="e" cm="1" vm="1">
        <f t="array" ref="GIU6">_xlfn._xlws.FILTER(TablaProductos[Nombre producto],TablaProductos[Agrupación]=ProductosPivot!GIU5)</f>
        <v>#VALUE!</v>
      </c>
      <c r="GIV6" s="68" t="e" cm="1" vm="1">
        <f t="array" ref="GIV6">_xlfn._xlws.FILTER(TablaProductos[Nombre producto],TablaProductos[Agrupación]=ProductosPivot!GIV5)</f>
        <v>#VALUE!</v>
      </c>
      <c r="GIW6" s="68" t="e" cm="1" vm="1">
        <f t="array" ref="GIW6">_xlfn._xlws.FILTER(TablaProductos[Nombre producto],TablaProductos[Agrupación]=ProductosPivot!GIW5)</f>
        <v>#VALUE!</v>
      </c>
      <c r="GIX6" s="68" t="e" cm="1" vm="1">
        <f t="array" ref="GIX6">_xlfn._xlws.FILTER(TablaProductos[Nombre producto],TablaProductos[Agrupación]=ProductosPivot!GIX5)</f>
        <v>#VALUE!</v>
      </c>
      <c r="GIY6" s="68" t="e" cm="1" vm="1">
        <f t="array" ref="GIY6">_xlfn._xlws.FILTER(TablaProductos[Nombre producto],TablaProductos[Agrupación]=ProductosPivot!GIY5)</f>
        <v>#VALUE!</v>
      </c>
      <c r="GIZ6" s="68" t="e" cm="1" vm="1">
        <f t="array" ref="GIZ6">_xlfn._xlws.FILTER(TablaProductos[Nombre producto],TablaProductos[Agrupación]=ProductosPivot!GIZ5)</f>
        <v>#VALUE!</v>
      </c>
      <c r="GJA6" s="68" t="e" cm="1" vm="1">
        <f t="array" ref="GJA6">_xlfn._xlws.FILTER(TablaProductos[Nombre producto],TablaProductos[Agrupación]=ProductosPivot!GJA5)</f>
        <v>#VALUE!</v>
      </c>
      <c r="GJB6" s="68" t="e" cm="1" vm="1">
        <f t="array" ref="GJB6">_xlfn._xlws.FILTER(TablaProductos[Nombre producto],TablaProductos[Agrupación]=ProductosPivot!GJB5)</f>
        <v>#VALUE!</v>
      </c>
      <c r="GJC6" s="68" t="e" cm="1" vm="1">
        <f t="array" ref="GJC6">_xlfn._xlws.FILTER(TablaProductos[Nombre producto],TablaProductos[Agrupación]=ProductosPivot!GJC5)</f>
        <v>#VALUE!</v>
      </c>
      <c r="GJD6" s="68" t="e" cm="1" vm="1">
        <f t="array" ref="GJD6">_xlfn._xlws.FILTER(TablaProductos[Nombre producto],TablaProductos[Agrupación]=ProductosPivot!GJD5)</f>
        <v>#VALUE!</v>
      </c>
      <c r="GJE6" s="68" t="e" cm="1" vm="1">
        <f t="array" ref="GJE6">_xlfn._xlws.FILTER(TablaProductos[Nombre producto],TablaProductos[Agrupación]=ProductosPivot!GJE5)</f>
        <v>#VALUE!</v>
      </c>
      <c r="GJF6" s="68" t="e" cm="1" vm="1">
        <f t="array" ref="GJF6">_xlfn._xlws.FILTER(TablaProductos[Nombre producto],TablaProductos[Agrupación]=ProductosPivot!GJF5)</f>
        <v>#VALUE!</v>
      </c>
      <c r="GJG6" s="68" t="e" cm="1" vm="1">
        <f t="array" ref="GJG6">_xlfn._xlws.FILTER(TablaProductos[Nombre producto],TablaProductos[Agrupación]=ProductosPivot!GJG5)</f>
        <v>#VALUE!</v>
      </c>
      <c r="GJH6" s="68" t="e" cm="1" vm="1">
        <f t="array" ref="GJH6">_xlfn._xlws.FILTER(TablaProductos[Nombre producto],TablaProductos[Agrupación]=ProductosPivot!GJH5)</f>
        <v>#VALUE!</v>
      </c>
      <c r="GJI6" s="68" t="e" cm="1" vm="1">
        <f t="array" ref="GJI6">_xlfn._xlws.FILTER(TablaProductos[Nombre producto],TablaProductos[Agrupación]=ProductosPivot!GJI5)</f>
        <v>#VALUE!</v>
      </c>
      <c r="GJJ6" s="68" t="e" cm="1" vm="1">
        <f t="array" ref="GJJ6">_xlfn._xlws.FILTER(TablaProductos[Nombre producto],TablaProductos[Agrupación]=ProductosPivot!GJJ5)</f>
        <v>#VALUE!</v>
      </c>
      <c r="GJK6" s="68" t="e" cm="1" vm="1">
        <f t="array" ref="GJK6">_xlfn._xlws.FILTER(TablaProductos[Nombre producto],TablaProductos[Agrupación]=ProductosPivot!GJK5)</f>
        <v>#VALUE!</v>
      </c>
      <c r="GJL6" s="68" t="e" cm="1" vm="1">
        <f t="array" ref="GJL6">_xlfn._xlws.FILTER(TablaProductos[Nombre producto],TablaProductos[Agrupación]=ProductosPivot!GJL5)</f>
        <v>#VALUE!</v>
      </c>
      <c r="GJM6" s="68" t="e" cm="1" vm="1">
        <f t="array" ref="GJM6">_xlfn._xlws.FILTER(TablaProductos[Nombre producto],TablaProductos[Agrupación]=ProductosPivot!GJM5)</f>
        <v>#VALUE!</v>
      </c>
      <c r="GJN6" s="68" t="e" cm="1" vm="1">
        <f t="array" ref="GJN6">_xlfn._xlws.FILTER(TablaProductos[Nombre producto],TablaProductos[Agrupación]=ProductosPivot!GJN5)</f>
        <v>#VALUE!</v>
      </c>
      <c r="GJO6" s="68" t="e" cm="1" vm="1">
        <f t="array" ref="GJO6">_xlfn._xlws.FILTER(TablaProductos[Nombre producto],TablaProductos[Agrupación]=ProductosPivot!GJO5)</f>
        <v>#VALUE!</v>
      </c>
      <c r="GJP6" s="68" t="e" cm="1" vm="1">
        <f t="array" ref="GJP6">_xlfn._xlws.FILTER(TablaProductos[Nombre producto],TablaProductos[Agrupación]=ProductosPivot!GJP5)</f>
        <v>#VALUE!</v>
      </c>
      <c r="GJQ6" s="68" t="e" cm="1" vm="1">
        <f t="array" ref="GJQ6">_xlfn._xlws.FILTER(TablaProductos[Nombre producto],TablaProductos[Agrupación]=ProductosPivot!GJQ5)</f>
        <v>#VALUE!</v>
      </c>
      <c r="GJR6" s="68" t="e" cm="1" vm="1">
        <f t="array" ref="GJR6">_xlfn._xlws.FILTER(TablaProductos[Nombre producto],TablaProductos[Agrupación]=ProductosPivot!GJR5)</f>
        <v>#VALUE!</v>
      </c>
      <c r="GJS6" s="68" t="e" cm="1" vm="1">
        <f t="array" ref="GJS6">_xlfn._xlws.FILTER(TablaProductos[Nombre producto],TablaProductos[Agrupación]=ProductosPivot!GJS5)</f>
        <v>#VALUE!</v>
      </c>
      <c r="GJT6" s="68" t="e" cm="1" vm="1">
        <f t="array" ref="GJT6">_xlfn._xlws.FILTER(TablaProductos[Nombre producto],TablaProductos[Agrupación]=ProductosPivot!GJT5)</f>
        <v>#VALUE!</v>
      </c>
      <c r="GJU6" s="68" t="e" cm="1" vm="1">
        <f t="array" ref="GJU6">_xlfn._xlws.FILTER(TablaProductos[Nombre producto],TablaProductos[Agrupación]=ProductosPivot!GJU5)</f>
        <v>#VALUE!</v>
      </c>
      <c r="GJV6" s="68" t="e" cm="1" vm="1">
        <f t="array" ref="GJV6">_xlfn._xlws.FILTER(TablaProductos[Nombre producto],TablaProductos[Agrupación]=ProductosPivot!GJV5)</f>
        <v>#VALUE!</v>
      </c>
      <c r="GJW6" s="68" t="e" cm="1" vm="1">
        <f t="array" ref="GJW6">_xlfn._xlws.FILTER(TablaProductos[Nombre producto],TablaProductos[Agrupación]=ProductosPivot!GJW5)</f>
        <v>#VALUE!</v>
      </c>
      <c r="GJX6" s="68" t="e" cm="1" vm="1">
        <f t="array" ref="GJX6">_xlfn._xlws.FILTER(TablaProductos[Nombre producto],TablaProductos[Agrupación]=ProductosPivot!GJX5)</f>
        <v>#VALUE!</v>
      </c>
      <c r="GJY6" s="68" t="e" cm="1" vm="1">
        <f t="array" ref="GJY6">_xlfn._xlws.FILTER(TablaProductos[Nombre producto],TablaProductos[Agrupación]=ProductosPivot!GJY5)</f>
        <v>#VALUE!</v>
      </c>
      <c r="GJZ6" s="68" t="e" cm="1" vm="1">
        <f t="array" ref="GJZ6">_xlfn._xlws.FILTER(TablaProductos[Nombre producto],TablaProductos[Agrupación]=ProductosPivot!GJZ5)</f>
        <v>#VALUE!</v>
      </c>
      <c r="GKA6" s="68" t="e" cm="1" vm="1">
        <f t="array" ref="GKA6">_xlfn._xlws.FILTER(TablaProductos[Nombre producto],TablaProductos[Agrupación]=ProductosPivot!GKA5)</f>
        <v>#VALUE!</v>
      </c>
      <c r="GKB6" s="68" t="e" cm="1" vm="1">
        <f t="array" ref="GKB6">_xlfn._xlws.FILTER(TablaProductos[Nombre producto],TablaProductos[Agrupación]=ProductosPivot!GKB5)</f>
        <v>#VALUE!</v>
      </c>
      <c r="GKC6" s="68" t="e" cm="1" vm="1">
        <f t="array" ref="GKC6">_xlfn._xlws.FILTER(TablaProductos[Nombre producto],TablaProductos[Agrupación]=ProductosPivot!GKC5)</f>
        <v>#VALUE!</v>
      </c>
      <c r="GKD6" s="68" t="e" cm="1" vm="1">
        <f t="array" ref="GKD6">_xlfn._xlws.FILTER(TablaProductos[Nombre producto],TablaProductos[Agrupación]=ProductosPivot!GKD5)</f>
        <v>#VALUE!</v>
      </c>
      <c r="GKE6" s="68" t="e" cm="1" vm="1">
        <f t="array" ref="GKE6">_xlfn._xlws.FILTER(TablaProductos[Nombre producto],TablaProductos[Agrupación]=ProductosPivot!GKE5)</f>
        <v>#VALUE!</v>
      </c>
      <c r="GKF6" s="68" t="e" cm="1" vm="1">
        <f t="array" ref="GKF6">_xlfn._xlws.FILTER(TablaProductos[Nombre producto],TablaProductos[Agrupación]=ProductosPivot!GKF5)</f>
        <v>#VALUE!</v>
      </c>
      <c r="GKG6" s="68" t="e" cm="1" vm="1">
        <f t="array" ref="GKG6">_xlfn._xlws.FILTER(TablaProductos[Nombre producto],TablaProductos[Agrupación]=ProductosPivot!GKG5)</f>
        <v>#VALUE!</v>
      </c>
      <c r="GKH6" s="68" t="e" cm="1" vm="1">
        <f t="array" ref="GKH6">_xlfn._xlws.FILTER(TablaProductos[Nombre producto],TablaProductos[Agrupación]=ProductosPivot!GKH5)</f>
        <v>#VALUE!</v>
      </c>
      <c r="GKI6" s="68" t="e" cm="1" vm="1">
        <f t="array" ref="GKI6">_xlfn._xlws.FILTER(TablaProductos[Nombre producto],TablaProductos[Agrupación]=ProductosPivot!GKI5)</f>
        <v>#VALUE!</v>
      </c>
      <c r="GKJ6" s="68" t="e" cm="1" vm="1">
        <f t="array" ref="GKJ6">_xlfn._xlws.FILTER(TablaProductos[Nombre producto],TablaProductos[Agrupación]=ProductosPivot!GKJ5)</f>
        <v>#VALUE!</v>
      </c>
      <c r="GKK6" s="68" t="e" cm="1" vm="1">
        <f t="array" ref="GKK6">_xlfn._xlws.FILTER(TablaProductos[Nombre producto],TablaProductos[Agrupación]=ProductosPivot!GKK5)</f>
        <v>#VALUE!</v>
      </c>
      <c r="GKL6" s="68" t="e" cm="1" vm="1">
        <f t="array" ref="GKL6">_xlfn._xlws.FILTER(TablaProductos[Nombre producto],TablaProductos[Agrupación]=ProductosPivot!GKL5)</f>
        <v>#VALUE!</v>
      </c>
      <c r="GKM6" s="68" t="e" cm="1" vm="1">
        <f t="array" ref="GKM6">_xlfn._xlws.FILTER(TablaProductos[Nombre producto],TablaProductos[Agrupación]=ProductosPivot!GKM5)</f>
        <v>#VALUE!</v>
      </c>
      <c r="GKN6" s="68" t="e" cm="1" vm="1">
        <f t="array" ref="GKN6">_xlfn._xlws.FILTER(TablaProductos[Nombre producto],TablaProductos[Agrupación]=ProductosPivot!GKN5)</f>
        <v>#VALUE!</v>
      </c>
      <c r="GKO6" s="68" t="e" cm="1" vm="1">
        <f t="array" ref="GKO6">_xlfn._xlws.FILTER(TablaProductos[Nombre producto],TablaProductos[Agrupación]=ProductosPivot!GKO5)</f>
        <v>#VALUE!</v>
      </c>
      <c r="GKP6" s="68" t="e" cm="1" vm="1">
        <f t="array" ref="GKP6">_xlfn._xlws.FILTER(TablaProductos[Nombre producto],TablaProductos[Agrupación]=ProductosPivot!GKP5)</f>
        <v>#VALUE!</v>
      </c>
      <c r="GKQ6" s="68" t="e" cm="1" vm="1">
        <f t="array" ref="GKQ6">_xlfn._xlws.FILTER(TablaProductos[Nombre producto],TablaProductos[Agrupación]=ProductosPivot!GKQ5)</f>
        <v>#VALUE!</v>
      </c>
      <c r="GKR6" s="68" t="e" cm="1" vm="1">
        <f t="array" ref="GKR6">_xlfn._xlws.FILTER(TablaProductos[Nombre producto],TablaProductos[Agrupación]=ProductosPivot!GKR5)</f>
        <v>#VALUE!</v>
      </c>
      <c r="GKS6" s="68" t="e" cm="1" vm="1">
        <f t="array" ref="GKS6">_xlfn._xlws.FILTER(TablaProductos[Nombre producto],TablaProductos[Agrupación]=ProductosPivot!GKS5)</f>
        <v>#VALUE!</v>
      </c>
      <c r="GKT6" s="68" t="e" cm="1" vm="1">
        <f t="array" ref="GKT6">_xlfn._xlws.FILTER(TablaProductos[Nombre producto],TablaProductos[Agrupación]=ProductosPivot!GKT5)</f>
        <v>#VALUE!</v>
      </c>
      <c r="GKU6" s="68" t="e" cm="1" vm="1">
        <f t="array" ref="GKU6">_xlfn._xlws.FILTER(TablaProductos[Nombre producto],TablaProductos[Agrupación]=ProductosPivot!GKU5)</f>
        <v>#VALUE!</v>
      </c>
      <c r="GKV6" s="68" t="e" cm="1" vm="1">
        <f t="array" ref="GKV6">_xlfn._xlws.FILTER(TablaProductos[Nombre producto],TablaProductos[Agrupación]=ProductosPivot!GKV5)</f>
        <v>#VALUE!</v>
      </c>
      <c r="GKW6" s="68" t="e" cm="1" vm="1">
        <f t="array" ref="GKW6">_xlfn._xlws.FILTER(TablaProductos[Nombre producto],TablaProductos[Agrupación]=ProductosPivot!GKW5)</f>
        <v>#VALUE!</v>
      </c>
      <c r="GKX6" s="68" t="e" cm="1" vm="1">
        <f t="array" ref="GKX6">_xlfn._xlws.FILTER(TablaProductos[Nombre producto],TablaProductos[Agrupación]=ProductosPivot!GKX5)</f>
        <v>#VALUE!</v>
      </c>
      <c r="GKY6" s="68" t="e" cm="1" vm="1">
        <f t="array" ref="GKY6">_xlfn._xlws.FILTER(TablaProductos[Nombre producto],TablaProductos[Agrupación]=ProductosPivot!GKY5)</f>
        <v>#VALUE!</v>
      </c>
      <c r="GKZ6" s="68" t="e" cm="1" vm="1">
        <f t="array" ref="GKZ6">_xlfn._xlws.FILTER(TablaProductos[Nombre producto],TablaProductos[Agrupación]=ProductosPivot!GKZ5)</f>
        <v>#VALUE!</v>
      </c>
      <c r="GLA6" s="68" t="e" cm="1" vm="1">
        <f t="array" ref="GLA6">_xlfn._xlws.FILTER(TablaProductos[Nombre producto],TablaProductos[Agrupación]=ProductosPivot!GLA5)</f>
        <v>#VALUE!</v>
      </c>
      <c r="GLB6" s="68" t="e" cm="1" vm="1">
        <f t="array" ref="GLB6">_xlfn._xlws.FILTER(TablaProductos[Nombre producto],TablaProductos[Agrupación]=ProductosPivot!GLB5)</f>
        <v>#VALUE!</v>
      </c>
      <c r="GLC6" s="68" t="e" cm="1" vm="1">
        <f t="array" ref="GLC6">_xlfn._xlws.FILTER(TablaProductos[Nombre producto],TablaProductos[Agrupación]=ProductosPivot!GLC5)</f>
        <v>#VALUE!</v>
      </c>
      <c r="GLD6" s="68" t="e" cm="1" vm="1">
        <f t="array" ref="GLD6">_xlfn._xlws.FILTER(TablaProductos[Nombre producto],TablaProductos[Agrupación]=ProductosPivot!GLD5)</f>
        <v>#VALUE!</v>
      </c>
      <c r="GLE6" s="68" t="e" cm="1" vm="1">
        <f t="array" ref="GLE6">_xlfn._xlws.FILTER(TablaProductos[Nombre producto],TablaProductos[Agrupación]=ProductosPivot!GLE5)</f>
        <v>#VALUE!</v>
      </c>
      <c r="GLF6" s="68" t="e" cm="1" vm="1">
        <f t="array" ref="GLF6">_xlfn._xlws.FILTER(TablaProductos[Nombre producto],TablaProductos[Agrupación]=ProductosPivot!GLF5)</f>
        <v>#VALUE!</v>
      </c>
      <c r="GLG6" s="68" t="e" cm="1" vm="1">
        <f t="array" ref="GLG6">_xlfn._xlws.FILTER(TablaProductos[Nombre producto],TablaProductos[Agrupación]=ProductosPivot!GLG5)</f>
        <v>#VALUE!</v>
      </c>
      <c r="GLH6" s="68" t="e" cm="1" vm="1">
        <f t="array" ref="GLH6">_xlfn._xlws.FILTER(TablaProductos[Nombre producto],TablaProductos[Agrupación]=ProductosPivot!GLH5)</f>
        <v>#VALUE!</v>
      </c>
      <c r="GLI6" s="68" t="e" cm="1" vm="1">
        <f t="array" ref="GLI6">_xlfn._xlws.FILTER(TablaProductos[Nombre producto],TablaProductos[Agrupación]=ProductosPivot!GLI5)</f>
        <v>#VALUE!</v>
      </c>
      <c r="GLJ6" s="68" t="e" cm="1" vm="1">
        <f t="array" ref="GLJ6">_xlfn._xlws.FILTER(TablaProductos[Nombre producto],TablaProductos[Agrupación]=ProductosPivot!GLJ5)</f>
        <v>#VALUE!</v>
      </c>
      <c r="GLK6" s="68" t="e" cm="1" vm="1">
        <f t="array" ref="GLK6">_xlfn._xlws.FILTER(TablaProductos[Nombre producto],TablaProductos[Agrupación]=ProductosPivot!GLK5)</f>
        <v>#VALUE!</v>
      </c>
      <c r="GLL6" s="68" t="e" cm="1" vm="1">
        <f t="array" ref="GLL6">_xlfn._xlws.FILTER(TablaProductos[Nombre producto],TablaProductos[Agrupación]=ProductosPivot!GLL5)</f>
        <v>#VALUE!</v>
      </c>
      <c r="GLM6" s="68" t="e" cm="1" vm="1">
        <f t="array" ref="GLM6">_xlfn._xlws.FILTER(TablaProductos[Nombre producto],TablaProductos[Agrupación]=ProductosPivot!GLM5)</f>
        <v>#VALUE!</v>
      </c>
      <c r="GLN6" s="68" t="e" cm="1" vm="1">
        <f t="array" ref="GLN6">_xlfn._xlws.FILTER(TablaProductos[Nombre producto],TablaProductos[Agrupación]=ProductosPivot!GLN5)</f>
        <v>#VALUE!</v>
      </c>
      <c r="GLO6" s="68" t="e" cm="1" vm="1">
        <f t="array" ref="GLO6">_xlfn._xlws.FILTER(TablaProductos[Nombre producto],TablaProductos[Agrupación]=ProductosPivot!GLO5)</f>
        <v>#VALUE!</v>
      </c>
      <c r="GLP6" s="68" t="e" cm="1" vm="1">
        <f t="array" ref="GLP6">_xlfn._xlws.FILTER(TablaProductos[Nombre producto],TablaProductos[Agrupación]=ProductosPivot!GLP5)</f>
        <v>#VALUE!</v>
      </c>
      <c r="GLQ6" s="68" t="e" cm="1" vm="1">
        <f t="array" ref="GLQ6">_xlfn._xlws.FILTER(TablaProductos[Nombre producto],TablaProductos[Agrupación]=ProductosPivot!GLQ5)</f>
        <v>#VALUE!</v>
      </c>
      <c r="GLR6" s="68" t="e" cm="1" vm="1">
        <f t="array" ref="GLR6">_xlfn._xlws.FILTER(TablaProductos[Nombre producto],TablaProductos[Agrupación]=ProductosPivot!GLR5)</f>
        <v>#VALUE!</v>
      </c>
      <c r="GLS6" s="68" t="e" cm="1" vm="1">
        <f t="array" ref="GLS6">_xlfn._xlws.FILTER(TablaProductos[Nombre producto],TablaProductos[Agrupación]=ProductosPivot!GLS5)</f>
        <v>#VALUE!</v>
      </c>
      <c r="GLT6" s="68" t="e" cm="1" vm="1">
        <f t="array" ref="GLT6">_xlfn._xlws.FILTER(TablaProductos[Nombre producto],TablaProductos[Agrupación]=ProductosPivot!GLT5)</f>
        <v>#VALUE!</v>
      </c>
      <c r="GLU6" s="68" t="e" cm="1" vm="1">
        <f t="array" ref="GLU6">_xlfn._xlws.FILTER(TablaProductos[Nombre producto],TablaProductos[Agrupación]=ProductosPivot!GLU5)</f>
        <v>#VALUE!</v>
      </c>
      <c r="GLV6" s="68" t="e" cm="1" vm="1">
        <f t="array" ref="GLV6">_xlfn._xlws.FILTER(TablaProductos[Nombre producto],TablaProductos[Agrupación]=ProductosPivot!GLV5)</f>
        <v>#VALUE!</v>
      </c>
      <c r="GLW6" s="68" t="e" cm="1" vm="1">
        <f t="array" ref="GLW6">_xlfn._xlws.FILTER(TablaProductos[Nombre producto],TablaProductos[Agrupación]=ProductosPivot!GLW5)</f>
        <v>#VALUE!</v>
      </c>
      <c r="GLX6" s="68" t="e" cm="1" vm="1">
        <f t="array" ref="GLX6">_xlfn._xlws.FILTER(TablaProductos[Nombre producto],TablaProductos[Agrupación]=ProductosPivot!GLX5)</f>
        <v>#VALUE!</v>
      </c>
      <c r="GLY6" s="68" t="e" cm="1" vm="1">
        <f t="array" ref="GLY6">_xlfn._xlws.FILTER(TablaProductos[Nombre producto],TablaProductos[Agrupación]=ProductosPivot!GLY5)</f>
        <v>#VALUE!</v>
      </c>
      <c r="GLZ6" s="68" t="e" cm="1" vm="1">
        <f t="array" ref="GLZ6">_xlfn._xlws.FILTER(TablaProductos[Nombre producto],TablaProductos[Agrupación]=ProductosPivot!GLZ5)</f>
        <v>#VALUE!</v>
      </c>
      <c r="GMA6" s="68" t="e" cm="1" vm="1">
        <f t="array" ref="GMA6">_xlfn._xlws.FILTER(TablaProductos[Nombre producto],TablaProductos[Agrupación]=ProductosPivot!GMA5)</f>
        <v>#VALUE!</v>
      </c>
      <c r="GMB6" s="68" t="e" cm="1" vm="1">
        <f t="array" ref="GMB6">_xlfn._xlws.FILTER(TablaProductos[Nombre producto],TablaProductos[Agrupación]=ProductosPivot!GMB5)</f>
        <v>#VALUE!</v>
      </c>
      <c r="GMC6" s="68" t="e" cm="1" vm="1">
        <f t="array" ref="GMC6">_xlfn._xlws.FILTER(TablaProductos[Nombre producto],TablaProductos[Agrupación]=ProductosPivot!GMC5)</f>
        <v>#VALUE!</v>
      </c>
      <c r="GMD6" s="68" t="e" cm="1" vm="1">
        <f t="array" ref="GMD6">_xlfn._xlws.FILTER(TablaProductos[Nombre producto],TablaProductos[Agrupación]=ProductosPivot!GMD5)</f>
        <v>#VALUE!</v>
      </c>
      <c r="GME6" s="68" t="e" cm="1" vm="1">
        <f t="array" ref="GME6">_xlfn._xlws.FILTER(TablaProductos[Nombre producto],TablaProductos[Agrupación]=ProductosPivot!GME5)</f>
        <v>#VALUE!</v>
      </c>
      <c r="GMF6" s="68" t="e" cm="1" vm="1">
        <f t="array" ref="GMF6">_xlfn._xlws.FILTER(TablaProductos[Nombre producto],TablaProductos[Agrupación]=ProductosPivot!GMF5)</f>
        <v>#VALUE!</v>
      </c>
      <c r="GMG6" s="68" t="e" cm="1" vm="1">
        <f t="array" ref="GMG6">_xlfn._xlws.FILTER(TablaProductos[Nombre producto],TablaProductos[Agrupación]=ProductosPivot!GMG5)</f>
        <v>#VALUE!</v>
      </c>
      <c r="GMH6" s="68" t="e" cm="1" vm="1">
        <f t="array" ref="GMH6">_xlfn._xlws.FILTER(TablaProductos[Nombre producto],TablaProductos[Agrupación]=ProductosPivot!GMH5)</f>
        <v>#VALUE!</v>
      </c>
      <c r="GMI6" s="68" t="e" cm="1" vm="1">
        <f t="array" ref="GMI6">_xlfn._xlws.FILTER(TablaProductos[Nombre producto],TablaProductos[Agrupación]=ProductosPivot!GMI5)</f>
        <v>#VALUE!</v>
      </c>
      <c r="GMJ6" s="68" t="e" cm="1" vm="1">
        <f t="array" ref="GMJ6">_xlfn._xlws.FILTER(TablaProductos[Nombre producto],TablaProductos[Agrupación]=ProductosPivot!GMJ5)</f>
        <v>#VALUE!</v>
      </c>
      <c r="GMK6" s="68" t="e" cm="1" vm="1">
        <f t="array" ref="GMK6">_xlfn._xlws.FILTER(TablaProductos[Nombre producto],TablaProductos[Agrupación]=ProductosPivot!GMK5)</f>
        <v>#VALUE!</v>
      </c>
      <c r="GML6" s="68" t="e" cm="1" vm="1">
        <f t="array" ref="GML6">_xlfn._xlws.FILTER(TablaProductos[Nombre producto],TablaProductos[Agrupación]=ProductosPivot!GML5)</f>
        <v>#VALUE!</v>
      </c>
      <c r="GMM6" s="68" t="e" cm="1" vm="1">
        <f t="array" ref="GMM6">_xlfn._xlws.FILTER(TablaProductos[Nombre producto],TablaProductos[Agrupación]=ProductosPivot!GMM5)</f>
        <v>#VALUE!</v>
      </c>
      <c r="GMN6" s="68" t="e" cm="1" vm="1">
        <f t="array" ref="GMN6">_xlfn._xlws.FILTER(TablaProductos[Nombre producto],TablaProductos[Agrupación]=ProductosPivot!GMN5)</f>
        <v>#VALUE!</v>
      </c>
      <c r="GMO6" s="68" t="e" cm="1" vm="1">
        <f t="array" ref="GMO6">_xlfn._xlws.FILTER(TablaProductos[Nombre producto],TablaProductos[Agrupación]=ProductosPivot!GMO5)</f>
        <v>#VALUE!</v>
      </c>
      <c r="GMP6" s="68" t="e" cm="1" vm="1">
        <f t="array" ref="GMP6">_xlfn._xlws.FILTER(TablaProductos[Nombre producto],TablaProductos[Agrupación]=ProductosPivot!GMP5)</f>
        <v>#VALUE!</v>
      </c>
      <c r="GMQ6" s="68" t="e" cm="1" vm="1">
        <f t="array" ref="GMQ6">_xlfn._xlws.FILTER(TablaProductos[Nombre producto],TablaProductos[Agrupación]=ProductosPivot!GMQ5)</f>
        <v>#VALUE!</v>
      </c>
      <c r="GMR6" s="68" t="e" cm="1" vm="1">
        <f t="array" ref="GMR6">_xlfn._xlws.FILTER(TablaProductos[Nombre producto],TablaProductos[Agrupación]=ProductosPivot!GMR5)</f>
        <v>#VALUE!</v>
      </c>
      <c r="GMS6" s="68" t="e" cm="1" vm="1">
        <f t="array" ref="GMS6">_xlfn._xlws.FILTER(TablaProductos[Nombre producto],TablaProductos[Agrupación]=ProductosPivot!GMS5)</f>
        <v>#VALUE!</v>
      </c>
      <c r="GMT6" s="68" t="e" cm="1" vm="1">
        <f t="array" ref="GMT6">_xlfn._xlws.FILTER(TablaProductos[Nombre producto],TablaProductos[Agrupación]=ProductosPivot!GMT5)</f>
        <v>#VALUE!</v>
      </c>
      <c r="GMU6" s="68" t="e" cm="1" vm="1">
        <f t="array" ref="GMU6">_xlfn._xlws.FILTER(TablaProductos[Nombre producto],TablaProductos[Agrupación]=ProductosPivot!GMU5)</f>
        <v>#VALUE!</v>
      </c>
      <c r="GMV6" s="68" t="e" cm="1" vm="1">
        <f t="array" ref="GMV6">_xlfn._xlws.FILTER(TablaProductos[Nombre producto],TablaProductos[Agrupación]=ProductosPivot!GMV5)</f>
        <v>#VALUE!</v>
      </c>
      <c r="GMW6" s="68" t="e" cm="1" vm="1">
        <f t="array" ref="GMW6">_xlfn._xlws.FILTER(TablaProductos[Nombre producto],TablaProductos[Agrupación]=ProductosPivot!GMW5)</f>
        <v>#VALUE!</v>
      </c>
      <c r="GMX6" s="68" t="e" cm="1" vm="1">
        <f t="array" ref="GMX6">_xlfn._xlws.FILTER(TablaProductos[Nombre producto],TablaProductos[Agrupación]=ProductosPivot!GMX5)</f>
        <v>#VALUE!</v>
      </c>
      <c r="GMY6" s="68" t="e" cm="1" vm="1">
        <f t="array" ref="GMY6">_xlfn._xlws.FILTER(TablaProductos[Nombre producto],TablaProductos[Agrupación]=ProductosPivot!GMY5)</f>
        <v>#VALUE!</v>
      </c>
      <c r="GMZ6" s="68" t="e" cm="1" vm="1">
        <f t="array" ref="GMZ6">_xlfn._xlws.FILTER(TablaProductos[Nombre producto],TablaProductos[Agrupación]=ProductosPivot!GMZ5)</f>
        <v>#VALUE!</v>
      </c>
      <c r="GNA6" s="68" t="e" cm="1" vm="1">
        <f t="array" ref="GNA6">_xlfn._xlws.FILTER(TablaProductos[Nombre producto],TablaProductos[Agrupación]=ProductosPivot!GNA5)</f>
        <v>#VALUE!</v>
      </c>
      <c r="GNB6" s="68" t="e" cm="1" vm="1">
        <f t="array" ref="GNB6">_xlfn._xlws.FILTER(TablaProductos[Nombre producto],TablaProductos[Agrupación]=ProductosPivot!GNB5)</f>
        <v>#VALUE!</v>
      </c>
      <c r="GNC6" s="68" t="e" cm="1" vm="1">
        <f t="array" ref="GNC6">_xlfn._xlws.FILTER(TablaProductos[Nombre producto],TablaProductos[Agrupación]=ProductosPivot!GNC5)</f>
        <v>#VALUE!</v>
      </c>
      <c r="GND6" s="68" t="e" cm="1" vm="1">
        <f t="array" ref="GND6">_xlfn._xlws.FILTER(TablaProductos[Nombre producto],TablaProductos[Agrupación]=ProductosPivot!GND5)</f>
        <v>#VALUE!</v>
      </c>
      <c r="GNE6" s="68" t="e" cm="1" vm="1">
        <f t="array" ref="GNE6">_xlfn._xlws.FILTER(TablaProductos[Nombre producto],TablaProductos[Agrupación]=ProductosPivot!GNE5)</f>
        <v>#VALUE!</v>
      </c>
      <c r="GNF6" s="68" t="e" cm="1" vm="1">
        <f t="array" ref="GNF6">_xlfn._xlws.FILTER(TablaProductos[Nombre producto],TablaProductos[Agrupación]=ProductosPivot!GNF5)</f>
        <v>#VALUE!</v>
      </c>
      <c r="GNG6" s="68" t="e" cm="1" vm="1">
        <f t="array" ref="GNG6">_xlfn._xlws.FILTER(TablaProductos[Nombre producto],TablaProductos[Agrupación]=ProductosPivot!GNG5)</f>
        <v>#VALUE!</v>
      </c>
      <c r="GNH6" s="68" t="e" cm="1" vm="1">
        <f t="array" ref="GNH6">_xlfn._xlws.FILTER(TablaProductos[Nombre producto],TablaProductos[Agrupación]=ProductosPivot!GNH5)</f>
        <v>#VALUE!</v>
      </c>
      <c r="GNI6" s="68" t="e" cm="1" vm="1">
        <f t="array" ref="GNI6">_xlfn._xlws.FILTER(TablaProductos[Nombre producto],TablaProductos[Agrupación]=ProductosPivot!GNI5)</f>
        <v>#VALUE!</v>
      </c>
      <c r="GNJ6" s="68" t="e" cm="1" vm="1">
        <f t="array" ref="GNJ6">_xlfn._xlws.FILTER(TablaProductos[Nombre producto],TablaProductos[Agrupación]=ProductosPivot!GNJ5)</f>
        <v>#VALUE!</v>
      </c>
      <c r="GNK6" s="68" t="e" cm="1" vm="1">
        <f t="array" ref="GNK6">_xlfn._xlws.FILTER(TablaProductos[Nombre producto],TablaProductos[Agrupación]=ProductosPivot!GNK5)</f>
        <v>#VALUE!</v>
      </c>
      <c r="GNL6" s="68" t="e" cm="1" vm="1">
        <f t="array" ref="GNL6">_xlfn._xlws.FILTER(TablaProductos[Nombre producto],TablaProductos[Agrupación]=ProductosPivot!GNL5)</f>
        <v>#VALUE!</v>
      </c>
      <c r="GNM6" s="68" t="e" cm="1" vm="1">
        <f t="array" ref="GNM6">_xlfn._xlws.FILTER(TablaProductos[Nombre producto],TablaProductos[Agrupación]=ProductosPivot!GNM5)</f>
        <v>#VALUE!</v>
      </c>
      <c r="GNN6" s="68" t="e" cm="1" vm="1">
        <f t="array" ref="GNN6">_xlfn._xlws.FILTER(TablaProductos[Nombre producto],TablaProductos[Agrupación]=ProductosPivot!GNN5)</f>
        <v>#VALUE!</v>
      </c>
      <c r="GNO6" s="68" t="e" cm="1" vm="1">
        <f t="array" ref="GNO6">_xlfn._xlws.FILTER(TablaProductos[Nombre producto],TablaProductos[Agrupación]=ProductosPivot!GNO5)</f>
        <v>#VALUE!</v>
      </c>
      <c r="GNP6" s="68" t="e" cm="1" vm="1">
        <f t="array" ref="GNP6">_xlfn._xlws.FILTER(TablaProductos[Nombre producto],TablaProductos[Agrupación]=ProductosPivot!GNP5)</f>
        <v>#VALUE!</v>
      </c>
      <c r="GNQ6" s="68" t="e" cm="1" vm="1">
        <f t="array" ref="GNQ6">_xlfn._xlws.FILTER(TablaProductos[Nombre producto],TablaProductos[Agrupación]=ProductosPivot!GNQ5)</f>
        <v>#VALUE!</v>
      </c>
      <c r="GNR6" s="68" t="e" cm="1" vm="1">
        <f t="array" ref="GNR6">_xlfn._xlws.FILTER(TablaProductos[Nombre producto],TablaProductos[Agrupación]=ProductosPivot!GNR5)</f>
        <v>#VALUE!</v>
      </c>
      <c r="GNS6" s="68" t="e" cm="1" vm="1">
        <f t="array" ref="GNS6">_xlfn._xlws.FILTER(TablaProductos[Nombre producto],TablaProductos[Agrupación]=ProductosPivot!GNS5)</f>
        <v>#VALUE!</v>
      </c>
      <c r="GNT6" s="68" t="e" cm="1" vm="1">
        <f t="array" ref="GNT6">_xlfn._xlws.FILTER(TablaProductos[Nombre producto],TablaProductos[Agrupación]=ProductosPivot!GNT5)</f>
        <v>#VALUE!</v>
      </c>
      <c r="GNU6" s="68" t="e" cm="1" vm="1">
        <f t="array" ref="GNU6">_xlfn._xlws.FILTER(TablaProductos[Nombre producto],TablaProductos[Agrupación]=ProductosPivot!GNU5)</f>
        <v>#VALUE!</v>
      </c>
      <c r="GNV6" s="68" t="e" cm="1" vm="1">
        <f t="array" ref="GNV6">_xlfn._xlws.FILTER(TablaProductos[Nombre producto],TablaProductos[Agrupación]=ProductosPivot!GNV5)</f>
        <v>#VALUE!</v>
      </c>
      <c r="GNW6" s="68" t="e" cm="1" vm="1">
        <f t="array" ref="GNW6">_xlfn._xlws.FILTER(TablaProductos[Nombre producto],TablaProductos[Agrupación]=ProductosPivot!GNW5)</f>
        <v>#VALUE!</v>
      </c>
      <c r="GNX6" s="68" t="e" cm="1" vm="1">
        <f t="array" ref="GNX6">_xlfn._xlws.FILTER(TablaProductos[Nombre producto],TablaProductos[Agrupación]=ProductosPivot!GNX5)</f>
        <v>#VALUE!</v>
      </c>
      <c r="GNY6" s="68" t="e" cm="1" vm="1">
        <f t="array" ref="GNY6">_xlfn._xlws.FILTER(TablaProductos[Nombre producto],TablaProductos[Agrupación]=ProductosPivot!GNY5)</f>
        <v>#VALUE!</v>
      </c>
      <c r="GNZ6" s="68" t="e" cm="1" vm="1">
        <f t="array" ref="GNZ6">_xlfn._xlws.FILTER(TablaProductos[Nombre producto],TablaProductos[Agrupación]=ProductosPivot!GNZ5)</f>
        <v>#VALUE!</v>
      </c>
      <c r="GOA6" s="68" t="e" cm="1" vm="1">
        <f t="array" ref="GOA6">_xlfn._xlws.FILTER(TablaProductos[Nombre producto],TablaProductos[Agrupación]=ProductosPivot!GOA5)</f>
        <v>#VALUE!</v>
      </c>
      <c r="GOB6" s="68" t="e" cm="1" vm="1">
        <f t="array" ref="GOB6">_xlfn._xlws.FILTER(TablaProductos[Nombre producto],TablaProductos[Agrupación]=ProductosPivot!GOB5)</f>
        <v>#VALUE!</v>
      </c>
      <c r="GOC6" s="68" t="e" cm="1" vm="1">
        <f t="array" ref="GOC6">_xlfn._xlws.FILTER(TablaProductos[Nombre producto],TablaProductos[Agrupación]=ProductosPivot!GOC5)</f>
        <v>#VALUE!</v>
      </c>
      <c r="GOD6" s="68" t="e" cm="1" vm="1">
        <f t="array" ref="GOD6">_xlfn._xlws.FILTER(TablaProductos[Nombre producto],TablaProductos[Agrupación]=ProductosPivot!GOD5)</f>
        <v>#VALUE!</v>
      </c>
      <c r="GOE6" s="68" t="e" cm="1" vm="1">
        <f t="array" ref="GOE6">_xlfn._xlws.FILTER(TablaProductos[Nombre producto],TablaProductos[Agrupación]=ProductosPivot!GOE5)</f>
        <v>#VALUE!</v>
      </c>
      <c r="GOF6" s="68" t="e" cm="1" vm="1">
        <f t="array" ref="GOF6">_xlfn._xlws.FILTER(TablaProductos[Nombre producto],TablaProductos[Agrupación]=ProductosPivot!GOF5)</f>
        <v>#VALUE!</v>
      </c>
      <c r="GOG6" s="68" t="e" cm="1" vm="1">
        <f t="array" ref="GOG6">_xlfn._xlws.FILTER(TablaProductos[Nombre producto],TablaProductos[Agrupación]=ProductosPivot!GOG5)</f>
        <v>#VALUE!</v>
      </c>
      <c r="GOH6" s="68" t="e" cm="1" vm="1">
        <f t="array" ref="GOH6">_xlfn._xlws.FILTER(TablaProductos[Nombre producto],TablaProductos[Agrupación]=ProductosPivot!GOH5)</f>
        <v>#VALUE!</v>
      </c>
      <c r="GOI6" s="68" t="e" cm="1" vm="1">
        <f t="array" ref="GOI6">_xlfn._xlws.FILTER(TablaProductos[Nombre producto],TablaProductos[Agrupación]=ProductosPivot!GOI5)</f>
        <v>#VALUE!</v>
      </c>
      <c r="GOJ6" s="68" t="e" cm="1" vm="1">
        <f t="array" ref="GOJ6">_xlfn._xlws.FILTER(TablaProductos[Nombre producto],TablaProductos[Agrupación]=ProductosPivot!GOJ5)</f>
        <v>#VALUE!</v>
      </c>
      <c r="GOK6" s="68" t="e" cm="1" vm="1">
        <f t="array" ref="GOK6">_xlfn._xlws.FILTER(TablaProductos[Nombre producto],TablaProductos[Agrupación]=ProductosPivot!GOK5)</f>
        <v>#VALUE!</v>
      </c>
      <c r="GOL6" s="68" t="e" cm="1" vm="1">
        <f t="array" ref="GOL6">_xlfn._xlws.FILTER(TablaProductos[Nombre producto],TablaProductos[Agrupación]=ProductosPivot!GOL5)</f>
        <v>#VALUE!</v>
      </c>
      <c r="GOM6" s="68" t="e" cm="1" vm="1">
        <f t="array" ref="GOM6">_xlfn._xlws.FILTER(TablaProductos[Nombre producto],TablaProductos[Agrupación]=ProductosPivot!GOM5)</f>
        <v>#VALUE!</v>
      </c>
      <c r="GON6" s="68" t="e" cm="1" vm="1">
        <f t="array" ref="GON6">_xlfn._xlws.FILTER(TablaProductos[Nombre producto],TablaProductos[Agrupación]=ProductosPivot!GON5)</f>
        <v>#VALUE!</v>
      </c>
      <c r="GOO6" s="68" t="e" cm="1" vm="1">
        <f t="array" ref="GOO6">_xlfn._xlws.FILTER(TablaProductos[Nombre producto],TablaProductos[Agrupación]=ProductosPivot!GOO5)</f>
        <v>#VALUE!</v>
      </c>
      <c r="GOP6" s="68" t="e" cm="1" vm="1">
        <f t="array" ref="GOP6">_xlfn._xlws.FILTER(TablaProductos[Nombre producto],TablaProductos[Agrupación]=ProductosPivot!GOP5)</f>
        <v>#VALUE!</v>
      </c>
      <c r="GOQ6" s="68" t="e" cm="1" vm="1">
        <f t="array" ref="GOQ6">_xlfn._xlws.FILTER(TablaProductos[Nombre producto],TablaProductos[Agrupación]=ProductosPivot!GOQ5)</f>
        <v>#VALUE!</v>
      </c>
      <c r="GOR6" s="68" t="e" cm="1" vm="1">
        <f t="array" ref="GOR6">_xlfn._xlws.FILTER(TablaProductos[Nombre producto],TablaProductos[Agrupación]=ProductosPivot!GOR5)</f>
        <v>#VALUE!</v>
      </c>
      <c r="GOS6" s="68" t="e" cm="1" vm="1">
        <f t="array" ref="GOS6">_xlfn._xlws.FILTER(TablaProductos[Nombre producto],TablaProductos[Agrupación]=ProductosPivot!GOS5)</f>
        <v>#VALUE!</v>
      </c>
      <c r="GOT6" s="68" t="e" cm="1" vm="1">
        <f t="array" ref="GOT6">_xlfn._xlws.FILTER(TablaProductos[Nombre producto],TablaProductos[Agrupación]=ProductosPivot!GOT5)</f>
        <v>#VALUE!</v>
      </c>
      <c r="GOU6" s="68" t="e" cm="1" vm="1">
        <f t="array" ref="GOU6">_xlfn._xlws.FILTER(TablaProductos[Nombre producto],TablaProductos[Agrupación]=ProductosPivot!GOU5)</f>
        <v>#VALUE!</v>
      </c>
      <c r="GOV6" s="68" t="e" cm="1" vm="1">
        <f t="array" ref="GOV6">_xlfn._xlws.FILTER(TablaProductos[Nombre producto],TablaProductos[Agrupación]=ProductosPivot!GOV5)</f>
        <v>#VALUE!</v>
      </c>
      <c r="GOW6" s="68" t="e" cm="1" vm="1">
        <f t="array" ref="GOW6">_xlfn._xlws.FILTER(TablaProductos[Nombre producto],TablaProductos[Agrupación]=ProductosPivot!GOW5)</f>
        <v>#VALUE!</v>
      </c>
      <c r="GOX6" s="68" t="e" cm="1" vm="1">
        <f t="array" ref="GOX6">_xlfn._xlws.FILTER(TablaProductos[Nombre producto],TablaProductos[Agrupación]=ProductosPivot!GOX5)</f>
        <v>#VALUE!</v>
      </c>
      <c r="GOY6" s="68" t="e" cm="1" vm="1">
        <f t="array" ref="GOY6">_xlfn._xlws.FILTER(TablaProductos[Nombre producto],TablaProductos[Agrupación]=ProductosPivot!GOY5)</f>
        <v>#VALUE!</v>
      </c>
      <c r="GOZ6" s="68" t="e" cm="1" vm="1">
        <f t="array" ref="GOZ6">_xlfn._xlws.FILTER(TablaProductos[Nombre producto],TablaProductos[Agrupación]=ProductosPivot!GOZ5)</f>
        <v>#VALUE!</v>
      </c>
      <c r="GPA6" s="68" t="e" cm="1" vm="1">
        <f t="array" ref="GPA6">_xlfn._xlws.FILTER(TablaProductos[Nombre producto],TablaProductos[Agrupación]=ProductosPivot!GPA5)</f>
        <v>#VALUE!</v>
      </c>
      <c r="GPB6" s="68" t="e" cm="1" vm="1">
        <f t="array" ref="GPB6">_xlfn._xlws.FILTER(TablaProductos[Nombre producto],TablaProductos[Agrupación]=ProductosPivot!GPB5)</f>
        <v>#VALUE!</v>
      </c>
      <c r="GPC6" s="68" t="e" cm="1" vm="1">
        <f t="array" ref="GPC6">_xlfn._xlws.FILTER(TablaProductos[Nombre producto],TablaProductos[Agrupación]=ProductosPivot!GPC5)</f>
        <v>#VALUE!</v>
      </c>
      <c r="GPD6" s="68" t="e" cm="1" vm="1">
        <f t="array" ref="GPD6">_xlfn._xlws.FILTER(TablaProductos[Nombre producto],TablaProductos[Agrupación]=ProductosPivot!GPD5)</f>
        <v>#VALUE!</v>
      </c>
      <c r="GPE6" s="68" t="e" cm="1" vm="1">
        <f t="array" ref="GPE6">_xlfn._xlws.FILTER(TablaProductos[Nombre producto],TablaProductos[Agrupación]=ProductosPivot!GPE5)</f>
        <v>#VALUE!</v>
      </c>
      <c r="GPF6" s="68" t="e" cm="1" vm="1">
        <f t="array" ref="GPF6">_xlfn._xlws.FILTER(TablaProductos[Nombre producto],TablaProductos[Agrupación]=ProductosPivot!GPF5)</f>
        <v>#VALUE!</v>
      </c>
      <c r="GPG6" s="68" t="e" cm="1" vm="1">
        <f t="array" ref="GPG6">_xlfn._xlws.FILTER(TablaProductos[Nombre producto],TablaProductos[Agrupación]=ProductosPivot!GPG5)</f>
        <v>#VALUE!</v>
      </c>
      <c r="GPH6" s="68" t="e" cm="1" vm="1">
        <f t="array" ref="GPH6">_xlfn._xlws.FILTER(TablaProductos[Nombre producto],TablaProductos[Agrupación]=ProductosPivot!GPH5)</f>
        <v>#VALUE!</v>
      </c>
      <c r="GPI6" s="68" t="e" cm="1" vm="1">
        <f t="array" ref="GPI6">_xlfn._xlws.FILTER(TablaProductos[Nombre producto],TablaProductos[Agrupación]=ProductosPivot!GPI5)</f>
        <v>#VALUE!</v>
      </c>
      <c r="GPJ6" s="68" t="e" cm="1" vm="1">
        <f t="array" ref="GPJ6">_xlfn._xlws.FILTER(TablaProductos[Nombre producto],TablaProductos[Agrupación]=ProductosPivot!GPJ5)</f>
        <v>#VALUE!</v>
      </c>
      <c r="GPK6" s="68" t="e" cm="1" vm="1">
        <f t="array" ref="GPK6">_xlfn._xlws.FILTER(TablaProductos[Nombre producto],TablaProductos[Agrupación]=ProductosPivot!GPK5)</f>
        <v>#VALUE!</v>
      </c>
      <c r="GPL6" s="68" t="e" cm="1" vm="1">
        <f t="array" ref="GPL6">_xlfn._xlws.FILTER(TablaProductos[Nombre producto],TablaProductos[Agrupación]=ProductosPivot!GPL5)</f>
        <v>#VALUE!</v>
      </c>
      <c r="GPM6" s="68" t="e" cm="1" vm="1">
        <f t="array" ref="GPM6">_xlfn._xlws.FILTER(TablaProductos[Nombre producto],TablaProductos[Agrupación]=ProductosPivot!GPM5)</f>
        <v>#VALUE!</v>
      </c>
      <c r="GPN6" s="68" t="e" cm="1" vm="1">
        <f t="array" ref="GPN6">_xlfn._xlws.FILTER(TablaProductos[Nombre producto],TablaProductos[Agrupación]=ProductosPivot!GPN5)</f>
        <v>#VALUE!</v>
      </c>
      <c r="GPO6" s="68" t="e" cm="1" vm="1">
        <f t="array" ref="GPO6">_xlfn._xlws.FILTER(TablaProductos[Nombre producto],TablaProductos[Agrupación]=ProductosPivot!GPO5)</f>
        <v>#VALUE!</v>
      </c>
      <c r="GPP6" s="68" t="e" cm="1" vm="1">
        <f t="array" ref="GPP6">_xlfn._xlws.FILTER(TablaProductos[Nombre producto],TablaProductos[Agrupación]=ProductosPivot!GPP5)</f>
        <v>#VALUE!</v>
      </c>
      <c r="GPQ6" s="68" t="e" cm="1" vm="1">
        <f t="array" ref="GPQ6">_xlfn._xlws.FILTER(TablaProductos[Nombre producto],TablaProductos[Agrupación]=ProductosPivot!GPQ5)</f>
        <v>#VALUE!</v>
      </c>
      <c r="GPR6" s="68" t="e" cm="1" vm="1">
        <f t="array" ref="GPR6">_xlfn._xlws.FILTER(TablaProductos[Nombre producto],TablaProductos[Agrupación]=ProductosPivot!GPR5)</f>
        <v>#VALUE!</v>
      </c>
      <c r="GPS6" s="68" t="e" cm="1" vm="1">
        <f t="array" ref="GPS6">_xlfn._xlws.FILTER(TablaProductos[Nombre producto],TablaProductos[Agrupación]=ProductosPivot!GPS5)</f>
        <v>#VALUE!</v>
      </c>
      <c r="GPT6" s="68" t="e" cm="1" vm="1">
        <f t="array" ref="GPT6">_xlfn._xlws.FILTER(TablaProductos[Nombre producto],TablaProductos[Agrupación]=ProductosPivot!GPT5)</f>
        <v>#VALUE!</v>
      </c>
      <c r="GPU6" s="68" t="e" cm="1" vm="1">
        <f t="array" ref="GPU6">_xlfn._xlws.FILTER(TablaProductos[Nombre producto],TablaProductos[Agrupación]=ProductosPivot!GPU5)</f>
        <v>#VALUE!</v>
      </c>
      <c r="GPV6" s="68" t="e" cm="1" vm="1">
        <f t="array" ref="GPV6">_xlfn._xlws.FILTER(TablaProductos[Nombre producto],TablaProductos[Agrupación]=ProductosPivot!GPV5)</f>
        <v>#VALUE!</v>
      </c>
      <c r="GPW6" s="68" t="e" cm="1" vm="1">
        <f t="array" ref="GPW6">_xlfn._xlws.FILTER(TablaProductos[Nombre producto],TablaProductos[Agrupación]=ProductosPivot!GPW5)</f>
        <v>#VALUE!</v>
      </c>
      <c r="GPX6" s="68" t="e" cm="1" vm="1">
        <f t="array" ref="GPX6">_xlfn._xlws.FILTER(TablaProductos[Nombre producto],TablaProductos[Agrupación]=ProductosPivot!GPX5)</f>
        <v>#VALUE!</v>
      </c>
      <c r="GPY6" s="68" t="e" cm="1" vm="1">
        <f t="array" ref="GPY6">_xlfn._xlws.FILTER(TablaProductos[Nombre producto],TablaProductos[Agrupación]=ProductosPivot!GPY5)</f>
        <v>#VALUE!</v>
      </c>
      <c r="GPZ6" s="68" t="e" cm="1" vm="1">
        <f t="array" ref="GPZ6">_xlfn._xlws.FILTER(TablaProductos[Nombre producto],TablaProductos[Agrupación]=ProductosPivot!GPZ5)</f>
        <v>#VALUE!</v>
      </c>
      <c r="GQA6" s="68" t="e" cm="1" vm="1">
        <f t="array" ref="GQA6">_xlfn._xlws.FILTER(TablaProductos[Nombre producto],TablaProductos[Agrupación]=ProductosPivot!GQA5)</f>
        <v>#VALUE!</v>
      </c>
      <c r="GQB6" s="68" t="e" cm="1" vm="1">
        <f t="array" ref="GQB6">_xlfn._xlws.FILTER(TablaProductos[Nombre producto],TablaProductos[Agrupación]=ProductosPivot!GQB5)</f>
        <v>#VALUE!</v>
      </c>
      <c r="GQC6" s="68" t="e" cm="1" vm="1">
        <f t="array" ref="GQC6">_xlfn._xlws.FILTER(TablaProductos[Nombre producto],TablaProductos[Agrupación]=ProductosPivot!GQC5)</f>
        <v>#VALUE!</v>
      </c>
      <c r="GQD6" s="68" t="e" cm="1" vm="1">
        <f t="array" ref="GQD6">_xlfn._xlws.FILTER(TablaProductos[Nombre producto],TablaProductos[Agrupación]=ProductosPivot!GQD5)</f>
        <v>#VALUE!</v>
      </c>
      <c r="GQE6" s="68" t="e" cm="1" vm="1">
        <f t="array" ref="GQE6">_xlfn._xlws.FILTER(TablaProductos[Nombre producto],TablaProductos[Agrupación]=ProductosPivot!GQE5)</f>
        <v>#VALUE!</v>
      </c>
      <c r="GQF6" s="68" t="e" cm="1" vm="1">
        <f t="array" ref="GQF6">_xlfn._xlws.FILTER(TablaProductos[Nombre producto],TablaProductos[Agrupación]=ProductosPivot!GQF5)</f>
        <v>#VALUE!</v>
      </c>
      <c r="GQG6" s="68" t="e" cm="1" vm="1">
        <f t="array" ref="GQG6">_xlfn._xlws.FILTER(TablaProductos[Nombre producto],TablaProductos[Agrupación]=ProductosPivot!GQG5)</f>
        <v>#VALUE!</v>
      </c>
      <c r="GQH6" s="68" t="e" cm="1" vm="1">
        <f t="array" ref="GQH6">_xlfn._xlws.FILTER(TablaProductos[Nombre producto],TablaProductos[Agrupación]=ProductosPivot!GQH5)</f>
        <v>#VALUE!</v>
      </c>
      <c r="GQI6" s="68" t="e" cm="1" vm="1">
        <f t="array" ref="GQI6">_xlfn._xlws.FILTER(TablaProductos[Nombre producto],TablaProductos[Agrupación]=ProductosPivot!GQI5)</f>
        <v>#VALUE!</v>
      </c>
      <c r="GQJ6" s="68" t="e" cm="1" vm="1">
        <f t="array" ref="GQJ6">_xlfn._xlws.FILTER(TablaProductos[Nombre producto],TablaProductos[Agrupación]=ProductosPivot!GQJ5)</f>
        <v>#VALUE!</v>
      </c>
      <c r="GQK6" s="68" t="e" cm="1" vm="1">
        <f t="array" ref="GQK6">_xlfn._xlws.FILTER(TablaProductos[Nombre producto],TablaProductos[Agrupación]=ProductosPivot!GQK5)</f>
        <v>#VALUE!</v>
      </c>
      <c r="GQL6" s="68" t="e" cm="1" vm="1">
        <f t="array" ref="GQL6">_xlfn._xlws.FILTER(TablaProductos[Nombre producto],TablaProductos[Agrupación]=ProductosPivot!GQL5)</f>
        <v>#VALUE!</v>
      </c>
      <c r="GQM6" s="68" t="e" cm="1" vm="1">
        <f t="array" ref="GQM6">_xlfn._xlws.FILTER(TablaProductos[Nombre producto],TablaProductos[Agrupación]=ProductosPivot!GQM5)</f>
        <v>#VALUE!</v>
      </c>
      <c r="GQN6" s="68" t="e" cm="1" vm="1">
        <f t="array" ref="GQN6">_xlfn._xlws.FILTER(TablaProductos[Nombre producto],TablaProductos[Agrupación]=ProductosPivot!GQN5)</f>
        <v>#VALUE!</v>
      </c>
      <c r="GQO6" s="68" t="e" cm="1" vm="1">
        <f t="array" ref="GQO6">_xlfn._xlws.FILTER(TablaProductos[Nombre producto],TablaProductos[Agrupación]=ProductosPivot!GQO5)</f>
        <v>#VALUE!</v>
      </c>
      <c r="GQP6" s="68" t="e" cm="1" vm="1">
        <f t="array" ref="GQP6">_xlfn._xlws.FILTER(TablaProductos[Nombre producto],TablaProductos[Agrupación]=ProductosPivot!GQP5)</f>
        <v>#VALUE!</v>
      </c>
      <c r="GQQ6" s="68" t="e" cm="1" vm="1">
        <f t="array" ref="GQQ6">_xlfn._xlws.FILTER(TablaProductos[Nombre producto],TablaProductos[Agrupación]=ProductosPivot!GQQ5)</f>
        <v>#VALUE!</v>
      </c>
      <c r="GQR6" s="68" t="e" cm="1" vm="1">
        <f t="array" ref="GQR6">_xlfn._xlws.FILTER(TablaProductos[Nombre producto],TablaProductos[Agrupación]=ProductosPivot!GQR5)</f>
        <v>#VALUE!</v>
      </c>
      <c r="GQS6" s="68" t="e" cm="1" vm="1">
        <f t="array" ref="GQS6">_xlfn._xlws.FILTER(TablaProductos[Nombre producto],TablaProductos[Agrupación]=ProductosPivot!GQS5)</f>
        <v>#VALUE!</v>
      </c>
      <c r="GQT6" s="68" t="e" cm="1" vm="1">
        <f t="array" ref="GQT6">_xlfn._xlws.FILTER(TablaProductos[Nombre producto],TablaProductos[Agrupación]=ProductosPivot!GQT5)</f>
        <v>#VALUE!</v>
      </c>
      <c r="GQU6" s="68" t="e" cm="1" vm="1">
        <f t="array" ref="GQU6">_xlfn._xlws.FILTER(TablaProductos[Nombre producto],TablaProductos[Agrupación]=ProductosPivot!GQU5)</f>
        <v>#VALUE!</v>
      </c>
      <c r="GQV6" s="68" t="e" cm="1" vm="1">
        <f t="array" ref="GQV6">_xlfn._xlws.FILTER(TablaProductos[Nombre producto],TablaProductos[Agrupación]=ProductosPivot!GQV5)</f>
        <v>#VALUE!</v>
      </c>
      <c r="GQW6" s="68" t="e" cm="1" vm="1">
        <f t="array" ref="GQW6">_xlfn._xlws.FILTER(TablaProductos[Nombre producto],TablaProductos[Agrupación]=ProductosPivot!GQW5)</f>
        <v>#VALUE!</v>
      </c>
      <c r="GQX6" s="68" t="e" cm="1" vm="1">
        <f t="array" ref="GQX6">_xlfn._xlws.FILTER(TablaProductos[Nombre producto],TablaProductos[Agrupación]=ProductosPivot!GQX5)</f>
        <v>#VALUE!</v>
      </c>
      <c r="GQY6" s="68" t="e" cm="1" vm="1">
        <f t="array" ref="GQY6">_xlfn._xlws.FILTER(TablaProductos[Nombre producto],TablaProductos[Agrupación]=ProductosPivot!GQY5)</f>
        <v>#VALUE!</v>
      </c>
      <c r="GQZ6" s="68" t="e" cm="1" vm="1">
        <f t="array" ref="GQZ6">_xlfn._xlws.FILTER(TablaProductos[Nombre producto],TablaProductos[Agrupación]=ProductosPivot!GQZ5)</f>
        <v>#VALUE!</v>
      </c>
      <c r="GRA6" s="68" t="e" cm="1" vm="1">
        <f t="array" ref="GRA6">_xlfn._xlws.FILTER(TablaProductos[Nombre producto],TablaProductos[Agrupación]=ProductosPivot!GRA5)</f>
        <v>#VALUE!</v>
      </c>
      <c r="GRB6" s="68" t="e" cm="1" vm="1">
        <f t="array" ref="GRB6">_xlfn._xlws.FILTER(TablaProductos[Nombre producto],TablaProductos[Agrupación]=ProductosPivot!GRB5)</f>
        <v>#VALUE!</v>
      </c>
      <c r="GRC6" s="68" t="e" cm="1" vm="1">
        <f t="array" ref="GRC6">_xlfn._xlws.FILTER(TablaProductos[Nombre producto],TablaProductos[Agrupación]=ProductosPivot!GRC5)</f>
        <v>#VALUE!</v>
      </c>
      <c r="GRD6" s="68" t="e" cm="1" vm="1">
        <f t="array" ref="GRD6">_xlfn._xlws.FILTER(TablaProductos[Nombre producto],TablaProductos[Agrupación]=ProductosPivot!GRD5)</f>
        <v>#VALUE!</v>
      </c>
      <c r="GRE6" s="68" t="e" cm="1" vm="1">
        <f t="array" ref="GRE6">_xlfn._xlws.FILTER(TablaProductos[Nombre producto],TablaProductos[Agrupación]=ProductosPivot!GRE5)</f>
        <v>#VALUE!</v>
      </c>
      <c r="GRF6" s="68" t="e" cm="1" vm="1">
        <f t="array" ref="GRF6">_xlfn._xlws.FILTER(TablaProductos[Nombre producto],TablaProductos[Agrupación]=ProductosPivot!GRF5)</f>
        <v>#VALUE!</v>
      </c>
      <c r="GRG6" s="68" t="e" cm="1" vm="1">
        <f t="array" ref="GRG6">_xlfn._xlws.FILTER(TablaProductos[Nombre producto],TablaProductos[Agrupación]=ProductosPivot!GRG5)</f>
        <v>#VALUE!</v>
      </c>
      <c r="GRH6" s="68" t="e" cm="1" vm="1">
        <f t="array" ref="GRH6">_xlfn._xlws.FILTER(TablaProductos[Nombre producto],TablaProductos[Agrupación]=ProductosPivot!GRH5)</f>
        <v>#VALUE!</v>
      </c>
      <c r="GRI6" s="68" t="e" cm="1" vm="1">
        <f t="array" ref="GRI6">_xlfn._xlws.FILTER(TablaProductos[Nombre producto],TablaProductos[Agrupación]=ProductosPivot!GRI5)</f>
        <v>#VALUE!</v>
      </c>
      <c r="GRJ6" s="68" t="e" cm="1" vm="1">
        <f t="array" ref="GRJ6">_xlfn._xlws.FILTER(TablaProductos[Nombre producto],TablaProductos[Agrupación]=ProductosPivot!GRJ5)</f>
        <v>#VALUE!</v>
      </c>
      <c r="GRK6" s="68" t="e" cm="1" vm="1">
        <f t="array" ref="GRK6">_xlfn._xlws.FILTER(TablaProductos[Nombre producto],TablaProductos[Agrupación]=ProductosPivot!GRK5)</f>
        <v>#VALUE!</v>
      </c>
      <c r="GRL6" s="68" t="e" cm="1" vm="1">
        <f t="array" ref="GRL6">_xlfn._xlws.FILTER(TablaProductos[Nombre producto],TablaProductos[Agrupación]=ProductosPivot!GRL5)</f>
        <v>#VALUE!</v>
      </c>
      <c r="GRM6" s="68" t="e" cm="1" vm="1">
        <f t="array" ref="GRM6">_xlfn._xlws.FILTER(TablaProductos[Nombre producto],TablaProductos[Agrupación]=ProductosPivot!GRM5)</f>
        <v>#VALUE!</v>
      </c>
      <c r="GRN6" s="68" t="e" cm="1" vm="1">
        <f t="array" ref="GRN6">_xlfn._xlws.FILTER(TablaProductos[Nombre producto],TablaProductos[Agrupación]=ProductosPivot!GRN5)</f>
        <v>#VALUE!</v>
      </c>
      <c r="GRO6" s="68" t="e" cm="1" vm="1">
        <f t="array" ref="GRO6">_xlfn._xlws.FILTER(TablaProductos[Nombre producto],TablaProductos[Agrupación]=ProductosPivot!GRO5)</f>
        <v>#VALUE!</v>
      </c>
      <c r="GRP6" s="68" t="e" cm="1" vm="1">
        <f t="array" ref="GRP6">_xlfn._xlws.FILTER(TablaProductos[Nombre producto],TablaProductos[Agrupación]=ProductosPivot!GRP5)</f>
        <v>#VALUE!</v>
      </c>
      <c r="GRQ6" s="68" t="e" cm="1" vm="1">
        <f t="array" ref="GRQ6">_xlfn._xlws.FILTER(TablaProductos[Nombre producto],TablaProductos[Agrupación]=ProductosPivot!GRQ5)</f>
        <v>#VALUE!</v>
      </c>
      <c r="GRR6" s="68" t="e" cm="1" vm="1">
        <f t="array" ref="GRR6">_xlfn._xlws.FILTER(TablaProductos[Nombre producto],TablaProductos[Agrupación]=ProductosPivot!GRR5)</f>
        <v>#VALUE!</v>
      </c>
      <c r="GRS6" s="68" t="e" cm="1" vm="1">
        <f t="array" ref="GRS6">_xlfn._xlws.FILTER(TablaProductos[Nombre producto],TablaProductos[Agrupación]=ProductosPivot!GRS5)</f>
        <v>#VALUE!</v>
      </c>
      <c r="GRT6" s="68" t="e" cm="1" vm="1">
        <f t="array" ref="GRT6">_xlfn._xlws.FILTER(TablaProductos[Nombre producto],TablaProductos[Agrupación]=ProductosPivot!GRT5)</f>
        <v>#VALUE!</v>
      </c>
      <c r="GRU6" s="68" t="e" cm="1" vm="1">
        <f t="array" ref="GRU6">_xlfn._xlws.FILTER(TablaProductos[Nombre producto],TablaProductos[Agrupación]=ProductosPivot!GRU5)</f>
        <v>#VALUE!</v>
      </c>
      <c r="GRV6" s="68" t="e" cm="1" vm="1">
        <f t="array" ref="GRV6">_xlfn._xlws.FILTER(TablaProductos[Nombre producto],TablaProductos[Agrupación]=ProductosPivot!GRV5)</f>
        <v>#VALUE!</v>
      </c>
      <c r="GRW6" s="68" t="e" cm="1" vm="1">
        <f t="array" ref="GRW6">_xlfn._xlws.FILTER(TablaProductos[Nombre producto],TablaProductos[Agrupación]=ProductosPivot!GRW5)</f>
        <v>#VALUE!</v>
      </c>
      <c r="GRX6" s="68" t="e" cm="1" vm="1">
        <f t="array" ref="GRX6">_xlfn._xlws.FILTER(TablaProductos[Nombre producto],TablaProductos[Agrupación]=ProductosPivot!GRX5)</f>
        <v>#VALUE!</v>
      </c>
      <c r="GRY6" s="68" t="e" cm="1" vm="1">
        <f t="array" ref="GRY6">_xlfn._xlws.FILTER(TablaProductos[Nombre producto],TablaProductos[Agrupación]=ProductosPivot!GRY5)</f>
        <v>#VALUE!</v>
      </c>
      <c r="GRZ6" s="68" t="e" cm="1" vm="1">
        <f t="array" ref="GRZ6">_xlfn._xlws.FILTER(TablaProductos[Nombre producto],TablaProductos[Agrupación]=ProductosPivot!GRZ5)</f>
        <v>#VALUE!</v>
      </c>
      <c r="GSA6" s="68" t="e" cm="1" vm="1">
        <f t="array" ref="GSA6">_xlfn._xlws.FILTER(TablaProductos[Nombre producto],TablaProductos[Agrupación]=ProductosPivot!GSA5)</f>
        <v>#VALUE!</v>
      </c>
      <c r="GSB6" s="68" t="e" cm="1" vm="1">
        <f t="array" ref="GSB6">_xlfn._xlws.FILTER(TablaProductos[Nombre producto],TablaProductos[Agrupación]=ProductosPivot!GSB5)</f>
        <v>#VALUE!</v>
      </c>
      <c r="GSC6" s="68" t="e" cm="1" vm="1">
        <f t="array" ref="GSC6">_xlfn._xlws.FILTER(TablaProductos[Nombre producto],TablaProductos[Agrupación]=ProductosPivot!GSC5)</f>
        <v>#VALUE!</v>
      </c>
      <c r="GSD6" s="68" t="e" cm="1" vm="1">
        <f t="array" ref="GSD6">_xlfn._xlws.FILTER(TablaProductos[Nombre producto],TablaProductos[Agrupación]=ProductosPivot!GSD5)</f>
        <v>#VALUE!</v>
      </c>
      <c r="GSE6" s="68" t="e" cm="1" vm="1">
        <f t="array" ref="GSE6">_xlfn._xlws.FILTER(TablaProductos[Nombre producto],TablaProductos[Agrupación]=ProductosPivot!GSE5)</f>
        <v>#VALUE!</v>
      </c>
      <c r="GSF6" s="68" t="e" cm="1" vm="1">
        <f t="array" ref="GSF6">_xlfn._xlws.FILTER(TablaProductos[Nombre producto],TablaProductos[Agrupación]=ProductosPivot!GSF5)</f>
        <v>#VALUE!</v>
      </c>
      <c r="GSG6" s="68" t="e" cm="1" vm="1">
        <f t="array" ref="GSG6">_xlfn._xlws.FILTER(TablaProductos[Nombre producto],TablaProductos[Agrupación]=ProductosPivot!GSG5)</f>
        <v>#VALUE!</v>
      </c>
      <c r="GSH6" s="68" t="e" cm="1" vm="1">
        <f t="array" ref="GSH6">_xlfn._xlws.FILTER(TablaProductos[Nombre producto],TablaProductos[Agrupación]=ProductosPivot!GSH5)</f>
        <v>#VALUE!</v>
      </c>
      <c r="GSI6" s="68" t="e" cm="1" vm="1">
        <f t="array" ref="GSI6">_xlfn._xlws.FILTER(TablaProductos[Nombre producto],TablaProductos[Agrupación]=ProductosPivot!GSI5)</f>
        <v>#VALUE!</v>
      </c>
      <c r="GSJ6" s="68" t="e" cm="1" vm="1">
        <f t="array" ref="GSJ6">_xlfn._xlws.FILTER(TablaProductos[Nombre producto],TablaProductos[Agrupación]=ProductosPivot!GSJ5)</f>
        <v>#VALUE!</v>
      </c>
      <c r="GSK6" s="68" t="e" cm="1" vm="1">
        <f t="array" ref="GSK6">_xlfn._xlws.FILTER(TablaProductos[Nombre producto],TablaProductos[Agrupación]=ProductosPivot!GSK5)</f>
        <v>#VALUE!</v>
      </c>
      <c r="GSL6" s="68" t="e" cm="1" vm="1">
        <f t="array" ref="GSL6">_xlfn._xlws.FILTER(TablaProductos[Nombre producto],TablaProductos[Agrupación]=ProductosPivot!GSL5)</f>
        <v>#VALUE!</v>
      </c>
      <c r="GSM6" s="68" t="e" cm="1" vm="1">
        <f t="array" ref="GSM6">_xlfn._xlws.FILTER(TablaProductos[Nombre producto],TablaProductos[Agrupación]=ProductosPivot!GSM5)</f>
        <v>#VALUE!</v>
      </c>
      <c r="GSN6" s="68" t="e" cm="1" vm="1">
        <f t="array" ref="GSN6">_xlfn._xlws.FILTER(TablaProductos[Nombre producto],TablaProductos[Agrupación]=ProductosPivot!GSN5)</f>
        <v>#VALUE!</v>
      </c>
      <c r="GSO6" s="68" t="e" cm="1" vm="1">
        <f t="array" ref="GSO6">_xlfn._xlws.FILTER(TablaProductos[Nombre producto],TablaProductos[Agrupación]=ProductosPivot!GSO5)</f>
        <v>#VALUE!</v>
      </c>
      <c r="GSP6" s="68" t="e" cm="1" vm="1">
        <f t="array" ref="GSP6">_xlfn._xlws.FILTER(TablaProductos[Nombre producto],TablaProductos[Agrupación]=ProductosPivot!GSP5)</f>
        <v>#VALUE!</v>
      </c>
      <c r="GSQ6" s="68" t="e" cm="1" vm="1">
        <f t="array" ref="GSQ6">_xlfn._xlws.FILTER(TablaProductos[Nombre producto],TablaProductos[Agrupación]=ProductosPivot!GSQ5)</f>
        <v>#VALUE!</v>
      </c>
      <c r="GSR6" s="68" t="e" cm="1" vm="1">
        <f t="array" ref="GSR6">_xlfn._xlws.FILTER(TablaProductos[Nombre producto],TablaProductos[Agrupación]=ProductosPivot!GSR5)</f>
        <v>#VALUE!</v>
      </c>
      <c r="GSS6" s="68" t="e" cm="1" vm="1">
        <f t="array" ref="GSS6">_xlfn._xlws.FILTER(TablaProductos[Nombre producto],TablaProductos[Agrupación]=ProductosPivot!GSS5)</f>
        <v>#VALUE!</v>
      </c>
      <c r="GST6" s="68" t="e" cm="1" vm="1">
        <f t="array" ref="GST6">_xlfn._xlws.FILTER(TablaProductos[Nombre producto],TablaProductos[Agrupación]=ProductosPivot!GST5)</f>
        <v>#VALUE!</v>
      </c>
      <c r="GSU6" s="68" t="e" cm="1" vm="1">
        <f t="array" ref="GSU6">_xlfn._xlws.FILTER(TablaProductos[Nombre producto],TablaProductos[Agrupación]=ProductosPivot!GSU5)</f>
        <v>#VALUE!</v>
      </c>
      <c r="GSV6" s="68" t="e" cm="1" vm="1">
        <f t="array" ref="GSV6">_xlfn._xlws.FILTER(TablaProductos[Nombre producto],TablaProductos[Agrupación]=ProductosPivot!GSV5)</f>
        <v>#VALUE!</v>
      </c>
      <c r="GSW6" s="68" t="e" cm="1" vm="1">
        <f t="array" ref="GSW6">_xlfn._xlws.FILTER(TablaProductos[Nombre producto],TablaProductos[Agrupación]=ProductosPivot!GSW5)</f>
        <v>#VALUE!</v>
      </c>
      <c r="GSX6" s="68" t="e" cm="1" vm="1">
        <f t="array" ref="GSX6">_xlfn._xlws.FILTER(TablaProductos[Nombre producto],TablaProductos[Agrupación]=ProductosPivot!GSX5)</f>
        <v>#VALUE!</v>
      </c>
      <c r="GSY6" s="68" t="e" cm="1" vm="1">
        <f t="array" ref="GSY6">_xlfn._xlws.FILTER(TablaProductos[Nombre producto],TablaProductos[Agrupación]=ProductosPivot!GSY5)</f>
        <v>#VALUE!</v>
      </c>
      <c r="GSZ6" s="68" t="e" cm="1" vm="1">
        <f t="array" ref="GSZ6">_xlfn._xlws.FILTER(TablaProductos[Nombre producto],TablaProductos[Agrupación]=ProductosPivot!GSZ5)</f>
        <v>#VALUE!</v>
      </c>
      <c r="GTA6" s="68" t="e" cm="1" vm="1">
        <f t="array" ref="GTA6">_xlfn._xlws.FILTER(TablaProductos[Nombre producto],TablaProductos[Agrupación]=ProductosPivot!GTA5)</f>
        <v>#VALUE!</v>
      </c>
      <c r="GTB6" s="68" t="e" cm="1" vm="1">
        <f t="array" ref="GTB6">_xlfn._xlws.FILTER(TablaProductos[Nombre producto],TablaProductos[Agrupación]=ProductosPivot!GTB5)</f>
        <v>#VALUE!</v>
      </c>
      <c r="GTC6" s="68" t="e" cm="1" vm="1">
        <f t="array" ref="GTC6">_xlfn._xlws.FILTER(TablaProductos[Nombre producto],TablaProductos[Agrupación]=ProductosPivot!GTC5)</f>
        <v>#VALUE!</v>
      </c>
      <c r="GTD6" s="68" t="e" cm="1" vm="1">
        <f t="array" ref="GTD6">_xlfn._xlws.FILTER(TablaProductos[Nombre producto],TablaProductos[Agrupación]=ProductosPivot!GTD5)</f>
        <v>#VALUE!</v>
      </c>
      <c r="GTE6" s="68" t="e" cm="1" vm="1">
        <f t="array" ref="GTE6">_xlfn._xlws.FILTER(TablaProductos[Nombre producto],TablaProductos[Agrupación]=ProductosPivot!GTE5)</f>
        <v>#VALUE!</v>
      </c>
      <c r="GTF6" s="68" t="e" cm="1" vm="1">
        <f t="array" ref="GTF6">_xlfn._xlws.FILTER(TablaProductos[Nombre producto],TablaProductos[Agrupación]=ProductosPivot!GTF5)</f>
        <v>#VALUE!</v>
      </c>
      <c r="GTG6" s="68" t="e" cm="1" vm="1">
        <f t="array" ref="GTG6">_xlfn._xlws.FILTER(TablaProductos[Nombre producto],TablaProductos[Agrupación]=ProductosPivot!GTG5)</f>
        <v>#VALUE!</v>
      </c>
      <c r="GTH6" s="68" t="e" cm="1" vm="1">
        <f t="array" ref="GTH6">_xlfn._xlws.FILTER(TablaProductos[Nombre producto],TablaProductos[Agrupación]=ProductosPivot!GTH5)</f>
        <v>#VALUE!</v>
      </c>
      <c r="GTI6" s="68" t="e" cm="1" vm="1">
        <f t="array" ref="GTI6">_xlfn._xlws.FILTER(TablaProductos[Nombre producto],TablaProductos[Agrupación]=ProductosPivot!GTI5)</f>
        <v>#VALUE!</v>
      </c>
      <c r="GTJ6" s="68" t="e" cm="1" vm="1">
        <f t="array" ref="GTJ6">_xlfn._xlws.FILTER(TablaProductos[Nombre producto],TablaProductos[Agrupación]=ProductosPivot!GTJ5)</f>
        <v>#VALUE!</v>
      </c>
      <c r="GTK6" s="68" t="e" cm="1" vm="1">
        <f t="array" ref="GTK6">_xlfn._xlws.FILTER(TablaProductos[Nombre producto],TablaProductos[Agrupación]=ProductosPivot!GTK5)</f>
        <v>#VALUE!</v>
      </c>
      <c r="GTL6" s="68" t="e" cm="1" vm="1">
        <f t="array" ref="GTL6">_xlfn._xlws.FILTER(TablaProductos[Nombre producto],TablaProductos[Agrupación]=ProductosPivot!GTL5)</f>
        <v>#VALUE!</v>
      </c>
      <c r="GTM6" s="68" t="e" cm="1" vm="1">
        <f t="array" ref="GTM6">_xlfn._xlws.FILTER(TablaProductos[Nombre producto],TablaProductos[Agrupación]=ProductosPivot!GTM5)</f>
        <v>#VALUE!</v>
      </c>
      <c r="GTN6" s="68" t="e" cm="1" vm="1">
        <f t="array" ref="GTN6">_xlfn._xlws.FILTER(TablaProductos[Nombre producto],TablaProductos[Agrupación]=ProductosPivot!GTN5)</f>
        <v>#VALUE!</v>
      </c>
      <c r="GTO6" s="68" t="e" cm="1" vm="1">
        <f t="array" ref="GTO6">_xlfn._xlws.FILTER(TablaProductos[Nombre producto],TablaProductos[Agrupación]=ProductosPivot!GTO5)</f>
        <v>#VALUE!</v>
      </c>
      <c r="GTP6" s="68" t="e" cm="1" vm="1">
        <f t="array" ref="GTP6">_xlfn._xlws.FILTER(TablaProductos[Nombre producto],TablaProductos[Agrupación]=ProductosPivot!GTP5)</f>
        <v>#VALUE!</v>
      </c>
      <c r="GTQ6" s="68" t="e" cm="1" vm="1">
        <f t="array" ref="GTQ6">_xlfn._xlws.FILTER(TablaProductos[Nombre producto],TablaProductos[Agrupación]=ProductosPivot!GTQ5)</f>
        <v>#VALUE!</v>
      </c>
      <c r="GTR6" s="68" t="e" cm="1" vm="1">
        <f t="array" ref="GTR6">_xlfn._xlws.FILTER(TablaProductos[Nombre producto],TablaProductos[Agrupación]=ProductosPivot!GTR5)</f>
        <v>#VALUE!</v>
      </c>
      <c r="GTS6" s="68" t="e" cm="1" vm="1">
        <f t="array" ref="GTS6">_xlfn._xlws.FILTER(TablaProductos[Nombre producto],TablaProductos[Agrupación]=ProductosPivot!GTS5)</f>
        <v>#VALUE!</v>
      </c>
      <c r="GTT6" s="68" t="e" cm="1" vm="1">
        <f t="array" ref="GTT6">_xlfn._xlws.FILTER(TablaProductos[Nombre producto],TablaProductos[Agrupación]=ProductosPivot!GTT5)</f>
        <v>#VALUE!</v>
      </c>
      <c r="GTU6" s="68" t="e" cm="1" vm="1">
        <f t="array" ref="GTU6">_xlfn._xlws.FILTER(TablaProductos[Nombre producto],TablaProductos[Agrupación]=ProductosPivot!GTU5)</f>
        <v>#VALUE!</v>
      </c>
      <c r="GTV6" s="68" t="e" cm="1" vm="1">
        <f t="array" ref="GTV6">_xlfn._xlws.FILTER(TablaProductos[Nombre producto],TablaProductos[Agrupación]=ProductosPivot!GTV5)</f>
        <v>#VALUE!</v>
      </c>
      <c r="GTW6" s="68" t="e" cm="1" vm="1">
        <f t="array" ref="GTW6">_xlfn._xlws.FILTER(TablaProductos[Nombre producto],TablaProductos[Agrupación]=ProductosPivot!GTW5)</f>
        <v>#VALUE!</v>
      </c>
      <c r="GTX6" s="68" t="e" cm="1" vm="1">
        <f t="array" ref="GTX6">_xlfn._xlws.FILTER(TablaProductos[Nombre producto],TablaProductos[Agrupación]=ProductosPivot!GTX5)</f>
        <v>#VALUE!</v>
      </c>
      <c r="GTY6" s="68" t="e" cm="1" vm="1">
        <f t="array" ref="GTY6">_xlfn._xlws.FILTER(TablaProductos[Nombre producto],TablaProductos[Agrupación]=ProductosPivot!GTY5)</f>
        <v>#VALUE!</v>
      </c>
      <c r="GTZ6" s="68" t="e" cm="1" vm="1">
        <f t="array" ref="GTZ6">_xlfn._xlws.FILTER(TablaProductos[Nombre producto],TablaProductos[Agrupación]=ProductosPivot!GTZ5)</f>
        <v>#VALUE!</v>
      </c>
      <c r="GUA6" s="68" t="e" cm="1" vm="1">
        <f t="array" ref="GUA6">_xlfn._xlws.FILTER(TablaProductos[Nombre producto],TablaProductos[Agrupación]=ProductosPivot!GUA5)</f>
        <v>#VALUE!</v>
      </c>
      <c r="GUB6" s="68" t="e" cm="1" vm="1">
        <f t="array" ref="GUB6">_xlfn._xlws.FILTER(TablaProductos[Nombre producto],TablaProductos[Agrupación]=ProductosPivot!GUB5)</f>
        <v>#VALUE!</v>
      </c>
      <c r="GUC6" s="68" t="e" cm="1" vm="1">
        <f t="array" ref="GUC6">_xlfn._xlws.FILTER(TablaProductos[Nombre producto],TablaProductos[Agrupación]=ProductosPivot!GUC5)</f>
        <v>#VALUE!</v>
      </c>
      <c r="GUD6" s="68" t="e" cm="1" vm="1">
        <f t="array" ref="GUD6">_xlfn._xlws.FILTER(TablaProductos[Nombre producto],TablaProductos[Agrupación]=ProductosPivot!GUD5)</f>
        <v>#VALUE!</v>
      </c>
      <c r="GUE6" s="68" t="e" cm="1" vm="1">
        <f t="array" ref="GUE6">_xlfn._xlws.FILTER(TablaProductos[Nombre producto],TablaProductos[Agrupación]=ProductosPivot!GUE5)</f>
        <v>#VALUE!</v>
      </c>
      <c r="GUF6" s="68" t="e" cm="1" vm="1">
        <f t="array" ref="GUF6">_xlfn._xlws.FILTER(TablaProductos[Nombre producto],TablaProductos[Agrupación]=ProductosPivot!GUF5)</f>
        <v>#VALUE!</v>
      </c>
      <c r="GUG6" s="68" t="e" cm="1" vm="1">
        <f t="array" ref="GUG6">_xlfn._xlws.FILTER(TablaProductos[Nombre producto],TablaProductos[Agrupación]=ProductosPivot!GUG5)</f>
        <v>#VALUE!</v>
      </c>
      <c r="GUH6" s="68" t="e" cm="1" vm="1">
        <f t="array" ref="GUH6">_xlfn._xlws.FILTER(TablaProductos[Nombre producto],TablaProductos[Agrupación]=ProductosPivot!GUH5)</f>
        <v>#VALUE!</v>
      </c>
      <c r="GUI6" s="68" t="e" cm="1" vm="1">
        <f t="array" ref="GUI6">_xlfn._xlws.FILTER(TablaProductos[Nombre producto],TablaProductos[Agrupación]=ProductosPivot!GUI5)</f>
        <v>#VALUE!</v>
      </c>
      <c r="GUJ6" s="68" t="e" cm="1" vm="1">
        <f t="array" ref="GUJ6">_xlfn._xlws.FILTER(TablaProductos[Nombre producto],TablaProductos[Agrupación]=ProductosPivot!GUJ5)</f>
        <v>#VALUE!</v>
      </c>
      <c r="GUK6" s="68" t="e" cm="1" vm="1">
        <f t="array" ref="GUK6">_xlfn._xlws.FILTER(TablaProductos[Nombre producto],TablaProductos[Agrupación]=ProductosPivot!GUK5)</f>
        <v>#VALUE!</v>
      </c>
      <c r="GUL6" s="68" t="e" cm="1" vm="1">
        <f t="array" ref="GUL6">_xlfn._xlws.FILTER(TablaProductos[Nombre producto],TablaProductos[Agrupación]=ProductosPivot!GUL5)</f>
        <v>#VALUE!</v>
      </c>
      <c r="GUM6" s="68" t="e" cm="1" vm="1">
        <f t="array" ref="GUM6">_xlfn._xlws.FILTER(TablaProductos[Nombre producto],TablaProductos[Agrupación]=ProductosPivot!GUM5)</f>
        <v>#VALUE!</v>
      </c>
      <c r="GUN6" s="68" t="e" cm="1" vm="1">
        <f t="array" ref="GUN6">_xlfn._xlws.FILTER(TablaProductos[Nombre producto],TablaProductos[Agrupación]=ProductosPivot!GUN5)</f>
        <v>#VALUE!</v>
      </c>
      <c r="GUO6" s="68" t="e" cm="1" vm="1">
        <f t="array" ref="GUO6">_xlfn._xlws.FILTER(TablaProductos[Nombre producto],TablaProductos[Agrupación]=ProductosPivot!GUO5)</f>
        <v>#VALUE!</v>
      </c>
      <c r="GUP6" s="68" t="e" cm="1" vm="1">
        <f t="array" ref="GUP6">_xlfn._xlws.FILTER(TablaProductos[Nombre producto],TablaProductos[Agrupación]=ProductosPivot!GUP5)</f>
        <v>#VALUE!</v>
      </c>
      <c r="GUQ6" s="68" t="e" cm="1" vm="1">
        <f t="array" ref="GUQ6">_xlfn._xlws.FILTER(TablaProductos[Nombre producto],TablaProductos[Agrupación]=ProductosPivot!GUQ5)</f>
        <v>#VALUE!</v>
      </c>
      <c r="GUR6" s="68" t="e" cm="1" vm="1">
        <f t="array" ref="GUR6">_xlfn._xlws.FILTER(TablaProductos[Nombre producto],TablaProductos[Agrupación]=ProductosPivot!GUR5)</f>
        <v>#VALUE!</v>
      </c>
      <c r="GUS6" s="68" t="e" cm="1" vm="1">
        <f t="array" ref="GUS6">_xlfn._xlws.FILTER(TablaProductos[Nombre producto],TablaProductos[Agrupación]=ProductosPivot!GUS5)</f>
        <v>#VALUE!</v>
      </c>
      <c r="GUT6" s="68" t="e" cm="1" vm="1">
        <f t="array" ref="GUT6">_xlfn._xlws.FILTER(TablaProductos[Nombre producto],TablaProductos[Agrupación]=ProductosPivot!GUT5)</f>
        <v>#VALUE!</v>
      </c>
      <c r="GUU6" s="68" t="e" cm="1" vm="1">
        <f t="array" ref="GUU6">_xlfn._xlws.FILTER(TablaProductos[Nombre producto],TablaProductos[Agrupación]=ProductosPivot!GUU5)</f>
        <v>#VALUE!</v>
      </c>
      <c r="GUV6" s="68" t="e" cm="1" vm="1">
        <f t="array" ref="GUV6">_xlfn._xlws.FILTER(TablaProductos[Nombre producto],TablaProductos[Agrupación]=ProductosPivot!GUV5)</f>
        <v>#VALUE!</v>
      </c>
      <c r="GUW6" s="68" t="e" cm="1" vm="1">
        <f t="array" ref="GUW6">_xlfn._xlws.FILTER(TablaProductos[Nombre producto],TablaProductos[Agrupación]=ProductosPivot!GUW5)</f>
        <v>#VALUE!</v>
      </c>
      <c r="GUX6" s="68" t="e" cm="1" vm="1">
        <f t="array" ref="GUX6">_xlfn._xlws.FILTER(TablaProductos[Nombre producto],TablaProductos[Agrupación]=ProductosPivot!GUX5)</f>
        <v>#VALUE!</v>
      </c>
      <c r="GUY6" s="68" t="e" cm="1" vm="1">
        <f t="array" ref="GUY6">_xlfn._xlws.FILTER(TablaProductos[Nombre producto],TablaProductos[Agrupación]=ProductosPivot!GUY5)</f>
        <v>#VALUE!</v>
      </c>
      <c r="GUZ6" s="68" t="e" cm="1" vm="1">
        <f t="array" ref="GUZ6">_xlfn._xlws.FILTER(TablaProductos[Nombre producto],TablaProductos[Agrupación]=ProductosPivot!GUZ5)</f>
        <v>#VALUE!</v>
      </c>
      <c r="GVA6" s="68" t="e" cm="1" vm="1">
        <f t="array" ref="GVA6">_xlfn._xlws.FILTER(TablaProductos[Nombre producto],TablaProductos[Agrupación]=ProductosPivot!GVA5)</f>
        <v>#VALUE!</v>
      </c>
      <c r="GVB6" s="68" t="e" cm="1" vm="1">
        <f t="array" ref="GVB6">_xlfn._xlws.FILTER(TablaProductos[Nombre producto],TablaProductos[Agrupación]=ProductosPivot!GVB5)</f>
        <v>#VALUE!</v>
      </c>
      <c r="GVC6" s="68" t="e" cm="1" vm="1">
        <f t="array" ref="GVC6">_xlfn._xlws.FILTER(TablaProductos[Nombre producto],TablaProductos[Agrupación]=ProductosPivot!GVC5)</f>
        <v>#VALUE!</v>
      </c>
      <c r="GVD6" s="68" t="e" cm="1" vm="1">
        <f t="array" ref="GVD6">_xlfn._xlws.FILTER(TablaProductos[Nombre producto],TablaProductos[Agrupación]=ProductosPivot!GVD5)</f>
        <v>#VALUE!</v>
      </c>
      <c r="GVE6" s="68" t="e" cm="1" vm="1">
        <f t="array" ref="GVE6">_xlfn._xlws.FILTER(TablaProductos[Nombre producto],TablaProductos[Agrupación]=ProductosPivot!GVE5)</f>
        <v>#VALUE!</v>
      </c>
      <c r="GVF6" s="68" t="e" cm="1" vm="1">
        <f t="array" ref="GVF6">_xlfn._xlws.FILTER(TablaProductos[Nombre producto],TablaProductos[Agrupación]=ProductosPivot!GVF5)</f>
        <v>#VALUE!</v>
      </c>
      <c r="GVG6" s="68" t="e" cm="1" vm="1">
        <f t="array" ref="GVG6">_xlfn._xlws.FILTER(TablaProductos[Nombre producto],TablaProductos[Agrupación]=ProductosPivot!GVG5)</f>
        <v>#VALUE!</v>
      </c>
      <c r="GVH6" s="68" t="e" cm="1" vm="1">
        <f t="array" ref="GVH6">_xlfn._xlws.FILTER(TablaProductos[Nombre producto],TablaProductos[Agrupación]=ProductosPivot!GVH5)</f>
        <v>#VALUE!</v>
      </c>
      <c r="GVI6" s="68" t="e" cm="1" vm="1">
        <f t="array" ref="GVI6">_xlfn._xlws.FILTER(TablaProductos[Nombre producto],TablaProductos[Agrupación]=ProductosPivot!GVI5)</f>
        <v>#VALUE!</v>
      </c>
      <c r="GVJ6" s="68" t="e" cm="1" vm="1">
        <f t="array" ref="GVJ6">_xlfn._xlws.FILTER(TablaProductos[Nombre producto],TablaProductos[Agrupación]=ProductosPivot!GVJ5)</f>
        <v>#VALUE!</v>
      </c>
      <c r="GVK6" s="68" t="e" cm="1" vm="1">
        <f t="array" ref="GVK6">_xlfn._xlws.FILTER(TablaProductos[Nombre producto],TablaProductos[Agrupación]=ProductosPivot!GVK5)</f>
        <v>#VALUE!</v>
      </c>
      <c r="GVL6" s="68" t="e" cm="1" vm="1">
        <f t="array" ref="GVL6">_xlfn._xlws.FILTER(TablaProductos[Nombre producto],TablaProductos[Agrupación]=ProductosPivot!GVL5)</f>
        <v>#VALUE!</v>
      </c>
      <c r="GVM6" s="68" t="e" cm="1" vm="1">
        <f t="array" ref="GVM6">_xlfn._xlws.FILTER(TablaProductos[Nombre producto],TablaProductos[Agrupación]=ProductosPivot!GVM5)</f>
        <v>#VALUE!</v>
      </c>
      <c r="GVN6" s="68" t="e" cm="1" vm="1">
        <f t="array" ref="GVN6">_xlfn._xlws.FILTER(TablaProductos[Nombre producto],TablaProductos[Agrupación]=ProductosPivot!GVN5)</f>
        <v>#VALUE!</v>
      </c>
      <c r="GVO6" s="68" t="e" cm="1" vm="1">
        <f t="array" ref="GVO6">_xlfn._xlws.FILTER(TablaProductos[Nombre producto],TablaProductos[Agrupación]=ProductosPivot!GVO5)</f>
        <v>#VALUE!</v>
      </c>
      <c r="GVP6" s="68" t="e" cm="1" vm="1">
        <f t="array" ref="GVP6">_xlfn._xlws.FILTER(TablaProductos[Nombre producto],TablaProductos[Agrupación]=ProductosPivot!GVP5)</f>
        <v>#VALUE!</v>
      </c>
      <c r="GVQ6" s="68" t="e" cm="1" vm="1">
        <f t="array" ref="GVQ6">_xlfn._xlws.FILTER(TablaProductos[Nombre producto],TablaProductos[Agrupación]=ProductosPivot!GVQ5)</f>
        <v>#VALUE!</v>
      </c>
      <c r="GVR6" s="68" t="e" cm="1" vm="1">
        <f t="array" ref="GVR6">_xlfn._xlws.FILTER(TablaProductos[Nombre producto],TablaProductos[Agrupación]=ProductosPivot!GVR5)</f>
        <v>#VALUE!</v>
      </c>
      <c r="GVS6" s="68" t="e" cm="1" vm="1">
        <f t="array" ref="GVS6">_xlfn._xlws.FILTER(TablaProductos[Nombre producto],TablaProductos[Agrupación]=ProductosPivot!GVS5)</f>
        <v>#VALUE!</v>
      </c>
      <c r="GVT6" s="68" t="e" cm="1" vm="1">
        <f t="array" ref="GVT6">_xlfn._xlws.FILTER(TablaProductos[Nombre producto],TablaProductos[Agrupación]=ProductosPivot!GVT5)</f>
        <v>#VALUE!</v>
      </c>
      <c r="GVU6" s="68" t="e" cm="1" vm="1">
        <f t="array" ref="GVU6">_xlfn._xlws.FILTER(TablaProductos[Nombre producto],TablaProductos[Agrupación]=ProductosPivot!GVU5)</f>
        <v>#VALUE!</v>
      </c>
      <c r="GVV6" s="68" t="e" cm="1" vm="1">
        <f t="array" ref="GVV6">_xlfn._xlws.FILTER(TablaProductos[Nombre producto],TablaProductos[Agrupación]=ProductosPivot!GVV5)</f>
        <v>#VALUE!</v>
      </c>
      <c r="GVW6" s="68" t="e" cm="1" vm="1">
        <f t="array" ref="GVW6">_xlfn._xlws.FILTER(TablaProductos[Nombre producto],TablaProductos[Agrupación]=ProductosPivot!GVW5)</f>
        <v>#VALUE!</v>
      </c>
      <c r="GVX6" s="68" t="e" cm="1" vm="1">
        <f t="array" ref="GVX6">_xlfn._xlws.FILTER(TablaProductos[Nombre producto],TablaProductos[Agrupación]=ProductosPivot!GVX5)</f>
        <v>#VALUE!</v>
      </c>
      <c r="GVY6" s="68" t="e" cm="1" vm="1">
        <f t="array" ref="GVY6">_xlfn._xlws.FILTER(TablaProductos[Nombre producto],TablaProductos[Agrupación]=ProductosPivot!GVY5)</f>
        <v>#VALUE!</v>
      </c>
      <c r="GVZ6" s="68" t="e" cm="1" vm="1">
        <f t="array" ref="GVZ6">_xlfn._xlws.FILTER(TablaProductos[Nombre producto],TablaProductos[Agrupación]=ProductosPivot!GVZ5)</f>
        <v>#VALUE!</v>
      </c>
      <c r="GWA6" s="68" t="e" cm="1" vm="1">
        <f t="array" ref="GWA6">_xlfn._xlws.FILTER(TablaProductos[Nombre producto],TablaProductos[Agrupación]=ProductosPivot!GWA5)</f>
        <v>#VALUE!</v>
      </c>
      <c r="GWB6" s="68" t="e" cm="1" vm="1">
        <f t="array" ref="GWB6">_xlfn._xlws.FILTER(TablaProductos[Nombre producto],TablaProductos[Agrupación]=ProductosPivot!GWB5)</f>
        <v>#VALUE!</v>
      </c>
      <c r="GWC6" s="68" t="e" cm="1" vm="1">
        <f t="array" ref="GWC6">_xlfn._xlws.FILTER(TablaProductos[Nombre producto],TablaProductos[Agrupación]=ProductosPivot!GWC5)</f>
        <v>#VALUE!</v>
      </c>
      <c r="GWD6" s="68" t="e" cm="1" vm="1">
        <f t="array" ref="GWD6">_xlfn._xlws.FILTER(TablaProductos[Nombre producto],TablaProductos[Agrupación]=ProductosPivot!GWD5)</f>
        <v>#VALUE!</v>
      </c>
      <c r="GWE6" s="68" t="e" cm="1" vm="1">
        <f t="array" ref="GWE6">_xlfn._xlws.FILTER(TablaProductos[Nombre producto],TablaProductos[Agrupación]=ProductosPivot!GWE5)</f>
        <v>#VALUE!</v>
      </c>
      <c r="GWF6" s="68" t="e" cm="1" vm="1">
        <f t="array" ref="GWF6">_xlfn._xlws.FILTER(TablaProductos[Nombre producto],TablaProductos[Agrupación]=ProductosPivot!GWF5)</f>
        <v>#VALUE!</v>
      </c>
      <c r="GWG6" s="68" t="e" cm="1" vm="1">
        <f t="array" ref="GWG6">_xlfn._xlws.FILTER(TablaProductos[Nombre producto],TablaProductos[Agrupación]=ProductosPivot!GWG5)</f>
        <v>#VALUE!</v>
      </c>
      <c r="GWH6" s="68" t="e" cm="1" vm="1">
        <f t="array" ref="GWH6">_xlfn._xlws.FILTER(TablaProductos[Nombre producto],TablaProductos[Agrupación]=ProductosPivot!GWH5)</f>
        <v>#VALUE!</v>
      </c>
      <c r="GWI6" s="68" t="e" cm="1" vm="1">
        <f t="array" ref="GWI6">_xlfn._xlws.FILTER(TablaProductos[Nombre producto],TablaProductos[Agrupación]=ProductosPivot!GWI5)</f>
        <v>#VALUE!</v>
      </c>
      <c r="GWJ6" s="68" t="e" cm="1" vm="1">
        <f t="array" ref="GWJ6">_xlfn._xlws.FILTER(TablaProductos[Nombre producto],TablaProductos[Agrupación]=ProductosPivot!GWJ5)</f>
        <v>#VALUE!</v>
      </c>
      <c r="GWK6" s="68" t="e" cm="1" vm="1">
        <f t="array" ref="GWK6">_xlfn._xlws.FILTER(TablaProductos[Nombre producto],TablaProductos[Agrupación]=ProductosPivot!GWK5)</f>
        <v>#VALUE!</v>
      </c>
      <c r="GWL6" s="68" t="e" cm="1" vm="1">
        <f t="array" ref="GWL6">_xlfn._xlws.FILTER(TablaProductos[Nombre producto],TablaProductos[Agrupación]=ProductosPivot!GWL5)</f>
        <v>#VALUE!</v>
      </c>
      <c r="GWM6" s="68" t="e" cm="1" vm="1">
        <f t="array" ref="GWM6">_xlfn._xlws.FILTER(TablaProductos[Nombre producto],TablaProductos[Agrupación]=ProductosPivot!GWM5)</f>
        <v>#VALUE!</v>
      </c>
      <c r="GWN6" s="68" t="e" cm="1" vm="1">
        <f t="array" ref="GWN6">_xlfn._xlws.FILTER(TablaProductos[Nombre producto],TablaProductos[Agrupación]=ProductosPivot!GWN5)</f>
        <v>#VALUE!</v>
      </c>
      <c r="GWO6" s="68" t="e" cm="1" vm="1">
        <f t="array" ref="GWO6">_xlfn._xlws.FILTER(TablaProductos[Nombre producto],TablaProductos[Agrupación]=ProductosPivot!GWO5)</f>
        <v>#VALUE!</v>
      </c>
      <c r="GWP6" s="68" t="e" cm="1" vm="1">
        <f t="array" ref="GWP6">_xlfn._xlws.FILTER(TablaProductos[Nombre producto],TablaProductos[Agrupación]=ProductosPivot!GWP5)</f>
        <v>#VALUE!</v>
      </c>
      <c r="GWQ6" s="68" t="e" cm="1" vm="1">
        <f t="array" ref="GWQ6">_xlfn._xlws.FILTER(TablaProductos[Nombre producto],TablaProductos[Agrupación]=ProductosPivot!GWQ5)</f>
        <v>#VALUE!</v>
      </c>
      <c r="GWR6" s="68" t="e" cm="1" vm="1">
        <f t="array" ref="GWR6">_xlfn._xlws.FILTER(TablaProductos[Nombre producto],TablaProductos[Agrupación]=ProductosPivot!GWR5)</f>
        <v>#VALUE!</v>
      </c>
      <c r="GWS6" s="68" t="e" cm="1" vm="1">
        <f t="array" ref="GWS6">_xlfn._xlws.FILTER(TablaProductos[Nombre producto],TablaProductos[Agrupación]=ProductosPivot!GWS5)</f>
        <v>#VALUE!</v>
      </c>
      <c r="GWT6" s="68" t="e" cm="1" vm="1">
        <f t="array" ref="GWT6">_xlfn._xlws.FILTER(TablaProductos[Nombre producto],TablaProductos[Agrupación]=ProductosPivot!GWT5)</f>
        <v>#VALUE!</v>
      </c>
      <c r="GWU6" s="68" t="e" cm="1" vm="1">
        <f t="array" ref="GWU6">_xlfn._xlws.FILTER(TablaProductos[Nombre producto],TablaProductos[Agrupación]=ProductosPivot!GWU5)</f>
        <v>#VALUE!</v>
      </c>
      <c r="GWV6" s="68" t="e" cm="1" vm="1">
        <f t="array" ref="GWV6">_xlfn._xlws.FILTER(TablaProductos[Nombre producto],TablaProductos[Agrupación]=ProductosPivot!GWV5)</f>
        <v>#VALUE!</v>
      </c>
      <c r="GWW6" s="68" t="e" cm="1" vm="1">
        <f t="array" ref="GWW6">_xlfn._xlws.FILTER(TablaProductos[Nombre producto],TablaProductos[Agrupación]=ProductosPivot!GWW5)</f>
        <v>#VALUE!</v>
      </c>
      <c r="GWX6" s="68" t="e" cm="1" vm="1">
        <f t="array" ref="GWX6">_xlfn._xlws.FILTER(TablaProductos[Nombre producto],TablaProductos[Agrupación]=ProductosPivot!GWX5)</f>
        <v>#VALUE!</v>
      </c>
      <c r="GWY6" s="68" t="e" cm="1" vm="1">
        <f t="array" ref="GWY6">_xlfn._xlws.FILTER(TablaProductos[Nombre producto],TablaProductos[Agrupación]=ProductosPivot!GWY5)</f>
        <v>#VALUE!</v>
      </c>
      <c r="GWZ6" s="68" t="e" cm="1" vm="1">
        <f t="array" ref="GWZ6">_xlfn._xlws.FILTER(TablaProductos[Nombre producto],TablaProductos[Agrupación]=ProductosPivot!GWZ5)</f>
        <v>#VALUE!</v>
      </c>
      <c r="GXA6" s="68" t="e" cm="1" vm="1">
        <f t="array" ref="GXA6">_xlfn._xlws.FILTER(TablaProductos[Nombre producto],TablaProductos[Agrupación]=ProductosPivot!GXA5)</f>
        <v>#VALUE!</v>
      </c>
      <c r="GXB6" s="68" t="e" cm="1" vm="1">
        <f t="array" ref="GXB6">_xlfn._xlws.FILTER(TablaProductos[Nombre producto],TablaProductos[Agrupación]=ProductosPivot!GXB5)</f>
        <v>#VALUE!</v>
      </c>
      <c r="GXC6" s="68" t="e" cm="1" vm="1">
        <f t="array" ref="GXC6">_xlfn._xlws.FILTER(TablaProductos[Nombre producto],TablaProductos[Agrupación]=ProductosPivot!GXC5)</f>
        <v>#VALUE!</v>
      </c>
      <c r="GXD6" s="68" t="e" cm="1" vm="1">
        <f t="array" ref="GXD6">_xlfn._xlws.FILTER(TablaProductos[Nombre producto],TablaProductos[Agrupación]=ProductosPivot!GXD5)</f>
        <v>#VALUE!</v>
      </c>
      <c r="GXE6" s="68" t="e" cm="1" vm="1">
        <f t="array" ref="GXE6">_xlfn._xlws.FILTER(TablaProductos[Nombre producto],TablaProductos[Agrupación]=ProductosPivot!GXE5)</f>
        <v>#VALUE!</v>
      </c>
      <c r="GXF6" s="68" t="e" cm="1" vm="1">
        <f t="array" ref="GXF6">_xlfn._xlws.FILTER(TablaProductos[Nombre producto],TablaProductos[Agrupación]=ProductosPivot!GXF5)</f>
        <v>#VALUE!</v>
      </c>
      <c r="GXG6" s="68" t="e" cm="1" vm="1">
        <f t="array" ref="GXG6">_xlfn._xlws.FILTER(TablaProductos[Nombre producto],TablaProductos[Agrupación]=ProductosPivot!GXG5)</f>
        <v>#VALUE!</v>
      </c>
      <c r="GXH6" s="68" t="e" cm="1" vm="1">
        <f t="array" ref="GXH6">_xlfn._xlws.FILTER(TablaProductos[Nombre producto],TablaProductos[Agrupación]=ProductosPivot!GXH5)</f>
        <v>#VALUE!</v>
      </c>
      <c r="GXI6" s="68" t="e" cm="1" vm="1">
        <f t="array" ref="GXI6">_xlfn._xlws.FILTER(TablaProductos[Nombre producto],TablaProductos[Agrupación]=ProductosPivot!GXI5)</f>
        <v>#VALUE!</v>
      </c>
      <c r="GXJ6" s="68" t="e" cm="1" vm="1">
        <f t="array" ref="GXJ6">_xlfn._xlws.FILTER(TablaProductos[Nombre producto],TablaProductos[Agrupación]=ProductosPivot!GXJ5)</f>
        <v>#VALUE!</v>
      </c>
      <c r="GXK6" s="68" t="e" cm="1" vm="1">
        <f t="array" ref="GXK6">_xlfn._xlws.FILTER(TablaProductos[Nombre producto],TablaProductos[Agrupación]=ProductosPivot!GXK5)</f>
        <v>#VALUE!</v>
      </c>
      <c r="GXL6" s="68" t="e" cm="1" vm="1">
        <f t="array" ref="GXL6">_xlfn._xlws.FILTER(TablaProductos[Nombre producto],TablaProductos[Agrupación]=ProductosPivot!GXL5)</f>
        <v>#VALUE!</v>
      </c>
      <c r="GXM6" s="68" t="e" cm="1" vm="1">
        <f t="array" ref="GXM6">_xlfn._xlws.FILTER(TablaProductos[Nombre producto],TablaProductos[Agrupación]=ProductosPivot!GXM5)</f>
        <v>#VALUE!</v>
      </c>
      <c r="GXN6" s="68" t="e" cm="1" vm="1">
        <f t="array" ref="GXN6">_xlfn._xlws.FILTER(TablaProductos[Nombre producto],TablaProductos[Agrupación]=ProductosPivot!GXN5)</f>
        <v>#VALUE!</v>
      </c>
      <c r="GXO6" s="68" t="e" cm="1" vm="1">
        <f t="array" ref="GXO6">_xlfn._xlws.FILTER(TablaProductos[Nombre producto],TablaProductos[Agrupación]=ProductosPivot!GXO5)</f>
        <v>#VALUE!</v>
      </c>
      <c r="GXP6" s="68" t="e" cm="1" vm="1">
        <f t="array" ref="GXP6">_xlfn._xlws.FILTER(TablaProductos[Nombre producto],TablaProductos[Agrupación]=ProductosPivot!GXP5)</f>
        <v>#VALUE!</v>
      </c>
      <c r="GXQ6" s="68" t="e" cm="1" vm="1">
        <f t="array" ref="GXQ6">_xlfn._xlws.FILTER(TablaProductos[Nombre producto],TablaProductos[Agrupación]=ProductosPivot!GXQ5)</f>
        <v>#VALUE!</v>
      </c>
      <c r="GXR6" s="68" t="e" cm="1" vm="1">
        <f t="array" ref="GXR6">_xlfn._xlws.FILTER(TablaProductos[Nombre producto],TablaProductos[Agrupación]=ProductosPivot!GXR5)</f>
        <v>#VALUE!</v>
      </c>
      <c r="GXS6" s="68" t="e" cm="1" vm="1">
        <f t="array" ref="GXS6">_xlfn._xlws.FILTER(TablaProductos[Nombre producto],TablaProductos[Agrupación]=ProductosPivot!GXS5)</f>
        <v>#VALUE!</v>
      </c>
      <c r="GXT6" s="68" t="e" cm="1" vm="1">
        <f t="array" ref="GXT6">_xlfn._xlws.FILTER(TablaProductos[Nombre producto],TablaProductos[Agrupación]=ProductosPivot!GXT5)</f>
        <v>#VALUE!</v>
      </c>
      <c r="GXU6" s="68" t="e" cm="1" vm="1">
        <f t="array" ref="GXU6">_xlfn._xlws.FILTER(TablaProductos[Nombre producto],TablaProductos[Agrupación]=ProductosPivot!GXU5)</f>
        <v>#VALUE!</v>
      </c>
      <c r="GXV6" s="68" t="e" cm="1" vm="1">
        <f t="array" ref="GXV6">_xlfn._xlws.FILTER(TablaProductos[Nombre producto],TablaProductos[Agrupación]=ProductosPivot!GXV5)</f>
        <v>#VALUE!</v>
      </c>
      <c r="GXW6" s="68" t="e" cm="1" vm="1">
        <f t="array" ref="GXW6">_xlfn._xlws.FILTER(TablaProductos[Nombre producto],TablaProductos[Agrupación]=ProductosPivot!GXW5)</f>
        <v>#VALUE!</v>
      </c>
      <c r="GXX6" s="68" t="e" cm="1" vm="1">
        <f t="array" ref="GXX6">_xlfn._xlws.FILTER(TablaProductos[Nombre producto],TablaProductos[Agrupación]=ProductosPivot!GXX5)</f>
        <v>#VALUE!</v>
      </c>
      <c r="GXY6" s="68" t="e" cm="1" vm="1">
        <f t="array" ref="GXY6">_xlfn._xlws.FILTER(TablaProductos[Nombre producto],TablaProductos[Agrupación]=ProductosPivot!GXY5)</f>
        <v>#VALUE!</v>
      </c>
      <c r="GXZ6" s="68" t="e" cm="1" vm="1">
        <f t="array" ref="GXZ6">_xlfn._xlws.FILTER(TablaProductos[Nombre producto],TablaProductos[Agrupación]=ProductosPivot!GXZ5)</f>
        <v>#VALUE!</v>
      </c>
      <c r="GYA6" s="68" t="e" cm="1" vm="1">
        <f t="array" ref="GYA6">_xlfn._xlws.FILTER(TablaProductos[Nombre producto],TablaProductos[Agrupación]=ProductosPivot!GYA5)</f>
        <v>#VALUE!</v>
      </c>
      <c r="GYB6" s="68" t="e" cm="1" vm="1">
        <f t="array" ref="GYB6">_xlfn._xlws.FILTER(TablaProductos[Nombre producto],TablaProductos[Agrupación]=ProductosPivot!GYB5)</f>
        <v>#VALUE!</v>
      </c>
      <c r="GYC6" s="68" t="e" cm="1" vm="1">
        <f t="array" ref="GYC6">_xlfn._xlws.FILTER(TablaProductos[Nombre producto],TablaProductos[Agrupación]=ProductosPivot!GYC5)</f>
        <v>#VALUE!</v>
      </c>
      <c r="GYD6" s="68" t="e" cm="1" vm="1">
        <f t="array" ref="GYD6">_xlfn._xlws.FILTER(TablaProductos[Nombre producto],TablaProductos[Agrupación]=ProductosPivot!GYD5)</f>
        <v>#VALUE!</v>
      </c>
      <c r="GYE6" s="68" t="e" cm="1" vm="1">
        <f t="array" ref="GYE6">_xlfn._xlws.FILTER(TablaProductos[Nombre producto],TablaProductos[Agrupación]=ProductosPivot!GYE5)</f>
        <v>#VALUE!</v>
      </c>
      <c r="GYF6" s="68" t="e" cm="1" vm="1">
        <f t="array" ref="GYF6">_xlfn._xlws.FILTER(TablaProductos[Nombre producto],TablaProductos[Agrupación]=ProductosPivot!GYF5)</f>
        <v>#VALUE!</v>
      </c>
      <c r="GYG6" s="68" t="e" cm="1" vm="1">
        <f t="array" ref="GYG6">_xlfn._xlws.FILTER(TablaProductos[Nombre producto],TablaProductos[Agrupación]=ProductosPivot!GYG5)</f>
        <v>#VALUE!</v>
      </c>
      <c r="GYH6" s="68" t="e" cm="1" vm="1">
        <f t="array" ref="GYH6">_xlfn._xlws.FILTER(TablaProductos[Nombre producto],TablaProductos[Agrupación]=ProductosPivot!GYH5)</f>
        <v>#VALUE!</v>
      </c>
      <c r="GYI6" s="68" t="e" cm="1" vm="1">
        <f t="array" ref="GYI6">_xlfn._xlws.FILTER(TablaProductos[Nombre producto],TablaProductos[Agrupación]=ProductosPivot!GYI5)</f>
        <v>#VALUE!</v>
      </c>
      <c r="GYJ6" s="68" t="e" cm="1" vm="1">
        <f t="array" ref="GYJ6">_xlfn._xlws.FILTER(TablaProductos[Nombre producto],TablaProductos[Agrupación]=ProductosPivot!GYJ5)</f>
        <v>#VALUE!</v>
      </c>
      <c r="GYK6" s="68" t="e" cm="1" vm="1">
        <f t="array" ref="GYK6">_xlfn._xlws.FILTER(TablaProductos[Nombre producto],TablaProductos[Agrupación]=ProductosPivot!GYK5)</f>
        <v>#VALUE!</v>
      </c>
      <c r="GYL6" s="68" t="e" cm="1" vm="1">
        <f t="array" ref="GYL6">_xlfn._xlws.FILTER(TablaProductos[Nombre producto],TablaProductos[Agrupación]=ProductosPivot!GYL5)</f>
        <v>#VALUE!</v>
      </c>
      <c r="GYM6" s="68" t="e" cm="1" vm="1">
        <f t="array" ref="GYM6">_xlfn._xlws.FILTER(TablaProductos[Nombre producto],TablaProductos[Agrupación]=ProductosPivot!GYM5)</f>
        <v>#VALUE!</v>
      </c>
      <c r="GYN6" s="68" t="e" cm="1" vm="1">
        <f t="array" ref="GYN6">_xlfn._xlws.FILTER(TablaProductos[Nombre producto],TablaProductos[Agrupación]=ProductosPivot!GYN5)</f>
        <v>#VALUE!</v>
      </c>
      <c r="GYO6" s="68" t="e" cm="1" vm="1">
        <f t="array" ref="GYO6">_xlfn._xlws.FILTER(TablaProductos[Nombre producto],TablaProductos[Agrupación]=ProductosPivot!GYO5)</f>
        <v>#VALUE!</v>
      </c>
      <c r="GYP6" s="68" t="e" cm="1" vm="1">
        <f t="array" ref="GYP6">_xlfn._xlws.FILTER(TablaProductos[Nombre producto],TablaProductos[Agrupación]=ProductosPivot!GYP5)</f>
        <v>#VALUE!</v>
      </c>
      <c r="GYQ6" s="68" t="e" cm="1" vm="1">
        <f t="array" ref="GYQ6">_xlfn._xlws.FILTER(TablaProductos[Nombre producto],TablaProductos[Agrupación]=ProductosPivot!GYQ5)</f>
        <v>#VALUE!</v>
      </c>
      <c r="GYR6" s="68" t="e" cm="1" vm="1">
        <f t="array" ref="GYR6">_xlfn._xlws.FILTER(TablaProductos[Nombre producto],TablaProductos[Agrupación]=ProductosPivot!GYR5)</f>
        <v>#VALUE!</v>
      </c>
      <c r="GYS6" s="68" t="e" cm="1" vm="1">
        <f t="array" ref="GYS6">_xlfn._xlws.FILTER(TablaProductos[Nombre producto],TablaProductos[Agrupación]=ProductosPivot!GYS5)</f>
        <v>#VALUE!</v>
      </c>
      <c r="GYT6" s="68" t="e" cm="1" vm="1">
        <f t="array" ref="GYT6">_xlfn._xlws.FILTER(TablaProductos[Nombre producto],TablaProductos[Agrupación]=ProductosPivot!GYT5)</f>
        <v>#VALUE!</v>
      </c>
      <c r="GYU6" s="68" t="e" cm="1" vm="1">
        <f t="array" ref="GYU6">_xlfn._xlws.FILTER(TablaProductos[Nombre producto],TablaProductos[Agrupación]=ProductosPivot!GYU5)</f>
        <v>#VALUE!</v>
      </c>
      <c r="GYV6" s="68" t="e" cm="1" vm="1">
        <f t="array" ref="GYV6">_xlfn._xlws.FILTER(TablaProductos[Nombre producto],TablaProductos[Agrupación]=ProductosPivot!GYV5)</f>
        <v>#VALUE!</v>
      </c>
      <c r="GYW6" s="68" t="e" cm="1" vm="1">
        <f t="array" ref="GYW6">_xlfn._xlws.FILTER(TablaProductos[Nombre producto],TablaProductos[Agrupación]=ProductosPivot!GYW5)</f>
        <v>#VALUE!</v>
      </c>
      <c r="GYX6" s="68" t="e" cm="1" vm="1">
        <f t="array" ref="GYX6">_xlfn._xlws.FILTER(TablaProductos[Nombre producto],TablaProductos[Agrupación]=ProductosPivot!GYX5)</f>
        <v>#VALUE!</v>
      </c>
      <c r="GYY6" s="68" t="e" cm="1" vm="1">
        <f t="array" ref="GYY6">_xlfn._xlws.FILTER(TablaProductos[Nombre producto],TablaProductos[Agrupación]=ProductosPivot!GYY5)</f>
        <v>#VALUE!</v>
      </c>
      <c r="GYZ6" s="68" t="e" cm="1" vm="1">
        <f t="array" ref="GYZ6">_xlfn._xlws.FILTER(TablaProductos[Nombre producto],TablaProductos[Agrupación]=ProductosPivot!GYZ5)</f>
        <v>#VALUE!</v>
      </c>
      <c r="GZA6" s="68" t="e" cm="1" vm="1">
        <f t="array" ref="GZA6">_xlfn._xlws.FILTER(TablaProductos[Nombre producto],TablaProductos[Agrupación]=ProductosPivot!GZA5)</f>
        <v>#VALUE!</v>
      </c>
      <c r="GZB6" s="68" t="e" cm="1" vm="1">
        <f t="array" ref="GZB6">_xlfn._xlws.FILTER(TablaProductos[Nombre producto],TablaProductos[Agrupación]=ProductosPivot!GZB5)</f>
        <v>#VALUE!</v>
      </c>
      <c r="GZC6" s="68" t="e" cm="1" vm="1">
        <f t="array" ref="GZC6">_xlfn._xlws.FILTER(TablaProductos[Nombre producto],TablaProductos[Agrupación]=ProductosPivot!GZC5)</f>
        <v>#VALUE!</v>
      </c>
      <c r="GZD6" s="68" t="e" cm="1" vm="1">
        <f t="array" ref="GZD6">_xlfn._xlws.FILTER(TablaProductos[Nombre producto],TablaProductos[Agrupación]=ProductosPivot!GZD5)</f>
        <v>#VALUE!</v>
      </c>
      <c r="GZE6" s="68" t="e" cm="1" vm="1">
        <f t="array" ref="GZE6">_xlfn._xlws.FILTER(TablaProductos[Nombre producto],TablaProductos[Agrupación]=ProductosPivot!GZE5)</f>
        <v>#VALUE!</v>
      </c>
      <c r="GZF6" s="68" t="e" cm="1" vm="1">
        <f t="array" ref="GZF6">_xlfn._xlws.FILTER(TablaProductos[Nombre producto],TablaProductos[Agrupación]=ProductosPivot!GZF5)</f>
        <v>#VALUE!</v>
      </c>
      <c r="GZG6" s="68" t="e" cm="1" vm="1">
        <f t="array" ref="GZG6">_xlfn._xlws.FILTER(TablaProductos[Nombre producto],TablaProductos[Agrupación]=ProductosPivot!GZG5)</f>
        <v>#VALUE!</v>
      </c>
      <c r="GZH6" s="68" t="e" cm="1" vm="1">
        <f t="array" ref="GZH6">_xlfn._xlws.FILTER(TablaProductos[Nombre producto],TablaProductos[Agrupación]=ProductosPivot!GZH5)</f>
        <v>#VALUE!</v>
      </c>
      <c r="GZI6" s="68" t="e" cm="1" vm="1">
        <f t="array" ref="GZI6">_xlfn._xlws.FILTER(TablaProductos[Nombre producto],TablaProductos[Agrupación]=ProductosPivot!GZI5)</f>
        <v>#VALUE!</v>
      </c>
      <c r="GZJ6" s="68" t="e" cm="1" vm="1">
        <f t="array" ref="GZJ6">_xlfn._xlws.FILTER(TablaProductos[Nombre producto],TablaProductos[Agrupación]=ProductosPivot!GZJ5)</f>
        <v>#VALUE!</v>
      </c>
      <c r="GZK6" s="68" t="e" cm="1" vm="1">
        <f t="array" ref="GZK6">_xlfn._xlws.FILTER(TablaProductos[Nombre producto],TablaProductos[Agrupación]=ProductosPivot!GZK5)</f>
        <v>#VALUE!</v>
      </c>
      <c r="GZL6" s="68" t="e" cm="1" vm="1">
        <f t="array" ref="GZL6">_xlfn._xlws.FILTER(TablaProductos[Nombre producto],TablaProductos[Agrupación]=ProductosPivot!GZL5)</f>
        <v>#VALUE!</v>
      </c>
      <c r="GZM6" s="68" t="e" cm="1" vm="1">
        <f t="array" ref="GZM6">_xlfn._xlws.FILTER(TablaProductos[Nombre producto],TablaProductos[Agrupación]=ProductosPivot!GZM5)</f>
        <v>#VALUE!</v>
      </c>
      <c r="GZN6" s="68" t="e" cm="1" vm="1">
        <f t="array" ref="GZN6">_xlfn._xlws.FILTER(TablaProductos[Nombre producto],TablaProductos[Agrupación]=ProductosPivot!GZN5)</f>
        <v>#VALUE!</v>
      </c>
      <c r="GZO6" s="68" t="e" cm="1" vm="1">
        <f t="array" ref="GZO6">_xlfn._xlws.FILTER(TablaProductos[Nombre producto],TablaProductos[Agrupación]=ProductosPivot!GZO5)</f>
        <v>#VALUE!</v>
      </c>
      <c r="GZP6" s="68" t="e" cm="1" vm="1">
        <f t="array" ref="GZP6">_xlfn._xlws.FILTER(TablaProductos[Nombre producto],TablaProductos[Agrupación]=ProductosPivot!GZP5)</f>
        <v>#VALUE!</v>
      </c>
      <c r="GZQ6" s="68" t="e" cm="1" vm="1">
        <f t="array" ref="GZQ6">_xlfn._xlws.FILTER(TablaProductos[Nombre producto],TablaProductos[Agrupación]=ProductosPivot!GZQ5)</f>
        <v>#VALUE!</v>
      </c>
      <c r="GZR6" s="68" t="e" cm="1" vm="1">
        <f t="array" ref="GZR6">_xlfn._xlws.FILTER(TablaProductos[Nombre producto],TablaProductos[Agrupación]=ProductosPivot!GZR5)</f>
        <v>#VALUE!</v>
      </c>
      <c r="GZS6" s="68" t="e" cm="1" vm="1">
        <f t="array" ref="GZS6">_xlfn._xlws.FILTER(TablaProductos[Nombre producto],TablaProductos[Agrupación]=ProductosPivot!GZS5)</f>
        <v>#VALUE!</v>
      </c>
      <c r="GZT6" s="68" t="e" cm="1" vm="1">
        <f t="array" ref="GZT6">_xlfn._xlws.FILTER(TablaProductos[Nombre producto],TablaProductos[Agrupación]=ProductosPivot!GZT5)</f>
        <v>#VALUE!</v>
      </c>
      <c r="GZU6" s="68" t="e" cm="1" vm="1">
        <f t="array" ref="GZU6">_xlfn._xlws.FILTER(TablaProductos[Nombre producto],TablaProductos[Agrupación]=ProductosPivot!GZU5)</f>
        <v>#VALUE!</v>
      </c>
      <c r="GZV6" s="68" t="e" cm="1" vm="1">
        <f t="array" ref="GZV6">_xlfn._xlws.FILTER(TablaProductos[Nombre producto],TablaProductos[Agrupación]=ProductosPivot!GZV5)</f>
        <v>#VALUE!</v>
      </c>
      <c r="GZW6" s="68" t="e" cm="1" vm="1">
        <f t="array" ref="GZW6">_xlfn._xlws.FILTER(TablaProductos[Nombre producto],TablaProductos[Agrupación]=ProductosPivot!GZW5)</f>
        <v>#VALUE!</v>
      </c>
      <c r="GZX6" s="68" t="e" cm="1" vm="1">
        <f t="array" ref="GZX6">_xlfn._xlws.FILTER(TablaProductos[Nombre producto],TablaProductos[Agrupación]=ProductosPivot!GZX5)</f>
        <v>#VALUE!</v>
      </c>
      <c r="GZY6" s="68" t="e" cm="1" vm="1">
        <f t="array" ref="GZY6">_xlfn._xlws.FILTER(TablaProductos[Nombre producto],TablaProductos[Agrupación]=ProductosPivot!GZY5)</f>
        <v>#VALUE!</v>
      </c>
      <c r="GZZ6" s="68" t="e" cm="1" vm="1">
        <f t="array" ref="GZZ6">_xlfn._xlws.FILTER(TablaProductos[Nombre producto],TablaProductos[Agrupación]=ProductosPivot!GZZ5)</f>
        <v>#VALUE!</v>
      </c>
      <c r="HAA6" s="68" t="e" cm="1" vm="1">
        <f t="array" ref="HAA6">_xlfn._xlws.FILTER(TablaProductos[Nombre producto],TablaProductos[Agrupación]=ProductosPivot!HAA5)</f>
        <v>#VALUE!</v>
      </c>
      <c r="HAB6" s="68" t="e" cm="1" vm="1">
        <f t="array" ref="HAB6">_xlfn._xlws.FILTER(TablaProductos[Nombre producto],TablaProductos[Agrupación]=ProductosPivot!HAB5)</f>
        <v>#VALUE!</v>
      </c>
      <c r="HAC6" s="68" t="e" cm="1" vm="1">
        <f t="array" ref="HAC6">_xlfn._xlws.FILTER(TablaProductos[Nombre producto],TablaProductos[Agrupación]=ProductosPivot!HAC5)</f>
        <v>#VALUE!</v>
      </c>
      <c r="HAD6" s="68" t="e" cm="1" vm="1">
        <f t="array" ref="HAD6">_xlfn._xlws.FILTER(TablaProductos[Nombre producto],TablaProductos[Agrupación]=ProductosPivot!HAD5)</f>
        <v>#VALUE!</v>
      </c>
      <c r="HAE6" s="68" t="e" cm="1" vm="1">
        <f t="array" ref="HAE6">_xlfn._xlws.FILTER(TablaProductos[Nombre producto],TablaProductos[Agrupación]=ProductosPivot!HAE5)</f>
        <v>#VALUE!</v>
      </c>
      <c r="HAF6" s="68" t="e" cm="1" vm="1">
        <f t="array" ref="HAF6">_xlfn._xlws.FILTER(TablaProductos[Nombre producto],TablaProductos[Agrupación]=ProductosPivot!HAF5)</f>
        <v>#VALUE!</v>
      </c>
      <c r="HAG6" s="68" t="e" cm="1" vm="1">
        <f t="array" ref="HAG6">_xlfn._xlws.FILTER(TablaProductos[Nombre producto],TablaProductos[Agrupación]=ProductosPivot!HAG5)</f>
        <v>#VALUE!</v>
      </c>
      <c r="HAH6" s="68" t="e" cm="1" vm="1">
        <f t="array" ref="HAH6">_xlfn._xlws.FILTER(TablaProductos[Nombre producto],TablaProductos[Agrupación]=ProductosPivot!HAH5)</f>
        <v>#VALUE!</v>
      </c>
      <c r="HAI6" s="68" t="e" cm="1" vm="1">
        <f t="array" ref="HAI6">_xlfn._xlws.FILTER(TablaProductos[Nombre producto],TablaProductos[Agrupación]=ProductosPivot!HAI5)</f>
        <v>#VALUE!</v>
      </c>
      <c r="HAJ6" s="68" t="e" cm="1" vm="1">
        <f t="array" ref="HAJ6">_xlfn._xlws.FILTER(TablaProductos[Nombre producto],TablaProductos[Agrupación]=ProductosPivot!HAJ5)</f>
        <v>#VALUE!</v>
      </c>
      <c r="HAK6" s="68" t="e" cm="1" vm="1">
        <f t="array" ref="HAK6">_xlfn._xlws.FILTER(TablaProductos[Nombre producto],TablaProductos[Agrupación]=ProductosPivot!HAK5)</f>
        <v>#VALUE!</v>
      </c>
      <c r="HAL6" s="68" t="e" cm="1" vm="1">
        <f t="array" ref="HAL6">_xlfn._xlws.FILTER(TablaProductos[Nombre producto],TablaProductos[Agrupación]=ProductosPivot!HAL5)</f>
        <v>#VALUE!</v>
      </c>
      <c r="HAM6" s="68" t="e" cm="1" vm="1">
        <f t="array" ref="HAM6">_xlfn._xlws.FILTER(TablaProductos[Nombre producto],TablaProductos[Agrupación]=ProductosPivot!HAM5)</f>
        <v>#VALUE!</v>
      </c>
      <c r="HAN6" s="68" t="e" cm="1" vm="1">
        <f t="array" ref="HAN6">_xlfn._xlws.FILTER(TablaProductos[Nombre producto],TablaProductos[Agrupación]=ProductosPivot!HAN5)</f>
        <v>#VALUE!</v>
      </c>
      <c r="HAO6" s="68" t="e" cm="1" vm="1">
        <f t="array" ref="HAO6">_xlfn._xlws.FILTER(TablaProductos[Nombre producto],TablaProductos[Agrupación]=ProductosPivot!HAO5)</f>
        <v>#VALUE!</v>
      </c>
      <c r="HAP6" s="68" t="e" cm="1" vm="1">
        <f t="array" ref="HAP6">_xlfn._xlws.FILTER(TablaProductos[Nombre producto],TablaProductos[Agrupación]=ProductosPivot!HAP5)</f>
        <v>#VALUE!</v>
      </c>
      <c r="HAQ6" s="68" t="e" cm="1" vm="1">
        <f t="array" ref="HAQ6">_xlfn._xlws.FILTER(TablaProductos[Nombre producto],TablaProductos[Agrupación]=ProductosPivot!HAQ5)</f>
        <v>#VALUE!</v>
      </c>
      <c r="HAR6" s="68" t="e" cm="1" vm="1">
        <f t="array" ref="HAR6">_xlfn._xlws.FILTER(TablaProductos[Nombre producto],TablaProductos[Agrupación]=ProductosPivot!HAR5)</f>
        <v>#VALUE!</v>
      </c>
      <c r="HAS6" s="68" t="e" cm="1" vm="1">
        <f t="array" ref="HAS6">_xlfn._xlws.FILTER(TablaProductos[Nombre producto],TablaProductos[Agrupación]=ProductosPivot!HAS5)</f>
        <v>#VALUE!</v>
      </c>
      <c r="HAT6" s="68" t="e" cm="1" vm="1">
        <f t="array" ref="HAT6">_xlfn._xlws.FILTER(TablaProductos[Nombre producto],TablaProductos[Agrupación]=ProductosPivot!HAT5)</f>
        <v>#VALUE!</v>
      </c>
      <c r="HAU6" s="68" t="e" cm="1" vm="1">
        <f t="array" ref="HAU6">_xlfn._xlws.FILTER(TablaProductos[Nombre producto],TablaProductos[Agrupación]=ProductosPivot!HAU5)</f>
        <v>#VALUE!</v>
      </c>
      <c r="HAV6" s="68" t="e" cm="1" vm="1">
        <f t="array" ref="HAV6">_xlfn._xlws.FILTER(TablaProductos[Nombre producto],TablaProductos[Agrupación]=ProductosPivot!HAV5)</f>
        <v>#VALUE!</v>
      </c>
      <c r="HAW6" s="68" t="e" cm="1" vm="1">
        <f t="array" ref="HAW6">_xlfn._xlws.FILTER(TablaProductos[Nombre producto],TablaProductos[Agrupación]=ProductosPivot!HAW5)</f>
        <v>#VALUE!</v>
      </c>
      <c r="HAX6" s="68" t="e" cm="1" vm="1">
        <f t="array" ref="HAX6">_xlfn._xlws.FILTER(TablaProductos[Nombre producto],TablaProductos[Agrupación]=ProductosPivot!HAX5)</f>
        <v>#VALUE!</v>
      </c>
      <c r="HAY6" s="68" t="e" cm="1" vm="1">
        <f t="array" ref="HAY6">_xlfn._xlws.FILTER(TablaProductos[Nombre producto],TablaProductos[Agrupación]=ProductosPivot!HAY5)</f>
        <v>#VALUE!</v>
      </c>
      <c r="HAZ6" s="68" t="e" cm="1" vm="1">
        <f t="array" ref="HAZ6">_xlfn._xlws.FILTER(TablaProductos[Nombre producto],TablaProductos[Agrupación]=ProductosPivot!HAZ5)</f>
        <v>#VALUE!</v>
      </c>
      <c r="HBA6" s="68" t="e" cm="1" vm="1">
        <f t="array" ref="HBA6">_xlfn._xlws.FILTER(TablaProductos[Nombre producto],TablaProductos[Agrupación]=ProductosPivot!HBA5)</f>
        <v>#VALUE!</v>
      </c>
      <c r="HBB6" s="68" t="e" cm="1" vm="1">
        <f t="array" ref="HBB6">_xlfn._xlws.FILTER(TablaProductos[Nombre producto],TablaProductos[Agrupación]=ProductosPivot!HBB5)</f>
        <v>#VALUE!</v>
      </c>
      <c r="HBC6" s="68" t="e" cm="1" vm="1">
        <f t="array" ref="HBC6">_xlfn._xlws.FILTER(TablaProductos[Nombre producto],TablaProductos[Agrupación]=ProductosPivot!HBC5)</f>
        <v>#VALUE!</v>
      </c>
      <c r="HBD6" s="68" t="e" cm="1" vm="1">
        <f t="array" ref="HBD6">_xlfn._xlws.FILTER(TablaProductos[Nombre producto],TablaProductos[Agrupación]=ProductosPivot!HBD5)</f>
        <v>#VALUE!</v>
      </c>
      <c r="HBE6" s="68" t="e" cm="1" vm="1">
        <f t="array" ref="HBE6">_xlfn._xlws.FILTER(TablaProductos[Nombre producto],TablaProductos[Agrupación]=ProductosPivot!HBE5)</f>
        <v>#VALUE!</v>
      </c>
      <c r="HBF6" s="68" t="e" cm="1" vm="1">
        <f t="array" ref="HBF6">_xlfn._xlws.FILTER(TablaProductos[Nombre producto],TablaProductos[Agrupación]=ProductosPivot!HBF5)</f>
        <v>#VALUE!</v>
      </c>
      <c r="HBG6" s="68" t="e" cm="1" vm="1">
        <f t="array" ref="HBG6">_xlfn._xlws.FILTER(TablaProductos[Nombre producto],TablaProductos[Agrupación]=ProductosPivot!HBG5)</f>
        <v>#VALUE!</v>
      </c>
      <c r="HBH6" s="68" t="e" cm="1" vm="1">
        <f t="array" ref="HBH6">_xlfn._xlws.FILTER(TablaProductos[Nombre producto],TablaProductos[Agrupación]=ProductosPivot!HBH5)</f>
        <v>#VALUE!</v>
      </c>
      <c r="HBI6" s="68" t="e" cm="1" vm="1">
        <f t="array" ref="HBI6">_xlfn._xlws.FILTER(TablaProductos[Nombre producto],TablaProductos[Agrupación]=ProductosPivot!HBI5)</f>
        <v>#VALUE!</v>
      </c>
      <c r="HBJ6" s="68" t="e" cm="1" vm="1">
        <f t="array" ref="HBJ6">_xlfn._xlws.FILTER(TablaProductos[Nombre producto],TablaProductos[Agrupación]=ProductosPivot!HBJ5)</f>
        <v>#VALUE!</v>
      </c>
      <c r="HBK6" s="68" t="e" cm="1" vm="1">
        <f t="array" ref="HBK6">_xlfn._xlws.FILTER(TablaProductos[Nombre producto],TablaProductos[Agrupación]=ProductosPivot!HBK5)</f>
        <v>#VALUE!</v>
      </c>
      <c r="HBL6" s="68" t="e" cm="1" vm="1">
        <f t="array" ref="HBL6">_xlfn._xlws.FILTER(TablaProductos[Nombre producto],TablaProductos[Agrupación]=ProductosPivot!HBL5)</f>
        <v>#VALUE!</v>
      </c>
      <c r="HBM6" s="68" t="e" cm="1" vm="1">
        <f t="array" ref="HBM6">_xlfn._xlws.FILTER(TablaProductos[Nombre producto],TablaProductos[Agrupación]=ProductosPivot!HBM5)</f>
        <v>#VALUE!</v>
      </c>
      <c r="HBN6" s="68" t="e" cm="1" vm="1">
        <f t="array" ref="HBN6">_xlfn._xlws.FILTER(TablaProductos[Nombre producto],TablaProductos[Agrupación]=ProductosPivot!HBN5)</f>
        <v>#VALUE!</v>
      </c>
      <c r="HBO6" s="68" t="e" cm="1" vm="1">
        <f t="array" ref="HBO6">_xlfn._xlws.FILTER(TablaProductos[Nombre producto],TablaProductos[Agrupación]=ProductosPivot!HBO5)</f>
        <v>#VALUE!</v>
      </c>
      <c r="HBP6" s="68" t="e" cm="1" vm="1">
        <f t="array" ref="HBP6">_xlfn._xlws.FILTER(TablaProductos[Nombre producto],TablaProductos[Agrupación]=ProductosPivot!HBP5)</f>
        <v>#VALUE!</v>
      </c>
      <c r="HBQ6" s="68" t="e" cm="1" vm="1">
        <f t="array" ref="HBQ6">_xlfn._xlws.FILTER(TablaProductos[Nombre producto],TablaProductos[Agrupación]=ProductosPivot!HBQ5)</f>
        <v>#VALUE!</v>
      </c>
      <c r="HBR6" s="68" t="e" cm="1" vm="1">
        <f t="array" ref="HBR6">_xlfn._xlws.FILTER(TablaProductos[Nombre producto],TablaProductos[Agrupación]=ProductosPivot!HBR5)</f>
        <v>#VALUE!</v>
      </c>
      <c r="HBS6" s="68" t="e" cm="1" vm="1">
        <f t="array" ref="HBS6">_xlfn._xlws.FILTER(TablaProductos[Nombre producto],TablaProductos[Agrupación]=ProductosPivot!HBS5)</f>
        <v>#VALUE!</v>
      </c>
      <c r="HBT6" s="68" t="e" cm="1" vm="1">
        <f t="array" ref="HBT6">_xlfn._xlws.FILTER(TablaProductos[Nombre producto],TablaProductos[Agrupación]=ProductosPivot!HBT5)</f>
        <v>#VALUE!</v>
      </c>
      <c r="HBU6" s="68" t="e" cm="1" vm="1">
        <f t="array" ref="HBU6">_xlfn._xlws.FILTER(TablaProductos[Nombre producto],TablaProductos[Agrupación]=ProductosPivot!HBU5)</f>
        <v>#VALUE!</v>
      </c>
      <c r="HBV6" s="68" t="e" cm="1" vm="1">
        <f t="array" ref="HBV6">_xlfn._xlws.FILTER(TablaProductos[Nombre producto],TablaProductos[Agrupación]=ProductosPivot!HBV5)</f>
        <v>#VALUE!</v>
      </c>
      <c r="HBW6" s="68" t="e" cm="1" vm="1">
        <f t="array" ref="HBW6">_xlfn._xlws.FILTER(TablaProductos[Nombre producto],TablaProductos[Agrupación]=ProductosPivot!HBW5)</f>
        <v>#VALUE!</v>
      </c>
      <c r="HBX6" s="68" t="e" cm="1" vm="1">
        <f t="array" ref="HBX6">_xlfn._xlws.FILTER(TablaProductos[Nombre producto],TablaProductos[Agrupación]=ProductosPivot!HBX5)</f>
        <v>#VALUE!</v>
      </c>
      <c r="HBY6" s="68" t="e" cm="1" vm="1">
        <f t="array" ref="HBY6">_xlfn._xlws.FILTER(TablaProductos[Nombre producto],TablaProductos[Agrupación]=ProductosPivot!HBY5)</f>
        <v>#VALUE!</v>
      </c>
      <c r="HBZ6" s="68" t="e" cm="1" vm="1">
        <f t="array" ref="HBZ6">_xlfn._xlws.FILTER(TablaProductos[Nombre producto],TablaProductos[Agrupación]=ProductosPivot!HBZ5)</f>
        <v>#VALUE!</v>
      </c>
      <c r="HCA6" s="68" t="e" cm="1" vm="1">
        <f t="array" ref="HCA6">_xlfn._xlws.FILTER(TablaProductos[Nombre producto],TablaProductos[Agrupación]=ProductosPivot!HCA5)</f>
        <v>#VALUE!</v>
      </c>
      <c r="HCB6" s="68" t="e" cm="1" vm="1">
        <f t="array" ref="HCB6">_xlfn._xlws.FILTER(TablaProductos[Nombre producto],TablaProductos[Agrupación]=ProductosPivot!HCB5)</f>
        <v>#VALUE!</v>
      </c>
      <c r="HCC6" s="68" t="e" cm="1" vm="1">
        <f t="array" ref="HCC6">_xlfn._xlws.FILTER(TablaProductos[Nombre producto],TablaProductos[Agrupación]=ProductosPivot!HCC5)</f>
        <v>#VALUE!</v>
      </c>
      <c r="HCD6" s="68" t="e" cm="1" vm="1">
        <f t="array" ref="HCD6">_xlfn._xlws.FILTER(TablaProductos[Nombre producto],TablaProductos[Agrupación]=ProductosPivot!HCD5)</f>
        <v>#VALUE!</v>
      </c>
      <c r="HCE6" s="68" t="e" cm="1" vm="1">
        <f t="array" ref="HCE6">_xlfn._xlws.FILTER(TablaProductos[Nombre producto],TablaProductos[Agrupación]=ProductosPivot!HCE5)</f>
        <v>#VALUE!</v>
      </c>
      <c r="HCF6" s="68" t="e" cm="1" vm="1">
        <f t="array" ref="HCF6">_xlfn._xlws.FILTER(TablaProductos[Nombre producto],TablaProductos[Agrupación]=ProductosPivot!HCF5)</f>
        <v>#VALUE!</v>
      </c>
      <c r="HCG6" s="68" t="e" cm="1" vm="1">
        <f t="array" ref="HCG6">_xlfn._xlws.FILTER(TablaProductos[Nombre producto],TablaProductos[Agrupación]=ProductosPivot!HCG5)</f>
        <v>#VALUE!</v>
      </c>
      <c r="HCH6" s="68" t="e" cm="1" vm="1">
        <f t="array" ref="HCH6">_xlfn._xlws.FILTER(TablaProductos[Nombre producto],TablaProductos[Agrupación]=ProductosPivot!HCH5)</f>
        <v>#VALUE!</v>
      </c>
      <c r="HCI6" s="68" t="e" cm="1" vm="1">
        <f t="array" ref="HCI6">_xlfn._xlws.FILTER(TablaProductos[Nombre producto],TablaProductos[Agrupación]=ProductosPivot!HCI5)</f>
        <v>#VALUE!</v>
      </c>
      <c r="HCJ6" s="68" t="e" cm="1" vm="1">
        <f t="array" ref="HCJ6">_xlfn._xlws.FILTER(TablaProductos[Nombre producto],TablaProductos[Agrupación]=ProductosPivot!HCJ5)</f>
        <v>#VALUE!</v>
      </c>
      <c r="HCK6" s="68" t="e" cm="1" vm="1">
        <f t="array" ref="HCK6">_xlfn._xlws.FILTER(TablaProductos[Nombre producto],TablaProductos[Agrupación]=ProductosPivot!HCK5)</f>
        <v>#VALUE!</v>
      </c>
      <c r="HCL6" s="68" t="e" cm="1" vm="1">
        <f t="array" ref="HCL6">_xlfn._xlws.FILTER(TablaProductos[Nombre producto],TablaProductos[Agrupación]=ProductosPivot!HCL5)</f>
        <v>#VALUE!</v>
      </c>
      <c r="HCM6" s="68" t="e" cm="1" vm="1">
        <f t="array" ref="HCM6">_xlfn._xlws.FILTER(TablaProductos[Nombre producto],TablaProductos[Agrupación]=ProductosPivot!HCM5)</f>
        <v>#VALUE!</v>
      </c>
      <c r="HCN6" s="68" t="e" cm="1" vm="1">
        <f t="array" ref="HCN6">_xlfn._xlws.FILTER(TablaProductos[Nombre producto],TablaProductos[Agrupación]=ProductosPivot!HCN5)</f>
        <v>#VALUE!</v>
      </c>
      <c r="HCO6" s="68" t="e" cm="1" vm="1">
        <f t="array" ref="HCO6">_xlfn._xlws.FILTER(TablaProductos[Nombre producto],TablaProductos[Agrupación]=ProductosPivot!HCO5)</f>
        <v>#VALUE!</v>
      </c>
      <c r="HCP6" s="68" t="e" cm="1" vm="1">
        <f t="array" ref="HCP6">_xlfn._xlws.FILTER(TablaProductos[Nombre producto],TablaProductos[Agrupación]=ProductosPivot!HCP5)</f>
        <v>#VALUE!</v>
      </c>
      <c r="HCQ6" s="68" t="e" cm="1" vm="1">
        <f t="array" ref="HCQ6">_xlfn._xlws.FILTER(TablaProductos[Nombre producto],TablaProductos[Agrupación]=ProductosPivot!HCQ5)</f>
        <v>#VALUE!</v>
      </c>
      <c r="HCR6" s="68" t="e" cm="1" vm="1">
        <f t="array" ref="HCR6">_xlfn._xlws.FILTER(TablaProductos[Nombre producto],TablaProductos[Agrupación]=ProductosPivot!HCR5)</f>
        <v>#VALUE!</v>
      </c>
      <c r="HCS6" s="68" t="e" cm="1" vm="1">
        <f t="array" ref="HCS6">_xlfn._xlws.FILTER(TablaProductos[Nombre producto],TablaProductos[Agrupación]=ProductosPivot!HCS5)</f>
        <v>#VALUE!</v>
      </c>
      <c r="HCT6" s="68" t="e" cm="1" vm="1">
        <f t="array" ref="HCT6">_xlfn._xlws.FILTER(TablaProductos[Nombre producto],TablaProductos[Agrupación]=ProductosPivot!HCT5)</f>
        <v>#VALUE!</v>
      </c>
      <c r="HCU6" s="68" t="e" cm="1" vm="1">
        <f t="array" ref="HCU6">_xlfn._xlws.FILTER(TablaProductos[Nombre producto],TablaProductos[Agrupación]=ProductosPivot!HCU5)</f>
        <v>#VALUE!</v>
      </c>
      <c r="HCV6" s="68" t="e" cm="1" vm="1">
        <f t="array" ref="HCV6">_xlfn._xlws.FILTER(TablaProductos[Nombre producto],TablaProductos[Agrupación]=ProductosPivot!HCV5)</f>
        <v>#VALUE!</v>
      </c>
      <c r="HCW6" s="68" t="e" cm="1" vm="1">
        <f t="array" ref="HCW6">_xlfn._xlws.FILTER(TablaProductos[Nombre producto],TablaProductos[Agrupación]=ProductosPivot!HCW5)</f>
        <v>#VALUE!</v>
      </c>
      <c r="HCX6" s="68" t="e" cm="1" vm="1">
        <f t="array" ref="HCX6">_xlfn._xlws.FILTER(TablaProductos[Nombre producto],TablaProductos[Agrupación]=ProductosPivot!HCX5)</f>
        <v>#VALUE!</v>
      </c>
      <c r="HCY6" s="68" t="e" cm="1" vm="1">
        <f t="array" ref="HCY6">_xlfn._xlws.FILTER(TablaProductos[Nombre producto],TablaProductos[Agrupación]=ProductosPivot!HCY5)</f>
        <v>#VALUE!</v>
      </c>
      <c r="HCZ6" s="68" t="e" cm="1" vm="1">
        <f t="array" ref="HCZ6">_xlfn._xlws.FILTER(TablaProductos[Nombre producto],TablaProductos[Agrupación]=ProductosPivot!HCZ5)</f>
        <v>#VALUE!</v>
      </c>
      <c r="HDA6" s="68" t="e" cm="1" vm="1">
        <f t="array" ref="HDA6">_xlfn._xlws.FILTER(TablaProductos[Nombre producto],TablaProductos[Agrupación]=ProductosPivot!HDA5)</f>
        <v>#VALUE!</v>
      </c>
      <c r="HDB6" s="68" t="e" cm="1" vm="1">
        <f t="array" ref="HDB6">_xlfn._xlws.FILTER(TablaProductos[Nombre producto],TablaProductos[Agrupación]=ProductosPivot!HDB5)</f>
        <v>#VALUE!</v>
      </c>
      <c r="HDC6" s="68" t="e" cm="1" vm="1">
        <f t="array" ref="HDC6">_xlfn._xlws.FILTER(TablaProductos[Nombre producto],TablaProductos[Agrupación]=ProductosPivot!HDC5)</f>
        <v>#VALUE!</v>
      </c>
      <c r="HDD6" s="68" t="e" cm="1" vm="1">
        <f t="array" ref="HDD6">_xlfn._xlws.FILTER(TablaProductos[Nombre producto],TablaProductos[Agrupación]=ProductosPivot!HDD5)</f>
        <v>#VALUE!</v>
      </c>
      <c r="HDE6" s="68" t="e" cm="1" vm="1">
        <f t="array" ref="HDE6">_xlfn._xlws.FILTER(TablaProductos[Nombre producto],TablaProductos[Agrupación]=ProductosPivot!HDE5)</f>
        <v>#VALUE!</v>
      </c>
      <c r="HDF6" s="68" t="e" cm="1" vm="1">
        <f t="array" ref="HDF6">_xlfn._xlws.FILTER(TablaProductos[Nombre producto],TablaProductos[Agrupación]=ProductosPivot!HDF5)</f>
        <v>#VALUE!</v>
      </c>
      <c r="HDG6" s="68" t="e" cm="1" vm="1">
        <f t="array" ref="HDG6">_xlfn._xlws.FILTER(TablaProductos[Nombre producto],TablaProductos[Agrupación]=ProductosPivot!HDG5)</f>
        <v>#VALUE!</v>
      </c>
      <c r="HDH6" s="68" t="e" cm="1" vm="1">
        <f t="array" ref="HDH6">_xlfn._xlws.FILTER(TablaProductos[Nombre producto],TablaProductos[Agrupación]=ProductosPivot!HDH5)</f>
        <v>#VALUE!</v>
      </c>
      <c r="HDI6" s="68" t="e" cm="1" vm="1">
        <f t="array" ref="HDI6">_xlfn._xlws.FILTER(TablaProductos[Nombre producto],TablaProductos[Agrupación]=ProductosPivot!HDI5)</f>
        <v>#VALUE!</v>
      </c>
      <c r="HDJ6" s="68" t="e" cm="1" vm="1">
        <f t="array" ref="HDJ6">_xlfn._xlws.FILTER(TablaProductos[Nombre producto],TablaProductos[Agrupación]=ProductosPivot!HDJ5)</f>
        <v>#VALUE!</v>
      </c>
      <c r="HDK6" s="68" t="e" cm="1" vm="1">
        <f t="array" ref="HDK6">_xlfn._xlws.FILTER(TablaProductos[Nombre producto],TablaProductos[Agrupación]=ProductosPivot!HDK5)</f>
        <v>#VALUE!</v>
      </c>
      <c r="HDL6" s="68" t="e" cm="1" vm="1">
        <f t="array" ref="HDL6">_xlfn._xlws.FILTER(TablaProductos[Nombre producto],TablaProductos[Agrupación]=ProductosPivot!HDL5)</f>
        <v>#VALUE!</v>
      </c>
      <c r="HDM6" s="68" t="e" cm="1" vm="1">
        <f t="array" ref="HDM6">_xlfn._xlws.FILTER(TablaProductos[Nombre producto],TablaProductos[Agrupación]=ProductosPivot!HDM5)</f>
        <v>#VALUE!</v>
      </c>
      <c r="HDN6" s="68" t="e" cm="1" vm="1">
        <f t="array" ref="HDN6">_xlfn._xlws.FILTER(TablaProductos[Nombre producto],TablaProductos[Agrupación]=ProductosPivot!HDN5)</f>
        <v>#VALUE!</v>
      </c>
      <c r="HDO6" s="68" t="e" cm="1" vm="1">
        <f t="array" ref="HDO6">_xlfn._xlws.FILTER(TablaProductos[Nombre producto],TablaProductos[Agrupación]=ProductosPivot!HDO5)</f>
        <v>#VALUE!</v>
      </c>
      <c r="HDP6" s="68" t="e" cm="1" vm="1">
        <f t="array" ref="HDP6">_xlfn._xlws.FILTER(TablaProductos[Nombre producto],TablaProductos[Agrupación]=ProductosPivot!HDP5)</f>
        <v>#VALUE!</v>
      </c>
      <c r="HDQ6" s="68" t="e" cm="1" vm="1">
        <f t="array" ref="HDQ6">_xlfn._xlws.FILTER(TablaProductos[Nombre producto],TablaProductos[Agrupación]=ProductosPivot!HDQ5)</f>
        <v>#VALUE!</v>
      </c>
      <c r="HDR6" s="68" t="e" cm="1" vm="1">
        <f t="array" ref="HDR6">_xlfn._xlws.FILTER(TablaProductos[Nombre producto],TablaProductos[Agrupación]=ProductosPivot!HDR5)</f>
        <v>#VALUE!</v>
      </c>
      <c r="HDS6" s="68" t="e" cm="1" vm="1">
        <f t="array" ref="HDS6">_xlfn._xlws.FILTER(TablaProductos[Nombre producto],TablaProductos[Agrupación]=ProductosPivot!HDS5)</f>
        <v>#VALUE!</v>
      </c>
      <c r="HDT6" s="68" t="e" cm="1" vm="1">
        <f t="array" ref="HDT6">_xlfn._xlws.FILTER(TablaProductos[Nombre producto],TablaProductos[Agrupación]=ProductosPivot!HDT5)</f>
        <v>#VALUE!</v>
      </c>
      <c r="HDU6" s="68" t="e" cm="1" vm="1">
        <f t="array" ref="HDU6">_xlfn._xlws.FILTER(TablaProductos[Nombre producto],TablaProductos[Agrupación]=ProductosPivot!HDU5)</f>
        <v>#VALUE!</v>
      </c>
      <c r="HDV6" s="68" t="e" cm="1" vm="1">
        <f t="array" ref="HDV6">_xlfn._xlws.FILTER(TablaProductos[Nombre producto],TablaProductos[Agrupación]=ProductosPivot!HDV5)</f>
        <v>#VALUE!</v>
      </c>
      <c r="HDW6" s="68" t="e" cm="1" vm="1">
        <f t="array" ref="HDW6">_xlfn._xlws.FILTER(TablaProductos[Nombre producto],TablaProductos[Agrupación]=ProductosPivot!HDW5)</f>
        <v>#VALUE!</v>
      </c>
      <c r="HDX6" s="68" t="e" cm="1" vm="1">
        <f t="array" ref="HDX6">_xlfn._xlws.FILTER(TablaProductos[Nombre producto],TablaProductos[Agrupación]=ProductosPivot!HDX5)</f>
        <v>#VALUE!</v>
      </c>
      <c r="HDY6" s="68" t="e" cm="1" vm="1">
        <f t="array" ref="HDY6">_xlfn._xlws.FILTER(TablaProductos[Nombre producto],TablaProductos[Agrupación]=ProductosPivot!HDY5)</f>
        <v>#VALUE!</v>
      </c>
      <c r="HDZ6" s="68" t="e" cm="1" vm="1">
        <f t="array" ref="HDZ6">_xlfn._xlws.FILTER(TablaProductos[Nombre producto],TablaProductos[Agrupación]=ProductosPivot!HDZ5)</f>
        <v>#VALUE!</v>
      </c>
      <c r="HEA6" s="68" t="e" cm="1" vm="1">
        <f t="array" ref="HEA6">_xlfn._xlws.FILTER(TablaProductos[Nombre producto],TablaProductos[Agrupación]=ProductosPivot!HEA5)</f>
        <v>#VALUE!</v>
      </c>
      <c r="HEB6" s="68" t="e" cm="1" vm="1">
        <f t="array" ref="HEB6">_xlfn._xlws.FILTER(TablaProductos[Nombre producto],TablaProductos[Agrupación]=ProductosPivot!HEB5)</f>
        <v>#VALUE!</v>
      </c>
      <c r="HEC6" s="68" t="e" cm="1" vm="1">
        <f t="array" ref="HEC6">_xlfn._xlws.FILTER(TablaProductos[Nombre producto],TablaProductos[Agrupación]=ProductosPivot!HEC5)</f>
        <v>#VALUE!</v>
      </c>
      <c r="HED6" s="68" t="e" cm="1" vm="1">
        <f t="array" ref="HED6">_xlfn._xlws.FILTER(TablaProductos[Nombre producto],TablaProductos[Agrupación]=ProductosPivot!HED5)</f>
        <v>#VALUE!</v>
      </c>
      <c r="HEE6" s="68" t="e" cm="1" vm="1">
        <f t="array" ref="HEE6">_xlfn._xlws.FILTER(TablaProductos[Nombre producto],TablaProductos[Agrupación]=ProductosPivot!HEE5)</f>
        <v>#VALUE!</v>
      </c>
      <c r="HEF6" s="68" t="e" cm="1" vm="1">
        <f t="array" ref="HEF6">_xlfn._xlws.FILTER(TablaProductos[Nombre producto],TablaProductos[Agrupación]=ProductosPivot!HEF5)</f>
        <v>#VALUE!</v>
      </c>
      <c r="HEG6" s="68" t="e" cm="1" vm="1">
        <f t="array" ref="HEG6">_xlfn._xlws.FILTER(TablaProductos[Nombre producto],TablaProductos[Agrupación]=ProductosPivot!HEG5)</f>
        <v>#VALUE!</v>
      </c>
      <c r="HEH6" s="68" t="e" cm="1" vm="1">
        <f t="array" ref="HEH6">_xlfn._xlws.FILTER(TablaProductos[Nombre producto],TablaProductos[Agrupación]=ProductosPivot!HEH5)</f>
        <v>#VALUE!</v>
      </c>
      <c r="HEI6" s="68" t="e" cm="1" vm="1">
        <f t="array" ref="HEI6">_xlfn._xlws.FILTER(TablaProductos[Nombre producto],TablaProductos[Agrupación]=ProductosPivot!HEI5)</f>
        <v>#VALUE!</v>
      </c>
      <c r="HEJ6" s="68" t="e" cm="1" vm="1">
        <f t="array" ref="HEJ6">_xlfn._xlws.FILTER(TablaProductos[Nombre producto],TablaProductos[Agrupación]=ProductosPivot!HEJ5)</f>
        <v>#VALUE!</v>
      </c>
      <c r="HEK6" s="68" t="e" cm="1" vm="1">
        <f t="array" ref="HEK6">_xlfn._xlws.FILTER(TablaProductos[Nombre producto],TablaProductos[Agrupación]=ProductosPivot!HEK5)</f>
        <v>#VALUE!</v>
      </c>
      <c r="HEL6" s="68" t="e" cm="1" vm="1">
        <f t="array" ref="HEL6">_xlfn._xlws.FILTER(TablaProductos[Nombre producto],TablaProductos[Agrupación]=ProductosPivot!HEL5)</f>
        <v>#VALUE!</v>
      </c>
      <c r="HEM6" s="68" t="e" cm="1" vm="1">
        <f t="array" ref="HEM6">_xlfn._xlws.FILTER(TablaProductos[Nombre producto],TablaProductos[Agrupación]=ProductosPivot!HEM5)</f>
        <v>#VALUE!</v>
      </c>
      <c r="HEN6" s="68" t="e" cm="1" vm="1">
        <f t="array" ref="HEN6">_xlfn._xlws.FILTER(TablaProductos[Nombre producto],TablaProductos[Agrupación]=ProductosPivot!HEN5)</f>
        <v>#VALUE!</v>
      </c>
      <c r="HEO6" s="68" t="e" cm="1" vm="1">
        <f t="array" ref="HEO6">_xlfn._xlws.FILTER(TablaProductos[Nombre producto],TablaProductos[Agrupación]=ProductosPivot!HEO5)</f>
        <v>#VALUE!</v>
      </c>
      <c r="HEP6" s="68" t="e" cm="1" vm="1">
        <f t="array" ref="HEP6">_xlfn._xlws.FILTER(TablaProductos[Nombre producto],TablaProductos[Agrupación]=ProductosPivot!HEP5)</f>
        <v>#VALUE!</v>
      </c>
      <c r="HEQ6" s="68" t="e" cm="1" vm="1">
        <f t="array" ref="HEQ6">_xlfn._xlws.FILTER(TablaProductos[Nombre producto],TablaProductos[Agrupación]=ProductosPivot!HEQ5)</f>
        <v>#VALUE!</v>
      </c>
      <c r="HER6" s="68" t="e" cm="1" vm="1">
        <f t="array" ref="HER6">_xlfn._xlws.FILTER(TablaProductos[Nombre producto],TablaProductos[Agrupación]=ProductosPivot!HER5)</f>
        <v>#VALUE!</v>
      </c>
      <c r="HES6" s="68" t="e" cm="1" vm="1">
        <f t="array" ref="HES6">_xlfn._xlws.FILTER(TablaProductos[Nombre producto],TablaProductos[Agrupación]=ProductosPivot!HES5)</f>
        <v>#VALUE!</v>
      </c>
      <c r="HET6" s="68" t="e" cm="1" vm="1">
        <f t="array" ref="HET6">_xlfn._xlws.FILTER(TablaProductos[Nombre producto],TablaProductos[Agrupación]=ProductosPivot!HET5)</f>
        <v>#VALUE!</v>
      </c>
      <c r="HEU6" s="68" t="e" cm="1" vm="1">
        <f t="array" ref="HEU6">_xlfn._xlws.FILTER(TablaProductos[Nombre producto],TablaProductos[Agrupación]=ProductosPivot!HEU5)</f>
        <v>#VALUE!</v>
      </c>
      <c r="HEV6" s="68" t="e" cm="1" vm="1">
        <f t="array" ref="HEV6">_xlfn._xlws.FILTER(TablaProductos[Nombre producto],TablaProductos[Agrupación]=ProductosPivot!HEV5)</f>
        <v>#VALUE!</v>
      </c>
      <c r="HEW6" s="68" t="e" cm="1" vm="1">
        <f t="array" ref="HEW6">_xlfn._xlws.FILTER(TablaProductos[Nombre producto],TablaProductos[Agrupación]=ProductosPivot!HEW5)</f>
        <v>#VALUE!</v>
      </c>
      <c r="HEX6" s="68" t="e" cm="1" vm="1">
        <f t="array" ref="HEX6">_xlfn._xlws.FILTER(TablaProductos[Nombre producto],TablaProductos[Agrupación]=ProductosPivot!HEX5)</f>
        <v>#VALUE!</v>
      </c>
      <c r="HEY6" s="68" t="e" cm="1" vm="1">
        <f t="array" ref="HEY6">_xlfn._xlws.FILTER(TablaProductos[Nombre producto],TablaProductos[Agrupación]=ProductosPivot!HEY5)</f>
        <v>#VALUE!</v>
      </c>
      <c r="HEZ6" s="68" t="e" cm="1" vm="1">
        <f t="array" ref="HEZ6">_xlfn._xlws.FILTER(TablaProductos[Nombre producto],TablaProductos[Agrupación]=ProductosPivot!HEZ5)</f>
        <v>#VALUE!</v>
      </c>
      <c r="HFA6" s="68" t="e" cm="1" vm="1">
        <f t="array" ref="HFA6">_xlfn._xlws.FILTER(TablaProductos[Nombre producto],TablaProductos[Agrupación]=ProductosPivot!HFA5)</f>
        <v>#VALUE!</v>
      </c>
      <c r="HFB6" s="68" t="e" cm="1" vm="1">
        <f t="array" ref="HFB6">_xlfn._xlws.FILTER(TablaProductos[Nombre producto],TablaProductos[Agrupación]=ProductosPivot!HFB5)</f>
        <v>#VALUE!</v>
      </c>
      <c r="HFC6" s="68" t="e" cm="1" vm="1">
        <f t="array" ref="HFC6">_xlfn._xlws.FILTER(TablaProductos[Nombre producto],TablaProductos[Agrupación]=ProductosPivot!HFC5)</f>
        <v>#VALUE!</v>
      </c>
      <c r="HFD6" s="68" t="e" cm="1" vm="1">
        <f t="array" ref="HFD6">_xlfn._xlws.FILTER(TablaProductos[Nombre producto],TablaProductos[Agrupación]=ProductosPivot!HFD5)</f>
        <v>#VALUE!</v>
      </c>
      <c r="HFE6" s="68" t="e" cm="1" vm="1">
        <f t="array" ref="HFE6">_xlfn._xlws.FILTER(TablaProductos[Nombre producto],TablaProductos[Agrupación]=ProductosPivot!HFE5)</f>
        <v>#VALUE!</v>
      </c>
      <c r="HFF6" s="68" t="e" cm="1" vm="1">
        <f t="array" ref="HFF6">_xlfn._xlws.FILTER(TablaProductos[Nombre producto],TablaProductos[Agrupación]=ProductosPivot!HFF5)</f>
        <v>#VALUE!</v>
      </c>
      <c r="HFG6" s="68" t="e" cm="1" vm="1">
        <f t="array" ref="HFG6">_xlfn._xlws.FILTER(TablaProductos[Nombre producto],TablaProductos[Agrupación]=ProductosPivot!HFG5)</f>
        <v>#VALUE!</v>
      </c>
      <c r="HFH6" s="68" t="e" cm="1" vm="1">
        <f t="array" ref="HFH6">_xlfn._xlws.FILTER(TablaProductos[Nombre producto],TablaProductos[Agrupación]=ProductosPivot!HFH5)</f>
        <v>#VALUE!</v>
      </c>
      <c r="HFI6" s="68" t="e" cm="1" vm="1">
        <f t="array" ref="HFI6">_xlfn._xlws.FILTER(TablaProductos[Nombre producto],TablaProductos[Agrupación]=ProductosPivot!HFI5)</f>
        <v>#VALUE!</v>
      </c>
      <c r="HFJ6" s="68" t="e" cm="1" vm="1">
        <f t="array" ref="HFJ6">_xlfn._xlws.FILTER(TablaProductos[Nombre producto],TablaProductos[Agrupación]=ProductosPivot!HFJ5)</f>
        <v>#VALUE!</v>
      </c>
      <c r="HFK6" s="68" t="e" cm="1" vm="1">
        <f t="array" ref="HFK6">_xlfn._xlws.FILTER(TablaProductos[Nombre producto],TablaProductos[Agrupación]=ProductosPivot!HFK5)</f>
        <v>#VALUE!</v>
      </c>
      <c r="HFL6" s="68" t="e" cm="1" vm="1">
        <f t="array" ref="HFL6">_xlfn._xlws.FILTER(TablaProductos[Nombre producto],TablaProductos[Agrupación]=ProductosPivot!HFL5)</f>
        <v>#VALUE!</v>
      </c>
      <c r="HFM6" s="68" t="e" cm="1" vm="1">
        <f t="array" ref="HFM6">_xlfn._xlws.FILTER(TablaProductos[Nombre producto],TablaProductos[Agrupación]=ProductosPivot!HFM5)</f>
        <v>#VALUE!</v>
      </c>
      <c r="HFN6" s="68" t="e" cm="1" vm="1">
        <f t="array" ref="HFN6">_xlfn._xlws.FILTER(TablaProductos[Nombre producto],TablaProductos[Agrupación]=ProductosPivot!HFN5)</f>
        <v>#VALUE!</v>
      </c>
      <c r="HFO6" s="68" t="e" cm="1" vm="1">
        <f t="array" ref="HFO6">_xlfn._xlws.FILTER(TablaProductos[Nombre producto],TablaProductos[Agrupación]=ProductosPivot!HFO5)</f>
        <v>#VALUE!</v>
      </c>
      <c r="HFP6" s="68" t="e" cm="1" vm="1">
        <f t="array" ref="HFP6">_xlfn._xlws.FILTER(TablaProductos[Nombre producto],TablaProductos[Agrupación]=ProductosPivot!HFP5)</f>
        <v>#VALUE!</v>
      </c>
      <c r="HFQ6" s="68" t="e" cm="1" vm="1">
        <f t="array" ref="HFQ6">_xlfn._xlws.FILTER(TablaProductos[Nombre producto],TablaProductos[Agrupación]=ProductosPivot!HFQ5)</f>
        <v>#VALUE!</v>
      </c>
      <c r="HFR6" s="68" t="e" cm="1" vm="1">
        <f t="array" ref="HFR6">_xlfn._xlws.FILTER(TablaProductos[Nombre producto],TablaProductos[Agrupación]=ProductosPivot!HFR5)</f>
        <v>#VALUE!</v>
      </c>
      <c r="HFS6" s="68" t="e" cm="1" vm="1">
        <f t="array" ref="HFS6">_xlfn._xlws.FILTER(TablaProductos[Nombre producto],TablaProductos[Agrupación]=ProductosPivot!HFS5)</f>
        <v>#VALUE!</v>
      </c>
      <c r="HFT6" s="68" t="e" cm="1" vm="1">
        <f t="array" ref="HFT6">_xlfn._xlws.FILTER(TablaProductos[Nombre producto],TablaProductos[Agrupación]=ProductosPivot!HFT5)</f>
        <v>#VALUE!</v>
      </c>
      <c r="HFU6" s="68" t="e" cm="1" vm="1">
        <f t="array" ref="HFU6">_xlfn._xlws.FILTER(TablaProductos[Nombre producto],TablaProductos[Agrupación]=ProductosPivot!HFU5)</f>
        <v>#VALUE!</v>
      </c>
      <c r="HFV6" s="68" t="e" cm="1" vm="1">
        <f t="array" ref="HFV6">_xlfn._xlws.FILTER(TablaProductos[Nombre producto],TablaProductos[Agrupación]=ProductosPivot!HFV5)</f>
        <v>#VALUE!</v>
      </c>
      <c r="HFW6" s="68" t="e" cm="1" vm="1">
        <f t="array" ref="HFW6">_xlfn._xlws.FILTER(TablaProductos[Nombre producto],TablaProductos[Agrupación]=ProductosPivot!HFW5)</f>
        <v>#VALUE!</v>
      </c>
      <c r="HFX6" s="68" t="e" cm="1" vm="1">
        <f t="array" ref="HFX6">_xlfn._xlws.FILTER(TablaProductos[Nombre producto],TablaProductos[Agrupación]=ProductosPivot!HFX5)</f>
        <v>#VALUE!</v>
      </c>
      <c r="HFY6" s="68" t="e" cm="1" vm="1">
        <f t="array" ref="HFY6">_xlfn._xlws.FILTER(TablaProductos[Nombre producto],TablaProductos[Agrupación]=ProductosPivot!HFY5)</f>
        <v>#VALUE!</v>
      </c>
      <c r="HFZ6" s="68" t="e" cm="1" vm="1">
        <f t="array" ref="HFZ6">_xlfn._xlws.FILTER(TablaProductos[Nombre producto],TablaProductos[Agrupación]=ProductosPivot!HFZ5)</f>
        <v>#VALUE!</v>
      </c>
      <c r="HGA6" s="68" t="e" cm="1" vm="1">
        <f t="array" ref="HGA6">_xlfn._xlws.FILTER(TablaProductos[Nombre producto],TablaProductos[Agrupación]=ProductosPivot!HGA5)</f>
        <v>#VALUE!</v>
      </c>
      <c r="HGB6" s="68" t="e" cm="1" vm="1">
        <f t="array" ref="HGB6">_xlfn._xlws.FILTER(TablaProductos[Nombre producto],TablaProductos[Agrupación]=ProductosPivot!HGB5)</f>
        <v>#VALUE!</v>
      </c>
      <c r="HGC6" s="68" t="e" cm="1" vm="1">
        <f t="array" ref="HGC6">_xlfn._xlws.FILTER(TablaProductos[Nombre producto],TablaProductos[Agrupación]=ProductosPivot!HGC5)</f>
        <v>#VALUE!</v>
      </c>
      <c r="HGD6" s="68" t="e" cm="1" vm="1">
        <f t="array" ref="HGD6">_xlfn._xlws.FILTER(TablaProductos[Nombre producto],TablaProductos[Agrupación]=ProductosPivot!HGD5)</f>
        <v>#VALUE!</v>
      </c>
      <c r="HGE6" s="68" t="e" cm="1" vm="1">
        <f t="array" ref="HGE6">_xlfn._xlws.FILTER(TablaProductos[Nombre producto],TablaProductos[Agrupación]=ProductosPivot!HGE5)</f>
        <v>#VALUE!</v>
      </c>
      <c r="HGF6" s="68" t="e" cm="1" vm="1">
        <f t="array" ref="HGF6">_xlfn._xlws.FILTER(TablaProductos[Nombre producto],TablaProductos[Agrupación]=ProductosPivot!HGF5)</f>
        <v>#VALUE!</v>
      </c>
      <c r="HGG6" s="68" t="e" cm="1" vm="1">
        <f t="array" ref="HGG6">_xlfn._xlws.FILTER(TablaProductos[Nombre producto],TablaProductos[Agrupación]=ProductosPivot!HGG5)</f>
        <v>#VALUE!</v>
      </c>
      <c r="HGH6" s="68" t="e" cm="1" vm="1">
        <f t="array" ref="HGH6">_xlfn._xlws.FILTER(TablaProductos[Nombre producto],TablaProductos[Agrupación]=ProductosPivot!HGH5)</f>
        <v>#VALUE!</v>
      </c>
      <c r="HGI6" s="68" t="e" cm="1" vm="1">
        <f t="array" ref="HGI6">_xlfn._xlws.FILTER(TablaProductos[Nombre producto],TablaProductos[Agrupación]=ProductosPivot!HGI5)</f>
        <v>#VALUE!</v>
      </c>
      <c r="HGJ6" s="68" t="e" cm="1" vm="1">
        <f t="array" ref="HGJ6">_xlfn._xlws.FILTER(TablaProductos[Nombre producto],TablaProductos[Agrupación]=ProductosPivot!HGJ5)</f>
        <v>#VALUE!</v>
      </c>
      <c r="HGK6" s="68" t="e" cm="1" vm="1">
        <f t="array" ref="HGK6">_xlfn._xlws.FILTER(TablaProductos[Nombre producto],TablaProductos[Agrupación]=ProductosPivot!HGK5)</f>
        <v>#VALUE!</v>
      </c>
      <c r="HGL6" s="68" t="e" cm="1" vm="1">
        <f t="array" ref="HGL6">_xlfn._xlws.FILTER(TablaProductos[Nombre producto],TablaProductos[Agrupación]=ProductosPivot!HGL5)</f>
        <v>#VALUE!</v>
      </c>
      <c r="HGM6" s="68" t="e" cm="1" vm="1">
        <f t="array" ref="HGM6">_xlfn._xlws.FILTER(TablaProductos[Nombre producto],TablaProductos[Agrupación]=ProductosPivot!HGM5)</f>
        <v>#VALUE!</v>
      </c>
      <c r="HGN6" s="68" t="e" cm="1" vm="1">
        <f t="array" ref="HGN6">_xlfn._xlws.FILTER(TablaProductos[Nombre producto],TablaProductos[Agrupación]=ProductosPivot!HGN5)</f>
        <v>#VALUE!</v>
      </c>
      <c r="HGO6" s="68" t="e" cm="1" vm="1">
        <f t="array" ref="HGO6">_xlfn._xlws.FILTER(TablaProductos[Nombre producto],TablaProductos[Agrupación]=ProductosPivot!HGO5)</f>
        <v>#VALUE!</v>
      </c>
      <c r="HGP6" s="68" t="e" cm="1" vm="1">
        <f t="array" ref="HGP6">_xlfn._xlws.FILTER(TablaProductos[Nombre producto],TablaProductos[Agrupación]=ProductosPivot!HGP5)</f>
        <v>#VALUE!</v>
      </c>
      <c r="HGQ6" s="68" t="e" cm="1" vm="1">
        <f t="array" ref="HGQ6">_xlfn._xlws.FILTER(TablaProductos[Nombre producto],TablaProductos[Agrupación]=ProductosPivot!HGQ5)</f>
        <v>#VALUE!</v>
      </c>
      <c r="HGR6" s="68" t="e" cm="1" vm="1">
        <f t="array" ref="HGR6">_xlfn._xlws.FILTER(TablaProductos[Nombre producto],TablaProductos[Agrupación]=ProductosPivot!HGR5)</f>
        <v>#VALUE!</v>
      </c>
      <c r="HGS6" s="68" t="e" cm="1" vm="1">
        <f t="array" ref="HGS6">_xlfn._xlws.FILTER(TablaProductos[Nombre producto],TablaProductos[Agrupación]=ProductosPivot!HGS5)</f>
        <v>#VALUE!</v>
      </c>
      <c r="HGT6" s="68" t="e" cm="1" vm="1">
        <f t="array" ref="HGT6">_xlfn._xlws.FILTER(TablaProductos[Nombre producto],TablaProductos[Agrupación]=ProductosPivot!HGT5)</f>
        <v>#VALUE!</v>
      </c>
      <c r="HGU6" s="68" t="e" cm="1" vm="1">
        <f t="array" ref="HGU6">_xlfn._xlws.FILTER(TablaProductos[Nombre producto],TablaProductos[Agrupación]=ProductosPivot!HGU5)</f>
        <v>#VALUE!</v>
      </c>
      <c r="HGV6" s="68" t="e" cm="1" vm="1">
        <f t="array" ref="HGV6">_xlfn._xlws.FILTER(TablaProductos[Nombre producto],TablaProductos[Agrupación]=ProductosPivot!HGV5)</f>
        <v>#VALUE!</v>
      </c>
      <c r="HGW6" s="68" t="e" cm="1" vm="1">
        <f t="array" ref="HGW6">_xlfn._xlws.FILTER(TablaProductos[Nombre producto],TablaProductos[Agrupación]=ProductosPivot!HGW5)</f>
        <v>#VALUE!</v>
      </c>
      <c r="HGX6" s="68" t="e" cm="1" vm="1">
        <f t="array" ref="HGX6">_xlfn._xlws.FILTER(TablaProductos[Nombre producto],TablaProductos[Agrupación]=ProductosPivot!HGX5)</f>
        <v>#VALUE!</v>
      </c>
      <c r="HGY6" s="68" t="e" cm="1" vm="1">
        <f t="array" ref="HGY6">_xlfn._xlws.FILTER(TablaProductos[Nombre producto],TablaProductos[Agrupación]=ProductosPivot!HGY5)</f>
        <v>#VALUE!</v>
      </c>
      <c r="HGZ6" s="68" t="e" cm="1" vm="1">
        <f t="array" ref="HGZ6">_xlfn._xlws.FILTER(TablaProductos[Nombre producto],TablaProductos[Agrupación]=ProductosPivot!HGZ5)</f>
        <v>#VALUE!</v>
      </c>
      <c r="HHA6" s="68" t="e" cm="1" vm="1">
        <f t="array" ref="HHA6">_xlfn._xlws.FILTER(TablaProductos[Nombre producto],TablaProductos[Agrupación]=ProductosPivot!HHA5)</f>
        <v>#VALUE!</v>
      </c>
      <c r="HHB6" s="68" t="e" cm="1" vm="1">
        <f t="array" ref="HHB6">_xlfn._xlws.FILTER(TablaProductos[Nombre producto],TablaProductos[Agrupación]=ProductosPivot!HHB5)</f>
        <v>#VALUE!</v>
      </c>
      <c r="HHC6" s="68" t="e" cm="1" vm="1">
        <f t="array" ref="HHC6">_xlfn._xlws.FILTER(TablaProductos[Nombre producto],TablaProductos[Agrupación]=ProductosPivot!HHC5)</f>
        <v>#VALUE!</v>
      </c>
      <c r="HHD6" s="68" t="e" cm="1" vm="1">
        <f t="array" ref="HHD6">_xlfn._xlws.FILTER(TablaProductos[Nombre producto],TablaProductos[Agrupación]=ProductosPivot!HHD5)</f>
        <v>#VALUE!</v>
      </c>
      <c r="HHE6" s="68" t="e" cm="1" vm="1">
        <f t="array" ref="HHE6">_xlfn._xlws.FILTER(TablaProductos[Nombre producto],TablaProductos[Agrupación]=ProductosPivot!HHE5)</f>
        <v>#VALUE!</v>
      </c>
      <c r="HHF6" s="68" t="e" cm="1" vm="1">
        <f t="array" ref="HHF6">_xlfn._xlws.FILTER(TablaProductos[Nombre producto],TablaProductos[Agrupación]=ProductosPivot!HHF5)</f>
        <v>#VALUE!</v>
      </c>
      <c r="HHG6" s="68" t="e" cm="1" vm="1">
        <f t="array" ref="HHG6">_xlfn._xlws.FILTER(TablaProductos[Nombre producto],TablaProductos[Agrupación]=ProductosPivot!HHG5)</f>
        <v>#VALUE!</v>
      </c>
      <c r="HHH6" s="68" t="e" cm="1" vm="1">
        <f t="array" ref="HHH6">_xlfn._xlws.FILTER(TablaProductos[Nombre producto],TablaProductos[Agrupación]=ProductosPivot!HHH5)</f>
        <v>#VALUE!</v>
      </c>
      <c r="HHI6" s="68" t="e" cm="1" vm="1">
        <f t="array" ref="HHI6">_xlfn._xlws.FILTER(TablaProductos[Nombre producto],TablaProductos[Agrupación]=ProductosPivot!HHI5)</f>
        <v>#VALUE!</v>
      </c>
      <c r="HHJ6" s="68" t="e" cm="1" vm="1">
        <f t="array" ref="HHJ6">_xlfn._xlws.FILTER(TablaProductos[Nombre producto],TablaProductos[Agrupación]=ProductosPivot!HHJ5)</f>
        <v>#VALUE!</v>
      </c>
      <c r="HHK6" s="68" t="e" cm="1" vm="1">
        <f t="array" ref="HHK6">_xlfn._xlws.FILTER(TablaProductos[Nombre producto],TablaProductos[Agrupación]=ProductosPivot!HHK5)</f>
        <v>#VALUE!</v>
      </c>
      <c r="HHL6" s="68" t="e" cm="1" vm="1">
        <f t="array" ref="HHL6">_xlfn._xlws.FILTER(TablaProductos[Nombre producto],TablaProductos[Agrupación]=ProductosPivot!HHL5)</f>
        <v>#VALUE!</v>
      </c>
      <c r="HHM6" s="68" t="e" cm="1" vm="1">
        <f t="array" ref="HHM6">_xlfn._xlws.FILTER(TablaProductos[Nombre producto],TablaProductos[Agrupación]=ProductosPivot!HHM5)</f>
        <v>#VALUE!</v>
      </c>
      <c r="HHN6" s="68" t="e" cm="1" vm="1">
        <f t="array" ref="HHN6">_xlfn._xlws.FILTER(TablaProductos[Nombre producto],TablaProductos[Agrupación]=ProductosPivot!HHN5)</f>
        <v>#VALUE!</v>
      </c>
      <c r="HHO6" s="68" t="e" cm="1" vm="1">
        <f t="array" ref="HHO6">_xlfn._xlws.FILTER(TablaProductos[Nombre producto],TablaProductos[Agrupación]=ProductosPivot!HHO5)</f>
        <v>#VALUE!</v>
      </c>
      <c r="HHP6" s="68" t="e" cm="1" vm="1">
        <f t="array" ref="HHP6">_xlfn._xlws.FILTER(TablaProductos[Nombre producto],TablaProductos[Agrupación]=ProductosPivot!HHP5)</f>
        <v>#VALUE!</v>
      </c>
      <c r="HHQ6" s="68" t="e" cm="1" vm="1">
        <f t="array" ref="HHQ6">_xlfn._xlws.FILTER(TablaProductos[Nombre producto],TablaProductos[Agrupación]=ProductosPivot!HHQ5)</f>
        <v>#VALUE!</v>
      </c>
      <c r="HHR6" s="68" t="e" cm="1" vm="1">
        <f t="array" ref="HHR6">_xlfn._xlws.FILTER(TablaProductos[Nombre producto],TablaProductos[Agrupación]=ProductosPivot!HHR5)</f>
        <v>#VALUE!</v>
      </c>
      <c r="HHS6" s="68" t="e" cm="1" vm="1">
        <f t="array" ref="HHS6">_xlfn._xlws.FILTER(TablaProductos[Nombre producto],TablaProductos[Agrupación]=ProductosPivot!HHS5)</f>
        <v>#VALUE!</v>
      </c>
      <c r="HHT6" s="68" t="e" cm="1" vm="1">
        <f t="array" ref="HHT6">_xlfn._xlws.FILTER(TablaProductos[Nombre producto],TablaProductos[Agrupación]=ProductosPivot!HHT5)</f>
        <v>#VALUE!</v>
      </c>
      <c r="HHU6" s="68" t="e" cm="1" vm="1">
        <f t="array" ref="HHU6">_xlfn._xlws.FILTER(TablaProductos[Nombre producto],TablaProductos[Agrupación]=ProductosPivot!HHU5)</f>
        <v>#VALUE!</v>
      </c>
      <c r="HHV6" s="68" t="e" cm="1" vm="1">
        <f t="array" ref="HHV6">_xlfn._xlws.FILTER(TablaProductos[Nombre producto],TablaProductos[Agrupación]=ProductosPivot!HHV5)</f>
        <v>#VALUE!</v>
      </c>
      <c r="HHW6" s="68" t="e" cm="1" vm="1">
        <f t="array" ref="HHW6">_xlfn._xlws.FILTER(TablaProductos[Nombre producto],TablaProductos[Agrupación]=ProductosPivot!HHW5)</f>
        <v>#VALUE!</v>
      </c>
      <c r="HHX6" s="68" t="e" cm="1" vm="1">
        <f t="array" ref="HHX6">_xlfn._xlws.FILTER(TablaProductos[Nombre producto],TablaProductos[Agrupación]=ProductosPivot!HHX5)</f>
        <v>#VALUE!</v>
      </c>
      <c r="HHY6" s="68" t="e" cm="1" vm="1">
        <f t="array" ref="HHY6">_xlfn._xlws.FILTER(TablaProductos[Nombre producto],TablaProductos[Agrupación]=ProductosPivot!HHY5)</f>
        <v>#VALUE!</v>
      </c>
      <c r="HHZ6" s="68" t="e" cm="1" vm="1">
        <f t="array" ref="HHZ6">_xlfn._xlws.FILTER(TablaProductos[Nombre producto],TablaProductos[Agrupación]=ProductosPivot!HHZ5)</f>
        <v>#VALUE!</v>
      </c>
      <c r="HIA6" s="68" t="e" cm="1" vm="1">
        <f t="array" ref="HIA6">_xlfn._xlws.FILTER(TablaProductos[Nombre producto],TablaProductos[Agrupación]=ProductosPivot!HIA5)</f>
        <v>#VALUE!</v>
      </c>
      <c r="HIB6" s="68" t="e" cm="1" vm="1">
        <f t="array" ref="HIB6">_xlfn._xlws.FILTER(TablaProductos[Nombre producto],TablaProductos[Agrupación]=ProductosPivot!HIB5)</f>
        <v>#VALUE!</v>
      </c>
      <c r="HIC6" s="68" t="e" cm="1" vm="1">
        <f t="array" ref="HIC6">_xlfn._xlws.FILTER(TablaProductos[Nombre producto],TablaProductos[Agrupación]=ProductosPivot!HIC5)</f>
        <v>#VALUE!</v>
      </c>
      <c r="HID6" s="68" t="e" cm="1" vm="1">
        <f t="array" ref="HID6">_xlfn._xlws.FILTER(TablaProductos[Nombre producto],TablaProductos[Agrupación]=ProductosPivot!HID5)</f>
        <v>#VALUE!</v>
      </c>
      <c r="HIE6" s="68" t="e" cm="1" vm="1">
        <f t="array" ref="HIE6">_xlfn._xlws.FILTER(TablaProductos[Nombre producto],TablaProductos[Agrupación]=ProductosPivot!HIE5)</f>
        <v>#VALUE!</v>
      </c>
      <c r="HIF6" s="68" t="e" cm="1" vm="1">
        <f t="array" ref="HIF6">_xlfn._xlws.FILTER(TablaProductos[Nombre producto],TablaProductos[Agrupación]=ProductosPivot!HIF5)</f>
        <v>#VALUE!</v>
      </c>
      <c r="HIG6" s="68" t="e" cm="1" vm="1">
        <f t="array" ref="HIG6">_xlfn._xlws.FILTER(TablaProductos[Nombre producto],TablaProductos[Agrupación]=ProductosPivot!HIG5)</f>
        <v>#VALUE!</v>
      </c>
      <c r="HIH6" s="68" t="e" cm="1" vm="1">
        <f t="array" ref="HIH6">_xlfn._xlws.FILTER(TablaProductos[Nombre producto],TablaProductos[Agrupación]=ProductosPivot!HIH5)</f>
        <v>#VALUE!</v>
      </c>
      <c r="HII6" s="68" t="e" cm="1" vm="1">
        <f t="array" ref="HII6">_xlfn._xlws.FILTER(TablaProductos[Nombre producto],TablaProductos[Agrupación]=ProductosPivot!HII5)</f>
        <v>#VALUE!</v>
      </c>
      <c r="HIJ6" s="68" t="e" cm="1" vm="1">
        <f t="array" ref="HIJ6">_xlfn._xlws.FILTER(TablaProductos[Nombre producto],TablaProductos[Agrupación]=ProductosPivot!HIJ5)</f>
        <v>#VALUE!</v>
      </c>
      <c r="HIK6" s="68" t="e" cm="1" vm="1">
        <f t="array" ref="HIK6">_xlfn._xlws.FILTER(TablaProductos[Nombre producto],TablaProductos[Agrupación]=ProductosPivot!HIK5)</f>
        <v>#VALUE!</v>
      </c>
      <c r="HIL6" s="68" t="e" cm="1" vm="1">
        <f t="array" ref="HIL6">_xlfn._xlws.FILTER(TablaProductos[Nombre producto],TablaProductos[Agrupación]=ProductosPivot!HIL5)</f>
        <v>#VALUE!</v>
      </c>
      <c r="HIM6" s="68" t="e" cm="1" vm="1">
        <f t="array" ref="HIM6">_xlfn._xlws.FILTER(TablaProductos[Nombre producto],TablaProductos[Agrupación]=ProductosPivot!HIM5)</f>
        <v>#VALUE!</v>
      </c>
      <c r="HIN6" s="68" t="e" cm="1" vm="1">
        <f t="array" ref="HIN6">_xlfn._xlws.FILTER(TablaProductos[Nombre producto],TablaProductos[Agrupación]=ProductosPivot!HIN5)</f>
        <v>#VALUE!</v>
      </c>
      <c r="HIO6" s="68" t="e" cm="1" vm="1">
        <f t="array" ref="HIO6">_xlfn._xlws.FILTER(TablaProductos[Nombre producto],TablaProductos[Agrupación]=ProductosPivot!HIO5)</f>
        <v>#VALUE!</v>
      </c>
      <c r="HIP6" s="68" t="e" cm="1" vm="1">
        <f t="array" ref="HIP6">_xlfn._xlws.FILTER(TablaProductos[Nombre producto],TablaProductos[Agrupación]=ProductosPivot!HIP5)</f>
        <v>#VALUE!</v>
      </c>
      <c r="HIQ6" s="68" t="e" cm="1" vm="1">
        <f t="array" ref="HIQ6">_xlfn._xlws.FILTER(TablaProductos[Nombre producto],TablaProductos[Agrupación]=ProductosPivot!HIQ5)</f>
        <v>#VALUE!</v>
      </c>
      <c r="HIR6" s="68" t="e" cm="1" vm="1">
        <f t="array" ref="HIR6">_xlfn._xlws.FILTER(TablaProductos[Nombre producto],TablaProductos[Agrupación]=ProductosPivot!HIR5)</f>
        <v>#VALUE!</v>
      </c>
      <c r="HIS6" s="68" t="e" cm="1" vm="1">
        <f t="array" ref="HIS6">_xlfn._xlws.FILTER(TablaProductos[Nombre producto],TablaProductos[Agrupación]=ProductosPivot!HIS5)</f>
        <v>#VALUE!</v>
      </c>
      <c r="HIT6" s="68" t="e" cm="1" vm="1">
        <f t="array" ref="HIT6">_xlfn._xlws.FILTER(TablaProductos[Nombre producto],TablaProductos[Agrupación]=ProductosPivot!HIT5)</f>
        <v>#VALUE!</v>
      </c>
      <c r="HIU6" s="68" t="e" cm="1" vm="1">
        <f t="array" ref="HIU6">_xlfn._xlws.FILTER(TablaProductos[Nombre producto],TablaProductos[Agrupación]=ProductosPivot!HIU5)</f>
        <v>#VALUE!</v>
      </c>
      <c r="HIV6" s="68" t="e" cm="1" vm="1">
        <f t="array" ref="HIV6">_xlfn._xlws.FILTER(TablaProductos[Nombre producto],TablaProductos[Agrupación]=ProductosPivot!HIV5)</f>
        <v>#VALUE!</v>
      </c>
      <c r="HIW6" s="68" t="e" cm="1" vm="1">
        <f t="array" ref="HIW6">_xlfn._xlws.FILTER(TablaProductos[Nombre producto],TablaProductos[Agrupación]=ProductosPivot!HIW5)</f>
        <v>#VALUE!</v>
      </c>
      <c r="HIX6" s="68" t="e" cm="1" vm="1">
        <f t="array" ref="HIX6">_xlfn._xlws.FILTER(TablaProductos[Nombre producto],TablaProductos[Agrupación]=ProductosPivot!HIX5)</f>
        <v>#VALUE!</v>
      </c>
      <c r="HIY6" s="68" t="e" cm="1" vm="1">
        <f t="array" ref="HIY6">_xlfn._xlws.FILTER(TablaProductos[Nombre producto],TablaProductos[Agrupación]=ProductosPivot!HIY5)</f>
        <v>#VALUE!</v>
      </c>
      <c r="HIZ6" s="68" t="e" cm="1" vm="1">
        <f t="array" ref="HIZ6">_xlfn._xlws.FILTER(TablaProductos[Nombre producto],TablaProductos[Agrupación]=ProductosPivot!HIZ5)</f>
        <v>#VALUE!</v>
      </c>
      <c r="HJA6" s="68" t="e" cm="1" vm="1">
        <f t="array" ref="HJA6">_xlfn._xlws.FILTER(TablaProductos[Nombre producto],TablaProductos[Agrupación]=ProductosPivot!HJA5)</f>
        <v>#VALUE!</v>
      </c>
      <c r="HJB6" s="68" t="e" cm="1" vm="1">
        <f t="array" ref="HJB6">_xlfn._xlws.FILTER(TablaProductos[Nombre producto],TablaProductos[Agrupación]=ProductosPivot!HJB5)</f>
        <v>#VALUE!</v>
      </c>
      <c r="HJC6" s="68" t="e" cm="1" vm="1">
        <f t="array" ref="HJC6">_xlfn._xlws.FILTER(TablaProductos[Nombre producto],TablaProductos[Agrupación]=ProductosPivot!HJC5)</f>
        <v>#VALUE!</v>
      </c>
      <c r="HJD6" s="68" t="e" cm="1" vm="1">
        <f t="array" ref="HJD6">_xlfn._xlws.FILTER(TablaProductos[Nombre producto],TablaProductos[Agrupación]=ProductosPivot!HJD5)</f>
        <v>#VALUE!</v>
      </c>
      <c r="HJE6" s="68" t="e" cm="1" vm="1">
        <f t="array" ref="HJE6">_xlfn._xlws.FILTER(TablaProductos[Nombre producto],TablaProductos[Agrupación]=ProductosPivot!HJE5)</f>
        <v>#VALUE!</v>
      </c>
      <c r="HJF6" s="68" t="e" cm="1" vm="1">
        <f t="array" ref="HJF6">_xlfn._xlws.FILTER(TablaProductos[Nombre producto],TablaProductos[Agrupación]=ProductosPivot!HJF5)</f>
        <v>#VALUE!</v>
      </c>
      <c r="HJG6" s="68" t="e" cm="1" vm="1">
        <f t="array" ref="HJG6">_xlfn._xlws.FILTER(TablaProductos[Nombre producto],TablaProductos[Agrupación]=ProductosPivot!HJG5)</f>
        <v>#VALUE!</v>
      </c>
      <c r="HJH6" s="68" t="e" cm="1" vm="1">
        <f t="array" ref="HJH6">_xlfn._xlws.FILTER(TablaProductos[Nombre producto],TablaProductos[Agrupación]=ProductosPivot!HJH5)</f>
        <v>#VALUE!</v>
      </c>
      <c r="HJI6" s="68" t="e" cm="1" vm="1">
        <f t="array" ref="HJI6">_xlfn._xlws.FILTER(TablaProductos[Nombre producto],TablaProductos[Agrupación]=ProductosPivot!HJI5)</f>
        <v>#VALUE!</v>
      </c>
      <c r="HJJ6" s="68" t="e" cm="1" vm="1">
        <f t="array" ref="HJJ6">_xlfn._xlws.FILTER(TablaProductos[Nombre producto],TablaProductos[Agrupación]=ProductosPivot!HJJ5)</f>
        <v>#VALUE!</v>
      </c>
      <c r="HJK6" s="68" t="e" cm="1" vm="1">
        <f t="array" ref="HJK6">_xlfn._xlws.FILTER(TablaProductos[Nombre producto],TablaProductos[Agrupación]=ProductosPivot!HJK5)</f>
        <v>#VALUE!</v>
      </c>
      <c r="HJL6" s="68" t="e" cm="1" vm="1">
        <f t="array" ref="HJL6">_xlfn._xlws.FILTER(TablaProductos[Nombre producto],TablaProductos[Agrupación]=ProductosPivot!HJL5)</f>
        <v>#VALUE!</v>
      </c>
      <c r="HJM6" s="68" t="e" cm="1" vm="1">
        <f t="array" ref="HJM6">_xlfn._xlws.FILTER(TablaProductos[Nombre producto],TablaProductos[Agrupación]=ProductosPivot!HJM5)</f>
        <v>#VALUE!</v>
      </c>
      <c r="HJN6" s="68" t="e" cm="1" vm="1">
        <f t="array" ref="HJN6">_xlfn._xlws.FILTER(TablaProductos[Nombre producto],TablaProductos[Agrupación]=ProductosPivot!HJN5)</f>
        <v>#VALUE!</v>
      </c>
      <c r="HJO6" s="68" t="e" cm="1" vm="1">
        <f t="array" ref="HJO6">_xlfn._xlws.FILTER(TablaProductos[Nombre producto],TablaProductos[Agrupación]=ProductosPivot!HJO5)</f>
        <v>#VALUE!</v>
      </c>
      <c r="HJP6" s="68" t="e" cm="1" vm="1">
        <f t="array" ref="HJP6">_xlfn._xlws.FILTER(TablaProductos[Nombre producto],TablaProductos[Agrupación]=ProductosPivot!HJP5)</f>
        <v>#VALUE!</v>
      </c>
      <c r="HJQ6" s="68" t="e" cm="1" vm="1">
        <f t="array" ref="HJQ6">_xlfn._xlws.FILTER(TablaProductos[Nombre producto],TablaProductos[Agrupación]=ProductosPivot!HJQ5)</f>
        <v>#VALUE!</v>
      </c>
      <c r="HJR6" s="68" t="e" cm="1" vm="1">
        <f t="array" ref="HJR6">_xlfn._xlws.FILTER(TablaProductos[Nombre producto],TablaProductos[Agrupación]=ProductosPivot!HJR5)</f>
        <v>#VALUE!</v>
      </c>
      <c r="HJS6" s="68" t="e" cm="1" vm="1">
        <f t="array" ref="HJS6">_xlfn._xlws.FILTER(TablaProductos[Nombre producto],TablaProductos[Agrupación]=ProductosPivot!HJS5)</f>
        <v>#VALUE!</v>
      </c>
      <c r="HJT6" s="68" t="e" cm="1" vm="1">
        <f t="array" ref="HJT6">_xlfn._xlws.FILTER(TablaProductos[Nombre producto],TablaProductos[Agrupación]=ProductosPivot!HJT5)</f>
        <v>#VALUE!</v>
      </c>
      <c r="HJU6" s="68" t="e" cm="1" vm="1">
        <f t="array" ref="HJU6">_xlfn._xlws.FILTER(TablaProductos[Nombre producto],TablaProductos[Agrupación]=ProductosPivot!HJU5)</f>
        <v>#VALUE!</v>
      </c>
      <c r="HJV6" s="68" t="e" cm="1" vm="1">
        <f t="array" ref="HJV6">_xlfn._xlws.FILTER(TablaProductos[Nombre producto],TablaProductos[Agrupación]=ProductosPivot!HJV5)</f>
        <v>#VALUE!</v>
      </c>
      <c r="HJW6" s="68" t="e" cm="1" vm="1">
        <f t="array" ref="HJW6">_xlfn._xlws.FILTER(TablaProductos[Nombre producto],TablaProductos[Agrupación]=ProductosPivot!HJW5)</f>
        <v>#VALUE!</v>
      </c>
      <c r="HJX6" s="68" t="e" cm="1" vm="1">
        <f t="array" ref="HJX6">_xlfn._xlws.FILTER(TablaProductos[Nombre producto],TablaProductos[Agrupación]=ProductosPivot!HJX5)</f>
        <v>#VALUE!</v>
      </c>
      <c r="HJY6" s="68" t="e" cm="1" vm="1">
        <f t="array" ref="HJY6">_xlfn._xlws.FILTER(TablaProductos[Nombre producto],TablaProductos[Agrupación]=ProductosPivot!HJY5)</f>
        <v>#VALUE!</v>
      </c>
      <c r="HJZ6" s="68" t="e" cm="1" vm="1">
        <f t="array" ref="HJZ6">_xlfn._xlws.FILTER(TablaProductos[Nombre producto],TablaProductos[Agrupación]=ProductosPivot!HJZ5)</f>
        <v>#VALUE!</v>
      </c>
      <c r="HKA6" s="68" t="e" cm="1" vm="1">
        <f t="array" ref="HKA6">_xlfn._xlws.FILTER(TablaProductos[Nombre producto],TablaProductos[Agrupación]=ProductosPivot!HKA5)</f>
        <v>#VALUE!</v>
      </c>
      <c r="HKB6" s="68" t="e" cm="1" vm="1">
        <f t="array" ref="HKB6">_xlfn._xlws.FILTER(TablaProductos[Nombre producto],TablaProductos[Agrupación]=ProductosPivot!HKB5)</f>
        <v>#VALUE!</v>
      </c>
      <c r="HKC6" s="68" t="e" cm="1" vm="1">
        <f t="array" ref="HKC6">_xlfn._xlws.FILTER(TablaProductos[Nombre producto],TablaProductos[Agrupación]=ProductosPivot!HKC5)</f>
        <v>#VALUE!</v>
      </c>
      <c r="HKD6" s="68" t="e" cm="1" vm="1">
        <f t="array" ref="HKD6">_xlfn._xlws.FILTER(TablaProductos[Nombre producto],TablaProductos[Agrupación]=ProductosPivot!HKD5)</f>
        <v>#VALUE!</v>
      </c>
      <c r="HKE6" s="68" t="e" cm="1" vm="1">
        <f t="array" ref="HKE6">_xlfn._xlws.FILTER(TablaProductos[Nombre producto],TablaProductos[Agrupación]=ProductosPivot!HKE5)</f>
        <v>#VALUE!</v>
      </c>
      <c r="HKF6" s="68" t="e" cm="1" vm="1">
        <f t="array" ref="HKF6">_xlfn._xlws.FILTER(TablaProductos[Nombre producto],TablaProductos[Agrupación]=ProductosPivot!HKF5)</f>
        <v>#VALUE!</v>
      </c>
      <c r="HKG6" s="68" t="e" cm="1" vm="1">
        <f t="array" ref="HKG6">_xlfn._xlws.FILTER(TablaProductos[Nombre producto],TablaProductos[Agrupación]=ProductosPivot!HKG5)</f>
        <v>#VALUE!</v>
      </c>
      <c r="HKH6" s="68" t="e" cm="1" vm="1">
        <f t="array" ref="HKH6">_xlfn._xlws.FILTER(TablaProductos[Nombre producto],TablaProductos[Agrupación]=ProductosPivot!HKH5)</f>
        <v>#VALUE!</v>
      </c>
      <c r="HKI6" s="68" t="e" cm="1" vm="1">
        <f t="array" ref="HKI6">_xlfn._xlws.FILTER(TablaProductos[Nombre producto],TablaProductos[Agrupación]=ProductosPivot!HKI5)</f>
        <v>#VALUE!</v>
      </c>
      <c r="HKJ6" s="68" t="e" cm="1" vm="1">
        <f t="array" ref="HKJ6">_xlfn._xlws.FILTER(TablaProductos[Nombre producto],TablaProductos[Agrupación]=ProductosPivot!HKJ5)</f>
        <v>#VALUE!</v>
      </c>
      <c r="HKK6" s="68" t="e" cm="1" vm="1">
        <f t="array" ref="HKK6">_xlfn._xlws.FILTER(TablaProductos[Nombre producto],TablaProductos[Agrupación]=ProductosPivot!HKK5)</f>
        <v>#VALUE!</v>
      </c>
      <c r="HKL6" s="68" t="e" cm="1" vm="1">
        <f t="array" ref="HKL6">_xlfn._xlws.FILTER(TablaProductos[Nombre producto],TablaProductos[Agrupación]=ProductosPivot!HKL5)</f>
        <v>#VALUE!</v>
      </c>
      <c r="HKM6" s="68" t="e" cm="1" vm="1">
        <f t="array" ref="HKM6">_xlfn._xlws.FILTER(TablaProductos[Nombre producto],TablaProductos[Agrupación]=ProductosPivot!HKM5)</f>
        <v>#VALUE!</v>
      </c>
      <c r="HKN6" s="68" t="e" cm="1" vm="1">
        <f t="array" ref="HKN6">_xlfn._xlws.FILTER(TablaProductos[Nombre producto],TablaProductos[Agrupación]=ProductosPivot!HKN5)</f>
        <v>#VALUE!</v>
      </c>
      <c r="HKO6" s="68" t="e" cm="1" vm="1">
        <f t="array" ref="HKO6">_xlfn._xlws.FILTER(TablaProductos[Nombre producto],TablaProductos[Agrupación]=ProductosPivot!HKO5)</f>
        <v>#VALUE!</v>
      </c>
      <c r="HKP6" s="68" t="e" cm="1" vm="1">
        <f t="array" ref="HKP6">_xlfn._xlws.FILTER(TablaProductos[Nombre producto],TablaProductos[Agrupación]=ProductosPivot!HKP5)</f>
        <v>#VALUE!</v>
      </c>
      <c r="HKQ6" s="68" t="e" cm="1" vm="1">
        <f t="array" ref="HKQ6">_xlfn._xlws.FILTER(TablaProductos[Nombre producto],TablaProductos[Agrupación]=ProductosPivot!HKQ5)</f>
        <v>#VALUE!</v>
      </c>
      <c r="HKR6" s="68" t="e" cm="1" vm="1">
        <f t="array" ref="HKR6">_xlfn._xlws.FILTER(TablaProductos[Nombre producto],TablaProductos[Agrupación]=ProductosPivot!HKR5)</f>
        <v>#VALUE!</v>
      </c>
      <c r="HKS6" s="68" t="e" cm="1" vm="1">
        <f t="array" ref="HKS6">_xlfn._xlws.FILTER(TablaProductos[Nombre producto],TablaProductos[Agrupación]=ProductosPivot!HKS5)</f>
        <v>#VALUE!</v>
      </c>
      <c r="HKT6" s="68" t="e" cm="1" vm="1">
        <f t="array" ref="HKT6">_xlfn._xlws.FILTER(TablaProductos[Nombre producto],TablaProductos[Agrupación]=ProductosPivot!HKT5)</f>
        <v>#VALUE!</v>
      </c>
      <c r="HKU6" s="68" t="e" cm="1" vm="1">
        <f t="array" ref="HKU6">_xlfn._xlws.FILTER(TablaProductos[Nombre producto],TablaProductos[Agrupación]=ProductosPivot!HKU5)</f>
        <v>#VALUE!</v>
      </c>
      <c r="HKV6" s="68" t="e" cm="1" vm="1">
        <f t="array" ref="HKV6">_xlfn._xlws.FILTER(TablaProductos[Nombre producto],TablaProductos[Agrupación]=ProductosPivot!HKV5)</f>
        <v>#VALUE!</v>
      </c>
      <c r="HKW6" s="68" t="e" cm="1" vm="1">
        <f t="array" ref="HKW6">_xlfn._xlws.FILTER(TablaProductos[Nombre producto],TablaProductos[Agrupación]=ProductosPivot!HKW5)</f>
        <v>#VALUE!</v>
      </c>
      <c r="HKX6" s="68" t="e" cm="1" vm="1">
        <f t="array" ref="HKX6">_xlfn._xlws.FILTER(TablaProductos[Nombre producto],TablaProductos[Agrupación]=ProductosPivot!HKX5)</f>
        <v>#VALUE!</v>
      </c>
      <c r="HKY6" s="68" t="e" cm="1" vm="1">
        <f t="array" ref="HKY6">_xlfn._xlws.FILTER(TablaProductos[Nombre producto],TablaProductos[Agrupación]=ProductosPivot!HKY5)</f>
        <v>#VALUE!</v>
      </c>
      <c r="HKZ6" s="68" t="e" cm="1" vm="1">
        <f t="array" ref="HKZ6">_xlfn._xlws.FILTER(TablaProductos[Nombre producto],TablaProductos[Agrupación]=ProductosPivot!HKZ5)</f>
        <v>#VALUE!</v>
      </c>
      <c r="HLA6" s="68" t="e" cm="1" vm="1">
        <f t="array" ref="HLA6">_xlfn._xlws.FILTER(TablaProductos[Nombre producto],TablaProductos[Agrupación]=ProductosPivot!HLA5)</f>
        <v>#VALUE!</v>
      </c>
      <c r="HLB6" s="68" t="e" cm="1" vm="1">
        <f t="array" ref="HLB6">_xlfn._xlws.FILTER(TablaProductos[Nombre producto],TablaProductos[Agrupación]=ProductosPivot!HLB5)</f>
        <v>#VALUE!</v>
      </c>
      <c r="HLC6" s="68" t="e" cm="1" vm="1">
        <f t="array" ref="HLC6">_xlfn._xlws.FILTER(TablaProductos[Nombre producto],TablaProductos[Agrupación]=ProductosPivot!HLC5)</f>
        <v>#VALUE!</v>
      </c>
      <c r="HLD6" s="68" t="e" cm="1" vm="1">
        <f t="array" ref="HLD6">_xlfn._xlws.FILTER(TablaProductos[Nombre producto],TablaProductos[Agrupación]=ProductosPivot!HLD5)</f>
        <v>#VALUE!</v>
      </c>
      <c r="HLE6" s="68" t="e" cm="1" vm="1">
        <f t="array" ref="HLE6">_xlfn._xlws.FILTER(TablaProductos[Nombre producto],TablaProductos[Agrupación]=ProductosPivot!HLE5)</f>
        <v>#VALUE!</v>
      </c>
      <c r="HLF6" s="68" t="e" cm="1" vm="1">
        <f t="array" ref="HLF6">_xlfn._xlws.FILTER(TablaProductos[Nombre producto],TablaProductos[Agrupación]=ProductosPivot!HLF5)</f>
        <v>#VALUE!</v>
      </c>
      <c r="HLG6" s="68" t="e" cm="1" vm="1">
        <f t="array" ref="HLG6">_xlfn._xlws.FILTER(TablaProductos[Nombre producto],TablaProductos[Agrupación]=ProductosPivot!HLG5)</f>
        <v>#VALUE!</v>
      </c>
      <c r="HLH6" s="68" t="e" cm="1" vm="1">
        <f t="array" ref="HLH6">_xlfn._xlws.FILTER(TablaProductos[Nombre producto],TablaProductos[Agrupación]=ProductosPivot!HLH5)</f>
        <v>#VALUE!</v>
      </c>
      <c r="HLI6" s="68" t="e" cm="1" vm="1">
        <f t="array" ref="HLI6">_xlfn._xlws.FILTER(TablaProductos[Nombre producto],TablaProductos[Agrupación]=ProductosPivot!HLI5)</f>
        <v>#VALUE!</v>
      </c>
      <c r="HLJ6" s="68" t="e" cm="1" vm="1">
        <f t="array" ref="HLJ6">_xlfn._xlws.FILTER(TablaProductos[Nombre producto],TablaProductos[Agrupación]=ProductosPivot!HLJ5)</f>
        <v>#VALUE!</v>
      </c>
      <c r="HLK6" s="68" t="e" cm="1" vm="1">
        <f t="array" ref="HLK6">_xlfn._xlws.FILTER(TablaProductos[Nombre producto],TablaProductos[Agrupación]=ProductosPivot!HLK5)</f>
        <v>#VALUE!</v>
      </c>
      <c r="HLL6" s="68" t="e" cm="1" vm="1">
        <f t="array" ref="HLL6">_xlfn._xlws.FILTER(TablaProductos[Nombre producto],TablaProductos[Agrupación]=ProductosPivot!HLL5)</f>
        <v>#VALUE!</v>
      </c>
      <c r="HLM6" s="68" t="e" cm="1" vm="1">
        <f t="array" ref="HLM6">_xlfn._xlws.FILTER(TablaProductos[Nombre producto],TablaProductos[Agrupación]=ProductosPivot!HLM5)</f>
        <v>#VALUE!</v>
      </c>
      <c r="HLN6" s="68" t="e" cm="1" vm="1">
        <f t="array" ref="HLN6">_xlfn._xlws.FILTER(TablaProductos[Nombre producto],TablaProductos[Agrupación]=ProductosPivot!HLN5)</f>
        <v>#VALUE!</v>
      </c>
      <c r="HLO6" s="68" t="e" cm="1" vm="1">
        <f t="array" ref="HLO6">_xlfn._xlws.FILTER(TablaProductos[Nombre producto],TablaProductos[Agrupación]=ProductosPivot!HLO5)</f>
        <v>#VALUE!</v>
      </c>
      <c r="HLP6" s="68" t="e" cm="1" vm="1">
        <f t="array" ref="HLP6">_xlfn._xlws.FILTER(TablaProductos[Nombre producto],TablaProductos[Agrupación]=ProductosPivot!HLP5)</f>
        <v>#VALUE!</v>
      </c>
      <c r="HLQ6" s="68" t="e" cm="1" vm="1">
        <f t="array" ref="HLQ6">_xlfn._xlws.FILTER(TablaProductos[Nombre producto],TablaProductos[Agrupación]=ProductosPivot!HLQ5)</f>
        <v>#VALUE!</v>
      </c>
      <c r="HLR6" s="68" t="e" cm="1" vm="1">
        <f t="array" ref="HLR6">_xlfn._xlws.FILTER(TablaProductos[Nombre producto],TablaProductos[Agrupación]=ProductosPivot!HLR5)</f>
        <v>#VALUE!</v>
      </c>
      <c r="HLS6" s="68" t="e" cm="1" vm="1">
        <f t="array" ref="HLS6">_xlfn._xlws.FILTER(TablaProductos[Nombre producto],TablaProductos[Agrupación]=ProductosPivot!HLS5)</f>
        <v>#VALUE!</v>
      </c>
      <c r="HLT6" s="68" t="e" cm="1" vm="1">
        <f t="array" ref="HLT6">_xlfn._xlws.FILTER(TablaProductos[Nombre producto],TablaProductos[Agrupación]=ProductosPivot!HLT5)</f>
        <v>#VALUE!</v>
      </c>
      <c r="HLU6" s="68" t="e" cm="1" vm="1">
        <f t="array" ref="HLU6">_xlfn._xlws.FILTER(TablaProductos[Nombre producto],TablaProductos[Agrupación]=ProductosPivot!HLU5)</f>
        <v>#VALUE!</v>
      </c>
      <c r="HLV6" s="68" t="e" cm="1" vm="1">
        <f t="array" ref="HLV6">_xlfn._xlws.FILTER(TablaProductos[Nombre producto],TablaProductos[Agrupación]=ProductosPivot!HLV5)</f>
        <v>#VALUE!</v>
      </c>
      <c r="HLW6" s="68" t="e" cm="1" vm="1">
        <f t="array" ref="HLW6">_xlfn._xlws.FILTER(TablaProductos[Nombre producto],TablaProductos[Agrupación]=ProductosPivot!HLW5)</f>
        <v>#VALUE!</v>
      </c>
      <c r="HLX6" s="68" t="e" cm="1" vm="1">
        <f t="array" ref="HLX6">_xlfn._xlws.FILTER(TablaProductos[Nombre producto],TablaProductos[Agrupación]=ProductosPivot!HLX5)</f>
        <v>#VALUE!</v>
      </c>
      <c r="HLY6" s="68" t="e" cm="1" vm="1">
        <f t="array" ref="HLY6">_xlfn._xlws.FILTER(TablaProductos[Nombre producto],TablaProductos[Agrupación]=ProductosPivot!HLY5)</f>
        <v>#VALUE!</v>
      </c>
      <c r="HLZ6" s="68" t="e" cm="1" vm="1">
        <f t="array" ref="HLZ6">_xlfn._xlws.FILTER(TablaProductos[Nombre producto],TablaProductos[Agrupación]=ProductosPivot!HLZ5)</f>
        <v>#VALUE!</v>
      </c>
      <c r="HMA6" s="68" t="e" cm="1" vm="1">
        <f t="array" ref="HMA6">_xlfn._xlws.FILTER(TablaProductos[Nombre producto],TablaProductos[Agrupación]=ProductosPivot!HMA5)</f>
        <v>#VALUE!</v>
      </c>
      <c r="HMB6" s="68" t="e" cm="1" vm="1">
        <f t="array" ref="HMB6">_xlfn._xlws.FILTER(TablaProductos[Nombre producto],TablaProductos[Agrupación]=ProductosPivot!HMB5)</f>
        <v>#VALUE!</v>
      </c>
      <c r="HMC6" s="68" t="e" cm="1" vm="1">
        <f t="array" ref="HMC6">_xlfn._xlws.FILTER(TablaProductos[Nombre producto],TablaProductos[Agrupación]=ProductosPivot!HMC5)</f>
        <v>#VALUE!</v>
      </c>
      <c r="HMD6" s="68" t="e" cm="1" vm="1">
        <f t="array" ref="HMD6">_xlfn._xlws.FILTER(TablaProductos[Nombre producto],TablaProductos[Agrupación]=ProductosPivot!HMD5)</f>
        <v>#VALUE!</v>
      </c>
      <c r="HME6" s="68" t="e" cm="1" vm="1">
        <f t="array" ref="HME6">_xlfn._xlws.FILTER(TablaProductos[Nombre producto],TablaProductos[Agrupación]=ProductosPivot!HME5)</f>
        <v>#VALUE!</v>
      </c>
      <c r="HMF6" s="68" t="e" cm="1" vm="1">
        <f t="array" ref="HMF6">_xlfn._xlws.FILTER(TablaProductos[Nombre producto],TablaProductos[Agrupación]=ProductosPivot!HMF5)</f>
        <v>#VALUE!</v>
      </c>
      <c r="HMG6" s="68" t="e" cm="1" vm="1">
        <f t="array" ref="HMG6">_xlfn._xlws.FILTER(TablaProductos[Nombre producto],TablaProductos[Agrupación]=ProductosPivot!HMG5)</f>
        <v>#VALUE!</v>
      </c>
      <c r="HMH6" s="68" t="e" cm="1" vm="1">
        <f t="array" ref="HMH6">_xlfn._xlws.FILTER(TablaProductos[Nombre producto],TablaProductos[Agrupación]=ProductosPivot!HMH5)</f>
        <v>#VALUE!</v>
      </c>
      <c r="HMI6" s="68" t="e" cm="1" vm="1">
        <f t="array" ref="HMI6">_xlfn._xlws.FILTER(TablaProductos[Nombre producto],TablaProductos[Agrupación]=ProductosPivot!HMI5)</f>
        <v>#VALUE!</v>
      </c>
      <c r="HMJ6" s="68" t="e" cm="1" vm="1">
        <f t="array" ref="HMJ6">_xlfn._xlws.FILTER(TablaProductos[Nombre producto],TablaProductos[Agrupación]=ProductosPivot!HMJ5)</f>
        <v>#VALUE!</v>
      </c>
      <c r="HMK6" s="68" t="e" cm="1" vm="1">
        <f t="array" ref="HMK6">_xlfn._xlws.FILTER(TablaProductos[Nombre producto],TablaProductos[Agrupación]=ProductosPivot!HMK5)</f>
        <v>#VALUE!</v>
      </c>
      <c r="HML6" s="68" t="e" cm="1" vm="1">
        <f t="array" ref="HML6">_xlfn._xlws.FILTER(TablaProductos[Nombre producto],TablaProductos[Agrupación]=ProductosPivot!HML5)</f>
        <v>#VALUE!</v>
      </c>
      <c r="HMM6" s="68" t="e" cm="1" vm="1">
        <f t="array" ref="HMM6">_xlfn._xlws.FILTER(TablaProductos[Nombre producto],TablaProductos[Agrupación]=ProductosPivot!HMM5)</f>
        <v>#VALUE!</v>
      </c>
      <c r="HMN6" s="68" t="e" cm="1" vm="1">
        <f t="array" ref="HMN6">_xlfn._xlws.FILTER(TablaProductos[Nombre producto],TablaProductos[Agrupación]=ProductosPivot!HMN5)</f>
        <v>#VALUE!</v>
      </c>
      <c r="HMO6" s="68" t="e" cm="1" vm="1">
        <f t="array" ref="HMO6">_xlfn._xlws.FILTER(TablaProductos[Nombre producto],TablaProductos[Agrupación]=ProductosPivot!HMO5)</f>
        <v>#VALUE!</v>
      </c>
      <c r="HMP6" s="68" t="e" cm="1" vm="1">
        <f t="array" ref="HMP6">_xlfn._xlws.FILTER(TablaProductos[Nombre producto],TablaProductos[Agrupación]=ProductosPivot!HMP5)</f>
        <v>#VALUE!</v>
      </c>
      <c r="HMQ6" s="68" t="e" cm="1" vm="1">
        <f t="array" ref="HMQ6">_xlfn._xlws.FILTER(TablaProductos[Nombre producto],TablaProductos[Agrupación]=ProductosPivot!HMQ5)</f>
        <v>#VALUE!</v>
      </c>
      <c r="HMR6" s="68" t="e" cm="1" vm="1">
        <f t="array" ref="HMR6">_xlfn._xlws.FILTER(TablaProductos[Nombre producto],TablaProductos[Agrupación]=ProductosPivot!HMR5)</f>
        <v>#VALUE!</v>
      </c>
      <c r="HMS6" s="68" t="e" cm="1" vm="1">
        <f t="array" ref="HMS6">_xlfn._xlws.FILTER(TablaProductos[Nombre producto],TablaProductos[Agrupación]=ProductosPivot!HMS5)</f>
        <v>#VALUE!</v>
      </c>
      <c r="HMT6" s="68" t="e" cm="1" vm="1">
        <f t="array" ref="HMT6">_xlfn._xlws.FILTER(TablaProductos[Nombre producto],TablaProductos[Agrupación]=ProductosPivot!HMT5)</f>
        <v>#VALUE!</v>
      </c>
      <c r="HMU6" s="68" t="e" cm="1" vm="1">
        <f t="array" ref="HMU6">_xlfn._xlws.FILTER(TablaProductos[Nombre producto],TablaProductos[Agrupación]=ProductosPivot!HMU5)</f>
        <v>#VALUE!</v>
      </c>
      <c r="HMV6" s="68" t="e" cm="1" vm="1">
        <f t="array" ref="HMV6">_xlfn._xlws.FILTER(TablaProductos[Nombre producto],TablaProductos[Agrupación]=ProductosPivot!HMV5)</f>
        <v>#VALUE!</v>
      </c>
      <c r="HMW6" s="68" t="e" cm="1" vm="1">
        <f t="array" ref="HMW6">_xlfn._xlws.FILTER(TablaProductos[Nombre producto],TablaProductos[Agrupación]=ProductosPivot!HMW5)</f>
        <v>#VALUE!</v>
      </c>
      <c r="HMX6" s="68" t="e" cm="1" vm="1">
        <f t="array" ref="HMX6">_xlfn._xlws.FILTER(TablaProductos[Nombre producto],TablaProductos[Agrupación]=ProductosPivot!HMX5)</f>
        <v>#VALUE!</v>
      </c>
      <c r="HMY6" s="68" t="e" cm="1" vm="1">
        <f t="array" ref="HMY6">_xlfn._xlws.FILTER(TablaProductos[Nombre producto],TablaProductos[Agrupación]=ProductosPivot!HMY5)</f>
        <v>#VALUE!</v>
      </c>
      <c r="HMZ6" s="68" t="e" cm="1" vm="1">
        <f t="array" ref="HMZ6">_xlfn._xlws.FILTER(TablaProductos[Nombre producto],TablaProductos[Agrupación]=ProductosPivot!HMZ5)</f>
        <v>#VALUE!</v>
      </c>
      <c r="HNA6" s="68" t="e" cm="1" vm="1">
        <f t="array" ref="HNA6">_xlfn._xlws.FILTER(TablaProductos[Nombre producto],TablaProductos[Agrupación]=ProductosPivot!HNA5)</f>
        <v>#VALUE!</v>
      </c>
      <c r="HNB6" s="68" t="e" cm="1" vm="1">
        <f t="array" ref="HNB6">_xlfn._xlws.FILTER(TablaProductos[Nombre producto],TablaProductos[Agrupación]=ProductosPivot!HNB5)</f>
        <v>#VALUE!</v>
      </c>
      <c r="HNC6" s="68" t="e" cm="1" vm="1">
        <f t="array" ref="HNC6">_xlfn._xlws.FILTER(TablaProductos[Nombre producto],TablaProductos[Agrupación]=ProductosPivot!HNC5)</f>
        <v>#VALUE!</v>
      </c>
      <c r="HND6" s="68" t="e" cm="1" vm="1">
        <f t="array" ref="HND6">_xlfn._xlws.FILTER(TablaProductos[Nombre producto],TablaProductos[Agrupación]=ProductosPivot!HND5)</f>
        <v>#VALUE!</v>
      </c>
      <c r="HNE6" s="68" t="e" cm="1" vm="1">
        <f t="array" ref="HNE6">_xlfn._xlws.FILTER(TablaProductos[Nombre producto],TablaProductos[Agrupación]=ProductosPivot!HNE5)</f>
        <v>#VALUE!</v>
      </c>
      <c r="HNF6" s="68" t="e" cm="1" vm="1">
        <f t="array" ref="HNF6">_xlfn._xlws.FILTER(TablaProductos[Nombre producto],TablaProductos[Agrupación]=ProductosPivot!HNF5)</f>
        <v>#VALUE!</v>
      </c>
      <c r="HNG6" s="68" t="e" cm="1" vm="1">
        <f t="array" ref="HNG6">_xlfn._xlws.FILTER(TablaProductos[Nombre producto],TablaProductos[Agrupación]=ProductosPivot!HNG5)</f>
        <v>#VALUE!</v>
      </c>
      <c r="HNH6" s="68" t="e" cm="1" vm="1">
        <f t="array" ref="HNH6">_xlfn._xlws.FILTER(TablaProductos[Nombre producto],TablaProductos[Agrupación]=ProductosPivot!HNH5)</f>
        <v>#VALUE!</v>
      </c>
      <c r="HNI6" s="68" t="e" cm="1" vm="1">
        <f t="array" ref="HNI6">_xlfn._xlws.FILTER(TablaProductos[Nombre producto],TablaProductos[Agrupación]=ProductosPivot!HNI5)</f>
        <v>#VALUE!</v>
      </c>
      <c r="HNJ6" s="68" t="e" cm="1" vm="1">
        <f t="array" ref="HNJ6">_xlfn._xlws.FILTER(TablaProductos[Nombre producto],TablaProductos[Agrupación]=ProductosPivot!HNJ5)</f>
        <v>#VALUE!</v>
      </c>
      <c r="HNK6" s="68" t="e" cm="1" vm="1">
        <f t="array" ref="HNK6">_xlfn._xlws.FILTER(TablaProductos[Nombre producto],TablaProductos[Agrupación]=ProductosPivot!HNK5)</f>
        <v>#VALUE!</v>
      </c>
      <c r="HNL6" s="68" t="e" cm="1" vm="1">
        <f t="array" ref="HNL6">_xlfn._xlws.FILTER(TablaProductos[Nombre producto],TablaProductos[Agrupación]=ProductosPivot!HNL5)</f>
        <v>#VALUE!</v>
      </c>
      <c r="HNM6" s="68" t="e" cm="1" vm="1">
        <f t="array" ref="HNM6">_xlfn._xlws.FILTER(TablaProductos[Nombre producto],TablaProductos[Agrupación]=ProductosPivot!HNM5)</f>
        <v>#VALUE!</v>
      </c>
      <c r="HNN6" s="68" t="e" cm="1" vm="1">
        <f t="array" ref="HNN6">_xlfn._xlws.FILTER(TablaProductos[Nombre producto],TablaProductos[Agrupación]=ProductosPivot!HNN5)</f>
        <v>#VALUE!</v>
      </c>
      <c r="HNO6" s="68" t="e" cm="1" vm="1">
        <f t="array" ref="HNO6">_xlfn._xlws.FILTER(TablaProductos[Nombre producto],TablaProductos[Agrupación]=ProductosPivot!HNO5)</f>
        <v>#VALUE!</v>
      </c>
      <c r="HNP6" s="68" t="e" cm="1" vm="1">
        <f t="array" ref="HNP6">_xlfn._xlws.FILTER(TablaProductos[Nombre producto],TablaProductos[Agrupación]=ProductosPivot!HNP5)</f>
        <v>#VALUE!</v>
      </c>
      <c r="HNQ6" s="68" t="e" cm="1" vm="1">
        <f t="array" ref="HNQ6">_xlfn._xlws.FILTER(TablaProductos[Nombre producto],TablaProductos[Agrupación]=ProductosPivot!HNQ5)</f>
        <v>#VALUE!</v>
      </c>
      <c r="HNR6" s="68" t="e" cm="1" vm="1">
        <f t="array" ref="HNR6">_xlfn._xlws.FILTER(TablaProductos[Nombre producto],TablaProductos[Agrupación]=ProductosPivot!HNR5)</f>
        <v>#VALUE!</v>
      </c>
      <c r="HNS6" s="68" t="e" cm="1" vm="1">
        <f t="array" ref="HNS6">_xlfn._xlws.FILTER(TablaProductos[Nombre producto],TablaProductos[Agrupación]=ProductosPivot!HNS5)</f>
        <v>#VALUE!</v>
      </c>
      <c r="HNT6" s="68" t="e" cm="1" vm="1">
        <f t="array" ref="HNT6">_xlfn._xlws.FILTER(TablaProductos[Nombre producto],TablaProductos[Agrupación]=ProductosPivot!HNT5)</f>
        <v>#VALUE!</v>
      </c>
      <c r="HNU6" s="68" t="e" cm="1" vm="1">
        <f t="array" ref="HNU6">_xlfn._xlws.FILTER(TablaProductos[Nombre producto],TablaProductos[Agrupación]=ProductosPivot!HNU5)</f>
        <v>#VALUE!</v>
      </c>
      <c r="HNV6" s="68" t="e" cm="1" vm="1">
        <f t="array" ref="HNV6">_xlfn._xlws.FILTER(TablaProductos[Nombre producto],TablaProductos[Agrupación]=ProductosPivot!HNV5)</f>
        <v>#VALUE!</v>
      </c>
      <c r="HNW6" s="68" t="e" cm="1" vm="1">
        <f t="array" ref="HNW6">_xlfn._xlws.FILTER(TablaProductos[Nombre producto],TablaProductos[Agrupación]=ProductosPivot!HNW5)</f>
        <v>#VALUE!</v>
      </c>
      <c r="HNX6" s="68" t="e" cm="1" vm="1">
        <f t="array" ref="HNX6">_xlfn._xlws.FILTER(TablaProductos[Nombre producto],TablaProductos[Agrupación]=ProductosPivot!HNX5)</f>
        <v>#VALUE!</v>
      </c>
      <c r="HNY6" s="68" t="e" cm="1" vm="1">
        <f t="array" ref="HNY6">_xlfn._xlws.FILTER(TablaProductos[Nombre producto],TablaProductos[Agrupación]=ProductosPivot!HNY5)</f>
        <v>#VALUE!</v>
      </c>
      <c r="HNZ6" s="68" t="e" cm="1" vm="1">
        <f t="array" ref="HNZ6">_xlfn._xlws.FILTER(TablaProductos[Nombre producto],TablaProductos[Agrupación]=ProductosPivot!HNZ5)</f>
        <v>#VALUE!</v>
      </c>
      <c r="HOA6" s="68" t="e" cm="1" vm="1">
        <f t="array" ref="HOA6">_xlfn._xlws.FILTER(TablaProductos[Nombre producto],TablaProductos[Agrupación]=ProductosPivot!HOA5)</f>
        <v>#VALUE!</v>
      </c>
      <c r="HOB6" s="68" t="e" cm="1" vm="1">
        <f t="array" ref="HOB6">_xlfn._xlws.FILTER(TablaProductos[Nombre producto],TablaProductos[Agrupación]=ProductosPivot!HOB5)</f>
        <v>#VALUE!</v>
      </c>
      <c r="HOC6" s="68" t="e" cm="1" vm="1">
        <f t="array" ref="HOC6">_xlfn._xlws.FILTER(TablaProductos[Nombre producto],TablaProductos[Agrupación]=ProductosPivot!HOC5)</f>
        <v>#VALUE!</v>
      </c>
      <c r="HOD6" s="68" t="e" cm="1" vm="1">
        <f t="array" ref="HOD6">_xlfn._xlws.FILTER(TablaProductos[Nombre producto],TablaProductos[Agrupación]=ProductosPivot!HOD5)</f>
        <v>#VALUE!</v>
      </c>
      <c r="HOE6" s="68" t="e" cm="1" vm="1">
        <f t="array" ref="HOE6">_xlfn._xlws.FILTER(TablaProductos[Nombre producto],TablaProductos[Agrupación]=ProductosPivot!HOE5)</f>
        <v>#VALUE!</v>
      </c>
      <c r="HOF6" s="68" t="e" cm="1" vm="1">
        <f t="array" ref="HOF6">_xlfn._xlws.FILTER(TablaProductos[Nombre producto],TablaProductos[Agrupación]=ProductosPivot!HOF5)</f>
        <v>#VALUE!</v>
      </c>
      <c r="HOG6" s="68" t="e" cm="1" vm="1">
        <f t="array" ref="HOG6">_xlfn._xlws.FILTER(TablaProductos[Nombre producto],TablaProductos[Agrupación]=ProductosPivot!HOG5)</f>
        <v>#VALUE!</v>
      </c>
      <c r="HOH6" s="68" t="e" cm="1" vm="1">
        <f t="array" ref="HOH6">_xlfn._xlws.FILTER(TablaProductos[Nombre producto],TablaProductos[Agrupación]=ProductosPivot!HOH5)</f>
        <v>#VALUE!</v>
      </c>
      <c r="HOI6" s="68" t="e" cm="1" vm="1">
        <f t="array" ref="HOI6">_xlfn._xlws.FILTER(TablaProductos[Nombre producto],TablaProductos[Agrupación]=ProductosPivot!HOI5)</f>
        <v>#VALUE!</v>
      </c>
      <c r="HOJ6" s="68" t="e" cm="1" vm="1">
        <f t="array" ref="HOJ6">_xlfn._xlws.FILTER(TablaProductos[Nombre producto],TablaProductos[Agrupación]=ProductosPivot!HOJ5)</f>
        <v>#VALUE!</v>
      </c>
      <c r="HOK6" s="68" t="e" cm="1" vm="1">
        <f t="array" ref="HOK6">_xlfn._xlws.FILTER(TablaProductos[Nombre producto],TablaProductos[Agrupación]=ProductosPivot!HOK5)</f>
        <v>#VALUE!</v>
      </c>
      <c r="HOL6" s="68" t="e" cm="1" vm="1">
        <f t="array" ref="HOL6">_xlfn._xlws.FILTER(TablaProductos[Nombre producto],TablaProductos[Agrupación]=ProductosPivot!HOL5)</f>
        <v>#VALUE!</v>
      </c>
      <c r="HOM6" s="68" t="e" cm="1" vm="1">
        <f t="array" ref="HOM6">_xlfn._xlws.FILTER(TablaProductos[Nombre producto],TablaProductos[Agrupación]=ProductosPivot!HOM5)</f>
        <v>#VALUE!</v>
      </c>
      <c r="HON6" s="68" t="e" cm="1" vm="1">
        <f t="array" ref="HON6">_xlfn._xlws.FILTER(TablaProductos[Nombre producto],TablaProductos[Agrupación]=ProductosPivot!HON5)</f>
        <v>#VALUE!</v>
      </c>
      <c r="HOO6" s="68" t="e" cm="1" vm="1">
        <f t="array" ref="HOO6">_xlfn._xlws.FILTER(TablaProductos[Nombre producto],TablaProductos[Agrupación]=ProductosPivot!HOO5)</f>
        <v>#VALUE!</v>
      </c>
      <c r="HOP6" s="68" t="e" cm="1" vm="1">
        <f t="array" ref="HOP6">_xlfn._xlws.FILTER(TablaProductos[Nombre producto],TablaProductos[Agrupación]=ProductosPivot!HOP5)</f>
        <v>#VALUE!</v>
      </c>
      <c r="HOQ6" s="68" t="e" cm="1" vm="1">
        <f t="array" ref="HOQ6">_xlfn._xlws.FILTER(TablaProductos[Nombre producto],TablaProductos[Agrupación]=ProductosPivot!HOQ5)</f>
        <v>#VALUE!</v>
      </c>
      <c r="HOR6" s="68" t="e" cm="1" vm="1">
        <f t="array" ref="HOR6">_xlfn._xlws.FILTER(TablaProductos[Nombre producto],TablaProductos[Agrupación]=ProductosPivot!HOR5)</f>
        <v>#VALUE!</v>
      </c>
      <c r="HOS6" s="68" t="e" cm="1" vm="1">
        <f t="array" ref="HOS6">_xlfn._xlws.FILTER(TablaProductos[Nombre producto],TablaProductos[Agrupación]=ProductosPivot!HOS5)</f>
        <v>#VALUE!</v>
      </c>
      <c r="HOT6" s="68" t="e" cm="1" vm="1">
        <f t="array" ref="HOT6">_xlfn._xlws.FILTER(TablaProductos[Nombre producto],TablaProductos[Agrupación]=ProductosPivot!HOT5)</f>
        <v>#VALUE!</v>
      </c>
      <c r="HOU6" s="68" t="e" cm="1" vm="1">
        <f t="array" ref="HOU6">_xlfn._xlws.FILTER(TablaProductos[Nombre producto],TablaProductos[Agrupación]=ProductosPivot!HOU5)</f>
        <v>#VALUE!</v>
      </c>
      <c r="HOV6" s="68" t="e" cm="1" vm="1">
        <f t="array" ref="HOV6">_xlfn._xlws.FILTER(TablaProductos[Nombre producto],TablaProductos[Agrupación]=ProductosPivot!HOV5)</f>
        <v>#VALUE!</v>
      </c>
      <c r="HOW6" s="68" t="e" cm="1" vm="1">
        <f t="array" ref="HOW6">_xlfn._xlws.FILTER(TablaProductos[Nombre producto],TablaProductos[Agrupación]=ProductosPivot!HOW5)</f>
        <v>#VALUE!</v>
      </c>
      <c r="HOX6" s="68" t="e" cm="1" vm="1">
        <f t="array" ref="HOX6">_xlfn._xlws.FILTER(TablaProductos[Nombre producto],TablaProductos[Agrupación]=ProductosPivot!HOX5)</f>
        <v>#VALUE!</v>
      </c>
      <c r="HOY6" s="68" t="e" cm="1" vm="1">
        <f t="array" ref="HOY6">_xlfn._xlws.FILTER(TablaProductos[Nombre producto],TablaProductos[Agrupación]=ProductosPivot!HOY5)</f>
        <v>#VALUE!</v>
      </c>
      <c r="HOZ6" s="68" t="e" cm="1" vm="1">
        <f t="array" ref="HOZ6">_xlfn._xlws.FILTER(TablaProductos[Nombre producto],TablaProductos[Agrupación]=ProductosPivot!HOZ5)</f>
        <v>#VALUE!</v>
      </c>
      <c r="HPA6" s="68" t="e" cm="1" vm="1">
        <f t="array" ref="HPA6">_xlfn._xlws.FILTER(TablaProductos[Nombre producto],TablaProductos[Agrupación]=ProductosPivot!HPA5)</f>
        <v>#VALUE!</v>
      </c>
      <c r="HPB6" s="68" t="e" cm="1" vm="1">
        <f t="array" ref="HPB6">_xlfn._xlws.FILTER(TablaProductos[Nombre producto],TablaProductos[Agrupación]=ProductosPivot!HPB5)</f>
        <v>#VALUE!</v>
      </c>
      <c r="HPC6" s="68" t="e" cm="1" vm="1">
        <f t="array" ref="HPC6">_xlfn._xlws.FILTER(TablaProductos[Nombre producto],TablaProductos[Agrupación]=ProductosPivot!HPC5)</f>
        <v>#VALUE!</v>
      </c>
      <c r="HPD6" s="68" t="e" cm="1" vm="1">
        <f t="array" ref="HPD6">_xlfn._xlws.FILTER(TablaProductos[Nombre producto],TablaProductos[Agrupación]=ProductosPivot!HPD5)</f>
        <v>#VALUE!</v>
      </c>
      <c r="HPE6" s="68" t="e" cm="1" vm="1">
        <f t="array" ref="HPE6">_xlfn._xlws.FILTER(TablaProductos[Nombre producto],TablaProductos[Agrupación]=ProductosPivot!HPE5)</f>
        <v>#VALUE!</v>
      </c>
      <c r="HPF6" s="68" t="e" cm="1" vm="1">
        <f t="array" ref="HPF6">_xlfn._xlws.FILTER(TablaProductos[Nombre producto],TablaProductos[Agrupación]=ProductosPivot!HPF5)</f>
        <v>#VALUE!</v>
      </c>
      <c r="HPG6" s="68" t="e" cm="1" vm="1">
        <f t="array" ref="HPG6">_xlfn._xlws.FILTER(TablaProductos[Nombre producto],TablaProductos[Agrupación]=ProductosPivot!HPG5)</f>
        <v>#VALUE!</v>
      </c>
      <c r="HPH6" s="68" t="e" cm="1" vm="1">
        <f t="array" ref="HPH6">_xlfn._xlws.FILTER(TablaProductos[Nombre producto],TablaProductos[Agrupación]=ProductosPivot!HPH5)</f>
        <v>#VALUE!</v>
      </c>
      <c r="HPI6" s="68" t="e" cm="1" vm="1">
        <f t="array" ref="HPI6">_xlfn._xlws.FILTER(TablaProductos[Nombre producto],TablaProductos[Agrupación]=ProductosPivot!HPI5)</f>
        <v>#VALUE!</v>
      </c>
      <c r="HPJ6" s="68" t="e" cm="1" vm="1">
        <f t="array" ref="HPJ6">_xlfn._xlws.FILTER(TablaProductos[Nombre producto],TablaProductos[Agrupación]=ProductosPivot!HPJ5)</f>
        <v>#VALUE!</v>
      </c>
      <c r="HPK6" s="68" t="e" cm="1" vm="1">
        <f t="array" ref="HPK6">_xlfn._xlws.FILTER(TablaProductos[Nombre producto],TablaProductos[Agrupación]=ProductosPivot!HPK5)</f>
        <v>#VALUE!</v>
      </c>
      <c r="HPL6" s="68" t="e" cm="1" vm="1">
        <f t="array" ref="HPL6">_xlfn._xlws.FILTER(TablaProductos[Nombre producto],TablaProductos[Agrupación]=ProductosPivot!HPL5)</f>
        <v>#VALUE!</v>
      </c>
      <c r="HPM6" s="68" t="e" cm="1" vm="1">
        <f t="array" ref="HPM6">_xlfn._xlws.FILTER(TablaProductos[Nombre producto],TablaProductos[Agrupación]=ProductosPivot!HPM5)</f>
        <v>#VALUE!</v>
      </c>
      <c r="HPN6" s="68" t="e" cm="1" vm="1">
        <f t="array" ref="HPN6">_xlfn._xlws.FILTER(TablaProductos[Nombre producto],TablaProductos[Agrupación]=ProductosPivot!HPN5)</f>
        <v>#VALUE!</v>
      </c>
      <c r="HPO6" s="68" t="e" cm="1" vm="1">
        <f t="array" ref="HPO6">_xlfn._xlws.FILTER(TablaProductos[Nombre producto],TablaProductos[Agrupación]=ProductosPivot!HPO5)</f>
        <v>#VALUE!</v>
      </c>
      <c r="HPP6" s="68" t="e" cm="1" vm="1">
        <f t="array" ref="HPP6">_xlfn._xlws.FILTER(TablaProductos[Nombre producto],TablaProductos[Agrupación]=ProductosPivot!HPP5)</f>
        <v>#VALUE!</v>
      </c>
      <c r="HPQ6" s="68" t="e" cm="1" vm="1">
        <f t="array" ref="HPQ6">_xlfn._xlws.FILTER(TablaProductos[Nombre producto],TablaProductos[Agrupación]=ProductosPivot!HPQ5)</f>
        <v>#VALUE!</v>
      </c>
      <c r="HPR6" s="68" t="e" cm="1" vm="1">
        <f t="array" ref="HPR6">_xlfn._xlws.FILTER(TablaProductos[Nombre producto],TablaProductos[Agrupación]=ProductosPivot!HPR5)</f>
        <v>#VALUE!</v>
      </c>
      <c r="HPS6" s="68" t="e" cm="1" vm="1">
        <f t="array" ref="HPS6">_xlfn._xlws.FILTER(TablaProductos[Nombre producto],TablaProductos[Agrupación]=ProductosPivot!HPS5)</f>
        <v>#VALUE!</v>
      </c>
      <c r="HPT6" s="68" t="e" cm="1" vm="1">
        <f t="array" ref="HPT6">_xlfn._xlws.FILTER(TablaProductos[Nombre producto],TablaProductos[Agrupación]=ProductosPivot!HPT5)</f>
        <v>#VALUE!</v>
      </c>
      <c r="HPU6" s="68" t="e" cm="1" vm="1">
        <f t="array" ref="HPU6">_xlfn._xlws.FILTER(TablaProductos[Nombre producto],TablaProductos[Agrupación]=ProductosPivot!HPU5)</f>
        <v>#VALUE!</v>
      </c>
      <c r="HPV6" s="68" t="e" cm="1" vm="1">
        <f t="array" ref="HPV6">_xlfn._xlws.FILTER(TablaProductos[Nombre producto],TablaProductos[Agrupación]=ProductosPivot!HPV5)</f>
        <v>#VALUE!</v>
      </c>
      <c r="HPW6" s="68" t="e" cm="1" vm="1">
        <f t="array" ref="HPW6">_xlfn._xlws.FILTER(TablaProductos[Nombre producto],TablaProductos[Agrupación]=ProductosPivot!HPW5)</f>
        <v>#VALUE!</v>
      </c>
      <c r="HPX6" s="68" t="e" cm="1" vm="1">
        <f t="array" ref="HPX6">_xlfn._xlws.FILTER(TablaProductos[Nombre producto],TablaProductos[Agrupación]=ProductosPivot!HPX5)</f>
        <v>#VALUE!</v>
      </c>
      <c r="HPY6" s="68" t="e" cm="1" vm="1">
        <f t="array" ref="HPY6">_xlfn._xlws.FILTER(TablaProductos[Nombre producto],TablaProductos[Agrupación]=ProductosPivot!HPY5)</f>
        <v>#VALUE!</v>
      </c>
      <c r="HPZ6" s="68" t="e" cm="1" vm="1">
        <f t="array" ref="HPZ6">_xlfn._xlws.FILTER(TablaProductos[Nombre producto],TablaProductos[Agrupación]=ProductosPivot!HPZ5)</f>
        <v>#VALUE!</v>
      </c>
      <c r="HQA6" s="68" t="e" cm="1" vm="1">
        <f t="array" ref="HQA6">_xlfn._xlws.FILTER(TablaProductos[Nombre producto],TablaProductos[Agrupación]=ProductosPivot!HQA5)</f>
        <v>#VALUE!</v>
      </c>
      <c r="HQB6" s="68" t="e" cm="1" vm="1">
        <f t="array" ref="HQB6">_xlfn._xlws.FILTER(TablaProductos[Nombre producto],TablaProductos[Agrupación]=ProductosPivot!HQB5)</f>
        <v>#VALUE!</v>
      </c>
      <c r="HQC6" s="68" t="e" cm="1" vm="1">
        <f t="array" ref="HQC6">_xlfn._xlws.FILTER(TablaProductos[Nombre producto],TablaProductos[Agrupación]=ProductosPivot!HQC5)</f>
        <v>#VALUE!</v>
      </c>
      <c r="HQD6" s="68" t="e" cm="1" vm="1">
        <f t="array" ref="HQD6">_xlfn._xlws.FILTER(TablaProductos[Nombre producto],TablaProductos[Agrupación]=ProductosPivot!HQD5)</f>
        <v>#VALUE!</v>
      </c>
      <c r="HQE6" s="68" t="e" cm="1" vm="1">
        <f t="array" ref="HQE6">_xlfn._xlws.FILTER(TablaProductos[Nombre producto],TablaProductos[Agrupación]=ProductosPivot!HQE5)</f>
        <v>#VALUE!</v>
      </c>
      <c r="HQF6" s="68" t="e" cm="1" vm="1">
        <f t="array" ref="HQF6">_xlfn._xlws.FILTER(TablaProductos[Nombre producto],TablaProductos[Agrupación]=ProductosPivot!HQF5)</f>
        <v>#VALUE!</v>
      </c>
      <c r="HQG6" s="68" t="e" cm="1" vm="1">
        <f t="array" ref="HQG6">_xlfn._xlws.FILTER(TablaProductos[Nombre producto],TablaProductos[Agrupación]=ProductosPivot!HQG5)</f>
        <v>#VALUE!</v>
      </c>
      <c r="HQH6" s="68" t="e" cm="1" vm="1">
        <f t="array" ref="HQH6">_xlfn._xlws.FILTER(TablaProductos[Nombre producto],TablaProductos[Agrupación]=ProductosPivot!HQH5)</f>
        <v>#VALUE!</v>
      </c>
      <c r="HQI6" s="68" t="e" cm="1" vm="1">
        <f t="array" ref="HQI6">_xlfn._xlws.FILTER(TablaProductos[Nombre producto],TablaProductos[Agrupación]=ProductosPivot!HQI5)</f>
        <v>#VALUE!</v>
      </c>
      <c r="HQJ6" s="68" t="e" cm="1" vm="1">
        <f t="array" ref="HQJ6">_xlfn._xlws.FILTER(TablaProductos[Nombre producto],TablaProductos[Agrupación]=ProductosPivot!HQJ5)</f>
        <v>#VALUE!</v>
      </c>
      <c r="HQK6" s="68" t="e" cm="1" vm="1">
        <f t="array" ref="HQK6">_xlfn._xlws.FILTER(TablaProductos[Nombre producto],TablaProductos[Agrupación]=ProductosPivot!HQK5)</f>
        <v>#VALUE!</v>
      </c>
      <c r="HQL6" s="68" t="e" cm="1" vm="1">
        <f t="array" ref="HQL6">_xlfn._xlws.FILTER(TablaProductos[Nombre producto],TablaProductos[Agrupación]=ProductosPivot!HQL5)</f>
        <v>#VALUE!</v>
      </c>
      <c r="HQM6" s="68" t="e" cm="1" vm="1">
        <f t="array" ref="HQM6">_xlfn._xlws.FILTER(TablaProductos[Nombre producto],TablaProductos[Agrupación]=ProductosPivot!HQM5)</f>
        <v>#VALUE!</v>
      </c>
      <c r="HQN6" s="68" t="e" cm="1" vm="1">
        <f t="array" ref="HQN6">_xlfn._xlws.FILTER(TablaProductos[Nombre producto],TablaProductos[Agrupación]=ProductosPivot!HQN5)</f>
        <v>#VALUE!</v>
      </c>
      <c r="HQO6" s="68" t="e" cm="1" vm="1">
        <f t="array" ref="HQO6">_xlfn._xlws.FILTER(TablaProductos[Nombre producto],TablaProductos[Agrupación]=ProductosPivot!HQO5)</f>
        <v>#VALUE!</v>
      </c>
      <c r="HQP6" s="68" t="e" cm="1" vm="1">
        <f t="array" ref="HQP6">_xlfn._xlws.FILTER(TablaProductos[Nombre producto],TablaProductos[Agrupación]=ProductosPivot!HQP5)</f>
        <v>#VALUE!</v>
      </c>
      <c r="HQQ6" s="68" t="e" cm="1" vm="1">
        <f t="array" ref="HQQ6">_xlfn._xlws.FILTER(TablaProductos[Nombre producto],TablaProductos[Agrupación]=ProductosPivot!HQQ5)</f>
        <v>#VALUE!</v>
      </c>
      <c r="HQR6" s="68" t="e" cm="1" vm="1">
        <f t="array" ref="HQR6">_xlfn._xlws.FILTER(TablaProductos[Nombre producto],TablaProductos[Agrupación]=ProductosPivot!HQR5)</f>
        <v>#VALUE!</v>
      </c>
      <c r="HQS6" s="68" t="e" cm="1" vm="1">
        <f t="array" ref="HQS6">_xlfn._xlws.FILTER(TablaProductos[Nombre producto],TablaProductos[Agrupación]=ProductosPivot!HQS5)</f>
        <v>#VALUE!</v>
      </c>
      <c r="HQT6" s="68" t="e" cm="1" vm="1">
        <f t="array" ref="HQT6">_xlfn._xlws.FILTER(TablaProductos[Nombre producto],TablaProductos[Agrupación]=ProductosPivot!HQT5)</f>
        <v>#VALUE!</v>
      </c>
      <c r="HQU6" s="68" t="e" cm="1" vm="1">
        <f t="array" ref="HQU6">_xlfn._xlws.FILTER(TablaProductos[Nombre producto],TablaProductos[Agrupación]=ProductosPivot!HQU5)</f>
        <v>#VALUE!</v>
      </c>
      <c r="HQV6" s="68" t="e" cm="1" vm="1">
        <f t="array" ref="HQV6">_xlfn._xlws.FILTER(TablaProductos[Nombre producto],TablaProductos[Agrupación]=ProductosPivot!HQV5)</f>
        <v>#VALUE!</v>
      </c>
      <c r="HQW6" s="68" t="e" cm="1" vm="1">
        <f t="array" ref="HQW6">_xlfn._xlws.FILTER(TablaProductos[Nombre producto],TablaProductos[Agrupación]=ProductosPivot!HQW5)</f>
        <v>#VALUE!</v>
      </c>
      <c r="HQX6" s="68" t="e" cm="1" vm="1">
        <f t="array" ref="HQX6">_xlfn._xlws.FILTER(TablaProductos[Nombre producto],TablaProductos[Agrupación]=ProductosPivot!HQX5)</f>
        <v>#VALUE!</v>
      </c>
      <c r="HQY6" s="68" t="e" cm="1" vm="1">
        <f t="array" ref="HQY6">_xlfn._xlws.FILTER(TablaProductos[Nombre producto],TablaProductos[Agrupación]=ProductosPivot!HQY5)</f>
        <v>#VALUE!</v>
      </c>
      <c r="HQZ6" s="68" t="e" cm="1" vm="1">
        <f t="array" ref="HQZ6">_xlfn._xlws.FILTER(TablaProductos[Nombre producto],TablaProductos[Agrupación]=ProductosPivot!HQZ5)</f>
        <v>#VALUE!</v>
      </c>
      <c r="HRA6" s="68" t="e" cm="1" vm="1">
        <f t="array" ref="HRA6">_xlfn._xlws.FILTER(TablaProductos[Nombre producto],TablaProductos[Agrupación]=ProductosPivot!HRA5)</f>
        <v>#VALUE!</v>
      </c>
      <c r="HRB6" s="68" t="e" cm="1" vm="1">
        <f t="array" ref="HRB6">_xlfn._xlws.FILTER(TablaProductos[Nombre producto],TablaProductos[Agrupación]=ProductosPivot!HRB5)</f>
        <v>#VALUE!</v>
      </c>
      <c r="HRC6" s="68" t="e" cm="1" vm="1">
        <f t="array" ref="HRC6">_xlfn._xlws.FILTER(TablaProductos[Nombre producto],TablaProductos[Agrupación]=ProductosPivot!HRC5)</f>
        <v>#VALUE!</v>
      </c>
      <c r="HRD6" s="68" t="e" cm="1" vm="1">
        <f t="array" ref="HRD6">_xlfn._xlws.FILTER(TablaProductos[Nombre producto],TablaProductos[Agrupación]=ProductosPivot!HRD5)</f>
        <v>#VALUE!</v>
      </c>
      <c r="HRE6" s="68" t="e" cm="1" vm="1">
        <f t="array" ref="HRE6">_xlfn._xlws.FILTER(TablaProductos[Nombre producto],TablaProductos[Agrupación]=ProductosPivot!HRE5)</f>
        <v>#VALUE!</v>
      </c>
      <c r="HRF6" s="68" t="e" cm="1" vm="1">
        <f t="array" ref="HRF6">_xlfn._xlws.FILTER(TablaProductos[Nombre producto],TablaProductos[Agrupación]=ProductosPivot!HRF5)</f>
        <v>#VALUE!</v>
      </c>
      <c r="HRG6" s="68" t="e" cm="1" vm="1">
        <f t="array" ref="HRG6">_xlfn._xlws.FILTER(TablaProductos[Nombre producto],TablaProductos[Agrupación]=ProductosPivot!HRG5)</f>
        <v>#VALUE!</v>
      </c>
      <c r="HRH6" s="68" t="e" cm="1" vm="1">
        <f t="array" ref="HRH6">_xlfn._xlws.FILTER(TablaProductos[Nombre producto],TablaProductos[Agrupación]=ProductosPivot!HRH5)</f>
        <v>#VALUE!</v>
      </c>
      <c r="HRI6" s="68" t="e" cm="1" vm="1">
        <f t="array" ref="HRI6">_xlfn._xlws.FILTER(TablaProductos[Nombre producto],TablaProductos[Agrupación]=ProductosPivot!HRI5)</f>
        <v>#VALUE!</v>
      </c>
      <c r="HRJ6" s="68" t="e" cm="1" vm="1">
        <f t="array" ref="HRJ6">_xlfn._xlws.FILTER(TablaProductos[Nombre producto],TablaProductos[Agrupación]=ProductosPivot!HRJ5)</f>
        <v>#VALUE!</v>
      </c>
      <c r="HRK6" s="68" t="e" cm="1" vm="1">
        <f t="array" ref="HRK6">_xlfn._xlws.FILTER(TablaProductos[Nombre producto],TablaProductos[Agrupación]=ProductosPivot!HRK5)</f>
        <v>#VALUE!</v>
      </c>
      <c r="HRL6" s="68" t="e" cm="1" vm="1">
        <f t="array" ref="HRL6">_xlfn._xlws.FILTER(TablaProductos[Nombre producto],TablaProductos[Agrupación]=ProductosPivot!HRL5)</f>
        <v>#VALUE!</v>
      </c>
      <c r="HRM6" s="68" t="e" cm="1" vm="1">
        <f t="array" ref="HRM6">_xlfn._xlws.FILTER(TablaProductos[Nombre producto],TablaProductos[Agrupación]=ProductosPivot!HRM5)</f>
        <v>#VALUE!</v>
      </c>
      <c r="HRN6" s="68" t="e" cm="1" vm="1">
        <f t="array" ref="HRN6">_xlfn._xlws.FILTER(TablaProductos[Nombre producto],TablaProductos[Agrupación]=ProductosPivot!HRN5)</f>
        <v>#VALUE!</v>
      </c>
      <c r="HRO6" s="68" t="e" cm="1" vm="1">
        <f t="array" ref="HRO6">_xlfn._xlws.FILTER(TablaProductos[Nombre producto],TablaProductos[Agrupación]=ProductosPivot!HRO5)</f>
        <v>#VALUE!</v>
      </c>
      <c r="HRP6" s="68" t="e" cm="1" vm="1">
        <f t="array" ref="HRP6">_xlfn._xlws.FILTER(TablaProductos[Nombre producto],TablaProductos[Agrupación]=ProductosPivot!HRP5)</f>
        <v>#VALUE!</v>
      </c>
      <c r="HRQ6" s="68" t="e" cm="1" vm="1">
        <f t="array" ref="HRQ6">_xlfn._xlws.FILTER(TablaProductos[Nombre producto],TablaProductos[Agrupación]=ProductosPivot!HRQ5)</f>
        <v>#VALUE!</v>
      </c>
      <c r="HRR6" s="68" t="e" cm="1" vm="1">
        <f t="array" ref="HRR6">_xlfn._xlws.FILTER(TablaProductos[Nombre producto],TablaProductos[Agrupación]=ProductosPivot!HRR5)</f>
        <v>#VALUE!</v>
      </c>
      <c r="HRS6" s="68" t="e" cm="1" vm="1">
        <f t="array" ref="HRS6">_xlfn._xlws.FILTER(TablaProductos[Nombre producto],TablaProductos[Agrupación]=ProductosPivot!HRS5)</f>
        <v>#VALUE!</v>
      </c>
      <c r="HRT6" s="68" t="e" cm="1" vm="1">
        <f t="array" ref="HRT6">_xlfn._xlws.FILTER(TablaProductos[Nombre producto],TablaProductos[Agrupación]=ProductosPivot!HRT5)</f>
        <v>#VALUE!</v>
      </c>
      <c r="HRU6" s="68" t="e" cm="1" vm="1">
        <f t="array" ref="HRU6">_xlfn._xlws.FILTER(TablaProductos[Nombre producto],TablaProductos[Agrupación]=ProductosPivot!HRU5)</f>
        <v>#VALUE!</v>
      </c>
      <c r="HRV6" s="68" t="e" cm="1" vm="1">
        <f t="array" ref="HRV6">_xlfn._xlws.FILTER(TablaProductos[Nombre producto],TablaProductos[Agrupación]=ProductosPivot!HRV5)</f>
        <v>#VALUE!</v>
      </c>
      <c r="HRW6" s="68" t="e" cm="1" vm="1">
        <f t="array" ref="HRW6">_xlfn._xlws.FILTER(TablaProductos[Nombre producto],TablaProductos[Agrupación]=ProductosPivot!HRW5)</f>
        <v>#VALUE!</v>
      </c>
      <c r="HRX6" s="68" t="e" cm="1" vm="1">
        <f t="array" ref="HRX6">_xlfn._xlws.FILTER(TablaProductos[Nombre producto],TablaProductos[Agrupación]=ProductosPivot!HRX5)</f>
        <v>#VALUE!</v>
      </c>
      <c r="HRY6" s="68" t="e" cm="1" vm="1">
        <f t="array" ref="HRY6">_xlfn._xlws.FILTER(TablaProductos[Nombre producto],TablaProductos[Agrupación]=ProductosPivot!HRY5)</f>
        <v>#VALUE!</v>
      </c>
      <c r="HRZ6" s="68" t="e" cm="1" vm="1">
        <f t="array" ref="HRZ6">_xlfn._xlws.FILTER(TablaProductos[Nombre producto],TablaProductos[Agrupación]=ProductosPivot!HRZ5)</f>
        <v>#VALUE!</v>
      </c>
      <c r="HSA6" s="68" t="e" cm="1" vm="1">
        <f t="array" ref="HSA6">_xlfn._xlws.FILTER(TablaProductos[Nombre producto],TablaProductos[Agrupación]=ProductosPivot!HSA5)</f>
        <v>#VALUE!</v>
      </c>
      <c r="HSB6" s="68" t="e" cm="1" vm="1">
        <f t="array" ref="HSB6">_xlfn._xlws.FILTER(TablaProductos[Nombre producto],TablaProductos[Agrupación]=ProductosPivot!HSB5)</f>
        <v>#VALUE!</v>
      </c>
      <c r="HSC6" s="68" t="e" cm="1" vm="1">
        <f t="array" ref="HSC6">_xlfn._xlws.FILTER(TablaProductos[Nombre producto],TablaProductos[Agrupación]=ProductosPivot!HSC5)</f>
        <v>#VALUE!</v>
      </c>
      <c r="HSD6" s="68" t="e" cm="1" vm="1">
        <f t="array" ref="HSD6">_xlfn._xlws.FILTER(TablaProductos[Nombre producto],TablaProductos[Agrupación]=ProductosPivot!HSD5)</f>
        <v>#VALUE!</v>
      </c>
      <c r="HSE6" s="68" t="e" cm="1" vm="1">
        <f t="array" ref="HSE6">_xlfn._xlws.FILTER(TablaProductos[Nombre producto],TablaProductos[Agrupación]=ProductosPivot!HSE5)</f>
        <v>#VALUE!</v>
      </c>
      <c r="HSF6" s="68" t="e" cm="1" vm="1">
        <f t="array" ref="HSF6">_xlfn._xlws.FILTER(TablaProductos[Nombre producto],TablaProductos[Agrupación]=ProductosPivot!HSF5)</f>
        <v>#VALUE!</v>
      </c>
      <c r="HSG6" s="68" t="e" cm="1" vm="1">
        <f t="array" ref="HSG6">_xlfn._xlws.FILTER(TablaProductos[Nombre producto],TablaProductos[Agrupación]=ProductosPivot!HSG5)</f>
        <v>#VALUE!</v>
      </c>
      <c r="HSH6" s="68" t="e" cm="1" vm="1">
        <f t="array" ref="HSH6">_xlfn._xlws.FILTER(TablaProductos[Nombre producto],TablaProductos[Agrupación]=ProductosPivot!HSH5)</f>
        <v>#VALUE!</v>
      </c>
      <c r="HSI6" s="68" t="e" cm="1" vm="1">
        <f t="array" ref="HSI6">_xlfn._xlws.FILTER(TablaProductos[Nombre producto],TablaProductos[Agrupación]=ProductosPivot!HSI5)</f>
        <v>#VALUE!</v>
      </c>
      <c r="HSJ6" s="68" t="e" cm="1" vm="1">
        <f t="array" ref="HSJ6">_xlfn._xlws.FILTER(TablaProductos[Nombre producto],TablaProductos[Agrupación]=ProductosPivot!HSJ5)</f>
        <v>#VALUE!</v>
      </c>
      <c r="HSK6" s="68" t="e" cm="1" vm="1">
        <f t="array" ref="HSK6">_xlfn._xlws.FILTER(TablaProductos[Nombre producto],TablaProductos[Agrupación]=ProductosPivot!HSK5)</f>
        <v>#VALUE!</v>
      </c>
      <c r="HSL6" s="68" t="e" cm="1" vm="1">
        <f t="array" ref="HSL6">_xlfn._xlws.FILTER(TablaProductos[Nombre producto],TablaProductos[Agrupación]=ProductosPivot!HSL5)</f>
        <v>#VALUE!</v>
      </c>
      <c r="HSM6" s="68" t="e" cm="1" vm="1">
        <f t="array" ref="HSM6">_xlfn._xlws.FILTER(TablaProductos[Nombre producto],TablaProductos[Agrupación]=ProductosPivot!HSM5)</f>
        <v>#VALUE!</v>
      </c>
      <c r="HSN6" s="68" t="e" cm="1" vm="1">
        <f t="array" ref="HSN6">_xlfn._xlws.FILTER(TablaProductos[Nombre producto],TablaProductos[Agrupación]=ProductosPivot!HSN5)</f>
        <v>#VALUE!</v>
      </c>
      <c r="HSO6" s="68" t="e" cm="1" vm="1">
        <f t="array" ref="HSO6">_xlfn._xlws.FILTER(TablaProductos[Nombre producto],TablaProductos[Agrupación]=ProductosPivot!HSO5)</f>
        <v>#VALUE!</v>
      </c>
      <c r="HSP6" s="68" t="e" cm="1" vm="1">
        <f t="array" ref="HSP6">_xlfn._xlws.FILTER(TablaProductos[Nombre producto],TablaProductos[Agrupación]=ProductosPivot!HSP5)</f>
        <v>#VALUE!</v>
      </c>
      <c r="HSQ6" s="68" t="e" cm="1" vm="1">
        <f t="array" ref="HSQ6">_xlfn._xlws.FILTER(TablaProductos[Nombre producto],TablaProductos[Agrupación]=ProductosPivot!HSQ5)</f>
        <v>#VALUE!</v>
      </c>
      <c r="HSR6" s="68" t="e" cm="1" vm="1">
        <f t="array" ref="HSR6">_xlfn._xlws.FILTER(TablaProductos[Nombre producto],TablaProductos[Agrupación]=ProductosPivot!HSR5)</f>
        <v>#VALUE!</v>
      </c>
      <c r="HSS6" s="68" t="e" cm="1" vm="1">
        <f t="array" ref="HSS6">_xlfn._xlws.FILTER(TablaProductos[Nombre producto],TablaProductos[Agrupación]=ProductosPivot!HSS5)</f>
        <v>#VALUE!</v>
      </c>
      <c r="HST6" s="68" t="e" cm="1" vm="1">
        <f t="array" ref="HST6">_xlfn._xlws.FILTER(TablaProductos[Nombre producto],TablaProductos[Agrupación]=ProductosPivot!HST5)</f>
        <v>#VALUE!</v>
      </c>
      <c r="HSU6" s="68" t="e" cm="1" vm="1">
        <f t="array" ref="HSU6">_xlfn._xlws.FILTER(TablaProductos[Nombre producto],TablaProductos[Agrupación]=ProductosPivot!HSU5)</f>
        <v>#VALUE!</v>
      </c>
      <c r="HSV6" s="68" t="e" cm="1" vm="1">
        <f t="array" ref="HSV6">_xlfn._xlws.FILTER(TablaProductos[Nombre producto],TablaProductos[Agrupación]=ProductosPivot!HSV5)</f>
        <v>#VALUE!</v>
      </c>
      <c r="HSW6" s="68" t="e" cm="1" vm="1">
        <f t="array" ref="HSW6">_xlfn._xlws.FILTER(TablaProductos[Nombre producto],TablaProductos[Agrupación]=ProductosPivot!HSW5)</f>
        <v>#VALUE!</v>
      </c>
      <c r="HSX6" s="68" t="e" cm="1" vm="1">
        <f t="array" ref="HSX6">_xlfn._xlws.FILTER(TablaProductos[Nombre producto],TablaProductos[Agrupación]=ProductosPivot!HSX5)</f>
        <v>#VALUE!</v>
      </c>
      <c r="HSY6" s="68" t="e" cm="1" vm="1">
        <f t="array" ref="HSY6">_xlfn._xlws.FILTER(TablaProductos[Nombre producto],TablaProductos[Agrupación]=ProductosPivot!HSY5)</f>
        <v>#VALUE!</v>
      </c>
      <c r="HSZ6" s="68" t="e" cm="1" vm="1">
        <f t="array" ref="HSZ6">_xlfn._xlws.FILTER(TablaProductos[Nombre producto],TablaProductos[Agrupación]=ProductosPivot!HSZ5)</f>
        <v>#VALUE!</v>
      </c>
      <c r="HTA6" s="68" t="e" cm="1" vm="1">
        <f t="array" ref="HTA6">_xlfn._xlws.FILTER(TablaProductos[Nombre producto],TablaProductos[Agrupación]=ProductosPivot!HTA5)</f>
        <v>#VALUE!</v>
      </c>
      <c r="HTB6" s="68" t="e" cm="1" vm="1">
        <f t="array" ref="HTB6">_xlfn._xlws.FILTER(TablaProductos[Nombre producto],TablaProductos[Agrupación]=ProductosPivot!HTB5)</f>
        <v>#VALUE!</v>
      </c>
      <c r="HTC6" s="68" t="e" cm="1" vm="1">
        <f t="array" ref="HTC6">_xlfn._xlws.FILTER(TablaProductos[Nombre producto],TablaProductos[Agrupación]=ProductosPivot!HTC5)</f>
        <v>#VALUE!</v>
      </c>
      <c r="HTD6" s="68" t="e" cm="1" vm="1">
        <f t="array" ref="HTD6">_xlfn._xlws.FILTER(TablaProductos[Nombre producto],TablaProductos[Agrupación]=ProductosPivot!HTD5)</f>
        <v>#VALUE!</v>
      </c>
      <c r="HTE6" s="68" t="e" cm="1" vm="1">
        <f t="array" ref="HTE6">_xlfn._xlws.FILTER(TablaProductos[Nombre producto],TablaProductos[Agrupación]=ProductosPivot!HTE5)</f>
        <v>#VALUE!</v>
      </c>
      <c r="HTF6" s="68" t="e" cm="1" vm="1">
        <f t="array" ref="HTF6">_xlfn._xlws.FILTER(TablaProductos[Nombre producto],TablaProductos[Agrupación]=ProductosPivot!HTF5)</f>
        <v>#VALUE!</v>
      </c>
      <c r="HTG6" s="68" t="e" cm="1" vm="1">
        <f t="array" ref="HTG6">_xlfn._xlws.FILTER(TablaProductos[Nombre producto],TablaProductos[Agrupación]=ProductosPivot!HTG5)</f>
        <v>#VALUE!</v>
      </c>
      <c r="HTH6" s="68" t="e" cm="1" vm="1">
        <f t="array" ref="HTH6">_xlfn._xlws.FILTER(TablaProductos[Nombre producto],TablaProductos[Agrupación]=ProductosPivot!HTH5)</f>
        <v>#VALUE!</v>
      </c>
      <c r="HTI6" s="68" t="e" cm="1" vm="1">
        <f t="array" ref="HTI6">_xlfn._xlws.FILTER(TablaProductos[Nombre producto],TablaProductos[Agrupación]=ProductosPivot!HTI5)</f>
        <v>#VALUE!</v>
      </c>
      <c r="HTJ6" s="68" t="e" cm="1" vm="1">
        <f t="array" ref="HTJ6">_xlfn._xlws.FILTER(TablaProductos[Nombre producto],TablaProductos[Agrupación]=ProductosPivot!HTJ5)</f>
        <v>#VALUE!</v>
      </c>
      <c r="HTK6" s="68" t="e" cm="1" vm="1">
        <f t="array" ref="HTK6">_xlfn._xlws.FILTER(TablaProductos[Nombre producto],TablaProductos[Agrupación]=ProductosPivot!HTK5)</f>
        <v>#VALUE!</v>
      </c>
      <c r="HTL6" s="68" t="e" cm="1" vm="1">
        <f t="array" ref="HTL6">_xlfn._xlws.FILTER(TablaProductos[Nombre producto],TablaProductos[Agrupación]=ProductosPivot!HTL5)</f>
        <v>#VALUE!</v>
      </c>
      <c r="HTM6" s="68" t="e" cm="1" vm="1">
        <f t="array" ref="HTM6">_xlfn._xlws.FILTER(TablaProductos[Nombre producto],TablaProductos[Agrupación]=ProductosPivot!HTM5)</f>
        <v>#VALUE!</v>
      </c>
      <c r="HTN6" s="68" t="e" cm="1" vm="1">
        <f t="array" ref="HTN6">_xlfn._xlws.FILTER(TablaProductos[Nombre producto],TablaProductos[Agrupación]=ProductosPivot!HTN5)</f>
        <v>#VALUE!</v>
      </c>
      <c r="HTO6" s="68" t="e" cm="1" vm="1">
        <f t="array" ref="HTO6">_xlfn._xlws.FILTER(TablaProductos[Nombre producto],TablaProductos[Agrupación]=ProductosPivot!HTO5)</f>
        <v>#VALUE!</v>
      </c>
      <c r="HTP6" s="68" t="e" cm="1" vm="1">
        <f t="array" ref="HTP6">_xlfn._xlws.FILTER(TablaProductos[Nombre producto],TablaProductos[Agrupación]=ProductosPivot!HTP5)</f>
        <v>#VALUE!</v>
      </c>
      <c r="HTQ6" s="68" t="e" cm="1" vm="1">
        <f t="array" ref="HTQ6">_xlfn._xlws.FILTER(TablaProductos[Nombre producto],TablaProductos[Agrupación]=ProductosPivot!HTQ5)</f>
        <v>#VALUE!</v>
      </c>
      <c r="HTR6" s="68" t="e" cm="1" vm="1">
        <f t="array" ref="HTR6">_xlfn._xlws.FILTER(TablaProductos[Nombre producto],TablaProductos[Agrupación]=ProductosPivot!HTR5)</f>
        <v>#VALUE!</v>
      </c>
      <c r="HTS6" s="68" t="e" cm="1" vm="1">
        <f t="array" ref="HTS6">_xlfn._xlws.FILTER(TablaProductos[Nombre producto],TablaProductos[Agrupación]=ProductosPivot!HTS5)</f>
        <v>#VALUE!</v>
      </c>
      <c r="HTT6" s="68" t="e" cm="1" vm="1">
        <f t="array" ref="HTT6">_xlfn._xlws.FILTER(TablaProductos[Nombre producto],TablaProductos[Agrupación]=ProductosPivot!HTT5)</f>
        <v>#VALUE!</v>
      </c>
      <c r="HTU6" s="68" t="e" cm="1" vm="1">
        <f t="array" ref="HTU6">_xlfn._xlws.FILTER(TablaProductos[Nombre producto],TablaProductos[Agrupación]=ProductosPivot!HTU5)</f>
        <v>#VALUE!</v>
      </c>
      <c r="HTV6" s="68" t="e" cm="1" vm="1">
        <f t="array" ref="HTV6">_xlfn._xlws.FILTER(TablaProductos[Nombre producto],TablaProductos[Agrupación]=ProductosPivot!HTV5)</f>
        <v>#VALUE!</v>
      </c>
      <c r="HTW6" s="68" t="e" cm="1" vm="1">
        <f t="array" ref="HTW6">_xlfn._xlws.FILTER(TablaProductos[Nombre producto],TablaProductos[Agrupación]=ProductosPivot!HTW5)</f>
        <v>#VALUE!</v>
      </c>
      <c r="HTX6" s="68" t="e" cm="1" vm="1">
        <f t="array" ref="HTX6">_xlfn._xlws.FILTER(TablaProductos[Nombre producto],TablaProductos[Agrupación]=ProductosPivot!HTX5)</f>
        <v>#VALUE!</v>
      </c>
      <c r="HTY6" s="68" t="e" cm="1" vm="1">
        <f t="array" ref="HTY6">_xlfn._xlws.FILTER(TablaProductos[Nombre producto],TablaProductos[Agrupación]=ProductosPivot!HTY5)</f>
        <v>#VALUE!</v>
      </c>
      <c r="HTZ6" s="68" t="e" cm="1" vm="1">
        <f t="array" ref="HTZ6">_xlfn._xlws.FILTER(TablaProductos[Nombre producto],TablaProductos[Agrupación]=ProductosPivot!HTZ5)</f>
        <v>#VALUE!</v>
      </c>
      <c r="HUA6" s="68" t="e" cm="1" vm="1">
        <f t="array" ref="HUA6">_xlfn._xlws.FILTER(TablaProductos[Nombre producto],TablaProductos[Agrupación]=ProductosPivot!HUA5)</f>
        <v>#VALUE!</v>
      </c>
      <c r="HUB6" s="68" t="e" cm="1" vm="1">
        <f t="array" ref="HUB6">_xlfn._xlws.FILTER(TablaProductos[Nombre producto],TablaProductos[Agrupación]=ProductosPivot!HUB5)</f>
        <v>#VALUE!</v>
      </c>
      <c r="HUC6" s="68" t="e" cm="1" vm="1">
        <f t="array" ref="HUC6">_xlfn._xlws.FILTER(TablaProductos[Nombre producto],TablaProductos[Agrupación]=ProductosPivot!HUC5)</f>
        <v>#VALUE!</v>
      </c>
      <c r="HUD6" s="68" t="e" cm="1" vm="1">
        <f t="array" ref="HUD6">_xlfn._xlws.FILTER(TablaProductos[Nombre producto],TablaProductos[Agrupación]=ProductosPivot!HUD5)</f>
        <v>#VALUE!</v>
      </c>
      <c r="HUE6" s="68" t="e" cm="1" vm="1">
        <f t="array" ref="HUE6">_xlfn._xlws.FILTER(TablaProductos[Nombre producto],TablaProductos[Agrupación]=ProductosPivot!HUE5)</f>
        <v>#VALUE!</v>
      </c>
      <c r="HUF6" s="68" t="e" cm="1" vm="1">
        <f t="array" ref="HUF6">_xlfn._xlws.FILTER(TablaProductos[Nombre producto],TablaProductos[Agrupación]=ProductosPivot!HUF5)</f>
        <v>#VALUE!</v>
      </c>
      <c r="HUG6" s="68" t="e" cm="1" vm="1">
        <f t="array" ref="HUG6">_xlfn._xlws.FILTER(TablaProductos[Nombre producto],TablaProductos[Agrupación]=ProductosPivot!HUG5)</f>
        <v>#VALUE!</v>
      </c>
      <c r="HUH6" s="68" t="e" cm="1" vm="1">
        <f t="array" ref="HUH6">_xlfn._xlws.FILTER(TablaProductos[Nombre producto],TablaProductos[Agrupación]=ProductosPivot!HUH5)</f>
        <v>#VALUE!</v>
      </c>
      <c r="HUI6" s="68" t="e" cm="1" vm="1">
        <f t="array" ref="HUI6">_xlfn._xlws.FILTER(TablaProductos[Nombre producto],TablaProductos[Agrupación]=ProductosPivot!HUI5)</f>
        <v>#VALUE!</v>
      </c>
      <c r="HUJ6" s="68" t="e" cm="1" vm="1">
        <f t="array" ref="HUJ6">_xlfn._xlws.FILTER(TablaProductos[Nombre producto],TablaProductos[Agrupación]=ProductosPivot!HUJ5)</f>
        <v>#VALUE!</v>
      </c>
      <c r="HUK6" s="68" t="e" cm="1" vm="1">
        <f t="array" ref="HUK6">_xlfn._xlws.FILTER(TablaProductos[Nombre producto],TablaProductos[Agrupación]=ProductosPivot!HUK5)</f>
        <v>#VALUE!</v>
      </c>
      <c r="HUL6" s="68" t="e" cm="1" vm="1">
        <f t="array" ref="HUL6">_xlfn._xlws.FILTER(TablaProductos[Nombre producto],TablaProductos[Agrupación]=ProductosPivot!HUL5)</f>
        <v>#VALUE!</v>
      </c>
      <c r="HUM6" s="68" t="e" cm="1" vm="1">
        <f t="array" ref="HUM6">_xlfn._xlws.FILTER(TablaProductos[Nombre producto],TablaProductos[Agrupación]=ProductosPivot!HUM5)</f>
        <v>#VALUE!</v>
      </c>
      <c r="HUN6" s="68" t="e" cm="1" vm="1">
        <f t="array" ref="HUN6">_xlfn._xlws.FILTER(TablaProductos[Nombre producto],TablaProductos[Agrupación]=ProductosPivot!HUN5)</f>
        <v>#VALUE!</v>
      </c>
      <c r="HUO6" s="68" t="e" cm="1" vm="1">
        <f t="array" ref="HUO6">_xlfn._xlws.FILTER(TablaProductos[Nombre producto],TablaProductos[Agrupación]=ProductosPivot!HUO5)</f>
        <v>#VALUE!</v>
      </c>
      <c r="HUP6" s="68" t="e" cm="1" vm="1">
        <f t="array" ref="HUP6">_xlfn._xlws.FILTER(TablaProductos[Nombre producto],TablaProductos[Agrupación]=ProductosPivot!HUP5)</f>
        <v>#VALUE!</v>
      </c>
      <c r="HUQ6" s="68" t="e" cm="1" vm="1">
        <f t="array" ref="HUQ6">_xlfn._xlws.FILTER(TablaProductos[Nombre producto],TablaProductos[Agrupación]=ProductosPivot!HUQ5)</f>
        <v>#VALUE!</v>
      </c>
      <c r="HUR6" s="68" t="e" cm="1" vm="1">
        <f t="array" ref="HUR6">_xlfn._xlws.FILTER(TablaProductos[Nombre producto],TablaProductos[Agrupación]=ProductosPivot!HUR5)</f>
        <v>#VALUE!</v>
      </c>
      <c r="HUS6" s="68" t="e" cm="1" vm="1">
        <f t="array" ref="HUS6">_xlfn._xlws.FILTER(TablaProductos[Nombre producto],TablaProductos[Agrupación]=ProductosPivot!HUS5)</f>
        <v>#VALUE!</v>
      </c>
      <c r="HUT6" s="68" t="e" cm="1" vm="1">
        <f t="array" ref="HUT6">_xlfn._xlws.FILTER(TablaProductos[Nombre producto],TablaProductos[Agrupación]=ProductosPivot!HUT5)</f>
        <v>#VALUE!</v>
      </c>
      <c r="HUU6" s="68" t="e" cm="1" vm="1">
        <f t="array" ref="HUU6">_xlfn._xlws.FILTER(TablaProductos[Nombre producto],TablaProductos[Agrupación]=ProductosPivot!HUU5)</f>
        <v>#VALUE!</v>
      </c>
      <c r="HUV6" s="68" t="e" cm="1" vm="1">
        <f t="array" ref="HUV6">_xlfn._xlws.FILTER(TablaProductos[Nombre producto],TablaProductos[Agrupación]=ProductosPivot!HUV5)</f>
        <v>#VALUE!</v>
      </c>
      <c r="HUW6" s="68" t="e" cm="1" vm="1">
        <f t="array" ref="HUW6">_xlfn._xlws.FILTER(TablaProductos[Nombre producto],TablaProductos[Agrupación]=ProductosPivot!HUW5)</f>
        <v>#VALUE!</v>
      </c>
      <c r="HUX6" s="68" t="e" cm="1" vm="1">
        <f t="array" ref="HUX6">_xlfn._xlws.FILTER(TablaProductos[Nombre producto],TablaProductos[Agrupación]=ProductosPivot!HUX5)</f>
        <v>#VALUE!</v>
      </c>
      <c r="HUY6" s="68" t="e" cm="1" vm="1">
        <f t="array" ref="HUY6">_xlfn._xlws.FILTER(TablaProductos[Nombre producto],TablaProductos[Agrupación]=ProductosPivot!HUY5)</f>
        <v>#VALUE!</v>
      </c>
      <c r="HUZ6" s="68" t="e" cm="1" vm="1">
        <f t="array" ref="HUZ6">_xlfn._xlws.FILTER(TablaProductos[Nombre producto],TablaProductos[Agrupación]=ProductosPivot!HUZ5)</f>
        <v>#VALUE!</v>
      </c>
      <c r="HVA6" s="68" t="e" cm="1" vm="1">
        <f t="array" ref="HVA6">_xlfn._xlws.FILTER(TablaProductos[Nombre producto],TablaProductos[Agrupación]=ProductosPivot!HVA5)</f>
        <v>#VALUE!</v>
      </c>
      <c r="HVB6" s="68" t="e" cm="1" vm="1">
        <f t="array" ref="HVB6">_xlfn._xlws.FILTER(TablaProductos[Nombre producto],TablaProductos[Agrupación]=ProductosPivot!HVB5)</f>
        <v>#VALUE!</v>
      </c>
      <c r="HVC6" s="68" t="e" cm="1" vm="1">
        <f t="array" ref="HVC6">_xlfn._xlws.FILTER(TablaProductos[Nombre producto],TablaProductos[Agrupación]=ProductosPivot!HVC5)</f>
        <v>#VALUE!</v>
      </c>
      <c r="HVD6" s="68" t="e" cm="1" vm="1">
        <f t="array" ref="HVD6">_xlfn._xlws.FILTER(TablaProductos[Nombre producto],TablaProductos[Agrupación]=ProductosPivot!HVD5)</f>
        <v>#VALUE!</v>
      </c>
      <c r="HVE6" s="68" t="e" cm="1" vm="1">
        <f t="array" ref="HVE6">_xlfn._xlws.FILTER(TablaProductos[Nombre producto],TablaProductos[Agrupación]=ProductosPivot!HVE5)</f>
        <v>#VALUE!</v>
      </c>
      <c r="HVF6" s="68" t="e" cm="1" vm="1">
        <f t="array" ref="HVF6">_xlfn._xlws.FILTER(TablaProductos[Nombre producto],TablaProductos[Agrupación]=ProductosPivot!HVF5)</f>
        <v>#VALUE!</v>
      </c>
      <c r="HVG6" s="68" t="e" cm="1" vm="1">
        <f t="array" ref="HVG6">_xlfn._xlws.FILTER(TablaProductos[Nombre producto],TablaProductos[Agrupación]=ProductosPivot!HVG5)</f>
        <v>#VALUE!</v>
      </c>
      <c r="HVH6" s="68" t="e" cm="1" vm="1">
        <f t="array" ref="HVH6">_xlfn._xlws.FILTER(TablaProductos[Nombre producto],TablaProductos[Agrupación]=ProductosPivot!HVH5)</f>
        <v>#VALUE!</v>
      </c>
      <c r="HVI6" s="68" t="e" cm="1" vm="1">
        <f t="array" ref="HVI6">_xlfn._xlws.FILTER(TablaProductos[Nombre producto],TablaProductos[Agrupación]=ProductosPivot!HVI5)</f>
        <v>#VALUE!</v>
      </c>
      <c r="HVJ6" s="68" t="e" cm="1" vm="1">
        <f t="array" ref="HVJ6">_xlfn._xlws.FILTER(TablaProductos[Nombre producto],TablaProductos[Agrupación]=ProductosPivot!HVJ5)</f>
        <v>#VALUE!</v>
      </c>
      <c r="HVK6" s="68" t="e" cm="1" vm="1">
        <f t="array" ref="HVK6">_xlfn._xlws.FILTER(TablaProductos[Nombre producto],TablaProductos[Agrupación]=ProductosPivot!HVK5)</f>
        <v>#VALUE!</v>
      </c>
      <c r="HVL6" s="68" t="e" cm="1" vm="1">
        <f t="array" ref="HVL6">_xlfn._xlws.FILTER(TablaProductos[Nombre producto],TablaProductos[Agrupación]=ProductosPivot!HVL5)</f>
        <v>#VALUE!</v>
      </c>
      <c r="HVM6" s="68" t="e" cm="1" vm="1">
        <f t="array" ref="HVM6">_xlfn._xlws.FILTER(TablaProductos[Nombre producto],TablaProductos[Agrupación]=ProductosPivot!HVM5)</f>
        <v>#VALUE!</v>
      </c>
      <c r="HVN6" s="68" t="e" cm="1" vm="1">
        <f t="array" ref="HVN6">_xlfn._xlws.FILTER(TablaProductos[Nombre producto],TablaProductos[Agrupación]=ProductosPivot!HVN5)</f>
        <v>#VALUE!</v>
      </c>
      <c r="HVO6" s="68" t="e" cm="1" vm="1">
        <f t="array" ref="HVO6">_xlfn._xlws.FILTER(TablaProductos[Nombre producto],TablaProductos[Agrupación]=ProductosPivot!HVO5)</f>
        <v>#VALUE!</v>
      </c>
      <c r="HVP6" s="68" t="e" cm="1" vm="1">
        <f t="array" ref="HVP6">_xlfn._xlws.FILTER(TablaProductos[Nombre producto],TablaProductos[Agrupación]=ProductosPivot!HVP5)</f>
        <v>#VALUE!</v>
      </c>
      <c r="HVQ6" s="68" t="e" cm="1" vm="1">
        <f t="array" ref="HVQ6">_xlfn._xlws.FILTER(TablaProductos[Nombre producto],TablaProductos[Agrupación]=ProductosPivot!HVQ5)</f>
        <v>#VALUE!</v>
      </c>
      <c r="HVR6" s="68" t="e" cm="1" vm="1">
        <f t="array" ref="HVR6">_xlfn._xlws.FILTER(TablaProductos[Nombre producto],TablaProductos[Agrupación]=ProductosPivot!HVR5)</f>
        <v>#VALUE!</v>
      </c>
      <c r="HVS6" s="68" t="e" cm="1" vm="1">
        <f t="array" ref="HVS6">_xlfn._xlws.FILTER(TablaProductos[Nombre producto],TablaProductos[Agrupación]=ProductosPivot!HVS5)</f>
        <v>#VALUE!</v>
      </c>
      <c r="HVT6" s="68" t="e" cm="1" vm="1">
        <f t="array" ref="HVT6">_xlfn._xlws.FILTER(TablaProductos[Nombre producto],TablaProductos[Agrupación]=ProductosPivot!HVT5)</f>
        <v>#VALUE!</v>
      </c>
      <c r="HVU6" s="68" t="e" cm="1" vm="1">
        <f t="array" ref="HVU6">_xlfn._xlws.FILTER(TablaProductos[Nombre producto],TablaProductos[Agrupación]=ProductosPivot!HVU5)</f>
        <v>#VALUE!</v>
      </c>
      <c r="HVV6" s="68" t="e" cm="1" vm="1">
        <f t="array" ref="HVV6">_xlfn._xlws.FILTER(TablaProductos[Nombre producto],TablaProductos[Agrupación]=ProductosPivot!HVV5)</f>
        <v>#VALUE!</v>
      </c>
      <c r="HVW6" s="68" t="e" cm="1" vm="1">
        <f t="array" ref="HVW6">_xlfn._xlws.FILTER(TablaProductos[Nombre producto],TablaProductos[Agrupación]=ProductosPivot!HVW5)</f>
        <v>#VALUE!</v>
      </c>
      <c r="HVX6" s="68" t="e" cm="1" vm="1">
        <f t="array" ref="HVX6">_xlfn._xlws.FILTER(TablaProductos[Nombre producto],TablaProductos[Agrupación]=ProductosPivot!HVX5)</f>
        <v>#VALUE!</v>
      </c>
      <c r="HVY6" s="68" t="e" cm="1" vm="1">
        <f t="array" ref="HVY6">_xlfn._xlws.FILTER(TablaProductos[Nombre producto],TablaProductos[Agrupación]=ProductosPivot!HVY5)</f>
        <v>#VALUE!</v>
      </c>
      <c r="HVZ6" s="68" t="e" cm="1" vm="1">
        <f t="array" ref="HVZ6">_xlfn._xlws.FILTER(TablaProductos[Nombre producto],TablaProductos[Agrupación]=ProductosPivot!HVZ5)</f>
        <v>#VALUE!</v>
      </c>
      <c r="HWA6" s="68" t="e" cm="1" vm="1">
        <f t="array" ref="HWA6">_xlfn._xlws.FILTER(TablaProductos[Nombre producto],TablaProductos[Agrupación]=ProductosPivot!HWA5)</f>
        <v>#VALUE!</v>
      </c>
      <c r="HWB6" s="68" t="e" cm="1" vm="1">
        <f t="array" ref="HWB6">_xlfn._xlws.FILTER(TablaProductos[Nombre producto],TablaProductos[Agrupación]=ProductosPivot!HWB5)</f>
        <v>#VALUE!</v>
      </c>
      <c r="HWC6" s="68" t="e" cm="1" vm="1">
        <f t="array" ref="HWC6">_xlfn._xlws.FILTER(TablaProductos[Nombre producto],TablaProductos[Agrupación]=ProductosPivot!HWC5)</f>
        <v>#VALUE!</v>
      </c>
      <c r="HWD6" s="68" t="e" cm="1" vm="1">
        <f t="array" ref="HWD6">_xlfn._xlws.FILTER(TablaProductos[Nombre producto],TablaProductos[Agrupación]=ProductosPivot!HWD5)</f>
        <v>#VALUE!</v>
      </c>
      <c r="HWE6" s="68" t="e" cm="1" vm="1">
        <f t="array" ref="HWE6">_xlfn._xlws.FILTER(TablaProductos[Nombre producto],TablaProductos[Agrupación]=ProductosPivot!HWE5)</f>
        <v>#VALUE!</v>
      </c>
      <c r="HWF6" s="68" t="e" cm="1" vm="1">
        <f t="array" ref="HWF6">_xlfn._xlws.FILTER(TablaProductos[Nombre producto],TablaProductos[Agrupación]=ProductosPivot!HWF5)</f>
        <v>#VALUE!</v>
      </c>
      <c r="HWG6" s="68" t="e" cm="1" vm="1">
        <f t="array" ref="HWG6">_xlfn._xlws.FILTER(TablaProductos[Nombre producto],TablaProductos[Agrupación]=ProductosPivot!HWG5)</f>
        <v>#VALUE!</v>
      </c>
      <c r="HWH6" s="68" t="e" cm="1" vm="1">
        <f t="array" ref="HWH6">_xlfn._xlws.FILTER(TablaProductos[Nombre producto],TablaProductos[Agrupación]=ProductosPivot!HWH5)</f>
        <v>#VALUE!</v>
      </c>
      <c r="HWI6" s="68" t="e" cm="1" vm="1">
        <f t="array" ref="HWI6">_xlfn._xlws.FILTER(TablaProductos[Nombre producto],TablaProductos[Agrupación]=ProductosPivot!HWI5)</f>
        <v>#VALUE!</v>
      </c>
      <c r="HWJ6" s="68" t="e" cm="1" vm="1">
        <f t="array" ref="HWJ6">_xlfn._xlws.FILTER(TablaProductos[Nombre producto],TablaProductos[Agrupación]=ProductosPivot!HWJ5)</f>
        <v>#VALUE!</v>
      </c>
      <c r="HWK6" s="68" t="e" cm="1" vm="1">
        <f t="array" ref="HWK6">_xlfn._xlws.FILTER(TablaProductos[Nombre producto],TablaProductos[Agrupación]=ProductosPivot!HWK5)</f>
        <v>#VALUE!</v>
      </c>
      <c r="HWL6" s="68" t="e" cm="1" vm="1">
        <f t="array" ref="HWL6">_xlfn._xlws.FILTER(TablaProductos[Nombre producto],TablaProductos[Agrupación]=ProductosPivot!HWL5)</f>
        <v>#VALUE!</v>
      </c>
      <c r="HWM6" s="68" t="e" cm="1" vm="1">
        <f t="array" ref="HWM6">_xlfn._xlws.FILTER(TablaProductos[Nombre producto],TablaProductos[Agrupación]=ProductosPivot!HWM5)</f>
        <v>#VALUE!</v>
      </c>
      <c r="HWN6" s="68" t="e" cm="1" vm="1">
        <f t="array" ref="HWN6">_xlfn._xlws.FILTER(TablaProductos[Nombre producto],TablaProductos[Agrupación]=ProductosPivot!HWN5)</f>
        <v>#VALUE!</v>
      </c>
      <c r="HWO6" s="68" t="e" cm="1" vm="1">
        <f t="array" ref="HWO6">_xlfn._xlws.FILTER(TablaProductos[Nombre producto],TablaProductos[Agrupación]=ProductosPivot!HWO5)</f>
        <v>#VALUE!</v>
      </c>
      <c r="HWP6" s="68" t="e" cm="1" vm="1">
        <f t="array" ref="HWP6">_xlfn._xlws.FILTER(TablaProductos[Nombre producto],TablaProductos[Agrupación]=ProductosPivot!HWP5)</f>
        <v>#VALUE!</v>
      </c>
      <c r="HWQ6" s="68" t="e" cm="1" vm="1">
        <f t="array" ref="HWQ6">_xlfn._xlws.FILTER(TablaProductos[Nombre producto],TablaProductos[Agrupación]=ProductosPivot!HWQ5)</f>
        <v>#VALUE!</v>
      </c>
      <c r="HWR6" s="68" t="e" cm="1" vm="1">
        <f t="array" ref="HWR6">_xlfn._xlws.FILTER(TablaProductos[Nombre producto],TablaProductos[Agrupación]=ProductosPivot!HWR5)</f>
        <v>#VALUE!</v>
      </c>
      <c r="HWS6" s="68" t="e" cm="1" vm="1">
        <f t="array" ref="HWS6">_xlfn._xlws.FILTER(TablaProductos[Nombre producto],TablaProductos[Agrupación]=ProductosPivot!HWS5)</f>
        <v>#VALUE!</v>
      </c>
      <c r="HWT6" s="68" t="e" cm="1" vm="1">
        <f t="array" ref="HWT6">_xlfn._xlws.FILTER(TablaProductos[Nombre producto],TablaProductos[Agrupación]=ProductosPivot!HWT5)</f>
        <v>#VALUE!</v>
      </c>
      <c r="HWU6" s="68" t="e" cm="1" vm="1">
        <f t="array" ref="HWU6">_xlfn._xlws.FILTER(TablaProductos[Nombre producto],TablaProductos[Agrupación]=ProductosPivot!HWU5)</f>
        <v>#VALUE!</v>
      </c>
      <c r="HWV6" s="68" t="e" cm="1" vm="1">
        <f t="array" ref="HWV6">_xlfn._xlws.FILTER(TablaProductos[Nombre producto],TablaProductos[Agrupación]=ProductosPivot!HWV5)</f>
        <v>#VALUE!</v>
      </c>
      <c r="HWW6" s="68" t="e" cm="1" vm="1">
        <f t="array" ref="HWW6">_xlfn._xlws.FILTER(TablaProductos[Nombre producto],TablaProductos[Agrupación]=ProductosPivot!HWW5)</f>
        <v>#VALUE!</v>
      </c>
      <c r="HWX6" s="68" t="e" cm="1" vm="1">
        <f t="array" ref="HWX6">_xlfn._xlws.FILTER(TablaProductos[Nombre producto],TablaProductos[Agrupación]=ProductosPivot!HWX5)</f>
        <v>#VALUE!</v>
      </c>
      <c r="HWY6" s="68" t="e" cm="1" vm="1">
        <f t="array" ref="HWY6">_xlfn._xlws.FILTER(TablaProductos[Nombre producto],TablaProductos[Agrupación]=ProductosPivot!HWY5)</f>
        <v>#VALUE!</v>
      </c>
      <c r="HWZ6" s="68" t="e" cm="1" vm="1">
        <f t="array" ref="HWZ6">_xlfn._xlws.FILTER(TablaProductos[Nombre producto],TablaProductos[Agrupación]=ProductosPivot!HWZ5)</f>
        <v>#VALUE!</v>
      </c>
      <c r="HXA6" s="68" t="e" cm="1" vm="1">
        <f t="array" ref="HXA6">_xlfn._xlws.FILTER(TablaProductos[Nombre producto],TablaProductos[Agrupación]=ProductosPivot!HXA5)</f>
        <v>#VALUE!</v>
      </c>
      <c r="HXB6" s="68" t="e" cm="1" vm="1">
        <f t="array" ref="HXB6">_xlfn._xlws.FILTER(TablaProductos[Nombre producto],TablaProductos[Agrupación]=ProductosPivot!HXB5)</f>
        <v>#VALUE!</v>
      </c>
      <c r="HXC6" s="68" t="e" cm="1" vm="1">
        <f t="array" ref="HXC6">_xlfn._xlws.FILTER(TablaProductos[Nombre producto],TablaProductos[Agrupación]=ProductosPivot!HXC5)</f>
        <v>#VALUE!</v>
      </c>
      <c r="HXD6" s="68" t="e" cm="1" vm="1">
        <f t="array" ref="HXD6">_xlfn._xlws.FILTER(TablaProductos[Nombre producto],TablaProductos[Agrupación]=ProductosPivot!HXD5)</f>
        <v>#VALUE!</v>
      </c>
      <c r="HXE6" s="68" t="e" cm="1" vm="1">
        <f t="array" ref="HXE6">_xlfn._xlws.FILTER(TablaProductos[Nombre producto],TablaProductos[Agrupación]=ProductosPivot!HXE5)</f>
        <v>#VALUE!</v>
      </c>
      <c r="HXF6" s="68" t="e" cm="1" vm="1">
        <f t="array" ref="HXF6">_xlfn._xlws.FILTER(TablaProductos[Nombre producto],TablaProductos[Agrupación]=ProductosPivot!HXF5)</f>
        <v>#VALUE!</v>
      </c>
      <c r="HXG6" s="68" t="e" cm="1" vm="1">
        <f t="array" ref="HXG6">_xlfn._xlws.FILTER(TablaProductos[Nombre producto],TablaProductos[Agrupación]=ProductosPivot!HXG5)</f>
        <v>#VALUE!</v>
      </c>
      <c r="HXH6" s="68" t="e" cm="1" vm="1">
        <f t="array" ref="HXH6">_xlfn._xlws.FILTER(TablaProductos[Nombre producto],TablaProductos[Agrupación]=ProductosPivot!HXH5)</f>
        <v>#VALUE!</v>
      </c>
      <c r="HXI6" s="68" t="e" cm="1" vm="1">
        <f t="array" ref="HXI6">_xlfn._xlws.FILTER(TablaProductos[Nombre producto],TablaProductos[Agrupación]=ProductosPivot!HXI5)</f>
        <v>#VALUE!</v>
      </c>
      <c r="HXJ6" s="68" t="e" cm="1" vm="1">
        <f t="array" ref="HXJ6">_xlfn._xlws.FILTER(TablaProductos[Nombre producto],TablaProductos[Agrupación]=ProductosPivot!HXJ5)</f>
        <v>#VALUE!</v>
      </c>
      <c r="HXK6" s="68" t="e" cm="1" vm="1">
        <f t="array" ref="HXK6">_xlfn._xlws.FILTER(TablaProductos[Nombre producto],TablaProductos[Agrupación]=ProductosPivot!HXK5)</f>
        <v>#VALUE!</v>
      </c>
      <c r="HXL6" s="68" t="e" cm="1" vm="1">
        <f t="array" ref="HXL6">_xlfn._xlws.FILTER(TablaProductos[Nombre producto],TablaProductos[Agrupación]=ProductosPivot!HXL5)</f>
        <v>#VALUE!</v>
      </c>
      <c r="HXM6" s="68" t="e" cm="1" vm="1">
        <f t="array" ref="HXM6">_xlfn._xlws.FILTER(TablaProductos[Nombre producto],TablaProductos[Agrupación]=ProductosPivot!HXM5)</f>
        <v>#VALUE!</v>
      </c>
      <c r="HXN6" s="68" t="e" cm="1" vm="1">
        <f t="array" ref="HXN6">_xlfn._xlws.FILTER(TablaProductos[Nombre producto],TablaProductos[Agrupación]=ProductosPivot!HXN5)</f>
        <v>#VALUE!</v>
      </c>
      <c r="HXO6" s="68" t="e" cm="1" vm="1">
        <f t="array" ref="HXO6">_xlfn._xlws.FILTER(TablaProductos[Nombre producto],TablaProductos[Agrupación]=ProductosPivot!HXO5)</f>
        <v>#VALUE!</v>
      </c>
      <c r="HXP6" s="68" t="e" cm="1" vm="1">
        <f t="array" ref="HXP6">_xlfn._xlws.FILTER(TablaProductos[Nombre producto],TablaProductos[Agrupación]=ProductosPivot!HXP5)</f>
        <v>#VALUE!</v>
      </c>
      <c r="HXQ6" s="68" t="e" cm="1" vm="1">
        <f t="array" ref="HXQ6">_xlfn._xlws.FILTER(TablaProductos[Nombre producto],TablaProductos[Agrupación]=ProductosPivot!HXQ5)</f>
        <v>#VALUE!</v>
      </c>
      <c r="HXR6" s="68" t="e" cm="1" vm="1">
        <f t="array" ref="HXR6">_xlfn._xlws.FILTER(TablaProductos[Nombre producto],TablaProductos[Agrupación]=ProductosPivot!HXR5)</f>
        <v>#VALUE!</v>
      </c>
      <c r="HXS6" s="68" t="e" cm="1" vm="1">
        <f t="array" ref="HXS6">_xlfn._xlws.FILTER(TablaProductos[Nombre producto],TablaProductos[Agrupación]=ProductosPivot!HXS5)</f>
        <v>#VALUE!</v>
      </c>
      <c r="HXT6" s="68" t="e" cm="1" vm="1">
        <f t="array" ref="HXT6">_xlfn._xlws.FILTER(TablaProductos[Nombre producto],TablaProductos[Agrupación]=ProductosPivot!HXT5)</f>
        <v>#VALUE!</v>
      </c>
      <c r="HXU6" s="68" t="e" cm="1" vm="1">
        <f t="array" ref="HXU6">_xlfn._xlws.FILTER(TablaProductos[Nombre producto],TablaProductos[Agrupación]=ProductosPivot!HXU5)</f>
        <v>#VALUE!</v>
      </c>
      <c r="HXV6" s="68" t="e" cm="1" vm="1">
        <f t="array" ref="HXV6">_xlfn._xlws.FILTER(TablaProductos[Nombre producto],TablaProductos[Agrupación]=ProductosPivot!HXV5)</f>
        <v>#VALUE!</v>
      </c>
      <c r="HXW6" s="68" t="e" cm="1" vm="1">
        <f t="array" ref="HXW6">_xlfn._xlws.FILTER(TablaProductos[Nombre producto],TablaProductos[Agrupación]=ProductosPivot!HXW5)</f>
        <v>#VALUE!</v>
      </c>
      <c r="HXX6" s="68" t="e" cm="1" vm="1">
        <f t="array" ref="HXX6">_xlfn._xlws.FILTER(TablaProductos[Nombre producto],TablaProductos[Agrupación]=ProductosPivot!HXX5)</f>
        <v>#VALUE!</v>
      </c>
      <c r="HXY6" s="68" t="e" cm="1" vm="1">
        <f t="array" ref="HXY6">_xlfn._xlws.FILTER(TablaProductos[Nombre producto],TablaProductos[Agrupación]=ProductosPivot!HXY5)</f>
        <v>#VALUE!</v>
      </c>
      <c r="HXZ6" s="68" t="e" cm="1" vm="1">
        <f t="array" ref="HXZ6">_xlfn._xlws.FILTER(TablaProductos[Nombre producto],TablaProductos[Agrupación]=ProductosPivot!HXZ5)</f>
        <v>#VALUE!</v>
      </c>
      <c r="HYA6" s="68" t="e" cm="1" vm="1">
        <f t="array" ref="HYA6">_xlfn._xlws.FILTER(TablaProductos[Nombre producto],TablaProductos[Agrupación]=ProductosPivot!HYA5)</f>
        <v>#VALUE!</v>
      </c>
      <c r="HYB6" s="68" t="e" cm="1" vm="1">
        <f t="array" ref="HYB6">_xlfn._xlws.FILTER(TablaProductos[Nombre producto],TablaProductos[Agrupación]=ProductosPivot!HYB5)</f>
        <v>#VALUE!</v>
      </c>
      <c r="HYC6" s="68" t="e" cm="1" vm="1">
        <f t="array" ref="HYC6">_xlfn._xlws.FILTER(TablaProductos[Nombre producto],TablaProductos[Agrupación]=ProductosPivot!HYC5)</f>
        <v>#VALUE!</v>
      </c>
      <c r="HYD6" s="68" t="e" cm="1" vm="1">
        <f t="array" ref="HYD6">_xlfn._xlws.FILTER(TablaProductos[Nombre producto],TablaProductos[Agrupación]=ProductosPivot!HYD5)</f>
        <v>#VALUE!</v>
      </c>
      <c r="HYE6" s="68" t="e" cm="1" vm="1">
        <f t="array" ref="HYE6">_xlfn._xlws.FILTER(TablaProductos[Nombre producto],TablaProductos[Agrupación]=ProductosPivot!HYE5)</f>
        <v>#VALUE!</v>
      </c>
      <c r="HYF6" s="68" t="e" cm="1" vm="1">
        <f t="array" ref="HYF6">_xlfn._xlws.FILTER(TablaProductos[Nombre producto],TablaProductos[Agrupación]=ProductosPivot!HYF5)</f>
        <v>#VALUE!</v>
      </c>
      <c r="HYG6" s="68" t="e" cm="1" vm="1">
        <f t="array" ref="HYG6">_xlfn._xlws.FILTER(TablaProductos[Nombre producto],TablaProductos[Agrupación]=ProductosPivot!HYG5)</f>
        <v>#VALUE!</v>
      </c>
      <c r="HYH6" s="68" t="e" cm="1" vm="1">
        <f t="array" ref="HYH6">_xlfn._xlws.FILTER(TablaProductos[Nombre producto],TablaProductos[Agrupación]=ProductosPivot!HYH5)</f>
        <v>#VALUE!</v>
      </c>
      <c r="HYI6" s="68" t="e" cm="1" vm="1">
        <f t="array" ref="HYI6">_xlfn._xlws.FILTER(TablaProductos[Nombre producto],TablaProductos[Agrupación]=ProductosPivot!HYI5)</f>
        <v>#VALUE!</v>
      </c>
      <c r="HYJ6" s="68" t="e" cm="1" vm="1">
        <f t="array" ref="HYJ6">_xlfn._xlws.FILTER(TablaProductos[Nombre producto],TablaProductos[Agrupación]=ProductosPivot!HYJ5)</f>
        <v>#VALUE!</v>
      </c>
      <c r="HYK6" s="68" t="e" cm="1" vm="1">
        <f t="array" ref="HYK6">_xlfn._xlws.FILTER(TablaProductos[Nombre producto],TablaProductos[Agrupación]=ProductosPivot!HYK5)</f>
        <v>#VALUE!</v>
      </c>
      <c r="HYL6" s="68" t="e" cm="1" vm="1">
        <f t="array" ref="HYL6">_xlfn._xlws.FILTER(TablaProductos[Nombre producto],TablaProductos[Agrupación]=ProductosPivot!HYL5)</f>
        <v>#VALUE!</v>
      </c>
      <c r="HYM6" s="68" t="e" cm="1" vm="1">
        <f t="array" ref="HYM6">_xlfn._xlws.FILTER(TablaProductos[Nombre producto],TablaProductos[Agrupación]=ProductosPivot!HYM5)</f>
        <v>#VALUE!</v>
      </c>
      <c r="HYN6" s="68" t="e" cm="1" vm="1">
        <f t="array" ref="HYN6">_xlfn._xlws.FILTER(TablaProductos[Nombre producto],TablaProductos[Agrupación]=ProductosPivot!HYN5)</f>
        <v>#VALUE!</v>
      </c>
      <c r="HYO6" s="68" t="e" cm="1" vm="1">
        <f t="array" ref="HYO6">_xlfn._xlws.FILTER(TablaProductos[Nombre producto],TablaProductos[Agrupación]=ProductosPivot!HYO5)</f>
        <v>#VALUE!</v>
      </c>
      <c r="HYP6" s="68" t="e" cm="1" vm="1">
        <f t="array" ref="HYP6">_xlfn._xlws.FILTER(TablaProductos[Nombre producto],TablaProductos[Agrupación]=ProductosPivot!HYP5)</f>
        <v>#VALUE!</v>
      </c>
      <c r="HYQ6" s="68" t="e" cm="1" vm="1">
        <f t="array" ref="HYQ6">_xlfn._xlws.FILTER(TablaProductos[Nombre producto],TablaProductos[Agrupación]=ProductosPivot!HYQ5)</f>
        <v>#VALUE!</v>
      </c>
      <c r="HYR6" s="68" t="e" cm="1" vm="1">
        <f t="array" ref="HYR6">_xlfn._xlws.FILTER(TablaProductos[Nombre producto],TablaProductos[Agrupación]=ProductosPivot!HYR5)</f>
        <v>#VALUE!</v>
      </c>
      <c r="HYS6" s="68" t="e" cm="1" vm="1">
        <f t="array" ref="HYS6">_xlfn._xlws.FILTER(TablaProductos[Nombre producto],TablaProductos[Agrupación]=ProductosPivot!HYS5)</f>
        <v>#VALUE!</v>
      </c>
      <c r="HYT6" s="68" t="e" cm="1" vm="1">
        <f t="array" ref="HYT6">_xlfn._xlws.FILTER(TablaProductos[Nombre producto],TablaProductos[Agrupación]=ProductosPivot!HYT5)</f>
        <v>#VALUE!</v>
      </c>
      <c r="HYU6" s="68" t="e" cm="1" vm="1">
        <f t="array" ref="HYU6">_xlfn._xlws.FILTER(TablaProductos[Nombre producto],TablaProductos[Agrupación]=ProductosPivot!HYU5)</f>
        <v>#VALUE!</v>
      </c>
      <c r="HYV6" s="68" t="e" cm="1" vm="1">
        <f t="array" ref="HYV6">_xlfn._xlws.FILTER(TablaProductos[Nombre producto],TablaProductos[Agrupación]=ProductosPivot!HYV5)</f>
        <v>#VALUE!</v>
      </c>
      <c r="HYW6" s="68" t="e" cm="1" vm="1">
        <f t="array" ref="HYW6">_xlfn._xlws.FILTER(TablaProductos[Nombre producto],TablaProductos[Agrupación]=ProductosPivot!HYW5)</f>
        <v>#VALUE!</v>
      </c>
      <c r="HYX6" s="68" t="e" cm="1" vm="1">
        <f t="array" ref="HYX6">_xlfn._xlws.FILTER(TablaProductos[Nombre producto],TablaProductos[Agrupación]=ProductosPivot!HYX5)</f>
        <v>#VALUE!</v>
      </c>
      <c r="HYY6" s="68" t="e" cm="1" vm="1">
        <f t="array" ref="HYY6">_xlfn._xlws.FILTER(TablaProductos[Nombre producto],TablaProductos[Agrupación]=ProductosPivot!HYY5)</f>
        <v>#VALUE!</v>
      </c>
      <c r="HYZ6" s="68" t="e" cm="1" vm="1">
        <f t="array" ref="HYZ6">_xlfn._xlws.FILTER(TablaProductos[Nombre producto],TablaProductos[Agrupación]=ProductosPivot!HYZ5)</f>
        <v>#VALUE!</v>
      </c>
      <c r="HZA6" s="68" t="e" cm="1" vm="1">
        <f t="array" ref="HZA6">_xlfn._xlws.FILTER(TablaProductos[Nombre producto],TablaProductos[Agrupación]=ProductosPivot!HZA5)</f>
        <v>#VALUE!</v>
      </c>
      <c r="HZB6" s="68" t="e" cm="1" vm="1">
        <f t="array" ref="HZB6">_xlfn._xlws.FILTER(TablaProductos[Nombre producto],TablaProductos[Agrupación]=ProductosPivot!HZB5)</f>
        <v>#VALUE!</v>
      </c>
      <c r="HZC6" s="68" t="e" cm="1" vm="1">
        <f t="array" ref="HZC6">_xlfn._xlws.FILTER(TablaProductos[Nombre producto],TablaProductos[Agrupación]=ProductosPivot!HZC5)</f>
        <v>#VALUE!</v>
      </c>
      <c r="HZD6" s="68" t="e" cm="1" vm="1">
        <f t="array" ref="HZD6">_xlfn._xlws.FILTER(TablaProductos[Nombre producto],TablaProductos[Agrupación]=ProductosPivot!HZD5)</f>
        <v>#VALUE!</v>
      </c>
      <c r="HZE6" s="68" t="e" cm="1" vm="1">
        <f t="array" ref="HZE6">_xlfn._xlws.FILTER(TablaProductos[Nombre producto],TablaProductos[Agrupación]=ProductosPivot!HZE5)</f>
        <v>#VALUE!</v>
      </c>
      <c r="HZF6" s="68" t="e" cm="1" vm="1">
        <f t="array" ref="HZF6">_xlfn._xlws.FILTER(TablaProductos[Nombre producto],TablaProductos[Agrupación]=ProductosPivot!HZF5)</f>
        <v>#VALUE!</v>
      </c>
      <c r="HZG6" s="68" t="e" cm="1" vm="1">
        <f t="array" ref="HZG6">_xlfn._xlws.FILTER(TablaProductos[Nombre producto],TablaProductos[Agrupación]=ProductosPivot!HZG5)</f>
        <v>#VALUE!</v>
      </c>
      <c r="HZH6" s="68" t="e" cm="1" vm="1">
        <f t="array" ref="HZH6">_xlfn._xlws.FILTER(TablaProductos[Nombre producto],TablaProductos[Agrupación]=ProductosPivot!HZH5)</f>
        <v>#VALUE!</v>
      </c>
      <c r="HZI6" s="68" t="e" cm="1" vm="1">
        <f t="array" ref="HZI6">_xlfn._xlws.FILTER(TablaProductos[Nombre producto],TablaProductos[Agrupación]=ProductosPivot!HZI5)</f>
        <v>#VALUE!</v>
      </c>
      <c r="HZJ6" s="68" t="e" cm="1" vm="1">
        <f t="array" ref="HZJ6">_xlfn._xlws.FILTER(TablaProductos[Nombre producto],TablaProductos[Agrupación]=ProductosPivot!HZJ5)</f>
        <v>#VALUE!</v>
      </c>
      <c r="HZK6" s="68" t="e" cm="1" vm="1">
        <f t="array" ref="HZK6">_xlfn._xlws.FILTER(TablaProductos[Nombre producto],TablaProductos[Agrupación]=ProductosPivot!HZK5)</f>
        <v>#VALUE!</v>
      </c>
      <c r="HZL6" s="68" t="e" cm="1" vm="1">
        <f t="array" ref="HZL6">_xlfn._xlws.FILTER(TablaProductos[Nombre producto],TablaProductos[Agrupación]=ProductosPivot!HZL5)</f>
        <v>#VALUE!</v>
      </c>
      <c r="HZM6" s="68" t="e" cm="1" vm="1">
        <f t="array" ref="HZM6">_xlfn._xlws.FILTER(TablaProductos[Nombre producto],TablaProductos[Agrupación]=ProductosPivot!HZM5)</f>
        <v>#VALUE!</v>
      </c>
      <c r="HZN6" s="68" t="e" cm="1" vm="1">
        <f t="array" ref="HZN6">_xlfn._xlws.FILTER(TablaProductos[Nombre producto],TablaProductos[Agrupación]=ProductosPivot!HZN5)</f>
        <v>#VALUE!</v>
      </c>
      <c r="HZO6" s="68" t="e" cm="1" vm="1">
        <f t="array" ref="HZO6">_xlfn._xlws.FILTER(TablaProductos[Nombre producto],TablaProductos[Agrupación]=ProductosPivot!HZO5)</f>
        <v>#VALUE!</v>
      </c>
      <c r="HZP6" s="68" t="e" cm="1" vm="1">
        <f t="array" ref="HZP6">_xlfn._xlws.FILTER(TablaProductos[Nombre producto],TablaProductos[Agrupación]=ProductosPivot!HZP5)</f>
        <v>#VALUE!</v>
      </c>
      <c r="HZQ6" s="68" t="e" cm="1" vm="1">
        <f t="array" ref="HZQ6">_xlfn._xlws.FILTER(TablaProductos[Nombre producto],TablaProductos[Agrupación]=ProductosPivot!HZQ5)</f>
        <v>#VALUE!</v>
      </c>
      <c r="HZR6" s="68" t="e" cm="1" vm="1">
        <f t="array" ref="HZR6">_xlfn._xlws.FILTER(TablaProductos[Nombre producto],TablaProductos[Agrupación]=ProductosPivot!HZR5)</f>
        <v>#VALUE!</v>
      </c>
      <c r="HZS6" s="68" t="e" cm="1" vm="1">
        <f t="array" ref="HZS6">_xlfn._xlws.FILTER(TablaProductos[Nombre producto],TablaProductos[Agrupación]=ProductosPivot!HZS5)</f>
        <v>#VALUE!</v>
      </c>
      <c r="HZT6" s="68" t="e" cm="1" vm="1">
        <f t="array" ref="HZT6">_xlfn._xlws.FILTER(TablaProductos[Nombre producto],TablaProductos[Agrupación]=ProductosPivot!HZT5)</f>
        <v>#VALUE!</v>
      </c>
      <c r="HZU6" s="68" t="e" cm="1" vm="1">
        <f t="array" ref="HZU6">_xlfn._xlws.FILTER(TablaProductos[Nombre producto],TablaProductos[Agrupación]=ProductosPivot!HZU5)</f>
        <v>#VALUE!</v>
      </c>
      <c r="HZV6" s="68" t="e" cm="1" vm="1">
        <f t="array" ref="HZV6">_xlfn._xlws.FILTER(TablaProductos[Nombre producto],TablaProductos[Agrupación]=ProductosPivot!HZV5)</f>
        <v>#VALUE!</v>
      </c>
      <c r="HZW6" s="68" t="e" cm="1" vm="1">
        <f t="array" ref="HZW6">_xlfn._xlws.FILTER(TablaProductos[Nombre producto],TablaProductos[Agrupación]=ProductosPivot!HZW5)</f>
        <v>#VALUE!</v>
      </c>
      <c r="HZX6" s="68" t="e" cm="1" vm="1">
        <f t="array" ref="HZX6">_xlfn._xlws.FILTER(TablaProductos[Nombre producto],TablaProductos[Agrupación]=ProductosPivot!HZX5)</f>
        <v>#VALUE!</v>
      </c>
      <c r="HZY6" s="68" t="e" cm="1" vm="1">
        <f t="array" ref="HZY6">_xlfn._xlws.FILTER(TablaProductos[Nombre producto],TablaProductos[Agrupación]=ProductosPivot!HZY5)</f>
        <v>#VALUE!</v>
      </c>
      <c r="HZZ6" s="68" t="e" cm="1" vm="1">
        <f t="array" ref="HZZ6">_xlfn._xlws.FILTER(TablaProductos[Nombre producto],TablaProductos[Agrupación]=ProductosPivot!HZZ5)</f>
        <v>#VALUE!</v>
      </c>
      <c r="IAA6" s="68" t="e" cm="1" vm="1">
        <f t="array" ref="IAA6">_xlfn._xlws.FILTER(TablaProductos[Nombre producto],TablaProductos[Agrupación]=ProductosPivot!IAA5)</f>
        <v>#VALUE!</v>
      </c>
      <c r="IAB6" s="68" t="e" cm="1" vm="1">
        <f t="array" ref="IAB6">_xlfn._xlws.FILTER(TablaProductos[Nombre producto],TablaProductos[Agrupación]=ProductosPivot!IAB5)</f>
        <v>#VALUE!</v>
      </c>
      <c r="IAC6" s="68" t="e" cm="1" vm="1">
        <f t="array" ref="IAC6">_xlfn._xlws.FILTER(TablaProductos[Nombre producto],TablaProductos[Agrupación]=ProductosPivot!IAC5)</f>
        <v>#VALUE!</v>
      </c>
      <c r="IAD6" s="68" t="e" cm="1" vm="1">
        <f t="array" ref="IAD6">_xlfn._xlws.FILTER(TablaProductos[Nombre producto],TablaProductos[Agrupación]=ProductosPivot!IAD5)</f>
        <v>#VALUE!</v>
      </c>
      <c r="IAE6" s="68" t="e" cm="1" vm="1">
        <f t="array" ref="IAE6">_xlfn._xlws.FILTER(TablaProductos[Nombre producto],TablaProductos[Agrupación]=ProductosPivot!IAE5)</f>
        <v>#VALUE!</v>
      </c>
      <c r="IAF6" s="68" t="e" cm="1" vm="1">
        <f t="array" ref="IAF6">_xlfn._xlws.FILTER(TablaProductos[Nombre producto],TablaProductos[Agrupación]=ProductosPivot!IAF5)</f>
        <v>#VALUE!</v>
      </c>
      <c r="IAG6" s="68" t="e" cm="1" vm="1">
        <f t="array" ref="IAG6">_xlfn._xlws.FILTER(TablaProductos[Nombre producto],TablaProductos[Agrupación]=ProductosPivot!IAG5)</f>
        <v>#VALUE!</v>
      </c>
      <c r="IAH6" s="68" t="e" cm="1" vm="1">
        <f t="array" ref="IAH6">_xlfn._xlws.FILTER(TablaProductos[Nombre producto],TablaProductos[Agrupación]=ProductosPivot!IAH5)</f>
        <v>#VALUE!</v>
      </c>
      <c r="IAI6" s="68" t="e" cm="1" vm="1">
        <f t="array" ref="IAI6">_xlfn._xlws.FILTER(TablaProductos[Nombre producto],TablaProductos[Agrupación]=ProductosPivot!IAI5)</f>
        <v>#VALUE!</v>
      </c>
      <c r="IAJ6" s="68" t="e" cm="1" vm="1">
        <f t="array" ref="IAJ6">_xlfn._xlws.FILTER(TablaProductos[Nombre producto],TablaProductos[Agrupación]=ProductosPivot!IAJ5)</f>
        <v>#VALUE!</v>
      </c>
      <c r="IAK6" s="68" t="e" cm="1" vm="1">
        <f t="array" ref="IAK6">_xlfn._xlws.FILTER(TablaProductos[Nombre producto],TablaProductos[Agrupación]=ProductosPivot!IAK5)</f>
        <v>#VALUE!</v>
      </c>
      <c r="IAL6" s="68" t="e" cm="1" vm="1">
        <f t="array" ref="IAL6">_xlfn._xlws.FILTER(TablaProductos[Nombre producto],TablaProductos[Agrupación]=ProductosPivot!IAL5)</f>
        <v>#VALUE!</v>
      </c>
      <c r="IAM6" s="68" t="e" cm="1" vm="1">
        <f t="array" ref="IAM6">_xlfn._xlws.FILTER(TablaProductos[Nombre producto],TablaProductos[Agrupación]=ProductosPivot!IAM5)</f>
        <v>#VALUE!</v>
      </c>
      <c r="IAN6" s="68" t="e" cm="1" vm="1">
        <f t="array" ref="IAN6">_xlfn._xlws.FILTER(TablaProductos[Nombre producto],TablaProductos[Agrupación]=ProductosPivot!IAN5)</f>
        <v>#VALUE!</v>
      </c>
      <c r="IAO6" s="68" t="e" cm="1" vm="1">
        <f t="array" ref="IAO6">_xlfn._xlws.FILTER(TablaProductos[Nombre producto],TablaProductos[Agrupación]=ProductosPivot!IAO5)</f>
        <v>#VALUE!</v>
      </c>
      <c r="IAP6" s="68" t="e" cm="1" vm="1">
        <f t="array" ref="IAP6">_xlfn._xlws.FILTER(TablaProductos[Nombre producto],TablaProductos[Agrupación]=ProductosPivot!IAP5)</f>
        <v>#VALUE!</v>
      </c>
      <c r="IAQ6" s="68" t="e" cm="1" vm="1">
        <f t="array" ref="IAQ6">_xlfn._xlws.FILTER(TablaProductos[Nombre producto],TablaProductos[Agrupación]=ProductosPivot!IAQ5)</f>
        <v>#VALUE!</v>
      </c>
      <c r="IAR6" s="68" t="e" cm="1" vm="1">
        <f t="array" ref="IAR6">_xlfn._xlws.FILTER(TablaProductos[Nombre producto],TablaProductos[Agrupación]=ProductosPivot!IAR5)</f>
        <v>#VALUE!</v>
      </c>
      <c r="IAS6" s="68" t="e" cm="1" vm="1">
        <f t="array" ref="IAS6">_xlfn._xlws.FILTER(TablaProductos[Nombre producto],TablaProductos[Agrupación]=ProductosPivot!IAS5)</f>
        <v>#VALUE!</v>
      </c>
      <c r="IAT6" s="68" t="e" cm="1" vm="1">
        <f t="array" ref="IAT6">_xlfn._xlws.FILTER(TablaProductos[Nombre producto],TablaProductos[Agrupación]=ProductosPivot!IAT5)</f>
        <v>#VALUE!</v>
      </c>
      <c r="IAU6" s="68" t="e" cm="1" vm="1">
        <f t="array" ref="IAU6">_xlfn._xlws.FILTER(TablaProductos[Nombre producto],TablaProductos[Agrupación]=ProductosPivot!IAU5)</f>
        <v>#VALUE!</v>
      </c>
      <c r="IAV6" s="68" t="e" cm="1" vm="1">
        <f t="array" ref="IAV6">_xlfn._xlws.FILTER(TablaProductos[Nombre producto],TablaProductos[Agrupación]=ProductosPivot!IAV5)</f>
        <v>#VALUE!</v>
      </c>
      <c r="IAW6" s="68" t="e" cm="1" vm="1">
        <f t="array" ref="IAW6">_xlfn._xlws.FILTER(TablaProductos[Nombre producto],TablaProductos[Agrupación]=ProductosPivot!IAW5)</f>
        <v>#VALUE!</v>
      </c>
      <c r="IAX6" s="68" t="e" cm="1" vm="1">
        <f t="array" ref="IAX6">_xlfn._xlws.FILTER(TablaProductos[Nombre producto],TablaProductos[Agrupación]=ProductosPivot!IAX5)</f>
        <v>#VALUE!</v>
      </c>
      <c r="IAY6" s="68" t="e" cm="1" vm="1">
        <f t="array" ref="IAY6">_xlfn._xlws.FILTER(TablaProductos[Nombre producto],TablaProductos[Agrupación]=ProductosPivot!IAY5)</f>
        <v>#VALUE!</v>
      </c>
      <c r="IAZ6" s="68" t="e" cm="1" vm="1">
        <f t="array" ref="IAZ6">_xlfn._xlws.FILTER(TablaProductos[Nombre producto],TablaProductos[Agrupación]=ProductosPivot!IAZ5)</f>
        <v>#VALUE!</v>
      </c>
      <c r="IBA6" s="68" t="e" cm="1" vm="1">
        <f t="array" ref="IBA6">_xlfn._xlws.FILTER(TablaProductos[Nombre producto],TablaProductos[Agrupación]=ProductosPivot!IBA5)</f>
        <v>#VALUE!</v>
      </c>
      <c r="IBB6" s="68" t="e" cm="1" vm="1">
        <f t="array" ref="IBB6">_xlfn._xlws.FILTER(TablaProductos[Nombre producto],TablaProductos[Agrupación]=ProductosPivot!IBB5)</f>
        <v>#VALUE!</v>
      </c>
      <c r="IBC6" s="68" t="e" cm="1" vm="1">
        <f t="array" ref="IBC6">_xlfn._xlws.FILTER(TablaProductos[Nombre producto],TablaProductos[Agrupación]=ProductosPivot!IBC5)</f>
        <v>#VALUE!</v>
      </c>
      <c r="IBD6" s="68" t="e" cm="1" vm="1">
        <f t="array" ref="IBD6">_xlfn._xlws.FILTER(TablaProductos[Nombre producto],TablaProductos[Agrupación]=ProductosPivot!IBD5)</f>
        <v>#VALUE!</v>
      </c>
      <c r="IBE6" s="68" t="e" cm="1" vm="1">
        <f t="array" ref="IBE6">_xlfn._xlws.FILTER(TablaProductos[Nombre producto],TablaProductos[Agrupación]=ProductosPivot!IBE5)</f>
        <v>#VALUE!</v>
      </c>
      <c r="IBF6" s="68" t="e" cm="1" vm="1">
        <f t="array" ref="IBF6">_xlfn._xlws.FILTER(TablaProductos[Nombre producto],TablaProductos[Agrupación]=ProductosPivot!IBF5)</f>
        <v>#VALUE!</v>
      </c>
      <c r="IBG6" s="68" t="e" cm="1" vm="1">
        <f t="array" ref="IBG6">_xlfn._xlws.FILTER(TablaProductos[Nombre producto],TablaProductos[Agrupación]=ProductosPivot!IBG5)</f>
        <v>#VALUE!</v>
      </c>
      <c r="IBH6" s="68" t="e" cm="1" vm="1">
        <f t="array" ref="IBH6">_xlfn._xlws.FILTER(TablaProductos[Nombre producto],TablaProductos[Agrupación]=ProductosPivot!IBH5)</f>
        <v>#VALUE!</v>
      </c>
      <c r="IBI6" s="68" t="e" cm="1" vm="1">
        <f t="array" ref="IBI6">_xlfn._xlws.FILTER(TablaProductos[Nombre producto],TablaProductos[Agrupación]=ProductosPivot!IBI5)</f>
        <v>#VALUE!</v>
      </c>
      <c r="IBJ6" s="68" t="e" cm="1" vm="1">
        <f t="array" ref="IBJ6">_xlfn._xlws.FILTER(TablaProductos[Nombre producto],TablaProductos[Agrupación]=ProductosPivot!IBJ5)</f>
        <v>#VALUE!</v>
      </c>
      <c r="IBK6" s="68" t="e" cm="1" vm="1">
        <f t="array" ref="IBK6">_xlfn._xlws.FILTER(TablaProductos[Nombre producto],TablaProductos[Agrupación]=ProductosPivot!IBK5)</f>
        <v>#VALUE!</v>
      </c>
      <c r="IBL6" s="68" t="e" cm="1" vm="1">
        <f t="array" ref="IBL6">_xlfn._xlws.FILTER(TablaProductos[Nombre producto],TablaProductos[Agrupación]=ProductosPivot!IBL5)</f>
        <v>#VALUE!</v>
      </c>
      <c r="IBM6" s="68" t="e" cm="1" vm="1">
        <f t="array" ref="IBM6">_xlfn._xlws.FILTER(TablaProductos[Nombre producto],TablaProductos[Agrupación]=ProductosPivot!IBM5)</f>
        <v>#VALUE!</v>
      </c>
      <c r="IBN6" s="68" t="e" cm="1" vm="1">
        <f t="array" ref="IBN6">_xlfn._xlws.FILTER(TablaProductos[Nombre producto],TablaProductos[Agrupación]=ProductosPivot!IBN5)</f>
        <v>#VALUE!</v>
      </c>
      <c r="IBO6" s="68" t="e" cm="1" vm="1">
        <f t="array" ref="IBO6">_xlfn._xlws.FILTER(TablaProductos[Nombre producto],TablaProductos[Agrupación]=ProductosPivot!IBO5)</f>
        <v>#VALUE!</v>
      </c>
      <c r="IBP6" s="68" t="e" cm="1" vm="1">
        <f t="array" ref="IBP6">_xlfn._xlws.FILTER(TablaProductos[Nombre producto],TablaProductos[Agrupación]=ProductosPivot!IBP5)</f>
        <v>#VALUE!</v>
      </c>
      <c r="IBQ6" s="68" t="e" cm="1" vm="1">
        <f t="array" ref="IBQ6">_xlfn._xlws.FILTER(TablaProductos[Nombre producto],TablaProductos[Agrupación]=ProductosPivot!IBQ5)</f>
        <v>#VALUE!</v>
      </c>
      <c r="IBR6" s="68" t="e" cm="1" vm="1">
        <f t="array" ref="IBR6">_xlfn._xlws.FILTER(TablaProductos[Nombre producto],TablaProductos[Agrupación]=ProductosPivot!IBR5)</f>
        <v>#VALUE!</v>
      </c>
      <c r="IBS6" s="68" t="e" cm="1" vm="1">
        <f t="array" ref="IBS6">_xlfn._xlws.FILTER(TablaProductos[Nombre producto],TablaProductos[Agrupación]=ProductosPivot!IBS5)</f>
        <v>#VALUE!</v>
      </c>
      <c r="IBT6" s="68" t="e" cm="1" vm="1">
        <f t="array" ref="IBT6">_xlfn._xlws.FILTER(TablaProductos[Nombre producto],TablaProductos[Agrupación]=ProductosPivot!IBT5)</f>
        <v>#VALUE!</v>
      </c>
      <c r="IBU6" s="68" t="e" cm="1" vm="1">
        <f t="array" ref="IBU6">_xlfn._xlws.FILTER(TablaProductos[Nombre producto],TablaProductos[Agrupación]=ProductosPivot!IBU5)</f>
        <v>#VALUE!</v>
      </c>
      <c r="IBV6" s="68" t="e" cm="1" vm="1">
        <f t="array" ref="IBV6">_xlfn._xlws.FILTER(TablaProductos[Nombre producto],TablaProductos[Agrupación]=ProductosPivot!IBV5)</f>
        <v>#VALUE!</v>
      </c>
      <c r="IBW6" s="68" t="e" cm="1" vm="1">
        <f t="array" ref="IBW6">_xlfn._xlws.FILTER(TablaProductos[Nombre producto],TablaProductos[Agrupación]=ProductosPivot!IBW5)</f>
        <v>#VALUE!</v>
      </c>
      <c r="IBX6" s="68" t="e" cm="1" vm="1">
        <f t="array" ref="IBX6">_xlfn._xlws.FILTER(TablaProductos[Nombre producto],TablaProductos[Agrupación]=ProductosPivot!IBX5)</f>
        <v>#VALUE!</v>
      </c>
      <c r="IBY6" s="68" t="e" cm="1" vm="1">
        <f t="array" ref="IBY6">_xlfn._xlws.FILTER(TablaProductos[Nombre producto],TablaProductos[Agrupación]=ProductosPivot!IBY5)</f>
        <v>#VALUE!</v>
      </c>
      <c r="IBZ6" s="68" t="e" cm="1" vm="1">
        <f t="array" ref="IBZ6">_xlfn._xlws.FILTER(TablaProductos[Nombre producto],TablaProductos[Agrupación]=ProductosPivot!IBZ5)</f>
        <v>#VALUE!</v>
      </c>
      <c r="ICA6" s="68" t="e" cm="1" vm="1">
        <f t="array" ref="ICA6">_xlfn._xlws.FILTER(TablaProductos[Nombre producto],TablaProductos[Agrupación]=ProductosPivot!ICA5)</f>
        <v>#VALUE!</v>
      </c>
      <c r="ICB6" s="68" t="e" cm="1" vm="1">
        <f t="array" ref="ICB6">_xlfn._xlws.FILTER(TablaProductos[Nombre producto],TablaProductos[Agrupación]=ProductosPivot!ICB5)</f>
        <v>#VALUE!</v>
      </c>
      <c r="ICC6" s="68" t="e" cm="1" vm="1">
        <f t="array" ref="ICC6">_xlfn._xlws.FILTER(TablaProductos[Nombre producto],TablaProductos[Agrupación]=ProductosPivot!ICC5)</f>
        <v>#VALUE!</v>
      </c>
      <c r="ICD6" s="68" t="e" cm="1" vm="1">
        <f t="array" ref="ICD6">_xlfn._xlws.FILTER(TablaProductos[Nombre producto],TablaProductos[Agrupación]=ProductosPivot!ICD5)</f>
        <v>#VALUE!</v>
      </c>
      <c r="ICE6" s="68" t="e" cm="1" vm="1">
        <f t="array" ref="ICE6">_xlfn._xlws.FILTER(TablaProductos[Nombre producto],TablaProductos[Agrupación]=ProductosPivot!ICE5)</f>
        <v>#VALUE!</v>
      </c>
      <c r="ICF6" s="68" t="e" cm="1" vm="1">
        <f t="array" ref="ICF6">_xlfn._xlws.FILTER(TablaProductos[Nombre producto],TablaProductos[Agrupación]=ProductosPivot!ICF5)</f>
        <v>#VALUE!</v>
      </c>
      <c r="ICG6" s="68" t="e" cm="1" vm="1">
        <f t="array" ref="ICG6">_xlfn._xlws.FILTER(TablaProductos[Nombre producto],TablaProductos[Agrupación]=ProductosPivot!ICG5)</f>
        <v>#VALUE!</v>
      </c>
      <c r="ICH6" s="68" t="e" cm="1" vm="1">
        <f t="array" ref="ICH6">_xlfn._xlws.FILTER(TablaProductos[Nombre producto],TablaProductos[Agrupación]=ProductosPivot!ICH5)</f>
        <v>#VALUE!</v>
      </c>
      <c r="ICI6" s="68" t="e" cm="1" vm="1">
        <f t="array" ref="ICI6">_xlfn._xlws.FILTER(TablaProductos[Nombre producto],TablaProductos[Agrupación]=ProductosPivot!ICI5)</f>
        <v>#VALUE!</v>
      </c>
      <c r="ICJ6" s="68" t="e" cm="1" vm="1">
        <f t="array" ref="ICJ6">_xlfn._xlws.FILTER(TablaProductos[Nombre producto],TablaProductos[Agrupación]=ProductosPivot!ICJ5)</f>
        <v>#VALUE!</v>
      </c>
      <c r="ICK6" s="68" t="e" cm="1" vm="1">
        <f t="array" ref="ICK6">_xlfn._xlws.FILTER(TablaProductos[Nombre producto],TablaProductos[Agrupación]=ProductosPivot!ICK5)</f>
        <v>#VALUE!</v>
      </c>
      <c r="ICL6" s="68" t="e" cm="1" vm="1">
        <f t="array" ref="ICL6">_xlfn._xlws.FILTER(TablaProductos[Nombre producto],TablaProductos[Agrupación]=ProductosPivot!ICL5)</f>
        <v>#VALUE!</v>
      </c>
      <c r="ICM6" s="68" t="e" cm="1" vm="1">
        <f t="array" ref="ICM6">_xlfn._xlws.FILTER(TablaProductos[Nombre producto],TablaProductos[Agrupación]=ProductosPivot!ICM5)</f>
        <v>#VALUE!</v>
      </c>
      <c r="ICN6" s="68" t="e" cm="1" vm="1">
        <f t="array" ref="ICN6">_xlfn._xlws.FILTER(TablaProductos[Nombre producto],TablaProductos[Agrupación]=ProductosPivot!ICN5)</f>
        <v>#VALUE!</v>
      </c>
      <c r="ICO6" s="68" t="e" cm="1" vm="1">
        <f t="array" ref="ICO6">_xlfn._xlws.FILTER(TablaProductos[Nombre producto],TablaProductos[Agrupación]=ProductosPivot!ICO5)</f>
        <v>#VALUE!</v>
      </c>
      <c r="ICP6" s="68" t="e" cm="1" vm="1">
        <f t="array" ref="ICP6">_xlfn._xlws.FILTER(TablaProductos[Nombre producto],TablaProductos[Agrupación]=ProductosPivot!ICP5)</f>
        <v>#VALUE!</v>
      </c>
      <c r="ICQ6" s="68" t="e" cm="1" vm="1">
        <f t="array" ref="ICQ6">_xlfn._xlws.FILTER(TablaProductos[Nombre producto],TablaProductos[Agrupación]=ProductosPivot!ICQ5)</f>
        <v>#VALUE!</v>
      </c>
      <c r="ICR6" s="68" t="e" cm="1" vm="1">
        <f t="array" ref="ICR6">_xlfn._xlws.FILTER(TablaProductos[Nombre producto],TablaProductos[Agrupación]=ProductosPivot!ICR5)</f>
        <v>#VALUE!</v>
      </c>
      <c r="ICS6" s="68" t="e" cm="1" vm="1">
        <f t="array" ref="ICS6">_xlfn._xlws.FILTER(TablaProductos[Nombre producto],TablaProductos[Agrupación]=ProductosPivot!ICS5)</f>
        <v>#VALUE!</v>
      </c>
      <c r="ICT6" s="68" t="e" cm="1" vm="1">
        <f t="array" ref="ICT6">_xlfn._xlws.FILTER(TablaProductos[Nombre producto],TablaProductos[Agrupación]=ProductosPivot!ICT5)</f>
        <v>#VALUE!</v>
      </c>
      <c r="ICU6" s="68" t="e" cm="1" vm="1">
        <f t="array" ref="ICU6">_xlfn._xlws.FILTER(TablaProductos[Nombre producto],TablaProductos[Agrupación]=ProductosPivot!ICU5)</f>
        <v>#VALUE!</v>
      </c>
      <c r="ICV6" s="68" t="e" cm="1" vm="1">
        <f t="array" ref="ICV6">_xlfn._xlws.FILTER(TablaProductos[Nombre producto],TablaProductos[Agrupación]=ProductosPivot!ICV5)</f>
        <v>#VALUE!</v>
      </c>
      <c r="ICW6" s="68" t="e" cm="1" vm="1">
        <f t="array" ref="ICW6">_xlfn._xlws.FILTER(TablaProductos[Nombre producto],TablaProductos[Agrupación]=ProductosPivot!ICW5)</f>
        <v>#VALUE!</v>
      </c>
      <c r="ICX6" s="68" t="e" cm="1" vm="1">
        <f t="array" ref="ICX6">_xlfn._xlws.FILTER(TablaProductos[Nombre producto],TablaProductos[Agrupación]=ProductosPivot!ICX5)</f>
        <v>#VALUE!</v>
      </c>
      <c r="ICY6" s="68" t="e" cm="1" vm="1">
        <f t="array" ref="ICY6">_xlfn._xlws.FILTER(TablaProductos[Nombre producto],TablaProductos[Agrupación]=ProductosPivot!ICY5)</f>
        <v>#VALUE!</v>
      </c>
      <c r="ICZ6" s="68" t="e" cm="1" vm="1">
        <f t="array" ref="ICZ6">_xlfn._xlws.FILTER(TablaProductos[Nombre producto],TablaProductos[Agrupación]=ProductosPivot!ICZ5)</f>
        <v>#VALUE!</v>
      </c>
      <c r="IDA6" s="68" t="e" cm="1" vm="1">
        <f t="array" ref="IDA6">_xlfn._xlws.FILTER(TablaProductos[Nombre producto],TablaProductos[Agrupación]=ProductosPivot!IDA5)</f>
        <v>#VALUE!</v>
      </c>
      <c r="IDB6" s="68" t="e" cm="1" vm="1">
        <f t="array" ref="IDB6">_xlfn._xlws.FILTER(TablaProductos[Nombre producto],TablaProductos[Agrupación]=ProductosPivot!IDB5)</f>
        <v>#VALUE!</v>
      </c>
      <c r="IDC6" s="68" t="e" cm="1" vm="1">
        <f t="array" ref="IDC6">_xlfn._xlws.FILTER(TablaProductos[Nombre producto],TablaProductos[Agrupación]=ProductosPivot!IDC5)</f>
        <v>#VALUE!</v>
      </c>
      <c r="IDD6" s="68" t="e" cm="1" vm="1">
        <f t="array" ref="IDD6">_xlfn._xlws.FILTER(TablaProductos[Nombre producto],TablaProductos[Agrupación]=ProductosPivot!IDD5)</f>
        <v>#VALUE!</v>
      </c>
      <c r="IDE6" s="68" t="e" cm="1" vm="1">
        <f t="array" ref="IDE6">_xlfn._xlws.FILTER(TablaProductos[Nombre producto],TablaProductos[Agrupación]=ProductosPivot!IDE5)</f>
        <v>#VALUE!</v>
      </c>
      <c r="IDF6" s="68" t="e" cm="1" vm="1">
        <f t="array" ref="IDF6">_xlfn._xlws.FILTER(TablaProductos[Nombre producto],TablaProductos[Agrupación]=ProductosPivot!IDF5)</f>
        <v>#VALUE!</v>
      </c>
      <c r="IDG6" s="68" t="e" cm="1" vm="1">
        <f t="array" ref="IDG6">_xlfn._xlws.FILTER(TablaProductos[Nombre producto],TablaProductos[Agrupación]=ProductosPivot!IDG5)</f>
        <v>#VALUE!</v>
      </c>
      <c r="IDH6" s="68" t="e" cm="1" vm="1">
        <f t="array" ref="IDH6">_xlfn._xlws.FILTER(TablaProductos[Nombre producto],TablaProductos[Agrupación]=ProductosPivot!IDH5)</f>
        <v>#VALUE!</v>
      </c>
      <c r="IDI6" s="68" t="e" cm="1" vm="1">
        <f t="array" ref="IDI6">_xlfn._xlws.FILTER(TablaProductos[Nombre producto],TablaProductos[Agrupación]=ProductosPivot!IDI5)</f>
        <v>#VALUE!</v>
      </c>
      <c r="IDJ6" s="68" t="e" cm="1" vm="1">
        <f t="array" ref="IDJ6">_xlfn._xlws.FILTER(TablaProductos[Nombre producto],TablaProductos[Agrupación]=ProductosPivot!IDJ5)</f>
        <v>#VALUE!</v>
      </c>
      <c r="IDK6" s="68" t="e" cm="1" vm="1">
        <f t="array" ref="IDK6">_xlfn._xlws.FILTER(TablaProductos[Nombre producto],TablaProductos[Agrupación]=ProductosPivot!IDK5)</f>
        <v>#VALUE!</v>
      </c>
      <c r="IDL6" s="68" t="e" cm="1" vm="1">
        <f t="array" ref="IDL6">_xlfn._xlws.FILTER(TablaProductos[Nombre producto],TablaProductos[Agrupación]=ProductosPivot!IDL5)</f>
        <v>#VALUE!</v>
      </c>
      <c r="IDM6" s="68" t="e" cm="1" vm="1">
        <f t="array" ref="IDM6">_xlfn._xlws.FILTER(TablaProductos[Nombre producto],TablaProductos[Agrupación]=ProductosPivot!IDM5)</f>
        <v>#VALUE!</v>
      </c>
      <c r="IDN6" s="68" t="e" cm="1" vm="1">
        <f t="array" ref="IDN6">_xlfn._xlws.FILTER(TablaProductos[Nombre producto],TablaProductos[Agrupación]=ProductosPivot!IDN5)</f>
        <v>#VALUE!</v>
      </c>
      <c r="IDO6" s="68" t="e" cm="1" vm="1">
        <f t="array" ref="IDO6">_xlfn._xlws.FILTER(TablaProductos[Nombre producto],TablaProductos[Agrupación]=ProductosPivot!IDO5)</f>
        <v>#VALUE!</v>
      </c>
      <c r="IDP6" s="68" t="e" cm="1" vm="1">
        <f t="array" ref="IDP6">_xlfn._xlws.FILTER(TablaProductos[Nombre producto],TablaProductos[Agrupación]=ProductosPivot!IDP5)</f>
        <v>#VALUE!</v>
      </c>
      <c r="IDQ6" s="68" t="e" cm="1" vm="1">
        <f t="array" ref="IDQ6">_xlfn._xlws.FILTER(TablaProductos[Nombre producto],TablaProductos[Agrupación]=ProductosPivot!IDQ5)</f>
        <v>#VALUE!</v>
      </c>
      <c r="IDR6" s="68" t="e" cm="1" vm="1">
        <f t="array" ref="IDR6">_xlfn._xlws.FILTER(TablaProductos[Nombre producto],TablaProductos[Agrupación]=ProductosPivot!IDR5)</f>
        <v>#VALUE!</v>
      </c>
      <c r="IDS6" s="68" t="e" cm="1" vm="1">
        <f t="array" ref="IDS6">_xlfn._xlws.FILTER(TablaProductos[Nombre producto],TablaProductos[Agrupación]=ProductosPivot!IDS5)</f>
        <v>#VALUE!</v>
      </c>
      <c r="IDT6" s="68" t="e" cm="1" vm="1">
        <f t="array" ref="IDT6">_xlfn._xlws.FILTER(TablaProductos[Nombre producto],TablaProductos[Agrupación]=ProductosPivot!IDT5)</f>
        <v>#VALUE!</v>
      </c>
      <c r="IDU6" s="68" t="e" cm="1" vm="1">
        <f t="array" ref="IDU6">_xlfn._xlws.FILTER(TablaProductos[Nombre producto],TablaProductos[Agrupación]=ProductosPivot!IDU5)</f>
        <v>#VALUE!</v>
      </c>
      <c r="IDV6" s="68" t="e" cm="1" vm="1">
        <f t="array" ref="IDV6">_xlfn._xlws.FILTER(TablaProductos[Nombre producto],TablaProductos[Agrupación]=ProductosPivot!IDV5)</f>
        <v>#VALUE!</v>
      </c>
      <c r="IDW6" s="68" t="e" cm="1" vm="1">
        <f t="array" ref="IDW6">_xlfn._xlws.FILTER(TablaProductos[Nombre producto],TablaProductos[Agrupación]=ProductosPivot!IDW5)</f>
        <v>#VALUE!</v>
      </c>
      <c r="IDX6" s="68" t="e" cm="1" vm="1">
        <f t="array" ref="IDX6">_xlfn._xlws.FILTER(TablaProductos[Nombre producto],TablaProductos[Agrupación]=ProductosPivot!IDX5)</f>
        <v>#VALUE!</v>
      </c>
      <c r="IDY6" s="68" t="e" cm="1" vm="1">
        <f t="array" ref="IDY6">_xlfn._xlws.FILTER(TablaProductos[Nombre producto],TablaProductos[Agrupación]=ProductosPivot!IDY5)</f>
        <v>#VALUE!</v>
      </c>
      <c r="IDZ6" s="68" t="e" cm="1" vm="1">
        <f t="array" ref="IDZ6">_xlfn._xlws.FILTER(TablaProductos[Nombre producto],TablaProductos[Agrupación]=ProductosPivot!IDZ5)</f>
        <v>#VALUE!</v>
      </c>
      <c r="IEA6" s="68" t="e" cm="1" vm="1">
        <f t="array" ref="IEA6">_xlfn._xlws.FILTER(TablaProductos[Nombre producto],TablaProductos[Agrupación]=ProductosPivot!IEA5)</f>
        <v>#VALUE!</v>
      </c>
      <c r="IEB6" s="68" t="e" cm="1" vm="1">
        <f t="array" ref="IEB6">_xlfn._xlws.FILTER(TablaProductos[Nombre producto],TablaProductos[Agrupación]=ProductosPivot!IEB5)</f>
        <v>#VALUE!</v>
      </c>
      <c r="IEC6" s="68" t="e" cm="1" vm="1">
        <f t="array" ref="IEC6">_xlfn._xlws.FILTER(TablaProductos[Nombre producto],TablaProductos[Agrupación]=ProductosPivot!IEC5)</f>
        <v>#VALUE!</v>
      </c>
      <c r="IED6" s="68" t="e" cm="1" vm="1">
        <f t="array" ref="IED6">_xlfn._xlws.FILTER(TablaProductos[Nombre producto],TablaProductos[Agrupación]=ProductosPivot!IED5)</f>
        <v>#VALUE!</v>
      </c>
      <c r="IEE6" s="68" t="e" cm="1" vm="1">
        <f t="array" ref="IEE6">_xlfn._xlws.FILTER(TablaProductos[Nombre producto],TablaProductos[Agrupación]=ProductosPivot!IEE5)</f>
        <v>#VALUE!</v>
      </c>
      <c r="IEF6" s="68" t="e" cm="1" vm="1">
        <f t="array" ref="IEF6">_xlfn._xlws.FILTER(TablaProductos[Nombre producto],TablaProductos[Agrupación]=ProductosPivot!IEF5)</f>
        <v>#VALUE!</v>
      </c>
      <c r="IEG6" s="68" t="e" cm="1" vm="1">
        <f t="array" ref="IEG6">_xlfn._xlws.FILTER(TablaProductos[Nombre producto],TablaProductos[Agrupación]=ProductosPivot!IEG5)</f>
        <v>#VALUE!</v>
      </c>
      <c r="IEH6" s="68" t="e" cm="1" vm="1">
        <f t="array" ref="IEH6">_xlfn._xlws.FILTER(TablaProductos[Nombre producto],TablaProductos[Agrupación]=ProductosPivot!IEH5)</f>
        <v>#VALUE!</v>
      </c>
      <c r="IEI6" s="68" t="e" cm="1" vm="1">
        <f t="array" ref="IEI6">_xlfn._xlws.FILTER(TablaProductos[Nombre producto],TablaProductos[Agrupación]=ProductosPivot!IEI5)</f>
        <v>#VALUE!</v>
      </c>
      <c r="IEJ6" s="68" t="e" cm="1" vm="1">
        <f t="array" ref="IEJ6">_xlfn._xlws.FILTER(TablaProductos[Nombre producto],TablaProductos[Agrupación]=ProductosPivot!IEJ5)</f>
        <v>#VALUE!</v>
      </c>
      <c r="IEK6" s="68" t="e" cm="1" vm="1">
        <f t="array" ref="IEK6">_xlfn._xlws.FILTER(TablaProductos[Nombre producto],TablaProductos[Agrupación]=ProductosPivot!IEK5)</f>
        <v>#VALUE!</v>
      </c>
      <c r="IEL6" s="68" t="e" cm="1" vm="1">
        <f t="array" ref="IEL6">_xlfn._xlws.FILTER(TablaProductos[Nombre producto],TablaProductos[Agrupación]=ProductosPivot!IEL5)</f>
        <v>#VALUE!</v>
      </c>
      <c r="IEM6" s="68" t="e" cm="1" vm="1">
        <f t="array" ref="IEM6">_xlfn._xlws.FILTER(TablaProductos[Nombre producto],TablaProductos[Agrupación]=ProductosPivot!IEM5)</f>
        <v>#VALUE!</v>
      </c>
      <c r="IEN6" s="68" t="e" cm="1" vm="1">
        <f t="array" ref="IEN6">_xlfn._xlws.FILTER(TablaProductos[Nombre producto],TablaProductos[Agrupación]=ProductosPivot!IEN5)</f>
        <v>#VALUE!</v>
      </c>
      <c r="IEO6" s="68" t="e" cm="1" vm="1">
        <f t="array" ref="IEO6">_xlfn._xlws.FILTER(TablaProductos[Nombre producto],TablaProductos[Agrupación]=ProductosPivot!IEO5)</f>
        <v>#VALUE!</v>
      </c>
      <c r="IEP6" s="68" t="e" cm="1" vm="1">
        <f t="array" ref="IEP6">_xlfn._xlws.FILTER(TablaProductos[Nombre producto],TablaProductos[Agrupación]=ProductosPivot!IEP5)</f>
        <v>#VALUE!</v>
      </c>
      <c r="IEQ6" s="68" t="e" cm="1" vm="1">
        <f t="array" ref="IEQ6">_xlfn._xlws.FILTER(TablaProductos[Nombre producto],TablaProductos[Agrupación]=ProductosPivot!IEQ5)</f>
        <v>#VALUE!</v>
      </c>
      <c r="IER6" s="68" t="e" cm="1" vm="1">
        <f t="array" ref="IER6">_xlfn._xlws.FILTER(TablaProductos[Nombre producto],TablaProductos[Agrupación]=ProductosPivot!IER5)</f>
        <v>#VALUE!</v>
      </c>
      <c r="IES6" s="68" t="e" cm="1" vm="1">
        <f t="array" ref="IES6">_xlfn._xlws.FILTER(TablaProductos[Nombre producto],TablaProductos[Agrupación]=ProductosPivot!IES5)</f>
        <v>#VALUE!</v>
      </c>
      <c r="IET6" s="68" t="e" cm="1" vm="1">
        <f t="array" ref="IET6">_xlfn._xlws.FILTER(TablaProductos[Nombre producto],TablaProductos[Agrupación]=ProductosPivot!IET5)</f>
        <v>#VALUE!</v>
      </c>
      <c r="IEU6" s="68" t="e" cm="1" vm="1">
        <f t="array" ref="IEU6">_xlfn._xlws.FILTER(TablaProductos[Nombre producto],TablaProductos[Agrupación]=ProductosPivot!IEU5)</f>
        <v>#VALUE!</v>
      </c>
      <c r="IEV6" s="68" t="e" cm="1" vm="1">
        <f t="array" ref="IEV6">_xlfn._xlws.FILTER(TablaProductos[Nombre producto],TablaProductos[Agrupación]=ProductosPivot!IEV5)</f>
        <v>#VALUE!</v>
      </c>
      <c r="IEW6" s="68" t="e" cm="1" vm="1">
        <f t="array" ref="IEW6">_xlfn._xlws.FILTER(TablaProductos[Nombre producto],TablaProductos[Agrupación]=ProductosPivot!IEW5)</f>
        <v>#VALUE!</v>
      </c>
      <c r="IEX6" s="68" t="e" cm="1" vm="1">
        <f t="array" ref="IEX6">_xlfn._xlws.FILTER(TablaProductos[Nombre producto],TablaProductos[Agrupación]=ProductosPivot!IEX5)</f>
        <v>#VALUE!</v>
      </c>
      <c r="IEY6" s="68" t="e" cm="1" vm="1">
        <f t="array" ref="IEY6">_xlfn._xlws.FILTER(TablaProductos[Nombre producto],TablaProductos[Agrupación]=ProductosPivot!IEY5)</f>
        <v>#VALUE!</v>
      </c>
      <c r="IEZ6" s="68" t="e" cm="1" vm="1">
        <f t="array" ref="IEZ6">_xlfn._xlws.FILTER(TablaProductos[Nombre producto],TablaProductos[Agrupación]=ProductosPivot!IEZ5)</f>
        <v>#VALUE!</v>
      </c>
      <c r="IFA6" s="68" t="e" cm="1" vm="1">
        <f t="array" ref="IFA6">_xlfn._xlws.FILTER(TablaProductos[Nombre producto],TablaProductos[Agrupación]=ProductosPivot!IFA5)</f>
        <v>#VALUE!</v>
      </c>
      <c r="IFB6" s="68" t="e" cm="1" vm="1">
        <f t="array" ref="IFB6">_xlfn._xlws.FILTER(TablaProductos[Nombre producto],TablaProductos[Agrupación]=ProductosPivot!IFB5)</f>
        <v>#VALUE!</v>
      </c>
      <c r="IFC6" s="68" t="e" cm="1" vm="1">
        <f t="array" ref="IFC6">_xlfn._xlws.FILTER(TablaProductos[Nombre producto],TablaProductos[Agrupación]=ProductosPivot!IFC5)</f>
        <v>#VALUE!</v>
      </c>
      <c r="IFD6" s="68" t="e" cm="1" vm="1">
        <f t="array" ref="IFD6">_xlfn._xlws.FILTER(TablaProductos[Nombre producto],TablaProductos[Agrupación]=ProductosPivot!IFD5)</f>
        <v>#VALUE!</v>
      </c>
      <c r="IFE6" s="68" t="e" cm="1" vm="1">
        <f t="array" ref="IFE6">_xlfn._xlws.FILTER(TablaProductos[Nombre producto],TablaProductos[Agrupación]=ProductosPivot!IFE5)</f>
        <v>#VALUE!</v>
      </c>
      <c r="IFF6" s="68" t="e" cm="1" vm="1">
        <f t="array" ref="IFF6">_xlfn._xlws.FILTER(TablaProductos[Nombre producto],TablaProductos[Agrupación]=ProductosPivot!IFF5)</f>
        <v>#VALUE!</v>
      </c>
      <c r="IFG6" s="68" t="e" cm="1" vm="1">
        <f t="array" ref="IFG6">_xlfn._xlws.FILTER(TablaProductos[Nombre producto],TablaProductos[Agrupación]=ProductosPivot!IFG5)</f>
        <v>#VALUE!</v>
      </c>
      <c r="IFH6" s="68" t="e" cm="1" vm="1">
        <f t="array" ref="IFH6">_xlfn._xlws.FILTER(TablaProductos[Nombre producto],TablaProductos[Agrupación]=ProductosPivot!IFH5)</f>
        <v>#VALUE!</v>
      </c>
      <c r="IFI6" s="68" t="e" cm="1" vm="1">
        <f t="array" ref="IFI6">_xlfn._xlws.FILTER(TablaProductos[Nombre producto],TablaProductos[Agrupación]=ProductosPivot!IFI5)</f>
        <v>#VALUE!</v>
      </c>
      <c r="IFJ6" s="68" t="e" cm="1" vm="1">
        <f t="array" ref="IFJ6">_xlfn._xlws.FILTER(TablaProductos[Nombre producto],TablaProductos[Agrupación]=ProductosPivot!IFJ5)</f>
        <v>#VALUE!</v>
      </c>
      <c r="IFK6" s="68" t="e" cm="1" vm="1">
        <f t="array" ref="IFK6">_xlfn._xlws.FILTER(TablaProductos[Nombre producto],TablaProductos[Agrupación]=ProductosPivot!IFK5)</f>
        <v>#VALUE!</v>
      </c>
      <c r="IFL6" s="68" t="e" cm="1" vm="1">
        <f t="array" ref="IFL6">_xlfn._xlws.FILTER(TablaProductos[Nombre producto],TablaProductos[Agrupación]=ProductosPivot!IFL5)</f>
        <v>#VALUE!</v>
      </c>
      <c r="IFM6" s="68" t="e" cm="1" vm="1">
        <f t="array" ref="IFM6">_xlfn._xlws.FILTER(TablaProductos[Nombre producto],TablaProductos[Agrupación]=ProductosPivot!IFM5)</f>
        <v>#VALUE!</v>
      </c>
      <c r="IFN6" s="68" t="e" cm="1" vm="1">
        <f t="array" ref="IFN6">_xlfn._xlws.FILTER(TablaProductos[Nombre producto],TablaProductos[Agrupación]=ProductosPivot!IFN5)</f>
        <v>#VALUE!</v>
      </c>
      <c r="IFO6" s="68" t="e" cm="1" vm="1">
        <f t="array" ref="IFO6">_xlfn._xlws.FILTER(TablaProductos[Nombre producto],TablaProductos[Agrupación]=ProductosPivot!IFO5)</f>
        <v>#VALUE!</v>
      </c>
      <c r="IFP6" s="68" t="e" cm="1" vm="1">
        <f t="array" ref="IFP6">_xlfn._xlws.FILTER(TablaProductos[Nombre producto],TablaProductos[Agrupación]=ProductosPivot!IFP5)</f>
        <v>#VALUE!</v>
      </c>
      <c r="IFQ6" s="68" t="e" cm="1" vm="1">
        <f t="array" ref="IFQ6">_xlfn._xlws.FILTER(TablaProductos[Nombre producto],TablaProductos[Agrupación]=ProductosPivot!IFQ5)</f>
        <v>#VALUE!</v>
      </c>
      <c r="IFR6" s="68" t="e" cm="1" vm="1">
        <f t="array" ref="IFR6">_xlfn._xlws.FILTER(TablaProductos[Nombre producto],TablaProductos[Agrupación]=ProductosPivot!IFR5)</f>
        <v>#VALUE!</v>
      </c>
      <c r="IFS6" s="68" t="e" cm="1" vm="1">
        <f t="array" ref="IFS6">_xlfn._xlws.FILTER(TablaProductos[Nombre producto],TablaProductos[Agrupación]=ProductosPivot!IFS5)</f>
        <v>#VALUE!</v>
      </c>
      <c r="IFT6" s="68" t="e" cm="1" vm="1">
        <f t="array" ref="IFT6">_xlfn._xlws.FILTER(TablaProductos[Nombre producto],TablaProductos[Agrupación]=ProductosPivot!IFT5)</f>
        <v>#VALUE!</v>
      </c>
      <c r="IFU6" s="68" t="e" cm="1" vm="1">
        <f t="array" ref="IFU6">_xlfn._xlws.FILTER(TablaProductos[Nombre producto],TablaProductos[Agrupación]=ProductosPivot!IFU5)</f>
        <v>#VALUE!</v>
      </c>
      <c r="IFV6" s="68" t="e" cm="1" vm="1">
        <f t="array" ref="IFV6">_xlfn._xlws.FILTER(TablaProductos[Nombre producto],TablaProductos[Agrupación]=ProductosPivot!IFV5)</f>
        <v>#VALUE!</v>
      </c>
      <c r="IFW6" s="68" t="e" cm="1" vm="1">
        <f t="array" ref="IFW6">_xlfn._xlws.FILTER(TablaProductos[Nombre producto],TablaProductos[Agrupación]=ProductosPivot!IFW5)</f>
        <v>#VALUE!</v>
      </c>
      <c r="IFX6" s="68" t="e" cm="1" vm="1">
        <f t="array" ref="IFX6">_xlfn._xlws.FILTER(TablaProductos[Nombre producto],TablaProductos[Agrupación]=ProductosPivot!IFX5)</f>
        <v>#VALUE!</v>
      </c>
      <c r="IFY6" s="68" t="e" cm="1" vm="1">
        <f t="array" ref="IFY6">_xlfn._xlws.FILTER(TablaProductos[Nombre producto],TablaProductos[Agrupación]=ProductosPivot!IFY5)</f>
        <v>#VALUE!</v>
      </c>
      <c r="IFZ6" s="68" t="e" cm="1" vm="1">
        <f t="array" ref="IFZ6">_xlfn._xlws.FILTER(TablaProductos[Nombre producto],TablaProductos[Agrupación]=ProductosPivot!IFZ5)</f>
        <v>#VALUE!</v>
      </c>
      <c r="IGA6" s="68" t="e" cm="1" vm="1">
        <f t="array" ref="IGA6">_xlfn._xlws.FILTER(TablaProductos[Nombre producto],TablaProductos[Agrupación]=ProductosPivot!IGA5)</f>
        <v>#VALUE!</v>
      </c>
      <c r="IGB6" s="68" t="e" cm="1" vm="1">
        <f t="array" ref="IGB6">_xlfn._xlws.FILTER(TablaProductos[Nombre producto],TablaProductos[Agrupación]=ProductosPivot!IGB5)</f>
        <v>#VALUE!</v>
      </c>
      <c r="IGC6" s="68" t="e" cm="1" vm="1">
        <f t="array" ref="IGC6">_xlfn._xlws.FILTER(TablaProductos[Nombre producto],TablaProductos[Agrupación]=ProductosPivot!IGC5)</f>
        <v>#VALUE!</v>
      </c>
      <c r="IGD6" s="68" t="e" cm="1" vm="1">
        <f t="array" ref="IGD6">_xlfn._xlws.FILTER(TablaProductos[Nombre producto],TablaProductos[Agrupación]=ProductosPivot!IGD5)</f>
        <v>#VALUE!</v>
      </c>
      <c r="IGE6" s="68" t="e" cm="1" vm="1">
        <f t="array" ref="IGE6">_xlfn._xlws.FILTER(TablaProductos[Nombre producto],TablaProductos[Agrupación]=ProductosPivot!IGE5)</f>
        <v>#VALUE!</v>
      </c>
      <c r="IGF6" s="68" t="e" cm="1" vm="1">
        <f t="array" ref="IGF6">_xlfn._xlws.FILTER(TablaProductos[Nombre producto],TablaProductos[Agrupación]=ProductosPivot!IGF5)</f>
        <v>#VALUE!</v>
      </c>
      <c r="IGG6" s="68" t="e" cm="1" vm="1">
        <f t="array" ref="IGG6">_xlfn._xlws.FILTER(TablaProductos[Nombre producto],TablaProductos[Agrupación]=ProductosPivot!IGG5)</f>
        <v>#VALUE!</v>
      </c>
      <c r="IGH6" s="68" t="e" cm="1" vm="1">
        <f t="array" ref="IGH6">_xlfn._xlws.FILTER(TablaProductos[Nombre producto],TablaProductos[Agrupación]=ProductosPivot!IGH5)</f>
        <v>#VALUE!</v>
      </c>
      <c r="IGI6" s="68" t="e" cm="1" vm="1">
        <f t="array" ref="IGI6">_xlfn._xlws.FILTER(TablaProductos[Nombre producto],TablaProductos[Agrupación]=ProductosPivot!IGI5)</f>
        <v>#VALUE!</v>
      </c>
      <c r="IGJ6" s="68" t="e" cm="1" vm="1">
        <f t="array" ref="IGJ6">_xlfn._xlws.FILTER(TablaProductos[Nombre producto],TablaProductos[Agrupación]=ProductosPivot!IGJ5)</f>
        <v>#VALUE!</v>
      </c>
      <c r="IGK6" s="68" t="e" cm="1" vm="1">
        <f t="array" ref="IGK6">_xlfn._xlws.FILTER(TablaProductos[Nombre producto],TablaProductos[Agrupación]=ProductosPivot!IGK5)</f>
        <v>#VALUE!</v>
      </c>
      <c r="IGL6" s="68" t="e" cm="1" vm="1">
        <f t="array" ref="IGL6">_xlfn._xlws.FILTER(TablaProductos[Nombre producto],TablaProductos[Agrupación]=ProductosPivot!IGL5)</f>
        <v>#VALUE!</v>
      </c>
      <c r="IGM6" s="68" t="e" cm="1" vm="1">
        <f t="array" ref="IGM6">_xlfn._xlws.FILTER(TablaProductos[Nombre producto],TablaProductos[Agrupación]=ProductosPivot!IGM5)</f>
        <v>#VALUE!</v>
      </c>
      <c r="IGN6" s="68" t="e" cm="1" vm="1">
        <f t="array" ref="IGN6">_xlfn._xlws.FILTER(TablaProductos[Nombre producto],TablaProductos[Agrupación]=ProductosPivot!IGN5)</f>
        <v>#VALUE!</v>
      </c>
      <c r="IGO6" s="68" t="e" cm="1" vm="1">
        <f t="array" ref="IGO6">_xlfn._xlws.FILTER(TablaProductos[Nombre producto],TablaProductos[Agrupación]=ProductosPivot!IGO5)</f>
        <v>#VALUE!</v>
      </c>
      <c r="IGP6" s="68" t="e" cm="1" vm="1">
        <f t="array" ref="IGP6">_xlfn._xlws.FILTER(TablaProductos[Nombre producto],TablaProductos[Agrupación]=ProductosPivot!IGP5)</f>
        <v>#VALUE!</v>
      </c>
      <c r="IGQ6" s="68" t="e" cm="1" vm="1">
        <f t="array" ref="IGQ6">_xlfn._xlws.FILTER(TablaProductos[Nombre producto],TablaProductos[Agrupación]=ProductosPivot!IGQ5)</f>
        <v>#VALUE!</v>
      </c>
      <c r="IGR6" s="68" t="e" cm="1" vm="1">
        <f t="array" ref="IGR6">_xlfn._xlws.FILTER(TablaProductos[Nombre producto],TablaProductos[Agrupación]=ProductosPivot!IGR5)</f>
        <v>#VALUE!</v>
      </c>
      <c r="IGS6" s="68" t="e" cm="1" vm="1">
        <f t="array" ref="IGS6">_xlfn._xlws.FILTER(TablaProductos[Nombre producto],TablaProductos[Agrupación]=ProductosPivot!IGS5)</f>
        <v>#VALUE!</v>
      </c>
      <c r="IGT6" s="68" t="e" cm="1" vm="1">
        <f t="array" ref="IGT6">_xlfn._xlws.FILTER(TablaProductos[Nombre producto],TablaProductos[Agrupación]=ProductosPivot!IGT5)</f>
        <v>#VALUE!</v>
      </c>
      <c r="IGU6" s="68" t="e" cm="1" vm="1">
        <f t="array" ref="IGU6">_xlfn._xlws.FILTER(TablaProductos[Nombre producto],TablaProductos[Agrupación]=ProductosPivot!IGU5)</f>
        <v>#VALUE!</v>
      </c>
      <c r="IGV6" s="68" t="e" cm="1" vm="1">
        <f t="array" ref="IGV6">_xlfn._xlws.FILTER(TablaProductos[Nombre producto],TablaProductos[Agrupación]=ProductosPivot!IGV5)</f>
        <v>#VALUE!</v>
      </c>
      <c r="IGW6" s="68" t="e" cm="1" vm="1">
        <f t="array" ref="IGW6">_xlfn._xlws.FILTER(TablaProductos[Nombre producto],TablaProductos[Agrupación]=ProductosPivot!IGW5)</f>
        <v>#VALUE!</v>
      </c>
      <c r="IGX6" s="68" t="e" cm="1" vm="1">
        <f t="array" ref="IGX6">_xlfn._xlws.FILTER(TablaProductos[Nombre producto],TablaProductos[Agrupación]=ProductosPivot!IGX5)</f>
        <v>#VALUE!</v>
      </c>
      <c r="IGY6" s="68" t="e" cm="1" vm="1">
        <f t="array" ref="IGY6">_xlfn._xlws.FILTER(TablaProductos[Nombre producto],TablaProductos[Agrupación]=ProductosPivot!IGY5)</f>
        <v>#VALUE!</v>
      </c>
      <c r="IGZ6" s="68" t="e" cm="1" vm="1">
        <f t="array" ref="IGZ6">_xlfn._xlws.FILTER(TablaProductos[Nombre producto],TablaProductos[Agrupación]=ProductosPivot!IGZ5)</f>
        <v>#VALUE!</v>
      </c>
      <c r="IHA6" s="68" t="e" cm="1" vm="1">
        <f t="array" ref="IHA6">_xlfn._xlws.FILTER(TablaProductos[Nombre producto],TablaProductos[Agrupación]=ProductosPivot!IHA5)</f>
        <v>#VALUE!</v>
      </c>
      <c r="IHB6" s="68" t="e" cm="1" vm="1">
        <f t="array" ref="IHB6">_xlfn._xlws.FILTER(TablaProductos[Nombre producto],TablaProductos[Agrupación]=ProductosPivot!IHB5)</f>
        <v>#VALUE!</v>
      </c>
      <c r="IHC6" s="68" t="e" cm="1" vm="1">
        <f t="array" ref="IHC6">_xlfn._xlws.FILTER(TablaProductos[Nombre producto],TablaProductos[Agrupación]=ProductosPivot!IHC5)</f>
        <v>#VALUE!</v>
      </c>
      <c r="IHD6" s="68" t="e" cm="1" vm="1">
        <f t="array" ref="IHD6">_xlfn._xlws.FILTER(TablaProductos[Nombre producto],TablaProductos[Agrupación]=ProductosPivot!IHD5)</f>
        <v>#VALUE!</v>
      </c>
      <c r="IHE6" s="68" t="e" cm="1" vm="1">
        <f t="array" ref="IHE6">_xlfn._xlws.FILTER(TablaProductos[Nombre producto],TablaProductos[Agrupación]=ProductosPivot!IHE5)</f>
        <v>#VALUE!</v>
      </c>
      <c r="IHF6" s="68" t="e" cm="1" vm="1">
        <f t="array" ref="IHF6">_xlfn._xlws.FILTER(TablaProductos[Nombre producto],TablaProductos[Agrupación]=ProductosPivot!IHF5)</f>
        <v>#VALUE!</v>
      </c>
      <c r="IHG6" s="68" t="e" cm="1" vm="1">
        <f t="array" ref="IHG6">_xlfn._xlws.FILTER(TablaProductos[Nombre producto],TablaProductos[Agrupación]=ProductosPivot!IHG5)</f>
        <v>#VALUE!</v>
      </c>
      <c r="IHH6" s="68" t="e" cm="1" vm="1">
        <f t="array" ref="IHH6">_xlfn._xlws.FILTER(TablaProductos[Nombre producto],TablaProductos[Agrupación]=ProductosPivot!IHH5)</f>
        <v>#VALUE!</v>
      </c>
      <c r="IHI6" s="68" t="e" cm="1" vm="1">
        <f t="array" ref="IHI6">_xlfn._xlws.FILTER(TablaProductos[Nombre producto],TablaProductos[Agrupación]=ProductosPivot!IHI5)</f>
        <v>#VALUE!</v>
      </c>
      <c r="IHJ6" s="68" t="e" cm="1" vm="1">
        <f t="array" ref="IHJ6">_xlfn._xlws.FILTER(TablaProductos[Nombre producto],TablaProductos[Agrupación]=ProductosPivot!IHJ5)</f>
        <v>#VALUE!</v>
      </c>
      <c r="IHK6" s="68" t="e" cm="1" vm="1">
        <f t="array" ref="IHK6">_xlfn._xlws.FILTER(TablaProductos[Nombre producto],TablaProductos[Agrupación]=ProductosPivot!IHK5)</f>
        <v>#VALUE!</v>
      </c>
      <c r="IHL6" s="68" t="e" cm="1" vm="1">
        <f t="array" ref="IHL6">_xlfn._xlws.FILTER(TablaProductos[Nombre producto],TablaProductos[Agrupación]=ProductosPivot!IHL5)</f>
        <v>#VALUE!</v>
      </c>
      <c r="IHM6" s="68" t="e" cm="1" vm="1">
        <f t="array" ref="IHM6">_xlfn._xlws.FILTER(TablaProductos[Nombre producto],TablaProductos[Agrupación]=ProductosPivot!IHM5)</f>
        <v>#VALUE!</v>
      </c>
      <c r="IHN6" s="68" t="e" cm="1" vm="1">
        <f t="array" ref="IHN6">_xlfn._xlws.FILTER(TablaProductos[Nombre producto],TablaProductos[Agrupación]=ProductosPivot!IHN5)</f>
        <v>#VALUE!</v>
      </c>
      <c r="IHO6" s="68" t="e" cm="1" vm="1">
        <f t="array" ref="IHO6">_xlfn._xlws.FILTER(TablaProductos[Nombre producto],TablaProductos[Agrupación]=ProductosPivot!IHO5)</f>
        <v>#VALUE!</v>
      </c>
      <c r="IHP6" s="68" t="e" cm="1" vm="1">
        <f t="array" ref="IHP6">_xlfn._xlws.FILTER(TablaProductos[Nombre producto],TablaProductos[Agrupación]=ProductosPivot!IHP5)</f>
        <v>#VALUE!</v>
      </c>
      <c r="IHQ6" s="68" t="e" cm="1" vm="1">
        <f t="array" ref="IHQ6">_xlfn._xlws.FILTER(TablaProductos[Nombre producto],TablaProductos[Agrupación]=ProductosPivot!IHQ5)</f>
        <v>#VALUE!</v>
      </c>
      <c r="IHR6" s="68" t="e" cm="1" vm="1">
        <f t="array" ref="IHR6">_xlfn._xlws.FILTER(TablaProductos[Nombre producto],TablaProductos[Agrupación]=ProductosPivot!IHR5)</f>
        <v>#VALUE!</v>
      </c>
      <c r="IHS6" s="68" t="e" cm="1" vm="1">
        <f t="array" ref="IHS6">_xlfn._xlws.FILTER(TablaProductos[Nombre producto],TablaProductos[Agrupación]=ProductosPivot!IHS5)</f>
        <v>#VALUE!</v>
      </c>
      <c r="IHT6" s="68" t="e" cm="1" vm="1">
        <f t="array" ref="IHT6">_xlfn._xlws.FILTER(TablaProductos[Nombre producto],TablaProductos[Agrupación]=ProductosPivot!IHT5)</f>
        <v>#VALUE!</v>
      </c>
      <c r="IHU6" s="68" t="e" cm="1" vm="1">
        <f t="array" ref="IHU6">_xlfn._xlws.FILTER(TablaProductos[Nombre producto],TablaProductos[Agrupación]=ProductosPivot!IHU5)</f>
        <v>#VALUE!</v>
      </c>
      <c r="IHV6" s="68" t="e" cm="1" vm="1">
        <f t="array" ref="IHV6">_xlfn._xlws.FILTER(TablaProductos[Nombre producto],TablaProductos[Agrupación]=ProductosPivot!IHV5)</f>
        <v>#VALUE!</v>
      </c>
      <c r="IHW6" s="68" t="e" cm="1" vm="1">
        <f t="array" ref="IHW6">_xlfn._xlws.FILTER(TablaProductos[Nombre producto],TablaProductos[Agrupación]=ProductosPivot!IHW5)</f>
        <v>#VALUE!</v>
      </c>
      <c r="IHX6" s="68" t="e" cm="1" vm="1">
        <f t="array" ref="IHX6">_xlfn._xlws.FILTER(TablaProductos[Nombre producto],TablaProductos[Agrupación]=ProductosPivot!IHX5)</f>
        <v>#VALUE!</v>
      </c>
      <c r="IHY6" s="68" t="e" cm="1" vm="1">
        <f t="array" ref="IHY6">_xlfn._xlws.FILTER(TablaProductos[Nombre producto],TablaProductos[Agrupación]=ProductosPivot!IHY5)</f>
        <v>#VALUE!</v>
      </c>
      <c r="IHZ6" s="68" t="e" cm="1" vm="1">
        <f t="array" ref="IHZ6">_xlfn._xlws.FILTER(TablaProductos[Nombre producto],TablaProductos[Agrupación]=ProductosPivot!IHZ5)</f>
        <v>#VALUE!</v>
      </c>
      <c r="IIA6" s="68" t="e" cm="1" vm="1">
        <f t="array" ref="IIA6">_xlfn._xlws.FILTER(TablaProductos[Nombre producto],TablaProductos[Agrupación]=ProductosPivot!IIA5)</f>
        <v>#VALUE!</v>
      </c>
      <c r="IIB6" s="68" t="e" cm="1" vm="1">
        <f t="array" ref="IIB6">_xlfn._xlws.FILTER(TablaProductos[Nombre producto],TablaProductos[Agrupación]=ProductosPivot!IIB5)</f>
        <v>#VALUE!</v>
      </c>
      <c r="IIC6" s="68" t="e" cm="1" vm="1">
        <f t="array" ref="IIC6">_xlfn._xlws.FILTER(TablaProductos[Nombre producto],TablaProductos[Agrupación]=ProductosPivot!IIC5)</f>
        <v>#VALUE!</v>
      </c>
      <c r="IID6" s="68" t="e" cm="1" vm="1">
        <f t="array" ref="IID6">_xlfn._xlws.FILTER(TablaProductos[Nombre producto],TablaProductos[Agrupación]=ProductosPivot!IID5)</f>
        <v>#VALUE!</v>
      </c>
      <c r="IIE6" s="68" t="e" cm="1" vm="1">
        <f t="array" ref="IIE6">_xlfn._xlws.FILTER(TablaProductos[Nombre producto],TablaProductos[Agrupación]=ProductosPivot!IIE5)</f>
        <v>#VALUE!</v>
      </c>
      <c r="IIF6" s="68" t="e" cm="1" vm="1">
        <f t="array" ref="IIF6">_xlfn._xlws.FILTER(TablaProductos[Nombre producto],TablaProductos[Agrupación]=ProductosPivot!IIF5)</f>
        <v>#VALUE!</v>
      </c>
      <c r="IIG6" s="68" t="e" cm="1" vm="1">
        <f t="array" ref="IIG6">_xlfn._xlws.FILTER(TablaProductos[Nombre producto],TablaProductos[Agrupación]=ProductosPivot!IIG5)</f>
        <v>#VALUE!</v>
      </c>
      <c r="IIH6" s="68" t="e" cm="1" vm="1">
        <f t="array" ref="IIH6">_xlfn._xlws.FILTER(TablaProductos[Nombre producto],TablaProductos[Agrupación]=ProductosPivot!IIH5)</f>
        <v>#VALUE!</v>
      </c>
      <c r="III6" s="68" t="e" cm="1" vm="1">
        <f t="array" ref="III6">_xlfn._xlws.FILTER(TablaProductos[Nombre producto],TablaProductos[Agrupación]=ProductosPivot!III5)</f>
        <v>#VALUE!</v>
      </c>
      <c r="IIJ6" s="68" t="e" cm="1" vm="1">
        <f t="array" ref="IIJ6">_xlfn._xlws.FILTER(TablaProductos[Nombre producto],TablaProductos[Agrupación]=ProductosPivot!IIJ5)</f>
        <v>#VALUE!</v>
      </c>
      <c r="IIK6" s="68" t="e" cm="1" vm="1">
        <f t="array" ref="IIK6">_xlfn._xlws.FILTER(TablaProductos[Nombre producto],TablaProductos[Agrupación]=ProductosPivot!IIK5)</f>
        <v>#VALUE!</v>
      </c>
      <c r="IIL6" s="68" t="e" cm="1" vm="1">
        <f t="array" ref="IIL6">_xlfn._xlws.FILTER(TablaProductos[Nombre producto],TablaProductos[Agrupación]=ProductosPivot!IIL5)</f>
        <v>#VALUE!</v>
      </c>
      <c r="IIM6" s="68" t="e" cm="1" vm="1">
        <f t="array" ref="IIM6">_xlfn._xlws.FILTER(TablaProductos[Nombre producto],TablaProductos[Agrupación]=ProductosPivot!IIM5)</f>
        <v>#VALUE!</v>
      </c>
      <c r="IIN6" s="68" t="e" cm="1" vm="1">
        <f t="array" ref="IIN6">_xlfn._xlws.FILTER(TablaProductos[Nombre producto],TablaProductos[Agrupación]=ProductosPivot!IIN5)</f>
        <v>#VALUE!</v>
      </c>
      <c r="IIO6" s="68" t="e" cm="1" vm="1">
        <f t="array" ref="IIO6">_xlfn._xlws.FILTER(TablaProductos[Nombre producto],TablaProductos[Agrupación]=ProductosPivot!IIO5)</f>
        <v>#VALUE!</v>
      </c>
      <c r="IIP6" s="68" t="e" cm="1" vm="1">
        <f t="array" ref="IIP6">_xlfn._xlws.FILTER(TablaProductos[Nombre producto],TablaProductos[Agrupación]=ProductosPivot!IIP5)</f>
        <v>#VALUE!</v>
      </c>
      <c r="IIQ6" s="68" t="e" cm="1" vm="1">
        <f t="array" ref="IIQ6">_xlfn._xlws.FILTER(TablaProductos[Nombre producto],TablaProductos[Agrupación]=ProductosPivot!IIQ5)</f>
        <v>#VALUE!</v>
      </c>
      <c r="IIR6" s="68" t="e" cm="1" vm="1">
        <f t="array" ref="IIR6">_xlfn._xlws.FILTER(TablaProductos[Nombre producto],TablaProductos[Agrupación]=ProductosPivot!IIR5)</f>
        <v>#VALUE!</v>
      </c>
      <c r="IIS6" s="68" t="e" cm="1" vm="1">
        <f t="array" ref="IIS6">_xlfn._xlws.FILTER(TablaProductos[Nombre producto],TablaProductos[Agrupación]=ProductosPivot!IIS5)</f>
        <v>#VALUE!</v>
      </c>
      <c r="IIT6" s="68" t="e" cm="1" vm="1">
        <f t="array" ref="IIT6">_xlfn._xlws.FILTER(TablaProductos[Nombre producto],TablaProductos[Agrupación]=ProductosPivot!IIT5)</f>
        <v>#VALUE!</v>
      </c>
      <c r="IIU6" s="68" t="e" cm="1" vm="1">
        <f t="array" ref="IIU6">_xlfn._xlws.FILTER(TablaProductos[Nombre producto],TablaProductos[Agrupación]=ProductosPivot!IIU5)</f>
        <v>#VALUE!</v>
      </c>
      <c r="IIV6" s="68" t="e" cm="1" vm="1">
        <f t="array" ref="IIV6">_xlfn._xlws.FILTER(TablaProductos[Nombre producto],TablaProductos[Agrupación]=ProductosPivot!IIV5)</f>
        <v>#VALUE!</v>
      </c>
      <c r="IIW6" s="68" t="e" cm="1" vm="1">
        <f t="array" ref="IIW6">_xlfn._xlws.FILTER(TablaProductos[Nombre producto],TablaProductos[Agrupación]=ProductosPivot!IIW5)</f>
        <v>#VALUE!</v>
      </c>
      <c r="IIX6" s="68" t="e" cm="1" vm="1">
        <f t="array" ref="IIX6">_xlfn._xlws.FILTER(TablaProductos[Nombre producto],TablaProductos[Agrupación]=ProductosPivot!IIX5)</f>
        <v>#VALUE!</v>
      </c>
      <c r="IIY6" s="68" t="e" cm="1" vm="1">
        <f t="array" ref="IIY6">_xlfn._xlws.FILTER(TablaProductos[Nombre producto],TablaProductos[Agrupación]=ProductosPivot!IIY5)</f>
        <v>#VALUE!</v>
      </c>
      <c r="IIZ6" s="68" t="e" cm="1" vm="1">
        <f t="array" ref="IIZ6">_xlfn._xlws.FILTER(TablaProductos[Nombre producto],TablaProductos[Agrupación]=ProductosPivot!IIZ5)</f>
        <v>#VALUE!</v>
      </c>
      <c r="IJA6" s="68" t="e" cm="1" vm="1">
        <f t="array" ref="IJA6">_xlfn._xlws.FILTER(TablaProductos[Nombre producto],TablaProductos[Agrupación]=ProductosPivot!IJA5)</f>
        <v>#VALUE!</v>
      </c>
      <c r="IJB6" s="68" t="e" cm="1" vm="1">
        <f t="array" ref="IJB6">_xlfn._xlws.FILTER(TablaProductos[Nombre producto],TablaProductos[Agrupación]=ProductosPivot!IJB5)</f>
        <v>#VALUE!</v>
      </c>
      <c r="IJC6" s="68" t="e" cm="1" vm="1">
        <f t="array" ref="IJC6">_xlfn._xlws.FILTER(TablaProductos[Nombre producto],TablaProductos[Agrupación]=ProductosPivot!IJC5)</f>
        <v>#VALUE!</v>
      </c>
      <c r="IJD6" s="68" t="e" cm="1" vm="1">
        <f t="array" ref="IJD6">_xlfn._xlws.FILTER(TablaProductos[Nombre producto],TablaProductos[Agrupación]=ProductosPivot!IJD5)</f>
        <v>#VALUE!</v>
      </c>
      <c r="IJE6" s="68" t="e" cm="1" vm="1">
        <f t="array" ref="IJE6">_xlfn._xlws.FILTER(TablaProductos[Nombre producto],TablaProductos[Agrupación]=ProductosPivot!IJE5)</f>
        <v>#VALUE!</v>
      </c>
      <c r="IJF6" s="68" t="e" cm="1" vm="1">
        <f t="array" ref="IJF6">_xlfn._xlws.FILTER(TablaProductos[Nombre producto],TablaProductos[Agrupación]=ProductosPivot!IJF5)</f>
        <v>#VALUE!</v>
      </c>
      <c r="IJG6" s="68" t="e" cm="1" vm="1">
        <f t="array" ref="IJG6">_xlfn._xlws.FILTER(TablaProductos[Nombre producto],TablaProductos[Agrupación]=ProductosPivot!IJG5)</f>
        <v>#VALUE!</v>
      </c>
      <c r="IJH6" s="68" t="e" cm="1" vm="1">
        <f t="array" ref="IJH6">_xlfn._xlws.FILTER(TablaProductos[Nombre producto],TablaProductos[Agrupación]=ProductosPivot!IJH5)</f>
        <v>#VALUE!</v>
      </c>
      <c r="IJI6" s="68" t="e" cm="1" vm="1">
        <f t="array" ref="IJI6">_xlfn._xlws.FILTER(TablaProductos[Nombre producto],TablaProductos[Agrupación]=ProductosPivot!IJI5)</f>
        <v>#VALUE!</v>
      </c>
      <c r="IJJ6" s="68" t="e" cm="1" vm="1">
        <f t="array" ref="IJJ6">_xlfn._xlws.FILTER(TablaProductos[Nombre producto],TablaProductos[Agrupación]=ProductosPivot!IJJ5)</f>
        <v>#VALUE!</v>
      </c>
      <c r="IJK6" s="68" t="e" cm="1" vm="1">
        <f t="array" ref="IJK6">_xlfn._xlws.FILTER(TablaProductos[Nombre producto],TablaProductos[Agrupación]=ProductosPivot!IJK5)</f>
        <v>#VALUE!</v>
      </c>
      <c r="IJL6" s="68" t="e" cm="1" vm="1">
        <f t="array" ref="IJL6">_xlfn._xlws.FILTER(TablaProductos[Nombre producto],TablaProductos[Agrupación]=ProductosPivot!IJL5)</f>
        <v>#VALUE!</v>
      </c>
      <c r="IJM6" s="68" t="e" cm="1" vm="1">
        <f t="array" ref="IJM6">_xlfn._xlws.FILTER(TablaProductos[Nombre producto],TablaProductos[Agrupación]=ProductosPivot!IJM5)</f>
        <v>#VALUE!</v>
      </c>
      <c r="IJN6" s="68" t="e" cm="1" vm="1">
        <f t="array" ref="IJN6">_xlfn._xlws.FILTER(TablaProductos[Nombre producto],TablaProductos[Agrupación]=ProductosPivot!IJN5)</f>
        <v>#VALUE!</v>
      </c>
      <c r="IJO6" s="68" t="e" cm="1" vm="1">
        <f t="array" ref="IJO6">_xlfn._xlws.FILTER(TablaProductos[Nombre producto],TablaProductos[Agrupación]=ProductosPivot!IJO5)</f>
        <v>#VALUE!</v>
      </c>
      <c r="IJP6" s="68" t="e" cm="1" vm="1">
        <f t="array" ref="IJP6">_xlfn._xlws.FILTER(TablaProductos[Nombre producto],TablaProductos[Agrupación]=ProductosPivot!IJP5)</f>
        <v>#VALUE!</v>
      </c>
      <c r="IJQ6" s="68" t="e" cm="1" vm="1">
        <f t="array" ref="IJQ6">_xlfn._xlws.FILTER(TablaProductos[Nombre producto],TablaProductos[Agrupación]=ProductosPivot!IJQ5)</f>
        <v>#VALUE!</v>
      </c>
      <c r="IJR6" s="68" t="e" cm="1" vm="1">
        <f t="array" ref="IJR6">_xlfn._xlws.FILTER(TablaProductos[Nombre producto],TablaProductos[Agrupación]=ProductosPivot!IJR5)</f>
        <v>#VALUE!</v>
      </c>
      <c r="IJS6" s="68" t="e" cm="1" vm="1">
        <f t="array" ref="IJS6">_xlfn._xlws.FILTER(TablaProductos[Nombre producto],TablaProductos[Agrupación]=ProductosPivot!IJS5)</f>
        <v>#VALUE!</v>
      </c>
      <c r="IJT6" s="68" t="e" cm="1" vm="1">
        <f t="array" ref="IJT6">_xlfn._xlws.FILTER(TablaProductos[Nombre producto],TablaProductos[Agrupación]=ProductosPivot!IJT5)</f>
        <v>#VALUE!</v>
      </c>
      <c r="IJU6" s="68" t="e" cm="1" vm="1">
        <f t="array" ref="IJU6">_xlfn._xlws.FILTER(TablaProductos[Nombre producto],TablaProductos[Agrupación]=ProductosPivot!IJU5)</f>
        <v>#VALUE!</v>
      </c>
      <c r="IJV6" s="68" t="e" cm="1" vm="1">
        <f t="array" ref="IJV6">_xlfn._xlws.FILTER(TablaProductos[Nombre producto],TablaProductos[Agrupación]=ProductosPivot!IJV5)</f>
        <v>#VALUE!</v>
      </c>
      <c r="IJW6" s="68" t="e" cm="1" vm="1">
        <f t="array" ref="IJW6">_xlfn._xlws.FILTER(TablaProductos[Nombre producto],TablaProductos[Agrupación]=ProductosPivot!IJW5)</f>
        <v>#VALUE!</v>
      </c>
      <c r="IJX6" s="68" t="e" cm="1" vm="1">
        <f t="array" ref="IJX6">_xlfn._xlws.FILTER(TablaProductos[Nombre producto],TablaProductos[Agrupación]=ProductosPivot!IJX5)</f>
        <v>#VALUE!</v>
      </c>
      <c r="IJY6" s="68" t="e" cm="1" vm="1">
        <f t="array" ref="IJY6">_xlfn._xlws.FILTER(TablaProductos[Nombre producto],TablaProductos[Agrupación]=ProductosPivot!IJY5)</f>
        <v>#VALUE!</v>
      </c>
      <c r="IJZ6" s="68" t="e" cm="1" vm="1">
        <f t="array" ref="IJZ6">_xlfn._xlws.FILTER(TablaProductos[Nombre producto],TablaProductos[Agrupación]=ProductosPivot!IJZ5)</f>
        <v>#VALUE!</v>
      </c>
      <c r="IKA6" s="68" t="e" cm="1" vm="1">
        <f t="array" ref="IKA6">_xlfn._xlws.FILTER(TablaProductos[Nombre producto],TablaProductos[Agrupación]=ProductosPivot!IKA5)</f>
        <v>#VALUE!</v>
      </c>
      <c r="IKB6" s="68" t="e" cm="1" vm="1">
        <f t="array" ref="IKB6">_xlfn._xlws.FILTER(TablaProductos[Nombre producto],TablaProductos[Agrupación]=ProductosPivot!IKB5)</f>
        <v>#VALUE!</v>
      </c>
      <c r="IKC6" s="68" t="e" cm="1" vm="1">
        <f t="array" ref="IKC6">_xlfn._xlws.FILTER(TablaProductos[Nombre producto],TablaProductos[Agrupación]=ProductosPivot!IKC5)</f>
        <v>#VALUE!</v>
      </c>
      <c r="IKD6" s="68" t="e" cm="1" vm="1">
        <f t="array" ref="IKD6">_xlfn._xlws.FILTER(TablaProductos[Nombre producto],TablaProductos[Agrupación]=ProductosPivot!IKD5)</f>
        <v>#VALUE!</v>
      </c>
      <c r="IKE6" s="68" t="e" cm="1" vm="1">
        <f t="array" ref="IKE6">_xlfn._xlws.FILTER(TablaProductos[Nombre producto],TablaProductos[Agrupación]=ProductosPivot!IKE5)</f>
        <v>#VALUE!</v>
      </c>
      <c r="IKF6" s="68" t="e" cm="1" vm="1">
        <f t="array" ref="IKF6">_xlfn._xlws.FILTER(TablaProductos[Nombre producto],TablaProductos[Agrupación]=ProductosPivot!IKF5)</f>
        <v>#VALUE!</v>
      </c>
      <c r="IKG6" s="68" t="e" cm="1" vm="1">
        <f t="array" ref="IKG6">_xlfn._xlws.FILTER(TablaProductos[Nombre producto],TablaProductos[Agrupación]=ProductosPivot!IKG5)</f>
        <v>#VALUE!</v>
      </c>
      <c r="IKH6" s="68" t="e" cm="1" vm="1">
        <f t="array" ref="IKH6">_xlfn._xlws.FILTER(TablaProductos[Nombre producto],TablaProductos[Agrupación]=ProductosPivot!IKH5)</f>
        <v>#VALUE!</v>
      </c>
      <c r="IKI6" s="68" t="e" cm="1" vm="1">
        <f t="array" ref="IKI6">_xlfn._xlws.FILTER(TablaProductos[Nombre producto],TablaProductos[Agrupación]=ProductosPivot!IKI5)</f>
        <v>#VALUE!</v>
      </c>
      <c r="IKJ6" s="68" t="e" cm="1" vm="1">
        <f t="array" ref="IKJ6">_xlfn._xlws.FILTER(TablaProductos[Nombre producto],TablaProductos[Agrupación]=ProductosPivot!IKJ5)</f>
        <v>#VALUE!</v>
      </c>
      <c r="IKK6" s="68" t="e" cm="1" vm="1">
        <f t="array" ref="IKK6">_xlfn._xlws.FILTER(TablaProductos[Nombre producto],TablaProductos[Agrupación]=ProductosPivot!IKK5)</f>
        <v>#VALUE!</v>
      </c>
      <c r="IKL6" s="68" t="e" cm="1" vm="1">
        <f t="array" ref="IKL6">_xlfn._xlws.FILTER(TablaProductos[Nombre producto],TablaProductos[Agrupación]=ProductosPivot!IKL5)</f>
        <v>#VALUE!</v>
      </c>
      <c r="IKM6" s="68" t="e" cm="1" vm="1">
        <f t="array" ref="IKM6">_xlfn._xlws.FILTER(TablaProductos[Nombre producto],TablaProductos[Agrupación]=ProductosPivot!IKM5)</f>
        <v>#VALUE!</v>
      </c>
      <c r="IKN6" s="68" t="e" cm="1" vm="1">
        <f t="array" ref="IKN6">_xlfn._xlws.FILTER(TablaProductos[Nombre producto],TablaProductos[Agrupación]=ProductosPivot!IKN5)</f>
        <v>#VALUE!</v>
      </c>
      <c r="IKO6" s="68" t="e" cm="1" vm="1">
        <f t="array" ref="IKO6">_xlfn._xlws.FILTER(TablaProductos[Nombre producto],TablaProductos[Agrupación]=ProductosPivot!IKO5)</f>
        <v>#VALUE!</v>
      </c>
      <c r="IKP6" s="68" t="e" cm="1" vm="1">
        <f t="array" ref="IKP6">_xlfn._xlws.FILTER(TablaProductos[Nombre producto],TablaProductos[Agrupación]=ProductosPivot!IKP5)</f>
        <v>#VALUE!</v>
      </c>
      <c r="IKQ6" s="68" t="e" cm="1" vm="1">
        <f t="array" ref="IKQ6">_xlfn._xlws.FILTER(TablaProductos[Nombre producto],TablaProductos[Agrupación]=ProductosPivot!IKQ5)</f>
        <v>#VALUE!</v>
      </c>
      <c r="IKR6" s="68" t="e" cm="1" vm="1">
        <f t="array" ref="IKR6">_xlfn._xlws.FILTER(TablaProductos[Nombre producto],TablaProductos[Agrupación]=ProductosPivot!IKR5)</f>
        <v>#VALUE!</v>
      </c>
      <c r="IKS6" s="68" t="e" cm="1" vm="1">
        <f t="array" ref="IKS6">_xlfn._xlws.FILTER(TablaProductos[Nombre producto],TablaProductos[Agrupación]=ProductosPivot!IKS5)</f>
        <v>#VALUE!</v>
      </c>
      <c r="IKT6" s="68" t="e" cm="1" vm="1">
        <f t="array" ref="IKT6">_xlfn._xlws.FILTER(TablaProductos[Nombre producto],TablaProductos[Agrupación]=ProductosPivot!IKT5)</f>
        <v>#VALUE!</v>
      </c>
      <c r="IKU6" s="68" t="e" cm="1" vm="1">
        <f t="array" ref="IKU6">_xlfn._xlws.FILTER(TablaProductos[Nombre producto],TablaProductos[Agrupación]=ProductosPivot!IKU5)</f>
        <v>#VALUE!</v>
      </c>
      <c r="IKV6" s="68" t="e" cm="1" vm="1">
        <f t="array" ref="IKV6">_xlfn._xlws.FILTER(TablaProductos[Nombre producto],TablaProductos[Agrupación]=ProductosPivot!IKV5)</f>
        <v>#VALUE!</v>
      </c>
      <c r="IKW6" s="68" t="e" cm="1" vm="1">
        <f t="array" ref="IKW6">_xlfn._xlws.FILTER(TablaProductos[Nombre producto],TablaProductos[Agrupación]=ProductosPivot!IKW5)</f>
        <v>#VALUE!</v>
      </c>
      <c r="IKX6" s="68" t="e" cm="1" vm="1">
        <f t="array" ref="IKX6">_xlfn._xlws.FILTER(TablaProductos[Nombre producto],TablaProductos[Agrupación]=ProductosPivot!IKX5)</f>
        <v>#VALUE!</v>
      </c>
      <c r="IKY6" s="68" t="e" cm="1" vm="1">
        <f t="array" ref="IKY6">_xlfn._xlws.FILTER(TablaProductos[Nombre producto],TablaProductos[Agrupación]=ProductosPivot!IKY5)</f>
        <v>#VALUE!</v>
      </c>
      <c r="IKZ6" s="68" t="e" cm="1" vm="1">
        <f t="array" ref="IKZ6">_xlfn._xlws.FILTER(TablaProductos[Nombre producto],TablaProductos[Agrupación]=ProductosPivot!IKZ5)</f>
        <v>#VALUE!</v>
      </c>
      <c r="ILA6" s="68" t="e" cm="1" vm="1">
        <f t="array" ref="ILA6">_xlfn._xlws.FILTER(TablaProductos[Nombre producto],TablaProductos[Agrupación]=ProductosPivot!ILA5)</f>
        <v>#VALUE!</v>
      </c>
      <c r="ILB6" s="68" t="e" cm="1" vm="1">
        <f t="array" ref="ILB6">_xlfn._xlws.FILTER(TablaProductos[Nombre producto],TablaProductos[Agrupación]=ProductosPivot!ILB5)</f>
        <v>#VALUE!</v>
      </c>
      <c r="ILC6" s="68" t="e" cm="1" vm="1">
        <f t="array" ref="ILC6">_xlfn._xlws.FILTER(TablaProductos[Nombre producto],TablaProductos[Agrupación]=ProductosPivot!ILC5)</f>
        <v>#VALUE!</v>
      </c>
      <c r="ILD6" s="68" t="e" cm="1" vm="1">
        <f t="array" ref="ILD6">_xlfn._xlws.FILTER(TablaProductos[Nombre producto],TablaProductos[Agrupación]=ProductosPivot!ILD5)</f>
        <v>#VALUE!</v>
      </c>
      <c r="ILE6" s="68" t="e" cm="1" vm="1">
        <f t="array" ref="ILE6">_xlfn._xlws.FILTER(TablaProductos[Nombre producto],TablaProductos[Agrupación]=ProductosPivot!ILE5)</f>
        <v>#VALUE!</v>
      </c>
      <c r="ILF6" s="68" t="e" cm="1" vm="1">
        <f t="array" ref="ILF6">_xlfn._xlws.FILTER(TablaProductos[Nombre producto],TablaProductos[Agrupación]=ProductosPivot!ILF5)</f>
        <v>#VALUE!</v>
      </c>
      <c r="ILG6" s="68" t="e" cm="1" vm="1">
        <f t="array" ref="ILG6">_xlfn._xlws.FILTER(TablaProductos[Nombre producto],TablaProductos[Agrupación]=ProductosPivot!ILG5)</f>
        <v>#VALUE!</v>
      </c>
      <c r="ILH6" s="68" t="e" cm="1" vm="1">
        <f t="array" ref="ILH6">_xlfn._xlws.FILTER(TablaProductos[Nombre producto],TablaProductos[Agrupación]=ProductosPivot!ILH5)</f>
        <v>#VALUE!</v>
      </c>
      <c r="ILI6" s="68" t="e" cm="1" vm="1">
        <f t="array" ref="ILI6">_xlfn._xlws.FILTER(TablaProductos[Nombre producto],TablaProductos[Agrupación]=ProductosPivot!ILI5)</f>
        <v>#VALUE!</v>
      </c>
      <c r="ILJ6" s="68" t="e" cm="1" vm="1">
        <f t="array" ref="ILJ6">_xlfn._xlws.FILTER(TablaProductos[Nombre producto],TablaProductos[Agrupación]=ProductosPivot!ILJ5)</f>
        <v>#VALUE!</v>
      </c>
      <c r="ILK6" s="68" t="e" cm="1" vm="1">
        <f t="array" ref="ILK6">_xlfn._xlws.FILTER(TablaProductos[Nombre producto],TablaProductos[Agrupación]=ProductosPivot!ILK5)</f>
        <v>#VALUE!</v>
      </c>
      <c r="ILL6" s="68" t="e" cm="1" vm="1">
        <f t="array" ref="ILL6">_xlfn._xlws.FILTER(TablaProductos[Nombre producto],TablaProductos[Agrupación]=ProductosPivot!ILL5)</f>
        <v>#VALUE!</v>
      </c>
      <c r="ILM6" s="68" t="e" cm="1" vm="1">
        <f t="array" ref="ILM6">_xlfn._xlws.FILTER(TablaProductos[Nombre producto],TablaProductos[Agrupación]=ProductosPivot!ILM5)</f>
        <v>#VALUE!</v>
      </c>
      <c r="ILN6" s="68" t="e" cm="1" vm="1">
        <f t="array" ref="ILN6">_xlfn._xlws.FILTER(TablaProductos[Nombre producto],TablaProductos[Agrupación]=ProductosPivot!ILN5)</f>
        <v>#VALUE!</v>
      </c>
      <c r="ILO6" s="68" t="e" cm="1" vm="1">
        <f t="array" ref="ILO6">_xlfn._xlws.FILTER(TablaProductos[Nombre producto],TablaProductos[Agrupación]=ProductosPivot!ILO5)</f>
        <v>#VALUE!</v>
      </c>
      <c r="ILP6" s="68" t="e" cm="1" vm="1">
        <f t="array" ref="ILP6">_xlfn._xlws.FILTER(TablaProductos[Nombre producto],TablaProductos[Agrupación]=ProductosPivot!ILP5)</f>
        <v>#VALUE!</v>
      </c>
      <c r="ILQ6" s="68" t="e" cm="1" vm="1">
        <f t="array" ref="ILQ6">_xlfn._xlws.FILTER(TablaProductos[Nombre producto],TablaProductos[Agrupación]=ProductosPivot!ILQ5)</f>
        <v>#VALUE!</v>
      </c>
      <c r="ILR6" s="68" t="e" cm="1" vm="1">
        <f t="array" ref="ILR6">_xlfn._xlws.FILTER(TablaProductos[Nombre producto],TablaProductos[Agrupación]=ProductosPivot!ILR5)</f>
        <v>#VALUE!</v>
      </c>
      <c r="ILS6" s="68" t="e" cm="1" vm="1">
        <f t="array" ref="ILS6">_xlfn._xlws.FILTER(TablaProductos[Nombre producto],TablaProductos[Agrupación]=ProductosPivot!ILS5)</f>
        <v>#VALUE!</v>
      </c>
      <c r="ILT6" s="68" t="e" cm="1" vm="1">
        <f t="array" ref="ILT6">_xlfn._xlws.FILTER(TablaProductos[Nombre producto],TablaProductos[Agrupación]=ProductosPivot!ILT5)</f>
        <v>#VALUE!</v>
      </c>
      <c r="ILU6" s="68" t="e" cm="1" vm="1">
        <f t="array" ref="ILU6">_xlfn._xlws.FILTER(TablaProductos[Nombre producto],TablaProductos[Agrupación]=ProductosPivot!ILU5)</f>
        <v>#VALUE!</v>
      </c>
      <c r="ILV6" s="68" t="e" cm="1" vm="1">
        <f t="array" ref="ILV6">_xlfn._xlws.FILTER(TablaProductos[Nombre producto],TablaProductos[Agrupación]=ProductosPivot!ILV5)</f>
        <v>#VALUE!</v>
      </c>
      <c r="ILW6" s="68" t="e" cm="1" vm="1">
        <f t="array" ref="ILW6">_xlfn._xlws.FILTER(TablaProductos[Nombre producto],TablaProductos[Agrupación]=ProductosPivot!ILW5)</f>
        <v>#VALUE!</v>
      </c>
      <c r="ILX6" s="68" t="e" cm="1" vm="1">
        <f t="array" ref="ILX6">_xlfn._xlws.FILTER(TablaProductos[Nombre producto],TablaProductos[Agrupación]=ProductosPivot!ILX5)</f>
        <v>#VALUE!</v>
      </c>
      <c r="ILY6" s="68" t="e" cm="1" vm="1">
        <f t="array" ref="ILY6">_xlfn._xlws.FILTER(TablaProductos[Nombre producto],TablaProductos[Agrupación]=ProductosPivot!ILY5)</f>
        <v>#VALUE!</v>
      </c>
      <c r="ILZ6" s="68" t="e" cm="1" vm="1">
        <f t="array" ref="ILZ6">_xlfn._xlws.FILTER(TablaProductos[Nombre producto],TablaProductos[Agrupación]=ProductosPivot!ILZ5)</f>
        <v>#VALUE!</v>
      </c>
      <c r="IMA6" s="68" t="e" cm="1" vm="1">
        <f t="array" ref="IMA6">_xlfn._xlws.FILTER(TablaProductos[Nombre producto],TablaProductos[Agrupación]=ProductosPivot!IMA5)</f>
        <v>#VALUE!</v>
      </c>
      <c r="IMB6" s="68" t="e" cm="1" vm="1">
        <f t="array" ref="IMB6">_xlfn._xlws.FILTER(TablaProductos[Nombre producto],TablaProductos[Agrupación]=ProductosPivot!IMB5)</f>
        <v>#VALUE!</v>
      </c>
      <c r="IMC6" s="68" t="e" cm="1" vm="1">
        <f t="array" ref="IMC6">_xlfn._xlws.FILTER(TablaProductos[Nombre producto],TablaProductos[Agrupación]=ProductosPivot!IMC5)</f>
        <v>#VALUE!</v>
      </c>
      <c r="IMD6" s="68" t="e" cm="1" vm="1">
        <f t="array" ref="IMD6">_xlfn._xlws.FILTER(TablaProductos[Nombre producto],TablaProductos[Agrupación]=ProductosPivot!IMD5)</f>
        <v>#VALUE!</v>
      </c>
      <c r="IME6" s="68" t="e" cm="1" vm="1">
        <f t="array" ref="IME6">_xlfn._xlws.FILTER(TablaProductos[Nombre producto],TablaProductos[Agrupación]=ProductosPivot!IME5)</f>
        <v>#VALUE!</v>
      </c>
      <c r="IMF6" s="68" t="e" cm="1" vm="1">
        <f t="array" ref="IMF6">_xlfn._xlws.FILTER(TablaProductos[Nombre producto],TablaProductos[Agrupación]=ProductosPivot!IMF5)</f>
        <v>#VALUE!</v>
      </c>
      <c r="IMG6" s="68" t="e" cm="1" vm="1">
        <f t="array" ref="IMG6">_xlfn._xlws.FILTER(TablaProductos[Nombre producto],TablaProductos[Agrupación]=ProductosPivot!IMG5)</f>
        <v>#VALUE!</v>
      </c>
      <c r="IMH6" s="68" t="e" cm="1" vm="1">
        <f t="array" ref="IMH6">_xlfn._xlws.FILTER(TablaProductos[Nombre producto],TablaProductos[Agrupación]=ProductosPivot!IMH5)</f>
        <v>#VALUE!</v>
      </c>
      <c r="IMI6" s="68" t="e" cm="1" vm="1">
        <f t="array" ref="IMI6">_xlfn._xlws.FILTER(TablaProductos[Nombre producto],TablaProductos[Agrupación]=ProductosPivot!IMI5)</f>
        <v>#VALUE!</v>
      </c>
      <c r="IMJ6" s="68" t="e" cm="1" vm="1">
        <f t="array" ref="IMJ6">_xlfn._xlws.FILTER(TablaProductos[Nombre producto],TablaProductos[Agrupación]=ProductosPivot!IMJ5)</f>
        <v>#VALUE!</v>
      </c>
      <c r="IMK6" s="68" t="e" cm="1" vm="1">
        <f t="array" ref="IMK6">_xlfn._xlws.FILTER(TablaProductos[Nombre producto],TablaProductos[Agrupación]=ProductosPivot!IMK5)</f>
        <v>#VALUE!</v>
      </c>
      <c r="IML6" s="68" t="e" cm="1" vm="1">
        <f t="array" ref="IML6">_xlfn._xlws.FILTER(TablaProductos[Nombre producto],TablaProductos[Agrupación]=ProductosPivot!IML5)</f>
        <v>#VALUE!</v>
      </c>
      <c r="IMM6" s="68" t="e" cm="1" vm="1">
        <f t="array" ref="IMM6">_xlfn._xlws.FILTER(TablaProductos[Nombre producto],TablaProductos[Agrupación]=ProductosPivot!IMM5)</f>
        <v>#VALUE!</v>
      </c>
      <c r="IMN6" s="68" t="e" cm="1" vm="1">
        <f t="array" ref="IMN6">_xlfn._xlws.FILTER(TablaProductos[Nombre producto],TablaProductos[Agrupación]=ProductosPivot!IMN5)</f>
        <v>#VALUE!</v>
      </c>
      <c r="IMO6" s="68" t="e" cm="1" vm="1">
        <f t="array" ref="IMO6">_xlfn._xlws.FILTER(TablaProductos[Nombre producto],TablaProductos[Agrupación]=ProductosPivot!IMO5)</f>
        <v>#VALUE!</v>
      </c>
      <c r="IMP6" s="68" t="e" cm="1" vm="1">
        <f t="array" ref="IMP6">_xlfn._xlws.FILTER(TablaProductos[Nombre producto],TablaProductos[Agrupación]=ProductosPivot!IMP5)</f>
        <v>#VALUE!</v>
      </c>
      <c r="IMQ6" s="68" t="e" cm="1" vm="1">
        <f t="array" ref="IMQ6">_xlfn._xlws.FILTER(TablaProductos[Nombre producto],TablaProductos[Agrupación]=ProductosPivot!IMQ5)</f>
        <v>#VALUE!</v>
      </c>
      <c r="IMR6" s="68" t="e" cm="1" vm="1">
        <f t="array" ref="IMR6">_xlfn._xlws.FILTER(TablaProductos[Nombre producto],TablaProductos[Agrupación]=ProductosPivot!IMR5)</f>
        <v>#VALUE!</v>
      </c>
      <c r="IMS6" s="68" t="e" cm="1" vm="1">
        <f t="array" ref="IMS6">_xlfn._xlws.FILTER(TablaProductos[Nombre producto],TablaProductos[Agrupación]=ProductosPivot!IMS5)</f>
        <v>#VALUE!</v>
      </c>
      <c r="IMT6" s="68" t="e" cm="1" vm="1">
        <f t="array" ref="IMT6">_xlfn._xlws.FILTER(TablaProductos[Nombre producto],TablaProductos[Agrupación]=ProductosPivot!IMT5)</f>
        <v>#VALUE!</v>
      </c>
      <c r="IMU6" s="68" t="e" cm="1" vm="1">
        <f t="array" ref="IMU6">_xlfn._xlws.FILTER(TablaProductos[Nombre producto],TablaProductos[Agrupación]=ProductosPivot!IMU5)</f>
        <v>#VALUE!</v>
      </c>
      <c r="IMV6" s="68" t="e" cm="1" vm="1">
        <f t="array" ref="IMV6">_xlfn._xlws.FILTER(TablaProductos[Nombre producto],TablaProductos[Agrupación]=ProductosPivot!IMV5)</f>
        <v>#VALUE!</v>
      </c>
      <c r="IMW6" s="68" t="e" cm="1" vm="1">
        <f t="array" ref="IMW6">_xlfn._xlws.FILTER(TablaProductos[Nombre producto],TablaProductos[Agrupación]=ProductosPivot!IMW5)</f>
        <v>#VALUE!</v>
      </c>
      <c r="IMX6" s="68" t="e" cm="1" vm="1">
        <f t="array" ref="IMX6">_xlfn._xlws.FILTER(TablaProductos[Nombre producto],TablaProductos[Agrupación]=ProductosPivot!IMX5)</f>
        <v>#VALUE!</v>
      </c>
      <c r="IMY6" s="68" t="e" cm="1" vm="1">
        <f t="array" ref="IMY6">_xlfn._xlws.FILTER(TablaProductos[Nombre producto],TablaProductos[Agrupación]=ProductosPivot!IMY5)</f>
        <v>#VALUE!</v>
      </c>
      <c r="IMZ6" s="68" t="e" cm="1" vm="1">
        <f t="array" ref="IMZ6">_xlfn._xlws.FILTER(TablaProductos[Nombre producto],TablaProductos[Agrupación]=ProductosPivot!IMZ5)</f>
        <v>#VALUE!</v>
      </c>
      <c r="INA6" s="68" t="e" cm="1" vm="1">
        <f t="array" ref="INA6">_xlfn._xlws.FILTER(TablaProductos[Nombre producto],TablaProductos[Agrupación]=ProductosPivot!INA5)</f>
        <v>#VALUE!</v>
      </c>
      <c r="INB6" s="68" t="e" cm="1" vm="1">
        <f t="array" ref="INB6">_xlfn._xlws.FILTER(TablaProductos[Nombre producto],TablaProductos[Agrupación]=ProductosPivot!INB5)</f>
        <v>#VALUE!</v>
      </c>
      <c r="INC6" s="68" t="e" cm="1" vm="1">
        <f t="array" ref="INC6">_xlfn._xlws.FILTER(TablaProductos[Nombre producto],TablaProductos[Agrupación]=ProductosPivot!INC5)</f>
        <v>#VALUE!</v>
      </c>
      <c r="IND6" s="68" t="e" cm="1" vm="1">
        <f t="array" ref="IND6">_xlfn._xlws.FILTER(TablaProductos[Nombre producto],TablaProductos[Agrupación]=ProductosPivot!IND5)</f>
        <v>#VALUE!</v>
      </c>
      <c r="INE6" s="68" t="e" cm="1" vm="1">
        <f t="array" ref="INE6">_xlfn._xlws.FILTER(TablaProductos[Nombre producto],TablaProductos[Agrupación]=ProductosPivot!INE5)</f>
        <v>#VALUE!</v>
      </c>
      <c r="INF6" s="68" t="e" cm="1" vm="1">
        <f t="array" ref="INF6">_xlfn._xlws.FILTER(TablaProductos[Nombre producto],TablaProductos[Agrupación]=ProductosPivot!INF5)</f>
        <v>#VALUE!</v>
      </c>
      <c r="ING6" s="68" t="e" cm="1" vm="1">
        <f t="array" ref="ING6">_xlfn._xlws.FILTER(TablaProductos[Nombre producto],TablaProductos[Agrupación]=ProductosPivot!ING5)</f>
        <v>#VALUE!</v>
      </c>
      <c r="INH6" s="68" t="e" cm="1" vm="1">
        <f t="array" ref="INH6">_xlfn._xlws.FILTER(TablaProductos[Nombre producto],TablaProductos[Agrupación]=ProductosPivot!INH5)</f>
        <v>#VALUE!</v>
      </c>
      <c r="INI6" s="68" t="e" cm="1" vm="1">
        <f t="array" ref="INI6">_xlfn._xlws.FILTER(TablaProductos[Nombre producto],TablaProductos[Agrupación]=ProductosPivot!INI5)</f>
        <v>#VALUE!</v>
      </c>
      <c r="INJ6" s="68" t="e" cm="1" vm="1">
        <f t="array" ref="INJ6">_xlfn._xlws.FILTER(TablaProductos[Nombre producto],TablaProductos[Agrupación]=ProductosPivot!INJ5)</f>
        <v>#VALUE!</v>
      </c>
      <c r="INK6" s="68" t="e" cm="1" vm="1">
        <f t="array" ref="INK6">_xlfn._xlws.FILTER(TablaProductos[Nombre producto],TablaProductos[Agrupación]=ProductosPivot!INK5)</f>
        <v>#VALUE!</v>
      </c>
      <c r="INL6" s="68" t="e" cm="1" vm="1">
        <f t="array" ref="INL6">_xlfn._xlws.FILTER(TablaProductos[Nombre producto],TablaProductos[Agrupación]=ProductosPivot!INL5)</f>
        <v>#VALUE!</v>
      </c>
      <c r="INM6" s="68" t="e" cm="1" vm="1">
        <f t="array" ref="INM6">_xlfn._xlws.FILTER(TablaProductos[Nombre producto],TablaProductos[Agrupación]=ProductosPivot!INM5)</f>
        <v>#VALUE!</v>
      </c>
      <c r="INN6" s="68" t="e" cm="1" vm="1">
        <f t="array" ref="INN6">_xlfn._xlws.FILTER(TablaProductos[Nombre producto],TablaProductos[Agrupación]=ProductosPivot!INN5)</f>
        <v>#VALUE!</v>
      </c>
      <c r="INO6" s="68" t="e" cm="1" vm="1">
        <f t="array" ref="INO6">_xlfn._xlws.FILTER(TablaProductos[Nombre producto],TablaProductos[Agrupación]=ProductosPivot!INO5)</f>
        <v>#VALUE!</v>
      </c>
      <c r="INP6" s="68" t="e" cm="1" vm="1">
        <f t="array" ref="INP6">_xlfn._xlws.FILTER(TablaProductos[Nombre producto],TablaProductos[Agrupación]=ProductosPivot!INP5)</f>
        <v>#VALUE!</v>
      </c>
      <c r="INQ6" s="68" t="e" cm="1" vm="1">
        <f t="array" ref="INQ6">_xlfn._xlws.FILTER(TablaProductos[Nombre producto],TablaProductos[Agrupación]=ProductosPivot!INQ5)</f>
        <v>#VALUE!</v>
      </c>
      <c r="INR6" s="68" t="e" cm="1" vm="1">
        <f t="array" ref="INR6">_xlfn._xlws.FILTER(TablaProductos[Nombre producto],TablaProductos[Agrupación]=ProductosPivot!INR5)</f>
        <v>#VALUE!</v>
      </c>
      <c r="INS6" s="68" t="e" cm="1" vm="1">
        <f t="array" ref="INS6">_xlfn._xlws.FILTER(TablaProductos[Nombre producto],TablaProductos[Agrupación]=ProductosPivot!INS5)</f>
        <v>#VALUE!</v>
      </c>
      <c r="INT6" s="68" t="e" cm="1" vm="1">
        <f t="array" ref="INT6">_xlfn._xlws.FILTER(TablaProductos[Nombre producto],TablaProductos[Agrupación]=ProductosPivot!INT5)</f>
        <v>#VALUE!</v>
      </c>
      <c r="INU6" s="68" t="e" cm="1" vm="1">
        <f t="array" ref="INU6">_xlfn._xlws.FILTER(TablaProductos[Nombre producto],TablaProductos[Agrupación]=ProductosPivot!INU5)</f>
        <v>#VALUE!</v>
      </c>
      <c r="INV6" s="68" t="e" cm="1" vm="1">
        <f t="array" ref="INV6">_xlfn._xlws.FILTER(TablaProductos[Nombre producto],TablaProductos[Agrupación]=ProductosPivot!INV5)</f>
        <v>#VALUE!</v>
      </c>
      <c r="INW6" s="68" t="e" cm="1" vm="1">
        <f t="array" ref="INW6">_xlfn._xlws.FILTER(TablaProductos[Nombre producto],TablaProductos[Agrupación]=ProductosPivot!INW5)</f>
        <v>#VALUE!</v>
      </c>
      <c r="INX6" s="68" t="e" cm="1" vm="1">
        <f t="array" ref="INX6">_xlfn._xlws.FILTER(TablaProductos[Nombre producto],TablaProductos[Agrupación]=ProductosPivot!INX5)</f>
        <v>#VALUE!</v>
      </c>
      <c r="INY6" s="68" t="e" cm="1" vm="1">
        <f t="array" ref="INY6">_xlfn._xlws.FILTER(TablaProductos[Nombre producto],TablaProductos[Agrupación]=ProductosPivot!INY5)</f>
        <v>#VALUE!</v>
      </c>
      <c r="INZ6" s="68" t="e" cm="1" vm="1">
        <f t="array" ref="INZ6">_xlfn._xlws.FILTER(TablaProductos[Nombre producto],TablaProductos[Agrupación]=ProductosPivot!INZ5)</f>
        <v>#VALUE!</v>
      </c>
      <c r="IOA6" s="68" t="e" cm="1" vm="1">
        <f t="array" ref="IOA6">_xlfn._xlws.FILTER(TablaProductos[Nombre producto],TablaProductos[Agrupación]=ProductosPivot!IOA5)</f>
        <v>#VALUE!</v>
      </c>
      <c r="IOB6" s="68" t="e" cm="1" vm="1">
        <f t="array" ref="IOB6">_xlfn._xlws.FILTER(TablaProductos[Nombre producto],TablaProductos[Agrupación]=ProductosPivot!IOB5)</f>
        <v>#VALUE!</v>
      </c>
      <c r="IOC6" s="68" t="e" cm="1" vm="1">
        <f t="array" ref="IOC6">_xlfn._xlws.FILTER(TablaProductos[Nombre producto],TablaProductos[Agrupación]=ProductosPivot!IOC5)</f>
        <v>#VALUE!</v>
      </c>
      <c r="IOD6" s="68" t="e" cm="1" vm="1">
        <f t="array" ref="IOD6">_xlfn._xlws.FILTER(TablaProductos[Nombre producto],TablaProductos[Agrupación]=ProductosPivot!IOD5)</f>
        <v>#VALUE!</v>
      </c>
      <c r="IOE6" s="68" t="e" cm="1" vm="1">
        <f t="array" ref="IOE6">_xlfn._xlws.FILTER(TablaProductos[Nombre producto],TablaProductos[Agrupación]=ProductosPivot!IOE5)</f>
        <v>#VALUE!</v>
      </c>
      <c r="IOF6" s="68" t="e" cm="1" vm="1">
        <f t="array" ref="IOF6">_xlfn._xlws.FILTER(TablaProductos[Nombre producto],TablaProductos[Agrupación]=ProductosPivot!IOF5)</f>
        <v>#VALUE!</v>
      </c>
      <c r="IOG6" s="68" t="e" cm="1" vm="1">
        <f t="array" ref="IOG6">_xlfn._xlws.FILTER(TablaProductos[Nombre producto],TablaProductos[Agrupación]=ProductosPivot!IOG5)</f>
        <v>#VALUE!</v>
      </c>
      <c r="IOH6" s="68" t="e" cm="1" vm="1">
        <f t="array" ref="IOH6">_xlfn._xlws.FILTER(TablaProductos[Nombre producto],TablaProductos[Agrupación]=ProductosPivot!IOH5)</f>
        <v>#VALUE!</v>
      </c>
      <c r="IOI6" s="68" t="e" cm="1" vm="1">
        <f t="array" ref="IOI6">_xlfn._xlws.FILTER(TablaProductos[Nombre producto],TablaProductos[Agrupación]=ProductosPivot!IOI5)</f>
        <v>#VALUE!</v>
      </c>
      <c r="IOJ6" s="68" t="e" cm="1" vm="1">
        <f t="array" ref="IOJ6">_xlfn._xlws.FILTER(TablaProductos[Nombre producto],TablaProductos[Agrupación]=ProductosPivot!IOJ5)</f>
        <v>#VALUE!</v>
      </c>
      <c r="IOK6" s="68" t="e" cm="1" vm="1">
        <f t="array" ref="IOK6">_xlfn._xlws.FILTER(TablaProductos[Nombre producto],TablaProductos[Agrupación]=ProductosPivot!IOK5)</f>
        <v>#VALUE!</v>
      </c>
      <c r="IOL6" s="68" t="e" cm="1" vm="1">
        <f t="array" ref="IOL6">_xlfn._xlws.FILTER(TablaProductos[Nombre producto],TablaProductos[Agrupación]=ProductosPivot!IOL5)</f>
        <v>#VALUE!</v>
      </c>
      <c r="IOM6" s="68" t="e" cm="1" vm="1">
        <f t="array" ref="IOM6">_xlfn._xlws.FILTER(TablaProductos[Nombre producto],TablaProductos[Agrupación]=ProductosPivot!IOM5)</f>
        <v>#VALUE!</v>
      </c>
      <c r="ION6" s="68" t="e" cm="1" vm="1">
        <f t="array" ref="ION6">_xlfn._xlws.FILTER(TablaProductos[Nombre producto],TablaProductos[Agrupación]=ProductosPivot!ION5)</f>
        <v>#VALUE!</v>
      </c>
      <c r="IOO6" s="68" t="e" cm="1" vm="1">
        <f t="array" ref="IOO6">_xlfn._xlws.FILTER(TablaProductos[Nombre producto],TablaProductos[Agrupación]=ProductosPivot!IOO5)</f>
        <v>#VALUE!</v>
      </c>
      <c r="IOP6" s="68" t="e" cm="1" vm="1">
        <f t="array" ref="IOP6">_xlfn._xlws.FILTER(TablaProductos[Nombre producto],TablaProductos[Agrupación]=ProductosPivot!IOP5)</f>
        <v>#VALUE!</v>
      </c>
      <c r="IOQ6" s="68" t="e" cm="1" vm="1">
        <f t="array" ref="IOQ6">_xlfn._xlws.FILTER(TablaProductos[Nombre producto],TablaProductos[Agrupación]=ProductosPivot!IOQ5)</f>
        <v>#VALUE!</v>
      </c>
      <c r="IOR6" s="68" t="e" cm="1" vm="1">
        <f t="array" ref="IOR6">_xlfn._xlws.FILTER(TablaProductos[Nombre producto],TablaProductos[Agrupación]=ProductosPivot!IOR5)</f>
        <v>#VALUE!</v>
      </c>
      <c r="IOS6" s="68" t="e" cm="1" vm="1">
        <f t="array" ref="IOS6">_xlfn._xlws.FILTER(TablaProductos[Nombre producto],TablaProductos[Agrupación]=ProductosPivot!IOS5)</f>
        <v>#VALUE!</v>
      </c>
      <c r="IOT6" s="68" t="e" cm="1" vm="1">
        <f t="array" ref="IOT6">_xlfn._xlws.FILTER(TablaProductos[Nombre producto],TablaProductos[Agrupación]=ProductosPivot!IOT5)</f>
        <v>#VALUE!</v>
      </c>
      <c r="IOU6" s="68" t="e" cm="1" vm="1">
        <f t="array" ref="IOU6">_xlfn._xlws.FILTER(TablaProductos[Nombre producto],TablaProductos[Agrupación]=ProductosPivot!IOU5)</f>
        <v>#VALUE!</v>
      </c>
      <c r="IOV6" s="68" t="e" cm="1" vm="1">
        <f t="array" ref="IOV6">_xlfn._xlws.FILTER(TablaProductos[Nombre producto],TablaProductos[Agrupación]=ProductosPivot!IOV5)</f>
        <v>#VALUE!</v>
      </c>
      <c r="IOW6" s="68" t="e" cm="1" vm="1">
        <f t="array" ref="IOW6">_xlfn._xlws.FILTER(TablaProductos[Nombre producto],TablaProductos[Agrupación]=ProductosPivot!IOW5)</f>
        <v>#VALUE!</v>
      </c>
      <c r="IOX6" s="68" t="e" cm="1" vm="1">
        <f t="array" ref="IOX6">_xlfn._xlws.FILTER(TablaProductos[Nombre producto],TablaProductos[Agrupación]=ProductosPivot!IOX5)</f>
        <v>#VALUE!</v>
      </c>
      <c r="IOY6" s="68" t="e" cm="1" vm="1">
        <f t="array" ref="IOY6">_xlfn._xlws.FILTER(TablaProductos[Nombre producto],TablaProductos[Agrupación]=ProductosPivot!IOY5)</f>
        <v>#VALUE!</v>
      </c>
      <c r="IOZ6" s="68" t="e" cm="1" vm="1">
        <f t="array" ref="IOZ6">_xlfn._xlws.FILTER(TablaProductos[Nombre producto],TablaProductos[Agrupación]=ProductosPivot!IOZ5)</f>
        <v>#VALUE!</v>
      </c>
      <c r="IPA6" s="68" t="e" cm="1" vm="1">
        <f t="array" ref="IPA6">_xlfn._xlws.FILTER(TablaProductos[Nombre producto],TablaProductos[Agrupación]=ProductosPivot!IPA5)</f>
        <v>#VALUE!</v>
      </c>
      <c r="IPB6" s="68" t="e" cm="1" vm="1">
        <f t="array" ref="IPB6">_xlfn._xlws.FILTER(TablaProductos[Nombre producto],TablaProductos[Agrupación]=ProductosPivot!IPB5)</f>
        <v>#VALUE!</v>
      </c>
      <c r="IPC6" s="68" t="e" cm="1" vm="1">
        <f t="array" ref="IPC6">_xlfn._xlws.FILTER(TablaProductos[Nombre producto],TablaProductos[Agrupación]=ProductosPivot!IPC5)</f>
        <v>#VALUE!</v>
      </c>
      <c r="IPD6" s="68" t="e" cm="1" vm="1">
        <f t="array" ref="IPD6">_xlfn._xlws.FILTER(TablaProductos[Nombre producto],TablaProductos[Agrupación]=ProductosPivot!IPD5)</f>
        <v>#VALUE!</v>
      </c>
      <c r="IPE6" s="68" t="e" cm="1" vm="1">
        <f t="array" ref="IPE6">_xlfn._xlws.FILTER(TablaProductos[Nombre producto],TablaProductos[Agrupación]=ProductosPivot!IPE5)</f>
        <v>#VALUE!</v>
      </c>
      <c r="IPF6" s="68" t="e" cm="1" vm="1">
        <f t="array" ref="IPF6">_xlfn._xlws.FILTER(TablaProductos[Nombre producto],TablaProductos[Agrupación]=ProductosPivot!IPF5)</f>
        <v>#VALUE!</v>
      </c>
      <c r="IPG6" s="68" t="e" cm="1" vm="1">
        <f t="array" ref="IPG6">_xlfn._xlws.FILTER(TablaProductos[Nombre producto],TablaProductos[Agrupación]=ProductosPivot!IPG5)</f>
        <v>#VALUE!</v>
      </c>
      <c r="IPH6" s="68" t="e" cm="1" vm="1">
        <f t="array" ref="IPH6">_xlfn._xlws.FILTER(TablaProductos[Nombre producto],TablaProductos[Agrupación]=ProductosPivot!IPH5)</f>
        <v>#VALUE!</v>
      </c>
      <c r="IPI6" s="68" t="e" cm="1" vm="1">
        <f t="array" ref="IPI6">_xlfn._xlws.FILTER(TablaProductos[Nombre producto],TablaProductos[Agrupación]=ProductosPivot!IPI5)</f>
        <v>#VALUE!</v>
      </c>
      <c r="IPJ6" s="68" t="e" cm="1" vm="1">
        <f t="array" ref="IPJ6">_xlfn._xlws.FILTER(TablaProductos[Nombre producto],TablaProductos[Agrupación]=ProductosPivot!IPJ5)</f>
        <v>#VALUE!</v>
      </c>
      <c r="IPK6" s="68" t="e" cm="1" vm="1">
        <f t="array" ref="IPK6">_xlfn._xlws.FILTER(TablaProductos[Nombre producto],TablaProductos[Agrupación]=ProductosPivot!IPK5)</f>
        <v>#VALUE!</v>
      </c>
      <c r="IPL6" s="68" t="e" cm="1" vm="1">
        <f t="array" ref="IPL6">_xlfn._xlws.FILTER(TablaProductos[Nombre producto],TablaProductos[Agrupación]=ProductosPivot!IPL5)</f>
        <v>#VALUE!</v>
      </c>
      <c r="IPM6" s="68" t="e" cm="1" vm="1">
        <f t="array" ref="IPM6">_xlfn._xlws.FILTER(TablaProductos[Nombre producto],TablaProductos[Agrupación]=ProductosPivot!IPM5)</f>
        <v>#VALUE!</v>
      </c>
      <c r="IPN6" s="68" t="e" cm="1" vm="1">
        <f t="array" ref="IPN6">_xlfn._xlws.FILTER(TablaProductos[Nombre producto],TablaProductos[Agrupación]=ProductosPivot!IPN5)</f>
        <v>#VALUE!</v>
      </c>
      <c r="IPO6" s="68" t="e" cm="1" vm="1">
        <f t="array" ref="IPO6">_xlfn._xlws.FILTER(TablaProductos[Nombre producto],TablaProductos[Agrupación]=ProductosPivot!IPO5)</f>
        <v>#VALUE!</v>
      </c>
      <c r="IPP6" s="68" t="e" cm="1" vm="1">
        <f t="array" ref="IPP6">_xlfn._xlws.FILTER(TablaProductos[Nombre producto],TablaProductos[Agrupación]=ProductosPivot!IPP5)</f>
        <v>#VALUE!</v>
      </c>
      <c r="IPQ6" s="68" t="e" cm="1" vm="1">
        <f t="array" ref="IPQ6">_xlfn._xlws.FILTER(TablaProductos[Nombre producto],TablaProductos[Agrupación]=ProductosPivot!IPQ5)</f>
        <v>#VALUE!</v>
      </c>
      <c r="IPR6" s="68" t="e" cm="1" vm="1">
        <f t="array" ref="IPR6">_xlfn._xlws.FILTER(TablaProductos[Nombre producto],TablaProductos[Agrupación]=ProductosPivot!IPR5)</f>
        <v>#VALUE!</v>
      </c>
      <c r="IPS6" s="68" t="e" cm="1" vm="1">
        <f t="array" ref="IPS6">_xlfn._xlws.FILTER(TablaProductos[Nombre producto],TablaProductos[Agrupación]=ProductosPivot!IPS5)</f>
        <v>#VALUE!</v>
      </c>
      <c r="IPT6" s="68" t="e" cm="1" vm="1">
        <f t="array" ref="IPT6">_xlfn._xlws.FILTER(TablaProductos[Nombre producto],TablaProductos[Agrupación]=ProductosPivot!IPT5)</f>
        <v>#VALUE!</v>
      </c>
      <c r="IPU6" s="68" t="e" cm="1" vm="1">
        <f t="array" ref="IPU6">_xlfn._xlws.FILTER(TablaProductos[Nombre producto],TablaProductos[Agrupación]=ProductosPivot!IPU5)</f>
        <v>#VALUE!</v>
      </c>
      <c r="IPV6" s="68" t="e" cm="1" vm="1">
        <f t="array" ref="IPV6">_xlfn._xlws.FILTER(TablaProductos[Nombre producto],TablaProductos[Agrupación]=ProductosPivot!IPV5)</f>
        <v>#VALUE!</v>
      </c>
      <c r="IPW6" s="68" t="e" cm="1" vm="1">
        <f t="array" ref="IPW6">_xlfn._xlws.FILTER(TablaProductos[Nombre producto],TablaProductos[Agrupación]=ProductosPivot!IPW5)</f>
        <v>#VALUE!</v>
      </c>
      <c r="IPX6" s="68" t="e" cm="1" vm="1">
        <f t="array" ref="IPX6">_xlfn._xlws.FILTER(TablaProductos[Nombre producto],TablaProductos[Agrupación]=ProductosPivot!IPX5)</f>
        <v>#VALUE!</v>
      </c>
      <c r="IPY6" s="68" t="e" cm="1" vm="1">
        <f t="array" ref="IPY6">_xlfn._xlws.FILTER(TablaProductos[Nombre producto],TablaProductos[Agrupación]=ProductosPivot!IPY5)</f>
        <v>#VALUE!</v>
      </c>
      <c r="IPZ6" s="68" t="e" cm="1" vm="1">
        <f t="array" ref="IPZ6">_xlfn._xlws.FILTER(TablaProductos[Nombre producto],TablaProductos[Agrupación]=ProductosPivot!IPZ5)</f>
        <v>#VALUE!</v>
      </c>
      <c r="IQA6" s="68" t="e" cm="1" vm="1">
        <f t="array" ref="IQA6">_xlfn._xlws.FILTER(TablaProductos[Nombre producto],TablaProductos[Agrupación]=ProductosPivot!IQA5)</f>
        <v>#VALUE!</v>
      </c>
      <c r="IQB6" s="68" t="e" cm="1" vm="1">
        <f t="array" ref="IQB6">_xlfn._xlws.FILTER(TablaProductos[Nombre producto],TablaProductos[Agrupación]=ProductosPivot!IQB5)</f>
        <v>#VALUE!</v>
      </c>
      <c r="IQC6" s="68" t="e" cm="1" vm="1">
        <f t="array" ref="IQC6">_xlfn._xlws.FILTER(TablaProductos[Nombre producto],TablaProductos[Agrupación]=ProductosPivot!IQC5)</f>
        <v>#VALUE!</v>
      </c>
      <c r="IQD6" s="68" t="e" cm="1" vm="1">
        <f t="array" ref="IQD6">_xlfn._xlws.FILTER(TablaProductos[Nombre producto],TablaProductos[Agrupación]=ProductosPivot!IQD5)</f>
        <v>#VALUE!</v>
      </c>
      <c r="IQE6" s="68" t="e" cm="1" vm="1">
        <f t="array" ref="IQE6">_xlfn._xlws.FILTER(TablaProductos[Nombre producto],TablaProductos[Agrupación]=ProductosPivot!IQE5)</f>
        <v>#VALUE!</v>
      </c>
      <c r="IQF6" s="68" t="e" cm="1" vm="1">
        <f t="array" ref="IQF6">_xlfn._xlws.FILTER(TablaProductos[Nombre producto],TablaProductos[Agrupación]=ProductosPivot!IQF5)</f>
        <v>#VALUE!</v>
      </c>
      <c r="IQG6" s="68" t="e" cm="1" vm="1">
        <f t="array" ref="IQG6">_xlfn._xlws.FILTER(TablaProductos[Nombre producto],TablaProductos[Agrupación]=ProductosPivot!IQG5)</f>
        <v>#VALUE!</v>
      </c>
      <c r="IQH6" s="68" t="e" cm="1" vm="1">
        <f t="array" ref="IQH6">_xlfn._xlws.FILTER(TablaProductos[Nombre producto],TablaProductos[Agrupación]=ProductosPivot!IQH5)</f>
        <v>#VALUE!</v>
      </c>
      <c r="IQI6" s="68" t="e" cm="1" vm="1">
        <f t="array" ref="IQI6">_xlfn._xlws.FILTER(TablaProductos[Nombre producto],TablaProductos[Agrupación]=ProductosPivot!IQI5)</f>
        <v>#VALUE!</v>
      </c>
      <c r="IQJ6" s="68" t="e" cm="1" vm="1">
        <f t="array" ref="IQJ6">_xlfn._xlws.FILTER(TablaProductos[Nombre producto],TablaProductos[Agrupación]=ProductosPivot!IQJ5)</f>
        <v>#VALUE!</v>
      </c>
      <c r="IQK6" s="68" t="e" cm="1" vm="1">
        <f t="array" ref="IQK6">_xlfn._xlws.FILTER(TablaProductos[Nombre producto],TablaProductos[Agrupación]=ProductosPivot!IQK5)</f>
        <v>#VALUE!</v>
      </c>
      <c r="IQL6" s="68" t="e" cm="1" vm="1">
        <f t="array" ref="IQL6">_xlfn._xlws.FILTER(TablaProductos[Nombre producto],TablaProductos[Agrupación]=ProductosPivot!IQL5)</f>
        <v>#VALUE!</v>
      </c>
      <c r="IQM6" s="68" t="e" cm="1" vm="1">
        <f t="array" ref="IQM6">_xlfn._xlws.FILTER(TablaProductos[Nombre producto],TablaProductos[Agrupación]=ProductosPivot!IQM5)</f>
        <v>#VALUE!</v>
      </c>
      <c r="IQN6" s="68" t="e" cm="1" vm="1">
        <f t="array" ref="IQN6">_xlfn._xlws.FILTER(TablaProductos[Nombre producto],TablaProductos[Agrupación]=ProductosPivot!IQN5)</f>
        <v>#VALUE!</v>
      </c>
      <c r="IQO6" s="68" t="e" cm="1" vm="1">
        <f t="array" ref="IQO6">_xlfn._xlws.FILTER(TablaProductos[Nombre producto],TablaProductos[Agrupación]=ProductosPivot!IQO5)</f>
        <v>#VALUE!</v>
      </c>
      <c r="IQP6" s="68" t="e" cm="1" vm="1">
        <f t="array" ref="IQP6">_xlfn._xlws.FILTER(TablaProductos[Nombre producto],TablaProductos[Agrupación]=ProductosPivot!IQP5)</f>
        <v>#VALUE!</v>
      </c>
      <c r="IQQ6" s="68" t="e" cm="1" vm="1">
        <f t="array" ref="IQQ6">_xlfn._xlws.FILTER(TablaProductos[Nombre producto],TablaProductos[Agrupación]=ProductosPivot!IQQ5)</f>
        <v>#VALUE!</v>
      </c>
      <c r="IQR6" s="68" t="e" cm="1" vm="1">
        <f t="array" ref="IQR6">_xlfn._xlws.FILTER(TablaProductos[Nombre producto],TablaProductos[Agrupación]=ProductosPivot!IQR5)</f>
        <v>#VALUE!</v>
      </c>
      <c r="IQS6" s="68" t="e" cm="1" vm="1">
        <f t="array" ref="IQS6">_xlfn._xlws.FILTER(TablaProductos[Nombre producto],TablaProductos[Agrupación]=ProductosPivot!IQS5)</f>
        <v>#VALUE!</v>
      </c>
      <c r="IQT6" s="68" t="e" cm="1" vm="1">
        <f t="array" ref="IQT6">_xlfn._xlws.FILTER(TablaProductos[Nombre producto],TablaProductos[Agrupación]=ProductosPivot!IQT5)</f>
        <v>#VALUE!</v>
      </c>
      <c r="IQU6" s="68" t="e" cm="1" vm="1">
        <f t="array" ref="IQU6">_xlfn._xlws.FILTER(TablaProductos[Nombre producto],TablaProductos[Agrupación]=ProductosPivot!IQU5)</f>
        <v>#VALUE!</v>
      </c>
      <c r="IQV6" s="68" t="e" cm="1" vm="1">
        <f t="array" ref="IQV6">_xlfn._xlws.FILTER(TablaProductos[Nombre producto],TablaProductos[Agrupación]=ProductosPivot!IQV5)</f>
        <v>#VALUE!</v>
      </c>
      <c r="IQW6" s="68" t="e" cm="1" vm="1">
        <f t="array" ref="IQW6">_xlfn._xlws.FILTER(TablaProductos[Nombre producto],TablaProductos[Agrupación]=ProductosPivot!IQW5)</f>
        <v>#VALUE!</v>
      </c>
      <c r="IQX6" s="68" t="e" cm="1" vm="1">
        <f t="array" ref="IQX6">_xlfn._xlws.FILTER(TablaProductos[Nombre producto],TablaProductos[Agrupación]=ProductosPivot!IQX5)</f>
        <v>#VALUE!</v>
      </c>
      <c r="IQY6" s="68" t="e" cm="1" vm="1">
        <f t="array" ref="IQY6">_xlfn._xlws.FILTER(TablaProductos[Nombre producto],TablaProductos[Agrupación]=ProductosPivot!IQY5)</f>
        <v>#VALUE!</v>
      </c>
      <c r="IQZ6" s="68" t="e" cm="1" vm="1">
        <f t="array" ref="IQZ6">_xlfn._xlws.FILTER(TablaProductos[Nombre producto],TablaProductos[Agrupación]=ProductosPivot!IQZ5)</f>
        <v>#VALUE!</v>
      </c>
      <c r="IRA6" s="68" t="e" cm="1" vm="1">
        <f t="array" ref="IRA6">_xlfn._xlws.FILTER(TablaProductos[Nombre producto],TablaProductos[Agrupación]=ProductosPivot!IRA5)</f>
        <v>#VALUE!</v>
      </c>
      <c r="IRB6" s="68" t="e" cm="1" vm="1">
        <f t="array" ref="IRB6">_xlfn._xlws.FILTER(TablaProductos[Nombre producto],TablaProductos[Agrupación]=ProductosPivot!IRB5)</f>
        <v>#VALUE!</v>
      </c>
      <c r="IRC6" s="68" t="e" cm="1" vm="1">
        <f t="array" ref="IRC6">_xlfn._xlws.FILTER(TablaProductos[Nombre producto],TablaProductos[Agrupación]=ProductosPivot!IRC5)</f>
        <v>#VALUE!</v>
      </c>
      <c r="IRD6" s="68" t="e" cm="1" vm="1">
        <f t="array" ref="IRD6">_xlfn._xlws.FILTER(TablaProductos[Nombre producto],TablaProductos[Agrupación]=ProductosPivot!IRD5)</f>
        <v>#VALUE!</v>
      </c>
      <c r="IRE6" s="68" t="e" cm="1" vm="1">
        <f t="array" ref="IRE6">_xlfn._xlws.FILTER(TablaProductos[Nombre producto],TablaProductos[Agrupación]=ProductosPivot!IRE5)</f>
        <v>#VALUE!</v>
      </c>
      <c r="IRF6" s="68" t="e" cm="1" vm="1">
        <f t="array" ref="IRF6">_xlfn._xlws.FILTER(TablaProductos[Nombre producto],TablaProductos[Agrupación]=ProductosPivot!IRF5)</f>
        <v>#VALUE!</v>
      </c>
      <c r="IRG6" s="68" t="e" cm="1" vm="1">
        <f t="array" ref="IRG6">_xlfn._xlws.FILTER(TablaProductos[Nombre producto],TablaProductos[Agrupación]=ProductosPivot!IRG5)</f>
        <v>#VALUE!</v>
      </c>
      <c r="IRH6" s="68" t="e" cm="1" vm="1">
        <f t="array" ref="IRH6">_xlfn._xlws.FILTER(TablaProductos[Nombre producto],TablaProductos[Agrupación]=ProductosPivot!IRH5)</f>
        <v>#VALUE!</v>
      </c>
      <c r="IRI6" s="68" t="e" cm="1" vm="1">
        <f t="array" ref="IRI6">_xlfn._xlws.FILTER(TablaProductos[Nombre producto],TablaProductos[Agrupación]=ProductosPivot!IRI5)</f>
        <v>#VALUE!</v>
      </c>
      <c r="IRJ6" s="68" t="e" cm="1" vm="1">
        <f t="array" ref="IRJ6">_xlfn._xlws.FILTER(TablaProductos[Nombre producto],TablaProductos[Agrupación]=ProductosPivot!IRJ5)</f>
        <v>#VALUE!</v>
      </c>
      <c r="IRK6" s="68" t="e" cm="1" vm="1">
        <f t="array" ref="IRK6">_xlfn._xlws.FILTER(TablaProductos[Nombre producto],TablaProductos[Agrupación]=ProductosPivot!IRK5)</f>
        <v>#VALUE!</v>
      </c>
      <c r="IRL6" s="68" t="e" cm="1" vm="1">
        <f t="array" ref="IRL6">_xlfn._xlws.FILTER(TablaProductos[Nombre producto],TablaProductos[Agrupación]=ProductosPivot!IRL5)</f>
        <v>#VALUE!</v>
      </c>
      <c r="IRM6" s="68" t="e" cm="1" vm="1">
        <f t="array" ref="IRM6">_xlfn._xlws.FILTER(TablaProductos[Nombre producto],TablaProductos[Agrupación]=ProductosPivot!IRM5)</f>
        <v>#VALUE!</v>
      </c>
      <c r="IRN6" s="68" t="e" cm="1" vm="1">
        <f t="array" ref="IRN6">_xlfn._xlws.FILTER(TablaProductos[Nombre producto],TablaProductos[Agrupación]=ProductosPivot!IRN5)</f>
        <v>#VALUE!</v>
      </c>
      <c r="IRO6" s="68" t="e" cm="1" vm="1">
        <f t="array" ref="IRO6">_xlfn._xlws.FILTER(TablaProductos[Nombre producto],TablaProductos[Agrupación]=ProductosPivot!IRO5)</f>
        <v>#VALUE!</v>
      </c>
      <c r="IRP6" s="68" t="e" cm="1" vm="1">
        <f t="array" ref="IRP6">_xlfn._xlws.FILTER(TablaProductos[Nombre producto],TablaProductos[Agrupación]=ProductosPivot!IRP5)</f>
        <v>#VALUE!</v>
      </c>
      <c r="IRQ6" s="68" t="e" cm="1" vm="1">
        <f t="array" ref="IRQ6">_xlfn._xlws.FILTER(TablaProductos[Nombre producto],TablaProductos[Agrupación]=ProductosPivot!IRQ5)</f>
        <v>#VALUE!</v>
      </c>
      <c r="IRR6" s="68" t="e" cm="1" vm="1">
        <f t="array" ref="IRR6">_xlfn._xlws.FILTER(TablaProductos[Nombre producto],TablaProductos[Agrupación]=ProductosPivot!IRR5)</f>
        <v>#VALUE!</v>
      </c>
      <c r="IRS6" s="68" t="e" cm="1" vm="1">
        <f t="array" ref="IRS6">_xlfn._xlws.FILTER(TablaProductos[Nombre producto],TablaProductos[Agrupación]=ProductosPivot!IRS5)</f>
        <v>#VALUE!</v>
      </c>
      <c r="IRT6" s="68" t="e" cm="1" vm="1">
        <f t="array" ref="IRT6">_xlfn._xlws.FILTER(TablaProductos[Nombre producto],TablaProductos[Agrupación]=ProductosPivot!IRT5)</f>
        <v>#VALUE!</v>
      </c>
      <c r="IRU6" s="68" t="e" cm="1" vm="1">
        <f t="array" ref="IRU6">_xlfn._xlws.FILTER(TablaProductos[Nombre producto],TablaProductos[Agrupación]=ProductosPivot!IRU5)</f>
        <v>#VALUE!</v>
      </c>
      <c r="IRV6" s="68" t="e" cm="1" vm="1">
        <f t="array" ref="IRV6">_xlfn._xlws.FILTER(TablaProductos[Nombre producto],TablaProductos[Agrupación]=ProductosPivot!IRV5)</f>
        <v>#VALUE!</v>
      </c>
      <c r="IRW6" s="68" t="e" cm="1" vm="1">
        <f t="array" ref="IRW6">_xlfn._xlws.FILTER(TablaProductos[Nombre producto],TablaProductos[Agrupación]=ProductosPivot!IRW5)</f>
        <v>#VALUE!</v>
      </c>
      <c r="IRX6" s="68" t="e" cm="1" vm="1">
        <f t="array" ref="IRX6">_xlfn._xlws.FILTER(TablaProductos[Nombre producto],TablaProductos[Agrupación]=ProductosPivot!IRX5)</f>
        <v>#VALUE!</v>
      </c>
      <c r="IRY6" s="68" t="e" cm="1" vm="1">
        <f t="array" ref="IRY6">_xlfn._xlws.FILTER(TablaProductos[Nombre producto],TablaProductos[Agrupación]=ProductosPivot!IRY5)</f>
        <v>#VALUE!</v>
      </c>
      <c r="IRZ6" s="68" t="e" cm="1" vm="1">
        <f t="array" ref="IRZ6">_xlfn._xlws.FILTER(TablaProductos[Nombre producto],TablaProductos[Agrupación]=ProductosPivot!IRZ5)</f>
        <v>#VALUE!</v>
      </c>
      <c r="ISA6" s="68" t="e" cm="1" vm="1">
        <f t="array" ref="ISA6">_xlfn._xlws.FILTER(TablaProductos[Nombre producto],TablaProductos[Agrupación]=ProductosPivot!ISA5)</f>
        <v>#VALUE!</v>
      </c>
      <c r="ISB6" s="68" t="e" cm="1" vm="1">
        <f t="array" ref="ISB6">_xlfn._xlws.FILTER(TablaProductos[Nombre producto],TablaProductos[Agrupación]=ProductosPivot!ISB5)</f>
        <v>#VALUE!</v>
      </c>
      <c r="ISC6" s="68" t="e" cm="1" vm="1">
        <f t="array" ref="ISC6">_xlfn._xlws.FILTER(TablaProductos[Nombre producto],TablaProductos[Agrupación]=ProductosPivot!ISC5)</f>
        <v>#VALUE!</v>
      </c>
      <c r="ISD6" s="68" t="e" cm="1" vm="1">
        <f t="array" ref="ISD6">_xlfn._xlws.FILTER(TablaProductos[Nombre producto],TablaProductos[Agrupación]=ProductosPivot!ISD5)</f>
        <v>#VALUE!</v>
      </c>
      <c r="ISE6" s="68" t="e" cm="1" vm="1">
        <f t="array" ref="ISE6">_xlfn._xlws.FILTER(TablaProductos[Nombre producto],TablaProductos[Agrupación]=ProductosPivot!ISE5)</f>
        <v>#VALUE!</v>
      </c>
      <c r="ISF6" s="68" t="e" cm="1" vm="1">
        <f t="array" ref="ISF6">_xlfn._xlws.FILTER(TablaProductos[Nombre producto],TablaProductos[Agrupación]=ProductosPivot!ISF5)</f>
        <v>#VALUE!</v>
      </c>
      <c r="ISG6" s="68" t="e" cm="1" vm="1">
        <f t="array" ref="ISG6">_xlfn._xlws.FILTER(TablaProductos[Nombre producto],TablaProductos[Agrupación]=ProductosPivot!ISG5)</f>
        <v>#VALUE!</v>
      </c>
      <c r="ISH6" s="68" t="e" cm="1" vm="1">
        <f t="array" ref="ISH6">_xlfn._xlws.FILTER(TablaProductos[Nombre producto],TablaProductos[Agrupación]=ProductosPivot!ISH5)</f>
        <v>#VALUE!</v>
      </c>
      <c r="ISI6" s="68" t="e" cm="1" vm="1">
        <f t="array" ref="ISI6">_xlfn._xlws.FILTER(TablaProductos[Nombre producto],TablaProductos[Agrupación]=ProductosPivot!ISI5)</f>
        <v>#VALUE!</v>
      </c>
      <c r="ISJ6" s="68" t="e" cm="1" vm="1">
        <f t="array" ref="ISJ6">_xlfn._xlws.FILTER(TablaProductos[Nombre producto],TablaProductos[Agrupación]=ProductosPivot!ISJ5)</f>
        <v>#VALUE!</v>
      </c>
      <c r="ISK6" s="68" t="e" cm="1" vm="1">
        <f t="array" ref="ISK6">_xlfn._xlws.FILTER(TablaProductos[Nombre producto],TablaProductos[Agrupación]=ProductosPivot!ISK5)</f>
        <v>#VALUE!</v>
      </c>
      <c r="ISL6" s="68" t="e" cm="1" vm="1">
        <f t="array" ref="ISL6">_xlfn._xlws.FILTER(TablaProductos[Nombre producto],TablaProductos[Agrupación]=ProductosPivot!ISL5)</f>
        <v>#VALUE!</v>
      </c>
      <c r="ISM6" s="68" t="e" cm="1" vm="1">
        <f t="array" ref="ISM6">_xlfn._xlws.FILTER(TablaProductos[Nombre producto],TablaProductos[Agrupación]=ProductosPivot!ISM5)</f>
        <v>#VALUE!</v>
      </c>
      <c r="ISN6" s="68" t="e" cm="1" vm="1">
        <f t="array" ref="ISN6">_xlfn._xlws.FILTER(TablaProductos[Nombre producto],TablaProductos[Agrupación]=ProductosPivot!ISN5)</f>
        <v>#VALUE!</v>
      </c>
      <c r="ISO6" s="68" t="e" cm="1" vm="1">
        <f t="array" ref="ISO6">_xlfn._xlws.FILTER(TablaProductos[Nombre producto],TablaProductos[Agrupación]=ProductosPivot!ISO5)</f>
        <v>#VALUE!</v>
      </c>
      <c r="ISP6" s="68" t="e" cm="1" vm="1">
        <f t="array" ref="ISP6">_xlfn._xlws.FILTER(TablaProductos[Nombre producto],TablaProductos[Agrupación]=ProductosPivot!ISP5)</f>
        <v>#VALUE!</v>
      </c>
      <c r="ISQ6" s="68" t="e" cm="1" vm="1">
        <f t="array" ref="ISQ6">_xlfn._xlws.FILTER(TablaProductos[Nombre producto],TablaProductos[Agrupación]=ProductosPivot!ISQ5)</f>
        <v>#VALUE!</v>
      </c>
      <c r="ISR6" s="68" t="e" cm="1" vm="1">
        <f t="array" ref="ISR6">_xlfn._xlws.FILTER(TablaProductos[Nombre producto],TablaProductos[Agrupación]=ProductosPivot!ISR5)</f>
        <v>#VALUE!</v>
      </c>
      <c r="ISS6" s="68" t="e" cm="1" vm="1">
        <f t="array" ref="ISS6">_xlfn._xlws.FILTER(TablaProductos[Nombre producto],TablaProductos[Agrupación]=ProductosPivot!ISS5)</f>
        <v>#VALUE!</v>
      </c>
      <c r="IST6" s="68" t="e" cm="1" vm="1">
        <f t="array" ref="IST6">_xlfn._xlws.FILTER(TablaProductos[Nombre producto],TablaProductos[Agrupación]=ProductosPivot!IST5)</f>
        <v>#VALUE!</v>
      </c>
      <c r="ISU6" s="68" t="e" cm="1" vm="1">
        <f t="array" ref="ISU6">_xlfn._xlws.FILTER(TablaProductos[Nombre producto],TablaProductos[Agrupación]=ProductosPivot!ISU5)</f>
        <v>#VALUE!</v>
      </c>
      <c r="ISV6" s="68" t="e" cm="1" vm="1">
        <f t="array" ref="ISV6">_xlfn._xlws.FILTER(TablaProductos[Nombre producto],TablaProductos[Agrupación]=ProductosPivot!ISV5)</f>
        <v>#VALUE!</v>
      </c>
      <c r="ISW6" s="68" t="e" cm="1" vm="1">
        <f t="array" ref="ISW6">_xlfn._xlws.FILTER(TablaProductos[Nombre producto],TablaProductos[Agrupación]=ProductosPivot!ISW5)</f>
        <v>#VALUE!</v>
      </c>
      <c r="ISX6" s="68" t="e" cm="1" vm="1">
        <f t="array" ref="ISX6">_xlfn._xlws.FILTER(TablaProductos[Nombre producto],TablaProductos[Agrupación]=ProductosPivot!ISX5)</f>
        <v>#VALUE!</v>
      </c>
      <c r="ISY6" s="68" t="e" cm="1" vm="1">
        <f t="array" ref="ISY6">_xlfn._xlws.FILTER(TablaProductos[Nombre producto],TablaProductos[Agrupación]=ProductosPivot!ISY5)</f>
        <v>#VALUE!</v>
      </c>
      <c r="ISZ6" s="68" t="e" cm="1" vm="1">
        <f t="array" ref="ISZ6">_xlfn._xlws.FILTER(TablaProductos[Nombre producto],TablaProductos[Agrupación]=ProductosPivot!ISZ5)</f>
        <v>#VALUE!</v>
      </c>
      <c r="ITA6" s="68" t="e" cm="1" vm="1">
        <f t="array" ref="ITA6">_xlfn._xlws.FILTER(TablaProductos[Nombre producto],TablaProductos[Agrupación]=ProductosPivot!ITA5)</f>
        <v>#VALUE!</v>
      </c>
      <c r="ITB6" s="68" t="e" cm="1" vm="1">
        <f t="array" ref="ITB6">_xlfn._xlws.FILTER(TablaProductos[Nombre producto],TablaProductos[Agrupación]=ProductosPivot!ITB5)</f>
        <v>#VALUE!</v>
      </c>
      <c r="ITC6" s="68" t="e" cm="1" vm="1">
        <f t="array" ref="ITC6">_xlfn._xlws.FILTER(TablaProductos[Nombre producto],TablaProductos[Agrupación]=ProductosPivot!ITC5)</f>
        <v>#VALUE!</v>
      </c>
      <c r="ITD6" s="68" t="e" cm="1" vm="1">
        <f t="array" ref="ITD6">_xlfn._xlws.FILTER(TablaProductos[Nombre producto],TablaProductos[Agrupación]=ProductosPivot!ITD5)</f>
        <v>#VALUE!</v>
      </c>
      <c r="ITE6" s="68" t="e" cm="1" vm="1">
        <f t="array" ref="ITE6">_xlfn._xlws.FILTER(TablaProductos[Nombre producto],TablaProductos[Agrupación]=ProductosPivot!ITE5)</f>
        <v>#VALUE!</v>
      </c>
      <c r="ITF6" s="68" t="e" cm="1" vm="1">
        <f t="array" ref="ITF6">_xlfn._xlws.FILTER(TablaProductos[Nombre producto],TablaProductos[Agrupación]=ProductosPivot!ITF5)</f>
        <v>#VALUE!</v>
      </c>
      <c r="ITG6" s="68" t="e" cm="1" vm="1">
        <f t="array" ref="ITG6">_xlfn._xlws.FILTER(TablaProductos[Nombre producto],TablaProductos[Agrupación]=ProductosPivot!ITG5)</f>
        <v>#VALUE!</v>
      </c>
      <c r="ITH6" s="68" t="e" cm="1" vm="1">
        <f t="array" ref="ITH6">_xlfn._xlws.FILTER(TablaProductos[Nombre producto],TablaProductos[Agrupación]=ProductosPivot!ITH5)</f>
        <v>#VALUE!</v>
      </c>
      <c r="ITI6" s="68" t="e" cm="1" vm="1">
        <f t="array" ref="ITI6">_xlfn._xlws.FILTER(TablaProductos[Nombre producto],TablaProductos[Agrupación]=ProductosPivot!ITI5)</f>
        <v>#VALUE!</v>
      </c>
      <c r="ITJ6" s="68" t="e" cm="1" vm="1">
        <f t="array" ref="ITJ6">_xlfn._xlws.FILTER(TablaProductos[Nombre producto],TablaProductos[Agrupación]=ProductosPivot!ITJ5)</f>
        <v>#VALUE!</v>
      </c>
      <c r="ITK6" s="68" t="e" cm="1" vm="1">
        <f t="array" ref="ITK6">_xlfn._xlws.FILTER(TablaProductos[Nombre producto],TablaProductos[Agrupación]=ProductosPivot!ITK5)</f>
        <v>#VALUE!</v>
      </c>
      <c r="ITL6" s="68" t="e" cm="1" vm="1">
        <f t="array" ref="ITL6">_xlfn._xlws.FILTER(TablaProductos[Nombre producto],TablaProductos[Agrupación]=ProductosPivot!ITL5)</f>
        <v>#VALUE!</v>
      </c>
      <c r="ITM6" s="68" t="e" cm="1" vm="1">
        <f t="array" ref="ITM6">_xlfn._xlws.FILTER(TablaProductos[Nombre producto],TablaProductos[Agrupación]=ProductosPivot!ITM5)</f>
        <v>#VALUE!</v>
      </c>
      <c r="ITN6" s="68" t="e" cm="1" vm="1">
        <f t="array" ref="ITN6">_xlfn._xlws.FILTER(TablaProductos[Nombre producto],TablaProductos[Agrupación]=ProductosPivot!ITN5)</f>
        <v>#VALUE!</v>
      </c>
      <c r="ITO6" s="68" t="e" cm="1" vm="1">
        <f t="array" ref="ITO6">_xlfn._xlws.FILTER(TablaProductos[Nombre producto],TablaProductos[Agrupación]=ProductosPivot!ITO5)</f>
        <v>#VALUE!</v>
      </c>
      <c r="ITP6" s="68" t="e" cm="1" vm="1">
        <f t="array" ref="ITP6">_xlfn._xlws.FILTER(TablaProductos[Nombre producto],TablaProductos[Agrupación]=ProductosPivot!ITP5)</f>
        <v>#VALUE!</v>
      </c>
      <c r="ITQ6" s="68" t="e" cm="1" vm="1">
        <f t="array" ref="ITQ6">_xlfn._xlws.FILTER(TablaProductos[Nombre producto],TablaProductos[Agrupación]=ProductosPivot!ITQ5)</f>
        <v>#VALUE!</v>
      </c>
      <c r="ITR6" s="68" t="e" cm="1" vm="1">
        <f t="array" ref="ITR6">_xlfn._xlws.FILTER(TablaProductos[Nombre producto],TablaProductos[Agrupación]=ProductosPivot!ITR5)</f>
        <v>#VALUE!</v>
      </c>
      <c r="ITS6" s="68" t="e" cm="1" vm="1">
        <f t="array" ref="ITS6">_xlfn._xlws.FILTER(TablaProductos[Nombre producto],TablaProductos[Agrupación]=ProductosPivot!ITS5)</f>
        <v>#VALUE!</v>
      </c>
      <c r="ITT6" s="68" t="e" cm="1" vm="1">
        <f t="array" ref="ITT6">_xlfn._xlws.FILTER(TablaProductos[Nombre producto],TablaProductos[Agrupación]=ProductosPivot!ITT5)</f>
        <v>#VALUE!</v>
      </c>
      <c r="ITU6" s="68" t="e" cm="1" vm="1">
        <f t="array" ref="ITU6">_xlfn._xlws.FILTER(TablaProductos[Nombre producto],TablaProductos[Agrupación]=ProductosPivot!ITU5)</f>
        <v>#VALUE!</v>
      </c>
      <c r="ITV6" s="68" t="e" cm="1" vm="1">
        <f t="array" ref="ITV6">_xlfn._xlws.FILTER(TablaProductos[Nombre producto],TablaProductos[Agrupación]=ProductosPivot!ITV5)</f>
        <v>#VALUE!</v>
      </c>
      <c r="ITW6" s="68" t="e" cm="1" vm="1">
        <f t="array" ref="ITW6">_xlfn._xlws.FILTER(TablaProductos[Nombre producto],TablaProductos[Agrupación]=ProductosPivot!ITW5)</f>
        <v>#VALUE!</v>
      </c>
      <c r="ITX6" s="68" t="e" cm="1" vm="1">
        <f t="array" ref="ITX6">_xlfn._xlws.FILTER(TablaProductos[Nombre producto],TablaProductos[Agrupación]=ProductosPivot!ITX5)</f>
        <v>#VALUE!</v>
      </c>
      <c r="ITY6" s="68" t="e" cm="1" vm="1">
        <f t="array" ref="ITY6">_xlfn._xlws.FILTER(TablaProductos[Nombre producto],TablaProductos[Agrupación]=ProductosPivot!ITY5)</f>
        <v>#VALUE!</v>
      </c>
      <c r="ITZ6" s="68" t="e" cm="1" vm="1">
        <f t="array" ref="ITZ6">_xlfn._xlws.FILTER(TablaProductos[Nombre producto],TablaProductos[Agrupación]=ProductosPivot!ITZ5)</f>
        <v>#VALUE!</v>
      </c>
      <c r="IUA6" s="68" t="e" cm="1" vm="1">
        <f t="array" ref="IUA6">_xlfn._xlws.FILTER(TablaProductos[Nombre producto],TablaProductos[Agrupación]=ProductosPivot!IUA5)</f>
        <v>#VALUE!</v>
      </c>
      <c r="IUB6" s="68" t="e" cm="1" vm="1">
        <f t="array" ref="IUB6">_xlfn._xlws.FILTER(TablaProductos[Nombre producto],TablaProductos[Agrupación]=ProductosPivot!IUB5)</f>
        <v>#VALUE!</v>
      </c>
      <c r="IUC6" s="68" t="e" cm="1" vm="1">
        <f t="array" ref="IUC6">_xlfn._xlws.FILTER(TablaProductos[Nombre producto],TablaProductos[Agrupación]=ProductosPivot!IUC5)</f>
        <v>#VALUE!</v>
      </c>
      <c r="IUD6" s="68" t="e" cm="1" vm="1">
        <f t="array" ref="IUD6">_xlfn._xlws.FILTER(TablaProductos[Nombre producto],TablaProductos[Agrupación]=ProductosPivot!IUD5)</f>
        <v>#VALUE!</v>
      </c>
      <c r="IUE6" s="68" t="e" cm="1" vm="1">
        <f t="array" ref="IUE6">_xlfn._xlws.FILTER(TablaProductos[Nombre producto],TablaProductos[Agrupación]=ProductosPivot!IUE5)</f>
        <v>#VALUE!</v>
      </c>
      <c r="IUF6" s="68" t="e" cm="1" vm="1">
        <f t="array" ref="IUF6">_xlfn._xlws.FILTER(TablaProductos[Nombre producto],TablaProductos[Agrupación]=ProductosPivot!IUF5)</f>
        <v>#VALUE!</v>
      </c>
      <c r="IUG6" s="68" t="e" cm="1" vm="1">
        <f t="array" ref="IUG6">_xlfn._xlws.FILTER(TablaProductos[Nombre producto],TablaProductos[Agrupación]=ProductosPivot!IUG5)</f>
        <v>#VALUE!</v>
      </c>
      <c r="IUH6" s="68" t="e" cm="1" vm="1">
        <f t="array" ref="IUH6">_xlfn._xlws.FILTER(TablaProductos[Nombre producto],TablaProductos[Agrupación]=ProductosPivot!IUH5)</f>
        <v>#VALUE!</v>
      </c>
      <c r="IUI6" s="68" t="e" cm="1" vm="1">
        <f t="array" ref="IUI6">_xlfn._xlws.FILTER(TablaProductos[Nombre producto],TablaProductos[Agrupación]=ProductosPivot!IUI5)</f>
        <v>#VALUE!</v>
      </c>
      <c r="IUJ6" s="68" t="e" cm="1" vm="1">
        <f t="array" ref="IUJ6">_xlfn._xlws.FILTER(TablaProductos[Nombre producto],TablaProductos[Agrupación]=ProductosPivot!IUJ5)</f>
        <v>#VALUE!</v>
      </c>
      <c r="IUK6" s="68" t="e" cm="1" vm="1">
        <f t="array" ref="IUK6">_xlfn._xlws.FILTER(TablaProductos[Nombre producto],TablaProductos[Agrupación]=ProductosPivot!IUK5)</f>
        <v>#VALUE!</v>
      </c>
      <c r="IUL6" s="68" t="e" cm="1" vm="1">
        <f t="array" ref="IUL6">_xlfn._xlws.FILTER(TablaProductos[Nombre producto],TablaProductos[Agrupación]=ProductosPivot!IUL5)</f>
        <v>#VALUE!</v>
      </c>
      <c r="IUM6" s="68" t="e" cm="1" vm="1">
        <f t="array" ref="IUM6">_xlfn._xlws.FILTER(TablaProductos[Nombre producto],TablaProductos[Agrupación]=ProductosPivot!IUM5)</f>
        <v>#VALUE!</v>
      </c>
      <c r="IUN6" s="68" t="e" cm="1" vm="1">
        <f t="array" ref="IUN6">_xlfn._xlws.FILTER(TablaProductos[Nombre producto],TablaProductos[Agrupación]=ProductosPivot!IUN5)</f>
        <v>#VALUE!</v>
      </c>
      <c r="IUO6" s="68" t="e" cm="1" vm="1">
        <f t="array" ref="IUO6">_xlfn._xlws.FILTER(TablaProductos[Nombre producto],TablaProductos[Agrupación]=ProductosPivot!IUO5)</f>
        <v>#VALUE!</v>
      </c>
      <c r="IUP6" s="68" t="e" cm="1" vm="1">
        <f t="array" ref="IUP6">_xlfn._xlws.FILTER(TablaProductos[Nombre producto],TablaProductos[Agrupación]=ProductosPivot!IUP5)</f>
        <v>#VALUE!</v>
      </c>
      <c r="IUQ6" s="68" t="e" cm="1" vm="1">
        <f t="array" ref="IUQ6">_xlfn._xlws.FILTER(TablaProductos[Nombre producto],TablaProductos[Agrupación]=ProductosPivot!IUQ5)</f>
        <v>#VALUE!</v>
      </c>
      <c r="IUR6" s="68" t="e" cm="1" vm="1">
        <f t="array" ref="IUR6">_xlfn._xlws.FILTER(TablaProductos[Nombre producto],TablaProductos[Agrupación]=ProductosPivot!IUR5)</f>
        <v>#VALUE!</v>
      </c>
      <c r="IUS6" s="68" t="e" cm="1" vm="1">
        <f t="array" ref="IUS6">_xlfn._xlws.FILTER(TablaProductos[Nombre producto],TablaProductos[Agrupación]=ProductosPivot!IUS5)</f>
        <v>#VALUE!</v>
      </c>
      <c r="IUT6" s="68" t="e" cm="1" vm="1">
        <f t="array" ref="IUT6">_xlfn._xlws.FILTER(TablaProductos[Nombre producto],TablaProductos[Agrupación]=ProductosPivot!IUT5)</f>
        <v>#VALUE!</v>
      </c>
      <c r="IUU6" s="68" t="e" cm="1" vm="1">
        <f t="array" ref="IUU6">_xlfn._xlws.FILTER(TablaProductos[Nombre producto],TablaProductos[Agrupación]=ProductosPivot!IUU5)</f>
        <v>#VALUE!</v>
      </c>
      <c r="IUV6" s="68" t="e" cm="1" vm="1">
        <f t="array" ref="IUV6">_xlfn._xlws.FILTER(TablaProductos[Nombre producto],TablaProductos[Agrupación]=ProductosPivot!IUV5)</f>
        <v>#VALUE!</v>
      </c>
      <c r="IUW6" s="68" t="e" cm="1" vm="1">
        <f t="array" ref="IUW6">_xlfn._xlws.FILTER(TablaProductos[Nombre producto],TablaProductos[Agrupación]=ProductosPivot!IUW5)</f>
        <v>#VALUE!</v>
      </c>
      <c r="IUX6" s="68" t="e" cm="1" vm="1">
        <f t="array" ref="IUX6">_xlfn._xlws.FILTER(TablaProductos[Nombre producto],TablaProductos[Agrupación]=ProductosPivot!IUX5)</f>
        <v>#VALUE!</v>
      </c>
      <c r="IUY6" s="68" t="e" cm="1" vm="1">
        <f t="array" ref="IUY6">_xlfn._xlws.FILTER(TablaProductos[Nombre producto],TablaProductos[Agrupación]=ProductosPivot!IUY5)</f>
        <v>#VALUE!</v>
      </c>
      <c r="IUZ6" s="68" t="e" cm="1" vm="1">
        <f t="array" ref="IUZ6">_xlfn._xlws.FILTER(TablaProductos[Nombre producto],TablaProductos[Agrupación]=ProductosPivot!IUZ5)</f>
        <v>#VALUE!</v>
      </c>
      <c r="IVA6" s="68" t="e" cm="1" vm="1">
        <f t="array" ref="IVA6">_xlfn._xlws.FILTER(TablaProductos[Nombre producto],TablaProductos[Agrupación]=ProductosPivot!IVA5)</f>
        <v>#VALUE!</v>
      </c>
      <c r="IVB6" s="68" t="e" cm="1" vm="1">
        <f t="array" ref="IVB6">_xlfn._xlws.FILTER(TablaProductos[Nombre producto],TablaProductos[Agrupación]=ProductosPivot!IVB5)</f>
        <v>#VALUE!</v>
      </c>
      <c r="IVC6" s="68" t="e" cm="1" vm="1">
        <f t="array" ref="IVC6">_xlfn._xlws.FILTER(TablaProductos[Nombre producto],TablaProductos[Agrupación]=ProductosPivot!IVC5)</f>
        <v>#VALUE!</v>
      </c>
      <c r="IVD6" s="68" t="e" cm="1" vm="1">
        <f t="array" ref="IVD6">_xlfn._xlws.FILTER(TablaProductos[Nombre producto],TablaProductos[Agrupación]=ProductosPivot!IVD5)</f>
        <v>#VALUE!</v>
      </c>
      <c r="IVE6" s="68" t="e" cm="1" vm="1">
        <f t="array" ref="IVE6">_xlfn._xlws.FILTER(TablaProductos[Nombre producto],TablaProductos[Agrupación]=ProductosPivot!IVE5)</f>
        <v>#VALUE!</v>
      </c>
      <c r="IVF6" s="68" t="e" cm="1" vm="1">
        <f t="array" ref="IVF6">_xlfn._xlws.FILTER(TablaProductos[Nombre producto],TablaProductos[Agrupación]=ProductosPivot!IVF5)</f>
        <v>#VALUE!</v>
      </c>
      <c r="IVG6" s="68" t="e" cm="1" vm="1">
        <f t="array" ref="IVG6">_xlfn._xlws.FILTER(TablaProductos[Nombre producto],TablaProductos[Agrupación]=ProductosPivot!IVG5)</f>
        <v>#VALUE!</v>
      </c>
      <c r="IVH6" s="68" t="e" cm="1" vm="1">
        <f t="array" ref="IVH6">_xlfn._xlws.FILTER(TablaProductos[Nombre producto],TablaProductos[Agrupación]=ProductosPivot!IVH5)</f>
        <v>#VALUE!</v>
      </c>
      <c r="IVI6" s="68" t="e" cm="1" vm="1">
        <f t="array" ref="IVI6">_xlfn._xlws.FILTER(TablaProductos[Nombre producto],TablaProductos[Agrupación]=ProductosPivot!IVI5)</f>
        <v>#VALUE!</v>
      </c>
      <c r="IVJ6" s="68" t="e" cm="1" vm="1">
        <f t="array" ref="IVJ6">_xlfn._xlws.FILTER(TablaProductos[Nombre producto],TablaProductos[Agrupación]=ProductosPivot!IVJ5)</f>
        <v>#VALUE!</v>
      </c>
      <c r="IVK6" s="68" t="e" cm="1" vm="1">
        <f t="array" ref="IVK6">_xlfn._xlws.FILTER(TablaProductos[Nombre producto],TablaProductos[Agrupación]=ProductosPivot!IVK5)</f>
        <v>#VALUE!</v>
      </c>
      <c r="IVL6" s="68" t="e" cm="1" vm="1">
        <f t="array" ref="IVL6">_xlfn._xlws.FILTER(TablaProductos[Nombre producto],TablaProductos[Agrupación]=ProductosPivot!IVL5)</f>
        <v>#VALUE!</v>
      </c>
      <c r="IVM6" s="68" t="e" cm="1" vm="1">
        <f t="array" ref="IVM6">_xlfn._xlws.FILTER(TablaProductos[Nombre producto],TablaProductos[Agrupación]=ProductosPivot!IVM5)</f>
        <v>#VALUE!</v>
      </c>
      <c r="IVN6" s="68" t="e" cm="1" vm="1">
        <f t="array" ref="IVN6">_xlfn._xlws.FILTER(TablaProductos[Nombre producto],TablaProductos[Agrupación]=ProductosPivot!IVN5)</f>
        <v>#VALUE!</v>
      </c>
      <c r="IVO6" s="68" t="e" cm="1" vm="1">
        <f t="array" ref="IVO6">_xlfn._xlws.FILTER(TablaProductos[Nombre producto],TablaProductos[Agrupación]=ProductosPivot!IVO5)</f>
        <v>#VALUE!</v>
      </c>
      <c r="IVP6" s="68" t="e" cm="1" vm="1">
        <f t="array" ref="IVP6">_xlfn._xlws.FILTER(TablaProductos[Nombre producto],TablaProductos[Agrupación]=ProductosPivot!IVP5)</f>
        <v>#VALUE!</v>
      </c>
      <c r="IVQ6" s="68" t="e" cm="1" vm="1">
        <f t="array" ref="IVQ6">_xlfn._xlws.FILTER(TablaProductos[Nombre producto],TablaProductos[Agrupación]=ProductosPivot!IVQ5)</f>
        <v>#VALUE!</v>
      </c>
      <c r="IVR6" s="68" t="e" cm="1" vm="1">
        <f t="array" ref="IVR6">_xlfn._xlws.FILTER(TablaProductos[Nombre producto],TablaProductos[Agrupación]=ProductosPivot!IVR5)</f>
        <v>#VALUE!</v>
      </c>
      <c r="IVS6" s="68" t="e" cm="1" vm="1">
        <f t="array" ref="IVS6">_xlfn._xlws.FILTER(TablaProductos[Nombre producto],TablaProductos[Agrupación]=ProductosPivot!IVS5)</f>
        <v>#VALUE!</v>
      </c>
      <c r="IVT6" s="68" t="e" cm="1" vm="1">
        <f t="array" ref="IVT6">_xlfn._xlws.FILTER(TablaProductos[Nombre producto],TablaProductos[Agrupación]=ProductosPivot!IVT5)</f>
        <v>#VALUE!</v>
      </c>
      <c r="IVU6" s="68" t="e" cm="1" vm="1">
        <f t="array" ref="IVU6">_xlfn._xlws.FILTER(TablaProductos[Nombre producto],TablaProductos[Agrupación]=ProductosPivot!IVU5)</f>
        <v>#VALUE!</v>
      </c>
      <c r="IVV6" s="68" t="e" cm="1" vm="1">
        <f t="array" ref="IVV6">_xlfn._xlws.FILTER(TablaProductos[Nombre producto],TablaProductos[Agrupación]=ProductosPivot!IVV5)</f>
        <v>#VALUE!</v>
      </c>
      <c r="IVW6" s="68" t="e" cm="1" vm="1">
        <f t="array" ref="IVW6">_xlfn._xlws.FILTER(TablaProductos[Nombre producto],TablaProductos[Agrupación]=ProductosPivot!IVW5)</f>
        <v>#VALUE!</v>
      </c>
      <c r="IVX6" s="68" t="e" cm="1" vm="1">
        <f t="array" ref="IVX6">_xlfn._xlws.FILTER(TablaProductos[Nombre producto],TablaProductos[Agrupación]=ProductosPivot!IVX5)</f>
        <v>#VALUE!</v>
      </c>
      <c r="IVY6" s="68" t="e" cm="1" vm="1">
        <f t="array" ref="IVY6">_xlfn._xlws.FILTER(TablaProductos[Nombre producto],TablaProductos[Agrupación]=ProductosPivot!IVY5)</f>
        <v>#VALUE!</v>
      </c>
      <c r="IVZ6" s="68" t="e" cm="1" vm="1">
        <f t="array" ref="IVZ6">_xlfn._xlws.FILTER(TablaProductos[Nombre producto],TablaProductos[Agrupación]=ProductosPivot!IVZ5)</f>
        <v>#VALUE!</v>
      </c>
      <c r="IWA6" s="68" t="e" cm="1" vm="1">
        <f t="array" ref="IWA6">_xlfn._xlws.FILTER(TablaProductos[Nombre producto],TablaProductos[Agrupación]=ProductosPivot!IWA5)</f>
        <v>#VALUE!</v>
      </c>
      <c r="IWB6" s="68" t="e" cm="1" vm="1">
        <f t="array" ref="IWB6">_xlfn._xlws.FILTER(TablaProductos[Nombre producto],TablaProductos[Agrupación]=ProductosPivot!IWB5)</f>
        <v>#VALUE!</v>
      </c>
      <c r="IWC6" s="68" t="e" cm="1" vm="1">
        <f t="array" ref="IWC6">_xlfn._xlws.FILTER(TablaProductos[Nombre producto],TablaProductos[Agrupación]=ProductosPivot!IWC5)</f>
        <v>#VALUE!</v>
      </c>
      <c r="IWD6" s="68" t="e" cm="1" vm="1">
        <f t="array" ref="IWD6">_xlfn._xlws.FILTER(TablaProductos[Nombre producto],TablaProductos[Agrupación]=ProductosPivot!IWD5)</f>
        <v>#VALUE!</v>
      </c>
      <c r="IWE6" s="68" t="e" cm="1" vm="1">
        <f t="array" ref="IWE6">_xlfn._xlws.FILTER(TablaProductos[Nombre producto],TablaProductos[Agrupación]=ProductosPivot!IWE5)</f>
        <v>#VALUE!</v>
      </c>
      <c r="IWF6" s="68" t="e" cm="1" vm="1">
        <f t="array" ref="IWF6">_xlfn._xlws.FILTER(TablaProductos[Nombre producto],TablaProductos[Agrupación]=ProductosPivot!IWF5)</f>
        <v>#VALUE!</v>
      </c>
      <c r="IWG6" s="68" t="e" cm="1" vm="1">
        <f t="array" ref="IWG6">_xlfn._xlws.FILTER(TablaProductos[Nombre producto],TablaProductos[Agrupación]=ProductosPivot!IWG5)</f>
        <v>#VALUE!</v>
      </c>
      <c r="IWH6" s="68" t="e" cm="1" vm="1">
        <f t="array" ref="IWH6">_xlfn._xlws.FILTER(TablaProductos[Nombre producto],TablaProductos[Agrupación]=ProductosPivot!IWH5)</f>
        <v>#VALUE!</v>
      </c>
      <c r="IWI6" s="68" t="e" cm="1" vm="1">
        <f t="array" ref="IWI6">_xlfn._xlws.FILTER(TablaProductos[Nombre producto],TablaProductos[Agrupación]=ProductosPivot!IWI5)</f>
        <v>#VALUE!</v>
      </c>
      <c r="IWJ6" s="68" t="e" cm="1" vm="1">
        <f t="array" ref="IWJ6">_xlfn._xlws.FILTER(TablaProductos[Nombre producto],TablaProductos[Agrupación]=ProductosPivot!IWJ5)</f>
        <v>#VALUE!</v>
      </c>
      <c r="IWK6" s="68" t="e" cm="1" vm="1">
        <f t="array" ref="IWK6">_xlfn._xlws.FILTER(TablaProductos[Nombre producto],TablaProductos[Agrupación]=ProductosPivot!IWK5)</f>
        <v>#VALUE!</v>
      </c>
      <c r="IWL6" s="68" t="e" cm="1" vm="1">
        <f t="array" ref="IWL6">_xlfn._xlws.FILTER(TablaProductos[Nombre producto],TablaProductos[Agrupación]=ProductosPivot!IWL5)</f>
        <v>#VALUE!</v>
      </c>
      <c r="IWM6" s="68" t="e" cm="1" vm="1">
        <f t="array" ref="IWM6">_xlfn._xlws.FILTER(TablaProductos[Nombre producto],TablaProductos[Agrupación]=ProductosPivot!IWM5)</f>
        <v>#VALUE!</v>
      </c>
      <c r="IWN6" s="68" t="e" cm="1" vm="1">
        <f t="array" ref="IWN6">_xlfn._xlws.FILTER(TablaProductos[Nombre producto],TablaProductos[Agrupación]=ProductosPivot!IWN5)</f>
        <v>#VALUE!</v>
      </c>
      <c r="IWO6" s="68" t="e" cm="1" vm="1">
        <f t="array" ref="IWO6">_xlfn._xlws.FILTER(TablaProductos[Nombre producto],TablaProductos[Agrupación]=ProductosPivot!IWO5)</f>
        <v>#VALUE!</v>
      </c>
      <c r="IWP6" s="68" t="e" cm="1" vm="1">
        <f t="array" ref="IWP6">_xlfn._xlws.FILTER(TablaProductos[Nombre producto],TablaProductos[Agrupación]=ProductosPivot!IWP5)</f>
        <v>#VALUE!</v>
      </c>
      <c r="IWQ6" s="68" t="e" cm="1" vm="1">
        <f t="array" ref="IWQ6">_xlfn._xlws.FILTER(TablaProductos[Nombre producto],TablaProductos[Agrupación]=ProductosPivot!IWQ5)</f>
        <v>#VALUE!</v>
      </c>
      <c r="IWR6" s="68" t="e" cm="1" vm="1">
        <f t="array" ref="IWR6">_xlfn._xlws.FILTER(TablaProductos[Nombre producto],TablaProductos[Agrupación]=ProductosPivot!IWR5)</f>
        <v>#VALUE!</v>
      </c>
      <c r="IWS6" s="68" t="e" cm="1" vm="1">
        <f t="array" ref="IWS6">_xlfn._xlws.FILTER(TablaProductos[Nombre producto],TablaProductos[Agrupación]=ProductosPivot!IWS5)</f>
        <v>#VALUE!</v>
      </c>
      <c r="IWT6" s="68" t="e" cm="1" vm="1">
        <f t="array" ref="IWT6">_xlfn._xlws.FILTER(TablaProductos[Nombre producto],TablaProductos[Agrupación]=ProductosPivot!IWT5)</f>
        <v>#VALUE!</v>
      </c>
      <c r="IWU6" s="68" t="e" cm="1" vm="1">
        <f t="array" ref="IWU6">_xlfn._xlws.FILTER(TablaProductos[Nombre producto],TablaProductos[Agrupación]=ProductosPivot!IWU5)</f>
        <v>#VALUE!</v>
      </c>
      <c r="IWV6" s="68" t="e" cm="1" vm="1">
        <f t="array" ref="IWV6">_xlfn._xlws.FILTER(TablaProductos[Nombre producto],TablaProductos[Agrupación]=ProductosPivot!IWV5)</f>
        <v>#VALUE!</v>
      </c>
      <c r="IWW6" s="68" t="e" cm="1" vm="1">
        <f t="array" ref="IWW6">_xlfn._xlws.FILTER(TablaProductos[Nombre producto],TablaProductos[Agrupación]=ProductosPivot!IWW5)</f>
        <v>#VALUE!</v>
      </c>
      <c r="IWX6" s="68" t="e" cm="1" vm="1">
        <f t="array" ref="IWX6">_xlfn._xlws.FILTER(TablaProductos[Nombre producto],TablaProductos[Agrupación]=ProductosPivot!IWX5)</f>
        <v>#VALUE!</v>
      </c>
      <c r="IWY6" s="68" t="e" cm="1" vm="1">
        <f t="array" ref="IWY6">_xlfn._xlws.FILTER(TablaProductos[Nombre producto],TablaProductos[Agrupación]=ProductosPivot!IWY5)</f>
        <v>#VALUE!</v>
      </c>
      <c r="IWZ6" s="68" t="e" cm="1" vm="1">
        <f t="array" ref="IWZ6">_xlfn._xlws.FILTER(TablaProductos[Nombre producto],TablaProductos[Agrupación]=ProductosPivot!IWZ5)</f>
        <v>#VALUE!</v>
      </c>
      <c r="IXA6" s="68" t="e" cm="1" vm="1">
        <f t="array" ref="IXA6">_xlfn._xlws.FILTER(TablaProductos[Nombre producto],TablaProductos[Agrupación]=ProductosPivot!IXA5)</f>
        <v>#VALUE!</v>
      </c>
      <c r="IXB6" s="68" t="e" cm="1" vm="1">
        <f t="array" ref="IXB6">_xlfn._xlws.FILTER(TablaProductos[Nombre producto],TablaProductos[Agrupación]=ProductosPivot!IXB5)</f>
        <v>#VALUE!</v>
      </c>
      <c r="IXC6" s="68" t="e" cm="1" vm="1">
        <f t="array" ref="IXC6">_xlfn._xlws.FILTER(TablaProductos[Nombre producto],TablaProductos[Agrupación]=ProductosPivot!IXC5)</f>
        <v>#VALUE!</v>
      </c>
      <c r="IXD6" s="68" t="e" cm="1" vm="1">
        <f t="array" ref="IXD6">_xlfn._xlws.FILTER(TablaProductos[Nombre producto],TablaProductos[Agrupación]=ProductosPivot!IXD5)</f>
        <v>#VALUE!</v>
      </c>
      <c r="IXE6" s="68" t="e" cm="1" vm="1">
        <f t="array" ref="IXE6">_xlfn._xlws.FILTER(TablaProductos[Nombre producto],TablaProductos[Agrupación]=ProductosPivot!IXE5)</f>
        <v>#VALUE!</v>
      </c>
      <c r="IXF6" s="68" t="e" cm="1" vm="1">
        <f t="array" ref="IXF6">_xlfn._xlws.FILTER(TablaProductos[Nombre producto],TablaProductos[Agrupación]=ProductosPivot!IXF5)</f>
        <v>#VALUE!</v>
      </c>
      <c r="IXG6" s="68" t="e" cm="1" vm="1">
        <f t="array" ref="IXG6">_xlfn._xlws.FILTER(TablaProductos[Nombre producto],TablaProductos[Agrupación]=ProductosPivot!IXG5)</f>
        <v>#VALUE!</v>
      </c>
      <c r="IXH6" s="68" t="e" cm="1" vm="1">
        <f t="array" ref="IXH6">_xlfn._xlws.FILTER(TablaProductos[Nombre producto],TablaProductos[Agrupación]=ProductosPivot!IXH5)</f>
        <v>#VALUE!</v>
      </c>
      <c r="IXI6" s="68" t="e" cm="1" vm="1">
        <f t="array" ref="IXI6">_xlfn._xlws.FILTER(TablaProductos[Nombre producto],TablaProductos[Agrupación]=ProductosPivot!IXI5)</f>
        <v>#VALUE!</v>
      </c>
      <c r="IXJ6" s="68" t="e" cm="1" vm="1">
        <f t="array" ref="IXJ6">_xlfn._xlws.FILTER(TablaProductos[Nombre producto],TablaProductos[Agrupación]=ProductosPivot!IXJ5)</f>
        <v>#VALUE!</v>
      </c>
      <c r="IXK6" s="68" t="e" cm="1" vm="1">
        <f t="array" ref="IXK6">_xlfn._xlws.FILTER(TablaProductos[Nombre producto],TablaProductos[Agrupación]=ProductosPivot!IXK5)</f>
        <v>#VALUE!</v>
      </c>
      <c r="IXL6" s="68" t="e" cm="1" vm="1">
        <f t="array" ref="IXL6">_xlfn._xlws.FILTER(TablaProductos[Nombre producto],TablaProductos[Agrupación]=ProductosPivot!IXL5)</f>
        <v>#VALUE!</v>
      </c>
      <c r="IXM6" s="68" t="e" cm="1" vm="1">
        <f t="array" ref="IXM6">_xlfn._xlws.FILTER(TablaProductos[Nombre producto],TablaProductos[Agrupación]=ProductosPivot!IXM5)</f>
        <v>#VALUE!</v>
      </c>
      <c r="IXN6" s="68" t="e" cm="1" vm="1">
        <f t="array" ref="IXN6">_xlfn._xlws.FILTER(TablaProductos[Nombre producto],TablaProductos[Agrupación]=ProductosPivot!IXN5)</f>
        <v>#VALUE!</v>
      </c>
      <c r="IXO6" s="68" t="e" cm="1" vm="1">
        <f t="array" ref="IXO6">_xlfn._xlws.FILTER(TablaProductos[Nombre producto],TablaProductos[Agrupación]=ProductosPivot!IXO5)</f>
        <v>#VALUE!</v>
      </c>
      <c r="IXP6" s="68" t="e" cm="1" vm="1">
        <f t="array" ref="IXP6">_xlfn._xlws.FILTER(TablaProductos[Nombre producto],TablaProductos[Agrupación]=ProductosPivot!IXP5)</f>
        <v>#VALUE!</v>
      </c>
      <c r="IXQ6" s="68" t="e" cm="1" vm="1">
        <f t="array" ref="IXQ6">_xlfn._xlws.FILTER(TablaProductos[Nombre producto],TablaProductos[Agrupación]=ProductosPivot!IXQ5)</f>
        <v>#VALUE!</v>
      </c>
      <c r="IXR6" s="68" t="e" cm="1" vm="1">
        <f t="array" ref="IXR6">_xlfn._xlws.FILTER(TablaProductos[Nombre producto],TablaProductos[Agrupación]=ProductosPivot!IXR5)</f>
        <v>#VALUE!</v>
      </c>
      <c r="IXS6" s="68" t="e" cm="1" vm="1">
        <f t="array" ref="IXS6">_xlfn._xlws.FILTER(TablaProductos[Nombre producto],TablaProductos[Agrupación]=ProductosPivot!IXS5)</f>
        <v>#VALUE!</v>
      </c>
      <c r="IXT6" s="68" t="e" cm="1" vm="1">
        <f t="array" ref="IXT6">_xlfn._xlws.FILTER(TablaProductos[Nombre producto],TablaProductos[Agrupación]=ProductosPivot!IXT5)</f>
        <v>#VALUE!</v>
      </c>
      <c r="IXU6" s="68" t="e" cm="1" vm="1">
        <f t="array" ref="IXU6">_xlfn._xlws.FILTER(TablaProductos[Nombre producto],TablaProductos[Agrupación]=ProductosPivot!IXU5)</f>
        <v>#VALUE!</v>
      </c>
      <c r="IXV6" s="68" t="e" cm="1" vm="1">
        <f t="array" ref="IXV6">_xlfn._xlws.FILTER(TablaProductos[Nombre producto],TablaProductos[Agrupación]=ProductosPivot!IXV5)</f>
        <v>#VALUE!</v>
      </c>
      <c r="IXW6" s="68" t="e" cm="1" vm="1">
        <f t="array" ref="IXW6">_xlfn._xlws.FILTER(TablaProductos[Nombre producto],TablaProductos[Agrupación]=ProductosPivot!IXW5)</f>
        <v>#VALUE!</v>
      </c>
      <c r="IXX6" s="68" t="e" cm="1" vm="1">
        <f t="array" ref="IXX6">_xlfn._xlws.FILTER(TablaProductos[Nombre producto],TablaProductos[Agrupación]=ProductosPivot!IXX5)</f>
        <v>#VALUE!</v>
      </c>
      <c r="IXY6" s="68" t="e" cm="1" vm="1">
        <f t="array" ref="IXY6">_xlfn._xlws.FILTER(TablaProductos[Nombre producto],TablaProductos[Agrupación]=ProductosPivot!IXY5)</f>
        <v>#VALUE!</v>
      </c>
      <c r="IXZ6" s="68" t="e" cm="1" vm="1">
        <f t="array" ref="IXZ6">_xlfn._xlws.FILTER(TablaProductos[Nombre producto],TablaProductos[Agrupación]=ProductosPivot!IXZ5)</f>
        <v>#VALUE!</v>
      </c>
      <c r="IYA6" s="68" t="e" cm="1" vm="1">
        <f t="array" ref="IYA6">_xlfn._xlws.FILTER(TablaProductos[Nombre producto],TablaProductos[Agrupación]=ProductosPivot!IYA5)</f>
        <v>#VALUE!</v>
      </c>
      <c r="IYB6" s="68" t="e" cm="1" vm="1">
        <f t="array" ref="IYB6">_xlfn._xlws.FILTER(TablaProductos[Nombre producto],TablaProductos[Agrupación]=ProductosPivot!IYB5)</f>
        <v>#VALUE!</v>
      </c>
      <c r="IYC6" s="68" t="e" cm="1" vm="1">
        <f t="array" ref="IYC6">_xlfn._xlws.FILTER(TablaProductos[Nombre producto],TablaProductos[Agrupación]=ProductosPivot!IYC5)</f>
        <v>#VALUE!</v>
      </c>
      <c r="IYD6" s="68" t="e" cm="1" vm="1">
        <f t="array" ref="IYD6">_xlfn._xlws.FILTER(TablaProductos[Nombre producto],TablaProductos[Agrupación]=ProductosPivot!IYD5)</f>
        <v>#VALUE!</v>
      </c>
      <c r="IYE6" s="68" t="e" cm="1" vm="1">
        <f t="array" ref="IYE6">_xlfn._xlws.FILTER(TablaProductos[Nombre producto],TablaProductos[Agrupación]=ProductosPivot!IYE5)</f>
        <v>#VALUE!</v>
      </c>
      <c r="IYF6" s="68" t="e" cm="1" vm="1">
        <f t="array" ref="IYF6">_xlfn._xlws.FILTER(TablaProductos[Nombre producto],TablaProductos[Agrupación]=ProductosPivot!IYF5)</f>
        <v>#VALUE!</v>
      </c>
      <c r="IYG6" s="68" t="e" cm="1" vm="1">
        <f t="array" ref="IYG6">_xlfn._xlws.FILTER(TablaProductos[Nombre producto],TablaProductos[Agrupación]=ProductosPivot!IYG5)</f>
        <v>#VALUE!</v>
      </c>
      <c r="IYH6" s="68" t="e" cm="1" vm="1">
        <f t="array" ref="IYH6">_xlfn._xlws.FILTER(TablaProductos[Nombre producto],TablaProductos[Agrupación]=ProductosPivot!IYH5)</f>
        <v>#VALUE!</v>
      </c>
      <c r="IYI6" s="68" t="e" cm="1" vm="1">
        <f t="array" ref="IYI6">_xlfn._xlws.FILTER(TablaProductos[Nombre producto],TablaProductos[Agrupación]=ProductosPivot!IYI5)</f>
        <v>#VALUE!</v>
      </c>
      <c r="IYJ6" s="68" t="e" cm="1" vm="1">
        <f t="array" ref="IYJ6">_xlfn._xlws.FILTER(TablaProductos[Nombre producto],TablaProductos[Agrupación]=ProductosPivot!IYJ5)</f>
        <v>#VALUE!</v>
      </c>
      <c r="IYK6" s="68" t="e" cm="1" vm="1">
        <f t="array" ref="IYK6">_xlfn._xlws.FILTER(TablaProductos[Nombre producto],TablaProductos[Agrupación]=ProductosPivot!IYK5)</f>
        <v>#VALUE!</v>
      </c>
      <c r="IYL6" s="68" t="e" cm="1" vm="1">
        <f t="array" ref="IYL6">_xlfn._xlws.FILTER(TablaProductos[Nombre producto],TablaProductos[Agrupación]=ProductosPivot!IYL5)</f>
        <v>#VALUE!</v>
      </c>
      <c r="IYM6" s="68" t="e" cm="1" vm="1">
        <f t="array" ref="IYM6">_xlfn._xlws.FILTER(TablaProductos[Nombre producto],TablaProductos[Agrupación]=ProductosPivot!IYM5)</f>
        <v>#VALUE!</v>
      </c>
      <c r="IYN6" s="68" t="e" cm="1" vm="1">
        <f t="array" ref="IYN6">_xlfn._xlws.FILTER(TablaProductos[Nombre producto],TablaProductos[Agrupación]=ProductosPivot!IYN5)</f>
        <v>#VALUE!</v>
      </c>
      <c r="IYO6" s="68" t="e" cm="1" vm="1">
        <f t="array" ref="IYO6">_xlfn._xlws.FILTER(TablaProductos[Nombre producto],TablaProductos[Agrupación]=ProductosPivot!IYO5)</f>
        <v>#VALUE!</v>
      </c>
      <c r="IYP6" s="68" t="e" cm="1" vm="1">
        <f t="array" ref="IYP6">_xlfn._xlws.FILTER(TablaProductos[Nombre producto],TablaProductos[Agrupación]=ProductosPivot!IYP5)</f>
        <v>#VALUE!</v>
      </c>
      <c r="IYQ6" s="68" t="e" cm="1" vm="1">
        <f t="array" ref="IYQ6">_xlfn._xlws.FILTER(TablaProductos[Nombre producto],TablaProductos[Agrupación]=ProductosPivot!IYQ5)</f>
        <v>#VALUE!</v>
      </c>
      <c r="IYR6" s="68" t="e" cm="1" vm="1">
        <f t="array" ref="IYR6">_xlfn._xlws.FILTER(TablaProductos[Nombre producto],TablaProductos[Agrupación]=ProductosPivot!IYR5)</f>
        <v>#VALUE!</v>
      </c>
      <c r="IYS6" s="68" t="e" cm="1" vm="1">
        <f t="array" ref="IYS6">_xlfn._xlws.FILTER(TablaProductos[Nombre producto],TablaProductos[Agrupación]=ProductosPivot!IYS5)</f>
        <v>#VALUE!</v>
      </c>
      <c r="IYT6" s="68" t="e" cm="1" vm="1">
        <f t="array" ref="IYT6">_xlfn._xlws.FILTER(TablaProductos[Nombre producto],TablaProductos[Agrupación]=ProductosPivot!IYT5)</f>
        <v>#VALUE!</v>
      </c>
      <c r="IYU6" s="68" t="e" cm="1" vm="1">
        <f t="array" ref="IYU6">_xlfn._xlws.FILTER(TablaProductos[Nombre producto],TablaProductos[Agrupación]=ProductosPivot!IYU5)</f>
        <v>#VALUE!</v>
      </c>
      <c r="IYV6" s="68" t="e" cm="1" vm="1">
        <f t="array" ref="IYV6">_xlfn._xlws.FILTER(TablaProductos[Nombre producto],TablaProductos[Agrupación]=ProductosPivot!IYV5)</f>
        <v>#VALUE!</v>
      </c>
      <c r="IYW6" s="68" t="e" cm="1" vm="1">
        <f t="array" ref="IYW6">_xlfn._xlws.FILTER(TablaProductos[Nombre producto],TablaProductos[Agrupación]=ProductosPivot!IYW5)</f>
        <v>#VALUE!</v>
      </c>
      <c r="IYX6" s="68" t="e" cm="1" vm="1">
        <f t="array" ref="IYX6">_xlfn._xlws.FILTER(TablaProductos[Nombre producto],TablaProductos[Agrupación]=ProductosPivot!IYX5)</f>
        <v>#VALUE!</v>
      </c>
      <c r="IYY6" s="68" t="e" cm="1" vm="1">
        <f t="array" ref="IYY6">_xlfn._xlws.FILTER(TablaProductos[Nombre producto],TablaProductos[Agrupación]=ProductosPivot!IYY5)</f>
        <v>#VALUE!</v>
      </c>
      <c r="IYZ6" s="68" t="e" cm="1" vm="1">
        <f t="array" ref="IYZ6">_xlfn._xlws.FILTER(TablaProductos[Nombre producto],TablaProductos[Agrupación]=ProductosPivot!IYZ5)</f>
        <v>#VALUE!</v>
      </c>
      <c r="IZA6" s="68" t="e" cm="1" vm="1">
        <f t="array" ref="IZA6">_xlfn._xlws.FILTER(TablaProductos[Nombre producto],TablaProductos[Agrupación]=ProductosPivot!IZA5)</f>
        <v>#VALUE!</v>
      </c>
      <c r="IZB6" s="68" t="e" cm="1" vm="1">
        <f t="array" ref="IZB6">_xlfn._xlws.FILTER(TablaProductos[Nombre producto],TablaProductos[Agrupación]=ProductosPivot!IZB5)</f>
        <v>#VALUE!</v>
      </c>
      <c r="IZC6" s="68" t="e" cm="1" vm="1">
        <f t="array" ref="IZC6">_xlfn._xlws.FILTER(TablaProductos[Nombre producto],TablaProductos[Agrupación]=ProductosPivot!IZC5)</f>
        <v>#VALUE!</v>
      </c>
      <c r="IZD6" s="68" t="e" cm="1" vm="1">
        <f t="array" ref="IZD6">_xlfn._xlws.FILTER(TablaProductos[Nombre producto],TablaProductos[Agrupación]=ProductosPivot!IZD5)</f>
        <v>#VALUE!</v>
      </c>
      <c r="IZE6" s="68" t="e" cm="1" vm="1">
        <f t="array" ref="IZE6">_xlfn._xlws.FILTER(TablaProductos[Nombre producto],TablaProductos[Agrupación]=ProductosPivot!IZE5)</f>
        <v>#VALUE!</v>
      </c>
      <c r="IZF6" s="68" t="e" cm="1" vm="1">
        <f t="array" ref="IZF6">_xlfn._xlws.FILTER(TablaProductos[Nombre producto],TablaProductos[Agrupación]=ProductosPivot!IZF5)</f>
        <v>#VALUE!</v>
      </c>
      <c r="IZG6" s="68" t="e" cm="1" vm="1">
        <f t="array" ref="IZG6">_xlfn._xlws.FILTER(TablaProductos[Nombre producto],TablaProductos[Agrupación]=ProductosPivot!IZG5)</f>
        <v>#VALUE!</v>
      </c>
      <c r="IZH6" s="68" t="e" cm="1" vm="1">
        <f t="array" ref="IZH6">_xlfn._xlws.FILTER(TablaProductos[Nombre producto],TablaProductos[Agrupación]=ProductosPivot!IZH5)</f>
        <v>#VALUE!</v>
      </c>
      <c r="IZI6" s="68" t="e" cm="1" vm="1">
        <f t="array" ref="IZI6">_xlfn._xlws.FILTER(TablaProductos[Nombre producto],TablaProductos[Agrupación]=ProductosPivot!IZI5)</f>
        <v>#VALUE!</v>
      </c>
      <c r="IZJ6" s="68" t="e" cm="1" vm="1">
        <f t="array" ref="IZJ6">_xlfn._xlws.FILTER(TablaProductos[Nombre producto],TablaProductos[Agrupación]=ProductosPivot!IZJ5)</f>
        <v>#VALUE!</v>
      </c>
      <c r="IZK6" s="68" t="e" cm="1" vm="1">
        <f t="array" ref="IZK6">_xlfn._xlws.FILTER(TablaProductos[Nombre producto],TablaProductos[Agrupación]=ProductosPivot!IZK5)</f>
        <v>#VALUE!</v>
      </c>
      <c r="IZL6" s="68" t="e" cm="1" vm="1">
        <f t="array" ref="IZL6">_xlfn._xlws.FILTER(TablaProductos[Nombre producto],TablaProductos[Agrupación]=ProductosPivot!IZL5)</f>
        <v>#VALUE!</v>
      </c>
      <c r="IZM6" s="68" t="e" cm="1" vm="1">
        <f t="array" ref="IZM6">_xlfn._xlws.FILTER(TablaProductos[Nombre producto],TablaProductos[Agrupación]=ProductosPivot!IZM5)</f>
        <v>#VALUE!</v>
      </c>
      <c r="IZN6" s="68" t="e" cm="1" vm="1">
        <f t="array" ref="IZN6">_xlfn._xlws.FILTER(TablaProductos[Nombre producto],TablaProductos[Agrupación]=ProductosPivot!IZN5)</f>
        <v>#VALUE!</v>
      </c>
      <c r="IZO6" s="68" t="e" cm="1" vm="1">
        <f t="array" ref="IZO6">_xlfn._xlws.FILTER(TablaProductos[Nombre producto],TablaProductos[Agrupación]=ProductosPivot!IZO5)</f>
        <v>#VALUE!</v>
      </c>
      <c r="IZP6" s="68" t="e" cm="1" vm="1">
        <f t="array" ref="IZP6">_xlfn._xlws.FILTER(TablaProductos[Nombre producto],TablaProductos[Agrupación]=ProductosPivot!IZP5)</f>
        <v>#VALUE!</v>
      </c>
      <c r="IZQ6" s="68" t="e" cm="1" vm="1">
        <f t="array" ref="IZQ6">_xlfn._xlws.FILTER(TablaProductos[Nombre producto],TablaProductos[Agrupación]=ProductosPivot!IZQ5)</f>
        <v>#VALUE!</v>
      </c>
      <c r="IZR6" s="68" t="e" cm="1" vm="1">
        <f t="array" ref="IZR6">_xlfn._xlws.FILTER(TablaProductos[Nombre producto],TablaProductos[Agrupación]=ProductosPivot!IZR5)</f>
        <v>#VALUE!</v>
      </c>
      <c r="IZS6" s="68" t="e" cm="1" vm="1">
        <f t="array" ref="IZS6">_xlfn._xlws.FILTER(TablaProductos[Nombre producto],TablaProductos[Agrupación]=ProductosPivot!IZS5)</f>
        <v>#VALUE!</v>
      </c>
      <c r="IZT6" s="68" t="e" cm="1" vm="1">
        <f t="array" ref="IZT6">_xlfn._xlws.FILTER(TablaProductos[Nombre producto],TablaProductos[Agrupación]=ProductosPivot!IZT5)</f>
        <v>#VALUE!</v>
      </c>
      <c r="IZU6" s="68" t="e" cm="1" vm="1">
        <f t="array" ref="IZU6">_xlfn._xlws.FILTER(TablaProductos[Nombre producto],TablaProductos[Agrupación]=ProductosPivot!IZU5)</f>
        <v>#VALUE!</v>
      </c>
      <c r="IZV6" s="68" t="e" cm="1" vm="1">
        <f t="array" ref="IZV6">_xlfn._xlws.FILTER(TablaProductos[Nombre producto],TablaProductos[Agrupación]=ProductosPivot!IZV5)</f>
        <v>#VALUE!</v>
      </c>
      <c r="IZW6" s="68" t="e" cm="1" vm="1">
        <f t="array" ref="IZW6">_xlfn._xlws.FILTER(TablaProductos[Nombre producto],TablaProductos[Agrupación]=ProductosPivot!IZW5)</f>
        <v>#VALUE!</v>
      </c>
      <c r="IZX6" s="68" t="e" cm="1" vm="1">
        <f t="array" ref="IZX6">_xlfn._xlws.FILTER(TablaProductos[Nombre producto],TablaProductos[Agrupación]=ProductosPivot!IZX5)</f>
        <v>#VALUE!</v>
      </c>
      <c r="IZY6" s="68" t="e" cm="1" vm="1">
        <f t="array" ref="IZY6">_xlfn._xlws.FILTER(TablaProductos[Nombre producto],TablaProductos[Agrupación]=ProductosPivot!IZY5)</f>
        <v>#VALUE!</v>
      </c>
      <c r="IZZ6" s="68" t="e" cm="1" vm="1">
        <f t="array" ref="IZZ6">_xlfn._xlws.FILTER(TablaProductos[Nombre producto],TablaProductos[Agrupación]=ProductosPivot!IZZ5)</f>
        <v>#VALUE!</v>
      </c>
      <c r="JAA6" s="68" t="e" cm="1" vm="1">
        <f t="array" ref="JAA6">_xlfn._xlws.FILTER(TablaProductos[Nombre producto],TablaProductos[Agrupación]=ProductosPivot!JAA5)</f>
        <v>#VALUE!</v>
      </c>
      <c r="JAB6" s="68" t="e" cm="1" vm="1">
        <f t="array" ref="JAB6">_xlfn._xlws.FILTER(TablaProductos[Nombre producto],TablaProductos[Agrupación]=ProductosPivot!JAB5)</f>
        <v>#VALUE!</v>
      </c>
      <c r="JAC6" s="68" t="e" cm="1" vm="1">
        <f t="array" ref="JAC6">_xlfn._xlws.FILTER(TablaProductos[Nombre producto],TablaProductos[Agrupación]=ProductosPivot!JAC5)</f>
        <v>#VALUE!</v>
      </c>
      <c r="JAD6" s="68" t="e" cm="1" vm="1">
        <f t="array" ref="JAD6">_xlfn._xlws.FILTER(TablaProductos[Nombre producto],TablaProductos[Agrupación]=ProductosPivot!JAD5)</f>
        <v>#VALUE!</v>
      </c>
      <c r="JAE6" s="68" t="e" cm="1" vm="1">
        <f t="array" ref="JAE6">_xlfn._xlws.FILTER(TablaProductos[Nombre producto],TablaProductos[Agrupación]=ProductosPivot!JAE5)</f>
        <v>#VALUE!</v>
      </c>
      <c r="JAF6" s="68" t="e" cm="1" vm="1">
        <f t="array" ref="JAF6">_xlfn._xlws.FILTER(TablaProductos[Nombre producto],TablaProductos[Agrupación]=ProductosPivot!JAF5)</f>
        <v>#VALUE!</v>
      </c>
      <c r="JAG6" s="68" t="e" cm="1" vm="1">
        <f t="array" ref="JAG6">_xlfn._xlws.FILTER(TablaProductos[Nombre producto],TablaProductos[Agrupación]=ProductosPivot!JAG5)</f>
        <v>#VALUE!</v>
      </c>
      <c r="JAH6" s="68" t="e" cm="1" vm="1">
        <f t="array" ref="JAH6">_xlfn._xlws.FILTER(TablaProductos[Nombre producto],TablaProductos[Agrupación]=ProductosPivot!JAH5)</f>
        <v>#VALUE!</v>
      </c>
      <c r="JAI6" s="68" t="e" cm="1" vm="1">
        <f t="array" ref="JAI6">_xlfn._xlws.FILTER(TablaProductos[Nombre producto],TablaProductos[Agrupación]=ProductosPivot!JAI5)</f>
        <v>#VALUE!</v>
      </c>
      <c r="JAJ6" s="68" t="e" cm="1" vm="1">
        <f t="array" ref="JAJ6">_xlfn._xlws.FILTER(TablaProductos[Nombre producto],TablaProductos[Agrupación]=ProductosPivot!JAJ5)</f>
        <v>#VALUE!</v>
      </c>
      <c r="JAK6" s="68" t="e" cm="1" vm="1">
        <f t="array" ref="JAK6">_xlfn._xlws.FILTER(TablaProductos[Nombre producto],TablaProductos[Agrupación]=ProductosPivot!JAK5)</f>
        <v>#VALUE!</v>
      </c>
      <c r="JAL6" s="68" t="e" cm="1" vm="1">
        <f t="array" ref="JAL6">_xlfn._xlws.FILTER(TablaProductos[Nombre producto],TablaProductos[Agrupación]=ProductosPivot!JAL5)</f>
        <v>#VALUE!</v>
      </c>
      <c r="JAM6" s="68" t="e" cm="1" vm="1">
        <f t="array" ref="JAM6">_xlfn._xlws.FILTER(TablaProductos[Nombre producto],TablaProductos[Agrupación]=ProductosPivot!JAM5)</f>
        <v>#VALUE!</v>
      </c>
      <c r="JAN6" s="68" t="e" cm="1" vm="1">
        <f t="array" ref="JAN6">_xlfn._xlws.FILTER(TablaProductos[Nombre producto],TablaProductos[Agrupación]=ProductosPivot!JAN5)</f>
        <v>#VALUE!</v>
      </c>
      <c r="JAO6" s="68" t="e" cm="1" vm="1">
        <f t="array" ref="JAO6">_xlfn._xlws.FILTER(TablaProductos[Nombre producto],TablaProductos[Agrupación]=ProductosPivot!JAO5)</f>
        <v>#VALUE!</v>
      </c>
      <c r="JAP6" s="68" t="e" cm="1" vm="1">
        <f t="array" ref="JAP6">_xlfn._xlws.FILTER(TablaProductos[Nombre producto],TablaProductos[Agrupación]=ProductosPivot!JAP5)</f>
        <v>#VALUE!</v>
      </c>
      <c r="JAQ6" s="68" t="e" cm="1" vm="1">
        <f t="array" ref="JAQ6">_xlfn._xlws.FILTER(TablaProductos[Nombre producto],TablaProductos[Agrupación]=ProductosPivot!JAQ5)</f>
        <v>#VALUE!</v>
      </c>
      <c r="JAR6" s="68" t="e" cm="1" vm="1">
        <f t="array" ref="JAR6">_xlfn._xlws.FILTER(TablaProductos[Nombre producto],TablaProductos[Agrupación]=ProductosPivot!JAR5)</f>
        <v>#VALUE!</v>
      </c>
      <c r="JAS6" s="68" t="e" cm="1" vm="1">
        <f t="array" ref="JAS6">_xlfn._xlws.FILTER(TablaProductos[Nombre producto],TablaProductos[Agrupación]=ProductosPivot!JAS5)</f>
        <v>#VALUE!</v>
      </c>
      <c r="JAT6" s="68" t="e" cm="1" vm="1">
        <f t="array" ref="JAT6">_xlfn._xlws.FILTER(TablaProductos[Nombre producto],TablaProductos[Agrupación]=ProductosPivot!JAT5)</f>
        <v>#VALUE!</v>
      </c>
      <c r="JAU6" s="68" t="e" cm="1" vm="1">
        <f t="array" ref="JAU6">_xlfn._xlws.FILTER(TablaProductos[Nombre producto],TablaProductos[Agrupación]=ProductosPivot!JAU5)</f>
        <v>#VALUE!</v>
      </c>
      <c r="JAV6" s="68" t="e" cm="1" vm="1">
        <f t="array" ref="JAV6">_xlfn._xlws.FILTER(TablaProductos[Nombre producto],TablaProductos[Agrupación]=ProductosPivot!JAV5)</f>
        <v>#VALUE!</v>
      </c>
      <c r="JAW6" s="68" t="e" cm="1" vm="1">
        <f t="array" ref="JAW6">_xlfn._xlws.FILTER(TablaProductos[Nombre producto],TablaProductos[Agrupación]=ProductosPivot!JAW5)</f>
        <v>#VALUE!</v>
      </c>
      <c r="JAX6" s="68" t="e" cm="1" vm="1">
        <f t="array" ref="JAX6">_xlfn._xlws.FILTER(TablaProductos[Nombre producto],TablaProductos[Agrupación]=ProductosPivot!JAX5)</f>
        <v>#VALUE!</v>
      </c>
      <c r="JAY6" s="68" t="e" cm="1" vm="1">
        <f t="array" ref="JAY6">_xlfn._xlws.FILTER(TablaProductos[Nombre producto],TablaProductos[Agrupación]=ProductosPivot!JAY5)</f>
        <v>#VALUE!</v>
      </c>
      <c r="JAZ6" s="68" t="e" cm="1" vm="1">
        <f t="array" ref="JAZ6">_xlfn._xlws.FILTER(TablaProductos[Nombre producto],TablaProductos[Agrupación]=ProductosPivot!JAZ5)</f>
        <v>#VALUE!</v>
      </c>
      <c r="JBA6" s="68" t="e" cm="1" vm="1">
        <f t="array" ref="JBA6">_xlfn._xlws.FILTER(TablaProductos[Nombre producto],TablaProductos[Agrupación]=ProductosPivot!JBA5)</f>
        <v>#VALUE!</v>
      </c>
      <c r="JBB6" s="68" t="e" cm="1" vm="1">
        <f t="array" ref="JBB6">_xlfn._xlws.FILTER(TablaProductos[Nombre producto],TablaProductos[Agrupación]=ProductosPivot!JBB5)</f>
        <v>#VALUE!</v>
      </c>
      <c r="JBC6" s="68" t="e" cm="1" vm="1">
        <f t="array" ref="JBC6">_xlfn._xlws.FILTER(TablaProductos[Nombre producto],TablaProductos[Agrupación]=ProductosPivot!JBC5)</f>
        <v>#VALUE!</v>
      </c>
      <c r="JBD6" s="68" t="e" cm="1" vm="1">
        <f t="array" ref="JBD6">_xlfn._xlws.FILTER(TablaProductos[Nombre producto],TablaProductos[Agrupación]=ProductosPivot!JBD5)</f>
        <v>#VALUE!</v>
      </c>
      <c r="JBE6" s="68" t="e" cm="1" vm="1">
        <f t="array" ref="JBE6">_xlfn._xlws.FILTER(TablaProductos[Nombre producto],TablaProductos[Agrupación]=ProductosPivot!JBE5)</f>
        <v>#VALUE!</v>
      </c>
      <c r="JBF6" s="68" t="e" cm="1" vm="1">
        <f t="array" ref="JBF6">_xlfn._xlws.FILTER(TablaProductos[Nombre producto],TablaProductos[Agrupación]=ProductosPivot!JBF5)</f>
        <v>#VALUE!</v>
      </c>
      <c r="JBG6" s="68" t="e" cm="1" vm="1">
        <f t="array" ref="JBG6">_xlfn._xlws.FILTER(TablaProductos[Nombre producto],TablaProductos[Agrupación]=ProductosPivot!JBG5)</f>
        <v>#VALUE!</v>
      </c>
      <c r="JBH6" s="68" t="e" cm="1" vm="1">
        <f t="array" ref="JBH6">_xlfn._xlws.FILTER(TablaProductos[Nombre producto],TablaProductos[Agrupación]=ProductosPivot!JBH5)</f>
        <v>#VALUE!</v>
      </c>
      <c r="JBI6" s="68" t="e" cm="1" vm="1">
        <f t="array" ref="JBI6">_xlfn._xlws.FILTER(TablaProductos[Nombre producto],TablaProductos[Agrupación]=ProductosPivot!JBI5)</f>
        <v>#VALUE!</v>
      </c>
      <c r="JBJ6" s="68" t="e" cm="1" vm="1">
        <f t="array" ref="JBJ6">_xlfn._xlws.FILTER(TablaProductos[Nombre producto],TablaProductos[Agrupación]=ProductosPivot!JBJ5)</f>
        <v>#VALUE!</v>
      </c>
      <c r="JBK6" s="68" t="e" cm="1" vm="1">
        <f t="array" ref="JBK6">_xlfn._xlws.FILTER(TablaProductos[Nombre producto],TablaProductos[Agrupación]=ProductosPivot!JBK5)</f>
        <v>#VALUE!</v>
      </c>
      <c r="JBL6" s="68" t="e" cm="1" vm="1">
        <f t="array" ref="JBL6">_xlfn._xlws.FILTER(TablaProductos[Nombre producto],TablaProductos[Agrupación]=ProductosPivot!JBL5)</f>
        <v>#VALUE!</v>
      </c>
      <c r="JBM6" s="68" t="e" cm="1" vm="1">
        <f t="array" ref="JBM6">_xlfn._xlws.FILTER(TablaProductos[Nombre producto],TablaProductos[Agrupación]=ProductosPivot!JBM5)</f>
        <v>#VALUE!</v>
      </c>
      <c r="JBN6" s="68" t="e" cm="1" vm="1">
        <f t="array" ref="JBN6">_xlfn._xlws.FILTER(TablaProductos[Nombre producto],TablaProductos[Agrupación]=ProductosPivot!JBN5)</f>
        <v>#VALUE!</v>
      </c>
      <c r="JBO6" s="68" t="e" cm="1" vm="1">
        <f t="array" ref="JBO6">_xlfn._xlws.FILTER(TablaProductos[Nombre producto],TablaProductos[Agrupación]=ProductosPivot!JBO5)</f>
        <v>#VALUE!</v>
      </c>
      <c r="JBP6" s="68" t="e" cm="1" vm="1">
        <f t="array" ref="JBP6">_xlfn._xlws.FILTER(TablaProductos[Nombre producto],TablaProductos[Agrupación]=ProductosPivot!JBP5)</f>
        <v>#VALUE!</v>
      </c>
      <c r="JBQ6" s="68" t="e" cm="1" vm="1">
        <f t="array" ref="JBQ6">_xlfn._xlws.FILTER(TablaProductos[Nombre producto],TablaProductos[Agrupación]=ProductosPivot!JBQ5)</f>
        <v>#VALUE!</v>
      </c>
      <c r="JBR6" s="68" t="e" cm="1" vm="1">
        <f t="array" ref="JBR6">_xlfn._xlws.FILTER(TablaProductos[Nombre producto],TablaProductos[Agrupación]=ProductosPivot!JBR5)</f>
        <v>#VALUE!</v>
      </c>
      <c r="JBS6" s="68" t="e" cm="1" vm="1">
        <f t="array" ref="JBS6">_xlfn._xlws.FILTER(TablaProductos[Nombre producto],TablaProductos[Agrupación]=ProductosPivot!JBS5)</f>
        <v>#VALUE!</v>
      </c>
      <c r="JBT6" s="68" t="e" cm="1" vm="1">
        <f t="array" ref="JBT6">_xlfn._xlws.FILTER(TablaProductos[Nombre producto],TablaProductos[Agrupación]=ProductosPivot!JBT5)</f>
        <v>#VALUE!</v>
      </c>
      <c r="JBU6" s="68" t="e" cm="1" vm="1">
        <f t="array" ref="JBU6">_xlfn._xlws.FILTER(TablaProductos[Nombre producto],TablaProductos[Agrupación]=ProductosPivot!JBU5)</f>
        <v>#VALUE!</v>
      </c>
      <c r="JBV6" s="68" t="e" cm="1" vm="1">
        <f t="array" ref="JBV6">_xlfn._xlws.FILTER(TablaProductos[Nombre producto],TablaProductos[Agrupación]=ProductosPivot!JBV5)</f>
        <v>#VALUE!</v>
      </c>
      <c r="JBW6" s="68" t="e" cm="1" vm="1">
        <f t="array" ref="JBW6">_xlfn._xlws.FILTER(TablaProductos[Nombre producto],TablaProductos[Agrupación]=ProductosPivot!JBW5)</f>
        <v>#VALUE!</v>
      </c>
      <c r="JBX6" s="68" t="e" cm="1" vm="1">
        <f t="array" ref="JBX6">_xlfn._xlws.FILTER(TablaProductos[Nombre producto],TablaProductos[Agrupación]=ProductosPivot!JBX5)</f>
        <v>#VALUE!</v>
      </c>
      <c r="JBY6" s="68" t="e" cm="1" vm="1">
        <f t="array" ref="JBY6">_xlfn._xlws.FILTER(TablaProductos[Nombre producto],TablaProductos[Agrupación]=ProductosPivot!JBY5)</f>
        <v>#VALUE!</v>
      </c>
      <c r="JBZ6" s="68" t="e" cm="1" vm="1">
        <f t="array" ref="JBZ6">_xlfn._xlws.FILTER(TablaProductos[Nombre producto],TablaProductos[Agrupación]=ProductosPivot!JBZ5)</f>
        <v>#VALUE!</v>
      </c>
      <c r="JCA6" s="68" t="e" cm="1" vm="1">
        <f t="array" ref="JCA6">_xlfn._xlws.FILTER(TablaProductos[Nombre producto],TablaProductos[Agrupación]=ProductosPivot!JCA5)</f>
        <v>#VALUE!</v>
      </c>
      <c r="JCB6" s="68" t="e" cm="1" vm="1">
        <f t="array" ref="JCB6">_xlfn._xlws.FILTER(TablaProductos[Nombre producto],TablaProductos[Agrupación]=ProductosPivot!JCB5)</f>
        <v>#VALUE!</v>
      </c>
      <c r="JCC6" s="68" t="e" cm="1" vm="1">
        <f t="array" ref="JCC6">_xlfn._xlws.FILTER(TablaProductos[Nombre producto],TablaProductos[Agrupación]=ProductosPivot!JCC5)</f>
        <v>#VALUE!</v>
      </c>
      <c r="JCD6" s="68" t="e" cm="1" vm="1">
        <f t="array" ref="JCD6">_xlfn._xlws.FILTER(TablaProductos[Nombre producto],TablaProductos[Agrupación]=ProductosPivot!JCD5)</f>
        <v>#VALUE!</v>
      </c>
      <c r="JCE6" s="68" t="e" cm="1" vm="1">
        <f t="array" ref="JCE6">_xlfn._xlws.FILTER(TablaProductos[Nombre producto],TablaProductos[Agrupación]=ProductosPivot!JCE5)</f>
        <v>#VALUE!</v>
      </c>
      <c r="JCF6" s="68" t="e" cm="1" vm="1">
        <f t="array" ref="JCF6">_xlfn._xlws.FILTER(TablaProductos[Nombre producto],TablaProductos[Agrupación]=ProductosPivot!JCF5)</f>
        <v>#VALUE!</v>
      </c>
      <c r="JCG6" s="68" t="e" cm="1" vm="1">
        <f t="array" ref="JCG6">_xlfn._xlws.FILTER(TablaProductos[Nombre producto],TablaProductos[Agrupación]=ProductosPivot!JCG5)</f>
        <v>#VALUE!</v>
      </c>
      <c r="JCH6" s="68" t="e" cm="1" vm="1">
        <f t="array" ref="JCH6">_xlfn._xlws.FILTER(TablaProductos[Nombre producto],TablaProductos[Agrupación]=ProductosPivot!JCH5)</f>
        <v>#VALUE!</v>
      </c>
      <c r="JCI6" s="68" t="e" cm="1" vm="1">
        <f t="array" ref="JCI6">_xlfn._xlws.FILTER(TablaProductos[Nombre producto],TablaProductos[Agrupación]=ProductosPivot!JCI5)</f>
        <v>#VALUE!</v>
      </c>
      <c r="JCJ6" s="68" t="e" cm="1" vm="1">
        <f t="array" ref="JCJ6">_xlfn._xlws.FILTER(TablaProductos[Nombre producto],TablaProductos[Agrupación]=ProductosPivot!JCJ5)</f>
        <v>#VALUE!</v>
      </c>
      <c r="JCK6" s="68" t="e" cm="1" vm="1">
        <f t="array" ref="JCK6">_xlfn._xlws.FILTER(TablaProductos[Nombre producto],TablaProductos[Agrupación]=ProductosPivot!JCK5)</f>
        <v>#VALUE!</v>
      </c>
      <c r="JCL6" s="68" t="e" cm="1" vm="1">
        <f t="array" ref="JCL6">_xlfn._xlws.FILTER(TablaProductos[Nombre producto],TablaProductos[Agrupación]=ProductosPivot!JCL5)</f>
        <v>#VALUE!</v>
      </c>
      <c r="JCM6" s="68" t="e" cm="1" vm="1">
        <f t="array" ref="JCM6">_xlfn._xlws.FILTER(TablaProductos[Nombre producto],TablaProductos[Agrupación]=ProductosPivot!JCM5)</f>
        <v>#VALUE!</v>
      </c>
      <c r="JCN6" s="68" t="e" cm="1" vm="1">
        <f t="array" ref="JCN6">_xlfn._xlws.FILTER(TablaProductos[Nombre producto],TablaProductos[Agrupación]=ProductosPivot!JCN5)</f>
        <v>#VALUE!</v>
      </c>
      <c r="JCO6" s="68" t="e" cm="1" vm="1">
        <f t="array" ref="JCO6">_xlfn._xlws.FILTER(TablaProductos[Nombre producto],TablaProductos[Agrupación]=ProductosPivot!JCO5)</f>
        <v>#VALUE!</v>
      </c>
      <c r="JCP6" s="68" t="e" cm="1" vm="1">
        <f t="array" ref="JCP6">_xlfn._xlws.FILTER(TablaProductos[Nombre producto],TablaProductos[Agrupación]=ProductosPivot!JCP5)</f>
        <v>#VALUE!</v>
      </c>
      <c r="JCQ6" s="68" t="e" cm="1" vm="1">
        <f t="array" ref="JCQ6">_xlfn._xlws.FILTER(TablaProductos[Nombre producto],TablaProductos[Agrupación]=ProductosPivot!JCQ5)</f>
        <v>#VALUE!</v>
      </c>
      <c r="JCR6" s="68" t="e" cm="1" vm="1">
        <f t="array" ref="JCR6">_xlfn._xlws.FILTER(TablaProductos[Nombre producto],TablaProductos[Agrupación]=ProductosPivot!JCR5)</f>
        <v>#VALUE!</v>
      </c>
      <c r="JCS6" s="68" t="e" cm="1" vm="1">
        <f t="array" ref="JCS6">_xlfn._xlws.FILTER(TablaProductos[Nombre producto],TablaProductos[Agrupación]=ProductosPivot!JCS5)</f>
        <v>#VALUE!</v>
      </c>
      <c r="JCT6" s="68" t="e" cm="1" vm="1">
        <f t="array" ref="JCT6">_xlfn._xlws.FILTER(TablaProductos[Nombre producto],TablaProductos[Agrupación]=ProductosPivot!JCT5)</f>
        <v>#VALUE!</v>
      </c>
      <c r="JCU6" s="68" t="e" cm="1" vm="1">
        <f t="array" ref="JCU6">_xlfn._xlws.FILTER(TablaProductos[Nombre producto],TablaProductos[Agrupación]=ProductosPivot!JCU5)</f>
        <v>#VALUE!</v>
      </c>
      <c r="JCV6" s="68" t="e" cm="1" vm="1">
        <f t="array" ref="JCV6">_xlfn._xlws.FILTER(TablaProductos[Nombre producto],TablaProductos[Agrupación]=ProductosPivot!JCV5)</f>
        <v>#VALUE!</v>
      </c>
      <c r="JCW6" s="68" t="e" cm="1" vm="1">
        <f t="array" ref="JCW6">_xlfn._xlws.FILTER(TablaProductos[Nombre producto],TablaProductos[Agrupación]=ProductosPivot!JCW5)</f>
        <v>#VALUE!</v>
      </c>
      <c r="JCX6" s="68" t="e" cm="1" vm="1">
        <f t="array" ref="JCX6">_xlfn._xlws.FILTER(TablaProductos[Nombre producto],TablaProductos[Agrupación]=ProductosPivot!JCX5)</f>
        <v>#VALUE!</v>
      </c>
      <c r="JCY6" s="68" t="e" cm="1" vm="1">
        <f t="array" ref="JCY6">_xlfn._xlws.FILTER(TablaProductos[Nombre producto],TablaProductos[Agrupación]=ProductosPivot!JCY5)</f>
        <v>#VALUE!</v>
      </c>
      <c r="JCZ6" s="68" t="e" cm="1" vm="1">
        <f t="array" ref="JCZ6">_xlfn._xlws.FILTER(TablaProductos[Nombre producto],TablaProductos[Agrupación]=ProductosPivot!JCZ5)</f>
        <v>#VALUE!</v>
      </c>
      <c r="JDA6" s="68" t="e" cm="1" vm="1">
        <f t="array" ref="JDA6">_xlfn._xlws.FILTER(TablaProductos[Nombre producto],TablaProductos[Agrupación]=ProductosPivot!JDA5)</f>
        <v>#VALUE!</v>
      </c>
      <c r="JDB6" s="68" t="e" cm="1" vm="1">
        <f t="array" ref="JDB6">_xlfn._xlws.FILTER(TablaProductos[Nombre producto],TablaProductos[Agrupación]=ProductosPivot!JDB5)</f>
        <v>#VALUE!</v>
      </c>
      <c r="JDC6" s="68" t="e" cm="1" vm="1">
        <f t="array" ref="JDC6">_xlfn._xlws.FILTER(TablaProductos[Nombre producto],TablaProductos[Agrupación]=ProductosPivot!JDC5)</f>
        <v>#VALUE!</v>
      </c>
      <c r="JDD6" s="68" t="e" cm="1" vm="1">
        <f t="array" ref="JDD6">_xlfn._xlws.FILTER(TablaProductos[Nombre producto],TablaProductos[Agrupación]=ProductosPivot!JDD5)</f>
        <v>#VALUE!</v>
      </c>
      <c r="JDE6" s="68" t="e" cm="1" vm="1">
        <f t="array" ref="JDE6">_xlfn._xlws.FILTER(TablaProductos[Nombre producto],TablaProductos[Agrupación]=ProductosPivot!JDE5)</f>
        <v>#VALUE!</v>
      </c>
      <c r="JDF6" s="68" t="e" cm="1" vm="1">
        <f t="array" ref="JDF6">_xlfn._xlws.FILTER(TablaProductos[Nombre producto],TablaProductos[Agrupación]=ProductosPivot!JDF5)</f>
        <v>#VALUE!</v>
      </c>
      <c r="JDG6" s="68" t="e" cm="1" vm="1">
        <f t="array" ref="JDG6">_xlfn._xlws.FILTER(TablaProductos[Nombre producto],TablaProductos[Agrupación]=ProductosPivot!JDG5)</f>
        <v>#VALUE!</v>
      </c>
      <c r="JDH6" s="68" t="e" cm="1" vm="1">
        <f t="array" ref="JDH6">_xlfn._xlws.FILTER(TablaProductos[Nombre producto],TablaProductos[Agrupación]=ProductosPivot!JDH5)</f>
        <v>#VALUE!</v>
      </c>
      <c r="JDI6" s="68" t="e" cm="1" vm="1">
        <f t="array" ref="JDI6">_xlfn._xlws.FILTER(TablaProductos[Nombre producto],TablaProductos[Agrupación]=ProductosPivot!JDI5)</f>
        <v>#VALUE!</v>
      </c>
      <c r="JDJ6" s="68" t="e" cm="1" vm="1">
        <f t="array" ref="JDJ6">_xlfn._xlws.FILTER(TablaProductos[Nombre producto],TablaProductos[Agrupación]=ProductosPivot!JDJ5)</f>
        <v>#VALUE!</v>
      </c>
      <c r="JDK6" s="68" t="e" cm="1" vm="1">
        <f t="array" ref="JDK6">_xlfn._xlws.FILTER(TablaProductos[Nombre producto],TablaProductos[Agrupación]=ProductosPivot!JDK5)</f>
        <v>#VALUE!</v>
      </c>
      <c r="JDL6" s="68" t="e" cm="1" vm="1">
        <f t="array" ref="JDL6">_xlfn._xlws.FILTER(TablaProductos[Nombre producto],TablaProductos[Agrupación]=ProductosPivot!JDL5)</f>
        <v>#VALUE!</v>
      </c>
      <c r="JDM6" s="68" t="e" cm="1" vm="1">
        <f t="array" ref="JDM6">_xlfn._xlws.FILTER(TablaProductos[Nombre producto],TablaProductos[Agrupación]=ProductosPivot!JDM5)</f>
        <v>#VALUE!</v>
      </c>
      <c r="JDN6" s="68" t="e" cm="1" vm="1">
        <f t="array" ref="JDN6">_xlfn._xlws.FILTER(TablaProductos[Nombre producto],TablaProductos[Agrupación]=ProductosPivot!JDN5)</f>
        <v>#VALUE!</v>
      </c>
      <c r="JDO6" s="68" t="e" cm="1" vm="1">
        <f t="array" ref="JDO6">_xlfn._xlws.FILTER(TablaProductos[Nombre producto],TablaProductos[Agrupación]=ProductosPivot!JDO5)</f>
        <v>#VALUE!</v>
      </c>
      <c r="JDP6" s="68" t="e" cm="1" vm="1">
        <f t="array" ref="JDP6">_xlfn._xlws.FILTER(TablaProductos[Nombre producto],TablaProductos[Agrupación]=ProductosPivot!JDP5)</f>
        <v>#VALUE!</v>
      </c>
      <c r="JDQ6" s="68" t="e" cm="1" vm="1">
        <f t="array" ref="JDQ6">_xlfn._xlws.FILTER(TablaProductos[Nombre producto],TablaProductos[Agrupación]=ProductosPivot!JDQ5)</f>
        <v>#VALUE!</v>
      </c>
      <c r="JDR6" s="68" t="e" cm="1" vm="1">
        <f t="array" ref="JDR6">_xlfn._xlws.FILTER(TablaProductos[Nombre producto],TablaProductos[Agrupación]=ProductosPivot!JDR5)</f>
        <v>#VALUE!</v>
      </c>
      <c r="JDS6" s="68" t="e" cm="1" vm="1">
        <f t="array" ref="JDS6">_xlfn._xlws.FILTER(TablaProductos[Nombre producto],TablaProductos[Agrupación]=ProductosPivot!JDS5)</f>
        <v>#VALUE!</v>
      </c>
      <c r="JDT6" s="68" t="e" cm="1" vm="1">
        <f t="array" ref="JDT6">_xlfn._xlws.FILTER(TablaProductos[Nombre producto],TablaProductos[Agrupación]=ProductosPivot!JDT5)</f>
        <v>#VALUE!</v>
      </c>
      <c r="JDU6" s="68" t="e" cm="1" vm="1">
        <f t="array" ref="JDU6">_xlfn._xlws.FILTER(TablaProductos[Nombre producto],TablaProductos[Agrupación]=ProductosPivot!JDU5)</f>
        <v>#VALUE!</v>
      </c>
      <c r="JDV6" s="68" t="e" cm="1" vm="1">
        <f t="array" ref="JDV6">_xlfn._xlws.FILTER(TablaProductos[Nombre producto],TablaProductos[Agrupación]=ProductosPivot!JDV5)</f>
        <v>#VALUE!</v>
      </c>
      <c r="JDW6" s="68" t="e" cm="1" vm="1">
        <f t="array" ref="JDW6">_xlfn._xlws.FILTER(TablaProductos[Nombre producto],TablaProductos[Agrupación]=ProductosPivot!JDW5)</f>
        <v>#VALUE!</v>
      </c>
      <c r="JDX6" s="68" t="e" cm="1" vm="1">
        <f t="array" ref="JDX6">_xlfn._xlws.FILTER(TablaProductos[Nombre producto],TablaProductos[Agrupación]=ProductosPivot!JDX5)</f>
        <v>#VALUE!</v>
      </c>
      <c r="JDY6" s="68" t="e" cm="1" vm="1">
        <f t="array" ref="JDY6">_xlfn._xlws.FILTER(TablaProductos[Nombre producto],TablaProductos[Agrupación]=ProductosPivot!JDY5)</f>
        <v>#VALUE!</v>
      </c>
      <c r="JDZ6" s="68" t="e" cm="1" vm="1">
        <f t="array" ref="JDZ6">_xlfn._xlws.FILTER(TablaProductos[Nombre producto],TablaProductos[Agrupación]=ProductosPivot!JDZ5)</f>
        <v>#VALUE!</v>
      </c>
      <c r="JEA6" s="68" t="e" cm="1" vm="1">
        <f t="array" ref="JEA6">_xlfn._xlws.FILTER(TablaProductos[Nombre producto],TablaProductos[Agrupación]=ProductosPivot!JEA5)</f>
        <v>#VALUE!</v>
      </c>
      <c r="JEB6" s="68" t="e" cm="1" vm="1">
        <f t="array" ref="JEB6">_xlfn._xlws.FILTER(TablaProductos[Nombre producto],TablaProductos[Agrupación]=ProductosPivot!JEB5)</f>
        <v>#VALUE!</v>
      </c>
      <c r="JEC6" s="68" t="e" cm="1" vm="1">
        <f t="array" ref="JEC6">_xlfn._xlws.FILTER(TablaProductos[Nombre producto],TablaProductos[Agrupación]=ProductosPivot!JEC5)</f>
        <v>#VALUE!</v>
      </c>
      <c r="JED6" s="68" t="e" cm="1" vm="1">
        <f t="array" ref="JED6">_xlfn._xlws.FILTER(TablaProductos[Nombre producto],TablaProductos[Agrupación]=ProductosPivot!JED5)</f>
        <v>#VALUE!</v>
      </c>
      <c r="JEE6" s="68" t="e" cm="1" vm="1">
        <f t="array" ref="JEE6">_xlfn._xlws.FILTER(TablaProductos[Nombre producto],TablaProductos[Agrupación]=ProductosPivot!JEE5)</f>
        <v>#VALUE!</v>
      </c>
      <c r="JEF6" s="68" t="e" cm="1" vm="1">
        <f t="array" ref="JEF6">_xlfn._xlws.FILTER(TablaProductos[Nombre producto],TablaProductos[Agrupación]=ProductosPivot!JEF5)</f>
        <v>#VALUE!</v>
      </c>
      <c r="JEG6" s="68" t="e" cm="1" vm="1">
        <f t="array" ref="JEG6">_xlfn._xlws.FILTER(TablaProductos[Nombre producto],TablaProductos[Agrupación]=ProductosPivot!JEG5)</f>
        <v>#VALUE!</v>
      </c>
      <c r="JEH6" s="68" t="e" cm="1" vm="1">
        <f t="array" ref="JEH6">_xlfn._xlws.FILTER(TablaProductos[Nombre producto],TablaProductos[Agrupación]=ProductosPivot!JEH5)</f>
        <v>#VALUE!</v>
      </c>
      <c r="JEI6" s="68" t="e" cm="1" vm="1">
        <f t="array" ref="JEI6">_xlfn._xlws.FILTER(TablaProductos[Nombre producto],TablaProductos[Agrupación]=ProductosPivot!JEI5)</f>
        <v>#VALUE!</v>
      </c>
      <c r="JEJ6" s="68" t="e" cm="1" vm="1">
        <f t="array" ref="JEJ6">_xlfn._xlws.FILTER(TablaProductos[Nombre producto],TablaProductos[Agrupación]=ProductosPivot!JEJ5)</f>
        <v>#VALUE!</v>
      </c>
      <c r="JEK6" s="68" t="e" cm="1" vm="1">
        <f t="array" ref="JEK6">_xlfn._xlws.FILTER(TablaProductos[Nombre producto],TablaProductos[Agrupación]=ProductosPivot!JEK5)</f>
        <v>#VALUE!</v>
      </c>
      <c r="JEL6" s="68" t="e" cm="1" vm="1">
        <f t="array" ref="JEL6">_xlfn._xlws.FILTER(TablaProductos[Nombre producto],TablaProductos[Agrupación]=ProductosPivot!JEL5)</f>
        <v>#VALUE!</v>
      </c>
      <c r="JEM6" s="68" t="e" cm="1" vm="1">
        <f t="array" ref="JEM6">_xlfn._xlws.FILTER(TablaProductos[Nombre producto],TablaProductos[Agrupación]=ProductosPivot!JEM5)</f>
        <v>#VALUE!</v>
      </c>
      <c r="JEN6" s="68" t="e" cm="1" vm="1">
        <f t="array" ref="JEN6">_xlfn._xlws.FILTER(TablaProductos[Nombre producto],TablaProductos[Agrupación]=ProductosPivot!JEN5)</f>
        <v>#VALUE!</v>
      </c>
      <c r="JEO6" s="68" t="e" cm="1" vm="1">
        <f t="array" ref="JEO6">_xlfn._xlws.FILTER(TablaProductos[Nombre producto],TablaProductos[Agrupación]=ProductosPivot!JEO5)</f>
        <v>#VALUE!</v>
      </c>
      <c r="JEP6" s="68" t="e" cm="1" vm="1">
        <f t="array" ref="JEP6">_xlfn._xlws.FILTER(TablaProductos[Nombre producto],TablaProductos[Agrupación]=ProductosPivot!JEP5)</f>
        <v>#VALUE!</v>
      </c>
      <c r="JEQ6" s="68" t="e" cm="1" vm="1">
        <f t="array" ref="JEQ6">_xlfn._xlws.FILTER(TablaProductos[Nombre producto],TablaProductos[Agrupación]=ProductosPivot!JEQ5)</f>
        <v>#VALUE!</v>
      </c>
      <c r="JER6" s="68" t="e" cm="1" vm="1">
        <f t="array" ref="JER6">_xlfn._xlws.FILTER(TablaProductos[Nombre producto],TablaProductos[Agrupación]=ProductosPivot!JER5)</f>
        <v>#VALUE!</v>
      </c>
      <c r="JES6" s="68" t="e" cm="1" vm="1">
        <f t="array" ref="JES6">_xlfn._xlws.FILTER(TablaProductos[Nombre producto],TablaProductos[Agrupación]=ProductosPivot!JES5)</f>
        <v>#VALUE!</v>
      </c>
      <c r="JET6" s="68" t="e" cm="1" vm="1">
        <f t="array" ref="JET6">_xlfn._xlws.FILTER(TablaProductos[Nombre producto],TablaProductos[Agrupación]=ProductosPivot!JET5)</f>
        <v>#VALUE!</v>
      </c>
      <c r="JEU6" s="68" t="e" cm="1" vm="1">
        <f t="array" ref="JEU6">_xlfn._xlws.FILTER(TablaProductos[Nombre producto],TablaProductos[Agrupación]=ProductosPivot!JEU5)</f>
        <v>#VALUE!</v>
      </c>
      <c r="JEV6" s="68" t="e" cm="1" vm="1">
        <f t="array" ref="JEV6">_xlfn._xlws.FILTER(TablaProductos[Nombre producto],TablaProductos[Agrupación]=ProductosPivot!JEV5)</f>
        <v>#VALUE!</v>
      </c>
      <c r="JEW6" s="68" t="e" cm="1" vm="1">
        <f t="array" ref="JEW6">_xlfn._xlws.FILTER(TablaProductos[Nombre producto],TablaProductos[Agrupación]=ProductosPivot!JEW5)</f>
        <v>#VALUE!</v>
      </c>
      <c r="JEX6" s="68" t="e" cm="1" vm="1">
        <f t="array" ref="JEX6">_xlfn._xlws.FILTER(TablaProductos[Nombre producto],TablaProductos[Agrupación]=ProductosPivot!JEX5)</f>
        <v>#VALUE!</v>
      </c>
      <c r="JEY6" s="68" t="e" cm="1" vm="1">
        <f t="array" ref="JEY6">_xlfn._xlws.FILTER(TablaProductos[Nombre producto],TablaProductos[Agrupación]=ProductosPivot!JEY5)</f>
        <v>#VALUE!</v>
      </c>
      <c r="JEZ6" s="68" t="e" cm="1" vm="1">
        <f t="array" ref="JEZ6">_xlfn._xlws.FILTER(TablaProductos[Nombre producto],TablaProductos[Agrupación]=ProductosPivot!JEZ5)</f>
        <v>#VALUE!</v>
      </c>
      <c r="JFA6" s="68" t="e" cm="1" vm="1">
        <f t="array" ref="JFA6">_xlfn._xlws.FILTER(TablaProductos[Nombre producto],TablaProductos[Agrupación]=ProductosPivot!JFA5)</f>
        <v>#VALUE!</v>
      </c>
      <c r="JFB6" s="68" t="e" cm="1" vm="1">
        <f t="array" ref="JFB6">_xlfn._xlws.FILTER(TablaProductos[Nombre producto],TablaProductos[Agrupación]=ProductosPivot!JFB5)</f>
        <v>#VALUE!</v>
      </c>
      <c r="JFC6" s="68" t="e" cm="1" vm="1">
        <f t="array" ref="JFC6">_xlfn._xlws.FILTER(TablaProductos[Nombre producto],TablaProductos[Agrupación]=ProductosPivot!JFC5)</f>
        <v>#VALUE!</v>
      </c>
      <c r="JFD6" s="68" t="e" cm="1" vm="1">
        <f t="array" ref="JFD6">_xlfn._xlws.FILTER(TablaProductos[Nombre producto],TablaProductos[Agrupación]=ProductosPivot!JFD5)</f>
        <v>#VALUE!</v>
      </c>
      <c r="JFE6" s="68" t="e" cm="1" vm="1">
        <f t="array" ref="JFE6">_xlfn._xlws.FILTER(TablaProductos[Nombre producto],TablaProductos[Agrupación]=ProductosPivot!JFE5)</f>
        <v>#VALUE!</v>
      </c>
      <c r="JFF6" s="68" t="e" cm="1" vm="1">
        <f t="array" ref="JFF6">_xlfn._xlws.FILTER(TablaProductos[Nombre producto],TablaProductos[Agrupación]=ProductosPivot!JFF5)</f>
        <v>#VALUE!</v>
      </c>
      <c r="JFG6" s="68" t="e" cm="1" vm="1">
        <f t="array" ref="JFG6">_xlfn._xlws.FILTER(TablaProductos[Nombre producto],TablaProductos[Agrupación]=ProductosPivot!JFG5)</f>
        <v>#VALUE!</v>
      </c>
      <c r="JFH6" s="68" t="e" cm="1" vm="1">
        <f t="array" ref="JFH6">_xlfn._xlws.FILTER(TablaProductos[Nombre producto],TablaProductos[Agrupación]=ProductosPivot!JFH5)</f>
        <v>#VALUE!</v>
      </c>
      <c r="JFI6" s="68" t="e" cm="1" vm="1">
        <f t="array" ref="JFI6">_xlfn._xlws.FILTER(TablaProductos[Nombre producto],TablaProductos[Agrupación]=ProductosPivot!JFI5)</f>
        <v>#VALUE!</v>
      </c>
      <c r="JFJ6" s="68" t="e" cm="1" vm="1">
        <f t="array" ref="JFJ6">_xlfn._xlws.FILTER(TablaProductos[Nombre producto],TablaProductos[Agrupación]=ProductosPivot!JFJ5)</f>
        <v>#VALUE!</v>
      </c>
      <c r="JFK6" s="68" t="e" cm="1" vm="1">
        <f t="array" ref="JFK6">_xlfn._xlws.FILTER(TablaProductos[Nombre producto],TablaProductos[Agrupación]=ProductosPivot!JFK5)</f>
        <v>#VALUE!</v>
      </c>
      <c r="JFL6" s="68" t="e" cm="1" vm="1">
        <f t="array" ref="JFL6">_xlfn._xlws.FILTER(TablaProductos[Nombre producto],TablaProductos[Agrupación]=ProductosPivot!JFL5)</f>
        <v>#VALUE!</v>
      </c>
      <c r="JFM6" s="68" t="e" cm="1" vm="1">
        <f t="array" ref="JFM6">_xlfn._xlws.FILTER(TablaProductos[Nombre producto],TablaProductos[Agrupación]=ProductosPivot!JFM5)</f>
        <v>#VALUE!</v>
      </c>
      <c r="JFN6" s="68" t="e" cm="1" vm="1">
        <f t="array" ref="JFN6">_xlfn._xlws.FILTER(TablaProductos[Nombre producto],TablaProductos[Agrupación]=ProductosPivot!JFN5)</f>
        <v>#VALUE!</v>
      </c>
      <c r="JFO6" s="68" t="e" cm="1" vm="1">
        <f t="array" ref="JFO6">_xlfn._xlws.FILTER(TablaProductos[Nombre producto],TablaProductos[Agrupación]=ProductosPivot!JFO5)</f>
        <v>#VALUE!</v>
      </c>
      <c r="JFP6" s="68" t="e" cm="1" vm="1">
        <f t="array" ref="JFP6">_xlfn._xlws.FILTER(TablaProductos[Nombre producto],TablaProductos[Agrupación]=ProductosPivot!JFP5)</f>
        <v>#VALUE!</v>
      </c>
      <c r="JFQ6" s="68" t="e" cm="1" vm="1">
        <f t="array" ref="JFQ6">_xlfn._xlws.FILTER(TablaProductos[Nombre producto],TablaProductos[Agrupación]=ProductosPivot!JFQ5)</f>
        <v>#VALUE!</v>
      </c>
      <c r="JFR6" s="68" t="e" cm="1" vm="1">
        <f t="array" ref="JFR6">_xlfn._xlws.FILTER(TablaProductos[Nombre producto],TablaProductos[Agrupación]=ProductosPivot!JFR5)</f>
        <v>#VALUE!</v>
      </c>
      <c r="JFS6" s="68" t="e" cm="1" vm="1">
        <f t="array" ref="JFS6">_xlfn._xlws.FILTER(TablaProductos[Nombre producto],TablaProductos[Agrupación]=ProductosPivot!JFS5)</f>
        <v>#VALUE!</v>
      </c>
      <c r="JFT6" s="68" t="e" cm="1" vm="1">
        <f t="array" ref="JFT6">_xlfn._xlws.FILTER(TablaProductos[Nombre producto],TablaProductos[Agrupación]=ProductosPivot!JFT5)</f>
        <v>#VALUE!</v>
      </c>
      <c r="JFU6" s="68" t="e" cm="1" vm="1">
        <f t="array" ref="JFU6">_xlfn._xlws.FILTER(TablaProductos[Nombre producto],TablaProductos[Agrupación]=ProductosPivot!JFU5)</f>
        <v>#VALUE!</v>
      </c>
      <c r="JFV6" s="68" t="e" cm="1" vm="1">
        <f t="array" ref="JFV6">_xlfn._xlws.FILTER(TablaProductos[Nombre producto],TablaProductos[Agrupación]=ProductosPivot!JFV5)</f>
        <v>#VALUE!</v>
      </c>
      <c r="JFW6" s="68" t="e" cm="1" vm="1">
        <f t="array" ref="JFW6">_xlfn._xlws.FILTER(TablaProductos[Nombre producto],TablaProductos[Agrupación]=ProductosPivot!JFW5)</f>
        <v>#VALUE!</v>
      </c>
      <c r="JFX6" s="68" t="e" cm="1" vm="1">
        <f t="array" ref="JFX6">_xlfn._xlws.FILTER(TablaProductos[Nombre producto],TablaProductos[Agrupación]=ProductosPivot!JFX5)</f>
        <v>#VALUE!</v>
      </c>
      <c r="JFY6" s="68" t="e" cm="1" vm="1">
        <f t="array" ref="JFY6">_xlfn._xlws.FILTER(TablaProductos[Nombre producto],TablaProductos[Agrupación]=ProductosPivot!JFY5)</f>
        <v>#VALUE!</v>
      </c>
      <c r="JFZ6" s="68" t="e" cm="1" vm="1">
        <f t="array" ref="JFZ6">_xlfn._xlws.FILTER(TablaProductos[Nombre producto],TablaProductos[Agrupación]=ProductosPivot!JFZ5)</f>
        <v>#VALUE!</v>
      </c>
      <c r="JGA6" s="68" t="e" cm="1" vm="1">
        <f t="array" ref="JGA6">_xlfn._xlws.FILTER(TablaProductos[Nombre producto],TablaProductos[Agrupación]=ProductosPivot!JGA5)</f>
        <v>#VALUE!</v>
      </c>
      <c r="JGB6" s="68" t="e" cm="1" vm="1">
        <f t="array" ref="JGB6">_xlfn._xlws.FILTER(TablaProductos[Nombre producto],TablaProductos[Agrupación]=ProductosPivot!JGB5)</f>
        <v>#VALUE!</v>
      </c>
      <c r="JGC6" s="68" t="e" cm="1" vm="1">
        <f t="array" ref="JGC6">_xlfn._xlws.FILTER(TablaProductos[Nombre producto],TablaProductos[Agrupación]=ProductosPivot!JGC5)</f>
        <v>#VALUE!</v>
      </c>
      <c r="JGD6" s="68" t="e" cm="1" vm="1">
        <f t="array" ref="JGD6">_xlfn._xlws.FILTER(TablaProductos[Nombre producto],TablaProductos[Agrupación]=ProductosPivot!JGD5)</f>
        <v>#VALUE!</v>
      </c>
      <c r="JGE6" s="68" t="e" cm="1" vm="1">
        <f t="array" ref="JGE6">_xlfn._xlws.FILTER(TablaProductos[Nombre producto],TablaProductos[Agrupación]=ProductosPivot!JGE5)</f>
        <v>#VALUE!</v>
      </c>
      <c r="JGF6" s="68" t="e" cm="1" vm="1">
        <f t="array" ref="JGF6">_xlfn._xlws.FILTER(TablaProductos[Nombre producto],TablaProductos[Agrupación]=ProductosPivot!JGF5)</f>
        <v>#VALUE!</v>
      </c>
      <c r="JGG6" s="68" t="e" cm="1" vm="1">
        <f t="array" ref="JGG6">_xlfn._xlws.FILTER(TablaProductos[Nombre producto],TablaProductos[Agrupación]=ProductosPivot!JGG5)</f>
        <v>#VALUE!</v>
      </c>
      <c r="JGH6" s="68" t="e" cm="1" vm="1">
        <f t="array" ref="JGH6">_xlfn._xlws.FILTER(TablaProductos[Nombre producto],TablaProductos[Agrupación]=ProductosPivot!JGH5)</f>
        <v>#VALUE!</v>
      </c>
      <c r="JGI6" s="68" t="e" cm="1" vm="1">
        <f t="array" ref="JGI6">_xlfn._xlws.FILTER(TablaProductos[Nombre producto],TablaProductos[Agrupación]=ProductosPivot!JGI5)</f>
        <v>#VALUE!</v>
      </c>
      <c r="JGJ6" s="68" t="e" cm="1" vm="1">
        <f t="array" ref="JGJ6">_xlfn._xlws.FILTER(TablaProductos[Nombre producto],TablaProductos[Agrupación]=ProductosPivot!JGJ5)</f>
        <v>#VALUE!</v>
      </c>
      <c r="JGK6" s="68" t="e" cm="1" vm="1">
        <f t="array" ref="JGK6">_xlfn._xlws.FILTER(TablaProductos[Nombre producto],TablaProductos[Agrupación]=ProductosPivot!JGK5)</f>
        <v>#VALUE!</v>
      </c>
      <c r="JGL6" s="68" t="e" cm="1" vm="1">
        <f t="array" ref="JGL6">_xlfn._xlws.FILTER(TablaProductos[Nombre producto],TablaProductos[Agrupación]=ProductosPivot!JGL5)</f>
        <v>#VALUE!</v>
      </c>
      <c r="JGM6" s="68" t="e" cm="1" vm="1">
        <f t="array" ref="JGM6">_xlfn._xlws.FILTER(TablaProductos[Nombre producto],TablaProductos[Agrupación]=ProductosPivot!JGM5)</f>
        <v>#VALUE!</v>
      </c>
      <c r="JGN6" s="68" t="e" cm="1" vm="1">
        <f t="array" ref="JGN6">_xlfn._xlws.FILTER(TablaProductos[Nombre producto],TablaProductos[Agrupación]=ProductosPivot!JGN5)</f>
        <v>#VALUE!</v>
      </c>
      <c r="JGO6" s="68" t="e" cm="1" vm="1">
        <f t="array" ref="JGO6">_xlfn._xlws.FILTER(TablaProductos[Nombre producto],TablaProductos[Agrupación]=ProductosPivot!JGO5)</f>
        <v>#VALUE!</v>
      </c>
      <c r="JGP6" s="68" t="e" cm="1" vm="1">
        <f t="array" ref="JGP6">_xlfn._xlws.FILTER(TablaProductos[Nombre producto],TablaProductos[Agrupación]=ProductosPivot!JGP5)</f>
        <v>#VALUE!</v>
      </c>
      <c r="JGQ6" s="68" t="e" cm="1" vm="1">
        <f t="array" ref="JGQ6">_xlfn._xlws.FILTER(TablaProductos[Nombre producto],TablaProductos[Agrupación]=ProductosPivot!JGQ5)</f>
        <v>#VALUE!</v>
      </c>
      <c r="JGR6" s="68" t="e" cm="1" vm="1">
        <f t="array" ref="JGR6">_xlfn._xlws.FILTER(TablaProductos[Nombre producto],TablaProductos[Agrupación]=ProductosPivot!JGR5)</f>
        <v>#VALUE!</v>
      </c>
      <c r="JGS6" s="68" t="e" cm="1" vm="1">
        <f t="array" ref="JGS6">_xlfn._xlws.FILTER(TablaProductos[Nombre producto],TablaProductos[Agrupación]=ProductosPivot!JGS5)</f>
        <v>#VALUE!</v>
      </c>
      <c r="JGT6" s="68" t="e" cm="1" vm="1">
        <f t="array" ref="JGT6">_xlfn._xlws.FILTER(TablaProductos[Nombre producto],TablaProductos[Agrupación]=ProductosPivot!JGT5)</f>
        <v>#VALUE!</v>
      </c>
      <c r="JGU6" s="68" t="e" cm="1" vm="1">
        <f t="array" ref="JGU6">_xlfn._xlws.FILTER(TablaProductos[Nombre producto],TablaProductos[Agrupación]=ProductosPivot!JGU5)</f>
        <v>#VALUE!</v>
      </c>
      <c r="JGV6" s="68" t="e" cm="1" vm="1">
        <f t="array" ref="JGV6">_xlfn._xlws.FILTER(TablaProductos[Nombre producto],TablaProductos[Agrupación]=ProductosPivot!JGV5)</f>
        <v>#VALUE!</v>
      </c>
      <c r="JGW6" s="68" t="e" cm="1" vm="1">
        <f t="array" ref="JGW6">_xlfn._xlws.FILTER(TablaProductos[Nombre producto],TablaProductos[Agrupación]=ProductosPivot!JGW5)</f>
        <v>#VALUE!</v>
      </c>
      <c r="JGX6" s="68" t="e" cm="1" vm="1">
        <f t="array" ref="JGX6">_xlfn._xlws.FILTER(TablaProductos[Nombre producto],TablaProductos[Agrupación]=ProductosPivot!JGX5)</f>
        <v>#VALUE!</v>
      </c>
      <c r="JGY6" s="68" t="e" cm="1" vm="1">
        <f t="array" ref="JGY6">_xlfn._xlws.FILTER(TablaProductos[Nombre producto],TablaProductos[Agrupación]=ProductosPivot!JGY5)</f>
        <v>#VALUE!</v>
      </c>
      <c r="JGZ6" s="68" t="e" cm="1" vm="1">
        <f t="array" ref="JGZ6">_xlfn._xlws.FILTER(TablaProductos[Nombre producto],TablaProductos[Agrupación]=ProductosPivot!JGZ5)</f>
        <v>#VALUE!</v>
      </c>
      <c r="JHA6" s="68" t="e" cm="1" vm="1">
        <f t="array" ref="JHA6">_xlfn._xlws.FILTER(TablaProductos[Nombre producto],TablaProductos[Agrupación]=ProductosPivot!JHA5)</f>
        <v>#VALUE!</v>
      </c>
      <c r="JHB6" s="68" t="e" cm="1" vm="1">
        <f t="array" ref="JHB6">_xlfn._xlws.FILTER(TablaProductos[Nombre producto],TablaProductos[Agrupación]=ProductosPivot!JHB5)</f>
        <v>#VALUE!</v>
      </c>
      <c r="JHC6" s="68" t="e" cm="1" vm="1">
        <f t="array" ref="JHC6">_xlfn._xlws.FILTER(TablaProductos[Nombre producto],TablaProductos[Agrupación]=ProductosPivot!JHC5)</f>
        <v>#VALUE!</v>
      </c>
      <c r="JHD6" s="68" t="e" cm="1" vm="1">
        <f t="array" ref="JHD6">_xlfn._xlws.FILTER(TablaProductos[Nombre producto],TablaProductos[Agrupación]=ProductosPivot!JHD5)</f>
        <v>#VALUE!</v>
      </c>
      <c r="JHE6" s="68" t="e" cm="1" vm="1">
        <f t="array" ref="JHE6">_xlfn._xlws.FILTER(TablaProductos[Nombre producto],TablaProductos[Agrupación]=ProductosPivot!JHE5)</f>
        <v>#VALUE!</v>
      </c>
      <c r="JHF6" s="68" t="e" cm="1" vm="1">
        <f t="array" ref="JHF6">_xlfn._xlws.FILTER(TablaProductos[Nombre producto],TablaProductos[Agrupación]=ProductosPivot!JHF5)</f>
        <v>#VALUE!</v>
      </c>
      <c r="JHG6" s="68" t="e" cm="1" vm="1">
        <f t="array" ref="JHG6">_xlfn._xlws.FILTER(TablaProductos[Nombre producto],TablaProductos[Agrupación]=ProductosPivot!JHG5)</f>
        <v>#VALUE!</v>
      </c>
      <c r="JHH6" s="68" t="e" cm="1" vm="1">
        <f t="array" ref="JHH6">_xlfn._xlws.FILTER(TablaProductos[Nombre producto],TablaProductos[Agrupación]=ProductosPivot!JHH5)</f>
        <v>#VALUE!</v>
      </c>
      <c r="JHI6" s="68" t="e" cm="1" vm="1">
        <f t="array" ref="JHI6">_xlfn._xlws.FILTER(TablaProductos[Nombre producto],TablaProductos[Agrupación]=ProductosPivot!JHI5)</f>
        <v>#VALUE!</v>
      </c>
      <c r="JHJ6" s="68" t="e" cm="1" vm="1">
        <f t="array" ref="JHJ6">_xlfn._xlws.FILTER(TablaProductos[Nombre producto],TablaProductos[Agrupación]=ProductosPivot!JHJ5)</f>
        <v>#VALUE!</v>
      </c>
      <c r="JHK6" s="68" t="e" cm="1" vm="1">
        <f t="array" ref="JHK6">_xlfn._xlws.FILTER(TablaProductos[Nombre producto],TablaProductos[Agrupación]=ProductosPivot!JHK5)</f>
        <v>#VALUE!</v>
      </c>
      <c r="JHL6" s="68" t="e" cm="1" vm="1">
        <f t="array" ref="JHL6">_xlfn._xlws.FILTER(TablaProductos[Nombre producto],TablaProductos[Agrupación]=ProductosPivot!JHL5)</f>
        <v>#VALUE!</v>
      </c>
      <c r="JHM6" s="68" t="e" cm="1" vm="1">
        <f t="array" ref="JHM6">_xlfn._xlws.FILTER(TablaProductos[Nombre producto],TablaProductos[Agrupación]=ProductosPivot!JHM5)</f>
        <v>#VALUE!</v>
      </c>
      <c r="JHN6" s="68" t="e" cm="1" vm="1">
        <f t="array" ref="JHN6">_xlfn._xlws.FILTER(TablaProductos[Nombre producto],TablaProductos[Agrupación]=ProductosPivot!JHN5)</f>
        <v>#VALUE!</v>
      </c>
      <c r="JHO6" s="68" t="e" cm="1" vm="1">
        <f t="array" ref="JHO6">_xlfn._xlws.FILTER(TablaProductos[Nombre producto],TablaProductos[Agrupación]=ProductosPivot!JHO5)</f>
        <v>#VALUE!</v>
      </c>
      <c r="JHP6" s="68" t="e" cm="1" vm="1">
        <f t="array" ref="JHP6">_xlfn._xlws.FILTER(TablaProductos[Nombre producto],TablaProductos[Agrupación]=ProductosPivot!JHP5)</f>
        <v>#VALUE!</v>
      </c>
      <c r="JHQ6" s="68" t="e" cm="1" vm="1">
        <f t="array" ref="JHQ6">_xlfn._xlws.FILTER(TablaProductos[Nombre producto],TablaProductos[Agrupación]=ProductosPivot!JHQ5)</f>
        <v>#VALUE!</v>
      </c>
      <c r="JHR6" s="68" t="e" cm="1" vm="1">
        <f t="array" ref="JHR6">_xlfn._xlws.FILTER(TablaProductos[Nombre producto],TablaProductos[Agrupación]=ProductosPivot!JHR5)</f>
        <v>#VALUE!</v>
      </c>
      <c r="JHS6" s="68" t="e" cm="1" vm="1">
        <f t="array" ref="JHS6">_xlfn._xlws.FILTER(TablaProductos[Nombre producto],TablaProductos[Agrupación]=ProductosPivot!JHS5)</f>
        <v>#VALUE!</v>
      </c>
      <c r="JHT6" s="68" t="e" cm="1" vm="1">
        <f t="array" ref="JHT6">_xlfn._xlws.FILTER(TablaProductos[Nombre producto],TablaProductos[Agrupación]=ProductosPivot!JHT5)</f>
        <v>#VALUE!</v>
      </c>
      <c r="JHU6" s="68" t="e" cm="1" vm="1">
        <f t="array" ref="JHU6">_xlfn._xlws.FILTER(TablaProductos[Nombre producto],TablaProductos[Agrupación]=ProductosPivot!JHU5)</f>
        <v>#VALUE!</v>
      </c>
      <c r="JHV6" s="68" t="e" cm="1" vm="1">
        <f t="array" ref="JHV6">_xlfn._xlws.FILTER(TablaProductos[Nombre producto],TablaProductos[Agrupación]=ProductosPivot!JHV5)</f>
        <v>#VALUE!</v>
      </c>
      <c r="JHW6" s="68" t="e" cm="1" vm="1">
        <f t="array" ref="JHW6">_xlfn._xlws.FILTER(TablaProductos[Nombre producto],TablaProductos[Agrupación]=ProductosPivot!JHW5)</f>
        <v>#VALUE!</v>
      </c>
      <c r="JHX6" s="68" t="e" cm="1" vm="1">
        <f t="array" ref="JHX6">_xlfn._xlws.FILTER(TablaProductos[Nombre producto],TablaProductos[Agrupación]=ProductosPivot!JHX5)</f>
        <v>#VALUE!</v>
      </c>
      <c r="JHY6" s="68" t="e" cm="1" vm="1">
        <f t="array" ref="JHY6">_xlfn._xlws.FILTER(TablaProductos[Nombre producto],TablaProductos[Agrupación]=ProductosPivot!JHY5)</f>
        <v>#VALUE!</v>
      </c>
      <c r="JHZ6" s="68" t="e" cm="1" vm="1">
        <f t="array" ref="JHZ6">_xlfn._xlws.FILTER(TablaProductos[Nombre producto],TablaProductos[Agrupación]=ProductosPivot!JHZ5)</f>
        <v>#VALUE!</v>
      </c>
      <c r="JIA6" s="68" t="e" cm="1" vm="1">
        <f t="array" ref="JIA6">_xlfn._xlws.FILTER(TablaProductos[Nombre producto],TablaProductos[Agrupación]=ProductosPivot!JIA5)</f>
        <v>#VALUE!</v>
      </c>
      <c r="JIB6" s="68" t="e" cm="1" vm="1">
        <f t="array" ref="JIB6">_xlfn._xlws.FILTER(TablaProductos[Nombre producto],TablaProductos[Agrupación]=ProductosPivot!JIB5)</f>
        <v>#VALUE!</v>
      </c>
      <c r="JIC6" s="68" t="e" cm="1" vm="1">
        <f t="array" ref="JIC6">_xlfn._xlws.FILTER(TablaProductos[Nombre producto],TablaProductos[Agrupación]=ProductosPivot!JIC5)</f>
        <v>#VALUE!</v>
      </c>
      <c r="JID6" s="68" t="e" cm="1" vm="1">
        <f t="array" ref="JID6">_xlfn._xlws.FILTER(TablaProductos[Nombre producto],TablaProductos[Agrupación]=ProductosPivot!JID5)</f>
        <v>#VALUE!</v>
      </c>
      <c r="JIE6" s="68" t="e" cm="1" vm="1">
        <f t="array" ref="JIE6">_xlfn._xlws.FILTER(TablaProductos[Nombre producto],TablaProductos[Agrupación]=ProductosPivot!JIE5)</f>
        <v>#VALUE!</v>
      </c>
      <c r="JIF6" s="68" t="e" cm="1" vm="1">
        <f t="array" ref="JIF6">_xlfn._xlws.FILTER(TablaProductos[Nombre producto],TablaProductos[Agrupación]=ProductosPivot!JIF5)</f>
        <v>#VALUE!</v>
      </c>
      <c r="JIG6" s="68" t="e" cm="1" vm="1">
        <f t="array" ref="JIG6">_xlfn._xlws.FILTER(TablaProductos[Nombre producto],TablaProductos[Agrupación]=ProductosPivot!JIG5)</f>
        <v>#VALUE!</v>
      </c>
      <c r="JIH6" s="68" t="e" cm="1" vm="1">
        <f t="array" ref="JIH6">_xlfn._xlws.FILTER(TablaProductos[Nombre producto],TablaProductos[Agrupación]=ProductosPivot!JIH5)</f>
        <v>#VALUE!</v>
      </c>
      <c r="JII6" s="68" t="e" cm="1" vm="1">
        <f t="array" ref="JII6">_xlfn._xlws.FILTER(TablaProductos[Nombre producto],TablaProductos[Agrupación]=ProductosPivot!JII5)</f>
        <v>#VALUE!</v>
      </c>
      <c r="JIJ6" s="68" t="e" cm="1" vm="1">
        <f t="array" ref="JIJ6">_xlfn._xlws.FILTER(TablaProductos[Nombre producto],TablaProductos[Agrupación]=ProductosPivot!JIJ5)</f>
        <v>#VALUE!</v>
      </c>
      <c r="JIK6" s="68" t="e" cm="1" vm="1">
        <f t="array" ref="JIK6">_xlfn._xlws.FILTER(TablaProductos[Nombre producto],TablaProductos[Agrupación]=ProductosPivot!JIK5)</f>
        <v>#VALUE!</v>
      </c>
      <c r="JIL6" s="68" t="e" cm="1" vm="1">
        <f t="array" ref="JIL6">_xlfn._xlws.FILTER(TablaProductos[Nombre producto],TablaProductos[Agrupación]=ProductosPivot!JIL5)</f>
        <v>#VALUE!</v>
      </c>
      <c r="JIM6" s="68" t="e" cm="1" vm="1">
        <f t="array" ref="JIM6">_xlfn._xlws.FILTER(TablaProductos[Nombre producto],TablaProductos[Agrupación]=ProductosPivot!JIM5)</f>
        <v>#VALUE!</v>
      </c>
      <c r="JIN6" s="68" t="e" cm="1" vm="1">
        <f t="array" ref="JIN6">_xlfn._xlws.FILTER(TablaProductos[Nombre producto],TablaProductos[Agrupación]=ProductosPivot!JIN5)</f>
        <v>#VALUE!</v>
      </c>
      <c r="JIO6" s="68" t="e" cm="1" vm="1">
        <f t="array" ref="JIO6">_xlfn._xlws.FILTER(TablaProductos[Nombre producto],TablaProductos[Agrupación]=ProductosPivot!JIO5)</f>
        <v>#VALUE!</v>
      </c>
      <c r="JIP6" s="68" t="e" cm="1" vm="1">
        <f t="array" ref="JIP6">_xlfn._xlws.FILTER(TablaProductos[Nombre producto],TablaProductos[Agrupación]=ProductosPivot!JIP5)</f>
        <v>#VALUE!</v>
      </c>
      <c r="JIQ6" s="68" t="e" cm="1" vm="1">
        <f t="array" ref="JIQ6">_xlfn._xlws.FILTER(TablaProductos[Nombre producto],TablaProductos[Agrupación]=ProductosPivot!JIQ5)</f>
        <v>#VALUE!</v>
      </c>
      <c r="JIR6" s="68" t="e" cm="1" vm="1">
        <f t="array" ref="JIR6">_xlfn._xlws.FILTER(TablaProductos[Nombre producto],TablaProductos[Agrupación]=ProductosPivot!JIR5)</f>
        <v>#VALUE!</v>
      </c>
      <c r="JIS6" s="68" t="e" cm="1" vm="1">
        <f t="array" ref="JIS6">_xlfn._xlws.FILTER(TablaProductos[Nombre producto],TablaProductos[Agrupación]=ProductosPivot!JIS5)</f>
        <v>#VALUE!</v>
      </c>
      <c r="JIT6" s="68" t="e" cm="1" vm="1">
        <f t="array" ref="JIT6">_xlfn._xlws.FILTER(TablaProductos[Nombre producto],TablaProductos[Agrupación]=ProductosPivot!JIT5)</f>
        <v>#VALUE!</v>
      </c>
      <c r="JIU6" s="68" t="e" cm="1" vm="1">
        <f t="array" ref="JIU6">_xlfn._xlws.FILTER(TablaProductos[Nombre producto],TablaProductos[Agrupación]=ProductosPivot!JIU5)</f>
        <v>#VALUE!</v>
      </c>
      <c r="JIV6" s="68" t="e" cm="1" vm="1">
        <f t="array" ref="JIV6">_xlfn._xlws.FILTER(TablaProductos[Nombre producto],TablaProductos[Agrupación]=ProductosPivot!JIV5)</f>
        <v>#VALUE!</v>
      </c>
      <c r="JIW6" s="68" t="e" cm="1" vm="1">
        <f t="array" ref="JIW6">_xlfn._xlws.FILTER(TablaProductos[Nombre producto],TablaProductos[Agrupación]=ProductosPivot!JIW5)</f>
        <v>#VALUE!</v>
      </c>
      <c r="JIX6" s="68" t="e" cm="1" vm="1">
        <f t="array" ref="JIX6">_xlfn._xlws.FILTER(TablaProductos[Nombre producto],TablaProductos[Agrupación]=ProductosPivot!JIX5)</f>
        <v>#VALUE!</v>
      </c>
      <c r="JIY6" s="68" t="e" cm="1" vm="1">
        <f t="array" ref="JIY6">_xlfn._xlws.FILTER(TablaProductos[Nombre producto],TablaProductos[Agrupación]=ProductosPivot!JIY5)</f>
        <v>#VALUE!</v>
      </c>
      <c r="JIZ6" s="68" t="e" cm="1" vm="1">
        <f t="array" ref="JIZ6">_xlfn._xlws.FILTER(TablaProductos[Nombre producto],TablaProductos[Agrupación]=ProductosPivot!JIZ5)</f>
        <v>#VALUE!</v>
      </c>
      <c r="JJA6" s="68" t="e" cm="1" vm="1">
        <f t="array" ref="JJA6">_xlfn._xlws.FILTER(TablaProductos[Nombre producto],TablaProductos[Agrupación]=ProductosPivot!JJA5)</f>
        <v>#VALUE!</v>
      </c>
      <c r="JJB6" s="68" t="e" cm="1" vm="1">
        <f t="array" ref="JJB6">_xlfn._xlws.FILTER(TablaProductos[Nombre producto],TablaProductos[Agrupación]=ProductosPivot!JJB5)</f>
        <v>#VALUE!</v>
      </c>
      <c r="JJC6" s="68" t="e" cm="1" vm="1">
        <f t="array" ref="JJC6">_xlfn._xlws.FILTER(TablaProductos[Nombre producto],TablaProductos[Agrupación]=ProductosPivot!JJC5)</f>
        <v>#VALUE!</v>
      </c>
      <c r="JJD6" s="68" t="e" cm="1" vm="1">
        <f t="array" ref="JJD6">_xlfn._xlws.FILTER(TablaProductos[Nombre producto],TablaProductos[Agrupación]=ProductosPivot!JJD5)</f>
        <v>#VALUE!</v>
      </c>
      <c r="JJE6" s="68" t="e" cm="1" vm="1">
        <f t="array" ref="JJE6">_xlfn._xlws.FILTER(TablaProductos[Nombre producto],TablaProductos[Agrupación]=ProductosPivot!JJE5)</f>
        <v>#VALUE!</v>
      </c>
      <c r="JJF6" s="68" t="e" cm="1" vm="1">
        <f t="array" ref="JJF6">_xlfn._xlws.FILTER(TablaProductos[Nombre producto],TablaProductos[Agrupación]=ProductosPivot!JJF5)</f>
        <v>#VALUE!</v>
      </c>
      <c r="JJG6" s="68" t="e" cm="1" vm="1">
        <f t="array" ref="JJG6">_xlfn._xlws.FILTER(TablaProductos[Nombre producto],TablaProductos[Agrupación]=ProductosPivot!JJG5)</f>
        <v>#VALUE!</v>
      </c>
      <c r="JJH6" s="68" t="e" cm="1" vm="1">
        <f t="array" ref="JJH6">_xlfn._xlws.FILTER(TablaProductos[Nombre producto],TablaProductos[Agrupación]=ProductosPivot!JJH5)</f>
        <v>#VALUE!</v>
      </c>
      <c r="JJI6" s="68" t="e" cm="1" vm="1">
        <f t="array" ref="JJI6">_xlfn._xlws.FILTER(TablaProductos[Nombre producto],TablaProductos[Agrupación]=ProductosPivot!JJI5)</f>
        <v>#VALUE!</v>
      </c>
      <c r="JJJ6" s="68" t="e" cm="1" vm="1">
        <f t="array" ref="JJJ6">_xlfn._xlws.FILTER(TablaProductos[Nombre producto],TablaProductos[Agrupación]=ProductosPivot!JJJ5)</f>
        <v>#VALUE!</v>
      </c>
      <c r="JJK6" s="68" t="e" cm="1" vm="1">
        <f t="array" ref="JJK6">_xlfn._xlws.FILTER(TablaProductos[Nombre producto],TablaProductos[Agrupación]=ProductosPivot!JJK5)</f>
        <v>#VALUE!</v>
      </c>
      <c r="JJL6" s="68" t="e" cm="1" vm="1">
        <f t="array" ref="JJL6">_xlfn._xlws.FILTER(TablaProductos[Nombre producto],TablaProductos[Agrupación]=ProductosPivot!JJL5)</f>
        <v>#VALUE!</v>
      </c>
      <c r="JJM6" s="68" t="e" cm="1" vm="1">
        <f t="array" ref="JJM6">_xlfn._xlws.FILTER(TablaProductos[Nombre producto],TablaProductos[Agrupación]=ProductosPivot!JJM5)</f>
        <v>#VALUE!</v>
      </c>
      <c r="JJN6" s="68" t="e" cm="1" vm="1">
        <f t="array" ref="JJN6">_xlfn._xlws.FILTER(TablaProductos[Nombre producto],TablaProductos[Agrupación]=ProductosPivot!JJN5)</f>
        <v>#VALUE!</v>
      </c>
      <c r="JJO6" s="68" t="e" cm="1" vm="1">
        <f t="array" ref="JJO6">_xlfn._xlws.FILTER(TablaProductos[Nombre producto],TablaProductos[Agrupación]=ProductosPivot!JJO5)</f>
        <v>#VALUE!</v>
      </c>
      <c r="JJP6" s="68" t="e" cm="1" vm="1">
        <f t="array" ref="JJP6">_xlfn._xlws.FILTER(TablaProductos[Nombre producto],TablaProductos[Agrupación]=ProductosPivot!JJP5)</f>
        <v>#VALUE!</v>
      </c>
      <c r="JJQ6" s="68" t="e" cm="1" vm="1">
        <f t="array" ref="JJQ6">_xlfn._xlws.FILTER(TablaProductos[Nombre producto],TablaProductos[Agrupación]=ProductosPivot!JJQ5)</f>
        <v>#VALUE!</v>
      </c>
      <c r="JJR6" s="68" t="e" cm="1" vm="1">
        <f t="array" ref="JJR6">_xlfn._xlws.FILTER(TablaProductos[Nombre producto],TablaProductos[Agrupación]=ProductosPivot!JJR5)</f>
        <v>#VALUE!</v>
      </c>
      <c r="JJS6" s="68" t="e" cm="1" vm="1">
        <f t="array" ref="JJS6">_xlfn._xlws.FILTER(TablaProductos[Nombre producto],TablaProductos[Agrupación]=ProductosPivot!JJS5)</f>
        <v>#VALUE!</v>
      </c>
      <c r="JJT6" s="68" t="e" cm="1" vm="1">
        <f t="array" ref="JJT6">_xlfn._xlws.FILTER(TablaProductos[Nombre producto],TablaProductos[Agrupación]=ProductosPivot!JJT5)</f>
        <v>#VALUE!</v>
      </c>
      <c r="JJU6" s="68" t="e" cm="1" vm="1">
        <f t="array" ref="JJU6">_xlfn._xlws.FILTER(TablaProductos[Nombre producto],TablaProductos[Agrupación]=ProductosPivot!JJU5)</f>
        <v>#VALUE!</v>
      </c>
      <c r="JJV6" s="68" t="e" cm="1" vm="1">
        <f t="array" ref="JJV6">_xlfn._xlws.FILTER(TablaProductos[Nombre producto],TablaProductos[Agrupación]=ProductosPivot!JJV5)</f>
        <v>#VALUE!</v>
      </c>
      <c r="JJW6" s="68" t="e" cm="1" vm="1">
        <f t="array" ref="JJW6">_xlfn._xlws.FILTER(TablaProductos[Nombre producto],TablaProductos[Agrupación]=ProductosPivot!JJW5)</f>
        <v>#VALUE!</v>
      </c>
      <c r="JJX6" s="68" t="e" cm="1" vm="1">
        <f t="array" ref="JJX6">_xlfn._xlws.FILTER(TablaProductos[Nombre producto],TablaProductos[Agrupación]=ProductosPivot!JJX5)</f>
        <v>#VALUE!</v>
      </c>
      <c r="JJY6" s="68" t="e" cm="1" vm="1">
        <f t="array" ref="JJY6">_xlfn._xlws.FILTER(TablaProductos[Nombre producto],TablaProductos[Agrupación]=ProductosPivot!JJY5)</f>
        <v>#VALUE!</v>
      </c>
      <c r="JJZ6" s="68" t="e" cm="1" vm="1">
        <f t="array" ref="JJZ6">_xlfn._xlws.FILTER(TablaProductos[Nombre producto],TablaProductos[Agrupación]=ProductosPivot!JJZ5)</f>
        <v>#VALUE!</v>
      </c>
      <c r="JKA6" s="68" t="e" cm="1" vm="1">
        <f t="array" ref="JKA6">_xlfn._xlws.FILTER(TablaProductos[Nombre producto],TablaProductos[Agrupación]=ProductosPivot!JKA5)</f>
        <v>#VALUE!</v>
      </c>
      <c r="JKB6" s="68" t="e" cm="1" vm="1">
        <f t="array" ref="JKB6">_xlfn._xlws.FILTER(TablaProductos[Nombre producto],TablaProductos[Agrupación]=ProductosPivot!JKB5)</f>
        <v>#VALUE!</v>
      </c>
      <c r="JKC6" s="68" t="e" cm="1" vm="1">
        <f t="array" ref="JKC6">_xlfn._xlws.FILTER(TablaProductos[Nombre producto],TablaProductos[Agrupación]=ProductosPivot!JKC5)</f>
        <v>#VALUE!</v>
      </c>
      <c r="JKD6" s="68" t="e" cm="1" vm="1">
        <f t="array" ref="JKD6">_xlfn._xlws.FILTER(TablaProductos[Nombre producto],TablaProductos[Agrupación]=ProductosPivot!JKD5)</f>
        <v>#VALUE!</v>
      </c>
      <c r="JKE6" s="68" t="e" cm="1" vm="1">
        <f t="array" ref="JKE6">_xlfn._xlws.FILTER(TablaProductos[Nombre producto],TablaProductos[Agrupación]=ProductosPivot!JKE5)</f>
        <v>#VALUE!</v>
      </c>
      <c r="JKF6" s="68" t="e" cm="1" vm="1">
        <f t="array" ref="JKF6">_xlfn._xlws.FILTER(TablaProductos[Nombre producto],TablaProductos[Agrupación]=ProductosPivot!JKF5)</f>
        <v>#VALUE!</v>
      </c>
      <c r="JKG6" s="68" t="e" cm="1" vm="1">
        <f t="array" ref="JKG6">_xlfn._xlws.FILTER(TablaProductos[Nombre producto],TablaProductos[Agrupación]=ProductosPivot!JKG5)</f>
        <v>#VALUE!</v>
      </c>
      <c r="JKH6" s="68" t="e" cm="1" vm="1">
        <f t="array" ref="JKH6">_xlfn._xlws.FILTER(TablaProductos[Nombre producto],TablaProductos[Agrupación]=ProductosPivot!JKH5)</f>
        <v>#VALUE!</v>
      </c>
      <c r="JKI6" s="68" t="e" cm="1" vm="1">
        <f t="array" ref="JKI6">_xlfn._xlws.FILTER(TablaProductos[Nombre producto],TablaProductos[Agrupación]=ProductosPivot!JKI5)</f>
        <v>#VALUE!</v>
      </c>
      <c r="JKJ6" s="68" t="e" cm="1" vm="1">
        <f t="array" ref="JKJ6">_xlfn._xlws.FILTER(TablaProductos[Nombre producto],TablaProductos[Agrupación]=ProductosPivot!JKJ5)</f>
        <v>#VALUE!</v>
      </c>
      <c r="JKK6" s="68" t="e" cm="1" vm="1">
        <f t="array" ref="JKK6">_xlfn._xlws.FILTER(TablaProductos[Nombre producto],TablaProductos[Agrupación]=ProductosPivot!JKK5)</f>
        <v>#VALUE!</v>
      </c>
      <c r="JKL6" s="68" t="e" cm="1" vm="1">
        <f t="array" ref="JKL6">_xlfn._xlws.FILTER(TablaProductos[Nombre producto],TablaProductos[Agrupación]=ProductosPivot!JKL5)</f>
        <v>#VALUE!</v>
      </c>
      <c r="JKM6" s="68" t="e" cm="1" vm="1">
        <f t="array" ref="JKM6">_xlfn._xlws.FILTER(TablaProductos[Nombre producto],TablaProductos[Agrupación]=ProductosPivot!JKM5)</f>
        <v>#VALUE!</v>
      </c>
      <c r="JKN6" s="68" t="e" cm="1" vm="1">
        <f t="array" ref="JKN6">_xlfn._xlws.FILTER(TablaProductos[Nombre producto],TablaProductos[Agrupación]=ProductosPivot!JKN5)</f>
        <v>#VALUE!</v>
      </c>
      <c r="JKO6" s="68" t="e" cm="1" vm="1">
        <f t="array" ref="JKO6">_xlfn._xlws.FILTER(TablaProductos[Nombre producto],TablaProductos[Agrupación]=ProductosPivot!JKO5)</f>
        <v>#VALUE!</v>
      </c>
      <c r="JKP6" s="68" t="e" cm="1" vm="1">
        <f t="array" ref="JKP6">_xlfn._xlws.FILTER(TablaProductos[Nombre producto],TablaProductos[Agrupación]=ProductosPivot!JKP5)</f>
        <v>#VALUE!</v>
      </c>
      <c r="JKQ6" s="68" t="e" cm="1" vm="1">
        <f t="array" ref="JKQ6">_xlfn._xlws.FILTER(TablaProductos[Nombre producto],TablaProductos[Agrupación]=ProductosPivot!JKQ5)</f>
        <v>#VALUE!</v>
      </c>
      <c r="JKR6" s="68" t="e" cm="1" vm="1">
        <f t="array" ref="JKR6">_xlfn._xlws.FILTER(TablaProductos[Nombre producto],TablaProductos[Agrupación]=ProductosPivot!JKR5)</f>
        <v>#VALUE!</v>
      </c>
      <c r="JKS6" s="68" t="e" cm="1" vm="1">
        <f t="array" ref="JKS6">_xlfn._xlws.FILTER(TablaProductos[Nombre producto],TablaProductos[Agrupación]=ProductosPivot!JKS5)</f>
        <v>#VALUE!</v>
      </c>
      <c r="JKT6" s="68" t="e" cm="1" vm="1">
        <f t="array" ref="JKT6">_xlfn._xlws.FILTER(TablaProductos[Nombre producto],TablaProductos[Agrupación]=ProductosPivot!JKT5)</f>
        <v>#VALUE!</v>
      </c>
      <c r="JKU6" s="68" t="e" cm="1" vm="1">
        <f t="array" ref="JKU6">_xlfn._xlws.FILTER(TablaProductos[Nombre producto],TablaProductos[Agrupación]=ProductosPivot!JKU5)</f>
        <v>#VALUE!</v>
      </c>
      <c r="JKV6" s="68" t="e" cm="1" vm="1">
        <f t="array" ref="JKV6">_xlfn._xlws.FILTER(TablaProductos[Nombre producto],TablaProductos[Agrupación]=ProductosPivot!JKV5)</f>
        <v>#VALUE!</v>
      </c>
      <c r="JKW6" s="68" t="e" cm="1" vm="1">
        <f t="array" ref="JKW6">_xlfn._xlws.FILTER(TablaProductos[Nombre producto],TablaProductos[Agrupación]=ProductosPivot!JKW5)</f>
        <v>#VALUE!</v>
      </c>
      <c r="JKX6" s="68" t="e" cm="1" vm="1">
        <f t="array" ref="JKX6">_xlfn._xlws.FILTER(TablaProductos[Nombre producto],TablaProductos[Agrupación]=ProductosPivot!JKX5)</f>
        <v>#VALUE!</v>
      </c>
      <c r="JKY6" s="68" t="e" cm="1" vm="1">
        <f t="array" ref="JKY6">_xlfn._xlws.FILTER(TablaProductos[Nombre producto],TablaProductos[Agrupación]=ProductosPivot!JKY5)</f>
        <v>#VALUE!</v>
      </c>
      <c r="JKZ6" s="68" t="e" cm="1" vm="1">
        <f t="array" ref="JKZ6">_xlfn._xlws.FILTER(TablaProductos[Nombre producto],TablaProductos[Agrupación]=ProductosPivot!JKZ5)</f>
        <v>#VALUE!</v>
      </c>
      <c r="JLA6" s="68" t="e" cm="1" vm="1">
        <f t="array" ref="JLA6">_xlfn._xlws.FILTER(TablaProductos[Nombre producto],TablaProductos[Agrupación]=ProductosPivot!JLA5)</f>
        <v>#VALUE!</v>
      </c>
      <c r="JLB6" s="68" t="e" cm="1" vm="1">
        <f t="array" ref="JLB6">_xlfn._xlws.FILTER(TablaProductos[Nombre producto],TablaProductos[Agrupación]=ProductosPivot!JLB5)</f>
        <v>#VALUE!</v>
      </c>
      <c r="JLC6" s="68" t="e" cm="1" vm="1">
        <f t="array" ref="JLC6">_xlfn._xlws.FILTER(TablaProductos[Nombre producto],TablaProductos[Agrupación]=ProductosPivot!JLC5)</f>
        <v>#VALUE!</v>
      </c>
      <c r="JLD6" s="68" t="e" cm="1" vm="1">
        <f t="array" ref="JLD6">_xlfn._xlws.FILTER(TablaProductos[Nombre producto],TablaProductos[Agrupación]=ProductosPivot!JLD5)</f>
        <v>#VALUE!</v>
      </c>
      <c r="JLE6" s="68" t="e" cm="1" vm="1">
        <f t="array" ref="JLE6">_xlfn._xlws.FILTER(TablaProductos[Nombre producto],TablaProductos[Agrupación]=ProductosPivot!JLE5)</f>
        <v>#VALUE!</v>
      </c>
      <c r="JLF6" s="68" t="e" cm="1" vm="1">
        <f t="array" ref="JLF6">_xlfn._xlws.FILTER(TablaProductos[Nombre producto],TablaProductos[Agrupación]=ProductosPivot!JLF5)</f>
        <v>#VALUE!</v>
      </c>
      <c r="JLG6" s="68" t="e" cm="1" vm="1">
        <f t="array" ref="JLG6">_xlfn._xlws.FILTER(TablaProductos[Nombre producto],TablaProductos[Agrupación]=ProductosPivot!JLG5)</f>
        <v>#VALUE!</v>
      </c>
      <c r="JLH6" s="68" t="e" cm="1" vm="1">
        <f t="array" ref="JLH6">_xlfn._xlws.FILTER(TablaProductos[Nombre producto],TablaProductos[Agrupación]=ProductosPivot!JLH5)</f>
        <v>#VALUE!</v>
      </c>
      <c r="JLI6" s="68" t="e" cm="1" vm="1">
        <f t="array" ref="JLI6">_xlfn._xlws.FILTER(TablaProductos[Nombre producto],TablaProductos[Agrupación]=ProductosPivot!JLI5)</f>
        <v>#VALUE!</v>
      </c>
      <c r="JLJ6" s="68" t="e" cm="1" vm="1">
        <f t="array" ref="JLJ6">_xlfn._xlws.FILTER(TablaProductos[Nombre producto],TablaProductos[Agrupación]=ProductosPivot!JLJ5)</f>
        <v>#VALUE!</v>
      </c>
      <c r="JLK6" s="68" t="e" cm="1" vm="1">
        <f t="array" ref="JLK6">_xlfn._xlws.FILTER(TablaProductos[Nombre producto],TablaProductos[Agrupación]=ProductosPivot!JLK5)</f>
        <v>#VALUE!</v>
      </c>
      <c r="JLL6" s="68" t="e" cm="1" vm="1">
        <f t="array" ref="JLL6">_xlfn._xlws.FILTER(TablaProductos[Nombre producto],TablaProductos[Agrupación]=ProductosPivot!JLL5)</f>
        <v>#VALUE!</v>
      </c>
      <c r="JLM6" s="68" t="e" cm="1" vm="1">
        <f t="array" ref="JLM6">_xlfn._xlws.FILTER(TablaProductos[Nombre producto],TablaProductos[Agrupación]=ProductosPivot!JLM5)</f>
        <v>#VALUE!</v>
      </c>
      <c r="JLN6" s="68" t="e" cm="1" vm="1">
        <f t="array" ref="JLN6">_xlfn._xlws.FILTER(TablaProductos[Nombre producto],TablaProductos[Agrupación]=ProductosPivot!JLN5)</f>
        <v>#VALUE!</v>
      </c>
      <c r="JLO6" s="68" t="e" cm="1" vm="1">
        <f t="array" ref="JLO6">_xlfn._xlws.FILTER(TablaProductos[Nombre producto],TablaProductos[Agrupación]=ProductosPivot!JLO5)</f>
        <v>#VALUE!</v>
      </c>
      <c r="JLP6" s="68" t="e" cm="1" vm="1">
        <f t="array" ref="JLP6">_xlfn._xlws.FILTER(TablaProductos[Nombre producto],TablaProductos[Agrupación]=ProductosPivot!JLP5)</f>
        <v>#VALUE!</v>
      </c>
      <c r="JLQ6" s="68" t="e" cm="1" vm="1">
        <f t="array" ref="JLQ6">_xlfn._xlws.FILTER(TablaProductos[Nombre producto],TablaProductos[Agrupación]=ProductosPivot!JLQ5)</f>
        <v>#VALUE!</v>
      </c>
      <c r="JLR6" s="68" t="e" cm="1" vm="1">
        <f t="array" ref="JLR6">_xlfn._xlws.FILTER(TablaProductos[Nombre producto],TablaProductos[Agrupación]=ProductosPivot!JLR5)</f>
        <v>#VALUE!</v>
      </c>
      <c r="JLS6" s="68" t="e" cm="1" vm="1">
        <f t="array" ref="JLS6">_xlfn._xlws.FILTER(TablaProductos[Nombre producto],TablaProductos[Agrupación]=ProductosPivot!JLS5)</f>
        <v>#VALUE!</v>
      </c>
      <c r="JLT6" s="68" t="e" cm="1" vm="1">
        <f t="array" ref="JLT6">_xlfn._xlws.FILTER(TablaProductos[Nombre producto],TablaProductos[Agrupación]=ProductosPivot!JLT5)</f>
        <v>#VALUE!</v>
      </c>
      <c r="JLU6" s="68" t="e" cm="1" vm="1">
        <f t="array" ref="JLU6">_xlfn._xlws.FILTER(TablaProductos[Nombre producto],TablaProductos[Agrupación]=ProductosPivot!JLU5)</f>
        <v>#VALUE!</v>
      </c>
      <c r="JLV6" s="68" t="e" cm="1" vm="1">
        <f t="array" ref="JLV6">_xlfn._xlws.FILTER(TablaProductos[Nombre producto],TablaProductos[Agrupación]=ProductosPivot!JLV5)</f>
        <v>#VALUE!</v>
      </c>
      <c r="JLW6" s="68" t="e" cm="1" vm="1">
        <f t="array" ref="JLW6">_xlfn._xlws.FILTER(TablaProductos[Nombre producto],TablaProductos[Agrupación]=ProductosPivot!JLW5)</f>
        <v>#VALUE!</v>
      </c>
      <c r="JLX6" s="68" t="e" cm="1" vm="1">
        <f t="array" ref="JLX6">_xlfn._xlws.FILTER(TablaProductos[Nombre producto],TablaProductos[Agrupación]=ProductosPivot!JLX5)</f>
        <v>#VALUE!</v>
      </c>
      <c r="JLY6" s="68" t="e" cm="1" vm="1">
        <f t="array" ref="JLY6">_xlfn._xlws.FILTER(TablaProductos[Nombre producto],TablaProductos[Agrupación]=ProductosPivot!JLY5)</f>
        <v>#VALUE!</v>
      </c>
      <c r="JLZ6" s="68" t="e" cm="1" vm="1">
        <f t="array" ref="JLZ6">_xlfn._xlws.FILTER(TablaProductos[Nombre producto],TablaProductos[Agrupación]=ProductosPivot!JLZ5)</f>
        <v>#VALUE!</v>
      </c>
      <c r="JMA6" s="68" t="e" cm="1" vm="1">
        <f t="array" ref="JMA6">_xlfn._xlws.FILTER(TablaProductos[Nombre producto],TablaProductos[Agrupación]=ProductosPivot!JMA5)</f>
        <v>#VALUE!</v>
      </c>
      <c r="JMB6" s="68" t="e" cm="1" vm="1">
        <f t="array" ref="JMB6">_xlfn._xlws.FILTER(TablaProductos[Nombre producto],TablaProductos[Agrupación]=ProductosPivot!JMB5)</f>
        <v>#VALUE!</v>
      </c>
      <c r="JMC6" s="68" t="e" cm="1" vm="1">
        <f t="array" ref="JMC6">_xlfn._xlws.FILTER(TablaProductos[Nombre producto],TablaProductos[Agrupación]=ProductosPivot!JMC5)</f>
        <v>#VALUE!</v>
      </c>
      <c r="JMD6" s="68" t="e" cm="1" vm="1">
        <f t="array" ref="JMD6">_xlfn._xlws.FILTER(TablaProductos[Nombre producto],TablaProductos[Agrupación]=ProductosPivot!JMD5)</f>
        <v>#VALUE!</v>
      </c>
      <c r="JME6" s="68" t="e" cm="1" vm="1">
        <f t="array" ref="JME6">_xlfn._xlws.FILTER(TablaProductos[Nombre producto],TablaProductos[Agrupación]=ProductosPivot!JME5)</f>
        <v>#VALUE!</v>
      </c>
      <c r="JMF6" s="68" t="e" cm="1" vm="1">
        <f t="array" ref="JMF6">_xlfn._xlws.FILTER(TablaProductos[Nombre producto],TablaProductos[Agrupación]=ProductosPivot!JMF5)</f>
        <v>#VALUE!</v>
      </c>
      <c r="JMG6" s="68" t="e" cm="1" vm="1">
        <f t="array" ref="JMG6">_xlfn._xlws.FILTER(TablaProductos[Nombre producto],TablaProductos[Agrupación]=ProductosPivot!JMG5)</f>
        <v>#VALUE!</v>
      </c>
      <c r="JMH6" s="68" t="e" cm="1" vm="1">
        <f t="array" ref="JMH6">_xlfn._xlws.FILTER(TablaProductos[Nombre producto],TablaProductos[Agrupación]=ProductosPivot!JMH5)</f>
        <v>#VALUE!</v>
      </c>
      <c r="JMI6" s="68" t="e" cm="1" vm="1">
        <f t="array" ref="JMI6">_xlfn._xlws.FILTER(TablaProductos[Nombre producto],TablaProductos[Agrupación]=ProductosPivot!JMI5)</f>
        <v>#VALUE!</v>
      </c>
      <c r="JMJ6" s="68" t="e" cm="1" vm="1">
        <f t="array" ref="JMJ6">_xlfn._xlws.FILTER(TablaProductos[Nombre producto],TablaProductos[Agrupación]=ProductosPivot!JMJ5)</f>
        <v>#VALUE!</v>
      </c>
      <c r="JMK6" s="68" t="e" cm="1" vm="1">
        <f t="array" ref="JMK6">_xlfn._xlws.FILTER(TablaProductos[Nombre producto],TablaProductos[Agrupación]=ProductosPivot!JMK5)</f>
        <v>#VALUE!</v>
      </c>
      <c r="JML6" s="68" t="e" cm="1" vm="1">
        <f t="array" ref="JML6">_xlfn._xlws.FILTER(TablaProductos[Nombre producto],TablaProductos[Agrupación]=ProductosPivot!JML5)</f>
        <v>#VALUE!</v>
      </c>
      <c r="JMM6" s="68" t="e" cm="1" vm="1">
        <f t="array" ref="JMM6">_xlfn._xlws.FILTER(TablaProductos[Nombre producto],TablaProductos[Agrupación]=ProductosPivot!JMM5)</f>
        <v>#VALUE!</v>
      </c>
      <c r="JMN6" s="68" t="e" cm="1" vm="1">
        <f t="array" ref="JMN6">_xlfn._xlws.FILTER(TablaProductos[Nombre producto],TablaProductos[Agrupación]=ProductosPivot!JMN5)</f>
        <v>#VALUE!</v>
      </c>
      <c r="JMO6" s="68" t="e" cm="1" vm="1">
        <f t="array" ref="JMO6">_xlfn._xlws.FILTER(TablaProductos[Nombre producto],TablaProductos[Agrupación]=ProductosPivot!JMO5)</f>
        <v>#VALUE!</v>
      </c>
      <c r="JMP6" s="68" t="e" cm="1" vm="1">
        <f t="array" ref="JMP6">_xlfn._xlws.FILTER(TablaProductos[Nombre producto],TablaProductos[Agrupación]=ProductosPivot!JMP5)</f>
        <v>#VALUE!</v>
      </c>
      <c r="JMQ6" s="68" t="e" cm="1" vm="1">
        <f t="array" ref="JMQ6">_xlfn._xlws.FILTER(TablaProductos[Nombre producto],TablaProductos[Agrupación]=ProductosPivot!JMQ5)</f>
        <v>#VALUE!</v>
      </c>
      <c r="JMR6" s="68" t="e" cm="1" vm="1">
        <f t="array" ref="JMR6">_xlfn._xlws.FILTER(TablaProductos[Nombre producto],TablaProductos[Agrupación]=ProductosPivot!JMR5)</f>
        <v>#VALUE!</v>
      </c>
      <c r="JMS6" s="68" t="e" cm="1" vm="1">
        <f t="array" ref="JMS6">_xlfn._xlws.FILTER(TablaProductos[Nombre producto],TablaProductos[Agrupación]=ProductosPivot!JMS5)</f>
        <v>#VALUE!</v>
      </c>
      <c r="JMT6" s="68" t="e" cm="1" vm="1">
        <f t="array" ref="JMT6">_xlfn._xlws.FILTER(TablaProductos[Nombre producto],TablaProductos[Agrupación]=ProductosPivot!JMT5)</f>
        <v>#VALUE!</v>
      </c>
      <c r="JMU6" s="68" t="e" cm="1" vm="1">
        <f t="array" ref="JMU6">_xlfn._xlws.FILTER(TablaProductos[Nombre producto],TablaProductos[Agrupación]=ProductosPivot!JMU5)</f>
        <v>#VALUE!</v>
      </c>
      <c r="JMV6" s="68" t="e" cm="1" vm="1">
        <f t="array" ref="JMV6">_xlfn._xlws.FILTER(TablaProductos[Nombre producto],TablaProductos[Agrupación]=ProductosPivot!JMV5)</f>
        <v>#VALUE!</v>
      </c>
      <c r="JMW6" s="68" t="e" cm="1" vm="1">
        <f t="array" ref="JMW6">_xlfn._xlws.FILTER(TablaProductos[Nombre producto],TablaProductos[Agrupación]=ProductosPivot!JMW5)</f>
        <v>#VALUE!</v>
      </c>
      <c r="JMX6" s="68" t="e" cm="1" vm="1">
        <f t="array" ref="JMX6">_xlfn._xlws.FILTER(TablaProductos[Nombre producto],TablaProductos[Agrupación]=ProductosPivot!JMX5)</f>
        <v>#VALUE!</v>
      </c>
      <c r="JMY6" s="68" t="e" cm="1" vm="1">
        <f t="array" ref="JMY6">_xlfn._xlws.FILTER(TablaProductos[Nombre producto],TablaProductos[Agrupación]=ProductosPivot!JMY5)</f>
        <v>#VALUE!</v>
      </c>
      <c r="JMZ6" s="68" t="e" cm="1" vm="1">
        <f t="array" ref="JMZ6">_xlfn._xlws.FILTER(TablaProductos[Nombre producto],TablaProductos[Agrupación]=ProductosPivot!JMZ5)</f>
        <v>#VALUE!</v>
      </c>
      <c r="JNA6" s="68" t="e" cm="1" vm="1">
        <f t="array" ref="JNA6">_xlfn._xlws.FILTER(TablaProductos[Nombre producto],TablaProductos[Agrupación]=ProductosPivot!JNA5)</f>
        <v>#VALUE!</v>
      </c>
      <c r="JNB6" s="68" t="e" cm="1" vm="1">
        <f t="array" ref="JNB6">_xlfn._xlws.FILTER(TablaProductos[Nombre producto],TablaProductos[Agrupación]=ProductosPivot!JNB5)</f>
        <v>#VALUE!</v>
      </c>
      <c r="JNC6" s="68" t="e" cm="1" vm="1">
        <f t="array" ref="JNC6">_xlfn._xlws.FILTER(TablaProductos[Nombre producto],TablaProductos[Agrupación]=ProductosPivot!JNC5)</f>
        <v>#VALUE!</v>
      </c>
      <c r="JND6" s="68" t="e" cm="1" vm="1">
        <f t="array" ref="JND6">_xlfn._xlws.FILTER(TablaProductos[Nombre producto],TablaProductos[Agrupación]=ProductosPivot!JND5)</f>
        <v>#VALUE!</v>
      </c>
      <c r="JNE6" s="68" t="e" cm="1" vm="1">
        <f t="array" ref="JNE6">_xlfn._xlws.FILTER(TablaProductos[Nombre producto],TablaProductos[Agrupación]=ProductosPivot!JNE5)</f>
        <v>#VALUE!</v>
      </c>
      <c r="JNF6" s="68" t="e" cm="1" vm="1">
        <f t="array" ref="JNF6">_xlfn._xlws.FILTER(TablaProductos[Nombre producto],TablaProductos[Agrupación]=ProductosPivot!JNF5)</f>
        <v>#VALUE!</v>
      </c>
      <c r="JNG6" s="68" t="e" cm="1" vm="1">
        <f t="array" ref="JNG6">_xlfn._xlws.FILTER(TablaProductos[Nombre producto],TablaProductos[Agrupación]=ProductosPivot!JNG5)</f>
        <v>#VALUE!</v>
      </c>
      <c r="JNH6" s="68" t="e" cm="1" vm="1">
        <f t="array" ref="JNH6">_xlfn._xlws.FILTER(TablaProductos[Nombre producto],TablaProductos[Agrupación]=ProductosPivot!JNH5)</f>
        <v>#VALUE!</v>
      </c>
      <c r="JNI6" s="68" t="e" cm="1" vm="1">
        <f t="array" ref="JNI6">_xlfn._xlws.FILTER(TablaProductos[Nombre producto],TablaProductos[Agrupación]=ProductosPivot!JNI5)</f>
        <v>#VALUE!</v>
      </c>
      <c r="JNJ6" s="68" t="e" cm="1" vm="1">
        <f t="array" ref="JNJ6">_xlfn._xlws.FILTER(TablaProductos[Nombre producto],TablaProductos[Agrupación]=ProductosPivot!JNJ5)</f>
        <v>#VALUE!</v>
      </c>
      <c r="JNK6" s="68" t="e" cm="1" vm="1">
        <f t="array" ref="JNK6">_xlfn._xlws.FILTER(TablaProductos[Nombre producto],TablaProductos[Agrupación]=ProductosPivot!JNK5)</f>
        <v>#VALUE!</v>
      </c>
      <c r="JNL6" s="68" t="e" cm="1" vm="1">
        <f t="array" ref="JNL6">_xlfn._xlws.FILTER(TablaProductos[Nombre producto],TablaProductos[Agrupación]=ProductosPivot!JNL5)</f>
        <v>#VALUE!</v>
      </c>
      <c r="JNM6" s="68" t="e" cm="1" vm="1">
        <f t="array" ref="JNM6">_xlfn._xlws.FILTER(TablaProductos[Nombre producto],TablaProductos[Agrupación]=ProductosPivot!JNM5)</f>
        <v>#VALUE!</v>
      </c>
      <c r="JNN6" s="68" t="e" cm="1" vm="1">
        <f t="array" ref="JNN6">_xlfn._xlws.FILTER(TablaProductos[Nombre producto],TablaProductos[Agrupación]=ProductosPivot!JNN5)</f>
        <v>#VALUE!</v>
      </c>
      <c r="JNO6" s="68" t="e" cm="1" vm="1">
        <f t="array" ref="JNO6">_xlfn._xlws.FILTER(TablaProductos[Nombre producto],TablaProductos[Agrupación]=ProductosPivot!JNO5)</f>
        <v>#VALUE!</v>
      </c>
      <c r="JNP6" s="68" t="e" cm="1" vm="1">
        <f t="array" ref="JNP6">_xlfn._xlws.FILTER(TablaProductos[Nombre producto],TablaProductos[Agrupación]=ProductosPivot!JNP5)</f>
        <v>#VALUE!</v>
      </c>
      <c r="JNQ6" s="68" t="e" cm="1" vm="1">
        <f t="array" ref="JNQ6">_xlfn._xlws.FILTER(TablaProductos[Nombre producto],TablaProductos[Agrupación]=ProductosPivot!JNQ5)</f>
        <v>#VALUE!</v>
      </c>
      <c r="JNR6" s="68" t="e" cm="1" vm="1">
        <f t="array" ref="JNR6">_xlfn._xlws.FILTER(TablaProductos[Nombre producto],TablaProductos[Agrupación]=ProductosPivot!JNR5)</f>
        <v>#VALUE!</v>
      </c>
      <c r="JNS6" s="68" t="e" cm="1" vm="1">
        <f t="array" ref="JNS6">_xlfn._xlws.FILTER(TablaProductos[Nombre producto],TablaProductos[Agrupación]=ProductosPivot!JNS5)</f>
        <v>#VALUE!</v>
      </c>
      <c r="JNT6" s="68" t="e" cm="1" vm="1">
        <f t="array" ref="JNT6">_xlfn._xlws.FILTER(TablaProductos[Nombre producto],TablaProductos[Agrupación]=ProductosPivot!JNT5)</f>
        <v>#VALUE!</v>
      </c>
      <c r="JNU6" s="68" t="e" cm="1" vm="1">
        <f t="array" ref="JNU6">_xlfn._xlws.FILTER(TablaProductos[Nombre producto],TablaProductos[Agrupación]=ProductosPivot!JNU5)</f>
        <v>#VALUE!</v>
      </c>
      <c r="JNV6" s="68" t="e" cm="1" vm="1">
        <f t="array" ref="JNV6">_xlfn._xlws.FILTER(TablaProductos[Nombre producto],TablaProductos[Agrupación]=ProductosPivot!JNV5)</f>
        <v>#VALUE!</v>
      </c>
      <c r="JNW6" s="68" t="e" cm="1" vm="1">
        <f t="array" ref="JNW6">_xlfn._xlws.FILTER(TablaProductos[Nombre producto],TablaProductos[Agrupación]=ProductosPivot!JNW5)</f>
        <v>#VALUE!</v>
      </c>
      <c r="JNX6" s="68" t="e" cm="1" vm="1">
        <f t="array" ref="JNX6">_xlfn._xlws.FILTER(TablaProductos[Nombre producto],TablaProductos[Agrupación]=ProductosPivot!JNX5)</f>
        <v>#VALUE!</v>
      </c>
      <c r="JNY6" s="68" t="e" cm="1" vm="1">
        <f t="array" ref="JNY6">_xlfn._xlws.FILTER(TablaProductos[Nombre producto],TablaProductos[Agrupación]=ProductosPivot!JNY5)</f>
        <v>#VALUE!</v>
      </c>
      <c r="JNZ6" s="68" t="e" cm="1" vm="1">
        <f t="array" ref="JNZ6">_xlfn._xlws.FILTER(TablaProductos[Nombre producto],TablaProductos[Agrupación]=ProductosPivot!JNZ5)</f>
        <v>#VALUE!</v>
      </c>
      <c r="JOA6" s="68" t="e" cm="1" vm="1">
        <f t="array" ref="JOA6">_xlfn._xlws.FILTER(TablaProductos[Nombre producto],TablaProductos[Agrupación]=ProductosPivot!JOA5)</f>
        <v>#VALUE!</v>
      </c>
      <c r="JOB6" s="68" t="e" cm="1" vm="1">
        <f t="array" ref="JOB6">_xlfn._xlws.FILTER(TablaProductos[Nombre producto],TablaProductos[Agrupación]=ProductosPivot!JOB5)</f>
        <v>#VALUE!</v>
      </c>
      <c r="JOC6" s="68" t="e" cm="1" vm="1">
        <f t="array" ref="JOC6">_xlfn._xlws.FILTER(TablaProductos[Nombre producto],TablaProductos[Agrupación]=ProductosPivot!JOC5)</f>
        <v>#VALUE!</v>
      </c>
      <c r="JOD6" s="68" t="e" cm="1" vm="1">
        <f t="array" ref="JOD6">_xlfn._xlws.FILTER(TablaProductos[Nombre producto],TablaProductos[Agrupación]=ProductosPivot!JOD5)</f>
        <v>#VALUE!</v>
      </c>
      <c r="JOE6" s="68" t="e" cm="1" vm="1">
        <f t="array" ref="JOE6">_xlfn._xlws.FILTER(TablaProductos[Nombre producto],TablaProductos[Agrupación]=ProductosPivot!JOE5)</f>
        <v>#VALUE!</v>
      </c>
      <c r="JOF6" s="68" t="e" cm="1" vm="1">
        <f t="array" ref="JOF6">_xlfn._xlws.FILTER(TablaProductos[Nombre producto],TablaProductos[Agrupación]=ProductosPivot!JOF5)</f>
        <v>#VALUE!</v>
      </c>
      <c r="JOG6" s="68" t="e" cm="1" vm="1">
        <f t="array" ref="JOG6">_xlfn._xlws.FILTER(TablaProductos[Nombre producto],TablaProductos[Agrupación]=ProductosPivot!JOG5)</f>
        <v>#VALUE!</v>
      </c>
      <c r="JOH6" s="68" t="e" cm="1" vm="1">
        <f t="array" ref="JOH6">_xlfn._xlws.FILTER(TablaProductos[Nombre producto],TablaProductos[Agrupación]=ProductosPivot!JOH5)</f>
        <v>#VALUE!</v>
      </c>
      <c r="JOI6" s="68" t="e" cm="1" vm="1">
        <f t="array" ref="JOI6">_xlfn._xlws.FILTER(TablaProductos[Nombre producto],TablaProductos[Agrupación]=ProductosPivot!JOI5)</f>
        <v>#VALUE!</v>
      </c>
      <c r="JOJ6" s="68" t="e" cm="1" vm="1">
        <f t="array" ref="JOJ6">_xlfn._xlws.FILTER(TablaProductos[Nombre producto],TablaProductos[Agrupación]=ProductosPivot!JOJ5)</f>
        <v>#VALUE!</v>
      </c>
      <c r="JOK6" s="68" t="e" cm="1" vm="1">
        <f t="array" ref="JOK6">_xlfn._xlws.FILTER(TablaProductos[Nombre producto],TablaProductos[Agrupación]=ProductosPivot!JOK5)</f>
        <v>#VALUE!</v>
      </c>
      <c r="JOL6" s="68" t="e" cm="1" vm="1">
        <f t="array" ref="JOL6">_xlfn._xlws.FILTER(TablaProductos[Nombre producto],TablaProductos[Agrupación]=ProductosPivot!JOL5)</f>
        <v>#VALUE!</v>
      </c>
      <c r="JOM6" s="68" t="e" cm="1" vm="1">
        <f t="array" ref="JOM6">_xlfn._xlws.FILTER(TablaProductos[Nombre producto],TablaProductos[Agrupación]=ProductosPivot!JOM5)</f>
        <v>#VALUE!</v>
      </c>
      <c r="JON6" s="68" t="e" cm="1" vm="1">
        <f t="array" ref="JON6">_xlfn._xlws.FILTER(TablaProductos[Nombre producto],TablaProductos[Agrupación]=ProductosPivot!JON5)</f>
        <v>#VALUE!</v>
      </c>
      <c r="JOO6" s="68" t="e" cm="1" vm="1">
        <f t="array" ref="JOO6">_xlfn._xlws.FILTER(TablaProductos[Nombre producto],TablaProductos[Agrupación]=ProductosPivot!JOO5)</f>
        <v>#VALUE!</v>
      </c>
      <c r="JOP6" s="68" t="e" cm="1" vm="1">
        <f t="array" ref="JOP6">_xlfn._xlws.FILTER(TablaProductos[Nombre producto],TablaProductos[Agrupación]=ProductosPivot!JOP5)</f>
        <v>#VALUE!</v>
      </c>
      <c r="JOQ6" s="68" t="e" cm="1" vm="1">
        <f t="array" ref="JOQ6">_xlfn._xlws.FILTER(TablaProductos[Nombre producto],TablaProductos[Agrupación]=ProductosPivot!JOQ5)</f>
        <v>#VALUE!</v>
      </c>
      <c r="JOR6" s="68" t="e" cm="1" vm="1">
        <f t="array" ref="JOR6">_xlfn._xlws.FILTER(TablaProductos[Nombre producto],TablaProductos[Agrupación]=ProductosPivot!JOR5)</f>
        <v>#VALUE!</v>
      </c>
      <c r="JOS6" s="68" t="e" cm="1" vm="1">
        <f t="array" ref="JOS6">_xlfn._xlws.FILTER(TablaProductos[Nombre producto],TablaProductos[Agrupación]=ProductosPivot!JOS5)</f>
        <v>#VALUE!</v>
      </c>
      <c r="JOT6" s="68" t="e" cm="1" vm="1">
        <f t="array" ref="JOT6">_xlfn._xlws.FILTER(TablaProductos[Nombre producto],TablaProductos[Agrupación]=ProductosPivot!JOT5)</f>
        <v>#VALUE!</v>
      </c>
      <c r="JOU6" s="68" t="e" cm="1" vm="1">
        <f t="array" ref="JOU6">_xlfn._xlws.FILTER(TablaProductos[Nombre producto],TablaProductos[Agrupación]=ProductosPivot!JOU5)</f>
        <v>#VALUE!</v>
      </c>
      <c r="JOV6" s="68" t="e" cm="1" vm="1">
        <f t="array" ref="JOV6">_xlfn._xlws.FILTER(TablaProductos[Nombre producto],TablaProductos[Agrupación]=ProductosPivot!JOV5)</f>
        <v>#VALUE!</v>
      </c>
      <c r="JOW6" s="68" t="e" cm="1" vm="1">
        <f t="array" ref="JOW6">_xlfn._xlws.FILTER(TablaProductos[Nombre producto],TablaProductos[Agrupación]=ProductosPivot!JOW5)</f>
        <v>#VALUE!</v>
      </c>
      <c r="JOX6" s="68" t="e" cm="1" vm="1">
        <f t="array" ref="JOX6">_xlfn._xlws.FILTER(TablaProductos[Nombre producto],TablaProductos[Agrupación]=ProductosPivot!JOX5)</f>
        <v>#VALUE!</v>
      </c>
      <c r="JOY6" s="68" t="e" cm="1" vm="1">
        <f t="array" ref="JOY6">_xlfn._xlws.FILTER(TablaProductos[Nombre producto],TablaProductos[Agrupación]=ProductosPivot!JOY5)</f>
        <v>#VALUE!</v>
      </c>
      <c r="JOZ6" s="68" t="e" cm="1" vm="1">
        <f t="array" ref="JOZ6">_xlfn._xlws.FILTER(TablaProductos[Nombre producto],TablaProductos[Agrupación]=ProductosPivot!JOZ5)</f>
        <v>#VALUE!</v>
      </c>
      <c r="JPA6" s="68" t="e" cm="1" vm="1">
        <f t="array" ref="JPA6">_xlfn._xlws.FILTER(TablaProductos[Nombre producto],TablaProductos[Agrupación]=ProductosPivot!JPA5)</f>
        <v>#VALUE!</v>
      </c>
      <c r="JPB6" s="68" t="e" cm="1" vm="1">
        <f t="array" ref="JPB6">_xlfn._xlws.FILTER(TablaProductos[Nombre producto],TablaProductos[Agrupación]=ProductosPivot!JPB5)</f>
        <v>#VALUE!</v>
      </c>
      <c r="JPC6" s="68" t="e" cm="1" vm="1">
        <f t="array" ref="JPC6">_xlfn._xlws.FILTER(TablaProductos[Nombre producto],TablaProductos[Agrupación]=ProductosPivot!JPC5)</f>
        <v>#VALUE!</v>
      </c>
      <c r="JPD6" s="68" t="e" cm="1" vm="1">
        <f t="array" ref="JPD6">_xlfn._xlws.FILTER(TablaProductos[Nombre producto],TablaProductos[Agrupación]=ProductosPivot!JPD5)</f>
        <v>#VALUE!</v>
      </c>
      <c r="JPE6" s="68" t="e" cm="1" vm="1">
        <f t="array" ref="JPE6">_xlfn._xlws.FILTER(TablaProductos[Nombre producto],TablaProductos[Agrupación]=ProductosPivot!JPE5)</f>
        <v>#VALUE!</v>
      </c>
      <c r="JPF6" s="68" t="e" cm="1" vm="1">
        <f t="array" ref="JPF6">_xlfn._xlws.FILTER(TablaProductos[Nombre producto],TablaProductos[Agrupación]=ProductosPivot!JPF5)</f>
        <v>#VALUE!</v>
      </c>
      <c r="JPG6" s="68" t="e" cm="1" vm="1">
        <f t="array" ref="JPG6">_xlfn._xlws.FILTER(TablaProductos[Nombre producto],TablaProductos[Agrupación]=ProductosPivot!JPG5)</f>
        <v>#VALUE!</v>
      </c>
      <c r="JPH6" s="68" t="e" cm="1" vm="1">
        <f t="array" ref="JPH6">_xlfn._xlws.FILTER(TablaProductos[Nombre producto],TablaProductos[Agrupación]=ProductosPivot!JPH5)</f>
        <v>#VALUE!</v>
      </c>
      <c r="JPI6" s="68" t="e" cm="1" vm="1">
        <f t="array" ref="JPI6">_xlfn._xlws.FILTER(TablaProductos[Nombre producto],TablaProductos[Agrupación]=ProductosPivot!JPI5)</f>
        <v>#VALUE!</v>
      </c>
      <c r="JPJ6" s="68" t="e" cm="1" vm="1">
        <f t="array" ref="JPJ6">_xlfn._xlws.FILTER(TablaProductos[Nombre producto],TablaProductos[Agrupación]=ProductosPivot!JPJ5)</f>
        <v>#VALUE!</v>
      </c>
      <c r="JPK6" s="68" t="e" cm="1" vm="1">
        <f t="array" ref="JPK6">_xlfn._xlws.FILTER(TablaProductos[Nombre producto],TablaProductos[Agrupación]=ProductosPivot!JPK5)</f>
        <v>#VALUE!</v>
      </c>
      <c r="JPL6" s="68" t="e" cm="1" vm="1">
        <f t="array" ref="JPL6">_xlfn._xlws.FILTER(TablaProductos[Nombre producto],TablaProductos[Agrupación]=ProductosPivot!JPL5)</f>
        <v>#VALUE!</v>
      </c>
      <c r="JPM6" s="68" t="e" cm="1" vm="1">
        <f t="array" ref="JPM6">_xlfn._xlws.FILTER(TablaProductos[Nombre producto],TablaProductos[Agrupación]=ProductosPivot!JPM5)</f>
        <v>#VALUE!</v>
      </c>
      <c r="JPN6" s="68" t="e" cm="1" vm="1">
        <f t="array" ref="JPN6">_xlfn._xlws.FILTER(TablaProductos[Nombre producto],TablaProductos[Agrupación]=ProductosPivot!JPN5)</f>
        <v>#VALUE!</v>
      </c>
      <c r="JPO6" s="68" t="e" cm="1" vm="1">
        <f t="array" ref="JPO6">_xlfn._xlws.FILTER(TablaProductos[Nombre producto],TablaProductos[Agrupación]=ProductosPivot!JPO5)</f>
        <v>#VALUE!</v>
      </c>
      <c r="JPP6" s="68" t="e" cm="1" vm="1">
        <f t="array" ref="JPP6">_xlfn._xlws.FILTER(TablaProductos[Nombre producto],TablaProductos[Agrupación]=ProductosPivot!JPP5)</f>
        <v>#VALUE!</v>
      </c>
      <c r="JPQ6" s="68" t="e" cm="1" vm="1">
        <f t="array" ref="JPQ6">_xlfn._xlws.FILTER(TablaProductos[Nombre producto],TablaProductos[Agrupación]=ProductosPivot!JPQ5)</f>
        <v>#VALUE!</v>
      </c>
      <c r="JPR6" s="68" t="e" cm="1" vm="1">
        <f t="array" ref="JPR6">_xlfn._xlws.FILTER(TablaProductos[Nombre producto],TablaProductos[Agrupación]=ProductosPivot!JPR5)</f>
        <v>#VALUE!</v>
      </c>
      <c r="JPS6" s="68" t="e" cm="1" vm="1">
        <f t="array" ref="JPS6">_xlfn._xlws.FILTER(TablaProductos[Nombre producto],TablaProductos[Agrupación]=ProductosPivot!JPS5)</f>
        <v>#VALUE!</v>
      </c>
      <c r="JPT6" s="68" t="e" cm="1" vm="1">
        <f t="array" ref="JPT6">_xlfn._xlws.FILTER(TablaProductos[Nombre producto],TablaProductos[Agrupación]=ProductosPivot!JPT5)</f>
        <v>#VALUE!</v>
      </c>
      <c r="JPU6" s="68" t="e" cm="1" vm="1">
        <f t="array" ref="JPU6">_xlfn._xlws.FILTER(TablaProductos[Nombre producto],TablaProductos[Agrupación]=ProductosPivot!JPU5)</f>
        <v>#VALUE!</v>
      </c>
      <c r="JPV6" s="68" t="e" cm="1" vm="1">
        <f t="array" ref="JPV6">_xlfn._xlws.FILTER(TablaProductos[Nombre producto],TablaProductos[Agrupación]=ProductosPivot!JPV5)</f>
        <v>#VALUE!</v>
      </c>
      <c r="JPW6" s="68" t="e" cm="1" vm="1">
        <f t="array" ref="JPW6">_xlfn._xlws.FILTER(TablaProductos[Nombre producto],TablaProductos[Agrupación]=ProductosPivot!JPW5)</f>
        <v>#VALUE!</v>
      </c>
      <c r="JPX6" s="68" t="e" cm="1" vm="1">
        <f t="array" ref="JPX6">_xlfn._xlws.FILTER(TablaProductos[Nombre producto],TablaProductos[Agrupación]=ProductosPivot!JPX5)</f>
        <v>#VALUE!</v>
      </c>
      <c r="JPY6" s="68" t="e" cm="1" vm="1">
        <f t="array" ref="JPY6">_xlfn._xlws.FILTER(TablaProductos[Nombre producto],TablaProductos[Agrupación]=ProductosPivot!JPY5)</f>
        <v>#VALUE!</v>
      </c>
      <c r="JPZ6" s="68" t="e" cm="1" vm="1">
        <f t="array" ref="JPZ6">_xlfn._xlws.FILTER(TablaProductos[Nombre producto],TablaProductos[Agrupación]=ProductosPivot!JPZ5)</f>
        <v>#VALUE!</v>
      </c>
      <c r="JQA6" s="68" t="e" cm="1" vm="1">
        <f t="array" ref="JQA6">_xlfn._xlws.FILTER(TablaProductos[Nombre producto],TablaProductos[Agrupación]=ProductosPivot!JQA5)</f>
        <v>#VALUE!</v>
      </c>
      <c r="JQB6" s="68" t="e" cm="1" vm="1">
        <f t="array" ref="JQB6">_xlfn._xlws.FILTER(TablaProductos[Nombre producto],TablaProductos[Agrupación]=ProductosPivot!JQB5)</f>
        <v>#VALUE!</v>
      </c>
      <c r="JQC6" s="68" t="e" cm="1" vm="1">
        <f t="array" ref="JQC6">_xlfn._xlws.FILTER(TablaProductos[Nombre producto],TablaProductos[Agrupación]=ProductosPivot!JQC5)</f>
        <v>#VALUE!</v>
      </c>
      <c r="JQD6" s="68" t="e" cm="1" vm="1">
        <f t="array" ref="JQD6">_xlfn._xlws.FILTER(TablaProductos[Nombre producto],TablaProductos[Agrupación]=ProductosPivot!JQD5)</f>
        <v>#VALUE!</v>
      </c>
      <c r="JQE6" s="68" t="e" cm="1" vm="1">
        <f t="array" ref="JQE6">_xlfn._xlws.FILTER(TablaProductos[Nombre producto],TablaProductos[Agrupación]=ProductosPivot!JQE5)</f>
        <v>#VALUE!</v>
      </c>
      <c r="JQF6" s="68" t="e" cm="1" vm="1">
        <f t="array" ref="JQF6">_xlfn._xlws.FILTER(TablaProductos[Nombre producto],TablaProductos[Agrupación]=ProductosPivot!JQF5)</f>
        <v>#VALUE!</v>
      </c>
      <c r="JQG6" s="68" t="e" cm="1" vm="1">
        <f t="array" ref="JQG6">_xlfn._xlws.FILTER(TablaProductos[Nombre producto],TablaProductos[Agrupación]=ProductosPivot!JQG5)</f>
        <v>#VALUE!</v>
      </c>
      <c r="JQH6" s="68" t="e" cm="1" vm="1">
        <f t="array" ref="JQH6">_xlfn._xlws.FILTER(TablaProductos[Nombre producto],TablaProductos[Agrupación]=ProductosPivot!JQH5)</f>
        <v>#VALUE!</v>
      </c>
      <c r="JQI6" s="68" t="e" cm="1" vm="1">
        <f t="array" ref="JQI6">_xlfn._xlws.FILTER(TablaProductos[Nombre producto],TablaProductos[Agrupación]=ProductosPivot!JQI5)</f>
        <v>#VALUE!</v>
      </c>
      <c r="JQJ6" s="68" t="e" cm="1" vm="1">
        <f t="array" ref="JQJ6">_xlfn._xlws.FILTER(TablaProductos[Nombre producto],TablaProductos[Agrupación]=ProductosPivot!JQJ5)</f>
        <v>#VALUE!</v>
      </c>
      <c r="JQK6" s="68" t="e" cm="1" vm="1">
        <f t="array" ref="JQK6">_xlfn._xlws.FILTER(TablaProductos[Nombre producto],TablaProductos[Agrupación]=ProductosPivot!JQK5)</f>
        <v>#VALUE!</v>
      </c>
      <c r="JQL6" s="68" t="e" cm="1" vm="1">
        <f t="array" ref="JQL6">_xlfn._xlws.FILTER(TablaProductos[Nombre producto],TablaProductos[Agrupación]=ProductosPivot!JQL5)</f>
        <v>#VALUE!</v>
      </c>
      <c r="JQM6" s="68" t="e" cm="1" vm="1">
        <f t="array" ref="JQM6">_xlfn._xlws.FILTER(TablaProductos[Nombre producto],TablaProductos[Agrupación]=ProductosPivot!JQM5)</f>
        <v>#VALUE!</v>
      </c>
      <c r="JQN6" s="68" t="e" cm="1" vm="1">
        <f t="array" ref="JQN6">_xlfn._xlws.FILTER(TablaProductos[Nombre producto],TablaProductos[Agrupación]=ProductosPivot!JQN5)</f>
        <v>#VALUE!</v>
      </c>
      <c r="JQO6" s="68" t="e" cm="1" vm="1">
        <f t="array" ref="JQO6">_xlfn._xlws.FILTER(TablaProductos[Nombre producto],TablaProductos[Agrupación]=ProductosPivot!JQO5)</f>
        <v>#VALUE!</v>
      </c>
      <c r="JQP6" s="68" t="e" cm="1" vm="1">
        <f t="array" ref="JQP6">_xlfn._xlws.FILTER(TablaProductos[Nombre producto],TablaProductos[Agrupación]=ProductosPivot!JQP5)</f>
        <v>#VALUE!</v>
      </c>
      <c r="JQQ6" s="68" t="e" cm="1" vm="1">
        <f t="array" ref="JQQ6">_xlfn._xlws.FILTER(TablaProductos[Nombre producto],TablaProductos[Agrupación]=ProductosPivot!JQQ5)</f>
        <v>#VALUE!</v>
      </c>
      <c r="JQR6" s="68" t="e" cm="1" vm="1">
        <f t="array" ref="JQR6">_xlfn._xlws.FILTER(TablaProductos[Nombre producto],TablaProductos[Agrupación]=ProductosPivot!JQR5)</f>
        <v>#VALUE!</v>
      </c>
      <c r="JQS6" s="68" t="e" cm="1" vm="1">
        <f t="array" ref="JQS6">_xlfn._xlws.FILTER(TablaProductos[Nombre producto],TablaProductos[Agrupación]=ProductosPivot!JQS5)</f>
        <v>#VALUE!</v>
      </c>
      <c r="JQT6" s="68" t="e" cm="1" vm="1">
        <f t="array" ref="JQT6">_xlfn._xlws.FILTER(TablaProductos[Nombre producto],TablaProductos[Agrupación]=ProductosPivot!JQT5)</f>
        <v>#VALUE!</v>
      </c>
      <c r="JQU6" s="68" t="e" cm="1" vm="1">
        <f t="array" ref="JQU6">_xlfn._xlws.FILTER(TablaProductos[Nombre producto],TablaProductos[Agrupación]=ProductosPivot!JQU5)</f>
        <v>#VALUE!</v>
      </c>
      <c r="JQV6" s="68" t="e" cm="1" vm="1">
        <f t="array" ref="JQV6">_xlfn._xlws.FILTER(TablaProductos[Nombre producto],TablaProductos[Agrupación]=ProductosPivot!JQV5)</f>
        <v>#VALUE!</v>
      </c>
      <c r="JQW6" s="68" t="e" cm="1" vm="1">
        <f t="array" ref="JQW6">_xlfn._xlws.FILTER(TablaProductos[Nombre producto],TablaProductos[Agrupación]=ProductosPivot!JQW5)</f>
        <v>#VALUE!</v>
      </c>
      <c r="JQX6" s="68" t="e" cm="1" vm="1">
        <f t="array" ref="JQX6">_xlfn._xlws.FILTER(TablaProductos[Nombre producto],TablaProductos[Agrupación]=ProductosPivot!JQX5)</f>
        <v>#VALUE!</v>
      </c>
      <c r="JQY6" s="68" t="e" cm="1" vm="1">
        <f t="array" ref="JQY6">_xlfn._xlws.FILTER(TablaProductos[Nombre producto],TablaProductos[Agrupación]=ProductosPivot!JQY5)</f>
        <v>#VALUE!</v>
      </c>
      <c r="JQZ6" s="68" t="e" cm="1" vm="1">
        <f t="array" ref="JQZ6">_xlfn._xlws.FILTER(TablaProductos[Nombre producto],TablaProductos[Agrupación]=ProductosPivot!JQZ5)</f>
        <v>#VALUE!</v>
      </c>
      <c r="JRA6" s="68" t="e" cm="1" vm="1">
        <f t="array" ref="JRA6">_xlfn._xlws.FILTER(TablaProductos[Nombre producto],TablaProductos[Agrupación]=ProductosPivot!JRA5)</f>
        <v>#VALUE!</v>
      </c>
      <c r="JRB6" s="68" t="e" cm="1" vm="1">
        <f t="array" ref="JRB6">_xlfn._xlws.FILTER(TablaProductos[Nombre producto],TablaProductos[Agrupación]=ProductosPivot!JRB5)</f>
        <v>#VALUE!</v>
      </c>
      <c r="JRC6" s="68" t="e" cm="1" vm="1">
        <f t="array" ref="JRC6">_xlfn._xlws.FILTER(TablaProductos[Nombre producto],TablaProductos[Agrupación]=ProductosPivot!JRC5)</f>
        <v>#VALUE!</v>
      </c>
      <c r="JRD6" s="68" t="e" cm="1" vm="1">
        <f t="array" ref="JRD6">_xlfn._xlws.FILTER(TablaProductos[Nombre producto],TablaProductos[Agrupación]=ProductosPivot!JRD5)</f>
        <v>#VALUE!</v>
      </c>
      <c r="JRE6" s="68" t="e" cm="1" vm="1">
        <f t="array" ref="JRE6">_xlfn._xlws.FILTER(TablaProductos[Nombre producto],TablaProductos[Agrupación]=ProductosPivot!JRE5)</f>
        <v>#VALUE!</v>
      </c>
      <c r="JRF6" s="68" t="e" cm="1" vm="1">
        <f t="array" ref="JRF6">_xlfn._xlws.FILTER(TablaProductos[Nombre producto],TablaProductos[Agrupación]=ProductosPivot!JRF5)</f>
        <v>#VALUE!</v>
      </c>
      <c r="JRG6" s="68" t="e" cm="1" vm="1">
        <f t="array" ref="JRG6">_xlfn._xlws.FILTER(TablaProductos[Nombre producto],TablaProductos[Agrupación]=ProductosPivot!JRG5)</f>
        <v>#VALUE!</v>
      </c>
      <c r="JRH6" s="68" t="e" cm="1" vm="1">
        <f t="array" ref="JRH6">_xlfn._xlws.FILTER(TablaProductos[Nombre producto],TablaProductos[Agrupación]=ProductosPivot!JRH5)</f>
        <v>#VALUE!</v>
      </c>
      <c r="JRI6" s="68" t="e" cm="1" vm="1">
        <f t="array" ref="JRI6">_xlfn._xlws.FILTER(TablaProductos[Nombre producto],TablaProductos[Agrupación]=ProductosPivot!JRI5)</f>
        <v>#VALUE!</v>
      </c>
      <c r="JRJ6" s="68" t="e" cm="1" vm="1">
        <f t="array" ref="JRJ6">_xlfn._xlws.FILTER(TablaProductos[Nombre producto],TablaProductos[Agrupación]=ProductosPivot!JRJ5)</f>
        <v>#VALUE!</v>
      </c>
      <c r="JRK6" s="68" t="e" cm="1" vm="1">
        <f t="array" ref="JRK6">_xlfn._xlws.FILTER(TablaProductos[Nombre producto],TablaProductos[Agrupación]=ProductosPivot!JRK5)</f>
        <v>#VALUE!</v>
      </c>
      <c r="JRL6" s="68" t="e" cm="1" vm="1">
        <f t="array" ref="JRL6">_xlfn._xlws.FILTER(TablaProductos[Nombre producto],TablaProductos[Agrupación]=ProductosPivot!JRL5)</f>
        <v>#VALUE!</v>
      </c>
      <c r="JRM6" s="68" t="e" cm="1" vm="1">
        <f t="array" ref="JRM6">_xlfn._xlws.FILTER(TablaProductos[Nombre producto],TablaProductos[Agrupación]=ProductosPivot!JRM5)</f>
        <v>#VALUE!</v>
      </c>
      <c r="JRN6" s="68" t="e" cm="1" vm="1">
        <f t="array" ref="JRN6">_xlfn._xlws.FILTER(TablaProductos[Nombre producto],TablaProductos[Agrupación]=ProductosPivot!JRN5)</f>
        <v>#VALUE!</v>
      </c>
      <c r="JRO6" s="68" t="e" cm="1" vm="1">
        <f t="array" ref="JRO6">_xlfn._xlws.FILTER(TablaProductos[Nombre producto],TablaProductos[Agrupación]=ProductosPivot!JRO5)</f>
        <v>#VALUE!</v>
      </c>
      <c r="JRP6" s="68" t="e" cm="1" vm="1">
        <f t="array" ref="JRP6">_xlfn._xlws.FILTER(TablaProductos[Nombre producto],TablaProductos[Agrupación]=ProductosPivot!JRP5)</f>
        <v>#VALUE!</v>
      </c>
      <c r="JRQ6" s="68" t="e" cm="1" vm="1">
        <f t="array" ref="JRQ6">_xlfn._xlws.FILTER(TablaProductos[Nombre producto],TablaProductos[Agrupación]=ProductosPivot!JRQ5)</f>
        <v>#VALUE!</v>
      </c>
      <c r="JRR6" s="68" t="e" cm="1" vm="1">
        <f t="array" ref="JRR6">_xlfn._xlws.FILTER(TablaProductos[Nombre producto],TablaProductos[Agrupación]=ProductosPivot!JRR5)</f>
        <v>#VALUE!</v>
      </c>
      <c r="JRS6" s="68" t="e" cm="1" vm="1">
        <f t="array" ref="JRS6">_xlfn._xlws.FILTER(TablaProductos[Nombre producto],TablaProductos[Agrupación]=ProductosPivot!JRS5)</f>
        <v>#VALUE!</v>
      </c>
      <c r="JRT6" s="68" t="e" cm="1" vm="1">
        <f t="array" ref="JRT6">_xlfn._xlws.FILTER(TablaProductos[Nombre producto],TablaProductos[Agrupación]=ProductosPivot!JRT5)</f>
        <v>#VALUE!</v>
      </c>
      <c r="JRU6" s="68" t="e" cm="1" vm="1">
        <f t="array" ref="JRU6">_xlfn._xlws.FILTER(TablaProductos[Nombre producto],TablaProductos[Agrupación]=ProductosPivot!JRU5)</f>
        <v>#VALUE!</v>
      </c>
      <c r="JRV6" s="68" t="e" cm="1" vm="1">
        <f t="array" ref="JRV6">_xlfn._xlws.FILTER(TablaProductos[Nombre producto],TablaProductos[Agrupación]=ProductosPivot!JRV5)</f>
        <v>#VALUE!</v>
      </c>
      <c r="JRW6" s="68" t="e" cm="1" vm="1">
        <f t="array" ref="JRW6">_xlfn._xlws.FILTER(TablaProductos[Nombre producto],TablaProductos[Agrupación]=ProductosPivot!JRW5)</f>
        <v>#VALUE!</v>
      </c>
      <c r="JRX6" s="68" t="e" cm="1" vm="1">
        <f t="array" ref="JRX6">_xlfn._xlws.FILTER(TablaProductos[Nombre producto],TablaProductos[Agrupación]=ProductosPivot!JRX5)</f>
        <v>#VALUE!</v>
      </c>
      <c r="JRY6" s="68" t="e" cm="1" vm="1">
        <f t="array" ref="JRY6">_xlfn._xlws.FILTER(TablaProductos[Nombre producto],TablaProductos[Agrupación]=ProductosPivot!JRY5)</f>
        <v>#VALUE!</v>
      </c>
      <c r="JRZ6" s="68" t="e" cm="1" vm="1">
        <f t="array" ref="JRZ6">_xlfn._xlws.FILTER(TablaProductos[Nombre producto],TablaProductos[Agrupación]=ProductosPivot!JRZ5)</f>
        <v>#VALUE!</v>
      </c>
      <c r="JSA6" s="68" t="e" cm="1" vm="1">
        <f t="array" ref="JSA6">_xlfn._xlws.FILTER(TablaProductos[Nombre producto],TablaProductos[Agrupación]=ProductosPivot!JSA5)</f>
        <v>#VALUE!</v>
      </c>
      <c r="JSB6" s="68" t="e" cm="1" vm="1">
        <f t="array" ref="JSB6">_xlfn._xlws.FILTER(TablaProductos[Nombre producto],TablaProductos[Agrupación]=ProductosPivot!JSB5)</f>
        <v>#VALUE!</v>
      </c>
      <c r="JSC6" s="68" t="e" cm="1" vm="1">
        <f t="array" ref="JSC6">_xlfn._xlws.FILTER(TablaProductos[Nombre producto],TablaProductos[Agrupación]=ProductosPivot!JSC5)</f>
        <v>#VALUE!</v>
      </c>
      <c r="JSD6" s="68" t="e" cm="1" vm="1">
        <f t="array" ref="JSD6">_xlfn._xlws.FILTER(TablaProductos[Nombre producto],TablaProductos[Agrupación]=ProductosPivot!JSD5)</f>
        <v>#VALUE!</v>
      </c>
      <c r="JSE6" s="68" t="e" cm="1" vm="1">
        <f t="array" ref="JSE6">_xlfn._xlws.FILTER(TablaProductos[Nombre producto],TablaProductos[Agrupación]=ProductosPivot!JSE5)</f>
        <v>#VALUE!</v>
      </c>
      <c r="JSF6" s="68" t="e" cm="1" vm="1">
        <f t="array" ref="JSF6">_xlfn._xlws.FILTER(TablaProductos[Nombre producto],TablaProductos[Agrupación]=ProductosPivot!JSF5)</f>
        <v>#VALUE!</v>
      </c>
      <c r="JSG6" s="68" t="e" cm="1" vm="1">
        <f t="array" ref="JSG6">_xlfn._xlws.FILTER(TablaProductos[Nombre producto],TablaProductos[Agrupación]=ProductosPivot!JSG5)</f>
        <v>#VALUE!</v>
      </c>
      <c r="JSH6" s="68" t="e" cm="1" vm="1">
        <f t="array" ref="JSH6">_xlfn._xlws.FILTER(TablaProductos[Nombre producto],TablaProductos[Agrupación]=ProductosPivot!JSH5)</f>
        <v>#VALUE!</v>
      </c>
      <c r="JSI6" s="68" t="e" cm="1" vm="1">
        <f t="array" ref="JSI6">_xlfn._xlws.FILTER(TablaProductos[Nombre producto],TablaProductos[Agrupación]=ProductosPivot!JSI5)</f>
        <v>#VALUE!</v>
      </c>
      <c r="JSJ6" s="68" t="e" cm="1" vm="1">
        <f t="array" ref="JSJ6">_xlfn._xlws.FILTER(TablaProductos[Nombre producto],TablaProductos[Agrupación]=ProductosPivot!JSJ5)</f>
        <v>#VALUE!</v>
      </c>
      <c r="JSK6" s="68" t="e" cm="1" vm="1">
        <f t="array" ref="JSK6">_xlfn._xlws.FILTER(TablaProductos[Nombre producto],TablaProductos[Agrupación]=ProductosPivot!JSK5)</f>
        <v>#VALUE!</v>
      </c>
      <c r="JSL6" s="68" t="e" cm="1" vm="1">
        <f t="array" ref="JSL6">_xlfn._xlws.FILTER(TablaProductos[Nombre producto],TablaProductos[Agrupación]=ProductosPivot!JSL5)</f>
        <v>#VALUE!</v>
      </c>
      <c r="JSM6" s="68" t="e" cm="1" vm="1">
        <f t="array" ref="JSM6">_xlfn._xlws.FILTER(TablaProductos[Nombre producto],TablaProductos[Agrupación]=ProductosPivot!JSM5)</f>
        <v>#VALUE!</v>
      </c>
      <c r="JSN6" s="68" t="e" cm="1" vm="1">
        <f t="array" ref="JSN6">_xlfn._xlws.FILTER(TablaProductos[Nombre producto],TablaProductos[Agrupación]=ProductosPivot!JSN5)</f>
        <v>#VALUE!</v>
      </c>
      <c r="JSO6" s="68" t="e" cm="1" vm="1">
        <f t="array" ref="JSO6">_xlfn._xlws.FILTER(TablaProductos[Nombre producto],TablaProductos[Agrupación]=ProductosPivot!JSO5)</f>
        <v>#VALUE!</v>
      </c>
      <c r="JSP6" s="68" t="e" cm="1" vm="1">
        <f t="array" ref="JSP6">_xlfn._xlws.FILTER(TablaProductos[Nombre producto],TablaProductos[Agrupación]=ProductosPivot!JSP5)</f>
        <v>#VALUE!</v>
      </c>
      <c r="JSQ6" s="68" t="e" cm="1" vm="1">
        <f t="array" ref="JSQ6">_xlfn._xlws.FILTER(TablaProductos[Nombre producto],TablaProductos[Agrupación]=ProductosPivot!JSQ5)</f>
        <v>#VALUE!</v>
      </c>
      <c r="JSR6" s="68" t="e" cm="1" vm="1">
        <f t="array" ref="JSR6">_xlfn._xlws.FILTER(TablaProductos[Nombre producto],TablaProductos[Agrupación]=ProductosPivot!JSR5)</f>
        <v>#VALUE!</v>
      </c>
      <c r="JSS6" s="68" t="e" cm="1" vm="1">
        <f t="array" ref="JSS6">_xlfn._xlws.FILTER(TablaProductos[Nombre producto],TablaProductos[Agrupación]=ProductosPivot!JSS5)</f>
        <v>#VALUE!</v>
      </c>
      <c r="JST6" s="68" t="e" cm="1" vm="1">
        <f t="array" ref="JST6">_xlfn._xlws.FILTER(TablaProductos[Nombre producto],TablaProductos[Agrupación]=ProductosPivot!JST5)</f>
        <v>#VALUE!</v>
      </c>
      <c r="JSU6" s="68" t="e" cm="1" vm="1">
        <f t="array" ref="JSU6">_xlfn._xlws.FILTER(TablaProductos[Nombre producto],TablaProductos[Agrupación]=ProductosPivot!JSU5)</f>
        <v>#VALUE!</v>
      </c>
      <c r="JSV6" s="68" t="e" cm="1" vm="1">
        <f t="array" ref="JSV6">_xlfn._xlws.FILTER(TablaProductos[Nombre producto],TablaProductos[Agrupación]=ProductosPivot!JSV5)</f>
        <v>#VALUE!</v>
      </c>
      <c r="JSW6" s="68" t="e" cm="1" vm="1">
        <f t="array" ref="JSW6">_xlfn._xlws.FILTER(TablaProductos[Nombre producto],TablaProductos[Agrupación]=ProductosPivot!JSW5)</f>
        <v>#VALUE!</v>
      </c>
      <c r="JSX6" s="68" t="e" cm="1" vm="1">
        <f t="array" ref="JSX6">_xlfn._xlws.FILTER(TablaProductos[Nombre producto],TablaProductos[Agrupación]=ProductosPivot!JSX5)</f>
        <v>#VALUE!</v>
      </c>
      <c r="JSY6" s="68" t="e" cm="1" vm="1">
        <f t="array" ref="JSY6">_xlfn._xlws.FILTER(TablaProductos[Nombre producto],TablaProductos[Agrupación]=ProductosPivot!JSY5)</f>
        <v>#VALUE!</v>
      </c>
      <c r="JSZ6" s="68" t="e" cm="1" vm="1">
        <f t="array" ref="JSZ6">_xlfn._xlws.FILTER(TablaProductos[Nombre producto],TablaProductos[Agrupación]=ProductosPivot!JSZ5)</f>
        <v>#VALUE!</v>
      </c>
      <c r="JTA6" s="68" t="e" cm="1" vm="1">
        <f t="array" ref="JTA6">_xlfn._xlws.FILTER(TablaProductos[Nombre producto],TablaProductos[Agrupación]=ProductosPivot!JTA5)</f>
        <v>#VALUE!</v>
      </c>
      <c r="JTB6" s="68" t="e" cm="1" vm="1">
        <f t="array" ref="JTB6">_xlfn._xlws.FILTER(TablaProductos[Nombre producto],TablaProductos[Agrupación]=ProductosPivot!JTB5)</f>
        <v>#VALUE!</v>
      </c>
      <c r="JTC6" s="68" t="e" cm="1" vm="1">
        <f t="array" ref="JTC6">_xlfn._xlws.FILTER(TablaProductos[Nombre producto],TablaProductos[Agrupación]=ProductosPivot!JTC5)</f>
        <v>#VALUE!</v>
      </c>
      <c r="JTD6" s="68" t="e" cm="1" vm="1">
        <f t="array" ref="JTD6">_xlfn._xlws.FILTER(TablaProductos[Nombre producto],TablaProductos[Agrupación]=ProductosPivot!JTD5)</f>
        <v>#VALUE!</v>
      </c>
      <c r="JTE6" s="68" t="e" cm="1" vm="1">
        <f t="array" ref="JTE6">_xlfn._xlws.FILTER(TablaProductos[Nombre producto],TablaProductos[Agrupación]=ProductosPivot!JTE5)</f>
        <v>#VALUE!</v>
      </c>
      <c r="JTF6" s="68" t="e" cm="1" vm="1">
        <f t="array" ref="JTF6">_xlfn._xlws.FILTER(TablaProductos[Nombre producto],TablaProductos[Agrupación]=ProductosPivot!JTF5)</f>
        <v>#VALUE!</v>
      </c>
      <c r="JTG6" s="68" t="e" cm="1" vm="1">
        <f t="array" ref="JTG6">_xlfn._xlws.FILTER(TablaProductos[Nombre producto],TablaProductos[Agrupación]=ProductosPivot!JTG5)</f>
        <v>#VALUE!</v>
      </c>
      <c r="JTH6" s="68" t="e" cm="1" vm="1">
        <f t="array" ref="JTH6">_xlfn._xlws.FILTER(TablaProductos[Nombre producto],TablaProductos[Agrupación]=ProductosPivot!JTH5)</f>
        <v>#VALUE!</v>
      </c>
      <c r="JTI6" s="68" t="e" cm="1" vm="1">
        <f t="array" ref="JTI6">_xlfn._xlws.FILTER(TablaProductos[Nombre producto],TablaProductos[Agrupación]=ProductosPivot!JTI5)</f>
        <v>#VALUE!</v>
      </c>
      <c r="JTJ6" s="68" t="e" cm="1" vm="1">
        <f t="array" ref="JTJ6">_xlfn._xlws.FILTER(TablaProductos[Nombre producto],TablaProductos[Agrupación]=ProductosPivot!JTJ5)</f>
        <v>#VALUE!</v>
      </c>
      <c r="JTK6" s="68" t="e" cm="1" vm="1">
        <f t="array" ref="JTK6">_xlfn._xlws.FILTER(TablaProductos[Nombre producto],TablaProductos[Agrupación]=ProductosPivot!JTK5)</f>
        <v>#VALUE!</v>
      </c>
      <c r="JTL6" s="68" t="e" cm="1" vm="1">
        <f t="array" ref="JTL6">_xlfn._xlws.FILTER(TablaProductos[Nombre producto],TablaProductos[Agrupación]=ProductosPivot!JTL5)</f>
        <v>#VALUE!</v>
      </c>
      <c r="JTM6" s="68" t="e" cm="1" vm="1">
        <f t="array" ref="JTM6">_xlfn._xlws.FILTER(TablaProductos[Nombre producto],TablaProductos[Agrupación]=ProductosPivot!JTM5)</f>
        <v>#VALUE!</v>
      </c>
      <c r="JTN6" s="68" t="e" cm="1" vm="1">
        <f t="array" ref="JTN6">_xlfn._xlws.FILTER(TablaProductos[Nombre producto],TablaProductos[Agrupación]=ProductosPivot!JTN5)</f>
        <v>#VALUE!</v>
      </c>
      <c r="JTO6" s="68" t="e" cm="1" vm="1">
        <f t="array" ref="JTO6">_xlfn._xlws.FILTER(TablaProductos[Nombre producto],TablaProductos[Agrupación]=ProductosPivot!JTO5)</f>
        <v>#VALUE!</v>
      </c>
      <c r="JTP6" s="68" t="e" cm="1" vm="1">
        <f t="array" ref="JTP6">_xlfn._xlws.FILTER(TablaProductos[Nombre producto],TablaProductos[Agrupación]=ProductosPivot!JTP5)</f>
        <v>#VALUE!</v>
      </c>
      <c r="JTQ6" s="68" t="e" cm="1" vm="1">
        <f t="array" ref="JTQ6">_xlfn._xlws.FILTER(TablaProductos[Nombre producto],TablaProductos[Agrupación]=ProductosPivot!JTQ5)</f>
        <v>#VALUE!</v>
      </c>
      <c r="JTR6" s="68" t="e" cm="1" vm="1">
        <f t="array" ref="JTR6">_xlfn._xlws.FILTER(TablaProductos[Nombre producto],TablaProductos[Agrupación]=ProductosPivot!JTR5)</f>
        <v>#VALUE!</v>
      </c>
      <c r="JTS6" s="68" t="e" cm="1" vm="1">
        <f t="array" ref="JTS6">_xlfn._xlws.FILTER(TablaProductos[Nombre producto],TablaProductos[Agrupación]=ProductosPivot!JTS5)</f>
        <v>#VALUE!</v>
      </c>
      <c r="JTT6" s="68" t="e" cm="1" vm="1">
        <f t="array" ref="JTT6">_xlfn._xlws.FILTER(TablaProductos[Nombre producto],TablaProductos[Agrupación]=ProductosPivot!JTT5)</f>
        <v>#VALUE!</v>
      </c>
      <c r="JTU6" s="68" t="e" cm="1" vm="1">
        <f t="array" ref="JTU6">_xlfn._xlws.FILTER(TablaProductos[Nombre producto],TablaProductos[Agrupación]=ProductosPivot!JTU5)</f>
        <v>#VALUE!</v>
      </c>
      <c r="JTV6" s="68" t="e" cm="1" vm="1">
        <f t="array" ref="JTV6">_xlfn._xlws.FILTER(TablaProductos[Nombre producto],TablaProductos[Agrupación]=ProductosPivot!JTV5)</f>
        <v>#VALUE!</v>
      </c>
      <c r="JTW6" s="68" t="e" cm="1" vm="1">
        <f t="array" ref="JTW6">_xlfn._xlws.FILTER(TablaProductos[Nombre producto],TablaProductos[Agrupación]=ProductosPivot!JTW5)</f>
        <v>#VALUE!</v>
      </c>
      <c r="JTX6" s="68" t="e" cm="1" vm="1">
        <f t="array" ref="JTX6">_xlfn._xlws.FILTER(TablaProductos[Nombre producto],TablaProductos[Agrupación]=ProductosPivot!JTX5)</f>
        <v>#VALUE!</v>
      </c>
      <c r="JTY6" s="68" t="e" cm="1" vm="1">
        <f t="array" ref="JTY6">_xlfn._xlws.FILTER(TablaProductos[Nombre producto],TablaProductos[Agrupación]=ProductosPivot!JTY5)</f>
        <v>#VALUE!</v>
      </c>
      <c r="JTZ6" s="68" t="e" cm="1" vm="1">
        <f t="array" ref="JTZ6">_xlfn._xlws.FILTER(TablaProductos[Nombre producto],TablaProductos[Agrupación]=ProductosPivot!JTZ5)</f>
        <v>#VALUE!</v>
      </c>
      <c r="JUA6" s="68" t="e" cm="1" vm="1">
        <f t="array" ref="JUA6">_xlfn._xlws.FILTER(TablaProductos[Nombre producto],TablaProductos[Agrupación]=ProductosPivot!JUA5)</f>
        <v>#VALUE!</v>
      </c>
      <c r="JUB6" s="68" t="e" cm="1" vm="1">
        <f t="array" ref="JUB6">_xlfn._xlws.FILTER(TablaProductos[Nombre producto],TablaProductos[Agrupación]=ProductosPivot!JUB5)</f>
        <v>#VALUE!</v>
      </c>
      <c r="JUC6" s="68" t="e" cm="1" vm="1">
        <f t="array" ref="JUC6">_xlfn._xlws.FILTER(TablaProductos[Nombre producto],TablaProductos[Agrupación]=ProductosPivot!JUC5)</f>
        <v>#VALUE!</v>
      </c>
      <c r="JUD6" s="68" t="e" cm="1" vm="1">
        <f t="array" ref="JUD6">_xlfn._xlws.FILTER(TablaProductos[Nombre producto],TablaProductos[Agrupación]=ProductosPivot!JUD5)</f>
        <v>#VALUE!</v>
      </c>
      <c r="JUE6" s="68" t="e" cm="1" vm="1">
        <f t="array" ref="JUE6">_xlfn._xlws.FILTER(TablaProductos[Nombre producto],TablaProductos[Agrupación]=ProductosPivot!JUE5)</f>
        <v>#VALUE!</v>
      </c>
      <c r="JUF6" s="68" t="e" cm="1" vm="1">
        <f t="array" ref="JUF6">_xlfn._xlws.FILTER(TablaProductos[Nombre producto],TablaProductos[Agrupación]=ProductosPivot!JUF5)</f>
        <v>#VALUE!</v>
      </c>
      <c r="JUG6" s="68" t="e" cm="1" vm="1">
        <f t="array" ref="JUG6">_xlfn._xlws.FILTER(TablaProductos[Nombre producto],TablaProductos[Agrupación]=ProductosPivot!JUG5)</f>
        <v>#VALUE!</v>
      </c>
      <c r="JUH6" s="68" t="e" cm="1" vm="1">
        <f t="array" ref="JUH6">_xlfn._xlws.FILTER(TablaProductos[Nombre producto],TablaProductos[Agrupación]=ProductosPivot!JUH5)</f>
        <v>#VALUE!</v>
      </c>
      <c r="JUI6" s="68" t="e" cm="1" vm="1">
        <f t="array" ref="JUI6">_xlfn._xlws.FILTER(TablaProductos[Nombre producto],TablaProductos[Agrupación]=ProductosPivot!JUI5)</f>
        <v>#VALUE!</v>
      </c>
      <c r="JUJ6" s="68" t="e" cm="1" vm="1">
        <f t="array" ref="JUJ6">_xlfn._xlws.FILTER(TablaProductos[Nombre producto],TablaProductos[Agrupación]=ProductosPivot!JUJ5)</f>
        <v>#VALUE!</v>
      </c>
      <c r="JUK6" s="68" t="e" cm="1" vm="1">
        <f t="array" ref="JUK6">_xlfn._xlws.FILTER(TablaProductos[Nombre producto],TablaProductos[Agrupación]=ProductosPivot!JUK5)</f>
        <v>#VALUE!</v>
      </c>
      <c r="JUL6" s="68" t="e" cm="1" vm="1">
        <f t="array" ref="JUL6">_xlfn._xlws.FILTER(TablaProductos[Nombre producto],TablaProductos[Agrupación]=ProductosPivot!JUL5)</f>
        <v>#VALUE!</v>
      </c>
      <c r="JUM6" s="68" t="e" cm="1" vm="1">
        <f t="array" ref="JUM6">_xlfn._xlws.FILTER(TablaProductos[Nombre producto],TablaProductos[Agrupación]=ProductosPivot!JUM5)</f>
        <v>#VALUE!</v>
      </c>
      <c r="JUN6" s="68" t="e" cm="1" vm="1">
        <f t="array" ref="JUN6">_xlfn._xlws.FILTER(TablaProductos[Nombre producto],TablaProductos[Agrupación]=ProductosPivot!JUN5)</f>
        <v>#VALUE!</v>
      </c>
      <c r="JUO6" s="68" t="e" cm="1" vm="1">
        <f t="array" ref="JUO6">_xlfn._xlws.FILTER(TablaProductos[Nombre producto],TablaProductos[Agrupación]=ProductosPivot!JUO5)</f>
        <v>#VALUE!</v>
      </c>
      <c r="JUP6" s="68" t="e" cm="1" vm="1">
        <f t="array" ref="JUP6">_xlfn._xlws.FILTER(TablaProductos[Nombre producto],TablaProductos[Agrupación]=ProductosPivot!JUP5)</f>
        <v>#VALUE!</v>
      </c>
      <c r="JUQ6" s="68" t="e" cm="1" vm="1">
        <f t="array" ref="JUQ6">_xlfn._xlws.FILTER(TablaProductos[Nombre producto],TablaProductos[Agrupación]=ProductosPivot!JUQ5)</f>
        <v>#VALUE!</v>
      </c>
      <c r="JUR6" s="68" t="e" cm="1" vm="1">
        <f t="array" ref="JUR6">_xlfn._xlws.FILTER(TablaProductos[Nombre producto],TablaProductos[Agrupación]=ProductosPivot!JUR5)</f>
        <v>#VALUE!</v>
      </c>
      <c r="JUS6" s="68" t="e" cm="1" vm="1">
        <f t="array" ref="JUS6">_xlfn._xlws.FILTER(TablaProductos[Nombre producto],TablaProductos[Agrupación]=ProductosPivot!JUS5)</f>
        <v>#VALUE!</v>
      </c>
      <c r="JUT6" s="68" t="e" cm="1" vm="1">
        <f t="array" ref="JUT6">_xlfn._xlws.FILTER(TablaProductos[Nombre producto],TablaProductos[Agrupación]=ProductosPivot!JUT5)</f>
        <v>#VALUE!</v>
      </c>
      <c r="JUU6" s="68" t="e" cm="1" vm="1">
        <f t="array" ref="JUU6">_xlfn._xlws.FILTER(TablaProductos[Nombre producto],TablaProductos[Agrupación]=ProductosPivot!JUU5)</f>
        <v>#VALUE!</v>
      </c>
      <c r="JUV6" s="68" t="e" cm="1" vm="1">
        <f t="array" ref="JUV6">_xlfn._xlws.FILTER(TablaProductos[Nombre producto],TablaProductos[Agrupación]=ProductosPivot!JUV5)</f>
        <v>#VALUE!</v>
      </c>
      <c r="JUW6" s="68" t="e" cm="1" vm="1">
        <f t="array" ref="JUW6">_xlfn._xlws.FILTER(TablaProductos[Nombre producto],TablaProductos[Agrupación]=ProductosPivot!JUW5)</f>
        <v>#VALUE!</v>
      </c>
      <c r="JUX6" s="68" t="e" cm="1" vm="1">
        <f t="array" ref="JUX6">_xlfn._xlws.FILTER(TablaProductos[Nombre producto],TablaProductos[Agrupación]=ProductosPivot!JUX5)</f>
        <v>#VALUE!</v>
      </c>
      <c r="JUY6" s="68" t="e" cm="1" vm="1">
        <f t="array" ref="JUY6">_xlfn._xlws.FILTER(TablaProductos[Nombre producto],TablaProductos[Agrupación]=ProductosPivot!JUY5)</f>
        <v>#VALUE!</v>
      </c>
      <c r="JUZ6" s="68" t="e" cm="1" vm="1">
        <f t="array" ref="JUZ6">_xlfn._xlws.FILTER(TablaProductos[Nombre producto],TablaProductos[Agrupación]=ProductosPivot!JUZ5)</f>
        <v>#VALUE!</v>
      </c>
      <c r="JVA6" s="68" t="e" cm="1" vm="1">
        <f t="array" ref="JVA6">_xlfn._xlws.FILTER(TablaProductos[Nombre producto],TablaProductos[Agrupación]=ProductosPivot!JVA5)</f>
        <v>#VALUE!</v>
      </c>
      <c r="JVB6" s="68" t="e" cm="1" vm="1">
        <f t="array" ref="JVB6">_xlfn._xlws.FILTER(TablaProductos[Nombre producto],TablaProductos[Agrupación]=ProductosPivot!JVB5)</f>
        <v>#VALUE!</v>
      </c>
      <c r="JVC6" s="68" t="e" cm="1" vm="1">
        <f t="array" ref="JVC6">_xlfn._xlws.FILTER(TablaProductos[Nombre producto],TablaProductos[Agrupación]=ProductosPivot!JVC5)</f>
        <v>#VALUE!</v>
      </c>
      <c r="JVD6" s="68" t="e" cm="1" vm="1">
        <f t="array" ref="JVD6">_xlfn._xlws.FILTER(TablaProductos[Nombre producto],TablaProductos[Agrupación]=ProductosPivot!JVD5)</f>
        <v>#VALUE!</v>
      </c>
      <c r="JVE6" s="68" t="e" cm="1" vm="1">
        <f t="array" ref="JVE6">_xlfn._xlws.FILTER(TablaProductos[Nombre producto],TablaProductos[Agrupación]=ProductosPivot!JVE5)</f>
        <v>#VALUE!</v>
      </c>
      <c r="JVF6" s="68" t="e" cm="1" vm="1">
        <f t="array" ref="JVF6">_xlfn._xlws.FILTER(TablaProductos[Nombre producto],TablaProductos[Agrupación]=ProductosPivot!JVF5)</f>
        <v>#VALUE!</v>
      </c>
      <c r="JVG6" s="68" t="e" cm="1" vm="1">
        <f t="array" ref="JVG6">_xlfn._xlws.FILTER(TablaProductos[Nombre producto],TablaProductos[Agrupación]=ProductosPivot!JVG5)</f>
        <v>#VALUE!</v>
      </c>
      <c r="JVH6" s="68" t="e" cm="1" vm="1">
        <f t="array" ref="JVH6">_xlfn._xlws.FILTER(TablaProductos[Nombre producto],TablaProductos[Agrupación]=ProductosPivot!JVH5)</f>
        <v>#VALUE!</v>
      </c>
      <c r="JVI6" s="68" t="e" cm="1" vm="1">
        <f t="array" ref="JVI6">_xlfn._xlws.FILTER(TablaProductos[Nombre producto],TablaProductos[Agrupación]=ProductosPivot!JVI5)</f>
        <v>#VALUE!</v>
      </c>
      <c r="JVJ6" s="68" t="e" cm="1" vm="1">
        <f t="array" ref="JVJ6">_xlfn._xlws.FILTER(TablaProductos[Nombre producto],TablaProductos[Agrupación]=ProductosPivot!JVJ5)</f>
        <v>#VALUE!</v>
      </c>
      <c r="JVK6" s="68" t="e" cm="1" vm="1">
        <f t="array" ref="JVK6">_xlfn._xlws.FILTER(TablaProductos[Nombre producto],TablaProductos[Agrupación]=ProductosPivot!JVK5)</f>
        <v>#VALUE!</v>
      </c>
      <c r="JVL6" s="68" t="e" cm="1" vm="1">
        <f t="array" ref="JVL6">_xlfn._xlws.FILTER(TablaProductos[Nombre producto],TablaProductos[Agrupación]=ProductosPivot!JVL5)</f>
        <v>#VALUE!</v>
      </c>
      <c r="JVM6" s="68" t="e" cm="1" vm="1">
        <f t="array" ref="JVM6">_xlfn._xlws.FILTER(TablaProductos[Nombre producto],TablaProductos[Agrupación]=ProductosPivot!JVM5)</f>
        <v>#VALUE!</v>
      </c>
      <c r="JVN6" s="68" t="e" cm="1" vm="1">
        <f t="array" ref="JVN6">_xlfn._xlws.FILTER(TablaProductos[Nombre producto],TablaProductos[Agrupación]=ProductosPivot!JVN5)</f>
        <v>#VALUE!</v>
      </c>
      <c r="JVO6" s="68" t="e" cm="1" vm="1">
        <f t="array" ref="JVO6">_xlfn._xlws.FILTER(TablaProductos[Nombre producto],TablaProductos[Agrupación]=ProductosPivot!JVO5)</f>
        <v>#VALUE!</v>
      </c>
      <c r="JVP6" s="68" t="e" cm="1" vm="1">
        <f t="array" ref="JVP6">_xlfn._xlws.FILTER(TablaProductos[Nombre producto],TablaProductos[Agrupación]=ProductosPivot!JVP5)</f>
        <v>#VALUE!</v>
      </c>
      <c r="JVQ6" s="68" t="e" cm="1" vm="1">
        <f t="array" ref="JVQ6">_xlfn._xlws.FILTER(TablaProductos[Nombre producto],TablaProductos[Agrupación]=ProductosPivot!JVQ5)</f>
        <v>#VALUE!</v>
      </c>
      <c r="JVR6" s="68" t="e" cm="1" vm="1">
        <f t="array" ref="JVR6">_xlfn._xlws.FILTER(TablaProductos[Nombre producto],TablaProductos[Agrupación]=ProductosPivot!JVR5)</f>
        <v>#VALUE!</v>
      </c>
      <c r="JVS6" s="68" t="e" cm="1" vm="1">
        <f t="array" ref="JVS6">_xlfn._xlws.FILTER(TablaProductos[Nombre producto],TablaProductos[Agrupación]=ProductosPivot!JVS5)</f>
        <v>#VALUE!</v>
      </c>
      <c r="JVT6" s="68" t="e" cm="1" vm="1">
        <f t="array" ref="JVT6">_xlfn._xlws.FILTER(TablaProductos[Nombre producto],TablaProductos[Agrupación]=ProductosPivot!JVT5)</f>
        <v>#VALUE!</v>
      </c>
      <c r="JVU6" s="68" t="e" cm="1" vm="1">
        <f t="array" ref="JVU6">_xlfn._xlws.FILTER(TablaProductos[Nombre producto],TablaProductos[Agrupación]=ProductosPivot!JVU5)</f>
        <v>#VALUE!</v>
      </c>
      <c r="JVV6" s="68" t="e" cm="1" vm="1">
        <f t="array" ref="JVV6">_xlfn._xlws.FILTER(TablaProductos[Nombre producto],TablaProductos[Agrupación]=ProductosPivot!JVV5)</f>
        <v>#VALUE!</v>
      </c>
      <c r="JVW6" s="68" t="e" cm="1" vm="1">
        <f t="array" ref="JVW6">_xlfn._xlws.FILTER(TablaProductos[Nombre producto],TablaProductos[Agrupación]=ProductosPivot!JVW5)</f>
        <v>#VALUE!</v>
      </c>
      <c r="JVX6" s="68" t="e" cm="1" vm="1">
        <f t="array" ref="JVX6">_xlfn._xlws.FILTER(TablaProductos[Nombre producto],TablaProductos[Agrupación]=ProductosPivot!JVX5)</f>
        <v>#VALUE!</v>
      </c>
      <c r="JVY6" s="68" t="e" cm="1" vm="1">
        <f t="array" ref="JVY6">_xlfn._xlws.FILTER(TablaProductos[Nombre producto],TablaProductos[Agrupación]=ProductosPivot!JVY5)</f>
        <v>#VALUE!</v>
      </c>
      <c r="JVZ6" s="68" t="e" cm="1" vm="1">
        <f t="array" ref="JVZ6">_xlfn._xlws.FILTER(TablaProductos[Nombre producto],TablaProductos[Agrupación]=ProductosPivot!JVZ5)</f>
        <v>#VALUE!</v>
      </c>
      <c r="JWA6" s="68" t="e" cm="1" vm="1">
        <f t="array" ref="JWA6">_xlfn._xlws.FILTER(TablaProductos[Nombre producto],TablaProductos[Agrupación]=ProductosPivot!JWA5)</f>
        <v>#VALUE!</v>
      </c>
      <c r="JWB6" s="68" t="e" cm="1" vm="1">
        <f t="array" ref="JWB6">_xlfn._xlws.FILTER(TablaProductos[Nombre producto],TablaProductos[Agrupación]=ProductosPivot!JWB5)</f>
        <v>#VALUE!</v>
      </c>
      <c r="JWC6" s="68" t="e" cm="1" vm="1">
        <f t="array" ref="JWC6">_xlfn._xlws.FILTER(TablaProductos[Nombre producto],TablaProductos[Agrupación]=ProductosPivot!JWC5)</f>
        <v>#VALUE!</v>
      </c>
      <c r="JWD6" s="68" t="e" cm="1" vm="1">
        <f t="array" ref="JWD6">_xlfn._xlws.FILTER(TablaProductos[Nombre producto],TablaProductos[Agrupación]=ProductosPivot!JWD5)</f>
        <v>#VALUE!</v>
      </c>
      <c r="JWE6" s="68" t="e" cm="1" vm="1">
        <f t="array" ref="JWE6">_xlfn._xlws.FILTER(TablaProductos[Nombre producto],TablaProductos[Agrupación]=ProductosPivot!JWE5)</f>
        <v>#VALUE!</v>
      </c>
      <c r="JWF6" s="68" t="e" cm="1" vm="1">
        <f t="array" ref="JWF6">_xlfn._xlws.FILTER(TablaProductos[Nombre producto],TablaProductos[Agrupación]=ProductosPivot!JWF5)</f>
        <v>#VALUE!</v>
      </c>
      <c r="JWG6" s="68" t="e" cm="1" vm="1">
        <f t="array" ref="JWG6">_xlfn._xlws.FILTER(TablaProductos[Nombre producto],TablaProductos[Agrupación]=ProductosPivot!JWG5)</f>
        <v>#VALUE!</v>
      </c>
      <c r="JWH6" s="68" t="e" cm="1" vm="1">
        <f t="array" ref="JWH6">_xlfn._xlws.FILTER(TablaProductos[Nombre producto],TablaProductos[Agrupación]=ProductosPivot!JWH5)</f>
        <v>#VALUE!</v>
      </c>
      <c r="JWI6" s="68" t="e" cm="1" vm="1">
        <f t="array" ref="JWI6">_xlfn._xlws.FILTER(TablaProductos[Nombre producto],TablaProductos[Agrupación]=ProductosPivot!JWI5)</f>
        <v>#VALUE!</v>
      </c>
      <c r="JWJ6" s="68" t="e" cm="1" vm="1">
        <f t="array" ref="JWJ6">_xlfn._xlws.FILTER(TablaProductos[Nombre producto],TablaProductos[Agrupación]=ProductosPivot!JWJ5)</f>
        <v>#VALUE!</v>
      </c>
      <c r="JWK6" s="68" t="e" cm="1" vm="1">
        <f t="array" ref="JWK6">_xlfn._xlws.FILTER(TablaProductos[Nombre producto],TablaProductos[Agrupación]=ProductosPivot!JWK5)</f>
        <v>#VALUE!</v>
      </c>
      <c r="JWL6" s="68" t="e" cm="1" vm="1">
        <f t="array" ref="JWL6">_xlfn._xlws.FILTER(TablaProductos[Nombre producto],TablaProductos[Agrupación]=ProductosPivot!JWL5)</f>
        <v>#VALUE!</v>
      </c>
      <c r="JWM6" s="68" t="e" cm="1" vm="1">
        <f t="array" ref="JWM6">_xlfn._xlws.FILTER(TablaProductos[Nombre producto],TablaProductos[Agrupación]=ProductosPivot!JWM5)</f>
        <v>#VALUE!</v>
      </c>
      <c r="JWN6" s="68" t="e" cm="1" vm="1">
        <f t="array" ref="JWN6">_xlfn._xlws.FILTER(TablaProductos[Nombre producto],TablaProductos[Agrupación]=ProductosPivot!JWN5)</f>
        <v>#VALUE!</v>
      </c>
      <c r="JWO6" s="68" t="e" cm="1" vm="1">
        <f t="array" ref="JWO6">_xlfn._xlws.FILTER(TablaProductos[Nombre producto],TablaProductos[Agrupación]=ProductosPivot!JWO5)</f>
        <v>#VALUE!</v>
      </c>
      <c r="JWP6" s="68" t="e" cm="1" vm="1">
        <f t="array" ref="JWP6">_xlfn._xlws.FILTER(TablaProductos[Nombre producto],TablaProductos[Agrupación]=ProductosPivot!JWP5)</f>
        <v>#VALUE!</v>
      </c>
      <c r="JWQ6" s="68" t="e" cm="1" vm="1">
        <f t="array" ref="JWQ6">_xlfn._xlws.FILTER(TablaProductos[Nombre producto],TablaProductos[Agrupación]=ProductosPivot!JWQ5)</f>
        <v>#VALUE!</v>
      </c>
      <c r="JWR6" s="68" t="e" cm="1" vm="1">
        <f t="array" ref="JWR6">_xlfn._xlws.FILTER(TablaProductos[Nombre producto],TablaProductos[Agrupación]=ProductosPivot!JWR5)</f>
        <v>#VALUE!</v>
      </c>
      <c r="JWS6" s="68" t="e" cm="1" vm="1">
        <f t="array" ref="JWS6">_xlfn._xlws.FILTER(TablaProductos[Nombre producto],TablaProductos[Agrupación]=ProductosPivot!JWS5)</f>
        <v>#VALUE!</v>
      </c>
      <c r="JWT6" s="68" t="e" cm="1" vm="1">
        <f t="array" ref="JWT6">_xlfn._xlws.FILTER(TablaProductos[Nombre producto],TablaProductos[Agrupación]=ProductosPivot!JWT5)</f>
        <v>#VALUE!</v>
      </c>
      <c r="JWU6" s="68" t="e" cm="1" vm="1">
        <f t="array" ref="JWU6">_xlfn._xlws.FILTER(TablaProductos[Nombre producto],TablaProductos[Agrupación]=ProductosPivot!JWU5)</f>
        <v>#VALUE!</v>
      </c>
      <c r="JWV6" s="68" t="e" cm="1" vm="1">
        <f t="array" ref="JWV6">_xlfn._xlws.FILTER(TablaProductos[Nombre producto],TablaProductos[Agrupación]=ProductosPivot!JWV5)</f>
        <v>#VALUE!</v>
      </c>
      <c r="JWW6" s="68" t="e" cm="1" vm="1">
        <f t="array" ref="JWW6">_xlfn._xlws.FILTER(TablaProductos[Nombre producto],TablaProductos[Agrupación]=ProductosPivot!JWW5)</f>
        <v>#VALUE!</v>
      </c>
      <c r="JWX6" s="68" t="e" cm="1" vm="1">
        <f t="array" ref="JWX6">_xlfn._xlws.FILTER(TablaProductos[Nombre producto],TablaProductos[Agrupación]=ProductosPivot!JWX5)</f>
        <v>#VALUE!</v>
      </c>
      <c r="JWY6" s="68" t="e" cm="1" vm="1">
        <f t="array" ref="JWY6">_xlfn._xlws.FILTER(TablaProductos[Nombre producto],TablaProductos[Agrupación]=ProductosPivot!JWY5)</f>
        <v>#VALUE!</v>
      </c>
      <c r="JWZ6" s="68" t="e" cm="1" vm="1">
        <f t="array" ref="JWZ6">_xlfn._xlws.FILTER(TablaProductos[Nombre producto],TablaProductos[Agrupación]=ProductosPivot!JWZ5)</f>
        <v>#VALUE!</v>
      </c>
      <c r="JXA6" s="68" t="e" cm="1" vm="1">
        <f t="array" ref="JXA6">_xlfn._xlws.FILTER(TablaProductos[Nombre producto],TablaProductos[Agrupación]=ProductosPivot!JXA5)</f>
        <v>#VALUE!</v>
      </c>
      <c r="JXB6" s="68" t="e" cm="1" vm="1">
        <f t="array" ref="JXB6">_xlfn._xlws.FILTER(TablaProductos[Nombre producto],TablaProductos[Agrupación]=ProductosPivot!JXB5)</f>
        <v>#VALUE!</v>
      </c>
      <c r="JXC6" s="68" t="e" cm="1" vm="1">
        <f t="array" ref="JXC6">_xlfn._xlws.FILTER(TablaProductos[Nombre producto],TablaProductos[Agrupación]=ProductosPivot!JXC5)</f>
        <v>#VALUE!</v>
      </c>
      <c r="JXD6" s="68" t="e" cm="1" vm="1">
        <f t="array" ref="JXD6">_xlfn._xlws.FILTER(TablaProductos[Nombre producto],TablaProductos[Agrupación]=ProductosPivot!JXD5)</f>
        <v>#VALUE!</v>
      </c>
      <c r="JXE6" s="68" t="e" cm="1" vm="1">
        <f t="array" ref="JXE6">_xlfn._xlws.FILTER(TablaProductos[Nombre producto],TablaProductos[Agrupación]=ProductosPivot!JXE5)</f>
        <v>#VALUE!</v>
      </c>
      <c r="JXF6" s="68" t="e" cm="1" vm="1">
        <f t="array" ref="JXF6">_xlfn._xlws.FILTER(TablaProductos[Nombre producto],TablaProductos[Agrupación]=ProductosPivot!JXF5)</f>
        <v>#VALUE!</v>
      </c>
      <c r="JXG6" s="68" t="e" cm="1" vm="1">
        <f t="array" ref="JXG6">_xlfn._xlws.FILTER(TablaProductos[Nombre producto],TablaProductos[Agrupación]=ProductosPivot!JXG5)</f>
        <v>#VALUE!</v>
      </c>
      <c r="JXH6" s="68" t="e" cm="1" vm="1">
        <f t="array" ref="JXH6">_xlfn._xlws.FILTER(TablaProductos[Nombre producto],TablaProductos[Agrupación]=ProductosPivot!JXH5)</f>
        <v>#VALUE!</v>
      </c>
      <c r="JXI6" s="68" t="e" cm="1" vm="1">
        <f t="array" ref="JXI6">_xlfn._xlws.FILTER(TablaProductos[Nombre producto],TablaProductos[Agrupación]=ProductosPivot!JXI5)</f>
        <v>#VALUE!</v>
      </c>
      <c r="JXJ6" s="68" t="e" cm="1" vm="1">
        <f t="array" ref="JXJ6">_xlfn._xlws.FILTER(TablaProductos[Nombre producto],TablaProductos[Agrupación]=ProductosPivot!JXJ5)</f>
        <v>#VALUE!</v>
      </c>
      <c r="JXK6" s="68" t="e" cm="1" vm="1">
        <f t="array" ref="JXK6">_xlfn._xlws.FILTER(TablaProductos[Nombre producto],TablaProductos[Agrupación]=ProductosPivot!JXK5)</f>
        <v>#VALUE!</v>
      </c>
      <c r="JXL6" s="68" t="e" cm="1" vm="1">
        <f t="array" ref="JXL6">_xlfn._xlws.FILTER(TablaProductos[Nombre producto],TablaProductos[Agrupación]=ProductosPivot!JXL5)</f>
        <v>#VALUE!</v>
      </c>
      <c r="JXM6" s="68" t="e" cm="1" vm="1">
        <f t="array" ref="JXM6">_xlfn._xlws.FILTER(TablaProductos[Nombre producto],TablaProductos[Agrupación]=ProductosPivot!JXM5)</f>
        <v>#VALUE!</v>
      </c>
      <c r="JXN6" s="68" t="e" cm="1" vm="1">
        <f t="array" ref="JXN6">_xlfn._xlws.FILTER(TablaProductos[Nombre producto],TablaProductos[Agrupación]=ProductosPivot!JXN5)</f>
        <v>#VALUE!</v>
      </c>
      <c r="JXO6" s="68" t="e" cm="1" vm="1">
        <f t="array" ref="JXO6">_xlfn._xlws.FILTER(TablaProductos[Nombre producto],TablaProductos[Agrupación]=ProductosPivot!JXO5)</f>
        <v>#VALUE!</v>
      </c>
      <c r="JXP6" s="68" t="e" cm="1" vm="1">
        <f t="array" ref="JXP6">_xlfn._xlws.FILTER(TablaProductos[Nombre producto],TablaProductos[Agrupación]=ProductosPivot!JXP5)</f>
        <v>#VALUE!</v>
      </c>
      <c r="JXQ6" s="68" t="e" cm="1" vm="1">
        <f t="array" ref="JXQ6">_xlfn._xlws.FILTER(TablaProductos[Nombre producto],TablaProductos[Agrupación]=ProductosPivot!JXQ5)</f>
        <v>#VALUE!</v>
      </c>
      <c r="JXR6" s="68" t="e" cm="1" vm="1">
        <f t="array" ref="JXR6">_xlfn._xlws.FILTER(TablaProductos[Nombre producto],TablaProductos[Agrupación]=ProductosPivot!JXR5)</f>
        <v>#VALUE!</v>
      </c>
      <c r="JXS6" s="68" t="e" cm="1" vm="1">
        <f t="array" ref="JXS6">_xlfn._xlws.FILTER(TablaProductos[Nombre producto],TablaProductos[Agrupación]=ProductosPivot!JXS5)</f>
        <v>#VALUE!</v>
      </c>
      <c r="JXT6" s="68" t="e" cm="1" vm="1">
        <f t="array" ref="JXT6">_xlfn._xlws.FILTER(TablaProductos[Nombre producto],TablaProductos[Agrupación]=ProductosPivot!JXT5)</f>
        <v>#VALUE!</v>
      </c>
      <c r="JXU6" s="68" t="e" cm="1" vm="1">
        <f t="array" ref="JXU6">_xlfn._xlws.FILTER(TablaProductos[Nombre producto],TablaProductos[Agrupación]=ProductosPivot!JXU5)</f>
        <v>#VALUE!</v>
      </c>
      <c r="JXV6" s="68" t="e" cm="1" vm="1">
        <f t="array" ref="JXV6">_xlfn._xlws.FILTER(TablaProductos[Nombre producto],TablaProductos[Agrupación]=ProductosPivot!JXV5)</f>
        <v>#VALUE!</v>
      </c>
      <c r="JXW6" s="68" t="e" cm="1" vm="1">
        <f t="array" ref="JXW6">_xlfn._xlws.FILTER(TablaProductos[Nombre producto],TablaProductos[Agrupación]=ProductosPivot!JXW5)</f>
        <v>#VALUE!</v>
      </c>
      <c r="JXX6" s="68" t="e" cm="1" vm="1">
        <f t="array" ref="JXX6">_xlfn._xlws.FILTER(TablaProductos[Nombre producto],TablaProductos[Agrupación]=ProductosPivot!JXX5)</f>
        <v>#VALUE!</v>
      </c>
      <c r="JXY6" s="68" t="e" cm="1" vm="1">
        <f t="array" ref="JXY6">_xlfn._xlws.FILTER(TablaProductos[Nombre producto],TablaProductos[Agrupación]=ProductosPivot!JXY5)</f>
        <v>#VALUE!</v>
      </c>
      <c r="JXZ6" s="68" t="e" cm="1" vm="1">
        <f t="array" ref="JXZ6">_xlfn._xlws.FILTER(TablaProductos[Nombre producto],TablaProductos[Agrupación]=ProductosPivot!JXZ5)</f>
        <v>#VALUE!</v>
      </c>
      <c r="JYA6" s="68" t="e" cm="1" vm="1">
        <f t="array" ref="JYA6">_xlfn._xlws.FILTER(TablaProductos[Nombre producto],TablaProductos[Agrupación]=ProductosPivot!JYA5)</f>
        <v>#VALUE!</v>
      </c>
      <c r="JYB6" s="68" t="e" cm="1" vm="1">
        <f t="array" ref="JYB6">_xlfn._xlws.FILTER(TablaProductos[Nombre producto],TablaProductos[Agrupación]=ProductosPivot!JYB5)</f>
        <v>#VALUE!</v>
      </c>
      <c r="JYC6" s="68" t="e" cm="1" vm="1">
        <f t="array" ref="JYC6">_xlfn._xlws.FILTER(TablaProductos[Nombre producto],TablaProductos[Agrupación]=ProductosPivot!JYC5)</f>
        <v>#VALUE!</v>
      </c>
      <c r="JYD6" s="68" t="e" cm="1" vm="1">
        <f t="array" ref="JYD6">_xlfn._xlws.FILTER(TablaProductos[Nombre producto],TablaProductos[Agrupación]=ProductosPivot!JYD5)</f>
        <v>#VALUE!</v>
      </c>
      <c r="JYE6" s="68" t="e" cm="1" vm="1">
        <f t="array" ref="JYE6">_xlfn._xlws.FILTER(TablaProductos[Nombre producto],TablaProductos[Agrupación]=ProductosPivot!JYE5)</f>
        <v>#VALUE!</v>
      </c>
      <c r="JYF6" s="68" t="e" cm="1" vm="1">
        <f t="array" ref="JYF6">_xlfn._xlws.FILTER(TablaProductos[Nombre producto],TablaProductos[Agrupación]=ProductosPivot!JYF5)</f>
        <v>#VALUE!</v>
      </c>
      <c r="JYG6" s="68" t="e" cm="1" vm="1">
        <f t="array" ref="JYG6">_xlfn._xlws.FILTER(TablaProductos[Nombre producto],TablaProductos[Agrupación]=ProductosPivot!JYG5)</f>
        <v>#VALUE!</v>
      </c>
      <c r="JYH6" s="68" t="e" cm="1" vm="1">
        <f t="array" ref="JYH6">_xlfn._xlws.FILTER(TablaProductos[Nombre producto],TablaProductos[Agrupación]=ProductosPivot!JYH5)</f>
        <v>#VALUE!</v>
      </c>
      <c r="JYI6" s="68" t="e" cm="1" vm="1">
        <f t="array" ref="JYI6">_xlfn._xlws.FILTER(TablaProductos[Nombre producto],TablaProductos[Agrupación]=ProductosPivot!JYI5)</f>
        <v>#VALUE!</v>
      </c>
      <c r="JYJ6" s="68" t="e" cm="1" vm="1">
        <f t="array" ref="JYJ6">_xlfn._xlws.FILTER(TablaProductos[Nombre producto],TablaProductos[Agrupación]=ProductosPivot!JYJ5)</f>
        <v>#VALUE!</v>
      </c>
      <c r="JYK6" s="68" t="e" cm="1" vm="1">
        <f t="array" ref="JYK6">_xlfn._xlws.FILTER(TablaProductos[Nombre producto],TablaProductos[Agrupación]=ProductosPivot!JYK5)</f>
        <v>#VALUE!</v>
      </c>
      <c r="JYL6" s="68" t="e" cm="1" vm="1">
        <f t="array" ref="JYL6">_xlfn._xlws.FILTER(TablaProductos[Nombre producto],TablaProductos[Agrupación]=ProductosPivot!JYL5)</f>
        <v>#VALUE!</v>
      </c>
      <c r="JYM6" s="68" t="e" cm="1" vm="1">
        <f t="array" ref="JYM6">_xlfn._xlws.FILTER(TablaProductos[Nombre producto],TablaProductos[Agrupación]=ProductosPivot!JYM5)</f>
        <v>#VALUE!</v>
      </c>
      <c r="JYN6" s="68" t="e" cm="1" vm="1">
        <f t="array" ref="JYN6">_xlfn._xlws.FILTER(TablaProductos[Nombre producto],TablaProductos[Agrupación]=ProductosPivot!JYN5)</f>
        <v>#VALUE!</v>
      </c>
      <c r="JYO6" s="68" t="e" cm="1" vm="1">
        <f t="array" ref="JYO6">_xlfn._xlws.FILTER(TablaProductos[Nombre producto],TablaProductos[Agrupación]=ProductosPivot!JYO5)</f>
        <v>#VALUE!</v>
      </c>
      <c r="JYP6" s="68" t="e" cm="1" vm="1">
        <f t="array" ref="JYP6">_xlfn._xlws.FILTER(TablaProductos[Nombre producto],TablaProductos[Agrupación]=ProductosPivot!JYP5)</f>
        <v>#VALUE!</v>
      </c>
      <c r="JYQ6" s="68" t="e" cm="1" vm="1">
        <f t="array" ref="JYQ6">_xlfn._xlws.FILTER(TablaProductos[Nombre producto],TablaProductos[Agrupación]=ProductosPivot!JYQ5)</f>
        <v>#VALUE!</v>
      </c>
      <c r="JYR6" s="68" t="e" cm="1" vm="1">
        <f t="array" ref="JYR6">_xlfn._xlws.FILTER(TablaProductos[Nombre producto],TablaProductos[Agrupación]=ProductosPivot!JYR5)</f>
        <v>#VALUE!</v>
      </c>
      <c r="JYS6" s="68" t="e" cm="1" vm="1">
        <f t="array" ref="JYS6">_xlfn._xlws.FILTER(TablaProductos[Nombre producto],TablaProductos[Agrupación]=ProductosPivot!JYS5)</f>
        <v>#VALUE!</v>
      </c>
      <c r="JYT6" s="68" t="e" cm="1" vm="1">
        <f t="array" ref="JYT6">_xlfn._xlws.FILTER(TablaProductos[Nombre producto],TablaProductos[Agrupación]=ProductosPivot!JYT5)</f>
        <v>#VALUE!</v>
      </c>
      <c r="JYU6" s="68" t="e" cm="1" vm="1">
        <f t="array" ref="JYU6">_xlfn._xlws.FILTER(TablaProductos[Nombre producto],TablaProductos[Agrupación]=ProductosPivot!JYU5)</f>
        <v>#VALUE!</v>
      </c>
      <c r="JYV6" s="68" t="e" cm="1" vm="1">
        <f t="array" ref="JYV6">_xlfn._xlws.FILTER(TablaProductos[Nombre producto],TablaProductos[Agrupación]=ProductosPivot!JYV5)</f>
        <v>#VALUE!</v>
      </c>
      <c r="JYW6" s="68" t="e" cm="1" vm="1">
        <f t="array" ref="JYW6">_xlfn._xlws.FILTER(TablaProductos[Nombre producto],TablaProductos[Agrupación]=ProductosPivot!JYW5)</f>
        <v>#VALUE!</v>
      </c>
      <c r="JYX6" s="68" t="e" cm="1" vm="1">
        <f t="array" ref="JYX6">_xlfn._xlws.FILTER(TablaProductos[Nombre producto],TablaProductos[Agrupación]=ProductosPivot!JYX5)</f>
        <v>#VALUE!</v>
      </c>
      <c r="JYY6" s="68" t="e" cm="1" vm="1">
        <f t="array" ref="JYY6">_xlfn._xlws.FILTER(TablaProductos[Nombre producto],TablaProductos[Agrupación]=ProductosPivot!JYY5)</f>
        <v>#VALUE!</v>
      </c>
      <c r="JYZ6" s="68" t="e" cm="1" vm="1">
        <f t="array" ref="JYZ6">_xlfn._xlws.FILTER(TablaProductos[Nombre producto],TablaProductos[Agrupación]=ProductosPivot!JYZ5)</f>
        <v>#VALUE!</v>
      </c>
      <c r="JZA6" s="68" t="e" cm="1" vm="1">
        <f t="array" ref="JZA6">_xlfn._xlws.FILTER(TablaProductos[Nombre producto],TablaProductos[Agrupación]=ProductosPivot!JZA5)</f>
        <v>#VALUE!</v>
      </c>
      <c r="JZB6" s="68" t="e" cm="1" vm="1">
        <f t="array" ref="JZB6">_xlfn._xlws.FILTER(TablaProductos[Nombre producto],TablaProductos[Agrupación]=ProductosPivot!JZB5)</f>
        <v>#VALUE!</v>
      </c>
      <c r="JZC6" s="68" t="e" cm="1" vm="1">
        <f t="array" ref="JZC6">_xlfn._xlws.FILTER(TablaProductos[Nombre producto],TablaProductos[Agrupación]=ProductosPivot!JZC5)</f>
        <v>#VALUE!</v>
      </c>
      <c r="JZD6" s="68" t="e" cm="1" vm="1">
        <f t="array" ref="JZD6">_xlfn._xlws.FILTER(TablaProductos[Nombre producto],TablaProductos[Agrupación]=ProductosPivot!JZD5)</f>
        <v>#VALUE!</v>
      </c>
      <c r="JZE6" s="68" t="e" cm="1" vm="1">
        <f t="array" ref="JZE6">_xlfn._xlws.FILTER(TablaProductos[Nombre producto],TablaProductos[Agrupación]=ProductosPivot!JZE5)</f>
        <v>#VALUE!</v>
      </c>
      <c r="JZF6" s="68" t="e" cm="1" vm="1">
        <f t="array" ref="JZF6">_xlfn._xlws.FILTER(TablaProductos[Nombre producto],TablaProductos[Agrupación]=ProductosPivot!JZF5)</f>
        <v>#VALUE!</v>
      </c>
      <c r="JZG6" s="68" t="e" cm="1" vm="1">
        <f t="array" ref="JZG6">_xlfn._xlws.FILTER(TablaProductos[Nombre producto],TablaProductos[Agrupación]=ProductosPivot!JZG5)</f>
        <v>#VALUE!</v>
      </c>
      <c r="JZH6" s="68" t="e" cm="1" vm="1">
        <f t="array" ref="JZH6">_xlfn._xlws.FILTER(TablaProductos[Nombre producto],TablaProductos[Agrupación]=ProductosPivot!JZH5)</f>
        <v>#VALUE!</v>
      </c>
      <c r="JZI6" s="68" t="e" cm="1" vm="1">
        <f t="array" ref="JZI6">_xlfn._xlws.FILTER(TablaProductos[Nombre producto],TablaProductos[Agrupación]=ProductosPivot!JZI5)</f>
        <v>#VALUE!</v>
      </c>
      <c r="JZJ6" s="68" t="e" cm="1" vm="1">
        <f t="array" ref="JZJ6">_xlfn._xlws.FILTER(TablaProductos[Nombre producto],TablaProductos[Agrupación]=ProductosPivot!JZJ5)</f>
        <v>#VALUE!</v>
      </c>
      <c r="JZK6" s="68" t="e" cm="1" vm="1">
        <f t="array" ref="JZK6">_xlfn._xlws.FILTER(TablaProductos[Nombre producto],TablaProductos[Agrupación]=ProductosPivot!JZK5)</f>
        <v>#VALUE!</v>
      </c>
      <c r="JZL6" s="68" t="e" cm="1" vm="1">
        <f t="array" ref="JZL6">_xlfn._xlws.FILTER(TablaProductos[Nombre producto],TablaProductos[Agrupación]=ProductosPivot!JZL5)</f>
        <v>#VALUE!</v>
      </c>
      <c r="JZM6" s="68" t="e" cm="1" vm="1">
        <f t="array" ref="JZM6">_xlfn._xlws.FILTER(TablaProductos[Nombre producto],TablaProductos[Agrupación]=ProductosPivot!JZM5)</f>
        <v>#VALUE!</v>
      </c>
      <c r="JZN6" s="68" t="e" cm="1" vm="1">
        <f t="array" ref="JZN6">_xlfn._xlws.FILTER(TablaProductos[Nombre producto],TablaProductos[Agrupación]=ProductosPivot!JZN5)</f>
        <v>#VALUE!</v>
      </c>
      <c r="JZO6" s="68" t="e" cm="1" vm="1">
        <f t="array" ref="JZO6">_xlfn._xlws.FILTER(TablaProductos[Nombre producto],TablaProductos[Agrupación]=ProductosPivot!JZO5)</f>
        <v>#VALUE!</v>
      </c>
      <c r="JZP6" s="68" t="e" cm="1" vm="1">
        <f t="array" ref="JZP6">_xlfn._xlws.FILTER(TablaProductos[Nombre producto],TablaProductos[Agrupación]=ProductosPivot!JZP5)</f>
        <v>#VALUE!</v>
      </c>
      <c r="JZQ6" s="68" t="e" cm="1" vm="1">
        <f t="array" ref="JZQ6">_xlfn._xlws.FILTER(TablaProductos[Nombre producto],TablaProductos[Agrupación]=ProductosPivot!JZQ5)</f>
        <v>#VALUE!</v>
      </c>
      <c r="JZR6" s="68" t="e" cm="1" vm="1">
        <f t="array" ref="JZR6">_xlfn._xlws.FILTER(TablaProductos[Nombre producto],TablaProductos[Agrupación]=ProductosPivot!JZR5)</f>
        <v>#VALUE!</v>
      </c>
      <c r="JZS6" s="68" t="e" cm="1" vm="1">
        <f t="array" ref="JZS6">_xlfn._xlws.FILTER(TablaProductos[Nombre producto],TablaProductos[Agrupación]=ProductosPivot!JZS5)</f>
        <v>#VALUE!</v>
      </c>
      <c r="JZT6" s="68" t="e" cm="1" vm="1">
        <f t="array" ref="JZT6">_xlfn._xlws.FILTER(TablaProductos[Nombre producto],TablaProductos[Agrupación]=ProductosPivot!JZT5)</f>
        <v>#VALUE!</v>
      </c>
      <c r="JZU6" s="68" t="e" cm="1" vm="1">
        <f t="array" ref="JZU6">_xlfn._xlws.FILTER(TablaProductos[Nombre producto],TablaProductos[Agrupación]=ProductosPivot!JZU5)</f>
        <v>#VALUE!</v>
      </c>
      <c r="JZV6" s="68" t="e" cm="1" vm="1">
        <f t="array" ref="JZV6">_xlfn._xlws.FILTER(TablaProductos[Nombre producto],TablaProductos[Agrupación]=ProductosPivot!JZV5)</f>
        <v>#VALUE!</v>
      </c>
      <c r="JZW6" s="68" t="e" cm="1" vm="1">
        <f t="array" ref="JZW6">_xlfn._xlws.FILTER(TablaProductos[Nombre producto],TablaProductos[Agrupación]=ProductosPivot!JZW5)</f>
        <v>#VALUE!</v>
      </c>
      <c r="JZX6" s="68" t="e" cm="1" vm="1">
        <f t="array" ref="JZX6">_xlfn._xlws.FILTER(TablaProductos[Nombre producto],TablaProductos[Agrupación]=ProductosPivot!JZX5)</f>
        <v>#VALUE!</v>
      </c>
      <c r="JZY6" s="68" t="e" cm="1" vm="1">
        <f t="array" ref="JZY6">_xlfn._xlws.FILTER(TablaProductos[Nombre producto],TablaProductos[Agrupación]=ProductosPivot!JZY5)</f>
        <v>#VALUE!</v>
      </c>
      <c r="JZZ6" s="68" t="e" cm="1" vm="1">
        <f t="array" ref="JZZ6">_xlfn._xlws.FILTER(TablaProductos[Nombre producto],TablaProductos[Agrupación]=ProductosPivot!JZZ5)</f>
        <v>#VALUE!</v>
      </c>
      <c r="KAA6" s="68" t="e" cm="1" vm="1">
        <f t="array" ref="KAA6">_xlfn._xlws.FILTER(TablaProductos[Nombre producto],TablaProductos[Agrupación]=ProductosPivot!KAA5)</f>
        <v>#VALUE!</v>
      </c>
      <c r="KAB6" s="68" t="e" cm="1" vm="1">
        <f t="array" ref="KAB6">_xlfn._xlws.FILTER(TablaProductos[Nombre producto],TablaProductos[Agrupación]=ProductosPivot!KAB5)</f>
        <v>#VALUE!</v>
      </c>
      <c r="KAC6" s="68" t="e" cm="1" vm="1">
        <f t="array" ref="KAC6">_xlfn._xlws.FILTER(TablaProductos[Nombre producto],TablaProductos[Agrupación]=ProductosPivot!KAC5)</f>
        <v>#VALUE!</v>
      </c>
      <c r="KAD6" s="68" t="e" cm="1" vm="1">
        <f t="array" ref="KAD6">_xlfn._xlws.FILTER(TablaProductos[Nombre producto],TablaProductos[Agrupación]=ProductosPivot!KAD5)</f>
        <v>#VALUE!</v>
      </c>
      <c r="KAE6" s="68" t="e" cm="1" vm="1">
        <f t="array" ref="KAE6">_xlfn._xlws.FILTER(TablaProductos[Nombre producto],TablaProductos[Agrupación]=ProductosPivot!KAE5)</f>
        <v>#VALUE!</v>
      </c>
      <c r="KAF6" s="68" t="e" cm="1" vm="1">
        <f t="array" ref="KAF6">_xlfn._xlws.FILTER(TablaProductos[Nombre producto],TablaProductos[Agrupación]=ProductosPivot!KAF5)</f>
        <v>#VALUE!</v>
      </c>
      <c r="KAG6" s="68" t="e" cm="1" vm="1">
        <f t="array" ref="KAG6">_xlfn._xlws.FILTER(TablaProductos[Nombre producto],TablaProductos[Agrupación]=ProductosPivot!KAG5)</f>
        <v>#VALUE!</v>
      </c>
      <c r="KAH6" s="68" t="e" cm="1" vm="1">
        <f t="array" ref="KAH6">_xlfn._xlws.FILTER(TablaProductos[Nombre producto],TablaProductos[Agrupación]=ProductosPivot!KAH5)</f>
        <v>#VALUE!</v>
      </c>
      <c r="KAI6" s="68" t="e" cm="1" vm="1">
        <f t="array" ref="KAI6">_xlfn._xlws.FILTER(TablaProductos[Nombre producto],TablaProductos[Agrupación]=ProductosPivot!KAI5)</f>
        <v>#VALUE!</v>
      </c>
      <c r="KAJ6" s="68" t="e" cm="1" vm="1">
        <f t="array" ref="KAJ6">_xlfn._xlws.FILTER(TablaProductos[Nombre producto],TablaProductos[Agrupación]=ProductosPivot!KAJ5)</f>
        <v>#VALUE!</v>
      </c>
      <c r="KAK6" s="68" t="e" cm="1" vm="1">
        <f t="array" ref="KAK6">_xlfn._xlws.FILTER(TablaProductos[Nombre producto],TablaProductos[Agrupación]=ProductosPivot!KAK5)</f>
        <v>#VALUE!</v>
      </c>
      <c r="KAL6" s="68" t="e" cm="1" vm="1">
        <f t="array" ref="KAL6">_xlfn._xlws.FILTER(TablaProductos[Nombre producto],TablaProductos[Agrupación]=ProductosPivot!KAL5)</f>
        <v>#VALUE!</v>
      </c>
      <c r="KAM6" s="68" t="e" cm="1" vm="1">
        <f t="array" ref="KAM6">_xlfn._xlws.FILTER(TablaProductos[Nombre producto],TablaProductos[Agrupación]=ProductosPivot!KAM5)</f>
        <v>#VALUE!</v>
      </c>
      <c r="KAN6" s="68" t="e" cm="1" vm="1">
        <f t="array" ref="KAN6">_xlfn._xlws.FILTER(TablaProductos[Nombre producto],TablaProductos[Agrupación]=ProductosPivot!KAN5)</f>
        <v>#VALUE!</v>
      </c>
      <c r="KAO6" s="68" t="e" cm="1" vm="1">
        <f t="array" ref="KAO6">_xlfn._xlws.FILTER(TablaProductos[Nombre producto],TablaProductos[Agrupación]=ProductosPivot!KAO5)</f>
        <v>#VALUE!</v>
      </c>
      <c r="KAP6" s="68" t="e" cm="1" vm="1">
        <f t="array" ref="KAP6">_xlfn._xlws.FILTER(TablaProductos[Nombre producto],TablaProductos[Agrupación]=ProductosPivot!KAP5)</f>
        <v>#VALUE!</v>
      </c>
      <c r="KAQ6" s="68" t="e" cm="1" vm="1">
        <f t="array" ref="KAQ6">_xlfn._xlws.FILTER(TablaProductos[Nombre producto],TablaProductos[Agrupación]=ProductosPivot!KAQ5)</f>
        <v>#VALUE!</v>
      </c>
      <c r="KAR6" s="68" t="e" cm="1" vm="1">
        <f t="array" ref="KAR6">_xlfn._xlws.FILTER(TablaProductos[Nombre producto],TablaProductos[Agrupación]=ProductosPivot!KAR5)</f>
        <v>#VALUE!</v>
      </c>
      <c r="KAS6" s="68" t="e" cm="1" vm="1">
        <f t="array" ref="KAS6">_xlfn._xlws.FILTER(TablaProductos[Nombre producto],TablaProductos[Agrupación]=ProductosPivot!KAS5)</f>
        <v>#VALUE!</v>
      </c>
      <c r="KAT6" s="68" t="e" cm="1" vm="1">
        <f t="array" ref="KAT6">_xlfn._xlws.FILTER(TablaProductos[Nombre producto],TablaProductos[Agrupación]=ProductosPivot!KAT5)</f>
        <v>#VALUE!</v>
      </c>
      <c r="KAU6" s="68" t="e" cm="1" vm="1">
        <f t="array" ref="KAU6">_xlfn._xlws.FILTER(TablaProductos[Nombre producto],TablaProductos[Agrupación]=ProductosPivot!KAU5)</f>
        <v>#VALUE!</v>
      </c>
      <c r="KAV6" s="68" t="e" cm="1" vm="1">
        <f t="array" ref="KAV6">_xlfn._xlws.FILTER(TablaProductos[Nombre producto],TablaProductos[Agrupación]=ProductosPivot!KAV5)</f>
        <v>#VALUE!</v>
      </c>
      <c r="KAW6" s="68" t="e" cm="1" vm="1">
        <f t="array" ref="KAW6">_xlfn._xlws.FILTER(TablaProductos[Nombre producto],TablaProductos[Agrupación]=ProductosPivot!KAW5)</f>
        <v>#VALUE!</v>
      </c>
      <c r="KAX6" s="68" t="e" cm="1" vm="1">
        <f t="array" ref="KAX6">_xlfn._xlws.FILTER(TablaProductos[Nombre producto],TablaProductos[Agrupación]=ProductosPivot!KAX5)</f>
        <v>#VALUE!</v>
      </c>
      <c r="KAY6" s="68" t="e" cm="1" vm="1">
        <f t="array" ref="KAY6">_xlfn._xlws.FILTER(TablaProductos[Nombre producto],TablaProductos[Agrupación]=ProductosPivot!KAY5)</f>
        <v>#VALUE!</v>
      </c>
      <c r="KAZ6" s="68" t="e" cm="1" vm="1">
        <f t="array" ref="KAZ6">_xlfn._xlws.FILTER(TablaProductos[Nombre producto],TablaProductos[Agrupación]=ProductosPivot!KAZ5)</f>
        <v>#VALUE!</v>
      </c>
      <c r="KBA6" s="68" t="e" cm="1" vm="1">
        <f t="array" ref="KBA6">_xlfn._xlws.FILTER(TablaProductos[Nombre producto],TablaProductos[Agrupación]=ProductosPivot!KBA5)</f>
        <v>#VALUE!</v>
      </c>
      <c r="KBB6" s="68" t="e" cm="1" vm="1">
        <f t="array" ref="KBB6">_xlfn._xlws.FILTER(TablaProductos[Nombre producto],TablaProductos[Agrupación]=ProductosPivot!KBB5)</f>
        <v>#VALUE!</v>
      </c>
      <c r="KBC6" s="68" t="e" cm="1" vm="1">
        <f t="array" ref="KBC6">_xlfn._xlws.FILTER(TablaProductos[Nombre producto],TablaProductos[Agrupación]=ProductosPivot!KBC5)</f>
        <v>#VALUE!</v>
      </c>
      <c r="KBD6" s="68" t="e" cm="1" vm="1">
        <f t="array" ref="KBD6">_xlfn._xlws.FILTER(TablaProductos[Nombre producto],TablaProductos[Agrupación]=ProductosPivot!KBD5)</f>
        <v>#VALUE!</v>
      </c>
      <c r="KBE6" s="68" t="e" cm="1" vm="1">
        <f t="array" ref="KBE6">_xlfn._xlws.FILTER(TablaProductos[Nombre producto],TablaProductos[Agrupación]=ProductosPivot!KBE5)</f>
        <v>#VALUE!</v>
      </c>
      <c r="KBF6" s="68" t="e" cm="1" vm="1">
        <f t="array" ref="KBF6">_xlfn._xlws.FILTER(TablaProductos[Nombre producto],TablaProductos[Agrupación]=ProductosPivot!KBF5)</f>
        <v>#VALUE!</v>
      </c>
      <c r="KBG6" s="68" t="e" cm="1" vm="1">
        <f t="array" ref="KBG6">_xlfn._xlws.FILTER(TablaProductos[Nombre producto],TablaProductos[Agrupación]=ProductosPivot!KBG5)</f>
        <v>#VALUE!</v>
      </c>
      <c r="KBH6" s="68" t="e" cm="1" vm="1">
        <f t="array" ref="KBH6">_xlfn._xlws.FILTER(TablaProductos[Nombre producto],TablaProductos[Agrupación]=ProductosPivot!KBH5)</f>
        <v>#VALUE!</v>
      </c>
      <c r="KBI6" s="68" t="e" cm="1" vm="1">
        <f t="array" ref="KBI6">_xlfn._xlws.FILTER(TablaProductos[Nombre producto],TablaProductos[Agrupación]=ProductosPivot!KBI5)</f>
        <v>#VALUE!</v>
      </c>
      <c r="KBJ6" s="68" t="e" cm="1" vm="1">
        <f t="array" ref="KBJ6">_xlfn._xlws.FILTER(TablaProductos[Nombre producto],TablaProductos[Agrupación]=ProductosPivot!KBJ5)</f>
        <v>#VALUE!</v>
      </c>
      <c r="KBK6" s="68" t="e" cm="1" vm="1">
        <f t="array" ref="KBK6">_xlfn._xlws.FILTER(TablaProductos[Nombre producto],TablaProductos[Agrupación]=ProductosPivot!KBK5)</f>
        <v>#VALUE!</v>
      </c>
      <c r="KBL6" s="68" t="e" cm="1" vm="1">
        <f t="array" ref="KBL6">_xlfn._xlws.FILTER(TablaProductos[Nombre producto],TablaProductos[Agrupación]=ProductosPivot!KBL5)</f>
        <v>#VALUE!</v>
      </c>
      <c r="KBM6" s="68" t="e" cm="1" vm="1">
        <f t="array" ref="KBM6">_xlfn._xlws.FILTER(TablaProductos[Nombre producto],TablaProductos[Agrupación]=ProductosPivot!KBM5)</f>
        <v>#VALUE!</v>
      </c>
      <c r="KBN6" s="68" t="e" cm="1" vm="1">
        <f t="array" ref="KBN6">_xlfn._xlws.FILTER(TablaProductos[Nombre producto],TablaProductos[Agrupación]=ProductosPivot!KBN5)</f>
        <v>#VALUE!</v>
      </c>
      <c r="KBO6" s="68" t="e" cm="1" vm="1">
        <f t="array" ref="KBO6">_xlfn._xlws.FILTER(TablaProductos[Nombre producto],TablaProductos[Agrupación]=ProductosPivot!KBO5)</f>
        <v>#VALUE!</v>
      </c>
      <c r="KBP6" s="68" t="e" cm="1" vm="1">
        <f t="array" ref="KBP6">_xlfn._xlws.FILTER(TablaProductos[Nombre producto],TablaProductos[Agrupación]=ProductosPivot!KBP5)</f>
        <v>#VALUE!</v>
      </c>
      <c r="KBQ6" s="68" t="e" cm="1" vm="1">
        <f t="array" ref="KBQ6">_xlfn._xlws.FILTER(TablaProductos[Nombre producto],TablaProductos[Agrupación]=ProductosPivot!KBQ5)</f>
        <v>#VALUE!</v>
      </c>
      <c r="KBR6" s="68" t="e" cm="1" vm="1">
        <f t="array" ref="KBR6">_xlfn._xlws.FILTER(TablaProductos[Nombre producto],TablaProductos[Agrupación]=ProductosPivot!KBR5)</f>
        <v>#VALUE!</v>
      </c>
      <c r="KBS6" s="68" t="e" cm="1" vm="1">
        <f t="array" ref="KBS6">_xlfn._xlws.FILTER(TablaProductos[Nombre producto],TablaProductos[Agrupación]=ProductosPivot!KBS5)</f>
        <v>#VALUE!</v>
      </c>
      <c r="KBT6" s="68" t="e" cm="1" vm="1">
        <f t="array" ref="KBT6">_xlfn._xlws.FILTER(TablaProductos[Nombre producto],TablaProductos[Agrupación]=ProductosPivot!KBT5)</f>
        <v>#VALUE!</v>
      </c>
      <c r="KBU6" s="68" t="e" cm="1" vm="1">
        <f t="array" ref="KBU6">_xlfn._xlws.FILTER(TablaProductos[Nombre producto],TablaProductos[Agrupación]=ProductosPivot!KBU5)</f>
        <v>#VALUE!</v>
      </c>
      <c r="KBV6" s="68" t="e" cm="1" vm="1">
        <f t="array" ref="KBV6">_xlfn._xlws.FILTER(TablaProductos[Nombre producto],TablaProductos[Agrupación]=ProductosPivot!KBV5)</f>
        <v>#VALUE!</v>
      </c>
      <c r="KBW6" s="68" t="e" cm="1" vm="1">
        <f t="array" ref="KBW6">_xlfn._xlws.FILTER(TablaProductos[Nombre producto],TablaProductos[Agrupación]=ProductosPivot!KBW5)</f>
        <v>#VALUE!</v>
      </c>
      <c r="KBX6" s="68" t="e" cm="1" vm="1">
        <f t="array" ref="KBX6">_xlfn._xlws.FILTER(TablaProductos[Nombre producto],TablaProductos[Agrupación]=ProductosPivot!KBX5)</f>
        <v>#VALUE!</v>
      </c>
      <c r="KBY6" s="68" t="e" cm="1" vm="1">
        <f t="array" ref="KBY6">_xlfn._xlws.FILTER(TablaProductos[Nombre producto],TablaProductos[Agrupación]=ProductosPivot!KBY5)</f>
        <v>#VALUE!</v>
      </c>
      <c r="KBZ6" s="68" t="e" cm="1" vm="1">
        <f t="array" ref="KBZ6">_xlfn._xlws.FILTER(TablaProductos[Nombre producto],TablaProductos[Agrupación]=ProductosPivot!KBZ5)</f>
        <v>#VALUE!</v>
      </c>
      <c r="KCA6" s="68" t="e" cm="1" vm="1">
        <f t="array" ref="KCA6">_xlfn._xlws.FILTER(TablaProductos[Nombre producto],TablaProductos[Agrupación]=ProductosPivot!KCA5)</f>
        <v>#VALUE!</v>
      </c>
      <c r="KCB6" s="68" t="e" cm="1" vm="1">
        <f t="array" ref="KCB6">_xlfn._xlws.FILTER(TablaProductos[Nombre producto],TablaProductos[Agrupación]=ProductosPivot!KCB5)</f>
        <v>#VALUE!</v>
      </c>
      <c r="KCC6" s="68" t="e" cm="1" vm="1">
        <f t="array" ref="KCC6">_xlfn._xlws.FILTER(TablaProductos[Nombre producto],TablaProductos[Agrupación]=ProductosPivot!KCC5)</f>
        <v>#VALUE!</v>
      </c>
      <c r="KCD6" s="68" t="e" cm="1" vm="1">
        <f t="array" ref="KCD6">_xlfn._xlws.FILTER(TablaProductos[Nombre producto],TablaProductos[Agrupación]=ProductosPivot!KCD5)</f>
        <v>#VALUE!</v>
      </c>
      <c r="KCE6" s="68" t="e" cm="1" vm="1">
        <f t="array" ref="KCE6">_xlfn._xlws.FILTER(TablaProductos[Nombre producto],TablaProductos[Agrupación]=ProductosPivot!KCE5)</f>
        <v>#VALUE!</v>
      </c>
      <c r="KCF6" s="68" t="e" cm="1" vm="1">
        <f t="array" ref="KCF6">_xlfn._xlws.FILTER(TablaProductos[Nombre producto],TablaProductos[Agrupación]=ProductosPivot!KCF5)</f>
        <v>#VALUE!</v>
      </c>
      <c r="KCG6" s="68" t="e" cm="1" vm="1">
        <f t="array" ref="KCG6">_xlfn._xlws.FILTER(TablaProductos[Nombre producto],TablaProductos[Agrupación]=ProductosPivot!KCG5)</f>
        <v>#VALUE!</v>
      </c>
      <c r="KCH6" s="68" t="e" cm="1" vm="1">
        <f t="array" ref="KCH6">_xlfn._xlws.FILTER(TablaProductos[Nombre producto],TablaProductos[Agrupación]=ProductosPivot!KCH5)</f>
        <v>#VALUE!</v>
      </c>
      <c r="KCI6" s="68" t="e" cm="1" vm="1">
        <f t="array" ref="KCI6">_xlfn._xlws.FILTER(TablaProductos[Nombre producto],TablaProductos[Agrupación]=ProductosPivot!KCI5)</f>
        <v>#VALUE!</v>
      </c>
      <c r="KCJ6" s="68" t="e" cm="1" vm="1">
        <f t="array" ref="KCJ6">_xlfn._xlws.FILTER(TablaProductos[Nombre producto],TablaProductos[Agrupación]=ProductosPivot!KCJ5)</f>
        <v>#VALUE!</v>
      </c>
      <c r="KCK6" s="68" t="e" cm="1" vm="1">
        <f t="array" ref="KCK6">_xlfn._xlws.FILTER(TablaProductos[Nombre producto],TablaProductos[Agrupación]=ProductosPivot!KCK5)</f>
        <v>#VALUE!</v>
      </c>
      <c r="KCL6" s="68" t="e" cm="1" vm="1">
        <f t="array" ref="KCL6">_xlfn._xlws.FILTER(TablaProductos[Nombre producto],TablaProductos[Agrupación]=ProductosPivot!KCL5)</f>
        <v>#VALUE!</v>
      </c>
      <c r="KCM6" s="68" t="e" cm="1" vm="1">
        <f t="array" ref="KCM6">_xlfn._xlws.FILTER(TablaProductos[Nombre producto],TablaProductos[Agrupación]=ProductosPivot!KCM5)</f>
        <v>#VALUE!</v>
      </c>
      <c r="KCN6" s="68" t="e" cm="1" vm="1">
        <f t="array" ref="KCN6">_xlfn._xlws.FILTER(TablaProductos[Nombre producto],TablaProductos[Agrupación]=ProductosPivot!KCN5)</f>
        <v>#VALUE!</v>
      </c>
      <c r="KCO6" s="68" t="e" cm="1" vm="1">
        <f t="array" ref="KCO6">_xlfn._xlws.FILTER(TablaProductos[Nombre producto],TablaProductos[Agrupación]=ProductosPivot!KCO5)</f>
        <v>#VALUE!</v>
      </c>
      <c r="KCP6" s="68" t="e" cm="1" vm="1">
        <f t="array" ref="KCP6">_xlfn._xlws.FILTER(TablaProductos[Nombre producto],TablaProductos[Agrupación]=ProductosPivot!KCP5)</f>
        <v>#VALUE!</v>
      </c>
      <c r="KCQ6" s="68" t="e" cm="1" vm="1">
        <f t="array" ref="KCQ6">_xlfn._xlws.FILTER(TablaProductos[Nombre producto],TablaProductos[Agrupación]=ProductosPivot!KCQ5)</f>
        <v>#VALUE!</v>
      </c>
      <c r="KCR6" s="68" t="e" cm="1" vm="1">
        <f t="array" ref="KCR6">_xlfn._xlws.FILTER(TablaProductos[Nombre producto],TablaProductos[Agrupación]=ProductosPivot!KCR5)</f>
        <v>#VALUE!</v>
      </c>
      <c r="KCS6" s="68" t="e" cm="1" vm="1">
        <f t="array" ref="KCS6">_xlfn._xlws.FILTER(TablaProductos[Nombre producto],TablaProductos[Agrupación]=ProductosPivot!KCS5)</f>
        <v>#VALUE!</v>
      </c>
      <c r="KCT6" s="68" t="e" cm="1" vm="1">
        <f t="array" ref="KCT6">_xlfn._xlws.FILTER(TablaProductos[Nombre producto],TablaProductos[Agrupación]=ProductosPivot!KCT5)</f>
        <v>#VALUE!</v>
      </c>
      <c r="KCU6" s="68" t="e" cm="1" vm="1">
        <f t="array" ref="KCU6">_xlfn._xlws.FILTER(TablaProductos[Nombre producto],TablaProductos[Agrupación]=ProductosPivot!KCU5)</f>
        <v>#VALUE!</v>
      </c>
      <c r="KCV6" s="68" t="e" cm="1" vm="1">
        <f t="array" ref="KCV6">_xlfn._xlws.FILTER(TablaProductos[Nombre producto],TablaProductos[Agrupación]=ProductosPivot!KCV5)</f>
        <v>#VALUE!</v>
      </c>
      <c r="KCW6" s="68" t="e" cm="1" vm="1">
        <f t="array" ref="KCW6">_xlfn._xlws.FILTER(TablaProductos[Nombre producto],TablaProductos[Agrupación]=ProductosPivot!KCW5)</f>
        <v>#VALUE!</v>
      </c>
      <c r="KCX6" s="68" t="e" cm="1" vm="1">
        <f t="array" ref="KCX6">_xlfn._xlws.FILTER(TablaProductos[Nombre producto],TablaProductos[Agrupación]=ProductosPivot!KCX5)</f>
        <v>#VALUE!</v>
      </c>
      <c r="KCY6" s="68" t="e" cm="1" vm="1">
        <f t="array" ref="KCY6">_xlfn._xlws.FILTER(TablaProductos[Nombre producto],TablaProductos[Agrupación]=ProductosPivot!KCY5)</f>
        <v>#VALUE!</v>
      </c>
      <c r="KCZ6" s="68" t="e" cm="1" vm="1">
        <f t="array" ref="KCZ6">_xlfn._xlws.FILTER(TablaProductos[Nombre producto],TablaProductos[Agrupación]=ProductosPivot!KCZ5)</f>
        <v>#VALUE!</v>
      </c>
      <c r="KDA6" s="68" t="e" cm="1" vm="1">
        <f t="array" ref="KDA6">_xlfn._xlws.FILTER(TablaProductos[Nombre producto],TablaProductos[Agrupación]=ProductosPivot!KDA5)</f>
        <v>#VALUE!</v>
      </c>
      <c r="KDB6" s="68" t="e" cm="1" vm="1">
        <f t="array" ref="KDB6">_xlfn._xlws.FILTER(TablaProductos[Nombre producto],TablaProductos[Agrupación]=ProductosPivot!KDB5)</f>
        <v>#VALUE!</v>
      </c>
      <c r="KDC6" s="68" t="e" cm="1" vm="1">
        <f t="array" ref="KDC6">_xlfn._xlws.FILTER(TablaProductos[Nombre producto],TablaProductos[Agrupación]=ProductosPivot!KDC5)</f>
        <v>#VALUE!</v>
      </c>
      <c r="KDD6" s="68" t="e" cm="1" vm="1">
        <f t="array" ref="KDD6">_xlfn._xlws.FILTER(TablaProductos[Nombre producto],TablaProductos[Agrupación]=ProductosPivot!KDD5)</f>
        <v>#VALUE!</v>
      </c>
      <c r="KDE6" s="68" t="e" cm="1" vm="1">
        <f t="array" ref="KDE6">_xlfn._xlws.FILTER(TablaProductos[Nombre producto],TablaProductos[Agrupación]=ProductosPivot!KDE5)</f>
        <v>#VALUE!</v>
      </c>
      <c r="KDF6" s="68" t="e" cm="1" vm="1">
        <f t="array" ref="KDF6">_xlfn._xlws.FILTER(TablaProductos[Nombre producto],TablaProductos[Agrupación]=ProductosPivot!KDF5)</f>
        <v>#VALUE!</v>
      </c>
      <c r="KDG6" s="68" t="e" cm="1" vm="1">
        <f t="array" ref="KDG6">_xlfn._xlws.FILTER(TablaProductos[Nombre producto],TablaProductos[Agrupación]=ProductosPivot!KDG5)</f>
        <v>#VALUE!</v>
      </c>
      <c r="KDH6" s="68" t="e" cm="1" vm="1">
        <f t="array" ref="KDH6">_xlfn._xlws.FILTER(TablaProductos[Nombre producto],TablaProductos[Agrupación]=ProductosPivot!KDH5)</f>
        <v>#VALUE!</v>
      </c>
      <c r="KDI6" s="68" t="e" cm="1" vm="1">
        <f t="array" ref="KDI6">_xlfn._xlws.FILTER(TablaProductos[Nombre producto],TablaProductos[Agrupación]=ProductosPivot!KDI5)</f>
        <v>#VALUE!</v>
      </c>
      <c r="KDJ6" s="68" t="e" cm="1" vm="1">
        <f t="array" ref="KDJ6">_xlfn._xlws.FILTER(TablaProductos[Nombre producto],TablaProductos[Agrupación]=ProductosPivot!KDJ5)</f>
        <v>#VALUE!</v>
      </c>
      <c r="KDK6" s="68" t="e" cm="1" vm="1">
        <f t="array" ref="KDK6">_xlfn._xlws.FILTER(TablaProductos[Nombre producto],TablaProductos[Agrupación]=ProductosPivot!KDK5)</f>
        <v>#VALUE!</v>
      </c>
      <c r="KDL6" s="68" t="e" cm="1" vm="1">
        <f t="array" ref="KDL6">_xlfn._xlws.FILTER(TablaProductos[Nombre producto],TablaProductos[Agrupación]=ProductosPivot!KDL5)</f>
        <v>#VALUE!</v>
      </c>
      <c r="KDM6" s="68" t="e" cm="1" vm="1">
        <f t="array" ref="KDM6">_xlfn._xlws.FILTER(TablaProductos[Nombre producto],TablaProductos[Agrupación]=ProductosPivot!KDM5)</f>
        <v>#VALUE!</v>
      </c>
      <c r="KDN6" s="68" t="e" cm="1" vm="1">
        <f t="array" ref="KDN6">_xlfn._xlws.FILTER(TablaProductos[Nombre producto],TablaProductos[Agrupación]=ProductosPivot!KDN5)</f>
        <v>#VALUE!</v>
      </c>
      <c r="KDO6" s="68" t="e" cm="1" vm="1">
        <f t="array" ref="KDO6">_xlfn._xlws.FILTER(TablaProductos[Nombre producto],TablaProductos[Agrupación]=ProductosPivot!KDO5)</f>
        <v>#VALUE!</v>
      </c>
      <c r="KDP6" s="68" t="e" cm="1" vm="1">
        <f t="array" ref="KDP6">_xlfn._xlws.FILTER(TablaProductos[Nombre producto],TablaProductos[Agrupación]=ProductosPivot!KDP5)</f>
        <v>#VALUE!</v>
      </c>
      <c r="KDQ6" s="68" t="e" cm="1" vm="1">
        <f t="array" ref="KDQ6">_xlfn._xlws.FILTER(TablaProductos[Nombre producto],TablaProductos[Agrupación]=ProductosPivot!KDQ5)</f>
        <v>#VALUE!</v>
      </c>
      <c r="KDR6" s="68" t="e" cm="1" vm="1">
        <f t="array" ref="KDR6">_xlfn._xlws.FILTER(TablaProductos[Nombre producto],TablaProductos[Agrupación]=ProductosPivot!KDR5)</f>
        <v>#VALUE!</v>
      </c>
      <c r="KDS6" s="68" t="e" cm="1" vm="1">
        <f t="array" ref="KDS6">_xlfn._xlws.FILTER(TablaProductos[Nombre producto],TablaProductos[Agrupación]=ProductosPivot!KDS5)</f>
        <v>#VALUE!</v>
      </c>
      <c r="KDT6" s="68" t="e" cm="1" vm="1">
        <f t="array" ref="KDT6">_xlfn._xlws.FILTER(TablaProductos[Nombre producto],TablaProductos[Agrupación]=ProductosPivot!KDT5)</f>
        <v>#VALUE!</v>
      </c>
      <c r="KDU6" s="68" t="e" cm="1" vm="1">
        <f t="array" ref="KDU6">_xlfn._xlws.FILTER(TablaProductos[Nombre producto],TablaProductos[Agrupación]=ProductosPivot!KDU5)</f>
        <v>#VALUE!</v>
      </c>
      <c r="KDV6" s="68" t="e" cm="1" vm="1">
        <f t="array" ref="KDV6">_xlfn._xlws.FILTER(TablaProductos[Nombre producto],TablaProductos[Agrupación]=ProductosPivot!KDV5)</f>
        <v>#VALUE!</v>
      </c>
      <c r="KDW6" s="68" t="e" cm="1" vm="1">
        <f t="array" ref="KDW6">_xlfn._xlws.FILTER(TablaProductos[Nombre producto],TablaProductos[Agrupación]=ProductosPivot!KDW5)</f>
        <v>#VALUE!</v>
      </c>
      <c r="KDX6" s="68" t="e" cm="1" vm="1">
        <f t="array" ref="KDX6">_xlfn._xlws.FILTER(TablaProductos[Nombre producto],TablaProductos[Agrupación]=ProductosPivot!KDX5)</f>
        <v>#VALUE!</v>
      </c>
      <c r="KDY6" s="68" t="e" cm="1" vm="1">
        <f t="array" ref="KDY6">_xlfn._xlws.FILTER(TablaProductos[Nombre producto],TablaProductos[Agrupación]=ProductosPivot!KDY5)</f>
        <v>#VALUE!</v>
      </c>
      <c r="KDZ6" s="68" t="e" cm="1" vm="1">
        <f t="array" ref="KDZ6">_xlfn._xlws.FILTER(TablaProductos[Nombre producto],TablaProductos[Agrupación]=ProductosPivot!KDZ5)</f>
        <v>#VALUE!</v>
      </c>
      <c r="KEA6" s="68" t="e" cm="1" vm="1">
        <f t="array" ref="KEA6">_xlfn._xlws.FILTER(TablaProductos[Nombre producto],TablaProductos[Agrupación]=ProductosPivot!KEA5)</f>
        <v>#VALUE!</v>
      </c>
      <c r="KEB6" s="68" t="e" cm="1" vm="1">
        <f t="array" ref="KEB6">_xlfn._xlws.FILTER(TablaProductos[Nombre producto],TablaProductos[Agrupación]=ProductosPivot!KEB5)</f>
        <v>#VALUE!</v>
      </c>
      <c r="KEC6" s="68" t="e" cm="1" vm="1">
        <f t="array" ref="KEC6">_xlfn._xlws.FILTER(TablaProductos[Nombre producto],TablaProductos[Agrupación]=ProductosPivot!KEC5)</f>
        <v>#VALUE!</v>
      </c>
      <c r="KED6" s="68" t="e" cm="1" vm="1">
        <f t="array" ref="KED6">_xlfn._xlws.FILTER(TablaProductos[Nombre producto],TablaProductos[Agrupación]=ProductosPivot!KED5)</f>
        <v>#VALUE!</v>
      </c>
      <c r="KEE6" s="68" t="e" cm="1" vm="1">
        <f t="array" ref="KEE6">_xlfn._xlws.FILTER(TablaProductos[Nombre producto],TablaProductos[Agrupación]=ProductosPivot!KEE5)</f>
        <v>#VALUE!</v>
      </c>
      <c r="KEF6" s="68" t="e" cm="1" vm="1">
        <f t="array" ref="KEF6">_xlfn._xlws.FILTER(TablaProductos[Nombre producto],TablaProductos[Agrupación]=ProductosPivot!KEF5)</f>
        <v>#VALUE!</v>
      </c>
      <c r="KEG6" s="68" t="e" cm="1" vm="1">
        <f t="array" ref="KEG6">_xlfn._xlws.FILTER(TablaProductos[Nombre producto],TablaProductos[Agrupación]=ProductosPivot!KEG5)</f>
        <v>#VALUE!</v>
      </c>
      <c r="KEH6" s="68" t="e" cm="1" vm="1">
        <f t="array" ref="KEH6">_xlfn._xlws.FILTER(TablaProductos[Nombre producto],TablaProductos[Agrupación]=ProductosPivot!KEH5)</f>
        <v>#VALUE!</v>
      </c>
      <c r="KEI6" s="68" t="e" cm="1" vm="1">
        <f t="array" ref="KEI6">_xlfn._xlws.FILTER(TablaProductos[Nombre producto],TablaProductos[Agrupación]=ProductosPivot!KEI5)</f>
        <v>#VALUE!</v>
      </c>
      <c r="KEJ6" s="68" t="e" cm="1" vm="1">
        <f t="array" ref="KEJ6">_xlfn._xlws.FILTER(TablaProductos[Nombre producto],TablaProductos[Agrupación]=ProductosPivot!KEJ5)</f>
        <v>#VALUE!</v>
      </c>
      <c r="KEK6" s="68" t="e" cm="1" vm="1">
        <f t="array" ref="KEK6">_xlfn._xlws.FILTER(TablaProductos[Nombre producto],TablaProductos[Agrupación]=ProductosPivot!KEK5)</f>
        <v>#VALUE!</v>
      </c>
      <c r="KEL6" s="68" t="e" cm="1" vm="1">
        <f t="array" ref="KEL6">_xlfn._xlws.FILTER(TablaProductos[Nombre producto],TablaProductos[Agrupación]=ProductosPivot!KEL5)</f>
        <v>#VALUE!</v>
      </c>
      <c r="KEM6" s="68" t="e" cm="1" vm="1">
        <f t="array" ref="KEM6">_xlfn._xlws.FILTER(TablaProductos[Nombre producto],TablaProductos[Agrupación]=ProductosPivot!KEM5)</f>
        <v>#VALUE!</v>
      </c>
      <c r="KEN6" s="68" t="e" cm="1" vm="1">
        <f t="array" ref="KEN6">_xlfn._xlws.FILTER(TablaProductos[Nombre producto],TablaProductos[Agrupación]=ProductosPivot!KEN5)</f>
        <v>#VALUE!</v>
      </c>
      <c r="KEO6" s="68" t="e" cm="1" vm="1">
        <f t="array" ref="KEO6">_xlfn._xlws.FILTER(TablaProductos[Nombre producto],TablaProductos[Agrupación]=ProductosPivot!KEO5)</f>
        <v>#VALUE!</v>
      </c>
      <c r="KEP6" s="68" t="e" cm="1" vm="1">
        <f t="array" ref="KEP6">_xlfn._xlws.FILTER(TablaProductos[Nombre producto],TablaProductos[Agrupación]=ProductosPivot!KEP5)</f>
        <v>#VALUE!</v>
      </c>
      <c r="KEQ6" s="68" t="e" cm="1" vm="1">
        <f t="array" ref="KEQ6">_xlfn._xlws.FILTER(TablaProductos[Nombre producto],TablaProductos[Agrupación]=ProductosPivot!KEQ5)</f>
        <v>#VALUE!</v>
      </c>
      <c r="KER6" s="68" t="e" cm="1" vm="1">
        <f t="array" ref="KER6">_xlfn._xlws.FILTER(TablaProductos[Nombre producto],TablaProductos[Agrupación]=ProductosPivot!KER5)</f>
        <v>#VALUE!</v>
      </c>
      <c r="KES6" s="68" t="e" cm="1" vm="1">
        <f t="array" ref="KES6">_xlfn._xlws.FILTER(TablaProductos[Nombre producto],TablaProductos[Agrupación]=ProductosPivot!KES5)</f>
        <v>#VALUE!</v>
      </c>
      <c r="KET6" s="68" t="e" cm="1" vm="1">
        <f t="array" ref="KET6">_xlfn._xlws.FILTER(TablaProductos[Nombre producto],TablaProductos[Agrupación]=ProductosPivot!KET5)</f>
        <v>#VALUE!</v>
      </c>
      <c r="KEU6" s="68" t="e" cm="1" vm="1">
        <f t="array" ref="KEU6">_xlfn._xlws.FILTER(TablaProductos[Nombre producto],TablaProductos[Agrupación]=ProductosPivot!KEU5)</f>
        <v>#VALUE!</v>
      </c>
      <c r="KEV6" s="68" t="e" cm="1" vm="1">
        <f t="array" ref="KEV6">_xlfn._xlws.FILTER(TablaProductos[Nombre producto],TablaProductos[Agrupación]=ProductosPivot!KEV5)</f>
        <v>#VALUE!</v>
      </c>
      <c r="KEW6" s="68" t="e" cm="1" vm="1">
        <f t="array" ref="KEW6">_xlfn._xlws.FILTER(TablaProductos[Nombre producto],TablaProductos[Agrupación]=ProductosPivot!KEW5)</f>
        <v>#VALUE!</v>
      </c>
      <c r="KEX6" s="68" t="e" cm="1" vm="1">
        <f t="array" ref="KEX6">_xlfn._xlws.FILTER(TablaProductos[Nombre producto],TablaProductos[Agrupación]=ProductosPivot!KEX5)</f>
        <v>#VALUE!</v>
      </c>
      <c r="KEY6" s="68" t="e" cm="1" vm="1">
        <f t="array" ref="KEY6">_xlfn._xlws.FILTER(TablaProductos[Nombre producto],TablaProductos[Agrupación]=ProductosPivot!KEY5)</f>
        <v>#VALUE!</v>
      </c>
      <c r="KEZ6" s="68" t="e" cm="1" vm="1">
        <f t="array" ref="KEZ6">_xlfn._xlws.FILTER(TablaProductos[Nombre producto],TablaProductos[Agrupación]=ProductosPivot!KEZ5)</f>
        <v>#VALUE!</v>
      </c>
      <c r="KFA6" s="68" t="e" cm="1" vm="1">
        <f t="array" ref="KFA6">_xlfn._xlws.FILTER(TablaProductos[Nombre producto],TablaProductos[Agrupación]=ProductosPivot!KFA5)</f>
        <v>#VALUE!</v>
      </c>
      <c r="KFB6" s="68" t="e" cm="1" vm="1">
        <f t="array" ref="KFB6">_xlfn._xlws.FILTER(TablaProductos[Nombre producto],TablaProductos[Agrupación]=ProductosPivot!KFB5)</f>
        <v>#VALUE!</v>
      </c>
      <c r="KFC6" s="68" t="e" cm="1" vm="1">
        <f t="array" ref="KFC6">_xlfn._xlws.FILTER(TablaProductos[Nombre producto],TablaProductos[Agrupación]=ProductosPivot!KFC5)</f>
        <v>#VALUE!</v>
      </c>
      <c r="KFD6" s="68" t="e" cm="1" vm="1">
        <f t="array" ref="KFD6">_xlfn._xlws.FILTER(TablaProductos[Nombre producto],TablaProductos[Agrupación]=ProductosPivot!KFD5)</f>
        <v>#VALUE!</v>
      </c>
      <c r="KFE6" s="68" t="e" cm="1" vm="1">
        <f t="array" ref="KFE6">_xlfn._xlws.FILTER(TablaProductos[Nombre producto],TablaProductos[Agrupación]=ProductosPivot!KFE5)</f>
        <v>#VALUE!</v>
      </c>
      <c r="KFF6" s="68" t="e" cm="1" vm="1">
        <f t="array" ref="KFF6">_xlfn._xlws.FILTER(TablaProductos[Nombre producto],TablaProductos[Agrupación]=ProductosPivot!KFF5)</f>
        <v>#VALUE!</v>
      </c>
      <c r="KFG6" s="68" t="e" cm="1" vm="1">
        <f t="array" ref="KFG6">_xlfn._xlws.FILTER(TablaProductos[Nombre producto],TablaProductos[Agrupación]=ProductosPivot!KFG5)</f>
        <v>#VALUE!</v>
      </c>
      <c r="KFH6" s="68" t="e" cm="1" vm="1">
        <f t="array" ref="KFH6">_xlfn._xlws.FILTER(TablaProductos[Nombre producto],TablaProductos[Agrupación]=ProductosPivot!KFH5)</f>
        <v>#VALUE!</v>
      </c>
      <c r="KFI6" s="68" t="e" cm="1" vm="1">
        <f t="array" ref="KFI6">_xlfn._xlws.FILTER(TablaProductos[Nombre producto],TablaProductos[Agrupación]=ProductosPivot!KFI5)</f>
        <v>#VALUE!</v>
      </c>
      <c r="KFJ6" s="68" t="e" cm="1" vm="1">
        <f t="array" ref="KFJ6">_xlfn._xlws.FILTER(TablaProductos[Nombre producto],TablaProductos[Agrupación]=ProductosPivot!KFJ5)</f>
        <v>#VALUE!</v>
      </c>
      <c r="KFK6" s="68" t="e" cm="1" vm="1">
        <f t="array" ref="KFK6">_xlfn._xlws.FILTER(TablaProductos[Nombre producto],TablaProductos[Agrupación]=ProductosPivot!KFK5)</f>
        <v>#VALUE!</v>
      </c>
      <c r="KFL6" s="68" t="e" cm="1" vm="1">
        <f t="array" ref="KFL6">_xlfn._xlws.FILTER(TablaProductos[Nombre producto],TablaProductos[Agrupación]=ProductosPivot!KFL5)</f>
        <v>#VALUE!</v>
      </c>
      <c r="KFM6" s="68" t="e" cm="1" vm="1">
        <f t="array" ref="KFM6">_xlfn._xlws.FILTER(TablaProductos[Nombre producto],TablaProductos[Agrupación]=ProductosPivot!KFM5)</f>
        <v>#VALUE!</v>
      </c>
      <c r="KFN6" s="68" t="e" cm="1" vm="1">
        <f t="array" ref="KFN6">_xlfn._xlws.FILTER(TablaProductos[Nombre producto],TablaProductos[Agrupación]=ProductosPivot!KFN5)</f>
        <v>#VALUE!</v>
      </c>
      <c r="KFO6" s="68" t="e" cm="1" vm="1">
        <f t="array" ref="KFO6">_xlfn._xlws.FILTER(TablaProductos[Nombre producto],TablaProductos[Agrupación]=ProductosPivot!KFO5)</f>
        <v>#VALUE!</v>
      </c>
      <c r="KFP6" s="68" t="e" cm="1" vm="1">
        <f t="array" ref="KFP6">_xlfn._xlws.FILTER(TablaProductos[Nombre producto],TablaProductos[Agrupación]=ProductosPivot!KFP5)</f>
        <v>#VALUE!</v>
      </c>
      <c r="KFQ6" s="68" t="e" cm="1" vm="1">
        <f t="array" ref="KFQ6">_xlfn._xlws.FILTER(TablaProductos[Nombre producto],TablaProductos[Agrupación]=ProductosPivot!KFQ5)</f>
        <v>#VALUE!</v>
      </c>
      <c r="KFR6" s="68" t="e" cm="1" vm="1">
        <f t="array" ref="KFR6">_xlfn._xlws.FILTER(TablaProductos[Nombre producto],TablaProductos[Agrupación]=ProductosPivot!KFR5)</f>
        <v>#VALUE!</v>
      </c>
      <c r="KFS6" s="68" t="e" cm="1" vm="1">
        <f t="array" ref="KFS6">_xlfn._xlws.FILTER(TablaProductos[Nombre producto],TablaProductos[Agrupación]=ProductosPivot!KFS5)</f>
        <v>#VALUE!</v>
      </c>
      <c r="KFT6" s="68" t="e" cm="1" vm="1">
        <f t="array" ref="KFT6">_xlfn._xlws.FILTER(TablaProductos[Nombre producto],TablaProductos[Agrupación]=ProductosPivot!KFT5)</f>
        <v>#VALUE!</v>
      </c>
      <c r="KFU6" s="68" t="e" cm="1" vm="1">
        <f t="array" ref="KFU6">_xlfn._xlws.FILTER(TablaProductos[Nombre producto],TablaProductos[Agrupación]=ProductosPivot!KFU5)</f>
        <v>#VALUE!</v>
      </c>
      <c r="KFV6" s="68" t="e" cm="1" vm="1">
        <f t="array" ref="KFV6">_xlfn._xlws.FILTER(TablaProductos[Nombre producto],TablaProductos[Agrupación]=ProductosPivot!KFV5)</f>
        <v>#VALUE!</v>
      </c>
      <c r="KFW6" s="68" t="e" cm="1" vm="1">
        <f t="array" ref="KFW6">_xlfn._xlws.FILTER(TablaProductos[Nombre producto],TablaProductos[Agrupación]=ProductosPivot!KFW5)</f>
        <v>#VALUE!</v>
      </c>
      <c r="KFX6" s="68" t="e" cm="1" vm="1">
        <f t="array" ref="KFX6">_xlfn._xlws.FILTER(TablaProductos[Nombre producto],TablaProductos[Agrupación]=ProductosPivot!KFX5)</f>
        <v>#VALUE!</v>
      </c>
      <c r="KFY6" s="68" t="e" cm="1" vm="1">
        <f t="array" ref="KFY6">_xlfn._xlws.FILTER(TablaProductos[Nombre producto],TablaProductos[Agrupación]=ProductosPivot!KFY5)</f>
        <v>#VALUE!</v>
      </c>
      <c r="KFZ6" s="68" t="e" cm="1" vm="1">
        <f t="array" ref="KFZ6">_xlfn._xlws.FILTER(TablaProductos[Nombre producto],TablaProductos[Agrupación]=ProductosPivot!KFZ5)</f>
        <v>#VALUE!</v>
      </c>
      <c r="KGA6" s="68" t="e" cm="1" vm="1">
        <f t="array" ref="KGA6">_xlfn._xlws.FILTER(TablaProductos[Nombre producto],TablaProductos[Agrupación]=ProductosPivot!KGA5)</f>
        <v>#VALUE!</v>
      </c>
      <c r="KGB6" s="68" t="e" cm="1" vm="1">
        <f t="array" ref="KGB6">_xlfn._xlws.FILTER(TablaProductos[Nombre producto],TablaProductos[Agrupación]=ProductosPivot!KGB5)</f>
        <v>#VALUE!</v>
      </c>
      <c r="KGC6" s="68" t="e" cm="1" vm="1">
        <f t="array" ref="KGC6">_xlfn._xlws.FILTER(TablaProductos[Nombre producto],TablaProductos[Agrupación]=ProductosPivot!KGC5)</f>
        <v>#VALUE!</v>
      </c>
      <c r="KGD6" s="68" t="e" cm="1" vm="1">
        <f t="array" ref="KGD6">_xlfn._xlws.FILTER(TablaProductos[Nombre producto],TablaProductos[Agrupación]=ProductosPivot!KGD5)</f>
        <v>#VALUE!</v>
      </c>
      <c r="KGE6" s="68" t="e" cm="1" vm="1">
        <f t="array" ref="KGE6">_xlfn._xlws.FILTER(TablaProductos[Nombre producto],TablaProductos[Agrupación]=ProductosPivot!KGE5)</f>
        <v>#VALUE!</v>
      </c>
      <c r="KGF6" s="68" t="e" cm="1" vm="1">
        <f t="array" ref="KGF6">_xlfn._xlws.FILTER(TablaProductos[Nombre producto],TablaProductos[Agrupación]=ProductosPivot!KGF5)</f>
        <v>#VALUE!</v>
      </c>
      <c r="KGG6" s="68" t="e" cm="1" vm="1">
        <f t="array" ref="KGG6">_xlfn._xlws.FILTER(TablaProductos[Nombre producto],TablaProductos[Agrupación]=ProductosPivot!KGG5)</f>
        <v>#VALUE!</v>
      </c>
      <c r="KGH6" s="68" t="e" cm="1" vm="1">
        <f t="array" ref="KGH6">_xlfn._xlws.FILTER(TablaProductos[Nombre producto],TablaProductos[Agrupación]=ProductosPivot!KGH5)</f>
        <v>#VALUE!</v>
      </c>
      <c r="KGI6" s="68" t="e" cm="1" vm="1">
        <f t="array" ref="KGI6">_xlfn._xlws.FILTER(TablaProductos[Nombre producto],TablaProductos[Agrupación]=ProductosPivot!KGI5)</f>
        <v>#VALUE!</v>
      </c>
      <c r="KGJ6" s="68" t="e" cm="1" vm="1">
        <f t="array" ref="KGJ6">_xlfn._xlws.FILTER(TablaProductos[Nombre producto],TablaProductos[Agrupación]=ProductosPivot!KGJ5)</f>
        <v>#VALUE!</v>
      </c>
      <c r="KGK6" s="68" t="e" cm="1" vm="1">
        <f t="array" ref="KGK6">_xlfn._xlws.FILTER(TablaProductos[Nombre producto],TablaProductos[Agrupación]=ProductosPivot!KGK5)</f>
        <v>#VALUE!</v>
      </c>
      <c r="KGL6" s="68" t="e" cm="1" vm="1">
        <f t="array" ref="KGL6">_xlfn._xlws.FILTER(TablaProductos[Nombre producto],TablaProductos[Agrupación]=ProductosPivot!KGL5)</f>
        <v>#VALUE!</v>
      </c>
      <c r="KGM6" s="68" t="e" cm="1" vm="1">
        <f t="array" ref="KGM6">_xlfn._xlws.FILTER(TablaProductos[Nombre producto],TablaProductos[Agrupación]=ProductosPivot!KGM5)</f>
        <v>#VALUE!</v>
      </c>
      <c r="KGN6" s="68" t="e" cm="1" vm="1">
        <f t="array" ref="KGN6">_xlfn._xlws.FILTER(TablaProductos[Nombre producto],TablaProductos[Agrupación]=ProductosPivot!KGN5)</f>
        <v>#VALUE!</v>
      </c>
      <c r="KGO6" s="68" t="e" cm="1" vm="1">
        <f t="array" ref="KGO6">_xlfn._xlws.FILTER(TablaProductos[Nombre producto],TablaProductos[Agrupación]=ProductosPivot!KGO5)</f>
        <v>#VALUE!</v>
      </c>
      <c r="KGP6" s="68" t="e" cm="1" vm="1">
        <f t="array" ref="KGP6">_xlfn._xlws.FILTER(TablaProductos[Nombre producto],TablaProductos[Agrupación]=ProductosPivot!KGP5)</f>
        <v>#VALUE!</v>
      </c>
      <c r="KGQ6" s="68" t="e" cm="1" vm="1">
        <f t="array" ref="KGQ6">_xlfn._xlws.FILTER(TablaProductos[Nombre producto],TablaProductos[Agrupación]=ProductosPivot!KGQ5)</f>
        <v>#VALUE!</v>
      </c>
      <c r="KGR6" s="68" t="e" cm="1" vm="1">
        <f t="array" ref="KGR6">_xlfn._xlws.FILTER(TablaProductos[Nombre producto],TablaProductos[Agrupación]=ProductosPivot!KGR5)</f>
        <v>#VALUE!</v>
      </c>
      <c r="KGS6" s="68" t="e" cm="1" vm="1">
        <f t="array" ref="KGS6">_xlfn._xlws.FILTER(TablaProductos[Nombre producto],TablaProductos[Agrupación]=ProductosPivot!KGS5)</f>
        <v>#VALUE!</v>
      </c>
      <c r="KGT6" s="68" t="e" cm="1" vm="1">
        <f t="array" ref="KGT6">_xlfn._xlws.FILTER(TablaProductos[Nombre producto],TablaProductos[Agrupación]=ProductosPivot!KGT5)</f>
        <v>#VALUE!</v>
      </c>
      <c r="KGU6" s="68" t="e" cm="1" vm="1">
        <f t="array" ref="KGU6">_xlfn._xlws.FILTER(TablaProductos[Nombre producto],TablaProductos[Agrupación]=ProductosPivot!KGU5)</f>
        <v>#VALUE!</v>
      </c>
      <c r="KGV6" s="68" t="e" cm="1" vm="1">
        <f t="array" ref="KGV6">_xlfn._xlws.FILTER(TablaProductos[Nombre producto],TablaProductos[Agrupación]=ProductosPivot!KGV5)</f>
        <v>#VALUE!</v>
      </c>
      <c r="KGW6" s="68" t="e" cm="1" vm="1">
        <f t="array" ref="KGW6">_xlfn._xlws.FILTER(TablaProductos[Nombre producto],TablaProductos[Agrupación]=ProductosPivot!KGW5)</f>
        <v>#VALUE!</v>
      </c>
      <c r="KGX6" s="68" t="e" cm="1" vm="1">
        <f t="array" ref="KGX6">_xlfn._xlws.FILTER(TablaProductos[Nombre producto],TablaProductos[Agrupación]=ProductosPivot!KGX5)</f>
        <v>#VALUE!</v>
      </c>
      <c r="KGY6" s="68" t="e" cm="1" vm="1">
        <f t="array" ref="KGY6">_xlfn._xlws.FILTER(TablaProductos[Nombre producto],TablaProductos[Agrupación]=ProductosPivot!KGY5)</f>
        <v>#VALUE!</v>
      </c>
      <c r="KGZ6" s="68" t="e" cm="1" vm="1">
        <f t="array" ref="KGZ6">_xlfn._xlws.FILTER(TablaProductos[Nombre producto],TablaProductos[Agrupación]=ProductosPivot!KGZ5)</f>
        <v>#VALUE!</v>
      </c>
      <c r="KHA6" s="68" t="e" cm="1" vm="1">
        <f t="array" ref="KHA6">_xlfn._xlws.FILTER(TablaProductos[Nombre producto],TablaProductos[Agrupación]=ProductosPivot!KHA5)</f>
        <v>#VALUE!</v>
      </c>
      <c r="KHB6" s="68" t="e" cm="1" vm="1">
        <f t="array" ref="KHB6">_xlfn._xlws.FILTER(TablaProductos[Nombre producto],TablaProductos[Agrupación]=ProductosPivot!KHB5)</f>
        <v>#VALUE!</v>
      </c>
      <c r="KHC6" s="68" t="e" cm="1" vm="1">
        <f t="array" ref="KHC6">_xlfn._xlws.FILTER(TablaProductos[Nombre producto],TablaProductos[Agrupación]=ProductosPivot!KHC5)</f>
        <v>#VALUE!</v>
      </c>
      <c r="KHD6" s="68" t="e" cm="1" vm="1">
        <f t="array" ref="KHD6">_xlfn._xlws.FILTER(TablaProductos[Nombre producto],TablaProductos[Agrupación]=ProductosPivot!KHD5)</f>
        <v>#VALUE!</v>
      </c>
      <c r="KHE6" s="68" t="e" cm="1" vm="1">
        <f t="array" ref="KHE6">_xlfn._xlws.FILTER(TablaProductos[Nombre producto],TablaProductos[Agrupación]=ProductosPivot!KHE5)</f>
        <v>#VALUE!</v>
      </c>
      <c r="KHF6" s="68" t="e" cm="1" vm="1">
        <f t="array" ref="KHF6">_xlfn._xlws.FILTER(TablaProductos[Nombre producto],TablaProductos[Agrupación]=ProductosPivot!KHF5)</f>
        <v>#VALUE!</v>
      </c>
      <c r="KHG6" s="68" t="e" cm="1" vm="1">
        <f t="array" ref="KHG6">_xlfn._xlws.FILTER(TablaProductos[Nombre producto],TablaProductos[Agrupación]=ProductosPivot!KHG5)</f>
        <v>#VALUE!</v>
      </c>
      <c r="KHH6" s="68" t="e" cm="1" vm="1">
        <f t="array" ref="KHH6">_xlfn._xlws.FILTER(TablaProductos[Nombre producto],TablaProductos[Agrupación]=ProductosPivot!KHH5)</f>
        <v>#VALUE!</v>
      </c>
      <c r="KHI6" s="68" t="e" cm="1" vm="1">
        <f t="array" ref="KHI6">_xlfn._xlws.FILTER(TablaProductos[Nombre producto],TablaProductos[Agrupación]=ProductosPivot!KHI5)</f>
        <v>#VALUE!</v>
      </c>
      <c r="KHJ6" s="68" t="e" cm="1" vm="1">
        <f t="array" ref="KHJ6">_xlfn._xlws.FILTER(TablaProductos[Nombre producto],TablaProductos[Agrupación]=ProductosPivot!KHJ5)</f>
        <v>#VALUE!</v>
      </c>
      <c r="KHK6" s="68" t="e" cm="1" vm="1">
        <f t="array" ref="KHK6">_xlfn._xlws.FILTER(TablaProductos[Nombre producto],TablaProductos[Agrupación]=ProductosPivot!KHK5)</f>
        <v>#VALUE!</v>
      </c>
      <c r="KHL6" s="68" t="e" cm="1" vm="1">
        <f t="array" ref="KHL6">_xlfn._xlws.FILTER(TablaProductos[Nombre producto],TablaProductos[Agrupación]=ProductosPivot!KHL5)</f>
        <v>#VALUE!</v>
      </c>
      <c r="KHM6" s="68" t="e" cm="1" vm="1">
        <f t="array" ref="KHM6">_xlfn._xlws.FILTER(TablaProductos[Nombre producto],TablaProductos[Agrupación]=ProductosPivot!KHM5)</f>
        <v>#VALUE!</v>
      </c>
      <c r="KHN6" s="68" t="e" cm="1" vm="1">
        <f t="array" ref="KHN6">_xlfn._xlws.FILTER(TablaProductos[Nombre producto],TablaProductos[Agrupación]=ProductosPivot!KHN5)</f>
        <v>#VALUE!</v>
      </c>
      <c r="KHO6" s="68" t="e" cm="1" vm="1">
        <f t="array" ref="KHO6">_xlfn._xlws.FILTER(TablaProductos[Nombre producto],TablaProductos[Agrupación]=ProductosPivot!KHO5)</f>
        <v>#VALUE!</v>
      </c>
      <c r="KHP6" s="68" t="e" cm="1" vm="1">
        <f t="array" ref="KHP6">_xlfn._xlws.FILTER(TablaProductos[Nombre producto],TablaProductos[Agrupación]=ProductosPivot!KHP5)</f>
        <v>#VALUE!</v>
      </c>
      <c r="KHQ6" s="68" t="e" cm="1" vm="1">
        <f t="array" ref="KHQ6">_xlfn._xlws.FILTER(TablaProductos[Nombre producto],TablaProductos[Agrupación]=ProductosPivot!KHQ5)</f>
        <v>#VALUE!</v>
      </c>
      <c r="KHR6" s="68" t="e" cm="1" vm="1">
        <f t="array" ref="KHR6">_xlfn._xlws.FILTER(TablaProductos[Nombre producto],TablaProductos[Agrupación]=ProductosPivot!KHR5)</f>
        <v>#VALUE!</v>
      </c>
      <c r="KHS6" s="68" t="e" cm="1" vm="1">
        <f t="array" ref="KHS6">_xlfn._xlws.FILTER(TablaProductos[Nombre producto],TablaProductos[Agrupación]=ProductosPivot!KHS5)</f>
        <v>#VALUE!</v>
      </c>
      <c r="KHT6" s="68" t="e" cm="1" vm="1">
        <f t="array" ref="KHT6">_xlfn._xlws.FILTER(TablaProductos[Nombre producto],TablaProductos[Agrupación]=ProductosPivot!KHT5)</f>
        <v>#VALUE!</v>
      </c>
      <c r="KHU6" s="68" t="e" cm="1" vm="1">
        <f t="array" ref="KHU6">_xlfn._xlws.FILTER(TablaProductos[Nombre producto],TablaProductos[Agrupación]=ProductosPivot!KHU5)</f>
        <v>#VALUE!</v>
      </c>
      <c r="KHV6" s="68" t="e" cm="1" vm="1">
        <f t="array" ref="KHV6">_xlfn._xlws.FILTER(TablaProductos[Nombre producto],TablaProductos[Agrupación]=ProductosPivot!KHV5)</f>
        <v>#VALUE!</v>
      </c>
      <c r="KHW6" s="68" t="e" cm="1" vm="1">
        <f t="array" ref="KHW6">_xlfn._xlws.FILTER(TablaProductos[Nombre producto],TablaProductos[Agrupación]=ProductosPivot!KHW5)</f>
        <v>#VALUE!</v>
      </c>
      <c r="KHX6" s="68" t="e" cm="1" vm="1">
        <f t="array" ref="KHX6">_xlfn._xlws.FILTER(TablaProductos[Nombre producto],TablaProductos[Agrupación]=ProductosPivot!KHX5)</f>
        <v>#VALUE!</v>
      </c>
      <c r="KHY6" s="68" t="e" cm="1" vm="1">
        <f t="array" ref="KHY6">_xlfn._xlws.FILTER(TablaProductos[Nombre producto],TablaProductos[Agrupación]=ProductosPivot!KHY5)</f>
        <v>#VALUE!</v>
      </c>
      <c r="KHZ6" s="68" t="e" cm="1" vm="1">
        <f t="array" ref="KHZ6">_xlfn._xlws.FILTER(TablaProductos[Nombre producto],TablaProductos[Agrupación]=ProductosPivot!KHZ5)</f>
        <v>#VALUE!</v>
      </c>
      <c r="KIA6" s="68" t="e" cm="1" vm="1">
        <f t="array" ref="KIA6">_xlfn._xlws.FILTER(TablaProductos[Nombre producto],TablaProductos[Agrupación]=ProductosPivot!KIA5)</f>
        <v>#VALUE!</v>
      </c>
      <c r="KIB6" s="68" t="e" cm="1" vm="1">
        <f t="array" ref="KIB6">_xlfn._xlws.FILTER(TablaProductos[Nombre producto],TablaProductos[Agrupación]=ProductosPivot!KIB5)</f>
        <v>#VALUE!</v>
      </c>
      <c r="KIC6" s="68" t="e" cm="1" vm="1">
        <f t="array" ref="KIC6">_xlfn._xlws.FILTER(TablaProductos[Nombre producto],TablaProductos[Agrupación]=ProductosPivot!KIC5)</f>
        <v>#VALUE!</v>
      </c>
      <c r="KID6" s="68" t="e" cm="1" vm="1">
        <f t="array" ref="KID6">_xlfn._xlws.FILTER(TablaProductos[Nombre producto],TablaProductos[Agrupación]=ProductosPivot!KID5)</f>
        <v>#VALUE!</v>
      </c>
      <c r="KIE6" s="68" t="e" cm="1" vm="1">
        <f t="array" ref="KIE6">_xlfn._xlws.FILTER(TablaProductos[Nombre producto],TablaProductos[Agrupación]=ProductosPivot!KIE5)</f>
        <v>#VALUE!</v>
      </c>
      <c r="KIF6" s="68" t="e" cm="1" vm="1">
        <f t="array" ref="KIF6">_xlfn._xlws.FILTER(TablaProductos[Nombre producto],TablaProductos[Agrupación]=ProductosPivot!KIF5)</f>
        <v>#VALUE!</v>
      </c>
      <c r="KIG6" s="68" t="e" cm="1" vm="1">
        <f t="array" ref="KIG6">_xlfn._xlws.FILTER(TablaProductos[Nombre producto],TablaProductos[Agrupación]=ProductosPivot!KIG5)</f>
        <v>#VALUE!</v>
      </c>
      <c r="KIH6" s="68" t="e" cm="1" vm="1">
        <f t="array" ref="KIH6">_xlfn._xlws.FILTER(TablaProductos[Nombre producto],TablaProductos[Agrupación]=ProductosPivot!KIH5)</f>
        <v>#VALUE!</v>
      </c>
      <c r="KII6" s="68" t="e" cm="1" vm="1">
        <f t="array" ref="KII6">_xlfn._xlws.FILTER(TablaProductos[Nombre producto],TablaProductos[Agrupación]=ProductosPivot!KII5)</f>
        <v>#VALUE!</v>
      </c>
      <c r="KIJ6" s="68" t="e" cm="1" vm="1">
        <f t="array" ref="KIJ6">_xlfn._xlws.FILTER(TablaProductos[Nombre producto],TablaProductos[Agrupación]=ProductosPivot!KIJ5)</f>
        <v>#VALUE!</v>
      </c>
      <c r="KIK6" s="68" t="e" cm="1" vm="1">
        <f t="array" ref="KIK6">_xlfn._xlws.FILTER(TablaProductos[Nombre producto],TablaProductos[Agrupación]=ProductosPivot!KIK5)</f>
        <v>#VALUE!</v>
      </c>
      <c r="KIL6" s="68" t="e" cm="1" vm="1">
        <f t="array" ref="KIL6">_xlfn._xlws.FILTER(TablaProductos[Nombre producto],TablaProductos[Agrupación]=ProductosPivot!KIL5)</f>
        <v>#VALUE!</v>
      </c>
      <c r="KIM6" s="68" t="e" cm="1" vm="1">
        <f t="array" ref="KIM6">_xlfn._xlws.FILTER(TablaProductos[Nombre producto],TablaProductos[Agrupación]=ProductosPivot!KIM5)</f>
        <v>#VALUE!</v>
      </c>
      <c r="KIN6" s="68" t="e" cm="1" vm="1">
        <f t="array" ref="KIN6">_xlfn._xlws.FILTER(TablaProductos[Nombre producto],TablaProductos[Agrupación]=ProductosPivot!KIN5)</f>
        <v>#VALUE!</v>
      </c>
      <c r="KIO6" s="68" t="e" cm="1" vm="1">
        <f t="array" ref="KIO6">_xlfn._xlws.FILTER(TablaProductos[Nombre producto],TablaProductos[Agrupación]=ProductosPivot!KIO5)</f>
        <v>#VALUE!</v>
      </c>
      <c r="KIP6" s="68" t="e" cm="1" vm="1">
        <f t="array" ref="KIP6">_xlfn._xlws.FILTER(TablaProductos[Nombre producto],TablaProductos[Agrupación]=ProductosPivot!KIP5)</f>
        <v>#VALUE!</v>
      </c>
      <c r="KIQ6" s="68" t="e" cm="1" vm="1">
        <f t="array" ref="KIQ6">_xlfn._xlws.FILTER(TablaProductos[Nombre producto],TablaProductos[Agrupación]=ProductosPivot!KIQ5)</f>
        <v>#VALUE!</v>
      </c>
      <c r="KIR6" s="68" t="e" cm="1" vm="1">
        <f t="array" ref="KIR6">_xlfn._xlws.FILTER(TablaProductos[Nombre producto],TablaProductos[Agrupación]=ProductosPivot!KIR5)</f>
        <v>#VALUE!</v>
      </c>
      <c r="KIS6" s="68" t="e" cm="1" vm="1">
        <f t="array" ref="KIS6">_xlfn._xlws.FILTER(TablaProductos[Nombre producto],TablaProductos[Agrupación]=ProductosPivot!KIS5)</f>
        <v>#VALUE!</v>
      </c>
      <c r="KIT6" s="68" t="e" cm="1" vm="1">
        <f t="array" ref="KIT6">_xlfn._xlws.FILTER(TablaProductos[Nombre producto],TablaProductos[Agrupación]=ProductosPivot!KIT5)</f>
        <v>#VALUE!</v>
      </c>
      <c r="KIU6" s="68" t="e" cm="1" vm="1">
        <f t="array" ref="KIU6">_xlfn._xlws.FILTER(TablaProductos[Nombre producto],TablaProductos[Agrupación]=ProductosPivot!KIU5)</f>
        <v>#VALUE!</v>
      </c>
      <c r="KIV6" s="68" t="e" cm="1" vm="1">
        <f t="array" ref="KIV6">_xlfn._xlws.FILTER(TablaProductos[Nombre producto],TablaProductos[Agrupación]=ProductosPivot!KIV5)</f>
        <v>#VALUE!</v>
      </c>
      <c r="KIW6" s="68" t="e" cm="1" vm="1">
        <f t="array" ref="KIW6">_xlfn._xlws.FILTER(TablaProductos[Nombre producto],TablaProductos[Agrupación]=ProductosPivot!KIW5)</f>
        <v>#VALUE!</v>
      </c>
      <c r="KIX6" s="68" t="e" cm="1" vm="1">
        <f t="array" ref="KIX6">_xlfn._xlws.FILTER(TablaProductos[Nombre producto],TablaProductos[Agrupación]=ProductosPivot!KIX5)</f>
        <v>#VALUE!</v>
      </c>
      <c r="KIY6" s="68" t="e" cm="1" vm="1">
        <f t="array" ref="KIY6">_xlfn._xlws.FILTER(TablaProductos[Nombre producto],TablaProductos[Agrupación]=ProductosPivot!KIY5)</f>
        <v>#VALUE!</v>
      </c>
      <c r="KIZ6" s="68" t="e" cm="1" vm="1">
        <f t="array" ref="KIZ6">_xlfn._xlws.FILTER(TablaProductos[Nombre producto],TablaProductos[Agrupación]=ProductosPivot!KIZ5)</f>
        <v>#VALUE!</v>
      </c>
      <c r="KJA6" s="68" t="e" cm="1" vm="1">
        <f t="array" ref="KJA6">_xlfn._xlws.FILTER(TablaProductos[Nombre producto],TablaProductos[Agrupación]=ProductosPivot!KJA5)</f>
        <v>#VALUE!</v>
      </c>
      <c r="KJB6" s="68" t="e" cm="1" vm="1">
        <f t="array" ref="KJB6">_xlfn._xlws.FILTER(TablaProductos[Nombre producto],TablaProductos[Agrupación]=ProductosPivot!KJB5)</f>
        <v>#VALUE!</v>
      </c>
      <c r="KJC6" s="68" t="e" cm="1" vm="1">
        <f t="array" ref="KJC6">_xlfn._xlws.FILTER(TablaProductos[Nombre producto],TablaProductos[Agrupación]=ProductosPivot!KJC5)</f>
        <v>#VALUE!</v>
      </c>
      <c r="KJD6" s="68" t="e" cm="1" vm="1">
        <f t="array" ref="KJD6">_xlfn._xlws.FILTER(TablaProductos[Nombre producto],TablaProductos[Agrupación]=ProductosPivot!KJD5)</f>
        <v>#VALUE!</v>
      </c>
      <c r="KJE6" s="68" t="e" cm="1" vm="1">
        <f t="array" ref="KJE6">_xlfn._xlws.FILTER(TablaProductos[Nombre producto],TablaProductos[Agrupación]=ProductosPivot!KJE5)</f>
        <v>#VALUE!</v>
      </c>
      <c r="KJF6" s="68" t="e" cm="1" vm="1">
        <f t="array" ref="KJF6">_xlfn._xlws.FILTER(TablaProductos[Nombre producto],TablaProductos[Agrupación]=ProductosPivot!KJF5)</f>
        <v>#VALUE!</v>
      </c>
      <c r="KJG6" s="68" t="e" cm="1" vm="1">
        <f t="array" ref="KJG6">_xlfn._xlws.FILTER(TablaProductos[Nombre producto],TablaProductos[Agrupación]=ProductosPivot!KJG5)</f>
        <v>#VALUE!</v>
      </c>
      <c r="KJH6" s="68" t="e" cm="1" vm="1">
        <f t="array" ref="KJH6">_xlfn._xlws.FILTER(TablaProductos[Nombre producto],TablaProductos[Agrupación]=ProductosPivot!KJH5)</f>
        <v>#VALUE!</v>
      </c>
      <c r="KJI6" s="68" t="e" cm="1" vm="1">
        <f t="array" ref="KJI6">_xlfn._xlws.FILTER(TablaProductos[Nombre producto],TablaProductos[Agrupación]=ProductosPivot!KJI5)</f>
        <v>#VALUE!</v>
      </c>
      <c r="KJJ6" s="68" t="e" cm="1" vm="1">
        <f t="array" ref="KJJ6">_xlfn._xlws.FILTER(TablaProductos[Nombre producto],TablaProductos[Agrupación]=ProductosPivot!KJJ5)</f>
        <v>#VALUE!</v>
      </c>
      <c r="KJK6" s="68" t="e" cm="1" vm="1">
        <f t="array" ref="KJK6">_xlfn._xlws.FILTER(TablaProductos[Nombre producto],TablaProductos[Agrupación]=ProductosPivot!KJK5)</f>
        <v>#VALUE!</v>
      </c>
      <c r="KJL6" s="68" t="e" cm="1" vm="1">
        <f t="array" ref="KJL6">_xlfn._xlws.FILTER(TablaProductos[Nombre producto],TablaProductos[Agrupación]=ProductosPivot!KJL5)</f>
        <v>#VALUE!</v>
      </c>
      <c r="KJM6" s="68" t="e" cm="1" vm="1">
        <f t="array" ref="KJM6">_xlfn._xlws.FILTER(TablaProductos[Nombre producto],TablaProductos[Agrupación]=ProductosPivot!KJM5)</f>
        <v>#VALUE!</v>
      </c>
      <c r="KJN6" s="68" t="e" cm="1" vm="1">
        <f t="array" ref="KJN6">_xlfn._xlws.FILTER(TablaProductos[Nombre producto],TablaProductos[Agrupación]=ProductosPivot!KJN5)</f>
        <v>#VALUE!</v>
      </c>
      <c r="KJO6" s="68" t="e" cm="1" vm="1">
        <f t="array" ref="KJO6">_xlfn._xlws.FILTER(TablaProductos[Nombre producto],TablaProductos[Agrupación]=ProductosPivot!KJO5)</f>
        <v>#VALUE!</v>
      </c>
      <c r="KJP6" s="68" t="e" cm="1" vm="1">
        <f t="array" ref="KJP6">_xlfn._xlws.FILTER(TablaProductos[Nombre producto],TablaProductos[Agrupación]=ProductosPivot!KJP5)</f>
        <v>#VALUE!</v>
      </c>
      <c r="KJQ6" s="68" t="e" cm="1" vm="1">
        <f t="array" ref="KJQ6">_xlfn._xlws.FILTER(TablaProductos[Nombre producto],TablaProductos[Agrupación]=ProductosPivot!KJQ5)</f>
        <v>#VALUE!</v>
      </c>
      <c r="KJR6" s="68" t="e" cm="1" vm="1">
        <f t="array" ref="KJR6">_xlfn._xlws.FILTER(TablaProductos[Nombre producto],TablaProductos[Agrupación]=ProductosPivot!KJR5)</f>
        <v>#VALUE!</v>
      </c>
      <c r="KJS6" s="68" t="e" cm="1" vm="1">
        <f t="array" ref="KJS6">_xlfn._xlws.FILTER(TablaProductos[Nombre producto],TablaProductos[Agrupación]=ProductosPivot!KJS5)</f>
        <v>#VALUE!</v>
      </c>
      <c r="KJT6" s="68" t="e" cm="1" vm="1">
        <f t="array" ref="KJT6">_xlfn._xlws.FILTER(TablaProductos[Nombre producto],TablaProductos[Agrupación]=ProductosPivot!KJT5)</f>
        <v>#VALUE!</v>
      </c>
      <c r="KJU6" s="68" t="e" cm="1" vm="1">
        <f t="array" ref="KJU6">_xlfn._xlws.FILTER(TablaProductos[Nombre producto],TablaProductos[Agrupación]=ProductosPivot!KJU5)</f>
        <v>#VALUE!</v>
      </c>
      <c r="KJV6" s="68" t="e" cm="1" vm="1">
        <f t="array" ref="KJV6">_xlfn._xlws.FILTER(TablaProductos[Nombre producto],TablaProductos[Agrupación]=ProductosPivot!KJV5)</f>
        <v>#VALUE!</v>
      </c>
      <c r="KJW6" s="68" t="e" cm="1" vm="1">
        <f t="array" ref="KJW6">_xlfn._xlws.FILTER(TablaProductos[Nombre producto],TablaProductos[Agrupación]=ProductosPivot!KJW5)</f>
        <v>#VALUE!</v>
      </c>
      <c r="KJX6" s="68" t="e" cm="1" vm="1">
        <f t="array" ref="KJX6">_xlfn._xlws.FILTER(TablaProductos[Nombre producto],TablaProductos[Agrupación]=ProductosPivot!KJX5)</f>
        <v>#VALUE!</v>
      </c>
      <c r="KJY6" s="68" t="e" cm="1" vm="1">
        <f t="array" ref="KJY6">_xlfn._xlws.FILTER(TablaProductos[Nombre producto],TablaProductos[Agrupación]=ProductosPivot!KJY5)</f>
        <v>#VALUE!</v>
      </c>
      <c r="KJZ6" s="68" t="e" cm="1" vm="1">
        <f t="array" ref="KJZ6">_xlfn._xlws.FILTER(TablaProductos[Nombre producto],TablaProductos[Agrupación]=ProductosPivot!KJZ5)</f>
        <v>#VALUE!</v>
      </c>
      <c r="KKA6" s="68" t="e" cm="1" vm="1">
        <f t="array" ref="KKA6">_xlfn._xlws.FILTER(TablaProductos[Nombre producto],TablaProductos[Agrupación]=ProductosPivot!KKA5)</f>
        <v>#VALUE!</v>
      </c>
      <c r="KKB6" s="68" t="e" cm="1" vm="1">
        <f t="array" ref="KKB6">_xlfn._xlws.FILTER(TablaProductos[Nombre producto],TablaProductos[Agrupación]=ProductosPivot!KKB5)</f>
        <v>#VALUE!</v>
      </c>
      <c r="KKC6" s="68" t="e" cm="1" vm="1">
        <f t="array" ref="KKC6">_xlfn._xlws.FILTER(TablaProductos[Nombre producto],TablaProductos[Agrupación]=ProductosPivot!KKC5)</f>
        <v>#VALUE!</v>
      </c>
      <c r="KKD6" s="68" t="e" cm="1" vm="1">
        <f t="array" ref="KKD6">_xlfn._xlws.FILTER(TablaProductos[Nombre producto],TablaProductos[Agrupación]=ProductosPivot!KKD5)</f>
        <v>#VALUE!</v>
      </c>
      <c r="KKE6" s="68" t="e" cm="1" vm="1">
        <f t="array" ref="KKE6">_xlfn._xlws.FILTER(TablaProductos[Nombre producto],TablaProductos[Agrupación]=ProductosPivot!KKE5)</f>
        <v>#VALUE!</v>
      </c>
      <c r="KKF6" s="68" t="e" cm="1" vm="1">
        <f t="array" ref="KKF6">_xlfn._xlws.FILTER(TablaProductos[Nombre producto],TablaProductos[Agrupación]=ProductosPivot!KKF5)</f>
        <v>#VALUE!</v>
      </c>
      <c r="KKG6" s="68" t="e" cm="1" vm="1">
        <f t="array" ref="KKG6">_xlfn._xlws.FILTER(TablaProductos[Nombre producto],TablaProductos[Agrupación]=ProductosPivot!KKG5)</f>
        <v>#VALUE!</v>
      </c>
      <c r="KKH6" s="68" t="e" cm="1" vm="1">
        <f t="array" ref="KKH6">_xlfn._xlws.FILTER(TablaProductos[Nombre producto],TablaProductos[Agrupación]=ProductosPivot!KKH5)</f>
        <v>#VALUE!</v>
      </c>
      <c r="KKI6" s="68" t="e" cm="1" vm="1">
        <f t="array" ref="KKI6">_xlfn._xlws.FILTER(TablaProductos[Nombre producto],TablaProductos[Agrupación]=ProductosPivot!KKI5)</f>
        <v>#VALUE!</v>
      </c>
      <c r="KKJ6" s="68" t="e" cm="1" vm="1">
        <f t="array" ref="KKJ6">_xlfn._xlws.FILTER(TablaProductos[Nombre producto],TablaProductos[Agrupación]=ProductosPivot!KKJ5)</f>
        <v>#VALUE!</v>
      </c>
      <c r="KKK6" s="68" t="e" cm="1" vm="1">
        <f t="array" ref="KKK6">_xlfn._xlws.FILTER(TablaProductos[Nombre producto],TablaProductos[Agrupación]=ProductosPivot!KKK5)</f>
        <v>#VALUE!</v>
      </c>
      <c r="KKL6" s="68" t="e" cm="1" vm="1">
        <f t="array" ref="KKL6">_xlfn._xlws.FILTER(TablaProductos[Nombre producto],TablaProductos[Agrupación]=ProductosPivot!KKL5)</f>
        <v>#VALUE!</v>
      </c>
      <c r="KKM6" s="68" t="e" cm="1" vm="1">
        <f t="array" ref="KKM6">_xlfn._xlws.FILTER(TablaProductos[Nombre producto],TablaProductos[Agrupación]=ProductosPivot!KKM5)</f>
        <v>#VALUE!</v>
      </c>
      <c r="KKN6" s="68" t="e" cm="1" vm="1">
        <f t="array" ref="KKN6">_xlfn._xlws.FILTER(TablaProductos[Nombre producto],TablaProductos[Agrupación]=ProductosPivot!KKN5)</f>
        <v>#VALUE!</v>
      </c>
      <c r="KKO6" s="68" t="e" cm="1" vm="1">
        <f t="array" ref="KKO6">_xlfn._xlws.FILTER(TablaProductos[Nombre producto],TablaProductos[Agrupación]=ProductosPivot!KKO5)</f>
        <v>#VALUE!</v>
      </c>
      <c r="KKP6" s="68" t="e" cm="1" vm="1">
        <f t="array" ref="KKP6">_xlfn._xlws.FILTER(TablaProductos[Nombre producto],TablaProductos[Agrupación]=ProductosPivot!KKP5)</f>
        <v>#VALUE!</v>
      </c>
      <c r="KKQ6" s="68" t="e" cm="1" vm="1">
        <f t="array" ref="KKQ6">_xlfn._xlws.FILTER(TablaProductos[Nombre producto],TablaProductos[Agrupación]=ProductosPivot!KKQ5)</f>
        <v>#VALUE!</v>
      </c>
      <c r="KKR6" s="68" t="e" cm="1" vm="1">
        <f t="array" ref="KKR6">_xlfn._xlws.FILTER(TablaProductos[Nombre producto],TablaProductos[Agrupación]=ProductosPivot!KKR5)</f>
        <v>#VALUE!</v>
      </c>
      <c r="KKS6" s="68" t="e" cm="1" vm="1">
        <f t="array" ref="KKS6">_xlfn._xlws.FILTER(TablaProductos[Nombre producto],TablaProductos[Agrupación]=ProductosPivot!KKS5)</f>
        <v>#VALUE!</v>
      </c>
      <c r="KKT6" s="68" t="e" cm="1" vm="1">
        <f t="array" ref="KKT6">_xlfn._xlws.FILTER(TablaProductos[Nombre producto],TablaProductos[Agrupación]=ProductosPivot!KKT5)</f>
        <v>#VALUE!</v>
      </c>
      <c r="KKU6" s="68" t="e" cm="1" vm="1">
        <f t="array" ref="KKU6">_xlfn._xlws.FILTER(TablaProductos[Nombre producto],TablaProductos[Agrupación]=ProductosPivot!KKU5)</f>
        <v>#VALUE!</v>
      </c>
      <c r="KKV6" s="68" t="e" cm="1" vm="1">
        <f t="array" ref="KKV6">_xlfn._xlws.FILTER(TablaProductos[Nombre producto],TablaProductos[Agrupación]=ProductosPivot!KKV5)</f>
        <v>#VALUE!</v>
      </c>
      <c r="KKW6" s="68" t="e" cm="1" vm="1">
        <f t="array" ref="KKW6">_xlfn._xlws.FILTER(TablaProductos[Nombre producto],TablaProductos[Agrupación]=ProductosPivot!KKW5)</f>
        <v>#VALUE!</v>
      </c>
      <c r="KKX6" s="68" t="e" cm="1" vm="1">
        <f t="array" ref="KKX6">_xlfn._xlws.FILTER(TablaProductos[Nombre producto],TablaProductos[Agrupación]=ProductosPivot!KKX5)</f>
        <v>#VALUE!</v>
      </c>
      <c r="KKY6" s="68" t="e" cm="1" vm="1">
        <f t="array" ref="KKY6">_xlfn._xlws.FILTER(TablaProductos[Nombre producto],TablaProductos[Agrupación]=ProductosPivot!KKY5)</f>
        <v>#VALUE!</v>
      </c>
      <c r="KKZ6" s="68" t="e" cm="1" vm="1">
        <f t="array" ref="KKZ6">_xlfn._xlws.FILTER(TablaProductos[Nombre producto],TablaProductos[Agrupación]=ProductosPivot!KKZ5)</f>
        <v>#VALUE!</v>
      </c>
      <c r="KLA6" s="68" t="e" cm="1" vm="1">
        <f t="array" ref="KLA6">_xlfn._xlws.FILTER(TablaProductos[Nombre producto],TablaProductos[Agrupación]=ProductosPivot!KLA5)</f>
        <v>#VALUE!</v>
      </c>
      <c r="KLB6" s="68" t="e" cm="1" vm="1">
        <f t="array" ref="KLB6">_xlfn._xlws.FILTER(TablaProductos[Nombre producto],TablaProductos[Agrupación]=ProductosPivot!KLB5)</f>
        <v>#VALUE!</v>
      </c>
      <c r="KLC6" s="68" t="e" cm="1" vm="1">
        <f t="array" ref="KLC6">_xlfn._xlws.FILTER(TablaProductos[Nombre producto],TablaProductos[Agrupación]=ProductosPivot!KLC5)</f>
        <v>#VALUE!</v>
      </c>
      <c r="KLD6" s="68" t="e" cm="1" vm="1">
        <f t="array" ref="KLD6">_xlfn._xlws.FILTER(TablaProductos[Nombre producto],TablaProductos[Agrupación]=ProductosPivot!KLD5)</f>
        <v>#VALUE!</v>
      </c>
      <c r="KLE6" s="68" t="e" cm="1" vm="1">
        <f t="array" ref="KLE6">_xlfn._xlws.FILTER(TablaProductos[Nombre producto],TablaProductos[Agrupación]=ProductosPivot!KLE5)</f>
        <v>#VALUE!</v>
      </c>
      <c r="KLF6" s="68" t="e" cm="1" vm="1">
        <f t="array" ref="KLF6">_xlfn._xlws.FILTER(TablaProductos[Nombre producto],TablaProductos[Agrupación]=ProductosPivot!KLF5)</f>
        <v>#VALUE!</v>
      </c>
      <c r="KLG6" s="68" t="e" cm="1" vm="1">
        <f t="array" ref="KLG6">_xlfn._xlws.FILTER(TablaProductos[Nombre producto],TablaProductos[Agrupación]=ProductosPivot!KLG5)</f>
        <v>#VALUE!</v>
      </c>
      <c r="KLH6" s="68" t="e" cm="1" vm="1">
        <f t="array" ref="KLH6">_xlfn._xlws.FILTER(TablaProductos[Nombre producto],TablaProductos[Agrupación]=ProductosPivot!KLH5)</f>
        <v>#VALUE!</v>
      </c>
      <c r="KLI6" s="68" t="e" cm="1" vm="1">
        <f t="array" ref="KLI6">_xlfn._xlws.FILTER(TablaProductos[Nombre producto],TablaProductos[Agrupación]=ProductosPivot!KLI5)</f>
        <v>#VALUE!</v>
      </c>
      <c r="KLJ6" s="68" t="e" cm="1" vm="1">
        <f t="array" ref="KLJ6">_xlfn._xlws.FILTER(TablaProductos[Nombre producto],TablaProductos[Agrupación]=ProductosPivot!KLJ5)</f>
        <v>#VALUE!</v>
      </c>
      <c r="KLK6" s="68" t="e" cm="1" vm="1">
        <f t="array" ref="KLK6">_xlfn._xlws.FILTER(TablaProductos[Nombre producto],TablaProductos[Agrupación]=ProductosPivot!KLK5)</f>
        <v>#VALUE!</v>
      </c>
      <c r="KLL6" s="68" t="e" cm="1" vm="1">
        <f t="array" ref="KLL6">_xlfn._xlws.FILTER(TablaProductos[Nombre producto],TablaProductos[Agrupación]=ProductosPivot!KLL5)</f>
        <v>#VALUE!</v>
      </c>
      <c r="KLM6" s="68" t="e" cm="1" vm="1">
        <f t="array" ref="KLM6">_xlfn._xlws.FILTER(TablaProductos[Nombre producto],TablaProductos[Agrupación]=ProductosPivot!KLM5)</f>
        <v>#VALUE!</v>
      </c>
      <c r="KLN6" s="68" t="e" cm="1" vm="1">
        <f t="array" ref="KLN6">_xlfn._xlws.FILTER(TablaProductos[Nombre producto],TablaProductos[Agrupación]=ProductosPivot!KLN5)</f>
        <v>#VALUE!</v>
      </c>
      <c r="KLO6" s="68" t="e" cm="1" vm="1">
        <f t="array" ref="KLO6">_xlfn._xlws.FILTER(TablaProductos[Nombre producto],TablaProductos[Agrupación]=ProductosPivot!KLO5)</f>
        <v>#VALUE!</v>
      </c>
      <c r="KLP6" s="68" t="e" cm="1" vm="1">
        <f t="array" ref="KLP6">_xlfn._xlws.FILTER(TablaProductos[Nombre producto],TablaProductos[Agrupación]=ProductosPivot!KLP5)</f>
        <v>#VALUE!</v>
      </c>
      <c r="KLQ6" s="68" t="e" cm="1" vm="1">
        <f t="array" ref="KLQ6">_xlfn._xlws.FILTER(TablaProductos[Nombre producto],TablaProductos[Agrupación]=ProductosPivot!KLQ5)</f>
        <v>#VALUE!</v>
      </c>
      <c r="KLR6" s="68" t="e" cm="1" vm="1">
        <f t="array" ref="KLR6">_xlfn._xlws.FILTER(TablaProductos[Nombre producto],TablaProductos[Agrupación]=ProductosPivot!KLR5)</f>
        <v>#VALUE!</v>
      </c>
      <c r="KLS6" s="68" t="e" cm="1" vm="1">
        <f t="array" ref="KLS6">_xlfn._xlws.FILTER(TablaProductos[Nombre producto],TablaProductos[Agrupación]=ProductosPivot!KLS5)</f>
        <v>#VALUE!</v>
      </c>
      <c r="KLT6" s="68" t="e" cm="1" vm="1">
        <f t="array" ref="KLT6">_xlfn._xlws.FILTER(TablaProductos[Nombre producto],TablaProductos[Agrupación]=ProductosPivot!KLT5)</f>
        <v>#VALUE!</v>
      </c>
      <c r="KLU6" s="68" t="e" cm="1" vm="1">
        <f t="array" ref="KLU6">_xlfn._xlws.FILTER(TablaProductos[Nombre producto],TablaProductos[Agrupación]=ProductosPivot!KLU5)</f>
        <v>#VALUE!</v>
      </c>
      <c r="KLV6" s="68" t="e" cm="1" vm="1">
        <f t="array" ref="KLV6">_xlfn._xlws.FILTER(TablaProductos[Nombre producto],TablaProductos[Agrupación]=ProductosPivot!KLV5)</f>
        <v>#VALUE!</v>
      </c>
      <c r="KLW6" s="68" t="e" cm="1" vm="1">
        <f t="array" ref="KLW6">_xlfn._xlws.FILTER(TablaProductos[Nombre producto],TablaProductos[Agrupación]=ProductosPivot!KLW5)</f>
        <v>#VALUE!</v>
      </c>
      <c r="KLX6" s="68" t="e" cm="1" vm="1">
        <f t="array" ref="KLX6">_xlfn._xlws.FILTER(TablaProductos[Nombre producto],TablaProductos[Agrupación]=ProductosPivot!KLX5)</f>
        <v>#VALUE!</v>
      </c>
      <c r="KLY6" s="68" t="e" cm="1" vm="1">
        <f t="array" ref="KLY6">_xlfn._xlws.FILTER(TablaProductos[Nombre producto],TablaProductos[Agrupación]=ProductosPivot!KLY5)</f>
        <v>#VALUE!</v>
      </c>
      <c r="KLZ6" s="68" t="e" cm="1" vm="1">
        <f t="array" ref="KLZ6">_xlfn._xlws.FILTER(TablaProductos[Nombre producto],TablaProductos[Agrupación]=ProductosPivot!KLZ5)</f>
        <v>#VALUE!</v>
      </c>
      <c r="KMA6" s="68" t="e" cm="1" vm="1">
        <f t="array" ref="KMA6">_xlfn._xlws.FILTER(TablaProductos[Nombre producto],TablaProductos[Agrupación]=ProductosPivot!KMA5)</f>
        <v>#VALUE!</v>
      </c>
      <c r="KMB6" s="68" t="e" cm="1" vm="1">
        <f t="array" ref="KMB6">_xlfn._xlws.FILTER(TablaProductos[Nombre producto],TablaProductos[Agrupación]=ProductosPivot!KMB5)</f>
        <v>#VALUE!</v>
      </c>
      <c r="KMC6" s="68" t="e" cm="1" vm="1">
        <f t="array" ref="KMC6">_xlfn._xlws.FILTER(TablaProductos[Nombre producto],TablaProductos[Agrupación]=ProductosPivot!KMC5)</f>
        <v>#VALUE!</v>
      </c>
      <c r="KMD6" s="68" t="e" cm="1" vm="1">
        <f t="array" ref="KMD6">_xlfn._xlws.FILTER(TablaProductos[Nombre producto],TablaProductos[Agrupación]=ProductosPivot!KMD5)</f>
        <v>#VALUE!</v>
      </c>
      <c r="KME6" s="68" t="e" cm="1" vm="1">
        <f t="array" ref="KME6">_xlfn._xlws.FILTER(TablaProductos[Nombre producto],TablaProductos[Agrupación]=ProductosPivot!KME5)</f>
        <v>#VALUE!</v>
      </c>
      <c r="KMF6" s="68" t="e" cm="1" vm="1">
        <f t="array" ref="KMF6">_xlfn._xlws.FILTER(TablaProductos[Nombre producto],TablaProductos[Agrupación]=ProductosPivot!KMF5)</f>
        <v>#VALUE!</v>
      </c>
      <c r="KMG6" s="68" t="e" cm="1" vm="1">
        <f t="array" ref="KMG6">_xlfn._xlws.FILTER(TablaProductos[Nombre producto],TablaProductos[Agrupación]=ProductosPivot!KMG5)</f>
        <v>#VALUE!</v>
      </c>
      <c r="KMH6" s="68" t="e" cm="1" vm="1">
        <f t="array" ref="KMH6">_xlfn._xlws.FILTER(TablaProductos[Nombre producto],TablaProductos[Agrupación]=ProductosPivot!KMH5)</f>
        <v>#VALUE!</v>
      </c>
      <c r="KMI6" s="68" t="e" cm="1" vm="1">
        <f t="array" ref="KMI6">_xlfn._xlws.FILTER(TablaProductos[Nombre producto],TablaProductos[Agrupación]=ProductosPivot!KMI5)</f>
        <v>#VALUE!</v>
      </c>
      <c r="KMJ6" s="68" t="e" cm="1" vm="1">
        <f t="array" ref="KMJ6">_xlfn._xlws.FILTER(TablaProductos[Nombre producto],TablaProductos[Agrupación]=ProductosPivot!KMJ5)</f>
        <v>#VALUE!</v>
      </c>
      <c r="KMK6" s="68" t="e" cm="1" vm="1">
        <f t="array" ref="KMK6">_xlfn._xlws.FILTER(TablaProductos[Nombre producto],TablaProductos[Agrupación]=ProductosPivot!KMK5)</f>
        <v>#VALUE!</v>
      </c>
      <c r="KML6" s="68" t="e" cm="1" vm="1">
        <f t="array" ref="KML6">_xlfn._xlws.FILTER(TablaProductos[Nombre producto],TablaProductos[Agrupación]=ProductosPivot!KML5)</f>
        <v>#VALUE!</v>
      </c>
      <c r="KMM6" s="68" t="e" cm="1" vm="1">
        <f t="array" ref="KMM6">_xlfn._xlws.FILTER(TablaProductos[Nombre producto],TablaProductos[Agrupación]=ProductosPivot!KMM5)</f>
        <v>#VALUE!</v>
      </c>
      <c r="KMN6" s="68" t="e" cm="1" vm="1">
        <f t="array" ref="KMN6">_xlfn._xlws.FILTER(TablaProductos[Nombre producto],TablaProductos[Agrupación]=ProductosPivot!KMN5)</f>
        <v>#VALUE!</v>
      </c>
      <c r="KMO6" s="68" t="e" cm="1" vm="1">
        <f t="array" ref="KMO6">_xlfn._xlws.FILTER(TablaProductos[Nombre producto],TablaProductos[Agrupación]=ProductosPivot!KMO5)</f>
        <v>#VALUE!</v>
      </c>
      <c r="KMP6" s="68" t="e" cm="1" vm="1">
        <f t="array" ref="KMP6">_xlfn._xlws.FILTER(TablaProductos[Nombre producto],TablaProductos[Agrupación]=ProductosPivot!KMP5)</f>
        <v>#VALUE!</v>
      </c>
      <c r="KMQ6" s="68" t="e" cm="1" vm="1">
        <f t="array" ref="KMQ6">_xlfn._xlws.FILTER(TablaProductos[Nombre producto],TablaProductos[Agrupación]=ProductosPivot!KMQ5)</f>
        <v>#VALUE!</v>
      </c>
      <c r="KMR6" s="68" t="e" cm="1" vm="1">
        <f t="array" ref="KMR6">_xlfn._xlws.FILTER(TablaProductos[Nombre producto],TablaProductos[Agrupación]=ProductosPivot!KMR5)</f>
        <v>#VALUE!</v>
      </c>
      <c r="KMS6" s="68" t="e" cm="1" vm="1">
        <f t="array" ref="KMS6">_xlfn._xlws.FILTER(TablaProductos[Nombre producto],TablaProductos[Agrupación]=ProductosPivot!KMS5)</f>
        <v>#VALUE!</v>
      </c>
      <c r="KMT6" s="68" t="e" cm="1" vm="1">
        <f t="array" ref="KMT6">_xlfn._xlws.FILTER(TablaProductos[Nombre producto],TablaProductos[Agrupación]=ProductosPivot!KMT5)</f>
        <v>#VALUE!</v>
      </c>
      <c r="KMU6" s="68" t="e" cm="1" vm="1">
        <f t="array" ref="KMU6">_xlfn._xlws.FILTER(TablaProductos[Nombre producto],TablaProductos[Agrupación]=ProductosPivot!KMU5)</f>
        <v>#VALUE!</v>
      </c>
      <c r="KMV6" s="68" t="e" cm="1" vm="1">
        <f t="array" ref="KMV6">_xlfn._xlws.FILTER(TablaProductos[Nombre producto],TablaProductos[Agrupación]=ProductosPivot!KMV5)</f>
        <v>#VALUE!</v>
      </c>
      <c r="KMW6" s="68" t="e" cm="1" vm="1">
        <f t="array" ref="KMW6">_xlfn._xlws.FILTER(TablaProductos[Nombre producto],TablaProductos[Agrupación]=ProductosPivot!KMW5)</f>
        <v>#VALUE!</v>
      </c>
      <c r="KMX6" s="68" t="e" cm="1" vm="1">
        <f t="array" ref="KMX6">_xlfn._xlws.FILTER(TablaProductos[Nombre producto],TablaProductos[Agrupación]=ProductosPivot!KMX5)</f>
        <v>#VALUE!</v>
      </c>
      <c r="KMY6" s="68" t="e" cm="1" vm="1">
        <f t="array" ref="KMY6">_xlfn._xlws.FILTER(TablaProductos[Nombre producto],TablaProductos[Agrupación]=ProductosPivot!KMY5)</f>
        <v>#VALUE!</v>
      </c>
      <c r="KMZ6" s="68" t="e" cm="1" vm="1">
        <f t="array" ref="KMZ6">_xlfn._xlws.FILTER(TablaProductos[Nombre producto],TablaProductos[Agrupación]=ProductosPivot!KMZ5)</f>
        <v>#VALUE!</v>
      </c>
      <c r="KNA6" s="68" t="e" cm="1" vm="1">
        <f t="array" ref="KNA6">_xlfn._xlws.FILTER(TablaProductos[Nombre producto],TablaProductos[Agrupación]=ProductosPivot!KNA5)</f>
        <v>#VALUE!</v>
      </c>
      <c r="KNB6" s="68" t="e" cm="1" vm="1">
        <f t="array" ref="KNB6">_xlfn._xlws.FILTER(TablaProductos[Nombre producto],TablaProductos[Agrupación]=ProductosPivot!KNB5)</f>
        <v>#VALUE!</v>
      </c>
      <c r="KNC6" s="68" t="e" cm="1" vm="1">
        <f t="array" ref="KNC6">_xlfn._xlws.FILTER(TablaProductos[Nombre producto],TablaProductos[Agrupación]=ProductosPivot!KNC5)</f>
        <v>#VALUE!</v>
      </c>
      <c r="KND6" s="68" t="e" cm="1" vm="1">
        <f t="array" ref="KND6">_xlfn._xlws.FILTER(TablaProductos[Nombre producto],TablaProductos[Agrupación]=ProductosPivot!KND5)</f>
        <v>#VALUE!</v>
      </c>
      <c r="KNE6" s="68" t="e" cm="1" vm="1">
        <f t="array" ref="KNE6">_xlfn._xlws.FILTER(TablaProductos[Nombre producto],TablaProductos[Agrupación]=ProductosPivot!KNE5)</f>
        <v>#VALUE!</v>
      </c>
      <c r="KNF6" s="68" t="e" cm="1" vm="1">
        <f t="array" ref="KNF6">_xlfn._xlws.FILTER(TablaProductos[Nombre producto],TablaProductos[Agrupación]=ProductosPivot!KNF5)</f>
        <v>#VALUE!</v>
      </c>
      <c r="KNG6" s="68" t="e" cm="1" vm="1">
        <f t="array" ref="KNG6">_xlfn._xlws.FILTER(TablaProductos[Nombre producto],TablaProductos[Agrupación]=ProductosPivot!KNG5)</f>
        <v>#VALUE!</v>
      </c>
      <c r="KNH6" s="68" t="e" cm="1" vm="1">
        <f t="array" ref="KNH6">_xlfn._xlws.FILTER(TablaProductos[Nombre producto],TablaProductos[Agrupación]=ProductosPivot!KNH5)</f>
        <v>#VALUE!</v>
      </c>
      <c r="KNI6" s="68" t="e" cm="1" vm="1">
        <f t="array" ref="KNI6">_xlfn._xlws.FILTER(TablaProductos[Nombre producto],TablaProductos[Agrupación]=ProductosPivot!KNI5)</f>
        <v>#VALUE!</v>
      </c>
      <c r="KNJ6" s="68" t="e" cm="1" vm="1">
        <f t="array" ref="KNJ6">_xlfn._xlws.FILTER(TablaProductos[Nombre producto],TablaProductos[Agrupación]=ProductosPivot!KNJ5)</f>
        <v>#VALUE!</v>
      </c>
      <c r="KNK6" s="68" t="e" cm="1" vm="1">
        <f t="array" ref="KNK6">_xlfn._xlws.FILTER(TablaProductos[Nombre producto],TablaProductos[Agrupación]=ProductosPivot!KNK5)</f>
        <v>#VALUE!</v>
      </c>
      <c r="KNL6" s="68" t="e" cm="1" vm="1">
        <f t="array" ref="KNL6">_xlfn._xlws.FILTER(TablaProductos[Nombre producto],TablaProductos[Agrupación]=ProductosPivot!KNL5)</f>
        <v>#VALUE!</v>
      </c>
      <c r="KNM6" s="68" t="e" cm="1" vm="1">
        <f t="array" ref="KNM6">_xlfn._xlws.FILTER(TablaProductos[Nombre producto],TablaProductos[Agrupación]=ProductosPivot!KNM5)</f>
        <v>#VALUE!</v>
      </c>
      <c r="KNN6" s="68" t="e" cm="1" vm="1">
        <f t="array" ref="KNN6">_xlfn._xlws.FILTER(TablaProductos[Nombre producto],TablaProductos[Agrupación]=ProductosPivot!KNN5)</f>
        <v>#VALUE!</v>
      </c>
      <c r="KNO6" s="68" t="e" cm="1" vm="1">
        <f t="array" ref="KNO6">_xlfn._xlws.FILTER(TablaProductos[Nombre producto],TablaProductos[Agrupación]=ProductosPivot!KNO5)</f>
        <v>#VALUE!</v>
      </c>
      <c r="KNP6" s="68" t="e" cm="1" vm="1">
        <f t="array" ref="KNP6">_xlfn._xlws.FILTER(TablaProductos[Nombre producto],TablaProductos[Agrupación]=ProductosPivot!KNP5)</f>
        <v>#VALUE!</v>
      </c>
      <c r="KNQ6" s="68" t="e" cm="1" vm="1">
        <f t="array" ref="KNQ6">_xlfn._xlws.FILTER(TablaProductos[Nombre producto],TablaProductos[Agrupación]=ProductosPivot!KNQ5)</f>
        <v>#VALUE!</v>
      </c>
      <c r="KNR6" s="68" t="e" cm="1" vm="1">
        <f t="array" ref="KNR6">_xlfn._xlws.FILTER(TablaProductos[Nombre producto],TablaProductos[Agrupación]=ProductosPivot!KNR5)</f>
        <v>#VALUE!</v>
      </c>
      <c r="KNS6" s="68" t="e" cm="1" vm="1">
        <f t="array" ref="KNS6">_xlfn._xlws.FILTER(TablaProductos[Nombre producto],TablaProductos[Agrupación]=ProductosPivot!KNS5)</f>
        <v>#VALUE!</v>
      </c>
      <c r="KNT6" s="68" t="e" cm="1" vm="1">
        <f t="array" ref="KNT6">_xlfn._xlws.FILTER(TablaProductos[Nombre producto],TablaProductos[Agrupación]=ProductosPivot!KNT5)</f>
        <v>#VALUE!</v>
      </c>
      <c r="KNU6" s="68" t="e" cm="1" vm="1">
        <f t="array" ref="KNU6">_xlfn._xlws.FILTER(TablaProductos[Nombre producto],TablaProductos[Agrupación]=ProductosPivot!KNU5)</f>
        <v>#VALUE!</v>
      </c>
      <c r="KNV6" s="68" t="e" cm="1" vm="1">
        <f t="array" ref="KNV6">_xlfn._xlws.FILTER(TablaProductos[Nombre producto],TablaProductos[Agrupación]=ProductosPivot!KNV5)</f>
        <v>#VALUE!</v>
      </c>
      <c r="KNW6" s="68" t="e" cm="1" vm="1">
        <f t="array" ref="KNW6">_xlfn._xlws.FILTER(TablaProductos[Nombre producto],TablaProductos[Agrupación]=ProductosPivot!KNW5)</f>
        <v>#VALUE!</v>
      </c>
      <c r="KNX6" s="68" t="e" cm="1" vm="1">
        <f t="array" ref="KNX6">_xlfn._xlws.FILTER(TablaProductos[Nombre producto],TablaProductos[Agrupación]=ProductosPivot!KNX5)</f>
        <v>#VALUE!</v>
      </c>
      <c r="KNY6" s="68" t="e" cm="1" vm="1">
        <f t="array" ref="KNY6">_xlfn._xlws.FILTER(TablaProductos[Nombre producto],TablaProductos[Agrupación]=ProductosPivot!KNY5)</f>
        <v>#VALUE!</v>
      </c>
      <c r="KNZ6" s="68" t="e" cm="1" vm="1">
        <f t="array" ref="KNZ6">_xlfn._xlws.FILTER(TablaProductos[Nombre producto],TablaProductos[Agrupación]=ProductosPivot!KNZ5)</f>
        <v>#VALUE!</v>
      </c>
      <c r="KOA6" s="68" t="e" cm="1" vm="1">
        <f t="array" ref="KOA6">_xlfn._xlws.FILTER(TablaProductos[Nombre producto],TablaProductos[Agrupación]=ProductosPivot!KOA5)</f>
        <v>#VALUE!</v>
      </c>
      <c r="KOB6" s="68" t="e" cm="1" vm="1">
        <f t="array" ref="KOB6">_xlfn._xlws.FILTER(TablaProductos[Nombre producto],TablaProductos[Agrupación]=ProductosPivot!KOB5)</f>
        <v>#VALUE!</v>
      </c>
      <c r="KOC6" s="68" t="e" cm="1" vm="1">
        <f t="array" ref="KOC6">_xlfn._xlws.FILTER(TablaProductos[Nombre producto],TablaProductos[Agrupación]=ProductosPivot!KOC5)</f>
        <v>#VALUE!</v>
      </c>
      <c r="KOD6" s="68" t="e" cm="1" vm="1">
        <f t="array" ref="KOD6">_xlfn._xlws.FILTER(TablaProductos[Nombre producto],TablaProductos[Agrupación]=ProductosPivot!KOD5)</f>
        <v>#VALUE!</v>
      </c>
      <c r="KOE6" s="68" t="e" cm="1" vm="1">
        <f t="array" ref="KOE6">_xlfn._xlws.FILTER(TablaProductos[Nombre producto],TablaProductos[Agrupación]=ProductosPivot!KOE5)</f>
        <v>#VALUE!</v>
      </c>
      <c r="KOF6" s="68" t="e" cm="1" vm="1">
        <f t="array" ref="KOF6">_xlfn._xlws.FILTER(TablaProductos[Nombre producto],TablaProductos[Agrupación]=ProductosPivot!KOF5)</f>
        <v>#VALUE!</v>
      </c>
      <c r="KOG6" s="68" t="e" cm="1" vm="1">
        <f t="array" ref="KOG6">_xlfn._xlws.FILTER(TablaProductos[Nombre producto],TablaProductos[Agrupación]=ProductosPivot!KOG5)</f>
        <v>#VALUE!</v>
      </c>
      <c r="KOH6" s="68" t="e" cm="1" vm="1">
        <f t="array" ref="KOH6">_xlfn._xlws.FILTER(TablaProductos[Nombre producto],TablaProductos[Agrupación]=ProductosPivot!KOH5)</f>
        <v>#VALUE!</v>
      </c>
      <c r="KOI6" s="68" t="e" cm="1" vm="1">
        <f t="array" ref="KOI6">_xlfn._xlws.FILTER(TablaProductos[Nombre producto],TablaProductos[Agrupación]=ProductosPivot!KOI5)</f>
        <v>#VALUE!</v>
      </c>
      <c r="KOJ6" s="68" t="e" cm="1" vm="1">
        <f t="array" ref="KOJ6">_xlfn._xlws.FILTER(TablaProductos[Nombre producto],TablaProductos[Agrupación]=ProductosPivot!KOJ5)</f>
        <v>#VALUE!</v>
      </c>
      <c r="KOK6" s="68" t="e" cm="1" vm="1">
        <f t="array" ref="KOK6">_xlfn._xlws.FILTER(TablaProductos[Nombre producto],TablaProductos[Agrupación]=ProductosPivot!KOK5)</f>
        <v>#VALUE!</v>
      </c>
      <c r="KOL6" s="68" t="e" cm="1" vm="1">
        <f t="array" ref="KOL6">_xlfn._xlws.FILTER(TablaProductos[Nombre producto],TablaProductos[Agrupación]=ProductosPivot!KOL5)</f>
        <v>#VALUE!</v>
      </c>
      <c r="KOM6" s="68" t="e" cm="1" vm="1">
        <f t="array" ref="KOM6">_xlfn._xlws.FILTER(TablaProductos[Nombre producto],TablaProductos[Agrupación]=ProductosPivot!KOM5)</f>
        <v>#VALUE!</v>
      </c>
      <c r="KON6" s="68" t="e" cm="1" vm="1">
        <f t="array" ref="KON6">_xlfn._xlws.FILTER(TablaProductos[Nombre producto],TablaProductos[Agrupación]=ProductosPivot!KON5)</f>
        <v>#VALUE!</v>
      </c>
      <c r="KOO6" s="68" t="e" cm="1" vm="1">
        <f t="array" ref="KOO6">_xlfn._xlws.FILTER(TablaProductos[Nombre producto],TablaProductos[Agrupación]=ProductosPivot!KOO5)</f>
        <v>#VALUE!</v>
      </c>
      <c r="KOP6" s="68" t="e" cm="1" vm="1">
        <f t="array" ref="KOP6">_xlfn._xlws.FILTER(TablaProductos[Nombre producto],TablaProductos[Agrupación]=ProductosPivot!KOP5)</f>
        <v>#VALUE!</v>
      </c>
      <c r="KOQ6" s="68" t="e" cm="1" vm="1">
        <f t="array" ref="KOQ6">_xlfn._xlws.FILTER(TablaProductos[Nombre producto],TablaProductos[Agrupación]=ProductosPivot!KOQ5)</f>
        <v>#VALUE!</v>
      </c>
      <c r="KOR6" s="68" t="e" cm="1" vm="1">
        <f t="array" ref="KOR6">_xlfn._xlws.FILTER(TablaProductos[Nombre producto],TablaProductos[Agrupación]=ProductosPivot!KOR5)</f>
        <v>#VALUE!</v>
      </c>
      <c r="KOS6" s="68" t="e" cm="1" vm="1">
        <f t="array" ref="KOS6">_xlfn._xlws.FILTER(TablaProductos[Nombre producto],TablaProductos[Agrupación]=ProductosPivot!KOS5)</f>
        <v>#VALUE!</v>
      </c>
      <c r="KOT6" s="68" t="e" cm="1" vm="1">
        <f t="array" ref="KOT6">_xlfn._xlws.FILTER(TablaProductos[Nombre producto],TablaProductos[Agrupación]=ProductosPivot!KOT5)</f>
        <v>#VALUE!</v>
      </c>
      <c r="KOU6" s="68" t="e" cm="1" vm="1">
        <f t="array" ref="KOU6">_xlfn._xlws.FILTER(TablaProductos[Nombre producto],TablaProductos[Agrupación]=ProductosPivot!KOU5)</f>
        <v>#VALUE!</v>
      </c>
      <c r="KOV6" s="68" t="e" cm="1" vm="1">
        <f t="array" ref="KOV6">_xlfn._xlws.FILTER(TablaProductos[Nombre producto],TablaProductos[Agrupación]=ProductosPivot!KOV5)</f>
        <v>#VALUE!</v>
      </c>
      <c r="KOW6" s="68" t="e" cm="1" vm="1">
        <f t="array" ref="KOW6">_xlfn._xlws.FILTER(TablaProductos[Nombre producto],TablaProductos[Agrupación]=ProductosPivot!KOW5)</f>
        <v>#VALUE!</v>
      </c>
      <c r="KOX6" s="68" t="e" cm="1" vm="1">
        <f t="array" ref="KOX6">_xlfn._xlws.FILTER(TablaProductos[Nombre producto],TablaProductos[Agrupación]=ProductosPivot!KOX5)</f>
        <v>#VALUE!</v>
      </c>
      <c r="KOY6" s="68" t="e" cm="1" vm="1">
        <f t="array" ref="KOY6">_xlfn._xlws.FILTER(TablaProductos[Nombre producto],TablaProductos[Agrupación]=ProductosPivot!KOY5)</f>
        <v>#VALUE!</v>
      </c>
      <c r="KOZ6" s="68" t="e" cm="1" vm="1">
        <f t="array" ref="KOZ6">_xlfn._xlws.FILTER(TablaProductos[Nombre producto],TablaProductos[Agrupación]=ProductosPivot!KOZ5)</f>
        <v>#VALUE!</v>
      </c>
      <c r="KPA6" s="68" t="e" cm="1" vm="1">
        <f t="array" ref="KPA6">_xlfn._xlws.FILTER(TablaProductos[Nombre producto],TablaProductos[Agrupación]=ProductosPivot!KPA5)</f>
        <v>#VALUE!</v>
      </c>
      <c r="KPB6" s="68" t="e" cm="1" vm="1">
        <f t="array" ref="KPB6">_xlfn._xlws.FILTER(TablaProductos[Nombre producto],TablaProductos[Agrupación]=ProductosPivot!KPB5)</f>
        <v>#VALUE!</v>
      </c>
      <c r="KPC6" s="68" t="e" cm="1" vm="1">
        <f t="array" ref="KPC6">_xlfn._xlws.FILTER(TablaProductos[Nombre producto],TablaProductos[Agrupación]=ProductosPivot!KPC5)</f>
        <v>#VALUE!</v>
      </c>
      <c r="KPD6" s="68" t="e" cm="1" vm="1">
        <f t="array" ref="KPD6">_xlfn._xlws.FILTER(TablaProductos[Nombre producto],TablaProductos[Agrupación]=ProductosPivot!KPD5)</f>
        <v>#VALUE!</v>
      </c>
      <c r="KPE6" s="68" t="e" cm="1" vm="1">
        <f t="array" ref="KPE6">_xlfn._xlws.FILTER(TablaProductos[Nombre producto],TablaProductos[Agrupación]=ProductosPivot!KPE5)</f>
        <v>#VALUE!</v>
      </c>
      <c r="KPF6" s="68" t="e" cm="1" vm="1">
        <f t="array" ref="KPF6">_xlfn._xlws.FILTER(TablaProductos[Nombre producto],TablaProductos[Agrupación]=ProductosPivot!KPF5)</f>
        <v>#VALUE!</v>
      </c>
      <c r="KPG6" s="68" t="e" cm="1" vm="1">
        <f t="array" ref="KPG6">_xlfn._xlws.FILTER(TablaProductos[Nombre producto],TablaProductos[Agrupación]=ProductosPivot!KPG5)</f>
        <v>#VALUE!</v>
      </c>
      <c r="KPH6" s="68" t="e" cm="1" vm="1">
        <f t="array" ref="KPH6">_xlfn._xlws.FILTER(TablaProductos[Nombre producto],TablaProductos[Agrupación]=ProductosPivot!KPH5)</f>
        <v>#VALUE!</v>
      </c>
      <c r="KPI6" s="68" t="e" cm="1" vm="1">
        <f t="array" ref="KPI6">_xlfn._xlws.FILTER(TablaProductos[Nombre producto],TablaProductos[Agrupación]=ProductosPivot!KPI5)</f>
        <v>#VALUE!</v>
      </c>
      <c r="KPJ6" s="68" t="e" cm="1" vm="1">
        <f t="array" ref="KPJ6">_xlfn._xlws.FILTER(TablaProductos[Nombre producto],TablaProductos[Agrupación]=ProductosPivot!KPJ5)</f>
        <v>#VALUE!</v>
      </c>
      <c r="KPK6" s="68" t="e" cm="1" vm="1">
        <f t="array" ref="KPK6">_xlfn._xlws.FILTER(TablaProductos[Nombre producto],TablaProductos[Agrupación]=ProductosPivot!KPK5)</f>
        <v>#VALUE!</v>
      </c>
      <c r="KPL6" s="68" t="e" cm="1" vm="1">
        <f t="array" ref="KPL6">_xlfn._xlws.FILTER(TablaProductos[Nombre producto],TablaProductos[Agrupación]=ProductosPivot!KPL5)</f>
        <v>#VALUE!</v>
      </c>
      <c r="KPM6" s="68" t="e" cm="1" vm="1">
        <f t="array" ref="KPM6">_xlfn._xlws.FILTER(TablaProductos[Nombre producto],TablaProductos[Agrupación]=ProductosPivot!KPM5)</f>
        <v>#VALUE!</v>
      </c>
      <c r="KPN6" s="68" t="e" cm="1" vm="1">
        <f t="array" ref="KPN6">_xlfn._xlws.FILTER(TablaProductos[Nombre producto],TablaProductos[Agrupación]=ProductosPivot!KPN5)</f>
        <v>#VALUE!</v>
      </c>
      <c r="KPO6" s="68" t="e" cm="1" vm="1">
        <f t="array" ref="KPO6">_xlfn._xlws.FILTER(TablaProductos[Nombre producto],TablaProductos[Agrupación]=ProductosPivot!KPO5)</f>
        <v>#VALUE!</v>
      </c>
      <c r="KPP6" s="68" t="e" cm="1" vm="1">
        <f t="array" ref="KPP6">_xlfn._xlws.FILTER(TablaProductos[Nombre producto],TablaProductos[Agrupación]=ProductosPivot!KPP5)</f>
        <v>#VALUE!</v>
      </c>
      <c r="KPQ6" s="68" t="e" cm="1" vm="1">
        <f t="array" ref="KPQ6">_xlfn._xlws.FILTER(TablaProductos[Nombre producto],TablaProductos[Agrupación]=ProductosPivot!KPQ5)</f>
        <v>#VALUE!</v>
      </c>
      <c r="KPR6" s="68" t="e" cm="1" vm="1">
        <f t="array" ref="KPR6">_xlfn._xlws.FILTER(TablaProductos[Nombre producto],TablaProductos[Agrupación]=ProductosPivot!KPR5)</f>
        <v>#VALUE!</v>
      </c>
      <c r="KPS6" s="68" t="e" cm="1" vm="1">
        <f t="array" ref="KPS6">_xlfn._xlws.FILTER(TablaProductos[Nombre producto],TablaProductos[Agrupación]=ProductosPivot!KPS5)</f>
        <v>#VALUE!</v>
      </c>
      <c r="KPT6" s="68" t="e" cm="1" vm="1">
        <f t="array" ref="KPT6">_xlfn._xlws.FILTER(TablaProductos[Nombre producto],TablaProductos[Agrupación]=ProductosPivot!KPT5)</f>
        <v>#VALUE!</v>
      </c>
      <c r="KPU6" s="68" t="e" cm="1" vm="1">
        <f t="array" ref="KPU6">_xlfn._xlws.FILTER(TablaProductos[Nombre producto],TablaProductos[Agrupación]=ProductosPivot!KPU5)</f>
        <v>#VALUE!</v>
      </c>
      <c r="KPV6" s="68" t="e" cm="1" vm="1">
        <f t="array" ref="KPV6">_xlfn._xlws.FILTER(TablaProductos[Nombre producto],TablaProductos[Agrupación]=ProductosPivot!KPV5)</f>
        <v>#VALUE!</v>
      </c>
      <c r="KPW6" s="68" t="e" cm="1" vm="1">
        <f t="array" ref="KPW6">_xlfn._xlws.FILTER(TablaProductos[Nombre producto],TablaProductos[Agrupación]=ProductosPivot!KPW5)</f>
        <v>#VALUE!</v>
      </c>
      <c r="KPX6" s="68" t="e" cm="1" vm="1">
        <f t="array" ref="KPX6">_xlfn._xlws.FILTER(TablaProductos[Nombre producto],TablaProductos[Agrupación]=ProductosPivot!KPX5)</f>
        <v>#VALUE!</v>
      </c>
      <c r="KPY6" s="68" t="e" cm="1" vm="1">
        <f t="array" ref="KPY6">_xlfn._xlws.FILTER(TablaProductos[Nombre producto],TablaProductos[Agrupación]=ProductosPivot!KPY5)</f>
        <v>#VALUE!</v>
      </c>
      <c r="KPZ6" s="68" t="e" cm="1" vm="1">
        <f t="array" ref="KPZ6">_xlfn._xlws.FILTER(TablaProductos[Nombre producto],TablaProductos[Agrupación]=ProductosPivot!KPZ5)</f>
        <v>#VALUE!</v>
      </c>
      <c r="KQA6" s="68" t="e" cm="1" vm="1">
        <f t="array" ref="KQA6">_xlfn._xlws.FILTER(TablaProductos[Nombre producto],TablaProductos[Agrupación]=ProductosPivot!KQA5)</f>
        <v>#VALUE!</v>
      </c>
      <c r="KQB6" s="68" t="e" cm="1" vm="1">
        <f t="array" ref="KQB6">_xlfn._xlws.FILTER(TablaProductos[Nombre producto],TablaProductos[Agrupación]=ProductosPivot!KQB5)</f>
        <v>#VALUE!</v>
      </c>
      <c r="KQC6" s="68" t="e" cm="1" vm="1">
        <f t="array" ref="KQC6">_xlfn._xlws.FILTER(TablaProductos[Nombre producto],TablaProductos[Agrupación]=ProductosPivot!KQC5)</f>
        <v>#VALUE!</v>
      </c>
      <c r="KQD6" s="68" t="e" cm="1" vm="1">
        <f t="array" ref="KQD6">_xlfn._xlws.FILTER(TablaProductos[Nombre producto],TablaProductos[Agrupación]=ProductosPivot!KQD5)</f>
        <v>#VALUE!</v>
      </c>
      <c r="KQE6" s="68" t="e" cm="1" vm="1">
        <f t="array" ref="KQE6">_xlfn._xlws.FILTER(TablaProductos[Nombre producto],TablaProductos[Agrupación]=ProductosPivot!KQE5)</f>
        <v>#VALUE!</v>
      </c>
      <c r="KQF6" s="68" t="e" cm="1" vm="1">
        <f t="array" ref="KQF6">_xlfn._xlws.FILTER(TablaProductos[Nombre producto],TablaProductos[Agrupación]=ProductosPivot!KQF5)</f>
        <v>#VALUE!</v>
      </c>
      <c r="KQG6" s="68" t="e" cm="1" vm="1">
        <f t="array" ref="KQG6">_xlfn._xlws.FILTER(TablaProductos[Nombre producto],TablaProductos[Agrupación]=ProductosPivot!KQG5)</f>
        <v>#VALUE!</v>
      </c>
      <c r="KQH6" s="68" t="e" cm="1" vm="1">
        <f t="array" ref="KQH6">_xlfn._xlws.FILTER(TablaProductos[Nombre producto],TablaProductos[Agrupación]=ProductosPivot!KQH5)</f>
        <v>#VALUE!</v>
      </c>
      <c r="KQI6" s="68" t="e" cm="1" vm="1">
        <f t="array" ref="KQI6">_xlfn._xlws.FILTER(TablaProductos[Nombre producto],TablaProductos[Agrupación]=ProductosPivot!KQI5)</f>
        <v>#VALUE!</v>
      </c>
      <c r="KQJ6" s="68" t="e" cm="1" vm="1">
        <f t="array" ref="KQJ6">_xlfn._xlws.FILTER(TablaProductos[Nombre producto],TablaProductos[Agrupación]=ProductosPivot!KQJ5)</f>
        <v>#VALUE!</v>
      </c>
      <c r="KQK6" s="68" t="e" cm="1" vm="1">
        <f t="array" ref="KQK6">_xlfn._xlws.FILTER(TablaProductos[Nombre producto],TablaProductos[Agrupación]=ProductosPivot!KQK5)</f>
        <v>#VALUE!</v>
      </c>
      <c r="KQL6" s="68" t="e" cm="1" vm="1">
        <f t="array" ref="KQL6">_xlfn._xlws.FILTER(TablaProductos[Nombre producto],TablaProductos[Agrupación]=ProductosPivot!KQL5)</f>
        <v>#VALUE!</v>
      </c>
      <c r="KQM6" s="68" t="e" cm="1" vm="1">
        <f t="array" ref="KQM6">_xlfn._xlws.FILTER(TablaProductos[Nombre producto],TablaProductos[Agrupación]=ProductosPivot!KQM5)</f>
        <v>#VALUE!</v>
      </c>
      <c r="KQN6" s="68" t="e" cm="1" vm="1">
        <f t="array" ref="KQN6">_xlfn._xlws.FILTER(TablaProductos[Nombre producto],TablaProductos[Agrupación]=ProductosPivot!KQN5)</f>
        <v>#VALUE!</v>
      </c>
      <c r="KQO6" s="68" t="e" cm="1" vm="1">
        <f t="array" ref="KQO6">_xlfn._xlws.FILTER(TablaProductos[Nombre producto],TablaProductos[Agrupación]=ProductosPivot!KQO5)</f>
        <v>#VALUE!</v>
      </c>
      <c r="KQP6" s="68" t="e" cm="1" vm="1">
        <f t="array" ref="KQP6">_xlfn._xlws.FILTER(TablaProductos[Nombre producto],TablaProductos[Agrupación]=ProductosPivot!KQP5)</f>
        <v>#VALUE!</v>
      </c>
      <c r="KQQ6" s="68" t="e" cm="1" vm="1">
        <f t="array" ref="KQQ6">_xlfn._xlws.FILTER(TablaProductos[Nombre producto],TablaProductos[Agrupación]=ProductosPivot!KQQ5)</f>
        <v>#VALUE!</v>
      </c>
      <c r="KQR6" s="68" t="e" cm="1" vm="1">
        <f t="array" ref="KQR6">_xlfn._xlws.FILTER(TablaProductos[Nombre producto],TablaProductos[Agrupación]=ProductosPivot!KQR5)</f>
        <v>#VALUE!</v>
      </c>
      <c r="KQS6" s="68" t="e" cm="1" vm="1">
        <f t="array" ref="KQS6">_xlfn._xlws.FILTER(TablaProductos[Nombre producto],TablaProductos[Agrupación]=ProductosPivot!KQS5)</f>
        <v>#VALUE!</v>
      </c>
      <c r="KQT6" s="68" t="e" cm="1" vm="1">
        <f t="array" ref="KQT6">_xlfn._xlws.FILTER(TablaProductos[Nombre producto],TablaProductos[Agrupación]=ProductosPivot!KQT5)</f>
        <v>#VALUE!</v>
      </c>
      <c r="KQU6" s="68" t="e" cm="1" vm="1">
        <f t="array" ref="KQU6">_xlfn._xlws.FILTER(TablaProductos[Nombre producto],TablaProductos[Agrupación]=ProductosPivot!KQU5)</f>
        <v>#VALUE!</v>
      </c>
      <c r="KQV6" s="68" t="e" cm="1" vm="1">
        <f t="array" ref="KQV6">_xlfn._xlws.FILTER(TablaProductos[Nombre producto],TablaProductos[Agrupación]=ProductosPivot!KQV5)</f>
        <v>#VALUE!</v>
      </c>
      <c r="KQW6" s="68" t="e" cm="1" vm="1">
        <f t="array" ref="KQW6">_xlfn._xlws.FILTER(TablaProductos[Nombre producto],TablaProductos[Agrupación]=ProductosPivot!KQW5)</f>
        <v>#VALUE!</v>
      </c>
      <c r="KQX6" s="68" t="e" cm="1" vm="1">
        <f t="array" ref="KQX6">_xlfn._xlws.FILTER(TablaProductos[Nombre producto],TablaProductos[Agrupación]=ProductosPivot!KQX5)</f>
        <v>#VALUE!</v>
      </c>
      <c r="KQY6" s="68" t="e" cm="1" vm="1">
        <f t="array" ref="KQY6">_xlfn._xlws.FILTER(TablaProductos[Nombre producto],TablaProductos[Agrupación]=ProductosPivot!KQY5)</f>
        <v>#VALUE!</v>
      </c>
      <c r="KQZ6" s="68" t="e" cm="1" vm="1">
        <f t="array" ref="KQZ6">_xlfn._xlws.FILTER(TablaProductos[Nombre producto],TablaProductos[Agrupación]=ProductosPivot!KQZ5)</f>
        <v>#VALUE!</v>
      </c>
      <c r="KRA6" s="68" t="e" cm="1" vm="1">
        <f t="array" ref="KRA6">_xlfn._xlws.FILTER(TablaProductos[Nombre producto],TablaProductos[Agrupación]=ProductosPivot!KRA5)</f>
        <v>#VALUE!</v>
      </c>
      <c r="KRB6" s="68" t="e" cm="1" vm="1">
        <f t="array" ref="KRB6">_xlfn._xlws.FILTER(TablaProductos[Nombre producto],TablaProductos[Agrupación]=ProductosPivot!KRB5)</f>
        <v>#VALUE!</v>
      </c>
      <c r="KRC6" s="68" t="e" cm="1" vm="1">
        <f t="array" ref="KRC6">_xlfn._xlws.FILTER(TablaProductos[Nombre producto],TablaProductos[Agrupación]=ProductosPivot!KRC5)</f>
        <v>#VALUE!</v>
      </c>
      <c r="KRD6" s="68" t="e" cm="1" vm="1">
        <f t="array" ref="KRD6">_xlfn._xlws.FILTER(TablaProductos[Nombre producto],TablaProductos[Agrupación]=ProductosPivot!KRD5)</f>
        <v>#VALUE!</v>
      </c>
      <c r="KRE6" s="68" t="e" cm="1" vm="1">
        <f t="array" ref="KRE6">_xlfn._xlws.FILTER(TablaProductos[Nombre producto],TablaProductos[Agrupación]=ProductosPivot!KRE5)</f>
        <v>#VALUE!</v>
      </c>
      <c r="KRF6" s="68" t="e" cm="1" vm="1">
        <f t="array" ref="KRF6">_xlfn._xlws.FILTER(TablaProductos[Nombre producto],TablaProductos[Agrupación]=ProductosPivot!KRF5)</f>
        <v>#VALUE!</v>
      </c>
      <c r="KRG6" s="68" t="e" cm="1" vm="1">
        <f t="array" ref="KRG6">_xlfn._xlws.FILTER(TablaProductos[Nombre producto],TablaProductos[Agrupación]=ProductosPivot!KRG5)</f>
        <v>#VALUE!</v>
      </c>
      <c r="KRH6" s="68" t="e" cm="1" vm="1">
        <f t="array" ref="KRH6">_xlfn._xlws.FILTER(TablaProductos[Nombre producto],TablaProductos[Agrupación]=ProductosPivot!KRH5)</f>
        <v>#VALUE!</v>
      </c>
      <c r="KRI6" s="68" t="e" cm="1" vm="1">
        <f t="array" ref="KRI6">_xlfn._xlws.FILTER(TablaProductos[Nombre producto],TablaProductos[Agrupación]=ProductosPivot!KRI5)</f>
        <v>#VALUE!</v>
      </c>
      <c r="KRJ6" s="68" t="e" cm="1" vm="1">
        <f t="array" ref="KRJ6">_xlfn._xlws.FILTER(TablaProductos[Nombre producto],TablaProductos[Agrupación]=ProductosPivot!KRJ5)</f>
        <v>#VALUE!</v>
      </c>
      <c r="KRK6" s="68" t="e" cm="1" vm="1">
        <f t="array" ref="KRK6">_xlfn._xlws.FILTER(TablaProductos[Nombre producto],TablaProductos[Agrupación]=ProductosPivot!KRK5)</f>
        <v>#VALUE!</v>
      </c>
      <c r="KRL6" s="68" t="e" cm="1" vm="1">
        <f t="array" ref="KRL6">_xlfn._xlws.FILTER(TablaProductos[Nombre producto],TablaProductos[Agrupación]=ProductosPivot!KRL5)</f>
        <v>#VALUE!</v>
      </c>
      <c r="KRM6" s="68" t="e" cm="1" vm="1">
        <f t="array" ref="KRM6">_xlfn._xlws.FILTER(TablaProductos[Nombre producto],TablaProductos[Agrupación]=ProductosPivot!KRM5)</f>
        <v>#VALUE!</v>
      </c>
      <c r="KRN6" s="68" t="e" cm="1" vm="1">
        <f t="array" ref="KRN6">_xlfn._xlws.FILTER(TablaProductos[Nombre producto],TablaProductos[Agrupación]=ProductosPivot!KRN5)</f>
        <v>#VALUE!</v>
      </c>
      <c r="KRO6" s="68" t="e" cm="1" vm="1">
        <f t="array" ref="KRO6">_xlfn._xlws.FILTER(TablaProductos[Nombre producto],TablaProductos[Agrupación]=ProductosPivot!KRO5)</f>
        <v>#VALUE!</v>
      </c>
      <c r="KRP6" s="68" t="e" cm="1" vm="1">
        <f t="array" ref="KRP6">_xlfn._xlws.FILTER(TablaProductos[Nombre producto],TablaProductos[Agrupación]=ProductosPivot!KRP5)</f>
        <v>#VALUE!</v>
      </c>
      <c r="KRQ6" s="68" t="e" cm="1" vm="1">
        <f t="array" ref="KRQ6">_xlfn._xlws.FILTER(TablaProductos[Nombre producto],TablaProductos[Agrupación]=ProductosPivot!KRQ5)</f>
        <v>#VALUE!</v>
      </c>
      <c r="KRR6" s="68" t="e" cm="1" vm="1">
        <f t="array" ref="KRR6">_xlfn._xlws.FILTER(TablaProductos[Nombre producto],TablaProductos[Agrupación]=ProductosPivot!KRR5)</f>
        <v>#VALUE!</v>
      </c>
      <c r="KRS6" s="68" t="e" cm="1" vm="1">
        <f t="array" ref="KRS6">_xlfn._xlws.FILTER(TablaProductos[Nombre producto],TablaProductos[Agrupación]=ProductosPivot!KRS5)</f>
        <v>#VALUE!</v>
      </c>
      <c r="KRT6" s="68" t="e" cm="1" vm="1">
        <f t="array" ref="KRT6">_xlfn._xlws.FILTER(TablaProductos[Nombre producto],TablaProductos[Agrupación]=ProductosPivot!KRT5)</f>
        <v>#VALUE!</v>
      </c>
      <c r="KRU6" s="68" t="e" cm="1" vm="1">
        <f t="array" ref="KRU6">_xlfn._xlws.FILTER(TablaProductos[Nombre producto],TablaProductos[Agrupación]=ProductosPivot!KRU5)</f>
        <v>#VALUE!</v>
      </c>
      <c r="KRV6" s="68" t="e" cm="1" vm="1">
        <f t="array" ref="KRV6">_xlfn._xlws.FILTER(TablaProductos[Nombre producto],TablaProductos[Agrupación]=ProductosPivot!KRV5)</f>
        <v>#VALUE!</v>
      </c>
      <c r="KRW6" s="68" t="e" cm="1" vm="1">
        <f t="array" ref="KRW6">_xlfn._xlws.FILTER(TablaProductos[Nombre producto],TablaProductos[Agrupación]=ProductosPivot!KRW5)</f>
        <v>#VALUE!</v>
      </c>
      <c r="KRX6" s="68" t="e" cm="1" vm="1">
        <f t="array" ref="KRX6">_xlfn._xlws.FILTER(TablaProductos[Nombre producto],TablaProductos[Agrupación]=ProductosPivot!KRX5)</f>
        <v>#VALUE!</v>
      </c>
      <c r="KRY6" s="68" t="e" cm="1" vm="1">
        <f t="array" ref="KRY6">_xlfn._xlws.FILTER(TablaProductos[Nombre producto],TablaProductos[Agrupación]=ProductosPivot!KRY5)</f>
        <v>#VALUE!</v>
      </c>
      <c r="KRZ6" s="68" t="e" cm="1" vm="1">
        <f t="array" ref="KRZ6">_xlfn._xlws.FILTER(TablaProductos[Nombre producto],TablaProductos[Agrupación]=ProductosPivot!KRZ5)</f>
        <v>#VALUE!</v>
      </c>
      <c r="KSA6" s="68" t="e" cm="1" vm="1">
        <f t="array" ref="KSA6">_xlfn._xlws.FILTER(TablaProductos[Nombre producto],TablaProductos[Agrupación]=ProductosPivot!KSA5)</f>
        <v>#VALUE!</v>
      </c>
      <c r="KSB6" s="68" t="e" cm="1" vm="1">
        <f t="array" ref="KSB6">_xlfn._xlws.FILTER(TablaProductos[Nombre producto],TablaProductos[Agrupación]=ProductosPivot!KSB5)</f>
        <v>#VALUE!</v>
      </c>
      <c r="KSC6" s="68" t="e" cm="1" vm="1">
        <f t="array" ref="KSC6">_xlfn._xlws.FILTER(TablaProductos[Nombre producto],TablaProductos[Agrupación]=ProductosPivot!KSC5)</f>
        <v>#VALUE!</v>
      </c>
      <c r="KSD6" s="68" t="e" cm="1" vm="1">
        <f t="array" ref="KSD6">_xlfn._xlws.FILTER(TablaProductos[Nombre producto],TablaProductos[Agrupación]=ProductosPivot!KSD5)</f>
        <v>#VALUE!</v>
      </c>
      <c r="KSE6" s="68" t="e" cm="1" vm="1">
        <f t="array" ref="KSE6">_xlfn._xlws.FILTER(TablaProductos[Nombre producto],TablaProductos[Agrupación]=ProductosPivot!KSE5)</f>
        <v>#VALUE!</v>
      </c>
      <c r="KSF6" s="68" t="e" cm="1" vm="1">
        <f t="array" ref="KSF6">_xlfn._xlws.FILTER(TablaProductos[Nombre producto],TablaProductos[Agrupación]=ProductosPivot!KSF5)</f>
        <v>#VALUE!</v>
      </c>
      <c r="KSG6" s="68" t="e" cm="1" vm="1">
        <f t="array" ref="KSG6">_xlfn._xlws.FILTER(TablaProductos[Nombre producto],TablaProductos[Agrupación]=ProductosPivot!KSG5)</f>
        <v>#VALUE!</v>
      </c>
      <c r="KSH6" s="68" t="e" cm="1" vm="1">
        <f t="array" ref="KSH6">_xlfn._xlws.FILTER(TablaProductos[Nombre producto],TablaProductos[Agrupación]=ProductosPivot!KSH5)</f>
        <v>#VALUE!</v>
      </c>
      <c r="KSI6" s="68" t="e" cm="1" vm="1">
        <f t="array" ref="KSI6">_xlfn._xlws.FILTER(TablaProductos[Nombre producto],TablaProductos[Agrupación]=ProductosPivot!KSI5)</f>
        <v>#VALUE!</v>
      </c>
      <c r="KSJ6" s="68" t="e" cm="1" vm="1">
        <f t="array" ref="KSJ6">_xlfn._xlws.FILTER(TablaProductos[Nombre producto],TablaProductos[Agrupación]=ProductosPivot!KSJ5)</f>
        <v>#VALUE!</v>
      </c>
      <c r="KSK6" s="68" t="e" cm="1" vm="1">
        <f t="array" ref="KSK6">_xlfn._xlws.FILTER(TablaProductos[Nombre producto],TablaProductos[Agrupación]=ProductosPivot!KSK5)</f>
        <v>#VALUE!</v>
      </c>
      <c r="KSL6" s="68" t="e" cm="1" vm="1">
        <f t="array" ref="KSL6">_xlfn._xlws.FILTER(TablaProductos[Nombre producto],TablaProductos[Agrupación]=ProductosPivot!KSL5)</f>
        <v>#VALUE!</v>
      </c>
      <c r="KSM6" s="68" t="e" cm="1" vm="1">
        <f t="array" ref="KSM6">_xlfn._xlws.FILTER(TablaProductos[Nombre producto],TablaProductos[Agrupación]=ProductosPivot!KSM5)</f>
        <v>#VALUE!</v>
      </c>
      <c r="KSN6" s="68" t="e" cm="1" vm="1">
        <f t="array" ref="KSN6">_xlfn._xlws.FILTER(TablaProductos[Nombre producto],TablaProductos[Agrupación]=ProductosPivot!KSN5)</f>
        <v>#VALUE!</v>
      </c>
      <c r="KSO6" s="68" t="e" cm="1" vm="1">
        <f t="array" ref="KSO6">_xlfn._xlws.FILTER(TablaProductos[Nombre producto],TablaProductos[Agrupación]=ProductosPivot!KSO5)</f>
        <v>#VALUE!</v>
      </c>
      <c r="KSP6" s="68" t="e" cm="1" vm="1">
        <f t="array" ref="KSP6">_xlfn._xlws.FILTER(TablaProductos[Nombre producto],TablaProductos[Agrupación]=ProductosPivot!KSP5)</f>
        <v>#VALUE!</v>
      </c>
      <c r="KSQ6" s="68" t="e" cm="1" vm="1">
        <f t="array" ref="KSQ6">_xlfn._xlws.FILTER(TablaProductos[Nombre producto],TablaProductos[Agrupación]=ProductosPivot!KSQ5)</f>
        <v>#VALUE!</v>
      </c>
      <c r="KSR6" s="68" t="e" cm="1" vm="1">
        <f t="array" ref="KSR6">_xlfn._xlws.FILTER(TablaProductos[Nombre producto],TablaProductos[Agrupación]=ProductosPivot!KSR5)</f>
        <v>#VALUE!</v>
      </c>
      <c r="KSS6" s="68" t="e" cm="1" vm="1">
        <f t="array" ref="KSS6">_xlfn._xlws.FILTER(TablaProductos[Nombre producto],TablaProductos[Agrupación]=ProductosPivot!KSS5)</f>
        <v>#VALUE!</v>
      </c>
      <c r="KST6" s="68" t="e" cm="1" vm="1">
        <f t="array" ref="KST6">_xlfn._xlws.FILTER(TablaProductos[Nombre producto],TablaProductos[Agrupación]=ProductosPivot!KST5)</f>
        <v>#VALUE!</v>
      </c>
      <c r="KSU6" s="68" t="e" cm="1" vm="1">
        <f t="array" ref="KSU6">_xlfn._xlws.FILTER(TablaProductos[Nombre producto],TablaProductos[Agrupación]=ProductosPivot!KSU5)</f>
        <v>#VALUE!</v>
      </c>
      <c r="KSV6" s="68" t="e" cm="1" vm="1">
        <f t="array" ref="KSV6">_xlfn._xlws.FILTER(TablaProductos[Nombre producto],TablaProductos[Agrupación]=ProductosPivot!KSV5)</f>
        <v>#VALUE!</v>
      </c>
      <c r="KSW6" s="68" t="e" cm="1" vm="1">
        <f t="array" ref="KSW6">_xlfn._xlws.FILTER(TablaProductos[Nombre producto],TablaProductos[Agrupación]=ProductosPivot!KSW5)</f>
        <v>#VALUE!</v>
      </c>
      <c r="KSX6" s="68" t="e" cm="1" vm="1">
        <f t="array" ref="KSX6">_xlfn._xlws.FILTER(TablaProductos[Nombre producto],TablaProductos[Agrupación]=ProductosPivot!KSX5)</f>
        <v>#VALUE!</v>
      </c>
      <c r="KSY6" s="68" t="e" cm="1" vm="1">
        <f t="array" ref="KSY6">_xlfn._xlws.FILTER(TablaProductos[Nombre producto],TablaProductos[Agrupación]=ProductosPivot!KSY5)</f>
        <v>#VALUE!</v>
      </c>
      <c r="KSZ6" s="68" t="e" cm="1" vm="1">
        <f t="array" ref="KSZ6">_xlfn._xlws.FILTER(TablaProductos[Nombre producto],TablaProductos[Agrupación]=ProductosPivot!KSZ5)</f>
        <v>#VALUE!</v>
      </c>
      <c r="KTA6" s="68" t="e" cm="1" vm="1">
        <f t="array" ref="KTA6">_xlfn._xlws.FILTER(TablaProductos[Nombre producto],TablaProductos[Agrupación]=ProductosPivot!KTA5)</f>
        <v>#VALUE!</v>
      </c>
      <c r="KTB6" s="68" t="e" cm="1" vm="1">
        <f t="array" ref="KTB6">_xlfn._xlws.FILTER(TablaProductos[Nombre producto],TablaProductos[Agrupación]=ProductosPivot!KTB5)</f>
        <v>#VALUE!</v>
      </c>
      <c r="KTC6" s="68" t="e" cm="1" vm="1">
        <f t="array" ref="KTC6">_xlfn._xlws.FILTER(TablaProductos[Nombre producto],TablaProductos[Agrupación]=ProductosPivot!KTC5)</f>
        <v>#VALUE!</v>
      </c>
      <c r="KTD6" s="68" t="e" cm="1" vm="1">
        <f t="array" ref="KTD6">_xlfn._xlws.FILTER(TablaProductos[Nombre producto],TablaProductos[Agrupación]=ProductosPivot!KTD5)</f>
        <v>#VALUE!</v>
      </c>
      <c r="KTE6" s="68" t="e" cm="1" vm="1">
        <f t="array" ref="KTE6">_xlfn._xlws.FILTER(TablaProductos[Nombre producto],TablaProductos[Agrupación]=ProductosPivot!KTE5)</f>
        <v>#VALUE!</v>
      </c>
      <c r="KTF6" s="68" t="e" cm="1" vm="1">
        <f t="array" ref="KTF6">_xlfn._xlws.FILTER(TablaProductos[Nombre producto],TablaProductos[Agrupación]=ProductosPivot!KTF5)</f>
        <v>#VALUE!</v>
      </c>
      <c r="KTG6" s="68" t="e" cm="1" vm="1">
        <f t="array" ref="KTG6">_xlfn._xlws.FILTER(TablaProductos[Nombre producto],TablaProductos[Agrupación]=ProductosPivot!KTG5)</f>
        <v>#VALUE!</v>
      </c>
      <c r="KTH6" s="68" t="e" cm="1" vm="1">
        <f t="array" ref="KTH6">_xlfn._xlws.FILTER(TablaProductos[Nombre producto],TablaProductos[Agrupación]=ProductosPivot!KTH5)</f>
        <v>#VALUE!</v>
      </c>
      <c r="KTI6" s="68" t="e" cm="1" vm="1">
        <f t="array" ref="KTI6">_xlfn._xlws.FILTER(TablaProductos[Nombre producto],TablaProductos[Agrupación]=ProductosPivot!KTI5)</f>
        <v>#VALUE!</v>
      </c>
      <c r="KTJ6" s="68" t="e" cm="1" vm="1">
        <f t="array" ref="KTJ6">_xlfn._xlws.FILTER(TablaProductos[Nombre producto],TablaProductos[Agrupación]=ProductosPivot!KTJ5)</f>
        <v>#VALUE!</v>
      </c>
      <c r="KTK6" s="68" t="e" cm="1" vm="1">
        <f t="array" ref="KTK6">_xlfn._xlws.FILTER(TablaProductos[Nombre producto],TablaProductos[Agrupación]=ProductosPivot!KTK5)</f>
        <v>#VALUE!</v>
      </c>
      <c r="KTL6" s="68" t="e" cm="1" vm="1">
        <f t="array" ref="KTL6">_xlfn._xlws.FILTER(TablaProductos[Nombre producto],TablaProductos[Agrupación]=ProductosPivot!KTL5)</f>
        <v>#VALUE!</v>
      </c>
      <c r="KTM6" s="68" t="e" cm="1" vm="1">
        <f t="array" ref="KTM6">_xlfn._xlws.FILTER(TablaProductos[Nombre producto],TablaProductos[Agrupación]=ProductosPivot!KTM5)</f>
        <v>#VALUE!</v>
      </c>
      <c r="KTN6" s="68" t="e" cm="1" vm="1">
        <f t="array" ref="KTN6">_xlfn._xlws.FILTER(TablaProductos[Nombre producto],TablaProductos[Agrupación]=ProductosPivot!KTN5)</f>
        <v>#VALUE!</v>
      </c>
      <c r="KTO6" s="68" t="e" cm="1" vm="1">
        <f t="array" ref="KTO6">_xlfn._xlws.FILTER(TablaProductos[Nombre producto],TablaProductos[Agrupación]=ProductosPivot!KTO5)</f>
        <v>#VALUE!</v>
      </c>
      <c r="KTP6" s="68" t="e" cm="1" vm="1">
        <f t="array" ref="KTP6">_xlfn._xlws.FILTER(TablaProductos[Nombre producto],TablaProductos[Agrupación]=ProductosPivot!KTP5)</f>
        <v>#VALUE!</v>
      </c>
      <c r="KTQ6" s="68" t="e" cm="1" vm="1">
        <f t="array" ref="KTQ6">_xlfn._xlws.FILTER(TablaProductos[Nombre producto],TablaProductos[Agrupación]=ProductosPivot!KTQ5)</f>
        <v>#VALUE!</v>
      </c>
      <c r="KTR6" s="68" t="e" cm="1" vm="1">
        <f t="array" ref="KTR6">_xlfn._xlws.FILTER(TablaProductos[Nombre producto],TablaProductos[Agrupación]=ProductosPivot!KTR5)</f>
        <v>#VALUE!</v>
      </c>
      <c r="KTS6" s="68" t="e" cm="1" vm="1">
        <f t="array" ref="KTS6">_xlfn._xlws.FILTER(TablaProductos[Nombre producto],TablaProductos[Agrupación]=ProductosPivot!KTS5)</f>
        <v>#VALUE!</v>
      </c>
      <c r="KTT6" s="68" t="e" cm="1" vm="1">
        <f t="array" ref="KTT6">_xlfn._xlws.FILTER(TablaProductos[Nombre producto],TablaProductos[Agrupación]=ProductosPivot!KTT5)</f>
        <v>#VALUE!</v>
      </c>
      <c r="KTU6" s="68" t="e" cm="1" vm="1">
        <f t="array" ref="KTU6">_xlfn._xlws.FILTER(TablaProductos[Nombre producto],TablaProductos[Agrupación]=ProductosPivot!KTU5)</f>
        <v>#VALUE!</v>
      </c>
      <c r="KTV6" s="68" t="e" cm="1" vm="1">
        <f t="array" ref="KTV6">_xlfn._xlws.FILTER(TablaProductos[Nombre producto],TablaProductos[Agrupación]=ProductosPivot!KTV5)</f>
        <v>#VALUE!</v>
      </c>
      <c r="KTW6" s="68" t="e" cm="1" vm="1">
        <f t="array" ref="KTW6">_xlfn._xlws.FILTER(TablaProductos[Nombre producto],TablaProductos[Agrupación]=ProductosPivot!KTW5)</f>
        <v>#VALUE!</v>
      </c>
      <c r="KTX6" s="68" t="e" cm="1" vm="1">
        <f t="array" ref="KTX6">_xlfn._xlws.FILTER(TablaProductos[Nombre producto],TablaProductos[Agrupación]=ProductosPivot!KTX5)</f>
        <v>#VALUE!</v>
      </c>
      <c r="KTY6" s="68" t="e" cm="1" vm="1">
        <f t="array" ref="KTY6">_xlfn._xlws.FILTER(TablaProductos[Nombre producto],TablaProductos[Agrupación]=ProductosPivot!KTY5)</f>
        <v>#VALUE!</v>
      </c>
      <c r="KTZ6" s="68" t="e" cm="1" vm="1">
        <f t="array" ref="KTZ6">_xlfn._xlws.FILTER(TablaProductos[Nombre producto],TablaProductos[Agrupación]=ProductosPivot!KTZ5)</f>
        <v>#VALUE!</v>
      </c>
      <c r="KUA6" s="68" t="e" cm="1" vm="1">
        <f t="array" ref="KUA6">_xlfn._xlws.FILTER(TablaProductos[Nombre producto],TablaProductos[Agrupación]=ProductosPivot!KUA5)</f>
        <v>#VALUE!</v>
      </c>
      <c r="KUB6" s="68" t="e" cm="1" vm="1">
        <f t="array" ref="KUB6">_xlfn._xlws.FILTER(TablaProductos[Nombre producto],TablaProductos[Agrupación]=ProductosPivot!KUB5)</f>
        <v>#VALUE!</v>
      </c>
      <c r="KUC6" s="68" t="e" cm="1" vm="1">
        <f t="array" ref="KUC6">_xlfn._xlws.FILTER(TablaProductos[Nombre producto],TablaProductos[Agrupación]=ProductosPivot!KUC5)</f>
        <v>#VALUE!</v>
      </c>
      <c r="KUD6" s="68" t="e" cm="1" vm="1">
        <f t="array" ref="KUD6">_xlfn._xlws.FILTER(TablaProductos[Nombre producto],TablaProductos[Agrupación]=ProductosPivot!KUD5)</f>
        <v>#VALUE!</v>
      </c>
      <c r="KUE6" s="68" t="e" cm="1" vm="1">
        <f t="array" ref="KUE6">_xlfn._xlws.FILTER(TablaProductos[Nombre producto],TablaProductos[Agrupación]=ProductosPivot!KUE5)</f>
        <v>#VALUE!</v>
      </c>
      <c r="KUF6" s="68" t="e" cm="1" vm="1">
        <f t="array" ref="KUF6">_xlfn._xlws.FILTER(TablaProductos[Nombre producto],TablaProductos[Agrupación]=ProductosPivot!KUF5)</f>
        <v>#VALUE!</v>
      </c>
      <c r="KUG6" s="68" t="e" cm="1" vm="1">
        <f t="array" ref="KUG6">_xlfn._xlws.FILTER(TablaProductos[Nombre producto],TablaProductos[Agrupación]=ProductosPivot!KUG5)</f>
        <v>#VALUE!</v>
      </c>
      <c r="KUH6" s="68" t="e" cm="1" vm="1">
        <f t="array" ref="KUH6">_xlfn._xlws.FILTER(TablaProductos[Nombre producto],TablaProductos[Agrupación]=ProductosPivot!KUH5)</f>
        <v>#VALUE!</v>
      </c>
      <c r="KUI6" s="68" t="e" cm="1" vm="1">
        <f t="array" ref="KUI6">_xlfn._xlws.FILTER(TablaProductos[Nombre producto],TablaProductos[Agrupación]=ProductosPivot!KUI5)</f>
        <v>#VALUE!</v>
      </c>
      <c r="KUJ6" s="68" t="e" cm="1" vm="1">
        <f t="array" ref="KUJ6">_xlfn._xlws.FILTER(TablaProductos[Nombre producto],TablaProductos[Agrupación]=ProductosPivot!KUJ5)</f>
        <v>#VALUE!</v>
      </c>
      <c r="KUK6" s="68" t="e" cm="1" vm="1">
        <f t="array" ref="KUK6">_xlfn._xlws.FILTER(TablaProductos[Nombre producto],TablaProductos[Agrupación]=ProductosPivot!KUK5)</f>
        <v>#VALUE!</v>
      </c>
      <c r="KUL6" s="68" t="e" cm="1" vm="1">
        <f t="array" ref="KUL6">_xlfn._xlws.FILTER(TablaProductos[Nombre producto],TablaProductos[Agrupación]=ProductosPivot!KUL5)</f>
        <v>#VALUE!</v>
      </c>
      <c r="KUM6" s="68" t="e" cm="1" vm="1">
        <f t="array" ref="KUM6">_xlfn._xlws.FILTER(TablaProductos[Nombre producto],TablaProductos[Agrupación]=ProductosPivot!KUM5)</f>
        <v>#VALUE!</v>
      </c>
      <c r="KUN6" s="68" t="e" cm="1" vm="1">
        <f t="array" ref="KUN6">_xlfn._xlws.FILTER(TablaProductos[Nombre producto],TablaProductos[Agrupación]=ProductosPivot!KUN5)</f>
        <v>#VALUE!</v>
      </c>
      <c r="KUO6" s="68" t="e" cm="1" vm="1">
        <f t="array" ref="KUO6">_xlfn._xlws.FILTER(TablaProductos[Nombre producto],TablaProductos[Agrupación]=ProductosPivot!KUO5)</f>
        <v>#VALUE!</v>
      </c>
      <c r="KUP6" s="68" t="e" cm="1" vm="1">
        <f t="array" ref="KUP6">_xlfn._xlws.FILTER(TablaProductos[Nombre producto],TablaProductos[Agrupación]=ProductosPivot!KUP5)</f>
        <v>#VALUE!</v>
      </c>
      <c r="KUQ6" s="68" t="e" cm="1" vm="1">
        <f t="array" ref="KUQ6">_xlfn._xlws.FILTER(TablaProductos[Nombre producto],TablaProductos[Agrupación]=ProductosPivot!KUQ5)</f>
        <v>#VALUE!</v>
      </c>
      <c r="KUR6" s="68" t="e" cm="1" vm="1">
        <f t="array" ref="KUR6">_xlfn._xlws.FILTER(TablaProductos[Nombre producto],TablaProductos[Agrupación]=ProductosPivot!KUR5)</f>
        <v>#VALUE!</v>
      </c>
      <c r="KUS6" s="68" t="e" cm="1" vm="1">
        <f t="array" ref="KUS6">_xlfn._xlws.FILTER(TablaProductos[Nombre producto],TablaProductos[Agrupación]=ProductosPivot!KUS5)</f>
        <v>#VALUE!</v>
      </c>
      <c r="KUT6" s="68" t="e" cm="1" vm="1">
        <f t="array" ref="KUT6">_xlfn._xlws.FILTER(TablaProductos[Nombre producto],TablaProductos[Agrupación]=ProductosPivot!KUT5)</f>
        <v>#VALUE!</v>
      </c>
      <c r="KUU6" s="68" t="e" cm="1" vm="1">
        <f t="array" ref="KUU6">_xlfn._xlws.FILTER(TablaProductos[Nombre producto],TablaProductos[Agrupación]=ProductosPivot!KUU5)</f>
        <v>#VALUE!</v>
      </c>
      <c r="KUV6" s="68" t="e" cm="1" vm="1">
        <f t="array" ref="KUV6">_xlfn._xlws.FILTER(TablaProductos[Nombre producto],TablaProductos[Agrupación]=ProductosPivot!KUV5)</f>
        <v>#VALUE!</v>
      </c>
      <c r="KUW6" s="68" t="e" cm="1" vm="1">
        <f t="array" ref="KUW6">_xlfn._xlws.FILTER(TablaProductos[Nombre producto],TablaProductos[Agrupación]=ProductosPivot!KUW5)</f>
        <v>#VALUE!</v>
      </c>
      <c r="KUX6" s="68" t="e" cm="1" vm="1">
        <f t="array" ref="KUX6">_xlfn._xlws.FILTER(TablaProductos[Nombre producto],TablaProductos[Agrupación]=ProductosPivot!KUX5)</f>
        <v>#VALUE!</v>
      </c>
      <c r="KUY6" s="68" t="e" cm="1" vm="1">
        <f t="array" ref="KUY6">_xlfn._xlws.FILTER(TablaProductos[Nombre producto],TablaProductos[Agrupación]=ProductosPivot!KUY5)</f>
        <v>#VALUE!</v>
      </c>
      <c r="KUZ6" s="68" t="e" cm="1" vm="1">
        <f t="array" ref="KUZ6">_xlfn._xlws.FILTER(TablaProductos[Nombre producto],TablaProductos[Agrupación]=ProductosPivot!KUZ5)</f>
        <v>#VALUE!</v>
      </c>
      <c r="KVA6" s="68" t="e" cm="1" vm="1">
        <f t="array" ref="KVA6">_xlfn._xlws.FILTER(TablaProductos[Nombre producto],TablaProductos[Agrupación]=ProductosPivot!KVA5)</f>
        <v>#VALUE!</v>
      </c>
      <c r="KVB6" s="68" t="e" cm="1" vm="1">
        <f t="array" ref="KVB6">_xlfn._xlws.FILTER(TablaProductos[Nombre producto],TablaProductos[Agrupación]=ProductosPivot!KVB5)</f>
        <v>#VALUE!</v>
      </c>
      <c r="KVC6" s="68" t="e" cm="1" vm="1">
        <f t="array" ref="KVC6">_xlfn._xlws.FILTER(TablaProductos[Nombre producto],TablaProductos[Agrupación]=ProductosPivot!KVC5)</f>
        <v>#VALUE!</v>
      </c>
      <c r="KVD6" s="68" t="e" cm="1" vm="1">
        <f t="array" ref="KVD6">_xlfn._xlws.FILTER(TablaProductos[Nombre producto],TablaProductos[Agrupación]=ProductosPivot!KVD5)</f>
        <v>#VALUE!</v>
      </c>
      <c r="KVE6" s="68" t="e" cm="1" vm="1">
        <f t="array" ref="KVE6">_xlfn._xlws.FILTER(TablaProductos[Nombre producto],TablaProductos[Agrupación]=ProductosPivot!KVE5)</f>
        <v>#VALUE!</v>
      </c>
      <c r="KVF6" s="68" t="e" cm="1" vm="1">
        <f t="array" ref="KVF6">_xlfn._xlws.FILTER(TablaProductos[Nombre producto],TablaProductos[Agrupación]=ProductosPivot!KVF5)</f>
        <v>#VALUE!</v>
      </c>
      <c r="KVG6" s="68" t="e" cm="1" vm="1">
        <f t="array" ref="KVG6">_xlfn._xlws.FILTER(TablaProductos[Nombre producto],TablaProductos[Agrupación]=ProductosPivot!KVG5)</f>
        <v>#VALUE!</v>
      </c>
      <c r="KVH6" s="68" t="e" cm="1" vm="1">
        <f t="array" ref="KVH6">_xlfn._xlws.FILTER(TablaProductos[Nombre producto],TablaProductos[Agrupación]=ProductosPivot!KVH5)</f>
        <v>#VALUE!</v>
      </c>
      <c r="KVI6" s="68" t="e" cm="1" vm="1">
        <f t="array" ref="KVI6">_xlfn._xlws.FILTER(TablaProductos[Nombre producto],TablaProductos[Agrupación]=ProductosPivot!KVI5)</f>
        <v>#VALUE!</v>
      </c>
      <c r="KVJ6" s="68" t="e" cm="1" vm="1">
        <f t="array" ref="KVJ6">_xlfn._xlws.FILTER(TablaProductos[Nombre producto],TablaProductos[Agrupación]=ProductosPivot!KVJ5)</f>
        <v>#VALUE!</v>
      </c>
      <c r="KVK6" s="68" t="e" cm="1" vm="1">
        <f t="array" ref="KVK6">_xlfn._xlws.FILTER(TablaProductos[Nombre producto],TablaProductos[Agrupación]=ProductosPivot!KVK5)</f>
        <v>#VALUE!</v>
      </c>
      <c r="KVL6" s="68" t="e" cm="1" vm="1">
        <f t="array" ref="KVL6">_xlfn._xlws.FILTER(TablaProductos[Nombre producto],TablaProductos[Agrupación]=ProductosPivot!KVL5)</f>
        <v>#VALUE!</v>
      </c>
      <c r="KVM6" s="68" t="e" cm="1" vm="1">
        <f t="array" ref="KVM6">_xlfn._xlws.FILTER(TablaProductos[Nombre producto],TablaProductos[Agrupación]=ProductosPivot!KVM5)</f>
        <v>#VALUE!</v>
      </c>
      <c r="KVN6" s="68" t="e" cm="1" vm="1">
        <f t="array" ref="KVN6">_xlfn._xlws.FILTER(TablaProductos[Nombre producto],TablaProductos[Agrupación]=ProductosPivot!KVN5)</f>
        <v>#VALUE!</v>
      </c>
      <c r="KVO6" s="68" t="e" cm="1" vm="1">
        <f t="array" ref="KVO6">_xlfn._xlws.FILTER(TablaProductos[Nombre producto],TablaProductos[Agrupación]=ProductosPivot!KVO5)</f>
        <v>#VALUE!</v>
      </c>
      <c r="KVP6" s="68" t="e" cm="1" vm="1">
        <f t="array" ref="KVP6">_xlfn._xlws.FILTER(TablaProductos[Nombre producto],TablaProductos[Agrupación]=ProductosPivot!KVP5)</f>
        <v>#VALUE!</v>
      </c>
      <c r="KVQ6" s="68" t="e" cm="1" vm="1">
        <f t="array" ref="KVQ6">_xlfn._xlws.FILTER(TablaProductos[Nombre producto],TablaProductos[Agrupación]=ProductosPivot!KVQ5)</f>
        <v>#VALUE!</v>
      </c>
      <c r="KVR6" s="68" t="e" cm="1" vm="1">
        <f t="array" ref="KVR6">_xlfn._xlws.FILTER(TablaProductos[Nombre producto],TablaProductos[Agrupación]=ProductosPivot!KVR5)</f>
        <v>#VALUE!</v>
      </c>
      <c r="KVS6" s="68" t="e" cm="1" vm="1">
        <f t="array" ref="KVS6">_xlfn._xlws.FILTER(TablaProductos[Nombre producto],TablaProductos[Agrupación]=ProductosPivot!KVS5)</f>
        <v>#VALUE!</v>
      </c>
      <c r="KVT6" s="68" t="e" cm="1" vm="1">
        <f t="array" ref="KVT6">_xlfn._xlws.FILTER(TablaProductos[Nombre producto],TablaProductos[Agrupación]=ProductosPivot!KVT5)</f>
        <v>#VALUE!</v>
      </c>
      <c r="KVU6" s="68" t="e" cm="1" vm="1">
        <f t="array" ref="KVU6">_xlfn._xlws.FILTER(TablaProductos[Nombre producto],TablaProductos[Agrupación]=ProductosPivot!KVU5)</f>
        <v>#VALUE!</v>
      </c>
      <c r="KVV6" s="68" t="e" cm="1" vm="1">
        <f t="array" ref="KVV6">_xlfn._xlws.FILTER(TablaProductos[Nombre producto],TablaProductos[Agrupación]=ProductosPivot!KVV5)</f>
        <v>#VALUE!</v>
      </c>
      <c r="KVW6" s="68" t="e" cm="1" vm="1">
        <f t="array" ref="KVW6">_xlfn._xlws.FILTER(TablaProductos[Nombre producto],TablaProductos[Agrupación]=ProductosPivot!KVW5)</f>
        <v>#VALUE!</v>
      </c>
      <c r="KVX6" s="68" t="e" cm="1" vm="1">
        <f t="array" ref="KVX6">_xlfn._xlws.FILTER(TablaProductos[Nombre producto],TablaProductos[Agrupación]=ProductosPivot!KVX5)</f>
        <v>#VALUE!</v>
      </c>
      <c r="KVY6" s="68" t="e" cm="1" vm="1">
        <f t="array" ref="KVY6">_xlfn._xlws.FILTER(TablaProductos[Nombre producto],TablaProductos[Agrupación]=ProductosPivot!KVY5)</f>
        <v>#VALUE!</v>
      </c>
      <c r="KVZ6" s="68" t="e" cm="1" vm="1">
        <f t="array" ref="KVZ6">_xlfn._xlws.FILTER(TablaProductos[Nombre producto],TablaProductos[Agrupación]=ProductosPivot!KVZ5)</f>
        <v>#VALUE!</v>
      </c>
      <c r="KWA6" s="68" t="e" cm="1" vm="1">
        <f t="array" ref="KWA6">_xlfn._xlws.FILTER(TablaProductos[Nombre producto],TablaProductos[Agrupación]=ProductosPivot!KWA5)</f>
        <v>#VALUE!</v>
      </c>
      <c r="KWB6" s="68" t="e" cm="1" vm="1">
        <f t="array" ref="KWB6">_xlfn._xlws.FILTER(TablaProductos[Nombre producto],TablaProductos[Agrupación]=ProductosPivot!KWB5)</f>
        <v>#VALUE!</v>
      </c>
      <c r="KWC6" s="68" t="e" cm="1" vm="1">
        <f t="array" ref="KWC6">_xlfn._xlws.FILTER(TablaProductos[Nombre producto],TablaProductos[Agrupación]=ProductosPivot!KWC5)</f>
        <v>#VALUE!</v>
      </c>
      <c r="KWD6" s="68" t="e" cm="1" vm="1">
        <f t="array" ref="KWD6">_xlfn._xlws.FILTER(TablaProductos[Nombre producto],TablaProductos[Agrupación]=ProductosPivot!KWD5)</f>
        <v>#VALUE!</v>
      </c>
      <c r="KWE6" s="68" t="e" cm="1" vm="1">
        <f t="array" ref="KWE6">_xlfn._xlws.FILTER(TablaProductos[Nombre producto],TablaProductos[Agrupación]=ProductosPivot!KWE5)</f>
        <v>#VALUE!</v>
      </c>
      <c r="KWF6" s="68" t="e" cm="1" vm="1">
        <f t="array" ref="KWF6">_xlfn._xlws.FILTER(TablaProductos[Nombre producto],TablaProductos[Agrupación]=ProductosPivot!KWF5)</f>
        <v>#VALUE!</v>
      </c>
      <c r="KWG6" s="68" t="e" cm="1" vm="1">
        <f t="array" ref="KWG6">_xlfn._xlws.FILTER(TablaProductos[Nombre producto],TablaProductos[Agrupación]=ProductosPivot!KWG5)</f>
        <v>#VALUE!</v>
      </c>
      <c r="KWH6" s="68" t="e" cm="1" vm="1">
        <f t="array" ref="KWH6">_xlfn._xlws.FILTER(TablaProductos[Nombre producto],TablaProductos[Agrupación]=ProductosPivot!KWH5)</f>
        <v>#VALUE!</v>
      </c>
      <c r="KWI6" s="68" t="e" cm="1" vm="1">
        <f t="array" ref="KWI6">_xlfn._xlws.FILTER(TablaProductos[Nombre producto],TablaProductos[Agrupación]=ProductosPivot!KWI5)</f>
        <v>#VALUE!</v>
      </c>
      <c r="KWJ6" s="68" t="e" cm="1" vm="1">
        <f t="array" ref="KWJ6">_xlfn._xlws.FILTER(TablaProductos[Nombre producto],TablaProductos[Agrupación]=ProductosPivot!KWJ5)</f>
        <v>#VALUE!</v>
      </c>
      <c r="KWK6" s="68" t="e" cm="1" vm="1">
        <f t="array" ref="KWK6">_xlfn._xlws.FILTER(TablaProductos[Nombre producto],TablaProductos[Agrupación]=ProductosPivot!KWK5)</f>
        <v>#VALUE!</v>
      </c>
      <c r="KWL6" s="68" t="e" cm="1" vm="1">
        <f t="array" ref="KWL6">_xlfn._xlws.FILTER(TablaProductos[Nombre producto],TablaProductos[Agrupación]=ProductosPivot!KWL5)</f>
        <v>#VALUE!</v>
      </c>
      <c r="KWM6" s="68" t="e" cm="1" vm="1">
        <f t="array" ref="KWM6">_xlfn._xlws.FILTER(TablaProductos[Nombre producto],TablaProductos[Agrupación]=ProductosPivot!KWM5)</f>
        <v>#VALUE!</v>
      </c>
      <c r="KWN6" s="68" t="e" cm="1" vm="1">
        <f t="array" ref="KWN6">_xlfn._xlws.FILTER(TablaProductos[Nombre producto],TablaProductos[Agrupación]=ProductosPivot!KWN5)</f>
        <v>#VALUE!</v>
      </c>
      <c r="KWO6" s="68" t="e" cm="1" vm="1">
        <f t="array" ref="KWO6">_xlfn._xlws.FILTER(TablaProductos[Nombre producto],TablaProductos[Agrupación]=ProductosPivot!KWO5)</f>
        <v>#VALUE!</v>
      </c>
      <c r="KWP6" s="68" t="e" cm="1" vm="1">
        <f t="array" ref="KWP6">_xlfn._xlws.FILTER(TablaProductos[Nombre producto],TablaProductos[Agrupación]=ProductosPivot!KWP5)</f>
        <v>#VALUE!</v>
      </c>
      <c r="KWQ6" s="68" t="e" cm="1" vm="1">
        <f t="array" ref="KWQ6">_xlfn._xlws.FILTER(TablaProductos[Nombre producto],TablaProductos[Agrupación]=ProductosPivot!KWQ5)</f>
        <v>#VALUE!</v>
      </c>
      <c r="KWR6" s="68" t="e" cm="1" vm="1">
        <f t="array" ref="KWR6">_xlfn._xlws.FILTER(TablaProductos[Nombre producto],TablaProductos[Agrupación]=ProductosPivot!KWR5)</f>
        <v>#VALUE!</v>
      </c>
      <c r="KWS6" s="68" t="e" cm="1" vm="1">
        <f t="array" ref="KWS6">_xlfn._xlws.FILTER(TablaProductos[Nombre producto],TablaProductos[Agrupación]=ProductosPivot!KWS5)</f>
        <v>#VALUE!</v>
      </c>
      <c r="KWT6" s="68" t="e" cm="1" vm="1">
        <f t="array" ref="KWT6">_xlfn._xlws.FILTER(TablaProductos[Nombre producto],TablaProductos[Agrupación]=ProductosPivot!KWT5)</f>
        <v>#VALUE!</v>
      </c>
      <c r="KWU6" s="68" t="e" cm="1" vm="1">
        <f t="array" ref="KWU6">_xlfn._xlws.FILTER(TablaProductos[Nombre producto],TablaProductos[Agrupación]=ProductosPivot!KWU5)</f>
        <v>#VALUE!</v>
      </c>
      <c r="KWV6" s="68" t="e" cm="1" vm="1">
        <f t="array" ref="KWV6">_xlfn._xlws.FILTER(TablaProductos[Nombre producto],TablaProductos[Agrupación]=ProductosPivot!KWV5)</f>
        <v>#VALUE!</v>
      </c>
      <c r="KWW6" s="68" t="e" cm="1" vm="1">
        <f t="array" ref="KWW6">_xlfn._xlws.FILTER(TablaProductos[Nombre producto],TablaProductos[Agrupación]=ProductosPivot!KWW5)</f>
        <v>#VALUE!</v>
      </c>
      <c r="KWX6" s="68" t="e" cm="1" vm="1">
        <f t="array" ref="KWX6">_xlfn._xlws.FILTER(TablaProductos[Nombre producto],TablaProductos[Agrupación]=ProductosPivot!KWX5)</f>
        <v>#VALUE!</v>
      </c>
      <c r="KWY6" s="68" t="e" cm="1" vm="1">
        <f t="array" ref="KWY6">_xlfn._xlws.FILTER(TablaProductos[Nombre producto],TablaProductos[Agrupación]=ProductosPivot!KWY5)</f>
        <v>#VALUE!</v>
      </c>
      <c r="KWZ6" s="68" t="e" cm="1" vm="1">
        <f t="array" ref="KWZ6">_xlfn._xlws.FILTER(TablaProductos[Nombre producto],TablaProductos[Agrupación]=ProductosPivot!KWZ5)</f>
        <v>#VALUE!</v>
      </c>
      <c r="KXA6" s="68" t="e" cm="1" vm="1">
        <f t="array" ref="KXA6">_xlfn._xlws.FILTER(TablaProductos[Nombre producto],TablaProductos[Agrupación]=ProductosPivot!KXA5)</f>
        <v>#VALUE!</v>
      </c>
      <c r="KXB6" s="68" t="e" cm="1" vm="1">
        <f t="array" ref="KXB6">_xlfn._xlws.FILTER(TablaProductos[Nombre producto],TablaProductos[Agrupación]=ProductosPivot!KXB5)</f>
        <v>#VALUE!</v>
      </c>
      <c r="KXC6" s="68" t="e" cm="1" vm="1">
        <f t="array" ref="KXC6">_xlfn._xlws.FILTER(TablaProductos[Nombre producto],TablaProductos[Agrupación]=ProductosPivot!KXC5)</f>
        <v>#VALUE!</v>
      </c>
      <c r="KXD6" s="68" t="e" cm="1" vm="1">
        <f t="array" ref="KXD6">_xlfn._xlws.FILTER(TablaProductos[Nombre producto],TablaProductos[Agrupación]=ProductosPivot!KXD5)</f>
        <v>#VALUE!</v>
      </c>
      <c r="KXE6" s="68" t="e" cm="1" vm="1">
        <f t="array" ref="KXE6">_xlfn._xlws.FILTER(TablaProductos[Nombre producto],TablaProductos[Agrupación]=ProductosPivot!KXE5)</f>
        <v>#VALUE!</v>
      </c>
      <c r="KXF6" s="68" t="e" cm="1" vm="1">
        <f t="array" ref="KXF6">_xlfn._xlws.FILTER(TablaProductos[Nombre producto],TablaProductos[Agrupación]=ProductosPivot!KXF5)</f>
        <v>#VALUE!</v>
      </c>
      <c r="KXG6" s="68" t="e" cm="1" vm="1">
        <f t="array" ref="KXG6">_xlfn._xlws.FILTER(TablaProductos[Nombre producto],TablaProductos[Agrupación]=ProductosPivot!KXG5)</f>
        <v>#VALUE!</v>
      </c>
      <c r="KXH6" s="68" t="e" cm="1" vm="1">
        <f t="array" ref="KXH6">_xlfn._xlws.FILTER(TablaProductos[Nombre producto],TablaProductos[Agrupación]=ProductosPivot!KXH5)</f>
        <v>#VALUE!</v>
      </c>
      <c r="KXI6" s="68" t="e" cm="1" vm="1">
        <f t="array" ref="KXI6">_xlfn._xlws.FILTER(TablaProductos[Nombre producto],TablaProductos[Agrupación]=ProductosPivot!KXI5)</f>
        <v>#VALUE!</v>
      </c>
      <c r="KXJ6" s="68" t="e" cm="1" vm="1">
        <f t="array" ref="KXJ6">_xlfn._xlws.FILTER(TablaProductos[Nombre producto],TablaProductos[Agrupación]=ProductosPivot!KXJ5)</f>
        <v>#VALUE!</v>
      </c>
      <c r="KXK6" s="68" t="e" cm="1" vm="1">
        <f t="array" ref="KXK6">_xlfn._xlws.FILTER(TablaProductos[Nombre producto],TablaProductos[Agrupación]=ProductosPivot!KXK5)</f>
        <v>#VALUE!</v>
      </c>
      <c r="KXL6" s="68" t="e" cm="1" vm="1">
        <f t="array" ref="KXL6">_xlfn._xlws.FILTER(TablaProductos[Nombre producto],TablaProductos[Agrupación]=ProductosPivot!KXL5)</f>
        <v>#VALUE!</v>
      </c>
      <c r="KXM6" s="68" t="e" cm="1" vm="1">
        <f t="array" ref="KXM6">_xlfn._xlws.FILTER(TablaProductos[Nombre producto],TablaProductos[Agrupación]=ProductosPivot!KXM5)</f>
        <v>#VALUE!</v>
      </c>
      <c r="KXN6" s="68" t="e" cm="1" vm="1">
        <f t="array" ref="KXN6">_xlfn._xlws.FILTER(TablaProductos[Nombre producto],TablaProductos[Agrupación]=ProductosPivot!KXN5)</f>
        <v>#VALUE!</v>
      </c>
      <c r="KXO6" s="68" t="e" cm="1" vm="1">
        <f t="array" ref="KXO6">_xlfn._xlws.FILTER(TablaProductos[Nombre producto],TablaProductos[Agrupación]=ProductosPivot!KXO5)</f>
        <v>#VALUE!</v>
      </c>
      <c r="KXP6" s="68" t="e" cm="1" vm="1">
        <f t="array" ref="KXP6">_xlfn._xlws.FILTER(TablaProductos[Nombre producto],TablaProductos[Agrupación]=ProductosPivot!KXP5)</f>
        <v>#VALUE!</v>
      </c>
      <c r="KXQ6" s="68" t="e" cm="1" vm="1">
        <f t="array" ref="KXQ6">_xlfn._xlws.FILTER(TablaProductos[Nombre producto],TablaProductos[Agrupación]=ProductosPivot!KXQ5)</f>
        <v>#VALUE!</v>
      </c>
      <c r="KXR6" s="68" t="e" cm="1" vm="1">
        <f t="array" ref="KXR6">_xlfn._xlws.FILTER(TablaProductos[Nombre producto],TablaProductos[Agrupación]=ProductosPivot!KXR5)</f>
        <v>#VALUE!</v>
      </c>
      <c r="KXS6" s="68" t="e" cm="1" vm="1">
        <f t="array" ref="KXS6">_xlfn._xlws.FILTER(TablaProductos[Nombre producto],TablaProductos[Agrupación]=ProductosPivot!KXS5)</f>
        <v>#VALUE!</v>
      </c>
      <c r="KXT6" s="68" t="e" cm="1" vm="1">
        <f t="array" ref="KXT6">_xlfn._xlws.FILTER(TablaProductos[Nombre producto],TablaProductos[Agrupación]=ProductosPivot!KXT5)</f>
        <v>#VALUE!</v>
      </c>
      <c r="KXU6" s="68" t="e" cm="1" vm="1">
        <f t="array" ref="KXU6">_xlfn._xlws.FILTER(TablaProductos[Nombre producto],TablaProductos[Agrupación]=ProductosPivot!KXU5)</f>
        <v>#VALUE!</v>
      </c>
      <c r="KXV6" s="68" t="e" cm="1" vm="1">
        <f t="array" ref="KXV6">_xlfn._xlws.FILTER(TablaProductos[Nombre producto],TablaProductos[Agrupación]=ProductosPivot!KXV5)</f>
        <v>#VALUE!</v>
      </c>
      <c r="KXW6" s="68" t="e" cm="1" vm="1">
        <f t="array" ref="KXW6">_xlfn._xlws.FILTER(TablaProductos[Nombre producto],TablaProductos[Agrupación]=ProductosPivot!KXW5)</f>
        <v>#VALUE!</v>
      </c>
      <c r="KXX6" s="68" t="e" cm="1" vm="1">
        <f t="array" ref="KXX6">_xlfn._xlws.FILTER(TablaProductos[Nombre producto],TablaProductos[Agrupación]=ProductosPivot!KXX5)</f>
        <v>#VALUE!</v>
      </c>
      <c r="KXY6" s="68" t="e" cm="1" vm="1">
        <f t="array" ref="KXY6">_xlfn._xlws.FILTER(TablaProductos[Nombre producto],TablaProductos[Agrupación]=ProductosPivot!KXY5)</f>
        <v>#VALUE!</v>
      </c>
      <c r="KXZ6" s="68" t="e" cm="1" vm="1">
        <f t="array" ref="KXZ6">_xlfn._xlws.FILTER(TablaProductos[Nombre producto],TablaProductos[Agrupación]=ProductosPivot!KXZ5)</f>
        <v>#VALUE!</v>
      </c>
      <c r="KYA6" s="68" t="e" cm="1" vm="1">
        <f t="array" ref="KYA6">_xlfn._xlws.FILTER(TablaProductos[Nombre producto],TablaProductos[Agrupación]=ProductosPivot!KYA5)</f>
        <v>#VALUE!</v>
      </c>
      <c r="KYB6" s="68" t="e" cm="1" vm="1">
        <f t="array" ref="KYB6">_xlfn._xlws.FILTER(TablaProductos[Nombre producto],TablaProductos[Agrupación]=ProductosPivot!KYB5)</f>
        <v>#VALUE!</v>
      </c>
      <c r="KYC6" s="68" t="e" cm="1" vm="1">
        <f t="array" ref="KYC6">_xlfn._xlws.FILTER(TablaProductos[Nombre producto],TablaProductos[Agrupación]=ProductosPivot!KYC5)</f>
        <v>#VALUE!</v>
      </c>
      <c r="KYD6" s="68" t="e" cm="1" vm="1">
        <f t="array" ref="KYD6">_xlfn._xlws.FILTER(TablaProductos[Nombre producto],TablaProductos[Agrupación]=ProductosPivot!KYD5)</f>
        <v>#VALUE!</v>
      </c>
      <c r="KYE6" s="68" t="e" cm="1" vm="1">
        <f t="array" ref="KYE6">_xlfn._xlws.FILTER(TablaProductos[Nombre producto],TablaProductos[Agrupación]=ProductosPivot!KYE5)</f>
        <v>#VALUE!</v>
      </c>
      <c r="KYF6" s="68" t="e" cm="1" vm="1">
        <f t="array" ref="KYF6">_xlfn._xlws.FILTER(TablaProductos[Nombre producto],TablaProductos[Agrupación]=ProductosPivot!KYF5)</f>
        <v>#VALUE!</v>
      </c>
      <c r="KYG6" s="68" t="e" cm="1" vm="1">
        <f t="array" ref="KYG6">_xlfn._xlws.FILTER(TablaProductos[Nombre producto],TablaProductos[Agrupación]=ProductosPivot!KYG5)</f>
        <v>#VALUE!</v>
      </c>
      <c r="KYH6" s="68" t="e" cm="1" vm="1">
        <f t="array" ref="KYH6">_xlfn._xlws.FILTER(TablaProductos[Nombre producto],TablaProductos[Agrupación]=ProductosPivot!KYH5)</f>
        <v>#VALUE!</v>
      </c>
      <c r="KYI6" s="68" t="e" cm="1" vm="1">
        <f t="array" ref="KYI6">_xlfn._xlws.FILTER(TablaProductos[Nombre producto],TablaProductos[Agrupación]=ProductosPivot!KYI5)</f>
        <v>#VALUE!</v>
      </c>
      <c r="KYJ6" s="68" t="e" cm="1" vm="1">
        <f t="array" ref="KYJ6">_xlfn._xlws.FILTER(TablaProductos[Nombre producto],TablaProductos[Agrupación]=ProductosPivot!KYJ5)</f>
        <v>#VALUE!</v>
      </c>
      <c r="KYK6" s="68" t="e" cm="1" vm="1">
        <f t="array" ref="KYK6">_xlfn._xlws.FILTER(TablaProductos[Nombre producto],TablaProductos[Agrupación]=ProductosPivot!KYK5)</f>
        <v>#VALUE!</v>
      </c>
      <c r="KYL6" s="68" t="e" cm="1" vm="1">
        <f t="array" ref="KYL6">_xlfn._xlws.FILTER(TablaProductos[Nombre producto],TablaProductos[Agrupación]=ProductosPivot!KYL5)</f>
        <v>#VALUE!</v>
      </c>
      <c r="KYM6" s="68" t="e" cm="1" vm="1">
        <f t="array" ref="KYM6">_xlfn._xlws.FILTER(TablaProductos[Nombre producto],TablaProductos[Agrupación]=ProductosPivot!KYM5)</f>
        <v>#VALUE!</v>
      </c>
      <c r="KYN6" s="68" t="e" cm="1" vm="1">
        <f t="array" ref="KYN6">_xlfn._xlws.FILTER(TablaProductos[Nombre producto],TablaProductos[Agrupación]=ProductosPivot!KYN5)</f>
        <v>#VALUE!</v>
      </c>
      <c r="KYO6" s="68" t="e" cm="1" vm="1">
        <f t="array" ref="KYO6">_xlfn._xlws.FILTER(TablaProductos[Nombre producto],TablaProductos[Agrupación]=ProductosPivot!KYO5)</f>
        <v>#VALUE!</v>
      </c>
      <c r="KYP6" s="68" t="e" cm="1" vm="1">
        <f t="array" ref="KYP6">_xlfn._xlws.FILTER(TablaProductos[Nombre producto],TablaProductos[Agrupación]=ProductosPivot!KYP5)</f>
        <v>#VALUE!</v>
      </c>
      <c r="KYQ6" s="68" t="e" cm="1" vm="1">
        <f t="array" ref="KYQ6">_xlfn._xlws.FILTER(TablaProductos[Nombre producto],TablaProductos[Agrupación]=ProductosPivot!KYQ5)</f>
        <v>#VALUE!</v>
      </c>
      <c r="KYR6" s="68" t="e" cm="1" vm="1">
        <f t="array" ref="KYR6">_xlfn._xlws.FILTER(TablaProductos[Nombre producto],TablaProductos[Agrupación]=ProductosPivot!KYR5)</f>
        <v>#VALUE!</v>
      </c>
      <c r="KYS6" s="68" t="e" cm="1" vm="1">
        <f t="array" ref="KYS6">_xlfn._xlws.FILTER(TablaProductos[Nombre producto],TablaProductos[Agrupación]=ProductosPivot!KYS5)</f>
        <v>#VALUE!</v>
      </c>
      <c r="KYT6" s="68" t="e" cm="1" vm="1">
        <f t="array" ref="KYT6">_xlfn._xlws.FILTER(TablaProductos[Nombre producto],TablaProductos[Agrupación]=ProductosPivot!KYT5)</f>
        <v>#VALUE!</v>
      </c>
      <c r="KYU6" s="68" t="e" cm="1" vm="1">
        <f t="array" ref="KYU6">_xlfn._xlws.FILTER(TablaProductos[Nombre producto],TablaProductos[Agrupación]=ProductosPivot!KYU5)</f>
        <v>#VALUE!</v>
      </c>
      <c r="KYV6" s="68" t="e" cm="1" vm="1">
        <f t="array" ref="KYV6">_xlfn._xlws.FILTER(TablaProductos[Nombre producto],TablaProductos[Agrupación]=ProductosPivot!KYV5)</f>
        <v>#VALUE!</v>
      </c>
      <c r="KYW6" s="68" t="e" cm="1" vm="1">
        <f t="array" ref="KYW6">_xlfn._xlws.FILTER(TablaProductos[Nombre producto],TablaProductos[Agrupación]=ProductosPivot!KYW5)</f>
        <v>#VALUE!</v>
      </c>
      <c r="KYX6" s="68" t="e" cm="1" vm="1">
        <f t="array" ref="KYX6">_xlfn._xlws.FILTER(TablaProductos[Nombre producto],TablaProductos[Agrupación]=ProductosPivot!KYX5)</f>
        <v>#VALUE!</v>
      </c>
      <c r="KYY6" s="68" t="e" cm="1" vm="1">
        <f t="array" ref="KYY6">_xlfn._xlws.FILTER(TablaProductos[Nombre producto],TablaProductos[Agrupación]=ProductosPivot!KYY5)</f>
        <v>#VALUE!</v>
      </c>
      <c r="KYZ6" s="68" t="e" cm="1" vm="1">
        <f t="array" ref="KYZ6">_xlfn._xlws.FILTER(TablaProductos[Nombre producto],TablaProductos[Agrupación]=ProductosPivot!KYZ5)</f>
        <v>#VALUE!</v>
      </c>
      <c r="KZA6" s="68" t="e" cm="1" vm="1">
        <f t="array" ref="KZA6">_xlfn._xlws.FILTER(TablaProductos[Nombre producto],TablaProductos[Agrupación]=ProductosPivot!KZA5)</f>
        <v>#VALUE!</v>
      </c>
      <c r="KZB6" s="68" t="e" cm="1" vm="1">
        <f t="array" ref="KZB6">_xlfn._xlws.FILTER(TablaProductos[Nombre producto],TablaProductos[Agrupación]=ProductosPivot!KZB5)</f>
        <v>#VALUE!</v>
      </c>
      <c r="KZC6" s="68" t="e" cm="1" vm="1">
        <f t="array" ref="KZC6">_xlfn._xlws.FILTER(TablaProductos[Nombre producto],TablaProductos[Agrupación]=ProductosPivot!KZC5)</f>
        <v>#VALUE!</v>
      </c>
      <c r="KZD6" s="68" t="e" cm="1" vm="1">
        <f t="array" ref="KZD6">_xlfn._xlws.FILTER(TablaProductos[Nombre producto],TablaProductos[Agrupación]=ProductosPivot!KZD5)</f>
        <v>#VALUE!</v>
      </c>
      <c r="KZE6" s="68" t="e" cm="1" vm="1">
        <f t="array" ref="KZE6">_xlfn._xlws.FILTER(TablaProductos[Nombre producto],TablaProductos[Agrupación]=ProductosPivot!KZE5)</f>
        <v>#VALUE!</v>
      </c>
      <c r="KZF6" s="68" t="e" cm="1" vm="1">
        <f t="array" ref="KZF6">_xlfn._xlws.FILTER(TablaProductos[Nombre producto],TablaProductos[Agrupación]=ProductosPivot!KZF5)</f>
        <v>#VALUE!</v>
      </c>
      <c r="KZG6" s="68" t="e" cm="1" vm="1">
        <f t="array" ref="KZG6">_xlfn._xlws.FILTER(TablaProductos[Nombre producto],TablaProductos[Agrupación]=ProductosPivot!KZG5)</f>
        <v>#VALUE!</v>
      </c>
      <c r="KZH6" s="68" t="e" cm="1" vm="1">
        <f t="array" ref="KZH6">_xlfn._xlws.FILTER(TablaProductos[Nombre producto],TablaProductos[Agrupación]=ProductosPivot!KZH5)</f>
        <v>#VALUE!</v>
      </c>
      <c r="KZI6" s="68" t="e" cm="1" vm="1">
        <f t="array" ref="KZI6">_xlfn._xlws.FILTER(TablaProductos[Nombre producto],TablaProductos[Agrupación]=ProductosPivot!KZI5)</f>
        <v>#VALUE!</v>
      </c>
      <c r="KZJ6" s="68" t="e" cm="1" vm="1">
        <f t="array" ref="KZJ6">_xlfn._xlws.FILTER(TablaProductos[Nombre producto],TablaProductos[Agrupación]=ProductosPivot!KZJ5)</f>
        <v>#VALUE!</v>
      </c>
      <c r="KZK6" s="68" t="e" cm="1" vm="1">
        <f t="array" ref="KZK6">_xlfn._xlws.FILTER(TablaProductos[Nombre producto],TablaProductos[Agrupación]=ProductosPivot!KZK5)</f>
        <v>#VALUE!</v>
      </c>
      <c r="KZL6" s="68" t="e" cm="1" vm="1">
        <f t="array" ref="KZL6">_xlfn._xlws.FILTER(TablaProductos[Nombre producto],TablaProductos[Agrupación]=ProductosPivot!KZL5)</f>
        <v>#VALUE!</v>
      </c>
      <c r="KZM6" s="68" t="e" cm="1" vm="1">
        <f t="array" ref="KZM6">_xlfn._xlws.FILTER(TablaProductos[Nombre producto],TablaProductos[Agrupación]=ProductosPivot!KZM5)</f>
        <v>#VALUE!</v>
      </c>
      <c r="KZN6" s="68" t="e" cm="1" vm="1">
        <f t="array" ref="KZN6">_xlfn._xlws.FILTER(TablaProductos[Nombre producto],TablaProductos[Agrupación]=ProductosPivot!KZN5)</f>
        <v>#VALUE!</v>
      </c>
      <c r="KZO6" s="68" t="e" cm="1" vm="1">
        <f t="array" ref="KZO6">_xlfn._xlws.FILTER(TablaProductos[Nombre producto],TablaProductos[Agrupación]=ProductosPivot!KZO5)</f>
        <v>#VALUE!</v>
      </c>
      <c r="KZP6" s="68" t="e" cm="1" vm="1">
        <f t="array" ref="KZP6">_xlfn._xlws.FILTER(TablaProductos[Nombre producto],TablaProductos[Agrupación]=ProductosPivot!KZP5)</f>
        <v>#VALUE!</v>
      </c>
      <c r="KZQ6" s="68" t="e" cm="1" vm="1">
        <f t="array" ref="KZQ6">_xlfn._xlws.FILTER(TablaProductos[Nombre producto],TablaProductos[Agrupación]=ProductosPivot!KZQ5)</f>
        <v>#VALUE!</v>
      </c>
      <c r="KZR6" s="68" t="e" cm="1" vm="1">
        <f t="array" ref="KZR6">_xlfn._xlws.FILTER(TablaProductos[Nombre producto],TablaProductos[Agrupación]=ProductosPivot!KZR5)</f>
        <v>#VALUE!</v>
      </c>
      <c r="KZS6" s="68" t="e" cm="1" vm="1">
        <f t="array" ref="KZS6">_xlfn._xlws.FILTER(TablaProductos[Nombre producto],TablaProductos[Agrupación]=ProductosPivot!KZS5)</f>
        <v>#VALUE!</v>
      </c>
      <c r="KZT6" s="68" t="e" cm="1" vm="1">
        <f t="array" ref="KZT6">_xlfn._xlws.FILTER(TablaProductos[Nombre producto],TablaProductos[Agrupación]=ProductosPivot!KZT5)</f>
        <v>#VALUE!</v>
      </c>
      <c r="KZU6" s="68" t="e" cm="1" vm="1">
        <f t="array" ref="KZU6">_xlfn._xlws.FILTER(TablaProductos[Nombre producto],TablaProductos[Agrupación]=ProductosPivot!KZU5)</f>
        <v>#VALUE!</v>
      </c>
      <c r="KZV6" s="68" t="e" cm="1" vm="1">
        <f t="array" ref="KZV6">_xlfn._xlws.FILTER(TablaProductos[Nombre producto],TablaProductos[Agrupación]=ProductosPivot!KZV5)</f>
        <v>#VALUE!</v>
      </c>
      <c r="KZW6" s="68" t="e" cm="1" vm="1">
        <f t="array" ref="KZW6">_xlfn._xlws.FILTER(TablaProductos[Nombre producto],TablaProductos[Agrupación]=ProductosPivot!KZW5)</f>
        <v>#VALUE!</v>
      </c>
      <c r="KZX6" s="68" t="e" cm="1" vm="1">
        <f t="array" ref="KZX6">_xlfn._xlws.FILTER(TablaProductos[Nombre producto],TablaProductos[Agrupación]=ProductosPivot!KZX5)</f>
        <v>#VALUE!</v>
      </c>
      <c r="KZY6" s="68" t="e" cm="1" vm="1">
        <f t="array" ref="KZY6">_xlfn._xlws.FILTER(TablaProductos[Nombre producto],TablaProductos[Agrupación]=ProductosPivot!KZY5)</f>
        <v>#VALUE!</v>
      </c>
      <c r="KZZ6" s="68" t="e" cm="1" vm="1">
        <f t="array" ref="KZZ6">_xlfn._xlws.FILTER(TablaProductos[Nombre producto],TablaProductos[Agrupación]=ProductosPivot!KZZ5)</f>
        <v>#VALUE!</v>
      </c>
      <c r="LAA6" s="68" t="e" cm="1" vm="1">
        <f t="array" ref="LAA6">_xlfn._xlws.FILTER(TablaProductos[Nombre producto],TablaProductos[Agrupación]=ProductosPivot!LAA5)</f>
        <v>#VALUE!</v>
      </c>
      <c r="LAB6" s="68" t="e" cm="1" vm="1">
        <f t="array" ref="LAB6">_xlfn._xlws.FILTER(TablaProductos[Nombre producto],TablaProductos[Agrupación]=ProductosPivot!LAB5)</f>
        <v>#VALUE!</v>
      </c>
      <c r="LAC6" s="68" t="e" cm="1" vm="1">
        <f t="array" ref="LAC6">_xlfn._xlws.FILTER(TablaProductos[Nombre producto],TablaProductos[Agrupación]=ProductosPivot!LAC5)</f>
        <v>#VALUE!</v>
      </c>
      <c r="LAD6" s="68" t="e" cm="1" vm="1">
        <f t="array" ref="LAD6">_xlfn._xlws.FILTER(TablaProductos[Nombre producto],TablaProductos[Agrupación]=ProductosPivot!LAD5)</f>
        <v>#VALUE!</v>
      </c>
      <c r="LAE6" s="68" t="e" cm="1" vm="1">
        <f t="array" ref="LAE6">_xlfn._xlws.FILTER(TablaProductos[Nombre producto],TablaProductos[Agrupación]=ProductosPivot!LAE5)</f>
        <v>#VALUE!</v>
      </c>
      <c r="LAF6" s="68" t="e" cm="1" vm="1">
        <f t="array" ref="LAF6">_xlfn._xlws.FILTER(TablaProductos[Nombre producto],TablaProductos[Agrupación]=ProductosPivot!LAF5)</f>
        <v>#VALUE!</v>
      </c>
      <c r="LAG6" s="68" t="e" cm="1" vm="1">
        <f t="array" ref="LAG6">_xlfn._xlws.FILTER(TablaProductos[Nombre producto],TablaProductos[Agrupación]=ProductosPivot!LAG5)</f>
        <v>#VALUE!</v>
      </c>
      <c r="LAH6" s="68" t="e" cm="1" vm="1">
        <f t="array" ref="LAH6">_xlfn._xlws.FILTER(TablaProductos[Nombre producto],TablaProductos[Agrupación]=ProductosPivot!LAH5)</f>
        <v>#VALUE!</v>
      </c>
      <c r="LAI6" s="68" t="e" cm="1" vm="1">
        <f t="array" ref="LAI6">_xlfn._xlws.FILTER(TablaProductos[Nombre producto],TablaProductos[Agrupación]=ProductosPivot!LAI5)</f>
        <v>#VALUE!</v>
      </c>
      <c r="LAJ6" s="68" t="e" cm="1" vm="1">
        <f t="array" ref="LAJ6">_xlfn._xlws.FILTER(TablaProductos[Nombre producto],TablaProductos[Agrupación]=ProductosPivot!LAJ5)</f>
        <v>#VALUE!</v>
      </c>
      <c r="LAK6" s="68" t="e" cm="1" vm="1">
        <f t="array" ref="LAK6">_xlfn._xlws.FILTER(TablaProductos[Nombre producto],TablaProductos[Agrupación]=ProductosPivot!LAK5)</f>
        <v>#VALUE!</v>
      </c>
      <c r="LAL6" s="68" t="e" cm="1" vm="1">
        <f t="array" ref="LAL6">_xlfn._xlws.FILTER(TablaProductos[Nombre producto],TablaProductos[Agrupación]=ProductosPivot!LAL5)</f>
        <v>#VALUE!</v>
      </c>
      <c r="LAM6" s="68" t="e" cm="1" vm="1">
        <f t="array" ref="LAM6">_xlfn._xlws.FILTER(TablaProductos[Nombre producto],TablaProductos[Agrupación]=ProductosPivot!LAM5)</f>
        <v>#VALUE!</v>
      </c>
      <c r="LAN6" s="68" t="e" cm="1" vm="1">
        <f t="array" ref="LAN6">_xlfn._xlws.FILTER(TablaProductos[Nombre producto],TablaProductos[Agrupación]=ProductosPivot!LAN5)</f>
        <v>#VALUE!</v>
      </c>
      <c r="LAO6" s="68" t="e" cm="1" vm="1">
        <f t="array" ref="LAO6">_xlfn._xlws.FILTER(TablaProductos[Nombre producto],TablaProductos[Agrupación]=ProductosPivot!LAO5)</f>
        <v>#VALUE!</v>
      </c>
      <c r="LAP6" s="68" t="e" cm="1" vm="1">
        <f t="array" ref="LAP6">_xlfn._xlws.FILTER(TablaProductos[Nombre producto],TablaProductos[Agrupación]=ProductosPivot!LAP5)</f>
        <v>#VALUE!</v>
      </c>
      <c r="LAQ6" s="68" t="e" cm="1" vm="1">
        <f t="array" ref="LAQ6">_xlfn._xlws.FILTER(TablaProductos[Nombre producto],TablaProductos[Agrupación]=ProductosPivot!LAQ5)</f>
        <v>#VALUE!</v>
      </c>
      <c r="LAR6" s="68" t="e" cm="1" vm="1">
        <f t="array" ref="LAR6">_xlfn._xlws.FILTER(TablaProductos[Nombre producto],TablaProductos[Agrupación]=ProductosPivot!LAR5)</f>
        <v>#VALUE!</v>
      </c>
      <c r="LAS6" s="68" t="e" cm="1" vm="1">
        <f t="array" ref="LAS6">_xlfn._xlws.FILTER(TablaProductos[Nombre producto],TablaProductos[Agrupación]=ProductosPivot!LAS5)</f>
        <v>#VALUE!</v>
      </c>
      <c r="LAT6" s="68" t="e" cm="1" vm="1">
        <f t="array" ref="LAT6">_xlfn._xlws.FILTER(TablaProductos[Nombre producto],TablaProductos[Agrupación]=ProductosPivot!LAT5)</f>
        <v>#VALUE!</v>
      </c>
      <c r="LAU6" s="68" t="e" cm="1" vm="1">
        <f t="array" ref="LAU6">_xlfn._xlws.FILTER(TablaProductos[Nombre producto],TablaProductos[Agrupación]=ProductosPivot!LAU5)</f>
        <v>#VALUE!</v>
      </c>
      <c r="LAV6" s="68" t="e" cm="1" vm="1">
        <f t="array" ref="LAV6">_xlfn._xlws.FILTER(TablaProductos[Nombre producto],TablaProductos[Agrupación]=ProductosPivot!LAV5)</f>
        <v>#VALUE!</v>
      </c>
      <c r="LAW6" s="68" t="e" cm="1" vm="1">
        <f t="array" ref="LAW6">_xlfn._xlws.FILTER(TablaProductos[Nombre producto],TablaProductos[Agrupación]=ProductosPivot!LAW5)</f>
        <v>#VALUE!</v>
      </c>
      <c r="LAX6" s="68" t="e" cm="1" vm="1">
        <f t="array" ref="LAX6">_xlfn._xlws.FILTER(TablaProductos[Nombre producto],TablaProductos[Agrupación]=ProductosPivot!LAX5)</f>
        <v>#VALUE!</v>
      </c>
      <c r="LAY6" s="68" t="e" cm="1" vm="1">
        <f t="array" ref="LAY6">_xlfn._xlws.FILTER(TablaProductos[Nombre producto],TablaProductos[Agrupación]=ProductosPivot!LAY5)</f>
        <v>#VALUE!</v>
      </c>
      <c r="LAZ6" s="68" t="e" cm="1" vm="1">
        <f t="array" ref="LAZ6">_xlfn._xlws.FILTER(TablaProductos[Nombre producto],TablaProductos[Agrupación]=ProductosPivot!LAZ5)</f>
        <v>#VALUE!</v>
      </c>
      <c r="LBA6" s="68" t="e" cm="1" vm="1">
        <f t="array" ref="LBA6">_xlfn._xlws.FILTER(TablaProductos[Nombre producto],TablaProductos[Agrupación]=ProductosPivot!LBA5)</f>
        <v>#VALUE!</v>
      </c>
      <c r="LBB6" s="68" t="e" cm="1" vm="1">
        <f t="array" ref="LBB6">_xlfn._xlws.FILTER(TablaProductos[Nombre producto],TablaProductos[Agrupación]=ProductosPivot!LBB5)</f>
        <v>#VALUE!</v>
      </c>
      <c r="LBC6" s="68" t="e" cm="1" vm="1">
        <f t="array" ref="LBC6">_xlfn._xlws.FILTER(TablaProductos[Nombre producto],TablaProductos[Agrupación]=ProductosPivot!LBC5)</f>
        <v>#VALUE!</v>
      </c>
      <c r="LBD6" s="68" t="e" cm="1" vm="1">
        <f t="array" ref="LBD6">_xlfn._xlws.FILTER(TablaProductos[Nombre producto],TablaProductos[Agrupación]=ProductosPivot!LBD5)</f>
        <v>#VALUE!</v>
      </c>
      <c r="LBE6" s="68" t="e" cm="1" vm="1">
        <f t="array" ref="LBE6">_xlfn._xlws.FILTER(TablaProductos[Nombre producto],TablaProductos[Agrupación]=ProductosPivot!LBE5)</f>
        <v>#VALUE!</v>
      </c>
      <c r="LBF6" s="68" t="e" cm="1" vm="1">
        <f t="array" ref="LBF6">_xlfn._xlws.FILTER(TablaProductos[Nombre producto],TablaProductos[Agrupación]=ProductosPivot!LBF5)</f>
        <v>#VALUE!</v>
      </c>
      <c r="LBG6" s="68" t="e" cm="1" vm="1">
        <f t="array" ref="LBG6">_xlfn._xlws.FILTER(TablaProductos[Nombre producto],TablaProductos[Agrupación]=ProductosPivot!LBG5)</f>
        <v>#VALUE!</v>
      </c>
      <c r="LBH6" s="68" t="e" cm="1" vm="1">
        <f t="array" ref="LBH6">_xlfn._xlws.FILTER(TablaProductos[Nombre producto],TablaProductos[Agrupación]=ProductosPivot!LBH5)</f>
        <v>#VALUE!</v>
      </c>
      <c r="LBI6" s="68" t="e" cm="1" vm="1">
        <f t="array" ref="LBI6">_xlfn._xlws.FILTER(TablaProductos[Nombre producto],TablaProductos[Agrupación]=ProductosPivot!LBI5)</f>
        <v>#VALUE!</v>
      </c>
      <c r="LBJ6" s="68" t="e" cm="1" vm="1">
        <f t="array" ref="LBJ6">_xlfn._xlws.FILTER(TablaProductos[Nombre producto],TablaProductos[Agrupación]=ProductosPivot!LBJ5)</f>
        <v>#VALUE!</v>
      </c>
      <c r="LBK6" s="68" t="e" cm="1" vm="1">
        <f t="array" ref="LBK6">_xlfn._xlws.FILTER(TablaProductos[Nombre producto],TablaProductos[Agrupación]=ProductosPivot!LBK5)</f>
        <v>#VALUE!</v>
      </c>
      <c r="LBL6" s="68" t="e" cm="1" vm="1">
        <f t="array" ref="LBL6">_xlfn._xlws.FILTER(TablaProductos[Nombre producto],TablaProductos[Agrupación]=ProductosPivot!LBL5)</f>
        <v>#VALUE!</v>
      </c>
      <c r="LBM6" s="68" t="e" cm="1" vm="1">
        <f t="array" ref="LBM6">_xlfn._xlws.FILTER(TablaProductos[Nombre producto],TablaProductos[Agrupación]=ProductosPivot!LBM5)</f>
        <v>#VALUE!</v>
      </c>
      <c r="LBN6" s="68" t="e" cm="1" vm="1">
        <f t="array" ref="LBN6">_xlfn._xlws.FILTER(TablaProductos[Nombre producto],TablaProductos[Agrupación]=ProductosPivot!LBN5)</f>
        <v>#VALUE!</v>
      </c>
      <c r="LBO6" s="68" t="e" cm="1" vm="1">
        <f t="array" ref="LBO6">_xlfn._xlws.FILTER(TablaProductos[Nombre producto],TablaProductos[Agrupación]=ProductosPivot!LBO5)</f>
        <v>#VALUE!</v>
      </c>
      <c r="LBP6" s="68" t="e" cm="1" vm="1">
        <f t="array" ref="LBP6">_xlfn._xlws.FILTER(TablaProductos[Nombre producto],TablaProductos[Agrupación]=ProductosPivot!LBP5)</f>
        <v>#VALUE!</v>
      </c>
      <c r="LBQ6" s="68" t="e" cm="1" vm="1">
        <f t="array" ref="LBQ6">_xlfn._xlws.FILTER(TablaProductos[Nombre producto],TablaProductos[Agrupación]=ProductosPivot!LBQ5)</f>
        <v>#VALUE!</v>
      </c>
      <c r="LBR6" s="68" t="e" cm="1" vm="1">
        <f t="array" ref="LBR6">_xlfn._xlws.FILTER(TablaProductos[Nombre producto],TablaProductos[Agrupación]=ProductosPivot!LBR5)</f>
        <v>#VALUE!</v>
      </c>
      <c r="LBS6" s="68" t="e" cm="1" vm="1">
        <f t="array" ref="LBS6">_xlfn._xlws.FILTER(TablaProductos[Nombre producto],TablaProductos[Agrupación]=ProductosPivot!LBS5)</f>
        <v>#VALUE!</v>
      </c>
      <c r="LBT6" s="68" t="e" cm="1" vm="1">
        <f t="array" ref="LBT6">_xlfn._xlws.FILTER(TablaProductos[Nombre producto],TablaProductos[Agrupación]=ProductosPivot!LBT5)</f>
        <v>#VALUE!</v>
      </c>
      <c r="LBU6" s="68" t="e" cm="1" vm="1">
        <f t="array" ref="LBU6">_xlfn._xlws.FILTER(TablaProductos[Nombre producto],TablaProductos[Agrupación]=ProductosPivot!LBU5)</f>
        <v>#VALUE!</v>
      </c>
      <c r="LBV6" s="68" t="e" cm="1" vm="1">
        <f t="array" ref="LBV6">_xlfn._xlws.FILTER(TablaProductos[Nombre producto],TablaProductos[Agrupación]=ProductosPivot!LBV5)</f>
        <v>#VALUE!</v>
      </c>
      <c r="LBW6" s="68" t="e" cm="1" vm="1">
        <f t="array" ref="LBW6">_xlfn._xlws.FILTER(TablaProductos[Nombre producto],TablaProductos[Agrupación]=ProductosPivot!LBW5)</f>
        <v>#VALUE!</v>
      </c>
      <c r="LBX6" s="68" t="e" cm="1" vm="1">
        <f t="array" ref="LBX6">_xlfn._xlws.FILTER(TablaProductos[Nombre producto],TablaProductos[Agrupación]=ProductosPivot!LBX5)</f>
        <v>#VALUE!</v>
      </c>
      <c r="LBY6" s="68" t="e" cm="1" vm="1">
        <f t="array" ref="LBY6">_xlfn._xlws.FILTER(TablaProductos[Nombre producto],TablaProductos[Agrupación]=ProductosPivot!LBY5)</f>
        <v>#VALUE!</v>
      </c>
      <c r="LBZ6" s="68" t="e" cm="1" vm="1">
        <f t="array" ref="LBZ6">_xlfn._xlws.FILTER(TablaProductos[Nombre producto],TablaProductos[Agrupación]=ProductosPivot!LBZ5)</f>
        <v>#VALUE!</v>
      </c>
      <c r="LCA6" s="68" t="e" cm="1" vm="1">
        <f t="array" ref="LCA6">_xlfn._xlws.FILTER(TablaProductos[Nombre producto],TablaProductos[Agrupación]=ProductosPivot!LCA5)</f>
        <v>#VALUE!</v>
      </c>
      <c r="LCB6" s="68" t="e" cm="1" vm="1">
        <f t="array" ref="LCB6">_xlfn._xlws.FILTER(TablaProductos[Nombre producto],TablaProductos[Agrupación]=ProductosPivot!LCB5)</f>
        <v>#VALUE!</v>
      </c>
      <c r="LCC6" s="68" t="e" cm="1" vm="1">
        <f t="array" ref="LCC6">_xlfn._xlws.FILTER(TablaProductos[Nombre producto],TablaProductos[Agrupación]=ProductosPivot!LCC5)</f>
        <v>#VALUE!</v>
      </c>
      <c r="LCD6" s="68" t="e" cm="1" vm="1">
        <f t="array" ref="LCD6">_xlfn._xlws.FILTER(TablaProductos[Nombre producto],TablaProductos[Agrupación]=ProductosPivot!LCD5)</f>
        <v>#VALUE!</v>
      </c>
      <c r="LCE6" s="68" t="e" cm="1" vm="1">
        <f t="array" ref="LCE6">_xlfn._xlws.FILTER(TablaProductos[Nombre producto],TablaProductos[Agrupación]=ProductosPivot!LCE5)</f>
        <v>#VALUE!</v>
      </c>
      <c r="LCF6" s="68" t="e" cm="1" vm="1">
        <f t="array" ref="LCF6">_xlfn._xlws.FILTER(TablaProductos[Nombre producto],TablaProductos[Agrupación]=ProductosPivot!LCF5)</f>
        <v>#VALUE!</v>
      </c>
      <c r="LCG6" s="68" t="e" cm="1" vm="1">
        <f t="array" ref="LCG6">_xlfn._xlws.FILTER(TablaProductos[Nombre producto],TablaProductos[Agrupación]=ProductosPivot!LCG5)</f>
        <v>#VALUE!</v>
      </c>
      <c r="LCH6" s="68" t="e" cm="1" vm="1">
        <f t="array" ref="LCH6">_xlfn._xlws.FILTER(TablaProductos[Nombre producto],TablaProductos[Agrupación]=ProductosPivot!LCH5)</f>
        <v>#VALUE!</v>
      </c>
      <c r="LCI6" s="68" t="e" cm="1" vm="1">
        <f t="array" ref="LCI6">_xlfn._xlws.FILTER(TablaProductos[Nombre producto],TablaProductos[Agrupación]=ProductosPivot!LCI5)</f>
        <v>#VALUE!</v>
      </c>
      <c r="LCJ6" s="68" t="e" cm="1" vm="1">
        <f t="array" ref="LCJ6">_xlfn._xlws.FILTER(TablaProductos[Nombre producto],TablaProductos[Agrupación]=ProductosPivot!LCJ5)</f>
        <v>#VALUE!</v>
      </c>
      <c r="LCK6" s="68" t="e" cm="1" vm="1">
        <f t="array" ref="LCK6">_xlfn._xlws.FILTER(TablaProductos[Nombre producto],TablaProductos[Agrupación]=ProductosPivot!LCK5)</f>
        <v>#VALUE!</v>
      </c>
      <c r="LCL6" s="68" t="e" cm="1" vm="1">
        <f t="array" ref="LCL6">_xlfn._xlws.FILTER(TablaProductos[Nombre producto],TablaProductos[Agrupación]=ProductosPivot!LCL5)</f>
        <v>#VALUE!</v>
      </c>
      <c r="LCM6" s="68" t="e" cm="1" vm="1">
        <f t="array" ref="LCM6">_xlfn._xlws.FILTER(TablaProductos[Nombre producto],TablaProductos[Agrupación]=ProductosPivot!LCM5)</f>
        <v>#VALUE!</v>
      </c>
      <c r="LCN6" s="68" t="e" cm="1" vm="1">
        <f t="array" ref="LCN6">_xlfn._xlws.FILTER(TablaProductos[Nombre producto],TablaProductos[Agrupación]=ProductosPivot!LCN5)</f>
        <v>#VALUE!</v>
      </c>
      <c r="LCO6" s="68" t="e" cm="1" vm="1">
        <f t="array" ref="LCO6">_xlfn._xlws.FILTER(TablaProductos[Nombre producto],TablaProductos[Agrupación]=ProductosPivot!LCO5)</f>
        <v>#VALUE!</v>
      </c>
      <c r="LCP6" s="68" t="e" cm="1" vm="1">
        <f t="array" ref="LCP6">_xlfn._xlws.FILTER(TablaProductos[Nombre producto],TablaProductos[Agrupación]=ProductosPivot!LCP5)</f>
        <v>#VALUE!</v>
      </c>
      <c r="LCQ6" s="68" t="e" cm="1" vm="1">
        <f t="array" ref="LCQ6">_xlfn._xlws.FILTER(TablaProductos[Nombre producto],TablaProductos[Agrupación]=ProductosPivot!LCQ5)</f>
        <v>#VALUE!</v>
      </c>
      <c r="LCR6" s="68" t="e" cm="1" vm="1">
        <f t="array" ref="LCR6">_xlfn._xlws.FILTER(TablaProductos[Nombre producto],TablaProductos[Agrupación]=ProductosPivot!LCR5)</f>
        <v>#VALUE!</v>
      </c>
      <c r="LCS6" s="68" t="e" cm="1" vm="1">
        <f t="array" ref="LCS6">_xlfn._xlws.FILTER(TablaProductos[Nombre producto],TablaProductos[Agrupación]=ProductosPivot!LCS5)</f>
        <v>#VALUE!</v>
      </c>
      <c r="LCT6" s="68" t="e" cm="1" vm="1">
        <f t="array" ref="LCT6">_xlfn._xlws.FILTER(TablaProductos[Nombre producto],TablaProductos[Agrupación]=ProductosPivot!LCT5)</f>
        <v>#VALUE!</v>
      </c>
      <c r="LCU6" s="68" t="e" cm="1" vm="1">
        <f t="array" ref="LCU6">_xlfn._xlws.FILTER(TablaProductos[Nombre producto],TablaProductos[Agrupación]=ProductosPivot!LCU5)</f>
        <v>#VALUE!</v>
      </c>
      <c r="LCV6" s="68" t="e" cm="1" vm="1">
        <f t="array" ref="LCV6">_xlfn._xlws.FILTER(TablaProductos[Nombre producto],TablaProductos[Agrupación]=ProductosPivot!LCV5)</f>
        <v>#VALUE!</v>
      </c>
      <c r="LCW6" s="68" t="e" cm="1" vm="1">
        <f t="array" ref="LCW6">_xlfn._xlws.FILTER(TablaProductos[Nombre producto],TablaProductos[Agrupación]=ProductosPivot!LCW5)</f>
        <v>#VALUE!</v>
      </c>
      <c r="LCX6" s="68" t="e" cm="1" vm="1">
        <f t="array" ref="LCX6">_xlfn._xlws.FILTER(TablaProductos[Nombre producto],TablaProductos[Agrupación]=ProductosPivot!LCX5)</f>
        <v>#VALUE!</v>
      </c>
      <c r="LCY6" s="68" t="e" cm="1" vm="1">
        <f t="array" ref="LCY6">_xlfn._xlws.FILTER(TablaProductos[Nombre producto],TablaProductos[Agrupación]=ProductosPivot!LCY5)</f>
        <v>#VALUE!</v>
      </c>
      <c r="LCZ6" s="68" t="e" cm="1" vm="1">
        <f t="array" ref="LCZ6">_xlfn._xlws.FILTER(TablaProductos[Nombre producto],TablaProductos[Agrupación]=ProductosPivot!LCZ5)</f>
        <v>#VALUE!</v>
      </c>
      <c r="LDA6" s="68" t="e" cm="1" vm="1">
        <f t="array" ref="LDA6">_xlfn._xlws.FILTER(TablaProductos[Nombre producto],TablaProductos[Agrupación]=ProductosPivot!LDA5)</f>
        <v>#VALUE!</v>
      </c>
      <c r="LDB6" s="68" t="e" cm="1" vm="1">
        <f t="array" ref="LDB6">_xlfn._xlws.FILTER(TablaProductos[Nombre producto],TablaProductos[Agrupación]=ProductosPivot!LDB5)</f>
        <v>#VALUE!</v>
      </c>
      <c r="LDC6" s="68" t="e" cm="1" vm="1">
        <f t="array" ref="LDC6">_xlfn._xlws.FILTER(TablaProductos[Nombre producto],TablaProductos[Agrupación]=ProductosPivot!LDC5)</f>
        <v>#VALUE!</v>
      </c>
      <c r="LDD6" s="68" t="e" cm="1" vm="1">
        <f t="array" ref="LDD6">_xlfn._xlws.FILTER(TablaProductos[Nombre producto],TablaProductos[Agrupación]=ProductosPivot!LDD5)</f>
        <v>#VALUE!</v>
      </c>
      <c r="LDE6" s="68" t="e" cm="1" vm="1">
        <f t="array" ref="LDE6">_xlfn._xlws.FILTER(TablaProductos[Nombre producto],TablaProductos[Agrupación]=ProductosPivot!LDE5)</f>
        <v>#VALUE!</v>
      </c>
      <c r="LDF6" s="68" t="e" cm="1" vm="1">
        <f t="array" ref="LDF6">_xlfn._xlws.FILTER(TablaProductos[Nombre producto],TablaProductos[Agrupación]=ProductosPivot!LDF5)</f>
        <v>#VALUE!</v>
      </c>
      <c r="LDG6" s="68" t="e" cm="1" vm="1">
        <f t="array" ref="LDG6">_xlfn._xlws.FILTER(TablaProductos[Nombre producto],TablaProductos[Agrupación]=ProductosPivot!LDG5)</f>
        <v>#VALUE!</v>
      </c>
      <c r="LDH6" s="68" t="e" cm="1" vm="1">
        <f t="array" ref="LDH6">_xlfn._xlws.FILTER(TablaProductos[Nombre producto],TablaProductos[Agrupación]=ProductosPivot!LDH5)</f>
        <v>#VALUE!</v>
      </c>
      <c r="LDI6" s="68" t="e" cm="1" vm="1">
        <f t="array" ref="LDI6">_xlfn._xlws.FILTER(TablaProductos[Nombre producto],TablaProductos[Agrupación]=ProductosPivot!LDI5)</f>
        <v>#VALUE!</v>
      </c>
      <c r="LDJ6" s="68" t="e" cm="1" vm="1">
        <f t="array" ref="LDJ6">_xlfn._xlws.FILTER(TablaProductos[Nombre producto],TablaProductos[Agrupación]=ProductosPivot!LDJ5)</f>
        <v>#VALUE!</v>
      </c>
      <c r="LDK6" s="68" t="e" cm="1" vm="1">
        <f t="array" ref="LDK6">_xlfn._xlws.FILTER(TablaProductos[Nombre producto],TablaProductos[Agrupación]=ProductosPivot!LDK5)</f>
        <v>#VALUE!</v>
      </c>
      <c r="LDL6" s="68" t="e" cm="1" vm="1">
        <f t="array" ref="LDL6">_xlfn._xlws.FILTER(TablaProductos[Nombre producto],TablaProductos[Agrupación]=ProductosPivot!LDL5)</f>
        <v>#VALUE!</v>
      </c>
      <c r="LDM6" s="68" t="e" cm="1" vm="1">
        <f t="array" ref="LDM6">_xlfn._xlws.FILTER(TablaProductos[Nombre producto],TablaProductos[Agrupación]=ProductosPivot!LDM5)</f>
        <v>#VALUE!</v>
      </c>
      <c r="LDN6" s="68" t="e" cm="1" vm="1">
        <f t="array" ref="LDN6">_xlfn._xlws.FILTER(TablaProductos[Nombre producto],TablaProductos[Agrupación]=ProductosPivot!LDN5)</f>
        <v>#VALUE!</v>
      </c>
      <c r="LDO6" s="68" t="e" cm="1" vm="1">
        <f t="array" ref="LDO6">_xlfn._xlws.FILTER(TablaProductos[Nombre producto],TablaProductos[Agrupación]=ProductosPivot!LDO5)</f>
        <v>#VALUE!</v>
      </c>
      <c r="LDP6" s="68" t="e" cm="1" vm="1">
        <f t="array" ref="LDP6">_xlfn._xlws.FILTER(TablaProductos[Nombre producto],TablaProductos[Agrupación]=ProductosPivot!LDP5)</f>
        <v>#VALUE!</v>
      </c>
      <c r="LDQ6" s="68" t="e" cm="1" vm="1">
        <f t="array" ref="LDQ6">_xlfn._xlws.FILTER(TablaProductos[Nombre producto],TablaProductos[Agrupación]=ProductosPivot!LDQ5)</f>
        <v>#VALUE!</v>
      </c>
      <c r="LDR6" s="68" t="e" cm="1" vm="1">
        <f t="array" ref="LDR6">_xlfn._xlws.FILTER(TablaProductos[Nombre producto],TablaProductos[Agrupación]=ProductosPivot!LDR5)</f>
        <v>#VALUE!</v>
      </c>
      <c r="LDS6" s="68" t="e" cm="1" vm="1">
        <f t="array" ref="LDS6">_xlfn._xlws.FILTER(TablaProductos[Nombre producto],TablaProductos[Agrupación]=ProductosPivot!LDS5)</f>
        <v>#VALUE!</v>
      </c>
      <c r="LDT6" s="68" t="e" cm="1" vm="1">
        <f t="array" ref="LDT6">_xlfn._xlws.FILTER(TablaProductos[Nombre producto],TablaProductos[Agrupación]=ProductosPivot!LDT5)</f>
        <v>#VALUE!</v>
      </c>
      <c r="LDU6" s="68" t="e" cm="1" vm="1">
        <f t="array" ref="LDU6">_xlfn._xlws.FILTER(TablaProductos[Nombre producto],TablaProductos[Agrupación]=ProductosPivot!LDU5)</f>
        <v>#VALUE!</v>
      </c>
      <c r="LDV6" s="68" t="e" cm="1" vm="1">
        <f t="array" ref="LDV6">_xlfn._xlws.FILTER(TablaProductos[Nombre producto],TablaProductos[Agrupación]=ProductosPivot!LDV5)</f>
        <v>#VALUE!</v>
      </c>
      <c r="LDW6" s="68" t="e" cm="1" vm="1">
        <f t="array" ref="LDW6">_xlfn._xlws.FILTER(TablaProductos[Nombre producto],TablaProductos[Agrupación]=ProductosPivot!LDW5)</f>
        <v>#VALUE!</v>
      </c>
      <c r="LDX6" s="68" t="e" cm="1" vm="1">
        <f t="array" ref="LDX6">_xlfn._xlws.FILTER(TablaProductos[Nombre producto],TablaProductos[Agrupación]=ProductosPivot!LDX5)</f>
        <v>#VALUE!</v>
      </c>
      <c r="LDY6" s="68" t="e" cm="1" vm="1">
        <f t="array" ref="LDY6">_xlfn._xlws.FILTER(TablaProductos[Nombre producto],TablaProductos[Agrupación]=ProductosPivot!LDY5)</f>
        <v>#VALUE!</v>
      </c>
      <c r="LDZ6" s="68" t="e" cm="1" vm="1">
        <f t="array" ref="LDZ6">_xlfn._xlws.FILTER(TablaProductos[Nombre producto],TablaProductos[Agrupación]=ProductosPivot!LDZ5)</f>
        <v>#VALUE!</v>
      </c>
      <c r="LEA6" s="68" t="e" cm="1" vm="1">
        <f t="array" ref="LEA6">_xlfn._xlws.FILTER(TablaProductos[Nombre producto],TablaProductos[Agrupación]=ProductosPivot!LEA5)</f>
        <v>#VALUE!</v>
      </c>
      <c r="LEB6" s="68" t="e" cm="1" vm="1">
        <f t="array" ref="LEB6">_xlfn._xlws.FILTER(TablaProductos[Nombre producto],TablaProductos[Agrupación]=ProductosPivot!LEB5)</f>
        <v>#VALUE!</v>
      </c>
      <c r="LEC6" s="68" t="e" cm="1" vm="1">
        <f t="array" ref="LEC6">_xlfn._xlws.FILTER(TablaProductos[Nombre producto],TablaProductos[Agrupación]=ProductosPivot!LEC5)</f>
        <v>#VALUE!</v>
      </c>
      <c r="LED6" s="68" t="e" cm="1" vm="1">
        <f t="array" ref="LED6">_xlfn._xlws.FILTER(TablaProductos[Nombre producto],TablaProductos[Agrupación]=ProductosPivot!LED5)</f>
        <v>#VALUE!</v>
      </c>
      <c r="LEE6" s="68" t="e" cm="1" vm="1">
        <f t="array" ref="LEE6">_xlfn._xlws.FILTER(TablaProductos[Nombre producto],TablaProductos[Agrupación]=ProductosPivot!LEE5)</f>
        <v>#VALUE!</v>
      </c>
      <c r="LEF6" s="68" t="e" cm="1" vm="1">
        <f t="array" ref="LEF6">_xlfn._xlws.FILTER(TablaProductos[Nombre producto],TablaProductos[Agrupación]=ProductosPivot!LEF5)</f>
        <v>#VALUE!</v>
      </c>
      <c r="LEG6" s="68" t="e" cm="1" vm="1">
        <f t="array" ref="LEG6">_xlfn._xlws.FILTER(TablaProductos[Nombre producto],TablaProductos[Agrupación]=ProductosPivot!LEG5)</f>
        <v>#VALUE!</v>
      </c>
      <c r="LEH6" s="68" t="e" cm="1" vm="1">
        <f t="array" ref="LEH6">_xlfn._xlws.FILTER(TablaProductos[Nombre producto],TablaProductos[Agrupación]=ProductosPivot!LEH5)</f>
        <v>#VALUE!</v>
      </c>
      <c r="LEI6" s="68" t="e" cm="1" vm="1">
        <f t="array" ref="LEI6">_xlfn._xlws.FILTER(TablaProductos[Nombre producto],TablaProductos[Agrupación]=ProductosPivot!LEI5)</f>
        <v>#VALUE!</v>
      </c>
      <c r="LEJ6" s="68" t="e" cm="1" vm="1">
        <f t="array" ref="LEJ6">_xlfn._xlws.FILTER(TablaProductos[Nombre producto],TablaProductos[Agrupación]=ProductosPivot!LEJ5)</f>
        <v>#VALUE!</v>
      </c>
      <c r="LEK6" s="68" t="e" cm="1" vm="1">
        <f t="array" ref="LEK6">_xlfn._xlws.FILTER(TablaProductos[Nombre producto],TablaProductos[Agrupación]=ProductosPivot!LEK5)</f>
        <v>#VALUE!</v>
      </c>
      <c r="LEL6" s="68" t="e" cm="1" vm="1">
        <f t="array" ref="LEL6">_xlfn._xlws.FILTER(TablaProductos[Nombre producto],TablaProductos[Agrupación]=ProductosPivot!LEL5)</f>
        <v>#VALUE!</v>
      </c>
      <c r="LEM6" s="68" t="e" cm="1" vm="1">
        <f t="array" ref="LEM6">_xlfn._xlws.FILTER(TablaProductos[Nombre producto],TablaProductos[Agrupación]=ProductosPivot!LEM5)</f>
        <v>#VALUE!</v>
      </c>
      <c r="LEN6" s="68" t="e" cm="1" vm="1">
        <f t="array" ref="LEN6">_xlfn._xlws.FILTER(TablaProductos[Nombre producto],TablaProductos[Agrupación]=ProductosPivot!LEN5)</f>
        <v>#VALUE!</v>
      </c>
      <c r="LEO6" s="68" t="e" cm="1" vm="1">
        <f t="array" ref="LEO6">_xlfn._xlws.FILTER(TablaProductos[Nombre producto],TablaProductos[Agrupación]=ProductosPivot!LEO5)</f>
        <v>#VALUE!</v>
      </c>
      <c r="LEP6" s="68" t="e" cm="1" vm="1">
        <f t="array" ref="LEP6">_xlfn._xlws.FILTER(TablaProductos[Nombre producto],TablaProductos[Agrupación]=ProductosPivot!LEP5)</f>
        <v>#VALUE!</v>
      </c>
      <c r="LEQ6" s="68" t="e" cm="1" vm="1">
        <f t="array" ref="LEQ6">_xlfn._xlws.FILTER(TablaProductos[Nombre producto],TablaProductos[Agrupación]=ProductosPivot!LEQ5)</f>
        <v>#VALUE!</v>
      </c>
      <c r="LER6" s="68" t="e" cm="1" vm="1">
        <f t="array" ref="LER6">_xlfn._xlws.FILTER(TablaProductos[Nombre producto],TablaProductos[Agrupación]=ProductosPivot!LER5)</f>
        <v>#VALUE!</v>
      </c>
      <c r="LES6" s="68" t="e" cm="1" vm="1">
        <f t="array" ref="LES6">_xlfn._xlws.FILTER(TablaProductos[Nombre producto],TablaProductos[Agrupación]=ProductosPivot!LES5)</f>
        <v>#VALUE!</v>
      </c>
      <c r="LET6" s="68" t="e" cm="1" vm="1">
        <f t="array" ref="LET6">_xlfn._xlws.FILTER(TablaProductos[Nombre producto],TablaProductos[Agrupación]=ProductosPivot!LET5)</f>
        <v>#VALUE!</v>
      </c>
      <c r="LEU6" s="68" t="e" cm="1" vm="1">
        <f t="array" ref="LEU6">_xlfn._xlws.FILTER(TablaProductos[Nombre producto],TablaProductos[Agrupación]=ProductosPivot!LEU5)</f>
        <v>#VALUE!</v>
      </c>
      <c r="LEV6" s="68" t="e" cm="1" vm="1">
        <f t="array" ref="LEV6">_xlfn._xlws.FILTER(TablaProductos[Nombre producto],TablaProductos[Agrupación]=ProductosPivot!LEV5)</f>
        <v>#VALUE!</v>
      </c>
      <c r="LEW6" s="68" t="e" cm="1" vm="1">
        <f t="array" ref="LEW6">_xlfn._xlws.FILTER(TablaProductos[Nombre producto],TablaProductos[Agrupación]=ProductosPivot!LEW5)</f>
        <v>#VALUE!</v>
      </c>
      <c r="LEX6" s="68" t="e" cm="1" vm="1">
        <f t="array" ref="LEX6">_xlfn._xlws.FILTER(TablaProductos[Nombre producto],TablaProductos[Agrupación]=ProductosPivot!LEX5)</f>
        <v>#VALUE!</v>
      </c>
      <c r="LEY6" s="68" t="e" cm="1" vm="1">
        <f t="array" ref="LEY6">_xlfn._xlws.FILTER(TablaProductos[Nombre producto],TablaProductos[Agrupación]=ProductosPivot!LEY5)</f>
        <v>#VALUE!</v>
      </c>
      <c r="LEZ6" s="68" t="e" cm="1" vm="1">
        <f t="array" ref="LEZ6">_xlfn._xlws.FILTER(TablaProductos[Nombre producto],TablaProductos[Agrupación]=ProductosPivot!LEZ5)</f>
        <v>#VALUE!</v>
      </c>
      <c r="LFA6" s="68" t="e" cm="1" vm="1">
        <f t="array" ref="LFA6">_xlfn._xlws.FILTER(TablaProductos[Nombre producto],TablaProductos[Agrupación]=ProductosPivot!LFA5)</f>
        <v>#VALUE!</v>
      </c>
      <c r="LFB6" s="68" t="e" cm="1" vm="1">
        <f t="array" ref="LFB6">_xlfn._xlws.FILTER(TablaProductos[Nombre producto],TablaProductos[Agrupación]=ProductosPivot!LFB5)</f>
        <v>#VALUE!</v>
      </c>
      <c r="LFC6" s="68" t="e" cm="1" vm="1">
        <f t="array" ref="LFC6">_xlfn._xlws.FILTER(TablaProductos[Nombre producto],TablaProductos[Agrupación]=ProductosPivot!LFC5)</f>
        <v>#VALUE!</v>
      </c>
      <c r="LFD6" s="68" t="e" cm="1" vm="1">
        <f t="array" ref="LFD6">_xlfn._xlws.FILTER(TablaProductos[Nombre producto],TablaProductos[Agrupación]=ProductosPivot!LFD5)</f>
        <v>#VALUE!</v>
      </c>
      <c r="LFE6" s="68" t="e" cm="1" vm="1">
        <f t="array" ref="LFE6">_xlfn._xlws.FILTER(TablaProductos[Nombre producto],TablaProductos[Agrupación]=ProductosPivot!LFE5)</f>
        <v>#VALUE!</v>
      </c>
      <c r="LFF6" s="68" t="e" cm="1" vm="1">
        <f t="array" ref="LFF6">_xlfn._xlws.FILTER(TablaProductos[Nombre producto],TablaProductos[Agrupación]=ProductosPivot!LFF5)</f>
        <v>#VALUE!</v>
      </c>
      <c r="LFG6" s="68" t="e" cm="1" vm="1">
        <f t="array" ref="LFG6">_xlfn._xlws.FILTER(TablaProductos[Nombre producto],TablaProductos[Agrupación]=ProductosPivot!LFG5)</f>
        <v>#VALUE!</v>
      </c>
      <c r="LFH6" s="68" t="e" cm="1" vm="1">
        <f t="array" ref="LFH6">_xlfn._xlws.FILTER(TablaProductos[Nombre producto],TablaProductos[Agrupación]=ProductosPivot!LFH5)</f>
        <v>#VALUE!</v>
      </c>
      <c r="LFI6" s="68" t="e" cm="1" vm="1">
        <f t="array" ref="LFI6">_xlfn._xlws.FILTER(TablaProductos[Nombre producto],TablaProductos[Agrupación]=ProductosPivot!LFI5)</f>
        <v>#VALUE!</v>
      </c>
      <c r="LFJ6" s="68" t="e" cm="1" vm="1">
        <f t="array" ref="LFJ6">_xlfn._xlws.FILTER(TablaProductos[Nombre producto],TablaProductos[Agrupación]=ProductosPivot!LFJ5)</f>
        <v>#VALUE!</v>
      </c>
      <c r="LFK6" s="68" t="e" cm="1" vm="1">
        <f t="array" ref="LFK6">_xlfn._xlws.FILTER(TablaProductos[Nombre producto],TablaProductos[Agrupación]=ProductosPivot!LFK5)</f>
        <v>#VALUE!</v>
      </c>
      <c r="LFL6" s="68" t="e" cm="1" vm="1">
        <f t="array" ref="LFL6">_xlfn._xlws.FILTER(TablaProductos[Nombre producto],TablaProductos[Agrupación]=ProductosPivot!LFL5)</f>
        <v>#VALUE!</v>
      </c>
      <c r="LFM6" s="68" t="e" cm="1" vm="1">
        <f t="array" ref="LFM6">_xlfn._xlws.FILTER(TablaProductos[Nombre producto],TablaProductos[Agrupación]=ProductosPivot!LFM5)</f>
        <v>#VALUE!</v>
      </c>
      <c r="LFN6" s="68" t="e" cm="1" vm="1">
        <f t="array" ref="LFN6">_xlfn._xlws.FILTER(TablaProductos[Nombre producto],TablaProductos[Agrupación]=ProductosPivot!LFN5)</f>
        <v>#VALUE!</v>
      </c>
      <c r="LFO6" s="68" t="e" cm="1" vm="1">
        <f t="array" ref="LFO6">_xlfn._xlws.FILTER(TablaProductos[Nombre producto],TablaProductos[Agrupación]=ProductosPivot!LFO5)</f>
        <v>#VALUE!</v>
      </c>
      <c r="LFP6" s="68" t="e" cm="1" vm="1">
        <f t="array" ref="LFP6">_xlfn._xlws.FILTER(TablaProductos[Nombre producto],TablaProductos[Agrupación]=ProductosPivot!LFP5)</f>
        <v>#VALUE!</v>
      </c>
      <c r="LFQ6" s="68" t="e" cm="1" vm="1">
        <f t="array" ref="LFQ6">_xlfn._xlws.FILTER(TablaProductos[Nombre producto],TablaProductos[Agrupación]=ProductosPivot!LFQ5)</f>
        <v>#VALUE!</v>
      </c>
      <c r="LFR6" s="68" t="e" cm="1" vm="1">
        <f t="array" ref="LFR6">_xlfn._xlws.FILTER(TablaProductos[Nombre producto],TablaProductos[Agrupación]=ProductosPivot!LFR5)</f>
        <v>#VALUE!</v>
      </c>
      <c r="LFS6" s="68" t="e" cm="1" vm="1">
        <f t="array" ref="LFS6">_xlfn._xlws.FILTER(TablaProductos[Nombre producto],TablaProductos[Agrupación]=ProductosPivot!LFS5)</f>
        <v>#VALUE!</v>
      </c>
      <c r="LFT6" s="68" t="e" cm="1" vm="1">
        <f t="array" ref="LFT6">_xlfn._xlws.FILTER(TablaProductos[Nombre producto],TablaProductos[Agrupación]=ProductosPivot!LFT5)</f>
        <v>#VALUE!</v>
      </c>
      <c r="LFU6" s="68" t="e" cm="1" vm="1">
        <f t="array" ref="LFU6">_xlfn._xlws.FILTER(TablaProductos[Nombre producto],TablaProductos[Agrupación]=ProductosPivot!LFU5)</f>
        <v>#VALUE!</v>
      </c>
      <c r="LFV6" s="68" t="e" cm="1" vm="1">
        <f t="array" ref="LFV6">_xlfn._xlws.FILTER(TablaProductos[Nombre producto],TablaProductos[Agrupación]=ProductosPivot!LFV5)</f>
        <v>#VALUE!</v>
      </c>
      <c r="LFW6" s="68" t="e" cm="1" vm="1">
        <f t="array" ref="LFW6">_xlfn._xlws.FILTER(TablaProductos[Nombre producto],TablaProductos[Agrupación]=ProductosPivot!LFW5)</f>
        <v>#VALUE!</v>
      </c>
      <c r="LFX6" s="68" t="e" cm="1" vm="1">
        <f t="array" ref="LFX6">_xlfn._xlws.FILTER(TablaProductos[Nombre producto],TablaProductos[Agrupación]=ProductosPivot!LFX5)</f>
        <v>#VALUE!</v>
      </c>
      <c r="LFY6" s="68" t="e" cm="1" vm="1">
        <f t="array" ref="LFY6">_xlfn._xlws.FILTER(TablaProductos[Nombre producto],TablaProductos[Agrupación]=ProductosPivot!LFY5)</f>
        <v>#VALUE!</v>
      </c>
      <c r="LFZ6" s="68" t="e" cm="1" vm="1">
        <f t="array" ref="LFZ6">_xlfn._xlws.FILTER(TablaProductos[Nombre producto],TablaProductos[Agrupación]=ProductosPivot!LFZ5)</f>
        <v>#VALUE!</v>
      </c>
      <c r="LGA6" s="68" t="e" cm="1" vm="1">
        <f t="array" ref="LGA6">_xlfn._xlws.FILTER(TablaProductos[Nombre producto],TablaProductos[Agrupación]=ProductosPivot!LGA5)</f>
        <v>#VALUE!</v>
      </c>
      <c r="LGB6" s="68" t="e" cm="1" vm="1">
        <f t="array" ref="LGB6">_xlfn._xlws.FILTER(TablaProductos[Nombre producto],TablaProductos[Agrupación]=ProductosPivot!LGB5)</f>
        <v>#VALUE!</v>
      </c>
      <c r="LGC6" s="68" t="e" cm="1" vm="1">
        <f t="array" ref="LGC6">_xlfn._xlws.FILTER(TablaProductos[Nombre producto],TablaProductos[Agrupación]=ProductosPivot!LGC5)</f>
        <v>#VALUE!</v>
      </c>
      <c r="LGD6" s="68" t="e" cm="1" vm="1">
        <f t="array" ref="LGD6">_xlfn._xlws.FILTER(TablaProductos[Nombre producto],TablaProductos[Agrupación]=ProductosPivot!LGD5)</f>
        <v>#VALUE!</v>
      </c>
      <c r="LGE6" s="68" t="e" cm="1" vm="1">
        <f t="array" ref="LGE6">_xlfn._xlws.FILTER(TablaProductos[Nombre producto],TablaProductos[Agrupación]=ProductosPivot!LGE5)</f>
        <v>#VALUE!</v>
      </c>
      <c r="LGF6" s="68" t="e" cm="1" vm="1">
        <f t="array" ref="LGF6">_xlfn._xlws.FILTER(TablaProductos[Nombre producto],TablaProductos[Agrupación]=ProductosPivot!LGF5)</f>
        <v>#VALUE!</v>
      </c>
      <c r="LGG6" s="68" t="e" cm="1" vm="1">
        <f t="array" ref="LGG6">_xlfn._xlws.FILTER(TablaProductos[Nombre producto],TablaProductos[Agrupación]=ProductosPivot!LGG5)</f>
        <v>#VALUE!</v>
      </c>
      <c r="LGH6" s="68" t="e" cm="1" vm="1">
        <f t="array" ref="LGH6">_xlfn._xlws.FILTER(TablaProductos[Nombre producto],TablaProductos[Agrupación]=ProductosPivot!LGH5)</f>
        <v>#VALUE!</v>
      </c>
      <c r="LGI6" s="68" t="e" cm="1" vm="1">
        <f t="array" ref="LGI6">_xlfn._xlws.FILTER(TablaProductos[Nombre producto],TablaProductos[Agrupación]=ProductosPivot!LGI5)</f>
        <v>#VALUE!</v>
      </c>
      <c r="LGJ6" s="68" t="e" cm="1" vm="1">
        <f t="array" ref="LGJ6">_xlfn._xlws.FILTER(TablaProductos[Nombre producto],TablaProductos[Agrupación]=ProductosPivot!LGJ5)</f>
        <v>#VALUE!</v>
      </c>
      <c r="LGK6" s="68" t="e" cm="1" vm="1">
        <f t="array" ref="LGK6">_xlfn._xlws.FILTER(TablaProductos[Nombre producto],TablaProductos[Agrupación]=ProductosPivot!LGK5)</f>
        <v>#VALUE!</v>
      </c>
      <c r="LGL6" s="68" t="e" cm="1" vm="1">
        <f t="array" ref="LGL6">_xlfn._xlws.FILTER(TablaProductos[Nombre producto],TablaProductos[Agrupación]=ProductosPivot!LGL5)</f>
        <v>#VALUE!</v>
      </c>
      <c r="LGM6" s="68" t="e" cm="1" vm="1">
        <f t="array" ref="LGM6">_xlfn._xlws.FILTER(TablaProductos[Nombre producto],TablaProductos[Agrupación]=ProductosPivot!LGM5)</f>
        <v>#VALUE!</v>
      </c>
      <c r="LGN6" s="68" t="e" cm="1" vm="1">
        <f t="array" ref="LGN6">_xlfn._xlws.FILTER(TablaProductos[Nombre producto],TablaProductos[Agrupación]=ProductosPivot!LGN5)</f>
        <v>#VALUE!</v>
      </c>
      <c r="LGO6" s="68" t="e" cm="1" vm="1">
        <f t="array" ref="LGO6">_xlfn._xlws.FILTER(TablaProductos[Nombre producto],TablaProductos[Agrupación]=ProductosPivot!LGO5)</f>
        <v>#VALUE!</v>
      </c>
      <c r="LGP6" s="68" t="e" cm="1" vm="1">
        <f t="array" ref="LGP6">_xlfn._xlws.FILTER(TablaProductos[Nombre producto],TablaProductos[Agrupación]=ProductosPivot!LGP5)</f>
        <v>#VALUE!</v>
      </c>
      <c r="LGQ6" s="68" t="e" cm="1" vm="1">
        <f t="array" ref="LGQ6">_xlfn._xlws.FILTER(TablaProductos[Nombre producto],TablaProductos[Agrupación]=ProductosPivot!LGQ5)</f>
        <v>#VALUE!</v>
      </c>
      <c r="LGR6" s="68" t="e" cm="1" vm="1">
        <f t="array" ref="LGR6">_xlfn._xlws.FILTER(TablaProductos[Nombre producto],TablaProductos[Agrupación]=ProductosPivot!LGR5)</f>
        <v>#VALUE!</v>
      </c>
      <c r="LGS6" s="68" t="e" cm="1" vm="1">
        <f t="array" ref="LGS6">_xlfn._xlws.FILTER(TablaProductos[Nombre producto],TablaProductos[Agrupación]=ProductosPivot!LGS5)</f>
        <v>#VALUE!</v>
      </c>
      <c r="LGT6" s="68" t="e" cm="1" vm="1">
        <f t="array" ref="LGT6">_xlfn._xlws.FILTER(TablaProductos[Nombre producto],TablaProductos[Agrupación]=ProductosPivot!LGT5)</f>
        <v>#VALUE!</v>
      </c>
      <c r="LGU6" s="68" t="e" cm="1" vm="1">
        <f t="array" ref="LGU6">_xlfn._xlws.FILTER(TablaProductos[Nombre producto],TablaProductos[Agrupación]=ProductosPivot!LGU5)</f>
        <v>#VALUE!</v>
      </c>
      <c r="LGV6" s="68" t="e" cm="1" vm="1">
        <f t="array" ref="LGV6">_xlfn._xlws.FILTER(TablaProductos[Nombre producto],TablaProductos[Agrupación]=ProductosPivot!LGV5)</f>
        <v>#VALUE!</v>
      </c>
      <c r="LGW6" s="68" t="e" cm="1" vm="1">
        <f t="array" ref="LGW6">_xlfn._xlws.FILTER(TablaProductos[Nombre producto],TablaProductos[Agrupación]=ProductosPivot!LGW5)</f>
        <v>#VALUE!</v>
      </c>
      <c r="LGX6" s="68" t="e" cm="1" vm="1">
        <f t="array" ref="LGX6">_xlfn._xlws.FILTER(TablaProductos[Nombre producto],TablaProductos[Agrupación]=ProductosPivot!LGX5)</f>
        <v>#VALUE!</v>
      </c>
      <c r="LGY6" s="68" t="e" cm="1" vm="1">
        <f t="array" ref="LGY6">_xlfn._xlws.FILTER(TablaProductos[Nombre producto],TablaProductos[Agrupación]=ProductosPivot!LGY5)</f>
        <v>#VALUE!</v>
      </c>
      <c r="LGZ6" s="68" t="e" cm="1" vm="1">
        <f t="array" ref="LGZ6">_xlfn._xlws.FILTER(TablaProductos[Nombre producto],TablaProductos[Agrupación]=ProductosPivot!LGZ5)</f>
        <v>#VALUE!</v>
      </c>
      <c r="LHA6" s="68" t="e" cm="1" vm="1">
        <f t="array" ref="LHA6">_xlfn._xlws.FILTER(TablaProductos[Nombre producto],TablaProductos[Agrupación]=ProductosPivot!LHA5)</f>
        <v>#VALUE!</v>
      </c>
      <c r="LHB6" s="68" t="e" cm="1" vm="1">
        <f t="array" ref="LHB6">_xlfn._xlws.FILTER(TablaProductos[Nombre producto],TablaProductos[Agrupación]=ProductosPivot!LHB5)</f>
        <v>#VALUE!</v>
      </c>
      <c r="LHC6" s="68" t="e" cm="1" vm="1">
        <f t="array" ref="LHC6">_xlfn._xlws.FILTER(TablaProductos[Nombre producto],TablaProductos[Agrupación]=ProductosPivot!LHC5)</f>
        <v>#VALUE!</v>
      </c>
      <c r="LHD6" s="68" t="e" cm="1" vm="1">
        <f t="array" ref="LHD6">_xlfn._xlws.FILTER(TablaProductos[Nombre producto],TablaProductos[Agrupación]=ProductosPivot!LHD5)</f>
        <v>#VALUE!</v>
      </c>
      <c r="LHE6" s="68" t="e" cm="1" vm="1">
        <f t="array" ref="LHE6">_xlfn._xlws.FILTER(TablaProductos[Nombre producto],TablaProductos[Agrupación]=ProductosPivot!LHE5)</f>
        <v>#VALUE!</v>
      </c>
      <c r="LHF6" s="68" t="e" cm="1" vm="1">
        <f t="array" ref="LHF6">_xlfn._xlws.FILTER(TablaProductos[Nombre producto],TablaProductos[Agrupación]=ProductosPivot!LHF5)</f>
        <v>#VALUE!</v>
      </c>
      <c r="LHG6" s="68" t="e" cm="1" vm="1">
        <f t="array" ref="LHG6">_xlfn._xlws.FILTER(TablaProductos[Nombre producto],TablaProductos[Agrupación]=ProductosPivot!LHG5)</f>
        <v>#VALUE!</v>
      </c>
      <c r="LHH6" s="68" t="e" cm="1" vm="1">
        <f t="array" ref="LHH6">_xlfn._xlws.FILTER(TablaProductos[Nombre producto],TablaProductos[Agrupación]=ProductosPivot!LHH5)</f>
        <v>#VALUE!</v>
      </c>
      <c r="LHI6" s="68" t="e" cm="1" vm="1">
        <f t="array" ref="LHI6">_xlfn._xlws.FILTER(TablaProductos[Nombre producto],TablaProductos[Agrupación]=ProductosPivot!LHI5)</f>
        <v>#VALUE!</v>
      </c>
      <c r="LHJ6" s="68" t="e" cm="1" vm="1">
        <f t="array" ref="LHJ6">_xlfn._xlws.FILTER(TablaProductos[Nombre producto],TablaProductos[Agrupación]=ProductosPivot!LHJ5)</f>
        <v>#VALUE!</v>
      </c>
      <c r="LHK6" s="68" t="e" cm="1" vm="1">
        <f t="array" ref="LHK6">_xlfn._xlws.FILTER(TablaProductos[Nombre producto],TablaProductos[Agrupación]=ProductosPivot!LHK5)</f>
        <v>#VALUE!</v>
      </c>
      <c r="LHL6" s="68" t="e" cm="1" vm="1">
        <f t="array" ref="LHL6">_xlfn._xlws.FILTER(TablaProductos[Nombre producto],TablaProductos[Agrupación]=ProductosPivot!LHL5)</f>
        <v>#VALUE!</v>
      </c>
      <c r="LHM6" s="68" t="e" cm="1" vm="1">
        <f t="array" ref="LHM6">_xlfn._xlws.FILTER(TablaProductos[Nombre producto],TablaProductos[Agrupación]=ProductosPivot!LHM5)</f>
        <v>#VALUE!</v>
      </c>
      <c r="LHN6" s="68" t="e" cm="1" vm="1">
        <f t="array" ref="LHN6">_xlfn._xlws.FILTER(TablaProductos[Nombre producto],TablaProductos[Agrupación]=ProductosPivot!LHN5)</f>
        <v>#VALUE!</v>
      </c>
      <c r="LHO6" s="68" t="e" cm="1" vm="1">
        <f t="array" ref="LHO6">_xlfn._xlws.FILTER(TablaProductos[Nombre producto],TablaProductos[Agrupación]=ProductosPivot!LHO5)</f>
        <v>#VALUE!</v>
      </c>
      <c r="LHP6" s="68" t="e" cm="1" vm="1">
        <f t="array" ref="LHP6">_xlfn._xlws.FILTER(TablaProductos[Nombre producto],TablaProductos[Agrupación]=ProductosPivot!LHP5)</f>
        <v>#VALUE!</v>
      </c>
      <c r="LHQ6" s="68" t="e" cm="1" vm="1">
        <f t="array" ref="LHQ6">_xlfn._xlws.FILTER(TablaProductos[Nombre producto],TablaProductos[Agrupación]=ProductosPivot!LHQ5)</f>
        <v>#VALUE!</v>
      </c>
      <c r="LHR6" s="68" t="e" cm="1" vm="1">
        <f t="array" ref="LHR6">_xlfn._xlws.FILTER(TablaProductos[Nombre producto],TablaProductos[Agrupación]=ProductosPivot!LHR5)</f>
        <v>#VALUE!</v>
      </c>
      <c r="LHS6" s="68" t="e" cm="1" vm="1">
        <f t="array" ref="LHS6">_xlfn._xlws.FILTER(TablaProductos[Nombre producto],TablaProductos[Agrupación]=ProductosPivot!LHS5)</f>
        <v>#VALUE!</v>
      </c>
      <c r="LHT6" s="68" t="e" cm="1" vm="1">
        <f t="array" ref="LHT6">_xlfn._xlws.FILTER(TablaProductos[Nombre producto],TablaProductos[Agrupación]=ProductosPivot!LHT5)</f>
        <v>#VALUE!</v>
      </c>
      <c r="LHU6" s="68" t="e" cm="1" vm="1">
        <f t="array" ref="LHU6">_xlfn._xlws.FILTER(TablaProductos[Nombre producto],TablaProductos[Agrupación]=ProductosPivot!LHU5)</f>
        <v>#VALUE!</v>
      </c>
      <c r="LHV6" s="68" t="e" cm="1" vm="1">
        <f t="array" ref="LHV6">_xlfn._xlws.FILTER(TablaProductos[Nombre producto],TablaProductos[Agrupación]=ProductosPivot!LHV5)</f>
        <v>#VALUE!</v>
      </c>
      <c r="LHW6" s="68" t="e" cm="1" vm="1">
        <f t="array" ref="LHW6">_xlfn._xlws.FILTER(TablaProductos[Nombre producto],TablaProductos[Agrupación]=ProductosPivot!LHW5)</f>
        <v>#VALUE!</v>
      </c>
      <c r="LHX6" s="68" t="e" cm="1" vm="1">
        <f t="array" ref="LHX6">_xlfn._xlws.FILTER(TablaProductos[Nombre producto],TablaProductos[Agrupación]=ProductosPivot!LHX5)</f>
        <v>#VALUE!</v>
      </c>
      <c r="LHY6" s="68" t="e" cm="1" vm="1">
        <f t="array" ref="LHY6">_xlfn._xlws.FILTER(TablaProductos[Nombre producto],TablaProductos[Agrupación]=ProductosPivot!LHY5)</f>
        <v>#VALUE!</v>
      </c>
      <c r="LHZ6" s="68" t="e" cm="1" vm="1">
        <f t="array" ref="LHZ6">_xlfn._xlws.FILTER(TablaProductos[Nombre producto],TablaProductos[Agrupación]=ProductosPivot!LHZ5)</f>
        <v>#VALUE!</v>
      </c>
      <c r="LIA6" s="68" t="e" cm="1" vm="1">
        <f t="array" ref="LIA6">_xlfn._xlws.FILTER(TablaProductos[Nombre producto],TablaProductos[Agrupación]=ProductosPivot!LIA5)</f>
        <v>#VALUE!</v>
      </c>
      <c r="LIB6" s="68" t="e" cm="1" vm="1">
        <f t="array" ref="LIB6">_xlfn._xlws.FILTER(TablaProductos[Nombre producto],TablaProductos[Agrupación]=ProductosPivot!LIB5)</f>
        <v>#VALUE!</v>
      </c>
      <c r="LIC6" s="68" t="e" cm="1" vm="1">
        <f t="array" ref="LIC6">_xlfn._xlws.FILTER(TablaProductos[Nombre producto],TablaProductos[Agrupación]=ProductosPivot!LIC5)</f>
        <v>#VALUE!</v>
      </c>
      <c r="LID6" s="68" t="e" cm="1" vm="1">
        <f t="array" ref="LID6">_xlfn._xlws.FILTER(TablaProductos[Nombre producto],TablaProductos[Agrupación]=ProductosPivot!LID5)</f>
        <v>#VALUE!</v>
      </c>
      <c r="LIE6" s="68" t="e" cm="1" vm="1">
        <f t="array" ref="LIE6">_xlfn._xlws.FILTER(TablaProductos[Nombre producto],TablaProductos[Agrupación]=ProductosPivot!LIE5)</f>
        <v>#VALUE!</v>
      </c>
      <c r="LIF6" s="68" t="e" cm="1" vm="1">
        <f t="array" ref="LIF6">_xlfn._xlws.FILTER(TablaProductos[Nombre producto],TablaProductos[Agrupación]=ProductosPivot!LIF5)</f>
        <v>#VALUE!</v>
      </c>
      <c r="LIG6" s="68" t="e" cm="1" vm="1">
        <f t="array" ref="LIG6">_xlfn._xlws.FILTER(TablaProductos[Nombre producto],TablaProductos[Agrupación]=ProductosPivot!LIG5)</f>
        <v>#VALUE!</v>
      </c>
      <c r="LIH6" s="68" t="e" cm="1" vm="1">
        <f t="array" ref="LIH6">_xlfn._xlws.FILTER(TablaProductos[Nombre producto],TablaProductos[Agrupación]=ProductosPivot!LIH5)</f>
        <v>#VALUE!</v>
      </c>
      <c r="LII6" s="68" t="e" cm="1" vm="1">
        <f t="array" ref="LII6">_xlfn._xlws.FILTER(TablaProductos[Nombre producto],TablaProductos[Agrupación]=ProductosPivot!LII5)</f>
        <v>#VALUE!</v>
      </c>
      <c r="LIJ6" s="68" t="e" cm="1" vm="1">
        <f t="array" ref="LIJ6">_xlfn._xlws.FILTER(TablaProductos[Nombre producto],TablaProductos[Agrupación]=ProductosPivot!LIJ5)</f>
        <v>#VALUE!</v>
      </c>
      <c r="LIK6" s="68" t="e" cm="1" vm="1">
        <f t="array" ref="LIK6">_xlfn._xlws.FILTER(TablaProductos[Nombre producto],TablaProductos[Agrupación]=ProductosPivot!LIK5)</f>
        <v>#VALUE!</v>
      </c>
      <c r="LIL6" s="68" t="e" cm="1" vm="1">
        <f t="array" ref="LIL6">_xlfn._xlws.FILTER(TablaProductos[Nombre producto],TablaProductos[Agrupación]=ProductosPivot!LIL5)</f>
        <v>#VALUE!</v>
      </c>
      <c r="LIM6" s="68" t="e" cm="1" vm="1">
        <f t="array" ref="LIM6">_xlfn._xlws.FILTER(TablaProductos[Nombre producto],TablaProductos[Agrupación]=ProductosPivot!LIM5)</f>
        <v>#VALUE!</v>
      </c>
      <c r="LIN6" s="68" t="e" cm="1" vm="1">
        <f t="array" ref="LIN6">_xlfn._xlws.FILTER(TablaProductos[Nombre producto],TablaProductos[Agrupación]=ProductosPivot!LIN5)</f>
        <v>#VALUE!</v>
      </c>
      <c r="LIO6" s="68" t="e" cm="1" vm="1">
        <f t="array" ref="LIO6">_xlfn._xlws.FILTER(TablaProductos[Nombre producto],TablaProductos[Agrupación]=ProductosPivot!LIO5)</f>
        <v>#VALUE!</v>
      </c>
      <c r="LIP6" s="68" t="e" cm="1" vm="1">
        <f t="array" ref="LIP6">_xlfn._xlws.FILTER(TablaProductos[Nombre producto],TablaProductos[Agrupación]=ProductosPivot!LIP5)</f>
        <v>#VALUE!</v>
      </c>
      <c r="LIQ6" s="68" t="e" cm="1" vm="1">
        <f t="array" ref="LIQ6">_xlfn._xlws.FILTER(TablaProductos[Nombre producto],TablaProductos[Agrupación]=ProductosPivot!LIQ5)</f>
        <v>#VALUE!</v>
      </c>
      <c r="LIR6" s="68" t="e" cm="1" vm="1">
        <f t="array" ref="LIR6">_xlfn._xlws.FILTER(TablaProductos[Nombre producto],TablaProductos[Agrupación]=ProductosPivot!LIR5)</f>
        <v>#VALUE!</v>
      </c>
      <c r="LIS6" s="68" t="e" cm="1" vm="1">
        <f t="array" ref="LIS6">_xlfn._xlws.FILTER(TablaProductos[Nombre producto],TablaProductos[Agrupación]=ProductosPivot!LIS5)</f>
        <v>#VALUE!</v>
      </c>
      <c r="LIT6" s="68" t="e" cm="1" vm="1">
        <f t="array" ref="LIT6">_xlfn._xlws.FILTER(TablaProductos[Nombre producto],TablaProductos[Agrupación]=ProductosPivot!LIT5)</f>
        <v>#VALUE!</v>
      </c>
      <c r="LIU6" s="68" t="e" cm="1" vm="1">
        <f t="array" ref="LIU6">_xlfn._xlws.FILTER(TablaProductos[Nombre producto],TablaProductos[Agrupación]=ProductosPivot!LIU5)</f>
        <v>#VALUE!</v>
      </c>
      <c r="LIV6" s="68" t="e" cm="1" vm="1">
        <f t="array" ref="LIV6">_xlfn._xlws.FILTER(TablaProductos[Nombre producto],TablaProductos[Agrupación]=ProductosPivot!LIV5)</f>
        <v>#VALUE!</v>
      </c>
      <c r="LIW6" s="68" t="e" cm="1" vm="1">
        <f t="array" ref="LIW6">_xlfn._xlws.FILTER(TablaProductos[Nombre producto],TablaProductos[Agrupación]=ProductosPivot!LIW5)</f>
        <v>#VALUE!</v>
      </c>
      <c r="LIX6" s="68" t="e" cm="1" vm="1">
        <f t="array" ref="LIX6">_xlfn._xlws.FILTER(TablaProductos[Nombre producto],TablaProductos[Agrupación]=ProductosPivot!LIX5)</f>
        <v>#VALUE!</v>
      </c>
      <c r="LIY6" s="68" t="e" cm="1" vm="1">
        <f t="array" ref="LIY6">_xlfn._xlws.FILTER(TablaProductos[Nombre producto],TablaProductos[Agrupación]=ProductosPivot!LIY5)</f>
        <v>#VALUE!</v>
      </c>
      <c r="LIZ6" s="68" t="e" cm="1" vm="1">
        <f t="array" ref="LIZ6">_xlfn._xlws.FILTER(TablaProductos[Nombre producto],TablaProductos[Agrupación]=ProductosPivot!LIZ5)</f>
        <v>#VALUE!</v>
      </c>
      <c r="LJA6" s="68" t="e" cm="1" vm="1">
        <f t="array" ref="LJA6">_xlfn._xlws.FILTER(TablaProductos[Nombre producto],TablaProductos[Agrupación]=ProductosPivot!LJA5)</f>
        <v>#VALUE!</v>
      </c>
      <c r="LJB6" s="68" t="e" cm="1" vm="1">
        <f t="array" ref="LJB6">_xlfn._xlws.FILTER(TablaProductos[Nombre producto],TablaProductos[Agrupación]=ProductosPivot!LJB5)</f>
        <v>#VALUE!</v>
      </c>
      <c r="LJC6" s="68" t="e" cm="1" vm="1">
        <f t="array" ref="LJC6">_xlfn._xlws.FILTER(TablaProductos[Nombre producto],TablaProductos[Agrupación]=ProductosPivot!LJC5)</f>
        <v>#VALUE!</v>
      </c>
      <c r="LJD6" s="68" t="e" cm="1" vm="1">
        <f t="array" ref="LJD6">_xlfn._xlws.FILTER(TablaProductos[Nombre producto],TablaProductos[Agrupación]=ProductosPivot!LJD5)</f>
        <v>#VALUE!</v>
      </c>
      <c r="LJE6" s="68" t="e" cm="1" vm="1">
        <f t="array" ref="LJE6">_xlfn._xlws.FILTER(TablaProductos[Nombre producto],TablaProductos[Agrupación]=ProductosPivot!LJE5)</f>
        <v>#VALUE!</v>
      </c>
      <c r="LJF6" s="68" t="e" cm="1" vm="1">
        <f t="array" ref="LJF6">_xlfn._xlws.FILTER(TablaProductos[Nombre producto],TablaProductos[Agrupación]=ProductosPivot!LJF5)</f>
        <v>#VALUE!</v>
      </c>
      <c r="LJG6" s="68" t="e" cm="1" vm="1">
        <f t="array" ref="LJG6">_xlfn._xlws.FILTER(TablaProductos[Nombre producto],TablaProductos[Agrupación]=ProductosPivot!LJG5)</f>
        <v>#VALUE!</v>
      </c>
      <c r="LJH6" s="68" t="e" cm="1" vm="1">
        <f t="array" ref="LJH6">_xlfn._xlws.FILTER(TablaProductos[Nombre producto],TablaProductos[Agrupación]=ProductosPivot!LJH5)</f>
        <v>#VALUE!</v>
      </c>
      <c r="LJI6" s="68" t="e" cm="1" vm="1">
        <f t="array" ref="LJI6">_xlfn._xlws.FILTER(TablaProductos[Nombre producto],TablaProductos[Agrupación]=ProductosPivot!LJI5)</f>
        <v>#VALUE!</v>
      </c>
      <c r="LJJ6" s="68" t="e" cm="1" vm="1">
        <f t="array" ref="LJJ6">_xlfn._xlws.FILTER(TablaProductos[Nombre producto],TablaProductos[Agrupación]=ProductosPivot!LJJ5)</f>
        <v>#VALUE!</v>
      </c>
      <c r="LJK6" s="68" t="e" cm="1" vm="1">
        <f t="array" ref="LJK6">_xlfn._xlws.FILTER(TablaProductos[Nombre producto],TablaProductos[Agrupación]=ProductosPivot!LJK5)</f>
        <v>#VALUE!</v>
      </c>
      <c r="LJL6" s="68" t="e" cm="1" vm="1">
        <f t="array" ref="LJL6">_xlfn._xlws.FILTER(TablaProductos[Nombre producto],TablaProductos[Agrupación]=ProductosPivot!LJL5)</f>
        <v>#VALUE!</v>
      </c>
      <c r="LJM6" s="68" t="e" cm="1" vm="1">
        <f t="array" ref="LJM6">_xlfn._xlws.FILTER(TablaProductos[Nombre producto],TablaProductos[Agrupación]=ProductosPivot!LJM5)</f>
        <v>#VALUE!</v>
      </c>
      <c r="LJN6" s="68" t="e" cm="1" vm="1">
        <f t="array" ref="LJN6">_xlfn._xlws.FILTER(TablaProductos[Nombre producto],TablaProductos[Agrupación]=ProductosPivot!LJN5)</f>
        <v>#VALUE!</v>
      </c>
      <c r="LJO6" s="68" t="e" cm="1" vm="1">
        <f t="array" ref="LJO6">_xlfn._xlws.FILTER(TablaProductos[Nombre producto],TablaProductos[Agrupación]=ProductosPivot!LJO5)</f>
        <v>#VALUE!</v>
      </c>
      <c r="LJP6" s="68" t="e" cm="1" vm="1">
        <f t="array" ref="LJP6">_xlfn._xlws.FILTER(TablaProductos[Nombre producto],TablaProductos[Agrupación]=ProductosPivot!LJP5)</f>
        <v>#VALUE!</v>
      </c>
      <c r="LJQ6" s="68" t="e" cm="1" vm="1">
        <f t="array" ref="LJQ6">_xlfn._xlws.FILTER(TablaProductos[Nombre producto],TablaProductos[Agrupación]=ProductosPivot!LJQ5)</f>
        <v>#VALUE!</v>
      </c>
      <c r="LJR6" s="68" t="e" cm="1" vm="1">
        <f t="array" ref="LJR6">_xlfn._xlws.FILTER(TablaProductos[Nombre producto],TablaProductos[Agrupación]=ProductosPivot!LJR5)</f>
        <v>#VALUE!</v>
      </c>
      <c r="LJS6" s="68" t="e" cm="1" vm="1">
        <f t="array" ref="LJS6">_xlfn._xlws.FILTER(TablaProductos[Nombre producto],TablaProductos[Agrupación]=ProductosPivot!LJS5)</f>
        <v>#VALUE!</v>
      </c>
      <c r="LJT6" s="68" t="e" cm="1" vm="1">
        <f t="array" ref="LJT6">_xlfn._xlws.FILTER(TablaProductos[Nombre producto],TablaProductos[Agrupación]=ProductosPivot!LJT5)</f>
        <v>#VALUE!</v>
      </c>
      <c r="LJU6" s="68" t="e" cm="1" vm="1">
        <f t="array" ref="LJU6">_xlfn._xlws.FILTER(TablaProductos[Nombre producto],TablaProductos[Agrupación]=ProductosPivot!LJU5)</f>
        <v>#VALUE!</v>
      </c>
      <c r="LJV6" s="68" t="e" cm="1" vm="1">
        <f t="array" ref="LJV6">_xlfn._xlws.FILTER(TablaProductos[Nombre producto],TablaProductos[Agrupación]=ProductosPivot!LJV5)</f>
        <v>#VALUE!</v>
      </c>
      <c r="LJW6" s="68" t="e" cm="1" vm="1">
        <f t="array" ref="LJW6">_xlfn._xlws.FILTER(TablaProductos[Nombre producto],TablaProductos[Agrupación]=ProductosPivot!LJW5)</f>
        <v>#VALUE!</v>
      </c>
      <c r="LJX6" s="68" t="e" cm="1" vm="1">
        <f t="array" ref="LJX6">_xlfn._xlws.FILTER(TablaProductos[Nombre producto],TablaProductos[Agrupación]=ProductosPivot!LJX5)</f>
        <v>#VALUE!</v>
      </c>
      <c r="LJY6" s="68" t="e" cm="1" vm="1">
        <f t="array" ref="LJY6">_xlfn._xlws.FILTER(TablaProductos[Nombre producto],TablaProductos[Agrupación]=ProductosPivot!LJY5)</f>
        <v>#VALUE!</v>
      </c>
      <c r="LJZ6" s="68" t="e" cm="1" vm="1">
        <f t="array" ref="LJZ6">_xlfn._xlws.FILTER(TablaProductos[Nombre producto],TablaProductos[Agrupación]=ProductosPivot!LJZ5)</f>
        <v>#VALUE!</v>
      </c>
      <c r="LKA6" s="68" t="e" cm="1" vm="1">
        <f t="array" ref="LKA6">_xlfn._xlws.FILTER(TablaProductos[Nombre producto],TablaProductos[Agrupación]=ProductosPivot!LKA5)</f>
        <v>#VALUE!</v>
      </c>
      <c r="LKB6" s="68" t="e" cm="1" vm="1">
        <f t="array" ref="LKB6">_xlfn._xlws.FILTER(TablaProductos[Nombre producto],TablaProductos[Agrupación]=ProductosPivot!LKB5)</f>
        <v>#VALUE!</v>
      </c>
      <c r="LKC6" s="68" t="e" cm="1" vm="1">
        <f t="array" ref="LKC6">_xlfn._xlws.FILTER(TablaProductos[Nombre producto],TablaProductos[Agrupación]=ProductosPivot!LKC5)</f>
        <v>#VALUE!</v>
      </c>
      <c r="LKD6" s="68" t="e" cm="1" vm="1">
        <f t="array" ref="LKD6">_xlfn._xlws.FILTER(TablaProductos[Nombre producto],TablaProductos[Agrupación]=ProductosPivot!LKD5)</f>
        <v>#VALUE!</v>
      </c>
      <c r="LKE6" s="68" t="e" cm="1" vm="1">
        <f t="array" ref="LKE6">_xlfn._xlws.FILTER(TablaProductos[Nombre producto],TablaProductos[Agrupación]=ProductosPivot!LKE5)</f>
        <v>#VALUE!</v>
      </c>
      <c r="LKF6" s="68" t="e" cm="1" vm="1">
        <f t="array" ref="LKF6">_xlfn._xlws.FILTER(TablaProductos[Nombre producto],TablaProductos[Agrupación]=ProductosPivot!LKF5)</f>
        <v>#VALUE!</v>
      </c>
      <c r="LKG6" s="68" t="e" cm="1" vm="1">
        <f t="array" ref="LKG6">_xlfn._xlws.FILTER(TablaProductos[Nombre producto],TablaProductos[Agrupación]=ProductosPivot!LKG5)</f>
        <v>#VALUE!</v>
      </c>
      <c r="LKH6" s="68" t="e" cm="1" vm="1">
        <f t="array" ref="LKH6">_xlfn._xlws.FILTER(TablaProductos[Nombre producto],TablaProductos[Agrupación]=ProductosPivot!LKH5)</f>
        <v>#VALUE!</v>
      </c>
      <c r="LKI6" s="68" t="e" cm="1" vm="1">
        <f t="array" ref="LKI6">_xlfn._xlws.FILTER(TablaProductos[Nombre producto],TablaProductos[Agrupación]=ProductosPivot!LKI5)</f>
        <v>#VALUE!</v>
      </c>
      <c r="LKJ6" s="68" t="e" cm="1" vm="1">
        <f t="array" ref="LKJ6">_xlfn._xlws.FILTER(TablaProductos[Nombre producto],TablaProductos[Agrupación]=ProductosPivot!LKJ5)</f>
        <v>#VALUE!</v>
      </c>
      <c r="LKK6" s="68" t="e" cm="1" vm="1">
        <f t="array" ref="LKK6">_xlfn._xlws.FILTER(TablaProductos[Nombre producto],TablaProductos[Agrupación]=ProductosPivot!LKK5)</f>
        <v>#VALUE!</v>
      </c>
      <c r="LKL6" s="68" t="e" cm="1" vm="1">
        <f t="array" ref="LKL6">_xlfn._xlws.FILTER(TablaProductos[Nombre producto],TablaProductos[Agrupación]=ProductosPivot!LKL5)</f>
        <v>#VALUE!</v>
      </c>
      <c r="LKM6" s="68" t="e" cm="1" vm="1">
        <f t="array" ref="LKM6">_xlfn._xlws.FILTER(TablaProductos[Nombre producto],TablaProductos[Agrupación]=ProductosPivot!LKM5)</f>
        <v>#VALUE!</v>
      </c>
      <c r="LKN6" s="68" t="e" cm="1" vm="1">
        <f t="array" ref="LKN6">_xlfn._xlws.FILTER(TablaProductos[Nombre producto],TablaProductos[Agrupación]=ProductosPivot!LKN5)</f>
        <v>#VALUE!</v>
      </c>
      <c r="LKO6" s="68" t="e" cm="1" vm="1">
        <f t="array" ref="LKO6">_xlfn._xlws.FILTER(TablaProductos[Nombre producto],TablaProductos[Agrupación]=ProductosPivot!LKO5)</f>
        <v>#VALUE!</v>
      </c>
      <c r="LKP6" s="68" t="e" cm="1" vm="1">
        <f t="array" ref="LKP6">_xlfn._xlws.FILTER(TablaProductos[Nombre producto],TablaProductos[Agrupación]=ProductosPivot!LKP5)</f>
        <v>#VALUE!</v>
      </c>
      <c r="LKQ6" s="68" t="e" cm="1" vm="1">
        <f t="array" ref="LKQ6">_xlfn._xlws.FILTER(TablaProductos[Nombre producto],TablaProductos[Agrupación]=ProductosPivot!LKQ5)</f>
        <v>#VALUE!</v>
      </c>
      <c r="LKR6" s="68" t="e" cm="1" vm="1">
        <f t="array" ref="LKR6">_xlfn._xlws.FILTER(TablaProductos[Nombre producto],TablaProductos[Agrupación]=ProductosPivot!LKR5)</f>
        <v>#VALUE!</v>
      </c>
      <c r="LKS6" s="68" t="e" cm="1" vm="1">
        <f t="array" ref="LKS6">_xlfn._xlws.FILTER(TablaProductos[Nombre producto],TablaProductos[Agrupación]=ProductosPivot!LKS5)</f>
        <v>#VALUE!</v>
      </c>
      <c r="LKT6" s="68" t="e" cm="1" vm="1">
        <f t="array" ref="LKT6">_xlfn._xlws.FILTER(TablaProductos[Nombre producto],TablaProductos[Agrupación]=ProductosPivot!LKT5)</f>
        <v>#VALUE!</v>
      </c>
      <c r="LKU6" s="68" t="e" cm="1" vm="1">
        <f t="array" ref="LKU6">_xlfn._xlws.FILTER(TablaProductos[Nombre producto],TablaProductos[Agrupación]=ProductosPivot!LKU5)</f>
        <v>#VALUE!</v>
      </c>
      <c r="LKV6" s="68" t="e" cm="1" vm="1">
        <f t="array" ref="LKV6">_xlfn._xlws.FILTER(TablaProductos[Nombre producto],TablaProductos[Agrupación]=ProductosPivot!LKV5)</f>
        <v>#VALUE!</v>
      </c>
      <c r="LKW6" s="68" t="e" cm="1" vm="1">
        <f t="array" ref="LKW6">_xlfn._xlws.FILTER(TablaProductos[Nombre producto],TablaProductos[Agrupación]=ProductosPivot!LKW5)</f>
        <v>#VALUE!</v>
      </c>
      <c r="LKX6" s="68" t="e" cm="1" vm="1">
        <f t="array" ref="LKX6">_xlfn._xlws.FILTER(TablaProductos[Nombre producto],TablaProductos[Agrupación]=ProductosPivot!LKX5)</f>
        <v>#VALUE!</v>
      </c>
      <c r="LKY6" s="68" t="e" cm="1" vm="1">
        <f t="array" ref="LKY6">_xlfn._xlws.FILTER(TablaProductos[Nombre producto],TablaProductos[Agrupación]=ProductosPivot!LKY5)</f>
        <v>#VALUE!</v>
      </c>
      <c r="LKZ6" s="68" t="e" cm="1" vm="1">
        <f t="array" ref="LKZ6">_xlfn._xlws.FILTER(TablaProductos[Nombre producto],TablaProductos[Agrupación]=ProductosPivot!LKZ5)</f>
        <v>#VALUE!</v>
      </c>
      <c r="LLA6" s="68" t="e" cm="1" vm="1">
        <f t="array" ref="LLA6">_xlfn._xlws.FILTER(TablaProductos[Nombre producto],TablaProductos[Agrupación]=ProductosPivot!LLA5)</f>
        <v>#VALUE!</v>
      </c>
      <c r="LLB6" s="68" t="e" cm="1" vm="1">
        <f t="array" ref="LLB6">_xlfn._xlws.FILTER(TablaProductos[Nombre producto],TablaProductos[Agrupación]=ProductosPivot!LLB5)</f>
        <v>#VALUE!</v>
      </c>
      <c r="LLC6" s="68" t="e" cm="1" vm="1">
        <f t="array" ref="LLC6">_xlfn._xlws.FILTER(TablaProductos[Nombre producto],TablaProductos[Agrupación]=ProductosPivot!LLC5)</f>
        <v>#VALUE!</v>
      </c>
      <c r="LLD6" s="68" t="e" cm="1" vm="1">
        <f t="array" ref="LLD6">_xlfn._xlws.FILTER(TablaProductos[Nombre producto],TablaProductos[Agrupación]=ProductosPivot!LLD5)</f>
        <v>#VALUE!</v>
      </c>
      <c r="LLE6" s="68" t="e" cm="1" vm="1">
        <f t="array" ref="LLE6">_xlfn._xlws.FILTER(TablaProductos[Nombre producto],TablaProductos[Agrupación]=ProductosPivot!LLE5)</f>
        <v>#VALUE!</v>
      </c>
      <c r="LLF6" s="68" t="e" cm="1" vm="1">
        <f t="array" ref="LLF6">_xlfn._xlws.FILTER(TablaProductos[Nombre producto],TablaProductos[Agrupación]=ProductosPivot!LLF5)</f>
        <v>#VALUE!</v>
      </c>
      <c r="LLG6" s="68" t="e" cm="1" vm="1">
        <f t="array" ref="LLG6">_xlfn._xlws.FILTER(TablaProductos[Nombre producto],TablaProductos[Agrupación]=ProductosPivot!LLG5)</f>
        <v>#VALUE!</v>
      </c>
      <c r="LLH6" s="68" t="e" cm="1" vm="1">
        <f t="array" ref="LLH6">_xlfn._xlws.FILTER(TablaProductos[Nombre producto],TablaProductos[Agrupación]=ProductosPivot!LLH5)</f>
        <v>#VALUE!</v>
      </c>
      <c r="LLI6" s="68" t="e" cm="1" vm="1">
        <f t="array" ref="LLI6">_xlfn._xlws.FILTER(TablaProductos[Nombre producto],TablaProductos[Agrupación]=ProductosPivot!LLI5)</f>
        <v>#VALUE!</v>
      </c>
      <c r="LLJ6" s="68" t="e" cm="1" vm="1">
        <f t="array" ref="LLJ6">_xlfn._xlws.FILTER(TablaProductos[Nombre producto],TablaProductos[Agrupación]=ProductosPivot!LLJ5)</f>
        <v>#VALUE!</v>
      </c>
      <c r="LLK6" s="68" t="e" cm="1" vm="1">
        <f t="array" ref="LLK6">_xlfn._xlws.FILTER(TablaProductos[Nombre producto],TablaProductos[Agrupación]=ProductosPivot!LLK5)</f>
        <v>#VALUE!</v>
      </c>
      <c r="LLL6" s="68" t="e" cm="1" vm="1">
        <f t="array" ref="LLL6">_xlfn._xlws.FILTER(TablaProductos[Nombre producto],TablaProductos[Agrupación]=ProductosPivot!LLL5)</f>
        <v>#VALUE!</v>
      </c>
      <c r="LLM6" s="68" t="e" cm="1" vm="1">
        <f t="array" ref="LLM6">_xlfn._xlws.FILTER(TablaProductos[Nombre producto],TablaProductos[Agrupación]=ProductosPivot!LLM5)</f>
        <v>#VALUE!</v>
      </c>
      <c r="LLN6" s="68" t="e" cm="1" vm="1">
        <f t="array" ref="LLN6">_xlfn._xlws.FILTER(TablaProductos[Nombre producto],TablaProductos[Agrupación]=ProductosPivot!LLN5)</f>
        <v>#VALUE!</v>
      </c>
      <c r="LLO6" s="68" t="e" cm="1" vm="1">
        <f t="array" ref="LLO6">_xlfn._xlws.FILTER(TablaProductos[Nombre producto],TablaProductos[Agrupación]=ProductosPivot!LLO5)</f>
        <v>#VALUE!</v>
      </c>
      <c r="LLP6" s="68" t="e" cm="1" vm="1">
        <f t="array" ref="LLP6">_xlfn._xlws.FILTER(TablaProductos[Nombre producto],TablaProductos[Agrupación]=ProductosPivot!LLP5)</f>
        <v>#VALUE!</v>
      </c>
      <c r="LLQ6" s="68" t="e" cm="1" vm="1">
        <f t="array" ref="LLQ6">_xlfn._xlws.FILTER(TablaProductos[Nombre producto],TablaProductos[Agrupación]=ProductosPivot!LLQ5)</f>
        <v>#VALUE!</v>
      </c>
      <c r="LLR6" s="68" t="e" cm="1" vm="1">
        <f t="array" ref="LLR6">_xlfn._xlws.FILTER(TablaProductos[Nombre producto],TablaProductos[Agrupación]=ProductosPivot!LLR5)</f>
        <v>#VALUE!</v>
      </c>
      <c r="LLS6" s="68" t="e" cm="1" vm="1">
        <f t="array" ref="LLS6">_xlfn._xlws.FILTER(TablaProductos[Nombre producto],TablaProductos[Agrupación]=ProductosPivot!LLS5)</f>
        <v>#VALUE!</v>
      </c>
      <c r="LLT6" s="68" t="e" cm="1" vm="1">
        <f t="array" ref="LLT6">_xlfn._xlws.FILTER(TablaProductos[Nombre producto],TablaProductos[Agrupación]=ProductosPivot!LLT5)</f>
        <v>#VALUE!</v>
      </c>
      <c r="LLU6" s="68" t="e" cm="1" vm="1">
        <f t="array" ref="LLU6">_xlfn._xlws.FILTER(TablaProductos[Nombre producto],TablaProductos[Agrupación]=ProductosPivot!LLU5)</f>
        <v>#VALUE!</v>
      </c>
      <c r="LLV6" s="68" t="e" cm="1" vm="1">
        <f t="array" ref="LLV6">_xlfn._xlws.FILTER(TablaProductos[Nombre producto],TablaProductos[Agrupación]=ProductosPivot!LLV5)</f>
        <v>#VALUE!</v>
      </c>
      <c r="LLW6" s="68" t="e" cm="1" vm="1">
        <f t="array" ref="LLW6">_xlfn._xlws.FILTER(TablaProductos[Nombre producto],TablaProductos[Agrupación]=ProductosPivot!LLW5)</f>
        <v>#VALUE!</v>
      </c>
      <c r="LLX6" s="68" t="e" cm="1" vm="1">
        <f t="array" ref="LLX6">_xlfn._xlws.FILTER(TablaProductos[Nombre producto],TablaProductos[Agrupación]=ProductosPivot!LLX5)</f>
        <v>#VALUE!</v>
      </c>
      <c r="LLY6" s="68" t="e" cm="1" vm="1">
        <f t="array" ref="LLY6">_xlfn._xlws.FILTER(TablaProductos[Nombre producto],TablaProductos[Agrupación]=ProductosPivot!LLY5)</f>
        <v>#VALUE!</v>
      </c>
      <c r="LLZ6" s="68" t="e" cm="1" vm="1">
        <f t="array" ref="LLZ6">_xlfn._xlws.FILTER(TablaProductos[Nombre producto],TablaProductos[Agrupación]=ProductosPivot!LLZ5)</f>
        <v>#VALUE!</v>
      </c>
      <c r="LMA6" s="68" t="e" cm="1" vm="1">
        <f t="array" ref="LMA6">_xlfn._xlws.FILTER(TablaProductos[Nombre producto],TablaProductos[Agrupación]=ProductosPivot!LMA5)</f>
        <v>#VALUE!</v>
      </c>
      <c r="LMB6" s="68" t="e" cm="1" vm="1">
        <f t="array" ref="LMB6">_xlfn._xlws.FILTER(TablaProductos[Nombre producto],TablaProductos[Agrupación]=ProductosPivot!LMB5)</f>
        <v>#VALUE!</v>
      </c>
      <c r="LMC6" s="68" t="e" cm="1" vm="1">
        <f t="array" ref="LMC6">_xlfn._xlws.FILTER(TablaProductos[Nombre producto],TablaProductos[Agrupación]=ProductosPivot!LMC5)</f>
        <v>#VALUE!</v>
      </c>
      <c r="LMD6" s="68" t="e" cm="1" vm="1">
        <f t="array" ref="LMD6">_xlfn._xlws.FILTER(TablaProductos[Nombre producto],TablaProductos[Agrupación]=ProductosPivot!LMD5)</f>
        <v>#VALUE!</v>
      </c>
      <c r="LME6" s="68" t="e" cm="1" vm="1">
        <f t="array" ref="LME6">_xlfn._xlws.FILTER(TablaProductos[Nombre producto],TablaProductos[Agrupación]=ProductosPivot!LME5)</f>
        <v>#VALUE!</v>
      </c>
      <c r="LMF6" s="68" t="e" cm="1" vm="1">
        <f t="array" ref="LMF6">_xlfn._xlws.FILTER(TablaProductos[Nombre producto],TablaProductos[Agrupación]=ProductosPivot!LMF5)</f>
        <v>#VALUE!</v>
      </c>
      <c r="LMG6" s="68" t="e" cm="1" vm="1">
        <f t="array" ref="LMG6">_xlfn._xlws.FILTER(TablaProductos[Nombre producto],TablaProductos[Agrupación]=ProductosPivot!LMG5)</f>
        <v>#VALUE!</v>
      </c>
      <c r="LMH6" s="68" t="e" cm="1" vm="1">
        <f t="array" ref="LMH6">_xlfn._xlws.FILTER(TablaProductos[Nombre producto],TablaProductos[Agrupación]=ProductosPivot!LMH5)</f>
        <v>#VALUE!</v>
      </c>
      <c r="LMI6" s="68" t="e" cm="1" vm="1">
        <f t="array" ref="LMI6">_xlfn._xlws.FILTER(TablaProductos[Nombre producto],TablaProductos[Agrupación]=ProductosPivot!LMI5)</f>
        <v>#VALUE!</v>
      </c>
      <c r="LMJ6" s="68" t="e" cm="1" vm="1">
        <f t="array" ref="LMJ6">_xlfn._xlws.FILTER(TablaProductos[Nombre producto],TablaProductos[Agrupación]=ProductosPivot!LMJ5)</f>
        <v>#VALUE!</v>
      </c>
      <c r="LMK6" s="68" t="e" cm="1" vm="1">
        <f t="array" ref="LMK6">_xlfn._xlws.FILTER(TablaProductos[Nombre producto],TablaProductos[Agrupación]=ProductosPivot!LMK5)</f>
        <v>#VALUE!</v>
      </c>
      <c r="LML6" s="68" t="e" cm="1" vm="1">
        <f t="array" ref="LML6">_xlfn._xlws.FILTER(TablaProductos[Nombre producto],TablaProductos[Agrupación]=ProductosPivot!LML5)</f>
        <v>#VALUE!</v>
      </c>
      <c r="LMM6" s="68" t="e" cm="1" vm="1">
        <f t="array" ref="LMM6">_xlfn._xlws.FILTER(TablaProductos[Nombre producto],TablaProductos[Agrupación]=ProductosPivot!LMM5)</f>
        <v>#VALUE!</v>
      </c>
      <c r="LMN6" s="68" t="e" cm="1" vm="1">
        <f t="array" ref="LMN6">_xlfn._xlws.FILTER(TablaProductos[Nombre producto],TablaProductos[Agrupación]=ProductosPivot!LMN5)</f>
        <v>#VALUE!</v>
      </c>
      <c r="LMO6" s="68" t="e" cm="1" vm="1">
        <f t="array" ref="LMO6">_xlfn._xlws.FILTER(TablaProductos[Nombre producto],TablaProductos[Agrupación]=ProductosPivot!LMO5)</f>
        <v>#VALUE!</v>
      </c>
      <c r="LMP6" s="68" t="e" cm="1" vm="1">
        <f t="array" ref="LMP6">_xlfn._xlws.FILTER(TablaProductos[Nombre producto],TablaProductos[Agrupación]=ProductosPivot!LMP5)</f>
        <v>#VALUE!</v>
      </c>
      <c r="LMQ6" s="68" t="e" cm="1" vm="1">
        <f t="array" ref="LMQ6">_xlfn._xlws.FILTER(TablaProductos[Nombre producto],TablaProductos[Agrupación]=ProductosPivot!LMQ5)</f>
        <v>#VALUE!</v>
      </c>
      <c r="LMR6" s="68" t="e" cm="1" vm="1">
        <f t="array" ref="LMR6">_xlfn._xlws.FILTER(TablaProductos[Nombre producto],TablaProductos[Agrupación]=ProductosPivot!LMR5)</f>
        <v>#VALUE!</v>
      </c>
      <c r="LMS6" s="68" t="e" cm="1" vm="1">
        <f t="array" ref="LMS6">_xlfn._xlws.FILTER(TablaProductos[Nombre producto],TablaProductos[Agrupación]=ProductosPivot!LMS5)</f>
        <v>#VALUE!</v>
      </c>
      <c r="LMT6" s="68" t="e" cm="1" vm="1">
        <f t="array" ref="LMT6">_xlfn._xlws.FILTER(TablaProductos[Nombre producto],TablaProductos[Agrupación]=ProductosPivot!LMT5)</f>
        <v>#VALUE!</v>
      </c>
      <c r="LMU6" s="68" t="e" cm="1" vm="1">
        <f t="array" ref="LMU6">_xlfn._xlws.FILTER(TablaProductos[Nombre producto],TablaProductos[Agrupación]=ProductosPivot!LMU5)</f>
        <v>#VALUE!</v>
      </c>
      <c r="LMV6" s="68" t="e" cm="1" vm="1">
        <f t="array" ref="LMV6">_xlfn._xlws.FILTER(TablaProductos[Nombre producto],TablaProductos[Agrupación]=ProductosPivot!LMV5)</f>
        <v>#VALUE!</v>
      </c>
      <c r="LMW6" s="68" t="e" cm="1" vm="1">
        <f t="array" ref="LMW6">_xlfn._xlws.FILTER(TablaProductos[Nombre producto],TablaProductos[Agrupación]=ProductosPivot!LMW5)</f>
        <v>#VALUE!</v>
      </c>
      <c r="LMX6" s="68" t="e" cm="1" vm="1">
        <f t="array" ref="LMX6">_xlfn._xlws.FILTER(TablaProductos[Nombre producto],TablaProductos[Agrupación]=ProductosPivot!LMX5)</f>
        <v>#VALUE!</v>
      </c>
      <c r="LMY6" s="68" t="e" cm="1" vm="1">
        <f t="array" ref="LMY6">_xlfn._xlws.FILTER(TablaProductos[Nombre producto],TablaProductos[Agrupación]=ProductosPivot!LMY5)</f>
        <v>#VALUE!</v>
      </c>
      <c r="LMZ6" s="68" t="e" cm="1" vm="1">
        <f t="array" ref="LMZ6">_xlfn._xlws.FILTER(TablaProductos[Nombre producto],TablaProductos[Agrupación]=ProductosPivot!LMZ5)</f>
        <v>#VALUE!</v>
      </c>
      <c r="LNA6" s="68" t="e" cm="1" vm="1">
        <f t="array" ref="LNA6">_xlfn._xlws.FILTER(TablaProductos[Nombre producto],TablaProductos[Agrupación]=ProductosPivot!LNA5)</f>
        <v>#VALUE!</v>
      </c>
      <c r="LNB6" s="68" t="e" cm="1" vm="1">
        <f t="array" ref="LNB6">_xlfn._xlws.FILTER(TablaProductos[Nombre producto],TablaProductos[Agrupación]=ProductosPivot!LNB5)</f>
        <v>#VALUE!</v>
      </c>
      <c r="LNC6" s="68" t="e" cm="1" vm="1">
        <f t="array" ref="LNC6">_xlfn._xlws.FILTER(TablaProductos[Nombre producto],TablaProductos[Agrupación]=ProductosPivot!LNC5)</f>
        <v>#VALUE!</v>
      </c>
      <c r="LND6" s="68" t="e" cm="1" vm="1">
        <f t="array" ref="LND6">_xlfn._xlws.FILTER(TablaProductos[Nombre producto],TablaProductos[Agrupación]=ProductosPivot!LND5)</f>
        <v>#VALUE!</v>
      </c>
      <c r="LNE6" s="68" t="e" cm="1" vm="1">
        <f t="array" ref="LNE6">_xlfn._xlws.FILTER(TablaProductos[Nombre producto],TablaProductos[Agrupación]=ProductosPivot!LNE5)</f>
        <v>#VALUE!</v>
      </c>
      <c r="LNF6" s="68" t="e" cm="1" vm="1">
        <f t="array" ref="LNF6">_xlfn._xlws.FILTER(TablaProductos[Nombre producto],TablaProductos[Agrupación]=ProductosPivot!LNF5)</f>
        <v>#VALUE!</v>
      </c>
      <c r="LNG6" s="68" t="e" cm="1" vm="1">
        <f t="array" ref="LNG6">_xlfn._xlws.FILTER(TablaProductos[Nombre producto],TablaProductos[Agrupación]=ProductosPivot!LNG5)</f>
        <v>#VALUE!</v>
      </c>
      <c r="LNH6" s="68" t="e" cm="1" vm="1">
        <f t="array" ref="LNH6">_xlfn._xlws.FILTER(TablaProductos[Nombre producto],TablaProductos[Agrupación]=ProductosPivot!LNH5)</f>
        <v>#VALUE!</v>
      </c>
      <c r="LNI6" s="68" t="e" cm="1" vm="1">
        <f t="array" ref="LNI6">_xlfn._xlws.FILTER(TablaProductos[Nombre producto],TablaProductos[Agrupación]=ProductosPivot!LNI5)</f>
        <v>#VALUE!</v>
      </c>
      <c r="LNJ6" s="68" t="e" cm="1" vm="1">
        <f t="array" ref="LNJ6">_xlfn._xlws.FILTER(TablaProductos[Nombre producto],TablaProductos[Agrupación]=ProductosPivot!LNJ5)</f>
        <v>#VALUE!</v>
      </c>
      <c r="LNK6" s="68" t="e" cm="1" vm="1">
        <f t="array" ref="LNK6">_xlfn._xlws.FILTER(TablaProductos[Nombre producto],TablaProductos[Agrupación]=ProductosPivot!LNK5)</f>
        <v>#VALUE!</v>
      </c>
      <c r="LNL6" s="68" t="e" cm="1" vm="1">
        <f t="array" ref="LNL6">_xlfn._xlws.FILTER(TablaProductos[Nombre producto],TablaProductos[Agrupación]=ProductosPivot!LNL5)</f>
        <v>#VALUE!</v>
      </c>
      <c r="LNM6" s="68" t="e" cm="1" vm="1">
        <f t="array" ref="LNM6">_xlfn._xlws.FILTER(TablaProductos[Nombre producto],TablaProductos[Agrupación]=ProductosPivot!LNM5)</f>
        <v>#VALUE!</v>
      </c>
      <c r="LNN6" s="68" t="e" cm="1" vm="1">
        <f t="array" ref="LNN6">_xlfn._xlws.FILTER(TablaProductos[Nombre producto],TablaProductos[Agrupación]=ProductosPivot!LNN5)</f>
        <v>#VALUE!</v>
      </c>
      <c r="LNO6" s="68" t="e" cm="1" vm="1">
        <f t="array" ref="LNO6">_xlfn._xlws.FILTER(TablaProductos[Nombre producto],TablaProductos[Agrupación]=ProductosPivot!LNO5)</f>
        <v>#VALUE!</v>
      </c>
      <c r="LNP6" s="68" t="e" cm="1" vm="1">
        <f t="array" ref="LNP6">_xlfn._xlws.FILTER(TablaProductos[Nombre producto],TablaProductos[Agrupación]=ProductosPivot!LNP5)</f>
        <v>#VALUE!</v>
      </c>
      <c r="LNQ6" s="68" t="e" cm="1" vm="1">
        <f t="array" ref="LNQ6">_xlfn._xlws.FILTER(TablaProductos[Nombre producto],TablaProductos[Agrupación]=ProductosPivot!LNQ5)</f>
        <v>#VALUE!</v>
      </c>
      <c r="LNR6" s="68" t="e" cm="1" vm="1">
        <f t="array" ref="LNR6">_xlfn._xlws.FILTER(TablaProductos[Nombre producto],TablaProductos[Agrupación]=ProductosPivot!LNR5)</f>
        <v>#VALUE!</v>
      </c>
      <c r="LNS6" s="68" t="e" cm="1" vm="1">
        <f t="array" ref="LNS6">_xlfn._xlws.FILTER(TablaProductos[Nombre producto],TablaProductos[Agrupación]=ProductosPivot!LNS5)</f>
        <v>#VALUE!</v>
      </c>
      <c r="LNT6" s="68" t="e" cm="1" vm="1">
        <f t="array" ref="LNT6">_xlfn._xlws.FILTER(TablaProductos[Nombre producto],TablaProductos[Agrupación]=ProductosPivot!LNT5)</f>
        <v>#VALUE!</v>
      </c>
      <c r="LNU6" s="68" t="e" cm="1" vm="1">
        <f t="array" ref="LNU6">_xlfn._xlws.FILTER(TablaProductos[Nombre producto],TablaProductos[Agrupación]=ProductosPivot!LNU5)</f>
        <v>#VALUE!</v>
      </c>
      <c r="LNV6" s="68" t="e" cm="1" vm="1">
        <f t="array" ref="LNV6">_xlfn._xlws.FILTER(TablaProductos[Nombre producto],TablaProductos[Agrupación]=ProductosPivot!LNV5)</f>
        <v>#VALUE!</v>
      </c>
      <c r="LNW6" s="68" t="e" cm="1" vm="1">
        <f t="array" ref="LNW6">_xlfn._xlws.FILTER(TablaProductos[Nombre producto],TablaProductos[Agrupación]=ProductosPivot!LNW5)</f>
        <v>#VALUE!</v>
      </c>
      <c r="LNX6" s="68" t="e" cm="1" vm="1">
        <f t="array" ref="LNX6">_xlfn._xlws.FILTER(TablaProductos[Nombre producto],TablaProductos[Agrupación]=ProductosPivot!LNX5)</f>
        <v>#VALUE!</v>
      </c>
      <c r="LNY6" s="68" t="e" cm="1" vm="1">
        <f t="array" ref="LNY6">_xlfn._xlws.FILTER(TablaProductos[Nombre producto],TablaProductos[Agrupación]=ProductosPivot!LNY5)</f>
        <v>#VALUE!</v>
      </c>
      <c r="LNZ6" s="68" t="e" cm="1" vm="1">
        <f t="array" ref="LNZ6">_xlfn._xlws.FILTER(TablaProductos[Nombre producto],TablaProductos[Agrupación]=ProductosPivot!LNZ5)</f>
        <v>#VALUE!</v>
      </c>
      <c r="LOA6" s="68" t="e" cm="1" vm="1">
        <f t="array" ref="LOA6">_xlfn._xlws.FILTER(TablaProductos[Nombre producto],TablaProductos[Agrupación]=ProductosPivot!LOA5)</f>
        <v>#VALUE!</v>
      </c>
      <c r="LOB6" s="68" t="e" cm="1" vm="1">
        <f t="array" ref="LOB6">_xlfn._xlws.FILTER(TablaProductos[Nombre producto],TablaProductos[Agrupación]=ProductosPivot!LOB5)</f>
        <v>#VALUE!</v>
      </c>
      <c r="LOC6" s="68" t="e" cm="1" vm="1">
        <f t="array" ref="LOC6">_xlfn._xlws.FILTER(TablaProductos[Nombre producto],TablaProductos[Agrupación]=ProductosPivot!LOC5)</f>
        <v>#VALUE!</v>
      </c>
      <c r="LOD6" s="68" t="e" cm="1" vm="1">
        <f t="array" ref="LOD6">_xlfn._xlws.FILTER(TablaProductos[Nombre producto],TablaProductos[Agrupación]=ProductosPivot!LOD5)</f>
        <v>#VALUE!</v>
      </c>
      <c r="LOE6" s="68" t="e" cm="1" vm="1">
        <f t="array" ref="LOE6">_xlfn._xlws.FILTER(TablaProductos[Nombre producto],TablaProductos[Agrupación]=ProductosPivot!LOE5)</f>
        <v>#VALUE!</v>
      </c>
      <c r="LOF6" s="68" t="e" cm="1" vm="1">
        <f t="array" ref="LOF6">_xlfn._xlws.FILTER(TablaProductos[Nombre producto],TablaProductos[Agrupación]=ProductosPivot!LOF5)</f>
        <v>#VALUE!</v>
      </c>
      <c r="LOG6" s="68" t="e" cm="1" vm="1">
        <f t="array" ref="LOG6">_xlfn._xlws.FILTER(TablaProductos[Nombre producto],TablaProductos[Agrupación]=ProductosPivot!LOG5)</f>
        <v>#VALUE!</v>
      </c>
      <c r="LOH6" s="68" t="e" cm="1" vm="1">
        <f t="array" ref="LOH6">_xlfn._xlws.FILTER(TablaProductos[Nombre producto],TablaProductos[Agrupación]=ProductosPivot!LOH5)</f>
        <v>#VALUE!</v>
      </c>
      <c r="LOI6" s="68" t="e" cm="1" vm="1">
        <f t="array" ref="LOI6">_xlfn._xlws.FILTER(TablaProductos[Nombre producto],TablaProductos[Agrupación]=ProductosPivot!LOI5)</f>
        <v>#VALUE!</v>
      </c>
      <c r="LOJ6" s="68" t="e" cm="1" vm="1">
        <f t="array" ref="LOJ6">_xlfn._xlws.FILTER(TablaProductos[Nombre producto],TablaProductos[Agrupación]=ProductosPivot!LOJ5)</f>
        <v>#VALUE!</v>
      </c>
      <c r="LOK6" s="68" t="e" cm="1" vm="1">
        <f t="array" ref="LOK6">_xlfn._xlws.FILTER(TablaProductos[Nombre producto],TablaProductos[Agrupación]=ProductosPivot!LOK5)</f>
        <v>#VALUE!</v>
      </c>
      <c r="LOL6" s="68" t="e" cm="1" vm="1">
        <f t="array" ref="LOL6">_xlfn._xlws.FILTER(TablaProductos[Nombre producto],TablaProductos[Agrupación]=ProductosPivot!LOL5)</f>
        <v>#VALUE!</v>
      </c>
      <c r="LOM6" s="68" t="e" cm="1" vm="1">
        <f t="array" ref="LOM6">_xlfn._xlws.FILTER(TablaProductos[Nombre producto],TablaProductos[Agrupación]=ProductosPivot!LOM5)</f>
        <v>#VALUE!</v>
      </c>
      <c r="LON6" s="68" t="e" cm="1" vm="1">
        <f t="array" ref="LON6">_xlfn._xlws.FILTER(TablaProductos[Nombre producto],TablaProductos[Agrupación]=ProductosPivot!LON5)</f>
        <v>#VALUE!</v>
      </c>
      <c r="LOO6" s="68" t="e" cm="1" vm="1">
        <f t="array" ref="LOO6">_xlfn._xlws.FILTER(TablaProductos[Nombre producto],TablaProductos[Agrupación]=ProductosPivot!LOO5)</f>
        <v>#VALUE!</v>
      </c>
      <c r="LOP6" s="68" t="e" cm="1" vm="1">
        <f t="array" ref="LOP6">_xlfn._xlws.FILTER(TablaProductos[Nombre producto],TablaProductos[Agrupación]=ProductosPivot!LOP5)</f>
        <v>#VALUE!</v>
      </c>
      <c r="LOQ6" s="68" t="e" cm="1" vm="1">
        <f t="array" ref="LOQ6">_xlfn._xlws.FILTER(TablaProductos[Nombre producto],TablaProductos[Agrupación]=ProductosPivot!LOQ5)</f>
        <v>#VALUE!</v>
      </c>
      <c r="LOR6" s="68" t="e" cm="1" vm="1">
        <f t="array" ref="LOR6">_xlfn._xlws.FILTER(TablaProductos[Nombre producto],TablaProductos[Agrupación]=ProductosPivot!LOR5)</f>
        <v>#VALUE!</v>
      </c>
      <c r="LOS6" s="68" t="e" cm="1" vm="1">
        <f t="array" ref="LOS6">_xlfn._xlws.FILTER(TablaProductos[Nombre producto],TablaProductos[Agrupación]=ProductosPivot!LOS5)</f>
        <v>#VALUE!</v>
      </c>
      <c r="LOT6" s="68" t="e" cm="1" vm="1">
        <f t="array" ref="LOT6">_xlfn._xlws.FILTER(TablaProductos[Nombre producto],TablaProductos[Agrupación]=ProductosPivot!LOT5)</f>
        <v>#VALUE!</v>
      </c>
      <c r="LOU6" s="68" t="e" cm="1" vm="1">
        <f t="array" ref="LOU6">_xlfn._xlws.FILTER(TablaProductos[Nombre producto],TablaProductos[Agrupación]=ProductosPivot!LOU5)</f>
        <v>#VALUE!</v>
      </c>
      <c r="LOV6" s="68" t="e" cm="1" vm="1">
        <f t="array" ref="LOV6">_xlfn._xlws.FILTER(TablaProductos[Nombre producto],TablaProductos[Agrupación]=ProductosPivot!LOV5)</f>
        <v>#VALUE!</v>
      </c>
      <c r="LOW6" s="68" t="e" cm="1" vm="1">
        <f t="array" ref="LOW6">_xlfn._xlws.FILTER(TablaProductos[Nombre producto],TablaProductos[Agrupación]=ProductosPivot!LOW5)</f>
        <v>#VALUE!</v>
      </c>
      <c r="LOX6" s="68" t="e" cm="1" vm="1">
        <f t="array" ref="LOX6">_xlfn._xlws.FILTER(TablaProductos[Nombre producto],TablaProductos[Agrupación]=ProductosPivot!LOX5)</f>
        <v>#VALUE!</v>
      </c>
      <c r="LOY6" s="68" t="e" cm="1" vm="1">
        <f t="array" ref="LOY6">_xlfn._xlws.FILTER(TablaProductos[Nombre producto],TablaProductos[Agrupación]=ProductosPivot!LOY5)</f>
        <v>#VALUE!</v>
      </c>
      <c r="LOZ6" s="68" t="e" cm="1" vm="1">
        <f t="array" ref="LOZ6">_xlfn._xlws.FILTER(TablaProductos[Nombre producto],TablaProductos[Agrupación]=ProductosPivot!LOZ5)</f>
        <v>#VALUE!</v>
      </c>
      <c r="LPA6" s="68" t="e" cm="1" vm="1">
        <f t="array" ref="LPA6">_xlfn._xlws.FILTER(TablaProductos[Nombre producto],TablaProductos[Agrupación]=ProductosPivot!LPA5)</f>
        <v>#VALUE!</v>
      </c>
      <c r="LPB6" s="68" t="e" cm="1" vm="1">
        <f t="array" ref="LPB6">_xlfn._xlws.FILTER(TablaProductos[Nombre producto],TablaProductos[Agrupación]=ProductosPivot!LPB5)</f>
        <v>#VALUE!</v>
      </c>
      <c r="LPC6" s="68" t="e" cm="1" vm="1">
        <f t="array" ref="LPC6">_xlfn._xlws.FILTER(TablaProductos[Nombre producto],TablaProductos[Agrupación]=ProductosPivot!LPC5)</f>
        <v>#VALUE!</v>
      </c>
      <c r="LPD6" s="68" t="e" cm="1" vm="1">
        <f t="array" ref="LPD6">_xlfn._xlws.FILTER(TablaProductos[Nombre producto],TablaProductos[Agrupación]=ProductosPivot!LPD5)</f>
        <v>#VALUE!</v>
      </c>
      <c r="LPE6" s="68" t="e" cm="1" vm="1">
        <f t="array" ref="LPE6">_xlfn._xlws.FILTER(TablaProductos[Nombre producto],TablaProductos[Agrupación]=ProductosPivot!LPE5)</f>
        <v>#VALUE!</v>
      </c>
      <c r="LPF6" s="68" t="e" cm="1" vm="1">
        <f t="array" ref="LPF6">_xlfn._xlws.FILTER(TablaProductos[Nombre producto],TablaProductos[Agrupación]=ProductosPivot!LPF5)</f>
        <v>#VALUE!</v>
      </c>
      <c r="LPG6" s="68" t="e" cm="1" vm="1">
        <f t="array" ref="LPG6">_xlfn._xlws.FILTER(TablaProductos[Nombre producto],TablaProductos[Agrupación]=ProductosPivot!LPG5)</f>
        <v>#VALUE!</v>
      </c>
      <c r="LPH6" s="68" t="e" cm="1" vm="1">
        <f t="array" ref="LPH6">_xlfn._xlws.FILTER(TablaProductos[Nombre producto],TablaProductos[Agrupación]=ProductosPivot!LPH5)</f>
        <v>#VALUE!</v>
      </c>
      <c r="LPI6" s="68" t="e" cm="1" vm="1">
        <f t="array" ref="LPI6">_xlfn._xlws.FILTER(TablaProductos[Nombre producto],TablaProductos[Agrupación]=ProductosPivot!LPI5)</f>
        <v>#VALUE!</v>
      </c>
      <c r="LPJ6" s="68" t="e" cm="1" vm="1">
        <f t="array" ref="LPJ6">_xlfn._xlws.FILTER(TablaProductos[Nombre producto],TablaProductos[Agrupación]=ProductosPivot!LPJ5)</f>
        <v>#VALUE!</v>
      </c>
      <c r="LPK6" s="68" t="e" cm="1" vm="1">
        <f t="array" ref="LPK6">_xlfn._xlws.FILTER(TablaProductos[Nombre producto],TablaProductos[Agrupación]=ProductosPivot!LPK5)</f>
        <v>#VALUE!</v>
      </c>
      <c r="LPL6" s="68" t="e" cm="1" vm="1">
        <f t="array" ref="LPL6">_xlfn._xlws.FILTER(TablaProductos[Nombre producto],TablaProductos[Agrupación]=ProductosPivot!LPL5)</f>
        <v>#VALUE!</v>
      </c>
      <c r="LPM6" s="68" t="e" cm="1" vm="1">
        <f t="array" ref="LPM6">_xlfn._xlws.FILTER(TablaProductos[Nombre producto],TablaProductos[Agrupación]=ProductosPivot!LPM5)</f>
        <v>#VALUE!</v>
      </c>
      <c r="LPN6" s="68" t="e" cm="1" vm="1">
        <f t="array" ref="LPN6">_xlfn._xlws.FILTER(TablaProductos[Nombre producto],TablaProductos[Agrupación]=ProductosPivot!LPN5)</f>
        <v>#VALUE!</v>
      </c>
      <c r="LPO6" s="68" t="e" cm="1" vm="1">
        <f t="array" ref="LPO6">_xlfn._xlws.FILTER(TablaProductos[Nombre producto],TablaProductos[Agrupación]=ProductosPivot!LPO5)</f>
        <v>#VALUE!</v>
      </c>
      <c r="LPP6" s="68" t="e" cm="1" vm="1">
        <f t="array" ref="LPP6">_xlfn._xlws.FILTER(TablaProductos[Nombre producto],TablaProductos[Agrupación]=ProductosPivot!LPP5)</f>
        <v>#VALUE!</v>
      </c>
      <c r="LPQ6" s="68" t="e" cm="1" vm="1">
        <f t="array" ref="LPQ6">_xlfn._xlws.FILTER(TablaProductos[Nombre producto],TablaProductos[Agrupación]=ProductosPivot!LPQ5)</f>
        <v>#VALUE!</v>
      </c>
      <c r="LPR6" s="68" t="e" cm="1" vm="1">
        <f t="array" ref="LPR6">_xlfn._xlws.FILTER(TablaProductos[Nombre producto],TablaProductos[Agrupación]=ProductosPivot!LPR5)</f>
        <v>#VALUE!</v>
      </c>
      <c r="LPS6" s="68" t="e" cm="1" vm="1">
        <f t="array" ref="LPS6">_xlfn._xlws.FILTER(TablaProductos[Nombre producto],TablaProductos[Agrupación]=ProductosPivot!LPS5)</f>
        <v>#VALUE!</v>
      </c>
      <c r="LPT6" s="68" t="e" cm="1" vm="1">
        <f t="array" ref="LPT6">_xlfn._xlws.FILTER(TablaProductos[Nombre producto],TablaProductos[Agrupación]=ProductosPivot!LPT5)</f>
        <v>#VALUE!</v>
      </c>
      <c r="LPU6" s="68" t="e" cm="1" vm="1">
        <f t="array" ref="LPU6">_xlfn._xlws.FILTER(TablaProductos[Nombre producto],TablaProductos[Agrupación]=ProductosPivot!LPU5)</f>
        <v>#VALUE!</v>
      </c>
      <c r="LPV6" s="68" t="e" cm="1" vm="1">
        <f t="array" ref="LPV6">_xlfn._xlws.FILTER(TablaProductos[Nombre producto],TablaProductos[Agrupación]=ProductosPivot!LPV5)</f>
        <v>#VALUE!</v>
      </c>
      <c r="LPW6" s="68" t="e" cm="1" vm="1">
        <f t="array" ref="LPW6">_xlfn._xlws.FILTER(TablaProductos[Nombre producto],TablaProductos[Agrupación]=ProductosPivot!LPW5)</f>
        <v>#VALUE!</v>
      </c>
      <c r="LPX6" s="68" t="e" cm="1" vm="1">
        <f t="array" ref="LPX6">_xlfn._xlws.FILTER(TablaProductos[Nombre producto],TablaProductos[Agrupación]=ProductosPivot!LPX5)</f>
        <v>#VALUE!</v>
      </c>
      <c r="LPY6" s="68" t="e" cm="1" vm="1">
        <f t="array" ref="LPY6">_xlfn._xlws.FILTER(TablaProductos[Nombre producto],TablaProductos[Agrupación]=ProductosPivot!LPY5)</f>
        <v>#VALUE!</v>
      </c>
      <c r="LPZ6" s="68" t="e" cm="1" vm="1">
        <f t="array" ref="LPZ6">_xlfn._xlws.FILTER(TablaProductos[Nombre producto],TablaProductos[Agrupación]=ProductosPivot!LPZ5)</f>
        <v>#VALUE!</v>
      </c>
      <c r="LQA6" s="68" t="e" cm="1" vm="1">
        <f t="array" ref="LQA6">_xlfn._xlws.FILTER(TablaProductos[Nombre producto],TablaProductos[Agrupación]=ProductosPivot!LQA5)</f>
        <v>#VALUE!</v>
      </c>
      <c r="LQB6" s="68" t="e" cm="1" vm="1">
        <f t="array" ref="LQB6">_xlfn._xlws.FILTER(TablaProductos[Nombre producto],TablaProductos[Agrupación]=ProductosPivot!LQB5)</f>
        <v>#VALUE!</v>
      </c>
      <c r="LQC6" s="68" t="e" cm="1" vm="1">
        <f t="array" ref="LQC6">_xlfn._xlws.FILTER(TablaProductos[Nombre producto],TablaProductos[Agrupación]=ProductosPivot!LQC5)</f>
        <v>#VALUE!</v>
      </c>
      <c r="LQD6" s="68" t="e" cm="1" vm="1">
        <f t="array" ref="LQD6">_xlfn._xlws.FILTER(TablaProductos[Nombre producto],TablaProductos[Agrupación]=ProductosPivot!LQD5)</f>
        <v>#VALUE!</v>
      </c>
      <c r="LQE6" s="68" t="e" cm="1" vm="1">
        <f t="array" ref="LQE6">_xlfn._xlws.FILTER(TablaProductos[Nombre producto],TablaProductos[Agrupación]=ProductosPivot!LQE5)</f>
        <v>#VALUE!</v>
      </c>
      <c r="LQF6" s="68" t="e" cm="1" vm="1">
        <f t="array" ref="LQF6">_xlfn._xlws.FILTER(TablaProductos[Nombre producto],TablaProductos[Agrupación]=ProductosPivot!LQF5)</f>
        <v>#VALUE!</v>
      </c>
      <c r="LQG6" s="68" t="e" cm="1" vm="1">
        <f t="array" ref="LQG6">_xlfn._xlws.FILTER(TablaProductos[Nombre producto],TablaProductos[Agrupación]=ProductosPivot!LQG5)</f>
        <v>#VALUE!</v>
      </c>
      <c r="LQH6" s="68" t="e" cm="1" vm="1">
        <f t="array" ref="LQH6">_xlfn._xlws.FILTER(TablaProductos[Nombre producto],TablaProductos[Agrupación]=ProductosPivot!LQH5)</f>
        <v>#VALUE!</v>
      </c>
      <c r="LQI6" s="68" t="e" cm="1" vm="1">
        <f t="array" ref="LQI6">_xlfn._xlws.FILTER(TablaProductos[Nombre producto],TablaProductos[Agrupación]=ProductosPivot!LQI5)</f>
        <v>#VALUE!</v>
      </c>
      <c r="LQJ6" s="68" t="e" cm="1" vm="1">
        <f t="array" ref="LQJ6">_xlfn._xlws.FILTER(TablaProductos[Nombre producto],TablaProductos[Agrupación]=ProductosPivot!LQJ5)</f>
        <v>#VALUE!</v>
      </c>
      <c r="LQK6" s="68" t="e" cm="1" vm="1">
        <f t="array" ref="LQK6">_xlfn._xlws.FILTER(TablaProductos[Nombre producto],TablaProductos[Agrupación]=ProductosPivot!LQK5)</f>
        <v>#VALUE!</v>
      </c>
      <c r="LQL6" s="68" t="e" cm="1" vm="1">
        <f t="array" ref="LQL6">_xlfn._xlws.FILTER(TablaProductos[Nombre producto],TablaProductos[Agrupación]=ProductosPivot!LQL5)</f>
        <v>#VALUE!</v>
      </c>
      <c r="LQM6" s="68" t="e" cm="1" vm="1">
        <f t="array" ref="LQM6">_xlfn._xlws.FILTER(TablaProductos[Nombre producto],TablaProductos[Agrupación]=ProductosPivot!LQM5)</f>
        <v>#VALUE!</v>
      </c>
      <c r="LQN6" s="68" t="e" cm="1" vm="1">
        <f t="array" ref="LQN6">_xlfn._xlws.FILTER(TablaProductos[Nombre producto],TablaProductos[Agrupación]=ProductosPivot!LQN5)</f>
        <v>#VALUE!</v>
      </c>
      <c r="LQO6" s="68" t="e" cm="1" vm="1">
        <f t="array" ref="LQO6">_xlfn._xlws.FILTER(TablaProductos[Nombre producto],TablaProductos[Agrupación]=ProductosPivot!LQO5)</f>
        <v>#VALUE!</v>
      </c>
      <c r="LQP6" s="68" t="e" cm="1" vm="1">
        <f t="array" ref="LQP6">_xlfn._xlws.FILTER(TablaProductos[Nombre producto],TablaProductos[Agrupación]=ProductosPivot!LQP5)</f>
        <v>#VALUE!</v>
      </c>
      <c r="LQQ6" s="68" t="e" cm="1" vm="1">
        <f t="array" ref="LQQ6">_xlfn._xlws.FILTER(TablaProductos[Nombre producto],TablaProductos[Agrupación]=ProductosPivot!LQQ5)</f>
        <v>#VALUE!</v>
      </c>
      <c r="LQR6" s="68" t="e" cm="1" vm="1">
        <f t="array" ref="LQR6">_xlfn._xlws.FILTER(TablaProductos[Nombre producto],TablaProductos[Agrupación]=ProductosPivot!LQR5)</f>
        <v>#VALUE!</v>
      </c>
      <c r="LQS6" s="68" t="e" cm="1" vm="1">
        <f t="array" ref="LQS6">_xlfn._xlws.FILTER(TablaProductos[Nombre producto],TablaProductos[Agrupación]=ProductosPivot!LQS5)</f>
        <v>#VALUE!</v>
      </c>
      <c r="LQT6" s="68" t="e" cm="1" vm="1">
        <f t="array" ref="LQT6">_xlfn._xlws.FILTER(TablaProductos[Nombre producto],TablaProductos[Agrupación]=ProductosPivot!LQT5)</f>
        <v>#VALUE!</v>
      </c>
      <c r="LQU6" s="68" t="e" cm="1" vm="1">
        <f t="array" ref="LQU6">_xlfn._xlws.FILTER(TablaProductos[Nombre producto],TablaProductos[Agrupación]=ProductosPivot!LQU5)</f>
        <v>#VALUE!</v>
      </c>
      <c r="LQV6" s="68" t="e" cm="1" vm="1">
        <f t="array" ref="LQV6">_xlfn._xlws.FILTER(TablaProductos[Nombre producto],TablaProductos[Agrupación]=ProductosPivot!LQV5)</f>
        <v>#VALUE!</v>
      </c>
      <c r="LQW6" s="68" t="e" cm="1" vm="1">
        <f t="array" ref="LQW6">_xlfn._xlws.FILTER(TablaProductos[Nombre producto],TablaProductos[Agrupación]=ProductosPivot!LQW5)</f>
        <v>#VALUE!</v>
      </c>
      <c r="LQX6" s="68" t="e" cm="1" vm="1">
        <f t="array" ref="LQX6">_xlfn._xlws.FILTER(TablaProductos[Nombre producto],TablaProductos[Agrupación]=ProductosPivot!LQX5)</f>
        <v>#VALUE!</v>
      </c>
      <c r="LQY6" s="68" t="e" cm="1" vm="1">
        <f t="array" ref="LQY6">_xlfn._xlws.FILTER(TablaProductos[Nombre producto],TablaProductos[Agrupación]=ProductosPivot!LQY5)</f>
        <v>#VALUE!</v>
      </c>
      <c r="LQZ6" s="68" t="e" cm="1" vm="1">
        <f t="array" ref="LQZ6">_xlfn._xlws.FILTER(TablaProductos[Nombre producto],TablaProductos[Agrupación]=ProductosPivot!LQZ5)</f>
        <v>#VALUE!</v>
      </c>
      <c r="LRA6" s="68" t="e" cm="1" vm="1">
        <f t="array" ref="LRA6">_xlfn._xlws.FILTER(TablaProductos[Nombre producto],TablaProductos[Agrupación]=ProductosPivot!LRA5)</f>
        <v>#VALUE!</v>
      </c>
      <c r="LRB6" s="68" t="e" cm="1" vm="1">
        <f t="array" ref="LRB6">_xlfn._xlws.FILTER(TablaProductos[Nombre producto],TablaProductos[Agrupación]=ProductosPivot!LRB5)</f>
        <v>#VALUE!</v>
      </c>
      <c r="LRC6" s="68" t="e" cm="1" vm="1">
        <f t="array" ref="LRC6">_xlfn._xlws.FILTER(TablaProductos[Nombre producto],TablaProductos[Agrupación]=ProductosPivot!LRC5)</f>
        <v>#VALUE!</v>
      </c>
      <c r="LRD6" s="68" t="e" cm="1" vm="1">
        <f t="array" ref="LRD6">_xlfn._xlws.FILTER(TablaProductos[Nombre producto],TablaProductos[Agrupación]=ProductosPivot!LRD5)</f>
        <v>#VALUE!</v>
      </c>
      <c r="LRE6" s="68" t="e" cm="1" vm="1">
        <f t="array" ref="LRE6">_xlfn._xlws.FILTER(TablaProductos[Nombre producto],TablaProductos[Agrupación]=ProductosPivot!LRE5)</f>
        <v>#VALUE!</v>
      </c>
      <c r="LRF6" s="68" t="e" cm="1" vm="1">
        <f t="array" ref="LRF6">_xlfn._xlws.FILTER(TablaProductos[Nombre producto],TablaProductos[Agrupación]=ProductosPivot!LRF5)</f>
        <v>#VALUE!</v>
      </c>
      <c r="LRG6" s="68" t="e" cm="1" vm="1">
        <f t="array" ref="LRG6">_xlfn._xlws.FILTER(TablaProductos[Nombre producto],TablaProductos[Agrupación]=ProductosPivot!LRG5)</f>
        <v>#VALUE!</v>
      </c>
      <c r="LRH6" s="68" t="e" cm="1" vm="1">
        <f t="array" ref="LRH6">_xlfn._xlws.FILTER(TablaProductos[Nombre producto],TablaProductos[Agrupación]=ProductosPivot!LRH5)</f>
        <v>#VALUE!</v>
      </c>
      <c r="LRI6" s="68" t="e" cm="1" vm="1">
        <f t="array" ref="LRI6">_xlfn._xlws.FILTER(TablaProductos[Nombre producto],TablaProductos[Agrupación]=ProductosPivot!LRI5)</f>
        <v>#VALUE!</v>
      </c>
      <c r="LRJ6" s="68" t="e" cm="1" vm="1">
        <f t="array" ref="LRJ6">_xlfn._xlws.FILTER(TablaProductos[Nombre producto],TablaProductos[Agrupación]=ProductosPivot!LRJ5)</f>
        <v>#VALUE!</v>
      </c>
      <c r="LRK6" s="68" t="e" cm="1" vm="1">
        <f t="array" ref="LRK6">_xlfn._xlws.FILTER(TablaProductos[Nombre producto],TablaProductos[Agrupación]=ProductosPivot!LRK5)</f>
        <v>#VALUE!</v>
      </c>
      <c r="LRL6" s="68" t="e" cm="1" vm="1">
        <f t="array" ref="LRL6">_xlfn._xlws.FILTER(TablaProductos[Nombre producto],TablaProductos[Agrupación]=ProductosPivot!LRL5)</f>
        <v>#VALUE!</v>
      </c>
      <c r="LRM6" s="68" t="e" cm="1" vm="1">
        <f t="array" ref="LRM6">_xlfn._xlws.FILTER(TablaProductos[Nombre producto],TablaProductos[Agrupación]=ProductosPivot!LRM5)</f>
        <v>#VALUE!</v>
      </c>
      <c r="LRN6" s="68" t="e" cm="1" vm="1">
        <f t="array" ref="LRN6">_xlfn._xlws.FILTER(TablaProductos[Nombre producto],TablaProductos[Agrupación]=ProductosPivot!LRN5)</f>
        <v>#VALUE!</v>
      </c>
      <c r="LRO6" s="68" t="e" cm="1" vm="1">
        <f t="array" ref="LRO6">_xlfn._xlws.FILTER(TablaProductos[Nombre producto],TablaProductos[Agrupación]=ProductosPivot!LRO5)</f>
        <v>#VALUE!</v>
      </c>
      <c r="LRP6" s="68" t="e" cm="1" vm="1">
        <f t="array" ref="LRP6">_xlfn._xlws.FILTER(TablaProductos[Nombre producto],TablaProductos[Agrupación]=ProductosPivot!LRP5)</f>
        <v>#VALUE!</v>
      </c>
      <c r="LRQ6" s="68" t="e" cm="1" vm="1">
        <f t="array" ref="LRQ6">_xlfn._xlws.FILTER(TablaProductos[Nombre producto],TablaProductos[Agrupación]=ProductosPivot!LRQ5)</f>
        <v>#VALUE!</v>
      </c>
      <c r="LRR6" s="68" t="e" cm="1" vm="1">
        <f t="array" ref="LRR6">_xlfn._xlws.FILTER(TablaProductos[Nombre producto],TablaProductos[Agrupación]=ProductosPivot!LRR5)</f>
        <v>#VALUE!</v>
      </c>
      <c r="LRS6" s="68" t="e" cm="1" vm="1">
        <f t="array" ref="LRS6">_xlfn._xlws.FILTER(TablaProductos[Nombre producto],TablaProductos[Agrupación]=ProductosPivot!LRS5)</f>
        <v>#VALUE!</v>
      </c>
      <c r="LRT6" s="68" t="e" cm="1" vm="1">
        <f t="array" ref="LRT6">_xlfn._xlws.FILTER(TablaProductos[Nombre producto],TablaProductos[Agrupación]=ProductosPivot!LRT5)</f>
        <v>#VALUE!</v>
      </c>
      <c r="LRU6" s="68" t="e" cm="1" vm="1">
        <f t="array" ref="LRU6">_xlfn._xlws.FILTER(TablaProductos[Nombre producto],TablaProductos[Agrupación]=ProductosPivot!LRU5)</f>
        <v>#VALUE!</v>
      </c>
      <c r="LRV6" s="68" t="e" cm="1" vm="1">
        <f t="array" ref="LRV6">_xlfn._xlws.FILTER(TablaProductos[Nombre producto],TablaProductos[Agrupación]=ProductosPivot!LRV5)</f>
        <v>#VALUE!</v>
      </c>
      <c r="LRW6" s="68" t="e" cm="1" vm="1">
        <f t="array" ref="LRW6">_xlfn._xlws.FILTER(TablaProductos[Nombre producto],TablaProductos[Agrupación]=ProductosPivot!LRW5)</f>
        <v>#VALUE!</v>
      </c>
      <c r="LRX6" s="68" t="e" cm="1" vm="1">
        <f t="array" ref="LRX6">_xlfn._xlws.FILTER(TablaProductos[Nombre producto],TablaProductos[Agrupación]=ProductosPivot!LRX5)</f>
        <v>#VALUE!</v>
      </c>
      <c r="LRY6" s="68" t="e" cm="1" vm="1">
        <f t="array" ref="LRY6">_xlfn._xlws.FILTER(TablaProductos[Nombre producto],TablaProductos[Agrupación]=ProductosPivot!LRY5)</f>
        <v>#VALUE!</v>
      </c>
      <c r="LRZ6" s="68" t="e" cm="1" vm="1">
        <f t="array" ref="LRZ6">_xlfn._xlws.FILTER(TablaProductos[Nombre producto],TablaProductos[Agrupación]=ProductosPivot!LRZ5)</f>
        <v>#VALUE!</v>
      </c>
      <c r="LSA6" s="68" t="e" cm="1" vm="1">
        <f t="array" ref="LSA6">_xlfn._xlws.FILTER(TablaProductos[Nombre producto],TablaProductos[Agrupación]=ProductosPivot!LSA5)</f>
        <v>#VALUE!</v>
      </c>
      <c r="LSB6" s="68" t="e" cm="1" vm="1">
        <f t="array" ref="LSB6">_xlfn._xlws.FILTER(TablaProductos[Nombre producto],TablaProductos[Agrupación]=ProductosPivot!LSB5)</f>
        <v>#VALUE!</v>
      </c>
      <c r="LSC6" s="68" t="e" cm="1" vm="1">
        <f t="array" ref="LSC6">_xlfn._xlws.FILTER(TablaProductos[Nombre producto],TablaProductos[Agrupación]=ProductosPivot!LSC5)</f>
        <v>#VALUE!</v>
      </c>
      <c r="LSD6" s="68" t="e" cm="1" vm="1">
        <f t="array" ref="LSD6">_xlfn._xlws.FILTER(TablaProductos[Nombre producto],TablaProductos[Agrupación]=ProductosPivot!LSD5)</f>
        <v>#VALUE!</v>
      </c>
      <c r="LSE6" s="68" t="e" cm="1" vm="1">
        <f t="array" ref="LSE6">_xlfn._xlws.FILTER(TablaProductos[Nombre producto],TablaProductos[Agrupación]=ProductosPivot!LSE5)</f>
        <v>#VALUE!</v>
      </c>
      <c r="LSF6" s="68" t="e" cm="1" vm="1">
        <f t="array" ref="LSF6">_xlfn._xlws.FILTER(TablaProductos[Nombre producto],TablaProductos[Agrupación]=ProductosPivot!LSF5)</f>
        <v>#VALUE!</v>
      </c>
      <c r="LSG6" s="68" t="e" cm="1" vm="1">
        <f t="array" ref="LSG6">_xlfn._xlws.FILTER(TablaProductos[Nombre producto],TablaProductos[Agrupación]=ProductosPivot!LSG5)</f>
        <v>#VALUE!</v>
      </c>
      <c r="LSH6" s="68" t="e" cm="1" vm="1">
        <f t="array" ref="LSH6">_xlfn._xlws.FILTER(TablaProductos[Nombre producto],TablaProductos[Agrupación]=ProductosPivot!LSH5)</f>
        <v>#VALUE!</v>
      </c>
      <c r="LSI6" s="68" t="e" cm="1" vm="1">
        <f t="array" ref="LSI6">_xlfn._xlws.FILTER(TablaProductos[Nombre producto],TablaProductos[Agrupación]=ProductosPivot!LSI5)</f>
        <v>#VALUE!</v>
      </c>
      <c r="LSJ6" s="68" t="e" cm="1" vm="1">
        <f t="array" ref="LSJ6">_xlfn._xlws.FILTER(TablaProductos[Nombre producto],TablaProductos[Agrupación]=ProductosPivot!LSJ5)</f>
        <v>#VALUE!</v>
      </c>
      <c r="LSK6" s="68" t="e" cm="1" vm="1">
        <f t="array" ref="LSK6">_xlfn._xlws.FILTER(TablaProductos[Nombre producto],TablaProductos[Agrupación]=ProductosPivot!LSK5)</f>
        <v>#VALUE!</v>
      </c>
      <c r="LSL6" s="68" t="e" cm="1" vm="1">
        <f t="array" ref="LSL6">_xlfn._xlws.FILTER(TablaProductos[Nombre producto],TablaProductos[Agrupación]=ProductosPivot!LSL5)</f>
        <v>#VALUE!</v>
      </c>
      <c r="LSM6" s="68" t="e" cm="1" vm="1">
        <f t="array" ref="LSM6">_xlfn._xlws.FILTER(TablaProductos[Nombre producto],TablaProductos[Agrupación]=ProductosPivot!LSM5)</f>
        <v>#VALUE!</v>
      </c>
      <c r="LSN6" s="68" t="e" cm="1" vm="1">
        <f t="array" ref="LSN6">_xlfn._xlws.FILTER(TablaProductos[Nombre producto],TablaProductos[Agrupación]=ProductosPivot!LSN5)</f>
        <v>#VALUE!</v>
      </c>
      <c r="LSO6" s="68" t="e" cm="1" vm="1">
        <f t="array" ref="LSO6">_xlfn._xlws.FILTER(TablaProductos[Nombre producto],TablaProductos[Agrupación]=ProductosPivot!LSO5)</f>
        <v>#VALUE!</v>
      </c>
      <c r="LSP6" s="68" t="e" cm="1" vm="1">
        <f t="array" ref="LSP6">_xlfn._xlws.FILTER(TablaProductos[Nombre producto],TablaProductos[Agrupación]=ProductosPivot!LSP5)</f>
        <v>#VALUE!</v>
      </c>
      <c r="LSQ6" s="68" t="e" cm="1" vm="1">
        <f t="array" ref="LSQ6">_xlfn._xlws.FILTER(TablaProductos[Nombre producto],TablaProductos[Agrupación]=ProductosPivot!LSQ5)</f>
        <v>#VALUE!</v>
      </c>
      <c r="LSR6" s="68" t="e" cm="1" vm="1">
        <f t="array" ref="LSR6">_xlfn._xlws.FILTER(TablaProductos[Nombre producto],TablaProductos[Agrupación]=ProductosPivot!LSR5)</f>
        <v>#VALUE!</v>
      </c>
      <c r="LSS6" s="68" t="e" cm="1" vm="1">
        <f t="array" ref="LSS6">_xlfn._xlws.FILTER(TablaProductos[Nombre producto],TablaProductos[Agrupación]=ProductosPivot!LSS5)</f>
        <v>#VALUE!</v>
      </c>
      <c r="LST6" s="68" t="e" cm="1" vm="1">
        <f t="array" ref="LST6">_xlfn._xlws.FILTER(TablaProductos[Nombre producto],TablaProductos[Agrupación]=ProductosPivot!LST5)</f>
        <v>#VALUE!</v>
      </c>
      <c r="LSU6" s="68" t="e" cm="1" vm="1">
        <f t="array" ref="LSU6">_xlfn._xlws.FILTER(TablaProductos[Nombre producto],TablaProductos[Agrupación]=ProductosPivot!LSU5)</f>
        <v>#VALUE!</v>
      </c>
      <c r="LSV6" s="68" t="e" cm="1" vm="1">
        <f t="array" ref="LSV6">_xlfn._xlws.FILTER(TablaProductos[Nombre producto],TablaProductos[Agrupación]=ProductosPivot!LSV5)</f>
        <v>#VALUE!</v>
      </c>
      <c r="LSW6" s="68" t="e" cm="1" vm="1">
        <f t="array" ref="LSW6">_xlfn._xlws.FILTER(TablaProductos[Nombre producto],TablaProductos[Agrupación]=ProductosPivot!LSW5)</f>
        <v>#VALUE!</v>
      </c>
      <c r="LSX6" s="68" t="e" cm="1" vm="1">
        <f t="array" ref="LSX6">_xlfn._xlws.FILTER(TablaProductos[Nombre producto],TablaProductos[Agrupación]=ProductosPivot!LSX5)</f>
        <v>#VALUE!</v>
      </c>
      <c r="LSY6" s="68" t="e" cm="1" vm="1">
        <f t="array" ref="LSY6">_xlfn._xlws.FILTER(TablaProductos[Nombre producto],TablaProductos[Agrupación]=ProductosPivot!LSY5)</f>
        <v>#VALUE!</v>
      </c>
      <c r="LSZ6" s="68" t="e" cm="1" vm="1">
        <f t="array" ref="LSZ6">_xlfn._xlws.FILTER(TablaProductos[Nombre producto],TablaProductos[Agrupación]=ProductosPivot!LSZ5)</f>
        <v>#VALUE!</v>
      </c>
      <c r="LTA6" s="68" t="e" cm="1" vm="1">
        <f t="array" ref="LTA6">_xlfn._xlws.FILTER(TablaProductos[Nombre producto],TablaProductos[Agrupación]=ProductosPivot!LTA5)</f>
        <v>#VALUE!</v>
      </c>
      <c r="LTB6" s="68" t="e" cm="1" vm="1">
        <f t="array" ref="LTB6">_xlfn._xlws.FILTER(TablaProductos[Nombre producto],TablaProductos[Agrupación]=ProductosPivot!LTB5)</f>
        <v>#VALUE!</v>
      </c>
      <c r="LTC6" s="68" t="e" cm="1" vm="1">
        <f t="array" ref="LTC6">_xlfn._xlws.FILTER(TablaProductos[Nombre producto],TablaProductos[Agrupación]=ProductosPivot!LTC5)</f>
        <v>#VALUE!</v>
      </c>
      <c r="LTD6" s="68" t="e" cm="1" vm="1">
        <f t="array" ref="LTD6">_xlfn._xlws.FILTER(TablaProductos[Nombre producto],TablaProductos[Agrupación]=ProductosPivot!LTD5)</f>
        <v>#VALUE!</v>
      </c>
      <c r="LTE6" s="68" t="e" cm="1" vm="1">
        <f t="array" ref="LTE6">_xlfn._xlws.FILTER(TablaProductos[Nombre producto],TablaProductos[Agrupación]=ProductosPivot!LTE5)</f>
        <v>#VALUE!</v>
      </c>
      <c r="LTF6" s="68" t="e" cm="1" vm="1">
        <f t="array" ref="LTF6">_xlfn._xlws.FILTER(TablaProductos[Nombre producto],TablaProductos[Agrupación]=ProductosPivot!LTF5)</f>
        <v>#VALUE!</v>
      </c>
      <c r="LTG6" s="68" t="e" cm="1" vm="1">
        <f t="array" ref="LTG6">_xlfn._xlws.FILTER(TablaProductos[Nombre producto],TablaProductos[Agrupación]=ProductosPivot!LTG5)</f>
        <v>#VALUE!</v>
      </c>
      <c r="LTH6" s="68" t="e" cm="1" vm="1">
        <f t="array" ref="LTH6">_xlfn._xlws.FILTER(TablaProductos[Nombre producto],TablaProductos[Agrupación]=ProductosPivot!LTH5)</f>
        <v>#VALUE!</v>
      </c>
      <c r="LTI6" s="68" t="e" cm="1" vm="1">
        <f t="array" ref="LTI6">_xlfn._xlws.FILTER(TablaProductos[Nombre producto],TablaProductos[Agrupación]=ProductosPivot!LTI5)</f>
        <v>#VALUE!</v>
      </c>
      <c r="LTJ6" s="68" t="e" cm="1" vm="1">
        <f t="array" ref="LTJ6">_xlfn._xlws.FILTER(TablaProductos[Nombre producto],TablaProductos[Agrupación]=ProductosPivot!LTJ5)</f>
        <v>#VALUE!</v>
      </c>
      <c r="LTK6" s="68" t="e" cm="1" vm="1">
        <f t="array" ref="LTK6">_xlfn._xlws.FILTER(TablaProductos[Nombre producto],TablaProductos[Agrupación]=ProductosPivot!LTK5)</f>
        <v>#VALUE!</v>
      </c>
      <c r="LTL6" s="68" t="e" cm="1" vm="1">
        <f t="array" ref="LTL6">_xlfn._xlws.FILTER(TablaProductos[Nombre producto],TablaProductos[Agrupación]=ProductosPivot!LTL5)</f>
        <v>#VALUE!</v>
      </c>
      <c r="LTM6" s="68" t="e" cm="1" vm="1">
        <f t="array" ref="LTM6">_xlfn._xlws.FILTER(TablaProductos[Nombre producto],TablaProductos[Agrupación]=ProductosPivot!LTM5)</f>
        <v>#VALUE!</v>
      </c>
      <c r="LTN6" s="68" t="e" cm="1" vm="1">
        <f t="array" ref="LTN6">_xlfn._xlws.FILTER(TablaProductos[Nombre producto],TablaProductos[Agrupación]=ProductosPivot!LTN5)</f>
        <v>#VALUE!</v>
      </c>
      <c r="LTO6" s="68" t="e" cm="1" vm="1">
        <f t="array" ref="LTO6">_xlfn._xlws.FILTER(TablaProductos[Nombre producto],TablaProductos[Agrupación]=ProductosPivot!LTO5)</f>
        <v>#VALUE!</v>
      </c>
      <c r="LTP6" s="68" t="e" cm="1" vm="1">
        <f t="array" ref="LTP6">_xlfn._xlws.FILTER(TablaProductos[Nombre producto],TablaProductos[Agrupación]=ProductosPivot!LTP5)</f>
        <v>#VALUE!</v>
      </c>
      <c r="LTQ6" s="68" t="e" cm="1" vm="1">
        <f t="array" ref="LTQ6">_xlfn._xlws.FILTER(TablaProductos[Nombre producto],TablaProductos[Agrupación]=ProductosPivot!LTQ5)</f>
        <v>#VALUE!</v>
      </c>
      <c r="LTR6" s="68" t="e" cm="1" vm="1">
        <f t="array" ref="LTR6">_xlfn._xlws.FILTER(TablaProductos[Nombre producto],TablaProductos[Agrupación]=ProductosPivot!LTR5)</f>
        <v>#VALUE!</v>
      </c>
      <c r="LTS6" s="68" t="e" cm="1" vm="1">
        <f t="array" ref="LTS6">_xlfn._xlws.FILTER(TablaProductos[Nombre producto],TablaProductos[Agrupación]=ProductosPivot!LTS5)</f>
        <v>#VALUE!</v>
      </c>
      <c r="LTT6" s="68" t="e" cm="1" vm="1">
        <f t="array" ref="LTT6">_xlfn._xlws.FILTER(TablaProductos[Nombre producto],TablaProductos[Agrupación]=ProductosPivot!LTT5)</f>
        <v>#VALUE!</v>
      </c>
      <c r="LTU6" s="68" t="e" cm="1" vm="1">
        <f t="array" ref="LTU6">_xlfn._xlws.FILTER(TablaProductos[Nombre producto],TablaProductos[Agrupación]=ProductosPivot!LTU5)</f>
        <v>#VALUE!</v>
      </c>
      <c r="LTV6" s="68" t="e" cm="1" vm="1">
        <f t="array" ref="LTV6">_xlfn._xlws.FILTER(TablaProductos[Nombre producto],TablaProductos[Agrupación]=ProductosPivot!LTV5)</f>
        <v>#VALUE!</v>
      </c>
      <c r="LTW6" s="68" t="e" cm="1" vm="1">
        <f t="array" ref="LTW6">_xlfn._xlws.FILTER(TablaProductos[Nombre producto],TablaProductos[Agrupación]=ProductosPivot!LTW5)</f>
        <v>#VALUE!</v>
      </c>
      <c r="LTX6" s="68" t="e" cm="1" vm="1">
        <f t="array" ref="LTX6">_xlfn._xlws.FILTER(TablaProductos[Nombre producto],TablaProductos[Agrupación]=ProductosPivot!LTX5)</f>
        <v>#VALUE!</v>
      </c>
      <c r="LTY6" s="68" t="e" cm="1" vm="1">
        <f t="array" ref="LTY6">_xlfn._xlws.FILTER(TablaProductos[Nombre producto],TablaProductos[Agrupación]=ProductosPivot!LTY5)</f>
        <v>#VALUE!</v>
      </c>
      <c r="LTZ6" s="68" t="e" cm="1" vm="1">
        <f t="array" ref="LTZ6">_xlfn._xlws.FILTER(TablaProductos[Nombre producto],TablaProductos[Agrupación]=ProductosPivot!LTZ5)</f>
        <v>#VALUE!</v>
      </c>
      <c r="LUA6" s="68" t="e" cm="1" vm="1">
        <f t="array" ref="LUA6">_xlfn._xlws.FILTER(TablaProductos[Nombre producto],TablaProductos[Agrupación]=ProductosPivot!LUA5)</f>
        <v>#VALUE!</v>
      </c>
      <c r="LUB6" s="68" t="e" cm="1" vm="1">
        <f t="array" ref="LUB6">_xlfn._xlws.FILTER(TablaProductos[Nombre producto],TablaProductos[Agrupación]=ProductosPivot!LUB5)</f>
        <v>#VALUE!</v>
      </c>
      <c r="LUC6" s="68" t="e" cm="1" vm="1">
        <f t="array" ref="LUC6">_xlfn._xlws.FILTER(TablaProductos[Nombre producto],TablaProductos[Agrupación]=ProductosPivot!LUC5)</f>
        <v>#VALUE!</v>
      </c>
      <c r="LUD6" s="68" t="e" cm="1" vm="1">
        <f t="array" ref="LUD6">_xlfn._xlws.FILTER(TablaProductos[Nombre producto],TablaProductos[Agrupación]=ProductosPivot!LUD5)</f>
        <v>#VALUE!</v>
      </c>
      <c r="LUE6" s="68" t="e" cm="1" vm="1">
        <f t="array" ref="LUE6">_xlfn._xlws.FILTER(TablaProductos[Nombre producto],TablaProductos[Agrupación]=ProductosPivot!LUE5)</f>
        <v>#VALUE!</v>
      </c>
      <c r="LUF6" s="68" t="e" cm="1" vm="1">
        <f t="array" ref="LUF6">_xlfn._xlws.FILTER(TablaProductos[Nombre producto],TablaProductos[Agrupación]=ProductosPivot!LUF5)</f>
        <v>#VALUE!</v>
      </c>
      <c r="LUG6" s="68" t="e" cm="1" vm="1">
        <f t="array" ref="LUG6">_xlfn._xlws.FILTER(TablaProductos[Nombre producto],TablaProductos[Agrupación]=ProductosPivot!LUG5)</f>
        <v>#VALUE!</v>
      </c>
      <c r="LUH6" s="68" t="e" cm="1" vm="1">
        <f t="array" ref="LUH6">_xlfn._xlws.FILTER(TablaProductos[Nombre producto],TablaProductos[Agrupación]=ProductosPivot!LUH5)</f>
        <v>#VALUE!</v>
      </c>
      <c r="LUI6" s="68" t="e" cm="1" vm="1">
        <f t="array" ref="LUI6">_xlfn._xlws.FILTER(TablaProductos[Nombre producto],TablaProductos[Agrupación]=ProductosPivot!LUI5)</f>
        <v>#VALUE!</v>
      </c>
      <c r="LUJ6" s="68" t="e" cm="1" vm="1">
        <f t="array" ref="LUJ6">_xlfn._xlws.FILTER(TablaProductos[Nombre producto],TablaProductos[Agrupación]=ProductosPivot!LUJ5)</f>
        <v>#VALUE!</v>
      </c>
      <c r="LUK6" s="68" t="e" cm="1" vm="1">
        <f t="array" ref="LUK6">_xlfn._xlws.FILTER(TablaProductos[Nombre producto],TablaProductos[Agrupación]=ProductosPivot!LUK5)</f>
        <v>#VALUE!</v>
      </c>
      <c r="LUL6" s="68" t="e" cm="1" vm="1">
        <f t="array" ref="LUL6">_xlfn._xlws.FILTER(TablaProductos[Nombre producto],TablaProductos[Agrupación]=ProductosPivot!LUL5)</f>
        <v>#VALUE!</v>
      </c>
      <c r="LUM6" s="68" t="e" cm="1" vm="1">
        <f t="array" ref="LUM6">_xlfn._xlws.FILTER(TablaProductos[Nombre producto],TablaProductos[Agrupación]=ProductosPivot!LUM5)</f>
        <v>#VALUE!</v>
      </c>
      <c r="LUN6" s="68" t="e" cm="1" vm="1">
        <f t="array" ref="LUN6">_xlfn._xlws.FILTER(TablaProductos[Nombre producto],TablaProductos[Agrupación]=ProductosPivot!LUN5)</f>
        <v>#VALUE!</v>
      </c>
      <c r="LUO6" s="68" t="e" cm="1" vm="1">
        <f t="array" ref="LUO6">_xlfn._xlws.FILTER(TablaProductos[Nombre producto],TablaProductos[Agrupación]=ProductosPivot!LUO5)</f>
        <v>#VALUE!</v>
      </c>
      <c r="LUP6" s="68" t="e" cm="1" vm="1">
        <f t="array" ref="LUP6">_xlfn._xlws.FILTER(TablaProductos[Nombre producto],TablaProductos[Agrupación]=ProductosPivot!LUP5)</f>
        <v>#VALUE!</v>
      </c>
      <c r="LUQ6" s="68" t="e" cm="1" vm="1">
        <f t="array" ref="LUQ6">_xlfn._xlws.FILTER(TablaProductos[Nombre producto],TablaProductos[Agrupación]=ProductosPivot!LUQ5)</f>
        <v>#VALUE!</v>
      </c>
      <c r="LUR6" s="68" t="e" cm="1" vm="1">
        <f t="array" ref="LUR6">_xlfn._xlws.FILTER(TablaProductos[Nombre producto],TablaProductos[Agrupación]=ProductosPivot!LUR5)</f>
        <v>#VALUE!</v>
      </c>
      <c r="LUS6" s="68" t="e" cm="1" vm="1">
        <f t="array" ref="LUS6">_xlfn._xlws.FILTER(TablaProductos[Nombre producto],TablaProductos[Agrupación]=ProductosPivot!LUS5)</f>
        <v>#VALUE!</v>
      </c>
      <c r="LUT6" s="68" t="e" cm="1" vm="1">
        <f t="array" ref="LUT6">_xlfn._xlws.FILTER(TablaProductos[Nombre producto],TablaProductos[Agrupación]=ProductosPivot!LUT5)</f>
        <v>#VALUE!</v>
      </c>
      <c r="LUU6" s="68" t="e" cm="1" vm="1">
        <f t="array" ref="LUU6">_xlfn._xlws.FILTER(TablaProductos[Nombre producto],TablaProductos[Agrupación]=ProductosPivot!LUU5)</f>
        <v>#VALUE!</v>
      </c>
      <c r="LUV6" s="68" t="e" cm="1" vm="1">
        <f t="array" ref="LUV6">_xlfn._xlws.FILTER(TablaProductos[Nombre producto],TablaProductos[Agrupación]=ProductosPivot!LUV5)</f>
        <v>#VALUE!</v>
      </c>
      <c r="LUW6" s="68" t="e" cm="1" vm="1">
        <f t="array" ref="LUW6">_xlfn._xlws.FILTER(TablaProductos[Nombre producto],TablaProductos[Agrupación]=ProductosPivot!LUW5)</f>
        <v>#VALUE!</v>
      </c>
      <c r="LUX6" s="68" t="e" cm="1" vm="1">
        <f t="array" ref="LUX6">_xlfn._xlws.FILTER(TablaProductos[Nombre producto],TablaProductos[Agrupación]=ProductosPivot!LUX5)</f>
        <v>#VALUE!</v>
      </c>
      <c r="LUY6" s="68" t="e" cm="1" vm="1">
        <f t="array" ref="LUY6">_xlfn._xlws.FILTER(TablaProductos[Nombre producto],TablaProductos[Agrupación]=ProductosPivot!LUY5)</f>
        <v>#VALUE!</v>
      </c>
      <c r="LUZ6" s="68" t="e" cm="1" vm="1">
        <f t="array" ref="LUZ6">_xlfn._xlws.FILTER(TablaProductos[Nombre producto],TablaProductos[Agrupación]=ProductosPivot!LUZ5)</f>
        <v>#VALUE!</v>
      </c>
      <c r="LVA6" s="68" t="e" cm="1" vm="1">
        <f t="array" ref="LVA6">_xlfn._xlws.FILTER(TablaProductos[Nombre producto],TablaProductos[Agrupación]=ProductosPivot!LVA5)</f>
        <v>#VALUE!</v>
      </c>
      <c r="LVB6" s="68" t="e" cm="1" vm="1">
        <f t="array" ref="LVB6">_xlfn._xlws.FILTER(TablaProductos[Nombre producto],TablaProductos[Agrupación]=ProductosPivot!LVB5)</f>
        <v>#VALUE!</v>
      </c>
      <c r="LVC6" s="68" t="e" cm="1" vm="1">
        <f t="array" ref="LVC6">_xlfn._xlws.FILTER(TablaProductos[Nombre producto],TablaProductos[Agrupación]=ProductosPivot!LVC5)</f>
        <v>#VALUE!</v>
      </c>
      <c r="LVD6" s="68" t="e" cm="1" vm="1">
        <f t="array" ref="LVD6">_xlfn._xlws.FILTER(TablaProductos[Nombre producto],TablaProductos[Agrupación]=ProductosPivot!LVD5)</f>
        <v>#VALUE!</v>
      </c>
      <c r="LVE6" s="68" t="e" cm="1" vm="1">
        <f t="array" ref="LVE6">_xlfn._xlws.FILTER(TablaProductos[Nombre producto],TablaProductos[Agrupación]=ProductosPivot!LVE5)</f>
        <v>#VALUE!</v>
      </c>
      <c r="LVF6" s="68" t="e" cm="1" vm="1">
        <f t="array" ref="LVF6">_xlfn._xlws.FILTER(TablaProductos[Nombre producto],TablaProductos[Agrupación]=ProductosPivot!LVF5)</f>
        <v>#VALUE!</v>
      </c>
      <c r="LVG6" s="68" t="e" cm="1" vm="1">
        <f t="array" ref="LVG6">_xlfn._xlws.FILTER(TablaProductos[Nombre producto],TablaProductos[Agrupación]=ProductosPivot!LVG5)</f>
        <v>#VALUE!</v>
      </c>
      <c r="LVH6" s="68" t="e" cm="1" vm="1">
        <f t="array" ref="LVH6">_xlfn._xlws.FILTER(TablaProductos[Nombre producto],TablaProductos[Agrupación]=ProductosPivot!LVH5)</f>
        <v>#VALUE!</v>
      </c>
      <c r="LVI6" s="68" t="e" cm="1" vm="1">
        <f t="array" ref="LVI6">_xlfn._xlws.FILTER(TablaProductos[Nombre producto],TablaProductos[Agrupación]=ProductosPivot!LVI5)</f>
        <v>#VALUE!</v>
      </c>
      <c r="LVJ6" s="68" t="e" cm="1" vm="1">
        <f t="array" ref="LVJ6">_xlfn._xlws.FILTER(TablaProductos[Nombre producto],TablaProductos[Agrupación]=ProductosPivot!LVJ5)</f>
        <v>#VALUE!</v>
      </c>
      <c r="LVK6" s="68" t="e" cm="1" vm="1">
        <f t="array" ref="LVK6">_xlfn._xlws.FILTER(TablaProductos[Nombre producto],TablaProductos[Agrupación]=ProductosPivot!LVK5)</f>
        <v>#VALUE!</v>
      </c>
      <c r="LVL6" s="68" t="e" cm="1" vm="1">
        <f t="array" ref="LVL6">_xlfn._xlws.FILTER(TablaProductos[Nombre producto],TablaProductos[Agrupación]=ProductosPivot!LVL5)</f>
        <v>#VALUE!</v>
      </c>
      <c r="LVM6" s="68" t="e" cm="1" vm="1">
        <f t="array" ref="LVM6">_xlfn._xlws.FILTER(TablaProductos[Nombre producto],TablaProductos[Agrupación]=ProductosPivot!LVM5)</f>
        <v>#VALUE!</v>
      </c>
      <c r="LVN6" s="68" t="e" cm="1" vm="1">
        <f t="array" ref="LVN6">_xlfn._xlws.FILTER(TablaProductos[Nombre producto],TablaProductos[Agrupación]=ProductosPivot!LVN5)</f>
        <v>#VALUE!</v>
      </c>
      <c r="LVO6" s="68" t="e" cm="1" vm="1">
        <f t="array" ref="LVO6">_xlfn._xlws.FILTER(TablaProductos[Nombre producto],TablaProductos[Agrupación]=ProductosPivot!LVO5)</f>
        <v>#VALUE!</v>
      </c>
      <c r="LVP6" s="68" t="e" cm="1" vm="1">
        <f t="array" ref="LVP6">_xlfn._xlws.FILTER(TablaProductos[Nombre producto],TablaProductos[Agrupación]=ProductosPivot!LVP5)</f>
        <v>#VALUE!</v>
      </c>
      <c r="LVQ6" s="68" t="e" cm="1" vm="1">
        <f t="array" ref="LVQ6">_xlfn._xlws.FILTER(TablaProductos[Nombre producto],TablaProductos[Agrupación]=ProductosPivot!LVQ5)</f>
        <v>#VALUE!</v>
      </c>
      <c r="LVR6" s="68" t="e" cm="1" vm="1">
        <f t="array" ref="LVR6">_xlfn._xlws.FILTER(TablaProductos[Nombre producto],TablaProductos[Agrupación]=ProductosPivot!LVR5)</f>
        <v>#VALUE!</v>
      </c>
      <c r="LVS6" s="68" t="e" cm="1" vm="1">
        <f t="array" ref="LVS6">_xlfn._xlws.FILTER(TablaProductos[Nombre producto],TablaProductos[Agrupación]=ProductosPivot!LVS5)</f>
        <v>#VALUE!</v>
      </c>
      <c r="LVT6" s="68" t="e" cm="1" vm="1">
        <f t="array" ref="LVT6">_xlfn._xlws.FILTER(TablaProductos[Nombre producto],TablaProductos[Agrupación]=ProductosPivot!LVT5)</f>
        <v>#VALUE!</v>
      </c>
      <c r="LVU6" s="68" t="e" cm="1" vm="1">
        <f t="array" ref="LVU6">_xlfn._xlws.FILTER(TablaProductos[Nombre producto],TablaProductos[Agrupación]=ProductosPivot!LVU5)</f>
        <v>#VALUE!</v>
      </c>
      <c r="LVV6" s="68" t="e" cm="1" vm="1">
        <f t="array" ref="LVV6">_xlfn._xlws.FILTER(TablaProductos[Nombre producto],TablaProductos[Agrupación]=ProductosPivot!LVV5)</f>
        <v>#VALUE!</v>
      </c>
      <c r="LVW6" s="68" t="e" cm="1" vm="1">
        <f t="array" ref="LVW6">_xlfn._xlws.FILTER(TablaProductos[Nombre producto],TablaProductos[Agrupación]=ProductosPivot!LVW5)</f>
        <v>#VALUE!</v>
      </c>
      <c r="LVX6" s="68" t="e" cm="1" vm="1">
        <f t="array" ref="LVX6">_xlfn._xlws.FILTER(TablaProductos[Nombre producto],TablaProductos[Agrupación]=ProductosPivot!LVX5)</f>
        <v>#VALUE!</v>
      </c>
      <c r="LVY6" s="68" t="e" cm="1" vm="1">
        <f t="array" ref="LVY6">_xlfn._xlws.FILTER(TablaProductos[Nombre producto],TablaProductos[Agrupación]=ProductosPivot!LVY5)</f>
        <v>#VALUE!</v>
      </c>
      <c r="LVZ6" s="68" t="e" cm="1" vm="1">
        <f t="array" ref="LVZ6">_xlfn._xlws.FILTER(TablaProductos[Nombre producto],TablaProductos[Agrupación]=ProductosPivot!LVZ5)</f>
        <v>#VALUE!</v>
      </c>
      <c r="LWA6" s="68" t="e" cm="1" vm="1">
        <f t="array" ref="LWA6">_xlfn._xlws.FILTER(TablaProductos[Nombre producto],TablaProductos[Agrupación]=ProductosPivot!LWA5)</f>
        <v>#VALUE!</v>
      </c>
      <c r="LWB6" s="68" t="e" cm="1" vm="1">
        <f t="array" ref="LWB6">_xlfn._xlws.FILTER(TablaProductos[Nombre producto],TablaProductos[Agrupación]=ProductosPivot!LWB5)</f>
        <v>#VALUE!</v>
      </c>
      <c r="LWC6" s="68" t="e" cm="1" vm="1">
        <f t="array" ref="LWC6">_xlfn._xlws.FILTER(TablaProductos[Nombre producto],TablaProductos[Agrupación]=ProductosPivot!LWC5)</f>
        <v>#VALUE!</v>
      </c>
      <c r="LWD6" s="68" t="e" cm="1" vm="1">
        <f t="array" ref="LWD6">_xlfn._xlws.FILTER(TablaProductos[Nombre producto],TablaProductos[Agrupación]=ProductosPivot!LWD5)</f>
        <v>#VALUE!</v>
      </c>
      <c r="LWE6" s="68" t="e" cm="1" vm="1">
        <f t="array" ref="LWE6">_xlfn._xlws.FILTER(TablaProductos[Nombre producto],TablaProductos[Agrupación]=ProductosPivot!LWE5)</f>
        <v>#VALUE!</v>
      </c>
      <c r="LWF6" s="68" t="e" cm="1" vm="1">
        <f t="array" ref="LWF6">_xlfn._xlws.FILTER(TablaProductos[Nombre producto],TablaProductos[Agrupación]=ProductosPivot!LWF5)</f>
        <v>#VALUE!</v>
      </c>
      <c r="LWG6" s="68" t="e" cm="1" vm="1">
        <f t="array" ref="LWG6">_xlfn._xlws.FILTER(TablaProductos[Nombre producto],TablaProductos[Agrupación]=ProductosPivot!LWG5)</f>
        <v>#VALUE!</v>
      </c>
      <c r="LWH6" s="68" t="e" cm="1" vm="1">
        <f t="array" ref="LWH6">_xlfn._xlws.FILTER(TablaProductos[Nombre producto],TablaProductos[Agrupación]=ProductosPivot!LWH5)</f>
        <v>#VALUE!</v>
      </c>
      <c r="LWI6" s="68" t="e" cm="1" vm="1">
        <f t="array" ref="LWI6">_xlfn._xlws.FILTER(TablaProductos[Nombre producto],TablaProductos[Agrupación]=ProductosPivot!LWI5)</f>
        <v>#VALUE!</v>
      </c>
      <c r="LWJ6" s="68" t="e" cm="1" vm="1">
        <f t="array" ref="LWJ6">_xlfn._xlws.FILTER(TablaProductos[Nombre producto],TablaProductos[Agrupación]=ProductosPivot!LWJ5)</f>
        <v>#VALUE!</v>
      </c>
      <c r="LWK6" s="68" t="e" cm="1" vm="1">
        <f t="array" ref="LWK6">_xlfn._xlws.FILTER(TablaProductos[Nombre producto],TablaProductos[Agrupación]=ProductosPivot!LWK5)</f>
        <v>#VALUE!</v>
      </c>
      <c r="LWL6" s="68" t="e" cm="1" vm="1">
        <f t="array" ref="LWL6">_xlfn._xlws.FILTER(TablaProductos[Nombre producto],TablaProductos[Agrupación]=ProductosPivot!LWL5)</f>
        <v>#VALUE!</v>
      </c>
      <c r="LWM6" s="68" t="e" cm="1" vm="1">
        <f t="array" ref="LWM6">_xlfn._xlws.FILTER(TablaProductos[Nombre producto],TablaProductos[Agrupación]=ProductosPivot!LWM5)</f>
        <v>#VALUE!</v>
      </c>
      <c r="LWN6" s="68" t="e" cm="1" vm="1">
        <f t="array" ref="LWN6">_xlfn._xlws.FILTER(TablaProductos[Nombre producto],TablaProductos[Agrupación]=ProductosPivot!LWN5)</f>
        <v>#VALUE!</v>
      </c>
      <c r="LWO6" s="68" t="e" cm="1" vm="1">
        <f t="array" ref="LWO6">_xlfn._xlws.FILTER(TablaProductos[Nombre producto],TablaProductos[Agrupación]=ProductosPivot!LWO5)</f>
        <v>#VALUE!</v>
      </c>
      <c r="LWP6" s="68" t="e" cm="1" vm="1">
        <f t="array" ref="LWP6">_xlfn._xlws.FILTER(TablaProductos[Nombre producto],TablaProductos[Agrupación]=ProductosPivot!LWP5)</f>
        <v>#VALUE!</v>
      </c>
      <c r="LWQ6" s="68" t="e" cm="1" vm="1">
        <f t="array" ref="LWQ6">_xlfn._xlws.FILTER(TablaProductos[Nombre producto],TablaProductos[Agrupación]=ProductosPivot!LWQ5)</f>
        <v>#VALUE!</v>
      </c>
      <c r="LWR6" s="68" t="e" cm="1" vm="1">
        <f t="array" ref="LWR6">_xlfn._xlws.FILTER(TablaProductos[Nombre producto],TablaProductos[Agrupación]=ProductosPivot!LWR5)</f>
        <v>#VALUE!</v>
      </c>
      <c r="LWS6" s="68" t="e" cm="1" vm="1">
        <f t="array" ref="LWS6">_xlfn._xlws.FILTER(TablaProductos[Nombre producto],TablaProductos[Agrupación]=ProductosPivot!LWS5)</f>
        <v>#VALUE!</v>
      </c>
      <c r="LWT6" s="68" t="e" cm="1" vm="1">
        <f t="array" ref="LWT6">_xlfn._xlws.FILTER(TablaProductos[Nombre producto],TablaProductos[Agrupación]=ProductosPivot!LWT5)</f>
        <v>#VALUE!</v>
      </c>
      <c r="LWU6" s="68" t="e" cm="1" vm="1">
        <f t="array" ref="LWU6">_xlfn._xlws.FILTER(TablaProductos[Nombre producto],TablaProductos[Agrupación]=ProductosPivot!LWU5)</f>
        <v>#VALUE!</v>
      </c>
      <c r="LWV6" s="68" t="e" cm="1" vm="1">
        <f t="array" ref="LWV6">_xlfn._xlws.FILTER(TablaProductos[Nombre producto],TablaProductos[Agrupación]=ProductosPivot!LWV5)</f>
        <v>#VALUE!</v>
      </c>
      <c r="LWW6" s="68" t="e" cm="1" vm="1">
        <f t="array" ref="LWW6">_xlfn._xlws.FILTER(TablaProductos[Nombre producto],TablaProductos[Agrupación]=ProductosPivot!LWW5)</f>
        <v>#VALUE!</v>
      </c>
      <c r="LWX6" s="68" t="e" cm="1" vm="1">
        <f t="array" ref="LWX6">_xlfn._xlws.FILTER(TablaProductos[Nombre producto],TablaProductos[Agrupación]=ProductosPivot!LWX5)</f>
        <v>#VALUE!</v>
      </c>
      <c r="LWY6" s="68" t="e" cm="1" vm="1">
        <f t="array" ref="LWY6">_xlfn._xlws.FILTER(TablaProductos[Nombre producto],TablaProductos[Agrupación]=ProductosPivot!LWY5)</f>
        <v>#VALUE!</v>
      </c>
      <c r="LWZ6" s="68" t="e" cm="1" vm="1">
        <f t="array" ref="LWZ6">_xlfn._xlws.FILTER(TablaProductos[Nombre producto],TablaProductos[Agrupación]=ProductosPivot!LWZ5)</f>
        <v>#VALUE!</v>
      </c>
      <c r="LXA6" s="68" t="e" cm="1" vm="1">
        <f t="array" ref="LXA6">_xlfn._xlws.FILTER(TablaProductos[Nombre producto],TablaProductos[Agrupación]=ProductosPivot!LXA5)</f>
        <v>#VALUE!</v>
      </c>
      <c r="LXB6" s="68" t="e" cm="1" vm="1">
        <f t="array" ref="LXB6">_xlfn._xlws.FILTER(TablaProductos[Nombre producto],TablaProductos[Agrupación]=ProductosPivot!LXB5)</f>
        <v>#VALUE!</v>
      </c>
      <c r="LXC6" s="68" t="e" cm="1" vm="1">
        <f t="array" ref="LXC6">_xlfn._xlws.FILTER(TablaProductos[Nombre producto],TablaProductos[Agrupación]=ProductosPivot!LXC5)</f>
        <v>#VALUE!</v>
      </c>
      <c r="LXD6" s="68" t="e" cm="1" vm="1">
        <f t="array" ref="LXD6">_xlfn._xlws.FILTER(TablaProductos[Nombre producto],TablaProductos[Agrupación]=ProductosPivot!LXD5)</f>
        <v>#VALUE!</v>
      </c>
      <c r="LXE6" s="68" t="e" cm="1" vm="1">
        <f t="array" ref="LXE6">_xlfn._xlws.FILTER(TablaProductos[Nombre producto],TablaProductos[Agrupación]=ProductosPivot!LXE5)</f>
        <v>#VALUE!</v>
      </c>
      <c r="LXF6" s="68" t="e" cm="1" vm="1">
        <f t="array" ref="LXF6">_xlfn._xlws.FILTER(TablaProductos[Nombre producto],TablaProductos[Agrupación]=ProductosPivot!LXF5)</f>
        <v>#VALUE!</v>
      </c>
      <c r="LXG6" s="68" t="e" cm="1" vm="1">
        <f t="array" ref="LXG6">_xlfn._xlws.FILTER(TablaProductos[Nombre producto],TablaProductos[Agrupación]=ProductosPivot!LXG5)</f>
        <v>#VALUE!</v>
      </c>
      <c r="LXH6" s="68" t="e" cm="1" vm="1">
        <f t="array" ref="LXH6">_xlfn._xlws.FILTER(TablaProductos[Nombre producto],TablaProductos[Agrupación]=ProductosPivot!LXH5)</f>
        <v>#VALUE!</v>
      </c>
      <c r="LXI6" s="68" t="e" cm="1" vm="1">
        <f t="array" ref="LXI6">_xlfn._xlws.FILTER(TablaProductos[Nombre producto],TablaProductos[Agrupación]=ProductosPivot!LXI5)</f>
        <v>#VALUE!</v>
      </c>
      <c r="LXJ6" s="68" t="e" cm="1" vm="1">
        <f t="array" ref="LXJ6">_xlfn._xlws.FILTER(TablaProductos[Nombre producto],TablaProductos[Agrupación]=ProductosPivot!LXJ5)</f>
        <v>#VALUE!</v>
      </c>
      <c r="LXK6" s="68" t="e" cm="1" vm="1">
        <f t="array" ref="LXK6">_xlfn._xlws.FILTER(TablaProductos[Nombre producto],TablaProductos[Agrupación]=ProductosPivot!LXK5)</f>
        <v>#VALUE!</v>
      </c>
      <c r="LXL6" s="68" t="e" cm="1" vm="1">
        <f t="array" ref="LXL6">_xlfn._xlws.FILTER(TablaProductos[Nombre producto],TablaProductos[Agrupación]=ProductosPivot!LXL5)</f>
        <v>#VALUE!</v>
      </c>
      <c r="LXM6" s="68" t="e" cm="1" vm="1">
        <f t="array" ref="LXM6">_xlfn._xlws.FILTER(TablaProductos[Nombre producto],TablaProductos[Agrupación]=ProductosPivot!LXM5)</f>
        <v>#VALUE!</v>
      </c>
      <c r="LXN6" s="68" t="e" cm="1" vm="1">
        <f t="array" ref="LXN6">_xlfn._xlws.FILTER(TablaProductos[Nombre producto],TablaProductos[Agrupación]=ProductosPivot!LXN5)</f>
        <v>#VALUE!</v>
      </c>
      <c r="LXO6" s="68" t="e" cm="1" vm="1">
        <f t="array" ref="LXO6">_xlfn._xlws.FILTER(TablaProductos[Nombre producto],TablaProductos[Agrupación]=ProductosPivot!LXO5)</f>
        <v>#VALUE!</v>
      </c>
      <c r="LXP6" s="68" t="e" cm="1" vm="1">
        <f t="array" ref="LXP6">_xlfn._xlws.FILTER(TablaProductos[Nombre producto],TablaProductos[Agrupación]=ProductosPivot!LXP5)</f>
        <v>#VALUE!</v>
      </c>
      <c r="LXQ6" s="68" t="e" cm="1" vm="1">
        <f t="array" ref="LXQ6">_xlfn._xlws.FILTER(TablaProductos[Nombre producto],TablaProductos[Agrupación]=ProductosPivot!LXQ5)</f>
        <v>#VALUE!</v>
      </c>
      <c r="LXR6" s="68" t="e" cm="1" vm="1">
        <f t="array" ref="LXR6">_xlfn._xlws.FILTER(TablaProductos[Nombre producto],TablaProductos[Agrupación]=ProductosPivot!LXR5)</f>
        <v>#VALUE!</v>
      </c>
      <c r="LXS6" s="68" t="e" cm="1" vm="1">
        <f t="array" ref="LXS6">_xlfn._xlws.FILTER(TablaProductos[Nombre producto],TablaProductos[Agrupación]=ProductosPivot!LXS5)</f>
        <v>#VALUE!</v>
      </c>
      <c r="LXT6" s="68" t="e" cm="1" vm="1">
        <f t="array" ref="LXT6">_xlfn._xlws.FILTER(TablaProductos[Nombre producto],TablaProductos[Agrupación]=ProductosPivot!LXT5)</f>
        <v>#VALUE!</v>
      </c>
      <c r="LXU6" s="68" t="e" cm="1" vm="1">
        <f t="array" ref="LXU6">_xlfn._xlws.FILTER(TablaProductos[Nombre producto],TablaProductos[Agrupación]=ProductosPivot!LXU5)</f>
        <v>#VALUE!</v>
      </c>
      <c r="LXV6" s="68" t="e" cm="1" vm="1">
        <f t="array" ref="LXV6">_xlfn._xlws.FILTER(TablaProductos[Nombre producto],TablaProductos[Agrupación]=ProductosPivot!LXV5)</f>
        <v>#VALUE!</v>
      </c>
      <c r="LXW6" s="68" t="e" cm="1" vm="1">
        <f t="array" ref="LXW6">_xlfn._xlws.FILTER(TablaProductos[Nombre producto],TablaProductos[Agrupación]=ProductosPivot!LXW5)</f>
        <v>#VALUE!</v>
      </c>
      <c r="LXX6" s="68" t="e" cm="1" vm="1">
        <f t="array" ref="LXX6">_xlfn._xlws.FILTER(TablaProductos[Nombre producto],TablaProductos[Agrupación]=ProductosPivot!LXX5)</f>
        <v>#VALUE!</v>
      </c>
      <c r="LXY6" s="68" t="e" cm="1" vm="1">
        <f t="array" ref="LXY6">_xlfn._xlws.FILTER(TablaProductos[Nombre producto],TablaProductos[Agrupación]=ProductosPivot!LXY5)</f>
        <v>#VALUE!</v>
      </c>
      <c r="LXZ6" s="68" t="e" cm="1" vm="1">
        <f t="array" ref="LXZ6">_xlfn._xlws.FILTER(TablaProductos[Nombre producto],TablaProductos[Agrupación]=ProductosPivot!LXZ5)</f>
        <v>#VALUE!</v>
      </c>
      <c r="LYA6" s="68" t="e" cm="1" vm="1">
        <f t="array" ref="LYA6">_xlfn._xlws.FILTER(TablaProductos[Nombre producto],TablaProductos[Agrupación]=ProductosPivot!LYA5)</f>
        <v>#VALUE!</v>
      </c>
      <c r="LYB6" s="68" t="e" cm="1" vm="1">
        <f t="array" ref="LYB6">_xlfn._xlws.FILTER(TablaProductos[Nombre producto],TablaProductos[Agrupación]=ProductosPivot!LYB5)</f>
        <v>#VALUE!</v>
      </c>
      <c r="LYC6" s="68" t="e" cm="1" vm="1">
        <f t="array" ref="LYC6">_xlfn._xlws.FILTER(TablaProductos[Nombre producto],TablaProductos[Agrupación]=ProductosPivot!LYC5)</f>
        <v>#VALUE!</v>
      </c>
      <c r="LYD6" s="68" t="e" cm="1" vm="1">
        <f t="array" ref="LYD6">_xlfn._xlws.FILTER(TablaProductos[Nombre producto],TablaProductos[Agrupación]=ProductosPivot!LYD5)</f>
        <v>#VALUE!</v>
      </c>
      <c r="LYE6" s="68" t="e" cm="1" vm="1">
        <f t="array" ref="LYE6">_xlfn._xlws.FILTER(TablaProductos[Nombre producto],TablaProductos[Agrupación]=ProductosPivot!LYE5)</f>
        <v>#VALUE!</v>
      </c>
      <c r="LYF6" s="68" t="e" cm="1" vm="1">
        <f t="array" ref="LYF6">_xlfn._xlws.FILTER(TablaProductos[Nombre producto],TablaProductos[Agrupación]=ProductosPivot!LYF5)</f>
        <v>#VALUE!</v>
      </c>
      <c r="LYG6" s="68" t="e" cm="1" vm="1">
        <f t="array" ref="LYG6">_xlfn._xlws.FILTER(TablaProductos[Nombre producto],TablaProductos[Agrupación]=ProductosPivot!LYG5)</f>
        <v>#VALUE!</v>
      </c>
      <c r="LYH6" s="68" t="e" cm="1" vm="1">
        <f t="array" ref="LYH6">_xlfn._xlws.FILTER(TablaProductos[Nombre producto],TablaProductos[Agrupación]=ProductosPivot!LYH5)</f>
        <v>#VALUE!</v>
      </c>
      <c r="LYI6" s="68" t="e" cm="1" vm="1">
        <f t="array" ref="LYI6">_xlfn._xlws.FILTER(TablaProductos[Nombre producto],TablaProductos[Agrupación]=ProductosPivot!LYI5)</f>
        <v>#VALUE!</v>
      </c>
      <c r="LYJ6" s="68" t="e" cm="1" vm="1">
        <f t="array" ref="LYJ6">_xlfn._xlws.FILTER(TablaProductos[Nombre producto],TablaProductos[Agrupación]=ProductosPivot!LYJ5)</f>
        <v>#VALUE!</v>
      </c>
      <c r="LYK6" s="68" t="e" cm="1" vm="1">
        <f t="array" ref="LYK6">_xlfn._xlws.FILTER(TablaProductos[Nombre producto],TablaProductos[Agrupación]=ProductosPivot!LYK5)</f>
        <v>#VALUE!</v>
      </c>
      <c r="LYL6" s="68" t="e" cm="1" vm="1">
        <f t="array" ref="LYL6">_xlfn._xlws.FILTER(TablaProductos[Nombre producto],TablaProductos[Agrupación]=ProductosPivot!LYL5)</f>
        <v>#VALUE!</v>
      </c>
      <c r="LYM6" s="68" t="e" cm="1" vm="1">
        <f t="array" ref="LYM6">_xlfn._xlws.FILTER(TablaProductos[Nombre producto],TablaProductos[Agrupación]=ProductosPivot!LYM5)</f>
        <v>#VALUE!</v>
      </c>
      <c r="LYN6" s="68" t="e" cm="1" vm="1">
        <f t="array" ref="LYN6">_xlfn._xlws.FILTER(TablaProductos[Nombre producto],TablaProductos[Agrupación]=ProductosPivot!LYN5)</f>
        <v>#VALUE!</v>
      </c>
      <c r="LYO6" s="68" t="e" cm="1" vm="1">
        <f t="array" ref="LYO6">_xlfn._xlws.FILTER(TablaProductos[Nombre producto],TablaProductos[Agrupación]=ProductosPivot!LYO5)</f>
        <v>#VALUE!</v>
      </c>
      <c r="LYP6" s="68" t="e" cm="1" vm="1">
        <f t="array" ref="LYP6">_xlfn._xlws.FILTER(TablaProductos[Nombre producto],TablaProductos[Agrupación]=ProductosPivot!LYP5)</f>
        <v>#VALUE!</v>
      </c>
      <c r="LYQ6" s="68" t="e" cm="1" vm="1">
        <f t="array" ref="LYQ6">_xlfn._xlws.FILTER(TablaProductos[Nombre producto],TablaProductos[Agrupación]=ProductosPivot!LYQ5)</f>
        <v>#VALUE!</v>
      </c>
      <c r="LYR6" s="68" t="e" cm="1" vm="1">
        <f t="array" ref="LYR6">_xlfn._xlws.FILTER(TablaProductos[Nombre producto],TablaProductos[Agrupación]=ProductosPivot!LYR5)</f>
        <v>#VALUE!</v>
      </c>
      <c r="LYS6" s="68" t="e" cm="1" vm="1">
        <f t="array" ref="LYS6">_xlfn._xlws.FILTER(TablaProductos[Nombre producto],TablaProductos[Agrupación]=ProductosPivot!LYS5)</f>
        <v>#VALUE!</v>
      </c>
      <c r="LYT6" s="68" t="e" cm="1" vm="1">
        <f t="array" ref="LYT6">_xlfn._xlws.FILTER(TablaProductos[Nombre producto],TablaProductos[Agrupación]=ProductosPivot!LYT5)</f>
        <v>#VALUE!</v>
      </c>
      <c r="LYU6" s="68" t="e" cm="1" vm="1">
        <f t="array" ref="LYU6">_xlfn._xlws.FILTER(TablaProductos[Nombre producto],TablaProductos[Agrupación]=ProductosPivot!LYU5)</f>
        <v>#VALUE!</v>
      </c>
      <c r="LYV6" s="68" t="e" cm="1" vm="1">
        <f t="array" ref="LYV6">_xlfn._xlws.FILTER(TablaProductos[Nombre producto],TablaProductos[Agrupación]=ProductosPivot!LYV5)</f>
        <v>#VALUE!</v>
      </c>
      <c r="LYW6" s="68" t="e" cm="1" vm="1">
        <f t="array" ref="LYW6">_xlfn._xlws.FILTER(TablaProductos[Nombre producto],TablaProductos[Agrupación]=ProductosPivot!LYW5)</f>
        <v>#VALUE!</v>
      </c>
      <c r="LYX6" s="68" t="e" cm="1" vm="1">
        <f t="array" ref="LYX6">_xlfn._xlws.FILTER(TablaProductos[Nombre producto],TablaProductos[Agrupación]=ProductosPivot!LYX5)</f>
        <v>#VALUE!</v>
      </c>
      <c r="LYY6" s="68" t="e" cm="1" vm="1">
        <f t="array" ref="LYY6">_xlfn._xlws.FILTER(TablaProductos[Nombre producto],TablaProductos[Agrupación]=ProductosPivot!LYY5)</f>
        <v>#VALUE!</v>
      </c>
      <c r="LYZ6" s="68" t="e" cm="1" vm="1">
        <f t="array" ref="LYZ6">_xlfn._xlws.FILTER(TablaProductos[Nombre producto],TablaProductos[Agrupación]=ProductosPivot!LYZ5)</f>
        <v>#VALUE!</v>
      </c>
      <c r="LZA6" s="68" t="e" cm="1" vm="1">
        <f t="array" ref="LZA6">_xlfn._xlws.FILTER(TablaProductos[Nombre producto],TablaProductos[Agrupación]=ProductosPivot!LZA5)</f>
        <v>#VALUE!</v>
      </c>
      <c r="LZB6" s="68" t="e" cm="1" vm="1">
        <f t="array" ref="LZB6">_xlfn._xlws.FILTER(TablaProductos[Nombre producto],TablaProductos[Agrupación]=ProductosPivot!LZB5)</f>
        <v>#VALUE!</v>
      </c>
      <c r="LZC6" s="68" t="e" cm="1" vm="1">
        <f t="array" ref="LZC6">_xlfn._xlws.FILTER(TablaProductos[Nombre producto],TablaProductos[Agrupación]=ProductosPivot!LZC5)</f>
        <v>#VALUE!</v>
      </c>
      <c r="LZD6" s="68" t="e" cm="1" vm="1">
        <f t="array" ref="LZD6">_xlfn._xlws.FILTER(TablaProductos[Nombre producto],TablaProductos[Agrupación]=ProductosPivot!LZD5)</f>
        <v>#VALUE!</v>
      </c>
      <c r="LZE6" s="68" t="e" cm="1" vm="1">
        <f t="array" ref="LZE6">_xlfn._xlws.FILTER(TablaProductos[Nombre producto],TablaProductos[Agrupación]=ProductosPivot!LZE5)</f>
        <v>#VALUE!</v>
      </c>
      <c r="LZF6" s="68" t="e" cm="1" vm="1">
        <f t="array" ref="LZF6">_xlfn._xlws.FILTER(TablaProductos[Nombre producto],TablaProductos[Agrupación]=ProductosPivot!LZF5)</f>
        <v>#VALUE!</v>
      </c>
      <c r="LZG6" s="68" t="e" cm="1" vm="1">
        <f t="array" ref="LZG6">_xlfn._xlws.FILTER(TablaProductos[Nombre producto],TablaProductos[Agrupación]=ProductosPivot!LZG5)</f>
        <v>#VALUE!</v>
      </c>
      <c r="LZH6" s="68" t="e" cm="1" vm="1">
        <f t="array" ref="LZH6">_xlfn._xlws.FILTER(TablaProductos[Nombre producto],TablaProductos[Agrupación]=ProductosPivot!LZH5)</f>
        <v>#VALUE!</v>
      </c>
      <c r="LZI6" s="68" t="e" cm="1" vm="1">
        <f t="array" ref="LZI6">_xlfn._xlws.FILTER(TablaProductos[Nombre producto],TablaProductos[Agrupación]=ProductosPivot!LZI5)</f>
        <v>#VALUE!</v>
      </c>
      <c r="LZJ6" s="68" t="e" cm="1" vm="1">
        <f t="array" ref="LZJ6">_xlfn._xlws.FILTER(TablaProductos[Nombre producto],TablaProductos[Agrupación]=ProductosPivot!LZJ5)</f>
        <v>#VALUE!</v>
      </c>
      <c r="LZK6" s="68" t="e" cm="1" vm="1">
        <f t="array" ref="LZK6">_xlfn._xlws.FILTER(TablaProductos[Nombre producto],TablaProductos[Agrupación]=ProductosPivot!LZK5)</f>
        <v>#VALUE!</v>
      </c>
      <c r="LZL6" s="68" t="e" cm="1" vm="1">
        <f t="array" ref="LZL6">_xlfn._xlws.FILTER(TablaProductos[Nombre producto],TablaProductos[Agrupación]=ProductosPivot!LZL5)</f>
        <v>#VALUE!</v>
      </c>
      <c r="LZM6" s="68" t="e" cm="1" vm="1">
        <f t="array" ref="LZM6">_xlfn._xlws.FILTER(TablaProductos[Nombre producto],TablaProductos[Agrupación]=ProductosPivot!LZM5)</f>
        <v>#VALUE!</v>
      </c>
      <c r="LZN6" s="68" t="e" cm="1" vm="1">
        <f t="array" ref="LZN6">_xlfn._xlws.FILTER(TablaProductos[Nombre producto],TablaProductos[Agrupación]=ProductosPivot!LZN5)</f>
        <v>#VALUE!</v>
      </c>
      <c r="LZO6" s="68" t="e" cm="1" vm="1">
        <f t="array" ref="LZO6">_xlfn._xlws.FILTER(TablaProductos[Nombre producto],TablaProductos[Agrupación]=ProductosPivot!LZO5)</f>
        <v>#VALUE!</v>
      </c>
      <c r="LZP6" s="68" t="e" cm="1" vm="1">
        <f t="array" ref="LZP6">_xlfn._xlws.FILTER(TablaProductos[Nombre producto],TablaProductos[Agrupación]=ProductosPivot!LZP5)</f>
        <v>#VALUE!</v>
      </c>
      <c r="LZQ6" s="68" t="e" cm="1" vm="1">
        <f t="array" ref="LZQ6">_xlfn._xlws.FILTER(TablaProductos[Nombre producto],TablaProductos[Agrupación]=ProductosPivot!LZQ5)</f>
        <v>#VALUE!</v>
      </c>
      <c r="LZR6" s="68" t="e" cm="1" vm="1">
        <f t="array" ref="LZR6">_xlfn._xlws.FILTER(TablaProductos[Nombre producto],TablaProductos[Agrupación]=ProductosPivot!LZR5)</f>
        <v>#VALUE!</v>
      </c>
      <c r="LZS6" s="68" t="e" cm="1" vm="1">
        <f t="array" ref="LZS6">_xlfn._xlws.FILTER(TablaProductos[Nombre producto],TablaProductos[Agrupación]=ProductosPivot!LZS5)</f>
        <v>#VALUE!</v>
      </c>
      <c r="LZT6" s="68" t="e" cm="1" vm="1">
        <f t="array" ref="LZT6">_xlfn._xlws.FILTER(TablaProductos[Nombre producto],TablaProductos[Agrupación]=ProductosPivot!LZT5)</f>
        <v>#VALUE!</v>
      </c>
      <c r="LZU6" s="68" t="e" cm="1" vm="1">
        <f t="array" ref="LZU6">_xlfn._xlws.FILTER(TablaProductos[Nombre producto],TablaProductos[Agrupación]=ProductosPivot!LZU5)</f>
        <v>#VALUE!</v>
      </c>
      <c r="LZV6" s="68" t="e" cm="1" vm="1">
        <f t="array" ref="LZV6">_xlfn._xlws.FILTER(TablaProductos[Nombre producto],TablaProductos[Agrupación]=ProductosPivot!LZV5)</f>
        <v>#VALUE!</v>
      </c>
      <c r="LZW6" s="68" t="e" cm="1" vm="1">
        <f t="array" ref="LZW6">_xlfn._xlws.FILTER(TablaProductos[Nombre producto],TablaProductos[Agrupación]=ProductosPivot!LZW5)</f>
        <v>#VALUE!</v>
      </c>
      <c r="LZX6" s="68" t="e" cm="1" vm="1">
        <f t="array" ref="LZX6">_xlfn._xlws.FILTER(TablaProductos[Nombre producto],TablaProductos[Agrupación]=ProductosPivot!LZX5)</f>
        <v>#VALUE!</v>
      </c>
      <c r="LZY6" s="68" t="e" cm="1" vm="1">
        <f t="array" ref="LZY6">_xlfn._xlws.FILTER(TablaProductos[Nombre producto],TablaProductos[Agrupación]=ProductosPivot!LZY5)</f>
        <v>#VALUE!</v>
      </c>
      <c r="LZZ6" s="68" t="e" cm="1" vm="1">
        <f t="array" ref="LZZ6">_xlfn._xlws.FILTER(TablaProductos[Nombre producto],TablaProductos[Agrupación]=ProductosPivot!LZZ5)</f>
        <v>#VALUE!</v>
      </c>
      <c r="MAA6" s="68" t="e" cm="1" vm="1">
        <f t="array" ref="MAA6">_xlfn._xlws.FILTER(TablaProductos[Nombre producto],TablaProductos[Agrupación]=ProductosPivot!MAA5)</f>
        <v>#VALUE!</v>
      </c>
      <c r="MAB6" s="68" t="e" cm="1" vm="1">
        <f t="array" ref="MAB6">_xlfn._xlws.FILTER(TablaProductos[Nombre producto],TablaProductos[Agrupación]=ProductosPivot!MAB5)</f>
        <v>#VALUE!</v>
      </c>
      <c r="MAC6" s="68" t="e" cm="1" vm="1">
        <f t="array" ref="MAC6">_xlfn._xlws.FILTER(TablaProductos[Nombre producto],TablaProductos[Agrupación]=ProductosPivot!MAC5)</f>
        <v>#VALUE!</v>
      </c>
      <c r="MAD6" s="68" t="e" cm="1" vm="1">
        <f t="array" ref="MAD6">_xlfn._xlws.FILTER(TablaProductos[Nombre producto],TablaProductos[Agrupación]=ProductosPivot!MAD5)</f>
        <v>#VALUE!</v>
      </c>
      <c r="MAE6" s="68" t="e" cm="1" vm="1">
        <f t="array" ref="MAE6">_xlfn._xlws.FILTER(TablaProductos[Nombre producto],TablaProductos[Agrupación]=ProductosPivot!MAE5)</f>
        <v>#VALUE!</v>
      </c>
      <c r="MAF6" s="68" t="e" cm="1" vm="1">
        <f t="array" ref="MAF6">_xlfn._xlws.FILTER(TablaProductos[Nombre producto],TablaProductos[Agrupación]=ProductosPivot!MAF5)</f>
        <v>#VALUE!</v>
      </c>
      <c r="MAG6" s="68" t="e" cm="1" vm="1">
        <f t="array" ref="MAG6">_xlfn._xlws.FILTER(TablaProductos[Nombre producto],TablaProductos[Agrupación]=ProductosPivot!MAG5)</f>
        <v>#VALUE!</v>
      </c>
      <c r="MAH6" s="68" t="e" cm="1" vm="1">
        <f t="array" ref="MAH6">_xlfn._xlws.FILTER(TablaProductos[Nombre producto],TablaProductos[Agrupación]=ProductosPivot!MAH5)</f>
        <v>#VALUE!</v>
      </c>
      <c r="MAI6" s="68" t="e" cm="1" vm="1">
        <f t="array" ref="MAI6">_xlfn._xlws.FILTER(TablaProductos[Nombre producto],TablaProductos[Agrupación]=ProductosPivot!MAI5)</f>
        <v>#VALUE!</v>
      </c>
      <c r="MAJ6" s="68" t="e" cm="1" vm="1">
        <f t="array" ref="MAJ6">_xlfn._xlws.FILTER(TablaProductos[Nombre producto],TablaProductos[Agrupación]=ProductosPivot!MAJ5)</f>
        <v>#VALUE!</v>
      </c>
      <c r="MAK6" s="68" t="e" cm="1" vm="1">
        <f t="array" ref="MAK6">_xlfn._xlws.FILTER(TablaProductos[Nombre producto],TablaProductos[Agrupación]=ProductosPivot!MAK5)</f>
        <v>#VALUE!</v>
      </c>
      <c r="MAL6" s="68" t="e" cm="1" vm="1">
        <f t="array" ref="MAL6">_xlfn._xlws.FILTER(TablaProductos[Nombre producto],TablaProductos[Agrupación]=ProductosPivot!MAL5)</f>
        <v>#VALUE!</v>
      </c>
      <c r="MAM6" s="68" t="e" cm="1" vm="1">
        <f t="array" ref="MAM6">_xlfn._xlws.FILTER(TablaProductos[Nombre producto],TablaProductos[Agrupación]=ProductosPivot!MAM5)</f>
        <v>#VALUE!</v>
      </c>
      <c r="MAN6" s="68" t="e" cm="1" vm="1">
        <f t="array" ref="MAN6">_xlfn._xlws.FILTER(TablaProductos[Nombre producto],TablaProductos[Agrupación]=ProductosPivot!MAN5)</f>
        <v>#VALUE!</v>
      </c>
      <c r="MAO6" s="68" t="e" cm="1" vm="1">
        <f t="array" ref="MAO6">_xlfn._xlws.FILTER(TablaProductos[Nombre producto],TablaProductos[Agrupación]=ProductosPivot!MAO5)</f>
        <v>#VALUE!</v>
      </c>
      <c r="MAP6" s="68" t="e" cm="1" vm="1">
        <f t="array" ref="MAP6">_xlfn._xlws.FILTER(TablaProductos[Nombre producto],TablaProductos[Agrupación]=ProductosPivot!MAP5)</f>
        <v>#VALUE!</v>
      </c>
      <c r="MAQ6" s="68" t="e" cm="1" vm="1">
        <f t="array" ref="MAQ6">_xlfn._xlws.FILTER(TablaProductos[Nombre producto],TablaProductos[Agrupación]=ProductosPivot!MAQ5)</f>
        <v>#VALUE!</v>
      </c>
      <c r="MAR6" s="68" t="e" cm="1" vm="1">
        <f t="array" ref="MAR6">_xlfn._xlws.FILTER(TablaProductos[Nombre producto],TablaProductos[Agrupación]=ProductosPivot!MAR5)</f>
        <v>#VALUE!</v>
      </c>
      <c r="MAS6" s="68" t="e" cm="1" vm="1">
        <f t="array" ref="MAS6">_xlfn._xlws.FILTER(TablaProductos[Nombre producto],TablaProductos[Agrupación]=ProductosPivot!MAS5)</f>
        <v>#VALUE!</v>
      </c>
      <c r="MAT6" s="68" t="e" cm="1" vm="1">
        <f t="array" ref="MAT6">_xlfn._xlws.FILTER(TablaProductos[Nombre producto],TablaProductos[Agrupación]=ProductosPivot!MAT5)</f>
        <v>#VALUE!</v>
      </c>
      <c r="MAU6" s="68" t="e" cm="1" vm="1">
        <f t="array" ref="MAU6">_xlfn._xlws.FILTER(TablaProductos[Nombre producto],TablaProductos[Agrupación]=ProductosPivot!MAU5)</f>
        <v>#VALUE!</v>
      </c>
      <c r="MAV6" s="68" t="e" cm="1" vm="1">
        <f t="array" ref="MAV6">_xlfn._xlws.FILTER(TablaProductos[Nombre producto],TablaProductos[Agrupación]=ProductosPivot!MAV5)</f>
        <v>#VALUE!</v>
      </c>
      <c r="MAW6" s="68" t="e" cm="1" vm="1">
        <f t="array" ref="MAW6">_xlfn._xlws.FILTER(TablaProductos[Nombre producto],TablaProductos[Agrupación]=ProductosPivot!MAW5)</f>
        <v>#VALUE!</v>
      </c>
      <c r="MAX6" s="68" t="e" cm="1" vm="1">
        <f t="array" ref="MAX6">_xlfn._xlws.FILTER(TablaProductos[Nombre producto],TablaProductos[Agrupación]=ProductosPivot!MAX5)</f>
        <v>#VALUE!</v>
      </c>
      <c r="MAY6" s="68" t="e" cm="1" vm="1">
        <f t="array" ref="MAY6">_xlfn._xlws.FILTER(TablaProductos[Nombre producto],TablaProductos[Agrupación]=ProductosPivot!MAY5)</f>
        <v>#VALUE!</v>
      </c>
      <c r="MAZ6" s="68" t="e" cm="1" vm="1">
        <f t="array" ref="MAZ6">_xlfn._xlws.FILTER(TablaProductos[Nombre producto],TablaProductos[Agrupación]=ProductosPivot!MAZ5)</f>
        <v>#VALUE!</v>
      </c>
      <c r="MBA6" s="68" t="e" cm="1" vm="1">
        <f t="array" ref="MBA6">_xlfn._xlws.FILTER(TablaProductos[Nombre producto],TablaProductos[Agrupación]=ProductosPivot!MBA5)</f>
        <v>#VALUE!</v>
      </c>
      <c r="MBB6" s="68" t="e" cm="1" vm="1">
        <f t="array" ref="MBB6">_xlfn._xlws.FILTER(TablaProductos[Nombre producto],TablaProductos[Agrupación]=ProductosPivot!MBB5)</f>
        <v>#VALUE!</v>
      </c>
      <c r="MBC6" s="68" t="e" cm="1" vm="1">
        <f t="array" ref="MBC6">_xlfn._xlws.FILTER(TablaProductos[Nombre producto],TablaProductos[Agrupación]=ProductosPivot!MBC5)</f>
        <v>#VALUE!</v>
      </c>
      <c r="MBD6" s="68" t="e" cm="1" vm="1">
        <f t="array" ref="MBD6">_xlfn._xlws.FILTER(TablaProductos[Nombre producto],TablaProductos[Agrupación]=ProductosPivot!MBD5)</f>
        <v>#VALUE!</v>
      </c>
      <c r="MBE6" s="68" t="e" cm="1" vm="1">
        <f t="array" ref="MBE6">_xlfn._xlws.FILTER(TablaProductos[Nombre producto],TablaProductos[Agrupación]=ProductosPivot!MBE5)</f>
        <v>#VALUE!</v>
      </c>
      <c r="MBF6" s="68" t="e" cm="1" vm="1">
        <f t="array" ref="MBF6">_xlfn._xlws.FILTER(TablaProductos[Nombre producto],TablaProductos[Agrupación]=ProductosPivot!MBF5)</f>
        <v>#VALUE!</v>
      </c>
      <c r="MBG6" s="68" t="e" cm="1" vm="1">
        <f t="array" ref="MBG6">_xlfn._xlws.FILTER(TablaProductos[Nombre producto],TablaProductos[Agrupación]=ProductosPivot!MBG5)</f>
        <v>#VALUE!</v>
      </c>
      <c r="MBH6" s="68" t="e" cm="1" vm="1">
        <f t="array" ref="MBH6">_xlfn._xlws.FILTER(TablaProductos[Nombre producto],TablaProductos[Agrupación]=ProductosPivot!MBH5)</f>
        <v>#VALUE!</v>
      </c>
      <c r="MBI6" s="68" t="e" cm="1" vm="1">
        <f t="array" ref="MBI6">_xlfn._xlws.FILTER(TablaProductos[Nombre producto],TablaProductos[Agrupación]=ProductosPivot!MBI5)</f>
        <v>#VALUE!</v>
      </c>
      <c r="MBJ6" s="68" t="e" cm="1" vm="1">
        <f t="array" ref="MBJ6">_xlfn._xlws.FILTER(TablaProductos[Nombre producto],TablaProductos[Agrupación]=ProductosPivot!MBJ5)</f>
        <v>#VALUE!</v>
      </c>
      <c r="MBK6" s="68" t="e" cm="1" vm="1">
        <f t="array" ref="MBK6">_xlfn._xlws.FILTER(TablaProductos[Nombre producto],TablaProductos[Agrupación]=ProductosPivot!MBK5)</f>
        <v>#VALUE!</v>
      </c>
      <c r="MBL6" s="68" t="e" cm="1" vm="1">
        <f t="array" ref="MBL6">_xlfn._xlws.FILTER(TablaProductos[Nombre producto],TablaProductos[Agrupación]=ProductosPivot!MBL5)</f>
        <v>#VALUE!</v>
      </c>
      <c r="MBM6" s="68" t="e" cm="1" vm="1">
        <f t="array" ref="MBM6">_xlfn._xlws.FILTER(TablaProductos[Nombre producto],TablaProductos[Agrupación]=ProductosPivot!MBM5)</f>
        <v>#VALUE!</v>
      </c>
      <c r="MBN6" s="68" t="e" cm="1" vm="1">
        <f t="array" ref="MBN6">_xlfn._xlws.FILTER(TablaProductos[Nombre producto],TablaProductos[Agrupación]=ProductosPivot!MBN5)</f>
        <v>#VALUE!</v>
      </c>
      <c r="MBO6" s="68" t="e" cm="1" vm="1">
        <f t="array" ref="MBO6">_xlfn._xlws.FILTER(TablaProductos[Nombre producto],TablaProductos[Agrupación]=ProductosPivot!MBO5)</f>
        <v>#VALUE!</v>
      </c>
      <c r="MBP6" s="68" t="e" cm="1" vm="1">
        <f t="array" ref="MBP6">_xlfn._xlws.FILTER(TablaProductos[Nombre producto],TablaProductos[Agrupación]=ProductosPivot!MBP5)</f>
        <v>#VALUE!</v>
      </c>
      <c r="MBQ6" s="68" t="e" cm="1" vm="1">
        <f t="array" ref="MBQ6">_xlfn._xlws.FILTER(TablaProductos[Nombre producto],TablaProductos[Agrupación]=ProductosPivot!MBQ5)</f>
        <v>#VALUE!</v>
      </c>
      <c r="MBR6" s="68" t="e" cm="1" vm="1">
        <f t="array" ref="MBR6">_xlfn._xlws.FILTER(TablaProductos[Nombre producto],TablaProductos[Agrupación]=ProductosPivot!MBR5)</f>
        <v>#VALUE!</v>
      </c>
      <c r="MBS6" s="68" t="e" cm="1" vm="1">
        <f t="array" ref="MBS6">_xlfn._xlws.FILTER(TablaProductos[Nombre producto],TablaProductos[Agrupación]=ProductosPivot!MBS5)</f>
        <v>#VALUE!</v>
      </c>
      <c r="MBT6" s="68" t="e" cm="1" vm="1">
        <f t="array" ref="MBT6">_xlfn._xlws.FILTER(TablaProductos[Nombre producto],TablaProductos[Agrupación]=ProductosPivot!MBT5)</f>
        <v>#VALUE!</v>
      </c>
      <c r="MBU6" s="68" t="e" cm="1" vm="1">
        <f t="array" ref="MBU6">_xlfn._xlws.FILTER(TablaProductos[Nombre producto],TablaProductos[Agrupación]=ProductosPivot!MBU5)</f>
        <v>#VALUE!</v>
      </c>
      <c r="MBV6" s="68" t="e" cm="1" vm="1">
        <f t="array" ref="MBV6">_xlfn._xlws.FILTER(TablaProductos[Nombre producto],TablaProductos[Agrupación]=ProductosPivot!MBV5)</f>
        <v>#VALUE!</v>
      </c>
      <c r="MBW6" s="68" t="e" cm="1" vm="1">
        <f t="array" ref="MBW6">_xlfn._xlws.FILTER(TablaProductos[Nombre producto],TablaProductos[Agrupación]=ProductosPivot!MBW5)</f>
        <v>#VALUE!</v>
      </c>
      <c r="MBX6" s="68" t="e" cm="1" vm="1">
        <f t="array" ref="MBX6">_xlfn._xlws.FILTER(TablaProductos[Nombre producto],TablaProductos[Agrupación]=ProductosPivot!MBX5)</f>
        <v>#VALUE!</v>
      </c>
      <c r="MBY6" s="68" t="e" cm="1" vm="1">
        <f t="array" ref="MBY6">_xlfn._xlws.FILTER(TablaProductos[Nombre producto],TablaProductos[Agrupación]=ProductosPivot!MBY5)</f>
        <v>#VALUE!</v>
      </c>
      <c r="MBZ6" s="68" t="e" cm="1" vm="1">
        <f t="array" ref="MBZ6">_xlfn._xlws.FILTER(TablaProductos[Nombre producto],TablaProductos[Agrupación]=ProductosPivot!MBZ5)</f>
        <v>#VALUE!</v>
      </c>
      <c r="MCA6" s="68" t="e" cm="1" vm="1">
        <f t="array" ref="MCA6">_xlfn._xlws.FILTER(TablaProductos[Nombre producto],TablaProductos[Agrupación]=ProductosPivot!MCA5)</f>
        <v>#VALUE!</v>
      </c>
      <c r="MCB6" s="68" t="e" cm="1" vm="1">
        <f t="array" ref="MCB6">_xlfn._xlws.FILTER(TablaProductos[Nombre producto],TablaProductos[Agrupación]=ProductosPivot!MCB5)</f>
        <v>#VALUE!</v>
      </c>
      <c r="MCC6" s="68" t="e" cm="1" vm="1">
        <f t="array" ref="MCC6">_xlfn._xlws.FILTER(TablaProductos[Nombre producto],TablaProductos[Agrupación]=ProductosPivot!MCC5)</f>
        <v>#VALUE!</v>
      </c>
      <c r="MCD6" s="68" t="e" cm="1" vm="1">
        <f t="array" ref="MCD6">_xlfn._xlws.FILTER(TablaProductos[Nombre producto],TablaProductos[Agrupación]=ProductosPivot!MCD5)</f>
        <v>#VALUE!</v>
      </c>
      <c r="MCE6" s="68" t="e" cm="1" vm="1">
        <f t="array" ref="MCE6">_xlfn._xlws.FILTER(TablaProductos[Nombre producto],TablaProductos[Agrupación]=ProductosPivot!MCE5)</f>
        <v>#VALUE!</v>
      </c>
      <c r="MCF6" s="68" t="e" cm="1" vm="1">
        <f t="array" ref="MCF6">_xlfn._xlws.FILTER(TablaProductos[Nombre producto],TablaProductos[Agrupación]=ProductosPivot!MCF5)</f>
        <v>#VALUE!</v>
      </c>
      <c r="MCG6" s="68" t="e" cm="1" vm="1">
        <f t="array" ref="MCG6">_xlfn._xlws.FILTER(TablaProductos[Nombre producto],TablaProductos[Agrupación]=ProductosPivot!MCG5)</f>
        <v>#VALUE!</v>
      </c>
      <c r="MCH6" s="68" t="e" cm="1" vm="1">
        <f t="array" ref="MCH6">_xlfn._xlws.FILTER(TablaProductos[Nombre producto],TablaProductos[Agrupación]=ProductosPivot!MCH5)</f>
        <v>#VALUE!</v>
      </c>
      <c r="MCI6" s="68" t="e" cm="1" vm="1">
        <f t="array" ref="MCI6">_xlfn._xlws.FILTER(TablaProductos[Nombre producto],TablaProductos[Agrupación]=ProductosPivot!MCI5)</f>
        <v>#VALUE!</v>
      </c>
      <c r="MCJ6" s="68" t="e" cm="1" vm="1">
        <f t="array" ref="MCJ6">_xlfn._xlws.FILTER(TablaProductos[Nombre producto],TablaProductos[Agrupación]=ProductosPivot!MCJ5)</f>
        <v>#VALUE!</v>
      </c>
      <c r="MCK6" s="68" t="e" cm="1" vm="1">
        <f t="array" ref="MCK6">_xlfn._xlws.FILTER(TablaProductos[Nombre producto],TablaProductos[Agrupación]=ProductosPivot!MCK5)</f>
        <v>#VALUE!</v>
      </c>
      <c r="MCL6" s="68" t="e" cm="1" vm="1">
        <f t="array" ref="MCL6">_xlfn._xlws.FILTER(TablaProductos[Nombre producto],TablaProductos[Agrupación]=ProductosPivot!MCL5)</f>
        <v>#VALUE!</v>
      </c>
      <c r="MCM6" s="68" t="e" cm="1" vm="1">
        <f t="array" ref="MCM6">_xlfn._xlws.FILTER(TablaProductos[Nombre producto],TablaProductos[Agrupación]=ProductosPivot!MCM5)</f>
        <v>#VALUE!</v>
      </c>
      <c r="MCN6" s="68" t="e" cm="1" vm="1">
        <f t="array" ref="MCN6">_xlfn._xlws.FILTER(TablaProductos[Nombre producto],TablaProductos[Agrupación]=ProductosPivot!MCN5)</f>
        <v>#VALUE!</v>
      </c>
      <c r="MCO6" s="68" t="e" cm="1" vm="1">
        <f t="array" ref="MCO6">_xlfn._xlws.FILTER(TablaProductos[Nombre producto],TablaProductos[Agrupación]=ProductosPivot!MCO5)</f>
        <v>#VALUE!</v>
      </c>
      <c r="MCP6" s="68" t="e" cm="1" vm="1">
        <f t="array" ref="MCP6">_xlfn._xlws.FILTER(TablaProductos[Nombre producto],TablaProductos[Agrupación]=ProductosPivot!MCP5)</f>
        <v>#VALUE!</v>
      </c>
      <c r="MCQ6" s="68" t="e" cm="1" vm="1">
        <f t="array" ref="MCQ6">_xlfn._xlws.FILTER(TablaProductos[Nombre producto],TablaProductos[Agrupación]=ProductosPivot!MCQ5)</f>
        <v>#VALUE!</v>
      </c>
      <c r="MCR6" s="68" t="e" cm="1" vm="1">
        <f t="array" ref="MCR6">_xlfn._xlws.FILTER(TablaProductos[Nombre producto],TablaProductos[Agrupación]=ProductosPivot!MCR5)</f>
        <v>#VALUE!</v>
      </c>
      <c r="MCS6" s="68" t="e" cm="1" vm="1">
        <f t="array" ref="MCS6">_xlfn._xlws.FILTER(TablaProductos[Nombre producto],TablaProductos[Agrupación]=ProductosPivot!MCS5)</f>
        <v>#VALUE!</v>
      </c>
      <c r="MCT6" s="68" t="e" cm="1" vm="1">
        <f t="array" ref="MCT6">_xlfn._xlws.FILTER(TablaProductos[Nombre producto],TablaProductos[Agrupación]=ProductosPivot!MCT5)</f>
        <v>#VALUE!</v>
      </c>
      <c r="MCU6" s="68" t="e" cm="1" vm="1">
        <f t="array" ref="MCU6">_xlfn._xlws.FILTER(TablaProductos[Nombre producto],TablaProductos[Agrupación]=ProductosPivot!MCU5)</f>
        <v>#VALUE!</v>
      </c>
      <c r="MCV6" s="68" t="e" cm="1" vm="1">
        <f t="array" ref="MCV6">_xlfn._xlws.FILTER(TablaProductos[Nombre producto],TablaProductos[Agrupación]=ProductosPivot!MCV5)</f>
        <v>#VALUE!</v>
      </c>
      <c r="MCW6" s="68" t="e" cm="1" vm="1">
        <f t="array" ref="MCW6">_xlfn._xlws.FILTER(TablaProductos[Nombre producto],TablaProductos[Agrupación]=ProductosPivot!MCW5)</f>
        <v>#VALUE!</v>
      </c>
      <c r="MCX6" s="68" t="e" cm="1" vm="1">
        <f t="array" ref="MCX6">_xlfn._xlws.FILTER(TablaProductos[Nombre producto],TablaProductos[Agrupación]=ProductosPivot!MCX5)</f>
        <v>#VALUE!</v>
      </c>
      <c r="MCY6" s="68" t="e" cm="1" vm="1">
        <f t="array" ref="MCY6">_xlfn._xlws.FILTER(TablaProductos[Nombre producto],TablaProductos[Agrupación]=ProductosPivot!MCY5)</f>
        <v>#VALUE!</v>
      </c>
      <c r="MCZ6" s="68" t="e" cm="1" vm="1">
        <f t="array" ref="MCZ6">_xlfn._xlws.FILTER(TablaProductos[Nombre producto],TablaProductos[Agrupación]=ProductosPivot!MCZ5)</f>
        <v>#VALUE!</v>
      </c>
      <c r="MDA6" s="68" t="e" cm="1" vm="1">
        <f t="array" ref="MDA6">_xlfn._xlws.FILTER(TablaProductos[Nombre producto],TablaProductos[Agrupación]=ProductosPivot!MDA5)</f>
        <v>#VALUE!</v>
      </c>
      <c r="MDB6" s="68" t="e" cm="1" vm="1">
        <f t="array" ref="MDB6">_xlfn._xlws.FILTER(TablaProductos[Nombre producto],TablaProductos[Agrupación]=ProductosPivot!MDB5)</f>
        <v>#VALUE!</v>
      </c>
      <c r="MDC6" s="68" t="e" cm="1" vm="1">
        <f t="array" ref="MDC6">_xlfn._xlws.FILTER(TablaProductos[Nombre producto],TablaProductos[Agrupación]=ProductosPivot!MDC5)</f>
        <v>#VALUE!</v>
      </c>
      <c r="MDD6" s="68" t="e" cm="1" vm="1">
        <f t="array" ref="MDD6">_xlfn._xlws.FILTER(TablaProductos[Nombre producto],TablaProductos[Agrupación]=ProductosPivot!MDD5)</f>
        <v>#VALUE!</v>
      </c>
      <c r="MDE6" s="68" t="e" cm="1" vm="1">
        <f t="array" ref="MDE6">_xlfn._xlws.FILTER(TablaProductos[Nombre producto],TablaProductos[Agrupación]=ProductosPivot!MDE5)</f>
        <v>#VALUE!</v>
      </c>
      <c r="MDF6" s="68" t="e" cm="1" vm="1">
        <f t="array" ref="MDF6">_xlfn._xlws.FILTER(TablaProductos[Nombre producto],TablaProductos[Agrupación]=ProductosPivot!MDF5)</f>
        <v>#VALUE!</v>
      </c>
      <c r="MDG6" s="68" t="e" cm="1" vm="1">
        <f t="array" ref="MDG6">_xlfn._xlws.FILTER(TablaProductos[Nombre producto],TablaProductos[Agrupación]=ProductosPivot!MDG5)</f>
        <v>#VALUE!</v>
      </c>
      <c r="MDH6" s="68" t="e" cm="1" vm="1">
        <f t="array" ref="MDH6">_xlfn._xlws.FILTER(TablaProductos[Nombre producto],TablaProductos[Agrupación]=ProductosPivot!MDH5)</f>
        <v>#VALUE!</v>
      </c>
      <c r="MDI6" s="68" t="e" cm="1" vm="1">
        <f t="array" ref="MDI6">_xlfn._xlws.FILTER(TablaProductos[Nombre producto],TablaProductos[Agrupación]=ProductosPivot!MDI5)</f>
        <v>#VALUE!</v>
      </c>
      <c r="MDJ6" s="68" t="e" cm="1" vm="1">
        <f t="array" ref="MDJ6">_xlfn._xlws.FILTER(TablaProductos[Nombre producto],TablaProductos[Agrupación]=ProductosPivot!MDJ5)</f>
        <v>#VALUE!</v>
      </c>
      <c r="MDK6" s="68" t="e" cm="1" vm="1">
        <f t="array" ref="MDK6">_xlfn._xlws.FILTER(TablaProductos[Nombre producto],TablaProductos[Agrupación]=ProductosPivot!MDK5)</f>
        <v>#VALUE!</v>
      </c>
      <c r="MDL6" s="68" t="e" cm="1" vm="1">
        <f t="array" ref="MDL6">_xlfn._xlws.FILTER(TablaProductos[Nombre producto],TablaProductos[Agrupación]=ProductosPivot!MDL5)</f>
        <v>#VALUE!</v>
      </c>
      <c r="MDM6" s="68" t="e" cm="1" vm="1">
        <f t="array" ref="MDM6">_xlfn._xlws.FILTER(TablaProductos[Nombre producto],TablaProductos[Agrupación]=ProductosPivot!MDM5)</f>
        <v>#VALUE!</v>
      </c>
      <c r="MDN6" s="68" t="e" cm="1" vm="1">
        <f t="array" ref="MDN6">_xlfn._xlws.FILTER(TablaProductos[Nombre producto],TablaProductos[Agrupación]=ProductosPivot!MDN5)</f>
        <v>#VALUE!</v>
      </c>
      <c r="MDO6" s="68" t="e" cm="1" vm="1">
        <f t="array" ref="MDO6">_xlfn._xlws.FILTER(TablaProductos[Nombre producto],TablaProductos[Agrupación]=ProductosPivot!MDO5)</f>
        <v>#VALUE!</v>
      </c>
      <c r="MDP6" s="68" t="e" cm="1" vm="1">
        <f t="array" ref="MDP6">_xlfn._xlws.FILTER(TablaProductos[Nombre producto],TablaProductos[Agrupación]=ProductosPivot!MDP5)</f>
        <v>#VALUE!</v>
      </c>
      <c r="MDQ6" s="68" t="e" cm="1" vm="1">
        <f t="array" ref="MDQ6">_xlfn._xlws.FILTER(TablaProductos[Nombre producto],TablaProductos[Agrupación]=ProductosPivot!MDQ5)</f>
        <v>#VALUE!</v>
      </c>
      <c r="MDR6" s="68" t="e" cm="1" vm="1">
        <f t="array" ref="MDR6">_xlfn._xlws.FILTER(TablaProductos[Nombre producto],TablaProductos[Agrupación]=ProductosPivot!MDR5)</f>
        <v>#VALUE!</v>
      </c>
      <c r="MDS6" s="68" t="e" cm="1" vm="1">
        <f t="array" ref="MDS6">_xlfn._xlws.FILTER(TablaProductos[Nombre producto],TablaProductos[Agrupación]=ProductosPivot!MDS5)</f>
        <v>#VALUE!</v>
      </c>
      <c r="MDT6" s="68" t="e" cm="1" vm="1">
        <f t="array" ref="MDT6">_xlfn._xlws.FILTER(TablaProductos[Nombre producto],TablaProductos[Agrupación]=ProductosPivot!MDT5)</f>
        <v>#VALUE!</v>
      </c>
      <c r="MDU6" s="68" t="e" cm="1" vm="1">
        <f t="array" ref="MDU6">_xlfn._xlws.FILTER(TablaProductos[Nombre producto],TablaProductos[Agrupación]=ProductosPivot!MDU5)</f>
        <v>#VALUE!</v>
      </c>
      <c r="MDV6" s="68" t="e" cm="1" vm="1">
        <f t="array" ref="MDV6">_xlfn._xlws.FILTER(TablaProductos[Nombre producto],TablaProductos[Agrupación]=ProductosPivot!MDV5)</f>
        <v>#VALUE!</v>
      </c>
      <c r="MDW6" s="68" t="e" cm="1" vm="1">
        <f t="array" ref="MDW6">_xlfn._xlws.FILTER(TablaProductos[Nombre producto],TablaProductos[Agrupación]=ProductosPivot!MDW5)</f>
        <v>#VALUE!</v>
      </c>
      <c r="MDX6" s="68" t="e" cm="1" vm="1">
        <f t="array" ref="MDX6">_xlfn._xlws.FILTER(TablaProductos[Nombre producto],TablaProductos[Agrupación]=ProductosPivot!MDX5)</f>
        <v>#VALUE!</v>
      </c>
      <c r="MDY6" s="68" t="e" cm="1" vm="1">
        <f t="array" ref="MDY6">_xlfn._xlws.FILTER(TablaProductos[Nombre producto],TablaProductos[Agrupación]=ProductosPivot!MDY5)</f>
        <v>#VALUE!</v>
      </c>
      <c r="MDZ6" s="68" t="e" cm="1" vm="1">
        <f t="array" ref="MDZ6">_xlfn._xlws.FILTER(TablaProductos[Nombre producto],TablaProductos[Agrupación]=ProductosPivot!MDZ5)</f>
        <v>#VALUE!</v>
      </c>
      <c r="MEA6" s="68" t="e" cm="1" vm="1">
        <f t="array" ref="MEA6">_xlfn._xlws.FILTER(TablaProductos[Nombre producto],TablaProductos[Agrupación]=ProductosPivot!MEA5)</f>
        <v>#VALUE!</v>
      </c>
      <c r="MEB6" s="68" t="e" cm="1" vm="1">
        <f t="array" ref="MEB6">_xlfn._xlws.FILTER(TablaProductos[Nombre producto],TablaProductos[Agrupación]=ProductosPivot!MEB5)</f>
        <v>#VALUE!</v>
      </c>
      <c r="MEC6" s="68" t="e" cm="1" vm="1">
        <f t="array" ref="MEC6">_xlfn._xlws.FILTER(TablaProductos[Nombre producto],TablaProductos[Agrupación]=ProductosPivot!MEC5)</f>
        <v>#VALUE!</v>
      </c>
      <c r="MED6" s="68" t="e" cm="1" vm="1">
        <f t="array" ref="MED6">_xlfn._xlws.FILTER(TablaProductos[Nombre producto],TablaProductos[Agrupación]=ProductosPivot!MED5)</f>
        <v>#VALUE!</v>
      </c>
      <c r="MEE6" s="68" t="e" cm="1" vm="1">
        <f t="array" ref="MEE6">_xlfn._xlws.FILTER(TablaProductos[Nombre producto],TablaProductos[Agrupación]=ProductosPivot!MEE5)</f>
        <v>#VALUE!</v>
      </c>
      <c r="MEF6" s="68" t="e" cm="1" vm="1">
        <f t="array" ref="MEF6">_xlfn._xlws.FILTER(TablaProductos[Nombre producto],TablaProductos[Agrupación]=ProductosPivot!MEF5)</f>
        <v>#VALUE!</v>
      </c>
      <c r="MEG6" s="68" t="e" cm="1" vm="1">
        <f t="array" ref="MEG6">_xlfn._xlws.FILTER(TablaProductos[Nombre producto],TablaProductos[Agrupación]=ProductosPivot!MEG5)</f>
        <v>#VALUE!</v>
      </c>
      <c r="MEH6" s="68" t="e" cm="1" vm="1">
        <f t="array" ref="MEH6">_xlfn._xlws.FILTER(TablaProductos[Nombre producto],TablaProductos[Agrupación]=ProductosPivot!MEH5)</f>
        <v>#VALUE!</v>
      </c>
      <c r="MEI6" s="68" t="e" cm="1" vm="1">
        <f t="array" ref="MEI6">_xlfn._xlws.FILTER(TablaProductos[Nombre producto],TablaProductos[Agrupación]=ProductosPivot!MEI5)</f>
        <v>#VALUE!</v>
      </c>
      <c r="MEJ6" s="68" t="e" cm="1" vm="1">
        <f t="array" ref="MEJ6">_xlfn._xlws.FILTER(TablaProductos[Nombre producto],TablaProductos[Agrupación]=ProductosPivot!MEJ5)</f>
        <v>#VALUE!</v>
      </c>
      <c r="MEK6" s="68" t="e" cm="1" vm="1">
        <f t="array" ref="MEK6">_xlfn._xlws.FILTER(TablaProductos[Nombre producto],TablaProductos[Agrupación]=ProductosPivot!MEK5)</f>
        <v>#VALUE!</v>
      </c>
      <c r="MEL6" s="68" t="e" cm="1" vm="1">
        <f t="array" ref="MEL6">_xlfn._xlws.FILTER(TablaProductos[Nombre producto],TablaProductos[Agrupación]=ProductosPivot!MEL5)</f>
        <v>#VALUE!</v>
      </c>
      <c r="MEM6" s="68" t="e" cm="1" vm="1">
        <f t="array" ref="MEM6">_xlfn._xlws.FILTER(TablaProductos[Nombre producto],TablaProductos[Agrupación]=ProductosPivot!MEM5)</f>
        <v>#VALUE!</v>
      </c>
      <c r="MEN6" s="68" t="e" cm="1" vm="1">
        <f t="array" ref="MEN6">_xlfn._xlws.FILTER(TablaProductos[Nombre producto],TablaProductos[Agrupación]=ProductosPivot!MEN5)</f>
        <v>#VALUE!</v>
      </c>
      <c r="MEO6" s="68" t="e" cm="1" vm="1">
        <f t="array" ref="MEO6">_xlfn._xlws.FILTER(TablaProductos[Nombre producto],TablaProductos[Agrupación]=ProductosPivot!MEO5)</f>
        <v>#VALUE!</v>
      </c>
      <c r="MEP6" s="68" t="e" cm="1" vm="1">
        <f t="array" ref="MEP6">_xlfn._xlws.FILTER(TablaProductos[Nombre producto],TablaProductos[Agrupación]=ProductosPivot!MEP5)</f>
        <v>#VALUE!</v>
      </c>
      <c r="MEQ6" s="68" t="e" cm="1" vm="1">
        <f t="array" ref="MEQ6">_xlfn._xlws.FILTER(TablaProductos[Nombre producto],TablaProductos[Agrupación]=ProductosPivot!MEQ5)</f>
        <v>#VALUE!</v>
      </c>
      <c r="MER6" s="68" t="e" cm="1" vm="1">
        <f t="array" ref="MER6">_xlfn._xlws.FILTER(TablaProductos[Nombre producto],TablaProductos[Agrupación]=ProductosPivot!MER5)</f>
        <v>#VALUE!</v>
      </c>
      <c r="MES6" s="68" t="e" cm="1" vm="1">
        <f t="array" ref="MES6">_xlfn._xlws.FILTER(TablaProductos[Nombre producto],TablaProductos[Agrupación]=ProductosPivot!MES5)</f>
        <v>#VALUE!</v>
      </c>
      <c r="MET6" s="68" t="e" cm="1" vm="1">
        <f t="array" ref="MET6">_xlfn._xlws.FILTER(TablaProductos[Nombre producto],TablaProductos[Agrupación]=ProductosPivot!MET5)</f>
        <v>#VALUE!</v>
      </c>
      <c r="MEU6" s="68" t="e" cm="1" vm="1">
        <f t="array" ref="MEU6">_xlfn._xlws.FILTER(TablaProductos[Nombre producto],TablaProductos[Agrupación]=ProductosPivot!MEU5)</f>
        <v>#VALUE!</v>
      </c>
      <c r="MEV6" s="68" t="e" cm="1" vm="1">
        <f t="array" ref="MEV6">_xlfn._xlws.FILTER(TablaProductos[Nombre producto],TablaProductos[Agrupación]=ProductosPivot!MEV5)</f>
        <v>#VALUE!</v>
      </c>
      <c r="MEW6" s="68" t="e" cm="1" vm="1">
        <f t="array" ref="MEW6">_xlfn._xlws.FILTER(TablaProductos[Nombre producto],TablaProductos[Agrupación]=ProductosPivot!MEW5)</f>
        <v>#VALUE!</v>
      </c>
      <c r="MEX6" s="68" t="e" cm="1" vm="1">
        <f t="array" ref="MEX6">_xlfn._xlws.FILTER(TablaProductos[Nombre producto],TablaProductos[Agrupación]=ProductosPivot!MEX5)</f>
        <v>#VALUE!</v>
      </c>
      <c r="MEY6" s="68" t="e" cm="1" vm="1">
        <f t="array" ref="MEY6">_xlfn._xlws.FILTER(TablaProductos[Nombre producto],TablaProductos[Agrupación]=ProductosPivot!MEY5)</f>
        <v>#VALUE!</v>
      </c>
      <c r="MEZ6" s="68" t="e" cm="1" vm="1">
        <f t="array" ref="MEZ6">_xlfn._xlws.FILTER(TablaProductos[Nombre producto],TablaProductos[Agrupación]=ProductosPivot!MEZ5)</f>
        <v>#VALUE!</v>
      </c>
      <c r="MFA6" s="68" t="e" cm="1" vm="1">
        <f t="array" ref="MFA6">_xlfn._xlws.FILTER(TablaProductos[Nombre producto],TablaProductos[Agrupación]=ProductosPivot!MFA5)</f>
        <v>#VALUE!</v>
      </c>
      <c r="MFB6" s="68" t="e" cm="1" vm="1">
        <f t="array" ref="MFB6">_xlfn._xlws.FILTER(TablaProductos[Nombre producto],TablaProductos[Agrupación]=ProductosPivot!MFB5)</f>
        <v>#VALUE!</v>
      </c>
      <c r="MFC6" s="68" t="e" cm="1" vm="1">
        <f t="array" ref="MFC6">_xlfn._xlws.FILTER(TablaProductos[Nombre producto],TablaProductos[Agrupación]=ProductosPivot!MFC5)</f>
        <v>#VALUE!</v>
      </c>
      <c r="MFD6" s="68" t="e" cm="1" vm="1">
        <f t="array" ref="MFD6">_xlfn._xlws.FILTER(TablaProductos[Nombre producto],TablaProductos[Agrupación]=ProductosPivot!MFD5)</f>
        <v>#VALUE!</v>
      </c>
      <c r="MFE6" s="68" t="e" cm="1" vm="1">
        <f t="array" ref="MFE6">_xlfn._xlws.FILTER(TablaProductos[Nombre producto],TablaProductos[Agrupación]=ProductosPivot!MFE5)</f>
        <v>#VALUE!</v>
      </c>
      <c r="MFF6" s="68" t="e" cm="1" vm="1">
        <f t="array" ref="MFF6">_xlfn._xlws.FILTER(TablaProductos[Nombre producto],TablaProductos[Agrupación]=ProductosPivot!MFF5)</f>
        <v>#VALUE!</v>
      </c>
      <c r="MFG6" s="68" t="e" cm="1" vm="1">
        <f t="array" ref="MFG6">_xlfn._xlws.FILTER(TablaProductos[Nombre producto],TablaProductos[Agrupación]=ProductosPivot!MFG5)</f>
        <v>#VALUE!</v>
      </c>
      <c r="MFH6" s="68" t="e" cm="1" vm="1">
        <f t="array" ref="MFH6">_xlfn._xlws.FILTER(TablaProductos[Nombre producto],TablaProductos[Agrupación]=ProductosPivot!MFH5)</f>
        <v>#VALUE!</v>
      </c>
      <c r="MFI6" s="68" t="e" cm="1" vm="1">
        <f t="array" ref="MFI6">_xlfn._xlws.FILTER(TablaProductos[Nombre producto],TablaProductos[Agrupación]=ProductosPivot!MFI5)</f>
        <v>#VALUE!</v>
      </c>
      <c r="MFJ6" s="68" t="e" cm="1" vm="1">
        <f t="array" ref="MFJ6">_xlfn._xlws.FILTER(TablaProductos[Nombre producto],TablaProductos[Agrupación]=ProductosPivot!MFJ5)</f>
        <v>#VALUE!</v>
      </c>
      <c r="MFK6" s="68" t="e" cm="1" vm="1">
        <f t="array" ref="MFK6">_xlfn._xlws.FILTER(TablaProductos[Nombre producto],TablaProductos[Agrupación]=ProductosPivot!MFK5)</f>
        <v>#VALUE!</v>
      </c>
      <c r="MFL6" s="68" t="e" cm="1" vm="1">
        <f t="array" ref="MFL6">_xlfn._xlws.FILTER(TablaProductos[Nombre producto],TablaProductos[Agrupación]=ProductosPivot!MFL5)</f>
        <v>#VALUE!</v>
      </c>
      <c r="MFM6" s="68" t="e" cm="1" vm="1">
        <f t="array" ref="MFM6">_xlfn._xlws.FILTER(TablaProductos[Nombre producto],TablaProductos[Agrupación]=ProductosPivot!MFM5)</f>
        <v>#VALUE!</v>
      </c>
      <c r="MFN6" s="68" t="e" cm="1" vm="1">
        <f t="array" ref="MFN6">_xlfn._xlws.FILTER(TablaProductos[Nombre producto],TablaProductos[Agrupación]=ProductosPivot!MFN5)</f>
        <v>#VALUE!</v>
      </c>
      <c r="MFO6" s="68" t="e" cm="1" vm="1">
        <f t="array" ref="MFO6">_xlfn._xlws.FILTER(TablaProductos[Nombre producto],TablaProductos[Agrupación]=ProductosPivot!MFO5)</f>
        <v>#VALUE!</v>
      </c>
      <c r="MFP6" s="68" t="e" cm="1" vm="1">
        <f t="array" ref="MFP6">_xlfn._xlws.FILTER(TablaProductos[Nombre producto],TablaProductos[Agrupación]=ProductosPivot!MFP5)</f>
        <v>#VALUE!</v>
      </c>
      <c r="MFQ6" s="68" t="e" cm="1" vm="1">
        <f t="array" ref="MFQ6">_xlfn._xlws.FILTER(TablaProductos[Nombre producto],TablaProductos[Agrupación]=ProductosPivot!MFQ5)</f>
        <v>#VALUE!</v>
      </c>
      <c r="MFR6" s="68" t="e" cm="1" vm="1">
        <f t="array" ref="MFR6">_xlfn._xlws.FILTER(TablaProductos[Nombre producto],TablaProductos[Agrupación]=ProductosPivot!MFR5)</f>
        <v>#VALUE!</v>
      </c>
      <c r="MFS6" s="68" t="e" cm="1" vm="1">
        <f t="array" ref="MFS6">_xlfn._xlws.FILTER(TablaProductos[Nombre producto],TablaProductos[Agrupación]=ProductosPivot!MFS5)</f>
        <v>#VALUE!</v>
      </c>
      <c r="MFT6" s="68" t="e" cm="1" vm="1">
        <f t="array" ref="MFT6">_xlfn._xlws.FILTER(TablaProductos[Nombre producto],TablaProductos[Agrupación]=ProductosPivot!MFT5)</f>
        <v>#VALUE!</v>
      </c>
      <c r="MFU6" s="68" t="e" cm="1" vm="1">
        <f t="array" ref="MFU6">_xlfn._xlws.FILTER(TablaProductos[Nombre producto],TablaProductos[Agrupación]=ProductosPivot!MFU5)</f>
        <v>#VALUE!</v>
      </c>
      <c r="MFV6" s="68" t="e" cm="1" vm="1">
        <f t="array" ref="MFV6">_xlfn._xlws.FILTER(TablaProductos[Nombre producto],TablaProductos[Agrupación]=ProductosPivot!MFV5)</f>
        <v>#VALUE!</v>
      </c>
      <c r="MFW6" s="68" t="e" cm="1" vm="1">
        <f t="array" ref="MFW6">_xlfn._xlws.FILTER(TablaProductos[Nombre producto],TablaProductos[Agrupación]=ProductosPivot!MFW5)</f>
        <v>#VALUE!</v>
      </c>
      <c r="MFX6" s="68" t="e" cm="1" vm="1">
        <f t="array" ref="MFX6">_xlfn._xlws.FILTER(TablaProductos[Nombre producto],TablaProductos[Agrupación]=ProductosPivot!MFX5)</f>
        <v>#VALUE!</v>
      </c>
      <c r="MFY6" s="68" t="e" cm="1" vm="1">
        <f t="array" ref="MFY6">_xlfn._xlws.FILTER(TablaProductos[Nombre producto],TablaProductos[Agrupación]=ProductosPivot!MFY5)</f>
        <v>#VALUE!</v>
      </c>
      <c r="MFZ6" s="68" t="e" cm="1" vm="1">
        <f t="array" ref="MFZ6">_xlfn._xlws.FILTER(TablaProductos[Nombre producto],TablaProductos[Agrupación]=ProductosPivot!MFZ5)</f>
        <v>#VALUE!</v>
      </c>
      <c r="MGA6" s="68" t="e" cm="1" vm="1">
        <f t="array" ref="MGA6">_xlfn._xlws.FILTER(TablaProductos[Nombre producto],TablaProductos[Agrupación]=ProductosPivot!MGA5)</f>
        <v>#VALUE!</v>
      </c>
      <c r="MGB6" s="68" t="e" cm="1" vm="1">
        <f t="array" ref="MGB6">_xlfn._xlws.FILTER(TablaProductos[Nombre producto],TablaProductos[Agrupación]=ProductosPivot!MGB5)</f>
        <v>#VALUE!</v>
      </c>
      <c r="MGC6" s="68" t="e" cm="1" vm="1">
        <f t="array" ref="MGC6">_xlfn._xlws.FILTER(TablaProductos[Nombre producto],TablaProductos[Agrupación]=ProductosPivot!MGC5)</f>
        <v>#VALUE!</v>
      </c>
      <c r="MGD6" s="68" t="e" cm="1" vm="1">
        <f t="array" ref="MGD6">_xlfn._xlws.FILTER(TablaProductos[Nombre producto],TablaProductos[Agrupación]=ProductosPivot!MGD5)</f>
        <v>#VALUE!</v>
      </c>
      <c r="MGE6" s="68" t="e" cm="1" vm="1">
        <f t="array" ref="MGE6">_xlfn._xlws.FILTER(TablaProductos[Nombre producto],TablaProductos[Agrupación]=ProductosPivot!MGE5)</f>
        <v>#VALUE!</v>
      </c>
      <c r="MGF6" s="68" t="e" cm="1" vm="1">
        <f t="array" ref="MGF6">_xlfn._xlws.FILTER(TablaProductos[Nombre producto],TablaProductos[Agrupación]=ProductosPivot!MGF5)</f>
        <v>#VALUE!</v>
      </c>
      <c r="MGG6" s="68" t="e" cm="1" vm="1">
        <f t="array" ref="MGG6">_xlfn._xlws.FILTER(TablaProductos[Nombre producto],TablaProductos[Agrupación]=ProductosPivot!MGG5)</f>
        <v>#VALUE!</v>
      </c>
      <c r="MGH6" s="68" t="e" cm="1" vm="1">
        <f t="array" ref="MGH6">_xlfn._xlws.FILTER(TablaProductos[Nombre producto],TablaProductos[Agrupación]=ProductosPivot!MGH5)</f>
        <v>#VALUE!</v>
      </c>
      <c r="MGI6" s="68" t="e" cm="1" vm="1">
        <f t="array" ref="MGI6">_xlfn._xlws.FILTER(TablaProductos[Nombre producto],TablaProductos[Agrupación]=ProductosPivot!MGI5)</f>
        <v>#VALUE!</v>
      </c>
      <c r="MGJ6" s="68" t="e" cm="1" vm="1">
        <f t="array" ref="MGJ6">_xlfn._xlws.FILTER(TablaProductos[Nombre producto],TablaProductos[Agrupación]=ProductosPivot!MGJ5)</f>
        <v>#VALUE!</v>
      </c>
      <c r="MGK6" s="68" t="e" cm="1" vm="1">
        <f t="array" ref="MGK6">_xlfn._xlws.FILTER(TablaProductos[Nombre producto],TablaProductos[Agrupación]=ProductosPivot!MGK5)</f>
        <v>#VALUE!</v>
      </c>
      <c r="MGL6" s="68" t="e" cm="1" vm="1">
        <f t="array" ref="MGL6">_xlfn._xlws.FILTER(TablaProductos[Nombre producto],TablaProductos[Agrupación]=ProductosPivot!MGL5)</f>
        <v>#VALUE!</v>
      </c>
      <c r="MGM6" s="68" t="e" cm="1" vm="1">
        <f t="array" ref="MGM6">_xlfn._xlws.FILTER(TablaProductos[Nombre producto],TablaProductos[Agrupación]=ProductosPivot!MGM5)</f>
        <v>#VALUE!</v>
      </c>
      <c r="MGN6" s="68" t="e" cm="1" vm="1">
        <f t="array" ref="MGN6">_xlfn._xlws.FILTER(TablaProductos[Nombre producto],TablaProductos[Agrupación]=ProductosPivot!MGN5)</f>
        <v>#VALUE!</v>
      </c>
      <c r="MGO6" s="68" t="e" cm="1" vm="1">
        <f t="array" ref="MGO6">_xlfn._xlws.FILTER(TablaProductos[Nombre producto],TablaProductos[Agrupación]=ProductosPivot!MGO5)</f>
        <v>#VALUE!</v>
      </c>
      <c r="MGP6" s="68" t="e" cm="1" vm="1">
        <f t="array" ref="MGP6">_xlfn._xlws.FILTER(TablaProductos[Nombre producto],TablaProductos[Agrupación]=ProductosPivot!MGP5)</f>
        <v>#VALUE!</v>
      </c>
      <c r="MGQ6" s="68" t="e" cm="1" vm="1">
        <f t="array" ref="MGQ6">_xlfn._xlws.FILTER(TablaProductos[Nombre producto],TablaProductos[Agrupación]=ProductosPivot!MGQ5)</f>
        <v>#VALUE!</v>
      </c>
      <c r="MGR6" s="68" t="e" cm="1" vm="1">
        <f t="array" ref="MGR6">_xlfn._xlws.FILTER(TablaProductos[Nombre producto],TablaProductos[Agrupación]=ProductosPivot!MGR5)</f>
        <v>#VALUE!</v>
      </c>
      <c r="MGS6" s="68" t="e" cm="1" vm="1">
        <f t="array" ref="MGS6">_xlfn._xlws.FILTER(TablaProductos[Nombre producto],TablaProductos[Agrupación]=ProductosPivot!MGS5)</f>
        <v>#VALUE!</v>
      </c>
      <c r="MGT6" s="68" t="e" cm="1" vm="1">
        <f t="array" ref="MGT6">_xlfn._xlws.FILTER(TablaProductos[Nombre producto],TablaProductos[Agrupación]=ProductosPivot!MGT5)</f>
        <v>#VALUE!</v>
      </c>
      <c r="MGU6" s="68" t="e" cm="1" vm="1">
        <f t="array" ref="MGU6">_xlfn._xlws.FILTER(TablaProductos[Nombre producto],TablaProductos[Agrupación]=ProductosPivot!MGU5)</f>
        <v>#VALUE!</v>
      </c>
      <c r="MGV6" s="68" t="e" cm="1" vm="1">
        <f t="array" ref="MGV6">_xlfn._xlws.FILTER(TablaProductos[Nombre producto],TablaProductos[Agrupación]=ProductosPivot!MGV5)</f>
        <v>#VALUE!</v>
      </c>
      <c r="MGW6" s="68" t="e" cm="1" vm="1">
        <f t="array" ref="MGW6">_xlfn._xlws.FILTER(TablaProductos[Nombre producto],TablaProductos[Agrupación]=ProductosPivot!MGW5)</f>
        <v>#VALUE!</v>
      </c>
      <c r="MGX6" s="68" t="e" cm="1" vm="1">
        <f t="array" ref="MGX6">_xlfn._xlws.FILTER(TablaProductos[Nombre producto],TablaProductos[Agrupación]=ProductosPivot!MGX5)</f>
        <v>#VALUE!</v>
      </c>
      <c r="MGY6" s="68" t="e" cm="1" vm="1">
        <f t="array" ref="MGY6">_xlfn._xlws.FILTER(TablaProductos[Nombre producto],TablaProductos[Agrupación]=ProductosPivot!MGY5)</f>
        <v>#VALUE!</v>
      </c>
      <c r="MGZ6" s="68" t="e" cm="1" vm="1">
        <f t="array" ref="MGZ6">_xlfn._xlws.FILTER(TablaProductos[Nombre producto],TablaProductos[Agrupación]=ProductosPivot!MGZ5)</f>
        <v>#VALUE!</v>
      </c>
      <c r="MHA6" s="68" t="e" cm="1" vm="1">
        <f t="array" ref="MHA6">_xlfn._xlws.FILTER(TablaProductos[Nombre producto],TablaProductos[Agrupación]=ProductosPivot!MHA5)</f>
        <v>#VALUE!</v>
      </c>
      <c r="MHB6" s="68" t="e" cm="1" vm="1">
        <f t="array" ref="MHB6">_xlfn._xlws.FILTER(TablaProductos[Nombre producto],TablaProductos[Agrupación]=ProductosPivot!MHB5)</f>
        <v>#VALUE!</v>
      </c>
      <c r="MHC6" s="68" t="e" cm="1" vm="1">
        <f t="array" ref="MHC6">_xlfn._xlws.FILTER(TablaProductos[Nombre producto],TablaProductos[Agrupación]=ProductosPivot!MHC5)</f>
        <v>#VALUE!</v>
      </c>
      <c r="MHD6" s="68" t="e" cm="1" vm="1">
        <f t="array" ref="MHD6">_xlfn._xlws.FILTER(TablaProductos[Nombre producto],TablaProductos[Agrupación]=ProductosPivot!MHD5)</f>
        <v>#VALUE!</v>
      </c>
      <c r="MHE6" s="68" t="e" cm="1" vm="1">
        <f t="array" ref="MHE6">_xlfn._xlws.FILTER(TablaProductos[Nombre producto],TablaProductos[Agrupación]=ProductosPivot!MHE5)</f>
        <v>#VALUE!</v>
      </c>
      <c r="MHF6" s="68" t="e" cm="1" vm="1">
        <f t="array" ref="MHF6">_xlfn._xlws.FILTER(TablaProductos[Nombre producto],TablaProductos[Agrupación]=ProductosPivot!MHF5)</f>
        <v>#VALUE!</v>
      </c>
      <c r="MHG6" s="68" t="e" cm="1" vm="1">
        <f t="array" ref="MHG6">_xlfn._xlws.FILTER(TablaProductos[Nombre producto],TablaProductos[Agrupación]=ProductosPivot!MHG5)</f>
        <v>#VALUE!</v>
      </c>
      <c r="MHH6" s="68" t="e" cm="1" vm="1">
        <f t="array" ref="MHH6">_xlfn._xlws.FILTER(TablaProductos[Nombre producto],TablaProductos[Agrupación]=ProductosPivot!MHH5)</f>
        <v>#VALUE!</v>
      </c>
      <c r="MHI6" s="68" t="e" cm="1" vm="1">
        <f t="array" ref="MHI6">_xlfn._xlws.FILTER(TablaProductos[Nombre producto],TablaProductos[Agrupación]=ProductosPivot!MHI5)</f>
        <v>#VALUE!</v>
      </c>
      <c r="MHJ6" s="68" t="e" cm="1" vm="1">
        <f t="array" ref="MHJ6">_xlfn._xlws.FILTER(TablaProductos[Nombre producto],TablaProductos[Agrupación]=ProductosPivot!MHJ5)</f>
        <v>#VALUE!</v>
      </c>
      <c r="MHK6" s="68" t="e" cm="1" vm="1">
        <f t="array" ref="MHK6">_xlfn._xlws.FILTER(TablaProductos[Nombre producto],TablaProductos[Agrupación]=ProductosPivot!MHK5)</f>
        <v>#VALUE!</v>
      </c>
      <c r="MHL6" s="68" t="e" cm="1" vm="1">
        <f t="array" ref="MHL6">_xlfn._xlws.FILTER(TablaProductos[Nombre producto],TablaProductos[Agrupación]=ProductosPivot!MHL5)</f>
        <v>#VALUE!</v>
      </c>
      <c r="MHM6" s="68" t="e" cm="1" vm="1">
        <f t="array" ref="MHM6">_xlfn._xlws.FILTER(TablaProductos[Nombre producto],TablaProductos[Agrupación]=ProductosPivot!MHM5)</f>
        <v>#VALUE!</v>
      </c>
      <c r="MHN6" s="68" t="e" cm="1" vm="1">
        <f t="array" ref="MHN6">_xlfn._xlws.FILTER(TablaProductos[Nombre producto],TablaProductos[Agrupación]=ProductosPivot!MHN5)</f>
        <v>#VALUE!</v>
      </c>
      <c r="MHO6" s="68" t="e" cm="1" vm="1">
        <f t="array" ref="MHO6">_xlfn._xlws.FILTER(TablaProductos[Nombre producto],TablaProductos[Agrupación]=ProductosPivot!MHO5)</f>
        <v>#VALUE!</v>
      </c>
      <c r="MHP6" s="68" t="e" cm="1" vm="1">
        <f t="array" ref="MHP6">_xlfn._xlws.FILTER(TablaProductos[Nombre producto],TablaProductos[Agrupación]=ProductosPivot!MHP5)</f>
        <v>#VALUE!</v>
      </c>
      <c r="MHQ6" s="68" t="e" cm="1" vm="1">
        <f t="array" ref="MHQ6">_xlfn._xlws.FILTER(TablaProductos[Nombre producto],TablaProductos[Agrupación]=ProductosPivot!MHQ5)</f>
        <v>#VALUE!</v>
      </c>
      <c r="MHR6" s="68" t="e" cm="1" vm="1">
        <f t="array" ref="MHR6">_xlfn._xlws.FILTER(TablaProductos[Nombre producto],TablaProductos[Agrupación]=ProductosPivot!MHR5)</f>
        <v>#VALUE!</v>
      </c>
      <c r="MHS6" s="68" t="e" cm="1" vm="1">
        <f t="array" ref="MHS6">_xlfn._xlws.FILTER(TablaProductos[Nombre producto],TablaProductos[Agrupación]=ProductosPivot!MHS5)</f>
        <v>#VALUE!</v>
      </c>
      <c r="MHT6" s="68" t="e" cm="1" vm="1">
        <f t="array" ref="MHT6">_xlfn._xlws.FILTER(TablaProductos[Nombre producto],TablaProductos[Agrupación]=ProductosPivot!MHT5)</f>
        <v>#VALUE!</v>
      </c>
      <c r="MHU6" s="68" t="e" cm="1" vm="1">
        <f t="array" ref="MHU6">_xlfn._xlws.FILTER(TablaProductos[Nombre producto],TablaProductos[Agrupación]=ProductosPivot!MHU5)</f>
        <v>#VALUE!</v>
      </c>
      <c r="MHV6" s="68" t="e" cm="1" vm="1">
        <f t="array" ref="MHV6">_xlfn._xlws.FILTER(TablaProductos[Nombre producto],TablaProductos[Agrupación]=ProductosPivot!MHV5)</f>
        <v>#VALUE!</v>
      </c>
      <c r="MHW6" s="68" t="e" cm="1" vm="1">
        <f t="array" ref="MHW6">_xlfn._xlws.FILTER(TablaProductos[Nombre producto],TablaProductos[Agrupación]=ProductosPivot!MHW5)</f>
        <v>#VALUE!</v>
      </c>
      <c r="MHX6" s="68" t="e" cm="1" vm="1">
        <f t="array" ref="MHX6">_xlfn._xlws.FILTER(TablaProductos[Nombre producto],TablaProductos[Agrupación]=ProductosPivot!MHX5)</f>
        <v>#VALUE!</v>
      </c>
      <c r="MHY6" s="68" t="e" cm="1" vm="1">
        <f t="array" ref="MHY6">_xlfn._xlws.FILTER(TablaProductos[Nombre producto],TablaProductos[Agrupación]=ProductosPivot!MHY5)</f>
        <v>#VALUE!</v>
      </c>
      <c r="MHZ6" s="68" t="e" cm="1" vm="1">
        <f t="array" ref="MHZ6">_xlfn._xlws.FILTER(TablaProductos[Nombre producto],TablaProductos[Agrupación]=ProductosPivot!MHZ5)</f>
        <v>#VALUE!</v>
      </c>
      <c r="MIA6" s="68" t="e" cm="1" vm="1">
        <f t="array" ref="MIA6">_xlfn._xlws.FILTER(TablaProductos[Nombre producto],TablaProductos[Agrupación]=ProductosPivot!MIA5)</f>
        <v>#VALUE!</v>
      </c>
      <c r="MIB6" s="68" t="e" cm="1" vm="1">
        <f t="array" ref="MIB6">_xlfn._xlws.FILTER(TablaProductos[Nombre producto],TablaProductos[Agrupación]=ProductosPivot!MIB5)</f>
        <v>#VALUE!</v>
      </c>
      <c r="MIC6" s="68" t="e" cm="1" vm="1">
        <f t="array" ref="MIC6">_xlfn._xlws.FILTER(TablaProductos[Nombre producto],TablaProductos[Agrupación]=ProductosPivot!MIC5)</f>
        <v>#VALUE!</v>
      </c>
      <c r="MID6" s="68" t="e" cm="1" vm="1">
        <f t="array" ref="MID6">_xlfn._xlws.FILTER(TablaProductos[Nombre producto],TablaProductos[Agrupación]=ProductosPivot!MID5)</f>
        <v>#VALUE!</v>
      </c>
      <c r="MIE6" s="68" t="e" cm="1" vm="1">
        <f t="array" ref="MIE6">_xlfn._xlws.FILTER(TablaProductos[Nombre producto],TablaProductos[Agrupación]=ProductosPivot!MIE5)</f>
        <v>#VALUE!</v>
      </c>
      <c r="MIF6" s="68" t="e" cm="1" vm="1">
        <f t="array" ref="MIF6">_xlfn._xlws.FILTER(TablaProductos[Nombre producto],TablaProductos[Agrupación]=ProductosPivot!MIF5)</f>
        <v>#VALUE!</v>
      </c>
      <c r="MIG6" s="68" t="e" cm="1" vm="1">
        <f t="array" ref="MIG6">_xlfn._xlws.FILTER(TablaProductos[Nombre producto],TablaProductos[Agrupación]=ProductosPivot!MIG5)</f>
        <v>#VALUE!</v>
      </c>
      <c r="MIH6" s="68" t="e" cm="1" vm="1">
        <f t="array" ref="MIH6">_xlfn._xlws.FILTER(TablaProductos[Nombre producto],TablaProductos[Agrupación]=ProductosPivot!MIH5)</f>
        <v>#VALUE!</v>
      </c>
      <c r="MII6" s="68" t="e" cm="1" vm="1">
        <f t="array" ref="MII6">_xlfn._xlws.FILTER(TablaProductos[Nombre producto],TablaProductos[Agrupación]=ProductosPivot!MII5)</f>
        <v>#VALUE!</v>
      </c>
      <c r="MIJ6" s="68" t="e" cm="1" vm="1">
        <f t="array" ref="MIJ6">_xlfn._xlws.FILTER(TablaProductos[Nombre producto],TablaProductos[Agrupación]=ProductosPivot!MIJ5)</f>
        <v>#VALUE!</v>
      </c>
      <c r="MIK6" s="68" t="e" cm="1" vm="1">
        <f t="array" ref="MIK6">_xlfn._xlws.FILTER(TablaProductos[Nombre producto],TablaProductos[Agrupación]=ProductosPivot!MIK5)</f>
        <v>#VALUE!</v>
      </c>
      <c r="MIL6" s="68" t="e" cm="1" vm="1">
        <f t="array" ref="MIL6">_xlfn._xlws.FILTER(TablaProductos[Nombre producto],TablaProductos[Agrupación]=ProductosPivot!MIL5)</f>
        <v>#VALUE!</v>
      </c>
      <c r="MIM6" s="68" t="e" cm="1" vm="1">
        <f t="array" ref="MIM6">_xlfn._xlws.FILTER(TablaProductos[Nombre producto],TablaProductos[Agrupación]=ProductosPivot!MIM5)</f>
        <v>#VALUE!</v>
      </c>
      <c r="MIN6" s="68" t="e" cm="1" vm="1">
        <f t="array" ref="MIN6">_xlfn._xlws.FILTER(TablaProductos[Nombre producto],TablaProductos[Agrupación]=ProductosPivot!MIN5)</f>
        <v>#VALUE!</v>
      </c>
      <c r="MIO6" s="68" t="e" cm="1" vm="1">
        <f t="array" ref="MIO6">_xlfn._xlws.FILTER(TablaProductos[Nombre producto],TablaProductos[Agrupación]=ProductosPivot!MIO5)</f>
        <v>#VALUE!</v>
      </c>
      <c r="MIP6" s="68" t="e" cm="1" vm="1">
        <f t="array" ref="MIP6">_xlfn._xlws.FILTER(TablaProductos[Nombre producto],TablaProductos[Agrupación]=ProductosPivot!MIP5)</f>
        <v>#VALUE!</v>
      </c>
      <c r="MIQ6" s="68" t="e" cm="1" vm="1">
        <f t="array" ref="MIQ6">_xlfn._xlws.FILTER(TablaProductos[Nombre producto],TablaProductos[Agrupación]=ProductosPivot!MIQ5)</f>
        <v>#VALUE!</v>
      </c>
      <c r="MIR6" s="68" t="e" cm="1" vm="1">
        <f t="array" ref="MIR6">_xlfn._xlws.FILTER(TablaProductos[Nombre producto],TablaProductos[Agrupación]=ProductosPivot!MIR5)</f>
        <v>#VALUE!</v>
      </c>
      <c r="MIS6" s="68" t="e" cm="1" vm="1">
        <f t="array" ref="MIS6">_xlfn._xlws.FILTER(TablaProductos[Nombre producto],TablaProductos[Agrupación]=ProductosPivot!MIS5)</f>
        <v>#VALUE!</v>
      </c>
      <c r="MIT6" s="68" t="e" cm="1" vm="1">
        <f t="array" ref="MIT6">_xlfn._xlws.FILTER(TablaProductos[Nombre producto],TablaProductos[Agrupación]=ProductosPivot!MIT5)</f>
        <v>#VALUE!</v>
      </c>
      <c r="MIU6" s="68" t="e" cm="1" vm="1">
        <f t="array" ref="MIU6">_xlfn._xlws.FILTER(TablaProductos[Nombre producto],TablaProductos[Agrupación]=ProductosPivot!MIU5)</f>
        <v>#VALUE!</v>
      </c>
      <c r="MIV6" s="68" t="e" cm="1" vm="1">
        <f t="array" ref="MIV6">_xlfn._xlws.FILTER(TablaProductos[Nombre producto],TablaProductos[Agrupación]=ProductosPivot!MIV5)</f>
        <v>#VALUE!</v>
      </c>
      <c r="MIW6" s="68" t="e" cm="1" vm="1">
        <f t="array" ref="MIW6">_xlfn._xlws.FILTER(TablaProductos[Nombre producto],TablaProductos[Agrupación]=ProductosPivot!MIW5)</f>
        <v>#VALUE!</v>
      </c>
      <c r="MIX6" s="68" t="e" cm="1" vm="1">
        <f t="array" ref="MIX6">_xlfn._xlws.FILTER(TablaProductos[Nombre producto],TablaProductos[Agrupación]=ProductosPivot!MIX5)</f>
        <v>#VALUE!</v>
      </c>
      <c r="MIY6" s="68" t="e" cm="1" vm="1">
        <f t="array" ref="MIY6">_xlfn._xlws.FILTER(TablaProductos[Nombre producto],TablaProductos[Agrupación]=ProductosPivot!MIY5)</f>
        <v>#VALUE!</v>
      </c>
      <c r="MIZ6" s="68" t="e" cm="1" vm="1">
        <f t="array" ref="MIZ6">_xlfn._xlws.FILTER(TablaProductos[Nombre producto],TablaProductos[Agrupación]=ProductosPivot!MIZ5)</f>
        <v>#VALUE!</v>
      </c>
      <c r="MJA6" s="68" t="e" cm="1" vm="1">
        <f t="array" ref="MJA6">_xlfn._xlws.FILTER(TablaProductos[Nombre producto],TablaProductos[Agrupación]=ProductosPivot!MJA5)</f>
        <v>#VALUE!</v>
      </c>
      <c r="MJB6" s="68" t="e" cm="1" vm="1">
        <f t="array" ref="MJB6">_xlfn._xlws.FILTER(TablaProductos[Nombre producto],TablaProductos[Agrupación]=ProductosPivot!MJB5)</f>
        <v>#VALUE!</v>
      </c>
      <c r="MJC6" s="68" t="e" cm="1" vm="1">
        <f t="array" ref="MJC6">_xlfn._xlws.FILTER(TablaProductos[Nombre producto],TablaProductos[Agrupación]=ProductosPivot!MJC5)</f>
        <v>#VALUE!</v>
      </c>
      <c r="MJD6" s="68" t="e" cm="1" vm="1">
        <f t="array" ref="MJD6">_xlfn._xlws.FILTER(TablaProductos[Nombre producto],TablaProductos[Agrupación]=ProductosPivot!MJD5)</f>
        <v>#VALUE!</v>
      </c>
      <c r="MJE6" s="68" t="e" cm="1" vm="1">
        <f t="array" ref="MJE6">_xlfn._xlws.FILTER(TablaProductos[Nombre producto],TablaProductos[Agrupación]=ProductosPivot!MJE5)</f>
        <v>#VALUE!</v>
      </c>
      <c r="MJF6" s="68" t="e" cm="1" vm="1">
        <f t="array" ref="MJF6">_xlfn._xlws.FILTER(TablaProductos[Nombre producto],TablaProductos[Agrupación]=ProductosPivot!MJF5)</f>
        <v>#VALUE!</v>
      </c>
      <c r="MJG6" s="68" t="e" cm="1" vm="1">
        <f t="array" ref="MJG6">_xlfn._xlws.FILTER(TablaProductos[Nombre producto],TablaProductos[Agrupación]=ProductosPivot!MJG5)</f>
        <v>#VALUE!</v>
      </c>
      <c r="MJH6" s="68" t="e" cm="1" vm="1">
        <f t="array" ref="MJH6">_xlfn._xlws.FILTER(TablaProductos[Nombre producto],TablaProductos[Agrupación]=ProductosPivot!MJH5)</f>
        <v>#VALUE!</v>
      </c>
      <c r="MJI6" s="68" t="e" cm="1" vm="1">
        <f t="array" ref="MJI6">_xlfn._xlws.FILTER(TablaProductos[Nombre producto],TablaProductos[Agrupación]=ProductosPivot!MJI5)</f>
        <v>#VALUE!</v>
      </c>
      <c r="MJJ6" s="68" t="e" cm="1" vm="1">
        <f t="array" ref="MJJ6">_xlfn._xlws.FILTER(TablaProductos[Nombre producto],TablaProductos[Agrupación]=ProductosPivot!MJJ5)</f>
        <v>#VALUE!</v>
      </c>
      <c r="MJK6" s="68" t="e" cm="1" vm="1">
        <f t="array" ref="MJK6">_xlfn._xlws.FILTER(TablaProductos[Nombre producto],TablaProductos[Agrupación]=ProductosPivot!MJK5)</f>
        <v>#VALUE!</v>
      </c>
      <c r="MJL6" s="68" t="e" cm="1" vm="1">
        <f t="array" ref="MJL6">_xlfn._xlws.FILTER(TablaProductos[Nombre producto],TablaProductos[Agrupación]=ProductosPivot!MJL5)</f>
        <v>#VALUE!</v>
      </c>
      <c r="MJM6" s="68" t="e" cm="1" vm="1">
        <f t="array" ref="MJM6">_xlfn._xlws.FILTER(TablaProductos[Nombre producto],TablaProductos[Agrupación]=ProductosPivot!MJM5)</f>
        <v>#VALUE!</v>
      </c>
      <c r="MJN6" s="68" t="e" cm="1" vm="1">
        <f t="array" ref="MJN6">_xlfn._xlws.FILTER(TablaProductos[Nombre producto],TablaProductos[Agrupación]=ProductosPivot!MJN5)</f>
        <v>#VALUE!</v>
      </c>
      <c r="MJO6" s="68" t="e" cm="1" vm="1">
        <f t="array" ref="MJO6">_xlfn._xlws.FILTER(TablaProductos[Nombre producto],TablaProductos[Agrupación]=ProductosPivot!MJO5)</f>
        <v>#VALUE!</v>
      </c>
      <c r="MJP6" s="68" t="e" cm="1" vm="1">
        <f t="array" ref="MJP6">_xlfn._xlws.FILTER(TablaProductos[Nombre producto],TablaProductos[Agrupación]=ProductosPivot!MJP5)</f>
        <v>#VALUE!</v>
      </c>
      <c r="MJQ6" s="68" t="e" cm="1" vm="1">
        <f t="array" ref="MJQ6">_xlfn._xlws.FILTER(TablaProductos[Nombre producto],TablaProductos[Agrupación]=ProductosPivot!MJQ5)</f>
        <v>#VALUE!</v>
      </c>
      <c r="MJR6" s="68" t="e" cm="1" vm="1">
        <f t="array" ref="MJR6">_xlfn._xlws.FILTER(TablaProductos[Nombre producto],TablaProductos[Agrupación]=ProductosPivot!MJR5)</f>
        <v>#VALUE!</v>
      </c>
      <c r="MJS6" s="68" t="e" cm="1" vm="1">
        <f t="array" ref="MJS6">_xlfn._xlws.FILTER(TablaProductos[Nombre producto],TablaProductos[Agrupación]=ProductosPivot!MJS5)</f>
        <v>#VALUE!</v>
      </c>
      <c r="MJT6" s="68" t="e" cm="1" vm="1">
        <f t="array" ref="MJT6">_xlfn._xlws.FILTER(TablaProductos[Nombre producto],TablaProductos[Agrupación]=ProductosPivot!MJT5)</f>
        <v>#VALUE!</v>
      </c>
      <c r="MJU6" s="68" t="e" cm="1" vm="1">
        <f t="array" ref="MJU6">_xlfn._xlws.FILTER(TablaProductos[Nombre producto],TablaProductos[Agrupación]=ProductosPivot!MJU5)</f>
        <v>#VALUE!</v>
      </c>
      <c r="MJV6" s="68" t="e" cm="1" vm="1">
        <f t="array" ref="MJV6">_xlfn._xlws.FILTER(TablaProductos[Nombre producto],TablaProductos[Agrupación]=ProductosPivot!MJV5)</f>
        <v>#VALUE!</v>
      </c>
      <c r="MJW6" s="68" t="e" cm="1" vm="1">
        <f t="array" ref="MJW6">_xlfn._xlws.FILTER(TablaProductos[Nombre producto],TablaProductos[Agrupación]=ProductosPivot!MJW5)</f>
        <v>#VALUE!</v>
      </c>
      <c r="MJX6" s="68" t="e" cm="1" vm="1">
        <f t="array" ref="MJX6">_xlfn._xlws.FILTER(TablaProductos[Nombre producto],TablaProductos[Agrupación]=ProductosPivot!MJX5)</f>
        <v>#VALUE!</v>
      </c>
      <c r="MJY6" s="68" t="e" cm="1" vm="1">
        <f t="array" ref="MJY6">_xlfn._xlws.FILTER(TablaProductos[Nombre producto],TablaProductos[Agrupación]=ProductosPivot!MJY5)</f>
        <v>#VALUE!</v>
      </c>
      <c r="MJZ6" s="68" t="e" cm="1" vm="1">
        <f t="array" ref="MJZ6">_xlfn._xlws.FILTER(TablaProductos[Nombre producto],TablaProductos[Agrupación]=ProductosPivot!MJZ5)</f>
        <v>#VALUE!</v>
      </c>
      <c r="MKA6" s="68" t="e" cm="1" vm="1">
        <f t="array" ref="MKA6">_xlfn._xlws.FILTER(TablaProductos[Nombre producto],TablaProductos[Agrupación]=ProductosPivot!MKA5)</f>
        <v>#VALUE!</v>
      </c>
      <c r="MKB6" s="68" t="e" cm="1" vm="1">
        <f t="array" ref="MKB6">_xlfn._xlws.FILTER(TablaProductos[Nombre producto],TablaProductos[Agrupación]=ProductosPivot!MKB5)</f>
        <v>#VALUE!</v>
      </c>
      <c r="MKC6" s="68" t="e" cm="1" vm="1">
        <f t="array" ref="MKC6">_xlfn._xlws.FILTER(TablaProductos[Nombre producto],TablaProductos[Agrupación]=ProductosPivot!MKC5)</f>
        <v>#VALUE!</v>
      </c>
      <c r="MKD6" s="68" t="e" cm="1" vm="1">
        <f t="array" ref="MKD6">_xlfn._xlws.FILTER(TablaProductos[Nombre producto],TablaProductos[Agrupación]=ProductosPivot!MKD5)</f>
        <v>#VALUE!</v>
      </c>
      <c r="MKE6" s="68" t="e" cm="1" vm="1">
        <f t="array" ref="MKE6">_xlfn._xlws.FILTER(TablaProductos[Nombre producto],TablaProductos[Agrupación]=ProductosPivot!MKE5)</f>
        <v>#VALUE!</v>
      </c>
      <c r="MKF6" s="68" t="e" cm="1" vm="1">
        <f t="array" ref="MKF6">_xlfn._xlws.FILTER(TablaProductos[Nombre producto],TablaProductos[Agrupación]=ProductosPivot!MKF5)</f>
        <v>#VALUE!</v>
      </c>
      <c r="MKG6" s="68" t="e" cm="1" vm="1">
        <f t="array" ref="MKG6">_xlfn._xlws.FILTER(TablaProductos[Nombre producto],TablaProductos[Agrupación]=ProductosPivot!MKG5)</f>
        <v>#VALUE!</v>
      </c>
      <c r="MKH6" s="68" t="e" cm="1" vm="1">
        <f t="array" ref="MKH6">_xlfn._xlws.FILTER(TablaProductos[Nombre producto],TablaProductos[Agrupación]=ProductosPivot!MKH5)</f>
        <v>#VALUE!</v>
      </c>
      <c r="MKI6" s="68" t="e" cm="1" vm="1">
        <f t="array" ref="MKI6">_xlfn._xlws.FILTER(TablaProductos[Nombre producto],TablaProductos[Agrupación]=ProductosPivot!MKI5)</f>
        <v>#VALUE!</v>
      </c>
      <c r="MKJ6" s="68" t="e" cm="1" vm="1">
        <f t="array" ref="MKJ6">_xlfn._xlws.FILTER(TablaProductos[Nombre producto],TablaProductos[Agrupación]=ProductosPivot!MKJ5)</f>
        <v>#VALUE!</v>
      </c>
      <c r="MKK6" s="68" t="e" cm="1" vm="1">
        <f t="array" ref="MKK6">_xlfn._xlws.FILTER(TablaProductos[Nombre producto],TablaProductos[Agrupación]=ProductosPivot!MKK5)</f>
        <v>#VALUE!</v>
      </c>
      <c r="MKL6" s="68" t="e" cm="1" vm="1">
        <f t="array" ref="MKL6">_xlfn._xlws.FILTER(TablaProductos[Nombre producto],TablaProductos[Agrupación]=ProductosPivot!MKL5)</f>
        <v>#VALUE!</v>
      </c>
      <c r="MKM6" s="68" t="e" cm="1" vm="1">
        <f t="array" ref="MKM6">_xlfn._xlws.FILTER(TablaProductos[Nombre producto],TablaProductos[Agrupación]=ProductosPivot!MKM5)</f>
        <v>#VALUE!</v>
      </c>
      <c r="MKN6" s="68" t="e" cm="1" vm="1">
        <f t="array" ref="MKN6">_xlfn._xlws.FILTER(TablaProductos[Nombre producto],TablaProductos[Agrupación]=ProductosPivot!MKN5)</f>
        <v>#VALUE!</v>
      </c>
      <c r="MKO6" s="68" t="e" cm="1" vm="1">
        <f t="array" ref="MKO6">_xlfn._xlws.FILTER(TablaProductos[Nombre producto],TablaProductos[Agrupación]=ProductosPivot!MKO5)</f>
        <v>#VALUE!</v>
      </c>
      <c r="MKP6" s="68" t="e" cm="1" vm="1">
        <f t="array" ref="MKP6">_xlfn._xlws.FILTER(TablaProductos[Nombre producto],TablaProductos[Agrupación]=ProductosPivot!MKP5)</f>
        <v>#VALUE!</v>
      </c>
      <c r="MKQ6" s="68" t="e" cm="1" vm="1">
        <f t="array" ref="MKQ6">_xlfn._xlws.FILTER(TablaProductos[Nombre producto],TablaProductos[Agrupación]=ProductosPivot!MKQ5)</f>
        <v>#VALUE!</v>
      </c>
      <c r="MKR6" s="68" t="e" cm="1" vm="1">
        <f t="array" ref="MKR6">_xlfn._xlws.FILTER(TablaProductos[Nombre producto],TablaProductos[Agrupación]=ProductosPivot!MKR5)</f>
        <v>#VALUE!</v>
      </c>
      <c r="MKS6" s="68" t="e" cm="1" vm="1">
        <f t="array" ref="MKS6">_xlfn._xlws.FILTER(TablaProductos[Nombre producto],TablaProductos[Agrupación]=ProductosPivot!MKS5)</f>
        <v>#VALUE!</v>
      </c>
      <c r="MKT6" s="68" t="e" cm="1" vm="1">
        <f t="array" ref="MKT6">_xlfn._xlws.FILTER(TablaProductos[Nombre producto],TablaProductos[Agrupación]=ProductosPivot!MKT5)</f>
        <v>#VALUE!</v>
      </c>
      <c r="MKU6" s="68" t="e" cm="1" vm="1">
        <f t="array" ref="MKU6">_xlfn._xlws.FILTER(TablaProductos[Nombre producto],TablaProductos[Agrupación]=ProductosPivot!MKU5)</f>
        <v>#VALUE!</v>
      </c>
      <c r="MKV6" s="68" t="e" cm="1" vm="1">
        <f t="array" ref="MKV6">_xlfn._xlws.FILTER(TablaProductos[Nombre producto],TablaProductos[Agrupación]=ProductosPivot!MKV5)</f>
        <v>#VALUE!</v>
      </c>
      <c r="MKW6" s="68" t="e" cm="1" vm="1">
        <f t="array" ref="MKW6">_xlfn._xlws.FILTER(TablaProductos[Nombre producto],TablaProductos[Agrupación]=ProductosPivot!MKW5)</f>
        <v>#VALUE!</v>
      </c>
      <c r="MKX6" s="68" t="e" cm="1" vm="1">
        <f t="array" ref="MKX6">_xlfn._xlws.FILTER(TablaProductos[Nombre producto],TablaProductos[Agrupación]=ProductosPivot!MKX5)</f>
        <v>#VALUE!</v>
      </c>
      <c r="MKY6" s="68" t="e" cm="1" vm="1">
        <f t="array" ref="MKY6">_xlfn._xlws.FILTER(TablaProductos[Nombre producto],TablaProductos[Agrupación]=ProductosPivot!MKY5)</f>
        <v>#VALUE!</v>
      </c>
      <c r="MKZ6" s="68" t="e" cm="1" vm="1">
        <f t="array" ref="MKZ6">_xlfn._xlws.FILTER(TablaProductos[Nombre producto],TablaProductos[Agrupación]=ProductosPivot!MKZ5)</f>
        <v>#VALUE!</v>
      </c>
      <c r="MLA6" s="68" t="e" cm="1" vm="1">
        <f t="array" ref="MLA6">_xlfn._xlws.FILTER(TablaProductos[Nombre producto],TablaProductos[Agrupación]=ProductosPivot!MLA5)</f>
        <v>#VALUE!</v>
      </c>
      <c r="MLB6" s="68" t="e" cm="1" vm="1">
        <f t="array" ref="MLB6">_xlfn._xlws.FILTER(TablaProductos[Nombre producto],TablaProductos[Agrupación]=ProductosPivot!MLB5)</f>
        <v>#VALUE!</v>
      </c>
      <c r="MLC6" s="68" t="e" cm="1" vm="1">
        <f t="array" ref="MLC6">_xlfn._xlws.FILTER(TablaProductos[Nombre producto],TablaProductos[Agrupación]=ProductosPivot!MLC5)</f>
        <v>#VALUE!</v>
      </c>
      <c r="MLD6" s="68" t="e" cm="1" vm="1">
        <f t="array" ref="MLD6">_xlfn._xlws.FILTER(TablaProductos[Nombre producto],TablaProductos[Agrupación]=ProductosPivot!MLD5)</f>
        <v>#VALUE!</v>
      </c>
      <c r="MLE6" s="68" t="e" cm="1" vm="1">
        <f t="array" ref="MLE6">_xlfn._xlws.FILTER(TablaProductos[Nombre producto],TablaProductos[Agrupación]=ProductosPivot!MLE5)</f>
        <v>#VALUE!</v>
      </c>
      <c r="MLF6" s="68" t="e" cm="1" vm="1">
        <f t="array" ref="MLF6">_xlfn._xlws.FILTER(TablaProductos[Nombre producto],TablaProductos[Agrupación]=ProductosPivot!MLF5)</f>
        <v>#VALUE!</v>
      </c>
      <c r="MLG6" s="68" t="e" cm="1" vm="1">
        <f t="array" ref="MLG6">_xlfn._xlws.FILTER(TablaProductos[Nombre producto],TablaProductos[Agrupación]=ProductosPivot!MLG5)</f>
        <v>#VALUE!</v>
      </c>
      <c r="MLH6" s="68" t="e" cm="1" vm="1">
        <f t="array" ref="MLH6">_xlfn._xlws.FILTER(TablaProductos[Nombre producto],TablaProductos[Agrupación]=ProductosPivot!MLH5)</f>
        <v>#VALUE!</v>
      </c>
      <c r="MLI6" s="68" t="e" cm="1" vm="1">
        <f t="array" ref="MLI6">_xlfn._xlws.FILTER(TablaProductos[Nombre producto],TablaProductos[Agrupación]=ProductosPivot!MLI5)</f>
        <v>#VALUE!</v>
      </c>
      <c r="MLJ6" s="68" t="e" cm="1" vm="1">
        <f t="array" ref="MLJ6">_xlfn._xlws.FILTER(TablaProductos[Nombre producto],TablaProductos[Agrupación]=ProductosPivot!MLJ5)</f>
        <v>#VALUE!</v>
      </c>
      <c r="MLK6" s="68" t="e" cm="1" vm="1">
        <f t="array" ref="MLK6">_xlfn._xlws.FILTER(TablaProductos[Nombre producto],TablaProductos[Agrupación]=ProductosPivot!MLK5)</f>
        <v>#VALUE!</v>
      </c>
      <c r="MLL6" s="68" t="e" cm="1" vm="1">
        <f t="array" ref="MLL6">_xlfn._xlws.FILTER(TablaProductos[Nombre producto],TablaProductos[Agrupación]=ProductosPivot!MLL5)</f>
        <v>#VALUE!</v>
      </c>
      <c r="MLM6" s="68" t="e" cm="1" vm="1">
        <f t="array" ref="MLM6">_xlfn._xlws.FILTER(TablaProductos[Nombre producto],TablaProductos[Agrupación]=ProductosPivot!MLM5)</f>
        <v>#VALUE!</v>
      </c>
      <c r="MLN6" s="68" t="e" cm="1" vm="1">
        <f t="array" ref="MLN6">_xlfn._xlws.FILTER(TablaProductos[Nombre producto],TablaProductos[Agrupación]=ProductosPivot!MLN5)</f>
        <v>#VALUE!</v>
      </c>
      <c r="MLO6" s="68" t="e" cm="1" vm="1">
        <f t="array" ref="MLO6">_xlfn._xlws.FILTER(TablaProductos[Nombre producto],TablaProductos[Agrupación]=ProductosPivot!MLO5)</f>
        <v>#VALUE!</v>
      </c>
      <c r="MLP6" s="68" t="e" cm="1" vm="1">
        <f t="array" ref="MLP6">_xlfn._xlws.FILTER(TablaProductos[Nombre producto],TablaProductos[Agrupación]=ProductosPivot!MLP5)</f>
        <v>#VALUE!</v>
      </c>
      <c r="MLQ6" s="68" t="e" cm="1" vm="1">
        <f t="array" ref="MLQ6">_xlfn._xlws.FILTER(TablaProductos[Nombre producto],TablaProductos[Agrupación]=ProductosPivot!MLQ5)</f>
        <v>#VALUE!</v>
      </c>
      <c r="MLR6" s="68" t="e" cm="1" vm="1">
        <f t="array" ref="MLR6">_xlfn._xlws.FILTER(TablaProductos[Nombre producto],TablaProductos[Agrupación]=ProductosPivot!MLR5)</f>
        <v>#VALUE!</v>
      </c>
      <c r="MLS6" s="68" t="e" cm="1" vm="1">
        <f t="array" ref="MLS6">_xlfn._xlws.FILTER(TablaProductos[Nombre producto],TablaProductos[Agrupación]=ProductosPivot!MLS5)</f>
        <v>#VALUE!</v>
      </c>
      <c r="MLT6" s="68" t="e" cm="1" vm="1">
        <f t="array" ref="MLT6">_xlfn._xlws.FILTER(TablaProductos[Nombre producto],TablaProductos[Agrupación]=ProductosPivot!MLT5)</f>
        <v>#VALUE!</v>
      </c>
      <c r="MLU6" s="68" t="e" cm="1" vm="1">
        <f t="array" ref="MLU6">_xlfn._xlws.FILTER(TablaProductos[Nombre producto],TablaProductos[Agrupación]=ProductosPivot!MLU5)</f>
        <v>#VALUE!</v>
      </c>
      <c r="MLV6" s="68" t="e" cm="1" vm="1">
        <f t="array" ref="MLV6">_xlfn._xlws.FILTER(TablaProductos[Nombre producto],TablaProductos[Agrupación]=ProductosPivot!MLV5)</f>
        <v>#VALUE!</v>
      </c>
      <c r="MLW6" s="68" t="e" cm="1" vm="1">
        <f t="array" ref="MLW6">_xlfn._xlws.FILTER(TablaProductos[Nombre producto],TablaProductos[Agrupación]=ProductosPivot!MLW5)</f>
        <v>#VALUE!</v>
      </c>
      <c r="MLX6" s="68" t="e" cm="1" vm="1">
        <f t="array" ref="MLX6">_xlfn._xlws.FILTER(TablaProductos[Nombre producto],TablaProductos[Agrupación]=ProductosPivot!MLX5)</f>
        <v>#VALUE!</v>
      </c>
      <c r="MLY6" s="68" t="e" cm="1" vm="1">
        <f t="array" ref="MLY6">_xlfn._xlws.FILTER(TablaProductos[Nombre producto],TablaProductos[Agrupación]=ProductosPivot!MLY5)</f>
        <v>#VALUE!</v>
      </c>
      <c r="MLZ6" s="68" t="e" cm="1" vm="1">
        <f t="array" ref="MLZ6">_xlfn._xlws.FILTER(TablaProductos[Nombre producto],TablaProductos[Agrupación]=ProductosPivot!MLZ5)</f>
        <v>#VALUE!</v>
      </c>
      <c r="MMA6" s="68" t="e" cm="1" vm="1">
        <f t="array" ref="MMA6">_xlfn._xlws.FILTER(TablaProductos[Nombre producto],TablaProductos[Agrupación]=ProductosPivot!MMA5)</f>
        <v>#VALUE!</v>
      </c>
      <c r="MMB6" s="68" t="e" cm="1" vm="1">
        <f t="array" ref="MMB6">_xlfn._xlws.FILTER(TablaProductos[Nombre producto],TablaProductos[Agrupación]=ProductosPivot!MMB5)</f>
        <v>#VALUE!</v>
      </c>
      <c r="MMC6" s="68" t="e" cm="1" vm="1">
        <f t="array" ref="MMC6">_xlfn._xlws.FILTER(TablaProductos[Nombre producto],TablaProductos[Agrupación]=ProductosPivot!MMC5)</f>
        <v>#VALUE!</v>
      </c>
      <c r="MMD6" s="68" t="e" cm="1" vm="1">
        <f t="array" ref="MMD6">_xlfn._xlws.FILTER(TablaProductos[Nombre producto],TablaProductos[Agrupación]=ProductosPivot!MMD5)</f>
        <v>#VALUE!</v>
      </c>
      <c r="MME6" s="68" t="e" cm="1" vm="1">
        <f t="array" ref="MME6">_xlfn._xlws.FILTER(TablaProductos[Nombre producto],TablaProductos[Agrupación]=ProductosPivot!MME5)</f>
        <v>#VALUE!</v>
      </c>
      <c r="MMF6" s="68" t="e" cm="1" vm="1">
        <f t="array" ref="MMF6">_xlfn._xlws.FILTER(TablaProductos[Nombre producto],TablaProductos[Agrupación]=ProductosPivot!MMF5)</f>
        <v>#VALUE!</v>
      </c>
      <c r="MMG6" s="68" t="e" cm="1" vm="1">
        <f t="array" ref="MMG6">_xlfn._xlws.FILTER(TablaProductos[Nombre producto],TablaProductos[Agrupación]=ProductosPivot!MMG5)</f>
        <v>#VALUE!</v>
      </c>
      <c r="MMH6" s="68" t="e" cm="1" vm="1">
        <f t="array" ref="MMH6">_xlfn._xlws.FILTER(TablaProductos[Nombre producto],TablaProductos[Agrupación]=ProductosPivot!MMH5)</f>
        <v>#VALUE!</v>
      </c>
      <c r="MMI6" s="68" t="e" cm="1" vm="1">
        <f t="array" ref="MMI6">_xlfn._xlws.FILTER(TablaProductos[Nombre producto],TablaProductos[Agrupación]=ProductosPivot!MMI5)</f>
        <v>#VALUE!</v>
      </c>
      <c r="MMJ6" s="68" t="e" cm="1" vm="1">
        <f t="array" ref="MMJ6">_xlfn._xlws.FILTER(TablaProductos[Nombre producto],TablaProductos[Agrupación]=ProductosPivot!MMJ5)</f>
        <v>#VALUE!</v>
      </c>
      <c r="MMK6" s="68" t="e" cm="1" vm="1">
        <f t="array" ref="MMK6">_xlfn._xlws.FILTER(TablaProductos[Nombre producto],TablaProductos[Agrupación]=ProductosPivot!MMK5)</f>
        <v>#VALUE!</v>
      </c>
      <c r="MML6" s="68" t="e" cm="1" vm="1">
        <f t="array" ref="MML6">_xlfn._xlws.FILTER(TablaProductos[Nombre producto],TablaProductos[Agrupación]=ProductosPivot!MML5)</f>
        <v>#VALUE!</v>
      </c>
      <c r="MMM6" s="68" t="e" cm="1" vm="1">
        <f t="array" ref="MMM6">_xlfn._xlws.FILTER(TablaProductos[Nombre producto],TablaProductos[Agrupación]=ProductosPivot!MMM5)</f>
        <v>#VALUE!</v>
      </c>
      <c r="MMN6" s="68" t="e" cm="1" vm="1">
        <f t="array" ref="MMN6">_xlfn._xlws.FILTER(TablaProductos[Nombre producto],TablaProductos[Agrupación]=ProductosPivot!MMN5)</f>
        <v>#VALUE!</v>
      </c>
      <c r="MMO6" s="68" t="e" cm="1" vm="1">
        <f t="array" ref="MMO6">_xlfn._xlws.FILTER(TablaProductos[Nombre producto],TablaProductos[Agrupación]=ProductosPivot!MMO5)</f>
        <v>#VALUE!</v>
      </c>
      <c r="MMP6" s="68" t="e" cm="1" vm="1">
        <f t="array" ref="MMP6">_xlfn._xlws.FILTER(TablaProductos[Nombre producto],TablaProductos[Agrupación]=ProductosPivot!MMP5)</f>
        <v>#VALUE!</v>
      </c>
      <c r="MMQ6" s="68" t="e" cm="1" vm="1">
        <f t="array" ref="MMQ6">_xlfn._xlws.FILTER(TablaProductos[Nombre producto],TablaProductos[Agrupación]=ProductosPivot!MMQ5)</f>
        <v>#VALUE!</v>
      </c>
      <c r="MMR6" s="68" t="e" cm="1" vm="1">
        <f t="array" ref="MMR6">_xlfn._xlws.FILTER(TablaProductos[Nombre producto],TablaProductos[Agrupación]=ProductosPivot!MMR5)</f>
        <v>#VALUE!</v>
      </c>
      <c r="MMS6" s="68" t="e" cm="1" vm="1">
        <f t="array" ref="MMS6">_xlfn._xlws.FILTER(TablaProductos[Nombre producto],TablaProductos[Agrupación]=ProductosPivot!MMS5)</f>
        <v>#VALUE!</v>
      </c>
      <c r="MMT6" s="68" t="e" cm="1" vm="1">
        <f t="array" ref="MMT6">_xlfn._xlws.FILTER(TablaProductos[Nombre producto],TablaProductos[Agrupación]=ProductosPivot!MMT5)</f>
        <v>#VALUE!</v>
      </c>
      <c r="MMU6" s="68" t="e" cm="1" vm="1">
        <f t="array" ref="MMU6">_xlfn._xlws.FILTER(TablaProductos[Nombre producto],TablaProductos[Agrupación]=ProductosPivot!MMU5)</f>
        <v>#VALUE!</v>
      </c>
      <c r="MMV6" s="68" t="e" cm="1" vm="1">
        <f t="array" ref="MMV6">_xlfn._xlws.FILTER(TablaProductos[Nombre producto],TablaProductos[Agrupación]=ProductosPivot!MMV5)</f>
        <v>#VALUE!</v>
      </c>
      <c r="MMW6" s="68" t="e" cm="1" vm="1">
        <f t="array" ref="MMW6">_xlfn._xlws.FILTER(TablaProductos[Nombre producto],TablaProductos[Agrupación]=ProductosPivot!MMW5)</f>
        <v>#VALUE!</v>
      </c>
      <c r="MMX6" s="68" t="e" cm="1" vm="1">
        <f t="array" ref="MMX6">_xlfn._xlws.FILTER(TablaProductos[Nombre producto],TablaProductos[Agrupación]=ProductosPivot!MMX5)</f>
        <v>#VALUE!</v>
      </c>
      <c r="MMY6" s="68" t="e" cm="1" vm="1">
        <f t="array" ref="MMY6">_xlfn._xlws.FILTER(TablaProductos[Nombre producto],TablaProductos[Agrupación]=ProductosPivot!MMY5)</f>
        <v>#VALUE!</v>
      </c>
      <c r="MMZ6" s="68" t="e" cm="1" vm="1">
        <f t="array" ref="MMZ6">_xlfn._xlws.FILTER(TablaProductos[Nombre producto],TablaProductos[Agrupación]=ProductosPivot!MMZ5)</f>
        <v>#VALUE!</v>
      </c>
      <c r="MNA6" s="68" t="e" cm="1" vm="1">
        <f t="array" ref="MNA6">_xlfn._xlws.FILTER(TablaProductos[Nombre producto],TablaProductos[Agrupación]=ProductosPivot!MNA5)</f>
        <v>#VALUE!</v>
      </c>
      <c r="MNB6" s="68" t="e" cm="1" vm="1">
        <f t="array" ref="MNB6">_xlfn._xlws.FILTER(TablaProductos[Nombre producto],TablaProductos[Agrupación]=ProductosPivot!MNB5)</f>
        <v>#VALUE!</v>
      </c>
      <c r="MNC6" s="68" t="e" cm="1" vm="1">
        <f t="array" ref="MNC6">_xlfn._xlws.FILTER(TablaProductos[Nombre producto],TablaProductos[Agrupación]=ProductosPivot!MNC5)</f>
        <v>#VALUE!</v>
      </c>
      <c r="MND6" s="68" t="e" cm="1" vm="1">
        <f t="array" ref="MND6">_xlfn._xlws.FILTER(TablaProductos[Nombre producto],TablaProductos[Agrupación]=ProductosPivot!MND5)</f>
        <v>#VALUE!</v>
      </c>
      <c r="MNE6" s="68" t="e" cm="1" vm="1">
        <f t="array" ref="MNE6">_xlfn._xlws.FILTER(TablaProductos[Nombre producto],TablaProductos[Agrupación]=ProductosPivot!MNE5)</f>
        <v>#VALUE!</v>
      </c>
      <c r="MNF6" s="68" t="e" cm="1" vm="1">
        <f t="array" ref="MNF6">_xlfn._xlws.FILTER(TablaProductos[Nombre producto],TablaProductos[Agrupación]=ProductosPivot!MNF5)</f>
        <v>#VALUE!</v>
      </c>
      <c r="MNG6" s="68" t="e" cm="1" vm="1">
        <f t="array" ref="MNG6">_xlfn._xlws.FILTER(TablaProductos[Nombre producto],TablaProductos[Agrupación]=ProductosPivot!MNG5)</f>
        <v>#VALUE!</v>
      </c>
      <c r="MNH6" s="68" t="e" cm="1" vm="1">
        <f t="array" ref="MNH6">_xlfn._xlws.FILTER(TablaProductos[Nombre producto],TablaProductos[Agrupación]=ProductosPivot!MNH5)</f>
        <v>#VALUE!</v>
      </c>
      <c r="MNI6" s="68" t="e" cm="1" vm="1">
        <f t="array" ref="MNI6">_xlfn._xlws.FILTER(TablaProductos[Nombre producto],TablaProductos[Agrupación]=ProductosPivot!MNI5)</f>
        <v>#VALUE!</v>
      </c>
      <c r="MNJ6" s="68" t="e" cm="1" vm="1">
        <f t="array" ref="MNJ6">_xlfn._xlws.FILTER(TablaProductos[Nombre producto],TablaProductos[Agrupación]=ProductosPivot!MNJ5)</f>
        <v>#VALUE!</v>
      </c>
      <c r="MNK6" s="68" t="e" cm="1" vm="1">
        <f t="array" ref="MNK6">_xlfn._xlws.FILTER(TablaProductos[Nombre producto],TablaProductos[Agrupación]=ProductosPivot!MNK5)</f>
        <v>#VALUE!</v>
      </c>
      <c r="MNL6" s="68" t="e" cm="1" vm="1">
        <f t="array" ref="MNL6">_xlfn._xlws.FILTER(TablaProductos[Nombre producto],TablaProductos[Agrupación]=ProductosPivot!MNL5)</f>
        <v>#VALUE!</v>
      </c>
      <c r="MNM6" s="68" t="e" cm="1" vm="1">
        <f t="array" ref="MNM6">_xlfn._xlws.FILTER(TablaProductos[Nombre producto],TablaProductos[Agrupación]=ProductosPivot!MNM5)</f>
        <v>#VALUE!</v>
      </c>
      <c r="MNN6" s="68" t="e" cm="1" vm="1">
        <f t="array" ref="MNN6">_xlfn._xlws.FILTER(TablaProductos[Nombre producto],TablaProductos[Agrupación]=ProductosPivot!MNN5)</f>
        <v>#VALUE!</v>
      </c>
      <c r="MNO6" s="68" t="e" cm="1" vm="1">
        <f t="array" ref="MNO6">_xlfn._xlws.FILTER(TablaProductos[Nombre producto],TablaProductos[Agrupación]=ProductosPivot!MNO5)</f>
        <v>#VALUE!</v>
      </c>
      <c r="MNP6" s="68" t="e" cm="1" vm="1">
        <f t="array" ref="MNP6">_xlfn._xlws.FILTER(TablaProductos[Nombre producto],TablaProductos[Agrupación]=ProductosPivot!MNP5)</f>
        <v>#VALUE!</v>
      </c>
      <c r="MNQ6" s="68" t="e" cm="1" vm="1">
        <f t="array" ref="MNQ6">_xlfn._xlws.FILTER(TablaProductos[Nombre producto],TablaProductos[Agrupación]=ProductosPivot!MNQ5)</f>
        <v>#VALUE!</v>
      </c>
      <c r="MNR6" s="68" t="e" cm="1" vm="1">
        <f t="array" ref="MNR6">_xlfn._xlws.FILTER(TablaProductos[Nombre producto],TablaProductos[Agrupación]=ProductosPivot!MNR5)</f>
        <v>#VALUE!</v>
      </c>
      <c r="MNS6" s="68" t="e" cm="1" vm="1">
        <f t="array" ref="MNS6">_xlfn._xlws.FILTER(TablaProductos[Nombre producto],TablaProductos[Agrupación]=ProductosPivot!MNS5)</f>
        <v>#VALUE!</v>
      </c>
      <c r="MNT6" s="68" t="e" cm="1" vm="1">
        <f t="array" ref="MNT6">_xlfn._xlws.FILTER(TablaProductos[Nombre producto],TablaProductos[Agrupación]=ProductosPivot!MNT5)</f>
        <v>#VALUE!</v>
      </c>
      <c r="MNU6" s="68" t="e" cm="1" vm="1">
        <f t="array" ref="MNU6">_xlfn._xlws.FILTER(TablaProductos[Nombre producto],TablaProductos[Agrupación]=ProductosPivot!MNU5)</f>
        <v>#VALUE!</v>
      </c>
      <c r="MNV6" s="68" t="e" cm="1" vm="1">
        <f t="array" ref="MNV6">_xlfn._xlws.FILTER(TablaProductos[Nombre producto],TablaProductos[Agrupación]=ProductosPivot!MNV5)</f>
        <v>#VALUE!</v>
      </c>
      <c r="MNW6" s="68" t="e" cm="1" vm="1">
        <f t="array" ref="MNW6">_xlfn._xlws.FILTER(TablaProductos[Nombre producto],TablaProductos[Agrupación]=ProductosPivot!MNW5)</f>
        <v>#VALUE!</v>
      </c>
      <c r="MNX6" s="68" t="e" cm="1" vm="1">
        <f t="array" ref="MNX6">_xlfn._xlws.FILTER(TablaProductos[Nombre producto],TablaProductos[Agrupación]=ProductosPivot!MNX5)</f>
        <v>#VALUE!</v>
      </c>
      <c r="MNY6" s="68" t="e" cm="1" vm="1">
        <f t="array" ref="MNY6">_xlfn._xlws.FILTER(TablaProductos[Nombre producto],TablaProductos[Agrupación]=ProductosPivot!MNY5)</f>
        <v>#VALUE!</v>
      </c>
      <c r="MNZ6" s="68" t="e" cm="1" vm="1">
        <f t="array" ref="MNZ6">_xlfn._xlws.FILTER(TablaProductos[Nombre producto],TablaProductos[Agrupación]=ProductosPivot!MNZ5)</f>
        <v>#VALUE!</v>
      </c>
      <c r="MOA6" s="68" t="e" cm="1" vm="1">
        <f t="array" ref="MOA6">_xlfn._xlws.FILTER(TablaProductos[Nombre producto],TablaProductos[Agrupación]=ProductosPivot!MOA5)</f>
        <v>#VALUE!</v>
      </c>
      <c r="MOB6" s="68" t="e" cm="1" vm="1">
        <f t="array" ref="MOB6">_xlfn._xlws.FILTER(TablaProductos[Nombre producto],TablaProductos[Agrupación]=ProductosPivot!MOB5)</f>
        <v>#VALUE!</v>
      </c>
      <c r="MOC6" s="68" t="e" cm="1" vm="1">
        <f t="array" ref="MOC6">_xlfn._xlws.FILTER(TablaProductos[Nombre producto],TablaProductos[Agrupación]=ProductosPivot!MOC5)</f>
        <v>#VALUE!</v>
      </c>
      <c r="MOD6" s="68" t="e" cm="1" vm="1">
        <f t="array" ref="MOD6">_xlfn._xlws.FILTER(TablaProductos[Nombre producto],TablaProductos[Agrupación]=ProductosPivot!MOD5)</f>
        <v>#VALUE!</v>
      </c>
      <c r="MOE6" s="68" t="e" cm="1" vm="1">
        <f t="array" ref="MOE6">_xlfn._xlws.FILTER(TablaProductos[Nombre producto],TablaProductos[Agrupación]=ProductosPivot!MOE5)</f>
        <v>#VALUE!</v>
      </c>
      <c r="MOF6" s="68" t="e" cm="1" vm="1">
        <f t="array" ref="MOF6">_xlfn._xlws.FILTER(TablaProductos[Nombre producto],TablaProductos[Agrupación]=ProductosPivot!MOF5)</f>
        <v>#VALUE!</v>
      </c>
      <c r="MOG6" s="68" t="e" cm="1" vm="1">
        <f t="array" ref="MOG6">_xlfn._xlws.FILTER(TablaProductos[Nombre producto],TablaProductos[Agrupación]=ProductosPivot!MOG5)</f>
        <v>#VALUE!</v>
      </c>
      <c r="MOH6" s="68" t="e" cm="1" vm="1">
        <f t="array" ref="MOH6">_xlfn._xlws.FILTER(TablaProductos[Nombre producto],TablaProductos[Agrupación]=ProductosPivot!MOH5)</f>
        <v>#VALUE!</v>
      </c>
      <c r="MOI6" s="68" t="e" cm="1" vm="1">
        <f t="array" ref="MOI6">_xlfn._xlws.FILTER(TablaProductos[Nombre producto],TablaProductos[Agrupación]=ProductosPivot!MOI5)</f>
        <v>#VALUE!</v>
      </c>
      <c r="MOJ6" s="68" t="e" cm="1" vm="1">
        <f t="array" ref="MOJ6">_xlfn._xlws.FILTER(TablaProductos[Nombre producto],TablaProductos[Agrupación]=ProductosPivot!MOJ5)</f>
        <v>#VALUE!</v>
      </c>
      <c r="MOK6" s="68" t="e" cm="1" vm="1">
        <f t="array" ref="MOK6">_xlfn._xlws.FILTER(TablaProductos[Nombre producto],TablaProductos[Agrupación]=ProductosPivot!MOK5)</f>
        <v>#VALUE!</v>
      </c>
      <c r="MOL6" s="68" t="e" cm="1" vm="1">
        <f t="array" ref="MOL6">_xlfn._xlws.FILTER(TablaProductos[Nombre producto],TablaProductos[Agrupación]=ProductosPivot!MOL5)</f>
        <v>#VALUE!</v>
      </c>
      <c r="MOM6" s="68" t="e" cm="1" vm="1">
        <f t="array" ref="MOM6">_xlfn._xlws.FILTER(TablaProductos[Nombre producto],TablaProductos[Agrupación]=ProductosPivot!MOM5)</f>
        <v>#VALUE!</v>
      </c>
      <c r="MON6" s="68" t="e" cm="1" vm="1">
        <f t="array" ref="MON6">_xlfn._xlws.FILTER(TablaProductos[Nombre producto],TablaProductos[Agrupación]=ProductosPivot!MON5)</f>
        <v>#VALUE!</v>
      </c>
      <c r="MOO6" s="68" t="e" cm="1" vm="1">
        <f t="array" ref="MOO6">_xlfn._xlws.FILTER(TablaProductos[Nombre producto],TablaProductos[Agrupación]=ProductosPivot!MOO5)</f>
        <v>#VALUE!</v>
      </c>
      <c r="MOP6" s="68" t="e" cm="1" vm="1">
        <f t="array" ref="MOP6">_xlfn._xlws.FILTER(TablaProductos[Nombre producto],TablaProductos[Agrupación]=ProductosPivot!MOP5)</f>
        <v>#VALUE!</v>
      </c>
      <c r="MOQ6" s="68" t="e" cm="1" vm="1">
        <f t="array" ref="MOQ6">_xlfn._xlws.FILTER(TablaProductos[Nombre producto],TablaProductos[Agrupación]=ProductosPivot!MOQ5)</f>
        <v>#VALUE!</v>
      </c>
      <c r="MOR6" s="68" t="e" cm="1" vm="1">
        <f t="array" ref="MOR6">_xlfn._xlws.FILTER(TablaProductos[Nombre producto],TablaProductos[Agrupación]=ProductosPivot!MOR5)</f>
        <v>#VALUE!</v>
      </c>
      <c r="MOS6" s="68" t="e" cm="1" vm="1">
        <f t="array" ref="MOS6">_xlfn._xlws.FILTER(TablaProductos[Nombre producto],TablaProductos[Agrupación]=ProductosPivot!MOS5)</f>
        <v>#VALUE!</v>
      </c>
      <c r="MOT6" s="68" t="e" cm="1" vm="1">
        <f t="array" ref="MOT6">_xlfn._xlws.FILTER(TablaProductos[Nombre producto],TablaProductos[Agrupación]=ProductosPivot!MOT5)</f>
        <v>#VALUE!</v>
      </c>
      <c r="MOU6" s="68" t="e" cm="1" vm="1">
        <f t="array" ref="MOU6">_xlfn._xlws.FILTER(TablaProductos[Nombre producto],TablaProductos[Agrupación]=ProductosPivot!MOU5)</f>
        <v>#VALUE!</v>
      </c>
      <c r="MOV6" s="68" t="e" cm="1" vm="1">
        <f t="array" ref="MOV6">_xlfn._xlws.FILTER(TablaProductos[Nombre producto],TablaProductos[Agrupación]=ProductosPivot!MOV5)</f>
        <v>#VALUE!</v>
      </c>
      <c r="MOW6" s="68" t="e" cm="1" vm="1">
        <f t="array" ref="MOW6">_xlfn._xlws.FILTER(TablaProductos[Nombre producto],TablaProductos[Agrupación]=ProductosPivot!MOW5)</f>
        <v>#VALUE!</v>
      </c>
      <c r="MOX6" s="68" t="e" cm="1" vm="1">
        <f t="array" ref="MOX6">_xlfn._xlws.FILTER(TablaProductos[Nombre producto],TablaProductos[Agrupación]=ProductosPivot!MOX5)</f>
        <v>#VALUE!</v>
      </c>
      <c r="MOY6" s="68" t="e" cm="1" vm="1">
        <f t="array" ref="MOY6">_xlfn._xlws.FILTER(TablaProductos[Nombre producto],TablaProductos[Agrupación]=ProductosPivot!MOY5)</f>
        <v>#VALUE!</v>
      </c>
      <c r="MOZ6" s="68" t="e" cm="1" vm="1">
        <f t="array" ref="MOZ6">_xlfn._xlws.FILTER(TablaProductos[Nombre producto],TablaProductos[Agrupación]=ProductosPivot!MOZ5)</f>
        <v>#VALUE!</v>
      </c>
      <c r="MPA6" s="68" t="e" cm="1" vm="1">
        <f t="array" ref="MPA6">_xlfn._xlws.FILTER(TablaProductos[Nombre producto],TablaProductos[Agrupación]=ProductosPivot!MPA5)</f>
        <v>#VALUE!</v>
      </c>
      <c r="MPB6" s="68" t="e" cm="1" vm="1">
        <f t="array" ref="MPB6">_xlfn._xlws.FILTER(TablaProductos[Nombre producto],TablaProductos[Agrupación]=ProductosPivot!MPB5)</f>
        <v>#VALUE!</v>
      </c>
      <c r="MPC6" s="68" t="e" cm="1" vm="1">
        <f t="array" ref="MPC6">_xlfn._xlws.FILTER(TablaProductos[Nombre producto],TablaProductos[Agrupación]=ProductosPivot!MPC5)</f>
        <v>#VALUE!</v>
      </c>
      <c r="MPD6" s="68" t="e" cm="1" vm="1">
        <f t="array" ref="MPD6">_xlfn._xlws.FILTER(TablaProductos[Nombre producto],TablaProductos[Agrupación]=ProductosPivot!MPD5)</f>
        <v>#VALUE!</v>
      </c>
      <c r="MPE6" s="68" t="e" cm="1" vm="1">
        <f t="array" ref="MPE6">_xlfn._xlws.FILTER(TablaProductos[Nombre producto],TablaProductos[Agrupación]=ProductosPivot!MPE5)</f>
        <v>#VALUE!</v>
      </c>
      <c r="MPF6" s="68" t="e" cm="1" vm="1">
        <f t="array" ref="MPF6">_xlfn._xlws.FILTER(TablaProductos[Nombre producto],TablaProductos[Agrupación]=ProductosPivot!MPF5)</f>
        <v>#VALUE!</v>
      </c>
      <c r="MPG6" s="68" t="e" cm="1" vm="1">
        <f t="array" ref="MPG6">_xlfn._xlws.FILTER(TablaProductos[Nombre producto],TablaProductos[Agrupación]=ProductosPivot!MPG5)</f>
        <v>#VALUE!</v>
      </c>
      <c r="MPH6" s="68" t="e" cm="1" vm="1">
        <f t="array" ref="MPH6">_xlfn._xlws.FILTER(TablaProductos[Nombre producto],TablaProductos[Agrupación]=ProductosPivot!MPH5)</f>
        <v>#VALUE!</v>
      </c>
      <c r="MPI6" s="68" t="e" cm="1" vm="1">
        <f t="array" ref="MPI6">_xlfn._xlws.FILTER(TablaProductos[Nombre producto],TablaProductos[Agrupación]=ProductosPivot!MPI5)</f>
        <v>#VALUE!</v>
      </c>
      <c r="MPJ6" s="68" t="e" cm="1" vm="1">
        <f t="array" ref="MPJ6">_xlfn._xlws.FILTER(TablaProductos[Nombre producto],TablaProductos[Agrupación]=ProductosPivot!MPJ5)</f>
        <v>#VALUE!</v>
      </c>
      <c r="MPK6" s="68" t="e" cm="1" vm="1">
        <f t="array" ref="MPK6">_xlfn._xlws.FILTER(TablaProductos[Nombre producto],TablaProductos[Agrupación]=ProductosPivot!MPK5)</f>
        <v>#VALUE!</v>
      </c>
      <c r="MPL6" s="68" t="e" cm="1" vm="1">
        <f t="array" ref="MPL6">_xlfn._xlws.FILTER(TablaProductos[Nombre producto],TablaProductos[Agrupación]=ProductosPivot!MPL5)</f>
        <v>#VALUE!</v>
      </c>
      <c r="MPM6" s="68" t="e" cm="1" vm="1">
        <f t="array" ref="MPM6">_xlfn._xlws.FILTER(TablaProductos[Nombre producto],TablaProductos[Agrupación]=ProductosPivot!MPM5)</f>
        <v>#VALUE!</v>
      </c>
      <c r="MPN6" s="68" t="e" cm="1" vm="1">
        <f t="array" ref="MPN6">_xlfn._xlws.FILTER(TablaProductos[Nombre producto],TablaProductos[Agrupación]=ProductosPivot!MPN5)</f>
        <v>#VALUE!</v>
      </c>
      <c r="MPO6" s="68" t="e" cm="1" vm="1">
        <f t="array" ref="MPO6">_xlfn._xlws.FILTER(TablaProductos[Nombre producto],TablaProductos[Agrupación]=ProductosPivot!MPO5)</f>
        <v>#VALUE!</v>
      </c>
      <c r="MPP6" s="68" t="e" cm="1" vm="1">
        <f t="array" ref="MPP6">_xlfn._xlws.FILTER(TablaProductos[Nombre producto],TablaProductos[Agrupación]=ProductosPivot!MPP5)</f>
        <v>#VALUE!</v>
      </c>
      <c r="MPQ6" s="68" t="e" cm="1" vm="1">
        <f t="array" ref="MPQ6">_xlfn._xlws.FILTER(TablaProductos[Nombre producto],TablaProductos[Agrupación]=ProductosPivot!MPQ5)</f>
        <v>#VALUE!</v>
      </c>
      <c r="MPR6" s="68" t="e" cm="1" vm="1">
        <f t="array" ref="MPR6">_xlfn._xlws.FILTER(TablaProductos[Nombre producto],TablaProductos[Agrupación]=ProductosPivot!MPR5)</f>
        <v>#VALUE!</v>
      </c>
      <c r="MPS6" s="68" t="e" cm="1" vm="1">
        <f t="array" ref="MPS6">_xlfn._xlws.FILTER(TablaProductos[Nombre producto],TablaProductos[Agrupación]=ProductosPivot!MPS5)</f>
        <v>#VALUE!</v>
      </c>
      <c r="MPT6" s="68" t="e" cm="1" vm="1">
        <f t="array" ref="MPT6">_xlfn._xlws.FILTER(TablaProductos[Nombre producto],TablaProductos[Agrupación]=ProductosPivot!MPT5)</f>
        <v>#VALUE!</v>
      </c>
      <c r="MPU6" s="68" t="e" cm="1" vm="1">
        <f t="array" ref="MPU6">_xlfn._xlws.FILTER(TablaProductos[Nombre producto],TablaProductos[Agrupación]=ProductosPivot!MPU5)</f>
        <v>#VALUE!</v>
      </c>
      <c r="MPV6" s="68" t="e" cm="1" vm="1">
        <f t="array" ref="MPV6">_xlfn._xlws.FILTER(TablaProductos[Nombre producto],TablaProductos[Agrupación]=ProductosPivot!MPV5)</f>
        <v>#VALUE!</v>
      </c>
      <c r="MPW6" s="68" t="e" cm="1" vm="1">
        <f t="array" ref="MPW6">_xlfn._xlws.FILTER(TablaProductos[Nombre producto],TablaProductos[Agrupación]=ProductosPivot!MPW5)</f>
        <v>#VALUE!</v>
      </c>
      <c r="MPX6" s="68" t="e" cm="1" vm="1">
        <f t="array" ref="MPX6">_xlfn._xlws.FILTER(TablaProductos[Nombre producto],TablaProductos[Agrupación]=ProductosPivot!MPX5)</f>
        <v>#VALUE!</v>
      </c>
      <c r="MPY6" s="68" t="e" cm="1" vm="1">
        <f t="array" ref="MPY6">_xlfn._xlws.FILTER(TablaProductos[Nombre producto],TablaProductos[Agrupación]=ProductosPivot!MPY5)</f>
        <v>#VALUE!</v>
      </c>
      <c r="MPZ6" s="68" t="e" cm="1" vm="1">
        <f t="array" ref="MPZ6">_xlfn._xlws.FILTER(TablaProductos[Nombre producto],TablaProductos[Agrupación]=ProductosPivot!MPZ5)</f>
        <v>#VALUE!</v>
      </c>
      <c r="MQA6" s="68" t="e" cm="1" vm="1">
        <f t="array" ref="MQA6">_xlfn._xlws.FILTER(TablaProductos[Nombre producto],TablaProductos[Agrupación]=ProductosPivot!MQA5)</f>
        <v>#VALUE!</v>
      </c>
      <c r="MQB6" s="68" t="e" cm="1" vm="1">
        <f t="array" ref="MQB6">_xlfn._xlws.FILTER(TablaProductos[Nombre producto],TablaProductos[Agrupación]=ProductosPivot!MQB5)</f>
        <v>#VALUE!</v>
      </c>
      <c r="MQC6" s="68" t="e" cm="1" vm="1">
        <f t="array" ref="MQC6">_xlfn._xlws.FILTER(TablaProductos[Nombre producto],TablaProductos[Agrupación]=ProductosPivot!MQC5)</f>
        <v>#VALUE!</v>
      </c>
      <c r="MQD6" s="68" t="e" cm="1" vm="1">
        <f t="array" ref="MQD6">_xlfn._xlws.FILTER(TablaProductos[Nombre producto],TablaProductos[Agrupación]=ProductosPivot!MQD5)</f>
        <v>#VALUE!</v>
      </c>
      <c r="MQE6" s="68" t="e" cm="1" vm="1">
        <f t="array" ref="MQE6">_xlfn._xlws.FILTER(TablaProductos[Nombre producto],TablaProductos[Agrupación]=ProductosPivot!MQE5)</f>
        <v>#VALUE!</v>
      </c>
      <c r="MQF6" s="68" t="e" cm="1" vm="1">
        <f t="array" ref="MQF6">_xlfn._xlws.FILTER(TablaProductos[Nombre producto],TablaProductos[Agrupación]=ProductosPivot!MQF5)</f>
        <v>#VALUE!</v>
      </c>
      <c r="MQG6" s="68" t="e" cm="1" vm="1">
        <f t="array" ref="MQG6">_xlfn._xlws.FILTER(TablaProductos[Nombre producto],TablaProductos[Agrupación]=ProductosPivot!MQG5)</f>
        <v>#VALUE!</v>
      </c>
      <c r="MQH6" s="68" t="e" cm="1" vm="1">
        <f t="array" ref="MQH6">_xlfn._xlws.FILTER(TablaProductos[Nombre producto],TablaProductos[Agrupación]=ProductosPivot!MQH5)</f>
        <v>#VALUE!</v>
      </c>
      <c r="MQI6" s="68" t="e" cm="1" vm="1">
        <f t="array" ref="MQI6">_xlfn._xlws.FILTER(TablaProductos[Nombre producto],TablaProductos[Agrupación]=ProductosPivot!MQI5)</f>
        <v>#VALUE!</v>
      </c>
      <c r="MQJ6" s="68" t="e" cm="1" vm="1">
        <f t="array" ref="MQJ6">_xlfn._xlws.FILTER(TablaProductos[Nombre producto],TablaProductos[Agrupación]=ProductosPivot!MQJ5)</f>
        <v>#VALUE!</v>
      </c>
      <c r="MQK6" s="68" t="e" cm="1" vm="1">
        <f t="array" ref="MQK6">_xlfn._xlws.FILTER(TablaProductos[Nombre producto],TablaProductos[Agrupación]=ProductosPivot!MQK5)</f>
        <v>#VALUE!</v>
      </c>
      <c r="MQL6" s="68" t="e" cm="1" vm="1">
        <f t="array" ref="MQL6">_xlfn._xlws.FILTER(TablaProductos[Nombre producto],TablaProductos[Agrupación]=ProductosPivot!MQL5)</f>
        <v>#VALUE!</v>
      </c>
      <c r="MQM6" s="68" t="e" cm="1" vm="1">
        <f t="array" ref="MQM6">_xlfn._xlws.FILTER(TablaProductos[Nombre producto],TablaProductos[Agrupación]=ProductosPivot!MQM5)</f>
        <v>#VALUE!</v>
      </c>
      <c r="MQN6" s="68" t="e" cm="1" vm="1">
        <f t="array" ref="MQN6">_xlfn._xlws.FILTER(TablaProductos[Nombre producto],TablaProductos[Agrupación]=ProductosPivot!MQN5)</f>
        <v>#VALUE!</v>
      </c>
      <c r="MQO6" s="68" t="e" cm="1" vm="1">
        <f t="array" ref="MQO6">_xlfn._xlws.FILTER(TablaProductos[Nombre producto],TablaProductos[Agrupación]=ProductosPivot!MQO5)</f>
        <v>#VALUE!</v>
      </c>
      <c r="MQP6" s="68" t="e" cm="1" vm="1">
        <f t="array" ref="MQP6">_xlfn._xlws.FILTER(TablaProductos[Nombre producto],TablaProductos[Agrupación]=ProductosPivot!MQP5)</f>
        <v>#VALUE!</v>
      </c>
      <c r="MQQ6" s="68" t="e" cm="1" vm="1">
        <f t="array" ref="MQQ6">_xlfn._xlws.FILTER(TablaProductos[Nombre producto],TablaProductos[Agrupación]=ProductosPivot!MQQ5)</f>
        <v>#VALUE!</v>
      </c>
      <c r="MQR6" s="68" t="e" cm="1" vm="1">
        <f t="array" ref="MQR6">_xlfn._xlws.FILTER(TablaProductos[Nombre producto],TablaProductos[Agrupación]=ProductosPivot!MQR5)</f>
        <v>#VALUE!</v>
      </c>
      <c r="MQS6" s="68" t="e" cm="1" vm="1">
        <f t="array" ref="MQS6">_xlfn._xlws.FILTER(TablaProductos[Nombre producto],TablaProductos[Agrupación]=ProductosPivot!MQS5)</f>
        <v>#VALUE!</v>
      </c>
      <c r="MQT6" s="68" t="e" cm="1" vm="1">
        <f t="array" ref="MQT6">_xlfn._xlws.FILTER(TablaProductos[Nombre producto],TablaProductos[Agrupación]=ProductosPivot!MQT5)</f>
        <v>#VALUE!</v>
      </c>
      <c r="MQU6" s="68" t="e" cm="1" vm="1">
        <f t="array" ref="MQU6">_xlfn._xlws.FILTER(TablaProductos[Nombre producto],TablaProductos[Agrupación]=ProductosPivot!MQU5)</f>
        <v>#VALUE!</v>
      </c>
      <c r="MQV6" s="68" t="e" cm="1" vm="1">
        <f t="array" ref="MQV6">_xlfn._xlws.FILTER(TablaProductos[Nombre producto],TablaProductos[Agrupación]=ProductosPivot!MQV5)</f>
        <v>#VALUE!</v>
      </c>
      <c r="MQW6" s="68" t="e" cm="1" vm="1">
        <f t="array" ref="MQW6">_xlfn._xlws.FILTER(TablaProductos[Nombre producto],TablaProductos[Agrupación]=ProductosPivot!MQW5)</f>
        <v>#VALUE!</v>
      </c>
      <c r="MQX6" s="68" t="e" cm="1" vm="1">
        <f t="array" ref="MQX6">_xlfn._xlws.FILTER(TablaProductos[Nombre producto],TablaProductos[Agrupación]=ProductosPivot!MQX5)</f>
        <v>#VALUE!</v>
      </c>
      <c r="MQY6" s="68" t="e" cm="1" vm="1">
        <f t="array" ref="MQY6">_xlfn._xlws.FILTER(TablaProductos[Nombre producto],TablaProductos[Agrupación]=ProductosPivot!MQY5)</f>
        <v>#VALUE!</v>
      </c>
      <c r="MQZ6" s="68" t="e" cm="1" vm="1">
        <f t="array" ref="MQZ6">_xlfn._xlws.FILTER(TablaProductos[Nombre producto],TablaProductos[Agrupación]=ProductosPivot!MQZ5)</f>
        <v>#VALUE!</v>
      </c>
      <c r="MRA6" s="68" t="e" cm="1" vm="1">
        <f t="array" ref="MRA6">_xlfn._xlws.FILTER(TablaProductos[Nombre producto],TablaProductos[Agrupación]=ProductosPivot!MRA5)</f>
        <v>#VALUE!</v>
      </c>
      <c r="MRB6" s="68" t="e" cm="1" vm="1">
        <f t="array" ref="MRB6">_xlfn._xlws.FILTER(TablaProductos[Nombre producto],TablaProductos[Agrupación]=ProductosPivot!MRB5)</f>
        <v>#VALUE!</v>
      </c>
      <c r="MRC6" s="68" t="e" cm="1" vm="1">
        <f t="array" ref="MRC6">_xlfn._xlws.FILTER(TablaProductos[Nombre producto],TablaProductos[Agrupación]=ProductosPivot!MRC5)</f>
        <v>#VALUE!</v>
      </c>
      <c r="MRD6" s="68" t="e" cm="1" vm="1">
        <f t="array" ref="MRD6">_xlfn._xlws.FILTER(TablaProductos[Nombre producto],TablaProductos[Agrupación]=ProductosPivot!MRD5)</f>
        <v>#VALUE!</v>
      </c>
      <c r="MRE6" s="68" t="e" cm="1" vm="1">
        <f t="array" ref="MRE6">_xlfn._xlws.FILTER(TablaProductos[Nombre producto],TablaProductos[Agrupación]=ProductosPivot!MRE5)</f>
        <v>#VALUE!</v>
      </c>
      <c r="MRF6" s="68" t="e" cm="1" vm="1">
        <f t="array" ref="MRF6">_xlfn._xlws.FILTER(TablaProductos[Nombre producto],TablaProductos[Agrupación]=ProductosPivot!MRF5)</f>
        <v>#VALUE!</v>
      </c>
      <c r="MRG6" s="68" t="e" cm="1" vm="1">
        <f t="array" ref="MRG6">_xlfn._xlws.FILTER(TablaProductos[Nombre producto],TablaProductos[Agrupación]=ProductosPivot!MRG5)</f>
        <v>#VALUE!</v>
      </c>
      <c r="MRH6" s="68" t="e" cm="1" vm="1">
        <f t="array" ref="MRH6">_xlfn._xlws.FILTER(TablaProductos[Nombre producto],TablaProductos[Agrupación]=ProductosPivot!MRH5)</f>
        <v>#VALUE!</v>
      </c>
      <c r="MRI6" s="68" t="e" cm="1" vm="1">
        <f t="array" ref="MRI6">_xlfn._xlws.FILTER(TablaProductos[Nombre producto],TablaProductos[Agrupación]=ProductosPivot!MRI5)</f>
        <v>#VALUE!</v>
      </c>
      <c r="MRJ6" s="68" t="e" cm="1" vm="1">
        <f t="array" ref="MRJ6">_xlfn._xlws.FILTER(TablaProductos[Nombre producto],TablaProductos[Agrupación]=ProductosPivot!MRJ5)</f>
        <v>#VALUE!</v>
      </c>
      <c r="MRK6" s="68" t="e" cm="1" vm="1">
        <f t="array" ref="MRK6">_xlfn._xlws.FILTER(TablaProductos[Nombre producto],TablaProductos[Agrupación]=ProductosPivot!MRK5)</f>
        <v>#VALUE!</v>
      </c>
      <c r="MRL6" s="68" t="e" cm="1" vm="1">
        <f t="array" ref="MRL6">_xlfn._xlws.FILTER(TablaProductos[Nombre producto],TablaProductos[Agrupación]=ProductosPivot!MRL5)</f>
        <v>#VALUE!</v>
      </c>
      <c r="MRM6" s="68" t="e" cm="1" vm="1">
        <f t="array" ref="MRM6">_xlfn._xlws.FILTER(TablaProductos[Nombre producto],TablaProductos[Agrupación]=ProductosPivot!MRM5)</f>
        <v>#VALUE!</v>
      </c>
      <c r="MRN6" s="68" t="e" cm="1" vm="1">
        <f t="array" ref="MRN6">_xlfn._xlws.FILTER(TablaProductos[Nombre producto],TablaProductos[Agrupación]=ProductosPivot!MRN5)</f>
        <v>#VALUE!</v>
      </c>
      <c r="MRO6" s="68" t="e" cm="1" vm="1">
        <f t="array" ref="MRO6">_xlfn._xlws.FILTER(TablaProductos[Nombre producto],TablaProductos[Agrupación]=ProductosPivot!MRO5)</f>
        <v>#VALUE!</v>
      </c>
      <c r="MRP6" s="68" t="e" cm="1" vm="1">
        <f t="array" ref="MRP6">_xlfn._xlws.FILTER(TablaProductos[Nombre producto],TablaProductos[Agrupación]=ProductosPivot!MRP5)</f>
        <v>#VALUE!</v>
      </c>
      <c r="MRQ6" s="68" t="e" cm="1" vm="1">
        <f t="array" ref="MRQ6">_xlfn._xlws.FILTER(TablaProductos[Nombre producto],TablaProductos[Agrupación]=ProductosPivot!MRQ5)</f>
        <v>#VALUE!</v>
      </c>
      <c r="MRR6" s="68" t="e" cm="1" vm="1">
        <f t="array" ref="MRR6">_xlfn._xlws.FILTER(TablaProductos[Nombre producto],TablaProductos[Agrupación]=ProductosPivot!MRR5)</f>
        <v>#VALUE!</v>
      </c>
      <c r="MRS6" s="68" t="e" cm="1" vm="1">
        <f t="array" ref="MRS6">_xlfn._xlws.FILTER(TablaProductos[Nombre producto],TablaProductos[Agrupación]=ProductosPivot!MRS5)</f>
        <v>#VALUE!</v>
      </c>
      <c r="MRT6" s="68" t="e" cm="1" vm="1">
        <f t="array" ref="MRT6">_xlfn._xlws.FILTER(TablaProductos[Nombre producto],TablaProductos[Agrupación]=ProductosPivot!MRT5)</f>
        <v>#VALUE!</v>
      </c>
      <c r="MRU6" s="68" t="e" cm="1" vm="1">
        <f t="array" ref="MRU6">_xlfn._xlws.FILTER(TablaProductos[Nombre producto],TablaProductos[Agrupación]=ProductosPivot!MRU5)</f>
        <v>#VALUE!</v>
      </c>
      <c r="MRV6" s="68" t="e" cm="1" vm="1">
        <f t="array" ref="MRV6">_xlfn._xlws.FILTER(TablaProductos[Nombre producto],TablaProductos[Agrupación]=ProductosPivot!MRV5)</f>
        <v>#VALUE!</v>
      </c>
      <c r="MRW6" s="68" t="e" cm="1" vm="1">
        <f t="array" ref="MRW6">_xlfn._xlws.FILTER(TablaProductos[Nombre producto],TablaProductos[Agrupación]=ProductosPivot!MRW5)</f>
        <v>#VALUE!</v>
      </c>
      <c r="MRX6" s="68" t="e" cm="1" vm="1">
        <f t="array" ref="MRX6">_xlfn._xlws.FILTER(TablaProductos[Nombre producto],TablaProductos[Agrupación]=ProductosPivot!MRX5)</f>
        <v>#VALUE!</v>
      </c>
      <c r="MRY6" s="68" t="e" cm="1" vm="1">
        <f t="array" ref="MRY6">_xlfn._xlws.FILTER(TablaProductos[Nombre producto],TablaProductos[Agrupación]=ProductosPivot!MRY5)</f>
        <v>#VALUE!</v>
      </c>
      <c r="MRZ6" s="68" t="e" cm="1" vm="1">
        <f t="array" ref="MRZ6">_xlfn._xlws.FILTER(TablaProductos[Nombre producto],TablaProductos[Agrupación]=ProductosPivot!MRZ5)</f>
        <v>#VALUE!</v>
      </c>
      <c r="MSA6" s="68" t="e" cm="1" vm="1">
        <f t="array" ref="MSA6">_xlfn._xlws.FILTER(TablaProductos[Nombre producto],TablaProductos[Agrupación]=ProductosPivot!MSA5)</f>
        <v>#VALUE!</v>
      </c>
      <c r="MSB6" s="68" t="e" cm="1" vm="1">
        <f t="array" ref="MSB6">_xlfn._xlws.FILTER(TablaProductos[Nombre producto],TablaProductos[Agrupación]=ProductosPivot!MSB5)</f>
        <v>#VALUE!</v>
      </c>
      <c r="MSC6" s="68" t="e" cm="1" vm="1">
        <f t="array" ref="MSC6">_xlfn._xlws.FILTER(TablaProductos[Nombre producto],TablaProductos[Agrupación]=ProductosPivot!MSC5)</f>
        <v>#VALUE!</v>
      </c>
      <c r="MSD6" s="68" t="e" cm="1" vm="1">
        <f t="array" ref="MSD6">_xlfn._xlws.FILTER(TablaProductos[Nombre producto],TablaProductos[Agrupación]=ProductosPivot!MSD5)</f>
        <v>#VALUE!</v>
      </c>
      <c r="MSE6" s="68" t="e" cm="1" vm="1">
        <f t="array" ref="MSE6">_xlfn._xlws.FILTER(TablaProductos[Nombre producto],TablaProductos[Agrupación]=ProductosPivot!MSE5)</f>
        <v>#VALUE!</v>
      </c>
      <c r="MSF6" s="68" t="e" cm="1" vm="1">
        <f t="array" ref="MSF6">_xlfn._xlws.FILTER(TablaProductos[Nombre producto],TablaProductos[Agrupación]=ProductosPivot!MSF5)</f>
        <v>#VALUE!</v>
      </c>
      <c r="MSG6" s="68" t="e" cm="1" vm="1">
        <f t="array" ref="MSG6">_xlfn._xlws.FILTER(TablaProductos[Nombre producto],TablaProductos[Agrupación]=ProductosPivot!MSG5)</f>
        <v>#VALUE!</v>
      </c>
      <c r="MSH6" s="68" t="e" cm="1" vm="1">
        <f t="array" ref="MSH6">_xlfn._xlws.FILTER(TablaProductos[Nombre producto],TablaProductos[Agrupación]=ProductosPivot!MSH5)</f>
        <v>#VALUE!</v>
      </c>
      <c r="MSI6" s="68" t="e" cm="1" vm="1">
        <f t="array" ref="MSI6">_xlfn._xlws.FILTER(TablaProductos[Nombre producto],TablaProductos[Agrupación]=ProductosPivot!MSI5)</f>
        <v>#VALUE!</v>
      </c>
      <c r="MSJ6" s="68" t="e" cm="1" vm="1">
        <f t="array" ref="MSJ6">_xlfn._xlws.FILTER(TablaProductos[Nombre producto],TablaProductos[Agrupación]=ProductosPivot!MSJ5)</f>
        <v>#VALUE!</v>
      </c>
      <c r="MSK6" s="68" t="e" cm="1" vm="1">
        <f t="array" ref="MSK6">_xlfn._xlws.FILTER(TablaProductos[Nombre producto],TablaProductos[Agrupación]=ProductosPivot!MSK5)</f>
        <v>#VALUE!</v>
      </c>
      <c r="MSL6" s="68" t="e" cm="1" vm="1">
        <f t="array" ref="MSL6">_xlfn._xlws.FILTER(TablaProductos[Nombre producto],TablaProductos[Agrupación]=ProductosPivot!MSL5)</f>
        <v>#VALUE!</v>
      </c>
      <c r="MSM6" s="68" t="e" cm="1" vm="1">
        <f t="array" ref="MSM6">_xlfn._xlws.FILTER(TablaProductos[Nombre producto],TablaProductos[Agrupación]=ProductosPivot!MSM5)</f>
        <v>#VALUE!</v>
      </c>
      <c r="MSN6" s="68" t="e" cm="1" vm="1">
        <f t="array" ref="MSN6">_xlfn._xlws.FILTER(TablaProductos[Nombre producto],TablaProductos[Agrupación]=ProductosPivot!MSN5)</f>
        <v>#VALUE!</v>
      </c>
      <c r="MSO6" s="68" t="e" cm="1" vm="1">
        <f t="array" ref="MSO6">_xlfn._xlws.FILTER(TablaProductos[Nombre producto],TablaProductos[Agrupación]=ProductosPivot!MSO5)</f>
        <v>#VALUE!</v>
      </c>
      <c r="MSP6" s="68" t="e" cm="1" vm="1">
        <f t="array" ref="MSP6">_xlfn._xlws.FILTER(TablaProductos[Nombre producto],TablaProductos[Agrupación]=ProductosPivot!MSP5)</f>
        <v>#VALUE!</v>
      </c>
      <c r="MSQ6" s="68" t="e" cm="1" vm="1">
        <f t="array" ref="MSQ6">_xlfn._xlws.FILTER(TablaProductos[Nombre producto],TablaProductos[Agrupación]=ProductosPivot!MSQ5)</f>
        <v>#VALUE!</v>
      </c>
      <c r="MSR6" s="68" t="e" cm="1" vm="1">
        <f t="array" ref="MSR6">_xlfn._xlws.FILTER(TablaProductos[Nombre producto],TablaProductos[Agrupación]=ProductosPivot!MSR5)</f>
        <v>#VALUE!</v>
      </c>
      <c r="MSS6" s="68" t="e" cm="1" vm="1">
        <f t="array" ref="MSS6">_xlfn._xlws.FILTER(TablaProductos[Nombre producto],TablaProductos[Agrupación]=ProductosPivot!MSS5)</f>
        <v>#VALUE!</v>
      </c>
      <c r="MST6" s="68" t="e" cm="1" vm="1">
        <f t="array" ref="MST6">_xlfn._xlws.FILTER(TablaProductos[Nombre producto],TablaProductos[Agrupación]=ProductosPivot!MST5)</f>
        <v>#VALUE!</v>
      </c>
      <c r="MSU6" s="68" t="e" cm="1" vm="1">
        <f t="array" ref="MSU6">_xlfn._xlws.FILTER(TablaProductos[Nombre producto],TablaProductos[Agrupación]=ProductosPivot!MSU5)</f>
        <v>#VALUE!</v>
      </c>
      <c r="MSV6" s="68" t="e" cm="1" vm="1">
        <f t="array" ref="MSV6">_xlfn._xlws.FILTER(TablaProductos[Nombre producto],TablaProductos[Agrupación]=ProductosPivot!MSV5)</f>
        <v>#VALUE!</v>
      </c>
      <c r="MSW6" s="68" t="e" cm="1" vm="1">
        <f t="array" ref="MSW6">_xlfn._xlws.FILTER(TablaProductos[Nombre producto],TablaProductos[Agrupación]=ProductosPivot!MSW5)</f>
        <v>#VALUE!</v>
      </c>
      <c r="MSX6" s="68" t="e" cm="1" vm="1">
        <f t="array" ref="MSX6">_xlfn._xlws.FILTER(TablaProductos[Nombre producto],TablaProductos[Agrupación]=ProductosPivot!MSX5)</f>
        <v>#VALUE!</v>
      </c>
      <c r="MSY6" s="68" t="e" cm="1" vm="1">
        <f t="array" ref="MSY6">_xlfn._xlws.FILTER(TablaProductos[Nombre producto],TablaProductos[Agrupación]=ProductosPivot!MSY5)</f>
        <v>#VALUE!</v>
      </c>
      <c r="MSZ6" s="68" t="e" cm="1" vm="1">
        <f t="array" ref="MSZ6">_xlfn._xlws.FILTER(TablaProductos[Nombre producto],TablaProductos[Agrupación]=ProductosPivot!MSZ5)</f>
        <v>#VALUE!</v>
      </c>
      <c r="MTA6" s="68" t="e" cm="1" vm="1">
        <f t="array" ref="MTA6">_xlfn._xlws.FILTER(TablaProductos[Nombre producto],TablaProductos[Agrupación]=ProductosPivot!MTA5)</f>
        <v>#VALUE!</v>
      </c>
      <c r="MTB6" s="68" t="e" cm="1" vm="1">
        <f t="array" ref="MTB6">_xlfn._xlws.FILTER(TablaProductos[Nombre producto],TablaProductos[Agrupación]=ProductosPivot!MTB5)</f>
        <v>#VALUE!</v>
      </c>
      <c r="MTC6" s="68" t="e" cm="1" vm="1">
        <f t="array" ref="MTC6">_xlfn._xlws.FILTER(TablaProductos[Nombre producto],TablaProductos[Agrupación]=ProductosPivot!MTC5)</f>
        <v>#VALUE!</v>
      </c>
      <c r="MTD6" s="68" t="e" cm="1" vm="1">
        <f t="array" ref="MTD6">_xlfn._xlws.FILTER(TablaProductos[Nombre producto],TablaProductos[Agrupación]=ProductosPivot!MTD5)</f>
        <v>#VALUE!</v>
      </c>
      <c r="MTE6" s="68" t="e" cm="1" vm="1">
        <f t="array" ref="MTE6">_xlfn._xlws.FILTER(TablaProductos[Nombre producto],TablaProductos[Agrupación]=ProductosPivot!MTE5)</f>
        <v>#VALUE!</v>
      </c>
      <c r="MTF6" s="68" t="e" cm="1" vm="1">
        <f t="array" ref="MTF6">_xlfn._xlws.FILTER(TablaProductos[Nombre producto],TablaProductos[Agrupación]=ProductosPivot!MTF5)</f>
        <v>#VALUE!</v>
      </c>
      <c r="MTG6" s="68" t="e" cm="1" vm="1">
        <f t="array" ref="MTG6">_xlfn._xlws.FILTER(TablaProductos[Nombre producto],TablaProductos[Agrupación]=ProductosPivot!MTG5)</f>
        <v>#VALUE!</v>
      </c>
      <c r="MTH6" s="68" t="e" cm="1" vm="1">
        <f t="array" ref="MTH6">_xlfn._xlws.FILTER(TablaProductos[Nombre producto],TablaProductos[Agrupación]=ProductosPivot!MTH5)</f>
        <v>#VALUE!</v>
      </c>
      <c r="MTI6" s="68" t="e" cm="1" vm="1">
        <f t="array" ref="MTI6">_xlfn._xlws.FILTER(TablaProductos[Nombre producto],TablaProductos[Agrupación]=ProductosPivot!MTI5)</f>
        <v>#VALUE!</v>
      </c>
      <c r="MTJ6" s="68" t="e" cm="1" vm="1">
        <f t="array" ref="MTJ6">_xlfn._xlws.FILTER(TablaProductos[Nombre producto],TablaProductos[Agrupación]=ProductosPivot!MTJ5)</f>
        <v>#VALUE!</v>
      </c>
      <c r="MTK6" s="68" t="e" cm="1" vm="1">
        <f t="array" ref="MTK6">_xlfn._xlws.FILTER(TablaProductos[Nombre producto],TablaProductos[Agrupación]=ProductosPivot!MTK5)</f>
        <v>#VALUE!</v>
      </c>
      <c r="MTL6" s="68" t="e" cm="1" vm="1">
        <f t="array" ref="MTL6">_xlfn._xlws.FILTER(TablaProductos[Nombre producto],TablaProductos[Agrupación]=ProductosPivot!MTL5)</f>
        <v>#VALUE!</v>
      </c>
      <c r="MTM6" s="68" t="e" cm="1" vm="1">
        <f t="array" ref="MTM6">_xlfn._xlws.FILTER(TablaProductos[Nombre producto],TablaProductos[Agrupación]=ProductosPivot!MTM5)</f>
        <v>#VALUE!</v>
      </c>
      <c r="MTN6" s="68" t="e" cm="1" vm="1">
        <f t="array" ref="MTN6">_xlfn._xlws.FILTER(TablaProductos[Nombre producto],TablaProductos[Agrupación]=ProductosPivot!MTN5)</f>
        <v>#VALUE!</v>
      </c>
      <c r="MTO6" s="68" t="e" cm="1" vm="1">
        <f t="array" ref="MTO6">_xlfn._xlws.FILTER(TablaProductos[Nombre producto],TablaProductos[Agrupación]=ProductosPivot!MTO5)</f>
        <v>#VALUE!</v>
      </c>
      <c r="MTP6" s="68" t="e" cm="1" vm="1">
        <f t="array" ref="MTP6">_xlfn._xlws.FILTER(TablaProductos[Nombre producto],TablaProductos[Agrupación]=ProductosPivot!MTP5)</f>
        <v>#VALUE!</v>
      </c>
      <c r="MTQ6" s="68" t="e" cm="1" vm="1">
        <f t="array" ref="MTQ6">_xlfn._xlws.FILTER(TablaProductos[Nombre producto],TablaProductos[Agrupación]=ProductosPivot!MTQ5)</f>
        <v>#VALUE!</v>
      </c>
      <c r="MTR6" s="68" t="e" cm="1" vm="1">
        <f t="array" ref="MTR6">_xlfn._xlws.FILTER(TablaProductos[Nombre producto],TablaProductos[Agrupación]=ProductosPivot!MTR5)</f>
        <v>#VALUE!</v>
      </c>
      <c r="MTS6" s="68" t="e" cm="1" vm="1">
        <f t="array" ref="MTS6">_xlfn._xlws.FILTER(TablaProductos[Nombre producto],TablaProductos[Agrupación]=ProductosPivot!MTS5)</f>
        <v>#VALUE!</v>
      </c>
      <c r="MTT6" s="68" t="e" cm="1" vm="1">
        <f t="array" ref="MTT6">_xlfn._xlws.FILTER(TablaProductos[Nombre producto],TablaProductos[Agrupación]=ProductosPivot!MTT5)</f>
        <v>#VALUE!</v>
      </c>
      <c r="MTU6" s="68" t="e" cm="1" vm="1">
        <f t="array" ref="MTU6">_xlfn._xlws.FILTER(TablaProductos[Nombre producto],TablaProductos[Agrupación]=ProductosPivot!MTU5)</f>
        <v>#VALUE!</v>
      </c>
      <c r="MTV6" s="68" t="e" cm="1" vm="1">
        <f t="array" ref="MTV6">_xlfn._xlws.FILTER(TablaProductos[Nombre producto],TablaProductos[Agrupación]=ProductosPivot!MTV5)</f>
        <v>#VALUE!</v>
      </c>
      <c r="MTW6" s="68" t="e" cm="1" vm="1">
        <f t="array" ref="MTW6">_xlfn._xlws.FILTER(TablaProductos[Nombre producto],TablaProductos[Agrupación]=ProductosPivot!MTW5)</f>
        <v>#VALUE!</v>
      </c>
      <c r="MTX6" s="68" t="e" cm="1" vm="1">
        <f t="array" ref="MTX6">_xlfn._xlws.FILTER(TablaProductos[Nombre producto],TablaProductos[Agrupación]=ProductosPivot!MTX5)</f>
        <v>#VALUE!</v>
      </c>
      <c r="MTY6" s="68" t="e" cm="1" vm="1">
        <f t="array" ref="MTY6">_xlfn._xlws.FILTER(TablaProductos[Nombre producto],TablaProductos[Agrupación]=ProductosPivot!MTY5)</f>
        <v>#VALUE!</v>
      </c>
      <c r="MTZ6" s="68" t="e" cm="1" vm="1">
        <f t="array" ref="MTZ6">_xlfn._xlws.FILTER(TablaProductos[Nombre producto],TablaProductos[Agrupación]=ProductosPivot!MTZ5)</f>
        <v>#VALUE!</v>
      </c>
      <c r="MUA6" s="68" t="e" cm="1" vm="1">
        <f t="array" ref="MUA6">_xlfn._xlws.FILTER(TablaProductos[Nombre producto],TablaProductos[Agrupación]=ProductosPivot!MUA5)</f>
        <v>#VALUE!</v>
      </c>
      <c r="MUB6" s="68" t="e" cm="1" vm="1">
        <f t="array" ref="MUB6">_xlfn._xlws.FILTER(TablaProductos[Nombre producto],TablaProductos[Agrupación]=ProductosPivot!MUB5)</f>
        <v>#VALUE!</v>
      </c>
      <c r="MUC6" s="68" t="e" cm="1" vm="1">
        <f t="array" ref="MUC6">_xlfn._xlws.FILTER(TablaProductos[Nombre producto],TablaProductos[Agrupación]=ProductosPivot!MUC5)</f>
        <v>#VALUE!</v>
      </c>
      <c r="MUD6" s="68" t="e" cm="1" vm="1">
        <f t="array" ref="MUD6">_xlfn._xlws.FILTER(TablaProductos[Nombre producto],TablaProductos[Agrupación]=ProductosPivot!MUD5)</f>
        <v>#VALUE!</v>
      </c>
      <c r="MUE6" s="68" t="e" cm="1" vm="1">
        <f t="array" ref="MUE6">_xlfn._xlws.FILTER(TablaProductos[Nombre producto],TablaProductos[Agrupación]=ProductosPivot!MUE5)</f>
        <v>#VALUE!</v>
      </c>
      <c r="MUF6" s="68" t="e" cm="1" vm="1">
        <f t="array" ref="MUF6">_xlfn._xlws.FILTER(TablaProductos[Nombre producto],TablaProductos[Agrupación]=ProductosPivot!MUF5)</f>
        <v>#VALUE!</v>
      </c>
      <c r="MUG6" s="68" t="e" cm="1" vm="1">
        <f t="array" ref="MUG6">_xlfn._xlws.FILTER(TablaProductos[Nombre producto],TablaProductos[Agrupación]=ProductosPivot!MUG5)</f>
        <v>#VALUE!</v>
      </c>
      <c r="MUH6" s="68" t="e" cm="1" vm="1">
        <f t="array" ref="MUH6">_xlfn._xlws.FILTER(TablaProductos[Nombre producto],TablaProductos[Agrupación]=ProductosPivot!MUH5)</f>
        <v>#VALUE!</v>
      </c>
      <c r="MUI6" s="68" t="e" cm="1" vm="1">
        <f t="array" ref="MUI6">_xlfn._xlws.FILTER(TablaProductos[Nombre producto],TablaProductos[Agrupación]=ProductosPivot!MUI5)</f>
        <v>#VALUE!</v>
      </c>
      <c r="MUJ6" s="68" t="e" cm="1" vm="1">
        <f t="array" ref="MUJ6">_xlfn._xlws.FILTER(TablaProductos[Nombre producto],TablaProductos[Agrupación]=ProductosPivot!MUJ5)</f>
        <v>#VALUE!</v>
      </c>
      <c r="MUK6" s="68" t="e" cm="1" vm="1">
        <f t="array" ref="MUK6">_xlfn._xlws.FILTER(TablaProductos[Nombre producto],TablaProductos[Agrupación]=ProductosPivot!MUK5)</f>
        <v>#VALUE!</v>
      </c>
      <c r="MUL6" s="68" t="e" cm="1" vm="1">
        <f t="array" ref="MUL6">_xlfn._xlws.FILTER(TablaProductos[Nombre producto],TablaProductos[Agrupación]=ProductosPivot!MUL5)</f>
        <v>#VALUE!</v>
      </c>
      <c r="MUM6" s="68" t="e" cm="1" vm="1">
        <f t="array" ref="MUM6">_xlfn._xlws.FILTER(TablaProductos[Nombre producto],TablaProductos[Agrupación]=ProductosPivot!MUM5)</f>
        <v>#VALUE!</v>
      </c>
      <c r="MUN6" s="68" t="e" cm="1" vm="1">
        <f t="array" ref="MUN6">_xlfn._xlws.FILTER(TablaProductos[Nombre producto],TablaProductos[Agrupación]=ProductosPivot!MUN5)</f>
        <v>#VALUE!</v>
      </c>
      <c r="MUO6" s="68" t="e" cm="1" vm="1">
        <f t="array" ref="MUO6">_xlfn._xlws.FILTER(TablaProductos[Nombre producto],TablaProductos[Agrupación]=ProductosPivot!MUO5)</f>
        <v>#VALUE!</v>
      </c>
      <c r="MUP6" s="68" t="e" cm="1" vm="1">
        <f t="array" ref="MUP6">_xlfn._xlws.FILTER(TablaProductos[Nombre producto],TablaProductos[Agrupación]=ProductosPivot!MUP5)</f>
        <v>#VALUE!</v>
      </c>
      <c r="MUQ6" s="68" t="e" cm="1" vm="1">
        <f t="array" ref="MUQ6">_xlfn._xlws.FILTER(TablaProductos[Nombre producto],TablaProductos[Agrupación]=ProductosPivot!MUQ5)</f>
        <v>#VALUE!</v>
      </c>
      <c r="MUR6" s="68" t="e" cm="1" vm="1">
        <f t="array" ref="MUR6">_xlfn._xlws.FILTER(TablaProductos[Nombre producto],TablaProductos[Agrupación]=ProductosPivot!MUR5)</f>
        <v>#VALUE!</v>
      </c>
      <c r="MUS6" s="68" t="e" cm="1" vm="1">
        <f t="array" ref="MUS6">_xlfn._xlws.FILTER(TablaProductos[Nombre producto],TablaProductos[Agrupación]=ProductosPivot!MUS5)</f>
        <v>#VALUE!</v>
      </c>
      <c r="MUT6" s="68" t="e" cm="1" vm="1">
        <f t="array" ref="MUT6">_xlfn._xlws.FILTER(TablaProductos[Nombre producto],TablaProductos[Agrupación]=ProductosPivot!MUT5)</f>
        <v>#VALUE!</v>
      </c>
      <c r="MUU6" s="68" t="e" cm="1" vm="1">
        <f t="array" ref="MUU6">_xlfn._xlws.FILTER(TablaProductos[Nombre producto],TablaProductos[Agrupación]=ProductosPivot!MUU5)</f>
        <v>#VALUE!</v>
      </c>
      <c r="MUV6" s="68" t="e" cm="1" vm="1">
        <f t="array" ref="MUV6">_xlfn._xlws.FILTER(TablaProductos[Nombre producto],TablaProductos[Agrupación]=ProductosPivot!MUV5)</f>
        <v>#VALUE!</v>
      </c>
      <c r="MUW6" s="68" t="e" cm="1" vm="1">
        <f t="array" ref="MUW6">_xlfn._xlws.FILTER(TablaProductos[Nombre producto],TablaProductos[Agrupación]=ProductosPivot!MUW5)</f>
        <v>#VALUE!</v>
      </c>
      <c r="MUX6" s="68" t="e" cm="1" vm="1">
        <f t="array" ref="MUX6">_xlfn._xlws.FILTER(TablaProductos[Nombre producto],TablaProductos[Agrupación]=ProductosPivot!MUX5)</f>
        <v>#VALUE!</v>
      </c>
      <c r="MUY6" s="68" t="e" cm="1" vm="1">
        <f t="array" ref="MUY6">_xlfn._xlws.FILTER(TablaProductos[Nombre producto],TablaProductos[Agrupación]=ProductosPivot!MUY5)</f>
        <v>#VALUE!</v>
      </c>
      <c r="MUZ6" s="68" t="e" cm="1" vm="1">
        <f t="array" ref="MUZ6">_xlfn._xlws.FILTER(TablaProductos[Nombre producto],TablaProductos[Agrupación]=ProductosPivot!MUZ5)</f>
        <v>#VALUE!</v>
      </c>
      <c r="MVA6" s="68" t="e" cm="1" vm="1">
        <f t="array" ref="MVA6">_xlfn._xlws.FILTER(TablaProductos[Nombre producto],TablaProductos[Agrupación]=ProductosPivot!MVA5)</f>
        <v>#VALUE!</v>
      </c>
      <c r="MVB6" s="68" t="e" cm="1" vm="1">
        <f t="array" ref="MVB6">_xlfn._xlws.FILTER(TablaProductos[Nombre producto],TablaProductos[Agrupación]=ProductosPivot!MVB5)</f>
        <v>#VALUE!</v>
      </c>
      <c r="MVC6" s="68" t="e" cm="1" vm="1">
        <f t="array" ref="MVC6">_xlfn._xlws.FILTER(TablaProductos[Nombre producto],TablaProductos[Agrupación]=ProductosPivot!MVC5)</f>
        <v>#VALUE!</v>
      </c>
      <c r="MVD6" s="68" t="e" cm="1" vm="1">
        <f t="array" ref="MVD6">_xlfn._xlws.FILTER(TablaProductos[Nombre producto],TablaProductos[Agrupación]=ProductosPivot!MVD5)</f>
        <v>#VALUE!</v>
      </c>
      <c r="MVE6" s="68" t="e" cm="1" vm="1">
        <f t="array" ref="MVE6">_xlfn._xlws.FILTER(TablaProductos[Nombre producto],TablaProductos[Agrupación]=ProductosPivot!MVE5)</f>
        <v>#VALUE!</v>
      </c>
      <c r="MVF6" s="68" t="e" cm="1" vm="1">
        <f t="array" ref="MVF6">_xlfn._xlws.FILTER(TablaProductos[Nombre producto],TablaProductos[Agrupación]=ProductosPivot!MVF5)</f>
        <v>#VALUE!</v>
      </c>
      <c r="MVG6" s="68" t="e" cm="1" vm="1">
        <f t="array" ref="MVG6">_xlfn._xlws.FILTER(TablaProductos[Nombre producto],TablaProductos[Agrupación]=ProductosPivot!MVG5)</f>
        <v>#VALUE!</v>
      </c>
      <c r="MVH6" s="68" t="e" cm="1" vm="1">
        <f t="array" ref="MVH6">_xlfn._xlws.FILTER(TablaProductos[Nombre producto],TablaProductos[Agrupación]=ProductosPivot!MVH5)</f>
        <v>#VALUE!</v>
      </c>
      <c r="MVI6" s="68" t="e" cm="1" vm="1">
        <f t="array" ref="MVI6">_xlfn._xlws.FILTER(TablaProductos[Nombre producto],TablaProductos[Agrupación]=ProductosPivot!MVI5)</f>
        <v>#VALUE!</v>
      </c>
      <c r="MVJ6" s="68" t="e" cm="1" vm="1">
        <f t="array" ref="MVJ6">_xlfn._xlws.FILTER(TablaProductos[Nombre producto],TablaProductos[Agrupación]=ProductosPivot!MVJ5)</f>
        <v>#VALUE!</v>
      </c>
      <c r="MVK6" s="68" t="e" cm="1" vm="1">
        <f t="array" ref="MVK6">_xlfn._xlws.FILTER(TablaProductos[Nombre producto],TablaProductos[Agrupación]=ProductosPivot!MVK5)</f>
        <v>#VALUE!</v>
      </c>
      <c r="MVL6" s="68" t="e" cm="1" vm="1">
        <f t="array" ref="MVL6">_xlfn._xlws.FILTER(TablaProductos[Nombre producto],TablaProductos[Agrupación]=ProductosPivot!MVL5)</f>
        <v>#VALUE!</v>
      </c>
      <c r="MVM6" s="68" t="e" cm="1" vm="1">
        <f t="array" ref="MVM6">_xlfn._xlws.FILTER(TablaProductos[Nombre producto],TablaProductos[Agrupación]=ProductosPivot!MVM5)</f>
        <v>#VALUE!</v>
      </c>
      <c r="MVN6" s="68" t="e" cm="1" vm="1">
        <f t="array" ref="MVN6">_xlfn._xlws.FILTER(TablaProductos[Nombre producto],TablaProductos[Agrupación]=ProductosPivot!MVN5)</f>
        <v>#VALUE!</v>
      </c>
      <c r="MVO6" s="68" t="e" cm="1" vm="1">
        <f t="array" ref="MVO6">_xlfn._xlws.FILTER(TablaProductos[Nombre producto],TablaProductos[Agrupación]=ProductosPivot!MVO5)</f>
        <v>#VALUE!</v>
      </c>
      <c r="MVP6" s="68" t="e" cm="1" vm="1">
        <f t="array" ref="MVP6">_xlfn._xlws.FILTER(TablaProductos[Nombre producto],TablaProductos[Agrupación]=ProductosPivot!MVP5)</f>
        <v>#VALUE!</v>
      </c>
      <c r="MVQ6" s="68" t="e" cm="1" vm="1">
        <f t="array" ref="MVQ6">_xlfn._xlws.FILTER(TablaProductos[Nombre producto],TablaProductos[Agrupación]=ProductosPivot!MVQ5)</f>
        <v>#VALUE!</v>
      </c>
      <c r="MVR6" s="68" t="e" cm="1" vm="1">
        <f t="array" ref="MVR6">_xlfn._xlws.FILTER(TablaProductos[Nombre producto],TablaProductos[Agrupación]=ProductosPivot!MVR5)</f>
        <v>#VALUE!</v>
      </c>
      <c r="MVS6" s="68" t="e" cm="1" vm="1">
        <f t="array" ref="MVS6">_xlfn._xlws.FILTER(TablaProductos[Nombre producto],TablaProductos[Agrupación]=ProductosPivot!MVS5)</f>
        <v>#VALUE!</v>
      </c>
      <c r="MVT6" s="68" t="e" cm="1" vm="1">
        <f t="array" ref="MVT6">_xlfn._xlws.FILTER(TablaProductos[Nombre producto],TablaProductos[Agrupación]=ProductosPivot!MVT5)</f>
        <v>#VALUE!</v>
      </c>
      <c r="MVU6" s="68" t="e" cm="1" vm="1">
        <f t="array" ref="MVU6">_xlfn._xlws.FILTER(TablaProductos[Nombre producto],TablaProductos[Agrupación]=ProductosPivot!MVU5)</f>
        <v>#VALUE!</v>
      </c>
      <c r="MVV6" s="68" t="e" cm="1" vm="1">
        <f t="array" ref="MVV6">_xlfn._xlws.FILTER(TablaProductos[Nombre producto],TablaProductos[Agrupación]=ProductosPivot!MVV5)</f>
        <v>#VALUE!</v>
      </c>
      <c r="MVW6" s="68" t="e" cm="1" vm="1">
        <f t="array" ref="MVW6">_xlfn._xlws.FILTER(TablaProductos[Nombre producto],TablaProductos[Agrupación]=ProductosPivot!MVW5)</f>
        <v>#VALUE!</v>
      </c>
      <c r="MVX6" s="68" t="e" cm="1" vm="1">
        <f t="array" ref="MVX6">_xlfn._xlws.FILTER(TablaProductos[Nombre producto],TablaProductos[Agrupación]=ProductosPivot!MVX5)</f>
        <v>#VALUE!</v>
      </c>
      <c r="MVY6" s="68" t="e" cm="1" vm="1">
        <f t="array" ref="MVY6">_xlfn._xlws.FILTER(TablaProductos[Nombre producto],TablaProductos[Agrupación]=ProductosPivot!MVY5)</f>
        <v>#VALUE!</v>
      </c>
      <c r="MVZ6" s="68" t="e" cm="1" vm="1">
        <f t="array" ref="MVZ6">_xlfn._xlws.FILTER(TablaProductos[Nombre producto],TablaProductos[Agrupación]=ProductosPivot!MVZ5)</f>
        <v>#VALUE!</v>
      </c>
      <c r="MWA6" s="68" t="e" cm="1" vm="1">
        <f t="array" ref="MWA6">_xlfn._xlws.FILTER(TablaProductos[Nombre producto],TablaProductos[Agrupación]=ProductosPivot!MWA5)</f>
        <v>#VALUE!</v>
      </c>
      <c r="MWB6" s="68" t="e" cm="1" vm="1">
        <f t="array" ref="MWB6">_xlfn._xlws.FILTER(TablaProductos[Nombre producto],TablaProductos[Agrupación]=ProductosPivot!MWB5)</f>
        <v>#VALUE!</v>
      </c>
      <c r="MWC6" s="68" t="e" cm="1" vm="1">
        <f t="array" ref="MWC6">_xlfn._xlws.FILTER(TablaProductos[Nombre producto],TablaProductos[Agrupación]=ProductosPivot!MWC5)</f>
        <v>#VALUE!</v>
      </c>
      <c r="MWD6" s="68" t="e" cm="1" vm="1">
        <f t="array" ref="MWD6">_xlfn._xlws.FILTER(TablaProductos[Nombre producto],TablaProductos[Agrupación]=ProductosPivot!MWD5)</f>
        <v>#VALUE!</v>
      </c>
      <c r="MWE6" s="68" t="e" cm="1" vm="1">
        <f t="array" ref="MWE6">_xlfn._xlws.FILTER(TablaProductos[Nombre producto],TablaProductos[Agrupación]=ProductosPivot!MWE5)</f>
        <v>#VALUE!</v>
      </c>
      <c r="MWF6" s="68" t="e" cm="1" vm="1">
        <f t="array" ref="MWF6">_xlfn._xlws.FILTER(TablaProductos[Nombre producto],TablaProductos[Agrupación]=ProductosPivot!MWF5)</f>
        <v>#VALUE!</v>
      </c>
      <c r="MWG6" s="68" t="e" cm="1" vm="1">
        <f t="array" ref="MWG6">_xlfn._xlws.FILTER(TablaProductos[Nombre producto],TablaProductos[Agrupación]=ProductosPivot!MWG5)</f>
        <v>#VALUE!</v>
      </c>
      <c r="MWH6" s="68" t="e" cm="1" vm="1">
        <f t="array" ref="MWH6">_xlfn._xlws.FILTER(TablaProductos[Nombre producto],TablaProductos[Agrupación]=ProductosPivot!MWH5)</f>
        <v>#VALUE!</v>
      </c>
      <c r="MWI6" s="68" t="e" cm="1" vm="1">
        <f t="array" ref="MWI6">_xlfn._xlws.FILTER(TablaProductos[Nombre producto],TablaProductos[Agrupación]=ProductosPivot!MWI5)</f>
        <v>#VALUE!</v>
      </c>
      <c r="MWJ6" s="68" t="e" cm="1" vm="1">
        <f t="array" ref="MWJ6">_xlfn._xlws.FILTER(TablaProductos[Nombre producto],TablaProductos[Agrupación]=ProductosPivot!MWJ5)</f>
        <v>#VALUE!</v>
      </c>
      <c r="MWK6" s="68" t="e" cm="1" vm="1">
        <f t="array" ref="MWK6">_xlfn._xlws.FILTER(TablaProductos[Nombre producto],TablaProductos[Agrupación]=ProductosPivot!MWK5)</f>
        <v>#VALUE!</v>
      </c>
      <c r="MWL6" s="68" t="e" cm="1" vm="1">
        <f t="array" ref="MWL6">_xlfn._xlws.FILTER(TablaProductos[Nombre producto],TablaProductos[Agrupación]=ProductosPivot!MWL5)</f>
        <v>#VALUE!</v>
      </c>
      <c r="MWM6" s="68" t="e" cm="1" vm="1">
        <f t="array" ref="MWM6">_xlfn._xlws.FILTER(TablaProductos[Nombre producto],TablaProductos[Agrupación]=ProductosPivot!MWM5)</f>
        <v>#VALUE!</v>
      </c>
      <c r="MWN6" s="68" t="e" cm="1" vm="1">
        <f t="array" ref="MWN6">_xlfn._xlws.FILTER(TablaProductos[Nombre producto],TablaProductos[Agrupación]=ProductosPivot!MWN5)</f>
        <v>#VALUE!</v>
      </c>
      <c r="MWO6" s="68" t="e" cm="1" vm="1">
        <f t="array" ref="MWO6">_xlfn._xlws.FILTER(TablaProductos[Nombre producto],TablaProductos[Agrupación]=ProductosPivot!MWO5)</f>
        <v>#VALUE!</v>
      </c>
      <c r="MWP6" s="68" t="e" cm="1" vm="1">
        <f t="array" ref="MWP6">_xlfn._xlws.FILTER(TablaProductos[Nombre producto],TablaProductos[Agrupación]=ProductosPivot!MWP5)</f>
        <v>#VALUE!</v>
      </c>
      <c r="MWQ6" s="68" t="e" cm="1" vm="1">
        <f t="array" ref="MWQ6">_xlfn._xlws.FILTER(TablaProductos[Nombre producto],TablaProductos[Agrupación]=ProductosPivot!MWQ5)</f>
        <v>#VALUE!</v>
      </c>
      <c r="MWR6" s="68" t="e" cm="1" vm="1">
        <f t="array" ref="MWR6">_xlfn._xlws.FILTER(TablaProductos[Nombre producto],TablaProductos[Agrupación]=ProductosPivot!MWR5)</f>
        <v>#VALUE!</v>
      </c>
      <c r="MWS6" s="68" t="e" cm="1" vm="1">
        <f t="array" ref="MWS6">_xlfn._xlws.FILTER(TablaProductos[Nombre producto],TablaProductos[Agrupación]=ProductosPivot!MWS5)</f>
        <v>#VALUE!</v>
      </c>
      <c r="MWT6" s="68" t="e" cm="1" vm="1">
        <f t="array" ref="MWT6">_xlfn._xlws.FILTER(TablaProductos[Nombre producto],TablaProductos[Agrupación]=ProductosPivot!MWT5)</f>
        <v>#VALUE!</v>
      </c>
      <c r="MWU6" s="68" t="e" cm="1" vm="1">
        <f t="array" ref="MWU6">_xlfn._xlws.FILTER(TablaProductos[Nombre producto],TablaProductos[Agrupación]=ProductosPivot!MWU5)</f>
        <v>#VALUE!</v>
      </c>
      <c r="MWV6" s="68" t="e" cm="1" vm="1">
        <f t="array" ref="MWV6">_xlfn._xlws.FILTER(TablaProductos[Nombre producto],TablaProductos[Agrupación]=ProductosPivot!MWV5)</f>
        <v>#VALUE!</v>
      </c>
      <c r="MWW6" s="68" t="e" cm="1" vm="1">
        <f t="array" ref="MWW6">_xlfn._xlws.FILTER(TablaProductos[Nombre producto],TablaProductos[Agrupación]=ProductosPivot!MWW5)</f>
        <v>#VALUE!</v>
      </c>
      <c r="MWX6" s="68" t="e" cm="1" vm="1">
        <f t="array" ref="MWX6">_xlfn._xlws.FILTER(TablaProductos[Nombre producto],TablaProductos[Agrupación]=ProductosPivot!MWX5)</f>
        <v>#VALUE!</v>
      </c>
      <c r="MWY6" s="68" t="e" cm="1" vm="1">
        <f t="array" ref="MWY6">_xlfn._xlws.FILTER(TablaProductos[Nombre producto],TablaProductos[Agrupación]=ProductosPivot!MWY5)</f>
        <v>#VALUE!</v>
      </c>
      <c r="MWZ6" s="68" t="e" cm="1" vm="1">
        <f t="array" ref="MWZ6">_xlfn._xlws.FILTER(TablaProductos[Nombre producto],TablaProductos[Agrupación]=ProductosPivot!MWZ5)</f>
        <v>#VALUE!</v>
      </c>
      <c r="MXA6" s="68" t="e" cm="1" vm="1">
        <f t="array" ref="MXA6">_xlfn._xlws.FILTER(TablaProductos[Nombre producto],TablaProductos[Agrupación]=ProductosPivot!MXA5)</f>
        <v>#VALUE!</v>
      </c>
      <c r="MXB6" s="68" t="e" cm="1" vm="1">
        <f t="array" ref="MXB6">_xlfn._xlws.FILTER(TablaProductos[Nombre producto],TablaProductos[Agrupación]=ProductosPivot!MXB5)</f>
        <v>#VALUE!</v>
      </c>
      <c r="MXC6" s="68" t="e" cm="1" vm="1">
        <f t="array" ref="MXC6">_xlfn._xlws.FILTER(TablaProductos[Nombre producto],TablaProductos[Agrupación]=ProductosPivot!MXC5)</f>
        <v>#VALUE!</v>
      </c>
      <c r="MXD6" s="68" t="e" cm="1" vm="1">
        <f t="array" ref="MXD6">_xlfn._xlws.FILTER(TablaProductos[Nombre producto],TablaProductos[Agrupación]=ProductosPivot!MXD5)</f>
        <v>#VALUE!</v>
      </c>
      <c r="MXE6" s="68" t="e" cm="1" vm="1">
        <f t="array" ref="MXE6">_xlfn._xlws.FILTER(TablaProductos[Nombre producto],TablaProductos[Agrupación]=ProductosPivot!MXE5)</f>
        <v>#VALUE!</v>
      </c>
      <c r="MXF6" s="68" t="e" cm="1" vm="1">
        <f t="array" ref="MXF6">_xlfn._xlws.FILTER(TablaProductos[Nombre producto],TablaProductos[Agrupación]=ProductosPivot!MXF5)</f>
        <v>#VALUE!</v>
      </c>
      <c r="MXG6" s="68" t="e" cm="1" vm="1">
        <f t="array" ref="MXG6">_xlfn._xlws.FILTER(TablaProductos[Nombre producto],TablaProductos[Agrupación]=ProductosPivot!MXG5)</f>
        <v>#VALUE!</v>
      </c>
      <c r="MXH6" s="68" t="e" cm="1" vm="1">
        <f t="array" ref="MXH6">_xlfn._xlws.FILTER(TablaProductos[Nombre producto],TablaProductos[Agrupación]=ProductosPivot!MXH5)</f>
        <v>#VALUE!</v>
      </c>
      <c r="MXI6" s="68" t="e" cm="1" vm="1">
        <f t="array" ref="MXI6">_xlfn._xlws.FILTER(TablaProductos[Nombre producto],TablaProductos[Agrupación]=ProductosPivot!MXI5)</f>
        <v>#VALUE!</v>
      </c>
      <c r="MXJ6" s="68" t="e" cm="1" vm="1">
        <f t="array" ref="MXJ6">_xlfn._xlws.FILTER(TablaProductos[Nombre producto],TablaProductos[Agrupación]=ProductosPivot!MXJ5)</f>
        <v>#VALUE!</v>
      </c>
      <c r="MXK6" s="68" t="e" cm="1" vm="1">
        <f t="array" ref="MXK6">_xlfn._xlws.FILTER(TablaProductos[Nombre producto],TablaProductos[Agrupación]=ProductosPivot!MXK5)</f>
        <v>#VALUE!</v>
      </c>
      <c r="MXL6" s="68" t="e" cm="1" vm="1">
        <f t="array" ref="MXL6">_xlfn._xlws.FILTER(TablaProductos[Nombre producto],TablaProductos[Agrupación]=ProductosPivot!MXL5)</f>
        <v>#VALUE!</v>
      </c>
      <c r="MXM6" s="68" t="e" cm="1" vm="1">
        <f t="array" ref="MXM6">_xlfn._xlws.FILTER(TablaProductos[Nombre producto],TablaProductos[Agrupación]=ProductosPivot!MXM5)</f>
        <v>#VALUE!</v>
      </c>
      <c r="MXN6" s="68" t="e" cm="1" vm="1">
        <f t="array" ref="MXN6">_xlfn._xlws.FILTER(TablaProductos[Nombre producto],TablaProductos[Agrupación]=ProductosPivot!MXN5)</f>
        <v>#VALUE!</v>
      </c>
      <c r="MXO6" s="68" t="e" cm="1" vm="1">
        <f t="array" ref="MXO6">_xlfn._xlws.FILTER(TablaProductos[Nombre producto],TablaProductos[Agrupación]=ProductosPivot!MXO5)</f>
        <v>#VALUE!</v>
      </c>
      <c r="MXP6" s="68" t="e" cm="1" vm="1">
        <f t="array" ref="MXP6">_xlfn._xlws.FILTER(TablaProductos[Nombre producto],TablaProductos[Agrupación]=ProductosPivot!MXP5)</f>
        <v>#VALUE!</v>
      </c>
      <c r="MXQ6" s="68" t="e" cm="1" vm="1">
        <f t="array" ref="MXQ6">_xlfn._xlws.FILTER(TablaProductos[Nombre producto],TablaProductos[Agrupación]=ProductosPivot!MXQ5)</f>
        <v>#VALUE!</v>
      </c>
      <c r="MXR6" s="68" t="e" cm="1" vm="1">
        <f t="array" ref="MXR6">_xlfn._xlws.FILTER(TablaProductos[Nombre producto],TablaProductos[Agrupación]=ProductosPivot!MXR5)</f>
        <v>#VALUE!</v>
      </c>
      <c r="MXS6" s="68" t="e" cm="1" vm="1">
        <f t="array" ref="MXS6">_xlfn._xlws.FILTER(TablaProductos[Nombre producto],TablaProductos[Agrupación]=ProductosPivot!MXS5)</f>
        <v>#VALUE!</v>
      </c>
      <c r="MXT6" s="68" t="e" cm="1" vm="1">
        <f t="array" ref="MXT6">_xlfn._xlws.FILTER(TablaProductos[Nombre producto],TablaProductos[Agrupación]=ProductosPivot!MXT5)</f>
        <v>#VALUE!</v>
      </c>
      <c r="MXU6" s="68" t="e" cm="1" vm="1">
        <f t="array" ref="MXU6">_xlfn._xlws.FILTER(TablaProductos[Nombre producto],TablaProductos[Agrupación]=ProductosPivot!MXU5)</f>
        <v>#VALUE!</v>
      </c>
      <c r="MXV6" s="68" t="e" cm="1" vm="1">
        <f t="array" ref="MXV6">_xlfn._xlws.FILTER(TablaProductos[Nombre producto],TablaProductos[Agrupación]=ProductosPivot!MXV5)</f>
        <v>#VALUE!</v>
      </c>
      <c r="MXW6" s="68" t="e" cm="1" vm="1">
        <f t="array" ref="MXW6">_xlfn._xlws.FILTER(TablaProductos[Nombre producto],TablaProductos[Agrupación]=ProductosPivot!MXW5)</f>
        <v>#VALUE!</v>
      </c>
      <c r="MXX6" s="68" t="e" cm="1" vm="1">
        <f t="array" ref="MXX6">_xlfn._xlws.FILTER(TablaProductos[Nombre producto],TablaProductos[Agrupación]=ProductosPivot!MXX5)</f>
        <v>#VALUE!</v>
      </c>
      <c r="MXY6" s="68" t="e" cm="1" vm="1">
        <f t="array" ref="MXY6">_xlfn._xlws.FILTER(TablaProductos[Nombre producto],TablaProductos[Agrupación]=ProductosPivot!MXY5)</f>
        <v>#VALUE!</v>
      </c>
      <c r="MXZ6" s="68" t="e" cm="1" vm="1">
        <f t="array" ref="MXZ6">_xlfn._xlws.FILTER(TablaProductos[Nombre producto],TablaProductos[Agrupación]=ProductosPivot!MXZ5)</f>
        <v>#VALUE!</v>
      </c>
      <c r="MYA6" s="68" t="e" cm="1" vm="1">
        <f t="array" ref="MYA6">_xlfn._xlws.FILTER(TablaProductos[Nombre producto],TablaProductos[Agrupación]=ProductosPivot!MYA5)</f>
        <v>#VALUE!</v>
      </c>
      <c r="MYB6" s="68" t="e" cm="1" vm="1">
        <f t="array" ref="MYB6">_xlfn._xlws.FILTER(TablaProductos[Nombre producto],TablaProductos[Agrupación]=ProductosPivot!MYB5)</f>
        <v>#VALUE!</v>
      </c>
      <c r="MYC6" s="68" t="e" cm="1" vm="1">
        <f t="array" ref="MYC6">_xlfn._xlws.FILTER(TablaProductos[Nombre producto],TablaProductos[Agrupación]=ProductosPivot!MYC5)</f>
        <v>#VALUE!</v>
      </c>
      <c r="MYD6" s="68" t="e" cm="1" vm="1">
        <f t="array" ref="MYD6">_xlfn._xlws.FILTER(TablaProductos[Nombre producto],TablaProductos[Agrupación]=ProductosPivot!MYD5)</f>
        <v>#VALUE!</v>
      </c>
      <c r="MYE6" s="68" t="e" cm="1" vm="1">
        <f t="array" ref="MYE6">_xlfn._xlws.FILTER(TablaProductos[Nombre producto],TablaProductos[Agrupación]=ProductosPivot!MYE5)</f>
        <v>#VALUE!</v>
      </c>
      <c r="MYF6" s="68" t="e" cm="1" vm="1">
        <f t="array" ref="MYF6">_xlfn._xlws.FILTER(TablaProductos[Nombre producto],TablaProductos[Agrupación]=ProductosPivot!MYF5)</f>
        <v>#VALUE!</v>
      </c>
      <c r="MYG6" s="68" t="e" cm="1" vm="1">
        <f t="array" ref="MYG6">_xlfn._xlws.FILTER(TablaProductos[Nombre producto],TablaProductos[Agrupación]=ProductosPivot!MYG5)</f>
        <v>#VALUE!</v>
      </c>
      <c r="MYH6" s="68" t="e" cm="1" vm="1">
        <f t="array" ref="MYH6">_xlfn._xlws.FILTER(TablaProductos[Nombre producto],TablaProductos[Agrupación]=ProductosPivot!MYH5)</f>
        <v>#VALUE!</v>
      </c>
      <c r="MYI6" s="68" t="e" cm="1" vm="1">
        <f t="array" ref="MYI6">_xlfn._xlws.FILTER(TablaProductos[Nombre producto],TablaProductos[Agrupación]=ProductosPivot!MYI5)</f>
        <v>#VALUE!</v>
      </c>
      <c r="MYJ6" s="68" t="e" cm="1" vm="1">
        <f t="array" ref="MYJ6">_xlfn._xlws.FILTER(TablaProductos[Nombre producto],TablaProductos[Agrupación]=ProductosPivot!MYJ5)</f>
        <v>#VALUE!</v>
      </c>
      <c r="MYK6" s="68" t="e" cm="1" vm="1">
        <f t="array" ref="MYK6">_xlfn._xlws.FILTER(TablaProductos[Nombre producto],TablaProductos[Agrupación]=ProductosPivot!MYK5)</f>
        <v>#VALUE!</v>
      </c>
      <c r="MYL6" s="68" t="e" cm="1" vm="1">
        <f t="array" ref="MYL6">_xlfn._xlws.FILTER(TablaProductos[Nombre producto],TablaProductos[Agrupación]=ProductosPivot!MYL5)</f>
        <v>#VALUE!</v>
      </c>
      <c r="MYM6" s="68" t="e" cm="1" vm="1">
        <f t="array" ref="MYM6">_xlfn._xlws.FILTER(TablaProductos[Nombre producto],TablaProductos[Agrupación]=ProductosPivot!MYM5)</f>
        <v>#VALUE!</v>
      </c>
      <c r="MYN6" s="68" t="e" cm="1" vm="1">
        <f t="array" ref="MYN6">_xlfn._xlws.FILTER(TablaProductos[Nombre producto],TablaProductos[Agrupación]=ProductosPivot!MYN5)</f>
        <v>#VALUE!</v>
      </c>
      <c r="MYO6" s="68" t="e" cm="1" vm="1">
        <f t="array" ref="MYO6">_xlfn._xlws.FILTER(TablaProductos[Nombre producto],TablaProductos[Agrupación]=ProductosPivot!MYO5)</f>
        <v>#VALUE!</v>
      </c>
      <c r="MYP6" s="68" t="e" cm="1" vm="1">
        <f t="array" ref="MYP6">_xlfn._xlws.FILTER(TablaProductos[Nombre producto],TablaProductos[Agrupación]=ProductosPivot!MYP5)</f>
        <v>#VALUE!</v>
      </c>
      <c r="MYQ6" s="68" t="e" cm="1" vm="1">
        <f t="array" ref="MYQ6">_xlfn._xlws.FILTER(TablaProductos[Nombre producto],TablaProductos[Agrupación]=ProductosPivot!MYQ5)</f>
        <v>#VALUE!</v>
      </c>
      <c r="MYR6" s="68" t="e" cm="1" vm="1">
        <f t="array" ref="MYR6">_xlfn._xlws.FILTER(TablaProductos[Nombre producto],TablaProductos[Agrupación]=ProductosPivot!MYR5)</f>
        <v>#VALUE!</v>
      </c>
      <c r="MYS6" s="68" t="e" cm="1" vm="1">
        <f t="array" ref="MYS6">_xlfn._xlws.FILTER(TablaProductos[Nombre producto],TablaProductos[Agrupación]=ProductosPivot!MYS5)</f>
        <v>#VALUE!</v>
      </c>
      <c r="MYT6" s="68" t="e" cm="1" vm="1">
        <f t="array" ref="MYT6">_xlfn._xlws.FILTER(TablaProductos[Nombre producto],TablaProductos[Agrupación]=ProductosPivot!MYT5)</f>
        <v>#VALUE!</v>
      </c>
      <c r="MYU6" s="68" t="e" cm="1" vm="1">
        <f t="array" ref="MYU6">_xlfn._xlws.FILTER(TablaProductos[Nombre producto],TablaProductos[Agrupación]=ProductosPivot!MYU5)</f>
        <v>#VALUE!</v>
      </c>
      <c r="MYV6" s="68" t="e" cm="1" vm="1">
        <f t="array" ref="MYV6">_xlfn._xlws.FILTER(TablaProductos[Nombre producto],TablaProductos[Agrupación]=ProductosPivot!MYV5)</f>
        <v>#VALUE!</v>
      </c>
      <c r="MYW6" s="68" t="e" cm="1" vm="1">
        <f t="array" ref="MYW6">_xlfn._xlws.FILTER(TablaProductos[Nombre producto],TablaProductos[Agrupación]=ProductosPivot!MYW5)</f>
        <v>#VALUE!</v>
      </c>
      <c r="MYX6" s="68" t="e" cm="1" vm="1">
        <f t="array" ref="MYX6">_xlfn._xlws.FILTER(TablaProductos[Nombre producto],TablaProductos[Agrupación]=ProductosPivot!MYX5)</f>
        <v>#VALUE!</v>
      </c>
      <c r="MYY6" s="68" t="e" cm="1" vm="1">
        <f t="array" ref="MYY6">_xlfn._xlws.FILTER(TablaProductos[Nombre producto],TablaProductos[Agrupación]=ProductosPivot!MYY5)</f>
        <v>#VALUE!</v>
      </c>
      <c r="MYZ6" s="68" t="e" cm="1" vm="1">
        <f t="array" ref="MYZ6">_xlfn._xlws.FILTER(TablaProductos[Nombre producto],TablaProductos[Agrupación]=ProductosPivot!MYZ5)</f>
        <v>#VALUE!</v>
      </c>
      <c r="MZA6" s="68" t="e" cm="1" vm="1">
        <f t="array" ref="MZA6">_xlfn._xlws.FILTER(TablaProductos[Nombre producto],TablaProductos[Agrupación]=ProductosPivot!MZA5)</f>
        <v>#VALUE!</v>
      </c>
      <c r="MZB6" s="68" t="e" cm="1" vm="1">
        <f t="array" ref="MZB6">_xlfn._xlws.FILTER(TablaProductos[Nombre producto],TablaProductos[Agrupación]=ProductosPivot!MZB5)</f>
        <v>#VALUE!</v>
      </c>
      <c r="MZC6" s="68" t="e" cm="1" vm="1">
        <f t="array" ref="MZC6">_xlfn._xlws.FILTER(TablaProductos[Nombre producto],TablaProductos[Agrupación]=ProductosPivot!MZC5)</f>
        <v>#VALUE!</v>
      </c>
      <c r="MZD6" s="68" t="e" cm="1" vm="1">
        <f t="array" ref="MZD6">_xlfn._xlws.FILTER(TablaProductos[Nombre producto],TablaProductos[Agrupación]=ProductosPivot!MZD5)</f>
        <v>#VALUE!</v>
      </c>
      <c r="MZE6" s="68" t="e" cm="1" vm="1">
        <f t="array" ref="MZE6">_xlfn._xlws.FILTER(TablaProductos[Nombre producto],TablaProductos[Agrupación]=ProductosPivot!MZE5)</f>
        <v>#VALUE!</v>
      </c>
      <c r="MZF6" s="68" t="e" cm="1" vm="1">
        <f t="array" ref="MZF6">_xlfn._xlws.FILTER(TablaProductos[Nombre producto],TablaProductos[Agrupación]=ProductosPivot!MZF5)</f>
        <v>#VALUE!</v>
      </c>
      <c r="MZG6" s="68" t="e" cm="1" vm="1">
        <f t="array" ref="MZG6">_xlfn._xlws.FILTER(TablaProductos[Nombre producto],TablaProductos[Agrupación]=ProductosPivot!MZG5)</f>
        <v>#VALUE!</v>
      </c>
      <c r="MZH6" s="68" t="e" cm="1" vm="1">
        <f t="array" ref="MZH6">_xlfn._xlws.FILTER(TablaProductos[Nombre producto],TablaProductos[Agrupación]=ProductosPivot!MZH5)</f>
        <v>#VALUE!</v>
      </c>
      <c r="MZI6" s="68" t="e" cm="1" vm="1">
        <f t="array" ref="MZI6">_xlfn._xlws.FILTER(TablaProductos[Nombre producto],TablaProductos[Agrupación]=ProductosPivot!MZI5)</f>
        <v>#VALUE!</v>
      </c>
      <c r="MZJ6" s="68" t="e" cm="1" vm="1">
        <f t="array" ref="MZJ6">_xlfn._xlws.FILTER(TablaProductos[Nombre producto],TablaProductos[Agrupación]=ProductosPivot!MZJ5)</f>
        <v>#VALUE!</v>
      </c>
      <c r="MZK6" s="68" t="e" cm="1" vm="1">
        <f t="array" ref="MZK6">_xlfn._xlws.FILTER(TablaProductos[Nombre producto],TablaProductos[Agrupación]=ProductosPivot!MZK5)</f>
        <v>#VALUE!</v>
      </c>
      <c r="MZL6" s="68" t="e" cm="1" vm="1">
        <f t="array" ref="MZL6">_xlfn._xlws.FILTER(TablaProductos[Nombre producto],TablaProductos[Agrupación]=ProductosPivot!MZL5)</f>
        <v>#VALUE!</v>
      </c>
      <c r="MZM6" s="68" t="e" cm="1" vm="1">
        <f t="array" ref="MZM6">_xlfn._xlws.FILTER(TablaProductos[Nombre producto],TablaProductos[Agrupación]=ProductosPivot!MZM5)</f>
        <v>#VALUE!</v>
      </c>
      <c r="MZN6" s="68" t="e" cm="1" vm="1">
        <f t="array" ref="MZN6">_xlfn._xlws.FILTER(TablaProductos[Nombre producto],TablaProductos[Agrupación]=ProductosPivot!MZN5)</f>
        <v>#VALUE!</v>
      </c>
      <c r="MZO6" s="68" t="e" cm="1" vm="1">
        <f t="array" ref="MZO6">_xlfn._xlws.FILTER(TablaProductos[Nombre producto],TablaProductos[Agrupación]=ProductosPivot!MZO5)</f>
        <v>#VALUE!</v>
      </c>
      <c r="MZP6" s="68" t="e" cm="1" vm="1">
        <f t="array" ref="MZP6">_xlfn._xlws.FILTER(TablaProductos[Nombre producto],TablaProductos[Agrupación]=ProductosPivot!MZP5)</f>
        <v>#VALUE!</v>
      </c>
      <c r="MZQ6" s="68" t="e" cm="1" vm="1">
        <f t="array" ref="MZQ6">_xlfn._xlws.FILTER(TablaProductos[Nombre producto],TablaProductos[Agrupación]=ProductosPivot!MZQ5)</f>
        <v>#VALUE!</v>
      </c>
      <c r="MZR6" s="68" t="e" cm="1" vm="1">
        <f t="array" ref="MZR6">_xlfn._xlws.FILTER(TablaProductos[Nombre producto],TablaProductos[Agrupación]=ProductosPivot!MZR5)</f>
        <v>#VALUE!</v>
      </c>
      <c r="MZS6" s="68" t="e" cm="1" vm="1">
        <f t="array" ref="MZS6">_xlfn._xlws.FILTER(TablaProductos[Nombre producto],TablaProductos[Agrupación]=ProductosPivot!MZS5)</f>
        <v>#VALUE!</v>
      </c>
      <c r="MZT6" s="68" t="e" cm="1" vm="1">
        <f t="array" ref="MZT6">_xlfn._xlws.FILTER(TablaProductos[Nombre producto],TablaProductos[Agrupación]=ProductosPivot!MZT5)</f>
        <v>#VALUE!</v>
      </c>
      <c r="MZU6" s="68" t="e" cm="1" vm="1">
        <f t="array" ref="MZU6">_xlfn._xlws.FILTER(TablaProductos[Nombre producto],TablaProductos[Agrupación]=ProductosPivot!MZU5)</f>
        <v>#VALUE!</v>
      </c>
      <c r="MZV6" s="68" t="e" cm="1" vm="1">
        <f t="array" ref="MZV6">_xlfn._xlws.FILTER(TablaProductos[Nombre producto],TablaProductos[Agrupación]=ProductosPivot!MZV5)</f>
        <v>#VALUE!</v>
      </c>
      <c r="MZW6" s="68" t="e" cm="1" vm="1">
        <f t="array" ref="MZW6">_xlfn._xlws.FILTER(TablaProductos[Nombre producto],TablaProductos[Agrupación]=ProductosPivot!MZW5)</f>
        <v>#VALUE!</v>
      </c>
      <c r="MZX6" s="68" t="e" cm="1" vm="1">
        <f t="array" ref="MZX6">_xlfn._xlws.FILTER(TablaProductos[Nombre producto],TablaProductos[Agrupación]=ProductosPivot!MZX5)</f>
        <v>#VALUE!</v>
      </c>
      <c r="MZY6" s="68" t="e" cm="1" vm="1">
        <f t="array" ref="MZY6">_xlfn._xlws.FILTER(TablaProductos[Nombre producto],TablaProductos[Agrupación]=ProductosPivot!MZY5)</f>
        <v>#VALUE!</v>
      </c>
      <c r="MZZ6" s="68" t="e" cm="1" vm="1">
        <f t="array" ref="MZZ6">_xlfn._xlws.FILTER(TablaProductos[Nombre producto],TablaProductos[Agrupación]=ProductosPivot!MZZ5)</f>
        <v>#VALUE!</v>
      </c>
      <c r="NAA6" s="68" t="e" cm="1" vm="1">
        <f t="array" ref="NAA6">_xlfn._xlws.FILTER(TablaProductos[Nombre producto],TablaProductos[Agrupación]=ProductosPivot!NAA5)</f>
        <v>#VALUE!</v>
      </c>
      <c r="NAB6" s="68" t="e" cm="1" vm="1">
        <f t="array" ref="NAB6">_xlfn._xlws.FILTER(TablaProductos[Nombre producto],TablaProductos[Agrupación]=ProductosPivot!NAB5)</f>
        <v>#VALUE!</v>
      </c>
      <c r="NAC6" s="68" t="e" cm="1" vm="1">
        <f t="array" ref="NAC6">_xlfn._xlws.FILTER(TablaProductos[Nombre producto],TablaProductos[Agrupación]=ProductosPivot!NAC5)</f>
        <v>#VALUE!</v>
      </c>
      <c r="NAD6" s="68" t="e" cm="1" vm="1">
        <f t="array" ref="NAD6">_xlfn._xlws.FILTER(TablaProductos[Nombre producto],TablaProductos[Agrupación]=ProductosPivot!NAD5)</f>
        <v>#VALUE!</v>
      </c>
      <c r="NAE6" s="68" t="e" cm="1" vm="1">
        <f t="array" ref="NAE6">_xlfn._xlws.FILTER(TablaProductos[Nombre producto],TablaProductos[Agrupación]=ProductosPivot!NAE5)</f>
        <v>#VALUE!</v>
      </c>
      <c r="NAF6" s="68" t="e" cm="1" vm="1">
        <f t="array" ref="NAF6">_xlfn._xlws.FILTER(TablaProductos[Nombre producto],TablaProductos[Agrupación]=ProductosPivot!NAF5)</f>
        <v>#VALUE!</v>
      </c>
      <c r="NAG6" s="68" t="e" cm="1" vm="1">
        <f t="array" ref="NAG6">_xlfn._xlws.FILTER(TablaProductos[Nombre producto],TablaProductos[Agrupación]=ProductosPivot!NAG5)</f>
        <v>#VALUE!</v>
      </c>
      <c r="NAH6" s="68" t="e" cm="1" vm="1">
        <f t="array" ref="NAH6">_xlfn._xlws.FILTER(TablaProductos[Nombre producto],TablaProductos[Agrupación]=ProductosPivot!NAH5)</f>
        <v>#VALUE!</v>
      </c>
      <c r="NAI6" s="68" t="e" cm="1" vm="1">
        <f t="array" ref="NAI6">_xlfn._xlws.FILTER(TablaProductos[Nombre producto],TablaProductos[Agrupación]=ProductosPivot!NAI5)</f>
        <v>#VALUE!</v>
      </c>
      <c r="NAJ6" s="68" t="e" cm="1" vm="1">
        <f t="array" ref="NAJ6">_xlfn._xlws.FILTER(TablaProductos[Nombre producto],TablaProductos[Agrupación]=ProductosPivot!NAJ5)</f>
        <v>#VALUE!</v>
      </c>
      <c r="NAK6" s="68" t="e" cm="1" vm="1">
        <f t="array" ref="NAK6">_xlfn._xlws.FILTER(TablaProductos[Nombre producto],TablaProductos[Agrupación]=ProductosPivot!NAK5)</f>
        <v>#VALUE!</v>
      </c>
      <c r="NAL6" s="68" t="e" cm="1" vm="1">
        <f t="array" ref="NAL6">_xlfn._xlws.FILTER(TablaProductos[Nombre producto],TablaProductos[Agrupación]=ProductosPivot!NAL5)</f>
        <v>#VALUE!</v>
      </c>
      <c r="NAM6" s="68" t="e" cm="1" vm="1">
        <f t="array" ref="NAM6">_xlfn._xlws.FILTER(TablaProductos[Nombre producto],TablaProductos[Agrupación]=ProductosPivot!NAM5)</f>
        <v>#VALUE!</v>
      </c>
      <c r="NAN6" s="68" t="e" cm="1" vm="1">
        <f t="array" ref="NAN6">_xlfn._xlws.FILTER(TablaProductos[Nombre producto],TablaProductos[Agrupación]=ProductosPivot!NAN5)</f>
        <v>#VALUE!</v>
      </c>
      <c r="NAO6" s="68" t="e" cm="1" vm="1">
        <f t="array" ref="NAO6">_xlfn._xlws.FILTER(TablaProductos[Nombre producto],TablaProductos[Agrupación]=ProductosPivot!NAO5)</f>
        <v>#VALUE!</v>
      </c>
      <c r="NAP6" s="68" t="e" cm="1" vm="1">
        <f t="array" ref="NAP6">_xlfn._xlws.FILTER(TablaProductos[Nombre producto],TablaProductos[Agrupación]=ProductosPivot!NAP5)</f>
        <v>#VALUE!</v>
      </c>
      <c r="NAQ6" s="68" t="e" cm="1" vm="1">
        <f t="array" ref="NAQ6">_xlfn._xlws.FILTER(TablaProductos[Nombre producto],TablaProductos[Agrupación]=ProductosPivot!NAQ5)</f>
        <v>#VALUE!</v>
      </c>
      <c r="NAR6" s="68" t="e" cm="1" vm="1">
        <f t="array" ref="NAR6">_xlfn._xlws.FILTER(TablaProductos[Nombre producto],TablaProductos[Agrupación]=ProductosPivot!NAR5)</f>
        <v>#VALUE!</v>
      </c>
      <c r="NAS6" s="68" t="e" cm="1" vm="1">
        <f t="array" ref="NAS6">_xlfn._xlws.FILTER(TablaProductos[Nombre producto],TablaProductos[Agrupación]=ProductosPivot!NAS5)</f>
        <v>#VALUE!</v>
      </c>
      <c r="NAT6" s="68" t="e" cm="1" vm="1">
        <f t="array" ref="NAT6">_xlfn._xlws.FILTER(TablaProductos[Nombre producto],TablaProductos[Agrupación]=ProductosPivot!NAT5)</f>
        <v>#VALUE!</v>
      </c>
      <c r="NAU6" s="68" t="e" cm="1" vm="1">
        <f t="array" ref="NAU6">_xlfn._xlws.FILTER(TablaProductos[Nombre producto],TablaProductos[Agrupación]=ProductosPivot!NAU5)</f>
        <v>#VALUE!</v>
      </c>
      <c r="NAV6" s="68" t="e" cm="1" vm="1">
        <f t="array" ref="NAV6">_xlfn._xlws.FILTER(TablaProductos[Nombre producto],TablaProductos[Agrupación]=ProductosPivot!NAV5)</f>
        <v>#VALUE!</v>
      </c>
      <c r="NAW6" s="68" t="e" cm="1" vm="1">
        <f t="array" ref="NAW6">_xlfn._xlws.FILTER(TablaProductos[Nombre producto],TablaProductos[Agrupación]=ProductosPivot!NAW5)</f>
        <v>#VALUE!</v>
      </c>
      <c r="NAX6" s="68" t="e" cm="1" vm="1">
        <f t="array" ref="NAX6">_xlfn._xlws.FILTER(TablaProductos[Nombre producto],TablaProductos[Agrupación]=ProductosPivot!NAX5)</f>
        <v>#VALUE!</v>
      </c>
      <c r="NAY6" s="68" t="e" cm="1" vm="1">
        <f t="array" ref="NAY6">_xlfn._xlws.FILTER(TablaProductos[Nombre producto],TablaProductos[Agrupación]=ProductosPivot!NAY5)</f>
        <v>#VALUE!</v>
      </c>
      <c r="NAZ6" s="68" t="e" cm="1" vm="1">
        <f t="array" ref="NAZ6">_xlfn._xlws.FILTER(TablaProductos[Nombre producto],TablaProductos[Agrupación]=ProductosPivot!NAZ5)</f>
        <v>#VALUE!</v>
      </c>
      <c r="NBA6" s="68" t="e" cm="1" vm="1">
        <f t="array" ref="NBA6">_xlfn._xlws.FILTER(TablaProductos[Nombre producto],TablaProductos[Agrupación]=ProductosPivot!NBA5)</f>
        <v>#VALUE!</v>
      </c>
      <c r="NBB6" s="68" t="e" cm="1" vm="1">
        <f t="array" ref="NBB6">_xlfn._xlws.FILTER(TablaProductos[Nombre producto],TablaProductos[Agrupación]=ProductosPivot!NBB5)</f>
        <v>#VALUE!</v>
      </c>
      <c r="NBC6" s="68" t="e" cm="1" vm="1">
        <f t="array" ref="NBC6">_xlfn._xlws.FILTER(TablaProductos[Nombre producto],TablaProductos[Agrupación]=ProductosPivot!NBC5)</f>
        <v>#VALUE!</v>
      </c>
      <c r="NBD6" s="68" t="e" cm="1" vm="1">
        <f t="array" ref="NBD6">_xlfn._xlws.FILTER(TablaProductos[Nombre producto],TablaProductos[Agrupación]=ProductosPivot!NBD5)</f>
        <v>#VALUE!</v>
      </c>
      <c r="NBE6" s="68" t="e" cm="1" vm="1">
        <f t="array" ref="NBE6">_xlfn._xlws.FILTER(TablaProductos[Nombre producto],TablaProductos[Agrupación]=ProductosPivot!NBE5)</f>
        <v>#VALUE!</v>
      </c>
      <c r="NBF6" s="68" t="e" cm="1" vm="1">
        <f t="array" ref="NBF6">_xlfn._xlws.FILTER(TablaProductos[Nombre producto],TablaProductos[Agrupación]=ProductosPivot!NBF5)</f>
        <v>#VALUE!</v>
      </c>
      <c r="NBG6" s="68" t="e" cm="1" vm="1">
        <f t="array" ref="NBG6">_xlfn._xlws.FILTER(TablaProductos[Nombre producto],TablaProductos[Agrupación]=ProductosPivot!NBG5)</f>
        <v>#VALUE!</v>
      </c>
      <c r="NBH6" s="68" t="e" cm="1" vm="1">
        <f t="array" ref="NBH6">_xlfn._xlws.FILTER(TablaProductos[Nombre producto],TablaProductos[Agrupación]=ProductosPivot!NBH5)</f>
        <v>#VALUE!</v>
      </c>
      <c r="NBI6" s="68" t="e" cm="1" vm="1">
        <f t="array" ref="NBI6">_xlfn._xlws.FILTER(TablaProductos[Nombre producto],TablaProductos[Agrupación]=ProductosPivot!NBI5)</f>
        <v>#VALUE!</v>
      </c>
      <c r="NBJ6" s="68" t="e" cm="1" vm="1">
        <f t="array" ref="NBJ6">_xlfn._xlws.FILTER(TablaProductos[Nombre producto],TablaProductos[Agrupación]=ProductosPivot!NBJ5)</f>
        <v>#VALUE!</v>
      </c>
      <c r="NBK6" s="68" t="e" cm="1" vm="1">
        <f t="array" ref="NBK6">_xlfn._xlws.FILTER(TablaProductos[Nombre producto],TablaProductos[Agrupación]=ProductosPivot!NBK5)</f>
        <v>#VALUE!</v>
      </c>
      <c r="NBL6" s="68" t="e" cm="1" vm="1">
        <f t="array" ref="NBL6">_xlfn._xlws.FILTER(TablaProductos[Nombre producto],TablaProductos[Agrupación]=ProductosPivot!NBL5)</f>
        <v>#VALUE!</v>
      </c>
      <c r="NBM6" s="68" t="e" cm="1" vm="1">
        <f t="array" ref="NBM6">_xlfn._xlws.FILTER(TablaProductos[Nombre producto],TablaProductos[Agrupación]=ProductosPivot!NBM5)</f>
        <v>#VALUE!</v>
      </c>
      <c r="NBN6" s="68" t="e" cm="1" vm="1">
        <f t="array" ref="NBN6">_xlfn._xlws.FILTER(TablaProductos[Nombre producto],TablaProductos[Agrupación]=ProductosPivot!NBN5)</f>
        <v>#VALUE!</v>
      </c>
      <c r="NBO6" s="68" t="e" cm="1" vm="1">
        <f t="array" ref="NBO6">_xlfn._xlws.FILTER(TablaProductos[Nombre producto],TablaProductos[Agrupación]=ProductosPivot!NBO5)</f>
        <v>#VALUE!</v>
      </c>
      <c r="NBP6" s="68" t="e" cm="1" vm="1">
        <f t="array" ref="NBP6">_xlfn._xlws.FILTER(TablaProductos[Nombre producto],TablaProductos[Agrupación]=ProductosPivot!NBP5)</f>
        <v>#VALUE!</v>
      </c>
      <c r="NBQ6" s="68" t="e" cm="1" vm="1">
        <f t="array" ref="NBQ6">_xlfn._xlws.FILTER(TablaProductos[Nombre producto],TablaProductos[Agrupación]=ProductosPivot!NBQ5)</f>
        <v>#VALUE!</v>
      </c>
      <c r="NBR6" s="68" t="e" cm="1" vm="1">
        <f t="array" ref="NBR6">_xlfn._xlws.FILTER(TablaProductos[Nombre producto],TablaProductos[Agrupación]=ProductosPivot!NBR5)</f>
        <v>#VALUE!</v>
      </c>
      <c r="NBS6" s="68" t="e" cm="1" vm="1">
        <f t="array" ref="NBS6">_xlfn._xlws.FILTER(TablaProductos[Nombre producto],TablaProductos[Agrupación]=ProductosPivot!NBS5)</f>
        <v>#VALUE!</v>
      </c>
      <c r="NBT6" s="68" t="e" cm="1" vm="1">
        <f t="array" ref="NBT6">_xlfn._xlws.FILTER(TablaProductos[Nombre producto],TablaProductos[Agrupación]=ProductosPivot!NBT5)</f>
        <v>#VALUE!</v>
      </c>
      <c r="NBU6" s="68" t="e" cm="1" vm="1">
        <f t="array" ref="NBU6">_xlfn._xlws.FILTER(TablaProductos[Nombre producto],TablaProductos[Agrupación]=ProductosPivot!NBU5)</f>
        <v>#VALUE!</v>
      </c>
      <c r="NBV6" s="68" t="e" cm="1" vm="1">
        <f t="array" ref="NBV6">_xlfn._xlws.FILTER(TablaProductos[Nombre producto],TablaProductos[Agrupación]=ProductosPivot!NBV5)</f>
        <v>#VALUE!</v>
      </c>
      <c r="NBW6" s="68" t="e" cm="1" vm="1">
        <f t="array" ref="NBW6">_xlfn._xlws.FILTER(TablaProductos[Nombre producto],TablaProductos[Agrupación]=ProductosPivot!NBW5)</f>
        <v>#VALUE!</v>
      </c>
      <c r="NBX6" s="68" t="e" cm="1" vm="1">
        <f t="array" ref="NBX6">_xlfn._xlws.FILTER(TablaProductos[Nombre producto],TablaProductos[Agrupación]=ProductosPivot!NBX5)</f>
        <v>#VALUE!</v>
      </c>
      <c r="NBY6" s="68" t="e" cm="1" vm="1">
        <f t="array" ref="NBY6">_xlfn._xlws.FILTER(TablaProductos[Nombre producto],TablaProductos[Agrupación]=ProductosPivot!NBY5)</f>
        <v>#VALUE!</v>
      </c>
      <c r="NBZ6" s="68" t="e" cm="1" vm="1">
        <f t="array" ref="NBZ6">_xlfn._xlws.FILTER(TablaProductos[Nombre producto],TablaProductos[Agrupación]=ProductosPivot!NBZ5)</f>
        <v>#VALUE!</v>
      </c>
      <c r="NCA6" s="68" t="e" cm="1" vm="1">
        <f t="array" ref="NCA6">_xlfn._xlws.FILTER(TablaProductos[Nombre producto],TablaProductos[Agrupación]=ProductosPivot!NCA5)</f>
        <v>#VALUE!</v>
      </c>
      <c r="NCB6" s="68" t="e" cm="1" vm="1">
        <f t="array" ref="NCB6">_xlfn._xlws.FILTER(TablaProductos[Nombre producto],TablaProductos[Agrupación]=ProductosPivot!NCB5)</f>
        <v>#VALUE!</v>
      </c>
      <c r="NCC6" s="68" t="e" cm="1" vm="1">
        <f t="array" ref="NCC6">_xlfn._xlws.FILTER(TablaProductos[Nombre producto],TablaProductos[Agrupación]=ProductosPivot!NCC5)</f>
        <v>#VALUE!</v>
      </c>
      <c r="NCD6" s="68" t="e" cm="1" vm="1">
        <f t="array" ref="NCD6">_xlfn._xlws.FILTER(TablaProductos[Nombre producto],TablaProductos[Agrupación]=ProductosPivot!NCD5)</f>
        <v>#VALUE!</v>
      </c>
      <c r="NCE6" s="68" t="e" cm="1" vm="1">
        <f t="array" ref="NCE6">_xlfn._xlws.FILTER(TablaProductos[Nombre producto],TablaProductos[Agrupación]=ProductosPivot!NCE5)</f>
        <v>#VALUE!</v>
      </c>
      <c r="NCF6" s="68" t="e" cm="1" vm="1">
        <f t="array" ref="NCF6">_xlfn._xlws.FILTER(TablaProductos[Nombre producto],TablaProductos[Agrupación]=ProductosPivot!NCF5)</f>
        <v>#VALUE!</v>
      </c>
      <c r="NCG6" s="68" t="e" cm="1" vm="1">
        <f t="array" ref="NCG6">_xlfn._xlws.FILTER(TablaProductos[Nombre producto],TablaProductos[Agrupación]=ProductosPivot!NCG5)</f>
        <v>#VALUE!</v>
      </c>
      <c r="NCH6" s="68" t="e" cm="1" vm="1">
        <f t="array" ref="NCH6">_xlfn._xlws.FILTER(TablaProductos[Nombre producto],TablaProductos[Agrupación]=ProductosPivot!NCH5)</f>
        <v>#VALUE!</v>
      </c>
      <c r="NCI6" s="68" t="e" cm="1" vm="1">
        <f t="array" ref="NCI6">_xlfn._xlws.FILTER(TablaProductos[Nombre producto],TablaProductos[Agrupación]=ProductosPivot!NCI5)</f>
        <v>#VALUE!</v>
      </c>
      <c r="NCJ6" s="68" t="e" cm="1" vm="1">
        <f t="array" ref="NCJ6">_xlfn._xlws.FILTER(TablaProductos[Nombre producto],TablaProductos[Agrupación]=ProductosPivot!NCJ5)</f>
        <v>#VALUE!</v>
      </c>
      <c r="NCK6" s="68" t="e" cm="1" vm="1">
        <f t="array" ref="NCK6">_xlfn._xlws.FILTER(TablaProductos[Nombre producto],TablaProductos[Agrupación]=ProductosPivot!NCK5)</f>
        <v>#VALUE!</v>
      </c>
      <c r="NCL6" s="68" t="e" cm="1" vm="1">
        <f t="array" ref="NCL6">_xlfn._xlws.FILTER(TablaProductos[Nombre producto],TablaProductos[Agrupación]=ProductosPivot!NCL5)</f>
        <v>#VALUE!</v>
      </c>
      <c r="NCM6" s="68" t="e" cm="1" vm="1">
        <f t="array" ref="NCM6">_xlfn._xlws.FILTER(TablaProductos[Nombre producto],TablaProductos[Agrupación]=ProductosPivot!NCM5)</f>
        <v>#VALUE!</v>
      </c>
      <c r="NCN6" s="68" t="e" cm="1" vm="1">
        <f t="array" ref="NCN6">_xlfn._xlws.FILTER(TablaProductos[Nombre producto],TablaProductos[Agrupación]=ProductosPivot!NCN5)</f>
        <v>#VALUE!</v>
      </c>
      <c r="NCO6" s="68" t="e" cm="1" vm="1">
        <f t="array" ref="NCO6">_xlfn._xlws.FILTER(TablaProductos[Nombre producto],TablaProductos[Agrupación]=ProductosPivot!NCO5)</f>
        <v>#VALUE!</v>
      </c>
      <c r="NCP6" s="68" t="e" cm="1" vm="1">
        <f t="array" ref="NCP6">_xlfn._xlws.FILTER(TablaProductos[Nombre producto],TablaProductos[Agrupación]=ProductosPivot!NCP5)</f>
        <v>#VALUE!</v>
      </c>
      <c r="NCQ6" s="68" t="e" cm="1" vm="1">
        <f t="array" ref="NCQ6">_xlfn._xlws.FILTER(TablaProductos[Nombre producto],TablaProductos[Agrupación]=ProductosPivot!NCQ5)</f>
        <v>#VALUE!</v>
      </c>
      <c r="NCR6" s="68" t="e" cm="1" vm="1">
        <f t="array" ref="NCR6">_xlfn._xlws.FILTER(TablaProductos[Nombre producto],TablaProductos[Agrupación]=ProductosPivot!NCR5)</f>
        <v>#VALUE!</v>
      </c>
      <c r="NCS6" s="68" t="e" cm="1" vm="1">
        <f t="array" ref="NCS6">_xlfn._xlws.FILTER(TablaProductos[Nombre producto],TablaProductos[Agrupación]=ProductosPivot!NCS5)</f>
        <v>#VALUE!</v>
      </c>
      <c r="NCT6" s="68" t="e" cm="1" vm="1">
        <f t="array" ref="NCT6">_xlfn._xlws.FILTER(TablaProductos[Nombre producto],TablaProductos[Agrupación]=ProductosPivot!NCT5)</f>
        <v>#VALUE!</v>
      </c>
      <c r="NCU6" s="68" t="e" cm="1" vm="1">
        <f t="array" ref="NCU6">_xlfn._xlws.FILTER(TablaProductos[Nombre producto],TablaProductos[Agrupación]=ProductosPivot!NCU5)</f>
        <v>#VALUE!</v>
      </c>
      <c r="NCV6" s="68" t="e" cm="1" vm="1">
        <f t="array" ref="NCV6">_xlfn._xlws.FILTER(TablaProductos[Nombre producto],TablaProductos[Agrupación]=ProductosPivot!NCV5)</f>
        <v>#VALUE!</v>
      </c>
      <c r="NCW6" s="68" t="e" cm="1" vm="1">
        <f t="array" ref="NCW6">_xlfn._xlws.FILTER(TablaProductos[Nombre producto],TablaProductos[Agrupación]=ProductosPivot!NCW5)</f>
        <v>#VALUE!</v>
      </c>
      <c r="NCX6" s="68" t="e" cm="1" vm="1">
        <f t="array" ref="NCX6">_xlfn._xlws.FILTER(TablaProductos[Nombre producto],TablaProductos[Agrupación]=ProductosPivot!NCX5)</f>
        <v>#VALUE!</v>
      </c>
      <c r="NCY6" s="68" t="e" cm="1" vm="1">
        <f t="array" ref="NCY6">_xlfn._xlws.FILTER(TablaProductos[Nombre producto],TablaProductos[Agrupación]=ProductosPivot!NCY5)</f>
        <v>#VALUE!</v>
      </c>
      <c r="NCZ6" s="68" t="e" cm="1" vm="1">
        <f t="array" ref="NCZ6">_xlfn._xlws.FILTER(TablaProductos[Nombre producto],TablaProductos[Agrupación]=ProductosPivot!NCZ5)</f>
        <v>#VALUE!</v>
      </c>
      <c r="NDA6" s="68" t="e" cm="1" vm="1">
        <f t="array" ref="NDA6">_xlfn._xlws.FILTER(TablaProductos[Nombre producto],TablaProductos[Agrupación]=ProductosPivot!NDA5)</f>
        <v>#VALUE!</v>
      </c>
      <c r="NDB6" s="68" t="e" cm="1" vm="1">
        <f t="array" ref="NDB6">_xlfn._xlws.FILTER(TablaProductos[Nombre producto],TablaProductos[Agrupación]=ProductosPivot!NDB5)</f>
        <v>#VALUE!</v>
      </c>
      <c r="NDC6" s="68" t="e" cm="1" vm="1">
        <f t="array" ref="NDC6">_xlfn._xlws.FILTER(TablaProductos[Nombre producto],TablaProductos[Agrupación]=ProductosPivot!NDC5)</f>
        <v>#VALUE!</v>
      </c>
      <c r="NDD6" s="68" t="e" cm="1" vm="1">
        <f t="array" ref="NDD6">_xlfn._xlws.FILTER(TablaProductos[Nombre producto],TablaProductos[Agrupación]=ProductosPivot!NDD5)</f>
        <v>#VALUE!</v>
      </c>
      <c r="NDE6" s="68" t="e" cm="1" vm="1">
        <f t="array" ref="NDE6">_xlfn._xlws.FILTER(TablaProductos[Nombre producto],TablaProductos[Agrupación]=ProductosPivot!NDE5)</f>
        <v>#VALUE!</v>
      </c>
      <c r="NDF6" s="68" t="e" cm="1" vm="1">
        <f t="array" ref="NDF6">_xlfn._xlws.FILTER(TablaProductos[Nombre producto],TablaProductos[Agrupación]=ProductosPivot!NDF5)</f>
        <v>#VALUE!</v>
      </c>
      <c r="NDG6" s="68" t="e" cm="1" vm="1">
        <f t="array" ref="NDG6">_xlfn._xlws.FILTER(TablaProductos[Nombre producto],TablaProductos[Agrupación]=ProductosPivot!NDG5)</f>
        <v>#VALUE!</v>
      </c>
      <c r="NDH6" s="68" t="e" cm="1" vm="1">
        <f t="array" ref="NDH6">_xlfn._xlws.FILTER(TablaProductos[Nombre producto],TablaProductos[Agrupación]=ProductosPivot!NDH5)</f>
        <v>#VALUE!</v>
      </c>
      <c r="NDI6" s="68" t="e" cm="1" vm="1">
        <f t="array" ref="NDI6">_xlfn._xlws.FILTER(TablaProductos[Nombre producto],TablaProductos[Agrupación]=ProductosPivot!NDI5)</f>
        <v>#VALUE!</v>
      </c>
      <c r="NDJ6" s="68" t="e" cm="1" vm="1">
        <f t="array" ref="NDJ6">_xlfn._xlws.FILTER(TablaProductos[Nombre producto],TablaProductos[Agrupación]=ProductosPivot!NDJ5)</f>
        <v>#VALUE!</v>
      </c>
      <c r="NDK6" s="68" t="e" cm="1" vm="1">
        <f t="array" ref="NDK6">_xlfn._xlws.FILTER(TablaProductos[Nombre producto],TablaProductos[Agrupación]=ProductosPivot!NDK5)</f>
        <v>#VALUE!</v>
      </c>
      <c r="NDL6" s="68" t="e" cm="1" vm="1">
        <f t="array" ref="NDL6">_xlfn._xlws.FILTER(TablaProductos[Nombre producto],TablaProductos[Agrupación]=ProductosPivot!NDL5)</f>
        <v>#VALUE!</v>
      </c>
      <c r="NDM6" s="68" t="e" cm="1" vm="1">
        <f t="array" ref="NDM6">_xlfn._xlws.FILTER(TablaProductos[Nombre producto],TablaProductos[Agrupación]=ProductosPivot!NDM5)</f>
        <v>#VALUE!</v>
      </c>
      <c r="NDN6" s="68" t="e" cm="1" vm="1">
        <f t="array" ref="NDN6">_xlfn._xlws.FILTER(TablaProductos[Nombre producto],TablaProductos[Agrupación]=ProductosPivot!NDN5)</f>
        <v>#VALUE!</v>
      </c>
      <c r="NDO6" s="68" t="e" cm="1" vm="1">
        <f t="array" ref="NDO6">_xlfn._xlws.FILTER(TablaProductos[Nombre producto],TablaProductos[Agrupación]=ProductosPivot!NDO5)</f>
        <v>#VALUE!</v>
      </c>
      <c r="NDP6" s="68" t="e" cm="1" vm="1">
        <f t="array" ref="NDP6">_xlfn._xlws.FILTER(TablaProductos[Nombre producto],TablaProductos[Agrupación]=ProductosPivot!NDP5)</f>
        <v>#VALUE!</v>
      </c>
      <c r="NDQ6" s="68" t="e" cm="1" vm="1">
        <f t="array" ref="NDQ6">_xlfn._xlws.FILTER(TablaProductos[Nombre producto],TablaProductos[Agrupación]=ProductosPivot!NDQ5)</f>
        <v>#VALUE!</v>
      </c>
      <c r="NDR6" s="68" t="e" cm="1" vm="1">
        <f t="array" ref="NDR6">_xlfn._xlws.FILTER(TablaProductos[Nombre producto],TablaProductos[Agrupación]=ProductosPivot!NDR5)</f>
        <v>#VALUE!</v>
      </c>
      <c r="NDS6" s="68" t="e" cm="1" vm="1">
        <f t="array" ref="NDS6">_xlfn._xlws.FILTER(TablaProductos[Nombre producto],TablaProductos[Agrupación]=ProductosPivot!NDS5)</f>
        <v>#VALUE!</v>
      </c>
      <c r="NDT6" s="68" t="e" cm="1" vm="1">
        <f t="array" ref="NDT6">_xlfn._xlws.FILTER(TablaProductos[Nombre producto],TablaProductos[Agrupación]=ProductosPivot!NDT5)</f>
        <v>#VALUE!</v>
      </c>
      <c r="NDU6" s="68" t="e" cm="1" vm="1">
        <f t="array" ref="NDU6">_xlfn._xlws.FILTER(TablaProductos[Nombre producto],TablaProductos[Agrupación]=ProductosPivot!NDU5)</f>
        <v>#VALUE!</v>
      </c>
      <c r="NDV6" s="68" t="e" cm="1" vm="1">
        <f t="array" ref="NDV6">_xlfn._xlws.FILTER(TablaProductos[Nombre producto],TablaProductos[Agrupación]=ProductosPivot!NDV5)</f>
        <v>#VALUE!</v>
      </c>
      <c r="NDW6" s="68" t="e" cm="1" vm="1">
        <f t="array" ref="NDW6">_xlfn._xlws.FILTER(TablaProductos[Nombre producto],TablaProductos[Agrupación]=ProductosPivot!NDW5)</f>
        <v>#VALUE!</v>
      </c>
      <c r="NDX6" s="68" t="e" cm="1" vm="1">
        <f t="array" ref="NDX6">_xlfn._xlws.FILTER(TablaProductos[Nombre producto],TablaProductos[Agrupación]=ProductosPivot!NDX5)</f>
        <v>#VALUE!</v>
      </c>
      <c r="NDY6" s="68" t="e" cm="1" vm="1">
        <f t="array" ref="NDY6">_xlfn._xlws.FILTER(TablaProductos[Nombre producto],TablaProductos[Agrupación]=ProductosPivot!NDY5)</f>
        <v>#VALUE!</v>
      </c>
      <c r="NDZ6" s="68" t="e" cm="1" vm="1">
        <f t="array" ref="NDZ6">_xlfn._xlws.FILTER(TablaProductos[Nombre producto],TablaProductos[Agrupación]=ProductosPivot!NDZ5)</f>
        <v>#VALUE!</v>
      </c>
      <c r="NEA6" s="68" t="e" cm="1" vm="1">
        <f t="array" ref="NEA6">_xlfn._xlws.FILTER(TablaProductos[Nombre producto],TablaProductos[Agrupación]=ProductosPivot!NEA5)</f>
        <v>#VALUE!</v>
      </c>
      <c r="NEB6" s="68" t="e" cm="1" vm="1">
        <f t="array" ref="NEB6">_xlfn._xlws.FILTER(TablaProductos[Nombre producto],TablaProductos[Agrupación]=ProductosPivot!NEB5)</f>
        <v>#VALUE!</v>
      </c>
      <c r="NEC6" s="68" t="e" cm="1" vm="1">
        <f t="array" ref="NEC6">_xlfn._xlws.FILTER(TablaProductos[Nombre producto],TablaProductos[Agrupación]=ProductosPivot!NEC5)</f>
        <v>#VALUE!</v>
      </c>
      <c r="NED6" s="68" t="e" cm="1" vm="1">
        <f t="array" ref="NED6">_xlfn._xlws.FILTER(TablaProductos[Nombre producto],TablaProductos[Agrupación]=ProductosPivot!NED5)</f>
        <v>#VALUE!</v>
      </c>
      <c r="NEE6" s="68" t="e" cm="1" vm="1">
        <f t="array" ref="NEE6">_xlfn._xlws.FILTER(TablaProductos[Nombre producto],TablaProductos[Agrupación]=ProductosPivot!NEE5)</f>
        <v>#VALUE!</v>
      </c>
      <c r="NEF6" s="68" t="e" cm="1" vm="1">
        <f t="array" ref="NEF6">_xlfn._xlws.FILTER(TablaProductos[Nombre producto],TablaProductos[Agrupación]=ProductosPivot!NEF5)</f>
        <v>#VALUE!</v>
      </c>
      <c r="NEG6" s="68" t="e" cm="1" vm="1">
        <f t="array" ref="NEG6">_xlfn._xlws.FILTER(TablaProductos[Nombre producto],TablaProductos[Agrupación]=ProductosPivot!NEG5)</f>
        <v>#VALUE!</v>
      </c>
      <c r="NEH6" s="68" t="e" cm="1" vm="1">
        <f t="array" ref="NEH6">_xlfn._xlws.FILTER(TablaProductos[Nombre producto],TablaProductos[Agrupación]=ProductosPivot!NEH5)</f>
        <v>#VALUE!</v>
      </c>
      <c r="NEI6" s="68" t="e" cm="1" vm="1">
        <f t="array" ref="NEI6">_xlfn._xlws.FILTER(TablaProductos[Nombre producto],TablaProductos[Agrupación]=ProductosPivot!NEI5)</f>
        <v>#VALUE!</v>
      </c>
      <c r="NEJ6" s="68" t="e" cm="1" vm="1">
        <f t="array" ref="NEJ6">_xlfn._xlws.FILTER(TablaProductos[Nombre producto],TablaProductos[Agrupación]=ProductosPivot!NEJ5)</f>
        <v>#VALUE!</v>
      </c>
      <c r="NEK6" s="68" t="e" cm="1" vm="1">
        <f t="array" ref="NEK6">_xlfn._xlws.FILTER(TablaProductos[Nombre producto],TablaProductos[Agrupación]=ProductosPivot!NEK5)</f>
        <v>#VALUE!</v>
      </c>
      <c r="NEL6" s="68" t="e" cm="1" vm="1">
        <f t="array" ref="NEL6">_xlfn._xlws.FILTER(TablaProductos[Nombre producto],TablaProductos[Agrupación]=ProductosPivot!NEL5)</f>
        <v>#VALUE!</v>
      </c>
      <c r="NEM6" s="68" t="e" cm="1" vm="1">
        <f t="array" ref="NEM6">_xlfn._xlws.FILTER(TablaProductos[Nombre producto],TablaProductos[Agrupación]=ProductosPivot!NEM5)</f>
        <v>#VALUE!</v>
      </c>
      <c r="NEN6" s="68" t="e" cm="1" vm="1">
        <f t="array" ref="NEN6">_xlfn._xlws.FILTER(TablaProductos[Nombre producto],TablaProductos[Agrupación]=ProductosPivot!NEN5)</f>
        <v>#VALUE!</v>
      </c>
      <c r="NEO6" s="68" t="e" cm="1" vm="1">
        <f t="array" ref="NEO6">_xlfn._xlws.FILTER(TablaProductos[Nombre producto],TablaProductos[Agrupación]=ProductosPivot!NEO5)</f>
        <v>#VALUE!</v>
      </c>
      <c r="NEP6" s="68" t="e" cm="1" vm="1">
        <f t="array" ref="NEP6">_xlfn._xlws.FILTER(TablaProductos[Nombre producto],TablaProductos[Agrupación]=ProductosPivot!NEP5)</f>
        <v>#VALUE!</v>
      </c>
      <c r="NEQ6" s="68" t="e" cm="1" vm="1">
        <f t="array" ref="NEQ6">_xlfn._xlws.FILTER(TablaProductos[Nombre producto],TablaProductos[Agrupación]=ProductosPivot!NEQ5)</f>
        <v>#VALUE!</v>
      </c>
      <c r="NER6" s="68" t="e" cm="1" vm="1">
        <f t="array" ref="NER6">_xlfn._xlws.FILTER(TablaProductos[Nombre producto],TablaProductos[Agrupación]=ProductosPivot!NER5)</f>
        <v>#VALUE!</v>
      </c>
      <c r="NES6" s="68" t="e" cm="1" vm="1">
        <f t="array" ref="NES6">_xlfn._xlws.FILTER(TablaProductos[Nombre producto],TablaProductos[Agrupación]=ProductosPivot!NES5)</f>
        <v>#VALUE!</v>
      </c>
      <c r="NET6" s="68" t="e" cm="1" vm="1">
        <f t="array" ref="NET6">_xlfn._xlws.FILTER(TablaProductos[Nombre producto],TablaProductos[Agrupación]=ProductosPivot!NET5)</f>
        <v>#VALUE!</v>
      </c>
      <c r="NEU6" s="68" t="e" cm="1" vm="1">
        <f t="array" ref="NEU6">_xlfn._xlws.FILTER(TablaProductos[Nombre producto],TablaProductos[Agrupación]=ProductosPivot!NEU5)</f>
        <v>#VALUE!</v>
      </c>
      <c r="NEV6" s="68" t="e" cm="1" vm="1">
        <f t="array" ref="NEV6">_xlfn._xlws.FILTER(TablaProductos[Nombre producto],TablaProductos[Agrupación]=ProductosPivot!NEV5)</f>
        <v>#VALUE!</v>
      </c>
      <c r="NEW6" s="68" t="e" cm="1" vm="1">
        <f t="array" ref="NEW6">_xlfn._xlws.FILTER(TablaProductos[Nombre producto],TablaProductos[Agrupación]=ProductosPivot!NEW5)</f>
        <v>#VALUE!</v>
      </c>
      <c r="NEX6" s="68" t="e" cm="1" vm="1">
        <f t="array" ref="NEX6">_xlfn._xlws.FILTER(TablaProductos[Nombre producto],TablaProductos[Agrupación]=ProductosPivot!NEX5)</f>
        <v>#VALUE!</v>
      </c>
      <c r="NEY6" s="68" t="e" cm="1" vm="1">
        <f t="array" ref="NEY6">_xlfn._xlws.FILTER(TablaProductos[Nombre producto],TablaProductos[Agrupación]=ProductosPivot!NEY5)</f>
        <v>#VALUE!</v>
      </c>
      <c r="NEZ6" s="68" t="e" cm="1" vm="1">
        <f t="array" ref="NEZ6">_xlfn._xlws.FILTER(TablaProductos[Nombre producto],TablaProductos[Agrupación]=ProductosPivot!NEZ5)</f>
        <v>#VALUE!</v>
      </c>
      <c r="NFA6" s="68" t="e" cm="1" vm="1">
        <f t="array" ref="NFA6">_xlfn._xlws.FILTER(TablaProductos[Nombre producto],TablaProductos[Agrupación]=ProductosPivot!NFA5)</f>
        <v>#VALUE!</v>
      </c>
      <c r="NFB6" s="68" t="e" cm="1" vm="1">
        <f t="array" ref="NFB6">_xlfn._xlws.FILTER(TablaProductos[Nombre producto],TablaProductos[Agrupación]=ProductosPivot!NFB5)</f>
        <v>#VALUE!</v>
      </c>
      <c r="NFC6" s="68" t="e" cm="1" vm="1">
        <f t="array" ref="NFC6">_xlfn._xlws.FILTER(TablaProductos[Nombre producto],TablaProductos[Agrupación]=ProductosPivot!NFC5)</f>
        <v>#VALUE!</v>
      </c>
      <c r="NFD6" s="68" t="e" cm="1" vm="1">
        <f t="array" ref="NFD6">_xlfn._xlws.FILTER(TablaProductos[Nombre producto],TablaProductos[Agrupación]=ProductosPivot!NFD5)</f>
        <v>#VALUE!</v>
      </c>
      <c r="NFE6" s="68" t="e" cm="1" vm="1">
        <f t="array" ref="NFE6">_xlfn._xlws.FILTER(TablaProductos[Nombre producto],TablaProductos[Agrupación]=ProductosPivot!NFE5)</f>
        <v>#VALUE!</v>
      </c>
      <c r="NFF6" s="68" t="e" cm="1" vm="1">
        <f t="array" ref="NFF6">_xlfn._xlws.FILTER(TablaProductos[Nombre producto],TablaProductos[Agrupación]=ProductosPivot!NFF5)</f>
        <v>#VALUE!</v>
      </c>
      <c r="NFG6" s="68" t="e" cm="1" vm="1">
        <f t="array" ref="NFG6">_xlfn._xlws.FILTER(TablaProductos[Nombre producto],TablaProductos[Agrupación]=ProductosPivot!NFG5)</f>
        <v>#VALUE!</v>
      </c>
      <c r="NFH6" s="68" t="e" cm="1" vm="1">
        <f t="array" ref="NFH6">_xlfn._xlws.FILTER(TablaProductos[Nombre producto],TablaProductos[Agrupación]=ProductosPivot!NFH5)</f>
        <v>#VALUE!</v>
      </c>
      <c r="NFI6" s="68" t="e" cm="1" vm="1">
        <f t="array" ref="NFI6">_xlfn._xlws.FILTER(TablaProductos[Nombre producto],TablaProductos[Agrupación]=ProductosPivot!NFI5)</f>
        <v>#VALUE!</v>
      </c>
      <c r="NFJ6" s="68" t="e" cm="1" vm="1">
        <f t="array" ref="NFJ6">_xlfn._xlws.FILTER(TablaProductos[Nombre producto],TablaProductos[Agrupación]=ProductosPivot!NFJ5)</f>
        <v>#VALUE!</v>
      </c>
      <c r="NFK6" s="68" t="e" cm="1" vm="1">
        <f t="array" ref="NFK6">_xlfn._xlws.FILTER(TablaProductos[Nombre producto],TablaProductos[Agrupación]=ProductosPivot!NFK5)</f>
        <v>#VALUE!</v>
      </c>
      <c r="NFL6" s="68" t="e" cm="1" vm="1">
        <f t="array" ref="NFL6">_xlfn._xlws.FILTER(TablaProductos[Nombre producto],TablaProductos[Agrupación]=ProductosPivot!NFL5)</f>
        <v>#VALUE!</v>
      </c>
      <c r="NFM6" s="68" t="e" cm="1" vm="1">
        <f t="array" ref="NFM6">_xlfn._xlws.FILTER(TablaProductos[Nombre producto],TablaProductos[Agrupación]=ProductosPivot!NFM5)</f>
        <v>#VALUE!</v>
      </c>
      <c r="NFN6" s="68" t="e" cm="1" vm="1">
        <f t="array" ref="NFN6">_xlfn._xlws.FILTER(TablaProductos[Nombre producto],TablaProductos[Agrupación]=ProductosPivot!NFN5)</f>
        <v>#VALUE!</v>
      </c>
      <c r="NFO6" s="68" t="e" cm="1" vm="1">
        <f t="array" ref="NFO6">_xlfn._xlws.FILTER(TablaProductos[Nombre producto],TablaProductos[Agrupación]=ProductosPivot!NFO5)</f>
        <v>#VALUE!</v>
      </c>
      <c r="NFP6" s="68" t="e" cm="1" vm="1">
        <f t="array" ref="NFP6">_xlfn._xlws.FILTER(TablaProductos[Nombre producto],TablaProductos[Agrupación]=ProductosPivot!NFP5)</f>
        <v>#VALUE!</v>
      </c>
      <c r="NFQ6" s="68" t="e" cm="1" vm="1">
        <f t="array" ref="NFQ6">_xlfn._xlws.FILTER(TablaProductos[Nombre producto],TablaProductos[Agrupación]=ProductosPivot!NFQ5)</f>
        <v>#VALUE!</v>
      </c>
      <c r="NFR6" s="68" t="e" cm="1" vm="1">
        <f t="array" ref="NFR6">_xlfn._xlws.FILTER(TablaProductos[Nombre producto],TablaProductos[Agrupación]=ProductosPivot!NFR5)</f>
        <v>#VALUE!</v>
      </c>
      <c r="NFS6" s="68" t="e" cm="1" vm="1">
        <f t="array" ref="NFS6">_xlfn._xlws.FILTER(TablaProductos[Nombre producto],TablaProductos[Agrupación]=ProductosPivot!NFS5)</f>
        <v>#VALUE!</v>
      </c>
      <c r="NFT6" s="68" t="e" cm="1" vm="1">
        <f t="array" ref="NFT6">_xlfn._xlws.FILTER(TablaProductos[Nombre producto],TablaProductos[Agrupación]=ProductosPivot!NFT5)</f>
        <v>#VALUE!</v>
      </c>
      <c r="NFU6" s="68" t="e" cm="1" vm="1">
        <f t="array" ref="NFU6">_xlfn._xlws.FILTER(TablaProductos[Nombre producto],TablaProductos[Agrupación]=ProductosPivot!NFU5)</f>
        <v>#VALUE!</v>
      </c>
      <c r="NFV6" s="68" t="e" cm="1" vm="1">
        <f t="array" ref="NFV6">_xlfn._xlws.FILTER(TablaProductos[Nombre producto],TablaProductos[Agrupación]=ProductosPivot!NFV5)</f>
        <v>#VALUE!</v>
      </c>
      <c r="NFW6" s="68" t="e" cm="1" vm="1">
        <f t="array" ref="NFW6">_xlfn._xlws.FILTER(TablaProductos[Nombre producto],TablaProductos[Agrupación]=ProductosPivot!NFW5)</f>
        <v>#VALUE!</v>
      </c>
      <c r="NFX6" s="68" t="e" cm="1" vm="1">
        <f t="array" ref="NFX6">_xlfn._xlws.FILTER(TablaProductos[Nombre producto],TablaProductos[Agrupación]=ProductosPivot!NFX5)</f>
        <v>#VALUE!</v>
      </c>
      <c r="NFY6" s="68" t="e" cm="1" vm="1">
        <f t="array" ref="NFY6">_xlfn._xlws.FILTER(TablaProductos[Nombre producto],TablaProductos[Agrupación]=ProductosPivot!NFY5)</f>
        <v>#VALUE!</v>
      </c>
      <c r="NFZ6" s="68" t="e" cm="1" vm="1">
        <f t="array" ref="NFZ6">_xlfn._xlws.FILTER(TablaProductos[Nombre producto],TablaProductos[Agrupación]=ProductosPivot!NFZ5)</f>
        <v>#VALUE!</v>
      </c>
      <c r="NGA6" s="68" t="e" cm="1" vm="1">
        <f t="array" ref="NGA6">_xlfn._xlws.FILTER(TablaProductos[Nombre producto],TablaProductos[Agrupación]=ProductosPivot!NGA5)</f>
        <v>#VALUE!</v>
      </c>
      <c r="NGB6" s="68" t="e" cm="1" vm="1">
        <f t="array" ref="NGB6">_xlfn._xlws.FILTER(TablaProductos[Nombre producto],TablaProductos[Agrupación]=ProductosPivot!NGB5)</f>
        <v>#VALUE!</v>
      </c>
      <c r="NGC6" s="68" t="e" cm="1" vm="1">
        <f t="array" ref="NGC6">_xlfn._xlws.FILTER(TablaProductos[Nombre producto],TablaProductos[Agrupación]=ProductosPivot!NGC5)</f>
        <v>#VALUE!</v>
      </c>
      <c r="NGD6" s="68" t="e" cm="1" vm="1">
        <f t="array" ref="NGD6">_xlfn._xlws.FILTER(TablaProductos[Nombre producto],TablaProductos[Agrupación]=ProductosPivot!NGD5)</f>
        <v>#VALUE!</v>
      </c>
      <c r="NGE6" s="68" t="e" cm="1" vm="1">
        <f t="array" ref="NGE6">_xlfn._xlws.FILTER(TablaProductos[Nombre producto],TablaProductos[Agrupación]=ProductosPivot!NGE5)</f>
        <v>#VALUE!</v>
      </c>
      <c r="NGF6" s="68" t="e" cm="1" vm="1">
        <f t="array" ref="NGF6">_xlfn._xlws.FILTER(TablaProductos[Nombre producto],TablaProductos[Agrupación]=ProductosPivot!NGF5)</f>
        <v>#VALUE!</v>
      </c>
      <c r="NGG6" s="68" t="e" cm="1" vm="1">
        <f t="array" ref="NGG6">_xlfn._xlws.FILTER(TablaProductos[Nombre producto],TablaProductos[Agrupación]=ProductosPivot!NGG5)</f>
        <v>#VALUE!</v>
      </c>
      <c r="NGH6" s="68" t="e" cm="1" vm="1">
        <f t="array" ref="NGH6">_xlfn._xlws.FILTER(TablaProductos[Nombre producto],TablaProductos[Agrupación]=ProductosPivot!NGH5)</f>
        <v>#VALUE!</v>
      </c>
      <c r="NGI6" s="68" t="e" cm="1" vm="1">
        <f t="array" ref="NGI6">_xlfn._xlws.FILTER(TablaProductos[Nombre producto],TablaProductos[Agrupación]=ProductosPivot!NGI5)</f>
        <v>#VALUE!</v>
      </c>
      <c r="NGJ6" s="68" t="e" cm="1" vm="1">
        <f t="array" ref="NGJ6">_xlfn._xlws.FILTER(TablaProductos[Nombre producto],TablaProductos[Agrupación]=ProductosPivot!NGJ5)</f>
        <v>#VALUE!</v>
      </c>
      <c r="NGK6" s="68" t="e" cm="1" vm="1">
        <f t="array" ref="NGK6">_xlfn._xlws.FILTER(TablaProductos[Nombre producto],TablaProductos[Agrupación]=ProductosPivot!NGK5)</f>
        <v>#VALUE!</v>
      </c>
      <c r="NGL6" s="68" t="e" cm="1" vm="1">
        <f t="array" ref="NGL6">_xlfn._xlws.FILTER(TablaProductos[Nombre producto],TablaProductos[Agrupación]=ProductosPivot!NGL5)</f>
        <v>#VALUE!</v>
      </c>
      <c r="NGM6" s="68" t="e" cm="1" vm="1">
        <f t="array" ref="NGM6">_xlfn._xlws.FILTER(TablaProductos[Nombre producto],TablaProductos[Agrupación]=ProductosPivot!NGM5)</f>
        <v>#VALUE!</v>
      </c>
      <c r="NGN6" s="68" t="e" cm="1" vm="1">
        <f t="array" ref="NGN6">_xlfn._xlws.FILTER(TablaProductos[Nombre producto],TablaProductos[Agrupación]=ProductosPivot!NGN5)</f>
        <v>#VALUE!</v>
      </c>
      <c r="NGO6" s="68" t="e" cm="1" vm="1">
        <f t="array" ref="NGO6">_xlfn._xlws.FILTER(TablaProductos[Nombre producto],TablaProductos[Agrupación]=ProductosPivot!NGO5)</f>
        <v>#VALUE!</v>
      </c>
      <c r="NGP6" s="68" t="e" cm="1" vm="1">
        <f t="array" ref="NGP6">_xlfn._xlws.FILTER(TablaProductos[Nombre producto],TablaProductos[Agrupación]=ProductosPivot!NGP5)</f>
        <v>#VALUE!</v>
      </c>
      <c r="NGQ6" s="68" t="e" cm="1" vm="1">
        <f t="array" ref="NGQ6">_xlfn._xlws.FILTER(TablaProductos[Nombre producto],TablaProductos[Agrupación]=ProductosPivot!NGQ5)</f>
        <v>#VALUE!</v>
      </c>
      <c r="NGR6" s="68" t="e" cm="1" vm="1">
        <f t="array" ref="NGR6">_xlfn._xlws.FILTER(TablaProductos[Nombre producto],TablaProductos[Agrupación]=ProductosPivot!NGR5)</f>
        <v>#VALUE!</v>
      </c>
      <c r="NGS6" s="68" t="e" cm="1" vm="1">
        <f t="array" ref="NGS6">_xlfn._xlws.FILTER(TablaProductos[Nombre producto],TablaProductos[Agrupación]=ProductosPivot!NGS5)</f>
        <v>#VALUE!</v>
      </c>
      <c r="NGT6" s="68" t="e" cm="1" vm="1">
        <f t="array" ref="NGT6">_xlfn._xlws.FILTER(TablaProductos[Nombre producto],TablaProductos[Agrupación]=ProductosPivot!NGT5)</f>
        <v>#VALUE!</v>
      </c>
      <c r="NGU6" s="68" t="e" cm="1" vm="1">
        <f t="array" ref="NGU6">_xlfn._xlws.FILTER(TablaProductos[Nombre producto],TablaProductos[Agrupación]=ProductosPivot!NGU5)</f>
        <v>#VALUE!</v>
      </c>
      <c r="NGV6" s="68" t="e" cm="1" vm="1">
        <f t="array" ref="NGV6">_xlfn._xlws.FILTER(TablaProductos[Nombre producto],TablaProductos[Agrupación]=ProductosPivot!NGV5)</f>
        <v>#VALUE!</v>
      </c>
      <c r="NGW6" s="68" t="e" cm="1" vm="1">
        <f t="array" ref="NGW6">_xlfn._xlws.FILTER(TablaProductos[Nombre producto],TablaProductos[Agrupación]=ProductosPivot!NGW5)</f>
        <v>#VALUE!</v>
      </c>
      <c r="NGX6" s="68" t="e" cm="1" vm="1">
        <f t="array" ref="NGX6">_xlfn._xlws.FILTER(TablaProductos[Nombre producto],TablaProductos[Agrupación]=ProductosPivot!NGX5)</f>
        <v>#VALUE!</v>
      </c>
      <c r="NGY6" s="68" t="e" cm="1" vm="1">
        <f t="array" ref="NGY6">_xlfn._xlws.FILTER(TablaProductos[Nombre producto],TablaProductos[Agrupación]=ProductosPivot!NGY5)</f>
        <v>#VALUE!</v>
      </c>
      <c r="NGZ6" s="68" t="e" cm="1" vm="1">
        <f t="array" ref="NGZ6">_xlfn._xlws.FILTER(TablaProductos[Nombre producto],TablaProductos[Agrupación]=ProductosPivot!NGZ5)</f>
        <v>#VALUE!</v>
      </c>
      <c r="NHA6" s="68" t="e" cm="1" vm="1">
        <f t="array" ref="NHA6">_xlfn._xlws.FILTER(TablaProductos[Nombre producto],TablaProductos[Agrupación]=ProductosPivot!NHA5)</f>
        <v>#VALUE!</v>
      </c>
      <c r="NHB6" s="68" t="e" cm="1" vm="1">
        <f t="array" ref="NHB6">_xlfn._xlws.FILTER(TablaProductos[Nombre producto],TablaProductos[Agrupación]=ProductosPivot!NHB5)</f>
        <v>#VALUE!</v>
      </c>
      <c r="NHC6" s="68" t="e" cm="1" vm="1">
        <f t="array" ref="NHC6">_xlfn._xlws.FILTER(TablaProductos[Nombre producto],TablaProductos[Agrupación]=ProductosPivot!NHC5)</f>
        <v>#VALUE!</v>
      </c>
      <c r="NHD6" s="68" t="e" cm="1" vm="1">
        <f t="array" ref="NHD6">_xlfn._xlws.FILTER(TablaProductos[Nombre producto],TablaProductos[Agrupación]=ProductosPivot!NHD5)</f>
        <v>#VALUE!</v>
      </c>
      <c r="NHE6" s="68" t="e" cm="1" vm="1">
        <f t="array" ref="NHE6">_xlfn._xlws.FILTER(TablaProductos[Nombre producto],TablaProductos[Agrupación]=ProductosPivot!NHE5)</f>
        <v>#VALUE!</v>
      </c>
      <c r="NHF6" s="68" t="e" cm="1" vm="1">
        <f t="array" ref="NHF6">_xlfn._xlws.FILTER(TablaProductos[Nombre producto],TablaProductos[Agrupación]=ProductosPivot!NHF5)</f>
        <v>#VALUE!</v>
      </c>
      <c r="NHG6" s="68" t="e" cm="1" vm="1">
        <f t="array" ref="NHG6">_xlfn._xlws.FILTER(TablaProductos[Nombre producto],TablaProductos[Agrupación]=ProductosPivot!NHG5)</f>
        <v>#VALUE!</v>
      </c>
      <c r="NHH6" s="68" t="e" cm="1" vm="1">
        <f t="array" ref="NHH6">_xlfn._xlws.FILTER(TablaProductos[Nombre producto],TablaProductos[Agrupación]=ProductosPivot!NHH5)</f>
        <v>#VALUE!</v>
      </c>
      <c r="NHI6" s="68" t="e" cm="1" vm="1">
        <f t="array" ref="NHI6">_xlfn._xlws.FILTER(TablaProductos[Nombre producto],TablaProductos[Agrupación]=ProductosPivot!NHI5)</f>
        <v>#VALUE!</v>
      </c>
      <c r="NHJ6" s="68" t="e" cm="1" vm="1">
        <f t="array" ref="NHJ6">_xlfn._xlws.FILTER(TablaProductos[Nombre producto],TablaProductos[Agrupación]=ProductosPivot!NHJ5)</f>
        <v>#VALUE!</v>
      </c>
      <c r="NHK6" s="68" t="e" cm="1" vm="1">
        <f t="array" ref="NHK6">_xlfn._xlws.FILTER(TablaProductos[Nombre producto],TablaProductos[Agrupación]=ProductosPivot!NHK5)</f>
        <v>#VALUE!</v>
      </c>
      <c r="NHL6" s="68" t="e" cm="1" vm="1">
        <f t="array" ref="NHL6">_xlfn._xlws.FILTER(TablaProductos[Nombre producto],TablaProductos[Agrupación]=ProductosPivot!NHL5)</f>
        <v>#VALUE!</v>
      </c>
      <c r="NHM6" s="68" t="e" cm="1" vm="1">
        <f t="array" ref="NHM6">_xlfn._xlws.FILTER(TablaProductos[Nombre producto],TablaProductos[Agrupación]=ProductosPivot!NHM5)</f>
        <v>#VALUE!</v>
      </c>
      <c r="NHN6" s="68" t="e" cm="1" vm="1">
        <f t="array" ref="NHN6">_xlfn._xlws.FILTER(TablaProductos[Nombre producto],TablaProductos[Agrupación]=ProductosPivot!NHN5)</f>
        <v>#VALUE!</v>
      </c>
      <c r="NHO6" s="68" t="e" cm="1" vm="1">
        <f t="array" ref="NHO6">_xlfn._xlws.FILTER(TablaProductos[Nombre producto],TablaProductos[Agrupación]=ProductosPivot!NHO5)</f>
        <v>#VALUE!</v>
      </c>
      <c r="NHP6" s="68" t="e" cm="1" vm="1">
        <f t="array" ref="NHP6">_xlfn._xlws.FILTER(TablaProductos[Nombre producto],TablaProductos[Agrupación]=ProductosPivot!NHP5)</f>
        <v>#VALUE!</v>
      </c>
      <c r="NHQ6" s="68" t="e" cm="1" vm="1">
        <f t="array" ref="NHQ6">_xlfn._xlws.FILTER(TablaProductos[Nombre producto],TablaProductos[Agrupación]=ProductosPivot!NHQ5)</f>
        <v>#VALUE!</v>
      </c>
      <c r="NHR6" s="68" t="e" cm="1" vm="1">
        <f t="array" ref="NHR6">_xlfn._xlws.FILTER(TablaProductos[Nombre producto],TablaProductos[Agrupación]=ProductosPivot!NHR5)</f>
        <v>#VALUE!</v>
      </c>
      <c r="NHS6" s="68" t="e" cm="1" vm="1">
        <f t="array" ref="NHS6">_xlfn._xlws.FILTER(TablaProductos[Nombre producto],TablaProductos[Agrupación]=ProductosPivot!NHS5)</f>
        <v>#VALUE!</v>
      </c>
      <c r="NHT6" s="68" t="e" cm="1" vm="1">
        <f t="array" ref="NHT6">_xlfn._xlws.FILTER(TablaProductos[Nombre producto],TablaProductos[Agrupación]=ProductosPivot!NHT5)</f>
        <v>#VALUE!</v>
      </c>
      <c r="NHU6" s="68" t="e" cm="1" vm="1">
        <f t="array" ref="NHU6">_xlfn._xlws.FILTER(TablaProductos[Nombre producto],TablaProductos[Agrupación]=ProductosPivot!NHU5)</f>
        <v>#VALUE!</v>
      </c>
      <c r="NHV6" s="68" t="e" cm="1" vm="1">
        <f t="array" ref="NHV6">_xlfn._xlws.FILTER(TablaProductos[Nombre producto],TablaProductos[Agrupación]=ProductosPivot!NHV5)</f>
        <v>#VALUE!</v>
      </c>
      <c r="NHW6" s="68" t="e" cm="1" vm="1">
        <f t="array" ref="NHW6">_xlfn._xlws.FILTER(TablaProductos[Nombre producto],TablaProductos[Agrupación]=ProductosPivot!NHW5)</f>
        <v>#VALUE!</v>
      </c>
      <c r="NHX6" s="68" t="e" cm="1" vm="1">
        <f t="array" ref="NHX6">_xlfn._xlws.FILTER(TablaProductos[Nombre producto],TablaProductos[Agrupación]=ProductosPivot!NHX5)</f>
        <v>#VALUE!</v>
      </c>
      <c r="NHY6" s="68" t="e" cm="1" vm="1">
        <f t="array" ref="NHY6">_xlfn._xlws.FILTER(TablaProductos[Nombre producto],TablaProductos[Agrupación]=ProductosPivot!NHY5)</f>
        <v>#VALUE!</v>
      </c>
      <c r="NHZ6" s="68" t="e" cm="1" vm="1">
        <f t="array" ref="NHZ6">_xlfn._xlws.FILTER(TablaProductos[Nombre producto],TablaProductos[Agrupación]=ProductosPivot!NHZ5)</f>
        <v>#VALUE!</v>
      </c>
      <c r="NIA6" s="68" t="e" cm="1" vm="1">
        <f t="array" ref="NIA6">_xlfn._xlws.FILTER(TablaProductos[Nombre producto],TablaProductos[Agrupación]=ProductosPivot!NIA5)</f>
        <v>#VALUE!</v>
      </c>
      <c r="NIB6" s="68" t="e" cm="1" vm="1">
        <f t="array" ref="NIB6">_xlfn._xlws.FILTER(TablaProductos[Nombre producto],TablaProductos[Agrupación]=ProductosPivot!NIB5)</f>
        <v>#VALUE!</v>
      </c>
      <c r="NIC6" s="68" t="e" cm="1" vm="1">
        <f t="array" ref="NIC6">_xlfn._xlws.FILTER(TablaProductos[Nombre producto],TablaProductos[Agrupación]=ProductosPivot!NIC5)</f>
        <v>#VALUE!</v>
      </c>
      <c r="NID6" s="68" t="e" cm="1" vm="1">
        <f t="array" ref="NID6">_xlfn._xlws.FILTER(TablaProductos[Nombre producto],TablaProductos[Agrupación]=ProductosPivot!NID5)</f>
        <v>#VALUE!</v>
      </c>
      <c r="NIE6" s="68" t="e" cm="1" vm="1">
        <f t="array" ref="NIE6">_xlfn._xlws.FILTER(TablaProductos[Nombre producto],TablaProductos[Agrupación]=ProductosPivot!NIE5)</f>
        <v>#VALUE!</v>
      </c>
      <c r="NIF6" s="68" t="e" cm="1" vm="1">
        <f t="array" ref="NIF6">_xlfn._xlws.FILTER(TablaProductos[Nombre producto],TablaProductos[Agrupación]=ProductosPivot!NIF5)</f>
        <v>#VALUE!</v>
      </c>
      <c r="NIG6" s="68" t="e" cm="1" vm="1">
        <f t="array" ref="NIG6">_xlfn._xlws.FILTER(TablaProductos[Nombre producto],TablaProductos[Agrupación]=ProductosPivot!NIG5)</f>
        <v>#VALUE!</v>
      </c>
      <c r="NIH6" s="68" t="e" cm="1" vm="1">
        <f t="array" ref="NIH6">_xlfn._xlws.FILTER(TablaProductos[Nombre producto],TablaProductos[Agrupación]=ProductosPivot!NIH5)</f>
        <v>#VALUE!</v>
      </c>
      <c r="NII6" s="68" t="e" cm="1" vm="1">
        <f t="array" ref="NII6">_xlfn._xlws.FILTER(TablaProductos[Nombre producto],TablaProductos[Agrupación]=ProductosPivot!NII5)</f>
        <v>#VALUE!</v>
      </c>
      <c r="NIJ6" s="68" t="e" cm="1" vm="1">
        <f t="array" ref="NIJ6">_xlfn._xlws.FILTER(TablaProductos[Nombre producto],TablaProductos[Agrupación]=ProductosPivot!NIJ5)</f>
        <v>#VALUE!</v>
      </c>
      <c r="NIK6" s="68" t="e" cm="1" vm="1">
        <f t="array" ref="NIK6">_xlfn._xlws.FILTER(TablaProductos[Nombre producto],TablaProductos[Agrupación]=ProductosPivot!NIK5)</f>
        <v>#VALUE!</v>
      </c>
      <c r="NIL6" s="68" t="e" cm="1" vm="1">
        <f t="array" ref="NIL6">_xlfn._xlws.FILTER(TablaProductos[Nombre producto],TablaProductos[Agrupación]=ProductosPivot!NIL5)</f>
        <v>#VALUE!</v>
      </c>
      <c r="NIM6" s="68" t="e" cm="1" vm="1">
        <f t="array" ref="NIM6">_xlfn._xlws.FILTER(TablaProductos[Nombre producto],TablaProductos[Agrupación]=ProductosPivot!NIM5)</f>
        <v>#VALUE!</v>
      </c>
      <c r="NIN6" s="68" t="e" cm="1" vm="1">
        <f t="array" ref="NIN6">_xlfn._xlws.FILTER(TablaProductos[Nombre producto],TablaProductos[Agrupación]=ProductosPivot!NIN5)</f>
        <v>#VALUE!</v>
      </c>
      <c r="NIO6" s="68" t="e" cm="1" vm="1">
        <f t="array" ref="NIO6">_xlfn._xlws.FILTER(TablaProductos[Nombre producto],TablaProductos[Agrupación]=ProductosPivot!NIO5)</f>
        <v>#VALUE!</v>
      </c>
      <c r="NIP6" s="68" t="e" cm="1" vm="1">
        <f t="array" ref="NIP6">_xlfn._xlws.FILTER(TablaProductos[Nombre producto],TablaProductos[Agrupación]=ProductosPivot!NIP5)</f>
        <v>#VALUE!</v>
      </c>
      <c r="NIQ6" s="68" t="e" cm="1" vm="1">
        <f t="array" ref="NIQ6">_xlfn._xlws.FILTER(TablaProductos[Nombre producto],TablaProductos[Agrupación]=ProductosPivot!NIQ5)</f>
        <v>#VALUE!</v>
      </c>
      <c r="NIR6" s="68" t="e" cm="1" vm="1">
        <f t="array" ref="NIR6">_xlfn._xlws.FILTER(TablaProductos[Nombre producto],TablaProductos[Agrupación]=ProductosPivot!NIR5)</f>
        <v>#VALUE!</v>
      </c>
      <c r="NIS6" s="68" t="e" cm="1" vm="1">
        <f t="array" ref="NIS6">_xlfn._xlws.FILTER(TablaProductos[Nombre producto],TablaProductos[Agrupación]=ProductosPivot!NIS5)</f>
        <v>#VALUE!</v>
      </c>
      <c r="NIT6" s="68" t="e" cm="1" vm="1">
        <f t="array" ref="NIT6">_xlfn._xlws.FILTER(TablaProductos[Nombre producto],TablaProductos[Agrupación]=ProductosPivot!NIT5)</f>
        <v>#VALUE!</v>
      </c>
      <c r="NIU6" s="68" t="e" cm="1" vm="1">
        <f t="array" ref="NIU6">_xlfn._xlws.FILTER(TablaProductos[Nombre producto],TablaProductos[Agrupación]=ProductosPivot!NIU5)</f>
        <v>#VALUE!</v>
      </c>
      <c r="NIV6" s="68" t="e" cm="1" vm="1">
        <f t="array" ref="NIV6">_xlfn._xlws.FILTER(TablaProductos[Nombre producto],TablaProductos[Agrupación]=ProductosPivot!NIV5)</f>
        <v>#VALUE!</v>
      </c>
      <c r="NIW6" s="68" t="e" cm="1" vm="1">
        <f t="array" ref="NIW6">_xlfn._xlws.FILTER(TablaProductos[Nombre producto],TablaProductos[Agrupación]=ProductosPivot!NIW5)</f>
        <v>#VALUE!</v>
      </c>
      <c r="NIX6" s="68" t="e" cm="1" vm="1">
        <f t="array" ref="NIX6">_xlfn._xlws.FILTER(TablaProductos[Nombre producto],TablaProductos[Agrupación]=ProductosPivot!NIX5)</f>
        <v>#VALUE!</v>
      </c>
      <c r="NIY6" s="68" t="e" cm="1" vm="1">
        <f t="array" ref="NIY6">_xlfn._xlws.FILTER(TablaProductos[Nombre producto],TablaProductos[Agrupación]=ProductosPivot!NIY5)</f>
        <v>#VALUE!</v>
      </c>
      <c r="NIZ6" s="68" t="e" cm="1" vm="1">
        <f t="array" ref="NIZ6">_xlfn._xlws.FILTER(TablaProductos[Nombre producto],TablaProductos[Agrupación]=ProductosPivot!NIZ5)</f>
        <v>#VALUE!</v>
      </c>
      <c r="NJA6" s="68" t="e" cm="1" vm="1">
        <f t="array" ref="NJA6">_xlfn._xlws.FILTER(TablaProductos[Nombre producto],TablaProductos[Agrupación]=ProductosPivot!NJA5)</f>
        <v>#VALUE!</v>
      </c>
      <c r="NJB6" s="68" t="e" cm="1" vm="1">
        <f t="array" ref="NJB6">_xlfn._xlws.FILTER(TablaProductos[Nombre producto],TablaProductos[Agrupación]=ProductosPivot!NJB5)</f>
        <v>#VALUE!</v>
      </c>
      <c r="NJC6" s="68" t="e" cm="1" vm="1">
        <f t="array" ref="NJC6">_xlfn._xlws.FILTER(TablaProductos[Nombre producto],TablaProductos[Agrupación]=ProductosPivot!NJC5)</f>
        <v>#VALUE!</v>
      </c>
      <c r="NJD6" s="68" t="e" cm="1" vm="1">
        <f t="array" ref="NJD6">_xlfn._xlws.FILTER(TablaProductos[Nombre producto],TablaProductos[Agrupación]=ProductosPivot!NJD5)</f>
        <v>#VALUE!</v>
      </c>
      <c r="NJE6" s="68" t="e" cm="1" vm="1">
        <f t="array" ref="NJE6">_xlfn._xlws.FILTER(TablaProductos[Nombre producto],TablaProductos[Agrupación]=ProductosPivot!NJE5)</f>
        <v>#VALUE!</v>
      </c>
      <c r="NJF6" s="68" t="e" cm="1" vm="1">
        <f t="array" ref="NJF6">_xlfn._xlws.FILTER(TablaProductos[Nombre producto],TablaProductos[Agrupación]=ProductosPivot!NJF5)</f>
        <v>#VALUE!</v>
      </c>
      <c r="NJG6" s="68" t="e" cm="1" vm="1">
        <f t="array" ref="NJG6">_xlfn._xlws.FILTER(TablaProductos[Nombre producto],TablaProductos[Agrupación]=ProductosPivot!NJG5)</f>
        <v>#VALUE!</v>
      </c>
      <c r="NJH6" s="68" t="e" cm="1" vm="1">
        <f t="array" ref="NJH6">_xlfn._xlws.FILTER(TablaProductos[Nombre producto],TablaProductos[Agrupación]=ProductosPivot!NJH5)</f>
        <v>#VALUE!</v>
      </c>
      <c r="NJI6" s="68" t="e" cm="1" vm="1">
        <f t="array" ref="NJI6">_xlfn._xlws.FILTER(TablaProductos[Nombre producto],TablaProductos[Agrupación]=ProductosPivot!NJI5)</f>
        <v>#VALUE!</v>
      </c>
      <c r="NJJ6" s="68" t="e" cm="1" vm="1">
        <f t="array" ref="NJJ6">_xlfn._xlws.FILTER(TablaProductos[Nombre producto],TablaProductos[Agrupación]=ProductosPivot!NJJ5)</f>
        <v>#VALUE!</v>
      </c>
      <c r="NJK6" s="68" t="e" cm="1" vm="1">
        <f t="array" ref="NJK6">_xlfn._xlws.FILTER(TablaProductos[Nombre producto],TablaProductos[Agrupación]=ProductosPivot!NJK5)</f>
        <v>#VALUE!</v>
      </c>
      <c r="NJL6" s="68" t="e" cm="1" vm="1">
        <f t="array" ref="NJL6">_xlfn._xlws.FILTER(TablaProductos[Nombre producto],TablaProductos[Agrupación]=ProductosPivot!NJL5)</f>
        <v>#VALUE!</v>
      </c>
      <c r="NJM6" s="68" t="e" cm="1" vm="1">
        <f t="array" ref="NJM6">_xlfn._xlws.FILTER(TablaProductos[Nombre producto],TablaProductos[Agrupación]=ProductosPivot!NJM5)</f>
        <v>#VALUE!</v>
      </c>
      <c r="NJN6" s="68" t="e" cm="1" vm="1">
        <f t="array" ref="NJN6">_xlfn._xlws.FILTER(TablaProductos[Nombre producto],TablaProductos[Agrupación]=ProductosPivot!NJN5)</f>
        <v>#VALUE!</v>
      </c>
      <c r="NJO6" s="68" t="e" cm="1" vm="1">
        <f t="array" ref="NJO6">_xlfn._xlws.FILTER(TablaProductos[Nombre producto],TablaProductos[Agrupación]=ProductosPivot!NJO5)</f>
        <v>#VALUE!</v>
      </c>
      <c r="NJP6" s="68" t="e" cm="1" vm="1">
        <f t="array" ref="NJP6">_xlfn._xlws.FILTER(TablaProductos[Nombre producto],TablaProductos[Agrupación]=ProductosPivot!NJP5)</f>
        <v>#VALUE!</v>
      </c>
      <c r="NJQ6" s="68" t="e" cm="1" vm="1">
        <f t="array" ref="NJQ6">_xlfn._xlws.FILTER(TablaProductos[Nombre producto],TablaProductos[Agrupación]=ProductosPivot!NJQ5)</f>
        <v>#VALUE!</v>
      </c>
      <c r="NJR6" s="68" t="e" cm="1" vm="1">
        <f t="array" ref="NJR6">_xlfn._xlws.FILTER(TablaProductos[Nombre producto],TablaProductos[Agrupación]=ProductosPivot!NJR5)</f>
        <v>#VALUE!</v>
      </c>
      <c r="NJS6" s="68" t="e" cm="1" vm="1">
        <f t="array" ref="NJS6">_xlfn._xlws.FILTER(TablaProductos[Nombre producto],TablaProductos[Agrupación]=ProductosPivot!NJS5)</f>
        <v>#VALUE!</v>
      </c>
      <c r="NJT6" s="68" t="e" cm="1" vm="1">
        <f t="array" ref="NJT6">_xlfn._xlws.FILTER(TablaProductos[Nombre producto],TablaProductos[Agrupación]=ProductosPivot!NJT5)</f>
        <v>#VALUE!</v>
      </c>
      <c r="NJU6" s="68" t="e" cm="1" vm="1">
        <f t="array" ref="NJU6">_xlfn._xlws.FILTER(TablaProductos[Nombre producto],TablaProductos[Agrupación]=ProductosPivot!NJU5)</f>
        <v>#VALUE!</v>
      </c>
      <c r="NJV6" s="68" t="e" cm="1" vm="1">
        <f t="array" ref="NJV6">_xlfn._xlws.FILTER(TablaProductos[Nombre producto],TablaProductos[Agrupación]=ProductosPivot!NJV5)</f>
        <v>#VALUE!</v>
      </c>
      <c r="NJW6" s="68" t="e" cm="1" vm="1">
        <f t="array" ref="NJW6">_xlfn._xlws.FILTER(TablaProductos[Nombre producto],TablaProductos[Agrupación]=ProductosPivot!NJW5)</f>
        <v>#VALUE!</v>
      </c>
      <c r="NJX6" s="68" t="e" cm="1" vm="1">
        <f t="array" ref="NJX6">_xlfn._xlws.FILTER(TablaProductos[Nombre producto],TablaProductos[Agrupación]=ProductosPivot!NJX5)</f>
        <v>#VALUE!</v>
      </c>
      <c r="NJY6" s="68" t="e" cm="1" vm="1">
        <f t="array" ref="NJY6">_xlfn._xlws.FILTER(TablaProductos[Nombre producto],TablaProductos[Agrupación]=ProductosPivot!NJY5)</f>
        <v>#VALUE!</v>
      </c>
      <c r="NJZ6" s="68" t="e" cm="1" vm="1">
        <f t="array" ref="NJZ6">_xlfn._xlws.FILTER(TablaProductos[Nombre producto],TablaProductos[Agrupación]=ProductosPivot!NJZ5)</f>
        <v>#VALUE!</v>
      </c>
      <c r="NKA6" s="68" t="e" cm="1" vm="1">
        <f t="array" ref="NKA6">_xlfn._xlws.FILTER(TablaProductos[Nombre producto],TablaProductos[Agrupación]=ProductosPivot!NKA5)</f>
        <v>#VALUE!</v>
      </c>
      <c r="NKB6" s="68" t="e" cm="1" vm="1">
        <f t="array" ref="NKB6">_xlfn._xlws.FILTER(TablaProductos[Nombre producto],TablaProductos[Agrupación]=ProductosPivot!NKB5)</f>
        <v>#VALUE!</v>
      </c>
      <c r="NKC6" s="68" t="e" cm="1" vm="1">
        <f t="array" ref="NKC6">_xlfn._xlws.FILTER(TablaProductos[Nombre producto],TablaProductos[Agrupación]=ProductosPivot!NKC5)</f>
        <v>#VALUE!</v>
      </c>
      <c r="NKD6" s="68" t="e" cm="1" vm="1">
        <f t="array" ref="NKD6">_xlfn._xlws.FILTER(TablaProductos[Nombre producto],TablaProductos[Agrupación]=ProductosPivot!NKD5)</f>
        <v>#VALUE!</v>
      </c>
      <c r="NKE6" s="68" t="e" cm="1" vm="1">
        <f t="array" ref="NKE6">_xlfn._xlws.FILTER(TablaProductos[Nombre producto],TablaProductos[Agrupación]=ProductosPivot!NKE5)</f>
        <v>#VALUE!</v>
      </c>
      <c r="NKF6" s="68" t="e" cm="1" vm="1">
        <f t="array" ref="NKF6">_xlfn._xlws.FILTER(TablaProductos[Nombre producto],TablaProductos[Agrupación]=ProductosPivot!NKF5)</f>
        <v>#VALUE!</v>
      </c>
      <c r="NKG6" s="68" t="e" cm="1" vm="1">
        <f t="array" ref="NKG6">_xlfn._xlws.FILTER(TablaProductos[Nombre producto],TablaProductos[Agrupación]=ProductosPivot!NKG5)</f>
        <v>#VALUE!</v>
      </c>
      <c r="NKH6" s="68" t="e" cm="1" vm="1">
        <f t="array" ref="NKH6">_xlfn._xlws.FILTER(TablaProductos[Nombre producto],TablaProductos[Agrupación]=ProductosPivot!NKH5)</f>
        <v>#VALUE!</v>
      </c>
      <c r="NKI6" s="68" t="e" cm="1" vm="1">
        <f t="array" ref="NKI6">_xlfn._xlws.FILTER(TablaProductos[Nombre producto],TablaProductos[Agrupación]=ProductosPivot!NKI5)</f>
        <v>#VALUE!</v>
      </c>
      <c r="NKJ6" s="68" t="e" cm="1" vm="1">
        <f t="array" ref="NKJ6">_xlfn._xlws.FILTER(TablaProductos[Nombre producto],TablaProductos[Agrupación]=ProductosPivot!NKJ5)</f>
        <v>#VALUE!</v>
      </c>
      <c r="NKK6" s="68" t="e" cm="1" vm="1">
        <f t="array" ref="NKK6">_xlfn._xlws.FILTER(TablaProductos[Nombre producto],TablaProductos[Agrupación]=ProductosPivot!NKK5)</f>
        <v>#VALUE!</v>
      </c>
      <c r="NKL6" s="68" t="e" cm="1" vm="1">
        <f t="array" ref="NKL6">_xlfn._xlws.FILTER(TablaProductos[Nombre producto],TablaProductos[Agrupación]=ProductosPivot!NKL5)</f>
        <v>#VALUE!</v>
      </c>
      <c r="NKM6" s="68" t="e" cm="1" vm="1">
        <f t="array" ref="NKM6">_xlfn._xlws.FILTER(TablaProductos[Nombre producto],TablaProductos[Agrupación]=ProductosPivot!NKM5)</f>
        <v>#VALUE!</v>
      </c>
      <c r="NKN6" s="68" t="e" cm="1" vm="1">
        <f t="array" ref="NKN6">_xlfn._xlws.FILTER(TablaProductos[Nombre producto],TablaProductos[Agrupación]=ProductosPivot!NKN5)</f>
        <v>#VALUE!</v>
      </c>
      <c r="NKO6" s="68" t="e" cm="1" vm="1">
        <f t="array" ref="NKO6">_xlfn._xlws.FILTER(TablaProductos[Nombre producto],TablaProductos[Agrupación]=ProductosPivot!NKO5)</f>
        <v>#VALUE!</v>
      </c>
      <c r="NKP6" s="68" t="e" cm="1" vm="1">
        <f t="array" ref="NKP6">_xlfn._xlws.FILTER(TablaProductos[Nombre producto],TablaProductos[Agrupación]=ProductosPivot!NKP5)</f>
        <v>#VALUE!</v>
      </c>
      <c r="NKQ6" s="68" t="e" cm="1" vm="1">
        <f t="array" ref="NKQ6">_xlfn._xlws.FILTER(TablaProductos[Nombre producto],TablaProductos[Agrupación]=ProductosPivot!NKQ5)</f>
        <v>#VALUE!</v>
      </c>
      <c r="NKR6" s="68" t="e" cm="1" vm="1">
        <f t="array" ref="NKR6">_xlfn._xlws.FILTER(TablaProductos[Nombre producto],TablaProductos[Agrupación]=ProductosPivot!NKR5)</f>
        <v>#VALUE!</v>
      </c>
      <c r="NKS6" s="68" t="e" cm="1" vm="1">
        <f t="array" ref="NKS6">_xlfn._xlws.FILTER(TablaProductos[Nombre producto],TablaProductos[Agrupación]=ProductosPivot!NKS5)</f>
        <v>#VALUE!</v>
      </c>
      <c r="NKT6" s="68" t="e" cm="1" vm="1">
        <f t="array" ref="NKT6">_xlfn._xlws.FILTER(TablaProductos[Nombre producto],TablaProductos[Agrupación]=ProductosPivot!NKT5)</f>
        <v>#VALUE!</v>
      </c>
      <c r="NKU6" s="68" t="e" cm="1" vm="1">
        <f t="array" ref="NKU6">_xlfn._xlws.FILTER(TablaProductos[Nombre producto],TablaProductos[Agrupación]=ProductosPivot!NKU5)</f>
        <v>#VALUE!</v>
      </c>
      <c r="NKV6" s="68" t="e" cm="1" vm="1">
        <f t="array" ref="NKV6">_xlfn._xlws.FILTER(TablaProductos[Nombre producto],TablaProductos[Agrupación]=ProductosPivot!NKV5)</f>
        <v>#VALUE!</v>
      </c>
      <c r="NKW6" s="68" t="e" cm="1" vm="1">
        <f t="array" ref="NKW6">_xlfn._xlws.FILTER(TablaProductos[Nombre producto],TablaProductos[Agrupación]=ProductosPivot!NKW5)</f>
        <v>#VALUE!</v>
      </c>
      <c r="NKX6" s="68" t="e" cm="1" vm="1">
        <f t="array" ref="NKX6">_xlfn._xlws.FILTER(TablaProductos[Nombre producto],TablaProductos[Agrupación]=ProductosPivot!NKX5)</f>
        <v>#VALUE!</v>
      </c>
      <c r="NKY6" s="68" t="e" cm="1" vm="1">
        <f t="array" ref="NKY6">_xlfn._xlws.FILTER(TablaProductos[Nombre producto],TablaProductos[Agrupación]=ProductosPivot!NKY5)</f>
        <v>#VALUE!</v>
      </c>
      <c r="NKZ6" s="68" t="e" cm="1" vm="1">
        <f t="array" ref="NKZ6">_xlfn._xlws.FILTER(TablaProductos[Nombre producto],TablaProductos[Agrupación]=ProductosPivot!NKZ5)</f>
        <v>#VALUE!</v>
      </c>
      <c r="NLA6" s="68" t="e" cm="1" vm="1">
        <f t="array" ref="NLA6">_xlfn._xlws.FILTER(TablaProductos[Nombre producto],TablaProductos[Agrupación]=ProductosPivot!NLA5)</f>
        <v>#VALUE!</v>
      </c>
      <c r="NLB6" s="68" t="e" cm="1" vm="1">
        <f t="array" ref="NLB6">_xlfn._xlws.FILTER(TablaProductos[Nombre producto],TablaProductos[Agrupación]=ProductosPivot!NLB5)</f>
        <v>#VALUE!</v>
      </c>
      <c r="NLC6" s="68" t="e" cm="1" vm="1">
        <f t="array" ref="NLC6">_xlfn._xlws.FILTER(TablaProductos[Nombre producto],TablaProductos[Agrupación]=ProductosPivot!NLC5)</f>
        <v>#VALUE!</v>
      </c>
      <c r="NLD6" s="68" t="e" cm="1" vm="1">
        <f t="array" ref="NLD6">_xlfn._xlws.FILTER(TablaProductos[Nombre producto],TablaProductos[Agrupación]=ProductosPivot!NLD5)</f>
        <v>#VALUE!</v>
      </c>
      <c r="NLE6" s="68" t="e" cm="1" vm="1">
        <f t="array" ref="NLE6">_xlfn._xlws.FILTER(TablaProductos[Nombre producto],TablaProductos[Agrupación]=ProductosPivot!NLE5)</f>
        <v>#VALUE!</v>
      </c>
      <c r="NLF6" s="68" t="e" cm="1" vm="1">
        <f t="array" ref="NLF6">_xlfn._xlws.FILTER(TablaProductos[Nombre producto],TablaProductos[Agrupación]=ProductosPivot!NLF5)</f>
        <v>#VALUE!</v>
      </c>
      <c r="NLG6" s="68" t="e" cm="1" vm="1">
        <f t="array" ref="NLG6">_xlfn._xlws.FILTER(TablaProductos[Nombre producto],TablaProductos[Agrupación]=ProductosPivot!NLG5)</f>
        <v>#VALUE!</v>
      </c>
      <c r="NLH6" s="68" t="e" cm="1" vm="1">
        <f t="array" ref="NLH6">_xlfn._xlws.FILTER(TablaProductos[Nombre producto],TablaProductos[Agrupación]=ProductosPivot!NLH5)</f>
        <v>#VALUE!</v>
      </c>
      <c r="NLI6" s="68" t="e" cm="1" vm="1">
        <f t="array" ref="NLI6">_xlfn._xlws.FILTER(TablaProductos[Nombre producto],TablaProductos[Agrupación]=ProductosPivot!NLI5)</f>
        <v>#VALUE!</v>
      </c>
      <c r="NLJ6" s="68" t="e" cm="1" vm="1">
        <f t="array" ref="NLJ6">_xlfn._xlws.FILTER(TablaProductos[Nombre producto],TablaProductos[Agrupación]=ProductosPivot!NLJ5)</f>
        <v>#VALUE!</v>
      </c>
      <c r="NLK6" s="68" t="e" cm="1" vm="1">
        <f t="array" ref="NLK6">_xlfn._xlws.FILTER(TablaProductos[Nombre producto],TablaProductos[Agrupación]=ProductosPivot!NLK5)</f>
        <v>#VALUE!</v>
      </c>
      <c r="NLL6" s="68" t="e" cm="1" vm="1">
        <f t="array" ref="NLL6">_xlfn._xlws.FILTER(TablaProductos[Nombre producto],TablaProductos[Agrupación]=ProductosPivot!NLL5)</f>
        <v>#VALUE!</v>
      </c>
      <c r="NLM6" s="68" t="e" cm="1" vm="1">
        <f t="array" ref="NLM6">_xlfn._xlws.FILTER(TablaProductos[Nombre producto],TablaProductos[Agrupación]=ProductosPivot!NLM5)</f>
        <v>#VALUE!</v>
      </c>
      <c r="NLN6" s="68" t="e" cm="1" vm="1">
        <f t="array" ref="NLN6">_xlfn._xlws.FILTER(TablaProductos[Nombre producto],TablaProductos[Agrupación]=ProductosPivot!NLN5)</f>
        <v>#VALUE!</v>
      </c>
      <c r="NLO6" s="68" t="e" cm="1" vm="1">
        <f t="array" ref="NLO6">_xlfn._xlws.FILTER(TablaProductos[Nombre producto],TablaProductos[Agrupación]=ProductosPivot!NLO5)</f>
        <v>#VALUE!</v>
      </c>
      <c r="NLP6" s="68" t="e" cm="1" vm="1">
        <f t="array" ref="NLP6">_xlfn._xlws.FILTER(TablaProductos[Nombre producto],TablaProductos[Agrupación]=ProductosPivot!NLP5)</f>
        <v>#VALUE!</v>
      </c>
      <c r="NLQ6" s="68" t="e" cm="1" vm="1">
        <f t="array" ref="NLQ6">_xlfn._xlws.FILTER(TablaProductos[Nombre producto],TablaProductos[Agrupación]=ProductosPivot!NLQ5)</f>
        <v>#VALUE!</v>
      </c>
      <c r="NLR6" s="68" t="e" cm="1" vm="1">
        <f t="array" ref="NLR6">_xlfn._xlws.FILTER(TablaProductos[Nombre producto],TablaProductos[Agrupación]=ProductosPivot!NLR5)</f>
        <v>#VALUE!</v>
      </c>
      <c r="NLS6" s="68" t="e" cm="1" vm="1">
        <f t="array" ref="NLS6">_xlfn._xlws.FILTER(TablaProductos[Nombre producto],TablaProductos[Agrupación]=ProductosPivot!NLS5)</f>
        <v>#VALUE!</v>
      </c>
      <c r="NLT6" s="68" t="e" cm="1" vm="1">
        <f t="array" ref="NLT6">_xlfn._xlws.FILTER(TablaProductos[Nombre producto],TablaProductos[Agrupación]=ProductosPivot!NLT5)</f>
        <v>#VALUE!</v>
      </c>
      <c r="NLU6" s="68" t="e" cm="1" vm="1">
        <f t="array" ref="NLU6">_xlfn._xlws.FILTER(TablaProductos[Nombre producto],TablaProductos[Agrupación]=ProductosPivot!NLU5)</f>
        <v>#VALUE!</v>
      </c>
      <c r="NLV6" s="68" t="e" cm="1" vm="1">
        <f t="array" ref="NLV6">_xlfn._xlws.FILTER(TablaProductos[Nombre producto],TablaProductos[Agrupación]=ProductosPivot!NLV5)</f>
        <v>#VALUE!</v>
      </c>
      <c r="NLW6" s="68" t="e" cm="1" vm="1">
        <f t="array" ref="NLW6">_xlfn._xlws.FILTER(TablaProductos[Nombre producto],TablaProductos[Agrupación]=ProductosPivot!NLW5)</f>
        <v>#VALUE!</v>
      </c>
      <c r="NLX6" s="68" t="e" cm="1" vm="1">
        <f t="array" ref="NLX6">_xlfn._xlws.FILTER(TablaProductos[Nombre producto],TablaProductos[Agrupación]=ProductosPivot!NLX5)</f>
        <v>#VALUE!</v>
      </c>
      <c r="NLY6" s="68" t="e" cm="1" vm="1">
        <f t="array" ref="NLY6">_xlfn._xlws.FILTER(TablaProductos[Nombre producto],TablaProductos[Agrupación]=ProductosPivot!NLY5)</f>
        <v>#VALUE!</v>
      </c>
      <c r="NLZ6" s="68" t="e" cm="1" vm="1">
        <f t="array" ref="NLZ6">_xlfn._xlws.FILTER(TablaProductos[Nombre producto],TablaProductos[Agrupación]=ProductosPivot!NLZ5)</f>
        <v>#VALUE!</v>
      </c>
      <c r="NMA6" s="68" t="e" cm="1" vm="1">
        <f t="array" ref="NMA6">_xlfn._xlws.FILTER(TablaProductos[Nombre producto],TablaProductos[Agrupación]=ProductosPivot!NMA5)</f>
        <v>#VALUE!</v>
      </c>
      <c r="NMB6" s="68" t="e" cm="1" vm="1">
        <f t="array" ref="NMB6">_xlfn._xlws.FILTER(TablaProductos[Nombre producto],TablaProductos[Agrupación]=ProductosPivot!NMB5)</f>
        <v>#VALUE!</v>
      </c>
      <c r="NMC6" s="68" t="e" cm="1" vm="1">
        <f t="array" ref="NMC6">_xlfn._xlws.FILTER(TablaProductos[Nombre producto],TablaProductos[Agrupación]=ProductosPivot!NMC5)</f>
        <v>#VALUE!</v>
      </c>
      <c r="NMD6" s="68" t="e" cm="1" vm="1">
        <f t="array" ref="NMD6">_xlfn._xlws.FILTER(TablaProductos[Nombre producto],TablaProductos[Agrupación]=ProductosPivot!NMD5)</f>
        <v>#VALUE!</v>
      </c>
      <c r="NME6" s="68" t="e" cm="1" vm="1">
        <f t="array" ref="NME6">_xlfn._xlws.FILTER(TablaProductos[Nombre producto],TablaProductos[Agrupación]=ProductosPivot!NME5)</f>
        <v>#VALUE!</v>
      </c>
      <c r="NMF6" s="68" t="e" cm="1" vm="1">
        <f t="array" ref="NMF6">_xlfn._xlws.FILTER(TablaProductos[Nombre producto],TablaProductos[Agrupación]=ProductosPivot!NMF5)</f>
        <v>#VALUE!</v>
      </c>
      <c r="NMG6" s="68" t="e" cm="1" vm="1">
        <f t="array" ref="NMG6">_xlfn._xlws.FILTER(TablaProductos[Nombre producto],TablaProductos[Agrupación]=ProductosPivot!NMG5)</f>
        <v>#VALUE!</v>
      </c>
      <c r="NMH6" s="68" t="e" cm="1" vm="1">
        <f t="array" ref="NMH6">_xlfn._xlws.FILTER(TablaProductos[Nombre producto],TablaProductos[Agrupación]=ProductosPivot!NMH5)</f>
        <v>#VALUE!</v>
      </c>
      <c r="NMI6" s="68" t="e" cm="1" vm="1">
        <f t="array" ref="NMI6">_xlfn._xlws.FILTER(TablaProductos[Nombre producto],TablaProductos[Agrupación]=ProductosPivot!NMI5)</f>
        <v>#VALUE!</v>
      </c>
      <c r="NMJ6" s="68" t="e" cm="1" vm="1">
        <f t="array" ref="NMJ6">_xlfn._xlws.FILTER(TablaProductos[Nombre producto],TablaProductos[Agrupación]=ProductosPivot!NMJ5)</f>
        <v>#VALUE!</v>
      </c>
      <c r="NMK6" s="68" t="e" cm="1" vm="1">
        <f t="array" ref="NMK6">_xlfn._xlws.FILTER(TablaProductos[Nombre producto],TablaProductos[Agrupación]=ProductosPivot!NMK5)</f>
        <v>#VALUE!</v>
      </c>
      <c r="NML6" s="68" t="e" cm="1" vm="1">
        <f t="array" ref="NML6">_xlfn._xlws.FILTER(TablaProductos[Nombre producto],TablaProductos[Agrupación]=ProductosPivot!NML5)</f>
        <v>#VALUE!</v>
      </c>
      <c r="NMM6" s="68" t="e" cm="1" vm="1">
        <f t="array" ref="NMM6">_xlfn._xlws.FILTER(TablaProductos[Nombre producto],TablaProductos[Agrupación]=ProductosPivot!NMM5)</f>
        <v>#VALUE!</v>
      </c>
      <c r="NMN6" s="68" t="e" cm="1" vm="1">
        <f t="array" ref="NMN6">_xlfn._xlws.FILTER(TablaProductos[Nombre producto],TablaProductos[Agrupación]=ProductosPivot!NMN5)</f>
        <v>#VALUE!</v>
      </c>
      <c r="NMO6" s="68" t="e" cm="1" vm="1">
        <f t="array" ref="NMO6">_xlfn._xlws.FILTER(TablaProductos[Nombre producto],TablaProductos[Agrupación]=ProductosPivot!NMO5)</f>
        <v>#VALUE!</v>
      </c>
      <c r="NMP6" s="68" t="e" cm="1" vm="1">
        <f t="array" ref="NMP6">_xlfn._xlws.FILTER(TablaProductos[Nombre producto],TablaProductos[Agrupación]=ProductosPivot!NMP5)</f>
        <v>#VALUE!</v>
      </c>
      <c r="NMQ6" s="68" t="e" cm="1" vm="1">
        <f t="array" ref="NMQ6">_xlfn._xlws.FILTER(TablaProductos[Nombre producto],TablaProductos[Agrupación]=ProductosPivot!NMQ5)</f>
        <v>#VALUE!</v>
      </c>
      <c r="NMR6" s="68" t="e" cm="1" vm="1">
        <f t="array" ref="NMR6">_xlfn._xlws.FILTER(TablaProductos[Nombre producto],TablaProductos[Agrupación]=ProductosPivot!NMR5)</f>
        <v>#VALUE!</v>
      </c>
      <c r="NMS6" s="68" t="e" cm="1" vm="1">
        <f t="array" ref="NMS6">_xlfn._xlws.FILTER(TablaProductos[Nombre producto],TablaProductos[Agrupación]=ProductosPivot!NMS5)</f>
        <v>#VALUE!</v>
      </c>
      <c r="NMT6" s="68" t="e" cm="1" vm="1">
        <f t="array" ref="NMT6">_xlfn._xlws.FILTER(TablaProductos[Nombre producto],TablaProductos[Agrupación]=ProductosPivot!NMT5)</f>
        <v>#VALUE!</v>
      </c>
      <c r="NMU6" s="68" t="e" cm="1" vm="1">
        <f t="array" ref="NMU6">_xlfn._xlws.FILTER(TablaProductos[Nombre producto],TablaProductos[Agrupación]=ProductosPivot!NMU5)</f>
        <v>#VALUE!</v>
      </c>
      <c r="NMV6" s="68" t="e" cm="1" vm="1">
        <f t="array" ref="NMV6">_xlfn._xlws.FILTER(TablaProductos[Nombre producto],TablaProductos[Agrupación]=ProductosPivot!NMV5)</f>
        <v>#VALUE!</v>
      </c>
      <c r="NMW6" s="68" t="e" cm="1" vm="1">
        <f t="array" ref="NMW6">_xlfn._xlws.FILTER(TablaProductos[Nombre producto],TablaProductos[Agrupación]=ProductosPivot!NMW5)</f>
        <v>#VALUE!</v>
      </c>
      <c r="NMX6" s="68" t="e" cm="1" vm="1">
        <f t="array" ref="NMX6">_xlfn._xlws.FILTER(TablaProductos[Nombre producto],TablaProductos[Agrupación]=ProductosPivot!NMX5)</f>
        <v>#VALUE!</v>
      </c>
      <c r="NMY6" s="68" t="e" cm="1" vm="1">
        <f t="array" ref="NMY6">_xlfn._xlws.FILTER(TablaProductos[Nombre producto],TablaProductos[Agrupación]=ProductosPivot!NMY5)</f>
        <v>#VALUE!</v>
      </c>
      <c r="NMZ6" s="68" t="e" cm="1" vm="1">
        <f t="array" ref="NMZ6">_xlfn._xlws.FILTER(TablaProductos[Nombre producto],TablaProductos[Agrupación]=ProductosPivot!NMZ5)</f>
        <v>#VALUE!</v>
      </c>
      <c r="NNA6" s="68" t="e" cm="1" vm="1">
        <f t="array" ref="NNA6">_xlfn._xlws.FILTER(TablaProductos[Nombre producto],TablaProductos[Agrupación]=ProductosPivot!NNA5)</f>
        <v>#VALUE!</v>
      </c>
      <c r="NNB6" s="68" t="e" cm="1" vm="1">
        <f t="array" ref="NNB6">_xlfn._xlws.FILTER(TablaProductos[Nombre producto],TablaProductos[Agrupación]=ProductosPivot!NNB5)</f>
        <v>#VALUE!</v>
      </c>
      <c r="NNC6" s="68" t="e" cm="1" vm="1">
        <f t="array" ref="NNC6">_xlfn._xlws.FILTER(TablaProductos[Nombre producto],TablaProductos[Agrupación]=ProductosPivot!NNC5)</f>
        <v>#VALUE!</v>
      </c>
      <c r="NND6" s="68" t="e" cm="1" vm="1">
        <f t="array" ref="NND6">_xlfn._xlws.FILTER(TablaProductos[Nombre producto],TablaProductos[Agrupación]=ProductosPivot!NND5)</f>
        <v>#VALUE!</v>
      </c>
      <c r="NNE6" s="68" t="e" cm="1" vm="1">
        <f t="array" ref="NNE6">_xlfn._xlws.FILTER(TablaProductos[Nombre producto],TablaProductos[Agrupación]=ProductosPivot!NNE5)</f>
        <v>#VALUE!</v>
      </c>
      <c r="NNF6" s="68" t="e" cm="1" vm="1">
        <f t="array" ref="NNF6">_xlfn._xlws.FILTER(TablaProductos[Nombre producto],TablaProductos[Agrupación]=ProductosPivot!NNF5)</f>
        <v>#VALUE!</v>
      </c>
      <c r="NNG6" s="68" t="e" cm="1" vm="1">
        <f t="array" ref="NNG6">_xlfn._xlws.FILTER(TablaProductos[Nombre producto],TablaProductos[Agrupación]=ProductosPivot!NNG5)</f>
        <v>#VALUE!</v>
      </c>
      <c r="NNH6" s="68" t="e" cm="1" vm="1">
        <f t="array" ref="NNH6">_xlfn._xlws.FILTER(TablaProductos[Nombre producto],TablaProductos[Agrupación]=ProductosPivot!NNH5)</f>
        <v>#VALUE!</v>
      </c>
      <c r="NNI6" s="68" t="e" cm="1" vm="1">
        <f t="array" ref="NNI6">_xlfn._xlws.FILTER(TablaProductos[Nombre producto],TablaProductos[Agrupación]=ProductosPivot!NNI5)</f>
        <v>#VALUE!</v>
      </c>
      <c r="NNJ6" s="68" t="e" cm="1" vm="1">
        <f t="array" ref="NNJ6">_xlfn._xlws.FILTER(TablaProductos[Nombre producto],TablaProductos[Agrupación]=ProductosPivot!NNJ5)</f>
        <v>#VALUE!</v>
      </c>
      <c r="NNK6" s="68" t="e" cm="1" vm="1">
        <f t="array" ref="NNK6">_xlfn._xlws.FILTER(TablaProductos[Nombre producto],TablaProductos[Agrupación]=ProductosPivot!NNK5)</f>
        <v>#VALUE!</v>
      </c>
      <c r="NNL6" s="68" t="e" cm="1" vm="1">
        <f t="array" ref="NNL6">_xlfn._xlws.FILTER(TablaProductos[Nombre producto],TablaProductos[Agrupación]=ProductosPivot!NNL5)</f>
        <v>#VALUE!</v>
      </c>
      <c r="NNM6" s="68" t="e" cm="1" vm="1">
        <f t="array" ref="NNM6">_xlfn._xlws.FILTER(TablaProductos[Nombre producto],TablaProductos[Agrupación]=ProductosPivot!NNM5)</f>
        <v>#VALUE!</v>
      </c>
      <c r="NNN6" s="68" t="e" cm="1" vm="1">
        <f t="array" ref="NNN6">_xlfn._xlws.FILTER(TablaProductos[Nombre producto],TablaProductos[Agrupación]=ProductosPivot!NNN5)</f>
        <v>#VALUE!</v>
      </c>
      <c r="NNO6" s="68" t="e" cm="1" vm="1">
        <f t="array" ref="NNO6">_xlfn._xlws.FILTER(TablaProductos[Nombre producto],TablaProductos[Agrupación]=ProductosPivot!NNO5)</f>
        <v>#VALUE!</v>
      </c>
      <c r="NNP6" s="68" t="e" cm="1" vm="1">
        <f t="array" ref="NNP6">_xlfn._xlws.FILTER(TablaProductos[Nombre producto],TablaProductos[Agrupación]=ProductosPivot!NNP5)</f>
        <v>#VALUE!</v>
      </c>
      <c r="NNQ6" s="68" t="e" cm="1" vm="1">
        <f t="array" ref="NNQ6">_xlfn._xlws.FILTER(TablaProductos[Nombre producto],TablaProductos[Agrupación]=ProductosPivot!NNQ5)</f>
        <v>#VALUE!</v>
      </c>
      <c r="NNR6" s="68" t="e" cm="1" vm="1">
        <f t="array" ref="NNR6">_xlfn._xlws.FILTER(TablaProductos[Nombre producto],TablaProductos[Agrupación]=ProductosPivot!NNR5)</f>
        <v>#VALUE!</v>
      </c>
      <c r="NNS6" s="68" t="e" cm="1" vm="1">
        <f t="array" ref="NNS6">_xlfn._xlws.FILTER(TablaProductos[Nombre producto],TablaProductos[Agrupación]=ProductosPivot!NNS5)</f>
        <v>#VALUE!</v>
      </c>
      <c r="NNT6" s="68" t="e" cm="1" vm="1">
        <f t="array" ref="NNT6">_xlfn._xlws.FILTER(TablaProductos[Nombre producto],TablaProductos[Agrupación]=ProductosPivot!NNT5)</f>
        <v>#VALUE!</v>
      </c>
      <c r="NNU6" s="68" t="e" cm="1" vm="1">
        <f t="array" ref="NNU6">_xlfn._xlws.FILTER(TablaProductos[Nombre producto],TablaProductos[Agrupación]=ProductosPivot!NNU5)</f>
        <v>#VALUE!</v>
      </c>
      <c r="NNV6" s="68" t="e" cm="1" vm="1">
        <f t="array" ref="NNV6">_xlfn._xlws.FILTER(TablaProductos[Nombre producto],TablaProductos[Agrupación]=ProductosPivot!NNV5)</f>
        <v>#VALUE!</v>
      </c>
      <c r="NNW6" s="68" t="e" cm="1" vm="1">
        <f t="array" ref="NNW6">_xlfn._xlws.FILTER(TablaProductos[Nombre producto],TablaProductos[Agrupación]=ProductosPivot!NNW5)</f>
        <v>#VALUE!</v>
      </c>
      <c r="NNX6" s="68" t="e" cm="1" vm="1">
        <f t="array" ref="NNX6">_xlfn._xlws.FILTER(TablaProductos[Nombre producto],TablaProductos[Agrupación]=ProductosPivot!NNX5)</f>
        <v>#VALUE!</v>
      </c>
      <c r="NNY6" s="68" t="e" cm="1" vm="1">
        <f t="array" ref="NNY6">_xlfn._xlws.FILTER(TablaProductos[Nombre producto],TablaProductos[Agrupación]=ProductosPivot!NNY5)</f>
        <v>#VALUE!</v>
      </c>
      <c r="NNZ6" s="68" t="e" cm="1" vm="1">
        <f t="array" ref="NNZ6">_xlfn._xlws.FILTER(TablaProductos[Nombre producto],TablaProductos[Agrupación]=ProductosPivot!NNZ5)</f>
        <v>#VALUE!</v>
      </c>
      <c r="NOA6" s="68" t="e" cm="1" vm="1">
        <f t="array" ref="NOA6">_xlfn._xlws.FILTER(TablaProductos[Nombre producto],TablaProductos[Agrupación]=ProductosPivot!NOA5)</f>
        <v>#VALUE!</v>
      </c>
      <c r="NOB6" s="68" t="e" cm="1" vm="1">
        <f t="array" ref="NOB6">_xlfn._xlws.FILTER(TablaProductos[Nombre producto],TablaProductos[Agrupación]=ProductosPivot!NOB5)</f>
        <v>#VALUE!</v>
      </c>
      <c r="NOC6" s="68" t="e" cm="1" vm="1">
        <f t="array" ref="NOC6">_xlfn._xlws.FILTER(TablaProductos[Nombre producto],TablaProductos[Agrupación]=ProductosPivot!NOC5)</f>
        <v>#VALUE!</v>
      </c>
      <c r="NOD6" s="68" t="e" cm="1" vm="1">
        <f t="array" ref="NOD6">_xlfn._xlws.FILTER(TablaProductos[Nombre producto],TablaProductos[Agrupación]=ProductosPivot!NOD5)</f>
        <v>#VALUE!</v>
      </c>
      <c r="NOE6" s="68" t="e" cm="1" vm="1">
        <f t="array" ref="NOE6">_xlfn._xlws.FILTER(TablaProductos[Nombre producto],TablaProductos[Agrupación]=ProductosPivot!NOE5)</f>
        <v>#VALUE!</v>
      </c>
      <c r="NOF6" s="68" t="e" cm="1" vm="1">
        <f t="array" ref="NOF6">_xlfn._xlws.FILTER(TablaProductos[Nombre producto],TablaProductos[Agrupación]=ProductosPivot!NOF5)</f>
        <v>#VALUE!</v>
      </c>
      <c r="NOG6" s="68" t="e" cm="1" vm="1">
        <f t="array" ref="NOG6">_xlfn._xlws.FILTER(TablaProductos[Nombre producto],TablaProductos[Agrupación]=ProductosPivot!NOG5)</f>
        <v>#VALUE!</v>
      </c>
      <c r="NOH6" s="68" t="e" cm="1" vm="1">
        <f t="array" ref="NOH6">_xlfn._xlws.FILTER(TablaProductos[Nombre producto],TablaProductos[Agrupación]=ProductosPivot!NOH5)</f>
        <v>#VALUE!</v>
      </c>
      <c r="NOI6" s="68" t="e" cm="1" vm="1">
        <f t="array" ref="NOI6">_xlfn._xlws.FILTER(TablaProductos[Nombre producto],TablaProductos[Agrupación]=ProductosPivot!NOI5)</f>
        <v>#VALUE!</v>
      </c>
      <c r="NOJ6" s="68" t="e" cm="1" vm="1">
        <f t="array" ref="NOJ6">_xlfn._xlws.FILTER(TablaProductos[Nombre producto],TablaProductos[Agrupación]=ProductosPivot!NOJ5)</f>
        <v>#VALUE!</v>
      </c>
      <c r="NOK6" s="68" t="e" cm="1" vm="1">
        <f t="array" ref="NOK6">_xlfn._xlws.FILTER(TablaProductos[Nombre producto],TablaProductos[Agrupación]=ProductosPivot!NOK5)</f>
        <v>#VALUE!</v>
      </c>
      <c r="NOL6" s="68" t="e" cm="1" vm="1">
        <f t="array" ref="NOL6">_xlfn._xlws.FILTER(TablaProductos[Nombre producto],TablaProductos[Agrupación]=ProductosPivot!NOL5)</f>
        <v>#VALUE!</v>
      </c>
      <c r="NOM6" s="68" t="e" cm="1" vm="1">
        <f t="array" ref="NOM6">_xlfn._xlws.FILTER(TablaProductos[Nombre producto],TablaProductos[Agrupación]=ProductosPivot!NOM5)</f>
        <v>#VALUE!</v>
      </c>
      <c r="NON6" s="68" t="e" cm="1" vm="1">
        <f t="array" ref="NON6">_xlfn._xlws.FILTER(TablaProductos[Nombre producto],TablaProductos[Agrupación]=ProductosPivot!NON5)</f>
        <v>#VALUE!</v>
      </c>
      <c r="NOO6" s="68" t="e" cm="1" vm="1">
        <f t="array" ref="NOO6">_xlfn._xlws.FILTER(TablaProductos[Nombre producto],TablaProductos[Agrupación]=ProductosPivot!NOO5)</f>
        <v>#VALUE!</v>
      </c>
      <c r="NOP6" s="68" t="e" cm="1" vm="1">
        <f t="array" ref="NOP6">_xlfn._xlws.FILTER(TablaProductos[Nombre producto],TablaProductos[Agrupación]=ProductosPivot!NOP5)</f>
        <v>#VALUE!</v>
      </c>
      <c r="NOQ6" s="68" t="e" cm="1" vm="1">
        <f t="array" ref="NOQ6">_xlfn._xlws.FILTER(TablaProductos[Nombre producto],TablaProductos[Agrupación]=ProductosPivot!NOQ5)</f>
        <v>#VALUE!</v>
      </c>
      <c r="NOR6" s="68" t="e" cm="1" vm="1">
        <f t="array" ref="NOR6">_xlfn._xlws.FILTER(TablaProductos[Nombre producto],TablaProductos[Agrupación]=ProductosPivot!NOR5)</f>
        <v>#VALUE!</v>
      </c>
      <c r="NOS6" s="68" t="e" cm="1" vm="1">
        <f t="array" ref="NOS6">_xlfn._xlws.FILTER(TablaProductos[Nombre producto],TablaProductos[Agrupación]=ProductosPivot!NOS5)</f>
        <v>#VALUE!</v>
      </c>
      <c r="NOT6" s="68" t="e" cm="1" vm="1">
        <f t="array" ref="NOT6">_xlfn._xlws.FILTER(TablaProductos[Nombre producto],TablaProductos[Agrupación]=ProductosPivot!NOT5)</f>
        <v>#VALUE!</v>
      </c>
      <c r="NOU6" s="68" t="e" cm="1" vm="1">
        <f t="array" ref="NOU6">_xlfn._xlws.FILTER(TablaProductos[Nombre producto],TablaProductos[Agrupación]=ProductosPivot!NOU5)</f>
        <v>#VALUE!</v>
      </c>
      <c r="NOV6" s="68" t="e" cm="1" vm="1">
        <f t="array" ref="NOV6">_xlfn._xlws.FILTER(TablaProductos[Nombre producto],TablaProductos[Agrupación]=ProductosPivot!NOV5)</f>
        <v>#VALUE!</v>
      </c>
      <c r="NOW6" s="68" t="e" cm="1" vm="1">
        <f t="array" ref="NOW6">_xlfn._xlws.FILTER(TablaProductos[Nombre producto],TablaProductos[Agrupación]=ProductosPivot!NOW5)</f>
        <v>#VALUE!</v>
      </c>
      <c r="NOX6" s="68" t="e" cm="1" vm="1">
        <f t="array" ref="NOX6">_xlfn._xlws.FILTER(TablaProductos[Nombre producto],TablaProductos[Agrupación]=ProductosPivot!NOX5)</f>
        <v>#VALUE!</v>
      </c>
      <c r="NOY6" s="68" t="e" cm="1" vm="1">
        <f t="array" ref="NOY6">_xlfn._xlws.FILTER(TablaProductos[Nombre producto],TablaProductos[Agrupación]=ProductosPivot!NOY5)</f>
        <v>#VALUE!</v>
      </c>
      <c r="NOZ6" s="68" t="e" cm="1" vm="1">
        <f t="array" ref="NOZ6">_xlfn._xlws.FILTER(TablaProductos[Nombre producto],TablaProductos[Agrupación]=ProductosPivot!NOZ5)</f>
        <v>#VALUE!</v>
      </c>
      <c r="NPA6" s="68" t="e" cm="1" vm="1">
        <f t="array" ref="NPA6">_xlfn._xlws.FILTER(TablaProductos[Nombre producto],TablaProductos[Agrupación]=ProductosPivot!NPA5)</f>
        <v>#VALUE!</v>
      </c>
      <c r="NPB6" s="68" t="e" cm="1" vm="1">
        <f t="array" ref="NPB6">_xlfn._xlws.FILTER(TablaProductos[Nombre producto],TablaProductos[Agrupación]=ProductosPivot!NPB5)</f>
        <v>#VALUE!</v>
      </c>
      <c r="NPC6" s="68" t="e" cm="1" vm="1">
        <f t="array" ref="NPC6">_xlfn._xlws.FILTER(TablaProductos[Nombre producto],TablaProductos[Agrupación]=ProductosPivot!NPC5)</f>
        <v>#VALUE!</v>
      </c>
      <c r="NPD6" s="68" t="e" cm="1" vm="1">
        <f t="array" ref="NPD6">_xlfn._xlws.FILTER(TablaProductos[Nombre producto],TablaProductos[Agrupación]=ProductosPivot!NPD5)</f>
        <v>#VALUE!</v>
      </c>
      <c r="NPE6" s="68" t="e" cm="1" vm="1">
        <f t="array" ref="NPE6">_xlfn._xlws.FILTER(TablaProductos[Nombre producto],TablaProductos[Agrupación]=ProductosPivot!NPE5)</f>
        <v>#VALUE!</v>
      </c>
      <c r="NPF6" s="68" t="e" cm="1" vm="1">
        <f t="array" ref="NPF6">_xlfn._xlws.FILTER(TablaProductos[Nombre producto],TablaProductos[Agrupación]=ProductosPivot!NPF5)</f>
        <v>#VALUE!</v>
      </c>
      <c r="NPG6" s="68" t="e" cm="1" vm="1">
        <f t="array" ref="NPG6">_xlfn._xlws.FILTER(TablaProductos[Nombre producto],TablaProductos[Agrupación]=ProductosPivot!NPG5)</f>
        <v>#VALUE!</v>
      </c>
      <c r="NPH6" s="68" t="e" cm="1" vm="1">
        <f t="array" ref="NPH6">_xlfn._xlws.FILTER(TablaProductos[Nombre producto],TablaProductos[Agrupación]=ProductosPivot!NPH5)</f>
        <v>#VALUE!</v>
      </c>
      <c r="NPI6" s="68" t="e" cm="1" vm="1">
        <f t="array" ref="NPI6">_xlfn._xlws.FILTER(TablaProductos[Nombre producto],TablaProductos[Agrupación]=ProductosPivot!NPI5)</f>
        <v>#VALUE!</v>
      </c>
      <c r="NPJ6" s="68" t="e" cm="1" vm="1">
        <f t="array" ref="NPJ6">_xlfn._xlws.FILTER(TablaProductos[Nombre producto],TablaProductos[Agrupación]=ProductosPivot!NPJ5)</f>
        <v>#VALUE!</v>
      </c>
      <c r="NPK6" s="68" t="e" cm="1" vm="1">
        <f t="array" ref="NPK6">_xlfn._xlws.FILTER(TablaProductos[Nombre producto],TablaProductos[Agrupación]=ProductosPivot!NPK5)</f>
        <v>#VALUE!</v>
      </c>
      <c r="NPL6" s="68" t="e" cm="1" vm="1">
        <f t="array" ref="NPL6">_xlfn._xlws.FILTER(TablaProductos[Nombre producto],TablaProductos[Agrupación]=ProductosPivot!NPL5)</f>
        <v>#VALUE!</v>
      </c>
      <c r="NPM6" s="68" t="e" cm="1" vm="1">
        <f t="array" ref="NPM6">_xlfn._xlws.FILTER(TablaProductos[Nombre producto],TablaProductos[Agrupación]=ProductosPivot!NPM5)</f>
        <v>#VALUE!</v>
      </c>
      <c r="NPN6" s="68" t="e" cm="1" vm="1">
        <f t="array" ref="NPN6">_xlfn._xlws.FILTER(TablaProductos[Nombre producto],TablaProductos[Agrupación]=ProductosPivot!NPN5)</f>
        <v>#VALUE!</v>
      </c>
      <c r="NPO6" s="68" t="e" cm="1" vm="1">
        <f t="array" ref="NPO6">_xlfn._xlws.FILTER(TablaProductos[Nombre producto],TablaProductos[Agrupación]=ProductosPivot!NPO5)</f>
        <v>#VALUE!</v>
      </c>
      <c r="NPP6" s="68" t="e" cm="1" vm="1">
        <f t="array" ref="NPP6">_xlfn._xlws.FILTER(TablaProductos[Nombre producto],TablaProductos[Agrupación]=ProductosPivot!NPP5)</f>
        <v>#VALUE!</v>
      </c>
      <c r="NPQ6" s="68" t="e" cm="1" vm="1">
        <f t="array" ref="NPQ6">_xlfn._xlws.FILTER(TablaProductos[Nombre producto],TablaProductos[Agrupación]=ProductosPivot!NPQ5)</f>
        <v>#VALUE!</v>
      </c>
      <c r="NPR6" s="68" t="e" cm="1" vm="1">
        <f t="array" ref="NPR6">_xlfn._xlws.FILTER(TablaProductos[Nombre producto],TablaProductos[Agrupación]=ProductosPivot!NPR5)</f>
        <v>#VALUE!</v>
      </c>
      <c r="NPS6" s="68" t="e" cm="1" vm="1">
        <f t="array" ref="NPS6">_xlfn._xlws.FILTER(TablaProductos[Nombre producto],TablaProductos[Agrupación]=ProductosPivot!NPS5)</f>
        <v>#VALUE!</v>
      </c>
      <c r="NPT6" s="68" t="e" cm="1" vm="1">
        <f t="array" ref="NPT6">_xlfn._xlws.FILTER(TablaProductos[Nombre producto],TablaProductos[Agrupación]=ProductosPivot!NPT5)</f>
        <v>#VALUE!</v>
      </c>
      <c r="NPU6" s="68" t="e" cm="1" vm="1">
        <f t="array" ref="NPU6">_xlfn._xlws.FILTER(TablaProductos[Nombre producto],TablaProductos[Agrupación]=ProductosPivot!NPU5)</f>
        <v>#VALUE!</v>
      </c>
      <c r="NPV6" s="68" t="e" cm="1" vm="1">
        <f t="array" ref="NPV6">_xlfn._xlws.FILTER(TablaProductos[Nombre producto],TablaProductos[Agrupación]=ProductosPivot!NPV5)</f>
        <v>#VALUE!</v>
      </c>
      <c r="NPW6" s="68" t="e" cm="1" vm="1">
        <f t="array" ref="NPW6">_xlfn._xlws.FILTER(TablaProductos[Nombre producto],TablaProductos[Agrupación]=ProductosPivot!NPW5)</f>
        <v>#VALUE!</v>
      </c>
      <c r="NPX6" s="68" t="e" cm="1" vm="1">
        <f t="array" ref="NPX6">_xlfn._xlws.FILTER(TablaProductos[Nombre producto],TablaProductos[Agrupación]=ProductosPivot!NPX5)</f>
        <v>#VALUE!</v>
      </c>
      <c r="NPY6" s="68" t="e" cm="1" vm="1">
        <f t="array" ref="NPY6">_xlfn._xlws.FILTER(TablaProductos[Nombre producto],TablaProductos[Agrupación]=ProductosPivot!NPY5)</f>
        <v>#VALUE!</v>
      </c>
      <c r="NPZ6" s="68" t="e" cm="1" vm="1">
        <f t="array" ref="NPZ6">_xlfn._xlws.FILTER(TablaProductos[Nombre producto],TablaProductos[Agrupación]=ProductosPivot!NPZ5)</f>
        <v>#VALUE!</v>
      </c>
      <c r="NQA6" s="68" t="e" cm="1" vm="1">
        <f t="array" ref="NQA6">_xlfn._xlws.FILTER(TablaProductos[Nombre producto],TablaProductos[Agrupación]=ProductosPivot!NQA5)</f>
        <v>#VALUE!</v>
      </c>
      <c r="NQB6" s="68" t="e" cm="1" vm="1">
        <f t="array" ref="NQB6">_xlfn._xlws.FILTER(TablaProductos[Nombre producto],TablaProductos[Agrupación]=ProductosPivot!NQB5)</f>
        <v>#VALUE!</v>
      </c>
      <c r="NQC6" s="68" t="e" cm="1" vm="1">
        <f t="array" ref="NQC6">_xlfn._xlws.FILTER(TablaProductos[Nombre producto],TablaProductos[Agrupación]=ProductosPivot!NQC5)</f>
        <v>#VALUE!</v>
      </c>
      <c r="NQD6" s="68" t="e" cm="1" vm="1">
        <f t="array" ref="NQD6">_xlfn._xlws.FILTER(TablaProductos[Nombre producto],TablaProductos[Agrupación]=ProductosPivot!NQD5)</f>
        <v>#VALUE!</v>
      </c>
      <c r="NQE6" s="68" t="e" cm="1" vm="1">
        <f t="array" ref="NQE6">_xlfn._xlws.FILTER(TablaProductos[Nombre producto],TablaProductos[Agrupación]=ProductosPivot!NQE5)</f>
        <v>#VALUE!</v>
      </c>
      <c r="NQF6" s="68" t="e" cm="1" vm="1">
        <f t="array" ref="NQF6">_xlfn._xlws.FILTER(TablaProductos[Nombre producto],TablaProductos[Agrupación]=ProductosPivot!NQF5)</f>
        <v>#VALUE!</v>
      </c>
      <c r="NQG6" s="68" t="e" cm="1" vm="1">
        <f t="array" ref="NQG6">_xlfn._xlws.FILTER(TablaProductos[Nombre producto],TablaProductos[Agrupación]=ProductosPivot!NQG5)</f>
        <v>#VALUE!</v>
      </c>
      <c r="NQH6" s="68" t="e" cm="1" vm="1">
        <f t="array" ref="NQH6">_xlfn._xlws.FILTER(TablaProductos[Nombre producto],TablaProductos[Agrupación]=ProductosPivot!NQH5)</f>
        <v>#VALUE!</v>
      </c>
      <c r="NQI6" s="68" t="e" cm="1" vm="1">
        <f t="array" ref="NQI6">_xlfn._xlws.FILTER(TablaProductos[Nombre producto],TablaProductos[Agrupación]=ProductosPivot!NQI5)</f>
        <v>#VALUE!</v>
      </c>
      <c r="NQJ6" s="68" t="e" cm="1" vm="1">
        <f t="array" ref="NQJ6">_xlfn._xlws.FILTER(TablaProductos[Nombre producto],TablaProductos[Agrupación]=ProductosPivot!NQJ5)</f>
        <v>#VALUE!</v>
      </c>
      <c r="NQK6" s="68" t="e" cm="1" vm="1">
        <f t="array" ref="NQK6">_xlfn._xlws.FILTER(TablaProductos[Nombre producto],TablaProductos[Agrupación]=ProductosPivot!NQK5)</f>
        <v>#VALUE!</v>
      </c>
      <c r="NQL6" s="68" t="e" cm="1" vm="1">
        <f t="array" ref="NQL6">_xlfn._xlws.FILTER(TablaProductos[Nombre producto],TablaProductos[Agrupación]=ProductosPivot!NQL5)</f>
        <v>#VALUE!</v>
      </c>
      <c r="NQM6" s="68" t="e" cm="1" vm="1">
        <f t="array" ref="NQM6">_xlfn._xlws.FILTER(TablaProductos[Nombre producto],TablaProductos[Agrupación]=ProductosPivot!NQM5)</f>
        <v>#VALUE!</v>
      </c>
      <c r="NQN6" s="68" t="e" cm="1" vm="1">
        <f t="array" ref="NQN6">_xlfn._xlws.FILTER(TablaProductos[Nombre producto],TablaProductos[Agrupación]=ProductosPivot!NQN5)</f>
        <v>#VALUE!</v>
      </c>
      <c r="NQO6" s="68" t="e" cm="1" vm="1">
        <f t="array" ref="NQO6">_xlfn._xlws.FILTER(TablaProductos[Nombre producto],TablaProductos[Agrupación]=ProductosPivot!NQO5)</f>
        <v>#VALUE!</v>
      </c>
      <c r="NQP6" s="68" t="e" cm="1" vm="1">
        <f t="array" ref="NQP6">_xlfn._xlws.FILTER(TablaProductos[Nombre producto],TablaProductos[Agrupación]=ProductosPivot!NQP5)</f>
        <v>#VALUE!</v>
      </c>
      <c r="NQQ6" s="68" t="e" cm="1" vm="1">
        <f t="array" ref="NQQ6">_xlfn._xlws.FILTER(TablaProductos[Nombre producto],TablaProductos[Agrupación]=ProductosPivot!NQQ5)</f>
        <v>#VALUE!</v>
      </c>
      <c r="NQR6" s="68" t="e" cm="1" vm="1">
        <f t="array" ref="NQR6">_xlfn._xlws.FILTER(TablaProductos[Nombre producto],TablaProductos[Agrupación]=ProductosPivot!NQR5)</f>
        <v>#VALUE!</v>
      </c>
      <c r="NQS6" s="68" t="e" cm="1" vm="1">
        <f t="array" ref="NQS6">_xlfn._xlws.FILTER(TablaProductos[Nombre producto],TablaProductos[Agrupación]=ProductosPivot!NQS5)</f>
        <v>#VALUE!</v>
      </c>
      <c r="NQT6" s="68" t="e" cm="1" vm="1">
        <f t="array" ref="NQT6">_xlfn._xlws.FILTER(TablaProductos[Nombre producto],TablaProductos[Agrupación]=ProductosPivot!NQT5)</f>
        <v>#VALUE!</v>
      </c>
      <c r="NQU6" s="68" t="e" cm="1" vm="1">
        <f t="array" ref="NQU6">_xlfn._xlws.FILTER(TablaProductos[Nombre producto],TablaProductos[Agrupación]=ProductosPivot!NQU5)</f>
        <v>#VALUE!</v>
      </c>
      <c r="NQV6" s="68" t="e" cm="1" vm="1">
        <f t="array" ref="NQV6">_xlfn._xlws.FILTER(TablaProductos[Nombre producto],TablaProductos[Agrupación]=ProductosPivot!NQV5)</f>
        <v>#VALUE!</v>
      </c>
      <c r="NQW6" s="68" t="e" cm="1" vm="1">
        <f t="array" ref="NQW6">_xlfn._xlws.FILTER(TablaProductos[Nombre producto],TablaProductos[Agrupación]=ProductosPivot!NQW5)</f>
        <v>#VALUE!</v>
      </c>
      <c r="NQX6" s="68" t="e" cm="1" vm="1">
        <f t="array" ref="NQX6">_xlfn._xlws.FILTER(TablaProductos[Nombre producto],TablaProductos[Agrupación]=ProductosPivot!NQX5)</f>
        <v>#VALUE!</v>
      </c>
      <c r="NQY6" s="68" t="e" cm="1" vm="1">
        <f t="array" ref="NQY6">_xlfn._xlws.FILTER(TablaProductos[Nombre producto],TablaProductos[Agrupación]=ProductosPivot!NQY5)</f>
        <v>#VALUE!</v>
      </c>
      <c r="NQZ6" s="68" t="e" cm="1" vm="1">
        <f t="array" ref="NQZ6">_xlfn._xlws.FILTER(TablaProductos[Nombre producto],TablaProductos[Agrupación]=ProductosPivot!NQZ5)</f>
        <v>#VALUE!</v>
      </c>
      <c r="NRA6" s="68" t="e" cm="1" vm="1">
        <f t="array" ref="NRA6">_xlfn._xlws.FILTER(TablaProductos[Nombre producto],TablaProductos[Agrupación]=ProductosPivot!NRA5)</f>
        <v>#VALUE!</v>
      </c>
      <c r="NRB6" s="68" t="e" cm="1" vm="1">
        <f t="array" ref="NRB6">_xlfn._xlws.FILTER(TablaProductos[Nombre producto],TablaProductos[Agrupación]=ProductosPivot!NRB5)</f>
        <v>#VALUE!</v>
      </c>
      <c r="NRC6" s="68" t="e" cm="1" vm="1">
        <f t="array" ref="NRC6">_xlfn._xlws.FILTER(TablaProductos[Nombre producto],TablaProductos[Agrupación]=ProductosPivot!NRC5)</f>
        <v>#VALUE!</v>
      </c>
      <c r="NRD6" s="68" t="e" cm="1" vm="1">
        <f t="array" ref="NRD6">_xlfn._xlws.FILTER(TablaProductos[Nombre producto],TablaProductos[Agrupación]=ProductosPivot!NRD5)</f>
        <v>#VALUE!</v>
      </c>
      <c r="NRE6" s="68" t="e" cm="1" vm="1">
        <f t="array" ref="NRE6">_xlfn._xlws.FILTER(TablaProductos[Nombre producto],TablaProductos[Agrupación]=ProductosPivot!NRE5)</f>
        <v>#VALUE!</v>
      </c>
      <c r="NRF6" s="68" t="e" cm="1" vm="1">
        <f t="array" ref="NRF6">_xlfn._xlws.FILTER(TablaProductos[Nombre producto],TablaProductos[Agrupación]=ProductosPivot!NRF5)</f>
        <v>#VALUE!</v>
      </c>
      <c r="NRG6" s="68" t="e" cm="1" vm="1">
        <f t="array" ref="NRG6">_xlfn._xlws.FILTER(TablaProductos[Nombre producto],TablaProductos[Agrupación]=ProductosPivot!NRG5)</f>
        <v>#VALUE!</v>
      </c>
      <c r="NRH6" s="68" t="e" cm="1" vm="1">
        <f t="array" ref="NRH6">_xlfn._xlws.FILTER(TablaProductos[Nombre producto],TablaProductos[Agrupación]=ProductosPivot!NRH5)</f>
        <v>#VALUE!</v>
      </c>
      <c r="NRI6" s="68" t="e" cm="1" vm="1">
        <f t="array" ref="NRI6">_xlfn._xlws.FILTER(TablaProductos[Nombre producto],TablaProductos[Agrupación]=ProductosPivot!NRI5)</f>
        <v>#VALUE!</v>
      </c>
      <c r="NRJ6" s="68" t="e" cm="1" vm="1">
        <f t="array" ref="NRJ6">_xlfn._xlws.FILTER(TablaProductos[Nombre producto],TablaProductos[Agrupación]=ProductosPivot!NRJ5)</f>
        <v>#VALUE!</v>
      </c>
      <c r="NRK6" s="68" t="e" cm="1" vm="1">
        <f t="array" ref="NRK6">_xlfn._xlws.FILTER(TablaProductos[Nombre producto],TablaProductos[Agrupación]=ProductosPivot!NRK5)</f>
        <v>#VALUE!</v>
      </c>
      <c r="NRL6" s="68" t="e" cm="1" vm="1">
        <f t="array" ref="NRL6">_xlfn._xlws.FILTER(TablaProductos[Nombre producto],TablaProductos[Agrupación]=ProductosPivot!NRL5)</f>
        <v>#VALUE!</v>
      </c>
      <c r="NRM6" s="68" t="e" cm="1" vm="1">
        <f t="array" ref="NRM6">_xlfn._xlws.FILTER(TablaProductos[Nombre producto],TablaProductos[Agrupación]=ProductosPivot!NRM5)</f>
        <v>#VALUE!</v>
      </c>
      <c r="NRN6" s="68" t="e" cm="1" vm="1">
        <f t="array" ref="NRN6">_xlfn._xlws.FILTER(TablaProductos[Nombre producto],TablaProductos[Agrupación]=ProductosPivot!NRN5)</f>
        <v>#VALUE!</v>
      </c>
      <c r="NRO6" s="68" t="e" cm="1" vm="1">
        <f t="array" ref="NRO6">_xlfn._xlws.FILTER(TablaProductos[Nombre producto],TablaProductos[Agrupación]=ProductosPivot!NRO5)</f>
        <v>#VALUE!</v>
      </c>
      <c r="NRP6" s="68" t="e" cm="1" vm="1">
        <f t="array" ref="NRP6">_xlfn._xlws.FILTER(TablaProductos[Nombre producto],TablaProductos[Agrupación]=ProductosPivot!NRP5)</f>
        <v>#VALUE!</v>
      </c>
      <c r="NRQ6" s="68" t="e" cm="1" vm="1">
        <f t="array" ref="NRQ6">_xlfn._xlws.FILTER(TablaProductos[Nombre producto],TablaProductos[Agrupación]=ProductosPivot!NRQ5)</f>
        <v>#VALUE!</v>
      </c>
      <c r="NRR6" s="68" t="e" cm="1" vm="1">
        <f t="array" ref="NRR6">_xlfn._xlws.FILTER(TablaProductos[Nombre producto],TablaProductos[Agrupación]=ProductosPivot!NRR5)</f>
        <v>#VALUE!</v>
      </c>
      <c r="NRS6" s="68" t="e" cm="1" vm="1">
        <f t="array" ref="NRS6">_xlfn._xlws.FILTER(TablaProductos[Nombre producto],TablaProductos[Agrupación]=ProductosPivot!NRS5)</f>
        <v>#VALUE!</v>
      </c>
      <c r="NRT6" s="68" t="e" cm="1" vm="1">
        <f t="array" ref="NRT6">_xlfn._xlws.FILTER(TablaProductos[Nombre producto],TablaProductos[Agrupación]=ProductosPivot!NRT5)</f>
        <v>#VALUE!</v>
      </c>
      <c r="NRU6" s="68" t="e" cm="1" vm="1">
        <f t="array" ref="NRU6">_xlfn._xlws.FILTER(TablaProductos[Nombre producto],TablaProductos[Agrupación]=ProductosPivot!NRU5)</f>
        <v>#VALUE!</v>
      </c>
      <c r="NRV6" s="68" t="e" cm="1" vm="1">
        <f t="array" ref="NRV6">_xlfn._xlws.FILTER(TablaProductos[Nombre producto],TablaProductos[Agrupación]=ProductosPivot!NRV5)</f>
        <v>#VALUE!</v>
      </c>
      <c r="NRW6" s="68" t="e" cm="1" vm="1">
        <f t="array" ref="NRW6">_xlfn._xlws.FILTER(TablaProductos[Nombre producto],TablaProductos[Agrupación]=ProductosPivot!NRW5)</f>
        <v>#VALUE!</v>
      </c>
      <c r="NRX6" s="68" t="e" cm="1" vm="1">
        <f t="array" ref="NRX6">_xlfn._xlws.FILTER(TablaProductos[Nombre producto],TablaProductos[Agrupación]=ProductosPivot!NRX5)</f>
        <v>#VALUE!</v>
      </c>
      <c r="NRY6" s="68" t="e" cm="1" vm="1">
        <f t="array" ref="NRY6">_xlfn._xlws.FILTER(TablaProductos[Nombre producto],TablaProductos[Agrupación]=ProductosPivot!NRY5)</f>
        <v>#VALUE!</v>
      </c>
      <c r="NRZ6" s="68" t="e" cm="1" vm="1">
        <f t="array" ref="NRZ6">_xlfn._xlws.FILTER(TablaProductos[Nombre producto],TablaProductos[Agrupación]=ProductosPivot!NRZ5)</f>
        <v>#VALUE!</v>
      </c>
      <c r="NSA6" s="68" t="e" cm="1" vm="1">
        <f t="array" ref="NSA6">_xlfn._xlws.FILTER(TablaProductos[Nombre producto],TablaProductos[Agrupación]=ProductosPivot!NSA5)</f>
        <v>#VALUE!</v>
      </c>
      <c r="NSB6" s="68" t="e" cm="1" vm="1">
        <f t="array" ref="NSB6">_xlfn._xlws.FILTER(TablaProductos[Nombre producto],TablaProductos[Agrupación]=ProductosPivot!NSB5)</f>
        <v>#VALUE!</v>
      </c>
      <c r="NSC6" s="68" t="e" cm="1" vm="1">
        <f t="array" ref="NSC6">_xlfn._xlws.FILTER(TablaProductos[Nombre producto],TablaProductos[Agrupación]=ProductosPivot!NSC5)</f>
        <v>#VALUE!</v>
      </c>
      <c r="NSD6" s="68" t="e" cm="1" vm="1">
        <f t="array" ref="NSD6">_xlfn._xlws.FILTER(TablaProductos[Nombre producto],TablaProductos[Agrupación]=ProductosPivot!NSD5)</f>
        <v>#VALUE!</v>
      </c>
      <c r="NSE6" s="68" t="e" cm="1" vm="1">
        <f t="array" ref="NSE6">_xlfn._xlws.FILTER(TablaProductos[Nombre producto],TablaProductos[Agrupación]=ProductosPivot!NSE5)</f>
        <v>#VALUE!</v>
      </c>
      <c r="NSF6" s="68" t="e" cm="1" vm="1">
        <f t="array" ref="NSF6">_xlfn._xlws.FILTER(TablaProductos[Nombre producto],TablaProductos[Agrupación]=ProductosPivot!NSF5)</f>
        <v>#VALUE!</v>
      </c>
      <c r="NSG6" s="68" t="e" cm="1" vm="1">
        <f t="array" ref="NSG6">_xlfn._xlws.FILTER(TablaProductos[Nombre producto],TablaProductos[Agrupación]=ProductosPivot!NSG5)</f>
        <v>#VALUE!</v>
      </c>
      <c r="NSH6" s="68" t="e" cm="1" vm="1">
        <f t="array" ref="NSH6">_xlfn._xlws.FILTER(TablaProductos[Nombre producto],TablaProductos[Agrupación]=ProductosPivot!NSH5)</f>
        <v>#VALUE!</v>
      </c>
      <c r="NSI6" s="68" t="e" cm="1" vm="1">
        <f t="array" ref="NSI6">_xlfn._xlws.FILTER(TablaProductos[Nombre producto],TablaProductos[Agrupación]=ProductosPivot!NSI5)</f>
        <v>#VALUE!</v>
      </c>
      <c r="NSJ6" s="68" t="e" cm="1" vm="1">
        <f t="array" ref="NSJ6">_xlfn._xlws.FILTER(TablaProductos[Nombre producto],TablaProductos[Agrupación]=ProductosPivot!NSJ5)</f>
        <v>#VALUE!</v>
      </c>
      <c r="NSK6" s="68" t="e" cm="1" vm="1">
        <f t="array" ref="NSK6">_xlfn._xlws.FILTER(TablaProductos[Nombre producto],TablaProductos[Agrupación]=ProductosPivot!NSK5)</f>
        <v>#VALUE!</v>
      </c>
      <c r="NSL6" s="68" t="e" cm="1" vm="1">
        <f t="array" ref="NSL6">_xlfn._xlws.FILTER(TablaProductos[Nombre producto],TablaProductos[Agrupación]=ProductosPivot!NSL5)</f>
        <v>#VALUE!</v>
      </c>
      <c r="NSM6" s="68" t="e" cm="1" vm="1">
        <f t="array" ref="NSM6">_xlfn._xlws.FILTER(TablaProductos[Nombre producto],TablaProductos[Agrupación]=ProductosPivot!NSM5)</f>
        <v>#VALUE!</v>
      </c>
      <c r="NSN6" s="68" t="e" cm="1" vm="1">
        <f t="array" ref="NSN6">_xlfn._xlws.FILTER(TablaProductos[Nombre producto],TablaProductos[Agrupación]=ProductosPivot!NSN5)</f>
        <v>#VALUE!</v>
      </c>
      <c r="NSO6" s="68" t="e" cm="1" vm="1">
        <f t="array" ref="NSO6">_xlfn._xlws.FILTER(TablaProductos[Nombre producto],TablaProductos[Agrupación]=ProductosPivot!NSO5)</f>
        <v>#VALUE!</v>
      </c>
      <c r="NSP6" s="68" t="e" cm="1" vm="1">
        <f t="array" ref="NSP6">_xlfn._xlws.FILTER(TablaProductos[Nombre producto],TablaProductos[Agrupación]=ProductosPivot!NSP5)</f>
        <v>#VALUE!</v>
      </c>
      <c r="NSQ6" s="68" t="e" cm="1" vm="1">
        <f t="array" ref="NSQ6">_xlfn._xlws.FILTER(TablaProductos[Nombre producto],TablaProductos[Agrupación]=ProductosPivot!NSQ5)</f>
        <v>#VALUE!</v>
      </c>
      <c r="NSR6" s="68" t="e" cm="1" vm="1">
        <f t="array" ref="NSR6">_xlfn._xlws.FILTER(TablaProductos[Nombre producto],TablaProductos[Agrupación]=ProductosPivot!NSR5)</f>
        <v>#VALUE!</v>
      </c>
      <c r="NSS6" s="68" t="e" cm="1" vm="1">
        <f t="array" ref="NSS6">_xlfn._xlws.FILTER(TablaProductos[Nombre producto],TablaProductos[Agrupación]=ProductosPivot!NSS5)</f>
        <v>#VALUE!</v>
      </c>
      <c r="NST6" s="68" t="e" cm="1" vm="1">
        <f t="array" ref="NST6">_xlfn._xlws.FILTER(TablaProductos[Nombre producto],TablaProductos[Agrupación]=ProductosPivot!NST5)</f>
        <v>#VALUE!</v>
      </c>
      <c r="NSU6" s="68" t="e" cm="1" vm="1">
        <f t="array" ref="NSU6">_xlfn._xlws.FILTER(TablaProductos[Nombre producto],TablaProductos[Agrupación]=ProductosPivot!NSU5)</f>
        <v>#VALUE!</v>
      </c>
      <c r="NSV6" s="68" t="e" cm="1" vm="1">
        <f t="array" ref="NSV6">_xlfn._xlws.FILTER(TablaProductos[Nombre producto],TablaProductos[Agrupación]=ProductosPivot!NSV5)</f>
        <v>#VALUE!</v>
      </c>
      <c r="NSW6" s="68" t="e" cm="1" vm="1">
        <f t="array" ref="NSW6">_xlfn._xlws.FILTER(TablaProductos[Nombre producto],TablaProductos[Agrupación]=ProductosPivot!NSW5)</f>
        <v>#VALUE!</v>
      </c>
      <c r="NSX6" s="68" t="e" cm="1" vm="1">
        <f t="array" ref="NSX6">_xlfn._xlws.FILTER(TablaProductos[Nombre producto],TablaProductos[Agrupación]=ProductosPivot!NSX5)</f>
        <v>#VALUE!</v>
      </c>
      <c r="NSY6" s="68" t="e" cm="1" vm="1">
        <f t="array" ref="NSY6">_xlfn._xlws.FILTER(TablaProductos[Nombre producto],TablaProductos[Agrupación]=ProductosPivot!NSY5)</f>
        <v>#VALUE!</v>
      </c>
      <c r="NSZ6" s="68" t="e" cm="1" vm="1">
        <f t="array" ref="NSZ6">_xlfn._xlws.FILTER(TablaProductos[Nombre producto],TablaProductos[Agrupación]=ProductosPivot!NSZ5)</f>
        <v>#VALUE!</v>
      </c>
      <c r="NTA6" s="68" t="e" cm="1" vm="1">
        <f t="array" ref="NTA6">_xlfn._xlws.FILTER(TablaProductos[Nombre producto],TablaProductos[Agrupación]=ProductosPivot!NTA5)</f>
        <v>#VALUE!</v>
      </c>
      <c r="NTB6" s="68" t="e" cm="1" vm="1">
        <f t="array" ref="NTB6">_xlfn._xlws.FILTER(TablaProductos[Nombre producto],TablaProductos[Agrupación]=ProductosPivot!NTB5)</f>
        <v>#VALUE!</v>
      </c>
      <c r="NTC6" s="68" t="e" cm="1" vm="1">
        <f t="array" ref="NTC6">_xlfn._xlws.FILTER(TablaProductos[Nombre producto],TablaProductos[Agrupación]=ProductosPivot!NTC5)</f>
        <v>#VALUE!</v>
      </c>
      <c r="NTD6" s="68" t="e" cm="1" vm="1">
        <f t="array" ref="NTD6">_xlfn._xlws.FILTER(TablaProductos[Nombre producto],TablaProductos[Agrupación]=ProductosPivot!NTD5)</f>
        <v>#VALUE!</v>
      </c>
      <c r="NTE6" s="68" t="e" cm="1" vm="1">
        <f t="array" ref="NTE6">_xlfn._xlws.FILTER(TablaProductos[Nombre producto],TablaProductos[Agrupación]=ProductosPivot!NTE5)</f>
        <v>#VALUE!</v>
      </c>
      <c r="NTF6" s="68" t="e" cm="1" vm="1">
        <f t="array" ref="NTF6">_xlfn._xlws.FILTER(TablaProductos[Nombre producto],TablaProductos[Agrupación]=ProductosPivot!NTF5)</f>
        <v>#VALUE!</v>
      </c>
      <c r="NTG6" s="68" t="e" cm="1" vm="1">
        <f t="array" ref="NTG6">_xlfn._xlws.FILTER(TablaProductos[Nombre producto],TablaProductos[Agrupación]=ProductosPivot!NTG5)</f>
        <v>#VALUE!</v>
      </c>
      <c r="NTH6" s="68" t="e" cm="1" vm="1">
        <f t="array" ref="NTH6">_xlfn._xlws.FILTER(TablaProductos[Nombre producto],TablaProductos[Agrupación]=ProductosPivot!NTH5)</f>
        <v>#VALUE!</v>
      </c>
      <c r="NTI6" s="68" t="e" cm="1" vm="1">
        <f t="array" ref="NTI6">_xlfn._xlws.FILTER(TablaProductos[Nombre producto],TablaProductos[Agrupación]=ProductosPivot!NTI5)</f>
        <v>#VALUE!</v>
      </c>
      <c r="NTJ6" s="68" t="e" cm="1" vm="1">
        <f t="array" ref="NTJ6">_xlfn._xlws.FILTER(TablaProductos[Nombre producto],TablaProductos[Agrupación]=ProductosPivot!NTJ5)</f>
        <v>#VALUE!</v>
      </c>
      <c r="NTK6" s="68" t="e" cm="1" vm="1">
        <f t="array" ref="NTK6">_xlfn._xlws.FILTER(TablaProductos[Nombre producto],TablaProductos[Agrupación]=ProductosPivot!NTK5)</f>
        <v>#VALUE!</v>
      </c>
      <c r="NTL6" s="68" t="e" cm="1" vm="1">
        <f t="array" ref="NTL6">_xlfn._xlws.FILTER(TablaProductos[Nombre producto],TablaProductos[Agrupación]=ProductosPivot!NTL5)</f>
        <v>#VALUE!</v>
      </c>
      <c r="NTM6" s="68" t="e" cm="1" vm="1">
        <f t="array" ref="NTM6">_xlfn._xlws.FILTER(TablaProductos[Nombre producto],TablaProductos[Agrupación]=ProductosPivot!NTM5)</f>
        <v>#VALUE!</v>
      </c>
      <c r="NTN6" s="68" t="e" cm="1" vm="1">
        <f t="array" ref="NTN6">_xlfn._xlws.FILTER(TablaProductos[Nombre producto],TablaProductos[Agrupación]=ProductosPivot!NTN5)</f>
        <v>#VALUE!</v>
      </c>
      <c r="NTO6" s="68" t="e" cm="1" vm="1">
        <f t="array" ref="NTO6">_xlfn._xlws.FILTER(TablaProductos[Nombre producto],TablaProductos[Agrupación]=ProductosPivot!NTO5)</f>
        <v>#VALUE!</v>
      </c>
      <c r="NTP6" s="68" t="e" cm="1" vm="1">
        <f t="array" ref="NTP6">_xlfn._xlws.FILTER(TablaProductos[Nombre producto],TablaProductos[Agrupación]=ProductosPivot!NTP5)</f>
        <v>#VALUE!</v>
      </c>
      <c r="NTQ6" s="68" t="e" cm="1" vm="1">
        <f t="array" ref="NTQ6">_xlfn._xlws.FILTER(TablaProductos[Nombre producto],TablaProductos[Agrupación]=ProductosPivot!NTQ5)</f>
        <v>#VALUE!</v>
      </c>
      <c r="NTR6" s="68" t="e" cm="1" vm="1">
        <f t="array" ref="NTR6">_xlfn._xlws.FILTER(TablaProductos[Nombre producto],TablaProductos[Agrupación]=ProductosPivot!NTR5)</f>
        <v>#VALUE!</v>
      </c>
      <c r="NTS6" s="68" t="e" cm="1" vm="1">
        <f t="array" ref="NTS6">_xlfn._xlws.FILTER(TablaProductos[Nombre producto],TablaProductos[Agrupación]=ProductosPivot!NTS5)</f>
        <v>#VALUE!</v>
      </c>
      <c r="NTT6" s="68" t="e" cm="1" vm="1">
        <f t="array" ref="NTT6">_xlfn._xlws.FILTER(TablaProductos[Nombre producto],TablaProductos[Agrupación]=ProductosPivot!NTT5)</f>
        <v>#VALUE!</v>
      </c>
      <c r="NTU6" s="68" t="e" cm="1" vm="1">
        <f t="array" ref="NTU6">_xlfn._xlws.FILTER(TablaProductos[Nombre producto],TablaProductos[Agrupación]=ProductosPivot!NTU5)</f>
        <v>#VALUE!</v>
      </c>
      <c r="NTV6" s="68" t="e" cm="1" vm="1">
        <f t="array" ref="NTV6">_xlfn._xlws.FILTER(TablaProductos[Nombre producto],TablaProductos[Agrupación]=ProductosPivot!NTV5)</f>
        <v>#VALUE!</v>
      </c>
      <c r="NTW6" s="68" t="e" cm="1" vm="1">
        <f t="array" ref="NTW6">_xlfn._xlws.FILTER(TablaProductos[Nombre producto],TablaProductos[Agrupación]=ProductosPivot!NTW5)</f>
        <v>#VALUE!</v>
      </c>
      <c r="NTX6" s="68" t="e" cm="1" vm="1">
        <f t="array" ref="NTX6">_xlfn._xlws.FILTER(TablaProductos[Nombre producto],TablaProductos[Agrupación]=ProductosPivot!NTX5)</f>
        <v>#VALUE!</v>
      </c>
      <c r="NTY6" s="68" t="e" cm="1" vm="1">
        <f t="array" ref="NTY6">_xlfn._xlws.FILTER(TablaProductos[Nombre producto],TablaProductos[Agrupación]=ProductosPivot!NTY5)</f>
        <v>#VALUE!</v>
      </c>
      <c r="NTZ6" s="68" t="e" cm="1" vm="1">
        <f t="array" ref="NTZ6">_xlfn._xlws.FILTER(TablaProductos[Nombre producto],TablaProductos[Agrupación]=ProductosPivot!NTZ5)</f>
        <v>#VALUE!</v>
      </c>
      <c r="NUA6" s="68" t="e" cm="1" vm="1">
        <f t="array" ref="NUA6">_xlfn._xlws.FILTER(TablaProductos[Nombre producto],TablaProductos[Agrupación]=ProductosPivot!NUA5)</f>
        <v>#VALUE!</v>
      </c>
      <c r="NUB6" s="68" t="e" cm="1" vm="1">
        <f t="array" ref="NUB6">_xlfn._xlws.FILTER(TablaProductos[Nombre producto],TablaProductos[Agrupación]=ProductosPivot!NUB5)</f>
        <v>#VALUE!</v>
      </c>
      <c r="NUC6" s="68" t="e" cm="1" vm="1">
        <f t="array" ref="NUC6">_xlfn._xlws.FILTER(TablaProductos[Nombre producto],TablaProductos[Agrupación]=ProductosPivot!NUC5)</f>
        <v>#VALUE!</v>
      </c>
      <c r="NUD6" s="68" t="e" cm="1" vm="1">
        <f t="array" ref="NUD6">_xlfn._xlws.FILTER(TablaProductos[Nombre producto],TablaProductos[Agrupación]=ProductosPivot!NUD5)</f>
        <v>#VALUE!</v>
      </c>
      <c r="NUE6" s="68" t="e" cm="1" vm="1">
        <f t="array" ref="NUE6">_xlfn._xlws.FILTER(TablaProductos[Nombre producto],TablaProductos[Agrupación]=ProductosPivot!NUE5)</f>
        <v>#VALUE!</v>
      </c>
      <c r="NUF6" s="68" t="e" cm="1" vm="1">
        <f t="array" ref="NUF6">_xlfn._xlws.FILTER(TablaProductos[Nombre producto],TablaProductos[Agrupación]=ProductosPivot!NUF5)</f>
        <v>#VALUE!</v>
      </c>
      <c r="NUG6" s="68" t="e" cm="1" vm="1">
        <f t="array" ref="NUG6">_xlfn._xlws.FILTER(TablaProductos[Nombre producto],TablaProductos[Agrupación]=ProductosPivot!NUG5)</f>
        <v>#VALUE!</v>
      </c>
      <c r="NUH6" s="68" t="e" cm="1" vm="1">
        <f t="array" ref="NUH6">_xlfn._xlws.FILTER(TablaProductos[Nombre producto],TablaProductos[Agrupación]=ProductosPivot!NUH5)</f>
        <v>#VALUE!</v>
      </c>
      <c r="NUI6" s="68" t="e" cm="1" vm="1">
        <f t="array" ref="NUI6">_xlfn._xlws.FILTER(TablaProductos[Nombre producto],TablaProductos[Agrupación]=ProductosPivot!NUI5)</f>
        <v>#VALUE!</v>
      </c>
      <c r="NUJ6" s="68" t="e" cm="1" vm="1">
        <f t="array" ref="NUJ6">_xlfn._xlws.FILTER(TablaProductos[Nombre producto],TablaProductos[Agrupación]=ProductosPivot!NUJ5)</f>
        <v>#VALUE!</v>
      </c>
      <c r="NUK6" s="68" t="e" cm="1" vm="1">
        <f t="array" ref="NUK6">_xlfn._xlws.FILTER(TablaProductos[Nombre producto],TablaProductos[Agrupación]=ProductosPivot!NUK5)</f>
        <v>#VALUE!</v>
      </c>
      <c r="NUL6" s="68" t="e" cm="1" vm="1">
        <f t="array" ref="NUL6">_xlfn._xlws.FILTER(TablaProductos[Nombre producto],TablaProductos[Agrupación]=ProductosPivot!NUL5)</f>
        <v>#VALUE!</v>
      </c>
      <c r="NUM6" s="68" t="e" cm="1" vm="1">
        <f t="array" ref="NUM6">_xlfn._xlws.FILTER(TablaProductos[Nombre producto],TablaProductos[Agrupación]=ProductosPivot!NUM5)</f>
        <v>#VALUE!</v>
      </c>
      <c r="NUN6" s="68" t="e" cm="1" vm="1">
        <f t="array" ref="NUN6">_xlfn._xlws.FILTER(TablaProductos[Nombre producto],TablaProductos[Agrupación]=ProductosPivot!NUN5)</f>
        <v>#VALUE!</v>
      </c>
      <c r="NUO6" s="68" t="e" cm="1" vm="1">
        <f t="array" ref="NUO6">_xlfn._xlws.FILTER(TablaProductos[Nombre producto],TablaProductos[Agrupación]=ProductosPivot!NUO5)</f>
        <v>#VALUE!</v>
      </c>
      <c r="NUP6" s="68" t="e" cm="1" vm="1">
        <f t="array" ref="NUP6">_xlfn._xlws.FILTER(TablaProductos[Nombre producto],TablaProductos[Agrupación]=ProductosPivot!NUP5)</f>
        <v>#VALUE!</v>
      </c>
      <c r="NUQ6" s="68" t="e" cm="1" vm="1">
        <f t="array" ref="NUQ6">_xlfn._xlws.FILTER(TablaProductos[Nombre producto],TablaProductos[Agrupación]=ProductosPivot!NUQ5)</f>
        <v>#VALUE!</v>
      </c>
      <c r="NUR6" s="68" t="e" cm="1" vm="1">
        <f t="array" ref="NUR6">_xlfn._xlws.FILTER(TablaProductos[Nombre producto],TablaProductos[Agrupación]=ProductosPivot!NUR5)</f>
        <v>#VALUE!</v>
      </c>
      <c r="NUS6" s="68" t="e" cm="1" vm="1">
        <f t="array" ref="NUS6">_xlfn._xlws.FILTER(TablaProductos[Nombre producto],TablaProductos[Agrupación]=ProductosPivot!NUS5)</f>
        <v>#VALUE!</v>
      </c>
      <c r="NUT6" s="68" t="e" cm="1" vm="1">
        <f t="array" ref="NUT6">_xlfn._xlws.FILTER(TablaProductos[Nombre producto],TablaProductos[Agrupación]=ProductosPivot!NUT5)</f>
        <v>#VALUE!</v>
      </c>
      <c r="NUU6" s="68" t="e" cm="1" vm="1">
        <f t="array" ref="NUU6">_xlfn._xlws.FILTER(TablaProductos[Nombre producto],TablaProductos[Agrupación]=ProductosPivot!NUU5)</f>
        <v>#VALUE!</v>
      </c>
      <c r="NUV6" s="68" t="e" cm="1" vm="1">
        <f t="array" ref="NUV6">_xlfn._xlws.FILTER(TablaProductos[Nombre producto],TablaProductos[Agrupación]=ProductosPivot!NUV5)</f>
        <v>#VALUE!</v>
      </c>
      <c r="NUW6" s="68" t="e" cm="1" vm="1">
        <f t="array" ref="NUW6">_xlfn._xlws.FILTER(TablaProductos[Nombre producto],TablaProductos[Agrupación]=ProductosPivot!NUW5)</f>
        <v>#VALUE!</v>
      </c>
      <c r="NUX6" s="68" t="e" cm="1" vm="1">
        <f t="array" ref="NUX6">_xlfn._xlws.FILTER(TablaProductos[Nombre producto],TablaProductos[Agrupación]=ProductosPivot!NUX5)</f>
        <v>#VALUE!</v>
      </c>
      <c r="NUY6" s="68" t="e" cm="1" vm="1">
        <f t="array" ref="NUY6">_xlfn._xlws.FILTER(TablaProductos[Nombre producto],TablaProductos[Agrupación]=ProductosPivot!NUY5)</f>
        <v>#VALUE!</v>
      </c>
      <c r="NUZ6" s="68" t="e" cm="1" vm="1">
        <f t="array" ref="NUZ6">_xlfn._xlws.FILTER(TablaProductos[Nombre producto],TablaProductos[Agrupación]=ProductosPivot!NUZ5)</f>
        <v>#VALUE!</v>
      </c>
      <c r="NVA6" s="68" t="e" cm="1" vm="1">
        <f t="array" ref="NVA6">_xlfn._xlws.FILTER(TablaProductos[Nombre producto],TablaProductos[Agrupación]=ProductosPivot!NVA5)</f>
        <v>#VALUE!</v>
      </c>
      <c r="NVB6" s="68" t="e" cm="1" vm="1">
        <f t="array" ref="NVB6">_xlfn._xlws.FILTER(TablaProductos[Nombre producto],TablaProductos[Agrupación]=ProductosPivot!NVB5)</f>
        <v>#VALUE!</v>
      </c>
      <c r="NVC6" s="68" t="e" cm="1" vm="1">
        <f t="array" ref="NVC6">_xlfn._xlws.FILTER(TablaProductos[Nombre producto],TablaProductos[Agrupación]=ProductosPivot!NVC5)</f>
        <v>#VALUE!</v>
      </c>
      <c r="NVD6" s="68" t="e" cm="1" vm="1">
        <f t="array" ref="NVD6">_xlfn._xlws.FILTER(TablaProductos[Nombre producto],TablaProductos[Agrupación]=ProductosPivot!NVD5)</f>
        <v>#VALUE!</v>
      </c>
      <c r="NVE6" s="68" t="e" cm="1" vm="1">
        <f t="array" ref="NVE6">_xlfn._xlws.FILTER(TablaProductos[Nombre producto],TablaProductos[Agrupación]=ProductosPivot!NVE5)</f>
        <v>#VALUE!</v>
      </c>
      <c r="NVF6" s="68" t="e" cm="1" vm="1">
        <f t="array" ref="NVF6">_xlfn._xlws.FILTER(TablaProductos[Nombre producto],TablaProductos[Agrupación]=ProductosPivot!NVF5)</f>
        <v>#VALUE!</v>
      </c>
      <c r="NVG6" s="68" t="e" cm="1" vm="1">
        <f t="array" ref="NVG6">_xlfn._xlws.FILTER(TablaProductos[Nombre producto],TablaProductos[Agrupación]=ProductosPivot!NVG5)</f>
        <v>#VALUE!</v>
      </c>
      <c r="NVH6" s="68" t="e" cm="1" vm="1">
        <f t="array" ref="NVH6">_xlfn._xlws.FILTER(TablaProductos[Nombre producto],TablaProductos[Agrupación]=ProductosPivot!NVH5)</f>
        <v>#VALUE!</v>
      </c>
      <c r="NVI6" s="68" t="e" cm="1" vm="1">
        <f t="array" ref="NVI6">_xlfn._xlws.FILTER(TablaProductos[Nombre producto],TablaProductos[Agrupación]=ProductosPivot!NVI5)</f>
        <v>#VALUE!</v>
      </c>
      <c r="NVJ6" s="68" t="e" cm="1" vm="1">
        <f t="array" ref="NVJ6">_xlfn._xlws.FILTER(TablaProductos[Nombre producto],TablaProductos[Agrupación]=ProductosPivot!NVJ5)</f>
        <v>#VALUE!</v>
      </c>
      <c r="NVK6" s="68" t="e" cm="1" vm="1">
        <f t="array" ref="NVK6">_xlfn._xlws.FILTER(TablaProductos[Nombre producto],TablaProductos[Agrupación]=ProductosPivot!NVK5)</f>
        <v>#VALUE!</v>
      </c>
      <c r="NVL6" s="68" t="e" cm="1" vm="1">
        <f t="array" ref="NVL6">_xlfn._xlws.FILTER(TablaProductos[Nombre producto],TablaProductos[Agrupación]=ProductosPivot!NVL5)</f>
        <v>#VALUE!</v>
      </c>
      <c r="NVM6" s="68" t="e" cm="1" vm="1">
        <f t="array" ref="NVM6">_xlfn._xlws.FILTER(TablaProductos[Nombre producto],TablaProductos[Agrupación]=ProductosPivot!NVM5)</f>
        <v>#VALUE!</v>
      </c>
      <c r="NVN6" s="68" t="e" cm="1" vm="1">
        <f t="array" ref="NVN6">_xlfn._xlws.FILTER(TablaProductos[Nombre producto],TablaProductos[Agrupación]=ProductosPivot!NVN5)</f>
        <v>#VALUE!</v>
      </c>
      <c r="NVO6" s="68" t="e" cm="1" vm="1">
        <f t="array" ref="NVO6">_xlfn._xlws.FILTER(TablaProductos[Nombre producto],TablaProductos[Agrupación]=ProductosPivot!NVO5)</f>
        <v>#VALUE!</v>
      </c>
      <c r="NVP6" s="68" t="e" cm="1" vm="1">
        <f t="array" ref="NVP6">_xlfn._xlws.FILTER(TablaProductos[Nombre producto],TablaProductos[Agrupación]=ProductosPivot!NVP5)</f>
        <v>#VALUE!</v>
      </c>
      <c r="NVQ6" s="68" t="e" cm="1" vm="1">
        <f t="array" ref="NVQ6">_xlfn._xlws.FILTER(TablaProductos[Nombre producto],TablaProductos[Agrupación]=ProductosPivot!NVQ5)</f>
        <v>#VALUE!</v>
      </c>
      <c r="NVR6" s="68" t="e" cm="1" vm="1">
        <f t="array" ref="NVR6">_xlfn._xlws.FILTER(TablaProductos[Nombre producto],TablaProductos[Agrupación]=ProductosPivot!NVR5)</f>
        <v>#VALUE!</v>
      </c>
      <c r="NVS6" s="68" t="e" cm="1" vm="1">
        <f t="array" ref="NVS6">_xlfn._xlws.FILTER(TablaProductos[Nombre producto],TablaProductos[Agrupación]=ProductosPivot!NVS5)</f>
        <v>#VALUE!</v>
      </c>
      <c r="NVT6" s="68" t="e" cm="1" vm="1">
        <f t="array" ref="NVT6">_xlfn._xlws.FILTER(TablaProductos[Nombre producto],TablaProductos[Agrupación]=ProductosPivot!NVT5)</f>
        <v>#VALUE!</v>
      </c>
      <c r="NVU6" s="68" t="e" cm="1" vm="1">
        <f t="array" ref="NVU6">_xlfn._xlws.FILTER(TablaProductos[Nombre producto],TablaProductos[Agrupación]=ProductosPivot!NVU5)</f>
        <v>#VALUE!</v>
      </c>
      <c r="NVV6" s="68" t="e" cm="1" vm="1">
        <f t="array" ref="NVV6">_xlfn._xlws.FILTER(TablaProductos[Nombre producto],TablaProductos[Agrupación]=ProductosPivot!NVV5)</f>
        <v>#VALUE!</v>
      </c>
      <c r="NVW6" s="68" t="e" cm="1" vm="1">
        <f t="array" ref="NVW6">_xlfn._xlws.FILTER(TablaProductos[Nombre producto],TablaProductos[Agrupación]=ProductosPivot!NVW5)</f>
        <v>#VALUE!</v>
      </c>
      <c r="NVX6" s="68" t="e" cm="1" vm="1">
        <f t="array" ref="NVX6">_xlfn._xlws.FILTER(TablaProductos[Nombre producto],TablaProductos[Agrupación]=ProductosPivot!NVX5)</f>
        <v>#VALUE!</v>
      </c>
      <c r="NVY6" s="68" t="e" cm="1" vm="1">
        <f t="array" ref="NVY6">_xlfn._xlws.FILTER(TablaProductos[Nombre producto],TablaProductos[Agrupación]=ProductosPivot!NVY5)</f>
        <v>#VALUE!</v>
      </c>
      <c r="NVZ6" s="68" t="e" cm="1" vm="1">
        <f t="array" ref="NVZ6">_xlfn._xlws.FILTER(TablaProductos[Nombre producto],TablaProductos[Agrupación]=ProductosPivot!NVZ5)</f>
        <v>#VALUE!</v>
      </c>
      <c r="NWA6" s="68" t="e" cm="1" vm="1">
        <f t="array" ref="NWA6">_xlfn._xlws.FILTER(TablaProductos[Nombre producto],TablaProductos[Agrupación]=ProductosPivot!NWA5)</f>
        <v>#VALUE!</v>
      </c>
      <c r="NWB6" s="68" t="e" cm="1" vm="1">
        <f t="array" ref="NWB6">_xlfn._xlws.FILTER(TablaProductos[Nombre producto],TablaProductos[Agrupación]=ProductosPivot!NWB5)</f>
        <v>#VALUE!</v>
      </c>
      <c r="NWC6" s="68" t="e" cm="1" vm="1">
        <f t="array" ref="NWC6">_xlfn._xlws.FILTER(TablaProductos[Nombre producto],TablaProductos[Agrupación]=ProductosPivot!NWC5)</f>
        <v>#VALUE!</v>
      </c>
      <c r="NWD6" s="68" t="e" cm="1" vm="1">
        <f t="array" ref="NWD6">_xlfn._xlws.FILTER(TablaProductos[Nombre producto],TablaProductos[Agrupación]=ProductosPivot!NWD5)</f>
        <v>#VALUE!</v>
      </c>
      <c r="NWE6" s="68" t="e" cm="1" vm="1">
        <f t="array" ref="NWE6">_xlfn._xlws.FILTER(TablaProductos[Nombre producto],TablaProductos[Agrupación]=ProductosPivot!NWE5)</f>
        <v>#VALUE!</v>
      </c>
      <c r="NWF6" s="68" t="e" cm="1" vm="1">
        <f t="array" ref="NWF6">_xlfn._xlws.FILTER(TablaProductos[Nombre producto],TablaProductos[Agrupación]=ProductosPivot!NWF5)</f>
        <v>#VALUE!</v>
      </c>
      <c r="NWG6" s="68" t="e" cm="1" vm="1">
        <f t="array" ref="NWG6">_xlfn._xlws.FILTER(TablaProductos[Nombre producto],TablaProductos[Agrupación]=ProductosPivot!NWG5)</f>
        <v>#VALUE!</v>
      </c>
      <c r="NWH6" s="68" t="e" cm="1" vm="1">
        <f t="array" ref="NWH6">_xlfn._xlws.FILTER(TablaProductos[Nombre producto],TablaProductos[Agrupación]=ProductosPivot!NWH5)</f>
        <v>#VALUE!</v>
      </c>
      <c r="NWI6" s="68" t="e" cm="1" vm="1">
        <f t="array" ref="NWI6">_xlfn._xlws.FILTER(TablaProductos[Nombre producto],TablaProductos[Agrupación]=ProductosPivot!NWI5)</f>
        <v>#VALUE!</v>
      </c>
      <c r="NWJ6" s="68" t="e" cm="1" vm="1">
        <f t="array" ref="NWJ6">_xlfn._xlws.FILTER(TablaProductos[Nombre producto],TablaProductos[Agrupación]=ProductosPivot!NWJ5)</f>
        <v>#VALUE!</v>
      </c>
      <c r="NWK6" s="68" t="e" cm="1" vm="1">
        <f t="array" ref="NWK6">_xlfn._xlws.FILTER(TablaProductos[Nombre producto],TablaProductos[Agrupación]=ProductosPivot!NWK5)</f>
        <v>#VALUE!</v>
      </c>
      <c r="NWL6" s="68" t="e" cm="1" vm="1">
        <f t="array" ref="NWL6">_xlfn._xlws.FILTER(TablaProductos[Nombre producto],TablaProductos[Agrupación]=ProductosPivot!NWL5)</f>
        <v>#VALUE!</v>
      </c>
      <c r="NWM6" s="68" t="e" cm="1" vm="1">
        <f t="array" ref="NWM6">_xlfn._xlws.FILTER(TablaProductos[Nombre producto],TablaProductos[Agrupación]=ProductosPivot!NWM5)</f>
        <v>#VALUE!</v>
      </c>
      <c r="NWN6" s="68" t="e" cm="1" vm="1">
        <f t="array" ref="NWN6">_xlfn._xlws.FILTER(TablaProductos[Nombre producto],TablaProductos[Agrupación]=ProductosPivot!NWN5)</f>
        <v>#VALUE!</v>
      </c>
      <c r="NWO6" s="68" t="e" cm="1" vm="1">
        <f t="array" ref="NWO6">_xlfn._xlws.FILTER(TablaProductos[Nombre producto],TablaProductos[Agrupación]=ProductosPivot!NWO5)</f>
        <v>#VALUE!</v>
      </c>
      <c r="NWP6" s="68" t="e" cm="1" vm="1">
        <f t="array" ref="NWP6">_xlfn._xlws.FILTER(TablaProductos[Nombre producto],TablaProductos[Agrupación]=ProductosPivot!NWP5)</f>
        <v>#VALUE!</v>
      </c>
      <c r="NWQ6" s="68" t="e" cm="1" vm="1">
        <f t="array" ref="NWQ6">_xlfn._xlws.FILTER(TablaProductos[Nombre producto],TablaProductos[Agrupación]=ProductosPivot!NWQ5)</f>
        <v>#VALUE!</v>
      </c>
      <c r="NWR6" s="68" t="e" cm="1" vm="1">
        <f t="array" ref="NWR6">_xlfn._xlws.FILTER(TablaProductos[Nombre producto],TablaProductos[Agrupación]=ProductosPivot!NWR5)</f>
        <v>#VALUE!</v>
      </c>
      <c r="NWS6" s="68" t="e" cm="1" vm="1">
        <f t="array" ref="NWS6">_xlfn._xlws.FILTER(TablaProductos[Nombre producto],TablaProductos[Agrupación]=ProductosPivot!NWS5)</f>
        <v>#VALUE!</v>
      </c>
      <c r="NWT6" s="68" t="e" cm="1" vm="1">
        <f t="array" ref="NWT6">_xlfn._xlws.FILTER(TablaProductos[Nombre producto],TablaProductos[Agrupación]=ProductosPivot!NWT5)</f>
        <v>#VALUE!</v>
      </c>
      <c r="NWU6" s="68" t="e" cm="1" vm="1">
        <f t="array" ref="NWU6">_xlfn._xlws.FILTER(TablaProductos[Nombre producto],TablaProductos[Agrupación]=ProductosPivot!NWU5)</f>
        <v>#VALUE!</v>
      </c>
      <c r="NWV6" s="68" t="e" cm="1" vm="1">
        <f t="array" ref="NWV6">_xlfn._xlws.FILTER(TablaProductos[Nombre producto],TablaProductos[Agrupación]=ProductosPivot!NWV5)</f>
        <v>#VALUE!</v>
      </c>
      <c r="NWW6" s="68" t="e" cm="1" vm="1">
        <f t="array" ref="NWW6">_xlfn._xlws.FILTER(TablaProductos[Nombre producto],TablaProductos[Agrupación]=ProductosPivot!NWW5)</f>
        <v>#VALUE!</v>
      </c>
      <c r="NWX6" s="68" t="e" cm="1" vm="1">
        <f t="array" ref="NWX6">_xlfn._xlws.FILTER(TablaProductos[Nombre producto],TablaProductos[Agrupación]=ProductosPivot!NWX5)</f>
        <v>#VALUE!</v>
      </c>
      <c r="NWY6" s="68" t="e" cm="1" vm="1">
        <f t="array" ref="NWY6">_xlfn._xlws.FILTER(TablaProductos[Nombre producto],TablaProductos[Agrupación]=ProductosPivot!NWY5)</f>
        <v>#VALUE!</v>
      </c>
      <c r="NWZ6" s="68" t="e" cm="1" vm="1">
        <f t="array" ref="NWZ6">_xlfn._xlws.FILTER(TablaProductos[Nombre producto],TablaProductos[Agrupación]=ProductosPivot!NWZ5)</f>
        <v>#VALUE!</v>
      </c>
      <c r="NXA6" s="68" t="e" cm="1" vm="1">
        <f t="array" ref="NXA6">_xlfn._xlws.FILTER(TablaProductos[Nombre producto],TablaProductos[Agrupación]=ProductosPivot!NXA5)</f>
        <v>#VALUE!</v>
      </c>
      <c r="NXB6" s="68" t="e" cm="1" vm="1">
        <f t="array" ref="NXB6">_xlfn._xlws.FILTER(TablaProductos[Nombre producto],TablaProductos[Agrupación]=ProductosPivot!NXB5)</f>
        <v>#VALUE!</v>
      </c>
      <c r="NXC6" s="68" t="e" cm="1" vm="1">
        <f t="array" ref="NXC6">_xlfn._xlws.FILTER(TablaProductos[Nombre producto],TablaProductos[Agrupación]=ProductosPivot!NXC5)</f>
        <v>#VALUE!</v>
      </c>
      <c r="NXD6" s="68" t="e" cm="1" vm="1">
        <f t="array" ref="NXD6">_xlfn._xlws.FILTER(TablaProductos[Nombre producto],TablaProductos[Agrupación]=ProductosPivot!NXD5)</f>
        <v>#VALUE!</v>
      </c>
      <c r="NXE6" s="68" t="e" cm="1" vm="1">
        <f t="array" ref="NXE6">_xlfn._xlws.FILTER(TablaProductos[Nombre producto],TablaProductos[Agrupación]=ProductosPivot!NXE5)</f>
        <v>#VALUE!</v>
      </c>
      <c r="NXF6" s="68" t="e" cm="1" vm="1">
        <f t="array" ref="NXF6">_xlfn._xlws.FILTER(TablaProductos[Nombre producto],TablaProductos[Agrupación]=ProductosPivot!NXF5)</f>
        <v>#VALUE!</v>
      </c>
      <c r="NXG6" s="68" t="e" cm="1" vm="1">
        <f t="array" ref="NXG6">_xlfn._xlws.FILTER(TablaProductos[Nombre producto],TablaProductos[Agrupación]=ProductosPivot!NXG5)</f>
        <v>#VALUE!</v>
      </c>
      <c r="NXH6" s="68" t="e" cm="1" vm="1">
        <f t="array" ref="NXH6">_xlfn._xlws.FILTER(TablaProductos[Nombre producto],TablaProductos[Agrupación]=ProductosPivot!NXH5)</f>
        <v>#VALUE!</v>
      </c>
      <c r="NXI6" s="68" t="e" cm="1" vm="1">
        <f t="array" ref="NXI6">_xlfn._xlws.FILTER(TablaProductos[Nombre producto],TablaProductos[Agrupación]=ProductosPivot!NXI5)</f>
        <v>#VALUE!</v>
      </c>
      <c r="NXJ6" s="68" t="e" cm="1" vm="1">
        <f t="array" ref="NXJ6">_xlfn._xlws.FILTER(TablaProductos[Nombre producto],TablaProductos[Agrupación]=ProductosPivot!NXJ5)</f>
        <v>#VALUE!</v>
      </c>
      <c r="NXK6" s="68" t="e" cm="1" vm="1">
        <f t="array" ref="NXK6">_xlfn._xlws.FILTER(TablaProductos[Nombre producto],TablaProductos[Agrupación]=ProductosPivot!NXK5)</f>
        <v>#VALUE!</v>
      </c>
      <c r="NXL6" s="68" t="e" cm="1" vm="1">
        <f t="array" ref="NXL6">_xlfn._xlws.FILTER(TablaProductos[Nombre producto],TablaProductos[Agrupación]=ProductosPivot!NXL5)</f>
        <v>#VALUE!</v>
      </c>
      <c r="NXM6" s="68" t="e" cm="1" vm="1">
        <f t="array" ref="NXM6">_xlfn._xlws.FILTER(TablaProductos[Nombre producto],TablaProductos[Agrupación]=ProductosPivot!NXM5)</f>
        <v>#VALUE!</v>
      </c>
      <c r="NXN6" s="68" t="e" cm="1" vm="1">
        <f t="array" ref="NXN6">_xlfn._xlws.FILTER(TablaProductos[Nombre producto],TablaProductos[Agrupación]=ProductosPivot!NXN5)</f>
        <v>#VALUE!</v>
      </c>
      <c r="NXO6" s="68" t="e" cm="1" vm="1">
        <f t="array" ref="NXO6">_xlfn._xlws.FILTER(TablaProductos[Nombre producto],TablaProductos[Agrupación]=ProductosPivot!NXO5)</f>
        <v>#VALUE!</v>
      </c>
      <c r="NXP6" s="68" t="e" cm="1" vm="1">
        <f t="array" ref="NXP6">_xlfn._xlws.FILTER(TablaProductos[Nombre producto],TablaProductos[Agrupación]=ProductosPivot!NXP5)</f>
        <v>#VALUE!</v>
      </c>
      <c r="NXQ6" s="68" t="e" cm="1" vm="1">
        <f t="array" ref="NXQ6">_xlfn._xlws.FILTER(TablaProductos[Nombre producto],TablaProductos[Agrupación]=ProductosPivot!NXQ5)</f>
        <v>#VALUE!</v>
      </c>
      <c r="NXR6" s="68" t="e" cm="1" vm="1">
        <f t="array" ref="NXR6">_xlfn._xlws.FILTER(TablaProductos[Nombre producto],TablaProductos[Agrupación]=ProductosPivot!NXR5)</f>
        <v>#VALUE!</v>
      </c>
      <c r="NXS6" s="68" t="e" cm="1" vm="1">
        <f t="array" ref="NXS6">_xlfn._xlws.FILTER(TablaProductos[Nombre producto],TablaProductos[Agrupación]=ProductosPivot!NXS5)</f>
        <v>#VALUE!</v>
      </c>
      <c r="NXT6" s="68" t="e" cm="1" vm="1">
        <f t="array" ref="NXT6">_xlfn._xlws.FILTER(TablaProductos[Nombre producto],TablaProductos[Agrupación]=ProductosPivot!NXT5)</f>
        <v>#VALUE!</v>
      </c>
      <c r="NXU6" s="68" t="e" cm="1" vm="1">
        <f t="array" ref="NXU6">_xlfn._xlws.FILTER(TablaProductos[Nombre producto],TablaProductos[Agrupación]=ProductosPivot!NXU5)</f>
        <v>#VALUE!</v>
      </c>
      <c r="NXV6" s="68" t="e" cm="1" vm="1">
        <f t="array" ref="NXV6">_xlfn._xlws.FILTER(TablaProductos[Nombre producto],TablaProductos[Agrupación]=ProductosPivot!NXV5)</f>
        <v>#VALUE!</v>
      </c>
      <c r="NXW6" s="68" t="e" cm="1" vm="1">
        <f t="array" ref="NXW6">_xlfn._xlws.FILTER(TablaProductos[Nombre producto],TablaProductos[Agrupación]=ProductosPivot!NXW5)</f>
        <v>#VALUE!</v>
      </c>
      <c r="NXX6" s="68" t="e" cm="1" vm="1">
        <f t="array" ref="NXX6">_xlfn._xlws.FILTER(TablaProductos[Nombre producto],TablaProductos[Agrupación]=ProductosPivot!NXX5)</f>
        <v>#VALUE!</v>
      </c>
      <c r="NXY6" s="68" t="e" cm="1" vm="1">
        <f t="array" ref="NXY6">_xlfn._xlws.FILTER(TablaProductos[Nombre producto],TablaProductos[Agrupación]=ProductosPivot!NXY5)</f>
        <v>#VALUE!</v>
      </c>
      <c r="NXZ6" s="68" t="e" cm="1" vm="1">
        <f t="array" ref="NXZ6">_xlfn._xlws.FILTER(TablaProductos[Nombre producto],TablaProductos[Agrupación]=ProductosPivot!NXZ5)</f>
        <v>#VALUE!</v>
      </c>
      <c r="NYA6" s="68" t="e" cm="1" vm="1">
        <f t="array" ref="NYA6">_xlfn._xlws.FILTER(TablaProductos[Nombre producto],TablaProductos[Agrupación]=ProductosPivot!NYA5)</f>
        <v>#VALUE!</v>
      </c>
      <c r="NYB6" s="68" t="e" cm="1" vm="1">
        <f t="array" ref="NYB6">_xlfn._xlws.FILTER(TablaProductos[Nombre producto],TablaProductos[Agrupación]=ProductosPivot!NYB5)</f>
        <v>#VALUE!</v>
      </c>
      <c r="NYC6" s="68" t="e" cm="1" vm="1">
        <f t="array" ref="NYC6">_xlfn._xlws.FILTER(TablaProductos[Nombre producto],TablaProductos[Agrupación]=ProductosPivot!NYC5)</f>
        <v>#VALUE!</v>
      </c>
      <c r="NYD6" s="68" t="e" cm="1" vm="1">
        <f t="array" ref="NYD6">_xlfn._xlws.FILTER(TablaProductos[Nombre producto],TablaProductos[Agrupación]=ProductosPivot!NYD5)</f>
        <v>#VALUE!</v>
      </c>
      <c r="NYE6" s="68" t="e" cm="1" vm="1">
        <f t="array" ref="NYE6">_xlfn._xlws.FILTER(TablaProductos[Nombre producto],TablaProductos[Agrupación]=ProductosPivot!NYE5)</f>
        <v>#VALUE!</v>
      </c>
      <c r="NYF6" s="68" t="e" cm="1" vm="1">
        <f t="array" ref="NYF6">_xlfn._xlws.FILTER(TablaProductos[Nombre producto],TablaProductos[Agrupación]=ProductosPivot!NYF5)</f>
        <v>#VALUE!</v>
      </c>
      <c r="NYG6" s="68" t="e" cm="1" vm="1">
        <f t="array" ref="NYG6">_xlfn._xlws.FILTER(TablaProductos[Nombre producto],TablaProductos[Agrupación]=ProductosPivot!NYG5)</f>
        <v>#VALUE!</v>
      </c>
      <c r="NYH6" s="68" t="e" cm="1" vm="1">
        <f t="array" ref="NYH6">_xlfn._xlws.FILTER(TablaProductos[Nombre producto],TablaProductos[Agrupación]=ProductosPivot!NYH5)</f>
        <v>#VALUE!</v>
      </c>
      <c r="NYI6" s="68" t="e" cm="1" vm="1">
        <f t="array" ref="NYI6">_xlfn._xlws.FILTER(TablaProductos[Nombre producto],TablaProductos[Agrupación]=ProductosPivot!NYI5)</f>
        <v>#VALUE!</v>
      </c>
      <c r="NYJ6" s="68" t="e" cm="1" vm="1">
        <f t="array" ref="NYJ6">_xlfn._xlws.FILTER(TablaProductos[Nombre producto],TablaProductos[Agrupación]=ProductosPivot!NYJ5)</f>
        <v>#VALUE!</v>
      </c>
      <c r="NYK6" s="68" t="e" cm="1" vm="1">
        <f t="array" ref="NYK6">_xlfn._xlws.FILTER(TablaProductos[Nombre producto],TablaProductos[Agrupación]=ProductosPivot!NYK5)</f>
        <v>#VALUE!</v>
      </c>
      <c r="NYL6" s="68" t="e" cm="1" vm="1">
        <f t="array" ref="NYL6">_xlfn._xlws.FILTER(TablaProductos[Nombre producto],TablaProductos[Agrupación]=ProductosPivot!NYL5)</f>
        <v>#VALUE!</v>
      </c>
      <c r="NYM6" s="68" t="e" cm="1" vm="1">
        <f t="array" ref="NYM6">_xlfn._xlws.FILTER(TablaProductos[Nombre producto],TablaProductos[Agrupación]=ProductosPivot!NYM5)</f>
        <v>#VALUE!</v>
      </c>
      <c r="NYN6" s="68" t="e" cm="1" vm="1">
        <f t="array" ref="NYN6">_xlfn._xlws.FILTER(TablaProductos[Nombre producto],TablaProductos[Agrupación]=ProductosPivot!NYN5)</f>
        <v>#VALUE!</v>
      </c>
      <c r="NYO6" s="68" t="e" cm="1" vm="1">
        <f t="array" ref="NYO6">_xlfn._xlws.FILTER(TablaProductos[Nombre producto],TablaProductos[Agrupación]=ProductosPivot!NYO5)</f>
        <v>#VALUE!</v>
      </c>
      <c r="NYP6" s="68" t="e" cm="1" vm="1">
        <f t="array" ref="NYP6">_xlfn._xlws.FILTER(TablaProductos[Nombre producto],TablaProductos[Agrupación]=ProductosPivot!NYP5)</f>
        <v>#VALUE!</v>
      </c>
      <c r="NYQ6" s="68" t="e" cm="1" vm="1">
        <f t="array" ref="NYQ6">_xlfn._xlws.FILTER(TablaProductos[Nombre producto],TablaProductos[Agrupación]=ProductosPivot!NYQ5)</f>
        <v>#VALUE!</v>
      </c>
      <c r="NYR6" s="68" t="e" cm="1" vm="1">
        <f t="array" ref="NYR6">_xlfn._xlws.FILTER(TablaProductos[Nombre producto],TablaProductos[Agrupación]=ProductosPivot!NYR5)</f>
        <v>#VALUE!</v>
      </c>
      <c r="NYS6" s="68" t="e" cm="1" vm="1">
        <f t="array" ref="NYS6">_xlfn._xlws.FILTER(TablaProductos[Nombre producto],TablaProductos[Agrupación]=ProductosPivot!NYS5)</f>
        <v>#VALUE!</v>
      </c>
      <c r="NYT6" s="68" t="e" cm="1" vm="1">
        <f t="array" ref="NYT6">_xlfn._xlws.FILTER(TablaProductos[Nombre producto],TablaProductos[Agrupación]=ProductosPivot!NYT5)</f>
        <v>#VALUE!</v>
      </c>
      <c r="NYU6" s="68" t="e" cm="1" vm="1">
        <f t="array" ref="NYU6">_xlfn._xlws.FILTER(TablaProductos[Nombre producto],TablaProductos[Agrupación]=ProductosPivot!NYU5)</f>
        <v>#VALUE!</v>
      </c>
      <c r="NYV6" s="68" t="e" cm="1" vm="1">
        <f t="array" ref="NYV6">_xlfn._xlws.FILTER(TablaProductos[Nombre producto],TablaProductos[Agrupación]=ProductosPivot!NYV5)</f>
        <v>#VALUE!</v>
      </c>
      <c r="NYW6" s="68" t="e" cm="1" vm="1">
        <f t="array" ref="NYW6">_xlfn._xlws.FILTER(TablaProductos[Nombre producto],TablaProductos[Agrupación]=ProductosPivot!NYW5)</f>
        <v>#VALUE!</v>
      </c>
      <c r="NYX6" s="68" t="e" cm="1" vm="1">
        <f t="array" ref="NYX6">_xlfn._xlws.FILTER(TablaProductos[Nombre producto],TablaProductos[Agrupación]=ProductosPivot!NYX5)</f>
        <v>#VALUE!</v>
      </c>
      <c r="NYY6" s="68" t="e" cm="1" vm="1">
        <f t="array" ref="NYY6">_xlfn._xlws.FILTER(TablaProductos[Nombre producto],TablaProductos[Agrupación]=ProductosPivot!NYY5)</f>
        <v>#VALUE!</v>
      </c>
      <c r="NYZ6" s="68" t="e" cm="1" vm="1">
        <f t="array" ref="NYZ6">_xlfn._xlws.FILTER(TablaProductos[Nombre producto],TablaProductos[Agrupación]=ProductosPivot!NYZ5)</f>
        <v>#VALUE!</v>
      </c>
      <c r="NZA6" s="68" t="e" cm="1" vm="1">
        <f t="array" ref="NZA6">_xlfn._xlws.FILTER(TablaProductos[Nombre producto],TablaProductos[Agrupación]=ProductosPivot!NZA5)</f>
        <v>#VALUE!</v>
      </c>
      <c r="NZB6" s="68" t="e" cm="1" vm="1">
        <f t="array" ref="NZB6">_xlfn._xlws.FILTER(TablaProductos[Nombre producto],TablaProductos[Agrupación]=ProductosPivot!NZB5)</f>
        <v>#VALUE!</v>
      </c>
      <c r="NZC6" s="68" t="e" cm="1" vm="1">
        <f t="array" ref="NZC6">_xlfn._xlws.FILTER(TablaProductos[Nombre producto],TablaProductos[Agrupación]=ProductosPivot!NZC5)</f>
        <v>#VALUE!</v>
      </c>
      <c r="NZD6" s="68" t="e" cm="1" vm="1">
        <f t="array" ref="NZD6">_xlfn._xlws.FILTER(TablaProductos[Nombre producto],TablaProductos[Agrupación]=ProductosPivot!NZD5)</f>
        <v>#VALUE!</v>
      </c>
      <c r="NZE6" s="68" t="e" cm="1" vm="1">
        <f t="array" ref="NZE6">_xlfn._xlws.FILTER(TablaProductos[Nombre producto],TablaProductos[Agrupación]=ProductosPivot!NZE5)</f>
        <v>#VALUE!</v>
      </c>
      <c r="NZF6" s="68" t="e" cm="1" vm="1">
        <f t="array" ref="NZF6">_xlfn._xlws.FILTER(TablaProductos[Nombre producto],TablaProductos[Agrupación]=ProductosPivot!NZF5)</f>
        <v>#VALUE!</v>
      </c>
      <c r="NZG6" s="68" t="e" cm="1" vm="1">
        <f t="array" ref="NZG6">_xlfn._xlws.FILTER(TablaProductos[Nombre producto],TablaProductos[Agrupación]=ProductosPivot!NZG5)</f>
        <v>#VALUE!</v>
      </c>
      <c r="NZH6" s="68" t="e" cm="1" vm="1">
        <f t="array" ref="NZH6">_xlfn._xlws.FILTER(TablaProductos[Nombre producto],TablaProductos[Agrupación]=ProductosPivot!NZH5)</f>
        <v>#VALUE!</v>
      </c>
      <c r="NZI6" s="68" t="e" cm="1" vm="1">
        <f t="array" ref="NZI6">_xlfn._xlws.FILTER(TablaProductos[Nombre producto],TablaProductos[Agrupación]=ProductosPivot!NZI5)</f>
        <v>#VALUE!</v>
      </c>
      <c r="NZJ6" s="68" t="e" cm="1" vm="1">
        <f t="array" ref="NZJ6">_xlfn._xlws.FILTER(TablaProductos[Nombre producto],TablaProductos[Agrupación]=ProductosPivot!NZJ5)</f>
        <v>#VALUE!</v>
      </c>
      <c r="NZK6" s="68" t="e" cm="1" vm="1">
        <f t="array" ref="NZK6">_xlfn._xlws.FILTER(TablaProductos[Nombre producto],TablaProductos[Agrupación]=ProductosPivot!NZK5)</f>
        <v>#VALUE!</v>
      </c>
      <c r="NZL6" s="68" t="e" cm="1" vm="1">
        <f t="array" ref="NZL6">_xlfn._xlws.FILTER(TablaProductos[Nombre producto],TablaProductos[Agrupación]=ProductosPivot!NZL5)</f>
        <v>#VALUE!</v>
      </c>
      <c r="NZM6" s="68" t="e" cm="1" vm="1">
        <f t="array" ref="NZM6">_xlfn._xlws.FILTER(TablaProductos[Nombre producto],TablaProductos[Agrupación]=ProductosPivot!NZM5)</f>
        <v>#VALUE!</v>
      </c>
      <c r="NZN6" s="68" t="e" cm="1" vm="1">
        <f t="array" ref="NZN6">_xlfn._xlws.FILTER(TablaProductos[Nombre producto],TablaProductos[Agrupación]=ProductosPivot!NZN5)</f>
        <v>#VALUE!</v>
      </c>
      <c r="NZO6" s="68" t="e" cm="1" vm="1">
        <f t="array" ref="NZO6">_xlfn._xlws.FILTER(TablaProductos[Nombre producto],TablaProductos[Agrupación]=ProductosPivot!NZO5)</f>
        <v>#VALUE!</v>
      </c>
      <c r="NZP6" s="68" t="e" cm="1" vm="1">
        <f t="array" ref="NZP6">_xlfn._xlws.FILTER(TablaProductos[Nombre producto],TablaProductos[Agrupación]=ProductosPivot!NZP5)</f>
        <v>#VALUE!</v>
      </c>
      <c r="NZQ6" s="68" t="e" cm="1" vm="1">
        <f t="array" ref="NZQ6">_xlfn._xlws.FILTER(TablaProductos[Nombre producto],TablaProductos[Agrupación]=ProductosPivot!NZQ5)</f>
        <v>#VALUE!</v>
      </c>
      <c r="NZR6" s="68" t="e" cm="1" vm="1">
        <f t="array" ref="NZR6">_xlfn._xlws.FILTER(TablaProductos[Nombre producto],TablaProductos[Agrupación]=ProductosPivot!NZR5)</f>
        <v>#VALUE!</v>
      </c>
      <c r="NZS6" s="68" t="e" cm="1" vm="1">
        <f t="array" ref="NZS6">_xlfn._xlws.FILTER(TablaProductos[Nombre producto],TablaProductos[Agrupación]=ProductosPivot!NZS5)</f>
        <v>#VALUE!</v>
      </c>
      <c r="NZT6" s="68" t="e" cm="1" vm="1">
        <f t="array" ref="NZT6">_xlfn._xlws.FILTER(TablaProductos[Nombre producto],TablaProductos[Agrupación]=ProductosPivot!NZT5)</f>
        <v>#VALUE!</v>
      </c>
      <c r="NZU6" s="68" t="e" cm="1" vm="1">
        <f t="array" ref="NZU6">_xlfn._xlws.FILTER(TablaProductos[Nombre producto],TablaProductos[Agrupación]=ProductosPivot!NZU5)</f>
        <v>#VALUE!</v>
      </c>
      <c r="NZV6" s="68" t="e" cm="1" vm="1">
        <f t="array" ref="NZV6">_xlfn._xlws.FILTER(TablaProductos[Nombre producto],TablaProductos[Agrupación]=ProductosPivot!NZV5)</f>
        <v>#VALUE!</v>
      </c>
      <c r="NZW6" s="68" t="e" cm="1" vm="1">
        <f t="array" ref="NZW6">_xlfn._xlws.FILTER(TablaProductos[Nombre producto],TablaProductos[Agrupación]=ProductosPivot!NZW5)</f>
        <v>#VALUE!</v>
      </c>
      <c r="NZX6" s="68" t="e" cm="1" vm="1">
        <f t="array" ref="NZX6">_xlfn._xlws.FILTER(TablaProductos[Nombre producto],TablaProductos[Agrupación]=ProductosPivot!NZX5)</f>
        <v>#VALUE!</v>
      </c>
      <c r="NZY6" s="68" t="e" cm="1" vm="1">
        <f t="array" ref="NZY6">_xlfn._xlws.FILTER(TablaProductos[Nombre producto],TablaProductos[Agrupación]=ProductosPivot!NZY5)</f>
        <v>#VALUE!</v>
      </c>
      <c r="NZZ6" s="68" t="e" cm="1" vm="1">
        <f t="array" ref="NZZ6">_xlfn._xlws.FILTER(TablaProductos[Nombre producto],TablaProductos[Agrupación]=ProductosPivot!NZZ5)</f>
        <v>#VALUE!</v>
      </c>
      <c r="OAA6" s="68" t="e" cm="1" vm="1">
        <f t="array" ref="OAA6">_xlfn._xlws.FILTER(TablaProductos[Nombre producto],TablaProductos[Agrupación]=ProductosPivot!OAA5)</f>
        <v>#VALUE!</v>
      </c>
      <c r="OAB6" s="68" t="e" cm="1" vm="1">
        <f t="array" ref="OAB6">_xlfn._xlws.FILTER(TablaProductos[Nombre producto],TablaProductos[Agrupación]=ProductosPivot!OAB5)</f>
        <v>#VALUE!</v>
      </c>
      <c r="OAC6" s="68" t="e" cm="1" vm="1">
        <f t="array" ref="OAC6">_xlfn._xlws.FILTER(TablaProductos[Nombre producto],TablaProductos[Agrupación]=ProductosPivot!OAC5)</f>
        <v>#VALUE!</v>
      </c>
      <c r="OAD6" s="68" t="e" cm="1" vm="1">
        <f t="array" ref="OAD6">_xlfn._xlws.FILTER(TablaProductos[Nombre producto],TablaProductos[Agrupación]=ProductosPivot!OAD5)</f>
        <v>#VALUE!</v>
      </c>
      <c r="OAE6" s="68" t="e" cm="1" vm="1">
        <f t="array" ref="OAE6">_xlfn._xlws.FILTER(TablaProductos[Nombre producto],TablaProductos[Agrupación]=ProductosPivot!OAE5)</f>
        <v>#VALUE!</v>
      </c>
      <c r="OAF6" s="68" t="e" cm="1" vm="1">
        <f t="array" ref="OAF6">_xlfn._xlws.FILTER(TablaProductos[Nombre producto],TablaProductos[Agrupación]=ProductosPivot!OAF5)</f>
        <v>#VALUE!</v>
      </c>
      <c r="OAG6" s="68" t="e" cm="1" vm="1">
        <f t="array" ref="OAG6">_xlfn._xlws.FILTER(TablaProductos[Nombre producto],TablaProductos[Agrupación]=ProductosPivot!OAG5)</f>
        <v>#VALUE!</v>
      </c>
      <c r="OAH6" s="68" t="e" cm="1" vm="1">
        <f t="array" ref="OAH6">_xlfn._xlws.FILTER(TablaProductos[Nombre producto],TablaProductos[Agrupación]=ProductosPivot!OAH5)</f>
        <v>#VALUE!</v>
      </c>
      <c r="OAI6" s="68" t="e" cm="1" vm="1">
        <f t="array" ref="OAI6">_xlfn._xlws.FILTER(TablaProductos[Nombre producto],TablaProductos[Agrupación]=ProductosPivot!OAI5)</f>
        <v>#VALUE!</v>
      </c>
      <c r="OAJ6" s="68" t="e" cm="1" vm="1">
        <f t="array" ref="OAJ6">_xlfn._xlws.FILTER(TablaProductos[Nombre producto],TablaProductos[Agrupación]=ProductosPivot!OAJ5)</f>
        <v>#VALUE!</v>
      </c>
      <c r="OAK6" s="68" t="e" cm="1" vm="1">
        <f t="array" ref="OAK6">_xlfn._xlws.FILTER(TablaProductos[Nombre producto],TablaProductos[Agrupación]=ProductosPivot!OAK5)</f>
        <v>#VALUE!</v>
      </c>
      <c r="OAL6" s="68" t="e" cm="1" vm="1">
        <f t="array" ref="OAL6">_xlfn._xlws.FILTER(TablaProductos[Nombre producto],TablaProductos[Agrupación]=ProductosPivot!OAL5)</f>
        <v>#VALUE!</v>
      </c>
      <c r="OAM6" s="68" t="e" cm="1" vm="1">
        <f t="array" ref="OAM6">_xlfn._xlws.FILTER(TablaProductos[Nombre producto],TablaProductos[Agrupación]=ProductosPivot!OAM5)</f>
        <v>#VALUE!</v>
      </c>
      <c r="OAN6" s="68" t="e" cm="1" vm="1">
        <f t="array" ref="OAN6">_xlfn._xlws.FILTER(TablaProductos[Nombre producto],TablaProductos[Agrupación]=ProductosPivot!OAN5)</f>
        <v>#VALUE!</v>
      </c>
      <c r="OAO6" s="68" t="e" cm="1" vm="1">
        <f t="array" ref="OAO6">_xlfn._xlws.FILTER(TablaProductos[Nombre producto],TablaProductos[Agrupación]=ProductosPivot!OAO5)</f>
        <v>#VALUE!</v>
      </c>
      <c r="OAP6" s="68" t="e" cm="1" vm="1">
        <f t="array" ref="OAP6">_xlfn._xlws.FILTER(TablaProductos[Nombre producto],TablaProductos[Agrupación]=ProductosPivot!OAP5)</f>
        <v>#VALUE!</v>
      </c>
      <c r="OAQ6" s="68" t="e" cm="1" vm="1">
        <f t="array" ref="OAQ6">_xlfn._xlws.FILTER(TablaProductos[Nombre producto],TablaProductos[Agrupación]=ProductosPivot!OAQ5)</f>
        <v>#VALUE!</v>
      </c>
      <c r="OAR6" s="68" t="e" cm="1" vm="1">
        <f t="array" ref="OAR6">_xlfn._xlws.FILTER(TablaProductos[Nombre producto],TablaProductos[Agrupación]=ProductosPivot!OAR5)</f>
        <v>#VALUE!</v>
      </c>
      <c r="OAS6" s="68" t="e" cm="1" vm="1">
        <f t="array" ref="OAS6">_xlfn._xlws.FILTER(TablaProductos[Nombre producto],TablaProductos[Agrupación]=ProductosPivot!OAS5)</f>
        <v>#VALUE!</v>
      </c>
      <c r="OAT6" s="68" t="e" cm="1" vm="1">
        <f t="array" ref="OAT6">_xlfn._xlws.FILTER(TablaProductos[Nombre producto],TablaProductos[Agrupación]=ProductosPivot!OAT5)</f>
        <v>#VALUE!</v>
      </c>
      <c r="OAU6" s="68" t="e" cm="1" vm="1">
        <f t="array" ref="OAU6">_xlfn._xlws.FILTER(TablaProductos[Nombre producto],TablaProductos[Agrupación]=ProductosPivot!OAU5)</f>
        <v>#VALUE!</v>
      </c>
      <c r="OAV6" s="68" t="e" cm="1" vm="1">
        <f t="array" ref="OAV6">_xlfn._xlws.FILTER(TablaProductos[Nombre producto],TablaProductos[Agrupación]=ProductosPivot!OAV5)</f>
        <v>#VALUE!</v>
      </c>
      <c r="OAW6" s="68" t="e" cm="1" vm="1">
        <f t="array" ref="OAW6">_xlfn._xlws.FILTER(TablaProductos[Nombre producto],TablaProductos[Agrupación]=ProductosPivot!OAW5)</f>
        <v>#VALUE!</v>
      </c>
      <c r="OAX6" s="68" t="e" cm="1" vm="1">
        <f t="array" ref="OAX6">_xlfn._xlws.FILTER(TablaProductos[Nombre producto],TablaProductos[Agrupación]=ProductosPivot!OAX5)</f>
        <v>#VALUE!</v>
      </c>
      <c r="OAY6" s="68" t="e" cm="1" vm="1">
        <f t="array" ref="OAY6">_xlfn._xlws.FILTER(TablaProductos[Nombre producto],TablaProductos[Agrupación]=ProductosPivot!OAY5)</f>
        <v>#VALUE!</v>
      </c>
      <c r="OAZ6" s="68" t="e" cm="1" vm="1">
        <f t="array" ref="OAZ6">_xlfn._xlws.FILTER(TablaProductos[Nombre producto],TablaProductos[Agrupación]=ProductosPivot!OAZ5)</f>
        <v>#VALUE!</v>
      </c>
      <c r="OBA6" s="68" t="e" cm="1" vm="1">
        <f t="array" ref="OBA6">_xlfn._xlws.FILTER(TablaProductos[Nombre producto],TablaProductos[Agrupación]=ProductosPivot!OBA5)</f>
        <v>#VALUE!</v>
      </c>
      <c r="OBB6" s="68" t="e" cm="1" vm="1">
        <f t="array" ref="OBB6">_xlfn._xlws.FILTER(TablaProductos[Nombre producto],TablaProductos[Agrupación]=ProductosPivot!OBB5)</f>
        <v>#VALUE!</v>
      </c>
      <c r="OBC6" s="68" t="e" cm="1" vm="1">
        <f t="array" ref="OBC6">_xlfn._xlws.FILTER(TablaProductos[Nombre producto],TablaProductos[Agrupación]=ProductosPivot!OBC5)</f>
        <v>#VALUE!</v>
      </c>
      <c r="OBD6" s="68" t="e" cm="1" vm="1">
        <f t="array" ref="OBD6">_xlfn._xlws.FILTER(TablaProductos[Nombre producto],TablaProductos[Agrupación]=ProductosPivot!OBD5)</f>
        <v>#VALUE!</v>
      </c>
      <c r="OBE6" s="68" t="e" cm="1" vm="1">
        <f t="array" ref="OBE6">_xlfn._xlws.FILTER(TablaProductos[Nombre producto],TablaProductos[Agrupación]=ProductosPivot!OBE5)</f>
        <v>#VALUE!</v>
      </c>
      <c r="OBF6" s="68" t="e" cm="1" vm="1">
        <f t="array" ref="OBF6">_xlfn._xlws.FILTER(TablaProductos[Nombre producto],TablaProductos[Agrupación]=ProductosPivot!OBF5)</f>
        <v>#VALUE!</v>
      </c>
      <c r="OBG6" s="68" t="e" cm="1" vm="1">
        <f t="array" ref="OBG6">_xlfn._xlws.FILTER(TablaProductos[Nombre producto],TablaProductos[Agrupación]=ProductosPivot!OBG5)</f>
        <v>#VALUE!</v>
      </c>
      <c r="OBH6" s="68" t="e" cm="1" vm="1">
        <f t="array" ref="OBH6">_xlfn._xlws.FILTER(TablaProductos[Nombre producto],TablaProductos[Agrupación]=ProductosPivot!OBH5)</f>
        <v>#VALUE!</v>
      </c>
      <c r="OBI6" s="68" t="e" cm="1" vm="1">
        <f t="array" ref="OBI6">_xlfn._xlws.FILTER(TablaProductos[Nombre producto],TablaProductos[Agrupación]=ProductosPivot!OBI5)</f>
        <v>#VALUE!</v>
      </c>
      <c r="OBJ6" s="68" t="e" cm="1" vm="1">
        <f t="array" ref="OBJ6">_xlfn._xlws.FILTER(TablaProductos[Nombre producto],TablaProductos[Agrupación]=ProductosPivot!OBJ5)</f>
        <v>#VALUE!</v>
      </c>
      <c r="OBK6" s="68" t="e" cm="1" vm="1">
        <f t="array" ref="OBK6">_xlfn._xlws.FILTER(TablaProductos[Nombre producto],TablaProductos[Agrupación]=ProductosPivot!OBK5)</f>
        <v>#VALUE!</v>
      </c>
      <c r="OBL6" s="68" t="e" cm="1" vm="1">
        <f t="array" ref="OBL6">_xlfn._xlws.FILTER(TablaProductos[Nombre producto],TablaProductos[Agrupación]=ProductosPivot!OBL5)</f>
        <v>#VALUE!</v>
      </c>
      <c r="OBM6" s="68" t="e" cm="1" vm="1">
        <f t="array" ref="OBM6">_xlfn._xlws.FILTER(TablaProductos[Nombre producto],TablaProductos[Agrupación]=ProductosPivot!OBM5)</f>
        <v>#VALUE!</v>
      </c>
      <c r="OBN6" s="68" t="e" cm="1" vm="1">
        <f t="array" ref="OBN6">_xlfn._xlws.FILTER(TablaProductos[Nombre producto],TablaProductos[Agrupación]=ProductosPivot!OBN5)</f>
        <v>#VALUE!</v>
      </c>
      <c r="OBO6" s="68" t="e" cm="1" vm="1">
        <f t="array" ref="OBO6">_xlfn._xlws.FILTER(TablaProductos[Nombre producto],TablaProductos[Agrupación]=ProductosPivot!OBO5)</f>
        <v>#VALUE!</v>
      </c>
      <c r="OBP6" s="68" t="e" cm="1" vm="1">
        <f t="array" ref="OBP6">_xlfn._xlws.FILTER(TablaProductos[Nombre producto],TablaProductos[Agrupación]=ProductosPivot!OBP5)</f>
        <v>#VALUE!</v>
      </c>
      <c r="OBQ6" s="68" t="e" cm="1" vm="1">
        <f t="array" ref="OBQ6">_xlfn._xlws.FILTER(TablaProductos[Nombre producto],TablaProductos[Agrupación]=ProductosPivot!OBQ5)</f>
        <v>#VALUE!</v>
      </c>
      <c r="OBR6" s="68" t="e" cm="1" vm="1">
        <f t="array" ref="OBR6">_xlfn._xlws.FILTER(TablaProductos[Nombre producto],TablaProductos[Agrupación]=ProductosPivot!OBR5)</f>
        <v>#VALUE!</v>
      </c>
      <c r="OBS6" s="68" t="e" cm="1" vm="1">
        <f t="array" ref="OBS6">_xlfn._xlws.FILTER(TablaProductos[Nombre producto],TablaProductos[Agrupación]=ProductosPivot!OBS5)</f>
        <v>#VALUE!</v>
      </c>
      <c r="OBT6" s="68" t="e" cm="1" vm="1">
        <f t="array" ref="OBT6">_xlfn._xlws.FILTER(TablaProductos[Nombre producto],TablaProductos[Agrupación]=ProductosPivot!OBT5)</f>
        <v>#VALUE!</v>
      </c>
      <c r="OBU6" s="68" t="e" cm="1" vm="1">
        <f t="array" ref="OBU6">_xlfn._xlws.FILTER(TablaProductos[Nombre producto],TablaProductos[Agrupación]=ProductosPivot!OBU5)</f>
        <v>#VALUE!</v>
      </c>
      <c r="OBV6" s="68" t="e" cm="1" vm="1">
        <f t="array" ref="OBV6">_xlfn._xlws.FILTER(TablaProductos[Nombre producto],TablaProductos[Agrupación]=ProductosPivot!OBV5)</f>
        <v>#VALUE!</v>
      </c>
      <c r="OBW6" s="68" t="e" cm="1" vm="1">
        <f t="array" ref="OBW6">_xlfn._xlws.FILTER(TablaProductos[Nombre producto],TablaProductos[Agrupación]=ProductosPivot!OBW5)</f>
        <v>#VALUE!</v>
      </c>
      <c r="OBX6" s="68" t="e" cm="1" vm="1">
        <f t="array" ref="OBX6">_xlfn._xlws.FILTER(TablaProductos[Nombre producto],TablaProductos[Agrupación]=ProductosPivot!OBX5)</f>
        <v>#VALUE!</v>
      </c>
      <c r="OBY6" s="68" t="e" cm="1" vm="1">
        <f t="array" ref="OBY6">_xlfn._xlws.FILTER(TablaProductos[Nombre producto],TablaProductos[Agrupación]=ProductosPivot!OBY5)</f>
        <v>#VALUE!</v>
      </c>
      <c r="OBZ6" s="68" t="e" cm="1" vm="1">
        <f t="array" ref="OBZ6">_xlfn._xlws.FILTER(TablaProductos[Nombre producto],TablaProductos[Agrupación]=ProductosPivot!OBZ5)</f>
        <v>#VALUE!</v>
      </c>
      <c r="OCA6" s="68" t="e" cm="1" vm="1">
        <f t="array" ref="OCA6">_xlfn._xlws.FILTER(TablaProductos[Nombre producto],TablaProductos[Agrupación]=ProductosPivot!OCA5)</f>
        <v>#VALUE!</v>
      </c>
      <c r="OCB6" s="68" t="e" cm="1" vm="1">
        <f t="array" ref="OCB6">_xlfn._xlws.FILTER(TablaProductos[Nombre producto],TablaProductos[Agrupación]=ProductosPivot!OCB5)</f>
        <v>#VALUE!</v>
      </c>
      <c r="OCC6" s="68" t="e" cm="1" vm="1">
        <f t="array" ref="OCC6">_xlfn._xlws.FILTER(TablaProductos[Nombre producto],TablaProductos[Agrupación]=ProductosPivot!OCC5)</f>
        <v>#VALUE!</v>
      </c>
      <c r="OCD6" s="68" t="e" cm="1" vm="1">
        <f t="array" ref="OCD6">_xlfn._xlws.FILTER(TablaProductos[Nombre producto],TablaProductos[Agrupación]=ProductosPivot!OCD5)</f>
        <v>#VALUE!</v>
      </c>
      <c r="OCE6" s="68" t="e" cm="1" vm="1">
        <f t="array" ref="OCE6">_xlfn._xlws.FILTER(TablaProductos[Nombre producto],TablaProductos[Agrupación]=ProductosPivot!OCE5)</f>
        <v>#VALUE!</v>
      </c>
      <c r="OCF6" s="68" t="e" cm="1" vm="1">
        <f t="array" ref="OCF6">_xlfn._xlws.FILTER(TablaProductos[Nombre producto],TablaProductos[Agrupación]=ProductosPivot!OCF5)</f>
        <v>#VALUE!</v>
      </c>
      <c r="OCG6" s="68" t="e" cm="1" vm="1">
        <f t="array" ref="OCG6">_xlfn._xlws.FILTER(TablaProductos[Nombre producto],TablaProductos[Agrupación]=ProductosPivot!OCG5)</f>
        <v>#VALUE!</v>
      </c>
      <c r="OCH6" s="68" t="e" cm="1" vm="1">
        <f t="array" ref="OCH6">_xlfn._xlws.FILTER(TablaProductos[Nombre producto],TablaProductos[Agrupación]=ProductosPivot!OCH5)</f>
        <v>#VALUE!</v>
      </c>
      <c r="OCI6" s="68" t="e" cm="1" vm="1">
        <f t="array" ref="OCI6">_xlfn._xlws.FILTER(TablaProductos[Nombre producto],TablaProductos[Agrupación]=ProductosPivot!OCI5)</f>
        <v>#VALUE!</v>
      </c>
      <c r="OCJ6" s="68" t="e" cm="1" vm="1">
        <f t="array" ref="OCJ6">_xlfn._xlws.FILTER(TablaProductos[Nombre producto],TablaProductos[Agrupación]=ProductosPivot!OCJ5)</f>
        <v>#VALUE!</v>
      </c>
      <c r="OCK6" s="68" t="e" cm="1" vm="1">
        <f t="array" ref="OCK6">_xlfn._xlws.FILTER(TablaProductos[Nombre producto],TablaProductos[Agrupación]=ProductosPivot!OCK5)</f>
        <v>#VALUE!</v>
      </c>
      <c r="OCL6" s="68" t="e" cm="1" vm="1">
        <f t="array" ref="OCL6">_xlfn._xlws.FILTER(TablaProductos[Nombre producto],TablaProductos[Agrupación]=ProductosPivot!OCL5)</f>
        <v>#VALUE!</v>
      </c>
      <c r="OCM6" s="68" t="e" cm="1" vm="1">
        <f t="array" ref="OCM6">_xlfn._xlws.FILTER(TablaProductos[Nombre producto],TablaProductos[Agrupación]=ProductosPivot!OCM5)</f>
        <v>#VALUE!</v>
      </c>
      <c r="OCN6" s="68" t="e" cm="1" vm="1">
        <f t="array" ref="OCN6">_xlfn._xlws.FILTER(TablaProductos[Nombre producto],TablaProductos[Agrupación]=ProductosPivot!OCN5)</f>
        <v>#VALUE!</v>
      </c>
      <c r="OCO6" s="68" t="e" cm="1" vm="1">
        <f t="array" ref="OCO6">_xlfn._xlws.FILTER(TablaProductos[Nombre producto],TablaProductos[Agrupación]=ProductosPivot!OCO5)</f>
        <v>#VALUE!</v>
      </c>
      <c r="OCP6" s="68" t="e" cm="1" vm="1">
        <f t="array" ref="OCP6">_xlfn._xlws.FILTER(TablaProductos[Nombre producto],TablaProductos[Agrupación]=ProductosPivot!OCP5)</f>
        <v>#VALUE!</v>
      </c>
      <c r="OCQ6" s="68" t="e" cm="1" vm="1">
        <f t="array" ref="OCQ6">_xlfn._xlws.FILTER(TablaProductos[Nombre producto],TablaProductos[Agrupación]=ProductosPivot!OCQ5)</f>
        <v>#VALUE!</v>
      </c>
      <c r="OCR6" s="68" t="e" cm="1" vm="1">
        <f t="array" ref="OCR6">_xlfn._xlws.FILTER(TablaProductos[Nombre producto],TablaProductos[Agrupación]=ProductosPivot!OCR5)</f>
        <v>#VALUE!</v>
      </c>
      <c r="OCS6" s="68" t="e" cm="1" vm="1">
        <f t="array" ref="OCS6">_xlfn._xlws.FILTER(TablaProductos[Nombre producto],TablaProductos[Agrupación]=ProductosPivot!OCS5)</f>
        <v>#VALUE!</v>
      </c>
      <c r="OCT6" s="68" t="e" cm="1" vm="1">
        <f t="array" ref="OCT6">_xlfn._xlws.FILTER(TablaProductos[Nombre producto],TablaProductos[Agrupación]=ProductosPivot!OCT5)</f>
        <v>#VALUE!</v>
      </c>
      <c r="OCU6" s="68" t="e" cm="1" vm="1">
        <f t="array" ref="OCU6">_xlfn._xlws.FILTER(TablaProductos[Nombre producto],TablaProductos[Agrupación]=ProductosPivot!OCU5)</f>
        <v>#VALUE!</v>
      </c>
      <c r="OCV6" s="68" t="e" cm="1" vm="1">
        <f t="array" ref="OCV6">_xlfn._xlws.FILTER(TablaProductos[Nombre producto],TablaProductos[Agrupación]=ProductosPivot!OCV5)</f>
        <v>#VALUE!</v>
      </c>
      <c r="OCW6" s="68" t="e" cm="1" vm="1">
        <f t="array" ref="OCW6">_xlfn._xlws.FILTER(TablaProductos[Nombre producto],TablaProductos[Agrupación]=ProductosPivot!OCW5)</f>
        <v>#VALUE!</v>
      </c>
      <c r="OCX6" s="68" t="e" cm="1" vm="1">
        <f t="array" ref="OCX6">_xlfn._xlws.FILTER(TablaProductos[Nombre producto],TablaProductos[Agrupación]=ProductosPivot!OCX5)</f>
        <v>#VALUE!</v>
      </c>
      <c r="OCY6" s="68" t="e" cm="1" vm="1">
        <f t="array" ref="OCY6">_xlfn._xlws.FILTER(TablaProductos[Nombre producto],TablaProductos[Agrupación]=ProductosPivot!OCY5)</f>
        <v>#VALUE!</v>
      </c>
      <c r="OCZ6" s="68" t="e" cm="1" vm="1">
        <f t="array" ref="OCZ6">_xlfn._xlws.FILTER(TablaProductos[Nombre producto],TablaProductos[Agrupación]=ProductosPivot!OCZ5)</f>
        <v>#VALUE!</v>
      </c>
      <c r="ODA6" s="68" t="e" cm="1" vm="1">
        <f t="array" ref="ODA6">_xlfn._xlws.FILTER(TablaProductos[Nombre producto],TablaProductos[Agrupación]=ProductosPivot!ODA5)</f>
        <v>#VALUE!</v>
      </c>
      <c r="ODB6" s="68" t="e" cm="1" vm="1">
        <f t="array" ref="ODB6">_xlfn._xlws.FILTER(TablaProductos[Nombre producto],TablaProductos[Agrupación]=ProductosPivot!ODB5)</f>
        <v>#VALUE!</v>
      </c>
      <c r="ODC6" s="68" t="e" cm="1" vm="1">
        <f t="array" ref="ODC6">_xlfn._xlws.FILTER(TablaProductos[Nombre producto],TablaProductos[Agrupación]=ProductosPivot!ODC5)</f>
        <v>#VALUE!</v>
      </c>
      <c r="ODD6" s="68" t="e" cm="1" vm="1">
        <f t="array" ref="ODD6">_xlfn._xlws.FILTER(TablaProductos[Nombre producto],TablaProductos[Agrupación]=ProductosPivot!ODD5)</f>
        <v>#VALUE!</v>
      </c>
      <c r="ODE6" s="68" t="e" cm="1" vm="1">
        <f t="array" ref="ODE6">_xlfn._xlws.FILTER(TablaProductos[Nombre producto],TablaProductos[Agrupación]=ProductosPivot!ODE5)</f>
        <v>#VALUE!</v>
      </c>
      <c r="ODF6" s="68" t="e" cm="1" vm="1">
        <f t="array" ref="ODF6">_xlfn._xlws.FILTER(TablaProductos[Nombre producto],TablaProductos[Agrupación]=ProductosPivot!ODF5)</f>
        <v>#VALUE!</v>
      </c>
      <c r="ODG6" s="68" t="e" cm="1" vm="1">
        <f t="array" ref="ODG6">_xlfn._xlws.FILTER(TablaProductos[Nombre producto],TablaProductos[Agrupación]=ProductosPivot!ODG5)</f>
        <v>#VALUE!</v>
      </c>
      <c r="ODH6" s="68" t="e" cm="1" vm="1">
        <f t="array" ref="ODH6">_xlfn._xlws.FILTER(TablaProductos[Nombre producto],TablaProductos[Agrupación]=ProductosPivot!ODH5)</f>
        <v>#VALUE!</v>
      </c>
      <c r="ODI6" s="68" t="e" cm="1" vm="1">
        <f t="array" ref="ODI6">_xlfn._xlws.FILTER(TablaProductos[Nombre producto],TablaProductos[Agrupación]=ProductosPivot!ODI5)</f>
        <v>#VALUE!</v>
      </c>
      <c r="ODJ6" s="68" t="e" cm="1" vm="1">
        <f t="array" ref="ODJ6">_xlfn._xlws.FILTER(TablaProductos[Nombre producto],TablaProductos[Agrupación]=ProductosPivot!ODJ5)</f>
        <v>#VALUE!</v>
      </c>
      <c r="ODK6" s="68" t="e" cm="1" vm="1">
        <f t="array" ref="ODK6">_xlfn._xlws.FILTER(TablaProductos[Nombre producto],TablaProductos[Agrupación]=ProductosPivot!ODK5)</f>
        <v>#VALUE!</v>
      </c>
      <c r="ODL6" s="68" t="e" cm="1" vm="1">
        <f t="array" ref="ODL6">_xlfn._xlws.FILTER(TablaProductos[Nombre producto],TablaProductos[Agrupación]=ProductosPivot!ODL5)</f>
        <v>#VALUE!</v>
      </c>
      <c r="ODM6" s="68" t="e" cm="1" vm="1">
        <f t="array" ref="ODM6">_xlfn._xlws.FILTER(TablaProductos[Nombre producto],TablaProductos[Agrupación]=ProductosPivot!ODM5)</f>
        <v>#VALUE!</v>
      </c>
      <c r="ODN6" s="68" t="e" cm="1" vm="1">
        <f t="array" ref="ODN6">_xlfn._xlws.FILTER(TablaProductos[Nombre producto],TablaProductos[Agrupación]=ProductosPivot!ODN5)</f>
        <v>#VALUE!</v>
      </c>
      <c r="ODO6" s="68" t="e" cm="1" vm="1">
        <f t="array" ref="ODO6">_xlfn._xlws.FILTER(TablaProductos[Nombre producto],TablaProductos[Agrupación]=ProductosPivot!ODO5)</f>
        <v>#VALUE!</v>
      </c>
      <c r="ODP6" s="68" t="e" cm="1" vm="1">
        <f t="array" ref="ODP6">_xlfn._xlws.FILTER(TablaProductos[Nombre producto],TablaProductos[Agrupación]=ProductosPivot!ODP5)</f>
        <v>#VALUE!</v>
      </c>
      <c r="ODQ6" s="68" t="e" cm="1" vm="1">
        <f t="array" ref="ODQ6">_xlfn._xlws.FILTER(TablaProductos[Nombre producto],TablaProductos[Agrupación]=ProductosPivot!ODQ5)</f>
        <v>#VALUE!</v>
      </c>
      <c r="ODR6" s="68" t="e" cm="1" vm="1">
        <f t="array" ref="ODR6">_xlfn._xlws.FILTER(TablaProductos[Nombre producto],TablaProductos[Agrupación]=ProductosPivot!ODR5)</f>
        <v>#VALUE!</v>
      </c>
      <c r="ODS6" s="68" t="e" cm="1" vm="1">
        <f t="array" ref="ODS6">_xlfn._xlws.FILTER(TablaProductos[Nombre producto],TablaProductos[Agrupación]=ProductosPivot!ODS5)</f>
        <v>#VALUE!</v>
      </c>
      <c r="ODT6" s="68" t="e" cm="1" vm="1">
        <f t="array" ref="ODT6">_xlfn._xlws.FILTER(TablaProductos[Nombre producto],TablaProductos[Agrupación]=ProductosPivot!ODT5)</f>
        <v>#VALUE!</v>
      </c>
      <c r="ODU6" s="68" t="e" cm="1" vm="1">
        <f t="array" ref="ODU6">_xlfn._xlws.FILTER(TablaProductos[Nombre producto],TablaProductos[Agrupación]=ProductosPivot!ODU5)</f>
        <v>#VALUE!</v>
      </c>
      <c r="ODV6" s="68" t="e" cm="1" vm="1">
        <f t="array" ref="ODV6">_xlfn._xlws.FILTER(TablaProductos[Nombre producto],TablaProductos[Agrupación]=ProductosPivot!ODV5)</f>
        <v>#VALUE!</v>
      </c>
      <c r="ODW6" s="68" t="e" cm="1" vm="1">
        <f t="array" ref="ODW6">_xlfn._xlws.FILTER(TablaProductos[Nombre producto],TablaProductos[Agrupación]=ProductosPivot!ODW5)</f>
        <v>#VALUE!</v>
      </c>
      <c r="ODX6" s="68" t="e" cm="1" vm="1">
        <f t="array" ref="ODX6">_xlfn._xlws.FILTER(TablaProductos[Nombre producto],TablaProductos[Agrupación]=ProductosPivot!ODX5)</f>
        <v>#VALUE!</v>
      </c>
      <c r="ODY6" s="68" t="e" cm="1" vm="1">
        <f t="array" ref="ODY6">_xlfn._xlws.FILTER(TablaProductos[Nombre producto],TablaProductos[Agrupación]=ProductosPivot!ODY5)</f>
        <v>#VALUE!</v>
      </c>
      <c r="ODZ6" s="68" t="e" cm="1" vm="1">
        <f t="array" ref="ODZ6">_xlfn._xlws.FILTER(TablaProductos[Nombre producto],TablaProductos[Agrupación]=ProductosPivot!ODZ5)</f>
        <v>#VALUE!</v>
      </c>
      <c r="OEA6" s="68" t="e" cm="1" vm="1">
        <f t="array" ref="OEA6">_xlfn._xlws.FILTER(TablaProductos[Nombre producto],TablaProductos[Agrupación]=ProductosPivot!OEA5)</f>
        <v>#VALUE!</v>
      </c>
      <c r="OEB6" s="68" t="e" cm="1" vm="1">
        <f t="array" ref="OEB6">_xlfn._xlws.FILTER(TablaProductos[Nombre producto],TablaProductos[Agrupación]=ProductosPivot!OEB5)</f>
        <v>#VALUE!</v>
      </c>
      <c r="OEC6" s="68" t="e" cm="1" vm="1">
        <f t="array" ref="OEC6">_xlfn._xlws.FILTER(TablaProductos[Nombre producto],TablaProductos[Agrupación]=ProductosPivot!OEC5)</f>
        <v>#VALUE!</v>
      </c>
      <c r="OED6" s="68" t="e" cm="1" vm="1">
        <f t="array" ref="OED6">_xlfn._xlws.FILTER(TablaProductos[Nombre producto],TablaProductos[Agrupación]=ProductosPivot!OED5)</f>
        <v>#VALUE!</v>
      </c>
      <c r="OEE6" s="68" t="e" cm="1" vm="1">
        <f t="array" ref="OEE6">_xlfn._xlws.FILTER(TablaProductos[Nombre producto],TablaProductos[Agrupación]=ProductosPivot!OEE5)</f>
        <v>#VALUE!</v>
      </c>
      <c r="OEF6" s="68" t="e" cm="1" vm="1">
        <f t="array" ref="OEF6">_xlfn._xlws.FILTER(TablaProductos[Nombre producto],TablaProductos[Agrupación]=ProductosPivot!OEF5)</f>
        <v>#VALUE!</v>
      </c>
      <c r="OEG6" s="68" t="e" cm="1" vm="1">
        <f t="array" ref="OEG6">_xlfn._xlws.FILTER(TablaProductos[Nombre producto],TablaProductos[Agrupación]=ProductosPivot!OEG5)</f>
        <v>#VALUE!</v>
      </c>
      <c r="OEH6" s="68" t="e" cm="1" vm="1">
        <f t="array" ref="OEH6">_xlfn._xlws.FILTER(TablaProductos[Nombre producto],TablaProductos[Agrupación]=ProductosPivot!OEH5)</f>
        <v>#VALUE!</v>
      </c>
      <c r="OEI6" s="68" t="e" cm="1" vm="1">
        <f t="array" ref="OEI6">_xlfn._xlws.FILTER(TablaProductos[Nombre producto],TablaProductos[Agrupación]=ProductosPivot!OEI5)</f>
        <v>#VALUE!</v>
      </c>
      <c r="OEJ6" s="68" t="e" cm="1" vm="1">
        <f t="array" ref="OEJ6">_xlfn._xlws.FILTER(TablaProductos[Nombre producto],TablaProductos[Agrupación]=ProductosPivot!OEJ5)</f>
        <v>#VALUE!</v>
      </c>
      <c r="OEK6" s="68" t="e" cm="1" vm="1">
        <f t="array" ref="OEK6">_xlfn._xlws.FILTER(TablaProductos[Nombre producto],TablaProductos[Agrupación]=ProductosPivot!OEK5)</f>
        <v>#VALUE!</v>
      </c>
      <c r="OEL6" s="68" t="e" cm="1" vm="1">
        <f t="array" ref="OEL6">_xlfn._xlws.FILTER(TablaProductos[Nombre producto],TablaProductos[Agrupación]=ProductosPivot!OEL5)</f>
        <v>#VALUE!</v>
      </c>
      <c r="OEM6" s="68" t="e" cm="1" vm="1">
        <f t="array" ref="OEM6">_xlfn._xlws.FILTER(TablaProductos[Nombre producto],TablaProductos[Agrupación]=ProductosPivot!OEM5)</f>
        <v>#VALUE!</v>
      </c>
      <c r="OEN6" s="68" t="e" cm="1" vm="1">
        <f t="array" ref="OEN6">_xlfn._xlws.FILTER(TablaProductos[Nombre producto],TablaProductos[Agrupación]=ProductosPivot!OEN5)</f>
        <v>#VALUE!</v>
      </c>
      <c r="OEO6" s="68" t="e" cm="1" vm="1">
        <f t="array" ref="OEO6">_xlfn._xlws.FILTER(TablaProductos[Nombre producto],TablaProductos[Agrupación]=ProductosPivot!OEO5)</f>
        <v>#VALUE!</v>
      </c>
      <c r="OEP6" s="68" t="e" cm="1" vm="1">
        <f t="array" ref="OEP6">_xlfn._xlws.FILTER(TablaProductos[Nombre producto],TablaProductos[Agrupación]=ProductosPivot!OEP5)</f>
        <v>#VALUE!</v>
      </c>
      <c r="OEQ6" s="68" t="e" cm="1" vm="1">
        <f t="array" ref="OEQ6">_xlfn._xlws.FILTER(TablaProductos[Nombre producto],TablaProductos[Agrupación]=ProductosPivot!OEQ5)</f>
        <v>#VALUE!</v>
      </c>
      <c r="OER6" s="68" t="e" cm="1" vm="1">
        <f t="array" ref="OER6">_xlfn._xlws.FILTER(TablaProductos[Nombre producto],TablaProductos[Agrupación]=ProductosPivot!OER5)</f>
        <v>#VALUE!</v>
      </c>
      <c r="OES6" s="68" t="e" cm="1" vm="1">
        <f t="array" ref="OES6">_xlfn._xlws.FILTER(TablaProductos[Nombre producto],TablaProductos[Agrupación]=ProductosPivot!OES5)</f>
        <v>#VALUE!</v>
      </c>
      <c r="OET6" s="68" t="e" cm="1" vm="1">
        <f t="array" ref="OET6">_xlfn._xlws.FILTER(TablaProductos[Nombre producto],TablaProductos[Agrupación]=ProductosPivot!OET5)</f>
        <v>#VALUE!</v>
      </c>
      <c r="OEU6" s="68" t="e" cm="1" vm="1">
        <f t="array" ref="OEU6">_xlfn._xlws.FILTER(TablaProductos[Nombre producto],TablaProductos[Agrupación]=ProductosPivot!OEU5)</f>
        <v>#VALUE!</v>
      </c>
      <c r="OEV6" s="68" t="e" cm="1" vm="1">
        <f t="array" ref="OEV6">_xlfn._xlws.FILTER(TablaProductos[Nombre producto],TablaProductos[Agrupación]=ProductosPivot!OEV5)</f>
        <v>#VALUE!</v>
      </c>
      <c r="OEW6" s="68" t="e" cm="1" vm="1">
        <f t="array" ref="OEW6">_xlfn._xlws.FILTER(TablaProductos[Nombre producto],TablaProductos[Agrupación]=ProductosPivot!OEW5)</f>
        <v>#VALUE!</v>
      </c>
      <c r="OEX6" s="68" t="e" cm="1" vm="1">
        <f t="array" ref="OEX6">_xlfn._xlws.FILTER(TablaProductos[Nombre producto],TablaProductos[Agrupación]=ProductosPivot!OEX5)</f>
        <v>#VALUE!</v>
      </c>
      <c r="OEY6" s="68" t="e" cm="1" vm="1">
        <f t="array" ref="OEY6">_xlfn._xlws.FILTER(TablaProductos[Nombre producto],TablaProductos[Agrupación]=ProductosPivot!OEY5)</f>
        <v>#VALUE!</v>
      </c>
      <c r="OEZ6" s="68" t="e" cm="1" vm="1">
        <f t="array" ref="OEZ6">_xlfn._xlws.FILTER(TablaProductos[Nombre producto],TablaProductos[Agrupación]=ProductosPivot!OEZ5)</f>
        <v>#VALUE!</v>
      </c>
      <c r="OFA6" s="68" t="e" cm="1" vm="1">
        <f t="array" ref="OFA6">_xlfn._xlws.FILTER(TablaProductos[Nombre producto],TablaProductos[Agrupación]=ProductosPivot!OFA5)</f>
        <v>#VALUE!</v>
      </c>
      <c r="OFB6" s="68" t="e" cm="1" vm="1">
        <f t="array" ref="OFB6">_xlfn._xlws.FILTER(TablaProductos[Nombre producto],TablaProductos[Agrupación]=ProductosPivot!OFB5)</f>
        <v>#VALUE!</v>
      </c>
      <c r="OFC6" s="68" t="e" cm="1" vm="1">
        <f t="array" ref="OFC6">_xlfn._xlws.FILTER(TablaProductos[Nombre producto],TablaProductos[Agrupación]=ProductosPivot!OFC5)</f>
        <v>#VALUE!</v>
      </c>
      <c r="OFD6" s="68" t="e" cm="1" vm="1">
        <f t="array" ref="OFD6">_xlfn._xlws.FILTER(TablaProductos[Nombre producto],TablaProductos[Agrupación]=ProductosPivot!OFD5)</f>
        <v>#VALUE!</v>
      </c>
      <c r="OFE6" s="68" t="e" cm="1" vm="1">
        <f t="array" ref="OFE6">_xlfn._xlws.FILTER(TablaProductos[Nombre producto],TablaProductos[Agrupación]=ProductosPivot!OFE5)</f>
        <v>#VALUE!</v>
      </c>
      <c r="OFF6" s="68" t="e" cm="1" vm="1">
        <f t="array" ref="OFF6">_xlfn._xlws.FILTER(TablaProductos[Nombre producto],TablaProductos[Agrupación]=ProductosPivot!OFF5)</f>
        <v>#VALUE!</v>
      </c>
      <c r="OFG6" s="68" t="e" cm="1" vm="1">
        <f t="array" ref="OFG6">_xlfn._xlws.FILTER(TablaProductos[Nombre producto],TablaProductos[Agrupación]=ProductosPivot!OFG5)</f>
        <v>#VALUE!</v>
      </c>
      <c r="OFH6" s="68" t="e" cm="1" vm="1">
        <f t="array" ref="OFH6">_xlfn._xlws.FILTER(TablaProductos[Nombre producto],TablaProductos[Agrupación]=ProductosPivot!OFH5)</f>
        <v>#VALUE!</v>
      </c>
      <c r="OFI6" s="68" t="e" cm="1" vm="1">
        <f t="array" ref="OFI6">_xlfn._xlws.FILTER(TablaProductos[Nombre producto],TablaProductos[Agrupación]=ProductosPivot!OFI5)</f>
        <v>#VALUE!</v>
      </c>
      <c r="OFJ6" s="68" t="e" cm="1" vm="1">
        <f t="array" ref="OFJ6">_xlfn._xlws.FILTER(TablaProductos[Nombre producto],TablaProductos[Agrupación]=ProductosPivot!OFJ5)</f>
        <v>#VALUE!</v>
      </c>
      <c r="OFK6" s="68" t="e" cm="1" vm="1">
        <f t="array" ref="OFK6">_xlfn._xlws.FILTER(TablaProductos[Nombre producto],TablaProductos[Agrupación]=ProductosPivot!OFK5)</f>
        <v>#VALUE!</v>
      </c>
      <c r="OFL6" s="68" t="e" cm="1" vm="1">
        <f t="array" ref="OFL6">_xlfn._xlws.FILTER(TablaProductos[Nombre producto],TablaProductos[Agrupación]=ProductosPivot!OFL5)</f>
        <v>#VALUE!</v>
      </c>
      <c r="OFM6" s="68" t="e" cm="1" vm="1">
        <f t="array" ref="OFM6">_xlfn._xlws.FILTER(TablaProductos[Nombre producto],TablaProductos[Agrupación]=ProductosPivot!OFM5)</f>
        <v>#VALUE!</v>
      </c>
      <c r="OFN6" s="68" t="e" cm="1" vm="1">
        <f t="array" ref="OFN6">_xlfn._xlws.FILTER(TablaProductos[Nombre producto],TablaProductos[Agrupación]=ProductosPivot!OFN5)</f>
        <v>#VALUE!</v>
      </c>
      <c r="OFO6" s="68" t="e" cm="1" vm="1">
        <f t="array" ref="OFO6">_xlfn._xlws.FILTER(TablaProductos[Nombre producto],TablaProductos[Agrupación]=ProductosPivot!OFO5)</f>
        <v>#VALUE!</v>
      </c>
      <c r="OFP6" s="68" t="e" cm="1" vm="1">
        <f t="array" ref="OFP6">_xlfn._xlws.FILTER(TablaProductos[Nombre producto],TablaProductos[Agrupación]=ProductosPivot!OFP5)</f>
        <v>#VALUE!</v>
      </c>
      <c r="OFQ6" s="68" t="e" cm="1" vm="1">
        <f t="array" ref="OFQ6">_xlfn._xlws.FILTER(TablaProductos[Nombre producto],TablaProductos[Agrupación]=ProductosPivot!OFQ5)</f>
        <v>#VALUE!</v>
      </c>
      <c r="OFR6" s="68" t="e" cm="1" vm="1">
        <f t="array" ref="OFR6">_xlfn._xlws.FILTER(TablaProductos[Nombre producto],TablaProductos[Agrupación]=ProductosPivot!OFR5)</f>
        <v>#VALUE!</v>
      </c>
      <c r="OFS6" s="68" t="e" cm="1" vm="1">
        <f t="array" ref="OFS6">_xlfn._xlws.FILTER(TablaProductos[Nombre producto],TablaProductos[Agrupación]=ProductosPivot!OFS5)</f>
        <v>#VALUE!</v>
      </c>
      <c r="OFT6" s="68" t="e" cm="1" vm="1">
        <f t="array" ref="OFT6">_xlfn._xlws.FILTER(TablaProductos[Nombre producto],TablaProductos[Agrupación]=ProductosPivot!OFT5)</f>
        <v>#VALUE!</v>
      </c>
      <c r="OFU6" s="68" t="e" cm="1" vm="1">
        <f t="array" ref="OFU6">_xlfn._xlws.FILTER(TablaProductos[Nombre producto],TablaProductos[Agrupación]=ProductosPivot!OFU5)</f>
        <v>#VALUE!</v>
      </c>
      <c r="OFV6" s="68" t="e" cm="1" vm="1">
        <f t="array" ref="OFV6">_xlfn._xlws.FILTER(TablaProductos[Nombre producto],TablaProductos[Agrupación]=ProductosPivot!OFV5)</f>
        <v>#VALUE!</v>
      </c>
      <c r="OFW6" s="68" t="e" cm="1" vm="1">
        <f t="array" ref="OFW6">_xlfn._xlws.FILTER(TablaProductos[Nombre producto],TablaProductos[Agrupación]=ProductosPivot!OFW5)</f>
        <v>#VALUE!</v>
      </c>
      <c r="OFX6" s="68" t="e" cm="1" vm="1">
        <f t="array" ref="OFX6">_xlfn._xlws.FILTER(TablaProductos[Nombre producto],TablaProductos[Agrupación]=ProductosPivot!OFX5)</f>
        <v>#VALUE!</v>
      </c>
      <c r="OFY6" s="68" t="e" cm="1" vm="1">
        <f t="array" ref="OFY6">_xlfn._xlws.FILTER(TablaProductos[Nombre producto],TablaProductos[Agrupación]=ProductosPivot!OFY5)</f>
        <v>#VALUE!</v>
      </c>
      <c r="OFZ6" s="68" t="e" cm="1" vm="1">
        <f t="array" ref="OFZ6">_xlfn._xlws.FILTER(TablaProductos[Nombre producto],TablaProductos[Agrupación]=ProductosPivot!OFZ5)</f>
        <v>#VALUE!</v>
      </c>
      <c r="OGA6" s="68" t="e" cm="1" vm="1">
        <f t="array" ref="OGA6">_xlfn._xlws.FILTER(TablaProductos[Nombre producto],TablaProductos[Agrupación]=ProductosPivot!OGA5)</f>
        <v>#VALUE!</v>
      </c>
      <c r="OGB6" s="68" t="e" cm="1" vm="1">
        <f t="array" ref="OGB6">_xlfn._xlws.FILTER(TablaProductos[Nombre producto],TablaProductos[Agrupación]=ProductosPivot!OGB5)</f>
        <v>#VALUE!</v>
      </c>
      <c r="OGC6" s="68" t="e" cm="1" vm="1">
        <f t="array" ref="OGC6">_xlfn._xlws.FILTER(TablaProductos[Nombre producto],TablaProductos[Agrupación]=ProductosPivot!OGC5)</f>
        <v>#VALUE!</v>
      </c>
      <c r="OGD6" s="68" t="e" cm="1" vm="1">
        <f t="array" ref="OGD6">_xlfn._xlws.FILTER(TablaProductos[Nombre producto],TablaProductos[Agrupación]=ProductosPivot!OGD5)</f>
        <v>#VALUE!</v>
      </c>
      <c r="OGE6" s="68" t="e" cm="1" vm="1">
        <f t="array" ref="OGE6">_xlfn._xlws.FILTER(TablaProductos[Nombre producto],TablaProductos[Agrupación]=ProductosPivot!OGE5)</f>
        <v>#VALUE!</v>
      </c>
      <c r="OGF6" s="68" t="e" cm="1" vm="1">
        <f t="array" ref="OGF6">_xlfn._xlws.FILTER(TablaProductos[Nombre producto],TablaProductos[Agrupación]=ProductosPivot!OGF5)</f>
        <v>#VALUE!</v>
      </c>
      <c r="OGG6" s="68" t="e" cm="1" vm="1">
        <f t="array" ref="OGG6">_xlfn._xlws.FILTER(TablaProductos[Nombre producto],TablaProductos[Agrupación]=ProductosPivot!OGG5)</f>
        <v>#VALUE!</v>
      </c>
      <c r="OGH6" s="68" t="e" cm="1" vm="1">
        <f t="array" ref="OGH6">_xlfn._xlws.FILTER(TablaProductos[Nombre producto],TablaProductos[Agrupación]=ProductosPivot!OGH5)</f>
        <v>#VALUE!</v>
      </c>
      <c r="OGI6" s="68" t="e" cm="1" vm="1">
        <f t="array" ref="OGI6">_xlfn._xlws.FILTER(TablaProductos[Nombre producto],TablaProductos[Agrupación]=ProductosPivot!OGI5)</f>
        <v>#VALUE!</v>
      </c>
      <c r="OGJ6" s="68" t="e" cm="1" vm="1">
        <f t="array" ref="OGJ6">_xlfn._xlws.FILTER(TablaProductos[Nombre producto],TablaProductos[Agrupación]=ProductosPivot!OGJ5)</f>
        <v>#VALUE!</v>
      </c>
      <c r="OGK6" s="68" t="e" cm="1" vm="1">
        <f t="array" ref="OGK6">_xlfn._xlws.FILTER(TablaProductos[Nombre producto],TablaProductos[Agrupación]=ProductosPivot!OGK5)</f>
        <v>#VALUE!</v>
      </c>
      <c r="OGL6" s="68" t="e" cm="1" vm="1">
        <f t="array" ref="OGL6">_xlfn._xlws.FILTER(TablaProductos[Nombre producto],TablaProductos[Agrupación]=ProductosPivot!OGL5)</f>
        <v>#VALUE!</v>
      </c>
      <c r="OGM6" s="68" t="e" cm="1" vm="1">
        <f t="array" ref="OGM6">_xlfn._xlws.FILTER(TablaProductos[Nombre producto],TablaProductos[Agrupación]=ProductosPivot!OGM5)</f>
        <v>#VALUE!</v>
      </c>
      <c r="OGN6" s="68" t="e" cm="1" vm="1">
        <f t="array" ref="OGN6">_xlfn._xlws.FILTER(TablaProductos[Nombre producto],TablaProductos[Agrupación]=ProductosPivot!OGN5)</f>
        <v>#VALUE!</v>
      </c>
      <c r="OGO6" s="68" t="e" cm="1" vm="1">
        <f t="array" ref="OGO6">_xlfn._xlws.FILTER(TablaProductos[Nombre producto],TablaProductos[Agrupación]=ProductosPivot!OGO5)</f>
        <v>#VALUE!</v>
      </c>
      <c r="OGP6" s="68" t="e" cm="1" vm="1">
        <f t="array" ref="OGP6">_xlfn._xlws.FILTER(TablaProductos[Nombre producto],TablaProductos[Agrupación]=ProductosPivot!OGP5)</f>
        <v>#VALUE!</v>
      </c>
      <c r="OGQ6" s="68" t="e" cm="1" vm="1">
        <f t="array" ref="OGQ6">_xlfn._xlws.FILTER(TablaProductos[Nombre producto],TablaProductos[Agrupación]=ProductosPivot!OGQ5)</f>
        <v>#VALUE!</v>
      </c>
      <c r="OGR6" s="68" t="e" cm="1" vm="1">
        <f t="array" ref="OGR6">_xlfn._xlws.FILTER(TablaProductos[Nombre producto],TablaProductos[Agrupación]=ProductosPivot!OGR5)</f>
        <v>#VALUE!</v>
      </c>
      <c r="OGS6" s="68" t="e" cm="1" vm="1">
        <f t="array" ref="OGS6">_xlfn._xlws.FILTER(TablaProductos[Nombre producto],TablaProductos[Agrupación]=ProductosPivot!OGS5)</f>
        <v>#VALUE!</v>
      </c>
      <c r="OGT6" s="68" t="e" cm="1" vm="1">
        <f t="array" ref="OGT6">_xlfn._xlws.FILTER(TablaProductos[Nombre producto],TablaProductos[Agrupación]=ProductosPivot!OGT5)</f>
        <v>#VALUE!</v>
      </c>
      <c r="OGU6" s="68" t="e" cm="1" vm="1">
        <f t="array" ref="OGU6">_xlfn._xlws.FILTER(TablaProductos[Nombre producto],TablaProductos[Agrupación]=ProductosPivot!OGU5)</f>
        <v>#VALUE!</v>
      </c>
      <c r="OGV6" s="68" t="e" cm="1" vm="1">
        <f t="array" ref="OGV6">_xlfn._xlws.FILTER(TablaProductos[Nombre producto],TablaProductos[Agrupación]=ProductosPivot!OGV5)</f>
        <v>#VALUE!</v>
      </c>
      <c r="OGW6" s="68" t="e" cm="1" vm="1">
        <f t="array" ref="OGW6">_xlfn._xlws.FILTER(TablaProductos[Nombre producto],TablaProductos[Agrupación]=ProductosPivot!OGW5)</f>
        <v>#VALUE!</v>
      </c>
      <c r="OGX6" s="68" t="e" cm="1" vm="1">
        <f t="array" ref="OGX6">_xlfn._xlws.FILTER(TablaProductos[Nombre producto],TablaProductos[Agrupación]=ProductosPivot!OGX5)</f>
        <v>#VALUE!</v>
      </c>
      <c r="OGY6" s="68" t="e" cm="1" vm="1">
        <f t="array" ref="OGY6">_xlfn._xlws.FILTER(TablaProductos[Nombre producto],TablaProductos[Agrupación]=ProductosPivot!OGY5)</f>
        <v>#VALUE!</v>
      </c>
      <c r="OGZ6" s="68" t="e" cm="1" vm="1">
        <f t="array" ref="OGZ6">_xlfn._xlws.FILTER(TablaProductos[Nombre producto],TablaProductos[Agrupación]=ProductosPivot!OGZ5)</f>
        <v>#VALUE!</v>
      </c>
      <c r="OHA6" s="68" t="e" cm="1" vm="1">
        <f t="array" ref="OHA6">_xlfn._xlws.FILTER(TablaProductos[Nombre producto],TablaProductos[Agrupación]=ProductosPivot!OHA5)</f>
        <v>#VALUE!</v>
      </c>
      <c r="OHB6" s="68" t="e" cm="1" vm="1">
        <f t="array" ref="OHB6">_xlfn._xlws.FILTER(TablaProductos[Nombre producto],TablaProductos[Agrupación]=ProductosPivot!OHB5)</f>
        <v>#VALUE!</v>
      </c>
      <c r="OHC6" s="68" t="e" cm="1" vm="1">
        <f t="array" ref="OHC6">_xlfn._xlws.FILTER(TablaProductos[Nombre producto],TablaProductos[Agrupación]=ProductosPivot!OHC5)</f>
        <v>#VALUE!</v>
      </c>
      <c r="OHD6" s="68" t="e" cm="1" vm="1">
        <f t="array" ref="OHD6">_xlfn._xlws.FILTER(TablaProductos[Nombre producto],TablaProductos[Agrupación]=ProductosPivot!OHD5)</f>
        <v>#VALUE!</v>
      </c>
      <c r="OHE6" s="68" t="e" cm="1" vm="1">
        <f t="array" ref="OHE6">_xlfn._xlws.FILTER(TablaProductos[Nombre producto],TablaProductos[Agrupación]=ProductosPivot!OHE5)</f>
        <v>#VALUE!</v>
      </c>
      <c r="OHF6" s="68" t="e" cm="1" vm="1">
        <f t="array" ref="OHF6">_xlfn._xlws.FILTER(TablaProductos[Nombre producto],TablaProductos[Agrupación]=ProductosPivot!OHF5)</f>
        <v>#VALUE!</v>
      </c>
      <c r="OHG6" s="68" t="e" cm="1" vm="1">
        <f t="array" ref="OHG6">_xlfn._xlws.FILTER(TablaProductos[Nombre producto],TablaProductos[Agrupación]=ProductosPivot!OHG5)</f>
        <v>#VALUE!</v>
      </c>
      <c r="OHH6" s="68" t="e" cm="1" vm="1">
        <f t="array" ref="OHH6">_xlfn._xlws.FILTER(TablaProductos[Nombre producto],TablaProductos[Agrupación]=ProductosPivot!OHH5)</f>
        <v>#VALUE!</v>
      </c>
      <c r="OHI6" s="68" t="e" cm="1" vm="1">
        <f t="array" ref="OHI6">_xlfn._xlws.FILTER(TablaProductos[Nombre producto],TablaProductos[Agrupación]=ProductosPivot!OHI5)</f>
        <v>#VALUE!</v>
      </c>
      <c r="OHJ6" s="68" t="e" cm="1" vm="1">
        <f t="array" ref="OHJ6">_xlfn._xlws.FILTER(TablaProductos[Nombre producto],TablaProductos[Agrupación]=ProductosPivot!OHJ5)</f>
        <v>#VALUE!</v>
      </c>
      <c r="OHK6" s="68" t="e" cm="1" vm="1">
        <f t="array" ref="OHK6">_xlfn._xlws.FILTER(TablaProductos[Nombre producto],TablaProductos[Agrupación]=ProductosPivot!OHK5)</f>
        <v>#VALUE!</v>
      </c>
      <c r="OHL6" s="68" t="e" cm="1" vm="1">
        <f t="array" ref="OHL6">_xlfn._xlws.FILTER(TablaProductos[Nombre producto],TablaProductos[Agrupación]=ProductosPivot!OHL5)</f>
        <v>#VALUE!</v>
      </c>
      <c r="OHM6" s="68" t="e" cm="1" vm="1">
        <f t="array" ref="OHM6">_xlfn._xlws.FILTER(TablaProductos[Nombre producto],TablaProductos[Agrupación]=ProductosPivot!OHM5)</f>
        <v>#VALUE!</v>
      </c>
      <c r="OHN6" s="68" t="e" cm="1" vm="1">
        <f t="array" ref="OHN6">_xlfn._xlws.FILTER(TablaProductos[Nombre producto],TablaProductos[Agrupación]=ProductosPivot!OHN5)</f>
        <v>#VALUE!</v>
      </c>
      <c r="OHO6" s="68" t="e" cm="1" vm="1">
        <f t="array" ref="OHO6">_xlfn._xlws.FILTER(TablaProductos[Nombre producto],TablaProductos[Agrupación]=ProductosPivot!OHO5)</f>
        <v>#VALUE!</v>
      </c>
      <c r="OHP6" s="68" t="e" cm="1" vm="1">
        <f t="array" ref="OHP6">_xlfn._xlws.FILTER(TablaProductos[Nombre producto],TablaProductos[Agrupación]=ProductosPivot!OHP5)</f>
        <v>#VALUE!</v>
      </c>
      <c r="OHQ6" s="68" t="e" cm="1" vm="1">
        <f t="array" ref="OHQ6">_xlfn._xlws.FILTER(TablaProductos[Nombre producto],TablaProductos[Agrupación]=ProductosPivot!OHQ5)</f>
        <v>#VALUE!</v>
      </c>
      <c r="OHR6" s="68" t="e" cm="1" vm="1">
        <f t="array" ref="OHR6">_xlfn._xlws.FILTER(TablaProductos[Nombre producto],TablaProductos[Agrupación]=ProductosPivot!OHR5)</f>
        <v>#VALUE!</v>
      </c>
      <c r="OHS6" s="68" t="e" cm="1" vm="1">
        <f t="array" ref="OHS6">_xlfn._xlws.FILTER(TablaProductos[Nombre producto],TablaProductos[Agrupación]=ProductosPivot!OHS5)</f>
        <v>#VALUE!</v>
      </c>
      <c r="OHT6" s="68" t="e" cm="1" vm="1">
        <f t="array" ref="OHT6">_xlfn._xlws.FILTER(TablaProductos[Nombre producto],TablaProductos[Agrupación]=ProductosPivot!OHT5)</f>
        <v>#VALUE!</v>
      </c>
      <c r="OHU6" s="68" t="e" cm="1" vm="1">
        <f t="array" ref="OHU6">_xlfn._xlws.FILTER(TablaProductos[Nombre producto],TablaProductos[Agrupación]=ProductosPivot!OHU5)</f>
        <v>#VALUE!</v>
      </c>
      <c r="OHV6" s="68" t="e" cm="1" vm="1">
        <f t="array" ref="OHV6">_xlfn._xlws.FILTER(TablaProductos[Nombre producto],TablaProductos[Agrupación]=ProductosPivot!OHV5)</f>
        <v>#VALUE!</v>
      </c>
      <c r="OHW6" s="68" t="e" cm="1" vm="1">
        <f t="array" ref="OHW6">_xlfn._xlws.FILTER(TablaProductos[Nombre producto],TablaProductos[Agrupación]=ProductosPivot!OHW5)</f>
        <v>#VALUE!</v>
      </c>
      <c r="OHX6" s="68" t="e" cm="1" vm="1">
        <f t="array" ref="OHX6">_xlfn._xlws.FILTER(TablaProductos[Nombre producto],TablaProductos[Agrupación]=ProductosPivot!OHX5)</f>
        <v>#VALUE!</v>
      </c>
      <c r="OHY6" s="68" t="e" cm="1" vm="1">
        <f t="array" ref="OHY6">_xlfn._xlws.FILTER(TablaProductos[Nombre producto],TablaProductos[Agrupación]=ProductosPivot!OHY5)</f>
        <v>#VALUE!</v>
      </c>
      <c r="OHZ6" s="68" t="e" cm="1" vm="1">
        <f t="array" ref="OHZ6">_xlfn._xlws.FILTER(TablaProductos[Nombre producto],TablaProductos[Agrupación]=ProductosPivot!OHZ5)</f>
        <v>#VALUE!</v>
      </c>
      <c r="OIA6" s="68" t="e" cm="1" vm="1">
        <f t="array" ref="OIA6">_xlfn._xlws.FILTER(TablaProductos[Nombre producto],TablaProductos[Agrupación]=ProductosPivot!OIA5)</f>
        <v>#VALUE!</v>
      </c>
      <c r="OIB6" s="68" t="e" cm="1" vm="1">
        <f t="array" ref="OIB6">_xlfn._xlws.FILTER(TablaProductos[Nombre producto],TablaProductos[Agrupación]=ProductosPivot!OIB5)</f>
        <v>#VALUE!</v>
      </c>
      <c r="OIC6" s="68" t="e" cm="1" vm="1">
        <f t="array" ref="OIC6">_xlfn._xlws.FILTER(TablaProductos[Nombre producto],TablaProductos[Agrupación]=ProductosPivot!OIC5)</f>
        <v>#VALUE!</v>
      </c>
      <c r="OID6" s="68" t="e" cm="1" vm="1">
        <f t="array" ref="OID6">_xlfn._xlws.FILTER(TablaProductos[Nombre producto],TablaProductos[Agrupación]=ProductosPivot!OID5)</f>
        <v>#VALUE!</v>
      </c>
      <c r="OIE6" s="68" t="e" cm="1" vm="1">
        <f t="array" ref="OIE6">_xlfn._xlws.FILTER(TablaProductos[Nombre producto],TablaProductos[Agrupación]=ProductosPivot!OIE5)</f>
        <v>#VALUE!</v>
      </c>
      <c r="OIF6" s="68" t="e" cm="1" vm="1">
        <f t="array" ref="OIF6">_xlfn._xlws.FILTER(TablaProductos[Nombre producto],TablaProductos[Agrupación]=ProductosPivot!OIF5)</f>
        <v>#VALUE!</v>
      </c>
      <c r="OIG6" s="68" t="e" cm="1" vm="1">
        <f t="array" ref="OIG6">_xlfn._xlws.FILTER(TablaProductos[Nombre producto],TablaProductos[Agrupación]=ProductosPivot!OIG5)</f>
        <v>#VALUE!</v>
      </c>
      <c r="OIH6" s="68" t="e" cm="1" vm="1">
        <f t="array" ref="OIH6">_xlfn._xlws.FILTER(TablaProductos[Nombre producto],TablaProductos[Agrupación]=ProductosPivot!OIH5)</f>
        <v>#VALUE!</v>
      </c>
      <c r="OII6" s="68" t="e" cm="1" vm="1">
        <f t="array" ref="OII6">_xlfn._xlws.FILTER(TablaProductos[Nombre producto],TablaProductos[Agrupación]=ProductosPivot!OII5)</f>
        <v>#VALUE!</v>
      </c>
      <c r="OIJ6" s="68" t="e" cm="1" vm="1">
        <f t="array" ref="OIJ6">_xlfn._xlws.FILTER(TablaProductos[Nombre producto],TablaProductos[Agrupación]=ProductosPivot!OIJ5)</f>
        <v>#VALUE!</v>
      </c>
      <c r="OIK6" s="68" t="e" cm="1" vm="1">
        <f t="array" ref="OIK6">_xlfn._xlws.FILTER(TablaProductos[Nombre producto],TablaProductos[Agrupación]=ProductosPivot!OIK5)</f>
        <v>#VALUE!</v>
      </c>
      <c r="OIL6" s="68" t="e" cm="1" vm="1">
        <f t="array" ref="OIL6">_xlfn._xlws.FILTER(TablaProductos[Nombre producto],TablaProductos[Agrupación]=ProductosPivot!OIL5)</f>
        <v>#VALUE!</v>
      </c>
      <c r="OIM6" s="68" t="e" cm="1" vm="1">
        <f t="array" ref="OIM6">_xlfn._xlws.FILTER(TablaProductos[Nombre producto],TablaProductos[Agrupación]=ProductosPivot!OIM5)</f>
        <v>#VALUE!</v>
      </c>
      <c r="OIN6" s="68" t="e" cm="1" vm="1">
        <f t="array" ref="OIN6">_xlfn._xlws.FILTER(TablaProductos[Nombre producto],TablaProductos[Agrupación]=ProductosPivot!OIN5)</f>
        <v>#VALUE!</v>
      </c>
      <c r="OIO6" s="68" t="e" cm="1" vm="1">
        <f t="array" ref="OIO6">_xlfn._xlws.FILTER(TablaProductos[Nombre producto],TablaProductos[Agrupación]=ProductosPivot!OIO5)</f>
        <v>#VALUE!</v>
      </c>
      <c r="OIP6" s="68" t="e" cm="1" vm="1">
        <f t="array" ref="OIP6">_xlfn._xlws.FILTER(TablaProductos[Nombre producto],TablaProductos[Agrupación]=ProductosPivot!OIP5)</f>
        <v>#VALUE!</v>
      </c>
      <c r="OIQ6" s="68" t="e" cm="1" vm="1">
        <f t="array" ref="OIQ6">_xlfn._xlws.FILTER(TablaProductos[Nombre producto],TablaProductos[Agrupación]=ProductosPivot!OIQ5)</f>
        <v>#VALUE!</v>
      </c>
      <c r="OIR6" s="68" t="e" cm="1" vm="1">
        <f t="array" ref="OIR6">_xlfn._xlws.FILTER(TablaProductos[Nombre producto],TablaProductos[Agrupación]=ProductosPivot!OIR5)</f>
        <v>#VALUE!</v>
      </c>
      <c r="OIS6" s="68" t="e" cm="1" vm="1">
        <f t="array" ref="OIS6">_xlfn._xlws.FILTER(TablaProductos[Nombre producto],TablaProductos[Agrupación]=ProductosPivot!OIS5)</f>
        <v>#VALUE!</v>
      </c>
      <c r="OIT6" s="68" t="e" cm="1" vm="1">
        <f t="array" ref="OIT6">_xlfn._xlws.FILTER(TablaProductos[Nombre producto],TablaProductos[Agrupación]=ProductosPivot!OIT5)</f>
        <v>#VALUE!</v>
      </c>
      <c r="OIU6" s="68" t="e" cm="1" vm="1">
        <f t="array" ref="OIU6">_xlfn._xlws.FILTER(TablaProductos[Nombre producto],TablaProductos[Agrupación]=ProductosPivot!OIU5)</f>
        <v>#VALUE!</v>
      </c>
      <c r="OIV6" s="68" t="e" cm="1" vm="1">
        <f t="array" ref="OIV6">_xlfn._xlws.FILTER(TablaProductos[Nombre producto],TablaProductos[Agrupación]=ProductosPivot!OIV5)</f>
        <v>#VALUE!</v>
      </c>
      <c r="OIW6" s="68" t="e" cm="1" vm="1">
        <f t="array" ref="OIW6">_xlfn._xlws.FILTER(TablaProductos[Nombre producto],TablaProductos[Agrupación]=ProductosPivot!OIW5)</f>
        <v>#VALUE!</v>
      </c>
      <c r="OIX6" s="68" t="e" cm="1" vm="1">
        <f t="array" ref="OIX6">_xlfn._xlws.FILTER(TablaProductos[Nombre producto],TablaProductos[Agrupación]=ProductosPivot!OIX5)</f>
        <v>#VALUE!</v>
      </c>
      <c r="OIY6" s="68" t="e" cm="1" vm="1">
        <f t="array" ref="OIY6">_xlfn._xlws.FILTER(TablaProductos[Nombre producto],TablaProductos[Agrupación]=ProductosPivot!OIY5)</f>
        <v>#VALUE!</v>
      </c>
      <c r="OIZ6" s="68" t="e" cm="1" vm="1">
        <f t="array" ref="OIZ6">_xlfn._xlws.FILTER(TablaProductos[Nombre producto],TablaProductos[Agrupación]=ProductosPivot!OIZ5)</f>
        <v>#VALUE!</v>
      </c>
      <c r="OJA6" s="68" t="e" cm="1" vm="1">
        <f t="array" ref="OJA6">_xlfn._xlws.FILTER(TablaProductos[Nombre producto],TablaProductos[Agrupación]=ProductosPivot!OJA5)</f>
        <v>#VALUE!</v>
      </c>
      <c r="OJB6" s="68" t="e" cm="1" vm="1">
        <f t="array" ref="OJB6">_xlfn._xlws.FILTER(TablaProductos[Nombre producto],TablaProductos[Agrupación]=ProductosPivot!OJB5)</f>
        <v>#VALUE!</v>
      </c>
      <c r="OJC6" s="68" t="e" cm="1" vm="1">
        <f t="array" ref="OJC6">_xlfn._xlws.FILTER(TablaProductos[Nombre producto],TablaProductos[Agrupación]=ProductosPivot!OJC5)</f>
        <v>#VALUE!</v>
      </c>
      <c r="OJD6" s="68" t="e" cm="1" vm="1">
        <f t="array" ref="OJD6">_xlfn._xlws.FILTER(TablaProductos[Nombre producto],TablaProductos[Agrupación]=ProductosPivot!OJD5)</f>
        <v>#VALUE!</v>
      </c>
      <c r="OJE6" s="68" t="e" cm="1" vm="1">
        <f t="array" ref="OJE6">_xlfn._xlws.FILTER(TablaProductos[Nombre producto],TablaProductos[Agrupación]=ProductosPivot!OJE5)</f>
        <v>#VALUE!</v>
      </c>
      <c r="OJF6" s="68" t="e" cm="1" vm="1">
        <f t="array" ref="OJF6">_xlfn._xlws.FILTER(TablaProductos[Nombre producto],TablaProductos[Agrupación]=ProductosPivot!OJF5)</f>
        <v>#VALUE!</v>
      </c>
      <c r="OJG6" s="68" t="e" cm="1" vm="1">
        <f t="array" ref="OJG6">_xlfn._xlws.FILTER(TablaProductos[Nombre producto],TablaProductos[Agrupación]=ProductosPivot!OJG5)</f>
        <v>#VALUE!</v>
      </c>
      <c r="OJH6" s="68" t="e" cm="1" vm="1">
        <f t="array" ref="OJH6">_xlfn._xlws.FILTER(TablaProductos[Nombre producto],TablaProductos[Agrupación]=ProductosPivot!OJH5)</f>
        <v>#VALUE!</v>
      </c>
      <c r="OJI6" s="68" t="e" cm="1" vm="1">
        <f t="array" ref="OJI6">_xlfn._xlws.FILTER(TablaProductos[Nombre producto],TablaProductos[Agrupación]=ProductosPivot!OJI5)</f>
        <v>#VALUE!</v>
      </c>
      <c r="OJJ6" s="68" t="e" cm="1" vm="1">
        <f t="array" ref="OJJ6">_xlfn._xlws.FILTER(TablaProductos[Nombre producto],TablaProductos[Agrupación]=ProductosPivot!OJJ5)</f>
        <v>#VALUE!</v>
      </c>
      <c r="OJK6" s="68" t="e" cm="1" vm="1">
        <f t="array" ref="OJK6">_xlfn._xlws.FILTER(TablaProductos[Nombre producto],TablaProductos[Agrupación]=ProductosPivot!OJK5)</f>
        <v>#VALUE!</v>
      </c>
      <c r="OJL6" s="68" t="e" cm="1" vm="1">
        <f t="array" ref="OJL6">_xlfn._xlws.FILTER(TablaProductos[Nombre producto],TablaProductos[Agrupación]=ProductosPivot!OJL5)</f>
        <v>#VALUE!</v>
      </c>
      <c r="OJM6" s="68" t="e" cm="1" vm="1">
        <f t="array" ref="OJM6">_xlfn._xlws.FILTER(TablaProductos[Nombre producto],TablaProductos[Agrupación]=ProductosPivot!OJM5)</f>
        <v>#VALUE!</v>
      </c>
      <c r="OJN6" s="68" t="e" cm="1" vm="1">
        <f t="array" ref="OJN6">_xlfn._xlws.FILTER(TablaProductos[Nombre producto],TablaProductos[Agrupación]=ProductosPivot!OJN5)</f>
        <v>#VALUE!</v>
      </c>
      <c r="OJO6" s="68" t="e" cm="1" vm="1">
        <f t="array" ref="OJO6">_xlfn._xlws.FILTER(TablaProductos[Nombre producto],TablaProductos[Agrupación]=ProductosPivot!OJO5)</f>
        <v>#VALUE!</v>
      </c>
      <c r="OJP6" s="68" t="e" cm="1" vm="1">
        <f t="array" ref="OJP6">_xlfn._xlws.FILTER(TablaProductos[Nombre producto],TablaProductos[Agrupación]=ProductosPivot!OJP5)</f>
        <v>#VALUE!</v>
      </c>
      <c r="OJQ6" s="68" t="e" cm="1" vm="1">
        <f t="array" ref="OJQ6">_xlfn._xlws.FILTER(TablaProductos[Nombre producto],TablaProductos[Agrupación]=ProductosPivot!OJQ5)</f>
        <v>#VALUE!</v>
      </c>
      <c r="OJR6" s="68" t="e" cm="1" vm="1">
        <f t="array" ref="OJR6">_xlfn._xlws.FILTER(TablaProductos[Nombre producto],TablaProductos[Agrupación]=ProductosPivot!OJR5)</f>
        <v>#VALUE!</v>
      </c>
      <c r="OJS6" s="68" t="e" cm="1" vm="1">
        <f t="array" ref="OJS6">_xlfn._xlws.FILTER(TablaProductos[Nombre producto],TablaProductos[Agrupación]=ProductosPivot!OJS5)</f>
        <v>#VALUE!</v>
      </c>
      <c r="OJT6" s="68" t="e" cm="1" vm="1">
        <f t="array" ref="OJT6">_xlfn._xlws.FILTER(TablaProductos[Nombre producto],TablaProductos[Agrupación]=ProductosPivot!OJT5)</f>
        <v>#VALUE!</v>
      </c>
      <c r="OJU6" s="68" t="e" cm="1" vm="1">
        <f t="array" ref="OJU6">_xlfn._xlws.FILTER(TablaProductos[Nombre producto],TablaProductos[Agrupación]=ProductosPivot!OJU5)</f>
        <v>#VALUE!</v>
      </c>
      <c r="OJV6" s="68" t="e" cm="1" vm="1">
        <f t="array" ref="OJV6">_xlfn._xlws.FILTER(TablaProductos[Nombre producto],TablaProductos[Agrupación]=ProductosPivot!OJV5)</f>
        <v>#VALUE!</v>
      </c>
      <c r="OJW6" s="68" t="e" cm="1" vm="1">
        <f t="array" ref="OJW6">_xlfn._xlws.FILTER(TablaProductos[Nombre producto],TablaProductos[Agrupación]=ProductosPivot!OJW5)</f>
        <v>#VALUE!</v>
      </c>
      <c r="OJX6" s="68" t="e" cm="1" vm="1">
        <f t="array" ref="OJX6">_xlfn._xlws.FILTER(TablaProductos[Nombre producto],TablaProductos[Agrupación]=ProductosPivot!OJX5)</f>
        <v>#VALUE!</v>
      </c>
      <c r="OJY6" s="68" t="e" cm="1" vm="1">
        <f t="array" ref="OJY6">_xlfn._xlws.FILTER(TablaProductos[Nombre producto],TablaProductos[Agrupación]=ProductosPivot!OJY5)</f>
        <v>#VALUE!</v>
      </c>
      <c r="OJZ6" s="68" t="e" cm="1" vm="1">
        <f t="array" ref="OJZ6">_xlfn._xlws.FILTER(TablaProductos[Nombre producto],TablaProductos[Agrupación]=ProductosPivot!OJZ5)</f>
        <v>#VALUE!</v>
      </c>
      <c r="OKA6" s="68" t="e" cm="1" vm="1">
        <f t="array" ref="OKA6">_xlfn._xlws.FILTER(TablaProductos[Nombre producto],TablaProductos[Agrupación]=ProductosPivot!OKA5)</f>
        <v>#VALUE!</v>
      </c>
      <c r="OKB6" s="68" t="e" cm="1" vm="1">
        <f t="array" ref="OKB6">_xlfn._xlws.FILTER(TablaProductos[Nombre producto],TablaProductos[Agrupación]=ProductosPivot!OKB5)</f>
        <v>#VALUE!</v>
      </c>
      <c r="OKC6" s="68" t="e" cm="1" vm="1">
        <f t="array" ref="OKC6">_xlfn._xlws.FILTER(TablaProductos[Nombre producto],TablaProductos[Agrupación]=ProductosPivot!OKC5)</f>
        <v>#VALUE!</v>
      </c>
      <c r="OKD6" s="68" t="e" cm="1" vm="1">
        <f t="array" ref="OKD6">_xlfn._xlws.FILTER(TablaProductos[Nombre producto],TablaProductos[Agrupación]=ProductosPivot!OKD5)</f>
        <v>#VALUE!</v>
      </c>
      <c r="OKE6" s="68" t="e" cm="1" vm="1">
        <f t="array" ref="OKE6">_xlfn._xlws.FILTER(TablaProductos[Nombre producto],TablaProductos[Agrupación]=ProductosPivot!OKE5)</f>
        <v>#VALUE!</v>
      </c>
      <c r="OKF6" s="68" t="e" cm="1" vm="1">
        <f t="array" ref="OKF6">_xlfn._xlws.FILTER(TablaProductos[Nombre producto],TablaProductos[Agrupación]=ProductosPivot!OKF5)</f>
        <v>#VALUE!</v>
      </c>
      <c r="OKG6" s="68" t="e" cm="1" vm="1">
        <f t="array" ref="OKG6">_xlfn._xlws.FILTER(TablaProductos[Nombre producto],TablaProductos[Agrupación]=ProductosPivot!OKG5)</f>
        <v>#VALUE!</v>
      </c>
      <c r="OKH6" s="68" t="e" cm="1" vm="1">
        <f t="array" ref="OKH6">_xlfn._xlws.FILTER(TablaProductos[Nombre producto],TablaProductos[Agrupación]=ProductosPivot!OKH5)</f>
        <v>#VALUE!</v>
      </c>
      <c r="OKI6" s="68" t="e" cm="1" vm="1">
        <f t="array" ref="OKI6">_xlfn._xlws.FILTER(TablaProductos[Nombre producto],TablaProductos[Agrupación]=ProductosPivot!OKI5)</f>
        <v>#VALUE!</v>
      </c>
      <c r="OKJ6" s="68" t="e" cm="1" vm="1">
        <f t="array" ref="OKJ6">_xlfn._xlws.FILTER(TablaProductos[Nombre producto],TablaProductos[Agrupación]=ProductosPivot!OKJ5)</f>
        <v>#VALUE!</v>
      </c>
      <c r="OKK6" s="68" t="e" cm="1" vm="1">
        <f t="array" ref="OKK6">_xlfn._xlws.FILTER(TablaProductos[Nombre producto],TablaProductos[Agrupación]=ProductosPivot!OKK5)</f>
        <v>#VALUE!</v>
      </c>
      <c r="OKL6" s="68" t="e" cm="1" vm="1">
        <f t="array" ref="OKL6">_xlfn._xlws.FILTER(TablaProductos[Nombre producto],TablaProductos[Agrupación]=ProductosPivot!OKL5)</f>
        <v>#VALUE!</v>
      </c>
      <c r="OKM6" s="68" t="e" cm="1" vm="1">
        <f t="array" ref="OKM6">_xlfn._xlws.FILTER(TablaProductos[Nombre producto],TablaProductos[Agrupación]=ProductosPivot!OKM5)</f>
        <v>#VALUE!</v>
      </c>
      <c r="OKN6" s="68" t="e" cm="1" vm="1">
        <f t="array" ref="OKN6">_xlfn._xlws.FILTER(TablaProductos[Nombre producto],TablaProductos[Agrupación]=ProductosPivot!OKN5)</f>
        <v>#VALUE!</v>
      </c>
      <c r="OKO6" s="68" t="e" cm="1" vm="1">
        <f t="array" ref="OKO6">_xlfn._xlws.FILTER(TablaProductos[Nombre producto],TablaProductos[Agrupación]=ProductosPivot!OKO5)</f>
        <v>#VALUE!</v>
      </c>
      <c r="OKP6" s="68" t="e" cm="1" vm="1">
        <f t="array" ref="OKP6">_xlfn._xlws.FILTER(TablaProductos[Nombre producto],TablaProductos[Agrupación]=ProductosPivot!OKP5)</f>
        <v>#VALUE!</v>
      </c>
      <c r="OKQ6" s="68" t="e" cm="1" vm="1">
        <f t="array" ref="OKQ6">_xlfn._xlws.FILTER(TablaProductos[Nombre producto],TablaProductos[Agrupación]=ProductosPivot!OKQ5)</f>
        <v>#VALUE!</v>
      </c>
      <c r="OKR6" s="68" t="e" cm="1" vm="1">
        <f t="array" ref="OKR6">_xlfn._xlws.FILTER(TablaProductos[Nombre producto],TablaProductos[Agrupación]=ProductosPivot!OKR5)</f>
        <v>#VALUE!</v>
      </c>
      <c r="OKS6" s="68" t="e" cm="1" vm="1">
        <f t="array" ref="OKS6">_xlfn._xlws.FILTER(TablaProductos[Nombre producto],TablaProductos[Agrupación]=ProductosPivot!OKS5)</f>
        <v>#VALUE!</v>
      </c>
      <c r="OKT6" s="68" t="e" cm="1" vm="1">
        <f t="array" ref="OKT6">_xlfn._xlws.FILTER(TablaProductos[Nombre producto],TablaProductos[Agrupación]=ProductosPivot!OKT5)</f>
        <v>#VALUE!</v>
      </c>
      <c r="OKU6" s="68" t="e" cm="1" vm="1">
        <f t="array" ref="OKU6">_xlfn._xlws.FILTER(TablaProductos[Nombre producto],TablaProductos[Agrupación]=ProductosPivot!OKU5)</f>
        <v>#VALUE!</v>
      </c>
      <c r="OKV6" s="68" t="e" cm="1" vm="1">
        <f t="array" ref="OKV6">_xlfn._xlws.FILTER(TablaProductos[Nombre producto],TablaProductos[Agrupación]=ProductosPivot!OKV5)</f>
        <v>#VALUE!</v>
      </c>
      <c r="OKW6" s="68" t="e" cm="1" vm="1">
        <f t="array" ref="OKW6">_xlfn._xlws.FILTER(TablaProductos[Nombre producto],TablaProductos[Agrupación]=ProductosPivot!OKW5)</f>
        <v>#VALUE!</v>
      </c>
      <c r="OKX6" s="68" t="e" cm="1" vm="1">
        <f t="array" ref="OKX6">_xlfn._xlws.FILTER(TablaProductos[Nombre producto],TablaProductos[Agrupación]=ProductosPivot!OKX5)</f>
        <v>#VALUE!</v>
      </c>
      <c r="OKY6" s="68" t="e" cm="1" vm="1">
        <f t="array" ref="OKY6">_xlfn._xlws.FILTER(TablaProductos[Nombre producto],TablaProductos[Agrupación]=ProductosPivot!OKY5)</f>
        <v>#VALUE!</v>
      </c>
      <c r="OKZ6" s="68" t="e" cm="1" vm="1">
        <f t="array" ref="OKZ6">_xlfn._xlws.FILTER(TablaProductos[Nombre producto],TablaProductos[Agrupación]=ProductosPivot!OKZ5)</f>
        <v>#VALUE!</v>
      </c>
      <c r="OLA6" s="68" t="e" cm="1" vm="1">
        <f t="array" ref="OLA6">_xlfn._xlws.FILTER(TablaProductos[Nombre producto],TablaProductos[Agrupación]=ProductosPivot!OLA5)</f>
        <v>#VALUE!</v>
      </c>
      <c r="OLB6" s="68" t="e" cm="1" vm="1">
        <f t="array" ref="OLB6">_xlfn._xlws.FILTER(TablaProductos[Nombre producto],TablaProductos[Agrupación]=ProductosPivot!OLB5)</f>
        <v>#VALUE!</v>
      </c>
      <c r="OLC6" s="68" t="e" cm="1" vm="1">
        <f t="array" ref="OLC6">_xlfn._xlws.FILTER(TablaProductos[Nombre producto],TablaProductos[Agrupación]=ProductosPivot!OLC5)</f>
        <v>#VALUE!</v>
      </c>
      <c r="OLD6" s="68" t="e" cm="1" vm="1">
        <f t="array" ref="OLD6">_xlfn._xlws.FILTER(TablaProductos[Nombre producto],TablaProductos[Agrupación]=ProductosPivot!OLD5)</f>
        <v>#VALUE!</v>
      </c>
      <c r="OLE6" s="68" t="e" cm="1" vm="1">
        <f t="array" ref="OLE6">_xlfn._xlws.FILTER(TablaProductos[Nombre producto],TablaProductos[Agrupación]=ProductosPivot!OLE5)</f>
        <v>#VALUE!</v>
      </c>
      <c r="OLF6" s="68" t="e" cm="1" vm="1">
        <f t="array" ref="OLF6">_xlfn._xlws.FILTER(TablaProductos[Nombre producto],TablaProductos[Agrupación]=ProductosPivot!OLF5)</f>
        <v>#VALUE!</v>
      </c>
      <c r="OLG6" s="68" t="e" cm="1" vm="1">
        <f t="array" ref="OLG6">_xlfn._xlws.FILTER(TablaProductos[Nombre producto],TablaProductos[Agrupación]=ProductosPivot!OLG5)</f>
        <v>#VALUE!</v>
      </c>
      <c r="OLH6" s="68" t="e" cm="1" vm="1">
        <f t="array" ref="OLH6">_xlfn._xlws.FILTER(TablaProductos[Nombre producto],TablaProductos[Agrupación]=ProductosPivot!OLH5)</f>
        <v>#VALUE!</v>
      </c>
      <c r="OLI6" s="68" t="e" cm="1" vm="1">
        <f t="array" ref="OLI6">_xlfn._xlws.FILTER(TablaProductos[Nombre producto],TablaProductos[Agrupación]=ProductosPivot!OLI5)</f>
        <v>#VALUE!</v>
      </c>
      <c r="OLJ6" s="68" t="e" cm="1" vm="1">
        <f t="array" ref="OLJ6">_xlfn._xlws.FILTER(TablaProductos[Nombre producto],TablaProductos[Agrupación]=ProductosPivot!OLJ5)</f>
        <v>#VALUE!</v>
      </c>
      <c r="OLK6" s="68" t="e" cm="1" vm="1">
        <f t="array" ref="OLK6">_xlfn._xlws.FILTER(TablaProductos[Nombre producto],TablaProductos[Agrupación]=ProductosPivot!OLK5)</f>
        <v>#VALUE!</v>
      </c>
      <c r="OLL6" s="68" t="e" cm="1" vm="1">
        <f t="array" ref="OLL6">_xlfn._xlws.FILTER(TablaProductos[Nombre producto],TablaProductos[Agrupación]=ProductosPivot!OLL5)</f>
        <v>#VALUE!</v>
      </c>
      <c r="OLM6" s="68" t="e" cm="1" vm="1">
        <f t="array" ref="OLM6">_xlfn._xlws.FILTER(TablaProductos[Nombre producto],TablaProductos[Agrupación]=ProductosPivot!OLM5)</f>
        <v>#VALUE!</v>
      </c>
      <c r="OLN6" s="68" t="e" cm="1" vm="1">
        <f t="array" ref="OLN6">_xlfn._xlws.FILTER(TablaProductos[Nombre producto],TablaProductos[Agrupación]=ProductosPivot!OLN5)</f>
        <v>#VALUE!</v>
      </c>
      <c r="OLO6" s="68" t="e" cm="1" vm="1">
        <f t="array" ref="OLO6">_xlfn._xlws.FILTER(TablaProductos[Nombre producto],TablaProductos[Agrupación]=ProductosPivot!OLO5)</f>
        <v>#VALUE!</v>
      </c>
      <c r="OLP6" s="68" t="e" cm="1" vm="1">
        <f t="array" ref="OLP6">_xlfn._xlws.FILTER(TablaProductos[Nombre producto],TablaProductos[Agrupación]=ProductosPivot!OLP5)</f>
        <v>#VALUE!</v>
      </c>
      <c r="OLQ6" s="68" t="e" cm="1" vm="1">
        <f t="array" ref="OLQ6">_xlfn._xlws.FILTER(TablaProductos[Nombre producto],TablaProductos[Agrupación]=ProductosPivot!OLQ5)</f>
        <v>#VALUE!</v>
      </c>
      <c r="OLR6" s="68" t="e" cm="1" vm="1">
        <f t="array" ref="OLR6">_xlfn._xlws.FILTER(TablaProductos[Nombre producto],TablaProductos[Agrupación]=ProductosPivot!OLR5)</f>
        <v>#VALUE!</v>
      </c>
      <c r="OLS6" s="68" t="e" cm="1" vm="1">
        <f t="array" ref="OLS6">_xlfn._xlws.FILTER(TablaProductos[Nombre producto],TablaProductos[Agrupación]=ProductosPivot!OLS5)</f>
        <v>#VALUE!</v>
      </c>
      <c r="OLT6" s="68" t="e" cm="1" vm="1">
        <f t="array" ref="OLT6">_xlfn._xlws.FILTER(TablaProductos[Nombre producto],TablaProductos[Agrupación]=ProductosPivot!OLT5)</f>
        <v>#VALUE!</v>
      </c>
      <c r="OLU6" s="68" t="e" cm="1" vm="1">
        <f t="array" ref="OLU6">_xlfn._xlws.FILTER(TablaProductos[Nombre producto],TablaProductos[Agrupación]=ProductosPivot!OLU5)</f>
        <v>#VALUE!</v>
      </c>
      <c r="OLV6" s="68" t="e" cm="1" vm="1">
        <f t="array" ref="OLV6">_xlfn._xlws.FILTER(TablaProductos[Nombre producto],TablaProductos[Agrupación]=ProductosPivot!OLV5)</f>
        <v>#VALUE!</v>
      </c>
      <c r="OLW6" s="68" t="e" cm="1" vm="1">
        <f t="array" ref="OLW6">_xlfn._xlws.FILTER(TablaProductos[Nombre producto],TablaProductos[Agrupación]=ProductosPivot!OLW5)</f>
        <v>#VALUE!</v>
      </c>
      <c r="OLX6" s="68" t="e" cm="1" vm="1">
        <f t="array" ref="OLX6">_xlfn._xlws.FILTER(TablaProductos[Nombre producto],TablaProductos[Agrupación]=ProductosPivot!OLX5)</f>
        <v>#VALUE!</v>
      </c>
      <c r="OLY6" s="68" t="e" cm="1" vm="1">
        <f t="array" ref="OLY6">_xlfn._xlws.FILTER(TablaProductos[Nombre producto],TablaProductos[Agrupación]=ProductosPivot!OLY5)</f>
        <v>#VALUE!</v>
      </c>
      <c r="OLZ6" s="68" t="e" cm="1" vm="1">
        <f t="array" ref="OLZ6">_xlfn._xlws.FILTER(TablaProductos[Nombre producto],TablaProductos[Agrupación]=ProductosPivot!OLZ5)</f>
        <v>#VALUE!</v>
      </c>
      <c r="OMA6" s="68" t="e" cm="1" vm="1">
        <f t="array" ref="OMA6">_xlfn._xlws.FILTER(TablaProductos[Nombre producto],TablaProductos[Agrupación]=ProductosPivot!OMA5)</f>
        <v>#VALUE!</v>
      </c>
      <c r="OMB6" s="68" t="e" cm="1" vm="1">
        <f t="array" ref="OMB6">_xlfn._xlws.FILTER(TablaProductos[Nombre producto],TablaProductos[Agrupación]=ProductosPivot!OMB5)</f>
        <v>#VALUE!</v>
      </c>
      <c r="OMC6" s="68" t="e" cm="1" vm="1">
        <f t="array" ref="OMC6">_xlfn._xlws.FILTER(TablaProductos[Nombre producto],TablaProductos[Agrupación]=ProductosPivot!OMC5)</f>
        <v>#VALUE!</v>
      </c>
      <c r="OMD6" s="68" t="e" cm="1" vm="1">
        <f t="array" ref="OMD6">_xlfn._xlws.FILTER(TablaProductos[Nombre producto],TablaProductos[Agrupación]=ProductosPivot!OMD5)</f>
        <v>#VALUE!</v>
      </c>
      <c r="OME6" s="68" t="e" cm="1" vm="1">
        <f t="array" ref="OME6">_xlfn._xlws.FILTER(TablaProductos[Nombre producto],TablaProductos[Agrupación]=ProductosPivot!OME5)</f>
        <v>#VALUE!</v>
      </c>
      <c r="OMF6" s="68" t="e" cm="1" vm="1">
        <f t="array" ref="OMF6">_xlfn._xlws.FILTER(TablaProductos[Nombre producto],TablaProductos[Agrupación]=ProductosPivot!OMF5)</f>
        <v>#VALUE!</v>
      </c>
      <c r="OMG6" s="68" t="e" cm="1" vm="1">
        <f t="array" ref="OMG6">_xlfn._xlws.FILTER(TablaProductos[Nombre producto],TablaProductos[Agrupación]=ProductosPivot!OMG5)</f>
        <v>#VALUE!</v>
      </c>
      <c r="OMH6" s="68" t="e" cm="1" vm="1">
        <f t="array" ref="OMH6">_xlfn._xlws.FILTER(TablaProductos[Nombre producto],TablaProductos[Agrupación]=ProductosPivot!OMH5)</f>
        <v>#VALUE!</v>
      </c>
      <c r="OMI6" s="68" t="e" cm="1" vm="1">
        <f t="array" ref="OMI6">_xlfn._xlws.FILTER(TablaProductos[Nombre producto],TablaProductos[Agrupación]=ProductosPivot!OMI5)</f>
        <v>#VALUE!</v>
      </c>
      <c r="OMJ6" s="68" t="e" cm="1" vm="1">
        <f t="array" ref="OMJ6">_xlfn._xlws.FILTER(TablaProductos[Nombre producto],TablaProductos[Agrupación]=ProductosPivot!OMJ5)</f>
        <v>#VALUE!</v>
      </c>
      <c r="OMK6" s="68" t="e" cm="1" vm="1">
        <f t="array" ref="OMK6">_xlfn._xlws.FILTER(TablaProductos[Nombre producto],TablaProductos[Agrupación]=ProductosPivot!OMK5)</f>
        <v>#VALUE!</v>
      </c>
      <c r="OML6" s="68" t="e" cm="1" vm="1">
        <f t="array" ref="OML6">_xlfn._xlws.FILTER(TablaProductos[Nombre producto],TablaProductos[Agrupación]=ProductosPivot!OML5)</f>
        <v>#VALUE!</v>
      </c>
      <c r="OMM6" s="68" t="e" cm="1" vm="1">
        <f t="array" ref="OMM6">_xlfn._xlws.FILTER(TablaProductos[Nombre producto],TablaProductos[Agrupación]=ProductosPivot!OMM5)</f>
        <v>#VALUE!</v>
      </c>
      <c r="OMN6" s="68" t="e" cm="1" vm="1">
        <f t="array" ref="OMN6">_xlfn._xlws.FILTER(TablaProductos[Nombre producto],TablaProductos[Agrupación]=ProductosPivot!OMN5)</f>
        <v>#VALUE!</v>
      </c>
      <c r="OMO6" s="68" t="e" cm="1" vm="1">
        <f t="array" ref="OMO6">_xlfn._xlws.FILTER(TablaProductos[Nombre producto],TablaProductos[Agrupación]=ProductosPivot!OMO5)</f>
        <v>#VALUE!</v>
      </c>
      <c r="OMP6" s="68" t="e" cm="1" vm="1">
        <f t="array" ref="OMP6">_xlfn._xlws.FILTER(TablaProductos[Nombre producto],TablaProductos[Agrupación]=ProductosPivot!OMP5)</f>
        <v>#VALUE!</v>
      </c>
      <c r="OMQ6" s="68" t="e" cm="1" vm="1">
        <f t="array" ref="OMQ6">_xlfn._xlws.FILTER(TablaProductos[Nombre producto],TablaProductos[Agrupación]=ProductosPivot!OMQ5)</f>
        <v>#VALUE!</v>
      </c>
      <c r="OMR6" s="68" t="e" cm="1" vm="1">
        <f t="array" ref="OMR6">_xlfn._xlws.FILTER(TablaProductos[Nombre producto],TablaProductos[Agrupación]=ProductosPivot!OMR5)</f>
        <v>#VALUE!</v>
      </c>
      <c r="OMS6" s="68" t="e" cm="1" vm="1">
        <f t="array" ref="OMS6">_xlfn._xlws.FILTER(TablaProductos[Nombre producto],TablaProductos[Agrupación]=ProductosPivot!OMS5)</f>
        <v>#VALUE!</v>
      </c>
      <c r="OMT6" s="68" t="e" cm="1" vm="1">
        <f t="array" ref="OMT6">_xlfn._xlws.FILTER(TablaProductos[Nombre producto],TablaProductos[Agrupación]=ProductosPivot!OMT5)</f>
        <v>#VALUE!</v>
      </c>
      <c r="OMU6" s="68" t="e" cm="1" vm="1">
        <f t="array" ref="OMU6">_xlfn._xlws.FILTER(TablaProductos[Nombre producto],TablaProductos[Agrupación]=ProductosPivot!OMU5)</f>
        <v>#VALUE!</v>
      </c>
      <c r="OMV6" s="68" t="e" cm="1" vm="1">
        <f t="array" ref="OMV6">_xlfn._xlws.FILTER(TablaProductos[Nombre producto],TablaProductos[Agrupación]=ProductosPivot!OMV5)</f>
        <v>#VALUE!</v>
      </c>
      <c r="OMW6" s="68" t="e" cm="1" vm="1">
        <f t="array" ref="OMW6">_xlfn._xlws.FILTER(TablaProductos[Nombre producto],TablaProductos[Agrupación]=ProductosPivot!OMW5)</f>
        <v>#VALUE!</v>
      </c>
      <c r="OMX6" s="68" t="e" cm="1" vm="1">
        <f t="array" ref="OMX6">_xlfn._xlws.FILTER(TablaProductos[Nombre producto],TablaProductos[Agrupación]=ProductosPivot!OMX5)</f>
        <v>#VALUE!</v>
      </c>
      <c r="OMY6" s="68" t="e" cm="1" vm="1">
        <f t="array" ref="OMY6">_xlfn._xlws.FILTER(TablaProductos[Nombre producto],TablaProductos[Agrupación]=ProductosPivot!OMY5)</f>
        <v>#VALUE!</v>
      </c>
      <c r="OMZ6" s="68" t="e" cm="1" vm="1">
        <f t="array" ref="OMZ6">_xlfn._xlws.FILTER(TablaProductos[Nombre producto],TablaProductos[Agrupación]=ProductosPivot!OMZ5)</f>
        <v>#VALUE!</v>
      </c>
      <c r="ONA6" s="68" t="e" cm="1" vm="1">
        <f t="array" ref="ONA6">_xlfn._xlws.FILTER(TablaProductos[Nombre producto],TablaProductos[Agrupación]=ProductosPivot!ONA5)</f>
        <v>#VALUE!</v>
      </c>
      <c r="ONB6" s="68" t="e" cm="1" vm="1">
        <f t="array" ref="ONB6">_xlfn._xlws.FILTER(TablaProductos[Nombre producto],TablaProductos[Agrupación]=ProductosPivot!ONB5)</f>
        <v>#VALUE!</v>
      </c>
      <c r="ONC6" s="68" t="e" cm="1" vm="1">
        <f t="array" ref="ONC6">_xlfn._xlws.FILTER(TablaProductos[Nombre producto],TablaProductos[Agrupación]=ProductosPivot!ONC5)</f>
        <v>#VALUE!</v>
      </c>
      <c r="OND6" s="68" t="e" cm="1" vm="1">
        <f t="array" ref="OND6">_xlfn._xlws.FILTER(TablaProductos[Nombre producto],TablaProductos[Agrupación]=ProductosPivot!OND5)</f>
        <v>#VALUE!</v>
      </c>
      <c r="ONE6" s="68" t="e" cm="1" vm="1">
        <f t="array" ref="ONE6">_xlfn._xlws.FILTER(TablaProductos[Nombre producto],TablaProductos[Agrupación]=ProductosPivot!ONE5)</f>
        <v>#VALUE!</v>
      </c>
      <c r="ONF6" s="68" t="e" cm="1" vm="1">
        <f t="array" ref="ONF6">_xlfn._xlws.FILTER(TablaProductos[Nombre producto],TablaProductos[Agrupación]=ProductosPivot!ONF5)</f>
        <v>#VALUE!</v>
      </c>
      <c r="ONG6" s="68" t="e" cm="1" vm="1">
        <f t="array" ref="ONG6">_xlfn._xlws.FILTER(TablaProductos[Nombre producto],TablaProductos[Agrupación]=ProductosPivot!ONG5)</f>
        <v>#VALUE!</v>
      </c>
      <c r="ONH6" s="68" t="e" cm="1" vm="1">
        <f t="array" ref="ONH6">_xlfn._xlws.FILTER(TablaProductos[Nombre producto],TablaProductos[Agrupación]=ProductosPivot!ONH5)</f>
        <v>#VALUE!</v>
      </c>
      <c r="ONI6" s="68" t="e" cm="1" vm="1">
        <f t="array" ref="ONI6">_xlfn._xlws.FILTER(TablaProductos[Nombre producto],TablaProductos[Agrupación]=ProductosPivot!ONI5)</f>
        <v>#VALUE!</v>
      </c>
      <c r="ONJ6" s="68" t="e" cm="1" vm="1">
        <f t="array" ref="ONJ6">_xlfn._xlws.FILTER(TablaProductos[Nombre producto],TablaProductos[Agrupación]=ProductosPivot!ONJ5)</f>
        <v>#VALUE!</v>
      </c>
      <c r="ONK6" s="68" t="e" cm="1" vm="1">
        <f t="array" ref="ONK6">_xlfn._xlws.FILTER(TablaProductos[Nombre producto],TablaProductos[Agrupación]=ProductosPivot!ONK5)</f>
        <v>#VALUE!</v>
      </c>
      <c r="ONL6" s="68" t="e" cm="1" vm="1">
        <f t="array" ref="ONL6">_xlfn._xlws.FILTER(TablaProductos[Nombre producto],TablaProductos[Agrupación]=ProductosPivot!ONL5)</f>
        <v>#VALUE!</v>
      </c>
      <c r="ONM6" s="68" t="e" cm="1" vm="1">
        <f t="array" ref="ONM6">_xlfn._xlws.FILTER(TablaProductos[Nombre producto],TablaProductos[Agrupación]=ProductosPivot!ONM5)</f>
        <v>#VALUE!</v>
      </c>
      <c r="ONN6" s="68" t="e" cm="1" vm="1">
        <f t="array" ref="ONN6">_xlfn._xlws.FILTER(TablaProductos[Nombre producto],TablaProductos[Agrupación]=ProductosPivot!ONN5)</f>
        <v>#VALUE!</v>
      </c>
      <c r="ONO6" s="68" t="e" cm="1" vm="1">
        <f t="array" ref="ONO6">_xlfn._xlws.FILTER(TablaProductos[Nombre producto],TablaProductos[Agrupación]=ProductosPivot!ONO5)</f>
        <v>#VALUE!</v>
      </c>
      <c r="ONP6" s="68" t="e" cm="1" vm="1">
        <f t="array" ref="ONP6">_xlfn._xlws.FILTER(TablaProductos[Nombre producto],TablaProductos[Agrupación]=ProductosPivot!ONP5)</f>
        <v>#VALUE!</v>
      </c>
      <c r="ONQ6" s="68" t="e" cm="1" vm="1">
        <f t="array" ref="ONQ6">_xlfn._xlws.FILTER(TablaProductos[Nombre producto],TablaProductos[Agrupación]=ProductosPivot!ONQ5)</f>
        <v>#VALUE!</v>
      </c>
      <c r="ONR6" s="68" t="e" cm="1" vm="1">
        <f t="array" ref="ONR6">_xlfn._xlws.FILTER(TablaProductos[Nombre producto],TablaProductos[Agrupación]=ProductosPivot!ONR5)</f>
        <v>#VALUE!</v>
      </c>
      <c r="ONS6" s="68" t="e" cm="1" vm="1">
        <f t="array" ref="ONS6">_xlfn._xlws.FILTER(TablaProductos[Nombre producto],TablaProductos[Agrupación]=ProductosPivot!ONS5)</f>
        <v>#VALUE!</v>
      </c>
      <c r="ONT6" s="68" t="e" cm="1" vm="1">
        <f t="array" ref="ONT6">_xlfn._xlws.FILTER(TablaProductos[Nombre producto],TablaProductos[Agrupación]=ProductosPivot!ONT5)</f>
        <v>#VALUE!</v>
      </c>
      <c r="ONU6" s="68" t="e" cm="1" vm="1">
        <f t="array" ref="ONU6">_xlfn._xlws.FILTER(TablaProductos[Nombre producto],TablaProductos[Agrupación]=ProductosPivot!ONU5)</f>
        <v>#VALUE!</v>
      </c>
      <c r="ONV6" s="68" t="e" cm="1" vm="1">
        <f t="array" ref="ONV6">_xlfn._xlws.FILTER(TablaProductos[Nombre producto],TablaProductos[Agrupación]=ProductosPivot!ONV5)</f>
        <v>#VALUE!</v>
      </c>
      <c r="ONW6" s="68" t="e" cm="1" vm="1">
        <f t="array" ref="ONW6">_xlfn._xlws.FILTER(TablaProductos[Nombre producto],TablaProductos[Agrupación]=ProductosPivot!ONW5)</f>
        <v>#VALUE!</v>
      </c>
      <c r="ONX6" s="68" t="e" cm="1" vm="1">
        <f t="array" ref="ONX6">_xlfn._xlws.FILTER(TablaProductos[Nombre producto],TablaProductos[Agrupación]=ProductosPivot!ONX5)</f>
        <v>#VALUE!</v>
      </c>
      <c r="ONY6" s="68" t="e" cm="1" vm="1">
        <f t="array" ref="ONY6">_xlfn._xlws.FILTER(TablaProductos[Nombre producto],TablaProductos[Agrupación]=ProductosPivot!ONY5)</f>
        <v>#VALUE!</v>
      </c>
      <c r="ONZ6" s="68" t="e" cm="1" vm="1">
        <f t="array" ref="ONZ6">_xlfn._xlws.FILTER(TablaProductos[Nombre producto],TablaProductos[Agrupación]=ProductosPivot!ONZ5)</f>
        <v>#VALUE!</v>
      </c>
      <c r="OOA6" s="68" t="e" cm="1" vm="1">
        <f t="array" ref="OOA6">_xlfn._xlws.FILTER(TablaProductos[Nombre producto],TablaProductos[Agrupación]=ProductosPivot!OOA5)</f>
        <v>#VALUE!</v>
      </c>
      <c r="OOB6" s="68" t="e" cm="1" vm="1">
        <f t="array" ref="OOB6">_xlfn._xlws.FILTER(TablaProductos[Nombre producto],TablaProductos[Agrupación]=ProductosPivot!OOB5)</f>
        <v>#VALUE!</v>
      </c>
      <c r="OOC6" s="68" t="e" cm="1" vm="1">
        <f t="array" ref="OOC6">_xlfn._xlws.FILTER(TablaProductos[Nombre producto],TablaProductos[Agrupación]=ProductosPivot!OOC5)</f>
        <v>#VALUE!</v>
      </c>
      <c r="OOD6" s="68" t="e" cm="1" vm="1">
        <f t="array" ref="OOD6">_xlfn._xlws.FILTER(TablaProductos[Nombre producto],TablaProductos[Agrupación]=ProductosPivot!OOD5)</f>
        <v>#VALUE!</v>
      </c>
      <c r="OOE6" s="68" t="e" cm="1" vm="1">
        <f t="array" ref="OOE6">_xlfn._xlws.FILTER(TablaProductos[Nombre producto],TablaProductos[Agrupación]=ProductosPivot!OOE5)</f>
        <v>#VALUE!</v>
      </c>
      <c r="OOF6" s="68" t="e" cm="1" vm="1">
        <f t="array" ref="OOF6">_xlfn._xlws.FILTER(TablaProductos[Nombre producto],TablaProductos[Agrupación]=ProductosPivot!OOF5)</f>
        <v>#VALUE!</v>
      </c>
      <c r="OOG6" s="68" t="e" cm="1" vm="1">
        <f t="array" ref="OOG6">_xlfn._xlws.FILTER(TablaProductos[Nombre producto],TablaProductos[Agrupación]=ProductosPivot!OOG5)</f>
        <v>#VALUE!</v>
      </c>
      <c r="OOH6" s="68" t="e" cm="1" vm="1">
        <f t="array" ref="OOH6">_xlfn._xlws.FILTER(TablaProductos[Nombre producto],TablaProductos[Agrupación]=ProductosPivot!OOH5)</f>
        <v>#VALUE!</v>
      </c>
      <c r="OOI6" s="68" t="e" cm="1" vm="1">
        <f t="array" ref="OOI6">_xlfn._xlws.FILTER(TablaProductos[Nombre producto],TablaProductos[Agrupación]=ProductosPivot!OOI5)</f>
        <v>#VALUE!</v>
      </c>
      <c r="OOJ6" s="68" t="e" cm="1" vm="1">
        <f t="array" ref="OOJ6">_xlfn._xlws.FILTER(TablaProductos[Nombre producto],TablaProductos[Agrupación]=ProductosPivot!OOJ5)</f>
        <v>#VALUE!</v>
      </c>
      <c r="OOK6" s="68" t="e" cm="1" vm="1">
        <f t="array" ref="OOK6">_xlfn._xlws.FILTER(TablaProductos[Nombre producto],TablaProductos[Agrupación]=ProductosPivot!OOK5)</f>
        <v>#VALUE!</v>
      </c>
      <c r="OOL6" s="68" t="e" cm="1" vm="1">
        <f t="array" ref="OOL6">_xlfn._xlws.FILTER(TablaProductos[Nombre producto],TablaProductos[Agrupación]=ProductosPivot!OOL5)</f>
        <v>#VALUE!</v>
      </c>
      <c r="OOM6" s="68" t="e" cm="1" vm="1">
        <f t="array" ref="OOM6">_xlfn._xlws.FILTER(TablaProductos[Nombre producto],TablaProductos[Agrupación]=ProductosPivot!OOM5)</f>
        <v>#VALUE!</v>
      </c>
      <c r="OON6" s="68" t="e" cm="1" vm="1">
        <f t="array" ref="OON6">_xlfn._xlws.FILTER(TablaProductos[Nombre producto],TablaProductos[Agrupación]=ProductosPivot!OON5)</f>
        <v>#VALUE!</v>
      </c>
      <c r="OOO6" s="68" t="e" cm="1" vm="1">
        <f t="array" ref="OOO6">_xlfn._xlws.FILTER(TablaProductos[Nombre producto],TablaProductos[Agrupación]=ProductosPivot!OOO5)</f>
        <v>#VALUE!</v>
      </c>
      <c r="OOP6" s="68" t="e" cm="1" vm="1">
        <f t="array" ref="OOP6">_xlfn._xlws.FILTER(TablaProductos[Nombre producto],TablaProductos[Agrupación]=ProductosPivot!OOP5)</f>
        <v>#VALUE!</v>
      </c>
      <c r="OOQ6" s="68" t="e" cm="1" vm="1">
        <f t="array" ref="OOQ6">_xlfn._xlws.FILTER(TablaProductos[Nombre producto],TablaProductos[Agrupación]=ProductosPivot!OOQ5)</f>
        <v>#VALUE!</v>
      </c>
      <c r="OOR6" s="68" t="e" cm="1" vm="1">
        <f t="array" ref="OOR6">_xlfn._xlws.FILTER(TablaProductos[Nombre producto],TablaProductos[Agrupación]=ProductosPivot!OOR5)</f>
        <v>#VALUE!</v>
      </c>
      <c r="OOS6" s="68" t="e" cm="1" vm="1">
        <f t="array" ref="OOS6">_xlfn._xlws.FILTER(TablaProductos[Nombre producto],TablaProductos[Agrupación]=ProductosPivot!OOS5)</f>
        <v>#VALUE!</v>
      </c>
      <c r="OOT6" s="68" t="e" cm="1" vm="1">
        <f t="array" ref="OOT6">_xlfn._xlws.FILTER(TablaProductos[Nombre producto],TablaProductos[Agrupación]=ProductosPivot!OOT5)</f>
        <v>#VALUE!</v>
      </c>
      <c r="OOU6" s="68" t="e" cm="1" vm="1">
        <f t="array" ref="OOU6">_xlfn._xlws.FILTER(TablaProductos[Nombre producto],TablaProductos[Agrupación]=ProductosPivot!OOU5)</f>
        <v>#VALUE!</v>
      </c>
      <c r="OOV6" s="68" t="e" cm="1" vm="1">
        <f t="array" ref="OOV6">_xlfn._xlws.FILTER(TablaProductos[Nombre producto],TablaProductos[Agrupación]=ProductosPivot!OOV5)</f>
        <v>#VALUE!</v>
      </c>
      <c r="OOW6" s="68" t="e" cm="1" vm="1">
        <f t="array" ref="OOW6">_xlfn._xlws.FILTER(TablaProductos[Nombre producto],TablaProductos[Agrupación]=ProductosPivot!OOW5)</f>
        <v>#VALUE!</v>
      </c>
      <c r="OOX6" s="68" t="e" cm="1" vm="1">
        <f t="array" ref="OOX6">_xlfn._xlws.FILTER(TablaProductos[Nombre producto],TablaProductos[Agrupación]=ProductosPivot!OOX5)</f>
        <v>#VALUE!</v>
      </c>
      <c r="OOY6" s="68" t="e" cm="1" vm="1">
        <f t="array" ref="OOY6">_xlfn._xlws.FILTER(TablaProductos[Nombre producto],TablaProductos[Agrupación]=ProductosPivot!OOY5)</f>
        <v>#VALUE!</v>
      </c>
      <c r="OOZ6" s="68" t="e" cm="1" vm="1">
        <f t="array" ref="OOZ6">_xlfn._xlws.FILTER(TablaProductos[Nombre producto],TablaProductos[Agrupación]=ProductosPivot!OOZ5)</f>
        <v>#VALUE!</v>
      </c>
      <c r="OPA6" s="68" t="e" cm="1" vm="1">
        <f t="array" ref="OPA6">_xlfn._xlws.FILTER(TablaProductos[Nombre producto],TablaProductos[Agrupación]=ProductosPivot!OPA5)</f>
        <v>#VALUE!</v>
      </c>
      <c r="OPB6" s="68" t="e" cm="1" vm="1">
        <f t="array" ref="OPB6">_xlfn._xlws.FILTER(TablaProductos[Nombre producto],TablaProductos[Agrupación]=ProductosPivot!OPB5)</f>
        <v>#VALUE!</v>
      </c>
      <c r="OPC6" s="68" t="e" cm="1" vm="1">
        <f t="array" ref="OPC6">_xlfn._xlws.FILTER(TablaProductos[Nombre producto],TablaProductos[Agrupación]=ProductosPivot!OPC5)</f>
        <v>#VALUE!</v>
      </c>
      <c r="OPD6" s="68" t="e" cm="1" vm="1">
        <f t="array" ref="OPD6">_xlfn._xlws.FILTER(TablaProductos[Nombre producto],TablaProductos[Agrupación]=ProductosPivot!OPD5)</f>
        <v>#VALUE!</v>
      </c>
      <c r="OPE6" s="68" t="e" cm="1" vm="1">
        <f t="array" ref="OPE6">_xlfn._xlws.FILTER(TablaProductos[Nombre producto],TablaProductos[Agrupación]=ProductosPivot!OPE5)</f>
        <v>#VALUE!</v>
      </c>
      <c r="OPF6" s="68" t="e" cm="1" vm="1">
        <f t="array" ref="OPF6">_xlfn._xlws.FILTER(TablaProductos[Nombre producto],TablaProductos[Agrupación]=ProductosPivot!OPF5)</f>
        <v>#VALUE!</v>
      </c>
      <c r="OPG6" s="68" t="e" cm="1" vm="1">
        <f t="array" ref="OPG6">_xlfn._xlws.FILTER(TablaProductos[Nombre producto],TablaProductos[Agrupación]=ProductosPivot!OPG5)</f>
        <v>#VALUE!</v>
      </c>
      <c r="OPH6" s="68" t="e" cm="1" vm="1">
        <f t="array" ref="OPH6">_xlfn._xlws.FILTER(TablaProductos[Nombre producto],TablaProductos[Agrupación]=ProductosPivot!OPH5)</f>
        <v>#VALUE!</v>
      </c>
      <c r="OPI6" s="68" t="e" cm="1" vm="1">
        <f t="array" ref="OPI6">_xlfn._xlws.FILTER(TablaProductos[Nombre producto],TablaProductos[Agrupación]=ProductosPivot!OPI5)</f>
        <v>#VALUE!</v>
      </c>
      <c r="OPJ6" s="68" t="e" cm="1" vm="1">
        <f t="array" ref="OPJ6">_xlfn._xlws.FILTER(TablaProductos[Nombre producto],TablaProductos[Agrupación]=ProductosPivot!OPJ5)</f>
        <v>#VALUE!</v>
      </c>
      <c r="OPK6" s="68" t="e" cm="1" vm="1">
        <f t="array" ref="OPK6">_xlfn._xlws.FILTER(TablaProductos[Nombre producto],TablaProductos[Agrupación]=ProductosPivot!OPK5)</f>
        <v>#VALUE!</v>
      </c>
      <c r="OPL6" s="68" t="e" cm="1" vm="1">
        <f t="array" ref="OPL6">_xlfn._xlws.FILTER(TablaProductos[Nombre producto],TablaProductos[Agrupación]=ProductosPivot!OPL5)</f>
        <v>#VALUE!</v>
      </c>
      <c r="OPM6" s="68" t="e" cm="1" vm="1">
        <f t="array" ref="OPM6">_xlfn._xlws.FILTER(TablaProductos[Nombre producto],TablaProductos[Agrupación]=ProductosPivot!OPM5)</f>
        <v>#VALUE!</v>
      </c>
      <c r="OPN6" s="68" t="e" cm="1" vm="1">
        <f t="array" ref="OPN6">_xlfn._xlws.FILTER(TablaProductos[Nombre producto],TablaProductos[Agrupación]=ProductosPivot!OPN5)</f>
        <v>#VALUE!</v>
      </c>
      <c r="OPO6" s="68" t="e" cm="1" vm="1">
        <f t="array" ref="OPO6">_xlfn._xlws.FILTER(TablaProductos[Nombre producto],TablaProductos[Agrupación]=ProductosPivot!OPO5)</f>
        <v>#VALUE!</v>
      </c>
      <c r="OPP6" s="68" t="e" cm="1" vm="1">
        <f t="array" ref="OPP6">_xlfn._xlws.FILTER(TablaProductos[Nombre producto],TablaProductos[Agrupación]=ProductosPivot!OPP5)</f>
        <v>#VALUE!</v>
      </c>
      <c r="OPQ6" s="68" t="e" cm="1" vm="1">
        <f t="array" ref="OPQ6">_xlfn._xlws.FILTER(TablaProductos[Nombre producto],TablaProductos[Agrupación]=ProductosPivot!OPQ5)</f>
        <v>#VALUE!</v>
      </c>
      <c r="OPR6" s="68" t="e" cm="1" vm="1">
        <f t="array" ref="OPR6">_xlfn._xlws.FILTER(TablaProductos[Nombre producto],TablaProductos[Agrupación]=ProductosPivot!OPR5)</f>
        <v>#VALUE!</v>
      </c>
      <c r="OPS6" s="68" t="e" cm="1" vm="1">
        <f t="array" ref="OPS6">_xlfn._xlws.FILTER(TablaProductos[Nombre producto],TablaProductos[Agrupación]=ProductosPivot!OPS5)</f>
        <v>#VALUE!</v>
      </c>
      <c r="OPT6" s="68" t="e" cm="1" vm="1">
        <f t="array" ref="OPT6">_xlfn._xlws.FILTER(TablaProductos[Nombre producto],TablaProductos[Agrupación]=ProductosPivot!OPT5)</f>
        <v>#VALUE!</v>
      </c>
      <c r="OPU6" s="68" t="e" cm="1" vm="1">
        <f t="array" ref="OPU6">_xlfn._xlws.FILTER(TablaProductos[Nombre producto],TablaProductos[Agrupación]=ProductosPivot!OPU5)</f>
        <v>#VALUE!</v>
      </c>
      <c r="OPV6" s="68" t="e" cm="1" vm="1">
        <f t="array" ref="OPV6">_xlfn._xlws.FILTER(TablaProductos[Nombre producto],TablaProductos[Agrupación]=ProductosPivot!OPV5)</f>
        <v>#VALUE!</v>
      </c>
      <c r="OPW6" s="68" t="e" cm="1" vm="1">
        <f t="array" ref="OPW6">_xlfn._xlws.FILTER(TablaProductos[Nombre producto],TablaProductos[Agrupación]=ProductosPivot!OPW5)</f>
        <v>#VALUE!</v>
      </c>
      <c r="OPX6" s="68" t="e" cm="1" vm="1">
        <f t="array" ref="OPX6">_xlfn._xlws.FILTER(TablaProductos[Nombre producto],TablaProductos[Agrupación]=ProductosPivot!OPX5)</f>
        <v>#VALUE!</v>
      </c>
      <c r="OPY6" s="68" t="e" cm="1" vm="1">
        <f t="array" ref="OPY6">_xlfn._xlws.FILTER(TablaProductos[Nombre producto],TablaProductos[Agrupación]=ProductosPivot!OPY5)</f>
        <v>#VALUE!</v>
      </c>
      <c r="OPZ6" s="68" t="e" cm="1" vm="1">
        <f t="array" ref="OPZ6">_xlfn._xlws.FILTER(TablaProductos[Nombre producto],TablaProductos[Agrupación]=ProductosPivot!OPZ5)</f>
        <v>#VALUE!</v>
      </c>
      <c r="OQA6" s="68" t="e" cm="1" vm="1">
        <f t="array" ref="OQA6">_xlfn._xlws.FILTER(TablaProductos[Nombre producto],TablaProductos[Agrupación]=ProductosPivot!OQA5)</f>
        <v>#VALUE!</v>
      </c>
      <c r="OQB6" s="68" t="e" cm="1" vm="1">
        <f t="array" ref="OQB6">_xlfn._xlws.FILTER(TablaProductos[Nombre producto],TablaProductos[Agrupación]=ProductosPivot!OQB5)</f>
        <v>#VALUE!</v>
      </c>
      <c r="OQC6" s="68" t="e" cm="1" vm="1">
        <f t="array" ref="OQC6">_xlfn._xlws.FILTER(TablaProductos[Nombre producto],TablaProductos[Agrupación]=ProductosPivot!OQC5)</f>
        <v>#VALUE!</v>
      </c>
      <c r="OQD6" s="68" t="e" cm="1" vm="1">
        <f t="array" ref="OQD6">_xlfn._xlws.FILTER(TablaProductos[Nombre producto],TablaProductos[Agrupación]=ProductosPivot!OQD5)</f>
        <v>#VALUE!</v>
      </c>
      <c r="OQE6" s="68" t="e" cm="1" vm="1">
        <f t="array" ref="OQE6">_xlfn._xlws.FILTER(TablaProductos[Nombre producto],TablaProductos[Agrupación]=ProductosPivot!OQE5)</f>
        <v>#VALUE!</v>
      </c>
      <c r="OQF6" s="68" t="e" cm="1" vm="1">
        <f t="array" ref="OQF6">_xlfn._xlws.FILTER(TablaProductos[Nombre producto],TablaProductos[Agrupación]=ProductosPivot!OQF5)</f>
        <v>#VALUE!</v>
      </c>
      <c r="OQG6" s="68" t="e" cm="1" vm="1">
        <f t="array" ref="OQG6">_xlfn._xlws.FILTER(TablaProductos[Nombre producto],TablaProductos[Agrupación]=ProductosPivot!OQG5)</f>
        <v>#VALUE!</v>
      </c>
      <c r="OQH6" s="68" t="e" cm="1" vm="1">
        <f t="array" ref="OQH6">_xlfn._xlws.FILTER(TablaProductos[Nombre producto],TablaProductos[Agrupación]=ProductosPivot!OQH5)</f>
        <v>#VALUE!</v>
      </c>
      <c r="OQI6" s="68" t="e" cm="1" vm="1">
        <f t="array" ref="OQI6">_xlfn._xlws.FILTER(TablaProductos[Nombre producto],TablaProductos[Agrupación]=ProductosPivot!OQI5)</f>
        <v>#VALUE!</v>
      </c>
      <c r="OQJ6" s="68" t="e" cm="1" vm="1">
        <f t="array" ref="OQJ6">_xlfn._xlws.FILTER(TablaProductos[Nombre producto],TablaProductos[Agrupación]=ProductosPivot!OQJ5)</f>
        <v>#VALUE!</v>
      </c>
      <c r="OQK6" s="68" t="e" cm="1" vm="1">
        <f t="array" ref="OQK6">_xlfn._xlws.FILTER(TablaProductos[Nombre producto],TablaProductos[Agrupación]=ProductosPivot!OQK5)</f>
        <v>#VALUE!</v>
      </c>
      <c r="OQL6" s="68" t="e" cm="1" vm="1">
        <f t="array" ref="OQL6">_xlfn._xlws.FILTER(TablaProductos[Nombre producto],TablaProductos[Agrupación]=ProductosPivot!OQL5)</f>
        <v>#VALUE!</v>
      </c>
      <c r="OQM6" s="68" t="e" cm="1" vm="1">
        <f t="array" ref="OQM6">_xlfn._xlws.FILTER(TablaProductos[Nombre producto],TablaProductos[Agrupación]=ProductosPivot!OQM5)</f>
        <v>#VALUE!</v>
      </c>
      <c r="OQN6" s="68" t="e" cm="1" vm="1">
        <f t="array" ref="OQN6">_xlfn._xlws.FILTER(TablaProductos[Nombre producto],TablaProductos[Agrupación]=ProductosPivot!OQN5)</f>
        <v>#VALUE!</v>
      </c>
      <c r="OQO6" s="68" t="e" cm="1" vm="1">
        <f t="array" ref="OQO6">_xlfn._xlws.FILTER(TablaProductos[Nombre producto],TablaProductos[Agrupación]=ProductosPivot!OQO5)</f>
        <v>#VALUE!</v>
      </c>
      <c r="OQP6" s="68" t="e" cm="1" vm="1">
        <f t="array" ref="OQP6">_xlfn._xlws.FILTER(TablaProductos[Nombre producto],TablaProductos[Agrupación]=ProductosPivot!OQP5)</f>
        <v>#VALUE!</v>
      </c>
      <c r="OQQ6" s="68" t="e" cm="1" vm="1">
        <f t="array" ref="OQQ6">_xlfn._xlws.FILTER(TablaProductos[Nombre producto],TablaProductos[Agrupación]=ProductosPivot!OQQ5)</f>
        <v>#VALUE!</v>
      </c>
      <c r="OQR6" s="68" t="e" cm="1" vm="1">
        <f t="array" ref="OQR6">_xlfn._xlws.FILTER(TablaProductos[Nombre producto],TablaProductos[Agrupación]=ProductosPivot!OQR5)</f>
        <v>#VALUE!</v>
      </c>
      <c r="OQS6" s="68" t="e" cm="1" vm="1">
        <f t="array" ref="OQS6">_xlfn._xlws.FILTER(TablaProductos[Nombre producto],TablaProductos[Agrupación]=ProductosPivot!OQS5)</f>
        <v>#VALUE!</v>
      </c>
      <c r="OQT6" s="68" t="e" cm="1" vm="1">
        <f t="array" ref="OQT6">_xlfn._xlws.FILTER(TablaProductos[Nombre producto],TablaProductos[Agrupación]=ProductosPivot!OQT5)</f>
        <v>#VALUE!</v>
      </c>
      <c r="OQU6" s="68" t="e" cm="1" vm="1">
        <f t="array" ref="OQU6">_xlfn._xlws.FILTER(TablaProductos[Nombre producto],TablaProductos[Agrupación]=ProductosPivot!OQU5)</f>
        <v>#VALUE!</v>
      </c>
      <c r="OQV6" s="68" t="e" cm="1" vm="1">
        <f t="array" ref="OQV6">_xlfn._xlws.FILTER(TablaProductos[Nombre producto],TablaProductos[Agrupación]=ProductosPivot!OQV5)</f>
        <v>#VALUE!</v>
      </c>
      <c r="OQW6" s="68" t="e" cm="1" vm="1">
        <f t="array" ref="OQW6">_xlfn._xlws.FILTER(TablaProductos[Nombre producto],TablaProductos[Agrupación]=ProductosPivot!OQW5)</f>
        <v>#VALUE!</v>
      </c>
      <c r="OQX6" s="68" t="e" cm="1" vm="1">
        <f t="array" ref="OQX6">_xlfn._xlws.FILTER(TablaProductos[Nombre producto],TablaProductos[Agrupación]=ProductosPivot!OQX5)</f>
        <v>#VALUE!</v>
      </c>
      <c r="OQY6" s="68" t="e" cm="1" vm="1">
        <f t="array" ref="OQY6">_xlfn._xlws.FILTER(TablaProductos[Nombre producto],TablaProductos[Agrupación]=ProductosPivot!OQY5)</f>
        <v>#VALUE!</v>
      </c>
      <c r="OQZ6" s="68" t="e" cm="1" vm="1">
        <f t="array" ref="OQZ6">_xlfn._xlws.FILTER(TablaProductos[Nombre producto],TablaProductos[Agrupación]=ProductosPivot!OQZ5)</f>
        <v>#VALUE!</v>
      </c>
      <c r="ORA6" s="68" t="e" cm="1" vm="1">
        <f t="array" ref="ORA6">_xlfn._xlws.FILTER(TablaProductos[Nombre producto],TablaProductos[Agrupación]=ProductosPivot!ORA5)</f>
        <v>#VALUE!</v>
      </c>
      <c r="ORB6" s="68" t="e" cm="1" vm="1">
        <f t="array" ref="ORB6">_xlfn._xlws.FILTER(TablaProductos[Nombre producto],TablaProductos[Agrupación]=ProductosPivot!ORB5)</f>
        <v>#VALUE!</v>
      </c>
      <c r="ORC6" s="68" t="e" cm="1" vm="1">
        <f t="array" ref="ORC6">_xlfn._xlws.FILTER(TablaProductos[Nombre producto],TablaProductos[Agrupación]=ProductosPivot!ORC5)</f>
        <v>#VALUE!</v>
      </c>
      <c r="ORD6" s="68" t="e" cm="1" vm="1">
        <f t="array" ref="ORD6">_xlfn._xlws.FILTER(TablaProductos[Nombre producto],TablaProductos[Agrupación]=ProductosPivot!ORD5)</f>
        <v>#VALUE!</v>
      </c>
      <c r="ORE6" s="68" t="e" cm="1" vm="1">
        <f t="array" ref="ORE6">_xlfn._xlws.FILTER(TablaProductos[Nombre producto],TablaProductos[Agrupación]=ProductosPivot!ORE5)</f>
        <v>#VALUE!</v>
      </c>
      <c r="ORF6" s="68" t="e" cm="1" vm="1">
        <f t="array" ref="ORF6">_xlfn._xlws.FILTER(TablaProductos[Nombre producto],TablaProductos[Agrupación]=ProductosPivot!ORF5)</f>
        <v>#VALUE!</v>
      </c>
      <c r="ORG6" s="68" t="e" cm="1" vm="1">
        <f t="array" ref="ORG6">_xlfn._xlws.FILTER(TablaProductos[Nombre producto],TablaProductos[Agrupación]=ProductosPivot!ORG5)</f>
        <v>#VALUE!</v>
      </c>
      <c r="ORH6" s="68" t="e" cm="1" vm="1">
        <f t="array" ref="ORH6">_xlfn._xlws.FILTER(TablaProductos[Nombre producto],TablaProductos[Agrupación]=ProductosPivot!ORH5)</f>
        <v>#VALUE!</v>
      </c>
      <c r="ORI6" s="68" t="e" cm="1" vm="1">
        <f t="array" ref="ORI6">_xlfn._xlws.FILTER(TablaProductos[Nombre producto],TablaProductos[Agrupación]=ProductosPivot!ORI5)</f>
        <v>#VALUE!</v>
      </c>
      <c r="ORJ6" s="68" t="e" cm="1" vm="1">
        <f t="array" ref="ORJ6">_xlfn._xlws.FILTER(TablaProductos[Nombre producto],TablaProductos[Agrupación]=ProductosPivot!ORJ5)</f>
        <v>#VALUE!</v>
      </c>
      <c r="ORK6" s="68" t="e" cm="1" vm="1">
        <f t="array" ref="ORK6">_xlfn._xlws.FILTER(TablaProductos[Nombre producto],TablaProductos[Agrupación]=ProductosPivot!ORK5)</f>
        <v>#VALUE!</v>
      </c>
      <c r="ORL6" s="68" t="e" cm="1" vm="1">
        <f t="array" ref="ORL6">_xlfn._xlws.FILTER(TablaProductos[Nombre producto],TablaProductos[Agrupación]=ProductosPivot!ORL5)</f>
        <v>#VALUE!</v>
      </c>
      <c r="ORM6" s="68" t="e" cm="1" vm="1">
        <f t="array" ref="ORM6">_xlfn._xlws.FILTER(TablaProductos[Nombre producto],TablaProductos[Agrupación]=ProductosPivot!ORM5)</f>
        <v>#VALUE!</v>
      </c>
      <c r="ORN6" s="68" t="e" cm="1" vm="1">
        <f t="array" ref="ORN6">_xlfn._xlws.FILTER(TablaProductos[Nombre producto],TablaProductos[Agrupación]=ProductosPivot!ORN5)</f>
        <v>#VALUE!</v>
      </c>
      <c r="ORO6" s="68" t="e" cm="1" vm="1">
        <f t="array" ref="ORO6">_xlfn._xlws.FILTER(TablaProductos[Nombre producto],TablaProductos[Agrupación]=ProductosPivot!ORO5)</f>
        <v>#VALUE!</v>
      </c>
      <c r="ORP6" s="68" t="e" cm="1" vm="1">
        <f t="array" ref="ORP6">_xlfn._xlws.FILTER(TablaProductos[Nombre producto],TablaProductos[Agrupación]=ProductosPivot!ORP5)</f>
        <v>#VALUE!</v>
      </c>
      <c r="ORQ6" s="68" t="e" cm="1" vm="1">
        <f t="array" ref="ORQ6">_xlfn._xlws.FILTER(TablaProductos[Nombre producto],TablaProductos[Agrupación]=ProductosPivot!ORQ5)</f>
        <v>#VALUE!</v>
      </c>
      <c r="ORR6" s="68" t="e" cm="1" vm="1">
        <f t="array" ref="ORR6">_xlfn._xlws.FILTER(TablaProductos[Nombre producto],TablaProductos[Agrupación]=ProductosPivot!ORR5)</f>
        <v>#VALUE!</v>
      </c>
      <c r="ORS6" s="68" t="e" cm="1" vm="1">
        <f t="array" ref="ORS6">_xlfn._xlws.FILTER(TablaProductos[Nombre producto],TablaProductos[Agrupación]=ProductosPivot!ORS5)</f>
        <v>#VALUE!</v>
      </c>
      <c r="ORT6" s="68" t="e" cm="1" vm="1">
        <f t="array" ref="ORT6">_xlfn._xlws.FILTER(TablaProductos[Nombre producto],TablaProductos[Agrupación]=ProductosPivot!ORT5)</f>
        <v>#VALUE!</v>
      </c>
      <c r="ORU6" s="68" t="e" cm="1" vm="1">
        <f t="array" ref="ORU6">_xlfn._xlws.FILTER(TablaProductos[Nombre producto],TablaProductos[Agrupación]=ProductosPivot!ORU5)</f>
        <v>#VALUE!</v>
      </c>
      <c r="ORV6" s="68" t="e" cm="1" vm="1">
        <f t="array" ref="ORV6">_xlfn._xlws.FILTER(TablaProductos[Nombre producto],TablaProductos[Agrupación]=ProductosPivot!ORV5)</f>
        <v>#VALUE!</v>
      </c>
      <c r="ORW6" s="68" t="e" cm="1" vm="1">
        <f t="array" ref="ORW6">_xlfn._xlws.FILTER(TablaProductos[Nombre producto],TablaProductos[Agrupación]=ProductosPivot!ORW5)</f>
        <v>#VALUE!</v>
      </c>
      <c r="ORX6" s="68" t="e" cm="1" vm="1">
        <f t="array" ref="ORX6">_xlfn._xlws.FILTER(TablaProductos[Nombre producto],TablaProductos[Agrupación]=ProductosPivot!ORX5)</f>
        <v>#VALUE!</v>
      </c>
      <c r="ORY6" s="68" t="e" cm="1" vm="1">
        <f t="array" ref="ORY6">_xlfn._xlws.FILTER(TablaProductos[Nombre producto],TablaProductos[Agrupación]=ProductosPivot!ORY5)</f>
        <v>#VALUE!</v>
      </c>
      <c r="ORZ6" s="68" t="e" cm="1" vm="1">
        <f t="array" ref="ORZ6">_xlfn._xlws.FILTER(TablaProductos[Nombre producto],TablaProductos[Agrupación]=ProductosPivot!ORZ5)</f>
        <v>#VALUE!</v>
      </c>
      <c r="OSA6" s="68" t="e" cm="1" vm="1">
        <f t="array" ref="OSA6">_xlfn._xlws.FILTER(TablaProductos[Nombre producto],TablaProductos[Agrupación]=ProductosPivot!OSA5)</f>
        <v>#VALUE!</v>
      </c>
      <c r="OSB6" s="68" t="e" cm="1" vm="1">
        <f t="array" ref="OSB6">_xlfn._xlws.FILTER(TablaProductos[Nombre producto],TablaProductos[Agrupación]=ProductosPivot!OSB5)</f>
        <v>#VALUE!</v>
      </c>
      <c r="OSC6" s="68" t="e" cm="1" vm="1">
        <f t="array" ref="OSC6">_xlfn._xlws.FILTER(TablaProductos[Nombre producto],TablaProductos[Agrupación]=ProductosPivot!OSC5)</f>
        <v>#VALUE!</v>
      </c>
      <c r="OSD6" s="68" t="e" cm="1" vm="1">
        <f t="array" ref="OSD6">_xlfn._xlws.FILTER(TablaProductos[Nombre producto],TablaProductos[Agrupación]=ProductosPivot!OSD5)</f>
        <v>#VALUE!</v>
      </c>
      <c r="OSE6" s="68" t="e" cm="1" vm="1">
        <f t="array" ref="OSE6">_xlfn._xlws.FILTER(TablaProductos[Nombre producto],TablaProductos[Agrupación]=ProductosPivot!OSE5)</f>
        <v>#VALUE!</v>
      </c>
      <c r="OSF6" s="68" t="e" cm="1" vm="1">
        <f t="array" ref="OSF6">_xlfn._xlws.FILTER(TablaProductos[Nombre producto],TablaProductos[Agrupación]=ProductosPivot!OSF5)</f>
        <v>#VALUE!</v>
      </c>
      <c r="OSG6" s="68" t="e" cm="1" vm="1">
        <f t="array" ref="OSG6">_xlfn._xlws.FILTER(TablaProductos[Nombre producto],TablaProductos[Agrupación]=ProductosPivot!OSG5)</f>
        <v>#VALUE!</v>
      </c>
      <c r="OSH6" s="68" t="e" cm="1" vm="1">
        <f t="array" ref="OSH6">_xlfn._xlws.FILTER(TablaProductos[Nombre producto],TablaProductos[Agrupación]=ProductosPivot!OSH5)</f>
        <v>#VALUE!</v>
      </c>
      <c r="OSI6" s="68" t="e" cm="1" vm="1">
        <f t="array" ref="OSI6">_xlfn._xlws.FILTER(TablaProductos[Nombre producto],TablaProductos[Agrupación]=ProductosPivot!OSI5)</f>
        <v>#VALUE!</v>
      </c>
      <c r="OSJ6" s="68" t="e" cm="1" vm="1">
        <f t="array" ref="OSJ6">_xlfn._xlws.FILTER(TablaProductos[Nombre producto],TablaProductos[Agrupación]=ProductosPivot!OSJ5)</f>
        <v>#VALUE!</v>
      </c>
      <c r="OSK6" s="68" t="e" cm="1" vm="1">
        <f t="array" ref="OSK6">_xlfn._xlws.FILTER(TablaProductos[Nombre producto],TablaProductos[Agrupación]=ProductosPivot!OSK5)</f>
        <v>#VALUE!</v>
      </c>
      <c r="OSL6" s="68" t="e" cm="1" vm="1">
        <f t="array" ref="OSL6">_xlfn._xlws.FILTER(TablaProductos[Nombre producto],TablaProductos[Agrupación]=ProductosPivot!OSL5)</f>
        <v>#VALUE!</v>
      </c>
      <c r="OSM6" s="68" t="e" cm="1" vm="1">
        <f t="array" ref="OSM6">_xlfn._xlws.FILTER(TablaProductos[Nombre producto],TablaProductos[Agrupación]=ProductosPivot!OSM5)</f>
        <v>#VALUE!</v>
      </c>
      <c r="OSN6" s="68" t="e" cm="1" vm="1">
        <f t="array" ref="OSN6">_xlfn._xlws.FILTER(TablaProductos[Nombre producto],TablaProductos[Agrupación]=ProductosPivot!OSN5)</f>
        <v>#VALUE!</v>
      </c>
      <c r="OSO6" s="68" t="e" cm="1" vm="1">
        <f t="array" ref="OSO6">_xlfn._xlws.FILTER(TablaProductos[Nombre producto],TablaProductos[Agrupación]=ProductosPivot!OSO5)</f>
        <v>#VALUE!</v>
      </c>
      <c r="OSP6" s="68" t="e" cm="1" vm="1">
        <f t="array" ref="OSP6">_xlfn._xlws.FILTER(TablaProductos[Nombre producto],TablaProductos[Agrupación]=ProductosPivot!OSP5)</f>
        <v>#VALUE!</v>
      </c>
      <c r="OSQ6" s="68" t="e" cm="1" vm="1">
        <f t="array" ref="OSQ6">_xlfn._xlws.FILTER(TablaProductos[Nombre producto],TablaProductos[Agrupación]=ProductosPivot!OSQ5)</f>
        <v>#VALUE!</v>
      </c>
      <c r="OSR6" s="68" t="e" cm="1" vm="1">
        <f t="array" ref="OSR6">_xlfn._xlws.FILTER(TablaProductos[Nombre producto],TablaProductos[Agrupación]=ProductosPivot!OSR5)</f>
        <v>#VALUE!</v>
      </c>
      <c r="OSS6" s="68" t="e" cm="1" vm="1">
        <f t="array" ref="OSS6">_xlfn._xlws.FILTER(TablaProductos[Nombre producto],TablaProductos[Agrupación]=ProductosPivot!OSS5)</f>
        <v>#VALUE!</v>
      </c>
      <c r="OST6" s="68" t="e" cm="1" vm="1">
        <f t="array" ref="OST6">_xlfn._xlws.FILTER(TablaProductos[Nombre producto],TablaProductos[Agrupación]=ProductosPivot!OST5)</f>
        <v>#VALUE!</v>
      </c>
      <c r="OSU6" s="68" t="e" cm="1" vm="1">
        <f t="array" ref="OSU6">_xlfn._xlws.FILTER(TablaProductos[Nombre producto],TablaProductos[Agrupación]=ProductosPivot!OSU5)</f>
        <v>#VALUE!</v>
      </c>
      <c r="OSV6" s="68" t="e" cm="1" vm="1">
        <f t="array" ref="OSV6">_xlfn._xlws.FILTER(TablaProductos[Nombre producto],TablaProductos[Agrupación]=ProductosPivot!OSV5)</f>
        <v>#VALUE!</v>
      </c>
      <c r="OSW6" s="68" t="e" cm="1" vm="1">
        <f t="array" ref="OSW6">_xlfn._xlws.FILTER(TablaProductos[Nombre producto],TablaProductos[Agrupación]=ProductosPivot!OSW5)</f>
        <v>#VALUE!</v>
      </c>
      <c r="OSX6" s="68" t="e" cm="1" vm="1">
        <f t="array" ref="OSX6">_xlfn._xlws.FILTER(TablaProductos[Nombre producto],TablaProductos[Agrupación]=ProductosPivot!OSX5)</f>
        <v>#VALUE!</v>
      </c>
      <c r="OSY6" s="68" t="e" cm="1" vm="1">
        <f t="array" ref="OSY6">_xlfn._xlws.FILTER(TablaProductos[Nombre producto],TablaProductos[Agrupación]=ProductosPivot!OSY5)</f>
        <v>#VALUE!</v>
      </c>
      <c r="OSZ6" s="68" t="e" cm="1" vm="1">
        <f t="array" ref="OSZ6">_xlfn._xlws.FILTER(TablaProductos[Nombre producto],TablaProductos[Agrupación]=ProductosPivot!OSZ5)</f>
        <v>#VALUE!</v>
      </c>
      <c r="OTA6" s="68" t="e" cm="1" vm="1">
        <f t="array" ref="OTA6">_xlfn._xlws.FILTER(TablaProductos[Nombre producto],TablaProductos[Agrupación]=ProductosPivot!OTA5)</f>
        <v>#VALUE!</v>
      </c>
      <c r="OTB6" s="68" t="e" cm="1" vm="1">
        <f t="array" ref="OTB6">_xlfn._xlws.FILTER(TablaProductos[Nombre producto],TablaProductos[Agrupación]=ProductosPivot!OTB5)</f>
        <v>#VALUE!</v>
      </c>
      <c r="OTC6" s="68" t="e" cm="1" vm="1">
        <f t="array" ref="OTC6">_xlfn._xlws.FILTER(TablaProductos[Nombre producto],TablaProductos[Agrupación]=ProductosPivot!OTC5)</f>
        <v>#VALUE!</v>
      </c>
      <c r="OTD6" s="68" t="e" cm="1" vm="1">
        <f t="array" ref="OTD6">_xlfn._xlws.FILTER(TablaProductos[Nombre producto],TablaProductos[Agrupación]=ProductosPivot!OTD5)</f>
        <v>#VALUE!</v>
      </c>
      <c r="OTE6" s="68" t="e" cm="1" vm="1">
        <f t="array" ref="OTE6">_xlfn._xlws.FILTER(TablaProductos[Nombre producto],TablaProductos[Agrupación]=ProductosPivot!OTE5)</f>
        <v>#VALUE!</v>
      </c>
      <c r="OTF6" s="68" t="e" cm="1" vm="1">
        <f t="array" ref="OTF6">_xlfn._xlws.FILTER(TablaProductos[Nombre producto],TablaProductos[Agrupación]=ProductosPivot!OTF5)</f>
        <v>#VALUE!</v>
      </c>
      <c r="OTG6" s="68" t="e" cm="1" vm="1">
        <f t="array" ref="OTG6">_xlfn._xlws.FILTER(TablaProductos[Nombre producto],TablaProductos[Agrupación]=ProductosPivot!OTG5)</f>
        <v>#VALUE!</v>
      </c>
      <c r="OTH6" s="68" t="e" cm="1" vm="1">
        <f t="array" ref="OTH6">_xlfn._xlws.FILTER(TablaProductos[Nombre producto],TablaProductos[Agrupación]=ProductosPivot!OTH5)</f>
        <v>#VALUE!</v>
      </c>
      <c r="OTI6" s="68" t="e" cm="1" vm="1">
        <f t="array" ref="OTI6">_xlfn._xlws.FILTER(TablaProductos[Nombre producto],TablaProductos[Agrupación]=ProductosPivot!OTI5)</f>
        <v>#VALUE!</v>
      </c>
      <c r="OTJ6" s="68" t="e" cm="1" vm="1">
        <f t="array" ref="OTJ6">_xlfn._xlws.FILTER(TablaProductos[Nombre producto],TablaProductos[Agrupación]=ProductosPivot!OTJ5)</f>
        <v>#VALUE!</v>
      </c>
      <c r="OTK6" s="68" t="e" cm="1" vm="1">
        <f t="array" ref="OTK6">_xlfn._xlws.FILTER(TablaProductos[Nombre producto],TablaProductos[Agrupación]=ProductosPivot!OTK5)</f>
        <v>#VALUE!</v>
      </c>
      <c r="OTL6" s="68" t="e" cm="1" vm="1">
        <f t="array" ref="OTL6">_xlfn._xlws.FILTER(TablaProductos[Nombre producto],TablaProductos[Agrupación]=ProductosPivot!OTL5)</f>
        <v>#VALUE!</v>
      </c>
      <c r="OTM6" s="68" t="e" cm="1" vm="1">
        <f t="array" ref="OTM6">_xlfn._xlws.FILTER(TablaProductos[Nombre producto],TablaProductos[Agrupación]=ProductosPivot!OTM5)</f>
        <v>#VALUE!</v>
      </c>
      <c r="OTN6" s="68" t="e" cm="1" vm="1">
        <f t="array" ref="OTN6">_xlfn._xlws.FILTER(TablaProductos[Nombre producto],TablaProductos[Agrupación]=ProductosPivot!OTN5)</f>
        <v>#VALUE!</v>
      </c>
      <c r="OTO6" s="68" t="e" cm="1" vm="1">
        <f t="array" ref="OTO6">_xlfn._xlws.FILTER(TablaProductos[Nombre producto],TablaProductos[Agrupación]=ProductosPivot!OTO5)</f>
        <v>#VALUE!</v>
      </c>
      <c r="OTP6" s="68" t="e" cm="1" vm="1">
        <f t="array" ref="OTP6">_xlfn._xlws.FILTER(TablaProductos[Nombre producto],TablaProductos[Agrupación]=ProductosPivot!OTP5)</f>
        <v>#VALUE!</v>
      </c>
      <c r="OTQ6" s="68" t="e" cm="1" vm="1">
        <f t="array" ref="OTQ6">_xlfn._xlws.FILTER(TablaProductos[Nombre producto],TablaProductos[Agrupación]=ProductosPivot!OTQ5)</f>
        <v>#VALUE!</v>
      </c>
      <c r="OTR6" s="68" t="e" cm="1" vm="1">
        <f t="array" ref="OTR6">_xlfn._xlws.FILTER(TablaProductos[Nombre producto],TablaProductos[Agrupación]=ProductosPivot!OTR5)</f>
        <v>#VALUE!</v>
      </c>
      <c r="OTS6" s="68" t="e" cm="1" vm="1">
        <f t="array" ref="OTS6">_xlfn._xlws.FILTER(TablaProductos[Nombre producto],TablaProductos[Agrupación]=ProductosPivot!OTS5)</f>
        <v>#VALUE!</v>
      </c>
      <c r="OTT6" s="68" t="e" cm="1" vm="1">
        <f t="array" ref="OTT6">_xlfn._xlws.FILTER(TablaProductos[Nombre producto],TablaProductos[Agrupación]=ProductosPivot!OTT5)</f>
        <v>#VALUE!</v>
      </c>
      <c r="OTU6" s="68" t="e" cm="1" vm="1">
        <f t="array" ref="OTU6">_xlfn._xlws.FILTER(TablaProductos[Nombre producto],TablaProductos[Agrupación]=ProductosPivot!OTU5)</f>
        <v>#VALUE!</v>
      </c>
      <c r="OTV6" s="68" t="e" cm="1" vm="1">
        <f t="array" ref="OTV6">_xlfn._xlws.FILTER(TablaProductos[Nombre producto],TablaProductos[Agrupación]=ProductosPivot!OTV5)</f>
        <v>#VALUE!</v>
      </c>
      <c r="OTW6" s="68" t="e" cm="1" vm="1">
        <f t="array" ref="OTW6">_xlfn._xlws.FILTER(TablaProductos[Nombre producto],TablaProductos[Agrupación]=ProductosPivot!OTW5)</f>
        <v>#VALUE!</v>
      </c>
      <c r="OTX6" s="68" t="e" cm="1" vm="1">
        <f t="array" ref="OTX6">_xlfn._xlws.FILTER(TablaProductos[Nombre producto],TablaProductos[Agrupación]=ProductosPivot!OTX5)</f>
        <v>#VALUE!</v>
      </c>
      <c r="OTY6" s="68" t="e" cm="1" vm="1">
        <f t="array" ref="OTY6">_xlfn._xlws.FILTER(TablaProductos[Nombre producto],TablaProductos[Agrupación]=ProductosPivot!OTY5)</f>
        <v>#VALUE!</v>
      </c>
      <c r="OTZ6" s="68" t="e" cm="1" vm="1">
        <f t="array" ref="OTZ6">_xlfn._xlws.FILTER(TablaProductos[Nombre producto],TablaProductos[Agrupación]=ProductosPivot!OTZ5)</f>
        <v>#VALUE!</v>
      </c>
      <c r="OUA6" s="68" t="e" cm="1" vm="1">
        <f t="array" ref="OUA6">_xlfn._xlws.FILTER(TablaProductos[Nombre producto],TablaProductos[Agrupación]=ProductosPivot!OUA5)</f>
        <v>#VALUE!</v>
      </c>
      <c r="OUB6" s="68" t="e" cm="1" vm="1">
        <f t="array" ref="OUB6">_xlfn._xlws.FILTER(TablaProductos[Nombre producto],TablaProductos[Agrupación]=ProductosPivot!OUB5)</f>
        <v>#VALUE!</v>
      </c>
      <c r="OUC6" s="68" t="e" cm="1" vm="1">
        <f t="array" ref="OUC6">_xlfn._xlws.FILTER(TablaProductos[Nombre producto],TablaProductos[Agrupación]=ProductosPivot!OUC5)</f>
        <v>#VALUE!</v>
      </c>
      <c r="OUD6" s="68" t="e" cm="1" vm="1">
        <f t="array" ref="OUD6">_xlfn._xlws.FILTER(TablaProductos[Nombre producto],TablaProductos[Agrupación]=ProductosPivot!OUD5)</f>
        <v>#VALUE!</v>
      </c>
      <c r="OUE6" s="68" t="e" cm="1" vm="1">
        <f t="array" ref="OUE6">_xlfn._xlws.FILTER(TablaProductos[Nombre producto],TablaProductos[Agrupación]=ProductosPivot!OUE5)</f>
        <v>#VALUE!</v>
      </c>
      <c r="OUF6" s="68" t="e" cm="1" vm="1">
        <f t="array" ref="OUF6">_xlfn._xlws.FILTER(TablaProductos[Nombre producto],TablaProductos[Agrupación]=ProductosPivot!OUF5)</f>
        <v>#VALUE!</v>
      </c>
      <c r="OUG6" s="68" t="e" cm="1" vm="1">
        <f t="array" ref="OUG6">_xlfn._xlws.FILTER(TablaProductos[Nombre producto],TablaProductos[Agrupación]=ProductosPivot!OUG5)</f>
        <v>#VALUE!</v>
      </c>
      <c r="OUH6" s="68" t="e" cm="1" vm="1">
        <f t="array" ref="OUH6">_xlfn._xlws.FILTER(TablaProductos[Nombre producto],TablaProductos[Agrupación]=ProductosPivot!OUH5)</f>
        <v>#VALUE!</v>
      </c>
      <c r="OUI6" s="68" t="e" cm="1" vm="1">
        <f t="array" ref="OUI6">_xlfn._xlws.FILTER(TablaProductos[Nombre producto],TablaProductos[Agrupación]=ProductosPivot!OUI5)</f>
        <v>#VALUE!</v>
      </c>
      <c r="OUJ6" s="68" t="e" cm="1" vm="1">
        <f t="array" ref="OUJ6">_xlfn._xlws.FILTER(TablaProductos[Nombre producto],TablaProductos[Agrupación]=ProductosPivot!OUJ5)</f>
        <v>#VALUE!</v>
      </c>
      <c r="OUK6" s="68" t="e" cm="1" vm="1">
        <f t="array" ref="OUK6">_xlfn._xlws.FILTER(TablaProductos[Nombre producto],TablaProductos[Agrupación]=ProductosPivot!OUK5)</f>
        <v>#VALUE!</v>
      </c>
      <c r="OUL6" s="68" t="e" cm="1" vm="1">
        <f t="array" ref="OUL6">_xlfn._xlws.FILTER(TablaProductos[Nombre producto],TablaProductos[Agrupación]=ProductosPivot!OUL5)</f>
        <v>#VALUE!</v>
      </c>
      <c r="OUM6" s="68" t="e" cm="1" vm="1">
        <f t="array" ref="OUM6">_xlfn._xlws.FILTER(TablaProductos[Nombre producto],TablaProductos[Agrupación]=ProductosPivot!OUM5)</f>
        <v>#VALUE!</v>
      </c>
      <c r="OUN6" s="68" t="e" cm="1" vm="1">
        <f t="array" ref="OUN6">_xlfn._xlws.FILTER(TablaProductos[Nombre producto],TablaProductos[Agrupación]=ProductosPivot!OUN5)</f>
        <v>#VALUE!</v>
      </c>
      <c r="OUO6" s="68" t="e" cm="1" vm="1">
        <f t="array" ref="OUO6">_xlfn._xlws.FILTER(TablaProductos[Nombre producto],TablaProductos[Agrupación]=ProductosPivot!OUO5)</f>
        <v>#VALUE!</v>
      </c>
      <c r="OUP6" s="68" t="e" cm="1" vm="1">
        <f t="array" ref="OUP6">_xlfn._xlws.FILTER(TablaProductos[Nombre producto],TablaProductos[Agrupación]=ProductosPivot!OUP5)</f>
        <v>#VALUE!</v>
      </c>
      <c r="OUQ6" s="68" t="e" cm="1" vm="1">
        <f t="array" ref="OUQ6">_xlfn._xlws.FILTER(TablaProductos[Nombre producto],TablaProductos[Agrupación]=ProductosPivot!OUQ5)</f>
        <v>#VALUE!</v>
      </c>
      <c r="OUR6" s="68" t="e" cm="1" vm="1">
        <f t="array" ref="OUR6">_xlfn._xlws.FILTER(TablaProductos[Nombre producto],TablaProductos[Agrupación]=ProductosPivot!OUR5)</f>
        <v>#VALUE!</v>
      </c>
      <c r="OUS6" s="68" t="e" cm="1" vm="1">
        <f t="array" ref="OUS6">_xlfn._xlws.FILTER(TablaProductos[Nombre producto],TablaProductos[Agrupación]=ProductosPivot!OUS5)</f>
        <v>#VALUE!</v>
      </c>
      <c r="OUT6" s="68" t="e" cm="1" vm="1">
        <f t="array" ref="OUT6">_xlfn._xlws.FILTER(TablaProductos[Nombre producto],TablaProductos[Agrupación]=ProductosPivot!OUT5)</f>
        <v>#VALUE!</v>
      </c>
      <c r="OUU6" s="68" t="e" cm="1" vm="1">
        <f t="array" ref="OUU6">_xlfn._xlws.FILTER(TablaProductos[Nombre producto],TablaProductos[Agrupación]=ProductosPivot!OUU5)</f>
        <v>#VALUE!</v>
      </c>
      <c r="OUV6" s="68" t="e" cm="1" vm="1">
        <f t="array" ref="OUV6">_xlfn._xlws.FILTER(TablaProductos[Nombre producto],TablaProductos[Agrupación]=ProductosPivot!OUV5)</f>
        <v>#VALUE!</v>
      </c>
      <c r="OUW6" s="68" t="e" cm="1" vm="1">
        <f t="array" ref="OUW6">_xlfn._xlws.FILTER(TablaProductos[Nombre producto],TablaProductos[Agrupación]=ProductosPivot!OUW5)</f>
        <v>#VALUE!</v>
      </c>
      <c r="OUX6" s="68" t="e" cm="1" vm="1">
        <f t="array" ref="OUX6">_xlfn._xlws.FILTER(TablaProductos[Nombre producto],TablaProductos[Agrupación]=ProductosPivot!OUX5)</f>
        <v>#VALUE!</v>
      </c>
      <c r="OUY6" s="68" t="e" cm="1" vm="1">
        <f t="array" ref="OUY6">_xlfn._xlws.FILTER(TablaProductos[Nombre producto],TablaProductos[Agrupación]=ProductosPivot!OUY5)</f>
        <v>#VALUE!</v>
      </c>
      <c r="OUZ6" s="68" t="e" cm="1" vm="1">
        <f t="array" ref="OUZ6">_xlfn._xlws.FILTER(TablaProductos[Nombre producto],TablaProductos[Agrupación]=ProductosPivot!OUZ5)</f>
        <v>#VALUE!</v>
      </c>
      <c r="OVA6" s="68" t="e" cm="1" vm="1">
        <f t="array" ref="OVA6">_xlfn._xlws.FILTER(TablaProductos[Nombre producto],TablaProductos[Agrupación]=ProductosPivot!OVA5)</f>
        <v>#VALUE!</v>
      </c>
      <c r="OVB6" s="68" t="e" cm="1" vm="1">
        <f t="array" ref="OVB6">_xlfn._xlws.FILTER(TablaProductos[Nombre producto],TablaProductos[Agrupación]=ProductosPivot!OVB5)</f>
        <v>#VALUE!</v>
      </c>
      <c r="OVC6" s="68" t="e" cm="1" vm="1">
        <f t="array" ref="OVC6">_xlfn._xlws.FILTER(TablaProductos[Nombre producto],TablaProductos[Agrupación]=ProductosPivot!OVC5)</f>
        <v>#VALUE!</v>
      </c>
      <c r="OVD6" s="68" t="e" cm="1" vm="1">
        <f t="array" ref="OVD6">_xlfn._xlws.FILTER(TablaProductos[Nombre producto],TablaProductos[Agrupación]=ProductosPivot!OVD5)</f>
        <v>#VALUE!</v>
      </c>
      <c r="OVE6" s="68" t="e" cm="1" vm="1">
        <f t="array" ref="OVE6">_xlfn._xlws.FILTER(TablaProductos[Nombre producto],TablaProductos[Agrupación]=ProductosPivot!OVE5)</f>
        <v>#VALUE!</v>
      </c>
      <c r="OVF6" s="68" t="e" cm="1" vm="1">
        <f t="array" ref="OVF6">_xlfn._xlws.FILTER(TablaProductos[Nombre producto],TablaProductos[Agrupación]=ProductosPivot!OVF5)</f>
        <v>#VALUE!</v>
      </c>
      <c r="OVG6" s="68" t="e" cm="1" vm="1">
        <f t="array" ref="OVG6">_xlfn._xlws.FILTER(TablaProductos[Nombre producto],TablaProductos[Agrupación]=ProductosPivot!OVG5)</f>
        <v>#VALUE!</v>
      </c>
      <c r="OVH6" s="68" t="e" cm="1" vm="1">
        <f t="array" ref="OVH6">_xlfn._xlws.FILTER(TablaProductos[Nombre producto],TablaProductos[Agrupación]=ProductosPivot!OVH5)</f>
        <v>#VALUE!</v>
      </c>
      <c r="OVI6" s="68" t="e" cm="1" vm="1">
        <f t="array" ref="OVI6">_xlfn._xlws.FILTER(TablaProductos[Nombre producto],TablaProductos[Agrupación]=ProductosPivot!OVI5)</f>
        <v>#VALUE!</v>
      </c>
      <c r="OVJ6" s="68" t="e" cm="1" vm="1">
        <f t="array" ref="OVJ6">_xlfn._xlws.FILTER(TablaProductos[Nombre producto],TablaProductos[Agrupación]=ProductosPivot!OVJ5)</f>
        <v>#VALUE!</v>
      </c>
      <c r="OVK6" s="68" t="e" cm="1" vm="1">
        <f t="array" ref="OVK6">_xlfn._xlws.FILTER(TablaProductos[Nombre producto],TablaProductos[Agrupación]=ProductosPivot!OVK5)</f>
        <v>#VALUE!</v>
      </c>
      <c r="OVL6" s="68" t="e" cm="1" vm="1">
        <f t="array" ref="OVL6">_xlfn._xlws.FILTER(TablaProductos[Nombre producto],TablaProductos[Agrupación]=ProductosPivot!OVL5)</f>
        <v>#VALUE!</v>
      </c>
      <c r="OVM6" s="68" t="e" cm="1" vm="1">
        <f t="array" ref="OVM6">_xlfn._xlws.FILTER(TablaProductos[Nombre producto],TablaProductos[Agrupación]=ProductosPivot!OVM5)</f>
        <v>#VALUE!</v>
      </c>
      <c r="OVN6" s="68" t="e" cm="1" vm="1">
        <f t="array" ref="OVN6">_xlfn._xlws.FILTER(TablaProductos[Nombre producto],TablaProductos[Agrupación]=ProductosPivot!OVN5)</f>
        <v>#VALUE!</v>
      </c>
      <c r="OVO6" s="68" t="e" cm="1" vm="1">
        <f t="array" ref="OVO6">_xlfn._xlws.FILTER(TablaProductos[Nombre producto],TablaProductos[Agrupación]=ProductosPivot!OVO5)</f>
        <v>#VALUE!</v>
      </c>
      <c r="OVP6" s="68" t="e" cm="1" vm="1">
        <f t="array" ref="OVP6">_xlfn._xlws.FILTER(TablaProductos[Nombre producto],TablaProductos[Agrupación]=ProductosPivot!OVP5)</f>
        <v>#VALUE!</v>
      </c>
      <c r="OVQ6" s="68" t="e" cm="1" vm="1">
        <f t="array" ref="OVQ6">_xlfn._xlws.FILTER(TablaProductos[Nombre producto],TablaProductos[Agrupación]=ProductosPivot!OVQ5)</f>
        <v>#VALUE!</v>
      </c>
      <c r="OVR6" s="68" t="e" cm="1" vm="1">
        <f t="array" ref="OVR6">_xlfn._xlws.FILTER(TablaProductos[Nombre producto],TablaProductos[Agrupación]=ProductosPivot!OVR5)</f>
        <v>#VALUE!</v>
      </c>
      <c r="OVS6" s="68" t="e" cm="1" vm="1">
        <f t="array" ref="OVS6">_xlfn._xlws.FILTER(TablaProductos[Nombre producto],TablaProductos[Agrupación]=ProductosPivot!OVS5)</f>
        <v>#VALUE!</v>
      </c>
      <c r="OVT6" s="68" t="e" cm="1" vm="1">
        <f t="array" ref="OVT6">_xlfn._xlws.FILTER(TablaProductos[Nombre producto],TablaProductos[Agrupación]=ProductosPivot!OVT5)</f>
        <v>#VALUE!</v>
      </c>
      <c r="OVU6" s="68" t="e" cm="1" vm="1">
        <f t="array" ref="OVU6">_xlfn._xlws.FILTER(TablaProductos[Nombre producto],TablaProductos[Agrupación]=ProductosPivot!OVU5)</f>
        <v>#VALUE!</v>
      </c>
      <c r="OVV6" s="68" t="e" cm="1" vm="1">
        <f t="array" ref="OVV6">_xlfn._xlws.FILTER(TablaProductos[Nombre producto],TablaProductos[Agrupación]=ProductosPivot!OVV5)</f>
        <v>#VALUE!</v>
      </c>
      <c r="OVW6" s="68" t="e" cm="1" vm="1">
        <f t="array" ref="OVW6">_xlfn._xlws.FILTER(TablaProductos[Nombre producto],TablaProductos[Agrupación]=ProductosPivot!OVW5)</f>
        <v>#VALUE!</v>
      </c>
      <c r="OVX6" s="68" t="e" cm="1" vm="1">
        <f t="array" ref="OVX6">_xlfn._xlws.FILTER(TablaProductos[Nombre producto],TablaProductos[Agrupación]=ProductosPivot!OVX5)</f>
        <v>#VALUE!</v>
      </c>
      <c r="OVY6" s="68" t="e" cm="1" vm="1">
        <f t="array" ref="OVY6">_xlfn._xlws.FILTER(TablaProductos[Nombre producto],TablaProductos[Agrupación]=ProductosPivot!OVY5)</f>
        <v>#VALUE!</v>
      </c>
      <c r="OVZ6" s="68" t="e" cm="1" vm="1">
        <f t="array" ref="OVZ6">_xlfn._xlws.FILTER(TablaProductos[Nombre producto],TablaProductos[Agrupación]=ProductosPivot!OVZ5)</f>
        <v>#VALUE!</v>
      </c>
      <c r="OWA6" s="68" t="e" cm="1" vm="1">
        <f t="array" ref="OWA6">_xlfn._xlws.FILTER(TablaProductos[Nombre producto],TablaProductos[Agrupación]=ProductosPivot!OWA5)</f>
        <v>#VALUE!</v>
      </c>
      <c r="OWB6" s="68" t="e" cm="1" vm="1">
        <f t="array" ref="OWB6">_xlfn._xlws.FILTER(TablaProductos[Nombre producto],TablaProductos[Agrupación]=ProductosPivot!OWB5)</f>
        <v>#VALUE!</v>
      </c>
      <c r="OWC6" s="68" t="e" cm="1" vm="1">
        <f t="array" ref="OWC6">_xlfn._xlws.FILTER(TablaProductos[Nombre producto],TablaProductos[Agrupación]=ProductosPivot!OWC5)</f>
        <v>#VALUE!</v>
      </c>
      <c r="OWD6" s="68" t="e" cm="1" vm="1">
        <f t="array" ref="OWD6">_xlfn._xlws.FILTER(TablaProductos[Nombre producto],TablaProductos[Agrupación]=ProductosPivot!OWD5)</f>
        <v>#VALUE!</v>
      </c>
      <c r="OWE6" s="68" t="e" cm="1" vm="1">
        <f t="array" ref="OWE6">_xlfn._xlws.FILTER(TablaProductos[Nombre producto],TablaProductos[Agrupación]=ProductosPivot!OWE5)</f>
        <v>#VALUE!</v>
      </c>
      <c r="OWF6" s="68" t="e" cm="1" vm="1">
        <f t="array" ref="OWF6">_xlfn._xlws.FILTER(TablaProductos[Nombre producto],TablaProductos[Agrupación]=ProductosPivot!OWF5)</f>
        <v>#VALUE!</v>
      </c>
      <c r="OWG6" s="68" t="e" cm="1" vm="1">
        <f t="array" ref="OWG6">_xlfn._xlws.FILTER(TablaProductos[Nombre producto],TablaProductos[Agrupación]=ProductosPivot!OWG5)</f>
        <v>#VALUE!</v>
      </c>
      <c r="OWH6" s="68" t="e" cm="1" vm="1">
        <f t="array" ref="OWH6">_xlfn._xlws.FILTER(TablaProductos[Nombre producto],TablaProductos[Agrupación]=ProductosPivot!OWH5)</f>
        <v>#VALUE!</v>
      </c>
      <c r="OWI6" s="68" t="e" cm="1" vm="1">
        <f t="array" ref="OWI6">_xlfn._xlws.FILTER(TablaProductos[Nombre producto],TablaProductos[Agrupación]=ProductosPivot!OWI5)</f>
        <v>#VALUE!</v>
      </c>
      <c r="OWJ6" s="68" t="e" cm="1" vm="1">
        <f t="array" ref="OWJ6">_xlfn._xlws.FILTER(TablaProductos[Nombre producto],TablaProductos[Agrupación]=ProductosPivot!OWJ5)</f>
        <v>#VALUE!</v>
      </c>
      <c r="OWK6" s="68" t="e" cm="1" vm="1">
        <f t="array" ref="OWK6">_xlfn._xlws.FILTER(TablaProductos[Nombre producto],TablaProductos[Agrupación]=ProductosPivot!OWK5)</f>
        <v>#VALUE!</v>
      </c>
      <c r="OWL6" s="68" t="e" cm="1" vm="1">
        <f t="array" ref="OWL6">_xlfn._xlws.FILTER(TablaProductos[Nombre producto],TablaProductos[Agrupación]=ProductosPivot!OWL5)</f>
        <v>#VALUE!</v>
      </c>
      <c r="OWM6" s="68" t="e" cm="1" vm="1">
        <f t="array" ref="OWM6">_xlfn._xlws.FILTER(TablaProductos[Nombre producto],TablaProductos[Agrupación]=ProductosPivot!OWM5)</f>
        <v>#VALUE!</v>
      </c>
      <c r="OWN6" s="68" t="e" cm="1" vm="1">
        <f t="array" ref="OWN6">_xlfn._xlws.FILTER(TablaProductos[Nombre producto],TablaProductos[Agrupación]=ProductosPivot!OWN5)</f>
        <v>#VALUE!</v>
      </c>
      <c r="OWO6" s="68" t="e" cm="1" vm="1">
        <f t="array" ref="OWO6">_xlfn._xlws.FILTER(TablaProductos[Nombre producto],TablaProductos[Agrupación]=ProductosPivot!OWO5)</f>
        <v>#VALUE!</v>
      </c>
      <c r="OWP6" s="68" t="e" cm="1" vm="1">
        <f t="array" ref="OWP6">_xlfn._xlws.FILTER(TablaProductos[Nombre producto],TablaProductos[Agrupación]=ProductosPivot!OWP5)</f>
        <v>#VALUE!</v>
      </c>
      <c r="OWQ6" s="68" t="e" cm="1" vm="1">
        <f t="array" ref="OWQ6">_xlfn._xlws.FILTER(TablaProductos[Nombre producto],TablaProductos[Agrupación]=ProductosPivot!OWQ5)</f>
        <v>#VALUE!</v>
      </c>
      <c r="OWR6" s="68" t="e" cm="1" vm="1">
        <f t="array" ref="OWR6">_xlfn._xlws.FILTER(TablaProductos[Nombre producto],TablaProductos[Agrupación]=ProductosPivot!OWR5)</f>
        <v>#VALUE!</v>
      </c>
      <c r="OWS6" s="68" t="e" cm="1" vm="1">
        <f t="array" ref="OWS6">_xlfn._xlws.FILTER(TablaProductos[Nombre producto],TablaProductos[Agrupación]=ProductosPivot!OWS5)</f>
        <v>#VALUE!</v>
      </c>
      <c r="OWT6" s="68" t="e" cm="1" vm="1">
        <f t="array" ref="OWT6">_xlfn._xlws.FILTER(TablaProductos[Nombre producto],TablaProductos[Agrupación]=ProductosPivot!OWT5)</f>
        <v>#VALUE!</v>
      </c>
      <c r="OWU6" s="68" t="e" cm="1" vm="1">
        <f t="array" ref="OWU6">_xlfn._xlws.FILTER(TablaProductos[Nombre producto],TablaProductos[Agrupación]=ProductosPivot!OWU5)</f>
        <v>#VALUE!</v>
      </c>
      <c r="OWV6" s="68" t="e" cm="1" vm="1">
        <f t="array" ref="OWV6">_xlfn._xlws.FILTER(TablaProductos[Nombre producto],TablaProductos[Agrupación]=ProductosPivot!OWV5)</f>
        <v>#VALUE!</v>
      </c>
      <c r="OWW6" s="68" t="e" cm="1" vm="1">
        <f t="array" ref="OWW6">_xlfn._xlws.FILTER(TablaProductos[Nombre producto],TablaProductos[Agrupación]=ProductosPivot!OWW5)</f>
        <v>#VALUE!</v>
      </c>
      <c r="OWX6" s="68" t="e" cm="1" vm="1">
        <f t="array" ref="OWX6">_xlfn._xlws.FILTER(TablaProductos[Nombre producto],TablaProductos[Agrupación]=ProductosPivot!OWX5)</f>
        <v>#VALUE!</v>
      </c>
      <c r="OWY6" s="68" t="e" cm="1" vm="1">
        <f t="array" ref="OWY6">_xlfn._xlws.FILTER(TablaProductos[Nombre producto],TablaProductos[Agrupación]=ProductosPivot!OWY5)</f>
        <v>#VALUE!</v>
      </c>
      <c r="OWZ6" s="68" t="e" cm="1" vm="1">
        <f t="array" ref="OWZ6">_xlfn._xlws.FILTER(TablaProductos[Nombre producto],TablaProductos[Agrupación]=ProductosPivot!OWZ5)</f>
        <v>#VALUE!</v>
      </c>
      <c r="OXA6" s="68" t="e" cm="1" vm="1">
        <f t="array" ref="OXA6">_xlfn._xlws.FILTER(TablaProductos[Nombre producto],TablaProductos[Agrupación]=ProductosPivot!OXA5)</f>
        <v>#VALUE!</v>
      </c>
      <c r="OXB6" s="68" t="e" cm="1" vm="1">
        <f t="array" ref="OXB6">_xlfn._xlws.FILTER(TablaProductos[Nombre producto],TablaProductos[Agrupación]=ProductosPivot!OXB5)</f>
        <v>#VALUE!</v>
      </c>
      <c r="OXC6" s="68" t="e" cm="1" vm="1">
        <f t="array" ref="OXC6">_xlfn._xlws.FILTER(TablaProductos[Nombre producto],TablaProductos[Agrupación]=ProductosPivot!OXC5)</f>
        <v>#VALUE!</v>
      </c>
      <c r="OXD6" s="68" t="e" cm="1" vm="1">
        <f t="array" ref="OXD6">_xlfn._xlws.FILTER(TablaProductos[Nombre producto],TablaProductos[Agrupación]=ProductosPivot!OXD5)</f>
        <v>#VALUE!</v>
      </c>
      <c r="OXE6" s="68" t="e" cm="1" vm="1">
        <f t="array" ref="OXE6">_xlfn._xlws.FILTER(TablaProductos[Nombre producto],TablaProductos[Agrupación]=ProductosPivot!OXE5)</f>
        <v>#VALUE!</v>
      </c>
      <c r="OXF6" s="68" t="e" cm="1" vm="1">
        <f t="array" ref="OXF6">_xlfn._xlws.FILTER(TablaProductos[Nombre producto],TablaProductos[Agrupación]=ProductosPivot!OXF5)</f>
        <v>#VALUE!</v>
      </c>
      <c r="OXG6" s="68" t="e" cm="1" vm="1">
        <f t="array" ref="OXG6">_xlfn._xlws.FILTER(TablaProductos[Nombre producto],TablaProductos[Agrupación]=ProductosPivot!OXG5)</f>
        <v>#VALUE!</v>
      </c>
      <c r="OXH6" s="68" t="e" cm="1" vm="1">
        <f t="array" ref="OXH6">_xlfn._xlws.FILTER(TablaProductos[Nombre producto],TablaProductos[Agrupación]=ProductosPivot!OXH5)</f>
        <v>#VALUE!</v>
      </c>
      <c r="OXI6" s="68" t="e" cm="1" vm="1">
        <f t="array" ref="OXI6">_xlfn._xlws.FILTER(TablaProductos[Nombre producto],TablaProductos[Agrupación]=ProductosPivot!OXI5)</f>
        <v>#VALUE!</v>
      </c>
      <c r="OXJ6" s="68" t="e" cm="1" vm="1">
        <f t="array" ref="OXJ6">_xlfn._xlws.FILTER(TablaProductos[Nombre producto],TablaProductos[Agrupación]=ProductosPivot!OXJ5)</f>
        <v>#VALUE!</v>
      </c>
      <c r="OXK6" s="68" t="e" cm="1" vm="1">
        <f t="array" ref="OXK6">_xlfn._xlws.FILTER(TablaProductos[Nombre producto],TablaProductos[Agrupación]=ProductosPivot!OXK5)</f>
        <v>#VALUE!</v>
      </c>
      <c r="OXL6" s="68" t="e" cm="1" vm="1">
        <f t="array" ref="OXL6">_xlfn._xlws.FILTER(TablaProductos[Nombre producto],TablaProductos[Agrupación]=ProductosPivot!OXL5)</f>
        <v>#VALUE!</v>
      </c>
      <c r="OXM6" s="68" t="e" cm="1" vm="1">
        <f t="array" ref="OXM6">_xlfn._xlws.FILTER(TablaProductos[Nombre producto],TablaProductos[Agrupación]=ProductosPivot!OXM5)</f>
        <v>#VALUE!</v>
      </c>
      <c r="OXN6" s="68" t="e" cm="1" vm="1">
        <f t="array" ref="OXN6">_xlfn._xlws.FILTER(TablaProductos[Nombre producto],TablaProductos[Agrupación]=ProductosPivot!OXN5)</f>
        <v>#VALUE!</v>
      </c>
      <c r="OXO6" s="68" t="e" cm="1" vm="1">
        <f t="array" ref="OXO6">_xlfn._xlws.FILTER(TablaProductos[Nombre producto],TablaProductos[Agrupación]=ProductosPivot!OXO5)</f>
        <v>#VALUE!</v>
      </c>
      <c r="OXP6" s="68" t="e" cm="1" vm="1">
        <f t="array" ref="OXP6">_xlfn._xlws.FILTER(TablaProductos[Nombre producto],TablaProductos[Agrupación]=ProductosPivot!OXP5)</f>
        <v>#VALUE!</v>
      </c>
      <c r="OXQ6" s="68" t="e" cm="1" vm="1">
        <f t="array" ref="OXQ6">_xlfn._xlws.FILTER(TablaProductos[Nombre producto],TablaProductos[Agrupación]=ProductosPivot!OXQ5)</f>
        <v>#VALUE!</v>
      </c>
      <c r="OXR6" s="68" t="e" cm="1" vm="1">
        <f t="array" ref="OXR6">_xlfn._xlws.FILTER(TablaProductos[Nombre producto],TablaProductos[Agrupación]=ProductosPivot!OXR5)</f>
        <v>#VALUE!</v>
      </c>
      <c r="OXS6" s="68" t="e" cm="1" vm="1">
        <f t="array" ref="OXS6">_xlfn._xlws.FILTER(TablaProductos[Nombre producto],TablaProductos[Agrupación]=ProductosPivot!OXS5)</f>
        <v>#VALUE!</v>
      </c>
      <c r="OXT6" s="68" t="e" cm="1" vm="1">
        <f t="array" ref="OXT6">_xlfn._xlws.FILTER(TablaProductos[Nombre producto],TablaProductos[Agrupación]=ProductosPivot!OXT5)</f>
        <v>#VALUE!</v>
      </c>
      <c r="OXU6" s="68" t="e" cm="1" vm="1">
        <f t="array" ref="OXU6">_xlfn._xlws.FILTER(TablaProductos[Nombre producto],TablaProductos[Agrupación]=ProductosPivot!OXU5)</f>
        <v>#VALUE!</v>
      </c>
      <c r="OXV6" s="68" t="e" cm="1" vm="1">
        <f t="array" ref="OXV6">_xlfn._xlws.FILTER(TablaProductos[Nombre producto],TablaProductos[Agrupación]=ProductosPivot!OXV5)</f>
        <v>#VALUE!</v>
      </c>
      <c r="OXW6" s="68" t="e" cm="1" vm="1">
        <f t="array" ref="OXW6">_xlfn._xlws.FILTER(TablaProductos[Nombre producto],TablaProductos[Agrupación]=ProductosPivot!OXW5)</f>
        <v>#VALUE!</v>
      </c>
      <c r="OXX6" s="68" t="e" cm="1" vm="1">
        <f t="array" ref="OXX6">_xlfn._xlws.FILTER(TablaProductos[Nombre producto],TablaProductos[Agrupación]=ProductosPivot!OXX5)</f>
        <v>#VALUE!</v>
      </c>
      <c r="OXY6" s="68" t="e" cm="1" vm="1">
        <f t="array" ref="OXY6">_xlfn._xlws.FILTER(TablaProductos[Nombre producto],TablaProductos[Agrupación]=ProductosPivot!OXY5)</f>
        <v>#VALUE!</v>
      </c>
      <c r="OXZ6" s="68" t="e" cm="1" vm="1">
        <f t="array" ref="OXZ6">_xlfn._xlws.FILTER(TablaProductos[Nombre producto],TablaProductos[Agrupación]=ProductosPivot!OXZ5)</f>
        <v>#VALUE!</v>
      </c>
      <c r="OYA6" s="68" t="e" cm="1" vm="1">
        <f t="array" ref="OYA6">_xlfn._xlws.FILTER(TablaProductos[Nombre producto],TablaProductos[Agrupación]=ProductosPivot!OYA5)</f>
        <v>#VALUE!</v>
      </c>
      <c r="OYB6" s="68" t="e" cm="1" vm="1">
        <f t="array" ref="OYB6">_xlfn._xlws.FILTER(TablaProductos[Nombre producto],TablaProductos[Agrupación]=ProductosPivot!OYB5)</f>
        <v>#VALUE!</v>
      </c>
      <c r="OYC6" s="68" t="e" cm="1" vm="1">
        <f t="array" ref="OYC6">_xlfn._xlws.FILTER(TablaProductos[Nombre producto],TablaProductos[Agrupación]=ProductosPivot!OYC5)</f>
        <v>#VALUE!</v>
      </c>
      <c r="OYD6" s="68" t="e" cm="1" vm="1">
        <f t="array" ref="OYD6">_xlfn._xlws.FILTER(TablaProductos[Nombre producto],TablaProductos[Agrupación]=ProductosPivot!OYD5)</f>
        <v>#VALUE!</v>
      </c>
      <c r="OYE6" s="68" t="e" cm="1" vm="1">
        <f t="array" ref="OYE6">_xlfn._xlws.FILTER(TablaProductos[Nombre producto],TablaProductos[Agrupación]=ProductosPivot!OYE5)</f>
        <v>#VALUE!</v>
      </c>
      <c r="OYF6" s="68" t="e" cm="1" vm="1">
        <f t="array" ref="OYF6">_xlfn._xlws.FILTER(TablaProductos[Nombre producto],TablaProductos[Agrupación]=ProductosPivot!OYF5)</f>
        <v>#VALUE!</v>
      </c>
      <c r="OYG6" s="68" t="e" cm="1" vm="1">
        <f t="array" ref="OYG6">_xlfn._xlws.FILTER(TablaProductos[Nombre producto],TablaProductos[Agrupación]=ProductosPivot!OYG5)</f>
        <v>#VALUE!</v>
      </c>
      <c r="OYH6" s="68" t="e" cm="1" vm="1">
        <f t="array" ref="OYH6">_xlfn._xlws.FILTER(TablaProductos[Nombre producto],TablaProductos[Agrupación]=ProductosPivot!OYH5)</f>
        <v>#VALUE!</v>
      </c>
      <c r="OYI6" s="68" t="e" cm="1" vm="1">
        <f t="array" ref="OYI6">_xlfn._xlws.FILTER(TablaProductos[Nombre producto],TablaProductos[Agrupación]=ProductosPivot!OYI5)</f>
        <v>#VALUE!</v>
      </c>
      <c r="OYJ6" s="68" t="e" cm="1" vm="1">
        <f t="array" ref="OYJ6">_xlfn._xlws.FILTER(TablaProductos[Nombre producto],TablaProductos[Agrupación]=ProductosPivot!OYJ5)</f>
        <v>#VALUE!</v>
      </c>
      <c r="OYK6" s="68" t="e" cm="1" vm="1">
        <f t="array" ref="OYK6">_xlfn._xlws.FILTER(TablaProductos[Nombre producto],TablaProductos[Agrupación]=ProductosPivot!OYK5)</f>
        <v>#VALUE!</v>
      </c>
      <c r="OYL6" s="68" t="e" cm="1" vm="1">
        <f t="array" ref="OYL6">_xlfn._xlws.FILTER(TablaProductos[Nombre producto],TablaProductos[Agrupación]=ProductosPivot!OYL5)</f>
        <v>#VALUE!</v>
      </c>
      <c r="OYM6" s="68" t="e" cm="1" vm="1">
        <f t="array" ref="OYM6">_xlfn._xlws.FILTER(TablaProductos[Nombre producto],TablaProductos[Agrupación]=ProductosPivot!OYM5)</f>
        <v>#VALUE!</v>
      </c>
      <c r="OYN6" s="68" t="e" cm="1" vm="1">
        <f t="array" ref="OYN6">_xlfn._xlws.FILTER(TablaProductos[Nombre producto],TablaProductos[Agrupación]=ProductosPivot!OYN5)</f>
        <v>#VALUE!</v>
      </c>
      <c r="OYO6" s="68" t="e" cm="1" vm="1">
        <f t="array" ref="OYO6">_xlfn._xlws.FILTER(TablaProductos[Nombre producto],TablaProductos[Agrupación]=ProductosPivot!OYO5)</f>
        <v>#VALUE!</v>
      </c>
      <c r="OYP6" s="68" t="e" cm="1" vm="1">
        <f t="array" ref="OYP6">_xlfn._xlws.FILTER(TablaProductos[Nombre producto],TablaProductos[Agrupación]=ProductosPivot!OYP5)</f>
        <v>#VALUE!</v>
      </c>
      <c r="OYQ6" s="68" t="e" cm="1" vm="1">
        <f t="array" ref="OYQ6">_xlfn._xlws.FILTER(TablaProductos[Nombre producto],TablaProductos[Agrupación]=ProductosPivot!OYQ5)</f>
        <v>#VALUE!</v>
      </c>
      <c r="OYR6" s="68" t="e" cm="1" vm="1">
        <f t="array" ref="OYR6">_xlfn._xlws.FILTER(TablaProductos[Nombre producto],TablaProductos[Agrupación]=ProductosPivot!OYR5)</f>
        <v>#VALUE!</v>
      </c>
      <c r="OYS6" s="68" t="e" cm="1" vm="1">
        <f t="array" ref="OYS6">_xlfn._xlws.FILTER(TablaProductos[Nombre producto],TablaProductos[Agrupación]=ProductosPivot!OYS5)</f>
        <v>#VALUE!</v>
      </c>
      <c r="OYT6" s="68" t="e" cm="1" vm="1">
        <f t="array" ref="OYT6">_xlfn._xlws.FILTER(TablaProductos[Nombre producto],TablaProductos[Agrupación]=ProductosPivot!OYT5)</f>
        <v>#VALUE!</v>
      </c>
      <c r="OYU6" s="68" t="e" cm="1" vm="1">
        <f t="array" ref="OYU6">_xlfn._xlws.FILTER(TablaProductos[Nombre producto],TablaProductos[Agrupación]=ProductosPivot!OYU5)</f>
        <v>#VALUE!</v>
      </c>
      <c r="OYV6" s="68" t="e" cm="1" vm="1">
        <f t="array" ref="OYV6">_xlfn._xlws.FILTER(TablaProductos[Nombre producto],TablaProductos[Agrupación]=ProductosPivot!OYV5)</f>
        <v>#VALUE!</v>
      </c>
      <c r="OYW6" s="68" t="e" cm="1" vm="1">
        <f t="array" ref="OYW6">_xlfn._xlws.FILTER(TablaProductos[Nombre producto],TablaProductos[Agrupación]=ProductosPivot!OYW5)</f>
        <v>#VALUE!</v>
      </c>
      <c r="OYX6" s="68" t="e" cm="1" vm="1">
        <f t="array" ref="OYX6">_xlfn._xlws.FILTER(TablaProductos[Nombre producto],TablaProductos[Agrupación]=ProductosPivot!OYX5)</f>
        <v>#VALUE!</v>
      </c>
      <c r="OYY6" s="68" t="e" cm="1" vm="1">
        <f t="array" ref="OYY6">_xlfn._xlws.FILTER(TablaProductos[Nombre producto],TablaProductos[Agrupación]=ProductosPivot!OYY5)</f>
        <v>#VALUE!</v>
      </c>
      <c r="OYZ6" s="68" t="e" cm="1" vm="1">
        <f t="array" ref="OYZ6">_xlfn._xlws.FILTER(TablaProductos[Nombre producto],TablaProductos[Agrupación]=ProductosPivot!OYZ5)</f>
        <v>#VALUE!</v>
      </c>
      <c r="OZA6" s="68" t="e" cm="1" vm="1">
        <f t="array" ref="OZA6">_xlfn._xlws.FILTER(TablaProductos[Nombre producto],TablaProductos[Agrupación]=ProductosPivot!OZA5)</f>
        <v>#VALUE!</v>
      </c>
      <c r="OZB6" s="68" t="e" cm="1" vm="1">
        <f t="array" ref="OZB6">_xlfn._xlws.FILTER(TablaProductos[Nombre producto],TablaProductos[Agrupación]=ProductosPivot!OZB5)</f>
        <v>#VALUE!</v>
      </c>
      <c r="OZC6" s="68" t="e" cm="1" vm="1">
        <f t="array" ref="OZC6">_xlfn._xlws.FILTER(TablaProductos[Nombre producto],TablaProductos[Agrupación]=ProductosPivot!OZC5)</f>
        <v>#VALUE!</v>
      </c>
      <c r="OZD6" s="68" t="e" cm="1" vm="1">
        <f t="array" ref="OZD6">_xlfn._xlws.FILTER(TablaProductos[Nombre producto],TablaProductos[Agrupación]=ProductosPivot!OZD5)</f>
        <v>#VALUE!</v>
      </c>
      <c r="OZE6" s="68" t="e" cm="1" vm="1">
        <f t="array" ref="OZE6">_xlfn._xlws.FILTER(TablaProductos[Nombre producto],TablaProductos[Agrupación]=ProductosPivot!OZE5)</f>
        <v>#VALUE!</v>
      </c>
      <c r="OZF6" s="68" t="e" cm="1" vm="1">
        <f t="array" ref="OZF6">_xlfn._xlws.FILTER(TablaProductos[Nombre producto],TablaProductos[Agrupación]=ProductosPivot!OZF5)</f>
        <v>#VALUE!</v>
      </c>
      <c r="OZG6" s="68" t="e" cm="1" vm="1">
        <f t="array" ref="OZG6">_xlfn._xlws.FILTER(TablaProductos[Nombre producto],TablaProductos[Agrupación]=ProductosPivot!OZG5)</f>
        <v>#VALUE!</v>
      </c>
      <c r="OZH6" s="68" t="e" cm="1" vm="1">
        <f t="array" ref="OZH6">_xlfn._xlws.FILTER(TablaProductos[Nombre producto],TablaProductos[Agrupación]=ProductosPivot!OZH5)</f>
        <v>#VALUE!</v>
      </c>
      <c r="OZI6" s="68" t="e" cm="1" vm="1">
        <f t="array" ref="OZI6">_xlfn._xlws.FILTER(TablaProductos[Nombre producto],TablaProductos[Agrupación]=ProductosPivot!OZI5)</f>
        <v>#VALUE!</v>
      </c>
      <c r="OZJ6" s="68" t="e" cm="1" vm="1">
        <f t="array" ref="OZJ6">_xlfn._xlws.FILTER(TablaProductos[Nombre producto],TablaProductos[Agrupación]=ProductosPivot!OZJ5)</f>
        <v>#VALUE!</v>
      </c>
      <c r="OZK6" s="68" t="e" cm="1" vm="1">
        <f t="array" ref="OZK6">_xlfn._xlws.FILTER(TablaProductos[Nombre producto],TablaProductos[Agrupación]=ProductosPivot!OZK5)</f>
        <v>#VALUE!</v>
      </c>
      <c r="OZL6" s="68" t="e" cm="1" vm="1">
        <f t="array" ref="OZL6">_xlfn._xlws.FILTER(TablaProductos[Nombre producto],TablaProductos[Agrupación]=ProductosPivot!OZL5)</f>
        <v>#VALUE!</v>
      </c>
      <c r="OZM6" s="68" t="e" cm="1" vm="1">
        <f t="array" ref="OZM6">_xlfn._xlws.FILTER(TablaProductos[Nombre producto],TablaProductos[Agrupación]=ProductosPivot!OZM5)</f>
        <v>#VALUE!</v>
      </c>
      <c r="OZN6" s="68" t="e" cm="1" vm="1">
        <f t="array" ref="OZN6">_xlfn._xlws.FILTER(TablaProductos[Nombre producto],TablaProductos[Agrupación]=ProductosPivot!OZN5)</f>
        <v>#VALUE!</v>
      </c>
      <c r="OZO6" s="68" t="e" cm="1" vm="1">
        <f t="array" ref="OZO6">_xlfn._xlws.FILTER(TablaProductos[Nombre producto],TablaProductos[Agrupación]=ProductosPivot!OZO5)</f>
        <v>#VALUE!</v>
      </c>
      <c r="OZP6" s="68" t="e" cm="1" vm="1">
        <f t="array" ref="OZP6">_xlfn._xlws.FILTER(TablaProductos[Nombre producto],TablaProductos[Agrupación]=ProductosPivot!OZP5)</f>
        <v>#VALUE!</v>
      </c>
      <c r="OZQ6" s="68" t="e" cm="1" vm="1">
        <f t="array" ref="OZQ6">_xlfn._xlws.FILTER(TablaProductos[Nombre producto],TablaProductos[Agrupación]=ProductosPivot!OZQ5)</f>
        <v>#VALUE!</v>
      </c>
      <c r="OZR6" s="68" t="e" cm="1" vm="1">
        <f t="array" ref="OZR6">_xlfn._xlws.FILTER(TablaProductos[Nombre producto],TablaProductos[Agrupación]=ProductosPivot!OZR5)</f>
        <v>#VALUE!</v>
      </c>
      <c r="OZS6" s="68" t="e" cm="1" vm="1">
        <f t="array" ref="OZS6">_xlfn._xlws.FILTER(TablaProductos[Nombre producto],TablaProductos[Agrupación]=ProductosPivot!OZS5)</f>
        <v>#VALUE!</v>
      </c>
      <c r="OZT6" s="68" t="e" cm="1" vm="1">
        <f t="array" ref="OZT6">_xlfn._xlws.FILTER(TablaProductos[Nombre producto],TablaProductos[Agrupación]=ProductosPivot!OZT5)</f>
        <v>#VALUE!</v>
      </c>
      <c r="OZU6" s="68" t="e" cm="1" vm="1">
        <f t="array" ref="OZU6">_xlfn._xlws.FILTER(TablaProductos[Nombre producto],TablaProductos[Agrupación]=ProductosPivot!OZU5)</f>
        <v>#VALUE!</v>
      </c>
      <c r="OZV6" s="68" t="e" cm="1" vm="1">
        <f t="array" ref="OZV6">_xlfn._xlws.FILTER(TablaProductos[Nombre producto],TablaProductos[Agrupación]=ProductosPivot!OZV5)</f>
        <v>#VALUE!</v>
      </c>
      <c r="OZW6" s="68" t="e" cm="1" vm="1">
        <f t="array" ref="OZW6">_xlfn._xlws.FILTER(TablaProductos[Nombre producto],TablaProductos[Agrupación]=ProductosPivot!OZW5)</f>
        <v>#VALUE!</v>
      </c>
      <c r="OZX6" s="68" t="e" cm="1" vm="1">
        <f t="array" ref="OZX6">_xlfn._xlws.FILTER(TablaProductos[Nombre producto],TablaProductos[Agrupación]=ProductosPivot!OZX5)</f>
        <v>#VALUE!</v>
      </c>
      <c r="OZY6" s="68" t="e" cm="1" vm="1">
        <f t="array" ref="OZY6">_xlfn._xlws.FILTER(TablaProductos[Nombre producto],TablaProductos[Agrupación]=ProductosPivot!OZY5)</f>
        <v>#VALUE!</v>
      </c>
      <c r="OZZ6" s="68" t="e" cm="1" vm="1">
        <f t="array" ref="OZZ6">_xlfn._xlws.FILTER(TablaProductos[Nombre producto],TablaProductos[Agrupación]=ProductosPivot!OZZ5)</f>
        <v>#VALUE!</v>
      </c>
      <c r="PAA6" s="68" t="e" cm="1" vm="1">
        <f t="array" ref="PAA6">_xlfn._xlws.FILTER(TablaProductos[Nombre producto],TablaProductos[Agrupación]=ProductosPivot!PAA5)</f>
        <v>#VALUE!</v>
      </c>
      <c r="PAB6" s="68" t="e" cm="1" vm="1">
        <f t="array" ref="PAB6">_xlfn._xlws.FILTER(TablaProductos[Nombre producto],TablaProductos[Agrupación]=ProductosPivot!PAB5)</f>
        <v>#VALUE!</v>
      </c>
      <c r="PAC6" s="68" t="e" cm="1" vm="1">
        <f t="array" ref="PAC6">_xlfn._xlws.FILTER(TablaProductos[Nombre producto],TablaProductos[Agrupación]=ProductosPivot!PAC5)</f>
        <v>#VALUE!</v>
      </c>
      <c r="PAD6" s="68" t="e" cm="1" vm="1">
        <f t="array" ref="PAD6">_xlfn._xlws.FILTER(TablaProductos[Nombre producto],TablaProductos[Agrupación]=ProductosPivot!PAD5)</f>
        <v>#VALUE!</v>
      </c>
      <c r="PAE6" s="68" t="e" cm="1" vm="1">
        <f t="array" ref="PAE6">_xlfn._xlws.FILTER(TablaProductos[Nombre producto],TablaProductos[Agrupación]=ProductosPivot!PAE5)</f>
        <v>#VALUE!</v>
      </c>
      <c r="PAF6" s="68" t="e" cm="1" vm="1">
        <f t="array" ref="PAF6">_xlfn._xlws.FILTER(TablaProductos[Nombre producto],TablaProductos[Agrupación]=ProductosPivot!PAF5)</f>
        <v>#VALUE!</v>
      </c>
      <c r="PAG6" s="68" t="e" cm="1" vm="1">
        <f t="array" ref="PAG6">_xlfn._xlws.FILTER(TablaProductos[Nombre producto],TablaProductos[Agrupación]=ProductosPivot!PAG5)</f>
        <v>#VALUE!</v>
      </c>
      <c r="PAH6" s="68" t="e" cm="1" vm="1">
        <f t="array" ref="PAH6">_xlfn._xlws.FILTER(TablaProductos[Nombre producto],TablaProductos[Agrupación]=ProductosPivot!PAH5)</f>
        <v>#VALUE!</v>
      </c>
      <c r="PAI6" s="68" t="e" cm="1" vm="1">
        <f t="array" ref="PAI6">_xlfn._xlws.FILTER(TablaProductos[Nombre producto],TablaProductos[Agrupación]=ProductosPivot!PAI5)</f>
        <v>#VALUE!</v>
      </c>
      <c r="PAJ6" s="68" t="e" cm="1" vm="1">
        <f t="array" ref="PAJ6">_xlfn._xlws.FILTER(TablaProductos[Nombre producto],TablaProductos[Agrupación]=ProductosPivot!PAJ5)</f>
        <v>#VALUE!</v>
      </c>
      <c r="PAK6" s="68" t="e" cm="1" vm="1">
        <f t="array" ref="PAK6">_xlfn._xlws.FILTER(TablaProductos[Nombre producto],TablaProductos[Agrupación]=ProductosPivot!PAK5)</f>
        <v>#VALUE!</v>
      </c>
      <c r="PAL6" s="68" t="e" cm="1" vm="1">
        <f t="array" ref="PAL6">_xlfn._xlws.FILTER(TablaProductos[Nombre producto],TablaProductos[Agrupación]=ProductosPivot!PAL5)</f>
        <v>#VALUE!</v>
      </c>
      <c r="PAM6" s="68" t="e" cm="1" vm="1">
        <f t="array" ref="PAM6">_xlfn._xlws.FILTER(TablaProductos[Nombre producto],TablaProductos[Agrupación]=ProductosPivot!PAM5)</f>
        <v>#VALUE!</v>
      </c>
      <c r="PAN6" s="68" t="e" cm="1" vm="1">
        <f t="array" ref="PAN6">_xlfn._xlws.FILTER(TablaProductos[Nombre producto],TablaProductos[Agrupación]=ProductosPivot!PAN5)</f>
        <v>#VALUE!</v>
      </c>
      <c r="PAO6" s="68" t="e" cm="1" vm="1">
        <f t="array" ref="PAO6">_xlfn._xlws.FILTER(TablaProductos[Nombre producto],TablaProductos[Agrupación]=ProductosPivot!PAO5)</f>
        <v>#VALUE!</v>
      </c>
      <c r="PAP6" s="68" t="e" cm="1" vm="1">
        <f t="array" ref="PAP6">_xlfn._xlws.FILTER(TablaProductos[Nombre producto],TablaProductos[Agrupación]=ProductosPivot!PAP5)</f>
        <v>#VALUE!</v>
      </c>
      <c r="PAQ6" s="68" t="e" cm="1" vm="1">
        <f t="array" ref="PAQ6">_xlfn._xlws.FILTER(TablaProductos[Nombre producto],TablaProductos[Agrupación]=ProductosPivot!PAQ5)</f>
        <v>#VALUE!</v>
      </c>
      <c r="PAR6" s="68" t="e" cm="1" vm="1">
        <f t="array" ref="PAR6">_xlfn._xlws.FILTER(TablaProductos[Nombre producto],TablaProductos[Agrupación]=ProductosPivot!PAR5)</f>
        <v>#VALUE!</v>
      </c>
      <c r="PAS6" s="68" t="e" cm="1" vm="1">
        <f t="array" ref="PAS6">_xlfn._xlws.FILTER(TablaProductos[Nombre producto],TablaProductos[Agrupación]=ProductosPivot!PAS5)</f>
        <v>#VALUE!</v>
      </c>
      <c r="PAT6" s="68" t="e" cm="1" vm="1">
        <f t="array" ref="PAT6">_xlfn._xlws.FILTER(TablaProductos[Nombre producto],TablaProductos[Agrupación]=ProductosPivot!PAT5)</f>
        <v>#VALUE!</v>
      </c>
      <c r="PAU6" s="68" t="e" cm="1" vm="1">
        <f t="array" ref="PAU6">_xlfn._xlws.FILTER(TablaProductos[Nombre producto],TablaProductos[Agrupación]=ProductosPivot!PAU5)</f>
        <v>#VALUE!</v>
      </c>
      <c r="PAV6" s="68" t="e" cm="1" vm="1">
        <f t="array" ref="PAV6">_xlfn._xlws.FILTER(TablaProductos[Nombre producto],TablaProductos[Agrupación]=ProductosPivot!PAV5)</f>
        <v>#VALUE!</v>
      </c>
      <c r="PAW6" s="68" t="e" cm="1" vm="1">
        <f t="array" ref="PAW6">_xlfn._xlws.FILTER(TablaProductos[Nombre producto],TablaProductos[Agrupación]=ProductosPivot!PAW5)</f>
        <v>#VALUE!</v>
      </c>
      <c r="PAX6" s="68" t="e" cm="1" vm="1">
        <f t="array" ref="PAX6">_xlfn._xlws.FILTER(TablaProductos[Nombre producto],TablaProductos[Agrupación]=ProductosPivot!PAX5)</f>
        <v>#VALUE!</v>
      </c>
      <c r="PAY6" s="68" t="e" cm="1" vm="1">
        <f t="array" ref="PAY6">_xlfn._xlws.FILTER(TablaProductos[Nombre producto],TablaProductos[Agrupación]=ProductosPivot!PAY5)</f>
        <v>#VALUE!</v>
      </c>
      <c r="PAZ6" s="68" t="e" cm="1" vm="1">
        <f t="array" ref="PAZ6">_xlfn._xlws.FILTER(TablaProductos[Nombre producto],TablaProductos[Agrupación]=ProductosPivot!PAZ5)</f>
        <v>#VALUE!</v>
      </c>
      <c r="PBA6" s="68" t="e" cm="1" vm="1">
        <f t="array" ref="PBA6">_xlfn._xlws.FILTER(TablaProductos[Nombre producto],TablaProductos[Agrupación]=ProductosPivot!PBA5)</f>
        <v>#VALUE!</v>
      </c>
      <c r="PBB6" s="68" t="e" cm="1" vm="1">
        <f t="array" ref="PBB6">_xlfn._xlws.FILTER(TablaProductos[Nombre producto],TablaProductos[Agrupación]=ProductosPivot!PBB5)</f>
        <v>#VALUE!</v>
      </c>
      <c r="PBC6" s="68" t="e" cm="1" vm="1">
        <f t="array" ref="PBC6">_xlfn._xlws.FILTER(TablaProductos[Nombre producto],TablaProductos[Agrupación]=ProductosPivot!PBC5)</f>
        <v>#VALUE!</v>
      </c>
      <c r="PBD6" s="68" t="e" cm="1" vm="1">
        <f t="array" ref="PBD6">_xlfn._xlws.FILTER(TablaProductos[Nombre producto],TablaProductos[Agrupación]=ProductosPivot!PBD5)</f>
        <v>#VALUE!</v>
      </c>
      <c r="PBE6" s="68" t="e" cm="1" vm="1">
        <f t="array" ref="PBE6">_xlfn._xlws.FILTER(TablaProductos[Nombre producto],TablaProductos[Agrupación]=ProductosPivot!PBE5)</f>
        <v>#VALUE!</v>
      </c>
      <c r="PBF6" s="68" t="e" cm="1" vm="1">
        <f t="array" ref="PBF6">_xlfn._xlws.FILTER(TablaProductos[Nombre producto],TablaProductos[Agrupación]=ProductosPivot!PBF5)</f>
        <v>#VALUE!</v>
      </c>
      <c r="PBG6" s="68" t="e" cm="1" vm="1">
        <f t="array" ref="PBG6">_xlfn._xlws.FILTER(TablaProductos[Nombre producto],TablaProductos[Agrupación]=ProductosPivot!PBG5)</f>
        <v>#VALUE!</v>
      </c>
      <c r="PBH6" s="68" t="e" cm="1" vm="1">
        <f t="array" ref="PBH6">_xlfn._xlws.FILTER(TablaProductos[Nombre producto],TablaProductos[Agrupación]=ProductosPivot!PBH5)</f>
        <v>#VALUE!</v>
      </c>
      <c r="PBI6" s="68" t="e" cm="1" vm="1">
        <f t="array" ref="PBI6">_xlfn._xlws.FILTER(TablaProductos[Nombre producto],TablaProductos[Agrupación]=ProductosPivot!PBI5)</f>
        <v>#VALUE!</v>
      </c>
      <c r="PBJ6" s="68" t="e" cm="1" vm="1">
        <f t="array" ref="PBJ6">_xlfn._xlws.FILTER(TablaProductos[Nombre producto],TablaProductos[Agrupación]=ProductosPivot!PBJ5)</f>
        <v>#VALUE!</v>
      </c>
      <c r="PBK6" s="68" t="e" cm="1" vm="1">
        <f t="array" ref="PBK6">_xlfn._xlws.FILTER(TablaProductos[Nombre producto],TablaProductos[Agrupación]=ProductosPivot!PBK5)</f>
        <v>#VALUE!</v>
      </c>
      <c r="PBL6" s="68" t="e" cm="1" vm="1">
        <f t="array" ref="PBL6">_xlfn._xlws.FILTER(TablaProductos[Nombre producto],TablaProductos[Agrupación]=ProductosPivot!PBL5)</f>
        <v>#VALUE!</v>
      </c>
      <c r="PBM6" s="68" t="e" cm="1" vm="1">
        <f t="array" ref="PBM6">_xlfn._xlws.FILTER(TablaProductos[Nombre producto],TablaProductos[Agrupación]=ProductosPivot!PBM5)</f>
        <v>#VALUE!</v>
      </c>
      <c r="PBN6" s="68" t="e" cm="1" vm="1">
        <f t="array" ref="PBN6">_xlfn._xlws.FILTER(TablaProductos[Nombre producto],TablaProductos[Agrupación]=ProductosPivot!PBN5)</f>
        <v>#VALUE!</v>
      </c>
      <c r="PBO6" s="68" t="e" cm="1" vm="1">
        <f t="array" ref="PBO6">_xlfn._xlws.FILTER(TablaProductos[Nombre producto],TablaProductos[Agrupación]=ProductosPivot!PBO5)</f>
        <v>#VALUE!</v>
      </c>
      <c r="PBP6" s="68" t="e" cm="1" vm="1">
        <f t="array" ref="PBP6">_xlfn._xlws.FILTER(TablaProductos[Nombre producto],TablaProductos[Agrupación]=ProductosPivot!PBP5)</f>
        <v>#VALUE!</v>
      </c>
      <c r="PBQ6" s="68" t="e" cm="1" vm="1">
        <f t="array" ref="PBQ6">_xlfn._xlws.FILTER(TablaProductos[Nombre producto],TablaProductos[Agrupación]=ProductosPivot!PBQ5)</f>
        <v>#VALUE!</v>
      </c>
      <c r="PBR6" s="68" t="e" cm="1" vm="1">
        <f t="array" ref="PBR6">_xlfn._xlws.FILTER(TablaProductos[Nombre producto],TablaProductos[Agrupación]=ProductosPivot!PBR5)</f>
        <v>#VALUE!</v>
      </c>
      <c r="PBS6" s="68" t="e" cm="1" vm="1">
        <f t="array" ref="PBS6">_xlfn._xlws.FILTER(TablaProductos[Nombre producto],TablaProductos[Agrupación]=ProductosPivot!PBS5)</f>
        <v>#VALUE!</v>
      </c>
      <c r="PBT6" s="68" t="e" cm="1" vm="1">
        <f t="array" ref="PBT6">_xlfn._xlws.FILTER(TablaProductos[Nombre producto],TablaProductos[Agrupación]=ProductosPivot!PBT5)</f>
        <v>#VALUE!</v>
      </c>
      <c r="PBU6" s="68" t="e" cm="1" vm="1">
        <f t="array" ref="PBU6">_xlfn._xlws.FILTER(TablaProductos[Nombre producto],TablaProductos[Agrupación]=ProductosPivot!PBU5)</f>
        <v>#VALUE!</v>
      </c>
      <c r="PBV6" s="68" t="e" cm="1" vm="1">
        <f t="array" ref="PBV6">_xlfn._xlws.FILTER(TablaProductos[Nombre producto],TablaProductos[Agrupación]=ProductosPivot!PBV5)</f>
        <v>#VALUE!</v>
      </c>
      <c r="PBW6" s="68" t="e" cm="1" vm="1">
        <f t="array" ref="PBW6">_xlfn._xlws.FILTER(TablaProductos[Nombre producto],TablaProductos[Agrupación]=ProductosPivot!PBW5)</f>
        <v>#VALUE!</v>
      </c>
      <c r="PBX6" s="68" t="e" cm="1" vm="1">
        <f t="array" ref="PBX6">_xlfn._xlws.FILTER(TablaProductos[Nombre producto],TablaProductos[Agrupación]=ProductosPivot!PBX5)</f>
        <v>#VALUE!</v>
      </c>
      <c r="PBY6" s="68" t="e" cm="1" vm="1">
        <f t="array" ref="PBY6">_xlfn._xlws.FILTER(TablaProductos[Nombre producto],TablaProductos[Agrupación]=ProductosPivot!PBY5)</f>
        <v>#VALUE!</v>
      </c>
      <c r="PBZ6" s="68" t="e" cm="1" vm="1">
        <f t="array" ref="PBZ6">_xlfn._xlws.FILTER(TablaProductos[Nombre producto],TablaProductos[Agrupación]=ProductosPivot!PBZ5)</f>
        <v>#VALUE!</v>
      </c>
      <c r="PCA6" s="68" t="e" cm="1" vm="1">
        <f t="array" ref="PCA6">_xlfn._xlws.FILTER(TablaProductos[Nombre producto],TablaProductos[Agrupación]=ProductosPivot!PCA5)</f>
        <v>#VALUE!</v>
      </c>
      <c r="PCB6" s="68" t="e" cm="1" vm="1">
        <f t="array" ref="PCB6">_xlfn._xlws.FILTER(TablaProductos[Nombre producto],TablaProductos[Agrupación]=ProductosPivot!PCB5)</f>
        <v>#VALUE!</v>
      </c>
      <c r="PCC6" s="68" t="e" cm="1" vm="1">
        <f t="array" ref="PCC6">_xlfn._xlws.FILTER(TablaProductos[Nombre producto],TablaProductos[Agrupación]=ProductosPivot!PCC5)</f>
        <v>#VALUE!</v>
      </c>
      <c r="PCD6" s="68" t="e" cm="1" vm="1">
        <f t="array" ref="PCD6">_xlfn._xlws.FILTER(TablaProductos[Nombre producto],TablaProductos[Agrupación]=ProductosPivot!PCD5)</f>
        <v>#VALUE!</v>
      </c>
      <c r="PCE6" s="68" t="e" cm="1" vm="1">
        <f t="array" ref="PCE6">_xlfn._xlws.FILTER(TablaProductos[Nombre producto],TablaProductos[Agrupación]=ProductosPivot!PCE5)</f>
        <v>#VALUE!</v>
      </c>
      <c r="PCF6" s="68" t="e" cm="1" vm="1">
        <f t="array" ref="PCF6">_xlfn._xlws.FILTER(TablaProductos[Nombre producto],TablaProductos[Agrupación]=ProductosPivot!PCF5)</f>
        <v>#VALUE!</v>
      </c>
      <c r="PCG6" s="68" t="e" cm="1" vm="1">
        <f t="array" ref="PCG6">_xlfn._xlws.FILTER(TablaProductos[Nombre producto],TablaProductos[Agrupación]=ProductosPivot!PCG5)</f>
        <v>#VALUE!</v>
      </c>
      <c r="PCH6" s="68" t="e" cm="1" vm="1">
        <f t="array" ref="PCH6">_xlfn._xlws.FILTER(TablaProductos[Nombre producto],TablaProductos[Agrupación]=ProductosPivot!PCH5)</f>
        <v>#VALUE!</v>
      </c>
      <c r="PCI6" s="68" t="e" cm="1" vm="1">
        <f t="array" ref="PCI6">_xlfn._xlws.FILTER(TablaProductos[Nombre producto],TablaProductos[Agrupación]=ProductosPivot!PCI5)</f>
        <v>#VALUE!</v>
      </c>
      <c r="PCJ6" s="68" t="e" cm="1" vm="1">
        <f t="array" ref="PCJ6">_xlfn._xlws.FILTER(TablaProductos[Nombre producto],TablaProductos[Agrupación]=ProductosPivot!PCJ5)</f>
        <v>#VALUE!</v>
      </c>
      <c r="PCK6" s="68" t="e" cm="1" vm="1">
        <f t="array" ref="PCK6">_xlfn._xlws.FILTER(TablaProductos[Nombre producto],TablaProductos[Agrupación]=ProductosPivot!PCK5)</f>
        <v>#VALUE!</v>
      </c>
      <c r="PCL6" s="68" t="e" cm="1" vm="1">
        <f t="array" ref="PCL6">_xlfn._xlws.FILTER(TablaProductos[Nombre producto],TablaProductos[Agrupación]=ProductosPivot!PCL5)</f>
        <v>#VALUE!</v>
      </c>
      <c r="PCM6" s="68" t="e" cm="1" vm="1">
        <f t="array" ref="PCM6">_xlfn._xlws.FILTER(TablaProductos[Nombre producto],TablaProductos[Agrupación]=ProductosPivot!PCM5)</f>
        <v>#VALUE!</v>
      </c>
      <c r="PCN6" s="68" t="e" cm="1" vm="1">
        <f t="array" ref="PCN6">_xlfn._xlws.FILTER(TablaProductos[Nombre producto],TablaProductos[Agrupación]=ProductosPivot!PCN5)</f>
        <v>#VALUE!</v>
      </c>
      <c r="PCO6" s="68" t="e" cm="1" vm="1">
        <f t="array" ref="PCO6">_xlfn._xlws.FILTER(TablaProductos[Nombre producto],TablaProductos[Agrupación]=ProductosPivot!PCO5)</f>
        <v>#VALUE!</v>
      </c>
      <c r="PCP6" s="68" t="e" cm="1" vm="1">
        <f t="array" ref="PCP6">_xlfn._xlws.FILTER(TablaProductos[Nombre producto],TablaProductos[Agrupación]=ProductosPivot!PCP5)</f>
        <v>#VALUE!</v>
      </c>
      <c r="PCQ6" s="68" t="e" cm="1" vm="1">
        <f t="array" ref="PCQ6">_xlfn._xlws.FILTER(TablaProductos[Nombre producto],TablaProductos[Agrupación]=ProductosPivot!PCQ5)</f>
        <v>#VALUE!</v>
      </c>
      <c r="PCR6" s="68" t="e" cm="1" vm="1">
        <f t="array" ref="PCR6">_xlfn._xlws.FILTER(TablaProductos[Nombre producto],TablaProductos[Agrupación]=ProductosPivot!PCR5)</f>
        <v>#VALUE!</v>
      </c>
      <c r="PCS6" s="68" t="e" cm="1" vm="1">
        <f t="array" ref="PCS6">_xlfn._xlws.FILTER(TablaProductos[Nombre producto],TablaProductos[Agrupación]=ProductosPivot!PCS5)</f>
        <v>#VALUE!</v>
      </c>
      <c r="PCT6" s="68" t="e" cm="1" vm="1">
        <f t="array" ref="PCT6">_xlfn._xlws.FILTER(TablaProductos[Nombre producto],TablaProductos[Agrupación]=ProductosPivot!PCT5)</f>
        <v>#VALUE!</v>
      </c>
      <c r="PCU6" s="68" t="e" cm="1" vm="1">
        <f t="array" ref="PCU6">_xlfn._xlws.FILTER(TablaProductos[Nombre producto],TablaProductos[Agrupación]=ProductosPivot!PCU5)</f>
        <v>#VALUE!</v>
      </c>
      <c r="PCV6" s="68" t="e" cm="1" vm="1">
        <f t="array" ref="PCV6">_xlfn._xlws.FILTER(TablaProductos[Nombre producto],TablaProductos[Agrupación]=ProductosPivot!PCV5)</f>
        <v>#VALUE!</v>
      </c>
      <c r="PCW6" s="68" t="e" cm="1" vm="1">
        <f t="array" ref="PCW6">_xlfn._xlws.FILTER(TablaProductos[Nombre producto],TablaProductos[Agrupación]=ProductosPivot!PCW5)</f>
        <v>#VALUE!</v>
      </c>
      <c r="PCX6" s="68" t="e" cm="1" vm="1">
        <f t="array" ref="PCX6">_xlfn._xlws.FILTER(TablaProductos[Nombre producto],TablaProductos[Agrupación]=ProductosPivot!PCX5)</f>
        <v>#VALUE!</v>
      </c>
      <c r="PCY6" s="68" t="e" cm="1" vm="1">
        <f t="array" ref="PCY6">_xlfn._xlws.FILTER(TablaProductos[Nombre producto],TablaProductos[Agrupación]=ProductosPivot!PCY5)</f>
        <v>#VALUE!</v>
      </c>
      <c r="PCZ6" s="68" t="e" cm="1" vm="1">
        <f t="array" ref="PCZ6">_xlfn._xlws.FILTER(TablaProductos[Nombre producto],TablaProductos[Agrupación]=ProductosPivot!PCZ5)</f>
        <v>#VALUE!</v>
      </c>
      <c r="PDA6" s="68" t="e" cm="1" vm="1">
        <f t="array" ref="PDA6">_xlfn._xlws.FILTER(TablaProductos[Nombre producto],TablaProductos[Agrupación]=ProductosPivot!PDA5)</f>
        <v>#VALUE!</v>
      </c>
      <c r="PDB6" s="68" t="e" cm="1" vm="1">
        <f t="array" ref="PDB6">_xlfn._xlws.FILTER(TablaProductos[Nombre producto],TablaProductos[Agrupación]=ProductosPivot!PDB5)</f>
        <v>#VALUE!</v>
      </c>
      <c r="PDC6" s="68" t="e" cm="1" vm="1">
        <f t="array" ref="PDC6">_xlfn._xlws.FILTER(TablaProductos[Nombre producto],TablaProductos[Agrupación]=ProductosPivot!PDC5)</f>
        <v>#VALUE!</v>
      </c>
      <c r="PDD6" s="68" t="e" cm="1" vm="1">
        <f t="array" ref="PDD6">_xlfn._xlws.FILTER(TablaProductos[Nombre producto],TablaProductos[Agrupación]=ProductosPivot!PDD5)</f>
        <v>#VALUE!</v>
      </c>
      <c r="PDE6" s="68" t="e" cm="1" vm="1">
        <f t="array" ref="PDE6">_xlfn._xlws.FILTER(TablaProductos[Nombre producto],TablaProductos[Agrupación]=ProductosPivot!PDE5)</f>
        <v>#VALUE!</v>
      </c>
      <c r="PDF6" s="68" t="e" cm="1" vm="1">
        <f t="array" ref="PDF6">_xlfn._xlws.FILTER(TablaProductos[Nombre producto],TablaProductos[Agrupación]=ProductosPivot!PDF5)</f>
        <v>#VALUE!</v>
      </c>
      <c r="PDG6" s="68" t="e" cm="1" vm="1">
        <f t="array" ref="PDG6">_xlfn._xlws.FILTER(TablaProductos[Nombre producto],TablaProductos[Agrupación]=ProductosPivot!PDG5)</f>
        <v>#VALUE!</v>
      </c>
      <c r="PDH6" s="68" t="e" cm="1" vm="1">
        <f t="array" ref="PDH6">_xlfn._xlws.FILTER(TablaProductos[Nombre producto],TablaProductos[Agrupación]=ProductosPivot!PDH5)</f>
        <v>#VALUE!</v>
      </c>
      <c r="PDI6" s="68" t="e" cm="1" vm="1">
        <f t="array" ref="PDI6">_xlfn._xlws.FILTER(TablaProductos[Nombre producto],TablaProductos[Agrupación]=ProductosPivot!PDI5)</f>
        <v>#VALUE!</v>
      </c>
      <c r="PDJ6" s="68" t="e" cm="1" vm="1">
        <f t="array" ref="PDJ6">_xlfn._xlws.FILTER(TablaProductos[Nombre producto],TablaProductos[Agrupación]=ProductosPivot!PDJ5)</f>
        <v>#VALUE!</v>
      </c>
      <c r="PDK6" s="68" t="e" cm="1" vm="1">
        <f t="array" ref="PDK6">_xlfn._xlws.FILTER(TablaProductos[Nombre producto],TablaProductos[Agrupación]=ProductosPivot!PDK5)</f>
        <v>#VALUE!</v>
      </c>
      <c r="PDL6" s="68" t="e" cm="1" vm="1">
        <f t="array" ref="PDL6">_xlfn._xlws.FILTER(TablaProductos[Nombre producto],TablaProductos[Agrupación]=ProductosPivot!PDL5)</f>
        <v>#VALUE!</v>
      </c>
      <c r="PDM6" s="68" t="e" cm="1" vm="1">
        <f t="array" ref="PDM6">_xlfn._xlws.FILTER(TablaProductos[Nombre producto],TablaProductos[Agrupación]=ProductosPivot!PDM5)</f>
        <v>#VALUE!</v>
      </c>
      <c r="PDN6" s="68" t="e" cm="1" vm="1">
        <f t="array" ref="PDN6">_xlfn._xlws.FILTER(TablaProductos[Nombre producto],TablaProductos[Agrupación]=ProductosPivot!PDN5)</f>
        <v>#VALUE!</v>
      </c>
      <c r="PDO6" s="68" t="e" cm="1" vm="1">
        <f t="array" ref="PDO6">_xlfn._xlws.FILTER(TablaProductos[Nombre producto],TablaProductos[Agrupación]=ProductosPivot!PDO5)</f>
        <v>#VALUE!</v>
      </c>
      <c r="PDP6" s="68" t="e" cm="1" vm="1">
        <f t="array" ref="PDP6">_xlfn._xlws.FILTER(TablaProductos[Nombre producto],TablaProductos[Agrupación]=ProductosPivot!PDP5)</f>
        <v>#VALUE!</v>
      </c>
      <c r="PDQ6" s="68" t="e" cm="1" vm="1">
        <f t="array" ref="PDQ6">_xlfn._xlws.FILTER(TablaProductos[Nombre producto],TablaProductos[Agrupación]=ProductosPivot!PDQ5)</f>
        <v>#VALUE!</v>
      </c>
      <c r="PDR6" s="68" t="e" cm="1" vm="1">
        <f t="array" ref="PDR6">_xlfn._xlws.FILTER(TablaProductos[Nombre producto],TablaProductos[Agrupación]=ProductosPivot!PDR5)</f>
        <v>#VALUE!</v>
      </c>
      <c r="PDS6" s="68" t="e" cm="1" vm="1">
        <f t="array" ref="PDS6">_xlfn._xlws.FILTER(TablaProductos[Nombre producto],TablaProductos[Agrupación]=ProductosPivot!PDS5)</f>
        <v>#VALUE!</v>
      </c>
      <c r="PDT6" s="68" t="e" cm="1" vm="1">
        <f t="array" ref="PDT6">_xlfn._xlws.FILTER(TablaProductos[Nombre producto],TablaProductos[Agrupación]=ProductosPivot!PDT5)</f>
        <v>#VALUE!</v>
      </c>
      <c r="PDU6" s="68" t="e" cm="1" vm="1">
        <f t="array" ref="PDU6">_xlfn._xlws.FILTER(TablaProductos[Nombre producto],TablaProductos[Agrupación]=ProductosPivot!PDU5)</f>
        <v>#VALUE!</v>
      </c>
      <c r="PDV6" s="68" t="e" cm="1" vm="1">
        <f t="array" ref="PDV6">_xlfn._xlws.FILTER(TablaProductos[Nombre producto],TablaProductos[Agrupación]=ProductosPivot!PDV5)</f>
        <v>#VALUE!</v>
      </c>
      <c r="PDW6" s="68" t="e" cm="1" vm="1">
        <f t="array" ref="PDW6">_xlfn._xlws.FILTER(TablaProductos[Nombre producto],TablaProductos[Agrupación]=ProductosPivot!PDW5)</f>
        <v>#VALUE!</v>
      </c>
      <c r="PDX6" s="68" t="e" cm="1" vm="1">
        <f t="array" ref="PDX6">_xlfn._xlws.FILTER(TablaProductos[Nombre producto],TablaProductos[Agrupación]=ProductosPivot!PDX5)</f>
        <v>#VALUE!</v>
      </c>
      <c r="PDY6" s="68" t="e" cm="1" vm="1">
        <f t="array" ref="PDY6">_xlfn._xlws.FILTER(TablaProductos[Nombre producto],TablaProductos[Agrupación]=ProductosPivot!PDY5)</f>
        <v>#VALUE!</v>
      </c>
      <c r="PDZ6" s="68" t="e" cm="1" vm="1">
        <f t="array" ref="PDZ6">_xlfn._xlws.FILTER(TablaProductos[Nombre producto],TablaProductos[Agrupación]=ProductosPivot!PDZ5)</f>
        <v>#VALUE!</v>
      </c>
      <c r="PEA6" s="68" t="e" cm="1" vm="1">
        <f t="array" ref="PEA6">_xlfn._xlws.FILTER(TablaProductos[Nombre producto],TablaProductos[Agrupación]=ProductosPivot!PEA5)</f>
        <v>#VALUE!</v>
      </c>
      <c r="PEB6" s="68" t="e" cm="1" vm="1">
        <f t="array" ref="PEB6">_xlfn._xlws.FILTER(TablaProductos[Nombre producto],TablaProductos[Agrupación]=ProductosPivot!PEB5)</f>
        <v>#VALUE!</v>
      </c>
      <c r="PEC6" s="68" t="e" cm="1" vm="1">
        <f t="array" ref="PEC6">_xlfn._xlws.FILTER(TablaProductos[Nombre producto],TablaProductos[Agrupación]=ProductosPivot!PEC5)</f>
        <v>#VALUE!</v>
      </c>
      <c r="PED6" s="68" t="e" cm="1" vm="1">
        <f t="array" ref="PED6">_xlfn._xlws.FILTER(TablaProductos[Nombre producto],TablaProductos[Agrupación]=ProductosPivot!PED5)</f>
        <v>#VALUE!</v>
      </c>
      <c r="PEE6" s="68" t="e" cm="1" vm="1">
        <f t="array" ref="PEE6">_xlfn._xlws.FILTER(TablaProductos[Nombre producto],TablaProductos[Agrupación]=ProductosPivot!PEE5)</f>
        <v>#VALUE!</v>
      </c>
      <c r="PEF6" s="68" t="e" cm="1" vm="1">
        <f t="array" ref="PEF6">_xlfn._xlws.FILTER(TablaProductos[Nombre producto],TablaProductos[Agrupación]=ProductosPivot!PEF5)</f>
        <v>#VALUE!</v>
      </c>
      <c r="PEG6" s="68" t="e" cm="1" vm="1">
        <f t="array" ref="PEG6">_xlfn._xlws.FILTER(TablaProductos[Nombre producto],TablaProductos[Agrupación]=ProductosPivot!PEG5)</f>
        <v>#VALUE!</v>
      </c>
      <c r="PEH6" s="68" t="e" cm="1" vm="1">
        <f t="array" ref="PEH6">_xlfn._xlws.FILTER(TablaProductos[Nombre producto],TablaProductos[Agrupación]=ProductosPivot!PEH5)</f>
        <v>#VALUE!</v>
      </c>
      <c r="PEI6" s="68" t="e" cm="1" vm="1">
        <f t="array" ref="PEI6">_xlfn._xlws.FILTER(TablaProductos[Nombre producto],TablaProductos[Agrupación]=ProductosPivot!PEI5)</f>
        <v>#VALUE!</v>
      </c>
      <c r="PEJ6" s="68" t="e" cm="1" vm="1">
        <f t="array" ref="PEJ6">_xlfn._xlws.FILTER(TablaProductos[Nombre producto],TablaProductos[Agrupación]=ProductosPivot!PEJ5)</f>
        <v>#VALUE!</v>
      </c>
      <c r="PEK6" s="68" t="e" cm="1" vm="1">
        <f t="array" ref="PEK6">_xlfn._xlws.FILTER(TablaProductos[Nombre producto],TablaProductos[Agrupación]=ProductosPivot!PEK5)</f>
        <v>#VALUE!</v>
      </c>
      <c r="PEL6" s="68" t="e" cm="1" vm="1">
        <f t="array" ref="PEL6">_xlfn._xlws.FILTER(TablaProductos[Nombre producto],TablaProductos[Agrupación]=ProductosPivot!PEL5)</f>
        <v>#VALUE!</v>
      </c>
      <c r="PEM6" s="68" t="e" cm="1" vm="1">
        <f t="array" ref="PEM6">_xlfn._xlws.FILTER(TablaProductos[Nombre producto],TablaProductos[Agrupación]=ProductosPivot!PEM5)</f>
        <v>#VALUE!</v>
      </c>
      <c r="PEN6" s="68" t="e" cm="1" vm="1">
        <f t="array" ref="PEN6">_xlfn._xlws.FILTER(TablaProductos[Nombre producto],TablaProductos[Agrupación]=ProductosPivot!PEN5)</f>
        <v>#VALUE!</v>
      </c>
      <c r="PEO6" s="68" t="e" cm="1" vm="1">
        <f t="array" ref="PEO6">_xlfn._xlws.FILTER(TablaProductos[Nombre producto],TablaProductos[Agrupación]=ProductosPivot!PEO5)</f>
        <v>#VALUE!</v>
      </c>
      <c r="PEP6" s="68" t="e" cm="1" vm="1">
        <f t="array" ref="PEP6">_xlfn._xlws.FILTER(TablaProductos[Nombre producto],TablaProductos[Agrupación]=ProductosPivot!PEP5)</f>
        <v>#VALUE!</v>
      </c>
      <c r="PEQ6" s="68" t="e" cm="1" vm="1">
        <f t="array" ref="PEQ6">_xlfn._xlws.FILTER(TablaProductos[Nombre producto],TablaProductos[Agrupación]=ProductosPivot!PEQ5)</f>
        <v>#VALUE!</v>
      </c>
      <c r="PER6" s="68" t="e" cm="1" vm="1">
        <f t="array" ref="PER6">_xlfn._xlws.FILTER(TablaProductos[Nombre producto],TablaProductos[Agrupación]=ProductosPivot!PER5)</f>
        <v>#VALUE!</v>
      </c>
      <c r="PES6" s="68" t="e" cm="1" vm="1">
        <f t="array" ref="PES6">_xlfn._xlws.FILTER(TablaProductos[Nombre producto],TablaProductos[Agrupación]=ProductosPivot!PES5)</f>
        <v>#VALUE!</v>
      </c>
      <c r="PET6" s="68" t="e" cm="1" vm="1">
        <f t="array" ref="PET6">_xlfn._xlws.FILTER(TablaProductos[Nombre producto],TablaProductos[Agrupación]=ProductosPivot!PET5)</f>
        <v>#VALUE!</v>
      </c>
      <c r="PEU6" s="68" t="e" cm="1" vm="1">
        <f t="array" ref="PEU6">_xlfn._xlws.FILTER(TablaProductos[Nombre producto],TablaProductos[Agrupación]=ProductosPivot!PEU5)</f>
        <v>#VALUE!</v>
      </c>
      <c r="PEV6" s="68" t="e" cm="1" vm="1">
        <f t="array" ref="PEV6">_xlfn._xlws.FILTER(TablaProductos[Nombre producto],TablaProductos[Agrupación]=ProductosPivot!PEV5)</f>
        <v>#VALUE!</v>
      </c>
      <c r="PEW6" s="68" t="e" cm="1" vm="1">
        <f t="array" ref="PEW6">_xlfn._xlws.FILTER(TablaProductos[Nombre producto],TablaProductos[Agrupación]=ProductosPivot!PEW5)</f>
        <v>#VALUE!</v>
      </c>
      <c r="PEX6" s="68" t="e" cm="1" vm="1">
        <f t="array" ref="PEX6">_xlfn._xlws.FILTER(TablaProductos[Nombre producto],TablaProductos[Agrupación]=ProductosPivot!PEX5)</f>
        <v>#VALUE!</v>
      </c>
      <c r="PEY6" s="68" t="e" cm="1" vm="1">
        <f t="array" ref="PEY6">_xlfn._xlws.FILTER(TablaProductos[Nombre producto],TablaProductos[Agrupación]=ProductosPivot!PEY5)</f>
        <v>#VALUE!</v>
      </c>
      <c r="PEZ6" s="68" t="e" cm="1" vm="1">
        <f t="array" ref="PEZ6">_xlfn._xlws.FILTER(TablaProductos[Nombre producto],TablaProductos[Agrupación]=ProductosPivot!PEZ5)</f>
        <v>#VALUE!</v>
      </c>
      <c r="PFA6" s="68" t="e" cm="1" vm="1">
        <f t="array" ref="PFA6">_xlfn._xlws.FILTER(TablaProductos[Nombre producto],TablaProductos[Agrupación]=ProductosPivot!PFA5)</f>
        <v>#VALUE!</v>
      </c>
      <c r="PFB6" s="68" t="e" cm="1" vm="1">
        <f t="array" ref="PFB6">_xlfn._xlws.FILTER(TablaProductos[Nombre producto],TablaProductos[Agrupación]=ProductosPivot!PFB5)</f>
        <v>#VALUE!</v>
      </c>
      <c r="PFC6" s="68" t="e" cm="1" vm="1">
        <f t="array" ref="PFC6">_xlfn._xlws.FILTER(TablaProductos[Nombre producto],TablaProductos[Agrupación]=ProductosPivot!PFC5)</f>
        <v>#VALUE!</v>
      </c>
      <c r="PFD6" s="68" t="e" cm="1" vm="1">
        <f t="array" ref="PFD6">_xlfn._xlws.FILTER(TablaProductos[Nombre producto],TablaProductos[Agrupación]=ProductosPivot!PFD5)</f>
        <v>#VALUE!</v>
      </c>
      <c r="PFE6" s="68" t="e" cm="1" vm="1">
        <f t="array" ref="PFE6">_xlfn._xlws.FILTER(TablaProductos[Nombre producto],TablaProductos[Agrupación]=ProductosPivot!PFE5)</f>
        <v>#VALUE!</v>
      </c>
      <c r="PFF6" s="68" t="e" cm="1" vm="1">
        <f t="array" ref="PFF6">_xlfn._xlws.FILTER(TablaProductos[Nombre producto],TablaProductos[Agrupación]=ProductosPivot!PFF5)</f>
        <v>#VALUE!</v>
      </c>
      <c r="PFG6" s="68" t="e" cm="1" vm="1">
        <f t="array" ref="PFG6">_xlfn._xlws.FILTER(TablaProductos[Nombre producto],TablaProductos[Agrupación]=ProductosPivot!PFG5)</f>
        <v>#VALUE!</v>
      </c>
      <c r="PFH6" s="68" t="e" cm="1" vm="1">
        <f t="array" ref="PFH6">_xlfn._xlws.FILTER(TablaProductos[Nombre producto],TablaProductos[Agrupación]=ProductosPivot!PFH5)</f>
        <v>#VALUE!</v>
      </c>
      <c r="PFI6" s="68" t="e" cm="1" vm="1">
        <f t="array" ref="PFI6">_xlfn._xlws.FILTER(TablaProductos[Nombre producto],TablaProductos[Agrupación]=ProductosPivot!PFI5)</f>
        <v>#VALUE!</v>
      </c>
      <c r="PFJ6" s="68" t="e" cm="1" vm="1">
        <f t="array" ref="PFJ6">_xlfn._xlws.FILTER(TablaProductos[Nombre producto],TablaProductos[Agrupación]=ProductosPivot!PFJ5)</f>
        <v>#VALUE!</v>
      </c>
      <c r="PFK6" s="68" t="e" cm="1" vm="1">
        <f t="array" ref="PFK6">_xlfn._xlws.FILTER(TablaProductos[Nombre producto],TablaProductos[Agrupación]=ProductosPivot!PFK5)</f>
        <v>#VALUE!</v>
      </c>
      <c r="PFL6" s="68" t="e" cm="1" vm="1">
        <f t="array" ref="PFL6">_xlfn._xlws.FILTER(TablaProductos[Nombre producto],TablaProductos[Agrupación]=ProductosPivot!PFL5)</f>
        <v>#VALUE!</v>
      </c>
      <c r="PFM6" s="68" t="e" cm="1" vm="1">
        <f t="array" ref="PFM6">_xlfn._xlws.FILTER(TablaProductos[Nombre producto],TablaProductos[Agrupación]=ProductosPivot!PFM5)</f>
        <v>#VALUE!</v>
      </c>
      <c r="PFN6" s="68" t="e" cm="1" vm="1">
        <f t="array" ref="PFN6">_xlfn._xlws.FILTER(TablaProductos[Nombre producto],TablaProductos[Agrupación]=ProductosPivot!PFN5)</f>
        <v>#VALUE!</v>
      </c>
      <c r="PFO6" s="68" t="e" cm="1" vm="1">
        <f t="array" ref="PFO6">_xlfn._xlws.FILTER(TablaProductos[Nombre producto],TablaProductos[Agrupación]=ProductosPivot!PFO5)</f>
        <v>#VALUE!</v>
      </c>
      <c r="PFP6" s="68" t="e" cm="1" vm="1">
        <f t="array" ref="PFP6">_xlfn._xlws.FILTER(TablaProductos[Nombre producto],TablaProductos[Agrupación]=ProductosPivot!PFP5)</f>
        <v>#VALUE!</v>
      </c>
      <c r="PFQ6" s="68" t="e" cm="1" vm="1">
        <f t="array" ref="PFQ6">_xlfn._xlws.FILTER(TablaProductos[Nombre producto],TablaProductos[Agrupación]=ProductosPivot!PFQ5)</f>
        <v>#VALUE!</v>
      </c>
      <c r="PFR6" s="68" t="e" cm="1" vm="1">
        <f t="array" ref="PFR6">_xlfn._xlws.FILTER(TablaProductos[Nombre producto],TablaProductos[Agrupación]=ProductosPivot!PFR5)</f>
        <v>#VALUE!</v>
      </c>
      <c r="PFS6" s="68" t="e" cm="1" vm="1">
        <f t="array" ref="PFS6">_xlfn._xlws.FILTER(TablaProductos[Nombre producto],TablaProductos[Agrupación]=ProductosPivot!PFS5)</f>
        <v>#VALUE!</v>
      </c>
      <c r="PFT6" s="68" t="e" cm="1" vm="1">
        <f t="array" ref="PFT6">_xlfn._xlws.FILTER(TablaProductos[Nombre producto],TablaProductos[Agrupación]=ProductosPivot!PFT5)</f>
        <v>#VALUE!</v>
      </c>
      <c r="PFU6" s="68" t="e" cm="1" vm="1">
        <f t="array" ref="PFU6">_xlfn._xlws.FILTER(TablaProductos[Nombre producto],TablaProductos[Agrupación]=ProductosPivot!PFU5)</f>
        <v>#VALUE!</v>
      </c>
      <c r="PFV6" s="68" t="e" cm="1" vm="1">
        <f t="array" ref="PFV6">_xlfn._xlws.FILTER(TablaProductos[Nombre producto],TablaProductos[Agrupación]=ProductosPivot!PFV5)</f>
        <v>#VALUE!</v>
      </c>
      <c r="PFW6" s="68" t="e" cm="1" vm="1">
        <f t="array" ref="PFW6">_xlfn._xlws.FILTER(TablaProductos[Nombre producto],TablaProductos[Agrupación]=ProductosPivot!PFW5)</f>
        <v>#VALUE!</v>
      </c>
      <c r="PFX6" s="68" t="e" cm="1" vm="1">
        <f t="array" ref="PFX6">_xlfn._xlws.FILTER(TablaProductos[Nombre producto],TablaProductos[Agrupación]=ProductosPivot!PFX5)</f>
        <v>#VALUE!</v>
      </c>
      <c r="PFY6" s="68" t="e" cm="1" vm="1">
        <f t="array" ref="PFY6">_xlfn._xlws.FILTER(TablaProductos[Nombre producto],TablaProductos[Agrupación]=ProductosPivot!PFY5)</f>
        <v>#VALUE!</v>
      </c>
      <c r="PFZ6" s="68" t="e" cm="1" vm="1">
        <f t="array" ref="PFZ6">_xlfn._xlws.FILTER(TablaProductos[Nombre producto],TablaProductos[Agrupación]=ProductosPivot!PFZ5)</f>
        <v>#VALUE!</v>
      </c>
      <c r="PGA6" s="68" t="e" cm="1" vm="1">
        <f t="array" ref="PGA6">_xlfn._xlws.FILTER(TablaProductos[Nombre producto],TablaProductos[Agrupación]=ProductosPivot!PGA5)</f>
        <v>#VALUE!</v>
      </c>
      <c r="PGB6" s="68" t="e" cm="1" vm="1">
        <f t="array" ref="PGB6">_xlfn._xlws.FILTER(TablaProductos[Nombre producto],TablaProductos[Agrupación]=ProductosPivot!PGB5)</f>
        <v>#VALUE!</v>
      </c>
      <c r="PGC6" s="68" t="e" cm="1" vm="1">
        <f t="array" ref="PGC6">_xlfn._xlws.FILTER(TablaProductos[Nombre producto],TablaProductos[Agrupación]=ProductosPivot!PGC5)</f>
        <v>#VALUE!</v>
      </c>
      <c r="PGD6" s="68" t="e" cm="1" vm="1">
        <f t="array" ref="PGD6">_xlfn._xlws.FILTER(TablaProductos[Nombre producto],TablaProductos[Agrupación]=ProductosPivot!PGD5)</f>
        <v>#VALUE!</v>
      </c>
      <c r="PGE6" s="68" t="e" cm="1" vm="1">
        <f t="array" ref="PGE6">_xlfn._xlws.FILTER(TablaProductos[Nombre producto],TablaProductos[Agrupación]=ProductosPivot!PGE5)</f>
        <v>#VALUE!</v>
      </c>
      <c r="PGF6" s="68" t="e" cm="1" vm="1">
        <f t="array" ref="PGF6">_xlfn._xlws.FILTER(TablaProductos[Nombre producto],TablaProductos[Agrupación]=ProductosPivot!PGF5)</f>
        <v>#VALUE!</v>
      </c>
      <c r="PGG6" s="68" t="e" cm="1" vm="1">
        <f t="array" ref="PGG6">_xlfn._xlws.FILTER(TablaProductos[Nombre producto],TablaProductos[Agrupación]=ProductosPivot!PGG5)</f>
        <v>#VALUE!</v>
      </c>
      <c r="PGH6" s="68" t="e" cm="1" vm="1">
        <f t="array" ref="PGH6">_xlfn._xlws.FILTER(TablaProductos[Nombre producto],TablaProductos[Agrupación]=ProductosPivot!PGH5)</f>
        <v>#VALUE!</v>
      </c>
      <c r="PGI6" s="68" t="e" cm="1" vm="1">
        <f t="array" ref="PGI6">_xlfn._xlws.FILTER(TablaProductos[Nombre producto],TablaProductos[Agrupación]=ProductosPivot!PGI5)</f>
        <v>#VALUE!</v>
      </c>
      <c r="PGJ6" s="68" t="e" cm="1" vm="1">
        <f t="array" ref="PGJ6">_xlfn._xlws.FILTER(TablaProductos[Nombre producto],TablaProductos[Agrupación]=ProductosPivot!PGJ5)</f>
        <v>#VALUE!</v>
      </c>
      <c r="PGK6" s="68" t="e" cm="1" vm="1">
        <f t="array" ref="PGK6">_xlfn._xlws.FILTER(TablaProductos[Nombre producto],TablaProductos[Agrupación]=ProductosPivot!PGK5)</f>
        <v>#VALUE!</v>
      </c>
      <c r="PGL6" s="68" t="e" cm="1" vm="1">
        <f t="array" ref="PGL6">_xlfn._xlws.FILTER(TablaProductos[Nombre producto],TablaProductos[Agrupación]=ProductosPivot!PGL5)</f>
        <v>#VALUE!</v>
      </c>
      <c r="PGM6" s="68" t="e" cm="1" vm="1">
        <f t="array" ref="PGM6">_xlfn._xlws.FILTER(TablaProductos[Nombre producto],TablaProductos[Agrupación]=ProductosPivot!PGM5)</f>
        <v>#VALUE!</v>
      </c>
      <c r="PGN6" s="68" t="e" cm="1" vm="1">
        <f t="array" ref="PGN6">_xlfn._xlws.FILTER(TablaProductos[Nombre producto],TablaProductos[Agrupación]=ProductosPivot!PGN5)</f>
        <v>#VALUE!</v>
      </c>
      <c r="PGO6" s="68" t="e" cm="1" vm="1">
        <f t="array" ref="PGO6">_xlfn._xlws.FILTER(TablaProductos[Nombre producto],TablaProductos[Agrupación]=ProductosPivot!PGO5)</f>
        <v>#VALUE!</v>
      </c>
      <c r="PGP6" s="68" t="e" cm="1" vm="1">
        <f t="array" ref="PGP6">_xlfn._xlws.FILTER(TablaProductos[Nombre producto],TablaProductos[Agrupación]=ProductosPivot!PGP5)</f>
        <v>#VALUE!</v>
      </c>
      <c r="PGQ6" s="68" t="e" cm="1" vm="1">
        <f t="array" ref="PGQ6">_xlfn._xlws.FILTER(TablaProductos[Nombre producto],TablaProductos[Agrupación]=ProductosPivot!PGQ5)</f>
        <v>#VALUE!</v>
      </c>
      <c r="PGR6" s="68" t="e" cm="1" vm="1">
        <f t="array" ref="PGR6">_xlfn._xlws.FILTER(TablaProductos[Nombre producto],TablaProductos[Agrupación]=ProductosPivot!PGR5)</f>
        <v>#VALUE!</v>
      </c>
      <c r="PGS6" s="68" t="e" cm="1" vm="1">
        <f t="array" ref="PGS6">_xlfn._xlws.FILTER(TablaProductos[Nombre producto],TablaProductos[Agrupación]=ProductosPivot!PGS5)</f>
        <v>#VALUE!</v>
      </c>
      <c r="PGT6" s="68" t="e" cm="1" vm="1">
        <f t="array" ref="PGT6">_xlfn._xlws.FILTER(TablaProductos[Nombre producto],TablaProductos[Agrupación]=ProductosPivot!PGT5)</f>
        <v>#VALUE!</v>
      </c>
      <c r="PGU6" s="68" t="e" cm="1" vm="1">
        <f t="array" ref="PGU6">_xlfn._xlws.FILTER(TablaProductos[Nombre producto],TablaProductos[Agrupación]=ProductosPivot!PGU5)</f>
        <v>#VALUE!</v>
      </c>
      <c r="PGV6" s="68" t="e" cm="1" vm="1">
        <f t="array" ref="PGV6">_xlfn._xlws.FILTER(TablaProductos[Nombre producto],TablaProductos[Agrupación]=ProductosPivot!PGV5)</f>
        <v>#VALUE!</v>
      </c>
      <c r="PGW6" s="68" t="e" cm="1" vm="1">
        <f t="array" ref="PGW6">_xlfn._xlws.FILTER(TablaProductos[Nombre producto],TablaProductos[Agrupación]=ProductosPivot!PGW5)</f>
        <v>#VALUE!</v>
      </c>
      <c r="PGX6" s="68" t="e" cm="1" vm="1">
        <f t="array" ref="PGX6">_xlfn._xlws.FILTER(TablaProductos[Nombre producto],TablaProductos[Agrupación]=ProductosPivot!PGX5)</f>
        <v>#VALUE!</v>
      </c>
      <c r="PGY6" s="68" t="e" cm="1" vm="1">
        <f t="array" ref="PGY6">_xlfn._xlws.FILTER(TablaProductos[Nombre producto],TablaProductos[Agrupación]=ProductosPivot!PGY5)</f>
        <v>#VALUE!</v>
      </c>
      <c r="PGZ6" s="68" t="e" cm="1" vm="1">
        <f t="array" ref="PGZ6">_xlfn._xlws.FILTER(TablaProductos[Nombre producto],TablaProductos[Agrupación]=ProductosPivot!PGZ5)</f>
        <v>#VALUE!</v>
      </c>
      <c r="PHA6" s="68" t="e" cm="1" vm="1">
        <f t="array" ref="PHA6">_xlfn._xlws.FILTER(TablaProductos[Nombre producto],TablaProductos[Agrupación]=ProductosPivot!PHA5)</f>
        <v>#VALUE!</v>
      </c>
      <c r="PHB6" s="68" t="e" cm="1" vm="1">
        <f t="array" ref="PHB6">_xlfn._xlws.FILTER(TablaProductos[Nombre producto],TablaProductos[Agrupación]=ProductosPivot!PHB5)</f>
        <v>#VALUE!</v>
      </c>
      <c r="PHC6" s="68" t="e" cm="1" vm="1">
        <f t="array" ref="PHC6">_xlfn._xlws.FILTER(TablaProductos[Nombre producto],TablaProductos[Agrupación]=ProductosPivot!PHC5)</f>
        <v>#VALUE!</v>
      </c>
      <c r="PHD6" s="68" t="e" cm="1" vm="1">
        <f t="array" ref="PHD6">_xlfn._xlws.FILTER(TablaProductos[Nombre producto],TablaProductos[Agrupación]=ProductosPivot!PHD5)</f>
        <v>#VALUE!</v>
      </c>
      <c r="PHE6" s="68" t="e" cm="1" vm="1">
        <f t="array" ref="PHE6">_xlfn._xlws.FILTER(TablaProductos[Nombre producto],TablaProductos[Agrupación]=ProductosPivot!PHE5)</f>
        <v>#VALUE!</v>
      </c>
      <c r="PHF6" s="68" t="e" cm="1" vm="1">
        <f t="array" ref="PHF6">_xlfn._xlws.FILTER(TablaProductos[Nombre producto],TablaProductos[Agrupación]=ProductosPivot!PHF5)</f>
        <v>#VALUE!</v>
      </c>
      <c r="PHG6" s="68" t="e" cm="1" vm="1">
        <f t="array" ref="PHG6">_xlfn._xlws.FILTER(TablaProductos[Nombre producto],TablaProductos[Agrupación]=ProductosPivot!PHG5)</f>
        <v>#VALUE!</v>
      </c>
      <c r="PHH6" s="68" t="e" cm="1" vm="1">
        <f t="array" ref="PHH6">_xlfn._xlws.FILTER(TablaProductos[Nombre producto],TablaProductos[Agrupación]=ProductosPivot!PHH5)</f>
        <v>#VALUE!</v>
      </c>
      <c r="PHI6" s="68" t="e" cm="1" vm="1">
        <f t="array" ref="PHI6">_xlfn._xlws.FILTER(TablaProductos[Nombre producto],TablaProductos[Agrupación]=ProductosPivot!PHI5)</f>
        <v>#VALUE!</v>
      </c>
      <c r="PHJ6" s="68" t="e" cm="1" vm="1">
        <f t="array" ref="PHJ6">_xlfn._xlws.FILTER(TablaProductos[Nombre producto],TablaProductos[Agrupación]=ProductosPivot!PHJ5)</f>
        <v>#VALUE!</v>
      </c>
      <c r="PHK6" s="68" t="e" cm="1" vm="1">
        <f t="array" ref="PHK6">_xlfn._xlws.FILTER(TablaProductos[Nombre producto],TablaProductos[Agrupación]=ProductosPivot!PHK5)</f>
        <v>#VALUE!</v>
      </c>
      <c r="PHL6" s="68" t="e" cm="1" vm="1">
        <f t="array" ref="PHL6">_xlfn._xlws.FILTER(TablaProductos[Nombre producto],TablaProductos[Agrupación]=ProductosPivot!PHL5)</f>
        <v>#VALUE!</v>
      </c>
      <c r="PHM6" s="68" t="e" cm="1" vm="1">
        <f t="array" ref="PHM6">_xlfn._xlws.FILTER(TablaProductos[Nombre producto],TablaProductos[Agrupación]=ProductosPivot!PHM5)</f>
        <v>#VALUE!</v>
      </c>
      <c r="PHN6" s="68" t="e" cm="1" vm="1">
        <f t="array" ref="PHN6">_xlfn._xlws.FILTER(TablaProductos[Nombre producto],TablaProductos[Agrupación]=ProductosPivot!PHN5)</f>
        <v>#VALUE!</v>
      </c>
      <c r="PHO6" s="68" t="e" cm="1" vm="1">
        <f t="array" ref="PHO6">_xlfn._xlws.FILTER(TablaProductos[Nombre producto],TablaProductos[Agrupación]=ProductosPivot!PHO5)</f>
        <v>#VALUE!</v>
      </c>
      <c r="PHP6" s="68" t="e" cm="1" vm="1">
        <f t="array" ref="PHP6">_xlfn._xlws.FILTER(TablaProductos[Nombre producto],TablaProductos[Agrupación]=ProductosPivot!PHP5)</f>
        <v>#VALUE!</v>
      </c>
      <c r="PHQ6" s="68" t="e" cm="1" vm="1">
        <f t="array" ref="PHQ6">_xlfn._xlws.FILTER(TablaProductos[Nombre producto],TablaProductos[Agrupación]=ProductosPivot!PHQ5)</f>
        <v>#VALUE!</v>
      </c>
      <c r="PHR6" s="68" t="e" cm="1" vm="1">
        <f t="array" ref="PHR6">_xlfn._xlws.FILTER(TablaProductos[Nombre producto],TablaProductos[Agrupación]=ProductosPivot!PHR5)</f>
        <v>#VALUE!</v>
      </c>
      <c r="PHS6" s="68" t="e" cm="1" vm="1">
        <f t="array" ref="PHS6">_xlfn._xlws.FILTER(TablaProductos[Nombre producto],TablaProductos[Agrupación]=ProductosPivot!PHS5)</f>
        <v>#VALUE!</v>
      </c>
      <c r="PHT6" s="68" t="e" cm="1" vm="1">
        <f t="array" ref="PHT6">_xlfn._xlws.FILTER(TablaProductos[Nombre producto],TablaProductos[Agrupación]=ProductosPivot!PHT5)</f>
        <v>#VALUE!</v>
      </c>
      <c r="PHU6" s="68" t="e" cm="1" vm="1">
        <f t="array" ref="PHU6">_xlfn._xlws.FILTER(TablaProductos[Nombre producto],TablaProductos[Agrupación]=ProductosPivot!PHU5)</f>
        <v>#VALUE!</v>
      </c>
      <c r="PHV6" s="68" t="e" cm="1" vm="1">
        <f t="array" ref="PHV6">_xlfn._xlws.FILTER(TablaProductos[Nombre producto],TablaProductos[Agrupación]=ProductosPivot!PHV5)</f>
        <v>#VALUE!</v>
      </c>
      <c r="PHW6" s="68" t="e" cm="1" vm="1">
        <f t="array" ref="PHW6">_xlfn._xlws.FILTER(TablaProductos[Nombre producto],TablaProductos[Agrupación]=ProductosPivot!PHW5)</f>
        <v>#VALUE!</v>
      </c>
      <c r="PHX6" s="68" t="e" cm="1" vm="1">
        <f t="array" ref="PHX6">_xlfn._xlws.FILTER(TablaProductos[Nombre producto],TablaProductos[Agrupación]=ProductosPivot!PHX5)</f>
        <v>#VALUE!</v>
      </c>
      <c r="PHY6" s="68" t="e" cm="1" vm="1">
        <f t="array" ref="PHY6">_xlfn._xlws.FILTER(TablaProductos[Nombre producto],TablaProductos[Agrupación]=ProductosPivot!PHY5)</f>
        <v>#VALUE!</v>
      </c>
      <c r="PHZ6" s="68" t="e" cm="1" vm="1">
        <f t="array" ref="PHZ6">_xlfn._xlws.FILTER(TablaProductos[Nombre producto],TablaProductos[Agrupación]=ProductosPivot!PHZ5)</f>
        <v>#VALUE!</v>
      </c>
      <c r="PIA6" s="68" t="e" cm="1" vm="1">
        <f t="array" ref="PIA6">_xlfn._xlws.FILTER(TablaProductos[Nombre producto],TablaProductos[Agrupación]=ProductosPivot!PIA5)</f>
        <v>#VALUE!</v>
      </c>
      <c r="PIB6" s="68" t="e" cm="1" vm="1">
        <f t="array" ref="PIB6">_xlfn._xlws.FILTER(TablaProductos[Nombre producto],TablaProductos[Agrupación]=ProductosPivot!PIB5)</f>
        <v>#VALUE!</v>
      </c>
      <c r="PIC6" s="68" t="e" cm="1" vm="1">
        <f t="array" ref="PIC6">_xlfn._xlws.FILTER(TablaProductos[Nombre producto],TablaProductos[Agrupación]=ProductosPivot!PIC5)</f>
        <v>#VALUE!</v>
      </c>
      <c r="PID6" s="68" t="e" cm="1" vm="1">
        <f t="array" ref="PID6">_xlfn._xlws.FILTER(TablaProductos[Nombre producto],TablaProductos[Agrupación]=ProductosPivot!PID5)</f>
        <v>#VALUE!</v>
      </c>
      <c r="PIE6" s="68" t="e" cm="1" vm="1">
        <f t="array" ref="PIE6">_xlfn._xlws.FILTER(TablaProductos[Nombre producto],TablaProductos[Agrupación]=ProductosPivot!PIE5)</f>
        <v>#VALUE!</v>
      </c>
      <c r="PIF6" s="68" t="e" cm="1" vm="1">
        <f t="array" ref="PIF6">_xlfn._xlws.FILTER(TablaProductos[Nombre producto],TablaProductos[Agrupación]=ProductosPivot!PIF5)</f>
        <v>#VALUE!</v>
      </c>
      <c r="PIG6" s="68" t="e" cm="1" vm="1">
        <f t="array" ref="PIG6">_xlfn._xlws.FILTER(TablaProductos[Nombre producto],TablaProductos[Agrupación]=ProductosPivot!PIG5)</f>
        <v>#VALUE!</v>
      </c>
      <c r="PIH6" s="68" t="e" cm="1" vm="1">
        <f t="array" ref="PIH6">_xlfn._xlws.FILTER(TablaProductos[Nombre producto],TablaProductos[Agrupación]=ProductosPivot!PIH5)</f>
        <v>#VALUE!</v>
      </c>
      <c r="PII6" s="68" t="e" cm="1" vm="1">
        <f t="array" ref="PII6">_xlfn._xlws.FILTER(TablaProductos[Nombre producto],TablaProductos[Agrupación]=ProductosPivot!PII5)</f>
        <v>#VALUE!</v>
      </c>
      <c r="PIJ6" s="68" t="e" cm="1" vm="1">
        <f t="array" ref="PIJ6">_xlfn._xlws.FILTER(TablaProductos[Nombre producto],TablaProductos[Agrupación]=ProductosPivot!PIJ5)</f>
        <v>#VALUE!</v>
      </c>
      <c r="PIK6" s="68" t="e" cm="1" vm="1">
        <f t="array" ref="PIK6">_xlfn._xlws.FILTER(TablaProductos[Nombre producto],TablaProductos[Agrupación]=ProductosPivot!PIK5)</f>
        <v>#VALUE!</v>
      </c>
      <c r="PIL6" s="68" t="e" cm="1" vm="1">
        <f t="array" ref="PIL6">_xlfn._xlws.FILTER(TablaProductos[Nombre producto],TablaProductos[Agrupación]=ProductosPivot!PIL5)</f>
        <v>#VALUE!</v>
      </c>
      <c r="PIM6" s="68" t="e" cm="1" vm="1">
        <f t="array" ref="PIM6">_xlfn._xlws.FILTER(TablaProductos[Nombre producto],TablaProductos[Agrupación]=ProductosPivot!PIM5)</f>
        <v>#VALUE!</v>
      </c>
      <c r="PIN6" s="68" t="e" cm="1" vm="1">
        <f t="array" ref="PIN6">_xlfn._xlws.FILTER(TablaProductos[Nombre producto],TablaProductos[Agrupación]=ProductosPivot!PIN5)</f>
        <v>#VALUE!</v>
      </c>
      <c r="PIO6" s="68" t="e" cm="1" vm="1">
        <f t="array" ref="PIO6">_xlfn._xlws.FILTER(TablaProductos[Nombre producto],TablaProductos[Agrupación]=ProductosPivot!PIO5)</f>
        <v>#VALUE!</v>
      </c>
      <c r="PIP6" s="68" t="e" cm="1" vm="1">
        <f t="array" ref="PIP6">_xlfn._xlws.FILTER(TablaProductos[Nombre producto],TablaProductos[Agrupación]=ProductosPivot!PIP5)</f>
        <v>#VALUE!</v>
      </c>
      <c r="PIQ6" s="68" t="e" cm="1" vm="1">
        <f t="array" ref="PIQ6">_xlfn._xlws.FILTER(TablaProductos[Nombre producto],TablaProductos[Agrupación]=ProductosPivot!PIQ5)</f>
        <v>#VALUE!</v>
      </c>
      <c r="PIR6" s="68" t="e" cm="1" vm="1">
        <f t="array" ref="PIR6">_xlfn._xlws.FILTER(TablaProductos[Nombre producto],TablaProductos[Agrupación]=ProductosPivot!PIR5)</f>
        <v>#VALUE!</v>
      </c>
      <c r="PIS6" s="68" t="e" cm="1" vm="1">
        <f t="array" ref="PIS6">_xlfn._xlws.FILTER(TablaProductos[Nombre producto],TablaProductos[Agrupación]=ProductosPivot!PIS5)</f>
        <v>#VALUE!</v>
      </c>
      <c r="PIT6" s="68" t="e" cm="1" vm="1">
        <f t="array" ref="PIT6">_xlfn._xlws.FILTER(TablaProductos[Nombre producto],TablaProductos[Agrupación]=ProductosPivot!PIT5)</f>
        <v>#VALUE!</v>
      </c>
      <c r="PIU6" s="68" t="e" cm="1" vm="1">
        <f t="array" ref="PIU6">_xlfn._xlws.FILTER(TablaProductos[Nombre producto],TablaProductos[Agrupación]=ProductosPivot!PIU5)</f>
        <v>#VALUE!</v>
      </c>
      <c r="PIV6" s="68" t="e" cm="1" vm="1">
        <f t="array" ref="PIV6">_xlfn._xlws.FILTER(TablaProductos[Nombre producto],TablaProductos[Agrupación]=ProductosPivot!PIV5)</f>
        <v>#VALUE!</v>
      </c>
      <c r="PIW6" s="68" t="e" cm="1" vm="1">
        <f t="array" ref="PIW6">_xlfn._xlws.FILTER(TablaProductos[Nombre producto],TablaProductos[Agrupación]=ProductosPivot!PIW5)</f>
        <v>#VALUE!</v>
      </c>
      <c r="PIX6" s="68" t="e" cm="1" vm="1">
        <f t="array" ref="PIX6">_xlfn._xlws.FILTER(TablaProductos[Nombre producto],TablaProductos[Agrupación]=ProductosPivot!PIX5)</f>
        <v>#VALUE!</v>
      </c>
      <c r="PIY6" s="68" t="e" cm="1" vm="1">
        <f t="array" ref="PIY6">_xlfn._xlws.FILTER(TablaProductos[Nombre producto],TablaProductos[Agrupación]=ProductosPivot!PIY5)</f>
        <v>#VALUE!</v>
      </c>
      <c r="PIZ6" s="68" t="e" cm="1" vm="1">
        <f t="array" ref="PIZ6">_xlfn._xlws.FILTER(TablaProductos[Nombre producto],TablaProductos[Agrupación]=ProductosPivot!PIZ5)</f>
        <v>#VALUE!</v>
      </c>
      <c r="PJA6" s="68" t="e" cm="1" vm="1">
        <f t="array" ref="PJA6">_xlfn._xlws.FILTER(TablaProductos[Nombre producto],TablaProductos[Agrupación]=ProductosPivot!PJA5)</f>
        <v>#VALUE!</v>
      </c>
      <c r="PJB6" s="68" t="e" cm="1" vm="1">
        <f t="array" ref="PJB6">_xlfn._xlws.FILTER(TablaProductos[Nombre producto],TablaProductos[Agrupación]=ProductosPivot!PJB5)</f>
        <v>#VALUE!</v>
      </c>
      <c r="PJC6" s="68" t="e" cm="1" vm="1">
        <f t="array" ref="PJC6">_xlfn._xlws.FILTER(TablaProductos[Nombre producto],TablaProductos[Agrupación]=ProductosPivot!PJC5)</f>
        <v>#VALUE!</v>
      </c>
      <c r="PJD6" s="68" t="e" cm="1" vm="1">
        <f t="array" ref="PJD6">_xlfn._xlws.FILTER(TablaProductos[Nombre producto],TablaProductos[Agrupación]=ProductosPivot!PJD5)</f>
        <v>#VALUE!</v>
      </c>
      <c r="PJE6" s="68" t="e" cm="1" vm="1">
        <f t="array" ref="PJE6">_xlfn._xlws.FILTER(TablaProductos[Nombre producto],TablaProductos[Agrupación]=ProductosPivot!PJE5)</f>
        <v>#VALUE!</v>
      </c>
      <c r="PJF6" s="68" t="e" cm="1" vm="1">
        <f t="array" ref="PJF6">_xlfn._xlws.FILTER(TablaProductos[Nombre producto],TablaProductos[Agrupación]=ProductosPivot!PJF5)</f>
        <v>#VALUE!</v>
      </c>
      <c r="PJG6" s="68" t="e" cm="1" vm="1">
        <f t="array" ref="PJG6">_xlfn._xlws.FILTER(TablaProductos[Nombre producto],TablaProductos[Agrupación]=ProductosPivot!PJG5)</f>
        <v>#VALUE!</v>
      </c>
      <c r="PJH6" s="68" t="e" cm="1" vm="1">
        <f t="array" ref="PJH6">_xlfn._xlws.FILTER(TablaProductos[Nombre producto],TablaProductos[Agrupación]=ProductosPivot!PJH5)</f>
        <v>#VALUE!</v>
      </c>
      <c r="PJI6" s="68" t="e" cm="1" vm="1">
        <f t="array" ref="PJI6">_xlfn._xlws.FILTER(TablaProductos[Nombre producto],TablaProductos[Agrupación]=ProductosPivot!PJI5)</f>
        <v>#VALUE!</v>
      </c>
      <c r="PJJ6" s="68" t="e" cm="1" vm="1">
        <f t="array" ref="PJJ6">_xlfn._xlws.FILTER(TablaProductos[Nombre producto],TablaProductos[Agrupación]=ProductosPivot!PJJ5)</f>
        <v>#VALUE!</v>
      </c>
      <c r="PJK6" s="68" t="e" cm="1" vm="1">
        <f t="array" ref="PJK6">_xlfn._xlws.FILTER(TablaProductos[Nombre producto],TablaProductos[Agrupación]=ProductosPivot!PJK5)</f>
        <v>#VALUE!</v>
      </c>
      <c r="PJL6" s="68" t="e" cm="1" vm="1">
        <f t="array" ref="PJL6">_xlfn._xlws.FILTER(TablaProductos[Nombre producto],TablaProductos[Agrupación]=ProductosPivot!PJL5)</f>
        <v>#VALUE!</v>
      </c>
      <c r="PJM6" s="68" t="e" cm="1" vm="1">
        <f t="array" ref="PJM6">_xlfn._xlws.FILTER(TablaProductos[Nombre producto],TablaProductos[Agrupación]=ProductosPivot!PJM5)</f>
        <v>#VALUE!</v>
      </c>
      <c r="PJN6" s="68" t="e" cm="1" vm="1">
        <f t="array" ref="PJN6">_xlfn._xlws.FILTER(TablaProductos[Nombre producto],TablaProductos[Agrupación]=ProductosPivot!PJN5)</f>
        <v>#VALUE!</v>
      </c>
      <c r="PJO6" s="68" t="e" cm="1" vm="1">
        <f t="array" ref="PJO6">_xlfn._xlws.FILTER(TablaProductos[Nombre producto],TablaProductos[Agrupación]=ProductosPivot!PJO5)</f>
        <v>#VALUE!</v>
      </c>
      <c r="PJP6" s="68" t="e" cm="1" vm="1">
        <f t="array" ref="PJP6">_xlfn._xlws.FILTER(TablaProductos[Nombre producto],TablaProductos[Agrupación]=ProductosPivot!PJP5)</f>
        <v>#VALUE!</v>
      </c>
      <c r="PJQ6" s="68" t="e" cm="1" vm="1">
        <f t="array" ref="PJQ6">_xlfn._xlws.FILTER(TablaProductos[Nombre producto],TablaProductos[Agrupación]=ProductosPivot!PJQ5)</f>
        <v>#VALUE!</v>
      </c>
      <c r="PJR6" s="68" t="e" cm="1" vm="1">
        <f t="array" ref="PJR6">_xlfn._xlws.FILTER(TablaProductos[Nombre producto],TablaProductos[Agrupación]=ProductosPivot!PJR5)</f>
        <v>#VALUE!</v>
      </c>
      <c r="PJS6" s="68" t="e" cm="1" vm="1">
        <f t="array" ref="PJS6">_xlfn._xlws.FILTER(TablaProductos[Nombre producto],TablaProductos[Agrupación]=ProductosPivot!PJS5)</f>
        <v>#VALUE!</v>
      </c>
      <c r="PJT6" s="68" t="e" cm="1" vm="1">
        <f t="array" ref="PJT6">_xlfn._xlws.FILTER(TablaProductos[Nombre producto],TablaProductos[Agrupación]=ProductosPivot!PJT5)</f>
        <v>#VALUE!</v>
      </c>
      <c r="PJU6" s="68" t="e" cm="1" vm="1">
        <f t="array" ref="PJU6">_xlfn._xlws.FILTER(TablaProductos[Nombre producto],TablaProductos[Agrupación]=ProductosPivot!PJU5)</f>
        <v>#VALUE!</v>
      </c>
      <c r="PJV6" s="68" t="e" cm="1" vm="1">
        <f t="array" ref="PJV6">_xlfn._xlws.FILTER(TablaProductos[Nombre producto],TablaProductos[Agrupación]=ProductosPivot!PJV5)</f>
        <v>#VALUE!</v>
      </c>
      <c r="PJW6" s="68" t="e" cm="1" vm="1">
        <f t="array" ref="PJW6">_xlfn._xlws.FILTER(TablaProductos[Nombre producto],TablaProductos[Agrupación]=ProductosPivot!PJW5)</f>
        <v>#VALUE!</v>
      </c>
      <c r="PJX6" s="68" t="e" cm="1" vm="1">
        <f t="array" ref="PJX6">_xlfn._xlws.FILTER(TablaProductos[Nombre producto],TablaProductos[Agrupación]=ProductosPivot!PJX5)</f>
        <v>#VALUE!</v>
      </c>
      <c r="PJY6" s="68" t="e" cm="1" vm="1">
        <f t="array" ref="PJY6">_xlfn._xlws.FILTER(TablaProductos[Nombre producto],TablaProductos[Agrupación]=ProductosPivot!PJY5)</f>
        <v>#VALUE!</v>
      </c>
      <c r="PJZ6" s="68" t="e" cm="1" vm="1">
        <f t="array" ref="PJZ6">_xlfn._xlws.FILTER(TablaProductos[Nombre producto],TablaProductos[Agrupación]=ProductosPivot!PJZ5)</f>
        <v>#VALUE!</v>
      </c>
      <c r="PKA6" s="68" t="e" cm="1" vm="1">
        <f t="array" ref="PKA6">_xlfn._xlws.FILTER(TablaProductos[Nombre producto],TablaProductos[Agrupación]=ProductosPivot!PKA5)</f>
        <v>#VALUE!</v>
      </c>
      <c r="PKB6" s="68" t="e" cm="1" vm="1">
        <f t="array" ref="PKB6">_xlfn._xlws.FILTER(TablaProductos[Nombre producto],TablaProductos[Agrupación]=ProductosPivot!PKB5)</f>
        <v>#VALUE!</v>
      </c>
      <c r="PKC6" s="68" t="e" cm="1" vm="1">
        <f t="array" ref="PKC6">_xlfn._xlws.FILTER(TablaProductos[Nombre producto],TablaProductos[Agrupación]=ProductosPivot!PKC5)</f>
        <v>#VALUE!</v>
      </c>
      <c r="PKD6" s="68" t="e" cm="1" vm="1">
        <f t="array" ref="PKD6">_xlfn._xlws.FILTER(TablaProductos[Nombre producto],TablaProductos[Agrupación]=ProductosPivot!PKD5)</f>
        <v>#VALUE!</v>
      </c>
      <c r="PKE6" s="68" t="e" cm="1" vm="1">
        <f t="array" ref="PKE6">_xlfn._xlws.FILTER(TablaProductos[Nombre producto],TablaProductos[Agrupación]=ProductosPivot!PKE5)</f>
        <v>#VALUE!</v>
      </c>
      <c r="PKF6" s="68" t="e" cm="1" vm="1">
        <f t="array" ref="PKF6">_xlfn._xlws.FILTER(TablaProductos[Nombre producto],TablaProductos[Agrupación]=ProductosPivot!PKF5)</f>
        <v>#VALUE!</v>
      </c>
      <c r="PKG6" s="68" t="e" cm="1" vm="1">
        <f t="array" ref="PKG6">_xlfn._xlws.FILTER(TablaProductos[Nombre producto],TablaProductos[Agrupación]=ProductosPivot!PKG5)</f>
        <v>#VALUE!</v>
      </c>
      <c r="PKH6" s="68" t="e" cm="1" vm="1">
        <f t="array" ref="PKH6">_xlfn._xlws.FILTER(TablaProductos[Nombre producto],TablaProductos[Agrupación]=ProductosPivot!PKH5)</f>
        <v>#VALUE!</v>
      </c>
      <c r="PKI6" s="68" t="e" cm="1" vm="1">
        <f t="array" ref="PKI6">_xlfn._xlws.FILTER(TablaProductos[Nombre producto],TablaProductos[Agrupación]=ProductosPivot!PKI5)</f>
        <v>#VALUE!</v>
      </c>
      <c r="PKJ6" s="68" t="e" cm="1" vm="1">
        <f t="array" ref="PKJ6">_xlfn._xlws.FILTER(TablaProductos[Nombre producto],TablaProductos[Agrupación]=ProductosPivot!PKJ5)</f>
        <v>#VALUE!</v>
      </c>
      <c r="PKK6" s="68" t="e" cm="1" vm="1">
        <f t="array" ref="PKK6">_xlfn._xlws.FILTER(TablaProductos[Nombre producto],TablaProductos[Agrupación]=ProductosPivot!PKK5)</f>
        <v>#VALUE!</v>
      </c>
      <c r="PKL6" s="68" t="e" cm="1" vm="1">
        <f t="array" ref="PKL6">_xlfn._xlws.FILTER(TablaProductos[Nombre producto],TablaProductos[Agrupación]=ProductosPivot!PKL5)</f>
        <v>#VALUE!</v>
      </c>
      <c r="PKM6" s="68" t="e" cm="1" vm="1">
        <f t="array" ref="PKM6">_xlfn._xlws.FILTER(TablaProductos[Nombre producto],TablaProductos[Agrupación]=ProductosPivot!PKM5)</f>
        <v>#VALUE!</v>
      </c>
      <c r="PKN6" s="68" t="e" cm="1" vm="1">
        <f t="array" ref="PKN6">_xlfn._xlws.FILTER(TablaProductos[Nombre producto],TablaProductos[Agrupación]=ProductosPivot!PKN5)</f>
        <v>#VALUE!</v>
      </c>
      <c r="PKO6" s="68" t="e" cm="1" vm="1">
        <f t="array" ref="PKO6">_xlfn._xlws.FILTER(TablaProductos[Nombre producto],TablaProductos[Agrupación]=ProductosPivot!PKO5)</f>
        <v>#VALUE!</v>
      </c>
      <c r="PKP6" s="68" t="e" cm="1" vm="1">
        <f t="array" ref="PKP6">_xlfn._xlws.FILTER(TablaProductos[Nombre producto],TablaProductos[Agrupación]=ProductosPivot!PKP5)</f>
        <v>#VALUE!</v>
      </c>
      <c r="PKQ6" s="68" t="e" cm="1" vm="1">
        <f t="array" ref="PKQ6">_xlfn._xlws.FILTER(TablaProductos[Nombre producto],TablaProductos[Agrupación]=ProductosPivot!PKQ5)</f>
        <v>#VALUE!</v>
      </c>
      <c r="PKR6" s="68" t="e" cm="1" vm="1">
        <f t="array" ref="PKR6">_xlfn._xlws.FILTER(TablaProductos[Nombre producto],TablaProductos[Agrupación]=ProductosPivot!PKR5)</f>
        <v>#VALUE!</v>
      </c>
      <c r="PKS6" s="68" t="e" cm="1" vm="1">
        <f t="array" ref="PKS6">_xlfn._xlws.FILTER(TablaProductos[Nombre producto],TablaProductos[Agrupación]=ProductosPivot!PKS5)</f>
        <v>#VALUE!</v>
      </c>
      <c r="PKT6" s="68" t="e" cm="1" vm="1">
        <f t="array" ref="PKT6">_xlfn._xlws.FILTER(TablaProductos[Nombre producto],TablaProductos[Agrupación]=ProductosPivot!PKT5)</f>
        <v>#VALUE!</v>
      </c>
      <c r="PKU6" s="68" t="e" cm="1" vm="1">
        <f t="array" ref="PKU6">_xlfn._xlws.FILTER(TablaProductos[Nombre producto],TablaProductos[Agrupación]=ProductosPivot!PKU5)</f>
        <v>#VALUE!</v>
      </c>
      <c r="PKV6" s="68" t="e" cm="1" vm="1">
        <f t="array" ref="PKV6">_xlfn._xlws.FILTER(TablaProductos[Nombre producto],TablaProductos[Agrupación]=ProductosPivot!PKV5)</f>
        <v>#VALUE!</v>
      </c>
      <c r="PKW6" s="68" t="e" cm="1" vm="1">
        <f t="array" ref="PKW6">_xlfn._xlws.FILTER(TablaProductos[Nombre producto],TablaProductos[Agrupación]=ProductosPivot!PKW5)</f>
        <v>#VALUE!</v>
      </c>
      <c r="PKX6" s="68" t="e" cm="1" vm="1">
        <f t="array" ref="PKX6">_xlfn._xlws.FILTER(TablaProductos[Nombre producto],TablaProductos[Agrupación]=ProductosPivot!PKX5)</f>
        <v>#VALUE!</v>
      </c>
      <c r="PKY6" s="68" t="e" cm="1" vm="1">
        <f t="array" ref="PKY6">_xlfn._xlws.FILTER(TablaProductos[Nombre producto],TablaProductos[Agrupación]=ProductosPivot!PKY5)</f>
        <v>#VALUE!</v>
      </c>
      <c r="PKZ6" s="68" t="e" cm="1" vm="1">
        <f t="array" ref="PKZ6">_xlfn._xlws.FILTER(TablaProductos[Nombre producto],TablaProductos[Agrupación]=ProductosPivot!PKZ5)</f>
        <v>#VALUE!</v>
      </c>
      <c r="PLA6" s="68" t="e" cm="1" vm="1">
        <f t="array" ref="PLA6">_xlfn._xlws.FILTER(TablaProductos[Nombre producto],TablaProductos[Agrupación]=ProductosPivot!PLA5)</f>
        <v>#VALUE!</v>
      </c>
      <c r="PLB6" s="68" t="e" cm="1" vm="1">
        <f t="array" ref="PLB6">_xlfn._xlws.FILTER(TablaProductos[Nombre producto],TablaProductos[Agrupación]=ProductosPivot!PLB5)</f>
        <v>#VALUE!</v>
      </c>
      <c r="PLC6" s="68" t="e" cm="1" vm="1">
        <f t="array" ref="PLC6">_xlfn._xlws.FILTER(TablaProductos[Nombre producto],TablaProductos[Agrupación]=ProductosPivot!PLC5)</f>
        <v>#VALUE!</v>
      </c>
      <c r="PLD6" s="68" t="e" cm="1" vm="1">
        <f t="array" ref="PLD6">_xlfn._xlws.FILTER(TablaProductos[Nombre producto],TablaProductos[Agrupación]=ProductosPivot!PLD5)</f>
        <v>#VALUE!</v>
      </c>
      <c r="PLE6" s="68" t="e" cm="1" vm="1">
        <f t="array" ref="PLE6">_xlfn._xlws.FILTER(TablaProductos[Nombre producto],TablaProductos[Agrupación]=ProductosPivot!PLE5)</f>
        <v>#VALUE!</v>
      </c>
      <c r="PLF6" s="68" t="e" cm="1" vm="1">
        <f t="array" ref="PLF6">_xlfn._xlws.FILTER(TablaProductos[Nombre producto],TablaProductos[Agrupación]=ProductosPivot!PLF5)</f>
        <v>#VALUE!</v>
      </c>
      <c r="PLG6" s="68" t="e" cm="1" vm="1">
        <f t="array" ref="PLG6">_xlfn._xlws.FILTER(TablaProductos[Nombre producto],TablaProductos[Agrupación]=ProductosPivot!PLG5)</f>
        <v>#VALUE!</v>
      </c>
      <c r="PLH6" s="68" t="e" cm="1" vm="1">
        <f t="array" ref="PLH6">_xlfn._xlws.FILTER(TablaProductos[Nombre producto],TablaProductos[Agrupación]=ProductosPivot!PLH5)</f>
        <v>#VALUE!</v>
      </c>
      <c r="PLI6" s="68" t="e" cm="1" vm="1">
        <f t="array" ref="PLI6">_xlfn._xlws.FILTER(TablaProductos[Nombre producto],TablaProductos[Agrupación]=ProductosPivot!PLI5)</f>
        <v>#VALUE!</v>
      </c>
      <c r="PLJ6" s="68" t="e" cm="1" vm="1">
        <f t="array" ref="PLJ6">_xlfn._xlws.FILTER(TablaProductos[Nombre producto],TablaProductos[Agrupación]=ProductosPivot!PLJ5)</f>
        <v>#VALUE!</v>
      </c>
      <c r="PLK6" s="68" t="e" cm="1" vm="1">
        <f t="array" ref="PLK6">_xlfn._xlws.FILTER(TablaProductos[Nombre producto],TablaProductos[Agrupación]=ProductosPivot!PLK5)</f>
        <v>#VALUE!</v>
      </c>
      <c r="PLL6" s="68" t="e" cm="1" vm="1">
        <f t="array" ref="PLL6">_xlfn._xlws.FILTER(TablaProductos[Nombre producto],TablaProductos[Agrupación]=ProductosPivot!PLL5)</f>
        <v>#VALUE!</v>
      </c>
      <c r="PLM6" s="68" t="e" cm="1" vm="1">
        <f t="array" ref="PLM6">_xlfn._xlws.FILTER(TablaProductos[Nombre producto],TablaProductos[Agrupación]=ProductosPivot!PLM5)</f>
        <v>#VALUE!</v>
      </c>
      <c r="PLN6" s="68" t="e" cm="1" vm="1">
        <f t="array" ref="PLN6">_xlfn._xlws.FILTER(TablaProductos[Nombre producto],TablaProductos[Agrupación]=ProductosPivot!PLN5)</f>
        <v>#VALUE!</v>
      </c>
      <c r="PLO6" s="68" t="e" cm="1" vm="1">
        <f t="array" ref="PLO6">_xlfn._xlws.FILTER(TablaProductos[Nombre producto],TablaProductos[Agrupación]=ProductosPivot!PLO5)</f>
        <v>#VALUE!</v>
      </c>
      <c r="PLP6" s="68" t="e" cm="1" vm="1">
        <f t="array" ref="PLP6">_xlfn._xlws.FILTER(TablaProductos[Nombre producto],TablaProductos[Agrupación]=ProductosPivot!PLP5)</f>
        <v>#VALUE!</v>
      </c>
      <c r="PLQ6" s="68" t="e" cm="1" vm="1">
        <f t="array" ref="PLQ6">_xlfn._xlws.FILTER(TablaProductos[Nombre producto],TablaProductos[Agrupación]=ProductosPivot!PLQ5)</f>
        <v>#VALUE!</v>
      </c>
      <c r="PLR6" s="68" t="e" cm="1" vm="1">
        <f t="array" ref="PLR6">_xlfn._xlws.FILTER(TablaProductos[Nombre producto],TablaProductos[Agrupación]=ProductosPivot!PLR5)</f>
        <v>#VALUE!</v>
      </c>
      <c r="PLS6" s="68" t="e" cm="1" vm="1">
        <f t="array" ref="PLS6">_xlfn._xlws.FILTER(TablaProductos[Nombre producto],TablaProductos[Agrupación]=ProductosPivot!PLS5)</f>
        <v>#VALUE!</v>
      </c>
      <c r="PLT6" s="68" t="e" cm="1" vm="1">
        <f t="array" ref="PLT6">_xlfn._xlws.FILTER(TablaProductos[Nombre producto],TablaProductos[Agrupación]=ProductosPivot!PLT5)</f>
        <v>#VALUE!</v>
      </c>
      <c r="PLU6" s="68" t="e" cm="1" vm="1">
        <f t="array" ref="PLU6">_xlfn._xlws.FILTER(TablaProductos[Nombre producto],TablaProductos[Agrupación]=ProductosPivot!PLU5)</f>
        <v>#VALUE!</v>
      </c>
      <c r="PLV6" s="68" t="e" cm="1" vm="1">
        <f t="array" ref="PLV6">_xlfn._xlws.FILTER(TablaProductos[Nombre producto],TablaProductos[Agrupación]=ProductosPivot!PLV5)</f>
        <v>#VALUE!</v>
      </c>
      <c r="PLW6" s="68" t="e" cm="1" vm="1">
        <f t="array" ref="PLW6">_xlfn._xlws.FILTER(TablaProductos[Nombre producto],TablaProductos[Agrupación]=ProductosPivot!PLW5)</f>
        <v>#VALUE!</v>
      </c>
      <c r="PLX6" s="68" t="e" cm="1" vm="1">
        <f t="array" ref="PLX6">_xlfn._xlws.FILTER(TablaProductos[Nombre producto],TablaProductos[Agrupación]=ProductosPivot!PLX5)</f>
        <v>#VALUE!</v>
      </c>
      <c r="PLY6" s="68" t="e" cm="1" vm="1">
        <f t="array" ref="PLY6">_xlfn._xlws.FILTER(TablaProductos[Nombre producto],TablaProductos[Agrupación]=ProductosPivot!PLY5)</f>
        <v>#VALUE!</v>
      </c>
      <c r="PLZ6" s="68" t="e" cm="1" vm="1">
        <f t="array" ref="PLZ6">_xlfn._xlws.FILTER(TablaProductos[Nombre producto],TablaProductos[Agrupación]=ProductosPivot!PLZ5)</f>
        <v>#VALUE!</v>
      </c>
      <c r="PMA6" s="68" t="e" cm="1" vm="1">
        <f t="array" ref="PMA6">_xlfn._xlws.FILTER(TablaProductos[Nombre producto],TablaProductos[Agrupación]=ProductosPivot!PMA5)</f>
        <v>#VALUE!</v>
      </c>
      <c r="PMB6" s="68" t="e" cm="1" vm="1">
        <f t="array" ref="PMB6">_xlfn._xlws.FILTER(TablaProductos[Nombre producto],TablaProductos[Agrupación]=ProductosPivot!PMB5)</f>
        <v>#VALUE!</v>
      </c>
      <c r="PMC6" s="68" t="e" cm="1" vm="1">
        <f t="array" ref="PMC6">_xlfn._xlws.FILTER(TablaProductos[Nombre producto],TablaProductos[Agrupación]=ProductosPivot!PMC5)</f>
        <v>#VALUE!</v>
      </c>
      <c r="PMD6" s="68" t="e" cm="1" vm="1">
        <f t="array" ref="PMD6">_xlfn._xlws.FILTER(TablaProductos[Nombre producto],TablaProductos[Agrupación]=ProductosPivot!PMD5)</f>
        <v>#VALUE!</v>
      </c>
      <c r="PME6" s="68" t="e" cm="1" vm="1">
        <f t="array" ref="PME6">_xlfn._xlws.FILTER(TablaProductos[Nombre producto],TablaProductos[Agrupación]=ProductosPivot!PME5)</f>
        <v>#VALUE!</v>
      </c>
      <c r="PMF6" s="68" t="e" cm="1" vm="1">
        <f t="array" ref="PMF6">_xlfn._xlws.FILTER(TablaProductos[Nombre producto],TablaProductos[Agrupación]=ProductosPivot!PMF5)</f>
        <v>#VALUE!</v>
      </c>
      <c r="PMG6" s="68" t="e" cm="1" vm="1">
        <f t="array" ref="PMG6">_xlfn._xlws.FILTER(TablaProductos[Nombre producto],TablaProductos[Agrupación]=ProductosPivot!PMG5)</f>
        <v>#VALUE!</v>
      </c>
      <c r="PMH6" s="68" t="e" cm="1" vm="1">
        <f t="array" ref="PMH6">_xlfn._xlws.FILTER(TablaProductos[Nombre producto],TablaProductos[Agrupación]=ProductosPivot!PMH5)</f>
        <v>#VALUE!</v>
      </c>
      <c r="PMI6" s="68" t="e" cm="1" vm="1">
        <f t="array" ref="PMI6">_xlfn._xlws.FILTER(TablaProductos[Nombre producto],TablaProductos[Agrupación]=ProductosPivot!PMI5)</f>
        <v>#VALUE!</v>
      </c>
      <c r="PMJ6" s="68" t="e" cm="1" vm="1">
        <f t="array" ref="PMJ6">_xlfn._xlws.FILTER(TablaProductos[Nombre producto],TablaProductos[Agrupación]=ProductosPivot!PMJ5)</f>
        <v>#VALUE!</v>
      </c>
      <c r="PMK6" s="68" t="e" cm="1" vm="1">
        <f t="array" ref="PMK6">_xlfn._xlws.FILTER(TablaProductos[Nombre producto],TablaProductos[Agrupación]=ProductosPivot!PMK5)</f>
        <v>#VALUE!</v>
      </c>
      <c r="PML6" s="68" t="e" cm="1" vm="1">
        <f t="array" ref="PML6">_xlfn._xlws.FILTER(TablaProductos[Nombre producto],TablaProductos[Agrupación]=ProductosPivot!PML5)</f>
        <v>#VALUE!</v>
      </c>
      <c r="PMM6" s="68" t="e" cm="1" vm="1">
        <f t="array" ref="PMM6">_xlfn._xlws.FILTER(TablaProductos[Nombre producto],TablaProductos[Agrupación]=ProductosPivot!PMM5)</f>
        <v>#VALUE!</v>
      </c>
      <c r="PMN6" s="68" t="e" cm="1" vm="1">
        <f t="array" ref="PMN6">_xlfn._xlws.FILTER(TablaProductos[Nombre producto],TablaProductos[Agrupación]=ProductosPivot!PMN5)</f>
        <v>#VALUE!</v>
      </c>
      <c r="PMO6" s="68" t="e" cm="1" vm="1">
        <f t="array" ref="PMO6">_xlfn._xlws.FILTER(TablaProductos[Nombre producto],TablaProductos[Agrupación]=ProductosPivot!PMO5)</f>
        <v>#VALUE!</v>
      </c>
      <c r="PMP6" s="68" t="e" cm="1" vm="1">
        <f t="array" ref="PMP6">_xlfn._xlws.FILTER(TablaProductos[Nombre producto],TablaProductos[Agrupación]=ProductosPivot!PMP5)</f>
        <v>#VALUE!</v>
      </c>
      <c r="PMQ6" s="68" t="e" cm="1" vm="1">
        <f t="array" ref="PMQ6">_xlfn._xlws.FILTER(TablaProductos[Nombre producto],TablaProductos[Agrupación]=ProductosPivot!PMQ5)</f>
        <v>#VALUE!</v>
      </c>
      <c r="PMR6" s="68" t="e" cm="1" vm="1">
        <f t="array" ref="PMR6">_xlfn._xlws.FILTER(TablaProductos[Nombre producto],TablaProductos[Agrupación]=ProductosPivot!PMR5)</f>
        <v>#VALUE!</v>
      </c>
      <c r="PMS6" s="68" t="e" cm="1" vm="1">
        <f t="array" ref="PMS6">_xlfn._xlws.FILTER(TablaProductos[Nombre producto],TablaProductos[Agrupación]=ProductosPivot!PMS5)</f>
        <v>#VALUE!</v>
      </c>
      <c r="PMT6" s="68" t="e" cm="1" vm="1">
        <f t="array" ref="PMT6">_xlfn._xlws.FILTER(TablaProductos[Nombre producto],TablaProductos[Agrupación]=ProductosPivot!PMT5)</f>
        <v>#VALUE!</v>
      </c>
      <c r="PMU6" s="68" t="e" cm="1" vm="1">
        <f t="array" ref="PMU6">_xlfn._xlws.FILTER(TablaProductos[Nombre producto],TablaProductos[Agrupación]=ProductosPivot!PMU5)</f>
        <v>#VALUE!</v>
      </c>
      <c r="PMV6" s="68" t="e" cm="1" vm="1">
        <f t="array" ref="PMV6">_xlfn._xlws.FILTER(TablaProductos[Nombre producto],TablaProductos[Agrupación]=ProductosPivot!PMV5)</f>
        <v>#VALUE!</v>
      </c>
      <c r="PMW6" s="68" t="e" cm="1" vm="1">
        <f t="array" ref="PMW6">_xlfn._xlws.FILTER(TablaProductos[Nombre producto],TablaProductos[Agrupación]=ProductosPivot!PMW5)</f>
        <v>#VALUE!</v>
      </c>
      <c r="PMX6" s="68" t="e" cm="1" vm="1">
        <f t="array" ref="PMX6">_xlfn._xlws.FILTER(TablaProductos[Nombre producto],TablaProductos[Agrupación]=ProductosPivot!PMX5)</f>
        <v>#VALUE!</v>
      </c>
      <c r="PMY6" s="68" t="e" cm="1" vm="1">
        <f t="array" ref="PMY6">_xlfn._xlws.FILTER(TablaProductos[Nombre producto],TablaProductos[Agrupación]=ProductosPivot!PMY5)</f>
        <v>#VALUE!</v>
      </c>
      <c r="PMZ6" s="68" t="e" cm="1" vm="1">
        <f t="array" ref="PMZ6">_xlfn._xlws.FILTER(TablaProductos[Nombre producto],TablaProductos[Agrupación]=ProductosPivot!PMZ5)</f>
        <v>#VALUE!</v>
      </c>
      <c r="PNA6" s="68" t="e" cm="1" vm="1">
        <f t="array" ref="PNA6">_xlfn._xlws.FILTER(TablaProductos[Nombre producto],TablaProductos[Agrupación]=ProductosPivot!PNA5)</f>
        <v>#VALUE!</v>
      </c>
      <c r="PNB6" s="68" t="e" cm="1" vm="1">
        <f t="array" ref="PNB6">_xlfn._xlws.FILTER(TablaProductos[Nombre producto],TablaProductos[Agrupación]=ProductosPivot!PNB5)</f>
        <v>#VALUE!</v>
      </c>
      <c r="PNC6" s="68" t="e" cm="1" vm="1">
        <f t="array" ref="PNC6">_xlfn._xlws.FILTER(TablaProductos[Nombre producto],TablaProductos[Agrupación]=ProductosPivot!PNC5)</f>
        <v>#VALUE!</v>
      </c>
      <c r="PND6" s="68" t="e" cm="1" vm="1">
        <f t="array" ref="PND6">_xlfn._xlws.FILTER(TablaProductos[Nombre producto],TablaProductos[Agrupación]=ProductosPivot!PND5)</f>
        <v>#VALUE!</v>
      </c>
      <c r="PNE6" s="68" t="e" cm="1" vm="1">
        <f t="array" ref="PNE6">_xlfn._xlws.FILTER(TablaProductos[Nombre producto],TablaProductos[Agrupación]=ProductosPivot!PNE5)</f>
        <v>#VALUE!</v>
      </c>
      <c r="PNF6" s="68" t="e" cm="1" vm="1">
        <f t="array" ref="PNF6">_xlfn._xlws.FILTER(TablaProductos[Nombre producto],TablaProductos[Agrupación]=ProductosPivot!PNF5)</f>
        <v>#VALUE!</v>
      </c>
      <c r="PNG6" s="68" t="e" cm="1" vm="1">
        <f t="array" ref="PNG6">_xlfn._xlws.FILTER(TablaProductos[Nombre producto],TablaProductos[Agrupación]=ProductosPivot!PNG5)</f>
        <v>#VALUE!</v>
      </c>
      <c r="PNH6" s="68" t="e" cm="1" vm="1">
        <f t="array" ref="PNH6">_xlfn._xlws.FILTER(TablaProductos[Nombre producto],TablaProductos[Agrupación]=ProductosPivot!PNH5)</f>
        <v>#VALUE!</v>
      </c>
      <c r="PNI6" s="68" t="e" cm="1" vm="1">
        <f t="array" ref="PNI6">_xlfn._xlws.FILTER(TablaProductos[Nombre producto],TablaProductos[Agrupación]=ProductosPivot!PNI5)</f>
        <v>#VALUE!</v>
      </c>
      <c r="PNJ6" s="68" t="e" cm="1" vm="1">
        <f t="array" ref="PNJ6">_xlfn._xlws.FILTER(TablaProductos[Nombre producto],TablaProductos[Agrupación]=ProductosPivot!PNJ5)</f>
        <v>#VALUE!</v>
      </c>
      <c r="PNK6" s="68" t="e" cm="1" vm="1">
        <f t="array" ref="PNK6">_xlfn._xlws.FILTER(TablaProductos[Nombre producto],TablaProductos[Agrupación]=ProductosPivot!PNK5)</f>
        <v>#VALUE!</v>
      </c>
      <c r="PNL6" s="68" t="e" cm="1" vm="1">
        <f t="array" ref="PNL6">_xlfn._xlws.FILTER(TablaProductos[Nombre producto],TablaProductos[Agrupación]=ProductosPivot!PNL5)</f>
        <v>#VALUE!</v>
      </c>
      <c r="PNM6" s="68" t="e" cm="1" vm="1">
        <f t="array" ref="PNM6">_xlfn._xlws.FILTER(TablaProductos[Nombre producto],TablaProductos[Agrupación]=ProductosPivot!PNM5)</f>
        <v>#VALUE!</v>
      </c>
      <c r="PNN6" s="68" t="e" cm="1" vm="1">
        <f t="array" ref="PNN6">_xlfn._xlws.FILTER(TablaProductos[Nombre producto],TablaProductos[Agrupación]=ProductosPivot!PNN5)</f>
        <v>#VALUE!</v>
      </c>
      <c r="PNO6" s="68" t="e" cm="1" vm="1">
        <f t="array" ref="PNO6">_xlfn._xlws.FILTER(TablaProductos[Nombre producto],TablaProductos[Agrupación]=ProductosPivot!PNO5)</f>
        <v>#VALUE!</v>
      </c>
      <c r="PNP6" s="68" t="e" cm="1" vm="1">
        <f t="array" ref="PNP6">_xlfn._xlws.FILTER(TablaProductos[Nombre producto],TablaProductos[Agrupación]=ProductosPivot!PNP5)</f>
        <v>#VALUE!</v>
      </c>
      <c r="PNQ6" s="68" t="e" cm="1" vm="1">
        <f t="array" ref="PNQ6">_xlfn._xlws.FILTER(TablaProductos[Nombre producto],TablaProductos[Agrupación]=ProductosPivot!PNQ5)</f>
        <v>#VALUE!</v>
      </c>
      <c r="PNR6" s="68" t="e" cm="1" vm="1">
        <f t="array" ref="PNR6">_xlfn._xlws.FILTER(TablaProductos[Nombre producto],TablaProductos[Agrupación]=ProductosPivot!PNR5)</f>
        <v>#VALUE!</v>
      </c>
      <c r="PNS6" s="68" t="e" cm="1" vm="1">
        <f t="array" ref="PNS6">_xlfn._xlws.FILTER(TablaProductos[Nombre producto],TablaProductos[Agrupación]=ProductosPivot!PNS5)</f>
        <v>#VALUE!</v>
      </c>
      <c r="PNT6" s="68" t="e" cm="1" vm="1">
        <f t="array" ref="PNT6">_xlfn._xlws.FILTER(TablaProductos[Nombre producto],TablaProductos[Agrupación]=ProductosPivot!PNT5)</f>
        <v>#VALUE!</v>
      </c>
      <c r="PNU6" s="68" t="e" cm="1" vm="1">
        <f t="array" ref="PNU6">_xlfn._xlws.FILTER(TablaProductos[Nombre producto],TablaProductos[Agrupación]=ProductosPivot!PNU5)</f>
        <v>#VALUE!</v>
      </c>
      <c r="PNV6" s="68" t="e" cm="1" vm="1">
        <f t="array" ref="PNV6">_xlfn._xlws.FILTER(TablaProductos[Nombre producto],TablaProductos[Agrupación]=ProductosPivot!PNV5)</f>
        <v>#VALUE!</v>
      </c>
      <c r="PNW6" s="68" t="e" cm="1" vm="1">
        <f t="array" ref="PNW6">_xlfn._xlws.FILTER(TablaProductos[Nombre producto],TablaProductos[Agrupación]=ProductosPivot!PNW5)</f>
        <v>#VALUE!</v>
      </c>
      <c r="PNX6" s="68" t="e" cm="1" vm="1">
        <f t="array" ref="PNX6">_xlfn._xlws.FILTER(TablaProductos[Nombre producto],TablaProductos[Agrupación]=ProductosPivot!PNX5)</f>
        <v>#VALUE!</v>
      </c>
      <c r="PNY6" s="68" t="e" cm="1" vm="1">
        <f t="array" ref="PNY6">_xlfn._xlws.FILTER(TablaProductos[Nombre producto],TablaProductos[Agrupación]=ProductosPivot!PNY5)</f>
        <v>#VALUE!</v>
      </c>
      <c r="PNZ6" s="68" t="e" cm="1" vm="1">
        <f t="array" ref="PNZ6">_xlfn._xlws.FILTER(TablaProductos[Nombre producto],TablaProductos[Agrupación]=ProductosPivot!PNZ5)</f>
        <v>#VALUE!</v>
      </c>
      <c r="POA6" s="68" t="e" cm="1" vm="1">
        <f t="array" ref="POA6">_xlfn._xlws.FILTER(TablaProductos[Nombre producto],TablaProductos[Agrupación]=ProductosPivot!POA5)</f>
        <v>#VALUE!</v>
      </c>
      <c r="POB6" s="68" t="e" cm="1" vm="1">
        <f t="array" ref="POB6">_xlfn._xlws.FILTER(TablaProductos[Nombre producto],TablaProductos[Agrupación]=ProductosPivot!POB5)</f>
        <v>#VALUE!</v>
      </c>
      <c r="POC6" s="68" t="e" cm="1" vm="1">
        <f t="array" ref="POC6">_xlfn._xlws.FILTER(TablaProductos[Nombre producto],TablaProductos[Agrupación]=ProductosPivot!POC5)</f>
        <v>#VALUE!</v>
      </c>
      <c r="POD6" s="68" t="e" cm="1" vm="1">
        <f t="array" ref="POD6">_xlfn._xlws.FILTER(TablaProductos[Nombre producto],TablaProductos[Agrupación]=ProductosPivot!POD5)</f>
        <v>#VALUE!</v>
      </c>
      <c r="POE6" s="68" t="e" cm="1" vm="1">
        <f t="array" ref="POE6">_xlfn._xlws.FILTER(TablaProductos[Nombre producto],TablaProductos[Agrupación]=ProductosPivot!POE5)</f>
        <v>#VALUE!</v>
      </c>
      <c r="POF6" s="68" t="e" cm="1" vm="1">
        <f t="array" ref="POF6">_xlfn._xlws.FILTER(TablaProductos[Nombre producto],TablaProductos[Agrupación]=ProductosPivot!POF5)</f>
        <v>#VALUE!</v>
      </c>
      <c r="POG6" s="68" t="e" cm="1" vm="1">
        <f t="array" ref="POG6">_xlfn._xlws.FILTER(TablaProductos[Nombre producto],TablaProductos[Agrupación]=ProductosPivot!POG5)</f>
        <v>#VALUE!</v>
      </c>
      <c r="POH6" s="68" t="e" cm="1" vm="1">
        <f t="array" ref="POH6">_xlfn._xlws.FILTER(TablaProductos[Nombre producto],TablaProductos[Agrupación]=ProductosPivot!POH5)</f>
        <v>#VALUE!</v>
      </c>
      <c r="POI6" s="68" t="e" cm="1" vm="1">
        <f t="array" ref="POI6">_xlfn._xlws.FILTER(TablaProductos[Nombre producto],TablaProductos[Agrupación]=ProductosPivot!POI5)</f>
        <v>#VALUE!</v>
      </c>
      <c r="POJ6" s="68" t="e" cm="1" vm="1">
        <f t="array" ref="POJ6">_xlfn._xlws.FILTER(TablaProductos[Nombre producto],TablaProductos[Agrupación]=ProductosPivot!POJ5)</f>
        <v>#VALUE!</v>
      </c>
      <c r="POK6" s="68" t="e" cm="1" vm="1">
        <f t="array" ref="POK6">_xlfn._xlws.FILTER(TablaProductos[Nombre producto],TablaProductos[Agrupación]=ProductosPivot!POK5)</f>
        <v>#VALUE!</v>
      </c>
      <c r="POL6" s="68" t="e" cm="1" vm="1">
        <f t="array" ref="POL6">_xlfn._xlws.FILTER(TablaProductos[Nombre producto],TablaProductos[Agrupación]=ProductosPivot!POL5)</f>
        <v>#VALUE!</v>
      </c>
      <c r="POM6" s="68" t="e" cm="1" vm="1">
        <f t="array" ref="POM6">_xlfn._xlws.FILTER(TablaProductos[Nombre producto],TablaProductos[Agrupación]=ProductosPivot!POM5)</f>
        <v>#VALUE!</v>
      </c>
      <c r="PON6" s="68" t="e" cm="1" vm="1">
        <f t="array" ref="PON6">_xlfn._xlws.FILTER(TablaProductos[Nombre producto],TablaProductos[Agrupación]=ProductosPivot!PON5)</f>
        <v>#VALUE!</v>
      </c>
      <c r="POO6" s="68" t="e" cm="1" vm="1">
        <f t="array" ref="POO6">_xlfn._xlws.FILTER(TablaProductos[Nombre producto],TablaProductos[Agrupación]=ProductosPivot!POO5)</f>
        <v>#VALUE!</v>
      </c>
      <c r="POP6" s="68" t="e" cm="1" vm="1">
        <f t="array" ref="POP6">_xlfn._xlws.FILTER(TablaProductos[Nombre producto],TablaProductos[Agrupación]=ProductosPivot!POP5)</f>
        <v>#VALUE!</v>
      </c>
      <c r="POQ6" s="68" t="e" cm="1" vm="1">
        <f t="array" ref="POQ6">_xlfn._xlws.FILTER(TablaProductos[Nombre producto],TablaProductos[Agrupación]=ProductosPivot!POQ5)</f>
        <v>#VALUE!</v>
      </c>
      <c r="POR6" s="68" t="e" cm="1" vm="1">
        <f t="array" ref="POR6">_xlfn._xlws.FILTER(TablaProductos[Nombre producto],TablaProductos[Agrupación]=ProductosPivot!POR5)</f>
        <v>#VALUE!</v>
      </c>
      <c r="POS6" s="68" t="e" cm="1" vm="1">
        <f t="array" ref="POS6">_xlfn._xlws.FILTER(TablaProductos[Nombre producto],TablaProductos[Agrupación]=ProductosPivot!POS5)</f>
        <v>#VALUE!</v>
      </c>
      <c r="POT6" s="68" t="e" cm="1" vm="1">
        <f t="array" ref="POT6">_xlfn._xlws.FILTER(TablaProductos[Nombre producto],TablaProductos[Agrupación]=ProductosPivot!POT5)</f>
        <v>#VALUE!</v>
      </c>
      <c r="POU6" s="68" t="e" cm="1" vm="1">
        <f t="array" ref="POU6">_xlfn._xlws.FILTER(TablaProductos[Nombre producto],TablaProductos[Agrupación]=ProductosPivot!POU5)</f>
        <v>#VALUE!</v>
      </c>
      <c r="POV6" s="68" t="e" cm="1" vm="1">
        <f t="array" ref="POV6">_xlfn._xlws.FILTER(TablaProductos[Nombre producto],TablaProductos[Agrupación]=ProductosPivot!POV5)</f>
        <v>#VALUE!</v>
      </c>
      <c r="POW6" s="68" t="e" cm="1" vm="1">
        <f t="array" ref="POW6">_xlfn._xlws.FILTER(TablaProductos[Nombre producto],TablaProductos[Agrupación]=ProductosPivot!POW5)</f>
        <v>#VALUE!</v>
      </c>
      <c r="POX6" s="68" t="e" cm="1" vm="1">
        <f t="array" ref="POX6">_xlfn._xlws.FILTER(TablaProductos[Nombre producto],TablaProductos[Agrupación]=ProductosPivot!POX5)</f>
        <v>#VALUE!</v>
      </c>
      <c r="POY6" s="68" t="e" cm="1" vm="1">
        <f t="array" ref="POY6">_xlfn._xlws.FILTER(TablaProductos[Nombre producto],TablaProductos[Agrupación]=ProductosPivot!POY5)</f>
        <v>#VALUE!</v>
      </c>
      <c r="POZ6" s="68" t="e" cm="1" vm="1">
        <f t="array" ref="POZ6">_xlfn._xlws.FILTER(TablaProductos[Nombre producto],TablaProductos[Agrupación]=ProductosPivot!POZ5)</f>
        <v>#VALUE!</v>
      </c>
      <c r="PPA6" s="68" t="e" cm="1" vm="1">
        <f t="array" ref="PPA6">_xlfn._xlws.FILTER(TablaProductos[Nombre producto],TablaProductos[Agrupación]=ProductosPivot!PPA5)</f>
        <v>#VALUE!</v>
      </c>
      <c r="PPB6" s="68" t="e" cm="1" vm="1">
        <f t="array" ref="PPB6">_xlfn._xlws.FILTER(TablaProductos[Nombre producto],TablaProductos[Agrupación]=ProductosPivot!PPB5)</f>
        <v>#VALUE!</v>
      </c>
      <c r="PPC6" s="68" t="e" cm="1" vm="1">
        <f t="array" ref="PPC6">_xlfn._xlws.FILTER(TablaProductos[Nombre producto],TablaProductos[Agrupación]=ProductosPivot!PPC5)</f>
        <v>#VALUE!</v>
      </c>
      <c r="PPD6" s="68" t="e" cm="1" vm="1">
        <f t="array" ref="PPD6">_xlfn._xlws.FILTER(TablaProductos[Nombre producto],TablaProductos[Agrupación]=ProductosPivot!PPD5)</f>
        <v>#VALUE!</v>
      </c>
      <c r="PPE6" s="68" t="e" cm="1" vm="1">
        <f t="array" ref="PPE6">_xlfn._xlws.FILTER(TablaProductos[Nombre producto],TablaProductos[Agrupación]=ProductosPivot!PPE5)</f>
        <v>#VALUE!</v>
      </c>
      <c r="PPF6" s="68" t="e" cm="1" vm="1">
        <f t="array" ref="PPF6">_xlfn._xlws.FILTER(TablaProductos[Nombre producto],TablaProductos[Agrupación]=ProductosPivot!PPF5)</f>
        <v>#VALUE!</v>
      </c>
      <c r="PPG6" s="68" t="e" cm="1" vm="1">
        <f t="array" ref="PPG6">_xlfn._xlws.FILTER(TablaProductos[Nombre producto],TablaProductos[Agrupación]=ProductosPivot!PPG5)</f>
        <v>#VALUE!</v>
      </c>
      <c r="PPH6" s="68" t="e" cm="1" vm="1">
        <f t="array" ref="PPH6">_xlfn._xlws.FILTER(TablaProductos[Nombre producto],TablaProductos[Agrupación]=ProductosPivot!PPH5)</f>
        <v>#VALUE!</v>
      </c>
      <c r="PPI6" s="68" t="e" cm="1" vm="1">
        <f t="array" ref="PPI6">_xlfn._xlws.FILTER(TablaProductos[Nombre producto],TablaProductos[Agrupación]=ProductosPivot!PPI5)</f>
        <v>#VALUE!</v>
      </c>
      <c r="PPJ6" s="68" t="e" cm="1" vm="1">
        <f t="array" ref="PPJ6">_xlfn._xlws.FILTER(TablaProductos[Nombre producto],TablaProductos[Agrupación]=ProductosPivot!PPJ5)</f>
        <v>#VALUE!</v>
      </c>
      <c r="PPK6" s="68" t="e" cm="1" vm="1">
        <f t="array" ref="PPK6">_xlfn._xlws.FILTER(TablaProductos[Nombre producto],TablaProductos[Agrupación]=ProductosPivot!PPK5)</f>
        <v>#VALUE!</v>
      </c>
      <c r="PPL6" s="68" t="e" cm="1" vm="1">
        <f t="array" ref="PPL6">_xlfn._xlws.FILTER(TablaProductos[Nombre producto],TablaProductos[Agrupación]=ProductosPivot!PPL5)</f>
        <v>#VALUE!</v>
      </c>
      <c r="PPM6" s="68" t="e" cm="1" vm="1">
        <f t="array" ref="PPM6">_xlfn._xlws.FILTER(TablaProductos[Nombre producto],TablaProductos[Agrupación]=ProductosPivot!PPM5)</f>
        <v>#VALUE!</v>
      </c>
      <c r="PPN6" s="68" t="e" cm="1" vm="1">
        <f t="array" ref="PPN6">_xlfn._xlws.FILTER(TablaProductos[Nombre producto],TablaProductos[Agrupación]=ProductosPivot!PPN5)</f>
        <v>#VALUE!</v>
      </c>
      <c r="PPO6" s="68" t="e" cm="1" vm="1">
        <f t="array" ref="PPO6">_xlfn._xlws.FILTER(TablaProductos[Nombre producto],TablaProductos[Agrupación]=ProductosPivot!PPO5)</f>
        <v>#VALUE!</v>
      </c>
      <c r="PPP6" s="68" t="e" cm="1" vm="1">
        <f t="array" ref="PPP6">_xlfn._xlws.FILTER(TablaProductos[Nombre producto],TablaProductos[Agrupación]=ProductosPivot!PPP5)</f>
        <v>#VALUE!</v>
      </c>
      <c r="PPQ6" s="68" t="e" cm="1" vm="1">
        <f t="array" ref="PPQ6">_xlfn._xlws.FILTER(TablaProductos[Nombre producto],TablaProductos[Agrupación]=ProductosPivot!PPQ5)</f>
        <v>#VALUE!</v>
      </c>
      <c r="PPR6" s="68" t="e" cm="1" vm="1">
        <f t="array" ref="PPR6">_xlfn._xlws.FILTER(TablaProductos[Nombre producto],TablaProductos[Agrupación]=ProductosPivot!PPR5)</f>
        <v>#VALUE!</v>
      </c>
      <c r="PPS6" s="68" t="e" cm="1" vm="1">
        <f t="array" ref="PPS6">_xlfn._xlws.FILTER(TablaProductos[Nombre producto],TablaProductos[Agrupación]=ProductosPivot!PPS5)</f>
        <v>#VALUE!</v>
      </c>
      <c r="PPT6" s="68" t="e" cm="1" vm="1">
        <f t="array" ref="PPT6">_xlfn._xlws.FILTER(TablaProductos[Nombre producto],TablaProductos[Agrupación]=ProductosPivot!PPT5)</f>
        <v>#VALUE!</v>
      </c>
      <c r="PPU6" s="68" t="e" cm="1" vm="1">
        <f t="array" ref="PPU6">_xlfn._xlws.FILTER(TablaProductos[Nombre producto],TablaProductos[Agrupación]=ProductosPivot!PPU5)</f>
        <v>#VALUE!</v>
      </c>
      <c r="PPV6" s="68" t="e" cm="1" vm="1">
        <f t="array" ref="PPV6">_xlfn._xlws.FILTER(TablaProductos[Nombre producto],TablaProductos[Agrupación]=ProductosPivot!PPV5)</f>
        <v>#VALUE!</v>
      </c>
      <c r="PPW6" s="68" t="e" cm="1" vm="1">
        <f t="array" ref="PPW6">_xlfn._xlws.FILTER(TablaProductos[Nombre producto],TablaProductos[Agrupación]=ProductosPivot!PPW5)</f>
        <v>#VALUE!</v>
      </c>
      <c r="PPX6" s="68" t="e" cm="1" vm="1">
        <f t="array" ref="PPX6">_xlfn._xlws.FILTER(TablaProductos[Nombre producto],TablaProductos[Agrupación]=ProductosPivot!PPX5)</f>
        <v>#VALUE!</v>
      </c>
      <c r="PPY6" s="68" t="e" cm="1" vm="1">
        <f t="array" ref="PPY6">_xlfn._xlws.FILTER(TablaProductos[Nombre producto],TablaProductos[Agrupación]=ProductosPivot!PPY5)</f>
        <v>#VALUE!</v>
      </c>
      <c r="PPZ6" s="68" t="e" cm="1" vm="1">
        <f t="array" ref="PPZ6">_xlfn._xlws.FILTER(TablaProductos[Nombre producto],TablaProductos[Agrupación]=ProductosPivot!PPZ5)</f>
        <v>#VALUE!</v>
      </c>
      <c r="PQA6" s="68" t="e" cm="1" vm="1">
        <f t="array" ref="PQA6">_xlfn._xlws.FILTER(TablaProductos[Nombre producto],TablaProductos[Agrupación]=ProductosPivot!PQA5)</f>
        <v>#VALUE!</v>
      </c>
      <c r="PQB6" s="68" t="e" cm="1" vm="1">
        <f t="array" ref="PQB6">_xlfn._xlws.FILTER(TablaProductos[Nombre producto],TablaProductos[Agrupación]=ProductosPivot!PQB5)</f>
        <v>#VALUE!</v>
      </c>
      <c r="PQC6" s="68" t="e" cm="1" vm="1">
        <f t="array" ref="PQC6">_xlfn._xlws.FILTER(TablaProductos[Nombre producto],TablaProductos[Agrupación]=ProductosPivot!PQC5)</f>
        <v>#VALUE!</v>
      </c>
      <c r="PQD6" s="68" t="e" cm="1" vm="1">
        <f t="array" ref="PQD6">_xlfn._xlws.FILTER(TablaProductos[Nombre producto],TablaProductos[Agrupación]=ProductosPivot!PQD5)</f>
        <v>#VALUE!</v>
      </c>
      <c r="PQE6" s="68" t="e" cm="1" vm="1">
        <f t="array" ref="PQE6">_xlfn._xlws.FILTER(TablaProductos[Nombre producto],TablaProductos[Agrupación]=ProductosPivot!PQE5)</f>
        <v>#VALUE!</v>
      </c>
      <c r="PQF6" s="68" t="e" cm="1" vm="1">
        <f t="array" ref="PQF6">_xlfn._xlws.FILTER(TablaProductos[Nombre producto],TablaProductos[Agrupación]=ProductosPivot!PQF5)</f>
        <v>#VALUE!</v>
      </c>
      <c r="PQG6" s="68" t="e" cm="1" vm="1">
        <f t="array" ref="PQG6">_xlfn._xlws.FILTER(TablaProductos[Nombre producto],TablaProductos[Agrupación]=ProductosPivot!PQG5)</f>
        <v>#VALUE!</v>
      </c>
      <c r="PQH6" s="68" t="e" cm="1" vm="1">
        <f t="array" ref="PQH6">_xlfn._xlws.FILTER(TablaProductos[Nombre producto],TablaProductos[Agrupación]=ProductosPivot!PQH5)</f>
        <v>#VALUE!</v>
      </c>
      <c r="PQI6" s="68" t="e" cm="1" vm="1">
        <f t="array" ref="PQI6">_xlfn._xlws.FILTER(TablaProductos[Nombre producto],TablaProductos[Agrupación]=ProductosPivot!PQI5)</f>
        <v>#VALUE!</v>
      </c>
      <c r="PQJ6" s="68" t="e" cm="1" vm="1">
        <f t="array" ref="PQJ6">_xlfn._xlws.FILTER(TablaProductos[Nombre producto],TablaProductos[Agrupación]=ProductosPivot!PQJ5)</f>
        <v>#VALUE!</v>
      </c>
      <c r="PQK6" s="68" t="e" cm="1" vm="1">
        <f t="array" ref="PQK6">_xlfn._xlws.FILTER(TablaProductos[Nombre producto],TablaProductos[Agrupación]=ProductosPivot!PQK5)</f>
        <v>#VALUE!</v>
      </c>
      <c r="PQL6" s="68" t="e" cm="1" vm="1">
        <f t="array" ref="PQL6">_xlfn._xlws.FILTER(TablaProductos[Nombre producto],TablaProductos[Agrupación]=ProductosPivot!PQL5)</f>
        <v>#VALUE!</v>
      </c>
      <c r="PQM6" s="68" t="e" cm="1" vm="1">
        <f t="array" ref="PQM6">_xlfn._xlws.FILTER(TablaProductos[Nombre producto],TablaProductos[Agrupación]=ProductosPivot!PQM5)</f>
        <v>#VALUE!</v>
      </c>
      <c r="PQN6" s="68" t="e" cm="1" vm="1">
        <f t="array" ref="PQN6">_xlfn._xlws.FILTER(TablaProductos[Nombre producto],TablaProductos[Agrupación]=ProductosPivot!PQN5)</f>
        <v>#VALUE!</v>
      </c>
      <c r="PQO6" s="68" t="e" cm="1" vm="1">
        <f t="array" ref="PQO6">_xlfn._xlws.FILTER(TablaProductos[Nombre producto],TablaProductos[Agrupación]=ProductosPivot!PQO5)</f>
        <v>#VALUE!</v>
      </c>
      <c r="PQP6" s="68" t="e" cm="1" vm="1">
        <f t="array" ref="PQP6">_xlfn._xlws.FILTER(TablaProductos[Nombre producto],TablaProductos[Agrupación]=ProductosPivot!PQP5)</f>
        <v>#VALUE!</v>
      </c>
      <c r="PQQ6" s="68" t="e" cm="1" vm="1">
        <f t="array" ref="PQQ6">_xlfn._xlws.FILTER(TablaProductos[Nombre producto],TablaProductos[Agrupación]=ProductosPivot!PQQ5)</f>
        <v>#VALUE!</v>
      </c>
      <c r="PQR6" s="68" t="e" cm="1" vm="1">
        <f t="array" ref="PQR6">_xlfn._xlws.FILTER(TablaProductos[Nombre producto],TablaProductos[Agrupación]=ProductosPivot!PQR5)</f>
        <v>#VALUE!</v>
      </c>
      <c r="PQS6" s="68" t="e" cm="1" vm="1">
        <f t="array" ref="PQS6">_xlfn._xlws.FILTER(TablaProductos[Nombre producto],TablaProductos[Agrupación]=ProductosPivot!PQS5)</f>
        <v>#VALUE!</v>
      </c>
      <c r="PQT6" s="68" t="e" cm="1" vm="1">
        <f t="array" ref="PQT6">_xlfn._xlws.FILTER(TablaProductos[Nombre producto],TablaProductos[Agrupación]=ProductosPivot!PQT5)</f>
        <v>#VALUE!</v>
      </c>
      <c r="PQU6" s="68" t="e" cm="1" vm="1">
        <f t="array" ref="PQU6">_xlfn._xlws.FILTER(TablaProductos[Nombre producto],TablaProductos[Agrupación]=ProductosPivot!PQU5)</f>
        <v>#VALUE!</v>
      </c>
      <c r="PQV6" s="68" t="e" cm="1" vm="1">
        <f t="array" ref="PQV6">_xlfn._xlws.FILTER(TablaProductos[Nombre producto],TablaProductos[Agrupación]=ProductosPivot!PQV5)</f>
        <v>#VALUE!</v>
      </c>
      <c r="PQW6" s="68" t="e" cm="1" vm="1">
        <f t="array" ref="PQW6">_xlfn._xlws.FILTER(TablaProductos[Nombre producto],TablaProductos[Agrupación]=ProductosPivot!PQW5)</f>
        <v>#VALUE!</v>
      </c>
      <c r="PQX6" s="68" t="e" cm="1" vm="1">
        <f t="array" ref="PQX6">_xlfn._xlws.FILTER(TablaProductos[Nombre producto],TablaProductos[Agrupación]=ProductosPivot!PQX5)</f>
        <v>#VALUE!</v>
      </c>
      <c r="PQY6" s="68" t="e" cm="1" vm="1">
        <f t="array" ref="PQY6">_xlfn._xlws.FILTER(TablaProductos[Nombre producto],TablaProductos[Agrupación]=ProductosPivot!PQY5)</f>
        <v>#VALUE!</v>
      </c>
      <c r="PQZ6" s="68" t="e" cm="1" vm="1">
        <f t="array" ref="PQZ6">_xlfn._xlws.FILTER(TablaProductos[Nombre producto],TablaProductos[Agrupación]=ProductosPivot!PQZ5)</f>
        <v>#VALUE!</v>
      </c>
      <c r="PRA6" s="68" t="e" cm="1" vm="1">
        <f t="array" ref="PRA6">_xlfn._xlws.FILTER(TablaProductos[Nombre producto],TablaProductos[Agrupación]=ProductosPivot!PRA5)</f>
        <v>#VALUE!</v>
      </c>
      <c r="PRB6" s="68" t="e" cm="1" vm="1">
        <f t="array" ref="PRB6">_xlfn._xlws.FILTER(TablaProductos[Nombre producto],TablaProductos[Agrupación]=ProductosPivot!PRB5)</f>
        <v>#VALUE!</v>
      </c>
      <c r="PRC6" s="68" t="e" cm="1" vm="1">
        <f t="array" ref="PRC6">_xlfn._xlws.FILTER(TablaProductos[Nombre producto],TablaProductos[Agrupación]=ProductosPivot!PRC5)</f>
        <v>#VALUE!</v>
      </c>
      <c r="PRD6" s="68" t="e" cm="1" vm="1">
        <f t="array" ref="PRD6">_xlfn._xlws.FILTER(TablaProductos[Nombre producto],TablaProductos[Agrupación]=ProductosPivot!PRD5)</f>
        <v>#VALUE!</v>
      </c>
      <c r="PRE6" s="68" t="e" cm="1" vm="1">
        <f t="array" ref="PRE6">_xlfn._xlws.FILTER(TablaProductos[Nombre producto],TablaProductos[Agrupación]=ProductosPivot!PRE5)</f>
        <v>#VALUE!</v>
      </c>
      <c r="PRF6" s="68" t="e" cm="1" vm="1">
        <f t="array" ref="PRF6">_xlfn._xlws.FILTER(TablaProductos[Nombre producto],TablaProductos[Agrupación]=ProductosPivot!PRF5)</f>
        <v>#VALUE!</v>
      </c>
      <c r="PRG6" s="68" t="e" cm="1" vm="1">
        <f t="array" ref="PRG6">_xlfn._xlws.FILTER(TablaProductos[Nombre producto],TablaProductos[Agrupación]=ProductosPivot!PRG5)</f>
        <v>#VALUE!</v>
      </c>
      <c r="PRH6" s="68" t="e" cm="1" vm="1">
        <f t="array" ref="PRH6">_xlfn._xlws.FILTER(TablaProductos[Nombre producto],TablaProductos[Agrupación]=ProductosPivot!PRH5)</f>
        <v>#VALUE!</v>
      </c>
      <c r="PRI6" s="68" t="e" cm="1" vm="1">
        <f t="array" ref="PRI6">_xlfn._xlws.FILTER(TablaProductos[Nombre producto],TablaProductos[Agrupación]=ProductosPivot!PRI5)</f>
        <v>#VALUE!</v>
      </c>
      <c r="PRJ6" s="68" t="e" cm="1" vm="1">
        <f t="array" ref="PRJ6">_xlfn._xlws.FILTER(TablaProductos[Nombre producto],TablaProductos[Agrupación]=ProductosPivot!PRJ5)</f>
        <v>#VALUE!</v>
      </c>
      <c r="PRK6" s="68" t="e" cm="1" vm="1">
        <f t="array" ref="PRK6">_xlfn._xlws.FILTER(TablaProductos[Nombre producto],TablaProductos[Agrupación]=ProductosPivot!PRK5)</f>
        <v>#VALUE!</v>
      </c>
      <c r="PRL6" s="68" t="e" cm="1" vm="1">
        <f t="array" ref="PRL6">_xlfn._xlws.FILTER(TablaProductos[Nombre producto],TablaProductos[Agrupación]=ProductosPivot!PRL5)</f>
        <v>#VALUE!</v>
      </c>
      <c r="PRM6" s="68" t="e" cm="1" vm="1">
        <f t="array" ref="PRM6">_xlfn._xlws.FILTER(TablaProductos[Nombre producto],TablaProductos[Agrupación]=ProductosPivot!PRM5)</f>
        <v>#VALUE!</v>
      </c>
      <c r="PRN6" s="68" t="e" cm="1" vm="1">
        <f t="array" ref="PRN6">_xlfn._xlws.FILTER(TablaProductos[Nombre producto],TablaProductos[Agrupación]=ProductosPivot!PRN5)</f>
        <v>#VALUE!</v>
      </c>
      <c r="PRO6" s="68" t="e" cm="1" vm="1">
        <f t="array" ref="PRO6">_xlfn._xlws.FILTER(TablaProductos[Nombre producto],TablaProductos[Agrupación]=ProductosPivot!PRO5)</f>
        <v>#VALUE!</v>
      </c>
      <c r="PRP6" s="68" t="e" cm="1" vm="1">
        <f t="array" ref="PRP6">_xlfn._xlws.FILTER(TablaProductos[Nombre producto],TablaProductos[Agrupación]=ProductosPivot!PRP5)</f>
        <v>#VALUE!</v>
      </c>
      <c r="PRQ6" s="68" t="e" cm="1" vm="1">
        <f t="array" ref="PRQ6">_xlfn._xlws.FILTER(TablaProductos[Nombre producto],TablaProductos[Agrupación]=ProductosPivot!PRQ5)</f>
        <v>#VALUE!</v>
      </c>
      <c r="PRR6" s="68" t="e" cm="1" vm="1">
        <f t="array" ref="PRR6">_xlfn._xlws.FILTER(TablaProductos[Nombre producto],TablaProductos[Agrupación]=ProductosPivot!PRR5)</f>
        <v>#VALUE!</v>
      </c>
      <c r="PRS6" s="68" t="e" cm="1" vm="1">
        <f t="array" ref="PRS6">_xlfn._xlws.FILTER(TablaProductos[Nombre producto],TablaProductos[Agrupación]=ProductosPivot!PRS5)</f>
        <v>#VALUE!</v>
      </c>
      <c r="PRT6" s="68" t="e" cm="1" vm="1">
        <f t="array" ref="PRT6">_xlfn._xlws.FILTER(TablaProductos[Nombre producto],TablaProductos[Agrupación]=ProductosPivot!PRT5)</f>
        <v>#VALUE!</v>
      </c>
      <c r="PRU6" s="68" t="e" cm="1" vm="1">
        <f t="array" ref="PRU6">_xlfn._xlws.FILTER(TablaProductos[Nombre producto],TablaProductos[Agrupación]=ProductosPivot!PRU5)</f>
        <v>#VALUE!</v>
      </c>
      <c r="PRV6" s="68" t="e" cm="1" vm="1">
        <f t="array" ref="PRV6">_xlfn._xlws.FILTER(TablaProductos[Nombre producto],TablaProductos[Agrupación]=ProductosPivot!PRV5)</f>
        <v>#VALUE!</v>
      </c>
      <c r="PRW6" s="68" t="e" cm="1" vm="1">
        <f t="array" ref="PRW6">_xlfn._xlws.FILTER(TablaProductos[Nombre producto],TablaProductos[Agrupación]=ProductosPivot!PRW5)</f>
        <v>#VALUE!</v>
      </c>
      <c r="PRX6" s="68" t="e" cm="1" vm="1">
        <f t="array" ref="PRX6">_xlfn._xlws.FILTER(TablaProductos[Nombre producto],TablaProductos[Agrupación]=ProductosPivot!PRX5)</f>
        <v>#VALUE!</v>
      </c>
      <c r="PRY6" s="68" t="e" cm="1" vm="1">
        <f t="array" ref="PRY6">_xlfn._xlws.FILTER(TablaProductos[Nombre producto],TablaProductos[Agrupación]=ProductosPivot!PRY5)</f>
        <v>#VALUE!</v>
      </c>
      <c r="PRZ6" s="68" t="e" cm="1" vm="1">
        <f t="array" ref="PRZ6">_xlfn._xlws.FILTER(TablaProductos[Nombre producto],TablaProductos[Agrupación]=ProductosPivot!PRZ5)</f>
        <v>#VALUE!</v>
      </c>
      <c r="PSA6" s="68" t="e" cm="1" vm="1">
        <f t="array" ref="PSA6">_xlfn._xlws.FILTER(TablaProductos[Nombre producto],TablaProductos[Agrupación]=ProductosPivot!PSA5)</f>
        <v>#VALUE!</v>
      </c>
      <c r="PSB6" s="68" t="e" cm="1" vm="1">
        <f t="array" ref="PSB6">_xlfn._xlws.FILTER(TablaProductos[Nombre producto],TablaProductos[Agrupación]=ProductosPivot!PSB5)</f>
        <v>#VALUE!</v>
      </c>
      <c r="PSC6" s="68" t="e" cm="1" vm="1">
        <f t="array" ref="PSC6">_xlfn._xlws.FILTER(TablaProductos[Nombre producto],TablaProductos[Agrupación]=ProductosPivot!PSC5)</f>
        <v>#VALUE!</v>
      </c>
      <c r="PSD6" s="68" t="e" cm="1" vm="1">
        <f t="array" ref="PSD6">_xlfn._xlws.FILTER(TablaProductos[Nombre producto],TablaProductos[Agrupación]=ProductosPivot!PSD5)</f>
        <v>#VALUE!</v>
      </c>
      <c r="PSE6" s="68" t="e" cm="1" vm="1">
        <f t="array" ref="PSE6">_xlfn._xlws.FILTER(TablaProductos[Nombre producto],TablaProductos[Agrupación]=ProductosPivot!PSE5)</f>
        <v>#VALUE!</v>
      </c>
      <c r="PSF6" s="68" t="e" cm="1" vm="1">
        <f t="array" ref="PSF6">_xlfn._xlws.FILTER(TablaProductos[Nombre producto],TablaProductos[Agrupación]=ProductosPivot!PSF5)</f>
        <v>#VALUE!</v>
      </c>
      <c r="PSG6" s="68" t="e" cm="1" vm="1">
        <f t="array" ref="PSG6">_xlfn._xlws.FILTER(TablaProductos[Nombre producto],TablaProductos[Agrupación]=ProductosPivot!PSG5)</f>
        <v>#VALUE!</v>
      </c>
      <c r="PSH6" s="68" t="e" cm="1" vm="1">
        <f t="array" ref="PSH6">_xlfn._xlws.FILTER(TablaProductos[Nombre producto],TablaProductos[Agrupación]=ProductosPivot!PSH5)</f>
        <v>#VALUE!</v>
      </c>
      <c r="PSI6" s="68" t="e" cm="1" vm="1">
        <f t="array" ref="PSI6">_xlfn._xlws.FILTER(TablaProductos[Nombre producto],TablaProductos[Agrupación]=ProductosPivot!PSI5)</f>
        <v>#VALUE!</v>
      </c>
      <c r="PSJ6" s="68" t="e" cm="1" vm="1">
        <f t="array" ref="PSJ6">_xlfn._xlws.FILTER(TablaProductos[Nombre producto],TablaProductos[Agrupación]=ProductosPivot!PSJ5)</f>
        <v>#VALUE!</v>
      </c>
      <c r="PSK6" s="68" t="e" cm="1" vm="1">
        <f t="array" ref="PSK6">_xlfn._xlws.FILTER(TablaProductos[Nombre producto],TablaProductos[Agrupación]=ProductosPivot!PSK5)</f>
        <v>#VALUE!</v>
      </c>
      <c r="PSL6" s="68" t="e" cm="1" vm="1">
        <f t="array" ref="PSL6">_xlfn._xlws.FILTER(TablaProductos[Nombre producto],TablaProductos[Agrupación]=ProductosPivot!PSL5)</f>
        <v>#VALUE!</v>
      </c>
      <c r="PSM6" s="68" t="e" cm="1" vm="1">
        <f t="array" ref="PSM6">_xlfn._xlws.FILTER(TablaProductos[Nombre producto],TablaProductos[Agrupación]=ProductosPivot!PSM5)</f>
        <v>#VALUE!</v>
      </c>
      <c r="PSN6" s="68" t="e" cm="1" vm="1">
        <f t="array" ref="PSN6">_xlfn._xlws.FILTER(TablaProductos[Nombre producto],TablaProductos[Agrupación]=ProductosPivot!PSN5)</f>
        <v>#VALUE!</v>
      </c>
      <c r="PSO6" s="68" t="e" cm="1" vm="1">
        <f t="array" ref="PSO6">_xlfn._xlws.FILTER(TablaProductos[Nombre producto],TablaProductos[Agrupación]=ProductosPivot!PSO5)</f>
        <v>#VALUE!</v>
      </c>
      <c r="PSP6" s="68" t="e" cm="1" vm="1">
        <f t="array" ref="PSP6">_xlfn._xlws.FILTER(TablaProductos[Nombre producto],TablaProductos[Agrupación]=ProductosPivot!PSP5)</f>
        <v>#VALUE!</v>
      </c>
      <c r="PSQ6" s="68" t="e" cm="1" vm="1">
        <f t="array" ref="PSQ6">_xlfn._xlws.FILTER(TablaProductos[Nombre producto],TablaProductos[Agrupación]=ProductosPivot!PSQ5)</f>
        <v>#VALUE!</v>
      </c>
      <c r="PSR6" s="68" t="e" cm="1" vm="1">
        <f t="array" ref="PSR6">_xlfn._xlws.FILTER(TablaProductos[Nombre producto],TablaProductos[Agrupación]=ProductosPivot!PSR5)</f>
        <v>#VALUE!</v>
      </c>
      <c r="PSS6" s="68" t="e" cm="1" vm="1">
        <f t="array" ref="PSS6">_xlfn._xlws.FILTER(TablaProductos[Nombre producto],TablaProductos[Agrupación]=ProductosPivot!PSS5)</f>
        <v>#VALUE!</v>
      </c>
      <c r="PST6" s="68" t="e" cm="1" vm="1">
        <f t="array" ref="PST6">_xlfn._xlws.FILTER(TablaProductos[Nombre producto],TablaProductos[Agrupación]=ProductosPivot!PST5)</f>
        <v>#VALUE!</v>
      </c>
      <c r="PSU6" s="68" t="e" cm="1" vm="1">
        <f t="array" ref="PSU6">_xlfn._xlws.FILTER(TablaProductos[Nombre producto],TablaProductos[Agrupación]=ProductosPivot!PSU5)</f>
        <v>#VALUE!</v>
      </c>
      <c r="PSV6" s="68" t="e" cm="1" vm="1">
        <f t="array" ref="PSV6">_xlfn._xlws.FILTER(TablaProductos[Nombre producto],TablaProductos[Agrupación]=ProductosPivot!PSV5)</f>
        <v>#VALUE!</v>
      </c>
      <c r="PSW6" s="68" t="e" cm="1" vm="1">
        <f t="array" ref="PSW6">_xlfn._xlws.FILTER(TablaProductos[Nombre producto],TablaProductos[Agrupación]=ProductosPivot!PSW5)</f>
        <v>#VALUE!</v>
      </c>
      <c r="PSX6" s="68" t="e" cm="1" vm="1">
        <f t="array" ref="PSX6">_xlfn._xlws.FILTER(TablaProductos[Nombre producto],TablaProductos[Agrupación]=ProductosPivot!PSX5)</f>
        <v>#VALUE!</v>
      </c>
      <c r="PSY6" s="68" t="e" cm="1" vm="1">
        <f t="array" ref="PSY6">_xlfn._xlws.FILTER(TablaProductos[Nombre producto],TablaProductos[Agrupación]=ProductosPivot!PSY5)</f>
        <v>#VALUE!</v>
      </c>
      <c r="PSZ6" s="68" t="e" cm="1" vm="1">
        <f t="array" ref="PSZ6">_xlfn._xlws.FILTER(TablaProductos[Nombre producto],TablaProductos[Agrupación]=ProductosPivot!PSZ5)</f>
        <v>#VALUE!</v>
      </c>
      <c r="PTA6" s="68" t="e" cm="1" vm="1">
        <f t="array" ref="PTA6">_xlfn._xlws.FILTER(TablaProductos[Nombre producto],TablaProductos[Agrupación]=ProductosPivot!PTA5)</f>
        <v>#VALUE!</v>
      </c>
      <c r="PTB6" s="68" t="e" cm="1" vm="1">
        <f t="array" ref="PTB6">_xlfn._xlws.FILTER(TablaProductos[Nombre producto],TablaProductos[Agrupación]=ProductosPivot!PTB5)</f>
        <v>#VALUE!</v>
      </c>
      <c r="PTC6" s="68" t="e" cm="1" vm="1">
        <f t="array" ref="PTC6">_xlfn._xlws.FILTER(TablaProductos[Nombre producto],TablaProductos[Agrupación]=ProductosPivot!PTC5)</f>
        <v>#VALUE!</v>
      </c>
      <c r="PTD6" s="68" t="e" cm="1" vm="1">
        <f t="array" ref="PTD6">_xlfn._xlws.FILTER(TablaProductos[Nombre producto],TablaProductos[Agrupación]=ProductosPivot!PTD5)</f>
        <v>#VALUE!</v>
      </c>
      <c r="PTE6" s="68" t="e" cm="1" vm="1">
        <f t="array" ref="PTE6">_xlfn._xlws.FILTER(TablaProductos[Nombre producto],TablaProductos[Agrupación]=ProductosPivot!PTE5)</f>
        <v>#VALUE!</v>
      </c>
      <c r="PTF6" s="68" t="e" cm="1" vm="1">
        <f t="array" ref="PTF6">_xlfn._xlws.FILTER(TablaProductos[Nombre producto],TablaProductos[Agrupación]=ProductosPivot!PTF5)</f>
        <v>#VALUE!</v>
      </c>
      <c r="PTG6" s="68" t="e" cm="1" vm="1">
        <f t="array" ref="PTG6">_xlfn._xlws.FILTER(TablaProductos[Nombre producto],TablaProductos[Agrupación]=ProductosPivot!PTG5)</f>
        <v>#VALUE!</v>
      </c>
      <c r="PTH6" s="68" t="e" cm="1" vm="1">
        <f t="array" ref="PTH6">_xlfn._xlws.FILTER(TablaProductos[Nombre producto],TablaProductos[Agrupación]=ProductosPivot!PTH5)</f>
        <v>#VALUE!</v>
      </c>
      <c r="PTI6" s="68" t="e" cm="1" vm="1">
        <f t="array" ref="PTI6">_xlfn._xlws.FILTER(TablaProductos[Nombre producto],TablaProductos[Agrupación]=ProductosPivot!PTI5)</f>
        <v>#VALUE!</v>
      </c>
      <c r="PTJ6" s="68" t="e" cm="1" vm="1">
        <f t="array" ref="PTJ6">_xlfn._xlws.FILTER(TablaProductos[Nombre producto],TablaProductos[Agrupación]=ProductosPivot!PTJ5)</f>
        <v>#VALUE!</v>
      </c>
      <c r="PTK6" s="68" t="e" cm="1" vm="1">
        <f t="array" ref="PTK6">_xlfn._xlws.FILTER(TablaProductos[Nombre producto],TablaProductos[Agrupación]=ProductosPivot!PTK5)</f>
        <v>#VALUE!</v>
      </c>
      <c r="PTL6" s="68" t="e" cm="1" vm="1">
        <f t="array" ref="PTL6">_xlfn._xlws.FILTER(TablaProductos[Nombre producto],TablaProductos[Agrupación]=ProductosPivot!PTL5)</f>
        <v>#VALUE!</v>
      </c>
      <c r="PTM6" s="68" t="e" cm="1" vm="1">
        <f t="array" ref="PTM6">_xlfn._xlws.FILTER(TablaProductos[Nombre producto],TablaProductos[Agrupación]=ProductosPivot!PTM5)</f>
        <v>#VALUE!</v>
      </c>
      <c r="PTN6" s="68" t="e" cm="1" vm="1">
        <f t="array" ref="PTN6">_xlfn._xlws.FILTER(TablaProductos[Nombre producto],TablaProductos[Agrupación]=ProductosPivot!PTN5)</f>
        <v>#VALUE!</v>
      </c>
      <c r="PTO6" s="68" t="e" cm="1" vm="1">
        <f t="array" ref="PTO6">_xlfn._xlws.FILTER(TablaProductos[Nombre producto],TablaProductos[Agrupación]=ProductosPivot!PTO5)</f>
        <v>#VALUE!</v>
      </c>
      <c r="PTP6" s="68" t="e" cm="1" vm="1">
        <f t="array" ref="PTP6">_xlfn._xlws.FILTER(TablaProductos[Nombre producto],TablaProductos[Agrupación]=ProductosPivot!PTP5)</f>
        <v>#VALUE!</v>
      </c>
      <c r="PTQ6" s="68" t="e" cm="1" vm="1">
        <f t="array" ref="PTQ6">_xlfn._xlws.FILTER(TablaProductos[Nombre producto],TablaProductos[Agrupación]=ProductosPivot!PTQ5)</f>
        <v>#VALUE!</v>
      </c>
      <c r="PTR6" s="68" t="e" cm="1" vm="1">
        <f t="array" ref="PTR6">_xlfn._xlws.FILTER(TablaProductos[Nombre producto],TablaProductos[Agrupación]=ProductosPivot!PTR5)</f>
        <v>#VALUE!</v>
      </c>
      <c r="PTS6" s="68" t="e" cm="1" vm="1">
        <f t="array" ref="PTS6">_xlfn._xlws.FILTER(TablaProductos[Nombre producto],TablaProductos[Agrupación]=ProductosPivot!PTS5)</f>
        <v>#VALUE!</v>
      </c>
      <c r="PTT6" s="68" t="e" cm="1" vm="1">
        <f t="array" ref="PTT6">_xlfn._xlws.FILTER(TablaProductos[Nombre producto],TablaProductos[Agrupación]=ProductosPivot!PTT5)</f>
        <v>#VALUE!</v>
      </c>
      <c r="PTU6" s="68" t="e" cm="1" vm="1">
        <f t="array" ref="PTU6">_xlfn._xlws.FILTER(TablaProductos[Nombre producto],TablaProductos[Agrupación]=ProductosPivot!PTU5)</f>
        <v>#VALUE!</v>
      </c>
      <c r="PTV6" s="68" t="e" cm="1" vm="1">
        <f t="array" ref="PTV6">_xlfn._xlws.FILTER(TablaProductos[Nombre producto],TablaProductos[Agrupación]=ProductosPivot!PTV5)</f>
        <v>#VALUE!</v>
      </c>
      <c r="PTW6" s="68" t="e" cm="1" vm="1">
        <f t="array" ref="PTW6">_xlfn._xlws.FILTER(TablaProductos[Nombre producto],TablaProductos[Agrupación]=ProductosPivot!PTW5)</f>
        <v>#VALUE!</v>
      </c>
      <c r="PTX6" s="68" t="e" cm="1" vm="1">
        <f t="array" ref="PTX6">_xlfn._xlws.FILTER(TablaProductos[Nombre producto],TablaProductos[Agrupación]=ProductosPivot!PTX5)</f>
        <v>#VALUE!</v>
      </c>
      <c r="PTY6" s="68" t="e" cm="1" vm="1">
        <f t="array" ref="PTY6">_xlfn._xlws.FILTER(TablaProductos[Nombre producto],TablaProductos[Agrupación]=ProductosPivot!PTY5)</f>
        <v>#VALUE!</v>
      </c>
      <c r="PTZ6" s="68" t="e" cm="1" vm="1">
        <f t="array" ref="PTZ6">_xlfn._xlws.FILTER(TablaProductos[Nombre producto],TablaProductos[Agrupación]=ProductosPivot!PTZ5)</f>
        <v>#VALUE!</v>
      </c>
      <c r="PUA6" s="68" t="e" cm="1" vm="1">
        <f t="array" ref="PUA6">_xlfn._xlws.FILTER(TablaProductos[Nombre producto],TablaProductos[Agrupación]=ProductosPivot!PUA5)</f>
        <v>#VALUE!</v>
      </c>
      <c r="PUB6" s="68" t="e" cm="1" vm="1">
        <f t="array" ref="PUB6">_xlfn._xlws.FILTER(TablaProductos[Nombre producto],TablaProductos[Agrupación]=ProductosPivot!PUB5)</f>
        <v>#VALUE!</v>
      </c>
      <c r="PUC6" s="68" t="e" cm="1" vm="1">
        <f t="array" ref="PUC6">_xlfn._xlws.FILTER(TablaProductos[Nombre producto],TablaProductos[Agrupación]=ProductosPivot!PUC5)</f>
        <v>#VALUE!</v>
      </c>
      <c r="PUD6" s="68" t="e" cm="1" vm="1">
        <f t="array" ref="PUD6">_xlfn._xlws.FILTER(TablaProductos[Nombre producto],TablaProductos[Agrupación]=ProductosPivot!PUD5)</f>
        <v>#VALUE!</v>
      </c>
      <c r="PUE6" s="68" t="e" cm="1" vm="1">
        <f t="array" ref="PUE6">_xlfn._xlws.FILTER(TablaProductos[Nombre producto],TablaProductos[Agrupación]=ProductosPivot!PUE5)</f>
        <v>#VALUE!</v>
      </c>
      <c r="PUF6" s="68" t="e" cm="1" vm="1">
        <f t="array" ref="PUF6">_xlfn._xlws.FILTER(TablaProductos[Nombre producto],TablaProductos[Agrupación]=ProductosPivot!PUF5)</f>
        <v>#VALUE!</v>
      </c>
      <c r="PUG6" s="68" t="e" cm="1" vm="1">
        <f t="array" ref="PUG6">_xlfn._xlws.FILTER(TablaProductos[Nombre producto],TablaProductos[Agrupación]=ProductosPivot!PUG5)</f>
        <v>#VALUE!</v>
      </c>
      <c r="PUH6" s="68" t="e" cm="1" vm="1">
        <f t="array" ref="PUH6">_xlfn._xlws.FILTER(TablaProductos[Nombre producto],TablaProductos[Agrupación]=ProductosPivot!PUH5)</f>
        <v>#VALUE!</v>
      </c>
      <c r="PUI6" s="68" t="e" cm="1" vm="1">
        <f t="array" ref="PUI6">_xlfn._xlws.FILTER(TablaProductos[Nombre producto],TablaProductos[Agrupación]=ProductosPivot!PUI5)</f>
        <v>#VALUE!</v>
      </c>
      <c r="PUJ6" s="68" t="e" cm="1" vm="1">
        <f t="array" ref="PUJ6">_xlfn._xlws.FILTER(TablaProductos[Nombre producto],TablaProductos[Agrupación]=ProductosPivot!PUJ5)</f>
        <v>#VALUE!</v>
      </c>
      <c r="PUK6" s="68" t="e" cm="1" vm="1">
        <f t="array" ref="PUK6">_xlfn._xlws.FILTER(TablaProductos[Nombre producto],TablaProductos[Agrupación]=ProductosPivot!PUK5)</f>
        <v>#VALUE!</v>
      </c>
      <c r="PUL6" s="68" t="e" cm="1" vm="1">
        <f t="array" ref="PUL6">_xlfn._xlws.FILTER(TablaProductos[Nombre producto],TablaProductos[Agrupación]=ProductosPivot!PUL5)</f>
        <v>#VALUE!</v>
      </c>
      <c r="PUM6" s="68" t="e" cm="1" vm="1">
        <f t="array" ref="PUM6">_xlfn._xlws.FILTER(TablaProductos[Nombre producto],TablaProductos[Agrupación]=ProductosPivot!PUM5)</f>
        <v>#VALUE!</v>
      </c>
      <c r="PUN6" s="68" t="e" cm="1" vm="1">
        <f t="array" ref="PUN6">_xlfn._xlws.FILTER(TablaProductos[Nombre producto],TablaProductos[Agrupación]=ProductosPivot!PUN5)</f>
        <v>#VALUE!</v>
      </c>
      <c r="PUO6" s="68" t="e" cm="1" vm="1">
        <f t="array" ref="PUO6">_xlfn._xlws.FILTER(TablaProductos[Nombre producto],TablaProductos[Agrupación]=ProductosPivot!PUO5)</f>
        <v>#VALUE!</v>
      </c>
      <c r="PUP6" s="68" t="e" cm="1" vm="1">
        <f t="array" ref="PUP6">_xlfn._xlws.FILTER(TablaProductos[Nombre producto],TablaProductos[Agrupación]=ProductosPivot!PUP5)</f>
        <v>#VALUE!</v>
      </c>
      <c r="PUQ6" s="68" t="e" cm="1" vm="1">
        <f t="array" ref="PUQ6">_xlfn._xlws.FILTER(TablaProductos[Nombre producto],TablaProductos[Agrupación]=ProductosPivot!PUQ5)</f>
        <v>#VALUE!</v>
      </c>
      <c r="PUR6" s="68" t="e" cm="1" vm="1">
        <f t="array" ref="PUR6">_xlfn._xlws.FILTER(TablaProductos[Nombre producto],TablaProductos[Agrupación]=ProductosPivot!PUR5)</f>
        <v>#VALUE!</v>
      </c>
      <c r="PUS6" s="68" t="e" cm="1" vm="1">
        <f t="array" ref="PUS6">_xlfn._xlws.FILTER(TablaProductos[Nombre producto],TablaProductos[Agrupación]=ProductosPivot!PUS5)</f>
        <v>#VALUE!</v>
      </c>
      <c r="PUT6" s="68" t="e" cm="1" vm="1">
        <f t="array" ref="PUT6">_xlfn._xlws.FILTER(TablaProductos[Nombre producto],TablaProductos[Agrupación]=ProductosPivot!PUT5)</f>
        <v>#VALUE!</v>
      </c>
      <c r="PUU6" s="68" t="e" cm="1" vm="1">
        <f t="array" ref="PUU6">_xlfn._xlws.FILTER(TablaProductos[Nombre producto],TablaProductos[Agrupación]=ProductosPivot!PUU5)</f>
        <v>#VALUE!</v>
      </c>
      <c r="PUV6" s="68" t="e" cm="1" vm="1">
        <f t="array" ref="PUV6">_xlfn._xlws.FILTER(TablaProductos[Nombre producto],TablaProductos[Agrupación]=ProductosPivot!PUV5)</f>
        <v>#VALUE!</v>
      </c>
      <c r="PUW6" s="68" t="e" cm="1" vm="1">
        <f t="array" ref="PUW6">_xlfn._xlws.FILTER(TablaProductos[Nombre producto],TablaProductos[Agrupación]=ProductosPivot!PUW5)</f>
        <v>#VALUE!</v>
      </c>
      <c r="PUX6" s="68" t="e" cm="1" vm="1">
        <f t="array" ref="PUX6">_xlfn._xlws.FILTER(TablaProductos[Nombre producto],TablaProductos[Agrupación]=ProductosPivot!PUX5)</f>
        <v>#VALUE!</v>
      </c>
      <c r="PUY6" s="68" t="e" cm="1" vm="1">
        <f t="array" ref="PUY6">_xlfn._xlws.FILTER(TablaProductos[Nombre producto],TablaProductos[Agrupación]=ProductosPivot!PUY5)</f>
        <v>#VALUE!</v>
      </c>
      <c r="PUZ6" s="68" t="e" cm="1" vm="1">
        <f t="array" ref="PUZ6">_xlfn._xlws.FILTER(TablaProductos[Nombre producto],TablaProductos[Agrupación]=ProductosPivot!PUZ5)</f>
        <v>#VALUE!</v>
      </c>
      <c r="PVA6" s="68" t="e" cm="1" vm="1">
        <f t="array" ref="PVA6">_xlfn._xlws.FILTER(TablaProductos[Nombre producto],TablaProductos[Agrupación]=ProductosPivot!PVA5)</f>
        <v>#VALUE!</v>
      </c>
      <c r="PVB6" s="68" t="e" cm="1" vm="1">
        <f t="array" ref="PVB6">_xlfn._xlws.FILTER(TablaProductos[Nombre producto],TablaProductos[Agrupación]=ProductosPivot!PVB5)</f>
        <v>#VALUE!</v>
      </c>
      <c r="PVC6" s="68" t="e" cm="1" vm="1">
        <f t="array" ref="PVC6">_xlfn._xlws.FILTER(TablaProductos[Nombre producto],TablaProductos[Agrupación]=ProductosPivot!PVC5)</f>
        <v>#VALUE!</v>
      </c>
      <c r="PVD6" s="68" t="e" cm="1" vm="1">
        <f t="array" ref="PVD6">_xlfn._xlws.FILTER(TablaProductos[Nombre producto],TablaProductos[Agrupación]=ProductosPivot!PVD5)</f>
        <v>#VALUE!</v>
      </c>
      <c r="PVE6" s="68" t="e" cm="1" vm="1">
        <f t="array" ref="PVE6">_xlfn._xlws.FILTER(TablaProductos[Nombre producto],TablaProductos[Agrupación]=ProductosPivot!PVE5)</f>
        <v>#VALUE!</v>
      </c>
      <c r="PVF6" s="68" t="e" cm="1" vm="1">
        <f t="array" ref="PVF6">_xlfn._xlws.FILTER(TablaProductos[Nombre producto],TablaProductos[Agrupación]=ProductosPivot!PVF5)</f>
        <v>#VALUE!</v>
      </c>
      <c r="PVG6" s="68" t="e" cm="1" vm="1">
        <f t="array" ref="PVG6">_xlfn._xlws.FILTER(TablaProductos[Nombre producto],TablaProductos[Agrupación]=ProductosPivot!PVG5)</f>
        <v>#VALUE!</v>
      </c>
      <c r="PVH6" s="68" t="e" cm="1" vm="1">
        <f t="array" ref="PVH6">_xlfn._xlws.FILTER(TablaProductos[Nombre producto],TablaProductos[Agrupación]=ProductosPivot!PVH5)</f>
        <v>#VALUE!</v>
      </c>
      <c r="PVI6" s="68" t="e" cm="1" vm="1">
        <f t="array" ref="PVI6">_xlfn._xlws.FILTER(TablaProductos[Nombre producto],TablaProductos[Agrupación]=ProductosPivot!PVI5)</f>
        <v>#VALUE!</v>
      </c>
      <c r="PVJ6" s="68" t="e" cm="1" vm="1">
        <f t="array" ref="PVJ6">_xlfn._xlws.FILTER(TablaProductos[Nombre producto],TablaProductos[Agrupación]=ProductosPivot!PVJ5)</f>
        <v>#VALUE!</v>
      </c>
      <c r="PVK6" s="68" t="e" cm="1" vm="1">
        <f t="array" ref="PVK6">_xlfn._xlws.FILTER(TablaProductos[Nombre producto],TablaProductos[Agrupación]=ProductosPivot!PVK5)</f>
        <v>#VALUE!</v>
      </c>
      <c r="PVL6" s="68" t="e" cm="1" vm="1">
        <f t="array" ref="PVL6">_xlfn._xlws.FILTER(TablaProductos[Nombre producto],TablaProductos[Agrupación]=ProductosPivot!PVL5)</f>
        <v>#VALUE!</v>
      </c>
      <c r="PVM6" s="68" t="e" cm="1" vm="1">
        <f t="array" ref="PVM6">_xlfn._xlws.FILTER(TablaProductos[Nombre producto],TablaProductos[Agrupación]=ProductosPivot!PVM5)</f>
        <v>#VALUE!</v>
      </c>
      <c r="PVN6" s="68" t="e" cm="1" vm="1">
        <f t="array" ref="PVN6">_xlfn._xlws.FILTER(TablaProductos[Nombre producto],TablaProductos[Agrupación]=ProductosPivot!PVN5)</f>
        <v>#VALUE!</v>
      </c>
      <c r="PVO6" s="68" t="e" cm="1" vm="1">
        <f t="array" ref="PVO6">_xlfn._xlws.FILTER(TablaProductos[Nombre producto],TablaProductos[Agrupación]=ProductosPivot!PVO5)</f>
        <v>#VALUE!</v>
      </c>
      <c r="PVP6" s="68" t="e" cm="1" vm="1">
        <f t="array" ref="PVP6">_xlfn._xlws.FILTER(TablaProductos[Nombre producto],TablaProductos[Agrupación]=ProductosPivot!PVP5)</f>
        <v>#VALUE!</v>
      </c>
      <c r="PVQ6" s="68" t="e" cm="1" vm="1">
        <f t="array" ref="PVQ6">_xlfn._xlws.FILTER(TablaProductos[Nombre producto],TablaProductos[Agrupación]=ProductosPivot!PVQ5)</f>
        <v>#VALUE!</v>
      </c>
      <c r="PVR6" s="68" t="e" cm="1" vm="1">
        <f t="array" ref="PVR6">_xlfn._xlws.FILTER(TablaProductos[Nombre producto],TablaProductos[Agrupación]=ProductosPivot!PVR5)</f>
        <v>#VALUE!</v>
      </c>
      <c r="PVS6" s="68" t="e" cm="1" vm="1">
        <f t="array" ref="PVS6">_xlfn._xlws.FILTER(TablaProductos[Nombre producto],TablaProductos[Agrupación]=ProductosPivot!PVS5)</f>
        <v>#VALUE!</v>
      </c>
      <c r="PVT6" s="68" t="e" cm="1" vm="1">
        <f t="array" ref="PVT6">_xlfn._xlws.FILTER(TablaProductos[Nombre producto],TablaProductos[Agrupación]=ProductosPivot!PVT5)</f>
        <v>#VALUE!</v>
      </c>
      <c r="PVU6" s="68" t="e" cm="1" vm="1">
        <f t="array" ref="PVU6">_xlfn._xlws.FILTER(TablaProductos[Nombre producto],TablaProductos[Agrupación]=ProductosPivot!PVU5)</f>
        <v>#VALUE!</v>
      </c>
      <c r="PVV6" s="68" t="e" cm="1" vm="1">
        <f t="array" ref="PVV6">_xlfn._xlws.FILTER(TablaProductos[Nombre producto],TablaProductos[Agrupación]=ProductosPivot!PVV5)</f>
        <v>#VALUE!</v>
      </c>
      <c r="PVW6" s="68" t="e" cm="1" vm="1">
        <f t="array" ref="PVW6">_xlfn._xlws.FILTER(TablaProductos[Nombre producto],TablaProductos[Agrupación]=ProductosPivot!PVW5)</f>
        <v>#VALUE!</v>
      </c>
      <c r="PVX6" s="68" t="e" cm="1" vm="1">
        <f t="array" ref="PVX6">_xlfn._xlws.FILTER(TablaProductos[Nombre producto],TablaProductos[Agrupación]=ProductosPivot!PVX5)</f>
        <v>#VALUE!</v>
      </c>
      <c r="PVY6" s="68" t="e" cm="1" vm="1">
        <f t="array" ref="PVY6">_xlfn._xlws.FILTER(TablaProductos[Nombre producto],TablaProductos[Agrupación]=ProductosPivot!PVY5)</f>
        <v>#VALUE!</v>
      </c>
      <c r="PVZ6" s="68" t="e" cm="1" vm="1">
        <f t="array" ref="PVZ6">_xlfn._xlws.FILTER(TablaProductos[Nombre producto],TablaProductos[Agrupación]=ProductosPivot!PVZ5)</f>
        <v>#VALUE!</v>
      </c>
      <c r="PWA6" s="68" t="e" cm="1" vm="1">
        <f t="array" ref="PWA6">_xlfn._xlws.FILTER(TablaProductos[Nombre producto],TablaProductos[Agrupación]=ProductosPivot!PWA5)</f>
        <v>#VALUE!</v>
      </c>
      <c r="PWB6" s="68" t="e" cm="1" vm="1">
        <f t="array" ref="PWB6">_xlfn._xlws.FILTER(TablaProductos[Nombre producto],TablaProductos[Agrupación]=ProductosPivot!PWB5)</f>
        <v>#VALUE!</v>
      </c>
      <c r="PWC6" s="68" t="e" cm="1" vm="1">
        <f t="array" ref="PWC6">_xlfn._xlws.FILTER(TablaProductos[Nombre producto],TablaProductos[Agrupación]=ProductosPivot!PWC5)</f>
        <v>#VALUE!</v>
      </c>
      <c r="PWD6" s="68" t="e" cm="1" vm="1">
        <f t="array" ref="PWD6">_xlfn._xlws.FILTER(TablaProductos[Nombre producto],TablaProductos[Agrupación]=ProductosPivot!PWD5)</f>
        <v>#VALUE!</v>
      </c>
      <c r="PWE6" s="68" t="e" cm="1" vm="1">
        <f t="array" ref="PWE6">_xlfn._xlws.FILTER(TablaProductos[Nombre producto],TablaProductos[Agrupación]=ProductosPivot!PWE5)</f>
        <v>#VALUE!</v>
      </c>
      <c r="PWF6" s="68" t="e" cm="1" vm="1">
        <f t="array" ref="PWF6">_xlfn._xlws.FILTER(TablaProductos[Nombre producto],TablaProductos[Agrupación]=ProductosPivot!PWF5)</f>
        <v>#VALUE!</v>
      </c>
      <c r="PWG6" s="68" t="e" cm="1" vm="1">
        <f t="array" ref="PWG6">_xlfn._xlws.FILTER(TablaProductos[Nombre producto],TablaProductos[Agrupación]=ProductosPivot!PWG5)</f>
        <v>#VALUE!</v>
      </c>
      <c r="PWH6" s="68" t="e" cm="1" vm="1">
        <f t="array" ref="PWH6">_xlfn._xlws.FILTER(TablaProductos[Nombre producto],TablaProductos[Agrupación]=ProductosPivot!PWH5)</f>
        <v>#VALUE!</v>
      </c>
      <c r="PWI6" s="68" t="e" cm="1" vm="1">
        <f t="array" ref="PWI6">_xlfn._xlws.FILTER(TablaProductos[Nombre producto],TablaProductos[Agrupación]=ProductosPivot!PWI5)</f>
        <v>#VALUE!</v>
      </c>
      <c r="PWJ6" s="68" t="e" cm="1" vm="1">
        <f t="array" ref="PWJ6">_xlfn._xlws.FILTER(TablaProductos[Nombre producto],TablaProductos[Agrupación]=ProductosPivot!PWJ5)</f>
        <v>#VALUE!</v>
      </c>
      <c r="PWK6" s="68" t="e" cm="1" vm="1">
        <f t="array" ref="PWK6">_xlfn._xlws.FILTER(TablaProductos[Nombre producto],TablaProductos[Agrupación]=ProductosPivot!PWK5)</f>
        <v>#VALUE!</v>
      </c>
      <c r="PWL6" s="68" t="e" cm="1" vm="1">
        <f t="array" ref="PWL6">_xlfn._xlws.FILTER(TablaProductos[Nombre producto],TablaProductos[Agrupación]=ProductosPivot!PWL5)</f>
        <v>#VALUE!</v>
      </c>
      <c r="PWM6" s="68" t="e" cm="1" vm="1">
        <f t="array" ref="PWM6">_xlfn._xlws.FILTER(TablaProductos[Nombre producto],TablaProductos[Agrupación]=ProductosPivot!PWM5)</f>
        <v>#VALUE!</v>
      </c>
      <c r="PWN6" s="68" t="e" cm="1" vm="1">
        <f t="array" ref="PWN6">_xlfn._xlws.FILTER(TablaProductos[Nombre producto],TablaProductos[Agrupación]=ProductosPivot!PWN5)</f>
        <v>#VALUE!</v>
      </c>
      <c r="PWO6" s="68" t="e" cm="1" vm="1">
        <f t="array" ref="PWO6">_xlfn._xlws.FILTER(TablaProductos[Nombre producto],TablaProductos[Agrupación]=ProductosPivot!PWO5)</f>
        <v>#VALUE!</v>
      </c>
      <c r="PWP6" s="68" t="e" cm="1" vm="1">
        <f t="array" ref="PWP6">_xlfn._xlws.FILTER(TablaProductos[Nombre producto],TablaProductos[Agrupación]=ProductosPivot!PWP5)</f>
        <v>#VALUE!</v>
      </c>
      <c r="PWQ6" s="68" t="e" cm="1" vm="1">
        <f t="array" ref="PWQ6">_xlfn._xlws.FILTER(TablaProductos[Nombre producto],TablaProductos[Agrupación]=ProductosPivot!PWQ5)</f>
        <v>#VALUE!</v>
      </c>
      <c r="PWR6" s="68" t="e" cm="1" vm="1">
        <f t="array" ref="PWR6">_xlfn._xlws.FILTER(TablaProductos[Nombre producto],TablaProductos[Agrupación]=ProductosPivot!PWR5)</f>
        <v>#VALUE!</v>
      </c>
      <c r="PWS6" s="68" t="e" cm="1" vm="1">
        <f t="array" ref="PWS6">_xlfn._xlws.FILTER(TablaProductos[Nombre producto],TablaProductos[Agrupación]=ProductosPivot!PWS5)</f>
        <v>#VALUE!</v>
      </c>
      <c r="PWT6" s="68" t="e" cm="1" vm="1">
        <f t="array" ref="PWT6">_xlfn._xlws.FILTER(TablaProductos[Nombre producto],TablaProductos[Agrupación]=ProductosPivot!PWT5)</f>
        <v>#VALUE!</v>
      </c>
      <c r="PWU6" s="68" t="e" cm="1" vm="1">
        <f t="array" ref="PWU6">_xlfn._xlws.FILTER(TablaProductos[Nombre producto],TablaProductos[Agrupación]=ProductosPivot!PWU5)</f>
        <v>#VALUE!</v>
      </c>
      <c r="PWV6" s="68" t="e" cm="1" vm="1">
        <f t="array" ref="PWV6">_xlfn._xlws.FILTER(TablaProductos[Nombre producto],TablaProductos[Agrupación]=ProductosPivot!PWV5)</f>
        <v>#VALUE!</v>
      </c>
      <c r="PWW6" s="68" t="e" cm="1" vm="1">
        <f t="array" ref="PWW6">_xlfn._xlws.FILTER(TablaProductos[Nombre producto],TablaProductos[Agrupación]=ProductosPivot!PWW5)</f>
        <v>#VALUE!</v>
      </c>
      <c r="PWX6" s="68" t="e" cm="1" vm="1">
        <f t="array" ref="PWX6">_xlfn._xlws.FILTER(TablaProductos[Nombre producto],TablaProductos[Agrupación]=ProductosPivot!PWX5)</f>
        <v>#VALUE!</v>
      </c>
      <c r="PWY6" s="68" t="e" cm="1" vm="1">
        <f t="array" ref="PWY6">_xlfn._xlws.FILTER(TablaProductos[Nombre producto],TablaProductos[Agrupación]=ProductosPivot!PWY5)</f>
        <v>#VALUE!</v>
      </c>
      <c r="PWZ6" s="68" t="e" cm="1" vm="1">
        <f t="array" ref="PWZ6">_xlfn._xlws.FILTER(TablaProductos[Nombre producto],TablaProductos[Agrupación]=ProductosPivot!PWZ5)</f>
        <v>#VALUE!</v>
      </c>
      <c r="PXA6" s="68" t="e" cm="1" vm="1">
        <f t="array" ref="PXA6">_xlfn._xlws.FILTER(TablaProductos[Nombre producto],TablaProductos[Agrupación]=ProductosPivot!PXA5)</f>
        <v>#VALUE!</v>
      </c>
      <c r="PXB6" s="68" t="e" cm="1" vm="1">
        <f t="array" ref="PXB6">_xlfn._xlws.FILTER(TablaProductos[Nombre producto],TablaProductos[Agrupación]=ProductosPivot!PXB5)</f>
        <v>#VALUE!</v>
      </c>
      <c r="PXC6" s="68" t="e" cm="1" vm="1">
        <f t="array" ref="PXC6">_xlfn._xlws.FILTER(TablaProductos[Nombre producto],TablaProductos[Agrupación]=ProductosPivot!PXC5)</f>
        <v>#VALUE!</v>
      </c>
      <c r="PXD6" s="68" t="e" cm="1" vm="1">
        <f t="array" ref="PXD6">_xlfn._xlws.FILTER(TablaProductos[Nombre producto],TablaProductos[Agrupación]=ProductosPivot!PXD5)</f>
        <v>#VALUE!</v>
      </c>
      <c r="PXE6" s="68" t="e" cm="1" vm="1">
        <f t="array" ref="PXE6">_xlfn._xlws.FILTER(TablaProductos[Nombre producto],TablaProductos[Agrupación]=ProductosPivot!PXE5)</f>
        <v>#VALUE!</v>
      </c>
      <c r="PXF6" s="68" t="e" cm="1" vm="1">
        <f t="array" ref="PXF6">_xlfn._xlws.FILTER(TablaProductos[Nombre producto],TablaProductos[Agrupación]=ProductosPivot!PXF5)</f>
        <v>#VALUE!</v>
      </c>
      <c r="PXG6" s="68" t="e" cm="1" vm="1">
        <f t="array" ref="PXG6">_xlfn._xlws.FILTER(TablaProductos[Nombre producto],TablaProductos[Agrupación]=ProductosPivot!PXG5)</f>
        <v>#VALUE!</v>
      </c>
      <c r="PXH6" s="68" t="e" cm="1" vm="1">
        <f t="array" ref="PXH6">_xlfn._xlws.FILTER(TablaProductos[Nombre producto],TablaProductos[Agrupación]=ProductosPivot!PXH5)</f>
        <v>#VALUE!</v>
      </c>
      <c r="PXI6" s="68" t="e" cm="1" vm="1">
        <f t="array" ref="PXI6">_xlfn._xlws.FILTER(TablaProductos[Nombre producto],TablaProductos[Agrupación]=ProductosPivot!PXI5)</f>
        <v>#VALUE!</v>
      </c>
      <c r="PXJ6" s="68" t="e" cm="1" vm="1">
        <f t="array" ref="PXJ6">_xlfn._xlws.FILTER(TablaProductos[Nombre producto],TablaProductos[Agrupación]=ProductosPivot!PXJ5)</f>
        <v>#VALUE!</v>
      </c>
      <c r="PXK6" s="68" t="e" cm="1" vm="1">
        <f t="array" ref="PXK6">_xlfn._xlws.FILTER(TablaProductos[Nombre producto],TablaProductos[Agrupación]=ProductosPivot!PXK5)</f>
        <v>#VALUE!</v>
      </c>
      <c r="PXL6" s="68" t="e" cm="1" vm="1">
        <f t="array" ref="PXL6">_xlfn._xlws.FILTER(TablaProductos[Nombre producto],TablaProductos[Agrupación]=ProductosPivot!PXL5)</f>
        <v>#VALUE!</v>
      </c>
      <c r="PXM6" s="68" t="e" cm="1" vm="1">
        <f t="array" ref="PXM6">_xlfn._xlws.FILTER(TablaProductos[Nombre producto],TablaProductos[Agrupación]=ProductosPivot!PXM5)</f>
        <v>#VALUE!</v>
      </c>
      <c r="PXN6" s="68" t="e" cm="1" vm="1">
        <f t="array" ref="PXN6">_xlfn._xlws.FILTER(TablaProductos[Nombre producto],TablaProductos[Agrupación]=ProductosPivot!PXN5)</f>
        <v>#VALUE!</v>
      </c>
      <c r="PXO6" s="68" t="e" cm="1" vm="1">
        <f t="array" ref="PXO6">_xlfn._xlws.FILTER(TablaProductos[Nombre producto],TablaProductos[Agrupación]=ProductosPivot!PXO5)</f>
        <v>#VALUE!</v>
      </c>
      <c r="PXP6" s="68" t="e" cm="1" vm="1">
        <f t="array" ref="PXP6">_xlfn._xlws.FILTER(TablaProductos[Nombre producto],TablaProductos[Agrupación]=ProductosPivot!PXP5)</f>
        <v>#VALUE!</v>
      </c>
      <c r="PXQ6" s="68" t="e" cm="1" vm="1">
        <f t="array" ref="PXQ6">_xlfn._xlws.FILTER(TablaProductos[Nombre producto],TablaProductos[Agrupación]=ProductosPivot!PXQ5)</f>
        <v>#VALUE!</v>
      </c>
      <c r="PXR6" s="68" t="e" cm="1" vm="1">
        <f t="array" ref="PXR6">_xlfn._xlws.FILTER(TablaProductos[Nombre producto],TablaProductos[Agrupación]=ProductosPivot!PXR5)</f>
        <v>#VALUE!</v>
      </c>
      <c r="PXS6" s="68" t="e" cm="1" vm="1">
        <f t="array" ref="PXS6">_xlfn._xlws.FILTER(TablaProductos[Nombre producto],TablaProductos[Agrupación]=ProductosPivot!PXS5)</f>
        <v>#VALUE!</v>
      </c>
      <c r="PXT6" s="68" t="e" cm="1" vm="1">
        <f t="array" ref="PXT6">_xlfn._xlws.FILTER(TablaProductos[Nombre producto],TablaProductos[Agrupación]=ProductosPivot!PXT5)</f>
        <v>#VALUE!</v>
      </c>
      <c r="PXU6" s="68" t="e" cm="1" vm="1">
        <f t="array" ref="PXU6">_xlfn._xlws.FILTER(TablaProductos[Nombre producto],TablaProductos[Agrupación]=ProductosPivot!PXU5)</f>
        <v>#VALUE!</v>
      </c>
      <c r="PXV6" s="68" t="e" cm="1" vm="1">
        <f t="array" ref="PXV6">_xlfn._xlws.FILTER(TablaProductos[Nombre producto],TablaProductos[Agrupación]=ProductosPivot!PXV5)</f>
        <v>#VALUE!</v>
      </c>
      <c r="PXW6" s="68" t="e" cm="1" vm="1">
        <f t="array" ref="PXW6">_xlfn._xlws.FILTER(TablaProductos[Nombre producto],TablaProductos[Agrupación]=ProductosPivot!PXW5)</f>
        <v>#VALUE!</v>
      </c>
      <c r="PXX6" s="68" t="e" cm="1" vm="1">
        <f t="array" ref="PXX6">_xlfn._xlws.FILTER(TablaProductos[Nombre producto],TablaProductos[Agrupación]=ProductosPivot!PXX5)</f>
        <v>#VALUE!</v>
      </c>
      <c r="PXY6" s="68" t="e" cm="1" vm="1">
        <f t="array" ref="PXY6">_xlfn._xlws.FILTER(TablaProductos[Nombre producto],TablaProductos[Agrupación]=ProductosPivot!PXY5)</f>
        <v>#VALUE!</v>
      </c>
      <c r="PXZ6" s="68" t="e" cm="1" vm="1">
        <f t="array" ref="PXZ6">_xlfn._xlws.FILTER(TablaProductos[Nombre producto],TablaProductos[Agrupación]=ProductosPivot!PXZ5)</f>
        <v>#VALUE!</v>
      </c>
      <c r="PYA6" s="68" t="e" cm="1" vm="1">
        <f t="array" ref="PYA6">_xlfn._xlws.FILTER(TablaProductos[Nombre producto],TablaProductos[Agrupación]=ProductosPivot!PYA5)</f>
        <v>#VALUE!</v>
      </c>
      <c r="PYB6" s="68" t="e" cm="1" vm="1">
        <f t="array" ref="PYB6">_xlfn._xlws.FILTER(TablaProductos[Nombre producto],TablaProductos[Agrupación]=ProductosPivot!PYB5)</f>
        <v>#VALUE!</v>
      </c>
      <c r="PYC6" s="68" t="e" cm="1" vm="1">
        <f t="array" ref="PYC6">_xlfn._xlws.FILTER(TablaProductos[Nombre producto],TablaProductos[Agrupación]=ProductosPivot!PYC5)</f>
        <v>#VALUE!</v>
      </c>
      <c r="PYD6" s="68" t="e" cm="1" vm="1">
        <f t="array" ref="PYD6">_xlfn._xlws.FILTER(TablaProductos[Nombre producto],TablaProductos[Agrupación]=ProductosPivot!PYD5)</f>
        <v>#VALUE!</v>
      </c>
      <c r="PYE6" s="68" t="e" cm="1" vm="1">
        <f t="array" ref="PYE6">_xlfn._xlws.FILTER(TablaProductos[Nombre producto],TablaProductos[Agrupación]=ProductosPivot!PYE5)</f>
        <v>#VALUE!</v>
      </c>
      <c r="PYF6" s="68" t="e" cm="1" vm="1">
        <f t="array" ref="PYF6">_xlfn._xlws.FILTER(TablaProductos[Nombre producto],TablaProductos[Agrupación]=ProductosPivot!PYF5)</f>
        <v>#VALUE!</v>
      </c>
      <c r="PYG6" s="68" t="e" cm="1" vm="1">
        <f t="array" ref="PYG6">_xlfn._xlws.FILTER(TablaProductos[Nombre producto],TablaProductos[Agrupación]=ProductosPivot!PYG5)</f>
        <v>#VALUE!</v>
      </c>
      <c r="PYH6" s="68" t="e" cm="1" vm="1">
        <f t="array" ref="PYH6">_xlfn._xlws.FILTER(TablaProductos[Nombre producto],TablaProductos[Agrupación]=ProductosPivot!PYH5)</f>
        <v>#VALUE!</v>
      </c>
      <c r="PYI6" s="68" t="e" cm="1" vm="1">
        <f t="array" ref="PYI6">_xlfn._xlws.FILTER(TablaProductos[Nombre producto],TablaProductos[Agrupación]=ProductosPivot!PYI5)</f>
        <v>#VALUE!</v>
      </c>
      <c r="PYJ6" s="68" t="e" cm="1" vm="1">
        <f t="array" ref="PYJ6">_xlfn._xlws.FILTER(TablaProductos[Nombre producto],TablaProductos[Agrupación]=ProductosPivot!PYJ5)</f>
        <v>#VALUE!</v>
      </c>
      <c r="PYK6" s="68" t="e" cm="1" vm="1">
        <f t="array" ref="PYK6">_xlfn._xlws.FILTER(TablaProductos[Nombre producto],TablaProductos[Agrupación]=ProductosPivot!PYK5)</f>
        <v>#VALUE!</v>
      </c>
      <c r="PYL6" s="68" t="e" cm="1" vm="1">
        <f t="array" ref="PYL6">_xlfn._xlws.FILTER(TablaProductos[Nombre producto],TablaProductos[Agrupación]=ProductosPivot!PYL5)</f>
        <v>#VALUE!</v>
      </c>
      <c r="PYM6" s="68" t="e" cm="1" vm="1">
        <f t="array" ref="PYM6">_xlfn._xlws.FILTER(TablaProductos[Nombre producto],TablaProductos[Agrupación]=ProductosPivot!PYM5)</f>
        <v>#VALUE!</v>
      </c>
      <c r="PYN6" s="68" t="e" cm="1" vm="1">
        <f t="array" ref="PYN6">_xlfn._xlws.FILTER(TablaProductos[Nombre producto],TablaProductos[Agrupación]=ProductosPivot!PYN5)</f>
        <v>#VALUE!</v>
      </c>
      <c r="PYO6" s="68" t="e" cm="1" vm="1">
        <f t="array" ref="PYO6">_xlfn._xlws.FILTER(TablaProductos[Nombre producto],TablaProductos[Agrupación]=ProductosPivot!PYO5)</f>
        <v>#VALUE!</v>
      </c>
      <c r="PYP6" s="68" t="e" cm="1" vm="1">
        <f t="array" ref="PYP6">_xlfn._xlws.FILTER(TablaProductos[Nombre producto],TablaProductos[Agrupación]=ProductosPivot!PYP5)</f>
        <v>#VALUE!</v>
      </c>
      <c r="PYQ6" s="68" t="e" cm="1" vm="1">
        <f t="array" ref="PYQ6">_xlfn._xlws.FILTER(TablaProductos[Nombre producto],TablaProductos[Agrupación]=ProductosPivot!PYQ5)</f>
        <v>#VALUE!</v>
      </c>
      <c r="PYR6" s="68" t="e" cm="1" vm="1">
        <f t="array" ref="PYR6">_xlfn._xlws.FILTER(TablaProductos[Nombre producto],TablaProductos[Agrupación]=ProductosPivot!PYR5)</f>
        <v>#VALUE!</v>
      </c>
      <c r="PYS6" s="68" t="e" cm="1" vm="1">
        <f t="array" ref="PYS6">_xlfn._xlws.FILTER(TablaProductos[Nombre producto],TablaProductos[Agrupación]=ProductosPivot!PYS5)</f>
        <v>#VALUE!</v>
      </c>
      <c r="PYT6" s="68" t="e" cm="1" vm="1">
        <f t="array" ref="PYT6">_xlfn._xlws.FILTER(TablaProductos[Nombre producto],TablaProductos[Agrupación]=ProductosPivot!PYT5)</f>
        <v>#VALUE!</v>
      </c>
      <c r="PYU6" s="68" t="e" cm="1" vm="1">
        <f t="array" ref="PYU6">_xlfn._xlws.FILTER(TablaProductos[Nombre producto],TablaProductos[Agrupación]=ProductosPivot!PYU5)</f>
        <v>#VALUE!</v>
      </c>
      <c r="PYV6" s="68" t="e" cm="1" vm="1">
        <f t="array" ref="PYV6">_xlfn._xlws.FILTER(TablaProductos[Nombre producto],TablaProductos[Agrupación]=ProductosPivot!PYV5)</f>
        <v>#VALUE!</v>
      </c>
      <c r="PYW6" s="68" t="e" cm="1" vm="1">
        <f t="array" ref="PYW6">_xlfn._xlws.FILTER(TablaProductos[Nombre producto],TablaProductos[Agrupación]=ProductosPivot!PYW5)</f>
        <v>#VALUE!</v>
      </c>
      <c r="PYX6" s="68" t="e" cm="1" vm="1">
        <f t="array" ref="PYX6">_xlfn._xlws.FILTER(TablaProductos[Nombre producto],TablaProductos[Agrupación]=ProductosPivot!PYX5)</f>
        <v>#VALUE!</v>
      </c>
      <c r="PYY6" s="68" t="e" cm="1" vm="1">
        <f t="array" ref="PYY6">_xlfn._xlws.FILTER(TablaProductos[Nombre producto],TablaProductos[Agrupación]=ProductosPivot!PYY5)</f>
        <v>#VALUE!</v>
      </c>
      <c r="PYZ6" s="68" t="e" cm="1" vm="1">
        <f t="array" ref="PYZ6">_xlfn._xlws.FILTER(TablaProductos[Nombre producto],TablaProductos[Agrupación]=ProductosPivot!PYZ5)</f>
        <v>#VALUE!</v>
      </c>
      <c r="PZA6" s="68" t="e" cm="1" vm="1">
        <f t="array" ref="PZA6">_xlfn._xlws.FILTER(TablaProductos[Nombre producto],TablaProductos[Agrupación]=ProductosPivot!PZA5)</f>
        <v>#VALUE!</v>
      </c>
      <c r="PZB6" s="68" t="e" cm="1" vm="1">
        <f t="array" ref="PZB6">_xlfn._xlws.FILTER(TablaProductos[Nombre producto],TablaProductos[Agrupación]=ProductosPivot!PZB5)</f>
        <v>#VALUE!</v>
      </c>
      <c r="PZC6" s="68" t="e" cm="1" vm="1">
        <f t="array" ref="PZC6">_xlfn._xlws.FILTER(TablaProductos[Nombre producto],TablaProductos[Agrupación]=ProductosPivot!PZC5)</f>
        <v>#VALUE!</v>
      </c>
      <c r="PZD6" s="68" t="e" cm="1" vm="1">
        <f t="array" ref="PZD6">_xlfn._xlws.FILTER(TablaProductos[Nombre producto],TablaProductos[Agrupación]=ProductosPivot!PZD5)</f>
        <v>#VALUE!</v>
      </c>
      <c r="PZE6" s="68" t="e" cm="1" vm="1">
        <f t="array" ref="PZE6">_xlfn._xlws.FILTER(TablaProductos[Nombre producto],TablaProductos[Agrupación]=ProductosPivot!PZE5)</f>
        <v>#VALUE!</v>
      </c>
      <c r="PZF6" s="68" t="e" cm="1" vm="1">
        <f t="array" ref="PZF6">_xlfn._xlws.FILTER(TablaProductos[Nombre producto],TablaProductos[Agrupación]=ProductosPivot!PZF5)</f>
        <v>#VALUE!</v>
      </c>
      <c r="PZG6" s="68" t="e" cm="1" vm="1">
        <f t="array" ref="PZG6">_xlfn._xlws.FILTER(TablaProductos[Nombre producto],TablaProductos[Agrupación]=ProductosPivot!PZG5)</f>
        <v>#VALUE!</v>
      </c>
      <c r="PZH6" s="68" t="e" cm="1" vm="1">
        <f t="array" ref="PZH6">_xlfn._xlws.FILTER(TablaProductos[Nombre producto],TablaProductos[Agrupación]=ProductosPivot!PZH5)</f>
        <v>#VALUE!</v>
      </c>
      <c r="PZI6" s="68" t="e" cm="1" vm="1">
        <f t="array" ref="PZI6">_xlfn._xlws.FILTER(TablaProductos[Nombre producto],TablaProductos[Agrupación]=ProductosPivot!PZI5)</f>
        <v>#VALUE!</v>
      </c>
      <c r="PZJ6" s="68" t="e" cm="1" vm="1">
        <f t="array" ref="PZJ6">_xlfn._xlws.FILTER(TablaProductos[Nombre producto],TablaProductos[Agrupación]=ProductosPivot!PZJ5)</f>
        <v>#VALUE!</v>
      </c>
      <c r="PZK6" s="68" t="e" cm="1" vm="1">
        <f t="array" ref="PZK6">_xlfn._xlws.FILTER(TablaProductos[Nombre producto],TablaProductos[Agrupación]=ProductosPivot!PZK5)</f>
        <v>#VALUE!</v>
      </c>
      <c r="PZL6" s="68" t="e" cm="1" vm="1">
        <f t="array" ref="PZL6">_xlfn._xlws.FILTER(TablaProductos[Nombre producto],TablaProductos[Agrupación]=ProductosPivot!PZL5)</f>
        <v>#VALUE!</v>
      </c>
      <c r="PZM6" s="68" t="e" cm="1" vm="1">
        <f t="array" ref="PZM6">_xlfn._xlws.FILTER(TablaProductos[Nombre producto],TablaProductos[Agrupación]=ProductosPivot!PZM5)</f>
        <v>#VALUE!</v>
      </c>
      <c r="PZN6" s="68" t="e" cm="1" vm="1">
        <f t="array" ref="PZN6">_xlfn._xlws.FILTER(TablaProductos[Nombre producto],TablaProductos[Agrupación]=ProductosPivot!PZN5)</f>
        <v>#VALUE!</v>
      </c>
      <c r="PZO6" s="68" t="e" cm="1" vm="1">
        <f t="array" ref="PZO6">_xlfn._xlws.FILTER(TablaProductos[Nombre producto],TablaProductos[Agrupación]=ProductosPivot!PZO5)</f>
        <v>#VALUE!</v>
      </c>
      <c r="PZP6" s="68" t="e" cm="1" vm="1">
        <f t="array" ref="PZP6">_xlfn._xlws.FILTER(TablaProductos[Nombre producto],TablaProductos[Agrupación]=ProductosPivot!PZP5)</f>
        <v>#VALUE!</v>
      </c>
      <c r="PZQ6" s="68" t="e" cm="1" vm="1">
        <f t="array" ref="PZQ6">_xlfn._xlws.FILTER(TablaProductos[Nombre producto],TablaProductos[Agrupación]=ProductosPivot!PZQ5)</f>
        <v>#VALUE!</v>
      </c>
      <c r="PZR6" s="68" t="e" cm="1" vm="1">
        <f t="array" ref="PZR6">_xlfn._xlws.FILTER(TablaProductos[Nombre producto],TablaProductos[Agrupación]=ProductosPivot!PZR5)</f>
        <v>#VALUE!</v>
      </c>
      <c r="PZS6" s="68" t="e" cm="1" vm="1">
        <f t="array" ref="PZS6">_xlfn._xlws.FILTER(TablaProductos[Nombre producto],TablaProductos[Agrupación]=ProductosPivot!PZS5)</f>
        <v>#VALUE!</v>
      </c>
      <c r="PZT6" s="68" t="e" cm="1" vm="1">
        <f t="array" ref="PZT6">_xlfn._xlws.FILTER(TablaProductos[Nombre producto],TablaProductos[Agrupación]=ProductosPivot!PZT5)</f>
        <v>#VALUE!</v>
      </c>
      <c r="PZU6" s="68" t="e" cm="1" vm="1">
        <f t="array" ref="PZU6">_xlfn._xlws.FILTER(TablaProductos[Nombre producto],TablaProductos[Agrupación]=ProductosPivot!PZU5)</f>
        <v>#VALUE!</v>
      </c>
      <c r="PZV6" s="68" t="e" cm="1" vm="1">
        <f t="array" ref="PZV6">_xlfn._xlws.FILTER(TablaProductos[Nombre producto],TablaProductos[Agrupación]=ProductosPivot!PZV5)</f>
        <v>#VALUE!</v>
      </c>
      <c r="PZW6" s="68" t="e" cm="1" vm="1">
        <f t="array" ref="PZW6">_xlfn._xlws.FILTER(TablaProductos[Nombre producto],TablaProductos[Agrupación]=ProductosPivot!PZW5)</f>
        <v>#VALUE!</v>
      </c>
      <c r="PZX6" s="68" t="e" cm="1" vm="1">
        <f t="array" ref="PZX6">_xlfn._xlws.FILTER(TablaProductos[Nombre producto],TablaProductos[Agrupación]=ProductosPivot!PZX5)</f>
        <v>#VALUE!</v>
      </c>
      <c r="PZY6" s="68" t="e" cm="1" vm="1">
        <f t="array" ref="PZY6">_xlfn._xlws.FILTER(TablaProductos[Nombre producto],TablaProductos[Agrupación]=ProductosPivot!PZY5)</f>
        <v>#VALUE!</v>
      </c>
      <c r="PZZ6" s="68" t="e" cm="1" vm="1">
        <f t="array" ref="PZZ6">_xlfn._xlws.FILTER(TablaProductos[Nombre producto],TablaProductos[Agrupación]=ProductosPivot!PZZ5)</f>
        <v>#VALUE!</v>
      </c>
      <c r="QAA6" s="68" t="e" cm="1" vm="1">
        <f t="array" ref="QAA6">_xlfn._xlws.FILTER(TablaProductos[Nombre producto],TablaProductos[Agrupación]=ProductosPivot!QAA5)</f>
        <v>#VALUE!</v>
      </c>
      <c r="QAB6" s="68" t="e" cm="1" vm="1">
        <f t="array" ref="QAB6">_xlfn._xlws.FILTER(TablaProductos[Nombre producto],TablaProductos[Agrupación]=ProductosPivot!QAB5)</f>
        <v>#VALUE!</v>
      </c>
      <c r="QAC6" s="68" t="e" cm="1" vm="1">
        <f t="array" ref="QAC6">_xlfn._xlws.FILTER(TablaProductos[Nombre producto],TablaProductos[Agrupación]=ProductosPivot!QAC5)</f>
        <v>#VALUE!</v>
      </c>
      <c r="QAD6" s="68" t="e" cm="1" vm="1">
        <f t="array" ref="QAD6">_xlfn._xlws.FILTER(TablaProductos[Nombre producto],TablaProductos[Agrupación]=ProductosPivot!QAD5)</f>
        <v>#VALUE!</v>
      </c>
      <c r="QAE6" s="68" t="e" cm="1" vm="1">
        <f t="array" ref="QAE6">_xlfn._xlws.FILTER(TablaProductos[Nombre producto],TablaProductos[Agrupación]=ProductosPivot!QAE5)</f>
        <v>#VALUE!</v>
      </c>
      <c r="QAF6" s="68" t="e" cm="1" vm="1">
        <f t="array" ref="QAF6">_xlfn._xlws.FILTER(TablaProductos[Nombre producto],TablaProductos[Agrupación]=ProductosPivot!QAF5)</f>
        <v>#VALUE!</v>
      </c>
      <c r="QAG6" s="68" t="e" cm="1" vm="1">
        <f t="array" ref="QAG6">_xlfn._xlws.FILTER(TablaProductos[Nombre producto],TablaProductos[Agrupación]=ProductosPivot!QAG5)</f>
        <v>#VALUE!</v>
      </c>
      <c r="QAH6" s="68" t="e" cm="1" vm="1">
        <f t="array" ref="QAH6">_xlfn._xlws.FILTER(TablaProductos[Nombre producto],TablaProductos[Agrupación]=ProductosPivot!QAH5)</f>
        <v>#VALUE!</v>
      </c>
      <c r="QAI6" s="68" t="e" cm="1" vm="1">
        <f t="array" ref="QAI6">_xlfn._xlws.FILTER(TablaProductos[Nombre producto],TablaProductos[Agrupación]=ProductosPivot!QAI5)</f>
        <v>#VALUE!</v>
      </c>
      <c r="QAJ6" s="68" t="e" cm="1" vm="1">
        <f t="array" ref="QAJ6">_xlfn._xlws.FILTER(TablaProductos[Nombre producto],TablaProductos[Agrupación]=ProductosPivot!QAJ5)</f>
        <v>#VALUE!</v>
      </c>
      <c r="QAK6" s="68" t="e" cm="1" vm="1">
        <f t="array" ref="QAK6">_xlfn._xlws.FILTER(TablaProductos[Nombre producto],TablaProductos[Agrupación]=ProductosPivot!QAK5)</f>
        <v>#VALUE!</v>
      </c>
      <c r="QAL6" s="68" t="e" cm="1" vm="1">
        <f t="array" ref="QAL6">_xlfn._xlws.FILTER(TablaProductos[Nombre producto],TablaProductos[Agrupación]=ProductosPivot!QAL5)</f>
        <v>#VALUE!</v>
      </c>
      <c r="QAM6" s="68" t="e" cm="1" vm="1">
        <f t="array" ref="QAM6">_xlfn._xlws.FILTER(TablaProductos[Nombre producto],TablaProductos[Agrupación]=ProductosPivot!QAM5)</f>
        <v>#VALUE!</v>
      </c>
      <c r="QAN6" s="68" t="e" cm="1" vm="1">
        <f t="array" ref="QAN6">_xlfn._xlws.FILTER(TablaProductos[Nombre producto],TablaProductos[Agrupación]=ProductosPivot!QAN5)</f>
        <v>#VALUE!</v>
      </c>
      <c r="QAO6" s="68" t="e" cm="1" vm="1">
        <f t="array" ref="QAO6">_xlfn._xlws.FILTER(TablaProductos[Nombre producto],TablaProductos[Agrupación]=ProductosPivot!QAO5)</f>
        <v>#VALUE!</v>
      </c>
      <c r="QAP6" s="68" t="e" cm="1" vm="1">
        <f t="array" ref="QAP6">_xlfn._xlws.FILTER(TablaProductos[Nombre producto],TablaProductos[Agrupación]=ProductosPivot!QAP5)</f>
        <v>#VALUE!</v>
      </c>
      <c r="QAQ6" s="68" t="e" cm="1" vm="1">
        <f t="array" ref="QAQ6">_xlfn._xlws.FILTER(TablaProductos[Nombre producto],TablaProductos[Agrupación]=ProductosPivot!QAQ5)</f>
        <v>#VALUE!</v>
      </c>
      <c r="QAR6" s="68" t="e" cm="1" vm="1">
        <f t="array" ref="QAR6">_xlfn._xlws.FILTER(TablaProductos[Nombre producto],TablaProductos[Agrupación]=ProductosPivot!QAR5)</f>
        <v>#VALUE!</v>
      </c>
      <c r="QAS6" s="68" t="e" cm="1" vm="1">
        <f t="array" ref="QAS6">_xlfn._xlws.FILTER(TablaProductos[Nombre producto],TablaProductos[Agrupación]=ProductosPivot!QAS5)</f>
        <v>#VALUE!</v>
      </c>
      <c r="QAT6" s="68" t="e" cm="1" vm="1">
        <f t="array" ref="QAT6">_xlfn._xlws.FILTER(TablaProductos[Nombre producto],TablaProductos[Agrupación]=ProductosPivot!QAT5)</f>
        <v>#VALUE!</v>
      </c>
      <c r="QAU6" s="68" t="e" cm="1" vm="1">
        <f t="array" ref="QAU6">_xlfn._xlws.FILTER(TablaProductos[Nombre producto],TablaProductos[Agrupación]=ProductosPivot!QAU5)</f>
        <v>#VALUE!</v>
      </c>
      <c r="QAV6" s="68" t="e" cm="1" vm="1">
        <f t="array" ref="QAV6">_xlfn._xlws.FILTER(TablaProductos[Nombre producto],TablaProductos[Agrupación]=ProductosPivot!QAV5)</f>
        <v>#VALUE!</v>
      </c>
      <c r="QAW6" s="68" t="e" cm="1" vm="1">
        <f t="array" ref="QAW6">_xlfn._xlws.FILTER(TablaProductos[Nombre producto],TablaProductos[Agrupación]=ProductosPivot!QAW5)</f>
        <v>#VALUE!</v>
      </c>
      <c r="QAX6" s="68" t="e" cm="1" vm="1">
        <f t="array" ref="QAX6">_xlfn._xlws.FILTER(TablaProductos[Nombre producto],TablaProductos[Agrupación]=ProductosPivot!QAX5)</f>
        <v>#VALUE!</v>
      </c>
      <c r="QAY6" s="68" t="e" cm="1" vm="1">
        <f t="array" ref="QAY6">_xlfn._xlws.FILTER(TablaProductos[Nombre producto],TablaProductos[Agrupación]=ProductosPivot!QAY5)</f>
        <v>#VALUE!</v>
      </c>
      <c r="QAZ6" s="68" t="e" cm="1" vm="1">
        <f t="array" ref="QAZ6">_xlfn._xlws.FILTER(TablaProductos[Nombre producto],TablaProductos[Agrupación]=ProductosPivot!QAZ5)</f>
        <v>#VALUE!</v>
      </c>
      <c r="QBA6" s="68" t="e" cm="1" vm="1">
        <f t="array" ref="QBA6">_xlfn._xlws.FILTER(TablaProductos[Nombre producto],TablaProductos[Agrupación]=ProductosPivot!QBA5)</f>
        <v>#VALUE!</v>
      </c>
      <c r="QBB6" s="68" t="e" cm="1" vm="1">
        <f t="array" ref="QBB6">_xlfn._xlws.FILTER(TablaProductos[Nombre producto],TablaProductos[Agrupación]=ProductosPivot!QBB5)</f>
        <v>#VALUE!</v>
      </c>
      <c r="QBC6" s="68" t="e" cm="1" vm="1">
        <f t="array" ref="QBC6">_xlfn._xlws.FILTER(TablaProductos[Nombre producto],TablaProductos[Agrupación]=ProductosPivot!QBC5)</f>
        <v>#VALUE!</v>
      </c>
      <c r="QBD6" s="68" t="e" cm="1" vm="1">
        <f t="array" ref="QBD6">_xlfn._xlws.FILTER(TablaProductos[Nombre producto],TablaProductos[Agrupación]=ProductosPivot!QBD5)</f>
        <v>#VALUE!</v>
      </c>
      <c r="QBE6" s="68" t="e" cm="1" vm="1">
        <f t="array" ref="QBE6">_xlfn._xlws.FILTER(TablaProductos[Nombre producto],TablaProductos[Agrupación]=ProductosPivot!QBE5)</f>
        <v>#VALUE!</v>
      </c>
      <c r="QBF6" s="68" t="e" cm="1" vm="1">
        <f t="array" ref="QBF6">_xlfn._xlws.FILTER(TablaProductos[Nombre producto],TablaProductos[Agrupación]=ProductosPivot!QBF5)</f>
        <v>#VALUE!</v>
      </c>
      <c r="QBG6" s="68" t="e" cm="1" vm="1">
        <f t="array" ref="QBG6">_xlfn._xlws.FILTER(TablaProductos[Nombre producto],TablaProductos[Agrupación]=ProductosPivot!QBG5)</f>
        <v>#VALUE!</v>
      </c>
      <c r="QBH6" s="68" t="e" cm="1" vm="1">
        <f t="array" ref="QBH6">_xlfn._xlws.FILTER(TablaProductos[Nombre producto],TablaProductos[Agrupación]=ProductosPivot!QBH5)</f>
        <v>#VALUE!</v>
      </c>
      <c r="QBI6" s="68" t="e" cm="1" vm="1">
        <f t="array" ref="QBI6">_xlfn._xlws.FILTER(TablaProductos[Nombre producto],TablaProductos[Agrupación]=ProductosPivot!QBI5)</f>
        <v>#VALUE!</v>
      </c>
      <c r="QBJ6" s="68" t="e" cm="1" vm="1">
        <f t="array" ref="QBJ6">_xlfn._xlws.FILTER(TablaProductos[Nombre producto],TablaProductos[Agrupación]=ProductosPivot!QBJ5)</f>
        <v>#VALUE!</v>
      </c>
      <c r="QBK6" s="68" t="e" cm="1" vm="1">
        <f t="array" ref="QBK6">_xlfn._xlws.FILTER(TablaProductos[Nombre producto],TablaProductos[Agrupación]=ProductosPivot!QBK5)</f>
        <v>#VALUE!</v>
      </c>
      <c r="QBL6" s="68" t="e" cm="1" vm="1">
        <f t="array" ref="QBL6">_xlfn._xlws.FILTER(TablaProductos[Nombre producto],TablaProductos[Agrupación]=ProductosPivot!QBL5)</f>
        <v>#VALUE!</v>
      </c>
      <c r="QBM6" s="68" t="e" cm="1" vm="1">
        <f t="array" ref="QBM6">_xlfn._xlws.FILTER(TablaProductos[Nombre producto],TablaProductos[Agrupación]=ProductosPivot!QBM5)</f>
        <v>#VALUE!</v>
      </c>
      <c r="QBN6" s="68" t="e" cm="1" vm="1">
        <f t="array" ref="QBN6">_xlfn._xlws.FILTER(TablaProductos[Nombre producto],TablaProductos[Agrupación]=ProductosPivot!QBN5)</f>
        <v>#VALUE!</v>
      </c>
      <c r="QBO6" s="68" t="e" cm="1" vm="1">
        <f t="array" ref="QBO6">_xlfn._xlws.FILTER(TablaProductos[Nombre producto],TablaProductos[Agrupación]=ProductosPivot!QBO5)</f>
        <v>#VALUE!</v>
      </c>
      <c r="QBP6" s="68" t="e" cm="1" vm="1">
        <f t="array" ref="QBP6">_xlfn._xlws.FILTER(TablaProductos[Nombre producto],TablaProductos[Agrupación]=ProductosPivot!QBP5)</f>
        <v>#VALUE!</v>
      </c>
      <c r="QBQ6" s="68" t="e" cm="1" vm="1">
        <f t="array" ref="QBQ6">_xlfn._xlws.FILTER(TablaProductos[Nombre producto],TablaProductos[Agrupación]=ProductosPivot!QBQ5)</f>
        <v>#VALUE!</v>
      </c>
      <c r="QBR6" s="68" t="e" cm="1" vm="1">
        <f t="array" ref="QBR6">_xlfn._xlws.FILTER(TablaProductos[Nombre producto],TablaProductos[Agrupación]=ProductosPivot!QBR5)</f>
        <v>#VALUE!</v>
      </c>
      <c r="QBS6" s="68" t="e" cm="1" vm="1">
        <f t="array" ref="QBS6">_xlfn._xlws.FILTER(TablaProductos[Nombre producto],TablaProductos[Agrupación]=ProductosPivot!QBS5)</f>
        <v>#VALUE!</v>
      </c>
      <c r="QBT6" s="68" t="e" cm="1" vm="1">
        <f t="array" ref="QBT6">_xlfn._xlws.FILTER(TablaProductos[Nombre producto],TablaProductos[Agrupación]=ProductosPivot!QBT5)</f>
        <v>#VALUE!</v>
      </c>
      <c r="QBU6" s="68" t="e" cm="1" vm="1">
        <f t="array" ref="QBU6">_xlfn._xlws.FILTER(TablaProductos[Nombre producto],TablaProductos[Agrupación]=ProductosPivot!QBU5)</f>
        <v>#VALUE!</v>
      </c>
      <c r="QBV6" s="68" t="e" cm="1" vm="1">
        <f t="array" ref="QBV6">_xlfn._xlws.FILTER(TablaProductos[Nombre producto],TablaProductos[Agrupación]=ProductosPivot!QBV5)</f>
        <v>#VALUE!</v>
      </c>
      <c r="QBW6" s="68" t="e" cm="1" vm="1">
        <f t="array" ref="QBW6">_xlfn._xlws.FILTER(TablaProductos[Nombre producto],TablaProductos[Agrupación]=ProductosPivot!QBW5)</f>
        <v>#VALUE!</v>
      </c>
      <c r="QBX6" s="68" t="e" cm="1" vm="1">
        <f t="array" ref="QBX6">_xlfn._xlws.FILTER(TablaProductos[Nombre producto],TablaProductos[Agrupación]=ProductosPivot!QBX5)</f>
        <v>#VALUE!</v>
      </c>
      <c r="QBY6" s="68" t="e" cm="1" vm="1">
        <f t="array" ref="QBY6">_xlfn._xlws.FILTER(TablaProductos[Nombre producto],TablaProductos[Agrupación]=ProductosPivot!QBY5)</f>
        <v>#VALUE!</v>
      </c>
      <c r="QBZ6" s="68" t="e" cm="1" vm="1">
        <f t="array" ref="QBZ6">_xlfn._xlws.FILTER(TablaProductos[Nombre producto],TablaProductos[Agrupación]=ProductosPivot!QBZ5)</f>
        <v>#VALUE!</v>
      </c>
      <c r="QCA6" s="68" t="e" cm="1" vm="1">
        <f t="array" ref="QCA6">_xlfn._xlws.FILTER(TablaProductos[Nombre producto],TablaProductos[Agrupación]=ProductosPivot!QCA5)</f>
        <v>#VALUE!</v>
      </c>
      <c r="QCB6" s="68" t="e" cm="1" vm="1">
        <f t="array" ref="QCB6">_xlfn._xlws.FILTER(TablaProductos[Nombre producto],TablaProductos[Agrupación]=ProductosPivot!QCB5)</f>
        <v>#VALUE!</v>
      </c>
      <c r="QCC6" s="68" t="e" cm="1" vm="1">
        <f t="array" ref="QCC6">_xlfn._xlws.FILTER(TablaProductos[Nombre producto],TablaProductos[Agrupación]=ProductosPivot!QCC5)</f>
        <v>#VALUE!</v>
      </c>
      <c r="QCD6" s="68" t="e" cm="1" vm="1">
        <f t="array" ref="QCD6">_xlfn._xlws.FILTER(TablaProductos[Nombre producto],TablaProductos[Agrupación]=ProductosPivot!QCD5)</f>
        <v>#VALUE!</v>
      </c>
      <c r="QCE6" s="68" t="e" cm="1" vm="1">
        <f t="array" ref="QCE6">_xlfn._xlws.FILTER(TablaProductos[Nombre producto],TablaProductos[Agrupación]=ProductosPivot!QCE5)</f>
        <v>#VALUE!</v>
      </c>
      <c r="QCF6" s="68" t="e" cm="1" vm="1">
        <f t="array" ref="QCF6">_xlfn._xlws.FILTER(TablaProductos[Nombre producto],TablaProductos[Agrupación]=ProductosPivot!QCF5)</f>
        <v>#VALUE!</v>
      </c>
      <c r="QCG6" s="68" t="e" cm="1" vm="1">
        <f t="array" ref="QCG6">_xlfn._xlws.FILTER(TablaProductos[Nombre producto],TablaProductos[Agrupación]=ProductosPivot!QCG5)</f>
        <v>#VALUE!</v>
      </c>
      <c r="QCH6" s="68" t="e" cm="1" vm="1">
        <f t="array" ref="QCH6">_xlfn._xlws.FILTER(TablaProductos[Nombre producto],TablaProductos[Agrupación]=ProductosPivot!QCH5)</f>
        <v>#VALUE!</v>
      </c>
      <c r="QCI6" s="68" t="e" cm="1" vm="1">
        <f t="array" ref="QCI6">_xlfn._xlws.FILTER(TablaProductos[Nombre producto],TablaProductos[Agrupación]=ProductosPivot!QCI5)</f>
        <v>#VALUE!</v>
      </c>
      <c r="QCJ6" s="68" t="e" cm="1" vm="1">
        <f t="array" ref="QCJ6">_xlfn._xlws.FILTER(TablaProductos[Nombre producto],TablaProductos[Agrupación]=ProductosPivot!QCJ5)</f>
        <v>#VALUE!</v>
      </c>
      <c r="QCK6" s="68" t="e" cm="1" vm="1">
        <f t="array" ref="QCK6">_xlfn._xlws.FILTER(TablaProductos[Nombre producto],TablaProductos[Agrupación]=ProductosPivot!QCK5)</f>
        <v>#VALUE!</v>
      </c>
      <c r="QCL6" s="68" t="e" cm="1" vm="1">
        <f t="array" ref="QCL6">_xlfn._xlws.FILTER(TablaProductos[Nombre producto],TablaProductos[Agrupación]=ProductosPivot!QCL5)</f>
        <v>#VALUE!</v>
      </c>
      <c r="QCM6" s="68" t="e" cm="1" vm="1">
        <f t="array" ref="QCM6">_xlfn._xlws.FILTER(TablaProductos[Nombre producto],TablaProductos[Agrupación]=ProductosPivot!QCM5)</f>
        <v>#VALUE!</v>
      </c>
      <c r="QCN6" s="68" t="e" cm="1" vm="1">
        <f t="array" ref="QCN6">_xlfn._xlws.FILTER(TablaProductos[Nombre producto],TablaProductos[Agrupación]=ProductosPivot!QCN5)</f>
        <v>#VALUE!</v>
      </c>
      <c r="QCO6" s="68" t="e" cm="1" vm="1">
        <f t="array" ref="QCO6">_xlfn._xlws.FILTER(TablaProductos[Nombre producto],TablaProductos[Agrupación]=ProductosPivot!QCO5)</f>
        <v>#VALUE!</v>
      </c>
      <c r="QCP6" s="68" t="e" cm="1" vm="1">
        <f t="array" ref="QCP6">_xlfn._xlws.FILTER(TablaProductos[Nombre producto],TablaProductos[Agrupación]=ProductosPivot!QCP5)</f>
        <v>#VALUE!</v>
      </c>
      <c r="QCQ6" s="68" t="e" cm="1" vm="1">
        <f t="array" ref="QCQ6">_xlfn._xlws.FILTER(TablaProductos[Nombre producto],TablaProductos[Agrupación]=ProductosPivot!QCQ5)</f>
        <v>#VALUE!</v>
      </c>
      <c r="QCR6" s="68" t="e" cm="1" vm="1">
        <f t="array" ref="QCR6">_xlfn._xlws.FILTER(TablaProductos[Nombre producto],TablaProductos[Agrupación]=ProductosPivot!QCR5)</f>
        <v>#VALUE!</v>
      </c>
      <c r="QCS6" s="68" t="e" cm="1" vm="1">
        <f t="array" ref="QCS6">_xlfn._xlws.FILTER(TablaProductos[Nombre producto],TablaProductos[Agrupación]=ProductosPivot!QCS5)</f>
        <v>#VALUE!</v>
      </c>
      <c r="QCT6" s="68" t="e" cm="1" vm="1">
        <f t="array" ref="QCT6">_xlfn._xlws.FILTER(TablaProductos[Nombre producto],TablaProductos[Agrupación]=ProductosPivot!QCT5)</f>
        <v>#VALUE!</v>
      </c>
      <c r="QCU6" s="68" t="e" cm="1" vm="1">
        <f t="array" ref="QCU6">_xlfn._xlws.FILTER(TablaProductos[Nombre producto],TablaProductos[Agrupación]=ProductosPivot!QCU5)</f>
        <v>#VALUE!</v>
      </c>
      <c r="QCV6" s="68" t="e" cm="1" vm="1">
        <f t="array" ref="QCV6">_xlfn._xlws.FILTER(TablaProductos[Nombre producto],TablaProductos[Agrupación]=ProductosPivot!QCV5)</f>
        <v>#VALUE!</v>
      </c>
      <c r="QCW6" s="68" t="e" cm="1" vm="1">
        <f t="array" ref="QCW6">_xlfn._xlws.FILTER(TablaProductos[Nombre producto],TablaProductos[Agrupación]=ProductosPivot!QCW5)</f>
        <v>#VALUE!</v>
      </c>
      <c r="QCX6" s="68" t="e" cm="1" vm="1">
        <f t="array" ref="QCX6">_xlfn._xlws.FILTER(TablaProductos[Nombre producto],TablaProductos[Agrupación]=ProductosPivot!QCX5)</f>
        <v>#VALUE!</v>
      </c>
      <c r="QCY6" s="68" t="e" cm="1" vm="1">
        <f t="array" ref="QCY6">_xlfn._xlws.FILTER(TablaProductos[Nombre producto],TablaProductos[Agrupación]=ProductosPivot!QCY5)</f>
        <v>#VALUE!</v>
      </c>
      <c r="QCZ6" s="68" t="e" cm="1" vm="1">
        <f t="array" ref="QCZ6">_xlfn._xlws.FILTER(TablaProductos[Nombre producto],TablaProductos[Agrupación]=ProductosPivot!QCZ5)</f>
        <v>#VALUE!</v>
      </c>
      <c r="QDA6" s="68" t="e" cm="1" vm="1">
        <f t="array" ref="QDA6">_xlfn._xlws.FILTER(TablaProductos[Nombre producto],TablaProductos[Agrupación]=ProductosPivot!QDA5)</f>
        <v>#VALUE!</v>
      </c>
      <c r="QDB6" s="68" t="e" cm="1" vm="1">
        <f t="array" ref="QDB6">_xlfn._xlws.FILTER(TablaProductos[Nombre producto],TablaProductos[Agrupación]=ProductosPivot!QDB5)</f>
        <v>#VALUE!</v>
      </c>
      <c r="QDC6" s="68" t="e" cm="1" vm="1">
        <f t="array" ref="QDC6">_xlfn._xlws.FILTER(TablaProductos[Nombre producto],TablaProductos[Agrupación]=ProductosPivot!QDC5)</f>
        <v>#VALUE!</v>
      </c>
      <c r="QDD6" s="68" t="e" cm="1" vm="1">
        <f t="array" ref="QDD6">_xlfn._xlws.FILTER(TablaProductos[Nombre producto],TablaProductos[Agrupación]=ProductosPivot!QDD5)</f>
        <v>#VALUE!</v>
      </c>
      <c r="QDE6" s="68" t="e" cm="1" vm="1">
        <f t="array" ref="QDE6">_xlfn._xlws.FILTER(TablaProductos[Nombre producto],TablaProductos[Agrupación]=ProductosPivot!QDE5)</f>
        <v>#VALUE!</v>
      </c>
      <c r="QDF6" s="68" t="e" cm="1" vm="1">
        <f t="array" ref="QDF6">_xlfn._xlws.FILTER(TablaProductos[Nombre producto],TablaProductos[Agrupación]=ProductosPivot!QDF5)</f>
        <v>#VALUE!</v>
      </c>
      <c r="QDG6" s="68" t="e" cm="1" vm="1">
        <f t="array" ref="QDG6">_xlfn._xlws.FILTER(TablaProductos[Nombre producto],TablaProductos[Agrupación]=ProductosPivot!QDG5)</f>
        <v>#VALUE!</v>
      </c>
      <c r="QDH6" s="68" t="e" cm="1" vm="1">
        <f t="array" ref="QDH6">_xlfn._xlws.FILTER(TablaProductos[Nombre producto],TablaProductos[Agrupación]=ProductosPivot!QDH5)</f>
        <v>#VALUE!</v>
      </c>
      <c r="QDI6" s="68" t="e" cm="1" vm="1">
        <f t="array" ref="QDI6">_xlfn._xlws.FILTER(TablaProductos[Nombre producto],TablaProductos[Agrupación]=ProductosPivot!QDI5)</f>
        <v>#VALUE!</v>
      </c>
      <c r="QDJ6" s="68" t="e" cm="1" vm="1">
        <f t="array" ref="QDJ6">_xlfn._xlws.FILTER(TablaProductos[Nombre producto],TablaProductos[Agrupación]=ProductosPivot!QDJ5)</f>
        <v>#VALUE!</v>
      </c>
      <c r="QDK6" s="68" t="e" cm="1" vm="1">
        <f t="array" ref="QDK6">_xlfn._xlws.FILTER(TablaProductos[Nombre producto],TablaProductos[Agrupación]=ProductosPivot!QDK5)</f>
        <v>#VALUE!</v>
      </c>
      <c r="QDL6" s="68" t="e" cm="1" vm="1">
        <f t="array" ref="QDL6">_xlfn._xlws.FILTER(TablaProductos[Nombre producto],TablaProductos[Agrupación]=ProductosPivot!QDL5)</f>
        <v>#VALUE!</v>
      </c>
      <c r="QDM6" s="68" t="e" cm="1" vm="1">
        <f t="array" ref="QDM6">_xlfn._xlws.FILTER(TablaProductos[Nombre producto],TablaProductos[Agrupación]=ProductosPivot!QDM5)</f>
        <v>#VALUE!</v>
      </c>
      <c r="QDN6" s="68" t="e" cm="1" vm="1">
        <f t="array" ref="QDN6">_xlfn._xlws.FILTER(TablaProductos[Nombre producto],TablaProductos[Agrupación]=ProductosPivot!QDN5)</f>
        <v>#VALUE!</v>
      </c>
      <c r="QDO6" s="68" t="e" cm="1" vm="1">
        <f t="array" ref="QDO6">_xlfn._xlws.FILTER(TablaProductos[Nombre producto],TablaProductos[Agrupación]=ProductosPivot!QDO5)</f>
        <v>#VALUE!</v>
      </c>
      <c r="QDP6" s="68" t="e" cm="1" vm="1">
        <f t="array" ref="QDP6">_xlfn._xlws.FILTER(TablaProductos[Nombre producto],TablaProductos[Agrupación]=ProductosPivot!QDP5)</f>
        <v>#VALUE!</v>
      </c>
      <c r="QDQ6" s="68" t="e" cm="1" vm="1">
        <f t="array" ref="QDQ6">_xlfn._xlws.FILTER(TablaProductos[Nombre producto],TablaProductos[Agrupación]=ProductosPivot!QDQ5)</f>
        <v>#VALUE!</v>
      </c>
      <c r="QDR6" s="68" t="e" cm="1" vm="1">
        <f t="array" ref="QDR6">_xlfn._xlws.FILTER(TablaProductos[Nombre producto],TablaProductos[Agrupación]=ProductosPivot!QDR5)</f>
        <v>#VALUE!</v>
      </c>
      <c r="QDS6" s="68" t="e" cm="1" vm="1">
        <f t="array" ref="QDS6">_xlfn._xlws.FILTER(TablaProductos[Nombre producto],TablaProductos[Agrupación]=ProductosPivot!QDS5)</f>
        <v>#VALUE!</v>
      </c>
      <c r="QDT6" s="68" t="e" cm="1" vm="1">
        <f t="array" ref="QDT6">_xlfn._xlws.FILTER(TablaProductos[Nombre producto],TablaProductos[Agrupación]=ProductosPivot!QDT5)</f>
        <v>#VALUE!</v>
      </c>
      <c r="QDU6" s="68" t="e" cm="1" vm="1">
        <f t="array" ref="QDU6">_xlfn._xlws.FILTER(TablaProductos[Nombre producto],TablaProductos[Agrupación]=ProductosPivot!QDU5)</f>
        <v>#VALUE!</v>
      </c>
      <c r="QDV6" s="68" t="e" cm="1" vm="1">
        <f t="array" ref="QDV6">_xlfn._xlws.FILTER(TablaProductos[Nombre producto],TablaProductos[Agrupación]=ProductosPivot!QDV5)</f>
        <v>#VALUE!</v>
      </c>
      <c r="QDW6" s="68" t="e" cm="1" vm="1">
        <f t="array" ref="QDW6">_xlfn._xlws.FILTER(TablaProductos[Nombre producto],TablaProductos[Agrupación]=ProductosPivot!QDW5)</f>
        <v>#VALUE!</v>
      </c>
      <c r="QDX6" s="68" t="e" cm="1" vm="1">
        <f t="array" ref="QDX6">_xlfn._xlws.FILTER(TablaProductos[Nombre producto],TablaProductos[Agrupación]=ProductosPivot!QDX5)</f>
        <v>#VALUE!</v>
      </c>
      <c r="QDY6" s="68" t="e" cm="1" vm="1">
        <f t="array" ref="QDY6">_xlfn._xlws.FILTER(TablaProductos[Nombre producto],TablaProductos[Agrupación]=ProductosPivot!QDY5)</f>
        <v>#VALUE!</v>
      </c>
      <c r="QDZ6" s="68" t="e" cm="1" vm="1">
        <f t="array" ref="QDZ6">_xlfn._xlws.FILTER(TablaProductos[Nombre producto],TablaProductos[Agrupación]=ProductosPivot!QDZ5)</f>
        <v>#VALUE!</v>
      </c>
      <c r="QEA6" s="68" t="e" cm="1" vm="1">
        <f t="array" ref="QEA6">_xlfn._xlws.FILTER(TablaProductos[Nombre producto],TablaProductos[Agrupación]=ProductosPivot!QEA5)</f>
        <v>#VALUE!</v>
      </c>
      <c r="QEB6" s="68" t="e" cm="1" vm="1">
        <f t="array" ref="QEB6">_xlfn._xlws.FILTER(TablaProductos[Nombre producto],TablaProductos[Agrupación]=ProductosPivot!QEB5)</f>
        <v>#VALUE!</v>
      </c>
      <c r="QEC6" s="68" t="e" cm="1" vm="1">
        <f t="array" ref="QEC6">_xlfn._xlws.FILTER(TablaProductos[Nombre producto],TablaProductos[Agrupación]=ProductosPivot!QEC5)</f>
        <v>#VALUE!</v>
      </c>
      <c r="QED6" s="68" t="e" cm="1" vm="1">
        <f t="array" ref="QED6">_xlfn._xlws.FILTER(TablaProductos[Nombre producto],TablaProductos[Agrupación]=ProductosPivot!QED5)</f>
        <v>#VALUE!</v>
      </c>
      <c r="QEE6" s="68" t="e" cm="1" vm="1">
        <f t="array" ref="QEE6">_xlfn._xlws.FILTER(TablaProductos[Nombre producto],TablaProductos[Agrupación]=ProductosPivot!QEE5)</f>
        <v>#VALUE!</v>
      </c>
      <c r="QEF6" s="68" t="e" cm="1" vm="1">
        <f t="array" ref="QEF6">_xlfn._xlws.FILTER(TablaProductos[Nombre producto],TablaProductos[Agrupación]=ProductosPivot!QEF5)</f>
        <v>#VALUE!</v>
      </c>
      <c r="QEG6" s="68" t="e" cm="1" vm="1">
        <f t="array" ref="QEG6">_xlfn._xlws.FILTER(TablaProductos[Nombre producto],TablaProductos[Agrupación]=ProductosPivot!QEG5)</f>
        <v>#VALUE!</v>
      </c>
      <c r="QEH6" s="68" t="e" cm="1" vm="1">
        <f t="array" ref="QEH6">_xlfn._xlws.FILTER(TablaProductos[Nombre producto],TablaProductos[Agrupación]=ProductosPivot!QEH5)</f>
        <v>#VALUE!</v>
      </c>
      <c r="QEI6" s="68" t="e" cm="1" vm="1">
        <f t="array" ref="QEI6">_xlfn._xlws.FILTER(TablaProductos[Nombre producto],TablaProductos[Agrupación]=ProductosPivot!QEI5)</f>
        <v>#VALUE!</v>
      </c>
      <c r="QEJ6" s="68" t="e" cm="1" vm="1">
        <f t="array" ref="QEJ6">_xlfn._xlws.FILTER(TablaProductos[Nombre producto],TablaProductos[Agrupación]=ProductosPivot!QEJ5)</f>
        <v>#VALUE!</v>
      </c>
      <c r="QEK6" s="68" t="e" cm="1" vm="1">
        <f t="array" ref="QEK6">_xlfn._xlws.FILTER(TablaProductos[Nombre producto],TablaProductos[Agrupación]=ProductosPivot!QEK5)</f>
        <v>#VALUE!</v>
      </c>
      <c r="QEL6" s="68" t="e" cm="1" vm="1">
        <f t="array" ref="QEL6">_xlfn._xlws.FILTER(TablaProductos[Nombre producto],TablaProductos[Agrupación]=ProductosPivot!QEL5)</f>
        <v>#VALUE!</v>
      </c>
      <c r="QEM6" s="68" t="e" cm="1" vm="1">
        <f t="array" ref="QEM6">_xlfn._xlws.FILTER(TablaProductos[Nombre producto],TablaProductos[Agrupación]=ProductosPivot!QEM5)</f>
        <v>#VALUE!</v>
      </c>
      <c r="QEN6" s="68" t="e" cm="1" vm="1">
        <f t="array" ref="QEN6">_xlfn._xlws.FILTER(TablaProductos[Nombre producto],TablaProductos[Agrupación]=ProductosPivot!QEN5)</f>
        <v>#VALUE!</v>
      </c>
      <c r="QEO6" s="68" t="e" cm="1" vm="1">
        <f t="array" ref="QEO6">_xlfn._xlws.FILTER(TablaProductos[Nombre producto],TablaProductos[Agrupación]=ProductosPivot!QEO5)</f>
        <v>#VALUE!</v>
      </c>
      <c r="QEP6" s="68" t="e" cm="1" vm="1">
        <f t="array" ref="QEP6">_xlfn._xlws.FILTER(TablaProductos[Nombre producto],TablaProductos[Agrupación]=ProductosPivot!QEP5)</f>
        <v>#VALUE!</v>
      </c>
      <c r="QEQ6" s="68" t="e" cm="1" vm="1">
        <f t="array" ref="QEQ6">_xlfn._xlws.FILTER(TablaProductos[Nombre producto],TablaProductos[Agrupación]=ProductosPivot!QEQ5)</f>
        <v>#VALUE!</v>
      </c>
      <c r="QER6" s="68" t="e" cm="1" vm="1">
        <f t="array" ref="QER6">_xlfn._xlws.FILTER(TablaProductos[Nombre producto],TablaProductos[Agrupación]=ProductosPivot!QER5)</f>
        <v>#VALUE!</v>
      </c>
      <c r="QES6" s="68" t="e" cm="1" vm="1">
        <f t="array" ref="QES6">_xlfn._xlws.FILTER(TablaProductos[Nombre producto],TablaProductos[Agrupación]=ProductosPivot!QES5)</f>
        <v>#VALUE!</v>
      </c>
      <c r="QET6" s="68" t="e" cm="1" vm="1">
        <f t="array" ref="QET6">_xlfn._xlws.FILTER(TablaProductos[Nombre producto],TablaProductos[Agrupación]=ProductosPivot!QET5)</f>
        <v>#VALUE!</v>
      </c>
      <c r="QEU6" s="68" t="e" cm="1" vm="1">
        <f t="array" ref="QEU6">_xlfn._xlws.FILTER(TablaProductos[Nombre producto],TablaProductos[Agrupación]=ProductosPivot!QEU5)</f>
        <v>#VALUE!</v>
      </c>
      <c r="QEV6" s="68" t="e" cm="1" vm="1">
        <f t="array" ref="QEV6">_xlfn._xlws.FILTER(TablaProductos[Nombre producto],TablaProductos[Agrupación]=ProductosPivot!QEV5)</f>
        <v>#VALUE!</v>
      </c>
      <c r="QEW6" s="68" t="e" cm="1" vm="1">
        <f t="array" ref="QEW6">_xlfn._xlws.FILTER(TablaProductos[Nombre producto],TablaProductos[Agrupación]=ProductosPivot!QEW5)</f>
        <v>#VALUE!</v>
      </c>
      <c r="QEX6" s="68" t="e" cm="1" vm="1">
        <f t="array" ref="QEX6">_xlfn._xlws.FILTER(TablaProductos[Nombre producto],TablaProductos[Agrupación]=ProductosPivot!QEX5)</f>
        <v>#VALUE!</v>
      </c>
      <c r="QEY6" s="68" t="e" cm="1" vm="1">
        <f t="array" ref="QEY6">_xlfn._xlws.FILTER(TablaProductos[Nombre producto],TablaProductos[Agrupación]=ProductosPivot!QEY5)</f>
        <v>#VALUE!</v>
      </c>
      <c r="QEZ6" s="68" t="e" cm="1" vm="1">
        <f t="array" ref="QEZ6">_xlfn._xlws.FILTER(TablaProductos[Nombre producto],TablaProductos[Agrupación]=ProductosPivot!QEZ5)</f>
        <v>#VALUE!</v>
      </c>
      <c r="QFA6" s="68" t="e" cm="1" vm="1">
        <f t="array" ref="QFA6">_xlfn._xlws.FILTER(TablaProductos[Nombre producto],TablaProductos[Agrupación]=ProductosPivot!QFA5)</f>
        <v>#VALUE!</v>
      </c>
      <c r="QFB6" s="68" t="e" cm="1" vm="1">
        <f t="array" ref="QFB6">_xlfn._xlws.FILTER(TablaProductos[Nombre producto],TablaProductos[Agrupación]=ProductosPivot!QFB5)</f>
        <v>#VALUE!</v>
      </c>
      <c r="QFC6" s="68" t="e" cm="1" vm="1">
        <f t="array" ref="QFC6">_xlfn._xlws.FILTER(TablaProductos[Nombre producto],TablaProductos[Agrupación]=ProductosPivot!QFC5)</f>
        <v>#VALUE!</v>
      </c>
      <c r="QFD6" s="68" t="e" cm="1" vm="1">
        <f t="array" ref="QFD6">_xlfn._xlws.FILTER(TablaProductos[Nombre producto],TablaProductos[Agrupación]=ProductosPivot!QFD5)</f>
        <v>#VALUE!</v>
      </c>
      <c r="QFE6" s="68" t="e" cm="1" vm="1">
        <f t="array" ref="QFE6">_xlfn._xlws.FILTER(TablaProductos[Nombre producto],TablaProductos[Agrupación]=ProductosPivot!QFE5)</f>
        <v>#VALUE!</v>
      </c>
      <c r="QFF6" s="68" t="e" cm="1" vm="1">
        <f t="array" ref="QFF6">_xlfn._xlws.FILTER(TablaProductos[Nombre producto],TablaProductos[Agrupación]=ProductosPivot!QFF5)</f>
        <v>#VALUE!</v>
      </c>
      <c r="QFG6" s="68" t="e" cm="1" vm="1">
        <f t="array" ref="QFG6">_xlfn._xlws.FILTER(TablaProductos[Nombre producto],TablaProductos[Agrupación]=ProductosPivot!QFG5)</f>
        <v>#VALUE!</v>
      </c>
      <c r="QFH6" s="68" t="e" cm="1" vm="1">
        <f t="array" ref="QFH6">_xlfn._xlws.FILTER(TablaProductos[Nombre producto],TablaProductos[Agrupación]=ProductosPivot!QFH5)</f>
        <v>#VALUE!</v>
      </c>
      <c r="QFI6" s="68" t="e" cm="1" vm="1">
        <f t="array" ref="QFI6">_xlfn._xlws.FILTER(TablaProductos[Nombre producto],TablaProductos[Agrupación]=ProductosPivot!QFI5)</f>
        <v>#VALUE!</v>
      </c>
      <c r="QFJ6" s="68" t="e" cm="1" vm="1">
        <f t="array" ref="QFJ6">_xlfn._xlws.FILTER(TablaProductos[Nombre producto],TablaProductos[Agrupación]=ProductosPivot!QFJ5)</f>
        <v>#VALUE!</v>
      </c>
      <c r="QFK6" s="68" t="e" cm="1" vm="1">
        <f t="array" ref="QFK6">_xlfn._xlws.FILTER(TablaProductos[Nombre producto],TablaProductos[Agrupación]=ProductosPivot!QFK5)</f>
        <v>#VALUE!</v>
      </c>
      <c r="QFL6" s="68" t="e" cm="1" vm="1">
        <f t="array" ref="QFL6">_xlfn._xlws.FILTER(TablaProductos[Nombre producto],TablaProductos[Agrupación]=ProductosPivot!QFL5)</f>
        <v>#VALUE!</v>
      </c>
      <c r="QFM6" s="68" t="e" cm="1" vm="1">
        <f t="array" ref="QFM6">_xlfn._xlws.FILTER(TablaProductos[Nombre producto],TablaProductos[Agrupación]=ProductosPivot!QFM5)</f>
        <v>#VALUE!</v>
      </c>
      <c r="QFN6" s="68" t="e" cm="1" vm="1">
        <f t="array" ref="QFN6">_xlfn._xlws.FILTER(TablaProductos[Nombre producto],TablaProductos[Agrupación]=ProductosPivot!QFN5)</f>
        <v>#VALUE!</v>
      </c>
      <c r="QFO6" s="68" t="e" cm="1" vm="1">
        <f t="array" ref="QFO6">_xlfn._xlws.FILTER(TablaProductos[Nombre producto],TablaProductos[Agrupación]=ProductosPivot!QFO5)</f>
        <v>#VALUE!</v>
      </c>
      <c r="QFP6" s="68" t="e" cm="1" vm="1">
        <f t="array" ref="QFP6">_xlfn._xlws.FILTER(TablaProductos[Nombre producto],TablaProductos[Agrupación]=ProductosPivot!QFP5)</f>
        <v>#VALUE!</v>
      </c>
      <c r="QFQ6" s="68" t="e" cm="1" vm="1">
        <f t="array" ref="QFQ6">_xlfn._xlws.FILTER(TablaProductos[Nombre producto],TablaProductos[Agrupación]=ProductosPivot!QFQ5)</f>
        <v>#VALUE!</v>
      </c>
      <c r="QFR6" s="68" t="e" cm="1" vm="1">
        <f t="array" ref="QFR6">_xlfn._xlws.FILTER(TablaProductos[Nombre producto],TablaProductos[Agrupación]=ProductosPivot!QFR5)</f>
        <v>#VALUE!</v>
      </c>
      <c r="QFS6" s="68" t="e" cm="1" vm="1">
        <f t="array" ref="QFS6">_xlfn._xlws.FILTER(TablaProductos[Nombre producto],TablaProductos[Agrupación]=ProductosPivot!QFS5)</f>
        <v>#VALUE!</v>
      </c>
      <c r="QFT6" s="68" t="e" cm="1" vm="1">
        <f t="array" ref="QFT6">_xlfn._xlws.FILTER(TablaProductos[Nombre producto],TablaProductos[Agrupación]=ProductosPivot!QFT5)</f>
        <v>#VALUE!</v>
      </c>
      <c r="QFU6" s="68" t="e" cm="1" vm="1">
        <f t="array" ref="QFU6">_xlfn._xlws.FILTER(TablaProductos[Nombre producto],TablaProductos[Agrupación]=ProductosPivot!QFU5)</f>
        <v>#VALUE!</v>
      </c>
      <c r="QFV6" s="68" t="e" cm="1" vm="1">
        <f t="array" ref="QFV6">_xlfn._xlws.FILTER(TablaProductos[Nombre producto],TablaProductos[Agrupación]=ProductosPivot!QFV5)</f>
        <v>#VALUE!</v>
      </c>
      <c r="QFW6" s="68" t="e" cm="1" vm="1">
        <f t="array" ref="QFW6">_xlfn._xlws.FILTER(TablaProductos[Nombre producto],TablaProductos[Agrupación]=ProductosPivot!QFW5)</f>
        <v>#VALUE!</v>
      </c>
      <c r="QFX6" s="68" t="e" cm="1" vm="1">
        <f t="array" ref="QFX6">_xlfn._xlws.FILTER(TablaProductos[Nombre producto],TablaProductos[Agrupación]=ProductosPivot!QFX5)</f>
        <v>#VALUE!</v>
      </c>
      <c r="QFY6" s="68" t="e" cm="1" vm="1">
        <f t="array" ref="QFY6">_xlfn._xlws.FILTER(TablaProductos[Nombre producto],TablaProductos[Agrupación]=ProductosPivot!QFY5)</f>
        <v>#VALUE!</v>
      </c>
      <c r="QFZ6" s="68" t="e" cm="1" vm="1">
        <f t="array" ref="QFZ6">_xlfn._xlws.FILTER(TablaProductos[Nombre producto],TablaProductos[Agrupación]=ProductosPivot!QFZ5)</f>
        <v>#VALUE!</v>
      </c>
      <c r="QGA6" s="68" t="e" cm="1" vm="1">
        <f t="array" ref="QGA6">_xlfn._xlws.FILTER(TablaProductos[Nombre producto],TablaProductos[Agrupación]=ProductosPivot!QGA5)</f>
        <v>#VALUE!</v>
      </c>
      <c r="QGB6" s="68" t="e" cm="1" vm="1">
        <f t="array" ref="QGB6">_xlfn._xlws.FILTER(TablaProductos[Nombre producto],TablaProductos[Agrupación]=ProductosPivot!QGB5)</f>
        <v>#VALUE!</v>
      </c>
      <c r="QGC6" s="68" t="e" cm="1" vm="1">
        <f t="array" ref="QGC6">_xlfn._xlws.FILTER(TablaProductos[Nombre producto],TablaProductos[Agrupación]=ProductosPivot!QGC5)</f>
        <v>#VALUE!</v>
      </c>
      <c r="QGD6" s="68" t="e" cm="1" vm="1">
        <f t="array" ref="QGD6">_xlfn._xlws.FILTER(TablaProductos[Nombre producto],TablaProductos[Agrupación]=ProductosPivot!QGD5)</f>
        <v>#VALUE!</v>
      </c>
      <c r="QGE6" s="68" t="e" cm="1" vm="1">
        <f t="array" ref="QGE6">_xlfn._xlws.FILTER(TablaProductos[Nombre producto],TablaProductos[Agrupación]=ProductosPivot!QGE5)</f>
        <v>#VALUE!</v>
      </c>
      <c r="QGF6" s="68" t="e" cm="1" vm="1">
        <f t="array" ref="QGF6">_xlfn._xlws.FILTER(TablaProductos[Nombre producto],TablaProductos[Agrupación]=ProductosPivot!QGF5)</f>
        <v>#VALUE!</v>
      </c>
      <c r="QGG6" s="68" t="e" cm="1" vm="1">
        <f t="array" ref="QGG6">_xlfn._xlws.FILTER(TablaProductos[Nombre producto],TablaProductos[Agrupación]=ProductosPivot!QGG5)</f>
        <v>#VALUE!</v>
      </c>
      <c r="QGH6" s="68" t="e" cm="1" vm="1">
        <f t="array" ref="QGH6">_xlfn._xlws.FILTER(TablaProductos[Nombre producto],TablaProductos[Agrupación]=ProductosPivot!QGH5)</f>
        <v>#VALUE!</v>
      </c>
      <c r="QGI6" s="68" t="e" cm="1" vm="1">
        <f t="array" ref="QGI6">_xlfn._xlws.FILTER(TablaProductos[Nombre producto],TablaProductos[Agrupación]=ProductosPivot!QGI5)</f>
        <v>#VALUE!</v>
      </c>
      <c r="QGJ6" s="68" t="e" cm="1" vm="1">
        <f t="array" ref="QGJ6">_xlfn._xlws.FILTER(TablaProductos[Nombre producto],TablaProductos[Agrupación]=ProductosPivot!QGJ5)</f>
        <v>#VALUE!</v>
      </c>
      <c r="QGK6" s="68" t="e" cm="1" vm="1">
        <f t="array" ref="QGK6">_xlfn._xlws.FILTER(TablaProductos[Nombre producto],TablaProductos[Agrupación]=ProductosPivot!QGK5)</f>
        <v>#VALUE!</v>
      </c>
      <c r="QGL6" s="68" t="e" cm="1" vm="1">
        <f t="array" ref="QGL6">_xlfn._xlws.FILTER(TablaProductos[Nombre producto],TablaProductos[Agrupación]=ProductosPivot!QGL5)</f>
        <v>#VALUE!</v>
      </c>
      <c r="QGM6" s="68" t="e" cm="1" vm="1">
        <f t="array" ref="QGM6">_xlfn._xlws.FILTER(TablaProductos[Nombre producto],TablaProductos[Agrupación]=ProductosPivot!QGM5)</f>
        <v>#VALUE!</v>
      </c>
      <c r="QGN6" s="68" t="e" cm="1" vm="1">
        <f t="array" ref="QGN6">_xlfn._xlws.FILTER(TablaProductos[Nombre producto],TablaProductos[Agrupación]=ProductosPivot!QGN5)</f>
        <v>#VALUE!</v>
      </c>
      <c r="QGO6" s="68" t="e" cm="1" vm="1">
        <f t="array" ref="QGO6">_xlfn._xlws.FILTER(TablaProductos[Nombre producto],TablaProductos[Agrupación]=ProductosPivot!QGO5)</f>
        <v>#VALUE!</v>
      </c>
      <c r="QGP6" s="68" t="e" cm="1" vm="1">
        <f t="array" ref="QGP6">_xlfn._xlws.FILTER(TablaProductos[Nombre producto],TablaProductos[Agrupación]=ProductosPivot!QGP5)</f>
        <v>#VALUE!</v>
      </c>
      <c r="QGQ6" s="68" t="e" cm="1" vm="1">
        <f t="array" ref="QGQ6">_xlfn._xlws.FILTER(TablaProductos[Nombre producto],TablaProductos[Agrupación]=ProductosPivot!QGQ5)</f>
        <v>#VALUE!</v>
      </c>
      <c r="QGR6" s="68" t="e" cm="1" vm="1">
        <f t="array" ref="QGR6">_xlfn._xlws.FILTER(TablaProductos[Nombre producto],TablaProductos[Agrupación]=ProductosPivot!QGR5)</f>
        <v>#VALUE!</v>
      </c>
      <c r="QGS6" s="68" t="e" cm="1" vm="1">
        <f t="array" ref="QGS6">_xlfn._xlws.FILTER(TablaProductos[Nombre producto],TablaProductos[Agrupación]=ProductosPivot!QGS5)</f>
        <v>#VALUE!</v>
      </c>
      <c r="QGT6" s="68" t="e" cm="1" vm="1">
        <f t="array" ref="QGT6">_xlfn._xlws.FILTER(TablaProductos[Nombre producto],TablaProductos[Agrupación]=ProductosPivot!QGT5)</f>
        <v>#VALUE!</v>
      </c>
      <c r="QGU6" s="68" t="e" cm="1" vm="1">
        <f t="array" ref="QGU6">_xlfn._xlws.FILTER(TablaProductos[Nombre producto],TablaProductos[Agrupación]=ProductosPivot!QGU5)</f>
        <v>#VALUE!</v>
      </c>
      <c r="QGV6" s="68" t="e" cm="1" vm="1">
        <f t="array" ref="QGV6">_xlfn._xlws.FILTER(TablaProductos[Nombre producto],TablaProductos[Agrupación]=ProductosPivot!QGV5)</f>
        <v>#VALUE!</v>
      </c>
      <c r="QGW6" s="68" t="e" cm="1" vm="1">
        <f t="array" ref="QGW6">_xlfn._xlws.FILTER(TablaProductos[Nombre producto],TablaProductos[Agrupación]=ProductosPivot!QGW5)</f>
        <v>#VALUE!</v>
      </c>
      <c r="QGX6" s="68" t="e" cm="1" vm="1">
        <f t="array" ref="QGX6">_xlfn._xlws.FILTER(TablaProductos[Nombre producto],TablaProductos[Agrupación]=ProductosPivot!QGX5)</f>
        <v>#VALUE!</v>
      </c>
      <c r="QGY6" s="68" t="e" cm="1" vm="1">
        <f t="array" ref="QGY6">_xlfn._xlws.FILTER(TablaProductos[Nombre producto],TablaProductos[Agrupación]=ProductosPivot!QGY5)</f>
        <v>#VALUE!</v>
      </c>
      <c r="QGZ6" s="68" t="e" cm="1" vm="1">
        <f t="array" ref="QGZ6">_xlfn._xlws.FILTER(TablaProductos[Nombre producto],TablaProductos[Agrupación]=ProductosPivot!QGZ5)</f>
        <v>#VALUE!</v>
      </c>
      <c r="QHA6" s="68" t="e" cm="1" vm="1">
        <f t="array" ref="QHA6">_xlfn._xlws.FILTER(TablaProductos[Nombre producto],TablaProductos[Agrupación]=ProductosPivot!QHA5)</f>
        <v>#VALUE!</v>
      </c>
      <c r="QHB6" s="68" t="e" cm="1" vm="1">
        <f t="array" ref="QHB6">_xlfn._xlws.FILTER(TablaProductos[Nombre producto],TablaProductos[Agrupación]=ProductosPivot!QHB5)</f>
        <v>#VALUE!</v>
      </c>
      <c r="QHC6" s="68" t="e" cm="1" vm="1">
        <f t="array" ref="QHC6">_xlfn._xlws.FILTER(TablaProductos[Nombre producto],TablaProductos[Agrupación]=ProductosPivot!QHC5)</f>
        <v>#VALUE!</v>
      </c>
      <c r="QHD6" s="68" t="e" cm="1" vm="1">
        <f t="array" ref="QHD6">_xlfn._xlws.FILTER(TablaProductos[Nombre producto],TablaProductos[Agrupación]=ProductosPivot!QHD5)</f>
        <v>#VALUE!</v>
      </c>
      <c r="QHE6" s="68" t="e" cm="1" vm="1">
        <f t="array" ref="QHE6">_xlfn._xlws.FILTER(TablaProductos[Nombre producto],TablaProductos[Agrupación]=ProductosPivot!QHE5)</f>
        <v>#VALUE!</v>
      </c>
      <c r="QHF6" s="68" t="e" cm="1" vm="1">
        <f t="array" ref="QHF6">_xlfn._xlws.FILTER(TablaProductos[Nombre producto],TablaProductos[Agrupación]=ProductosPivot!QHF5)</f>
        <v>#VALUE!</v>
      </c>
      <c r="QHG6" s="68" t="e" cm="1" vm="1">
        <f t="array" ref="QHG6">_xlfn._xlws.FILTER(TablaProductos[Nombre producto],TablaProductos[Agrupación]=ProductosPivot!QHG5)</f>
        <v>#VALUE!</v>
      </c>
      <c r="QHH6" s="68" t="e" cm="1" vm="1">
        <f t="array" ref="QHH6">_xlfn._xlws.FILTER(TablaProductos[Nombre producto],TablaProductos[Agrupación]=ProductosPivot!QHH5)</f>
        <v>#VALUE!</v>
      </c>
      <c r="QHI6" s="68" t="e" cm="1" vm="1">
        <f t="array" ref="QHI6">_xlfn._xlws.FILTER(TablaProductos[Nombre producto],TablaProductos[Agrupación]=ProductosPivot!QHI5)</f>
        <v>#VALUE!</v>
      </c>
      <c r="QHJ6" s="68" t="e" cm="1" vm="1">
        <f t="array" ref="QHJ6">_xlfn._xlws.FILTER(TablaProductos[Nombre producto],TablaProductos[Agrupación]=ProductosPivot!QHJ5)</f>
        <v>#VALUE!</v>
      </c>
      <c r="QHK6" s="68" t="e" cm="1" vm="1">
        <f t="array" ref="QHK6">_xlfn._xlws.FILTER(TablaProductos[Nombre producto],TablaProductos[Agrupación]=ProductosPivot!QHK5)</f>
        <v>#VALUE!</v>
      </c>
      <c r="QHL6" s="68" t="e" cm="1" vm="1">
        <f t="array" ref="QHL6">_xlfn._xlws.FILTER(TablaProductos[Nombre producto],TablaProductos[Agrupación]=ProductosPivot!QHL5)</f>
        <v>#VALUE!</v>
      </c>
      <c r="QHM6" s="68" t="e" cm="1" vm="1">
        <f t="array" ref="QHM6">_xlfn._xlws.FILTER(TablaProductos[Nombre producto],TablaProductos[Agrupación]=ProductosPivot!QHM5)</f>
        <v>#VALUE!</v>
      </c>
      <c r="QHN6" s="68" t="e" cm="1" vm="1">
        <f t="array" ref="QHN6">_xlfn._xlws.FILTER(TablaProductos[Nombre producto],TablaProductos[Agrupación]=ProductosPivot!QHN5)</f>
        <v>#VALUE!</v>
      </c>
      <c r="QHO6" s="68" t="e" cm="1" vm="1">
        <f t="array" ref="QHO6">_xlfn._xlws.FILTER(TablaProductos[Nombre producto],TablaProductos[Agrupación]=ProductosPivot!QHO5)</f>
        <v>#VALUE!</v>
      </c>
      <c r="QHP6" s="68" t="e" cm="1" vm="1">
        <f t="array" ref="QHP6">_xlfn._xlws.FILTER(TablaProductos[Nombre producto],TablaProductos[Agrupación]=ProductosPivot!QHP5)</f>
        <v>#VALUE!</v>
      </c>
      <c r="QHQ6" s="68" t="e" cm="1" vm="1">
        <f t="array" ref="QHQ6">_xlfn._xlws.FILTER(TablaProductos[Nombre producto],TablaProductos[Agrupación]=ProductosPivot!QHQ5)</f>
        <v>#VALUE!</v>
      </c>
      <c r="QHR6" s="68" t="e" cm="1" vm="1">
        <f t="array" ref="QHR6">_xlfn._xlws.FILTER(TablaProductos[Nombre producto],TablaProductos[Agrupación]=ProductosPivot!QHR5)</f>
        <v>#VALUE!</v>
      </c>
      <c r="QHS6" s="68" t="e" cm="1" vm="1">
        <f t="array" ref="QHS6">_xlfn._xlws.FILTER(TablaProductos[Nombre producto],TablaProductos[Agrupación]=ProductosPivot!QHS5)</f>
        <v>#VALUE!</v>
      </c>
      <c r="QHT6" s="68" t="e" cm="1" vm="1">
        <f t="array" ref="QHT6">_xlfn._xlws.FILTER(TablaProductos[Nombre producto],TablaProductos[Agrupación]=ProductosPivot!QHT5)</f>
        <v>#VALUE!</v>
      </c>
      <c r="QHU6" s="68" t="e" cm="1" vm="1">
        <f t="array" ref="QHU6">_xlfn._xlws.FILTER(TablaProductos[Nombre producto],TablaProductos[Agrupación]=ProductosPivot!QHU5)</f>
        <v>#VALUE!</v>
      </c>
      <c r="QHV6" s="68" t="e" cm="1" vm="1">
        <f t="array" ref="QHV6">_xlfn._xlws.FILTER(TablaProductos[Nombre producto],TablaProductos[Agrupación]=ProductosPivot!QHV5)</f>
        <v>#VALUE!</v>
      </c>
      <c r="QHW6" s="68" t="e" cm="1" vm="1">
        <f t="array" ref="QHW6">_xlfn._xlws.FILTER(TablaProductos[Nombre producto],TablaProductos[Agrupación]=ProductosPivot!QHW5)</f>
        <v>#VALUE!</v>
      </c>
      <c r="QHX6" s="68" t="e" cm="1" vm="1">
        <f t="array" ref="QHX6">_xlfn._xlws.FILTER(TablaProductos[Nombre producto],TablaProductos[Agrupación]=ProductosPivot!QHX5)</f>
        <v>#VALUE!</v>
      </c>
      <c r="QHY6" s="68" t="e" cm="1" vm="1">
        <f t="array" ref="QHY6">_xlfn._xlws.FILTER(TablaProductos[Nombre producto],TablaProductos[Agrupación]=ProductosPivot!QHY5)</f>
        <v>#VALUE!</v>
      </c>
      <c r="QHZ6" s="68" t="e" cm="1" vm="1">
        <f t="array" ref="QHZ6">_xlfn._xlws.FILTER(TablaProductos[Nombre producto],TablaProductos[Agrupación]=ProductosPivot!QHZ5)</f>
        <v>#VALUE!</v>
      </c>
      <c r="QIA6" s="68" t="e" cm="1" vm="1">
        <f t="array" ref="QIA6">_xlfn._xlws.FILTER(TablaProductos[Nombre producto],TablaProductos[Agrupación]=ProductosPivot!QIA5)</f>
        <v>#VALUE!</v>
      </c>
      <c r="QIB6" s="68" t="e" cm="1" vm="1">
        <f t="array" ref="QIB6">_xlfn._xlws.FILTER(TablaProductos[Nombre producto],TablaProductos[Agrupación]=ProductosPivot!QIB5)</f>
        <v>#VALUE!</v>
      </c>
      <c r="QIC6" s="68" t="e" cm="1" vm="1">
        <f t="array" ref="QIC6">_xlfn._xlws.FILTER(TablaProductos[Nombre producto],TablaProductos[Agrupación]=ProductosPivot!QIC5)</f>
        <v>#VALUE!</v>
      </c>
      <c r="QID6" s="68" t="e" cm="1" vm="1">
        <f t="array" ref="QID6">_xlfn._xlws.FILTER(TablaProductos[Nombre producto],TablaProductos[Agrupación]=ProductosPivot!QID5)</f>
        <v>#VALUE!</v>
      </c>
      <c r="QIE6" s="68" t="e" cm="1" vm="1">
        <f t="array" ref="QIE6">_xlfn._xlws.FILTER(TablaProductos[Nombre producto],TablaProductos[Agrupación]=ProductosPivot!QIE5)</f>
        <v>#VALUE!</v>
      </c>
      <c r="QIF6" s="68" t="e" cm="1" vm="1">
        <f t="array" ref="QIF6">_xlfn._xlws.FILTER(TablaProductos[Nombre producto],TablaProductos[Agrupación]=ProductosPivot!QIF5)</f>
        <v>#VALUE!</v>
      </c>
      <c r="QIG6" s="68" t="e" cm="1" vm="1">
        <f t="array" ref="QIG6">_xlfn._xlws.FILTER(TablaProductos[Nombre producto],TablaProductos[Agrupación]=ProductosPivot!QIG5)</f>
        <v>#VALUE!</v>
      </c>
      <c r="QIH6" s="68" t="e" cm="1" vm="1">
        <f t="array" ref="QIH6">_xlfn._xlws.FILTER(TablaProductos[Nombre producto],TablaProductos[Agrupación]=ProductosPivot!QIH5)</f>
        <v>#VALUE!</v>
      </c>
      <c r="QII6" s="68" t="e" cm="1" vm="1">
        <f t="array" ref="QII6">_xlfn._xlws.FILTER(TablaProductos[Nombre producto],TablaProductos[Agrupación]=ProductosPivot!QII5)</f>
        <v>#VALUE!</v>
      </c>
      <c r="QIJ6" s="68" t="e" cm="1" vm="1">
        <f t="array" ref="QIJ6">_xlfn._xlws.FILTER(TablaProductos[Nombre producto],TablaProductos[Agrupación]=ProductosPivot!QIJ5)</f>
        <v>#VALUE!</v>
      </c>
      <c r="QIK6" s="68" t="e" cm="1" vm="1">
        <f t="array" ref="QIK6">_xlfn._xlws.FILTER(TablaProductos[Nombre producto],TablaProductos[Agrupación]=ProductosPivot!QIK5)</f>
        <v>#VALUE!</v>
      </c>
      <c r="QIL6" s="68" t="e" cm="1" vm="1">
        <f t="array" ref="QIL6">_xlfn._xlws.FILTER(TablaProductos[Nombre producto],TablaProductos[Agrupación]=ProductosPivot!QIL5)</f>
        <v>#VALUE!</v>
      </c>
      <c r="QIM6" s="68" t="e" cm="1" vm="1">
        <f t="array" ref="QIM6">_xlfn._xlws.FILTER(TablaProductos[Nombre producto],TablaProductos[Agrupación]=ProductosPivot!QIM5)</f>
        <v>#VALUE!</v>
      </c>
      <c r="QIN6" s="68" t="e" cm="1" vm="1">
        <f t="array" ref="QIN6">_xlfn._xlws.FILTER(TablaProductos[Nombre producto],TablaProductos[Agrupación]=ProductosPivot!QIN5)</f>
        <v>#VALUE!</v>
      </c>
      <c r="QIO6" s="68" t="e" cm="1" vm="1">
        <f t="array" ref="QIO6">_xlfn._xlws.FILTER(TablaProductos[Nombre producto],TablaProductos[Agrupación]=ProductosPivot!QIO5)</f>
        <v>#VALUE!</v>
      </c>
      <c r="QIP6" s="68" t="e" cm="1" vm="1">
        <f t="array" ref="QIP6">_xlfn._xlws.FILTER(TablaProductos[Nombre producto],TablaProductos[Agrupación]=ProductosPivot!QIP5)</f>
        <v>#VALUE!</v>
      </c>
      <c r="QIQ6" s="68" t="e" cm="1" vm="1">
        <f t="array" ref="QIQ6">_xlfn._xlws.FILTER(TablaProductos[Nombre producto],TablaProductos[Agrupación]=ProductosPivot!QIQ5)</f>
        <v>#VALUE!</v>
      </c>
      <c r="QIR6" s="68" t="e" cm="1" vm="1">
        <f t="array" ref="QIR6">_xlfn._xlws.FILTER(TablaProductos[Nombre producto],TablaProductos[Agrupación]=ProductosPivot!QIR5)</f>
        <v>#VALUE!</v>
      </c>
      <c r="QIS6" s="68" t="e" cm="1" vm="1">
        <f t="array" ref="QIS6">_xlfn._xlws.FILTER(TablaProductos[Nombre producto],TablaProductos[Agrupación]=ProductosPivot!QIS5)</f>
        <v>#VALUE!</v>
      </c>
      <c r="QIT6" s="68" t="e" cm="1" vm="1">
        <f t="array" ref="QIT6">_xlfn._xlws.FILTER(TablaProductos[Nombre producto],TablaProductos[Agrupación]=ProductosPivot!QIT5)</f>
        <v>#VALUE!</v>
      </c>
      <c r="QIU6" s="68" t="e" cm="1" vm="1">
        <f t="array" ref="QIU6">_xlfn._xlws.FILTER(TablaProductos[Nombre producto],TablaProductos[Agrupación]=ProductosPivot!QIU5)</f>
        <v>#VALUE!</v>
      </c>
      <c r="QIV6" s="68" t="e" cm="1" vm="1">
        <f t="array" ref="QIV6">_xlfn._xlws.FILTER(TablaProductos[Nombre producto],TablaProductos[Agrupación]=ProductosPivot!QIV5)</f>
        <v>#VALUE!</v>
      </c>
      <c r="QIW6" s="68" t="e" cm="1" vm="1">
        <f t="array" ref="QIW6">_xlfn._xlws.FILTER(TablaProductos[Nombre producto],TablaProductos[Agrupación]=ProductosPivot!QIW5)</f>
        <v>#VALUE!</v>
      </c>
      <c r="QIX6" s="68" t="e" cm="1" vm="1">
        <f t="array" ref="QIX6">_xlfn._xlws.FILTER(TablaProductos[Nombre producto],TablaProductos[Agrupación]=ProductosPivot!QIX5)</f>
        <v>#VALUE!</v>
      </c>
      <c r="QIY6" s="68" t="e" cm="1" vm="1">
        <f t="array" ref="QIY6">_xlfn._xlws.FILTER(TablaProductos[Nombre producto],TablaProductos[Agrupación]=ProductosPivot!QIY5)</f>
        <v>#VALUE!</v>
      </c>
      <c r="QIZ6" s="68" t="e" cm="1" vm="1">
        <f t="array" ref="QIZ6">_xlfn._xlws.FILTER(TablaProductos[Nombre producto],TablaProductos[Agrupación]=ProductosPivot!QIZ5)</f>
        <v>#VALUE!</v>
      </c>
      <c r="QJA6" s="68" t="e" cm="1" vm="1">
        <f t="array" ref="QJA6">_xlfn._xlws.FILTER(TablaProductos[Nombre producto],TablaProductos[Agrupación]=ProductosPivot!QJA5)</f>
        <v>#VALUE!</v>
      </c>
      <c r="QJB6" s="68" t="e" cm="1" vm="1">
        <f t="array" ref="QJB6">_xlfn._xlws.FILTER(TablaProductos[Nombre producto],TablaProductos[Agrupación]=ProductosPivot!QJB5)</f>
        <v>#VALUE!</v>
      </c>
      <c r="QJC6" s="68" t="e" cm="1" vm="1">
        <f t="array" ref="QJC6">_xlfn._xlws.FILTER(TablaProductos[Nombre producto],TablaProductos[Agrupación]=ProductosPivot!QJC5)</f>
        <v>#VALUE!</v>
      </c>
      <c r="QJD6" s="68" t="e" cm="1" vm="1">
        <f t="array" ref="QJD6">_xlfn._xlws.FILTER(TablaProductos[Nombre producto],TablaProductos[Agrupación]=ProductosPivot!QJD5)</f>
        <v>#VALUE!</v>
      </c>
      <c r="QJE6" s="68" t="e" cm="1" vm="1">
        <f t="array" ref="QJE6">_xlfn._xlws.FILTER(TablaProductos[Nombre producto],TablaProductos[Agrupación]=ProductosPivot!QJE5)</f>
        <v>#VALUE!</v>
      </c>
      <c r="QJF6" s="68" t="e" cm="1" vm="1">
        <f t="array" ref="QJF6">_xlfn._xlws.FILTER(TablaProductos[Nombre producto],TablaProductos[Agrupación]=ProductosPivot!QJF5)</f>
        <v>#VALUE!</v>
      </c>
      <c r="QJG6" s="68" t="e" cm="1" vm="1">
        <f t="array" ref="QJG6">_xlfn._xlws.FILTER(TablaProductos[Nombre producto],TablaProductos[Agrupación]=ProductosPivot!QJG5)</f>
        <v>#VALUE!</v>
      </c>
      <c r="QJH6" s="68" t="e" cm="1" vm="1">
        <f t="array" ref="QJH6">_xlfn._xlws.FILTER(TablaProductos[Nombre producto],TablaProductos[Agrupación]=ProductosPivot!QJH5)</f>
        <v>#VALUE!</v>
      </c>
      <c r="QJI6" s="68" t="e" cm="1" vm="1">
        <f t="array" ref="QJI6">_xlfn._xlws.FILTER(TablaProductos[Nombre producto],TablaProductos[Agrupación]=ProductosPivot!QJI5)</f>
        <v>#VALUE!</v>
      </c>
      <c r="QJJ6" s="68" t="e" cm="1" vm="1">
        <f t="array" ref="QJJ6">_xlfn._xlws.FILTER(TablaProductos[Nombre producto],TablaProductos[Agrupación]=ProductosPivot!QJJ5)</f>
        <v>#VALUE!</v>
      </c>
      <c r="QJK6" s="68" t="e" cm="1" vm="1">
        <f t="array" ref="QJK6">_xlfn._xlws.FILTER(TablaProductos[Nombre producto],TablaProductos[Agrupación]=ProductosPivot!QJK5)</f>
        <v>#VALUE!</v>
      </c>
      <c r="QJL6" s="68" t="e" cm="1" vm="1">
        <f t="array" ref="QJL6">_xlfn._xlws.FILTER(TablaProductos[Nombre producto],TablaProductos[Agrupación]=ProductosPivot!QJL5)</f>
        <v>#VALUE!</v>
      </c>
      <c r="QJM6" s="68" t="e" cm="1" vm="1">
        <f t="array" ref="QJM6">_xlfn._xlws.FILTER(TablaProductos[Nombre producto],TablaProductos[Agrupación]=ProductosPivot!QJM5)</f>
        <v>#VALUE!</v>
      </c>
      <c r="QJN6" s="68" t="e" cm="1" vm="1">
        <f t="array" ref="QJN6">_xlfn._xlws.FILTER(TablaProductos[Nombre producto],TablaProductos[Agrupación]=ProductosPivot!QJN5)</f>
        <v>#VALUE!</v>
      </c>
      <c r="QJO6" s="68" t="e" cm="1" vm="1">
        <f t="array" ref="QJO6">_xlfn._xlws.FILTER(TablaProductos[Nombre producto],TablaProductos[Agrupación]=ProductosPivot!QJO5)</f>
        <v>#VALUE!</v>
      </c>
      <c r="QJP6" s="68" t="e" cm="1" vm="1">
        <f t="array" ref="QJP6">_xlfn._xlws.FILTER(TablaProductos[Nombre producto],TablaProductos[Agrupación]=ProductosPivot!QJP5)</f>
        <v>#VALUE!</v>
      </c>
      <c r="QJQ6" s="68" t="e" cm="1" vm="1">
        <f t="array" ref="QJQ6">_xlfn._xlws.FILTER(TablaProductos[Nombre producto],TablaProductos[Agrupación]=ProductosPivot!QJQ5)</f>
        <v>#VALUE!</v>
      </c>
      <c r="QJR6" s="68" t="e" cm="1" vm="1">
        <f t="array" ref="QJR6">_xlfn._xlws.FILTER(TablaProductos[Nombre producto],TablaProductos[Agrupación]=ProductosPivot!QJR5)</f>
        <v>#VALUE!</v>
      </c>
      <c r="QJS6" s="68" t="e" cm="1" vm="1">
        <f t="array" ref="QJS6">_xlfn._xlws.FILTER(TablaProductos[Nombre producto],TablaProductos[Agrupación]=ProductosPivot!QJS5)</f>
        <v>#VALUE!</v>
      </c>
      <c r="QJT6" s="68" t="e" cm="1" vm="1">
        <f t="array" ref="QJT6">_xlfn._xlws.FILTER(TablaProductos[Nombre producto],TablaProductos[Agrupación]=ProductosPivot!QJT5)</f>
        <v>#VALUE!</v>
      </c>
      <c r="QJU6" s="68" t="e" cm="1" vm="1">
        <f t="array" ref="QJU6">_xlfn._xlws.FILTER(TablaProductos[Nombre producto],TablaProductos[Agrupación]=ProductosPivot!QJU5)</f>
        <v>#VALUE!</v>
      </c>
      <c r="QJV6" s="68" t="e" cm="1" vm="1">
        <f t="array" ref="QJV6">_xlfn._xlws.FILTER(TablaProductos[Nombre producto],TablaProductos[Agrupación]=ProductosPivot!QJV5)</f>
        <v>#VALUE!</v>
      </c>
      <c r="QJW6" s="68" t="e" cm="1" vm="1">
        <f t="array" ref="QJW6">_xlfn._xlws.FILTER(TablaProductos[Nombre producto],TablaProductos[Agrupación]=ProductosPivot!QJW5)</f>
        <v>#VALUE!</v>
      </c>
      <c r="QJX6" s="68" t="e" cm="1" vm="1">
        <f t="array" ref="QJX6">_xlfn._xlws.FILTER(TablaProductos[Nombre producto],TablaProductos[Agrupación]=ProductosPivot!QJX5)</f>
        <v>#VALUE!</v>
      </c>
      <c r="QJY6" s="68" t="e" cm="1" vm="1">
        <f t="array" ref="QJY6">_xlfn._xlws.FILTER(TablaProductos[Nombre producto],TablaProductos[Agrupación]=ProductosPivot!QJY5)</f>
        <v>#VALUE!</v>
      </c>
      <c r="QJZ6" s="68" t="e" cm="1" vm="1">
        <f t="array" ref="QJZ6">_xlfn._xlws.FILTER(TablaProductos[Nombre producto],TablaProductos[Agrupación]=ProductosPivot!QJZ5)</f>
        <v>#VALUE!</v>
      </c>
      <c r="QKA6" s="68" t="e" cm="1" vm="1">
        <f t="array" ref="QKA6">_xlfn._xlws.FILTER(TablaProductos[Nombre producto],TablaProductos[Agrupación]=ProductosPivot!QKA5)</f>
        <v>#VALUE!</v>
      </c>
      <c r="QKB6" s="68" t="e" cm="1" vm="1">
        <f t="array" ref="QKB6">_xlfn._xlws.FILTER(TablaProductos[Nombre producto],TablaProductos[Agrupación]=ProductosPivot!QKB5)</f>
        <v>#VALUE!</v>
      </c>
      <c r="QKC6" s="68" t="e" cm="1" vm="1">
        <f t="array" ref="QKC6">_xlfn._xlws.FILTER(TablaProductos[Nombre producto],TablaProductos[Agrupación]=ProductosPivot!QKC5)</f>
        <v>#VALUE!</v>
      </c>
      <c r="QKD6" s="68" t="e" cm="1" vm="1">
        <f t="array" ref="QKD6">_xlfn._xlws.FILTER(TablaProductos[Nombre producto],TablaProductos[Agrupación]=ProductosPivot!QKD5)</f>
        <v>#VALUE!</v>
      </c>
      <c r="QKE6" s="68" t="e" cm="1" vm="1">
        <f t="array" ref="QKE6">_xlfn._xlws.FILTER(TablaProductos[Nombre producto],TablaProductos[Agrupación]=ProductosPivot!QKE5)</f>
        <v>#VALUE!</v>
      </c>
      <c r="QKF6" s="68" t="e" cm="1" vm="1">
        <f t="array" ref="QKF6">_xlfn._xlws.FILTER(TablaProductos[Nombre producto],TablaProductos[Agrupación]=ProductosPivot!QKF5)</f>
        <v>#VALUE!</v>
      </c>
      <c r="QKG6" s="68" t="e" cm="1" vm="1">
        <f t="array" ref="QKG6">_xlfn._xlws.FILTER(TablaProductos[Nombre producto],TablaProductos[Agrupación]=ProductosPivot!QKG5)</f>
        <v>#VALUE!</v>
      </c>
      <c r="QKH6" s="68" t="e" cm="1" vm="1">
        <f t="array" ref="QKH6">_xlfn._xlws.FILTER(TablaProductos[Nombre producto],TablaProductos[Agrupación]=ProductosPivot!QKH5)</f>
        <v>#VALUE!</v>
      </c>
      <c r="QKI6" s="68" t="e" cm="1" vm="1">
        <f t="array" ref="QKI6">_xlfn._xlws.FILTER(TablaProductos[Nombre producto],TablaProductos[Agrupación]=ProductosPivot!QKI5)</f>
        <v>#VALUE!</v>
      </c>
      <c r="QKJ6" s="68" t="e" cm="1" vm="1">
        <f t="array" ref="QKJ6">_xlfn._xlws.FILTER(TablaProductos[Nombre producto],TablaProductos[Agrupación]=ProductosPivot!QKJ5)</f>
        <v>#VALUE!</v>
      </c>
      <c r="QKK6" s="68" t="e" cm="1" vm="1">
        <f t="array" ref="QKK6">_xlfn._xlws.FILTER(TablaProductos[Nombre producto],TablaProductos[Agrupación]=ProductosPivot!QKK5)</f>
        <v>#VALUE!</v>
      </c>
      <c r="QKL6" s="68" t="e" cm="1" vm="1">
        <f t="array" ref="QKL6">_xlfn._xlws.FILTER(TablaProductos[Nombre producto],TablaProductos[Agrupación]=ProductosPivot!QKL5)</f>
        <v>#VALUE!</v>
      </c>
      <c r="QKM6" s="68" t="e" cm="1" vm="1">
        <f t="array" ref="QKM6">_xlfn._xlws.FILTER(TablaProductos[Nombre producto],TablaProductos[Agrupación]=ProductosPivot!QKM5)</f>
        <v>#VALUE!</v>
      </c>
      <c r="QKN6" s="68" t="e" cm="1" vm="1">
        <f t="array" ref="QKN6">_xlfn._xlws.FILTER(TablaProductos[Nombre producto],TablaProductos[Agrupación]=ProductosPivot!QKN5)</f>
        <v>#VALUE!</v>
      </c>
      <c r="QKO6" s="68" t="e" cm="1" vm="1">
        <f t="array" ref="QKO6">_xlfn._xlws.FILTER(TablaProductos[Nombre producto],TablaProductos[Agrupación]=ProductosPivot!QKO5)</f>
        <v>#VALUE!</v>
      </c>
      <c r="QKP6" s="68" t="e" cm="1" vm="1">
        <f t="array" ref="QKP6">_xlfn._xlws.FILTER(TablaProductos[Nombre producto],TablaProductos[Agrupación]=ProductosPivot!QKP5)</f>
        <v>#VALUE!</v>
      </c>
      <c r="QKQ6" s="68" t="e" cm="1" vm="1">
        <f t="array" ref="QKQ6">_xlfn._xlws.FILTER(TablaProductos[Nombre producto],TablaProductos[Agrupación]=ProductosPivot!QKQ5)</f>
        <v>#VALUE!</v>
      </c>
      <c r="QKR6" s="68" t="e" cm="1" vm="1">
        <f t="array" ref="QKR6">_xlfn._xlws.FILTER(TablaProductos[Nombre producto],TablaProductos[Agrupación]=ProductosPivot!QKR5)</f>
        <v>#VALUE!</v>
      </c>
      <c r="QKS6" s="68" t="e" cm="1" vm="1">
        <f t="array" ref="QKS6">_xlfn._xlws.FILTER(TablaProductos[Nombre producto],TablaProductos[Agrupación]=ProductosPivot!QKS5)</f>
        <v>#VALUE!</v>
      </c>
      <c r="QKT6" s="68" t="e" cm="1" vm="1">
        <f t="array" ref="QKT6">_xlfn._xlws.FILTER(TablaProductos[Nombre producto],TablaProductos[Agrupación]=ProductosPivot!QKT5)</f>
        <v>#VALUE!</v>
      </c>
      <c r="QKU6" s="68" t="e" cm="1" vm="1">
        <f t="array" ref="QKU6">_xlfn._xlws.FILTER(TablaProductos[Nombre producto],TablaProductos[Agrupación]=ProductosPivot!QKU5)</f>
        <v>#VALUE!</v>
      </c>
      <c r="QKV6" s="68" t="e" cm="1" vm="1">
        <f t="array" ref="QKV6">_xlfn._xlws.FILTER(TablaProductos[Nombre producto],TablaProductos[Agrupación]=ProductosPivot!QKV5)</f>
        <v>#VALUE!</v>
      </c>
      <c r="QKW6" s="68" t="e" cm="1" vm="1">
        <f t="array" ref="QKW6">_xlfn._xlws.FILTER(TablaProductos[Nombre producto],TablaProductos[Agrupación]=ProductosPivot!QKW5)</f>
        <v>#VALUE!</v>
      </c>
      <c r="QKX6" s="68" t="e" cm="1" vm="1">
        <f t="array" ref="QKX6">_xlfn._xlws.FILTER(TablaProductos[Nombre producto],TablaProductos[Agrupación]=ProductosPivot!QKX5)</f>
        <v>#VALUE!</v>
      </c>
      <c r="QKY6" s="68" t="e" cm="1" vm="1">
        <f t="array" ref="QKY6">_xlfn._xlws.FILTER(TablaProductos[Nombre producto],TablaProductos[Agrupación]=ProductosPivot!QKY5)</f>
        <v>#VALUE!</v>
      </c>
      <c r="QKZ6" s="68" t="e" cm="1" vm="1">
        <f t="array" ref="QKZ6">_xlfn._xlws.FILTER(TablaProductos[Nombre producto],TablaProductos[Agrupación]=ProductosPivot!QKZ5)</f>
        <v>#VALUE!</v>
      </c>
      <c r="QLA6" s="68" t="e" cm="1" vm="1">
        <f t="array" ref="QLA6">_xlfn._xlws.FILTER(TablaProductos[Nombre producto],TablaProductos[Agrupación]=ProductosPivot!QLA5)</f>
        <v>#VALUE!</v>
      </c>
      <c r="QLB6" s="68" t="e" cm="1" vm="1">
        <f t="array" ref="QLB6">_xlfn._xlws.FILTER(TablaProductos[Nombre producto],TablaProductos[Agrupación]=ProductosPivot!QLB5)</f>
        <v>#VALUE!</v>
      </c>
      <c r="QLC6" s="68" t="e" cm="1" vm="1">
        <f t="array" ref="QLC6">_xlfn._xlws.FILTER(TablaProductos[Nombre producto],TablaProductos[Agrupación]=ProductosPivot!QLC5)</f>
        <v>#VALUE!</v>
      </c>
      <c r="QLD6" s="68" t="e" cm="1" vm="1">
        <f t="array" ref="QLD6">_xlfn._xlws.FILTER(TablaProductos[Nombre producto],TablaProductos[Agrupación]=ProductosPivot!QLD5)</f>
        <v>#VALUE!</v>
      </c>
      <c r="QLE6" s="68" t="e" cm="1" vm="1">
        <f t="array" ref="QLE6">_xlfn._xlws.FILTER(TablaProductos[Nombre producto],TablaProductos[Agrupación]=ProductosPivot!QLE5)</f>
        <v>#VALUE!</v>
      </c>
      <c r="QLF6" s="68" t="e" cm="1" vm="1">
        <f t="array" ref="QLF6">_xlfn._xlws.FILTER(TablaProductos[Nombre producto],TablaProductos[Agrupación]=ProductosPivot!QLF5)</f>
        <v>#VALUE!</v>
      </c>
      <c r="QLG6" s="68" t="e" cm="1" vm="1">
        <f t="array" ref="QLG6">_xlfn._xlws.FILTER(TablaProductos[Nombre producto],TablaProductos[Agrupación]=ProductosPivot!QLG5)</f>
        <v>#VALUE!</v>
      </c>
      <c r="QLH6" s="68" t="e" cm="1" vm="1">
        <f t="array" ref="QLH6">_xlfn._xlws.FILTER(TablaProductos[Nombre producto],TablaProductos[Agrupación]=ProductosPivot!QLH5)</f>
        <v>#VALUE!</v>
      </c>
      <c r="QLI6" s="68" t="e" cm="1" vm="1">
        <f t="array" ref="QLI6">_xlfn._xlws.FILTER(TablaProductos[Nombre producto],TablaProductos[Agrupación]=ProductosPivot!QLI5)</f>
        <v>#VALUE!</v>
      </c>
      <c r="QLJ6" s="68" t="e" cm="1" vm="1">
        <f t="array" ref="QLJ6">_xlfn._xlws.FILTER(TablaProductos[Nombre producto],TablaProductos[Agrupación]=ProductosPivot!QLJ5)</f>
        <v>#VALUE!</v>
      </c>
      <c r="QLK6" s="68" t="e" cm="1" vm="1">
        <f t="array" ref="QLK6">_xlfn._xlws.FILTER(TablaProductos[Nombre producto],TablaProductos[Agrupación]=ProductosPivot!QLK5)</f>
        <v>#VALUE!</v>
      </c>
      <c r="QLL6" s="68" t="e" cm="1" vm="1">
        <f t="array" ref="QLL6">_xlfn._xlws.FILTER(TablaProductos[Nombre producto],TablaProductos[Agrupación]=ProductosPivot!QLL5)</f>
        <v>#VALUE!</v>
      </c>
      <c r="QLM6" s="68" t="e" cm="1" vm="1">
        <f t="array" ref="QLM6">_xlfn._xlws.FILTER(TablaProductos[Nombre producto],TablaProductos[Agrupación]=ProductosPivot!QLM5)</f>
        <v>#VALUE!</v>
      </c>
      <c r="QLN6" s="68" t="e" cm="1" vm="1">
        <f t="array" ref="QLN6">_xlfn._xlws.FILTER(TablaProductos[Nombre producto],TablaProductos[Agrupación]=ProductosPivot!QLN5)</f>
        <v>#VALUE!</v>
      </c>
      <c r="QLO6" s="68" t="e" cm="1" vm="1">
        <f t="array" ref="QLO6">_xlfn._xlws.FILTER(TablaProductos[Nombre producto],TablaProductos[Agrupación]=ProductosPivot!QLO5)</f>
        <v>#VALUE!</v>
      </c>
      <c r="QLP6" s="68" t="e" cm="1" vm="1">
        <f t="array" ref="QLP6">_xlfn._xlws.FILTER(TablaProductos[Nombre producto],TablaProductos[Agrupación]=ProductosPivot!QLP5)</f>
        <v>#VALUE!</v>
      </c>
      <c r="QLQ6" s="68" t="e" cm="1" vm="1">
        <f t="array" ref="QLQ6">_xlfn._xlws.FILTER(TablaProductos[Nombre producto],TablaProductos[Agrupación]=ProductosPivot!QLQ5)</f>
        <v>#VALUE!</v>
      </c>
      <c r="QLR6" s="68" t="e" cm="1" vm="1">
        <f t="array" ref="QLR6">_xlfn._xlws.FILTER(TablaProductos[Nombre producto],TablaProductos[Agrupación]=ProductosPivot!QLR5)</f>
        <v>#VALUE!</v>
      </c>
      <c r="QLS6" s="68" t="e" cm="1" vm="1">
        <f t="array" ref="QLS6">_xlfn._xlws.FILTER(TablaProductos[Nombre producto],TablaProductos[Agrupación]=ProductosPivot!QLS5)</f>
        <v>#VALUE!</v>
      </c>
      <c r="QLT6" s="68" t="e" cm="1" vm="1">
        <f t="array" ref="QLT6">_xlfn._xlws.FILTER(TablaProductos[Nombre producto],TablaProductos[Agrupación]=ProductosPivot!QLT5)</f>
        <v>#VALUE!</v>
      </c>
      <c r="QLU6" s="68" t="e" cm="1" vm="1">
        <f t="array" ref="QLU6">_xlfn._xlws.FILTER(TablaProductos[Nombre producto],TablaProductos[Agrupación]=ProductosPivot!QLU5)</f>
        <v>#VALUE!</v>
      </c>
      <c r="QLV6" s="68" t="e" cm="1" vm="1">
        <f t="array" ref="QLV6">_xlfn._xlws.FILTER(TablaProductos[Nombre producto],TablaProductos[Agrupación]=ProductosPivot!QLV5)</f>
        <v>#VALUE!</v>
      </c>
      <c r="QLW6" s="68" t="e" cm="1" vm="1">
        <f t="array" ref="QLW6">_xlfn._xlws.FILTER(TablaProductos[Nombre producto],TablaProductos[Agrupación]=ProductosPivot!QLW5)</f>
        <v>#VALUE!</v>
      </c>
      <c r="QLX6" s="68" t="e" cm="1" vm="1">
        <f t="array" ref="QLX6">_xlfn._xlws.FILTER(TablaProductos[Nombre producto],TablaProductos[Agrupación]=ProductosPivot!QLX5)</f>
        <v>#VALUE!</v>
      </c>
      <c r="QLY6" s="68" t="e" cm="1" vm="1">
        <f t="array" ref="QLY6">_xlfn._xlws.FILTER(TablaProductos[Nombre producto],TablaProductos[Agrupación]=ProductosPivot!QLY5)</f>
        <v>#VALUE!</v>
      </c>
      <c r="QLZ6" s="68" t="e" cm="1" vm="1">
        <f t="array" ref="QLZ6">_xlfn._xlws.FILTER(TablaProductos[Nombre producto],TablaProductos[Agrupación]=ProductosPivot!QLZ5)</f>
        <v>#VALUE!</v>
      </c>
      <c r="QMA6" s="68" t="e" cm="1" vm="1">
        <f t="array" ref="QMA6">_xlfn._xlws.FILTER(TablaProductos[Nombre producto],TablaProductos[Agrupación]=ProductosPivot!QMA5)</f>
        <v>#VALUE!</v>
      </c>
      <c r="QMB6" s="68" t="e" cm="1" vm="1">
        <f t="array" ref="QMB6">_xlfn._xlws.FILTER(TablaProductos[Nombre producto],TablaProductos[Agrupación]=ProductosPivot!QMB5)</f>
        <v>#VALUE!</v>
      </c>
      <c r="QMC6" s="68" t="e" cm="1" vm="1">
        <f t="array" ref="QMC6">_xlfn._xlws.FILTER(TablaProductos[Nombre producto],TablaProductos[Agrupación]=ProductosPivot!QMC5)</f>
        <v>#VALUE!</v>
      </c>
      <c r="QMD6" s="68" t="e" cm="1" vm="1">
        <f t="array" ref="QMD6">_xlfn._xlws.FILTER(TablaProductos[Nombre producto],TablaProductos[Agrupación]=ProductosPivot!QMD5)</f>
        <v>#VALUE!</v>
      </c>
      <c r="QME6" s="68" t="e" cm="1" vm="1">
        <f t="array" ref="QME6">_xlfn._xlws.FILTER(TablaProductos[Nombre producto],TablaProductos[Agrupación]=ProductosPivot!QME5)</f>
        <v>#VALUE!</v>
      </c>
      <c r="QMF6" s="68" t="e" cm="1" vm="1">
        <f t="array" ref="QMF6">_xlfn._xlws.FILTER(TablaProductos[Nombre producto],TablaProductos[Agrupación]=ProductosPivot!QMF5)</f>
        <v>#VALUE!</v>
      </c>
      <c r="QMG6" s="68" t="e" cm="1" vm="1">
        <f t="array" ref="QMG6">_xlfn._xlws.FILTER(TablaProductos[Nombre producto],TablaProductos[Agrupación]=ProductosPivot!QMG5)</f>
        <v>#VALUE!</v>
      </c>
      <c r="QMH6" s="68" t="e" cm="1" vm="1">
        <f t="array" ref="QMH6">_xlfn._xlws.FILTER(TablaProductos[Nombre producto],TablaProductos[Agrupación]=ProductosPivot!QMH5)</f>
        <v>#VALUE!</v>
      </c>
      <c r="QMI6" s="68" t="e" cm="1" vm="1">
        <f t="array" ref="QMI6">_xlfn._xlws.FILTER(TablaProductos[Nombre producto],TablaProductos[Agrupación]=ProductosPivot!QMI5)</f>
        <v>#VALUE!</v>
      </c>
      <c r="QMJ6" s="68" t="e" cm="1" vm="1">
        <f t="array" ref="QMJ6">_xlfn._xlws.FILTER(TablaProductos[Nombre producto],TablaProductos[Agrupación]=ProductosPivot!QMJ5)</f>
        <v>#VALUE!</v>
      </c>
      <c r="QMK6" s="68" t="e" cm="1" vm="1">
        <f t="array" ref="QMK6">_xlfn._xlws.FILTER(TablaProductos[Nombre producto],TablaProductos[Agrupación]=ProductosPivot!QMK5)</f>
        <v>#VALUE!</v>
      </c>
      <c r="QML6" s="68" t="e" cm="1" vm="1">
        <f t="array" ref="QML6">_xlfn._xlws.FILTER(TablaProductos[Nombre producto],TablaProductos[Agrupación]=ProductosPivot!QML5)</f>
        <v>#VALUE!</v>
      </c>
      <c r="QMM6" s="68" t="e" cm="1" vm="1">
        <f t="array" ref="QMM6">_xlfn._xlws.FILTER(TablaProductos[Nombre producto],TablaProductos[Agrupación]=ProductosPivot!QMM5)</f>
        <v>#VALUE!</v>
      </c>
      <c r="QMN6" s="68" t="e" cm="1" vm="1">
        <f t="array" ref="QMN6">_xlfn._xlws.FILTER(TablaProductos[Nombre producto],TablaProductos[Agrupación]=ProductosPivot!QMN5)</f>
        <v>#VALUE!</v>
      </c>
      <c r="QMO6" s="68" t="e" cm="1" vm="1">
        <f t="array" ref="QMO6">_xlfn._xlws.FILTER(TablaProductos[Nombre producto],TablaProductos[Agrupación]=ProductosPivot!QMO5)</f>
        <v>#VALUE!</v>
      </c>
      <c r="QMP6" s="68" t="e" cm="1" vm="1">
        <f t="array" ref="QMP6">_xlfn._xlws.FILTER(TablaProductos[Nombre producto],TablaProductos[Agrupación]=ProductosPivot!QMP5)</f>
        <v>#VALUE!</v>
      </c>
      <c r="QMQ6" s="68" t="e" cm="1" vm="1">
        <f t="array" ref="QMQ6">_xlfn._xlws.FILTER(TablaProductos[Nombre producto],TablaProductos[Agrupación]=ProductosPivot!QMQ5)</f>
        <v>#VALUE!</v>
      </c>
      <c r="QMR6" s="68" t="e" cm="1" vm="1">
        <f t="array" ref="QMR6">_xlfn._xlws.FILTER(TablaProductos[Nombre producto],TablaProductos[Agrupación]=ProductosPivot!QMR5)</f>
        <v>#VALUE!</v>
      </c>
      <c r="QMS6" s="68" t="e" cm="1" vm="1">
        <f t="array" ref="QMS6">_xlfn._xlws.FILTER(TablaProductos[Nombre producto],TablaProductos[Agrupación]=ProductosPivot!QMS5)</f>
        <v>#VALUE!</v>
      </c>
      <c r="QMT6" s="68" t="e" cm="1" vm="1">
        <f t="array" ref="QMT6">_xlfn._xlws.FILTER(TablaProductos[Nombre producto],TablaProductos[Agrupación]=ProductosPivot!QMT5)</f>
        <v>#VALUE!</v>
      </c>
      <c r="QMU6" s="68" t="e" cm="1" vm="1">
        <f t="array" ref="QMU6">_xlfn._xlws.FILTER(TablaProductos[Nombre producto],TablaProductos[Agrupación]=ProductosPivot!QMU5)</f>
        <v>#VALUE!</v>
      </c>
      <c r="QMV6" s="68" t="e" cm="1" vm="1">
        <f t="array" ref="QMV6">_xlfn._xlws.FILTER(TablaProductos[Nombre producto],TablaProductos[Agrupación]=ProductosPivot!QMV5)</f>
        <v>#VALUE!</v>
      </c>
      <c r="QMW6" s="68" t="e" cm="1" vm="1">
        <f t="array" ref="QMW6">_xlfn._xlws.FILTER(TablaProductos[Nombre producto],TablaProductos[Agrupación]=ProductosPivot!QMW5)</f>
        <v>#VALUE!</v>
      </c>
      <c r="QMX6" s="68" t="e" cm="1" vm="1">
        <f t="array" ref="QMX6">_xlfn._xlws.FILTER(TablaProductos[Nombre producto],TablaProductos[Agrupación]=ProductosPivot!QMX5)</f>
        <v>#VALUE!</v>
      </c>
      <c r="QMY6" s="68" t="e" cm="1" vm="1">
        <f t="array" ref="QMY6">_xlfn._xlws.FILTER(TablaProductos[Nombre producto],TablaProductos[Agrupación]=ProductosPivot!QMY5)</f>
        <v>#VALUE!</v>
      </c>
      <c r="QMZ6" s="68" t="e" cm="1" vm="1">
        <f t="array" ref="QMZ6">_xlfn._xlws.FILTER(TablaProductos[Nombre producto],TablaProductos[Agrupación]=ProductosPivot!QMZ5)</f>
        <v>#VALUE!</v>
      </c>
      <c r="QNA6" s="68" t="e" cm="1" vm="1">
        <f t="array" ref="QNA6">_xlfn._xlws.FILTER(TablaProductos[Nombre producto],TablaProductos[Agrupación]=ProductosPivot!QNA5)</f>
        <v>#VALUE!</v>
      </c>
      <c r="QNB6" s="68" t="e" cm="1" vm="1">
        <f t="array" ref="QNB6">_xlfn._xlws.FILTER(TablaProductos[Nombre producto],TablaProductos[Agrupación]=ProductosPivot!QNB5)</f>
        <v>#VALUE!</v>
      </c>
      <c r="QNC6" s="68" t="e" cm="1" vm="1">
        <f t="array" ref="QNC6">_xlfn._xlws.FILTER(TablaProductos[Nombre producto],TablaProductos[Agrupación]=ProductosPivot!QNC5)</f>
        <v>#VALUE!</v>
      </c>
      <c r="QND6" s="68" t="e" cm="1" vm="1">
        <f t="array" ref="QND6">_xlfn._xlws.FILTER(TablaProductos[Nombre producto],TablaProductos[Agrupación]=ProductosPivot!QND5)</f>
        <v>#VALUE!</v>
      </c>
      <c r="QNE6" s="68" t="e" cm="1" vm="1">
        <f t="array" ref="QNE6">_xlfn._xlws.FILTER(TablaProductos[Nombre producto],TablaProductos[Agrupación]=ProductosPivot!QNE5)</f>
        <v>#VALUE!</v>
      </c>
      <c r="QNF6" s="68" t="e" cm="1" vm="1">
        <f t="array" ref="QNF6">_xlfn._xlws.FILTER(TablaProductos[Nombre producto],TablaProductos[Agrupación]=ProductosPivot!QNF5)</f>
        <v>#VALUE!</v>
      </c>
      <c r="QNG6" s="68" t="e" cm="1" vm="1">
        <f t="array" ref="QNG6">_xlfn._xlws.FILTER(TablaProductos[Nombre producto],TablaProductos[Agrupación]=ProductosPivot!QNG5)</f>
        <v>#VALUE!</v>
      </c>
      <c r="QNH6" s="68" t="e" cm="1" vm="1">
        <f t="array" ref="QNH6">_xlfn._xlws.FILTER(TablaProductos[Nombre producto],TablaProductos[Agrupación]=ProductosPivot!QNH5)</f>
        <v>#VALUE!</v>
      </c>
      <c r="QNI6" s="68" t="e" cm="1" vm="1">
        <f t="array" ref="QNI6">_xlfn._xlws.FILTER(TablaProductos[Nombre producto],TablaProductos[Agrupación]=ProductosPivot!QNI5)</f>
        <v>#VALUE!</v>
      </c>
      <c r="QNJ6" s="68" t="e" cm="1" vm="1">
        <f t="array" ref="QNJ6">_xlfn._xlws.FILTER(TablaProductos[Nombre producto],TablaProductos[Agrupación]=ProductosPivot!QNJ5)</f>
        <v>#VALUE!</v>
      </c>
      <c r="QNK6" s="68" t="e" cm="1" vm="1">
        <f t="array" ref="QNK6">_xlfn._xlws.FILTER(TablaProductos[Nombre producto],TablaProductos[Agrupación]=ProductosPivot!QNK5)</f>
        <v>#VALUE!</v>
      </c>
      <c r="QNL6" s="68" t="e" cm="1" vm="1">
        <f t="array" ref="QNL6">_xlfn._xlws.FILTER(TablaProductos[Nombre producto],TablaProductos[Agrupación]=ProductosPivot!QNL5)</f>
        <v>#VALUE!</v>
      </c>
      <c r="QNM6" s="68" t="e" cm="1" vm="1">
        <f t="array" ref="QNM6">_xlfn._xlws.FILTER(TablaProductos[Nombre producto],TablaProductos[Agrupación]=ProductosPivot!QNM5)</f>
        <v>#VALUE!</v>
      </c>
      <c r="QNN6" s="68" t="e" cm="1" vm="1">
        <f t="array" ref="QNN6">_xlfn._xlws.FILTER(TablaProductos[Nombre producto],TablaProductos[Agrupación]=ProductosPivot!QNN5)</f>
        <v>#VALUE!</v>
      </c>
      <c r="QNO6" s="68" t="e" cm="1" vm="1">
        <f t="array" ref="QNO6">_xlfn._xlws.FILTER(TablaProductos[Nombre producto],TablaProductos[Agrupación]=ProductosPivot!QNO5)</f>
        <v>#VALUE!</v>
      </c>
      <c r="QNP6" s="68" t="e" cm="1" vm="1">
        <f t="array" ref="QNP6">_xlfn._xlws.FILTER(TablaProductos[Nombre producto],TablaProductos[Agrupación]=ProductosPivot!QNP5)</f>
        <v>#VALUE!</v>
      </c>
      <c r="QNQ6" s="68" t="e" cm="1" vm="1">
        <f t="array" ref="QNQ6">_xlfn._xlws.FILTER(TablaProductos[Nombre producto],TablaProductos[Agrupación]=ProductosPivot!QNQ5)</f>
        <v>#VALUE!</v>
      </c>
      <c r="QNR6" s="68" t="e" cm="1" vm="1">
        <f t="array" ref="QNR6">_xlfn._xlws.FILTER(TablaProductos[Nombre producto],TablaProductos[Agrupación]=ProductosPivot!QNR5)</f>
        <v>#VALUE!</v>
      </c>
      <c r="QNS6" s="68" t="e" cm="1" vm="1">
        <f t="array" ref="QNS6">_xlfn._xlws.FILTER(TablaProductos[Nombre producto],TablaProductos[Agrupación]=ProductosPivot!QNS5)</f>
        <v>#VALUE!</v>
      </c>
      <c r="QNT6" s="68" t="e" cm="1" vm="1">
        <f t="array" ref="QNT6">_xlfn._xlws.FILTER(TablaProductos[Nombre producto],TablaProductos[Agrupación]=ProductosPivot!QNT5)</f>
        <v>#VALUE!</v>
      </c>
      <c r="QNU6" s="68" t="e" cm="1" vm="1">
        <f t="array" ref="QNU6">_xlfn._xlws.FILTER(TablaProductos[Nombre producto],TablaProductos[Agrupación]=ProductosPivot!QNU5)</f>
        <v>#VALUE!</v>
      </c>
      <c r="QNV6" s="68" t="e" cm="1" vm="1">
        <f t="array" ref="QNV6">_xlfn._xlws.FILTER(TablaProductos[Nombre producto],TablaProductos[Agrupación]=ProductosPivot!QNV5)</f>
        <v>#VALUE!</v>
      </c>
      <c r="QNW6" s="68" t="e" cm="1" vm="1">
        <f t="array" ref="QNW6">_xlfn._xlws.FILTER(TablaProductos[Nombre producto],TablaProductos[Agrupación]=ProductosPivot!QNW5)</f>
        <v>#VALUE!</v>
      </c>
      <c r="QNX6" s="68" t="e" cm="1" vm="1">
        <f t="array" ref="QNX6">_xlfn._xlws.FILTER(TablaProductos[Nombre producto],TablaProductos[Agrupación]=ProductosPivot!QNX5)</f>
        <v>#VALUE!</v>
      </c>
      <c r="QNY6" s="68" t="e" cm="1" vm="1">
        <f t="array" ref="QNY6">_xlfn._xlws.FILTER(TablaProductos[Nombre producto],TablaProductos[Agrupación]=ProductosPivot!QNY5)</f>
        <v>#VALUE!</v>
      </c>
      <c r="QNZ6" s="68" t="e" cm="1" vm="1">
        <f t="array" ref="QNZ6">_xlfn._xlws.FILTER(TablaProductos[Nombre producto],TablaProductos[Agrupación]=ProductosPivot!QNZ5)</f>
        <v>#VALUE!</v>
      </c>
      <c r="QOA6" s="68" t="e" cm="1" vm="1">
        <f t="array" ref="QOA6">_xlfn._xlws.FILTER(TablaProductos[Nombre producto],TablaProductos[Agrupación]=ProductosPivot!QOA5)</f>
        <v>#VALUE!</v>
      </c>
      <c r="QOB6" s="68" t="e" cm="1" vm="1">
        <f t="array" ref="QOB6">_xlfn._xlws.FILTER(TablaProductos[Nombre producto],TablaProductos[Agrupación]=ProductosPivot!QOB5)</f>
        <v>#VALUE!</v>
      </c>
      <c r="QOC6" s="68" t="e" cm="1" vm="1">
        <f t="array" ref="QOC6">_xlfn._xlws.FILTER(TablaProductos[Nombre producto],TablaProductos[Agrupación]=ProductosPivot!QOC5)</f>
        <v>#VALUE!</v>
      </c>
      <c r="QOD6" s="68" t="e" cm="1" vm="1">
        <f t="array" ref="QOD6">_xlfn._xlws.FILTER(TablaProductos[Nombre producto],TablaProductos[Agrupación]=ProductosPivot!QOD5)</f>
        <v>#VALUE!</v>
      </c>
      <c r="QOE6" s="68" t="e" cm="1" vm="1">
        <f t="array" ref="QOE6">_xlfn._xlws.FILTER(TablaProductos[Nombre producto],TablaProductos[Agrupación]=ProductosPivot!QOE5)</f>
        <v>#VALUE!</v>
      </c>
      <c r="QOF6" s="68" t="e" cm="1" vm="1">
        <f t="array" ref="QOF6">_xlfn._xlws.FILTER(TablaProductos[Nombre producto],TablaProductos[Agrupación]=ProductosPivot!QOF5)</f>
        <v>#VALUE!</v>
      </c>
      <c r="QOG6" s="68" t="e" cm="1" vm="1">
        <f t="array" ref="QOG6">_xlfn._xlws.FILTER(TablaProductos[Nombre producto],TablaProductos[Agrupación]=ProductosPivot!QOG5)</f>
        <v>#VALUE!</v>
      </c>
      <c r="QOH6" s="68" t="e" cm="1" vm="1">
        <f t="array" ref="QOH6">_xlfn._xlws.FILTER(TablaProductos[Nombre producto],TablaProductos[Agrupación]=ProductosPivot!QOH5)</f>
        <v>#VALUE!</v>
      </c>
      <c r="QOI6" s="68" t="e" cm="1" vm="1">
        <f t="array" ref="QOI6">_xlfn._xlws.FILTER(TablaProductos[Nombre producto],TablaProductos[Agrupación]=ProductosPivot!QOI5)</f>
        <v>#VALUE!</v>
      </c>
      <c r="QOJ6" s="68" t="e" cm="1" vm="1">
        <f t="array" ref="QOJ6">_xlfn._xlws.FILTER(TablaProductos[Nombre producto],TablaProductos[Agrupación]=ProductosPivot!QOJ5)</f>
        <v>#VALUE!</v>
      </c>
      <c r="QOK6" s="68" t="e" cm="1" vm="1">
        <f t="array" ref="QOK6">_xlfn._xlws.FILTER(TablaProductos[Nombre producto],TablaProductos[Agrupación]=ProductosPivot!QOK5)</f>
        <v>#VALUE!</v>
      </c>
      <c r="QOL6" s="68" t="e" cm="1" vm="1">
        <f t="array" ref="QOL6">_xlfn._xlws.FILTER(TablaProductos[Nombre producto],TablaProductos[Agrupación]=ProductosPivot!QOL5)</f>
        <v>#VALUE!</v>
      </c>
      <c r="QOM6" s="68" t="e" cm="1" vm="1">
        <f t="array" ref="QOM6">_xlfn._xlws.FILTER(TablaProductos[Nombre producto],TablaProductos[Agrupación]=ProductosPivot!QOM5)</f>
        <v>#VALUE!</v>
      </c>
      <c r="QON6" s="68" t="e" cm="1" vm="1">
        <f t="array" ref="QON6">_xlfn._xlws.FILTER(TablaProductos[Nombre producto],TablaProductos[Agrupación]=ProductosPivot!QON5)</f>
        <v>#VALUE!</v>
      </c>
      <c r="QOO6" s="68" t="e" cm="1" vm="1">
        <f t="array" ref="QOO6">_xlfn._xlws.FILTER(TablaProductos[Nombre producto],TablaProductos[Agrupación]=ProductosPivot!QOO5)</f>
        <v>#VALUE!</v>
      </c>
      <c r="QOP6" s="68" t="e" cm="1" vm="1">
        <f t="array" ref="QOP6">_xlfn._xlws.FILTER(TablaProductos[Nombre producto],TablaProductos[Agrupación]=ProductosPivot!QOP5)</f>
        <v>#VALUE!</v>
      </c>
      <c r="QOQ6" s="68" t="e" cm="1" vm="1">
        <f t="array" ref="QOQ6">_xlfn._xlws.FILTER(TablaProductos[Nombre producto],TablaProductos[Agrupación]=ProductosPivot!QOQ5)</f>
        <v>#VALUE!</v>
      </c>
      <c r="QOR6" s="68" t="e" cm="1" vm="1">
        <f t="array" ref="QOR6">_xlfn._xlws.FILTER(TablaProductos[Nombre producto],TablaProductos[Agrupación]=ProductosPivot!QOR5)</f>
        <v>#VALUE!</v>
      </c>
      <c r="QOS6" s="68" t="e" cm="1" vm="1">
        <f t="array" ref="QOS6">_xlfn._xlws.FILTER(TablaProductos[Nombre producto],TablaProductos[Agrupación]=ProductosPivot!QOS5)</f>
        <v>#VALUE!</v>
      </c>
      <c r="QOT6" s="68" t="e" cm="1" vm="1">
        <f t="array" ref="QOT6">_xlfn._xlws.FILTER(TablaProductos[Nombre producto],TablaProductos[Agrupación]=ProductosPivot!QOT5)</f>
        <v>#VALUE!</v>
      </c>
      <c r="QOU6" s="68" t="e" cm="1" vm="1">
        <f t="array" ref="QOU6">_xlfn._xlws.FILTER(TablaProductos[Nombre producto],TablaProductos[Agrupación]=ProductosPivot!QOU5)</f>
        <v>#VALUE!</v>
      </c>
      <c r="QOV6" s="68" t="e" cm="1" vm="1">
        <f t="array" ref="QOV6">_xlfn._xlws.FILTER(TablaProductos[Nombre producto],TablaProductos[Agrupación]=ProductosPivot!QOV5)</f>
        <v>#VALUE!</v>
      </c>
      <c r="QOW6" s="68" t="e" cm="1" vm="1">
        <f t="array" ref="QOW6">_xlfn._xlws.FILTER(TablaProductos[Nombre producto],TablaProductos[Agrupación]=ProductosPivot!QOW5)</f>
        <v>#VALUE!</v>
      </c>
      <c r="QOX6" s="68" t="e" cm="1" vm="1">
        <f t="array" ref="QOX6">_xlfn._xlws.FILTER(TablaProductos[Nombre producto],TablaProductos[Agrupación]=ProductosPivot!QOX5)</f>
        <v>#VALUE!</v>
      </c>
      <c r="QOY6" s="68" t="e" cm="1" vm="1">
        <f t="array" ref="QOY6">_xlfn._xlws.FILTER(TablaProductos[Nombre producto],TablaProductos[Agrupación]=ProductosPivot!QOY5)</f>
        <v>#VALUE!</v>
      </c>
      <c r="QOZ6" s="68" t="e" cm="1" vm="1">
        <f t="array" ref="QOZ6">_xlfn._xlws.FILTER(TablaProductos[Nombre producto],TablaProductos[Agrupación]=ProductosPivot!QOZ5)</f>
        <v>#VALUE!</v>
      </c>
      <c r="QPA6" s="68" t="e" cm="1" vm="1">
        <f t="array" ref="QPA6">_xlfn._xlws.FILTER(TablaProductos[Nombre producto],TablaProductos[Agrupación]=ProductosPivot!QPA5)</f>
        <v>#VALUE!</v>
      </c>
      <c r="QPB6" s="68" t="e" cm="1" vm="1">
        <f t="array" ref="QPB6">_xlfn._xlws.FILTER(TablaProductos[Nombre producto],TablaProductos[Agrupación]=ProductosPivot!QPB5)</f>
        <v>#VALUE!</v>
      </c>
      <c r="QPC6" s="68" t="e" cm="1" vm="1">
        <f t="array" ref="QPC6">_xlfn._xlws.FILTER(TablaProductos[Nombre producto],TablaProductos[Agrupación]=ProductosPivot!QPC5)</f>
        <v>#VALUE!</v>
      </c>
      <c r="QPD6" s="68" t="e" cm="1" vm="1">
        <f t="array" ref="QPD6">_xlfn._xlws.FILTER(TablaProductos[Nombre producto],TablaProductos[Agrupación]=ProductosPivot!QPD5)</f>
        <v>#VALUE!</v>
      </c>
      <c r="QPE6" s="68" t="e" cm="1" vm="1">
        <f t="array" ref="QPE6">_xlfn._xlws.FILTER(TablaProductos[Nombre producto],TablaProductos[Agrupación]=ProductosPivot!QPE5)</f>
        <v>#VALUE!</v>
      </c>
      <c r="QPF6" s="68" t="e" cm="1" vm="1">
        <f t="array" ref="QPF6">_xlfn._xlws.FILTER(TablaProductos[Nombre producto],TablaProductos[Agrupación]=ProductosPivot!QPF5)</f>
        <v>#VALUE!</v>
      </c>
      <c r="QPG6" s="68" t="e" cm="1" vm="1">
        <f t="array" ref="QPG6">_xlfn._xlws.FILTER(TablaProductos[Nombre producto],TablaProductos[Agrupación]=ProductosPivot!QPG5)</f>
        <v>#VALUE!</v>
      </c>
      <c r="QPH6" s="68" t="e" cm="1" vm="1">
        <f t="array" ref="QPH6">_xlfn._xlws.FILTER(TablaProductos[Nombre producto],TablaProductos[Agrupación]=ProductosPivot!QPH5)</f>
        <v>#VALUE!</v>
      </c>
      <c r="QPI6" s="68" t="e" cm="1" vm="1">
        <f t="array" ref="QPI6">_xlfn._xlws.FILTER(TablaProductos[Nombre producto],TablaProductos[Agrupación]=ProductosPivot!QPI5)</f>
        <v>#VALUE!</v>
      </c>
      <c r="QPJ6" s="68" t="e" cm="1" vm="1">
        <f t="array" ref="QPJ6">_xlfn._xlws.FILTER(TablaProductos[Nombre producto],TablaProductos[Agrupación]=ProductosPivot!QPJ5)</f>
        <v>#VALUE!</v>
      </c>
      <c r="QPK6" s="68" t="e" cm="1" vm="1">
        <f t="array" ref="QPK6">_xlfn._xlws.FILTER(TablaProductos[Nombre producto],TablaProductos[Agrupación]=ProductosPivot!QPK5)</f>
        <v>#VALUE!</v>
      </c>
      <c r="QPL6" s="68" t="e" cm="1" vm="1">
        <f t="array" ref="QPL6">_xlfn._xlws.FILTER(TablaProductos[Nombre producto],TablaProductos[Agrupación]=ProductosPivot!QPL5)</f>
        <v>#VALUE!</v>
      </c>
      <c r="QPM6" s="68" t="e" cm="1" vm="1">
        <f t="array" ref="QPM6">_xlfn._xlws.FILTER(TablaProductos[Nombre producto],TablaProductos[Agrupación]=ProductosPivot!QPM5)</f>
        <v>#VALUE!</v>
      </c>
      <c r="QPN6" s="68" t="e" cm="1" vm="1">
        <f t="array" ref="QPN6">_xlfn._xlws.FILTER(TablaProductos[Nombre producto],TablaProductos[Agrupación]=ProductosPivot!QPN5)</f>
        <v>#VALUE!</v>
      </c>
      <c r="QPO6" s="68" t="e" cm="1" vm="1">
        <f t="array" ref="QPO6">_xlfn._xlws.FILTER(TablaProductos[Nombre producto],TablaProductos[Agrupación]=ProductosPivot!QPO5)</f>
        <v>#VALUE!</v>
      </c>
      <c r="QPP6" s="68" t="e" cm="1" vm="1">
        <f t="array" ref="QPP6">_xlfn._xlws.FILTER(TablaProductos[Nombre producto],TablaProductos[Agrupación]=ProductosPivot!QPP5)</f>
        <v>#VALUE!</v>
      </c>
      <c r="QPQ6" s="68" t="e" cm="1" vm="1">
        <f t="array" ref="QPQ6">_xlfn._xlws.FILTER(TablaProductos[Nombre producto],TablaProductos[Agrupación]=ProductosPivot!QPQ5)</f>
        <v>#VALUE!</v>
      </c>
      <c r="QPR6" s="68" t="e" cm="1" vm="1">
        <f t="array" ref="QPR6">_xlfn._xlws.FILTER(TablaProductos[Nombre producto],TablaProductos[Agrupación]=ProductosPivot!QPR5)</f>
        <v>#VALUE!</v>
      </c>
      <c r="QPS6" s="68" t="e" cm="1" vm="1">
        <f t="array" ref="QPS6">_xlfn._xlws.FILTER(TablaProductos[Nombre producto],TablaProductos[Agrupación]=ProductosPivot!QPS5)</f>
        <v>#VALUE!</v>
      </c>
      <c r="QPT6" s="68" t="e" cm="1" vm="1">
        <f t="array" ref="QPT6">_xlfn._xlws.FILTER(TablaProductos[Nombre producto],TablaProductos[Agrupación]=ProductosPivot!QPT5)</f>
        <v>#VALUE!</v>
      </c>
      <c r="QPU6" s="68" t="e" cm="1" vm="1">
        <f t="array" ref="QPU6">_xlfn._xlws.FILTER(TablaProductos[Nombre producto],TablaProductos[Agrupación]=ProductosPivot!QPU5)</f>
        <v>#VALUE!</v>
      </c>
      <c r="QPV6" s="68" t="e" cm="1" vm="1">
        <f t="array" ref="QPV6">_xlfn._xlws.FILTER(TablaProductos[Nombre producto],TablaProductos[Agrupación]=ProductosPivot!QPV5)</f>
        <v>#VALUE!</v>
      </c>
      <c r="QPW6" s="68" t="e" cm="1" vm="1">
        <f t="array" ref="QPW6">_xlfn._xlws.FILTER(TablaProductos[Nombre producto],TablaProductos[Agrupación]=ProductosPivot!QPW5)</f>
        <v>#VALUE!</v>
      </c>
      <c r="QPX6" s="68" t="e" cm="1" vm="1">
        <f t="array" ref="QPX6">_xlfn._xlws.FILTER(TablaProductos[Nombre producto],TablaProductos[Agrupación]=ProductosPivot!QPX5)</f>
        <v>#VALUE!</v>
      </c>
      <c r="QPY6" s="68" t="e" cm="1" vm="1">
        <f t="array" ref="QPY6">_xlfn._xlws.FILTER(TablaProductos[Nombre producto],TablaProductos[Agrupación]=ProductosPivot!QPY5)</f>
        <v>#VALUE!</v>
      </c>
      <c r="QPZ6" s="68" t="e" cm="1" vm="1">
        <f t="array" ref="QPZ6">_xlfn._xlws.FILTER(TablaProductos[Nombre producto],TablaProductos[Agrupación]=ProductosPivot!QPZ5)</f>
        <v>#VALUE!</v>
      </c>
      <c r="QQA6" s="68" t="e" cm="1" vm="1">
        <f t="array" ref="QQA6">_xlfn._xlws.FILTER(TablaProductos[Nombre producto],TablaProductos[Agrupación]=ProductosPivot!QQA5)</f>
        <v>#VALUE!</v>
      </c>
      <c r="QQB6" s="68" t="e" cm="1" vm="1">
        <f t="array" ref="QQB6">_xlfn._xlws.FILTER(TablaProductos[Nombre producto],TablaProductos[Agrupación]=ProductosPivot!QQB5)</f>
        <v>#VALUE!</v>
      </c>
      <c r="QQC6" s="68" t="e" cm="1" vm="1">
        <f t="array" ref="QQC6">_xlfn._xlws.FILTER(TablaProductos[Nombre producto],TablaProductos[Agrupación]=ProductosPivot!QQC5)</f>
        <v>#VALUE!</v>
      </c>
      <c r="QQD6" s="68" t="e" cm="1" vm="1">
        <f t="array" ref="QQD6">_xlfn._xlws.FILTER(TablaProductos[Nombre producto],TablaProductos[Agrupación]=ProductosPivot!QQD5)</f>
        <v>#VALUE!</v>
      </c>
      <c r="QQE6" s="68" t="e" cm="1" vm="1">
        <f t="array" ref="QQE6">_xlfn._xlws.FILTER(TablaProductos[Nombre producto],TablaProductos[Agrupación]=ProductosPivot!QQE5)</f>
        <v>#VALUE!</v>
      </c>
      <c r="QQF6" s="68" t="e" cm="1" vm="1">
        <f t="array" ref="QQF6">_xlfn._xlws.FILTER(TablaProductos[Nombre producto],TablaProductos[Agrupación]=ProductosPivot!QQF5)</f>
        <v>#VALUE!</v>
      </c>
      <c r="QQG6" s="68" t="e" cm="1" vm="1">
        <f t="array" ref="QQG6">_xlfn._xlws.FILTER(TablaProductos[Nombre producto],TablaProductos[Agrupación]=ProductosPivot!QQG5)</f>
        <v>#VALUE!</v>
      </c>
      <c r="QQH6" s="68" t="e" cm="1" vm="1">
        <f t="array" ref="QQH6">_xlfn._xlws.FILTER(TablaProductos[Nombre producto],TablaProductos[Agrupación]=ProductosPivot!QQH5)</f>
        <v>#VALUE!</v>
      </c>
      <c r="QQI6" s="68" t="e" cm="1" vm="1">
        <f t="array" ref="QQI6">_xlfn._xlws.FILTER(TablaProductos[Nombre producto],TablaProductos[Agrupación]=ProductosPivot!QQI5)</f>
        <v>#VALUE!</v>
      </c>
      <c r="QQJ6" s="68" t="e" cm="1" vm="1">
        <f t="array" ref="QQJ6">_xlfn._xlws.FILTER(TablaProductos[Nombre producto],TablaProductos[Agrupación]=ProductosPivot!QQJ5)</f>
        <v>#VALUE!</v>
      </c>
      <c r="QQK6" s="68" t="e" cm="1" vm="1">
        <f t="array" ref="QQK6">_xlfn._xlws.FILTER(TablaProductos[Nombre producto],TablaProductos[Agrupación]=ProductosPivot!QQK5)</f>
        <v>#VALUE!</v>
      </c>
      <c r="QQL6" s="68" t="e" cm="1" vm="1">
        <f t="array" ref="QQL6">_xlfn._xlws.FILTER(TablaProductos[Nombre producto],TablaProductos[Agrupación]=ProductosPivot!QQL5)</f>
        <v>#VALUE!</v>
      </c>
      <c r="QQM6" s="68" t="e" cm="1" vm="1">
        <f t="array" ref="QQM6">_xlfn._xlws.FILTER(TablaProductos[Nombre producto],TablaProductos[Agrupación]=ProductosPivot!QQM5)</f>
        <v>#VALUE!</v>
      </c>
      <c r="QQN6" s="68" t="e" cm="1" vm="1">
        <f t="array" ref="QQN6">_xlfn._xlws.FILTER(TablaProductos[Nombre producto],TablaProductos[Agrupación]=ProductosPivot!QQN5)</f>
        <v>#VALUE!</v>
      </c>
      <c r="QQO6" s="68" t="e" cm="1" vm="1">
        <f t="array" ref="QQO6">_xlfn._xlws.FILTER(TablaProductos[Nombre producto],TablaProductos[Agrupación]=ProductosPivot!QQO5)</f>
        <v>#VALUE!</v>
      </c>
      <c r="QQP6" s="68" t="e" cm="1" vm="1">
        <f t="array" ref="QQP6">_xlfn._xlws.FILTER(TablaProductos[Nombre producto],TablaProductos[Agrupación]=ProductosPivot!QQP5)</f>
        <v>#VALUE!</v>
      </c>
      <c r="QQQ6" s="68" t="e" cm="1" vm="1">
        <f t="array" ref="QQQ6">_xlfn._xlws.FILTER(TablaProductos[Nombre producto],TablaProductos[Agrupación]=ProductosPivot!QQQ5)</f>
        <v>#VALUE!</v>
      </c>
      <c r="QQR6" s="68" t="e" cm="1" vm="1">
        <f t="array" ref="QQR6">_xlfn._xlws.FILTER(TablaProductos[Nombre producto],TablaProductos[Agrupación]=ProductosPivot!QQR5)</f>
        <v>#VALUE!</v>
      </c>
      <c r="QQS6" s="68" t="e" cm="1" vm="1">
        <f t="array" ref="QQS6">_xlfn._xlws.FILTER(TablaProductos[Nombre producto],TablaProductos[Agrupación]=ProductosPivot!QQS5)</f>
        <v>#VALUE!</v>
      </c>
      <c r="QQT6" s="68" t="e" cm="1" vm="1">
        <f t="array" ref="QQT6">_xlfn._xlws.FILTER(TablaProductos[Nombre producto],TablaProductos[Agrupación]=ProductosPivot!QQT5)</f>
        <v>#VALUE!</v>
      </c>
      <c r="QQU6" s="68" t="e" cm="1" vm="1">
        <f t="array" ref="QQU6">_xlfn._xlws.FILTER(TablaProductos[Nombre producto],TablaProductos[Agrupación]=ProductosPivot!QQU5)</f>
        <v>#VALUE!</v>
      </c>
      <c r="QQV6" s="68" t="e" cm="1" vm="1">
        <f t="array" ref="QQV6">_xlfn._xlws.FILTER(TablaProductos[Nombre producto],TablaProductos[Agrupación]=ProductosPivot!QQV5)</f>
        <v>#VALUE!</v>
      </c>
      <c r="QQW6" s="68" t="e" cm="1" vm="1">
        <f t="array" ref="QQW6">_xlfn._xlws.FILTER(TablaProductos[Nombre producto],TablaProductos[Agrupación]=ProductosPivot!QQW5)</f>
        <v>#VALUE!</v>
      </c>
      <c r="QQX6" s="68" t="e" cm="1" vm="1">
        <f t="array" ref="QQX6">_xlfn._xlws.FILTER(TablaProductos[Nombre producto],TablaProductos[Agrupación]=ProductosPivot!QQX5)</f>
        <v>#VALUE!</v>
      </c>
      <c r="QQY6" s="68" t="e" cm="1" vm="1">
        <f t="array" ref="QQY6">_xlfn._xlws.FILTER(TablaProductos[Nombre producto],TablaProductos[Agrupación]=ProductosPivot!QQY5)</f>
        <v>#VALUE!</v>
      </c>
      <c r="QQZ6" s="68" t="e" cm="1" vm="1">
        <f t="array" ref="QQZ6">_xlfn._xlws.FILTER(TablaProductos[Nombre producto],TablaProductos[Agrupación]=ProductosPivot!QQZ5)</f>
        <v>#VALUE!</v>
      </c>
      <c r="QRA6" s="68" t="e" cm="1" vm="1">
        <f t="array" ref="QRA6">_xlfn._xlws.FILTER(TablaProductos[Nombre producto],TablaProductos[Agrupación]=ProductosPivot!QRA5)</f>
        <v>#VALUE!</v>
      </c>
      <c r="QRB6" s="68" t="e" cm="1" vm="1">
        <f t="array" ref="QRB6">_xlfn._xlws.FILTER(TablaProductos[Nombre producto],TablaProductos[Agrupación]=ProductosPivot!QRB5)</f>
        <v>#VALUE!</v>
      </c>
      <c r="QRC6" s="68" t="e" cm="1" vm="1">
        <f t="array" ref="QRC6">_xlfn._xlws.FILTER(TablaProductos[Nombre producto],TablaProductos[Agrupación]=ProductosPivot!QRC5)</f>
        <v>#VALUE!</v>
      </c>
      <c r="QRD6" s="68" t="e" cm="1" vm="1">
        <f t="array" ref="QRD6">_xlfn._xlws.FILTER(TablaProductos[Nombre producto],TablaProductos[Agrupación]=ProductosPivot!QRD5)</f>
        <v>#VALUE!</v>
      </c>
      <c r="QRE6" s="68" t="e" cm="1" vm="1">
        <f t="array" ref="QRE6">_xlfn._xlws.FILTER(TablaProductos[Nombre producto],TablaProductos[Agrupación]=ProductosPivot!QRE5)</f>
        <v>#VALUE!</v>
      </c>
      <c r="QRF6" s="68" t="e" cm="1" vm="1">
        <f t="array" ref="QRF6">_xlfn._xlws.FILTER(TablaProductos[Nombre producto],TablaProductos[Agrupación]=ProductosPivot!QRF5)</f>
        <v>#VALUE!</v>
      </c>
      <c r="QRG6" s="68" t="e" cm="1" vm="1">
        <f t="array" ref="QRG6">_xlfn._xlws.FILTER(TablaProductos[Nombre producto],TablaProductos[Agrupación]=ProductosPivot!QRG5)</f>
        <v>#VALUE!</v>
      </c>
      <c r="QRH6" s="68" t="e" cm="1" vm="1">
        <f t="array" ref="QRH6">_xlfn._xlws.FILTER(TablaProductos[Nombre producto],TablaProductos[Agrupación]=ProductosPivot!QRH5)</f>
        <v>#VALUE!</v>
      </c>
      <c r="QRI6" s="68" t="e" cm="1" vm="1">
        <f t="array" ref="QRI6">_xlfn._xlws.FILTER(TablaProductos[Nombre producto],TablaProductos[Agrupación]=ProductosPivot!QRI5)</f>
        <v>#VALUE!</v>
      </c>
      <c r="QRJ6" s="68" t="e" cm="1" vm="1">
        <f t="array" ref="QRJ6">_xlfn._xlws.FILTER(TablaProductos[Nombre producto],TablaProductos[Agrupación]=ProductosPivot!QRJ5)</f>
        <v>#VALUE!</v>
      </c>
      <c r="QRK6" s="68" t="e" cm="1" vm="1">
        <f t="array" ref="QRK6">_xlfn._xlws.FILTER(TablaProductos[Nombre producto],TablaProductos[Agrupación]=ProductosPivot!QRK5)</f>
        <v>#VALUE!</v>
      </c>
      <c r="QRL6" s="68" t="e" cm="1" vm="1">
        <f t="array" ref="QRL6">_xlfn._xlws.FILTER(TablaProductos[Nombre producto],TablaProductos[Agrupación]=ProductosPivot!QRL5)</f>
        <v>#VALUE!</v>
      </c>
      <c r="QRM6" s="68" t="e" cm="1" vm="1">
        <f t="array" ref="QRM6">_xlfn._xlws.FILTER(TablaProductos[Nombre producto],TablaProductos[Agrupación]=ProductosPivot!QRM5)</f>
        <v>#VALUE!</v>
      </c>
      <c r="QRN6" s="68" t="e" cm="1" vm="1">
        <f t="array" ref="QRN6">_xlfn._xlws.FILTER(TablaProductos[Nombre producto],TablaProductos[Agrupación]=ProductosPivot!QRN5)</f>
        <v>#VALUE!</v>
      </c>
      <c r="QRO6" s="68" t="e" cm="1" vm="1">
        <f t="array" ref="QRO6">_xlfn._xlws.FILTER(TablaProductos[Nombre producto],TablaProductos[Agrupación]=ProductosPivot!QRO5)</f>
        <v>#VALUE!</v>
      </c>
      <c r="QRP6" s="68" t="e" cm="1" vm="1">
        <f t="array" ref="QRP6">_xlfn._xlws.FILTER(TablaProductos[Nombre producto],TablaProductos[Agrupación]=ProductosPivot!QRP5)</f>
        <v>#VALUE!</v>
      </c>
      <c r="QRQ6" s="68" t="e" cm="1" vm="1">
        <f t="array" ref="QRQ6">_xlfn._xlws.FILTER(TablaProductos[Nombre producto],TablaProductos[Agrupación]=ProductosPivot!QRQ5)</f>
        <v>#VALUE!</v>
      </c>
      <c r="QRR6" s="68" t="e" cm="1" vm="1">
        <f t="array" ref="QRR6">_xlfn._xlws.FILTER(TablaProductos[Nombre producto],TablaProductos[Agrupación]=ProductosPivot!QRR5)</f>
        <v>#VALUE!</v>
      </c>
      <c r="QRS6" s="68" t="e" cm="1" vm="1">
        <f t="array" ref="QRS6">_xlfn._xlws.FILTER(TablaProductos[Nombre producto],TablaProductos[Agrupación]=ProductosPivot!QRS5)</f>
        <v>#VALUE!</v>
      </c>
      <c r="QRT6" s="68" t="e" cm="1" vm="1">
        <f t="array" ref="QRT6">_xlfn._xlws.FILTER(TablaProductos[Nombre producto],TablaProductos[Agrupación]=ProductosPivot!QRT5)</f>
        <v>#VALUE!</v>
      </c>
      <c r="QRU6" s="68" t="e" cm="1" vm="1">
        <f t="array" ref="QRU6">_xlfn._xlws.FILTER(TablaProductos[Nombre producto],TablaProductos[Agrupación]=ProductosPivot!QRU5)</f>
        <v>#VALUE!</v>
      </c>
      <c r="QRV6" s="68" t="e" cm="1" vm="1">
        <f t="array" ref="QRV6">_xlfn._xlws.FILTER(TablaProductos[Nombre producto],TablaProductos[Agrupación]=ProductosPivot!QRV5)</f>
        <v>#VALUE!</v>
      </c>
      <c r="QRW6" s="68" t="e" cm="1" vm="1">
        <f t="array" ref="QRW6">_xlfn._xlws.FILTER(TablaProductos[Nombre producto],TablaProductos[Agrupación]=ProductosPivot!QRW5)</f>
        <v>#VALUE!</v>
      </c>
      <c r="QRX6" s="68" t="e" cm="1" vm="1">
        <f t="array" ref="QRX6">_xlfn._xlws.FILTER(TablaProductos[Nombre producto],TablaProductos[Agrupación]=ProductosPivot!QRX5)</f>
        <v>#VALUE!</v>
      </c>
      <c r="QRY6" s="68" t="e" cm="1" vm="1">
        <f t="array" ref="QRY6">_xlfn._xlws.FILTER(TablaProductos[Nombre producto],TablaProductos[Agrupación]=ProductosPivot!QRY5)</f>
        <v>#VALUE!</v>
      </c>
      <c r="QRZ6" s="68" t="e" cm="1" vm="1">
        <f t="array" ref="QRZ6">_xlfn._xlws.FILTER(TablaProductos[Nombre producto],TablaProductos[Agrupación]=ProductosPivot!QRZ5)</f>
        <v>#VALUE!</v>
      </c>
      <c r="QSA6" s="68" t="e" cm="1" vm="1">
        <f t="array" ref="QSA6">_xlfn._xlws.FILTER(TablaProductos[Nombre producto],TablaProductos[Agrupación]=ProductosPivot!QSA5)</f>
        <v>#VALUE!</v>
      </c>
      <c r="QSB6" s="68" t="e" cm="1" vm="1">
        <f t="array" ref="QSB6">_xlfn._xlws.FILTER(TablaProductos[Nombre producto],TablaProductos[Agrupación]=ProductosPivot!QSB5)</f>
        <v>#VALUE!</v>
      </c>
      <c r="QSC6" s="68" t="e" cm="1" vm="1">
        <f t="array" ref="QSC6">_xlfn._xlws.FILTER(TablaProductos[Nombre producto],TablaProductos[Agrupación]=ProductosPivot!QSC5)</f>
        <v>#VALUE!</v>
      </c>
      <c r="QSD6" s="68" t="e" cm="1" vm="1">
        <f t="array" ref="QSD6">_xlfn._xlws.FILTER(TablaProductos[Nombre producto],TablaProductos[Agrupación]=ProductosPivot!QSD5)</f>
        <v>#VALUE!</v>
      </c>
      <c r="QSE6" s="68" t="e" cm="1" vm="1">
        <f t="array" ref="QSE6">_xlfn._xlws.FILTER(TablaProductos[Nombre producto],TablaProductos[Agrupación]=ProductosPivot!QSE5)</f>
        <v>#VALUE!</v>
      </c>
      <c r="QSF6" s="68" t="e" cm="1" vm="1">
        <f t="array" ref="QSF6">_xlfn._xlws.FILTER(TablaProductos[Nombre producto],TablaProductos[Agrupación]=ProductosPivot!QSF5)</f>
        <v>#VALUE!</v>
      </c>
      <c r="QSG6" s="68" t="e" cm="1" vm="1">
        <f t="array" ref="QSG6">_xlfn._xlws.FILTER(TablaProductos[Nombre producto],TablaProductos[Agrupación]=ProductosPivot!QSG5)</f>
        <v>#VALUE!</v>
      </c>
      <c r="QSH6" s="68" t="e" cm="1" vm="1">
        <f t="array" ref="QSH6">_xlfn._xlws.FILTER(TablaProductos[Nombre producto],TablaProductos[Agrupación]=ProductosPivot!QSH5)</f>
        <v>#VALUE!</v>
      </c>
      <c r="QSI6" s="68" t="e" cm="1" vm="1">
        <f t="array" ref="QSI6">_xlfn._xlws.FILTER(TablaProductos[Nombre producto],TablaProductos[Agrupación]=ProductosPivot!QSI5)</f>
        <v>#VALUE!</v>
      </c>
      <c r="QSJ6" s="68" t="e" cm="1" vm="1">
        <f t="array" ref="QSJ6">_xlfn._xlws.FILTER(TablaProductos[Nombre producto],TablaProductos[Agrupación]=ProductosPivot!QSJ5)</f>
        <v>#VALUE!</v>
      </c>
      <c r="QSK6" s="68" t="e" cm="1" vm="1">
        <f t="array" ref="QSK6">_xlfn._xlws.FILTER(TablaProductos[Nombre producto],TablaProductos[Agrupación]=ProductosPivot!QSK5)</f>
        <v>#VALUE!</v>
      </c>
      <c r="QSL6" s="68" t="e" cm="1" vm="1">
        <f t="array" ref="QSL6">_xlfn._xlws.FILTER(TablaProductos[Nombre producto],TablaProductos[Agrupación]=ProductosPivot!QSL5)</f>
        <v>#VALUE!</v>
      </c>
      <c r="QSM6" s="68" t="e" cm="1" vm="1">
        <f t="array" ref="QSM6">_xlfn._xlws.FILTER(TablaProductos[Nombre producto],TablaProductos[Agrupación]=ProductosPivot!QSM5)</f>
        <v>#VALUE!</v>
      </c>
      <c r="QSN6" s="68" t="e" cm="1" vm="1">
        <f t="array" ref="QSN6">_xlfn._xlws.FILTER(TablaProductos[Nombre producto],TablaProductos[Agrupación]=ProductosPivot!QSN5)</f>
        <v>#VALUE!</v>
      </c>
      <c r="QSO6" s="68" t="e" cm="1" vm="1">
        <f t="array" ref="QSO6">_xlfn._xlws.FILTER(TablaProductos[Nombre producto],TablaProductos[Agrupación]=ProductosPivot!QSO5)</f>
        <v>#VALUE!</v>
      </c>
      <c r="QSP6" s="68" t="e" cm="1" vm="1">
        <f t="array" ref="QSP6">_xlfn._xlws.FILTER(TablaProductos[Nombre producto],TablaProductos[Agrupación]=ProductosPivot!QSP5)</f>
        <v>#VALUE!</v>
      </c>
      <c r="QSQ6" s="68" t="e" cm="1" vm="1">
        <f t="array" ref="QSQ6">_xlfn._xlws.FILTER(TablaProductos[Nombre producto],TablaProductos[Agrupación]=ProductosPivot!QSQ5)</f>
        <v>#VALUE!</v>
      </c>
      <c r="QSR6" s="68" t="e" cm="1" vm="1">
        <f t="array" ref="QSR6">_xlfn._xlws.FILTER(TablaProductos[Nombre producto],TablaProductos[Agrupación]=ProductosPivot!QSR5)</f>
        <v>#VALUE!</v>
      </c>
      <c r="QSS6" s="68" t="e" cm="1" vm="1">
        <f t="array" ref="QSS6">_xlfn._xlws.FILTER(TablaProductos[Nombre producto],TablaProductos[Agrupación]=ProductosPivot!QSS5)</f>
        <v>#VALUE!</v>
      </c>
      <c r="QST6" s="68" t="e" cm="1" vm="1">
        <f t="array" ref="QST6">_xlfn._xlws.FILTER(TablaProductos[Nombre producto],TablaProductos[Agrupación]=ProductosPivot!QST5)</f>
        <v>#VALUE!</v>
      </c>
      <c r="QSU6" s="68" t="e" cm="1" vm="1">
        <f t="array" ref="QSU6">_xlfn._xlws.FILTER(TablaProductos[Nombre producto],TablaProductos[Agrupación]=ProductosPivot!QSU5)</f>
        <v>#VALUE!</v>
      </c>
      <c r="QSV6" s="68" t="e" cm="1" vm="1">
        <f t="array" ref="QSV6">_xlfn._xlws.FILTER(TablaProductos[Nombre producto],TablaProductos[Agrupación]=ProductosPivot!QSV5)</f>
        <v>#VALUE!</v>
      </c>
      <c r="QSW6" s="68" t="e" cm="1" vm="1">
        <f t="array" ref="QSW6">_xlfn._xlws.FILTER(TablaProductos[Nombre producto],TablaProductos[Agrupación]=ProductosPivot!QSW5)</f>
        <v>#VALUE!</v>
      </c>
      <c r="QSX6" s="68" t="e" cm="1" vm="1">
        <f t="array" ref="QSX6">_xlfn._xlws.FILTER(TablaProductos[Nombre producto],TablaProductos[Agrupación]=ProductosPivot!QSX5)</f>
        <v>#VALUE!</v>
      </c>
      <c r="QSY6" s="68" t="e" cm="1" vm="1">
        <f t="array" ref="QSY6">_xlfn._xlws.FILTER(TablaProductos[Nombre producto],TablaProductos[Agrupación]=ProductosPivot!QSY5)</f>
        <v>#VALUE!</v>
      </c>
      <c r="QSZ6" s="68" t="e" cm="1" vm="1">
        <f t="array" ref="QSZ6">_xlfn._xlws.FILTER(TablaProductos[Nombre producto],TablaProductos[Agrupación]=ProductosPivot!QSZ5)</f>
        <v>#VALUE!</v>
      </c>
      <c r="QTA6" s="68" t="e" cm="1" vm="1">
        <f t="array" ref="QTA6">_xlfn._xlws.FILTER(TablaProductos[Nombre producto],TablaProductos[Agrupación]=ProductosPivot!QTA5)</f>
        <v>#VALUE!</v>
      </c>
      <c r="QTB6" s="68" t="e" cm="1" vm="1">
        <f t="array" ref="QTB6">_xlfn._xlws.FILTER(TablaProductos[Nombre producto],TablaProductos[Agrupación]=ProductosPivot!QTB5)</f>
        <v>#VALUE!</v>
      </c>
      <c r="QTC6" s="68" t="e" cm="1" vm="1">
        <f t="array" ref="QTC6">_xlfn._xlws.FILTER(TablaProductos[Nombre producto],TablaProductos[Agrupación]=ProductosPivot!QTC5)</f>
        <v>#VALUE!</v>
      </c>
      <c r="QTD6" s="68" t="e" cm="1" vm="1">
        <f t="array" ref="QTD6">_xlfn._xlws.FILTER(TablaProductos[Nombre producto],TablaProductos[Agrupación]=ProductosPivot!QTD5)</f>
        <v>#VALUE!</v>
      </c>
      <c r="QTE6" s="68" t="e" cm="1" vm="1">
        <f t="array" ref="QTE6">_xlfn._xlws.FILTER(TablaProductos[Nombre producto],TablaProductos[Agrupación]=ProductosPivot!QTE5)</f>
        <v>#VALUE!</v>
      </c>
      <c r="QTF6" s="68" t="e" cm="1" vm="1">
        <f t="array" ref="QTF6">_xlfn._xlws.FILTER(TablaProductos[Nombre producto],TablaProductos[Agrupación]=ProductosPivot!QTF5)</f>
        <v>#VALUE!</v>
      </c>
      <c r="QTG6" s="68" t="e" cm="1" vm="1">
        <f t="array" ref="QTG6">_xlfn._xlws.FILTER(TablaProductos[Nombre producto],TablaProductos[Agrupación]=ProductosPivot!QTG5)</f>
        <v>#VALUE!</v>
      </c>
      <c r="QTH6" s="68" t="e" cm="1" vm="1">
        <f t="array" ref="QTH6">_xlfn._xlws.FILTER(TablaProductos[Nombre producto],TablaProductos[Agrupación]=ProductosPivot!QTH5)</f>
        <v>#VALUE!</v>
      </c>
      <c r="QTI6" s="68" t="e" cm="1" vm="1">
        <f t="array" ref="QTI6">_xlfn._xlws.FILTER(TablaProductos[Nombre producto],TablaProductos[Agrupación]=ProductosPivot!QTI5)</f>
        <v>#VALUE!</v>
      </c>
      <c r="QTJ6" s="68" t="e" cm="1" vm="1">
        <f t="array" ref="QTJ6">_xlfn._xlws.FILTER(TablaProductos[Nombre producto],TablaProductos[Agrupación]=ProductosPivot!QTJ5)</f>
        <v>#VALUE!</v>
      </c>
      <c r="QTK6" s="68" t="e" cm="1" vm="1">
        <f t="array" ref="QTK6">_xlfn._xlws.FILTER(TablaProductos[Nombre producto],TablaProductos[Agrupación]=ProductosPivot!QTK5)</f>
        <v>#VALUE!</v>
      </c>
      <c r="QTL6" s="68" t="e" cm="1" vm="1">
        <f t="array" ref="QTL6">_xlfn._xlws.FILTER(TablaProductos[Nombre producto],TablaProductos[Agrupación]=ProductosPivot!QTL5)</f>
        <v>#VALUE!</v>
      </c>
      <c r="QTM6" s="68" t="e" cm="1" vm="1">
        <f t="array" ref="QTM6">_xlfn._xlws.FILTER(TablaProductos[Nombre producto],TablaProductos[Agrupación]=ProductosPivot!QTM5)</f>
        <v>#VALUE!</v>
      </c>
      <c r="QTN6" s="68" t="e" cm="1" vm="1">
        <f t="array" ref="QTN6">_xlfn._xlws.FILTER(TablaProductos[Nombre producto],TablaProductos[Agrupación]=ProductosPivot!QTN5)</f>
        <v>#VALUE!</v>
      </c>
      <c r="QTO6" s="68" t="e" cm="1" vm="1">
        <f t="array" ref="QTO6">_xlfn._xlws.FILTER(TablaProductos[Nombre producto],TablaProductos[Agrupación]=ProductosPivot!QTO5)</f>
        <v>#VALUE!</v>
      </c>
      <c r="QTP6" s="68" t="e" cm="1" vm="1">
        <f t="array" ref="QTP6">_xlfn._xlws.FILTER(TablaProductos[Nombre producto],TablaProductos[Agrupación]=ProductosPivot!QTP5)</f>
        <v>#VALUE!</v>
      </c>
      <c r="QTQ6" s="68" t="e" cm="1" vm="1">
        <f t="array" ref="QTQ6">_xlfn._xlws.FILTER(TablaProductos[Nombre producto],TablaProductos[Agrupación]=ProductosPivot!QTQ5)</f>
        <v>#VALUE!</v>
      </c>
      <c r="QTR6" s="68" t="e" cm="1" vm="1">
        <f t="array" ref="QTR6">_xlfn._xlws.FILTER(TablaProductos[Nombre producto],TablaProductos[Agrupación]=ProductosPivot!QTR5)</f>
        <v>#VALUE!</v>
      </c>
      <c r="QTS6" s="68" t="e" cm="1" vm="1">
        <f t="array" ref="QTS6">_xlfn._xlws.FILTER(TablaProductos[Nombre producto],TablaProductos[Agrupación]=ProductosPivot!QTS5)</f>
        <v>#VALUE!</v>
      </c>
      <c r="QTT6" s="68" t="e" cm="1" vm="1">
        <f t="array" ref="QTT6">_xlfn._xlws.FILTER(TablaProductos[Nombre producto],TablaProductos[Agrupación]=ProductosPivot!QTT5)</f>
        <v>#VALUE!</v>
      </c>
      <c r="QTU6" s="68" t="e" cm="1" vm="1">
        <f t="array" ref="QTU6">_xlfn._xlws.FILTER(TablaProductos[Nombre producto],TablaProductos[Agrupación]=ProductosPivot!QTU5)</f>
        <v>#VALUE!</v>
      </c>
      <c r="QTV6" s="68" t="e" cm="1" vm="1">
        <f t="array" ref="QTV6">_xlfn._xlws.FILTER(TablaProductos[Nombre producto],TablaProductos[Agrupación]=ProductosPivot!QTV5)</f>
        <v>#VALUE!</v>
      </c>
      <c r="QTW6" s="68" t="e" cm="1" vm="1">
        <f t="array" ref="QTW6">_xlfn._xlws.FILTER(TablaProductos[Nombre producto],TablaProductos[Agrupación]=ProductosPivot!QTW5)</f>
        <v>#VALUE!</v>
      </c>
      <c r="QTX6" s="68" t="e" cm="1" vm="1">
        <f t="array" ref="QTX6">_xlfn._xlws.FILTER(TablaProductos[Nombre producto],TablaProductos[Agrupación]=ProductosPivot!QTX5)</f>
        <v>#VALUE!</v>
      </c>
      <c r="QTY6" s="68" t="e" cm="1" vm="1">
        <f t="array" ref="QTY6">_xlfn._xlws.FILTER(TablaProductos[Nombre producto],TablaProductos[Agrupación]=ProductosPivot!QTY5)</f>
        <v>#VALUE!</v>
      </c>
      <c r="QTZ6" s="68" t="e" cm="1" vm="1">
        <f t="array" ref="QTZ6">_xlfn._xlws.FILTER(TablaProductos[Nombre producto],TablaProductos[Agrupación]=ProductosPivot!QTZ5)</f>
        <v>#VALUE!</v>
      </c>
      <c r="QUA6" s="68" t="e" cm="1" vm="1">
        <f t="array" ref="QUA6">_xlfn._xlws.FILTER(TablaProductos[Nombre producto],TablaProductos[Agrupación]=ProductosPivot!QUA5)</f>
        <v>#VALUE!</v>
      </c>
      <c r="QUB6" s="68" t="e" cm="1" vm="1">
        <f t="array" ref="QUB6">_xlfn._xlws.FILTER(TablaProductos[Nombre producto],TablaProductos[Agrupación]=ProductosPivot!QUB5)</f>
        <v>#VALUE!</v>
      </c>
      <c r="QUC6" s="68" t="e" cm="1" vm="1">
        <f t="array" ref="QUC6">_xlfn._xlws.FILTER(TablaProductos[Nombre producto],TablaProductos[Agrupación]=ProductosPivot!QUC5)</f>
        <v>#VALUE!</v>
      </c>
      <c r="QUD6" s="68" t="e" cm="1" vm="1">
        <f t="array" ref="QUD6">_xlfn._xlws.FILTER(TablaProductos[Nombre producto],TablaProductos[Agrupación]=ProductosPivot!QUD5)</f>
        <v>#VALUE!</v>
      </c>
      <c r="QUE6" s="68" t="e" cm="1" vm="1">
        <f t="array" ref="QUE6">_xlfn._xlws.FILTER(TablaProductos[Nombre producto],TablaProductos[Agrupación]=ProductosPivot!QUE5)</f>
        <v>#VALUE!</v>
      </c>
      <c r="QUF6" s="68" t="e" cm="1" vm="1">
        <f t="array" ref="QUF6">_xlfn._xlws.FILTER(TablaProductos[Nombre producto],TablaProductos[Agrupación]=ProductosPivot!QUF5)</f>
        <v>#VALUE!</v>
      </c>
      <c r="QUG6" s="68" t="e" cm="1" vm="1">
        <f t="array" ref="QUG6">_xlfn._xlws.FILTER(TablaProductos[Nombre producto],TablaProductos[Agrupación]=ProductosPivot!QUG5)</f>
        <v>#VALUE!</v>
      </c>
      <c r="QUH6" s="68" t="e" cm="1" vm="1">
        <f t="array" ref="QUH6">_xlfn._xlws.FILTER(TablaProductos[Nombre producto],TablaProductos[Agrupación]=ProductosPivot!QUH5)</f>
        <v>#VALUE!</v>
      </c>
      <c r="QUI6" s="68" t="e" cm="1" vm="1">
        <f t="array" ref="QUI6">_xlfn._xlws.FILTER(TablaProductos[Nombre producto],TablaProductos[Agrupación]=ProductosPivot!QUI5)</f>
        <v>#VALUE!</v>
      </c>
      <c r="QUJ6" s="68" t="e" cm="1" vm="1">
        <f t="array" ref="QUJ6">_xlfn._xlws.FILTER(TablaProductos[Nombre producto],TablaProductos[Agrupación]=ProductosPivot!QUJ5)</f>
        <v>#VALUE!</v>
      </c>
      <c r="QUK6" s="68" t="e" cm="1" vm="1">
        <f t="array" ref="QUK6">_xlfn._xlws.FILTER(TablaProductos[Nombre producto],TablaProductos[Agrupación]=ProductosPivot!QUK5)</f>
        <v>#VALUE!</v>
      </c>
      <c r="QUL6" s="68" t="e" cm="1" vm="1">
        <f t="array" ref="QUL6">_xlfn._xlws.FILTER(TablaProductos[Nombre producto],TablaProductos[Agrupación]=ProductosPivot!QUL5)</f>
        <v>#VALUE!</v>
      </c>
      <c r="QUM6" s="68" t="e" cm="1" vm="1">
        <f t="array" ref="QUM6">_xlfn._xlws.FILTER(TablaProductos[Nombre producto],TablaProductos[Agrupación]=ProductosPivot!QUM5)</f>
        <v>#VALUE!</v>
      </c>
      <c r="QUN6" s="68" t="e" cm="1" vm="1">
        <f t="array" ref="QUN6">_xlfn._xlws.FILTER(TablaProductos[Nombre producto],TablaProductos[Agrupación]=ProductosPivot!QUN5)</f>
        <v>#VALUE!</v>
      </c>
      <c r="QUO6" s="68" t="e" cm="1" vm="1">
        <f t="array" ref="QUO6">_xlfn._xlws.FILTER(TablaProductos[Nombre producto],TablaProductos[Agrupación]=ProductosPivot!QUO5)</f>
        <v>#VALUE!</v>
      </c>
      <c r="QUP6" s="68" t="e" cm="1" vm="1">
        <f t="array" ref="QUP6">_xlfn._xlws.FILTER(TablaProductos[Nombre producto],TablaProductos[Agrupación]=ProductosPivot!QUP5)</f>
        <v>#VALUE!</v>
      </c>
      <c r="QUQ6" s="68" t="e" cm="1" vm="1">
        <f t="array" ref="QUQ6">_xlfn._xlws.FILTER(TablaProductos[Nombre producto],TablaProductos[Agrupación]=ProductosPivot!QUQ5)</f>
        <v>#VALUE!</v>
      </c>
      <c r="QUR6" s="68" t="e" cm="1" vm="1">
        <f t="array" ref="QUR6">_xlfn._xlws.FILTER(TablaProductos[Nombre producto],TablaProductos[Agrupación]=ProductosPivot!QUR5)</f>
        <v>#VALUE!</v>
      </c>
      <c r="QUS6" s="68" t="e" cm="1" vm="1">
        <f t="array" ref="QUS6">_xlfn._xlws.FILTER(TablaProductos[Nombre producto],TablaProductos[Agrupación]=ProductosPivot!QUS5)</f>
        <v>#VALUE!</v>
      </c>
      <c r="QUT6" s="68" t="e" cm="1" vm="1">
        <f t="array" ref="QUT6">_xlfn._xlws.FILTER(TablaProductos[Nombre producto],TablaProductos[Agrupación]=ProductosPivot!QUT5)</f>
        <v>#VALUE!</v>
      </c>
      <c r="QUU6" s="68" t="e" cm="1" vm="1">
        <f t="array" ref="QUU6">_xlfn._xlws.FILTER(TablaProductos[Nombre producto],TablaProductos[Agrupación]=ProductosPivot!QUU5)</f>
        <v>#VALUE!</v>
      </c>
      <c r="QUV6" s="68" t="e" cm="1" vm="1">
        <f t="array" ref="QUV6">_xlfn._xlws.FILTER(TablaProductos[Nombre producto],TablaProductos[Agrupación]=ProductosPivot!QUV5)</f>
        <v>#VALUE!</v>
      </c>
      <c r="QUW6" s="68" t="e" cm="1" vm="1">
        <f t="array" ref="QUW6">_xlfn._xlws.FILTER(TablaProductos[Nombre producto],TablaProductos[Agrupación]=ProductosPivot!QUW5)</f>
        <v>#VALUE!</v>
      </c>
      <c r="QUX6" s="68" t="e" cm="1" vm="1">
        <f t="array" ref="QUX6">_xlfn._xlws.FILTER(TablaProductos[Nombre producto],TablaProductos[Agrupación]=ProductosPivot!QUX5)</f>
        <v>#VALUE!</v>
      </c>
      <c r="QUY6" s="68" t="e" cm="1" vm="1">
        <f t="array" ref="QUY6">_xlfn._xlws.FILTER(TablaProductos[Nombre producto],TablaProductos[Agrupación]=ProductosPivot!QUY5)</f>
        <v>#VALUE!</v>
      </c>
      <c r="QUZ6" s="68" t="e" cm="1" vm="1">
        <f t="array" ref="QUZ6">_xlfn._xlws.FILTER(TablaProductos[Nombre producto],TablaProductos[Agrupación]=ProductosPivot!QUZ5)</f>
        <v>#VALUE!</v>
      </c>
      <c r="QVA6" s="68" t="e" cm="1" vm="1">
        <f t="array" ref="QVA6">_xlfn._xlws.FILTER(TablaProductos[Nombre producto],TablaProductos[Agrupación]=ProductosPivot!QVA5)</f>
        <v>#VALUE!</v>
      </c>
      <c r="QVB6" s="68" t="e" cm="1" vm="1">
        <f t="array" ref="QVB6">_xlfn._xlws.FILTER(TablaProductos[Nombre producto],TablaProductos[Agrupación]=ProductosPivot!QVB5)</f>
        <v>#VALUE!</v>
      </c>
      <c r="QVC6" s="68" t="e" cm="1" vm="1">
        <f t="array" ref="QVC6">_xlfn._xlws.FILTER(TablaProductos[Nombre producto],TablaProductos[Agrupación]=ProductosPivot!QVC5)</f>
        <v>#VALUE!</v>
      </c>
      <c r="QVD6" s="68" t="e" cm="1" vm="1">
        <f t="array" ref="QVD6">_xlfn._xlws.FILTER(TablaProductos[Nombre producto],TablaProductos[Agrupación]=ProductosPivot!QVD5)</f>
        <v>#VALUE!</v>
      </c>
      <c r="QVE6" s="68" t="e" cm="1" vm="1">
        <f t="array" ref="QVE6">_xlfn._xlws.FILTER(TablaProductos[Nombre producto],TablaProductos[Agrupación]=ProductosPivot!QVE5)</f>
        <v>#VALUE!</v>
      </c>
      <c r="QVF6" s="68" t="e" cm="1" vm="1">
        <f t="array" ref="QVF6">_xlfn._xlws.FILTER(TablaProductos[Nombre producto],TablaProductos[Agrupación]=ProductosPivot!QVF5)</f>
        <v>#VALUE!</v>
      </c>
      <c r="QVG6" s="68" t="e" cm="1" vm="1">
        <f t="array" ref="QVG6">_xlfn._xlws.FILTER(TablaProductos[Nombre producto],TablaProductos[Agrupación]=ProductosPivot!QVG5)</f>
        <v>#VALUE!</v>
      </c>
      <c r="QVH6" s="68" t="e" cm="1" vm="1">
        <f t="array" ref="QVH6">_xlfn._xlws.FILTER(TablaProductos[Nombre producto],TablaProductos[Agrupación]=ProductosPivot!QVH5)</f>
        <v>#VALUE!</v>
      </c>
      <c r="QVI6" s="68" t="e" cm="1" vm="1">
        <f t="array" ref="QVI6">_xlfn._xlws.FILTER(TablaProductos[Nombre producto],TablaProductos[Agrupación]=ProductosPivot!QVI5)</f>
        <v>#VALUE!</v>
      </c>
      <c r="QVJ6" s="68" t="e" cm="1" vm="1">
        <f t="array" ref="QVJ6">_xlfn._xlws.FILTER(TablaProductos[Nombre producto],TablaProductos[Agrupación]=ProductosPivot!QVJ5)</f>
        <v>#VALUE!</v>
      </c>
      <c r="QVK6" s="68" t="e" cm="1" vm="1">
        <f t="array" ref="QVK6">_xlfn._xlws.FILTER(TablaProductos[Nombre producto],TablaProductos[Agrupación]=ProductosPivot!QVK5)</f>
        <v>#VALUE!</v>
      </c>
      <c r="QVL6" s="68" t="e" cm="1" vm="1">
        <f t="array" ref="QVL6">_xlfn._xlws.FILTER(TablaProductos[Nombre producto],TablaProductos[Agrupación]=ProductosPivot!QVL5)</f>
        <v>#VALUE!</v>
      </c>
      <c r="QVM6" s="68" t="e" cm="1" vm="1">
        <f t="array" ref="QVM6">_xlfn._xlws.FILTER(TablaProductos[Nombre producto],TablaProductos[Agrupación]=ProductosPivot!QVM5)</f>
        <v>#VALUE!</v>
      </c>
      <c r="QVN6" s="68" t="e" cm="1" vm="1">
        <f t="array" ref="QVN6">_xlfn._xlws.FILTER(TablaProductos[Nombre producto],TablaProductos[Agrupación]=ProductosPivot!QVN5)</f>
        <v>#VALUE!</v>
      </c>
      <c r="QVO6" s="68" t="e" cm="1" vm="1">
        <f t="array" ref="QVO6">_xlfn._xlws.FILTER(TablaProductos[Nombre producto],TablaProductos[Agrupación]=ProductosPivot!QVO5)</f>
        <v>#VALUE!</v>
      </c>
      <c r="QVP6" s="68" t="e" cm="1" vm="1">
        <f t="array" ref="QVP6">_xlfn._xlws.FILTER(TablaProductos[Nombre producto],TablaProductos[Agrupación]=ProductosPivot!QVP5)</f>
        <v>#VALUE!</v>
      </c>
      <c r="QVQ6" s="68" t="e" cm="1" vm="1">
        <f t="array" ref="QVQ6">_xlfn._xlws.FILTER(TablaProductos[Nombre producto],TablaProductos[Agrupación]=ProductosPivot!QVQ5)</f>
        <v>#VALUE!</v>
      </c>
      <c r="QVR6" s="68" t="e" cm="1" vm="1">
        <f t="array" ref="QVR6">_xlfn._xlws.FILTER(TablaProductos[Nombre producto],TablaProductos[Agrupación]=ProductosPivot!QVR5)</f>
        <v>#VALUE!</v>
      </c>
      <c r="QVS6" s="68" t="e" cm="1" vm="1">
        <f t="array" ref="QVS6">_xlfn._xlws.FILTER(TablaProductos[Nombre producto],TablaProductos[Agrupación]=ProductosPivot!QVS5)</f>
        <v>#VALUE!</v>
      </c>
      <c r="QVT6" s="68" t="e" cm="1" vm="1">
        <f t="array" ref="QVT6">_xlfn._xlws.FILTER(TablaProductos[Nombre producto],TablaProductos[Agrupación]=ProductosPivot!QVT5)</f>
        <v>#VALUE!</v>
      </c>
      <c r="QVU6" s="68" t="e" cm="1" vm="1">
        <f t="array" ref="QVU6">_xlfn._xlws.FILTER(TablaProductos[Nombre producto],TablaProductos[Agrupación]=ProductosPivot!QVU5)</f>
        <v>#VALUE!</v>
      </c>
      <c r="QVV6" s="68" t="e" cm="1" vm="1">
        <f t="array" ref="QVV6">_xlfn._xlws.FILTER(TablaProductos[Nombre producto],TablaProductos[Agrupación]=ProductosPivot!QVV5)</f>
        <v>#VALUE!</v>
      </c>
      <c r="QVW6" s="68" t="e" cm="1" vm="1">
        <f t="array" ref="QVW6">_xlfn._xlws.FILTER(TablaProductos[Nombre producto],TablaProductos[Agrupación]=ProductosPivot!QVW5)</f>
        <v>#VALUE!</v>
      </c>
      <c r="QVX6" s="68" t="e" cm="1" vm="1">
        <f t="array" ref="QVX6">_xlfn._xlws.FILTER(TablaProductos[Nombre producto],TablaProductos[Agrupación]=ProductosPivot!QVX5)</f>
        <v>#VALUE!</v>
      </c>
      <c r="QVY6" s="68" t="e" cm="1" vm="1">
        <f t="array" ref="QVY6">_xlfn._xlws.FILTER(TablaProductos[Nombre producto],TablaProductos[Agrupación]=ProductosPivot!QVY5)</f>
        <v>#VALUE!</v>
      </c>
      <c r="QVZ6" s="68" t="e" cm="1" vm="1">
        <f t="array" ref="QVZ6">_xlfn._xlws.FILTER(TablaProductos[Nombre producto],TablaProductos[Agrupación]=ProductosPivot!QVZ5)</f>
        <v>#VALUE!</v>
      </c>
      <c r="QWA6" s="68" t="e" cm="1" vm="1">
        <f t="array" ref="QWA6">_xlfn._xlws.FILTER(TablaProductos[Nombre producto],TablaProductos[Agrupación]=ProductosPivot!QWA5)</f>
        <v>#VALUE!</v>
      </c>
      <c r="QWB6" s="68" t="e" cm="1" vm="1">
        <f t="array" ref="QWB6">_xlfn._xlws.FILTER(TablaProductos[Nombre producto],TablaProductos[Agrupación]=ProductosPivot!QWB5)</f>
        <v>#VALUE!</v>
      </c>
      <c r="QWC6" s="68" t="e" cm="1" vm="1">
        <f t="array" ref="QWC6">_xlfn._xlws.FILTER(TablaProductos[Nombre producto],TablaProductos[Agrupación]=ProductosPivot!QWC5)</f>
        <v>#VALUE!</v>
      </c>
      <c r="QWD6" s="68" t="e" cm="1" vm="1">
        <f t="array" ref="QWD6">_xlfn._xlws.FILTER(TablaProductos[Nombre producto],TablaProductos[Agrupación]=ProductosPivot!QWD5)</f>
        <v>#VALUE!</v>
      </c>
      <c r="QWE6" s="68" t="e" cm="1" vm="1">
        <f t="array" ref="QWE6">_xlfn._xlws.FILTER(TablaProductos[Nombre producto],TablaProductos[Agrupación]=ProductosPivot!QWE5)</f>
        <v>#VALUE!</v>
      </c>
      <c r="QWF6" s="68" t="e" cm="1" vm="1">
        <f t="array" ref="QWF6">_xlfn._xlws.FILTER(TablaProductos[Nombre producto],TablaProductos[Agrupación]=ProductosPivot!QWF5)</f>
        <v>#VALUE!</v>
      </c>
      <c r="QWG6" s="68" t="e" cm="1" vm="1">
        <f t="array" ref="QWG6">_xlfn._xlws.FILTER(TablaProductos[Nombre producto],TablaProductos[Agrupación]=ProductosPivot!QWG5)</f>
        <v>#VALUE!</v>
      </c>
      <c r="QWH6" s="68" t="e" cm="1" vm="1">
        <f t="array" ref="QWH6">_xlfn._xlws.FILTER(TablaProductos[Nombre producto],TablaProductos[Agrupación]=ProductosPivot!QWH5)</f>
        <v>#VALUE!</v>
      </c>
      <c r="QWI6" s="68" t="e" cm="1" vm="1">
        <f t="array" ref="QWI6">_xlfn._xlws.FILTER(TablaProductos[Nombre producto],TablaProductos[Agrupación]=ProductosPivot!QWI5)</f>
        <v>#VALUE!</v>
      </c>
      <c r="QWJ6" s="68" t="e" cm="1" vm="1">
        <f t="array" ref="QWJ6">_xlfn._xlws.FILTER(TablaProductos[Nombre producto],TablaProductos[Agrupación]=ProductosPivot!QWJ5)</f>
        <v>#VALUE!</v>
      </c>
      <c r="QWK6" s="68" t="e" cm="1" vm="1">
        <f t="array" ref="QWK6">_xlfn._xlws.FILTER(TablaProductos[Nombre producto],TablaProductos[Agrupación]=ProductosPivot!QWK5)</f>
        <v>#VALUE!</v>
      </c>
      <c r="QWL6" s="68" t="e" cm="1" vm="1">
        <f t="array" ref="QWL6">_xlfn._xlws.FILTER(TablaProductos[Nombre producto],TablaProductos[Agrupación]=ProductosPivot!QWL5)</f>
        <v>#VALUE!</v>
      </c>
      <c r="QWM6" s="68" t="e" cm="1" vm="1">
        <f t="array" ref="QWM6">_xlfn._xlws.FILTER(TablaProductos[Nombre producto],TablaProductos[Agrupación]=ProductosPivot!QWM5)</f>
        <v>#VALUE!</v>
      </c>
      <c r="QWN6" s="68" t="e" cm="1" vm="1">
        <f t="array" ref="QWN6">_xlfn._xlws.FILTER(TablaProductos[Nombre producto],TablaProductos[Agrupación]=ProductosPivot!QWN5)</f>
        <v>#VALUE!</v>
      </c>
      <c r="QWO6" s="68" t="e" cm="1" vm="1">
        <f t="array" ref="QWO6">_xlfn._xlws.FILTER(TablaProductos[Nombre producto],TablaProductos[Agrupación]=ProductosPivot!QWO5)</f>
        <v>#VALUE!</v>
      </c>
      <c r="QWP6" s="68" t="e" cm="1" vm="1">
        <f t="array" ref="QWP6">_xlfn._xlws.FILTER(TablaProductos[Nombre producto],TablaProductos[Agrupación]=ProductosPivot!QWP5)</f>
        <v>#VALUE!</v>
      </c>
      <c r="QWQ6" s="68" t="e" cm="1" vm="1">
        <f t="array" ref="QWQ6">_xlfn._xlws.FILTER(TablaProductos[Nombre producto],TablaProductos[Agrupación]=ProductosPivot!QWQ5)</f>
        <v>#VALUE!</v>
      </c>
      <c r="QWR6" s="68" t="e" cm="1" vm="1">
        <f t="array" ref="QWR6">_xlfn._xlws.FILTER(TablaProductos[Nombre producto],TablaProductos[Agrupación]=ProductosPivot!QWR5)</f>
        <v>#VALUE!</v>
      </c>
      <c r="QWS6" s="68" t="e" cm="1" vm="1">
        <f t="array" ref="QWS6">_xlfn._xlws.FILTER(TablaProductos[Nombre producto],TablaProductos[Agrupación]=ProductosPivot!QWS5)</f>
        <v>#VALUE!</v>
      </c>
      <c r="QWT6" s="68" t="e" cm="1" vm="1">
        <f t="array" ref="QWT6">_xlfn._xlws.FILTER(TablaProductos[Nombre producto],TablaProductos[Agrupación]=ProductosPivot!QWT5)</f>
        <v>#VALUE!</v>
      </c>
      <c r="QWU6" s="68" t="e" cm="1" vm="1">
        <f t="array" ref="QWU6">_xlfn._xlws.FILTER(TablaProductos[Nombre producto],TablaProductos[Agrupación]=ProductosPivot!QWU5)</f>
        <v>#VALUE!</v>
      </c>
      <c r="QWV6" s="68" t="e" cm="1" vm="1">
        <f t="array" ref="QWV6">_xlfn._xlws.FILTER(TablaProductos[Nombre producto],TablaProductos[Agrupación]=ProductosPivot!QWV5)</f>
        <v>#VALUE!</v>
      </c>
      <c r="QWW6" s="68" t="e" cm="1" vm="1">
        <f t="array" ref="QWW6">_xlfn._xlws.FILTER(TablaProductos[Nombre producto],TablaProductos[Agrupación]=ProductosPivot!QWW5)</f>
        <v>#VALUE!</v>
      </c>
      <c r="QWX6" s="68" t="e" cm="1" vm="1">
        <f t="array" ref="QWX6">_xlfn._xlws.FILTER(TablaProductos[Nombre producto],TablaProductos[Agrupación]=ProductosPivot!QWX5)</f>
        <v>#VALUE!</v>
      </c>
      <c r="QWY6" s="68" t="e" cm="1" vm="1">
        <f t="array" ref="QWY6">_xlfn._xlws.FILTER(TablaProductos[Nombre producto],TablaProductos[Agrupación]=ProductosPivot!QWY5)</f>
        <v>#VALUE!</v>
      </c>
      <c r="QWZ6" s="68" t="e" cm="1" vm="1">
        <f t="array" ref="QWZ6">_xlfn._xlws.FILTER(TablaProductos[Nombre producto],TablaProductos[Agrupación]=ProductosPivot!QWZ5)</f>
        <v>#VALUE!</v>
      </c>
      <c r="QXA6" s="68" t="e" cm="1" vm="1">
        <f t="array" ref="QXA6">_xlfn._xlws.FILTER(TablaProductos[Nombre producto],TablaProductos[Agrupación]=ProductosPivot!QXA5)</f>
        <v>#VALUE!</v>
      </c>
      <c r="QXB6" s="68" t="e" cm="1" vm="1">
        <f t="array" ref="QXB6">_xlfn._xlws.FILTER(TablaProductos[Nombre producto],TablaProductos[Agrupación]=ProductosPivot!QXB5)</f>
        <v>#VALUE!</v>
      </c>
      <c r="QXC6" s="68" t="e" cm="1" vm="1">
        <f t="array" ref="QXC6">_xlfn._xlws.FILTER(TablaProductos[Nombre producto],TablaProductos[Agrupación]=ProductosPivot!QXC5)</f>
        <v>#VALUE!</v>
      </c>
      <c r="QXD6" s="68" t="e" cm="1" vm="1">
        <f t="array" ref="QXD6">_xlfn._xlws.FILTER(TablaProductos[Nombre producto],TablaProductos[Agrupación]=ProductosPivot!QXD5)</f>
        <v>#VALUE!</v>
      </c>
      <c r="QXE6" s="68" t="e" cm="1" vm="1">
        <f t="array" ref="QXE6">_xlfn._xlws.FILTER(TablaProductos[Nombre producto],TablaProductos[Agrupación]=ProductosPivot!QXE5)</f>
        <v>#VALUE!</v>
      </c>
      <c r="QXF6" s="68" t="e" cm="1" vm="1">
        <f t="array" ref="QXF6">_xlfn._xlws.FILTER(TablaProductos[Nombre producto],TablaProductos[Agrupación]=ProductosPivot!QXF5)</f>
        <v>#VALUE!</v>
      </c>
      <c r="QXG6" s="68" t="e" cm="1" vm="1">
        <f t="array" ref="QXG6">_xlfn._xlws.FILTER(TablaProductos[Nombre producto],TablaProductos[Agrupación]=ProductosPivot!QXG5)</f>
        <v>#VALUE!</v>
      </c>
      <c r="QXH6" s="68" t="e" cm="1" vm="1">
        <f t="array" ref="QXH6">_xlfn._xlws.FILTER(TablaProductos[Nombre producto],TablaProductos[Agrupación]=ProductosPivot!QXH5)</f>
        <v>#VALUE!</v>
      </c>
      <c r="QXI6" s="68" t="e" cm="1" vm="1">
        <f t="array" ref="QXI6">_xlfn._xlws.FILTER(TablaProductos[Nombre producto],TablaProductos[Agrupación]=ProductosPivot!QXI5)</f>
        <v>#VALUE!</v>
      </c>
      <c r="QXJ6" s="68" t="e" cm="1" vm="1">
        <f t="array" ref="QXJ6">_xlfn._xlws.FILTER(TablaProductos[Nombre producto],TablaProductos[Agrupación]=ProductosPivot!QXJ5)</f>
        <v>#VALUE!</v>
      </c>
      <c r="QXK6" s="68" t="e" cm="1" vm="1">
        <f t="array" ref="QXK6">_xlfn._xlws.FILTER(TablaProductos[Nombre producto],TablaProductos[Agrupación]=ProductosPivot!QXK5)</f>
        <v>#VALUE!</v>
      </c>
      <c r="QXL6" s="68" t="e" cm="1" vm="1">
        <f t="array" ref="QXL6">_xlfn._xlws.FILTER(TablaProductos[Nombre producto],TablaProductos[Agrupación]=ProductosPivot!QXL5)</f>
        <v>#VALUE!</v>
      </c>
      <c r="QXM6" s="68" t="e" cm="1" vm="1">
        <f t="array" ref="QXM6">_xlfn._xlws.FILTER(TablaProductos[Nombre producto],TablaProductos[Agrupación]=ProductosPivot!QXM5)</f>
        <v>#VALUE!</v>
      </c>
      <c r="QXN6" s="68" t="e" cm="1" vm="1">
        <f t="array" ref="QXN6">_xlfn._xlws.FILTER(TablaProductos[Nombre producto],TablaProductos[Agrupación]=ProductosPivot!QXN5)</f>
        <v>#VALUE!</v>
      </c>
      <c r="QXO6" s="68" t="e" cm="1" vm="1">
        <f t="array" ref="QXO6">_xlfn._xlws.FILTER(TablaProductos[Nombre producto],TablaProductos[Agrupación]=ProductosPivot!QXO5)</f>
        <v>#VALUE!</v>
      </c>
      <c r="QXP6" s="68" t="e" cm="1" vm="1">
        <f t="array" ref="QXP6">_xlfn._xlws.FILTER(TablaProductos[Nombre producto],TablaProductos[Agrupación]=ProductosPivot!QXP5)</f>
        <v>#VALUE!</v>
      </c>
      <c r="QXQ6" s="68" t="e" cm="1" vm="1">
        <f t="array" ref="QXQ6">_xlfn._xlws.FILTER(TablaProductos[Nombre producto],TablaProductos[Agrupación]=ProductosPivot!QXQ5)</f>
        <v>#VALUE!</v>
      </c>
      <c r="QXR6" s="68" t="e" cm="1" vm="1">
        <f t="array" ref="QXR6">_xlfn._xlws.FILTER(TablaProductos[Nombre producto],TablaProductos[Agrupación]=ProductosPivot!QXR5)</f>
        <v>#VALUE!</v>
      </c>
      <c r="QXS6" s="68" t="e" cm="1" vm="1">
        <f t="array" ref="QXS6">_xlfn._xlws.FILTER(TablaProductos[Nombre producto],TablaProductos[Agrupación]=ProductosPivot!QXS5)</f>
        <v>#VALUE!</v>
      </c>
      <c r="QXT6" s="68" t="e" cm="1" vm="1">
        <f t="array" ref="QXT6">_xlfn._xlws.FILTER(TablaProductos[Nombre producto],TablaProductos[Agrupación]=ProductosPivot!QXT5)</f>
        <v>#VALUE!</v>
      </c>
      <c r="QXU6" s="68" t="e" cm="1" vm="1">
        <f t="array" ref="QXU6">_xlfn._xlws.FILTER(TablaProductos[Nombre producto],TablaProductos[Agrupación]=ProductosPivot!QXU5)</f>
        <v>#VALUE!</v>
      </c>
      <c r="QXV6" s="68" t="e" cm="1" vm="1">
        <f t="array" ref="QXV6">_xlfn._xlws.FILTER(TablaProductos[Nombre producto],TablaProductos[Agrupación]=ProductosPivot!QXV5)</f>
        <v>#VALUE!</v>
      </c>
      <c r="QXW6" s="68" t="e" cm="1" vm="1">
        <f t="array" ref="QXW6">_xlfn._xlws.FILTER(TablaProductos[Nombre producto],TablaProductos[Agrupación]=ProductosPivot!QXW5)</f>
        <v>#VALUE!</v>
      </c>
      <c r="QXX6" s="68" t="e" cm="1" vm="1">
        <f t="array" ref="QXX6">_xlfn._xlws.FILTER(TablaProductos[Nombre producto],TablaProductos[Agrupación]=ProductosPivot!QXX5)</f>
        <v>#VALUE!</v>
      </c>
      <c r="QXY6" s="68" t="e" cm="1" vm="1">
        <f t="array" ref="QXY6">_xlfn._xlws.FILTER(TablaProductos[Nombre producto],TablaProductos[Agrupación]=ProductosPivot!QXY5)</f>
        <v>#VALUE!</v>
      </c>
      <c r="QXZ6" s="68" t="e" cm="1" vm="1">
        <f t="array" ref="QXZ6">_xlfn._xlws.FILTER(TablaProductos[Nombre producto],TablaProductos[Agrupación]=ProductosPivot!QXZ5)</f>
        <v>#VALUE!</v>
      </c>
      <c r="QYA6" s="68" t="e" cm="1" vm="1">
        <f t="array" ref="QYA6">_xlfn._xlws.FILTER(TablaProductos[Nombre producto],TablaProductos[Agrupación]=ProductosPivot!QYA5)</f>
        <v>#VALUE!</v>
      </c>
      <c r="QYB6" s="68" t="e" cm="1" vm="1">
        <f t="array" ref="QYB6">_xlfn._xlws.FILTER(TablaProductos[Nombre producto],TablaProductos[Agrupación]=ProductosPivot!QYB5)</f>
        <v>#VALUE!</v>
      </c>
      <c r="QYC6" s="68" t="e" cm="1" vm="1">
        <f t="array" ref="QYC6">_xlfn._xlws.FILTER(TablaProductos[Nombre producto],TablaProductos[Agrupación]=ProductosPivot!QYC5)</f>
        <v>#VALUE!</v>
      </c>
      <c r="QYD6" s="68" t="e" cm="1" vm="1">
        <f t="array" ref="QYD6">_xlfn._xlws.FILTER(TablaProductos[Nombre producto],TablaProductos[Agrupación]=ProductosPivot!QYD5)</f>
        <v>#VALUE!</v>
      </c>
      <c r="QYE6" s="68" t="e" cm="1" vm="1">
        <f t="array" ref="QYE6">_xlfn._xlws.FILTER(TablaProductos[Nombre producto],TablaProductos[Agrupación]=ProductosPivot!QYE5)</f>
        <v>#VALUE!</v>
      </c>
      <c r="QYF6" s="68" t="e" cm="1" vm="1">
        <f t="array" ref="QYF6">_xlfn._xlws.FILTER(TablaProductos[Nombre producto],TablaProductos[Agrupación]=ProductosPivot!QYF5)</f>
        <v>#VALUE!</v>
      </c>
      <c r="QYG6" s="68" t="e" cm="1" vm="1">
        <f t="array" ref="QYG6">_xlfn._xlws.FILTER(TablaProductos[Nombre producto],TablaProductos[Agrupación]=ProductosPivot!QYG5)</f>
        <v>#VALUE!</v>
      </c>
      <c r="QYH6" s="68" t="e" cm="1" vm="1">
        <f t="array" ref="QYH6">_xlfn._xlws.FILTER(TablaProductos[Nombre producto],TablaProductos[Agrupación]=ProductosPivot!QYH5)</f>
        <v>#VALUE!</v>
      </c>
      <c r="QYI6" s="68" t="e" cm="1" vm="1">
        <f t="array" ref="QYI6">_xlfn._xlws.FILTER(TablaProductos[Nombre producto],TablaProductos[Agrupación]=ProductosPivot!QYI5)</f>
        <v>#VALUE!</v>
      </c>
      <c r="QYJ6" s="68" t="e" cm="1" vm="1">
        <f t="array" ref="QYJ6">_xlfn._xlws.FILTER(TablaProductos[Nombre producto],TablaProductos[Agrupación]=ProductosPivot!QYJ5)</f>
        <v>#VALUE!</v>
      </c>
      <c r="QYK6" s="68" t="e" cm="1" vm="1">
        <f t="array" ref="QYK6">_xlfn._xlws.FILTER(TablaProductos[Nombre producto],TablaProductos[Agrupación]=ProductosPivot!QYK5)</f>
        <v>#VALUE!</v>
      </c>
      <c r="QYL6" s="68" t="e" cm="1" vm="1">
        <f t="array" ref="QYL6">_xlfn._xlws.FILTER(TablaProductos[Nombre producto],TablaProductos[Agrupación]=ProductosPivot!QYL5)</f>
        <v>#VALUE!</v>
      </c>
      <c r="QYM6" s="68" t="e" cm="1" vm="1">
        <f t="array" ref="QYM6">_xlfn._xlws.FILTER(TablaProductos[Nombre producto],TablaProductos[Agrupación]=ProductosPivot!QYM5)</f>
        <v>#VALUE!</v>
      </c>
      <c r="QYN6" s="68" t="e" cm="1" vm="1">
        <f t="array" ref="QYN6">_xlfn._xlws.FILTER(TablaProductos[Nombre producto],TablaProductos[Agrupación]=ProductosPivot!QYN5)</f>
        <v>#VALUE!</v>
      </c>
      <c r="QYO6" s="68" t="e" cm="1" vm="1">
        <f t="array" ref="QYO6">_xlfn._xlws.FILTER(TablaProductos[Nombre producto],TablaProductos[Agrupación]=ProductosPivot!QYO5)</f>
        <v>#VALUE!</v>
      </c>
      <c r="QYP6" s="68" t="e" cm="1" vm="1">
        <f t="array" ref="QYP6">_xlfn._xlws.FILTER(TablaProductos[Nombre producto],TablaProductos[Agrupación]=ProductosPivot!QYP5)</f>
        <v>#VALUE!</v>
      </c>
      <c r="QYQ6" s="68" t="e" cm="1" vm="1">
        <f t="array" ref="QYQ6">_xlfn._xlws.FILTER(TablaProductos[Nombre producto],TablaProductos[Agrupación]=ProductosPivot!QYQ5)</f>
        <v>#VALUE!</v>
      </c>
      <c r="QYR6" s="68" t="e" cm="1" vm="1">
        <f t="array" ref="QYR6">_xlfn._xlws.FILTER(TablaProductos[Nombre producto],TablaProductos[Agrupación]=ProductosPivot!QYR5)</f>
        <v>#VALUE!</v>
      </c>
      <c r="QYS6" s="68" t="e" cm="1" vm="1">
        <f t="array" ref="QYS6">_xlfn._xlws.FILTER(TablaProductos[Nombre producto],TablaProductos[Agrupación]=ProductosPivot!QYS5)</f>
        <v>#VALUE!</v>
      </c>
      <c r="QYT6" s="68" t="e" cm="1" vm="1">
        <f t="array" ref="QYT6">_xlfn._xlws.FILTER(TablaProductos[Nombre producto],TablaProductos[Agrupación]=ProductosPivot!QYT5)</f>
        <v>#VALUE!</v>
      </c>
      <c r="QYU6" s="68" t="e" cm="1" vm="1">
        <f t="array" ref="QYU6">_xlfn._xlws.FILTER(TablaProductos[Nombre producto],TablaProductos[Agrupación]=ProductosPivot!QYU5)</f>
        <v>#VALUE!</v>
      </c>
      <c r="QYV6" s="68" t="e" cm="1" vm="1">
        <f t="array" ref="QYV6">_xlfn._xlws.FILTER(TablaProductos[Nombre producto],TablaProductos[Agrupación]=ProductosPivot!QYV5)</f>
        <v>#VALUE!</v>
      </c>
      <c r="QYW6" s="68" t="e" cm="1" vm="1">
        <f t="array" ref="QYW6">_xlfn._xlws.FILTER(TablaProductos[Nombre producto],TablaProductos[Agrupación]=ProductosPivot!QYW5)</f>
        <v>#VALUE!</v>
      </c>
      <c r="QYX6" s="68" t="e" cm="1" vm="1">
        <f t="array" ref="QYX6">_xlfn._xlws.FILTER(TablaProductos[Nombre producto],TablaProductos[Agrupación]=ProductosPivot!QYX5)</f>
        <v>#VALUE!</v>
      </c>
      <c r="QYY6" s="68" t="e" cm="1" vm="1">
        <f t="array" ref="QYY6">_xlfn._xlws.FILTER(TablaProductos[Nombre producto],TablaProductos[Agrupación]=ProductosPivot!QYY5)</f>
        <v>#VALUE!</v>
      </c>
      <c r="QYZ6" s="68" t="e" cm="1" vm="1">
        <f t="array" ref="QYZ6">_xlfn._xlws.FILTER(TablaProductos[Nombre producto],TablaProductos[Agrupación]=ProductosPivot!QYZ5)</f>
        <v>#VALUE!</v>
      </c>
      <c r="QZA6" s="68" t="e" cm="1" vm="1">
        <f t="array" ref="QZA6">_xlfn._xlws.FILTER(TablaProductos[Nombre producto],TablaProductos[Agrupación]=ProductosPivot!QZA5)</f>
        <v>#VALUE!</v>
      </c>
      <c r="QZB6" s="68" t="e" cm="1" vm="1">
        <f t="array" ref="QZB6">_xlfn._xlws.FILTER(TablaProductos[Nombre producto],TablaProductos[Agrupación]=ProductosPivot!QZB5)</f>
        <v>#VALUE!</v>
      </c>
      <c r="QZC6" s="68" t="e" cm="1" vm="1">
        <f t="array" ref="QZC6">_xlfn._xlws.FILTER(TablaProductos[Nombre producto],TablaProductos[Agrupación]=ProductosPivot!QZC5)</f>
        <v>#VALUE!</v>
      </c>
      <c r="QZD6" s="68" t="e" cm="1" vm="1">
        <f t="array" ref="QZD6">_xlfn._xlws.FILTER(TablaProductos[Nombre producto],TablaProductos[Agrupación]=ProductosPivot!QZD5)</f>
        <v>#VALUE!</v>
      </c>
      <c r="QZE6" s="68" t="e" cm="1" vm="1">
        <f t="array" ref="QZE6">_xlfn._xlws.FILTER(TablaProductos[Nombre producto],TablaProductos[Agrupación]=ProductosPivot!QZE5)</f>
        <v>#VALUE!</v>
      </c>
      <c r="QZF6" s="68" t="e" cm="1" vm="1">
        <f t="array" ref="QZF6">_xlfn._xlws.FILTER(TablaProductos[Nombre producto],TablaProductos[Agrupación]=ProductosPivot!QZF5)</f>
        <v>#VALUE!</v>
      </c>
      <c r="QZG6" s="68" t="e" cm="1" vm="1">
        <f t="array" ref="QZG6">_xlfn._xlws.FILTER(TablaProductos[Nombre producto],TablaProductos[Agrupación]=ProductosPivot!QZG5)</f>
        <v>#VALUE!</v>
      </c>
      <c r="QZH6" s="68" t="e" cm="1" vm="1">
        <f t="array" ref="QZH6">_xlfn._xlws.FILTER(TablaProductos[Nombre producto],TablaProductos[Agrupación]=ProductosPivot!QZH5)</f>
        <v>#VALUE!</v>
      </c>
      <c r="QZI6" s="68" t="e" cm="1" vm="1">
        <f t="array" ref="QZI6">_xlfn._xlws.FILTER(TablaProductos[Nombre producto],TablaProductos[Agrupación]=ProductosPivot!QZI5)</f>
        <v>#VALUE!</v>
      </c>
      <c r="QZJ6" s="68" t="e" cm="1" vm="1">
        <f t="array" ref="QZJ6">_xlfn._xlws.FILTER(TablaProductos[Nombre producto],TablaProductos[Agrupación]=ProductosPivot!QZJ5)</f>
        <v>#VALUE!</v>
      </c>
      <c r="QZK6" s="68" t="e" cm="1" vm="1">
        <f t="array" ref="QZK6">_xlfn._xlws.FILTER(TablaProductos[Nombre producto],TablaProductos[Agrupación]=ProductosPivot!QZK5)</f>
        <v>#VALUE!</v>
      </c>
      <c r="QZL6" s="68" t="e" cm="1" vm="1">
        <f t="array" ref="QZL6">_xlfn._xlws.FILTER(TablaProductos[Nombre producto],TablaProductos[Agrupación]=ProductosPivot!QZL5)</f>
        <v>#VALUE!</v>
      </c>
      <c r="QZM6" s="68" t="e" cm="1" vm="1">
        <f t="array" ref="QZM6">_xlfn._xlws.FILTER(TablaProductos[Nombre producto],TablaProductos[Agrupación]=ProductosPivot!QZM5)</f>
        <v>#VALUE!</v>
      </c>
      <c r="QZN6" s="68" t="e" cm="1" vm="1">
        <f t="array" ref="QZN6">_xlfn._xlws.FILTER(TablaProductos[Nombre producto],TablaProductos[Agrupación]=ProductosPivot!QZN5)</f>
        <v>#VALUE!</v>
      </c>
      <c r="QZO6" s="68" t="e" cm="1" vm="1">
        <f t="array" ref="QZO6">_xlfn._xlws.FILTER(TablaProductos[Nombre producto],TablaProductos[Agrupación]=ProductosPivot!QZO5)</f>
        <v>#VALUE!</v>
      </c>
      <c r="QZP6" s="68" t="e" cm="1" vm="1">
        <f t="array" ref="QZP6">_xlfn._xlws.FILTER(TablaProductos[Nombre producto],TablaProductos[Agrupación]=ProductosPivot!QZP5)</f>
        <v>#VALUE!</v>
      </c>
      <c r="QZQ6" s="68" t="e" cm="1" vm="1">
        <f t="array" ref="QZQ6">_xlfn._xlws.FILTER(TablaProductos[Nombre producto],TablaProductos[Agrupación]=ProductosPivot!QZQ5)</f>
        <v>#VALUE!</v>
      </c>
      <c r="QZR6" s="68" t="e" cm="1" vm="1">
        <f t="array" ref="QZR6">_xlfn._xlws.FILTER(TablaProductos[Nombre producto],TablaProductos[Agrupación]=ProductosPivot!QZR5)</f>
        <v>#VALUE!</v>
      </c>
      <c r="QZS6" s="68" t="e" cm="1" vm="1">
        <f t="array" ref="QZS6">_xlfn._xlws.FILTER(TablaProductos[Nombre producto],TablaProductos[Agrupación]=ProductosPivot!QZS5)</f>
        <v>#VALUE!</v>
      </c>
      <c r="QZT6" s="68" t="e" cm="1" vm="1">
        <f t="array" ref="QZT6">_xlfn._xlws.FILTER(TablaProductos[Nombre producto],TablaProductos[Agrupación]=ProductosPivot!QZT5)</f>
        <v>#VALUE!</v>
      </c>
      <c r="QZU6" s="68" t="e" cm="1" vm="1">
        <f t="array" ref="QZU6">_xlfn._xlws.FILTER(TablaProductos[Nombre producto],TablaProductos[Agrupación]=ProductosPivot!QZU5)</f>
        <v>#VALUE!</v>
      </c>
      <c r="QZV6" s="68" t="e" cm="1" vm="1">
        <f t="array" ref="QZV6">_xlfn._xlws.FILTER(TablaProductos[Nombre producto],TablaProductos[Agrupación]=ProductosPivot!QZV5)</f>
        <v>#VALUE!</v>
      </c>
      <c r="QZW6" s="68" t="e" cm="1" vm="1">
        <f t="array" ref="QZW6">_xlfn._xlws.FILTER(TablaProductos[Nombre producto],TablaProductos[Agrupación]=ProductosPivot!QZW5)</f>
        <v>#VALUE!</v>
      </c>
      <c r="QZX6" s="68" t="e" cm="1" vm="1">
        <f t="array" ref="QZX6">_xlfn._xlws.FILTER(TablaProductos[Nombre producto],TablaProductos[Agrupación]=ProductosPivot!QZX5)</f>
        <v>#VALUE!</v>
      </c>
      <c r="QZY6" s="68" t="e" cm="1" vm="1">
        <f t="array" ref="QZY6">_xlfn._xlws.FILTER(TablaProductos[Nombre producto],TablaProductos[Agrupación]=ProductosPivot!QZY5)</f>
        <v>#VALUE!</v>
      </c>
      <c r="QZZ6" s="68" t="e" cm="1" vm="1">
        <f t="array" ref="QZZ6">_xlfn._xlws.FILTER(TablaProductos[Nombre producto],TablaProductos[Agrupación]=ProductosPivot!QZZ5)</f>
        <v>#VALUE!</v>
      </c>
      <c r="RAA6" s="68" t="e" cm="1" vm="1">
        <f t="array" ref="RAA6">_xlfn._xlws.FILTER(TablaProductos[Nombre producto],TablaProductos[Agrupación]=ProductosPivot!RAA5)</f>
        <v>#VALUE!</v>
      </c>
      <c r="RAB6" s="68" t="e" cm="1" vm="1">
        <f t="array" ref="RAB6">_xlfn._xlws.FILTER(TablaProductos[Nombre producto],TablaProductos[Agrupación]=ProductosPivot!RAB5)</f>
        <v>#VALUE!</v>
      </c>
      <c r="RAC6" s="68" t="e" cm="1" vm="1">
        <f t="array" ref="RAC6">_xlfn._xlws.FILTER(TablaProductos[Nombre producto],TablaProductos[Agrupación]=ProductosPivot!RAC5)</f>
        <v>#VALUE!</v>
      </c>
      <c r="RAD6" s="68" t="e" cm="1" vm="1">
        <f t="array" ref="RAD6">_xlfn._xlws.FILTER(TablaProductos[Nombre producto],TablaProductos[Agrupación]=ProductosPivot!RAD5)</f>
        <v>#VALUE!</v>
      </c>
      <c r="RAE6" s="68" t="e" cm="1" vm="1">
        <f t="array" ref="RAE6">_xlfn._xlws.FILTER(TablaProductos[Nombre producto],TablaProductos[Agrupación]=ProductosPivot!RAE5)</f>
        <v>#VALUE!</v>
      </c>
      <c r="RAF6" s="68" t="e" cm="1" vm="1">
        <f t="array" ref="RAF6">_xlfn._xlws.FILTER(TablaProductos[Nombre producto],TablaProductos[Agrupación]=ProductosPivot!RAF5)</f>
        <v>#VALUE!</v>
      </c>
      <c r="RAG6" s="68" t="e" cm="1" vm="1">
        <f t="array" ref="RAG6">_xlfn._xlws.FILTER(TablaProductos[Nombre producto],TablaProductos[Agrupación]=ProductosPivot!RAG5)</f>
        <v>#VALUE!</v>
      </c>
      <c r="RAH6" s="68" t="e" cm="1" vm="1">
        <f t="array" ref="RAH6">_xlfn._xlws.FILTER(TablaProductos[Nombre producto],TablaProductos[Agrupación]=ProductosPivot!RAH5)</f>
        <v>#VALUE!</v>
      </c>
      <c r="RAI6" s="68" t="e" cm="1" vm="1">
        <f t="array" ref="RAI6">_xlfn._xlws.FILTER(TablaProductos[Nombre producto],TablaProductos[Agrupación]=ProductosPivot!RAI5)</f>
        <v>#VALUE!</v>
      </c>
      <c r="RAJ6" s="68" t="e" cm="1" vm="1">
        <f t="array" ref="RAJ6">_xlfn._xlws.FILTER(TablaProductos[Nombre producto],TablaProductos[Agrupación]=ProductosPivot!RAJ5)</f>
        <v>#VALUE!</v>
      </c>
      <c r="RAK6" s="68" t="e" cm="1" vm="1">
        <f t="array" ref="RAK6">_xlfn._xlws.FILTER(TablaProductos[Nombre producto],TablaProductos[Agrupación]=ProductosPivot!RAK5)</f>
        <v>#VALUE!</v>
      </c>
      <c r="RAL6" s="68" t="e" cm="1" vm="1">
        <f t="array" ref="RAL6">_xlfn._xlws.FILTER(TablaProductos[Nombre producto],TablaProductos[Agrupación]=ProductosPivot!RAL5)</f>
        <v>#VALUE!</v>
      </c>
      <c r="RAM6" s="68" t="e" cm="1" vm="1">
        <f t="array" ref="RAM6">_xlfn._xlws.FILTER(TablaProductos[Nombre producto],TablaProductos[Agrupación]=ProductosPivot!RAM5)</f>
        <v>#VALUE!</v>
      </c>
      <c r="RAN6" s="68" t="e" cm="1" vm="1">
        <f t="array" ref="RAN6">_xlfn._xlws.FILTER(TablaProductos[Nombre producto],TablaProductos[Agrupación]=ProductosPivot!RAN5)</f>
        <v>#VALUE!</v>
      </c>
      <c r="RAO6" s="68" t="e" cm="1" vm="1">
        <f t="array" ref="RAO6">_xlfn._xlws.FILTER(TablaProductos[Nombre producto],TablaProductos[Agrupación]=ProductosPivot!RAO5)</f>
        <v>#VALUE!</v>
      </c>
      <c r="RAP6" s="68" t="e" cm="1" vm="1">
        <f t="array" ref="RAP6">_xlfn._xlws.FILTER(TablaProductos[Nombre producto],TablaProductos[Agrupación]=ProductosPivot!RAP5)</f>
        <v>#VALUE!</v>
      </c>
      <c r="RAQ6" s="68" t="e" cm="1" vm="1">
        <f t="array" ref="RAQ6">_xlfn._xlws.FILTER(TablaProductos[Nombre producto],TablaProductos[Agrupación]=ProductosPivot!RAQ5)</f>
        <v>#VALUE!</v>
      </c>
      <c r="RAR6" s="68" t="e" cm="1" vm="1">
        <f t="array" ref="RAR6">_xlfn._xlws.FILTER(TablaProductos[Nombre producto],TablaProductos[Agrupación]=ProductosPivot!RAR5)</f>
        <v>#VALUE!</v>
      </c>
      <c r="RAS6" s="68" t="e" cm="1" vm="1">
        <f t="array" ref="RAS6">_xlfn._xlws.FILTER(TablaProductos[Nombre producto],TablaProductos[Agrupación]=ProductosPivot!RAS5)</f>
        <v>#VALUE!</v>
      </c>
      <c r="RAT6" s="68" t="e" cm="1" vm="1">
        <f t="array" ref="RAT6">_xlfn._xlws.FILTER(TablaProductos[Nombre producto],TablaProductos[Agrupación]=ProductosPivot!RAT5)</f>
        <v>#VALUE!</v>
      </c>
      <c r="RAU6" s="68" t="e" cm="1" vm="1">
        <f t="array" ref="RAU6">_xlfn._xlws.FILTER(TablaProductos[Nombre producto],TablaProductos[Agrupación]=ProductosPivot!RAU5)</f>
        <v>#VALUE!</v>
      </c>
      <c r="RAV6" s="68" t="e" cm="1" vm="1">
        <f t="array" ref="RAV6">_xlfn._xlws.FILTER(TablaProductos[Nombre producto],TablaProductos[Agrupación]=ProductosPivot!RAV5)</f>
        <v>#VALUE!</v>
      </c>
      <c r="RAW6" s="68" t="e" cm="1" vm="1">
        <f t="array" ref="RAW6">_xlfn._xlws.FILTER(TablaProductos[Nombre producto],TablaProductos[Agrupación]=ProductosPivot!RAW5)</f>
        <v>#VALUE!</v>
      </c>
      <c r="RAX6" s="68" t="e" cm="1" vm="1">
        <f t="array" ref="RAX6">_xlfn._xlws.FILTER(TablaProductos[Nombre producto],TablaProductos[Agrupación]=ProductosPivot!RAX5)</f>
        <v>#VALUE!</v>
      </c>
      <c r="RAY6" s="68" t="e" cm="1" vm="1">
        <f t="array" ref="RAY6">_xlfn._xlws.FILTER(TablaProductos[Nombre producto],TablaProductos[Agrupación]=ProductosPivot!RAY5)</f>
        <v>#VALUE!</v>
      </c>
      <c r="RAZ6" s="68" t="e" cm="1" vm="1">
        <f t="array" ref="RAZ6">_xlfn._xlws.FILTER(TablaProductos[Nombre producto],TablaProductos[Agrupación]=ProductosPivot!RAZ5)</f>
        <v>#VALUE!</v>
      </c>
      <c r="RBA6" s="68" t="e" cm="1" vm="1">
        <f t="array" ref="RBA6">_xlfn._xlws.FILTER(TablaProductos[Nombre producto],TablaProductos[Agrupación]=ProductosPivot!RBA5)</f>
        <v>#VALUE!</v>
      </c>
      <c r="RBB6" s="68" t="e" cm="1" vm="1">
        <f t="array" ref="RBB6">_xlfn._xlws.FILTER(TablaProductos[Nombre producto],TablaProductos[Agrupación]=ProductosPivot!RBB5)</f>
        <v>#VALUE!</v>
      </c>
      <c r="RBC6" s="68" t="e" cm="1" vm="1">
        <f t="array" ref="RBC6">_xlfn._xlws.FILTER(TablaProductos[Nombre producto],TablaProductos[Agrupación]=ProductosPivot!RBC5)</f>
        <v>#VALUE!</v>
      </c>
      <c r="RBD6" s="68" t="e" cm="1" vm="1">
        <f t="array" ref="RBD6">_xlfn._xlws.FILTER(TablaProductos[Nombre producto],TablaProductos[Agrupación]=ProductosPivot!RBD5)</f>
        <v>#VALUE!</v>
      </c>
      <c r="RBE6" s="68" t="e" cm="1" vm="1">
        <f t="array" ref="RBE6">_xlfn._xlws.FILTER(TablaProductos[Nombre producto],TablaProductos[Agrupación]=ProductosPivot!RBE5)</f>
        <v>#VALUE!</v>
      </c>
      <c r="RBF6" s="68" t="e" cm="1" vm="1">
        <f t="array" ref="RBF6">_xlfn._xlws.FILTER(TablaProductos[Nombre producto],TablaProductos[Agrupación]=ProductosPivot!RBF5)</f>
        <v>#VALUE!</v>
      </c>
      <c r="RBG6" s="68" t="e" cm="1" vm="1">
        <f t="array" ref="RBG6">_xlfn._xlws.FILTER(TablaProductos[Nombre producto],TablaProductos[Agrupación]=ProductosPivot!RBG5)</f>
        <v>#VALUE!</v>
      </c>
      <c r="RBH6" s="68" t="e" cm="1" vm="1">
        <f t="array" ref="RBH6">_xlfn._xlws.FILTER(TablaProductos[Nombre producto],TablaProductos[Agrupación]=ProductosPivot!RBH5)</f>
        <v>#VALUE!</v>
      </c>
      <c r="RBI6" s="68" t="e" cm="1" vm="1">
        <f t="array" ref="RBI6">_xlfn._xlws.FILTER(TablaProductos[Nombre producto],TablaProductos[Agrupación]=ProductosPivot!RBI5)</f>
        <v>#VALUE!</v>
      </c>
      <c r="RBJ6" s="68" t="e" cm="1" vm="1">
        <f t="array" ref="RBJ6">_xlfn._xlws.FILTER(TablaProductos[Nombre producto],TablaProductos[Agrupación]=ProductosPivot!RBJ5)</f>
        <v>#VALUE!</v>
      </c>
      <c r="RBK6" s="68" t="e" cm="1" vm="1">
        <f t="array" ref="RBK6">_xlfn._xlws.FILTER(TablaProductos[Nombre producto],TablaProductos[Agrupación]=ProductosPivot!RBK5)</f>
        <v>#VALUE!</v>
      </c>
      <c r="RBL6" s="68" t="e" cm="1" vm="1">
        <f t="array" ref="RBL6">_xlfn._xlws.FILTER(TablaProductos[Nombre producto],TablaProductos[Agrupación]=ProductosPivot!RBL5)</f>
        <v>#VALUE!</v>
      </c>
      <c r="RBM6" s="68" t="e" cm="1" vm="1">
        <f t="array" ref="RBM6">_xlfn._xlws.FILTER(TablaProductos[Nombre producto],TablaProductos[Agrupación]=ProductosPivot!RBM5)</f>
        <v>#VALUE!</v>
      </c>
      <c r="RBN6" s="68" t="e" cm="1" vm="1">
        <f t="array" ref="RBN6">_xlfn._xlws.FILTER(TablaProductos[Nombre producto],TablaProductos[Agrupación]=ProductosPivot!RBN5)</f>
        <v>#VALUE!</v>
      </c>
      <c r="RBO6" s="68" t="e" cm="1" vm="1">
        <f t="array" ref="RBO6">_xlfn._xlws.FILTER(TablaProductos[Nombre producto],TablaProductos[Agrupación]=ProductosPivot!RBO5)</f>
        <v>#VALUE!</v>
      </c>
      <c r="RBP6" s="68" t="e" cm="1" vm="1">
        <f t="array" ref="RBP6">_xlfn._xlws.FILTER(TablaProductos[Nombre producto],TablaProductos[Agrupación]=ProductosPivot!RBP5)</f>
        <v>#VALUE!</v>
      </c>
      <c r="RBQ6" s="68" t="e" cm="1" vm="1">
        <f t="array" ref="RBQ6">_xlfn._xlws.FILTER(TablaProductos[Nombre producto],TablaProductos[Agrupación]=ProductosPivot!RBQ5)</f>
        <v>#VALUE!</v>
      </c>
      <c r="RBR6" s="68" t="e" cm="1" vm="1">
        <f t="array" ref="RBR6">_xlfn._xlws.FILTER(TablaProductos[Nombre producto],TablaProductos[Agrupación]=ProductosPivot!RBR5)</f>
        <v>#VALUE!</v>
      </c>
      <c r="RBS6" s="68" t="e" cm="1" vm="1">
        <f t="array" ref="RBS6">_xlfn._xlws.FILTER(TablaProductos[Nombre producto],TablaProductos[Agrupación]=ProductosPivot!RBS5)</f>
        <v>#VALUE!</v>
      </c>
      <c r="RBT6" s="68" t="e" cm="1" vm="1">
        <f t="array" ref="RBT6">_xlfn._xlws.FILTER(TablaProductos[Nombre producto],TablaProductos[Agrupación]=ProductosPivot!RBT5)</f>
        <v>#VALUE!</v>
      </c>
      <c r="RBU6" s="68" t="e" cm="1" vm="1">
        <f t="array" ref="RBU6">_xlfn._xlws.FILTER(TablaProductos[Nombre producto],TablaProductos[Agrupación]=ProductosPivot!RBU5)</f>
        <v>#VALUE!</v>
      </c>
      <c r="RBV6" s="68" t="e" cm="1" vm="1">
        <f t="array" ref="RBV6">_xlfn._xlws.FILTER(TablaProductos[Nombre producto],TablaProductos[Agrupación]=ProductosPivot!RBV5)</f>
        <v>#VALUE!</v>
      </c>
      <c r="RBW6" s="68" t="e" cm="1" vm="1">
        <f t="array" ref="RBW6">_xlfn._xlws.FILTER(TablaProductos[Nombre producto],TablaProductos[Agrupación]=ProductosPivot!RBW5)</f>
        <v>#VALUE!</v>
      </c>
      <c r="RBX6" s="68" t="e" cm="1" vm="1">
        <f t="array" ref="RBX6">_xlfn._xlws.FILTER(TablaProductos[Nombre producto],TablaProductos[Agrupación]=ProductosPivot!RBX5)</f>
        <v>#VALUE!</v>
      </c>
      <c r="RBY6" s="68" t="e" cm="1" vm="1">
        <f t="array" ref="RBY6">_xlfn._xlws.FILTER(TablaProductos[Nombre producto],TablaProductos[Agrupación]=ProductosPivot!RBY5)</f>
        <v>#VALUE!</v>
      </c>
      <c r="RBZ6" s="68" t="e" cm="1" vm="1">
        <f t="array" ref="RBZ6">_xlfn._xlws.FILTER(TablaProductos[Nombre producto],TablaProductos[Agrupación]=ProductosPivot!RBZ5)</f>
        <v>#VALUE!</v>
      </c>
      <c r="RCA6" s="68" t="e" cm="1" vm="1">
        <f t="array" ref="RCA6">_xlfn._xlws.FILTER(TablaProductos[Nombre producto],TablaProductos[Agrupación]=ProductosPivot!RCA5)</f>
        <v>#VALUE!</v>
      </c>
      <c r="RCB6" s="68" t="e" cm="1" vm="1">
        <f t="array" ref="RCB6">_xlfn._xlws.FILTER(TablaProductos[Nombre producto],TablaProductos[Agrupación]=ProductosPivot!RCB5)</f>
        <v>#VALUE!</v>
      </c>
      <c r="RCC6" s="68" t="e" cm="1" vm="1">
        <f t="array" ref="RCC6">_xlfn._xlws.FILTER(TablaProductos[Nombre producto],TablaProductos[Agrupación]=ProductosPivot!RCC5)</f>
        <v>#VALUE!</v>
      </c>
      <c r="RCD6" s="68" t="e" cm="1" vm="1">
        <f t="array" ref="RCD6">_xlfn._xlws.FILTER(TablaProductos[Nombre producto],TablaProductos[Agrupación]=ProductosPivot!RCD5)</f>
        <v>#VALUE!</v>
      </c>
      <c r="RCE6" s="68" t="e" cm="1" vm="1">
        <f t="array" ref="RCE6">_xlfn._xlws.FILTER(TablaProductos[Nombre producto],TablaProductos[Agrupación]=ProductosPivot!RCE5)</f>
        <v>#VALUE!</v>
      </c>
      <c r="RCF6" s="68" t="e" cm="1" vm="1">
        <f t="array" ref="RCF6">_xlfn._xlws.FILTER(TablaProductos[Nombre producto],TablaProductos[Agrupación]=ProductosPivot!RCF5)</f>
        <v>#VALUE!</v>
      </c>
      <c r="RCG6" s="68" t="e" cm="1" vm="1">
        <f t="array" ref="RCG6">_xlfn._xlws.FILTER(TablaProductos[Nombre producto],TablaProductos[Agrupación]=ProductosPivot!RCG5)</f>
        <v>#VALUE!</v>
      </c>
      <c r="RCH6" s="68" t="e" cm="1" vm="1">
        <f t="array" ref="RCH6">_xlfn._xlws.FILTER(TablaProductos[Nombre producto],TablaProductos[Agrupación]=ProductosPivot!RCH5)</f>
        <v>#VALUE!</v>
      </c>
      <c r="RCI6" s="68" t="e" cm="1" vm="1">
        <f t="array" ref="RCI6">_xlfn._xlws.FILTER(TablaProductos[Nombre producto],TablaProductos[Agrupación]=ProductosPivot!RCI5)</f>
        <v>#VALUE!</v>
      </c>
      <c r="RCJ6" s="68" t="e" cm="1" vm="1">
        <f t="array" ref="RCJ6">_xlfn._xlws.FILTER(TablaProductos[Nombre producto],TablaProductos[Agrupación]=ProductosPivot!RCJ5)</f>
        <v>#VALUE!</v>
      </c>
      <c r="RCK6" s="68" t="e" cm="1" vm="1">
        <f t="array" ref="RCK6">_xlfn._xlws.FILTER(TablaProductos[Nombre producto],TablaProductos[Agrupación]=ProductosPivot!RCK5)</f>
        <v>#VALUE!</v>
      </c>
      <c r="RCL6" s="68" t="e" cm="1" vm="1">
        <f t="array" ref="RCL6">_xlfn._xlws.FILTER(TablaProductos[Nombre producto],TablaProductos[Agrupación]=ProductosPivot!RCL5)</f>
        <v>#VALUE!</v>
      </c>
      <c r="RCM6" s="68" t="e" cm="1" vm="1">
        <f t="array" ref="RCM6">_xlfn._xlws.FILTER(TablaProductos[Nombre producto],TablaProductos[Agrupación]=ProductosPivot!RCM5)</f>
        <v>#VALUE!</v>
      </c>
      <c r="RCN6" s="68" t="e" cm="1" vm="1">
        <f t="array" ref="RCN6">_xlfn._xlws.FILTER(TablaProductos[Nombre producto],TablaProductos[Agrupación]=ProductosPivot!RCN5)</f>
        <v>#VALUE!</v>
      </c>
      <c r="RCO6" s="68" t="e" cm="1" vm="1">
        <f t="array" ref="RCO6">_xlfn._xlws.FILTER(TablaProductos[Nombre producto],TablaProductos[Agrupación]=ProductosPivot!RCO5)</f>
        <v>#VALUE!</v>
      </c>
      <c r="RCP6" s="68" t="e" cm="1" vm="1">
        <f t="array" ref="RCP6">_xlfn._xlws.FILTER(TablaProductos[Nombre producto],TablaProductos[Agrupación]=ProductosPivot!RCP5)</f>
        <v>#VALUE!</v>
      </c>
      <c r="RCQ6" s="68" t="e" cm="1" vm="1">
        <f t="array" ref="RCQ6">_xlfn._xlws.FILTER(TablaProductos[Nombre producto],TablaProductos[Agrupación]=ProductosPivot!RCQ5)</f>
        <v>#VALUE!</v>
      </c>
      <c r="RCR6" s="68" t="e" cm="1" vm="1">
        <f t="array" ref="RCR6">_xlfn._xlws.FILTER(TablaProductos[Nombre producto],TablaProductos[Agrupación]=ProductosPivot!RCR5)</f>
        <v>#VALUE!</v>
      </c>
      <c r="RCS6" s="68" t="e" cm="1" vm="1">
        <f t="array" ref="RCS6">_xlfn._xlws.FILTER(TablaProductos[Nombre producto],TablaProductos[Agrupación]=ProductosPivot!RCS5)</f>
        <v>#VALUE!</v>
      </c>
      <c r="RCT6" s="68" t="e" cm="1" vm="1">
        <f t="array" ref="RCT6">_xlfn._xlws.FILTER(TablaProductos[Nombre producto],TablaProductos[Agrupación]=ProductosPivot!RCT5)</f>
        <v>#VALUE!</v>
      </c>
      <c r="RCU6" s="68" t="e" cm="1" vm="1">
        <f t="array" ref="RCU6">_xlfn._xlws.FILTER(TablaProductos[Nombre producto],TablaProductos[Agrupación]=ProductosPivot!RCU5)</f>
        <v>#VALUE!</v>
      </c>
      <c r="RCV6" s="68" t="e" cm="1" vm="1">
        <f t="array" ref="RCV6">_xlfn._xlws.FILTER(TablaProductos[Nombre producto],TablaProductos[Agrupación]=ProductosPivot!RCV5)</f>
        <v>#VALUE!</v>
      </c>
      <c r="RCW6" s="68" t="e" cm="1" vm="1">
        <f t="array" ref="RCW6">_xlfn._xlws.FILTER(TablaProductos[Nombre producto],TablaProductos[Agrupación]=ProductosPivot!RCW5)</f>
        <v>#VALUE!</v>
      </c>
      <c r="RCX6" s="68" t="e" cm="1" vm="1">
        <f t="array" ref="RCX6">_xlfn._xlws.FILTER(TablaProductos[Nombre producto],TablaProductos[Agrupación]=ProductosPivot!RCX5)</f>
        <v>#VALUE!</v>
      </c>
      <c r="RCY6" s="68" t="e" cm="1" vm="1">
        <f t="array" ref="RCY6">_xlfn._xlws.FILTER(TablaProductos[Nombre producto],TablaProductos[Agrupación]=ProductosPivot!RCY5)</f>
        <v>#VALUE!</v>
      </c>
      <c r="RCZ6" s="68" t="e" cm="1" vm="1">
        <f t="array" ref="RCZ6">_xlfn._xlws.FILTER(TablaProductos[Nombre producto],TablaProductos[Agrupación]=ProductosPivot!RCZ5)</f>
        <v>#VALUE!</v>
      </c>
      <c r="RDA6" s="68" t="e" cm="1" vm="1">
        <f t="array" ref="RDA6">_xlfn._xlws.FILTER(TablaProductos[Nombre producto],TablaProductos[Agrupación]=ProductosPivot!RDA5)</f>
        <v>#VALUE!</v>
      </c>
      <c r="RDB6" s="68" t="e" cm="1" vm="1">
        <f t="array" ref="RDB6">_xlfn._xlws.FILTER(TablaProductos[Nombre producto],TablaProductos[Agrupación]=ProductosPivot!RDB5)</f>
        <v>#VALUE!</v>
      </c>
      <c r="RDC6" s="68" t="e" cm="1" vm="1">
        <f t="array" ref="RDC6">_xlfn._xlws.FILTER(TablaProductos[Nombre producto],TablaProductos[Agrupación]=ProductosPivot!RDC5)</f>
        <v>#VALUE!</v>
      </c>
      <c r="RDD6" s="68" t="e" cm="1" vm="1">
        <f t="array" ref="RDD6">_xlfn._xlws.FILTER(TablaProductos[Nombre producto],TablaProductos[Agrupación]=ProductosPivot!RDD5)</f>
        <v>#VALUE!</v>
      </c>
      <c r="RDE6" s="68" t="e" cm="1" vm="1">
        <f t="array" ref="RDE6">_xlfn._xlws.FILTER(TablaProductos[Nombre producto],TablaProductos[Agrupación]=ProductosPivot!RDE5)</f>
        <v>#VALUE!</v>
      </c>
      <c r="RDF6" s="68" t="e" cm="1" vm="1">
        <f t="array" ref="RDF6">_xlfn._xlws.FILTER(TablaProductos[Nombre producto],TablaProductos[Agrupación]=ProductosPivot!RDF5)</f>
        <v>#VALUE!</v>
      </c>
      <c r="RDG6" s="68" t="e" cm="1" vm="1">
        <f t="array" ref="RDG6">_xlfn._xlws.FILTER(TablaProductos[Nombre producto],TablaProductos[Agrupación]=ProductosPivot!RDG5)</f>
        <v>#VALUE!</v>
      </c>
      <c r="RDH6" s="68" t="e" cm="1" vm="1">
        <f t="array" ref="RDH6">_xlfn._xlws.FILTER(TablaProductos[Nombre producto],TablaProductos[Agrupación]=ProductosPivot!RDH5)</f>
        <v>#VALUE!</v>
      </c>
      <c r="RDI6" s="68" t="e" cm="1" vm="1">
        <f t="array" ref="RDI6">_xlfn._xlws.FILTER(TablaProductos[Nombre producto],TablaProductos[Agrupación]=ProductosPivot!RDI5)</f>
        <v>#VALUE!</v>
      </c>
      <c r="RDJ6" s="68" t="e" cm="1" vm="1">
        <f t="array" ref="RDJ6">_xlfn._xlws.FILTER(TablaProductos[Nombre producto],TablaProductos[Agrupación]=ProductosPivot!RDJ5)</f>
        <v>#VALUE!</v>
      </c>
      <c r="RDK6" s="68" t="e" cm="1" vm="1">
        <f t="array" ref="RDK6">_xlfn._xlws.FILTER(TablaProductos[Nombre producto],TablaProductos[Agrupación]=ProductosPivot!RDK5)</f>
        <v>#VALUE!</v>
      </c>
      <c r="RDL6" s="68" t="e" cm="1" vm="1">
        <f t="array" ref="RDL6">_xlfn._xlws.FILTER(TablaProductos[Nombre producto],TablaProductos[Agrupación]=ProductosPivot!RDL5)</f>
        <v>#VALUE!</v>
      </c>
      <c r="RDM6" s="68" t="e" cm="1" vm="1">
        <f t="array" ref="RDM6">_xlfn._xlws.FILTER(TablaProductos[Nombre producto],TablaProductos[Agrupación]=ProductosPivot!RDM5)</f>
        <v>#VALUE!</v>
      </c>
      <c r="RDN6" s="68" t="e" cm="1" vm="1">
        <f t="array" ref="RDN6">_xlfn._xlws.FILTER(TablaProductos[Nombre producto],TablaProductos[Agrupación]=ProductosPivot!RDN5)</f>
        <v>#VALUE!</v>
      </c>
      <c r="RDO6" s="68" t="e" cm="1" vm="1">
        <f t="array" ref="RDO6">_xlfn._xlws.FILTER(TablaProductos[Nombre producto],TablaProductos[Agrupación]=ProductosPivot!RDO5)</f>
        <v>#VALUE!</v>
      </c>
      <c r="RDP6" s="68" t="e" cm="1" vm="1">
        <f t="array" ref="RDP6">_xlfn._xlws.FILTER(TablaProductos[Nombre producto],TablaProductos[Agrupación]=ProductosPivot!RDP5)</f>
        <v>#VALUE!</v>
      </c>
      <c r="RDQ6" s="68" t="e" cm="1" vm="1">
        <f t="array" ref="RDQ6">_xlfn._xlws.FILTER(TablaProductos[Nombre producto],TablaProductos[Agrupación]=ProductosPivot!RDQ5)</f>
        <v>#VALUE!</v>
      </c>
      <c r="RDR6" s="68" t="e" cm="1" vm="1">
        <f t="array" ref="RDR6">_xlfn._xlws.FILTER(TablaProductos[Nombre producto],TablaProductos[Agrupación]=ProductosPivot!RDR5)</f>
        <v>#VALUE!</v>
      </c>
      <c r="RDS6" s="68" t="e" cm="1" vm="1">
        <f t="array" ref="RDS6">_xlfn._xlws.FILTER(TablaProductos[Nombre producto],TablaProductos[Agrupación]=ProductosPivot!RDS5)</f>
        <v>#VALUE!</v>
      </c>
      <c r="RDT6" s="68" t="e" cm="1" vm="1">
        <f t="array" ref="RDT6">_xlfn._xlws.FILTER(TablaProductos[Nombre producto],TablaProductos[Agrupación]=ProductosPivot!RDT5)</f>
        <v>#VALUE!</v>
      </c>
      <c r="RDU6" s="68" t="e" cm="1" vm="1">
        <f t="array" ref="RDU6">_xlfn._xlws.FILTER(TablaProductos[Nombre producto],TablaProductos[Agrupación]=ProductosPivot!RDU5)</f>
        <v>#VALUE!</v>
      </c>
      <c r="RDV6" s="68" t="e" cm="1" vm="1">
        <f t="array" ref="RDV6">_xlfn._xlws.FILTER(TablaProductos[Nombre producto],TablaProductos[Agrupación]=ProductosPivot!RDV5)</f>
        <v>#VALUE!</v>
      </c>
      <c r="RDW6" s="68" t="e" cm="1" vm="1">
        <f t="array" ref="RDW6">_xlfn._xlws.FILTER(TablaProductos[Nombre producto],TablaProductos[Agrupación]=ProductosPivot!RDW5)</f>
        <v>#VALUE!</v>
      </c>
      <c r="RDX6" s="68" t="e" cm="1" vm="1">
        <f t="array" ref="RDX6">_xlfn._xlws.FILTER(TablaProductos[Nombre producto],TablaProductos[Agrupación]=ProductosPivot!RDX5)</f>
        <v>#VALUE!</v>
      </c>
      <c r="RDY6" s="68" t="e" cm="1" vm="1">
        <f t="array" ref="RDY6">_xlfn._xlws.FILTER(TablaProductos[Nombre producto],TablaProductos[Agrupación]=ProductosPivot!RDY5)</f>
        <v>#VALUE!</v>
      </c>
      <c r="RDZ6" s="68" t="e" cm="1" vm="1">
        <f t="array" ref="RDZ6">_xlfn._xlws.FILTER(TablaProductos[Nombre producto],TablaProductos[Agrupación]=ProductosPivot!RDZ5)</f>
        <v>#VALUE!</v>
      </c>
      <c r="REA6" s="68" t="e" cm="1" vm="1">
        <f t="array" ref="REA6">_xlfn._xlws.FILTER(TablaProductos[Nombre producto],TablaProductos[Agrupación]=ProductosPivot!REA5)</f>
        <v>#VALUE!</v>
      </c>
      <c r="REB6" s="68" t="e" cm="1" vm="1">
        <f t="array" ref="REB6">_xlfn._xlws.FILTER(TablaProductos[Nombre producto],TablaProductos[Agrupación]=ProductosPivot!REB5)</f>
        <v>#VALUE!</v>
      </c>
      <c r="REC6" s="68" t="e" cm="1" vm="1">
        <f t="array" ref="REC6">_xlfn._xlws.FILTER(TablaProductos[Nombre producto],TablaProductos[Agrupación]=ProductosPivot!REC5)</f>
        <v>#VALUE!</v>
      </c>
      <c r="RED6" s="68" t="e" cm="1" vm="1">
        <f t="array" ref="RED6">_xlfn._xlws.FILTER(TablaProductos[Nombre producto],TablaProductos[Agrupación]=ProductosPivot!RED5)</f>
        <v>#VALUE!</v>
      </c>
      <c r="REE6" s="68" t="e" cm="1" vm="1">
        <f t="array" ref="REE6">_xlfn._xlws.FILTER(TablaProductos[Nombre producto],TablaProductos[Agrupación]=ProductosPivot!REE5)</f>
        <v>#VALUE!</v>
      </c>
      <c r="REF6" s="68" t="e" cm="1" vm="1">
        <f t="array" ref="REF6">_xlfn._xlws.FILTER(TablaProductos[Nombre producto],TablaProductos[Agrupación]=ProductosPivot!REF5)</f>
        <v>#VALUE!</v>
      </c>
      <c r="REG6" s="68" t="e" cm="1" vm="1">
        <f t="array" ref="REG6">_xlfn._xlws.FILTER(TablaProductos[Nombre producto],TablaProductos[Agrupación]=ProductosPivot!REG5)</f>
        <v>#VALUE!</v>
      </c>
      <c r="REH6" s="68" t="e" cm="1" vm="1">
        <f t="array" ref="REH6">_xlfn._xlws.FILTER(TablaProductos[Nombre producto],TablaProductos[Agrupación]=ProductosPivot!REH5)</f>
        <v>#VALUE!</v>
      </c>
      <c r="REI6" s="68" t="e" cm="1" vm="1">
        <f t="array" ref="REI6">_xlfn._xlws.FILTER(TablaProductos[Nombre producto],TablaProductos[Agrupación]=ProductosPivot!REI5)</f>
        <v>#VALUE!</v>
      </c>
      <c r="REJ6" s="68" t="e" cm="1" vm="1">
        <f t="array" ref="REJ6">_xlfn._xlws.FILTER(TablaProductos[Nombre producto],TablaProductos[Agrupación]=ProductosPivot!REJ5)</f>
        <v>#VALUE!</v>
      </c>
      <c r="REK6" s="68" t="e" cm="1" vm="1">
        <f t="array" ref="REK6">_xlfn._xlws.FILTER(TablaProductos[Nombre producto],TablaProductos[Agrupación]=ProductosPivot!REK5)</f>
        <v>#VALUE!</v>
      </c>
      <c r="REL6" s="68" t="e" cm="1" vm="1">
        <f t="array" ref="REL6">_xlfn._xlws.FILTER(TablaProductos[Nombre producto],TablaProductos[Agrupación]=ProductosPivot!REL5)</f>
        <v>#VALUE!</v>
      </c>
      <c r="REM6" s="68" t="e" cm="1" vm="1">
        <f t="array" ref="REM6">_xlfn._xlws.FILTER(TablaProductos[Nombre producto],TablaProductos[Agrupación]=ProductosPivot!REM5)</f>
        <v>#VALUE!</v>
      </c>
      <c r="REN6" s="68" t="e" cm="1" vm="1">
        <f t="array" ref="REN6">_xlfn._xlws.FILTER(TablaProductos[Nombre producto],TablaProductos[Agrupación]=ProductosPivot!REN5)</f>
        <v>#VALUE!</v>
      </c>
      <c r="REO6" s="68" t="e" cm="1" vm="1">
        <f t="array" ref="REO6">_xlfn._xlws.FILTER(TablaProductos[Nombre producto],TablaProductos[Agrupación]=ProductosPivot!REO5)</f>
        <v>#VALUE!</v>
      </c>
      <c r="REP6" s="68" t="e" cm="1" vm="1">
        <f t="array" ref="REP6">_xlfn._xlws.FILTER(TablaProductos[Nombre producto],TablaProductos[Agrupación]=ProductosPivot!REP5)</f>
        <v>#VALUE!</v>
      </c>
      <c r="REQ6" s="68" t="e" cm="1" vm="1">
        <f t="array" ref="REQ6">_xlfn._xlws.FILTER(TablaProductos[Nombre producto],TablaProductos[Agrupación]=ProductosPivot!REQ5)</f>
        <v>#VALUE!</v>
      </c>
      <c r="RER6" s="68" t="e" cm="1" vm="1">
        <f t="array" ref="RER6">_xlfn._xlws.FILTER(TablaProductos[Nombre producto],TablaProductos[Agrupación]=ProductosPivot!RER5)</f>
        <v>#VALUE!</v>
      </c>
      <c r="RES6" s="68" t="e" cm="1" vm="1">
        <f t="array" ref="RES6">_xlfn._xlws.FILTER(TablaProductos[Nombre producto],TablaProductos[Agrupación]=ProductosPivot!RES5)</f>
        <v>#VALUE!</v>
      </c>
      <c r="RET6" s="68" t="e" cm="1" vm="1">
        <f t="array" ref="RET6">_xlfn._xlws.FILTER(TablaProductos[Nombre producto],TablaProductos[Agrupación]=ProductosPivot!RET5)</f>
        <v>#VALUE!</v>
      </c>
      <c r="REU6" s="68" t="e" cm="1" vm="1">
        <f t="array" ref="REU6">_xlfn._xlws.FILTER(TablaProductos[Nombre producto],TablaProductos[Agrupación]=ProductosPivot!REU5)</f>
        <v>#VALUE!</v>
      </c>
      <c r="REV6" s="68" t="e" cm="1" vm="1">
        <f t="array" ref="REV6">_xlfn._xlws.FILTER(TablaProductos[Nombre producto],TablaProductos[Agrupación]=ProductosPivot!REV5)</f>
        <v>#VALUE!</v>
      </c>
      <c r="REW6" s="68" t="e" cm="1" vm="1">
        <f t="array" ref="REW6">_xlfn._xlws.FILTER(TablaProductos[Nombre producto],TablaProductos[Agrupación]=ProductosPivot!REW5)</f>
        <v>#VALUE!</v>
      </c>
      <c r="REX6" s="68" t="e" cm="1" vm="1">
        <f t="array" ref="REX6">_xlfn._xlws.FILTER(TablaProductos[Nombre producto],TablaProductos[Agrupación]=ProductosPivot!REX5)</f>
        <v>#VALUE!</v>
      </c>
      <c r="REY6" s="68" t="e" cm="1" vm="1">
        <f t="array" ref="REY6">_xlfn._xlws.FILTER(TablaProductos[Nombre producto],TablaProductos[Agrupación]=ProductosPivot!REY5)</f>
        <v>#VALUE!</v>
      </c>
      <c r="REZ6" s="68" t="e" cm="1" vm="1">
        <f t="array" ref="REZ6">_xlfn._xlws.FILTER(TablaProductos[Nombre producto],TablaProductos[Agrupación]=ProductosPivot!REZ5)</f>
        <v>#VALUE!</v>
      </c>
      <c r="RFA6" s="68" t="e" cm="1" vm="1">
        <f t="array" ref="RFA6">_xlfn._xlws.FILTER(TablaProductos[Nombre producto],TablaProductos[Agrupación]=ProductosPivot!RFA5)</f>
        <v>#VALUE!</v>
      </c>
      <c r="RFB6" s="68" t="e" cm="1" vm="1">
        <f t="array" ref="RFB6">_xlfn._xlws.FILTER(TablaProductos[Nombre producto],TablaProductos[Agrupación]=ProductosPivot!RFB5)</f>
        <v>#VALUE!</v>
      </c>
      <c r="RFC6" s="68" t="e" cm="1" vm="1">
        <f t="array" ref="RFC6">_xlfn._xlws.FILTER(TablaProductos[Nombre producto],TablaProductos[Agrupación]=ProductosPivot!RFC5)</f>
        <v>#VALUE!</v>
      </c>
      <c r="RFD6" s="68" t="e" cm="1" vm="1">
        <f t="array" ref="RFD6">_xlfn._xlws.FILTER(TablaProductos[Nombre producto],TablaProductos[Agrupación]=ProductosPivot!RFD5)</f>
        <v>#VALUE!</v>
      </c>
      <c r="RFE6" s="68" t="e" cm="1" vm="1">
        <f t="array" ref="RFE6">_xlfn._xlws.FILTER(TablaProductos[Nombre producto],TablaProductos[Agrupación]=ProductosPivot!RFE5)</f>
        <v>#VALUE!</v>
      </c>
      <c r="RFF6" s="68" t="e" cm="1" vm="1">
        <f t="array" ref="RFF6">_xlfn._xlws.FILTER(TablaProductos[Nombre producto],TablaProductos[Agrupación]=ProductosPivot!RFF5)</f>
        <v>#VALUE!</v>
      </c>
      <c r="RFG6" s="68" t="e" cm="1" vm="1">
        <f t="array" ref="RFG6">_xlfn._xlws.FILTER(TablaProductos[Nombre producto],TablaProductos[Agrupación]=ProductosPivot!RFG5)</f>
        <v>#VALUE!</v>
      </c>
      <c r="RFH6" s="68" t="e" cm="1" vm="1">
        <f t="array" ref="RFH6">_xlfn._xlws.FILTER(TablaProductos[Nombre producto],TablaProductos[Agrupación]=ProductosPivot!RFH5)</f>
        <v>#VALUE!</v>
      </c>
      <c r="RFI6" s="68" t="e" cm="1" vm="1">
        <f t="array" ref="RFI6">_xlfn._xlws.FILTER(TablaProductos[Nombre producto],TablaProductos[Agrupación]=ProductosPivot!RFI5)</f>
        <v>#VALUE!</v>
      </c>
      <c r="RFJ6" s="68" t="e" cm="1" vm="1">
        <f t="array" ref="RFJ6">_xlfn._xlws.FILTER(TablaProductos[Nombre producto],TablaProductos[Agrupación]=ProductosPivot!RFJ5)</f>
        <v>#VALUE!</v>
      </c>
      <c r="RFK6" s="68" t="e" cm="1" vm="1">
        <f t="array" ref="RFK6">_xlfn._xlws.FILTER(TablaProductos[Nombre producto],TablaProductos[Agrupación]=ProductosPivot!RFK5)</f>
        <v>#VALUE!</v>
      </c>
      <c r="RFL6" s="68" t="e" cm="1" vm="1">
        <f t="array" ref="RFL6">_xlfn._xlws.FILTER(TablaProductos[Nombre producto],TablaProductos[Agrupación]=ProductosPivot!RFL5)</f>
        <v>#VALUE!</v>
      </c>
      <c r="RFM6" s="68" t="e" cm="1" vm="1">
        <f t="array" ref="RFM6">_xlfn._xlws.FILTER(TablaProductos[Nombre producto],TablaProductos[Agrupación]=ProductosPivot!RFM5)</f>
        <v>#VALUE!</v>
      </c>
      <c r="RFN6" s="68" t="e" cm="1" vm="1">
        <f t="array" ref="RFN6">_xlfn._xlws.FILTER(TablaProductos[Nombre producto],TablaProductos[Agrupación]=ProductosPivot!RFN5)</f>
        <v>#VALUE!</v>
      </c>
      <c r="RFO6" s="68" t="e" cm="1" vm="1">
        <f t="array" ref="RFO6">_xlfn._xlws.FILTER(TablaProductos[Nombre producto],TablaProductos[Agrupación]=ProductosPivot!RFO5)</f>
        <v>#VALUE!</v>
      </c>
      <c r="RFP6" s="68" t="e" cm="1" vm="1">
        <f t="array" ref="RFP6">_xlfn._xlws.FILTER(TablaProductos[Nombre producto],TablaProductos[Agrupación]=ProductosPivot!RFP5)</f>
        <v>#VALUE!</v>
      </c>
      <c r="RFQ6" s="68" t="e" cm="1" vm="1">
        <f t="array" ref="RFQ6">_xlfn._xlws.FILTER(TablaProductos[Nombre producto],TablaProductos[Agrupación]=ProductosPivot!RFQ5)</f>
        <v>#VALUE!</v>
      </c>
      <c r="RFR6" s="68" t="e" cm="1" vm="1">
        <f t="array" ref="RFR6">_xlfn._xlws.FILTER(TablaProductos[Nombre producto],TablaProductos[Agrupación]=ProductosPivot!RFR5)</f>
        <v>#VALUE!</v>
      </c>
      <c r="RFS6" s="68" t="e" cm="1" vm="1">
        <f t="array" ref="RFS6">_xlfn._xlws.FILTER(TablaProductos[Nombre producto],TablaProductos[Agrupación]=ProductosPivot!RFS5)</f>
        <v>#VALUE!</v>
      </c>
      <c r="RFT6" s="68" t="e" cm="1" vm="1">
        <f t="array" ref="RFT6">_xlfn._xlws.FILTER(TablaProductos[Nombre producto],TablaProductos[Agrupación]=ProductosPivot!RFT5)</f>
        <v>#VALUE!</v>
      </c>
      <c r="RFU6" s="68" t="e" cm="1" vm="1">
        <f t="array" ref="RFU6">_xlfn._xlws.FILTER(TablaProductos[Nombre producto],TablaProductos[Agrupación]=ProductosPivot!RFU5)</f>
        <v>#VALUE!</v>
      </c>
      <c r="RFV6" s="68" t="e" cm="1" vm="1">
        <f t="array" ref="RFV6">_xlfn._xlws.FILTER(TablaProductos[Nombre producto],TablaProductos[Agrupación]=ProductosPivot!RFV5)</f>
        <v>#VALUE!</v>
      </c>
      <c r="RFW6" s="68" t="e" cm="1" vm="1">
        <f t="array" ref="RFW6">_xlfn._xlws.FILTER(TablaProductos[Nombre producto],TablaProductos[Agrupación]=ProductosPivot!RFW5)</f>
        <v>#VALUE!</v>
      </c>
      <c r="RFX6" s="68" t="e" cm="1" vm="1">
        <f t="array" ref="RFX6">_xlfn._xlws.FILTER(TablaProductos[Nombre producto],TablaProductos[Agrupación]=ProductosPivot!RFX5)</f>
        <v>#VALUE!</v>
      </c>
      <c r="RFY6" s="68" t="e" cm="1" vm="1">
        <f t="array" ref="RFY6">_xlfn._xlws.FILTER(TablaProductos[Nombre producto],TablaProductos[Agrupación]=ProductosPivot!RFY5)</f>
        <v>#VALUE!</v>
      </c>
      <c r="RFZ6" s="68" t="e" cm="1" vm="1">
        <f t="array" ref="RFZ6">_xlfn._xlws.FILTER(TablaProductos[Nombre producto],TablaProductos[Agrupación]=ProductosPivot!RFZ5)</f>
        <v>#VALUE!</v>
      </c>
      <c r="RGA6" s="68" t="e" cm="1" vm="1">
        <f t="array" ref="RGA6">_xlfn._xlws.FILTER(TablaProductos[Nombre producto],TablaProductos[Agrupación]=ProductosPivot!RGA5)</f>
        <v>#VALUE!</v>
      </c>
      <c r="RGB6" s="68" t="e" cm="1" vm="1">
        <f t="array" ref="RGB6">_xlfn._xlws.FILTER(TablaProductos[Nombre producto],TablaProductos[Agrupación]=ProductosPivot!RGB5)</f>
        <v>#VALUE!</v>
      </c>
      <c r="RGC6" s="68" t="e" cm="1" vm="1">
        <f t="array" ref="RGC6">_xlfn._xlws.FILTER(TablaProductos[Nombre producto],TablaProductos[Agrupación]=ProductosPivot!RGC5)</f>
        <v>#VALUE!</v>
      </c>
      <c r="RGD6" s="68" t="e" cm="1" vm="1">
        <f t="array" ref="RGD6">_xlfn._xlws.FILTER(TablaProductos[Nombre producto],TablaProductos[Agrupación]=ProductosPivot!RGD5)</f>
        <v>#VALUE!</v>
      </c>
      <c r="RGE6" s="68" t="e" cm="1" vm="1">
        <f t="array" ref="RGE6">_xlfn._xlws.FILTER(TablaProductos[Nombre producto],TablaProductos[Agrupación]=ProductosPivot!RGE5)</f>
        <v>#VALUE!</v>
      </c>
      <c r="RGF6" s="68" t="e" cm="1" vm="1">
        <f t="array" ref="RGF6">_xlfn._xlws.FILTER(TablaProductos[Nombre producto],TablaProductos[Agrupación]=ProductosPivot!RGF5)</f>
        <v>#VALUE!</v>
      </c>
      <c r="RGG6" s="68" t="e" cm="1" vm="1">
        <f t="array" ref="RGG6">_xlfn._xlws.FILTER(TablaProductos[Nombre producto],TablaProductos[Agrupación]=ProductosPivot!RGG5)</f>
        <v>#VALUE!</v>
      </c>
      <c r="RGH6" s="68" t="e" cm="1" vm="1">
        <f t="array" ref="RGH6">_xlfn._xlws.FILTER(TablaProductos[Nombre producto],TablaProductos[Agrupación]=ProductosPivot!RGH5)</f>
        <v>#VALUE!</v>
      </c>
      <c r="RGI6" s="68" t="e" cm="1" vm="1">
        <f t="array" ref="RGI6">_xlfn._xlws.FILTER(TablaProductos[Nombre producto],TablaProductos[Agrupación]=ProductosPivot!RGI5)</f>
        <v>#VALUE!</v>
      </c>
      <c r="RGJ6" s="68" t="e" cm="1" vm="1">
        <f t="array" ref="RGJ6">_xlfn._xlws.FILTER(TablaProductos[Nombre producto],TablaProductos[Agrupación]=ProductosPivot!RGJ5)</f>
        <v>#VALUE!</v>
      </c>
      <c r="RGK6" s="68" t="e" cm="1" vm="1">
        <f t="array" ref="RGK6">_xlfn._xlws.FILTER(TablaProductos[Nombre producto],TablaProductos[Agrupación]=ProductosPivot!RGK5)</f>
        <v>#VALUE!</v>
      </c>
      <c r="RGL6" s="68" t="e" cm="1" vm="1">
        <f t="array" ref="RGL6">_xlfn._xlws.FILTER(TablaProductos[Nombre producto],TablaProductos[Agrupación]=ProductosPivot!RGL5)</f>
        <v>#VALUE!</v>
      </c>
      <c r="RGM6" s="68" t="e" cm="1" vm="1">
        <f t="array" ref="RGM6">_xlfn._xlws.FILTER(TablaProductos[Nombre producto],TablaProductos[Agrupación]=ProductosPivot!RGM5)</f>
        <v>#VALUE!</v>
      </c>
      <c r="RGN6" s="68" t="e" cm="1" vm="1">
        <f t="array" ref="RGN6">_xlfn._xlws.FILTER(TablaProductos[Nombre producto],TablaProductos[Agrupación]=ProductosPivot!RGN5)</f>
        <v>#VALUE!</v>
      </c>
      <c r="RGO6" s="68" t="e" cm="1" vm="1">
        <f t="array" ref="RGO6">_xlfn._xlws.FILTER(TablaProductos[Nombre producto],TablaProductos[Agrupación]=ProductosPivot!RGO5)</f>
        <v>#VALUE!</v>
      </c>
      <c r="RGP6" s="68" t="e" cm="1" vm="1">
        <f t="array" ref="RGP6">_xlfn._xlws.FILTER(TablaProductos[Nombre producto],TablaProductos[Agrupación]=ProductosPivot!RGP5)</f>
        <v>#VALUE!</v>
      </c>
      <c r="RGQ6" s="68" t="e" cm="1" vm="1">
        <f t="array" ref="RGQ6">_xlfn._xlws.FILTER(TablaProductos[Nombre producto],TablaProductos[Agrupación]=ProductosPivot!RGQ5)</f>
        <v>#VALUE!</v>
      </c>
      <c r="RGR6" s="68" t="e" cm="1" vm="1">
        <f t="array" ref="RGR6">_xlfn._xlws.FILTER(TablaProductos[Nombre producto],TablaProductos[Agrupación]=ProductosPivot!RGR5)</f>
        <v>#VALUE!</v>
      </c>
      <c r="RGS6" s="68" t="e" cm="1" vm="1">
        <f t="array" ref="RGS6">_xlfn._xlws.FILTER(TablaProductos[Nombre producto],TablaProductos[Agrupación]=ProductosPivot!RGS5)</f>
        <v>#VALUE!</v>
      </c>
      <c r="RGT6" s="68" t="e" cm="1" vm="1">
        <f t="array" ref="RGT6">_xlfn._xlws.FILTER(TablaProductos[Nombre producto],TablaProductos[Agrupación]=ProductosPivot!RGT5)</f>
        <v>#VALUE!</v>
      </c>
      <c r="RGU6" s="68" t="e" cm="1" vm="1">
        <f t="array" ref="RGU6">_xlfn._xlws.FILTER(TablaProductos[Nombre producto],TablaProductos[Agrupación]=ProductosPivot!RGU5)</f>
        <v>#VALUE!</v>
      </c>
      <c r="RGV6" s="68" t="e" cm="1" vm="1">
        <f t="array" ref="RGV6">_xlfn._xlws.FILTER(TablaProductos[Nombre producto],TablaProductos[Agrupación]=ProductosPivot!RGV5)</f>
        <v>#VALUE!</v>
      </c>
      <c r="RGW6" s="68" t="e" cm="1" vm="1">
        <f t="array" ref="RGW6">_xlfn._xlws.FILTER(TablaProductos[Nombre producto],TablaProductos[Agrupación]=ProductosPivot!RGW5)</f>
        <v>#VALUE!</v>
      </c>
      <c r="RGX6" s="68" t="e" cm="1" vm="1">
        <f t="array" ref="RGX6">_xlfn._xlws.FILTER(TablaProductos[Nombre producto],TablaProductos[Agrupación]=ProductosPivot!RGX5)</f>
        <v>#VALUE!</v>
      </c>
      <c r="RGY6" s="68" t="e" cm="1" vm="1">
        <f t="array" ref="RGY6">_xlfn._xlws.FILTER(TablaProductos[Nombre producto],TablaProductos[Agrupación]=ProductosPivot!RGY5)</f>
        <v>#VALUE!</v>
      </c>
      <c r="RGZ6" s="68" t="e" cm="1" vm="1">
        <f t="array" ref="RGZ6">_xlfn._xlws.FILTER(TablaProductos[Nombre producto],TablaProductos[Agrupación]=ProductosPivot!RGZ5)</f>
        <v>#VALUE!</v>
      </c>
      <c r="RHA6" s="68" t="e" cm="1" vm="1">
        <f t="array" ref="RHA6">_xlfn._xlws.FILTER(TablaProductos[Nombre producto],TablaProductos[Agrupación]=ProductosPivot!RHA5)</f>
        <v>#VALUE!</v>
      </c>
      <c r="RHB6" s="68" t="e" cm="1" vm="1">
        <f t="array" ref="RHB6">_xlfn._xlws.FILTER(TablaProductos[Nombre producto],TablaProductos[Agrupación]=ProductosPivot!RHB5)</f>
        <v>#VALUE!</v>
      </c>
      <c r="RHC6" s="68" t="e" cm="1" vm="1">
        <f t="array" ref="RHC6">_xlfn._xlws.FILTER(TablaProductos[Nombre producto],TablaProductos[Agrupación]=ProductosPivot!RHC5)</f>
        <v>#VALUE!</v>
      </c>
      <c r="RHD6" s="68" t="e" cm="1" vm="1">
        <f t="array" ref="RHD6">_xlfn._xlws.FILTER(TablaProductos[Nombre producto],TablaProductos[Agrupación]=ProductosPivot!RHD5)</f>
        <v>#VALUE!</v>
      </c>
      <c r="RHE6" s="68" t="e" cm="1" vm="1">
        <f t="array" ref="RHE6">_xlfn._xlws.FILTER(TablaProductos[Nombre producto],TablaProductos[Agrupación]=ProductosPivot!RHE5)</f>
        <v>#VALUE!</v>
      </c>
      <c r="RHF6" s="68" t="e" cm="1" vm="1">
        <f t="array" ref="RHF6">_xlfn._xlws.FILTER(TablaProductos[Nombre producto],TablaProductos[Agrupación]=ProductosPivot!RHF5)</f>
        <v>#VALUE!</v>
      </c>
      <c r="RHG6" s="68" t="e" cm="1" vm="1">
        <f t="array" ref="RHG6">_xlfn._xlws.FILTER(TablaProductos[Nombre producto],TablaProductos[Agrupación]=ProductosPivot!RHG5)</f>
        <v>#VALUE!</v>
      </c>
      <c r="RHH6" s="68" t="e" cm="1" vm="1">
        <f t="array" ref="RHH6">_xlfn._xlws.FILTER(TablaProductos[Nombre producto],TablaProductos[Agrupación]=ProductosPivot!RHH5)</f>
        <v>#VALUE!</v>
      </c>
      <c r="RHI6" s="68" t="e" cm="1" vm="1">
        <f t="array" ref="RHI6">_xlfn._xlws.FILTER(TablaProductos[Nombre producto],TablaProductos[Agrupación]=ProductosPivot!RHI5)</f>
        <v>#VALUE!</v>
      </c>
      <c r="RHJ6" s="68" t="e" cm="1" vm="1">
        <f t="array" ref="RHJ6">_xlfn._xlws.FILTER(TablaProductos[Nombre producto],TablaProductos[Agrupación]=ProductosPivot!RHJ5)</f>
        <v>#VALUE!</v>
      </c>
      <c r="RHK6" s="68" t="e" cm="1" vm="1">
        <f t="array" ref="RHK6">_xlfn._xlws.FILTER(TablaProductos[Nombre producto],TablaProductos[Agrupación]=ProductosPivot!RHK5)</f>
        <v>#VALUE!</v>
      </c>
      <c r="RHL6" s="68" t="e" cm="1" vm="1">
        <f t="array" ref="RHL6">_xlfn._xlws.FILTER(TablaProductos[Nombre producto],TablaProductos[Agrupación]=ProductosPivot!RHL5)</f>
        <v>#VALUE!</v>
      </c>
      <c r="RHM6" s="68" t="e" cm="1" vm="1">
        <f t="array" ref="RHM6">_xlfn._xlws.FILTER(TablaProductos[Nombre producto],TablaProductos[Agrupación]=ProductosPivot!RHM5)</f>
        <v>#VALUE!</v>
      </c>
      <c r="RHN6" s="68" t="e" cm="1" vm="1">
        <f t="array" ref="RHN6">_xlfn._xlws.FILTER(TablaProductos[Nombre producto],TablaProductos[Agrupación]=ProductosPivot!RHN5)</f>
        <v>#VALUE!</v>
      </c>
      <c r="RHO6" s="68" t="e" cm="1" vm="1">
        <f t="array" ref="RHO6">_xlfn._xlws.FILTER(TablaProductos[Nombre producto],TablaProductos[Agrupación]=ProductosPivot!RHO5)</f>
        <v>#VALUE!</v>
      </c>
      <c r="RHP6" s="68" t="e" cm="1" vm="1">
        <f t="array" ref="RHP6">_xlfn._xlws.FILTER(TablaProductos[Nombre producto],TablaProductos[Agrupación]=ProductosPivot!RHP5)</f>
        <v>#VALUE!</v>
      </c>
      <c r="RHQ6" s="68" t="e" cm="1" vm="1">
        <f t="array" ref="RHQ6">_xlfn._xlws.FILTER(TablaProductos[Nombre producto],TablaProductos[Agrupación]=ProductosPivot!RHQ5)</f>
        <v>#VALUE!</v>
      </c>
      <c r="RHR6" s="68" t="e" cm="1" vm="1">
        <f t="array" ref="RHR6">_xlfn._xlws.FILTER(TablaProductos[Nombre producto],TablaProductos[Agrupación]=ProductosPivot!RHR5)</f>
        <v>#VALUE!</v>
      </c>
      <c r="RHS6" s="68" t="e" cm="1" vm="1">
        <f t="array" ref="RHS6">_xlfn._xlws.FILTER(TablaProductos[Nombre producto],TablaProductos[Agrupación]=ProductosPivot!RHS5)</f>
        <v>#VALUE!</v>
      </c>
      <c r="RHT6" s="68" t="e" cm="1" vm="1">
        <f t="array" ref="RHT6">_xlfn._xlws.FILTER(TablaProductos[Nombre producto],TablaProductos[Agrupación]=ProductosPivot!RHT5)</f>
        <v>#VALUE!</v>
      </c>
      <c r="RHU6" s="68" t="e" cm="1" vm="1">
        <f t="array" ref="RHU6">_xlfn._xlws.FILTER(TablaProductos[Nombre producto],TablaProductos[Agrupación]=ProductosPivot!RHU5)</f>
        <v>#VALUE!</v>
      </c>
      <c r="RHV6" s="68" t="e" cm="1" vm="1">
        <f t="array" ref="RHV6">_xlfn._xlws.FILTER(TablaProductos[Nombre producto],TablaProductos[Agrupación]=ProductosPivot!RHV5)</f>
        <v>#VALUE!</v>
      </c>
      <c r="RHW6" s="68" t="e" cm="1" vm="1">
        <f t="array" ref="RHW6">_xlfn._xlws.FILTER(TablaProductos[Nombre producto],TablaProductos[Agrupación]=ProductosPivot!RHW5)</f>
        <v>#VALUE!</v>
      </c>
      <c r="RHX6" s="68" t="e" cm="1" vm="1">
        <f t="array" ref="RHX6">_xlfn._xlws.FILTER(TablaProductos[Nombre producto],TablaProductos[Agrupación]=ProductosPivot!RHX5)</f>
        <v>#VALUE!</v>
      </c>
      <c r="RHY6" s="68" t="e" cm="1" vm="1">
        <f t="array" ref="RHY6">_xlfn._xlws.FILTER(TablaProductos[Nombre producto],TablaProductos[Agrupación]=ProductosPivot!RHY5)</f>
        <v>#VALUE!</v>
      </c>
      <c r="RHZ6" s="68" t="e" cm="1" vm="1">
        <f t="array" ref="RHZ6">_xlfn._xlws.FILTER(TablaProductos[Nombre producto],TablaProductos[Agrupación]=ProductosPivot!RHZ5)</f>
        <v>#VALUE!</v>
      </c>
      <c r="RIA6" s="68" t="e" cm="1" vm="1">
        <f t="array" ref="RIA6">_xlfn._xlws.FILTER(TablaProductos[Nombre producto],TablaProductos[Agrupación]=ProductosPivot!RIA5)</f>
        <v>#VALUE!</v>
      </c>
      <c r="RIB6" s="68" t="e" cm="1" vm="1">
        <f t="array" ref="RIB6">_xlfn._xlws.FILTER(TablaProductos[Nombre producto],TablaProductos[Agrupación]=ProductosPivot!RIB5)</f>
        <v>#VALUE!</v>
      </c>
      <c r="RIC6" s="68" t="e" cm="1" vm="1">
        <f t="array" ref="RIC6">_xlfn._xlws.FILTER(TablaProductos[Nombre producto],TablaProductos[Agrupación]=ProductosPivot!RIC5)</f>
        <v>#VALUE!</v>
      </c>
      <c r="RID6" s="68" t="e" cm="1" vm="1">
        <f t="array" ref="RID6">_xlfn._xlws.FILTER(TablaProductos[Nombre producto],TablaProductos[Agrupación]=ProductosPivot!RID5)</f>
        <v>#VALUE!</v>
      </c>
      <c r="RIE6" s="68" t="e" cm="1" vm="1">
        <f t="array" ref="RIE6">_xlfn._xlws.FILTER(TablaProductos[Nombre producto],TablaProductos[Agrupación]=ProductosPivot!RIE5)</f>
        <v>#VALUE!</v>
      </c>
      <c r="RIF6" s="68" t="e" cm="1" vm="1">
        <f t="array" ref="RIF6">_xlfn._xlws.FILTER(TablaProductos[Nombre producto],TablaProductos[Agrupación]=ProductosPivot!RIF5)</f>
        <v>#VALUE!</v>
      </c>
      <c r="RIG6" s="68" t="e" cm="1" vm="1">
        <f t="array" ref="RIG6">_xlfn._xlws.FILTER(TablaProductos[Nombre producto],TablaProductos[Agrupación]=ProductosPivot!RIG5)</f>
        <v>#VALUE!</v>
      </c>
      <c r="RIH6" s="68" t="e" cm="1" vm="1">
        <f t="array" ref="RIH6">_xlfn._xlws.FILTER(TablaProductos[Nombre producto],TablaProductos[Agrupación]=ProductosPivot!RIH5)</f>
        <v>#VALUE!</v>
      </c>
      <c r="RII6" s="68" t="e" cm="1" vm="1">
        <f t="array" ref="RII6">_xlfn._xlws.FILTER(TablaProductos[Nombre producto],TablaProductos[Agrupación]=ProductosPivot!RII5)</f>
        <v>#VALUE!</v>
      </c>
      <c r="RIJ6" s="68" t="e" cm="1" vm="1">
        <f t="array" ref="RIJ6">_xlfn._xlws.FILTER(TablaProductos[Nombre producto],TablaProductos[Agrupación]=ProductosPivot!RIJ5)</f>
        <v>#VALUE!</v>
      </c>
      <c r="RIK6" s="68" t="e" cm="1" vm="1">
        <f t="array" ref="RIK6">_xlfn._xlws.FILTER(TablaProductos[Nombre producto],TablaProductos[Agrupación]=ProductosPivot!RIK5)</f>
        <v>#VALUE!</v>
      </c>
      <c r="RIL6" s="68" t="e" cm="1" vm="1">
        <f t="array" ref="RIL6">_xlfn._xlws.FILTER(TablaProductos[Nombre producto],TablaProductos[Agrupación]=ProductosPivot!RIL5)</f>
        <v>#VALUE!</v>
      </c>
      <c r="RIM6" s="68" t="e" cm="1" vm="1">
        <f t="array" ref="RIM6">_xlfn._xlws.FILTER(TablaProductos[Nombre producto],TablaProductos[Agrupación]=ProductosPivot!RIM5)</f>
        <v>#VALUE!</v>
      </c>
      <c r="RIN6" s="68" t="e" cm="1" vm="1">
        <f t="array" ref="RIN6">_xlfn._xlws.FILTER(TablaProductos[Nombre producto],TablaProductos[Agrupación]=ProductosPivot!RIN5)</f>
        <v>#VALUE!</v>
      </c>
      <c r="RIO6" s="68" t="e" cm="1" vm="1">
        <f t="array" ref="RIO6">_xlfn._xlws.FILTER(TablaProductos[Nombre producto],TablaProductos[Agrupación]=ProductosPivot!RIO5)</f>
        <v>#VALUE!</v>
      </c>
      <c r="RIP6" s="68" t="e" cm="1" vm="1">
        <f t="array" ref="RIP6">_xlfn._xlws.FILTER(TablaProductos[Nombre producto],TablaProductos[Agrupación]=ProductosPivot!RIP5)</f>
        <v>#VALUE!</v>
      </c>
      <c r="RIQ6" s="68" t="e" cm="1" vm="1">
        <f t="array" ref="RIQ6">_xlfn._xlws.FILTER(TablaProductos[Nombre producto],TablaProductos[Agrupación]=ProductosPivot!RIQ5)</f>
        <v>#VALUE!</v>
      </c>
      <c r="RIR6" s="68" t="e" cm="1" vm="1">
        <f t="array" ref="RIR6">_xlfn._xlws.FILTER(TablaProductos[Nombre producto],TablaProductos[Agrupación]=ProductosPivot!RIR5)</f>
        <v>#VALUE!</v>
      </c>
      <c r="RIS6" s="68" t="e" cm="1" vm="1">
        <f t="array" ref="RIS6">_xlfn._xlws.FILTER(TablaProductos[Nombre producto],TablaProductos[Agrupación]=ProductosPivot!RIS5)</f>
        <v>#VALUE!</v>
      </c>
      <c r="RIT6" s="68" t="e" cm="1" vm="1">
        <f t="array" ref="RIT6">_xlfn._xlws.FILTER(TablaProductos[Nombre producto],TablaProductos[Agrupación]=ProductosPivot!RIT5)</f>
        <v>#VALUE!</v>
      </c>
      <c r="RIU6" s="68" t="e" cm="1" vm="1">
        <f t="array" ref="RIU6">_xlfn._xlws.FILTER(TablaProductos[Nombre producto],TablaProductos[Agrupación]=ProductosPivot!RIU5)</f>
        <v>#VALUE!</v>
      </c>
      <c r="RIV6" s="68" t="e" cm="1" vm="1">
        <f t="array" ref="RIV6">_xlfn._xlws.FILTER(TablaProductos[Nombre producto],TablaProductos[Agrupación]=ProductosPivot!RIV5)</f>
        <v>#VALUE!</v>
      </c>
      <c r="RIW6" s="68" t="e" cm="1" vm="1">
        <f t="array" ref="RIW6">_xlfn._xlws.FILTER(TablaProductos[Nombre producto],TablaProductos[Agrupación]=ProductosPivot!RIW5)</f>
        <v>#VALUE!</v>
      </c>
      <c r="RIX6" s="68" t="e" cm="1" vm="1">
        <f t="array" ref="RIX6">_xlfn._xlws.FILTER(TablaProductos[Nombre producto],TablaProductos[Agrupación]=ProductosPivot!RIX5)</f>
        <v>#VALUE!</v>
      </c>
      <c r="RIY6" s="68" t="e" cm="1" vm="1">
        <f t="array" ref="RIY6">_xlfn._xlws.FILTER(TablaProductos[Nombre producto],TablaProductos[Agrupación]=ProductosPivot!RIY5)</f>
        <v>#VALUE!</v>
      </c>
      <c r="RIZ6" s="68" t="e" cm="1" vm="1">
        <f t="array" ref="RIZ6">_xlfn._xlws.FILTER(TablaProductos[Nombre producto],TablaProductos[Agrupación]=ProductosPivot!RIZ5)</f>
        <v>#VALUE!</v>
      </c>
      <c r="RJA6" s="68" t="e" cm="1" vm="1">
        <f t="array" ref="RJA6">_xlfn._xlws.FILTER(TablaProductos[Nombre producto],TablaProductos[Agrupación]=ProductosPivot!RJA5)</f>
        <v>#VALUE!</v>
      </c>
      <c r="RJB6" s="68" t="e" cm="1" vm="1">
        <f t="array" ref="RJB6">_xlfn._xlws.FILTER(TablaProductos[Nombre producto],TablaProductos[Agrupación]=ProductosPivot!RJB5)</f>
        <v>#VALUE!</v>
      </c>
      <c r="RJC6" s="68" t="e" cm="1" vm="1">
        <f t="array" ref="RJC6">_xlfn._xlws.FILTER(TablaProductos[Nombre producto],TablaProductos[Agrupación]=ProductosPivot!RJC5)</f>
        <v>#VALUE!</v>
      </c>
      <c r="RJD6" s="68" t="e" cm="1" vm="1">
        <f t="array" ref="RJD6">_xlfn._xlws.FILTER(TablaProductos[Nombre producto],TablaProductos[Agrupación]=ProductosPivot!RJD5)</f>
        <v>#VALUE!</v>
      </c>
      <c r="RJE6" s="68" t="e" cm="1" vm="1">
        <f t="array" ref="RJE6">_xlfn._xlws.FILTER(TablaProductos[Nombre producto],TablaProductos[Agrupación]=ProductosPivot!RJE5)</f>
        <v>#VALUE!</v>
      </c>
      <c r="RJF6" s="68" t="e" cm="1" vm="1">
        <f t="array" ref="RJF6">_xlfn._xlws.FILTER(TablaProductos[Nombre producto],TablaProductos[Agrupación]=ProductosPivot!RJF5)</f>
        <v>#VALUE!</v>
      </c>
      <c r="RJG6" s="68" t="e" cm="1" vm="1">
        <f t="array" ref="RJG6">_xlfn._xlws.FILTER(TablaProductos[Nombre producto],TablaProductos[Agrupación]=ProductosPivot!RJG5)</f>
        <v>#VALUE!</v>
      </c>
      <c r="RJH6" s="68" t="e" cm="1" vm="1">
        <f t="array" ref="RJH6">_xlfn._xlws.FILTER(TablaProductos[Nombre producto],TablaProductos[Agrupación]=ProductosPivot!RJH5)</f>
        <v>#VALUE!</v>
      </c>
      <c r="RJI6" s="68" t="e" cm="1" vm="1">
        <f t="array" ref="RJI6">_xlfn._xlws.FILTER(TablaProductos[Nombre producto],TablaProductos[Agrupación]=ProductosPivot!RJI5)</f>
        <v>#VALUE!</v>
      </c>
      <c r="RJJ6" s="68" t="e" cm="1" vm="1">
        <f t="array" ref="RJJ6">_xlfn._xlws.FILTER(TablaProductos[Nombre producto],TablaProductos[Agrupación]=ProductosPivot!RJJ5)</f>
        <v>#VALUE!</v>
      </c>
      <c r="RJK6" s="68" t="e" cm="1" vm="1">
        <f t="array" ref="RJK6">_xlfn._xlws.FILTER(TablaProductos[Nombre producto],TablaProductos[Agrupación]=ProductosPivot!RJK5)</f>
        <v>#VALUE!</v>
      </c>
      <c r="RJL6" s="68" t="e" cm="1" vm="1">
        <f t="array" ref="RJL6">_xlfn._xlws.FILTER(TablaProductos[Nombre producto],TablaProductos[Agrupación]=ProductosPivot!RJL5)</f>
        <v>#VALUE!</v>
      </c>
      <c r="RJM6" s="68" t="e" cm="1" vm="1">
        <f t="array" ref="RJM6">_xlfn._xlws.FILTER(TablaProductos[Nombre producto],TablaProductos[Agrupación]=ProductosPivot!RJM5)</f>
        <v>#VALUE!</v>
      </c>
      <c r="RJN6" s="68" t="e" cm="1" vm="1">
        <f t="array" ref="RJN6">_xlfn._xlws.FILTER(TablaProductos[Nombre producto],TablaProductos[Agrupación]=ProductosPivot!RJN5)</f>
        <v>#VALUE!</v>
      </c>
      <c r="RJO6" s="68" t="e" cm="1" vm="1">
        <f t="array" ref="RJO6">_xlfn._xlws.FILTER(TablaProductos[Nombre producto],TablaProductos[Agrupación]=ProductosPivot!RJO5)</f>
        <v>#VALUE!</v>
      </c>
      <c r="RJP6" s="68" t="e" cm="1" vm="1">
        <f t="array" ref="RJP6">_xlfn._xlws.FILTER(TablaProductos[Nombre producto],TablaProductos[Agrupación]=ProductosPivot!RJP5)</f>
        <v>#VALUE!</v>
      </c>
      <c r="RJQ6" s="68" t="e" cm="1" vm="1">
        <f t="array" ref="RJQ6">_xlfn._xlws.FILTER(TablaProductos[Nombre producto],TablaProductos[Agrupación]=ProductosPivot!RJQ5)</f>
        <v>#VALUE!</v>
      </c>
      <c r="RJR6" s="68" t="e" cm="1" vm="1">
        <f t="array" ref="RJR6">_xlfn._xlws.FILTER(TablaProductos[Nombre producto],TablaProductos[Agrupación]=ProductosPivot!RJR5)</f>
        <v>#VALUE!</v>
      </c>
      <c r="RJS6" s="68" t="e" cm="1" vm="1">
        <f t="array" ref="RJS6">_xlfn._xlws.FILTER(TablaProductos[Nombre producto],TablaProductos[Agrupación]=ProductosPivot!RJS5)</f>
        <v>#VALUE!</v>
      </c>
      <c r="RJT6" s="68" t="e" cm="1" vm="1">
        <f t="array" ref="RJT6">_xlfn._xlws.FILTER(TablaProductos[Nombre producto],TablaProductos[Agrupación]=ProductosPivot!RJT5)</f>
        <v>#VALUE!</v>
      </c>
      <c r="RJU6" s="68" t="e" cm="1" vm="1">
        <f t="array" ref="RJU6">_xlfn._xlws.FILTER(TablaProductos[Nombre producto],TablaProductos[Agrupación]=ProductosPivot!RJU5)</f>
        <v>#VALUE!</v>
      </c>
      <c r="RJV6" s="68" t="e" cm="1" vm="1">
        <f t="array" ref="RJV6">_xlfn._xlws.FILTER(TablaProductos[Nombre producto],TablaProductos[Agrupación]=ProductosPivot!RJV5)</f>
        <v>#VALUE!</v>
      </c>
      <c r="RJW6" s="68" t="e" cm="1" vm="1">
        <f t="array" ref="RJW6">_xlfn._xlws.FILTER(TablaProductos[Nombre producto],TablaProductos[Agrupación]=ProductosPivot!RJW5)</f>
        <v>#VALUE!</v>
      </c>
      <c r="RJX6" s="68" t="e" cm="1" vm="1">
        <f t="array" ref="RJX6">_xlfn._xlws.FILTER(TablaProductos[Nombre producto],TablaProductos[Agrupación]=ProductosPivot!RJX5)</f>
        <v>#VALUE!</v>
      </c>
      <c r="RJY6" s="68" t="e" cm="1" vm="1">
        <f t="array" ref="RJY6">_xlfn._xlws.FILTER(TablaProductos[Nombre producto],TablaProductos[Agrupación]=ProductosPivot!RJY5)</f>
        <v>#VALUE!</v>
      </c>
      <c r="RJZ6" s="68" t="e" cm="1" vm="1">
        <f t="array" ref="RJZ6">_xlfn._xlws.FILTER(TablaProductos[Nombre producto],TablaProductos[Agrupación]=ProductosPivot!RJZ5)</f>
        <v>#VALUE!</v>
      </c>
      <c r="RKA6" s="68" t="e" cm="1" vm="1">
        <f t="array" ref="RKA6">_xlfn._xlws.FILTER(TablaProductos[Nombre producto],TablaProductos[Agrupación]=ProductosPivot!RKA5)</f>
        <v>#VALUE!</v>
      </c>
      <c r="RKB6" s="68" t="e" cm="1" vm="1">
        <f t="array" ref="RKB6">_xlfn._xlws.FILTER(TablaProductos[Nombre producto],TablaProductos[Agrupación]=ProductosPivot!RKB5)</f>
        <v>#VALUE!</v>
      </c>
      <c r="RKC6" s="68" t="e" cm="1" vm="1">
        <f t="array" ref="RKC6">_xlfn._xlws.FILTER(TablaProductos[Nombre producto],TablaProductos[Agrupación]=ProductosPivot!RKC5)</f>
        <v>#VALUE!</v>
      </c>
      <c r="RKD6" s="68" t="e" cm="1" vm="1">
        <f t="array" ref="RKD6">_xlfn._xlws.FILTER(TablaProductos[Nombre producto],TablaProductos[Agrupación]=ProductosPivot!RKD5)</f>
        <v>#VALUE!</v>
      </c>
      <c r="RKE6" s="68" t="e" cm="1" vm="1">
        <f t="array" ref="RKE6">_xlfn._xlws.FILTER(TablaProductos[Nombre producto],TablaProductos[Agrupación]=ProductosPivot!RKE5)</f>
        <v>#VALUE!</v>
      </c>
      <c r="RKF6" s="68" t="e" cm="1" vm="1">
        <f t="array" ref="RKF6">_xlfn._xlws.FILTER(TablaProductos[Nombre producto],TablaProductos[Agrupación]=ProductosPivot!RKF5)</f>
        <v>#VALUE!</v>
      </c>
      <c r="RKG6" s="68" t="e" cm="1" vm="1">
        <f t="array" ref="RKG6">_xlfn._xlws.FILTER(TablaProductos[Nombre producto],TablaProductos[Agrupación]=ProductosPivot!RKG5)</f>
        <v>#VALUE!</v>
      </c>
      <c r="RKH6" s="68" t="e" cm="1" vm="1">
        <f t="array" ref="RKH6">_xlfn._xlws.FILTER(TablaProductos[Nombre producto],TablaProductos[Agrupación]=ProductosPivot!RKH5)</f>
        <v>#VALUE!</v>
      </c>
      <c r="RKI6" s="68" t="e" cm="1" vm="1">
        <f t="array" ref="RKI6">_xlfn._xlws.FILTER(TablaProductos[Nombre producto],TablaProductos[Agrupación]=ProductosPivot!RKI5)</f>
        <v>#VALUE!</v>
      </c>
      <c r="RKJ6" s="68" t="e" cm="1" vm="1">
        <f t="array" ref="RKJ6">_xlfn._xlws.FILTER(TablaProductos[Nombre producto],TablaProductos[Agrupación]=ProductosPivot!RKJ5)</f>
        <v>#VALUE!</v>
      </c>
      <c r="RKK6" s="68" t="e" cm="1" vm="1">
        <f t="array" ref="RKK6">_xlfn._xlws.FILTER(TablaProductos[Nombre producto],TablaProductos[Agrupación]=ProductosPivot!RKK5)</f>
        <v>#VALUE!</v>
      </c>
      <c r="RKL6" s="68" t="e" cm="1" vm="1">
        <f t="array" ref="RKL6">_xlfn._xlws.FILTER(TablaProductos[Nombre producto],TablaProductos[Agrupación]=ProductosPivot!RKL5)</f>
        <v>#VALUE!</v>
      </c>
      <c r="RKM6" s="68" t="e" cm="1" vm="1">
        <f t="array" ref="RKM6">_xlfn._xlws.FILTER(TablaProductos[Nombre producto],TablaProductos[Agrupación]=ProductosPivot!RKM5)</f>
        <v>#VALUE!</v>
      </c>
      <c r="RKN6" s="68" t="e" cm="1" vm="1">
        <f t="array" ref="RKN6">_xlfn._xlws.FILTER(TablaProductos[Nombre producto],TablaProductos[Agrupación]=ProductosPivot!RKN5)</f>
        <v>#VALUE!</v>
      </c>
      <c r="RKO6" s="68" t="e" cm="1" vm="1">
        <f t="array" ref="RKO6">_xlfn._xlws.FILTER(TablaProductos[Nombre producto],TablaProductos[Agrupación]=ProductosPivot!RKO5)</f>
        <v>#VALUE!</v>
      </c>
      <c r="RKP6" s="68" t="e" cm="1" vm="1">
        <f t="array" ref="RKP6">_xlfn._xlws.FILTER(TablaProductos[Nombre producto],TablaProductos[Agrupación]=ProductosPivot!RKP5)</f>
        <v>#VALUE!</v>
      </c>
      <c r="RKQ6" s="68" t="e" cm="1" vm="1">
        <f t="array" ref="RKQ6">_xlfn._xlws.FILTER(TablaProductos[Nombre producto],TablaProductos[Agrupación]=ProductosPivot!RKQ5)</f>
        <v>#VALUE!</v>
      </c>
      <c r="RKR6" s="68" t="e" cm="1" vm="1">
        <f t="array" ref="RKR6">_xlfn._xlws.FILTER(TablaProductos[Nombre producto],TablaProductos[Agrupación]=ProductosPivot!RKR5)</f>
        <v>#VALUE!</v>
      </c>
      <c r="RKS6" s="68" t="e" cm="1" vm="1">
        <f t="array" ref="RKS6">_xlfn._xlws.FILTER(TablaProductos[Nombre producto],TablaProductos[Agrupación]=ProductosPivot!RKS5)</f>
        <v>#VALUE!</v>
      </c>
      <c r="RKT6" s="68" t="e" cm="1" vm="1">
        <f t="array" ref="RKT6">_xlfn._xlws.FILTER(TablaProductos[Nombre producto],TablaProductos[Agrupación]=ProductosPivot!RKT5)</f>
        <v>#VALUE!</v>
      </c>
      <c r="RKU6" s="68" t="e" cm="1" vm="1">
        <f t="array" ref="RKU6">_xlfn._xlws.FILTER(TablaProductos[Nombre producto],TablaProductos[Agrupación]=ProductosPivot!RKU5)</f>
        <v>#VALUE!</v>
      </c>
      <c r="RKV6" s="68" t="e" cm="1" vm="1">
        <f t="array" ref="RKV6">_xlfn._xlws.FILTER(TablaProductos[Nombre producto],TablaProductos[Agrupación]=ProductosPivot!RKV5)</f>
        <v>#VALUE!</v>
      </c>
      <c r="RKW6" s="68" t="e" cm="1" vm="1">
        <f t="array" ref="RKW6">_xlfn._xlws.FILTER(TablaProductos[Nombre producto],TablaProductos[Agrupación]=ProductosPivot!RKW5)</f>
        <v>#VALUE!</v>
      </c>
      <c r="RKX6" s="68" t="e" cm="1" vm="1">
        <f t="array" ref="RKX6">_xlfn._xlws.FILTER(TablaProductos[Nombre producto],TablaProductos[Agrupación]=ProductosPivot!RKX5)</f>
        <v>#VALUE!</v>
      </c>
      <c r="RKY6" s="68" t="e" cm="1" vm="1">
        <f t="array" ref="RKY6">_xlfn._xlws.FILTER(TablaProductos[Nombre producto],TablaProductos[Agrupación]=ProductosPivot!RKY5)</f>
        <v>#VALUE!</v>
      </c>
      <c r="RKZ6" s="68" t="e" cm="1" vm="1">
        <f t="array" ref="RKZ6">_xlfn._xlws.FILTER(TablaProductos[Nombre producto],TablaProductos[Agrupación]=ProductosPivot!RKZ5)</f>
        <v>#VALUE!</v>
      </c>
      <c r="RLA6" s="68" t="e" cm="1" vm="1">
        <f t="array" ref="RLA6">_xlfn._xlws.FILTER(TablaProductos[Nombre producto],TablaProductos[Agrupación]=ProductosPivot!RLA5)</f>
        <v>#VALUE!</v>
      </c>
      <c r="RLB6" s="68" t="e" cm="1" vm="1">
        <f t="array" ref="RLB6">_xlfn._xlws.FILTER(TablaProductos[Nombre producto],TablaProductos[Agrupación]=ProductosPivot!RLB5)</f>
        <v>#VALUE!</v>
      </c>
      <c r="RLC6" s="68" t="e" cm="1" vm="1">
        <f t="array" ref="RLC6">_xlfn._xlws.FILTER(TablaProductos[Nombre producto],TablaProductos[Agrupación]=ProductosPivot!RLC5)</f>
        <v>#VALUE!</v>
      </c>
      <c r="RLD6" s="68" t="e" cm="1" vm="1">
        <f t="array" ref="RLD6">_xlfn._xlws.FILTER(TablaProductos[Nombre producto],TablaProductos[Agrupación]=ProductosPivot!RLD5)</f>
        <v>#VALUE!</v>
      </c>
      <c r="RLE6" s="68" t="e" cm="1" vm="1">
        <f t="array" ref="RLE6">_xlfn._xlws.FILTER(TablaProductos[Nombre producto],TablaProductos[Agrupación]=ProductosPivot!RLE5)</f>
        <v>#VALUE!</v>
      </c>
      <c r="RLF6" s="68" t="e" cm="1" vm="1">
        <f t="array" ref="RLF6">_xlfn._xlws.FILTER(TablaProductos[Nombre producto],TablaProductos[Agrupación]=ProductosPivot!RLF5)</f>
        <v>#VALUE!</v>
      </c>
      <c r="RLG6" s="68" t="e" cm="1" vm="1">
        <f t="array" ref="RLG6">_xlfn._xlws.FILTER(TablaProductos[Nombre producto],TablaProductos[Agrupación]=ProductosPivot!RLG5)</f>
        <v>#VALUE!</v>
      </c>
      <c r="RLH6" s="68" t="e" cm="1" vm="1">
        <f t="array" ref="RLH6">_xlfn._xlws.FILTER(TablaProductos[Nombre producto],TablaProductos[Agrupación]=ProductosPivot!RLH5)</f>
        <v>#VALUE!</v>
      </c>
      <c r="RLI6" s="68" t="e" cm="1" vm="1">
        <f t="array" ref="RLI6">_xlfn._xlws.FILTER(TablaProductos[Nombre producto],TablaProductos[Agrupación]=ProductosPivot!RLI5)</f>
        <v>#VALUE!</v>
      </c>
      <c r="RLJ6" s="68" t="e" cm="1" vm="1">
        <f t="array" ref="RLJ6">_xlfn._xlws.FILTER(TablaProductos[Nombre producto],TablaProductos[Agrupación]=ProductosPivot!RLJ5)</f>
        <v>#VALUE!</v>
      </c>
      <c r="RLK6" s="68" t="e" cm="1" vm="1">
        <f t="array" ref="RLK6">_xlfn._xlws.FILTER(TablaProductos[Nombre producto],TablaProductos[Agrupación]=ProductosPivot!RLK5)</f>
        <v>#VALUE!</v>
      </c>
      <c r="RLL6" s="68" t="e" cm="1" vm="1">
        <f t="array" ref="RLL6">_xlfn._xlws.FILTER(TablaProductos[Nombre producto],TablaProductos[Agrupación]=ProductosPivot!RLL5)</f>
        <v>#VALUE!</v>
      </c>
      <c r="RLM6" s="68" t="e" cm="1" vm="1">
        <f t="array" ref="RLM6">_xlfn._xlws.FILTER(TablaProductos[Nombre producto],TablaProductos[Agrupación]=ProductosPivot!RLM5)</f>
        <v>#VALUE!</v>
      </c>
      <c r="RLN6" s="68" t="e" cm="1" vm="1">
        <f t="array" ref="RLN6">_xlfn._xlws.FILTER(TablaProductos[Nombre producto],TablaProductos[Agrupación]=ProductosPivot!RLN5)</f>
        <v>#VALUE!</v>
      </c>
      <c r="RLO6" s="68" t="e" cm="1" vm="1">
        <f t="array" ref="RLO6">_xlfn._xlws.FILTER(TablaProductos[Nombre producto],TablaProductos[Agrupación]=ProductosPivot!RLO5)</f>
        <v>#VALUE!</v>
      </c>
      <c r="RLP6" s="68" t="e" cm="1" vm="1">
        <f t="array" ref="RLP6">_xlfn._xlws.FILTER(TablaProductos[Nombre producto],TablaProductos[Agrupación]=ProductosPivot!RLP5)</f>
        <v>#VALUE!</v>
      </c>
      <c r="RLQ6" s="68" t="e" cm="1" vm="1">
        <f t="array" ref="RLQ6">_xlfn._xlws.FILTER(TablaProductos[Nombre producto],TablaProductos[Agrupación]=ProductosPivot!RLQ5)</f>
        <v>#VALUE!</v>
      </c>
      <c r="RLR6" s="68" t="e" cm="1" vm="1">
        <f t="array" ref="RLR6">_xlfn._xlws.FILTER(TablaProductos[Nombre producto],TablaProductos[Agrupación]=ProductosPivot!RLR5)</f>
        <v>#VALUE!</v>
      </c>
      <c r="RLS6" s="68" t="e" cm="1" vm="1">
        <f t="array" ref="RLS6">_xlfn._xlws.FILTER(TablaProductos[Nombre producto],TablaProductos[Agrupación]=ProductosPivot!RLS5)</f>
        <v>#VALUE!</v>
      </c>
      <c r="RLT6" s="68" t="e" cm="1" vm="1">
        <f t="array" ref="RLT6">_xlfn._xlws.FILTER(TablaProductos[Nombre producto],TablaProductos[Agrupación]=ProductosPivot!RLT5)</f>
        <v>#VALUE!</v>
      </c>
      <c r="RLU6" s="68" t="e" cm="1" vm="1">
        <f t="array" ref="RLU6">_xlfn._xlws.FILTER(TablaProductos[Nombre producto],TablaProductos[Agrupación]=ProductosPivot!RLU5)</f>
        <v>#VALUE!</v>
      </c>
      <c r="RLV6" s="68" t="e" cm="1" vm="1">
        <f t="array" ref="RLV6">_xlfn._xlws.FILTER(TablaProductos[Nombre producto],TablaProductos[Agrupación]=ProductosPivot!RLV5)</f>
        <v>#VALUE!</v>
      </c>
      <c r="RLW6" s="68" t="e" cm="1" vm="1">
        <f t="array" ref="RLW6">_xlfn._xlws.FILTER(TablaProductos[Nombre producto],TablaProductos[Agrupación]=ProductosPivot!RLW5)</f>
        <v>#VALUE!</v>
      </c>
      <c r="RLX6" s="68" t="e" cm="1" vm="1">
        <f t="array" ref="RLX6">_xlfn._xlws.FILTER(TablaProductos[Nombre producto],TablaProductos[Agrupación]=ProductosPivot!RLX5)</f>
        <v>#VALUE!</v>
      </c>
      <c r="RLY6" s="68" t="e" cm="1" vm="1">
        <f t="array" ref="RLY6">_xlfn._xlws.FILTER(TablaProductos[Nombre producto],TablaProductos[Agrupación]=ProductosPivot!RLY5)</f>
        <v>#VALUE!</v>
      </c>
      <c r="RLZ6" s="68" t="e" cm="1" vm="1">
        <f t="array" ref="RLZ6">_xlfn._xlws.FILTER(TablaProductos[Nombre producto],TablaProductos[Agrupación]=ProductosPivot!RLZ5)</f>
        <v>#VALUE!</v>
      </c>
      <c r="RMA6" s="68" t="e" cm="1" vm="1">
        <f t="array" ref="RMA6">_xlfn._xlws.FILTER(TablaProductos[Nombre producto],TablaProductos[Agrupación]=ProductosPivot!RMA5)</f>
        <v>#VALUE!</v>
      </c>
      <c r="RMB6" s="68" t="e" cm="1" vm="1">
        <f t="array" ref="RMB6">_xlfn._xlws.FILTER(TablaProductos[Nombre producto],TablaProductos[Agrupación]=ProductosPivot!RMB5)</f>
        <v>#VALUE!</v>
      </c>
      <c r="RMC6" s="68" t="e" cm="1" vm="1">
        <f t="array" ref="RMC6">_xlfn._xlws.FILTER(TablaProductos[Nombre producto],TablaProductos[Agrupación]=ProductosPivot!RMC5)</f>
        <v>#VALUE!</v>
      </c>
      <c r="RMD6" s="68" t="e" cm="1" vm="1">
        <f t="array" ref="RMD6">_xlfn._xlws.FILTER(TablaProductos[Nombre producto],TablaProductos[Agrupación]=ProductosPivot!RMD5)</f>
        <v>#VALUE!</v>
      </c>
      <c r="RME6" s="68" t="e" cm="1" vm="1">
        <f t="array" ref="RME6">_xlfn._xlws.FILTER(TablaProductos[Nombre producto],TablaProductos[Agrupación]=ProductosPivot!RME5)</f>
        <v>#VALUE!</v>
      </c>
      <c r="RMF6" s="68" t="e" cm="1" vm="1">
        <f t="array" ref="RMF6">_xlfn._xlws.FILTER(TablaProductos[Nombre producto],TablaProductos[Agrupación]=ProductosPivot!RMF5)</f>
        <v>#VALUE!</v>
      </c>
      <c r="RMG6" s="68" t="e" cm="1" vm="1">
        <f t="array" ref="RMG6">_xlfn._xlws.FILTER(TablaProductos[Nombre producto],TablaProductos[Agrupación]=ProductosPivot!RMG5)</f>
        <v>#VALUE!</v>
      </c>
      <c r="RMH6" s="68" t="e" cm="1" vm="1">
        <f t="array" ref="RMH6">_xlfn._xlws.FILTER(TablaProductos[Nombre producto],TablaProductos[Agrupación]=ProductosPivot!RMH5)</f>
        <v>#VALUE!</v>
      </c>
      <c r="RMI6" s="68" t="e" cm="1" vm="1">
        <f t="array" ref="RMI6">_xlfn._xlws.FILTER(TablaProductos[Nombre producto],TablaProductos[Agrupación]=ProductosPivot!RMI5)</f>
        <v>#VALUE!</v>
      </c>
      <c r="RMJ6" s="68" t="e" cm="1" vm="1">
        <f t="array" ref="RMJ6">_xlfn._xlws.FILTER(TablaProductos[Nombre producto],TablaProductos[Agrupación]=ProductosPivot!RMJ5)</f>
        <v>#VALUE!</v>
      </c>
      <c r="RMK6" s="68" t="e" cm="1" vm="1">
        <f t="array" ref="RMK6">_xlfn._xlws.FILTER(TablaProductos[Nombre producto],TablaProductos[Agrupación]=ProductosPivot!RMK5)</f>
        <v>#VALUE!</v>
      </c>
      <c r="RML6" s="68" t="e" cm="1" vm="1">
        <f t="array" ref="RML6">_xlfn._xlws.FILTER(TablaProductos[Nombre producto],TablaProductos[Agrupación]=ProductosPivot!RML5)</f>
        <v>#VALUE!</v>
      </c>
      <c r="RMM6" s="68" t="e" cm="1" vm="1">
        <f t="array" ref="RMM6">_xlfn._xlws.FILTER(TablaProductos[Nombre producto],TablaProductos[Agrupación]=ProductosPivot!RMM5)</f>
        <v>#VALUE!</v>
      </c>
      <c r="RMN6" s="68" t="e" cm="1" vm="1">
        <f t="array" ref="RMN6">_xlfn._xlws.FILTER(TablaProductos[Nombre producto],TablaProductos[Agrupación]=ProductosPivot!RMN5)</f>
        <v>#VALUE!</v>
      </c>
      <c r="RMO6" s="68" t="e" cm="1" vm="1">
        <f t="array" ref="RMO6">_xlfn._xlws.FILTER(TablaProductos[Nombre producto],TablaProductos[Agrupación]=ProductosPivot!RMO5)</f>
        <v>#VALUE!</v>
      </c>
      <c r="RMP6" s="68" t="e" cm="1" vm="1">
        <f t="array" ref="RMP6">_xlfn._xlws.FILTER(TablaProductos[Nombre producto],TablaProductos[Agrupación]=ProductosPivot!RMP5)</f>
        <v>#VALUE!</v>
      </c>
      <c r="RMQ6" s="68" t="e" cm="1" vm="1">
        <f t="array" ref="RMQ6">_xlfn._xlws.FILTER(TablaProductos[Nombre producto],TablaProductos[Agrupación]=ProductosPivot!RMQ5)</f>
        <v>#VALUE!</v>
      </c>
      <c r="RMR6" s="68" t="e" cm="1" vm="1">
        <f t="array" ref="RMR6">_xlfn._xlws.FILTER(TablaProductos[Nombre producto],TablaProductos[Agrupación]=ProductosPivot!RMR5)</f>
        <v>#VALUE!</v>
      </c>
      <c r="RMS6" s="68" t="e" cm="1" vm="1">
        <f t="array" ref="RMS6">_xlfn._xlws.FILTER(TablaProductos[Nombre producto],TablaProductos[Agrupación]=ProductosPivot!RMS5)</f>
        <v>#VALUE!</v>
      </c>
      <c r="RMT6" s="68" t="e" cm="1" vm="1">
        <f t="array" ref="RMT6">_xlfn._xlws.FILTER(TablaProductos[Nombre producto],TablaProductos[Agrupación]=ProductosPivot!RMT5)</f>
        <v>#VALUE!</v>
      </c>
      <c r="RMU6" s="68" t="e" cm="1" vm="1">
        <f t="array" ref="RMU6">_xlfn._xlws.FILTER(TablaProductos[Nombre producto],TablaProductos[Agrupación]=ProductosPivot!RMU5)</f>
        <v>#VALUE!</v>
      </c>
      <c r="RMV6" s="68" t="e" cm="1" vm="1">
        <f t="array" ref="RMV6">_xlfn._xlws.FILTER(TablaProductos[Nombre producto],TablaProductos[Agrupación]=ProductosPivot!RMV5)</f>
        <v>#VALUE!</v>
      </c>
      <c r="RMW6" s="68" t="e" cm="1" vm="1">
        <f t="array" ref="RMW6">_xlfn._xlws.FILTER(TablaProductos[Nombre producto],TablaProductos[Agrupación]=ProductosPivot!RMW5)</f>
        <v>#VALUE!</v>
      </c>
      <c r="RMX6" s="68" t="e" cm="1" vm="1">
        <f t="array" ref="RMX6">_xlfn._xlws.FILTER(TablaProductos[Nombre producto],TablaProductos[Agrupación]=ProductosPivot!RMX5)</f>
        <v>#VALUE!</v>
      </c>
      <c r="RMY6" s="68" t="e" cm="1" vm="1">
        <f t="array" ref="RMY6">_xlfn._xlws.FILTER(TablaProductos[Nombre producto],TablaProductos[Agrupación]=ProductosPivot!RMY5)</f>
        <v>#VALUE!</v>
      </c>
      <c r="RMZ6" s="68" t="e" cm="1" vm="1">
        <f t="array" ref="RMZ6">_xlfn._xlws.FILTER(TablaProductos[Nombre producto],TablaProductos[Agrupación]=ProductosPivot!RMZ5)</f>
        <v>#VALUE!</v>
      </c>
      <c r="RNA6" s="68" t="e" cm="1" vm="1">
        <f t="array" ref="RNA6">_xlfn._xlws.FILTER(TablaProductos[Nombre producto],TablaProductos[Agrupación]=ProductosPivot!RNA5)</f>
        <v>#VALUE!</v>
      </c>
      <c r="RNB6" s="68" t="e" cm="1" vm="1">
        <f t="array" ref="RNB6">_xlfn._xlws.FILTER(TablaProductos[Nombre producto],TablaProductos[Agrupación]=ProductosPivot!RNB5)</f>
        <v>#VALUE!</v>
      </c>
      <c r="RNC6" s="68" t="e" cm="1" vm="1">
        <f t="array" ref="RNC6">_xlfn._xlws.FILTER(TablaProductos[Nombre producto],TablaProductos[Agrupación]=ProductosPivot!RNC5)</f>
        <v>#VALUE!</v>
      </c>
      <c r="RND6" s="68" t="e" cm="1" vm="1">
        <f t="array" ref="RND6">_xlfn._xlws.FILTER(TablaProductos[Nombre producto],TablaProductos[Agrupación]=ProductosPivot!RND5)</f>
        <v>#VALUE!</v>
      </c>
      <c r="RNE6" s="68" t="e" cm="1" vm="1">
        <f t="array" ref="RNE6">_xlfn._xlws.FILTER(TablaProductos[Nombre producto],TablaProductos[Agrupación]=ProductosPivot!RNE5)</f>
        <v>#VALUE!</v>
      </c>
      <c r="RNF6" s="68" t="e" cm="1" vm="1">
        <f t="array" ref="RNF6">_xlfn._xlws.FILTER(TablaProductos[Nombre producto],TablaProductos[Agrupación]=ProductosPivot!RNF5)</f>
        <v>#VALUE!</v>
      </c>
      <c r="RNG6" s="68" t="e" cm="1" vm="1">
        <f t="array" ref="RNG6">_xlfn._xlws.FILTER(TablaProductos[Nombre producto],TablaProductos[Agrupación]=ProductosPivot!RNG5)</f>
        <v>#VALUE!</v>
      </c>
      <c r="RNH6" s="68" t="e" cm="1" vm="1">
        <f t="array" ref="RNH6">_xlfn._xlws.FILTER(TablaProductos[Nombre producto],TablaProductos[Agrupación]=ProductosPivot!RNH5)</f>
        <v>#VALUE!</v>
      </c>
      <c r="RNI6" s="68" t="e" cm="1" vm="1">
        <f t="array" ref="RNI6">_xlfn._xlws.FILTER(TablaProductos[Nombre producto],TablaProductos[Agrupación]=ProductosPivot!RNI5)</f>
        <v>#VALUE!</v>
      </c>
      <c r="RNJ6" s="68" t="e" cm="1" vm="1">
        <f t="array" ref="RNJ6">_xlfn._xlws.FILTER(TablaProductos[Nombre producto],TablaProductos[Agrupación]=ProductosPivot!RNJ5)</f>
        <v>#VALUE!</v>
      </c>
      <c r="RNK6" s="68" t="e" cm="1" vm="1">
        <f t="array" ref="RNK6">_xlfn._xlws.FILTER(TablaProductos[Nombre producto],TablaProductos[Agrupación]=ProductosPivot!RNK5)</f>
        <v>#VALUE!</v>
      </c>
      <c r="RNL6" s="68" t="e" cm="1" vm="1">
        <f t="array" ref="RNL6">_xlfn._xlws.FILTER(TablaProductos[Nombre producto],TablaProductos[Agrupación]=ProductosPivot!RNL5)</f>
        <v>#VALUE!</v>
      </c>
      <c r="RNM6" s="68" t="e" cm="1" vm="1">
        <f t="array" ref="RNM6">_xlfn._xlws.FILTER(TablaProductos[Nombre producto],TablaProductos[Agrupación]=ProductosPivot!RNM5)</f>
        <v>#VALUE!</v>
      </c>
      <c r="RNN6" s="68" t="e" cm="1" vm="1">
        <f t="array" ref="RNN6">_xlfn._xlws.FILTER(TablaProductos[Nombre producto],TablaProductos[Agrupación]=ProductosPivot!RNN5)</f>
        <v>#VALUE!</v>
      </c>
      <c r="RNO6" s="68" t="e" cm="1" vm="1">
        <f t="array" ref="RNO6">_xlfn._xlws.FILTER(TablaProductos[Nombre producto],TablaProductos[Agrupación]=ProductosPivot!RNO5)</f>
        <v>#VALUE!</v>
      </c>
      <c r="RNP6" s="68" t="e" cm="1" vm="1">
        <f t="array" ref="RNP6">_xlfn._xlws.FILTER(TablaProductos[Nombre producto],TablaProductos[Agrupación]=ProductosPivot!RNP5)</f>
        <v>#VALUE!</v>
      </c>
      <c r="RNQ6" s="68" t="e" cm="1" vm="1">
        <f t="array" ref="RNQ6">_xlfn._xlws.FILTER(TablaProductos[Nombre producto],TablaProductos[Agrupación]=ProductosPivot!RNQ5)</f>
        <v>#VALUE!</v>
      </c>
      <c r="RNR6" s="68" t="e" cm="1" vm="1">
        <f t="array" ref="RNR6">_xlfn._xlws.FILTER(TablaProductos[Nombre producto],TablaProductos[Agrupación]=ProductosPivot!RNR5)</f>
        <v>#VALUE!</v>
      </c>
      <c r="RNS6" s="68" t="e" cm="1" vm="1">
        <f t="array" ref="RNS6">_xlfn._xlws.FILTER(TablaProductos[Nombre producto],TablaProductos[Agrupación]=ProductosPivot!RNS5)</f>
        <v>#VALUE!</v>
      </c>
      <c r="RNT6" s="68" t="e" cm="1" vm="1">
        <f t="array" ref="RNT6">_xlfn._xlws.FILTER(TablaProductos[Nombre producto],TablaProductos[Agrupación]=ProductosPivot!RNT5)</f>
        <v>#VALUE!</v>
      </c>
      <c r="RNU6" s="68" t="e" cm="1" vm="1">
        <f t="array" ref="RNU6">_xlfn._xlws.FILTER(TablaProductos[Nombre producto],TablaProductos[Agrupación]=ProductosPivot!RNU5)</f>
        <v>#VALUE!</v>
      </c>
      <c r="RNV6" s="68" t="e" cm="1" vm="1">
        <f t="array" ref="RNV6">_xlfn._xlws.FILTER(TablaProductos[Nombre producto],TablaProductos[Agrupación]=ProductosPivot!RNV5)</f>
        <v>#VALUE!</v>
      </c>
      <c r="RNW6" s="68" t="e" cm="1" vm="1">
        <f t="array" ref="RNW6">_xlfn._xlws.FILTER(TablaProductos[Nombre producto],TablaProductos[Agrupación]=ProductosPivot!RNW5)</f>
        <v>#VALUE!</v>
      </c>
      <c r="RNX6" s="68" t="e" cm="1" vm="1">
        <f t="array" ref="RNX6">_xlfn._xlws.FILTER(TablaProductos[Nombre producto],TablaProductos[Agrupación]=ProductosPivot!RNX5)</f>
        <v>#VALUE!</v>
      </c>
      <c r="RNY6" s="68" t="e" cm="1" vm="1">
        <f t="array" ref="RNY6">_xlfn._xlws.FILTER(TablaProductos[Nombre producto],TablaProductos[Agrupación]=ProductosPivot!RNY5)</f>
        <v>#VALUE!</v>
      </c>
      <c r="RNZ6" s="68" t="e" cm="1" vm="1">
        <f t="array" ref="RNZ6">_xlfn._xlws.FILTER(TablaProductos[Nombre producto],TablaProductos[Agrupación]=ProductosPivot!RNZ5)</f>
        <v>#VALUE!</v>
      </c>
      <c r="ROA6" s="68" t="e" cm="1" vm="1">
        <f t="array" ref="ROA6">_xlfn._xlws.FILTER(TablaProductos[Nombre producto],TablaProductos[Agrupación]=ProductosPivot!ROA5)</f>
        <v>#VALUE!</v>
      </c>
      <c r="ROB6" s="68" t="e" cm="1" vm="1">
        <f t="array" ref="ROB6">_xlfn._xlws.FILTER(TablaProductos[Nombre producto],TablaProductos[Agrupación]=ProductosPivot!ROB5)</f>
        <v>#VALUE!</v>
      </c>
      <c r="ROC6" s="68" t="e" cm="1" vm="1">
        <f t="array" ref="ROC6">_xlfn._xlws.FILTER(TablaProductos[Nombre producto],TablaProductos[Agrupación]=ProductosPivot!ROC5)</f>
        <v>#VALUE!</v>
      </c>
      <c r="ROD6" s="68" t="e" cm="1" vm="1">
        <f t="array" ref="ROD6">_xlfn._xlws.FILTER(TablaProductos[Nombre producto],TablaProductos[Agrupación]=ProductosPivot!ROD5)</f>
        <v>#VALUE!</v>
      </c>
      <c r="ROE6" s="68" t="e" cm="1" vm="1">
        <f t="array" ref="ROE6">_xlfn._xlws.FILTER(TablaProductos[Nombre producto],TablaProductos[Agrupación]=ProductosPivot!ROE5)</f>
        <v>#VALUE!</v>
      </c>
      <c r="ROF6" s="68" t="e" cm="1" vm="1">
        <f t="array" ref="ROF6">_xlfn._xlws.FILTER(TablaProductos[Nombre producto],TablaProductos[Agrupación]=ProductosPivot!ROF5)</f>
        <v>#VALUE!</v>
      </c>
      <c r="ROG6" s="68" t="e" cm="1" vm="1">
        <f t="array" ref="ROG6">_xlfn._xlws.FILTER(TablaProductos[Nombre producto],TablaProductos[Agrupación]=ProductosPivot!ROG5)</f>
        <v>#VALUE!</v>
      </c>
      <c r="ROH6" s="68" t="e" cm="1" vm="1">
        <f t="array" ref="ROH6">_xlfn._xlws.FILTER(TablaProductos[Nombre producto],TablaProductos[Agrupación]=ProductosPivot!ROH5)</f>
        <v>#VALUE!</v>
      </c>
      <c r="ROI6" s="68" t="e" cm="1" vm="1">
        <f t="array" ref="ROI6">_xlfn._xlws.FILTER(TablaProductos[Nombre producto],TablaProductos[Agrupación]=ProductosPivot!ROI5)</f>
        <v>#VALUE!</v>
      </c>
      <c r="ROJ6" s="68" t="e" cm="1" vm="1">
        <f t="array" ref="ROJ6">_xlfn._xlws.FILTER(TablaProductos[Nombre producto],TablaProductos[Agrupación]=ProductosPivot!ROJ5)</f>
        <v>#VALUE!</v>
      </c>
      <c r="ROK6" s="68" t="e" cm="1" vm="1">
        <f t="array" ref="ROK6">_xlfn._xlws.FILTER(TablaProductos[Nombre producto],TablaProductos[Agrupación]=ProductosPivot!ROK5)</f>
        <v>#VALUE!</v>
      </c>
      <c r="ROL6" s="68" t="e" cm="1" vm="1">
        <f t="array" ref="ROL6">_xlfn._xlws.FILTER(TablaProductos[Nombre producto],TablaProductos[Agrupación]=ProductosPivot!ROL5)</f>
        <v>#VALUE!</v>
      </c>
      <c r="ROM6" s="68" t="e" cm="1" vm="1">
        <f t="array" ref="ROM6">_xlfn._xlws.FILTER(TablaProductos[Nombre producto],TablaProductos[Agrupación]=ProductosPivot!ROM5)</f>
        <v>#VALUE!</v>
      </c>
      <c r="RON6" s="68" t="e" cm="1" vm="1">
        <f t="array" ref="RON6">_xlfn._xlws.FILTER(TablaProductos[Nombre producto],TablaProductos[Agrupación]=ProductosPivot!RON5)</f>
        <v>#VALUE!</v>
      </c>
      <c r="ROO6" s="68" t="e" cm="1" vm="1">
        <f t="array" ref="ROO6">_xlfn._xlws.FILTER(TablaProductos[Nombre producto],TablaProductos[Agrupación]=ProductosPivot!ROO5)</f>
        <v>#VALUE!</v>
      </c>
      <c r="ROP6" s="68" t="e" cm="1" vm="1">
        <f t="array" ref="ROP6">_xlfn._xlws.FILTER(TablaProductos[Nombre producto],TablaProductos[Agrupación]=ProductosPivot!ROP5)</f>
        <v>#VALUE!</v>
      </c>
      <c r="ROQ6" s="68" t="e" cm="1" vm="1">
        <f t="array" ref="ROQ6">_xlfn._xlws.FILTER(TablaProductos[Nombre producto],TablaProductos[Agrupación]=ProductosPivot!ROQ5)</f>
        <v>#VALUE!</v>
      </c>
      <c r="ROR6" s="68" t="e" cm="1" vm="1">
        <f t="array" ref="ROR6">_xlfn._xlws.FILTER(TablaProductos[Nombre producto],TablaProductos[Agrupación]=ProductosPivot!ROR5)</f>
        <v>#VALUE!</v>
      </c>
      <c r="ROS6" s="68" t="e" cm="1" vm="1">
        <f t="array" ref="ROS6">_xlfn._xlws.FILTER(TablaProductos[Nombre producto],TablaProductos[Agrupación]=ProductosPivot!ROS5)</f>
        <v>#VALUE!</v>
      </c>
      <c r="ROT6" s="68" t="e" cm="1" vm="1">
        <f t="array" ref="ROT6">_xlfn._xlws.FILTER(TablaProductos[Nombre producto],TablaProductos[Agrupación]=ProductosPivot!ROT5)</f>
        <v>#VALUE!</v>
      </c>
      <c r="ROU6" s="68" t="e" cm="1" vm="1">
        <f t="array" ref="ROU6">_xlfn._xlws.FILTER(TablaProductos[Nombre producto],TablaProductos[Agrupación]=ProductosPivot!ROU5)</f>
        <v>#VALUE!</v>
      </c>
      <c r="ROV6" s="68" t="e" cm="1" vm="1">
        <f t="array" ref="ROV6">_xlfn._xlws.FILTER(TablaProductos[Nombre producto],TablaProductos[Agrupación]=ProductosPivot!ROV5)</f>
        <v>#VALUE!</v>
      </c>
      <c r="ROW6" s="68" t="e" cm="1" vm="1">
        <f t="array" ref="ROW6">_xlfn._xlws.FILTER(TablaProductos[Nombre producto],TablaProductos[Agrupación]=ProductosPivot!ROW5)</f>
        <v>#VALUE!</v>
      </c>
      <c r="ROX6" s="68" t="e" cm="1" vm="1">
        <f t="array" ref="ROX6">_xlfn._xlws.FILTER(TablaProductos[Nombre producto],TablaProductos[Agrupación]=ProductosPivot!ROX5)</f>
        <v>#VALUE!</v>
      </c>
      <c r="ROY6" s="68" t="e" cm="1" vm="1">
        <f t="array" ref="ROY6">_xlfn._xlws.FILTER(TablaProductos[Nombre producto],TablaProductos[Agrupación]=ProductosPivot!ROY5)</f>
        <v>#VALUE!</v>
      </c>
      <c r="ROZ6" s="68" t="e" cm="1" vm="1">
        <f t="array" ref="ROZ6">_xlfn._xlws.FILTER(TablaProductos[Nombre producto],TablaProductos[Agrupación]=ProductosPivot!ROZ5)</f>
        <v>#VALUE!</v>
      </c>
      <c r="RPA6" s="68" t="e" cm="1" vm="1">
        <f t="array" ref="RPA6">_xlfn._xlws.FILTER(TablaProductos[Nombre producto],TablaProductos[Agrupación]=ProductosPivot!RPA5)</f>
        <v>#VALUE!</v>
      </c>
      <c r="RPB6" s="68" t="e" cm="1" vm="1">
        <f t="array" ref="RPB6">_xlfn._xlws.FILTER(TablaProductos[Nombre producto],TablaProductos[Agrupación]=ProductosPivot!RPB5)</f>
        <v>#VALUE!</v>
      </c>
      <c r="RPC6" s="68" t="e" cm="1" vm="1">
        <f t="array" ref="RPC6">_xlfn._xlws.FILTER(TablaProductos[Nombre producto],TablaProductos[Agrupación]=ProductosPivot!RPC5)</f>
        <v>#VALUE!</v>
      </c>
      <c r="RPD6" s="68" t="e" cm="1" vm="1">
        <f t="array" ref="RPD6">_xlfn._xlws.FILTER(TablaProductos[Nombre producto],TablaProductos[Agrupación]=ProductosPivot!RPD5)</f>
        <v>#VALUE!</v>
      </c>
      <c r="RPE6" s="68" t="e" cm="1" vm="1">
        <f t="array" ref="RPE6">_xlfn._xlws.FILTER(TablaProductos[Nombre producto],TablaProductos[Agrupación]=ProductosPivot!RPE5)</f>
        <v>#VALUE!</v>
      </c>
      <c r="RPF6" s="68" t="e" cm="1" vm="1">
        <f t="array" ref="RPF6">_xlfn._xlws.FILTER(TablaProductos[Nombre producto],TablaProductos[Agrupación]=ProductosPivot!RPF5)</f>
        <v>#VALUE!</v>
      </c>
      <c r="RPG6" s="68" t="e" cm="1" vm="1">
        <f t="array" ref="RPG6">_xlfn._xlws.FILTER(TablaProductos[Nombre producto],TablaProductos[Agrupación]=ProductosPivot!RPG5)</f>
        <v>#VALUE!</v>
      </c>
      <c r="RPH6" s="68" t="e" cm="1" vm="1">
        <f t="array" ref="RPH6">_xlfn._xlws.FILTER(TablaProductos[Nombre producto],TablaProductos[Agrupación]=ProductosPivot!RPH5)</f>
        <v>#VALUE!</v>
      </c>
      <c r="RPI6" s="68" t="e" cm="1" vm="1">
        <f t="array" ref="RPI6">_xlfn._xlws.FILTER(TablaProductos[Nombre producto],TablaProductos[Agrupación]=ProductosPivot!RPI5)</f>
        <v>#VALUE!</v>
      </c>
      <c r="RPJ6" s="68" t="e" cm="1" vm="1">
        <f t="array" ref="RPJ6">_xlfn._xlws.FILTER(TablaProductos[Nombre producto],TablaProductos[Agrupación]=ProductosPivot!RPJ5)</f>
        <v>#VALUE!</v>
      </c>
      <c r="RPK6" s="68" t="e" cm="1" vm="1">
        <f t="array" ref="RPK6">_xlfn._xlws.FILTER(TablaProductos[Nombre producto],TablaProductos[Agrupación]=ProductosPivot!RPK5)</f>
        <v>#VALUE!</v>
      </c>
      <c r="RPL6" s="68" t="e" cm="1" vm="1">
        <f t="array" ref="RPL6">_xlfn._xlws.FILTER(TablaProductos[Nombre producto],TablaProductos[Agrupación]=ProductosPivot!RPL5)</f>
        <v>#VALUE!</v>
      </c>
      <c r="RPM6" s="68" t="e" cm="1" vm="1">
        <f t="array" ref="RPM6">_xlfn._xlws.FILTER(TablaProductos[Nombre producto],TablaProductos[Agrupación]=ProductosPivot!RPM5)</f>
        <v>#VALUE!</v>
      </c>
      <c r="RPN6" s="68" t="e" cm="1" vm="1">
        <f t="array" ref="RPN6">_xlfn._xlws.FILTER(TablaProductos[Nombre producto],TablaProductos[Agrupación]=ProductosPivot!RPN5)</f>
        <v>#VALUE!</v>
      </c>
      <c r="RPO6" s="68" t="e" cm="1" vm="1">
        <f t="array" ref="RPO6">_xlfn._xlws.FILTER(TablaProductos[Nombre producto],TablaProductos[Agrupación]=ProductosPivot!RPO5)</f>
        <v>#VALUE!</v>
      </c>
      <c r="RPP6" s="68" t="e" cm="1" vm="1">
        <f t="array" ref="RPP6">_xlfn._xlws.FILTER(TablaProductos[Nombre producto],TablaProductos[Agrupación]=ProductosPivot!RPP5)</f>
        <v>#VALUE!</v>
      </c>
      <c r="RPQ6" s="68" t="e" cm="1" vm="1">
        <f t="array" ref="RPQ6">_xlfn._xlws.FILTER(TablaProductos[Nombre producto],TablaProductos[Agrupación]=ProductosPivot!RPQ5)</f>
        <v>#VALUE!</v>
      </c>
      <c r="RPR6" s="68" t="e" cm="1" vm="1">
        <f t="array" ref="RPR6">_xlfn._xlws.FILTER(TablaProductos[Nombre producto],TablaProductos[Agrupación]=ProductosPivot!RPR5)</f>
        <v>#VALUE!</v>
      </c>
      <c r="RPS6" s="68" t="e" cm="1" vm="1">
        <f t="array" ref="RPS6">_xlfn._xlws.FILTER(TablaProductos[Nombre producto],TablaProductos[Agrupación]=ProductosPivot!RPS5)</f>
        <v>#VALUE!</v>
      </c>
      <c r="RPT6" s="68" t="e" cm="1" vm="1">
        <f t="array" ref="RPT6">_xlfn._xlws.FILTER(TablaProductos[Nombre producto],TablaProductos[Agrupación]=ProductosPivot!RPT5)</f>
        <v>#VALUE!</v>
      </c>
      <c r="RPU6" s="68" t="e" cm="1" vm="1">
        <f t="array" ref="RPU6">_xlfn._xlws.FILTER(TablaProductos[Nombre producto],TablaProductos[Agrupación]=ProductosPivot!RPU5)</f>
        <v>#VALUE!</v>
      </c>
      <c r="RPV6" s="68" t="e" cm="1" vm="1">
        <f t="array" ref="RPV6">_xlfn._xlws.FILTER(TablaProductos[Nombre producto],TablaProductos[Agrupación]=ProductosPivot!RPV5)</f>
        <v>#VALUE!</v>
      </c>
      <c r="RPW6" s="68" t="e" cm="1" vm="1">
        <f t="array" ref="RPW6">_xlfn._xlws.FILTER(TablaProductos[Nombre producto],TablaProductos[Agrupación]=ProductosPivot!RPW5)</f>
        <v>#VALUE!</v>
      </c>
      <c r="RPX6" s="68" t="e" cm="1" vm="1">
        <f t="array" ref="RPX6">_xlfn._xlws.FILTER(TablaProductos[Nombre producto],TablaProductos[Agrupación]=ProductosPivot!RPX5)</f>
        <v>#VALUE!</v>
      </c>
      <c r="RPY6" s="68" t="e" cm="1" vm="1">
        <f t="array" ref="RPY6">_xlfn._xlws.FILTER(TablaProductos[Nombre producto],TablaProductos[Agrupación]=ProductosPivot!RPY5)</f>
        <v>#VALUE!</v>
      </c>
      <c r="RPZ6" s="68" t="e" cm="1" vm="1">
        <f t="array" ref="RPZ6">_xlfn._xlws.FILTER(TablaProductos[Nombre producto],TablaProductos[Agrupación]=ProductosPivot!RPZ5)</f>
        <v>#VALUE!</v>
      </c>
      <c r="RQA6" s="68" t="e" cm="1" vm="1">
        <f t="array" ref="RQA6">_xlfn._xlws.FILTER(TablaProductos[Nombre producto],TablaProductos[Agrupación]=ProductosPivot!RQA5)</f>
        <v>#VALUE!</v>
      </c>
      <c r="RQB6" s="68" t="e" cm="1" vm="1">
        <f t="array" ref="RQB6">_xlfn._xlws.FILTER(TablaProductos[Nombre producto],TablaProductos[Agrupación]=ProductosPivot!RQB5)</f>
        <v>#VALUE!</v>
      </c>
      <c r="RQC6" s="68" t="e" cm="1" vm="1">
        <f t="array" ref="RQC6">_xlfn._xlws.FILTER(TablaProductos[Nombre producto],TablaProductos[Agrupación]=ProductosPivot!RQC5)</f>
        <v>#VALUE!</v>
      </c>
      <c r="RQD6" s="68" t="e" cm="1" vm="1">
        <f t="array" ref="RQD6">_xlfn._xlws.FILTER(TablaProductos[Nombre producto],TablaProductos[Agrupación]=ProductosPivot!RQD5)</f>
        <v>#VALUE!</v>
      </c>
      <c r="RQE6" s="68" t="e" cm="1" vm="1">
        <f t="array" ref="RQE6">_xlfn._xlws.FILTER(TablaProductos[Nombre producto],TablaProductos[Agrupación]=ProductosPivot!RQE5)</f>
        <v>#VALUE!</v>
      </c>
      <c r="RQF6" s="68" t="e" cm="1" vm="1">
        <f t="array" ref="RQF6">_xlfn._xlws.FILTER(TablaProductos[Nombre producto],TablaProductos[Agrupación]=ProductosPivot!RQF5)</f>
        <v>#VALUE!</v>
      </c>
      <c r="RQG6" s="68" t="e" cm="1" vm="1">
        <f t="array" ref="RQG6">_xlfn._xlws.FILTER(TablaProductos[Nombre producto],TablaProductos[Agrupación]=ProductosPivot!RQG5)</f>
        <v>#VALUE!</v>
      </c>
      <c r="RQH6" s="68" t="e" cm="1" vm="1">
        <f t="array" ref="RQH6">_xlfn._xlws.FILTER(TablaProductos[Nombre producto],TablaProductos[Agrupación]=ProductosPivot!RQH5)</f>
        <v>#VALUE!</v>
      </c>
      <c r="RQI6" s="68" t="e" cm="1" vm="1">
        <f t="array" ref="RQI6">_xlfn._xlws.FILTER(TablaProductos[Nombre producto],TablaProductos[Agrupación]=ProductosPivot!RQI5)</f>
        <v>#VALUE!</v>
      </c>
      <c r="RQJ6" s="68" t="e" cm="1" vm="1">
        <f t="array" ref="RQJ6">_xlfn._xlws.FILTER(TablaProductos[Nombre producto],TablaProductos[Agrupación]=ProductosPivot!RQJ5)</f>
        <v>#VALUE!</v>
      </c>
      <c r="RQK6" s="68" t="e" cm="1" vm="1">
        <f t="array" ref="RQK6">_xlfn._xlws.FILTER(TablaProductos[Nombre producto],TablaProductos[Agrupación]=ProductosPivot!RQK5)</f>
        <v>#VALUE!</v>
      </c>
      <c r="RQL6" s="68" t="e" cm="1" vm="1">
        <f t="array" ref="RQL6">_xlfn._xlws.FILTER(TablaProductos[Nombre producto],TablaProductos[Agrupación]=ProductosPivot!RQL5)</f>
        <v>#VALUE!</v>
      </c>
      <c r="RQM6" s="68" t="e" cm="1" vm="1">
        <f t="array" ref="RQM6">_xlfn._xlws.FILTER(TablaProductos[Nombre producto],TablaProductos[Agrupación]=ProductosPivot!RQM5)</f>
        <v>#VALUE!</v>
      </c>
      <c r="RQN6" s="68" t="e" cm="1" vm="1">
        <f t="array" ref="RQN6">_xlfn._xlws.FILTER(TablaProductos[Nombre producto],TablaProductos[Agrupación]=ProductosPivot!RQN5)</f>
        <v>#VALUE!</v>
      </c>
      <c r="RQO6" s="68" t="e" cm="1" vm="1">
        <f t="array" ref="RQO6">_xlfn._xlws.FILTER(TablaProductos[Nombre producto],TablaProductos[Agrupación]=ProductosPivot!RQO5)</f>
        <v>#VALUE!</v>
      </c>
      <c r="RQP6" s="68" t="e" cm="1" vm="1">
        <f t="array" ref="RQP6">_xlfn._xlws.FILTER(TablaProductos[Nombre producto],TablaProductos[Agrupación]=ProductosPivot!RQP5)</f>
        <v>#VALUE!</v>
      </c>
      <c r="RQQ6" s="68" t="e" cm="1" vm="1">
        <f t="array" ref="RQQ6">_xlfn._xlws.FILTER(TablaProductos[Nombre producto],TablaProductos[Agrupación]=ProductosPivot!RQQ5)</f>
        <v>#VALUE!</v>
      </c>
      <c r="RQR6" s="68" t="e" cm="1" vm="1">
        <f t="array" ref="RQR6">_xlfn._xlws.FILTER(TablaProductos[Nombre producto],TablaProductos[Agrupación]=ProductosPivot!RQR5)</f>
        <v>#VALUE!</v>
      </c>
      <c r="RQS6" s="68" t="e" cm="1" vm="1">
        <f t="array" ref="RQS6">_xlfn._xlws.FILTER(TablaProductos[Nombre producto],TablaProductos[Agrupación]=ProductosPivot!RQS5)</f>
        <v>#VALUE!</v>
      </c>
      <c r="RQT6" s="68" t="e" cm="1" vm="1">
        <f t="array" ref="RQT6">_xlfn._xlws.FILTER(TablaProductos[Nombre producto],TablaProductos[Agrupación]=ProductosPivot!RQT5)</f>
        <v>#VALUE!</v>
      </c>
      <c r="RQU6" s="68" t="e" cm="1" vm="1">
        <f t="array" ref="RQU6">_xlfn._xlws.FILTER(TablaProductos[Nombre producto],TablaProductos[Agrupación]=ProductosPivot!RQU5)</f>
        <v>#VALUE!</v>
      </c>
      <c r="RQV6" s="68" t="e" cm="1" vm="1">
        <f t="array" ref="RQV6">_xlfn._xlws.FILTER(TablaProductos[Nombre producto],TablaProductos[Agrupación]=ProductosPivot!RQV5)</f>
        <v>#VALUE!</v>
      </c>
      <c r="RQW6" s="68" t="e" cm="1" vm="1">
        <f t="array" ref="RQW6">_xlfn._xlws.FILTER(TablaProductos[Nombre producto],TablaProductos[Agrupación]=ProductosPivot!RQW5)</f>
        <v>#VALUE!</v>
      </c>
      <c r="RQX6" s="68" t="e" cm="1" vm="1">
        <f t="array" ref="RQX6">_xlfn._xlws.FILTER(TablaProductos[Nombre producto],TablaProductos[Agrupación]=ProductosPivot!RQX5)</f>
        <v>#VALUE!</v>
      </c>
      <c r="RQY6" s="68" t="e" cm="1" vm="1">
        <f t="array" ref="RQY6">_xlfn._xlws.FILTER(TablaProductos[Nombre producto],TablaProductos[Agrupación]=ProductosPivot!RQY5)</f>
        <v>#VALUE!</v>
      </c>
      <c r="RQZ6" s="68" t="e" cm="1" vm="1">
        <f t="array" ref="RQZ6">_xlfn._xlws.FILTER(TablaProductos[Nombre producto],TablaProductos[Agrupación]=ProductosPivot!RQZ5)</f>
        <v>#VALUE!</v>
      </c>
      <c r="RRA6" s="68" t="e" cm="1" vm="1">
        <f t="array" ref="RRA6">_xlfn._xlws.FILTER(TablaProductos[Nombre producto],TablaProductos[Agrupación]=ProductosPivot!RRA5)</f>
        <v>#VALUE!</v>
      </c>
      <c r="RRB6" s="68" t="e" cm="1" vm="1">
        <f t="array" ref="RRB6">_xlfn._xlws.FILTER(TablaProductos[Nombre producto],TablaProductos[Agrupación]=ProductosPivot!RRB5)</f>
        <v>#VALUE!</v>
      </c>
      <c r="RRC6" s="68" t="e" cm="1" vm="1">
        <f t="array" ref="RRC6">_xlfn._xlws.FILTER(TablaProductos[Nombre producto],TablaProductos[Agrupación]=ProductosPivot!RRC5)</f>
        <v>#VALUE!</v>
      </c>
      <c r="RRD6" s="68" t="e" cm="1" vm="1">
        <f t="array" ref="RRD6">_xlfn._xlws.FILTER(TablaProductos[Nombre producto],TablaProductos[Agrupación]=ProductosPivot!RRD5)</f>
        <v>#VALUE!</v>
      </c>
      <c r="RRE6" s="68" t="e" cm="1" vm="1">
        <f t="array" ref="RRE6">_xlfn._xlws.FILTER(TablaProductos[Nombre producto],TablaProductos[Agrupación]=ProductosPivot!RRE5)</f>
        <v>#VALUE!</v>
      </c>
      <c r="RRF6" s="68" t="e" cm="1" vm="1">
        <f t="array" ref="RRF6">_xlfn._xlws.FILTER(TablaProductos[Nombre producto],TablaProductos[Agrupación]=ProductosPivot!RRF5)</f>
        <v>#VALUE!</v>
      </c>
      <c r="RRG6" s="68" t="e" cm="1" vm="1">
        <f t="array" ref="RRG6">_xlfn._xlws.FILTER(TablaProductos[Nombre producto],TablaProductos[Agrupación]=ProductosPivot!RRG5)</f>
        <v>#VALUE!</v>
      </c>
      <c r="RRH6" s="68" t="e" cm="1" vm="1">
        <f t="array" ref="RRH6">_xlfn._xlws.FILTER(TablaProductos[Nombre producto],TablaProductos[Agrupación]=ProductosPivot!RRH5)</f>
        <v>#VALUE!</v>
      </c>
      <c r="RRI6" s="68" t="e" cm="1" vm="1">
        <f t="array" ref="RRI6">_xlfn._xlws.FILTER(TablaProductos[Nombre producto],TablaProductos[Agrupación]=ProductosPivot!RRI5)</f>
        <v>#VALUE!</v>
      </c>
      <c r="RRJ6" s="68" t="e" cm="1" vm="1">
        <f t="array" ref="RRJ6">_xlfn._xlws.FILTER(TablaProductos[Nombre producto],TablaProductos[Agrupación]=ProductosPivot!RRJ5)</f>
        <v>#VALUE!</v>
      </c>
      <c r="RRK6" s="68" t="e" cm="1" vm="1">
        <f t="array" ref="RRK6">_xlfn._xlws.FILTER(TablaProductos[Nombre producto],TablaProductos[Agrupación]=ProductosPivot!RRK5)</f>
        <v>#VALUE!</v>
      </c>
      <c r="RRL6" s="68" t="e" cm="1" vm="1">
        <f t="array" ref="RRL6">_xlfn._xlws.FILTER(TablaProductos[Nombre producto],TablaProductos[Agrupación]=ProductosPivot!RRL5)</f>
        <v>#VALUE!</v>
      </c>
      <c r="RRM6" s="68" t="e" cm="1" vm="1">
        <f t="array" ref="RRM6">_xlfn._xlws.FILTER(TablaProductos[Nombre producto],TablaProductos[Agrupación]=ProductosPivot!RRM5)</f>
        <v>#VALUE!</v>
      </c>
      <c r="RRN6" s="68" t="e" cm="1" vm="1">
        <f t="array" ref="RRN6">_xlfn._xlws.FILTER(TablaProductos[Nombre producto],TablaProductos[Agrupación]=ProductosPivot!RRN5)</f>
        <v>#VALUE!</v>
      </c>
      <c r="RRO6" s="68" t="e" cm="1" vm="1">
        <f t="array" ref="RRO6">_xlfn._xlws.FILTER(TablaProductos[Nombre producto],TablaProductos[Agrupación]=ProductosPivot!RRO5)</f>
        <v>#VALUE!</v>
      </c>
      <c r="RRP6" s="68" t="e" cm="1" vm="1">
        <f t="array" ref="RRP6">_xlfn._xlws.FILTER(TablaProductos[Nombre producto],TablaProductos[Agrupación]=ProductosPivot!RRP5)</f>
        <v>#VALUE!</v>
      </c>
      <c r="RRQ6" s="68" t="e" cm="1" vm="1">
        <f t="array" ref="RRQ6">_xlfn._xlws.FILTER(TablaProductos[Nombre producto],TablaProductos[Agrupación]=ProductosPivot!RRQ5)</f>
        <v>#VALUE!</v>
      </c>
      <c r="RRR6" s="68" t="e" cm="1" vm="1">
        <f t="array" ref="RRR6">_xlfn._xlws.FILTER(TablaProductos[Nombre producto],TablaProductos[Agrupación]=ProductosPivot!RRR5)</f>
        <v>#VALUE!</v>
      </c>
      <c r="RRS6" s="68" t="e" cm="1" vm="1">
        <f t="array" ref="RRS6">_xlfn._xlws.FILTER(TablaProductos[Nombre producto],TablaProductos[Agrupación]=ProductosPivot!RRS5)</f>
        <v>#VALUE!</v>
      </c>
      <c r="RRT6" s="68" t="e" cm="1" vm="1">
        <f t="array" ref="RRT6">_xlfn._xlws.FILTER(TablaProductos[Nombre producto],TablaProductos[Agrupación]=ProductosPivot!RRT5)</f>
        <v>#VALUE!</v>
      </c>
      <c r="RRU6" s="68" t="e" cm="1" vm="1">
        <f t="array" ref="RRU6">_xlfn._xlws.FILTER(TablaProductos[Nombre producto],TablaProductos[Agrupación]=ProductosPivot!RRU5)</f>
        <v>#VALUE!</v>
      </c>
      <c r="RRV6" s="68" t="e" cm="1" vm="1">
        <f t="array" ref="RRV6">_xlfn._xlws.FILTER(TablaProductos[Nombre producto],TablaProductos[Agrupación]=ProductosPivot!RRV5)</f>
        <v>#VALUE!</v>
      </c>
      <c r="RRW6" s="68" t="e" cm="1" vm="1">
        <f t="array" ref="RRW6">_xlfn._xlws.FILTER(TablaProductos[Nombre producto],TablaProductos[Agrupación]=ProductosPivot!RRW5)</f>
        <v>#VALUE!</v>
      </c>
      <c r="RRX6" s="68" t="e" cm="1" vm="1">
        <f t="array" ref="RRX6">_xlfn._xlws.FILTER(TablaProductos[Nombre producto],TablaProductos[Agrupación]=ProductosPivot!RRX5)</f>
        <v>#VALUE!</v>
      </c>
      <c r="RRY6" s="68" t="e" cm="1" vm="1">
        <f t="array" ref="RRY6">_xlfn._xlws.FILTER(TablaProductos[Nombre producto],TablaProductos[Agrupación]=ProductosPivot!RRY5)</f>
        <v>#VALUE!</v>
      </c>
      <c r="RRZ6" s="68" t="e" cm="1" vm="1">
        <f t="array" ref="RRZ6">_xlfn._xlws.FILTER(TablaProductos[Nombre producto],TablaProductos[Agrupación]=ProductosPivot!RRZ5)</f>
        <v>#VALUE!</v>
      </c>
      <c r="RSA6" s="68" t="e" cm="1" vm="1">
        <f t="array" ref="RSA6">_xlfn._xlws.FILTER(TablaProductos[Nombre producto],TablaProductos[Agrupación]=ProductosPivot!RSA5)</f>
        <v>#VALUE!</v>
      </c>
      <c r="RSB6" s="68" t="e" cm="1" vm="1">
        <f t="array" ref="RSB6">_xlfn._xlws.FILTER(TablaProductos[Nombre producto],TablaProductos[Agrupación]=ProductosPivot!RSB5)</f>
        <v>#VALUE!</v>
      </c>
      <c r="RSC6" s="68" t="e" cm="1" vm="1">
        <f t="array" ref="RSC6">_xlfn._xlws.FILTER(TablaProductos[Nombre producto],TablaProductos[Agrupación]=ProductosPivot!RSC5)</f>
        <v>#VALUE!</v>
      </c>
      <c r="RSD6" s="68" t="e" cm="1" vm="1">
        <f t="array" ref="RSD6">_xlfn._xlws.FILTER(TablaProductos[Nombre producto],TablaProductos[Agrupación]=ProductosPivot!RSD5)</f>
        <v>#VALUE!</v>
      </c>
      <c r="RSE6" s="68" t="e" cm="1" vm="1">
        <f t="array" ref="RSE6">_xlfn._xlws.FILTER(TablaProductos[Nombre producto],TablaProductos[Agrupación]=ProductosPivot!RSE5)</f>
        <v>#VALUE!</v>
      </c>
      <c r="RSF6" s="68" t="e" cm="1" vm="1">
        <f t="array" ref="RSF6">_xlfn._xlws.FILTER(TablaProductos[Nombre producto],TablaProductos[Agrupación]=ProductosPivot!RSF5)</f>
        <v>#VALUE!</v>
      </c>
      <c r="RSG6" s="68" t="e" cm="1" vm="1">
        <f t="array" ref="RSG6">_xlfn._xlws.FILTER(TablaProductos[Nombre producto],TablaProductos[Agrupación]=ProductosPivot!RSG5)</f>
        <v>#VALUE!</v>
      </c>
      <c r="RSH6" s="68" t="e" cm="1" vm="1">
        <f t="array" ref="RSH6">_xlfn._xlws.FILTER(TablaProductos[Nombre producto],TablaProductos[Agrupación]=ProductosPivot!RSH5)</f>
        <v>#VALUE!</v>
      </c>
      <c r="RSI6" s="68" t="e" cm="1" vm="1">
        <f t="array" ref="RSI6">_xlfn._xlws.FILTER(TablaProductos[Nombre producto],TablaProductos[Agrupación]=ProductosPivot!RSI5)</f>
        <v>#VALUE!</v>
      </c>
      <c r="RSJ6" s="68" t="e" cm="1" vm="1">
        <f t="array" ref="RSJ6">_xlfn._xlws.FILTER(TablaProductos[Nombre producto],TablaProductos[Agrupación]=ProductosPivot!RSJ5)</f>
        <v>#VALUE!</v>
      </c>
      <c r="RSK6" s="68" t="e" cm="1" vm="1">
        <f t="array" ref="RSK6">_xlfn._xlws.FILTER(TablaProductos[Nombre producto],TablaProductos[Agrupación]=ProductosPivot!RSK5)</f>
        <v>#VALUE!</v>
      </c>
      <c r="RSL6" s="68" t="e" cm="1" vm="1">
        <f t="array" ref="RSL6">_xlfn._xlws.FILTER(TablaProductos[Nombre producto],TablaProductos[Agrupación]=ProductosPivot!RSL5)</f>
        <v>#VALUE!</v>
      </c>
      <c r="RSM6" s="68" t="e" cm="1" vm="1">
        <f t="array" ref="RSM6">_xlfn._xlws.FILTER(TablaProductos[Nombre producto],TablaProductos[Agrupación]=ProductosPivot!RSM5)</f>
        <v>#VALUE!</v>
      </c>
      <c r="RSN6" s="68" t="e" cm="1" vm="1">
        <f t="array" ref="RSN6">_xlfn._xlws.FILTER(TablaProductos[Nombre producto],TablaProductos[Agrupación]=ProductosPivot!RSN5)</f>
        <v>#VALUE!</v>
      </c>
      <c r="RSO6" s="68" t="e" cm="1" vm="1">
        <f t="array" ref="RSO6">_xlfn._xlws.FILTER(TablaProductos[Nombre producto],TablaProductos[Agrupación]=ProductosPivot!RSO5)</f>
        <v>#VALUE!</v>
      </c>
      <c r="RSP6" s="68" t="e" cm="1" vm="1">
        <f t="array" ref="RSP6">_xlfn._xlws.FILTER(TablaProductos[Nombre producto],TablaProductos[Agrupación]=ProductosPivot!RSP5)</f>
        <v>#VALUE!</v>
      </c>
      <c r="RSQ6" s="68" t="e" cm="1" vm="1">
        <f t="array" ref="RSQ6">_xlfn._xlws.FILTER(TablaProductos[Nombre producto],TablaProductos[Agrupación]=ProductosPivot!RSQ5)</f>
        <v>#VALUE!</v>
      </c>
      <c r="RSR6" s="68" t="e" cm="1" vm="1">
        <f t="array" ref="RSR6">_xlfn._xlws.FILTER(TablaProductos[Nombre producto],TablaProductos[Agrupación]=ProductosPivot!RSR5)</f>
        <v>#VALUE!</v>
      </c>
      <c r="RSS6" s="68" t="e" cm="1" vm="1">
        <f t="array" ref="RSS6">_xlfn._xlws.FILTER(TablaProductos[Nombre producto],TablaProductos[Agrupación]=ProductosPivot!RSS5)</f>
        <v>#VALUE!</v>
      </c>
      <c r="RST6" s="68" t="e" cm="1" vm="1">
        <f t="array" ref="RST6">_xlfn._xlws.FILTER(TablaProductos[Nombre producto],TablaProductos[Agrupación]=ProductosPivot!RST5)</f>
        <v>#VALUE!</v>
      </c>
      <c r="RSU6" s="68" t="e" cm="1" vm="1">
        <f t="array" ref="RSU6">_xlfn._xlws.FILTER(TablaProductos[Nombre producto],TablaProductos[Agrupación]=ProductosPivot!RSU5)</f>
        <v>#VALUE!</v>
      </c>
      <c r="RSV6" s="68" t="e" cm="1" vm="1">
        <f t="array" ref="RSV6">_xlfn._xlws.FILTER(TablaProductos[Nombre producto],TablaProductos[Agrupación]=ProductosPivot!RSV5)</f>
        <v>#VALUE!</v>
      </c>
      <c r="RSW6" s="68" t="e" cm="1" vm="1">
        <f t="array" ref="RSW6">_xlfn._xlws.FILTER(TablaProductos[Nombre producto],TablaProductos[Agrupación]=ProductosPivot!RSW5)</f>
        <v>#VALUE!</v>
      </c>
      <c r="RSX6" s="68" t="e" cm="1" vm="1">
        <f t="array" ref="RSX6">_xlfn._xlws.FILTER(TablaProductos[Nombre producto],TablaProductos[Agrupación]=ProductosPivot!RSX5)</f>
        <v>#VALUE!</v>
      </c>
      <c r="RSY6" s="68" t="e" cm="1" vm="1">
        <f t="array" ref="RSY6">_xlfn._xlws.FILTER(TablaProductos[Nombre producto],TablaProductos[Agrupación]=ProductosPivot!RSY5)</f>
        <v>#VALUE!</v>
      </c>
      <c r="RSZ6" s="68" t="e" cm="1" vm="1">
        <f t="array" ref="RSZ6">_xlfn._xlws.FILTER(TablaProductos[Nombre producto],TablaProductos[Agrupación]=ProductosPivot!RSZ5)</f>
        <v>#VALUE!</v>
      </c>
      <c r="RTA6" s="68" t="e" cm="1" vm="1">
        <f t="array" ref="RTA6">_xlfn._xlws.FILTER(TablaProductos[Nombre producto],TablaProductos[Agrupación]=ProductosPivot!RTA5)</f>
        <v>#VALUE!</v>
      </c>
      <c r="RTB6" s="68" t="e" cm="1" vm="1">
        <f t="array" ref="RTB6">_xlfn._xlws.FILTER(TablaProductos[Nombre producto],TablaProductos[Agrupación]=ProductosPivot!RTB5)</f>
        <v>#VALUE!</v>
      </c>
      <c r="RTC6" s="68" t="e" cm="1" vm="1">
        <f t="array" ref="RTC6">_xlfn._xlws.FILTER(TablaProductos[Nombre producto],TablaProductos[Agrupación]=ProductosPivot!RTC5)</f>
        <v>#VALUE!</v>
      </c>
      <c r="RTD6" s="68" t="e" cm="1" vm="1">
        <f t="array" ref="RTD6">_xlfn._xlws.FILTER(TablaProductos[Nombre producto],TablaProductos[Agrupación]=ProductosPivot!RTD5)</f>
        <v>#VALUE!</v>
      </c>
      <c r="RTE6" s="68" t="e" cm="1" vm="1">
        <f t="array" ref="RTE6">_xlfn._xlws.FILTER(TablaProductos[Nombre producto],TablaProductos[Agrupación]=ProductosPivot!RTE5)</f>
        <v>#VALUE!</v>
      </c>
      <c r="RTF6" s="68" t="e" cm="1" vm="1">
        <f t="array" ref="RTF6">_xlfn._xlws.FILTER(TablaProductos[Nombre producto],TablaProductos[Agrupación]=ProductosPivot!RTF5)</f>
        <v>#VALUE!</v>
      </c>
      <c r="RTG6" s="68" t="e" cm="1" vm="1">
        <f t="array" ref="RTG6">_xlfn._xlws.FILTER(TablaProductos[Nombre producto],TablaProductos[Agrupación]=ProductosPivot!RTG5)</f>
        <v>#VALUE!</v>
      </c>
      <c r="RTH6" s="68" t="e" cm="1" vm="1">
        <f t="array" ref="RTH6">_xlfn._xlws.FILTER(TablaProductos[Nombre producto],TablaProductos[Agrupación]=ProductosPivot!RTH5)</f>
        <v>#VALUE!</v>
      </c>
      <c r="RTI6" s="68" t="e" cm="1" vm="1">
        <f t="array" ref="RTI6">_xlfn._xlws.FILTER(TablaProductos[Nombre producto],TablaProductos[Agrupación]=ProductosPivot!RTI5)</f>
        <v>#VALUE!</v>
      </c>
      <c r="RTJ6" s="68" t="e" cm="1" vm="1">
        <f t="array" ref="RTJ6">_xlfn._xlws.FILTER(TablaProductos[Nombre producto],TablaProductos[Agrupación]=ProductosPivot!RTJ5)</f>
        <v>#VALUE!</v>
      </c>
      <c r="RTK6" s="68" t="e" cm="1" vm="1">
        <f t="array" ref="RTK6">_xlfn._xlws.FILTER(TablaProductos[Nombre producto],TablaProductos[Agrupación]=ProductosPivot!RTK5)</f>
        <v>#VALUE!</v>
      </c>
      <c r="RTL6" s="68" t="e" cm="1" vm="1">
        <f t="array" ref="RTL6">_xlfn._xlws.FILTER(TablaProductos[Nombre producto],TablaProductos[Agrupación]=ProductosPivot!RTL5)</f>
        <v>#VALUE!</v>
      </c>
      <c r="RTM6" s="68" t="e" cm="1" vm="1">
        <f t="array" ref="RTM6">_xlfn._xlws.FILTER(TablaProductos[Nombre producto],TablaProductos[Agrupación]=ProductosPivot!RTM5)</f>
        <v>#VALUE!</v>
      </c>
      <c r="RTN6" s="68" t="e" cm="1" vm="1">
        <f t="array" ref="RTN6">_xlfn._xlws.FILTER(TablaProductos[Nombre producto],TablaProductos[Agrupación]=ProductosPivot!RTN5)</f>
        <v>#VALUE!</v>
      </c>
      <c r="RTO6" s="68" t="e" cm="1" vm="1">
        <f t="array" ref="RTO6">_xlfn._xlws.FILTER(TablaProductos[Nombre producto],TablaProductos[Agrupación]=ProductosPivot!RTO5)</f>
        <v>#VALUE!</v>
      </c>
      <c r="RTP6" s="68" t="e" cm="1" vm="1">
        <f t="array" ref="RTP6">_xlfn._xlws.FILTER(TablaProductos[Nombre producto],TablaProductos[Agrupación]=ProductosPivot!RTP5)</f>
        <v>#VALUE!</v>
      </c>
      <c r="RTQ6" s="68" t="e" cm="1" vm="1">
        <f t="array" ref="RTQ6">_xlfn._xlws.FILTER(TablaProductos[Nombre producto],TablaProductos[Agrupación]=ProductosPivot!RTQ5)</f>
        <v>#VALUE!</v>
      </c>
      <c r="RTR6" s="68" t="e" cm="1" vm="1">
        <f t="array" ref="RTR6">_xlfn._xlws.FILTER(TablaProductos[Nombre producto],TablaProductos[Agrupación]=ProductosPivot!RTR5)</f>
        <v>#VALUE!</v>
      </c>
      <c r="RTS6" s="68" t="e" cm="1" vm="1">
        <f t="array" ref="RTS6">_xlfn._xlws.FILTER(TablaProductos[Nombre producto],TablaProductos[Agrupación]=ProductosPivot!RTS5)</f>
        <v>#VALUE!</v>
      </c>
      <c r="RTT6" s="68" t="e" cm="1" vm="1">
        <f t="array" ref="RTT6">_xlfn._xlws.FILTER(TablaProductos[Nombre producto],TablaProductos[Agrupación]=ProductosPivot!RTT5)</f>
        <v>#VALUE!</v>
      </c>
      <c r="RTU6" s="68" t="e" cm="1" vm="1">
        <f t="array" ref="RTU6">_xlfn._xlws.FILTER(TablaProductos[Nombre producto],TablaProductos[Agrupación]=ProductosPivot!RTU5)</f>
        <v>#VALUE!</v>
      </c>
      <c r="RTV6" s="68" t="e" cm="1" vm="1">
        <f t="array" ref="RTV6">_xlfn._xlws.FILTER(TablaProductos[Nombre producto],TablaProductos[Agrupación]=ProductosPivot!RTV5)</f>
        <v>#VALUE!</v>
      </c>
      <c r="RTW6" s="68" t="e" cm="1" vm="1">
        <f t="array" ref="RTW6">_xlfn._xlws.FILTER(TablaProductos[Nombre producto],TablaProductos[Agrupación]=ProductosPivot!RTW5)</f>
        <v>#VALUE!</v>
      </c>
      <c r="RTX6" s="68" t="e" cm="1" vm="1">
        <f t="array" ref="RTX6">_xlfn._xlws.FILTER(TablaProductos[Nombre producto],TablaProductos[Agrupación]=ProductosPivot!RTX5)</f>
        <v>#VALUE!</v>
      </c>
      <c r="RTY6" s="68" t="e" cm="1" vm="1">
        <f t="array" ref="RTY6">_xlfn._xlws.FILTER(TablaProductos[Nombre producto],TablaProductos[Agrupación]=ProductosPivot!RTY5)</f>
        <v>#VALUE!</v>
      </c>
      <c r="RTZ6" s="68" t="e" cm="1" vm="1">
        <f t="array" ref="RTZ6">_xlfn._xlws.FILTER(TablaProductos[Nombre producto],TablaProductos[Agrupación]=ProductosPivot!RTZ5)</f>
        <v>#VALUE!</v>
      </c>
      <c r="RUA6" s="68" t="e" cm="1" vm="1">
        <f t="array" ref="RUA6">_xlfn._xlws.FILTER(TablaProductos[Nombre producto],TablaProductos[Agrupación]=ProductosPivot!RUA5)</f>
        <v>#VALUE!</v>
      </c>
      <c r="RUB6" s="68" t="e" cm="1" vm="1">
        <f t="array" ref="RUB6">_xlfn._xlws.FILTER(TablaProductos[Nombre producto],TablaProductos[Agrupación]=ProductosPivot!RUB5)</f>
        <v>#VALUE!</v>
      </c>
      <c r="RUC6" s="68" t="e" cm="1" vm="1">
        <f t="array" ref="RUC6">_xlfn._xlws.FILTER(TablaProductos[Nombre producto],TablaProductos[Agrupación]=ProductosPivot!RUC5)</f>
        <v>#VALUE!</v>
      </c>
      <c r="RUD6" s="68" t="e" cm="1" vm="1">
        <f t="array" ref="RUD6">_xlfn._xlws.FILTER(TablaProductos[Nombre producto],TablaProductos[Agrupación]=ProductosPivot!RUD5)</f>
        <v>#VALUE!</v>
      </c>
      <c r="RUE6" s="68" t="e" cm="1" vm="1">
        <f t="array" ref="RUE6">_xlfn._xlws.FILTER(TablaProductos[Nombre producto],TablaProductos[Agrupación]=ProductosPivot!RUE5)</f>
        <v>#VALUE!</v>
      </c>
      <c r="RUF6" s="68" t="e" cm="1" vm="1">
        <f t="array" ref="RUF6">_xlfn._xlws.FILTER(TablaProductos[Nombre producto],TablaProductos[Agrupación]=ProductosPivot!RUF5)</f>
        <v>#VALUE!</v>
      </c>
      <c r="RUG6" s="68" t="e" cm="1" vm="1">
        <f t="array" ref="RUG6">_xlfn._xlws.FILTER(TablaProductos[Nombre producto],TablaProductos[Agrupación]=ProductosPivot!RUG5)</f>
        <v>#VALUE!</v>
      </c>
      <c r="RUH6" s="68" t="e" cm="1" vm="1">
        <f t="array" ref="RUH6">_xlfn._xlws.FILTER(TablaProductos[Nombre producto],TablaProductos[Agrupación]=ProductosPivot!RUH5)</f>
        <v>#VALUE!</v>
      </c>
      <c r="RUI6" s="68" t="e" cm="1" vm="1">
        <f t="array" ref="RUI6">_xlfn._xlws.FILTER(TablaProductos[Nombre producto],TablaProductos[Agrupación]=ProductosPivot!RUI5)</f>
        <v>#VALUE!</v>
      </c>
      <c r="RUJ6" s="68" t="e" cm="1" vm="1">
        <f t="array" ref="RUJ6">_xlfn._xlws.FILTER(TablaProductos[Nombre producto],TablaProductos[Agrupación]=ProductosPivot!RUJ5)</f>
        <v>#VALUE!</v>
      </c>
      <c r="RUK6" s="68" t="e" cm="1" vm="1">
        <f t="array" ref="RUK6">_xlfn._xlws.FILTER(TablaProductos[Nombre producto],TablaProductos[Agrupación]=ProductosPivot!RUK5)</f>
        <v>#VALUE!</v>
      </c>
      <c r="RUL6" s="68" t="e" cm="1" vm="1">
        <f t="array" ref="RUL6">_xlfn._xlws.FILTER(TablaProductos[Nombre producto],TablaProductos[Agrupación]=ProductosPivot!RUL5)</f>
        <v>#VALUE!</v>
      </c>
      <c r="RUM6" s="68" t="e" cm="1" vm="1">
        <f t="array" ref="RUM6">_xlfn._xlws.FILTER(TablaProductos[Nombre producto],TablaProductos[Agrupación]=ProductosPivot!RUM5)</f>
        <v>#VALUE!</v>
      </c>
      <c r="RUN6" s="68" t="e" cm="1" vm="1">
        <f t="array" ref="RUN6">_xlfn._xlws.FILTER(TablaProductos[Nombre producto],TablaProductos[Agrupación]=ProductosPivot!RUN5)</f>
        <v>#VALUE!</v>
      </c>
      <c r="RUO6" s="68" t="e" cm="1" vm="1">
        <f t="array" ref="RUO6">_xlfn._xlws.FILTER(TablaProductos[Nombre producto],TablaProductos[Agrupación]=ProductosPivot!RUO5)</f>
        <v>#VALUE!</v>
      </c>
      <c r="RUP6" s="68" t="e" cm="1" vm="1">
        <f t="array" ref="RUP6">_xlfn._xlws.FILTER(TablaProductos[Nombre producto],TablaProductos[Agrupación]=ProductosPivot!RUP5)</f>
        <v>#VALUE!</v>
      </c>
      <c r="RUQ6" s="68" t="e" cm="1" vm="1">
        <f t="array" ref="RUQ6">_xlfn._xlws.FILTER(TablaProductos[Nombre producto],TablaProductos[Agrupación]=ProductosPivot!RUQ5)</f>
        <v>#VALUE!</v>
      </c>
      <c r="RUR6" s="68" t="e" cm="1" vm="1">
        <f t="array" ref="RUR6">_xlfn._xlws.FILTER(TablaProductos[Nombre producto],TablaProductos[Agrupación]=ProductosPivot!RUR5)</f>
        <v>#VALUE!</v>
      </c>
      <c r="RUS6" s="68" t="e" cm="1" vm="1">
        <f t="array" ref="RUS6">_xlfn._xlws.FILTER(TablaProductos[Nombre producto],TablaProductos[Agrupación]=ProductosPivot!RUS5)</f>
        <v>#VALUE!</v>
      </c>
      <c r="RUT6" s="68" t="e" cm="1" vm="1">
        <f t="array" ref="RUT6">_xlfn._xlws.FILTER(TablaProductos[Nombre producto],TablaProductos[Agrupación]=ProductosPivot!RUT5)</f>
        <v>#VALUE!</v>
      </c>
      <c r="RUU6" s="68" t="e" cm="1" vm="1">
        <f t="array" ref="RUU6">_xlfn._xlws.FILTER(TablaProductos[Nombre producto],TablaProductos[Agrupación]=ProductosPivot!RUU5)</f>
        <v>#VALUE!</v>
      </c>
      <c r="RUV6" s="68" t="e" cm="1" vm="1">
        <f t="array" ref="RUV6">_xlfn._xlws.FILTER(TablaProductos[Nombre producto],TablaProductos[Agrupación]=ProductosPivot!RUV5)</f>
        <v>#VALUE!</v>
      </c>
      <c r="RUW6" s="68" t="e" cm="1" vm="1">
        <f t="array" ref="RUW6">_xlfn._xlws.FILTER(TablaProductos[Nombre producto],TablaProductos[Agrupación]=ProductosPivot!RUW5)</f>
        <v>#VALUE!</v>
      </c>
      <c r="RUX6" s="68" t="e" cm="1" vm="1">
        <f t="array" ref="RUX6">_xlfn._xlws.FILTER(TablaProductos[Nombre producto],TablaProductos[Agrupación]=ProductosPivot!RUX5)</f>
        <v>#VALUE!</v>
      </c>
      <c r="RUY6" s="68" t="e" cm="1" vm="1">
        <f t="array" ref="RUY6">_xlfn._xlws.FILTER(TablaProductos[Nombre producto],TablaProductos[Agrupación]=ProductosPivot!RUY5)</f>
        <v>#VALUE!</v>
      </c>
      <c r="RUZ6" s="68" t="e" cm="1" vm="1">
        <f t="array" ref="RUZ6">_xlfn._xlws.FILTER(TablaProductos[Nombre producto],TablaProductos[Agrupación]=ProductosPivot!RUZ5)</f>
        <v>#VALUE!</v>
      </c>
      <c r="RVA6" s="68" t="e" cm="1" vm="1">
        <f t="array" ref="RVA6">_xlfn._xlws.FILTER(TablaProductos[Nombre producto],TablaProductos[Agrupación]=ProductosPivot!RVA5)</f>
        <v>#VALUE!</v>
      </c>
      <c r="RVB6" s="68" t="e" cm="1" vm="1">
        <f t="array" ref="RVB6">_xlfn._xlws.FILTER(TablaProductos[Nombre producto],TablaProductos[Agrupación]=ProductosPivot!RVB5)</f>
        <v>#VALUE!</v>
      </c>
      <c r="RVC6" s="68" t="e" cm="1" vm="1">
        <f t="array" ref="RVC6">_xlfn._xlws.FILTER(TablaProductos[Nombre producto],TablaProductos[Agrupación]=ProductosPivot!RVC5)</f>
        <v>#VALUE!</v>
      </c>
      <c r="RVD6" s="68" t="e" cm="1" vm="1">
        <f t="array" ref="RVD6">_xlfn._xlws.FILTER(TablaProductos[Nombre producto],TablaProductos[Agrupación]=ProductosPivot!RVD5)</f>
        <v>#VALUE!</v>
      </c>
      <c r="RVE6" s="68" t="e" cm="1" vm="1">
        <f t="array" ref="RVE6">_xlfn._xlws.FILTER(TablaProductos[Nombre producto],TablaProductos[Agrupación]=ProductosPivot!RVE5)</f>
        <v>#VALUE!</v>
      </c>
      <c r="RVF6" s="68" t="e" cm="1" vm="1">
        <f t="array" ref="RVF6">_xlfn._xlws.FILTER(TablaProductos[Nombre producto],TablaProductos[Agrupación]=ProductosPivot!RVF5)</f>
        <v>#VALUE!</v>
      </c>
      <c r="RVG6" s="68" t="e" cm="1" vm="1">
        <f t="array" ref="RVG6">_xlfn._xlws.FILTER(TablaProductos[Nombre producto],TablaProductos[Agrupación]=ProductosPivot!RVG5)</f>
        <v>#VALUE!</v>
      </c>
      <c r="RVH6" s="68" t="e" cm="1" vm="1">
        <f t="array" ref="RVH6">_xlfn._xlws.FILTER(TablaProductos[Nombre producto],TablaProductos[Agrupación]=ProductosPivot!RVH5)</f>
        <v>#VALUE!</v>
      </c>
      <c r="RVI6" s="68" t="e" cm="1" vm="1">
        <f t="array" ref="RVI6">_xlfn._xlws.FILTER(TablaProductos[Nombre producto],TablaProductos[Agrupación]=ProductosPivot!RVI5)</f>
        <v>#VALUE!</v>
      </c>
      <c r="RVJ6" s="68" t="e" cm="1" vm="1">
        <f t="array" ref="RVJ6">_xlfn._xlws.FILTER(TablaProductos[Nombre producto],TablaProductos[Agrupación]=ProductosPivot!RVJ5)</f>
        <v>#VALUE!</v>
      </c>
      <c r="RVK6" s="68" t="e" cm="1" vm="1">
        <f t="array" ref="RVK6">_xlfn._xlws.FILTER(TablaProductos[Nombre producto],TablaProductos[Agrupación]=ProductosPivot!RVK5)</f>
        <v>#VALUE!</v>
      </c>
      <c r="RVL6" s="68" t="e" cm="1" vm="1">
        <f t="array" ref="RVL6">_xlfn._xlws.FILTER(TablaProductos[Nombre producto],TablaProductos[Agrupación]=ProductosPivot!RVL5)</f>
        <v>#VALUE!</v>
      </c>
      <c r="RVM6" s="68" t="e" cm="1" vm="1">
        <f t="array" ref="RVM6">_xlfn._xlws.FILTER(TablaProductos[Nombre producto],TablaProductos[Agrupación]=ProductosPivot!RVM5)</f>
        <v>#VALUE!</v>
      </c>
      <c r="RVN6" s="68" t="e" cm="1" vm="1">
        <f t="array" ref="RVN6">_xlfn._xlws.FILTER(TablaProductos[Nombre producto],TablaProductos[Agrupación]=ProductosPivot!RVN5)</f>
        <v>#VALUE!</v>
      </c>
      <c r="RVO6" s="68" t="e" cm="1" vm="1">
        <f t="array" ref="RVO6">_xlfn._xlws.FILTER(TablaProductos[Nombre producto],TablaProductos[Agrupación]=ProductosPivot!RVO5)</f>
        <v>#VALUE!</v>
      </c>
      <c r="RVP6" s="68" t="e" cm="1" vm="1">
        <f t="array" ref="RVP6">_xlfn._xlws.FILTER(TablaProductos[Nombre producto],TablaProductos[Agrupación]=ProductosPivot!RVP5)</f>
        <v>#VALUE!</v>
      </c>
      <c r="RVQ6" s="68" t="e" cm="1" vm="1">
        <f t="array" ref="RVQ6">_xlfn._xlws.FILTER(TablaProductos[Nombre producto],TablaProductos[Agrupación]=ProductosPivot!RVQ5)</f>
        <v>#VALUE!</v>
      </c>
      <c r="RVR6" s="68" t="e" cm="1" vm="1">
        <f t="array" ref="RVR6">_xlfn._xlws.FILTER(TablaProductos[Nombre producto],TablaProductos[Agrupación]=ProductosPivot!RVR5)</f>
        <v>#VALUE!</v>
      </c>
      <c r="RVS6" s="68" t="e" cm="1" vm="1">
        <f t="array" ref="RVS6">_xlfn._xlws.FILTER(TablaProductos[Nombre producto],TablaProductos[Agrupación]=ProductosPivot!RVS5)</f>
        <v>#VALUE!</v>
      </c>
      <c r="RVT6" s="68" t="e" cm="1" vm="1">
        <f t="array" ref="RVT6">_xlfn._xlws.FILTER(TablaProductos[Nombre producto],TablaProductos[Agrupación]=ProductosPivot!RVT5)</f>
        <v>#VALUE!</v>
      </c>
      <c r="RVU6" s="68" t="e" cm="1" vm="1">
        <f t="array" ref="RVU6">_xlfn._xlws.FILTER(TablaProductos[Nombre producto],TablaProductos[Agrupación]=ProductosPivot!RVU5)</f>
        <v>#VALUE!</v>
      </c>
      <c r="RVV6" s="68" t="e" cm="1" vm="1">
        <f t="array" ref="RVV6">_xlfn._xlws.FILTER(TablaProductos[Nombre producto],TablaProductos[Agrupación]=ProductosPivot!RVV5)</f>
        <v>#VALUE!</v>
      </c>
      <c r="RVW6" s="68" t="e" cm="1" vm="1">
        <f t="array" ref="RVW6">_xlfn._xlws.FILTER(TablaProductos[Nombre producto],TablaProductos[Agrupación]=ProductosPivot!RVW5)</f>
        <v>#VALUE!</v>
      </c>
      <c r="RVX6" s="68" t="e" cm="1" vm="1">
        <f t="array" ref="RVX6">_xlfn._xlws.FILTER(TablaProductos[Nombre producto],TablaProductos[Agrupación]=ProductosPivot!RVX5)</f>
        <v>#VALUE!</v>
      </c>
      <c r="RVY6" s="68" t="e" cm="1" vm="1">
        <f t="array" ref="RVY6">_xlfn._xlws.FILTER(TablaProductos[Nombre producto],TablaProductos[Agrupación]=ProductosPivot!RVY5)</f>
        <v>#VALUE!</v>
      </c>
      <c r="RVZ6" s="68" t="e" cm="1" vm="1">
        <f t="array" ref="RVZ6">_xlfn._xlws.FILTER(TablaProductos[Nombre producto],TablaProductos[Agrupación]=ProductosPivot!RVZ5)</f>
        <v>#VALUE!</v>
      </c>
      <c r="RWA6" s="68" t="e" cm="1" vm="1">
        <f t="array" ref="RWA6">_xlfn._xlws.FILTER(TablaProductos[Nombre producto],TablaProductos[Agrupación]=ProductosPivot!RWA5)</f>
        <v>#VALUE!</v>
      </c>
      <c r="RWB6" s="68" t="e" cm="1" vm="1">
        <f t="array" ref="RWB6">_xlfn._xlws.FILTER(TablaProductos[Nombre producto],TablaProductos[Agrupación]=ProductosPivot!RWB5)</f>
        <v>#VALUE!</v>
      </c>
      <c r="RWC6" s="68" t="e" cm="1" vm="1">
        <f t="array" ref="RWC6">_xlfn._xlws.FILTER(TablaProductos[Nombre producto],TablaProductos[Agrupación]=ProductosPivot!RWC5)</f>
        <v>#VALUE!</v>
      </c>
      <c r="RWD6" s="68" t="e" cm="1" vm="1">
        <f t="array" ref="RWD6">_xlfn._xlws.FILTER(TablaProductos[Nombre producto],TablaProductos[Agrupación]=ProductosPivot!RWD5)</f>
        <v>#VALUE!</v>
      </c>
      <c r="RWE6" s="68" t="e" cm="1" vm="1">
        <f t="array" ref="RWE6">_xlfn._xlws.FILTER(TablaProductos[Nombre producto],TablaProductos[Agrupación]=ProductosPivot!RWE5)</f>
        <v>#VALUE!</v>
      </c>
      <c r="RWF6" s="68" t="e" cm="1" vm="1">
        <f t="array" ref="RWF6">_xlfn._xlws.FILTER(TablaProductos[Nombre producto],TablaProductos[Agrupación]=ProductosPivot!RWF5)</f>
        <v>#VALUE!</v>
      </c>
      <c r="RWG6" s="68" t="e" cm="1" vm="1">
        <f t="array" ref="RWG6">_xlfn._xlws.FILTER(TablaProductos[Nombre producto],TablaProductos[Agrupación]=ProductosPivot!RWG5)</f>
        <v>#VALUE!</v>
      </c>
      <c r="RWH6" s="68" t="e" cm="1" vm="1">
        <f t="array" ref="RWH6">_xlfn._xlws.FILTER(TablaProductos[Nombre producto],TablaProductos[Agrupación]=ProductosPivot!RWH5)</f>
        <v>#VALUE!</v>
      </c>
      <c r="RWI6" s="68" t="e" cm="1" vm="1">
        <f t="array" ref="RWI6">_xlfn._xlws.FILTER(TablaProductos[Nombre producto],TablaProductos[Agrupación]=ProductosPivot!RWI5)</f>
        <v>#VALUE!</v>
      </c>
      <c r="RWJ6" s="68" t="e" cm="1" vm="1">
        <f t="array" ref="RWJ6">_xlfn._xlws.FILTER(TablaProductos[Nombre producto],TablaProductos[Agrupación]=ProductosPivot!RWJ5)</f>
        <v>#VALUE!</v>
      </c>
      <c r="RWK6" s="68" t="e" cm="1" vm="1">
        <f t="array" ref="RWK6">_xlfn._xlws.FILTER(TablaProductos[Nombre producto],TablaProductos[Agrupación]=ProductosPivot!RWK5)</f>
        <v>#VALUE!</v>
      </c>
      <c r="RWL6" s="68" t="e" cm="1" vm="1">
        <f t="array" ref="RWL6">_xlfn._xlws.FILTER(TablaProductos[Nombre producto],TablaProductos[Agrupación]=ProductosPivot!RWL5)</f>
        <v>#VALUE!</v>
      </c>
      <c r="RWM6" s="68" t="e" cm="1" vm="1">
        <f t="array" ref="RWM6">_xlfn._xlws.FILTER(TablaProductos[Nombre producto],TablaProductos[Agrupación]=ProductosPivot!RWM5)</f>
        <v>#VALUE!</v>
      </c>
      <c r="RWN6" s="68" t="e" cm="1" vm="1">
        <f t="array" ref="RWN6">_xlfn._xlws.FILTER(TablaProductos[Nombre producto],TablaProductos[Agrupación]=ProductosPivot!RWN5)</f>
        <v>#VALUE!</v>
      </c>
      <c r="RWO6" s="68" t="e" cm="1" vm="1">
        <f t="array" ref="RWO6">_xlfn._xlws.FILTER(TablaProductos[Nombre producto],TablaProductos[Agrupación]=ProductosPivot!RWO5)</f>
        <v>#VALUE!</v>
      </c>
      <c r="RWP6" s="68" t="e" cm="1" vm="1">
        <f t="array" ref="RWP6">_xlfn._xlws.FILTER(TablaProductos[Nombre producto],TablaProductos[Agrupación]=ProductosPivot!RWP5)</f>
        <v>#VALUE!</v>
      </c>
      <c r="RWQ6" s="68" t="e" cm="1" vm="1">
        <f t="array" ref="RWQ6">_xlfn._xlws.FILTER(TablaProductos[Nombre producto],TablaProductos[Agrupación]=ProductosPivot!RWQ5)</f>
        <v>#VALUE!</v>
      </c>
      <c r="RWR6" s="68" t="e" cm="1" vm="1">
        <f t="array" ref="RWR6">_xlfn._xlws.FILTER(TablaProductos[Nombre producto],TablaProductos[Agrupación]=ProductosPivot!RWR5)</f>
        <v>#VALUE!</v>
      </c>
      <c r="RWS6" s="68" t="e" cm="1" vm="1">
        <f t="array" ref="RWS6">_xlfn._xlws.FILTER(TablaProductos[Nombre producto],TablaProductos[Agrupación]=ProductosPivot!RWS5)</f>
        <v>#VALUE!</v>
      </c>
      <c r="RWT6" s="68" t="e" cm="1" vm="1">
        <f t="array" ref="RWT6">_xlfn._xlws.FILTER(TablaProductos[Nombre producto],TablaProductos[Agrupación]=ProductosPivot!RWT5)</f>
        <v>#VALUE!</v>
      </c>
      <c r="RWU6" s="68" t="e" cm="1" vm="1">
        <f t="array" ref="RWU6">_xlfn._xlws.FILTER(TablaProductos[Nombre producto],TablaProductos[Agrupación]=ProductosPivot!RWU5)</f>
        <v>#VALUE!</v>
      </c>
      <c r="RWV6" s="68" t="e" cm="1" vm="1">
        <f t="array" ref="RWV6">_xlfn._xlws.FILTER(TablaProductos[Nombre producto],TablaProductos[Agrupación]=ProductosPivot!RWV5)</f>
        <v>#VALUE!</v>
      </c>
      <c r="RWW6" s="68" t="e" cm="1" vm="1">
        <f t="array" ref="RWW6">_xlfn._xlws.FILTER(TablaProductos[Nombre producto],TablaProductos[Agrupación]=ProductosPivot!RWW5)</f>
        <v>#VALUE!</v>
      </c>
      <c r="RWX6" s="68" t="e" cm="1" vm="1">
        <f t="array" ref="RWX6">_xlfn._xlws.FILTER(TablaProductos[Nombre producto],TablaProductos[Agrupación]=ProductosPivot!RWX5)</f>
        <v>#VALUE!</v>
      </c>
      <c r="RWY6" s="68" t="e" cm="1" vm="1">
        <f t="array" ref="RWY6">_xlfn._xlws.FILTER(TablaProductos[Nombre producto],TablaProductos[Agrupación]=ProductosPivot!RWY5)</f>
        <v>#VALUE!</v>
      </c>
      <c r="RWZ6" s="68" t="e" cm="1" vm="1">
        <f t="array" ref="RWZ6">_xlfn._xlws.FILTER(TablaProductos[Nombre producto],TablaProductos[Agrupación]=ProductosPivot!RWZ5)</f>
        <v>#VALUE!</v>
      </c>
      <c r="RXA6" s="68" t="e" cm="1" vm="1">
        <f t="array" ref="RXA6">_xlfn._xlws.FILTER(TablaProductos[Nombre producto],TablaProductos[Agrupación]=ProductosPivot!RXA5)</f>
        <v>#VALUE!</v>
      </c>
      <c r="RXB6" s="68" t="e" cm="1" vm="1">
        <f t="array" ref="RXB6">_xlfn._xlws.FILTER(TablaProductos[Nombre producto],TablaProductos[Agrupación]=ProductosPivot!RXB5)</f>
        <v>#VALUE!</v>
      </c>
      <c r="RXC6" s="68" t="e" cm="1" vm="1">
        <f t="array" ref="RXC6">_xlfn._xlws.FILTER(TablaProductos[Nombre producto],TablaProductos[Agrupación]=ProductosPivot!RXC5)</f>
        <v>#VALUE!</v>
      </c>
      <c r="RXD6" s="68" t="e" cm="1" vm="1">
        <f t="array" ref="RXD6">_xlfn._xlws.FILTER(TablaProductos[Nombre producto],TablaProductos[Agrupación]=ProductosPivot!RXD5)</f>
        <v>#VALUE!</v>
      </c>
      <c r="RXE6" s="68" t="e" cm="1" vm="1">
        <f t="array" ref="RXE6">_xlfn._xlws.FILTER(TablaProductos[Nombre producto],TablaProductos[Agrupación]=ProductosPivot!RXE5)</f>
        <v>#VALUE!</v>
      </c>
      <c r="RXF6" s="68" t="e" cm="1" vm="1">
        <f t="array" ref="RXF6">_xlfn._xlws.FILTER(TablaProductos[Nombre producto],TablaProductos[Agrupación]=ProductosPivot!RXF5)</f>
        <v>#VALUE!</v>
      </c>
      <c r="RXG6" s="68" t="e" cm="1" vm="1">
        <f t="array" ref="RXG6">_xlfn._xlws.FILTER(TablaProductos[Nombre producto],TablaProductos[Agrupación]=ProductosPivot!RXG5)</f>
        <v>#VALUE!</v>
      </c>
      <c r="RXH6" s="68" t="e" cm="1" vm="1">
        <f t="array" ref="RXH6">_xlfn._xlws.FILTER(TablaProductos[Nombre producto],TablaProductos[Agrupación]=ProductosPivot!RXH5)</f>
        <v>#VALUE!</v>
      </c>
      <c r="RXI6" s="68" t="e" cm="1" vm="1">
        <f t="array" ref="RXI6">_xlfn._xlws.FILTER(TablaProductos[Nombre producto],TablaProductos[Agrupación]=ProductosPivot!RXI5)</f>
        <v>#VALUE!</v>
      </c>
      <c r="RXJ6" s="68" t="e" cm="1" vm="1">
        <f t="array" ref="RXJ6">_xlfn._xlws.FILTER(TablaProductos[Nombre producto],TablaProductos[Agrupación]=ProductosPivot!RXJ5)</f>
        <v>#VALUE!</v>
      </c>
      <c r="RXK6" s="68" t="e" cm="1" vm="1">
        <f t="array" ref="RXK6">_xlfn._xlws.FILTER(TablaProductos[Nombre producto],TablaProductos[Agrupación]=ProductosPivot!RXK5)</f>
        <v>#VALUE!</v>
      </c>
      <c r="RXL6" s="68" t="e" cm="1" vm="1">
        <f t="array" ref="RXL6">_xlfn._xlws.FILTER(TablaProductos[Nombre producto],TablaProductos[Agrupación]=ProductosPivot!RXL5)</f>
        <v>#VALUE!</v>
      </c>
      <c r="RXM6" s="68" t="e" cm="1" vm="1">
        <f t="array" ref="RXM6">_xlfn._xlws.FILTER(TablaProductos[Nombre producto],TablaProductos[Agrupación]=ProductosPivot!RXM5)</f>
        <v>#VALUE!</v>
      </c>
      <c r="RXN6" s="68" t="e" cm="1" vm="1">
        <f t="array" ref="RXN6">_xlfn._xlws.FILTER(TablaProductos[Nombre producto],TablaProductos[Agrupación]=ProductosPivot!RXN5)</f>
        <v>#VALUE!</v>
      </c>
      <c r="RXO6" s="68" t="e" cm="1" vm="1">
        <f t="array" ref="RXO6">_xlfn._xlws.FILTER(TablaProductos[Nombre producto],TablaProductos[Agrupación]=ProductosPivot!RXO5)</f>
        <v>#VALUE!</v>
      </c>
      <c r="RXP6" s="68" t="e" cm="1" vm="1">
        <f t="array" ref="RXP6">_xlfn._xlws.FILTER(TablaProductos[Nombre producto],TablaProductos[Agrupación]=ProductosPivot!RXP5)</f>
        <v>#VALUE!</v>
      </c>
      <c r="RXQ6" s="68" t="e" cm="1" vm="1">
        <f t="array" ref="RXQ6">_xlfn._xlws.FILTER(TablaProductos[Nombre producto],TablaProductos[Agrupación]=ProductosPivot!RXQ5)</f>
        <v>#VALUE!</v>
      </c>
      <c r="RXR6" s="68" t="e" cm="1" vm="1">
        <f t="array" ref="RXR6">_xlfn._xlws.FILTER(TablaProductos[Nombre producto],TablaProductos[Agrupación]=ProductosPivot!RXR5)</f>
        <v>#VALUE!</v>
      </c>
      <c r="RXS6" s="68" t="e" cm="1" vm="1">
        <f t="array" ref="RXS6">_xlfn._xlws.FILTER(TablaProductos[Nombre producto],TablaProductos[Agrupación]=ProductosPivot!RXS5)</f>
        <v>#VALUE!</v>
      </c>
      <c r="RXT6" s="68" t="e" cm="1" vm="1">
        <f t="array" ref="RXT6">_xlfn._xlws.FILTER(TablaProductos[Nombre producto],TablaProductos[Agrupación]=ProductosPivot!RXT5)</f>
        <v>#VALUE!</v>
      </c>
      <c r="RXU6" s="68" t="e" cm="1" vm="1">
        <f t="array" ref="RXU6">_xlfn._xlws.FILTER(TablaProductos[Nombre producto],TablaProductos[Agrupación]=ProductosPivot!RXU5)</f>
        <v>#VALUE!</v>
      </c>
      <c r="RXV6" s="68" t="e" cm="1" vm="1">
        <f t="array" ref="RXV6">_xlfn._xlws.FILTER(TablaProductos[Nombre producto],TablaProductos[Agrupación]=ProductosPivot!RXV5)</f>
        <v>#VALUE!</v>
      </c>
      <c r="RXW6" s="68" t="e" cm="1" vm="1">
        <f t="array" ref="RXW6">_xlfn._xlws.FILTER(TablaProductos[Nombre producto],TablaProductos[Agrupación]=ProductosPivot!RXW5)</f>
        <v>#VALUE!</v>
      </c>
      <c r="RXX6" s="68" t="e" cm="1" vm="1">
        <f t="array" ref="RXX6">_xlfn._xlws.FILTER(TablaProductos[Nombre producto],TablaProductos[Agrupación]=ProductosPivot!RXX5)</f>
        <v>#VALUE!</v>
      </c>
      <c r="RXY6" s="68" t="e" cm="1" vm="1">
        <f t="array" ref="RXY6">_xlfn._xlws.FILTER(TablaProductos[Nombre producto],TablaProductos[Agrupación]=ProductosPivot!RXY5)</f>
        <v>#VALUE!</v>
      </c>
      <c r="RXZ6" s="68" t="e" cm="1" vm="1">
        <f t="array" ref="RXZ6">_xlfn._xlws.FILTER(TablaProductos[Nombre producto],TablaProductos[Agrupación]=ProductosPivot!RXZ5)</f>
        <v>#VALUE!</v>
      </c>
      <c r="RYA6" s="68" t="e" cm="1" vm="1">
        <f t="array" ref="RYA6">_xlfn._xlws.FILTER(TablaProductos[Nombre producto],TablaProductos[Agrupación]=ProductosPivot!RYA5)</f>
        <v>#VALUE!</v>
      </c>
      <c r="RYB6" s="68" t="e" cm="1" vm="1">
        <f t="array" ref="RYB6">_xlfn._xlws.FILTER(TablaProductos[Nombre producto],TablaProductos[Agrupación]=ProductosPivot!RYB5)</f>
        <v>#VALUE!</v>
      </c>
      <c r="RYC6" s="68" t="e" cm="1" vm="1">
        <f t="array" ref="RYC6">_xlfn._xlws.FILTER(TablaProductos[Nombre producto],TablaProductos[Agrupación]=ProductosPivot!RYC5)</f>
        <v>#VALUE!</v>
      </c>
      <c r="RYD6" s="68" t="e" cm="1" vm="1">
        <f t="array" ref="RYD6">_xlfn._xlws.FILTER(TablaProductos[Nombre producto],TablaProductos[Agrupación]=ProductosPivot!RYD5)</f>
        <v>#VALUE!</v>
      </c>
      <c r="RYE6" s="68" t="e" cm="1" vm="1">
        <f t="array" ref="RYE6">_xlfn._xlws.FILTER(TablaProductos[Nombre producto],TablaProductos[Agrupación]=ProductosPivot!RYE5)</f>
        <v>#VALUE!</v>
      </c>
      <c r="RYF6" s="68" t="e" cm="1" vm="1">
        <f t="array" ref="RYF6">_xlfn._xlws.FILTER(TablaProductos[Nombre producto],TablaProductos[Agrupación]=ProductosPivot!RYF5)</f>
        <v>#VALUE!</v>
      </c>
      <c r="RYG6" s="68" t="e" cm="1" vm="1">
        <f t="array" ref="RYG6">_xlfn._xlws.FILTER(TablaProductos[Nombre producto],TablaProductos[Agrupación]=ProductosPivot!RYG5)</f>
        <v>#VALUE!</v>
      </c>
      <c r="RYH6" s="68" t="e" cm="1" vm="1">
        <f t="array" ref="RYH6">_xlfn._xlws.FILTER(TablaProductos[Nombre producto],TablaProductos[Agrupación]=ProductosPivot!RYH5)</f>
        <v>#VALUE!</v>
      </c>
      <c r="RYI6" s="68" t="e" cm="1" vm="1">
        <f t="array" ref="RYI6">_xlfn._xlws.FILTER(TablaProductos[Nombre producto],TablaProductos[Agrupación]=ProductosPivot!RYI5)</f>
        <v>#VALUE!</v>
      </c>
      <c r="RYJ6" s="68" t="e" cm="1" vm="1">
        <f t="array" ref="RYJ6">_xlfn._xlws.FILTER(TablaProductos[Nombre producto],TablaProductos[Agrupación]=ProductosPivot!RYJ5)</f>
        <v>#VALUE!</v>
      </c>
      <c r="RYK6" s="68" t="e" cm="1" vm="1">
        <f t="array" ref="RYK6">_xlfn._xlws.FILTER(TablaProductos[Nombre producto],TablaProductos[Agrupación]=ProductosPivot!RYK5)</f>
        <v>#VALUE!</v>
      </c>
      <c r="RYL6" s="68" t="e" cm="1" vm="1">
        <f t="array" ref="RYL6">_xlfn._xlws.FILTER(TablaProductos[Nombre producto],TablaProductos[Agrupación]=ProductosPivot!RYL5)</f>
        <v>#VALUE!</v>
      </c>
      <c r="RYM6" s="68" t="e" cm="1" vm="1">
        <f t="array" ref="RYM6">_xlfn._xlws.FILTER(TablaProductos[Nombre producto],TablaProductos[Agrupación]=ProductosPivot!RYM5)</f>
        <v>#VALUE!</v>
      </c>
      <c r="RYN6" s="68" t="e" cm="1" vm="1">
        <f t="array" ref="RYN6">_xlfn._xlws.FILTER(TablaProductos[Nombre producto],TablaProductos[Agrupación]=ProductosPivot!RYN5)</f>
        <v>#VALUE!</v>
      </c>
      <c r="RYO6" s="68" t="e" cm="1" vm="1">
        <f t="array" ref="RYO6">_xlfn._xlws.FILTER(TablaProductos[Nombre producto],TablaProductos[Agrupación]=ProductosPivot!RYO5)</f>
        <v>#VALUE!</v>
      </c>
      <c r="RYP6" s="68" t="e" cm="1" vm="1">
        <f t="array" ref="RYP6">_xlfn._xlws.FILTER(TablaProductos[Nombre producto],TablaProductos[Agrupación]=ProductosPivot!RYP5)</f>
        <v>#VALUE!</v>
      </c>
      <c r="RYQ6" s="68" t="e" cm="1" vm="1">
        <f t="array" ref="RYQ6">_xlfn._xlws.FILTER(TablaProductos[Nombre producto],TablaProductos[Agrupación]=ProductosPivot!RYQ5)</f>
        <v>#VALUE!</v>
      </c>
      <c r="RYR6" s="68" t="e" cm="1" vm="1">
        <f t="array" ref="RYR6">_xlfn._xlws.FILTER(TablaProductos[Nombre producto],TablaProductos[Agrupación]=ProductosPivot!RYR5)</f>
        <v>#VALUE!</v>
      </c>
      <c r="RYS6" s="68" t="e" cm="1" vm="1">
        <f t="array" ref="RYS6">_xlfn._xlws.FILTER(TablaProductos[Nombre producto],TablaProductos[Agrupación]=ProductosPivot!RYS5)</f>
        <v>#VALUE!</v>
      </c>
      <c r="RYT6" s="68" t="e" cm="1" vm="1">
        <f t="array" ref="RYT6">_xlfn._xlws.FILTER(TablaProductos[Nombre producto],TablaProductos[Agrupación]=ProductosPivot!RYT5)</f>
        <v>#VALUE!</v>
      </c>
      <c r="RYU6" s="68" t="e" cm="1" vm="1">
        <f t="array" ref="RYU6">_xlfn._xlws.FILTER(TablaProductos[Nombre producto],TablaProductos[Agrupación]=ProductosPivot!RYU5)</f>
        <v>#VALUE!</v>
      </c>
      <c r="RYV6" s="68" t="e" cm="1" vm="1">
        <f t="array" ref="RYV6">_xlfn._xlws.FILTER(TablaProductos[Nombre producto],TablaProductos[Agrupación]=ProductosPivot!RYV5)</f>
        <v>#VALUE!</v>
      </c>
      <c r="RYW6" s="68" t="e" cm="1" vm="1">
        <f t="array" ref="RYW6">_xlfn._xlws.FILTER(TablaProductos[Nombre producto],TablaProductos[Agrupación]=ProductosPivot!RYW5)</f>
        <v>#VALUE!</v>
      </c>
      <c r="RYX6" s="68" t="e" cm="1" vm="1">
        <f t="array" ref="RYX6">_xlfn._xlws.FILTER(TablaProductos[Nombre producto],TablaProductos[Agrupación]=ProductosPivot!RYX5)</f>
        <v>#VALUE!</v>
      </c>
      <c r="RYY6" s="68" t="e" cm="1" vm="1">
        <f t="array" ref="RYY6">_xlfn._xlws.FILTER(TablaProductos[Nombre producto],TablaProductos[Agrupación]=ProductosPivot!RYY5)</f>
        <v>#VALUE!</v>
      </c>
      <c r="RYZ6" s="68" t="e" cm="1" vm="1">
        <f t="array" ref="RYZ6">_xlfn._xlws.FILTER(TablaProductos[Nombre producto],TablaProductos[Agrupación]=ProductosPivot!RYZ5)</f>
        <v>#VALUE!</v>
      </c>
      <c r="RZA6" s="68" t="e" cm="1" vm="1">
        <f t="array" ref="RZA6">_xlfn._xlws.FILTER(TablaProductos[Nombre producto],TablaProductos[Agrupación]=ProductosPivot!RZA5)</f>
        <v>#VALUE!</v>
      </c>
      <c r="RZB6" s="68" t="e" cm="1" vm="1">
        <f t="array" ref="RZB6">_xlfn._xlws.FILTER(TablaProductos[Nombre producto],TablaProductos[Agrupación]=ProductosPivot!RZB5)</f>
        <v>#VALUE!</v>
      </c>
      <c r="RZC6" s="68" t="e" cm="1" vm="1">
        <f t="array" ref="RZC6">_xlfn._xlws.FILTER(TablaProductos[Nombre producto],TablaProductos[Agrupación]=ProductosPivot!RZC5)</f>
        <v>#VALUE!</v>
      </c>
      <c r="RZD6" s="68" t="e" cm="1" vm="1">
        <f t="array" ref="RZD6">_xlfn._xlws.FILTER(TablaProductos[Nombre producto],TablaProductos[Agrupación]=ProductosPivot!RZD5)</f>
        <v>#VALUE!</v>
      </c>
      <c r="RZE6" s="68" t="e" cm="1" vm="1">
        <f t="array" ref="RZE6">_xlfn._xlws.FILTER(TablaProductos[Nombre producto],TablaProductos[Agrupación]=ProductosPivot!RZE5)</f>
        <v>#VALUE!</v>
      </c>
      <c r="RZF6" s="68" t="e" cm="1" vm="1">
        <f t="array" ref="RZF6">_xlfn._xlws.FILTER(TablaProductos[Nombre producto],TablaProductos[Agrupación]=ProductosPivot!RZF5)</f>
        <v>#VALUE!</v>
      </c>
      <c r="RZG6" s="68" t="e" cm="1" vm="1">
        <f t="array" ref="RZG6">_xlfn._xlws.FILTER(TablaProductos[Nombre producto],TablaProductos[Agrupación]=ProductosPivot!RZG5)</f>
        <v>#VALUE!</v>
      </c>
      <c r="RZH6" s="68" t="e" cm="1" vm="1">
        <f t="array" ref="RZH6">_xlfn._xlws.FILTER(TablaProductos[Nombre producto],TablaProductos[Agrupación]=ProductosPivot!RZH5)</f>
        <v>#VALUE!</v>
      </c>
      <c r="RZI6" s="68" t="e" cm="1" vm="1">
        <f t="array" ref="RZI6">_xlfn._xlws.FILTER(TablaProductos[Nombre producto],TablaProductos[Agrupación]=ProductosPivot!RZI5)</f>
        <v>#VALUE!</v>
      </c>
      <c r="RZJ6" s="68" t="e" cm="1" vm="1">
        <f t="array" ref="RZJ6">_xlfn._xlws.FILTER(TablaProductos[Nombre producto],TablaProductos[Agrupación]=ProductosPivot!RZJ5)</f>
        <v>#VALUE!</v>
      </c>
      <c r="RZK6" s="68" t="e" cm="1" vm="1">
        <f t="array" ref="RZK6">_xlfn._xlws.FILTER(TablaProductos[Nombre producto],TablaProductos[Agrupación]=ProductosPivot!RZK5)</f>
        <v>#VALUE!</v>
      </c>
      <c r="RZL6" s="68" t="e" cm="1" vm="1">
        <f t="array" ref="RZL6">_xlfn._xlws.FILTER(TablaProductos[Nombre producto],TablaProductos[Agrupación]=ProductosPivot!RZL5)</f>
        <v>#VALUE!</v>
      </c>
      <c r="RZM6" s="68" t="e" cm="1" vm="1">
        <f t="array" ref="RZM6">_xlfn._xlws.FILTER(TablaProductos[Nombre producto],TablaProductos[Agrupación]=ProductosPivot!RZM5)</f>
        <v>#VALUE!</v>
      </c>
      <c r="RZN6" s="68" t="e" cm="1" vm="1">
        <f t="array" ref="RZN6">_xlfn._xlws.FILTER(TablaProductos[Nombre producto],TablaProductos[Agrupación]=ProductosPivot!RZN5)</f>
        <v>#VALUE!</v>
      </c>
      <c r="RZO6" s="68" t="e" cm="1" vm="1">
        <f t="array" ref="RZO6">_xlfn._xlws.FILTER(TablaProductos[Nombre producto],TablaProductos[Agrupación]=ProductosPivot!RZO5)</f>
        <v>#VALUE!</v>
      </c>
      <c r="RZP6" s="68" t="e" cm="1" vm="1">
        <f t="array" ref="RZP6">_xlfn._xlws.FILTER(TablaProductos[Nombre producto],TablaProductos[Agrupación]=ProductosPivot!RZP5)</f>
        <v>#VALUE!</v>
      </c>
      <c r="RZQ6" s="68" t="e" cm="1" vm="1">
        <f t="array" ref="RZQ6">_xlfn._xlws.FILTER(TablaProductos[Nombre producto],TablaProductos[Agrupación]=ProductosPivot!RZQ5)</f>
        <v>#VALUE!</v>
      </c>
      <c r="RZR6" s="68" t="e" cm="1" vm="1">
        <f t="array" ref="RZR6">_xlfn._xlws.FILTER(TablaProductos[Nombre producto],TablaProductos[Agrupación]=ProductosPivot!RZR5)</f>
        <v>#VALUE!</v>
      </c>
      <c r="RZS6" s="68" t="e" cm="1" vm="1">
        <f t="array" ref="RZS6">_xlfn._xlws.FILTER(TablaProductos[Nombre producto],TablaProductos[Agrupación]=ProductosPivot!RZS5)</f>
        <v>#VALUE!</v>
      </c>
      <c r="RZT6" s="68" t="e" cm="1" vm="1">
        <f t="array" ref="RZT6">_xlfn._xlws.FILTER(TablaProductos[Nombre producto],TablaProductos[Agrupación]=ProductosPivot!RZT5)</f>
        <v>#VALUE!</v>
      </c>
      <c r="RZU6" s="68" t="e" cm="1" vm="1">
        <f t="array" ref="RZU6">_xlfn._xlws.FILTER(TablaProductos[Nombre producto],TablaProductos[Agrupación]=ProductosPivot!RZU5)</f>
        <v>#VALUE!</v>
      </c>
      <c r="RZV6" s="68" t="e" cm="1" vm="1">
        <f t="array" ref="RZV6">_xlfn._xlws.FILTER(TablaProductos[Nombre producto],TablaProductos[Agrupación]=ProductosPivot!RZV5)</f>
        <v>#VALUE!</v>
      </c>
      <c r="RZW6" s="68" t="e" cm="1" vm="1">
        <f t="array" ref="RZW6">_xlfn._xlws.FILTER(TablaProductos[Nombre producto],TablaProductos[Agrupación]=ProductosPivot!RZW5)</f>
        <v>#VALUE!</v>
      </c>
      <c r="RZX6" s="68" t="e" cm="1" vm="1">
        <f t="array" ref="RZX6">_xlfn._xlws.FILTER(TablaProductos[Nombre producto],TablaProductos[Agrupación]=ProductosPivot!RZX5)</f>
        <v>#VALUE!</v>
      </c>
      <c r="RZY6" s="68" t="e" cm="1" vm="1">
        <f t="array" ref="RZY6">_xlfn._xlws.FILTER(TablaProductos[Nombre producto],TablaProductos[Agrupación]=ProductosPivot!RZY5)</f>
        <v>#VALUE!</v>
      </c>
      <c r="RZZ6" s="68" t="e" cm="1" vm="1">
        <f t="array" ref="RZZ6">_xlfn._xlws.FILTER(TablaProductos[Nombre producto],TablaProductos[Agrupación]=ProductosPivot!RZZ5)</f>
        <v>#VALUE!</v>
      </c>
      <c r="SAA6" s="68" t="e" cm="1" vm="1">
        <f t="array" ref="SAA6">_xlfn._xlws.FILTER(TablaProductos[Nombre producto],TablaProductos[Agrupación]=ProductosPivot!SAA5)</f>
        <v>#VALUE!</v>
      </c>
      <c r="SAB6" s="68" t="e" cm="1" vm="1">
        <f t="array" ref="SAB6">_xlfn._xlws.FILTER(TablaProductos[Nombre producto],TablaProductos[Agrupación]=ProductosPivot!SAB5)</f>
        <v>#VALUE!</v>
      </c>
      <c r="SAC6" s="68" t="e" cm="1" vm="1">
        <f t="array" ref="SAC6">_xlfn._xlws.FILTER(TablaProductos[Nombre producto],TablaProductos[Agrupación]=ProductosPivot!SAC5)</f>
        <v>#VALUE!</v>
      </c>
      <c r="SAD6" s="68" t="e" cm="1" vm="1">
        <f t="array" ref="SAD6">_xlfn._xlws.FILTER(TablaProductos[Nombre producto],TablaProductos[Agrupación]=ProductosPivot!SAD5)</f>
        <v>#VALUE!</v>
      </c>
      <c r="SAE6" s="68" t="e" cm="1" vm="1">
        <f t="array" ref="SAE6">_xlfn._xlws.FILTER(TablaProductos[Nombre producto],TablaProductos[Agrupación]=ProductosPivot!SAE5)</f>
        <v>#VALUE!</v>
      </c>
      <c r="SAF6" s="68" t="e" cm="1" vm="1">
        <f t="array" ref="SAF6">_xlfn._xlws.FILTER(TablaProductos[Nombre producto],TablaProductos[Agrupación]=ProductosPivot!SAF5)</f>
        <v>#VALUE!</v>
      </c>
      <c r="SAG6" s="68" t="e" cm="1" vm="1">
        <f t="array" ref="SAG6">_xlfn._xlws.FILTER(TablaProductos[Nombre producto],TablaProductos[Agrupación]=ProductosPivot!SAG5)</f>
        <v>#VALUE!</v>
      </c>
      <c r="SAH6" s="68" t="e" cm="1" vm="1">
        <f t="array" ref="SAH6">_xlfn._xlws.FILTER(TablaProductos[Nombre producto],TablaProductos[Agrupación]=ProductosPivot!SAH5)</f>
        <v>#VALUE!</v>
      </c>
      <c r="SAI6" s="68" t="e" cm="1" vm="1">
        <f t="array" ref="SAI6">_xlfn._xlws.FILTER(TablaProductos[Nombre producto],TablaProductos[Agrupación]=ProductosPivot!SAI5)</f>
        <v>#VALUE!</v>
      </c>
      <c r="SAJ6" s="68" t="e" cm="1" vm="1">
        <f t="array" ref="SAJ6">_xlfn._xlws.FILTER(TablaProductos[Nombre producto],TablaProductos[Agrupación]=ProductosPivot!SAJ5)</f>
        <v>#VALUE!</v>
      </c>
      <c r="SAK6" s="68" t="e" cm="1" vm="1">
        <f t="array" ref="SAK6">_xlfn._xlws.FILTER(TablaProductos[Nombre producto],TablaProductos[Agrupación]=ProductosPivot!SAK5)</f>
        <v>#VALUE!</v>
      </c>
      <c r="SAL6" s="68" t="e" cm="1" vm="1">
        <f t="array" ref="SAL6">_xlfn._xlws.FILTER(TablaProductos[Nombre producto],TablaProductos[Agrupación]=ProductosPivot!SAL5)</f>
        <v>#VALUE!</v>
      </c>
      <c r="SAM6" s="68" t="e" cm="1" vm="1">
        <f t="array" ref="SAM6">_xlfn._xlws.FILTER(TablaProductos[Nombre producto],TablaProductos[Agrupación]=ProductosPivot!SAM5)</f>
        <v>#VALUE!</v>
      </c>
      <c r="SAN6" s="68" t="e" cm="1" vm="1">
        <f t="array" ref="SAN6">_xlfn._xlws.FILTER(TablaProductos[Nombre producto],TablaProductos[Agrupación]=ProductosPivot!SAN5)</f>
        <v>#VALUE!</v>
      </c>
      <c r="SAO6" s="68" t="e" cm="1" vm="1">
        <f t="array" ref="SAO6">_xlfn._xlws.FILTER(TablaProductos[Nombre producto],TablaProductos[Agrupación]=ProductosPivot!SAO5)</f>
        <v>#VALUE!</v>
      </c>
      <c r="SAP6" s="68" t="e" cm="1" vm="1">
        <f t="array" ref="SAP6">_xlfn._xlws.FILTER(TablaProductos[Nombre producto],TablaProductos[Agrupación]=ProductosPivot!SAP5)</f>
        <v>#VALUE!</v>
      </c>
      <c r="SAQ6" s="68" t="e" cm="1" vm="1">
        <f t="array" ref="SAQ6">_xlfn._xlws.FILTER(TablaProductos[Nombre producto],TablaProductos[Agrupación]=ProductosPivot!SAQ5)</f>
        <v>#VALUE!</v>
      </c>
      <c r="SAR6" s="68" t="e" cm="1" vm="1">
        <f t="array" ref="SAR6">_xlfn._xlws.FILTER(TablaProductos[Nombre producto],TablaProductos[Agrupación]=ProductosPivot!SAR5)</f>
        <v>#VALUE!</v>
      </c>
      <c r="SAS6" s="68" t="e" cm="1" vm="1">
        <f t="array" ref="SAS6">_xlfn._xlws.FILTER(TablaProductos[Nombre producto],TablaProductos[Agrupación]=ProductosPivot!SAS5)</f>
        <v>#VALUE!</v>
      </c>
      <c r="SAT6" s="68" t="e" cm="1" vm="1">
        <f t="array" ref="SAT6">_xlfn._xlws.FILTER(TablaProductos[Nombre producto],TablaProductos[Agrupación]=ProductosPivot!SAT5)</f>
        <v>#VALUE!</v>
      </c>
      <c r="SAU6" s="68" t="e" cm="1" vm="1">
        <f t="array" ref="SAU6">_xlfn._xlws.FILTER(TablaProductos[Nombre producto],TablaProductos[Agrupación]=ProductosPivot!SAU5)</f>
        <v>#VALUE!</v>
      </c>
      <c r="SAV6" s="68" t="e" cm="1" vm="1">
        <f t="array" ref="SAV6">_xlfn._xlws.FILTER(TablaProductos[Nombre producto],TablaProductos[Agrupación]=ProductosPivot!SAV5)</f>
        <v>#VALUE!</v>
      </c>
      <c r="SAW6" s="68" t="e" cm="1" vm="1">
        <f t="array" ref="SAW6">_xlfn._xlws.FILTER(TablaProductos[Nombre producto],TablaProductos[Agrupación]=ProductosPivot!SAW5)</f>
        <v>#VALUE!</v>
      </c>
      <c r="SAX6" s="68" t="e" cm="1" vm="1">
        <f t="array" ref="SAX6">_xlfn._xlws.FILTER(TablaProductos[Nombre producto],TablaProductos[Agrupación]=ProductosPivot!SAX5)</f>
        <v>#VALUE!</v>
      </c>
      <c r="SAY6" s="68" t="e" cm="1" vm="1">
        <f t="array" ref="SAY6">_xlfn._xlws.FILTER(TablaProductos[Nombre producto],TablaProductos[Agrupación]=ProductosPivot!SAY5)</f>
        <v>#VALUE!</v>
      </c>
      <c r="SAZ6" s="68" t="e" cm="1" vm="1">
        <f t="array" ref="SAZ6">_xlfn._xlws.FILTER(TablaProductos[Nombre producto],TablaProductos[Agrupación]=ProductosPivot!SAZ5)</f>
        <v>#VALUE!</v>
      </c>
      <c r="SBA6" s="68" t="e" cm="1" vm="1">
        <f t="array" ref="SBA6">_xlfn._xlws.FILTER(TablaProductos[Nombre producto],TablaProductos[Agrupación]=ProductosPivot!SBA5)</f>
        <v>#VALUE!</v>
      </c>
      <c r="SBB6" s="68" t="e" cm="1" vm="1">
        <f t="array" ref="SBB6">_xlfn._xlws.FILTER(TablaProductos[Nombre producto],TablaProductos[Agrupación]=ProductosPivot!SBB5)</f>
        <v>#VALUE!</v>
      </c>
      <c r="SBC6" s="68" t="e" cm="1" vm="1">
        <f t="array" ref="SBC6">_xlfn._xlws.FILTER(TablaProductos[Nombre producto],TablaProductos[Agrupación]=ProductosPivot!SBC5)</f>
        <v>#VALUE!</v>
      </c>
      <c r="SBD6" s="68" t="e" cm="1" vm="1">
        <f t="array" ref="SBD6">_xlfn._xlws.FILTER(TablaProductos[Nombre producto],TablaProductos[Agrupación]=ProductosPivot!SBD5)</f>
        <v>#VALUE!</v>
      </c>
      <c r="SBE6" s="68" t="e" cm="1" vm="1">
        <f t="array" ref="SBE6">_xlfn._xlws.FILTER(TablaProductos[Nombre producto],TablaProductos[Agrupación]=ProductosPivot!SBE5)</f>
        <v>#VALUE!</v>
      </c>
      <c r="SBF6" s="68" t="e" cm="1" vm="1">
        <f t="array" ref="SBF6">_xlfn._xlws.FILTER(TablaProductos[Nombre producto],TablaProductos[Agrupación]=ProductosPivot!SBF5)</f>
        <v>#VALUE!</v>
      </c>
      <c r="SBG6" s="68" t="e" cm="1" vm="1">
        <f t="array" ref="SBG6">_xlfn._xlws.FILTER(TablaProductos[Nombre producto],TablaProductos[Agrupación]=ProductosPivot!SBG5)</f>
        <v>#VALUE!</v>
      </c>
      <c r="SBH6" s="68" t="e" cm="1" vm="1">
        <f t="array" ref="SBH6">_xlfn._xlws.FILTER(TablaProductos[Nombre producto],TablaProductos[Agrupación]=ProductosPivot!SBH5)</f>
        <v>#VALUE!</v>
      </c>
      <c r="SBI6" s="68" t="e" cm="1" vm="1">
        <f t="array" ref="SBI6">_xlfn._xlws.FILTER(TablaProductos[Nombre producto],TablaProductos[Agrupación]=ProductosPivot!SBI5)</f>
        <v>#VALUE!</v>
      </c>
      <c r="SBJ6" s="68" t="e" cm="1" vm="1">
        <f t="array" ref="SBJ6">_xlfn._xlws.FILTER(TablaProductos[Nombre producto],TablaProductos[Agrupación]=ProductosPivot!SBJ5)</f>
        <v>#VALUE!</v>
      </c>
      <c r="SBK6" s="68" t="e" cm="1" vm="1">
        <f t="array" ref="SBK6">_xlfn._xlws.FILTER(TablaProductos[Nombre producto],TablaProductos[Agrupación]=ProductosPivot!SBK5)</f>
        <v>#VALUE!</v>
      </c>
      <c r="SBL6" s="68" t="e" cm="1" vm="1">
        <f t="array" ref="SBL6">_xlfn._xlws.FILTER(TablaProductos[Nombre producto],TablaProductos[Agrupación]=ProductosPivot!SBL5)</f>
        <v>#VALUE!</v>
      </c>
      <c r="SBM6" s="68" t="e" cm="1" vm="1">
        <f t="array" ref="SBM6">_xlfn._xlws.FILTER(TablaProductos[Nombre producto],TablaProductos[Agrupación]=ProductosPivot!SBM5)</f>
        <v>#VALUE!</v>
      </c>
      <c r="SBN6" s="68" t="e" cm="1" vm="1">
        <f t="array" ref="SBN6">_xlfn._xlws.FILTER(TablaProductos[Nombre producto],TablaProductos[Agrupación]=ProductosPivot!SBN5)</f>
        <v>#VALUE!</v>
      </c>
      <c r="SBO6" s="68" t="e" cm="1" vm="1">
        <f t="array" ref="SBO6">_xlfn._xlws.FILTER(TablaProductos[Nombre producto],TablaProductos[Agrupación]=ProductosPivot!SBO5)</f>
        <v>#VALUE!</v>
      </c>
      <c r="SBP6" s="68" t="e" cm="1" vm="1">
        <f t="array" ref="SBP6">_xlfn._xlws.FILTER(TablaProductos[Nombre producto],TablaProductos[Agrupación]=ProductosPivot!SBP5)</f>
        <v>#VALUE!</v>
      </c>
      <c r="SBQ6" s="68" t="e" cm="1" vm="1">
        <f t="array" ref="SBQ6">_xlfn._xlws.FILTER(TablaProductos[Nombre producto],TablaProductos[Agrupación]=ProductosPivot!SBQ5)</f>
        <v>#VALUE!</v>
      </c>
      <c r="SBR6" s="68" t="e" cm="1" vm="1">
        <f t="array" ref="SBR6">_xlfn._xlws.FILTER(TablaProductos[Nombre producto],TablaProductos[Agrupación]=ProductosPivot!SBR5)</f>
        <v>#VALUE!</v>
      </c>
      <c r="SBS6" s="68" t="e" cm="1" vm="1">
        <f t="array" ref="SBS6">_xlfn._xlws.FILTER(TablaProductos[Nombre producto],TablaProductos[Agrupación]=ProductosPivot!SBS5)</f>
        <v>#VALUE!</v>
      </c>
      <c r="SBT6" s="68" t="e" cm="1" vm="1">
        <f t="array" ref="SBT6">_xlfn._xlws.FILTER(TablaProductos[Nombre producto],TablaProductos[Agrupación]=ProductosPivot!SBT5)</f>
        <v>#VALUE!</v>
      </c>
      <c r="SBU6" s="68" t="e" cm="1" vm="1">
        <f t="array" ref="SBU6">_xlfn._xlws.FILTER(TablaProductos[Nombre producto],TablaProductos[Agrupación]=ProductosPivot!SBU5)</f>
        <v>#VALUE!</v>
      </c>
      <c r="SBV6" s="68" t="e" cm="1" vm="1">
        <f t="array" ref="SBV6">_xlfn._xlws.FILTER(TablaProductos[Nombre producto],TablaProductos[Agrupación]=ProductosPivot!SBV5)</f>
        <v>#VALUE!</v>
      </c>
      <c r="SBW6" s="68" t="e" cm="1" vm="1">
        <f t="array" ref="SBW6">_xlfn._xlws.FILTER(TablaProductos[Nombre producto],TablaProductos[Agrupación]=ProductosPivot!SBW5)</f>
        <v>#VALUE!</v>
      </c>
      <c r="SBX6" s="68" t="e" cm="1" vm="1">
        <f t="array" ref="SBX6">_xlfn._xlws.FILTER(TablaProductos[Nombre producto],TablaProductos[Agrupación]=ProductosPivot!SBX5)</f>
        <v>#VALUE!</v>
      </c>
      <c r="SBY6" s="68" t="e" cm="1" vm="1">
        <f t="array" ref="SBY6">_xlfn._xlws.FILTER(TablaProductos[Nombre producto],TablaProductos[Agrupación]=ProductosPivot!SBY5)</f>
        <v>#VALUE!</v>
      </c>
      <c r="SBZ6" s="68" t="e" cm="1" vm="1">
        <f t="array" ref="SBZ6">_xlfn._xlws.FILTER(TablaProductos[Nombre producto],TablaProductos[Agrupación]=ProductosPivot!SBZ5)</f>
        <v>#VALUE!</v>
      </c>
      <c r="SCA6" s="68" t="e" cm="1" vm="1">
        <f t="array" ref="SCA6">_xlfn._xlws.FILTER(TablaProductos[Nombre producto],TablaProductos[Agrupación]=ProductosPivot!SCA5)</f>
        <v>#VALUE!</v>
      </c>
      <c r="SCB6" s="68" t="e" cm="1" vm="1">
        <f t="array" ref="SCB6">_xlfn._xlws.FILTER(TablaProductos[Nombre producto],TablaProductos[Agrupación]=ProductosPivot!SCB5)</f>
        <v>#VALUE!</v>
      </c>
      <c r="SCC6" s="68" t="e" cm="1" vm="1">
        <f t="array" ref="SCC6">_xlfn._xlws.FILTER(TablaProductos[Nombre producto],TablaProductos[Agrupación]=ProductosPivot!SCC5)</f>
        <v>#VALUE!</v>
      </c>
      <c r="SCD6" s="68" t="e" cm="1" vm="1">
        <f t="array" ref="SCD6">_xlfn._xlws.FILTER(TablaProductos[Nombre producto],TablaProductos[Agrupación]=ProductosPivot!SCD5)</f>
        <v>#VALUE!</v>
      </c>
      <c r="SCE6" s="68" t="e" cm="1" vm="1">
        <f t="array" ref="SCE6">_xlfn._xlws.FILTER(TablaProductos[Nombre producto],TablaProductos[Agrupación]=ProductosPivot!SCE5)</f>
        <v>#VALUE!</v>
      </c>
      <c r="SCF6" s="68" t="e" cm="1" vm="1">
        <f t="array" ref="SCF6">_xlfn._xlws.FILTER(TablaProductos[Nombre producto],TablaProductos[Agrupación]=ProductosPivot!SCF5)</f>
        <v>#VALUE!</v>
      </c>
      <c r="SCG6" s="68" t="e" cm="1" vm="1">
        <f t="array" ref="SCG6">_xlfn._xlws.FILTER(TablaProductos[Nombre producto],TablaProductos[Agrupación]=ProductosPivot!SCG5)</f>
        <v>#VALUE!</v>
      </c>
      <c r="SCH6" s="68" t="e" cm="1" vm="1">
        <f t="array" ref="SCH6">_xlfn._xlws.FILTER(TablaProductos[Nombre producto],TablaProductos[Agrupación]=ProductosPivot!SCH5)</f>
        <v>#VALUE!</v>
      </c>
      <c r="SCI6" s="68" t="e" cm="1" vm="1">
        <f t="array" ref="SCI6">_xlfn._xlws.FILTER(TablaProductos[Nombre producto],TablaProductos[Agrupación]=ProductosPivot!SCI5)</f>
        <v>#VALUE!</v>
      </c>
      <c r="SCJ6" s="68" t="e" cm="1" vm="1">
        <f t="array" ref="SCJ6">_xlfn._xlws.FILTER(TablaProductos[Nombre producto],TablaProductos[Agrupación]=ProductosPivot!SCJ5)</f>
        <v>#VALUE!</v>
      </c>
      <c r="SCK6" s="68" t="e" cm="1" vm="1">
        <f t="array" ref="SCK6">_xlfn._xlws.FILTER(TablaProductos[Nombre producto],TablaProductos[Agrupación]=ProductosPivot!SCK5)</f>
        <v>#VALUE!</v>
      </c>
      <c r="SCL6" s="68" t="e" cm="1" vm="1">
        <f t="array" ref="SCL6">_xlfn._xlws.FILTER(TablaProductos[Nombre producto],TablaProductos[Agrupación]=ProductosPivot!SCL5)</f>
        <v>#VALUE!</v>
      </c>
      <c r="SCM6" s="68" t="e" cm="1" vm="1">
        <f t="array" ref="SCM6">_xlfn._xlws.FILTER(TablaProductos[Nombre producto],TablaProductos[Agrupación]=ProductosPivot!SCM5)</f>
        <v>#VALUE!</v>
      </c>
      <c r="SCN6" s="68" t="e" cm="1" vm="1">
        <f t="array" ref="SCN6">_xlfn._xlws.FILTER(TablaProductos[Nombre producto],TablaProductos[Agrupación]=ProductosPivot!SCN5)</f>
        <v>#VALUE!</v>
      </c>
      <c r="SCO6" s="68" t="e" cm="1" vm="1">
        <f t="array" ref="SCO6">_xlfn._xlws.FILTER(TablaProductos[Nombre producto],TablaProductos[Agrupación]=ProductosPivot!SCO5)</f>
        <v>#VALUE!</v>
      </c>
      <c r="SCP6" s="68" t="e" cm="1" vm="1">
        <f t="array" ref="SCP6">_xlfn._xlws.FILTER(TablaProductos[Nombre producto],TablaProductos[Agrupación]=ProductosPivot!SCP5)</f>
        <v>#VALUE!</v>
      </c>
      <c r="SCQ6" s="68" t="e" cm="1" vm="1">
        <f t="array" ref="SCQ6">_xlfn._xlws.FILTER(TablaProductos[Nombre producto],TablaProductos[Agrupación]=ProductosPivot!SCQ5)</f>
        <v>#VALUE!</v>
      </c>
      <c r="SCR6" s="68" t="e" cm="1" vm="1">
        <f t="array" ref="SCR6">_xlfn._xlws.FILTER(TablaProductos[Nombre producto],TablaProductos[Agrupación]=ProductosPivot!SCR5)</f>
        <v>#VALUE!</v>
      </c>
      <c r="SCS6" s="68" t="e" cm="1" vm="1">
        <f t="array" ref="SCS6">_xlfn._xlws.FILTER(TablaProductos[Nombre producto],TablaProductos[Agrupación]=ProductosPivot!SCS5)</f>
        <v>#VALUE!</v>
      </c>
      <c r="SCT6" s="68" t="e" cm="1" vm="1">
        <f t="array" ref="SCT6">_xlfn._xlws.FILTER(TablaProductos[Nombre producto],TablaProductos[Agrupación]=ProductosPivot!SCT5)</f>
        <v>#VALUE!</v>
      </c>
      <c r="SCU6" s="68" t="e" cm="1" vm="1">
        <f t="array" ref="SCU6">_xlfn._xlws.FILTER(TablaProductos[Nombre producto],TablaProductos[Agrupación]=ProductosPivot!SCU5)</f>
        <v>#VALUE!</v>
      </c>
      <c r="SCV6" s="68" t="e" cm="1" vm="1">
        <f t="array" ref="SCV6">_xlfn._xlws.FILTER(TablaProductos[Nombre producto],TablaProductos[Agrupación]=ProductosPivot!SCV5)</f>
        <v>#VALUE!</v>
      </c>
      <c r="SCW6" s="68" t="e" cm="1" vm="1">
        <f t="array" ref="SCW6">_xlfn._xlws.FILTER(TablaProductos[Nombre producto],TablaProductos[Agrupación]=ProductosPivot!SCW5)</f>
        <v>#VALUE!</v>
      </c>
      <c r="SCX6" s="68" t="e" cm="1" vm="1">
        <f t="array" ref="SCX6">_xlfn._xlws.FILTER(TablaProductos[Nombre producto],TablaProductos[Agrupación]=ProductosPivot!SCX5)</f>
        <v>#VALUE!</v>
      </c>
      <c r="SCY6" s="68" t="e" cm="1" vm="1">
        <f t="array" ref="SCY6">_xlfn._xlws.FILTER(TablaProductos[Nombre producto],TablaProductos[Agrupación]=ProductosPivot!SCY5)</f>
        <v>#VALUE!</v>
      </c>
      <c r="SCZ6" s="68" t="e" cm="1" vm="1">
        <f t="array" ref="SCZ6">_xlfn._xlws.FILTER(TablaProductos[Nombre producto],TablaProductos[Agrupación]=ProductosPivot!SCZ5)</f>
        <v>#VALUE!</v>
      </c>
      <c r="SDA6" s="68" t="e" cm="1" vm="1">
        <f t="array" ref="SDA6">_xlfn._xlws.FILTER(TablaProductos[Nombre producto],TablaProductos[Agrupación]=ProductosPivot!SDA5)</f>
        <v>#VALUE!</v>
      </c>
      <c r="SDB6" s="68" t="e" cm="1" vm="1">
        <f t="array" ref="SDB6">_xlfn._xlws.FILTER(TablaProductos[Nombre producto],TablaProductos[Agrupación]=ProductosPivot!SDB5)</f>
        <v>#VALUE!</v>
      </c>
      <c r="SDC6" s="68" t="e" cm="1" vm="1">
        <f t="array" ref="SDC6">_xlfn._xlws.FILTER(TablaProductos[Nombre producto],TablaProductos[Agrupación]=ProductosPivot!SDC5)</f>
        <v>#VALUE!</v>
      </c>
      <c r="SDD6" s="68" t="e" cm="1" vm="1">
        <f t="array" ref="SDD6">_xlfn._xlws.FILTER(TablaProductos[Nombre producto],TablaProductos[Agrupación]=ProductosPivot!SDD5)</f>
        <v>#VALUE!</v>
      </c>
      <c r="SDE6" s="68" t="e" cm="1" vm="1">
        <f t="array" ref="SDE6">_xlfn._xlws.FILTER(TablaProductos[Nombre producto],TablaProductos[Agrupación]=ProductosPivot!SDE5)</f>
        <v>#VALUE!</v>
      </c>
      <c r="SDF6" s="68" t="e" cm="1" vm="1">
        <f t="array" ref="SDF6">_xlfn._xlws.FILTER(TablaProductos[Nombre producto],TablaProductos[Agrupación]=ProductosPivot!SDF5)</f>
        <v>#VALUE!</v>
      </c>
      <c r="SDG6" s="68" t="e" cm="1" vm="1">
        <f t="array" ref="SDG6">_xlfn._xlws.FILTER(TablaProductos[Nombre producto],TablaProductos[Agrupación]=ProductosPivot!SDG5)</f>
        <v>#VALUE!</v>
      </c>
      <c r="SDH6" s="68" t="e" cm="1" vm="1">
        <f t="array" ref="SDH6">_xlfn._xlws.FILTER(TablaProductos[Nombre producto],TablaProductos[Agrupación]=ProductosPivot!SDH5)</f>
        <v>#VALUE!</v>
      </c>
      <c r="SDI6" s="68" t="e" cm="1" vm="1">
        <f t="array" ref="SDI6">_xlfn._xlws.FILTER(TablaProductos[Nombre producto],TablaProductos[Agrupación]=ProductosPivot!SDI5)</f>
        <v>#VALUE!</v>
      </c>
      <c r="SDJ6" s="68" t="e" cm="1" vm="1">
        <f t="array" ref="SDJ6">_xlfn._xlws.FILTER(TablaProductos[Nombre producto],TablaProductos[Agrupación]=ProductosPivot!SDJ5)</f>
        <v>#VALUE!</v>
      </c>
      <c r="SDK6" s="68" t="e" cm="1" vm="1">
        <f t="array" ref="SDK6">_xlfn._xlws.FILTER(TablaProductos[Nombre producto],TablaProductos[Agrupación]=ProductosPivot!SDK5)</f>
        <v>#VALUE!</v>
      </c>
      <c r="SDL6" s="68" t="e" cm="1" vm="1">
        <f t="array" ref="SDL6">_xlfn._xlws.FILTER(TablaProductos[Nombre producto],TablaProductos[Agrupación]=ProductosPivot!SDL5)</f>
        <v>#VALUE!</v>
      </c>
      <c r="SDM6" s="68" t="e" cm="1" vm="1">
        <f t="array" ref="SDM6">_xlfn._xlws.FILTER(TablaProductos[Nombre producto],TablaProductos[Agrupación]=ProductosPivot!SDM5)</f>
        <v>#VALUE!</v>
      </c>
      <c r="SDN6" s="68" t="e" cm="1" vm="1">
        <f t="array" ref="SDN6">_xlfn._xlws.FILTER(TablaProductos[Nombre producto],TablaProductos[Agrupación]=ProductosPivot!SDN5)</f>
        <v>#VALUE!</v>
      </c>
      <c r="SDO6" s="68" t="e" cm="1" vm="1">
        <f t="array" ref="SDO6">_xlfn._xlws.FILTER(TablaProductos[Nombre producto],TablaProductos[Agrupación]=ProductosPivot!SDO5)</f>
        <v>#VALUE!</v>
      </c>
      <c r="SDP6" s="68" t="e" cm="1" vm="1">
        <f t="array" ref="SDP6">_xlfn._xlws.FILTER(TablaProductos[Nombre producto],TablaProductos[Agrupación]=ProductosPivot!SDP5)</f>
        <v>#VALUE!</v>
      </c>
      <c r="SDQ6" s="68" t="e" cm="1" vm="1">
        <f t="array" ref="SDQ6">_xlfn._xlws.FILTER(TablaProductos[Nombre producto],TablaProductos[Agrupación]=ProductosPivot!SDQ5)</f>
        <v>#VALUE!</v>
      </c>
      <c r="SDR6" s="68" t="e" cm="1" vm="1">
        <f t="array" ref="SDR6">_xlfn._xlws.FILTER(TablaProductos[Nombre producto],TablaProductos[Agrupación]=ProductosPivot!SDR5)</f>
        <v>#VALUE!</v>
      </c>
      <c r="SDS6" s="68" t="e" cm="1" vm="1">
        <f t="array" ref="SDS6">_xlfn._xlws.FILTER(TablaProductos[Nombre producto],TablaProductos[Agrupación]=ProductosPivot!SDS5)</f>
        <v>#VALUE!</v>
      </c>
      <c r="SDT6" s="68" t="e" cm="1" vm="1">
        <f t="array" ref="SDT6">_xlfn._xlws.FILTER(TablaProductos[Nombre producto],TablaProductos[Agrupación]=ProductosPivot!SDT5)</f>
        <v>#VALUE!</v>
      </c>
      <c r="SDU6" s="68" t="e" cm="1" vm="1">
        <f t="array" ref="SDU6">_xlfn._xlws.FILTER(TablaProductos[Nombre producto],TablaProductos[Agrupación]=ProductosPivot!SDU5)</f>
        <v>#VALUE!</v>
      </c>
      <c r="SDV6" s="68" t="e" cm="1" vm="1">
        <f t="array" ref="SDV6">_xlfn._xlws.FILTER(TablaProductos[Nombre producto],TablaProductos[Agrupación]=ProductosPivot!SDV5)</f>
        <v>#VALUE!</v>
      </c>
      <c r="SDW6" s="68" t="e" cm="1" vm="1">
        <f t="array" ref="SDW6">_xlfn._xlws.FILTER(TablaProductos[Nombre producto],TablaProductos[Agrupación]=ProductosPivot!SDW5)</f>
        <v>#VALUE!</v>
      </c>
      <c r="SDX6" s="68" t="e" cm="1" vm="1">
        <f t="array" ref="SDX6">_xlfn._xlws.FILTER(TablaProductos[Nombre producto],TablaProductos[Agrupación]=ProductosPivot!SDX5)</f>
        <v>#VALUE!</v>
      </c>
      <c r="SDY6" s="68" t="e" cm="1" vm="1">
        <f t="array" ref="SDY6">_xlfn._xlws.FILTER(TablaProductos[Nombre producto],TablaProductos[Agrupación]=ProductosPivot!SDY5)</f>
        <v>#VALUE!</v>
      </c>
      <c r="SDZ6" s="68" t="e" cm="1" vm="1">
        <f t="array" ref="SDZ6">_xlfn._xlws.FILTER(TablaProductos[Nombre producto],TablaProductos[Agrupación]=ProductosPivot!SDZ5)</f>
        <v>#VALUE!</v>
      </c>
      <c r="SEA6" s="68" t="e" cm="1" vm="1">
        <f t="array" ref="SEA6">_xlfn._xlws.FILTER(TablaProductos[Nombre producto],TablaProductos[Agrupación]=ProductosPivot!SEA5)</f>
        <v>#VALUE!</v>
      </c>
      <c r="SEB6" s="68" t="e" cm="1" vm="1">
        <f t="array" ref="SEB6">_xlfn._xlws.FILTER(TablaProductos[Nombre producto],TablaProductos[Agrupación]=ProductosPivot!SEB5)</f>
        <v>#VALUE!</v>
      </c>
      <c r="SEC6" s="68" t="e" cm="1" vm="1">
        <f t="array" ref="SEC6">_xlfn._xlws.FILTER(TablaProductos[Nombre producto],TablaProductos[Agrupación]=ProductosPivot!SEC5)</f>
        <v>#VALUE!</v>
      </c>
      <c r="SED6" s="68" t="e" cm="1" vm="1">
        <f t="array" ref="SED6">_xlfn._xlws.FILTER(TablaProductos[Nombre producto],TablaProductos[Agrupación]=ProductosPivot!SED5)</f>
        <v>#VALUE!</v>
      </c>
      <c r="SEE6" s="68" t="e" cm="1" vm="1">
        <f t="array" ref="SEE6">_xlfn._xlws.FILTER(TablaProductos[Nombre producto],TablaProductos[Agrupación]=ProductosPivot!SEE5)</f>
        <v>#VALUE!</v>
      </c>
      <c r="SEF6" s="68" t="e" cm="1" vm="1">
        <f t="array" ref="SEF6">_xlfn._xlws.FILTER(TablaProductos[Nombre producto],TablaProductos[Agrupación]=ProductosPivot!SEF5)</f>
        <v>#VALUE!</v>
      </c>
      <c r="SEG6" s="68" t="e" cm="1" vm="1">
        <f t="array" ref="SEG6">_xlfn._xlws.FILTER(TablaProductos[Nombre producto],TablaProductos[Agrupación]=ProductosPivot!SEG5)</f>
        <v>#VALUE!</v>
      </c>
      <c r="SEH6" s="68" t="e" cm="1" vm="1">
        <f t="array" ref="SEH6">_xlfn._xlws.FILTER(TablaProductos[Nombre producto],TablaProductos[Agrupación]=ProductosPivot!SEH5)</f>
        <v>#VALUE!</v>
      </c>
      <c r="SEI6" s="68" t="e" cm="1" vm="1">
        <f t="array" ref="SEI6">_xlfn._xlws.FILTER(TablaProductos[Nombre producto],TablaProductos[Agrupación]=ProductosPivot!SEI5)</f>
        <v>#VALUE!</v>
      </c>
      <c r="SEJ6" s="68" t="e" cm="1" vm="1">
        <f t="array" ref="SEJ6">_xlfn._xlws.FILTER(TablaProductos[Nombre producto],TablaProductos[Agrupación]=ProductosPivot!SEJ5)</f>
        <v>#VALUE!</v>
      </c>
      <c r="SEK6" s="68" t="e" cm="1" vm="1">
        <f t="array" ref="SEK6">_xlfn._xlws.FILTER(TablaProductos[Nombre producto],TablaProductos[Agrupación]=ProductosPivot!SEK5)</f>
        <v>#VALUE!</v>
      </c>
      <c r="SEL6" s="68" t="e" cm="1" vm="1">
        <f t="array" ref="SEL6">_xlfn._xlws.FILTER(TablaProductos[Nombre producto],TablaProductos[Agrupación]=ProductosPivot!SEL5)</f>
        <v>#VALUE!</v>
      </c>
      <c r="SEM6" s="68" t="e" cm="1" vm="1">
        <f t="array" ref="SEM6">_xlfn._xlws.FILTER(TablaProductos[Nombre producto],TablaProductos[Agrupación]=ProductosPivot!SEM5)</f>
        <v>#VALUE!</v>
      </c>
      <c r="SEN6" s="68" t="e" cm="1" vm="1">
        <f t="array" ref="SEN6">_xlfn._xlws.FILTER(TablaProductos[Nombre producto],TablaProductos[Agrupación]=ProductosPivot!SEN5)</f>
        <v>#VALUE!</v>
      </c>
      <c r="SEO6" s="68" t="e" cm="1" vm="1">
        <f t="array" ref="SEO6">_xlfn._xlws.FILTER(TablaProductos[Nombre producto],TablaProductos[Agrupación]=ProductosPivot!SEO5)</f>
        <v>#VALUE!</v>
      </c>
      <c r="SEP6" s="68" t="e" cm="1" vm="1">
        <f t="array" ref="SEP6">_xlfn._xlws.FILTER(TablaProductos[Nombre producto],TablaProductos[Agrupación]=ProductosPivot!SEP5)</f>
        <v>#VALUE!</v>
      </c>
      <c r="SEQ6" s="68" t="e" cm="1" vm="1">
        <f t="array" ref="SEQ6">_xlfn._xlws.FILTER(TablaProductos[Nombre producto],TablaProductos[Agrupación]=ProductosPivot!SEQ5)</f>
        <v>#VALUE!</v>
      </c>
      <c r="SER6" s="68" t="e" cm="1" vm="1">
        <f t="array" ref="SER6">_xlfn._xlws.FILTER(TablaProductos[Nombre producto],TablaProductos[Agrupación]=ProductosPivot!SER5)</f>
        <v>#VALUE!</v>
      </c>
      <c r="SES6" s="68" t="e" cm="1" vm="1">
        <f t="array" ref="SES6">_xlfn._xlws.FILTER(TablaProductos[Nombre producto],TablaProductos[Agrupación]=ProductosPivot!SES5)</f>
        <v>#VALUE!</v>
      </c>
      <c r="SET6" s="68" t="e" cm="1" vm="1">
        <f t="array" ref="SET6">_xlfn._xlws.FILTER(TablaProductos[Nombre producto],TablaProductos[Agrupación]=ProductosPivot!SET5)</f>
        <v>#VALUE!</v>
      </c>
      <c r="SEU6" s="68" t="e" cm="1" vm="1">
        <f t="array" ref="SEU6">_xlfn._xlws.FILTER(TablaProductos[Nombre producto],TablaProductos[Agrupación]=ProductosPivot!SEU5)</f>
        <v>#VALUE!</v>
      </c>
      <c r="SEV6" s="68" t="e" cm="1" vm="1">
        <f t="array" ref="SEV6">_xlfn._xlws.FILTER(TablaProductos[Nombre producto],TablaProductos[Agrupación]=ProductosPivot!SEV5)</f>
        <v>#VALUE!</v>
      </c>
      <c r="SEW6" s="68" t="e" cm="1" vm="1">
        <f t="array" ref="SEW6">_xlfn._xlws.FILTER(TablaProductos[Nombre producto],TablaProductos[Agrupación]=ProductosPivot!SEW5)</f>
        <v>#VALUE!</v>
      </c>
      <c r="SEX6" s="68" t="e" cm="1" vm="1">
        <f t="array" ref="SEX6">_xlfn._xlws.FILTER(TablaProductos[Nombre producto],TablaProductos[Agrupación]=ProductosPivot!SEX5)</f>
        <v>#VALUE!</v>
      </c>
      <c r="SEY6" s="68" t="e" cm="1" vm="1">
        <f t="array" ref="SEY6">_xlfn._xlws.FILTER(TablaProductos[Nombre producto],TablaProductos[Agrupación]=ProductosPivot!SEY5)</f>
        <v>#VALUE!</v>
      </c>
      <c r="SEZ6" s="68" t="e" cm="1" vm="1">
        <f t="array" ref="SEZ6">_xlfn._xlws.FILTER(TablaProductos[Nombre producto],TablaProductos[Agrupación]=ProductosPivot!SEZ5)</f>
        <v>#VALUE!</v>
      </c>
      <c r="SFA6" s="68" t="e" cm="1" vm="1">
        <f t="array" ref="SFA6">_xlfn._xlws.FILTER(TablaProductos[Nombre producto],TablaProductos[Agrupación]=ProductosPivot!SFA5)</f>
        <v>#VALUE!</v>
      </c>
      <c r="SFB6" s="68" t="e" cm="1" vm="1">
        <f t="array" ref="SFB6">_xlfn._xlws.FILTER(TablaProductos[Nombre producto],TablaProductos[Agrupación]=ProductosPivot!SFB5)</f>
        <v>#VALUE!</v>
      </c>
      <c r="SFC6" s="68" t="e" cm="1" vm="1">
        <f t="array" ref="SFC6">_xlfn._xlws.FILTER(TablaProductos[Nombre producto],TablaProductos[Agrupación]=ProductosPivot!SFC5)</f>
        <v>#VALUE!</v>
      </c>
      <c r="SFD6" s="68" t="e" cm="1" vm="1">
        <f t="array" ref="SFD6">_xlfn._xlws.FILTER(TablaProductos[Nombre producto],TablaProductos[Agrupación]=ProductosPivot!SFD5)</f>
        <v>#VALUE!</v>
      </c>
      <c r="SFE6" s="68" t="e" cm="1" vm="1">
        <f t="array" ref="SFE6">_xlfn._xlws.FILTER(TablaProductos[Nombre producto],TablaProductos[Agrupación]=ProductosPivot!SFE5)</f>
        <v>#VALUE!</v>
      </c>
      <c r="SFF6" s="68" t="e" cm="1" vm="1">
        <f t="array" ref="SFF6">_xlfn._xlws.FILTER(TablaProductos[Nombre producto],TablaProductos[Agrupación]=ProductosPivot!SFF5)</f>
        <v>#VALUE!</v>
      </c>
      <c r="SFG6" s="68" t="e" cm="1" vm="1">
        <f t="array" ref="SFG6">_xlfn._xlws.FILTER(TablaProductos[Nombre producto],TablaProductos[Agrupación]=ProductosPivot!SFG5)</f>
        <v>#VALUE!</v>
      </c>
      <c r="SFH6" s="68" t="e" cm="1" vm="1">
        <f t="array" ref="SFH6">_xlfn._xlws.FILTER(TablaProductos[Nombre producto],TablaProductos[Agrupación]=ProductosPivot!SFH5)</f>
        <v>#VALUE!</v>
      </c>
      <c r="SFI6" s="68" t="e" cm="1" vm="1">
        <f t="array" ref="SFI6">_xlfn._xlws.FILTER(TablaProductos[Nombre producto],TablaProductos[Agrupación]=ProductosPivot!SFI5)</f>
        <v>#VALUE!</v>
      </c>
      <c r="SFJ6" s="68" t="e" cm="1" vm="1">
        <f t="array" ref="SFJ6">_xlfn._xlws.FILTER(TablaProductos[Nombre producto],TablaProductos[Agrupación]=ProductosPivot!SFJ5)</f>
        <v>#VALUE!</v>
      </c>
      <c r="SFK6" s="68" t="e" cm="1" vm="1">
        <f t="array" ref="SFK6">_xlfn._xlws.FILTER(TablaProductos[Nombre producto],TablaProductos[Agrupación]=ProductosPivot!SFK5)</f>
        <v>#VALUE!</v>
      </c>
      <c r="SFL6" s="68" t="e" cm="1" vm="1">
        <f t="array" ref="SFL6">_xlfn._xlws.FILTER(TablaProductos[Nombre producto],TablaProductos[Agrupación]=ProductosPivot!SFL5)</f>
        <v>#VALUE!</v>
      </c>
      <c r="SFM6" s="68" t="e" cm="1" vm="1">
        <f t="array" ref="SFM6">_xlfn._xlws.FILTER(TablaProductos[Nombre producto],TablaProductos[Agrupación]=ProductosPivot!SFM5)</f>
        <v>#VALUE!</v>
      </c>
      <c r="SFN6" s="68" t="e" cm="1" vm="1">
        <f t="array" ref="SFN6">_xlfn._xlws.FILTER(TablaProductos[Nombre producto],TablaProductos[Agrupación]=ProductosPivot!SFN5)</f>
        <v>#VALUE!</v>
      </c>
      <c r="SFO6" s="68" t="e" cm="1" vm="1">
        <f t="array" ref="SFO6">_xlfn._xlws.FILTER(TablaProductos[Nombre producto],TablaProductos[Agrupación]=ProductosPivot!SFO5)</f>
        <v>#VALUE!</v>
      </c>
      <c r="SFP6" s="68" t="e" cm="1" vm="1">
        <f t="array" ref="SFP6">_xlfn._xlws.FILTER(TablaProductos[Nombre producto],TablaProductos[Agrupación]=ProductosPivot!SFP5)</f>
        <v>#VALUE!</v>
      </c>
      <c r="SFQ6" s="68" t="e" cm="1" vm="1">
        <f t="array" ref="SFQ6">_xlfn._xlws.FILTER(TablaProductos[Nombre producto],TablaProductos[Agrupación]=ProductosPivot!SFQ5)</f>
        <v>#VALUE!</v>
      </c>
      <c r="SFR6" s="68" t="e" cm="1" vm="1">
        <f t="array" ref="SFR6">_xlfn._xlws.FILTER(TablaProductos[Nombre producto],TablaProductos[Agrupación]=ProductosPivot!SFR5)</f>
        <v>#VALUE!</v>
      </c>
      <c r="SFS6" s="68" t="e" cm="1" vm="1">
        <f t="array" ref="SFS6">_xlfn._xlws.FILTER(TablaProductos[Nombre producto],TablaProductos[Agrupación]=ProductosPivot!SFS5)</f>
        <v>#VALUE!</v>
      </c>
      <c r="SFT6" s="68" t="e" cm="1" vm="1">
        <f t="array" ref="SFT6">_xlfn._xlws.FILTER(TablaProductos[Nombre producto],TablaProductos[Agrupación]=ProductosPivot!SFT5)</f>
        <v>#VALUE!</v>
      </c>
      <c r="SFU6" s="68" t="e" cm="1" vm="1">
        <f t="array" ref="SFU6">_xlfn._xlws.FILTER(TablaProductos[Nombre producto],TablaProductos[Agrupación]=ProductosPivot!SFU5)</f>
        <v>#VALUE!</v>
      </c>
      <c r="SFV6" s="68" t="e" cm="1" vm="1">
        <f t="array" ref="SFV6">_xlfn._xlws.FILTER(TablaProductos[Nombre producto],TablaProductos[Agrupación]=ProductosPivot!SFV5)</f>
        <v>#VALUE!</v>
      </c>
      <c r="SFW6" s="68" t="e" cm="1" vm="1">
        <f t="array" ref="SFW6">_xlfn._xlws.FILTER(TablaProductos[Nombre producto],TablaProductos[Agrupación]=ProductosPivot!SFW5)</f>
        <v>#VALUE!</v>
      </c>
      <c r="SFX6" s="68" t="e" cm="1" vm="1">
        <f t="array" ref="SFX6">_xlfn._xlws.FILTER(TablaProductos[Nombre producto],TablaProductos[Agrupación]=ProductosPivot!SFX5)</f>
        <v>#VALUE!</v>
      </c>
      <c r="SFY6" s="68" t="e" cm="1" vm="1">
        <f t="array" ref="SFY6">_xlfn._xlws.FILTER(TablaProductos[Nombre producto],TablaProductos[Agrupación]=ProductosPivot!SFY5)</f>
        <v>#VALUE!</v>
      </c>
      <c r="SFZ6" s="68" t="e" cm="1" vm="1">
        <f t="array" ref="SFZ6">_xlfn._xlws.FILTER(TablaProductos[Nombre producto],TablaProductos[Agrupación]=ProductosPivot!SFZ5)</f>
        <v>#VALUE!</v>
      </c>
      <c r="SGA6" s="68" t="e" cm="1" vm="1">
        <f t="array" ref="SGA6">_xlfn._xlws.FILTER(TablaProductos[Nombre producto],TablaProductos[Agrupación]=ProductosPivot!SGA5)</f>
        <v>#VALUE!</v>
      </c>
      <c r="SGB6" s="68" t="e" cm="1" vm="1">
        <f t="array" ref="SGB6">_xlfn._xlws.FILTER(TablaProductos[Nombre producto],TablaProductos[Agrupación]=ProductosPivot!SGB5)</f>
        <v>#VALUE!</v>
      </c>
      <c r="SGC6" s="68" t="e" cm="1" vm="1">
        <f t="array" ref="SGC6">_xlfn._xlws.FILTER(TablaProductos[Nombre producto],TablaProductos[Agrupación]=ProductosPivot!SGC5)</f>
        <v>#VALUE!</v>
      </c>
      <c r="SGD6" s="68" t="e" cm="1" vm="1">
        <f t="array" ref="SGD6">_xlfn._xlws.FILTER(TablaProductos[Nombre producto],TablaProductos[Agrupación]=ProductosPivot!SGD5)</f>
        <v>#VALUE!</v>
      </c>
      <c r="SGE6" s="68" t="e" cm="1" vm="1">
        <f t="array" ref="SGE6">_xlfn._xlws.FILTER(TablaProductos[Nombre producto],TablaProductos[Agrupación]=ProductosPivot!SGE5)</f>
        <v>#VALUE!</v>
      </c>
      <c r="SGF6" s="68" t="e" cm="1" vm="1">
        <f t="array" ref="SGF6">_xlfn._xlws.FILTER(TablaProductos[Nombre producto],TablaProductos[Agrupación]=ProductosPivot!SGF5)</f>
        <v>#VALUE!</v>
      </c>
      <c r="SGG6" s="68" t="e" cm="1" vm="1">
        <f t="array" ref="SGG6">_xlfn._xlws.FILTER(TablaProductos[Nombre producto],TablaProductos[Agrupación]=ProductosPivot!SGG5)</f>
        <v>#VALUE!</v>
      </c>
      <c r="SGH6" s="68" t="e" cm="1" vm="1">
        <f t="array" ref="SGH6">_xlfn._xlws.FILTER(TablaProductos[Nombre producto],TablaProductos[Agrupación]=ProductosPivot!SGH5)</f>
        <v>#VALUE!</v>
      </c>
      <c r="SGI6" s="68" t="e" cm="1" vm="1">
        <f t="array" ref="SGI6">_xlfn._xlws.FILTER(TablaProductos[Nombre producto],TablaProductos[Agrupación]=ProductosPivot!SGI5)</f>
        <v>#VALUE!</v>
      </c>
      <c r="SGJ6" s="68" t="e" cm="1" vm="1">
        <f t="array" ref="SGJ6">_xlfn._xlws.FILTER(TablaProductos[Nombre producto],TablaProductos[Agrupación]=ProductosPivot!SGJ5)</f>
        <v>#VALUE!</v>
      </c>
      <c r="SGK6" s="68" t="e" cm="1" vm="1">
        <f t="array" ref="SGK6">_xlfn._xlws.FILTER(TablaProductos[Nombre producto],TablaProductos[Agrupación]=ProductosPivot!SGK5)</f>
        <v>#VALUE!</v>
      </c>
      <c r="SGL6" s="68" t="e" cm="1" vm="1">
        <f t="array" ref="SGL6">_xlfn._xlws.FILTER(TablaProductos[Nombre producto],TablaProductos[Agrupación]=ProductosPivot!SGL5)</f>
        <v>#VALUE!</v>
      </c>
      <c r="SGM6" s="68" t="e" cm="1" vm="1">
        <f t="array" ref="SGM6">_xlfn._xlws.FILTER(TablaProductos[Nombre producto],TablaProductos[Agrupación]=ProductosPivot!SGM5)</f>
        <v>#VALUE!</v>
      </c>
      <c r="SGN6" s="68" t="e" cm="1" vm="1">
        <f t="array" ref="SGN6">_xlfn._xlws.FILTER(TablaProductos[Nombre producto],TablaProductos[Agrupación]=ProductosPivot!SGN5)</f>
        <v>#VALUE!</v>
      </c>
      <c r="SGO6" s="68" t="e" cm="1" vm="1">
        <f t="array" ref="SGO6">_xlfn._xlws.FILTER(TablaProductos[Nombre producto],TablaProductos[Agrupación]=ProductosPivot!SGO5)</f>
        <v>#VALUE!</v>
      </c>
      <c r="SGP6" s="68" t="e" cm="1" vm="1">
        <f t="array" ref="SGP6">_xlfn._xlws.FILTER(TablaProductos[Nombre producto],TablaProductos[Agrupación]=ProductosPivot!SGP5)</f>
        <v>#VALUE!</v>
      </c>
      <c r="SGQ6" s="68" t="e" cm="1" vm="1">
        <f t="array" ref="SGQ6">_xlfn._xlws.FILTER(TablaProductos[Nombre producto],TablaProductos[Agrupación]=ProductosPivot!SGQ5)</f>
        <v>#VALUE!</v>
      </c>
      <c r="SGR6" s="68" t="e" cm="1" vm="1">
        <f t="array" ref="SGR6">_xlfn._xlws.FILTER(TablaProductos[Nombre producto],TablaProductos[Agrupación]=ProductosPivot!SGR5)</f>
        <v>#VALUE!</v>
      </c>
      <c r="SGS6" s="68" t="e" cm="1" vm="1">
        <f t="array" ref="SGS6">_xlfn._xlws.FILTER(TablaProductos[Nombre producto],TablaProductos[Agrupación]=ProductosPivot!SGS5)</f>
        <v>#VALUE!</v>
      </c>
      <c r="SGT6" s="68" t="e" cm="1" vm="1">
        <f t="array" ref="SGT6">_xlfn._xlws.FILTER(TablaProductos[Nombre producto],TablaProductos[Agrupación]=ProductosPivot!SGT5)</f>
        <v>#VALUE!</v>
      </c>
      <c r="SGU6" s="68" t="e" cm="1" vm="1">
        <f t="array" ref="SGU6">_xlfn._xlws.FILTER(TablaProductos[Nombre producto],TablaProductos[Agrupación]=ProductosPivot!SGU5)</f>
        <v>#VALUE!</v>
      </c>
      <c r="SGV6" s="68" t="e" cm="1" vm="1">
        <f t="array" ref="SGV6">_xlfn._xlws.FILTER(TablaProductos[Nombre producto],TablaProductos[Agrupación]=ProductosPivot!SGV5)</f>
        <v>#VALUE!</v>
      </c>
      <c r="SGW6" s="68" t="e" cm="1" vm="1">
        <f t="array" ref="SGW6">_xlfn._xlws.FILTER(TablaProductos[Nombre producto],TablaProductos[Agrupación]=ProductosPivot!SGW5)</f>
        <v>#VALUE!</v>
      </c>
      <c r="SGX6" s="68" t="e" cm="1" vm="1">
        <f t="array" ref="SGX6">_xlfn._xlws.FILTER(TablaProductos[Nombre producto],TablaProductos[Agrupación]=ProductosPivot!SGX5)</f>
        <v>#VALUE!</v>
      </c>
      <c r="SGY6" s="68" t="e" cm="1" vm="1">
        <f t="array" ref="SGY6">_xlfn._xlws.FILTER(TablaProductos[Nombre producto],TablaProductos[Agrupación]=ProductosPivot!SGY5)</f>
        <v>#VALUE!</v>
      </c>
      <c r="SGZ6" s="68" t="e" cm="1" vm="1">
        <f t="array" ref="SGZ6">_xlfn._xlws.FILTER(TablaProductos[Nombre producto],TablaProductos[Agrupación]=ProductosPivot!SGZ5)</f>
        <v>#VALUE!</v>
      </c>
      <c r="SHA6" s="68" t="e" cm="1" vm="1">
        <f t="array" ref="SHA6">_xlfn._xlws.FILTER(TablaProductos[Nombre producto],TablaProductos[Agrupación]=ProductosPivot!SHA5)</f>
        <v>#VALUE!</v>
      </c>
      <c r="SHB6" s="68" t="e" cm="1" vm="1">
        <f t="array" ref="SHB6">_xlfn._xlws.FILTER(TablaProductos[Nombre producto],TablaProductos[Agrupación]=ProductosPivot!SHB5)</f>
        <v>#VALUE!</v>
      </c>
      <c r="SHC6" s="68" t="e" cm="1" vm="1">
        <f t="array" ref="SHC6">_xlfn._xlws.FILTER(TablaProductos[Nombre producto],TablaProductos[Agrupación]=ProductosPivot!SHC5)</f>
        <v>#VALUE!</v>
      </c>
      <c r="SHD6" s="68" t="e" cm="1" vm="1">
        <f t="array" ref="SHD6">_xlfn._xlws.FILTER(TablaProductos[Nombre producto],TablaProductos[Agrupación]=ProductosPivot!SHD5)</f>
        <v>#VALUE!</v>
      </c>
      <c r="SHE6" s="68" t="e" cm="1" vm="1">
        <f t="array" ref="SHE6">_xlfn._xlws.FILTER(TablaProductos[Nombre producto],TablaProductos[Agrupación]=ProductosPivot!SHE5)</f>
        <v>#VALUE!</v>
      </c>
      <c r="SHF6" s="68" t="e" cm="1" vm="1">
        <f t="array" ref="SHF6">_xlfn._xlws.FILTER(TablaProductos[Nombre producto],TablaProductos[Agrupación]=ProductosPivot!SHF5)</f>
        <v>#VALUE!</v>
      </c>
      <c r="SHG6" s="68" t="e" cm="1" vm="1">
        <f t="array" ref="SHG6">_xlfn._xlws.FILTER(TablaProductos[Nombre producto],TablaProductos[Agrupación]=ProductosPivot!SHG5)</f>
        <v>#VALUE!</v>
      </c>
      <c r="SHH6" s="68" t="e" cm="1" vm="1">
        <f t="array" ref="SHH6">_xlfn._xlws.FILTER(TablaProductos[Nombre producto],TablaProductos[Agrupación]=ProductosPivot!SHH5)</f>
        <v>#VALUE!</v>
      </c>
      <c r="SHI6" s="68" t="e" cm="1" vm="1">
        <f t="array" ref="SHI6">_xlfn._xlws.FILTER(TablaProductos[Nombre producto],TablaProductos[Agrupación]=ProductosPivot!SHI5)</f>
        <v>#VALUE!</v>
      </c>
      <c r="SHJ6" s="68" t="e" cm="1" vm="1">
        <f t="array" ref="SHJ6">_xlfn._xlws.FILTER(TablaProductos[Nombre producto],TablaProductos[Agrupación]=ProductosPivot!SHJ5)</f>
        <v>#VALUE!</v>
      </c>
      <c r="SHK6" s="68" t="e" cm="1" vm="1">
        <f t="array" ref="SHK6">_xlfn._xlws.FILTER(TablaProductos[Nombre producto],TablaProductos[Agrupación]=ProductosPivot!SHK5)</f>
        <v>#VALUE!</v>
      </c>
      <c r="SHL6" s="68" t="e" cm="1" vm="1">
        <f t="array" ref="SHL6">_xlfn._xlws.FILTER(TablaProductos[Nombre producto],TablaProductos[Agrupación]=ProductosPivot!SHL5)</f>
        <v>#VALUE!</v>
      </c>
      <c r="SHM6" s="68" t="e" cm="1" vm="1">
        <f t="array" ref="SHM6">_xlfn._xlws.FILTER(TablaProductos[Nombre producto],TablaProductos[Agrupación]=ProductosPivot!SHM5)</f>
        <v>#VALUE!</v>
      </c>
      <c r="SHN6" s="68" t="e" cm="1" vm="1">
        <f t="array" ref="SHN6">_xlfn._xlws.FILTER(TablaProductos[Nombre producto],TablaProductos[Agrupación]=ProductosPivot!SHN5)</f>
        <v>#VALUE!</v>
      </c>
      <c r="SHO6" s="68" t="e" cm="1" vm="1">
        <f t="array" ref="SHO6">_xlfn._xlws.FILTER(TablaProductos[Nombre producto],TablaProductos[Agrupación]=ProductosPivot!SHO5)</f>
        <v>#VALUE!</v>
      </c>
      <c r="SHP6" s="68" t="e" cm="1" vm="1">
        <f t="array" ref="SHP6">_xlfn._xlws.FILTER(TablaProductos[Nombre producto],TablaProductos[Agrupación]=ProductosPivot!SHP5)</f>
        <v>#VALUE!</v>
      </c>
      <c r="SHQ6" s="68" t="e" cm="1" vm="1">
        <f t="array" ref="SHQ6">_xlfn._xlws.FILTER(TablaProductos[Nombre producto],TablaProductos[Agrupación]=ProductosPivot!SHQ5)</f>
        <v>#VALUE!</v>
      </c>
      <c r="SHR6" s="68" t="e" cm="1" vm="1">
        <f t="array" ref="SHR6">_xlfn._xlws.FILTER(TablaProductos[Nombre producto],TablaProductos[Agrupación]=ProductosPivot!SHR5)</f>
        <v>#VALUE!</v>
      </c>
      <c r="SHS6" s="68" t="e" cm="1" vm="1">
        <f t="array" ref="SHS6">_xlfn._xlws.FILTER(TablaProductos[Nombre producto],TablaProductos[Agrupación]=ProductosPivot!SHS5)</f>
        <v>#VALUE!</v>
      </c>
      <c r="SHT6" s="68" t="e" cm="1" vm="1">
        <f t="array" ref="SHT6">_xlfn._xlws.FILTER(TablaProductos[Nombre producto],TablaProductos[Agrupación]=ProductosPivot!SHT5)</f>
        <v>#VALUE!</v>
      </c>
      <c r="SHU6" s="68" t="e" cm="1" vm="1">
        <f t="array" ref="SHU6">_xlfn._xlws.FILTER(TablaProductos[Nombre producto],TablaProductos[Agrupación]=ProductosPivot!SHU5)</f>
        <v>#VALUE!</v>
      </c>
      <c r="SHV6" s="68" t="e" cm="1" vm="1">
        <f t="array" ref="SHV6">_xlfn._xlws.FILTER(TablaProductos[Nombre producto],TablaProductos[Agrupación]=ProductosPivot!SHV5)</f>
        <v>#VALUE!</v>
      </c>
      <c r="SHW6" s="68" t="e" cm="1" vm="1">
        <f t="array" ref="SHW6">_xlfn._xlws.FILTER(TablaProductos[Nombre producto],TablaProductos[Agrupación]=ProductosPivot!SHW5)</f>
        <v>#VALUE!</v>
      </c>
      <c r="SHX6" s="68" t="e" cm="1" vm="1">
        <f t="array" ref="SHX6">_xlfn._xlws.FILTER(TablaProductos[Nombre producto],TablaProductos[Agrupación]=ProductosPivot!SHX5)</f>
        <v>#VALUE!</v>
      </c>
      <c r="SHY6" s="68" t="e" cm="1" vm="1">
        <f t="array" ref="SHY6">_xlfn._xlws.FILTER(TablaProductos[Nombre producto],TablaProductos[Agrupación]=ProductosPivot!SHY5)</f>
        <v>#VALUE!</v>
      </c>
      <c r="SHZ6" s="68" t="e" cm="1" vm="1">
        <f t="array" ref="SHZ6">_xlfn._xlws.FILTER(TablaProductos[Nombre producto],TablaProductos[Agrupación]=ProductosPivot!SHZ5)</f>
        <v>#VALUE!</v>
      </c>
      <c r="SIA6" s="68" t="e" cm="1" vm="1">
        <f t="array" ref="SIA6">_xlfn._xlws.FILTER(TablaProductos[Nombre producto],TablaProductos[Agrupación]=ProductosPivot!SIA5)</f>
        <v>#VALUE!</v>
      </c>
      <c r="SIB6" s="68" t="e" cm="1" vm="1">
        <f t="array" ref="SIB6">_xlfn._xlws.FILTER(TablaProductos[Nombre producto],TablaProductos[Agrupación]=ProductosPivot!SIB5)</f>
        <v>#VALUE!</v>
      </c>
      <c r="SIC6" s="68" t="e" cm="1" vm="1">
        <f t="array" ref="SIC6">_xlfn._xlws.FILTER(TablaProductos[Nombre producto],TablaProductos[Agrupación]=ProductosPivot!SIC5)</f>
        <v>#VALUE!</v>
      </c>
      <c r="SID6" s="68" t="e" cm="1" vm="1">
        <f t="array" ref="SID6">_xlfn._xlws.FILTER(TablaProductos[Nombre producto],TablaProductos[Agrupación]=ProductosPivot!SID5)</f>
        <v>#VALUE!</v>
      </c>
      <c r="SIE6" s="68" t="e" cm="1" vm="1">
        <f t="array" ref="SIE6">_xlfn._xlws.FILTER(TablaProductos[Nombre producto],TablaProductos[Agrupación]=ProductosPivot!SIE5)</f>
        <v>#VALUE!</v>
      </c>
      <c r="SIF6" s="68" t="e" cm="1" vm="1">
        <f t="array" ref="SIF6">_xlfn._xlws.FILTER(TablaProductos[Nombre producto],TablaProductos[Agrupación]=ProductosPivot!SIF5)</f>
        <v>#VALUE!</v>
      </c>
      <c r="SIG6" s="68" t="e" cm="1" vm="1">
        <f t="array" ref="SIG6">_xlfn._xlws.FILTER(TablaProductos[Nombre producto],TablaProductos[Agrupación]=ProductosPivot!SIG5)</f>
        <v>#VALUE!</v>
      </c>
      <c r="SIH6" s="68" t="e" cm="1" vm="1">
        <f t="array" ref="SIH6">_xlfn._xlws.FILTER(TablaProductos[Nombre producto],TablaProductos[Agrupación]=ProductosPivot!SIH5)</f>
        <v>#VALUE!</v>
      </c>
      <c r="SII6" s="68" t="e" cm="1" vm="1">
        <f t="array" ref="SII6">_xlfn._xlws.FILTER(TablaProductos[Nombre producto],TablaProductos[Agrupación]=ProductosPivot!SII5)</f>
        <v>#VALUE!</v>
      </c>
      <c r="SIJ6" s="68" t="e" cm="1" vm="1">
        <f t="array" ref="SIJ6">_xlfn._xlws.FILTER(TablaProductos[Nombre producto],TablaProductos[Agrupación]=ProductosPivot!SIJ5)</f>
        <v>#VALUE!</v>
      </c>
      <c r="SIK6" s="68" t="e" cm="1" vm="1">
        <f t="array" ref="SIK6">_xlfn._xlws.FILTER(TablaProductos[Nombre producto],TablaProductos[Agrupación]=ProductosPivot!SIK5)</f>
        <v>#VALUE!</v>
      </c>
      <c r="SIL6" s="68" t="e" cm="1" vm="1">
        <f t="array" ref="SIL6">_xlfn._xlws.FILTER(TablaProductos[Nombre producto],TablaProductos[Agrupación]=ProductosPivot!SIL5)</f>
        <v>#VALUE!</v>
      </c>
      <c r="SIM6" s="68" t="e" cm="1" vm="1">
        <f t="array" ref="SIM6">_xlfn._xlws.FILTER(TablaProductos[Nombre producto],TablaProductos[Agrupación]=ProductosPivot!SIM5)</f>
        <v>#VALUE!</v>
      </c>
      <c r="SIN6" s="68" t="e" cm="1" vm="1">
        <f t="array" ref="SIN6">_xlfn._xlws.FILTER(TablaProductos[Nombre producto],TablaProductos[Agrupación]=ProductosPivot!SIN5)</f>
        <v>#VALUE!</v>
      </c>
      <c r="SIO6" s="68" t="e" cm="1" vm="1">
        <f t="array" ref="SIO6">_xlfn._xlws.FILTER(TablaProductos[Nombre producto],TablaProductos[Agrupación]=ProductosPivot!SIO5)</f>
        <v>#VALUE!</v>
      </c>
      <c r="SIP6" s="68" t="e" cm="1" vm="1">
        <f t="array" ref="SIP6">_xlfn._xlws.FILTER(TablaProductos[Nombre producto],TablaProductos[Agrupación]=ProductosPivot!SIP5)</f>
        <v>#VALUE!</v>
      </c>
      <c r="SIQ6" s="68" t="e" cm="1" vm="1">
        <f t="array" ref="SIQ6">_xlfn._xlws.FILTER(TablaProductos[Nombre producto],TablaProductos[Agrupación]=ProductosPivot!SIQ5)</f>
        <v>#VALUE!</v>
      </c>
      <c r="SIR6" s="68" t="e" cm="1" vm="1">
        <f t="array" ref="SIR6">_xlfn._xlws.FILTER(TablaProductos[Nombre producto],TablaProductos[Agrupación]=ProductosPivot!SIR5)</f>
        <v>#VALUE!</v>
      </c>
      <c r="SIS6" s="68" t="e" cm="1" vm="1">
        <f t="array" ref="SIS6">_xlfn._xlws.FILTER(TablaProductos[Nombre producto],TablaProductos[Agrupación]=ProductosPivot!SIS5)</f>
        <v>#VALUE!</v>
      </c>
      <c r="SIT6" s="68" t="e" cm="1" vm="1">
        <f t="array" ref="SIT6">_xlfn._xlws.FILTER(TablaProductos[Nombre producto],TablaProductos[Agrupación]=ProductosPivot!SIT5)</f>
        <v>#VALUE!</v>
      </c>
      <c r="SIU6" s="68" t="e" cm="1" vm="1">
        <f t="array" ref="SIU6">_xlfn._xlws.FILTER(TablaProductos[Nombre producto],TablaProductos[Agrupación]=ProductosPivot!SIU5)</f>
        <v>#VALUE!</v>
      </c>
      <c r="SIV6" s="68" t="e" cm="1" vm="1">
        <f t="array" ref="SIV6">_xlfn._xlws.FILTER(TablaProductos[Nombre producto],TablaProductos[Agrupación]=ProductosPivot!SIV5)</f>
        <v>#VALUE!</v>
      </c>
      <c r="SIW6" s="68" t="e" cm="1" vm="1">
        <f t="array" ref="SIW6">_xlfn._xlws.FILTER(TablaProductos[Nombre producto],TablaProductos[Agrupación]=ProductosPivot!SIW5)</f>
        <v>#VALUE!</v>
      </c>
      <c r="SIX6" s="68" t="e" cm="1" vm="1">
        <f t="array" ref="SIX6">_xlfn._xlws.FILTER(TablaProductos[Nombre producto],TablaProductos[Agrupación]=ProductosPivot!SIX5)</f>
        <v>#VALUE!</v>
      </c>
      <c r="SIY6" s="68" t="e" cm="1" vm="1">
        <f t="array" ref="SIY6">_xlfn._xlws.FILTER(TablaProductos[Nombre producto],TablaProductos[Agrupación]=ProductosPivot!SIY5)</f>
        <v>#VALUE!</v>
      </c>
      <c r="SIZ6" s="68" t="e" cm="1" vm="1">
        <f t="array" ref="SIZ6">_xlfn._xlws.FILTER(TablaProductos[Nombre producto],TablaProductos[Agrupación]=ProductosPivot!SIZ5)</f>
        <v>#VALUE!</v>
      </c>
      <c r="SJA6" s="68" t="e" cm="1" vm="1">
        <f t="array" ref="SJA6">_xlfn._xlws.FILTER(TablaProductos[Nombre producto],TablaProductos[Agrupación]=ProductosPivot!SJA5)</f>
        <v>#VALUE!</v>
      </c>
      <c r="SJB6" s="68" t="e" cm="1" vm="1">
        <f t="array" ref="SJB6">_xlfn._xlws.FILTER(TablaProductos[Nombre producto],TablaProductos[Agrupación]=ProductosPivot!SJB5)</f>
        <v>#VALUE!</v>
      </c>
      <c r="SJC6" s="68" t="e" cm="1" vm="1">
        <f t="array" ref="SJC6">_xlfn._xlws.FILTER(TablaProductos[Nombre producto],TablaProductos[Agrupación]=ProductosPivot!SJC5)</f>
        <v>#VALUE!</v>
      </c>
      <c r="SJD6" s="68" t="e" cm="1" vm="1">
        <f t="array" ref="SJD6">_xlfn._xlws.FILTER(TablaProductos[Nombre producto],TablaProductos[Agrupación]=ProductosPivot!SJD5)</f>
        <v>#VALUE!</v>
      </c>
      <c r="SJE6" s="68" t="e" cm="1" vm="1">
        <f t="array" ref="SJE6">_xlfn._xlws.FILTER(TablaProductos[Nombre producto],TablaProductos[Agrupación]=ProductosPivot!SJE5)</f>
        <v>#VALUE!</v>
      </c>
      <c r="SJF6" s="68" t="e" cm="1" vm="1">
        <f t="array" ref="SJF6">_xlfn._xlws.FILTER(TablaProductos[Nombre producto],TablaProductos[Agrupación]=ProductosPivot!SJF5)</f>
        <v>#VALUE!</v>
      </c>
      <c r="SJG6" s="68" t="e" cm="1" vm="1">
        <f t="array" ref="SJG6">_xlfn._xlws.FILTER(TablaProductos[Nombre producto],TablaProductos[Agrupación]=ProductosPivot!SJG5)</f>
        <v>#VALUE!</v>
      </c>
      <c r="SJH6" s="68" t="e" cm="1" vm="1">
        <f t="array" ref="SJH6">_xlfn._xlws.FILTER(TablaProductos[Nombre producto],TablaProductos[Agrupación]=ProductosPivot!SJH5)</f>
        <v>#VALUE!</v>
      </c>
      <c r="SJI6" s="68" t="e" cm="1" vm="1">
        <f t="array" ref="SJI6">_xlfn._xlws.FILTER(TablaProductos[Nombre producto],TablaProductos[Agrupación]=ProductosPivot!SJI5)</f>
        <v>#VALUE!</v>
      </c>
      <c r="SJJ6" s="68" t="e" cm="1" vm="1">
        <f t="array" ref="SJJ6">_xlfn._xlws.FILTER(TablaProductos[Nombre producto],TablaProductos[Agrupación]=ProductosPivot!SJJ5)</f>
        <v>#VALUE!</v>
      </c>
      <c r="SJK6" s="68" t="e" cm="1" vm="1">
        <f t="array" ref="SJK6">_xlfn._xlws.FILTER(TablaProductos[Nombre producto],TablaProductos[Agrupación]=ProductosPivot!SJK5)</f>
        <v>#VALUE!</v>
      </c>
      <c r="SJL6" s="68" t="e" cm="1" vm="1">
        <f t="array" ref="SJL6">_xlfn._xlws.FILTER(TablaProductos[Nombre producto],TablaProductos[Agrupación]=ProductosPivot!SJL5)</f>
        <v>#VALUE!</v>
      </c>
      <c r="SJM6" s="68" t="e" cm="1" vm="1">
        <f t="array" ref="SJM6">_xlfn._xlws.FILTER(TablaProductos[Nombre producto],TablaProductos[Agrupación]=ProductosPivot!SJM5)</f>
        <v>#VALUE!</v>
      </c>
      <c r="SJN6" s="68" t="e" cm="1" vm="1">
        <f t="array" ref="SJN6">_xlfn._xlws.FILTER(TablaProductos[Nombre producto],TablaProductos[Agrupación]=ProductosPivot!SJN5)</f>
        <v>#VALUE!</v>
      </c>
      <c r="SJO6" s="68" t="e" cm="1" vm="1">
        <f t="array" ref="SJO6">_xlfn._xlws.FILTER(TablaProductos[Nombre producto],TablaProductos[Agrupación]=ProductosPivot!SJO5)</f>
        <v>#VALUE!</v>
      </c>
      <c r="SJP6" s="68" t="e" cm="1" vm="1">
        <f t="array" ref="SJP6">_xlfn._xlws.FILTER(TablaProductos[Nombre producto],TablaProductos[Agrupación]=ProductosPivot!SJP5)</f>
        <v>#VALUE!</v>
      </c>
      <c r="SJQ6" s="68" t="e" cm="1" vm="1">
        <f t="array" ref="SJQ6">_xlfn._xlws.FILTER(TablaProductos[Nombre producto],TablaProductos[Agrupación]=ProductosPivot!SJQ5)</f>
        <v>#VALUE!</v>
      </c>
      <c r="SJR6" s="68" t="e" cm="1" vm="1">
        <f t="array" ref="SJR6">_xlfn._xlws.FILTER(TablaProductos[Nombre producto],TablaProductos[Agrupación]=ProductosPivot!SJR5)</f>
        <v>#VALUE!</v>
      </c>
      <c r="SJS6" s="68" t="e" cm="1" vm="1">
        <f t="array" ref="SJS6">_xlfn._xlws.FILTER(TablaProductos[Nombre producto],TablaProductos[Agrupación]=ProductosPivot!SJS5)</f>
        <v>#VALUE!</v>
      </c>
      <c r="SJT6" s="68" t="e" cm="1" vm="1">
        <f t="array" ref="SJT6">_xlfn._xlws.FILTER(TablaProductos[Nombre producto],TablaProductos[Agrupación]=ProductosPivot!SJT5)</f>
        <v>#VALUE!</v>
      </c>
      <c r="SJU6" s="68" t="e" cm="1" vm="1">
        <f t="array" ref="SJU6">_xlfn._xlws.FILTER(TablaProductos[Nombre producto],TablaProductos[Agrupación]=ProductosPivot!SJU5)</f>
        <v>#VALUE!</v>
      </c>
      <c r="SJV6" s="68" t="e" cm="1" vm="1">
        <f t="array" ref="SJV6">_xlfn._xlws.FILTER(TablaProductos[Nombre producto],TablaProductos[Agrupación]=ProductosPivot!SJV5)</f>
        <v>#VALUE!</v>
      </c>
      <c r="SJW6" s="68" t="e" cm="1" vm="1">
        <f t="array" ref="SJW6">_xlfn._xlws.FILTER(TablaProductos[Nombre producto],TablaProductos[Agrupación]=ProductosPivot!SJW5)</f>
        <v>#VALUE!</v>
      </c>
      <c r="SJX6" s="68" t="e" cm="1" vm="1">
        <f t="array" ref="SJX6">_xlfn._xlws.FILTER(TablaProductos[Nombre producto],TablaProductos[Agrupación]=ProductosPivot!SJX5)</f>
        <v>#VALUE!</v>
      </c>
      <c r="SJY6" s="68" t="e" cm="1" vm="1">
        <f t="array" ref="SJY6">_xlfn._xlws.FILTER(TablaProductos[Nombre producto],TablaProductos[Agrupación]=ProductosPivot!SJY5)</f>
        <v>#VALUE!</v>
      </c>
      <c r="SJZ6" s="68" t="e" cm="1" vm="1">
        <f t="array" ref="SJZ6">_xlfn._xlws.FILTER(TablaProductos[Nombre producto],TablaProductos[Agrupación]=ProductosPivot!SJZ5)</f>
        <v>#VALUE!</v>
      </c>
      <c r="SKA6" s="68" t="e" cm="1" vm="1">
        <f t="array" ref="SKA6">_xlfn._xlws.FILTER(TablaProductos[Nombre producto],TablaProductos[Agrupación]=ProductosPivot!SKA5)</f>
        <v>#VALUE!</v>
      </c>
      <c r="SKB6" s="68" t="e" cm="1" vm="1">
        <f t="array" ref="SKB6">_xlfn._xlws.FILTER(TablaProductos[Nombre producto],TablaProductos[Agrupación]=ProductosPivot!SKB5)</f>
        <v>#VALUE!</v>
      </c>
      <c r="SKC6" s="68" t="e" cm="1" vm="1">
        <f t="array" ref="SKC6">_xlfn._xlws.FILTER(TablaProductos[Nombre producto],TablaProductos[Agrupación]=ProductosPivot!SKC5)</f>
        <v>#VALUE!</v>
      </c>
      <c r="SKD6" s="68" t="e" cm="1" vm="1">
        <f t="array" ref="SKD6">_xlfn._xlws.FILTER(TablaProductos[Nombre producto],TablaProductos[Agrupación]=ProductosPivot!SKD5)</f>
        <v>#VALUE!</v>
      </c>
      <c r="SKE6" s="68" t="e" cm="1" vm="1">
        <f t="array" ref="SKE6">_xlfn._xlws.FILTER(TablaProductos[Nombre producto],TablaProductos[Agrupación]=ProductosPivot!SKE5)</f>
        <v>#VALUE!</v>
      </c>
      <c r="SKF6" s="68" t="e" cm="1" vm="1">
        <f t="array" ref="SKF6">_xlfn._xlws.FILTER(TablaProductos[Nombre producto],TablaProductos[Agrupación]=ProductosPivot!SKF5)</f>
        <v>#VALUE!</v>
      </c>
      <c r="SKG6" s="68" t="e" cm="1" vm="1">
        <f t="array" ref="SKG6">_xlfn._xlws.FILTER(TablaProductos[Nombre producto],TablaProductos[Agrupación]=ProductosPivot!SKG5)</f>
        <v>#VALUE!</v>
      </c>
      <c r="SKH6" s="68" t="e" cm="1" vm="1">
        <f t="array" ref="SKH6">_xlfn._xlws.FILTER(TablaProductos[Nombre producto],TablaProductos[Agrupación]=ProductosPivot!SKH5)</f>
        <v>#VALUE!</v>
      </c>
      <c r="SKI6" s="68" t="e" cm="1" vm="1">
        <f t="array" ref="SKI6">_xlfn._xlws.FILTER(TablaProductos[Nombre producto],TablaProductos[Agrupación]=ProductosPivot!SKI5)</f>
        <v>#VALUE!</v>
      </c>
      <c r="SKJ6" s="68" t="e" cm="1" vm="1">
        <f t="array" ref="SKJ6">_xlfn._xlws.FILTER(TablaProductos[Nombre producto],TablaProductos[Agrupación]=ProductosPivot!SKJ5)</f>
        <v>#VALUE!</v>
      </c>
      <c r="SKK6" s="68" t="e" cm="1" vm="1">
        <f t="array" ref="SKK6">_xlfn._xlws.FILTER(TablaProductos[Nombre producto],TablaProductos[Agrupación]=ProductosPivot!SKK5)</f>
        <v>#VALUE!</v>
      </c>
      <c r="SKL6" s="68" t="e" cm="1" vm="1">
        <f t="array" ref="SKL6">_xlfn._xlws.FILTER(TablaProductos[Nombre producto],TablaProductos[Agrupación]=ProductosPivot!SKL5)</f>
        <v>#VALUE!</v>
      </c>
      <c r="SKM6" s="68" t="e" cm="1" vm="1">
        <f t="array" ref="SKM6">_xlfn._xlws.FILTER(TablaProductos[Nombre producto],TablaProductos[Agrupación]=ProductosPivot!SKM5)</f>
        <v>#VALUE!</v>
      </c>
      <c r="SKN6" s="68" t="e" cm="1" vm="1">
        <f t="array" ref="SKN6">_xlfn._xlws.FILTER(TablaProductos[Nombre producto],TablaProductos[Agrupación]=ProductosPivot!SKN5)</f>
        <v>#VALUE!</v>
      </c>
      <c r="SKO6" s="68" t="e" cm="1" vm="1">
        <f t="array" ref="SKO6">_xlfn._xlws.FILTER(TablaProductos[Nombre producto],TablaProductos[Agrupación]=ProductosPivot!SKO5)</f>
        <v>#VALUE!</v>
      </c>
      <c r="SKP6" s="68" t="e" cm="1" vm="1">
        <f t="array" ref="SKP6">_xlfn._xlws.FILTER(TablaProductos[Nombre producto],TablaProductos[Agrupación]=ProductosPivot!SKP5)</f>
        <v>#VALUE!</v>
      </c>
      <c r="SKQ6" s="68" t="e" cm="1" vm="1">
        <f t="array" ref="SKQ6">_xlfn._xlws.FILTER(TablaProductos[Nombre producto],TablaProductos[Agrupación]=ProductosPivot!SKQ5)</f>
        <v>#VALUE!</v>
      </c>
      <c r="SKR6" s="68" t="e" cm="1" vm="1">
        <f t="array" ref="SKR6">_xlfn._xlws.FILTER(TablaProductos[Nombre producto],TablaProductos[Agrupación]=ProductosPivot!SKR5)</f>
        <v>#VALUE!</v>
      </c>
      <c r="SKS6" s="68" t="e" cm="1" vm="1">
        <f t="array" ref="SKS6">_xlfn._xlws.FILTER(TablaProductos[Nombre producto],TablaProductos[Agrupación]=ProductosPivot!SKS5)</f>
        <v>#VALUE!</v>
      </c>
      <c r="SKT6" s="68" t="e" cm="1" vm="1">
        <f t="array" ref="SKT6">_xlfn._xlws.FILTER(TablaProductos[Nombre producto],TablaProductos[Agrupación]=ProductosPivot!SKT5)</f>
        <v>#VALUE!</v>
      </c>
      <c r="SKU6" s="68" t="e" cm="1" vm="1">
        <f t="array" ref="SKU6">_xlfn._xlws.FILTER(TablaProductos[Nombre producto],TablaProductos[Agrupación]=ProductosPivot!SKU5)</f>
        <v>#VALUE!</v>
      </c>
      <c r="SKV6" s="68" t="e" cm="1" vm="1">
        <f t="array" ref="SKV6">_xlfn._xlws.FILTER(TablaProductos[Nombre producto],TablaProductos[Agrupación]=ProductosPivot!SKV5)</f>
        <v>#VALUE!</v>
      </c>
      <c r="SKW6" s="68" t="e" cm="1" vm="1">
        <f t="array" ref="SKW6">_xlfn._xlws.FILTER(TablaProductos[Nombre producto],TablaProductos[Agrupación]=ProductosPivot!SKW5)</f>
        <v>#VALUE!</v>
      </c>
      <c r="SKX6" s="68" t="e" cm="1" vm="1">
        <f t="array" ref="SKX6">_xlfn._xlws.FILTER(TablaProductos[Nombre producto],TablaProductos[Agrupación]=ProductosPivot!SKX5)</f>
        <v>#VALUE!</v>
      </c>
      <c r="SKY6" s="68" t="e" cm="1" vm="1">
        <f t="array" ref="SKY6">_xlfn._xlws.FILTER(TablaProductos[Nombre producto],TablaProductos[Agrupación]=ProductosPivot!SKY5)</f>
        <v>#VALUE!</v>
      </c>
      <c r="SKZ6" s="68" t="e" cm="1" vm="1">
        <f t="array" ref="SKZ6">_xlfn._xlws.FILTER(TablaProductos[Nombre producto],TablaProductos[Agrupación]=ProductosPivot!SKZ5)</f>
        <v>#VALUE!</v>
      </c>
      <c r="SLA6" s="68" t="e" cm="1" vm="1">
        <f t="array" ref="SLA6">_xlfn._xlws.FILTER(TablaProductos[Nombre producto],TablaProductos[Agrupación]=ProductosPivot!SLA5)</f>
        <v>#VALUE!</v>
      </c>
      <c r="SLB6" s="68" t="e" cm="1" vm="1">
        <f t="array" ref="SLB6">_xlfn._xlws.FILTER(TablaProductos[Nombre producto],TablaProductos[Agrupación]=ProductosPivot!SLB5)</f>
        <v>#VALUE!</v>
      </c>
      <c r="SLC6" s="68" t="e" cm="1" vm="1">
        <f t="array" ref="SLC6">_xlfn._xlws.FILTER(TablaProductos[Nombre producto],TablaProductos[Agrupación]=ProductosPivot!SLC5)</f>
        <v>#VALUE!</v>
      </c>
      <c r="SLD6" s="68" t="e" cm="1" vm="1">
        <f t="array" ref="SLD6">_xlfn._xlws.FILTER(TablaProductos[Nombre producto],TablaProductos[Agrupación]=ProductosPivot!SLD5)</f>
        <v>#VALUE!</v>
      </c>
      <c r="SLE6" s="68" t="e" cm="1" vm="1">
        <f t="array" ref="SLE6">_xlfn._xlws.FILTER(TablaProductos[Nombre producto],TablaProductos[Agrupación]=ProductosPivot!SLE5)</f>
        <v>#VALUE!</v>
      </c>
      <c r="SLF6" s="68" t="e" cm="1" vm="1">
        <f t="array" ref="SLF6">_xlfn._xlws.FILTER(TablaProductos[Nombre producto],TablaProductos[Agrupación]=ProductosPivot!SLF5)</f>
        <v>#VALUE!</v>
      </c>
      <c r="SLG6" s="68" t="e" cm="1" vm="1">
        <f t="array" ref="SLG6">_xlfn._xlws.FILTER(TablaProductos[Nombre producto],TablaProductos[Agrupación]=ProductosPivot!SLG5)</f>
        <v>#VALUE!</v>
      </c>
      <c r="SLH6" s="68" t="e" cm="1" vm="1">
        <f t="array" ref="SLH6">_xlfn._xlws.FILTER(TablaProductos[Nombre producto],TablaProductos[Agrupación]=ProductosPivot!SLH5)</f>
        <v>#VALUE!</v>
      </c>
      <c r="SLI6" s="68" t="e" cm="1" vm="1">
        <f t="array" ref="SLI6">_xlfn._xlws.FILTER(TablaProductos[Nombre producto],TablaProductos[Agrupación]=ProductosPivot!SLI5)</f>
        <v>#VALUE!</v>
      </c>
      <c r="SLJ6" s="68" t="e" cm="1" vm="1">
        <f t="array" ref="SLJ6">_xlfn._xlws.FILTER(TablaProductos[Nombre producto],TablaProductos[Agrupación]=ProductosPivot!SLJ5)</f>
        <v>#VALUE!</v>
      </c>
      <c r="SLK6" s="68" t="e" cm="1" vm="1">
        <f t="array" ref="SLK6">_xlfn._xlws.FILTER(TablaProductos[Nombre producto],TablaProductos[Agrupación]=ProductosPivot!SLK5)</f>
        <v>#VALUE!</v>
      </c>
      <c r="SLL6" s="68" t="e" cm="1" vm="1">
        <f t="array" ref="SLL6">_xlfn._xlws.FILTER(TablaProductos[Nombre producto],TablaProductos[Agrupación]=ProductosPivot!SLL5)</f>
        <v>#VALUE!</v>
      </c>
      <c r="SLM6" s="68" t="e" cm="1" vm="1">
        <f t="array" ref="SLM6">_xlfn._xlws.FILTER(TablaProductos[Nombre producto],TablaProductos[Agrupación]=ProductosPivot!SLM5)</f>
        <v>#VALUE!</v>
      </c>
      <c r="SLN6" s="68" t="e" cm="1" vm="1">
        <f t="array" ref="SLN6">_xlfn._xlws.FILTER(TablaProductos[Nombre producto],TablaProductos[Agrupación]=ProductosPivot!SLN5)</f>
        <v>#VALUE!</v>
      </c>
      <c r="SLO6" s="68" t="e" cm="1" vm="1">
        <f t="array" ref="SLO6">_xlfn._xlws.FILTER(TablaProductos[Nombre producto],TablaProductos[Agrupación]=ProductosPivot!SLO5)</f>
        <v>#VALUE!</v>
      </c>
      <c r="SLP6" s="68" t="e" cm="1" vm="1">
        <f t="array" ref="SLP6">_xlfn._xlws.FILTER(TablaProductos[Nombre producto],TablaProductos[Agrupación]=ProductosPivot!SLP5)</f>
        <v>#VALUE!</v>
      </c>
      <c r="SLQ6" s="68" t="e" cm="1" vm="1">
        <f t="array" ref="SLQ6">_xlfn._xlws.FILTER(TablaProductos[Nombre producto],TablaProductos[Agrupación]=ProductosPivot!SLQ5)</f>
        <v>#VALUE!</v>
      </c>
      <c r="SLR6" s="68" t="e" cm="1" vm="1">
        <f t="array" ref="SLR6">_xlfn._xlws.FILTER(TablaProductos[Nombre producto],TablaProductos[Agrupación]=ProductosPivot!SLR5)</f>
        <v>#VALUE!</v>
      </c>
      <c r="SLS6" s="68" t="e" cm="1" vm="1">
        <f t="array" ref="SLS6">_xlfn._xlws.FILTER(TablaProductos[Nombre producto],TablaProductos[Agrupación]=ProductosPivot!SLS5)</f>
        <v>#VALUE!</v>
      </c>
      <c r="SLT6" s="68" t="e" cm="1" vm="1">
        <f t="array" ref="SLT6">_xlfn._xlws.FILTER(TablaProductos[Nombre producto],TablaProductos[Agrupación]=ProductosPivot!SLT5)</f>
        <v>#VALUE!</v>
      </c>
      <c r="SLU6" s="68" t="e" cm="1" vm="1">
        <f t="array" ref="SLU6">_xlfn._xlws.FILTER(TablaProductos[Nombre producto],TablaProductos[Agrupación]=ProductosPivot!SLU5)</f>
        <v>#VALUE!</v>
      </c>
      <c r="SLV6" s="68" t="e" cm="1" vm="1">
        <f t="array" ref="SLV6">_xlfn._xlws.FILTER(TablaProductos[Nombre producto],TablaProductos[Agrupación]=ProductosPivot!SLV5)</f>
        <v>#VALUE!</v>
      </c>
      <c r="SLW6" s="68" t="e" cm="1" vm="1">
        <f t="array" ref="SLW6">_xlfn._xlws.FILTER(TablaProductos[Nombre producto],TablaProductos[Agrupación]=ProductosPivot!SLW5)</f>
        <v>#VALUE!</v>
      </c>
      <c r="SLX6" s="68" t="e" cm="1" vm="1">
        <f t="array" ref="SLX6">_xlfn._xlws.FILTER(TablaProductos[Nombre producto],TablaProductos[Agrupación]=ProductosPivot!SLX5)</f>
        <v>#VALUE!</v>
      </c>
      <c r="SLY6" s="68" t="e" cm="1" vm="1">
        <f t="array" ref="SLY6">_xlfn._xlws.FILTER(TablaProductos[Nombre producto],TablaProductos[Agrupación]=ProductosPivot!SLY5)</f>
        <v>#VALUE!</v>
      </c>
      <c r="SLZ6" s="68" t="e" cm="1" vm="1">
        <f t="array" ref="SLZ6">_xlfn._xlws.FILTER(TablaProductos[Nombre producto],TablaProductos[Agrupación]=ProductosPivot!SLZ5)</f>
        <v>#VALUE!</v>
      </c>
      <c r="SMA6" s="68" t="e" cm="1" vm="1">
        <f t="array" ref="SMA6">_xlfn._xlws.FILTER(TablaProductos[Nombre producto],TablaProductos[Agrupación]=ProductosPivot!SMA5)</f>
        <v>#VALUE!</v>
      </c>
      <c r="SMB6" s="68" t="e" cm="1" vm="1">
        <f t="array" ref="SMB6">_xlfn._xlws.FILTER(TablaProductos[Nombre producto],TablaProductos[Agrupación]=ProductosPivot!SMB5)</f>
        <v>#VALUE!</v>
      </c>
      <c r="SMC6" s="68" t="e" cm="1" vm="1">
        <f t="array" ref="SMC6">_xlfn._xlws.FILTER(TablaProductos[Nombre producto],TablaProductos[Agrupación]=ProductosPivot!SMC5)</f>
        <v>#VALUE!</v>
      </c>
      <c r="SMD6" s="68" t="e" cm="1" vm="1">
        <f t="array" ref="SMD6">_xlfn._xlws.FILTER(TablaProductos[Nombre producto],TablaProductos[Agrupación]=ProductosPivot!SMD5)</f>
        <v>#VALUE!</v>
      </c>
      <c r="SME6" s="68" t="e" cm="1" vm="1">
        <f t="array" ref="SME6">_xlfn._xlws.FILTER(TablaProductos[Nombre producto],TablaProductos[Agrupación]=ProductosPivot!SME5)</f>
        <v>#VALUE!</v>
      </c>
      <c r="SMF6" s="68" t="e" cm="1" vm="1">
        <f t="array" ref="SMF6">_xlfn._xlws.FILTER(TablaProductos[Nombre producto],TablaProductos[Agrupación]=ProductosPivot!SMF5)</f>
        <v>#VALUE!</v>
      </c>
      <c r="SMG6" s="68" t="e" cm="1" vm="1">
        <f t="array" ref="SMG6">_xlfn._xlws.FILTER(TablaProductos[Nombre producto],TablaProductos[Agrupación]=ProductosPivot!SMG5)</f>
        <v>#VALUE!</v>
      </c>
      <c r="SMH6" s="68" t="e" cm="1" vm="1">
        <f t="array" ref="SMH6">_xlfn._xlws.FILTER(TablaProductos[Nombre producto],TablaProductos[Agrupación]=ProductosPivot!SMH5)</f>
        <v>#VALUE!</v>
      </c>
      <c r="SMI6" s="68" t="e" cm="1" vm="1">
        <f t="array" ref="SMI6">_xlfn._xlws.FILTER(TablaProductos[Nombre producto],TablaProductos[Agrupación]=ProductosPivot!SMI5)</f>
        <v>#VALUE!</v>
      </c>
      <c r="SMJ6" s="68" t="e" cm="1" vm="1">
        <f t="array" ref="SMJ6">_xlfn._xlws.FILTER(TablaProductos[Nombre producto],TablaProductos[Agrupación]=ProductosPivot!SMJ5)</f>
        <v>#VALUE!</v>
      </c>
      <c r="SMK6" s="68" t="e" cm="1" vm="1">
        <f t="array" ref="SMK6">_xlfn._xlws.FILTER(TablaProductos[Nombre producto],TablaProductos[Agrupación]=ProductosPivot!SMK5)</f>
        <v>#VALUE!</v>
      </c>
      <c r="SML6" s="68" t="e" cm="1" vm="1">
        <f t="array" ref="SML6">_xlfn._xlws.FILTER(TablaProductos[Nombre producto],TablaProductos[Agrupación]=ProductosPivot!SML5)</f>
        <v>#VALUE!</v>
      </c>
      <c r="SMM6" s="68" t="e" cm="1" vm="1">
        <f t="array" ref="SMM6">_xlfn._xlws.FILTER(TablaProductos[Nombre producto],TablaProductos[Agrupación]=ProductosPivot!SMM5)</f>
        <v>#VALUE!</v>
      </c>
      <c r="SMN6" s="68" t="e" cm="1" vm="1">
        <f t="array" ref="SMN6">_xlfn._xlws.FILTER(TablaProductos[Nombre producto],TablaProductos[Agrupación]=ProductosPivot!SMN5)</f>
        <v>#VALUE!</v>
      </c>
      <c r="SMO6" s="68" t="e" cm="1" vm="1">
        <f t="array" ref="SMO6">_xlfn._xlws.FILTER(TablaProductos[Nombre producto],TablaProductos[Agrupación]=ProductosPivot!SMO5)</f>
        <v>#VALUE!</v>
      </c>
      <c r="SMP6" s="68" t="e" cm="1" vm="1">
        <f t="array" ref="SMP6">_xlfn._xlws.FILTER(TablaProductos[Nombre producto],TablaProductos[Agrupación]=ProductosPivot!SMP5)</f>
        <v>#VALUE!</v>
      </c>
      <c r="SMQ6" s="68" t="e" cm="1" vm="1">
        <f t="array" ref="SMQ6">_xlfn._xlws.FILTER(TablaProductos[Nombre producto],TablaProductos[Agrupación]=ProductosPivot!SMQ5)</f>
        <v>#VALUE!</v>
      </c>
      <c r="SMR6" s="68" t="e" cm="1" vm="1">
        <f t="array" ref="SMR6">_xlfn._xlws.FILTER(TablaProductos[Nombre producto],TablaProductos[Agrupación]=ProductosPivot!SMR5)</f>
        <v>#VALUE!</v>
      </c>
      <c r="SMS6" s="68" t="e" cm="1" vm="1">
        <f t="array" ref="SMS6">_xlfn._xlws.FILTER(TablaProductos[Nombre producto],TablaProductos[Agrupación]=ProductosPivot!SMS5)</f>
        <v>#VALUE!</v>
      </c>
      <c r="SMT6" s="68" t="e" cm="1" vm="1">
        <f t="array" ref="SMT6">_xlfn._xlws.FILTER(TablaProductos[Nombre producto],TablaProductos[Agrupación]=ProductosPivot!SMT5)</f>
        <v>#VALUE!</v>
      </c>
      <c r="SMU6" s="68" t="e" cm="1" vm="1">
        <f t="array" ref="SMU6">_xlfn._xlws.FILTER(TablaProductos[Nombre producto],TablaProductos[Agrupación]=ProductosPivot!SMU5)</f>
        <v>#VALUE!</v>
      </c>
      <c r="SMV6" s="68" t="e" cm="1" vm="1">
        <f t="array" ref="SMV6">_xlfn._xlws.FILTER(TablaProductos[Nombre producto],TablaProductos[Agrupación]=ProductosPivot!SMV5)</f>
        <v>#VALUE!</v>
      </c>
      <c r="SMW6" s="68" t="e" cm="1" vm="1">
        <f t="array" ref="SMW6">_xlfn._xlws.FILTER(TablaProductos[Nombre producto],TablaProductos[Agrupación]=ProductosPivot!SMW5)</f>
        <v>#VALUE!</v>
      </c>
      <c r="SMX6" s="68" t="e" cm="1" vm="1">
        <f t="array" ref="SMX6">_xlfn._xlws.FILTER(TablaProductos[Nombre producto],TablaProductos[Agrupación]=ProductosPivot!SMX5)</f>
        <v>#VALUE!</v>
      </c>
      <c r="SMY6" s="68" t="e" cm="1" vm="1">
        <f t="array" ref="SMY6">_xlfn._xlws.FILTER(TablaProductos[Nombre producto],TablaProductos[Agrupación]=ProductosPivot!SMY5)</f>
        <v>#VALUE!</v>
      </c>
      <c r="SMZ6" s="68" t="e" cm="1" vm="1">
        <f t="array" ref="SMZ6">_xlfn._xlws.FILTER(TablaProductos[Nombre producto],TablaProductos[Agrupación]=ProductosPivot!SMZ5)</f>
        <v>#VALUE!</v>
      </c>
      <c r="SNA6" s="68" t="e" cm="1" vm="1">
        <f t="array" ref="SNA6">_xlfn._xlws.FILTER(TablaProductos[Nombre producto],TablaProductos[Agrupación]=ProductosPivot!SNA5)</f>
        <v>#VALUE!</v>
      </c>
      <c r="SNB6" s="68" t="e" cm="1" vm="1">
        <f t="array" ref="SNB6">_xlfn._xlws.FILTER(TablaProductos[Nombre producto],TablaProductos[Agrupación]=ProductosPivot!SNB5)</f>
        <v>#VALUE!</v>
      </c>
      <c r="SNC6" s="68" t="e" cm="1" vm="1">
        <f t="array" ref="SNC6">_xlfn._xlws.FILTER(TablaProductos[Nombre producto],TablaProductos[Agrupación]=ProductosPivot!SNC5)</f>
        <v>#VALUE!</v>
      </c>
      <c r="SND6" s="68" t="e" cm="1" vm="1">
        <f t="array" ref="SND6">_xlfn._xlws.FILTER(TablaProductos[Nombre producto],TablaProductos[Agrupación]=ProductosPivot!SND5)</f>
        <v>#VALUE!</v>
      </c>
      <c r="SNE6" s="68" t="e" cm="1" vm="1">
        <f t="array" ref="SNE6">_xlfn._xlws.FILTER(TablaProductos[Nombre producto],TablaProductos[Agrupación]=ProductosPivot!SNE5)</f>
        <v>#VALUE!</v>
      </c>
      <c r="SNF6" s="68" t="e" cm="1" vm="1">
        <f t="array" ref="SNF6">_xlfn._xlws.FILTER(TablaProductos[Nombre producto],TablaProductos[Agrupación]=ProductosPivot!SNF5)</f>
        <v>#VALUE!</v>
      </c>
      <c r="SNG6" s="68" t="e" cm="1" vm="1">
        <f t="array" ref="SNG6">_xlfn._xlws.FILTER(TablaProductos[Nombre producto],TablaProductos[Agrupación]=ProductosPivot!SNG5)</f>
        <v>#VALUE!</v>
      </c>
      <c r="SNH6" s="68" t="e" cm="1" vm="1">
        <f t="array" ref="SNH6">_xlfn._xlws.FILTER(TablaProductos[Nombre producto],TablaProductos[Agrupación]=ProductosPivot!SNH5)</f>
        <v>#VALUE!</v>
      </c>
      <c r="SNI6" s="68" t="e" cm="1" vm="1">
        <f t="array" ref="SNI6">_xlfn._xlws.FILTER(TablaProductos[Nombre producto],TablaProductos[Agrupación]=ProductosPivot!SNI5)</f>
        <v>#VALUE!</v>
      </c>
      <c r="SNJ6" s="68" t="e" cm="1" vm="1">
        <f t="array" ref="SNJ6">_xlfn._xlws.FILTER(TablaProductos[Nombre producto],TablaProductos[Agrupación]=ProductosPivot!SNJ5)</f>
        <v>#VALUE!</v>
      </c>
      <c r="SNK6" s="68" t="e" cm="1" vm="1">
        <f t="array" ref="SNK6">_xlfn._xlws.FILTER(TablaProductos[Nombre producto],TablaProductos[Agrupación]=ProductosPivot!SNK5)</f>
        <v>#VALUE!</v>
      </c>
      <c r="SNL6" s="68" t="e" cm="1" vm="1">
        <f t="array" ref="SNL6">_xlfn._xlws.FILTER(TablaProductos[Nombre producto],TablaProductos[Agrupación]=ProductosPivot!SNL5)</f>
        <v>#VALUE!</v>
      </c>
      <c r="SNM6" s="68" t="e" cm="1" vm="1">
        <f t="array" ref="SNM6">_xlfn._xlws.FILTER(TablaProductos[Nombre producto],TablaProductos[Agrupación]=ProductosPivot!SNM5)</f>
        <v>#VALUE!</v>
      </c>
      <c r="SNN6" s="68" t="e" cm="1" vm="1">
        <f t="array" ref="SNN6">_xlfn._xlws.FILTER(TablaProductos[Nombre producto],TablaProductos[Agrupación]=ProductosPivot!SNN5)</f>
        <v>#VALUE!</v>
      </c>
      <c r="SNO6" s="68" t="e" cm="1" vm="1">
        <f t="array" ref="SNO6">_xlfn._xlws.FILTER(TablaProductos[Nombre producto],TablaProductos[Agrupación]=ProductosPivot!SNO5)</f>
        <v>#VALUE!</v>
      </c>
      <c r="SNP6" s="68" t="e" cm="1" vm="1">
        <f t="array" ref="SNP6">_xlfn._xlws.FILTER(TablaProductos[Nombre producto],TablaProductos[Agrupación]=ProductosPivot!SNP5)</f>
        <v>#VALUE!</v>
      </c>
      <c r="SNQ6" s="68" t="e" cm="1" vm="1">
        <f t="array" ref="SNQ6">_xlfn._xlws.FILTER(TablaProductos[Nombre producto],TablaProductos[Agrupación]=ProductosPivot!SNQ5)</f>
        <v>#VALUE!</v>
      </c>
      <c r="SNR6" s="68" t="e" cm="1" vm="1">
        <f t="array" ref="SNR6">_xlfn._xlws.FILTER(TablaProductos[Nombre producto],TablaProductos[Agrupación]=ProductosPivot!SNR5)</f>
        <v>#VALUE!</v>
      </c>
      <c r="SNS6" s="68" t="e" cm="1" vm="1">
        <f t="array" ref="SNS6">_xlfn._xlws.FILTER(TablaProductos[Nombre producto],TablaProductos[Agrupación]=ProductosPivot!SNS5)</f>
        <v>#VALUE!</v>
      </c>
      <c r="SNT6" s="68" t="e" cm="1" vm="1">
        <f t="array" ref="SNT6">_xlfn._xlws.FILTER(TablaProductos[Nombre producto],TablaProductos[Agrupación]=ProductosPivot!SNT5)</f>
        <v>#VALUE!</v>
      </c>
      <c r="SNU6" s="68" t="e" cm="1" vm="1">
        <f t="array" ref="SNU6">_xlfn._xlws.FILTER(TablaProductos[Nombre producto],TablaProductos[Agrupación]=ProductosPivot!SNU5)</f>
        <v>#VALUE!</v>
      </c>
      <c r="SNV6" s="68" t="e" cm="1" vm="1">
        <f t="array" ref="SNV6">_xlfn._xlws.FILTER(TablaProductos[Nombre producto],TablaProductos[Agrupación]=ProductosPivot!SNV5)</f>
        <v>#VALUE!</v>
      </c>
      <c r="SNW6" s="68" t="e" cm="1" vm="1">
        <f t="array" ref="SNW6">_xlfn._xlws.FILTER(TablaProductos[Nombre producto],TablaProductos[Agrupación]=ProductosPivot!SNW5)</f>
        <v>#VALUE!</v>
      </c>
      <c r="SNX6" s="68" t="e" cm="1" vm="1">
        <f t="array" ref="SNX6">_xlfn._xlws.FILTER(TablaProductos[Nombre producto],TablaProductos[Agrupación]=ProductosPivot!SNX5)</f>
        <v>#VALUE!</v>
      </c>
      <c r="SNY6" s="68" t="e" cm="1" vm="1">
        <f t="array" ref="SNY6">_xlfn._xlws.FILTER(TablaProductos[Nombre producto],TablaProductos[Agrupación]=ProductosPivot!SNY5)</f>
        <v>#VALUE!</v>
      </c>
      <c r="SNZ6" s="68" t="e" cm="1" vm="1">
        <f t="array" ref="SNZ6">_xlfn._xlws.FILTER(TablaProductos[Nombre producto],TablaProductos[Agrupación]=ProductosPivot!SNZ5)</f>
        <v>#VALUE!</v>
      </c>
      <c r="SOA6" s="68" t="e" cm="1" vm="1">
        <f t="array" ref="SOA6">_xlfn._xlws.FILTER(TablaProductos[Nombre producto],TablaProductos[Agrupación]=ProductosPivot!SOA5)</f>
        <v>#VALUE!</v>
      </c>
      <c r="SOB6" s="68" t="e" cm="1" vm="1">
        <f t="array" ref="SOB6">_xlfn._xlws.FILTER(TablaProductos[Nombre producto],TablaProductos[Agrupación]=ProductosPivot!SOB5)</f>
        <v>#VALUE!</v>
      </c>
      <c r="SOC6" s="68" t="e" cm="1" vm="1">
        <f t="array" ref="SOC6">_xlfn._xlws.FILTER(TablaProductos[Nombre producto],TablaProductos[Agrupación]=ProductosPivot!SOC5)</f>
        <v>#VALUE!</v>
      </c>
      <c r="SOD6" s="68" t="e" cm="1" vm="1">
        <f t="array" ref="SOD6">_xlfn._xlws.FILTER(TablaProductos[Nombre producto],TablaProductos[Agrupación]=ProductosPivot!SOD5)</f>
        <v>#VALUE!</v>
      </c>
      <c r="SOE6" s="68" t="e" cm="1" vm="1">
        <f t="array" ref="SOE6">_xlfn._xlws.FILTER(TablaProductos[Nombre producto],TablaProductos[Agrupación]=ProductosPivot!SOE5)</f>
        <v>#VALUE!</v>
      </c>
      <c r="SOF6" s="68" t="e" cm="1" vm="1">
        <f t="array" ref="SOF6">_xlfn._xlws.FILTER(TablaProductos[Nombre producto],TablaProductos[Agrupación]=ProductosPivot!SOF5)</f>
        <v>#VALUE!</v>
      </c>
      <c r="SOG6" s="68" t="e" cm="1" vm="1">
        <f t="array" ref="SOG6">_xlfn._xlws.FILTER(TablaProductos[Nombre producto],TablaProductos[Agrupación]=ProductosPivot!SOG5)</f>
        <v>#VALUE!</v>
      </c>
      <c r="SOH6" s="68" t="e" cm="1" vm="1">
        <f t="array" ref="SOH6">_xlfn._xlws.FILTER(TablaProductos[Nombre producto],TablaProductos[Agrupación]=ProductosPivot!SOH5)</f>
        <v>#VALUE!</v>
      </c>
      <c r="SOI6" s="68" t="e" cm="1" vm="1">
        <f t="array" ref="SOI6">_xlfn._xlws.FILTER(TablaProductos[Nombre producto],TablaProductos[Agrupación]=ProductosPivot!SOI5)</f>
        <v>#VALUE!</v>
      </c>
      <c r="SOJ6" s="68" t="e" cm="1" vm="1">
        <f t="array" ref="SOJ6">_xlfn._xlws.FILTER(TablaProductos[Nombre producto],TablaProductos[Agrupación]=ProductosPivot!SOJ5)</f>
        <v>#VALUE!</v>
      </c>
      <c r="SOK6" s="68" t="e" cm="1" vm="1">
        <f t="array" ref="SOK6">_xlfn._xlws.FILTER(TablaProductos[Nombre producto],TablaProductos[Agrupación]=ProductosPivot!SOK5)</f>
        <v>#VALUE!</v>
      </c>
      <c r="SOL6" s="68" t="e" cm="1" vm="1">
        <f t="array" ref="SOL6">_xlfn._xlws.FILTER(TablaProductos[Nombre producto],TablaProductos[Agrupación]=ProductosPivot!SOL5)</f>
        <v>#VALUE!</v>
      </c>
      <c r="SOM6" s="68" t="e" cm="1" vm="1">
        <f t="array" ref="SOM6">_xlfn._xlws.FILTER(TablaProductos[Nombre producto],TablaProductos[Agrupación]=ProductosPivot!SOM5)</f>
        <v>#VALUE!</v>
      </c>
      <c r="SON6" s="68" t="e" cm="1" vm="1">
        <f t="array" ref="SON6">_xlfn._xlws.FILTER(TablaProductos[Nombre producto],TablaProductos[Agrupación]=ProductosPivot!SON5)</f>
        <v>#VALUE!</v>
      </c>
      <c r="SOO6" s="68" t="e" cm="1" vm="1">
        <f t="array" ref="SOO6">_xlfn._xlws.FILTER(TablaProductos[Nombre producto],TablaProductos[Agrupación]=ProductosPivot!SOO5)</f>
        <v>#VALUE!</v>
      </c>
      <c r="SOP6" s="68" t="e" cm="1" vm="1">
        <f t="array" ref="SOP6">_xlfn._xlws.FILTER(TablaProductos[Nombre producto],TablaProductos[Agrupación]=ProductosPivot!SOP5)</f>
        <v>#VALUE!</v>
      </c>
      <c r="SOQ6" s="68" t="e" cm="1" vm="1">
        <f t="array" ref="SOQ6">_xlfn._xlws.FILTER(TablaProductos[Nombre producto],TablaProductos[Agrupación]=ProductosPivot!SOQ5)</f>
        <v>#VALUE!</v>
      </c>
      <c r="SOR6" s="68" t="e" cm="1" vm="1">
        <f t="array" ref="SOR6">_xlfn._xlws.FILTER(TablaProductos[Nombre producto],TablaProductos[Agrupación]=ProductosPivot!SOR5)</f>
        <v>#VALUE!</v>
      </c>
      <c r="SOS6" s="68" t="e" cm="1" vm="1">
        <f t="array" ref="SOS6">_xlfn._xlws.FILTER(TablaProductos[Nombre producto],TablaProductos[Agrupación]=ProductosPivot!SOS5)</f>
        <v>#VALUE!</v>
      </c>
      <c r="SOT6" s="68" t="e" cm="1" vm="1">
        <f t="array" ref="SOT6">_xlfn._xlws.FILTER(TablaProductos[Nombre producto],TablaProductos[Agrupación]=ProductosPivot!SOT5)</f>
        <v>#VALUE!</v>
      </c>
      <c r="SOU6" s="68" t="e" cm="1" vm="1">
        <f t="array" ref="SOU6">_xlfn._xlws.FILTER(TablaProductos[Nombre producto],TablaProductos[Agrupación]=ProductosPivot!SOU5)</f>
        <v>#VALUE!</v>
      </c>
      <c r="SOV6" s="68" t="e" cm="1" vm="1">
        <f t="array" ref="SOV6">_xlfn._xlws.FILTER(TablaProductos[Nombre producto],TablaProductos[Agrupación]=ProductosPivot!SOV5)</f>
        <v>#VALUE!</v>
      </c>
      <c r="SOW6" s="68" t="e" cm="1" vm="1">
        <f t="array" ref="SOW6">_xlfn._xlws.FILTER(TablaProductos[Nombre producto],TablaProductos[Agrupación]=ProductosPivot!SOW5)</f>
        <v>#VALUE!</v>
      </c>
      <c r="SOX6" s="68" t="e" cm="1" vm="1">
        <f t="array" ref="SOX6">_xlfn._xlws.FILTER(TablaProductos[Nombre producto],TablaProductos[Agrupación]=ProductosPivot!SOX5)</f>
        <v>#VALUE!</v>
      </c>
      <c r="SOY6" s="68" t="e" cm="1" vm="1">
        <f t="array" ref="SOY6">_xlfn._xlws.FILTER(TablaProductos[Nombre producto],TablaProductos[Agrupación]=ProductosPivot!SOY5)</f>
        <v>#VALUE!</v>
      </c>
      <c r="SOZ6" s="68" t="e" cm="1" vm="1">
        <f t="array" ref="SOZ6">_xlfn._xlws.FILTER(TablaProductos[Nombre producto],TablaProductos[Agrupación]=ProductosPivot!SOZ5)</f>
        <v>#VALUE!</v>
      </c>
      <c r="SPA6" s="68" t="e" cm="1" vm="1">
        <f t="array" ref="SPA6">_xlfn._xlws.FILTER(TablaProductos[Nombre producto],TablaProductos[Agrupación]=ProductosPivot!SPA5)</f>
        <v>#VALUE!</v>
      </c>
      <c r="SPB6" s="68" t="e" cm="1" vm="1">
        <f t="array" ref="SPB6">_xlfn._xlws.FILTER(TablaProductos[Nombre producto],TablaProductos[Agrupación]=ProductosPivot!SPB5)</f>
        <v>#VALUE!</v>
      </c>
      <c r="SPC6" s="68" t="e" cm="1" vm="1">
        <f t="array" ref="SPC6">_xlfn._xlws.FILTER(TablaProductos[Nombre producto],TablaProductos[Agrupación]=ProductosPivot!SPC5)</f>
        <v>#VALUE!</v>
      </c>
      <c r="SPD6" s="68" t="e" cm="1" vm="1">
        <f t="array" ref="SPD6">_xlfn._xlws.FILTER(TablaProductos[Nombre producto],TablaProductos[Agrupación]=ProductosPivot!SPD5)</f>
        <v>#VALUE!</v>
      </c>
      <c r="SPE6" s="68" t="e" cm="1" vm="1">
        <f t="array" ref="SPE6">_xlfn._xlws.FILTER(TablaProductos[Nombre producto],TablaProductos[Agrupación]=ProductosPivot!SPE5)</f>
        <v>#VALUE!</v>
      </c>
      <c r="SPF6" s="68" t="e" cm="1" vm="1">
        <f t="array" ref="SPF6">_xlfn._xlws.FILTER(TablaProductos[Nombre producto],TablaProductos[Agrupación]=ProductosPivot!SPF5)</f>
        <v>#VALUE!</v>
      </c>
      <c r="SPG6" s="68" t="e" cm="1" vm="1">
        <f t="array" ref="SPG6">_xlfn._xlws.FILTER(TablaProductos[Nombre producto],TablaProductos[Agrupación]=ProductosPivot!SPG5)</f>
        <v>#VALUE!</v>
      </c>
      <c r="SPH6" s="68" t="e" cm="1" vm="1">
        <f t="array" ref="SPH6">_xlfn._xlws.FILTER(TablaProductos[Nombre producto],TablaProductos[Agrupación]=ProductosPivot!SPH5)</f>
        <v>#VALUE!</v>
      </c>
      <c r="SPI6" s="68" t="e" cm="1" vm="1">
        <f t="array" ref="SPI6">_xlfn._xlws.FILTER(TablaProductos[Nombre producto],TablaProductos[Agrupación]=ProductosPivot!SPI5)</f>
        <v>#VALUE!</v>
      </c>
      <c r="SPJ6" s="68" t="e" cm="1" vm="1">
        <f t="array" ref="SPJ6">_xlfn._xlws.FILTER(TablaProductos[Nombre producto],TablaProductos[Agrupación]=ProductosPivot!SPJ5)</f>
        <v>#VALUE!</v>
      </c>
      <c r="SPK6" s="68" t="e" cm="1" vm="1">
        <f t="array" ref="SPK6">_xlfn._xlws.FILTER(TablaProductos[Nombre producto],TablaProductos[Agrupación]=ProductosPivot!SPK5)</f>
        <v>#VALUE!</v>
      </c>
      <c r="SPL6" s="68" t="e" cm="1" vm="1">
        <f t="array" ref="SPL6">_xlfn._xlws.FILTER(TablaProductos[Nombre producto],TablaProductos[Agrupación]=ProductosPivot!SPL5)</f>
        <v>#VALUE!</v>
      </c>
      <c r="SPM6" s="68" t="e" cm="1" vm="1">
        <f t="array" ref="SPM6">_xlfn._xlws.FILTER(TablaProductos[Nombre producto],TablaProductos[Agrupación]=ProductosPivot!SPM5)</f>
        <v>#VALUE!</v>
      </c>
      <c r="SPN6" s="68" t="e" cm="1" vm="1">
        <f t="array" ref="SPN6">_xlfn._xlws.FILTER(TablaProductos[Nombre producto],TablaProductos[Agrupación]=ProductosPivot!SPN5)</f>
        <v>#VALUE!</v>
      </c>
      <c r="SPO6" s="68" t="e" cm="1" vm="1">
        <f t="array" ref="SPO6">_xlfn._xlws.FILTER(TablaProductos[Nombre producto],TablaProductos[Agrupación]=ProductosPivot!SPO5)</f>
        <v>#VALUE!</v>
      </c>
      <c r="SPP6" s="68" t="e" cm="1" vm="1">
        <f t="array" ref="SPP6">_xlfn._xlws.FILTER(TablaProductos[Nombre producto],TablaProductos[Agrupación]=ProductosPivot!SPP5)</f>
        <v>#VALUE!</v>
      </c>
      <c r="SPQ6" s="68" t="e" cm="1" vm="1">
        <f t="array" ref="SPQ6">_xlfn._xlws.FILTER(TablaProductos[Nombre producto],TablaProductos[Agrupación]=ProductosPivot!SPQ5)</f>
        <v>#VALUE!</v>
      </c>
      <c r="SPR6" s="68" t="e" cm="1" vm="1">
        <f t="array" ref="SPR6">_xlfn._xlws.FILTER(TablaProductos[Nombre producto],TablaProductos[Agrupación]=ProductosPivot!SPR5)</f>
        <v>#VALUE!</v>
      </c>
      <c r="SPS6" s="68" t="e" cm="1" vm="1">
        <f t="array" ref="SPS6">_xlfn._xlws.FILTER(TablaProductos[Nombre producto],TablaProductos[Agrupación]=ProductosPivot!SPS5)</f>
        <v>#VALUE!</v>
      </c>
      <c r="SPT6" s="68" t="e" cm="1" vm="1">
        <f t="array" ref="SPT6">_xlfn._xlws.FILTER(TablaProductos[Nombre producto],TablaProductos[Agrupación]=ProductosPivot!SPT5)</f>
        <v>#VALUE!</v>
      </c>
      <c r="SPU6" s="68" t="e" cm="1" vm="1">
        <f t="array" ref="SPU6">_xlfn._xlws.FILTER(TablaProductos[Nombre producto],TablaProductos[Agrupación]=ProductosPivot!SPU5)</f>
        <v>#VALUE!</v>
      </c>
      <c r="SPV6" s="68" t="e" cm="1" vm="1">
        <f t="array" ref="SPV6">_xlfn._xlws.FILTER(TablaProductos[Nombre producto],TablaProductos[Agrupación]=ProductosPivot!SPV5)</f>
        <v>#VALUE!</v>
      </c>
      <c r="SPW6" s="68" t="e" cm="1" vm="1">
        <f t="array" ref="SPW6">_xlfn._xlws.FILTER(TablaProductos[Nombre producto],TablaProductos[Agrupación]=ProductosPivot!SPW5)</f>
        <v>#VALUE!</v>
      </c>
      <c r="SPX6" s="68" t="e" cm="1" vm="1">
        <f t="array" ref="SPX6">_xlfn._xlws.FILTER(TablaProductos[Nombre producto],TablaProductos[Agrupación]=ProductosPivot!SPX5)</f>
        <v>#VALUE!</v>
      </c>
      <c r="SPY6" s="68" t="e" cm="1" vm="1">
        <f t="array" ref="SPY6">_xlfn._xlws.FILTER(TablaProductos[Nombre producto],TablaProductos[Agrupación]=ProductosPivot!SPY5)</f>
        <v>#VALUE!</v>
      </c>
      <c r="SPZ6" s="68" t="e" cm="1" vm="1">
        <f t="array" ref="SPZ6">_xlfn._xlws.FILTER(TablaProductos[Nombre producto],TablaProductos[Agrupación]=ProductosPivot!SPZ5)</f>
        <v>#VALUE!</v>
      </c>
      <c r="SQA6" s="68" t="e" cm="1" vm="1">
        <f t="array" ref="SQA6">_xlfn._xlws.FILTER(TablaProductos[Nombre producto],TablaProductos[Agrupación]=ProductosPivot!SQA5)</f>
        <v>#VALUE!</v>
      </c>
      <c r="SQB6" s="68" t="e" cm="1" vm="1">
        <f t="array" ref="SQB6">_xlfn._xlws.FILTER(TablaProductos[Nombre producto],TablaProductos[Agrupación]=ProductosPivot!SQB5)</f>
        <v>#VALUE!</v>
      </c>
      <c r="SQC6" s="68" t="e" cm="1" vm="1">
        <f t="array" ref="SQC6">_xlfn._xlws.FILTER(TablaProductos[Nombre producto],TablaProductos[Agrupación]=ProductosPivot!SQC5)</f>
        <v>#VALUE!</v>
      </c>
      <c r="SQD6" s="68" t="e" cm="1" vm="1">
        <f t="array" ref="SQD6">_xlfn._xlws.FILTER(TablaProductos[Nombre producto],TablaProductos[Agrupación]=ProductosPivot!SQD5)</f>
        <v>#VALUE!</v>
      </c>
      <c r="SQE6" s="68" t="e" cm="1" vm="1">
        <f t="array" ref="SQE6">_xlfn._xlws.FILTER(TablaProductos[Nombre producto],TablaProductos[Agrupación]=ProductosPivot!SQE5)</f>
        <v>#VALUE!</v>
      </c>
      <c r="SQF6" s="68" t="e" cm="1" vm="1">
        <f t="array" ref="SQF6">_xlfn._xlws.FILTER(TablaProductos[Nombre producto],TablaProductos[Agrupación]=ProductosPivot!SQF5)</f>
        <v>#VALUE!</v>
      </c>
      <c r="SQG6" s="68" t="e" cm="1" vm="1">
        <f t="array" ref="SQG6">_xlfn._xlws.FILTER(TablaProductos[Nombre producto],TablaProductos[Agrupación]=ProductosPivot!SQG5)</f>
        <v>#VALUE!</v>
      </c>
      <c r="SQH6" s="68" t="e" cm="1" vm="1">
        <f t="array" ref="SQH6">_xlfn._xlws.FILTER(TablaProductos[Nombre producto],TablaProductos[Agrupación]=ProductosPivot!SQH5)</f>
        <v>#VALUE!</v>
      </c>
      <c r="SQI6" s="68" t="e" cm="1" vm="1">
        <f t="array" ref="SQI6">_xlfn._xlws.FILTER(TablaProductos[Nombre producto],TablaProductos[Agrupación]=ProductosPivot!SQI5)</f>
        <v>#VALUE!</v>
      </c>
      <c r="SQJ6" s="68" t="e" cm="1" vm="1">
        <f t="array" ref="SQJ6">_xlfn._xlws.FILTER(TablaProductos[Nombre producto],TablaProductos[Agrupación]=ProductosPivot!SQJ5)</f>
        <v>#VALUE!</v>
      </c>
      <c r="SQK6" s="68" t="e" cm="1" vm="1">
        <f t="array" ref="SQK6">_xlfn._xlws.FILTER(TablaProductos[Nombre producto],TablaProductos[Agrupación]=ProductosPivot!SQK5)</f>
        <v>#VALUE!</v>
      </c>
      <c r="SQL6" s="68" t="e" cm="1" vm="1">
        <f t="array" ref="SQL6">_xlfn._xlws.FILTER(TablaProductos[Nombre producto],TablaProductos[Agrupación]=ProductosPivot!SQL5)</f>
        <v>#VALUE!</v>
      </c>
      <c r="SQM6" s="68" t="e" cm="1" vm="1">
        <f t="array" ref="SQM6">_xlfn._xlws.FILTER(TablaProductos[Nombre producto],TablaProductos[Agrupación]=ProductosPivot!SQM5)</f>
        <v>#VALUE!</v>
      </c>
      <c r="SQN6" s="68" t="e" cm="1" vm="1">
        <f t="array" ref="SQN6">_xlfn._xlws.FILTER(TablaProductos[Nombre producto],TablaProductos[Agrupación]=ProductosPivot!SQN5)</f>
        <v>#VALUE!</v>
      </c>
      <c r="SQO6" s="68" t="e" cm="1" vm="1">
        <f t="array" ref="SQO6">_xlfn._xlws.FILTER(TablaProductos[Nombre producto],TablaProductos[Agrupación]=ProductosPivot!SQO5)</f>
        <v>#VALUE!</v>
      </c>
      <c r="SQP6" s="68" t="e" cm="1" vm="1">
        <f t="array" ref="SQP6">_xlfn._xlws.FILTER(TablaProductos[Nombre producto],TablaProductos[Agrupación]=ProductosPivot!SQP5)</f>
        <v>#VALUE!</v>
      </c>
      <c r="SQQ6" s="68" t="e" cm="1" vm="1">
        <f t="array" ref="SQQ6">_xlfn._xlws.FILTER(TablaProductos[Nombre producto],TablaProductos[Agrupación]=ProductosPivot!SQQ5)</f>
        <v>#VALUE!</v>
      </c>
      <c r="SQR6" s="68" t="e" cm="1" vm="1">
        <f t="array" ref="SQR6">_xlfn._xlws.FILTER(TablaProductos[Nombre producto],TablaProductos[Agrupación]=ProductosPivot!SQR5)</f>
        <v>#VALUE!</v>
      </c>
      <c r="SQS6" s="68" t="e" cm="1" vm="1">
        <f t="array" ref="SQS6">_xlfn._xlws.FILTER(TablaProductos[Nombre producto],TablaProductos[Agrupación]=ProductosPivot!SQS5)</f>
        <v>#VALUE!</v>
      </c>
      <c r="SQT6" s="68" t="e" cm="1" vm="1">
        <f t="array" ref="SQT6">_xlfn._xlws.FILTER(TablaProductos[Nombre producto],TablaProductos[Agrupación]=ProductosPivot!SQT5)</f>
        <v>#VALUE!</v>
      </c>
      <c r="SQU6" s="68" t="e" cm="1" vm="1">
        <f t="array" ref="SQU6">_xlfn._xlws.FILTER(TablaProductos[Nombre producto],TablaProductos[Agrupación]=ProductosPivot!SQU5)</f>
        <v>#VALUE!</v>
      </c>
      <c r="SQV6" s="68" t="e" cm="1" vm="1">
        <f t="array" ref="SQV6">_xlfn._xlws.FILTER(TablaProductos[Nombre producto],TablaProductos[Agrupación]=ProductosPivot!SQV5)</f>
        <v>#VALUE!</v>
      </c>
      <c r="SQW6" s="68" t="e" cm="1" vm="1">
        <f t="array" ref="SQW6">_xlfn._xlws.FILTER(TablaProductos[Nombre producto],TablaProductos[Agrupación]=ProductosPivot!SQW5)</f>
        <v>#VALUE!</v>
      </c>
      <c r="SQX6" s="68" t="e" cm="1" vm="1">
        <f t="array" ref="SQX6">_xlfn._xlws.FILTER(TablaProductos[Nombre producto],TablaProductos[Agrupación]=ProductosPivot!SQX5)</f>
        <v>#VALUE!</v>
      </c>
      <c r="SQY6" s="68" t="e" cm="1" vm="1">
        <f t="array" ref="SQY6">_xlfn._xlws.FILTER(TablaProductos[Nombre producto],TablaProductos[Agrupación]=ProductosPivot!SQY5)</f>
        <v>#VALUE!</v>
      </c>
      <c r="SQZ6" s="68" t="e" cm="1" vm="1">
        <f t="array" ref="SQZ6">_xlfn._xlws.FILTER(TablaProductos[Nombre producto],TablaProductos[Agrupación]=ProductosPivot!SQZ5)</f>
        <v>#VALUE!</v>
      </c>
      <c r="SRA6" s="68" t="e" cm="1" vm="1">
        <f t="array" ref="SRA6">_xlfn._xlws.FILTER(TablaProductos[Nombre producto],TablaProductos[Agrupación]=ProductosPivot!SRA5)</f>
        <v>#VALUE!</v>
      </c>
      <c r="SRB6" s="68" t="e" cm="1" vm="1">
        <f t="array" ref="SRB6">_xlfn._xlws.FILTER(TablaProductos[Nombre producto],TablaProductos[Agrupación]=ProductosPivot!SRB5)</f>
        <v>#VALUE!</v>
      </c>
      <c r="SRC6" s="68" t="e" cm="1" vm="1">
        <f t="array" ref="SRC6">_xlfn._xlws.FILTER(TablaProductos[Nombre producto],TablaProductos[Agrupación]=ProductosPivot!SRC5)</f>
        <v>#VALUE!</v>
      </c>
      <c r="SRD6" s="68" t="e" cm="1" vm="1">
        <f t="array" ref="SRD6">_xlfn._xlws.FILTER(TablaProductos[Nombre producto],TablaProductos[Agrupación]=ProductosPivot!SRD5)</f>
        <v>#VALUE!</v>
      </c>
      <c r="SRE6" s="68" t="e" cm="1" vm="1">
        <f t="array" ref="SRE6">_xlfn._xlws.FILTER(TablaProductos[Nombre producto],TablaProductos[Agrupación]=ProductosPivot!SRE5)</f>
        <v>#VALUE!</v>
      </c>
      <c r="SRF6" s="68" t="e" cm="1" vm="1">
        <f t="array" ref="SRF6">_xlfn._xlws.FILTER(TablaProductos[Nombre producto],TablaProductos[Agrupación]=ProductosPivot!SRF5)</f>
        <v>#VALUE!</v>
      </c>
      <c r="SRG6" s="68" t="e" cm="1" vm="1">
        <f t="array" ref="SRG6">_xlfn._xlws.FILTER(TablaProductos[Nombre producto],TablaProductos[Agrupación]=ProductosPivot!SRG5)</f>
        <v>#VALUE!</v>
      </c>
      <c r="SRH6" s="68" t="e" cm="1" vm="1">
        <f t="array" ref="SRH6">_xlfn._xlws.FILTER(TablaProductos[Nombre producto],TablaProductos[Agrupación]=ProductosPivot!SRH5)</f>
        <v>#VALUE!</v>
      </c>
      <c r="SRI6" s="68" t="e" cm="1" vm="1">
        <f t="array" ref="SRI6">_xlfn._xlws.FILTER(TablaProductos[Nombre producto],TablaProductos[Agrupación]=ProductosPivot!SRI5)</f>
        <v>#VALUE!</v>
      </c>
      <c r="SRJ6" s="68" t="e" cm="1" vm="1">
        <f t="array" ref="SRJ6">_xlfn._xlws.FILTER(TablaProductos[Nombre producto],TablaProductos[Agrupación]=ProductosPivot!SRJ5)</f>
        <v>#VALUE!</v>
      </c>
      <c r="SRK6" s="68" t="e" cm="1" vm="1">
        <f t="array" ref="SRK6">_xlfn._xlws.FILTER(TablaProductos[Nombre producto],TablaProductos[Agrupación]=ProductosPivot!SRK5)</f>
        <v>#VALUE!</v>
      </c>
      <c r="SRL6" s="68" t="e" cm="1" vm="1">
        <f t="array" ref="SRL6">_xlfn._xlws.FILTER(TablaProductos[Nombre producto],TablaProductos[Agrupación]=ProductosPivot!SRL5)</f>
        <v>#VALUE!</v>
      </c>
      <c r="SRM6" s="68" t="e" cm="1" vm="1">
        <f t="array" ref="SRM6">_xlfn._xlws.FILTER(TablaProductos[Nombre producto],TablaProductos[Agrupación]=ProductosPivot!SRM5)</f>
        <v>#VALUE!</v>
      </c>
      <c r="SRN6" s="68" t="e" cm="1" vm="1">
        <f t="array" ref="SRN6">_xlfn._xlws.FILTER(TablaProductos[Nombre producto],TablaProductos[Agrupación]=ProductosPivot!SRN5)</f>
        <v>#VALUE!</v>
      </c>
      <c r="SRO6" s="68" t="e" cm="1" vm="1">
        <f t="array" ref="SRO6">_xlfn._xlws.FILTER(TablaProductos[Nombre producto],TablaProductos[Agrupación]=ProductosPivot!SRO5)</f>
        <v>#VALUE!</v>
      </c>
      <c r="SRP6" s="68" t="e" cm="1" vm="1">
        <f t="array" ref="SRP6">_xlfn._xlws.FILTER(TablaProductos[Nombre producto],TablaProductos[Agrupación]=ProductosPivot!SRP5)</f>
        <v>#VALUE!</v>
      </c>
      <c r="SRQ6" s="68" t="e" cm="1" vm="1">
        <f t="array" ref="SRQ6">_xlfn._xlws.FILTER(TablaProductos[Nombre producto],TablaProductos[Agrupación]=ProductosPivot!SRQ5)</f>
        <v>#VALUE!</v>
      </c>
      <c r="SRR6" s="68" t="e" cm="1" vm="1">
        <f t="array" ref="SRR6">_xlfn._xlws.FILTER(TablaProductos[Nombre producto],TablaProductos[Agrupación]=ProductosPivot!SRR5)</f>
        <v>#VALUE!</v>
      </c>
      <c r="SRS6" s="68" t="e" cm="1" vm="1">
        <f t="array" ref="SRS6">_xlfn._xlws.FILTER(TablaProductos[Nombre producto],TablaProductos[Agrupación]=ProductosPivot!SRS5)</f>
        <v>#VALUE!</v>
      </c>
      <c r="SRT6" s="68" t="e" cm="1" vm="1">
        <f t="array" ref="SRT6">_xlfn._xlws.FILTER(TablaProductos[Nombre producto],TablaProductos[Agrupación]=ProductosPivot!SRT5)</f>
        <v>#VALUE!</v>
      </c>
      <c r="SRU6" s="68" t="e" cm="1" vm="1">
        <f t="array" ref="SRU6">_xlfn._xlws.FILTER(TablaProductos[Nombre producto],TablaProductos[Agrupación]=ProductosPivot!SRU5)</f>
        <v>#VALUE!</v>
      </c>
      <c r="SRV6" s="68" t="e" cm="1" vm="1">
        <f t="array" ref="SRV6">_xlfn._xlws.FILTER(TablaProductos[Nombre producto],TablaProductos[Agrupación]=ProductosPivot!SRV5)</f>
        <v>#VALUE!</v>
      </c>
      <c r="SRW6" s="68" t="e" cm="1" vm="1">
        <f t="array" ref="SRW6">_xlfn._xlws.FILTER(TablaProductos[Nombre producto],TablaProductos[Agrupación]=ProductosPivot!SRW5)</f>
        <v>#VALUE!</v>
      </c>
      <c r="SRX6" s="68" t="e" cm="1" vm="1">
        <f t="array" ref="SRX6">_xlfn._xlws.FILTER(TablaProductos[Nombre producto],TablaProductos[Agrupación]=ProductosPivot!SRX5)</f>
        <v>#VALUE!</v>
      </c>
      <c r="SRY6" s="68" t="e" cm="1" vm="1">
        <f t="array" ref="SRY6">_xlfn._xlws.FILTER(TablaProductos[Nombre producto],TablaProductos[Agrupación]=ProductosPivot!SRY5)</f>
        <v>#VALUE!</v>
      </c>
      <c r="SRZ6" s="68" t="e" cm="1" vm="1">
        <f t="array" ref="SRZ6">_xlfn._xlws.FILTER(TablaProductos[Nombre producto],TablaProductos[Agrupación]=ProductosPivot!SRZ5)</f>
        <v>#VALUE!</v>
      </c>
      <c r="SSA6" s="68" t="e" cm="1" vm="1">
        <f t="array" ref="SSA6">_xlfn._xlws.FILTER(TablaProductos[Nombre producto],TablaProductos[Agrupación]=ProductosPivot!SSA5)</f>
        <v>#VALUE!</v>
      </c>
      <c r="SSB6" s="68" t="e" cm="1" vm="1">
        <f t="array" ref="SSB6">_xlfn._xlws.FILTER(TablaProductos[Nombre producto],TablaProductos[Agrupación]=ProductosPivot!SSB5)</f>
        <v>#VALUE!</v>
      </c>
      <c r="SSC6" s="68" t="e" cm="1" vm="1">
        <f t="array" ref="SSC6">_xlfn._xlws.FILTER(TablaProductos[Nombre producto],TablaProductos[Agrupación]=ProductosPivot!SSC5)</f>
        <v>#VALUE!</v>
      </c>
      <c r="SSD6" s="68" t="e" cm="1" vm="1">
        <f t="array" ref="SSD6">_xlfn._xlws.FILTER(TablaProductos[Nombre producto],TablaProductos[Agrupación]=ProductosPivot!SSD5)</f>
        <v>#VALUE!</v>
      </c>
      <c r="SSE6" s="68" t="e" cm="1" vm="1">
        <f t="array" ref="SSE6">_xlfn._xlws.FILTER(TablaProductos[Nombre producto],TablaProductos[Agrupación]=ProductosPivot!SSE5)</f>
        <v>#VALUE!</v>
      </c>
      <c r="SSF6" s="68" t="e" cm="1" vm="1">
        <f t="array" ref="SSF6">_xlfn._xlws.FILTER(TablaProductos[Nombre producto],TablaProductos[Agrupación]=ProductosPivot!SSF5)</f>
        <v>#VALUE!</v>
      </c>
      <c r="SSG6" s="68" t="e" cm="1" vm="1">
        <f t="array" ref="SSG6">_xlfn._xlws.FILTER(TablaProductos[Nombre producto],TablaProductos[Agrupación]=ProductosPivot!SSG5)</f>
        <v>#VALUE!</v>
      </c>
      <c r="SSH6" s="68" t="e" cm="1" vm="1">
        <f t="array" ref="SSH6">_xlfn._xlws.FILTER(TablaProductos[Nombre producto],TablaProductos[Agrupación]=ProductosPivot!SSH5)</f>
        <v>#VALUE!</v>
      </c>
      <c r="SSI6" s="68" t="e" cm="1" vm="1">
        <f t="array" ref="SSI6">_xlfn._xlws.FILTER(TablaProductos[Nombre producto],TablaProductos[Agrupación]=ProductosPivot!SSI5)</f>
        <v>#VALUE!</v>
      </c>
      <c r="SSJ6" s="68" t="e" cm="1" vm="1">
        <f t="array" ref="SSJ6">_xlfn._xlws.FILTER(TablaProductos[Nombre producto],TablaProductos[Agrupación]=ProductosPivot!SSJ5)</f>
        <v>#VALUE!</v>
      </c>
      <c r="SSK6" s="68" t="e" cm="1" vm="1">
        <f t="array" ref="SSK6">_xlfn._xlws.FILTER(TablaProductos[Nombre producto],TablaProductos[Agrupación]=ProductosPivot!SSK5)</f>
        <v>#VALUE!</v>
      </c>
      <c r="SSL6" s="68" t="e" cm="1" vm="1">
        <f t="array" ref="SSL6">_xlfn._xlws.FILTER(TablaProductos[Nombre producto],TablaProductos[Agrupación]=ProductosPivot!SSL5)</f>
        <v>#VALUE!</v>
      </c>
      <c r="SSM6" s="68" t="e" cm="1" vm="1">
        <f t="array" ref="SSM6">_xlfn._xlws.FILTER(TablaProductos[Nombre producto],TablaProductos[Agrupación]=ProductosPivot!SSM5)</f>
        <v>#VALUE!</v>
      </c>
      <c r="SSN6" s="68" t="e" cm="1" vm="1">
        <f t="array" ref="SSN6">_xlfn._xlws.FILTER(TablaProductos[Nombre producto],TablaProductos[Agrupación]=ProductosPivot!SSN5)</f>
        <v>#VALUE!</v>
      </c>
      <c r="SSO6" s="68" t="e" cm="1" vm="1">
        <f t="array" ref="SSO6">_xlfn._xlws.FILTER(TablaProductos[Nombre producto],TablaProductos[Agrupación]=ProductosPivot!SSO5)</f>
        <v>#VALUE!</v>
      </c>
      <c r="SSP6" s="68" t="e" cm="1" vm="1">
        <f t="array" ref="SSP6">_xlfn._xlws.FILTER(TablaProductos[Nombre producto],TablaProductos[Agrupación]=ProductosPivot!SSP5)</f>
        <v>#VALUE!</v>
      </c>
      <c r="SSQ6" s="68" t="e" cm="1" vm="1">
        <f t="array" ref="SSQ6">_xlfn._xlws.FILTER(TablaProductos[Nombre producto],TablaProductos[Agrupación]=ProductosPivot!SSQ5)</f>
        <v>#VALUE!</v>
      </c>
      <c r="SSR6" s="68" t="e" cm="1" vm="1">
        <f t="array" ref="SSR6">_xlfn._xlws.FILTER(TablaProductos[Nombre producto],TablaProductos[Agrupación]=ProductosPivot!SSR5)</f>
        <v>#VALUE!</v>
      </c>
      <c r="SSS6" s="68" t="e" cm="1" vm="1">
        <f t="array" ref="SSS6">_xlfn._xlws.FILTER(TablaProductos[Nombre producto],TablaProductos[Agrupación]=ProductosPivot!SSS5)</f>
        <v>#VALUE!</v>
      </c>
      <c r="SST6" s="68" t="e" cm="1" vm="1">
        <f t="array" ref="SST6">_xlfn._xlws.FILTER(TablaProductos[Nombre producto],TablaProductos[Agrupación]=ProductosPivot!SST5)</f>
        <v>#VALUE!</v>
      </c>
      <c r="SSU6" s="68" t="e" cm="1" vm="1">
        <f t="array" ref="SSU6">_xlfn._xlws.FILTER(TablaProductos[Nombre producto],TablaProductos[Agrupación]=ProductosPivot!SSU5)</f>
        <v>#VALUE!</v>
      </c>
      <c r="SSV6" s="68" t="e" cm="1" vm="1">
        <f t="array" ref="SSV6">_xlfn._xlws.FILTER(TablaProductos[Nombre producto],TablaProductos[Agrupación]=ProductosPivot!SSV5)</f>
        <v>#VALUE!</v>
      </c>
      <c r="SSW6" s="68" t="e" cm="1" vm="1">
        <f t="array" ref="SSW6">_xlfn._xlws.FILTER(TablaProductos[Nombre producto],TablaProductos[Agrupación]=ProductosPivot!SSW5)</f>
        <v>#VALUE!</v>
      </c>
      <c r="SSX6" s="68" t="e" cm="1" vm="1">
        <f t="array" ref="SSX6">_xlfn._xlws.FILTER(TablaProductos[Nombre producto],TablaProductos[Agrupación]=ProductosPivot!SSX5)</f>
        <v>#VALUE!</v>
      </c>
      <c r="SSY6" s="68" t="e" cm="1" vm="1">
        <f t="array" ref="SSY6">_xlfn._xlws.FILTER(TablaProductos[Nombre producto],TablaProductos[Agrupación]=ProductosPivot!SSY5)</f>
        <v>#VALUE!</v>
      </c>
      <c r="SSZ6" s="68" t="e" cm="1" vm="1">
        <f t="array" ref="SSZ6">_xlfn._xlws.FILTER(TablaProductos[Nombre producto],TablaProductos[Agrupación]=ProductosPivot!SSZ5)</f>
        <v>#VALUE!</v>
      </c>
      <c r="STA6" s="68" t="e" cm="1" vm="1">
        <f t="array" ref="STA6">_xlfn._xlws.FILTER(TablaProductos[Nombre producto],TablaProductos[Agrupación]=ProductosPivot!STA5)</f>
        <v>#VALUE!</v>
      </c>
      <c r="STB6" s="68" t="e" cm="1" vm="1">
        <f t="array" ref="STB6">_xlfn._xlws.FILTER(TablaProductos[Nombre producto],TablaProductos[Agrupación]=ProductosPivot!STB5)</f>
        <v>#VALUE!</v>
      </c>
      <c r="STC6" s="68" t="e" cm="1" vm="1">
        <f t="array" ref="STC6">_xlfn._xlws.FILTER(TablaProductos[Nombre producto],TablaProductos[Agrupación]=ProductosPivot!STC5)</f>
        <v>#VALUE!</v>
      </c>
      <c r="STD6" s="68" t="e" cm="1" vm="1">
        <f t="array" ref="STD6">_xlfn._xlws.FILTER(TablaProductos[Nombre producto],TablaProductos[Agrupación]=ProductosPivot!STD5)</f>
        <v>#VALUE!</v>
      </c>
      <c r="STE6" s="68" t="e" cm="1" vm="1">
        <f t="array" ref="STE6">_xlfn._xlws.FILTER(TablaProductos[Nombre producto],TablaProductos[Agrupación]=ProductosPivot!STE5)</f>
        <v>#VALUE!</v>
      </c>
      <c r="STF6" s="68" t="e" cm="1" vm="1">
        <f t="array" ref="STF6">_xlfn._xlws.FILTER(TablaProductos[Nombre producto],TablaProductos[Agrupación]=ProductosPivot!STF5)</f>
        <v>#VALUE!</v>
      </c>
      <c r="STG6" s="68" t="e" cm="1" vm="1">
        <f t="array" ref="STG6">_xlfn._xlws.FILTER(TablaProductos[Nombre producto],TablaProductos[Agrupación]=ProductosPivot!STG5)</f>
        <v>#VALUE!</v>
      </c>
      <c r="STH6" s="68" t="e" cm="1" vm="1">
        <f t="array" ref="STH6">_xlfn._xlws.FILTER(TablaProductos[Nombre producto],TablaProductos[Agrupación]=ProductosPivot!STH5)</f>
        <v>#VALUE!</v>
      </c>
      <c r="STI6" s="68" t="e" cm="1" vm="1">
        <f t="array" ref="STI6">_xlfn._xlws.FILTER(TablaProductos[Nombre producto],TablaProductos[Agrupación]=ProductosPivot!STI5)</f>
        <v>#VALUE!</v>
      </c>
      <c r="STJ6" s="68" t="e" cm="1" vm="1">
        <f t="array" ref="STJ6">_xlfn._xlws.FILTER(TablaProductos[Nombre producto],TablaProductos[Agrupación]=ProductosPivot!STJ5)</f>
        <v>#VALUE!</v>
      </c>
      <c r="STK6" s="68" t="e" cm="1" vm="1">
        <f t="array" ref="STK6">_xlfn._xlws.FILTER(TablaProductos[Nombre producto],TablaProductos[Agrupación]=ProductosPivot!STK5)</f>
        <v>#VALUE!</v>
      </c>
      <c r="STL6" s="68" t="e" cm="1" vm="1">
        <f t="array" ref="STL6">_xlfn._xlws.FILTER(TablaProductos[Nombre producto],TablaProductos[Agrupación]=ProductosPivot!STL5)</f>
        <v>#VALUE!</v>
      </c>
      <c r="STM6" s="68" t="e" cm="1" vm="1">
        <f t="array" ref="STM6">_xlfn._xlws.FILTER(TablaProductos[Nombre producto],TablaProductos[Agrupación]=ProductosPivot!STM5)</f>
        <v>#VALUE!</v>
      </c>
      <c r="STN6" s="68" t="e" cm="1" vm="1">
        <f t="array" ref="STN6">_xlfn._xlws.FILTER(TablaProductos[Nombre producto],TablaProductos[Agrupación]=ProductosPivot!STN5)</f>
        <v>#VALUE!</v>
      </c>
      <c r="STO6" s="68" t="e" cm="1" vm="1">
        <f t="array" ref="STO6">_xlfn._xlws.FILTER(TablaProductos[Nombre producto],TablaProductos[Agrupación]=ProductosPivot!STO5)</f>
        <v>#VALUE!</v>
      </c>
      <c r="STP6" s="68" t="e" cm="1" vm="1">
        <f t="array" ref="STP6">_xlfn._xlws.FILTER(TablaProductos[Nombre producto],TablaProductos[Agrupación]=ProductosPivot!STP5)</f>
        <v>#VALUE!</v>
      </c>
      <c r="STQ6" s="68" t="e" cm="1" vm="1">
        <f t="array" ref="STQ6">_xlfn._xlws.FILTER(TablaProductos[Nombre producto],TablaProductos[Agrupación]=ProductosPivot!STQ5)</f>
        <v>#VALUE!</v>
      </c>
      <c r="STR6" s="68" t="e" cm="1" vm="1">
        <f t="array" ref="STR6">_xlfn._xlws.FILTER(TablaProductos[Nombre producto],TablaProductos[Agrupación]=ProductosPivot!STR5)</f>
        <v>#VALUE!</v>
      </c>
      <c r="STS6" s="68" t="e" cm="1" vm="1">
        <f t="array" ref="STS6">_xlfn._xlws.FILTER(TablaProductos[Nombre producto],TablaProductos[Agrupación]=ProductosPivot!STS5)</f>
        <v>#VALUE!</v>
      </c>
      <c r="STT6" s="68" t="e" cm="1" vm="1">
        <f t="array" ref="STT6">_xlfn._xlws.FILTER(TablaProductos[Nombre producto],TablaProductos[Agrupación]=ProductosPivot!STT5)</f>
        <v>#VALUE!</v>
      </c>
      <c r="STU6" s="68" t="e" cm="1" vm="1">
        <f t="array" ref="STU6">_xlfn._xlws.FILTER(TablaProductos[Nombre producto],TablaProductos[Agrupación]=ProductosPivot!STU5)</f>
        <v>#VALUE!</v>
      </c>
      <c r="STV6" s="68" t="e" cm="1" vm="1">
        <f t="array" ref="STV6">_xlfn._xlws.FILTER(TablaProductos[Nombre producto],TablaProductos[Agrupación]=ProductosPivot!STV5)</f>
        <v>#VALUE!</v>
      </c>
      <c r="STW6" s="68" t="e" cm="1" vm="1">
        <f t="array" ref="STW6">_xlfn._xlws.FILTER(TablaProductos[Nombre producto],TablaProductos[Agrupación]=ProductosPivot!STW5)</f>
        <v>#VALUE!</v>
      </c>
      <c r="STX6" s="68" t="e" cm="1" vm="1">
        <f t="array" ref="STX6">_xlfn._xlws.FILTER(TablaProductos[Nombre producto],TablaProductos[Agrupación]=ProductosPivot!STX5)</f>
        <v>#VALUE!</v>
      </c>
      <c r="STY6" s="68" t="e" cm="1" vm="1">
        <f t="array" ref="STY6">_xlfn._xlws.FILTER(TablaProductos[Nombre producto],TablaProductos[Agrupación]=ProductosPivot!STY5)</f>
        <v>#VALUE!</v>
      </c>
      <c r="STZ6" s="68" t="e" cm="1" vm="1">
        <f t="array" ref="STZ6">_xlfn._xlws.FILTER(TablaProductos[Nombre producto],TablaProductos[Agrupación]=ProductosPivot!STZ5)</f>
        <v>#VALUE!</v>
      </c>
      <c r="SUA6" s="68" t="e" cm="1" vm="1">
        <f t="array" ref="SUA6">_xlfn._xlws.FILTER(TablaProductos[Nombre producto],TablaProductos[Agrupación]=ProductosPivot!SUA5)</f>
        <v>#VALUE!</v>
      </c>
      <c r="SUB6" s="68" t="e" cm="1" vm="1">
        <f t="array" ref="SUB6">_xlfn._xlws.FILTER(TablaProductos[Nombre producto],TablaProductos[Agrupación]=ProductosPivot!SUB5)</f>
        <v>#VALUE!</v>
      </c>
      <c r="SUC6" s="68" t="e" cm="1" vm="1">
        <f t="array" ref="SUC6">_xlfn._xlws.FILTER(TablaProductos[Nombre producto],TablaProductos[Agrupación]=ProductosPivot!SUC5)</f>
        <v>#VALUE!</v>
      </c>
      <c r="SUD6" s="68" t="e" cm="1" vm="1">
        <f t="array" ref="SUD6">_xlfn._xlws.FILTER(TablaProductos[Nombre producto],TablaProductos[Agrupación]=ProductosPivot!SUD5)</f>
        <v>#VALUE!</v>
      </c>
      <c r="SUE6" s="68" t="e" cm="1" vm="1">
        <f t="array" ref="SUE6">_xlfn._xlws.FILTER(TablaProductos[Nombre producto],TablaProductos[Agrupación]=ProductosPivot!SUE5)</f>
        <v>#VALUE!</v>
      </c>
      <c r="SUF6" s="68" t="e" cm="1" vm="1">
        <f t="array" ref="SUF6">_xlfn._xlws.FILTER(TablaProductos[Nombre producto],TablaProductos[Agrupación]=ProductosPivot!SUF5)</f>
        <v>#VALUE!</v>
      </c>
      <c r="SUG6" s="68" t="e" cm="1" vm="1">
        <f t="array" ref="SUG6">_xlfn._xlws.FILTER(TablaProductos[Nombre producto],TablaProductos[Agrupación]=ProductosPivot!SUG5)</f>
        <v>#VALUE!</v>
      </c>
      <c r="SUH6" s="68" t="e" cm="1" vm="1">
        <f t="array" ref="SUH6">_xlfn._xlws.FILTER(TablaProductos[Nombre producto],TablaProductos[Agrupación]=ProductosPivot!SUH5)</f>
        <v>#VALUE!</v>
      </c>
      <c r="SUI6" s="68" t="e" cm="1" vm="1">
        <f t="array" ref="SUI6">_xlfn._xlws.FILTER(TablaProductos[Nombre producto],TablaProductos[Agrupación]=ProductosPivot!SUI5)</f>
        <v>#VALUE!</v>
      </c>
      <c r="SUJ6" s="68" t="e" cm="1" vm="1">
        <f t="array" ref="SUJ6">_xlfn._xlws.FILTER(TablaProductos[Nombre producto],TablaProductos[Agrupación]=ProductosPivot!SUJ5)</f>
        <v>#VALUE!</v>
      </c>
      <c r="SUK6" s="68" t="e" cm="1" vm="1">
        <f t="array" ref="SUK6">_xlfn._xlws.FILTER(TablaProductos[Nombre producto],TablaProductos[Agrupación]=ProductosPivot!SUK5)</f>
        <v>#VALUE!</v>
      </c>
      <c r="SUL6" s="68" t="e" cm="1" vm="1">
        <f t="array" ref="SUL6">_xlfn._xlws.FILTER(TablaProductos[Nombre producto],TablaProductos[Agrupación]=ProductosPivot!SUL5)</f>
        <v>#VALUE!</v>
      </c>
      <c r="SUM6" s="68" t="e" cm="1" vm="1">
        <f t="array" ref="SUM6">_xlfn._xlws.FILTER(TablaProductos[Nombre producto],TablaProductos[Agrupación]=ProductosPivot!SUM5)</f>
        <v>#VALUE!</v>
      </c>
      <c r="SUN6" s="68" t="e" cm="1" vm="1">
        <f t="array" ref="SUN6">_xlfn._xlws.FILTER(TablaProductos[Nombre producto],TablaProductos[Agrupación]=ProductosPivot!SUN5)</f>
        <v>#VALUE!</v>
      </c>
      <c r="SUO6" s="68" t="e" cm="1" vm="1">
        <f t="array" ref="SUO6">_xlfn._xlws.FILTER(TablaProductos[Nombre producto],TablaProductos[Agrupación]=ProductosPivot!SUO5)</f>
        <v>#VALUE!</v>
      </c>
      <c r="SUP6" s="68" t="e" cm="1" vm="1">
        <f t="array" ref="SUP6">_xlfn._xlws.FILTER(TablaProductos[Nombre producto],TablaProductos[Agrupación]=ProductosPivot!SUP5)</f>
        <v>#VALUE!</v>
      </c>
      <c r="SUQ6" s="68" t="e" cm="1" vm="1">
        <f t="array" ref="SUQ6">_xlfn._xlws.FILTER(TablaProductos[Nombre producto],TablaProductos[Agrupación]=ProductosPivot!SUQ5)</f>
        <v>#VALUE!</v>
      </c>
      <c r="SUR6" s="68" t="e" cm="1" vm="1">
        <f t="array" ref="SUR6">_xlfn._xlws.FILTER(TablaProductos[Nombre producto],TablaProductos[Agrupación]=ProductosPivot!SUR5)</f>
        <v>#VALUE!</v>
      </c>
      <c r="SUS6" s="68" t="e" cm="1" vm="1">
        <f t="array" ref="SUS6">_xlfn._xlws.FILTER(TablaProductos[Nombre producto],TablaProductos[Agrupación]=ProductosPivot!SUS5)</f>
        <v>#VALUE!</v>
      </c>
      <c r="SUT6" s="68" t="e" cm="1" vm="1">
        <f t="array" ref="SUT6">_xlfn._xlws.FILTER(TablaProductos[Nombre producto],TablaProductos[Agrupación]=ProductosPivot!SUT5)</f>
        <v>#VALUE!</v>
      </c>
      <c r="SUU6" s="68" t="e" cm="1" vm="1">
        <f t="array" ref="SUU6">_xlfn._xlws.FILTER(TablaProductos[Nombre producto],TablaProductos[Agrupación]=ProductosPivot!SUU5)</f>
        <v>#VALUE!</v>
      </c>
      <c r="SUV6" s="68" t="e" cm="1" vm="1">
        <f t="array" ref="SUV6">_xlfn._xlws.FILTER(TablaProductos[Nombre producto],TablaProductos[Agrupación]=ProductosPivot!SUV5)</f>
        <v>#VALUE!</v>
      </c>
      <c r="SUW6" s="68" t="e" cm="1" vm="1">
        <f t="array" ref="SUW6">_xlfn._xlws.FILTER(TablaProductos[Nombre producto],TablaProductos[Agrupación]=ProductosPivot!SUW5)</f>
        <v>#VALUE!</v>
      </c>
      <c r="SUX6" s="68" t="e" cm="1" vm="1">
        <f t="array" ref="SUX6">_xlfn._xlws.FILTER(TablaProductos[Nombre producto],TablaProductos[Agrupación]=ProductosPivot!SUX5)</f>
        <v>#VALUE!</v>
      </c>
      <c r="SUY6" s="68" t="e" cm="1" vm="1">
        <f t="array" ref="SUY6">_xlfn._xlws.FILTER(TablaProductos[Nombre producto],TablaProductos[Agrupación]=ProductosPivot!SUY5)</f>
        <v>#VALUE!</v>
      </c>
      <c r="SUZ6" s="68" t="e" cm="1" vm="1">
        <f t="array" ref="SUZ6">_xlfn._xlws.FILTER(TablaProductos[Nombre producto],TablaProductos[Agrupación]=ProductosPivot!SUZ5)</f>
        <v>#VALUE!</v>
      </c>
      <c r="SVA6" s="68" t="e" cm="1" vm="1">
        <f t="array" ref="SVA6">_xlfn._xlws.FILTER(TablaProductos[Nombre producto],TablaProductos[Agrupación]=ProductosPivot!SVA5)</f>
        <v>#VALUE!</v>
      </c>
      <c r="SVB6" s="68" t="e" cm="1" vm="1">
        <f t="array" ref="SVB6">_xlfn._xlws.FILTER(TablaProductos[Nombre producto],TablaProductos[Agrupación]=ProductosPivot!SVB5)</f>
        <v>#VALUE!</v>
      </c>
      <c r="SVC6" s="68" t="e" cm="1" vm="1">
        <f t="array" ref="SVC6">_xlfn._xlws.FILTER(TablaProductos[Nombre producto],TablaProductos[Agrupación]=ProductosPivot!SVC5)</f>
        <v>#VALUE!</v>
      </c>
      <c r="SVD6" s="68" t="e" cm="1" vm="1">
        <f t="array" ref="SVD6">_xlfn._xlws.FILTER(TablaProductos[Nombre producto],TablaProductos[Agrupación]=ProductosPivot!SVD5)</f>
        <v>#VALUE!</v>
      </c>
      <c r="SVE6" s="68" t="e" cm="1" vm="1">
        <f t="array" ref="SVE6">_xlfn._xlws.FILTER(TablaProductos[Nombre producto],TablaProductos[Agrupación]=ProductosPivot!SVE5)</f>
        <v>#VALUE!</v>
      </c>
      <c r="SVF6" s="68" t="e" cm="1" vm="1">
        <f t="array" ref="SVF6">_xlfn._xlws.FILTER(TablaProductos[Nombre producto],TablaProductos[Agrupación]=ProductosPivot!SVF5)</f>
        <v>#VALUE!</v>
      </c>
      <c r="SVG6" s="68" t="e" cm="1" vm="1">
        <f t="array" ref="SVG6">_xlfn._xlws.FILTER(TablaProductos[Nombre producto],TablaProductos[Agrupación]=ProductosPivot!SVG5)</f>
        <v>#VALUE!</v>
      </c>
      <c r="SVH6" s="68" t="e" cm="1" vm="1">
        <f t="array" ref="SVH6">_xlfn._xlws.FILTER(TablaProductos[Nombre producto],TablaProductos[Agrupación]=ProductosPivot!SVH5)</f>
        <v>#VALUE!</v>
      </c>
      <c r="SVI6" s="68" t="e" cm="1" vm="1">
        <f t="array" ref="SVI6">_xlfn._xlws.FILTER(TablaProductos[Nombre producto],TablaProductos[Agrupación]=ProductosPivot!SVI5)</f>
        <v>#VALUE!</v>
      </c>
      <c r="SVJ6" s="68" t="e" cm="1" vm="1">
        <f t="array" ref="SVJ6">_xlfn._xlws.FILTER(TablaProductos[Nombre producto],TablaProductos[Agrupación]=ProductosPivot!SVJ5)</f>
        <v>#VALUE!</v>
      </c>
      <c r="SVK6" s="68" t="e" cm="1" vm="1">
        <f t="array" ref="SVK6">_xlfn._xlws.FILTER(TablaProductos[Nombre producto],TablaProductos[Agrupación]=ProductosPivot!SVK5)</f>
        <v>#VALUE!</v>
      </c>
      <c r="SVL6" s="68" t="e" cm="1" vm="1">
        <f t="array" ref="SVL6">_xlfn._xlws.FILTER(TablaProductos[Nombre producto],TablaProductos[Agrupación]=ProductosPivot!SVL5)</f>
        <v>#VALUE!</v>
      </c>
      <c r="SVM6" s="68" t="e" cm="1" vm="1">
        <f t="array" ref="SVM6">_xlfn._xlws.FILTER(TablaProductos[Nombre producto],TablaProductos[Agrupación]=ProductosPivot!SVM5)</f>
        <v>#VALUE!</v>
      </c>
      <c r="SVN6" s="68" t="e" cm="1" vm="1">
        <f t="array" ref="SVN6">_xlfn._xlws.FILTER(TablaProductos[Nombre producto],TablaProductos[Agrupación]=ProductosPivot!SVN5)</f>
        <v>#VALUE!</v>
      </c>
      <c r="SVO6" s="68" t="e" cm="1" vm="1">
        <f t="array" ref="SVO6">_xlfn._xlws.FILTER(TablaProductos[Nombre producto],TablaProductos[Agrupación]=ProductosPivot!SVO5)</f>
        <v>#VALUE!</v>
      </c>
      <c r="SVP6" s="68" t="e" cm="1" vm="1">
        <f t="array" ref="SVP6">_xlfn._xlws.FILTER(TablaProductos[Nombre producto],TablaProductos[Agrupación]=ProductosPivot!SVP5)</f>
        <v>#VALUE!</v>
      </c>
      <c r="SVQ6" s="68" t="e" cm="1" vm="1">
        <f t="array" ref="SVQ6">_xlfn._xlws.FILTER(TablaProductos[Nombre producto],TablaProductos[Agrupación]=ProductosPivot!SVQ5)</f>
        <v>#VALUE!</v>
      </c>
      <c r="SVR6" s="68" t="e" cm="1" vm="1">
        <f t="array" ref="SVR6">_xlfn._xlws.FILTER(TablaProductos[Nombre producto],TablaProductos[Agrupación]=ProductosPivot!SVR5)</f>
        <v>#VALUE!</v>
      </c>
      <c r="SVS6" s="68" t="e" cm="1" vm="1">
        <f t="array" ref="SVS6">_xlfn._xlws.FILTER(TablaProductos[Nombre producto],TablaProductos[Agrupación]=ProductosPivot!SVS5)</f>
        <v>#VALUE!</v>
      </c>
      <c r="SVT6" s="68" t="e" cm="1" vm="1">
        <f t="array" ref="SVT6">_xlfn._xlws.FILTER(TablaProductos[Nombre producto],TablaProductos[Agrupación]=ProductosPivot!SVT5)</f>
        <v>#VALUE!</v>
      </c>
      <c r="SVU6" s="68" t="e" cm="1" vm="1">
        <f t="array" ref="SVU6">_xlfn._xlws.FILTER(TablaProductos[Nombre producto],TablaProductos[Agrupación]=ProductosPivot!SVU5)</f>
        <v>#VALUE!</v>
      </c>
      <c r="SVV6" s="68" t="e" cm="1" vm="1">
        <f t="array" ref="SVV6">_xlfn._xlws.FILTER(TablaProductos[Nombre producto],TablaProductos[Agrupación]=ProductosPivot!SVV5)</f>
        <v>#VALUE!</v>
      </c>
      <c r="SVW6" s="68" t="e" cm="1" vm="1">
        <f t="array" ref="SVW6">_xlfn._xlws.FILTER(TablaProductos[Nombre producto],TablaProductos[Agrupación]=ProductosPivot!SVW5)</f>
        <v>#VALUE!</v>
      </c>
      <c r="SVX6" s="68" t="e" cm="1" vm="1">
        <f t="array" ref="SVX6">_xlfn._xlws.FILTER(TablaProductos[Nombre producto],TablaProductos[Agrupación]=ProductosPivot!SVX5)</f>
        <v>#VALUE!</v>
      </c>
      <c r="SVY6" s="68" t="e" cm="1" vm="1">
        <f t="array" ref="SVY6">_xlfn._xlws.FILTER(TablaProductos[Nombre producto],TablaProductos[Agrupación]=ProductosPivot!SVY5)</f>
        <v>#VALUE!</v>
      </c>
      <c r="SVZ6" s="68" t="e" cm="1" vm="1">
        <f t="array" ref="SVZ6">_xlfn._xlws.FILTER(TablaProductos[Nombre producto],TablaProductos[Agrupación]=ProductosPivot!SVZ5)</f>
        <v>#VALUE!</v>
      </c>
      <c r="SWA6" s="68" t="e" cm="1" vm="1">
        <f t="array" ref="SWA6">_xlfn._xlws.FILTER(TablaProductos[Nombre producto],TablaProductos[Agrupación]=ProductosPivot!SWA5)</f>
        <v>#VALUE!</v>
      </c>
      <c r="SWB6" s="68" t="e" cm="1" vm="1">
        <f t="array" ref="SWB6">_xlfn._xlws.FILTER(TablaProductos[Nombre producto],TablaProductos[Agrupación]=ProductosPivot!SWB5)</f>
        <v>#VALUE!</v>
      </c>
      <c r="SWC6" s="68" t="e" cm="1" vm="1">
        <f t="array" ref="SWC6">_xlfn._xlws.FILTER(TablaProductos[Nombre producto],TablaProductos[Agrupación]=ProductosPivot!SWC5)</f>
        <v>#VALUE!</v>
      </c>
      <c r="SWD6" s="68" t="e" cm="1" vm="1">
        <f t="array" ref="SWD6">_xlfn._xlws.FILTER(TablaProductos[Nombre producto],TablaProductos[Agrupación]=ProductosPivot!SWD5)</f>
        <v>#VALUE!</v>
      </c>
      <c r="SWE6" s="68" t="e" cm="1" vm="1">
        <f t="array" ref="SWE6">_xlfn._xlws.FILTER(TablaProductos[Nombre producto],TablaProductos[Agrupación]=ProductosPivot!SWE5)</f>
        <v>#VALUE!</v>
      </c>
      <c r="SWF6" s="68" t="e" cm="1" vm="1">
        <f t="array" ref="SWF6">_xlfn._xlws.FILTER(TablaProductos[Nombre producto],TablaProductos[Agrupación]=ProductosPivot!SWF5)</f>
        <v>#VALUE!</v>
      </c>
      <c r="SWG6" s="68" t="e" cm="1" vm="1">
        <f t="array" ref="SWG6">_xlfn._xlws.FILTER(TablaProductos[Nombre producto],TablaProductos[Agrupación]=ProductosPivot!SWG5)</f>
        <v>#VALUE!</v>
      </c>
      <c r="SWH6" s="68" t="e" cm="1" vm="1">
        <f t="array" ref="SWH6">_xlfn._xlws.FILTER(TablaProductos[Nombre producto],TablaProductos[Agrupación]=ProductosPivot!SWH5)</f>
        <v>#VALUE!</v>
      </c>
      <c r="SWI6" s="68" t="e" cm="1" vm="1">
        <f t="array" ref="SWI6">_xlfn._xlws.FILTER(TablaProductos[Nombre producto],TablaProductos[Agrupación]=ProductosPivot!SWI5)</f>
        <v>#VALUE!</v>
      </c>
      <c r="SWJ6" s="68" t="e" cm="1" vm="1">
        <f t="array" ref="SWJ6">_xlfn._xlws.FILTER(TablaProductos[Nombre producto],TablaProductos[Agrupación]=ProductosPivot!SWJ5)</f>
        <v>#VALUE!</v>
      </c>
      <c r="SWK6" s="68" t="e" cm="1" vm="1">
        <f t="array" ref="SWK6">_xlfn._xlws.FILTER(TablaProductos[Nombre producto],TablaProductos[Agrupación]=ProductosPivot!SWK5)</f>
        <v>#VALUE!</v>
      </c>
      <c r="SWL6" s="68" t="e" cm="1" vm="1">
        <f t="array" ref="SWL6">_xlfn._xlws.FILTER(TablaProductos[Nombre producto],TablaProductos[Agrupación]=ProductosPivot!SWL5)</f>
        <v>#VALUE!</v>
      </c>
      <c r="SWM6" s="68" t="e" cm="1" vm="1">
        <f t="array" ref="SWM6">_xlfn._xlws.FILTER(TablaProductos[Nombre producto],TablaProductos[Agrupación]=ProductosPivot!SWM5)</f>
        <v>#VALUE!</v>
      </c>
      <c r="SWN6" s="68" t="e" cm="1" vm="1">
        <f t="array" ref="SWN6">_xlfn._xlws.FILTER(TablaProductos[Nombre producto],TablaProductos[Agrupación]=ProductosPivot!SWN5)</f>
        <v>#VALUE!</v>
      </c>
      <c r="SWO6" s="68" t="e" cm="1" vm="1">
        <f t="array" ref="SWO6">_xlfn._xlws.FILTER(TablaProductos[Nombre producto],TablaProductos[Agrupación]=ProductosPivot!SWO5)</f>
        <v>#VALUE!</v>
      </c>
      <c r="SWP6" s="68" t="e" cm="1" vm="1">
        <f t="array" ref="SWP6">_xlfn._xlws.FILTER(TablaProductos[Nombre producto],TablaProductos[Agrupación]=ProductosPivot!SWP5)</f>
        <v>#VALUE!</v>
      </c>
      <c r="SWQ6" s="68" t="e" cm="1" vm="1">
        <f t="array" ref="SWQ6">_xlfn._xlws.FILTER(TablaProductos[Nombre producto],TablaProductos[Agrupación]=ProductosPivot!SWQ5)</f>
        <v>#VALUE!</v>
      </c>
      <c r="SWR6" s="68" t="e" cm="1" vm="1">
        <f t="array" ref="SWR6">_xlfn._xlws.FILTER(TablaProductos[Nombre producto],TablaProductos[Agrupación]=ProductosPivot!SWR5)</f>
        <v>#VALUE!</v>
      </c>
      <c r="SWS6" s="68" t="e" cm="1" vm="1">
        <f t="array" ref="SWS6">_xlfn._xlws.FILTER(TablaProductos[Nombre producto],TablaProductos[Agrupación]=ProductosPivot!SWS5)</f>
        <v>#VALUE!</v>
      </c>
      <c r="SWT6" s="68" t="e" cm="1" vm="1">
        <f t="array" ref="SWT6">_xlfn._xlws.FILTER(TablaProductos[Nombre producto],TablaProductos[Agrupación]=ProductosPivot!SWT5)</f>
        <v>#VALUE!</v>
      </c>
      <c r="SWU6" s="68" t="e" cm="1" vm="1">
        <f t="array" ref="SWU6">_xlfn._xlws.FILTER(TablaProductos[Nombre producto],TablaProductos[Agrupación]=ProductosPivot!SWU5)</f>
        <v>#VALUE!</v>
      </c>
      <c r="SWV6" s="68" t="e" cm="1" vm="1">
        <f t="array" ref="SWV6">_xlfn._xlws.FILTER(TablaProductos[Nombre producto],TablaProductos[Agrupación]=ProductosPivot!SWV5)</f>
        <v>#VALUE!</v>
      </c>
      <c r="SWW6" s="68" t="e" cm="1" vm="1">
        <f t="array" ref="SWW6">_xlfn._xlws.FILTER(TablaProductos[Nombre producto],TablaProductos[Agrupación]=ProductosPivot!SWW5)</f>
        <v>#VALUE!</v>
      </c>
      <c r="SWX6" s="68" t="e" cm="1" vm="1">
        <f t="array" ref="SWX6">_xlfn._xlws.FILTER(TablaProductos[Nombre producto],TablaProductos[Agrupación]=ProductosPivot!SWX5)</f>
        <v>#VALUE!</v>
      </c>
      <c r="SWY6" s="68" t="e" cm="1" vm="1">
        <f t="array" ref="SWY6">_xlfn._xlws.FILTER(TablaProductos[Nombre producto],TablaProductos[Agrupación]=ProductosPivot!SWY5)</f>
        <v>#VALUE!</v>
      </c>
      <c r="SWZ6" s="68" t="e" cm="1" vm="1">
        <f t="array" ref="SWZ6">_xlfn._xlws.FILTER(TablaProductos[Nombre producto],TablaProductos[Agrupación]=ProductosPivot!SWZ5)</f>
        <v>#VALUE!</v>
      </c>
      <c r="SXA6" s="68" t="e" cm="1" vm="1">
        <f t="array" ref="SXA6">_xlfn._xlws.FILTER(TablaProductos[Nombre producto],TablaProductos[Agrupación]=ProductosPivot!SXA5)</f>
        <v>#VALUE!</v>
      </c>
      <c r="SXB6" s="68" t="e" cm="1" vm="1">
        <f t="array" ref="SXB6">_xlfn._xlws.FILTER(TablaProductos[Nombre producto],TablaProductos[Agrupación]=ProductosPivot!SXB5)</f>
        <v>#VALUE!</v>
      </c>
      <c r="SXC6" s="68" t="e" cm="1" vm="1">
        <f t="array" ref="SXC6">_xlfn._xlws.FILTER(TablaProductos[Nombre producto],TablaProductos[Agrupación]=ProductosPivot!SXC5)</f>
        <v>#VALUE!</v>
      </c>
      <c r="SXD6" s="68" t="e" cm="1" vm="1">
        <f t="array" ref="SXD6">_xlfn._xlws.FILTER(TablaProductos[Nombre producto],TablaProductos[Agrupación]=ProductosPivot!SXD5)</f>
        <v>#VALUE!</v>
      </c>
      <c r="SXE6" s="68" t="e" cm="1" vm="1">
        <f t="array" ref="SXE6">_xlfn._xlws.FILTER(TablaProductos[Nombre producto],TablaProductos[Agrupación]=ProductosPivot!SXE5)</f>
        <v>#VALUE!</v>
      </c>
      <c r="SXF6" s="68" t="e" cm="1" vm="1">
        <f t="array" ref="SXF6">_xlfn._xlws.FILTER(TablaProductos[Nombre producto],TablaProductos[Agrupación]=ProductosPivot!SXF5)</f>
        <v>#VALUE!</v>
      </c>
      <c r="SXG6" s="68" t="e" cm="1" vm="1">
        <f t="array" ref="SXG6">_xlfn._xlws.FILTER(TablaProductos[Nombre producto],TablaProductos[Agrupación]=ProductosPivot!SXG5)</f>
        <v>#VALUE!</v>
      </c>
      <c r="SXH6" s="68" t="e" cm="1" vm="1">
        <f t="array" ref="SXH6">_xlfn._xlws.FILTER(TablaProductos[Nombre producto],TablaProductos[Agrupación]=ProductosPivot!SXH5)</f>
        <v>#VALUE!</v>
      </c>
      <c r="SXI6" s="68" t="e" cm="1" vm="1">
        <f t="array" ref="SXI6">_xlfn._xlws.FILTER(TablaProductos[Nombre producto],TablaProductos[Agrupación]=ProductosPivot!SXI5)</f>
        <v>#VALUE!</v>
      </c>
      <c r="SXJ6" s="68" t="e" cm="1" vm="1">
        <f t="array" ref="SXJ6">_xlfn._xlws.FILTER(TablaProductos[Nombre producto],TablaProductos[Agrupación]=ProductosPivot!SXJ5)</f>
        <v>#VALUE!</v>
      </c>
      <c r="SXK6" s="68" t="e" cm="1" vm="1">
        <f t="array" ref="SXK6">_xlfn._xlws.FILTER(TablaProductos[Nombre producto],TablaProductos[Agrupación]=ProductosPivot!SXK5)</f>
        <v>#VALUE!</v>
      </c>
      <c r="SXL6" s="68" t="e" cm="1" vm="1">
        <f t="array" ref="SXL6">_xlfn._xlws.FILTER(TablaProductos[Nombre producto],TablaProductos[Agrupación]=ProductosPivot!SXL5)</f>
        <v>#VALUE!</v>
      </c>
      <c r="SXM6" s="68" t="e" cm="1" vm="1">
        <f t="array" ref="SXM6">_xlfn._xlws.FILTER(TablaProductos[Nombre producto],TablaProductos[Agrupación]=ProductosPivot!SXM5)</f>
        <v>#VALUE!</v>
      </c>
      <c r="SXN6" s="68" t="e" cm="1" vm="1">
        <f t="array" ref="SXN6">_xlfn._xlws.FILTER(TablaProductos[Nombre producto],TablaProductos[Agrupación]=ProductosPivot!SXN5)</f>
        <v>#VALUE!</v>
      </c>
      <c r="SXO6" s="68" t="e" cm="1" vm="1">
        <f t="array" ref="SXO6">_xlfn._xlws.FILTER(TablaProductos[Nombre producto],TablaProductos[Agrupación]=ProductosPivot!SXO5)</f>
        <v>#VALUE!</v>
      </c>
      <c r="SXP6" s="68" t="e" cm="1" vm="1">
        <f t="array" ref="SXP6">_xlfn._xlws.FILTER(TablaProductos[Nombre producto],TablaProductos[Agrupación]=ProductosPivot!SXP5)</f>
        <v>#VALUE!</v>
      </c>
      <c r="SXQ6" s="68" t="e" cm="1" vm="1">
        <f t="array" ref="SXQ6">_xlfn._xlws.FILTER(TablaProductos[Nombre producto],TablaProductos[Agrupación]=ProductosPivot!SXQ5)</f>
        <v>#VALUE!</v>
      </c>
      <c r="SXR6" s="68" t="e" cm="1" vm="1">
        <f t="array" ref="SXR6">_xlfn._xlws.FILTER(TablaProductos[Nombre producto],TablaProductos[Agrupación]=ProductosPivot!SXR5)</f>
        <v>#VALUE!</v>
      </c>
      <c r="SXS6" s="68" t="e" cm="1" vm="1">
        <f t="array" ref="SXS6">_xlfn._xlws.FILTER(TablaProductos[Nombre producto],TablaProductos[Agrupación]=ProductosPivot!SXS5)</f>
        <v>#VALUE!</v>
      </c>
      <c r="SXT6" s="68" t="e" cm="1" vm="1">
        <f t="array" ref="SXT6">_xlfn._xlws.FILTER(TablaProductos[Nombre producto],TablaProductos[Agrupación]=ProductosPivot!SXT5)</f>
        <v>#VALUE!</v>
      </c>
      <c r="SXU6" s="68" t="e" cm="1" vm="1">
        <f t="array" ref="SXU6">_xlfn._xlws.FILTER(TablaProductos[Nombre producto],TablaProductos[Agrupación]=ProductosPivot!SXU5)</f>
        <v>#VALUE!</v>
      </c>
      <c r="SXV6" s="68" t="e" cm="1" vm="1">
        <f t="array" ref="SXV6">_xlfn._xlws.FILTER(TablaProductos[Nombre producto],TablaProductos[Agrupación]=ProductosPivot!SXV5)</f>
        <v>#VALUE!</v>
      </c>
      <c r="SXW6" s="68" t="e" cm="1" vm="1">
        <f t="array" ref="SXW6">_xlfn._xlws.FILTER(TablaProductos[Nombre producto],TablaProductos[Agrupación]=ProductosPivot!SXW5)</f>
        <v>#VALUE!</v>
      </c>
      <c r="SXX6" s="68" t="e" cm="1" vm="1">
        <f t="array" ref="SXX6">_xlfn._xlws.FILTER(TablaProductos[Nombre producto],TablaProductos[Agrupación]=ProductosPivot!SXX5)</f>
        <v>#VALUE!</v>
      </c>
      <c r="SXY6" s="68" t="e" cm="1" vm="1">
        <f t="array" ref="SXY6">_xlfn._xlws.FILTER(TablaProductos[Nombre producto],TablaProductos[Agrupación]=ProductosPivot!SXY5)</f>
        <v>#VALUE!</v>
      </c>
      <c r="SXZ6" s="68" t="e" cm="1" vm="1">
        <f t="array" ref="SXZ6">_xlfn._xlws.FILTER(TablaProductos[Nombre producto],TablaProductos[Agrupación]=ProductosPivot!SXZ5)</f>
        <v>#VALUE!</v>
      </c>
      <c r="SYA6" s="68" t="e" cm="1" vm="1">
        <f t="array" ref="SYA6">_xlfn._xlws.FILTER(TablaProductos[Nombre producto],TablaProductos[Agrupación]=ProductosPivot!SYA5)</f>
        <v>#VALUE!</v>
      </c>
      <c r="SYB6" s="68" t="e" cm="1" vm="1">
        <f t="array" ref="SYB6">_xlfn._xlws.FILTER(TablaProductos[Nombre producto],TablaProductos[Agrupación]=ProductosPivot!SYB5)</f>
        <v>#VALUE!</v>
      </c>
      <c r="SYC6" s="68" t="e" cm="1" vm="1">
        <f t="array" ref="SYC6">_xlfn._xlws.FILTER(TablaProductos[Nombre producto],TablaProductos[Agrupación]=ProductosPivot!SYC5)</f>
        <v>#VALUE!</v>
      </c>
      <c r="SYD6" s="68" t="e" cm="1" vm="1">
        <f t="array" ref="SYD6">_xlfn._xlws.FILTER(TablaProductos[Nombre producto],TablaProductos[Agrupación]=ProductosPivot!SYD5)</f>
        <v>#VALUE!</v>
      </c>
      <c r="SYE6" s="68" t="e" cm="1" vm="1">
        <f t="array" ref="SYE6">_xlfn._xlws.FILTER(TablaProductos[Nombre producto],TablaProductos[Agrupación]=ProductosPivot!SYE5)</f>
        <v>#VALUE!</v>
      </c>
      <c r="SYF6" s="68" t="e" cm="1" vm="1">
        <f t="array" ref="SYF6">_xlfn._xlws.FILTER(TablaProductos[Nombre producto],TablaProductos[Agrupación]=ProductosPivot!SYF5)</f>
        <v>#VALUE!</v>
      </c>
      <c r="SYG6" s="68" t="e" cm="1" vm="1">
        <f t="array" ref="SYG6">_xlfn._xlws.FILTER(TablaProductos[Nombre producto],TablaProductos[Agrupación]=ProductosPivot!SYG5)</f>
        <v>#VALUE!</v>
      </c>
      <c r="SYH6" s="68" t="e" cm="1" vm="1">
        <f t="array" ref="SYH6">_xlfn._xlws.FILTER(TablaProductos[Nombre producto],TablaProductos[Agrupación]=ProductosPivot!SYH5)</f>
        <v>#VALUE!</v>
      </c>
      <c r="SYI6" s="68" t="e" cm="1" vm="1">
        <f t="array" ref="SYI6">_xlfn._xlws.FILTER(TablaProductos[Nombre producto],TablaProductos[Agrupación]=ProductosPivot!SYI5)</f>
        <v>#VALUE!</v>
      </c>
      <c r="SYJ6" s="68" t="e" cm="1" vm="1">
        <f t="array" ref="SYJ6">_xlfn._xlws.FILTER(TablaProductos[Nombre producto],TablaProductos[Agrupación]=ProductosPivot!SYJ5)</f>
        <v>#VALUE!</v>
      </c>
      <c r="SYK6" s="68" t="e" cm="1" vm="1">
        <f t="array" ref="SYK6">_xlfn._xlws.FILTER(TablaProductos[Nombre producto],TablaProductos[Agrupación]=ProductosPivot!SYK5)</f>
        <v>#VALUE!</v>
      </c>
      <c r="SYL6" s="68" t="e" cm="1" vm="1">
        <f t="array" ref="SYL6">_xlfn._xlws.FILTER(TablaProductos[Nombre producto],TablaProductos[Agrupación]=ProductosPivot!SYL5)</f>
        <v>#VALUE!</v>
      </c>
      <c r="SYM6" s="68" t="e" cm="1" vm="1">
        <f t="array" ref="SYM6">_xlfn._xlws.FILTER(TablaProductos[Nombre producto],TablaProductos[Agrupación]=ProductosPivot!SYM5)</f>
        <v>#VALUE!</v>
      </c>
      <c r="SYN6" s="68" t="e" cm="1" vm="1">
        <f t="array" ref="SYN6">_xlfn._xlws.FILTER(TablaProductos[Nombre producto],TablaProductos[Agrupación]=ProductosPivot!SYN5)</f>
        <v>#VALUE!</v>
      </c>
      <c r="SYO6" s="68" t="e" cm="1" vm="1">
        <f t="array" ref="SYO6">_xlfn._xlws.FILTER(TablaProductos[Nombre producto],TablaProductos[Agrupación]=ProductosPivot!SYO5)</f>
        <v>#VALUE!</v>
      </c>
      <c r="SYP6" s="68" t="e" cm="1" vm="1">
        <f t="array" ref="SYP6">_xlfn._xlws.FILTER(TablaProductos[Nombre producto],TablaProductos[Agrupación]=ProductosPivot!SYP5)</f>
        <v>#VALUE!</v>
      </c>
      <c r="SYQ6" s="68" t="e" cm="1" vm="1">
        <f t="array" ref="SYQ6">_xlfn._xlws.FILTER(TablaProductos[Nombre producto],TablaProductos[Agrupación]=ProductosPivot!SYQ5)</f>
        <v>#VALUE!</v>
      </c>
      <c r="SYR6" s="68" t="e" cm="1" vm="1">
        <f t="array" ref="SYR6">_xlfn._xlws.FILTER(TablaProductos[Nombre producto],TablaProductos[Agrupación]=ProductosPivot!SYR5)</f>
        <v>#VALUE!</v>
      </c>
      <c r="SYS6" s="68" t="e" cm="1" vm="1">
        <f t="array" ref="SYS6">_xlfn._xlws.FILTER(TablaProductos[Nombre producto],TablaProductos[Agrupación]=ProductosPivot!SYS5)</f>
        <v>#VALUE!</v>
      </c>
      <c r="SYT6" s="68" t="e" cm="1" vm="1">
        <f t="array" ref="SYT6">_xlfn._xlws.FILTER(TablaProductos[Nombre producto],TablaProductos[Agrupación]=ProductosPivot!SYT5)</f>
        <v>#VALUE!</v>
      </c>
      <c r="SYU6" s="68" t="e" cm="1" vm="1">
        <f t="array" ref="SYU6">_xlfn._xlws.FILTER(TablaProductos[Nombre producto],TablaProductos[Agrupación]=ProductosPivot!SYU5)</f>
        <v>#VALUE!</v>
      </c>
      <c r="SYV6" s="68" t="e" cm="1" vm="1">
        <f t="array" ref="SYV6">_xlfn._xlws.FILTER(TablaProductos[Nombre producto],TablaProductos[Agrupación]=ProductosPivot!SYV5)</f>
        <v>#VALUE!</v>
      </c>
      <c r="SYW6" s="68" t="e" cm="1" vm="1">
        <f t="array" ref="SYW6">_xlfn._xlws.FILTER(TablaProductos[Nombre producto],TablaProductos[Agrupación]=ProductosPivot!SYW5)</f>
        <v>#VALUE!</v>
      </c>
      <c r="SYX6" s="68" t="e" cm="1" vm="1">
        <f t="array" ref="SYX6">_xlfn._xlws.FILTER(TablaProductos[Nombre producto],TablaProductos[Agrupación]=ProductosPivot!SYX5)</f>
        <v>#VALUE!</v>
      </c>
      <c r="SYY6" s="68" t="e" cm="1" vm="1">
        <f t="array" ref="SYY6">_xlfn._xlws.FILTER(TablaProductos[Nombre producto],TablaProductos[Agrupación]=ProductosPivot!SYY5)</f>
        <v>#VALUE!</v>
      </c>
      <c r="SYZ6" s="68" t="e" cm="1" vm="1">
        <f t="array" ref="SYZ6">_xlfn._xlws.FILTER(TablaProductos[Nombre producto],TablaProductos[Agrupación]=ProductosPivot!SYZ5)</f>
        <v>#VALUE!</v>
      </c>
      <c r="SZA6" s="68" t="e" cm="1" vm="1">
        <f t="array" ref="SZA6">_xlfn._xlws.FILTER(TablaProductos[Nombre producto],TablaProductos[Agrupación]=ProductosPivot!SZA5)</f>
        <v>#VALUE!</v>
      </c>
      <c r="SZB6" s="68" t="e" cm="1" vm="1">
        <f t="array" ref="SZB6">_xlfn._xlws.FILTER(TablaProductos[Nombre producto],TablaProductos[Agrupación]=ProductosPivot!SZB5)</f>
        <v>#VALUE!</v>
      </c>
      <c r="SZC6" s="68" t="e" cm="1" vm="1">
        <f t="array" ref="SZC6">_xlfn._xlws.FILTER(TablaProductos[Nombre producto],TablaProductos[Agrupación]=ProductosPivot!SZC5)</f>
        <v>#VALUE!</v>
      </c>
      <c r="SZD6" s="68" t="e" cm="1" vm="1">
        <f t="array" ref="SZD6">_xlfn._xlws.FILTER(TablaProductos[Nombre producto],TablaProductos[Agrupación]=ProductosPivot!SZD5)</f>
        <v>#VALUE!</v>
      </c>
      <c r="SZE6" s="68" t="e" cm="1" vm="1">
        <f t="array" ref="SZE6">_xlfn._xlws.FILTER(TablaProductos[Nombre producto],TablaProductos[Agrupación]=ProductosPivot!SZE5)</f>
        <v>#VALUE!</v>
      </c>
      <c r="SZF6" s="68" t="e" cm="1" vm="1">
        <f t="array" ref="SZF6">_xlfn._xlws.FILTER(TablaProductos[Nombre producto],TablaProductos[Agrupación]=ProductosPivot!SZF5)</f>
        <v>#VALUE!</v>
      </c>
      <c r="SZG6" s="68" t="e" cm="1" vm="1">
        <f t="array" ref="SZG6">_xlfn._xlws.FILTER(TablaProductos[Nombre producto],TablaProductos[Agrupación]=ProductosPivot!SZG5)</f>
        <v>#VALUE!</v>
      </c>
      <c r="SZH6" s="68" t="e" cm="1" vm="1">
        <f t="array" ref="SZH6">_xlfn._xlws.FILTER(TablaProductos[Nombre producto],TablaProductos[Agrupación]=ProductosPivot!SZH5)</f>
        <v>#VALUE!</v>
      </c>
      <c r="SZI6" s="68" t="e" cm="1" vm="1">
        <f t="array" ref="SZI6">_xlfn._xlws.FILTER(TablaProductos[Nombre producto],TablaProductos[Agrupación]=ProductosPivot!SZI5)</f>
        <v>#VALUE!</v>
      </c>
      <c r="SZJ6" s="68" t="e" cm="1" vm="1">
        <f t="array" ref="SZJ6">_xlfn._xlws.FILTER(TablaProductos[Nombre producto],TablaProductos[Agrupación]=ProductosPivot!SZJ5)</f>
        <v>#VALUE!</v>
      </c>
      <c r="SZK6" s="68" t="e" cm="1" vm="1">
        <f t="array" ref="SZK6">_xlfn._xlws.FILTER(TablaProductos[Nombre producto],TablaProductos[Agrupación]=ProductosPivot!SZK5)</f>
        <v>#VALUE!</v>
      </c>
      <c r="SZL6" s="68" t="e" cm="1" vm="1">
        <f t="array" ref="SZL6">_xlfn._xlws.FILTER(TablaProductos[Nombre producto],TablaProductos[Agrupación]=ProductosPivot!SZL5)</f>
        <v>#VALUE!</v>
      </c>
      <c r="SZM6" s="68" t="e" cm="1" vm="1">
        <f t="array" ref="SZM6">_xlfn._xlws.FILTER(TablaProductos[Nombre producto],TablaProductos[Agrupación]=ProductosPivot!SZM5)</f>
        <v>#VALUE!</v>
      </c>
      <c r="SZN6" s="68" t="e" cm="1" vm="1">
        <f t="array" ref="SZN6">_xlfn._xlws.FILTER(TablaProductos[Nombre producto],TablaProductos[Agrupación]=ProductosPivot!SZN5)</f>
        <v>#VALUE!</v>
      </c>
      <c r="SZO6" s="68" t="e" cm="1" vm="1">
        <f t="array" ref="SZO6">_xlfn._xlws.FILTER(TablaProductos[Nombre producto],TablaProductos[Agrupación]=ProductosPivot!SZO5)</f>
        <v>#VALUE!</v>
      </c>
      <c r="SZP6" s="68" t="e" cm="1" vm="1">
        <f t="array" ref="SZP6">_xlfn._xlws.FILTER(TablaProductos[Nombre producto],TablaProductos[Agrupación]=ProductosPivot!SZP5)</f>
        <v>#VALUE!</v>
      </c>
      <c r="SZQ6" s="68" t="e" cm="1" vm="1">
        <f t="array" ref="SZQ6">_xlfn._xlws.FILTER(TablaProductos[Nombre producto],TablaProductos[Agrupación]=ProductosPivot!SZQ5)</f>
        <v>#VALUE!</v>
      </c>
      <c r="SZR6" s="68" t="e" cm="1" vm="1">
        <f t="array" ref="SZR6">_xlfn._xlws.FILTER(TablaProductos[Nombre producto],TablaProductos[Agrupación]=ProductosPivot!SZR5)</f>
        <v>#VALUE!</v>
      </c>
      <c r="SZS6" s="68" t="e" cm="1" vm="1">
        <f t="array" ref="SZS6">_xlfn._xlws.FILTER(TablaProductos[Nombre producto],TablaProductos[Agrupación]=ProductosPivot!SZS5)</f>
        <v>#VALUE!</v>
      </c>
      <c r="SZT6" s="68" t="e" cm="1" vm="1">
        <f t="array" ref="SZT6">_xlfn._xlws.FILTER(TablaProductos[Nombre producto],TablaProductos[Agrupación]=ProductosPivot!SZT5)</f>
        <v>#VALUE!</v>
      </c>
      <c r="SZU6" s="68" t="e" cm="1" vm="1">
        <f t="array" ref="SZU6">_xlfn._xlws.FILTER(TablaProductos[Nombre producto],TablaProductos[Agrupación]=ProductosPivot!SZU5)</f>
        <v>#VALUE!</v>
      </c>
      <c r="SZV6" s="68" t="e" cm="1" vm="1">
        <f t="array" ref="SZV6">_xlfn._xlws.FILTER(TablaProductos[Nombre producto],TablaProductos[Agrupación]=ProductosPivot!SZV5)</f>
        <v>#VALUE!</v>
      </c>
      <c r="SZW6" s="68" t="e" cm="1" vm="1">
        <f t="array" ref="SZW6">_xlfn._xlws.FILTER(TablaProductos[Nombre producto],TablaProductos[Agrupación]=ProductosPivot!SZW5)</f>
        <v>#VALUE!</v>
      </c>
      <c r="SZX6" s="68" t="e" cm="1" vm="1">
        <f t="array" ref="SZX6">_xlfn._xlws.FILTER(TablaProductos[Nombre producto],TablaProductos[Agrupación]=ProductosPivot!SZX5)</f>
        <v>#VALUE!</v>
      </c>
      <c r="SZY6" s="68" t="e" cm="1" vm="1">
        <f t="array" ref="SZY6">_xlfn._xlws.FILTER(TablaProductos[Nombre producto],TablaProductos[Agrupación]=ProductosPivot!SZY5)</f>
        <v>#VALUE!</v>
      </c>
      <c r="SZZ6" s="68" t="e" cm="1" vm="1">
        <f t="array" ref="SZZ6">_xlfn._xlws.FILTER(TablaProductos[Nombre producto],TablaProductos[Agrupación]=ProductosPivot!SZZ5)</f>
        <v>#VALUE!</v>
      </c>
      <c r="TAA6" s="68" t="e" cm="1" vm="1">
        <f t="array" ref="TAA6">_xlfn._xlws.FILTER(TablaProductos[Nombre producto],TablaProductos[Agrupación]=ProductosPivot!TAA5)</f>
        <v>#VALUE!</v>
      </c>
      <c r="TAB6" s="68" t="e" cm="1" vm="1">
        <f t="array" ref="TAB6">_xlfn._xlws.FILTER(TablaProductos[Nombre producto],TablaProductos[Agrupación]=ProductosPivot!TAB5)</f>
        <v>#VALUE!</v>
      </c>
      <c r="TAC6" s="68" t="e" cm="1" vm="1">
        <f t="array" ref="TAC6">_xlfn._xlws.FILTER(TablaProductos[Nombre producto],TablaProductos[Agrupación]=ProductosPivot!TAC5)</f>
        <v>#VALUE!</v>
      </c>
      <c r="TAD6" s="68" t="e" cm="1" vm="1">
        <f t="array" ref="TAD6">_xlfn._xlws.FILTER(TablaProductos[Nombre producto],TablaProductos[Agrupación]=ProductosPivot!TAD5)</f>
        <v>#VALUE!</v>
      </c>
      <c r="TAE6" s="68" t="e" cm="1" vm="1">
        <f t="array" ref="TAE6">_xlfn._xlws.FILTER(TablaProductos[Nombre producto],TablaProductos[Agrupación]=ProductosPivot!TAE5)</f>
        <v>#VALUE!</v>
      </c>
      <c r="TAF6" s="68" t="e" cm="1" vm="1">
        <f t="array" ref="TAF6">_xlfn._xlws.FILTER(TablaProductos[Nombre producto],TablaProductos[Agrupación]=ProductosPivot!TAF5)</f>
        <v>#VALUE!</v>
      </c>
      <c r="TAG6" s="68" t="e" cm="1" vm="1">
        <f t="array" ref="TAG6">_xlfn._xlws.FILTER(TablaProductos[Nombre producto],TablaProductos[Agrupación]=ProductosPivot!TAG5)</f>
        <v>#VALUE!</v>
      </c>
      <c r="TAH6" s="68" t="e" cm="1" vm="1">
        <f t="array" ref="TAH6">_xlfn._xlws.FILTER(TablaProductos[Nombre producto],TablaProductos[Agrupación]=ProductosPivot!TAH5)</f>
        <v>#VALUE!</v>
      </c>
      <c r="TAI6" s="68" t="e" cm="1" vm="1">
        <f t="array" ref="TAI6">_xlfn._xlws.FILTER(TablaProductos[Nombre producto],TablaProductos[Agrupación]=ProductosPivot!TAI5)</f>
        <v>#VALUE!</v>
      </c>
      <c r="TAJ6" s="68" t="e" cm="1" vm="1">
        <f t="array" ref="TAJ6">_xlfn._xlws.FILTER(TablaProductos[Nombre producto],TablaProductos[Agrupación]=ProductosPivot!TAJ5)</f>
        <v>#VALUE!</v>
      </c>
      <c r="TAK6" s="68" t="e" cm="1" vm="1">
        <f t="array" ref="TAK6">_xlfn._xlws.FILTER(TablaProductos[Nombre producto],TablaProductos[Agrupación]=ProductosPivot!TAK5)</f>
        <v>#VALUE!</v>
      </c>
      <c r="TAL6" s="68" t="e" cm="1" vm="1">
        <f t="array" ref="TAL6">_xlfn._xlws.FILTER(TablaProductos[Nombre producto],TablaProductos[Agrupación]=ProductosPivot!TAL5)</f>
        <v>#VALUE!</v>
      </c>
      <c r="TAM6" s="68" t="e" cm="1" vm="1">
        <f t="array" ref="TAM6">_xlfn._xlws.FILTER(TablaProductos[Nombre producto],TablaProductos[Agrupación]=ProductosPivot!TAM5)</f>
        <v>#VALUE!</v>
      </c>
      <c r="TAN6" s="68" t="e" cm="1" vm="1">
        <f t="array" ref="TAN6">_xlfn._xlws.FILTER(TablaProductos[Nombre producto],TablaProductos[Agrupación]=ProductosPivot!TAN5)</f>
        <v>#VALUE!</v>
      </c>
      <c r="TAO6" s="68" t="e" cm="1" vm="1">
        <f t="array" ref="TAO6">_xlfn._xlws.FILTER(TablaProductos[Nombre producto],TablaProductos[Agrupación]=ProductosPivot!TAO5)</f>
        <v>#VALUE!</v>
      </c>
      <c r="TAP6" s="68" t="e" cm="1" vm="1">
        <f t="array" ref="TAP6">_xlfn._xlws.FILTER(TablaProductos[Nombre producto],TablaProductos[Agrupación]=ProductosPivot!TAP5)</f>
        <v>#VALUE!</v>
      </c>
      <c r="TAQ6" s="68" t="e" cm="1" vm="1">
        <f t="array" ref="TAQ6">_xlfn._xlws.FILTER(TablaProductos[Nombre producto],TablaProductos[Agrupación]=ProductosPivot!TAQ5)</f>
        <v>#VALUE!</v>
      </c>
      <c r="TAR6" s="68" t="e" cm="1" vm="1">
        <f t="array" ref="TAR6">_xlfn._xlws.FILTER(TablaProductos[Nombre producto],TablaProductos[Agrupación]=ProductosPivot!TAR5)</f>
        <v>#VALUE!</v>
      </c>
      <c r="TAS6" s="68" t="e" cm="1" vm="1">
        <f t="array" ref="TAS6">_xlfn._xlws.FILTER(TablaProductos[Nombre producto],TablaProductos[Agrupación]=ProductosPivot!TAS5)</f>
        <v>#VALUE!</v>
      </c>
      <c r="TAT6" s="68" t="e" cm="1" vm="1">
        <f t="array" ref="TAT6">_xlfn._xlws.FILTER(TablaProductos[Nombre producto],TablaProductos[Agrupación]=ProductosPivot!TAT5)</f>
        <v>#VALUE!</v>
      </c>
      <c r="TAU6" s="68" t="e" cm="1" vm="1">
        <f t="array" ref="TAU6">_xlfn._xlws.FILTER(TablaProductos[Nombre producto],TablaProductos[Agrupación]=ProductosPivot!TAU5)</f>
        <v>#VALUE!</v>
      </c>
      <c r="TAV6" s="68" t="e" cm="1" vm="1">
        <f t="array" ref="TAV6">_xlfn._xlws.FILTER(TablaProductos[Nombre producto],TablaProductos[Agrupación]=ProductosPivot!TAV5)</f>
        <v>#VALUE!</v>
      </c>
      <c r="TAW6" s="68" t="e" cm="1" vm="1">
        <f t="array" ref="TAW6">_xlfn._xlws.FILTER(TablaProductos[Nombre producto],TablaProductos[Agrupación]=ProductosPivot!TAW5)</f>
        <v>#VALUE!</v>
      </c>
      <c r="TAX6" s="68" t="e" cm="1" vm="1">
        <f t="array" ref="TAX6">_xlfn._xlws.FILTER(TablaProductos[Nombre producto],TablaProductos[Agrupación]=ProductosPivot!TAX5)</f>
        <v>#VALUE!</v>
      </c>
      <c r="TAY6" s="68" t="e" cm="1" vm="1">
        <f t="array" ref="TAY6">_xlfn._xlws.FILTER(TablaProductos[Nombre producto],TablaProductos[Agrupación]=ProductosPivot!TAY5)</f>
        <v>#VALUE!</v>
      </c>
      <c r="TAZ6" s="68" t="e" cm="1" vm="1">
        <f t="array" ref="TAZ6">_xlfn._xlws.FILTER(TablaProductos[Nombre producto],TablaProductos[Agrupación]=ProductosPivot!TAZ5)</f>
        <v>#VALUE!</v>
      </c>
      <c r="TBA6" s="68" t="e" cm="1" vm="1">
        <f t="array" ref="TBA6">_xlfn._xlws.FILTER(TablaProductos[Nombre producto],TablaProductos[Agrupación]=ProductosPivot!TBA5)</f>
        <v>#VALUE!</v>
      </c>
      <c r="TBB6" s="68" t="e" cm="1" vm="1">
        <f t="array" ref="TBB6">_xlfn._xlws.FILTER(TablaProductos[Nombre producto],TablaProductos[Agrupación]=ProductosPivot!TBB5)</f>
        <v>#VALUE!</v>
      </c>
      <c r="TBC6" s="68" t="e" cm="1" vm="1">
        <f t="array" ref="TBC6">_xlfn._xlws.FILTER(TablaProductos[Nombre producto],TablaProductos[Agrupación]=ProductosPivot!TBC5)</f>
        <v>#VALUE!</v>
      </c>
      <c r="TBD6" s="68" t="e" cm="1" vm="1">
        <f t="array" ref="TBD6">_xlfn._xlws.FILTER(TablaProductos[Nombre producto],TablaProductos[Agrupación]=ProductosPivot!TBD5)</f>
        <v>#VALUE!</v>
      </c>
      <c r="TBE6" s="68" t="e" cm="1" vm="1">
        <f t="array" ref="TBE6">_xlfn._xlws.FILTER(TablaProductos[Nombre producto],TablaProductos[Agrupación]=ProductosPivot!TBE5)</f>
        <v>#VALUE!</v>
      </c>
      <c r="TBF6" s="68" t="e" cm="1" vm="1">
        <f t="array" ref="TBF6">_xlfn._xlws.FILTER(TablaProductos[Nombre producto],TablaProductos[Agrupación]=ProductosPivot!TBF5)</f>
        <v>#VALUE!</v>
      </c>
      <c r="TBG6" s="68" t="e" cm="1" vm="1">
        <f t="array" ref="TBG6">_xlfn._xlws.FILTER(TablaProductos[Nombre producto],TablaProductos[Agrupación]=ProductosPivot!TBG5)</f>
        <v>#VALUE!</v>
      </c>
      <c r="TBH6" s="68" t="e" cm="1" vm="1">
        <f t="array" ref="TBH6">_xlfn._xlws.FILTER(TablaProductos[Nombre producto],TablaProductos[Agrupación]=ProductosPivot!TBH5)</f>
        <v>#VALUE!</v>
      </c>
      <c r="TBI6" s="68" t="e" cm="1" vm="1">
        <f t="array" ref="TBI6">_xlfn._xlws.FILTER(TablaProductos[Nombre producto],TablaProductos[Agrupación]=ProductosPivot!TBI5)</f>
        <v>#VALUE!</v>
      </c>
      <c r="TBJ6" s="68" t="e" cm="1" vm="1">
        <f t="array" ref="TBJ6">_xlfn._xlws.FILTER(TablaProductos[Nombre producto],TablaProductos[Agrupación]=ProductosPivot!TBJ5)</f>
        <v>#VALUE!</v>
      </c>
      <c r="TBK6" s="68" t="e" cm="1" vm="1">
        <f t="array" ref="TBK6">_xlfn._xlws.FILTER(TablaProductos[Nombre producto],TablaProductos[Agrupación]=ProductosPivot!TBK5)</f>
        <v>#VALUE!</v>
      </c>
      <c r="TBL6" s="68" t="e" cm="1" vm="1">
        <f t="array" ref="TBL6">_xlfn._xlws.FILTER(TablaProductos[Nombre producto],TablaProductos[Agrupación]=ProductosPivot!TBL5)</f>
        <v>#VALUE!</v>
      </c>
      <c r="TBM6" s="68" t="e" cm="1" vm="1">
        <f t="array" ref="TBM6">_xlfn._xlws.FILTER(TablaProductos[Nombre producto],TablaProductos[Agrupación]=ProductosPivot!TBM5)</f>
        <v>#VALUE!</v>
      </c>
      <c r="TBN6" s="68" t="e" cm="1" vm="1">
        <f t="array" ref="TBN6">_xlfn._xlws.FILTER(TablaProductos[Nombre producto],TablaProductos[Agrupación]=ProductosPivot!TBN5)</f>
        <v>#VALUE!</v>
      </c>
      <c r="TBO6" s="68" t="e" cm="1" vm="1">
        <f t="array" ref="TBO6">_xlfn._xlws.FILTER(TablaProductos[Nombre producto],TablaProductos[Agrupación]=ProductosPivot!TBO5)</f>
        <v>#VALUE!</v>
      </c>
      <c r="TBP6" s="68" t="e" cm="1" vm="1">
        <f t="array" ref="TBP6">_xlfn._xlws.FILTER(TablaProductos[Nombre producto],TablaProductos[Agrupación]=ProductosPivot!TBP5)</f>
        <v>#VALUE!</v>
      </c>
      <c r="TBQ6" s="68" t="e" cm="1" vm="1">
        <f t="array" ref="TBQ6">_xlfn._xlws.FILTER(TablaProductos[Nombre producto],TablaProductos[Agrupación]=ProductosPivot!TBQ5)</f>
        <v>#VALUE!</v>
      </c>
      <c r="TBR6" s="68" t="e" cm="1" vm="1">
        <f t="array" ref="TBR6">_xlfn._xlws.FILTER(TablaProductos[Nombre producto],TablaProductos[Agrupación]=ProductosPivot!TBR5)</f>
        <v>#VALUE!</v>
      </c>
      <c r="TBS6" s="68" t="e" cm="1" vm="1">
        <f t="array" ref="TBS6">_xlfn._xlws.FILTER(TablaProductos[Nombre producto],TablaProductos[Agrupación]=ProductosPivot!TBS5)</f>
        <v>#VALUE!</v>
      </c>
      <c r="TBT6" s="68" t="e" cm="1" vm="1">
        <f t="array" ref="TBT6">_xlfn._xlws.FILTER(TablaProductos[Nombre producto],TablaProductos[Agrupación]=ProductosPivot!TBT5)</f>
        <v>#VALUE!</v>
      </c>
      <c r="TBU6" s="68" t="e" cm="1" vm="1">
        <f t="array" ref="TBU6">_xlfn._xlws.FILTER(TablaProductos[Nombre producto],TablaProductos[Agrupación]=ProductosPivot!TBU5)</f>
        <v>#VALUE!</v>
      </c>
      <c r="TBV6" s="68" t="e" cm="1" vm="1">
        <f t="array" ref="TBV6">_xlfn._xlws.FILTER(TablaProductos[Nombre producto],TablaProductos[Agrupación]=ProductosPivot!TBV5)</f>
        <v>#VALUE!</v>
      </c>
      <c r="TBW6" s="68" t="e" cm="1" vm="1">
        <f t="array" ref="TBW6">_xlfn._xlws.FILTER(TablaProductos[Nombre producto],TablaProductos[Agrupación]=ProductosPivot!TBW5)</f>
        <v>#VALUE!</v>
      </c>
      <c r="TBX6" s="68" t="e" cm="1" vm="1">
        <f t="array" ref="TBX6">_xlfn._xlws.FILTER(TablaProductos[Nombre producto],TablaProductos[Agrupación]=ProductosPivot!TBX5)</f>
        <v>#VALUE!</v>
      </c>
      <c r="TBY6" s="68" t="e" cm="1" vm="1">
        <f t="array" ref="TBY6">_xlfn._xlws.FILTER(TablaProductos[Nombre producto],TablaProductos[Agrupación]=ProductosPivot!TBY5)</f>
        <v>#VALUE!</v>
      </c>
      <c r="TBZ6" s="68" t="e" cm="1" vm="1">
        <f t="array" ref="TBZ6">_xlfn._xlws.FILTER(TablaProductos[Nombre producto],TablaProductos[Agrupación]=ProductosPivot!TBZ5)</f>
        <v>#VALUE!</v>
      </c>
      <c r="TCA6" s="68" t="e" cm="1" vm="1">
        <f t="array" ref="TCA6">_xlfn._xlws.FILTER(TablaProductos[Nombre producto],TablaProductos[Agrupación]=ProductosPivot!TCA5)</f>
        <v>#VALUE!</v>
      </c>
      <c r="TCB6" s="68" t="e" cm="1" vm="1">
        <f t="array" ref="TCB6">_xlfn._xlws.FILTER(TablaProductos[Nombre producto],TablaProductos[Agrupación]=ProductosPivot!TCB5)</f>
        <v>#VALUE!</v>
      </c>
      <c r="TCC6" s="68" t="e" cm="1" vm="1">
        <f t="array" ref="TCC6">_xlfn._xlws.FILTER(TablaProductos[Nombre producto],TablaProductos[Agrupación]=ProductosPivot!TCC5)</f>
        <v>#VALUE!</v>
      </c>
      <c r="TCD6" s="68" t="e" cm="1" vm="1">
        <f t="array" ref="TCD6">_xlfn._xlws.FILTER(TablaProductos[Nombre producto],TablaProductos[Agrupación]=ProductosPivot!TCD5)</f>
        <v>#VALUE!</v>
      </c>
      <c r="TCE6" s="68" t="e" cm="1" vm="1">
        <f t="array" ref="TCE6">_xlfn._xlws.FILTER(TablaProductos[Nombre producto],TablaProductos[Agrupación]=ProductosPivot!TCE5)</f>
        <v>#VALUE!</v>
      </c>
      <c r="TCF6" s="68" t="e" cm="1" vm="1">
        <f t="array" ref="TCF6">_xlfn._xlws.FILTER(TablaProductos[Nombre producto],TablaProductos[Agrupación]=ProductosPivot!TCF5)</f>
        <v>#VALUE!</v>
      </c>
      <c r="TCG6" s="68" t="e" cm="1" vm="1">
        <f t="array" ref="TCG6">_xlfn._xlws.FILTER(TablaProductos[Nombre producto],TablaProductos[Agrupación]=ProductosPivot!TCG5)</f>
        <v>#VALUE!</v>
      </c>
      <c r="TCH6" s="68" t="e" cm="1" vm="1">
        <f t="array" ref="TCH6">_xlfn._xlws.FILTER(TablaProductos[Nombre producto],TablaProductos[Agrupación]=ProductosPivot!TCH5)</f>
        <v>#VALUE!</v>
      </c>
      <c r="TCI6" s="68" t="e" cm="1" vm="1">
        <f t="array" ref="TCI6">_xlfn._xlws.FILTER(TablaProductos[Nombre producto],TablaProductos[Agrupación]=ProductosPivot!TCI5)</f>
        <v>#VALUE!</v>
      </c>
      <c r="TCJ6" s="68" t="e" cm="1" vm="1">
        <f t="array" ref="TCJ6">_xlfn._xlws.FILTER(TablaProductos[Nombre producto],TablaProductos[Agrupación]=ProductosPivot!TCJ5)</f>
        <v>#VALUE!</v>
      </c>
      <c r="TCK6" s="68" t="e" cm="1" vm="1">
        <f t="array" ref="TCK6">_xlfn._xlws.FILTER(TablaProductos[Nombre producto],TablaProductos[Agrupación]=ProductosPivot!TCK5)</f>
        <v>#VALUE!</v>
      </c>
      <c r="TCL6" s="68" t="e" cm="1" vm="1">
        <f t="array" ref="TCL6">_xlfn._xlws.FILTER(TablaProductos[Nombre producto],TablaProductos[Agrupación]=ProductosPivot!TCL5)</f>
        <v>#VALUE!</v>
      </c>
      <c r="TCM6" s="68" t="e" cm="1" vm="1">
        <f t="array" ref="TCM6">_xlfn._xlws.FILTER(TablaProductos[Nombre producto],TablaProductos[Agrupación]=ProductosPivot!TCM5)</f>
        <v>#VALUE!</v>
      </c>
      <c r="TCN6" s="68" t="e" cm="1" vm="1">
        <f t="array" ref="TCN6">_xlfn._xlws.FILTER(TablaProductos[Nombre producto],TablaProductos[Agrupación]=ProductosPivot!TCN5)</f>
        <v>#VALUE!</v>
      </c>
      <c r="TCO6" s="68" t="e" cm="1" vm="1">
        <f t="array" ref="TCO6">_xlfn._xlws.FILTER(TablaProductos[Nombre producto],TablaProductos[Agrupación]=ProductosPivot!TCO5)</f>
        <v>#VALUE!</v>
      </c>
      <c r="TCP6" s="68" t="e" cm="1" vm="1">
        <f t="array" ref="TCP6">_xlfn._xlws.FILTER(TablaProductos[Nombre producto],TablaProductos[Agrupación]=ProductosPivot!TCP5)</f>
        <v>#VALUE!</v>
      </c>
      <c r="TCQ6" s="68" t="e" cm="1" vm="1">
        <f t="array" ref="TCQ6">_xlfn._xlws.FILTER(TablaProductos[Nombre producto],TablaProductos[Agrupación]=ProductosPivot!TCQ5)</f>
        <v>#VALUE!</v>
      </c>
      <c r="TCR6" s="68" t="e" cm="1" vm="1">
        <f t="array" ref="TCR6">_xlfn._xlws.FILTER(TablaProductos[Nombre producto],TablaProductos[Agrupación]=ProductosPivot!TCR5)</f>
        <v>#VALUE!</v>
      </c>
      <c r="TCS6" s="68" t="e" cm="1" vm="1">
        <f t="array" ref="TCS6">_xlfn._xlws.FILTER(TablaProductos[Nombre producto],TablaProductos[Agrupación]=ProductosPivot!TCS5)</f>
        <v>#VALUE!</v>
      </c>
      <c r="TCT6" s="68" t="e" cm="1" vm="1">
        <f t="array" ref="TCT6">_xlfn._xlws.FILTER(TablaProductos[Nombre producto],TablaProductos[Agrupación]=ProductosPivot!TCT5)</f>
        <v>#VALUE!</v>
      </c>
      <c r="TCU6" s="68" t="e" cm="1" vm="1">
        <f t="array" ref="TCU6">_xlfn._xlws.FILTER(TablaProductos[Nombre producto],TablaProductos[Agrupación]=ProductosPivot!TCU5)</f>
        <v>#VALUE!</v>
      </c>
      <c r="TCV6" s="68" t="e" cm="1" vm="1">
        <f t="array" ref="TCV6">_xlfn._xlws.FILTER(TablaProductos[Nombre producto],TablaProductos[Agrupación]=ProductosPivot!TCV5)</f>
        <v>#VALUE!</v>
      </c>
      <c r="TCW6" s="68" t="e" cm="1" vm="1">
        <f t="array" ref="TCW6">_xlfn._xlws.FILTER(TablaProductos[Nombre producto],TablaProductos[Agrupación]=ProductosPivot!TCW5)</f>
        <v>#VALUE!</v>
      </c>
      <c r="TCX6" s="68" t="e" cm="1" vm="1">
        <f t="array" ref="TCX6">_xlfn._xlws.FILTER(TablaProductos[Nombre producto],TablaProductos[Agrupación]=ProductosPivot!TCX5)</f>
        <v>#VALUE!</v>
      </c>
      <c r="TCY6" s="68" t="e" cm="1" vm="1">
        <f t="array" ref="TCY6">_xlfn._xlws.FILTER(TablaProductos[Nombre producto],TablaProductos[Agrupación]=ProductosPivot!TCY5)</f>
        <v>#VALUE!</v>
      </c>
      <c r="TCZ6" s="68" t="e" cm="1" vm="1">
        <f t="array" ref="TCZ6">_xlfn._xlws.FILTER(TablaProductos[Nombre producto],TablaProductos[Agrupación]=ProductosPivot!TCZ5)</f>
        <v>#VALUE!</v>
      </c>
      <c r="TDA6" s="68" t="e" cm="1" vm="1">
        <f t="array" ref="TDA6">_xlfn._xlws.FILTER(TablaProductos[Nombre producto],TablaProductos[Agrupación]=ProductosPivot!TDA5)</f>
        <v>#VALUE!</v>
      </c>
      <c r="TDB6" s="68" t="e" cm="1" vm="1">
        <f t="array" ref="TDB6">_xlfn._xlws.FILTER(TablaProductos[Nombre producto],TablaProductos[Agrupación]=ProductosPivot!TDB5)</f>
        <v>#VALUE!</v>
      </c>
      <c r="TDC6" s="68" t="e" cm="1" vm="1">
        <f t="array" ref="TDC6">_xlfn._xlws.FILTER(TablaProductos[Nombre producto],TablaProductos[Agrupación]=ProductosPivot!TDC5)</f>
        <v>#VALUE!</v>
      </c>
      <c r="TDD6" s="68" t="e" cm="1" vm="1">
        <f t="array" ref="TDD6">_xlfn._xlws.FILTER(TablaProductos[Nombre producto],TablaProductos[Agrupación]=ProductosPivot!TDD5)</f>
        <v>#VALUE!</v>
      </c>
      <c r="TDE6" s="68" t="e" cm="1" vm="1">
        <f t="array" ref="TDE6">_xlfn._xlws.FILTER(TablaProductos[Nombre producto],TablaProductos[Agrupación]=ProductosPivot!TDE5)</f>
        <v>#VALUE!</v>
      </c>
      <c r="TDF6" s="68" t="e" cm="1" vm="1">
        <f t="array" ref="TDF6">_xlfn._xlws.FILTER(TablaProductos[Nombre producto],TablaProductos[Agrupación]=ProductosPivot!TDF5)</f>
        <v>#VALUE!</v>
      </c>
      <c r="TDG6" s="68" t="e" cm="1" vm="1">
        <f t="array" ref="TDG6">_xlfn._xlws.FILTER(TablaProductos[Nombre producto],TablaProductos[Agrupación]=ProductosPivot!TDG5)</f>
        <v>#VALUE!</v>
      </c>
      <c r="TDH6" s="68" t="e" cm="1" vm="1">
        <f t="array" ref="TDH6">_xlfn._xlws.FILTER(TablaProductos[Nombre producto],TablaProductos[Agrupación]=ProductosPivot!TDH5)</f>
        <v>#VALUE!</v>
      </c>
      <c r="TDI6" s="68" t="e" cm="1" vm="1">
        <f t="array" ref="TDI6">_xlfn._xlws.FILTER(TablaProductos[Nombre producto],TablaProductos[Agrupación]=ProductosPivot!TDI5)</f>
        <v>#VALUE!</v>
      </c>
      <c r="TDJ6" s="68" t="e" cm="1" vm="1">
        <f t="array" ref="TDJ6">_xlfn._xlws.FILTER(TablaProductos[Nombre producto],TablaProductos[Agrupación]=ProductosPivot!TDJ5)</f>
        <v>#VALUE!</v>
      </c>
      <c r="TDK6" s="68" t="e" cm="1" vm="1">
        <f t="array" ref="TDK6">_xlfn._xlws.FILTER(TablaProductos[Nombre producto],TablaProductos[Agrupación]=ProductosPivot!TDK5)</f>
        <v>#VALUE!</v>
      </c>
      <c r="TDL6" s="68" t="e" cm="1" vm="1">
        <f t="array" ref="TDL6">_xlfn._xlws.FILTER(TablaProductos[Nombre producto],TablaProductos[Agrupación]=ProductosPivot!TDL5)</f>
        <v>#VALUE!</v>
      </c>
      <c r="TDM6" s="68" t="e" cm="1" vm="1">
        <f t="array" ref="TDM6">_xlfn._xlws.FILTER(TablaProductos[Nombre producto],TablaProductos[Agrupación]=ProductosPivot!TDM5)</f>
        <v>#VALUE!</v>
      </c>
      <c r="TDN6" s="68" t="e" cm="1" vm="1">
        <f t="array" ref="TDN6">_xlfn._xlws.FILTER(TablaProductos[Nombre producto],TablaProductos[Agrupación]=ProductosPivot!TDN5)</f>
        <v>#VALUE!</v>
      </c>
      <c r="TDO6" s="68" t="e" cm="1" vm="1">
        <f t="array" ref="TDO6">_xlfn._xlws.FILTER(TablaProductos[Nombre producto],TablaProductos[Agrupación]=ProductosPivot!TDO5)</f>
        <v>#VALUE!</v>
      </c>
      <c r="TDP6" s="68" t="e" cm="1" vm="1">
        <f t="array" ref="TDP6">_xlfn._xlws.FILTER(TablaProductos[Nombre producto],TablaProductos[Agrupación]=ProductosPivot!TDP5)</f>
        <v>#VALUE!</v>
      </c>
      <c r="TDQ6" s="68" t="e" cm="1" vm="1">
        <f t="array" ref="TDQ6">_xlfn._xlws.FILTER(TablaProductos[Nombre producto],TablaProductos[Agrupación]=ProductosPivot!TDQ5)</f>
        <v>#VALUE!</v>
      </c>
      <c r="TDR6" s="68" t="e" cm="1" vm="1">
        <f t="array" ref="TDR6">_xlfn._xlws.FILTER(TablaProductos[Nombre producto],TablaProductos[Agrupación]=ProductosPivot!TDR5)</f>
        <v>#VALUE!</v>
      </c>
      <c r="TDS6" s="68" t="e" cm="1" vm="1">
        <f t="array" ref="TDS6">_xlfn._xlws.FILTER(TablaProductos[Nombre producto],TablaProductos[Agrupación]=ProductosPivot!TDS5)</f>
        <v>#VALUE!</v>
      </c>
      <c r="TDT6" s="68" t="e" cm="1" vm="1">
        <f t="array" ref="TDT6">_xlfn._xlws.FILTER(TablaProductos[Nombre producto],TablaProductos[Agrupación]=ProductosPivot!TDT5)</f>
        <v>#VALUE!</v>
      </c>
      <c r="TDU6" s="68" t="e" cm="1" vm="1">
        <f t="array" ref="TDU6">_xlfn._xlws.FILTER(TablaProductos[Nombre producto],TablaProductos[Agrupación]=ProductosPivot!TDU5)</f>
        <v>#VALUE!</v>
      </c>
      <c r="TDV6" s="68" t="e" cm="1" vm="1">
        <f t="array" ref="TDV6">_xlfn._xlws.FILTER(TablaProductos[Nombre producto],TablaProductos[Agrupación]=ProductosPivot!TDV5)</f>
        <v>#VALUE!</v>
      </c>
      <c r="TDW6" s="68" t="e" cm="1" vm="1">
        <f t="array" ref="TDW6">_xlfn._xlws.FILTER(TablaProductos[Nombre producto],TablaProductos[Agrupación]=ProductosPivot!TDW5)</f>
        <v>#VALUE!</v>
      </c>
      <c r="TDX6" s="68" t="e" cm="1" vm="1">
        <f t="array" ref="TDX6">_xlfn._xlws.FILTER(TablaProductos[Nombre producto],TablaProductos[Agrupación]=ProductosPivot!TDX5)</f>
        <v>#VALUE!</v>
      </c>
      <c r="TDY6" s="68" t="e" cm="1" vm="1">
        <f t="array" ref="TDY6">_xlfn._xlws.FILTER(TablaProductos[Nombre producto],TablaProductos[Agrupación]=ProductosPivot!TDY5)</f>
        <v>#VALUE!</v>
      </c>
      <c r="TDZ6" s="68" t="e" cm="1" vm="1">
        <f t="array" ref="TDZ6">_xlfn._xlws.FILTER(TablaProductos[Nombre producto],TablaProductos[Agrupación]=ProductosPivot!TDZ5)</f>
        <v>#VALUE!</v>
      </c>
      <c r="TEA6" s="68" t="e" cm="1" vm="1">
        <f t="array" ref="TEA6">_xlfn._xlws.FILTER(TablaProductos[Nombre producto],TablaProductos[Agrupación]=ProductosPivot!TEA5)</f>
        <v>#VALUE!</v>
      </c>
      <c r="TEB6" s="68" t="e" cm="1" vm="1">
        <f t="array" ref="TEB6">_xlfn._xlws.FILTER(TablaProductos[Nombre producto],TablaProductos[Agrupación]=ProductosPivot!TEB5)</f>
        <v>#VALUE!</v>
      </c>
      <c r="TEC6" s="68" t="e" cm="1" vm="1">
        <f t="array" ref="TEC6">_xlfn._xlws.FILTER(TablaProductos[Nombre producto],TablaProductos[Agrupación]=ProductosPivot!TEC5)</f>
        <v>#VALUE!</v>
      </c>
      <c r="TED6" s="68" t="e" cm="1" vm="1">
        <f t="array" ref="TED6">_xlfn._xlws.FILTER(TablaProductos[Nombre producto],TablaProductos[Agrupación]=ProductosPivot!TED5)</f>
        <v>#VALUE!</v>
      </c>
      <c r="TEE6" s="68" t="e" cm="1" vm="1">
        <f t="array" ref="TEE6">_xlfn._xlws.FILTER(TablaProductos[Nombre producto],TablaProductos[Agrupación]=ProductosPivot!TEE5)</f>
        <v>#VALUE!</v>
      </c>
      <c r="TEF6" s="68" t="e" cm="1" vm="1">
        <f t="array" ref="TEF6">_xlfn._xlws.FILTER(TablaProductos[Nombre producto],TablaProductos[Agrupación]=ProductosPivot!TEF5)</f>
        <v>#VALUE!</v>
      </c>
      <c r="TEG6" s="68" t="e" cm="1" vm="1">
        <f t="array" ref="TEG6">_xlfn._xlws.FILTER(TablaProductos[Nombre producto],TablaProductos[Agrupación]=ProductosPivot!TEG5)</f>
        <v>#VALUE!</v>
      </c>
      <c r="TEH6" s="68" t="e" cm="1" vm="1">
        <f t="array" ref="TEH6">_xlfn._xlws.FILTER(TablaProductos[Nombre producto],TablaProductos[Agrupación]=ProductosPivot!TEH5)</f>
        <v>#VALUE!</v>
      </c>
      <c r="TEI6" s="68" t="e" cm="1" vm="1">
        <f t="array" ref="TEI6">_xlfn._xlws.FILTER(TablaProductos[Nombre producto],TablaProductos[Agrupación]=ProductosPivot!TEI5)</f>
        <v>#VALUE!</v>
      </c>
      <c r="TEJ6" s="68" t="e" cm="1" vm="1">
        <f t="array" ref="TEJ6">_xlfn._xlws.FILTER(TablaProductos[Nombre producto],TablaProductos[Agrupación]=ProductosPivot!TEJ5)</f>
        <v>#VALUE!</v>
      </c>
      <c r="TEK6" s="68" t="e" cm="1" vm="1">
        <f t="array" ref="TEK6">_xlfn._xlws.FILTER(TablaProductos[Nombre producto],TablaProductos[Agrupación]=ProductosPivot!TEK5)</f>
        <v>#VALUE!</v>
      </c>
      <c r="TEL6" s="68" t="e" cm="1" vm="1">
        <f t="array" ref="TEL6">_xlfn._xlws.FILTER(TablaProductos[Nombre producto],TablaProductos[Agrupación]=ProductosPivot!TEL5)</f>
        <v>#VALUE!</v>
      </c>
      <c r="TEM6" s="68" t="e" cm="1" vm="1">
        <f t="array" ref="TEM6">_xlfn._xlws.FILTER(TablaProductos[Nombre producto],TablaProductos[Agrupación]=ProductosPivot!TEM5)</f>
        <v>#VALUE!</v>
      </c>
      <c r="TEN6" s="68" t="e" cm="1" vm="1">
        <f t="array" ref="TEN6">_xlfn._xlws.FILTER(TablaProductos[Nombre producto],TablaProductos[Agrupación]=ProductosPivot!TEN5)</f>
        <v>#VALUE!</v>
      </c>
      <c r="TEO6" s="68" t="e" cm="1" vm="1">
        <f t="array" ref="TEO6">_xlfn._xlws.FILTER(TablaProductos[Nombre producto],TablaProductos[Agrupación]=ProductosPivot!TEO5)</f>
        <v>#VALUE!</v>
      </c>
      <c r="TEP6" s="68" t="e" cm="1" vm="1">
        <f t="array" ref="TEP6">_xlfn._xlws.FILTER(TablaProductos[Nombre producto],TablaProductos[Agrupación]=ProductosPivot!TEP5)</f>
        <v>#VALUE!</v>
      </c>
      <c r="TEQ6" s="68" t="e" cm="1" vm="1">
        <f t="array" ref="TEQ6">_xlfn._xlws.FILTER(TablaProductos[Nombre producto],TablaProductos[Agrupación]=ProductosPivot!TEQ5)</f>
        <v>#VALUE!</v>
      </c>
      <c r="TER6" s="68" t="e" cm="1" vm="1">
        <f t="array" ref="TER6">_xlfn._xlws.FILTER(TablaProductos[Nombre producto],TablaProductos[Agrupación]=ProductosPivot!TER5)</f>
        <v>#VALUE!</v>
      </c>
      <c r="TES6" s="68" t="e" cm="1" vm="1">
        <f t="array" ref="TES6">_xlfn._xlws.FILTER(TablaProductos[Nombre producto],TablaProductos[Agrupación]=ProductosPivot!TES5)</f>
        <v>#VALUE!</v>
      </c>
      <c r="TET6" s="68" t="e" cm="1" vm="1">
        <f t="array" ref="TET6">_xlfn._xlws.FILTER(TablaProductos[Nombre producto],TablaProductos[Agrupación]=ProductosPivot!TET5)</f>
        <v>#VALUE!</v>
      </c>
      <c r="TEU6" s="68" t="e" cm="1" vm="1">
        <f t="array" ref="TEU6">_xlfn._xlws.FILTER(TablaProductos[Nombre producto],TablaProductos[Agrupación]=ProductosPivot!TEU5)</f>
        <v>#VALUE!</v>
      </c>
      <c r="TEV6" s="68" t="e" cm="1" vm="1">
        <f t="array" ref="TEV6">_xlfn._xlws.FILTER(TablaProductos[Nombre producto],TablaProductos[Agrupación]=ProductosPivot!TEV5)</f>
        <v>#VALUE!</v>
      </c>
      <c r="TEW6" s="68" t="e" cm="1" vm="1">
        <f t="array" ref="TEW6">_xlfn._xlws.FILTER(TablaProductos[Nombre producto],TablaProductos[Agrupación]=ProductosPivot!TEW5)</f>
        <v>#VALUE!</v>
      </c>
      <c r="TEX6" s="68" t="e" cm="1" vm="1">
        <f t="array" ref="TEX6">_xlfn._xlws.FILTER(TablaProductos[Nombre producto],TablaProductos[Agrupación]=ProductosPivot!TEX5)</f>
        <v>#VALUE!</v>
      </c>
      <c r="TEY6" s="68" t="e" cm="1" vm="1">
        <f t="array" ref="TEY6">_xlfn._xlws.FILTER(TablaProductos[Nombre producto],TablaProductos[Agrupación]=ProductosPivot!TEY5)</f>
        <v>#VALUE!</v>
      </c>
      <c r="TEZ6" s="68" t="e" cm="1" vm="1">
        <f t="array" ref="TEZ6">_xlfn._xlws.FILTER(TablaProductos[Nombre producto],TablaProductos[Agrupación]=ProductosPivot!TEZ5)</f>
        <v>#VALUE!</v>
      </c>
      <c r="TFA6" s="68" t="e" cm="1" vm="1">
        <f t="array" ref="TFA6">_xlfn._xlws.FILTER(TablaProductos[Nombre producto],TablaProductos[Agrupación]=ProductosPivot!TFA5)</f>
        <v>#VALUE!</v>
      </c>
      <c r="TFB6" s="68" t="e" cm="1" vm="1">
        <f t="array" ref="TFB6">_xlfn._xlws.FILTER(TablaProductos[Nombre producto],TablaProductos[Agrupación]=ProductosPivot!TFB5)</f>
        <v>#VALUE!</v>
      </c>
      <c r="TFC6" s="68" t="e" cm="1" vm="1">
        <f t="array" ref="TFC6">_xlfn._xlws.FILTER(TablaProductos[Nombre producto],TablaProductos[Agrupación]=ProductosPivot!TFC5)</f>
        <v>#VALUE!</v>
      </c>
      <c r="TFD6" s="68" t="e" cm="1" vm="1">
        <f t="array" ref="TFD6">_xlfn._xlws.FILTER(TablaProductos[Nombre producto],TablaProductos[Agrupación]=ProductosPivot!TFD5)</f>
        <v>#VALUE!</v>
      </c>
      <c r="TFE6" s="68" t="e" cm="1" vm="1">
        <f t="array" ref="TFE6">_xlfn._xlws.FILTER(TablaProductos[Nombre producto],TablaProductos[Agrupación]=ProductosPivot!TFE5)</f>
        <v>#VALUE!</v>
      </c>
      <c r="TFF6" s="68" t="e" cm="1" vm="1">
        <f t="array" ref="TFF6">_xlfn._xlws.FILTER(TablaProductos[Nombre producto],TablaProductos[Agrupación]=ProductosPivot!TFF5)</f>
        <v>#VALUE!</v>
      </c>
      <c r="TFG6" s="68" t="e" cm="1" vm="1">
        <f t="array" ref="TFG6">_xlfn._xlws.FILTER(TablaProductos[Nombre producto],TablaProductos[Agrupación]=ProductosPivot!TFG5)</f>
        <v>#VALUE!</v>
      </c>
      <c r="TFH6" s="68" t="e" cm="1" vm="1">
        <f t="array" ref="TFH6">_xlfn._xlws.FILTER(TablaProductos[Nombre producto],TablaProductos[Agrupación]=ProductosPivot!TFH5)</f>
        <v>#VALUE!</v>
      </c>
      <c r="TFI6" s="68" t="e" cm="1" vm="1">
        <f t="array" ref="TFI6">_xlfn._xlws.FILTER(TablaProductos[Nombre producto],TablaProductos[Agrupación]=ProductosPivot!TFI5)</f>
        <v>#VALUE!</v>
      </c>
      <c r="TFJ6" s="68" t="e" cm="1" vm="1">
        <f t="array" ref="TFJ6">_xlfn._xlws.FILTER(TablaProductos[Nombre producto],TablaProductos[Agrupación]=ProductosPivot!TFJ5)</f>
        <v>#VALUE!</v>
      </c>
      <c r="TFK6" s="68" t="e" cm="1" vm="1">
        <f t="array" ref="TFK6">_xlfn._xlws.FILTER(TablaProductos[Nombre producto],TablaProductos[Agrupación]=ProductosPivot!TFK5)</f>
        <v>#VALUE!</v>
      </c>
      <c r="TFL6" s="68" t="e" cm="1" vm="1">
        <f t="array" ref="TFL6">_xlfn._xlws.FILTER(TablaProductos[Nombre producto],TablaProductos[Agrupación]=ProductosPivot!TFL5)</f>
        <v>#VALUE!</v>
      </c>
      <c r="TFM6" s="68" t="e" cm="1" vm="1">
        <f t="array" ref="TFM6">_xlfn._xlws.FILTER(TablaProductos[Nombre producto],TablaProductos[Agrupación]=ProductosPivot!TFM5)</f>
        <v>#VALUE!</v>
      </c>
      <c r="TFN6" s="68" t="e" cm="1" vm="1">
        <f t="array" ref="TFN6">_xlfn._xlws.FILTER(TablaProductos[Nombre producto],TablaProductos[Agrupación]=ProductosPivot!TFN5)</f>
        <v>#VALUE!</v>
      </c>
      <c r="TFO6" s="68" t="e" cm="1" vm="1">
        <f t="array" ref="TFO6">_xlfn._xlws.FILTER(TablaProductos[Nombre producto],TablaProductos[Agrupación]=ProductosPivot!TFO5)</f>
        <v>#VALUE!</v>
      </c>
      <c r="TFP6" s="68" t="e" cm="1" vm="1">
        <f t="array" ref="TFP6">_xlfn._xlws.FILTER(TablaProductos[Nombre producto],TablaProductos[Agrupación]=ProductosPivot!TFP5)</f>
        <v>#VALUE!</v>
      </c>
      <c r="TFQ6" s="68" t="e" cm="1" vm="1">
        <f t="array" ref="TFQ6">_xlfn._xlws.FILTER(TablaProductos[Nombre producto],TablaProductos[Agrupación]=ProductosPivot!TFQ5)</f>
        <v>#VALUE!</v>
      </c>
      <c r="TFR6" s="68" t="e" cm="1" vm="1">
        <f t="array" ref="TFR6">_xlfn._xlws.FILTER(TablaProductos[Nombre producto],TablaProductos[Agrupación]=ProductosPivot!TFR5)</f>
        <v>#VALUE!</v>
      </c>
      <c r="TFS6" s="68" t="e" cm="1" vm="1">
        <f t="array" ref="TFS6">_xlfn._xlws.FILTER(TablaProductos[Nombre producto],TablaProductos[Agrupación]=ProductosPivot!TFS5)</f>
        <v>#VALUE!</v>
      </c>
      <c r="TFT6" s="68" t="e" cm="1" vm="1">
        <f t="array" ref="TFT6">_xlfn._xlws.FILTER(TablaProductos[Nombre producto],TablaProductos[Agrupación]=ProductosPivot!TFT5)</f>
        <v>#VALUE!</v>
      </c>
      <c r="TFU6" s="68" t="e" cm="1" vm="1">
        <f t="array" ref="TFU6">_xlfn._xlws.FILTER(TablaProductos[Nombre producto],TablaProductos[Agrupación]=ProductosPivot!TFU5)</f>
        <v>#VALUE!</v>
      </c>
      <c r="TFV6" s="68" t="e" cm="1" vm="1">
        <f t="array" ref="TFV6">_xlfn._xlws.FILTER(TablaProductos[Nombre producto],TablaProductos[Agrupación]=ProductosPivot!TFV5)</f>
        <v>#VALUE!</v>
      </c>
      <c r="TFW6" s="68" t="e" cm="1" vm="1">
        <f t="array" ref="TFW6">_xlfn._xlws.FILTER(TablaProductos[Nombre producto],TablaProductos[Agrupación]=ProductosPivot!TFW5)</f>
        <v>#VALUE!</v>
      </c>
      <c r="TFX6" s="68" t="e" cm="1" vm="1">
        <f t="array" ref="TFX6">_xlfn._xlws.FILTER(TablaProductos[Nombre producto],TablaProductos[Agrupación]=ProductosPivot!TFX5)</f>
        <v>#VALUE!</v>
      </c>
      <c r="TFY6" s="68" t="e" cm="1" vm="1">
        <f t="array" ref="TFY6">_xlfn._xlws.FILTER(TablaProductos[Nombre producto],TablaProductos[Agrupación]=ProductosPivot!TFY5)</f>
        <v>#VALUE!</v>
      </c>
      <c r="TFZ6" s="68" t="e" cm="1" vm="1">
        <f t="array" ref="TFZ6">_xlfn._xlws.FILTER(TablaProductos[Nombre producto],TablaProductos[Agrupación]=ProductosPivot!TFZ5)</f>
        <v>#VALUE!</v>
      </c>
      <c r="TGA6" s="68" t="e" cm="1" vm="1">
        <f t="array" ref="TGA6">_xlfn._xlws.FILTER(TablaProductos[Nombre producto],TablaProductos[Agrupación]=ProductosPivot!TGA5)</f>
        <v>#VALUE!</v>
      </c>
      <c r="TGB6" s="68" t="e" cm="1" vm="1">
        <f t="array" ref="TGB6">_xlfn._xlws.FILTER(TablaProductos[Nombre producto],TablaProductos[Agrupación]=ProductosPivot!TGB5)</f>
        <v>#VALUE!</v>
      </c>
      <c r="TGC6" s="68" t="e" cm="1" vm="1">
        <f t="array" ref="TGC6">_xlfn._xlws.FILTER(TablaProductos[Nombre producto],TablaProductos[Agrupación]=ProductosPivot!TGC5)</f>
        <v>#VALUE!</v>
      </c>
      <c r="TGD6" s="68" t="e" cm="1" vm="1">
        <f t="array" ref="TGD6">_xlfn._xlws.FILTER(TablaProductos[Nombre producto],TablaProductos[Agrupación]=ProductosPivot!TGD5)</f>
        <v>#VALUE!</v>
      </c>
      <c r="TGE6" s="68" t="e" cm="1" vm="1">
        <f t="array" ref="TGE6">_xlfn._xlws.FILTER(TablaProductos[Nombre producto],TablaProductos[Agrupación]=ProductosPivot!TGE5)</f>
        <v>#VALUE!</v>
      </c>
      <c r="TGF6" s="68" t="e" cm="1" vm="1">
        <f t="array" ref="TGF6">_xlfn._xlws.FILTER(TablaProductos[Nombre producto],TablaProductos[Agrupación]=ProductosPivot!TGF5)</f>
        <v>#VALUE!</v>
      </c>
      <c r="TGG6" s="68" t="e" cm="1" vm="1">
        <f t="array" ref="TGG6">_xlfn._xlws.FILTER(TablaProductos[Nombre producto],TablaProductos[Agrupación]=ProductosPivot!TGG5)</f>
        <v>#VALUE!</v>
      </c>
      <c r="TGH6" s="68" t="e" cm="1" vm="1">
        <f t="array" ref="TGH6">_xlfn._xlws.FILTER(TablaProductos[Nombre producto],TablaProductos[Agrupación]=ProductosPivot!TGH5)</f>
        <v>#VALUE!</v>
      </c>
      <c r="TGI6" s="68" t="e" cm="1" vm="1">
        <f t="array" ref="TGI6">_xlfn._xlws.FILTER(TablaProductos[Nombre producto],TablaProductos[Agrupación]=ProductosPivot!TGI5)</f>
        <v>#VALUE!</v>
      </c>
      <c r="TGJ6" s="68" t="e" cm="1" vm="1">
        <f t="array" ref="TGJ6">_xlfn._xlws.FILTER(TablaProductos[Nombre producto],TablaProductos[Agrupación]=ProductosPivot!TGJ5)</f>
        <v>#VALUE!</v>
      </c>
      <c r="TGK6" s="68" t="e" cm="1" vm="1">
        <f t="array" ref="TGK6">_xlfn._xlws.FILTER(TablaProductos[Nombre producto],TablaProductos[Agrupación]=ProductosPivot!TGK5)</f>
        <v>#VALUE!</v>
      </c>
      <c r="TGL6" s="68" t="e" cm="1" vm="1">
        <f t="array" ref="TGL6">_xlfn._xlws.FILTER(TablaProductos[Nombre producto],TablaProductos[Agrupación]=ProductosPivot!TGL5)</f>
        <v>#VALUE!</v>
      </c>
      <c r="TGM6" s="68" t="e" cm="1" vm="1">
        <f t="array" ref="TGM6">_xlfn._xlws.FILTER(TablaProductos[Nombre producto],TablaProductos[Agrupación]=ProductosPivot!TGM5)</f>
        <v>#VALUE!</v>
      </c>
      <c r="TGN6" s="68" t="e" cm="1" vm="1">
        <f t="array" ref="TGN6">_xlfn._xlws.FILTER(TablaProductos[Nombre producto],TablaProductos[Agrupación]=ProductosPivot!TGN5)</f>
        <v>#VALUE!</v>
      </c>
      <c r="TGO6" s="68" t="e" cm="1" vm="1">
        <f t="array" ref="TGO6">_xlfn._xlws.FILTER(TablaProductos[Nombre producto],TablaProductos[Agrupación]=ProductosPivot!TGO5)</f>
        <v>#VALUE!</v>
      </c>
      <c r="TGP6" s="68" t="e" cm="1" vm="1">
        <f t="array" ref="TGP6">_xlfn._xlws.FILTER(TablaProductos[Nombre producto],TablaProductos[Agrupación]=ProductosPivot!TGP5)</f>
        <v>#VALUE!</v>
      </c>
      <c r="TGQ6" s="68" t="e" cm="1" vm="1">
        <f t="array" ref="TGQ6">_xlfn._xlws.FILTER(TablaProductos[Nombre producto],TablaProductos[Agrupación]=ProductosPivot!TGQ5)</f>
        <v>#VALUE!</v>
      </c>
      <c r="TGR6" s="68" t="e" cm="1" vm="1">
        <f t="array" ref="TGR6">_xlfn._xlws.FILTER(TablaProductos[Nombre producto],TablaProductos[Agrupación]=ProductosPivot!TGR5)</f>
        <v>#VALUE!</v>
      </c>
      <c r="TGS6" s="68" t="e" cm="1" vm="1">
        <f t="array" ref="TGS6">_xlfn._xlws.FILTER(TablaProductos[Nombre producto],TablaProductos[Agrupación]=ProductosPivot!TGS5)</f>
        <v>#VALUE!</v>
      </c>
      <c r="TGT6" s="68" t="e" cm="1" vm="1">
        <f t="array" ref="TGT6">_xlfn._xlws.FILTER(TablaProductos[Nombre producto],TablaProductos[Agrupación]=ProductosPivot!TGT5)</f>
        <v>#VALUE!</v>
      </c>
      <c r="TGU6" s="68" t="e" cm="1" vm="1">
        <f t="array" ref="TGU6">_xlfn._xlws.FILTER(TablaProductos[Nombre producto],TablaProductos[Agrupación]=ProductosPivot!TGU5)</f>
        <v>#VALUE!</v>
      </c>
      <c r="TGV6" s="68" t="e" cm="1" vm="1">
        <f t="array" ref="TGV6">_xlfn._xlws.FILTER(TablaProductos[Nombre producto],TablaProductos[Agrupación]=ProductosPivot!TGV5)</f>
        <v>#VALUE!</v>
      </c>
      <c r="TGW6" s="68" t="e" cm="1" vm="1">
        <f t="array" ref="TGW6">_xlfn._xlws.FILTER(TablaProductos[Nombre producto],TablaProductos[Agrupación]=ProductosPivot!TGW5)</f>
        <v>#VALUE!</v>
      </c>
      <c r="TGX6" s="68" t="e" cm="1" vm="1">
        <f t="array" ref="TGX6">_xlfn._xlws.FILTER(TablaProductos[Nombre producto],TablaProductos[Agrupación]=ProductosPivot!TGX5)</f>
        <v>#VALUE!</v>
      </c>
      <c r="TGY6" s="68" t="e" cm="1" vm="1">
        <f t="array" ref="TGY6">_xlfn._xlws.FILTER(TablaProductos[Nombre producto],TablaProductos[Agrupación]=ProductosPivot!TGY5)</f>
        <v>#VALUE!</v>
      </c>
      <c r="TGZ6" s="68" t="e" cm="1" vm="1">
        <f t="array" ref="TGZ6">_xlfn._xlws.FILTER(TablaProductos[Nombre producto],TablaProductos[Agrupación]=ProductosPivot!TGZ5)</f>
        <v>#VALUE!</v>
      </c>
      <c r="THA6" s="68" t="e" cm="1" vm="1">
        <f t="array" ref="THA6">_xlfn._xlws.FILTER(TablaProductos[Nombre producto],TablaProductos[Agrupación]=ProductosPivot!THA5)</f>
        <v>#VALUE!</v>
      </c>
      <c r="THB6" s="68" t="e" cm="1" vm="1">
        <f t="array" ref="THB6">_xlfn._xlws.FILTER(TablaProductos[Nombre producto],TablaProductos[Agrupación]=ProductosPivot!THB5)</f>
        <v>#VALUE!</v>
      </c>
      <c r="THC6" s="68" t="e" cm="1" vm="1">
        <f t="array" ref="THC6">_xlfn._xlws.FILTER(TablaProductos[Nombre producto],TablaProductos[Agrupación]=ProductosPivot!THC5)</f>
        <v>#VALUE!</v>
      </c>
      <c r="THD6" s="68" t="e" cm="1" vm="1">
        <f t="array" ref="THD6">_xlfn._xlws.FILTER(TablaProductos[Nombre producto],TablaProductos[Agrupación]=ProductosPivot!THD5)</f>
        <v>#VALUE!</v>
      </c>
      <c r="THE6" s="68" t="e" cm="1" vm="1">
        <f t="array" ref="THE6">_xlfn._xlws.FILTER(TablaProductos[Nombre producto],TablaProductos[Agrupación]=ProductosPivot!THE5)</f>
        <v>#VALUE!</v>
      </c>
      <c r="THF6" s="68" t="e" cm="1" vm="1">
        <f t="array" ref="THF6">_xlfn._xlws.FILTER(TablaProductos[Nombre producto],TablaProductos[Agrupación]=ProductosPivot!THF5)</f>
        <v>#VALUE!</v>
      </c>
      <c r="THG6" s="68" t="e" cm="1" vm="1">
        <f t="array" ref="THG6">_xlfn._xlws.FILTER(TablaProductos[Nombre producto],TablaProductos[Agrupación]=ProductosPivot!THG5)</f>
        <v>#VALUE!</v>
      </c>
      <c r="THH6" s="68" t="e" cm="1" vm="1">
        <f t="array" ref="THH6">_xlfn._xlws.FILTER(TablaProductos[Nombre producto],TablaProductos[Agrupación]=ProductosPivot!THH5)</f>
        <v>#VALUE!</v>
      </c>
      <c r="THI6" s="68" t="e" cm="1" vm="1">
        <f t="array" ref="THI6">_xlfn._xlws.FILTER(TablaProductos[Nombre producto],TablaProductos[Agrupación]=ProductosPivot!THI5)</f>
        <v>#VALUE!</v>
      </c>
      <c r="THJ6" s="68" t="e" cm="1" vm="1">
        <f t="array" ref="THJ6">_xlfn._xlws.FILTER(TablaProductos[Nombre producto],TablaProductos[Agrupación]=ProductosPivot!THJ5)</f>
        <v>#VALUE!</v>
      </c>
      <c r="THK6" s="68" t="e" cm="1" vm="1">
        <f t="array" ref="THK6">_xlfn._xlws.FILTER(TablaProductos[Nombre producto],TablaProductos[Agrupación]=ProductosPivot!THK5)</f>
        <v>#VALUE!</v>
      </c>
      <c r="THL6" s="68" t="e" cm="1" vm="1">
        <f t="array" ref="THL6">_xlfn._xlws.FILTER(TablaProductos[Nombre producto],TablaProductos[Agrupación]=ProductosPivot!THL5)</f>
        <v>#VALUE!</v>
      </c>
      <c r="THM6" s="68" t="e" cm="1" vm="1">
        <f t="array" ref="THM6">_xlfn._xlws.FILTER(TablaProductos[Nombre producto],TablaProductos[Agrupación]=ProductosPivot!THM5)</f>
        <v>#VALUE!</v>
      </c>
      <c r="THN6" s="68" t="e" cm="1" vm="1">
        <f t="array" ref="THN6">_xlfn._xlws.FILTER(TablaProductos[Nombre producto],TablaProductos[Agrupación]=ProductosPivot!THN5)</f>
        <v>#VALUE!</v>
      </c>
      <c r="THO6" s="68" t="e" cm="1" vm="1">
        <f t="array" ref="THO6">_xlfn._xlws.FILTER(TablaProductos[Nombre producto],TablaProductos[Agrupación]=ProductosPivot!THO5)</f>
        <v>#VALUE!</v>
      </c>
      <c r="THP6" s="68" t="e" cm="1" vm="1">
        <f t="array" ref="THP6">_xlfn._xlws.FILTER(TablaProductos[Nombre producto],TablaProductos[Agrupación]=ProductosPivot!THP5)</f>
        <v>#VALUE!</v>
      </c>
      <c r="THQ6" s="68" t="e" cm="1" vm="1">
        <f t="array" ref="THQ6">_xlfn._xlws.FILTER(TablaProductos[Nombre producto],TablaProductos[Agrupación]=ProductosPivot!THQ5)</f>
        <v>#VALUE!</v>
      </c>
      <c r="THR6" s="68" t="e" cm="1" vm="1">
        <f t="array" ref="THR6">_xlfn._xlws.FILTER(TablaProductos[Nombre producto],TablaProductos[Agrupación]=ProductosPivot!THR5)</f>
        <v>#VALUE!</v>
      </c>
      <c r="THS6" s="68" t="e" cm="1" vm="1">
        <f t="array" ref="THS6">_xlfn._xlws.FILTER(TablaProductos[Nombre producto],TablaProductos[Agrupación]=ProductosPivot!THS5)</f>
        <v>#VALUE!</v>
      </c>
      <c r="THT6" s="68" t="e" cm="1" vm="1">
        <f t="array" ref="THT6">_xlfn._xlws.FILTER(TablaProductos[Nombre producto],TablaProductos[Agrupación]=ProductosPivot!THT5)</f>
        <v>#VALUE!</v>
      </c>
      <c r="THU6" s="68" t="e" cm="1" vm="1">
        <f t="array" ref="THU6">_xlfn._xlws.FILTER(TablaProductos[Nombre producto],TablaProductos[Agrupación]=ProductosPivot!THU5)</f>
        <v>#VALUE!</v>
      </c>
      <c r="THV6" s="68" t="e" cm="1" vm="1">
        <f t="array" ref="THV6">_xlfn._xlws.FILTER(TablaProductos[Nombre producto],TablaProductos[Agrupación]=ProductosPivot!THV5)</f>
        <v>#VALUE!</v>
      </c>
      <c r="THW6" s="68" t="e" cm="1" vm="1">
        <f t="array" ref="THW6">_xlfn._xlws.FILTER(TablaProductos[Nombre producto],TablaProductos[Agrupación]=ProductosPivot!THW5)</f>
        <v>#VALUE!</v>
      </c>
      <c r="THX6" s="68" t="e" cm="1" vm="1">
        <f t="array" ref="THX6">_xlfn._xlws.FILTER(TablaProductos[Nombre producto],TablaProductos[Agrupación]=ProductosPivot!THX5)</f>
        <v>#VALUE!</v>
      </c>
      <c r="THY6" s="68" t="e" cm="1" vm="1">
        <f t="array" ref="THY6">_xlfn._xlws.FILTER(TablaProductos[Nombre producto],TablaProductos[Agrupación]=ProductosPivot!THY5)</f>
        <v>#VALUE!</v>
      </c>
      <c r="THZ6" s="68" t="e" cm="1" vm="1">
        <f t="array" ref="THZ6">_xlfn._xlws.FILTER(TablaProductos[Nombre producto],TablaProductos[Agrupación]=ProductosPivot!THZ5)</f>
        <v>#VALUE!</v>
      </c>
      <c r="TIA6" s="68" t="e" cm="1" vm="1">
        <f t="array" ref="TIA6">_xlfn._xlws.FILTER(TablaProductos[Nombre producto],TablaProductos[Agrupación]=ProductosPivot!TIA5)</f>
        <v>#VALUE!</v>
      </c>
      <c r="TIB6" s="68" t="e" cm="1" vm="1">
        <f t="array" ref="TIB6">_xlfn._xlws.FILTER(TablaProductos[Nombre producto],TablaProductos[Agrupación]=ProductosPivot!TIB5)</f>
        <v>#VALUE!</v>
      </c>
      <c r="TIC6" s="68" t="e" cm="1" vm="1">
        <f t="array" ref="TIC6">_xlfn._xlws.FILTER(TablaProductos[Nombre producto],TablaProductos[Agrupación]=ProductosPivot!TIC5)</f>
        <v>#VALUE!</v>
      </c>
      <c r="TID6" s="68" t="e" cm="1" vm="1">
        <f t="array" ref="TID6">_xlfn._xlws.FILTER(TablaProductos[Nombre producto],TablaProductos[Agrupación]=ProductosPivot!TID5)</f>
        <v>#VALUE!</v>
      </c>
      <c r="TIE6" s="68" t="e" cm="1" vm="1">
        <f t="array" ref="TIE6">_xlfn._xlws.FILTER(TablaProductos[Nombre producto],TablaProductos[Agrupación]=ProductosPivot!TIE5)</f>
        <v>#VALUE!</v>
      </c>
      <c r="TIF6" s="68" t="e" cm="1" vm="1">
        <f t="array" ref="TIF6">_xlfn._xlws.FILTER(TablaProductos[Nombre producto],TablaProductos[Agrupación]=ProductosPivot!TIF5)</f>
        <v>#VALUE!</v>
      </c>
      <c r="TIG6" s="68" t="e" cm="1" vm="1">
        <f t="array" ref="TIG6">_xlfn._xlws.FILTER(TablaProductos[Nombre producto],TablaProductos[Agrupación]=ProductosPivot!TIG5)</f>
        <v>#VALUE!</v>
      </c>
      <c r="TIH6" s="68" t="e" cm="1" vm="1">
        <f t="array" ref="TIH6">_xlfn._xlws.FILTER(TablaProductos[Nombre producto],TablaProductos[Agrupación]=ProductosPivot!TIH5)</f>
        <v>#VALUE!</v>
      </c>
      <c r="TII6" s="68" t="e" cm="1" vm="1">
        <f t="array" ref="TII6">_xlfn._xlws.FILTER(TablaProductos[Nombre producto],TablaProductos[Agrupación]=ProductosPivot!TII5)</f>
        <v>#VALUE!</v>
      </c>
      <c r="TIJ6" s="68" t="e" cm="1" vm="1">
        <f t="array" ref="TIJ6">_xlfn._xlws.FILTER(TablaProductos[Nombre producto],TablaProductos[Agrupación]=ProductosPivot!TIJ5)</f>
        <v>#VALUE!</v>
      </c>
      <c r="TIK6" s="68" t="e" cm="1" vm="1">
        <f t="array" ref="TIK6">_xlfn._xlws.FILTER(TablaProductos[Nombre producto],TablaProductos[Agrupación]=ProductosPivot!TIK5)</f>
        <v>#VALUE!</v>
      </c>
      <c r="TIL6" s="68" t="e" cm="1" vm="1">
        <f t="array" ref="TIL6">_xlfn._xlws.FILTER(TablaProductos[Nombre producto],TablaProductos[Agrupación]=ProductosPivot!TIL5)</f>
        <v>#VALUE!</v>
      </c>
      <c r="TIM6" s="68" t="e" cm="1" vm="1">
        <f t="array" ref="TIM6">_xlfn._xlws.FILTER(TablaProductos[Nombre producto],TablaProductos[Agrupación]=ProductosPivot!TIM5)</f>
        <v>#VALUE!</v>
      </c>
      <c r="TIN6" s="68" t="e" cm="1" vm="1">
        <f t="array" ref="TIN6">_xlfn._xlws.FILTER(TablaProductos[Nombre producto],TablaProductos[Agrupación]=ProductosPivot!TIN5)</f>
        <v>#VALUE!</v>
      </c>
      <c r="TIO6" s="68" t="e" cm="1" vm="1">
        <f t="array" ref="TIO6">_xlfn._xlws.FILTER(TablaProductos[Nombre producto],TablaProductos[Agrupación]=ProductosPivot!TIO5)</f>
        <v>#VALUE!</v>
      </c>
      <c r="TIP6" s="68" t="e" cm="1" vm="1">
        <f t="array" ref="TIP6">_xlfn._xlws.FILTER(TablaProductos[Nombre producto],TablaProductos[Agrupación]=ProductosPivot!TIP5)</f>
        <v>#VALUE!</v>
      </c>
      <c r="TIQ6" s="68" t="e" cm="1" vm="1">
        <f t="array" ref="TIQ6">_xlfn._xlws.FILTER(TablaProductos[Nombre producto],TablaProductos[Agrupación]=ProductosPivot!TIQ5)</f>
        <v>#VALUE!</v>
      </c>
      <c r="TIR6" s="68" t="e" cm="1" vm="1">
        <f t="array" ref="TIR6">_xlfn._xlws.FILTER(TablaProductos[Nombre producto],TablaProductos[Agrupación]=ProductosPivot!TIR5)</f>
        <v>#VALUE!</v>
      </c>
      <c r="TIS6" s="68" t="e" cm="1" vm="1">
        <f t="array" ref="TIS6">_xlfn._xlws.FILTER(TablaProductos[Nombre producto],TablaProductos[Agrupación]=ProductosPivot!TIS5)</f>
        <v>#VALUE!</v>
      </c>
      <c r="TIT6" s="68" t="e" cm="1" vm="1">
        <f t="array" ref="TIT6">_xlfn._xlws.FILTER(TablaProductos[Nombre producto],TablaProductos[Agrupación]=ProductosPivot!TIT5)</f>
        <v>#VALUE!</v>
      </c>
      <c r="TIU6" s="68" t="e" cm="1" vm="1">
        <f t="array" ref="TIU6">_xlfn._xlws.FILTER(TablaProductos[Nombre producto],TablaProductos[Agrupación]=ProductosPivot!TIU5)</f>
        <v>#VALUE!</v>
      </c>
      <c r="TIV6" s="68" t="e" cm="1" vm="1">
        <f t="array" ref="TIV6">_xlfn._xlws.FILTER(TablaProductos[Nombre producto],TablaProductos[Agrupación]=ProductosPivot!TIV5)</f>
        <v>#VALUE!</v>
      </c>
      <c r="TIW6" s="68" t="e" cm="1" vm="1">
        <f t="array" ref="TIW6">_xlfn._xlws.FILTER(TablaProductos[Nombre producto],TablaProductos[Agrupación]=ProductosPivot!TIW5)</f>
        <v>#VALUE!</v>
      </c>
      <c r="TIX6" s="68" t="e" cm="1" vm="1">
        <f t="array" ref="TIX6">_xlfn._xlws.FILTER(TablaProductos[Nombre producto],TablaProductos[Agrupación]=ProductosPivot!TIX5)</f>
        <v>#VALUE!</v>
      </c>
      <c r="TIY6" s="68" t="e" cm="1" vm="1">
        <f t="array" ref="TIY6">_xlfn._xlws.FILTER(TablaProductos[Nombre producto],TablaProductos[Agrupación]=ProductosPivot!TIY5)</f>
        <v>#VALUE!</v>
      </c>
      <c r="TIZ6" s="68" t="e" cm="1" vm="1">
        <f t="array" ref="TIZ6">_xlfn._xlws.FILTER(TablaProductos[Nombre producto],TablaProductos[Agrupación]=ProductosPivot!TIZ5)</f>
        <v>#VALUE!</v>
      </c>
      <c r="TJA6" s="68" t="e" cm="1" vm="1">
        <f t="array" ref="TJA6">_xlfn._xlws.FILTER(TablaProductos[Nombre producto],TablaProductos[Agrupación]=ProductosPivot!TJA5)</f>
        <v>#VALUE!</v>
      </c>
      <c r="TJB6" s="68" t="e" cm="1" vm="1">
        <f t="array" ref="TJB6">_xlfn._xlws.FILTER(TablaProductos[Nombre producto],TablaProductos[Agrupación]=ProductosPivot!TJB5)</f>
        <v>#VALUE!</v>
      </c>
      <c r="TJC6" s="68" t="e" cm="1" vm="1">
        <f t="array" ref="TJC6">_xlfn._xlws.FILTER(TablaProductos[Nombre producto],TablaProductos[Agrupación]=ProductosPivot!TJC5)</f>
        <v>#VALUE!</v>
      </c>
      <c r="TJD6" s="68" t="e" cm="1" vm="1">
        <f t="array" ref="TJD6">_xlfn._xlws.FILTER(TablaProductos[Nombre producto],TablaProductos[Agrupación]=ProductosPivot!TJD5)</f>
        <v>#VALUE!</v>
      </c>
      <c r="TJE6" s="68" t="e" cm="1" vm="1">
        <f t="array" ref="TJE6">_xlfn._xlws.FILTER(TablaProductos[Nombre producto],TablaProductos[Agrupación]=ProductosPivot!TJE5)</f>
        <v>#VALUE!</v>
      </c>
      <c r="TJF6" s="68" t="e" cm="1" vm="1">
        <f t="array" ref="TJF6">_xlfn._xlws.FILTER(TablaProductos[Nombre producto],TablaProductos[Agrupación]=ProductosPivot!TJF5)</f>
        <v>#VALUE!</v>
      </c>
      <c r="TJG6" s="68" t="e" cm="1" vm="1">
        <f t="array" ref="TJG6">_xlfn._xlws.FILTER(TablaProductos[Nombre producto],TablaProductos[Agrupación]=ProductosPivot!TJG5)</f>
        <v>#VALUE!</v>
      </c>
      <c r="TJH6" s="68" t="e" cm="1" vm="1">
        <f t="array" ref="TJH6">_xlfn._xlws.FILTER(TablaProductos[Nombre producto],TablaProductos[Agrupación]=ProductosPivot!TJH5)</f>
        <v>#VALUE!</v>
      </c>
      <c r="TJI6" s="68" t="e" cm="1" vm="1">
        <f t="array" ref="TJI6">_xlfn._xlws.FILTER(TablaProductos[Nombre producto],TablaProductos[Agrupación]=ProductosPivot!TJI5)</f>
        <v>#VALUE!</v>
      </c>
      <c r="TJJ6" s="68" t="e" cm="1" vm="1">
        <f t="array" ref="TJJ6">_xlfn._xlws.FILTER(TablaProductos[Nombre producto],TablaProductos[Agrupación]=ProductosPivot!TJJ5)</f>
        <v>#VALUE!</v>
      </c>
      <c r="TJK6" s="68" t="e" cm="1" vm="1">
        <f t="array" ref="TJK6">_xlfn._xlws.FILTER(TablaProductos[Nombre producto],TablaProductos[Agrupación]=ProductosPivot!TJK5)</f>
        <v>#VALUE!</v>
      </c>
      <c r="TJL6" s="68" t="e" cm="1" vm="1">
        <f t="array" ref="TJL6">_xlfn._xlws.FILTER(TablaProductos[Nombre producto],TablaProductos[Agrupación]=ProductosPivot!TJL5)</f>
        <v>#VALUE!</v>
      </c>
      <c r="TJM6" s="68" t="e" cm="1" vm="1">
        <f t="array" ref="TJM6">_xlfn._xlws.FILTER(TablaProductos[Nombre producto],TablaProductos[Agrupación]=ProductosPivot!TJM5)</f>
        <v>#VALUE!</v>
      </c>
      <c r="TJN6" s="68" t="e" cm="1" vm="1">
        <f t="array" ref="TJN6">_xlfn._xlws.FILTER(TablaProductos[Nombre producto],TablaProductos[Agrupación]=ProductosPivot!TJN5)</f>
        <v>#VALUE!</v>
      </c>
      <c r="TJO6" s="68" t="e" cm="1" vm="1">
        <f t="array" ref="TJO6">_xlfn._xlws.FILTER(TablaProductos[Nombre producto],TablaProductos[Agrupación]=ProductosPivot!TJO5)</f>
        <v>#VALUE!</v>
      </c>
      <c r="TJP6" s="68" t="e" cm="1" vm="1">
        <f t="array" ref="TJP6">_xlfn._xlws.FILTER(TablaProductos[Nombre producto],TablaProductos[Agrupación]=ProductosPivot!TJP5)</f>
        <v>#VALUE!</v>
      </c>
      <c r="TJQ6" s="68" t="e" cm="1" vm="1">
        <f t="array" ref="TJQ6">_xlfn._xlws.FILTER(TablaProductos[Nombre producto],TablaProductos[Agrupación]=ProductosPivot!TJQ5)</f>
        <v>#VALUE!</v>
      </c>
      <c r="TJR6" s="68" t="e" cm="1" vm="1">
        <f t="array" ref="TJR6">_xlfn._xlws.FILTER(TablaProductos[Nombre producto],TablaProductos[Agrupación]=ProductosPivot!TJR5)</f>
        <v>#VALUE!</v>
      </c>
      <c r="TJS6" s="68" t="e" cm="1" vm="1">
        <f t="array" ref="TJS6">_xlfn._xlws.FILTER(TablaProductos[Nombre producto],TablaProductos[Agrupación]=ProductosPivot!TJS5)</f>
        <v>#VALUE!</v>
      </c>
      <c r="TJT6" s="68" t="e" cm="1" vm="1">
        <f t="array" ref="TJT6">_xlfn._xlws.FILTER(TablaProductos[Nombre producto],TablaProductos[Agrupación]=ProductosPivot!TJT5)</f>
        <v>#VALUE!</v>
      </c>
      <c r="TJU6" s="68" t="e" cm="1" vm="1">
        <f t="array" ref="TJU6">_xlfn._xlws.FILTER(TablaProductos[Nombre producto],TablaProductos[Agrupación]=ProductosPivot!TJU5)</f>
        <v>#VALUE!</v>
      </c>
      <c r="TJV6" s="68" t="e" cm="1" vm="1">
        <f t="array" ref="TJV6">_xlfn._xlws.FILTER(TablaProductos[Nombre producto],TablaProductos[Agrupación]=ProductosPivot!TJV5)</f>
        <v>#VALUE!</v>
      </c>
      <c r="TJW6" s="68" t="e" cm="1" vm="1">
        <f t="array" ref="TJW6">_xlfn._xlws.FILTER(TablaProductos[Nombre producto],TablaProductos[Agrupación]=ProductosPivot!TJW5)</f>
        <v>#VALUE!</v>
      </c>
      <c r="TJX6" s="68" t="e" cm="1" vm="1">
        <f t="array" ref="TJX6">_xlfn._xlws.FILTER(TablaProductos[Nombre producto],TablaProductos[Agrupación]=ProductosPivot!TJX5)</f>
        <v>#VALUE!</v>
      </c>
      <c r="TJY6" s="68" t="e" cm="1" vm="1">
        <f t="array" ref="TJY6">_xlfn._xlws.FILTER(TablaProductos[Nombre producto],TablaProductos[Agrupación]=ProductosPivot!TJY5)</f>
        <v>#VALUE!</v>
      </c>
      <c r="TJZ6" s="68" t="e" cm="1" vm="1">
        <f t="array" ref="TJZ6">_xlfn._xlws.FILTER(TablaProductos[Nombre producto],TablaProductos[Agrupación]=ProductosPivot!TJZ5)</f>
        <v>#VALUE!</v>
      </c>
      <c r="TKA6" s="68" t="e" cm="1" vm="1">
        <f t="array" ref="TKA6">_xlfn._xlws.FILTER(TablaProductos[Nombre producto],TablaProductos[Agrupación]=ProductosPivot!TKA5)</f>
        <v>#VALUE!</v>
      </c>
      <c r="TKB6" s="68" t="e" cm="1" vm="1">
        <f t="array" ref="TKB6">_xlfn._xlws.FILTER(TablaProductos[Nombre producto],TablaProductos[Agrupación]=ProductosPivot!TKB5)</f>
        <v>#VALUE!</v>
      </c>
      <c r="TKC6" s="68" t="e" cm="1" vm="1">
        <f t="array" ref="TKC6">_xlfn._xlws.FILTER(TablaProductos[Nombre producto],TablaProductos[Agrupación]=ProductosPivot!TKC5)</f>
        <v>#VALUE!</v>
      </c>
      <c r="TKD6" s="68" t="e" cm="1" vm="1">
        <f t="array" ref="TKD6">_xlfn._xlws.FILTER(TablaProductos[Nombre producto],TablaProductos[Agrupación]=ProductosPivot!TKD5)</f>
        <v>#VALUE!</v>
      </c>
      <c r="TKE6" s="68" t="e" cm="1" vm="1">
        <f t="array" ref="TKE6">_xlfn._xlws.FILTER(TablaProductos[Nombre producto],TablaProductos[Agrupación]=ProductosPivot!TKE5)</f>
        <v>#VALUE!</v>
      </c>
      <c r="TKF6" s="68" t="e" cm="1" vm="1">
        <f t="array" ref="TKF6">_xlfn._xlws.FILTER(TablaProductos[Nombre producto],TablaProductos[Agrupación]=ProductosPivot!TKF5)</f>
        <v>#VALUE!</v>
      </c>
      <c r="TKG6" s="68" t="e" cm="1" vm="1">
        <f t="array" ref="TKG6">_xlfn._xlws.FILTER(TablaProductos[Nombre producto],TablaProductos[Agrupación]=ProductosPivot!TKG5)</f>
        <v>#VALUE!</v>
      </c>
      <c r="TKH6" s="68" t="e" cm="1" vm="1">
        <f t="array" ref="TKH6">_xlfn._xlws.FILTER(TablaProductos[Nombre producto],TablaProductos[Agrupación]=ProductosPivot!TKH5)</f>
        <v>#VALUE!</v>
      </c>
      <c r="TKI6" s="68" t="e" cm="1" vm="1">
        <f t="array" ref="TKI6">_xlfn._xlws.FILTER(TablaProductos[Nombre producto],TablaProductos[Agrupación]=ProductosPivot!TKI5)</f>
        <v>#VALUE!</v>
      </c>
      <c r="TKJ6" s="68" t="e" cm="1" vm="1">
        <f t="array" ref="TKJ6">_xlfn._xlws.FILTER(TablaProductos[Nombre producto],TablaProductos[Agrupación]=ProductosPivot!TKJ5)</f>
        <v>#VALUE!</v>
      </c>
      <c r="TKK6" s="68" t="e" cm="1" vm="1">
        <f t="array" ref="TKK6">_xlfn._xlws.FILTER(TablaProductos[Nombre producto],TablaProductos[Agrupación]=ProductosPivot!TKK5)</f>
        <v>#VALUE!</v>
      </c>
      <c r="TKL6" s="68" t="e" cm="1" vm="1">
        <f t="array" ref="TKL6">_xlfn._xlws.FILTER(TablaProductos[Nombre producto],TablaProductos[Agrupación]=ProductosPivot!TKL5)</f>
        <v>#VALUE!</v>
      </c>
      <c r="TKM6" s="68" t="e" cm="1" vm="1">
        <f t="array" ref="TKM6">_xlfn._xlws.FILTER(TablaProductos[Nombre producto],TablaProductos[Agrupación]=ProductosPivot!TKM5)</f>
        <v>#VALUE!</v>
      </c>
      <c r="TKN6" s="68" t="e" cm="1" vm="1">
        <f t="array" ref="TKN6">_xlfn._xlws.FILTER(TablaProductos[Nombre producto],TablaProductos[Agrupación]=ProductosPivot!TKN5)</f>
        <v>#VALUE!</v>
      </c>
      <c r="TKO6" s="68" t="e" cm="1" vm="1">
        <f t="array" ref="TKO6">_xlfn._xlws.FILTER(TablaProductos[Nombre producto],TablaProductos[Agrupación]=ProductosPivot!TKO5)</f>
        <v>#VALUE!</v>
      </c>
      <c r="TKP6" s="68" t="e" cm="1" vm="1">
        <f t="array" ref="TKP6">_xlfn._xlws.FILTER(TablaProductos[Nombre producto],TablaProductos[Agrupación]=ProductosPivot!TKP5)</f>
        <v>#VALUE!</v>
      </c>
      <c r="TKQ6" s="68" t="e" cm="1" vm="1">
        <f t="array" ref="TKQ6">_xlfn._xlws.FILTER(TablaProductos[Nombre producto],TablaProductos[Agrupación]=ProductosPivot!TKQ5)</f>
        <v>#VALUE!</v>
      </c>
      <c r="TKR6" s="68" t="e" cm="1" vm="1">
        <f t="array" ref="TKR6">_xlfn._xlws.FILTER(TablaProductos[Nombre producto],TablaProductos[Agrupación]=ProductosPivot!TKR5)</f>
        <v>#VALUE!</v>
      </c>
      <c r="TKS6" s="68" t="e" cm="1" vm="1">
        <f t="array" ref="TKS6">_xlfn._xlws.FILTER(TablaProductos[Nombre producto],TablaProductos[Agrupación]=ProductosPivot!TKS5)</f>
        <v>#VALUE!</v>
      </c>
      <c r="TKT6" s="68" t="e" cm="1" vm="1">
        <f t="array" ref="TKT6">_xlfn._xlws.FILTER(TablaProductos[Nombre producto],TablaProductos[Agrupación]=ProductosPivot!TKT5)</f>
        <v>#VALUE!</v>
      </c>
      <c r="TKU6" s="68" t="e" cm="1" vm="1">
        <f t="array" ref="TKU6">_xlfn._xlws.FILTER(TablaProductos[Nombre producto],TablaProductos[Agrupación]=ProductosPivot!TKU5)</f>
        <v>#VALUE!</v>
      </c>
      <c r="TKV6" s="68" t="e" cm="1" vm="1">
        <f t="array" ref="TKV6">_xlfn._xlws.FILTER(TablaProductos[Nombre producto],TablaProductos[Agrupación]=ProductosPivot!TKV5)</f>
        <v>#VALUE!</v>
      </c>
      <c r="TKW6" s="68" t="e" cm="1" vm="1">
        <f t="array" ref="TKW6">_xlfn._xlws.FILTER(TablaProductos[Nombre producto],TablaProductos[Agrupación]=ProductosPivot!TKW5)</f>
        <v>#VALUE!</v>
      </c>
      <c r="TKX6" s="68" t="e" cm="1" vm="1">
        <f t="array" ref="TKX6">_xlfn._xlws.FILTER(TablaProductos[Nombre producto],TablaProductos[Agrupación]=ProductosPivot!TKX5)</f>
        <v>#VALUE!</v>
      </c>
      <c r="TKY6" s="68" t="e" cm="1" vm="1">
        <f t="array" ref="TKY6">_xlfn._xlws.FILTER(TablaProductos[Nombre producto],TablaProductos[Agrupación]=ProductosPivot!TKY5)</f>
        <v>#VALUE!</v>
      </c>
      <c r="TKZ6" s="68" t="e" cm="1" vm="1">
        <f t="array" ref="TKZ6">_xlfn._xlws.FILTER(TablaProductos[Nombre producto],TablaProductos[Agrupación]=ProductosPivot!TKZ5)</f>
        <v>#VALUE!</v>
      </c>
      <c r="TLA6" s="68" t="e" cm="1" vm="1">
        <f t="array" ref="TLA6">_xlfn._xlws.FILTER(TablaProductos[Nombre producto],TablaProductos[Agrupación]=ProductosPivot!TLA5)</f>
        <v>#VALUE!</v>
      </c>
      <c r="TLB6" s="68" t="e" cm="1" vm="1">
        <f t="array" ref="TLB6">_xlfn._xlws.FILTER(TablaProductos[Nombre producto],TablaProductos[Agrupación]=ProductosPivot!TLB5)</f>
        <v>#VALUE!</v>
      </c>
      <c r="TLC6" s="68" t="e" cm="1" vm="1">
        <f t="array" ref="TLC6">_xlfn._xlws.FILTER(TablaProductos[Nombre producto],TablaProductos[Agrupación]=ProductosPivot!TLC5)</f>
        <v>#VALUE!</v>
      </c>
      <c r="TLD6" s="68" t="e" cm="1" vm="1">
        <f t="array" ref="TLD6">_xlfn._xlws.FILTER(TablaProductos[Nombre producto],TablaProductos[Agrupación]=ProductosPivot!TLD5)</f>
        <v>#VALUE!</v>
      </c>
      <c r="TLE6" s="68" t="e" cm="1" vm="1">
        <f t="array" ref="TLE6">_xlfn._xlws.FILTER(TablaProductos[Nombre producto],TablaProductos[Agrupación]=ProductosPivot!TLE5)</f>
        <v>#VALUE!</v>
      </c>
      <c r="TLF6" s="68" t="e" cm="1" vm="1">
        <f t="array" ref="TLF6">_xlfn._xlws.FILTER(TablaProductos[Nombre producto],TablaProductos[Agrupación]=ProductosPivot!TLF5)</f>
        <v>#VALUE!</v>
      </c>
      <c r="TLG6" s="68" t="e" cm="1" vm="1">
        <f t="array" ref="TLG6">_xlfn._xlws.FILTER(TablaProductos[Nombre producto],TablaProductos[Agrupación]=ProductosPivot!TLG5)</f>
        <v>#VALUE!</v>
      </c>
      <c r="TLH6" s="68" t="e" cm="1" vm="1">
        <f t="array" ref="TLH6">_xlfn._xlws.FILTER(TablaProductos[Nombre producto],TablaProductos[Agrupación]=ProductosPivot!TLH5)</f>
        <v>#VALUE!</v>
      </c>
      <c r="TLI6" s="68" t="e" cm="1" vm="1">
        <f t="array" ref="TLI6">_xlfn._xlws.FILTER(TablaProductos[Nombre producto],TablaProductos[Agrupación]=ProductosPivot!TLI5)</f>
        <v>#VALUE!</v>
      </c>
      <c r="TLJ6" s="68" t="e" cm="1" vm="1">
        <f t="array" ref="TLJ6">_xlfn._xlws.FILTER(TablaProductos[Nombre producto],TablaProductos[Agrupación]=ProductosPivot!TLJ5)</f>
        <v>#VALUE!</v>
      </c>
      <c r="TLK6" s="68" t="e" cm="1" vm="1">
        <f t="array" ref="TLK6">_xlfn._xlws.FILTER(TablaProductos[Nombre producto],TablaProductos[Agrupación]=ProductosPivot!TLK5)</f>
        <v>#VALUE!</v>
      </c>
      <c r="TLL6" s="68" t="e" cm="1" vm="1">
        <f t="array" ref="TLL6">_xlfn._xlws.FILTER(TablaProductos[Nombre producto],TablaProductos[Agrupación]=ProductosPivot!TLL5)</f>
        <v>#VALUE!</v>
      </c>
      <c r="TLM6" s="68" t="e" cm="1" vm="1">
        <f t="array" ref="TLM6">_xlfn._xlws.FILTER(TablaProductos[Nombre producto],TablaProductos[Agrupación]=ProductosPivot!TLM5)</f>
        <v>#VALUE!</v>
      </c>
      <c r="TLN6" s="68" t="e" cm="1" vm="1">
        <f t="array" ref="TLN6">_xlfn._xlws.FILTER(TablaProductos[Nombre producto],TablaProductos[Agrupación]=ProductosPivot!TLN5)</f>
        <v>#VALUE!</v>
      </c>
      <c r="TLO6" s="68" t="e" cm="1" vm="1">
        <f t="array" ref="TLO6">_xlfn._xlws.FILTER(TablaProductos[Nombre producto],TablaProductos[Agrupación]=ProductosPivot!TLO5)</f>
        <v>#VALUE!</v>
      </c>
      <c r="TLP6" s="68" t="e" cm="1" vm="1">
        <f t="array" ref="TLP6">_xlfn._xlws.FILTER(TablaProductos[Nombre producto],TablaProductos[Agrupación]=ProductosPivot!TLP5)</f>
        <v>#VALUE!</v>
      </c>
      <c r="TLQ6" s="68" t="e" cm="1" vm="1">
        <f t="array" ref="TLQ6">_xlfn._xlws.FILTER(TablaProductos[Nombre producto],TablaProductos[Agrupación]=ProductosPivot!TLQ5)</f>
        <v>#VALUE!</v>
      </c>
      <c r="TLR6" s="68" t="e" cm="1" vm="1">
        <f t="array" ref="TLR6">_xlfn._xlws.FILTER(TablaProductos[Nombre producto],TablaProductos[Agrupación]=ProductosPivot!TLR5)</f>
        <v>#VALUE!</v>
      </c>
      <c r="TLS6" s="68" t="e" cm="1" vm="1">
        <f t="array" ref="TLS6">_xlfn._xlws.FILTER(TablaProductos[Nombre producto],TablaProductos[Agrupación]=ProductosPivot!TLS5)</f>
        <v>#VALUE!</v>
      </c>
      <c r="TLT6" s="68" t="e" cm="1" vm="1">
        <f t="array" ref="TLT6">_xlfn._xlws.FILTER(TablaProductos[Nombre producto],TablaProductos[Agrupación]=ProductosPivot!TLT5)</f>
        <v>#VALUE!</v>
      </c>
      <c r="TLU6" s="68" t="e" cm="1" vm="1">
        <f t="array" ref="TLU6">_xlfn._xlws.FILTER(TablaProductos[Nombre producto],TablaProductos[Agrupación]=ProductosPivot!TLU5)</f>
        <v>#VALUE!</v>
      </c>
      <c r="TLV6" s="68" t="e" cm="1" vm="1">
        <f t="array" ref="TLV6">_xlfn._xlws.FILTER(TablaProductos[Nombre producto],TablaProductos[Agrupación]=ProductosPivot!TLV5)</f>
        <v>#VALUE!</v>
      </c>
      <c r="TLW6" s="68" t="e" cm="1" vm="1">
        <f t="array" ref="TLW6">_xlfn._xlws.FILTER(TablaProductos[Nombre producto],TablaProductos[Agrupación]=ProductosPivot!TLW5)</f>
        <v>#VALUE!</v>
      </c>
      <c r="TLX6" s="68" t="e" cm="1" vm="1">
        <f t="array" ref="TLX6">_xlfn._xlws.FILTER(TablaProductos[Nombre producto],TablaProductos[Agrupación]=ProductosPivot!TLX5)</f>
        <v>#VALUE!</v>
      </c>
      <c r="TLY6" s="68" t="e" cm="1" vm="1">
        <f t="array" ref="TLY6">_xlfn._xlws.FILTER(TablaProductos[Nombre producto],TablaProductos[Agrupación]=ProductosPivot!TLY5)</f>
        <v>#VALUE!</v>
      </c>
      <c r="TLZ6" s="68" t="e" cm="1" vm="1">
        <f t="array" ref="TLZ6">_xlfn._xlws.FILTER(TablaProductos[Nombre producto],TablaProductos[Agrupación]=ProductosPivot!TLZ5)</f>
        <v>#VALUE!</v>
      </c>
      <c r="TMA6" s="68" t="e" cm="1" vm="1">
        <f t="array" ref="TMA6">_xlfn._xlws.FILTER(TablaProductos[Nombre producto],TablaProductos[Agrupación]=ProductosPivot!TMA5)</f>
        <v>#VALUE!</v>
      </c>
      <c r="TMB6" s="68" t="e" cm="1" vm="1">
        <f t="array" ref="TMB6">_xlfn._xlws.FILTER(TablaProductos[Nombre producto],TablaProductos[Agrupación]=ProductosPivot!TMB5)</f>
        <v>#VALUE!</v>
      </c>
      <c r="TMC6" s="68" t="e" cm="1" vm="1">
        <f t="array" ref="TMC6">_xlfn._xlws.FILTER(TablaProductos[Nombre producto],TablaProductos[Agrupación]=ProductosPivot!TMC5)</f>
        <v>#VALUE!</v>
      </c>
      <c r="TMD6" s="68" t="e" cm="1" vm="1">
        <f t="array" ref="TMD6">_xlfn._xlws.FILTER(TablaProductos[Nombre producto],TablaProductos[Agrupación]=ProductosPivot!TMD5)</f>
        <v>#VALUE!</v>
      </c>
      <c r="TME6" s="68" t="e" cm="1" vm="1">
        <f t="array" ref="TME6">_xlfn._xlws.FILTER(TablaProductos[Nombre producto],TablaProductos[Agrupación]=ProductosPivot!TME5)</f>
        <v>#VALUE!</v>
      </c>
      <c r="TMF6" s="68" t="e" cm="1" vm="1">
        <f t="array" ref="TMF6">_xlfn._xlws.FILTER(TablaProductos[Nombre producto],TablaProductos[Agrupación]=ProductosPivot!TMF5)</f>
        <v>#VALUE!</v>
      </c>
      <c r="TMG6" s="68" t="e" cm="1" vm="1">
        <f t="array" ref="TMG6">_xlfn._xlws.FILTER(TablaProductos[Nombre producto],TablaProductos[Agrupación]=ProductosPivot!TMG5)</f>
        <v>#VALUE!</v>
      </c>
      <c r="TMH6" s="68" t="e" cm="1" vm="1">
        <f t="array" ref="TMH6">_xlfn._xlws.FILTER(TablaProductos[Nombre producto],TablaProductos[Agrupación]=ProductosPivot!TMH5)</f>
        <v>#VALUE!</v>
      </c>
      <c r="TMI6" s="68" t="e" cm="1" vm="1">
        <f t="array" ref="TMI6">_xlfn._xlws.FILTER(TablaProductos[Nombre producto],TablaProductos[Agrupación]=ProductosPivot!TMI5)</f>
        <v>#VALUE!</v>
      </c>
      <c r="TMJ6" s="68" t="e" cm="1" vm="1">
        <f t="array" ref="TMJ6">_xlfn._xlws.FILTER(TablaProductos[Nombre producto],TablaProductos[Agrupación]=ProductosPivot!TMJ5)</f>
        <v>#VALUE!</v>
      </c>
      <c r="TMK6" s="68" t="e" cm="1" vm="1">
        <f t="array" ref="TMK6">_xlfn._xlws.FILTER(TablaProductos[Nombre producto],TablaProductos[Agrupación]=ProductosPivot!TMK5)</f>
        <v>#VALUE!</v>
      </c>
      <c r="TML6" s="68" t="e" cm="1" vm="1">
        <f t="array" ref="TML6">_xlfn._xlws.FILTER(TablaProductos[Nombre producto],TablaProductos[Agrupación]=ProductosPivot!TML5)</f>
        <v>#VALUE!</v>
      </c>
      <c r="TMM6" s="68" t="e" cm="1" vm="1">
        <f t="array" ref="TMM6">_xlfn._xlws.FILTER(TablaProductos[Nombre producto],TablaProductos[Agrupación]=ProductosPivot!TMM5)</f>
        <v>#VALUE!</v>
      </c>
      <c r="TMN6" s="68" t="e" cm="1" vm="1">
        <f t="array" ref="TMN6">_xlfn._xlws.FILTER(TablaProductos[Nombre producto],TablaProductos[Agrupación]=ProductosPivot!TMN5)</f>
        <v>#VALUE!</v>
      </c>
      <c r="TMO6" s="68" t="e" cm="1" vm="1">
        <f t="array" ref="TMO6">_xlfn._xlws.FILTER(TablaProductos[Nombre producto],TablaProductos[Agrupación]=ProductosPivot!TMO5)</f>
        <v>#VALUE!</v>
      </c>
      <c r="TMP6" s="68" t="e" cm="1" vm="1">
        <f t="array" ref="TMP6">_xlfn._xlws.FILTER(TablaProductos[Nombre producto],TablaProductos[Agrupación]=ProductosPivot!TMP5)</f>
        <v>#VALUE!</v>
      </c>
      <c r="TMQ6" s="68" t="e" cm="1" vm="1">
        <f t="array" ref="TMQ6">_xlfn._xlws.FILTER(TablaProductos[Nombre producto],TablaProductos[Agrupación]=ProductosPivot!TMQ5)</f>
        <v>#VALUE!</v>
      </c>
      <c r="TMR6" s="68" t="e" cm="1" vm="1">
        <f t="array" ref="TMR6">_xlfn._xlws.FILTER(TablaProductos[Nombre producto],TablaProductos[Agrupación]=ProductosPivot!TMR5)</f>
        <v>#VALUE!</v>
      </c>
      <c r="TMS6" s="68" t="e" cm="1" vm="1">
        <f t="array" ref="TMS6">_xlfn._xlws.FILTER(TablaProductos[Nombre producto],TablaProductos[Agrupación]=ProductosPivot!TMS5)</f>
        <v>#VALUE!</v>
      </c>
      <c r="TMT6" s="68" t="e" cm="1" vm="1">
        <f t="array" ref="TMT6">_xlfn._xlws.FILTER(TablaProductos[Nombre producto],TablaProductos[Agrupación]=ProductosPivot!TMT5)</f>
        <v>#VALUE!</v>
      </c>
      <c r="TMU6" s="68" t="e" cm="1" vm="1">
        <f t="array" ref="TMU6">_xlfn._xlws.FILTER(TablaProductos[Nombre producto],TablaProductos[Agrupación]=ProductosPivot!TMU5)</f>
        <v>#VALUE!</v>
      </c>
      <c r="TMV6" s="68" t="e" cm="1" vm="1">
        <f t="array" ref="TMV6">_xlfn._xlws.FILTER(TablaProductos[Nombre producto],TablaProductos[Agrupación]=ProductosPivot!TMV5)</f>
        <v>#VALUE!</v>
      </c>
      <c r="TMW6" s="68" t="e" cm="1" vm="1">
        <f t="array" ref="TMW6">_xlfn._xlws.FILTER(TablaProductos[Nombre producto],TablaProductos[Agrupación]=ProductosPivot!TMW5)</f>
        <v>#VALUE!</v>
      </c>
      <c r="TMX6" s="68" t="e" cm="1" vm="1">
        <f t="array" ref="TMX6">_xlfn._xlws.FILTER(TablaProductos[Nombre producto],TablaProductos[Agrupación]=ProductosPivot!TMX5)</f>
        <v>#VALUE!</v>
      </c>
      <c r="TMY6" s="68" t="e" cm="1" vm="1">
        <f t="array" ref="TMY6">_xlfn._xlws.FILTER(TablaProductos[Nombre producto],TablaProductos[Agrupación]=ProductosPivot!TMY5)</f>
        <v>#VALUE!</v>
      </c>
      <c r="TMZ6" s="68" t="e" cm="1" vm="1">
        <f t="array" ref="TMZ6">_xlfn._xlws.FILTER(TablaProductos[Nombre producto],TablaProductos[Agrupación]=ProductosPivot!TMZ5)</f>
        <v>#VALUE!</v>
      </c>
      <c r="TNA6" s="68" t="e" cm="1" vm="1">
        <f t="array" ref="TNA6">_xlfn._xlws.FILTER(TablaProductos[Nombre producto],TablaProductos[Agrupación]=ProductosPivot!TNA5)</f>
        <v>#VALUE!</v>
      </c>
      <c r="TNB6" s="68" t="e" cm="1" vm="1">
        <f t="array" ref="TNB6">_xlfn._xlws.FILTER(TablaProductos[Nombre producto],TablaProductos[Agrupación]=ProductosPivot!TNB5)</f>
        <v>#VALUE!</v>
      </c>
      <c r="TNC6" s="68" t="e" cm="1" vm="1">
        <f t="array" ref="TNC6">_xlfn._xlws.FILTER(TablaProductos[Nombre producto],TablaProductos[Agrupación]=ProductosPivot!TNC5)</f>
        <v>#VALUE!</v>
      </c>
      <c r="TND6" s="68" t="e" cm="1" vm="1">
        <f t="array" ref="TND6">_xlfn._xlws.FILTER(TablaProductos[Nombre producto],TablaProductos[Agrupación]=ProductosPivot!TND5)</f>
        <v>#VALUE!</v>
      </c>
      <c r="TNE6" s="68" t="e" cm="1" vm="1">
        <f t="array" ref="TNE6">_xlfn._xlws.FILTER(TablaProductos[Nombre producto],TablaProductos[Agrupación]=ProductosPivot!TNE5)</f>
        <v>#VALUE!</v>
      </c>
      <c r="TNF6" s="68" t="e" cm="1" vm="1">
        <f t="array" ref="TNF6">_xlfn._xlws.FILTER(TablaProductos[Nombre producto],TablaProductos[Agrupación]=ProductosPivot!TNF5)</f>
        <v>#VALUE!</v>
      </c>
      <c r="TNG6" s="68" t="e" cm="1" vm="1">
        <f t="array" ref="TNG6">_xlfn._xlws.FILTER(TablaProductos[Nombre producto],TablaProductos[Agrupación]=ProductosPivot!TNG5)</f>
        <v>#VALUE!</v>
      </c>
      <c r="TNH6" s="68" t="e" cm="1" vm="1">
        <f t="array" ref="TNH6">_xlfn._xlws.FILTER(TablaProductos[Nombre producto],TablaProductos[Agrupación]=ProductosPivot!TNH5)</f>
        <v>#VALUE!</v>
      </c>
      <c r="TNI6" s="68" t="e" cm="1" vm="1">
        <f t="array" ref="TNI6">_xlfn._xlws.FILTER(TablaProductos[Nombre producto],TablaProductos[Agrupación]=ProductosPivot!TNI5)</f>
        <v>#VALUE!</v>
      </c>
      <c r="TNJ6" s="68" t="e" cm="1" vm="1">
        <f t="array" ref="TNJ6">_xlfn._xlws.FILTER(TablaProductos[Nombre producto],TablaProductos[Agrupación]=ProductosPivot!TNJ5)</f>
        <v>#VALUE!</v>
      </c>
      <c r="TNK6" s="68" t="e" cm="1" vm="1">
        <f t="array" ref="TNK6">_xlfn._xlws.FILTER(TablaProductos[Nombre producto],TablaProductos[Agrupación]=ProductosPivot!TNK5)</f>
        <v>#VALUE!</v>
      </c>
      <c r="TNL6" s="68" t="e" cm="1" vm="1">
        <f t="array" ref="TNL6">_xlfn._xlws.FILTER(TablaProductos[Nombre producto],TablaProductos[Agrupación]=ProductosPivot!TNL5)</f>
        <v>#VALUE!</v>
      </c>
      <c r="TNM6" s="68" t="e" cm="1" vm="1">
        <f t="array" ref="TNM6">_xlfn._xlws.FILTER(TablaProductos[Nombre producto],TablaProductos[Agrupación]=ProductosPivot!TNM5)</f>
        <v>#VALUE!</v>
      </c>
      <c r="TNN6" s="68" t="e" cm="1" vm="1">
        <f t="array" ref="TNN6">_xlfn._xlws.FILTER(TablaProductos[Nombre producto],TablaProductos[Agrupación]=ProductosPivot!TNN5)</f>
        <v>#VALUE!</v>
      </c>
      <c r="TNO6" s="68" t="e" cm="1" vm="1">
        <f t="array" ref="TNO6">_xlfn._xlws.FILTER(TablaProductos[Nombre producto],TablaProductos[Agrupación]=ProductosPivot!TNO5)</f>
        <v>#VALUE!</v>
      </c>
      <c r="TNP6" s="68" t="e" cm="1" vm="1">
        <f t="array" ref="TNP6">_xlfn._xlws.FILTER(TablaProductos[Nombre producto],TablaProductos[Agrupación]=ProductosPivot!TNP5)</f>
        <v>#VALUE!</v>
      </c>
      <c r="TNQ6" s="68" t="e" cm="1" vm="1">
        <f t="array" ref="TNQ6">_xlfn._xlws.FILTER(TablaProductos[Nombre producto],TablaProductos[Agrupación]=ProductosPivot!TNQ5)</f>
        <v>#VALUE!</v>
      </c>
      <c r="TNR6" s="68" t="e" cm="1" vm="1">
        <f t="array" ref="TNR6">_xlfn._xlws.FILTER(TablaProductos[Nombre producto],TablaProductos[Agrupación]=ProductosPivot!TNR5)</f>
        <v>#VALUE!</v>
      </c>
      <c r="TNS6" s="68" t="e" cm="1" vm="1">
        <f t="array" ref="TNS6">_xlfn._xlws.FILTER(TablaProductos[Nombre producto],TablaProductos[Agrupación]=ProductosPivot!TNS5)</f>
        <v>#VALUE!</v>
      </c>
      <c r="TNT6" s="68" t="e" cm="1" vm="1">
        <f t="array" ref="TNT6">_xlfn._xlws.FILTER(TablaProductos[Nombre producto],TablaProductos[Agrupación]=ProductosPivot!TNT5)</f>
        <v>#VALUE!</v>
      </c>
      <c r="TNU6" s="68" t="e" cm="1" vm="1">
        <f t="array" ref="TNU6">_xlfn._xlws.FILTER(TablaProductos[Nombre producto],TablaProductos[Agrupación]=ProductosPivot!TNU5)</f>
        <v>#VALUE!</v>
      </c>
      <c r="TNV6" s="68" t="e" cm="1" vm="1">
        <f t="array" ref="TNV6">_xlfn._xlws.FILTER(TablaProductos[Nombre producto],TablaProductos[Agrupación]=ProductosPivot!TNV5)</f>
        <v>#VALUE!</v>
      </c>
      <c r="TNW6" s="68" t="e" cm="1" vm="1">
        <f t="array" ref="TNW6">_xlfn._xlws.FILTER(TablaProductos[Nombre producto],TablaProductos[Agrupación]=ProductosPivot!TNW5)</f>
        <v>#VALUE!</v>
      </c>
      <c r="TNX6" s="68" t="e" cm="1" vm="1">
        <f t="array" ref="TNX6">_xlfn._xlws.FILTER(TablaProductos[Nombre producto],TablaProductos[Agrupación]=ProductosPivot!TNX5)</f>
        <v>#VALUE!</v>
      </c>
      <c r="TNY6" s="68" t="e" cm="1" vm="1">
        <f t="array" ref="TNY6">_xlfn._xlws.FILTER(TablaProductos[Nombre producto],TablaProductos[Agrupación]=ProductosPivot!TNY5)</f>
        <v>#VALUE!</v>
      </c>
      <c r="TNZ6" s="68" t="e" cm="1" vm="1">
        <f t="array" ref="TNZ6">_xlfn._xlws.FILTER(TablaProductos[Nombre producto],TablaProductos[Agrupación]=ProductosPivot!TNZ5)</f>
        <v>#VALUE!</v>
      </c>
      <c r="TOA6" s="68" t="e" cm="1" vm="1">
        <f t="array" ref="TOA6">_xlfn._xlws.FILTER(TablaProductos[Nombre producto],TablaProductos[Agrupación]=ProductosPivot!TOA5)</f>
        <v>#VALUE!</v>
      </c>
      <c r="TOB6" s="68" t="e" cm="1" vm="1">
        <f t="array" ref="TOB6">_xlfn._xlws.FILTER(TablaProductos[Nombre producto],TablaProductos[Agrupación]=ProductosPivot!TOB5)</f>
        <v>#VALUE!</v>
      </c>
      <c r="TOC6" s="68" t="e" cm="1" vm="1">
        <f t="array" ref="TOC6">_xlfn._xlws.FILTER(TablaProductos[Nombre producto],TablaProductos[Agrupación]=ProductosPivot!TOC5)</f>
        <v>#VALUE!</v>
      </c>
      <c r="TOD6" s="68" t="e" cm="1" vm="1">
        <f t="array" ref="TOD6">_xlfn._xlws.FILTER(TablaProductos[Nombre producto],TablaProductos[Agrupación]=ProductosPivot!TOD5)</f>
        <v>#VALUE!</v>
      </c>
      <c r="TOE6" s="68" t="e" cm="1" vm="1">
        <f t="array" ref="TOE6">_xlfn._xlws.FILTER(TablaProductos[Nombre producto],TablaProductos[Agrupación]=ProductosPivot!TOE5)</f>
        <v>#VALUE!</v>
      </c>
      <c r="TOF6" s="68" t="e" cm="1" vm="1">
        <f t="array" ref="TOF6">_xlfn._xlws.FILTER(TablaProductos[Nombre producto],TablaProductos[Agrupación]=ProductosPivot!TOF5)</f>
        <v>#VALUE!</v>
      </c>
      <c r="TOG6" s="68" t="e" cm="1" vm="1">
        <f t="array" ref="TOG6">_xlfn._xlws.FILTER(TablaProductos[Nombre producto],TablaProductos[Agrupación]=ProductosPivot!TOG5)</f>
        <v>#VALUE!</v>
      </c>
      <c r="TOH6" s="68" t="e" cm="1" vm="1">
        <f t="array" ref="TOH6">_xlfn._xlws.FILTER(TablaProductos[Nombre producto],TablaProductos[Agrupación]=ProductosPivot!TOH5)</f>
        <v>#VALUE!</v>
      </c>
      <c r="TOI6" s="68" t="e" cm="1" vm="1">
        <f t="array" ref="TOI6">_xlfn._xlws.FILTER(TablaProductos[Nombre producto],TablaProductos[Agrupación]=ProductosPivot!TOI5)</f>
        <v>#VALUE!</v>
      </c>
      <c r="TOJ6" s="68" t="e" cm="1" vm="1">
        <f t="array" ref="TOJ6">_xlfn._xlws.FILTER(TablaProductos[Nombre producto],TablaProductos[Agrupación]=ProductosPivot!TOJ5)</f>
        <v>#VALUE!</v>
      </c>
      <c r="TOK6" s="68" t="e" cm="1" vm="1">
        <f t="array" ref="TOK6">_xlfn._xlws.FILTER(TablaProductos[Nombre producto],TablaProductos[Agrupación]=ProductosPivot!TOK5)</f>
        <v>#VALUE!</v>
      </c>
      <c r="TOL6" s="68" t="e" cm="1" vm="1">
        <f t="array" ref="TOL6">_xlfn._xlws.FILTER(TablaProductos[Nombre producto],TablaProductos[Agrupación]=ProductosPivot!TOL5)</f>
        <v>#VALUE!</v>
      </c>
      <c r="TOM6" s="68" t="e" cm="1" vm="1">
        <f t="array" ref="TOM6">_xlfn._xlws.FILTER(TablaProductos[Nombre producto],TablaProductos[Agrupación]=ProductosPivot!TOM5)</f>
        <v>#VALUE!</v>
      </c>
      <c r="TON6" s="68" t="e" cm="1" vm="1">
        <f t="array" ref="TON6">_xlfn._xlws.FILTER(TablaProductos[Nombre producto],TablaProductos[Agrupación]=ProductosPivot!TON5)</f>
        <v>#VALUE!</v>
      </c>
      <c r="TOO6" s="68" t="e" cm="1" vm="1">
        <f t="array" ref="TOO6">_xlfn._xlws.FILTER(TablaProductos[Nombre producto],TablaProductos[Agrupación]=ProductosPivot!TOO5)</f>
        <v>#VALUE!</v>
      </c>
      <c r="TOP6" s="68" t="e" cm="1" vm="1">
        <f t="array" ref="TOP6">_xlfn._xlws.FILTER(TablaProductos[Nombre producto],TablaProductos[Agrupación]=ProductosPivot!TOP5)</f>
        <v>#VALUE!</v>
      </c>
      <c r="TOQ6" s="68" t="e" cm="1" vm="1">
        <f t="array" ref="TOQ6">_xlfn._xlws.FILTER(TablaProductos[Nombre producto],TablaProductos[Agrupación]=ProductosPivot!TOQ5)</f>
        <v>#VALUE!</v>
      </c>
      <c r="TOR6" s="68" t="e" cm="1" vm="1">
        <f t="array" ref="TOR6">_xlfn._xlws.FILTER(TablaProductos[Nombre producto],TablaProductos[Agrupación]=ProductosPivot!TOR5)</f>
        <v>#VALUE!</v>
      </c>
      <c r="TOS6" s="68" t="e" cm="1" vm="1">
        <f t="array" ref="TOS6">_xlfn._xlws.FILTER(TablaProductos[Nombre producto],TablaProductos[Agrupación]=ProductosPivot!TOS5)</f>
        <v>#VALUE!</v>
      </c>
      <c r="TOT6" s="68" t="e" cm="1" vm="1">
        <f t="array" ref="TOT6">_xlfn._xlws.FILTER(TablaProductos[Nombre producto],TablaProductos[Agrupación]=ProductosPivot!TOT5)</f>
        <v>#VALUE!</v>
      </c>
      <c r="TOU6" s="68" t="e" cm="1" vm="1">
        <f t="array" ref="TOU6">_xlfn._xlws.FILTER(TablaProductos[Nombre producto],TablaProductos[Agrupación]=ProductosPivot!TOU5)</f>
        <v>#VALUE!</v>
      </c>
      <c r="TOV6" s="68" t="e" cm="1" vm="1">
        <f t="array" ref="TOV6">_xlfn._xlws.FILTER(TablaProductos[Nombre producto],TablaProductos[Agrupación]=ProductosPivot!TOV5)</f>
        <v>#VALUE!</v>
      </c>
      <c r="TOW6" s="68" t="e" cm="1" vm="1">
        <f t="array" ref="TOW6">_xlfn._xlws.FILTER(TablaProductos[Nombre producto],TablaProductos[Agrupación]=ProductosPivot!TOW5)</f>
        <v>#VALUE!</v>
      </c>
      <c r="TOX6" s="68" t="e" cm="1" vm="1">
        <f t="array" ref="TOX6">_xlfn._xlws.FILTER(TablaProductos[Nombre producto],TablaProductos[Agrupación]=ProductosPivot!TOX5)</f>
        <v>#VALUE!</v>
      </c>
      <c r="TOY6" s="68" t="e" cm="1" vm="1">
        <f t="array" ref="TOY6">_xlfn._xlws.FILTER(TablaProductos[Nombre producto],TablaProductos[Agrupación]=ProductosPivot!TOY5)</f>
        <v>#VALUE!</v>
      </c>
      <c r="TOZ6" s="68" t="e" cm="1" vm="1">
        <f t="array" ref="TOZ6">_xlfn._xlws.FILTER(TablaProductos[Nombre producto],TablaProductos[Agrupación]=ProductosPivot!TOZ5)</f>
        <v>#VALUE!</v>
      </c>
      <c r="TPA6" s="68" t="e" cm="1" vm="1">
        <f t="array" ref="TPA6">_xlfn._xlws.FILTER(TablaProductos[Nombre producto],TablaProductos[Agrupación]=ProductosPivot!TPA5)</f>
        <v>#VALUE!</v>
      </c>
      <c r="TPB6" s="68" t="e" cm="1" vm="1">
        <f t="array" ref="TPB6">_xlfn._xlws.FILTER(TablaProductos[Nombre producto],TablaProductos[Agrupación]=ProductosPivot!TPB5)</f>
        <v>#VALUE!</v>
      </c>
      <c r="TPC6" s="68" t="e" cm="1" vm="1">
        <f t="array" ref="TPC6">_xlfn._xlws.FILTER(TablaProductos[Nombre producto],TablaProductos[Agrupación]=ProductosPivot!TPC5)</f>
        <v>#VALUE!</v>
      </c>
      <c r="TPD6" s="68" t="e" cm="1" vm="1">
        <f t="array" ref="TPD6">_xlfn._xlws.FILTER(TablaProductos[Nombre producto],TablaProductos[Agrupación]=ProductosPivot!TPD5)</f>
        <v>#VALUE!</v>
      </c>
      <c r="TPE6" s="68" t="e" cm="1" vm="1">
        <f t="array" ref="TPE6">_xlfn._xlws.FILTER(TablaProductos[Nombre producto],TablaProductos[Agrupación]=ProductosPivot!TPE5)</f>
        <v>#VALUE!</v>
      </c>
      <c r="TPF6" s="68" t="e" cm="1" vm="1">
        <f t="array" ref="TPF6">_xlfn._xlws.FILTER(TablaProductos[Nombre producto],TablaProductos[Agrupación]=ProductosPivot!TPF5)</f>
        <v>#VALUE!</v>
      </c>
      <c r="TPG6" s="68" t="e" cm="1" vm="1">
        <f t="array" ref="TPG6">_xlfn._xlws.FILTER(TablaProductos[Nombre producto],TablaProductos[Agrupación]=ProductosPivot!TPG5)</f>
        <v>#VALUE!</v>
      </c>
      <c r="TPH6" s="68" t="e" cm="1" vm="1">
        <f t="array" ref="TPH6">_xlfn._xlws.FILTER(TablaProductos[Nombre producto],TablaProductos[Agrupación]=ProductosPivot!TPH5)</f>
        <v>#VALUE!</v>
      </c>
      <c r="TPI6" s="68" t="e" cm="1" vm="1">
        <f t="array" ref="TPI6">_xlfn._xlws.FILTER(TablaProductos[Nombre producto],TablaProductos[Agrupación]=ProductosPivot!TPI5)</f>
        <v>#VALUE!</v>
      </c>
      <c r="TPJ6" s="68" t="e" cm="1" vm="1">
        <f t="array" ref="TPJ6">_xlfn._xlws.FILTER(TablaProductos[Nombre producto],TablaProductos[Agrupación]=ProductosPivot!TPJ5)</f>
        <v>#VALUE!</v>
      </c>
      <c r="TPK6" s="68" t="e" cm="1" vm="1">
        <f t="array" ref="TPK6">_xlfn._xlws.FILTER(TablaProductos[Nombre producto],TablaProductos[Agrupación]=ProductosPivot!TPK5)</f>
        <v>#VALUE!</v>
      </c>
      <c r="TPL6" s="68" t="e" cm="1" vm="1">
        <f t="array" ref="TPL6">_xlfn._xlws.FILTER(TablaProductos[Nombre producto],TablaProductos[Agrupación]=ProductosPivot!TPL5)</f>
        <v>#VALUE!</v>
      </c>
      <c r="TPM6" s="68" t="e" cm="1" vm="1">
        <f t="array" ref="TPM6">_xlfn._xlws.FILTER(TablaProductos[Nombre producto],TablaProductos[Agrupación]=ProductosPivot!TPM5)</f>
        <v>#VALUE!</v>
      </c>
      <c r="TPN6" s="68" t="e" cm="1" vm="1">
        <f t="array" ref="TPN6">_xlfn._xlws.FILTER(TablaProductos[Nombre producto],TablaProductos[Agrupación]=ProductosPivot!TPN5)</f>
        <v>#VALUE!</v>
      </c>
      <c r="TPO6" s="68" t="e" cm="1" vm="1">
        <f t="array" ref="TPO6">_xlfn._xlws.FILTER(TablaProductos[Nombre producto],TablaProductos[Agrupación]=ProductosPivot!TPO5)</f>
        <v>#VALUE!</v>
      </c>
      <c r="TPP6" s="68" t="e" cm="1" vm="1">
        <f t="array" ref="TPP6">_xlfn._xlws.FILTER(TablaProductos[Nombre producto],TablaProductos[Agrupación]=ProductosPivot!TPP5)</f>
        <v>#VALUE!</v>
      </c>
      <c r="TPQ6" s="68" t="e" cm="1" vm="1">
        <f t="array" ref="TPQ6">_xlfn._xlws.FILTER(TablaProductos[Nombre producto],TablaProductos[Agrupación]=ProductosPivot!TPQ5)</f>
        <v>#VALUE!</v>
      </c>
      <c r="TPR6" s="68" t="e" cm="1" vm="1">
        <f t="array" ref="TPR6">_xlfn._xlws.FILTER(TablaProductos[Nombre producto],TablaProductos[Agrupación]=ProductosPivot!TPR5)</f>
        <v>#VALUE!</v>
      </c>
      <c r="TPS6" s="68" t="e" cm="1" vm="1">
        <f t="array" ref="TPS6">_xlfn._xlws.FILTER(TablaProductos[Nombre producto],TablaProductos[Agrupación]=ProductosPivot!TPS5)</f>
        <v>#VALUE!</v>
      </c>
      <c r="TPT6" s="68" t="e" cm="1" vm="1">
        <f t="array" ref="TPT6">_xlfn._xlws.FILTER(TablaProductos[Nombre producto],TablaProductos[Agrupación]=ProductosPivot!TPT5)</f>
        <v>#VALUE!</v>
      </c>
      <c r="TPU6" s="68" t="e" cm="1" vm="1">
        <f t="array" ref="TPU6">_xlfn._xlws.FILTER(TablaProductos[Nombre producto],TablaProductos[Agrupación]=ProductosPivot!TPU5)</f>
        <v>#VALUE!</v>
      </c>
      <c r="TPV6" s="68" t="e" cm="1" vm="1">
        <f t="array" ref="TPV6">_xlfn._xlws.FILTER(TablaProductos[Nombre producto],TablaProductos[Agrupación]=ProductosPivot!TPV5)</f>
        <v>#VALUE!</v>
      </c>
      <c r="TPW6" s="68" t="e" cm="1" vm="1">
        <f t="array" ref="TPW6">_xlfn._xlws.FILTER(TablaProductos[Nombre producto],TablaProductos[Agrupación]=ProductosPivot!TPW5)</f>
        <v>#VALUE!</v>
      </c>
      <c r="TPX6" s="68" t="e" cm="1" vm="1">
        <f t="array" ref="TPX6">_xlfn._xlws.FILTER(TablaProductos[Nombre producto],TablaProductos[Agrupación]=ProductosPivot!TPX5)</f>
        <v>#VALUE!</v>
      </c>
      <c r="TPY6" s="68" t="e" cm="1" vm="1">
        <f t="array" ref="TPY6">_xlfn._xlws.FILTER(TablaProductos[Nombre producto],TablaProductos[Agrupación]=ProductosPivot!TPY5)</f>
        <v>#VALUE!</v>
      </c>
      <c r="TPZ6" s="68" t="e" cm="1" vm="1">
        <f t="array" ref="TPZ6">_xlfn._xlws.FILTER(TablaProductos[Nombre producto],TablaProductos[Agrupación]=ProductosPivot!TPZ5)</f>
        <v>#VALUE!</v>
      </c>
      <c r="TQA6" s="68" t="e" cm="1" vm="1">
        <f t="array" ref="TQA6">_xlfn._xlws.FILTER(TablaProductos[Nombre producto],TablaProductos[Agrupación]=ProductosPivot!TQA5)</f>
        <v>#VALUE!</v>
      </c>
      <c r="TQB6" s="68" t="e" cm="1" vm="1">
        <f t="array" ref="TQB6">_xlfn._xlws.FILTER(TablaProductos[Nombre producto],TablaProductos[Agrupación]=ProductosPivot!TQB5)</f>
        <v>#VALUE!</v>
      </c>
      <c r="TQC6" s="68" t="e" cm="1" vm="1">
        <f t="array" ref="TQC6">_xlfn._xlws.FILTER(TablaProductos[Nombre producto],TablaProductos[Agrupación]=ProductosPivot!TQC5)</f>
        <v>#VALUE!</v>
      </c>
      <c r="TQD6" s="68" t="e" cm="1" vm="1">
        <f t="array" ref="TQD6">_xlfn._xlws.FILTER(TablaProductos[Nombre producto],TablaProductos[Agrupación]=ProductosPivot!TQD5)</f>
        <v>#VALUE!</v>
      </c>
      <c r="TQE6" s="68" t="e" cm="1" vm="1">
        <f t="array" ref="TQE6">_xlfn._xlws.FILTER(TablaProductos[Nombre producto],TablaProductos[Agrupación]=ProductosPivot!TQE5)</f>
        <v>#VALUE!</v>
      </c>
      <c r="TQF6" s="68" t="e" cm="1" vm="1">
        <f t="array" ref="TQF6">_xlfn._xlws.FILTER(TablaProductos[Nombre producto],TablaProductos[Agrupación]=ProductosPivot!TQF5)</f>
        <v>#VALUE!</v>
      </c>
      <c r="TQG6" s="68" t="e" cm="1" vm="1">
        <f t="array" ref="TQG6">_xlfn._xlws.FILTER(TablaProductos[Nombre producto],TablaProductos[Agrupación]=ProductosPivot!TQG5)</f>
        <v>#VALUE!</v>
      </c>
      <c r="TQH6" s="68" t="e" cm="1" vm="1">
        <f t="array" ref="TQH6">_xlfn._xlws.FILTER(TablaProductos[Nombre producto],TablaProductos[Agrupación]=ProductosPivot!TQH5)</f>
        <v>#VALUE!</v>
      </c>
      <c r="TQI6" s="68" t="e" cm="1" vm="1">
        <f t="array" ref="TQI6">_xlfn._xlws.FILTER(TablaProductos[Nombre producto],TablaProductos[Agrupación]=ProductosPivot!TQI5)</f>
        <v>#VALUE!</v>
      </c>
      <c r="TQJ6" s="68" t="e" cm="1" vm="1">
        <f t="array" ref="TQJ6">_xlfn._xlws.FILTER(TablaProductos[Nombre producto],TablaProductos[Agrupación]=ProductosPivot!TQJ5)</f>
        <v>#VALUE!</v>
      </c>
      <c r="TQK6" s="68" t="e" cm="1" vm="1">
        <f t="array" ref="TQK6">_xlfn._xlws.FILTER(TablaProductos[Nombre producto],TablaProductos[Agrupación]=ProductosPivot!TQK5)</f>
        <v>#VALUE!</v>
      </c>
      <c r="TQL6" s="68" t="e" cm="1" vm="1">
        <f t="array" ref="TQL6">_xlfn._xlws.FILTER(TablaProductos[Nombre producto],TablaProductos[Agrupación]=ProductosPivot!TQL5)</f>
        <v>#VALUE!</v>
      </c>
      <c r="TQM6" s="68" t="e" cm="1" vm="1">
        <f t="array" ref="TQM6">_xlfn._xlws.FILTER(TablaProductos[Nombre producto],TablaProductos[Agrupación]=ProductosPivot!TQM5)</f>
        <v>#VALUE!</v>
      </c>
      <c r="TQN6" s="68" t="e" cm="1" vm="1">
        <f t="array" ref="TQN6">_xlfn._xlws.FILTER(TablaProductos[Nombre producto],TablaProductos[Agrupación]=ProductosPivot!TQN5)</f>
        <v>#VALUE!</v>
      </c>
      <c r="TQO6" s="68" t="e" cm="1" vm="1">
        <f t="array" ref="TQO6">_xlfn._xlws.FILTER(TablaProductos[Nombre producto],TablaProductos[Agrupación]=ProductosPivot!TQO5)</f>
        <v>#VALUE!</v>
      </c>
      <c r="TQP6" s="68" t="e" cm="1" vm="1">
        <f t="array" ref="TQP6">_xlfn._xlws.FILTER(TablaProductos[Nombre producto],TablaProductos[Agrupación]=ProductosPivot!TQP5)</f>
        <v>#VALUE!</v>
      </c>
      <c r="TQQ6" s="68" t="e" cm="1" vm="1">
        <f t="array" ref="TQQ6">_xlfn._xlws.FILTER(TablaProductos[Nombre producto],TablaProductos[Agrupación]=ProductosPivot!TQQ5)</f>
        <v>#VALUE!</v>
      </c>
      <c r="TQR6" s="68" t="e" cm="1" vm="1">
        <f t="array" ref="TQR6">_xlfn._xlws.FILTER(TablaProductos[Nombre producto],TablaProductos[Agrupación]=ProductosPivot!TQR5)</f>
        <v>#VALUE!</v>
      </c>
      <c r="TQS6" s="68" t="e" cm="1" vm="1">
        <f t="array" ref="TQS6">_xlfn._xlws.FILTER(TablaProductos[Nombre producto],TablaProductos[Agrupación]=ProductosPivot!TQS5)</f>
        <v>#VALUE!</v>
      </c>
      <c r="TQT6" s="68" t="e" cm="1" vm="1">
        <f t="array" ref="TQT6">_xlfn._xlws.FILTER(TablaProductos[Nombre producto],TablaProductos[Agrupación]=ProductosPivot!TQT5)</f>
        <v>#VALUE!</v>
      </c>
      <c r="TQU6" s="68" t="e" cm="1" vm="1">
        <f t="array" ref="TQU6">_xlfn._xlws.FILTER(TablaProductos[Nombre producto],TablaProductos[Agrupación]=ProductosPivot!TQU5)</f>
        <v>#VALUE!</v>
      </c>
      <c r="TQV6" s="68" t="e" cm="1" vm="1">
        <f t="array" ref="TQV6">_xlfn._xlws.FILTER(TablaProductos[Nombre producto],TablaProductos[Agrupación]=ProductosPivot!TQV5)</f>
        <v>#VALUE!</v>
      </c>
      <c r="TQW6" s="68" t="e" cm="1" vm="1">
        <f t="array" ref="TQW6">_xlfn._xlws.FILTER(TablaProductos[Nombre producto],TablaProductos[Agrupación]=ProductosPivot!TQW5)</f>
        <v>#VALUE!</v>
      </c>
      <c r="TQX6" s="68" t="e" cm="1" vm="1">
        <f t="array" ref="TQX6">_xlfn._xlws.FILTER(TablaProductos[Nombre producto],TablaProductos[Agrupación]=ProductosPivot!TQX5)</f>
        <v>#VALUE!</v>
      </c>
      <c r="TQY6" s="68" t="e" cm="1" vm="1">
        <f t="array" ref="TQY6">_xlfn._xlws.FILTER(TablaProductos[Nombre producto],TablaProductos[Agrupación]=ProductosPivot!TQY5)</f>
        <v>#VALUE!</v>
      </c>
      <c r="TQZ6" s="68" t="e" cm="1" vm="1">
        <f t="array" ref="TQZ6">_xlfn._xlws.FILTER(TablaProductos[Nombre producto],TablaProductos[Agrupación]=ProductosPivot!TQZ5)</f>
        <v>#VALUE!</v>
      </c>
      <c r="TRA6" s="68" t="e" cm="1" vm="1">
        <f t="array" ref="TRA6">_xlfn._xlws.FILTER(TablaProductos[Nombre producto],TablaProductos[Agrupación]=ProductosPivot!TRA5)</f>
        <v>#VALUE!</v>
      </c>
      <c r="TRB6" s="68" t="e" cm="1" vm="1">
        <f t="array" ref="TRB6">_xlfn._xlws.FILTER(TablaProductos[Nombre producto],TablaProductos[Agrupación]=ProductosPivot!TRB5)</f>
        <v>#VALUE!</v>
      </c>
      <c r="TRC6" s="68" t="e" cm="1" vm="1">
        <f t="array" ref="TRC6">_xlfn._xlws.FILTER(TablaProductos[Nombre producto],TablaProductos[Agrupación]=ProductosPivot!TRC5)</f>
        <v>#VALUE!</v>
      </c>
      <c r="TRD6" s="68" t="e" cm="1" vm="1">
        <f t="array" ref="TRD6">_xlfn._xlws.FILTER(TablaProductos[Nombre producto],TablaProductos[Agrupación]=ProductosPivot!TRD5)</f>
        <v>#VALUE!</v>
      </c>
      <c r="TRE6" s="68" t="e" cm="1" vm="1">
        <f t="array" ref="TRE6">_xlfn._xlws.FILTER(TablaProductos[Nombre producto],TablaProductos[Agrupación]=ProductosPivot!TRE5)</f>
        <v>#VALUE!</v>
      </c>
      <c r="TRF6" s="68" t="e" cm="1" vm="1">
        <f t="array" ref="TRF6">_xlfn._xlws.FILTER(TablaProductos[Nombre producto],TablaProductos[Agrupación]=ProductosPivot!TRF5)</f>
        <v>#VALUE!</v>
      </c>
      <c r="TRG6" s="68" t="e" cm="1" vm="1">
        <f t="array" ref="TRG6">_xlfn._xlws.FILTER(TablaProductos[Nombre producto],TablaProductos[Agrupación]=ProductosPivot!TRG5)</f>
        <v>#VALUE!</v>
      </c>
      <c r="TRH6" s="68" t="e" cm="1" vm="1">
        <f t="array" ref="TRH6">_xlfn._xlws.FILTER(TablaProductos[Nombre producto],TablaProductos[Agrupación]=ProductosPivot!TRH5)</f>
        <v>#VALUE!</v>
      </c>
      <c r="TRI6" s="68" t="e" cm="1" vm="1">
        <f t="array" ref="TRI6">_xlfn._xlws.FILTER(TablaProductos[Nombre producto],TablaProductos[Agrupación]=ProductosPivot!TRI5)</f>
        <v>#VALUE!</v>
      </c>
      <c r="TRJ6" s="68" t="e" cm="1" vm="1">
        <f t="array" ref="TRJ6">_xlfn._xlws.FILTER(TablaProductos[Nombre producto],TablaProductos[Agrupación]=ProductosPivot!TRJ5)</f>
        <v>#VALUE!</v>
      </c>
      <c r="TRK6" s="68" t="e" cm="1" vm="1">
        <f t="array" ref="TRK6">_xlfn._xlws.FILTER(TablaProductos[Nombre producto],TablaProductos[Agrupación]=ProductosPivot!TRK5)</f>
        <v>#VALUE!</v>
      </c>
      <c r="TRL6" s="68" t="e" cm="1" vm="1">
        <f t="array" ref="TRL6">_xlfn._xlws.FILTER(TablaProductos[Nombre producto],TablaProductos[Agrupación]=ProductosPivot!TRL5)</f>
        <v>#VALUE!</v>
      </c>
      <c r="TRM6" s="68" t="e" cm="1" vm="1">
        <f t="array" ref="TRM6">_xlfn._xlws.FILTER(TablaProductos[Nombre producto],TablaProductos[Agrupación]=ProductosPivot!TRM5)</f>
        <v>#VALUE!</v>
      </c>
      <c r="TRN6" s="68" t="e" cm="1" vm="1">
        <f t="array" ref="TRN6">_xlfn._xlws.FILTER(TablaProductos[Nombre producto],TablaProductos[Agrupación]=ProductosPivot!TRN5)</f>
        <v>#VALUE!</v>
      </c>
      <c r="TRO6" s="68" t="e" cm="1" vm="1">
        <f t="array" ref="TRO6">_xlfn._xlws.FILTER(TablaProductos[Nombre producto],TablaProductos[Agrupación]=ProductosPivot!TRO5)</f>
        <v>#VALUE!</v>
      </c>
      <c r="TRP6" s="68" t="e" cm="1" vm="1">
        <f t="array" ref="TRP6">_xlfn._xlws.FILTER(TablaProductos[Nombre producto],TablaProductos[Agrupación]=ProductosPivot!TRP5)</f>
        <v>#VALUE!</v>
      </c>
      <c r="TRQ6" s="68" t="e" cm="1" vm="1">
        <f t="array" ref="TRQ6">_xlfn._xlws.FILTER(TablaProductos[Nombre producto],TablaProductos[Agrupación]=ProductosPivot!TRQ5)</f>
        <v>#VALUE!</v>
      </c>
      <c r="TRR6" s="68" t="e" cm="1" vm="1">
        <f t="array" ref="TRR6">_xlfn._xlws.FILTER(TablaProductos[Nombre producto],TablaProductos[Agrupación]=ProductosPivot!TRR5)</f>
        <v>#VALUE!</v>
      </c>
      <c r="TRS6" s="68" t="e" cm="1" vm="1">
        <f t="array" ref="TRS6">_xlfn._xlws.FILTER(TablaProductos[Nombre producto],TablaProductos[Agrupación]=ProductosPivot!TRS5)</f>
        <v>#VALUE!</v>
      </c>
      <c r="TRT6" s="68" t="e" cm="1" vm="1">
        <f t="array" ref="TRT6">_xlfn._xlws.FILTER(TablaProductos[Nombre producto],TablaProductos[Agrupación]=ProductosPivot!TRT5)</f>
        <v>#VALUE!</v>
      </c>
      <c r="TRU6" s="68" t="e" cm="1" vm="1">
        <f t="array" ref="TRU6">_xlfn._xlws.FILTER(TablaProductos[Nombre producto],TablaProductos[Agrupación]=ProductosPivot!TRU5)</f>
        <v>#VALUE!</v>
      </c>
      <c r="TRV6" s="68" t="e" cm="1" vm="1">
        <f t="array" ref="TRV6">_xlfn._xlws.FILTER(TablaProductos[Nombre producto],TablaProductos[Agrupación]=ProductosPivot!TRV5)</f>
        <v>#VALUE!</v>
      </c>
      <c r="TRW6" s="68" t="e" cm="1" vm="1">
        <f t="array" ref="TRW6">_xlfn._xlws.FILTER(TablaProductos[Nombre producto],TablaProductos[Agrupación]=ProductosPivot!TRW5)</f>
        <v>#VALUE!</v>
      </c>
      <c r="TRX6" s="68" t="e" cm="1" vm="1">
        <f t="array" ref="TRX6">_xlfn._xlws.FILTER(TablaProductos[Nombre producto],TablaProductos[Agrupación]=ProductosPivot!TRX5)</f>
        <v>#VALUE!</v>
      </c>
      <c r="TRY6" s="68" t="e" cm="1" vm="1">
        <f t="array" ref="TRY6">_xlfn._xlws.FILTER(TablaProductos[Nombre producto],TablaProductos[Agrupación]=ProductosPivot!TRY5)</f>
        <v>#VALUE!</v>
      </c>
      <c r="TRZ6" s="68" t="e" cm="1" vm="1">
        <f t="array" ref="TRZ6">_xlfn._xlws.FILTER(TablaProductos[Nombre producto],TablaProductos[Agrupación]=ProductosPivot!TRZ5)</f>
        <v>#VALUE!</v>
      </c>
      <c r="TSA6" s="68" t="e" cm="1" vm="1">
        <f t="array" ref="TSA6">_xlfn._xlws.FILTER(TablaProductos[Nombre producto],TablaProductos[Agrupación]=ProductosPivot!TSA5)</f>
        <v>#VALUE!</v>
      </c>
      <c r="TSB6" s="68" t="e" cm="1" vm="1">
        <f t="array" ref="TSB6">_xlfn._xlws.FILTER(TablaProductos[Nombre producto],TablaProductos[Agrupación]=ProductosPivot!TSB5)</f>
        <v>#VALUE!</v>
      </c>
      <c r="TSC6" s="68" t="e" cm="1" vm="1">
        <f t="array" ref="TSC6">_xlfn._xlws.FILTER(TablaProductos[Nombre producto],TablaProductos[Agrupación]=ProductosPivot!TSC5)</f>
        <v>#VALUE!</v>
      </c>
      <c r="TSD6" s="68" t="e" cm="1" vm="1">
        <f t="array" ref="TSD6">_xlfn._xlws.FILTER(TablaProductos[Nombre producto],TablaProductos[Agrupación]=ProductosPivot!TSD5)</f>
        <v>#VALUE!</v>
      </c>
      <c r="TSE6" s="68" t="e" cm="1" vm="1">
        <f t="array" ref="TSE6">_xlfn._xlws.FILTER(TablaProductos[Nombre producto],TablaProductos[Agrupación]=ProductosPivot!TSE5)</f>
        <v>#VALUE!</v>
      </c>
      <c r="TSF6" s="68" t="e" cm="1" vm="1">
        <f t="array" ref="TSF6">_xlfn._xlws.FILTER(TablaProductos[Nombre producto],TablaProductos[Agrupación]=ProductosPivot!TSF5)</f>
        <v>#VALUE!</v>
      </c>
      <c r="TSG6" s="68" t="e" cm="1" vm="1">
        <f t="array" ref="TSG6">_xlfn._xlws.FILTER(TablaProductos[Nombre producto],TablaProductos[Agrupación]=ProductosPivot!TSG5)</f>
        <v>#VALUE!</v>
      </c>
      <c r="TSH6" s="68" t="e" cm="1" vm="1">
        <f t="array" ref="TSH6">_xlfn._xlws.FILTER(TablaProductos[Nombre producto],TablaProductos[Agrupación]=ProductosPivot!TSH5)</f>
        <v>#VALUE!</v>
      </c>
      <c r="TSI6" s="68" t="e" cm="1" vm="1">
        <f t="array" ref="TSI6">_xlfn._xlws.FILTER(TablaProductos[Nombre producto],TablaProductos[Agrupación]=ProductosPivot!TSI5)</f>
        <v>#VALUE!</v>
      </c>
      <c r="TSJ6" s="68" t="e" cm="1" vm="1">
        <f t="array" ref="TSJ6">_xlfn._xlws.FILTER(TablaProductos[Nombre producto],TablaProductos[Agrupación]=ProductosPivot!TSJ5)</f>
        <v>#VALUE!</v>
      </c>
      <c r="TSK6" s="68" t="e" cm="1" vm="1">
        <f t="array" ref="TSK6">_xlfn._xlws.FILTER(TablaProductos[Nombre producto],TablaProductos[Agrupación]=ProductosPivot!TSK5)</f>
        <v>#VALUE!</v>
      </c>
      <c r="TSL6" s="68" t="e" cm="1" vm="1">
        <f t="array" ref="TSL6">_xlfn._xlws.FILTER(TablaProductos[Nombre producto],TablaProductos[Agrupación]=ProductosPivot!TSL5)</f>
        <v>#VALUE!</v>
      </c>
      <c r="TSM6" s="68" t="e" cm="1" vm="1">
        <f t="array" ref="TSM6">_xlfn._xlws.FILTER(TablaProductos[Nombre producto],TablaProductos[Agrupación]=ProductosPivot!TSM5)</f>
        <v>#VALUE!</v>
      </c>
      <c r="TSN6" s="68" t="e" cm="1" vm="1">
        <f t="array" ref="TSN6">_xlfn._xlws.FILTER(TablaProductos[Nombre producto],TablaProductos[Agrupación]=ProductosPivot!TSN5)</f>
        <v>#VALUE!</v>
      </c>
      <c r="TSO6" s="68" t="e" cm="1" vm="1">
        <f t="array" ref="TSO6">_xlfn._xlws.FILTER(TablaProductos[Nombre producto],TablaProductos[Agrupación]=ProductosPivot!TSO5)</f>
        <v>#VALUE!</v>
      </c>
      <c r="TSP6" s="68" t="e" cm="1" vm="1">
        <f t="array" ref="TSP6">_xlfn._xlws.FILTER(TablaProductos[Nombre producto],TablaProductos[Agrupación]=ProductosPivot!TSP5)</f>
        <v>#VALUE!</v>
      </c>
      <c r="TSQ6" s="68" t="e" cm="1" vm="1">
        <f t="array" ref="TSQ6">_xlfn._xlws.FILTER(TablaProductos[Nombre producto],TablaProductos[Agrupación]=ProductosPivot!TSQ5)</f>
        <v>#VALUE!</v>
      </c>
      <c r="TSR6" s="68" t="e" cm="1" vm="1">
        <f t="array" ref="TSR6">_xlfn._xlws.FILTER(TablaProductos[Nombre producto],TablaProductos[Agrupación]=ProductosPivot!TSR5)</f>
        <v>#VALUE!</v>
      </c>
      <c r="TSS6" s="68" t="e" cm="1" vm="1">
        <f t="array" ref="TSS6">_xlfn._xlws.FILTER(TablaProductos[Nombre producto],TablaProductos[Agrupación]=ProductosPivot!TSS5)</f>
        <v>#VALUE!</v>
      </c>
      <c r="TST6" s="68" t="e" cm="1" vm="1">
        <f t="array" ref="TST6">_xlfn._xlws.FILTER(TablaProductos[Nombre producto],TablaProductos[Agrupación]=ProductosPivot!TST5)</f>
        <v>#VALUE!</v>
      </c>
      <c r="TSU6" s="68" t="e" cm="1" vm="1">
        <f t="array" ref="TSU6">_xlfn._xlws.FILTER(TablaProductos[Nombre producto],TablaProductos[Agrupación]=ProductosPivot!TSU5)</f>
        <v>#VALUE!</v>
      </c>
      <c r="TSV6" s="68" t="e" cm="1" vm="1">
        <f t="array" ref="TSV6">_xlfn._xlws.FILTER(TablaProductos[Nombre producto],TablaProductos[Agrupación]=ProductosPivot!TSV5)</f>
        <v>#VALUE!</v>
      </c>
      <c r="TSW6" s="68" t="e" cm="1" vm="1">
        <f t="array" ref="TSW6">_xlfn._xlws.FILTER(TablaProductos[Nombre producto],TablaProductos[Agrupación]=ProductosPivot!TSW5)</f>
        <v>#VALUE!</v>
      </c>
      <c r="TSX6" s="68" t="e" cm="1" vm="1">
        <f t="array" ref="TSX6">_xlfn._xlws.FILTER(TablaProductos[Nombre producto],TablaProductos[Agrupación]=ProductosPivot!TSX5)</f>
        <v>#VALUE!</v>
      </c>
      <c r="TSY6" s="68" t="e" cm="1" vm="1">
        <f t="array" ref="TSY6">_xlfn._xlws.FILTER(TablaProductos[Nombre producto],TablaProductos[Agrupación]=ProductosPivot!TSY5)</f>
        <v>#VALUE!</v>
      </c>
      <c r="TSZ6" s="68" t="e" cm="1" vm="1">
        <f t="array" ref="TSZ6">_xlfn._xlws.FILTER(TablaProductos[Nombre producto],TablaProductos[Agrupación]=ProductosPivot!TSZ5)</f>
        <v>#VALUE!</v>
      </c>
      <c r="TTA6" s="68" t="e" cm="1" vm="1">
        <f t="array" ref="TTA6">_xlfn._xlws.FILTER(TablaProductos[Nombre producto],TablaProductos[Agrupación]=ProductosPivot!TTA5)</f>
        <v>#VALUE!</v>
      </c>
      <c r="TTB6" s="68" t="e" cm="1" vm="1">
        <f t="array" ref="TTB6">_xlfn._xlws.FILTER(TablaProductos[Nombre producto],TablaProductos[Agrupación]=ProductosPivot!TTB5)</f>
        <v>#VALUE!</v>
      </c>
      <c r="TTC6" s="68" t="e" cm="1" vm="1">
        <f t="array" ref="TTC6">_xlfn._xlws.FILTER(TablaProductos[Nombre producto],TablaProductos[Agrupación]=ProductosPivot!TTC5)</f>
        <v>#VALUE!</v>
      </c>
      <c r="TTD6" s="68" t="e" cm="1" vm="1">
        <f t="array" ref="TTD6">_xlfn._xlws.FILTER(TablaProductos[Nombre producto],TablaProductos[Agrupación]=ProductosPivot!TTD5)</f>
        <v>#VALUE!</v>
      </c>
      <c r="TTE6" s="68" t="e" cm="1" vm="1">
        <f t="array" ref="TTE6">_xlfn._xlws.FILTER(TablaProductos[Nombre producto],TablaProductos[Agrupación]=ProductosPivot!TTE5)</f>
        <v>#VALUE!</v>
      </c>
      <c r="TTF6" s="68" t="e" cm="1" vm="1">
        <f t="array" ref="TTF6">_xlfn._xlws.FILTER(TablaProductos[Nombre producto],TablaProductos[Agrupación]=ProductosPivot!TTF5)</f>
        <v>#VALUE!</v>
      </c>
      <c r="TTG6" s="68" t="e" cm="1" vm="1">
        <f t="array" ref="TTG6">_xlfn._xlws.FILTER(TablaProductos[Nombre producto],TablaProductos[Agrupación]=ProductosPivot!TTG5)</f>
        <v>#VALUE!</v>
      </c>
      <c r="TTH6" s="68" t="e" cm="1" vm="1">
        <f t="array" ref="TTH6">_xlfn._xlws.FILTER(TablaProductos[Nombre producto],TablaProductos[Agrupación]=ProductosPivot!TTH5)</f>
        <v>#VALUE!</v>
      </c>
      <c r="TTI6" s="68" t="e" cm="1" vm="1">
        <f t="array" ref="TTI6">_xlfn._xlws.FILTER(TablaProductos[Nombre producto],TablaProductos[Agrupación]=ProductosPivot!TTI5)</f>
        <v>#VALUE!</v>
      </c>
      <c r="TTJ6" s="68" t="e" cm="1" vm="1">
        <f t="array" ref="TTJ6">_xlfn._xlws.FILTER(TablaProductos[Nombre producto],TablaProductos[Agrupación]=ProductosPivot!TTJ5)</f>
        <v>#VALUE!</v>
      </c>
      <c r="TTK6" s="68" t="e" cm="1" vm="1">
        <f t="array" ref="TTK6">_xlfn._xlws.FILTER(TablaProductos[Nombre producto],TablaProductos[Agrupación]=ProductosPivot!TTK5)</f>
        <v>#VALUE!</v>
      </c>
      <c r="TTL6" s="68" t="e" cm="1" vm="1">
        <f t="array" ref="TTL6">_xlfn._xlws.FILTER(TablaProductos[Nombre producto],TablaProductos[Agrupación]=ProductosPivot!TTL5)</f>
        <v>#VALUE!</v>
      </c>
      <c r="TTM6" s="68" t="e" cm="1" vm="1">
        <f t="array" ref="TTM6">_xlfn._xlws.FILTER(TablaProductos[Nombre producto],TablaProductos[Agrupación]=ProductosPivot!TTM5)</f>
        <v>#VALUE!</v>
      </c>
      <c r="TTN6" s="68" t="e" cm="1" vm="1">
        <f t="array" ref="TTN6">_xlfn._xlws.FILTER(TablaProductos[Nombre producto],TablaProductos[Agrupación]=ProductosPivot!TTN5)</f>
        <v>#VALUE!</v>
      </c>
      <c r="TTO6" s="68" t="e" cm="1" vm="1">
        <f t="array" ref="TTO6">_xlfn._xlws.FILTER(TablaProductos[Nombre producto],TablaProductos[Agrupación]=ProductosPivot!TTO5)</f>
        <v>#VALUE!</v>
      </c>
      <c r="TTP6" s="68" t="e" cm="1" vm="1">
        <f t="array" ref="TTP6">_xlfn._xlws.FILTER(TablaProductos[Nombre producto],TablaProductos[Agrupación]=ProductosPivot!TTP5)</f>
        <v>#VALUE!</v>
      </c>
      <c r="TTQ6" s="68" t="e" cm="1" vm="1">
        <f t="array" ref="TTQ6">_xlfn._xlws.FILTER(TablaProductos[Nombre producto],TablaProductos[Agrupación]=ProductosPivot!TTQ5)</f>
        <v>#VALUE!</v>
      </c>
      <c r="TTR6" s="68" t="e" cm="1" vm="1">
        <f t="array" ref="TTR6">_xlfn._xlws.FILTER(TablaProductos[Nombre producto],TablaProductos[Agrupación]=ProductosPivot!TTR5)</f>
        <v>#VALUE!</v>
      </c>
      <c r="TTS6" s="68" t="e" cm="1" vm="1">
        <f t="array" ref="TTS6">_xlfn._xlws.FILTER(TablaProductos[Nombre producto],TablaProductos[Agrupación]=ProductosPivot!TTS5)</f>
        <v>#VALUE!</v>
      </c>
      <c r="TTT6" s="68" t="e" cm="1" vm="1">
        <f t="array" ref="TTT6">_xlfn._xlws.FILTER(TablaProductos[Nombre producto],TablaProductos[Agrupación]=ProductosPivot!TTT5)</f>
        <v>#VALUE!</v>
      </c>
      <c r="TTU6" s="68" t="e" cm="1" vm="1">
        <f t="array" ref="TTU6">_xlfn._xlws.FILTER(TablaProductos[Nombre producto],TablaProductos[Agrupación]=ProductosPivot!TTU5)</f>
        <v>#VALUE!</v>
      </c>
      <c r="TTV6" s="68" t="e" cm="1" vm="1">
        <f t="array" ref="TTV6">_xlfn._xlws.FILTER(TablaProductos[Nombre producto],TablaProductos[Agrupación]=ProductosPivot!TTV5)</f>
        <v>#VALUE!</v>
      </c>
      <c r="TTW6" s="68" t="e" cm="1" vm="1">
        <f t="array" ref="TTW6">_xlfn._xlws.FILTER(TablaProductos[Nombre producto],TablaProductos[Agrupación]=ProductosPivot!TTW5)</f>
        <v>#VALUE!</v>
      </c>
      <c r="TTX6" s="68" t="e" cm="1" vm="1">
        <f t="array" ref="TTX6">_xlfn._xlws.FILTER(TablaProductos[Nombre producto],TablaProductos[Agrupación]=ProductosPivot!TTX5)</f>
        <v>#VALUE!</v>
      </c>
      <c r="TTY6" s="68" t="e" cm="1" vm="1">
        <f t="array" ref="TTY6">_xlfn._xlws.FILTER(TablaProductos[Nombre producto],TablaProductos[Agrupación]=ProductosPivot!TTY5)</f>
        <v>#VALUE!</v>
      </c>
      <c r="TTZ6" s="68" t="e" cm="1" vm="1">
        <f t="array" ref="TTZ6">_xlfn._xlws.FILTER(TablaProductos[Nombre producto],TablaProductos[Agrupación]=ProductosPivot!TTZ5)</f>
        <v>#VALUE!</v>
      </c>
      <c r="TUA6" s="68" t="e" cm="1" vm="1">
        <f t="array" ref="TUA6">_xlfn._xlws.FILTER(TablaProductos[Nombre producto],TablaProductos[Agrupación]=ProductosPivot!TUA5)</f>
        <v>#VALUE!</v>
      </c>
      <c r="TUB6" s="68" t="e" cm="1" vm="1">
        <f t="array" ref="TUB6">_xlfn._xlws.FILTER(TablaProductos[Nombre producto],TablaProductos[Agrupación]=ProductosPivot!TUB5)</f>
        <v>#VALUE!</v>
      </c>
      <c r="TUC6" s="68" t="e" cm="1" vm="1">
        <f t="array" ref="TUC6">_xlfn._xlws.FILTER(TablaProductos[Nombre producto],TablaProductos[Agrupación]=ProductosPivot!TUC5)</f>
        <v>#VALUE!</v>
      </c>
      <c r="TUD6" s="68" t="e" cm="1" vm="1">
        <f t="array" ref="TUD6">_xlfn._xlws.FILTER(TablaProductos[Nombre producto],TablaProductos[Agrupación]=ProductosPivot!TUD5)</f>
        <v>#VALUE!</v>
      </c>
      <c r="TUE6" s="68" t="e" cm="1" vm="1">
        <f t="array" ref="TUE6">_xlfn._xlws.FILTER(TablaProductos[Nombre producto],TablaProductos[Agrupación]=ProductosPivot!TUE5)</f>
        <v>#VALUE!</v>
      </c>
      <c r="TUF6" s="68" t="e" cm="1" vm="1">
        <f t="array" ref="TUF6">_xlfn._xlws.FILTER(TablaProductos[Nombre producto],TablaProductos[Agrupación]=ProductosPivot!TUF5)</f>
        <v>#VALUE!</v>
      </c>
      <c r="TUG6" s="68" t="e" cm="1" vm="1">
        <f t="array" ref="TUG6">_xlfn._xlws.FILTER(TablaProductos[Nombre producto],TablaProductos[Agrupación]=ProductosPivot!TUG5)</f>
        <v>#VALUE!</v>
      </c>
      <c r="TUH6" s="68" t="e" cm="1" vm="1">
        <f t="array" ref="TUH6">_xlfn._xlws.FILTER(TablaProductos[Nombre producto],TablaProductos[Agrupación]=ProductosPivot!TUH5)</f>
        <v>#VALUE!</v>
      </c>
      <c r="TUI6" s="68" t="e" cm="1" vm="1">
        <f t="array" ref="TUI6">_xlfn._xlws.FILTER(TablaProductos[Nombre producto],TablaProductos[Agrupación]=ProductosPivot!TUI5)</f>
        <v>#VALUE!</v>
      </c>
      <c r="TUJ6" s="68" t="e" cm="1" vm="1">
        <f t="array" ref="TUJ6">_xlfn._xlws.FILTER(TablaProductos[Nombre producto],TablaProductos[Agrupación]=ProductosPivot!TUJ5)</f>
        <v>#VALUE!</v>
      </c>
      <c r="TUK6" s="68" t="e" cm="1" vm="1">
        <f t="array" ref="TUK6">_xlfn._xlws.FILTER(TablaProductos[Nombre producto],TablaProductos[Agrupación]=ProductosPivot!TUK5)</f>
        <v>#VALUE!</v>
      </c>
      <c r="TUL6" s="68" t="e" cm="1" vm="1">
        <f t="array" ref="TUL6">_xlfn._xlws.FILTER(TablaProductos[Nombre producto],TablaProductos[Agrupación]=ProductosPivot!TUL5)</f>
        <v>#VALUE!</v>
      </c>
      <c r="TUM6" s="68" t="e" cm="1" vm="1">
        <f t="array" ref="TUM6">_xlfn._xlws.FILTER(TablaProductos[Nombre producto],TablaProductos[Agrupación]=ProductosPivot!TUM5)</f>
        <v>#VALUE!</v>
      </c>
      <c r="TUN6" s="68" t="e" cm="1" vm="1">
        <f t="array" ref="TUN6">_xlfn._xlws.FILTER(TablaProductos[Nombre producto],TablaProductos[Agrupación]=ProductosPivot!TUN5)</f>
        <v>#VALUE!</v>
      </c>
      <c r="TUO6" s="68" t="e" cm="1" vm="1">
        <f t="array" ref="TUO6">_xlfn._xlws.FILTER(TablaProductos[Nombre producto],TablaProductos[Agrupación]=ProductosPivot!TUO5)</f>
        <v>#VALUE!</v>
      </c>
      <c r="TUP6" s="68" t="e" cm="1" vm="1">
        <f t="array" ref="TUP6">_xlfn._xlws.FILTER(TablaProductos[Nombre producto],TablaProductos[Agrupación]=ProductosPivot!TUP5)</f>
        <v>#VALUE!</v>
      </c>
      <c r="TUQ6" s="68" t="e" cm="1" vm="1">
        <f t="array" ref="TUQ6">_xlfn._xlws.FILTER(TablaProductos[Nombre producto],TablaProductos[Agrupación]=ProductosPivot!TUQ5)</f>
        <v>#VALUE!</v>
      </c>
      <c r="TUR6" s="68" t="e" cm="1" vm="1">
        <f t="array" ref="TUR6">_xlfn._xlws.FILTER(TablaProductos[Nombre producto],TablaProductos[Agrupación]=ProductosPivot!TUR5)</f>
        <v>#VALUE!</v>
      </c>
      <c r="TUS6" s="68" t="e" cm="1" vm="1">
        <f t="array" ref="TUS6">_xlfn._xlws.FILTER(TablaProductos[Nombre producto],TablaProductos[Agrupación]=ProductosPivot!TUS5)</f>
        <v>#VALUE!</v>
      </c>
      <c r="TUT6" s="68" t="e" cm="1" vm="1">
        <f t="array" ref="TUT6">_xlfn._xlws.FILTER(TablaProductos[Nombre producto],TablaProductos[Agrupación]=ProductosPivot!TUT5)</f>
        <v>#VALUE!</v>
      </c>
      <c r="TUU6" s="68" t="e" cm="1" vm="1">
        <f t="array" ref="TUU6">_xlfn._xlws.FILTER(TablaProductos[Nombre producto],TablaProductos[Agrupación]=ProductosPivot!TUU5)</f>
        <v>#VALUE!</v>
      </c>
      <c r="TUV6" s="68" t="e" cm="1" vm="1">
        <f t="array" ref="TUV6">_xlfn._xlws.FILTER(TablaProductos[Nombre producto],TablaProductos[Agrupación]=ProductosPivot!TUV5)</f>
        <v>#VALUE!</v>
      </c>
      <c r="TUW6" s="68" t="e" cm="1" vm="1">
        <f t="array" ref="TUW6">_xlfn._xlws.FILTER(TablaProductos[Nombre producto],TablaProductos[Agrupación]=ProductosPivot!TUW5)</f>
        <v>#VALUE!</v>
      </c>
      <c r="TUX6" s="68" t="e" cm="1" vm="1">
        <f t="array" ref="TUX6">_xlfn._xlws.FILTER(TablaProductos[Nombre producto],TablaProductos[Agrupación]=ProductosPivot!TUX5)</f>
        <v>#VALUE!</v>
      </c>
      <c r="TUY6" s="68" t="e" cm="1" vm="1">
        <f t="array" ref="TUY6">_xlfn._xlws.FILTER(TablaProductos[Nombre producto],TablaProductos[Agrupación]=ProductosPivot!TUY5)</f>
        <v>#VALUE!</v>
      </c>
      <c r="TUZ6" s="68" t="e" cm="1" vm="1">
        <f t="array" ref="TUZ6">_xlfn._xlws.FILTER(TablaProductos[Nombre producto],TablaProductos[Agrupación]=ProductosPivot!TUZ5)</f>
        <v>#VALUE!</v>
      </c>
      <c r="TVA6" s="68" t="e" cm="1" vm="1">
        <f t="array" ref="TVA6">_xlfn._xlws.FILTER(TablaProductos[Nombre producto],TablaProductos[Agrupación]=ProductosPivot!TVA5)</f>
        <v>#VALUE!</v>
      </c>
      <c r="TVB6" s="68" t="e" cm="1" vm="1">
        <f t="array" ref="TVB6">_xlfn._xlws.FILTER(TablaProductos[Nombre producto],TablaProductos[Agrupación]=ProductosPivot!TVB5)</f>
        <v>#VALUE!</v>
      </c>
      <c r="TVC6" s="68" t="e" cm="1" vm="1">
        <f t="array" ref="TVC6">_xlfn._xlws.FILTER(TablaProductos[Nombre producto],TablaProductos[Agrupación]=ProductosPivot!TVC5)</f>
        <v>#VALUE!</v>
      </c>
      <c r="TVD6" s="68" t="e" cm="1" vm="1">
        <f t="array" ref="TVD6">_xlfn._xlws.FILTER(TablaProductos[Nombre producto],TablaProductos[Agrupación]=ProductosPivot!TVD5)</f>
        <v>#VALUE!</v>
      </c>
      <c r="TVE6" s="68" t="e" cm="1" vm="1">
        <f t="array" ref="TVE6">_xlfn._xlws.FILTER(TablaProductos[Nombre producto],TablaProductos[Agrupación]=ProductosPivot!TVE5)</f>
        <v>#VALUE!</v>
      </c>
      <c r="TVF6" s="68" t="e" cm="1" vm="1">
        <f t="array" ref="TVF6">_xlfn._xlws.FILTER(TablaProductos[Nombre producto],TablaProductos[Agrupación]=ProductosPivot!TVF5)</f>
        <v>#VALUE!</v>
      </c>
      <c r="TVG6" s="68" t="e" cm="1" vm="1">
        <f t="array" ref="TVG6">_xlfn._xlws.FILTER(TablaProductos[Nombre producto],TablaProductos[Agrupación]=ProductosPivot!TVG5)</f>
        <v>#VALUE!</v>
      </c>
      <c r="TVH6" s="68" t="e" cm="1" vm="1">
        <f t="array" ref="TVH6">_xlfn._xlws.FILTER(TablaProductos[Nombre producto],TablaProductos[Agrupación]=ProductosPivot!TVH5)</f>
        <v>#VALUE!</v>
      </c>
      <c r="TVI6" s="68" t="e" cm="1" vm="1">
        <f t="array" ref="TVI6">_xlfn._xlws.FILTER(TablaProductos[Nombre producto],TablaProductos[Agrupación]=ProductosPivot!TVI5)</f>
        <v>#VALUE!</v>
      </c>
      <c r="TVJ6" s="68" t="e" cm="1" vm="1">
        <f t="array" ref="TVJ6">_xlfn._xlws.FILTER(TablaProductos[Nombre producto],TablaProductos[Agrupación]=ProductosPivot!TVJ5)</f>
        <v>#VALUE!</v>
      </c>
      <c r="TVK6" s="68" t="e" cm="1" vm="1">
        <f t="array" ref="TVK6">_xlfn._xlws.FILTER(TablaProductos[Nombre producto],TablaProductos[Agrupación]=ProductosPivot!TVK5)</f>
        <v>#VALUE!</v>
      </c>
      <c r="TVL6" s="68" t="e" cm="1" vm="1">
        <f t="array" ref="TVL6">_xlfn._xlws.FILTER(TablaProductos[Nombre producto],TablaProductos[Agrupación]=ProductosPivot!TVL5)</f>
        <v>#VALUE!</v>
      </c>
      <c r="TVM6" s="68" t="e" cm="1" vm="1">
        <f t="array" ref="TVM6">_xlfn._xlws.FILTER(TablaProductos[Nombre producto],TablaProductos[Agrupación]=ProductosPivot!TVM5)</f>
        <v>#VALUE!</v>
      </c>
      <c r="TVN6" s="68" t="e" cm="1" vm="1">
        <f t="array" ref="TVN6">_xlfn._xlws.FILTER(TablaProductos[Nombre producto],TablaProductos[Agrupación]=ProductosPivot!TVN5)</f>
        <v>#VALUE!</v>
      </c>
      <c r="TVO6" s="68" t="e" cm="1" vm="1">
        <f t="array" ref="TVO6">_xlfn._xlws.FILTER(TablaProductos[Nombre producto],TablaProductos[Agrupación]=ProductosPivot!TVO5)</f>
        <v>#VALUE!</v>
      </c>
      <c r="TVP6" s="68" t="e" cm="1" vm="1">
        <f t="array" ref="TVP6">_xlfn._xlws.FILTER(TablaProductos[Nombre producto],TablaProductos[Agrupación]=ProductosPivot!TVP5)</f>
        <v>#VALUE!</v>
      </c>
      <c r="TVQ6" s="68" t="e" cm="1" vm="1">
        <f t="array" ref="TVQ6">_xlfn._xlws.FILTER(TablaProductos[Nombre producto],TablaProductos[Agrupación]=ProductosPivot!TVQ5)</f>
        <v>#VALUE!</v>
      </c>
      <c r="TVR6" s="68" t="e" cm="1" vm="1">
        <f t="array" ref="TVR6">_xlfn._xlws.FILTER(TablaProductos[Nombre producto],TablaProductos[Agrupación]=ProductosPivot!TVR5)</f>
        <v>#VALUE!</v>
      </c>
      <c r="TVS6" s="68" t="e" cm="1" vm="1">
        <f t="array" ref="TVS6">_xlfn._xlws.FILTER(TablaProductos[Nombre producto],TablaProductos[Agrupación]=ProductosPivot!TVS5)</f>
        <v>#VALUE!</v>
      </c>
      <c r="TVT6" s="68" t="e" cm="1" vm="1">
        <f t="array" ref="TVT6">_xlfn._xlws.FILTER(TablaProductos[Nombre producto],TablaProductos[Agrupación]=ProductosPivot!TVT5)</f>
        <v>#VALUE!</v>
      </c>
      <c r="TVU6" s="68" t="e" cm="1" vm="1">
        <f t="array" ref="TVU6">_xlfn._xlws.FILTER(TablaProductos[Nombre producto],TablaProductos[Agrupación]=ProductosPivot!TVU5)</f>
        <v>#VALUE!</v>
      </c>
      <c r="TVV6" s="68" t="e" cm="1" vm="1">
        <f t="array" ref="TVV6">_xlfn._xlws.FILTER(TablaProductos[Nombre producto],TablaProductos[Agrupación]=ProductosPivot!TVV5)</f>
        <v>#VALUE!</v>
      </c>
      <c r="TVW6" s="68" t="e" cm="1" vm="1">
        <f t="array" ref="TVW6">_xlfn._xlws.FILTER(TablaProductos[Nombre producto],TablaProductos[Agrupación]=ProductosPivot!TVW5)</f>
        <v>#VALUE!</v>
      </c>
      <c r="TVX6" s="68" t="e" cm="1" vm="1">
        <f t="array" ref="TVX6">_xlfn._xlws.FILTER(TablaProductos[Nombre producto],TablaProductos[Agrupación]=ProductosPivot!TVX5)</f>
        <v>#VALUE!</v>
      </c>
      <c r="TVY6" s="68" t="e" cm="1" vm="1">
        <f t="array" ref="TVY6">_xlfn._xlws.FILTER(TablaProductos[Nombre producto],TablaProductos[Agrupación]=ProductosPivot!TVY5)</f>
        <v>#VALUE!</v>
      </c>
      <c r="TVZ6" s="68" t="e" cm="1" vm="1">
        <f t="array" ref="TVZ6">_xlfn._xlws.FILTER(TablaProductos[Nombre producto],TablaProductos[Agrupación]=ProductosPivot!TVZ5)</f>
        <v>#VALUE!</v>
      </c>
      <c r="TWA6" s="68" t="e" cm="1" vm="1">
        <f t="array" ref="TWA6">_xlfn._xlws.FILTER(TablaProductos[Nombre producto],TablaProductos[Agrupación]=ProductosPivot!TWA5)</f>
        <v>#VALUE!</v>
      </c>
      <c r="TWB6" s="68" t="e" cm="1" vm="1">
        <f t="array" ref="TWB6">_xlfn._xlws.FILTER(TablaProductos[Nombre producto],TablaProductos[Agrupación]=ProductosPivot!TWB5)</f>
        <v>#VALUE!</v>
      </c>
      <c r="TWC6" s="68" t="e" cm="1" vm="1">
        <f t="array" ref="TWC6">_xlfn._xlws.FILTER(TablaProductos[Nombre producto],TablaProductos[Agrupación]=ProductosPivot!TWC5)</f>
        <v>#VALUE!</v>
      </c>
      <c r="TWD6" s="68" t="e" cm="1" vm="1">
        <f t="array" ref="TWD6">_xlfn._xlws.FILTER(TablaProductos[Nombre producto],TablaProductos[Agrupación]=ProductosPivot!TWD5)</f>
        <v>#VALUE!</v>
      </c>
      <c r="TWE6" s="68" t="e" cm="1" vm="1">
        <f t="array" ref="TWE6">_xlfn._xlws.FILTER(TablaProductos[Nombre producto],TablaProductos[Agrupación]=ProductosPivot!TWE5)</f>
        <v>#VALUE!</v>
      </c>
      <c r="TWF6" s="68" t="e" cm="1" vm="1">
        <f t="array" ref="TWF6">_xlfn._xlws.FILTER(TablaProductos[Nombre producto],TablaProductos[Agrupación]=ProductosPivot!TWF5)</f>
        <v>#VALUE!</v>
      </c>
      <c r="TWG6" s="68" t="e" cm="1" vm="1">
        <f t="array" ref="TWG6">_xlfn._xlws.FILTER(TablaProductos[Nombre producto],TablaProductos[Agrupación]=ProductosPivot!TWG5)</f>
        <v>#VALUE!</v>
      </c>
      <c r="TWH6" s="68" t="e" cm="1" vm="1">
        <f t="array" ref="TWH6">_xlfn._xlws.FILTER(TablaProductos[Nombre producto],TablaProductos[Agrupación]=ProductosPivot!TWH5)</f>
        <v>#VALUE!</v>
      </c>
      <c r="TWI6" s="68" t="e" cm="1" vm="1">
        <f t="array" ref="TWI6">_xlfn._xlws.FILTER(TablaProductos[Nombre producto],TablaProductos[Agrupación]=ProductosPivot!TWI5)</f>
        <v>#VALUE!</v>
      </c>
      <c r="TWJ6" s="68" t="e" cm="1" vm="1">
        <f t="array" ref="TWJ6">_xlfn._xlws.FILTER(TablaProductos[Nombre producto],TablaProductos[Agrupación]=ProductosPivot!TWJ5)</f>
        <v>#VALUE!</v>
      </c>
      <c r="TWK6" s="68" t="e" cm="1" vm="1">
        <f t="array" ref="TWK6">_xlfn._xlws.FILTER(TablaProductos[Nombre producto],TablaProductos[Agrupación]=ProductosPivot!TWK5)</f>
        <v>#VALUE!</v>
      </c>
      <c r="TWL6" s="68" t="e" cm="1" vm="1">
        <f t="array" ref="TWL6">_xlfn._xlws.FILTER(TablaProductos[Nombre producto],TablaProductos[Agrupación]=ProductosPivot!TWL5)</f>
        <v>#VALUE!</v>
      </c>
      <c r="TWM6" s="68" t="e" cm="1" vm="1">
        <f t="array" ref="TWM6">_xlfn._xlws.FILTER(TablaProductos[Nombre producto],TablaProductos[Agrupación]=ProductosPivot!TWM5)</f>
        <v>#VALUE!</v>
      </c>
      <c r="TWN6" s="68" t="e" cm="1" vm="1">
        <f t="array" ref="TWN6">_xlfn._xlws.FILTER(TablaProductos[Nombre producto],TablaProductos[Agrupación]=ProductosPivot!TWN5)</f>
        <v>#VALUE!</v>
      </c>
      <c r="TWO6" s="68" t="e" cm="1" vm="1">
        <f t="array" ref="TWO6">_xlfn._xlws.FILTER(TablaProductos[Nombre producto],TablaProductos[Agrupación]=ProductosPivot!TWO5)</f>
        <v>#VALUE!</v>
      </c>
      <c r="TWP6" s="68" t="e" cm="1" vm="1">
        <f t="array" ref="TWP6">_xlfn._xlws.FILTER(TablaProductos[Nombre producto],TablaProductos[Agrupación]=ProductosPivot!TWP5)</f>
        <v>#VALUE!</v>
      </c>
      <c r="TWQ6" s="68" t="e" cm="1" vm="1">
        <f t="array" ref="TWQ6">_xlfn._xlws.FILTER(TablaProductos[Nombre producto],TablaProductos[Agrupación]=ProductosPivot!TWQ5)</f>
        <v>#VALUE!</v>
      </c>
      <c r="TWR6" s="68" t="e" cm="1" vm="1">
        <f t="array" ref="TWR6">_xlfn._xlws.FILTER(TablaProductos[Nombre producto],TablaProductos[Agrupación]=ProductosPivot!TWR5)</f>
        <v>#VALUE!</v>
      </c>
      <c r="TWS6" s="68" t="e" cm="1" vm="1">
        <f t="array" ref="TWS6">_xlfn._xlws.FILTER(TablaProductos[Nombre producto],TablaProductos[Agrupación]=ProductosPivot!TWS5)</f>
        <v>#VALUE!</v>
      </c>
      <c r="TWT6" s="68" t="e" cm="1" vm="1">
        <f t="array" ref="TWT6">_xlfn._xlws.FILTER(TablaProductos[Nombre producto],TablaProductos[Agrupación]=ProductosPivot!TWT5)</f>
        <v>#VALUE!</v>
      </c>
      <c r="TWU6" s="68" t="e" cm="1" vm="1">
        <f t="array" ref="TWU6">_xlfn._xlws.FILTER(TablaProductos[Nombre producto],TablaProductos[Agrupación]=ProductosPivot!TWU5)</f>
        <v>#VALUE!</v>
      </c>
      <c r="TWV6" s="68" t="e" cm="1" vm="1">
        <f t="array" ref="TWV6">_xlfn._xlws.FILTER(TablaProductos[Nombre producto],TablaProductos[Agrupación]=ProductosPivot!TWV5)</f>
        <v>#VALUE!</v>
      </c>
      <c r="TWW6" s="68" t="e" cm="1" vm="1">
        <f t="array" ref="TWW6">_xlfn._xlws.FILTER(TablaProductos[Nombre producto],TablaProductos[Agrupación]=ProductosPivot!TWW5)</f>
        <v>#VALUE!</v>
      </c>
      <c r="TWX6" s="68" t="e" cm="1" vm="1">
        <f t="array" ref="TWX6">_xlfn._xlws.FILTER(TablaProductos[Nombre producto],TablaProductos[Agrupación]=ProductosPivot!TWX5)</f>
        <v>#VALUE!</v>
      </c>
      <c r="TWY6" s="68" t="e" cm="1" vm="1">
        <f t="array" ref="TWY6">_xlfn._xlws.FILTER(TablaProductos[Nombre producto],TablaProductos[Agrupación]=ProductosPivot!TWY5)</f>
        <v>#VALUE!</v>
      </c>
      <c r="TWZ6" s="68" t="e" cm="1" vm="1">
        <f t="array" ref="TWZ6">_xlfn._xlws.FILTER(TablaProductos[Nombre producto],TablaProductos[Agrupación]=ProductosPivot!TWZ5)</f>
        <v>#VALUE!</v>
      </c>
      <c r="TXA6" s="68" t="e" cm="1" vm="1">
        <f t="array" ref="TXA6">_xlfn._xlws.FILTER(TablaProductos[Nombre producto],TablaProductos[Agrupación]=ProductosPivot!TXA5)</f>
        <v>#VALUE!</v>
      </c>
      <c r="TXB6" s="68" t="e" cm="1" vm="1">
        <f t="array" ref="TXB6">_xlfn._xlws.FILTER(TablaProductos[Nombre producto],TablaProductos[Agrupación]=ProductosPivot!TXB5)</f>
        <v>#VALUE!</v>
      </c>
      <c r="TXC6" s="68" t="e" cm="1" vm="1">
        <f t="array" ref="TXC6">_xlfn._xlws.FILTER(TablaProductos[Nombre producto],TablaProductos[Agrupación]=ProductosPivot!TXC5)</f>
        <v>#VALUE!</v>
      </c>
      <c r="TXD6" s="68" t="e" cm="1" vm="1">
        <f t="array" ref="TXD6">_xlfn._xlws.FILTER(TablaProductos[Nombre producto],TablaProductos[Agrupación]=ProductosPivot!TXD5)</f>
        <v>#VALUE!</v>
      </c>
      <c r="TXE6" s="68" t="e" cm="1" vm="1">
        <f t="array" ref="TXE6">_xlfn._xlws.FILTER(TablaProductos[Nombre producto],TablaProductos[Agrupación]=ProductosPivot!TXE5)</f>
        <v>#VALUE!</v>
      </c>
      <c r="TXF6" s="68" t="e" cm="1" vm="1">
        <f t="array" ref="TXF6">_xlfn._xlws.FILTER(TablaProductos[Nombre producto],TablaProductos[Agrupación]=ProductosPivot!TXF5)</f>
        <v>#VALUE!</v>
      </c>
      <c r="TXG6" s="68" t="e" cm="1" vm="1">
        <f t="array" ref="TXG6">_xlfn._xlws.FILTER(TablaProductos[Nombre producto],TablaProductos[Agrupación]=ProductosPivot!TXG5)</f>
        <v>#VALUE!</v>
      </c>
      <c r="TXH6" s="68" t="e" cm="1" vm="1">
        <f t="array" ref="TXH6">_xlfn._xlws.FILTER(TablaProductos[Nombre producto],TablaProductos[Agrupación]=ProductosPivot!TXH5)</f>
        <v>#VALUE!</v>
      </c>
      <c r="TXI6" s="68" t="e" cm="1" vm="1">
        <f t="array" ref="TXI6">_xlfn._xlws.FILTER(TablaProductos[Nombre producto],TablaProductos[Agrupación]=ProductosPivot!TXI5)</f>
        <v>#VALUE!</v>
      </c>
      <c r="TXJ6" s="68" t="e" cm="1" vm="1">
        <f t="array" ref="TXJ6">_xlfn._xlws.FILTER(TablaProductos[Nombre producto],TablaProductos[Agrupación]=ProductosPivot!TXJ5)</f>
        <v>#VALUE!</v>
      </c>
      <c r="TXK6" s="68" t="e" cm="1" vm="1">
        <f t="array" ref="TXK6">_xlfn._xlws.FILTER(TablaProductos[Nombre producto],TablaProductos[Agrupación]=ProductosPivot!TXK5)</f>
        <v>#VALUE!</v>
      </c>
      <c r="TXL6" s="68" t="e" cm="1" vm="1">
        <f t="array" ref="TXL6">_xlfn._xlws.FILTER(TablaProductos[Nombre producto],TablaProductos[Agrupación]=ProductosPivot!TXL5)</f>
        <v>#VALUE!</v>
      </c>
      <c r="TXM6" s="68" t="e" cm="1" vm="1">
        <f t="array" ref="TXM6">_xlfn._xlws.FILTER(TablaProductos[Nombre producto],TablaProductos[Agrupación]=ProductosPivot!TXM5)</f>
        <v>#VALUE!</v>
      </c>
      <c r="TXN6" s="68" t="e" cm="1" vm="1">
        <f t="array" ref="TXN6">_xlfn._xlws.FILTER(TablaProductos[Nombre producto],TablaProductos[Agrupación]=ProductosPivot!TXN5)</f>
        <v>#VALUE!</v>
      </c>
      <c r="TXO6" s="68" t="e" cm="1" vm="1">
        <f t="array" ref="TXO6">_xlfn._xlws.FILTER(TablaProductos[Nombre producto],TablaProductos[Agrupación]=ProductosPivot!TXO5)</f>
        <v>#VALUE!</v>
      </c>
      <c r="TXP6" s="68" t="e" cm="1" vm="1">
        <f t="array" ref="TXP6">_xlfn._xlws.FILTER(TablaProductos[Nombre producto],TablaProductos[Agrupación]=ProductosPivot!TXP5)</f>
        <v>#VALUE!</v>
      </c>
      <c r="TXQ6" s="68" t="e" cm="1" vm="1">
        <f t="array" ref="TXQ6">_xlfn._xlws.FILTER(TablaProductos[Nombre producto],TablaProductos[Agrupación]=ProductosPivot!TXQ5)</f>
        <v>#VALUE!</v>
      </c>
      <c r="TXR6" s="68" t="e" cm="1" vm="1">
        <f t="array" ref="TXR6">_xlfn._xlws.FILTER(TablaProductos[Nombre producto],TablaProductos[Agrupación]=ProductosPivot!TXR5)</f>
        <v>#VALUE!</v>
      </c>
      <c r="TXS6" s="68" t="e" cm="1" vm="1">
        <f t="array" ref="TXS6">_xlfn._xlws.FILTER(TablaProductos[Nombre producto],TablaProductos[Agrupación]=ProductosPivot!TXS5)</f>
        <v>#VALUE!</v>
      </c>
      <c r="TXT6" s="68" t="e" cm="1" vm="1">
        <f t="array" ref="TXT6">_xlfn._xlws.FILTER(TablaProductos[Nombre producto],TablaProductos[Agrupación]=ProductosPivot!TXT5)</f>
        <v>#VALUE!</v>
      </c>
      <c r="TXU6" s="68" t="e" cm="1" vm="1">
        <f t="array" ref="TXU6">_xlfn._xlws.FILTER(TablaProductos[Nombre producto],TablaProductos[Agrupación]=ProductosPivot!TXU5)</f>
        <v>#VALUE!</v>
      </c>
      <c r="TXV6" s="68" t="e" cm="1" vm="1">
        <f t="array" ref="TXV6">_xlfn._xlws.FILTER(TablaProductos[Nombre producto],TablaProductos[Agrupación]=ProductosPivot!TXV5)</f>
        <v>#VALUE!</v>
      </c>
      <c r="TXW6" s="68" t="e" cm="1" vm="1">
        <f t="array" ref="TXW6">_xlfn._xlws.FILTER(TablaProductos[Nombre producto],TablaProductos[Agrupación]=ProductosPivot!TXW5)</f>
        <v>#VALUE!</v>
      </c>
      <c r="TXX6" s="68" t="e" cm="1" vm="1">
        <f t="array" ref="TXX6">_xlfn._xlws.FILTER(TablaProductos[Nombre producto],TablaProductos[Agrupación]=ProductosPivot!TXX5)</f>
        <v>#VALUE!</v>
      </c>
      <c r="TXY6" s="68" t="e" cm="1" vm="1">
        <f t="array" ref="TXY6">_xlfn._xlws.FILTER(TablaProductos[Nombre producto],TablaProductos[Agrupación]=ProductosPivot!TXY5)</f>
        <v>#VALUE!</v>
      </c>
      <c r="TXZ6" s="68" t="e" cm="1" vm="1">
        <f t="array" ref="TXZ6">_xlfn._xlws.FILTER(TablaProductos[Nombre producto],TablaProductos[Agrupación]=ProductosPivot!TXZ5)</f>
        <v>#VALUE!</v>
      </c>
      <c r="TYA6" s="68" t="e" cm="1" vm="1">
        <f t="array" ref="TYA6">_xlfn._xlws.FILTER(TablaProductos[Nombre producto],TablaProductos[Agrupación]=ProductosPivot!TYA5)</f>
        <v>#VALUE!</v>
      </c>
      <c r="TYB6" s="68" t="e" cm="1" vm="1">
        <f t="array" ref="TYB6">_xlfn._xlws.FILTER(TablaProductos[Nombre producto],TablaProductos[Agrupación]=ProductosPivot!TYB5)</f>
        <v>#VALUE!</v>
      </c>
      <c r="TYC6" s="68" t="e" cm="1" vm="1">
        <f t="array" ref="TYC6">_xlfn._xlws.FILTER(TablaProductos[Nombre producto],TablaProductos[Agrupación]=ProductosPivot!TYC5)</f>
        <v>#VALUE!</v>
      </c>
      <c r="TYD6" s="68" t="e" cm="1" vm="1">
        <f t="array" ref="TYD6">_xlfn._xlws.FILTER(TablaProductos[Nombre producto],TablaProductos[Agrupación]=ProductosPivot!TYD5)</f>
        <v>#VALUE!</v>
      </c>
      <c r="TYE6" s="68" t="e" cm="1" vm="1">
        <f t="array" ref="TYE6">_xlfn._xlws.FILTER(TablaProductos[Nombre producto],TablaProductos[Agrupación]=ProductosPivot!TYE5)</f>
        <v>#VALUE!</v>
      </c>
      <c r="TYF6" s="68" t="e" cm="1" vm="1">
        <f t="array" ref="TYF6">_xlfn._xlws.FILTER(TablaProductos[Nombre producto],TablaProductos[Agrupación]=ProductosPivot!TYF5)</f>
        <v>#VALUE!</v>
      </c>
      <c r="TYG6" s="68" t="e" cm="1" vm="1">
        <f t="array" ref="TYG6">_xlfn._xlws.FILTER(TablaProductos[Nombre producto],TablaProductos[Agrupación]=ProductosPivot!TYG5)</f>
        <v>#VALUE!</v>
      </c>
      <c r="TYH6" s="68" t="e" cm="1" vm="1">
        <f t="array" ref="TYH6">_xlfn._xlws.FILTER(TablaProductos[Nombre producto],TablaProductos[Agrupación]=ProductosPivot!TYH5)</f>
        <v>#VALUE!</v>
      </c>
      <c r="TYI6" s="68" t="e" cm="1" vm="1">
        <f t="array" ref="TYI6">_xlfn._xlws.FILTER(TablaProductos[Nombre producto],TablaProductos[Agrupación]=ProductosPivot!TYI5)</f>
        <v>#VALUE!</v>
      </c>
      <c r="TYJ6" s="68" t="e" cm="1" vm="1">
        <f t="array" ref="TYJ6">_xlfn._xlws.FILTER(TablaProductos[Nombre producto],TablaProductos[Agrupación]=ProductosPivot!TYJ5)</f>
        <v>#VALUE!</v>
      </c>
      <c r="TYK6" s="68" t="e" cm="1" vm="1">
        <f t="array" ref="TYK6">_xlfn._xlws.FILTER(TablaProductos[Nombre producto],TablaProductos[Agrupación]=ProductosPivot!TYK5)</f>
        <v>#VALUE!</v>
      </c>
      <c r="TYL6" s="68" t="e" cm="1" vm="1">
        <f t="array" ref="TYL6">_xlfn._xlws.FILTER(TablaProductos[Nombre producto],TablaProductos[Agrupación]=ProductosPivot!TYL5)</f>
        <v>#VALUE!</v>
      </c>
      <c r="TYM6" s="68" t="e" cm="1" vm="1">
        <f t="array" ref="TYM6">_xlfn._xlws.FILTER(TablaProductos[Nombre producto],TablaProductos[Agrupación]=ProductosPivot!TYM5)</f>
        <v>#VALUE!</v>
      </c>
      <c r="TYN6" s="68" t="e" cm="1" vm="1">
        <f t="array" ref="TYN6">_xlfn._xlws.FILTER(TablaProductos[Nombre producto],TablaProductos[Agrupación]=ProductosPivot!TYN5)</f>
        <v>#VALUE!</v>
      </c>
      <c r="TYO6" s="68" t="e" cm="1" vm="1">
        <f t="array" ref="TYO6">_xlfn._xlws.FILTER(TablaProductos[Nombre producto],TablaProductos[Agrupación]=ProductosPivot!TYO5)</f>
        <v>#VALUE!</v>
      </c>
      <c r="TYP6" s="68" t="e" cm="1" vm="1">
        <f t="array" ref="TYP6">_xlfn._xlws.FILTER(TablaProductos[Nombre producto],TablaProductos[Agrupación]=ProductosPivot!TYP5)</f>
        <v>#VALUE!</v>
      </c>
      <c r="TYQ6" s="68" t="e" cm="1" vm="1">
        <f t="array" ref="TYQ6">_xlfn._xlws.FILTER(TablaProductos[Nombre producto],TablaProductos[Agrupación]=ProductosPivot!TYQ5)</f>
        <v>#VALUE!</v>
      </c>
      <c r="TYR6" s="68" t="e" cm="1" vm="1">
        <f t="array" ref="TYR6">_xlfn._xlws.FILTER(TablaProductos[Nombre producto],TablaProductos[Agrupación]=ProductosPivot!TYR5)</f>
        <v>#VALUE!</v>
      </c>
      <c r="TYS6" s="68" t="e" cm="1" vm="1">
        <f t="array" ref="TYS6">_xlfn._xlws.FILTER(TablaProductos[Nombre producto],TablaProductos[Agrupación]=ProductosPivot!TYS5)</f>
        <v>#VALUE!</v>
      </c>
      <c r="TYT6" s="68" t="e" cm="1" vm="1">
        <f t="array" ref="TYT6">_xlfn._xlws.FILTER(TablaProductos[Nombre producto],TablaProductos[Agrupación]=ProductosPivot!TYT5)</f>
        <v>#VALUE!</v>
      </c>
      <c r="TYU6" s="68" t="e" cm="1" vm="1">
        <f t="array" ref="TYU6">_xlfn._xlws.FILTER(TablaProductos[Nombre producto],TablaProductos[Agrupación]=ProductosPivot!TYU5)</f>
        <v>#VALUE!</v>
      </c>
      <c r="TYV6" s="68" t="e" cm="1" vm="1">
        <f t="array" ref="TYV6">_xlfn._xlws.FILTER(TablaProductos[Nombre producto],TablaProductos[Agrupación]=ProductosPivot!TYV5)</f>
        <v>#VALUE!</v>
      </c>
      <c r="TYW6" s="68" t="e" cm="1" vm="1">
        <f t="array" ref="TYW6">_xlfn._xlws.FILTER(TablaProductos[Nombre producto],TablaProductos[Agrupación]=ProductosPivot!TYW5)</f>
        <v>#VALUE!</v>
      </c>
      <c r="TYX6" s="68" t="e" cm="1" vm="1">
        <f t="array" ref="TYX6">_xlfn._xlws.FILTER(TablaProductos[Nombre producto],TablaProductos[Agrupación]=ProductosPivot!TYX5)</f>
        <v>#VALUE!</v>
      </c>
      <c r="TYY6" s="68" t="e" cm="1" vm="1">
        <f t="array" ref="TYY6">_xlfn._xlws.FILTER(TablaProductos[Nombre producto],TablaProductos[Agrupación]=ProductosPivot!TYY5)</f>
        <v>#VALUE!</v>
      </c>
      <c r="TYZ6" s="68" t="e" cm="1" vm="1">
        <f t="array" ref="TYZ6">_xlfn._xlws.FILTER(TablaProductos[Nombre producto],TablaProductos[Agrupación]=ProductosPivot!TYZ5)</f>
        <v>#VALUE!</v>
      </c>
      <c r="TZA6" s="68" t="e" cm="1" vm="1">
        <f t="array" ref="TZA6">_xlfn._xlws.FILTER(TablaProductos[Nombre producto],TablaProductos[Agrupación]=ProductosPivot!TZA5)</f>
        <v>#VALUE!</v>
      </c>
      <c r="TZB6" s="68" t="e" cm="1" vm="1">
        <f t="array" ref="TZB6">_xlfn._xlws.FILTER(TablaProductos[Nombre producto],TablaProductos[Agrupación]=ProductosPivot!TZB5)</f>
        <v>#VALUE!</v>
      </c>
      <c r="TZC6" s="68" t="e" cm="1" vm="1">
        <f t="array" ref="TZC6">_xlfn._xlws.FILTER(TablaProductos[Nombre producto],TablaProductos[Agrupación]=ProductosPivot!TZC5)</f>
        <v>#VALUE!</v>
      </c>
      <c r="TZD6" s="68" t="e" cm="1" vm="1">
        <f t="array" ref="TZD6">_xlfn._xlws.FILTER(TablaProductos[Nombre producto],TablaProductos[Agrupación]=ProductosPivot!TZD5)</f>
        <v>#VALUE!</v>
      </c>
      <c r="TZE6" s="68" t="e" cm="1" vm="1">
        <f t="array" ref="TZE6">_xlfn._xlws.FILTER(TablaProductos[Nombre producto],TablaProductos[Agrupación]=ProductosPivot!TZE5)</f>
        <v>#VALUE!</v>
      </c>
      <c r="TZF6" s="68" t="e" cm="1" vm="1">
        <f t="array" ref="TZF6">_xlfn._xlws.FILTER(TablaProductos[Nombre producto],TablaProductos[Agrupación]=ProductosPivot!TZF5)</f>
        <v>#VALUE!</v>
      </c>
      <c r="TZG6" s="68" t="e" cm="1" vm="1">
        <f t="array" ref="TZG6">_xlfn._xlws.FILTER(TablaProductos[Nombre producto],TablaProductos[Agrupación]=ProductosPivot!TZG5)</f>
        <v>#VALUE!</v>
      </c>
      <c r="TZH6" s="68" t="e" cm="1" vm="1">
        <f t="array" ref="TZH6">_xlfn._xlws.FILTER(TablaProductos[Nombre producto],TablaProductos[Agrupación]=ProductosPivot!TZH5)</f>
        <v>#VALUE!</v>
      </c>
      <c r="TZI6" s="68" t="e" cm="1" vm="1">
        <f t="array" ref="TZI6">_xlfn._xlws.FILTER(TablaProductos[Nombre producto],TablaProductos[Agrupación]=ProductosPivot!TZI5)</f>
        <v>#VALUE!</v>
      </c>
      <c r="TZJ6" s="68" t="e" cm="1" vm="1">
        <f t="array" ref="TZJ6">_xlfn._xlws.FILTER(TablaProductos[Nombre producto],TablaProductos[Agrupación]=ProductosPivot!TZJ5)</f>
        <v>#VALUE!</v>
      </c>
      <c r="TZK6" s="68" t="e" cm="1" vm="1">
        <f t="array" ref="TZK6">_xlfn._xlws.FILTER(TablaProductos[Nombre producto],TablaProductos[Agrupación]=ProductosPivot!TZK5)</f>
        <v>#VALUE!</v>
      </c>
      <c r="TZL6" s="68" t="e" cm="1" vm="1">
        <f t="array" ref="TZL6">_xlfn._xlws.FILTER(TablaProductos[Nombre producto],TablaProductos[Agrupación]=ProductosPivot!TZL5)</f>
        <v>#VALUE!</v>
      </c>
      <c r="TZM6" s="68" t="e" cm="1" vm="1">
        <f t="array" ref="TZM6">_xlfn._xlws.FILTER(TablaProductos[Nombre producto],TablaProductos[Agrupación]=ProductosPivot!TZM5)</f>
        <v>#VALUE!</v>
      </c>
      <c r="TZN6" s="68" t="e" cm="1" vm="1">
        <f t="array" ref="TZN6">_xlfn._xlws.FILTER(TablaProductos[Nombre producto],TablaProductos[Agrupación]=ProductosPivot!TZN5)</f>
        <v>#VALUE!</v>
      </c>
      <c r="TZO6" s="68" t="e" cm="1" vm="1">
        <f t="array" ref="TZO6">_xlfn._xlws.FILTER(TablaProductos[Nombre producto],TablaProductos[Agrupación]=ProductosPivot!TZO5)</f>
        <v>#VALUE!</v>
      </c>
      <c r="TZP6" s="68" t="e" cm="1" vm="1">
        <f t="array" ref="TZP6">_xlfn._xlws.FILTER(TablaProductos[Nombre producto],TablaProductos[Agrupación]=ProductosPivot!TZP5)</f>
        <v>#VALUE!</v>
      </c>
      <c r="TZQ6" s="68" t="e" cm="1" vm="1">
        <f t="array" ref="TZQ6">_xlfn._xlws.FILTER(TablaProductos[Nombre producto],TablaProductos[Agrupación]=ProductosPivot!TZQ5)</f>
        <v>#VALUE!</v>
      </c>
      <c r="TZR6" s="68" t="e" cm="1" vm="1">
        <f t="array" ref="TZR6">_xlfn._xlws.FILTER(TablaProductos[Nombre producto],TablaProductos[Agrupación]=ProductosPivot!TZR5)</f>
        <v>#VALUE!</v>
      </c>
      <c r="TZS6" s="68" t="e" cm="1" vm="1">
        <f t="array" ref="TZS6">_xlfn._xlws.FILTER(TablaProductos[Nombre producto],TablaProductos[Agrupación]=ProductosPivot!TZS5)</f>
        <v>#VALUE!</v>
      </c>
      <c r="TZT6" s="68" t="e" cm="1" vm="1">
        <f t="array" ref="TZT6">_xlfn._xlws.FILTER(TablaProductos[Nombre producto],TablaProductos[Agrupación]=ProductosPivot!TZT5)</f>
        <v>#VALUE!</v>
      </c>
      <c r="TZU6" s="68" t="e" cm="1" vm="1">
        <f t="array" ref="TZU6">_xlfn._xlws.FILTER(TablaProductos[Nombre producto],TablaProductos[Agrupación]=ProductosPivot!TZU5)</f>
        <v>#VALUE!</v>
      </c>
      <c r="TZV6" s="68" t="e" cm="1" vm="1">
        <f t="array" ref="TZV6">_xlfn._xlws.FILTER(TablaProductos[Nombre producto],TablaProductos[Agrupación]=ProductosPivot!TZV5)</f>
        <v>#VALUE!</v>
      </c>
      <c r="TZW6" s="68" t="e" cm="1" vm="1">
        <f t="array" ref="TZW6">_xlfn._xlws.FILTER(TablaProductos[Nombre producto],TablaProductos[Agrupación]=ProductosPivot!TZW5)</f>
        <v>#VALUE!</v>
      </c>
      <c r="TZX6" s="68" t="e" cm="1" vm="1">
        <f t="array" ref="TZX6">_xlfn._xlws.FILTER(TablaProductos[Nombre producto],TablaProductos[Agrupación]=ProductosPivot!TZX5)</f>
        <v>#VALUE!</v>
      </c>
      <c r="TZY6" s="68" t="e" cm="1" vm="1">
        <f t="array" ref="TZY6">_xlfn._xlws.FILTER(TablaProductos[Nombre producto],TablaProductos[Agrupación]=ProductosPivot!TZY5)</f>
        <v>#VALUE!</v>
      </c>
      <c r="TZZ6" s="68" t="e" cm="1" vm="1">
        <f t="array" ref="TZZ6">_xlfn._xlws.FILTER(TablaProductos[Nombre producto],TablaProductos[Agrupación]=ProductosPivot!TZZ5)</f>
        <v>#VALUE!</v>
      </c>
      <c r="UAA6" s="68" t="e" cm="1" vm="1">
        <f t="array" ref="UAA6">_xlfn._xlws.FILTER(TablaProductos[Nombre producto],TablaProductos[Agrupación]=ProductosPivot!UAA5)</f>
        <v>#VALUE!</v>
      </c>
      <c r="UAB6" s="68" t="e" cm="1" vm="1">
        <f t="array" ref="UAB6">_xlfn._xlws.FILTER(TablaProductos[Nombre producto],TablaProductos[Agrupación]=ProductosPivot!UAB5)</f>
        <v>#VALUE!</v>
      </c>
      <c r="UAC6" s="68" t="e" cm="1" vm="1">
        <f t="array" ref="UAC6">_xlfn._xlws.FILTER(TablaProductos[Nombre producto],TablaProductos[Agrupación]=ProductosPivot!UAC5)</f>
        <v>#VALUE!</v>
      </c>
      <c r="UAD6" s="68" t="e" cm="1" vm="1">
        <f t="array" ref="UAD6">_xlfn._xlws.FILTER(TablaProductos[Nombre producto],TablaProductos[Agrupación]=ProductosPivot!UAD5)</f>
        <v>#VALUE!</v>
      </c>
      <c r="UAE6" s="68" t="e" cm="1" vm="1">
        <f t="array" ref="UAE6">_xlfn._xlws.FILTER(TablaProductos[Nombre producto],TablaProductos[Agrupación]=ProductosPivot!UAE5)</f>
        <v>#VALUE!</v>
      </c>
      <c r="UAF6" s="68" t="e" cm="1" vm="1">
        <f t="array" ref="UAF6">_xlfn._xlws.FILTER(TablaProductos[Nombre producto],TablaProductos[Agrupación]=ProductosPivot!UAF5)</f>
        <v>#VALUE!</v>
      </c>
      <c r="UAG6" s="68" t="e" cm="1" vm="1">
        <f t="array" ref="UAG6">_xlfn._xlws.FILTER(TablaProductos[Nombre producto],TablaProductos[Agrupación]=ProductosPivot!UAG5)</f>
        <v>#VALUE!</v>
      </c>
      <c r="UAH6" s="68" t="e" cm="1" vm="1">
        <f t="array" ref="UAH6">_xlfn._xlws.FILTER(TablaProductos[Nombre producto],TablaProductos[Agrupación]=ProductosPivot!UAH5)</f>
        <v>#VALUE!</v>
      </c>
      <c r="UAI6" s="68" t="e" cm="1" vm="1">
        <f t="array" ref="UAI6">_xlfn._xlws.FILTER(TablaProductos[Nombre producto],TablaProductos[Agrupación]=ProductosPivot!UAI5)</f>
        <v>#VALUE!</v>
      </c>
      <c r="UAJ6" s="68" t="e" cm="1" vm="1">
        <f t="array" ref="UAJ6">_xlfn._xlws.FILTER(TablaProductos[Nombre producto],TablaProductos[Agrupación]=ProductosPivot!UAJ5)</f>
        <v>#VALUE!</v>
      </c>
      <c r="UAK6" s="68" t="e" cm="1" vm="1">
        <f t="array" ref="UAK6">_xlfn._xlws.FILTER(TablaProductos[Nombre producto],TablaProductos[Agrupación]=ProductosPivot!UAK5)</f>
        <v>#VALUE!</v>
      </c>
      <c r="UAL6" s="68" t="e" cm="1" vm="1">
        <f t="array" ref="UAL6">_xlfn._xlws.FILTER(TablaProductos[Nombre producto],TablaProductos[Agrupación]=ProductosPivot!UAL5)</f>
        <v>#VALUE!</v>
      </c>
      <c r="UAM6" s="68" t="e" cm="1" vm="1">
        <f t="array" ref="UAM6">_xlfn._xlws.FILTER(TablaProductos[Nombre producto],TablaProductos[Agrupación]=ProductosPivot!UAM5)</f>
        <v>#VALUE!</v>
      </c>
      <c r="UAN6" s="68" t="e" cm="1" vm="1">
        <f t="array" ref="UAN6">_xlfn._xlws.FILTER(TablaProductos[Nombre producto],TablaProductos[Agrupación]=ProductosPivot!UAN5)</f>
        <v>#VALUE!</v>
      </c>
      <c r="UAO6" s="68" t="e" cm="1" vm="1">
        <f t="array" ref="UAO6">_xlfn._xlws.FILTER(TablaProductos[Nombre producto],TablaProductos[Agrupación]=ProductosPivot!UAO5)</f>
        <v>#VALUE!</v>
      </c>
      <c r="UAP6" s="68" t="e" cm="1" vm="1">
        <f t="array" ref="UAP6">_xlfn._xlws.FILTER(TablaProductos[Nombre producto],TablaProductos[Agrupación]=ProductosPivot!UAP5)</f>
        <v>#VALUE!</v>
      </c>
      <c r="UAQ6" s="68" t="e" cm="1" vm="1">
        <f t="array" ref="UAQ6">_xlfn._xlws.FILTER(TablaProductos[Nombre producto],TablaProductos[Agrupación]=ProductosPivot!UAQ5)</f>
        <v>#VALUE!</v>
      </c>
      <c r="UAR6" s="68" t="e" cm="1" vm="1">
        <f t="array" ref="UAR6">_xlfn._xlws.FILTER(TablaProductos[Nombre producto],TablaProductos[Agrupación]=ProductosPivot!UAR5)</f>
        <v>#VALUE!</v>
      </c>
      <c r="UAS6" s="68" t="e" cm="1" vm="1">
        <f t="array" ref="UAS6">_xlfn._xlws.FILTER(TablaProductos[Nombre producto],TablaProductos[Agrupación]=ProductosPivot!UAS5)</f>
        <v>#VALUE!</v>
      </c>
      <c r="UAT6" s="68" t="e" cm="1" vm="1">
        <f t="array" ref="UAT6">_xlfn._xlws.FILTER(TablaProductos[Nombre producto],TablaProductos[Agrupación]=ProductosPivot!UAT5)</f>
        <v>#VALUE!</v>
      </c>
      <c r="UAU6" s="68" t="e" cm="1" vm="1">
        <f t="array" ref="UAU6">_xlfn._xlws.FILTER(TablaProductos[Nombre producto],TablaProductos[Agrupación]=ProductosPivot!UAU5)</f>
        <v>#VALUE!</v>
      </c>
      <c r="UAV6" s="68" t="e" cm="1" vm="1">
        <f t="array" ref="UAV6">_xlfn._xlws.FILTER(TablaProductos[Nombre producto],TablaProductos[Agrupación]=ProductosPivot!UAV5)</f>
        <v>#VALUE!</v>
      </c>
      <c r="UAW6" s="68" t="e" cm="1" vm="1">
        <f t="array" ref="UAW6">_xlfn._xlws.FILTER(TablaProductos[Nombre producto],TablaProductos[Agrupación]=ProductosPivot!UAW5)</f>
        <v>#VALUE!</v>
      </c>
      <c r="UAX6" s="68" t="e" cm="1" vm="1">
        <f t="array" ref="UAX6">_xlfn._xlws.FILTER(TablaProductos[Nombre producto],TablaProductos[Agrupación]=ProductosPivot!UAX5)</f>
        <v>#VALUE!</v>
      </c>
      <c r="UAY6" s="68" t="e" cm="1" vm="1">
        <f t="array" ref="UAY6">_xlfn._xlws.FILTER(TablaProductos[Nombre producto],TablaProductos[Agrupación]=ProductosPivot!UAY5)</f>
        <v>#VALUE!</v>
      </c>
      <c r="UAZ6" s="68" t="e" cm="1" vm="1">
        <f t="array" ref="UAZ6">_xlfn._xlws.FILTER(TablaProductos[Nombre producto],TablaProductos[Agrupación]=ProductosPivot!UAZ5)</f>
        <v>#VALUE!</v>
      </c>
      <c r="UBA6" s="68" t="e" cm="1" vm="1">
        <f t="array" ref="UBA6">_xlfn._xlws.FILTER(TablaProductos[Nombre producto],TablaProductos[Agrupación]=ProductosPivot!UBA5)</f>
        <v>#VALUE!</v>
      </c>
      <c r="UBB6" s="68" t="e" cm="1" vm="1">
        <f t="array" ref="UBB6">_xlfn._xlws.FILTER(TablaProductos[Nombre producto],TablaProductos[Agrupación]=ProductosPivot!UBB5)</f>
        <v>#VALUE!</v>
      </c>
      <c r="UBC6" s="68" t="e" cm="1" vm="1">
        <f t="array" ref="UBC6">_xlfn._xlws.FILTER(TablaProductos[Nombre producto],TablaProductos[Agrupación]=ProductosPivot!UBC5)</f>
        <v>#VALUE!</v>
      </c>
      <c r="UBD6" s="68" t="e" cm="1" vm="1">
        <f t="array" ref="UBD6">_xlfn._xlws.FILTER(TablaProductos[Nombre producto],TablaProductos[Agrupación]=ProductosPivot!UBD5)</f>
        <v>#VALUE!</v>
      </c>
      <c r="UBE6" s="68" t="e" cm="1" vm="1">
        <f t="array" ref="UBE6">_xlfn._xlws.FILTER(TablaProductos[Nombre producto],TablaProductos[Agrupación]=ProductosPivot!UBE5)</f>
        <v>#VALUE!</v>
      </c>
      <c r="UBF6" s="68" t="e" cm="1" vm="1">
        <f t="array" ref="UBF6">_xlfn._xlws.FILTER(TablaProductos[Nombre producto],TablaProductos[Agrupación]=ProductosPivot!UBF5)</f>
        <v>#VALUE!</v>
      </c>
      <c r="UBG6" s="68" t="e" cm="1" vm="1">
        <f t="array" ref="UBG6">_xlfn._xlws.FILTER(TablaProductos[Nombre producto],TablaProductos[Agrupación]=ProductosPivot!UBG5)</f>
        <v>#VALUE!</v>
      </c>
      <c r="UBH6" s="68" t="e" cm="1" vm="1">
        <f t="array" ref="UBH6">_xlfn._xlws.FILTER(TablaProductos[Nombre producto],TablaProductos[Agrupación]=ProductosPivot!UBH5)</f>
        <v>#VALUE!</v>
      </c>
      <c r="UBI6" s="68" t="e" cm="1" vm="1">
        <f t="array" ref="UBI6">_xlfn._xlws.FILTER(TablaProductos[Nombre producto],TablaProductos[Agrupación]=ProductosPivot!UBI5)</f>
        <v>#VALUE!</v>
      </c>
      <c r="UBJ6" s="68" t="e" cm="1" vm="1">
        <f t="array" ref="UBJ6">_xlfn._xlws.FILTER(TablaProductos[Nombre producto],TablaProductos[Agrupación]=ProductosPivot!UBJ5)</f>
        <v>#VALUE!</v>
      </c>
      <c r="UBK6" s="68" t="e" cm="1" vm="1">
        <f t="array" ref="UBK6">_xlfn._xlws.FILTER(TablaProductos[Nombre producto],TablaProductos[Agrupación]=ProductosPivot!UBK5)</f>
        <v>#VALUE!</v>
      </c>
      <c r="UBL6" s="68" t="e" cm="1" vm="1">
        <f t="array" ref="UBL6">_xlfn._xlws.FILTER(TablaProductos[Nombre producto],TablaProductos[Agrupación]=ProductosPivot!UBL5)</f>
        <v>#VALUE!</v>
      </c>
      <c r="UBM6" s="68" t="e" cm="1" vm="1">
        <f t="array" ref="UBM6">_xlfn._xlws.FILTER(TablaProductos[Nombre producto],TablaProductos[Agrupación]=ProductosPivot!UBM5)</f>
        <v>#VALUE!</v>
      </c>
      <c r="UBN6" s="68" t="e" cm="1" vm="1">
        <f t="array" ref="UBN6">_xlfn._xlws.FILTER(TablaProductos[Nombre producto],TablaProductos[Agrupación]=ProductosPivot!UBN5)</f>
        <v>#VALUE!</v>
      </c>
      <c r="UBO6" s="68" t="e" cm="1" vm="1">
        <f t="array" ref="UBO6">_xlfn._xlws.FILTER(TablaProductos[Nombre producto],TablaProductos[Agrupación]=ProductosPivot!UBO5)</f>
        <v>#VALUE!</v>
      </c>
      <c r="UBP6" s="68" t="e" cm="1" vm="1">
        <f t="array" ref="UBP6">_xlfn._xlws.FILTER(TablaProductos[Nombre producto],TablaProductos[Agrupación]=ProductosPivot!UBP5)</f>
        <v>#VALUE!</v>
      </c>
      <c r="UBQ6" s="68" t="e" cm="1" vm="1">
        <f t="array" ref="UBQ6">_xlfn._xlws.FILTER(TablaProductos[Nombre producto],TablaProductos[Agrupación]=ProductosPivot!UBQ5)</f>
        <v>#VALUE!</v>
      </c>
      <c r="UBR6" s="68" t="e" cm="1" vm="1">
        <f t="array" ref="UBR6">_xlfn._xlws.FILTER(TablaProductos[Nombre producto],TablaProductos[Agrupación]=ProductosPivot!UBR5)</f>
        <v>#VALUE!</v>
      </c>
      <c r="UBS6" s="68" t="e" cm="1" vm="1">
        <f t="array" ref="UBS6">_xlfn._xlws.FILTER(TablaProductos[Nombre producto],TablaProductos[Agrupación]=ProductosPivot!UBS5)</f>
        <v>#VALUE!</v>
      </c>
      <c r="UBT6" s="68" t="e" cm="1" vm="1">
        <f t="array" ref="UBT6">_xlfn._xlws.FILTER(TablaProductos[Nombre producto],TablaProductos[Agrupación]=ProductosPivot!UBT5)</f>
        <v>#VALUE!</v>
      </c>
      <c r="UBU6" s="68" t="e" cm="1" vm="1">
        <f t="array" ref="UBU6">_xlfn._xlws.FILTER(TablaProductos[Nombre producto],TablaProductos[Agrupación]=ProductosPivot!UBU5)</f>
        <v>#VALUE!</v>
      </c>
      <c r="UBV6" s="68" t="e" cm="1" vm="1">
        <f t="array" ref="UBV6">_xlfn._xlws.FILTER(TablaProductos[Nombre producto],TablaProductos[Agrupación]=ProductosPivot!UBV5)</f>
        <v>#VALUE!</v>
      </c>
      <c r="UBW6" s="68" t="e" cm="1" vm="1">
        <f t="array" ref="UBW6">_xlfn._xlws.FILTER(TablaProductos[Nombre producto],TablaProductos[Agrupación]=ProductosPivot!UBW5)</f>
        <v>#VALUE!</v>
      </c>
      <c r="UBX6" s="68" t="e" cm="1" vm="1">
        <f t="array" ref="UBX6">_xlfn._xlws.FILTER(TablaProductos[Nombre producto],TablaProductos[Agrupación]=ProductosPivot!UBX5)</f>
        <v>#VALUE!</v>
      </c>
      <c r="UBY6" s="68" t="e" cm="1" vm="1">
        <f t="array" ref="UBY6">_xlfn._xlws.FILTER(TablaProductos[Nombre producto],TablaProductos[Agrupación]=ProductosPivot!UBY5)</f>
        <v>#VALUE!</v>
      </c>
      <c r="UBZ6" s="68" t="e" cm="1" vm="1">
        <f t="array" ref="UBZ6">_xlfn._xlws.FILTER(TablaProductos[Nombre producto],TablaProductos[Agrupación]=ProductosPivot!UBZ5)</f>
        <v>#VALUE!</v>
      </c>
      <c r="UCA6" s="68" t="e" cm="1" vm="1">
        <f t="array" ref="UCA6">_xlfn._xlws.FILTER(TablaProductos[Nombre producto],TablaProductos[Agrupación]=ProductosPivot!UCA5)</f>
        <v>#VALUE!</v>
      </c>
      <c r="UCB6" s="68" t="e" cm="1" vm="1">
        <f t="array" ref="UCB6">_xlfn._xlws.FILTER(TablaProductos[Nombre producto],TablaProductos[Agrupación]=ProductosPivot!UCB5)</f>
        <v>#VALUE!</v>
      </c>
      <c r="UCC6" s="68" t="e" cm="1" vm="1">
        <f t="array" ref="UCC6">_xlfn._xlws.FILTER(TablaProductos[Nombre producto],TablaProductos[Agrupación]=ProductosPivot!UCC5)</f>
        <v>#VALUE!</v>
      </c>
      <c r="UCD6" s="68" t="e" cm="1" vm="1">
        <f t="array" ref="UCD6">_xlfn._xlws.FILTER(TablaProductos[Nombre producto],TablaProductos[Agrupación]=ProductosPivot!UCD5)</f>
        <v>#VALUE!</v>
      </c>
      <c r="UCE6" s="68" t="e" cm="1" vm="1">
        <f t="array" ref="UCE6">_xlfn._xlws.FILTER(TablaProductos[Nombre producto],TablaProductos[Agrupación]=ProductosPivot!UCE5)</f>
        <v>#VALUE!</v>
      </c>
      <c r="UCF6" s="68" t="e" cm="1" vm="1">
        <f t="array" ref="UCF6">_xlfn._xlws.FILTER(TablaProductos[Nombre producto],TablaProductos[Agrupación]=ProductosPivot!UCF5)</f>
        <v>#VALUE!</v>
      </c>
      <c r="UCG6" s="68" t="e" cm="1" vm="1">
        <f t="array" ref="UCG6">_xlfn._xlws.FILTER(TablaProductos[Nombre producto],TablaProductos[Agrupación]=ProductosPivot!UCG5)</f>
        <v>#VALUE!</v>
      </c>
      <c r="UCH6" s="68" t="e" cm="1" vm="1">
        <f t="array" ref="UCH6">_xlfn._xlws.FILTER(TablaProductos[Nombre producto],TablaProductos[Agrupación]=ProductosPivot!UCH5)</f>
        <v>#VALUE!</v>
      </c>
      <c r="UCI6" s="68" t="e" cm="1" vm="1">
        <f t="array" ref="UCI6">_xlfn._xlws.FILTER(TablaProductos[Nombre producto],TablaProductos[Agrupación]=ProductosPivot!UCI5)</f>
        <v>#VALUE!</v>
      </c>
      <c r="UCJ6" s="68" t="e" cm="1" vm="1">
        <f t="array" ref="UCJ6">_xlfn._xlws.FILTER(TablaProductos[Nombre producto],TablaProductos[Agrupación]=ProductosPivot!UCJ5)</f>
        <v>#VALUE!</v>
      </c>
      <c r="UCK6" s="68" t="e" cm="1" vm="1">
        <f t="array" ref="UCK6">_xlfn._xlws.FILTER(TablaProductos[Nombre producto],TablaProductos[Agrupación]=ProductosPivot!UCK5)</f>
        <v>#VALUE!</v>
      </c>
      <c r="UCL6" s="68" t="e" cm="1" vm="1">
        <f t="array" ref="UCL6">_xlfn._xlws.FILTER(TablaProductos[Nombre producto],TablaProductos[Agrupación]=ProductosPivot!UCL5)</f>
        <v>#VALUE!</v>
      </c>
      <c r="UCM6" s="68" t="e" cm="1" vm="1">
        <f t="array" ref="UCM6">_xlfn._xlws.FILTER(TablaProductos[Nombre producto],TablaProductos[Agrupación]=ProductosPivot!UCM5)</f>
        <v>#VALUE!</v>
      </c>
      <c r="UCN6" s="68" t="e" cm="1" vm="1">
        <f t="array" ref="UCN6">_xlfn._xlws.FILTER(TablaProductos[Nombre producto],TablaProductos[Agrupación]=ProductosPivot!UCN5)</f>
        <v>#VALUE!</v>
      </c>
      <c r="UCO6" s="68" t="e" cm="1" vm="1">
        <f t="array" ref="UCO6">_xlfn._xlws.FILTER(TablaProductos[Nombre producto],TablaProductos[Agrupación]=ProductosPivot!UCO5)</f>
        <v>#VALUE!</v>
      </c>
      <c r="UCP6" s="68" t="e" cm="1" vm="1">
        <f t="array" ref="UCP6">_xlfn._xlws.FILTER(TablaProductos[Nombre producto],TablaProductos[Agrupación]=ProductosPivot!UCP5)</f>
        <v>#VALUE!</v>
      </c>
      <c r="UCQ6" s="68" t="e" cm="1" vm="1">
        <f t="array" ref="UCQ6">_xlfn._xlws.FILTER(TablaProductos[Nombre producto],TablaProductos[Agrupación]=ProductosPivot!UCQ5)</f>
        <v>#VALUE!</v>
      </c>
      <c r="UCR6" s="68" t="e" cm="1" vm="1">
        <f t="array" ref="UCR6">_xlfn._xlws.FILTER(TablaProductos[Nombre producto],TablaProductos[Agrupación]=ProductosPivot!UCR5)</f>
        <v>#VALUE!</v>
      </c>
      <c r="UCS6" s="68" t="e" cm="1" vm="1">
        <f t="array" ref="UCS6">_xlfn._xlws.FILTER(TablaProductos[Nombre producto],TablaProductos[Agrupación]=ProductosPivot!UCS5)</f>
        <v>#VALUE!</v>
      </c>
      <c r="UCT6" s="68" t="e" cm="1" vm="1">
        <f t="array" ref="UCT6">_xlfn._xlws.FILTER(TablaProductos[Nombre producto],TablaProductos[Agrupación]=ProductosPivot!UCT5)</f>
        <v>#VALUE!</v>
      </c>
      <c r="UCU6" s="68" t="e" cm="1" vm="1">
        <f t="array" ref="UCU6">_xlfn._xlws.FILTER(TablaProductos[Nombre producto],TablaProductos[Agrupación]=ProductosPivot!UCU5)</f>
        <v>#VALUE!</v>
      </c>
      <c r="UCV6" s="68" t="e" cm="1" vm="1">
        <f t="array" ref="UCV6">_xlfn._xlws.FILTER(TablaProductos[Nombre producto],TablaProductos[Agrupación]=ProductosPivot!UCV5)</f>
        <v>#VALUE!</v>
      </c>
      <c r="UCW6" s="68" t="e" cm="1" vm="1">
        <f t="array" ref="UCW6">_xlfn._xlws.FILTER(TablaProductos[Nombre producto],TablaProductos[Agrupación]=ProductosPivot!UCW5)</f>
        <v>#VALUE!</v>
      </c>
      <c r="UCX6" s="68" t="e" cm="1" vm="1">
        <f t="array" ref="UCX6">_xlfn._xlws.FILTER(TablaProductos[Nombre producto],TablaProductos[Agrupación]=ProductosPivot!UCX5)</f>
        <v>#VALUE!</v>
      </c>
      <c r="UCY6" s="68" t="e" cm="1" vm="1">
        <f t="array" ref="UCY6">_xlfn._xlws.FILTER(TablaProductos[Nombre producto],TablaProductos[Agrupación]=ProductosPivot!UCY5)</f>
        <v>#VALUE!</v>
      </c>
      <c r="UCZ6" s="68" t="e" cm="1" vm="1">
        <f t="array" ref="UCZ6">_xlfn._xlws.FILTER(TablaProductos[Nombre producto],TablaProductos[Agrupación]=ProductosPivot!UCZ5)</f>
        <v>#VALUE!</v>
      </c>
      <c r="UDA6" s="68" t="e" cm="1" vm="1">
        <f t="array" ref="UDA6">_xlfn._xlws.FILTER(TablaProductos[Nombre producto],TablaProductos[Agrupación]=ProductosPivot!UDA5)</f>
        <v>#VALUE!</v>
      </c>
      <c r="UDB6" s="68" t="e" cm="1" vm="1">
        <f t="array" ref="UDB6">_xlfn._xlws.FILTER(TablaProductos[Nombre producto],TablaProductos[Agrupación]=ProductosPivot!UDB5)</f>
        <v>#VALUE!</v>
      </c>
      <c r="UDC6" s="68" t="e" cm="1" vm="1">
        <f t="array" ref="UDC6">_xlfn._xlws.FILTER(TablaProductos[Nombre producto],TablaProductos[Agrupación]=ProductosPivot!UDC5)</f>
        <v>#VALUE!</v>
      </c>
      <c r="UDD6" s="68" t="e" cm="1" vm="1">
        <f t="array" ref="UDD6">_xlfn._xlws.FILTER(TablaProductos[Nombre producto],TablaProductos[Agrupación]=ProductosPivot!UDD5)</f>
        <v>#VALUE!</v>
      </c>
      <c r="UDE6" s="68" t="e" cm="1" vm="1">
        <f t="array" ref="UDE6">_xlfn._xlws.FILTER(TablaProductos[Nombre producto],TablaProductos[Agrupación]=ProductosPivot!UDE5)</f>
        <v>#VALUE!</v>
      </c>
      <c r="UDF6" s="68" t="e" cm="1" vm="1">
        <f t="array" ref="UDF6">_xlfn._xlws.FILTER(TablaProductos[Nombre producto],TablaProductos[Agrupación]=ProductosPivot!UDF5)</f>
        <v>#VALUE!</v>
      </c>
      <c r="UDG6" s="68" t="e" cm="1" vm="1">
        <f t="array" ref="UDG6">_xlfn._xlws.FILTER(TablaProductos[Nombre producto],TablaProductos[Agrupación]=ProductosPivot!UDG5)</f>
        <v>#VALUE!</v>
      </c>
      <c r="UDH6" s="68" t="e" cm="1" vm="1">
        <f t="array" ref="UDH6">_xlfn._xlws.FILTER(TablaProductos[Nombre producto],TablaProductos[Agrupación]=ProductosPivot!UDH5)</f>
        <v>#VALUE!</v>
      </c>
      <c r="UDI6" s="68" t="e" cm="1" vm="1">
        <f t="array" ref="UDI6">_xlfn._xlws.FILTER(TablaProductos[Nombre producto],TablaProductos[Agrupación]=ProductosPivot!UDI5)</f>
        <v>#VALUE!</v>
      </c>
      <c r="UDJ6" s="68" t="e" cm="1" vm="1">
        <f t="array" ref="UDJ6">_xlfn._xlws.FILTER(TablaProductos[Nombre producto],TablaProductos[Agrupación]=ProductosPivot!UDJ5)</f>
        <v>#VALUE!</v>
      </c>
      <c r="UDK6" s="68" t="e" cm="1" vm="1">
        <f t="array" ref="UDK6">_xlfn._xlws.FILTER(TablaProductos[Nombre producto],TablaProductos[Agrupación]=ProductosPivot!UDK5)</f>
        <v>#VALUE!</v>
      </c>
      <c r="UDL6" s="68" t="e" cm="1" vm="1">
        <f t="array" ref="UDL6">_xlfn._xlws.FILTER(TablaProductos[Nombre producto],TablaProductos[Agrupación]=ProductosPivot!UDL5)</f>
        <v>#VALUE!</v>
      </c>
      <c r="UDM6" s="68" t="e" cm="1" vm="1">
        <f t="array" ref="UDM6">_xlfn._xlws.FILTER(TablaProductos[Nombre producto],TablaProductos[Agrupación]=ProductosPivot!UDM5)</f>
        <v>#VALUE!</v>
      </c>
      <c r="UDN6" s="68" t="e" cm="1" vm="1">
        <f t="array" ref="UDN6">_xlfn._xlws.FILTER(TablaProductos[Nombre producto],TablaProductos[Agrupación]=ProductosPivot!UDN5)</f>
        <v>#VALUE!</v>
      </c>
      <c r="UDO6" s="68" t="e" cm="1" vm="1">
        <f t="array" ref="UDO6">_xlfn._xlws.FILTER(TablaProductos[Nombre producto],TablaProductos[Agrupación]=ProductosPivot!UDO5)</f>
        <v>#VALUE!</v>
      </c>
      <c r="UDP6" s="68" t="e" cm="1" vm="1">
        <f t="array" ref="UDP6">_xlfn._xlws.FILTER(TablaProductos[Nombre producto],TablaProductos[Agrupación]=ProductosPivot!UDP5)</f>
        <v>#VALUE!</v>
      </c>
      <c r="UDQ6" s="68" t="e" cm="1" vm="1">
        <f t="array" ref="UDQ6">_xlfn._xlws.FILTER(TablaProductos[Nombre producto],TablaProductos[Agrupación]=ProductosPivot!UDQ5)</f>
        <v>#VALUE!</v>
      </c>
      <c r="UDR6" s="68" t="e" cm="1" vm="1">
        <f t="array" ref="UDR6">_xlfn._xlws.FILTER(TablaProductos[Nombre producto],TablaProductos[Agrupación]=ProductosPivot!UDR5)</f>
        <v>#VALUE!</v>
      </c>
      <c r="UDS6" s="68" t="e" cm="1" vm="1">
        <f t="array" ref="UDS6">_xlfn._xlws.FILTER(TablaProductos[Nombre producto],TablaProductos[Agrupación]=ProductosPivot!UDS5)</f>
        <v>#VALUE!</v>
      </c>
      <c r="UDT6" s="68" t="e" cm="1" vm="1">
        <f t="array" ref="UDT6">_xlfn._xlws.FILTER(TablaProductos[Nombre producto],TablaProductos[Agrupación]=ProductosPivot!UDT5)</f>
        <v>#VALUE!</v>
      </c>
      <c r="UDU6" s="68" t="e" cm="1" vm="1">
        <f t="array" ref="UDU6">_xlfn._xlws.FILTER(TablaProductos[Nombre producto],TablaProductos[Agrupación]=ProductosPivot!UDU5)</f>
        <v>#VALUE!</v>
      </c>
      <c r="UDV6" s="68" t="e" cm="1" vm="1">
        <f t="array" ref="UDV6">_xlfn._xlws.FILTER(TablaProductos[Nombre producto],TablaProductos[Agrupación]=ProductosPivot!UDV5)</f>
        <v>#VALUE!</v>
      </c>
      <c r="UDW6" s="68" t="e" cm="1" vm="1">
        <f t="array" ref="UDW6">_xlfn._xlws.FILTER(TablaProductos[Nombre producto],TablaProductos[Agrupación]=ProductosPivot!UDW5)</f>
        <v>#VALUE!</v>
      </c>
      <c r="UDX6" s="68" t="e" cm="1" vm="1">
        <f t="array" ref="UDX6">_xlfn._xlws.FILTER(TablaProductos[Nombre producto],TablaProductos[Agrupación]=ProductosPivot!UDX5)</f>
        <v>#VALUE!</v>
      </c>
      <c r="UDY6" s="68" t="e" cm="1" vm="1">
        <f t="array" ref="UDY6">_xlfn._xlws.FILTER(TablaProductos[Nombre producto],TablaProductos[Agrupación]=ProductosPivot!UDY5)</f>
        <v>#VALUE!</v>
      </c>
      <c r="UDZ6" s="68" t="e" cm="1" vm="1">
        <f t="array" ref="UDZ6">_xlfn._xlws.FILTER(TablaProductos[Nombre producto],TablaProductos[Agrupación]=ProductosPivot!UDZ5)</f>
        <v>#VALUE!</v>
      </c>
      <c r="UEA6" s="68" t="e" cm="1" vm="1">
        <f t="array" ref="UEA6">_xlfn._xlws.FILTER(TablaProductos[Nombre producto],TablaProductos[Agrupación]=ProductosPivot!UEA5)</f>
        <v>#VALUE!</v>
      </c>
      <c r="UEB6" s="68" t="e" cm="1" vm="1">
        <f t="array" ref="UEB6">_xlfn._xlws.FILTER(TablaProductos[Nombre producto],TablaProductos[Agrupación]=ProductosPivot!UEB5)</f>
        <v>#VALUE!</v>
      </c>
      <c r="UEC6" s="68" t="e" cm="1" vm="1">
        <f t="array" ref="UEC6">_xlfn._xlws.FILTER(TablaProductos[Nombre producto],TablaProductos[Agrupación]=ProductosPivot!UEC5)</f>
        <v>#VALUE!</v>
      </c>
      <c r="UED6" s="68" t="e" cm="1" vm="1">
        <f t="array" ref="UED6">_xlfn._xlws.FILTER(TablaProductos[Nombre producto],TablaProductos[Agrupación]=ProductosPivot!UED5)</f>
        <v>#VALUE!</v>
      </c>
      <c r="UEE6" s="68" t="e" cm="1" vm="1">
        <f t="array" ref="UEE6">_xlfn._xlws.FILTER(TablaProductos[Nombre producto],TablaProductos[Agrupación]=ProductosPivot!UEE5)</f>
        <v>#VALUE!</v>
      </c>
      <c r="UEF6" s="68" t="e" cm="1" vm="1">
        <f t="array" ref="UEF6">_xlfn._xlws.FILTER(TablaProductos[Nombre producto],TablaProductos[Agrupación]=ProductosPivot!UEF5)</f>
        <v>#VALUE!</v>
      </c>
      <c r="UEG6" s="68" t="e" cm="1" vm="1">
        <f t="array" ref="UEG6">_xlfn._xlws.FILTER(TablaProductos[Nombre producto],TablaProductos[Agrupación]=ProductosPivot!UEG5)</f>
        <v>#VALUE!</v>
      </c>
      <c r="UEH6" s="68" t="e" cm="1" vm="1">
        <f t="array" ref="UEH6">_xlfn._xlws.FILTER(TablaProductos[Nombre producto],TablaProductos[Agrupación]=ProductosPivot!UEH5)</f>
        <v>#VALUE!</v>
      </c>
      <c r="UEI6" s="68" t="e" cm="1" vm="1">
        <f t="array" ref="UEI6">_xlfn._xlws.FILTER(TablaProductos[Nombre producto],TablaProductos[Agrupación]=ProductosPivot!UEI5)</f>
        <v>#VALUE!</v>
      </c>
      <c r="UEJ6" s="68" t="e" cm="1" vm="1">
        <f t="array" ref="UEJ6">_xlfn._xlws.FILTER(TablaProductos[Nombre producto],TablaProductos[Agrupación]=ProductosPivot!UEJ5)</f>
        <v>#VALUE!</v>
      </c>
      <c r="UEK6" s="68" t="e" cm="1" vm="1">
        <f t="array" ref="UEK6">_xlfn._xlws.FILTER(TablaProductos[Nombre producto],TablaProductos[Agrupación]=ProductosPivot!UEK5)</f>
        <v>#VALUE!</v>
      </c>
      <c r="UEL6" s="68" t="e" cm="1" vm="1">
        <f t="array" ref="UEL6">_xlfn._xlws.FILTER(TablaProductos[Nombre producto],TablaProductos[Agrupación]=ProductosPivot!UEL5)</f>
        <v>#VALUE!</v>
      </c>
      <c r="UEM6" s="68" t="e" cm="1" vm="1">
        <f t="array" ref="UEM6">_xlfn._xlws.FILTER(TablaProductos[Nombre producto],TablaProductos[Agrupación]=ProductosPivot!UEM5)</f>
        <v>#VALUE!</v>
      </c>
      <c r="UEN6" s="68" t="e" cm="1" vm="1">
        <f t="array" ref="UEN6">_xlfn._xlws.FILTER(TablaProductos[Nombre producto],TablaProductos[Agrupación]=ProductosPivot!UEN5)</f>
        <v>#VALUE!</v>
      </c>
      <c r="UEO6" s="68" t="e" cm="1" vm="1">
        <f t="array" ref="UEO6">_xlfn._xlws.FILTER(TablaProductos[Nombre producto],TablaProductos[Agrupación]=ProductosPivot!UEO5)</f>
        <v>#VALUE!</v>
      </c>
      <c r="UEP6" s="68" t="e" cm="1" vm="1">
        <f t="array" ref="UEP6">_xlfn._xlws.FILTER(TablaProductos[Nombre producto],TablaProductos[Agrupación]=ProductosPivot!UEP5)</f>
        <v>#VALUE!</v>
      </c>
      <c r="UEQ6" s="68" t="e" cm="1" vm="1">
        <f t="array" ref="UEQ6">_xlfn._xlws.FILTER(TablaProductos[Nombre producto],TablaProductos[Agrupación]=ProductosPivot!UEQ5)</f>
        <v>#VALUE!</v>
      </c>
      <c r="UER6" s="68" t="e" cm="1" vm="1">
        <f t="array" ref="UER6">_xlfn._xlws.FILTER(TablaProductos[Nombre producto],TablaProductos[Agrupación]=ProductosPivot!UER5)</f>
        <v>#VALUE!</v>
      </c>
      <c r="UES6" s="68" t="e" cm="1" vm="1">
        <f t="array" ref="UES6">_xlfn._xlws.FILTER(TablaProductos[Nombre producto],TablaProductos[Agrupación]=ProductosPivot!UES5)</f>
        <v>#VALUE!</v>
      </c>
      <c r="UET6" s="68" t="e" cm="1" vm="1">
        <f t="array" ref="UET6">_xlfn._xlws.FILTER(TablaProductos[Nombre producto],TablaProductos[Agrupación]=ProductosPivot!UET5)</f>
        <v>#VALUE!</v>
      </c>
      <c r="UEU6" s="68" t="e" cm="1" vm="1">
        <f t="array" ref="UEU6">_xlfn._xlws.FILTER(TablaProductos[Nombre producto],TablaProductos[Agrupación]=ProductosPivot!UEU5)</f>
        <v>#VALUE!</v>
      </c>
      <c r="UEV6" s="68" t="e" cm="1" vm="1">
        <f t="array" ref="UEV6">_xlfn._xlws.FILTER(TablaProductos[Nombre producto],TablaProductos[Agrupación]=ProductosPivot!UEV5)</f>
        <v>#VALUE!</v>
      </c>
      <c r="UEW6" s="68" t="e" cm="1" vm="1">
        <f t="array" ref="UEW6">_xlfn._xlws.FILTER(TablaProductos[Nombre producto],TablaProductos[Agrupación]=ProductosPivot!UEW5)</f>
        <v>#VALUE!</v>
      </c>
      <c r="UEX6" s="68" t="e" cm="1" vm="1">
        <f t="array" ref="UEX6">_xlfn._xlws.FILTER(TablaProductos[Nombre producto],TablaProductos[Agrupación]=ProductosPivot!UEX5)</f>
        <v>#VALUE!</v>
      </c>
      <c r="UEY6" s="68" t="e" cm="1" vm="1">
        <f t="array" ref="UEY6">_xlfn._xlws.FILTER(TablaProductos[Nombre producto],TablaProductos[Agrupación]=ProductosPivot!UEY5)</f>
        <v>#VALUE!</v>
      </c>
      <c r="UEZ6" s="68" t="e" cm="1" vm="1">
        <f t="array" ref="UEZ6">_xlfn._xlws.FILTER(TablaProductos[Nombre producto],TablaProductos[Agrupación]=ProductosPivot!UEZ5)</f>
        <v>#VALUE!</v>
      </c>
      <c r="UFA6" s="68" t="e" cm="1" vm="1">
        <f t="array" ref="UFA6">_xlfn._xlws.FILTER(TablaProductos[Nombre producto],TablaProductos[Agrupación]=ProductosPivot!UFA5)</f>
        <v>#VALUE!</v>
      </c>
      <c r="UFB6" s="68" t="e" cm="1" vm="1">
        <f t="array" ref="UFB6">_xlfn._xlws.FILTER(TablaProductos[Nombre producto],TablaProductos[Agrupación]=ProductosPivot!UFB5)</f>
        <v>#VALUE!</v>
      </c>
      <c r="UFC6" s="68" t="e" cm="1" vm="1">
        <f t="array" ref="UFC6">_xlfn._xlws.FILTER(TablaProductos[Nombre producto],TablaProductos[Agrupación]=ProductosPivot!UFC5)</f>
        <v>#VALUE!</v>
      </c>
      <c r="UFD6" s="68" t="e" cm="1" vm="1">
        <f t="array" ref="UFD6">_xlfn._xlws.FILTER(TablaProductos[Nombre producto],TablaProductos[Agrupación]=ProductosPivot!UFD5)</f>
        <v>#VALUE!</v>
      </c>
      <c r="UFE6" s="68" t="e" cm="1" vm="1">
        <f t="array" ref="UFE6">_xlfn._xlws.FILTER(TablaProductos[Nombre producto],TablaProductos[Agrupación]=ProductosPivot!UFE5)</f>
        <v>#VALUE!</v>
      </c>
      <c r="UFF6" s="68" t="e" cm="1" vm="1">
        <f t="array" ref="UFF6">_xlfn._xlws.FILTER(TablaProductos[Nombre producto],TablaProductos[Agrupación]=ProductosPivot!UFF5)</f>
        <v>#VALUE!</v>
      </c>
      <c r="UFG6" s="68" t="e" cm="1" vm="1">
        <f t="array" ref="UFG6">_xlfn._xlws.FILTER(TablaProductos[Nombre producto],TablaProductos[Agrupación]=ProductosPivot!UFG5)</f>
        <v>#VALUE!</v>
      </c>
      <c r="UFH6" s="68" t="e" cm="1" vm="1">
        <f t="array" ref="UFH6">_xlfn._xlws.FILTER(TablaProductos[Nombre producto],TablaProductos[Agrupación]=ProductosPivot!UFH5)</f>
        <v>#VALUE!</v>
      </c>
      <c r="UFI6" s="68" t="e" cm="1" vm="1">
        <f t="array" ref="UFI6">_xlfn._xlws.FILTER(TablaProductos[Nombre producto],TablaProductos[Agrupación]=ProductosPivot!UFI5)</f>
        <v>#VALUE!</v>
      </c>
      <c r="UFJ6" s="68" t="e" cm="1" vm="1">
        <f t="array" ref="UFJ6">_xlfn._xlws.FILTER(TablaProductos[Nombre producto],TablaProductos[Agrupación]=ProductosPivot!UFJ5)</f>
        <v>#VALUE!</v>
      </c>
      <c r="UFK6" s="68" t="e" cm="1" vm="1">
        <f t="array" ref="UFK6">_xlfn._xlws.FILTER(TablaProductos[Nombre producto],TablaProductos[Agrupación]=ProductosPivot!UFK5)</f>
        <v>#VALUE!</v>
      </c>
      <c r="UFL6" s="68" t="e" cm="1" vm="1">
        <f t="array" ref="UFL6">_xlfn._xlws.FILTER(TablaProductos[Nombre producto],TablaProductos[Agrupación]=ProductosPivot!UFL5)</f>
        <v>#VALUE!</v>
      </c>
      <c r="UFM6" s="68" t="e" cm="1" vm="1">
        <f t="array" ref="UFM6">_xlfn._xlws.FILTER(TablaProductos[Nombre producto],TablaProductos[Agrupación]=ProductosPivot!UFM5)</f>
        <v>#VALUE!</v>
      </c>
      <c r="UFN6" s="68" t="e" cm="1" vm="1">
        <f t="array" ref="UFN6">_xlfn._xlws.FILTER(TablaProductos[Nombre producto],TablaProductos[Agrupación]=ProductosPivot!UFN5)</f>
        <v>#VALUE!</v>
      </c>
      <c r="UFO6" s="68" t="e" cm="1" vm="1">
        <f t="array" ref="UFO6">_xlfn._xlws.FILTER(TablaProductos[Nombre producto],TablaProductos[Agrupación]=ProductosPivot!UFO5)</f>
        <v>#VALUE!</v>
      </c>
      <c r="UFP6" s="68" t="e" cm="1" vm="1">
        <f t="array" ref="UFP6">_xlfn._xlws.FILTER(TablaProductos[Nombre producto],TablaProductos[Agrupación]=ProductosPivot!UFP5)</f>
        <v>#VALUE!</v>
      </c>
      <c r="UFQ6" s="68" t="e" cm="1" vm="1">
        <f t="array" ref="UFQ6">_xlfn._xlws.FILTER(TablaProductos[Nombre producto],TablaProductos[Agrupación]=ProductosPivot!UFQ5)</f>
        <v>#VALUE!</v>
      </c>
      <c r="UFR6" s="68" t="e" cm="1" vm="1">
        <f t="array" ref="UFR6">_xlfn._xlws.FILTER(TablaProductos[Nombre producto],TablaProductos[Agrupación]=ProductosPivot!UFR5)</f>
        <v>#VALUE!</v>
      </c>
      <c r="UFS6" s="68" t="e" cm="1" vm="1">
        <f t="array" ref="UFS6">_xlfn._xlws.FILTER(TablaProductos[Nombre producto],TablaProductos[Agrupación]=ProductosPivot!UFS5)</f>
        <v>#VALUE!</v>
      </c>
      <c r="UFT6" s="68" t="e" cm="1" vm="1">
        <f t="array" ref="UFT6">_xlfn._xlws.FILTER(TablaProductos[Nombre producto],TablaProductos[Agrupación]=ProductosPivot!UFT5)</f>
        <v>#VALUE!</v>
      </c>
      <c r="UFU6" s="68" t="e" cm="1" vm="1">
        <f t="array" ref="UFU6">_xlfn._xlws.FILTER(TablaProductos[Nombre producto],TablaProductos[Agrupación]=ProductosPivot!UFU5)</f>
        <v>#VALUE!</v>
      </c>
      <c r="UFV6" s="68" t="e" cm="1" vm="1">
        <f t="array" ref="UFV6">_xlfn._xlws.FILTER(TablaProductos[Nombre producto],TablaProductos[Agrupación]=ProductosPivot!UFV5)</f>
        <v>#VALUE!</v>
      </c>
      <c r="UFW6" s="68" t="e" cm="1" vm="1">
        <f t="array" ref="UFW6">_xlfn._xlws.FILTER(TablaProductos[Nombre producto],TablaProductos[Agrupación]=ProductosPivot!UFW5)</f>
        <v>#VALUE!</v>
      </c>
      <c r="UFX6" s="68" t="e" cm="1" vm="1">
        <f t="array" ref="UFX6">_xlfn._xlws.FILTER(TablaProductos[Nombre producto],TablaProductos[Agrupación]=ProductosPivot!UFX5)</f>
        <v>#VALUE!</v>
      </c>
      <c r="UFY6" s="68" t="e" cm="1" vm="1">
        <f t="array" ref="UFY6">_xlfn._xlws.FILTER(TablaProductos[Nombre producto],TablaProductos[Agrupación]=ProductosPivot!UFY5)</f>
        <v>#VALUE!</v>
      </c>
      <c r="UFZ6" s="68" t="e" cm="1" vm="1">
        <f t="array" ref="UFZ6">_xlfn._xlws.FILTER(TablaProductos[Nombre producto],TablaProductos[Agrupación]=ProductosPivot!UFZ5)</f>
        <v>#VALUE!</v>
      </c>
      <c r="UGA6" s="68" t="e" cm="1" vm="1">
        <f t="array" ref="UGA6">_xlfn._xlws.FILTER(TablaProductos[Nombre producto],TablaProductos[Agrupación]=ProductosPivot!UGA5)</f>
        <v>#VALUE!</v>
      </c>
      <c r="UGB6" s="68" t="e" cm="1" vm="1">
        <f t="array" ref="UGB6">_xlfn._xlws.FILTER(TablaProductos[Nombre producto],TablaProductos[Agrupación]=ProductosPivot!UGB5)</f>
        <v>#VALUE!</v>
      </c>
      <c r="UGC6" s="68" t="e" cm="1" vm="1">
        <f t="array" ref="UGC6">_xlfn._xlws.FILTER(TablaProductos[Nombre producto],TablaProductos[Agrupación]=ProductosPivot!UGC5)</f>
        <v>#VALUE!</v>
      </c>
      <c r="UGD6" s="68" t="e" cm="1" vm="1">
        <f t="array" ref="UGD6">_xlfn._xlws.FILTER(TablaProductos[Nombre producto],TablaProductos[Agrupación]=ProductosPivot!UGD5)</f>
        <v>#VALUE!</v>
      </c>
      <c r="UGE6" s="68" t="e" cm="1" vm="1">
        <f t="array" ref="UGE6">_xlfn._xlws.FILTER(TablaProductos[Nombre producto],TablaProductos[Agrupación]=ProductosPivot!UGE5)</f>
        <v>#VALUE!</v>
      </c>
      <c r="UGF6" s="68" t="e" cm="1" vm="1">
        <f t="array" ref="UGF6">_xlfn._xlws.FILTER(TablaProductos[Nombre producto],TablaProductos[Agrupación]=ProductosPivot!UGF5)</f>
        <v>#VALUE!</v>
      </c>
      <c r="UGG6" s="68" t="e" cm="1" vm="1">
        <f t="array" ref="UGG6">_xlfn._xlws.FILTER(TablaProductos[Nombre producto],TablaProductos[Agrupación]=ProductosPivot!UGG5)</f>
        <v>#VALUE!</v>
      </c>
      <c r="UGH6" s="68" t="e" cm="1" vm="1">
        <f t="array" ref="UGH6">_xlfn._xlws.FILTER(TablaProductos[Nombre producto],TablaProductos[Agrupación]=ProductosPivot!UGH5)</f>
        <v>#VALUE!</v>
      </c>
      <c r="UGI6" s="68" t="e" cm="1" vm="1">
        <f t="array" ref="UGI6">_xlfn._xlws.FILTER(TablaProductos[Nombre producto],TablaProductos[Agrupación]=ProductosPivot!UGI5)</f>
        <v>#VALUE!</v>
      </c>
      <c r="UGJ6" s="68" t="e" cm="1" vm="1">
        <f t="array" ref="UGJ6">_xlfn._xlws.FILTER(TablaProductos[Nombre producto],TablaProductos[Agrupación]=ProductosPivot!UGJ5)</f>
        <v>#VALUE!</v>
      </c>
      <c r="UGK6" s="68" t="e" cm="1" vm="1">
        <f t="array" ref="UGK6">_xlfn._xlws.FILTER(TablaProductos[Nombre producto],TablaProductos[Agrupación]=ProductosPivot!UGK5)</f>
        <v>#VALUE!</v>
      </c>
      <c r="UGL6" s="68" t="e" cm="1" vm="1">
        <f t="array" ref="UGL6">_xlfn._xlws.FILTER(TablaProductos[Nombre producto],TablaProductos[Agrupación]=ProductosPivot!UGL5)</f>
        <v>#VALUE!</v>
      </c>
      <c r="UGM6" s="68" t="e" cm="1" vm="1">
        <f t="array" ref="UGM6">_xlfn._xlws.FILTER(TablaProductos[Nombre producto],TablaProductos[Agrupación]=ProductosPivot!UGM5)</f>
        <v>#VALUE!</v>
      </c>
      <c r="UGN6" s="68" t="e" cm="1" vm="1">
        <f t="array" ref="UGN6">_xlfn._xlws.FILTER(TablaProductos[Nombre producto],TablaProductos[Agrupación]=ProductosPivot!UGN5)</f>
        <v>#VALUE!</v>
      </c>
      <c r="UGO6" s="68" t="e" cm="1" vm="1">
        <f t="array" ref="UGO6">_xlfn._xlws.FILTER(TablaProductos[Nombre producto],TablaProductos[Agrupación]=ProductosPivot!UGO5)</f>
        <v>#VALUE!</v>
      </c>
      <c r="UGP6" s="68" t="e" cm="1" vm="1">
        <f t="array" ref="UGP6">_xlfn._xlws.FILTER(TablaProductos[Nombre producto],TablaProductos[Agrupación]=ProductosPivot!UGP5)</f>
        <v>#VALUE!</v>
      </c>
      <c r="UGQ6" s="68" t="e" cm="1" vm="1">
        <f t="array" ref="UGQ6">_xlfn._xlws.FILTER(TablaProductos[Nombre producto],TablaProductos[Agrupación]=ProductosPivot!UGQ5)</f>
        <v>#VALUE!</v>
      </c>
      <c r="UGR6" s="68" t="e" cm="1" vm="1">
        <f t="array" ref="UGR6">_xlfn._xlws.FILTER(TablaProductos[Nombre producto],TablaProductos[Agrupación]=ProductosPivot!UGR5)</f>
        <v>#VALUE!</v>
      </c>
      <c r="UGS6" s="68" t="e" cm="1" vm="1">
        <f t="array" ref="UGS6">_xlfn._xlws.FILTER(TablaProductos[Nombre producto],TablaProductos[Agrupación]=ProductosPivot!UGS5)</f>
        <v>#VALUE!</v>
      </c>
      <c r="UGT6" s="68" t="e" cm="1" vm="1">
        <f t="array" ref="UGT6">_xlfn._xlws.FILTER(TablaProductos[Nombre producto],TablaProductos[Agrupación]=ProductosPivot!UGT5)</f>
        <v>#VALUE!</v>
      </c>
      <c r="UGU6" s="68" t="e" cm="1" vm="1">
        <f t="array" ref="UGU6">_xlfn._xlws.FILTER(TablaProductos[Nombre producto],TablaProductos[Agrupación]=ProductosPivot!UGU5)</f>
        <v>#VALUE!</v>
      </c>
      <c r="UGV6" s="68" t="e" cm="1" vm="1">
        <f t="array" ref="UGV6">_xlfn._xlws.FILTER(TablaProductos[Nombre producto],TablaProductos[Agrupación]=ProductosPivot!UGV5)</f>
        <v>#VALUE!</v>
      </c>
      <c r="UGW6" s="68" t="e" cm="1" vm="1">
        <f t="array" ref="UGW6">_xlfn._xlws.FILTER(TablaProductos[Nombre producto],TablaProductos[Agrupación]=ProductosPivot!UGW5)</f>
        <v>#VALUE!</v>
      </c>
      <c r="UGX6" s="68" t="e" cm="1" vm="1">
        <f t="array" ref="UGX6">_xlfn._xlws.FILTER(TablaProductos[Nombre producto],TablaProductos[Agrupación]=ProductosPivot!UGX5)</f>
        <v>#VALUE!</v>
      </c>
      <c r="UGY6" s="68" t="e" cm="1" vm="1">
        <f t="array" ref="UGY6">_xlfn._xlws.FILTER(TablaProductos[Nombre producto],TablaProductos[Agrupación]=ProductosPivot!UGY5)</f>
        <v>#VALUE!</v>
      </c>
      <c r="UGZ6" s="68" t="e" cm="1" vm="1">
        <f t="array" ref="UGZ6">_xlfn._xlws.FILTER(TablaProductos[Nombre producto],TablaProductos[Agrupación]=ProductosPivot!UGZ5)</f>
        <v>#VALUE!</v>
      </c>
      <c r="UHA6" s="68" t="e" cm="1" vm="1">
        <f t="array" ref="UHA6">_xlfn._xlws.FILTER(TablaProductos[Nombre producto],TablaProductos[Agrupación]=ProductosPivot!UHA5)</f>
        <v>#VALUE!</v>
      </c>
      <c r="UHB6" s="68" t="e" cm="1" vm="1">
        <f t="array" ref="UHB6">_xlfn._xlws.FILTER(TablaProductos[Nombre producto],TablaProductos[Agrupación]=ProductosPivot!UHB5)</f>
        <v>#VALUE!</v>
      </c>
      <c r="UHC6" s="68" t="e" cm="1" vm="1">
        <f t="array" ref="UHC6">_xlfn._xlws.FILTER(TablaProductos[Nombre producto],TablaProductos[Agrupación]=ProductosPivot!UHC5)</f>
        <v>#VALUE!</v>
      </c>
      <c r="UHD6" s="68" t="e" cm="1" vm="1">
        <f t="array" ref="UHD6">_xlfn._xlws.FILTER(TablaProductos[Nombre producto],TablaProductos[Agrupación]=ProductosPivot!UHD5)</f>
        <v>#VALUE!</v>
      </c>
      <c r="UHE6" s="68" t="e" cm="1" vm="1">
        <f t="array" ref="UHE6">_xlfn._xlws.FILTER(TablaProductos[Nombre producto],TablaProductos[Agrupación]=ProductosPivot!UHE5)</f>
        <v>#VALUE!</v>
      </c>
      <c r="UHF6" s="68" t="e" cm="1" vm="1">
        <f t="array" ref="UHF6">_xlfn._xlws.FILTER(TablaProductos[Nombre producto],TablaProductos[Agrupación]=ProductosPivot!UHF5)</f>
        <v>#VALUE!</v>
      </c>
      <c r="UHG6" s="68" t="e" cm="1" vm="1">
        <f t="array" ref="UHG6">_xlfn._xlws.FILTER(TablaProductos[Nombre producto],TablaProductos[Agrupación]=ProductosPivot!UHG5)</f>
        <v>#VALUE!</v>
      </c>
      <c r="UHH6" s="68" t="e" cm="1" vm="1">
        <f t="array" ref="UHH6">_xlfn._xlws.FILTER(TablaProductos[Nombre producto],TablaProductos[Agrupación]=ProductosPivot!UHH5)</f>
        <v>#VALUE!</v>
      </c>
      <c r="UHI6" s="68" t="e" cm="1" vm="1">
        <f t="array" ref="UHI6">_xlfn._xlws.FILTER(TablaProductos[Nombre producto],TablaProductos[Agrupación]=ProductosPivot!UHI5)</f>
        <v>#VALUE!</v>
      </c>
      <c r="UHJ6" s="68" t="e" cm="1" vm="1">
        <f t="array" ref="UHJ6">_xlfn._xlws.FILTER(TablaProductos[Nombre producto],TablaProductos[Agrupación]=ProductosPivot!UHJ5)</f>
        <v>#VALUE!</v>
      </c>
      <c r="UHK6" s="68" t="e" cm="1" vm="1">
        <f t="array" ref="UHK6">_xlfn._xlws.FILTER(TablaProductos[Nombre producto],TablaProductos[Agrupación]=ProductosPivot!UHK5)</f>
        <v>#VALUE!</v>
      </c>
      <c r="UHL6" s="68" t="e" cm="1" vm="1">
        <f t="array" ref="UHL6">_xlfn._xlws.FILTER(TablaProductos[Nombre producto],TablaProductos[Agrupación]=ProductosPivot!UHL5)</f>
        <v>#VALUE!</v>
      </c>
      <c r="UHM6" s="68" t="e" cm="1" vm="1">
        <f t="array" ref="UHM6">_xlfn._xlws.FILTER(TablaProductos[Nombre producto],TablaProductos[Agrupación]=ProductosPivot!UHM5)</f>
        <v>#VALUE!</v>
      </c>
      <c r="UHN6" s="68" t="e" cm="1" vm="1">
        <f t="array" ref="UHN6">_xlfn._xlws.FILTER(TablaProductos[Nombre producto],TablaProductos[Agrupación]=ProductosPivot!UHN5)</f>
        <v>#VALUE!</v>
      </c>
      <c r="UHO6" s="68" t="e" cm="1" vm="1">
        <f t="array" ref="UHO6">_xlfn._xlws.FILTER(TablaProductos[Nombre producto],TablaProductos[Agrupación]=ProductosPivot!UHO5)</f>
        <v>#VALUE!</v>
      </c>
      <c r="UHP6" s="68" t="e" cm="1" vm="1">
        <f t="array" ref="UHP6">_xlfn._xlws.FILTER(TablaProductos[Nombre producto],TablaProductos[Agrupación]=ProductosPivot!UHP5)</f>
        <v>#VALUE!</v>
      </c>
      <c r="UHQ6" s="68" t="e" cm="1" vm="1">
        <f t="array" ref="UHQ6">_xlfn._xlws.FILTER(TablaProductos[Nombre producto],TablaProductos[Agrupación]=ProductosPivot!UHQ5)</f>
        <v>#VALUE!</v>
      </c>
      <c r="UHR6" s="68" t="e" cm="1" vm="1">
        <f t="array" ref="UHR6">_xlfn._xlws.FILTER(TablaProductos[Nombre producto],TablaProductos[Agrupación]=ProductosPivot!UHR5)</f>
        <v>#VALUE!</v>
      </c>
      <c r="UHS6" s="68" t="e" cm="1" vm="1">
        <f t="array" ref="UHS6">_xlfn._xlws.FILTER(TablaProductos[Nombre producto],TablaProductos[Agrupación]=ProductosPivot!UHS5)</f>
        <v>#VALUE!</v>
      </c>
      <c r="UHT6" s="68" t="e" cm="1" vm="1">
        <f t="array" ref="UHT6">_xlfn._xlws.FILTER(TablaProductos[Nombre producto],TablaProductos[Agrupación]=ProductosPivot!UHT5)</f>
        <v>#VALUE!</v>
      </c>
      <c r="UHU6" s="68" t="e" cm="1" vm="1">
        <f t="array" ref="UHU6">_xlfn._xlws.FILTER(TablaProductos[Nombre producto],TablaProductos[Agrupación]=ProductosPivot!UHU5)</f>
        <v>#VALUE!</v>
      </c>
      <c r="UHV6" s="68" t="e" cm="1" vm="1">
        <f t="array" ref="UHV6">_xlfn._xlws.FILTER(TablaProductos[Nombre producto],TablaProductos[Agrupación]=ProductosPivot!UHV5)</f>
        <v>#VALUE!</v>
      </c>
      <c r="UHW6" s="68" t="e" cm="1" vm="1">
        <f t="array" ref="UHW6">_xlfn._xlws.FILTER(TablaProductos[Nombre producto],TablaProductos[Agrupación]=ProductosPivot!UHW5)</f>
        <v>#VALUE!</v>
      </c>
      <c r="UHX6" s="68" t="e" cm="1" vm="1">
        <f t="array" ref="UHX6">_xlfn._xlws.FILTER(TablaProductos[Nombre producto],TablaProductos[Agrupación]=ProductosPivot!UHX5)</f>
        <v>#VALUE!</v>
      </c>
      <c r="UHY6" s="68" t="e" cm="1" vm="1">
        <f t="array" ref="UHY6">_xlfn._xlws.FILTER(TablaProductos[Nombre producto],TablaProductos[Agrupación]=ProductosPivot!UHY5)</f>
        <v>#VALUE!</v>
      </c>
      <c r="UHZ6" s="68" t="e" cm="1" vm="1">
        <f t="array" ref="UHZ6">_xlfn._xlws.FILTER(TablaProductos[Nombre producto],TablaProductos[Agrupación]=ProductosPivot!UHZ5)</f>
        <v>#VALUE!</v>
      </c>
      <c r="UIA6" s="68" t="e" cm="1" vm="1">
        <f t="array" ref="UIA6">_xlfn._xlws.FILTER(TablaProductos[Nombre producto],TablaProductos[Agrupación]=ProductosPivot!UIA5)</f>
        <v>#VALUE!</v>
      </c>
      <c r="UIB6" s="68" t="e" cm="1" vm="1">
        <f t="array" ref="UIB6">_xlfn._xlws.FILTER(TablaProductos[Nombre producto],TablaProductos[Agrupación]=ProductosPivot!UIB5)</f>
        <v>#VALUE!</v>
      </c>
      <c r="UIC6" s="68" t="e" cm="1" vm="1">
        <f t="array" ref="UIC6">_xlfn._xlws.FILTER(TablaProductos[Nombre producto],TablaProductos[Agrupación]=ProductosPivot!UIC5)</f>
        <v>#VALUE!</v>
      </c>
      <c r="UID6" s="68" t="e" cm="1" vm="1">
        <f t="array" ref="UID6">_xlfn._xlws.FILTER(TablaProductos[Nombre producto],TablaProductos[Agrupación]=ProductosPivot!UID5)</f>
        <v>#VALUE!</v>
      </c>
      <c r="UIE6" s="68" t="e" cm="1" vm="1">
        <f t="array" ref="UIE6">_xlfn._xlws.FILTER(TablaProductos[Nombre producto],TablaProductos[Agrupación]=ProductosPivot!UIE5)</f>
        <v>#VALUE!</v>
      </c>
      <c r="UIF6" s="68" t="e" cm="1" vm="1">
        <f t="array" ref="UIF6">_xlfn._xlws.FILTER(TablaProductos[Nombre producto],TablaProductos[Agrupación]=ProductosPivot!UIF5)</f>
        <v>#VALUE!</v>
      </c>
      <c r="UIG6" s="68" t="e" cm="1" vm="1">
        <f t="array" ref="UIG6">_xlfn._xlws.FILTER(TablaProductos[Nombre producto],TablaProductos[Agrupación]=ProductosPivot!UIG5)</f>
        <v>#VALUE!</v>
      </c>
      <c r="UIH6" s="68" t="e" cm="1" vm="1">
        <f t="array" ref="UIH6">_xlfn._xlws.FILTER(TablaProductos[Nombre producto],TablaProductos[Agrupación]=ProductosPivot!UIH5)</f>
        <v>#VALUE!</v>
      </c>
      <c r="UII6" s="68" t="e" cm="1" vm="1">
        <f t="array" ref="UII6">_xlfn._xlws.FILTER(TablaProductos[Nombre producto],TablaProductos[Agrupación]=ProductosPivot!UII5)</f>
        <v>#VALUE!</v>
      </c>
      <c r="UIJ6" s="68" t="e" cm="1" vm="1">
        <f t="array" ref="UIJ6">_xlfn._xlws.FILTER(TablaProductos[Nombre producto],TablaProductos[Agrupación]=ProductosPivot!UIJ5)</f>
        <v>#VALUE!</v>
      </c>
      <c r="UIK6" s="68" t="e" cm="1" vm="1">
        <f t="array" ref="UIK6">_xlfn._xlws.FILTER(TablaProductos[Nombre producto],TablaProductos[Agrupación]=ProductosPivot!UIK5)</f>
        <v>#VALUE!</v>
      </c>
      <c r="UIL6" s="68" t="e" cm="1" vm="1">
        <f t="array" ref="UIL6">_xlfn._xlws.FILTER(TablaProductos[Nombre producto],TablaProductos[Agrupación]=ProductosPivot!UIL5)</f>
        <v>#VALUE!</v>
      </c>
      <c r="UIM6" s="68" t="e" cm="1" vm="1">
        <f t="array" ref="UIM6">_xlfn._xlws.FILTER(TablaProductos[Nombre producto],TablaProductos[Agrupación]=ProductosPivot!UIM5)</f>
        <v>#VALUE!</v>
      </c>
      <c r="UIN6" s="68" t="e" cm="1" vm="1">
        <f t="array" ref="UIN6">_xlfn._xlws.FILTER(TablaProductos[Nombre producto],TablaProductos[Agrupación]=ProductosPivot!UIN5)</f>
        <v>#VALUE!</v>
      </c>
      <c r="UIO6" s="68" t="e" cm="1" vm="1">
        <f t="array" ref="UIO6">_xlfn._xlws.FILTER(TablaProductos[Nombre producto],TablaProductos[Agrupación]=ProductosPivot!UIO5)</f>
        <v>#VALUE!</v>
      </c>
      <c r="UIP6" s="68" t="e" cm="1" vm="1">
        <f t="array" ref="UIP6">_xlfn._xlws.FILTER(TablaProductos[Nombre producto],TablaProductos[Agrupación]=ProductosPivot!UIP5)</f>
        <v>#VALUE!</v>
      </c>
      <c r="UIQ6" s="68" t="e" cm="1" vm="1">
        <f t="array" ref="UIQ6">_xlfn._xlws.FILTER(TablaProductos[Nombre producto],TablaProductos[Agrupación]=ProductosPivot!UIQ5)</f>
        <v>#VALUE!</v>
      </c>
      <c r="UIR6" s="68" t="e" cm="1" vm="1">
        <f t="array" ref="UIR6">_xlfn._xlws.FILTER(TablaProductos[Nombre producto],TablaProductos[Agrupación]=ProductosPivot!UIR5)</f>
        <v>#VALUE!</v>
      </c>
      <c r="UIS6" s="68" t="e" cm="1" vm="1">
        <f t="array" ref="UIS6">_xlfn._xlws.FILTER(TablaProductos[Nombre producto],TablaProductos[Agrupación]=ProductosPivot!UIS5)</f>
        <v>#VALUE!</v>
      </c>
      <c r="UIT6" s="68" t="e" cm="1" vm="1">
        <f t="array" ref="UIT6">_xlfn._xlws.FILTER(TablaProductos[Nombre producto],TablaProductos[Agrupación]=ProductosPivot!UIT5)</f>
        <v>#VALUE!</v>
      </c>
      <c r="UIU6" s="68" t="e" cm="1" vm="1">
        <f t="array" ref="UIU6">_xlfn._xlws.FILTER(TablaProductos[Nombre producto],TablaProductos[Agrupación]=ProductosPivot!UIU5)</f>
        <v>#VALUE!</v>
      </c>
      <c r="UIV6" s="68" t="e" cm="1" vm="1">
        <f t="array" ref="UIV6">_xlfn._xlws.FILTER(TablaProductos[Nombre producto],TablaProductos[Agrupación]=ProductosPivot!UIV5)</f>
        <v>#VALUE!</v>
      </c>
      <c r="UIW6" s="68" t="e" cm="1" vm="1">
        <f t="array" ref="UIW6">_xlfn._xlws.FILTER(TablaProductos[Nombre producto],TablaProductos[Agrupación]=ProductosPivot!UIW5)</f>
        <v>#VALUE!</v>
      </c>
      <c r="UIX6" s="68" t="e" cm="1" vm="1">
        <f t="array" ref="UIX6">_xlfn._xlws.FILTER(TablaProductos[Nombre producto],TablaProductos[Agrupación]=ProductosPivot!UIX5)</f>
        <v>#VALUE!</v>
      </c>
      <c r="UIY6" s="68" t="e" cm="1" vm="1">
        <f t="array" ref="UIY6">_xlfn._xlws.FILTER(TablaProductos[Nombre producto],TablaProductos[Agrupación]=ProductosPivot!UIY5)</f>
        <v>#VALUE!</v>
      </c>
      <c r="UIZ6" s="68" t="e" cm="1" vm="1">
        <f t="array" ref="UIZ6">_xlfn._xlws.FILTER(TablaProductos[Nombre producto],TablaProductos[Agrupación]=ProductosPivot!UIZ5)</f>
        <v>#VALUE!</v>
      </c>
      <c r="UJA6" s="68" t="e" cm="1" vm="1">
        <f t="array" ref="UJA6">_xlfn._xlws.FILTER(TablaProductos[Nombre producto],TablaProductos[Agrupación]=ProductosPivot!UJA5)</f>
        <v>#VALUE!</v>
      </c>
      <c r="UJB6" s="68" t="e" cm="1" vm="1">
        <f t="array" ref="UJB6">_xlfn._xlws.FILTER(TablaProductos[Nombre producto],TablaProductos[Agrupación]=ProductosPivot!UJB5)</f>
        <v>#VALUE!</v>
      </c>
      <c r="UJC6" s="68" t="e" cm="1" vm="1">
        <f t="array" ref="UJC6">_xlfn._xlws.FILTER(TablaProductos[Nombre producto],TablaProductos[Agrupación]=ProductosPivot!UJC5)</f>
        <v>#VALUE!</v>
      </c>
      <c r="UJD6" s="68" t="e" cm="1" vm="1">
        <f t="array" ref="UJD6">_xlfn._xlws.FILTER(TablaProductos[Nombre producto],TablaProductos[Agrupación]=ProductosPivot!UJD5)</f>
        <v>#VALUE!</v>
      </c>
      <c r="UJE6" s="68" t="e" cm="1" vm="1">
        <f t="array" ref="UJE6">_xlfn._xlws.FILTER(TablaProductos[Nombre producto],TablaProductos[Agrupación]=ProductosPivot!UJE5)</f>
        <v>#VALUE!</v>
      </c>
      <c r="UJF6" s="68" t="e" cm="1" vm="1">
        <f t="array" ref="UJF6">_xlfn._xlws.FILTER(TablaProductos[Nombre producto],TablaProductos[Agrupación]=ProductosPivot!UJF5)</f>
        <v>#VALUE!</v>
      </c>
      <c r="UJG6" s="68" t="e" cm="1" vm="1">
        <f t="array" ref="UJG6">_xlfn._xlws.FILTER(TablaProductos[Nombre producto],TablaProductos[Agrupación]=ProductosPivot!UJG5)</f>
        <v>#VALUE!</v>
      </c>
      <c r="UJH6" s="68" t="e" cm="1" vm="1">
        <f t="array" ref="UJH6">_xlfn._xlws.FILTER(TablaProductos[Nombre producto],TablaProductos[Agrupación]=ProductosPivot!UJH5)</f>
        <v>#VALUE!</v>
      </c>
      <c r="UJI6" s="68" t="e" cm="1" vm="1">
        <f t="array" ref="UJI6">_xlfn._xlws.FILTER(TablaProductos[Nombre producto],TablaProductos[Agrupación]=ProductosPivot!UJI5)</f>
        <v>#VALUE!</v>
      </c>
      <c r="UJJ6" s="68" t="e" cm="1" vm="1">
        <f t="array" ref="UJJ6">_xlfn._xlws.FILTER(TablaProductos[Nombre producto],TablaProductos[Agrupación]=ProductosPivot!UJJ5)</f>
        <v>#VALUE!</v>
      </c>
      <c r="UJK6" s="68" t="e" cm="1" vm="1">
        <f t="array" ref="UJK6">_xlfn._xlws.FILTER(TablaProductos[Nombre producto],TablaProductos[Agrupación]=ProductosPivot!UJK5)</f>
        <v>#VALUE!</v>
      </c>
      <c r="UJL6" s="68" t="e" cm="1" vm="1">
        <f t="array" ref="UJL6">_xlfn._xlws.FILTER(TablaProductos[Nombre producto],TablaProductos[Agrupación]=ProductosPivot!UJL5)</f>
        <v>#VALUE!</v>
      </c>
      <c r="UJM6" s="68" t="e" cm="1" vm="1">
        <f t="array" ref="UJM6">_xlfn._xlws.FILTER(TablaProductos[Nombre producto],TablaProductos[Agrupación]=ProductosPivot!UJM5)</f>
        <v>#VALUE!</v>
      </c>
      <c r="UJN6" s="68" t="e" cm="1" vm="1">
        <f t="array" ref="UJN6">_xlfn._xlws.FILTER(TablaProductos[Nombre producto],TablaProductos[Agrupación]=ProductosPivot!UJN5)</f>
        <v>#VALUE!</v>
      </c>
      <c r="UJO6" s="68" t="e" cm="1" vm="1">
        <f t="array" ref="UJO6">_xlfn._xlws.FILTER(TablaProductos[Nombre producto],TablaProductos[Agrupación]=ProductosPivot!UJO5)</f>
        <v>#VALUE!</v>
      </c>
      <c r="UJP6" s="68" t="e" cm="1" vm="1">
        <f t="array" ref="UJP6">_xlfn._xlws.FILTER(TablaProductos[Nombre producto],TablaProductos[Agrupación]=ProductosPivot!UJP5)</f>
        <v>#VALUE!</v>
      </c>
      <c r="UJQ6" s="68" t="e" cm="1" vm="1">
        <f t="array" ref="UJQ6">_xlfn._xlws.FILTER(TablaProductos[Nombre producto],TablaProductos[Agrupación]=ProductosPivot!UJQ5)</f>
        <v>#VALUE!</v>
      </c>
      <c r="UJR6" s="68" t="e" cm="1" vm="1">
        <f t="array" ref="UJR6">_xlfn._xlws.FILTER(TablaProductos[Nombre producto],TablaProductos[Agrupación]=ProductosPivot!UJR5)</f>
        <v>#VALUE!</v>
      </c>
      <c r="UJS6" s="68" t="e" cm="1" vm="1">
        <f t="array" ref="UJS6">_xlfn._xlws.FILTER(TablaProductos[Nombre producto],TablaProductos[Agrupación]=ProductosPivot!UJS5)</f>
        <v>#VALUE!</v>
      </c>
      <c r="UJT6" s="68" t="e" cm="1" vm="1">
        <f t="array" ref="UJT6">_xlfn._xlws.FILTER(TablaProductos[Nombre producto],TablaProductos[Agrupación]=ProductosPivot!UJT5)</f>
        <v>#VALUE!</v>
      </c>
      <c r="UJU6" s="68" t="e" cm="1" vm="1">
        <f t="array" ref="UJU6">_xlfn._xlws.FILTER(TablaProductos[Nombre producto],TablaProductos[Agrupación]=ProductosPivot!UJU5)</f>
        <v>#VALUE!</v>
      </c>
      <c r="UJV6" s="68" t="e" cm="1" vm="1">
        <f t="array" ref="UJV6">_xlfn._xlws.FILTER(TablaProductos[Nombre producto],TablaProductos[Agrupación]=ProductosPivot!UJV5)</f>
        <v>#VALUE!</v>
      </c>
      <c r="UJW6" s="68" t="e" cm="1" vm="1">
        <f t="array" ref="UJW6">_xlfn._xlws.FILTER(TablaProductos[Nombre producto],TablaProductos[Agrupación]=ProductosPivot!UJW5)</f>
        <v>#VALUE!</v>
      </c>
      <c r="UJX6" s="68" t="e" cm="1" vm="1">
        <f t="array" ref="UJX6">_xlfn._xlws.FILTER(TablaProductos[Nombre producto],TablaProductos[Agrupación]=ProductosPivot!UJX5)</f>
        <v>#VALUE!</v>
      </c>
      <c r="UJY6" s="68" t="e" cm="1" vm="1">
        <f t="array" ref="UJY6">_xlfn._xlws.FILTER(TablaProductos[Nombre producto],TablaProductos[Agrupación]=ProductosPivot!UJY5)</f>
        <v>#VALUE!</v>
      </c>
      <c r="UJZ6" s="68" t="e" cm="1" vm="1">
        <f t="array" ref="UJZ6">_xlfn._xlws.FILTER(TablaProductos[Nombre producto],TablaProductos[Agrupación]=ProductosPivot!UJZ5)</f>
        <v>#VALUE!</v>
      </c>
      <c r="UKA6" s="68" t="e" cm="1" vm="1">
        <f t="array" ref="UKA6">_xlfn._xlws.FILTER(TablaProductos[Nombre producto],TablaProductos[Agrupación]=ProductosPivot!UKA5)</f>
        <v>#VALUE!</v>
      </c>
      <c r="UKB6" s="68" t="e" cm="1" vm="1">
        <f t="array" ref="UKB6">_xlfn._xlws.FILTER(TablaProductos[Nombre producto],TablaProductos[Agrupación]=ProductosPivot!UKB5)</f>
        <v>#VALUE!</v>
      </c>
      <c r="UKC6" s="68" t="e" cm="1" vm="1">
        <f t="array" ref="UKC6">_xlfn._xlws.FILTER(TablaProductos[Nombre producto],TablaProductos[Agrupación]=ProductosPivot!UKC5)</f>
        <v>#VALUE!</v>
      </c>
      <c r="UKD6" s="68" t="e" cm="1" vm="1">
        <f t="array" ref="UKD6">_xlfn._xlws.FILTER(TablaProductos[Nombre producto],TablaProductos[Agrupación]=ProductosPivot!UKD5)</f>
        <v>#VALUE!</v>
      </c>
      <c r="UKE6" s="68" t="e" cm="1" vm="1">
        <f t="array" ref="UKE6">_xlfn._xlws.FILTER(TablaProductos[Nombre producto],TablaProductos[Agrupación]=ProductosPivot!UKE5)</f>
        <v>#VALUE!</v>
      </c>
      <c r="UKF6" s="68" t="e" cm="1" vm="1">
        <f t="array" ref="UKF6">_xlfn._xlws.FILTER(TablaProductos[Nombre producto],TablaProductos[Agrupación]=ProductosPivot!UKF5)</f>
        <v>#VALUE!</v>
      </c>
      <c r="UKG6" s="68" t="e" cm="1" vm="1">
        <f t="array" ref="UKG6">_xlfn._xlws.FILTER(TablaProductos[Nombre producto],TablaProductos[Agrupación]=ProductosPivot!UKG5)</f>
        <v>#VALUE!</v>
      </c>
      <c r="UKH6" s="68" t="e" cm="1" vm="1">
        <f t="array" ref="UKH6">_xlfn._xlws.FILTER(TablaProductos[Nombre producto],TablaProductos[Agrupación]=ProductosPivot!UKH5)</f>
        <v>#VALUE!</v>
      </c>
      <c r="UKI6" s="68" t="e" cm="1" vm="1">
        <f t="array" ref="UKI6">_xlfn._xlws.FILTER(TablaProductos[Nombre producto],TablaProductos[Agrupación]=ProductosPivot!UKI5)</f>
        <v>#VALUE!</v>
      </c>
      <c r="UKJ6" s="68" t="e" cm="1" vm="1">
        <f t="array" ref="UKJ6">_xlfn._xlws.FILTER(TablaProductos[Nombre producto],TablaProductos[Agrupación]=ProductosPivot!UKJ5)</f>
        <v>#VALUE!</v>
      </c>
      <c r="UKK6" s="68" t="e" cm="1" vm="1">
        <f t="array" ref="UKK6">_xlfn._xlws.FILTER(TablaProductos[Nombre producto],TablaProductos[Agrupación]=ProductosPivot!UKK5)</f>
        <v>#VALUE!</v>
      </c>
      <c r="UKL6" s="68" t="e" cm="1" vm="1">
        <f t="array" ref="UKL6">_xlfn._xlws.FILTER(TablaProductos[Nombre producto],TablaProductos[Agrupación]=ProductosPivot!UKL5)</f>
        <v>#VALUE!</v>
      </c>
      <c r="UKM6" s="68" t="e" cm="1" vm="1">
        <f t="array" ref="UKM6">_xlfn._xlws.FILTER(TablaProductos[Nombre producto],TablaProductos[Agrupación]=ProductosPivot!UKM5)</f>
        <v>#VALUE!</v>
      </c>
      <c r="UKN6" s="68" t="e" cm="1" vm="1">
        <f t="array" ref="UKN6">_xlfn._xlws.FILTER(TablaProductos[Nombre producto],TablaProductos[Agrupación]=ProductosPivot!UKN5)</f>
        <v>#VALUE!</v>
      </c>
      <c r="UKO6" s="68" t="e" cm="1" vm="1">
        <f t="array" ref="UKO6">_xlfn._xlws.FILTER(TablaProductos[Nombre producto],TablaProductos[Agrupación]=ProductosPivot!UKO5)</f>
        <v>#VALUE!</v>
      </c>
      <c r="UKP6" s="68" t="e" cm="1" vm="1">
        <f t="array" ref="UKP6">_xlfn._xlws.FILTER(TablaProductos[Nombre producto],TablaProductos[Agrupación]=ProductosPivot!UKP5)</f>
        <v>#VALUE!</v>
      </c>
      <c r="UKQ6" s="68" t="e" cm="1" vm="1">
        <f t="array" ref="UKQ6">_xlfn._xlws.FILTER(TablaProductos[Nombre producto],TablaProductos[Agrupación]=ProductosPivot!UKQ5)</f>
        <v>#VALUE!</v>
      </c>
      <c r="UKR6" s="68" t="e" cm="1" vm="1">
        <f t="array" ref="UKR6">_xlfn._xlws.FILTER(TablaProductos[Nombre producto],TablaProductos[Agrupación]=ProductosPivot!UKR5)</f>
        <v>#VALUE!</v>
      </c>
      <c r="UKS6" s="68" t="e" cm="1" vm="1">
        <f t="array" ref="UKS6">_xlfn._xlws.FILTER(TablaProductos[Nombre producto],TablaProductos[Agrupación]=ProductosPivot!UKS5)</f>
        <v>#VALUE!</v>
      </c>
      <c r="UKT6" s="68" t="e" cm="1" vm="1">
        <f t="array" ref="UKT6">_xlfn._xlws.FILTER(TablaProductos[Nombre producto],TablaProductos[Agrupación]=ProductosPivot!UKT5)</f>
        <v>#VALUE!</v>
      </c>
      <c r="UKU6" s="68" t="e" cm="1" vm="1">
        <f t="array" ref="UKU6">_xlfn._xlws.FILTER(TablaProductos[Nombre producto],TablaProductos[Agrupación]=ProductosPivot!UKU5)</f>
        <v>#VALUE!</v>
      </c>
      <c r="UKV6" s="68" t="e" cm="1" vm="1">
        <f t="array" ref="UKV6">_xlfn._xlws.FILTER(TablaProductos[Nombre producto],TablaProductos[Agrupación]=ProductosPivot!UKV5)</f>
        <v>#VALUE!</v>
      </c>
      <c r="UKW6" s="68" t="e" cm="1" vm="1">
        <f t="array" ref="UKW6">_xlfn._xlws.FILTER(TablaProductos[Nombre producto],TablaProductos[Agrupación]=ProductosPivot!UKW5)</f>
        <v>#VALUE!</v>
      </c>
      <c r="UKX6" s="68" t="e" cm="1" vm="1">
        <f t="array" ref="UKX6">_xlfn._xlws.FILTER(TablaProductos[Nombre producto],TablaProductos[Agrupación]=ProductosPivot!UKX5)</f>
        <v>#VALUE!</v>
      </c>
      <c r="UKY6" s="68" t="e" cm="1" vm="1">
        <f t="array" ref="UKY6">_xlfn._xlws.FILTER(TablaProductos[Nombre producto],TablaProductos[Agrupación]=ProductosPivot!UKY5)</f>
        <v>#VALUE!</v>
      </c>
      <c r="UKZ6" s="68" t="e" cm="1" vm="1">
        <f t="array" ref="UKZ6">_xlfn._xlws.FILTER(TablaProductos[Nombre producto],TablaProductos[Agrupación]=ProductosPivot!UKZ5)</f>
        <v>#VALUE!</v>
      </c>
      <c r="ULA6" s="68" t="e" cm="1" vm="1">
        <f t="array" ref="ULA6">_xlfn._xlws.FILTER(TablaProductos[Nombre producto],TablaProductos[Agrupación]=ProductosPivot!ULA5)</f>
        <v>#VALUE!</v>
      </c>
      <c r="ULB6" s="68" t="e" cm="1" vm="1">
        <f t="array" ref="ULB6">_xlfn._xlws.FILTER(TablaProductos[Nombre producto],TablaProductos[Agrupación]=ProductosPivot!ULB5)</f>
        <v>#VALUE!</v>
      </c>
      <c r="ULC6" s="68" t="e" cm="1" vm="1">
        <f t="array" ref="ULC6">_xlfn._xlws.FILTER(TablaProductos[Nombre producto],TablaProductos[Agrupación]=ProductosPivot!ULC5)</f>
        <v>#VALUE!</v>
      </c>
      <c r="ULD6" s="68" t="e" cm="1" vm="1">
        <f t="array" ref="ULD6">_xlfn._xlws.FILTER(TablaProductos[Nombre producto],TablaProductos[Agrupación]=ProductosPivot!ULD5)</f>
        <v>#VALUE!</v>
      </c>
      <c r="ULE6" s="68" t="e" cm="1" vm="1">
        <f t="array" ref="ULE6">_xlfn._xlws.FILTER(TablaProductos[Nombre producto],TablaProductos[Agrupación]=ProductosPivot!ULE5)</f>
        <v>#VALUE!</v>
      </c>
      <c r="ULF6" s="68" t="e" cm="1" vm="1">
        <f t="array" ref="ULF6">_xlfn._xlws.FILTER(TablaProductos[Nombre producto],TablaProductos[Agrupación]=ProductosPivot!ULF5)</f>
        <v>#VALUE!</v>
      </c>
      <c r="ULG6" s="68" t="e" cm="1" vm="1">
        <f t="array" ref="ULG6">_xlfn._xlws.FILTER(TablaProductos[Nombre producto],TablaProductos[Agrupación]=ProductosPivot!ULG5)</f>
        <v>#VALUE!</v>
      </c>
      <c r="ULH6" s="68" t="e" cm="1" vm="1">
        <f t="array" ref="ULH6">_xlfn._xlws.FILTER(TablaProductos[Nombre producto],TablaProductos[Agrupación]=ProductosPivot!ULH5)</f>
        <v>#VALUE!</v>
      </c>
      <c r="ULI6" s="68" t="e" cm="1" vm="1">
        <f t="array" ref="ULI6">_xlfn._xlws.FILTER(TablaProductos[Nombre producto],TablaProductos[Agrupación]=ProductosPivot!ULI5)</f>
        <v>#VALUE!</v>
      </c>
      <c r="ULJ6" s="68" t="e" cm="1" vm="1">
        <f t="array" ref="ULJ6">_xlfn._xlws.FILTER(TablaProductos[Nombre producto],TablaProductos[Agrupación]=ProductosPivot!ULJ5)</f>
        <v>#VALUE!</v>
      </c>
      <c r="ULK6" s="68" t="e" cm="1" vm="1">
        <f t="array" ref="ULK6">_xlfn._xlws.FILTER(TablaProductos[Nombre producto],TablaProductos[Agrupación]=ProductosPivot!ULK5)</f>
        <v>#VALUE!</v>
      </c>
      <c r="ULL6" s="68" t="e" cm="1" vm="1">
        <f t="array" ref="ULL6">_xlfn._xlws.FILTER(TablaProductos[Nombre producto],TablaProductos[Agrupación]=ProductosPivot!ULL5)</f>
        <v>#VALUE!</v>
      </c>
      <c r="ULM6" s="68" t="e" cm="1" vm="1">
        <f t="array" ref="ULM6">_xlfn._xlws.FILTER(TablaProductos[Nombre producto],TablaProductos[Agrupación]=ProductosPivot!ULM5)</f>
        <v>#VALUE!</v>
      </c>
      <c r="ULN6" s="68" t="e" cm="1" vm="1">
        <f t="array" ref="ULN6">_xlfn._xlws.FILTER(TablaProductos[Nombre producto],TablaProductos[Agrupación]=ProductosPivot!ULN5)</f>
        <v>#VALUE!</v>
      </c>
      <c r="ULO6" s="68" t="e" cm="1" vm="1">
        <f t="array" ref="ULO6">_xlfn._xlws.FILTER(TablaProductos[Nombre producto],TablaProductos[Agrupación]=ProductosPivot!ULO5)</f>
        <v>#VALUE!</v>
      </c>
      <c r="ULP6" s="68" t="e" cm="1" vm="1">
        <f t="array" ref="ULP6">_xlfn._xlws.FILTER(TablaProductos[Nombre producto],TablaProductos[Agrupación]=ProductosPivot!ULP5)</f>
        <v>#VALUE!</v>
      </c>
      <c r="ULQ6" s="68" t="e" cm="1" vm="1">
        <f t="array" ref="ULQ6">_xlfn._xlws.FILTER(TablaProductos[Nombre producto],TablaProductos[Agrupación]=ProductosPivot!ULQ5)</f>
        <v>#VALUE!</v>
      </c>
      <c r="ULR6" s="68" t="e" cm="1" vm="1">
        <f t="array" ref="ULR6">_xlfn._xlws.FILTER(TablaProductos[Nombre producto],TablaProductos[Agrupación]=ProductosPivot!ULR5)</f>
        <v>#VALUE!</v>
      </c>
      <c r="ULS6" s="68" t="e" cm="1" vm="1">
        <f t="array" ref="ULS6">_xlfn._xlws.FILTER(TablaProductos[Nombre producto],TablaProductos[Agrupación]=ProductosPivot!ULS5)</f>
        <v>#VALUE!</v>
      </c>
      <c r="ULT6" s="68" t="e" cm="1" vm="1">
        <f t="array" ref="ULT6">_xlfn._xlws.FILTER(TablaProductos[Nombre producto],TablaProductos[Agrupación]=ProductosPivot!ULT5)</f>
        <v>#VALUE!</v>
      </c>
      <c r="ULU6" s="68" t="e" cm="1" vm="1">
        <f t="array" ref="ULU6">_xlfn._xlws.FILTER(TablaProductos[Nombre producto],TablaProductos[Agrupación]=ProductosPivot!ULU5)</f>
        <v>#VALUE!</v>
      </c>
      <c r="ULV6" s="68" t="e" cm="1" vm="1">
        <f t="array" ref="ULV6">_xlfn._xlws.FILTER(TablaProductos[Nombre producto],TablaProductos[Agrupación]=ProductosPivot!ULV5)</f>
        <v>#VALUE!</v>
      </c>
      <c r="ULW6" s="68" t="e" cm="1" vm="1">
        <f t="array" ref="ULW6">_xlfn._xlws.FILTER(TablaProductos[Nombre producto],TablaProductos[Agrupación]=ProductosPivot!ULW5)</f>
        <v>#VALUE!</v>
      </c>
      <c r="ULX6" s="68" t="e" cm="1" vm="1">
        <f t="array" ref="ULX6">_xlfn._xlws.FILTER(TablaProductos[Nombre producto],TablaProductos[Agrupación]=ProductosPivot!ULX5)</f>
        <v>#VALUE!</v>
      </c>
      <c r="ULY6" s="68" t="e" cm="1" vm="1">
        <f t="array" ref="ULY6">_xlfn._xlws.FILTER(TablaProductos[Nombre producto],TablaProductos[Agrupación]=ProductosPivot!ULY5)</f>
        <v>#VALUE!</v>
      </c>
      <c r="ULZ6" s="68" t="e" cm="1" vm="1">
        <f t="array" ref="ULZ6">_xlfn._xlws.FILTER(TablaProductos[Nombre producto],TablaProductos[Agrupación]=ProductosPivot!ULZ5)</f>
        <v>#VALUE!</v>
      </c>
      <c r="UMA6" s="68" t="e" cm="1" vm="1">
        <f t="array" ref="UMA6">_xlfn._xlws.FILTER(TablaProductos[Nombre producto],TablaProductos[Agrupación]=ProductosPivot!UMA5)</f>
        <v>#VALUE!</v>
      </c>
      <c r="UMB6" s="68" t="e" cm="1" vm="1">
        <f t="array" ref="UMB6">_xlfn._xlws.FILTER(TablaProductos[Nombre producto],TablaProductos[Agrupación]=ProductosPivot!UMB5)</f>
        <v>#VALUE!</v>
      </c>
      <c r="UMC6" s="68" t="e" cm="1" vm="1">
        <f t="array" ref="UMC6">_xlfn._xlws.FILTER(TablaProductos[Nombre producto],TablaProductos[Agrupación]=ProductosPivot!UMC5)</f>
        <v>#VALUE!</v>
      </c>
      <c r="UMD6" s="68" t="e" cm="1" vm="1">
        <f t="array" ref="UMD6">_xlfn._xlws.FILTER(TablaProductos[Nombre producto],TablaProductos[Agrupación]=ProductosPivot!UMD5)</f>
        <v>#VALUE!</v>
      </c>
      <c r="UME6" s="68" t="e" cm="1" vm="1">
        <f t="array" ref="UME6">_xlfn._xlws.FILTER(TablaProductos[Nombre producto],TablaProductos[Agrupación]=ProductosPivot!UME5)</f>
        <v>#VALUE!</v>
      </c>
      <c r="UMF6" s="68" t="e" cm="1" vm="1">
        <f t="array" ref="UMF6">_xlfn._xlws.FILTER(TablaProductos[Nombre producto],TablaProductos[Agrupación]=ProductosPivot!UMF5)</f>
        <v>#VALUE!</v>
      </c>
      <c r="UMG6" s="68" t="e" cm="1" vm="1">
        <f t="array" ref="UMG6">_xlfn._xlws.FILTER(TablaProductos[Nombre producto],TablaProductos[Agrupación]=ProductosPivot!UMG5)</f>
        <v>#VALUE!</v>
      </c>
      <c r="UMH6" s="68" t="e" cm="1" vm="1">
        <f t="array" ref="UMH6">_xlfn._xlws.FILTER(TablaProductos[Nombre producto],TablaProductos[Agrupación]=ProductosPivot!UMH5)</f>
        <v>#VALUE!</v>
      </c>
      <c r="UMI6" s="68" t="e" cm="1" vm="1">
        <f t="array" ref="UMI6">_xlfn._xlws.FILTER(TablaProductos[Nombre producto],TablaProductos[Agrupación]=ProductosPivot!UMI5)</f>
        <v>#VALUE!</v>
      </c>
      <c r="UMJ6" s="68" t="e" cm="1" vm="1">
        <f t="array" ref="UMJ6">_xlfn._xlws.FILTER(TablaProductos[Nombre producto],TablaProductos[Agrupación]=ProductosPivot!UMJ5)</f>
        <v>#VALUE!</v>
      </c>
      <c r="UMK6" s="68" t="e" cm="1" vm="1">
        <f t="array" ref="UMK6">_xlfn._xlws.FILTER(TablaProductos[Nombre producto],TablaProductos[Agrupación]=ProductosPivot!UMK5)</f>
        <v>#VALUE!</v>
      </c>
      <c r="UML6" s="68" t="e" cm="1" vm="1">
        <f t="array" ref="UML6">_xlfn._xlws.FILTER(TablaProductos[Nombre producto],TablaProductos[Agrupación]=ProductosPivot!UML5)</f>
        <v>#VALUE!</v>
      </c>
      <c r="UMM6" s="68" t="e" cm="1" vm="1">
        <f t="array" ref="UMM6">_xlfn._xlws.FILTER(TablaProductos[Nombre producto],TablaProductos[Agrupación]=ProductosPivot!UMM5)</f>
        <v>#VALUE!</v>
      </c>
      <c r="UMN6" s="68" t="e" cm="1" vm="1">
        <f t="array" ref="UMN6">_xlfn._xlws.FILTER(TablaProductos[Nombre producto],TablaProductos[Agrupación]=ProductosPivot!UMN5)</f>
        <v>#VALUE!</v>
      </c>
      <c r="UMO6" s="68" t="e" cm="1" vm="1">
        <f t="array" ref="UMO6">_xlfn._xlws.FILTER(TablaProductos[Nombre producto],TablaProductos[Agrupación]=ProductosPivot!UMO5)</f>
        <v>#VALUE!</v>
      </c>
      <c r="UMP6" s="68" t="e" cm="1" vm="1">
        <f t="array" ref="UMP6">_xlfn._xlws.FILTER(TablaProductos[Nombre producto],TablaProductos[Agrupación]=ProductosPivot!UMP5)</f>
        <v>#VALUE!</v>
      </c>
      <c r="UMQ6" s="68" t="e" cm="1" vm="1">
        <f t="array" ref="UMQ6">_xlfn._xlws.FILTER(TablaProductos[Nombre producto],TablaProductos[Agrupación]=ProductosPivot!UMQ5)</f>
        <v>#VALUE!</v>
      </c>
      <c r="UMR6" s="68" t="e" cm="1" vm="1">
        <f t="array" ref="UMR6">_xlfn._xlws.FILTER(TablaProductos[Nombre producto],TablaProductos[Agrupación]=ProductosPivot!UMR5)</f>
        <v>#VALUE!</v>
      </c>
      <c r="UMS6" s="68" t="e" cm="1" vm="1">
        <f t="array" ref="UMS6">_xlfn._xlws.FILTER(TablaProductos[Nombre producto],TablaProductos[Agrupación]=ProductosPivot!UMS5)</f>
        <v>#VALUE!</v>
      </c>
      <c r="UMT6" s="68" t="e" cm="1" vm="1">
        <f t="array" ref="UMT6">_xlfn._xlws.FILTER(TablaProductos[Nombre producto],TablaProductos[Agrupación]=ProductosPivot!UMT5)</f>
        <v>#VALUE!</v>
      </c>
      <c r="UMU6" s="68" t="e" cm="1" vm="1">
        <f t="array" ref="UMU6">_xlfn._xlws.FILTER(TablaProductos[Nombre producto],TablaProductos[Agrupación]=ProductosPivot!UMU5)</f>
        <v>#VALUE!</v>
      </c>
      <c r="UMV6" s="68" t="e" cm="1" vm="1">
        <f t="array" ref="UMV6">_xlfn._xlws.FILTER(TablaProductos[Nombre producto],TablaProductos[Agrupación]=ProductosPivot!UMV5)</f>
        <v>#VALUE!</v>
      </c>
      <c r="UMW6" s="68" t="e" cm="1" vm="1">
        <f t="array" ref="UMW6">_xlfn._xlws.FILTER(TablaProductos[Nombre producto],TablaProductos[Agrupación]=ProductosPivot!UMW5)</f>
        <v>#VALUE!</v>
      </c>
      <c r="UMX6" s="68" t="e" cm="1" vm="1">
        <f t="array" ref="UMX6">_xlfn._xlws.FILTER(TablaProductos[Nombre producto],TablaProductos[Agrupación]=ProductosPivot!UMX5)</f>
        <v>#VALUE!</v>
      </c>
      <c r="UMY6" s="68" t="e" cm="1" vm="1">
        <f t="array" ref="UMY6">_xlfn._xlws.FILTER(TablaProductos[Nombre producto],TablaProductos[Agrupación]=ProductosPivot!UMY5)</f>
        <v>#VALUE!</v>
      </c>
      <c r="UMZ6" s="68" t="e" cm="1" vm="1">
        <f t="array" ref="UMZ6">_xlfn._xlws.FILTER(TablaProductos[Nombre producto],TablaProductos[Agrupación]=ProductosPivot!UMZ5)</f>
        <v>#VALUE!</v>
      </c>
      <c r="UNA6" s="68" t="e" cm="1" vm="1">
        <f t="array" ref="UNA6">_xlfn._xlws.FILTER(TablaProductos[Nombre producto],TablaProductos[Agrupación]=ProductosPivot!UNA5)</f>
        <v>#VALUE!</v>
      </c>
      <c r="UNB6" s="68" t="e" cm="1" vm="1">
        <f t="array" ref="UNB6">_xlfn._xlws.FILTER(TablaProductos[Nombre producto],TablaProductos[Agrupación]=ProductosPivot!UNB5)</f>
        <v>#VALUE!</v>
      </c>
      <c r="UNC6" s="68" t="e" cm="1" vm="1">
        <f t="array" ref="UNC6">_xlfn._xlws.FILTER(TablaProductos[Nombre producto],TablaProductos[Agrupación]=ProductosPivot!UNC5)</f>
        <v>#VALUE!</v>
      </c>
      <c r="UND6" s="68" t="e" cm="1" vm="1">
        <f t="array" ref="UND6">_xlfn._xlws.FILTER(TablaProductos[Nombre producto],TablaProductos[Agrupación]=ProductosPivot!UND5)</f>
        <v>#VALUE!</v>
      </c>
      <c r="UNE6" s="68" t="e" cm="1" vm="1">
        <f t="array" ref="UNE6">_xlfn._xlws.FILTER(TablaProductos[Nombre producto],TablaProductos[Agrupación]=ProductosPivot!UNE5)</f>
        <v>#VALUE!</v>
      </c>
      <c r="UNF6" s="68" t="e" cm="1" vm="1">
        <f t="array" ref="UNF6">_xlfn._xlws.FILTER(TablaProductos[Nombre producto],TablaProductos[Agrupación]=ProductosPivot!UNF5)</f>
        <v>#VALUE!</v>
      </c>
      <c r="UNG6" s="68" t="e" cm="1" vm="1">
        <f t="array" ref="UNG6">_xlfn._xlws.FILTER(TablaProductos[Nombre producto],TablaProductos[Agrupación]=ProductosPivot!UNG5)</f>
        <v>#VALUE!</v>
      </c>
      <c r="UNH6" s="68" t="e" cm="1" vm="1">
        <f t="array" ref="UNH6">_xlfn._xlws.FILTER(TablaProductos[Nombre producto],TablaProductos[Agrupación]=ProductosPivot!UNH5)</f>
        <v>#VALUE!</v>
      </c>
      <c r="UNI6" s="68" t="e" cm="1" vm="1">
        <f t="array" ref="UNI6">_xlfn._xlws.FILTER(TablaProductos[Nombre producto],TablaProductos[Agrupación]=ProductosPivot!UNI5)</f>
        <v>#VALUE!</v>
      </c>
      <c r="UNJ6" s="68" t="e" cm="1" vm="1">
        <f t="array" ref="UNJ6">_xlfn._xlws.FILTER(TablaProductos[Nombre producto],TablaProductos[Agrupación]=ProductosPivot!UNJ5)</f>
        <v>#VALUE!</v>
      </c>
      <c r="UNK6" s="68" t="e" cm="1" vm="1">
        <f t="array" ref="UNK6">_xlfn._xlws.FILTER(TablaProductos[Nombre producto],TablaProductos[Agrupación]=ProductosPivot!UNK5)</f>
        <v>#VALUE!</v>
      </c>
      <c r="UNL6" s="68" t="e" cm="1" vm="1">
        <f t="array" ref="UNL6">_xlfn._xlws.FILTER(TablaProductos[Nombre producto],TablaProductos[Agrupación]=ProductosPivot!UNL5)</f>
        <v>#VALUE!</v>
      </c>
      <c r="UNM6" s="68" t="e" cm="1" vm="1">
        <f t="array" ref="UNM6">_xlfn._xlws.FILTER(TablaProductos[Nombre producto],TablaProductos[Agrupación]=ProductosPivot!UNM5)</f>
        <v>#VALUE!</v>
      </c>
      <c r="UNN6" s="68" t="e" cm="1" vm="1">
        <f t="array" ref="UNN6">_xlfn._xlws.FILTER(TablaProductos[Nombre producto],TablaProductos[Agrupación]=ProductosPivot!UNN5)</f>
        <v>#VALUE!</v>
      </c>
      <c r="UNO6" s="68" t="e" cm="1" vm="1">
        <f t="array" ref="UNO6">_xlfn._xlws.FILTER(TablaProductos[Nombre producto],TablaProductos[Agrupación]=ProductosPivot!UNO5)</f>
        <v>#VALUE!</v>
      </c>
      <c r="UNP6" s="68" t="e" cm="1" vm="1">
        <f t="array" ref="UNP6">_xlfn._xlws.FILTER(TablaProductos[Nombre producto],TablaProductos[Agrupación]=ProductosPivot!UNP5)</f>
        <v>#VALUE!</v>
      </c>
      <c r="UNQ6" s="68" t="e" cm="1" vm="1">
        <f t="array" ref="UNQ6">_xlfn._xlws.FILTER(TablaProductos[Nombre producto],TablaProductos[Agrupación]=ProductosPivot!UNQ5)</f>
        <v>#VALUE!</v>
      </c>
      <c r="UNR6" s="68" t="e" cm="1" vm="1">
        <f t="array" ref="UNR6">_xlfn._xlws.FILTER(TablaProductos[Nombre producto],TablaProductos[Agrupación]=ProductosPivot!UNR5)</f>
        <v>#VALUE!</v>
      </c>
      <c r="UNS6" s="68" t="e" cm="1" vm="1">
        <f t="array" ref="UNS6">_xlfn._xlws.FILTER(TablaProductos[Nombre producto],TablaProductos[Agrupación]=ProductosPivot!UNS5)</f>
        <v>#VALUE!</v>
      </c>
      <c r="UNT6" s="68" t="e" cm="1" vm="1">
        <f t="array" ref="UNT6">_xlfn._xlws.FILTER(TablaProductos[Nombre producto],TablaProductos[Agrupación]=ProductosPivot!UNT5)</f>
        <v>#VALUE!</v>
      </c>
      <c r="UNU6" s="68" t="e" cm="1" vm="1">
        <f t="array" ref="UNU6">_xlfn._xlws.FILTER(TablaProductos[Nombre producto],TablaProductos[Agrupación]=ProductosPivot!UNU5)</f>
        <v>#VALUE!</v>
      </c>
      <c r="UNV6" s="68" t="e" cm="1" vm="1">
        <f t="array" ref="UNV6">_xlfn._xlws.FILTER(TablaProductos[Nombre producto],TablaProductos[Agrupación]=ProductosPivot!UNV5)</f>
        <v>#VALUE!</v>
      </c>
      <c r="UNW6" s="68" t="e" cm="1" vm="1">
        <f t="array" ref="UNW6">_xlfn._xlws.FILTER(TablaProductos[Nombre producto],TablaProductos[Agrupación]=ProductosPivot!UNW5)</f>
        <v>#VALUE!</v>
      </c>
      <c r="UNX6" s="68" t="e" cm="1" vm="1">
        <f t="array" ref="UNX6">_xlfn._xlws.FILTER(TablaProductos[Nombre producto],TablaProductos[Agrupación]=ProductosPivot!UNX5)</f>
        <v>#VALUE!</v>
      </c>
      <c r="UNY6" s="68" t="e" cm="1" vm="1">
        <f t="array" ref="UNY6">_xlfn._xlws.FILTER(TablaProductos[Nombre producto],TablaProductos[Agrupación]=ProductosPivot!UNY5)</f>
        <v>#VALUE!</v>
      </c>
      <c r="UNZ6" s="68" t="e" cm="1" vm="1">
        <f t="array" ref="UNZ6">_xlfn._xlws.FILTER(TablaProductos[Nombre producto],TablaProductos[Agrupación]=ProductosPivot!UNZ5)</f>
        <v>#VALUE!</v>
      </c>
      <c r="UOA6" s="68" t="e" cm="1" vm="1">
        <f t="array" ref="UOA6">_xlfn._xlws.FILTER(TablaProductos[Nombre producto],TablaProductos[Agrupación]=ProductosPivot!UOA5)</f>
        <v>#VALUE!</v>
      </c>
      <c r="UOB6" s="68" t="e" cm="1" vm="1">
        <f t="array" ref="UOB6">_xlfn._xlws.FILTER(TablaProductos[Nombre producto],TablaProductos[Agrupación]=ProductosPivot!UOB5)</f>
        <v>#VALUE!</v>
      </c>
      <c r="UOC6" s="68" t="e" cm="1" vm="1">
        <f t="array" ref="UOC6">_xlfn._xlws.FILTER(TablaProductos[Nombre producto],TablaProductos[Agrupación]=ProductosPivot!UOC5)</f>
        <v>#VALUE!</v>
      </c>
      <c r="UOD6" s="68" t="e" cm="1" vm="1">
        <f t="array" ref="UOD6">_xlfn._xlws.FILTER(TablaProductos[Nombre producto],TablaProductos[Agrupación]=ProductosPivot!UOD5)</f>
        <v>#VALUE!</v>
      </c>
      <c r="UOE6" s="68" t="e" cm="1" vm="1">
        <f t="array" ref="UOE6">_xlfn._xlws.FILTER(TablaProductos[Nombre producto],TablaProductos[Agrupación]=ProductosPivot!UOE5)</f>
        <v>#VALUE!</v>
      </c>
      <c r="UOF6" s="68" t="e" cm="1" vm="1">
        <f t="array" ref="UOF6">_xlfn._xlws.FILTER(TablaProductos[Nombre producto],TablaProductos[Agrupación]=ProductosPivot!UOF5)</f>
        <v>#VALUE!</v>
      </c>
      <c r="UOG6" s="68" t="e" cm="1" vm="1">
        <f t="array" ref="UOG6">_xlfn._xlws.FILTER(TablaProductos[Nombre producto],TablaProductos[Agrupación]=ProductosPivot!UOG5)</f>
        <v>#VALUE!</v>
      </c>
      <c r="UOH6" s="68" t="e" cm="1" vm="1">
        <f t="array" ref="UOH6">_xlfn._xlws.FILTER(TablaProductos[Nombre producto],TablaProductos[Agrupación]=ProductosPivot!UOH5)</f>
        <v>#VALUE!</v>
      </c>
      <c r="UOI6" s="68" t="e" cm="1" vm="1">
        <f t="array" ref="UOI6">_xlfn._xlws.FILTER(TablaProductos[Nombre producto],TablaProductos[Agrupación]=ProductosPivot!UOI5)</f>
        <v>#VALUE!</v>
      </c>
      <c r="UOJ6" s="68" t="e" cm="1" vm="1">
        <f t="array" ref="UOJ6">_xlfn._xlws.FILTER(TablaProductos[Nombre producto],TablaProductos[Agrupación]=ProductosPivot!UOJ5)</f>
        <v>#VALUE!</v>
      </c>
      <c r="UOK6" s="68" t="e" cm="1" vm="1">
        <f t="array" ref="UOK6">_xlfn._xlws.FILTER(TablaProductos[Nombre producto],TablaProductos[Agrupación]=ProductosPivot!UOK5)</f>
        <v>#VALUE!</v>
      </c>
      <c r="UOL6" s="68" t="e" cm="1" vm="1">
        <f t="array" ref="UOL6">_xlfn._xlws.FILTER(TablaProductos[Nombre producto],TablaProductos[Agrupación]=ProductosPivot!UOL5)</f>
        <v>#VALUE!</v>
      </c>
      <c r="UOM6" s="68" t="e" cm="1" vm="1">
        <f t="array" ref="UOM6">_xlfn._xlws.FILTER(TablaProductos[Nombre producto],TablaProductos[Agrupación]=ProductosPivot!UOM5)</f>
        <v>#VALUE!</v>
      </c>
      <c r="UON6" s="68" t="e" cm="1" vm="1">
        <f t="array" ref="UON6">_xlfn._xlws.FILTER(TablaProductos[Nombre producto],TablaProductos[Agrupación]=ProductosPivot!UON5)</f>
        <v>#VALUE!</v>
      </c>
      <c r="UOO6" s="68" t="e" cm="1" vm="1">
        <f t="array" ref="UOO6">_xlfn._xlws.FILTER(TablaProductos[Nombre producto],TablaProductos[Agrupación]=ProductosPivot!UOO5)</f>
        <v>#VALUE!</v>
      </c>
      <c r="UOP6" s="68" t="e" cm="1" vm="1">
        <f t="array" ref="UOP6">_xlfn._xlws.FILTER(TablaProductos[Nombre producto],TablaProductos[Agrupación]=ProductosPivot!UOP5)</f>
        <v>#VALUE!</v>
      </c>
      <c r="UOQ6" s="68" t="e" cm="1" vm="1">
        <f t="array" ref="UOQ6">_xlfn._xlws.FILTER(TablaProductos[Nombre producto],TablaProductos[Agrupación]=ProductosPivot!UOQ5)</f>
        <v>#VALUE!</v>
      </c>
      <c r="UOR6" s="68" t="e" cm="1" vm="1">
        <f t="array" ref="UOR6">_xlfn._xlws.FILTER(TablaProductos[Nombre producto],TablaProductos[Agrupación]=ProductosPivot!UOR5)</f>
        <v>#VALUE!</v>
      </c>
      <c r="UOS6" s="68" t="e" cm="1" vm="1">
        <f t="array" ref="UOS6">_xlfn._xlws.FILTER(TablaProductos[Nombre producto],TablaProductos[Agrupación]=ProductosPivot!UOS5)</f>
        <v>#VALUE!</v>
      </c>
      <c r="UOT6" s="68" t="e" cm="1" vm="1">
        <f t="array" ref="UOT6">_xlfn._xlws.FILTER(TablaProductos[Nombre producto],TablaProductos[Agrupación]=ProductosPivot!UOT5)</f>
        <v>#VALUE!</v>
      </c>
      <c r="UOU6" s="68" t="e" cm="1" vm="1">
        <f t="array" ref="UOU6">_xlfn._xlws.FILTER(TablaProductos[Nombre producto],TablaProductos[Agrupación]=ProductosPivot!UOU5)</f>
        <v>#VALUE!</v>
      </c>
      <c r="UOV6" s="68" t="e" cm="1" vm="1">
        <f t="array" ref="UOV6">_xlfn._xlws.FILTER(TablaProductos[Nombre producto],TablaProductos[Agrupación]=ProductosPivot!UOV5)</f>
        <v>#VALUE!</v>
      </c>
      <c r="UOW6" s="68" t="e" cm="1" vm="1">
        <f t="array" ref="UOW6">_xlfn._xlws.FILTER(TablaProductos[Nombre producto],TablaProductos[Agrupación]=ProductosPivot!UOW5)</f>
        <v>#VALUE!</v>
      </c>
      <c r="UOX6" s="68" t="e" cm="1" vm="1">
        <f t="array" ref="UOX6">_xlfn._xlws.FILTER(TablaProductos[Nombre producto],TablaProductos[Agrupación]=ProductosPivot!UOX5)</f>
        <v>#VALUE!</v>
      </c>
      <c r="UOY6" s="68" t="e" cm="1" vm="1">
        <f t="array" ref="UOY6">_xlfn._xlws.FILTER(TablaProductos[Nombre producto],TablaProductos[Agrupación]=ProductosPivot!UOY5)</f>
        <v>#VALUE!</v>
      </c>
      <c r="UOZ6" s="68" t="e" cm="1" vm="1">
        <f t="array" ref="UOZ6">_xlfn._xlws.FILTER(TablaProductos[Nombre producto],TablaProductos[Agrupación]=ProductosPivot!UOZ5)</f>
        <v>#VALUE!</v>
      </c>
      <c r="UPA6" s="68" t="e" cm="1" vm="1">
        <f t="array" ref="UPA6">_xlfn._xlws.FILTER(TablaProductos[Nombre producto],TablaProductos[Agrupación]=ProductosPivot!UPA5)</f>
        <v>#VALUE!</v>
      </c>
      <c r="UPB6" s="68" t="e" cm="1" vm="1">
        <f t="array" ref="UPB6">_xlfn._xlws.FILTER(TablaProductos[Nombre producto],TablaProductos[Agrupación]=ProductosPivot!UPB5)</f>
        <v>#VALUE!</v>
      </c>
      <c r="UPC6" s="68" t="e" cm="1" vm="1">
        <f t="array" ref="UPC6">_xlfn._xlws.FILTER(TablaProductos[Nombre producto],TablaProductos[Agrupación]=ProductosPivot!UPC5)</f>
        <v>#VALUE!</v>
      </c>
      <c r="UPD6" s="68" t="e" cm="1" vm="1">
        <f t="array" ref="UPD6">_xlfn._xlws.FILTER(TablaProductos[Nombre producto],TablaProductos[Agrupación]=ProductosPivot!UPD5)</f>
        <v>#VALUE!</v>
      </c>
      <c r="UPE6" s="68" t="e" cm="1" vm="1">
        <f t="array" ref="UPE6">_xlfn._xlws.FILTER(TablaProductos[Nombre producto],TablaProductos[Agrupación]=ProductosPivot!UPE5)</f>
        <v>#VALUE!</v>
      </c>
      <c r="UPF6" s="68" t="e" cm="1" vm="1">
        <f t="array" ref="UPF6">_xlfn._xlws.FILTER(TablaProductos[Nombre producto],TablaProductos[Agrupación]=ProductosPivot!UPF5)</f>
        <v>#VALUE!</v>
      </c>
      <c r="UPG6" s="68" t="e" cm="1" vm="1">
        <f t="array" ref="UPG6">_xlfn._xlws.FILTER(TablaProductos[Nombre producto],TablaProductos[Agrupación]=ProductosPivot!UPG5)</f>
        <v>#VALUE!</v>
      </c>
      <c r="UPH6" s="68" t="e" cm="1" vm="1">
        <f t="array" ref="UPH6">_xlfn._xlws.FILTER(TablaProductos[Nombre producto],TablaProductos[Agrupación]=ProductosPivot!UPH5)</f>
        <v>#VALUE!</v>
      </c>
      <c r="UPI6" s="68" t="e" cm="1" vm="1">
        <f t="array" ref="UPI6">_xlfn._xlws.FILTER(TablaProductos[Nombre producto],TablaProductos[Agrupación]=ProductosPivot!UPI5)</f>
        <v>#VALUE!</v>
      </c>
      <c r="UPJ6" s="68" t="e" cm="1" vm="1">
        <f t="array" ref="UPJ6">_xlfn._xlws.FILTER(TablaProductos[Nombre producto],TablaProductos[Agrupación]=ProductosPivot!UPJ5)</f>
        <v>#VALUE!</v>
      </c>
      <c r="UPK6" s="68" t="e" cm="1" vm="1">
        <f t="array" ref="UPK6">_xlfn._xlws.FILTER(TablaProductos[Nombre producto],TablaProductos[Agrupación]=ProductosPivot!UPK5)</f>
        <v>#VALUE!</v>
      </c>
      <c r="UPL6" s="68" t="e" cm="1" vm="1">
        <f t="array" ref="UPL6">_xlfn._xlws.FILTER(TablaProductos[Nombre producto],TablaProductos[Agrupación]=ProductosPivot!UPL5)</f>
        <v>#VALUE!</v>
      </c>
      <c r="UPM6" s="68" t="e" cm="1" vm="1">
        <f t="array" ref="UPM6">_xlfn._xlws.FILTER(TablaProductos[Nombre producto],TablaProductos[Agrupación]=ProductosPivot!UPM5)</f>
        <v>#VALUE!</v>
      </c>
      <c r="UPN6" s="68" t="e" cm="1" vm="1">
        <f t="array" ref="UPN6">_xlfn._xlws.FILTER(TablaProductos[Nombre producto],TablaProductos[Agrupación]=ProductosPivot!UPN5)</f>
        <v>#VALUE!</v>
      </c>
      <c r="UPO6" s="68" t="e" cm="1" vm="1">
        <f t="array" ref="UPO6">_xlfn._xlws.FILTER(TablaProductos[Nombre producto],TablaProductos[Agrupación]=ProductosPivot!UPO5)</f>
        <v>#VALUE!</v>
      </c>
      <c r="UPP6" s="68" t="e" cm="1" vm="1">
        <f t="array" ref="UPP6">_xlfn._xlws.FILTER(TablaProductos[Nombre producto],TablaProductos[Agrupación]=ProductosPivot!UPP5)</f>
        <v>#VALUE!</v>
      </c>
      <c r="UPQ6" s="68" t="e" cm="1" vm="1">
        <f t="array" ref="UPQ6">_xlfn._xlws.FILTER(TablaProductos[Nombre producto],TablaProductos[Agrupación]=ProductosPivot!UPQ5)</f>
        <v>#VALUE!</v>
      </c>
      <c r="UPR6" s="68" t="e" cm="1" vm="1">
        <f t="array" ref="UPR6">_xlfn._xlws.FILTER(TablaProductos[Nombre producto],TablaProductos[Agrupación]=ProductosPivot!UPR5)</f>
        <v>#VALUE!</v>
      </c>
      <c r="UPS6" s="68" t="e" cm="1" vm="1">
        <f t="array" ref="UPS6">_xlfn._xlws.FILTER(TablaProductos[Nombre producto],TablaProductos[Agrupación]=ProductosPivot!UPS5)</f>
        <v>#VALUE!</v>
      </c>
      <c r="UPT6" s="68" t="e" cm="1" vm="1">
        <f t="array" ref="UPT6">_xlfn._xlws.FILTER(TablaProductos[Nombre producto],TablaProductos[Agrupación]=ProductosPivot!UPT5)</f>
        <v>#VALUE!</v>
      </c>
      <c r="UPU6" s="68" t="e" cm="1" vm="1">
        <f t="array" ref="UPU6">_xlfn._xlws.FILTER(TablaProductos[Nombre producto],TablaProductos[Agrupación]=ProductosPivot!UPU5)</f>
        <v>#VALUE!</v>
      </c>
      <c r="UPV6" s="68" t="e" cm="1" vm="1">
        <f t="array" ref="UPV6">_xlfn._xlws.FILTER(TablaProductos[Nombre producto],TablaProductos[Agrupación]=ProductosPivot!UPV5)</f>
        <v>#VALUE!</v>
      </c>
      <c r="UPW6" s="68" t="e" cm="1" vm="1">
        <f t="array" ref="UPW6">_xlfn._xlws.FILTER(TablaProductos[Nombre producto],TablaProductos[Agrupación]=ProductosPivot!UPW5)</f>
        <v>#VALUE!</v>
      </c>
      <c r="UPX6" s="68" t="e" cm="1" vm="1">
        <f t="array" ref="UPX6">_xlfn._xlws.FILTER(TablaProductos[Nombre producto],TablaProductos[Agrupación]=ProductosPivot!UPX5)</f>
        <v>#VALUE!</v>
      </c>
      <c r="UPY6" s="68" t="e" cm="1" vm="1">
        <f t="array" ref="UPY6">_xlfn._xlws.FILTER(TablaProductos[Nombre producto],TablaProductos[Agrupación]=ProductosPivot!UPY5)</f>
        <v>#VALUE!</v>
      </c>
      <c r="UPZ6" s="68" t="e" cm="1" vm="1">
        <f t="array" ref="UPZ6">_xlfn._xlws.FILTER(TablaProductos[Nombre producto],TablaProductos[Agrupación]=ProductosPivot!UPZ5)</f>
        <v>#VALUE!</v>
      </c>
      <c r="UQA6" s="68" t="e" cm="1" vm="1">
        <f t="array" ref="UQA6">_xlfn._xlws.FILTER(TablaProductos[Nombre producto],TablaProductos[Agrupación]=ProductosPivot!UQA5)</f>
        <v>#VALUE!</v>
      </c>
      <c r="UQB6" s="68" t="e" cm="1" vm="1">
        <f t="array" ref="UQB6">_xlfn._xlws.FILTER(TablaProductos[Nombre producto],TablaProductos[Agrupación]=ProductosPivot!UQB5)</f>
        <v>#VALUE!</v>
      </c>
      <c r="UQC6" s="68" t="e" cm="1" vm="1">
        <f t="array" ref="UQC6">_xlfn._xlws.FILTER(TablaProductos[Nombre producto],TablaProductos[Agrupación]=ProductosPivot!UQC5)</f>
        <v>#VALUE!</v>
      </c>
      <c r="UQD6" s="68" t="e" cm="1" vm="1">
        <f t="array" ref="UQD6">_xlfn._xlws.FILTER(TablaProductos[Nombre producto],TablaProductos[Agrupación]=ProductosPivot!UQD5)</f>
        <v>#VALUE!</v>
      </c>
      <c r="UQE6" s="68" t="e" cm="1" vm="1">
        <f t="array" ref="UQE6">_xlfn._xlws.FILTER(TablaProductos[Nombre producto],TablaProductos[Agrupación]=ProductosPivot!UQE5)</f>
        <v>#VALUE!</v>
      </c>
      <c r="UQF6" s="68" t="e" cm="1" vm="1">
        <f t="array" ref="UQF6">_xlfn._xlws.FILTER(TablaProductos[Nombre producto],TablaProductos[Agrupación]=ProductosPivot!UQF5)</f>
        <v>#VALUE!</v>
      </c>
      <c r="UQG6" s="68" t="e" cm="1" vm="1">
        <f t="array" ref="UQG6">_xlfn._xlws.FILTER(TablaProductos[Nombre producto],TablaProductos[Agrupación]=ProductosPivot!UQG5)</f>
        <v>#VALUE!</v>
      </c>
      <c r="UQH6" s="68" t="e" cm="1" vm="1">
        <f t="array" ref="UQH6">_xlfn._xlws.FILTER(TablaProductos[Nombre producto],TablaProductos[Agrupación]=ProductosPivot!UQH5)</f>
        <v>#VALUE!</v>
      </c>
      <c r="UQI6" s="68" t="e" cm="1" vm="1">
        <f t="array" ref="UQI6">_xlfn._xlws.FILTER(TablaProductos[Nombre producto],TablaProductos[Agrupación]=ProductosPivot!UQI5)</f>
        <v>#VALUE!</v>
      </c>
      <c r="UQJ6" s="68" t="e" cm="1" vm="1">
        <f t="array" ref="UQJ6">_xlfn._xlws.FILTER(TablaProductos[Nombre producto],TablaProductos[Agrupación]=ProductosPivot!UQJ5)</f>
        <v>#VALUE!</v>
      </c>
      <c r="UQK6" s="68" t="e" cm="1" vm="1">
        <f t="array" ref="UQK6">_xlfn._xlws.FILTER(TablaProductos[Nombre producto],TablaProductos[Agrupación]=ProductosPivot!UQK5)</f>
        <v>#VALUE!</v>
      </c>
      <c r="UQL6" s="68" t="e" cm="1" vm="1">
        <f t="array" ref="UQL6">_xlfn._xlws.FILTER(TablaProductos[Nombre producto],TablaProductos[Agrupación]=ProductosPivot!UQL5)</f>
        <v>#VALUE!</v>
      </c>
      <c r="UQM6" s="68" t="e" cm="1" vm="1">
        <f t="array" ref="UQM6">_xlfn._xlws.FILTER(TablaProductos[Nombre producto],TablaProductos[Agrupación]=ProductosPivot!UQM5)</f>
        <v>#VALUE!</v>
      </c>
      <c r="UQN6" s="68" t="e" cm="1" vm="1">
        <f t="array" ref="UQN6">_xlfn._xlws.FILTER(TablaProductos[Nombre producto],TablaProductos[Agrupación]=ProductosPivot!UQN5)</f>
        <v>#VALUE!</v>
      </c>
      <c r="UQO6" s="68" t="e" cm="1" vm="1">
        <f t="array" ref="UQO6">_xlfn._xlws.FILTER(TablaProductos[Nombre producto],TablaProductos[Agrupación]=ProductosPivot!UQO5)</f>
        <v>#VALUE!</v>
      </c>
      <c r="UQP6" s="68" t="e" cm="1" vm="1">
        <f t="array" ref="UQP6">_xlfn._xlws.FILTER(TablaProductos[Nombre producto],TablaProductos[Agrupación]=ProductosPivot!UQP5)</f>
        <v>#VALUE!</v>
      </c>
      <c r="UQQ6" s="68" t="e" cm="1" vm="1">
        <f t="array" ref="UQQ6">_xlfn._xlws.FILTER(TablaProductos[Nombre producto],TablaProductos[Agrupación]=ProductosPivot!UQQ5)</f>
        <v>#VALUE!</v>
      </c>
      <c r="UQR6" s="68" t="e" cm="1" vm="1">
        <f t="array" ref="UQR6">_xlfn._xlws.FILTER(TablaProductos[Nombre producto],TablaProductos[Agrupación]=ProductosPivot!UQR5)</f>
        <v>#VALUE!</v>
      </c>
      <c r="UQS6" s="68" t="e" cm="1" vm="1">
        <f t="array" ref="UQS6">_xlfn._xlws.FILTER(TablaProductos[Nombre producto],TablaProductos[Agrupación]=ProductosPivot!UQS5)</f>
        <v>#VALUE!</v>
      </c>
      <c r="UQT6" s="68" t="e" cm="1" vm="1">
        <f t="array" ref="UQT6">_xlfn._xlws.FILTER(TablaProductos[Nombre producto],TablaProductos[Agrupación]=ProductosPivot!UQT5)</f>
        <v>#VALUE!</v>
      </c>
      <c r="UQU6" s="68" t="e" cm="1" vm="1">
        <f t="array" ref="UQU6">_xlfn._xlws.FILTER(TablaProductos[Nombre producto],TablaProductos[Agrupación]=ProductosPivot!UQU5)</f>
        <v>#VALUE!</v>
      </c>
      <c r="UQV6" s="68" t="e" cm="1" vm="1">
        <f t="array" ref="UQV6">_xlfn._xlws.FILTER(TablaProductos[Nombre producto],TablaProductos[Agrupación]=ProductosPivot!UQV5)</f>
        <v>#VALUE!</v>
      </c>
      <c r="UQW6" s="68" t="e" cm="1" vm="1">
        <f t="array" ref="UQW6">_xlfn._xlws.FILTER(TablaProductos[Nombre producto],TablaProductos[Agrupación]=ProductosPivot!UQW5)</f>
        <v>#VALUE!</v>
      </c>
      <c r="UQX6" s="68" t="e" cm="1" vm="1">
        <f t="array" ref="UQX6">_xlfn._xlws.FILTER(TablaProductos[Nombre producto],TablaProductos[Agrupación]=ProductosPivot!UQX5)</f>
        <v>#VALUE!</v>
      </c>
      <c r="UQY6" s="68" t="e" cm="1" vm="1">
        <f t="array" ref="UQY6">_xlfn._xlws.FILTER(TablaProductos[Nombre producto],TablaProductos[Agrupación]=ProductosPivot!UQY5)</f>
        <v>#VALUE!</v>
      </c>
      <c r="UQZ6" s="68" t="e" cm="1" vm="1">
        <f t="array" ref="UQZ6">_xlfn._xlws.FILTER(TablaProductos[Nombre producto],TablaProductos[Agrupación]=ProductosPivot!UQZ5)</f>
        <v>#VALUE!</v>
      </c>
      <c r="URA6" s="68" t="e" cm="1" vm="1">
        <f t="array" ref="URA6">_xlfn._xlws.FILTER(TablaProductos[Nombre producto],TablaProductos[Agrupación]=ProductosPivot!URA5)</f>
        <v>#VALUE!</v>
      </c>
      <c r="URB6" s="68" t="e" cm="1" vm="1">
        <f t="array" ref="URB6">_xlfn._xlws.FILTER(TablaProductos[Nombre producto],TablaProductos[Agrupación]=ProductosPivot!URB5)</f>
        <v>#VALUE!</v>
      </c>
      <c r="URC6" s="68" t="e" cm="1" vm="1">
        <f t="array" ref="URC6">_xlfn._xlws.FILTER(TablaProductos[Nombre producto],TablaProductos[Agrupación]=ProductosPivot!URC5)</f>
        <v>#VALUE!</v>
      </c>
      <c r="URD6" s="68" t="e" cm="1" vm="1">
        <f t="array" ref="URD6">_xlfn._xlws.FILTER(TablaProductos[Nombre producto],TablaProductos[Agrupación]=ProductosPivot!URD5)</f>
        <v>#VALUE!</v>
      </c>
      <c r="URE6" s="68" t="e" cm="1" vm="1">
        <f t="array" ref="URE6">_xlfn._xlws.FILTER(TablaProductos[Nombre producto],TablaProductos[Agrupación]=ProductosPivot!URE5)</f>
        <v>#VALUE!</v>
      </c>
      <c r="URF6" s="68" t="e" cm="1" vm="1">
        <f t="array" ref="URF6">_xlfn._xlws.FILTER(TablaProductos[Nombre producto],TablaProductos[Agrupación]=ProductosPivot!URF5)</f>
        <v>#VALUE!</v>
      </c>
      <c r="URG6" s="68" t="e" cm="1" vm="1">
        <f t="array" ref="URG6">_xlfn._xlws.FILTER(TablaProductos[Nombre producto],TablaProductos[Agrupación]=ProductosPivot!URG5)</f>
        <v>#VALUE!</v>
      </c>
      <c r="URH6" s="68" t="e" cm="1" vm="1">
        <f t="array" ref="URH6">_xlfn._xlws.FILTER(TablaProductos[Nombre producto],TablaProductos[Agrupación]=ProductosPivot!URH5)</f>
        <v>#VALUE!</v>
      </c>
      <c r="URI6" s="68" t="e" cm="1" vm="1">
        <f t="array" ref="URI6">_xlfn._xlws.FILTER(TablaProductos[Nombre producto],TablaProductos[Agrupación]=ProductosPivot!URI5)</f>
        <v>#VALUE!</v>
      </c>
      <c r="URJ6" s="68" t="e" cm="1" vm="1">
        <f t="array" ref="URJ6">_xlfn._xlws.FILTER(TablaProductos[Nombre producto],TablaProductos[Agrupación]=ProductosPivot!URJ5)</f>
        <v>#VALUE!</v>
      </c>
      <c r="URK6" s="68" t="e" cm="1" vm="1">
        <f t="array" ref="URK6">_xlfn._xlws.FILTER(TablaProductos[Nombre producto],TablaProductos[Agrupación]=ProductosPivot!URK5)</f>
        <v>#VALUE!</v>
      </c>
      <c r="URL6" s="68" t="e" cm="1" vm="1">
        <f t="array" ref="URL6">_xlfn._xlws.FILTER(TablaProductos[Nombre producto],TablaProductos[Agrupación]=ProductosPivot!URL5)</f>
        <v>#VALUE!</v>
      </c>
      <c r="URM6" s="68" t="e" cm="1" vm="1">
        <f t="array" ref="URM6">_xlfn._xlws.FILTER(TablaProductos[Nombre producto],TablaProductos[Agrupación]=ProductosPivot!URM5)</f>
        <v>#VALUE!</v>
      </c>
      <c r="URN6" s="68" t="e" cm="1" vm="1">
        <f t="array" ref="URN6">_xlfn._xlws.FILTER(TablaProductos[Nombre producto],TablaProductos[Agrupación]=ProductosPivot!URN5)</f>
        <v>#VALUE!</v>
      </c>
      <c r="URO6" s="68" t="e" cm="1" vm="1">
        <f t="array" ref="URO6">_xlfn._xlws.FILTER(TablaProductos[Nombre producto],TablaProductos[Agrupación]=ProductosPivot!URO5)</f>
        <v>#VALUE!</v>
      </c>
      <c r="URP6" s="68" t="e" cm="1" vm="1">
        <f t="array" ref="URP6">_xlfn._xlws.FILTER(TablaProductos[Nombre producto],TablaProductos[Agrupación]=ProductosPivot!URP5)</f>
        <v>#VALUE!</v>
      </c>
      <c r="URQ6" s="68" t="e" cm="1" vm="1">
        <f t="array" ref="URQ6">_xlfn._xlws.FILTER(TablaProductos[Nombre producto],TablaProductos[Agrupación]=ProductosPivot!URQ5)</f>
        <v>#VALUE!</v>
      </c>
      <c r="URR6" s="68" t="e" cm="1" vm="1">
        <f t="array" ref="URR6">_xlfn._xlws.FILTER(TablaProductos[Nombre producto],TablaProductos[Agrupación]=ProductosPivot!URR5)</f>
        <v>#VALUE!</v>
      </c>
      <c r="URS6" s="68" t="e" cm="1" vm="1">
        <f t="array" ref="URS6">_xlfn._xlws.FILTER(TablaProductos[Nombre producto],TablaProductos[Agrupación]=ProductosPivot!URS5)</f>
        <v>#VALUE!</v>
      </c>
      <c r="URT6" s="68" t="e" cm="1" vm="1">
        <f t="array" ref="URT6">_xlfn._xlws.FILTER(TablaProductos[Nombre producto],TablaProductos[Agrupación]=ProductosPivot!URT5)</f>
        <v>#VALUE!</v>
      </c>
      <c r="URU6" s="68" t="e" cm="1" vm="1">
        <f t="array" ref="URU6">_xlfn._xlws.FILTER(TablaProductos[Nombre producto],TablaProductos[Agrupación]=ProductosPivot!URU5)</f>
        <v>#VALUE!</v>
      </c>
      <c r="URV6" s="68" t="e" cm="1" vm="1">
        <f t="array" ref="URV6">_xlfn._xlws.FILTER(TablaProductos[Nombre producto],TablaProductos[Agrupación]=ProductosPivot!URV5)</f>
        <v>#VALUE!</v>
      </c>
      <c r="URW6" s="68" t="e" cm="1" vm="1">
        <f t="array" ref="URW6">_xlfn._xlws.FILTER(TablaProductos[Nombre producto],TablaProductos[Agrupación]=ProductosPivot!URW5)</f>
        <v>#VALUE!</v>
      </c>
      <c r="URX6" s="68" t="e" cm="1" vm="1">
        <f t="array" ref="URX6">_xlfn._xlws.FILTER(TablaProductos[Nombre producto],TablaProductos[Agrupación]=ProductosPivot!URX5)</f>
        <v>#VALUE!</v>
      </c>
      <c r="URY6" s="68" t="e" cm="1" vm="1">
        <f t="array" ref="URY6">_xlfn._xlws.FILTER(TablaProductos[Nombre producto],TablaProductos[Agrupación]=ProductosPivot!URY5)</f>
        <v>#VALUE!</v>
      </c>
      <c r="URZ6" s="68" t="e" cm="1" vm="1">
        <f t="array" ref="URZ6">_xlfn._xlws.FILTER(TablaProductos[Nombre producto],TablaProductos[Agrupación]=ProductosPivot!URZ5)</f>
        <v>#VALUE!</v>
      </c>
      <c r="USA6" s="68" t="e" cm="1" vm="1">
        <f t="array" ref="USA6">_xlfn._xlws.FILTER(TablaProductos[Nombre producto],TablaProductos[Agrupación]=ProductosPivot!USA5)</f>
        <v>#VALUE!</v>
      </c>
      <c r="USB6" s="68" t="e" cm="1" vm="1">
        <f t="array" ref="USB6">_xlfn._xlws.FILTER(TablaProductos[Nombre producto],TablaProductos[Agrupación]=ProductosPivot!USB5)</f>
        <v>#VALUE!</v>
      </c>
      <c r="USC6" s="68" t="e" cm="1" vm="1">
        <f t="array" ref="USC6">_xlfn._xlws.FILTER(TablaProductos[Nombre producto],TablaProductos[Agrupación]=ProductosPivot!USC5)</f>
        <v>#VALUE!</v>
      </c>
      <c r="USD6" s="68" t="e" cm="1" vm="1">
        <f t="array" ref="USD6">_xlfn._xlws.FILTER(TablaProductos[Nombre producto],TablaProductos[Agrupación]=ProductosPivot!USD5)</f>
        <v>#VALUE!</v>
      </c>
      <c r="USE6" s="68" t="e" cm="1" vm="1">
        <f t="array" ref="USE6">_xlfn._xlws.FILTER(TablaProductos[Nombre producto],TablaProductos[Agrupación]=ProductosPivot!USE5)</f>
        <v>#VALUE!</v>
      </c>
      <c r="USF6" s="68" t="e" cm="1" vm="1">
        <f t="array" ref="USF6">_xlfn._xlws.FILTER(TablaProductos[Nombre producto],TablaProductos[Agrupación]=ProductosPivot!USF5)</f>
        <v>#VALUE!</v>
      </c>
      <c r="USG6" s="68" t="e" cm="1" vm="1">
        <f t="array" ref="USG6">_xlfn._xlws.FILTER(TablaProductos[Nombre producto],TablaProductos[Agrupación]=ProductosPivot!USG5)</f>
        <v>#VALUE!</v>
      </c>
      <c r="USH6" s="68" t="e" cm="1" vm="1">
        <f t="array" ref="USH6">_xlfn._xlws.FILTER(TablaProductos[Nombre producto],TablaProductos[Agrupación]=ProductosPivot!USH5)</f>
        <v>#VALUE!</v>
      </c>
      <c r="USI6" s="68" t="e" cm="1" vm="1">
        <f t="array" ref="USI6">_xlfn._xlws.FILTER(TablaProductos[Nombre producto],TablaProductos[Agrupación]=ProductosPivot!USI5)</f>
        <v>#VALUE!</v>
      </c>
      <c r="USJ6" s="68" t="e" cm="1" vm="1">
        <f t="array" ref="USJ6">_xlfn._xlws.FILTER(TablaProductos[Nombre producto],TablaProductos[Agrupación]=ProductosPivot!USJ5)</f>
        <v>#VALUE!</v>
      </c>
      <c r="USK6" s="68" t="e" cm="1" vm="1">
        <f t="array" ref="USK6">_xlfn._xlws.FILTER(TablaProductos[Nombre producto],TablaProductos[Agrupación]=ProductosPivot!USK5)</f>
        <v>#VALUE!</v>
      </c>
      <c r="USL6" s="68" t="e" cm="1" vm="1">
        <f t="array" ref="USL6">_xlfn._xlws.FILTER(TablaProductos[Nombre producto],TablaProductos[Agrupación]=ProductosPivot!USL5)</f>
        <v>#VALUE!</v>
      </c>
      <c r="USM6" s="68" t="e" cm="1" vm="1">
        <f t="array" ref="USM6">_xlfn._xlws.FILTER(TablaProductos[Nombre producto],TablaProductos[Agrupación]=ProductosPivot!USM5)</f>
        <v>#VALUE!</v>
      </c>
      <c r="USN6" s="68" t="e" cm="1" vm="1">
        <f t="array" ref="USN6">_xlfn._xlws.FILTER(TablaProductos[Nombre producto],TablaProductos[Agrupación]=ProductosPivot!USN5)</f>
        <v>#VALUE!</v>
      </c>
      <c r="USO6" s="68" t="e" cm="1" vm="1">
        <f t="array" ref="USO6">_xlfn._xlws.FILTER(TablaProductos[Nombre producto],TablaProductos[Agrupación]=ProductosPivot!USO5)</f>
        <v>#VALUE!</v>
      </c>
      <c r="USP6" s="68" t="e" cm="1" vm="1">
        <f t="array" ref="USP6">_xlfn._xlws.FILTER(TablaProductos[Nombre producto],TablaProductos[Agrupación]=ProductosPivot!USP5)</f>
        <v>#VALUE!</v>
      </c>
      <c r="USQ6" s="68" t="e" cm="1" vm="1">
        <f t="array" ref="USQ6">_xlfn._xlws.FILTER(TablaProductos[Nombre producto],TablaProductos[Agrupación]=ProductosPivot!USQ5)</f>
        <v>#VALUE!</v>
      </c>
      <c r="USR6" s="68" t="e" cm="1" vm="1">
        <f t="array" ref="USR6">_xlfn._xlws.FILTER(TablaProductos[Nombre producto],TablaProductos[Agrupación]=ProductosPivot!USR5)</f>
        <v>#VALUE!</v>
      </c>
      <c r="USS6" s="68" t="e" cm="1" vm="1">
        <f t="array" ref="USS6">_xlfn._xlws.FILTER(TablaProductos[Nombre producto],TablaProductos[Agrupación]=ProductosPivot!USS5)</f>
        <v>#VALUE!</v>
      </c>
      <c r="UST6" s="68" t="e" cm="1" vm="1">
        <f t="array" ref="UST6">_xlfn._xlws.FILTER(TablaProductos[Nombre producto],TablaProductos[Agrupación]=ProductosPivot!UST5)</f>
        <v>#VALUE!</v>
      </c>
      <c r="USU6" s="68" t="e" cm="1" vm="1">
        <f t="array" ref="USU6">_xlfn._xlws.FILTER(TablaProductos[Nombre producto],TablaProductos[Agrupación]=ProductosPivot!USU5)</f>
        <v>#VALUE!</v>
      </c>
      <c r="USV6" s="68" t="e" cm="1" vm="1">
        <f t="array" ref="USV6">_xlfn._xlws.FILTER(TablaProductos[Nombre producto],TablaProductos[Agrupación]=ProductosPivot!USV5)</f>
        <v>#VALUE!</v>
      </c>
      <c r="USW6" s="68" t="e" cm="1" vm="1">
        <f t="array" ref="USW6">_xlfn._xlws.FILTER(TablaProductos[Nombre producto],TablaProductos[Agrupación]=ProductosPivot!USW5)</f>
        <v>#VALUE!</v>
      </c>
      <c r="USX6" s="68" t="e" cm="1" vm="1">
        <f t="array" ref="USX6">_xlfn._xlws.FILTER(TablaProductos[Nombre producto],TablaProductos[Agrupación]=ProductosPivot!USX5)</f>
        <v>#VALUE!</v>
      </c>
      <c r="USY6" s="68" t="e" cm="1" vm="1">
        <f t="array" ref="USY6">_xlfn._xlws.FILTER(TablaProductos[Nombre producto],TablaProductos[Agrupación]=ProductosPivot!USY5)</f>
        <v>#VALUE!</v>
      </c>
      <c r="USZ6" s="68" t="e" cm="1" vm="1">
        <f t="array" ref="USZ6">_xlfn._xlws.FILTER(TablaProductos[Nombre producto],TablaProductos[Agrupación]=ProductosPivot!USZ5)</f>
        <v>#VALUE!</v>
      </c>
      <c r="UTA6" s="68" t="e" cm="1" vm="1">
        <f t="array" ref="UTA6">_xlfn._xlws.FILTER(TablaProductos[Nombre producto],TablaProductos[Agrupación]=ProductosPivot!UTA5)</f>
        <v>#VALUE!</v>
      </c>
      <c r="UTB6" s="68" t="e" cm="1" vm="1">
        <f t="array" ref="UTB6">_xlfn._xlws.FILTER(TablaProductos[Nombre producto],TablaProductos[Agrupación]=ProductosPivot!UTB5)</f>
        <v>#VALUE!</v>
      </c>
      <c r="UTC6" s="68" t="e" cm="1" vm="1">
        <f t="array" ref="UTC6">_xlfn._xlws.FILTER(TablaProductos[Nombre producto],TablaProductos[Agrupación]=ProductosPivot!UTC5)</f>
        <v>#VALUE!</v>
      </c>
      <c r="UTD6" s="68" t="e" cm="1" vm="1">
        <f t="array" ref="UTD6">_xlfn._xlws.FILTER(TablaProductos[Nombre producto],TablaProductos[Agrupación]=ProductosPivot!UTD5)</f>
        <v>#VALUE!</v>
      </c>
      <c r="UTE6" s="68" t="e" cm="1" vm="1">
        <f t="array" ref="UTE6">_xlfn._xlws.FILTER(TablaProductos[Nombre producto],TablaProductos[Agrupación]=ProductosPivot!UTE5)</f>
        <v>#VALUE!</v>
      </c>
      <c r="UTF6" s="68" t="e" cm="1" vm="1">
        <f t="array" ref="UTF6">_xlfn._xlws.FILTER(TablaProductos[Nombre producto],TablaProductos[Agrupación]=ProductosPivot!UTF5)</f>
        <v>#VALUE!</v>
      </c>
      <c r="UTG6" s="68" t="e" cm="1" vm="1">
        <f t="array" ref="UTG6">_xlfn._xlws.FILTER(TablaProductos[Nombre producto],TablaProductos[Agrupación]=ProductosPivot!UTG5)</f>
        <v>#VALUE!</v>
      </c>
      <c r="UTH6" s="68" t="e" cm="1" vm="1">
        <f t="array" ref="UTH6">_xlfn._xlws.FILTER(TablaProductos[Nombre producto],TablaProductos[Agrupación]=ProductosPivot!UTH5)</f>
        <v>#VALUE!</v>
      </c>
      <c r="UTI6" s="68" t="e" cm="1" vm="1">
        <f t="array" ref="UTI6">_xlfn._xlws.FILTER(TablaProductos[Nombre producto],TablaProductos[Agrupación]=ProductosPivot!UTI5)</f>
        <v>#VALUE!</v>
      </c>
      <c r="UTJ6" s="68" t="e" cm="1" vm="1">
        <f t="array" ref="UTJ6">_xlfn._xlws.FILTER(TablaProductos[Nombre producto],TablaProductos[Agrupación]=ProductosPivot!UTJ5)</f>
        <v>#VALUE!</v>
      </c>
      <c r="UTK6" s="68" t="e" cm="1" vm="1">
        <f t="array" ref="UTK6">_xlfn._xlws.FILTER(TablaProductos[Nombre producto],TablaProductos[Agrupación]=ProductosPivot!UTK5)</f>
        <v>#VALUE!</v>
      </c>
      <c r="UTL6" s="68" t="e" cm="1" vm="1">
        <f t="array" ref="UTL6">_xlfn._xlws.FILTER(TablaProductos[Nombre producto],TablaProductos[Agrupación]=ProductosPivot!UTL5)</f>
        <v>#VALUE!</v>
      </c>
      <c r="UTM6" s="68" t="e" cm="1" vm="1">
        <f t="array" ref="UTM6">_xlfn._xlws.FILTER(TablaProductos[Nombre producto],TablaProductos[Agrupación]=ProductosPivot!UTM5)</f>
        <v>#VALUE!</v>
      </c>
      <c r="UTN6" s="68" t="e" cm="1" vm="1">
        <f t="array" ref="UTN6">_xlfn._xlws.FILTER(TablaProductos[Nombre producto],TablaProductos[Agrupación]=ProductosPivot!UTN5)</f>
        <v>#VALUE!</v>
      </c>
      <c r="UTO6" s="68" t="e" cm="1" vm="1">
        <f t="array" ref="UTO6">_xlfn._xlws.FILTER(TablaProductos[Nombre producto],TablaProductos[Agrupación]=ProductosPivot!UTO5)</f>
        <v>#VALUE!</v>
      </c>
      <c r="UTP6" s="68" t="e" cm="1" vm="1">
        <f t="array" ref="UTP6">_xlfn._xlws.FILTER(TablaProductos[Nombre producto],TablaProductos[Agrupación]=ProductosPivot!UTP5)</f>
        <v>#VALUE!</v>
      </c>
      <c r="UTQ6" s="68" t="e" cm="1" vm="1">
        <f t="array" ref="UTQ6">_xlfn._xlws.FILTER(TablaProductos[Nombre producto],TablaProductos[Agrupación]=ProductosPivot!UTQ5)</f>
        <v>#VALUE!</v>
      </c>
      <c r="UTR6" s="68" t="e" cm="1" vm="1">
        <f t="array" ref="UTR6">_xlfn._xlws.FILTER(TablaProductos[Nombre producto],TablaProductos[Agrupación]=ProductosPivot!UTR5)</f>
        <v>#VALUE!</v>
      </c>
      <c r="UTS6" s="68" t="e" cm="1" vm="1">
        <f t="array" ref="UTS6">_xlfn._xlws.FILTER(TablaProductos[Nombre producto],TablaProductos[Agrupación]=ProductosPivot!UTS5)</f>
        <v>#VALUE!</v>
      </c>
      <c r="UTT6" s="68" t="e" cm="1" vm="1">
        <f t="array" ref="UTT6">_xlfn._xlws.FILTER(TablaProductos[Nombre producto],TablaProductos[Agrupación]=ProductosPivot!UTT5)</f>
        <v>#VALUE!</v>
      </c>
      <c r="UTU6" s="68" t="e" cm="1" vm="1">
        <f t="array" ref="UTU6">_xlfn._xlws.FILTER(TablaProductos[Nombre producto],TablaProductos[Agrupación]=ProductosPivot!UTU5)</f>
        <v>#VALUE!</v>
      </c>
      <c r="UTV6" s="68" t="e" cm="1" vm="1">
        <f t="array" ref="UTV6">_xlfn._xlws.FILTER(TablaProductos[Nombre producto],TablaProductos[Agrupación]=ProductosPivot!UTV5)</f>
        <v>#VALUE!</v>
      </c>
      <c r="UTW6" s="68" t="e" cm="1" vm="1">
        <f t="array" ref="UTW6">_xlfn._xlws.FILTER(TablaProductos[Nombre producto],TablaProductos[Agrupación]=ProductosPivot!UTW5)</f>
        <v>#VALUE!</v>
      </c>
      <c r="UTX6" s="68" t="e" cm="1" vm="1">
        <f t="array" ref="UTX6">_xlfn._xlws.FILTER(TablaProductos[Nombre producto],TablaProductos[Agrupación]=ProductosPivot!UTX5)</f>
        <v>#VALUE!</v>
      </c>
      <c r="UTY6" s="68" t="e" cm="1" vm="1">
        <f t="array" ref="UTY6">_xlfn._xlws.FILTER(TablaProductos[Nombre producto],TablaProductos[Agrupación]=ProductosPivot!UTY5)</f>
        <v>#VALUE!</v>
      </c>
      <c r="UTZ6" s="68" t="e" cm="1" vm="1">
        <f t="array" ref="UTZ6">_xlfn._xlws.FILTER(TablaProductos[Nombre producto],TablaProductos[Agrupación]=ProductosPivot!UTZ5)</f>
        <v>#VALUE!</v>
      </c>
      <c r="UUA6" s="68" t="e" cm="1" vm="1">
        <f t="array" ref="UUA6">_xlfn._xlws.FILTER(TablaProductos[Nombre producto],TablaProductos[Agrupación]=ProductosPivot!UUA5)</f>
        <v>#VALUE!</v>
      </c>
      <c r="UUB6" s="68" t="e" cm="1" vm="1">
        <f t="array" ref="UUB6">_xlfn._xlws.FILTER(TablaProductos[Nombre producto],TablaProductos[Agrupación]=ProductosPivot!UUB5)</f>
        <v>#VALUE!</v>
      </c>
      <c r="UUC6" s="68" t="e" cm="1" vm="1">
        <f t="array" ref="UUC6">_xlfn._xlws.FILTER(TablaProductos[Nombre producto],TablaProductos[Agrupación]=ProductosPivot!UUC5)</f>
        <v>#VALUE!</v>
      </c>
      <c r="UUD6" s="68" t="e" cm="1" vm="1">
        <f t="array" ref="UUD6">_xlfn._xlws.FILTER(TablaProductos[Nombre producto],TablaProductos[Agrupación]=ProductosPivot!UUD5)</f>
        <v>#VALUE!</v>
      </c>
      <c r="UUE6" s="68" t="e" cm="1" vm="1">
        <f t="array" ref="UUE6">_xlfn._xlws.FILTER(TablaProductos[Nombre producto],TablaProductos[Agrupación]=ProductosPivot!UUE5)</f>
        <v>#VALUE!</v>
      </c>
      <c r="UUF6" s="68" t="e" cm="1" vm="1">
        <f t="array" ref="UUF6">_xlfn._xlws.FILTER(TablaProductos[Nombre producto],TablaProductos[Agrupación]=ProductosPivot!UUF5)</f>
        <v>#VALUE!</v>
      </c>
      <c r="UUG6" s="68" t="e" cm="1" vm="1">
        <f t="array" ref="UUG6">_xlfn._xlws.FILTER(TablaProductos[Nombre producto],TablaProductos[Agrupación]=ProductosPivot!UUG5)</f>
        <v>#VALUE!</v>
      </c>
      <c r="UUH6" s="68" t="e" cm="1" vm="1">
        <f t="array" ref="UUH6">_xlfn._xlws.FILTER(TablaProductos[Nombre producto],TablaProductos[Agrupación]=ProductosPivot!UUH5)</f>
        <v>#VALUE!</v>
      </c>
      <c r="UUI6" s="68" t="e" cm="1" vm="1">
        <f t="array" ref="UUI6">_xlfn._xlws.FILTER(TablaProductos[Nombre producto],TablaProductos[Agrupación]=ProductosPivot!UUI5)</f>
        <v>#VALUE!</v>
      </c>
      <c r="UUJ6" s="68" t="e" cm="1" vm="1">
        <f t="array" ref="UUJ6">_xlfn._xlws.FILTER(TablaProductos[Nombre producto],TablaProductos[Agrupación]=ProductosPivot!UUJ5)</f>
        <v>#VALUE!</v>
      </c>
      <c r="UUK6" s="68" t="e" cm="1" vm="1">
        <f t="array" ref="UUK6">_xlfn._xlws.FILTER(TablaProductos[Nombre producto],TablaProductos[Agrupación]=ProductosPivot!UUK5)</f>
        <v>#VALUE!</v>
      </c>
      <c r="UUL6" s="68" t="e" cm="1" vm="1">
        <f t="array" ref="UUL6">_xlfn._xlws.FILTER(TablaProductos[Nombre producto],TablaProductos[Agrupación]=ProductosPivot!UUL5)</f>
        <v>#VALUE!</v>
      </c>
      <c r="UUM6" s="68" t="e" cm="1" vm="1">
        <f t="array" ref="UUM6">_xlfn._xlws.FILTER(TablaProductos[Nombre producto],TablaProductos[Agrupación]=ProductosPivot!UUM5)</f>
        <v>#VALUE!</v>
      </c>
      <c r="UUN6" s="68" t="e" cm="1" vm="1">
        <f t="array" ref="UUN6">_xlfn._xlws.FILTER(TablaProductos[Nombre producto],TablaProductos[Agrupación]=ProductosPivot!UUN5)</f>
        <v>#VALUE!</v>
      </c>
      <c r="UUO6" s="68" t="e" cm="1" vm="1">
        <f t="array" ref="UUO6">_xlfn._xlws.FILTER(TablaProductos[Nombre producto],TablaProductos[Agrupación]=ProductosPivot!UUO5)</f>
        <v>#VALUE!</v>
      </c>
      <c r="UUP6" s="68" t="e" cm="1" vm="1">
        <f t="array" ref="UUP6">_xlfn._xlws.FILTER(TablaProductos[Nombre producto],TablaProductos[Agrupación]=ProductosPivot!UUP5)</f>
        <v>#VALUE!</v>
      </c>
      <c r="UUQ6" s="68" t="e" cm="1" vm="1">
        <f t="array" ref="UUQ6">_xlfn._xlws.FILTER(TablaProductos[Nombre producto],TablaProductos[Agrupación]=ProductosPivot!UUQ5)</f>
        <v>#VALUE!</v>
      </c>
      <c r="UUR6" s="68" t="e" cm="1" vm="1">
        <f t="array" ref="UUR6">_xlfn._xlws.FILTER(TablaProductos[Nombre producto],TablaProductos[Agrupación]=ProductosPivot!UUR5)</f>
        <v>#VALUE!</v>
      </c>
      <c r="UUS6" s="68" t="e" cm="1" vm="1">
        <f t="array" ref="UUS6">_xlfn._xlws.FILTER(TablaProductos[Nombre producto],TablaProductos[Agrupación]=ProductosPivot!UUS5)</f>
        <v>#VALUE!</v>
      </c>
      <c r="UUT6" s="68" t="e" cm="1" vm="1">
        <f t="array" ref="UUT6">_xlfn._xlws.FILTER(TablaProductos[Nombre producto],TablaProductos[Agrupación]=ProductosPivot!UUT5)</f>
        <v>#VALUE!</v>
      </c>
      <c r="UUU6" s="68" t="e" cm="1" vm="1">
        <f t="array" ref="UUU6">_xlfn._xlws.FILTER(TablaProductos[Nombre producto],TablaProductos[Agrupación]=ProductosPivot!UUU5)</f>
        <v>#VALUE!</v>
      </c>
      <c r="UUV6" s="68" t="e" cm="1" vm="1">
        <f t="array" ref="UUV6">_xlfn._xlws.FILTER(TablaProductos[Nombre producto],TablaProductos[Agrupación]=ProductosPivot!UUV5)</f>
        <v>#VALUE!</v>
      </c>
      <c r="UUW6" s="68" t="e" cm="1" vm="1">
        <f t="array" ref="UUW6">_xlfn._xlws.FILTER(TablaProductos[Nombre producto],TablaProductos[Agrupación]=ProductosPivot!UUW5)</f>
        <v>#VALUE!</v>
      </c>
      <c r="UUX6" s="68" t="e" cm="1" vm="1">
        <f t="array" ref="UUX6">_xlfn._xlws.FILTER(TablaProductos[Nombre producto],TablaProductos[Agrupación]=ProductosPivot!UUX5)</f>
        <v>#VALUE!</v>
      </c>
      <c r="UUY6" s="68" t="e" cm="1" vm="1">
        <f t="array" ref="UUY6">_xlfn._xlws.FILTER(TablaProductos[Nombre producto],TablaProductos[Agrupación]=ProductosPivot!UUY5)</f>
        <v>#VALUE!</v>
      </c>
      <c r="UUZ6" s="68" t="e" cm="1" vm="1">
        <f t="array" ref="UUZ6">_xlfn._xlws.FILTER(TablaProductos[Nombre producto],TablaProductos[Agrupación]=ProductosPivot!UUZ5)</f>
        <v>#VALUE!</v>
      </c>
      <c r="UVA6" s="68" t="e" cm="1" vm="1">
        <f t="array" ref="UVA6">_xlfn._xlws.FILTER(TablaProductos[Nombre producto],TablaProductos[Agrupación]=ProductosPivot!UVA5)</f>
        <v>#VALUE!</v>
      </c>
      <c r="UVB6" s="68" t="e" cm="1" vm="1">
        <f t="array" ref="UVB6">_xlfn._xlws.FILTER(TablaProductos[Nombre producto],TablaProductos[Agrupación]=ProductosPivot!UVB5)</f>
        <v>#VALUE!</v>
      </c>
      <c r="UVC6" s="68" t="e" cm="1" vm="1">
        <f t="array" ref="UVC6">_xlfn._xlws.FILTER(TablaProductos[Nombre producto],TablaProductos[Agrupación]=ProductosPivot!UVC5)</f>
        <v>#VALUE!</v>
      </c>
      <c r="UVD6" s="68" t="e" cm="1" vm="1">
        <f t="array" ref="UVD6">_xlfn._xlws.FILTER(TablaProductos[Nombre producto],TablaProductos[Agrupación]=ProductosPivot!UVD5)</f>
        <v>#VALUE!</v>
      </c>
      <c r="UVE6" s="68" t="e" cm="1" vm="1">
        <f t="array" ref="UVE6">_xlfn._xlws.FILTER(TablaProductos[Nombre producto],TablaProductos[Agrupación]=ProductosPivot!UVE5)</f>
        <v>#VALUE!</v>
      </c>
      <c r="UVF6" s="68" t="e" cm="1" vm="1">
        <f t="array" ref="UVF6">_xlfn._xlws.FILTER(TablaProductos[Nombre producto],TablaProductos[Agrupación]=ProductosPivot!UVF5)</f>
        <v>#VALUE!</v>
      </c>
      <c r="UVG6" s="68" t="e" cm="1" vm="1">
        <f t="array" ref="UVG6">_xlfn._xlws.FILTER(TablaProductos[Nombre producto],TablaProductos[Agrupación]=ProductosPivot!UVG5)</f>
        <v>#VALUE!</v>
      </c>
      <c r="UVH6" s="68" t="e" cm="1" vm="1">
        <f t="array" ref="UVH6">_xlfn._xlws.FILTER(TablaProductos[Nombre producto],TablaProductos[Agrupación]=ProductosPivot!UVH5)</f>
        <v>#VALUE!</v>
      </c>
      <c r="UVI6" s="68" t="e" cm="1" vm="1">
        <f t="array" ref="UVI6">_xlfn._xlws.FILTER(TablaProductos[Nombre producto],TablaProductos[Agrupación]=ProductosPivot!UVI5)</f>
        <v>#VALUE!</v>
      </c>
      <c r="UVJ6" s="68" t="e" cm="1" vm="1">
        <f t="array" ref="UVJ6">_xlfn._xlws.FILTER(TablaProductos[Nombre producto],TablaProductos[Agrupación]=ProductosPivot!UVJ5)</f>
        <v>#VALUE!</v>
      </c>
      <c r="UVK6" s="68" t="e" cm="1" vm="1">
        <f t="array" ref="UVK6">_xlfn._xlws.FILTER(TablaProductos[Nombre producto],TablaProductos[Agrupación]=ProductosPivot!UVK5)</f>
        <v>#VALUE!</v>
      </c>
      <c r="UVL6" s="68" t="e" cm="1" vm="1">
        <f t="array" ref="UVL6">_xlfn._xlws.FILTER(TablaProductos[Nombre producto],TablaProductos[Agrupación]=ProductosPivot!UVL5)</f>
        <v>#VALUE!</v>
      </c>
      <c r="UVM6" s="68" t="e" cm="1" vm="1">
        <f t="array" ref="UVM6">_xlfn._xlws.FILTER(TablaProductos[Nombre producto],TablaProductos[Agrupación]=ProductosPivot!UVM5)</f>
        <v>#VALUE!</v>
      </c>
      <c r="UVN6" s="68" t="e" cm="1" vm="1">
        <f t="array" ref="UVN6">_xlfn._xlws.FILTER(TablaProductos[Nombre producto],TablaProductos[Agrupación]=ProductosPivot!UVN5)</f>
        <v>#VALUE!</v>
      </c>
      <c r="UVO6" s="68" t="e" cm="1" vm="1">
        <f t="array" ref="UVO6">_xlfn._xlws.FILTER(TablaProductos[Nombre producto],TablaProductos[Agrupación]=ProductosPivot!UVO5)</f>
        <v>#VALUE!</v>
      </c>
      <c r="UVP6" s="68" t="e" cm="1" vm="1">
        <f t="array" ref="UVP6">_xlfn._xlws.FILTER(TablaProductos[Nombre producto],TablaProductos[Agrupación]=ProductosPivot!UVP5)</f>
        <v>#VALUE!</v>
      </c>
      <c r="UVQ6" s="68" t="e" cm="1" vm="1">
        <f t="array" ref="UVQ6">_xlfn._xlws.FILTER(TablaProductos[Nombre producto],TablaProductos[Agrupación]=ProductosPivot!UVQ5)</f>
        <v>#VALUE!</v>
      </c>
      <c r="UVR6" s="68" t="e" cm="1" vm="1">
        <f t="array" ref="UVR6">_xlfn._xlws.FILTER(TablaProductos[Nombre producto],TablaProductos[Agrupación]=ProductosPivot!UVR5)</f>
        <v>#VALUE!</v>
      </c>
      <c r="UVS6" s="68" t="e" cm="1" vm="1">
        <f t="array" ref="UVS6">_xlfn._xlws.FILTER(TablaProductos[Nombre producto],TablaProductos[Agrupación]=ProductosPivot!UVS5)</f>
        <v>#VALUE!</v>
      </c>
      <c r="UVT6" s="68" t="e" cm="1" vm="1">
        <f t="array" ref="UVT6">_xlfn._xlws.FILTER(TablaProductos[Nombre producto],TablaProductos[Agrupación]=ProductosPivot!UVT5)</f>
        <v>#VALUE!</v>
      </c>
      <c r="UVU6" s="68" t="e" cm="1" vm="1">
        <f t="array" ref="UVU6">_xlfn._xlws.FILTER(TablaProductos[Nombre producto],TablaProductos[Agrupación]=ProductosPivot!UVU5)</f>
        <v>#VALUE!</v>
      </c>
      <c r="UVV6" s="68" t="e" cm="1" vm="1">
        <f t="array" ref="UVV6">_xlfn._xlws.FILTER(TablaProductos[Nombre producto],TablaProductos[Agrupación]=ProductosPivot!UVV5)</f>
        <v>#VALUE!</v>
      </c>
      <c r="UVW6" s="68" t="e" cm="1" vm="1">
        <f t="array" ref="UVW6">_xlfn._xlws.FILTER(TablaProductos[Nombre producto],TablaProductos[Agrupación]=ProductosPivot!UVW5)</f>
        <v>#VALUE!</v>
      </c>
      <c r="UVX6" s="68" t="e" cm="1" vm="1">
        <f t="array" ref="UVX6">_xlfn._xlws.FILTER(TablaProductos[Nombre producto],TablaProductos[Agrupación]=ProductosPivot!UVX5)</f>
        <v>#VALUE!</v>
      </c>
      <c r="UVY6" s="68" t="e" cm="1" vm="1">
        <f t="array" ref="UVY6">_xlfn._xlws.FILTER(TablaProductos[Nombre producto],TablaProductos[Agrupación]=ProductosPivot!UVY5)</f>
        <v>#VALUE!</v>
      </c>
      <c r="UVZ6" s="68" t="e" cm="1" vm="1">
        <f t="array" ref="UVZ6">_xlfn._xlws.FILTER(TablaProductos[Nombre producto],TablaProductos[Agrupación]=ProductosPivot!UVZ5)</f>
        <v>#VALUE!</v>
      </c>
      <c r="UWA6" s="68" t="e" cm="1" vm="1">
        <f t="array" ref="UWA6">_xlfn._xlws.FILTER(TablaProductos[Nombre producto],TablaProductos[Agrupación]=ProductosPivot!UWA5)</f>
        <v>#VALUE!</v>
      </c>
      <c r="UWB6" s="68" t="e" cm="1" vm="1">
        <f t="array" ref="UWB6">_xlfn._xlws.FILTER(TablaProductos[Nombre producto],TablaProductos[Agrupación]=ProductosPivot!UWB5)</f>
        <v>#VALUE!</v>
      </c>
      <c r="UWC6" s="68" t="e" cm="1" vm="1">
        <f t="array" ref="UWC6">_xlfn._xlws.FILTER(TablaProductos[Nombre producto],TablaProductos[Agrupación]=ProductosPivot!UWC5)</f>
        <v>#VALUE!</v>
      </c>
      <c r="UWD6" s="68" t="e" cm="1" vm="1">
        <f t="array" ref="UWD6">_xlfn._xlws.FILTER(TablaProductos[Nombre producto],TablaProductos[Agrupación]=ProductosPivot!UWD5)</f>
        <v>#VALUE!</v>
      </c>
      <c r="UWE6" s="68" t="e" cm="1" vm="1">
        <f t="array" ref="UWE6">_xlfn._xlws.FILTER(TablaProductos[Nombre producto],TablaProductos[Agrupación]=ProductosPivot!UWE5)</f>
        <v>#VALUE!</v>
      </c>
      <c r="UWF6" s="68" t="e" cm="1" vm="1">
        <f t="array" ref="UWF6">_xlfn._xlws.FILTER(TablaProductos[Nombre producto],TablaProductos[Agrupación]=ProductosPivot!UWF5)</f>
        <v>#VALUE!</v>
      </c>
      <c r="UWG6" s="68" t="e" cm="1" vm="1">
        <f t="array" ref="UWG6">_xlfn._xlws.FILTER(TablaProductos[Nombre producto],TablaProductos[Agrupación]=ProductosPivot!UWG5)</f>
        <v>#VALUE!</v>
      </c>
      <c r="UWH6" s="68" t="e" cm="1" vm="1">
        <f t="array" ref="UWH6">_xlfn._xlws.FILTER(TablaProductos[Nombre producto],TablaProductos[Agrupación]=ProductosPivot!UWH5)</f>
        <v>#VALUE!</v>
      </c>
      <c r="UWI6" s="68" t="e" cm="1" vm="1">
        <f t="array" ref="UWI6">_xlfn._xlws.FILTER(TablaProductos[Nombre producto],TablaProductos[Agrupación]=ProductosPivot!UWI5)</f>
        <v>#VALUE!</v>
      </c>
      <c r="UWJ6" s="68" t="e" cm="1" vm="1">
        <f t="array" ref="UWJ6">_xlfn._xlws.FILTER(TablaProductos[Nombre producto],TablaProductos[Agrupación]=ProductosPivot!UWJ5)</f>
        <v>#VALUE!</v>
      </c>
      <c r="UWK6" s="68" t="e" cm="1" vm="1">
        <f t="array" ref="UWK6">_xlfn._xlws.FILTER(TablaProductos[Nombre producto],TablaProductos[Agrupación]=ProductosPivot!UWK5)</f>
        <v>#VALUE!</v>
      </c>
      <c r="UWL6" s="68" t="e" cm="1" vm="1">
        <f t="array" ref="UWL6">_xlfn._xlws.FILTER(TablaProductos[Nombre producto],TablaProductos[Agrupación]=ProductosPivot!UWL5)</f>
        <v>#VALUE!</v>
      </c>
      <c r="UWM6" s="68" t="e" cm="1" vm="1">
        <f t="array" ref="UWM6">_xlfn._xlws.FILTER(TablaProductos[Nombre producto],TablaProductos[Agrupación]=ProductosPivot!UWM5)</f>
        <v>#VALUE!</v>
      </c>
      <c r="UWN6" s="68" t="e" cm="1" vm="1">
        <f t="array" ref="UWN6">_xlfn._xlws.FILTER(TablaProductos[Nombre producto],TablaProductos[Agrupación]=ProductosPivot!UWN5)</f>
        <v>#VALUE!</v>
      </c>
      <c r="UWO6" s="68" t="e" cm="1" vm="1">
        <f t="array" ref="UWO6">_xlfn._xlws.FILTER(TablaProductos[Nombre producto],TablaProductos[Agrupación]=ProductosPivot!UWO5)</f>
        <v>#VALUE!</v>
      </c>
      <c r="UWP6" s="68" t="e" cm="1" vm="1">
        <f t="array" ref="UWP6">_xlfn._xlws.FILTER(TablaProductos[Nombre producto],TablaProductos[Agrupación]=ProductosPivot!UWP5)</f>
        <v>#VALUE!</v>
      </c>
      <c r="UWQ6" s="68" t="e" cm="1" vm="1">
        <f t="array" ref="UWQ6">_xlfn._xlws.FILTER(TablaProductos[Nombre producto],TablaProductos[Agrupación]=ProductosPivot!UWQ5)</f>
        <v>#VALUE!</v>
      </c>
      <c r="UWR6" s="68" t="e" cm="1" vm="1">
        <f t="array" ref="UWR6">_xlfn._xlws.FILTER(TablaProductos[Nombre producto],TablaProductos[Agrupación]=ProductosPivot!UWR5)</f>
        <v>#VALUE!</v>
      </c>
      <c r="UWS6" s="68" t="e" cm="1" vm="1">
        <f t="array" ref="UWS6">_xlfn._xlws.FILTER(TablaProductos[Nombre producto],TablaProductos[Agrupación]=ProductosPivot!UWS5)</f>
        <v>#VALUE!</v>
      </c>
      <c r="UWT6" s="68" t="e" cm="1" vm="1">
        <f t="array" ref="UWT6">_xlfn._xlws.FILTER(TablaProductos[Nombre producto],TablaProductos[Agrupación]=ProductosPivot!UWT5)</f>
        <v>#VALUE!</v>
      </c>
      <c r="UWU6" s="68" t="e" cm="1" vm="1">
        <f t="array" ref="UWU6">_xlfn._xlws.FILTER(TablaProductos[Nombre producto],TablaProductos[Agrupación]=ProductosPivot!UWU5)</f>
        <v>#VALUE!</v>
      </c>
      <c r="UWV6" s="68" t="e" cm="1" vm="1">
        <f t="array" ref="UWV6">_xlfn._xlws.FILTER(TablaProductos[Nombre producto],TablaProductos[Agrupación]=ProductosPivot!UWV5)</f>
        <v>#VALUE!</v>
      </c>
      <c r="UWW6" s="68" t="e" cm="1" vm="1">
        <f t="array" ref="UWW6">_xlfn._xlws.FILTER(TablaProductos[Nombre producto],TablaProductos[Agrupación]=ProductosPivot!UWW5)</f>
        <v>#VALUE!</v>
      </c>
      <c r="UWX6" s="68" t="e" cm="1" vm="1">
        <f t="array" ref="UWX6">_xlfn._xlws.FILTER(TablaProductos[Nombre producto],TablaProductos[Agrupación]=ProductosPivot!UWX5)</f>
        <v>#VALUE!</v>
      </c>
      <c r="UWY6" s="68" t="e" cm="1" vm="1">
        <f t="array" ref="UWY6">_xlfn._xlws.FILTER(TablaProductos[Nombre producto],TablaProductos[Agrupación]=ProductosPivot!UWY5)</f>
        <v>#VALUE!</v>
      </c>
      <c r="UWZ6" s="68" t="e" cm="1" vm="1">
        <f t="array" ref="UWZ6">_xlfn._xlws.FILTER(TablaProductos[Nombre producto],TablaProductos[Agrupación]=ProductosPivot!UWZ5)</f>
        <v>#VALUE!</v>
      </c>
      <c r="UXA6" s="68" t="e" cm="1" vm="1">
        <f t="array" ref="UXA6">_xlfn._xlws.FILTER(TablaProductos[Nombre producto],TablaProductos[Agrupación]=ProductosPivot!UXA5)</f>
        <v>#VALUE!</v>
      </c>
      <c r="UXB6" s="68" t="e" cm="1" vm="1">
        <f t="array" ref="UXB6">_xlfn._xlws.FILTER(TablaProductos[Nombre producto],TablaProductos[Agrupación]=ProductosPivot!UXB5)</f>
        <v>#VALUE!</v>
      </c>
      <c r="UXC6" s="68" t="e" cm="1" vm="1">
        <f t="array" ref="UXC6">_xlfn._xlws.FILTER(TablaProductos[Nombre producto],TablaProductos[Agrupación]=ProductosPivot!UXC5)</f>
        <v>#VALUE!</v>
      </c>
      <c r="UXD6" s="68" t="e" cm="1" vm="1">
        <f t="array" ref="UXD6">_xlfn._xlws.FILTER(TablaProductos[Nombre producto],TablaProductos[Agrupación]=ProductosPivot!UXD5)</f>
        <v>#VALUE!</v>
      </c>
      <c r="UXE6" s="68" t="e" cm="1" vm="1">
        <f t="array" ref="UXE6">_xlfn._xlws.FILTER(TablaProductos[Nombre producto],TablaProductos[Agrupación]=ProductosPivot!UXE5)</f>
        <v>#VALUE!</v>
      </c>
      <c r="UXF6" s="68" t="e" cm="1" vm="1">
        <f t="array" ref="UXF6">_xlfn._xlws.FILTER(TablaProductos[Nombre producto],TablaProductos[Agrupación]=ProductosPivot!UXF5)</f>
        <v>#VALUE!</v>
      </c>
      <c r="UXG6" s="68" t="e" cm="1" vm="1">
        <f t="array" ref="UXG6">_xlfn._xlws.FILTER(TablaProductos[Nombre producto],TablaProductos[Agrupación]=ProductosPivot!UXG5)</f>
        <v>#VALUE!</v>
      </c>
      <c r="UXH6" s="68" t="e" cm="1" vm="1">
        <f t="array" ref="UXH6">_xlfn._xlws.FILTER(TablaProductos[Nombre producto],TablaProductos[Agrupación]=ProductosPivot!UXH5)</f>
        <v>#VALUE!</v>
      </c>
      <c r="UXI6" s="68" t="e" cm="1" vm="1">
        <f t="array" ref="UXI6">_xlfn._xlws.FILTER(TablaProductos[Nombre producto],TablaProductos[Agrupación]=ProductosPivot!UXI5)</f>
        <v>#VALUE!</v>
      </c>
      <c r="UXJ6" s="68" t="e" cm="1" vm="1">
        <f t="array" ref="UXJ6">_xlfn._xlws.FILTER(TablaProductos[Nombre producto],TablaProductos[Agrupación]=ProductosPivot!UXJ5)</f>
        <v>#VALUE!</v>
      </c>
      <c r="UXK6" s="68" t="e" cm="1" vm="1">
        <f t="array" ref="UXK6">_xlfn._xlws.FILTER(TablaProductos[Nombre producto],TablaProductos[Agrupación]=ProductosPivot!UXK5)</f>
        <v>#VALUE!</v>
      </c>
      <c r="UXL6" s="68" t="e" cm="1" vm="1">
        <f t="array" ref="UXL6">_xlfn._xlws.FILTER(TablaProductos[Nombre producto],TablaProductos[Agrupación]=ProductosPivot!UXL5)</f>
        <v>#VALUE!</v>
      </c>
      <c r="UXM6" s="68" t="e" cm="1" vm="1">
        <f t="array" ref="UXM6">_xlfn._xlws.FILTER(TablaProductos[Nombre producto],TablaProductos[Agrupación]=ProductosPivot!UXM5)</f>
        <v>#VALUE!</v>
      </c>
      <c r="UXN6" s="68" t="e" cm="1" vm="1">
        <f t="array" ref="UXN6">_xlfn._xlws.FILTER(TablaProductos[Nombre producto],TablaProductos[Agrupación]=ProductosPivot!UXN5)</f>
        <v>#VALUE!</v>
      </c>
      <c r="UXO6" s="68" t="e" cm="1" vm="1">
        <f t="array" ref="UXO6">_xlfn._xlws.FILTER(TablaProductos[Nombre producto],TablaProductos[Agrupación]=ProductosPivot!UXO5)</f>
        <v>#VALUE!</v>
      </c>
      <c r="UXP6" s="68" t="e" cm="1" vm="1">
        <f t="array" ref="UXP6">_xlfn._xlws.FILTER(TablaProductos[Nombre producto],TablaProductos[Agrupación]=ProductosPivot!UXP5)</f>
        <v>#VALUE!</v>
      </c>
      <c r="UXQ6" s="68" t="e" cm="1" vm="1">
        <f t="array" ref="UXQ6">_xlfn._xlws.FILTER(TablaProductos[Nombre producto],TablaProductos[Agrupación]=ProductosPivot!UXQ5)</f>
        <v>#VALUE!</v>
      </c>
      <c r="UXR6" s="68" t="e" cm="1" vm="1">
        <f t="array" ref="UXR6">_xlfn._xlws.FILTER(TablaProductos[Nombre producto],TablaProductos[Agrupación]=ProductosPivot!UXR5)</f>
        <v>#VALUE!</v>
      </c>
      <c r="UXS6" s="68" t="e" cm="1" vm="1">
        <f t="array" ref="UXS6">_xlfn._xlws.FILTER(TablaProductos[Nombre producto],TablaProductos[Agrupación]=ProductosPivot!UXS5)</f>
        <v>#VALUE!</v>
      </c>
      <c r="UXT6" s="68" t="e" cm="1" vm="1">
        <f t="array" ref="UXT6">_xlfn._xlws.FILTER(TablaProductos[Nombre producto],TablaProductos[Agrupación]=ProductosPivot!UXT5)</f>
        <v>#VALUE!</v>
      </c>
      <c r="UXU6" s="68" t="e" cm="1" vm="1">
        <f t="array" ref="UXU6">_xlfn._xlws.FILTER(TablaProductos[Nombre producto],TablaProductos[Agrupación]=ProductosPivot!UXU5)</f>
        <v>#VALUE!</v>
      </c>
      <c r="UXV6" s="68" t="e" cm="1" vm="1">
        <f t="array" ref="UXV6">_xlfn._xlws.FILTER(TablaProductos[Nombre producto],TablaProductos[Agrupación]=ProductosPivot!UXV5)</f>
        <v>#VALUE!</v>
      </c>
      <c r="UXW6" s="68" t="e" cm="1" vm="1">
        <f t="array" ref="UXW6">_xlfn._xlws.FILTER(TablaProductos[Nombre producto],TablaProductos[Agrupación]=ProductosPivot!UXW5)</f>
        <v>#VALUE!</v>
      </c>
      <c r="UXX6" s="68" t="e" cm="1" vm="1">
        <f t="array" ref="UXX6">_xlfn._xlws.FILTER(TablaProductos[Nombre producto],TablaProductos[Agrupación]=ProductosPivot!UXX5)</f>
        <v>#VALUE!</v>
      </c>
      <c r="UXY6" s="68" t="e" cm="1" vm="1">
        <f t="array" ref="UXY6">_xlfn._xlws.FILTER(TablaProductos[Nombre producto],TablaProductos[Agrupación]=ProductosPivot!UXY5)</f>
        <v>#VALUE!</v>
      </c>
      <c r="UXZ6" s="68" t="e" cm="1" vm="1">
        <f t="array" ref="UXZ6">_xlfn._xlws.FILTER(TablaProductos[Nombre producto],TablaProductos[Agrupación]=ProductosPivot!UXZ5)</f>
        <v>#VALUE!</v>
      </c>
      <c r="UYA6" s="68" t="e" cm="1" vm="1">
        <f t="array" ref="UYA6">_xlfn._xlws.FILTER(TablaProductos[Nombre producto],TablaProductos[Agrupación]=ProductosPivot!UYA5)</f>
        <v>#VALUE!</v>
      </c>
      <c r="UYB6" s="68" t="e" cm="1" vm="1">
        <f t="array" ref="UYB6">_xlfn._xlws.FILTER(TablaProductos[Nombre producto],TablaProductos[Agrupación]=ProductosPivot!UYB5)</f>
        <v>#VALUE!</v>
      </c>
      <c r="UYC6" s="68" t="e" cm="1" vm="1">
        <f t="array" ref="UYC6">_xlfn._xlws.FILTER(TablaProductos[Nombre producto],TablaProductos[Agrupación]=ProductosPivot!UYC5)</f>
        <v>#VALUE!</v>
      </c>
      <c r="UYD6" s="68" t="e" cm="1" vm="1">
        <f t="array" ref="UYD6">_xlfn._xlws.FILTER(TablaProductos[Nombre producto],TablaProductos[Agrupación]=ProductosPivot!UYD5)</f>
        <v>#VALUE!</v>
      </c>
      <c r="UYE6" s="68" t="e" cm="1" vm="1">
        <f t="array" ref="UYE6">_xlfn._xlws.FILTER(TablaProductos[Nombre producto],TablaProductos[Agrupación]=ProductosPivot!UYE5)</f>
        <v>#VALUE!</v>
      </c>
      <c r="UYF6" s="68" t="e" cm="1" vm="1">
        <f t="array" ref="UYF6">_xlfn._xlws.FILTER(TablaProductos[Nombre producto],TablaProductos[Agrupación]=ProductosPivot!UYF5)</f>
        <v>#VALUE!</v>
      </c>
      <c r="UYG6" s="68" t="e" cm="1" vm="1">
        <f t="array" ref="UYG6">_xlfn._xlws.FILTER(TablaProductos[Nombre producto],TablaProductos[Agrupación]=ProductosPivot!UYG5)</f>
        <v>#VALUE!</v>
      </c>
      <c r="UYH6" s="68" t="e" cm="1" vm="1">
        <f t="array" ref="UYH6">_xlfn._xlws.FILTER(TablaProductos[Nombre producto],TablaProductos[Agrupación]=ProductosPivot!UYH5)</f>
        <v>#VALUE!</v>
      </c>
      <c r="UYI6" s="68" t="e" cm="1" vm="1">
        <f t="array" ref="UYI6">_xlfn._xlws.FILTER(TablaProductos[Nombre producto],TablaProductos[Agrupación]=ProductosPivot!UYI5)</f>
        <v>#VALUE!</v>
      </c>
      <c r="UYJ6" s="68" t="e" cm="1" vm="1">
        <f t="array" ref="UYJ6">_xlfn._xlws.FILTER(TablaProductos[Nombre producto],TablaProductos[Agrupación]=ProductosPivot!UYJ5)</f>
        <v>#VALUE!</v>
      </c>
      <c r="UYK6" s="68" t="e" cm="1" vm="1">
        <f t="array" ref="UYK6">_xlfn._xlws.FILTER(TablaProductos[Nombre producto],TablaProductos[Agrupación]=ProductosPivot!UYK5)</f>
        <v>#VALUE!</v>
      </c>
      <c r="UYL6" s="68" t="e" cm="1" vm="1">
        <f t="array" ref="UYL6">_xlfn._xlws.FILTER(TablaProductos[Nombre producto],TablaProductos[Agrupación]=ProductosPivot!UYL5)</f>
        <v>#VALUE!</v>
      </c>
      <c r="UYM6" s="68" t="e" cm="1" vm="1">
        <f t="array" ref="UYM6">_xlfn._xlws.FILTER(TablaProductos[Nombre producto],TablaProductos[Agrupación]=ProductosPivot!UYM5)</f>
        <v>#VALUE!</v>
      </c>
      <c r="UYN6" s="68" t="e" cm="1" vm="1">
        <f t="array" ref="UYN6">_xlfn._xlws.FILTER(TablaProductos[Nombre producto],TablaProductos[Agrupación]=ProductosPivot!UYN5)</f>
        <v>#VALUE!</v>
      </c>
      <c r="UYO6" s="68" t="e" cm="1" vm="1">
        <f t="array" ref="UYO6">_xlfn._xlws.FILTER(TablaProductos[Nombre producto],TablaProductos[Agrupación]=ProductosPivot!UYO5)</f>
        <v>#VALUE!</v>
      </c>
      <c r="UYP6" s="68" t="e" cm="1" vm="1">
        <f t="array" ref="UYP6">_xlfn._xlws.FILTER(TablaProductos[Nombre producto],TablaProductos[Agrupación]=ProductosPivot!UYP5)</f>
        <v>#VALUE!</v>
      </c>
      <c r="UYQ6" s="68" t="e" cm="1" vm="1">
        <f t="array" ref="UYQ6">_xlfn._xlws.FILTER(TablaProductos[Nombre producto],TablaProductos[Agrupación]=ProductosPivot!UYQ5)</f>
        <v>#VALUE!</v>
      </c>
      <c r="UYR6" s="68" t="e" cm="1" vm="1">
        <f t="array" ref="UYR6">_xlfn._xlws.FILTER(TablaProductos[Nombre producto],TablaProductos[Agrupación]=ProductosPivot!UYR5)</f>
        <v>#VALUE!</v>
      </c>
      <c r="UYS6" s="68" t="e" cm="1" vm="1">
        <f t="array" ref="UYS6">_xlfn._xlws.FILTER(TablaProductos[Nombre producto],TablaProductos[Agrupación]=ProductosPivot!UYS5)</f>
        <v>#VALUE!</v>
      </c>
      <c r="UYT6" s="68" t="e" cm="1" vm="1">
        <f t="array" ref="UYT6">_xlfn._xlws.FILTER(TablaProductos[Nombre producto],TablaProductos[Agrupación]=ProductosPivot!UYT5)</f>
        <v>#VALUE!</v>
      </c>
      <c r="UYU6" s="68" t="e" cm="1" vm="1">
        <f t="array" ref="UYU6">_xlfn._xlws.FILTER(TablaProductos[Nombre producto],TablaProductos[Agrupación]=ProductosPivot!UYU5)</f>
        <v>#VALUE!</v>
      </c>
      <c r="UYV6" s="68" t="e" cm="1" vm="1">
        <f t="array" ref="UYV6">_xlfn._xlws.FILTER(TablaProductos[Nombre producto],TablaProductos[Agrupación]=ProductosPivot!UYV5)</f>
        <v>#VALUE!</v>
      </c>
      <c r="UYW6" s="68" t="e" cm="1" vm="1">
        <f t="array" ref="UYW6">_xlfn._xlws.FILTER(TablaProductos[Nombre producto],TablaProductos[Agrupación]=ProductosPivot!UYW5)</f>
        <v>#VALUE!</v>
      </c>
      <c r="UYX6" s="68" t="e" cm="1" vm="1">
        <f t="array" ref="UYX6">_xlfn._xlws.FILTER(TablaProductos[Nombre producto],TablaProductos[Agrupación]=ProductosPivot!UYX5)</f>
        <v>#VALUE!</v>
      </c>
      <c r="UYY6" s="68" t="e" cm="1" vm="1">
        <f t="array" ref="UYY6">_xlfn._xlws.FILTER(TablaProductos[Nombre producto],TablaProductos[Agrupación]=ProductosPivot!UYY5)</f>
        <v>#VALUE!</v>
      </c>
      <c r="UYZ6" s="68" t="e" cm="1" vm="1">
        <f t="array" ref="UYZ6">_xlfn._xlws.FILTER(TablaProductos[Nombre producto],TablaProductos[Agrupación]=ProductosPivot!UYZ5)</f>
        <v>#VALUE!</v>
      </c>
      <c r="UZA6" s="68" t="e" cm="1" vm="1">
        <f t="array" ref="UZA6">_xlfn._xlws.FILTER(TablaProductos[Nombre producto],TablaProductos[Agrupación]=ProductosPivot!UZA5)</f>
        <v>#VALUE!</v>
      </c>
      <c r="UZB6" s="68" t="e" cm="1" vm="1">
        <f t="array" ref="UZB6">_xlfn._xlws.FILTER(TablaProductos[Nombre producto],TablaProductos[Agrupación]=ProductosPivot!UZB5)</f>
        <v>#VALUE!</v>
      </c>
      <c r="UZC6" s="68" t="e" cm="1" vm="1">
        <f t="array" ref="UZC6">_xlfn._xlws.FILTER(TablaProductos[Nombre producto],TablaProductos[Agrupación]=ProductosPivot!UZC5)</f>
        <v>#VALUE!</v>
      </c>
      <c r="UZD6" s="68" t="e" cm="1" vm="1">
        <f t="array" ref="UZD6">_xlfn._xlws.FILTER(TablaProductos[Nombre producto],TablaProductos[Agrupación]=ProductosPivot!UZD5)</f>
        <v>#VALUE!</v>
      </c>
      <c r="UZE6" s="68" t="e" cm="1" vm="1">
        <f t="array" ref="UZE6">_xlfn._xlws.FILTER(TablaProductos[Nombre producto],TablaProductos[Agrupación]=ProductosPivot!UZE5)</f>
        <v>#VALUE!</v>
      </c>
      <c r="UZF6" s="68" t="e" cm="1" vm="1">
        <f t="array" ref="UZF6">_xlfn._xlws.FILTER(TablaProductos[Nombre producto],TablaProductos[Agrupación]=ProductosPivot!UZF5)</f>
        <v>#VALUE!</v>
      </c>
      <c r="UZG6" s="68" t="e" cm="1" vm="1">
        <f t="array" ref="UZG6">_xlfn._xlws.FILTER(TablaProductos[Nombre producto],TablaProductos[Agrupación]=ProductosPivot!UZG5)</f>
        <v>#VALUE!</v>
      </c>
      <c r="UZH6" s="68" t="e" cm="1" vm="1">
        <f t="array" ref="UZH6">_xlfn._xlws.FILTER(TablaProductos[Nombre producto],TablaProductos[Agrupación]=ProductosPivot!UZH5)</f>
        <v>#VALUE!</v>
      </c>
      <c r="UZI6" s="68" t="e" cm="1" vm="1">
        <f t="array" ref="UZI6">_xlfn._xlws.FILTER(TablaProductos[Nombre producto],TablaProductos[Agrupación]=ProductosPivot!UZI5)</f>
        <v>#VALUE!</v>
      </c>
      <c r="UZJ6" s="68" t="e" cm="1" vm="1">
        <f t="array" ref="UZJ6">_xlfn._xlws.FILTER(TablaProductos[Nombre producto],TablaProductos[Agrupación]=ProductosPivot!UZJ5)</f>
        <v>#VALUE!</v>
      </c>
      <c r="UZK6" s="68" t="e" cm="1" vm="1">
        <f t="array" ref="UZK6">_xlfn._xlws.FILTER(TablaProductos[Nombre producto],TablaProductos[Agrupación]=ProductosPivot!UZK5)</f>
        <v>#VALUE!</v>
      </c>
      <c r="UZL6" s="68" t="e" cm="1" vm="1">
        <f t="array" ref="UZL6">_xlfn._xlws.FILTER(TablaProductos[Nombre producto],TablaProductos[Agrupación]=ProductosPivot!UZL5)</f>
        <v>#VALUE!</v>
      </c>
      <c r="UZM6" s="68" t="e" cm="1" vm="1">
        <f t="array" ref="UZM6">_xlfn._xlws.FILTER(TablaProductos[Nombre producto],TablaProductos[Agrupación]=ProductosPivot!UZM5)</f>
        <v>#VALUE!</v>
      </c>
      <c r="UZN6" s="68" t="e" cm="1" vm="1">
        <f t="array" ref="UZN6">_xlfn._xlws.FILTER(TablaProductos[Nombre producto],TablaProductos[Agrupación]=ProductosPivot!UZN5)</f>
        <v>#VALUE!</v>
      </c>
      <c r="UZO6" s="68" t="e" cm="1" vm="1">
        <f t="array" ref="UZO6">_xlfn._xlws.FILTER(TablaProductos[Nombre producto],TablaProductos[Agrupación]=ProductosPivot!UZO5)</f>
        <v>#VALUE!</v>
      </c>
      <c r="UZP6" s="68" t="e" cm="1" vm="1">
        <f t="array" ref="UZP6">_xlfn._xlws.FILTER(TablaProductos[Nombre producto],TablaProductos[Agrupación]=ProductosPivot!UZP5)</f>
        <v>#VALUE!</v>
      </c>
      <c r="UZQ6" s="68" t="e" cm="1" vm="1">
        <f t="array" ref="UZQ6">_xlfn._xlws.FILTER(TablaProductos[Nombre producto],TablaProductos[Agrupación]=ProductosPivot!UZQ5)</f>
        <v>#VALUE!</v>
      </c>
      <c r="UZR6" s="68" t="e" cm="1" vm="1">
        <f t="array" ref="UZR6">_xlfn._xlws.FILTER(TablaProductos[Nombre producto],TablaProductos[Agrupación]=ProductosPivot!UZR5)</f>
        <v>#VALUE!</v>
      </c>
      <c r="UZS6" s="68" t="e" cm="1" vm="1">
        <f t="array" ref="UZS6">_xlfn._xlws.FILTER(TablaProductos[Nombre producto],TablaProductos[Agrupación]=ProductosPivot!UZS5)</f>
        <v>#VALUE!</v>
      </c>
      <c r="UZT6" s="68" t="e" cm="1" vm="1">
        <f t="array" ref="UZT6">_xlfn._xlws.FILTER(TablaProductos[Nombre producto],TablaProductos[Agrupación]=ProductosPivot!UZT5)</f>
        <v>#VALUE!</v>
      </c>
      <c r="UZU6" s="68" t="e" cm="1" vm="1">
        <f t="array" ref="UZU6">_xlfn._xlws.FILTER(TablaProductos[Nombre producto],TablaProductos[Agrupación]=ProductosPivot!UZU5)</f>
        <v>#VALUE!</v>
      </c>
      <c r="UZV6" s="68" t="e" cm="1" vm="1">
        <f t="array" ref="UZV6">_xlfn._xlws.FILTER(TablaProductos[Nombre producto],TablaProductos[Agrupación]=ProductosPivot!UZV5)</f>
        <v>#VALUE!</v>
      </c>
      <c r="UZW6" s="68" t="e" cm="1" vm="1">
        <f t="array" ref="UZW6">_xlfn._xlws.FILTER(TablaProductos[Nombre producto],TablaProductos[Agrupación]=ProductosPivot!UZW5)</f>
        <v>#VALUE!</v>
      </c>
      <c r="UZX6" s="68" t="e" cm="1" vm="1">
        <f t="array" ref="UZX6">_xlfn._xlws.FILTER(TablaProductos[Nombre producto],TablaProductos[Agrupación]=ProductosPivot!UZX5)</f>
        <v>#VALUE!</v>
      </c>
      <c r="UZY6" s="68" t="e" cm="1" vm="1">
        <f t="array" ref="UZY6">_xlfn._xlws.FILTER(TablaProductos[Nombre producto],TablaProductos[Agrupación]=ProductosPivot!UZY5)</f>
        <v>#VALUE!</v>
      </c>
      <c r="UZZ6" s="68" t="e" cm="1" vm="1">
        <f t="array" ref="UZZ6">_xlfn._xlws.FILTER(TablaProductos[Nombre producto],TablaProductos[Agrupación]=ProductosPivot!UZZ5)</f>
        <v>#VALUE!</v>
      </c>
      <c r="VAA6" s="68" t="e" cm="1" vm="1">
        <f t="array" ref="VAA6">_xlfn._xlws.FILTER(TablaProductos[Nombre producto],TablaProductos[Agrupación]=ProductosPivot!VAA5)</f>
        <v>#VALUE!</v>
      </c>
      <c r="VAB6" s="68" t="e" cm="1" vm="1">
        <f t="array" ref="VAB6">_xlfn._xlws.FILTER(TablaProductos[Nombre producto],TablaProductos[Agrupación]=ProductosPivot!VAB5)</f>
        <v>#VALUE!</v>
      </c>
      <c r="VAC6" s="68" t="e" cm="1" vm="1">
        <f t="array" ref="VAC6">_xlfn._xlws.FILTER(TablaProductos[Nombre producto],TablaProductos[Agrupación]=ProductosPivot!VAC5)</f>
        <v>#VALUE!</v>
      </c>
      <c r="VAD6" s="68" t="e" cm="1" vm="1">
        <f t="array" ref="VAD6">_xlfn._xlws.FILTER(TablaProductos[Nombre producto],TablaProductos[Agrupación]=ProductosPivot!VAD5)</f>
        <v>#VALUE!</v>
      </c>
      <c r="VAE6" s="68" t="e" cm="1" vm="1">
        <f t="array" ref="VAE6">_xlfn._xlws.FILTER(TablaProductos[Nombre producto],TablaProductos[Agrupación]=ProductosPivot!VAE5)</f>
        <v>#VALUE!</v>
      </c>
      <c r="VAF6" s="68" t="e" cm="1" vm="1">
        <f t="array" ref="VAF6">_xlfn._xlws.FILTER(TablaProductos[Nombre producto],TablaProductos[Agrupación]=ProductosPivot!VAF5)</f>
        <v>#VALUE!</v>
      </c>
      <c r="VAG6" s="68" t="e" cm="1" vm="1">
        <f t="array" ref="VAG6">_xlfn._xlws.FILTER(TablaProductos[Nombre producto],TablaProductos[Agrupación]=ProductosPivot!VAG5)</f>
        <v>#VALUE!</v>
      </c>
      <c r="VAH6" s="68" t="e" cm="1" vm="1">
        <f t="array" ref="VAH6">_xlfn._xlws.FILTER(TablaProductos[Nombre producto],TablaProductos[Agrupación]=ProductosPivot!VAH5)</f>
        <v>#VALUE!</v>
      </c>
      <c r="VAI6" s="68" t="e" cm="1" vm="1">
        <f t="array" ref="VAI6">_xlfn._xlws.FILTER(TablaProductos[Nombre producto],TablaProductos[Agrupación]=ProductosPivot!VAI5)</f>
        <v>#VALUE!</v>
      </c>
      <c r="VAJ6" s="68" t="e" cm="1" vm="1">
        <f t="array" ref="VAJ6">_xlfn._xlws.FILTER(TablaProductos[Nombre producto],TablaProductos[Agrupación]=ProductosPivot!VAJ5)</f>
        <v>#VALUE!</v>
      </c>
      <c r="VAK6" s="68" t="e" cm="1" vm="1">
        <f t="array" ref="VAK6">_xlfn._xlws.FILTER(TablaProductos[Nombre producto],TablaProductos[Agrupación]=ProductosPivot!VAK5)</f>
        <v>#VALUE!</v>
      </c>
      <c r="VAL6" s="68" t="e" cm="1" vm="1">
        <f t="array" ref="VAL6">_xlfn._xlws.FILTER(TablaProductos[Nombre producto],TablaProductos[Agrupación]=ProductosPivot!VAL5)</f>
        <v>#VALUE!</v>
      </c>
      <c r="VAM6" s="68" t="e" cm="1" vm="1">
        <f t="array" ref="VAM6">_xlfn._xlws.FILTER(TablaProductos[Nombre producto],TablaProductos[Agrupación]=ProductosPivot!VAM5)</f>
        <v>#VALUE!</v>
      </c>
      <c r="VAN6" s="68" t="e" cm="1" vm="1">
        <f t="array" ref="VAN6">_xlfn._xlws.FILTER(TablaProductos[Nombre producto],TablaProductos[Agrupación]=ProductosPivot!VAN5)</f>
        <v>#VALUE!</v>
      </c>
      <c r="VAO6" s="68" t="e" cm="1" vm="1">
        <f t="array" ref="VAO6">_xlfn._xlws.FILTER(TablaProductos[Nombre producto],TablaProductos[Agrupación]=ProductosPivot!VAO5)</f>
        <v>#VALUE!</v>
      </c>
      <c r="VAP6" s="68" t="e" cm="1" vm="1">
        <f t="array" ref="VAP6">_xlfn._xlws.FILTER(TablaProductos[Nombre producto],TablaProductos[Agrupación]=ProductosPivot!VAP5)</f>
        <v>#VALUE!</v>
      </c>
      <c r="VAQ6" s="68" t="e" cm="1" vm="1">
        <f t="array" ref="VAQ6">_xlfn._xlws.FILTER(TablaProductos[Nombre producto],TablaProductos[Agrupación]=ProductosPivot!VAQ5)</f>
        <v>#VALUE!</v>
      </c>
      <c r="VAR6" s="68" t="e" cm="1" vm="1">
        <f t="array" ref="VAR6">_xlfn._xlws.FILTER(TablaProductos[Nombre producto],TablaProductos[Agrupación]=ProductosPivot!VAR5)</f>
        <v>#VALUE!</v>
      </c>
      <c r="VAS6" s="68" t="e" cm="1" vm="1">
        <f t="array" ref="VAS6">_xlfn._xlws.FILTER(TablaProductos[Nombre producto],TablaProductos[Agrupación]=ProductosPivot!VAS5)</f>
        <v>#VALUE!</v>
      </c>
      <c r="VAT6" s="68" t="e" cm="1" vm="1">
        <f t="array" ref="VAT6">_xlfn._xlws.FILTER(TablaProductos[Nombre producto],TablaProductos[Agrupación]=ProductosPivot!VAT5)</f>
        <v>#VALUE!</v>
      </c>
      <c r="VAU6" s="68" t="e" cm="1" vm="1">
        <f t="array" ref="VAU6">_xlfn._xlws.FILTER(TablaProductos[Nombre producto],TablaProductos[Agrupación]=ProductosPivot!VAU5)</f>
        <v>#VALUE!</v>
      </c>
      <c r="VAV6" s="68" t="e" cm="1" vm="1">
        <f t="array" ref="VAV6">_xlfn._xlws.FILTER(TablaProductos[Nombre producto],TablaProductos[Agrupación]=ProductosPivot!VAV5)</f>
        <v>#VALUE!</v>
      </c>
      <c r="VAW6" s="68" t="e" cm="1" vm="1">
        <f t="array" ref="VAW6">_xlfn._xlws.FILTER(TablaProductos[Nombre producto],TablaProductos[Agrupación]=ProductosPivot!VAW5)</f>
        <v>#VALUE!</v>
      </c>
      <c r="VAX6" s="68" t="e" cm="1" vm="1">
        <f t="array" ref="VAX6">_xlfn._xlws.FILTER(TablaProductos[Nombre producto],TablaProductos[Agrupación]=ProductosPivot!VAX5)</f>
        <v>#VALUE!</v>
      </c>
      <c r="VAY6" s="68" t="e" cm="1" vm="1">
        <f t="array" ref="VAY6">_xlfn._xlws.FILTER(TablaProductos[Nombre producto],TablaProductos[Agrupación]=ProductosPivot!VAY5)</f>
        <v>#VALUE!</v>
      </c>
      <c r="VAZ6" s="68" t="e" cm="1" vm="1">
        <f t="array" ref="VAZ6">_xlfn._xlws.FILTER(TablaProductos[Nombre producto],TablaProductos[Agrupación]=ProductosPivot!VAZ5)</f>
        <v>#VALUE!</v>
      </c>
      <c r="VBA6" s="68" t="e" cm="1" vm="1">
        <f t="array" ref="VBA6">_xlfn._xlws.FILTER(TablaProductos[Nombre producto],TablaProductos[Agrupación]=ProductosPivot!VBA5)</f>
        <v>#VALUE!</v>
      </c>
      <c r="VBB6" s="68" t="e" cm="1" vm="1">
        <f t="array" ref="VBB6">_xlfn._xlws.FILTER(TablaProductos[Nombre producto],TablaProductos[Agrupación]=ProductosPivot!VBB5)</f>
        <v>#VALUE!</v>
      </c>
      <c r="VBC6" s="68" t="e" cm="1" vm="1">
        <f t="array" ref="VBC6">_xlfn._xlws.FILTER(TablaProductos[Nombre producto],TablaProductos[Agrupación]=ProductosPivot!VBC5)</f>
        <v>#VALUE!</v>
      </c>
      <c r="VBD6" s="68" t="e" cm="1" vm="1">
        <f t="array" ref="VBD6">_xlfn._xlws.FILTER(TablaProductos[Nombre producto],TablaProductos[Agrupación]=ProductosPivot!VBD5)</f>
        <v>#VALUE!</v>
      </c>
      <c r="VBE6" s="68" t="e" cm="1" vm="1">
        <f t="array" ref="VBE6">_xlfn._xlws.FILTER(TablaProductos[Nombre producto],TablaProductos[Agrupación]=ProductosPivot!VBE5)</f>
        <v>#VALUE!</v>
      </c>
      <c r="VBF6" s="68" t="e" cm="1" vm="1">
        <f t="array" ref="VBF6">_xlfn._xlws.FILTER(TablaProductos[Nombre producto],TablaProductos[Agrupación]=ProductosPivot!VBF5)</f>
        <v>#VALUE!</v>
      </c>
      <c r="VBG6" s="68" t="e" cm="1" vm="1">
        <f t="array" ref="VBG6">_xlfn._xlws.FILTER(TablaProductos[Nombre producto],TablaProductos[Agrupación]=ProductosPivot!VBG5)</f>
        <v>#VALUE!</v>
      </c>
      <c r="VBH6" s="68" t="e" cm="1" vm="1">
        <f t="array" ref="VBH6">_xlfn._xlws.FILTER(TablaProductos[Nombre producto],TablaProductos[Agrupación]=ProductosPivot!VBH5)</f>
        <v>#VALUE!</v>
      </c>
      <c r="VBI6" s="68" t="e" cm="1" vm="1">
        <f t="array" ref="VBI6">_xlfn._xlws.FILTER(TablaProductos[Nombre producto],TablaProductos[Agrupación]=ProductosPivot!VBI5)</f>
        <v>#VALUE!</v>
      </c>
      <c r="VBJ6" s="68" t="e" cm="1" vm="1">
        <f t="array" ref="VBJ6">_xlfn._xlws.FILTER(TablaProductos[Nombre producto],TablaProductos[Agrupación]=ProductosPivot!VBJ5)</f>
        <v>#VALUE!</v>
      </c>
      <c r="VBK6" s="68" t="e" cm="1" vm="1">
        <f t="array" ref="VBK6">_xlfn._xlws.FILTER(TablaProductos[Nombre producto],TablaProductos[Agrupación]=ProductosPivot!VBK5)</f>
        <v>#VALUE!</v>
      </c>
      <c r="VBL6" s="68" t="e" cm="1" vm="1">
        <f t="array" ref="VBL6">_xlfn._xlws.FILTER(TablaProductos[Nombre producto],TablaProductos[Agrupación]=ProductosPivot!VBL5)</f>
        <v>#VALUE!</v>
      </c>
      <c r="VBM6" s="68" t="e" cm="1" vm="1">
        <f t="array" ref="VBM6">_xlfn._xlws.FILTER(TablaProductos[Nombre producto],TablaProductos[Agrupación]=ProductosPivot!VBM5)</f>
        <v>#VALUE!</v>
      </c>
      <c r="VBN6" s="68" t="e" cm="1" vm="1">
        <f t="array" ref="VBN6">_xlfn._xlws.FILTER(TablaProductos[Nombre producto],TablaProductos[Agrupación]=ProductosPivot!VBN5)</f>
        <v>#VALUE!</v>
      </c>
      <c r="VBO6" s="68" t="e" cm="1" vm="1">
        <f t="array" ref="VBO6">_xlfn._xlws.FILTER(TablaProductos[Nombre producto],TablaProductos[Agrupación]=ProductosPivot!VBO5)</f>
        <v>#VALUE!</v>
      </c>
      <c r="VBP6" s="68" t="e" cm="1" vm="1">
        <f t="array" ref="VBP6">_xlfn._xlws.FILTER(TablaProductos[Nombre producto],TablaProductos[Agrupación]=ProductosPivot!VBP5)</f>
        <v>#VALUE!</v>
      </c>
      <c r="VBQ6" s="68" t="e" cm="1" vm="1">
        <f t="array" ref="VBQ6">_xlfn._xlws.FILTER(TablaProductos[Nombre producto],TablaProductos[Agrupación]=ProductosPivot!VBQ5)</f>
        <v>#VALUE!</v>
      </c>
      <c r="VBR6" s="68" t="e" cm="1" vm="1">
        <f t="array" ref="VBR6">_xlfn._xlws.FILTER(TablaProductos[Nombre producto],TablaProductos[Agrupación]=ProductosPivot!VBR5)</f>
        <v>#VALUE!</v>
      </c>
      <c r="VBS6" s="68" t="e" cm="1" vm="1">
        <f t="array" ref="VBS6">_xlfn._xlws.FILTER(TablaProductos[Nombre producto],TablaProductos[Agrupación]=ProductosPivot!VBS5)</f>
        <v>#VALUE!</v>
      </c>
      <c r="VBT6" s="68" t="e" cm="1" vm="1">
        <f t="array" ref="VBT6">_xlfn._xlws.FILTER(TablaProductos[Nombre producto],TablaProductos[Agrupación]=ProductosPivot!VBT5)</f>
        <v>#VALUE!</v>
      </c>
      <c r="VBU6" s="68" t="e" cm="1" vm="1">
        <f t="array" ref="VBU6">_xlfn._xlws.FILTER(TablaProductos[Nombre producto],TablaProductos[Agrupación]=ProductosPivot!VBU5)</f>
        <v>#VALUE!</v>
      </c>
      <c r="VBV6" s="68" t="e" cm="1" vm="1">
        <f t="array" ref="VBV6">_xlfn._xlws.FILTER(TablaProductos[Nombre producto],TablaProductos[Agrupación]=ProductosPivot!VBV5)</f>
        <v>#VALUE!</v>
      </c>
      <c r="VBW6" s="68" t="e" cm="1" vm="1">
        <f t="array" ref="VBW6">_xlfn._xlws.FILTER(TablaProductos[Nombre producto],TablaProductos[Agrupación]=ProductosPivot!VBW5)</f>
        <v>#VALUE!</v>
      </c>
      <c r="VBX6" s="68" t="e" cm="1" vm="1">
        <f t="array" ref="VBX6">_xlfn._xlws.FILTER(TablaProductos[Nombre producto],TablaProductos[Agrupación]=ProductosPivot!VBX5)</f>
        <v>#VALUE!</v>
      </c>
      <c r="VBY6" s="68" t="e" cm="1" vm="1">
        <f t="array" ref="VBY6">_xlfn._xlws.FILTER(TablaProductos[Nombre producto],TablaProductos[Agrupación]=ProductosPivot!VBY5)</f>
        <v>#VALUE!</v>
      </c>
      <c r="VBZ6" s="68" t="e" cm="1" vm="1">
        <f t="array" ref="VBZ6">_xlfn._xlws.FILTER(TablaProductos[Nombre producto],TablaProductos[Agrupación]=ProductosPivot!VBZ5)</f>
        <v>#VALUE!</v>
      </c>
      <c r="VCA6" s="68" t="e" cm="1" vm="1">
        <f t="array" ref="VCA6">_xlfn._xlws.FILTER(TablaProductos[Nombre producto],TablaProductos[Agrupación]=ProductosPivot!VCA5)</f>
        <v>#VALUE!</v>
      </c>
      <c r="VCB6" s="68" t="e" cm="1" vm="1">
        <f t="array" ref="VCB6">_xlfn._xlws.FILTER(TablaProductos[Nombre producto],TablaProductos[Agrupación]=ProductosPivot!VCB5)</f>
        <v>#VALUE!</v>
      </c>
      <c r="VCC6" s="68" t="e" cm="1" vm="1">
        <f t="array" ref="VCC6">_xlfn._xlws.FILTER(TablaProductos[Nombre producto],TablaProductos[Agrupación]=ProductosPivot!VCC5)</f>
        <v>#VALUE!</v>
      </c>
      <c r="VCD6" s="68" t="e" cm="1" vm="1">
        <f t="array" ref="VCD6">_xlfn._xlws.FILTER(TablaProductos[Nombre producto],TablaProductos[Agrupación]=ProductosPivot!VCD5)</f>
        <v>#VALUE!</v>
      </c>
      <c r="VCE6" s="68" t="e" cm="1" vm="1">
        <f t="array" ref="VCE6">_xlfn._xlws.FILTER(TablaProductos[Nombre producto],TablaProductos[Agrupación]=ProductosPivot!VCE5)</f>
        <v>#VALUE!</v>
      </c>
      <c r="VCF6" s="68" t="e" cm="1" vm="1">
        <f t="array" ref="VCF6">_xlfn._xlws.FILTER(TablaProductos[Nombre producto],TablaProductos[Agrupación]=ProductosPivot!VCF5)</f>
        <v>#VALUE!</v>
      </c>
      <c r="VCG6" s="68" t="e" cm="1" vm="1">
        <f t="array" ref="VCG6">_xlfn._xlws.FILTER(TablaProductos[Nombre producto],TablaProductos[Agrupación]=ProductosPivot!VCG5)</f>
        <v>#VALUE!</v>
      </c>
      <c r="VCH6" s="68" t="e" cm="1" vm="1">
        <f t="array" ref="VCH6">_xlfn._xlws.FILTER(TablaProductos[Nombre producto],TablaProductos[Agrupación]=ProductosPivot!VCH5)</f>
        <v>#VALUE!</v>
      </c>
      <c r="VCI6" s="68" t="e" cm="1" vm="1">
        <f t="array" ref="VCI6">_xlfn._xlws.FILTER(TablaProductos[Nombre producto],TablaProductos[Agrupación]=ProductosPivot!VCI5)</f>
        <v>#VALUE!</v>
      </c>
      <c r="VCJ6" s="68" t="e" cm="1" vm="1">
        <f t="array" ref="VCJ6">_xlfn._xlws.FILTER(TablaProductos[Nombre producto],TablaProductos[Agrupación]=ProductosPivot!VCJ5)</f>
        <v>#VALUE!</v>
      </c>
      <c r="VCK6" s="68" t="e" cm="1" vm="1">
        <f t="array" ref="VCK6">_xlfn._xlws.FILTER(TablaProductos[Nombre producto],TablaProductos[Agrupación]=ProductosPivot!VCK5)</f>
        <v>#VALUE!</v>
      </c>
      <c r="VCL6" s="68" t="e" cm="1" vm="1">
        <f t="array" ref="VCL6">_xlfn._xlws.FILTER(TablaProductos[Nombre producto],TablaProductos[Agrupación]=ProductosPivot!VCL5)</f>
        <v>#VALUE!</v>
      </c>
      <c r="VCM6" s="68" t="e" cm="1" vm="1">
        <f t="array" ref="VCM6">_xlfn._xlws.FILTER(TablaProductos[Nombre producto],TablaProductos[Agrupación]=ProductosPivot!VCM5)</f>
        <v>#VALUE!</v>
      </c>
      <c r="VCN6" s="68" t="e" cm="1" vm="1">
        <f t="array" ref="VCN6">_xlfn._xlws.FILTER(TablaProductos[Nombre producto],TablaProductos[Agrupación]=ProductosPivot!VCN5)</f>
        <v>#VALUE!</v>
      </c>
      <c r="VCO6" s="68" t="e" cm="1" vm="1">
        <f t="array" ref="VCO6">_xlfn._xlws.FILTER(TablaProductos[Nombre producto],TablaProductos[Agrupación]=ProductosPivot!VCO5)</f>
        <v>#VALUE!</v>
      </c>
      <c r="VCP6" s="68" t="e" cm="1" vm="1">
        <f t="array" ref="VCP6">_xlfn._xlws.FILTER(TablaProductos[Nombre producto],TablaProductos[Agrupación]=ProductosPivot!VCP5)</f>
        <v>#VALUE!</v>
      </c>
      <c r="VCQ6" s="68" t="e" cm="1" vm="1">
        <f t="array" ref="VCQ6">_xlfn._xlws.FILTER(TablaProductos[Nombre producto],TablaProductos[Agrupación]=ProductosPivot!VCQ5)</f>
        <v>#VALUE!</v>
      </c>
      <c r="VCR6" s="68" t="e" cm="1" vm="1">
        <f t="array" ref="VCR6">_xlfn._xlws.FILTER(TablaProductos[Nombre producto],TablaProductos[Agrupación]=ProductosPivot!VCR5)</f>
        <v>#VALUE!</v>
      </c>
      <c r="VCS6" s="68" t="e" cm="1" vm="1">
        <f t="array" ref="VCS6">_xlfn._xlws.FILTER(TablaProductos[Nombre producto],TablaProductos[Agrupación]=ProductosPivot!VCS5)</f>
        <v>#VALUE!</v>
      </c>
      <c r="VCT6" s="68" t="e" cm="1" vm="1">
        <f t="array" ref="VCT6">_xlfn._xlws.FILTER(TablaProductos[Nombre producto],TablaProductos[Agrupación]=ProductosPivot!VCT5)</f>
        <v>#VALUE!</v>
      </c>
      <c r="VCU6" s="68" t="e" cm="1" vm="1">
        <f t="array" ref="VCU6">_xlfn._xlws.FILTER(TablaProductos[Nombre producto],TablaProductos[Agrupación]=ProductosPivot!VCU5)</f>
        <v>#VALUE!</v>
      </c>
      <c r="VCV6" s="68" t="e" cm="1" vm="1">
        <f t="array" ref="VCV6">_xlfn._xlws.FILTER(TablaProductos[Nombre producto],TablaProductos[Agrupación]=ProductosPivot!VCV5)</f>
        <v>#VALUE!</v>
      </c>
      <c r="VCW6" s="68" t="e" cm="1" vm="1">
        <f t="array" ref="VCW6">_xlfn._xlws.FILTER(TablaProductos[Nombre producto],TablaProductos[Agrupación]=ProductosPivot!VCW5)</f>
        <v>#VALUE!</v>
      </c>
      <c r="VCX6" s="68" t="e" cm="1" vm="1">
        <f t="array" ref="VCX6">_xlfn._xlws.FILTER(TablaProductos[Nombre producto],TablaProductos[Agrupación]=ProductosPivot!VCX5)</f>
        <v>#VALUE!</v>
      </c>
      <c r="VCY6" s="68" t="e" cm="1" vm="1">
        <f t="array" ref="VCY6">_xlfn._xlws.FILTER(TablaProductos[Nombre producto],TablaProductos[Agrupación]=ProductosPivot!VCY5)</f>
        <v>#VALUE!</v>
      </c>
      <c r="VCZ6" s="68" t="e" cm="1" vm="1">
        <f t="array" ref="VCZ6">_xlfn._xlws.FILTER(TablaProductos[Nombre producto],TablaProductos[Agrupación]=ProductosPivot!VCZ5)</f>
        <v>#VALUE!</v>
      </c>
      <c r="VDA6" s="68" t="e" cm="1" vm="1">
        <f t="array" ref="VDA6">_xlfn._xlws.FILTER(TablaProductos[Nombre producto],TablaProductos[Agrupación]=ProductosPivot!VDA5)</f>
        <v>#VALUE!</v>
      </c>
      <c r="VDB6" s="68" t="e" cm="1" vm="1">
        <f t="array" ref="VDB6">_xlfn._xlws.FILTER(TablaProductos[Nombre producto],TablaProductos[Agrupación]=ProductosPivot!VDB5)</f>
        <v>#VALUE!</v>
      </c>
      <c r="VDC6" s="68" t="e" cm="1" vm="1">
        <f t="array" ref="VDC6">_xlfn._xlws.FILTER(TablaProductos[Nombre producto],TablaProductos[Agrupación]=ProductosPivot!VDC5)</f>
        <v>#VALUE!</v>
      </c>
      <c r="VDD6" s="68" t="e" cm="1" vm="1">
        <f t="array" ref="VDD6">_xlfn._xlws.FILTER(TablaProductos[Nombre producto],TablaProductos[Agrupación]=ProductosPivot!VDD5)</f>
        <v>#VALUE!</v>
      </c>
      <c r="VDE6" s="68" t="e" cm="1" vm="1">
        <f t="array" ref="VDE6">_xlfn._xlws.FILTER(TablaProductos[Nombre producto],TablaProductos[Agrupación]=ProductosPivot!VDE5)</f>
        <v>#VALUE!</v>
      </c>
      <c r="VDF6" s="68" t="e" cm="1" vm="1">
        <f t="array" ref="VDF6">_xlfn._xlws.FILTER(TablaProductos[Nombre producto],TablaProductos[Agrupación]=ProductosPivot!VDF5)</f>
        <v>#VALUE!</v>
      </c>
      <c r="VDG6" s="68" t="e" cm="1" vm="1">
        <f t="array" ref="VDG6">_xlfn._xlws.FILTER(TablaProductos[Nombre producto],TablaProductos[Agrupación]=ProductosPivot!VDG5)</f>
        <v>#VALUE!</v>
      </c>
      <c r="VDH6" s="68" t="e" cm="1" vm="1">
        <f t="array" ref="VDH6">_xlfn._xlws.FILTER(TablaProductos[Nombre producto],TablaProductos[Agrupación]=ProductosPivot!VDH5)</f>
        <v>#VALUE!</v>
      </c>
      <c r="VDI6" s="68" t="e" cm="1" vm="1">
        <f t="array" ref="VDI6">_xlfn._xlws.FILTER(TablaProductos[Nombre producto],TablaProductos[Agrupación]=ProductosPivot!VDI5)</f>
        <v>#VALUE!</v>
      </c>
      <c r="VDJ6" s="68" t="e" cm="1" vm="1">
        <f t="array" ref="VDJ6">_xlfn._xlws.FILTER(TablaProductos[Nombre producto],TablaProductos[Agrupación]=ProductosPivot!VDJ5)</f>
        <v>#VALUE!</v>
      </c>
      <c r="VDK6" s="68" t="e" cm="1" vm="1">
        <f t="array" ref="VDK6">_xlfn._xlws.FILTER(TablaProductos[Nombre producto],TablaProductos[Agrupación]=ProductosPivot!VDK5)</f>
        <v>#VALUE!</v>
      </c>
      <c r="VDL6" s="68" t="e" cm="1" vm="1">
        <f t="array" ref="VDL6">_xlfn._xlws.FILTER(TablaProductos[Nombre producto],TablaProductos[Agrupación]=ProductosPivot!VDL5)</f>
        <v>#VALUE!</v>
      </c>
      <c r="VDM6" s="68" t="e" cm="1" vm="1">
        <f t="array" ref="VDM6">_xlfn._xlws.FILTER(TablaProductos[Nombre producto],TablaProductos[Agrupación]=ProductosPivot!VDM5)</f>
        <v>#VALUE!</v>
      </c>
      <c r="VDN6" s="68" t="e" cm="1" vm="1">
        <f t="array" ref="VDN6">_xlfn._xlws.FILTER(TablaProductos[Nombre producto],TablaProductos[Agrupación]=ProductosPivot!VDN5)</f>
        <v>#VALUE!</v>
      </c>
      <c r="VDO6" s="68" t="e" cm="1" vm="1">
        <f t="array" ref="VDO6">_xlfn._xlws.FILTER(TablaProductos[Nombre producto],TablaProductos[Agrupación]=ProductosPivot!VDO5)</f>
        <v>#VALUE!</v>
      </c>
      <c r="VDP6" s="68" t="e" cm="1" vm="1">
        <f t="array" ref="VDP6">_xlfn._xlws.FILTER(TablaProductos[Nombre producto],TablaProductos[Agrupación]=ProductosPivot!VDP5)</f>
        <v>#VALUE!</v>
      </c>
      <c r="VDQ6" s="68" t="e" cm="1" vm="1">
        <f t="array" ref="VDQ6">_xlfn._xlws.FILTER(TablaProductos[Nombre producto],TablaProductos[Agrupación]=ProductosPivot!VDQ5)</f>
        <v>#VALUE!</v>
      </c>
      <c r="VDR6" s="68" t="e" cm="1" vm="1">
        <f t="array" ref="VDR6">_xlfn._xlws.FILTER(TablaProductos[Nombre producto],TablaProductos[Agrupación]=ProductosPivot!VDR5)</f>
        <v>#VALUE!</v>
      </c>
      <c r="VDS6" s="68" t="e" cm="1" vm="1">
        <f t="array" ref="VDS6">_xlfn._xlws.FILTER(TablaProductos[Nombre producto],TablaProductos[Agrupación]=ProductosPivot!VDS5)</f>
        <v>#VALUE!</v>
      </c>
      <c r="VDT6" s="68" t="e" cm="1" vm="1">
        <f t="array" ref="VDT6">_xlfn._xlws.FILTER(TablaProductos[Nombre producto],TablaProductos[Agrupación]=ProductosPivot!VDT5)</f>
        <v>#VALUE!</v>
      </c>
      <c r="VDU6" s="68" t="e" cm="1" vm="1">
        <f t="array" ref="VDU6">_xlfn._xlws.FILTER(TablaProductos[Nombre producto],TablaProductos[Agrupación]=ProductosPivot!VDU5)</f>
        <v>#VALUE!</v>
      </c>
      <c r="VDV6" s="68" t="e" cm="1" vm="1">
        <f t="array" ref="VDV6">_xlfn._xlws.FILTER(TablaProductos[Nombre producto],TablaProductos[Agrupación]=ProductosPivot!VDV5)</f>
        <v>#VALUE!</v>
      </c>
      <c r="VDW6" s="68" t="e" cm="1" vm="1">
        <f t="array" ref="VDW6">_xlfn._xlws.FILTER(TablaProductos[Nombre producto],TablaProductos[Agrupación]=ProductosPivot!VDW5)</f>
        <v>#VALUE!</v>
      </c>
      <c r="VDX6" s="68" t="e" cm="1" vm="1">
        <f t="array" ref="VDX6">_xlfn._xlws.FILTER(TablaProductos[Nombre producto],TablaProductos[Agrupación]=ProductosPivot!VDX5)</f>
        <v>#VALUE!</v>
      </c>
      <c r="VDY6" s="68" t="e" cm="1" vm="1">
        <f t="array" ref="VDY6">_xlfn._xlws.FILTER(TablaProductos[Nombre producto],TablaProductos[Agrupación]=ProductosPivot!VDY5)</f>
        <v>#VALUE!</v>
      </c>
      <c r="VDZ6" s="68" t="e" cm="1" vm="1">
        <f t="array" ref="VDZ6">_xlfn._xlws.FILTER(TablaProductos[Nombre producto],TablaProductos[Agrupación]=ProductosPivot!VDZ5)</f>
        <v>#VALUE!</v>
      </c>
      <c r="VEA6" s="68" t="e" cm="1" vm="1">
        <f t="array" ref="VEA6">_xlfn._xlws.FILTER(TablaProductos[Nombre producto],TablaProductos[Agrupación]=ProductosPivot!VEA5)</f>
        <v>#VALUE!</v>
      </c>
      <c r="VEB6" s="68" t="e" cm="1" vm="1">
        <f t="array" ref="VEB6">_xlfn._xlws.FILTER(TablaProductos[Nombre producto],TablaProductos[Agrupación]=ProductosPivot!VEB5)</f>
        <v>#VALUE!</v>
      </c>
      <c r="VEC6" s="68" t="e" cm="1" vm="1">
        <f t="array" ref="VEC6">_xlfn._xlws.FILTER(TablaProductos[Nombre producto],TablaProductos[Agrupación]=ProductosPivot!VEC5)</f>
        <v>#VALUE!</v>
      </c>
      <c r="VED6" s="68" t="e" cm="1" vm="1">
        <f t="array" ref="VED6">_xlfn._xlws.FILTER(TablaProductos[Nombre producto],TablaProductos[Agrupación]=ProductosPivot!VED5)</f>
        <v>#VALUE!</v>
      </c>
      <c r="VEE6" s="68" t="e" cm="1" vm="1">
        <f t="array" ref="VEE6">_xlfn._xlws.FILTER(TablaProductos[Nombre producto],TablaProductos[Agrupación]=ProductosPivot!VEE5)</f>
        <v>#VALUE!</v>
      </c>
      <c r="VEF6" s="68" t="e" cm="1" vm="1">
        <f t="array" ref="VEF6">_xlfn._xlws.FILTER(TablaProductos[Nombre producto],TablaProductos[Agrupación]=ProductosPivot!VEF5)</f>
        <v>#VALUE!</v>
      </c>
      <c r="VEG6" s="68" t="e" cm="1" vm="1">
        <f t="array" ref="VEG6">_xlfn._xlws.FILTER(TablaProductos[Nombre producto],TablaProductos[Agrupación]=ProductosPivot!VEG5)</f>
        <v>#VALUE!</v>
      </c>
      <c r="VEH6" s="68" t="e" cm="1" vm="1">
        <f t="array" ref="VEH6">_xlfn._xlws.FILTER(TablaProductos[Nombre producto],TablaProductos[Agrupación]=ProductosPivot!VEH5)</f>
        <v>#VALUE!</v>
      </c>
      <c r="VEI6" s="68" t="e" cm="1" vm="1">
        <f t="array" ref="VEI6">_xlfn._xlws.FILTER(TablaProductos[Nombre producto],TablaProductos[Agrupación]=ProductosPivot!VEI5)</f>
        <v>#VALUE!</v>
      </c>
      <c r="VEJ6" s="68" t="e" cm="1" vm="1">
        <f t="array" ref="VEJ6">_xlfn._xlws.FILTER(TablaProductos[Nombre producto],TablaProductos[Agrupación]=ProductosPivot!VEJ5)</f>
        <v>#VALUE!</v>
      </c>
      <c r="VEK6" s="68" t="e" cm="1" vm="1">
        <f t="array" ref="VEK6">_xlfn._xlws.FILTER(TablaProductos[Nombre producto],TablaProductos[Agrupación]=ProductosPivot!VEK5)</f>
        <v>#VALUE!</v>
      </c>
      <c r="VEL6" s="68" t="e" cm="1" vm="1">
        <f t="array" ref="VEL6">_xlfn._xlws.FILTER(TablaProductos[Nombre producto],TablaProductos[Agrupación]=ProductosPivot!VEL5)</f>
        <v>#VALUE!</v>
      </c>
      <c r="VEM6" s="68" t="e" cm="1" vm="1">
        <f t="array" ref="VEM6">_xlfn._xlws.FILTER(TablaProductos[Nombre producto],TablaProductos[Agrupación]=ProductosPivot!VEM5)</f>
        <v>#VALUE!</v>
      </c>
      <c r="VEN6" s="68" t="e" cm="1" vm="1">
        <f t="array" ref="VEN6">_xlfn._xlws.FILTER(TablaProductos[Nombre producto],TablaProductos[Agrupación]=ProductosPivot!VEN5)</f>
        <v>#VALUE!</v>
      </c>
      <c r="VEO6" s="68" t="e" cm="1" vm="1">
        <f t="array" ref="VEO6">_xlfn._xlws.FILTER(TablaProductos[Nombre producto],TablaProductos[Agrupación]=ProductosPivot!VEO5)</f>
        <v>#VALUE!</v>
      </c>
      <c r="VEP6" s="68" t="e" cm="1" vm="1">
        <f t="array" ref="VEP6">_xlfn._xlws.FILTER(TablaProductos[Nombre producto],TablaProductos[Agrupación]=ProductosPivot!VEP5)</f>
        <v>#VALUE!</v>
      </c>
      <c r="VEQ6" s="68" t="e" cm="1" vm="1">
        <f t="array" ref="VEQ6">_xlfn._xlws.FILTER(TablaProductos[Nombre producto],TablaProductos[Agrupación]=ProductosPivot!VEQ5)</f>
        <v>#VALUE!</v>
      </c>
      <c r="VER6" s="68" t="e" cm="1" vm="1">
        <f t="array" ref="VER6">_xlfn._xlws.FILTER(TablaProductos[Nombre producto],TablaProductos[Agrupación]=ProductosPivot!VER5)</f>
        <v>#VALUE!</v>
      </c>
      <c r="VES6" s="68" t="e" cm="1" vm="1">
        <f t="array" ref="VES6">_xlfn._xlws.FILTER(TablaProductos[Nombre producto],TablaProductos[Agrupación]=ProductosPivot!VES5)</f>
        <v>#VALUE!</v>
      </c>
      <c r="VET6" s="68" t="e" cm="1" vm="1">
        <f t="array" ref="VET6">_xlfn._xlws.FILTER(TablaProductos[Nombre producto],TablaProductos[Agrupación]=ProductosPivot!VET5)</f>
        <v>#VALUE!</v>
      </c>
      <c r="VEU6" s="68" t="e" cm="1" vm="1">
        <f t="array" ref="VEU6">_xlfn._xlws.FILTER(TablaProductos[Nombre producto],TablaProductos[Agrupación]=ProductosPivot!VEU5)</f>
        <v>#VALUE!</v>
      </c>
      <c r="VEV6" s="68" t="e" cm="1" vm="1">
        <f t="array" ref="VEV6">_xlfn._xlws.FILTER(TablaProductos[Nombre producto],TablaProductos[Agrupación]=ProductosPivot!VEV5)</f>
        <v>#VALUE!</v>
      </c>
      <c r="VEW6" s="68" t="e" cm="1" vm="1">
        <f t="array" ref="VEW6">_xlfn._xlws.FILTER(TablaProductos[Nombre producto],TablaProductos[Agrupación]=ProductosPivot!VEW5)</f>
        <v>#VALUE!</v>
      </c>
      <c r="VEX6" s="68" t="e" cm="1" vm="1">
        <f t="array" ref="VEX6">_xlfn._xlws.FILTER(TablaProductos[Nombre producto],TablaProductos[Agrupación]=ProductosPivot!VEX5)</f>
        <v>#VALUE!</v>
      </c>
      <c r="VEY6" s="68" t="e" cm="1" vm="1">
        <f t="array" ref="VEY6">_xlfn._xlws.FILTER(TablaProductos[Nombre producto],TablaProductos[Agrupación]=ProductosPivot!VEY5)</f>
        <v>#VALUE!</v>
      </c>
      <c r="VEZ6" s="68" t="e" cm="1" vm="1">
        <f t="array" ref="VEZ6">_xlfn._xlws.FILTER(TablaProductos[Nombre producto],TablaProductos[Agrupación]=ProductosPivot!VEZ5)</f>
        <v>#VALUE!</v>
      </c>
      <c r="VFA6" s="68" t="e" cm="1" vm="1">
        <f t="array" ref="VFA6">_xlfn._xlws.FILTER(TablaProductos[Nombre producto],TablaProductos[Agrupación]=ProductosPivot!VFA5)</f>
        <v>#VALUE!</v>
      </c>
      <c r="VFB6" s="68" t="e" cm="1" vm="1">
        <f t="array" ref="VFB6">_xlfn._xlws.FILTER(TablaProductos[Nombre producto],TablaProductos[Agrupación]=ProductosPivot!VFB5)</f>
        <v>#VALUE!</v>
      </c>
      <c r="VFC6" s="68" t="e" cm="1" vm="1">
        <f t="array" ref="VFC6">_xlfn._xlws.FILTER(TablaProductos[Nombre producto],TablaProductos[Agrupación]=ProductosPivot!VFC5)</f>
        <v>#VALUE!</v>
      </c>
      <c r="VFD6" s="68" t="e" cm="1" vm="1">
        <f t="array" ref="VFD6">_xlfn._xlws.FILTER(TablaProductos[Nombre producto],TablaProductos[Agrupación]=ProductosPivot!VFD5)</f>
        <v>#VALUE!</v>
      </c>
      <c r="VFE6" s="68" t="e" cm="1" vm="1">
        <f t="array" ref="VFE6">_xlfn._xlws.FILTER(TablaProductos[Nombre producto],TablaProductos[Agrupación]=ProductosPivot!VFE5)</f>
        <v>#VALUE!</v>
      </c>
      <c r="VFF6" s="68" t="e" cm="1" vm="1">
        <f t="array" ref="VFF6">_xlfn._xlws.FILTER(TablaProductos[Nombre producto],TablaProductos[Agrupación]=ProductosPivot!VFF5)</f>
        <v>#VALUE!</v>
      </c>
      <c r="VFG6" s="68" t="e" cm="1" vm="1">
        <f t="array" ref="VFG6">_xlfn._xlws.FILTER(TablaProductos[Nombre producto],TablaProductos[Agrupación]=ProductosPivot!VFG5)</f>
        <v>#VALUE!</v>
      </c>
      <c r="VFH6" s="68" t="e" cm="1" vm="1">
        <f t="array" ref="VFH6">_xlfn._xlws.FILTER(TablaProductos[Nombre producto],TablaProductos[Agrupación]=ProductosPivot!VFH5)</f>
        <v>#VALUE!</v>
      </c>
      <c r="VFI6" s="68" t="e" cm="1" vm="1">
        <f t="array" ref="VFI6">_xlfn._xlws.FILTER(TablaProductos[Nombre producto],TablaProductos[Agrupación]=ProductosPivot!VFI5)</f>
        <v>#VALUE!</v>
      </c>
      <c r="VFJ6" s="68" t="e" cm="1" vm="1">
        <f t="array" ref="VFJ6">_xlfn._xlws.FILTER(TablaProductos[Nombre producto],TablaProductos[Agrupación]=ProductosPivot!VFJ5)</f>
        <v>#VALUE!</v>
      </c>
      <c r="VFK6" s="68" t="e" cm="1" vm="1">
        <f t="array" ref="VFK6">_xlfn._xlws.FILTER(TablaProductos[Nombre producto],TablaProductos[Agrupación]=ProductosPivot!VFK5)</f>
        <v>#VALUE!</v>
      </c>
      <c r="VFL6" s="68" t="e" cm="1" vm="1">
        <f t="array" ref="VFL6">_xlfn._xlws.FILTER(TablaProductos[Nombre producto],TablaProductos[Agrupación]=ProductosPivot!VFL5)</f>
        <v>#VALUE!</v>
      </c>
      <c r="VFM6" s="68" t="e" cm="1" vm="1">
        <f t="array" ref="VFM6">_xlfn._xlws.FILTER(TablaProductos[Nombre producto],TablaProductos[Agrupación]=ProductosPivot!VFM5)</f>
        <v>#VALUE!</v>
      </c>
      <c r="VFN6" s="68" t="e" cm="1" vm="1">
        <f t="array" ref="VFN6">_xlfn._xlws.FILTER(TablaProductos[Nombre producto],TablaProductos[Agrupación]=ProductosPivot!VFN5)</f>
        <v>#VALUE!</v>
      </c>
      <c r="VFO6" s="68" t="e" cm="1" vm="1">
        <f t="array" ref="VFO6">_xlfn._xlws.FILTER(TablaProductos[Nombre producto],TablaProductos[Agrupación]=ProductosPivot!VFO5)</f>
        <v>#VALUE!</v>
      </c>
      <c r="VFP6" s="68" t="e" cm="1" vm="1">
        <f t="array" ref="VFP6">_xlfn._xlws.FILTER(TablaProductos[Nombre producto],TablaProductos[Agrupación]=ProductosPivot!VFP5)</f>
        <v>#VALUE!</v>
      </c>
      <c r="VFQ6" s="68" t="e" cm="1" vm="1">
        <f t="array" ref="VFQ6">_xlfn._xlws.FILTER(TablaProductos[Nombre producto],TablaProductos[Agrupación]=ProductosPivot!VFQ5)</f>
        <v>#VALUE!</v>
      </c>
      <c r="VFR6" s="68" t="e" cm="1" vm="1">
        <f t="array" ref="VFR6">_xlfn._xlws.FILTER(TablaProductos[Nombre producto],TablaProductos[Agrupación]=ProductosPivot!VFR5)</f>
        <v>#VALUE!</v>
      </c>
      <c r="VFS6" s="68" t="e" cm="1" vm="1">
        <f t="array" ref="VFS6">_xlfn._xlws.FILTER(TablaProductos[Nombre producto],TablaProductos[Agrupación]=ProductosPivot!VFS5)</f>
        <v>#VALUE!</v>
      </c>
      <c r="VFT6" s="68" t="e" cm="1" vm="1">
        <f t="array" ref="VFT6">_xlfn._xlws.FILTER(TablaProductos[Nombre producto],TablaProductos[Agrupación]=ProductosPivot!VFT5)</f>
        <v>#VALUE!</v>
      </c>
      <c r="VFU6" s="68" t="e" cm="1" vm="1">
        <f t="array" ref="VFU6">_xlfn._xlws.FILTER(TablaProductos[Nombre producto],TablaProductos[Agrupación]=ProductosPivot!VFU5)</f>
        <v>#VALUE!</v>
      </c>
      <c r="VFV6" s="68" t="e" cm="1" vm="1">
        <f t="array" ref="VFV6">_xlfn._xlws.FILTER(TablaProductos[Nombre producto],TablaProductos[Agrupación]=ProductosPivot!VFV5)</f>
        <v>#VALUE!</v>
      </c>
      <c r="VFW6" s="68" t="e" cm="1" vm="1">
        <f t="array" ref="VFW6">_xlfn._xlws.FILTER(TablaProductos[Nombre producto],TablaProductos[Agrupación]=ProductosPivot!VFW5)</f>
        <v>#VALUE!</v>
      </c>
      <c r="VFX6" s="68" t="e" cm="1" vm="1">
        <f t="array" ref="VFX6">_xlfn._xlws.FILTER(TablaProductos[Nombre producto],TablaProductos[Agrupación]=ProductosPivot!VFX5)</f>
        <v>#VALUE!</v>
      </c>
      <c r="VFY6" s="68" t="e" cm="1" vm="1">
        <f t="array" ref="VFY6">_xlfn._xlws.FILTER(TablaProductos[Nombre producto],TablaProductos[Agrupación]=ProductosPivot!VFY5)</f>
        <v>#VALUE!</v>
      </c>
      <c r="VFZ6" s="68" t="e" cm="1" vm="1">
        <f t="array" ref="VFZ6">_xlfn._xlws.FILTER(TablaProductos[Nombre producto],TablaProductos[Agrupación]=ProductosPivot!VFZ5)</f>
        <v>#VALUE!</v>
      </c>
      <c r="VGA6" s="68" t="e" cm="1" vm="1">
        <f t="array" ref="VGA6">_xlfn._xlws.FILTER(TablaProductos[Nombre producto],TablaProductos[Agrupación]=ProductosPivot!VGA5)</f>
        <v>#VALUE!</v>
      </c>
      <c r="VGB6" s="68" t="e" cm="1" vm="1">
        <f t="array" ref="VGB6">_xlfn._xlws.FILTER(TablaProductos[Nombre producto],TablaProductos[Agrupación]=ProductosPivot!VGB5)</f>
        <v>#VALUE!</v>
      </c>
      <c r="VGC6" s="68" t="e" cm="1" vm="1">
        <f t="array" ref="VGC6">_xlfn._xlws.FILTER(TablaProductos[Nombre producto],TablaProductos[Agrupación]=ProductosPivot!VGC5)</f>
        <v>#VALUE!</v>
      </c>
      <c r="VGD6" s="68" t="e" cm="1" vm="1">
        <f t="array" ref="VGD6">_xlfn._xlws.FILTER(TablaProductos[Nombre producto],TablaProductos[Agrupación]=ProductosPivot!VGD5)</f>
        <v>#VALUE!</v>
      </c>
      <c r="VGE6" s="68" t="e" cm="1" vm="1">
        <f t="array" ref="VGE6">_xlfn._xlws.FILTER(TablaProductos[Nombre producto],TablaProductos[Agrupación]=ProductosPivot!VGE5)</f>
        <v>#VALUE!</v>
      </c>
      <c r="VGF6" s="68" t="e" cm="1" vm="1">
        <f t="array" ref="VGF6">_xlfn._xlws.FILTER(TablaProductos[Nombre producto],TablaProductos[Agrupación]=ProductosPivot!VGF5)</f>
        <v>#VALUE!</v>
      </c>
      <c r="VGG6" s="68" t="e" cm="1" vm="1">
        <f t="array" ref="VGG6">_xlfn._xlws.FILTER(TablaProductos[Nombre producto],TablaProductos[Agrupación]=ProductosPivot!VGG5)</f>
        <v>#VALUE!</v>
      </c>
      <c r="VGH6" s="68" t="e" cm="1" vm="1">
        <f t="array" ref="VGH6">_xlfn._xlws.FILTER(TablaProductos[Nombre producto],TablaProductos[Agrupación]=ProductosPivot!VGH5)</f>
        <v>#VALUE!</v>
      </c>
      <c r="VGI6" s="68" t="e" cm="1" vm="1">
        <f t="array" ref="VGI6">_xlfn._xlws.FILTER(TablaProductos[Nombre producto],TablaProductos[Agrupación]=ProductosPivot!VGI5)</f>
        <v>#VALUE!</v>
      </c>
      <c r="VGJ6" s="68" t="e" cm="1" vm="1">
        <f t="array" ref="VGJ6">_xlfn._xlws.FILTER(TablaProductos[Nombre producto],TablaProductos[Agrupación]=ProductosPivot!VGJ5)</f>
        <v>#VALUE!</v>
      </c>
      <c r="VGK6" s="68" t="e" cm="1" vm="1">
        <f t="array" ref="VGK6">_xlfn._xlws.FILTER(TablaProductos[Nombre producto],TablaProductos[Agrupación]=ProductosPivot!VGK5)</f>
        <v>#VALUE!</v>
      </c>
      <c r="VGL6" s="68" t="e" cm="1" vm="1">
        <f t="array" ref="VGL6">_xlfn._xlws.FILTER(TablaProductos[Nombre producto],TablaProductos[Agrupación]=ProductosPivot!VGL5)</f>
        <v>#VALUE!</v>
      </c>
      <c r="VGM6" s="68" t="e" cm="1" vm="1">
        <f t="array" ref="VGM6">_xlfn._xlws.FILTER(TablaProductos[Nombre producto],TablaProductos[Agrupación]=ProductosPivot!VGM5)</f>
        <v>#VALUE!</v>
      </c>
      <c r="VGN6" s="68" t="e" cm="1" vm="1">
        <f t="array" ref="VGN6">_xlfn._xlws.FILTER(TablaProductos[Nombre producto],TablaProductos[Agrupación]=ProductosPivot!VGN5)</f>
        <v>#VALUE!</v>
      </c>
      <c r="VGO6" s="68" t="e" cm="1" vm="1">
        <f t="array" ref="VGO6">_xlfn._xlws.FILTER(TablaProductos[Nombre producto],TablaProductos[Agrupación]=ProductosPivot!VGO5)</f>
        <v>#VALUE!</v>
      </c>
      <c r="VGP6" s="68" t="e" cm="1" vm="1">
        <f t="array" ref="VGP6">_xlfn._xlws.FILTER(TablaProductos[Nombre producto],TablaProductos[Agrupación]=ProductosPivot!VGP5)</f>
        <v>#VALUE!</v>
      </c>
      <c r="VGQ6" s="68" t="e" cm="1" vm="1">
        <f t="array" ref="VGQ6">_xlfn._xlws.FILTER(TablaProductos[Nombre producto],TablaProductos[Agrupación]=ProductosPivot!VGQ5)</f>
        <v>#VALUE!</v>
      </c>
      <c r="VGR6" s="68" t="e" cm="1" vm="1">
        <f t="array" ref="VGR6">_xlfn._xlws.FILTER(TablaProductos[Nombre producto],TablaProductos[Agrupación]=ProductosPivot!VGR5)</f>
        <v>#VALUE!</v>
      </c>
      <c r="VGS6" s="68" t="e" cm="1" vm="1">
        <f t="array" ref="VGS6">_xlfn._xlws.FILTER(TablaProductos[Nombre producto],TablaProductos[Agrupación]=ProductosPivot!VGS5)</f>
        <v>#VALUE!</v>
      </c>
      <c r="VGT6" s="68" t="e" cm="1" vm="1">
        <f t="array" ref="VGT6">_xlfn._xlws.FILTER(TablaProductos[Nombre producto],TablaProductos[Agrupación]=ProductosPivot!VGT5)</f>
        <v>#VALUE!</v>
      </c>
      <c r="VGU6" s="68" t="e" cm="1" vm="1">
        <f t="array" ref="VGU6">_xlfn._xlws.FILTER(TablaProductos[Nombre producto],TablaProductos[Agrupación]=ProductosPivot!VGU5)</f>
        <v>#VALUE!</v>
      </c>
      <c r="VGV6" s="68" t="e" cm="1" vm="1">
        <f t="array" ref="VGV6">_xlfn._xlws.FILTER(TablaProductos[Nombre producto],TablaProductos[Agrupación]=ProductosPivot!VGV5)</f>
        <v>#VALUE!</v>
      </c>
      <c r="VGW6" s="68" t="e" cm="1" vm="1">
        <f t="array" ref="VGW6">_xlfn._xlws.FILTER(TablaProductos[Nombre producto],TablaProductos[Agrupación]=ProductosPivot!VGW5)</f>
        <v>#VALUE!</v>
      </c>
      <c r="VGX6" s="68" t="e" cm="1" vm="1">
        <f t="array" ref="VGX6">_xlfn._xlws.FILTER(TablaProductos[Nombre producto],TablaProductos[Agrupación]=ProductosPivot!VGX5)</f>
        <v>#VALUE!</v>
      </c>
      <c r="VGY6" s="68" t="e" cm="1" vm="1">
        <f t="array" ref="VGY6">_xlfn._xlws.FILTER(TablaProductos[Nombre producto],TablaProductos[Agrupación]=ProductosPivot!VGY5)</f>
        <v>#VALUE!</v>
      </c>
      <c r="VGZ6" s="68" t="e" cm="1" vm="1">
        <f t="array" ref="VGZ6">_xlfn._xlws.FILTER(TablaProductos[Nombre producto],TablaProductos[Agrupación]=ProductosPivot!VGZ5)</f>
        <v>#VALUE!</v>
      </c>
      <c r="VHA6" s="68" t="e" cm="1" vm="1">
        <f t="array" ref="VHA6">_xlfn._xlws.FILTER(TablaProductos[Nombre producto],TablaProductos[Agrupación]=ProductosPivot!VHA5)</f>
        <v>#VALUE!</v>
      </c>
      <c r="VHB6" s="68" t="e" cm="1" vm="1">
        <f t="array" ref="VHB6">_xlfn._xlws.FILTER(TablaProductos[Nombre producto],TablaProductos[Agrupación]=ProductosPivot!VHB5)</f>
        <v>#VALUE!</v>
      </c>
      <c r="VHC6" s="68" t="e" cm="1" vm="1">
        <f t="array" ref="VHC6">_xlfn._xlws.FILTER(TablaProductos[Nombre producto],TablaProductos[Agrupación]=ProductosPivot!VHC5)</f>
        <v>#VALUE!</v>
      </c>
      <c r="VHD6" s="68" t="e" cm="1" vm="1">
        <f t="array" ref="VHD6">_xlfn._xlws.FILTER(TablaProductos[Nombre producto],TablaProductos[Agrupación]=ProductosPivot!VHD5)</f>
        <v>#VALUE!</v>
      </c>
      <c r="VHE6" s="68" t="e" cm="1" vm="1">
        <f t="array" ref="VHE6">_xlfn._xlws.FILTER(TablaProductos[Nombre producto],TablaProductos[Agrupación]=ProductosPivot!VHE5)</f>
        <v>#VALUE!</v>
      </c>
      <c r="VHF6" s="68" t="e" cm="1" vm="1">
        <f t="array" ref="VHF6">_xlfn._xlws.FILTER(TablaProductos[Nombre producto],TablaProductos[Agrupación]=ProductosPivot!VHF5)</f>
        <v>#VALUE!</v>
      </c>
      <c r="VHG6" s="68" t="e" cm="1" vm="1">
        <f t="array" ref="VHG6">_xlfn._xlws.FILTER(TablaProductos[Nombre producto],TablaProductos[Agrupación]=ProductosPivot!VHG5)</f>
        <v>#VALUE!</v>
      </c>
      <c r="VHH6" s="68" t="e" cm="1" vm="1">
        <f t="array" ref="VHH6">_xlfn._xlws.FILTER(TablaProductos[Nombre producto],TablaProductos[Agrupación]=ProductosPivot!VHH5)</f>
        <v>#VALUE!</v>
      </c>
      <c r="VHI6" s="68" t="e" cm="1" vm="1">
        <f t="array" ref="VHI6">_xlfn._xlws.FILTER(TablaProductos[Nombre producto],TablaProductos[Agrupación]=ProductosPivot!VHI5)</f>
        <v>#VALUE!</v>
      </c>
      <c r="VHJ6" s="68" t="e" cm="1" vm="1">
        <f t="array" ref="VHJ6">_xlfn._xlws.FILTER(TablaProductos[Nombre producto],TablaProductos[Agrupación]=ProductosPivot!VHJ5)</f>
        <v>#VALUE!</v>
      </c>
      <c r="VHK6" s="68" t="e" cm="1" vm="1">
        <f t="array" ref="VHK6">_xlfn._xlws.FILTER(TablaProductos[Nombre producto],TablaProductos[Agrupación]=ProductosPivot!VHK5)</f>
        <v>#VALUE!</v>
      </c>
      <c r="VHL6" s="68" t="e" cm="1" vm="1">
        <f t="array" ref="VHL6">_xlfn._xlws.FILTER(TablaProductos[Nombre producto],TablaProductos[Agrupación]=ProductosPivot!VHL5)</f>
        <v>#VALUE!</v>
      </c>
      <c r="VHM6" s="68" t="e" cm="1" vm="1">
        <f t="array" ref="VHM6">_xlfn._xlws.FILTER(TablaProductos[Nombre producto],TablaProductos[Agrupación]=ProductosPivot!VHM5)</f>
        <v>#VALUE!</v>
      </c>
      <c r="VHN6" s="68" t="e" cm="1" vm="1">
        <f t="array" ref="VHN6">_xlfn._xlws.FILTER(TablaProductos[Nombre producto],TablaProductos[Agrupación]=ProductosPivot!VHN5)</f>
        <v>#VALUE!</v>
      </c>
      <c r="VHO6" s="68" t="e" cm="1" vm="1">
        <f t="array" ref="VHO6">_xlfn._xlws.FILTER(TablaProductos[Nombre producto],TablaProductos[Agrupación]=ProductosPivot!VHO5)</f>
        <v>#VALUE!</v>
      </c>
      <c r="VHP6" s="68" t="e" cm="1" vm="1">
        <f t="array" ref="VHP6">_xlfn._xlws.FILTER(TablaProductos[Nombre producto],TablaProductos[Agrupación]=ProductosPivot!VHP5)</f>
        <v>#VALUE!</v>
      </c>
      <c r="VHQ6" s="68" t="e" cm="1" vm="1">
        <f t="array" ref="VHQ6">_xlfn._xlws.FILTER(TablaProductos[Nombre producto],TablaProductos[Agrupación]=ProductosPivot!VHQ5)</f>
        <v>#VALUE!</v>
      </c>
      <c r="VHR6" s="68" t="e" cm="1" vm="1">
        <f t="array" ref="VHR6">_xlfn._xlws.FILTER(TablaProductos[Nombre producto],TablaProductos[Agrupación]=ProductosPivot!VHR5)</f>
        <v>#VALUE!</v>
      </c>
      <c r="VHS6" s="68" t="e" cm="1" vm="1">
        <f t="array" ref="VHS6">_xlfn._xlws.FILTER(TablaProductos[Nombre producto],TablaProductos[Agrupación]=ProductosPivot!VHS5)</f>
        <v>#VALUE!</v>
      </c>
      <c r="VHT6" s="68" t="e" cm="1" vm="1">
        <f t="array" ref="VHT6">_xlfn._xlws.FILTER(TablaProductos[Nombre producto],TablaProductos[Agrupación]=ProductosPivot!VHT5)</f>
        <v>#VALUE!</v>
      </c>
      <c r="VHU6" s="68" t="e" cm="1" vm="1">
        <f t="array" ref="VHU6">_xlfn._xlws.FILTER(TablaProductos[Nombre producto],TablaProductos[Agrupación]=ProductosPivot!VHU5)</f>
        <v>#VALUE!</v>
      </c>
      <c r="VHV6" s="68" t="e" cm="1" vm="1">
        <f t="array" ref="VHV6">_xlfn._xlws.FILTER(TablaProductos[Nombre producto],TablaProductos[Agrupación]=ProductosPivot!VHV5)</f>
        <v>#VALUE!</v>
      </c>
      <c r="VHW6" s="68" t="e" cm="1" vm="1">
        <f t="array" ref="VHW6">_xlfn._xlws.FILTER(TablaProductos[Nombre producto],TablaProductos[Agrupación]=ProductosPivot!VHW5)</f>
        <v>#VALUE!</v>
      </c>
      <c r="VHX6" s="68" t="e" cm="1" vm="1">
        <f t="array" ref="VHX6">_xlfn._xlws.FILTER(TablaProductos[Nombre producto],TablaProductos[Agrupación]=ProductosPivot!VHX5)</f>
        <v>#VALUE!</v>
      </c>
      <c r="VHY6" s="68" t="e" cm="1" vm="1">
        <f t="array" ref="VHY6">_xlfn._xlws.FILTER(TablaProductos[Nombre producto],TablaProductos[Agrupación]=ProductosPivot!VHY5)</f>
        <v>#VALUE!</v>
      </c>
      <c r="VHZ6" s="68" t="e" cm="1" vm="1">
        <f t="array" ref="VHZ6">_xlfn._xlws.FILTER(TablaProductos[Nombre producto],TablaProductos[Agrupación]=ProductosPivot!VHZ5)</f>
        <v>#VALUE!</v>
      </c>
      <c r="VIA6" s="68" t="e" cm="1" vm="1">
        <f t="array" ref="VIA6">_xlfn._xlws.FILTER(TablaProductos[Nombre producto],TablaProductos[Agrupación]=ProductosPivot!VIA5)</f>
        <v>#VALUE!</v>
      </c>
      <c r="VIB6" s="68" t="e" cm="1" vm="1">
        <f t="array" ref="VIB6">_xlfn._xlws.FILTER(TablaProductos[Nombre producto],TablaProductos[Agrupación]=ProductosPivot!VIB5)</f>
        <v>#VALUE!</v>
      </c>
      <c r="VIC6" s="68" t="e" cm="1" vm="1">
        <f t="array" ref="VIC6">_xlfn._xlws.FILTER(TablaProductos[Nombre producto],TablaProductos[Agrupación]=ProductosPivot!VIC5)</f>
        <v>#VALUE!</v>
      </c>
      <c r="VID6" s="68" t="e" cm="1" vm="1">
        <f t="array" ref="VID6">_xlfn._xlws.FILTER(TablaProductos[Nombre producto],TablaProductos[Agrupación]=ProductosPivot!VID5)</f>
        <v>#VALUE!</v>
      </c>
      <c r="VIE6" s="68" t="e" cm="1" vm="1">
        <f t="array" ref="VIE6">_xlfn._xlws.FILTER(TablaProductos[Nombre producto],TablaProductos[Agrupación]=ProductosPivot!VIE5)</f>
        <v>#VALUE!</v>
      </c>
      <c r="VIF6" s="68" t="e" cm="1" vm="1">
        <f t="array" ref="VIF6">_xlfn._xlws.FILTER(TablaProductos[Nombre producto],TablaProductos[Agrupación]=ProductosPivot!VIF5)</f>
        <v>#VALUE!</v>
      </c>
      <c r="VIG6" s="68" t="e" cm="1" vm="1">
        <f t="array" ref="VIG6">_xlfn._xlws.FILTER(TablaProductos[Nombre producto],TablaProductos[Agrupación]=ProductosPivot!VIG5)</f>
        <v>#VALUE!</v>
      </c>
      <c r="VIH6" s="68" t="e" cm="1" vm="1">
        <f t="array" ref="VIH6">_xlfn._xlws.FILTER(TablaProductos[Nombre producto],TablaProductos[Agrupación]=ProductosPivot!VIH5)</f>
        <v>#VALUE!</v>
      </c>
      <c r="VII6" s="68" t="e" cm="1" vm="1">
        <f t="array" ref="VII6">_xlfn._xlws.FILTER(TablaProductos[Nombre producto],TablaProductos[Agrupación]=ProductosPivot!VII5)</f>
        <v>#VALUE!</v>
      </c>
      <c r="VIJ6" s="68" t="e" cm="1" vm="1">
        <f t="array" ref="VIJ6">_xlfn._xlws.FILTER(TablaProductos[Nombre producto],TablaProductos[Agrupación]=ProductosPivot!VIJ5)</f>
        <v>#VALUE!</v>
      </c>
      <c r="VIK6" s="68" t="e" cm="1" vm="1">
        <f t="array" ref="VIK6">_xlfn._xlws.FILTER(TablaProductos[Nombre producto],TablaProductos[Agrupación]=ProductosPivot!VIK5)</f>
        <v>#VALUE!</v>
      </c>
      <c r="VIL6" s="68" t="e" cm="1" vm="1">
        <f t="array" ref="VIL6">_xlfn._xlws.FILTER(TablaProductos[Nombre producto],TablaProductos[Agrupación]=ProductosPivot!VIL5)</f>
        <v>#VALUE!</v>
      </c>
      <c r="VIM6" s="68" t="e" cm="1" vm="1">
        <f t="array" ref="VIM6">_xlfn._xlws.FILTER(TablaProductos[Nombre producto],TablaProductos[Agrupación]=ProductosPivot!VIM5)</f>
        <v>#VALUE!</v>
      </c>
      <c r="VIN6" s="68" t="e" cm="1" vm="1">
        <f t="array" ref="VIN6">_xlfn._xlws.FILTER(TablaProductos[Nombre producto],TablaProductos[Agrupación]=ProductosPivot!VIN5)</f>
        <v>#VALUE!</v>
      </c>
      <c r="VIO6" s="68" t="e" cm="1" vm="1">
        <f t="array" ref="VIO6">_xlfn._xlws.FILTER(TablaProductos[Nombre producto],TablaProductos[Agrupación]=ProductosPivot!VIO5)</f>
        <v>#VALUE!</v>
      </c>
      <c r="VIP6" s="68" t="e" cm="1" vm="1">
        <f t="array" ref="VIP6">_xlfn._xlws.FILTER(TablaProductos[Nombre producto],TablaProductos[Agrupación]=ProductosPivot!VIP5)</f>
        <v>#VALUE!</v>
      </c>
      <c r="VIQ6" s="68" t="e" cm="1" vm="1">
        <f t="array" ref="VIQ6">_xlfn._xlws.FILTER(TablaProductos[Nombre producto],TablaProductos[Agrupación]=ProductosPivot!VIQ5)</f>
        <v>#VALUE!</v>
      </c>
      <c r="VIR6" s="68" t="e" cm="1" vm="1">
        <f t="array" ref="VIR6">_xlfn._xlws.FILTER(TablaProductos[Nombre producto],TablaProductos[Agrupación]=ProductosPivot!VIR5)</f>
        <v>#VALUE!</v>
      </c>
      <c r="VIS6" s="68" t="e" cm="1" vm="1">
        <f t="array" ref="VIS6">_xlfn._xlws.FILTER(TablaProductos[Nombre producto],TablaProductos[Agrupación]=ProductosPivot!VIS5)</f>
        <v>#VALUE!</v>
      </c>
      <c r="VIT6" s="68" t="e" cm="1" vm="1">
        <f t="array" ref="VIT6">_xlfn._xlws.FILTER(TablaProductos[Nombre producto],TablaProductos[Agrupación]=ProductosPivot!VIT5)</f>
        <v>#VALUE!</v>
      </c>
      <c r="VIU6" s="68" t="e" cm="1" vm="1">
        <f t="array" ref="VIU6">_xlfn._xlws.FILTER(TablaProductos[Nombre producto],TablaProductos[Agrupación]=ProductosPivot!VIU5)</f>
        <v>#VALUE!</v>
      </c>
      <c r="VIV6" s="68" t="e" cm="1" vm="1">
        <f t="array" ref="VIV6">_xlfn._xlws.FILTER(TablaProductos[Nombre producto],TablaProductos[Agrupación]=ProductosPivot!VIV5)</f>
        <v>#VALUE!</v>
      </c>
      <c r="VIW6" s="68" t="e" cm="1" vm="1">
        <f t="array" ref="VIW6">_xlfn._xlws.FILTER(TablaProductos[Nombre producto],TablaProductos[Agrupación]=ProductosPivot!VIW5)</f>
        <v>#VALUE!</v>
      </c>
      <c r="VIX6" s="68" t="e" cm="1" vm="1">
        <f t="array" ref="VIX6">_xlfn._xlws.FILTER(TablaProductos[Nombre producto],TablaProductos[Agrupación]=ProductosPivot!VIX5)</f>
        <v>#VALUE!</v>
      </c>
      <c r="VIY6" s="68" t="e" cm="1" vm="1">
        <f t="array" ref="VIY6">_xlfn._xlws.FILTER(TablaProductos[Nombre producto],TablaProductos[Agrupación]=ProductosPivot!VIY5)</f>
        <v>#VALUE!</v>
      </c>
      <c r="VIZ6" s="68" t="e" cm="1" vm="1">
        <f t="array" ref="VIZ6">_xlfn._xlws.FILTER(TablaProductos[Nombre producto],TablaProductos[Agrupación]=ProductosPivot!VIZ5)</f>
        <v>#VALUE!</v>
      </c>
      <c r="VJA6" s="68" t="e" cm="1" vm="1">
        <f t="array" ref="VJA6">_xlfn._xlws.FILTER(TablaProductos[Nombre producto],TablaProductos[Agrupación]=ProductosPivot!VJA5)</f>
        <v>#VALUE!</v>
      </c>
      <c r="VJB6" s="68" t="e" cm="1" vm="1">
        <f t="array" ref="VJB6">_xlfn._xlws.FILTER(TablaProductos[Nombre producto],TablaProductos[Agrupación]=ProductosPivot!VJB5)</f>
        <v>#VALUE!</v>
      </c>
      <c r="VJC6" s="68" t="e" cm="1" vm="1">
        <f t="array" ref="VJC6">_xlfn._xlws.FILTER(TablaProductos[Nombre producto],TablaProductos[Agrupación]=ProductosPivot!VJC5)</f>
        <v>#VALUE!</v>
      </c>
      <c r="VJD6" s="68" t="e" cm="1" vm="1">
        <f t="array" ref="VJD6">_xlfn._xlws.FILTER(TablaProductos[Nombre producto],TablaProductos[Agrupación]=ProductosPivot!VJD5)</f>
        <v>#VALUE!</v>
      </c>
      <c r="VJE6" s="68" t="e" cm="1" vm="1">
        <f t="array" ref="VJE6">_xlfn._xlws.FILTER(TablaProductos[Nombre producto],TablaProductos[Agrupación]=ProductosPivot!VJE5)</f>
        <v>#VALUE!</v>
      </c>
      <c r="VJF6" s="68" t="e" cm="1" vm="1">
        <f t="array" ref="VJF6">_xlfn._xlws.FILTER(TablaProductos[Nombre producto],TablaProductos[Agrupación]=ProductosPivot!VJF5)</f>
        <v>#VALUE!</v>
      </c>
      <c r="VJG6" s="68" t="e" cm="1" vm="1">
        <f t="array" ref="VJG6">_xlfn._xlws.FILTER(TablaProductos[Nombre producto],TablaProductos[Agrupación]=ProductosPivot!VJG5)</f>
        <v>#VALUE!</v>
      </c>
      <c r="VJH6" s="68" t="e" cm="1" vm="1">
        <f t="array" ref="VJH6">_xlfn._xlws.FILTER(TablaProductos[Nombre producto],TablaProductos[Agrupación]=ProductosPivot!VJH5)</f>
        <v>#VALUE!</v>
      </c>
      <c r="VJI6" s="68" t="e" cm="1" vm="1">
        <f t="array" ref="VJI6">_xlfn._xlws.FILTER(TablaProductos[Nombre producto],TablaProductos[Agrupación]=ProductosPivot!VJI5)</f>
        <v>#VALUE!</v>
      </c>
      <c r="VJJ6" s="68" t="e" cm="1" vm="1">
        <f t="array" ref="VJJ6">_xlfn._xlws.FILTER(TablaProductos[Nombre producto],TablaProductos[Agrupación]=ProductosPivot!VJJ5)</f>
        <v>#VALUE!</v>
      </c>
      <c r="VJK6" s="68" t="e" cm="1" vm="1">
        <f t="array" ref="VJK6">_xlfn._xlws.FILTER(TablaProductos[Nombre producto],TablaProductos[Agrupación]=ProductosPivot!VJK5)</f>
        <v>#VALUE!</v>
      </c>
      <c r="VJL6" s="68" t="e" cm="1" vm="1">
        <f t="array" ref="VJL6">_xlfn._xlws.FILTER(TablaProductos[Nombre producto],TablaProductos[Agrupación]=ProductosPivot!VJL5)</f>
        <v>#VALUE!</v>
      </c>
      <c r="VJM6" s="68" t="e" cm="1" vm="1">
        <f t="array" ref="VJM6">_xlfn._xlws.FILTER(TablaProductos[Nombre producto],TablaProductos[Agrupación]=ProductosPivot!VJM5)</f>
        <v>#VALUE!</v>
      </c>
      <c r="VJN6" s="68" t="e" cm="1" vm="1">
        <f t="array" ref="VJN6">_xlfn._xlws.FILTER(TablaProductos[Nombre producto],TablaProductos[Agrupación]=ProductosPivot!VJN5)</f>
        <v>#VALUE!</v>
      </c>
      <c r="VJO6" s="68" t="e" cm="1" vm="1">
        <f t="array" ref="VJO6">_xlfn._xlws.FILTER(TablaProductos[Nombre producto],TablaProductos[Agrupación]=ProductosPivot!VJO5)</f>
        <v>#VALUE!</v>
      </c>
      <c r="VJP6" s="68" t="e" cm="1" vm="1">
        <f t="array" ref="VJP6">_xlfn._xlws.FILTER(TablaProductos[Nombre producto],TablaProductos[Agrupación]=ProductosPivot!VJP5)</f>
        <v>#VALUE!</v>
      </c>
      <c r="VJQ6" s="68" t="e" cm="1" vm="1">
        <f t="array" ref="VJQ6">_xlfn._xlws.FILTER(TablaProductos[Nombre producto],TablaProductos[Agrupación]=ProductosPivot!VJQ5)</f>
        <v>#VALUE!</v>
      </c>
      <c r="VJR6" s="68" t="e" cm="1" vm="1">
        <f t="array" ref="VJR6">_xlfn._xlws.FILTER(TablaProductos[Nombre producto],TablaProductos[Agrupación]=ProductosPivot!VJR5)</f>
        <v>#VALUE!</v>
      </c>
      <c r="VJS6" s="68" t="e" cm="1" vm="1">
        <f t="array" ref="VJS6">_xlfn._xlws.FILTER(TablaProductos[Nombre producto],TablaProductos[Agrupación]=ProductosPivot!VJS5)</f>
        <v>#VALUE!</v>
      </c>
      <c r="VJT6" s="68" t="e" cm="1" vm="1">
        <f t="array" ref="VJT6">_xlfn._xlws.FILTER(TablaProductos[Nombre producto],TablaProductos[Agrupación]=ProductosPivot!VJT5)</f>
        <v>#VALUE!</v>
      </c>
      <c r="VJU6" s="68" t="e" cm="1" vm="1">
        <f t="array" ref="VJU6">_xlfn._xlws.FILTER(TablaProductos[Nombre producto],TablaProductos[Agrupación]=ProductosPivot!VJU5)</f>
        <v>#VALUE!</v>
      </c>
      <c r="VJV6" s="68" t="e" cm="1" vm="1">
        <f t="array" ref="VJV6">_xlfn._xlws.FILTER(TablaProductos[Nombre producto],TablaProductos[Agrupación]=ProductosPivot!VJV5)</f>
        <v>#VALUE!</v>
      </c>
      <c r="VJW6" s="68" t="e" cm="1" vm="1">
        <f t="array" ref="VJW6">_xlfn._xlws.FILTER(TablaProductos[Nombre producto],TablaProductos[Agrupación]=ProductosPivot!VJW5)</f>
        <v>#VALUE!</v>
      </c>
      <c r="VJX6" s="68" t="e" cm="1" vm="1">
        <f t="array" ref="VJX6">_xlfn._xlws.FILTER(TablaProductos[Nombre producto],TablaProductos[Agrupación]=ProductosPivot!VJX5)</f>
        <v>#VALUE!</v>
      </c>
      <c r="VJY6" s="68" t="e" cm="1" vm="1">
        <f t="array" ref="VJY6">_xlfn._xlws.FILTER(TablaProductos[Nombre producto],TablaProductos[Agrupación]=ProductosPivot!VJY5)</f>
        <v>#VALUE!</v>
      </c>
      <c r="VJZ6" s="68" t="e" cm="1" vm="1">
        <f t="array" ref="VJZ6">_xlfn._xlws.FILTER(TablaProductos[Nombre producto],TablaProductos[Agrupación]=ProductosPivot!VJZ5)</f>
        <v>#VALUE!</v>
      </c>
      <c r="VKA6" s="68" t="e" cm="1" vm="1">
        <f t="array" ref="VKA6">_xlfn._xlws.FILTER(TablaProductos[Nombre producto],TablaProductos[Agrupación]=ProductosPivot!VKA5)</f>
        <v>#VALUE!</v>
      </c>
      <c r="VKB6" s="68" t="e" cm="1" vm="1">
        <f t="array" ref="VKB6">_xlfn._xlws.FILTER(TablaProductos[Nombre producto],TablaProductos[Agrupación]=ProductosPivot!VKB5)</f>
        <v>#VALUE!</v>
      </c>
      <c r="VKC6" s="68" t="e" cm="1" vm="1">
        <f t="array" ref="VKC6">_xlfn._xlws.FILTER(TablaProductos[Nombre producto],TablaProductos[Agrupación]=ProductosPivot!VKC5)</f>
        <v>#VALUE!</v>
      </c>
      <c r="VKD6" s="68" t="e" cm="1" vm="1">
        <f t="array" ref="VKD6">_xlfn._xlws.FILTER(TablaProductos[Nombre producto],TablaProductos[Agrupación]=ProductosPivot!VKD5)</f>
        <v>#VALUE!</v>
      </c>
      <c r="VKE6" s="68" t="e" cm="1" vm="1">
        <f t="array" ref="VKE6">_xlfn._xlws.FILTER(TablaProductos[Nombre producto],TablaProductos[Agrupación]=ProductosPivot!VKE5)</f>
        <v>#VALUE!</v>
      </c>
      <c r="VKF6" s="68" t="e" cm="1" vm="1">
        <f t="array" ref="VKF6">_xlfn._xlws.FILTER(TablaProductos[Nombre producto],TablaProductos[Agrupación]=ProductosPivot!VKF5)</f>
        <v>#VALUE!</v>
      </c>
      <c r="VKG6" s="68" t="e" cm="1" vm="1">
        <f t="array" ref="VKG6">_xlfn._xlws.FILTER(TablaProductos[Nombre producto],TablaProductos[Agrupación]=ProductosPivot!VKG5)</f>
        <v>#VALUE!</v>
      </c>
      <c r="VKH6" s="68" t="e" cm="1" vm="1">
        <f t="array" ref="VKH6">_xlfn._xlws.FILTER(TablaProductos[Nombre producto],TablaProductos[Agrupación]=ProductosPivot!VKH5)</f>
        <v>#VALUE!</v>
      </c>
      <c r="VKI6" s="68" t="e" cm="1" vm="1">
        <f t="array" ref="VKI6">_xlfn._xlws.FILTER(TablaProductos[Nombre producto],TablaProductos[Agrupación]=ProductosPivot!VKI5)</f>
        <v>#VALUE!</v>
      </c>
      <c r="VKJ6" s="68" t="e" cm="1" vm="1">
        <f t="array" ref="VKJ6">_xlfn._xlws.FILTER(TablaProductos[Nombre producto],TablaProductos[Agrupación]=ProductosPivot!VKJ5)</f>
        <v>#VALUE!</v>
      </c>
      <c r="VKK6" s="68" t="e" cm="1" vm="1">
        <f t="array" ref="VKK6">_xlfn._xlws.FILTER(TablaProductos[Nombre producto],TablaProductos[Agrupación]=ProductosPivot!VKK5)</f>
        <v>#VALUE!</v>
      </c>
      <c r="VKL6" s="68" t="e" cm="1" vm="1">
        <f t="array" ref="VKL6">_xlfn._xlws.FILTER(TablaProductos[Nombre producto],TablaProductos[Agrupación]=ProductosPivot!VKL5)</f>
        <v>#VALUE!</v>
      </c>
      <c r="VKM6" s="68" t="e" cm="1" vm="1">
        <f t="array" ref="VKM6">_xlfn._xlws.FILTER(TablaProductos[Nombre producto],TablaProductos[Agrupación]=ProductosPivot!VKM5)</f>
        <v>#VALUE!</v>
      </c>
      <c r="VKN6" s="68" t="e" cm="1" vm="1">
        <f t="array" ref="VKN6">_xlfn._xlws.FILTER(TablaProductos[Nombre producto],TablaProductos[Agrupación]=ProductosPivot!VKN5)</f>
        <v>#VALUE!</v>
      </c>
      <c r="VKO6" s="68" t="e" cm="1" vm="1">
        <f t="array" ref="VKO6">_xlfn._xlws.FILTER(TablaProductos[Nombre producto],TablaProductos[Agrupación]=ProductosPivot!VKO5)</f>
        <v>#VALUE!</v>
      </c>
      <c r="VKP6" s="68" t="e" cm="1" vm="1">
        <f t="array" ref="VKP6">_xlfn._xlws.FILTER(TablaProductos[Nombre producto],TablaProductos[Agrupación]=ProductosPivot!VKP5)</f>
        <v>#VALUE!</v>
      </c>
      <c r="VKQ6" s="68" t="e" cm="1" vm="1">
        <f t="array" ref="VKQ6">_xlfn._xlws.FILTER(TablaProductos[Nombre producto],TablaProductos[Agrupación]=ProductosPivot!VKQ5)</f>
        <v>#VALUE!</v>
      </c>
      <c r="VKR6" s="68" t="e" cm="1" vm="1">
        <f t="array" ref="VKR6">_xlfn._xlws.FILTER(TablaProductos[Nombre producto],TablaProductos[Agrupación]=ProductosPivot!VKR5)</f>
        <v>#VALUE!</v>
      </c>
      <c r="VKS6" s="68" t="e" cm="1" vm="1">
        <f t="array" ref="VKS6">_xlfn._xlws.FILTER(TablaProductos[Nombre producto],TablaProductos[Agrupación]=ProductosPivot!VKS5)</f>
        <v>#VALUE!</v>
      </c>
      <c r="VKT6" s="68" t="e" cm="1" vm="1">
        <f t="array" ref="VKT6">_xlfn._xlws.FILTER(TablaProductos[Nombre producto],TablaProductos[Agrupación]=ProductosPivot!VKT5)</f>
        <v>#VALUE!</v>
      </c>
      <c r="VKU6" s="68" t="e" cm="1" vm="1">
        <f t="array" ref="VKU6">_xlfn._xlws.FILTER(TablaProductos[Nombre producto],TablaProductos[Agrupación]=ProductosPivot!VKU5)</f>
        <v>#VALUE!</v>
      </c>
      <c r="VKV6" s="68" t="e" cm="1" vm="1">
        <f t="array" ref="VKV6">_xlfn._xlws.FILTER(TablaProductos[Nombre producto],TablaProductos[Agrupación]=ProductosPivot!VKV5)</f>
        <v>#VALUE!</v>
      </c>
      <c r="VKW6" s="68" t="e" cm="1" vm="1">
        <f t="array" ref="VKW6">_xlfn._xlws.FILTER(TablaProductos[Nombre producto],TablaProductos[Agrupación]=ProductosPivot!VKW5)</f>
        <v>#VALUE!</v>
      </c>
      <c r="VKX6" s="68" t="e" cm="1" vm="1">
        <f t="array" ref="VKX6">_xlfn._xlws.FILTER(TablaProductos[Nombre producto],TablaProductos[Agrupación]=ProductosPivot!VKX5)</f>
        <v>#VALUE!</v>
      </c>
      <c r="VKY6" s="68" t="e" cm="1" vm="1">
        <f t="array" ref="VKY6">_xlfn._xlws.FILTER(TablaProductos[Nombre producto],TablaProductos[Agrupación]=ProductosPivot!VKY5)</f>
        <v>#VALUE!</v>
      </c>
      <c r="VKZ6" s="68" t="e" cm="1" vm="1">
        <f t="array" ref="VKZ6">_xlfn._xlws.FILTER(TablaProductos[Nombre producto],TablaProductos[Agrupación]=ProductosPivot!VKZ5)</f>
        <v>#VALUE!</v>
      </c>
      <c r="VLA6" s="68" t="e" cm="1" vm="1">
        <f t="array" ref="VLA6">_xlfn._xlws.FILTER(TablaProductos[Nombre producto],TablaProductos[Agrupación]=ProductosPivot!VLA5)</f>
        <v>#VALUE!</v>
      </c>
      <c r="VLB6" s="68" t="e" cm="1" vm="1">
        <f t="array" ref="VLB6">_xlfn._xlws.FILTER(TablaProductos[Nombre producto],TablaProductos[Agrupación]=ProductosPivot!VLB5)</f>
        <v>#VALUE!</v>
      </c>
      <c r="VLC6" s="68" t="e" cm="1" vm="1">
        <f t="array" ref="VLC6">_xlfn._xlws.FILTER(TablaProductos[Nombre producto],TablaProductos[Agrupación]=ProductosPivot!VLC5)</f>
        <v>#VALUE!</v>
      </c>
      <c r="VLD6" s="68" t="e" cm="1" vm="1">
        <f t="array" ref="VLD6">_xlfn._xlws.FILTER(TablaProductos[Nombre producto],TablaProductos[Agrupación]=ProductosPivot!VLD5)</f>
        <v>#VALUE!</v>
      </c>
      <c r="VLE6" s="68" t="e" cm="1" vm="1">
        <f t="array" ref="VLE6">_xlfn._xlws.FILTER(TablaProductos[Nombre producto],TablaProductos[Agrupación]=ProductosPivot!VLE5)</f>
        <v>#VALUE!</v>
      </c>
      <c r="VLF6" s="68" t="e" cm="1" vm="1">
        <f t="array" ref="VLF6">_xlfn._xlws.FILTER(TablaProductos[Nombre producto],TablaProductos[Agrupación]=ProductosPivot!VLF5)</f>
        <v>#VALUE!</v>
      </c>
      <c r="VLG6" s="68" t="e" cm="1" vm="1">
        <f t="array" ref="VLG6">_xlfn._xlws.FILTER(TablaProductos[Nombre producto],TablaProductos[Agrupación]=ProductosPivot!VLG5)</f>
        <v>#VALUE!</v>
      </c>
      <c r="VLH6" s="68" t="e" cm="1" vm="1">
        <f t="array" ref="VLH6">_xlfn._xlws.FILTER(TablaProductos[Nombre producto],TablaProductos[Agrupación]=ProductosPivot!VLH5)</f>
        <v>#VALUE!</v>
      </c>
      <c r="VLI6" s="68" t="e" cm="1" vm="1">
        <f t="array" ref="VLI6">_xlfn._xlws.FILTER(TablaProductos[Nombre producto],TablaProductos[Agrupación]=ProductosPivot!VLI5)</f>
        <v>#VALUE!</v>
      </c>
      <c r="VLJ6" s="68" t="e" cm="1" vm="1">
        <f t="array" ref="VLJ6">_xlfn._xlws.FILTER(TablaProductos[Nombre producto],TablaProductos[Agrupación]=ProductosPivot!VLJ5)</f>
        <v>#VALUE!</v>
      </c>
      <c r="VLK6" s="68" t="e" cm="1" vm="1">
        <f t="array" ref="VLK6">_xlfn._xlws.FILTER(TablaProductos[Nombre producto],TablaProductos[Agrupación]=ProductosPivot!VLK5)</f>
        <v>#VALUE!</v>
      </c>
      <c r="VLL6" s="68" t="e" cm="1" vm="1">
        <f t="array" ref="VLL6">_xlfn._xlws.FILTER(TablaProductos[Nombre producto],TablaProductos[Agrupación]=ProductosPivot!VLL5)</f>
        <v>#VALUE!</v>
      </c>
      <c r="VLM6" s="68" t="e" cm="1" vm="1">
        <f t="array" ref="VLM6">_xlfn._xlws.FILTER(TablaProductos[Nombre producto],TablaProductos[Agrupación]=ProductosPivot!VLM5)</f>
        <v>#VALUE!</v>
      </c>
      <c r="VLN6" s="68" t="e" cm="1" vm="1">
        <f t="array" ref="VLN6">_xlfn._xlws.FILTER(TablaProductos[Nombre producto],TablaProductos[Agrupación]=ProductosPivot!VLN5)</f>
        <v>#VALUE!</v>
      </c>
      <c r="VLO6" s="68" t="e" cm="1" vm="1">
        <f t="array" ref="VLO6">_xlfn._xlws.FILTER(TablaProductos[Nombre producto],TablaProductos[Agrupación]=ProductosPivot!VLO5)</f>
        <v>#VALUE!</v>
      </c>
      <c r="VLP6" s="68" t="e" cm="1" vm="1">
        <f t="array" ref="VLP6">_xlfn._xlws.FILTER(TablaProductos[Nombre producto],TablaProductos[Agrupación]=ProductosPivot!VLP5)</f>
        <v>#VALUE!</v>
      </c>
      <c r="VLQ6" s="68" t="e" cm="1" vm="1">
        <f t="array" ref="VLQ6">_xlfn._xlws.FILTER(TablaProductos[Nombre producto],TablaProductos[Agrupación]=ProductosPivot!VLQ5)</f>
        <v>#VALUE!</v>
      </c>
      <c r="VLR6" s="68" t="e" cm="1" vm="1">
        <f t="array" ref="VLR6">_xlfn._xlws.FILTER(TablaProductos[Nombre producto],TablaProductos[Agrupación]=ProductosPivot!VLR5)</f>
        <v>#VALUE!</v>
      </c>
      <c r="VLS6" s="68" t="e" cm="1" vm="1">
        <f t="array" ref="VLS6">_xlfn._xlws.FILTER(TablaProductos[Nombre producto],TablaProductos[Agrupación]=ProductosPivot!VLS5)</f>
        <v>#VALUE!</v>
      </c>
      <c r="VLT6" s="68" t="e" cm="1" vm="1">
        <f t="array" ref="VLT6">_xlfn._xlws.FILTER(TablaProductos[Nombre producto],TablaProductos[Agrupación]=ProductosPivot!VLT5)</f>
        <v>#VALUE!</v>
      </c>
      <c r="VLU6" s="68" t="e" cm="1" vm="1">
        <f t="array" ref="VLU6">_xlfn._xlws.FILTER(TablaProductos[Nombre producto],TablaProductos[Agrupación]=ProductosPivot!VLU5)</f>
        <v>#VALUE!</v>
      </c>
      <c r="VLV6" s="68" t="e" cm="1" vm="1">
        <f t="array" ref="VLV6">_xlfn._xlws.FILTER(TablaProductos[Nombre producto],TablaProductos[Agrupación]=ProductosPivot!VLV5)</f>
        <v>#VALUE!</v>
      </c>
      <c r="VLW6" s="68" t="e" cm="1" vm="1">
        <f t="array" ref="VLW6">_xlfn._xlws.FILTER(TablaProductos[Nombre producto],TablaProductos[Agrupación]=ProductosPivot!VLW5)</f>
        <v>#VALUE!</v>
      </c>
      <c r="VLX6" s="68" t="e" cm="1" vm="1">
        <f t="array" ref="VLX6">_xlfn._xlws.FILTER(TablaProductos[Nombre producto],TablaProductos[Agrupación]=ProductosPivot!VLX5)</f>
        <v>#VALUE!</v>
      </c>
      <c r="VLY6" s="68" t="e" cm="1" vm="1">
        <f t="array" ref="VLY6">_xlfn._xlws.FILTER(TablaProductos[Nombre producto],TablaProductos[Agrupación]=ProductosPivot!VLY5)</f>
        <v>#VALUE!</v>
      </c>
      <c r="VLZ6" s="68" t="e" cm="1" vm="1">
        <f t="array" ref="VLZ6">_xlfn._xlws.FILTER(TablaProductos[Nombre producto],TablaProductos[Agrupación]=ProductosPivot!VLZ5)</f>
        <v>#VALUE!</v>
      </c>
      <c r="VMA6" s="68" t="e" cm="1" vm="1">
        <f t="array" ref="VMA6">_xlfn._xlws.FILTER(TablaProductos[Nombre producto],TablaProductos[Agrupación]=ProductosPivot!VMA5)</f>
        <v>#VALUE!</v>
      </c>
      <c r="VMB6" s="68" t="e" cm="1" vm="1">
        <f t="array" ref="VMB6">_xlfn._xlws.FILTER(TablaProductos[Nombre producto],TablaProductos[Agrupación]=ProductosPivot!VMB5)</f>
        <v>#VALUE!</v>
      </c>
      <c r="VMC6" s="68" t="e" cm="1" vm="1">
        <f t="array" ref="VMC6">_xlfn._xlws.FILTER(TablaProductos[Nombre producto],TablaProductos[Agrupación]=ProductosPivot!VMC5)</f>
        <v>#VALUE!</v>
      </c>
      <c r="VMD6" s="68" t="e" cm="1" vm="1">
        <f t="array" ref="VMD6">_xlfn._xlws.FILTER(TablaProductos[Nombre producto],TablaProductos[Agrupación]=ProductosPivot!VMD5)</f>
        <v>#VALUE!</v>
      </c>
      <c r="VME6" s="68" t="e" cm="1" vm="1">
        <f t="array" ref="VME6">_xlfn._xlws.FILTER(TablaProductos[Nombre producto],TablaProductos[Agrupación]=ProductosPivot!VME5)</f>
        <v>#VALUE!</v>
      </c>
      <c r="VMF6" s="68" t="e" cm="1" vm="1">
        <f t="array" ref="VMF6">_xlfn._xlws.FILTER(TablaProductos[Nombre producto],TablaProductos[Agrupación]=ProductosPivot!VMF5)</f>
        <v>#VALUE!</v>
      </c>
      <c r="VMG6" s="68" t="e" cm="1" vm="1">
        <f t="array" ref="VMG6">_xlfn._xlws.FILTER(TablaProductos[Nombre producto],TablaProductos[Agrupación]=ProductosPivot!VMG5)</f>
        <v>#VALUE!</v>
      </c>
      <c r="VMH6" s="68" t="e" cm="1" vm="1">
        <f t="array" ref="VMH6">_xlfn._xlws.FILTER(TablaProductos[Nombre producto],TablaProductos[Agrupación]=ProductosPivot!VMH5)</f>
        <v>#VALUE!</v>
      </c>
      <c r="VMI6" s="68" t="e" cm="1" vm="1">
        <f t="array" ref="VMI6">_xlfn._xlws.FILTER(TablaProductos[Nombre producto],TablaProductos[Agrupación]=ProductosPivot!VMI5)</f>
        <v>#VALUE!</v>
      </c>
      <c r="VMJ6" s="68" t="e" cm="1" vm="1">
        <f t="array" ref="VMJ6">_xlfn._xlws.FILTER(TablaProductos[Nombre producto],TablaProductos[Agrupación]=ProductosPivot!VMJ5)</f>
        <v>#VALUE!</v>
      </c>
      <c r="VMK6" s="68" t="e" cm="1" vm="1">
        <f t="array" ref="VMK6">_xlfn._xlws.FILTER(TablaProductos[Nombre producto],TablaProductos[Agrupación]=ProductosPivot!VMK5)</f>
        <v>#VALUE!</v>
      </c>
      <c r="VML6" s="68" t="e" cm="1" vm="1">
        <f t="array" ref="VML6">_xlfn._xlws.FILTER(TablaProductos[Nombre producto],TablaProductos[Agrupación]=ProductosPivot!VML5)</f>
        <v>#VALUE!</v>
      </c>
      <c r="VMM6" s="68" t="e" cm="1" vm="1">
        <f t="array" ref="VMM6">_xlfn._xlws.FILTER(TablaProductos[Nombre producto],TablaProductos[Agrupación]=ProductosPivot!VMM5)</f>
        <v>#VALUE!</v>
      </c>
      <c r="VMN6" s="68" t="e" cm="1" vm="1">
        <f t="array" ref="VMN6">_xlfn._xlws.FILTER(TablaProductos[Nombre producto],TablaProductos[Agrupación]=ProductosPivot!VMN5)</f>
        <v>#VALUE!</v>
      </c>
      <c r="VMO6" s="68" t="e" cm="1" vm="1">
        <f t="array" ref="VMO6">_xlfn._xlws.FILTER(TablaProductos[Nombre producto],TablaProductos[Agrupación]=ProductosPivot!VMO5)</f>
        <v>#VALUE!</v>
      </c>
      <c r="VMP6" s="68" t="e" cm="1" vm="1">
        <f t="array" ref="VMP6">_xlfn._xlws.FILTER(TablaProductos[Nombre producto],TablaProductos[Agrupación]=ProductosPivot!VMP5)</f>
        <v>#VALUE!</v>
      </c>
      <c r="VMQ6" s="68" t="e" cm="1" vm="1">
        <f t="array" ref="VMQ6">_xlfn._xlws.FILTER(TablaProductos[Nombre producto],TablaProductos[Agrupación]=ProductosPivot!VMQ5)</f>
        <v>#VALUE!</v>
      </c>
      <c r="VMR6" s="68" t="e" cm="1" vm="1">
        <f t="array" ref="VMR6">_xlfn._xlws.FILTER(TablaProductos[Nombre producto],TablaProductos[Agrupación]=ProductosPivot!VMR5)</f>
        <v>#VALUE!</v>
      </c>
      <c r="VMS6" s="68" t="e" cm="1" vm="1">
        <f t="array" ref="VMS6">_xlfn._xlws.FILTER(TablaProductos[Nombre producto],TablaProductos[Agrupación]=ProductosPivot!VMS5)</f>
        <v>#VALUE!</v>
      </c>
      <c r="VMT6" s="68" t="e" cm="1" vm="1">
        <f t="array" ref="VMT6">_xlfn._xlws.FILTER(TablaProductos[Nombre producto],TablaProductos[Agrupación]=ProductosPivot!VMT5)</f>
        <v>#VALUE!</v>
      </c>
      <c r="VMU6" s="68" t="e" cm="1" vm="1">
        <f t="array" ref="VMU6">_xlfn._xlws.FILTER(TablaProductos[Nombre producto],TablaProductos[Agrupación]=ProductosPivot!VMU5)</f>
        <v>#VALUE!</v>
      </c>
      <c r="VMV6" s="68" t="e" cm="1" vm="1">
        <f t="array" ref="VMV6">_xlfn._xlws.FILTER(TablaProductos[Nombre producto],TablaProductos[Agrupación]=ProductosPivot!VMV5)</f>
        <v>#VALUE!</v>
      </c>
      <c r="VMW6" s="68" t="e" cm="1" vm="1">
        <f t="array" ref="VMW6">_xlfn._xlws.FILTER(TablaProductos[Nombre producto],TablaProductos[Agrupación]=ProductosPivot!VMW5)</f>
        <v>#VALUE!</v>
      </c>
      <c r="VMX6" s="68" t="e" cm="1" vm="1">
        <f t="array" ref="VMX6">_xlfn._xlws.FILTER(TablaProductos[Nombre producto],TablaProductos[Agrupación]=ProductosPivot!VMX5)</f>
        <v>#VALUE!</v>
      </c>
      <c r="VMY6" s="68" t="e" cm="1" vm="1">
        <f t="array" ref="VMY6">_xlfn._xlws.FILTER(TablaProductos[Nombre producto],TablaProductos[Agrupación]=ProductosPivot!VMY5)</f>
        <v>#VALUE!</v>
      </c>
      <c r="VMZ6" s="68" t="e" cm="1" vm="1">
        <f t="array" ref="VMZ6">_xlfn._xlws.FILTER(TablaProductos[Nombre producto],TablaProductos[Agrupación]=ProductosPivot!VMZ5)</f>
        <v>#VALUE!</v>
      </c>
      <c r="VNA6" s="68" t="e" cm="1" vm="1">
        <f t="array" ref="VNA6">_xlfn._xlws.FILTER(TablaProductos[Nombre producto],TablaProductos[Agrupación]=ProductosPivot!VNA5)</f>
        <v>#VALUE!</v>
      </c>
      <c r="VNB6" s="68" t="e" cm="1" vm="1">
        <f t="array" ref="VNB6">_xlfn._xlws.FILTER(TablaProductos[Nombre producto],TablaProductos[Agrupación]=ProductosPivot!VNB5)</f>
        <v>#VALUE!</v>
      </c>
      <c r="VNC6" s="68" t="e" cm="1" vm="1">
        <f t="array" ref="VNC6">_xlfn._xlws.FILTER(TablaProductos[Nombre producto],TablaProductos[Agrupación]=ProductosPivot!VNC5)</f>
        <v>#VALUE!</v>
      </c>
      <c r="VND6" s="68" t="e" cm="1" vm="1">
        <f t="array" ref="VND6">_xlfn._xlws.FILTER(TablaProductos[Nombre producto],TablaProductos[Agrupación]=ProductosPivot!VND5)</f>
        <v>#VALUE!</v>
      </c>
      <c r="VNE6" s="68" t="e" cm="1" vm="1">
        <f t="array" ref="VNE6">_xlfn._xlws.FILTER(TablaProductos[Nombre producto],TablaProductos[Agrupación]=ProductosPivot!VNE5)</f>
        <v>#VALUE!</v>
      </c>
      <c r="VNF6" s="68" t="e" cm="1" vm="1">
        <f t="array" ref="VNF6">_xlfn._xlws.FILTER(TablaProductos[Nombre producto],TablaProductos[Agrupación]=ProductosPivot!VNF5)</f>
        <v>#VALUE!</v>
      </c>
      <c r="VNG6" s="68" t="e" cm="1" vm="1">
        <f t="array" ref="VNG6">_xlfn._xlws.FILTER(TablaProductos[Nombre producto],TablaProductos[Agrupación]=ProductosPivot!VNG5)</f>
        <v>#VALUE!</v>
      </c>
      <c r="VNH6" s="68" t="e" cm="1" vm="1">
        <f t="array" ref="VNH6">_xlfn._xlws.FILTER(TablaProductos[Nombre producto],TablaProductos[Agrupación]=ProductosPivot!VNH5)</f>
        <v>#VALUE!</v>
      </c>
      <c r="VNI6" s="68" t="e" cm="1" vm="1">
        <f t="array" ref="VNI6">_xlfn._xlws.FILTER(TablaProductos[Nombre producto],TablaProductos[Agrupación]=ProductosPivot!VNI5)</f>
        <v>#VALUE!</v>
      </c>
      <c r="VNJ6" s="68" t="e" cm="1" vm="1">
        <f t="array" ref="VNJ6">_xlfn._xlws.FILTER(TablaProductos[Nombre producto],TablaProductos[Agrupación]=ProductosPivot!VNJ5)</f>
        <v>#VALUE!</v>
      </c>
      <c r="VNK6" s="68" t="e" cm="1" vm="1">
        <f t="array" ref="VNK6">_xlfn._xlws.FILTER(TablaProductos[Nombre producto],TablaProductos[Agrupación]=ProductosPivot!VNK5)</f>
        <v>#VALUE!</v>
      </c>
      <c r="VNL6" s="68" t="e" cm="1" vm="1">
        <f t="array" ref="VNL6">_xlfn._xlws.FILTER(TablaProductos[Nombre producto],TablaProductos[Agrupación]=ProductosPivot!VNL5)</f>
        <v>#VALUE!</v>
      </c>
      <c r="VNM6" s="68" t="e" cm="1" vm="1">
        <f t="array" ref="VNM6">_xlfn._xlws.FILTER(TablaProductos[Nombre producto],TablaProductos[Agrupación]=ProductosPivot!VNM5)</f>
        <v>#VALUE!</v>
      </c>
      <c r="VNN6" s="68" t="e" cm="1" vm="1">
        <f t="array" ref="VNN6">_xlfn._xlws.FILTER(TablaProductos[Nombre producto],TablaProductos[Agrupación]=ProductosPivot!VNN5)</f>
        <v>#VALUE!</v>
      </c>
      <c r="VNO6" s="68" t="e" cm="1" vm="1">
        <f t="array" ref="VNO6">_xlfn._xlws.FILTER(TablaProductos[Nombre producto],TablaProductos[Agrupación]=ProductosPivot!VNO5)</f>
        <v>#VALUE!</v>
      </c>
      <c r="VNP6" s="68" t="e" cm="1" vm="1">
        <f t="array" ref="VNP6">_xlfn._xlws.FILTER(TablaProductos[Nombre producto],TablaProductos[Agrupación]=ProductosPivot!VNP5)</f>
        <v>#VALUE!</v>
      </c>
      <c r="VNQ6" s="68" t="e" cm="1" vm="1">
        <f t="array" ref="VNQ6">_xlfn._xlws.FILTER(TablaProductos[Nombre producto],TablaProductos[Agrupación]=ProductosPivot!VNQ5)</f>
        <v>#VALUE!</v>
      </c>
      <c r="VNR6" s="68" t="e" cm="1" vm="1">
        <f t="array" ref="VNR6">_xlfn._xlws.FILTER(TablaProductos[Nombre producto],TablaProductos[Agrupación]=ProductosPivot!VNR5)</f>
        <v>#VALUE!</v>
      </c>
      <c r="VNS6" s="68" t="e" cm="1" vm="1">
        <f t="array" ref="VNS6">_xlfn._xlws.FILTER(TablaProductos[Nombre producto],TablaProductos[Agrupación]=ProductosPivot!VNS5)</f>
        <v>#VALUE!</v>
      </c>
      <c r="VNT6" s="68" t="e" cm="1" vm="1">
        <f t="array" ref="VNT6">_xlfn._xlws.FILTER(TablaProductos[Nombre producto],TablaProductos[Agrupación]=ProductosPivot!VNT5)</f>
        <v>#VALUE!</v>
      </c>
      <c r="VNU6" s="68" t="e" cm="1" vm="1">
        <f t="array" ref="VNU6">_xlfn._xlws.FILTER(TablaProductos[Nombre producto],TablaProductos[Agrupación]=ProductosPivot!VNU5)</f>
        <v>#VALUE!</v>
      </c>
      <c r="VNV6" s="68" t="e" cm="1" vm="1">
        <f t="array" ref="VNV6">_xlfn._xlws.FILTER(TablaProductos[Nombre producto],TablaProductos[Agrupación]=ProductosPivot!VNV5)</f>
        <v>#VALUE!</v>
      </c>
      <c r="VNW6" s="68" t="e" cm="1" vm="1">
        <f t="array" ref="VNW6">_xlfn._xlws.FILTER(TablaProductos[Nombre producto],TablaProductos[Agrupación]=ProductosPivot!VNW5)</f>
        <v>#VALUE!</v>
      </c>
      <c r="VNX6" s="68" t="e" cm="1" vm="1">
        <f t="array" ref="VNX6">_xlfn._xlws.FILTER(TablaProductos[Nombre producto],TablaProductos[Agrupación]=ProductosPivot!VNX5)</f>
        <v>#VALUE!</v>
      </c>
      <c r="VNY6" s="68" t="e" cm="1" vm="1">
        <f t="array" ref="VNY6">_xlfn._xlws.FILTER(TablaProductos[Nombre producto],TablaProductos[Agrupación]=ProductosPivot!VNY5)</f>
        <v>#VALUE!</v>
      </c>
      <c r="VNZ6" s="68" t="e" cm="1" vm="1">
        <f t="array" ref="VNZ6">_xlfn._xlws.FILTER(TablaProductos[Nombre producto],TablaProductos[Agrupación]=ProductosPivot!VNZ5)</f>
        <v>#VALUE!</v>
      </c>
      <c r="VOA6" s="68" t="e" cm="1" vm="1">
        <f t="array" ref="VOA6">_xlfn._xlws.FILTER(TablaProductos[Nombre producto],TablaProductos[Agrupación]=ProductosPivot!VOA5)</f>
        <v>#VALUE!</v>
      </c>
      <c r="VOB6" s="68" t="e" cm="1" vm="1">
        <f t="array" ref="VOB6">_xlfn._xlws.FILTER(TablaProductos[Nombre producto],TablaProductos[Agrupación]=ProductosPivot!VOB5)</f>
        <v>#VALUE!</v>
      </c>
      <c r="VOC6" s="68" t="e" cm="1" vm="1">
        <f t="array" ref="VOC6">_xlfn._xlws.FILTER(TablaProductos[Nombre producto],TablaProductos[Agrupación]=ProductosPivot!VOC5)</f>
        <v>#VALUE!</v>
      </c>
      <c r="VOD6" s="68" t="e" cm="1" vm="1">
        <f t="array" ref="VOD6">_xlfn._xlws.FILTER(TablaProductos[Nombre producto],TablaProductos[Agrupación]=ProductosPivot!VOD5)</f>
        <v>#VALUE!</v>
      </c>
      <c r="VOE6" s="68" t="e" cm="1" vm="1">
        <f t="array" ref="VOE6">_xlfn._xlws.FILTER(TablaProductos[Nombre producto],TablaProductos[Agrupación]=ProductosPivot!VOE5)</f>
        <v>#VALUE!</v>
      </c>
      <c r="VOF6" s="68" t="e" cm="1" vm="1">
        <f t="array" ref="VOF6">_xlfn._xlws.FILTER(TablaProductos[Nombre producto],TablaProductos[Agrupación]=ProductosPivot!VOF5)</f>
        <v>#VALUE!</v>
      </c>
      <c r="VOG6" s="68" t="e" cm="1" vm="1">
        <f t="array" ref="VOG6">_xlfn._xlws.FILTER(TablaProductos[Nombre producto],TablaProductos[Agrupación]=ProductosPivot!VOG5)</f>
        <v>#VALUE!</v>
      </c>
      <c r="VOH6" s="68" t="e" cm="1" vm="1">
        <f t="array" ref="VOH6">_xlfn._xlws.FILTER(TablaProductos[Nombre producto],TablaProductos[Agrupación]=ProductosPivot!VOH5)</f>
        <v>#VALUE!</v>
      </c>
      <c r="VOI6" s="68" t="e" cm="1" vm="1">
        <f t="array" ref="VOI6">_xlfn._xlws.FILTER(TablaProductos[Nombre producto],TablaProductos[Agrupación]=ProductosPivot!VOI5)</f>
        <v>#VALUE!</v>
      </c>
      <c r="VOJ6" s="68" t="e" cm="1" vm="1">
        <f t="array" ref="VOJ6">_xlfn._xlws.FILTER(TablaProductos[Nombre producto],TablaProductos[Agrupación]=ProductosPivot!VOJ5)</f>
        <v>#VALUE!</v>
      </c>
      <c r="VOK6" s="68" t="e" cm="1" vm="1">
        <f t="array" ref="VOK6">_xlfn._xlws.FILTER(TablaProductos[Nombre producto],TablaProductos[Agrupación]=ProductosPivot!VOK5)</f>
        <v>#VALUE!</v>
      </c>
      <c r="VOL6" s="68" t="e" cm="1" vm="1">
        <f t="array" ref="VOL6">_xlfn._xlws.FILTER(TablaProductos[Nombre producto],TablaProductos[Agrupación]=ProductosPivot!VOL5)</f>
        <v>#VALUE!</v>
      </c>
      <c r="VOM6" s="68" t="e" cm="1" vm="1">
        <f t="array" ref="VOM6">_xlfn._xlws.FILTER(TablaProductos[Nombre producto],TablaProductos[Agrupación]=ProductosPivot!VOM5)</f>
        <v>#VALUE!</v>
      </c>
      <c r="VON6" s="68" t="e" cm="1" vm="1">
        <f t="array" ref="VON6">_xlfn._xlws.FILTER(TablaProductos[Nombre producto],TablaProductos[Agrupación]=ProductosPivot!VON5)</f>
        <v>#VALUE!</v>
      </c>
      <c r="VOO6" s="68" t="e" cm="1" vm="1">
        <f t="array" ref="VOO6">_xlfn._xlws.FILTER(TablaProductos[Nombre producto],TablaProductos[Agrupación]=ProductosPivot!VOO5)</f>
        <v>#VALUE!</v>
      </c>
      <c r="VOP6" s="68" t="e" cm="1" vm="1">
        <f t="array" ref="VOP6">_xlfn._xlws.FILTER(TablaProductos[Nombre producto],TablaProductos[Agrupación]=ProductosPivot!VOP5)</f>
        <v>#VALUE!</v>
      </c>
      <c r="VOQ6" s="68" t="e" cm="1" vm="1">
        <f t="array" ref="VOQ6">_xlfn._xlws.FILTER(TablaProductos[Nombre producto],TablaProductos[Agrupación]=ProductosPivot!VOQ5)</f>
        <v>#VALUE!</v>
      </c>
      <c r="VOR6" s="68" t="e" cm="1" vm="1">
        <f t="array" ref="VOR6">_xlfn._xlws.FILTER(TablaProductos[Nombre producto],TablaProductos[Agrupación]=ProductosPivot!VOR5)</f>
        <v>#VALUE!</v>
      </c>
      <c r="VOS6" s="68" t="e" cm="1" vm="1">
        <f t="array" ref="VOS6">_xlfn._xlws.FILTER(TablaProductos[Nombre producto],TablaProductos[Agrupación]=ProductosPivot!VOS5)</f>
        <v>#VALUE!</v>
      </c>
      <c r="VOT6" s="68" t="e" cm="1" vm="1">
        <f t="array" ref="VOT6">_xlfn._xlws.FILTER(TablaProductos[Nombre producto],TablaProductos[Agrupación]=ProductosPivot!VOT5)</f>
        <v>#VALUE!</v>
      </c>
      <c r="VOU6" s="68" t="e" cm="1" vm="1">
        <f t="array" ref="VOU6">_xlfn._xlws.FILTER(TablaProductos[Nombre producto],TablaProductos[Agrupación]=ProductosPivot!VOU5)</f>
        <v>#VALUE!</v>
      </c>
      <c r="VOV6" s="68" t="e" cm="1" vm="1">
        <f t="array" ref="VOV6">_xlfn._xlws.FILTER(TablaProductos[Nombre producto],TablaProductos[Agrupación]=ProductosPivot!VOV5)</f>
        <v>#VALUE!</v>
      </c>
      <c r="VOW6" s="68" t="e" cm="1" vm="1">
        <f t="array" ref="VOW6">_xlfn._xlws.FILTER(TablaProductos[Nombre producto],TablaProductos[Agrupación]=ProductosPivot!VOW5)</f>
        <v>#VALUE!</v>
      </c>
      <c r="VOX6" s="68" t="e" cm="1" vm="1">
        <f t="array" ref="VOX6">_xlfn._xlws.FILTER(TablaProductos[Nombre producto],TablaProductos[Agrupación]=ProductosPivot!VOX5)</f>
        <v>#VALUE!</v>
      </c>
      <c r="VOY6" s="68" t="e" cm="1" vm="1">
        <f t="array" ref="VOY6">_xlfn._xlws.FILTER(TablaProductos[Nombre producto],TablaProductos[Agrupación]=ProductosPivot!VOY5)</f>
        <v>#VALUE!</v>
      </c>
      <c r="VOZ6" s="68" t="e" cm="1" vm="1">
        <f t="array" ref="VOZ6">_xlfn._xlws.FILTER(TablaProductos[Nombre producto],TablaProductos[Agrupación]=ProductosPivot!VOZ5)</f>
        <v>#VALUE!</v>
      </c>
      <c r="VPA6" s="68" t="e" cm="1" vm="1">
        <f t="array" ref="VPA6">_xlfn._xlws.FILTER(TablaProductos[Nombre producto],TablaProductos[Agrupación]=ProductosPivot!VPA5)</f>
        <v>#VALUE!</v>
      </c>
      <c r="VPB6" s="68" t="e" cm="1" vm="1">
        <f t="array" ref="VPB6">_xlfn._xlws.FILTER(TablaProductos[Nombre producto],TablaProductos[Agrupación]=ProductosPivot!VPB5)</f>
        <v>#VALUE!</v>
      </c>
      <c r="VPC6" s="68" t="e" cm="1" vm="1">
        <f t="array" ref="VPC6">_xlfn._xlws.FILTER(TablaProductos[Nombre producto],TablaProductos[Agrupación]=ProductosPivot!VPC5)</f>
        <v>#VALUE!</v>
      </c>
      <c r="VPD6" s="68" t="e" cm="1" vm="1">
        <f t="array" ref="VPD6">_xlfn._xlws.FILTER(TablaProductos[Nombre producto],TablaProductos[Agrupación]=ProductosPivot!VPD5)</f>
        <v>#VALUE!</v>
      </c>
      <c r="VPE6" s="68" t="e" cm="1" vm="1">
        <f t="array" ref="VPE6">_xlfn._xlws.FILTER(TablaProductos[Nombre producto],TablaProductos[Agrupación]=ProductosPivot!VPE5)</f>
        <v>#VALUE!</v>
      </c>
      <c r="VPF6" s="68" t="e" cm="1" vm="1">
        <f t="array" ref="VPF6">_xlfn._xlws.FILTER(TablaProductos[Nombre producto],TablaProductos[Agrupación]=ProductosPivot!VPF5)</f>
        <v>#VALUE!</v>
      </c>
      <c r="VPG6" s="68" t="e" cm="1" vm="1">
        <f t="array" ref="VPG6">_xlfn._xlws.FILTER(TablaProductos[Nombre producto],TablaProductos[Agrupación]=ProductosPivot!VPG5)</f>
        <v>#VALUE!</v>
      </c>
      <c r="VPH6" s="68" t="e" cm="1" vm="1">
        <f t="array" ref="VPH6">_xlfn._xlws.FILTER(TablaProductos[Nombre producto],TablaProductos[Agrupación]=ProductosPivot!VPH5)</f>
        <v>#VALUE!</v>
      </c>
      <c r="VPI6" s="68" t="e" cm="1" vm="1">
        <f t="array" ref="VPI6">_xlfn._xlws.FILTER(TablaProductos[Nombre producto],TablaProductos[Agrupación]=ProductosPivot!VPI5)</f>
        <v>#VALUE!</v>
      </c>
      <c r="VPJ6" s="68" t="e" cm="1" vm="1">
        <f t="array" ref="VPJ6">_xlfn._xlws.FILTER(TablaProductos[Nombre producto],TablaProductos[Agrupación]=ProductosPivot!VPJ5)</f>
        <v>#VALUE!</v>
      </c>
      <c r="VPK6" s="68" t="e" cm="1" vm="1">
        <f t="array" ref="VPK6">_xlfn._xlws.FILTER(TablaProductos[Nombre producto],TablaProductos[Agrupación]=ProductosPivot!VPK5)</f>
        <v>#VALUE!</v>
      </c>
      <c r="VPL6" s="68" t="e" cm="1" vm="1">
        <f t="array" ref="VPL6">_xlfn._xlws.FILTER(TablaProductos[Nombre producto],TablaProductos[Agrupación]=ProductosPivot!VPL5)</f>
        <v>#VALUE!</v>
      </c>
      <c r="VPM6" s="68" t="e" cm="1" vm="1">
        <f t="array" ref="VPM6">_xlfn._xlws.FILTER(TablaProductos[Nombre producto],TablaProductos[Agrupación]=ProductosPivot!VPM5)</f>
        <v>#VALUE!</v>
      </c>
      <c r="VPN6" s="68" t="e" cm="1" vm="1">
        <f t="array" ref="VPN6">_xlfn._xlws.FILTER(TablaProductos[Nombre producto],TablaProductos[Agrupación]=ProductosPivot!VPN5)</f>
        <v>#VALUE!</v>
      </c>
      <c r="VPO6" s="68" t="e" cm="1" vm="1">
        <f t="array" ref="VPO6">_xlfn._xlws.FILTER(TablaProductos[Nombre producto],TablaProductos[Agrupación]=ProductosPivot!VPO5)</f>
        <v>#VALUE!</v>
      </c>
      <c r="VPP6" s="68" t="e" cm="1" vm="1">
        <f t="array" ref="VPP6">_xlfn._xlws.FILTER(TablaProductos[Nombre producto],TablaProductos[Agrupación]=ProductosPivot!VPP5)</f>
        <v>#VALUE!</v>
      </c>
      <c r="VPQ6" s="68" t="e" cm="1" vm="1">
        <f t="array" ref="VPQ6">_xlfn._xlws.FILTER(TablaProductos[Nombre producto],TablaProductos[Agrupación]=ProductosPivot!VPQ5)</f>
        <v>#VALUE!</v>
      </c>
      <c r="VPR6" s="68" t="e" cm="1" vm="1">
        <f t="array" ref="VPR6">_xlfn._xlws.FILTER(TablaProductos[Nombre producto],TablaProductos[Agrupación]=ProductosPivot!VPR5)</f>
        <v>#VALUE!</v>
      </c>
      <c r="VPS6" s="68" t="e" cm="1" vm="1">
        <f t="array" ref="VPS6">_xlfn._xlws.FILTER(TablaProductos[Nombre producto],TablaProductos[Agrupación]=ProductosPivot!VPS5)</f>
        <v>#VALUE!</v>
      </c>
      <c r="VPT6" s="68" t="e" cm="1" vm="1">
        <f t="array" ref="VPT6">_xlfn._xlws.FILTER(TablaProductos[Nombre producto],TablaProductos[Agrupación]=ProductosPivot!VPT5)</f>
        <v>#VALUE!</v>
      </c>
      <c r="VPU6" s="68" t="e" cm="1" vm="1">
        <f t="array" ref="VPU6">_xlfn._xlws.FILTER(TablaProductos[Nombre producto],TablaProductos[Agrupación]=ProductosPivot!VPU5)</f>
        <v>#VALUE!</v>
      </c>
      <c r="VPV6" s="68" t="e" cm="1" vm="1">
        <f t="array" ref="VPV6">_xlfn._xlws.FILTER(TablaProductos[Nombre producto],TablaProductos[Agrupación]=ProductosPivot!VPV5)</f>
        <v>#VALUE!</v>
      </c>
      <c r="VPW6" s="68" t="e" cm="1" vm="1">
        <f t="array" ref="VPW6">_xlfn._xlws.FILTER(TablaProductos[Nombre producto],TablaProductos[Agrupación]=ProductosPivot!VPW5)</f>
        <v>#VALUE!</v>
      </c>
      <c r="VPX6" s="68" t="e" cm="1" vm="1">
        <f t="array" ref="VPX6">_xlfn._xlws.FILTER(TablaProductos[Nombre producto],TablaProductos[Agrupación]=ProductosPivot!VPX5)</f>
        <v>#VALUE!</v>
      </c>
      <c r="VPY6" s="68" t="e" cm="1" vm="1">
        <f t="array" ref="VPY6">_xlfn._xlws.FILTER(TablaProductos[Nombre producto],TablaProductos[Agrupación]=ProductosPivot!VPY5)</f>
        <v>#VALUE!</v>
      </c>
      <c r="VPZ6" s="68" t="e" cm="1" vm="1">
        <f t="array" ref="VPZ6">_xlfn._xlws.FILTER(TablaProductos[Nombre producto],TablaProductos[Agrupación]=ProductosPivot!VPZ5)</f>
        <v>#VALUE!</v>
      </c>
      <c r="VQA6" s="68" t="e" cm="1" vm="1">
        <f t="array" ref="VQA6">_xlfn._xlws.FILTER(TablaProductos[Nombre producto],TablaProductos[Agrupación]=ProductosPivot!VQA5)</f>
        <v>#VALUE!</v>
      </c>
      <c r="VQB6" s="68" t="e" cm="1" vm="1">
        <f t="array" ref="VQB6">_xlfn._xlws.FILTER(TablaProductos[Nombre producto],TablaProductos[Agrupación]=ProductosPivot!VQB5)</f>
        <v>#VALUE!</v>
      </c>
      <c r="VQC6" s="68" t="e" cm="1" vm="1">
        <f t="array" ref="VQC6">_xlfn._xlws.FILTER(TablaProductos[Nombre producto],TablaProductos[Agrupación]=ProductosPivot!VQC5)</f>
        <v>#VALUE!</v>
      </c>
      <c r="VQD6" s="68" t="e" cm="1" vm="1">
        <f t="array" ref="VQD6">_xlfn._xlws.FILTER(TablaProductos[Nombre producto],TablaProductos[Agrupación]=ProductosPivot!VQD5)</f>
        <v>#VALUE!</v>
      </c>
      <c r="VQE6" s="68" t="e" cm="1" vm="1">
        <f t="array" ref="VQE6">_xlfn._xlws.FILTER(TablaProductos[Nombre producto],TablaProductos[Agrupación]=ProductosPivot!VQE5)</f>
        <v>#VALUE!</v>
      </c>
      <c r="VQF6" s="68" t="e" cm="1" vm="1">
        <f t="array" ref="VQF6">_xlfn._xlws.FILTER(TablaProductos[Nombre producto],TablaProductos[Agrupación]=ProductosPivot!VQF5)</f>
        <v>#VALUE!</v>
      </c>
      <c r="VQG6" s="68" t="e" cm="1" vm="1">
        <f t="array" ref="VQG6">_xlfn._xlws.FILTER(TablaProductos[Nombre producto],TablaProductos[Agrupación]=ProductosPivot!VQG5)</f>
        <v>#VALUE!</v>
      </c>
      <c r="VQH6" s="68" t="e" cm="1" vm="1">
        <f t="array" ref="VQH6">_xlfn._xlws.FILTER(TablaProductos[Nombre producto],TablaProductos[Agrupación]=ProductosPivot!VQH5)</f>
        <v>#VALUE!</v>
      </c>
      <c r="VQI6" s="68" t="e" cm="1" vm="1">
        <f t="array" ref="VQI6">_xlfn._xlws.FILTER(TablaProductos[Nombre producto],TablaProductos[Agrupación]=ProductosPivot!VQI5)</f>
        <v>#VALUE!</v>
      </c>
      <c r="VQJ6" s="68" t="e" cm="1" vm="1">
        <f t="array" ref="VQJ6">_xlfn._xlws.FILTER(TablaProductos[Nombre producto],TablaProductos[Agrupación]=ProductosPivot!VQJ5)</f>
        <v>#VALUE!</v>
      </c>
      <c r="VQK6" s="68" t="e" cm="1" vm="1">
        <f t="array" ref="VQK6">_xlfn._xlws.FILTER(TablaProductos[Nombre producto],TablaProductos[Agrupación]=ProductosPivot!VQK5)</f>
        <v>#VALUE!</v>
      </c>
      <c r="VQL6" s="68" t="e" cm="1" vm="1">
        <f t="array" ref="VQL6">_xlfn._xlws.FILTER(TablaProductos[Nombre producto],TablaProductos[Agrupación]=ProductosPivot!VQL5)</f>
        <v>#VALUE!</v>
      </c>
      <c r="VQM6" s="68" t="e" cm="1" vm="1">
        <f t="array" ref="VQM6">_xlfn._xlws.FILTER(TablaProductos[Nombre producto],TablaProductos[Agrupación]=ProductosPivot!VQM5)</f>
        <v>#VALUE!</v>
      </c>
      <c r="VQN6" s="68" t="e" cm="1" vm="1">
        <f t="array" ref="VQN6">_xlfn._xlws.FILTER(TablaProductos[Nombre producto],TablaProductos[Agrupación]=ProductosPivot!VQN5)</f>
        <v>#VALUE!</v>
      </c>
      <c r="VQO6" s="68" t="e" cm="1" vm="1">
        <f t="array" ref="VQO6">_xlfn._xlws.FILTER(TablaProductos[Nombre producto],TablaProductos[Agrupación]=ProductosPivot!VQO5)</f>
        <v>#VALUE!</v>
      </c>
      <c r="VQP6" s="68" t="e" cm="1" vm="1">
        <f t="array" ref="VQP6">_xlfn._xlws.FILTER(TablaProductos[Nombre producto],TablaProductos[Agrupación]=ProductosPivot!VQP5)</f>
        <v>#VALUE!</v>
      </c>
      <c r="VQQ6" s="68" t="e" cm="1" vm="1">
        <f t="array" ref="VQQ6">_xlfn._xlws.FILTER(TablaProductos[Nombre producto],TablaProductos[Agrupación]=ProductosPivot!VQQ5)</f>
        <v>#VALUE!</v>
      </c>
      <c r="VQR6" s="68" t="e" cm="1" vm="1">
        <f t="array" ref="VQR6">_xlfn._xlws.FILTER(TablaProductos[Nombre producto],TablaProductos[Agrupación]=ProductosPivot!VQR5)</f>
        <v>#VALUE!</v>
      </c>
      <c r="VQS6" s="68" t="e" cm="1" vm="1">
        <f t="array" ref="VQS6">_xlfn._xlws.FILTER(TablaProductos[Nombre producto],TablaProductos[Agrupación]=ProductosPivot!VQS5)</f>
        <v>#VALUE!</v>
      </c>
      <c r="VQT6" s="68" t="e" cm="1" vm="1">
        <f t="array" ref="VQT6">_xlfn._xlws.FILTER(TablaProductos[Nombre producto],TablaProductos[Agrupación]=ProductosPivot!VQT5)</f>
        <v>#VALUE!</v>
      </c>
      <c r="VQU6" s="68" t="e" cm="1" vm="1">
        <f t="array" ref="VQU6">_xlfn._xlws.FILTER(TablaProductos[Nombre producto],TablaProductos[Agrupación]=ProductosPivot!VQU5)</f>
        <v>#VALUE!</v>
      </c>
      <c r="VQV6" s="68" t="e" cm="1" vm="1">
        <f t="array" ref="VQV6">_xlfn._xlws.FILTER(TablaProductos[Nombre producto],TablaProductos[Agrupación]=ProductosPivot!VQV5)</f>
        <v>#VALUE!</v>
      </c>
      <c r="VQW6" s="68" t="e" cm="1" vm="1">
        <f t="array" ref="VQW6">_xlfn._xlws.FILTER(TablaProductos[Nombre producto],TablaProductos[Agrupación]=ProductosPivot!VQW5)</f>
        <v>#VALUE!</v>
      </c>
      <c r="VQX6" s="68" t="e" cm="1" vm="1">
        <f t="array" ref="VQX6">_xlfn._xlws.FILTER(TablaProductos[Nombre producto],TablaProductos[Agrupación]=ProductosPivot!VQX5)</f>
        <v>#VALUE!</v>
      </c>
      <c r="VQY6" s="68" t="e" cm="1" vm="1">
        <f t="array" ref="VQY6">_xlfn._xlws.FILTER(TablaProductos[Nombre producto],TablaProductos[Agrupación]=ProductosPivot!VQY5)</f>
        <v>#VALUE!</v>
      </c>
      <c r="VQZ6" s="68" t="e" cm="1" vm="1">
        <f t="array" ref="VQZ6">_xlfn._xlws.FILTER(TablaProductos[Nombre producto],TablaProductos[Agrupación]=ProductosPivot!VQZ5)</f>
        <v>#VALUE!</v>
      </c>
      <c r="VRA6" s="68" t="e" cm="1" vm="1">
        <f t="array" ref="VRA6">_xlfn._xlws.FILTER(TablaProductos[Nombre producto],TablaProductos[Agrupación]=ProductosPivot!VRA5)</f>
        <v>#VALUE!</v>
      </c>
      <c r="VRB6" s="68" t="e" cm="1" vm="1">
        <f t="array" ref="VRB6">_xlfn._xlws.FILTER(TablaProductos[Nombre producto],TablaProductos[Agrupación]=ProductosPivot!VRB5)</f>
        <v>#VALUE!</v>
      </c>
      <c r="VRC6" s="68" t="e" cm="1" vm="1">
        <f t="array" ref="VRC6">_xlfn._xlws.FILTER(TablaProductos[Nombre producto],TablaProductos[Agrupación]=ProductosPivot!VRC5)</f>
        <v>#VALUE!</v>
      </c>
      <c r="VRD6" s="68" t="e" cm="1" vm="1">
        <f t="array" ref="VRD6">_xlfn._xlws.FILTER(TablaProductos[Nombre producto],TablaProductos[Agrupación]=ProductosPivot!VRD5)</f>
        <v>#VALUE!</v>
      </c>
      <c r="VRE6" s="68" t="e" cm="1" vm="1">
        <f t="array" ref="VRE6">_xlfn._xlws.FILTER(TablaProductos[Nombre producto],TablaProductos[Agrupación]=ProductosPivot!VRE5)</f>
        <v>#VALUE!</v>
      </c>
      <c r="VRF6" s="68" t="e" cm="1" vm="1">
        <f t="array" ref="VRF6">_xlfn._xlws.FILTER(TablaProductos[Nombre producto],TablaProductos[Agrupación]=ProductosPivot!VRF5)</f>
        <v>#VALUE!</v>
      </c>
      <c r="VRG6" s="68" t="e" cm="1" vm="1">
        <f t="array" ref="VRG6">_xlfn._xlws.FILTER(TablaProductos[Nombre producto],TablaProductos[Agrupación]=ProductosPivot!VRG5)</f>
        <v>#VALUE!</v>
      </c>
      <c r="VRH6" s="68" t="e" cm="1" vm="1">
        <f t="array" ref="VRH6">_xlfn._xlws.FILTER(TablaProductos[Nombre producto],TablaProductos[Agrupación]=ProductosPivot!VRH5)</f>
        <v>#VALUE!</v>
      </c>
      <c r="VRI6" s="68" t="e" cm="1" vm="1">
        <f t="array" ref="VRI6">_xlfn._xlws.FILTER(TablaProductos[Nombre producto],TablaProductos[Agrupación]=ProductosPivot!VRI5)</f>
        <v>#VALUE!</v>
      </c>
      <c r="VRJ6" s="68" t="e" cm="1" vm="1">
        <f t="array" ref="VRJ6">_xlfn._xlws.FILTER(TablaProductos[Nombre producto],TablaProductos[Agrupación]=ProductosPivot!VRJ5)</f>
        <v>#VALUE!</v>
      </c>
      <c r="VRK6" s="68" t="e" cm="1" vm="1">
        <f t="array" ref="VRK6">_xlfn._xlws.FILTER(TablaProductos[Nombre producto],TablaProductos[Agrupación]=ProductosPivot!VRK5)</f>
        <v>#VALUE!</v>
      </c>
      <c r="VRL6" s="68" t="e" cm="1" vm="1">
        <f t="array" ref="VRL6">_xlfn._xlws.FILTER(TablaProductos[Nombre producto],TablaProductos[Agrupación]=ProductosPivot!VRL5)</f>
        <v>#VALUE!</v>
      </c>
      <c r="VRM6" s="68" t="e" cm="1" vm="1">
        <f t="array" ref="VRM6">_xlfn._xlws.FILTER(TablaProductos[Nombre producto],TablaProductos[Agrupación]=ProductosPivot!VRM5)</f>
        <v>#VALUE!</v>
      </c>
      <c r="VRN6" s="68" t="e" cm="1" vm="1">
        <f t="array" ref="VRN6">_xlfn._xlws.FILTER(TablaProductos[Nombre producto],TablaProductos[Agrupación]=ProductosPivot!VRN5)</f>
        <v>#VALUE!</v>
      </c>
      <c r="VRO6" s="68" t="e" cm="1" vm="1">
        <f t="array" ref="VRO6">_xlfn._xlws.FILTER(TablaProductos[Nombre producto],TablaProductos[Agrupación]=ProductosPivot!VRO5)</f>
        <v>#VALUE!</v>
      </c>
      <c r="VRP6" s="68" t="e" cm="1" vm="1">
        <f t="array" ref="VRP6">_xlfn._xlws.FILTER(TablaProductos[Nombre producto],TablaProductos[Agrupación]=ProductosPivot!VRP5)</f>
        <v>#VALUE!</v>
      </c>
      <c r="VRQ6" s="68" t="e" cm="1" vm="1">
        <f t="array" ref="VRQ6">_xlfn._xlws.FILTER(TablaProductos[Nombre producto],TablaProductos[Agrupación]=ProductosPivot!VRQ5)</f>
        <v>#VALUE!</v>
      </c>
      <c r="VRR6" s="68" t="e" cm="1" vm="1">
        <f t="array" ref="VRR6">_xlfn._xlws.FILTER(TablaProductos[Nombre producto],TablaProductos[Agrupación]=ProductosPivot!VRR5)</f>
        <v>#VALUE!</v>
      </c>
      <c r="VRS6" s="68" t="e" cm="1" vm="1">
        <f t="array" ref="VRS6">_xlfn._xlws.FILTER(TablaProductos[Nombre producto],TablaProductos[Agrupación]=ProductosPivot!VRS5)</f>
        <v>#VALUE!</v>
      </c>
      <c r="VRT6" s="68" t="e" cm="1" vm="1">
        <f t="array" ref="VRT6">_xlfn._xlws.FILTER(TablaProductos[Nombre producto],TablaProductos[Agrupación]=ProductosPivot!VRT5)</f>
        <v>#VALUE!</v>
      </c>
      <c r="VRU6" s="68" t="e" cm="1" vm="1">
        <f t="array" ref="VRU6">_xlfn._xlws.FILTER(TablaProductos[Nombre producto],TablaProductos[Agrupación]=ProductosPivot!VRU5)</f>
        <v>#VALUE!</v>
      </c>
      <c r="VRV6" s="68" t="e" cm="1" vm="1">
        <f t="array" ref="VRV6">_xlfn._xlws.FILTER(TablaProductos[Nombre producto],TablaProductos[Agrupación]=ProductosPivot!VRV5)</f>
        <v>#VALUE!</v>
      </c>
      <c r="VRW6" s="68" t="e" cm="1" vm="1">
        <f t="array" ref="VRW6">_xlfn._xlws.FILTER(TablaProductos[Nombre producto],TablaProductos[Agrupación]=ProductosPivot!VRW5)</f>
        <v>#VALUE!</v>
      </c>
      <c r="VRX6" s="68" t="e" cm="1" vm="1">
        <f t="array" ref="VRX6">_xlfn._xlws.FILTER(TablaProductos[Nombre producto],TablaProductos[Agrupación]=ProductosPivot!VRX5)</f>
        <v>#VALUE!</v>
      </c>
      <c r="VRY6" s="68" t="e" cm="1" vm="1">
        <f t="array" ref="VRY6">_xlfn._xlws.FILTER(TablaProductos[Nombre producto],TablaProductos[Agrupación]=ProductosPivot!VRY5)</f>
        <v>#VALUE!</v>
      </c>
      <c r="VRZ6" s="68" t="e" cm="1" vm="1">
        <f t="array" ref="VRZ6">_xlfn._xlws.FILTER(TablaProductos[Nombre producto],TablaProductos[Agrupación]=ProductosPivot!VRZ5)</f>
        <v>#VALUE!</v>
      </c>
      <c r="VSA6" s="68" t="e" cm="1" vm="1">
        <f t="array" ref="VSA6">_xlfn._xlws.FILTER(TablaProductos[Nombre producto],TablaProductos[Agrupación]=ProductosPivot!VSA5)</f>
        <v>#VALUE!</v>
      </c>
      <c r="VSB6" s="68" t="e" cm="1" vm="1">
        <f t="array" ref="VSB6">_xlfn._xlws.FILTER(TablaProductos[Nombre producto],TablaProductos[Agrupación]=ProductosPivot!VSB5)</f>
        <v>#VALUE!</v>
      </c>
      <c r="VSC6" s="68" t="e" cm="1" vm="1">
        <f t="array" ref="VSC6">_xlfn._xlws.FILTER(TablaProductos[Nombre producto],TablaProductos[Agrupación]=ProductosPivot!VSC5)</f>
        <v>#VALUE!</v>
      </c>
      <c r="VSD6" s="68" t="e" cm="1" vm="1">
        <f t="array" ref="VSD6">_xlfn._xlws.FILTER(TablaProductos[Nombre producto],TablaProductos[Agrupación]=ProductosPivot!VSD5)</f>
        <v>#VALUE!</v>
      </c>
      <c r="VSE6" s="68" t="e" cm="1" vm="1">
        <f t="array" ref="VSE6">_xlfn._xlws.FILTER(TablaProductos[Nombre producto],TablaProductos[Agrupación]=ProductosPivot!VSE5)</f>
        <v>#VALUE!</v>
      </c>
      <c r="VSF6" s="68" t="e" cm="1" vm="1">
        <f t="array" ref="VSF6">_xlfn._xlws.FILTER(TablaProductos[Nombre producto],TablaProductos[Agrupación]=ProductosPivot!VSF5)</f>
        <v>#VALUE!</v>
      </c>
      <c r="VSG6" s="68" t="e" cm="1" vm="1">
        <f t="array" ref="VSG6">_xlfn._xlws.FILTER(TablaProductos[Nombre producto],TablaProductos[Agrupación]=ProductosPivot!VSG5)</f>
        <v>#VALUE!</v>
      </c>
      <c r="VSH6" s="68" t="e" cm="1" vm="1">
        <f t="array" ref="VSH6">_xlfn._xlws.FILTER(TablaProductos[Nombre producto],TablaProductos[Agrupación]=ProductosPivot!VSH5)</f>
        <v>#VALUE!</v>
      </c>
      <c r="VSI6" s="68" t="e" cm="1" vm="1">
        <f t="array" ref="VSI6">_xlfn._xlws.FILTER(TablaProductos[Nombre producto],TablaProductos[Agrupación]=ProductosPivot!VSI5)</f>
        <v>#VALUE!</v>
      </c>
      <c r="VSJ6" s="68" t="e" cm="1" vm="1">
        <f t="array" ref="VSJ6">_xlfn._xlws.FILTER(TablaProductos[Nombre producto],TablaProductos[Agrupación]=ProductosPivot!VSJ5)</f>
        <v>#VALUE!</v>
      </c>
      <c r="VSK6" s="68" t="e" cm="1" vm="1">
        <f t="array" ref="VSK6">_xlfn._xlws.FILTER(TablaProductos[Nombre producto],TablaProductos[Agrupación]=ProductosPivot!VSK5)</f>
        <v>#VALUE!</v>
      </c>
      <c r="VSL6" s="68" t="e" cm="1" vm="1">
        <f t="array" ref="VSL6">_xlfn._xlws.FILTER(TablaProductos[Nombre producto],TablaProductos[Agrupación]=ProductosPivot!VSL5)</f>
        <v>#VALUE!</v>
      </c>
      <c r="VSM6" s="68" t="e" cm="1" vm="1">
        <f t="array" ref="VSM6">_xlfn._xlws.FILTER(TablaProductos[Nombre producto],TablaProductos[Agrupación]=ProductosPivot!VSM5)</f>
        <v>#VALUE!</v>
      </c>
      <c r="VSN6" s="68" t="e" cm="1" vm="1">
        <f t="array" ref="VSN6">_xlfn._xlws.FILTER(TablaProductos[Nombre producto],TablaProductos[Agrupación]=ProductosPivot!VSN5)</f>
        <v>#VALUE!</v>
      </c>
      <c r="VSO6" s="68" t="e" cm="1" vm="1">
        <f t="array" ref="VSO6">_xlfn._xlws.FILTER(TablaProductos[Nombre producto],TablaProductos[Agrupación]=ProductosPivot!VSO5)</f>
        <v>#VALUE!</v>
      </c>
      <c r="VSP6" s="68" t="e" cm="1" vm="1">
        <f t="array" ref="VSP6">_xlfn._xlws.FILTER(TablaProductos[Nombre producto],TablaProductos[Agrupación]=ProductosPivot!VSP5)</f>
        <v>#VALUE!</v>
      </c>
      <c r="VSQ6" s="68" t="e" cm="1" vm="1">
        <f t="array" ref="VSQ6">_xlfn._xlws.FILTER(TablaProductos[Nombre producto],TablaProductos[Agrupación]=ProductosPivot!VSQ5)</f>
        <v>#VALUE!</v>
      </c>
      <c r="VSR6" s="68" t="e" cm="1" vm="1">
        <f t="array" ref="VSR6">_xlfn._xlws.FILTER(TablaProductos[Nombre producto],TablaProductos[Agrupación]=ProductosPivot!VSR5)</f>
        <v>#VALUE!</v>
      </c>
      <c r="VSS6" s="68" t="e" cm="1" vm="1">
        <f t="array" ref="VSS6">_xlfn._xlws.FILTER(TablaProductos[Nombre producto],TablaProductos[Agrupación]=ProductosPivot!VSS5)</f>
        <v>#VALUE!</v>
      </c>
      <c r="VST6" s="68" t="e" cm="1" vm="1">
        <f t="array" ref="VST6">_xlfn._xlws.FILTER(TablaProductos[Nombre producto],TablaProductos[Agrupación]=ProductosPivot!VST5)</f>
        <v>#VALUE!</v>
      </c>
      <c r="VSU6" s="68" t="e" cm="1" vm="1">
        <f t="array" ref="VSU6">_xlfn._xlws.FILTER(TablaProductos[Nombre producto],TablaProductos[Agrupación]=ProductosPivot!VSU5)</f>
        <v>#VALUE!</v>
      </c>
      <c r="VSV6" s="68" t="e" cm="1" vm="1">
        <f t="array" ref="VSV6">_xlfn._xlws.FILTER(TablaProductos[Nombre producto],TablaProductos[Agrupación]=ProductosPivot!VSV5)</f>
        <v>#VALUE!</v>
      </c>
      <c r="VSW6" s="68" t="e" cm="1" vm="1">
        <f t="array" ref="VSW6">_xlfn._xlws.FILTER(TablaProductos[Nombre producto],TablaProductos[Agrupación]=ProductosPivot!VSW5)</f>
        <v>#VALUE!</v>
      </c>
      <c r="VSX6" s="68" t="e" cm="1" vm="1">
        <f t="array" ref="VSX6">_xlfn._xlws.FILTER(TablaProductos[Nombre producto],TablaProductos[Agrupación]=ProductosPivot!VSX5)</f>
        <v>#VALUE!</v>
      </c>
      <c r="VSY6" s="68" t="e" cm="1" vm="1">
        <f t="array" ref="VSY6">_xlfn._xlws.FILTER(TablaProductos[Nombre producto],TablaProductos[Agrupación]=ProductosPivot!VSY5)</f>
        <v>#VALUE!</v>
      </c>
      <c r="VSZ6" s="68" t="e" cm="1" vm="1">
        <f t="array" ref="VSZ6">_xlfn._xlws.FILTER(TablaProductos[Nombre producto],TablaProductos[Agrupación]=ProductosPivot!VSZ5)</f>
        <v>#VALUE!</v>
      </c>
      <c r="VTA6" s="68" t="e" cm="1" vm="1">
        <f t="array" ref="VTA6">_xlfn._xlws.FILTER(TablaProductos[Nombre producto],TablaProductos[Agrupación]=ProductosPivot!VTA5)</f>
        <v>#VALUE!</v>
      </c>
      <c r="VTB6" s="68" t="e" cm="1" vm="1">
        <f t="array" ref="VTB6">_xlfn._xlws.FILTER(TablaProductos[Nombre producto],TablaProductos[Agrupación]=ProductosPivot!VTB5)</f>
        <v>#VALUE!</v>
      </c>
      <c r="VTC6" s="68" t="e" cm="1" vm="1">
        <f t="array" ref="VTC6">_xlfn._xlws.FILTER(TablaProductos[Nombre producto],TablaProductos[Agrupación]=ProductosPivot!VTC5)</f>
        <v>#VALUE!</v>
      </c>
      <c r="VTD6" s="68" t="e" cm="1" vm="1">
        <f t="array" ref="VTD6">_xlfn._xlws.FILTER(TablaProductos[Nombre producto],TablaProductos[Agrupación]=ProductosPivot!VTD5)</f>
        <v>#VALUE!</v>
      </c>
      <c r="VTE6" s="68" t="e" cm="1" vm="1">
        <f t="array" ref="VTE6">_xlfn._xlws.FILTER(TablaProductos[Nombre producto],TablaProductos[Agrupación]=ProductosPivot!VTE5)</f>
        <v>#VALUE!</v>
      </c>
      <c r="VTF6" s="68" t="e" cm="1" vm="1">
        <f t="array" ref="VTF6">_xlfn._xlws.FILTER(TablaProductos[Nombre producto],TablaProductos[Agrupación]=ProductosPivot!VTF5)</f>
        <v>#VALUE!</v>
      </c>
      <c r="VTG6" s="68" t="e" cm="1" vm="1">
        <f t="array" ref="VTG6">_xlfn._xlws.FILTER(TablaProductos[Nombre producto],TablaProductos[Agrupación]=ProductosPivot!VTG5)</f>
        <v>#VALUE!</v>
      </c>
      <c r="VTH6" s="68" t="e" cm="1" vm="1">
        <f t="array" ref="VTH6">_xlfn._xlws.FILTER(TablaProductos[Nombre producto],TablaProductos[Agrupación]=ProductosPivot!VTH5)</f>
        <v>#VALUE!</v>
      </c>
      <c r="VTI6" s="68" t="e" cm="1" vm="1">
        <f t="array" ref="VTI6">_xlfn._xlws.FILTER(TablaProductos[Nombre producto],TablaProductos[Agrupación]=ProductosPivot!VTI5)</f>
        <v>#VALUE!</v>
      </c>
      <c r="VTJ6" s="68" t="e" cm="1" vm="1">
        <f t="array" ref="VTJ6">_xlfn._xlws.FILTER(TablaProductos[Nombre producto],TablaProductos[Agrupación]=ProductosPivot!VTJ5)</f>
        <v>#VALUE!</v>
      </c>
      <c r="VTK6" s="68" t="e" cm="1" vm="1">
        <f t="array" ref="VTK6">_xlfn._xlws.FILTER(TablaProductos[Nombre producto],TablaProductos[Agrupación]=ProductosPivot!VTK5)</f>
        <v>#VALUE!</v>
      </c>
      <c r="VTL6" s="68" t="e" cm="1" vm="1">
        <f t="array" ref="VTL6">_xlfn._xlws.FILTER(TablaProductos[Nombre producto],TablaProductos[Agrupación]=ProductosPivot!VTL5)</f>
        <v>#VALUE!</v>
      </c>
      <c r="VTM6" s="68" t="e" cm="1" vm="1">
        <f t="array" ref="VTM6">_xlfn._xlws.FILTER(TablaProductos[Nombre producto],TablaProductos[Agrupación]=ProductosPivot!VTM5)</f>
        <v>#VALUE!</v>
      </c>
      <c r="VTN6" s="68" t="e" cm="1" vm="1">
        <f t="array" ref="VTN6">_xlfn._xlws.FILTER(TablaProductos[Nombre producto],TablaProductos[Agrupación]=ProductosPivot!VTN5)</f>
        <v>#VALUE!</v>
      </c>
      <c r="VTO6" s="68" t="e" cm="1" vm="1">
        <f t="array" ref="VTO6">_xlfn._xlws.FILTER(TablaProductos[Nombre producto],TablaProductos[Agrupación]=ProductosPivot!VTO5)</f>
        <v>#VALUE!</v>
      </c>
      <c r="VTP6" s="68" t="e" cm="1" vm="1">
        <f t="array" ref="VTP6">_xlfn._xlws.FILTER(TablaProductos[Nombre producto],TablaProductos[Agrupación]=ProductosPivot!VTP5)</f>
        <v>#VALUE!</v>
      </c>
      <c r="VTQ6" s="68" t="e" cm="1" vm="1">
        <f t="array" ref="VTQ6">_xlfn._xlws.FILTER(TablaProductos[Nombre producto],TablaProductos[Agrupación]=ProductosPivot!VTQ5)</f>
        <v>#VALUE!</v>
      </c>
      <c r="VTR6" s="68" t="e" cm="1" vm="1">
        <f t="array" ref="VTR6">_xlfn._xlws.FILTER(TablaProductos[Nombre producto],TablaProductos[Agrupación]=ProductosPivot!VTR5)</f>
        <v>#VALUE!</v>
      </c>
      <c r="VTS6" s="68" t="e" cm="1" vm="1">
        <f t="array" ref="VTS6">_xlfn._xlws.FILTER(TablaProductos[Nombre producto],TablaProductos[Agrupación]=ProductosPivot!VTS5)</f>
        <v>#VALUE!</v>
      </c>
      <c r="VTT6" s="68" t="e" cm="1" vm="1">
        <f t="array" ref="VTT6">_xlfn._xlws.FILTER(TablaProductos[Nombre producto],TablaProductos[Agrupación]=ProductosPivot!VTT5)</f>
        <v>#VALUE!</v>
      </c>
      <c r="VTU6" s="68" t="e" cm="1" vm="1">
        <f t="array" ref="VTU6">_xlfn._xlws.FILTER(TablaProductos[Nombre producto],TablaProductos[Agrupación]=ProductosPivot!VTU5)</f>
        <v>#VALUE!</v>
      </c>
      <c r="VTV6" s="68" t="e" cm="1" vm="1">
        <f t="array" ref="VTV6">_xlfn._xlws.FILTER(TablaProductos[Nombre producto],TablaProductos[Agrupación]=ProductosPivot!VTV5)</f>
        <v>#VALUE!</v>
      </c>
      <c r="VTW6" s="68" t="e" cm="1" vm="1">
        <f t="array" ref="VTW6">_xlfn._xlws.FILTER(TablaProductos[Nombre producto],TablaProductos[Agrupación]=ProductosPivot!VTW5)</f>
        <v>#VALUE!</v>
      </c>
      <c r="VTX6" s="68" t="e" cm="1" vm="1">
        <f t="array" ref="VTX6">_xlfn._xlws.FILTER(TablaProductos[Nombre producto],TablaProductos[Agrupación]=ProductosPivot!VTX5)</f>
        <v>#VALUE!</v>
      </c>
      <c r="VTY6" s="68" t="e" cm="1" vm="1">
        <f t="array" ref="VTY6">_xlfn._xlws.FILTER(TablaProductos[Nombre producto],TablaProductos[Agrupación]=ProductosPivot!VTY5)</f>
        <v>#VALUE!</v>
      </c>
      <c r="VTZ6" s="68" t="e" cm="1" vm="1">
        <f t="array" ref="VTZ6">_xlfn._xlws.FILTER(TablaProductos[Nombre producto],TablaProductos[Agrupación]=ProductosPivot!VTZ5)</f>
        <v>#VALUE!</v>
      </c>
      <c r="VUA6" s="68" t="e" cm="1" vm="1">
        <f t="array" ref="VUA6">_xlfn._xlws.FILTER(TablaProductos[Nombre producto],TablaProductos[Agrupación]=ProductosPivot!VUA5)</f>
        <v>#VALUE!</v>
      </c>
      <c r="VUB6" s="68" t="e" cm="1" vm="1">
        <f t="array" ref="VUB6">_xlfn._xlws.FILTER(TablaProductos[Nombre producto],TablaProductos[Agrupación]=ProductosPivot!VUB5)</f>
        <v>#VALUE!</v>
      </c>
      <c r="VUC6" s="68" t="e" cm="1" vm="1">
        <f t="array" ref="VUC6">_xlfn._xlws.FILTER(TablaProductos[Nombre producto],TablaProductos[Agrupación]=ProductosPivot!VUC5)</f>
        <v>#VALUE!</v>
      </c>
      <c r="VUD6" s="68" t="e" cm="1" vm="1">
        <f t="array" ref="VUD6">_xlfn._xlws.FILTER(TablaProductos[Nombre producto],TablaProductos[Agrupación]=ProductosPivot!VUD5)</f>
        <v>#VALUE!</v>
      </c>
      <c r="VUE6" s="68" t="e" cm="1" vm="1">
        <f t="array" ref="VUE6">_xlfn._xlws.FILTER(TablaProductos[Nombre producto],TablaProductos[Agrupación]=ProductosPivot!VUE5)</f>
        <v>#VALUE!</v>
      </c>
      <c r="VUF6" s="68" t="e" cm="1" vm="1">
        <f t="array" ref="VUF6">_xlfn._xlws.FILTER(TablaProductos[Nombre producto],TablaProductos[Agrupación]=ProductosPivot!VUF5)</f>
        <v>#VALUE!</v>
      </c>
      <c r="VUG6" s="68" t="e" cm="1" vm="1">
        <f t="array" ref="VUG6">_xlfn._xlws.FILTER(TablaProductos[Nombre producto],TablaProductos[Agrupación]=ProductosPivot!VUG5)</f>
        <v>#VALUE!</v>
      </c>
      <c r="VUH6" s="68" t="e" cm="1" vm="1">
        <f t="array" ref="VUH6">_xlfn._xlws.FILTER(TablaProductos[Nombre producto],TablaProductos[Agrupación]=ProductosPivot!VUH5)</f>
        <v>#VALUE!</v>
      </c>
      <c r="VUI6" s="68" t="e" cm="1" vm="1">
        <f t="array" ref="VUI6">_xlfn._xlws.FILTER(TablaProductos[Nombre producto],TablaProductos[Agrupación]=ProductosPivot!VUI5)</f>
        <v>#VALUE!</v>
      </c>
      <c r="VUJ6" s="68" t="e" cm="1" vm="1">
        <f t="array" ref="VUJ6">_xlfn._xlws.FILTER(TablaProductos[Nombre producto],TablaProductos[Agrupación]=ProductosPivot!VUJ5)</f>
        <v>#VALUE!</v>
      </c>
      <c r="VUK6" s="68" t="e" cm="1" vm="1">
        <f t="array" ref="VUK6">_xlfn._xlws.FILTER(TablaProductos[Nombre producto],TablaProductos[Agrupación]=ProductosPivot!VUK5)</f>
        <v>#VALUE!</v>
      </c>
      <c r="VUL6" s="68" t="e" cm="1" vm="1">
        <f t="array" ref="VUL6">_xlfn._xlws.FILTER(TablaProductos[Nombre producto],TablaProductos[Agrupación]=ProductosPivot!VUL5)</f>
        <v>#VALUE!</v>
      </c>
      <c r="VUM6" s="68" t="e" cm="1" vm="1">
        <f t="array" ref="VUM6">_xlfn._xlws.FILTER(TablaProductos[Nombre producto],TablaProductos[Agrupación]=ProductosPivot!VUM5)</f>
        <v>#VALUE!</v>
      </c>
      <c r="VUN6" s="68" t="e" cm="1" vm="1">
        <f t="array" ref="VUN6">_xlfn._xlws.FILTER(TablaProductos[Nombre producto],TablaProductos[Agrupación]=ProductosPivot!VUN5)</f>
        <v>#VALUE!</v>
      </c>
      <c r="VUO6" s="68" t="e" cm="1" vm="1">
        <f t="array" ref="VUO6">_xlfn._xlws.FILTER(TablaProductos[Nombre producto],TablaProductos[Agrupación]=ProductosPivot!VUO5)</f>
        <v>#VALUE!</v>
      </c>
      <c r="VUP6" s="68" t="e" cm="1" vm="1">
        <f t="array" ref="VUP6">_xlfn._xlws.FILTER(TablaProductos[Nombre producto],TablaProductos[Agrupación]=ProductosPivot!VUP5)</f>
        <v>#VALUE!</v>
      </c>
      <c r="VUQ6" s="68" t="e" cm="1" vm="1">
        <f t="array" ref="VUQ6">_xlfn._xlws.FILTER(TablaProductos[Nombre producto],TablaProductos[Agrupación]=ProductosPivot!VUQ5)</f>
        <v>#VALUE!</v>
      </c>
      <c r="VUR6" s="68" t="e" cm="1" vm="1">
        <f t="array" ref="VUR6">_xlfn._xlws.FILTER(TablaProductos[Nombre producto],TablaProductos[Agrupación]=ProductosPivot!VUR5)</f>
        <v>#VALUE!</v>
      </c>
      <c r="VUS6" s="68" t="e" cm="1" vm="1">
        <f t="array" ref="VUS6">_xlfn._xlws.FILTER(TablaProductos[Nombre producto],TablaProductos[Agrupación]=ProductosPivot!VUS5)</f>
        <v>#VALUE!</v>
      </c>
      <c r="VUT6" s="68" t="e" cm="1" vm="1">
        <f t="array" ref="VUT6">_xlfn._xlws.FILTER(TablaProductos[Nombre producto],TablaProductos[Agrupación]=ProductosPivot!VUT5)</f>
        <v>#VALUE!</v>
      </c>
      <c r="VUU6" s="68" t="e" cm="1" vm="1">
        <f t="array" ref="VUU6">_xlfn._xlws.FILTER(TablaProductos[Nombre producto],TablaProductos[Agrupación]=ProductosPivot!VUU5)</f>
        <v>#VALUE!</v>
      </c>
      <c r="VUV6" s="68" t="e" cm="1" vm="1">
        <f t="array" ref="VUV6">_xlfn._xlws.FILTER(TablaProductos[Nombre producto],TablaProductos[Agrupación]=ProductosPivot!VUV5)</f>
        <v>#VALUE!</v>
      </c>
      <c r="VUW6" s="68" t="e" cm="1" vm="1">
        <f t="array" ref="VUW6">_xlfn._xlws.FILTER(TablaProductos[Nombre producto],TablaProductos[Agrupación]=ProductosPivot!VUW5)</f>
        <v>#VALUE!</v>
      </c>
      <c r="VUX6" s="68" t="e" cm="1" vm="1">
        <f t="array" ref="VUX6">_xlfn._xlws.FILTER(TablaProductos[Nombre producto],TablaProductos[Agrupación]=ProductosPivot!VUX5)</f>
        <v>#VALUE!</v>
      </c>
      <c r="VUY6" s="68" t="e" cm="1" vm="1">
        <f t="array" ref="VUY6">_xlfn._xlws.FILTER(TablaProductos[Nombre producto],TablaProductos[Agrupación]=ProductosPivot!VUY5)</f>
        <v>#VALUE!</v>
      </c>
      <c r="VUZ6" s="68" t="e" cm="1" vm="1">
        <f t="array" ref="VUZ6">_xlfn._xlws.FILTER(TablaProductos[Nombre producto],TablaProductos[Agrupación]=ProductosPivot!VUZ5)</f>
        <v>#VALUE!</v>
      </c>
      <c r="VVA6" s="68" t="e" cm="1" vm="1">
        <f t="array" ref="VVA6">_xlfn._xlws.FILTER(TablaProductos[Nombre producto],TablaProductos[Agrupación]=ProductosPivot!VVA5)</f>
        <v>#VALUE!</v>
      </c>
      <c r="VVB6" s="68" t="e" cm="1" vm="1">
        <f t="array" ref="VVB6">_xlfn._xlws.FILTER(TablaProductos[Nombre producto],TablaProductos[Agrupación]=ProductosPivot!VVB5)</f>
        <v>#VALUE!</v>
      </c>
      <c r="VVC6" s="68" t="e" cm="1" vm="1">
        <f t="array" ref="VVC6">_xlfn._xlws.FILTER(TablaProductos[Nombre producto],TablaProductos[Agrupación]=ProductosPivot!VVC5)</f>
        <v>#VALUE!</v>
      </c>
      <c r="VVD6" s="68" t="e" cm="1" vm="1">
        <f t="array" ref="VVD6">_xlfn._xlws.FILTER(TablaProductos[Nombre producto],TablaProductos[Agrupación]=ProductosPivot!VVD5)</f>
        <v>#VALUE!</v>
      </c>
      <c r="VVE6" s="68" t="e" cm="1" vm="1">
        <f t="array" ref="VVE6">_xlfn._xlws.FILTER(TablaProductos[Nombre producto],TablaProductos[Agrupación]=ProductosPivot!VVE5)</f>
        <v>#VALUE!</v>
      </c>
      <c r="VVF6" s="68" t="e" cm="1" vm="1">
        <f t="array" ref="VVF6">_xlfn._xlws.FILTER(TablaProductos[Nombre producto],TablaProductos[Agrupación]=ProductosPivot!VVF5)</f>
        <v>#VALUE!</v>
      </c>
      <c r="VVG6" s="68" t="e" cm="1" vm="1">
        <f t="array" ref="VVG6">_xlfn._xlws.FILTER(TablaProductos[Nombre producto],TablaProductos[Agrupación]=ProductosPivot!VVG5)</f>
        <v>#VALUE!</v>
      </c>
      <c r="VVH6" s="68" t="e" cm="1" vm="1">
        <f t="array" ref="VVH6">_xlfn._xlws.FILTER(TablaProductos[Nombre producto],TablaProductos[Agrupación]=ProductosPivot!VVH5)</f>
        <v>#VALUE!</v>
      </c>
      <c r="VVI6" s="68" t="e" cm="1" vm="1">
        <f t="array" ref="VVI6">_xlfn._xlws.FILTER(TablaProductos[Nombre producto],TablaProductos[Agrupación]=ProductosPivot!VVI5)</f>
        <v>#VALUE!</v>
      </c>
      <c r="VVJ6" s="68" t="e" cm="1" vm="1">
        <f t="array" ref="VVJ6">_xlfn._xlws.FILTER(TablaProductos[Nombre producto],TablaProductos[Agrupación]=ProductosPivot!VVJ5)</f>
        <v>#VALUE!</v>
      </c>
      <c r="VVK6" s="68" t="e" cm="1" vm="1">
        <f t="array" ref="VVK6">_xlfn._xlws.FILTER(TablaProductos[Nombre producto],TablaProductos[Agrupación]=ProductosPivot!VVK5)</f>
        <v>#VALUE!</v>
      </c>
      <c r="VVL6" s="68" t="e" cm="1" vm="1">
        <f t="array" ref="VVL6">_xlfn._xlws.FILTER(TablaProductos[Nombre producto],TablaProductos[Agrupación]=ProductosPivot!VVL5)</f>
        <v>#VALUE!</v>
      </c>
      <c r="VVM6" s="68" t="e" cm="1" vm="1">
        <f t="array" ref="VVM6">_xlfn._xlws.FILTER(TablaProductos[Nombre producto],TablaProductos[Agrupación]=ProductosPivot!VVM5)</f>
        <v>#VALUE!</v>
      </c>
      <c r="VVN6" s="68" t="e" cm="1" vm="1">
        <f t="array" ref="VVN6">_xlfn._xlws.FILTER(TablaProductos[Nombre producto],TablaProductos[Agrupación]=ProductosPivot!VVN5)</f>
        <v>#VALUE!</v>
      </c>
      <c r="VVO6" s="68" t="e" cm="1" vm="1">
        <f t="array" ref="VVO6">_xlfn._xlws.FILTER(TablaProductos[Nombre producto],TablaProductos[Agrupación]=ProductosPivot!VVO5)</f>
        <v>#VALUE!</v>
      </c>
      <c r="VVP6" s="68" t="e" cm="1" vm="1">
        <f t="array" ref="VVP6">_xlfn._xlws.FILTER(TablaProductos[Nombre producto],TablaProductos[Agrupación]=ProductosPivot!VVP5)</f>
        <v>#VALUE!</v>
      </c>
      <c r="VVQ6" s="68" t="e" cm="1" vm="1">
        <f t="array" ref="VVQ6">_xlfn._xlws.FILTER(TablaProductos[Nombre producto],TablaProductos[Agrupación]=ProductosPivot!VVQ5)</f>
        <v>#VALUE!</v>
      </c>
      <c r="VVR6" s="68" t="e" cm="1" vm="1">
        <f t="array" ref="VVR6">_xlfn._xlws.FILTER(TablaProductos[Nombre producto],TablaProductos[Agrupación]=ProductosPivot!VVR5)</f>
        <v>#VALUE!</v>
      </c>
      <c r="VVS6" s="68" t="e" cm="1" vm="1">
        <f t="array" ref="VVS6">_xlfn._xlws.FILTER(TablaProductos[Nombre producto],TablaProductos[Agrupación]=ProductosPivot!VVS5)</f>
        <v>#VALUE!</v>
      </c>
      <c r="VVT6" s="68" t="e" cm="1" vm="1">
        <f t="array" ref="VVT6">_xlfn._xlws.FILTER(TablaProductos[Nombre producto],TablaProductos[Agrupación]=ProductosPivot!VVT5)</f>
        <v>#VALUE!</v>
      </c>
      <c r="VVU6" s="68" t="e" cm="1" vm="1">
        <f t="array" ref="VVU6">_xlfn._xlws.FILTER(TablaProductos[Nombre producto],TablaProductos[Agrupación]=ProductosPivot!VVU5)</f>
        <v>#VALUE!</v>
      </c>
      <c r="VVV6" s="68" t="e" cm="1" vm="1">
        <f t="array" ref="VVV6">_xlfn._xlws.FILTER(TablaProductos[Nombre producto],TablaProductos[Agrupación]=ProductosPivot!VVV5)</f>
        <v>#VALUE!</v>
      </c>
      <c r="VVW6" s="68" t="e" cm="1" vm="1">
        <f t="array" ref="VVW6">_xlfn._xlws.FILTER(TablaProductos[Nombre producto],TablaProductos[Agrupación]=ProductosPivot!VVW5)</f>
        <v>#VALUE!</v>
      </c>
      <c r="VVX6" s="68" t="e" cm="1" vm="1">
        <f t="array" ref="VVX6">_xlfn._xlws.FILTER(TablaProductos[Nombre producto],TablaProductos[Agrupación]=ProductosPivot!VVX5)</f>
        <v>#VALUE!</v>
      </c>
      <c r="VVY6" s="68" t="e" cm="1" vm="1">
        <f t="array" ref="VVY6">_xlfn._xlws.FILTER(TablaProductos[Nombre producto],TablaProductos[Agrupación]=ProductosPivot!VVY5)</f>
        <v>#VALUE!</v>
      </c>
      <c r="VVZ6" s="68" t="e" cm="1" vm="1">
        <f t="array" ref="VVZ6">_xlfn._xlws.FILTER(TablaProductos[Nombre producto],TablaProductos[Agrupación]=ProductosPivot!VVZ5)</f>
        <v>#VALUE!</v>
      </c>
      <c r="VWA6" s="68" t="e" cm="1" vm="1">
        <f t="array" ref="VWA6">_xlfn._xlws.FILTER(TablaProductos[Nombre producto],TablaProductos[Agrupación]=ProductosPivot!VWA5)</f>
        <v>#VALUE!</v>
      </c>
      <c r="VWB6" s="68" t="e" cm="1" vm="1">
        <f t="array" ref="VWB6">_xlfn._xlws.FILTER(TablaProductos[Nombre producto],TablaProductos[Agrupación]=ProductosPivot!VWB5)</f>
        <v>#VALUE!</v>
      </c>
      <c r="VWC6" s="68" t="e" cm="1" vm="1">
        <f t="array" ref="VWC6">_xlfn._xlws.FILTER(TablaProductos[Nombre producto],TablaProductos[Agrupación]=ProductosPivot!VWC5)</f>
        <v>#VALUE!</v>
      </c>
      <c r="VWD6" s="68" t="e" cm="1" vm="1">
        <f t="array" ref="VWD6">_xlfn._xlws.FILTER(TablaProductos[Nombre producto],TablaProductos[Agrupación]=ProductosPivot!VWD5)</f>
        <v>#VALUE!</v>
      </c>
      <c r="VWE6" s="68" t="e" cm="1" vm="1">
        <f t="array" ref="VWE6">_xlfn._xlws.FILTER(TablaProductos[Nombre producto],TablaProductos[Agrupación]=ProductosPivot!VWE5)</f>
        <v>#VALUE!</v>
      </c>
      <c r="VWF6" s="68" t="e" cm="1" vm="1">
        <f t="array" ref="VWF6">_xlfn._xlws.FILTER(TablaProductos[Nombre producto],TablaProductos[Agrupación]=ProductosPivot!VWF5)</f>
        <v>#VALUE!</v>
      </c>
      <c r="VWG6" s="68" t="e" cm="1" vm="1">
        <f t="array" ref="VWG6">_xlfn._xlws.FILTER(TablaProductos[Nombre producto],TablaProductos[Agrupación]=ProductosPivot!VWG5)</f>
        <v>#VALUE!</v>
      </c>
      <c r="VWH6" s="68" t="e" cm="1" vm="1">
        <f t="array" ref="VWH6">_xlfn._xlws.FILTER(TablaProductos[Nombre producto],TablaProductos[Agrupación]=ProductosPivot!VWH5)</f>
        <v>#VALUE!</v>
      </c>
      <c r="VWI6" s="68" t="e" cm="1" vm="1">
        <f t="array" ref="VWI6">_xlfn._xlws.FILTER(TablaProductos[Nombre producto],TablaProductos[Agrupación]=ProductosPivot!VWI5)</f>
        <v>#VALUE!</v>
      </c>
      <c r="VWJ6" s="68" t="e" cm="1" vm="1">
        <f t="array" ref="VWJ6">_xlfn._xlws.FILTER(TablaProductos[Nombre producto],TablaProductos[Agrupación]=ProductosPivot!VWJ5)</f>
        <v>#VALUE!</v>
      </c>
      <c r="VWK6" s="68" t="e" cm="1" vm="1">
        <f t="array" ref="VWK6">_xlfn._xlws.FILTER(TablaProductos[Nombre producto],TablaProductos[Agrupación]=ProductosPivot!VWK5)</f>
        <v>#VALUE!</v>
      </c>
      <c r="VWL6" s="68" t="e" cm="1" vm="1">
        <f t="array" ref="VWL6">_xlfn._xlws.FILTER(TablaProductos[Nombre producto],TablaProductos[Agrupación]=ProductosPivot!VWL5)</f>
        <v>#VALUE!</v>
      </c>
      <c r="VWM6" s="68" t="e" cm="1" vm="1">
        <f t="array" ref="VWM6">_xlfn._xlws.FILTER(TablaProductos[Nombre producto],TablaProductos[Agrupación]=ProductosPivot!VWM5)</f>
        <v>#VALUE!</v>
      </c>
      <c r="VWN6" s="68" t="e" cm="1" vm="1">
        <f t="array" ref="VWN6">_xlfn._xlws.FILTER(TablaProductos[Nombre producto],TablaProductos[Agrupación]=ProductosPivot!VWN5)</f>
        <v>#VALUE!</v>
      </c>
      <c r="VWO6" s="68" t="e" cm="1" vm="1">
        <f t="array" ref="VWO6">_xlfn._xlws.FILTER(TablaProductos[Nombre producto],TablaProductos[Agrupación]=ProductosPivot!VWO5)</f>
        <v>#VALUE!</v>
      </c>
      <c r="VWP6" s="68" t="e" cm="1" vm="1">
        <f t="array" ref="VWP6">_xlfn._xlws.FILTER(TablaProductos[Nombre producto],TablaProductos[Agrupación]=ProductosPivot!VWP5)</f>
        <v>#VALUE!</v>
      </c>
      <c r="VWQ6" s="68" t="e" cm="1" vm="1">
        <f t="array" ref="VWQ6">_xlfn._xlws.FILTER(TablaProductos[Nombre producto],TablaProductos[Agrupación]=ProductosPivot!VWQ5)</f>
        <v>#VALUE!</v>
      </c>
      <c r="VWR6" s="68" t="e" cm="1" vm="1">
        <f t="array" ref="VWR6">_xlfn._xlws.FILTER(TablaProductos[Nombre producto],TablaProductos[Agrupación]=ProductosPivot!VWR5)</f>
        <v>#VALUE!</v>
      </c>
      <c r="VWS6" s="68" t="e" cm="1" vm="1">
        <f t="array" ref="VWS6">_xlfn._xlws.FILTER(TablaProductos[Nombre producto],TablaProductos[Agrupación]=ProductosPivot!VWS5)</f>
        <v>#VALUE!</v>
      </c>
      <c r="VWT6" s="68" t="e" cm="1" vm="1">
        <f t="array" ref="VWT6">_xlfn._xlws.FILTER(TablaProductos[Nombre producto],TablaProductos[Agrupación]=ProductosPivot!VWT5)</f>
        <v>#VALUE!</v>
      </c>
      <c r="VWU6" s="68" t="e" cm="1" vm="1">
        <f t="array" ref="VWU6">_xlfn._xlws.FILTER(TablaProductos[Nombre producto],TablaProductos[Agrupación]=ProductosPivot!VWU5)</f>
        <v>#VALUE!</v>
      </c>
      <c r="VWV6" s="68" t="e" cm="1" vm="1">
        <f t="array" ref="VWV6">_xlfn._xlws.FILTER(TablaProductos[Nombre producto],TablaProductos[Agrupación]=ProductosPivot!VWV5)</f>
        <v>#VALUE!</v>
      </c>
      <c r="VWW6" s="68" t="e" cm="1" vm="1">
        <f t="array" ref="VWW6">_xlfn._xlws.FILTER(TablaProductos[Nombre producto],TablaProductos[Agrupación]=ProductosPivot!VWW5)</f>
        <v>#VALUE!</v>
      </c>
      <c r="VWX6" s="68" t="e" cm="1" vm="1">
        <f t="array" ref="VWX6">_xlfn._xlws.FILTER(TablaProductos[Nombre producto],TablaProductos[Agrupación]=ProductosPivot!VWX5)</f>
        <v>#VALUE!</v>
      </c>
      <c r="VWY6" s="68" t="e" cm="1" vm="1">
        <f t="array" ref="VWY6">_xlfn._xlws.FILTER(TablaProductos[Nombre producto],TablaProductos[Agrupación]=ProductosPivot!VWY5)</f>
        <v>#VALUE!</v>
      </c>
      <c r="VWZ6" s="68" t="e" cm="1" vm="1">
        <f t="array" ref="VWZ6">_xlfn._xlws.FILTER(TablaProductos[Nombre producto],TablaProductos[Agrupación]=ProductosPivot!VWZ5)</f>
        <v>#VALUE!</v>
      </c>
      <c r="VXA6" s="68" t="e" cm="1" vm="1">
        <f t="array" ref="VXA6">_xlfn._xlws.FILTER(TablaProductos[Nombre producto],TablaProductos[Agrupación]=ProductosPivot!VXA5)</f>
        <v>#VALUE!</v>
      </c>
      <c r="VXB6" s="68" t="e" cm="1" vm="1">
        <f t="array" ref="VXB6">_xlfn._xlws.FILTER(TablaProductos[Nombre producto],TablaProductos[Agrupación]=ProductosPivot!VXB5)</f>
        <v>#VALUE!</v>
      </c>
      <c r="VXC6" s="68" t="e" cm="1" vm="1">
        <f t="array" ref="VXC6">_xlfn._xlws.FILTER(TablaProductos[Nombre producto],TablaProductos[Agrupación]=ProductosPivot!VXC5)</f>
        <v>#VALUE!</v>
      </c>
      <c r="VXD6" s="68" t="e" cm="1" vm="1">
        <f t="array" ref="VXD6">_xlfn._xlws.FILTER(TablaProductos[Nombre producto],TablaProductos[Agrupación]=ProductosPivot!VXD5)</f>
        <v>#VALUE!</v>
      </c>
      <c r="VXE6" s="68" t="e" cm="1" vm="1">
        <f t="array" ref="VXE6">_xlfn._xlws.FILTER(TablaProductos[Nombre producto],TablaProductos[Agrupación]=ProductosPivot!VXE5)</f>
        <v>#VALUE!</v>
      </c>
      <c r="VXF6" s="68" t="e" cm="1" vm="1">
        <f t="array" ref="VXF6">_xlfn._xlws.FILTER(TablaProductos[Nombre producto],TablaProductos[Agrupación]=ProductosPivot!VXF5)</f>
        <v>#VALUE!</v>
      </c>
      <c r="VXG6" s="68" t="e" cm="1" vm="1">
        <f t="array" ref="VXG6">_xlfn._xlws.FILTER(TablaProductos[Nombre producto],TablaProductos[Agrupación]=ProductosPivot!VXG5)</f>
        <v>#VALUE!</v>
      </c>
      <c r="VXH6" s="68" t="e" cm="1" vm="1">
        <f t="array" ref="VXH6">_xlfn._xlws.FILTER(TablaProductos[Nombre producto],TablaProductos[Agrupación]=ProductosPivot!VXH5)</f>
        <v>#VALUE!</v>
      </c>
      <c r="VXI6" s="68" t="e" cm="1" vm="1">
        <f t="array" ref="VXI6">_xlfn._xlws.FILTER(TablaProductos[Nombre producto],TablaProductos[Agrupación]=ProductosPivot!VXI5)</f>
        <v>#VALUE!</v>
      </c>
      <c r="VXJ6" s="68" t="e" cm="1" vm="1">
        <f t="array" ref="VXJ6">_xlfn._xlws.FILTER(TablaProductos[Nombre producto],TablaProductos[Agrupación]=ProductosPivot!VXJ5)</f>
        <v>#VALUE!</v>
      </c>
      <c r="VXK6" s="68" t="e" cm="1" vm="1">
        <f t="array" ref="VXK6">_xlfn._xlws.FILTER(TablaProductos[Nombre producto],TablaProductos[Agrupación]=ProductosPivot!VXK5)</f>
        <v>#VALUE!</v>
      </c>
      <c r="VXL6" s="68" t="e" cm="1" vm="1">
        <f t="array" ref="VXL6">_xlfn._xlws.FILTER(TablaProductos[Nombre producto],TablaProductos[Agrupación]=ProductosPivot!VXL5)</f>
        <v>#VALUE!</v>
      </c>
      <c r="VXM6" s="68" t="e" cm="1" vm="1">
        <f t="array" ref="VXM6">_xlfn._xlws.FILTER(TablaProductos[Nombre producto],TablaProductos[Agrupación]=ProductosPivot!VXM5)</f>
        <v>#VALUE!</v>
      </c>
      <c r="VXN6" s="68" t="e" cm="1" vm="1">
        <f t="array" ref="VXN6">_xlfn._xlws.FILTER(TablaProductos[Nombre producto],TablaProductos[Agrupación]=ProductosPivot!VXN5)</f>
        <v>#VALUE!</v>
      </c>
      <c r="VXO6" s="68" t="e" cm="1" vm="1">
        <f t="array" ref="VXO6">_xlfn._xlws.FILTER(TablaProductos[Nombre producto],TablaProductos[Agrupación]=ProductosPivot!VXO5)</f>
        <v>#VALUE!</v>
      </c>
      <c r="VXP6" s="68" t="e" cm="1" vm="1">
        <f t="array" ref="VXP6">_xlfn._xlws.FILTER(TablaProductos[Nombre producto],TablaProductos[Agrupación]=ProductosPivot!VXP5)</f>
        <v>#VALUE!</v>
      </c>
      <c r="VXQ6" s="68" t="e" cm="1" vm="1">
        <f t="array" ref="VXQ6">_xlfn._xlws.FILTER(TablaProductos[Nombre producto],TablaProductos[Agrupación]=ProductosPivot!VXQ5)</f>
        <v>#VALUE!</v>
      </c>
      <c r="VXR6" s="68" t="e" cm="1" vm="1">
        <f t="array" ref="VXR6">_xlfn._xlws.FILTER(TablaProductos[Nombre producto],TablaProductos[Agrupación]=ProductosPivot!VXR5)</f>
        <v>#VALUE!</v>
      </c>
      <c r="VXS6" s="68" t="e" cm="1" vm="1">
        <f t="array" ref="VXS6">_xlfn._xlws.FILTER(TablaProductos[Nombre producto],TablaProductos[Agrupación]=ProductosPivot!VXS5)</f>
        <v>#VALUE!</v>
      </c>
      <c r="VXT6" s="68" t="e" cm="1" vm="1">
        <f t="array" ref="VXT6">_xlfn._xlws.FILTER(TablaProductos[Nombre producto],TablaProductos[Agrupación]=ProductosPivot!VXT5)</f>
        <v>#VALUE!</v>
      </c>
      <c r="VXU6" s="68" t="e" cm="1" vm="1">
        <f t="array" ref="VXU6">_xlfn._xlws.FILTER(TablaProductos[Nombre producto],TablaProductos[Agrupación]=ProductosPivot!VXU5)</f>
        <v>#VALUE!</v>
      </c>
      <c r="VXV6" s="68" t="e" cm="1" vm="1">
        <f t="array" ref="VXV6">_xlfn._xlws.FILTER(TablaProductos[Nombre producto],TablaProductos[Agrupación]=ProductosPivot!VXV5)</f>
        <v>#VALUE!</v>
      </c>
      <c r="VXW6" s="68" t="e" cm="1" vm="1">
        <f t="array" ref="VXW6">_xlfn._xlws.FILTER(TablaProductos[Nombre producto],TablaProductos[Agrupación]=ProductosPivot!VXW5)</f>
        <v>#VALUE!</v>
      </c>
      <c r="VXX6" s="68" t="e" cm="1" vm="1">
        <f t="array" ref="VXX6">_xlfn._xlws.FILTER(TablaProductos[Nombre producto],TablaProductos[Agrupación]=ProductosPivot!VXX5)</f>
        <v>#VALUE!</v>
      </c>
      <c r="VXY6" s="68" t="e" cm="1" vm="1">
        <f t="array" ref="VXY6">_xlfn._xlws.FILTER(TablaProductos[Nombre producto],TablaProductos[Agrupación]=ProductosPivot!VXY5)</f>
        <v>#VALUE!</v>
      </c>
      <c r="VXZ6" s="68" t="e" cm="1" vm="1">
        <f t="array" ref="VXZ6">_xlfn._xlws.FILTER(TablaProductos[Nombre producto],TablaProductos[Agrupación]=ProductosPivot!VXZ5)</f>
        <v>#VALUE!</v>
      </c>
      <c r="VYA6" s="68" t="e" cm="1" vm="1">
        <f t="array" ref="VYA6">_xlfn._xlws.FILTER(TablaProductos[Nombre producto],TablaProductos[Agrupación]=ProductosPivot!VYA5)</f>
        <v>#VALUE!</v>
      </c>
      <c r="VYB6" s="68" t="e" cm="1" vm="1">
        <f t="array" ref="VYB6">_xlfn._xlws.FILTER(TablaProductos[Nombre producto],TablaProductos[Agrupación]=ProductosPivot!VYB5)</f>
        <v>#VALUE!</v>
      </c>
      <c r="VYC6" s="68" t="e" cm="1" vm="1">
        <f t="array" ref="VYC6">_xlfn._xlws.FILTER(TablaProductos[Nombre producto],TablaProductos[Agrupación]=ProductosPivot!VYC5)</f>
        <v>#VALUE!</v>
      </c>
      <c r="VYD6" s="68" t="e" cm="1" vm="1">
        <f t="array" ref="VYD6">_xlfn._xlws.FILTER(TablaProductos[Nombre producto],TablaProductos[Agrupación]=ProductosPivot!VYD5)</f>
        <v>#VALUE!</v>
      </c>
      <c r="VYE6" s="68" t="e" cm="1" vm="1">
        <f t="array" ref="VYE6">_xlfn._xlws.FILTER(TablaProductos[Nombre producto],TablaProductos[Agrupación]=ProductosPivot!VYE5)</f>
        <v>#VALUE!</v>
      </c>
      <c r="VYF6" s="68" t="e" cm="1" vm="1">
        <f t="array" ref="VYF6">_xlfn._xlws.FILTER(TablaProductos[Nombre producto],TablaProductos[Agrupación]=ProductosPivot!VYF5)</f>
        <v>#VALUE!</v>
      </c>
      <c r="VYG6" s="68" t="e" cm="1" vm="1">
        <f t="array" ref="VYG6">_xlfn._xlws.FILTER(TablaProductos[Nombre producto],TablaProductos[Agrupación]=ProductosPivot!VYG5)</f>
        <v>#VALUE!</v>
      </c>
      <c r="VYH6" s="68" t="e" cm="1" vm="1">
        <f t="array" ref="VYH6">_xlfn._xlws.FILTER(TablaProductos[Nombre producto],TablaProductos[Agrupación]=ProductosPivot!VYH5)</f>
        <v>#VALUE!</v>
      </c>
      <c r="VYI6" s="68" t="e" cm="1" vm="1">
        <f t="array" ref="VYI6">_xlfn._xlws.FILTER(TablaProductos[Nombre producto],TablaProductos[Agrupación]=ProductosPivot!VYI5)</f>
        <v>#VALUE!</v>
      </c>
      <c r="VYJ6" s="68" t="e" cm="1" vm="1">
        <f t="array" ref="VYJ6">_xlfn._xlws.FILTER(TablaProductos[Nombre producto],TablaProductos[Agrupación]=ProductosPivot!VYJ5)</f>
        <v>#VALUE!</v>
      </c>
      <c r="VYK6" s="68" t="e" cm="1" vm="1">
        <f t="array" ref="VYK6">_xlfn._xlws.FILTER(TablaProductos[Nombre producto],TablaProductos[Agrupación]=ProductosPivot!VYK5)</f>
        <v>#VALUE!</v>
      </c>
      <c r="VYL6" s="68" t="e" cm="1" vm="1">
        <f t="array" ref="VYL6">_xlfn._xlws.FILTER(TablaProductos[Nombre producto],TablaProductos[Agrupación]=ProductosPivot!VYL5)</f>
        <v>#VALUE!</v>
      </c>
      <c r="VYM6" s="68" t="e" cm="1" vm="1">
        <f t="array" ref="VYM6">_xlfn._xlws.FILTER(TablaProductos[Nombre producto],TablaProductos[Agrupación]=ProductosPivot!VYM5)</f>
        <v>#VALUE!</v>
      </c>
      <c r="VYN6" s="68" t="e" cm="1" vm="1">
        <f t="array" ref="VYN6">_xlfn._xlws.FILTER(TablaProductos[Nombre producto],TablaProductos[Agrupación]=ProductosPivot!VYN5)</f>
        <v>#VALUE!</v>
      </c>
      <c r="VYO6" s="68" t="e" cm="1" vm="1">
        <f t="array" ref="VYO6">_xlfn._xlws.FILTER(TablaProductos[Nombre producto],TablaProductos[Agrupación]=ProductosPivot!VYO5)</f>
        <v>#VALUE!</v>
      </c>
      <c r="VYP6" s="68" t="e" cm="1" vm="1">
        <f t="array" ref="VYP6">_xlfn._xlws.FILTER(TablaProductos[Nombre producto],TablaProductos[Agrupación]=ProductosPivot!VYP5)</f>
        <v>#VALUE!</v>
      </c>
      <c r="VYQ6" s="68" t="e" cm="1" vm="1">
        <f t="array" ref="VYQ6">_xlfn._xlws.FILTER(TablaProductos[Nombre producto],TablaProductos[Agrupación]=ProductosPivot!VYQ5)</f>
        <v>#VALUE!</v>
      </c>
      <c r="VYR6" s="68" t="e" cm="1" vm="1">
        <f t="array" ref="VYR6">_xlfn._xlws.FILTER(TablaProductos[Nombre producto],TablaProductos[Agrupación]=ProductosPivot!VYR5)</f>
        <v>#VALUE!</v>
      </c>
      <c r="VYS6" s="68" t="e" cm="1" vm="1">
        <f t="array" ref="VYS6">_xlfn._xlws.FILTER(TablaProductos[Nombre producto],TablaProductos[Agrupación]=ProductosPivot!VYS5)</f>
        <v>#VALUE!</v>
      </c>
      <c r="VYT6" s="68" t="e" cm="1" vm="1">
        <f t="array" ref="VYT6">_xlfn._xlws.FILTER(TablaProductos[Nombre producto],TablaProductos[Agrupación]=ProductosPivot!VYT5)</f>
        <v>#VALUE!</v>
      </c>
      <c r="VYU6" s="68" t="e" cm="1" vm="1">
        <f t="array" ref="VYU6">_xlfn._xlws.FILTER(TablaProductos[Nombre producto],TablaProductos[Agrupación]=ProductosPivot!VYU5)</f>
        <v>#VALUE!</v>
      </c>
      <c r="VYV6" s="68" t="e" cm="1" vm="1">
        <f t="array" ref="VYV6">_xlfn._xlws.FILTER(TablaProductos[Nombre producto],TablaProductos[Agrupación]=ProductosPivot!VYV5)</f>
        <v>#VALUE!</v>
      </c>
      <c r="VYW6" s="68" t="e" cm="1" vm="1">
        <f t="array" ref="VYW6">_xlfn._xlws.FILTER(TablaProductos[Nombre producto],TablaProductos[Agrupación]=ProductosPivot!VYW5)</f>
        <v>#VALUE!</v>
      </c>
      <c r="VYX6" s="68" t="e" cm="1" vm="1">
        <f t="array" ref="VYX6">_xlfn._xlws.FILTER(TablaProductos[Nombre producto],TablaProductos[Agrupación]=ProductosPivot!VYX5)</f>
        <v>#VALUE!</v>
      </c>
      <c r="VYY6" s="68" t="e" cm="1" vm="1">
        <f t="array" ref="VYY6">_xlfn._xlws.FILTER(TablaProductos[Nombre producto],TablaProductos[Agrupación]=ProductosPivot!VYY5)</f>
        <v>#VALUE!</v>
      </c>
      <c r="VYZ6" s="68" t="e" cm="1" vm="1">
        <f t="array" ref="VYZ6">_xlfn._xlws.FILTER(TablaProductos[Nombre producto],TablaProductos[Agrupación]=ProductosPivot!VYZ5)</f>
        <v>#VALUE!</v>
      </c>
      <c r="VZA6" s="68" t="e" cm="1" vm="1">
        <f t="array" ref="VZA6">_xlfn._xlws.FILTER(TablaProductos[Nombre producto],TablaProductos[Agrupación]=ProductosPivot!VZA5)</f>
        <v>#VALUE!</v>
      </c>
      <c r="VZB6" s="68" t="e" cm="1" vm="1">
        <f t="array" ref="VZB6">_xlfn._xlws.FILTER(TablaProductos[Nombre producto],TablaProductos[Agrupación]=ProductosPivot!VZB5)</f>
        <v>#VALUE!</v>
      </c>
      <c r="VZC6" s="68" t="e" cm="1" vm="1">
        <f t="array" ref="VZC6">_xlfn._xlws.FILTER(TablaProductos[Nombre producto],TablaProductos[Agrupación]=ProductosPivot!VZC5)</f>
        <v>#VALUE!</v>
      </c>
      <c r="VZD6" s="68" t="e" cm="1" vm="1">
        <f t="array" ref="VZD6">_xlfn._xlws.FILTER(TablaProductos[Nombre producto],TablaProductos[Agrupación]=ProductosPivot!VZD5)</f>
        <v>#VALUE!</v>
      </c>
      <c r="VZE6" s="68" t="e" cm="1" vm="1">
        <f t="array" ref="VZE6">_xlfn._xlws.FILTER(TablaProductos[Nombre producto],TablaProductos[Agrupación]=ProductosPivot!VZE5)</f>
        <v>#VALUE!</v>
      </c>
      <c r="VZF6" s="68" t="e" cm="1" vm="1">
        <f t="array" ref="VZF6">_xlfn._xlws.FILTER(TablaProductos[Nombre producto],TablaProductos[Agrupación]=ProductosPivot!VZF5)</f>
        <v>#VALUE!</v>
      </c>
      <c r="VZG6" s="68" t="e" cm="1" vm="1">
        <f t="array" ref="VZG6">_xlfn._xlws.FILTER(TablaProductos[Nombre producto],TablaProductos[Agrupación]=ProductosPivot!VZG5)</f>
        <v>#VALUE!</v>
      </c>
      <c r="VZH6" s="68" t="e" cm="1" vm="1">
        <f t="array" ref="VZH6">_xlfn._xlws.FILTER(TablaProductos[Nombre producto],TablaProductos[Agrupación]=ProductosPivot!VZH5)</f>
        <v>#VALUE!</v>
      </c>
      <c r="VZI6" s="68" t="e" cm="1" vm="1">
        <f t="array" ref="VZI6">_xlfn._xlws.FILTER(TablaProductos[Nombre producto],TablaProductos[Agrupación]=ProductosPivot!VZI5)</f>
        <v>#VALUE!</v>
      </c>
      <c r="VZJ6" s="68" t="e" cm="1" vm="1">
        <f t="array" ref="VZJ6">_xlfn._xlws.FILTER(TablaProductos[Nombre producto],TablaProductos[Agrupación]=ProductosPivot!VZJ5)</f>
        <v>#VALUE!</v>
      </c>
      <c r="VZK6" s="68" t="e" cm="1" vm="1">
        <f t="array" ref="VZK6">_xlfn._xlws.FILTER(TablaProductos[Nombre producto],TablaProductos[Agrupación]=ProductosPivot!VZK5)</f>
        <v>#VALUE!</v>
      </c>
      <c r="VZL6" s="68" t="e" cm="1" vm="1">
        <f t="array" ref="VZL6">_xlfn._xlws.FILTER(TablaProductos[Nombre producto],TablaProductos[Agrupación]=ProductosPivot!VZL5)</f>
        <v>#VALUE!</v>
      </c>
      <c r="VZM6" s="68" t="e" cm="1" vm="1">
        <f t="array" ref="VZM6">_xlfn._xlws.FILTER(TablaProductos[Nombre producto],TablaProductos[Agrupación]=ProductosPivot!VZM5)</f>
        <v>#VALUE!</v>
      </c>
      <c r="VZN6" s="68" t="e" cm="1" vm="1">
        <f t="array" ref="VZN6">_xlfn._xlws.FILTER(TablaProductos[Nombre producto],TablaProductos[Agrupación]=ProductosPivot!VZN5)</f>
        <v>#VALUE!</v>
      </c>
      <c r="VZO6" s="68" t="e" cm="1" vm="1">
        <f t="array" ref="VZO6">_xlfn._xlws.FILTER(TablaProductos[Nombre producto],TablaProductos[Agrupación]=ProductosPivot!VZO5)</f>
        <v>#VALUE!</v>
      </c>
      <c r="VZP6" s="68" t="e" cm="1" vm="1">
        <f t="array" ref="VZP6">_xlfn._xlws.FILTER(TablaProductos[Nombre producto],TablaProductos[Agrupación]=ProductosPivot!VZP5)</f>
        <v>#VALUE!</v>
      </c>
      <c r="VZQ6" s="68" t="e" cm="1" vm="1">
        <f t="array" ref="VZQ6">_xlfn._xlws.FILTER(TablaProductos[Nombre producto],TablaProductos[Agrupación]=ProductosPivot!VZQ5)</f>
        <v>#VALUE!</v>
      </c>
      <c r="VZR6" s="68" t="e" cm="1" vm="1">
        <f t="array" ref="VZR6">_xlfn._xlws.FILTER(TablaProductos[Nombre producto],TablaProductos[Agrupación]=ProductosPivot!VZR5)</f>
        <v>#VALUE!</v>
      </c>
      <c r="VZS6" s="68" t="e" cm="1" vm="1">
        <f t="array" ref="VZS6">_xlfn._xlws.FILTER(TablaProductos[Nombre producto],TablaProductos[Agrupación]=ProductosPivot!VZS5)</f>
        <v>#VALUE!</v>
      </c>
      <c r="VZT6" s="68" t="e" cm="1" vm="1">
        <f t="array" ref="VZT6">_xlfn._xlws.FILTER(TablaProductos[Nombre producto],TablaProductos[Agrupación]=ProductosPivot!VZT5)</f>
        <v>#VALUE!</v>
      </c>
      <c r="VZU6" s="68" t="e" cm="1" vm="1">
        <f t="array" ref="VZU6">_xlfn._xlws.FILTER(TablaProductos[Nombre producto],TablaProductos[Agrupación]=ProductosPivot!VZU5)</f>
        <v>#VALUE!</v>
      </c>
      <c r="VZV6" s="68" t="e" cm="1" vm="1">
        <f t="array" ref="VZV6">_xlfn._xlws.FILTER(TablaProductos[Nombre producto],TablaProductos[Agrupación]=ProductosPivot!VZV5)</f>
        <v>#VALUE!</v>
      </c>
      <c r="VZW6" s="68" t="e" cm="1" vm="1">
        <f t="array" ref="VZW6">_xlfn._xlws.FILTER(TablaProductos[Nombre producto],TablaProductos[Agrupación]=ProductosPivot!VZW5)</f>
        <v>#VALUE!</v>
      </c>
      <c r="VZX6" s="68" t="e" cm="1" vm="1">
        <f t="array" ref="VZX6">_xlfn._xlws.FILTER(TablaProductos[Nombre producto],TablaProductos[Agrupación]=ProductosPivot!VZX5)</f>
        <v>#VALUE!</v>
      </c>
      <c r="VZY6" s="68" t="e" cm="1" vm="1">
        <f t="array" ref="VZY6">_xlfn._xlws.FILTER(TablaProductos[Nombre producto],TablaProductos[Agrupación]=ProductosPivot!VZY5)</f>
        <v>#VALUE!</v>
      </c>
      <c r="VZZ6" s="68" t="e" cm="1" vm="1">
        <f t="array" ref="VZZ6">_xlfn._xlws.FILTER(TablaProductos[Nombre producto],TablaProductos[Agrupación]=ProductosPivot!VZZ5)</f>
        <v>#VALUE!</v>
      </c>
      <c r="WAA6" s="68" t="e" cm="1" vm="1">
        <f t="array" ref="WAA6">_xlfn._xlws.FILTER(TablaProductos[Nombre producto],TablaProductos[Agrupación]=ProductosPivot!WAA5)</f>
        <v>#VALUE!</v>
      </c>
      <c r="WAB6" s="68" t="e" cm="1" vm="1">
        <f t="array" ref="WAB6">_xlfn._xlws.FILTER(TablaProductos[Nombre producto],TablaProductos[Agrupación]=ProductosPivot!WAB5)</f>
        <v>#VALUE!</v>
      </c>
      <c r="WAC6" s="68" t="e" cm="1" vm="1">
        <f t="array" ref="WAC6">_xlfn._xlws.FILTER(TablaProductos[Nombre producto],TablaProductos[Agrupación]=ProductosPivot!WAC5)</f>
        <v>#VALUE!</v>
      </c>
      <c r="WAD6" s="68" t="e" cm="1" vm="1">
        <f t="array" ref="WAD6">_xlfn._xlws.FILTER(TablaProductos[Nombre producto],TablaProductos[Agrupación]=ProductosPivot!WAD5)</f>
        <v>#VALUE!</v>
      </c>
      <c r="WAE6" s="68" t="e" cm="1" vm="1">
        <f t="array" ref="WAE6">_xlfn._xlws.FILTER(TablaProductos[Nombre producto],TablaProductos[Agrupación]=ProductosPivot!WAE5)</f>
        <v>#VALUE!</v>
      </c>
      <c r="WAF6" s="68" t="e" cm="1" vm="1">
        <f t="array" ref="WAF6">_xlfn._xlws.FILTER(TablaProductos[Nombre producto],TablaProductos[Agrupación]=ProductosPivot!WAF5)</f>
        <v>#VALUE!</v>
      </c>
      <c r="WAG6" s="68" t="e" cm="1" vm="1">
        <f t="array" ref="WAG6">_xlfn._xlws.FILTER(TablaProductos[Nombre producto],TablaProductos[Agrupación]=ProductosPivot!WAG5)</f>
        <v>#VALUE!</v>
      </c>
      <c r="WAH6" s="68" t="e" cm="1" vm="1">
        <f t="array" ref="WAH6">_xlfn._xlws.FILTER(TablaProductos[Nombre producto],TablaProductos[Agrupación]=ProductosPivot!WAH5)</f>
        <v>#VALUE!</v>
      </c>
      <c r="WAI6" s="68" t="e" cm="1" vm="1">
        <f t="array" ref="WAI6">_xlfn._xlws.FILTER(TablaProductos[Nombre producto],TablaProductos[Agrupación]=ProductosPivot!WAI5)</f>
        <v>#VALUE!</v>
      </c>
      <c r="WAJ6" s="68" t="e" cm="1" vm="1">
        <f t="array" ref="WAJ6">_xlfn._xlws.FILTER(TablaProductos[Nombre producto],TablaProductos[Agrupación]=ProductosPivot!WAJ5)</f>
        <v>#VALUE!</v>
      </c>
      <c r="WAK6" s="68" t="e" cm="1" vm="1">
        <f t="array" ref="WAK6">_xlfn._xlws.FILTER(TablaProductos[Nombre producto],TablaProductos[Agrupación]=ProductosPivot!WAK5)</f>
        <v>#VALUE!</v>
      </c>
      <c r="WAL6" s="68" t="e" cm="1" vm="1">
        <f t="array" ref="WAL6">_xlfn._xlws.FILTER(TablaProductos[Nombre producto],TablaProductos[Agrupación]=ProductosPivot!WAL5)</f>
        <v>#VALUE!</v>
      </c>
      <c r="WAM6" s="68" t="e" cm="1" vm="1">
        <f t="array" ref="WAM6">_xlfn._xlws.FILTER(TablaProductos[Nombre producto],TablaProductos[Agrupación]=ProductosPivot!WAM5)</f>
        <v>#VALUE!</v>
      </c>
      <c r="WAN6" s="68" t="e" cm="1" vm="1">
        <f t="array" ref="WAN6">_xlfn._xlws.FILTER(TablaProductos[Nombre producto],TablaProductos[Agrupación]=ProductosPivot!WAN5)</f>
        <v>#VALUE!</v>
      </c>
      <c r="WAO6" s="68" t="e" cm="1" vm="1">
        <f t="array" ref="WAO6">_xlfn._xlws.FILTER(TablaProductos[Nombre producto],TablaProductos[Agrupación]=ProductosPivot!WAO5)</f>
        <v>#VALUE!</v>
      </c>
      <c r="WAP6" s="68" t="e" cm="1" vm="1">
        <f t="array" ref="WAP6">_xlfn._xlws.FILTER(TablaProductos[Nombre producto],TablaProductos[Agrupación]=ProductosPivot!WAP5)</f>
        <v>#VALUE!</v>
      </c>
      <c r="WAQ6" s="68" t="e" cm="1" vm="1">
        <f t="array" ref="WAQ6">_xlfn._xlws.FILTER(TablaProductos[Nombre producto],TablaProductos[Agrupación]=ProductosPivot!WAQ5)</f>
        <v>#VALUE!</v>
      </c>
      <c r="WAR6" s="68" t="e" cm="1" vm="1">
        <f t="array" ref="WAR6">_xlfn._xlws.FILTER(TablaProductos[Nombre producto],TablaProductos[Agrupación]=ProductosPivot!WAR5)</f>
        <v>#VALUE!</v>
      </c>
      <c r="WAS6" s="68" t="e" cm="1" vm="1">
        <f t="array" ref="WAS6">_xlfn._xlws.FILTER(TablaProductos[Nombre producto],TablaProductos[Agrupación]=ProductosPivot!WAS5)</f>
        <v>#VALUE!</v>
      </c>
      <c r="WAT6" s="68" t="e" cm="1" vm="1">
        <f t="array" ref="WAT6">_xlfn._xlws.FILTER(TablaProductos[Nombre producto],TablaProductos[Agrupación]=ProductosPivot!WAT5)</f>
        <v>#VALUE!</v>
      </c>
      <c r="WAU6" s="68" t="e" cm="1" vm="1">
        <f t="array" ref="WAU6">_xlfn._xlws.FILTER(TablaProductos[Nombre producto],TablaProductos[Agrupación]=ProductosPivot!WAU5)</f>
        <v>#VALUE!</v>
      </c>
      <c r="WAV6" s="68" t="e" cm="1" vm="1">
        <f t="array" ref="WAV6">_xlfn._xlws.FILTER(TablaProductos[Nombre producto],TablaProductos[Agrupación]=ProductosPivot!WAV5)</f>
        <v>#VALUE!</v>
      </c>
      <c r="WAW6" s="68" t="e" cm="1" vm="1">
        <f t="array" ref="WAW6">_xlfn._xlws.FILTER(TablaProductos[Nombre producto],TablaProductos[Agrupación]=ProductosPivot!WAW5)</f>
        <v>#VALUE!</v>
      </c>
      <c r="WAX6" s="68" t="e" cm="1" vm="1">
        <f t="array" ref="WAX6">_xlfn._xlws.FILTER(TablaProductos[Nombre producto],TablaProductos[Agrupación]=ProductosPivot!WAX5)</f>
        <v>#VALUE!</v>
      </c>
      <c r="WAY6" s="68" t="e" cm="1" vm="1">
        <f t="array" ref="WAY6">_xlfn._xlws.FILTER(TablaProductos[Nombre producto],TablaProductos[Agrupación]=ProductosPivot!WAY5)</f>
        <v>#VALUE!</v>
      </c>
      <c r="WAZ6" s="68" t="e" cm="1" vm="1">
        <f t="array" ref="WAZ6">_xlfn._xlws.FILTER(TablaProductos[Nombre producto],TablaProductos[Agrupación]=ProductosPivot!WAZ5)</f>
        <v>#VALUE!</v>
      </c>
      <c r="WBA6" s="68" t="e" cm="1" vm="1">
        <f t="array" ref="WBA6">_xlfn._xlws.FILTER(TablaProductos[Nombre producto],TablaProductos[Agrupación]=ProductosPivot!WBA5)</f>
        <v>#VALUE!</v>
      </c>
      <c r="WBB6" s="68" t="e" cm="1" vm="1">
        <f t="array" ref="WBB6">_xlfn._xlws.FILTER(TablaProductos[Nombre producto],TablaProductos[Agrupación]=ProductosPivot!WBB5)</f>
        <v>#VALUE!</v>
      </c>
      <c r="WBC6" s="68" t="e" cm="1" vm="1">
        <f t="array" ref="WBC6">_xlfn._xlws.FILTER(TablaProductos[Nombre producto],TablaProductos[Agrupación]=ProductosPivot!WBC5)</f>
        <v>#VALUE!</v>
      </c>
      <c r="WBD6" s="68" t="e" cm="1" vm="1">
        <f t="array" ref="WBD6">_xlfn._xlws.FILTER(TablaProductos[Nombre producto],TablaProductos[Agrupación]=ProductosPivot!WBD5)</f>
        <v>#VALUE!</v>
      </c>
      <c r="WBE6" s="68" t="e" cm="1" vm="1">
        <f t="array" ref="WBE6">_xlfn._xlws.FILTER(TablaProductos[Nombre producto],TablaProductos[Agrupación]=ProductosPivot!WBE5)</f>
        <v>#VALUE!</v>
      </c>
      <c r="WBF6" s="68" t="e" cm="1" vm="1">
        <f t="array" ref="WBF6">_xlfn._xlws.FILTER(TablaProductos[Nombre producto],TablaProductos[Agrupación]=ProductosPivot!WBF5)</f>
        <v>#VALUE!</v>
      </c>
      <c r="WBG6" s="68" t="e" cm="1" vm="1">
        <f t="array" ref="WBG6">_xlfn._xlws.FILTER(TablaProductos[Nombre producto],TablaProductos[Agrupación]=ProductosPivot!WBG5)</f>
        <v>#VALUE!</v>
      </c>
      <c r="WBH6" s="68" t="e" cm="1" vm="1">
        <f t="array" ref="WBH6">_xlfn._xlws.FILTER(TablaProductos[Nombre producto],TablaProductos[Agrupación]=ProductosPivot!WBH5)</f>
        <v>#VALUE!</v>
      </c>
      <c r="WBI6" s="68" t="e" cm="1" vm="1">
        <f t="array" ref="WBI6">_xlfn._xlws.FILTER(TablaProductos[Nombre producto],TablaProductos[Agrupación]=ProductosPivot!WBI5)</f>
        <v>#VALUE!</v>
      </c>
      <c r="WBJ6" s="68" t="e" cm="1" vm="1">
        <f t="array" ref="WBJ6">_xlfn._xlws.FILTER(TablaProductos[Nombre producto],TablaProductos[Agrupación]=ProductosPivot!WBJ5)</f>
        <v>#VALUE!</v>
      </c>
      <c r="WBK6" s="68" t="e" cm="1" vm="1">
        <f t="array" ref="WBK6">_xlfn._xlws.FILTER(TablaProductos[Nombre producto],TablaProductos[Agrupación]=ProductosPivot!WBK5)</f>
        <v>#VALUE!</v>
      </c>
      <c r="WBL6" s="68" t="e" cm="1" vm="1">
        <f t="array" ref="WBL6">_xlfn._xlws.FILTER(TablaProductos[Nombre producto],TablaProductos[Agrupación]=ProductosPivot!WBL5)</f>
        <v>#VALUE!</v>
      </c>
      <c r="WBM6" s="68" t="e" cm="1" vm="1">
        <f t="array" ref="WBM6">_xlfn._xlws.FILTER(TablaProductos[Nombre producto],TablaProductos[Agrupación]=ProductosPivot!WBM5)</f>
        <v>#VALUE!</v>
      </c>
      <c r="WBN6" s="68" t="e" cm="1" vm="1">
        <f t="array" ref="WBN6">_xlfn._xlws.FILTER(TablaProductos[Nombre producto],TablaProductos[Agrupación]=ProductosPivot!WBN5)</f>
        <v>#VALUE!</v>
      </c>
      <c r="WBO6" s="68" t="e" cm="1" vm="1">
        <f t="array" ref="WBO6">_xlfn._xlws.FILTER(TablaProductos[Nombre producto],TablaProductos[Agrupación]=ProductosPivot!WBO5)</f>
        <v>#VALUE!</v>
      </c>
      <c r="WBP6" s="68" t="e" cm="1" vm="1">
        <f t="array" ref="WBP6">_xlfn._xlws.FILTER(TablaProductos[Nombre producto],TablaProductos[Agrupación]=ProductosPivot!WBP5)</f>
        <v>#VALUE!</v>
      </c>
      <c r="WBQ6" s="68" t="e" cm="1" vm="1">
        <f t="array" ref="WBQ6">_xlfn._xlws.FILTER(TablaProductos[Nombre producto],TablaProductos[Agrupación]=ProductosPivot!WBQ5)</f>
        <v>#VALUE!</v>
      </c>
      <c r="WBR6" s="68" t="e" cm="1" vm="1">
        <f t="array" ref="WBR6">_xlfn._xlws.FILTER(TablaProductos[Nombre producto],TablaProductos[Agrupación]=ProductosPivot!WBR5)</f>
        <v>#VALUE!</v>
      </c>
      <c r="WBS6" s="68" t="e" cm="1" vm="1">
        <f t="array" ref="WBS6">_xlfn._xlws.FILTER(TablaProductos[Nombre producto],TablaProductos[Agrupación]=ProductosPivot!WBS5)</f>
        <v>#VALUE!</v>
      </c>
      <c r="WBT6" s="68" t="e" cm="1" vm="1">
        <f t="array" ref="WBT6">_xlfn._xlws.FILTER(TablaProductos[Nombre producto],TablaProductos[Agrupación]=ProductosPivot!WBT5)</f>
        <v>#VALUE!</v>
      </c>
      <c r="WBU6" s="68" t="e" cm="1" vm="1">
        <f t="array" ref="WBU6">_xlfn._xlws.FILTER(TablaProductos[Nombre producto],TablaProductos[Agrupación]=ProductosPivot!WBU5)</f>
        <v>#VALUE!</v>
      </c>
      <c r="WBV6" s="68" t="e" cm="1" vm="1">
        <f t="array" ref="WBV6">_xlfn._xlws.FILTER(TablaProductos[Nombre producto],TablaProductos[Agrupación]=ProductosPivot!WBV5)</f>
        <v>#VALUE!</v>
      </c>
      <c r="WBW6" s="68" t="e" cm="1" vm="1">
        <f t="array" ref="WBW6">_xlfn._xlws.FILTER(TablaProductos[Nombre producto],TablaProductos[Agrupación]=ProductosPivot!WBW5)</f>
        <v>#VALUE!</v>
      </c>
      <c r="WBX6" s="68" t="e" cm="1" vm="1">
        <f t="array" ref="WBX6">_xlfn._xlws.FILTER(TablaProductos[Nombre producto],TablaProductos[Agrupación]=ProductosPivot!WBX5)</f>
        <v>#VALUE!</v>
      </c>
      <c r="WBY6" s="68" t="e" cm="1" vm="1">
        <f t="array" ref="WBY6">_xlfn._xlws.FILTER(TablaProductos[Nombre producto],TablaProductos[Agrupación]=ProductosPivot!WBY5)</f>
        <v>#VALUE!</v>
      </c>
      <c r="WBZ6" s="68" t="e" cm="1" vm="1">
        <f t="array" ref="WBZ6">_xlfn._xlws.FILTER(TablaProductos[Nombre producto],TablaProductos[Agrupación]=ProductosPivot!WBZ5)</f>
        <v>#VALUE!</v>
      </c>
      <c r="WCA6" s="68" t="e" cm="1" vm="1">
        <f t="array" ref="WCA6">_xlfn._xlws.FILTER(TablaProductos[Nombre producto],TablaProductos[Agrupación]=ProductosPivot!WCA5)</f>
        <v>#VALUE!</v>
      </c>
      <c r="WCB6" s="68" t="e" cm="1" vm="1">
        <f t="array" ref="WCB6">_xlfn._xlws.FILTER(TablaProductos[Nombre producto],TablaProductos[Agrupación]=ProductosPivot!WCB5)</f>
        <v>#VALUE!</v>
      </c>
      <c r="WCC6" s="68" t="e" cm="1" vm="1">
        <f t="array" ref="WCC6">_xlfn._xlws.FILTER(TablaProductos[Nombre producto],TablaProductos[Agrupación]=ProductosPivot!WCC5)</f>
        <v>#VALUE!</v>
      </c>
      <c r="WCD6" s="68" t="e" cm="1" vm="1">
        <f t="array" ref="WCD6">_xlfn._xlws.FILTER(TablaProductos[Nombre producto],TablaProductos[Agrupación]=ProductosPivot!WCD5)</f>
        <v>#VALUE!</v>
      </c>
      <c r="WCE6" s="68" t="e" cm="1" vm="1">
        <f t="array" ref="WCE6">_xlfn._xlws.FILTER(TablaProductos[Nombre producto],TablaProductos[Agrupación]=ProductosPivot!WCE5)</f>
        <v>#VALUE!</v>
      </c>
      <c r="WCF6" s="68" t="e" cm="1" vm="1">
        <f t="array" ref="WCF6">_xlfn._xlws.FILTER(TablaProductos[Nombre producto],TablaProductos[Agrupación]=ProductosPivot!WCF5)</f>
        <v>#VALUE!</v>
      </c>
      <c r="WCG6" s="68" t="e" cm="1" vm="1">
        <f t="array" ref="WCG6">_xlfn._xlws.FILTER(TablaProductos[Nombre producto],TablaProductos[Agrupación]=ProductosPivot!WCG5)</f>
        <v>#VALUE!</v>
      </c>
      <c r="WCH6" s="68" t="e" cm="1" vm="1">
        <f t="array" ref="WCH6">_xlfn._xlws.FILTER(TablaProductos[Nombre producto],TablaProductos[Agrupación]=ProductosPivot!WCH5)</f>
        <v>#VALUE!</v>
      </c>
      <c r="WCI6" s="68" t="e" cm="1" vm="1">
        <f t="array" ref="WCI6">_xlfn._xlws.FILTER(TablaProductos[Nombre producto],TablaProductos[Agrupación]=ProductosPivot!WCI5)</f>
        <v>#VALUE!</v>
      </c>
      <c r="WCJ6" s="68" t="e" cm="1" vm="1">
        <f t="array" ref="WCJ6">_xlfn._xlws.FILTER(TablaProductos[Nombre producto],TablaProductos[Agrupación]=ProductosPivot!WCJ5)</f>
        <v>#VALUE!</v>
      </c>
      <c r="WCK6" s="68" t="e" cm="1" vm="1">
        <f t="array" ref="WCK6">_xlfn._xlws.FILTER(TablaProductos[Nombre producto],TablaProductos[Agrupación]=ProductosPivot!WCK5)</f>
        <v>#VALUE!</v>
      </c>
      <c r="WCL6" s="68" t="e" cm="1" vm="1">
        <f t="array" ref="WCL6">_xlfn._xlws.FILTER(TablaProductos[Nombre producto],TablaProductos[Agrupación]=ProductosPivot!WCL5)</f>
        <v>#VALUE!</v>
      </c>
      <c r="WCM6" s="68" t="e" cm="1" vm="1">
        <f t="array" ref="WCM6">_xlfn._xlws.FILTER(TablaProductos[Nombre producto],TablaProductos[Agrupación]=ProductosPivot!WCM5)</f>
        <v>#VALUE!</v>
      </c>
      <c r="WCN6" s="68" t="e" cm="1" vm="1">
        <f t="array" ref="WCN6">_xlfn._xlws.FILTER(TablaProductos[Nombre producto],TablaProductos[Agrupación]=ProductosPivot!WCN5)</f>
        <v>#VALUE!</v>
      </c>
      <c r="WCO6" s="68" t="e" cm="1" vm="1">
        <f t="array" ref="WCO6">_xlfn._xlws.FILTER(TablaProductos[Nombre producto],TablaProductos[Agrupación]=ProductosPivot!WCO5)</f>
        <v>#VALUE!</v>
      </c>
      <c r="WCP6" s="68" t="e" cm="1" vm="1">
        <f t="array" ref="WCP6">_xlfn._xlws.FILTER(TablaProductos[Nombre producto],TablaProductos[Agrupación]=ProductosPivot!WCP5)</f>
        <v>#VALUE!</v>
      </c>
      <c r="WCQ6" s="68" t="e" cm="1" vm="1">
        <f t="array" ref="WCQ6">_xlfn._xlws.FILTER(TablaProductos[Nombre producto],TablaProductos[Agrupación]=ProductosPivot!WCQ5)</f>
        <v>#VALUE!</v>
      </c>
      <c r="WCR6" s="68" t="e" cm="1" vm="1">
        <f t="array" ref="WCR6">_xlfn._xlws.FILTER(TablaProductos[Nombre producto],TablaProductos[Agrupación]=ProductosPivot!WCR5)</f>
        <v>#VALUE!</v>
      </c>
      <c r="WCS6" s="68" t="e" cm="1" vm="1">
        <f t="array" ref="WCS6">_xlfn._xlws.FILTER(TablaProductos[Nombre producto],TablaProductos[Agrupación]=ProductosPivot!WCS5)</f>
        <v>#VALUE!</v>
      </c>
      <c r="WCT6" s="68" t="e" cm="1" vm="1">
        <f t="array" ref="WCT6">_xlfn._xlws.FILTER(TablaProductos[Nombre producto],TablaProductos[Agrupación]=ProductosPivot!WCT5)</f>
        <v>#VALUE!</v>
      </c>
      <c r="WCU6" s="68" t="e" cm="1" vm="1">
        <f t="array" ref="WCU6">_xlfn._xlws.FILTER(TablaProductos[Nombre producto],TablaProductos[Agrupación]=ProductosPivot!WCU5)</f>
        <v>#VALUE!</v>
      </c>
      <c r="WCV6" s="68" t="e" cm="1" vm="1">
        <f t="array" ref="WCV6">_xlfn._xlws.FILTER(TablaProductos[Nombre producto],TablaProductos[Agrupación]=ProductosPivot!WCV5)</f>
        <v>#VALUE!</v>
      </c>
      <c r="WCW6" s="68" t="e" cm="1" vm="1">
        <f t="array" ref="WCW6">_xlfn._xlws.FILTER(TablaProductos[Nombre producto],TablaProductos[Agrupación]=ProductosPivot!WCW5)</f>
        <v>#VALUE!</v>
      </c>
      <c r="WCX6" s="68" t="e" cm="1" vm="1">
        <f t="array" ref="WCX6">_xlfn._xlws.FILTER(TablaProductos[Nombre producto],TablaProductos[Agrupación]=ProductosPivot!WCX5)</f>
        <v>#VALUE!</v>
      </c>
      <c r="WCY6" s="68" t="e" cm="1" vm="1">
        <f t="array" ref="WCY6">_xlfn._xlws.FILTER(TablaProductos[Nombre producto],TablaProductos[Agrupación]=ProductosPivot!WCY5)</f>
        <v>#VALUE!</v>
      </c>
      <c r="WCZ6" s="68" t="e" cm="1" vm="1">
        <f t="array" ref="WCZ6">_xlfn._xlws.FILTER(TablaProductos[Nombre producto],TablaProductos[Agrupación]=ProductosPivot!WCZ5)</f>
        <v>#VALUE!</v>
      </c>
      <c r="WDA6" s="68" t="e" cm="1" vm="1">
        <f t="array" ref="WDA6">_xlfn._xlws.FILTER(TablaProductos[Nombre producto],TablaProductos[Agrupación]=ProductosPivot!WDA5)</f>
        <v>#VALUE!</v>
      </c>
      <c r="WDB6" s="68" t="e" cm="1" vm="1">
        <f t="array" ref="WDB6">_xlfn._xlws.FILTER(TablaProductos[Nombre producto],TablaProductos[Agrupación]=ProductosPivot!WDB5)</f>
        <v>#VALUE!</v>
      </c>
      <c r="WDC6" s="68" t="e" cm="1" vm="1">
        <f t="array" ref="WDC6">_xlfn._xlws.FILTER(TablaProductos[Nombre producto],TablaProductos[Agrupación]=ProductosPivot!WDC5)</f>
        <v>#VALUE!</v>
      </c>
      <c r="WDD6" s="68" t="e" cm="1" vm="1">
        <f t="array" ref="WDD6">_xlfn._xlws.FILTER(TablaProductos[Nombre producto],TablaProductos[Agrupación]=ProductosPivot!WDD5)</f>
        <v>#VALUE!</v>
      </c>
      <c r="WDE6" s="68" t="e" cm="1" vm="1">
        <f t="array" ref="WDE6">_xlfn._xlws.FILTER(TablaProductos[Nombre producto],TablaProductos[Agrupación]=ProductosPivot!WDE5)</f>
        <v>#VALUE!</v>
      </c>
      <c r="WDF6" s="68" t="e" cm="1" vm="1">
        <f t="array" ref="WDF6">_xlfn._xlws.FILTER(TablaProductos[Nombre producto],TablaProductos[Agrupación]=ProductosPivot!WDF5)</f>
        <v>#VALUE!</v>
      </c>
      <c r="WDG6" s="68" t="e" cm="1" vm="1">
        <f t="array" ref="WDG6">_xlfn._xlws.FILTER(TablaProductos[Nombre producto],TablaProductos[Agrupación]=ProductosPivot!WDG5)</f>
        <v>#VALUE!</v>
      </c>
      <c r="WDH6" s="68" t="e" cm="1" vm="1">
        <f t="array" ref="WDH6">_xlfn._xlws.FILTER(TablaProductos[Nombre producto],TablaProductos[Agrupación]=ProductosPivot!WDH5)</f>
        <v>#VALUE!</v>
      </c>
      <c r="WDI6" s="68" t="e" cm="1" vm="1">
        <f t="array" ref="WDI6">_xlfn._xlws.FILTER(TablaProductos[Nombre producto],TablaProductos[Agrupación]=ProductosPivot!WDI5)</f>
        <v>#VALUE!</v>
      </c>
      <c r="WDJ6" s="68" t="e" cm="1" vm="1">
        <f t="array" ref="WDJ6">_xlfn._xlws.FILTER(TablaProductos[Nombre producto],TablaProductos[Agrupación]=ProductosPivot!WDJ5)</f>
        <v>#VALUE!</v>
      </c>
      <c r="WDK6" s="68" t="e" cm="1" vm="1">
        <f t="array" ref="WDK6">_xlfn._xlws.FILTER(TablaProductos[Nombre producto],TablaProductos[Agrupación]=ProductosPivot!WDK5)</f>
        <v>#VALUE!</v>
      </c>
      <c r="WDL6" s="68" t="e" cm="1" vm="1">
        <f t="array" ref="WDL6">_xlfn._xlws.FILTER(TablaProductos[Nombre producto],TablaProductos[Agrupación]=ProductosPivot!WDL5)</f>
        <v>#VALUE!</v>
      </c>
      <c r="WDM6" s="68" t="e" cm="1" vm="1">
        <f t="array" ref="WDM6">_xlfn._xlws.FILTER(TablaProductos[Nombre producto],TablaProductos[Agrupación]=ProductosPivot!WDM5)</f>
        <v>#VALUE!</v>
      </c>
      <c r="WDN6" s="68" t="e" cm="1" vm="1">
        <f t="array" ref="WDN6">_xlfn._xlws.FILTER(TablaProductos[Nombre producto],TablaProductos[Agrupación]=ProductosPivot!WDN5)</f>
        <v>#VALUE!</v>
      </c>
      <c r="WDO6" s="68" t="e" cm="1" vm="1">
        <f t="array" ref="WDO6">_xlfn._xlws.FILTER(TablaProductos[Nombre producto],TablaProductos[Agrupación]=ProductosPivot!WDO5)</f>
        <v>#VALUE!</v>
      </c>
      <c r="WDP6" s="68" t="e" cm="1" vm="1">
        <f t="array" ref="WDP6">_xlfn._xlws.FILTER(TablaProductos[Nombre producto],TablaProductos[Agrupación]=ProductosPivot!WDP5)</f>
        <v>#VALUE!</v>
      </c>
      <c r="WDQ6" s="68" t="e" cm="1" vm="1">
        <f t="array" ref="WDQ6">_xlfn._xlws.FILTER(TablaProductos[Nombre producto],TablaProductos[Agrupación]=ProductosPivot!WDQ5)</f>
        <v>#VALUE!</v>
      </c>
      <c r="WDR6" s="68" t="e" cm="1" vm="1">
        <f t="array" ref="WDR6">_xlfn._xlws.FILTER(TablaProductos[Nombre producto],TablaProductos[Agrupación]=ProductosPivot!WDR5)</f>
        <v>#VALUE!</v>
      </c>
      <c r="WDS6" s="68" t="e" cm="1" vm="1">
        <f t="array" ref="WDS6">_xlfn._xlws.FILTER(TablaProductos[Nombre producto],TablaProductos[Agrupación]=ProductosPivot!WDS5)</f>
        <v>#VALUE!</v>
      </c>
      <c r="WDT6" s="68" t="e" cm="1" vm="1">
        <f t="array" ref="WDT6">_xlfn._xlws.FILTER(TablaProductos[Nombre producto],TablaProductos[Agrupación]=ProductosPivot!WDT5)</f>
        <v>#VALUE!</v>
      </c>
      <c r="WDU6" s="68" t="e" cm="1" vm="1">
        <f t="array" ref="WDU6">_xlfn._xlws.FILTER(TablaProductos[Nombre producto],TablaProductos[Agrupación]=ProductosPivot!WDU5)</f>
        <v>#VALUE!</v>
      </c>
      <c r="WDV6" s="68" t="e" cm="1" vm="1">
        <f t="array" ref="WDV6">_xlfn._xlws.FILTER(TablaProductos[Nombre producto],TablaProductos[Agrupación]=ProductosPivot!WDV5)</f>
        <v>#VALUE!</v>
      </c>
      <c r="WDW6" s="68" t="e" cm="1" vm="1">
        <f t="array" ref="WDW6">_xlfn._xlws.FILTER(TablaProductos[Nombre producto],TablaProductos[Agrupación]=ProductosPivot!WDW5)</f>
        <v>#VALUE!</v>
      </c>
      <c r="WDX6" s="68" t="e" cm="1" vm="1">
        <f t="array" ref="WDX6">_xlfn._xlws.FILTER(TablaProductos[Nombre producto],TablaProductos[Agrupación]=ProductosPivot!WDX5)</f>
        <v>#VALUE!</v>
      </c>
      <c r="WDY6" s="68" t="e" cm="1" vm="1">
        <f t="array" ref="WDY6">_xlfn._xlws.FILTER(TablaProductos[Nombre producto],TablaProductos[Agrupación]=ProductosPivot!WDY5)</f>
        <v>#VALUE!</v>
      </c>
      <c r="WDZ6" s="68" t="e" cm="1" vm="1">
        <f t="array" ref="WDZ6">_xlfn._xlws.FILTER(TablaProductos[Nombre producto],TablaProductos[Agrupación]=ProductosPivot!WDZ5)</f>
        <v>#VALUE!</v>
      </c>
      <c r="WEA6" s="68" t="e" cm="1" vm="1">
        <f t="array" ref="WEA6">_xlfn._xlws.FILTER(TablaProductos[Nombre producto],TablaProductos[Agrupación]=ProductosPivot!WEA5)</f>
        <v>#VALUE!</v>
      </c>
      <c r="WEB6" s="68" t="e" cm="1" vm="1">
        <f t="array" ref="WEB6">_xlfn._xlws.FILTER(TablaProductos[Nombre producto],TablaProductos[Agrupación]=ProductosPivot!WEB5)</f>
        <v>#VALUE!</v>
      </c>
      <c r="WEC6" s="68" t="e" cm="1" vm="1">
        <f t="array" ref="WEC6">_xlfn._xlws.FILTER(TablaProductos[Nombre producto],TablaProductos[Agrupación]=ProductosPivot!WEC5)</f>
        <v>#VALUE!</v>
      </c>
      <c r="WED6" s="68" t="e" cm="1" vm="1">
        <f t="array" ref="WED6">_xlfn._xlws.FILTER(TablaProductos[Nombre producto],TablaProductos[Agrupación]=ProductosPivot!WED5)</f>
        <v>#VALUE!</v>
      </c>
      <c r="WEE6" s="68" t="e" cm="1" vm="1">
        <f t="array" ref="WEE6">_xlfn._xlws.FILTER(TablaProductos[Nombre producto],TablaProductos[Agrupación]=ProductosPivot!WEE5)</f>
        <v>#VALUE!</v>
      </c>
      <c r="WEF6" s="68" t="e" cm="1" vm="1">
        <f t="array" ref="WEF6">_xlfn._xlws.FILTER(TablaProductos[Nombre producto],TablaProductos[Agrupación]=ProductosPivot!WEF5)</f>
        <v>#VALUE!</v>
      </c>
      <c r="WEG6" s="68" t="e" cm="1" vm="1">
        <f t="array" ref="WEG6">_xlfn._xlws.FILTER(TablaProductos[Nombre producto],TablaProductos[Agrupación]=ProductosPivot!WEG5)</f>
        <v>#VALUE!</v>
      </c>
      <c r="WEH6" s="68" t="e" cm="1" vm="1">
        <f t="array" ref="WEH6">_xlfn._xlws.FILTER(TablaProductos[Nombre producto],TablaProductos[Agrupación]=ProductosPivot!WEH5)</f>
        <v>#VALUE!</v>
      </c>
      <c r="WEI6" s="68" t="e" cm="1" vm="1">
        <f t="array" ref="WEI6">_xlfn._xlws.FILTER(TablaProductos[Nombre producto],TablaProductos[Agrupación]=ProductosPivot!WEI5)</f>
        <v>#VALUE!</v>
      </c>
      <c r="WEJ6" s="68" t="e" cm="1" vm="1">
        <f t="array" ref="WEJ6">_xlfn._xlws.FILTER(TablaProductos[Nombre producto],TablaProductos[Agrupación]=ProductosPivot!WEJ5)</f>
        <v>#VALUE!</v>
      </c>
      <c r="WEK6" s="68" t="e" cm="1" vm="1">
        <f t="array" ref="WEK6">_xlfn._xlws.FILTER(TablaProductos[Nombre producto],TablaProductos[Agrupación]=ProductosPivot!WEK5)</f>
        <v>#VALUE!</v>
      </c>
      <c r="WEL6" s="68" t="e" cm="1" vm="1">
        <f t="array" ref="WEL6">_xlfn._xlws.FILTER(TablaProductos[Nombre producto],TablaProductos[Agrupación]=ProductosPivot!WEL5)</f>
        <v>#VALUE!</v>
      </c>
      <c r="WEM6" s="68" t="e" cm="1" vm="1">
        <f t="array" ref="WEM6">_xlfn._xlws.FILTER(TablaProductos[Nombre producto],TablaProductos[Agrupación]=ProductosPivot!WEM5)</f>
        <v>#VALUE!</v>
      </c>
      <c r="WEN6" s="68" t="e" cm="1" vm="1">
        <f t="array" ref="WEN6">_xlfn._xlws.FILTER(TablaProductos[Nombre producto],TablaProductos[Agrupación]=ProductosPivot!WEN5)</f>
        <v>#VALUE!</v>
      </c>
      <c r="WEO6" s="68" t="e" cm="1" vm="1">
        <f t="array" ref="WEO6">_xlfn._xlws.FILTER(TablaProductos[Nombre producto],TablaProductos[Agrupación]=ProductosPivot!WEO5)</f>
        <v>#VALUE!</v>
      </c>
      <c r="WEP6" s="68" t="e" cm="1" vm="1">
        <f t="array" ref="WEP6">_xlfn._xlws.FILTER(TablaProductos[Nombre producto],TablaProductos[Agrupación]=ProductosPivot!WEP5)</f>
        <v>#VALUE!</v>
      </c>
      <c r="WEQ6" s="68" t="e" cm="1" vm="1">
        <f t="array" ref="WEQ6">_xlfn._xlws.FILTER(TablaProductos[Nombre producto],TablaProductos[Agrupación]=ProductosPivot!WEQ5)</f>
        <v>#VALUE!</v>
      </c>
      <c r="WER6" s="68" t="e" cm="1" vm="1">
        <f t="array" ref="WER6">_xlfn._xlws.FILTER(TablaProductos[Nombre producto],TablaProductos[Agrupación]=ProductosPivot!WER5)</f>
        <v>#VALUE!</v>
      </c>
      <c r="WES6" s="68" t="e" cm="1" vm="1">
        <f t="array" ref="WES6">_xlfn._xlws.FILTER(TablaProductos[Nombre producto],TablaProductos[Agrupación]=ProductosPivot!WES5)</f>
        <v>#VALUE!</v>
      </c>
      <c r="WET6" s="68" t="e" cm="1" vm="1">
        <f t="array" ref="WET6">_xlfn._xlws.FILTER(TablaProductos[Nombre producto],TablaProductos[Agrupación]=ProductosPivot!WET5)</f>
        <v>#VALUE!</v>
      </c>
      <c r="WEU6" s="68" t="e" cm="1" vm="1">
        <f t="array" ref="WEU6">_xlfn._xlws.FILTER(TablaProductos[Nombre producto],TablaProductos[Agrupación]=ProductosPivot!WEU5)</f>
        <v>#VALUE!</v>
      </c>
      <c r="WEV6" s="68" t="e" cm="1" vm="1">
        <f t="array" ref="WEV6">_xlfn._xlws.FILTER(TablaProductos[Nombre producto],TablaProductos[Agrupación]=ProductosPivot!WEV5)</f>
        <v>#VALUE!</v>
      </c>
      <c r="WEW6" s="68" t="e" cm="1" vm="1">
        <f t="array" ref="WEW6">_xlfn._xlws.FILTER(TablaProductos[Nombre producto],TablaProductos[Agrupación]=ProductosPivot!WEW5)</f>
        <v>#VALUE!</v>
      </c>
      <c r="WEX6" s="68" t="e" cm="1" vm="1">
        <f t="array" ref="WEX6">_xlfn._xlws.FILTER(TablaProductos[Nombre producto],TablaProductos[Agrupación]=ProductosPivot!WEX5)</f>
        <v>#VALUE!</v>
      </c>
      <c r="WEY6" s="68" t="e" cm="1" vm="1">
        <f t="array" ref="WEY6">_xlfn._xlws.FILTER(TablaProductos[Nombre producto],TablaProductos[Agrupación]=ProductosPivot!WEY5)</f>
        <v>#VALUE!</v>
      </c>
      <c r="WEZ6" s="68" t="e" cm="1" vm="1">
        <f t="array" ref="WEZ6">_xlfn._xlws.FILTER(TablaProductos[Nombre producto],TablaProductos[Agrupación]=ProductosPivot!WEZ5)</f>
        <v>#VALUE!</v>
      </c>
      <c r="WFA6" s="68" t="e" cm="1" vm="1">
        <f t="array" ref="WFA6">_xlfn._xlws.FILTER(TablaProductos[Nombre producto],TablaProductos[Agrupación]=ProductosPivot!WFA5)</f>
        <v>#VALUE!</v>
      </c>
      <c r="WFB6" s="68" t="e" cm="1" vm="1">
        <f t="array" ref="WFB6">_xlfn._xlws.FILTER(TablaProductos[Nombre producto],TablaProductos[Agrupación]=ProductosPivot!WFB5)</f>
        <v>#VALUE!</v>
      </c>
      <c r="WFC6" s="68" t="e" cm="1" vm="1">
        <f t="array" ref="WFC6">_xlfn._xlws.FILTER(TablaProductos[Nombre producto],TablaProductos[Agrupación]=ProductosPivot!WFC5)</f>
        <v>#VALUE!</v>
      </c>
      <c r="WFD6" s="68" t="e" cm="1" vm="1">
        <f t="array" ref="WFD6">_xlfn._xlws.FILTER(TablaProductos[Nombre producto],TablaProductos[Agrupación]=ProductosPivot!WFD5)</f>
        <v>#VALUE!</v>
      </c>
      <c r="WFE6" s="68" t="e" cm="1" vm="1">
        <f t="array" ref="WFE6">_xlfn._xlws.FILTER(TablaProductos[Nombre producto],TablaProductos[Agrupación]=ProductosPivot!WFE5)</f>
        <v>#VALUE!</v>
      </c>
      <c r="WFF6" s="68" t="e" cm="1" vm="1">
        <f t="array" ref="WFF6">_xlfn._xlws.FILTER(TablaProductos[Nombre producto],TablaProductos[Agrupación]=ProductosPivot!WFF5)</f>
        <v>#VALUE!</v>
      </c>
      <c r="WFG6" s="68" t="e" cm="1" vm="1">
        <f t="array" ref="WFG6">_xlfn._xlws.FILTER(TablaProductos[Nombre producto],TablaProductos[Agrupación]=ProductosPivot!WFG5)</f>
        <v>#VALUE!</v>
      </c>
      <c r="WFH6" s="68" t="e" cm="1" vm="1">
        <f t="array" ref="WFH6">_xlfn._xlws.FILTER(TablaProductos[Nombre producto],TablaProductos[Agrupación]=ProductosPivot!WFH5)</f>
        <v>#VALUE!</v>
      </c>
      <c r="WFI6" s="68" t="e" cm="1" vm="1">
        <f t="array" ref="WFI6">_xlfn._xlws.FILTER(TablaProductos[Nombre producto],TablaProductos[Agrupación]=ProductosPivot!WFI5)</f>
        <v>#VALUE!</v>
      </c>
      <c r="WFJ6" s="68" t="e" cm="1" vm="1">
        <f t="array" ref="WFJ6">_xlfn._xlws.FILTER(TablaProductos[Nombre producto],TablaProductos[Agrupación]=ProductosPivot!WFJ5)</f>
        <v>#VALUE!</v>
      </c>
      <c r="WFK6" s="68" t="e" cm="1" vm="1">
        <f t="array" ref="WFK6">_xlfn._xlws.FILTER(TablaProductos[Nombre producto],TablaProductos[Agrupación]=ProductosPivot!WFK5)</f>
        <v>#VALUE!</v>
      </c>
      <c r="WFL6" s="68" t="e" cm="1" vm="1">
        <f t="array" ref="WFL6">_xlfn._xlws.FILTER(TablaProductos[Nombre producto],TablaProductos[Agrupación]=ProductosPivot!WFL5)</f>
        <v>#VALUE!</v>
      </c>
      <c r="WFM6" s="68" t="e" cm="1" vm="1">
        <f t="array" ref="WFM6">_xlfn._xlws.FILTER(TablaProductos[Nombre producto],TablaProductos[Agrupación]=ProductosPivot!WFM5)</f>
        <v>#VALUE!</v>
      </c>
      <c r="WFN6" s="68" t="e" cm="1" vm="1">
        <f t="array" ref="WFN6">_xlfn._xlws.FILTER(TablaProductos[Nombre producto],TablaProductos[Agrupación]=ProductosPivot!WFN5)</f>
        <v>#VALUE!</v>
      </c>
      <c r="WFO6" s="68" t="e" cm="1" vm="1">
        <f t="array" ref="WFO6">_xlfn._xlws.FILTER(TablaProductos[Nombre producto],TablaProductos[Agrupación]=ProductosPivot!WFO5)</f>
        <v>#VALUE!</v>
      </c>
      <c r="WFP6" s="68" t="e" cm="1" vm="1">
        <f t="array" ref="WFP6">_xlfn._xlws.FILTER(TablaProductos[Nombre producto],TablaProductos[Agrupación]=ProductosPivot!WFP5)</f>
        <v>#VALUE!</v>
      </c>
      <c r="WFQ6" s="68" t="e" cm="1" vm="1">
        <f t="array" ref="WFQ6">_xlfn._xlws.FILTER(TablaProductos[Nombre producto],TablaProductos[Agrupación]=ProductosPivot!WFQ5)</f>
        <v>#VALUE!</v>
      </c>
      <c r="WFR6" s="68" t="e" cm="1" vm="1">
        <f t="array" ref="WFR6">_xlfn._xlws.FILTER(TablaProductos[Nombre producto],TablaProductos[Agrupación]=ProductosPivot!WFR5)</f>
        <v>#VALUE!</v>
      </c>
      <c r="WFS6" s="68" t="e" cm="1" vm="1">
        <f t="array" ref="WFS6">_xlfn._xlws.FILTER(TablaProductos[Nombre producto],TablaProductos[Agrupación]=ProductosPivot!WFS5)</f>
        <v>#VALUE!</v>
      </c>
      <c r="WFT6" s="68" t="e" cm="1" vm="1">
        <f t="array" ref="WFT6">_xlfn._xlws.FILTER(TablaProductos[Nombre producto],TablaProductos[Agrupación]=ProductosPivot!WFT5)</f>
        <v>#VALUE!</v>
      </c>
      <c r="WFU6" s="68" t="e" cm="1" vm="1">
        <f t="array" ref="WFU6">_xlfn._xlws.FILTER(TablaProductos[Nombre producto],TablaProductos[Agrupación]=ProductosPivot!WFU5)</f>
        <v>#VALUE!</v>
      </c>
      <c r="WFV6" s="68" t="e" cm="1" vm="1">
        <f t="array" ref="WFV6">_xlfn._xlws.FILTER(TablaProductos[Nombre producto],TablaProductos[Agrupación]=ProductosPivot!WFV5)</f>
        <v>#VALUE!</v>
      </c>
      <c r="WFW6" s="68" t="e" cm="1" vm="1">
        <f t="array" ref="WFW6">_xlfn._xlws.FILTER(TablaProductos[Nombre producto],TablaProductos[Agrupación]=ProductosPivot!WFW5)</f>
        <v>#VALUE!</v>
      </c>
      <c r="WFX6" s="68" t="e" cm="1" vm="1">
        <f t="array" ref="WFX6">_xlfn._xlws.FILTER(TablaProductos[Nombre producto],TablaProductos[Agrupación]=ProductosPivot!WFX5)</f>
        <v>#VALUE!</v>
      </c>
      <c r="WFY6" s="68" t="e" cm="1" vm="1">
        <f t="array" ref="WFY6">_xlfn._xlws.FILTER(TablaProductos[Nombre producto],TablaProductos[Agrupación]=ProductosPivot!WFY5)</f>
        <v>#VALUE!</v>
      </c>
      <c r="WFZ6" s="68" t="e" cm="1" vm="1">
        <f t="array" ref="WFZ6">_xlfn._xlws.FILTER(TablaProductos[Nombre producto],TablaProductos[Agrupación]=ProductosPivot!WFZ5)</f>
        <v>#VALUE!</v>
      </c>
      <c r="WGA6" s="68" t="e" cm="1" vm="1">
        <f t="array" ref="WGA6">_xlfn._xlws.FILTER(TablaProductos[Nombre producto],TablaProductos[Agrupación]=ProductosPivot!WGA5)</f>
        <v>#VALUE!</v>
      </c>
      <c r="WGB6" s="68" t="e" cm="1" vm="1">
        <f t="array" ref="WGB6">_xlfn._xlws.FILTER(TablaProductos[Nombre producto],TablaProductos[Agrupación]=ProductosPivot!WGB5)</f>
        <v>#VALUE!</v>
      </c>
      <c r="WGC6" s="68" t="e" cm="1" vm="1">
        <f t="array" ref="WGC6">_xlfn._xlws.FILTER(TablaProductos[Nombre producto],TablaProductos[Agrupación]=ProductosPivot!WGC5)</f>
        <v>#VALUE!</v>
      </c>
      <c r="WGD6" s="68" t="e" cm="1" vm="1">
        <f t="array" ref="WGD6">_xlfn._xlws.FILTER(TablaProductos[Nombre producto],TablaProductos[Agrupación]=ProductosPivot!WGD5)</f>
        <v>#VALUE!</v>
      </c>
      <c r="WGE6" s="68" t="e" cm="1" vm="1">
        <f t="array" ref="WGE6">_xlfn._xlws.FILTER(TablaProductos[Nombre producto],TablaProductos[Agrupación]=ProductosPivot!WGE5)</f>
        <v>#VALUE!</v>
      </c>
      <c r="WGF6" s="68" t="e" cm="1" vm="1">
        <f t="array" ref="WGF6">_xlfn._xlws.FILTER(TablaProductos[Nombre producto],TablaProductos[Agrupación]=ProductosPivot!WGF5)</f>
        <v>#VALUE!</v>
      </c>
      <c r="WGG6" s="68" t="e" cm="1" vm="1">
        <f t="array" ref="WGG6">_xlfn._xlws.FILTER(TablaProductos[Nombre producto],TablaProductos[Agrupación]=ProductosPivot!WGG5)</f>
        <v>#VALUE!</v>
      </c>
      <c r="WGH6" s="68" t="e" cm="1" vm="1">
        <f t="array" ref="WGH6">_xlfn._xlws.FILTER(TablaProductos[Nombre producto],TablaProductos[Agrupación]=ProductosPivot!WGH5)</f>
        <v>#VALUE!</v>
      </c>
      <c r="WGI6" s="68" t="e" cm="1" vm="1">
        <f t="array" ref="WGI6">_xlfn._xlws.FILTER(TablaProductos[Nombre producto],TablaProductos[Agrupación]=ProductosPivot!WGI5)</f>
        <v>#VALUE!</v>
      </c>
      <c r="WGJ6" s="68" t="e" cm="1" vm="1">
        <f t="array" ref="WGJ6">_xlfn._xlws.FILTER(TablaProductos[Nombre producto],TablaProductos[Agrupación]=ProductosPivot!WGJ5)</f>
        <v>#VALUE!</v>
      </c>
      <c r="WGK6" s="68" t="e" cm="1" vm="1">
        <f t="array" ref="WGK6">_xlfn._xlws.FILTER(TablaProductos[Nombre producto],TablaProductos[Agrupación]=ProductosPivot!WGK5)</f>
        <v>#VALUE!</v>
      </c>
      <c r="WGL6" s="68" t="e" cm="1" vm="1">
        <f t="array" ref="WGL6">_xlfn._xlws.FILTER(TablaProductos[Nombre producto],TablaProductos[Agrupación]=ProductosPivot!WGL5)</f>
        <v>#VALUE!</v>
      </c>
      <c r="WGM6" s="68" t="e" cm="1" vm="1">
        <f t="array" ref="WGM6">_xlfn._xlws.FILTER(TablaProductos[Nombre producto],TablaProductos[Agrupación]=ProductosPivot!WGM5)</f>
        <v>#VALUE!</v>
      </c>
      <c r="WGN6" s="68" t="e" cm="1" vm="1">
        <f t="array" ref="WGN6">_xlfn._xlws.FILTER(TablaProductos[Nombre producto],TablaProductos[Agrupación]=ProductosPivot!WGN5)</f>
        <v>#VALUE!</v>
      </c>
      <c r="WGO6" s="68" t="e" cm="1" vm="1">
        <f t="array" ref="WGO6">_xlfn._xlws.FILTER(TablaProductos[Nombre producto],TablaProductos[Agrupación]=ProductosPivot!WGO5)</f>
        <v>#VALUE!</v>
      </c>
      <c r="WGP6" s="68" t="e" cm="1" vm="1">
        <f t="array" ref="WGP6">_xlfn._xlws.FILTER(TablaProductos[Nombre producto],TablaProductos[Agrupación]=ProductosPivot!WGP5)</f>
        <v>#VALUE!</v>
      </c>
      <c r="WGQ6" s="68" t="e" cm="1" vm="1">
        <f t="array" ref="WGQ6">_xlfn._xlws.FILTER(TablaProductos[Nombre producto],TablaProductos[Agrupación]=ProductosPivot!WGQ5)</f>
        <v>#VALUE!</v>
      </c>
      <c r="WGR6" s="68" t="e" cm="1" vm="1">
        <f t="array" ref="WGR6">_xlfn._xlws.FILTER(TablaProductos[Nombre producto],TablaProductos[Agrupación]=ProductosPivot!WGR5)</f>
        <v>#VALUE!</v>
      </c>
      <c r="WGS6" s="68" t="e" cm="1" vm="1">
        <f t="array" ref="WGS6">_xlfn._xlws.FILTER(TablaProductos[Nombre producto],TablaProductos[Agrupación]=ProductosPivot!WGS5)</f>
        <v>#VALUE!</v>
      </c>
      <c r="WGT6" s="68" t="e" cm="1" vm="1">
        <f t="array" ref="WGT6">_xlfn._xlws.FILTER(TablaProductos[Nombre producto],TablaProductos[Agrupación]=ProductosPivot!WGT5)</f>
        <v>#VALUE!</v>
      </c>
      <c r="WGU6" s="68" t="e" cm="1" vm="1">
        <f t="array" ref="WGU6">_xlfn._xlws.FILTER(TablaProductos[Nombre producto],TablaProductos[Agrupación]=ProductosPivot!WGU5)</f>
        <v>#VALUE!</v>
      </c>
      <c r="WGV6" s="68" t="e" cm="1" vm="1">
        <f t="array" ref="WGV6">_xlfn._xlws.FILTER(TablaProductos[Nombre producto],TablaProductos[Agrupación]=ProductosPivot!WGV5)</f>
        <v>#VALUE!</v>
      </c>
      <c r="WGW6" s="68" t="e" cm="1" vm="1">
        <f t="array" ref="WGW6">_xlfn._xlws.FILTER(TablaProductos[Nombre producto],TablaProductos[Agrupación]=ProductosPivot!WGW5)</f>
        <v>#VALUE!</v>
      </c>
      <c r="WGX6" s="68" t="e" cm="1" vm="1">
        <f t="array" ref="WGX6">_xlfn._xlws.FILTER(TablaProductos[Nombre producto],TablaProductos[Agrupación]=ProductosPivot!WGX5)</f>
        <v>#VALUE!</v>
      </c>
      <c r="WGY6" s="68" t="e" cm="1" vm="1">
        <f t="array" ref="WGY6">_xlfn._xlws.FILTER(TablaProductos[Nombre producto],TablaProductos[Agrupación]=ProductosPivot!WGY5)</f>
        <v>#VALUE!</v>
      </c>
      <c r="WGZ6" s="68" t="e" cm="1" vm="1">
        <f t="array" ref="WGZ6">_xlfn._xlws.FILTER(TablaProductos[Nombre producto],TablaProductos[Agrupación]=ProductosPivot!WGZ5)</f>
        <v>#VALUE!</v>
      </c>
      <c r="WHA6" s="68" t="e" cm="1" vm="1">
        <f t="array" ref="WHA6">_xlfn._xlws.FILTER(TablaProductos[Nombre producto],TablaProductos[Agrupación]=ProductosPivot!WHA5)</f>
        <v>#VALUE!</v>
      </c>
      <c r="WHB6" s="68" t="e" cm="1" vm="1">
        <f t="array" ref="WHB6">_xlfn._xlws.FILTER(TablaProductos[Nombre producto],TablaProductos[Agrupación]=ProductosPivot!WHB5)</f>
        <v>#VALUE!</v>
      </c>
      <c r="WHC6" s="68" t="e" cm="1" vm="1">
        <f t="array" ref="WHC6">_xlfn._xlws.FILTER(TablaProductos[Nombre producto],TablaProductos[Agrupación]=ProductosPivot!WHC5)</f>
        <v>#VALUE!</v>
      </c>
      <c r="WHD6" s="68" t="e" cm="1" vm="1">
        <f t="array" ref="WHD6">_xlfn._xlws.FILTER(TablaProductos[Nombre producto],TablaProductos[Agrupación]=ProductosPivot!WHD5)</f>
        <v>#VALUE!</v>
      </c>
      <c r="WHE6" s="68" t="e" cm="1" vm="1">
        <f t="array" ref="WHE6">_xlfn._xlws.FILTER(TablaProductos[Nombre producto],TablaProductos[Agrupación]=ProductosPivot!WHE5)</f>
        <v>#VALUE!</v>
      </c>
      <c r="WHF6" s="68" t="e" cm="1" vm="1">
        <f t="array" ref="WHF6">_xlfn._xlws.FILTER(TablaProductos[Nombre producto],TablaProductos[Agrupación]=ProductosPivot!WHF5)</f>
        <v>#VALUE!</v>
      </c>
      <c r="WHG6" s="68" t="e" cm="1" vm="1">
        <f t="array" ref="WHG6">_xlfn._xlws.FILTER(TablaProductos[Nombre producto],TablaProductos[Agrupación]=ProductosPivot!WHG5)</f>
        <v>#VALUE!</v>
      </c>
      <c r="WHH6" s="68" t="e" cm="1" vm="1">
        <f t="array" ref="WHH6">_xlfn._xlws.FILTER(TablaProductos[Nombre producto],TablaProductos[Agrupación]=ProductosPivot!WHH5)</f>
        <v>#VALUE!</v>
      </c>
      <c r="WHI6" s="68" t="e" cm="1" vm="1">
        <f t="array" ref="WHI6">_xlfn._xlws.FILTER(TablaProductos[Nombre producto],TablaProductos[Agrupación]=ProductosPivot!WHI5)</f>
        <v>#VALUE!</v>
      </c>
      <c r="WHJ6" s="68" t="e" cm="1" vm="1">
        <f t="array" ref="WHJ6">_xlfn._xlws.FILTER(TablaProductos[Nombre producto],TablaProductos[Agrupación]=ProductosPivot!WHJ5)</f>
        <v>#VALUE!</v>
      </c>
      <c r="WHK6" s="68" t="e" cm="1" vm="1">
        <f t="array" ref="WHK6">_xlfn._xlws.FILTER(TablaProductos[Nombre producto],TablaProductos[Agrupación]=ProductosPivot!WHK5)</f>
        <v>#VALUE!</v>
      </c>
      <c r="WHL6" s="68" t="e" cm="1" vm="1">
        <f t="array" ref="WHL6">_xlfn._xlws.FILTER(TablaProductos[Nombre producto],TablaProductos[Agrupación]=ProductosPivot!WHL5)</f>
        <v>#VALUE!</v>
      </c>
      <c r="WHM6" s="68" t="e" cm="1" vm="1">
        <f t="array" ref="WHM6">_xlfn._xlws.FILTER(TablaProductos[Nombre producto],TablaProductos[Agrupación]=ProductosPivot!WHM5)</f>
        <v>#VALUE!</v>
      </c>
      <c r="WHN6" s="68" t="e" cm="1" vm="1">
        <f t="array" ref="WHN6">_xlfn._xlws.FILTER(TablaProductos[Nombre producto],TablaProductos[Agrupación]=ProductosPivot!WHN5)</f>
        <v>#VALUE!</v>
      </c>
      <c r="WHO6" s="68" t="e" cm="1" vm="1">
        <f t="array" ref="WHO6">_xlfn._xlws.FILTER(TablaProductos[Nombre producto],TablaProductos[Agrupación]=ProductosPivot!WHO5)</f>
        <v>#VALUE!</v>
      </c>
      <c r="WHP6" s="68" t="e" cm="1" vm="1">
        <f t="array" ref="WHP6">_xlfn._xlws.FILTER(TablaProductos[Nombre producto],TablaProductos[Agrupación]=ProductosPivot!WHP5)</f>
        <v>#VALUE!</v>
      </c>
      <c r="WHQ6" s="68" t="e" cm="1" vm="1">
        <f t="array" ref="WHQ6">_xlfn._xlws.FILTER(TablaProductos[Nombre producto],TablaProductos[Agrupación]=ProductosPivot!WHQ5)</f>
        <v>#VALUE!</v>
      </c>
      <c r="WHR6" s="68" t="e" cm="1" vm="1">
        <f t="array" ref="WHR6">_xlfn._xlws.FILTER(TablaProductos[Nombre producto],TablaProductos[Agrupación]=ProductosPivot!WHR5)</f>
        <v>#VALUE!</v>
      </c>
      <c r="WHS6" s="68" t="e" cm="1" vm="1">
        <f t="array" ref="WHS6">_xlfn._xlws.FILTER(TablaProductos[Nombre producto],TablaProductos[Agrupación]=ProductosPivot!WHS5)</f>
        <v>#VALUE!</v>
      </c>
      <c r="WHT6" s="68" t="e" cm="1" vm="1">
        <f t="array" ref="WHT6">_xlfn._xlws.FILTER(TablaProductos[Nombre producto],TablaProductos[Agrupación]=ProductosPivot!WHT5)</f>
        <v>#VALUE!</v>
      </c>
      <c r="WHU6" s="68" t="e" cm="1" vm="1">
        <f t="array" ref="WHU6">_xlfn._xlws.FILTER(TablaProductos[Nombre producto],TablaProductos[Agrupación]=ProductosPivot!WHU5)</f>
        <v>#VALUE!</v>
      </c>
      <c r="WHV6" s="68" t="e" cm="1" vm="1">
        <f t="array" ref="WHV6">_xlfn._xlws.FILTER(TablaProductos[Nombre producto],TablaProductos[Agrupación]=ProductosPivot!WHV5)</f>
        <v>#VALUE!</v>
      </c>
      <c r="WHW6" s="68" t="e" cm="1" vm="1">
        <f t="array" ref="WHW6">_xlfn._xlws.FILTER(TablaProductos[Nombre producto],TablaProductos[Agrupación]=ProductosPivot!WHW5)</f>
        <v>#VALUE!</v>
      </c>
      <c r="WHX6" s="68" t="e" cm="1" vm="1">
        <f t="array" ref="WHX6">_xlfn._xlws.FILTER(TablaProductos[Nombre producto],TablaProductos[Agrupación]=ProductosPivot!WHX5)</f>
        <v>#VALUE!</v>
      </c>
      <c r="WHY6" s="68" t="e" cm="1" vm="1">
        <f t="array" ref="WHY6">_xlfn._xlws.FILTER(TablaProductos[Nombre producto],TablaProductos[Agrupación]=ProductosPivot!WHY5)</f>
        <v>#VALUE!</v>
      </c>
      <c r="WHZ6" s="68" t="e" cm="1" vm="1">
        <f t="array" ref="WHZ6">_xlfn._xlws.FILTER(TablaProductos[Nombre producto],TablaProductos[Agrupación]=ProductosPivot!WHZ5)</f>
        <v>#VALUE!</v>
      </c>
      <c r="WIA6" s="68" t="e" cm="1" vm="1">
        <f t="array" ref="WIA6">_xlfn._xlws.FILTER(TablaProductos[Nombre producto],TablaProductos[Agrupación]=ProductosPivot!WIA5)</f>
        <v>#VALUE!</v>
      </c>
      <c r="WIB6" s="68" t="e" cm="1" vm="1">
        <f t="array" ref="WIB6">_xlfn._xlws.FILTER(TablaProductos[Nombre producto],TablaProductos[Agrupación]=ProductosPivot!WIB5)</f>
        <v>#VALUE!</v>
      </c>
      <c r="WIC6" s="68" t="e" cm="1" vm="1">
        <f t="array" ref="WIC6">_xlfn._xlws.FILTER(TablaProductos[Nombre producto],TablaProductos[Agrupación]=ProductosPivot!WIC5)</f>
        <v>#VALUE!</v>
      </c>
      <c r="WID6" s="68" t="e" cm="1" vm="1">
        <f t="array" ref="WID6">_xlfn._xlws.FILTER(TablaProductos[Nombre producto],TablaProductos[Agrupación]=ProductosPivot!WID5)</f>
        <v>#VALUE!</v>
      </c>
      <c r="WIE6" s="68" t="e" cm="1" vm="1">
        <f t="array" ref="WIE6">_xlfn._xlws.FILTER(TablaProductos[Nombre producto],TablaProductos[Agrupación]=ProductosPivot!WIE5)</f>
        <v>#VALUE!</v>
      </c>
      <c r="WIF6" s="68" t="e" cm="1" vm="1">
        <f t="array" ref="WIF6">_xlfn._xlws.FILTER(TablaProductos[Nombre producto],TablaProductos[Agrupación]=ProductosPivot!WIF5)</f>
        <v>#VALUE!</v>
      </c>
      <c r="WIG6" s="68" t="e" cm="1" vm="1">
        <f t="array" ref="WIG6">_xlfn._xlws.FILTER(TablaProductos[Nombre producto],TablaProductos[Agrupación]=ProductosPivot!WIG5)</f>
        <v>#VALUE!</v>
      </c>
      <c r="WIH6" s="68" t="e" cm="1" vm="1">
        <f t="array" ref="WIH6">_xlfn._xlws.FILTER(TablaProductos[Nombre producto],TablaProductos[Agrupación]=ProductosPivot!WIH5)</f>
        <v>#VALUE!</v>
      </c>
      <c r="WII6" s="68" t="e" cm="1" vm="1">
        <f t="array" ref="WII6">_xlfn._xlws.FILTER(TablaProductos[Nombre producto],TablaProductos[Agrupación]=ProductosPivot!WII5)</f>
        <v>#VALUE!</v>
      </c>
      <c r="WIJ6" s="68" t="e" cm="1" vm="1">
        <f t="array" ref="WIJ6">_xlfn._xlws.FILTER(TablaProductos[Nombre producto],TablaProductos[Agrupación]=ProductosPivot!WIJ5)</f>
        <v>#VALUE!</v>
      </c>
      <c r="WIK6" s="68" t="e" cm="1" vm="1">
        <f t="array" ref="WIK6">_xlfn._xlws.FILTER(TablaProductos[Nombre producto],TablaProductos[Agrupación]=ProductosPivot!WIK5)</f>
        <v>#VALUE!</v>
      </c>
      <c r="WIL6" s="68" t="e" cm="1" vm="1">
        <f t="array" ref="WIL6">_xlfn._xlws.FILTER(TablaProductos[Nombre producto],TablaProductos[Agrupación]=ProductosPivot!WIL5)</f>
        <v>#VALUE!</v>
      </c>
      <c r="WIM6" s="68" t="e" cm="1" vm="1">
        <f t="array" ref="WIM6">_xlfn._xlws.FILTER(TablaProductos[Nombre producto],TablaProductos[Agrupación]=ProductosPivot!WIM5)</f>
        <v>#VALUE!</v>
      </c>
      <c r="WIN6" s="68" t="e" cm="1" vm="1">
        <f t="array" ref="WIN6">_xlfn._xlws.FILTER(TablaProductos[Nombre producto],TablaProductos[Agrupación]=ProductosPivot!WIN5)</f>
        <v>#VALUE!</v>
      </c>
      <c r="WIO6" s="68" t="e" cm="1" vm="1">
        <f t="array" ref="WIO6">_xlfn._xlws.FILTER(TablaProductos[Nombre producto],TablaProductos[Agrupación]=ProductosPivot!WIO5)</f>
        <v>#VALUE!</v>
      </c>
      <c r="WIP6" s="68" t="e" cm="1" vm="1">
        <f t="array" ref="WIP6">_xlfn._xlws.FILTER(TablaProductos[Nombre producto],TablaProductos[Agrupación]=ProductosPivot!WIP5)</f>
        <v>#VALUE!</v>
      </c>
      <c r="WIQ6" s="68" t="e" cm="1" vm="1">
        <f t="array" ref="WIQ6">_xlfn._xlws.FILTER(TablaProductos[Nombre producto],TablaProductos[Agrupación]=ProductosPivot!WIQ5)</f>
        <v>#VALUE!</v>
      </c>
      <c r="WIR6" s="68" t="e" cm="1" vm="1">
        <f t="array" ref="WIR6">_xlfn._xlws.FILTER(TablaProductos[Nombre producto],TablaProductos[Agrupación]=ProductosPivot!WIR5)</f>
        <v>#VALUE!</v>
      </c>
      <c r="WIS6" s="68" t="e" cm="1" vm="1">
        <f t="array" ref="WIS6">_xlfn._xlws.FILTER(TablaProductos[Nombre producto],TablaProductos[Agrupación]=ProductosPivot!WIS5)</f>
        <v>#VALUE!</v>
      </c>
      <c r="WIT6" s="68" t="e" cm="1" vm="1">
        <f t="array" ref="WIT6">_xlfn._xlws.FILTER(TablaProductos[Nombre producto],TablaProductos[Agrupación]=ProductosPivot!WIT5)</f>
        <v>#VALUE!</v>
      </c>
      <c r="WIU6" s="68" t="e" cm="1" vm="1">
        <f t="array" ref="WIU6">_xlfn._xlws.FILTER(TablaProductos[Nombre producto],TablaProductos[Agrupación]=ProductosPivot!WIU5)</f>
        <v>#VALUE!</v>
      </c>
      <c r="WIV6" s="68" t="e" cm="1" vm="1">
        <f t="array" ref="WIV6">_xlfn._xlws.FILTER(TablaProductos[Nombre producto],TablaProductos[Agrupación]=ProductosPivot!WIV5)</f>
        <v>#VALUE!</v>
      </c>
      <c r="WIW6" s="68" t="e" cm="1" vm="1">
        <f t="array" ref="WIW6">_xlfn._xlws.FILTER(TablaProductos[Nombre producto],TablaProductos[Agrupación]=ProductosPivot!WIW5)</f>
        <v>#VALUE!</v>
      </c>
      <c r="WIX6" s="68" t="e" cm="1" vm="1">
        <f t="array" ref="WIX6">_xlfn._xlws.FILTER(TablaProductos[Nombre producto],TablaProductos[Agrupación]=ProductosPivot!WIX5)</f>
        <v>#VALUE!</v>
      </c>
      <c r="WIY6" s="68" t="e" cm="1" vm="1">
        <f t="array" ref="WIY6">_xlfn._xlws.FILTER(TablaProductos[Nombre producto],TablaProductos[Agrupación]=ProductosPivot!WIY5)</f>
        <v>#VALUE!</v>
      </c>
      <c r="WIZ6" s="68" t="e" cm="1" vm="1">
        <f t="array" ref="WIZ6">_xlfn._xlws.FILTER(TablaProductos[Nombre producto],TablaProductos[Agrupación]=ProductosPivot!WIZ5)</f>
        <v>#VALUE!</v>
      </c>
      <c r="WJA6" s="68" t="e" cm="1" vm="1">
        <f t="array" ref="WJA6">_xlfn._xlws.FILTER(TablaProductos[Nombre producto],TablaProductos[Agrupación]=ProductosPivot!WJA5)</f>
        <v>#VALUE!</v>
      </c>
      <c r="WJB6" s="68" t="e" cm="1" vm="1">
        <f t="array" ref="WJB6">_xlfn._xlws.FILTER(TablaProductos[Nombre producto],TablaProductos[Agrupación]=ProductosPivot!WJB5)</f>
        <v>#VALUE!</v>
      </c>
      <c r="WJC6" s="68" t="e" cm="1" vm="1">
        <f t="array" ref="WJC6">_xlfn._xlws.FILTER(TablaProductos[Nombre producto],TablaProductos[Agrupación]=ProductosPivot!WJC5)</f>
        <v>#VALUE!</v>
      </c>
      <c r="WJD6" s="68" t="e" cm="1" vm="1">
        <f t="array" ref="WJD6">_xlfn._xlws.FILTER(TablaProductos[Nombre producto],TablaProductos[Agrupación]=ProductosPivot!WJD5)</f>
        <v>#VALUE!</v>
      </c>
      <c r="WJE6" s="68" t="e" cm="1" vm="1">
        <f t="array" ref="WJE6">_xlfn._xlws.FILTER(TablaProductos[Nombre producto],TablaProductos[Agrupación]=ProductosPivot!WJE5)</f>
        <v>#VALUE!</v>
      </c>
      <c r="WJF6" s="68" t="e" cm="1" vm="1">
        <f t="array" ref="WJF6">_xlfn._xlws.FILTER(TablaProductos[Nombre producto],TablaProductos[Agrupación]=ProductosPivot!WJF5)</f>
        <v>#VALUE!</v>
      </c>
      <c r="WJG6" s="68" t="e" cm="1" vm="1">
        <f t="array" ref="WJG6">_xlfn._xlws.FILTER(TablaProductos[Nombre producto],TablaProductos[Agrupación]=ProductosPivot!WJG5)</f>
        <v>#VALUE!</v>
      </c>
      <c r="WJH6" s="68" t="e" cm="1" vm="1">
        <f t="array" ref="WJH6">_xlfn._xlws.FILTER(TablaProductos[Nombre producto],TablaProductos[Agrupación]=ProductosPivot!WJH5)</f>
        <v>#VALUE!</v>
      </c>
      <c r="WJI6" s="68" t="e" cm="1" vm="1">
        <f t="array" ref="WJI6">_xlfn._xlws.FILTER(TablaProductos[Nombre producto],TablaProductos[Agrupación]=ProductosPivot!WJI5)</f>
        <v>#VALUE!</v>
      </c>
      <c r="WJJ6" s="68" t="e" cm="1" vm="1">
        <f t="array" ref="WJJ6">_xlfn._xlws.FILTER(TablaProductos[Nombre producto],TablaProductos[Agrupación]=ProductosPivot!WJJ5)</f>
        <v>#VALUE!</v>
      </c>
      <c r="WJK6" s="68" t="e" cm="1" vm="1">
        <f t="array" ref="WJK6">_xlfn._xlws.FILTER(TablaProductos[Nombre producto],TablaProductos[Agrupación]=ProductosPivot!WJK5)</f>
        <v>#VALUE!</v>
      </c>
      <c r="WJL6" s="68" t="e" cm="1" vm="1">
        <f t="array" ref="WJL6">_xlfn._xlws.FILTER(TablaProductos[Nombre producto],TablaProductos[Agrupación]=ProductosPivot!WJL5)</f>
        <v>#VALUE!</v>
      </c>
      <c r="WJM6" s="68" t="e" cm="1" vm="1">
        <f t="array" ref="WJM6">_xlfn._xlws.FILTER(TablaProductos[Nombre producto],TablaProductos[Agrupación]=ProductosPivot!WJM5)</f>
        <v>#VALUE!</v>
      </c>
      <c r="WJN6" s="68" t="e" cm="1" vm="1">
        <f t="array" ref="WJN6">_xlfn._xlws.FILTER(TablaProductos[Nombre producto],TablaProductos[Agrupación]=ProductosPivot!WJN5)</f>
        <v>#VALUE!</v>
      </c>
      <c r="WJO6" s="68" t="e" cm="1" vm="1">
        <f t="array" ref="WJO6">_xlfn._xlws.FILTER(TablaProductos[Nombre producto],TablaProductos[Agrupación]=ProductosPivot!WJO5)</f>
        <v>#VALUE!</v>
      </c>
      <c r="WJP6" s="68" t="e" cm="1" vm="1">
        <f t="array" ref="WJP6">_xlfn._xlws.FILTER(TablaProductos[Nombre producto],TablaProductos[Agrupación]=ProductosPivot!WJP5)</f>
        <v>#VALUE!</v>
      </c>
      <c r="WJQ6" s="68" t="e" cm="1" vm="1">
        <f t="array" ref="WJQ6">_xlfn._xlws.FILTER(TablaProductos[Nombre producto],TablaProductos[Agrupación]=ProductosPivot!WJQ5)</f>
        <v>#VALUE!</v>
      </c>
      <c r="WJR6" s="68" t="e" cm="1" vm="1">
        <f t="array" ref="WJR6">_xlfn._xlws.FILTER(TablaProductos[Nombre producto],TablaProductos[Agrupación]=ProductosPivot!WJR5)</f>
        <v>#VALUE!</v>
      </c>
      <c r="WJS6" s="68" t="e" cm="1" vm="1">
        <f t="array" ref="WJS6">_xlfn._xlws.FILTER(TablaProductos[Nombre producto],TablaProductos[Agrupación]=ProductosPivot!WJS5)</f>
        <v>#VALUE!</v>
      </c>
      <c r="WJT6" s="68" t="e" cm="1" vm="1">
        <f t="array" ref="WJT6">_xlfn._xlws.FILTER(TablaProductos[Nombre producto],TablaProductos[Agrupación]=ProductosPivot!WJT5)</f>
        <v>#VALUE!</v>
      </c>
      <c r="WJU6" s="68" t="e" cm="1" vm="1">
        <f t="array" ref="WJU6">_xlfn._xlws.FILTER(TablaProductos[Nombre producto],TablaProductos[Agrupación]=ProductosPivot!WJU5)</f>
        <v>#VALUE!</v>
      </c>
      <c r="WJV6" s="68" t="e" cm="1" vm="1">
        <f t="array" ref="WJV6">_xlfn._xlws.FILTER(TablaProductos[Nombre producto],TablaProductos[Agrupación]=ProductosPivot!WJV5)</f>
        <v>#VALUE!</v>
      </c>
      <c r="WJW6" s="68" t="e" cm="1" vm="1">
        <f t="array" ref="WJW6">_xlfn._xlws.FILTER(TablaProductos[Nombre producto],TablaProductos[Agrupación]=ProductosPivot!WJW5)</f>
        <v>#VALUE!</v>
      </c>
      <c r="WJX6" s="68" t="e" cm="1" vm="1">
        <f t="array" ref="WJX6">_xlfn._xlws.FILTER(TablaProductos[Nombre producto],TablaProductos[Agrupación]=ProductosPivot!WJX5)</f>
        <v>#VALUE!</v>
      </c>
      <c r="WJY6" s="68" t="e" cm="1" vm="1">
        <f t="array" ref="WJY6">_xlfn._xlws.FILTER(TablaProductos[Nombre producto],TablaProductos[Agrupación]=ProductosPivot!WJY5)</f>
        <v>#VALUE!</v>
      </c>
      <c r="WJZ6" s="68" t="e" cm="1" vm="1">
        <f t="array" ref="WJZ6">_xlfn._xlws.FILTER(TablaProductos[Nombre producto],TablaProductos[Agrupación]=ProductosPivot!WJZ5)</f>
        <v>#VALUE!</v>
      </c>
      <c r="WKA6" s="68" t="e" cm="1" vm="1">
        <f t="array" ref="WKA6">_xlfn._xlws.FILTER(TablaProductos[Nombre producto],TablaProductos[Agrupación]=ProductosPivot!WKA5)</f>
        <v>#VALUE!</v>
      </c>
      <c r="WKB6" s="68" t="e" cm="1" vm="1">
        <f t="array" ref="WKB6">_xlfn._xlws.FILTER(TablaProductos[Nombre producto],TablaProductos[Agrupación]=ProductosPivot!WKB5)</f>
        <v>#VALUE!</v>
      </c>
      <c r="WKC6" s="68" t="e" cm="1" vm="1">
        <f t="array" ref="WKC6">_xlfn._xlws.FILTER(TablaProductos[Nombre producto],TablaProductos[Agrupación]=ProductosPivot!WKC5)</f>
        <v>#VALUE!</v>
      </c>
      <c r="WKD6" s="68" t="e" cm="1" vm="1">
        <f t="array" ref="WKD6">_xlfn._xlws.FILTER(TablaProductos[Nombre producto],TablaProductos[Agrupación]=ProductosPivot!WKD5)</f>
        <v>#VALUE!</v>
      </c>
      <c r="WKE6" s="68" t="e" cm="1" vm="1">
        <f t="array" ref="WKE6">_xlfn._xlws.FILTER(TablaProductos[Nombre producto],TablaProductos[Agrupación]=ProductosPivot!WKE5)</f>
        <v>#VALUE!</v>
      </c>
      <c r="WKF6" s="68" t="e" cm="1" vm="1">
        <f t="array" ref="WKF6">_xlfn._xlws.FILTER(TablaProductos[Nombre producto],TablaProductos[Agrupación]=ProductosPivot!WKF5)</f>
        <v>#VALUE!</v>
      </c>
      <c r="WKG6" s="68" t="e" cm="1" vm="1">
        <f t="array" ref="WKG6">_xlfn._xlws.FILTER(TablaProductos[Nombre producto],TablaProductos[Agrupación]=ProductosPivot!WKG5)</f>
        <v>#VALUE!</v>
      </c>
      <c r="WKH6" s="68" t="e" cm="1" vm="1">
        <f t="array" ref="WKH6">_xlfn._xlws.FILTER(TablaProductos[Nombre producto],TablaProductos[Agrupación]=ProductosPivot!WKH5)</f>
        <v>#VALUE!</v>
      </c>
      <c r="WKI6" s="68" t="e" cm="1" vm="1">
        <f t="array" ref="WKI6">_xlfn._xlws.FILTER(TablaProductos[Nombre producto],TablaProductos[Agrupación]=ProductosPivot!WKI5)</f>
        <v>#VALUE!</v>
      </c>
      <c r="WKJ6" s="68" t="e" cm="1" vm="1">
        <f t="array" ref="WKJ6">_xlfn._xlws.FILTER(TablaProductos[Nombre producto],TablaProductos[Agrupación]=ProductosPivot!WKJ5)</f>
        <v>#VALUE!</v>
      </c>
      <c r="WKK6" s="68" t="e" cm="1" vm="1">
        <f t="array" ref="WKK6">_xlfn._xlws.FILTER(TablaProductos[Nombre producto],TablaProductos[Agrupación]=ProductosPivot!WKK5)</f>
        <v>#VALUE!</v>
      </c>
      <c r="WKL6" s="68" t="e" cm="1" vm="1">
        <f t="array" ref="WKL6">_xlfn._xlws.FILTER(TablaProductos[Nombre producto],TablaProductos[Agrupación]=ProductosPivot!WKL5)</f>
        <v>#VALUE!</v>
      </c>
      <c r="WKM6" s="68" t="e" cm="1" vm="1">
        <f t="array" ref="WKM6">_xlfn._xlws.FILTER(TablaProductos[Nombre producto],TablaProductos[Agrupación]=ProductosPivot!WKM5)</f>
        <v>#VALUE!</v>
      </c>
      <c r="WKN6" s="68" t="e" cm="1" vm="1">
        <f t="array" ref="WKN6">_xlfn._xlws.FILTER(TablaProductos[Nombre producto],TablaProductos[Agrupación]=ProductosPivot!WKN5)</f>
        <v>#VALUE!</v>
      </c>
      <c r="WKO6" s="68" t="e" cm="1" vm="1">
        <f t="array" ref="WKO6">_xlfn._xlws.FILTER(TablaProductos[Nombre producto],TablaProductos[Agrupación]=ProductosPivot!WKO5)</f>
        <v>#VALUE!</v>
      </c>
      <c r="WKP6" s="68" t="e" cm="1" vm="1">
        <f t="array" ref="WKP6">_xlfn._xlws.FILTER(TablaProductos[Nombre producto],TablaProductos[Agrupación]=ProductosPivot!WKP5)</f>
        <v>#VALUE!</v>
      </c>
      <c r="WKQ6" s="68" t="e" cm="1" vm="1">
        <f t="array" ref="WKQ6">_xlfn._xlws.FILTER(TablaProductos[Nombre producto],TablaProductos[Agrupación]=ProductosPivot!WKQ5)</f>
        <v>#VALUE!</v>
      </c>
      <c r="WKR6" s="68" t="e" cm="1" vm="1">
        <f t="array" ref="WKR6">_xlfn._xlws.FILTER(TablaProductos[Nombre producto],TablaProductos[Agrupación]=ProductosPivot!WKR5)</f>
        <v>#VALUE!</v>
      </c>
      <c r="WKS6" s="68" t="e" cm="1" vm="1">
        <f t="array" ref="WKS6">_xlfn._xlws.FILTER(TablaProductos[Nombre producto],TablaProductos[Agrupación]=ProductosPivot!WKS5)</f>
        <v>#VALUE!</v>
      </c>
      <c r="WKT6" s="68" t="e" cm="1" vm="1">
        <f t="array" ref="WKT6">_xlfn._xlws.FILTER(TablaProductos[Nombre producto],TablaProductos[Agrupación]=ProductosPivot!WKT5)</f>
        <v>#VALUE!</v>
      </c>
      <c r="WKU6" s="68" t="e" cm="1" vm="1">
        <f t="array" ref="WKU6">_xlfn._xlws.FILTER(TablaProductos[Nombre producto],TablaProductos[Agrupación]=ProductosPivot!WKU5)</f>
        <v>#VALUE!</v>
      </c>
      <c r="WKV6" s="68" t="e" cm="1" vm="1">
        <f t="array" ref="WKV6">_xlfn._xlws.FILTER(TablaProductos[Nombre producto],TablaProductos[Agrupación]=ProductosPivot!WKV5)</f>
        <v>#VALUE!</v>
      </c>
      <c r="WKW6" s="68" t="e" cm="1" vm="1">
        <f t="array" ref="WKW6">_xlfn._xlws.FILTER(TablaProductos[Nombre producto],TablaProductos[Agrupación]=ProductosPivot!WKW5)</f>
        <v>#VALUE!</v>
      </c>
      <c r="WKX6" s="68" t="e" cm="1" vm="1">
        <f t="array" ref="WKX6">_xlfn._xlws.FILTER(TablaProductos[Nombre producto],TablaProductos[Agrupación]=ProductosPivot!WKX5)</f>
        <v>#VALUE!</v>
      </c>
      <c r="WKY6" s="68" t="e" cm="1" vm="1">
        <f t="array" ref="WKY6">_xlfn._xlws.FILTER(TablaProductos[Nombre producto],TablaProductos[Agrupación]=ProductosPivot!WKY5)</f>
        <v>#VALUE!</v>
      </c>
      <c r="WKZ6" s="68" t="e" cm="1" vm="1">
        <f t="array" ref="WKZ6">_xlfn._xlws.FILTER(TablaProductos[Nombre producto],TablaProductos[Agrupación]=ProductosPivot!WKZ5)</f>
        <v>#VALUE!</v>
      </c>
      <c r="WLA6" s="68" t="e" cm="1" vm="1">
        <f t="array" ref="WLA6">_xlfn._xlws.FILTER(TablaProductos[Nombre producto],TablaProductos[Agrupación]=ProductosPivot!WLA5)</f>
        <v>#VALUE!</v>
      </c>
      <c r="WLB6" s="68" t="e" cm="1" vm="1">
        <f t="array" ref="WLB6">_xlfn._xlws.FILTER(TablaProductos[Nombre producto],TablaProductos[Agrupación]=ProductosPivot!WLB5)</f>
        <v>#VALUE!</v>
      </c>
      <c r="WLC6" s="68" t="e" cm="1" vm="1">
        <f t="array" ref="WLC6">_xlfn._xlws.FILTER(TablaProductos[Nombre producto],TablaProductos[Agrupación]=ProductosPivot!WLC5)</f>
        <v>#VALUE!</v>
      </c>
      <c r="WLD6" s="68" t="e" cm="1" vm="1">
        <f t="array" ref="WLD6">_xlfn._xlws.FILTER(TablaProductos[Nombre producto],TablaProductos[Agrupación]=ProductosPivot!WLD5)</f>
        <v>#VALUE!</v>
      </c>
      <c r="WLE6" s="68" t="e" cm="1" vm="1">
        <f t="array" ref="WLE6">_xlfn._xlws.FILTER(TablaProductos[Nombre producto],TablaProductos[Agrupación]=ProductosPivot!WLE5)</f>
        <v>#VALUE!</v>
      </c>
      <c r="WLF6" s="68" t="e" cm="1" vm="1">
        <f t="array" ref="WLF6">_xlfn._xlws.FILTER(TablaProductos[Nombre producto],TablaProductos[Agrupación]=ProductosPivot!WLF5)</f>
        <v>#VALUE!</v>
      </c>
      <c r="WLG6" s="68" t="e" cm="1" vm="1">
        <f t="array" ref="WLG6">_xlfn._xlws.FILTER(TablaProductos[Nombre producto],TablaProductos[Agrupación]=ProductosPivot!WLG5)</f>
        <v>#VALUE!</v>
      </c>
      <c r="WLH6" s="68" t="e" cm="1" vm="1">
        <f t="array" ref="WLH6">_xlfn._xlws.FILTER(TablaProductos[Nombre producto],TablaProductos[Agrupación]=ProductosPivot!WLH5)</f>
        <v>#VALUE!</v>
      </c>
      <c r="WLI6" s="68" t="e" cm="1" vm="1">
        <f t="array" ref="WLI6">_xlfn._xlws.FILTER(TablaProductos[Nombre producto],TablaProductos[Agrupación]=ProductosPivot!WLI5)</f>
        <v>#VALUE!</v>
      </c>
      <c r="WLJ6" s="68" t="e" cm="1" vm="1">
        <f t="array" ref="WLJ6">_xlfn._xlws.FILTER(TablaProductos[Nombre producto],TablaProductos[Agrupación]=ProductosPivot!WLJ5)</f>
        <v>#VALUE!</v>
      </c>
      <c r="WLK6" s="68" t="e" cm="1" vm="1">
        <f t="array" ref="WLK6">_xlfn._xlws.FILTER(TablaProductos[Nombre producto],TablaProductos[Agrupación]=ProductosPivot!WLK5)</f>
        <v>#VALUE!</v>
      </c>
      <c r="WLL6" s="68" t="e" cm="1" vm="1">
        <f t="array" ref="WLL6">_xlfn._xlws.FILTER(TablaProductos[Nombre producto],TablaProductos[Agrupación]=ProductosPivot!WLL5)</f>
        <v>#VALUE!</v>
      </c>
      <c r="WLM6" s="68" t="e" cm="1" vm="1">
        <f t="array" ref="WLM6">_xlfn._xlws.FILTER(TablaProductos[Nombre producto],TablaProductos[Agrupación]=ProductosPivot!WLM5)</f>
        <v>#VALUE!</v>
      </c>
      <c r="WLN6" s="68" t="e" cm="1" vm="1">
        <f t="array" ref="WLN6">_xlfn._xlws.FILTER(TablaProductos[Nombre producto],TablaProductos[Agrupación]=ProductosPivot!WLN5)</f>
        <v>#VALUE!</v>
      </c>
      <c r="WLO6" s="68" t="e" cm="1" vm="1">
        <f t="array" ref="WLO6">_xlfn._xlws.FILTER(TablaProductos[Nombre producto],TablaProductos[Agrupación]=ProductosPivot!WLO5)</f>
        <v>#VALUE!</v>
      </c>
      <c r="WLP6" s="68" t="e" cm="1" vm="1">
        <f t="array" ref="WLP6">_xlfn._xlws.FILTER(TablaProductos[Nombre producto],TablaProductos[Agrupación]=ProductosPivot!WLP5)</f>
        <v>#VALUE!</v>
      </c>
      <c r="WLQ6" s="68" t="e" cm="1" vm="1">
        <f t="array" ref="WLQ6">_xlfn._xlws.FILTER(TablaProductos[Nombre producto],TablaProductos[Agrupación]=ProductosPivot!WLQ5)</f>
        <v>#VALUE!</v>
      </c>
      <c r="WLR6" s="68" t="e" cm="1" vm="1">
        <f t="array" ref="WLR6">_xlfn._xlws.FILTER(TablaProductos[Nombre producto],TablaProductos[Agrupación]=ProductosPivot!WLR5)</f>
        <v>#VALUE!</v>
      </c>
      <c r="WLS6" s="68" t="e" cm="1" vm="1">
        <f t="array" ref="WLS6">_xlfn._xlws.FILTER(TablaProductos[Nombre producto],TablaProductos[Agrupación]=ProductosPivot!WLS5)</f>
        <v>#VALUE!</v>
      </c>
      <c r="WLT6" s="68" t="e" cm="1" vm="1">
        <f t="array" ref="WLT6">_xlfn._xlws.FILTER(TablaProductos[Nombre producto],TablaProductos[Agrupación]=ProductosPivot!WLT5)</f>
        <v>#VALUE!</v>
      </c>
      <c r="WLU6" s="68" t="e" cm="1" vm="1">
        <f t="array" ref="WLU6">_xlfn._xlws.FILTER(TablaProductos[Nombre producto],TablaProductos[Agrupación]=ProductosPivot!WLU5)</f>
        <v>#VALUE!</v>
      </c>
      <c r="WLV6" s="68" t="e" cm="1" vm="1">
        <f t="array" ref="WLV6">_xlfn._xlws.FILTER(TablaProductos[Nombre producto],TablaProductos[Agrupación]=ProductosPivot!WLV5)</f>
        <v>#VALUE!</v>
      </c>
      <c r="WLW6" s="68" t="e" cm="1" vm="1">
        <f t="array" ref="WLW6">_xlfn._xlws.FILTER(TablaProductos[Nombre producto],TablaProductos[Agrupación]=ProductosPivot!WLW5)</f>
        <v>#VALUE!</v>
      </c>
      <c r="WLX6" s="68" t="e" cm="1" vm="1">
        <f t="array" ref="WLX6">_xlfn._xlws.FILTER(TablaProductos[Nombre producto],TablaProductos[Agrupación]=ProductosPivot!WLX5)</f>
        <v>#VALUE!</v>
      </c>
      <c r="WLY6" s="68" t="e" cm="1" vm="1">
        <f t="array" ref="WLY6">_xlfn._xlws.FILTER(TablaProductos[Nombre producto],TablaProductos[Agrupación]=ProductosPivot!WLY5)</f>
        <v>#VALUE!</v>
      </c>
      <c r="WLZ6" s="68" t="e" cm="1" vm="1">
        <f t="array" ref="WLZ6">_xlfn._xlws.FILTER(TablaProductos[Nombre producto],TablaProductos[Agrupación]=ProductosPivot!WLZ5)</f>
        <v>#VALUE!</v>
      </c>
      <c r="WMA6" s="68" t="e" cm="1" vm="1">
        <f t="array" ref="WMA6">_xlfn._xlws.FILTER(TablaProductos[Nombre producto],TablaProductos[Agrupación]=ProductosPivot!WMA5)</f>
        <v>#VALUE!</v>
      </c>
      <c r="WMB6" s="68" t="e" cm="1" vm="1">
        <f t="array" ref="WMB6">_xlfn._xlws.FILTER(TablaProductos[Nombre producto],TablaProductos[Agrupación]=ProductosPivot!WMB5)</f>
        <v>#VALUE!</v>
      </c>
      <c r="WMC6" s="68" t="e" cm="1" vm="1">
        <f t="array" ref="WMC6">_xlfn._xlws.FILTER(TablaProductos[Nombre producto],TablaProductos[Agrupación]=ProductosPivot!WMC5)</f>
        <v>#VALUE!</v>
      </c>
      <c r="WMD6" s="68" t="e" cm="1" vm="1">
        <f t="array" ref="WMD6">_xlfn._xlws.FILTER(TablaProductos[Nombre producto],TablaProductos[Agrupación]=ProductosPivot!WMD5)</f>
        <v>#VALUE!</v>
      </c>
      <c r="WME6" s="68" t="e" cm="1" vm="1">
        <f t="array" ref="WME6">_xlfn._xlws.FILTER(TablaProductos[Nombre producto],TablaProductos[Agrupación]=ProductosPivot!WME5)</f>
        <v>#VALUE!</v>
      </c>
      <c r="WMF6" s="68" t="e" cm="1" vm="1">
        <f t="array" ref="WMF6">_xlfn._xlws.FILTER(TablaProductos[Nombre producto],TablaProductos[Agrupación]=ProductosPivot!WMF5)</f>
        <v>#VALUE!</v>
      </c>
      <c r="WMG6" s="68" t="e" cm="1" vm="1">
        <f t="array" ref="WMG6">_xlfn._xlws.FILTER(TablaProductos[Nombre producto],TablaProductos[Agrupación]=ProductosPivot!WMG5)</f>
        <v>#VALUE!</v>
      </c>
      <c r="WMH6" s="68" t="e" cm="1" vm="1">
        <f t="array" ref="WMH6">_xlfn._xlws.FILTER(TablaProductos[Nombre producto],TablaProductos[Agrupación]=ProductosPivot!WMH5)</f>
        <v>#VALUE!</v>
      </c>
      <c r="WMI6" s="68" t="e" cm="1" vm="1">
        <f t="array" ref="WMI6">_xlfn._xlws.FILTER(TablaProductos[Nombre producto],TablaProductos[Agrupación]=ProductosPivot!WMI5)</f>
        <v>#VALUE!</v>
      </c>
      <c r="WMJ6" s="68" t="e" cm="1" vm="1">
        <f t="array" ref="WMJ6">_xlfn._xlws.FILTER(TablaProductos[Nombre producto],TablaProductos[Agrupación]=ProductosPivot!WMJ5)</f>
        <v>#VALUE!</v>
      </c>
      <c r="WMK6" s="68" t="e" cm="1" vm="1">
        <f t="array" ref="WMK6">_xlfn._xlws.FILTER(TablaProductos[Nombre producto],TablaProductos[Agrupación]=ProductosPivot!WMK5)</f>
        <v>#VALUE!</v>
      </c>
      <c r="WML6" s="68" t="e" cm="1" vm="1">
        <f t="array" ref="WML6">_xlfn._xlws.FILTER(TablaProductos[Nombre producto],TablaProductos[Agrupación]=ProductosPivot!WML5)</f>
        <v>#VALUE!</v>
      </c>
      <c r="WMM6" s="68" t="e" cm="1" vm="1">
        <f t="array" ref="WMM6">_xlfn._xlws.FILTER(TablaProductos[Nombre producto],TablaProductos[Agrupación]=ProductosPivot!WMM5)</f>
        <v>#VALUE!</v>
      </c>
      <c r="WMN6" s="68" t="e" cm="1" vm="1">
        <f t="array" ref="WMN6">_xlfn._xlws.FILTER(TablaProductos[Nombre producto],TablaProductos[Agrupación]=ProductosPivot!WMN5)</f>
        <v>#VALUE!</v>
      </c>
      <c r="WMO6" s="68" t="e" cm="1" vm="1">
        <f t="array" ref="WMO6">_xlfn._xlws.FILTER(TablaProductos[Nombre producto],TablaProductos[Agrupación]=ProductosPivot!WMO5)</f>
        <v>#VALUE!</v>
      </c>
      <c r="WMP6" s="68" t="e" cm="1" vm="1">
        <f t="array" ref="WMP6">_xlfn._xlws.FILTER(TablaProductos[Nombre producto],TablaProductos[Agrupación]=ProductosPivot!WMP5)</f>
        <v>#VALUE!</v>
      </c>
      <c r="WMQ6" s="68" t="e" cm="1" vm="1">
        <f t="array" ref="WMQ6">_xlfn._xlws.FILTER(TablaProductos[Nombre producto],TablaProductos[Agrupación]=ProductosPivot!WMQ5)</f>
        <v>#VALUE!</v>
      </c>
      <c r="WMR6" s="68" t="e" cm="1" vm="1">
        <f t="array" ref="WMR6">_xlfn._xlws.FILTER(TablaProductos[Nombre producto],TablaProductos[Agrupación]=ProductosPivot!WMR5)</f>
        <v>#VALUE!</v>
      </c>
      <c r="WMS6" s="68" t="e" cm="1" vm="1">
        <f t="array" ref="WMS6">_xlfn._xlws.FILTER(TablaProductos[Nombre producto],TablaProductos[Agrupación]=ProductosPivot!WMS5)</f>
        <v>#VALUE!</v>
      </c>
      <c r="WMT6" s="68" t="e" cm="1" vm="1">
        <f t="array" ref="WMT6">_xlfn._xlws.FILTER(TablaProductos[Nombre producto],TablaProductos[Agrupación]=ProductosPivot!WMT5)</f>
        <v>#VALUE!</v>
      </c>
      <c r="WMU6" s="68" t="e" cm="1" vm="1">
        <f t="array" ref="WMU6">_xlfn._xlws.FILTER(TablaProductos[Nombre producto],TablaProductos[Agrupación]=ProductosPivot!WMU5)</f>
        <v>#VALUE!</v>
      </c>
      <c r="WMV6" s="68" t="e" cm="1" vm="1">
        <f t="array" ref="WMV6">_xlfn._xlws.FILTER(TablaProductos[Nombre producto],TablaProductos[Agrupación]=ProductosPivot!WMV5)</f>
        <v>#VALUE!</v>
      </c>
      <c r="WMW6" s="68" t="e" cm="1" vm="1">
        <f t="array" ref="WMW6">_xlfn._xlws.FILTER(TablaProductos[Nombre producto],TablaProductos[Agrupación]=ProductosPivot!WMW5)</f>
        <v>#VALUE!</v>
      </c>
      <c r="WMX6" s="68" t="e" cm="1" vm="1">
        <f t="array" ref="WMX6">_xlfn._xlws.FILTER(TablaProductos[Nombre producto],TablaProductos[Agrupación]=ProductosPivot!WMX5)</f>
        <v>#VALUE!</v>
      </c>
      <c r="WMY6" s="68" t="e" cm="1" vm="1">
        <f t="array" ref="WMY6">_xlfn._xlws.FILTER(TablaProductos[Nombre producto],TablaProductos[Agrupación]=ProductosPivot!WMY5)</f>
        <v>#VALUE!</v>
      </c>
      <c r="WMZ6" s="68" t="e" cm="1" vm="1">
        <f t="array" ref="WMZ6">_xlfn._xlws.FILTER(TablaProductos[Nombre producto],TablaProductos[Agrupación]=ProductosPivot!WMZ5)</f>
        <v>#VALUE!</v>
      </c>
      <c r="WNA6" s="68" t="e" cm="1" vm="1">
        <f t="array" ref="WNA6">_xlfn._xlws.FILTER(TablaProductos[Nombre producto],TablaProductos[Agrupación]=ProductosPivot!WNA5)</f>
        <v>#VALUE!</v>
      </c>
      <c r="WNB6" s="68" t="e" cm="1" vm="1">
        <f t="array" ref="WNB6">_xlfn._xlws.FILTER(TablaProductos[Nombre producto],TablaProductos[Agrupación]=ProductosPivot!WNB5)</f>
        <v>#VALUE!</v>
      </c>
      <c r="WNC6" s="68" t="e" cm="1" vm="1">
        <f t="array" ref="WNC6">_xlfn._xlws.FILTER(TablaProductos[Nombre producto],TablaProductos[Agrupación]=ProductosPivot!WNC5)</f>
        <v>#VALUE!</v>
      </c>
      <c r="WND6" s="68" t="e" cm="1" vm="1">
        <f t="array" ref="WND6">_xlfn._xlws.FILTER(TablaProductos[Nombre producto],TablaProductos[Agrupación]=ProductosPivot!WND5)</f>
        <v>#VALUE!</v>
      </c>
      <c r="WNE6" s="68" t="e" cm="1" vm="1">
        <f t="array" ref="WNE6">_xlfn._xlws.FILTER(TablaProductos[Nombre producto],TablaProductos[Agrupación]=ProductosPivot!WNE5)</f>
        <v>#VALUE!</v>
      </c>
      <c r="WNF6" s="68" t="e" cm="1" vm="1">
        <f t="array" ref="WNF6">_xlfn._xlws.FILTER(TablaProductos[Nombre producto],TablaProductos[Agrupación]=ProductosPivot!WNF5)</f>
        <v>#VALUE!</v>
      </c>
      <c r="WNG6" s="68" t="e" cm="1" vm="1">
        <f t="array" ref="WNG6">_xlfn._xlws.FILTER(TablaProductos[Nombre producto],TablaProductos[Agrupación]=ProductosPivot!WNG5)</f>
        <v>#VALUE!</v>
      </c>
      <c r="WNH6" s="68" t="e" cm="1" vm="1">
        <f t="array" ref="WNH6">_xlfn._xlws.FILTER(TablaProductos[Nombre producto],TablaProductos[Agrupación]=ProductosPivot!WNH5)</f>
        <v>#VALUE!</v>
      </c>
      <c r="WNI6" s="68" t="e" cm="1" vm="1">
        <f t="array" ref="WNI6">_xlfn._xlws.FILTER(TablaProductos[Nombre producto],TablaProductos[Agrupación]=ProductosPivot!WNI5)</f>
        <v>#VALUE!</v>
      </c>
      <c r="WNJ6" s="68" t="e" cm="1" vm="1">
        <f t="array" ref="WNJ6">_xlfn._xlws.FILTER(TablaProductos[Nombre producto],TablaProductos[Agrupación]=ProductosPivot!WNJ5)</f>
        <v>#VALUE!</v>
      </c>
      <c r="WNK6" s="68" t="e" cm="1" vm="1">
        <f t="array" ref="WNK6">_xlfn._xlws.FILTER(TablaProductos[Nombre producto],TablaProductos[Agrupación]=ProductosPivot!WNK5)</f>
        <v>#VALUE!</v>
      </c>
      <c r="WNL6" s="68" t="e" cm="1" vm="1">
        <f t="array" ref="WNL6">_xlfn._xlws.FILTER(TablaProductos[Nombre producto],TablaProductos[Agrupación]=ProductosPivot!WNL5)</f>
        <v>#VALUE!</v>
      </c>
      <c r="WNM6" s="68" t="e" cm="1" vm="1">
        <f t="array" ref="WNM6">_xlfn._xlws.FILTER(TablaProductos[Nombre producto],TablaProductos[Agrupación]=ProductosPivot!WNM5)</f>
        <v>#VALUE!</v>
      </c>
      <c r="WNN6" s="68" t="e" cm="1" vm="1">
        <f t="array" ref="WNN6">_xlfn._xlws.FILTER(TablaProductos[Nombre producto],TablaProductos[Agrupación]=ProductosPivot!WNN5)</f>
        <v>#VALUE!</v>
      </c>
      <c r="WNO6" s="68" t="e" cm="1" vm="1">
        <f t="array" ref="WNO6">_xlfn._xlws.FILTER(TablaProductos[Nombre producto],TablaProductos[Agrupación]=ProductosPivot!WNO5)</f>
        <v>#VALUE!</v>
      </c>
      <c r="WNP6" s="68" t="e" cm="1" vm="1">
        <f t="array" ref="WNP6">_xlfn._xlws.FILTER(TablaProductos[Nombre producto],TablaProductos[Agrupación]=ProductosPivot!WNP5)</f>
        <v>#VALUE!</v>
      </c>
      <c r="WNQ6" s="68" t="e" cm="1" vm="1">
        <f t="array" ref="WNQ6">_xlfn._xlws.FILTER(TablaProductos[Nombre producto],TablaProductos[Agrupación]=ProductosPivot!WNQ5)</f>
        <v>#VALUE!</v>
      </c>
      <c r="WNR6" s="68" t="e" cm="1" vm="1">
        <f t="array" ref="WNR6">_xlfn._xlws.FILTER(TablaProductos[Nombre producto],TablaProductos[Agrupación]=ProductosPivot!WNR5)</f>
        <v>#VALUE!</v>
      </c>
      <c r="WNS6" s="68" t="e" cm="1" vm="1">
        <f t="array" ref="WNS6">_xlfn._xlws.FILTER(TablaProductos[Nombre producto],TablaProductos[Agrupación]=ProductosPivot!WNS5)</f>
        <v>#VALUE!</v>
      </c>
      <c r="WNT6" s="68" t="e" cm="1" vm="1">
        <f t="array" ref="WNT6">_xlfn._xlws.FILTER(TablaProductos[Nombre producto],TablaProductos[Agrupación]=ProductosPivot!WNT5)</f>
        <v>#VALUE!</v>
      </c>
      <c r="WNU6" s="68" t="e" cm="1" vm="1">
        <f t="array" ref="WNU6">_xlfn._xlws.FILTER(TablaProductos[Nombre producto],TablaProductos[Agrupación]=ProductosPivot!WNU5)</f>
        <v>#VALUE!</v>
      </c>
      <c r="WNV6" s="68" t="e" cm="1" vm="1">
        <f t="array" ref="WNV6">_xlfn._xlws.FILTER(TablaProductos[Nombre producto],TablaProductos[Agrupación]=ProductosPivot!WNV5)</f>
        <v>#VALUE!</v>
      </c>
      <c r="WNW6" s="68" t="e" cm="1" vm="1">
        <f t="array" ref="WNW6">_xlfn._xlws.FILTER(TablaProductos[Nombre producto],TablaProductos[Agrupación]=ProductosPivot!WNW5)</f>
        <v>#VALUE!</v>
      </c>
      <c r="WNX6" s="68" t="e" cm="1" vm="1">
        <f t="array" ref="WNX6">_xlfn._xlws.FILTER(TablaProductos[Nombre producto],TablaProductos[Agrupación]=ProductosPivot!WNX5)</f>
        <v>#VALUE!</v>
      </c>
      <c r="WNY6" s="68" t="e" cm="1" vm="1">
        <f t="array" ref="WNY6">_xlfn._xlws.FILTER(TablaProductos[Nombre producto],TablaProductos[Agrupación]=ProductosPivot!WNY5)</f>
        <v>#VALUE!</v>
      </c>
      <c r="WNZ6" s="68" t="e" cm="1" vm="1">
        <f t="array" ref="WNZ6">_xlfn._xlws.FILTER(TablaProductos[Nombre producto],TablaProductos[Agrupación]=ProductosPivot!WNZ5)</f>
        <v>#VALUE!</v>
      </c>
      <c r="WOA6" s="68" t="e" cm="1" vm="1">
        <f t="array" ref="WOA6">_xlfn._xlws.FILTER(TablaProductos[Nombre producto],TablaProductos[Agrupación]=ProductosPivot!WOA5)</f>
        <v>#VALUE!</v>
      </c>
      <c r="WOB6" s="68" t="e" cm="1" vm="1">
        <f t="array" ref="WOB6">_xlfn._xlws.FILTER(TablaProductos[Nombre producto],TablaProductos[Agrupación]=ProductosPivot!WOB5)</f>
        <v>#VALUE!</v>
      </c>
      <c r="WOC6" s="68" t="e" cm="1" vm="1">
        <f t="array" ref="WOC6">_xlfn._xlws.FILTER(TablaProductos[Nombre producto],TablaProductos[Agrupación]=ProductosPivot!WOC5)</f>
        <v>#VALUE!</v>
      </c>
      <c r="WOD6" s="68" t="e" cm="1" vm="1">
        <f t="array" ref="WOD6">_xlfn._xlws.FILTER(TablaProductos[Nombre producto],TablaProductos[Agrupación]=ProductosPivot!WOD5)</f>
        <v>#VALUE!</v>
      </c>
      <c r="WOE6" s="68" t="e" cm="1" vm="1">
        <f t="array" ref="WOE6">_xlfn._xlws.FILTER(TablaProductos[Nombre producto],TablaProductos[Agrupación]=ProductosPivot!WOE5)</f>
        <v>#VALUE!</v>
      </c>
      <c r="WOF6" s="68" t="e" cm="1" vm="1">
        <f t="array" ref="WOF6">_xlfn._xlws.FILTER(TablaProductos[Nombre producto],TablaProductos[Agrupación]=ProductosPivot!WOF5)</f>
        <v>#VALUE!</v>
      </c>
      <c r="WOG6" s="68" t="e" cm="1" vm="1">
        <f t="array" ref="WOG6">_xlfn._xlws.FILTER(TablaProductos[Nombre producto],TablaProductos[Agrupación]=ProductosPivot!WOG5)</f>
        <v>#VALUE!</v>
      </c>
      <c r="WOH6" s="68" t="e" cm="1" vm="1">
        <f t="array" ref="WOH6">_xlfn._xlws.FILTER(TablaProductos[Nombre producto],TablaProductos[Agrupación]=ProductosPivot!WOH5)</f>
        <v>#VALUE!</v>
      </c>
      <c r="WOI6" s="68" t="e" cm="1" vm="1">
        <f t="array" ref="WOI6">_xlfn._xlws.FILTER(TablaProductos[Nombre producto],TablaProductos[Agrupación]=ProductosPivot!WOI5)</f>
        <v>#VALUE!</v>
      </c>
      <c r="WOJ6" s="68" t="e" cm="1" vm="1">
        <f t="array" ref="WOJ6">_xlfn._xlws.FILTER(TablaProductos[Nombre producto],TablaProductos[Agrupación]=ProductosPivot!WOJ5)</f>
        <v>#VALUE!</v>
      </c>
      <c r="WOK6" s="68" t="e" cm="1" vm="1">
        <f t="array" ref="WOK6">_xlfn._xlws.FILTER(TablaProductos[Nombre producto],TablaProductos[Agrupación]=ProductosPivot!WOK5)</f>
        <v>#VALUE!</v>
      </c>
      <c r="WOL6" s="68" t="e" cm="1" vm="1">
        <f t="array" ref="WOL6">_xlfn._xlws.FILTER(TablaProductos[Nombre producto],TablaProductos[Agrupación]=ProductosPivot!WOL5)</f>
        <v>#VALUE!</v>
      </c>
      <c r="WOM6" s="68" t="e" cm="1" vm="1">
        <f t="array" ref="WOM6">_xlfn._xlws.FILTER(TablaProductos[Nombre producto],TablaProductos[Agrupación]=ProductosPivot!WOM5)</f>
        <v>#VALUE!</v>
      </c>
      <c r="WON6" s="68" t="e" cm="1" vm="1">
        <f t="array" ref="WON6">_xlfn._xlws.FILTER(TablaProductos[Nombre producto],TablaProductos[Agrupación]=ProductosPivot!WON5)</f>
        <v>#VALUE!</v>
      </c>
      <c r="WOO6" s="68" t="e" cm="1" vm="1">
        <f t="array" ref="WOO6">_xlfn._xlws.FILTER(TablaProductos[Nombre producto],TablaProductos[Agrupación]=ProductosPivot!WOO5)</f>
        <v>#VALUE!</v>
      </c>
      <c r="WOP6" s="68" t="e" cm="1" vm="1">
        <f t="array" ref="WOP6">_xlfn._xlws.FILTER(TablaProductos[Nombre producto],TablaProductos[Agrupación]=ProductosPivot!WOP5)</f>
        <v>#VALUE!</v>
      </c>
      <c r="WOQ6" s="68" t="e" cm="1" vm="1">
        <f t="array" ref="WOQ6">_xlfn._xlws.FILTER(TablaProductos[Nombre producto],TablaProductos[Agrupación]=ProductosPivot!WOQ5)</f>
        <v>#VALUE!</v>
      </c>
      <c r="WOR6" s="68" t="e" cm="1" vm="1">
        <f t="array" ref="WOR6">_xlfn._xlws.FILTER(TablaProductos[Nombre producto],TablaProductos[Agrupación]=ProductosPivot!WOR5)</f>
        <v>#VALUE!</v>
      </c>
      <c r="WOS6" s="68" t="e" cm="1" vm="1">
        <f t="array" ref="WOS6">_xlfn._xlws.FILTER(TablaProductos[Nombre producto],TablaProductos[Agrupación]=ProductosPivot!WOS5)</f>
        <v>#VALUE!</v>
      </c>
      <c r="WOT6" s="68" t="e" cm="1" vm="1">
        <f t="array" ref="WOT6">_xlfn._xlws.FILTER(TablaProductos[Nombre producto],TablaProductos[Agrupación]=ProductosPivot!WOT5)</f>
        <v>#VALUE!</v>
      </c>
      <c r="WOU6" s="68" t="e" cm="1" vm="1">
        <f t="array" ref="WOU6">_xlfn._xlws.FILTER(TablaProductos[Nombre producto],TablaProductos[Agrupación]=ProductosPivot!WOU5)</f>
        <v>#VALUE!</v>
      </c>
      <c r="WOV6" s="68" t="e" cm="1" vm="1">
        <f t="array" ref="WOV6">_xlfn._xlws.FILTER(TablaProductos[Nombre producto],TablaProductos[Agrupación]=ProductosPivot!WOV5)</f>
        <v>#VALUE!</v>
      </c>
      <c r="WOW6" s="68" t="e" cm="1" vm="1">
        <f t="array" ref="WOW6">_xlfn._xlws.FILTER(TablaProductos[Nombre producto],TablaProductos[Agrupación]=ProductosPivot!WOW5)</f>
        <v>#VALUE!</v>
      </c>
      <c r="WOX6" s="68" t="e" cm="1" vm="1">
        <f t="array" ref="WOX6">_xlfn._xlws.FILTER(TablaProductos[Nombre producto],TablaProductos[Agrupación]=ProductosPivot!WOX5)</f>
        <v>#VALUE!</v>
      </c>
      <c r="WOY6" s="68" t="e" cm="1" vm="1">
        <f t="array" ref="WOY6">_xlfn._xlws.FILTER(TablaProductos[Nombre producto],TablaProductos[Agrupación]=ProductosPivot!WOY5)</f>
        <v>#VALUE!</v>
      </c>
      <c r="WOZ6" s="68" t="e" cm="1" vm="1">
        <f t="array" ref="WOZ6">_xlfn._xlws.FILTER(TablaProductos[Nombre producto],TablaProductos[Agrupación]=ProductosPivot!WOZ5)</f>
        <v>#VALUE!</v>
      </c>
      <c r="WPA6" s="68" t="e" cm="1" vm="1">
        <f t="array" ref="WPA6">_xlfn._xlws.FILTER(TablaProductos[Nombre producto],TablaProductos[Agrupación]=ProductosPivot!WPA5)</f>
        <v>#VALUE!</v>
      </c>
      <c r="WPB6" s="68" t="e" cm="1" vm="1">
        <f t="array" ref="WPB6">_xlfn._xlws.FILTER(TablaProductos[Nombre producto],TablaProductos[Agrupación]=ProductosPivot!WPB5)</f>
        <v>#VALUE!</v>
      </c>
      <c r="WPC6" s="68" t="e" cm="1" vm="1">
        <f t="array" ref="WPC6">_xlfn._xlws.FILTER(TablaProductos[Nombre producto],TablaProductos[Agrupación]=ProductosPivot!WPC5)</f>
        <v>#VALUE!</v>
      </c>
      <c r="WPD6" s="68" t="e" cm="1" vm="1">
        <f t="array" ref="WPD6">_xlfn._xlws.FILTER(TablaProductos[Nombre producto],TablaProductos[Agrupación]=ProductosPivot!WPD5)</f>
        <v>#VALUE!</v>
      </c>
      <c r="WPE6" s="68" t="e" cm="1" vm="1">
        <f t="array" ref="WPE6">_xlfn._xlws.FILTER(TablaProductos[Nombre producto],TablaProductos[Agrupación]=ProductosPivot!WPE5)</f>
        <v>#VALUE!</v>
      </c>
      <c r="WPF6" s="68" t="e" cm="1" vm="1">
        <f t="array" ref="WPF6">_xlfn._xlws.FILTER(TablaProductos[Nombre producto],TablaProductos[Agrupación]=ProductosPivot!WPF5)</f>
        <v>#VALUE!</v>
      </c>
      <c r="WPG6" s="68" t="e" cm="1" vm="1">
        <f t="array" ref="WPG6">_xlfn._xlws.FILTER(TablaProductos[Nombre producto],TablaProductos[Agrupación]=ProductosPivot!WPG5)</f>
        <v>#VALUE!</v>
      </c>
      <c r="WPH6" s="68" t="e" cm="1" vm="1">
        <f t="array" ref="WPH6">_xlfn._xlws.FILTER(TablaProductos[Nombre producto],TablaProductos[Agrupación]=ProductosPivot!WPH5)</f>
        <v>#VALUE!</v>
      </c>
      <c r="WPI6" s="68" t="e" cm="1" vm="1">
        <f t="array" ref="WPI6">_xlfn._xlws.FILTER(TablaProductos[Nombre producto],TablaProductos[Agrupación]=ProductosPivot!WPI5)</f>
        <v>#VALUE!</v>
      </c>
      <c r="WPJ6" s="68" t="e" cm="1" vm="1">
        <f t="array" ref="WPJ6">_xlfn._xlws.FILTER(TablaProductos[Nombre producto],TablaProductos[Agrupación]=ProductosPivot!WPJ5)</f>
        <v>#VALUE!</v>
      </c>
      <c r="WPK6" s="68" t="e" cm="1" vm="1">
        <f t="array" ref="WPK6">_xlfn._xlws.FILTER(TablaProductos[Nombre producto],TablaProductos[Agrupación]=ProductosPivot!WPK5)</f>
        <v>#VALUE!</v>
      </c>
      <c r="WPL6" s="68" t="e" cm="1" vm="1">
        <f t="array" ref="WPL6">_xlfn._xlws.FILTER(TablaProductos[Nombre producto],TablaProductos[Agrupación]=ProductosPivot!WPL5)</f>
        <v>#VALUE!</v>
      </c>
      <c r="WPM6" s="68" t="e" cm="1" vm="1">
        <f t="array" ref="WPM6">_xlfn._xlws.FILTER(TablaProductos[Nombre producto],TablaProductos[Agrupación]=ProductosPivot!WPM5)</f>
        <v>#VALUE!</v>
      </c>
      <c r="WPN6" s="68" t="e" cm="1" vm="1">
        <f t="array" ref="WPN6">_xlfn._xlws.FILTER(TablaProductos[Nombre producto],TablaProductos[Agrupación]=ProductosPivot!WPN5)</f>
        <v>#VALUE!</v>
      </c>
      <c r="WPO6" s="68" t="e" cm="1" vm="1">
        <f t="array" ref="WPO6">_xlfn._xlws.FILTER(TablaProductos[Nombre producto],TablaProductos[Agrupación]=ProductosPivot!WPO5)</f>
        <v>#VALUE!</v>
      </c>
      <c r="WPP6" s="68" t="e" cm="1" vm="1">
        <f t="array" ref="WPP6">_xlfn._xlws.FILTER(TablaProductos[Nombre producto],TablaProductos[Agrupación]=ProductosPivot!WPP5)</f>
        <v>#VALUE!</v>
      </c>
      <c r="WPQ6" s="68" t="e" cm="1" vm="1">
        <f t="array" ref="WPQ6">_xlfn._xlws.FILTER(TablaProductos[Nombre producto],TablaProductos[Agrupación]=ProductosPivot!WPQ5)</f>
        <v>#VALUE!</v>
      </c>
      <c r="WPR6" s="68" t="e" cm="1" vm="1">
        <f t="array" ref="WPR6">_xlfn._xlws.FILTER(TablaProductos[Nombre producto],TablaProductos[Agrupación]=ProductosPivot!WPR5)</f>
        <v>#VALUE!</v>
      </c>
      <c r="WPS6" s="68" t="e" cm="1" vm="1">
        <f t="array" ref="WPS6">_xlfn._xlws.FILTER(TablaProductos[Nombre producto],TablaProductos[Agrupación]=ProductosPivot!WPS5)</f>
        <v>#VALUE!</v>
      </c>
      <c r="WPT6" s="68" t="e" cm="1" vm="1">
        <f t="array" ref="WPT6">_xlfn._xlws.FILTER(TablaProductos[Nombre producto],TablaProductos[Agrupación]=ProductosPivot!WPT5)</f>
        <v>#VALUE!</v>
      </c>
      <c r="WPU6" s="68" t="e" cm="1" vm="1">
        <f t="array" ref="WPU6">_xlfn._xlws.FILTER(TablaProductos[Nombre producto],TablaProductos[Agrupación]=ProductosPivot!WPU5)</f>
        <v>#VALUE!</v>
      </c>
      <c r="WPV6" s="68" t="e" cm="1" vm="1">
        <f t="array" ref="WPV6">_xlfn._xlws.FILTER(TablaProductos[Nombre producto],TablaProductos[Agrupación]=ProductosPivot!WPV5)</f>
        <v>#VALUE!</v>
      </c>
      <c r="WPW6" s="68" t="e" cm="1" vm="1">
        <f t="array" ref="WPW6">_xlfn._xlws.FILTER(TablaProductos[Nombre producto],TablaProductos[Agrupación]=ProductosPivot!WPW5)</f>
        <v>#VALUE!</v>
      </c>
      <c r="WPX6" s="68" t="e" cm="1" vm="1">
        <f t="array" ref="WPX6">_xlfn._xlws.FILTER(TablaProductos[Nombre producto],TablaProductos[Agrupación]=ProductosPivot!WPX5)</f>
        <v>#VALUE!</v>
      </c>
      <c r="WPY6" s="68" t="e" cm="1" vm="1">
        <f t="array" ref="WPY6">_xlfn._xlws.FILTER(TablaProductos[Nombre producto],TablaProductos[Agrupación]=ProductosPivot!WPY5)</f>
        <v>#VALUE!</v>
      </c>
      <c r="WPZ6" s="68" t="e" cm="1" vm="1">
        <f t="array" ref="WPZ6">_xlfn._xlws.FILTER(TablaProductos[Nombre producto],TablaProductos[Agrupación]=ProductosPivot!WPZ5)</f>
        <v>#VALUE!</v>
      </c>
      <c r="WQA6" s="68" t="e" cm="1" vm="1">
        <f t="array" ref="WQA6">_xlfn._xlws.FILTER(TablaProductos[Nombre producto],TablaProductos[Agrupación]=ProductosPivot!WQA5)</f>
        <v>#VALUE!</v>
      </c>
      <c r="WQB6" s="68" t="e" cm="1" vm="1">
        <f t="array" ref="WQB6">_xlfn._xlws.FILTER(TablaProductos[Nombre producto],TablaProductos[Agrupación]=ProductosPivot!WQB5)</f>
        <v>#VALUE!</v>
      </c>
      <c r="WQC6" s="68" t="e" cm="1" vm="1">
        <f t="array" ref="WQC6">_xlfn._xlws.FILTER(TablaProductos[Nombre producto],TablaProductos[Agrupación]=ProductosPivot!WQC5)</f>
        <v>#VALUE!</v>
      </c>
      <c r="WQD6" s="68" t="e" cm="1" vm="1">
        <f t="array" ref="WQD6">_xlfn._xlws.FILTER(TablaProductos[Nombre producto],TablaProductos[Agrupación]=ProductosPivot!WQD5)</f>
        <v>#VALUE!</v>
      </c>
      <c r="WQE6" s="68" t="e" cm="1" vm="1">
        <f t="array" ref="WQE6">_xlfn._xlws.FILTER(TablaProductos[Nombre producto],TablaProductos[Agrupación]=ProductosPivot!WQE5)</f>
        <v>#VALUE!</v>
      </c>
      <c r="WQF6" s="68" t="e" cm="1" vm="1">
        <f t="array" ref="WQF6">_xlfn._xlws.FILTER(TablaProductos[Nombre producto],TablaProductos[Agrupación]=ProductosPivot!WQF5)</f>
        <v>#VALUE!</v>
      </c>
      <c r="WQG6" s="68" t="e" cm="1" vm="1">
        <f t="array" ref="WQG6">_xlfn._xlws.FILTER(TablaProductos[Nombre producto],TablaProductos[Agrupación]=ProductosPivot!WQG5)</f>
        <v>#VALUE!</v>
      </c>
      <c r="WQH6" s="68" t="e" cm="1" vm="1">
        <f t="array" ref="WQH6">_xlfn._xlws.FILTER(TablaProductos[Nombre producto],TablaProductos[Agrupación]=ProductosPivot!WQH5)</f>
        <v>#VALUE!</v>
      </c>
      <c r="WQI6" s="68" t="e" cm="1" vm="1">
        <f t="array" ref="WQI6">_xlfn._xlws.FILTER(TablaProductos[Nombre producto],TablaProductos[Agrupación]=ProductosPivot!WQI5)</f>
        <v>#VALUE!</v>
      </c>
      <c r="WQJ6" s="68" t="e" cm="1" vm="1">
        <f t="array" ref="WQJ6">_xlfn._xlws.FILTER(TablaProductos[Nombre producto],TablaProductos[Agrupación]=ProductosPivot!WQJ5)</f>
        <v>#VALUE!</v>
      </c>
      <c r="WQK6" s="68" t="e" cm="1" vm="1">
        <f t="array" ref="WQK6">_xlfn._xlws.FILTER(TablaProductos[Nombre producto],TablaProductos[Agrupación]=ProductosPivot!WQK5)</f>
        <v>#VALUE!</v>
      </c>
      <c r="WQL6" s="68" t="e" cm="1" vm="1">
        <f t="array" ref="WQL6">_xlfn._xlws.FILTER(TablaProductos[Nombre producto],TablaProductos[Agrupación]=ProductosPivot!WQL5)</f>
        <v>#VALUE!</v>
      </c>
      <c r="WQM6" s="68" t="e" cm="1" vm="1">
        <f t="array" ref="WQM6">_xlfn._xlws.FILTER(TablaProductos[Nombre producto],TablaProductos[Agrupación]=ProductosPivot!WQM5)</f>
        <v>#VALUE!</v>
      </c>
      <c r="WQN6" s="68" t="e" cm="1" vm="1">
        <f t="array" ref="WQN6">_xlfn._xlws.FILTER(TablaProductos[Nombre producto],TablaProductos[Agrupación]=ProductosPivot!WQN5)</f>
        <v>#VALUE!</v>
      </c>
      <c r="WQO6" s="68" t="e" cm="1" vm="1">
        <f t="array" ref="WQO6">_xlfn._xlws.FILTER(TablaProductos[Nombre producto],TablaProductos[Agrupación]=ProductosPivot!WQO5)</f>
        <v>#VALUE!</v>
      </c>
      <c r="WQP6" s="68" t="e" cm="1" vm="1">
        <f t="array" ref="WQP6">_xlfn._xlws.FILTER(TablaProductos[Nombre producto],TablaProductos[Agrupación]=ProductosPivot!WQP5)</f>
        <v>#VALUE!</v>
      </c>
      <c r="WQQ6" s="68" t="e" cm="1" vm="1">
        <f t="array" ref="WQQ6">_xlfn._xlws.FILTER(TablaProductos[Nombre producto],TablaProductos[Agrupación]=ProductosPivot!WQQ5)</f>
        <v>#VALUE!</v>
      </c>
      <c r="WQR6" s="68" t="e" cm="1" vm="1">
        <f t="array" ref="WQR6">_xlfn._xlws.FILTER(TablaProductos[Nombre producto],TablaProductos[Agrupación]=ProductosPivot!WQR5)</f>
        <v>#VALUE!</v>
      </c>
      <c r="WQS6" s="68" t="e" cm="1" vm="1">
        <f t="array" ref="WQS6">_xlfn._xlws.FILTER(TablaProductos[Nombre producto],TablaProductos[Agrupación]=ProductosPivot!WQS5)</f>
        <v>#VALUE!</v>
      </c>
      <c r="WQT6" s="68" t="e" cm="1" vm="1">
        <f t="array" ref="WQT6">_xlfn._xlws.FILTER(TablaProductos[Nombre producto],TablaProductos[Agrupación]=ProductosPivot!WQT5)</f>
        <v>#VALUE!</v>
      </c>
      <c r="WQU6" s="68" t="e" cm="1" vm="1">
        <f t="array" ref="WQU6">_xlfn._xlws.FILTER(TablaProductos[Nombre producto],TablaProductos[Agrupación]=ProductosPivot!WQU5)</f>
        <v>#VALUE!</v>
      </c>
      <c r="WQV6" s="68" t="e" cm="1" vm="1">
        <f t="array" ref="WQV6">_xlfn._xlws.FILTER(TablaProductos[Nombre producto],TablaProductos[Agrupación]=ProductosPivot!WQV5)</f>
        <v>#VALUE!</v>
      </c>
      <c r="WQW6" s="68" t="e" cm="1" vm="1">
        <f t="array" ref="WQW6">_xlfn._xlws.FILTER(TablaProductos[Nombre producto],TablaProductos[Agrupación]=ProductosPivot!WQW5)</f>
        <v>#VALUE!</v>
      </c>
      <c r="WQX6" s="68" t="e" cm="1" vm="1">
        <f t="array" ref="WQX6">_xlfn._xlws.FILTER(TablaProductos[Nombre producto],TablaProductos[Agrupación]=ProductosPivot!WQX5)</f>
        <v>#VALUE!</v>
      </c>
      <c r="WQY6" s="68" t="e" cm="1" vm="1">
        <f t="array" ref="WQY6">_xlfn._xlws.FILTER(TablaProductos[Nombre producto],TablaProductos[Agrupación]=ProductosPivot!WQY5)</f>
        <v>#VALUE!</v>
      </c>
      <c r="WQZ6" s="68" t="e" cm="1" vm="1">
        <f t="array" ref="WQZ6">_xlfn._xlws.FILTER(TablaProductos[Nombre producto],TablaProductos[Agrupación]=ProductosPivot!WQZ5)</f>
        <v>#VALUE!</v>
      </c>
      <c r="WRA6" s="68" t="e" cm="1" vm="1">
        <f t="array" ref="WRA6">_xlfn._xlws.FILTER(TablaProductos[Nombre producto],TablaProductos[Agrupación]=ProductosPivot!WRA5)</f>
        <v>#VALUE!</v>
      </c>
      <c r="WRB6" s="68" t="e" cm="1" vm="1">
        <f t="array" ref="WRB6">_xlfn._xlws.FILTER(TablaProductos[Nombre producto],TablaProductos[Agrupación]=ProductosPivot!WRB5)</f>
        <v>#VALUE!</v>
      </c>
      <c r="WRC6" s="68" t="e" cm="1" vm="1">
        <f t="array" ref="WRC6">_xlfn._xlws.FILTER(TablaProductos[Nombre producto],TablaProductos[Agrupación]=ProductosPivot!WRC5)</f>
        <v>#VALUE!</v>
      </c>
      <c r="WRD6" s="68" t="e" cm="1" vm="1">
        <f t="array" ref="WRD6">_xlfn._xlws.FILTER(TablaProductos[Nombre producto],TablaProductos[Agrupación]=ProductosPivot!WRD5)</f>
        <v>#VALUE!</v>
      </c>
      <c r="WRE6" s="68" t="e" cm="1" vm="1">
        <f t="array" ref="WRE6">_xlfn._xlws.FILTER(TablaProductos[Nombre producto],TablaProductos[Agrupación]=ProductosPivot!WRE5)</f>
        <v>#VALUE!</v>
      </c>
      <c r="WRF6" s="68" t="e" cm="1" vm="1">
        <f t="array" ref="WRF6">_xlfn._xlws.FILTER(TablaProductos[Nombre producto],TablaProductos[Agrupación]=ProductosPivot!WRF5)</f>
        <v>#VALUE!</v>
      </c>
      <c r="WRG6" s="68" t="e" cm="1" vm="1">
        <f t="array" ref="WRG6">_xlfn._xlws.FILTER(TablaProductos[Nombre producto],TablaProductos[Agrupación]=ProductosPivot!WRG5)</f>
        <v>#VALUE!</v>
      </c>
      <c r="WRH6" s="68" t="e" cm="1" vm="1">
        <f t="array" ref="WRH6">_xlfn._xlws.FILTER(TablaProductos[Nombre producto],TablaProductos[Agrupación]=ProductosPivot!WRH5)</f>
        <v>#VALUE!</v>
      </c>
      <c r="WRI6" s="68" t="e" cm="1" vm="1">
        <f t="array" ref="WRI6">_xlfn._xlws.FILTER(TablaProductos[Nombre producto],TablaProductos[Agrupación]=ProductosPivot!WRI5)</f>
        <v>#VALUE!</v>
      </c>
      <c r="WRJ6" s="68" t="e" cm="1" vm="1">
        <f t="array" ref="WRJ6">_xlfn._xlws.FILTER(TablaProductos[Nombre producto],TablaProductos[Agrupación]=ProductosPivot!WRJ5)</f>
        <v>#VALUE!</v>
      </c>
      <c r="WRK6" s="68" t="e" cm="1" vm="1">
        <f t="array" ref="WRK6">_xlfn._xlws.FILTER(TablaProductos[Nombre producto],TablaProductos[Agrupación]=ProductosPivot!WRK5)</f>
        <v>#VALUE!</v>
      </c>
      <c r="WRL6" s="68" t="e" cm="1" vm="1">
        <f t="array" ref="WRL6">_xlfn._xlws.FILTER(TablaProductos[Nombre producto],TablaProductos[Agrupación]=ProductosPivot!WRL5)</f>
        <v>#VALUE!</v>
      </c>
      <c r="WRM6" s="68" t="e" cm="1" vm="1">
        <f t="array" ref="WRM6">_xlfn._xlws.FILTER(TablaProductos[Nombre producto],TablaProductos[Agrupación]=ProductosPivot!WRM5)</f>
        <v>#VALUE!</v>
      </c>
      <c r="WRN6" s="68" t="e" cm="1" vm="1">
        <f t="array" ref="WRN6">_xlfn._xlws.FILTER(TablaProductos[Nombre producto],TablaProductos[Agrupación]=ProductosPivot!WRN5)</f>
        <v>#VALUE!</v>
      </c>
      <c r="WRO6" s="68" t="e" cm="1" vm="1">
        <f t="array" ref="WRO6">_xlfn._xlws.FILTER(TablaProductos[Nombre producto],TablaProductos[Agrupación]=ProductosPivot!WRO5)</f>
        <v>#VALUE!</v>
      </c>
      <c r="WRP6" s="68" t="e" cm="1" vm="1">
        <f t="array" ref="WRP6">_xlfn._xlws.FILTER(TablaProductos[Nombre producto],TablaProductos[Agrupación]=ProductosPivot!WRP5)</f>
        <v>#VALUE!</v>
      </c>
      <c r="WRQ6" s="68" t="e" cm="1" vm="1">
        <f t="array" ref="WRQ6">_xlfn._xlws.FILTER(TablaProductos[Nombre producto],TablaProductos[Agrupación]=ProductosPivot!WRQ5)</f>
        <v>#VALUE!</v>
      </c>
      <c r="WRR6" s="68" t="e" cm="1" vm="1">
        <f t="array" ref="WRR6">_xlfn._xlws.FILTER(TablaProductos[Nombre producto],TablaProductos[Agrupación]=ProductosPivot!WRR5)</f>
        <v>#VALUE!</v>
      </c>
      <c r="WRS6" s="68" t="e" cm="1" vm="1">
        <f t="array" ref="WRS6">_xlfn._xlws.FILTER(TablaProductos[Nombre producto],TablaProductos[Agrupación]=ProductosPivot!WRS5)</f>
        <v>#VALUE!</v>
      </c>
      <c r="WRT6" s="68" t="e" cm="1" vm="1">
        <f t="array" ref="WRT6">_xlfn._xlws.FILTER(TablaProductos[Nombre producto],TablaProductos[Agrupación]=ProductosPivot!WRT5)</f>
        <v>#VALUE!</v>
      </c>
      <c r="WRU6" s="68" t="e" cm="1" vm="1">
        <f t="array" ref="WRU6">_xlfn._xlws.FILTER(TablaProductos[Nombre producto],TablaProductos[Agrupación]=ProductosPivot!WRU5)</f>
        <v>#VALUE!</v>
      </c>
      <c r="WRV6" s="68" t="e" cm="1" vm="1">
        <f t="array" ref="WRV6">_xlfn._xlws.FILTER(TablaProductos[Nombre producto],TablaProductos[Agrupación]=ProductosPivot!WRV5)</f>
        <v>#VALUE!</v>
      </c>
      <c r="WRW6" s="68" t="e" cm="1" vm="1">
        <f t="array" ref="WRW6">_xlfn._xlws.FILTER(TablaProductos[Nombre producto],TablaProductos[Agrupación]=ProductosPivot!WRW5)</f>
        <v>#VALUE!</v>
      </c>
      <c r="WRX6" s="68" t="e" cm="1" vm="1">
        <f t="array" ref="WRX6">_xlfn._xlws.FILTER(TablaProductos[Nombre producto],TablaProductos[Agrupación]=ProductosPivot!WRX5)</f>
        <v>#VALUE!</v>
      </c>
      <c r="WRY6" s="68" t="e" cm="1" vm="1">
        <f t="array" ref="WRY6">_xlfn._xlws.FILTER(TablaProductos[Nombre producto],TablaProductos[Agrupación]=ProductosPivot!WRY5)</f>
        <v>#VALUE!</v>
      </c>
      <c r="WRZ6" s="68" t="e" cm="1" vm="1">
        <f t="array" ref="WRZ6">_xlfn._xlws.FILTER(TablaProductos[Nombre producto],TablaProductos[Agrupación]=ProductosPivot!WRZ5)</f>
        <v>#VALUE!</v>
      </c>
      <c r="WSA6" s="68" t="e" cm="1" vm="1">
        <f t="array" ref="WSA6">_xlfn._xlws.FILTER(TablaProductos[Nombre producto],TablaProductos[Agrupación]=ProductosPivot!WSA5)</f>
        <v>#VALUE!</v>
      </c>
      <c r="WSB6" s="68" t="e" cm="1" vm="1">
        <f t="array" ref="WSB6">_xlfn._xlws.FILTER(TablaProductos[Nombre producto],TablaProductos[Agrupación]=ProductosPivot!WSB5)</f>
        <v>#VALUE!</v>
      </c>
      <c r="WSC6" s="68" t="e" cm="1" vm="1">
        <f t="array" ref="WSC6">_xlfn._xlws.FILTER(TablaProductos[Nombre producto],TablaProductos[Agrupación]=ProductosPivot!WSC5)</f>
        <v>#VALUE!</v>
      </c>
      <c r="WSD6" s="68" t="e" cm="1" vm="1">
        <f t="array" ref="WSD6">_xlfn._xlws.FILTER(TablaProductos[Nombre producto],TablaProductos[Agrupación]=ProductosPivot!WSD5)</f>
        <v>#VALUE!</v>
      </c>
      <c r="WSE6" s="68" t="e" cm="1" vm="1">
        <f t="array" ref="WSE6">_xlfn._xlws.FILTER(TablaProductos[Nombre producto],TablaProductos[Agrupación]=ProductosPivot!WSE5)</f>
        <v>#VALUE!</v>
      </c>
      <c r="WSF6" s="68" t="e" cm="1" vm="1">
        <f t="array" ref="WSF6">_xlfn._xlws.FILTER(TablaProductos[Nombre producto],TablaProductos[Agrupación]=ProductosPivot!WSF5)</f>
        <v>#VALUE!</v>
      </c>
      <c r="WSG6" s="68" t="e" cm="1" vm="1">
        <f t="array" ref="WSG6">_xlfn._xlws.FILTER(TablaProductos[Nombre producto],TablaProductos[Agrupación]=ProductosPivot!WSG5)</f>
        <v>#VALUE!</v>
      </c>
      <c r="WSH6" s="68" t="e" cm="1" vm="1">
        <f t="array" ref="WSH6">_xlfn._xlws.FILTER(TablaProductos[Nombre producto],TablaProductos[Agrupación]=ProductosPivot!WSH5)</f>
        <v>#VALUE!</v>
      </c>
      <c r="WSI6" s="68" t="e" cm="1" vm="1">
        <f t="array" ref="WSI6">_xlfn._xlws.FILTER(TablaProductos[Nombre producto],TablaProductos[Agrupación]=ProductosPivot!WSI5)</f>
        <v>#VALUE!</v>
      </c>
      <c r="WSJ6" s="68" t="e" cm="1" vm="1">
        <f t="array" ref="WSJ6">_xlfn._xlws.FILTER(TablaProductos[Nombre producto],TablaProductos[Agrupación]=ProductosPivot!WSJ5)</f>
        <v>#VALUE!</v>
      </c>
      <c r="WSK6" s="68" t="e" cm="1" vm="1">
        <f t="array" ref="WSK6">_xlfn._xlws.FILTER(TablaProductos[Nombre producto],TablaProductos[Agrupación]=ProductosPivot!WSK5)</f>
        <v>#VALUE!</v>
      </c>
      <c r="WSL6" s="68" t="e" cm="1" vm="1">
        <f t="array" ref="WSL6">_xlfn._xlws.FILTER(TablaProductos[Nombre producto],TablaProductos[Agrupación]=ProductosPivot!WSL5)</f>
        <v>#VALUE!</v>
      </c>
      <c r="WSM6" s="68" t="e" cm="1" vm="1">
        <f t="array" ref="WSM6">_xlfn._xlws.FILTER(TablaProductos[Nombre producto],TablaProductos[Agrupación]=ProductosPivot!WSM5)</f>
        <v>#VALUE!</v>
      </c>
      <c r="WSN6" s="68" t="e" cm="1" vm="1">
        <f t="array" ref="WSN6">_xlfn._xlws.FILTER(TablaProductos[Nombre producto],TablaProductos[Agrupación]=ProductosPivot!WSN5)</f>
        <v>#VALUE!</v>
      </c>
      <c r="WSO6" s="68" t="e" cm="1" vm="1">
        <f t="array" ref="WSO6">_xlfn._xlws.FILTER(TablaProductos[Nombre producto],TablaProductos[Agrupación]=ProductosPivot!WSO5)</f>
        <v>#VALUE!</v>
      </c>
      <c r="WSP6" s="68" t="e" cm="1" vm="1">
        <f t="array" ref="WSP6">_xlfn._xlws.FILTER(TablaProductos[Nombre producto],TablaProductos[Agrupación]=ProductosPivot!WSP5)</f>
        <v>#VALUE!</v>
      </c>
      <c r="WSQ6" s="68" t="e" cm="1" vm="1">
        <f t="array" ref="WSQ6">_xlfn._xlws.FILTER(TablaProductos[Nombre producto],TablaProductos[Agrupación]=ProductosPivot!WSQ5)</f>
        <v>#VALUE!</v>
      </c>
      <c r="WSR6" s="68" t="e" cm="1" vm="1">
        <f t="array" ref="WSR6">_xlfn._xlws.FILTER(TablaProductos[Nombre producto],TablaProductos[Agrupación]=ProductosPivot!WSR5)</f>
        <v>#VALUE!</v>
      </c>
      <c r="WSS6" s="68" t="e" cm="1" vm="1">
        <f t="array" ref="WSS6">_xlfn._xlws.FILTER(TablaProductos[Nombre producto],TablaProductos[Agrupación]=ProductosPivot!WSS5)</f>
        <v>#VALUE!</v>
      </c>
      <c r="WST6" s="68" t="e" cm="1" vm="1">
        <f t="array" ref="WST6">_xlfn._xlws.FILTER(TablaProductos[Nombre producto],TablaProductos[Agrupación]=ProductosPivot!WST5)</f>
        <v>#VALUE!</v>
      </c>
      <c r="WSU6" s="68" t="e" cm="1" vm="1">
        <f t="array" ref="WSU6">_xlfn._xlws.FILTER(TablaProductos[Nombre producto],TablaProductos[Agrupación]=ProductosPivot!WSU5)</f>
        <v>#VALUE!</v>
      </c>
      <c r="WSV6" s="68" t="e" cm="1" vm="1">
        <f t="array" ref="WSV6">_xlfn._xlws.FILTER(TablaProductos[Nombre producto],TablaProductos[Agrupación]=ProductosPivot!WSV5)</f>
        <v>#VALUE!</v>
      </c>
      <c r="WSW6" s="68" t="e" cm="1" vm="1">
        <f t="array" ref="WSW6">_xlfn._xlws.FILTER(TablaProductos[Nombre producto],TablaProductos[Agrupación]=ProductosPivot!WSW5)</f>
        <v>#VALUE!</v>
      </c>
      <c r="WSX6" s="68" t="e" cm="1" vm="1">
        <f t="array" ref="WSX6">_xlfn._xlws.FILTER(TablaProductos[Nombre producto],TablaProductos[Agrupación]=ProductosPivot!WSX5)</f>
        <v>#VALUE!</v>
      </c>
      <c r="WSY6" s="68" t="e" cm="1" vm="1">
        <f t="array" ref="WSY6">_xlfn._xlws.FILTER(TablaProductos[Nombre producto],TablaProductos[Agrupación]=ProductosPivot!WSY5)</f>
        <v>#VALUE!</v>
      </c>
      <c r="WSZ6" s="68" t="e" cm="1" vm="1">
        <f t="array" ref="WSZ6">_xlfn._xlws.FILTER(TablaProductos[Nombre producto],TablaProductos[Agrupación]=ProductosPivot!WSZ5)</f>
        <v>#VALUE!</v>
      </c>
      <c r="WTA6" s="68" t="e" cm="1" vm="1">
        <f t="array" ref="WTA6">_xlfn._xlws.FILTER(TablaProductos[Nombre producto],TablaProductos[Agrupación]=ProductosPivot!WTA5)</f>
        <v>#VALUE!</v>
      </c>
      <c r="WTB6" s="68" t="e" cm="1" vm="1">
        <f t="array" ref="WTB6">_xlfn._xlws.FILTER(TablaProductos[Nombre producto],TablaProductos[Agrupación]=ProductosPivot!WTB5)</f>
        <v>#VALUE!</v>
      </c>
      <c r="WTC6" s="68" t="e" cm="1" vm="1">
        <f t="array" ref="WTC6">_xlfn._xlws.FILTER(TablaProductos[Nombre producto],TablaProductos[Agrupación]=ProductosPivot!WTC5)</f>
        <v>#VALUE!</v>
      </c>
      <c r="WTD6" s="68" t="e" cm="1" vm="1">
        <f t="array" ref="WTD6">_xlfn._xlws.FILTER(TablaProductos[Nombre producto],TablaProductos[Agrupación]=ProductosPivot!WTD5)</f>
        <v>#VALUE!</v>
      </c>
      <c r="WTE6" s="68" t="e" cm="1" vm="1">
        <f t="array" ref="WTE6">_xlfn._xlws.FILTER(TablaProductos[Nombre producto],TablaProductos[Agrupación]=ProductosPivot!WTE5)</f>
        <v>#VALUE!</v>
      </c>
      <c r="WTF6" s="68" t="e" cm="1" vm="1">
        <f t="array" ref="WTF6">_xlfn._xlws.FILTER(TablaProductos[Nombre producto],TablaProductos[Agrupación]=ProductosPivot!WTF5)</f>
        <v>#VALUE!</v>
      </c>
      <c r="WTG6" s="68" t="e" cm="1" vm="1">
        <f t="array" ref="WTG6">_xlfn._xlws.FILTER(TablaProductos[Nombre producto],TablaProductos[Agrupación]=ProductosPivot!WTG5)</f>
        <v>#VALUE!</v>
      </c>
      <c r="WTH6" s="68" t="e" cm="1" vm="1">
        <f t="array" ref="WTH6">_xlfn._xlws.FILTER(TablaProductos[Nombre producto],TablaProductos[Agrupación]=ProductosPivot!WTH5)</f>
        <v>#VALUE!</v>
      </c>
      <c r="WTI6" s="68" t="e" cm="1" vm="1">
        <f t="array" ref="WTI6">_xlfn._xlws.FILTER(TablaProductos[Nombre producto],TablaProductos[Agrupación]=ProductosPivot!WTI5)</f>
        <v>#VALUE!</v>
      </c>
      <c r="WTJ6" s="68" t="e" cm="1" vm="1">
        <f t="array" ref="WTJ6">_xlfn._xlws.FILTER(TablaProductos[Nombre producto],TablaProductos[Agrupación]=ProductosPivot!WTJ5)</f>
        <v>#VALUE!</v>
      </c>
      <c r="WTK6" s="68" t="e" cm="1" vm="1">
        <f t="array" ref="WTK6">_xlfn._xlws.FILTER(TablaProductos[Nombre producto],TablaProductos[Agrupación]=ProductosPivot!WTK5)</f>
        <v>#VALUE!</v>
      </c>
      <c r="WTL6" s="68" t="e" cm="1" vm="1">
        <f t="array" ref="WTL6">_xlfn._xlws.FILTER(TablaProductos[Nombre producto],TablaProductos[Agrupación]=ProductosPivot!WTL5)</f>
        <v>#VALUE!</v>
      </c>
      <c r="WTM6" s="68" t="e" cm="1" vm="1">
        <f t="array" ref="WTM6">_xlfn._xlws.FILTER(TablaProductos[Nombre producto],TablaProductos[Agrupación]=ProductosPivot!WTM5)</f>
        <v>#VALUE!</v>
      </c>
      <c r="WTN6" s="68" t="e" cm="1" vm="1">
        <f t="array" ref="WTN6">_xlfn._xlws.FILTER(TablaProductos[Nombre producto],TablaProductos[Agrupación]=ProductosPivot!WTN5)</f>
        <v>#VALUE!</v>
      </c>
      <c r="WTO6" s="68" t="e" cm="1" vm="1">
        <f t="array" ref="WTO6">_xlfn._xlws.FILTER(TablaProductos[Nombre producto],TablaProductos[Agrupación]=ProductosPivot!WTO5)</f>
        <v>#VALUE!</v>
      </c>
      <c r="WTP6" s="68" t="e" cm="1" vm="1">
        <f t="array" ref="WTP6">_xlfn._xlws.FILTER(TablaProductos[Nombre producto],TablaProductos[Agrupación]=ProductosPivot!WTP5)</f>
        <v>#VALUE!</v>
      </c>
      <c r="WTQ6" s="68" t="e" cm="1" vm="1">
        <f t="array" ref="WTQ6">_xlfn._xlws.FILTER(TablaProductos[Nombre producto],TablaProductos[Agrupación]=ProductosPivot!WTQ5)</f>
        <v>#VALUE!</v>
      </c>
      <c r="WTR6" s="68" t="e" cm="1" vm="1">
        <f t="array" ref="WTR6">_xlfn._xlws.FILTER(TablaProductos[Nombre producto],TablaProductos[Agrupación]=ProductosPivot!WTR5)</f>
        <v>#VALUE!</v>
      </c>
      <c r="WTS6" s="68" t="e" cm="1" vm="1">
        <f t="array" ref="WTS6">_xlfn._xlws.FILTER(TablaProductos[Nombre producto],TablaProductos[Agrupación]=ProductosPivot!WTS5)</f>
        <v>#VALUE!</v>
      </c>
      <c r="WTT6" s="68" t="e" cm="1" vm="1">
        <f t="array" ref="WTT6">_xlfn._xlws.FILTER(TablaProductos[Nombre producto],TablaProductos[Agrupación]=ProductosPivot!WTT5)</f>
        <v>#VALUE!</v>
      </c>
      <c r="WTU6" s="68" t="e" cm="1" vm="1">
        <f t="array" ref="WTU6">_xlfn._xlws.FILTER(TablaProductos[Nombre producto],TablaProductos[Agrupación]=ProductosPivot!WTU5)</f>
        <v>#VALUE!</v>
      </c>
      <c r="WTV6" s="68" t="e" cm="1" vm="1">
        <f t="array" ref="WTV6">_xlfn._xlws.FILTER(TablaProductos[Nombre producto],TablaProductos[Agrupación]=ProductosPivot!WTV5)</f>
        <v>#VALUE!</v>
      </c>
      <c r="WTW6" s="68" t="e" cm="1" vm="1">
        <f t="array" ref="WTW6">_xlfn._xlws.FILTER(TablaProductos[Nombre producto],TablaProductos[Agrupación]=ProductosPivot!WTW5)</f>
        <v>#VALUE!</v>
      </c>
      <c r="WTX6" s="68" t="e" cm="1" vm="1">
        <f t="array" ref="WTX6">_xlfn._xlws.FILTER(TablaProductos[Nombre producto],TablaProductos[Agrupación]=ProductosPivot!WTX5)</f>
        <v>#VALUE!</v>
      </c>
      <c r="WTY6" s="68" t="e" cm="1" vm="1">
        <f t="array" ref="WTY6">_xlfn._xlws.FILTER(TablaProductos[Nombre producto],TablaProductos[Agrupación]=ProductosPivot!WTY5)</f>
        <v>#VALUE!</v>
      </c>
      <c r="WTZ6" s="68" t="e" cm="1" vm="1">
        <f t="array" ref="WTZ6">_xlfn._xlws.FILTER(TablaProductos[Nombre producto],TablaProductos[Agrupación]=ProductosPivot!WTZ5)</f>
        <v>#VALUE!</v>
      </c>
      <c r="WUA6" s="68" t="e" cm="1" vm="1">
        <f t="array" ref="WUA6">_xlfn._xlws.FILTER(TablaProductos[Nombre producto],TablaProductos[Agrupación]=ProductosPivot!WUA5)</f>
        <v>#VALUE!</v>
      </c>
      <c r="WUB6" s="68" t="e" cm="1" vm="1">
        <f t="array" ref="WUB6">_xlfn._xlws.FILTER(TablaProductos[Nombre producto],TablaProductos[Agrupación]=ProductosPivot!WUB5)</f>
        <v>#VALUE!</v>
      </c>
      <c r="WUC6" s="68" t="e" cm="1" vm="1">
        <f t="array" ref="WUC6">_xlfn._xlws.FILTER(TablaProductos[Nombre producto],TablaProductos[Agrupación]=ProductosPivot!WUC5)</f>
        <v>#VALUE!</v>
      </c>
      <c r="WUD6" s="68" t="e" cm="1" vm="1">
        <f t="array" ref="WUD6">_xlfn._xlws.FILTER(TablaProductos[Nombre producto],TablaProductos[Agrupación]=ProductosPivot!WUD5)</f>
        <v>#VALUE!</v>
      </c>
      <c r="WUE6" s="68" t="e" cm="1" vm="1">
        <f t="array" ref="WUE6">_xlfn._xlws.FILTER(TablaProductos[Nombre producto],TablaProductos[Agrupación]=ProductosPivot!WUE5)</f>
        <v>#VALUE!</v>
      </c>
      <c r="WUF6" s="68" t="e" cm="1" vm="1">
        <f t="array" ref="WUF6">_xlfn._xlws.FILTER(TablaProductos[Nombre producto],TablaProductos[Agrupación]=ProductosPivot!WUF5)</f>
        <v>#VALUE!</v>
      </c>
      <c r="WUG6" s="68" t="e" cm="1" vm="1">
        <f t="array" ref="WUG6">_xlfn._xlws.FILTER(TablaProductos[Nombre producto],TablaProductos[Agrupación]=ProductosPivot!WUG5)</f>
        <v>#VALUE!</v>
      </c>
      <c r="WUH6" s="68" t="e" cm="1" vm="1">
        <f t="array" ref="WUH6">_xlfn._xlws.FILTER(TablaProductos[Nombre producto],TablaProductos[Agrupación]=ProductosPivot!WUH5)</f>
        <v>#VALUE!</v>
      </c>
      <c r="WUI6" s="68" t="e" cm="1" vm="1">
        <f t="array" ref="WUI6">_xlfn._xlws.FILTER(TablaProductos[Nombre producto],TablaProductos[Agrupación]=ProductosPivot!WUI5)</f>
        <v>#VALUE!</v>
      </c>
      <c r="WUJ6" s="68" t="e" cm="1" vm="1">
        <f t="array" ref="WUJ6">_xlfn._xlws.FILTER(TablaProductos[Nombre producto],TablaProductos[Agrupación]=ProductosPivot!WUJ5)</f>
        <v>#VALUE!</v>
      </c>
      <c r="WUK6" s="68" t="e" cm="1" vm="1">
        <f t="array" ref="WUK6">_xlfn._xlws.FILTER(TablaProductos[Nombre producto],TablaProductos[Agrupación]=ProductosPivot!WUK5)</f>
        <v>#VALUE!</v>
      </c>
      <c r="WUL6" s="68" t="e" cm="1" vm="1">
        <f t="array" ref="WUL6">_xlfn._xlws.FILTER(TablaProductos[Nombre producto],TablaProductos[Agrupación]=ProductosPivot!WUL5)</f>
        <v>#VALUE!</v>
      </c>
      <c r="WUM6" s="68" t="e" cm="1" vm="1">
        <f t="array" ref="WUM6">_xlfn._xlws.FILTER(TablaProductos[Nombre producto],TablaProductos[Agrupación]=ProductosPivot!WUM5)</f>
        <v>#VALUE!</v>
      </c>
      <c r="WUN6" s="68" t="e" cm="1" vm="1">
        <f t="array" ref="WUN6">_xlfn._xlws.FILTER(TablaProductos[Nombre producto],TablaProductos[Agrupación]=ProductosPivot!WUN5)</f>
        <v>#VALUE!</v>
      </c>
      <c r="WUO6" s="68" t="e" cm="1" vm="1">
        <f t="array" ref="WUO6">_xlfn._xlws.FILTER(TablaProductos[Nombre producto],TablaProductos[Agrupación]=ProductosPivot!WUO5)</f>
        <v>#VALUE!</v>
      </c>
      <c r="WUP6" s="68" t="e" cm="1" vm="1">
        <f t="array" ref="WUP6">_xlfn._xlws.FILTER(TablaProductos[Nombre producto],TablaProductos[Agrupación]=ProductosPivot!WUP5)</f>
        <v>#VALUE!</v>
      </c>
      <c r="WUQ6" s="68" t="e" cm="1" vm="1">
        <f t="array" ref="WUQ6">_xlfn._xlws.FILTER(TablaProductos[Nombre producto],TablaProductos[Agrupación]=ProductosPivot!WUQ5)</f>
        <v>#VALUE!</v>
      </c>
      <c r="WUR6" s="68" t="e" cm="1" vm="1">
        <f t="array" ref="WUR6">_xlfn._xlws.FILTER(TablaProductos[Nombre producto],TablaProductos[Agrupación]=ProductosPivot!WUR5)</f>
        <v>#VALUE!</v>
      </c>
      <c r="WUS6" s="68" t="e" cm="1" vm="1">
        <f t="array" ref="WUS6">_xlfn._xlws.FILTER(TablaProductos[Nombre producto],TablaProductos[Agrupación]=ProductosPivot!WUS5)</f>
        <v>#VALUE!</v>
      </c>
      <c r="WUT6" s="68" t="e" cm="1" vm="1">
        <f t="array" ref="WUT6">_xlfn._xlws.FILTER(TablaProductos[Nombre producto],TablaProductos[Agrupación]=ProductosPivot!WUT5)</f>
        <v>#VALUE!</v>
      </c>
      <c r="WUU6" s="68" t="e" cm="1" vm="1">
        <f t="array" ref="WUU6">_xlfn._xlws.FILTER(TablaProductos[Nombre producto],TablaProductos[Agrupación]=ProductosPivot!WUU5)</f>
        <v>#VALUE!</v>
      </c>
      <c r="WUV6" s="68" t="e" cm="1" vm="1">
        <f t="array" ref="WUV6">_xlfn._xlws.FILTER(TablaProductos[Nombre producto],TablaProductos[Agrupación]=ProductosPivot!WUV5)</f>
        <v>#VALUE!</v>
      </c>
      <c r="WUW6" s="68" t="e" cm="1" vm="1">
        <f t="array" ref="WUW6">_xlfn._xlws.FILTER(TablaProductos[Nombre producto],TablaProductos[Agrupación]=ProductosPivot!WUW5)</f>
        <v>#VALUE!</v>
      </c>
      <c r="WUX6" s="68" t="e" cm="1" vm="1">
        <f t="array" ref="WUX6">_xlfn._xlws.FILTER(TablaProductos[Nombre producto],TablaProductos[Agrupación]=ProductosPivot!WUX5)</f>
        <v>#VALUE!</v>
      </c>
      <c r="WUY6" s="68" t="e" cm="1" vm="1">
        <f t="array" ref="WUY6">_xlfn._xlws.FILTER(TablaProductos[Nombre producto],TablaProductos[Agrupación]=ProductosPivot!WUY5)</f>
        <v>#VALUE!</v>
      </c>
      <c r="WUZ6" s="68" t="e" cm="1" vm="1">
        <f t="array" ref="WUZ6">_xlfn._xlws.FILTER(TablaProductos[Nombre producto],TablaProductos[Agrupación]=ProductosPivot!WUZ5)</f>
        <v>#VALUE!</v>
      </c>
      <c r="WVA6" s="68" t="e" cm="1" vm="1">
        <f t="array" ref="WVA6">_xlfn._xlws.FILTER(TablaProductos[Nombre producto],TablaProductos[Agrupación]=ProductosPivot!WVA5)</f>
        <v>#VALUE!</v>
      </c>
      <c r="WVB6" s="68" t="e" cm="1" vm="1">
        <f t="array" ref="WVB6">_xlfn._xlws.FILTER(TablaProductos[Nombre producto],TablaProductos[Agrupación]=ProductosPivot!WVB5)</f>
        <v>#VALUE!</v>
      </c>
      <c r="WVC6" s="68" t="e" cm="1" vm="1">
        <f t="array" ref="WVC6">_xlfn._xlws.FILTER(TablaProductos[Nombre producto],TablaProductos[Agrupación]=ProductosPivot!WVC5)</f>
        <v>#VALUE!</v>
      </c>
      <c r="WVD6" s="68" t="e" cm="1" vm="1">
        <f t="array" ref="WVD6">_xlfn._xlws.FILTER(TablaProductos[Nombre producto],TablaProductos[Agrupación]=ProductosPivot!WVD5)</f>
        <v>#VALUE!</v>
      </c>
      <c r="WVE6" s="68" t="e" cm="1" vm="1">
        <f t="array" ref="WVE6">_xlfn._xlws.FILTER(TablaProductos[Nombre producto],TablaProductos[Agrupación]=ProductosPivot!WVE5)</f>
        <v>#VALUE!</v>
      </c>
      <c r="WVF6" s="68" t="e" cm="1" vm="1">
        <f t="array" ref="WVF6">_xlfn._xlws.FILTER(TablaProductos[Nombre producto],TablaProductos[Agrupación]=ProductosPivot!WVF5)</f>
        <v>#VALUE!</v>
      </c>
      <c r="WVG6" s="68" t="e" cm="1" vm="1">
        <f t="array" ref="WVG6">_xlfn._xlws.FILTER(TablaProductos[Nombre producto],TablaProductos[Agrupación]=ProductosPivot!WVG5)</f>
        <v>#VALUE!</v>
      </c>
      <c r="WVH6" s="68" t="e" cm="1" vm="1">
        <f t="array" ref="WVH6">_xlfn._xlws.FILTER(TablaProductos[Nombre producto],TablaProductos[Agrupación]=ProductosPivot!WVH5)</f>
        <v>#VALUE!</v>
      </c>
      <c r="WVI6" s="68" t="e" cm="1" vm="1">
        <f t="array" ref="WVI6">_xlfn._xlws.FILTER(TablaProductos[Nombre producto],TablaProductos[Agrupación]=ProductosPivot!WVI5)</f>
        <v>#VALUE!</v>
      </c>
      <c r="WVJ6" s="68" t="e" cm="1" vm="1">
        <f t="array" ref="WVJ6">_xlfn._xlws.FILTER(TablaProductos[Nombre producto],TablaProductos[Agrupación]=ProductosPivot!WVJ5)</f>
        <v>#VALUE!</v>
      </c>
      <c r="WVK6" s="68" t="e" cm="1" vm="1">
        <f t="array" ref="WVK6">_xlfn._xlws.FILTER(TablaProductos[Nombre producto],TablaProductos[Agrupación]=ProductosPivot!WVK5)</f>
        <v>#VALUE!</v>
      </c>
      <c r="WVL6" s="68" t="e" cm="1" vm="1">
        <f t="array" ref="WVL6">_xlfn._xlws.FILTER(TablaProductos[Nombre producto],TablaProductos[Agrupación]=ProductosPivot!WVL5)</f>
        <v>#VALUE!</v>
      </c>
      <c r="WVM6" s="68" t="e" cm="1" vm="1">
        <f t="array" ref="WVM6">_xlfn._xlws.FILTER(TablaProductos[Nombre producto],TablaProductos[Agrupación]=ProductosPivot!WVM5)</f>
        <v>#VALUE!</v>
      </c>
      <c r="WVN6" s="68" t="e" cm="1" vm="1">
        <f t="array" ref="WVN6">_xlfn._xlws.FILTER(TablaProductos[Nombre producto],TablaProductos[Agrupación]=ProductosPivot!WVN5)</f>
        <v>#VALUE!</v>
      </c>
      <c r="WVO6" s="68" t="e" cm="1" vm="1">
        <f t="array" ref="WVO6">_xlfn._xlws.FILTER(TablaProductos[Nombre producto],TablaProductos[Agrupación]=ProductosPivot!WVO5)</f>
        <v>#VALUE!</v>
      </c>
      <c r="WVP6" s="68" t="e" cm="1" vm="1">
        <f t="array" ref="WVP6">_xlfn._xlws.FILTER(TablaProductos[Nombre producto],TablaProductos[Agrupación]=ProductosPivot!WVP5)</f>
        <v>#VALUE!</v>
      </c>
      <c r="WVQ6" s="68" t="e" cm="1" vm="1">
        <f t="array" ref="WVQ6">_xlfn._xlws.FILTER(TablaProductos[Nombre producto],TablaProductos[Agrupación]=ProductosPivot!WVQ5)</f>
        <v>#VALUE!</v>
      </c>
      <c r="WVR6" s="68" t="e" cm="1" vm="1">
        <f t="array" ref="WVR6">_xlfn._xlws.FILTER(TablaProductos[Nombre producto],TablaProductos[Agrupación]=ProductosPivot!WVR5)</f>
        <v>#VALUE!</v>
      </c>
      <c r="WVS6" s="68" t="e" cm="1" vm="1">
        <f t="array" ref="WVS6">_xlfn._xlws.FILTER(TablaProductos[Nombre producto],TablaProductos[Agrupación]=ProductosPivot!WVS5)</f>
        <v>#VALUE!</v>
      </c>
      <c r="WVT6" s="68" t="e" cm="1" vm="1">
        <f t="array" ref="WVT6">_xlfn._xlws.FILTER(TablaProductos[Nombre producto],TablaProductos[Agrupación]=ProductosPivot!WVT5)</f>
        <v>#VALUE!</v>
      </c>
      <c r="WVU6" s="68" t="e" cm="1" vm="1">
        <f t="array" ref="WVU6">_xlfn._xlws.FILTER(TablaProductos[Nombre producto],TablaProductos[Agrupación]=ProductosPivot!WVU5)</f>
        <v>#VALUE!</v>
      </c>
      <c r="WVV6" s="68" t="e" cm="1" vm="1">
        <f t="array" ref="WVV6">_xlfn._xlws.FILTER(TablaProductos[Nombre producto],TablaProductos[Agrupación]=ProductosPivot!WVV5)</f>
        <v>#VALUE!</v>
      </c>
      <c r="WVW6" s="68" t="e" cm="1" vm="1">
        <f t="array" ref="WVW6">_xlfn._xlws.FILTER(TablaProductos[Nombre producto],TablaProductos[Agrupación]=ProductosPivot!WVW5)</f>
        <v>#VALUE!</v>
      </c>
      <c r="WVX6" s="68" t="e" cm="1" vm="1">
        <f t="array" ref="WVX6">_xlfn._xlws.FILTER(TablaProductos[Nombre producto],TablaProductos[Agrupación]=ProductosPivot!WVX5)</f>
        <v>#VALUE!</v>
      </c>
      <c r="WVY6" s="68" t="e" cm="1" vm="1">
        <f t="array" ref="WVY6">_xlfn._xlws.FILTER(TablaProductos[Nombre producto],TablaProductos[Agrupación]=ProductosPivot!WVY5)</f>
        <v>#VALUE!</v>
      </c>
      <c r="WVZ6" s="68" t="e" cm="1" vm="1">
        <f t="array" ref="WVZ6">_xlfn._xlws.FILTER(TablaProductos[Nombre producto],TablaProductos[Agrupación]=ProductosPivot!WVZ5)</f>
        <v>#VALUE!</v>
      </c>
      <c r="WWA6" s="68" t="e" cm="1" vm="1">
        <f t="array" ref="WWA6">_xlfn._xlws.FILTER(TablaProductos[Nombre producto],TablaProductos[Agrupación]=ProductosPivot!WWA5)</f>
        <v>#VALUE!</v>
      </c>
      <c r="WWB6" s="68" t="e" cm="1" vm="1">
        <f t="array" ref="WWB6">_xlfn._xlws.FILTER(TablaProductos[Nombre producto],TablaProductos[Agrupación]=ProductosPivot!WWB5)</f>
        <v>#VALUE!</v>
      </c>
      <c r="WWC6" s="68" t="e" cm="1" vm="1">
        <f t="array" ref="WWC6">_xlfn._xlws.FILTER(TablaProductos[Nombre producto],TablaProductos[Agrupación]=ProductosPivot!WWC5)</f>
        <v>#VALUE!</v>
      </c>
      <c r="WWD6" s="68" t="e" cm="1" vm="1">
        <f t="array" ref="WWD6">_xlfn._xlws.FILTER(TablaProductos[Nombre producto],TablaProductos[Agrupación]=ProductosPivot!WWD5)</f>
        <v>#VALUE!</v>
      </c>
      <c r="WWE6" s="68" t="e" cm="1" vm="1">
        <f t="array" ref="WWE6">_xlfn._xlws.FILTER(TablaProductos[Nombre producto],TablaProductos[Agrupación]=ProductosPivot!WWE5)</f>
        <v>#VALUE!</v>
      </c>
      <c r="WWF6" s="68" t="e" cm="1" vm="1">
        <f t="array" ref="WWF6">_xlfn._xlws.FILTER(TablaProductos[Nombre producto],TablaProductos[Agrupación]=ProductosPivot!WWF5)</f>
        <v>#VALUE!</v>
      </c>
      <c r="WWG6" s="68" t="e" cm="1" vm="1">
        <f t="array" ref="WWG6">_xlfn._xlws.FILTER(TablaProductos[Nombre producto],TablaProductos[Agrupación]=ProductosPivot!WWG5)</f>
        <v>#VALUE!</v>
      </c>
      <c r="WWH6" s="68" t="e" cm="1" vm="1">
        <f t="array" ref="WWH6">_xlfn._xlws.FILTER(TablaProductos[Nombre producto],TablaProductos[Agrupación]=ProductosPivot!WWH5)</f>
        <v>#VALUE!</v>
      </c>
      <c r="WWI6" s="68" t="e" cm="1" vm="1">
        <f t="array" ref="WWI6">_xlfn._xlws.FILTER(TablaProductos[Nombre producto],TablaProductos[Agrupación]=ProductosPivot!WWI5)</f>
        <v>#VALUE!</v>
      </c>
      <c r="WWJ6" s="68" t="e" cm="1" vm="1">
        <f t="array" ref="WWJ6">_xlfn._xlws.FILTER(TablaProductos[Nombre producto],TablaProductos[Agrupación]=ProductosPivot!WWJ5)</f>
        <v>#VALUE!</v>
      </c>
      <c r="WWK6" s="68" t="e" cm="1" vm="1">
        <f t="array" ref="WWK6">_xlfn._xlws.FILTER(TablaProductos[Nombre producto],TablaProductos[Agrupación]=ProductosPivot!WWK5)</f>
        <v>#VALUE!</v>
      </c>
      <c r="WWL6" s="68" t="e" cm="1" vm="1">
        <f t="array" ref="WWL6">_xlfn._xlws.FILTER(TablaProductos[Nombre producto],TablaProductos[Agrupación]=ProductosPivot!WWL5)</f>
        <v>#VALUE!</v>
      </c>
      <c r="WWM6" s="68" t="e" cm="1" vm="1">
        <f t="array" ref="WWM6">_xlfn._xlws.FILTER(TablaProductos[Nombre producto],TablaProductos[Agrupación]=ProductosPivot!WWM5)</f>
        <v>#VALUE!</v>
      </c>
      <c r="WWN6" s="68" t="e" cm="1" vm="1">
        <f t="array" ref="WWN6">_xlfn._xlws.FILTER(TablaProductos[Nombre producto],TablaProductos[Agrupación]=ProductosPivot!WWN5)</f>
        <v>#VALUE!</v>
      </c>
      <c r="WWO6" s="68" t="e" cm="1" vm="1">
        <f t="array" ref="WWO6">_xlfn._xlws.FILTER(TablaProductos[Nombre producto],TablaProductos[Agrupación]=ProductosPivot!WWO5)</f>
        <v>#VALUE!</v>
      </c>
      <c r="WWP6" s="68" t="e" cm="1" vm="1">
        <f t="array" ref="WWP6">_xlfn._xlws.FILTER(TablaProductos[Nombre producto],TablaProductos[Agrupación]=ProductosPivot!WWP5)</f>
        <v>#VALUE!</v>
      </c>
      <c r="WWQ6" s="68" t="e" cm="1" vm="1">
        <f t="array" ref="WWQ6">_xlfn._xlws.FILTER(TablaProductos[Nombre producto],TablaProductos[Agrupación]=ProductosPivot!WWQ5)</f>
        <v>#VALUE!</v>
      </c>
      <c r="WWR6" s="68" t="e" cm="1" vm="1">
        <f t="array" ref="WWR6">_xlfn._xlws.FILTER(TablaProductos[Nombre producto],TablaProductos[Agrupación]=ProductosPivot!WWR5)</f>
        <v>#VALUE!</v>
      </c>
      <c r="WWS6" s="68" t="e" cm="1" vm="1">
        <f t="array" ref="WWS6">_xlfn._xlws.FILTER(TablaProductos[Nombre producto],TablaProductos[Agrupación]=ProductosPivot!WWS5)</f>
        <v>#VALUE!</v>
      </c>
      <c r="WWT6" s="68" t="e" cm="1" vm="1">
        <f t="array" ref="WWT6">_xlfn._xlws.FILTER(TablaProductos[Nombre producto],TablaProductos[Agrupación]=ProductosPivot!WWT5)</f>
        <v>#VALUE!</v>
      </c>
      <c r="WWU6" s="68" t="e" cm="1" vm="1">
        <f t="array" ref="WWU6">_xlfn._xlws.FILTER(TablaProductos[Nombre producto],TablaProductos[Agrupación]=ProductosPivot!WWU5)</f>
        <v>#VALUE!</v>
      </c>
      <c r="WWV6" s="68" t="e" cm="1" vm="1">
        <f t="array" ref="WWV6">_xlfn._xlws.FILTER(TablaProductos[Nombre producto],TablaProductos[Agrupación]=ProductosPivot!WWV5)</f>
        <v>#VALUE!</v>
      </c>
      <c r="WWW6" s="68" t="e" cm="1" vm="1">
        <f t="array" ref="WWW6">_xlfn._xlws.FILTER(TablaProductos[Nombre producto],TablaProductos[Agrupación]=ProductosPivot!WWW5)</f>
        <v>#VALUE!</v>
      </c>
      <c r="WWX6" s="68" t="e" cm="1" vm="1">
        <f t="array" ref="WWX6">_xlfn._xlws.FILTER(TablaProductos[Nombre producto],TablaProductos[Agrupación]=ProductosPivot!WWX5)</f>
        <v>#VALUE!</v>
      </c>
      <c r="WWY6" s="68" t="e" cm="1" vm="1">
        <f t="array" ref="WWY6">_xlfn._xlws.FILTER(TablaProductos[Nombre producto],TablaProductos[Agrupación]=ProductosPivot!WWY5)</f>
        <v>#VALUE!</v>
      </c>
      <c r="WWZ6" s="68" t="e" cm="1" vm="1">
        <f t="array" ref="WWZ6">_xlfn._xlws.FILTER(TablaProductos[Nombre producto],TablaProductos[Agrupación]=ProductosPivot!WWZ5)</f>
        <v>#VALUE!</v>
      </c>
      <c r="WXA6" s="68" t="e" cm="1" vm="1">
        <f t="array" ref="WXA6">_xlfn._xlws.FILTER(TablaProductos[Nombre producto],TablaProductos[Agrupación]=ProductosPivot!WXA5)</f>
        <v>#VALUE!</v>
      </c>
      <c r="WXB6" s="68" t="e" cm="1" vm="1">
        <f t="array" ref="WXB6">_xlfn._xlws.FILTER(TablaProductos[Nombre producto],TablaProductos[Agrupación]=ProductosPivot!WXB5)</f>
        <v>#VALUE!</v>
      </c>
      <c r="WXC6" s="68" t="e" cm="1" vm="1">
        <f t="array" ref="WXC6">_xlfn._xlws.FILTER(TablaProductos[Nombre producto],TablaProductos[Agrupación]=ProductosPivot!WXC5)</f>
        <v>#VALUE!</v>
      </c>
      <c r="WXD6" s="68" t="e" cm="1" vm="1">
        <f t="array" ref="WXD6">_xlfn._xlws.FILTER(TablaProductos[Nombre producto],TablaProductos[Agrupación]=ProductosPivot!WXD5)</f>
        <v>#VALUE!</v>
      </c>
      <c r="WXE6" s="68" t="e" cm="1" vm="1">
        <f t="array" ref="WXE6">_xlfn._xlws.FILTER(TablaProductos[Nombre producto],TablaProductos[Agrupación]=ProductosPivot!WXE5)</f>
        <v>#VALUE!</v>
      </c>
      <c r="WXF6" s="68" t="e" cm="1" vm="1">
        <f t="array" ref="WXF6">_xlfn._xlws.FILTER(TablaProductos[Nombre producto],TablaProductos[Agrupación]=ProductosPivot!WXF5)</f>
        <v>#VALUE!</v>
      </c>
      <c r="WXG6" s="68" t="e" cm="1" vm="1">
        <f t="array" ref="WXG6">_xlfn._xlws.FILTER(TablaProductos[Nombre producto],TablaProductos[Agrupación]=ProductosPivot!WXG5)</f>
        <v>#VALUE!</v>
      </c>
      <c r="WXH6" s="68" t="e" cm="1" vm="1">
        <f t="array" ref="WXH6">_xlfn._xlws.FILTER(TablaProductos[Nombre producto],TablaProductos[Agrupación]=ProductosPivot!WXH5)</f>
        <v>#VALUE!</v>
      </c>
      <c r="WXI6" s="68" t="e" cm="1" vm="1">
        <f t="array" ref="WXI6">_xlfn._xlws.FILTER(TablaProductos[Nombre producto],TablaProductos[Agrupación]=ProductosPivot!WXI5)</f>
        <v>#VALUE!</v>
      </c>
      <c r="WXJ6" s="68" t="e" cm="1" vm="1">
        <f t="array" ref="WXJ6">_xlfn._xlws.FILTER(TablaProductos[Nombre producto],TablaProductos[Agrupación]=ProductosPivot!WXJ5)</f>
        <v>#VALUE!</v>
      </c>
      <c r="WXK6" s="68" t="e" cm="1" vm="1">
        <f t="array" ref="WXK6">_xlfn._xlws.FILTER(TablaProductos[Nombre producto],TablaProductos[Agrupación]=ProductosPivot!WXK5)</f>
        <v>#VALUE!</v>
      </c>
      <c r="WXL6" s="68" t="e" cm="1" vm="1">
        <f t="array" ref="WXL6">_xlfn._xlws.FILTER(TablaProductos[Nombre producto],TablaProductos[Agrupación]=ProductosPivot!WXL5)</f>
        <v>#VALUE!</v>
      </c>
      <c r="WXM6" s="68" t="e" cm="1" vm="1">
        <f t="array" ref="WXM6">_xlfn._xlws.FILTER(TablaProductos[Nombre producto],TablaProductos[Agrupación]=ProductosPivot!WXM5)</f>
        <v>#VALUE!</v>
      </c>
      <c r="WXN6" s="68" t="e" cm="1" vm="1">
        <f t="array" ref="WXN6">_xlfn._xlws.FILTER(TablaProductos[Nombre producto],TablaProductos[Agrupación]=ProductosPivot!WXN5)</f>
        <v>#VALUE!</v>
      </c>
      <c r="WXO6" s="68" t="e" cm="1" vm="1">
        <f t="array" ref="WXO6">_xlfn._xlws.FILTER(TablaProductos[Nombre producto],TablaProductos[Agrupación]=ProductosPivot!WXO5)</f>
        <v>#VALUE!</v>
      </c>
      <c r="WXP6" s="68" t="e" cm="1" vm="1">
        <f t="array" ref="WXP6">_xlfn._xlws.FILTER(TablaProductos[Nombre producto],TablaProductos[Agrupación]=ProductosPivot!WXP5)</f>
        <v>#VALUE!</v>
      </c>
      <c r="WXQ6" s="68" t="e" cm="1" vm="1">
        <f t="array" ref="WXQ6">_xlfn._xlws.FILTER(TablaProductos[Nombre producto],TablaProductos[Agrupación]=ProductosPivot!WXQ5)</f>
        <v>#VALUE!</v>
      </c>
      <c r="WXR6" s="68" t="e" cm="1" vm="1">
        <f t="array" ref="WXR6">_xlfn._xlws.FILTER(TablaProductos[Nombre producto],TablaProductos[Agrupación]=ProductosPivot!WXR5)</f>
        <v>#VALUE!</v>
      </c>
      <c r="WXS6" s="68" t="e" cm="1" vm="1">
        <f t="array" ref="WXS6">_xlfn._xlws.FILTER(TablaProductos[Nombre producto],TablaProductos[Agrupación]=ProductosPivot!WXS5)</f>
        <v>#VALUE!</v>
      </c>
      <c r="WXT6" s="68" t="e" cm="1" vm="1">
        <f t="array" ref="WXT6">_xlfn._xlws.FILTER(TablaProductos[Nombre producto],TablaProductos[Agrupación]=ProductosPivot!WXT5)</f>
        <v>#VALUE!</v>
      </c>
      <c r="WXU6" s="68" t="e" cm="1" vm="1">
        <f t="array" ref="WXU6">_xlfn._xlws.FILTER(TablaProductos[Nombre producto],TablaProductos[Agrupación]=ProductosPivot!WXU5)</f>
        <v>#VALUE!</v>
      </c>
      <c r="WXV6" s="68" t="e" cm="1" vm="1">
        <f t="array" ref="WXV6">_xlfn._xlws.FILTER(TablaProductos[Nombre producto],TablaProductos[Agrupación]=ProductosPivot!WXV5)</f>
        <v>#VALUE!</v>
      </c>
      <c r="WXW6" s="68" t="e" cm="1" vm="1">
        <f t="array" ref="WXW6">_xlfn._xlws.FILTER(TablaProductos[Nombre producto],TablaProductos[Agrupación]=ProductosPivot!WXW5)</f>
        <v>#VALUE!</v>
      </c>
      <c r="WXX6" s="68" t="e" cm="1" vm="1">
        <f t="array" ref="WXX6">_xlfn._xlws.FILTER(TablaProductos[Nombre producto],TablaProductos[Agrupación]=ProductosPivot!WXX5)</f>
        <v>#VALUE!</v>
      </c>
      <c r="WXY6" s="68" t="e" cm="1" vm="1">
        <f t="array" ref="WXY6">_xlfn._xlws.FILTER(TablaProductos[Nombre producto],TablaProductos[Agrupación]=ProductosPivot!WXY5)</f>
        <v>#VALUE!</v>
      </c>
      <c r="WXZ6" s="68" t="e" cm="1" vm="1">
        <f t="array" ref="WXZ6">_xlfn._xlws.FILTER(TablaProductos[Nombre producto],TablaProductos[Agrupación]=ProductosPivot!WXZ5)</f>
        <v>#VALUE!</v>
      </c>
      <c r="WYA6" s="68" t="e" cm="1" vm="1">
        <f t="array" ref="WYA6">_xlfn._xlws.FILTER(TablaProductos[Nombre producto],TablaProductos[Agrupación]=ProductosPivot!WYA5)</f>
        <v>#VALUE!</v>
      </c>
      <c r="WYB6" s="68" t="e" cm="1" vm="1">
        <f t="array" ref="WYB6">_xlfn._xlws.FILTER(TablaProductos[Nombre producto],TablaProductos[Agrupación]=ProductosPivot!WYB5)</f>
        <v>#VALUE!</v>
      </c>
      <c r="WYC6" s="68" t="e" cm="1" vm="1">
        <f t="array" ref="WYC6">_xlfn._xlws.FILTER(TablaProductos[Nombre producto],TablaProductos[Agrupación]=ProductosPivot!WYC5)</f>
        <v>#VALUE!</v>
      </c>
      <c r="WYD6" s="68" t="e" cm="1" vm="1">
        <f t="array" ref="WYD6">_xlfn._xlws.FILTER(TablaProductos[Nombre producto],TablaProductos[Agrupación]=ProductosPivot!WYD5)</f>
        <v>#VALUE!</v>
      </c>
      <c r="WYE6" s="68" t="e" cm="1" vm="1">
        <f t="array" ref="WYE6">_xlfn._xlws.FILTER(TablaProductos[Nombre producto],TablaProductos[Agrupación]=ProductosPivot!WYE5)</f>
        <v>#VALUE!</v>
      </c>
      <c r="WYF6" s="68" t="e" cm="1" vm="1">
        <f t="array" ref="WYF6">_xlfn._xlws.FILTER(TablaProductos[Nombre producto],TablaProductos[Agrupación]=ProductosPivot!WYF5)</f>
        <v>#VALUE!</v>
      </c>
      <c r="WYG6" s="68" t="e" cm="1" vm="1">
        <f t="array" ref="WYG6">_xlfn._xlws.FILTER(TablaProductos[Nombre producto],TablaProductos[Agrupación]=ProductosPivot!WYG5)</f>
        <v>#VALUE!</v>
      </c>
      <c r="WYH6" s="68" t="e" cm="1" vm="1">
        <f t="array" ref="WYH6">_xlfn._xlws.FILTER(TablaProductos[Nombre producto],TablaProductos[Agrupación]=ProductosPivot!WYH5)</f>
        <v>#VALUE!</v>
      </c>
      <c r="WYI6" s="68" t="e" cm="1" vm="1">
        <f t="array" ref="WYI6">_xlfn._xlws.FILTER(TablaProductos[Nombre producto],TablaProductos[Agrupación]=ProductosPivot!WYI5)</f>
        <v>#VALUE!</v>
      </c>
      <c r="WYJ6" s="68" t="e" cm="1" vm="1">
        <f t="array" ref="WYJ6">_xlfn._xlws.FILTER(TablaProductos[Nombre producto],TablaProductos[Agrupación]=ProductosPivot!WYJ5)</f>
        <v>#VALUE!</v>
      </c>
      <c r="WYK6" s="68" t="e" cm="1" vm="1">
        <f t="array" ref="WYK6">_xlfn._xlws.FILTER(TablaProductos[Nombre producto],TablaProductos[Agrupación]=ProductosPivot!WYK5)</f>
        <v>#VALUE!</v>
      </c>
      <c r="WYL6" s="68" t="e" cm="1" vm="1">
        <f t="array" ref="WYL6">_xlfn._xlws.FILTER(TablaProductos[Nombre producto],TablaProductos[Agrupación]=ProductosPivot!WYL5)</f>
        <v>#VALUE!</v>
      </c>
      <c r="WYM6" s="68" t="e" cm="1" vm="1">
        <f t="array" ref="WYM6">_xlfn._xlws.FILTER(TablaProductos[Nombre producto],TablaProductos[Agrupación]=ProductosPivot!WYM5)</f>
        <v>#VALUE!</v>
      </c>
      <c r="WYN6" s="68" t="e" cm="1" vm="1">
        <f t="array" ref="WYN6">_xlfn._xlws.FILTER(TablaProductos[Nombre producto],TablaProductos[Agrupación]=ProductosPivot!WYN5)</f>
        <v>#VALUE!</v>
      </c>
      <c r="WYO6" s="68" t="e" cm="1" vm="1">
        <f t="array" ref="WYO6">_xlfn._xlws.FILTER(TablaProductos[Nombre producto],TablaProductos[Agrupación]=ProductosPivot!WYO5)</f>
        <v>#VALUE!</v>
      </c>
      <c r="WYP6" s="68" t="e" cm="1" vm="1">
        <f t="array" ref="WYP6">_xlfn._xlws.FILTER(TablaProductos[Nombre producto],TablaProductos[Agrupación]=ProductosPivot!WYP5)</f>
        <v>#VALUE!</v>
      </c>
      <c r="WYQ6" s="68" t="e" cm="1" vm="1">
        <f t="array" ref="WYQ6">_xlfn._xlws.FILTER(TablaProductos[Nombre producto],TablaProductos[Agrupación]=ProductosPivot!WYQ5)</f>
        <v>#VALUE!</v>
      </c>
      <c r="WYR6" s="68" t="e" cm="1" vm="1">
        <f t="array" ref="WYR6">_xlfn._xlws.FILTER(TablaProductos[Nombre producto],TablaProductos[Agrupación]=ProductosPivot!WYR5)</f>
        <v>#VALUE!</v>
      </c>
      <c r="WYS6" s="68" t="e" cm="1" vm="1">
        <f t="array" ref="WYS6">_xlfn._xlws.FILTER(TablaProductos[Nombre producto],TablaProductos[Agrupación]=ProductosPivot!WYS5)</f>
        <v>#VALUE!</v>
      </c>
      <c r="WYT6" s="68" t="e" cm="1" vm="1">
        <f t="array" ref="WYT6">_xlfn._xlws.FILTER(TablaProductos[Nombre producto],TablaProductos[Agrupación]=ProductosPivot!WYT5)</f>
        <v>#VALUE!</v>
      </c>
      <c r="WYU6" s="68" t="e" cm="1" vm="1">
        <f t="array" ref="WYU6">_xlfn._xlws.FILTER(TablaProductos[Nombre producto],TablaProductos[Agrupación]=ProductosPivot!WYU5)</f>
        <v>#VALUE!</v>
      </c>
      <c r="WYV6" s="68" t="e" cm="1" vm="1">
        <f t="array" ref="WYV6">_xlfn._xlws.FILTER(TablaProductos[Nombre producto],TablaProductos[Agrupación]=ProductosPivot!WYV5)</f>
        <v>#VALUE!</v>
      </c>
      <c r="WYW6" s="68" t="e" cm="1" vm="1">
        <f t="array" ref="WYW6">_xlfn._xlws.FILTER(TablaProductos[Nombre producto],TablaProductos[Agrupación]=ProductosPivot!WYW5)</f>
        <v>#VALUE!</v>
      </c>
      <c r="WYX6" s="68" t="e" cm="1" vm="1">
        <f t="array" ref="WYX6">_xlfn._xlws.FILTER(TablaProductos[Nombre producto],TablaProductos[Agrupación]=ProductosPivot!WYX5)</f>
        <v>#VALUE!</v>
      </c>
      <c r="WYY6" s="68" t="e" cm="1" vm="1">
        <f t="array" ref="WYY6">_xlfn._xlws.FILTER(TablaProductos[Nombre producto],TablaProductos[Agrupación]=ProductosPivot!WYY5)</f>
        <v>#VALUE!</v>
      </c>
      <c r="WYZ6" s="68" t="e" cm="1" vm="1">
        <f t="array" ref="WYZ6">_xlfn._xlws.FILTER(TablaProductos[Nombre producto],TablaProductos[Agrupación]=ProductosPivot!WYZ5)</f>
        <v>#VALUE!</v>
      </c>
      <c r="WZA6" s="68" t="e" cm="1" vm="1">
        <f t="array" ref="WZA6">_xlfn._xlws.FILTER(TablaProductos[Nombre producto],TablaProductos[Agrupación]=ProductosPivot!WZA5)</f>
        <v>#VALUE!</v>
      </c>
      <c r="WZB6" s="68" t="e" cm="1" vm="1">
        <f t="array" ref="WZB6">_xlfn._xlws.FILTER(TablaProductos[Nombre producto],TablaProductos[Agrupación]=ProductosPivot!WZB5)</f>
        <v>#VALUE!</v>
      </c>
      <c r="WZC6" s="68" t="e" cm="1" vm="1">
        <f t="array" ref="WZC6">_xlfn._xlws.FILTER(TablaProductos[Nombre producto],TablaProductos[Agrupación]=ProductosPivot!WZC5)</f>
        <v>#VALUE!</v>
      </c>
      <c r="WZD6" s="68" t="e" cm="1" vm="1">
        <f t="array" ref="WZD6">_xlfn._xlws.FILTER(TablaProductos[Nombre producto],TablaProductos[Agrupación]=ProductosPivot!WZD5)</f>
        <v>#VALUE!</v>
      </c>
      <c r="WZE6" s="68" t="e" cm="1" vm="1">
        <f t="array" ref="WZE6">_xlfn._xlws.FILTER(TablaProductos[Nombre producto],TablaProductos[Agrupación]=ProductosPivot!WZE5)</f>
        <v>#VALUE!</v>
      </c>
      <c r="WZF6" s="68" t="e" cm="1" vm="1">
        <f t="array" ref="WZF6">_xlfn._xlws.FILTER(TablaProductos[Nombre producto],TablaProductos[Agrupación]=ProductosPivot!WZF5)</f>
        <v>#VALUE!</v>
      </c>
      <c r="WZG6" s="68" t="e" cm="1" vm="1">
        <f t="array" ref="WZG6">_xlfn._xlws.FILTER(TablaProductos[Nombre producto],TablaProductos[Agrupación]=ProductosPivot!WZG5)</f>
        <v>#VALUE!</v>
      </c>
      <c r="WZH6" s="68" t="e" cm="1" vm="1">
        <f t="array" ref="WZH6">_xlfn._xlws.FILTER(TablaProductos[Nombre producto],TablaProductos[Agrupación]=ProductosPivot!WZH5)</f>
        <v>#VALUE!</v>
      </c>
      <c r="WZI6" s="68" t="e" cm="1" vm="1">
        <f t="array" ref="WZI6">_xlfn._xlws.FILTER(TablaProductos[Nombre producto],TablaProductos[Agrupación]=ProductosPivot!WZI5)</f>
        <v>#VALUE!</v>
      </c>
      <c r="WZJ6" s="68" t="e" cm="1" vm="1">
        <f t="array" ref="WZJ6">_xlfn._xlws.FILTER(TablaProductos[Nombre producto],TablaProductos[Agrupación]=ProductosPivot!WZJ5)</f>
        <v>#VALUE!</v>
      </c>
      <c r="WZK6" s="68" t="e" cm="1" vm="1">
        <f t="array" ref="WZK6">_xlfn._xlws.FILTER(TablaProductos[Nombre producto],TablaProductos[Agrupación]=ProductosPivot!WZK5)</f>
        <v>#VALUE!</v>
      </c>
      <c r="WZL6" s="68" t="e" cm="1" vm="1">
        <f t="array" ref="WZL6">_xlfn._xlws.FILTER(TablaProductos[Nombre producto],TablaProductos[Agrupación]=ProductosPivot!WZL5)</f>
        <v>#VALUE!</v>
      </c>
      <c r="WZM6" s="68" t="e" cm="1" vm="1">
        <f t="array" ref="WZM6">_xlfn._xlws.FILTER(TablaProductos[Nombre producto],TablaProductos[Agrupación]=ProductosPivot!WZM5)</f>
        <v>#VALUE!</v>
      </c>
      <c r="WZN6" s="68" t="e" cm="1" vm="1">
        <f t="array" ref="WZN6">_xlfn._xlws.FILTER(TablaProductos[Nombre producto],TablaProductos[Agrupación]=ProductosPivot!WZN5)</f>
        <v>#VALUE!</v>
      </c>
      <c r="WZO6" s="68" t="e" cm="1" vm="1">
        <f t="array" ref="WZO6">_xlfn._xlws.FILTER(TablaProductos[Nombre producto],TablaProductos[Agrupación]=ProductosPivot!WZO5)</f>
        <v>#VALUE!</v>
      </c>
      <c r="WZP6" s="68" t="e" cm="1" vm="1">
        <f t="array" ref="WZP6">_xlfn._xlws.FILTER(TablaProductos[Nombre producto],TablaProductos[Agrupación]=ProductosPivot!WZP5)</f>
        <v>#VALUE!</v>
      </c>
      <c r="WZQ6" s="68" t="e" cm="1" vm="1">
        <f t="array" ref="WZQ6">_xlfn._xlws.FILTER(TablaProductos[Nombre producto],TablaProductos[Agrupación]=ProductosPivot!WZQ5)</f>
        <v>#VALUE!</v>
      </c>
      <c r="WZR6" s="68" t="e" cm="1" vm="1">
        <f t="array" ref="WZR6">_xlfn._xlws.FILTER(TablaProductos[Nombre producto],TablaProductos[Agrupación]=ProductosPivot!WZR5)</f>
        <v>#VALUE!</v>
      </c>
      <c r="WZS6" s="68" t="e" cm="1" vm="1">
        <f t="array" ref="WZS6">_xlfn._xlws.FILTER(TablaProductos[Nombre producto],TablaProductos[Agrupación]=ProductosPivot!WZS5)</f>
        <v>#VALUE!</v>
      </c>
      <c r="WZT6" s="68" t="e" cm="1" vm="1">
        <f t="array" ref="WZT6">_xlfn._xlws.FILTER(TablaProductos[Nombre producto],TablaProductos[Agrupación]=ProductosPivot!WZT5)</f>
        <v>#VALUE!</v>
      </c>
      <c r="WZU6" s="68" t="e" cm="1" vm="1">
        <f t="array" ref="WZU6">_xlfn._xlws.FILTER(TablaProductos[Nombre producto],TablaProductos[Agrupación]=ProductosPivot!WZU5)</f>
        <v>#VALUE!</v>
      </c>
      <c r="WZV6" s="68" t="e" cm="1" vm="1">
        <f t="array" ref="WZV6">_xlfn._xlws.FILTER(TablaProductos[Nombre producto],TablaProductos[Agrupación]=ProductosPivot!WZV5)</f>
        <v>#VALUE!</v>
      </c>
      <c r="WZW6" s="68" t="e" cm="1" vm="1">
        <f t="array" ref="WZW6">_xlfn._xlws.FILTER(TablaProductos[Nombre producto],TablaProductos[Agrupación]=ProductosPivot!WZW5)</f>
        <v>#VALUE!</v>
      </c>
      <c r="WZX6" s="68" t="e" cm="1" vm="1">
        <f t="array" ref="WZX6">_xlfn._xlws.FILTER(TablaProductos[Nombre producto],TablaProductos[Agrupación]=ProductosPivot!WZX5)</f>
        <v>#VALUE!</v>
      </c>
      <c r="WZY6" s="68" t="e" cm="1" vm="1">
        <f t="array" ref="WZY6">_xlfn._xlws.FILTER(TablaProductos[Nombre producto],TablaProductos[Agrupación]=ProductosPivot!WZY5)</f>
        <v>#VALUE!</v>
      </c>
      <c r="WZZ6" s="68" t="e" cm="1" vm="1">
        <f t="array" ref="WZZ6">_xlfn._xlws.FILTER(TablaProductos[Nombre producto],TablaProductos[Agrupación]=ProductosPivot!WZZ5)</f>
        <v>#VALUE!</v>
      </c>
      <c r="XAA6" s="68" t="e" cm="1" vm="1">
        <f t="array" ref="XAA6">_xlfn._xlws.FILTER(TablaProductos[Nombre producto],TablaProductos[Agrupación]=ProductosPivot!XAA5)</f>
        <v>#VALUE!</v>
      </c>
      <c r="XAB6" s="68" t="e" cm="1" vm="1">
        <f t="array" ref="XAB6">_xlfn._xlws.FILTER(TablaProductos[Nombre producto],TablaProductos[Agrupación]=ProductosPivot!XAB5)</f>
        <v>#VALUE!</v>
      </c>
      <c r="XAC6" s="68" t="e" cm="1" vm="1">
        <f t="array" ref="XAC6">_xlfn._xlws.FILTER(TablaProductos[Nombre producto],TablaProductos[Agrupación]=ProductosPivot!XAC5)</f>
        <v>#VALUE!</v>
      </c>
      <c r="XAD6" s="68" t="e" cm="1" vm="1">
        <f t="array" ref="XAD6">_xlfn._xlws.FILTER(TablaProductos[Nombre producto],TablaProductos[Agrupación]=ProductosPivot!XAD5)</f>
        <v>#VALUE!</v>
      </c>
      <c r="XAE6" s="68" t="e" cm="1" vm="1">
        <f t="array" ref="XAE6">_xlfn._xlws.FILTER(TablaProductos[Nombre producto],TablaProductos[Agrupación]=ProductosPivot!XAE5)</f>
        <v>#VALUE!</v>
      </c>
      <c r="XAF6" s="68" t="e" cm="1" vm="1">
        <f t="array" ref="XAF6">_xlfn._xlws.FILTER(TablaProductos[Nombre producto],TablaProductos[Agrupación]=ProductosPivot!XAF5)</f>
        <v>#VALUE!</v>
      </c>
      <c r="XAG6" s="68" t="e" cm="1" vm="1">
        <f t="array" ref="XAG6">_xlfn._xlws.FILTER(TablaProductos[Nombre producto],TablaProductos[Agrupación]=ProductosPivot!XAG5)</f>
        <v>#VALUE!</v>
      </c>
      <c r="XAH6" s="68" t="e" cm="1" vm="1">
        <f t="array" ref="XAH6">_xlfn._xlws.FILTER(TablaProductos[Nombre producto],TablaProductos[Agrupación]=ProductosPivot!XAH5)</f>
        <v>#VALUE!</v>
      </c>
      <c r="XAI6" s="68" t="e" cm="1" vm="1">
        <f t="array" ref="XAI6">_xlfn._xlws.FILTER(TablaProductos[Nombre producto],TablaProductos[Agrupación]=ProductosPivot!XAI5)</f>
        <v>#VALUE!</v>
      </c>
      <c r="XAJ6" s="68" t="e" cm="1" vm="1">
        <f t="array" ref="XAJ6">_xlfn._xlws.FILTER(TablaProductos[Nombre producto],TablaProductos[Agrupación]=ProductosPivot!XAJ5)</f>
        <v>#VALUE!</v>
      </c>
      <c r="XAK6" s="68" t="e" cm="1" vm="1">
        <f t="array" ref="XAK6">_xlfn._xlws.FILTER(TablaProductos[Nombre producto],TablaProductos[Agrupación]=ProductosPivot!XAK5)</f>
        <v>#VALUE!</v>
      </c>
      <c r="XAL6" s="68" t="e" cm="1" vm="1">
        <f t="array" ref="XAL6">_xlfn._xlws.FILTER(TablaProductos[Nombre producto],TablaProductos[Agrupación]=ProductosPivot!XAL5)</f>
        <v>#VALUE!</v>
      </c>
      <c r="XAM6" s="68" t="e" cm="1" vm="1">
        <f t="array" ref="XAM6">_xlfn._xlws.FILTER(TablaProductos[Nombre producto],TablaProductos[Agrupación]=ProductosPivot!XAM5)</f>
        <v>#VALUE!</v>
      </c>
      <c r="XAN6" s="68" t="e" cm="1" vm="1">
        <f t="array" ref="XAN6">_xlfn._xlws.FILTER(TablaProductos[Nombre producto],TablaProductos[Agrupación]=ProductosPivot!XAN5)</f>
        <v>#VALUE!</v>
      </c>
      <c r="XAO6" s="68" t="e" cm="1" vm="1">
        <f t="array" ref="XAO6">_xlfn._xlws.FILTER(TablaProductos[Nombre producto],TablaProductos[Agrupación]=ProductosPivot!XAO5)</f>
        <v>#VALUE!</v>
      </c>
      <c r="XAP6" s="68" t="e" cm="1" vm="1">
        <f t="array" ref="XAP6">_xlfn._xlws.FILTER(TablaProductos[Nombre producto],TablaProductos[Agrupación]=ProductosPivot!XAP5)</f>
        <v>#VALUE!</v>
      </c>
      <c r="XAQ6" s="68" t="e" cm="1" vm="1">
        <f t="array" ref="XAQ6">_xlfn._xlws.FILTER(TablaProductos[Nombre producto],TablaProductos[Agrupación]=ProductosPivot!XAQ5)</f>
        <v>#VALUE!</v>
      </c>
      <c r="XAR6" s="68" t="e" cm="1" vm="1">
        <f t="array" ref="XAR6">_xlfn._xlws.FILTER(TablaProductos[Nombre producto],TablaProductos[Agrupación]=ProductosPivot!XAR5)</f>
        <v>#VALUE!</v>
      </c>
      <c r="XAS6" s="68" t="e" cm="1" vm="1">
        <f t="array" ref="XAS6">_xlfn._xlws.FILTER(TablaProductos[Nombre producto],TablaProductos[Agrupación]=ProductosPivot!XAS5)</f>
        <v>#VALUE!</v>
      </c>
      <c r="XAT6" s="68" t="e" cm="1" vm="1">
        <f t="array" ref="XAT6">_xlfn._xlws.FILTER(TablaProductos[Nombre producto],TablaProductos[Agrupación]=ProductosPivot!XAT5)</f>
        <v>#VALUE!</v>
      </c>
      <c r="XAU6" s="68" t="e" cm="1" vm="1">
        <f t="array" ref="XAU6">_xlfn._xlws.FILTER(TablaProductos[Nombre producto],TablaProductos[Agrupación]=ProductosPivot!XAU5)</f>
        <v>#VALUE!</v>
      </c>
      <c r="XAV6" s="68" t="e" cm="1" vm="1">
        <f t="array" ref="XAV6">_xlfn._xlws.FILTER(TablaProductos[Nombre producto],TablaProductos[Agrupación]=ProductosPivot!XAV5)</f>
        <v>#VALUE!</v>
      </c>
      <c r="XAW6" s="68" t="e" cm="1" vm="1">
        <f t="array" ref="XAW6">_xlfn._xlws.FILTER(TablaProductos[Nombre producto],TablaProductos[Agrupación]=ProductosPivot!XAW5)</f>
        <v>#VALUE!</v>
      </c>
      <c r="XAX6" s="68" t="e" cm="1" vm="1">
        <f t="array" ref="XAX6">_xlfn._xlws.FILTER(TablaProductos[Nombre producto],TablaProductos[Agrupación]=ProductosPivot!XAX5)</f>
        <v>#VALUE!</v>
      </c>
      <c r="XAY6" s="68" t="e" cm="1" vm="1">
        <f t="array" ref="XAY6">_xlfn._xlws.FILTER(TablaProductos[Nombre producto],TablaProductos[Agrupación]=ProductosPivot!XAY5)</f>
        <v>#VALUE!</v>
      </c>
      <c r="XAZ6" s="68" t="e" cm="1" vm="1">
        <f t="array" ref="XAZ6">_xlfn._xlws.FILTER(TablaProductos[Nombre producto],TablaProductos[Agrupación]=ProductosPivot!XAZ5)</f>
        <v>#VALUE!</v>
      </c>
      <c r="XBA6" s="68" t="e" cm="1" vm="1">
        <f t="array" ref="XBA6">_xlfn._xlws.FILTER(TablaProductos[Nombre producto],TablaProductos[Agrupación]=ProductosPivot!XBA5)</f>
        <v>#VALUE!</v>
      </c>
      <c r="XBB6" s="68" t="e" cm="1" vm="1">
        <f t="array" ref="XBB6">_xlfn._xlws.FILTER(TablaProductos[Nombre producto],TablaProductos[Agrupación]=ProductosPivot!XBB5)</f>
        <v>#VALUE!</v>
      </c>
      <c r="XBC6" s="68" t="e" cm="1" vm="1">
        <f t="array" ref="XBC6">_xlfn._xlws.FILTER(TablaProductos[Nombre producto],TablaProductos[Agrupación]=ProductosPivot!XBC5)</f>
        <v>#VALUE!</v>
      </c>
      <c r="XBD6" s="68" t="e" cm="1" vm="1">
        <f t="array" ref="XBD6">_xlfn._xlws.FILTER(TablaProductos[Nombre producto],TablaProductos[Agrupación]=ProductosPivot!XBD5)</f>
        <v>#VALUE!</v>
      </c>
      <c r="XBE6" s="68" t="e" cm="1" vm="1">
        <f t="array" ref="XBE6">_xlfn._xlws.FILTER(TablaProductos[Nombre producto],TablaProductos[Agrupación]=ProductosPivot!XBE5)</f>
        <v>#VALUE!</v>
      </c>
      <c r="XBF6" s="68" t="e" cm="1" vm="1">
        <f t="array" ref="XBF6">_xlfn._xlws.FILTER(TablaProductos[Nombre producto],TablaProductos[Agrupación]=ProductosPivot!XBF5)</f>
        <v>#VALUE!</v>
      </c>
      <c r="XBG6" s="68" t="e" cm="1" vm="1">
        <f t="array" ref="XBG6">_xlfn._xlws.FILTER(TablaProductos[Nombre producto],TablaProductos[Agrupación]=ProductosPivot!XBG5)</f>
        <v>#VALUE!</v>
      </c>
      <c r="XBH6" s="68" t="e" cm="1" vm="1">
        <f t="array" ref="XBH6">_xlfn._xlws.FILTER(TablaProductos[Nombre producto],TablaProductos[Agrupación]=ProductosPivot!XBH5)</f>
        <v>#VALUE!</v>
      </c>
      <c r="XBI6" s="68" t="e" cm="1" vm="1">
        <f t="array" ref="XBI6">_xlfn._xlws.FILTER(TablaProductos[Nombre producto],TablaProductos[Agrupación]=ProductosPivot!XBI5)</f>
        <v>#VALUE!</v>
      </c>
      <c r="XBJ6" s="68" t="e" cm="1" vm="1">
        <f t="array" ref="XBJ6">_xlfn._xlws.FILTER(TablaProductos[Nombre producto],TablaProductos[Agrupación]=ProductosPivot!XBJ5)</f>
        <v>#VALUE!</v>
      </c>
      <c r="XBK6" s="68" t="e" cm="1" vm="1">
        <f t="array" ref="XBK6">_xlfn._xlws.FILTER(TablaProductos[Nombre producto],TablaProductos[Agrupación]=ProductosPivot!XBK5)</f>
        <v>#VALUE!</v>
      </c>
      <c r="XBL6" s="68" t="e" cm="1" vm="1">
        <f t="array" ref="XBL6">_xlfn._xlws.FILTER(TablaProductos[Nombre producto],TablaProductos[Agrupación]=ProductosPivot!XBL5)</f>
        <v>#VALUE!</v>
      </c>
      <c r="XBM6" s="68" t="e" cm="1" vm="1">
        <f t="array" ref="XBM6">_xlfn._xlws.FILTER(TablaProductos[Nombre producto],TablaProductos[Agrupación]=ProductosPivot!XBM5)</f>
        <v>#VALUE!</v>
      </c>
      <c r="XBN6" s="68" t="e" cm="1" vm="1">
        <f t="array" ref="XBN6">_xlfn._xlws.FILTER(TablaProductos[Nombre producto],TablaProductos[Agrupación]=ProductosPivot!XBN5)</f>
        <v>#VALUE!</v>
      </c>
      <c r="XBO6" s="68" t="e" cm="1" vm="1">
        <f t="array" ref="XBO6">_xlfn._xlws.FILTER(TablaProductos[Nombre producto],TablaProductos[Agrupación]=ProductosPivot!XBO5)</f>
        <v>#VALUE!</v>
      </c>
      <c r="XBP6" s="68" t="e" cm="1" vm="1">
        <f t="array" ref="XBP6">_xlfn._xlws.FILTER(TablaProductos[Nombre producto],TablaProductos[Agrupación]=ProductosPivot!XBP5)</f>
        <v>#VALUE!</v>
      </c>
      <c r="XBQ6" s="68" t="e" cm="1" vm="1">
        <f t="array" ref="XBQ6">_xlfn._xlws.FILTER(TablaProductos[Nombre producto],TablaProductos[Agrupación]=ProductosPivot!XBQ5)</f>
        <v>#VALUE!</v>
      </c>
      <c r="XBR6" s="68" t="e" cm="1" vm="1">
        <f t="array" ref="XBR6">_xlfn._xlws.FILTER(TablaProductos[Nombre producto],TablaProductos[Agrupación]=ProductosPivot!XBR5)</f>
        <v>#VALUE!</v>
      </c>
      <c r="XBS6" s="68" t="e" cm="1" vm="1">
        <f t="array" ref="XBS6">_xlfn._xlws.FILTER(TablaProductos[Nombre producto],TablaProductos[Agrupación]=ProductosPivot!XBS5)</f>
        <v>#VALUE!</v>
      </c>
      <c r="XBT6" s="68" t="e" cm="1" vm="1">
        <f t="array" ref="XBT6">_xlfn._xlws.FILTER(TablaProductos[Nombre producto],TablaProductos[Agrupación]=ProductosPivot!XBT5)</f>
        <v>#VALUE!</v>
      </c>
      <c r="XBU6" s="68" t="e" cm="1" vm="1">
        <f t="array" ref="XBU6">_xlfn._xlws.FILTER(TablaProductos[Nombre producto],TablaProductos[Agrupación]=ProductosPivot!XBU5)</f>
        <v>#VALUE!</v>
      </c>
      <c r="XBV6" s="68" t="e" cm="1" vm="1">
        <f t="array" ref="XBV6">_xlfn._xlws.FILTER(TablaProductos[Nombre producto],TablaProductos[Agrupación]=ProductosPivot!XBV5)</f>
        <v>#VALUE!</v>
      </c>
      <c r="XBW6" s="68" t="e" cm="1" vm="1">
        <f t="array" ref="XBW6">_xlfn._xlws.FILTER(TablaProductos[Nombre producto],TablaProductos[Agrupación]=ProductosPivot!XBW5)</f>
        <v>#VALUE!</v>
      </c>
      <c r="XBX6" s="68" t="e" cm="1" vm="1">
        <f t="array" ref="XBX6">_xlfn._xlws.FILTER(TablaProductos[Nombre producto],TablaProductos[Agrupación]=ProductosPivot!XBX5)</f>
        <v>#VALUE!</v>
      </c>
      <c r="XBY6" s="68" t="e" cm="1" vm="1">
        <f t="array" ref="XBY6">_xlfn._xlws.FILTER(TablaProductos[Nombre producto],TablaProductos[Agrupación]=ProductosPivot!XBY5)</f>
        <v>#VALUE!</v>
      </c>
      <c r="XBZ6" s="68" t="e" cm="1" vm="1">
        <f t="array" ref="XBZ6">_xlfn._xlws.FILTER(TablaProductos[Nombre producto],TablaProductos[Agrupación]=ProductosPivot!XBZ5)</f>
        <v>#VALUE!</v>
      </c>
      <c r="XCA6" s="68" t="e" cm="1" vm="1">
        <f t="array" ref="XCA6">_xlfn._xlws.FILTER(TablaProductos[Nombre producto],TablaProductos[Agrupación]=ProductosPivot!XCA5)</f>
        <v>#VALUE!</v>
      </c>
      <c r="XCB6" s="68" t="e" cm="1" vm="1">
        <f t="array" ref="XCB6">_xlfn._xlws.FILTER(TablaProductos[Nombre producto],TablaProductos[Agrupación]=ProductosPivot!XCB5)</f>
        <v>#VALUE!</v>
      </c>
      <c r="XCC6" s="68" t="e" cm="1" vm="1">
        <f t="array" ref="XCC6">_xlfn._xlws.FILTER(TablaProductos[Nombre producto],TablaProductos[Agrupación]=ProductosPivot!XCC5)</f>
        <v>#VALUE!</v>
      </c>
      <c r="XCD6" s="68" t="e" cm="1" vm="1">
        <f t="array" ref="XCD6">_xlfn._xlws.FILTER(TablaProductos[Nombre producto],TablaProductos[Agrupación]=ProductosPivot!XCD5)</f>
        <v>#VALUE!</v>
      </c>
      <c r="XCE6" s="68" t="e" cm="1" vm="1">
        <f t="array" ref="XCE6">_xlfn._xlws.FILTER(TablaProductos[Nombre producto],TablaProductos[Agrupación]=ProductosPivot!XCE5)</f>
        <v>#VALUE!</v>
      </c>
      <c r="XCF6" s="68" t="e" cm="1" vm="1">
        <f t="array" ref="XCF6">_xlfn._xlws.FILTER(TablaProductos[Nombre producto],TablaProductos[Agrupación]=ProductosPivot!XCF5)</f>
        <v>#VALUE!</v>
      </c>
      <c r="XCG6" s="68" t="e" cm="1" vm="1">
        <f t="array" ref="XCG6">_xlfn._xlws.FILTER(TablaProductos[Nombre producto],TablaProductos[Agrupación]=ProductosPivot!XCG5)</f>
        <v>#VALUE!</v>
      </c>
      <c r="XCH6" s="68" t="e" cm="1" vm="1">
        <f t="array" ref="XCH6">_xlfn._xlws.FILTER(TablaProductos[Nombre producto],TablaProductos[Agrupación]=ProductosPivot!XCH5)</f>
        <v>#VALUE!</v>
      </c>
      <c r="XCI6" s="68" t="e" cm="1" vm="1">
        <f t="array" ref="XCI6">_xlfn._xlws.FILTER(TablaProductos[Nombre producto],TablaProductos[Agrupación]=ProductosPivot!XCI5)</f>
        <v>#VALUE!</v>
      </c>
      <c r="XCJ6" s="68" t="e" cm="1" vm="1">
        <f t="array" ref="XCJ6">_xlfn._xlws.FILTER(TablaProductos[Nombre producto],TablaProductos[Agrupación]=ProductosPivot!XCJ5)</f>
        <v>#VALUE!</v>
      </c>
      <c r="XCK6" s="68" t="e" cm="1" vm="1">
        <f t="array" ref="XCK6">_xlfn._xlws.FILTER(TablaProductos[Nombre producto],TablaProductos[Agrupación]=ProductosPivot!XCK5)</f>
        <v>#VALUE!</v>
      </c>
      <c r="XCL6" s="68" t="e" cm="1" vm="1">
        <f t="array" ref="XCL6">_xlfn._xlws.FILTER(TablaProductos[Nombre producto],TablaProductos[Agrupación]=ProductosPivot!XCL5)</f>
        <v>#VALUE!</v>
      </c>
      <c r="XCM6" s="68" t="e" cm="1" vm="1">
        <f t="array" ref="XCM6">_xlfn._xlws.FILTER(TablaProductos[Nombre producto],TablaProductos[Agrupación]=ProductosPivot!XCM5)</f>
        <v>#VALUE!</v>
      </c>
      <c r="XCN6" s="68" t="e" cm="1" vm="1">
        <f t="array" ref="XCN6">_xlfn._xlws.FILTER(TablaProductos[Nombre producto],TablaProductos[Agrupación]=ProductosPivot!XCN5)</f>
        <v>#VALUE!</v>
      </c>
      <c r="XCO6" s="68" t="e" cm="1" vm="1">
        <f t="array" ref="XCO6">_xlfn._xlws.FILTER(TablaProductos[Nombre producto],TablaProductos[Agrupación]=ProductosPivot!XCO5)</f>
        <v>#VALUE!</v>
      </c>
      <c r="XCP6" s="68" t="e" cm="1" vm="1">
        <f t="array" ref="XCP6">_xlfn._xlws.FILTER(TablaProductos[Nombre producto],TablaProductos[Agrupación]=ProductosPivot!XCP5)</f>
        <v>#VALUE!</v>
      </c>
      <c r="XCQ6" s="68" t="e" cm="1" vm="1">
        <f t="array" ref="XCQ6">_xlfn._xlws.FILTER(TablaProductos[Nombre producto],TablaProductos[Agrupación]=ProductosPivot!XCQ5)</f>
        <v>#VALUE!</v>
      </c>
      <c r="XCR6" s="68" t="e" cm="1" vm="1">
        <f t="array" ref="XCR6">_xlfn._xlws.FILTER(TablaProductos[Nombre producto],TablaProductos[Agrupación]=ProductosPivot!XCR5)</f>
        <v>#VALUE!</v>
      </c>
      <c r="XCS6" s="68" t="e" cm="1" vm="1">
        <f t="array" ref="XCS6">_xlfn._xlws.FILTER(TablaProductos[Nombre producto],TablaProductos[Agrupación]=ProductosPivot!XCS5)</f>
        <v>#VALUE!</v>
      </c>
      <c r="XCT6" s="68" t="e" cm="1" vm="1">
        <f t="array" ref="XCT6">_xlfn._xlws.FILTER(TablaProductos[Nombre producto],TablaProductos[Agrupación]=ProductosPivot!XCT5)</f>
        <v>#VALUE!</v>
      </c>
      <c r="XCU6" s="68" t="e" cm="1" vm="1">
        <f t="array" ref="XCU6">_xlfn._xlws.FILTER(TablaProductos[Nombre producto],TablaProductos[Agrupación]=ProductosPivot!XCU5)</f>
        <v>#VALUE!</v>
      </c>
      <c r="XCV6" s="68" t="e" cm="1" vm="1">
        <f t="array" ref="XCV6">_xlfn._xlws.FILTER(TablaProductos[Nombre producto],TablaProductos[Agrupación]=ProductosPivot!XCV5)</f>
        <v>#VALUE!</v>
      </c>
      <c r="XCW6" s="68" t="e" cm="1" vm="1">
        <f t="array" ref="XCW6">_xlfn._xlws.FILTER(TablaProductos[Nombre producto],TablaProductos[Agrupación]=ProductosPivot!XCW5)</f>
        <v>#VALUE!</v>
      </c>
      <c r="XCX6" s="68" t="e" cm="1" vm="1">
        <f t="array" ref="XCX6">_xlfn._xlws.FILTER(TablaProductos[Nombre producto],TablaProductos[Agrupación]=ProductosPivot!XCX5)</f>
        <v>#VALUE!</v>
      </c>
      <c r="XCY6" s="68" t="e" cm="1" vm="1">
        <f t="array" ref="XCY6">_xlfn._xlws.FILTER(TablaProductos[Nombre producto],TablaProductos[Agrupación]=ProductosPivot!XCY5)</f>
        <v>#VALUE!</v>
      </c>
      <c r="XCZ6" s="68" t="e" cm="1" vm="1">
        <f t="array" ref="XCZ6">_xlfn._xlws.FILTER(TablaProductos[Nombre producto],TablaProductos[Agrupación]=ProductosPivot!XCZ5)</f>
        <v>#VALUE!</v>
      </c>
      <c r="XDA6" s="68" t="e" cm="1" vm="1">
        <f t="array" ref="XDA6">_xlfn._xlws.FILTER(TablaProductos[Nombre producto],TablaProductos[Agrupación]=ProductosPivot!XDA5)</f>
        <v>#VALUE!</v>
      </c>
      <c r="XDB6" s="68" t="e" cm="1" vm="1">
        <f t="array" ref="XDB6">_xlfn._xlws.FILTER(TablaProductos[Nombre producto],TablaProductos[Agrupación]=ProductosPivot!XDB5)</f>
        <v>#VALUE!</v>
      </c>
      <c r="XDC6" s="68" t="e" cm="1" vm="1">
        <f t="array" ref="XDC6">_xlfn._xlws.FILTER(TablaProductos[Nombre producto],TablaProductos[Agrupación]=ProductosPivot!XDC5)</f>
        <v>#VALUE!</v>
      </c>
      <c r="XDD6" s="68" t="e" cm="1" vm="1">
        <f t="array" ref="XDD6">_xlfn._xlws.FILTER(TablaProductos[Nombre producto],TablaProductos[Agrupación]=ProductosPivot!XDD5)</f>
        <v>#VALUE!</v>
      </c>
      <c r="XDE6" s="68" t="e" cm="1" vm="1">
        <f t="array" ref="XDE6">_xlfn._xlws.FILTER(TablaProductos[Nombre producto],TablaProductos[Agrupación]=ProductosPivot!XDE5)</f>
        <v>#VALUE!</v>
      </c>
      <c r="XDF6" s="68" t="e" cm="1" vm="1">
        <f t="array" ref="XDF6">_xlfn._xlws.FILTER(TablaProductos[Nombre producto],TablaProductos[Agrupación]=ProductosPivot!XDF5)</f>
        <v>#VALUE!</v>
      </c>
      <c r="XDG6" s="68" t="e" cm="1" vm="1">
        <f t="array" ref="XDG6">_xlfn._xlws.FILTER(TablaProductos[Nombre producto],TablaProductos[Agrupación]=ProductosPivot!XDG5)</f>
        <v>#VALUE!</v>
      </c>
      <c r="XDH6" s="68" t="e" cm="1" vm="1">
        <f t="array" ref="XDH6">_xlfn._xlws.FILTER(TablaProductos[Nombre producto],TablaProductos[Agrupación]=ProductosPivot!XDH5)</f>
        <v>#VALUE!</v>
      </c>
      <c r="XDI6" s="68" t="e" cm="1" vm="1">
        <f t="array" ref="XDI6">_xlfn._xlws.FILTER(TablaProductos[Nombre producto],TablaProductos[Agrupación]=ProductosPivot!XDI5)</f>
        <v>#VALUE!</v>
      </c>
      <c r="XDJ6" s="68" t="e" cm="1" vm="1">
        <f t="array" ref="XDJ6">_xlfn._xlws.FILTER(TablaProductos[Nombre producto],TablaProductos[Agrupación]=ProductosPivot!XDJ5)</f>
        <v>#VALUE!</v>
      </c>
      <c r="XDK6" s="68" t="e" cm="1" vm="1">
        <f t="array" ref="XDK6">_xlfn._xlws.FILTER(TablaProductos[Nombre producto],TablaProductos[Agrupación]=ProductosPivot!XDK5)</f>
        <v>#VALUE!</v>
      </c>
      <c r="XDL6" s="68" t="e" cm="1" vm="1">
        <f t="array" ref="XDL6">_xlfn._xlws.FILTER(TablaProductos[Nombre producto],TablaProductos[Agrupación]=ProductosPivot!XDL5)</f>
        <v>#VALUE!</v>
      </c>
      <c r="XDM6" s="68" t="e" cm="1" vm="1">
        <f t="array" ref="XDM6">_xlfn._xlws.FILTER(TablaProductos[Nombre producto],TablaProductos[Agrupación]=ProductosPivot!XDM5)</f>
        <v>#VALUE!</v>
      </c>
      <c r="XDN6" s="68" t="e" cm="1" vm="1">
        <f t="array" ref="XDN6">_xlfn._xlws.FILTER(TablaProductos[Nombre producto],TablaProductos[Agrupación]=ProductosPivot!XDN5)</f>
        <v>#VALUE!</v>
      </c>
      <c r="XDO6" s="68" t="e" cm="1" vm="1">
        <f t="array" ref="XDO6">_xlfn._xlws.FILTER(TablaProductos[Nombre producto],TablaProductos[Agrupación]=ProductosPivot!XDO5)</f>
        <v>#VALUE!</v>
      </c>
      <c r="XDP6" s="68" t="e" cm="1" vm="1">
        <f t="array" ref="XDP6">_xlfn._xlws.FILTER(TablaProductos[Nombre producto],TablaProductos[Agrupación]=ProductosPivot!XDP5)</f>
        <v>#VALUE!</v>
      </c>
      <c r="XDQ6" s="68" t="e" cm="1" vm="1">
        <f t="array" ref="XDQ6">_xlfn._xlws.FILTER(TablaProductos[Nombre producto],TablaProductos[Agrupación]=ProductosPivot!XDQ5)</f>
        <v>#VALUE!</v>
      </c>
      <c r="XDR6" s="68" t="e" cm="1" vm="1">
        <f t="array" ref="XDR6">_xlfn._xlws.FILTER(TablaProductos[Nombre producto],TablaProductos[Agrupación]=ProductosPivot!XDR5)</f>
        <v>#VALUE!</v>
      </c>
      <c r="XDS6" s="68" t="e" cm="1" vm="1">
        <f t="array" ref="XDS6">_xlfn._xlws.FILTER(TablaProductos[Nombre producto],TablaProductos[Agrupación]=ProductosPivot!XDS5)</f>
        <v>#VALUE!</v>
      </c>
      <c r="XDT6" s="68" t="e" cm="1" vm="1">
        <f t="array" ref="XDT6">_xlfn._xlws.FILTER(TablaProductos[Nombre producto],TablaProductos[Agrupación]=ProductosPivot!XDT5)</f>
        <v>#VALUE!</v>
      </c>
      <c r="XDU6" s="68" t="e" cm="1" vm="1">
        <f t="array" ref="XDU6">_xlfn._xlws.FILTER(TablaProductos[Nombre producto],TablaProductos[Agrupación]=ProductosPivot!XDU5)</f>
        <v>#VALUE!</v>
      </c>
      <c r="XDV6" s="68" t="e" cm="1" vm="1">
        <f t="array" ref="XDV6">_xlfn._xlws.FILTER(TablaProductos[Nombre producto],TablaProductos[Agrupación]=ProductosPivot!XDV5)</f>
        <v>#VALUE!</v>
      </c>
      <c r="XDW6" s="68" t="e" cm="1" vm="1">
        <f t="array" ref="XDW6">_xlfn._xlws.FILTER(TablaProductos[Nombre producto],TablaProductos[Agrupación]=ProductosPivot!XDW5)</f>
        <v>#VALUE!</v>
      </c>
      <c r="XDX6" s="68" t="e" cm="1" vm="1">
        <f t="array" ref="XDX6">_xlfn._xlws.FILTER(TablaProductos[Nombre producto],TablaProductos[Agrupación]=ProductosPivot!XDX5)</f>
        <v>#VALUE!</v>
      </c>
      <c r="XDY6" s="68" t="e" cm="1" vm="1">
        <f t="array" ref="XDY6">_xlfn._xlws.FILTER(TablaProductos[Nombre producto],TablaProductos[Agrupación]=ProductosPivot!XDY5)</f>
        <v>#VALUE!</v>
      </c>
      <c r="XDZ6" s="68" t="e" cm="1" vm="1">
        <f t="array" ref="XDZ6">_xlfn._xlws.FILTER(TablaProductos[Nombre producto],TablaProductos[Agrupación]=ProductosPivot!XDZ5)</f>
        <v>#VALUE!</v>
      </c>
      <c r="XEA6" s="68" t="e" cm="1" vm="1">
        <f t="array" ref="XEA6">_xlfn._xlws.FILTER(TablaProductos[Nombre producto],TablaProductos[Agrupación]=ProductosPivot!XEA5)</f>
        <v>#VALUE!</v>
      </c>
      <c r="XEB6" s="68" t="e" cm="1" vm="1">
        <f t="array" ref="XEB6">_xlfn._xlws.FILTER(TablaProductos[Nombre producto],TablaProductos[Agrupación]=ProductosPivot!XEB5)</f>
        <v>#VALUE!</v>
      </c>
      <c r="XEC6" s="68" t="e" cm="1" vm="1">
        <f t="array" ref="XEC6">_xlfn._xlws.FILTER(TablaProductos[Nombre producto],TablaProductos[Agrupación]=ProductosPivot!XEC5)</f>
        <v>#VALUE!</v>
      </c>
      <c r="XED6" s="68" t="e" cm="1" vm="1">
        <f t="array" ref="XED6">_xlfn._xlws.FILTER(TablaProductos[Nombre producto],TablaProductos[Agrupación]=ProductosPivot!XED5)</f>
        <v>#VALUE!</v>
      </c>
      <c r="XEE6" s="68" t="e" cm="1" vm="1">
        <f t="array" ref="XEE6">_xlfn._xlws.FILTER(TablaProductos[Nombre producto],TablaProductos[Agrupación]=ProductosPivot!XEE5)</f>
        <v>#VALUE!</v>
      </c>
      <c r="XEF6" s="68" t="e" cm="1" vm="1">
        <f t="array" ref="XEF6">_xlfn._xlws.FILTER(TablaProductos[Nombre producto],TablaProductos[Agrupación]=ProductosPivot!XEF5)</f>
        <v>#VALUE!</v>
      </c>
      <c r="XEG6" s="68" t="e" cm="1" vm="1">
        <f t="array" ref="XEG6">_xlfn._xlws.FILTER(TablaProductos[Nombre producto],TablaProductos[Agrupación]=ProductosPivot!XEG5)</f>
        <v>#VALUE!</v>
      </c>
      <c r="XEH6" s="68" t="e" cm="1" vm="1">
        <f t="array" ref="XEH6">_xlfn._xlws.FILTER(TablaProductos[Nombre producto],TablaProductos[Agrupación]=ProductosPivot!XEH5)</f>
        <v>#VALUE!</v>
      </c>
      <c r="XEI6" s="68" t="e" cm="1" vm="1">
        <f t="array" ref="XEI6">_xlfn._xlws.FILTER(TablaProductos[Nombre producto],TablaProductos[Agrupación]=ProductosPivot!XEI5)</f>
        <v>#VALUE!</v>
      </c>
      <c r="XEJ6" s="68" t="e" cm="1" vm="1">
        <f t="array" ref="XEJ6">_xlfn._xlws.FILTER(TablaProductos[Nombre producto],TablaProductos[Agrupación]=ProductosPivot!XEJ5)</f>
        <v>#VALUE!</v>
      </c>
      <c r="XEK6" s="68" t="e" cm="1" vm="1">
        <f t="array" ref="XEK6">_xlfn._xlws.FILTER(TablaProductos[Nombre producto],TablaProductos[Agrupación]=ProductosPivot!XEK5)</f>
        <v>#VALUE!</v>
      </c>
      <c r="XEL6" s="68" t="e" cm="1" vm="1">
        <f t="array" ref="XEL6">_xlfn._xlws.FILTER(TablaProductos[Nombre producto],TablaProductos[Agrupación]=ProductosPivot!XEL5)</f>
        <v>#VALUE!</v>
      </c>
      <c r="XEM6" s="68" t="e" cm="1" vm="1">
        <f t="array" ref="XEM6">_xlfn._xlws.FILTER(TablaProductos[Nombre producto],TablaProductos[Agrupación]=ProductosPivot!XEM5)</f>
        <v>#VALUE!</v>
      </c>
      <c r="XEN6" s="68" t="e" cm="1" vm="1">
        <f t="array" ref="XEN6">_xlfn._xlws.FILTER(TablaProductos[Nombre producto],TablaProductos[Agrupación]=ProductosPivot!XEN5)</f>
        <v>#VALUE!</v>
      </c>
      <c r="XEO6" s="68" t="e" cm="1" vm="1">
        <f t="array" ref="XEO6">_xlfn._xlws.FILTER(TablaProductos[Nombre producto],TablaProductos[Agrupación]=ProductosPivot!XEO5)</f>
        <v>#VALUE!</v>
      </c>
      <c r="XEP6" s="68" t="e" cm="1" vm="1">
        <f t="array" ref="XEP6">_xlfn._xlws.FILTER(TablaProductos[Nombre producto],TablaProductos[Agrupación]=ProductosPivot!XEP5)</f>
        <v>#VALUE!</v>
      </c>
      <c r="XEQ6" s="68" t="e" cm="1" vm="1">
        <f t="array" ref="XEQ6">_xlfn._xlws.FILTER(TablaProductos[Nombre producto],TablaProductos[Agrupación]=ProductosPivot!XEQ5)</f>
        <v>#VALUE!</v>
      </c>
      <c r="XER6" s="68" t="e" cm="1" vm="1">
        <f t="array" ref="XER6">_xlfn._xlws.FILTER(TablaProductos[Nombre producto],TablaProductos[Agrupación]=ProductosPivot!XER5)</f>
        <v>#VALUE!</v>
      </c>
      <c r="XES6" s="68" t="e" cm="1" vm="1">
        <f t="array" ref="XES6">_xlfn._xlws.FILTER(TablaProductos[Nombre producto],TablaProductos[Agrupación]=ProductosPivot!XES5)</f>
        <v>#VALUE!</v>
      </c>
      <c r="XET6" s="68" t="e" cm="1" vm="1">
        <f t="array" ref="XET6">_xlfn._xlws.FILTER(TablaProductos[Nombre producto],TablaProductos[Agrupación]=ProductosPivot!XET5)</f>
        <v>#VALUE!</v>
      </c>
      <c r="XEU6" s="68" t="e" cm="1" vm="1">
        <f t="array" ref="XEU6">_xlfn._xlws.FILTER(TablaProductos[Nombre producto],TablaProductos[Agrupación]=ProductosPivot!XEU5)</f>
        <v>#VALUE!</v>
      </c>
      <c r="XEV6" s="68" t="e" cm="1" vm="1">
        <f t="array" ref="XEV6">_xlfn._xlws.FILTER(TablaProductos[Nombre producto],TablaProductos[Agrupación]=ProductosPivot!XEV5)</f>
        <v>#VALUE!</v>
      </c>
      <c r="XEW6" s="68" t="e" cm="1" vm="1">
        <f t="array" ref="XEW6">_xlfn._xlws.FILTER(TablaProductos[Nombre producto],TablaProductos[Agrupación]=ProductosPivot!XEW5)</f>
        <v>#VALUE!</v>
      </c>
      <c r="XEX6" s="68" t="e" cm="1" vm="1">
        <f t="array" ref="XEX6">_xlfn._xlws.FILTER(TablaProductos[Nombre producto],TablaProductos[Agrupación]=ProductosPivot!XEX5)</f>
        <v>#VALUE!</v>
      </c>
      <c r="XEY6" s="68" t="e" cm="1" vm="1">
        <f t="array" ref="XEY6">_xlfn._xlws.FILTER(TablaProductos[Nombre producto],TablaProductos[Agrupación]=ProductosPivot!XEY5)</f>
        <v>#VALUE!</v>
      </c>
      <c r="XEZ6" s="68" t="e" cm="1" vm="1">
        <f t="array" ref="XEZ6">_xlfn._xlws.FILTER(TablaProductos[Nombre producto],TablaProductos[Agrupación]=ProductosPivot!XEZ5)</f>
        <v>#VALUE!</v>
      </c>
      <c r="XFA6" s="68" t="e" cm="1" vm="1">
        <f t="array" ref="XFA6">_xlfn._xlws.FILTER(TablaProductos[Nombre producto],TablaProductos[Agrupación]=ProductosPivot!XFA5)</f>
        <v>#VALUE!</v>
      </c>
      <c r="XFB6" s="68" t="e" cm="1" vm="1">
        <f t="array" ref="XFB6">_xlfn._xlws.FILTER(TablaProductos[Nombre producto],TablaProductos[Agrupación]=ProductosPivot!XFB5)</f>
        <v>#VALUE!</v>
      </c>
      <c r="XFC6" s="68" t="e" cm="1" vm="1">
        <f t="array" ref="XFC6">_xlfn._xlws.FILTER(TablaProductos[Nombre producto],TablaProductos[Agrupación]=ProductosPivot!XFC5)</f>
        <v>#VALUE!</v>
      </c>
      <c r="XFD6" s="68" t="e" cm="1" vm="1">
        <f t="array" ref="XFD6">_xlfn._xlws.FILTER(TablaProductos[Nombre producto],TablaProductos[Agrupación]=ProductosPivot!XFD5)</f>
        <v>#VALUE!</v>
      </c>
    </row>
    <row r="7" spans="2:16384" x14ac:dyDescent="0.3">
      <c r="B7" s="68"/>
      <c r="C7" s="68"/>
      <c r="D7" s="68" t="str">
        <v>RD-WPHIT</v>
      </c>
      <c r="E7" s="68" t="str">
        <v>SUP-PTU8011-Pipeline Mount Kit</v>
      </c>
    </row>
    <row r="8" spans="2:16384" x14ac:dyDescent="0.3">
      <c r="B8" s="68"/>
      <c r="C8" s="68"/>
      <c r="D8" s="68" t="str">
        <v>RD-TSS-03</v>
      </c>
      <c r="E8" s="68" t="str">
        <v>SUP-ADI7000-Flow-Cell</v>
      </c>
    </row>
    <row r="9" spans="2:16384" x14ac:dyDescent="0.3">
      <c r="B9" s="68"/>
      <c r="C9" s="68"/>
      <c r="D9" s="68" t="str">
        <v>RD-WNT-02</v>
      </c>
      <c r="E9" s="68"/>
    </row>
    <row r="10" spans="2:16384" x14ac:dyDescent="0.3">
      <c r="B10" s="68"/>
      <c r="C10" s="68"/>
      <c r="D10" s="68" t="str">
        <v>RD-OIW-
01</v>
      </c>
      <c r="E10" s="68"/>
    </row>
    <row r="11" spans="2:16384" x14ac:dyDescent="0.3">
      <c r="B11" s="68"/>
      <c r="C11" s="68"/>
      <c r="D11" s="68" t="str">
        <v>RDCBT3IN1-01</v>
      </c>
      <c r="E11" s="68"/>
    </row>
    <row r="12" spans="2:16384" x14ac:dyDescent="0.3">
      <c r="B12" s="68"/>
      <c r="C12" s="68"/>
      <c r="D12" s="68" t="str">
        <v>TUF-2000S-02</v>
      </c>
      <c r="E12" s="68"/>
    </row>
    <row r="13" spans="2:16384" x14ac:dyDescent="0.3">
      <c r="B13" s="68"/>
      <c r="C13" s="68"/>
      <c r="D13" s="68" t="str">
        <v>BGT-RD101</v>
      </c>
      <c r="E13" s="68"/>
    </row>
    <row r="14" spans="2:16384" x14ac:dyDescent="0.3">
      <c r="B14" s="68"/>
      <c r="C14" s="68"/>
      <c r="D14" s="68" t="str">
        <v>SUP-LMQ</v>
      </c>
      <c r="E14" s="68"/>
    </row>
    <row r="15" spans="2:16384" x14ac:dyDescent="0.3">
      <c r="B15" s="68"/>
      <c r="C15" s="68"/>
      <c r="D15" s="68" t="str">
        <v>SUP-PTU-8011</v>
      </c>
      <c r="E15" s="68"/>
    </row>
    <row r="16" spans="2:16384" x14ac:dyDescent="0.3">
      <c r="B16" s="68"/>
      <c r="C16" s="68"/>
      <c r="D16" s="68" t="str">
        <v>SUP-TDS-8001</v>
      </c>
      <c r="E16" s="68"/>
    </row>
    <row r="17" spans="2:5" x14ac:dyDescent="0.3">
      <c r="B17" s="68"/>
      <c r="C17" s="68"/>
      <c r="D17" s="68" t="str">
        <v>SUP-PH8001</v>
      </c>
      <c r="E17" s="68"/>
    </row>
    <row r="18" spans="2:5" x14ac:dyDescent="0.3">
      <c r="B18" s="68"/>
      <c r="C18" s="68"/>
      <c r="D18" s="68" t="str">
        <v>SUP-PTU300</v>
      </c>
      <c r="E18" s="68"/>
    </row>
    <row r="19" spans="2:5" x14ac:dyDescent="0.3">
      <c r="B19" s="68"/>
      <c r="C19" s="68"/>
      <c r="D19" s="68" t="str">
        <v>SUP-ADI7000</v>
      </c>
      <c r="E19" s="68"/>
    </row>
    <row r="20" spans="2:5" x14ac:dyDescent="0.3">
      <c r="B20" s="68"/>
      <c r="C20" s="68"/>
      <c r="D20" s="68" t="str">
        <v>SUP-DO-7018</v>
      </c>
      <c r="E20" s="68"/>
    </row>
    <row r="21" spans="2:5" x14ac:dyDescent="0.3">
      <c r="B21" s="68"/>
      <c r="C21" s="68"/>
      <c r="D21" s="68" t="str">
        <v>SUP-ORP8001</v>
      </c>
      <c r="E21" s="68"/>
    </row>
    <row r="22" spans="2:5" x14ac:dyDescent="0.3">
      <c r="B22" s="68"/>
      <c r="C22" s="68"/>
      <c r="D22" s="68" t="str">
        <v>SUP-PSS9011</v>
      </c>
      <c r="E22" s="68"/>
    </row>
    <row r="23" spans="2:5" x14ac:dyDescent="0.3">
      <c r="B23" s="68"/>
      <c r="C23" s="68"/>
      <c r="D23" s="68" t="str">
        <v>SUP-MPP1000</v>
      </c>
      <c r="E23" s="68"/>
    </row>
  </sheetData>
  <mergeCells count="1">
    <mergeCell ref="B2:E3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CEE3FF-5290-4EAA-A2BB-2FB24206D25C}">
  <sheetPr codeName="Hoja5"/>
  <dimension ref="A6:S1000"/>
  <sheetViews>
    <sheetView workbookViewId="0">
      <selection activeCell="A6" sqref="A6:B1000"/>
    </sheetView>
  </sheetViews>
  <sheetFormatPr baseColWidth="10" defaultRowHeight="14.4" x14ac:dyDescent="0.3"/>
  <sheetData>
    <row r="6" spans="1:19" x14ac:dyDescent="0.3">
      <c r="A6" t="s">
        <v>214</v>
      </c>
      <c r="B6" t="s">
        <v>215</v>
      </c>
    </row>
    <row r="7" spans="1:19" x14ac:dyDescent="0.3">
      <c r="A7" t="str">
        <f>Tabla27[[#This Row],[Agrupación]]</f>
        <v>RTU</v>
      </c>
      <c r="B7" t="str" cm="1">
        <f t="array" ref="B7">TRANSPOSE((_xlfn._xlws.FILTER(INDEX(ProductosPivot!$C$6:$E$1000,,MATCH($A7,ProductosPivot!$C$5:$E$5,0)),INDEX(ProductosPivot!$C$6:$E$1000,,MATCH($A7,ProductosPivot!$C$5:$E$5,0))&lt;&gt;"","No hay nada")))</f>
        <v>VigíaBox Neo</v>
      </c>
    </row>
    <row r="8" spans="1:19" x14ac:dyDescent="0.3">
      <c r="A8" t="str">
        <f>Tabla27[[#This Row],[Agrupación]]</f>
        <v>Sensor</v>
      </c>
      <c r="B8" t="str" cm="1">
        <f t="array" ref="B8:S8">TRANSPOSE((_xlfn._xlws.FILTER(INDEX(ProductosPivot!$C$6:$E$1000,,MATCH($A8,ProductosPivot!$C$5:$E$5,0)),INDEX(ProductosPivot!$C$6:$E$1000,,MATCH($A8,ProductosPivot!$C$5:$E$5,0))&lt;&gt;"","No hay nada")))</f>
        <v>ORP-RDSOR</v>
      </c>
      <c r="C8" t="str">
        <v>RD-WPHIT</v>
      </c>
      <c r="D8" t="str">
        <v>RD-TSS-03</v>
      </c>
      <c r="E8" t="str">
        <v>RD-WNT-02</v>
      </c>
      <c r="F8" t="str">
        <v>RD-OIW-
01</v>
      </c>
      <c r="G8" t="str">
        <v>RDCBT3IN1-01</v>
      </c>
      <c r="H8" t="str">
        <v>TUF-2000S-02</v>
      </c>
      <c r="I8" t="str">
        <v>BGT-RD101</v>
      </c>
      <c r="J8" t="str">
        <v>SUP-LMQ</v>
      </c>
      <c r="K8" t="str">
        <v>SUP-PTU-8011</v>
      </c>
      <c r="L8" t="str">
        <v>SUP-TDS-8001</v>
      </c>
      <c r="M8" t="str">
        <v>SUP-PH8001</v>
      </c>
      <c r="N8" t="str">
        <v>SUP-PTU300</v>
      </c>
      <c r="O8" t="str">
        <v>SUP-ADI7000</v>
      </c>
      <c r="P8" t="str">
        <v>SUP-DO-7018</v>
      </c>
      <c r="Q8" t="str">
        <v>SUP-ORP8001</v>
      </c>
      <c r="R8" t="str">
        <v>SUP-PSS9011</v>
      </c>
      <c r="S8" t="str">
        <v>SUP-MPP1000</v>
      </c>
    </row>
    <row r="9" spans="1:19" x14ac:dyDescent="0.3">
      <c r="A9" t="str">
        <f>Tabla27[[#This Row],[Agrupación]]</f>
        <v>Sensor</v>
      </c>
      <c r="B9" t="str" cm="1">
        <f t="array" ref="B9:S9">TRANSPOSE((_xlfn._xlws.FILTER(INDEX(ProductosPivot!$C$6:$E$1000,,MATCH($A9,ProductosPivot!$C$5:$E$5,0)),INDEX(ProductosPivot!$C$6:$E$1000,,MATCH($A9,ProductosPivot!$C$5:$E$5,0))&lt;&gt;"","No hay nada")))</f>
        <v>ORP-RDSOR</v>
      </c>
      <c r="C9" t="str">
        <v>RD-WPHIT</v>
      </c>
      <c r="D9" t="str">
        <v>RD-TSS-03</v>
      </c>
      <c r="E9" t="str">
        <v>RD-WNT-02</v>
      </c>
      <c r="F9" t="str">
        <v>RD-OIW-
01</v>
      </c>
      <c r="G9" t="str">
        <v>RDCBT3IN1-01</v>
      </c>
      <c r="H9" t="str">
        <v>TUF-2000S-02</v>
      </c>
      <c r="I9" t="str">
        <v>BGT-RD101</v>
      </c>
      <c r="J9" t="str">
        <v>SUP-LMQ</v>
      </c>
      <c r="K9" t="str">
        <v>SUP-PTU-8011</v>
      </c>
      <c r="L9" t="str">
        <v>SUP-TDS-8001</v>
      </c>
      <c r="M9" t="str">
        <v>SUP-PH8001</v>
      </c>
      <c r="N9" t="str">
        <v>SUP-PTU300</v>
      </c>
      <c r="O9" t="str">
        <v>SUP-ADI7000</v>
      </c>
      <c r="P9" t="str">
        <v>SUP-DO-7018</v>
      </c>
      <c r="Q9" t="str">
        <v>SUP-ORP8001</v>
      </c>
      <c r="R9" t="str">
        <v>SUP-PSS9011</v>
      </c>
      <c r="S9" t="str">
        <v>SUP-MPP1000</v>
      </c>
    </row>
    <row r="10" spans="1:19" x14ac:dyDescent="0.3">
      <c r="A10" t="str">
        <f>Tabla27[[#This Row],[Agrupación]]</f>
        <v>Soporte</v>
      </c>
      <c r="B10" t="str" cm="1">
        <f t="array" ref="B10:D10">TRANSPOSE((_xlfn._xlws.FILTER(INDEX(ProductosPivot!$C$6:$E$1000,,MATCH($A10,ProductosPivot!$C$5:$E$5,0)),INDEX(ProductosPivot!$C$6:$E$1000,,MATCH($A10,ProductosPivot!$C$5:$E$5,0))&lt;&gt;"","No hay nada")))</f>
        <v>Soporte simple</v>
      </c>
      <c r="C10" t="str">
        <v>SUP-PTU8011-Pipeline Mount Kit</v>
      </c>
      <c r="D10" t="str">
        <v>SUP-ADI7000-Flow-Cell</v>
      </c>
    </row>
    <row r="11" spans="1:19" x14ac:dyDescent="0.3">
      <c r="A11" t="str">
        <f>Tabla27[[#This Row],[Agrupación]]</f>
        <v>Sensor</v>
      </c>
      <c r="B11" t="str" cm="1">
        <f t="array" ref="B11:S11">TRANSPOSE((_xlfn._xlws.FILTER(INDEX(ProductosPivot!$C$6:$E$1000,,MATCH($A11,ProductosPivot!$C$5:$E$5,0)),INDEX(ProductosPivot!$C$6:$E$1000,,MATCH($A11,ProductosPivot!$C$5:$E$5,0))&lt;&gt;"","No hay nada")))</f>
        <v>ORP-RDSOR</v>
      </c>
      <c r="C11" t="str">
        <v>RD-WPHIT</v>
      </c>
      <c r="D11" t="str">
        <v>RD-TSS-03</v>
      </c>
      <c r="E11" t="str">
        <v>RD-WNT-02</v>
      </c>
      <c r="F11" t="str">
        <v>RD-OIW-
01</v>
      </c>
      <c r="G11" t="str">
        <v>RDCBT3IN1-01</v>
      </c>
      <c r="H11" t="str">
        <v>TUF-2000S-02</v>
      </c>
      <c r="I11" t="str">
        <v>BGT-RD101</v>
      </c>
      <c r="J11" t="str">
        <v>SUP-LMQ</v>
      </c>
      <c r="K11" t="str">
        <v>SUP-PTU-8011</v>
      </c>
      <c r="L11" t="str">
        <v>SUP-TDS-8001</v>
      </c>
      <c r="M11" t="str">
        <v>SUP-PH8001</v>
      </c>
      <c r="N11" t="str">
        <v>SUP-PTU300</v>
      </c>
      <c r="O11" t="str">
        <v>SUP-ADI7000</v>
      </c>
      <c r="P11" t="str">
        <v>SUP-DO-7018</v>
      </c>
      <c r="Q11" t="str">
        <v>SUP-ORP8001</v>
      </c>
      <c r="R11" t="str">
        <v>SUP-PSS9011</v>
      </c>
      <c r="S11" t="str">
        <v>SUP-MPP1000</v>
      </c>
    </row>
    <row r="12" spans="1:19" x14ac:dyDescent="0.3">
      <c r="A12" t="str">
        <f>Tabla27[[#This Row],[Agrupación]]</f>
        <v>Sensor</v>
      </c>
      <c r="B12" t="str" cm="1">
        <f t="array" ref="B12:S12">TRANSPOSE((_xlfn._xlws.FILTER(INDEX(ProductosPivot!$C$6:$E$1000,,MATCH($A12,ProductosPivot!$C$5:$E$5,0)),INDEX(ProductosPivot!$C$6:$E$1000,,MATCH($A12,ProductosPivot!$C$5:$E$5,0))&lt;&gt;"","No hay nada")))</f>
        <v>ORP-RDSOR</v>
      </c>
      <c r="C12" t="str">
        <v>RD-WPHIT</v>
      </c>
      <c r="D12" t="str">
        <v>RD-TSS-03</v>
      </c>
      <c r="E12" t="str">
        <v>RD-WNT-02</v>
      </c>
      <c r="F12" t="str">
        <v>RD-OIW-
01</v>
      </c>
      <c r="G12" t="str">
        <v>RDCBT3IN1-01</v>
      </c>
      <c r="H12" t="str">
        <v>TUF-2000S-02</v>
      </c>
      <c r="I12" t="str">
        <v>BGT-RD101</v>
      </c>
      <c r="J12" t="str">
        <v>SUP-LMQ</v>
      </c>
      <c r="K12" t="str">
        <v>SUP-PTU-8011</v>
      </c>
      <c r="L12" t="str">
        <v>SUP-TDS-8001</v>
      </c>
      <c r="M12" t="str">
        <v>SUP-PH8001</v>
      </c>
      <c r="N12" t="str">
        <v>SUP-PTU300</v>
      </c>
      <c r="O12" t="str">
        <v>SUP-ADI7000</v>
      </c>
      <c r="P12" t="str">
        <v>SUP-DO-7018</v>
      </c>
      <c r="Q12" t="str">
        <v>SUP-ORP8001</v>
      </c>
      <c r="R12" t="str">
        <v>SUP-PSS9011</v>
      </c>
      <c r="S12" t="str">
        <v>SUP-MPP1000</v>
      </c>
    </row>
    <row r="13" spans="1:19" x14ac:dyDescent="0.3">
      <c r="A13" t="str">
        <f>Tabla27[[#This Row],[Agrupación]]</f>
        <v>Soporte</v>
      </c>
      <c r="B13" t="str" cm="1">
        <f t="array" ref="B13:D13">TRANSPOSE((_xlfn._xlws.FILTER(INDEX(ProductosPivot!$C$6:$E$1000,,MATCH($A13,ProductosPivot!$C$5:$E$5,0)),INDEX(ProductosPivot!$C$6:$E$1000,,MATCH($A13,ProductosPivot!$C$5:$E$5,0))&lt;&gt;"","No hay nada")))</f>
        <v>Soporte simple</v>
      </c>
      <c r="C13" t="str">
        <v>SUP-PTU8011-Pipeline Mount Kit</v>
      </c>
      <c r="D13" t="str">
        <v>SUP-ADI7000-Flow-Cell</v>
      </c>
    </row>
    <row r="14" spans="1:19" x14ac:dyDescent="0.3">
      <c r="A14" t="str">
        <f>Tabla27[[#This Row],[Agrupación]]</f>
        <v>Soporte</v>
      </c>
      <c r="B14" t="str" cm="1">
        <f t="array" ref="B14:D14">TRANSPOSE((_xlfn._xlws.FILTER(INDEX(ProductosPivot!$C$6:$E$1000,,MATCH($A14,ProductosPivot!$C$5:$E$5,0)),INDEX(ProductosPivot!$C$6:$E$1000,,MATCH($A14,ProductosPivot!$C$5:$E$5,0))&lt;&gt;"","No hay nada")))</f>
        <v>Soporte simple</v>
      </c>
      <c r="C14" t="str">
        <v>SUP-PTU8011-Pipeline Mount Kit</v>
      </c>
      <c r="D14" t="str">
        <v>SUP-ADI7000-Flow-Cell</v>
      </c>
    </row>
    <row r="15" spans="1:19" x14ac:dyDescent="0.3">
      <c r="A15" t="str">
        <f>Tabla27[[#This Row],[Agrupación]]</f>
        <v>RTU</v>
      </c>
      <c r="B15" t="str" cm="1">
        <f t="array" ref="B15">TRANSPOSE((_xlfn._xlws.FILTER(INDEX(ProductosPivot!$C$6:$E$1000,,MATCH($A15,ProductosPivot!$C$5:$E$5,0)),INDEX(ProductosPivot!$C$6:$E$1000,,MATCH($A15,ProductosPivot!$C$5:$E$5,0))&lt;&gt;"","No hay nada")))</f>
        <v>VigíaBox Neo</v>
      </c>
    </row>
    <row r="16" spans="1:19" x14ac:dyDescent="0.3">
      <c r="A16" t="str">
        <f>Tabla27[[#This Row],[Agrupación]]</f>
        <v>Sensor</v>
      </c>
      <c r="B16" t="str" cm="1">
        <f t="array" ref="B16:S16">TRANSPOSE((_xlfn._xlws.FILTER(INDEX(ProductosPivot!$C$6:$E$1000,,MATCH($A16,ProductosPivot!$C$5:$E$5,0)),INDEX(ProductosPivot!$C$6:$E$1000,,MATCH($A16,ProductosPivot!$C$5:$E$5,0))&lt;&gt;"","No hay nada")))</f>
        <v>ORP-RDSOR</v>
      </c>
      <c r="C16" t="str">
        <v>RD-WPHIT</v>
      </c>
      <c r="D16" t="str">
        <v>RD-TSS-03</v>
      </c>
      <c r="E16" t="str">
        <v>RD-WNT-02</v>
      </c>
      <c r="F16" t="str">
        <v>RD-OIW-
01</v>
      </c>
      <c r="G16" t="str">
        <v>RDCBT3IN1-01</v>
      </c>
      <c r="H16" t="str">
        <v>TUF-2000S-02</v>
      </c>
      <c r="I16" t="str">
        <v>BGT-RD101</v>
      </c>
      <c r="J16" t="str">
        <v>SUP-LMQ</v>
      </c>
      <c r="K16" t="str">
        <v>SUP-PTU-8011</v>
      </c>
      <c r="L16" t="str">
        <v>SUP-TDS-8001</v>
      </c>
      <c r="M16" t="str">
        <v>SUP-PH8001</v>
      </c>
      <c r="N16" t="str">
        <v>SUP-PTU300</v>
      </c>
      <c r="O16" t="str">
        <v>SUP-ADI7000</v>
      </c>
      <c r="P16" t="str">
        <v>SUP-DO-7018</v>
      </c>
      <c r="Q16" t="str">
        <v>SUP-ORP8001</v>
      </c>
      <c r="R16" t="str">
        <v>SUP-PSS9011</v>
      </c>
      <c r="S16" t="str">
        <v>SUP-MPP1000</v>
      </c>
    </row>
    <row r="17" spans="1:19" x14ac:dyDescent="0.3">
      <c r="A17" t="str">
        <f>Tabla27[[#This Row],[Agrupación]]</f>
        <v>Sensor</v>
      </c>
      <c r="B17" t="str" cm="1">
        <f t="array" ref="B17:S17">TRANSPOSE((_xlfn._xlws.FILTER(INDEX(ProductosPivot!$C$6:$E$1000,,MATCH($A17,ProductosPivot!$C$5:$E$5,0)),INDEX(ProductosPivot!$C$6:$E$1000,,MATCH($A17,ProductosPivot!$C$5:$E$5,0))&lt;&gt;"","No hay nada")))</f>
        <v>ORP-RDSOR</v>
      </c>
      <c r="C17" t="str">
        <v>RD-WPHIT</v>
      </c>
      <c r="D17" t="str">
        <v>RD-TSS-03</v>
      </c>
      <c r="E17" t="str">
        <v>RD-WNT-02</v>
      </c>
      <c r="F17" t="str">
        <v>RD-OIW-
01</v>
      </c>
      <c r="G17" t="str">
        <v>RDCBT3IN1-01</v>
      </c>
      <c r="H17" t="str">
        <v>TUF-2000S-02</v>
      </c>
      <c r="I17" t="str">
        <v>BGT-RD101</v>
      </c>
      <c r="J17" t="str">
        <v>SUP-LMQ</v>
      </c>
      <c r="K17" t="str">
        <v>SUP-PTU-8011</v>
      </c>
      <c r="L17" t="str">
        <v>SUP-TDS-8001</v>
      </c>
      <c r="M17" t="str">
        <v>SUP-PH8001</v>
      </c>
      <c r="N17" t="str">
        <v>SUP-PTU300</v>
      </c>
      <c r="O17" t="str">
        <v>SUP-ADI7000</v>
      </c>
      <c r="P17" t="str">
        <v>SUP-DO-7018</v>
      </c>
      <c r="Q17" t="str">
        <v>SUP-ORP8001</v>
      </c>
      <c r="R17" t="str">
        <v>SUP-PSS9011</v>
      </c>
      <c r="S17" t="str">
        <v>SUP-MPP1000</v>
      </c>
    </row>
    <row r="18" spans="1:19" x14ac:dyDescent="0.3">
      <c r="A18" t="str">
        <f>Tabla27[[#This Row],[Agrupación]]</f>
        <v>Soporte</v>
      </c>
      <c r="B18" t="str" cm="1">
        <f t="array" ref="B18:D18">TRANSPOSE((_xlfn._xlws.FILTER(INDEX(ProductosPivot!$C$6:$E$1000,,MATCH($A18,ProductosPivot!$C$5:$E$5,0)),INDEX(ProductosPivot!$C$6:$E$1000,,MATCH($A18,ProductosPivot!$C$5:$E$5,0))&lt;&gt;"","No hay nada")))</f>
        <v>Soporte simple</v>
      </c>
      <c r="C18" t="str">
        <v>SUP-PTU8011-Pipeline Mount Kit</v>
      </c>
      <c r="D18" t="str">
        <v>SUP-ADI7000-Flow-Cell</v>
      </c>
    </row>
    <row r="19" spans="1:19" x14ac:dyDescent="0.3">
      <c r="A19" t="str">
        <f>Tabla27[[#This Row],[Agrupación]]</f>
        <v>Sensor</v>
      </c>
      <c r="B19" t="str" cm="1">
        <f t="array" ref="B19:S19">TRANSPOSE((_xlfn._xlws.FILTER(INDEX(ProductosPivot!$C$6:$E$1000,,MATCH($A19,ProductosPivot!$C$5:$E$5,0)),INDEX(ProductosPivot!$C$6:$E$1000,,MATCH($A19,ProductosPivot!$C$5:$E$5,0))&lt;&gt;"","No hay nada")))</f>
        <v>ORP-RDSOR</v>
      </c>
      <c r="C19" t="str">
        <v>RD-WPHIT</v>
      </c>
      <c r="D19" t="str">
        <v>RD-TSS-03</v>
      </c>
      <c r="E19" t="str">
        <v>RD-WNT-02</v>
      </c>
      <c r="F19" t="str">
        <v>RD-OIW-
01</v>
      </c>
      <c r="G19" t="str">
        <v>RDCBT3IN1-01</v>
      </c>
      <c r="H19" t="str">
        <v>TUF-2000S-02</v>
      </c>
      <c r="I19" t="str">
        <v>BGT-RD101</v>
      </c>
      <c r="J19" t="str">
        <v>SUP-LMQ</v>
      </c>
      <c r="K19" t="str">
        <v>SUP-PTU-8011</v>
      </c>
      <c r="L19" t="str">
        <v>SUP-TDS-8001</v>
      </c>
      <c r="M19" t="str">
        <v>SUP-PH8001</v>
      </c>
      <c r="N19" t="str">
        <v>SUP-PTU300</v>
      </c>
      <c r="O19" t="str">
        <v>SUP-ADI7000</v>
      </c>
      <c r="P19" t="str">
        <v>SUP-DO-7018</v>
      </c>
      <c r="Q19" t="str">
        <v>SUP-ORP8001</v>
      </c>
      <c r="R19" t="str">
        <v>SUP-PSS9011</v>
      </c>
      <c r="S19" t="str">
        <v>SUP-MPP1000</v>
      </c>
    </row>
    <row r="20" spans="1:19" x14ac:dyDescent="0.3">
      <c r="A20" t="str">
        <f>Tabla27[[#This Row],[Agrupación]]</f>
        <v>RTU</v>
      </c>
      <c r="B20" t="str" cm="1">
        <f t="array" ref="B20">TRANSPOSE((_xlfn._xlws.FILTER(INDEX(ProductosPivot!$C$6:$E$1000,,MATCH($A20,ProductosPivot!$C$5:$E$5,0)),INDEX(ProductosPivot!$C$6:$E$1000,,MATCH($A20,ProductosPivot!$C$5:$E$5,0))&lt;&gt;"","No hay nada")))</f>
        <v>VigíaBox Neo</v>
      </c>
    </row>
    <row r="21" spans="1:19" x14ac:dyDescent="0.3">
      <c r="A21" t="str">
        <f>Tabla27[[#This Row],[Agrupación]]</f>
        <v>Sensor</v>
      </c>
      <c r="B21" t="str" cm="1">
        <f t="array" ref="B21:S21">TRANSPOSE((_xlfn._xlws.FILTER(INDEX(ProductosPivot!$C$6:$E$1000,,MATCH($A21,ProductosPivot!$C$5:$E$5,0)),INDEX(ProductosPivot!$C$6:$E$1000,,MATCH($A21,ProductosPivot!$C$5:$E$5,0))&lt;&gt;"","No hay nada")))</f>
        <v>ORP-RDSOR</v>
      </c>
      <c r="C21" t="str">
        <v>RD-WPHIT</v>
      </c>
      <c r="D21" t="str">
        <v>RD-TSS-03</v>
      </c>
      <c r="E21" t="str">
        <v>RD-WNT-02</v>
      </c>
      <c r="F21" t="str">
        <v>RD-OIW-
01</v>
      </c>
      <c r="G21" t="str">
        <v>RDCBT3IN1-01</v>
      </c>
      <c r="H21" t="str">
        <v>TUF-2000S-02</v>
      </c>
      <c r="I21" t="str">
        <v>BGT-RD101</v>
      </c>
      <c r="J21" t="str">
        <v>SUP-LMQ</v>
      </c>
      <c r="K21" t="str">
        <v>SUP-PTU-8011</v>
      </c>
      <c r="L21" t="str">
        <v>SUP-TDS-8001</v>
      </c>
      <c r="M21" t="str">
        <v>SUP-PH8001</v>
      </c>
      <c r="N21" t="str">
        <v>SUP-PTU300</v>
      </c>
      <c r="O21" t="str">
        <v>SUP-ADI7000</v>
      </c>
      <c r="P21" t="str">
        <v>SUP-DO-7018</v>
      </c>
      <c r="Q21" t="str">
        <v>SUP-ORP8001</v>
      </c>
      <c r="R21" t="str">
        <v>SUP-PSS9011</v>
      </c>
      <c r="S21" t="str">
        <v>SUP-MPP1000</v>
      </c>
    </row>
    <row r="22" spans="1:19" x14ac:dyDescent="0.3">
      <c r="A22" t="str">
        <f>Tabla27[[#This Row],[Agrupación]]</f>
        <v>Sensor</v>
      </c>
      <c r="B22" t="str" cm="1">
        <f t="array" ref="B22:S22">TRANSPOSE((_xlfn._xlws.FILTER(INDEX(ProductosPivot!$C$6:$E$1000,,MATCH($A22,ProductosPivot!$C$5:$E$5,0)),INDEX(ProductosPivot!$C$6:$E$1000,,MATCH($A22,ProductosPivot!$C$5:$E$5,0))&lt;&gt;"","No hay nada")))</f>
        <v>ORP-RDSOR</v>
      </c>
      <c r="C22" t="str">
        <v>RD-WPHIT</v>
      </c>
      <c r="D22" t="str">
        <v>RD-TSS-03</v>
      </c>
      <c r="E22" t="str">
        <v>RD-WNT-02</v>
      </c>
      <c r="F22" t="str">
        <v>RD-OIW-
01</v>
      </c>
      <c r="G22" t="str">
        <v>RDCBT3IN1-01</v>
      </c>
      <c r="H22" t="str">
        <v>TUF-2000S-02</v>
      </c>
      <c r="I22" t="str">
        <v>BGT-RD101</v>
      </c>
      <c r="J22" t="str">
        <v>SUP-LMQ</v>
      </c>
      <c r="K22" t="str">
        <v>SUP-PTU-8011</v>
      </c>
      <c r="L22" t="str">
        <v>SUP-TDS-8001</v>
      </c>
      <c r="M22" t="str">
        <v>SUP-PH8001</v>
      </c>
      <c r="N22" t="str">
        <v>SUP-PTU300</v>
      </c>
      <c r="O22" t="str">
        <v>SUP-ADI7000</v>
      </c>
      <c r="P22" t="str">
        <v>SUP-DO-7018</v>
      </c>
      <c r="Q22" t="str">
        <v>SUP-ORP8001</v>
      </c>
      <c r="R22" t="str">
        <v>SUP-PSS9011</v>
      </c>
      <c r="S22" t="str">
        <v>SUP-MPP1000</v>
      </c>
    </row>
    <row r="23" spans="1:19" x14ac:dyDescent="0.3">
      <c r="A23" t="str">
        <f>Tabla27[[#This Row],[Agrupación]]</f>
        <v>Sensor</v>
      </c>
      <c r="B23" t="str" cm="1">
        <f t="array" ref="B23:S23">TRANSPOSE((_xlfn._xlws.FILTER(INDEX(ProductosPivot!$C$6:$E$1000,,MATCH($A23,ProductosPivot!$C$5:$E$5,0)),INDEX(ProductosPivot!$C$6:$E$1000,,MATCH($A23,ProductosPivot!$C$5:$E$5,0))&lt;&gt;"","No hay nada")))</f>
        <v>ORP-RDSOR</v>
      </c>
      <c r="C23" t="str">
        <v>RD-WPHIT</v>
      </c>
      <c r="D23" t="str">
        <v>RD-TSS-03</v>
      </c>
      <c r="E23" t="str">
        <v>RD-WNT-02</v>
      </c>
      <c r="F23" t="str">
        <v>RD-OIW-
01</v>
      </c>
      <c r="G23" t="str">
        <v>RDCBT3IN1-01</v>
      </c>
      <c r="H23" t="str">
        <v>TUF-2000S-02</v>
      </c>
      <c r="I23" t="str">
        <v>BGT-RD101</v>
      </c>
      <c r="J23" t="str">
        <v>SUP-LMQ</v>
      </c>
      <c r="K23" t="str">
        <v>SUP-PTU-8011</v>
      </c>
      <c r="L23" t="str">
        <v>SUP-TDS-8001</v>
      </c>
      <c r="M23" t="str">
        <v>SUP-PH8001</v>
      </c>
      <c r="N23" t="str">
        <v>SUP-PTU300</v>
      </c>
      <c r="O23" t="str">
        <v>SUP-ADI7000</v>
      </c>
      <c r="P23" t="str">
        <v>SUP-DO-7018</v>
      </c>
      <c r="Q23" t="str">
        <v>SUP-ORP8001</v>
      </c>
      <c r="R23" t="str">
        <v>SUP-PSS9011</v>
      </c>
      <c r="S23" t="str">
        <v>SUP-MPP1000</v>
      </c>
    </row>
    <row r="24" spans="1:19" x14ac:dyDescent="0.3">
      <c r="A24" t="str">
        <f>Tabla27[[#This Row],[Agrupación]]</f>
        <v>Sensor</v>
      </c>
      <c r="B24" t="str" cm="1">
        <f t="array" ref="B24:S24">TRANSPOSE((_xlfn._xlws.FILTER(INDEX(ProductosPivot!$C$6:$E$1000,,MATCH($A24,ProductosPivot!$C$5:$E$5,0)),INDEX(ProductosPivot!$C$6:$E$1000,,MATCH($A24,ProductosPivot!$C$5:$E$5,0))&lt;&gt;"","No hay nada")))</f>
        <v>ORP-RDSOR</v>
      </c>
      <c r="C24" t="str">
        <v>RD-WPHIT</v>
      </c>
      <c r="D24" t="str">
        <v>RD-TSS-03</v>
      </c>
      <c r="E24" t="str">
        <v>RD-WNT-02</v>
      </c>
      <c r="F24" t="str">
        <v>RD-OIW-
01</v>
      </c>
      <c r="G24" t="str">
        <v>RDCBT3IN1-01</v>
      </c>
      <c r="H24" t="str">
        <v>TUF-2000S-02</v>
      </c>
      <c r="I24" t="str">
        <v>BGT-RD101</v>
      </c>
      <c r="J24" t="str">
        <v>SUP-LMQ</v>
      </c>
      <c r="K24" t="str">
        <v>SUP-PTU-8011</v>
      </c>
      <c r="L24" t="str">
        <v>SUP-TDS-8001</v>
      </c>
      <c r="M24" t="str">
        <v>SUP-PH8001</v>
      </c>
      <c r="N24" t="str">
        <v>SUP-PTU300</v>
      </c>
      <c r="O24" t="str">
        <v>SUP-ADI7000</v>
      </c>
      <c r="P24" t="str">
        <v>SUP-DO-7018</v>
      </c>
      <c r="Q24" t="str">
        <v>SUP-ORP8001</v>
      </c>
      <c r="R24" t="str">
        <v>SUP-PSS9011</v>
      </c>
      <c r="S24" t="str">
        <v>SUP-MPP1000</v>
      </c>
    </row>
    <row r="25" spans="1:19" x14ac:dyDescent="0.3">
      <c r="A25" t="str">
        <f>Tabla27[[#This Row],[Agrupación]]</f>
        <v>Soporte</v>
      </c>
      <c r="B25" t="str" cm="1">
        <f t="array" ref="B25:D25">TRANSPOSE((_xlfn._xlws.FILTER(INDEX(ProductosPivot!$C$6:$E$1000,,MATCH($A25,ProductosPivot!$C$5:$E$5,0)),INDEX(ProductosPivot!$C$6:$E$1000,,MATCH($A25,ProductosPivot!$C$5:$E$5,0))&lt;&gt;"","No hay nada")))</f>
        <v>Soporte simple</v>
      </c>
      <c r="C25" t="str">
        <v>SUP-PTU8011-Pipeline Mount Kit</v>
      </c>
      <c r="D25" t="str">
        <v>SUP-ADI7000-Flow-Cell</v>
      </c>
    </row>
    <row r="26" spans="1:19" x14ac:dyDescent="0.3">
      <c r="A26" t="str">
        <f>Tabla27[[#This Row],[Agrupación]]</f>
        <v>Soporte</v>
      </c>
      <c r="B26" t="str" cm="1">
        <f t="array" ref="B26:D26">TRANSPOSE((_xlfn._xlws.FILTER(INDEX(ProductosPivot!$C$6:$E$1000,,MATCH($A26,ProductosPivot!$C$5:$E$5,0)),INDEX(ProductosPivot!$C$6:$E$1000,,MATCH($A26,ProductosPivot!$C$5:$E$5,0))&lt;&gt;"","No hay nada")))</f>
        <v>Soporte simple</v>
      </c>
      <c r="C26" t="str">
        <v>SUP-PTU8011-Pipeline Mount Kit</v>
      </c>
      <c r="D26" t="str">
        <v>SUP-ADI7000-Flow-Cell</v>
      </c>
    </row>
    <row r="27" spans="1:19" x14ac:dyDescent="0.3">
      <c r="A27" t="str">
        <f>Tabla27[[#This Row],[Agrupación]]</f>
        <v>RTU</v>
      </c>
      <c r="B27" t="str" cm="1">
        <f t="array" ref="B27">TRANSPOSE((_xlfn._xlws.FILTER(INDEX(ProductosPivot!$C$6:$E$1000,,MATCH($A27,ProductosPivot!$C$5:$E$5,0)),INDEX(ProductosPivot!$C$6:$E$1000,,MATCH($A27,ProductosPivot!$C$5:$E$5,0))&lt;&gt;"","No hay nada")))</f>
        <v>VigíaBox Neo</v>
      </c>
    </row>
    <row r="28" spans="1:19" x14ac:dyDescent="0.3">
      <c r="A28" t="str">
        <f>Tabla27[[#This Row],[Agrupación]]</f>
        <v>Sensor</v>
      </c>
      <c r="B28" t="str" cm="1">
        <f t="array" ref="B28:S28">TRANSPOSE((_xlfn._xlws.FILTER(INDEX(ProductosPivot!$C$6:$E$1000,,MATCH($A28,ProductosPivot!$C$5:$E$5,0)),INDEX(ProductosPivot!$C$6:$E$1000,,MATCH($A28,ProductosPivot!$C$5:$E$5,0))&lt;&gt;"","No hay nada")))</f>
        <v>ORP-RDSOR</v>
      </c>
      <c r="C28" t="str">
        <v>RD-WPHIT</v>
      </c>
      <c r="D28" t="str">
        <v>RD-TSS-03</v>
      </c>
      <c r="E28" t="str">
        <v>RD-WNT-02</v>
      </c>
      <c r="F28" t="str">
        <v>RD-OIW-
01</v>
      </c>
      <c r="G28" t="str">
        <v>RDCBT3IN1-01</v>
      </c>
      <c r="H28" t="str">
        <v>TUF-2000S-02</v>
      </c>
      <c r="I28" t="str">
        <v>BGT-RD101</v>
      </c>
      <c r="J28" t="str">
        <v>SUP-LMQ</v>
      </c>
      <c r="K28" t="str">
        <v>SUP-PTU-8011</v>
      </c>
      <c r="L28" t="str">
        <v>SUP-TDS-8001</v>
      </c>
      <c r="M28" t="str">
        <v>SUP-PH8001</v>
      </c>
      <c r="N28" t="str">
        <v>SUP-PTU300</v>
      </c>
      <c r="O28" t="str">
        <v>SUP-ADI7000</v>
      </c>
      <c r="P28" t="str">
        <v>SUP-DO-7018</v>
      </c>
      <c r="Q28" t="str">
        <v>SUP-ORP8001</v>
      </c>
      <c r="R28" t="str">
        <v>SUP-PSS9011</v>
      </c>
      <c r="S28" t="str">
        <v>SUP-MPP1000</v>
      </c>
    </row>
    <row r="29" spans="1:19" x14ac:dyDescent="0.3">
      <c r="A29" t="str">
        <f>Tabla27[[#This Row],[Agrupación]]</f>
        <v>Sensor</v>
      </c>
      <c r="B29" t="str" cm="1">
        <f t="array" ref="B29:S29">TRANSPOSE((_xlfn._xlws.FILTER(INDEX(ProductosPivot!$C$6:$E$1000,,MATCH($A29,ProductosPivot!$C$5:$E$5,0)),INDEX(ProductosPivot!$C$6:$E$1000,,MATCH($A29,ProductosPivot!$C$5:$E$5,0))&lt;&gt;"","No hay nada")))</f>
        <v>ORP-RDSOR</v>
      </c>
      <c r="C29" t="str">
        <v>RD-WPHIT</v>
      </c>
      <c r="D29" t="str">
        <v>RD-TSS-03</v>
      </c>
      <c r="E29" t="str">
        <v>RD-WNT-02</v>
      </c>
      <c r="F29" t="str">
        <v>RD-OIW-
01</v>
      </c>
      <c r="G29" t="str">
        <v>RDCBT3IN1-01</v>
      </c>
      <c r="H29" t="str">
        <v>TUF-2000S-02</v>
      </c>
      <c r="I29" t="str">
        <v>BGT-RD101</v>
      </c>
      <c r="J29" t="str">
        <v>SUP-LMQ</v>
      </c>
      <c r="K29" t="str">
        <v>SUP-PTU-8011</v>
      </c>
      <c r="L29" t="str">
        <v>SUP-TDS-8001</v>
      </c>
      <c r="M29" t="str">
        <v>SUP-PH8001</v>
      </c>
      <c r="N29" t="str">
        <v>SUP-PTU300</v>
      </c>
      <c r="O29" t="str">
        <v>SUP-ADI7000</v>
      </c>
      <c r="P29" t="str">
        <v>SUP-DO-7018</v>
      </c>
      <c r="Q29" t="str">
        <v>SUP-ORP8001</v>
      </c>
      <c r="R29" t="str">
        <v>SUP-PSS9011</v>
      </c>
      <c r="S29" t="str">
        <v>SUP-MPP1000</v>
      </c>
    </row>
    <row r="30" spans="1:19" x14ac:dyDescent="0.3">
      <c r="A30" t="str">
        <f>Tabla27[[#This Row],[Agrupación]]</f>
        <v>Sensor</v>
      </c>
      <c r="B30" t="str" cm="1">
        <f t="array" ref="B30:S30">TRANSPOSE((_xlfn._xlws.FILTER(INDEX(ProductosPivot!$C$6:$E$1000,,MATCH($A30,ProductosPivot!$C$5:$E$5,0)),INDEX(ProductosPivot!$C$6:$E$1000,,MATCH($A30,ProductosPivot!$C$5:$E$5,0))&lt;&gt;"","No hay nada")))</f>
        <v>ORP-RDSOR</v>
      </c>
      <c r="C30" t="str">
        <v>RD-WPHIT</v>
      </c>
      <c r="D30" t="str">
        <v>RD-TSS-03</v>
      </c>
      <c r="E30" t="str">
        <v>RD-WNT-02</v>
      </c>
      <c r="F30" t="str">
        <v>RD-OIW-
01</v>
      </c>
      <c r="G30" t="str">
        <v>RDCBT3IN1-01</v>
      </c>
      <c r="H30" t="str">
        <v>TUF-2000S-02</v>
      </c>
      <c r="I30" t="str">
        <v>BGT-RD101</v>
      </c>
      <c r="J30" t="str">
        <v>SUP-LMQ</v>
      </c>
      <c r="K30" t="str">
        <v>SUP-PTU-8011</v>
      </c>
      <c r="L30" t="str">
        <v>SUP-TDS-8001</v>
      </c>
      <c r="M30" t="str">
        <v>SUP-PH8001</v>
      </c>
      <c r="N30" t="str">
        <v>SUP-PTU300</v>
      </c>
      <c r="O30" t="str">
        <v>SUP-ADI7000</v>
      </c>
      <c r="P30" t="str">
        <v>SUP-DO-7018</v>
      </c>
      <c r="Q30" t="str">
        <v>SUP-ORP8001</v>
      </c>
      <c r="R30" t="str">
        <v>SUP-PSS9011</v>
      </c>
      <c r="S30" t="str">
        <v>SUP-MPP1000</v>
      </c>
    </row>
    <row r="31" spans="1:19" x14ac:dyDescent="0.3">
      <c r="A31" t="str">
        <f>Tabla27[[#This Row],[Agrupación]]</f>
        <v>Sensor</v>
      </c>
      <c r="B31" t="str" cm="1">
        <f t="array" ref="B31:S31">TRANSPOSE((_xlfn._xlws.FILTER(INDEX(ProductosPivot!$C$6:$E$1000,,MATCH($A31,ProductosPivot!$C$5:$E$5,0)),INDEX(ProductosPivot!$C$6:$E$1000,,MATCH($A31,ProductosPivot!$C$5:$E$5,0))&lt;&gt;"","No hay nada")))</f>
        <v>ORP-RDSOR</v>
      </c>
      <c r="C31" t="str">
        <v>RD-WPHIT</v>
      </c>
      <c r="D31" t="str">
        <v>RD-TSS-03</v>
      </c>
      <c r="E31" t="str">
        <v>RD-WNT-02</v>
      </c>
      <c r="F31" t="str">
        <v>RD-OIW-
01</v>
      </c>
      <c r="G31" t="str">
        <v>RDCBT3IN1-01</v>
      </c>
      <c r="H31" t="str">
        <v>TUF-2000S-02</v>
      </c>
      <c r="I31" t="str">
        <v>BGT-RD101</v>
      </c>
      <c r="J31" t="str">
        <v>SUP-LMQ</v>
      </c>
      <c r="K31" t="str">
        <v>SUP-PTU-8011</v>
      </c>
      <c r="L31" t="str">
        <v>SUP-TDS-8001</v>
      </c>
      <c r="M31" t="str">
        <v>SUP-PH8001</v>
      </c>
      <c r="N31" t="str">
        <v>SUP-PTU300</v>
      </c>
      <c r="O31" t="str">
        <v>SUP-ADI7000</v>
      </c>
      <c r="P31" t="str">
        <v>SUP-DO-7018</v>
      </c>
      <c r="Q31" t="str">
        <v>SUP-ORP8001</v>
      </c>
      <c r="R31" t="str">
        <v>SUP-PSS9011</v>
      </c>
      <c r="S31" t="str">
        <v>SUP-MPP1000</v>
      </c>
    </row>
    <row r="32" spans="1:19" x14ac:dyDescent="0.3">
      <c r="A32" t="str">
        <f>Tabla27[[#This Row],[Agrupación]]</f>
        <v>Sensor</v>
      </c>
      <c r="B32" t="str" cm="1">
        <f t="array" ref="B32:S32">TRANSPOSE((_xlfn._xlws.FILTER(INDEX(ProductosPivot!$C$6:$E$1000,,MATCH($A32,ProductosPivot!$C$5:$E$5,0)),INDEX(ProductosPivot!$C$6:$E$1000,,MATCH($A32,ProductosPivot!$C$5:$E$5,0))&lt;&gt;"","No hay nada")))</f>
        <v>ORP-RDSOR</v>
      </c>
      <c r="C32" t="str">
        <v>RD-WPHIT</v>
      </c>
      <c r="D32" t="str">
        <v>RD-TSS-03</v>
      </c>
      <c r="E32" t="str">
        <v>RD-WNT-02</v>
      </c>
      <c r="F32" t="str">
        <v>RD-OIW-
01</v>
      </c>
      <c r="G32" t="str">
        <v>RDCBT3IN1-01</v>
      </c>
      <c r="H32" t="str">
        <v>TUF-2000S-02</v>
      </c>
      <c r="I32" t="str">
        <v>BGT-RD101</v>
      </c>
      <c r="J32" t="str">
        <v>SUP-LMQ</v>
      </c>
      <c r="K32" t="str">
        <v>SUP-PTU-8011</v>
      </c>
      <c r="L32" t="str">
        <v>SUP-TDS-8001</v>
      </c>
      <c r="M32" t="str">
        <v>SUP-PH8001</v>
      </c>
      <c r="N32" t="str">
        <v>SUP-PTU300</v>
      </c>
      <c r="O32" t="str">
        <v>SUP-ADI7000</v>
      </c>
      <c r="P32" t="str">
        <v>SUP-DO-7018</v>
      </c>
      <c r="Q32" t="str">
        <v>SUP-ORP8001</v>
      </c>
      <c r="R32" t="str">
        <v>SUP-PSS9011</v>
      </c>
      <c r="S32" t="str">
        <v>SUP-MPP1000</v>
      </c>
    </row>
    <row r="33" spans="1:19" x14ac:dyDescent="0.3">
      <c r="A33" t="str">
        <f>Tabla27[[#This Row],[Agrupación]]</f>
        <v>Sensor</v>
      </c>
      <c r="B33" t="str" cm="1">
        <f t="array" ref="B33:S33">TRANSPOSE((_xlfn._xlws.FILTER(INDEX(ProductosPivot!$C$6:$E$1000,,MATCH($A33,ProductosPivot!$C$5:$E$5,0)),INDEX(ProductosPivot!$C$6:$E$1000,,MATCH($A33,ProductosPivot!$C$5:$E$5,0))&lt;&gt;"","No hay nada")))</f>
        <v>ORP-RDSOR</v>
      </c>
      <c r="C33" t="str">
        <v>RD-WPHIT</v>
      </c>
      <c r="D33" t="str">
        <v>RD-TSS-03</v>
      </c>
      <c r="E33" t="str">
        <v>RD-WNT-02</v>
      </c>
      <c r="F33" t="str">
        <v>RD-OIW-
01</v>
      </c>
      <c r="G33" t="str">
        <v>RDCBT3IN1-01</v>
      </c>
      <c r="H33" t="str">
        <v>TUF-2000S-02</v>
      </c>
      <c r="I33" t="str">
        <v>BGT-RD101</v>
      </c>
      <c r="J33" t="str">
        <v>SUP-LMQ</v>
      </c>
      <c r="K33" t="str">
        <v>SUP-PTU-8011</v>
      </c>
      <c r="L33" t="str">
        <v>SUP-TDS-8001</v>
      </c>
      <c r="M33" t="str">
        <v>SUP-PH8001</v>
      </c>
      <c r="N33" t="str">
        <v>SUP-PTU300</v>
      </c>
      <c r="O33" t="str">
        <v>SUP-ADI7000</v>
      </c>
      <c r="P33" t="str">
        <v>SUP-DO-7018</v>
      </c>
      <c r="Q33" t="str">
        <v>SUP-ORP8001</v>
      </c>
      <c r="R33" t="str">
        <v>SUP-PSS9011</v>
      </c>
      <c r="S33" t="str">
        <v>SUP-MPP1000</v>
      </c>
    </row>
    <row r="34" spans="1:19" x14ac:dyDescent="0.3">
      <c r="A34" t="str">
        <f>Tabla27[[#This Row],[Agrupación]]</f>
        <v>Soporte</v>
      </c>
      <c r="B34" t="str" cm="1">
        <f t="array" ref="B34:D34">TRANSPOSE((_xlfn._xlws.FILTER(INDEX(ProductosPivot!$C$6:$E$1000,,MATCH($A34,ProductosPivot!$C$5:$E$5,0)),INDEX(ProductosPivot!$C$6:$E$1000,,MATCH($A34,ProductosPivot!$C$5:$E$5,0))&lt;&gt;"","No hay nada")))</f>
        <v>Soporte simple</v>
      </c>
      <c r="C34" t="str">
        <v>SUP-PTU8011-Pipeline Mount Kit</v>
      </c>
      <c r="D34" t="str">
        <v>SUP-ADI7000-Flow-Cell</v>
      </c>
    </row>
    <row r="35" spans="1:19" x14ac:dyDescent="0.3">
      <c r="A35" t="str">
        <f>Tabla27[[#This Row],[Agrupación]]</f>
        <v>Soporte</v>
      </c>
      <c r="B35" t="str" cm="1">
        <f t="array" ref="B35:D35">TRANSPOSE((_xlfn._xlws.FILTER(INDEX(ProductosPivot!$C$6:$E$1000,,MATCH($A35,ProductosPivot!$C$5:$E$5,0)),INDEX(ProductosPivot!$C$6:$E$1000,,MATCH($A35,ProductosPivot!$C$5:$E$5,0))&lt;&gt;"","No hay nada")))</f>
        <v>Soporte simple</v>
      </c>
      <c r="C35" t="str">
        <v>SUP-PTU8011-Pipeline Mount Kit</v>
      </c>
      <c r="D35" t="str">
        <v>SUP-ADI7000-Flow-Cell</v>
      </c>
    </row>
    <row r="36" spans="1:19" x14ac:dyDescent="0.3">
      <c r="A36">
        <f>Tabla27[[#This Row],[Agrupación]]</f>
        <v>0</v>
      </c>
      <c r="B36" t="e" cm="1">
        <f t="array" ref="B36">TRANSPOSE((_xlfn._xlws.FILTER(INDEX(ProductosPivot!$C$6:$E$1000,,MATCH($A36,ProductosPivot!$C$5:$E$5,0)),INDEX(ProductosPivot!$C$6:$E$1000,,MATCH($A36,ProductosPivot!$C$5:$E$5,0))&lt;&gt;"","No hay nada")))</f>
        <v>#N/A</v>
      </c>
    </row>
    <row r="37" spans="1:19" x14ac:dyDescent="0.3">
      <c r="A37" t="e">
        <f>Tabla27[[#This Row],[Agrupación]]</f>
        <v>#VALUE!</v>
      </c>
      <c r="B37" t="e" cm="1">
        <f t="array" ref="B37">TRANSPOSE((_xlfn._xlws.FILTER(INDEX(ProductosPivot!$C$6:$E$1000,,MATCH($A37,ProductosPivot!$C$5:$E$5,0)),INDEX(ProductosPivot!$C$6:$E$1000,,MATCH($A37,ProductosPivot!$C$5:$E$5,0))&lt;&gt;"","No hay nada")))</f>
        <v>#VALUE!</v>
      </c>
    </row>
    <row r="38" spans="1:19" x14ac:dyDescent="0.3">
      <c r="A38" t="e">
        <f>Tabla27[[#This Row],[Agrupación]]</f>
        <v>#VALUE!</v>
      </c>
      <c r="B38" t="e" cm="1">
        <f t="array" ref="B38">TRANSPOSE((_xlfn._xlws.FILTER(INDEX(ProductosPivot!$C$6:$E$1000,,MATCH($A38,ProductosPivot!$C$5:$E$5,0)),INDEX(ProductosPivot!$C$6:$E$1000,,MATCH($A38,ProductosPivot!$C$5:$E$5,0))&lt;&gt;"","No hay nada")))</f>
        <v>#VALUE!</v>
      </c>
    </row>
    <row r="39" spans="1:19" x14ac:dyDescent="0.3">
      <c r="A39" t="e">
        <f>Tabla27[[#This Row],[Agrupación]]</f>
        <v>#VALUE!</v>
      </c>
      <c r="B39" t="e" cm="1">
        <f t="array" ref="B39">TRANSPOSE((_xlfn._xlws.FILTER(INDEX(ProductosPivot!$C$6:$E$1000,,MATCH($A39,ProductosPivot!$C$5:$E$5,0)),INDEX(ProductosPivot!$C$6:$E$1000,,MATCH($A39,ProductosPivot!$C$5:$E$5,0))&lt;&gt;"","No hay nada")))</f>
        <v>#VALUE!</v>
      </c>
    </row>
    <row r="40" spans="1:19" x14ac:dyDescent="0.3">
      <c r="A40" t="e">
        <f>Tabla27[[#This Row],[Agrupación]]</f>
        <v>#VALUE!</v>
      </c>
      <c r="B40" t="e" cm="1">
        <f t="array" ref="B40">TRANSPOSE((_xlfn._xlws.FILTER(INDEX(ProductosPivot!$C$6:$E$1000,,MATCH($A40,ProductosPivot!$C$5:$E$5,0)),INDEX(ProductosPivot!$C$6:$E$1000,,MATCH($A40,ProductosPivot!$C$5:$E$5,0))&lt;&gt;"","No hay nada")))</f>
        <v>#VALUE!</v>
      </c>
    </row>
    <row r="41" spans="1:19" x14ac:dyDescent="0.3">
      <c r="A41" t="e">
        <f>Tabla27[[#This Row],[Agrupación]]</f>
        <v>#VALUE!</v>
      </c>
      <c r="B41" t="e" cm="1">
        <f t="array" ref="B41">TRANSPOSE((_xlfn._xlws.FILTER(INDEX(ProductosPivot!$C$6:$E$1000,,MATCH($A41,ProductosPivot!$C$5:$E$5,0)),INDEX(ProductosPivot!$C$6:$E$1000,,MATCH($A41,ProductosPivot!$C$5:$E$5,0))&lt;&gt;"","No hay nada")))</f>
        <v>#VALUE!</v>
      </c>
    </row>
    <row r="42" spans="1:19" x14ac:dyDescent="0.3">
      <c r="A42" t="e">
        <f>Tabla27[[#This Row],[Agrupación]]</f>
        <v>#VALUE!</v>
      </c>
      <c r="B42" t="e" cm="1">
        <f t="array" ref="B42">TRANSPOSE((_xlfn._xlws.FILTER(INDEX(ProductosPivot!$C$6:$E$1000,,MATCH($A42,ProductosPivot!$C$5:$E$5,0)),INDEX(ProductosPivot!$C$6:$E$1000,,MATCH($A42,ProductosPivot!$C$5:$E$5,0))&lt;&gt;"","No hay nada")))</f>
        <v>#VALUE!</v>
      </c>
    </row>
    <row r="43" spans="1:19" x14ac:dyDescent="0.3">
      <c r="A43" t="e">
        <f>Tabla27[[#This Row],[Agrupación]]</f>
        <v>#VALUE!</v>
      </c>
      <c r="B43" t="e" cm="1">
        <f t="array" ref="B43">TRANSPOSE((_xlfn._xlws.FILTER(INDEX(ProductosPivot!$C$6:$E$1000,,MATCH($A43,ProductosPivot!$C$5:$E$5,0)),INDEX(ProductosPivot!$C$6:$E$1000,,MATCH($A43,ProductosPivot!$C$5:$E$5,0))&lt;&gt;"","No hay nada")))</f>
        <v>#VALUE!</v>
      </c>
    </row>
    <row r="44" spans="1:19" x14ac:dyDescent="0.3">
      <c r="A44" t="e">
        <f>Tabla27[[#This Row],[Agrupación]]</f>
        <v>#VALUE!</v>
      </c>
      <c r="B44" t="e" cm="1">
        <f t="array" ref="B44">TRANSPOSE((_xlfn._xlws.FILTER(INDEX(ProductosPivot!$C$6:$E$1000,,MATCH($A44,ProductosPivot!$C$5:$E$5,0)),INDEX(ProductosPivot!$C$6:$E$1000,,MATCH($A44,ProductosPivot!$C$5:$E$5,0))&lt;&gt;"","No hay nada")))</f>
        <v>#VALUE!</v>
      </c>
    </row>
    <row r="45" spans="1:19" x14ac:dyDescent="0.3">
      <c r="A45" t="e">
        <f>Tabla27[[#This Row],[Agrupación]]</f>
        <v>#VALUE!</v>
      </c>
      <c r="B45" t="e" cm="1">
        <f t="array" ref="B45">TRANSPOSE((_xlfn._xlws.FILTER(INDEX(ProductosPivot!$C$6:$E$1000,,MATCH($A45,ProductosPivot!$C$5:$E$5,0)),INDEX(ProductosPivot!$C$6:$E$1000,,MATCH($A45,ProductosPivot!$C$5:$E$5,0))&lt;&gt;"","No hay nada")))</f>
        <v>#VALUE!</v>
      </c>
    </row>
    <row r="46" spans="1:19" x14ac:dyDescent="0.3">
      <c r="A46" t="e">
        <f>Tabla27[[#This Row],[Agrupación]]</f>
        <v>#VALUE!</v>
      </c>
      <c r="B46" t="e" cm="1">
        <f t="array" ref="B46">TRANSPOSE((_xlfn._xlws.FILTER(INDEX(ProductosPivot!$C$6:$E$1000,,MATCH($A46,ProductosPivot!$C$5:$E$5,0)),INDEX(ProductosPivot!$C$6:$E$1000,,MATCH($A46,ProductosPivot!$C$5:$E$5,0))&lt;&gt;"","No hay nada")))</f>
        <v>#VALUE!</v>
      </c>
    </row>
    <row r="47" spans="1:19" x14ac:dyDescent="0.3">
      <c r="A47" t="e">
        <f>Tabla27[[#This Row],[Agrupación]]</f>
        <v>#VALUE!</v>
      </c>
      <c r="B47" t="e" cm="1">
        <f t="array" ref="B47">TRANSPOSE((_xlfn._xlws.FILTER(INDEX(ProductosPivot!$C$6:$E$1000,,MATCH($A47,ProductosPivot!$C$5:$E$5,0)),INDEX(ProductosPivot!$C$6:$E$1000,,MATCH($A47,ProductosPivot!$C$5:$E$5,0))&lt;&gt;"","No hay nada")))</f>
        <v>#VALUE!</v>
      </c>
    </row>
    <row r="48" spans="1:19" x14ac:dyDescent="0.3">
      <c r="A48" t="e">
        <f>Tabla27[[#This Row],[Agrupación]]</f>
        <v>#VALUE!</v>
      </c>
      <c r="B48" t="e" cm="1">
        <f t="array" ref="B48">TRANSPOSE((_xlfn._xlws.FILTER(INDEX(ProductosPivot!$C$6:$E$1000,,MATCH($A48,ProductosPivot!$C$5:$E$5,0)),INDEX(ProductosPivot!$C$6:$E$1000,,MATCH($A48,ProductosPivot!$C$5:$E$5,0))&lt;&gt;"","No hay nada")))</f>
        <v>#VALUE!</v>
      </c>
    </row>
    <row r="49" spans="1:2" x14ac:dyDescent="0.3">
      <c r="A49" t="e">
        <f>Tabla27[[#This Row],[Agrupación]]</f>
        <v>#VALUE!</v>
      </c>
      <c r="B49" t="e" cm="1">
        <f t="array" ref="B49">TRANSPOSE((_xlfn._xlws.FILTER(INDEX(ProductosPivot!$C$6:$E$1000,,MATCH($A49,ProductosPivot!$C$5:$E$5,0)),INDEX(ProductosPivot!$C$6:$E$1000,,MATCH($A49,ProductosPivot!$C$5:$E$5,0))&lt;&gt;"","No hay nada")))</f>
        <v>#VALUE!</v>
      </c>
    </row>
    <row r="50" spans="1:2" x14ac:dyDescent="0.3">
      <c r="A50" t="e">
        <f>Tabla27[[#This Row],[Agrupación]]</f>
        <v>#VALUE!</v>
      </c>
      <c r="B50" t="e" cm="1">
        <f t="array" ref="B50">TRANSPOSE((_xlfn._xlws.FILTER(INDEX(ProductosPivot!$C$6:$E$1000,,MATCH($A50,ProductosPivot!$C$5:$E$5,0)),INDEX(ProductosPivot!$C$6:$E$1000,,MATCH($A50,ProductosPivot!$C$5:$E$5,0))&lt;&gt;"","No hay nada")))</f>
        <v>#VALUE!</v>
      </c>
    </row>
    <row r="51" spans="1:2" x14ac:dyDescent="0.3">
      <c r="A51" t="e">
        <f>Tabla27[[#This Row],[Agrupación]]</f>
        <v>#VALUE!</v>
      </c>
      <c r="B51" t="e" cm="1">
        <f t="array" ref="B51">TRANSPOSE((_xlfn._xlws.FILTER(INDEX(ProductosPivot!$C$6:$E$1000,,MATCH($A51,ProductosPivot!$C$5:$E$5,0)),INDEX(ProductosPivot!$C$6:$E$1000,,MATCH($A51,ProductosPivot!$C$5:$E$5,0))&lt;&gt;"","No hay nada")))</f>
        <v>#VALUE!</v>
      </c>
    </row>
    <row r="52" spans="1:2" x14ac:dyDescent="0.3">
      <c r="A52" t="e">
        <f>Tabla27[[#This Row],[Agrupación]]</f>
        <v>#VALUE!</v>
      </c>
      <c r="B52" t="e" cm="1">
        <f t="array" ref="B52">TRANSPOSE((_xlfn._xlws.FILTER(INDEX(ProductosPivot!$C$6:$E$1000,,MATCH($A52,ProductosPivot!$C$5:$E$5,0)),INDEX(ProductosPivot!$C$6:$E$1000,,MATCH($A52,ProductosPivot!$C$5:$E$5,0))&lt;&gt;"","No hay nada")))</f>
        <v>#VALUE!</v>
      </c>
    </row>
    <row r="53" spans="1:2" x14ac:dyDescent="0.3">
      <c r="A53" t="e">
        <f>Tabla27[[#This Row],[Agrupación]]</f>
        <v>#VALUE!</v>
      </c>
      <c r="B53" t="e" cm="1">
        <f t="array" ref="B53">TRANSPOSE((_xlfn._xlws.FILTER(INDEX(ProductosPivot!$C$6:$E$1000,,MATCH($A53,ProductosPivot!$C$5:$E$5,0)),INDEX(ProductosPivot!$C$6:$E$1000,,MATCH($A53,ProductosPivot!$C$5:$E$5,0))&lt;&gt;"","No hay nada")))</f>
        <v>#VALUE!</v>
      </c>
    </row>
    <row r="54" spans="1:2" x14ac:dyDescent="0.3">
      <c r="A54" t="e">
        <f>Tabla27[[#This Row],[Agrupación]]</f>
        <v>#VALUE!</v>
      </c>
      <c r="B54" t="e" cm="1">
        <f t="array" ref="B54">TRANSPOSE((_xlfn._xlws.FILTER(INDEX(ProductosPivot!$C$6:$E$1000,,MATCH($A54,ProductosPivot!$C$5:$E$5,0)),INDEX(ProductosPivot!$C$6:$E$1000,,MATCH($A54,ProductosPivot!$C$5:$E$5,0))&lt;&gt;"","No hay nada")))</f>
        <v>#VALUE!</v>
      </c>
    </row>
    <row r="55" spans="1:2" x14ac:dyDescent="0.3">
      <c r="A55" t="e">
        <f>Tabla27[[#This Row],[Agrupación]]</f>
        <v>#VALUE!</v>
      </c>
      <c r="B55" t="e" cm="1">
        <f t="array" ref="B55">TRANSPOSE((_xlfn._xlws.FILTER(INDEX(ProductosPivot!$C$6:$E$1000,,MATCH($A55,ProductosPivot!$C$5:$E$5,0)),INDEX(ProductosPivot!$C$6:$E$1000,,MATCH($A55,ProductosPivot!$C$5:$E$5,0))&lt;&gt;"","No hay nada")))</f>
        <v>#VALUE!</v>
      </c>
    </row>
    <row r="56" spans="1:2" x14ac:dyDescent="0.3">
      <c r="A56" t="e">
        <f>Tabla27[[#This Row],[Agrupación]]</f>
        <v>#VALUE!</v>
      </c>
      <c r="B56" t="e" cm="1">
        <f t="array" ref="B56">TRANSPOSE((_xlfn._xlws.FILTER(INDEX(ProductosPivot!$C$6:$E$1000,,MATCH($A56,ProductosPivot!$C$5:$E$5,0)),INDEX(ProductosPivot!$C$6:$E$1000,,MATCH($A56,ProductosPivot!$C$5:$E$5,0))&lt;&gt;"","No hay nada")))</f>
        <v>#VALUE!</v>
      </c>
    </row>
    <row r="57" spans="1:2" x14ac:dyDescent="0.3">
      <c r="A57" t="e">
        <f>Tabla27[[#This Row],[Agrupación]]</f>
        <v>#VALUE!</v>
      </c>
      <c r="B57" t="e" cm="1">
        <f t="array" ref="B57">TRANSPOSE((_xlfn._xlws.FILTER(INDEX(ProductosPivot!$C$6:$E$1000,,MATCH($A57,ProductosPivot!$C$5:$E$5,0)),INDEX(ProductosPivot!$C$6:$E$1000,,MATCH($A57,ProductosPivot!$C$5:$E$5,0))&lt;&gt;"","No hay nada")))</f>
        <v>#VALUE!</v>
      </c>
    </row>
    <row r="58" spans="1:2" x14ac:dyDescent="0.3">
      <c r="A58" t="e">
        <f>Tabla27[[#This Row],[Agrupación]]</f>
        <v>#VALUE!</v>
      </c>
      <c r="B58" t="e" cm="1">
        <f t="array" ref="B58">TRANSPOSE((_xlfn._xlws.FILTER(INDEX(ProductosPivot!$C$6:$E$1000,,MATCH($A58,ProductosPivot!$C$5:$E$5,0)),INDEX(ProductosPivot!$C$6:$E$1000,,MATCH($A58,ProductosPivot!$C$5:$E$5,0))&lt;&gt;"","No hay nada")))</f>
        <v>#VALUE!</v>
      </c>
    </row>
    <row r="59" spans="1:2" x14ac:dyDescent="0.3">
      <c r="A59" t="e">
        <f>Tabla27[[#This Row],[Agrupación]]</f>
        <v>#VALUE!</v>
      </c>
      <c r="B59" t="e" cm="1">
        <f t="array" ref="B59">TRANSPOSE((_xlfn._xlws.FILTER(INDEX(ProductosPivot!$C$6:$E$1000,,MATCH($A59,ProductosPivot!$C$5:$E$5,0)),INDEX(ProductosPivot!$C$6:$E$1000,,MATCH($A59,ProductosPivot!$C$5:$E$5,0))&lt;&gt;"","No hay nada")))</f>
        <v>#VALUE!</v>
      </c>
    </row>
    <row r="60" spans="1:2" x14ac:dyDescent="0.3">
      <c r="A60" t="e">
        <f>Tabla27[[#This Row],[Agrupación]]</f>
        <v>#VALUE!</v>
      </c>
      <c r="B60" t="e" cm="1">
        <f t="array" ref="B60">TRANSPOSE((_xlfn._xlws.FILTER(INDEX(ProductosPivot!$C$6:$E$1000,,MATCH($A60,ProductosPivot!$C$5:$E$5,0)),INDEX(ProductosPivot!$C$6:$E$1000,,MATCH($A60,ProductosPivot!$C$5:$E$5,0))&lt;&gt;"","No hay nada")))</f>
        <v>#VALUE!</v>
      </c>
    </row>
    <row r="61" spans="1:2" x14ac:dyDescent="0.3">
      <c r="A61" t="e">
        <f>Tabla27[[#This Row],[Agrupación]]</f>
        <v>#VALUE!</v>
      </c>
      <c r="B61" t="e" cm="1">
        <f t="array" ref="B61">TRANSPOSE((_xlfn._xlws.FILTER(INDEX(ProductosPivot!$C$6:$E$1000,,MATCH($A61,ProductosPivot!$C$5:$E$5,0)),INDEX(ProductosPivot!$C$6:$E$1000,,MATCH($A61,ProductosPivot!$C$5:$E$5,0))&lt;&gt;"","No hay nada")))</f>
        <v>#VALUE!</v>
      </c>
    </row>
    <row r="62" spans="1:2" x14ac:dyDescent="0.3">
      <c r="A62" t="e">
        <f>Tabla27[[#This Row],[Agrupación]]</f>
        <v>#VALUE!</v>
      </c>
      <c r="B62" t="e" cm="1">
        <f t="array" ref="B62">TRANSPOSE((_xlfn._xlws.FILTER(INDEX(ProductosPivot!$C$6:$E$1000,,MATCH($A62,ProductosPivot!$C$5:$E$5,0)),INDEX(ProductosPivot!$C$6:$E$1000,,MATCH($A62,ProductosPivot!$C$5:$E$5,0))&lt;&gt;"","No hay nada")))</f>
        <v>#VALUE!</v>
      </c>
    </row>
    <row r="63" spans="1:2" x14ac:dyDescent="0.3">
      <c r="A63" t="e">
        <f>Tabla27[[#This Row],[Agrupación]]</f>
        <v>#VALUE!</v>
      </c>
      <c r="B63" t="e" cm="1">
        <f t="array" ref="B63">TRANSPOSE((_xlfn._xlws.FILTER(INDEX(ProductosPivot!$C$6:$E$1000,,MATCH($A63,ProductosPivot!$C$5:$E$5,0)),INDEX(ProductosPivot!$C$6:$E$1000,,MATCH($A63,ProductosPivot!$C$5:$E$5,0))&lt;&gt;"","No hay nada")))</f>
        <v>#VALUE!</v>
      </c>
    </row>
    <row r="64" spans="1:2" x14ac:dyDescent="0.3">
      <c r="A64" t="e">
        <f>Tabla27[[#This Row],[Agrupación]]</f>
        <v>#VALUE!</v>
      </c>
      <c r="B64" t="e" cm="1">
        <f t="array" ref="B64">TRANSPOSE((_xlfn._xlws.FILTER(INDEX(ProductosPivot!$C$6:$E$1000,,MATCH($A64,ProductosPivot!$C$5:$E$5,0)),INDEX(ProductosPivot!$C$6:$E$1000,,MATCH($A64,ProductosPivot!$C$5:$E$5,0))&lt;&gt;"","No hay nada")))</f>
        <v>#VALUE!</v>
      </c>
    </row>
    <row r="65" spans="1:2" x14ac:dyDescent="0.3">
      <c r="A65" t="e">
        <f>Tabla27[[#This Row],[Agrupación]]</f>
        <v>#VALUE!</v>
      </c>
      <c r="B65" t="e" cm="1">
        <f t="array" ref="B65">TRANSPOSE((_xlfn._xlws.FILTER(INDEX(ProductosPivot!$C$6:$E$1000,,MATCH($A65,ProductosPivot!$C$5:$E$5,0)),INDEX(ProductosPivot!$C$6:$E$1000,,MATCH($A65,ProductosPivot!$C$5:$E$5,0))&lt;&gt;"","No hay nada")))</f>
        <v>#VALUE!</v>
      </c>
    </row>
    <row r="66" spans="1:2" x14ac:dyDescent="0.3">
      <c r="A66" t="e">
        <f>Tabla27[[#This Row],[Agrupación]]</f>
        <v>#VALUE!</v>
      </c>
      <c r="B66" t="e" cm="1">
        <f t="array" ref="B66">TRANSPOSE((_xlfn._xlws.FILTER(INDEX(ProductosPivot!$C$6:$E$1000,,MATCH($A66,ProductosPivot!$C$5:$E$5,0)),INDEX(ProductosPivot!$C$6:$E$1000,,MATCH($A66,ProductosPivot!$C$5:$E$5,0))&lt;&gt;"","No hay nada")))</f>
        <v>#VALUE!</v>
      </c>
    </row>
    <row r="67" spans="1:2" x14ac:dyDescent="0.3">
      <c r="A67" t="e">
        <f>Tabla27[[#This Row],[Agrupación]]</f>
        <v>#VALUE!</v>
      </c>
      <c r="B67" t="e" cm="1">
        <f t="array" ref="B67">TRANSPOSE((_xlfn._xlws.FILTER(INDEX(ProductosPivot!$C$6:$E$1000,,MATCH($A67,ProductosPivot!$C$5:$E$5,0)),INDEX(ProductosPivot!$C$6:$E$1000,,MATCH($A67,ProductosPivot!$C$5:$E$5,0))&lt;&gt;"","No hay nada")))</f>
        <v>#VALUE!</v>
      </c>
    </row>
    <row r="68" spans="1:2" x14ac:dyDescent="0.3">
      <c r="A68" t="e">
        <f>Tabla27[[#This Row],[Agrupación]]</f>
        <v>#VALUE!</v>
      </c>
      <c r="B68" t="e" cm="1">
        <f t="array" ref="B68">TRANSPOSE((_xlfn._xlws.FILTER(INDEX(ProductosPivot!$C$6:$E$1000,,MATCH($A68,ProductosPivot!$C$5:$E$5,0)),INDEX(ProductosPivot!$C$6:$E$1000,,MATCH($A68,ProductosPivot!$C$5:$E$5,0))&lt;&gt;"","No hay nada")))</f>
        <v>#VALUE!</v>
      </c>
    </row>
    <row r="69" spans="1:2" x14ac:dyDescent="0.3">
      <c r="A69" t="e">
        <f>Tabla27[[#This Row],[Agrupación]]</f>
        <v>#VALUE!</v>
      </c>
      <c r="B69" t="e" cm="1">
        <f t="array" ref="B69">TRANSPOSE((_xlfn._xlws.FILTER(INDEX(ProductosPivot!$C$6:$E$1000,,MATCH($A69,ProductosPivot!$C$5:$E$5,0)),INDEX(ProductosPivot!$C$6:$E$1000,,MATCH($A69,ProductosPivot!$C$5:$E$5,0))&lt;&gt;"","No hay nada")))</f>
        <v>#VALUE!</v>
      </c>
    </row>
    <row r="70" spans="1:2" x14ac:dyDescent="0.3">
      <c r="A70" t="e">
        <f>Tabla27[[#This Row],[Agrupación]]</f>
        <v>#VALUE!</v>
      </c>
      <c r="B70" t="e" cm="1">
        <f t="array" ref="B70">TRANSPOSE((_xlfn._xlws.FILTER(INDEX(ProductosPivot!$C$6:$E$1000,,MATCH($A70,ProductosPivot!$C$5:$E$5,0)),INDEX(ProductosPivot!$C$6:$E$1000,,MATCH($A70,ProductosPivot!$C$5:$E$5,0))&lt;&gt;"","No hay nada")))</f>
        <v>#VALUE!</v>
      </c>
    </row>
    <row r="71" spans="1:2" x14ac:dyDescent="0.3">
      <c r="A71" t="e">
        <f>Tabla27[[#This Row],[Agrupación]]</f>
        <v>#VALUE!</v>
      </c>
      <c r="B71" t="e" cm="1">
        <f t="array" ref="B71">TRANSPOSE((_xlfn._xlws.FILTER(INDEX(ProductosPivot!$C$6:$E$1000,,MATCH($A71,ProductosPivot!$C$5:$E$5,0)),INDEX(ProductosPivot!$C$6:$E$1000,,MATCH($A71,ProductosPivot!$C$5:$E$5,0))&lt;&gt;"","No hay nada")))</f>
        <v>#VALUE!</v>
      </c>
    </row>
    <row r="72" spans="1:2" x14ac:dyDescent="0.3">
      <c r="A72" t="e">
        <f>Tabla27[[#This Row],[Agrupación]]</f>
        <v>#VALUE!</v>
      </c>
      <c r="B72" t="e" cm="1">
        <f t="array" ref="B72">TRANSPOSE((_xlfn._xlws.FILTER(INDEX(ProductosPivot!$C$6:$E$1000,,MATCH($A72,ProductosPivot!$C$5:$E$5,0)),INDEX(ProductosPivot!$C$6:$E$1000,,MATCH($A72,ProductosPivot!$C$5:$E$5,0))&lt;&gt;"","No hay nada")))</f>
        <v>#VALUE!</v>
      </c>
    </row>
    <row r="73" spans="1:2" x14ac:dyDescent="0.3">
      <c r="A73" t="e">
        <f>Tabla27[[#This Row],[Agrupación]]</f>
        <v>#VALUE!</v>
      </c>
      <c r="B73" t="e" cm="1">
        <f t="array" ref="B73">TRANSPOSE((_xlfn._xlws.FILTER(INDEX(ProductosPivot!$C$6:$E$1000,,MATCH($A73,ProductosPivot!$C$5:$E$5,0)),INDEX(ProductosPivot!$C$6:$E$1000,,MATCH($A73,ProductosPivot!$C$5:$E$5,0))&lt;&gt;"","No hay nada")))</f>
        <v>#VALUE!</v>
      </c>
    </row>
    <row r="74" spans="1:2" x14ac:dyDescent="0.3">
      <c r="A74" t="e">
        <f>Tabla27[[#This Row],[Agrupación]]</f>
        <v>#VALUE!</v>
      </c>
      <c r="B74" t="e" cm="1">
        <f t="array" ref="B74">TRANSPOSE((_xlfn._xlws.FILTER(INDEX(ProductosPivot!$C$6:$E$1000,,MATCH($A74,ProductosPivot!$C$5:$E$5,0)),INDEX(ProductosPivot!$C$6:$E$1000,,MATCH($A74,ProductosPivot!$C$5:$E$5,0))&lt;&gt;"","No hay nada")))</f>
        <v>#VALUE!</v>
      </c>
    </row>
    <row r="75" spans="1:2" x14ac:dyDescent="0.3">
      <c r="A75" t="e">
        <f>Tabla27[[#This Row],[Agrupación]]</f>
        <v>#VALUE!</v>
      </c>
      <c r="B75" t="e" cm="1">
        <f t="array" ref="B75">TRANSPOSE((_xlfn._xlws.FILTER(INDEX(ProductosPivot!$C$6:$E$1000,,MATCH($A75,ProductosPivot!$C$5:$E$5,0)),INDEX(ProductosPivot!$C$6:$E$1000,,MATCH($A75,ProductosPivot!$C$5:$E$5,0))&lt;&gt;"","No hay nada")))</f>
        <v>#VALUE!</v>
      </c>
    </row>
    <row r="76" spans="1:2" x14ac:dyDescent="0.3">
      <c r="A76" t="e">
        <f>Tabla27[[#This Row],[Agrupación]]</f>
        <v>#VALUE!</v>
      </c>
      <c r="B76" t="e" cm="1">
        <f t="array" ref="B76">TRANSPOSE((_xlfn._xlws.FILTER(INDEX(ProductosPivot!$C$6:$E$1000,,MATCH($A76,ProductosPivot!$C$5:$E$5,0)),INDEX(ProductosPivot!$C$6:$E$1000,,MATCH($A76,ProductosPivot!$C$5:$E$5,0))&lt;&gt;"","No hay nada")))</f>
        <v>#VALUE!</v>
      </c>
    </row>
    <row r="77" spans="1:2" x14ac:dyDescent="0.3">
      <c r="A77" t="e">
        <f>Tabla27[[#This Row],[Agrupación]]</f>
        <v>#VALUE!</v>
      </c>
      <c r="B77" t="e" cm="1">
        <f t="array" ref="B77">TRANSPOSE((_xlfn._xlws.FILTER(INDEX(ProductosPivot!$C$6:$E$1000,,MATCH($A77,ProductosPivot!$C$5:$E$5,0)),INDEX(ProductosPivot!$C$6:$E$1000,,MATCH($A77,ProductosPivot!$C$5:$E$5,0))&lt;&gt;"","No hay nada")))</f>
        <v>#VALUE!</v>
      </c>
    </row>
    <row r="78" spans="1:2" x14ac:dyDescent="0.3">
      <c r="A78" t="e">
        <f>Tabla27[[#This Row],[Agrupación]]</f>
        <v>#VALUE!</v>
      </c>
      <c r="B78" t="e" cm="1">
        <f t="array" ref="B78">TRANSPOSE((_xlfn._xlws.FILTER(INDEX(ProductosPivot!$C$6:$E$1000,,MATCH($A78,ProductosPivot!$C$5:$E$5,0)),INDEX(ProductosPivot!$C$6:$E$1000,,MATCH($A78,ProductosPivot!$C$5:$E$5,0))&lt;&gt;"","No hay nada")))</f>
        <v>#VALUE!</v>
      </c>
    </row>
    <row r="79" spans="1:2" x14ac:dyDescent="0.3">
      <c r="A79" t="e">
        <f>Tabla27[[#This Row],[Agrupación]]</f>
        <v>#VALUE!</v>
      </c>
      <c r="B79" t="e" cm="1">
        <f t="array" ref="B79">TRANSPOSE((_xlfn._xlws.FILTER(INDEX(ProductosPivot!$C$6:$E$1000,,MATCH($A79,ProductosPivot!$C$5:$E$5,0)),INDEX(ProductosPivot!$C$6:$E$1000,,MATCH($A79,ProductosPivot!$C$5:$E$5,0))&lt;&gt;"","No hay nada")))</f>
        <v>#VALUE!</v>
      </c>
    </row>
    <row r="80" spans="1:2" x14ac:dyDescent="0.3">
      <c r="A80" t="e">
        <f>Tabla27[[#This Row],[Agrupación]]</f>
        <v>#VALUE!</v>
      </c>
      <c r="B80" t="e" cm="1">
        <f t="array" ref="B80">TRANSPOSE((_xlfn._xlws.FILTER(INDEX(ProductosPivot!$C$6:$E$1000,,MATCH($A80,ProductosPivot!$C$5:$E$5,0)),INDEX(ProductosPivot!$C$6:$E$1000,,MATCH($A80,ProductosPivot!$C$5:$E$5,0))&lt;&gt;"","No hay nada")))</f>
        <v>#VALUE!</v>
      </c>
    </row>
    <row r="81" spans="1:2" x14ac:dyDescent="0.3">
      <c r="A81" t="e">
        <f>Tabla27[[#This Row],[Agrupación]]</f>
        <v>#VALUE!</v>
      </c>
      <c r="B81" t="e" cm="1">
        <f t="array" ref="B81">TRANSPOSE((_xlfn._xlws.FILTER(INDEX(ProductosPivot!$C$6:$E$1000,,MATCH($A81,ProductosPivot!$C$5:$E$5,0)),INDEX(ProductosPivot!$C$6:$E$1000,,MATCH($A81,ProductosPivot!$C$5:$E$5,0))&lt;&gt;"","No hay nada")))</f>
        <v>#VALUE!</v>
      </c>
    </row>
    <row r="82" spans="1:2" x14ac:dyDescent="0.3">
      <c r="A82" t="e">
        <f>Tabla27[[#This Row],[Agrupación]]</f>
        <v>#VALUE!</v>
      </c>
      <c r="B82" t="e" cm="1">
        <f t="array" ref="B82">TRANSPOSE((_xlfn._xlws.FILTER(INDEX(ProductosPivot!$C$6:$E$1000,,MATCH($A82,ProductosPivot!$C$5:$E$5,0)),INDEX(ProductosPivot!$C$6:$E$1000,,MATCH($A82,ProductosPivot!$C$5:$E$5,0))&lt;&gt;"","No hay nada")))</f>
        <v>#VALUE!</v>
      </c>
    </row>
    <row r="83" spans="1:2" x14ac:dyDescent="0.3">
      <c r="A83" t="e">
        <f>Tabla27[[#This Row],[Agrupación]]</f>
        <v>#VALUE!</v>
      </c>
      <c r="B83" t="e" cm="1">
        <f t="array" ref="B83">TRANSPOSE((_xlfn._xlws.FILTER(INDEX(ProductosPivot!$C$6:$E$1000,,MATCH($A83,ProductosPivot!$C$5:$E$5,0)),INDEX(ProductosPivot!$C$6:$E$1000,,MATCH($A83,ProductosPivot!$C$5:$E$5,0))&lt;&gt;"","No hay nada")))</f>
        <v>#VALUE!</v>
      </c>
    </row>
    <row r="84" spans="1:2" x14ac:dyDescent="0.3">
      <c r="A84" t="e">
        <f>Tabla27[[#This Row],[Agrupación]]</f>
        <v>#VALUE!</v>
      </c>
      <c r="B84" t="e" cm="1">
        <f t="array" ref="B84">TRANSPOSE((_xlfn._xlws.FILTER(INDEX(ProductosPivot!$C$6:$E$1000,,MATCH($A84,ProductosPivot!$C$5:$E$5,0)),INDEX(ProductosPivot!$C$6:$E$1000,,MATCH($A84,ProductosPivot!$C$5:$E$5,0))&lt;&gt;"","No hay nada")))</f>
        <v>#VALUE!</v>
      </c>
    </row>
    <row r="85" spans="1:2" x14ac:dyDescent="0.3">
      <c r="A85" t="e">
        <f>Tabla27[[#This Row],[Agrupación]]</f>
        <v>#VALUE!</v>
      </c>
      <c r="B85" t="e" cm="1">
        <f t="array" ref="B85">TRANSPOSE((_xlfn._xlws.FILTER(INDEX(ProductosPivot!$C$6:$E$1000,,MATCH($A85,ProductosPivot!$C$5:$E$5,0)),INDEX(ProductosPivot!$C$6:$E$1000,,MATCH($A85,ProductosPivot!$C$5:$E$5,0))&lt;&gt;"","No hay nada")))</f>
        <v>#VALUE!</v>
      </c>
    </row>
    <row r="86" spans="1:2" x14ac:dyDescent="0.3">
      <c r="A86" t="e">
        <f>Tabla27[[#This Row],[Agrupación]]</f>
        <v>#VALUE!</v>
      </c>
      <c r="B86" t="e" cm="1">
        <f t="array" ref="B86">TRANSPOSE((_xlfn._xlws.FILTER(INDEX(ProductosPivot!$C$6:$E$1000,,MATCH($A86,ProductosPivot!$C$5:$E$5,0)),INDEX(ProductosPivot!$C$6:$E$1000,,MATCH($A86,ProductosPivot!$C$5:$E$5,0))&lt;&gt;"","No hay nada")))</f>
        <v>#VALUE!</v>
      </c>
    </row>
    <row r="87" spans="1:2" x14ac:dyDescent="0.3">
      <c r="A87" t="e">
        <f>Tabla27[[#This Row],[Agrupación]]</f>
        <v>#VALUE!</v>
      </c>
      <c r="B87" t="e" cm="1">
        <f t="array" ref="B87">TRANSPOSE((_xlfn._xlws.FILTER(INDEX(ProductosPivot!$C$6:$E$1000,,MATCH($A87,ProductosPivot!$C$5:$E$5,0)),INDEX(ProductosPivot!$C$6:$E$1000,,MATCH($A87,ProductosPivot!$C$5:$E$5,0))&lt;&gt;"","No hay nada")))</f>
        <v>#VALUE!</v>
      </c>
    </row>
    <row r="88" spans="1:2" x14ac:dyDescent="0.3">
      <c r="A88" t="e">
        <f>Tabla27[[#This Row],[Agrupación]]</f>
        <v>#VALUE!</v>
      </c>
      <c r="B88" t="e" cm="1">
        <f t="array" ref="B88">TRANSPOSE((_xlfn._xlws.FILTER(INDEX(ProductosPivot!$C$6:$E$1000,,MATCH($A88,ProductosPivot!$C$5:$E$5,0)),INDEX(ProductosPivot!$C$6:$E$1000,,MATCH($A88,ProductosPivot!$C$5:$E$5,0))&lt;&gt;"","No hay nada")))</f>
        <v>#VALUE!</v>
      </c>
    </row>
    <row r="89" spans="1:2" x14ac:dyDescent="0.3">
      <c r="A89" t="e">
        <f>Tabla27[[#This Row],[Agrupación]]</f>
        <v>#VALUE!</v>
      </c>
      <c r="B89" t="e" cm="1">
        <f t="array" ref="B89">TRANSPOSE((_xlfn._xlws.FILTER(INDEX(ProductosPivot!$C$6:$E$1000,,MATCH($A89,ProductosPivot!$C$5:$E$5,0)),INDEX(ProductosPivot!$C$6:$E$1000,,MATCH($A89,ProductosPivot!$C$5:$E$5,0))&lt;&gt;"","No hay nada")))</f>
        <v>#VALUE!</v>
      </c>
    </row>
    <row r="90" spans="1:2" x14ac:dyDescent="0.3">
      <c r="A90" t="e">
        <f>Tabla27[[#This Row],[Agrupación]]</f>
        <v>#VALUE!</v>
      </c>
      <c r="B90" t="e" cm="1">
        <f t="array" ref="B90">TRANSPOSE((_xlfn._xlws.FILTER(INDEX(ProductosPivot!$C$6:$E$1000,,MATCH($A90,ProductosPivot!$C$5:$E$5,0)),INDEX(ProductosPivot!$C$6:$E$1000,,MATCH($A90,ProductosPivot!$C$5:$E$5,0))&lt;&gt;"","No hay nada")))</f>
        <v>#VALUE!</v>
      </c>
    </row>
    <row r="91" spans="1:2" x14ac:dyDescent="0.3">
      <c r="A91" t="e">
        <f>Tabla27[[#This Row],[Agrupación]]</f>
        <v>#VALUE!</v>
      </c>
      <c r="B91" t="e" cm="1">
        <f t="array" ref="B91">TRANSPOSE((_xlfn._xlws.FILTER(INDEX(ProductosPivot!$C$6:$E$1000,,MATCH($A91,ProductosPivot!$C$5:$E$5,0)),INDEX(ProductosPivot!$C$6:$E$1000,,MATCH($A91,ProductosPivot!$C$5:$E$5,0))&lt;&gt;"","No hay nada")))</f>
        <v>#VALUE!</v>
      </c>
    </row>
    <row r="92" spans="1:2" x14ac:dyDescent="0.3">
      <c r="A92" t="e">
        <f>Tabla27[[#This Row],[Agrupación]]</f>
        <v>#VALUE!</v>
      </c>
      <c r="B92" t="e" cm="1">
        <f t="array" ref="B92">TRANSPOSE((_xlfn._xlws.FILTER(INDEX(ProductosPivot!$C$6:$E$1000,,MATCH($A92,ProductosPivot!$C$5:$E$5,0)),INDEX(ProductosPivot!$C$6:$E$1000,,MATCH($A92,ProductosPivot!$C$5:$E$5,0))&lt;&gt;"","No hay nada")))</f>
        <v>#VALUE!</v>
      </c>
    </row>
    <row r="93" spans="1:2" x14ac:dyDescent="0.3">
      <c r="A93" t="e">
        <f>Tabla27[[#This Row],[Agrupación]]</f>
        <v>#VALUE!</v>
      </c>
      <c r="B93" t="e" cm="1">
        <f t="array" ref="B93">TRANSPOSE((_xlfn._xlws.FILTER(INDEX(ProductosPivot!$C$6:$E$1000,,MATCH($A93,ProductosPivot!$C$5:$E$5,0)),INDEX(ProductosPivot!$C$6:$E$1000,,MATCH($A93,ProductosPivot!$C$5:$E$5,0))&lt;&gt;"","No hay nada")))</f>
        <v>#VALUE!</v>
      </c>
    </row>
    <row r="94" spans="1:2" x14ac:dyDescent="0.3">
      <c r="A94" t="e">
        <f>Tabla27[[#This Row],[Agrupación]]</f>
        <v>#VALUE!</v>
      </c>
      <c r="B94" t="e" cm="1">
        <f t="array" ref="B94">TRANSPOSE((_xlfn._xlws.FILTER(INDEX(ProductosPivot!$C$6:$E$1000,,MATCH($A94,ProductosPivot!$C$5:$E$5,0)),INDEX(ProductosPivot!$C$6:$E$1000,,MATCH($A94,ProductosPivot!$C$5:$E$5,0))&lt;&gt;"","No hay nada")))</f>
        <v>#VALUE!</v>
      </c>
    </row>
    <row r="95" spans="1:2" x14ac:dyDescent="0.3">
      <c r="A95" t="e">
        <f>Tabla27[[#This Row],[Agrupación]]</f>
        <v>#VALUE!</v>
      </c>
      <c r="B95" t="e" cm="1">
        <f t="array" ref="B95">TRANSPOSE((_xlfn._xlws.FILTER(INDEX(ProductosPivot!$C$6:$E$1000,,MATCH($A95,ProductosPivot!$C$5:$E$5,0)),INDEX(ProductosPivot!$C$6:$E$1000,,MATCH($A95,ProductosPivot!$C$5:$E$5,0))&lt;&gt;"","No hay nada")))</f>
        <v>#VALUE!</v>
      </c>
    </row>
    <row r="96" spans="1:2" x14ac:dyDescent="0.3">
      <c r="A96" t="e">
        <f>Tabla27[[#This Row],[Agrupación]]</f>
        <v>#VALUE!</v>
      </c>
      <c r="B96" t="e" cm="1">
        <f t="array" ref="B96">TRANSPOSE((_xlfn._xlws.FILTER(INDEX(ProductosPivot!$C$6:$E$1000,,MATCH($A96,ProductosPivot!$C$5:$E$5,0)),INDEX(ProductosPivot!$C$6:$E$1000,,MATCH($A96,ProductosPivot!$C$5:$E$5,0))&lt;&gt;"","No hay nada")))</f>
        <v>#VALUE!</v>
      </c>
    </row>
    <row r="97" spans="1:2" x14ac:dyDescent="0.3">
      <c r="A97" t="e">
        <f>Tabla27[[#This Row],[Agrupación]]</f>
        <v>#VALUE!</v>
      </c>
      <c r="B97" t="e" cm="1">
        <f t="array" ref="B97">TRANSPOSE((_xlfn._xlws.FILTER(INDEX(ProductosPivot!$C$6:$E$1000,,MATCH($A97,ProductosPivot!$C$5:$E$5,0)),INDEX(ProductosPivot!$C$6:$E$1000,,MATCH($A97,ProductosPivot!$C$5:$E$5,0))&lt;&gt;"","No hay nada")))</f>
        <v>#VALUE!</v>
      </c>
    </row>
    <row r="98" spans="1:2" x14ac:dyDescent="0.3">
      <c r="A98" t="e">
        <f>Tabla27[[#This Row],[Agrupación]]</f>
        <v>#VALUE!</v>
      </c>
      <c r="B98" t="e" cm="1">
        <f t="array" ref="B98">TRANSPOSE((_xlfn._xlws.FILTER(INDEX(ProductosPivot!$C$6:$E$1000,,MATCH($A98,ProductosPivot!$C$5:$E$5,0)),INDEX(ProductosPivot!$C$6:$E$1000,,MATCH($A98,ProductosPivot!$C$5:$E$5,0))&lt;&gt;"","No hay nada")))</f>
        <v>#VALUE!</v>
      </c>
    </row>
    <row r="99" spans="1:2" x14ac:dyDescent="0.3">
      <c r="A99" t="e">
        <f>Tabla27[[#This Row],[Agrupación]]</f>
        <v>#VALUE!</v>
      </c>
      <c r="B99" t="e" cm="1">
        <f t="array" ref="B99">TRANSPOSE((_xlfn._xlws.FILTER(INDEX(ProductosPivot!$C$6:$E$1000,,MATCH($A99,ProductosPivot!$C$5:$E$5,0)),INDEX(ProductosPivot!$C$6:$E$1000,,MATCH($A99,ProductosPivot!$C$5:$E$5,0))&lt;&gt;"","No hay nada")))</f>
        <v>#VALUE!</v>
      </c>
    </row>
    <row r="100" spans="1:2" x14ac:dyDescent="0.3">
      <c r="A100" t="e">
        <f>Tabla27[[#This Row],[Agrupación]]</f>
        <v>#VALUE!</v>
      </c>
      <c r="B100" t="e" cm="1">
        <f t="array" ref="B100">TRANSPOSE((_xlfn._xlws.FILTER(INDEX(ProductosPivot!$C$6:$E$1000,,MATCH($A100,ProductosPivot!$C$5:$E$5,0)),INDEX(ProductosPivot!$C$6:$E$1000,,MATCH($A100,ProductosPivot!$C$5:$E$5,0))&lt;&gt;"","No hay nada")))</f>
        <v>#VALUE!</v>
      </c>
    </row>
    <row r="101" spans="1:2" x14ac:dyDescent="0.3">
      <c r="A101" t="e">
        <f>Tabla27[[#This Row],[Agrupación]]</f>
        <v>#VALUE!</v>
      </c>
      <c r="B101" t="e" cm="1">
        <f t="array" ref="B101">TRANSPOSE((_xlfn._xlws.FILTER(INDEX(ProductosPivot!$C$6:$E$1000,,MATCH($A101,ProductosPivot!$C$5:$E$5,0)),INDEX(ProductosPivot!$C$6:$E$1000,,MATCH($A101,ProductosPivot!$C$5:$E$5,0))&lt;&gt;"","No hay nada")))</f>
        <v>#VALUE!</v>
      </c>
    </row>
    <row r="102" spans="1:2" x14ac:dyDescent="0.3">
      <c r="A102" t="e">
        <f>Tabla27[[#This Row],[Agrupación]]</f>
        <v>#VALUE!</v>
      </c>
      <c r="B102" t="e" cm="1">
        <f t="array" ref="B102">TRANSPOSE((_xlfn._xlws.FILTER(INDEX(ProductosPivot!$C$6:$E$1000,,MATCH($A102,ProductosPivot!$C$5:$E$5,0)),INDEX(ProductosPivot!$C$6:$E$1000,,MATCH($A102,ProductosPivot!$C$5:$E$5,0))&lt;&gt;"","No hay nada")))</f>
        <v>#VALUE!</v>
      </c>
    </row>
    <row r="103" spans="1:2" x14ac:dyDescent="0.3">
      <c r="A103" t="e">
        <f>Tabla27[[#This Row],[Agrupación]]</f>
        <v>#VALUE!</v>
      </c>
      <c r="B103" t="e" cm="1">
        <f t="array" ref="B103">TRANSPOSE((_xlfn._xlws.FILTER(INDEX(ProductosPivot!$C$6:$E$1000,,MATCH($A103,ProductosPivot!$C$5:$E$5,0)),INDEX(ProductosPivot!$C$6:$E$1000,,MATCH($A103,ProductosPivot!$C$5:$E$5,0))&lt;&gt;"","No hay nada")))</f>
        <v>#VALUE!</v>
      </c>
    </row>
    <row r="104" spans="1:2" x14ac:dyDescent="0.3">
      <c r="A104" t="e">
        <f>Tabla27[[#This Row],[Agrupación]]</f>
        <v>#VALUE!</v>
      </c>
      <c r="B104" t="e" cm="1">
        <f t="array" ref="B104">TRANSPOSE((_xlfn._xlws.FILTER(INDEX(ProductosPivot!$C$6:$E$1000,,MATCH($A104,ProductosPivot!$C$5:$E$5,0)),INDEX(ProductosPivot!$C$6:$E$1000,,MATCH($A104,ProductosPivot!$C$5:$E$5,0))&lt;&gt;"","No hay nada")))</f>
        <v>#VALUE!</v>
      </c>
    </row>
    <row r="105" spans="1:2" x14ac:dyDescent="0.3">
      <c r="A105" t="e">
        <f>Tabla27[[#This Row],[Agrupación]]</f>
        <v>#VALUE!</v>
      </c>
      <c r="B105" t="e" cm="1">
        <f t="array" ref="B105">TRANSPOSE((_xlfn._xlws.FILTER(INDEX(ProductosPivot!$C$6:$E$1000,,MATCH($A105,ProductosPivot!$C$5:$E$5,0)),INDEX(ProductosPivot!$C$6:$E$1000,,MATCH($A105,ProductosPivot!$C$5:$E$5,0))&lt;&gt;"","No hay nada")))</f>
        <v>#VALUE!</v>
      </c>
    </row>
    <row r="106" spans="1:2" x14ac:dyDescent="0.3">
      <c r="A106" t="e">
        <f>Tabla27[[#This Row],[Agrupación]]</f>
        <v>#VALUE!</v>
      </c>
      <c r="B106" t="e" cm="1">
        <f t="array" ref="B106">TRANSPOSE((_xlfn._xlws.FILTER(INDEX(ProductosPivot!$C$6:$E$1000,,MATCH($A106,ProductosPivot!$C$5:$E$5,0)),INDEX(ProductosPivot!$C$6:$E$1000,,MATCH($A106,ProductosPivot!$C$5:$E$5,0))&lt;&gt;"","No hay nada")))</f>
        <v>#VALUE!</v>
      </c>
    </row>
    <row r="107" spans="1:2" x14ac:dyDescent="0.3">
      <c r="A107" t="e">
        <f>Tabla27[[#This Row],[Agrupación]]</f>
        <v>#VALUE!</v>
      </c>
      <c r="B107" t="e" cm="1">
        <f t="array" ref="B107">TRANSPOSE((_xlfn._xlws.FILTER(INDEX(ProductosPivot!$C$6:$E$1000,,MATCH($A107,ProductosPivot!$C$5:$E$5,0)),INDEX(ProductosPivot!$C$6:$E$1000,,MATCH($A107,ProductosPivot!$C$5:$E$5,0))&lt;&gt;"","No hay nada")))</f>
        <v>#VALUE!</v>
      </c>
    </row>
    <row r="108" spans="1:2" x14ac:dyDescent="0.3">
      <c r="A108" t="e">
        <f>Tabla27[[#This Row],[Agrupación]]</f>
        <v>#VALUE!</v>
      </c>
      <c r="B108" t="e" cm="1">
        <f t="array" ref="B108">TRANSPOSE((_xlfn._xlws.FILTER(INDEX(ProductosPivot!$C$6:$E$1000,,MATCH($A108,ProductosPivot!$C$5:$E$5,0)),INDEX(ProductosPivot!$C$6:$E$1000,,MATCH($A108,ProductosPivot!$C$5:$E$5,0))&lt;&gt;"","No hay nada")))</f>
        <v>#VALUE!</v>
      </c>
    </row>
    <row r="109" spans="1:2" x14ac:dyDescent="0.3">
      <c r="A109" t="e">
        <f>Tabla27[[#This Row],[Agrupación]]</f>
        <v>#VALUE!</v>
      </c>
      <c r="B109" t="e" cm="1">
        <f t="array" ref="B109">TRANSPOSE((_xlfn._xlws.FILTER(INDEX(ProductosPivot!$C$6:$E$1000,,MATCH($A109,ProductosPivot!$C$5:$E$5,0)),INDEX(ProductosPivot!$C$6:$E$1000,,MATCH($A109,ProductosPivot!$C$5:$E$5,0))&lt;&gt;"","No hay nada")))</f>
        <v>#VALUE!</v>
      </c>
    </row>
    <row r="110" spans="1:2" x14ac:dyDescent="0.3">
      <c r="A110" t="e">
        <f>Tabla27[[#This Row],[Agrupación]]</f>
        <v>#VALUE!</v>
      </c>
      <c r="B110" t="e" cm="1">
        <f t="array" ref="B110">TRANSPOSE((_xlfn._xlws.FILTER(INDEX(ProductosPivot!$C$6:$E$1000,,MATCH($A110,ProductosPivot!$C$5:$E$5,0)),INDEX(ProductosPivot!$C$6:$E$1000,,MATCH($A110,ProductosPivot!$C$5:$E$5,0))&lt;&gt;"","No hay nada")))</f>
        <v>#VALUE!</v>
      </c>
    </row>
    <row r="111" spans="1:2" x14ac:dyDescent="0.3">
      <c r="A111" t="e">
        <f>Tabla27[[#This Row],[Agrupación]]</f>
        <v>#VALUE!</v>
      </c>
      <c r="B111" t="e" cm="1">
        <f t="array" ref="B111">TRANSPOSE((_xlfn._xlws.FILTER(INDEX(ProductosPivot!$C$6:$E$1000,,MATCH($A111,ProductosPivot!$C$5:$E$5,0)),INDEX(ProductosPivot!$C$6:$E$1000,,MATCH($A111,ProductosPivot!$C$5:$E$5,0))&lt;&gt;"","No hay nada")))</f>
        <v>#VALUE!</v>
      </c>
    </row>
    <row r="112" spans="1:2" x14ac:dyDescent="0.3">
      <c r="A112" t="e">
        <f>Tabla27[[#This Row],[Agrupación]]</f>
        <v>#VALUE!</v>
      </c>
      <c r="B112" t="e" cm="1">
        <f t="array" ref="B112">TRANSPOSE((_xlfn._xlws.FILTER(INDEX(ProductosPivot!$C$6:$E$1000,,MATCH($A112,ProductosPivot!$C$5:$E$5,0)),INDEX(ProductosPivot!$C$6:$E$1000,,MATCH($A112,ProductosPivot!$C$5:$E$5,0))&lt;&gt;"","No hay nada")))</f>
        <v>#VALUE!</v>
      </c>
    </row>
    <row r="113" spans="1:2" x14ac:dyDescent="0.3">
      <c r="A113" t="e">
        <f>Tabla27[[#This Row],[Agrupación]]</f>
        <v>#VALUE!</v>
      </c>
      <c r="B113" t="e" cm="1">
        <f t="array" ref="B113">TRANSPOSE((_xlfn._xlws.FILTER(INDEX(ProductosPivot!$C$6:$E$1000,,MATCH($A113,ProductosPivot!$C$5:$E$5,0)),INDEX(ProductosPivot!$C$6:$E$1000,,MATCH($A113,ProductosPivot!$C$5:$E$5,0))&lt;&gt;"","No hay nada")))</f>
        <v>#VALUE!</v>
      </c>
    </row>
    <row r="114" spans="1:2" x14ac:dyDescent="0.3">
      <c r="A114" t="e">
        <f>Tabla27[[#This Row],[Agrupación]]</f>
        <v>#VALUE!</v>
      </c>
      <c r="B114" t="e" cm="1">
        <f t="array" ref="B114">TRANSPOSE((_xlfn._xlws.FILTER(INDEX(ProductosPivot!$C$6:$E$1000,,MATCH($A114,ProductosPivot!$C$5:$E$5,0)),INDEX(ProductosPivot!$C$6:$E$1000,,MATCH($A114,ProductosPivot!$C$5:$E$5,0))&lt;&gt;"","No hay nada")))</f>
        <v>#VALUE!</v>
      </c>
    </row>
    <row r="115" spans="1:2" x14ac:dyDescent="0.3">
      <c r="A115" t="e">
        <f>Tabla27[[#This Row],[Agrupación]]</f>
        <v>#VALUE!</v>
      </c>
      <c r="B115" t="e" cm="1">
        <f t="array" ref="B115">TRANSPOSE((_xlfn._xlws.FILTER(INDEX(ProductosPivot!$C$6:$E$1000,,MATCH($A115,ProductosPivot!$C$5:$E$5,0)),INDEX(ProductosPivot!$C$6:$E$1000,,MATCH($A115,ProductosPivot!$C$5:$E$5,0))&lt;&gt;"","No hay nada")))</f>
        <v>#VALUE!</v>
      </c>
    </row>
    <row r="116" spans="1:2" x14ac:dyDescent="0.3">
      <c r="A116" t="e">
        <f>Tabla27[[#This Row],[Agrupación]]</f>
        <v>#VALUE!</v>
      </c>
      <c r="B116" t="e" cm="1">
        <f t="array" ref="B116">TRANSPOSE((_xlfn._xlws.FILTER(INDEX(ProductosPivot!$C$6:$E$1000,,MATCH($A116,ProductosPivot!$C$5:$E$5,0)),INDEX(ProductosPivot!$C$6:$E$1000,,MATCH($A116,ProductosPivot!$C$5:$E$5,0))&lt;&gt;"","No hay nada")))</f>
        <v>#VALUE!</v>
      </c>
    </row>
    <row r="117" spans="1:2" x14ac:dyDescent="0.3">
      <c r="A117" t="e">
        <f>Tabla27[[#This Row],[Agrupación]]</f>
        <v>#VALUE!</v>
      </c>
      <c r="B117" t="e" cm="1">
        <f t="array" ref="B117">TRANSPOSE((_xlfn._xlws.FILTER(INDEX(ProductosPivot!$C$6:$E$1000,,MATCH($A117,ProductosPivot!$C$5:$E$5,0)),INDEX(ProductosPivot!$C$6:$E$1000,,MATCH($A117,ProductosPivot!$C$5:$E$5,0))&lt;&gt;"","No hay nada")))</f>
        <v>#VALUE!</v>
      </c>
    </row>
    <row r="118" spans="1:2" x14ac:dyDescent="0.3">
      <c r="A118" t="e">
        <f>Tabla27[[#This Row],[Agrupación]]</f>
        <v>#VALUE!</v>
      </c>
      <c r="B118" t="e" cm="1">
        <f t="array" ref="B118">TRANSPOSE((_xlfn._xlws.FILTER(INDEX(ProductosPivot!$C$6:$E$1000,,MATCH($A118,ProductosPivot!$C$5:$E$5,0)),INDEX(ProductosPivot!$C$6:$E$1000,,MATCH($A118,ProductosPivot!$C$5:$E$5,0))&lt;&gt;"","No hay nada")))</f>
        <v>#VALUE!</v>
      </c>
    </row>
    <row r="119" spans="1:2" x14ac:dyDescent="0.3">
      <c r="A119" t="e">
        <f>Tabla27[[#This Row],[Agrupación]]</f>
        <v>#VALUE!</v>
      </c>
      <c r="B119" t="e" cm="1">
        <f t="array" ref="B119">TRANSPOSE((_xlfn._xlws.FILTER(INDEX(ProductosPivot!$C$6:$E$1000,,MATCH($A119,ProductosPivot!$C$5:$E$5,0)),INDEX(ProductosPivot!$C$6:$E$1000,,MATCH($A119,ProductosPivot!$C$5:$E$5,0))&lt;&gt;"","No hay nada")))</f>
        <v>#VALUE!</v>
      </c>
    </row>
    <row r="120" spans="1:2" x14ac:dyDescent="0.3">
      <c r="A120" t="e">
        <f>Tabla27[[#This Row],[Agrupación]]</f>
        <v>#VALUE!</v>
      </c>
      <c r="B120" t="e" cm="1">
        <f t="array" ref="B120">TRANSPOSE((_xlfn._xlws.FILTER(INDEX(ProductosPivot!$C$6:$E$1000,,MATCH($A120,ProductosPivot!$C$5:$E$5,0)),INDEX(ProductosPivot!$C$6:$E$1000,,MATCH($A120,ProductosPivot!$C$5:$E$5,0))&lt;&gt;"","No hay nada")))</f>
        <v>#VALUE!</v>
      </c>
    </row>
    <row r="121" spans="1:2" x14ac:dyDescent="0.3">
      <c r="A121" t="e">
        <f>Tabla27[[#This Row],[Agrupación]]</f>
        <v>#VALUE!</v>
      </c>
      <c r="B121" t="e" cm="1">
        <f t="array" ref="B121">TRANSPOSE((_xlfn._xlws.FILTER(INDEX(ProductosPivot!$C$6:$E$1000,,MATCH($A121,ProductosPivot!$C$5:$E$5,0)),INDEX(ProductosPivot!$C$6:$E$1000,,MATCH($A121,ProductosPivot!$C$5:$E$5,0))&lt;&gt;"","No hay nada")))</f>
        <v>#VALUE!</v>
      </c>
    </row>
    <row r="122" spans="1:2" x14ac:dyDescent="0.3">
      <c r="A122" t="e">
        <f>Tabla27[[#This Row],[Agrupación]]</f>
        <v>#VALUE!</v>
      </c>
      <c r="B122" t="e" cm="1">
        <f t="array" ref="B122">TRANSPOSE((_xlfn._xlws.FILTER(INDEX(ProductosPivot!$C$6:$E$1000,,MATCH($A122,ProductosPivot!$C$5:$E$5,0)),INDEX(ProductosPivot!$C$6:$E$1000,,MATCH($A122,ProductosPivot!$C$5:$E$5,0))&lt;&gt;"","No hay nada")))</f>
        <v>#VALUE!</v>
      </c>
    </row>
    <row r="123" spans="1:2" x14ac:dyDescent="0.3">
      <c r="A123" t="e">
        <f>Tabla27[[#This Row],[Agrupación]]</f>
        <v>#VALUE!</v>
      </c>
      <c r="B123" t="e" cm="1">
        <f t="array" ref="B123">TRANSPOSE((_xlfn._xlws.FILTER(INDEX(ProductosPivot!$C$6:$E$1000,,MATCH($A123,ProductosPivot!$C$5:$E$5,0)),INDEX(ProductosPivot!$C$6:$E$1000,,MATCH($A123,ProductosPivot!$C$5:$E$5,0))&lt;&gt;"","No hay nada")))</f>
        <v>#VALUE!</v>
      </c>
    </row>
    <row r="124" spans="1:2" x14ac:dyDescent="0.3">
      <c r="A124" t="e">
        <f>Tabla27[[#This Row],[Agrupación]]</f>
        <v>#VALUE!</v>
      </c>
      <c r="B124" t="e" cm="1">
        <f t="array" ref="B124">TRANSPOSE((_xlfn._xlws.FILTER(INDEX(ProductosPivot!$C$6:$E$1000,,MATCH($A124,ProductosPivot!$C$5:$E$5,0)),INDEX(ProductosPivot!$C$6:$E$1000,,MATCH($A124,ProductosPivot!$C$5:$E$5,0))&lt;&gt;"","No hay nada")))</f>
        <v>#VALUE!</v>
      </c>
    </row>
    <row r="125" spans="1:2" x14ac:dyDescent="0.3">
      <c r="A125" t="e">
        <f>Tabla27[[#This Row],[Agrupación]]</f>
        <v>#VALUE!</v>
      </c>
      <c r="B125" t="e" cm="1">
        <f t="array" ref="B125">TRANSPOSE((_xlfn._xlws.FILTER(INDEX(ProductosPivot!$C$6:$E$1000,,MATCH($A125,ProductosPivot!$C$5:$E$5,0)),INDEX(ProductosPivot!$C$6:$E$1000,,MATCH($A125,ProductosPivot!$C$5:$E$5,0))&lt;&gt;"","No hay nada")))</f>
        <v>#VALUE!</v>
      </c>
    </row>
    <row r="126" spans="1:2" x14ac:dyDescent="0.3">
      <c r="A126" t="e">
        <f>Tabla27[[#This Row],[Agrupación]]</f>
        <v>#VALUE!</v>
      </c>
      <c r="B126" t="e" cm="1">
        <f t="array" ref="B126">TRANSPOSE((_xlfn._xlws.FILTER(INDEX(ProductosPivot!$C$6:$E$1000,,MATCH($A126,ProductosPivot!$C$5:$E$5,0)),INDEX(ProductosPivot!$C$6:$E$1000,,MATCH($A126,ProductosPivot!$C$5:$E$5,0))&lt;&gt;"","No hay nada")))</f>
        <v>#VALUE!</v>
      </c>
    </row>
    <row r="127" spans="1:2" x14ac:dyDescent="0.3">
      <c r="A127" t="e">
        <f>Tabla27[[#This Row],[Agrupación]]</f>
        <v>#VALUE!</v>
      </c>
      <c r="B127" t="e" cm="1">
        <f t="array" ref="B127">TRANSPOSE((_xlfn._xlws.FILTER(INDEX(ProductosPivot!$C$6:$E$1000,,MATCH($A127,ProductosPivot!$C$5:$E$5,0)),INDEX(ProductosPivot!$C$6:$E$1000,,MATCH($A127,ProductosPivot!$C$5:$E$5,0))&lt;&gt;"","No hay nada")))</f>
        <v>#VALUE!</v>
      </c>
    </row>
    <row r="128" spans="1:2" x14ac:dyDescent="0.3">
      <c r="A128" t="e">
        <f>Tabla27[[#This Row],[Agrupación]]</f>
        <v>#VALUE!</v>
      </c>
      <c r="B128" t="e" cm="1">
        <f t="array" ref="B128">TRANSPOSE((_xlfn._xlws.FILTER(INDEX(ProductosPivot!$C$6:$E$1000,,MATCH($A128,ProductosPivot!$C$5:$E$5,0)),INDEX(ProductosPivot!$C$6:$E$1000,,MATCH($A128,ProductosPivot!$C$5:$E$5,0))&lt;&gt;"","No hay nada")))</f>
        <v>#VALUE!</v>
      </c>
    </row>
    <row r="129" spans="1:2" x14ac:dyDescent="0.3">
      <c r="A129" t="e">
        <f>Tabla27[[#This Row],[Agrupación]]</f>
        <v>#VALUE!</v>
      </c>
      <c r="B129" t="e" cm="1">
        <f t="array" ref="B129">TRANSPOSE((_xlfn._xlws.FILTER(INDEX(ProductosPivot!$C$6:$E$1000,,MATCH($A129,ProductosPivot!$C$5:$E$5,0)),INDEX(ProductosPivot!$C$6:$E$1000,,MATCH($A129,ProductosPivot!$C$5:$E$5,0))&lt;&gt;"","No hay nada")))</f>
        <v>#VALUE!</v>
      </c>
    </row>
    <row r="130" spans="1:2" x14ac:dyDescent="0.3">
      <c r="A130" t="e">
        <f>Tabla27[[#This Row],[Agrupación]]</f>
        <v>#VALUE!</v>
      </c>
      <c r="B130" t="e" cm="1">
        <f t="array" ref="B130">TRANSPOSE((_xlfn._xlws.FILTER(INDEX(ProductosPivot!$C$6:$E$1000,,MATCH($A130,ProductosPivot!$C$5:$E$5,0)),INDEX(ProductosPivot!$C$6:$E$1000,,MATCH($A130,ProductosPivot!$C$5:$E$5,0))&lt;&gt;"","No hay nada")))</f>
        <v>#VALUE!</v>
      </c>
    </row>
    <row r="131" spans="1:2" x14ac:dyDescent="0.3">
      <c r="A131" t="e">
        <f>Tabla27[[#This Row],[Agrupación]]</f>
        <v>#VALUE!</v>
      </c>
      <c r="B131" t="e" cm="1">
        <f t="array" ref="B131">TRANSPOSE((_xlfn._xlws.FILTER(INDEX(ProductosPivot!$C$6:$E$1000,,MATCH($A131,ProductosPivot!$C$5:$E$5,0)),INDEX(ProductosPivot!$C$6:$E$1000,,MATCH($A131,ProductosPivot!$C$5:$E$5,0))&lt;&gt;"","No hay nada")))</f>
        <v>#VALUE!</v>
      </c>
    </row>
    <row r="132" spans="1:2" x14ac:dyDescent="0.3">
      <c r="A132" t="e">
        <f>Tabla27[[#This Row],[Agrupación]]</f>
        <v>#VALUE!</v>
      </c>
      <c r="B132" t="e" cm="1">
        <f t="array" ref="B132">TRANSPOSE((_xlfn._xlws.FILTER(INDEX(ProductosPivot!$C$6:$E$1000,,MATCH($A132,ProductosPivot!$C$5:$E$5,0)),INDEX(ProductosPivot!$C$6:$E$1000,,MATCH($A132,ProductosPivot!$C$5:$E$5,0))&lt;&gt;"","No hay nada")))</f>
        <v>#VALUE!</v>
      </c>
    </row>
    <row r="133" spans="1:2" x14ac:dyDescent="0.3">
      <c r="A133" t="e">
        <f>Tabla27[[#This Row],[Agrupación]]</f>
        <v>#VALUE!</v>
      </c>
      <c r="B133" t="e" cm="1">
        <f t="array" ref="B133">TRANSPOSE((_xlfn._xlws.FILTER(INDEX(ProductosPivot!$C$6:$E$1000,,MATCH($A133,ProductosPivot!$C$5:$E$5,0)),INDEX(ProductosPivot!$C$6:$E$1000,,MATCH($A133,ProductosPivot!$C$5:$E$5,0))&lt;&gt;"","No hay nada")))</f>
        <v>#VALUE!</v>
      </c>
    </row>
    <row r="134" spans="1:2" x14ac:dyDescent="0.3">
      <c r="A134" t="e">
        <f>Tabla27[[#This Row],[Agrupación]]</f>
        <v>#VALUE!</v>
      </c>
      <c r="B134" t="e" cm="1">
        <f t="array" ref="B134">TRANSPOSE((_xlfn._xlws.FILTER(INDEX(ProductosPivot!$C$6:$E$1000,,MATCH($A134,ProductosPivot!$C$5:$E$5,0)),INDEX(ProductosPivot!$C$6:$E$1000,,MATCH($A134,ProductosPivot!$C$5:$E$5,0))&lt;&gt;"","No hay nada")))</f>
        <v>#VALUE!</v>
      </c>
    </row>
    <row r="135" spans="1:2" x14ac:dyDescent="0.3">
      <c r="A135" t="e">
        <f>Tabla27[[#This Row],[Agrupación]]</f>
        <v>#VALUE!</v>
      </c>
      <c r="B135" t="e" cm="1">
        <f t="array" ref="B135">TRANSPOSE((_xlfn._xlws.FILTER(INDEX(ProductosPivot!$C$6:$E$1000,,MATCH($A135,ProductosPivot!$C$5:$E$5,0)),INDEX(ProductosPivot!$C$6:$E$1000,,MATCH($A135,ProductosPivot!$C$5:$E$5,0))&lt;&gt;"","No hay nada")))</f>
        <v>#VALUE!</v>
      </c>
    </row>
    <row r="136" spans="1:2" x14ac:dyDescent="0.3">
      <c r="A136" t="e">
        <f>Tabla27[[#This Row],[Agrupación]]</f>
        <v>#VALUE!</v>
      </c>
      <c r="B136" t="e" cm="1">
        <f t="array" ref="B136">TRANSPOSE((_xlfn._xlws.FILTER(INDEX(ProductosPivot!$C$6:$E$1000,,MATCH($A136,ProductosPivot!$C$5:$E$5,0)),INDEX(ProductosPivot!$C$6:$E$1000,,MATCH($A136,ProductosPivot!$C$5:$E$5,0))&lt;&gt;"","No hay nada")))</f>
        <v>#VALUE!</v>
      </c>
    </row>
    <row r="137" spans="1:2" x14ac:dyDescent="0.3">
      <c r="A137" t="e">
        <f>Tabla27[[#This Row],[Agrupación]]</f>
        <v>#VALUE!</v>
      </c>
      <c r="B137" t="e" cm="1">
        <f t="array" ref="B137">TRANSPOSE((_xlfn._xlws.FILTER(INDEX(ProductosPivot!$C$6:$E$1000,,MATCH($A137,ProductosPivot!$C$5:$E$5,0)),INDEX(ProductosPivot!$C$6:$E$1000,,MATCH($A137,ProductosPivot!$C$5:$E$5,0))&lt;&gt;"","No hay nada")))</f>
        <v>#VALUE!</v>
      </c>
    </row>
    <row r="138" spans="1:2" x14ac:dyDescent="0.3">
      <c r="A138" t="e">
        <f>Tabla27[[#This Row],[Agrupación]]</f>
        <v>#VALUE!</v>
      </c>
      <c r="B138" t="e" cm="1">
        <f t="array" ref="B138">TRANSPOSE((_xlfn._xlws.FILTER(INDEX(ProductosPivot!$C$6:$E$1000,,MATCH($A138,ProductosPivot!$C$5:$E$5,0)),INDEX(ProductosPivot!$C$6:$E$1000,,MATCH($A138,ProductosPivot!$C$5:$E$5,0))&lt;&gt;"","No hay nada")))</f>
        <v>#VALUE!</v>
      </c>
    </row>
    <row r="139" spans="1:2" x14ac:dyDescent="0.3">
      <c r="A139" t="e">
        <f>Tabla27[[#This Row],[Agrupación]]</f>
        <v>#VALUE!</v>
      </c>
      <c r="B139" t="e" cm="1">
        <f t="array" ref="B139">TRANSPOSE((_xlfn._xlws.FILTER(INDEX(ProductosPivot!$C$6:$E$1000,,MATCH($A139,ProductosPivot!$C$5:$E$5,0)),INDEX(ProductosPivot!$C$6:$E$1000,,MATCH($A139,ProductosPivot!$C$5:$E$5,0))&lt;&gt;"","No hay nada")))</f>
        <v>#VALUE!</v>
      </c>
    </row>
    <row r="140" spans="1:2" x14ac:dyDescent="0.3">
      <c r="A140" t="e">
        <f>Tabla27[[#This Row],[Agrupación]]</f>
        <v>#VALUE!</v>
      </c>
      <c r="B140" t="e" cm="1">
        <f t="array" ref="B140">TRANSPOSE((_xlfn._xlws.FILTER(INDEX(ProductosPivot!$C$6:$E$1000,,MATCH($A140,ProductosPivot!$C$5:$E$5,0)),INDEX(ProductosPivot!$C$6:$E$1000,,MATCH($A140,ProductosPivot!$C$5:$E$5,0))&lt;&gt;"","No hay nada")))</f>
        <v>#VALUE!</v>
      </c>
    </row>
    <row r="141" spans="1:2" x14ac:dyDescent="0.3">
      <c r="A141" t="e">
        <f>Tabla27[[#This Row],[Agrupación]]</f>
        <v>#VALUE!</v>
      </c>
      <c r="B141" t="e" cm="1">
        <f t="array" ref="B141">TRANSPOSE((_xlfn._xlws.FILTER(INDEX(ProductosPivot!$C$6:$E$1000,,MATCH($A141,ProductosPivot!$C$5:$E$5,0)),INDEX(ProductosPivot!$C$6:$E$1000,,MATCH($A141,ProductosPivot!$C$5:$E$5,0))&lt;&gt;"","No hay nada")))</f>
        <v>#VALUE!</v>
      </c>
    </row>
    <row r="142" spans="1:2" x14ac:dyDescent="0.3">
      <c r="A142" t="e">
        <f>Tabla27[[#This Row],[Agrupación]]</f>
        <v>#VALUE!</v>
      </c>
      <c r="B142" t="e" cm="1">
        <f t="array" ref="B142">TRANSPOSE((_xlfn._xlws.FILTER(INDEX(ProductosPivot!$C$6:$E$1000,,MATCH($A142,ProductosPivot!$C$5:$E$5,0)),INDEX(ProductosPivot!$C$6:$E$1000,,MATCH($A142,ProductosPivot!$C$5:$E$5,0))&lt;&gt;"","No hay nada")))</f>
        <v>#VALUE!</v>
      </c>
    </row>
    <row r="143" spans="1:2" x14ac:dyDescent="0.3">
      <c r="A143" t="e">
        <f>Tabla27[[#This Row],[Agrupación]]</f>
        <v>#VALUE!</v>
      </c>
      <c r="B143" t="e" cm="1">
        <f t="array" ref="B143">TRANSPOSE((_xlfn._xlws.FILTER(INDEX(ProductosPivot!$C$6:$E$1000,,MATCH($A143,ProductosPivot!$C$5:$E$5,0)),INDEX(ProductosPivot!$C$6:$E$1000,,MATCH($A143,ProductosPivot!$C$5:$E$5,0))&lt;&gt;"","No hay nada")))</f>
        <v>#VALUE!</v>
      </c>
    </row>
    <row r="144" spans="1:2" x14ac:dyDescent="0.3">
      <c r="A144" t="e">
        <f>Tabla27[[#This Row],[Agrupación]]</f>
        <v>#VALUE!</v>
      </c>
      <c r="B144" t="e" cm="1">
        <f t="array" ref="B144">TRANSPOSE((_xlfn._xlws.FILTER(INDEX(ProductosPivot!$C$6:$E$1000,,MATCH($A144,ProductosPivot!$C$5:$E$5,0)),INDEX(ProductosPivot!$C$6:$E$1000,,MATCH($A144,ProductosPivot!$C$5:$E$5,0))&lt;&gt;"","No hay nada")))</f>
        <v>#VALUE!</v>
      </c>
    </row>
    <row r="145" spans="1:2" x14ac:dyDescent="0.3">
      <c r="A145" t="e">
        <f>Tabla27[[#This Row],[Agrupación]]</f>
        <v>#VALUE!</v>
      </c>
      <c r="B145" t="e" cm="1">
        <f t="array" ref="B145">TRANSPOSE((_xlfn._xlws.FILTER(INDEX(ProductosPivot!$C$6:$E$1000,,MATCH($A145,ProductosPivot!$C$5:$E$5,0)),INDEX(ProductosPivot!$C$6:$E$1000,,MATCH($A145,ProductosPivot!$C$5:$E$5,0))&lt;&gt;"","No hay nada")))</f>
        <v>#VALUE!</v>
      </c>
    </row>
    <row r="146" spans="1:2" x14ac:dyDescent="0.3">
      <c r="A146" t="e">
        <f>Tabla27[[#This Row],[Agrupación]]</f>
        <v>#VALUE!</v>
      </c>
      <c r="B146" t="e" cm="1">
        <f t="array" ref="B146">TRANSPOSE((_xlfn._xlws.FILTER(INDEX(ProductosPivot!$C$6:$E$1000,,MATCH($A146,ProductosPivot!$C$5:$E$5,0)),INDEX(ProductosPivot!$C$6:$E$1000,,MATCH($A146,ProductosPivot!$C$5:$E$5,0))&lt;&gt;"","No hay nada")))</f>
        <v>#VALUE!</v>
      </c>
    </row>
    <row r="147" spans="1:2" x14ac:dyDescent="0.3">
      <c r="A147" t="e">
        <f>Tabla27[[#This Row],[Agrupación]]</f>
        <v>#VALUE!</v>
      </c>
      <c r="B147" t="e" cm="1">
        <f t="array" ref="B147">TRANSPOSE((_xlfn._xlws.FILTER(INDEX(ProductosPivot!$C$6:$E$1000,,MATCH($A147,ProductosPivot!$C$5:$E$5,0)),INDEX(ProductosPivot!$C$6:$E$1000,,MATCH($A147,ProductosPivot!$C$5:$E$5,0))&lt;&gt;"","No hay nada")))</f>
        <v>#VALUE!</v>
      </c>
    </row>
    <row r="148" spans="1:2" x14ac:dyDescent="0.3">
      <c r="A148" t="e">
        <f>Tabla27[[#This Row],[Agrupación]]</f>
        <v>#VALUE!</v>
      </c>
      <c r="B148" t="e" cm="1">
        <f t="array" ref="B148">TRANSPOSE((_xlfn._xlws.FILTER(INDEX(ProductosPivot!$C$6:$E$1000,,MATCH($A148,ProductosPivot!$C$5:$E$5,0)),INDEX(ProductosPivot!$C$6:$E$1000,,MATCH($A148,ProductosPivot!$C$5:$E$5,0))&lt;&gt;"","No hay nada")))</f>
        <v>#VALUE!</v>
      </c>
    </row>
    <row r="149" spans="1:2" x14ac:dyDescent="0.3">
      <c r="A149" t="e">
        <f>Tabla27[[#This Row],[Agrupación]]</f>
        <v>#VALUE!</v>
      </c>
      <c r="B149" t="e" cm="1">
        <f t="array" ref="B149">TRANSPOSE((_xlfn._xlws.FILTER(INDEX(ProductosPivot!$C$6:$E$1000,,MATCH($A149,ProductosPivot!$C$5:$E$5,0)),INDEX(ProductosPivot!$C$6:$E$1000,,MATCH($A149,ProductosPivot!$C$5:$E$5,0))&lt;&gt;"","No hay nada")))</f>
        <v>#VALUE!</v>
      </c>
    </row>
    <row r="150" spans="1:2" x14ac:dyDescent="0.3">
      <c r="A150" t="e">
        <f>Tabla27[[#This Row],[Agrupación]]</f>
        <v>#VALUE!</v>
      </c>
      <c r="B150" t="e" cm="1">
        <f t="array" ref="B150">TRANSPOSE((_xlfn._xlws.FILTER(INDEX(ProductosPivot!$C$6:$E$1000,,MATCH($A150,ProductosPivot!$C$5:$E$5,0)),INDEX(ProductosPivot!$C$6:$E$1000,,MATCH($A150,ProductosPivot!$C$5:$E$5,0))&lt;&gt;"","No hay nada")))</f>
        <v>#VALUE!</v>
      </c>
    </row>
    <row r="151" spans="1:2" x14ac:dyDescent="0.3">
      <c r="A151" t="e">
        <f>Tabla27[[#This Row],[Agrupación]]</f>
        <v>#VALUE!</v>
      </c>
      <c r="B151" t="e" cm="1">
        <f t="array" ref="B151">TRANSPOSE((_xlfn._xlws.FILTER(INDEX(ProductosPivot!$C$6:$E$1000,,MATCH($A151,ProductosPivot!$C$5:$E$5,0)),INDEX(ProductosPivot!$C$6:$E$1000,,MATCH($A151,ProductosPivot!$C$5:$E$5,0))&lt;&gt;"","No hay nada")))</f>
        <v>#VALUE!</v>
      </c>
    </row>
    <row r="152" spans="1:2" x14ac:dyDescent="0.3">
      <c r="A152" t="e">
        <f>Tabla27[[#This Row],[Agrupación]]</f>
        <v>#VALUE!</v>
      </c>
      <c r="B152" t="e" cm="1">
        <f t="array" ref="B152">TRANSPOSE((_xlfn._xlws.FILTER(INDEX(ProductosPivot!$C$6:$E$1000,,MATCH($A152,ProductosPivot!$C$5:$E$5,0)),INDEX(ProductosPivot!$C$6:$E$1000,,MATCH($A152,ProductosPivot!$C$5:$E$5,0))&lt;&gt;"","No hay nada")))</f>
        <v>#VALUE!</v>
      </c>
    </row>
    <row r="153" spans="1:2" x14ac:dyDescent="0.3">
      <c r="A153" t="e">
        <f>Tabla27[[#This Row],[Agrupación]]</f>
        <v>#VALUE!</v>
      </c>
      <c r="B153" t="e" cm="1">
        <f t="array" ref="B153">TRANSPOSE((_xlfn._xlws.FILTER(INDEX(ProductosPivot!$C$6:$E$1000,,MATCH($A153,ProductosPivot!$C$5:$E$5,0)),INDEX(ProductosPivot!$C$6:$E$1000,,MATCH($A153,ProductosPivot!$C$5:$E$5,0))&lt;&gt;"","No hay nada")))</f>
        <v>#VALUE!</v>
      </c>
    </row>
    <row r="154" spans="1:2" x14ac:dyDescent="0.3">
      <c r="A154" t="e">
        <f>Tabla27[[#This Row],[Agrupación]]</f>
        <v>#VALUE!</v>
      </c>
      <c r="B154" t="e" cm="1">
        <f t="array" ref="B154">TRANSPOSE((_xlfn._xlws.FILTER(INDEX(ProductosPivot!$C$6:$E$1000,,MATCH($A154,ProductosPivot!$C$5:$E$5,0)),INDEX(ProductosPivot!$C$6:$E$1000,,MATCH($A154,ProductosPivot!$C$5:$E$5,0))&lt;&gt;"","No hay nada")))</f>
        <v>#VALUE!</v>
      </c>
    </row>
    <row r="155" spans="1:2" x14ac:dyDescent="0.3">
      <c r="A155" t="e">
        <f>Tabla27[[#This Row],[Agrupación]]</f>
        <v>#VALUE!</v>
      </c>
      <c r="B155" t="e" cm="1">
        <f t="array" ref="B155">TRANSPOSE((_xlfn._xlws.FILTER(INDEX(ProductosPivot!$C$6:$E$1000,,MATCH($A155,ProductosPivot!$C$5:$E$5,0)),INDEX(ProductosPivot!$C$6:$E$1000,,MATCH($A155,ProductosPivot!$C$5:$E$5,0))&lt;&gt;"","No hay nada")))</f>
        <v>#VALUE!</v>
      </c>
    </row>
    <row r="156" spans="1:2" x14ac:dyDescent="0.3">
      <c r="A156" t="e">
        <f>Tabla27[[#This Row],[Agrupación]]</f>
        <v>#VALUE!</v>
      </c>
      <c r="B156" t="e" cm="1">
        <f t="array" ref="B156">TRANSPOSE((_xlfn._xlws.FILTER(INDEX(ProductosPivot!$C$6:$E$1000,,MATCH($A156,ProductosPivot!$C$5:$E$5,0)),INDEX(ProductosPivot!$C$6:$E$1000,,MATCH($A156,ProductosPivot!$C$5:$E$5,0))&lt;&gt;"","No hay nada")))</f>
        <v>#VALUE!</v>
      </c>
    </row>
    <row r="157" spans="1:2" x14ac:dyDescent="0.3">
      <c r="A157" t="e">
        <f>Tabla27[[#This Row],[Agrupación]]</f>
        <v>#VALUE!</v>
      </c>
      <c r="B157" t="e" cm="1">
        <f t="array" ref="B157">TRANSPOSE((_xlfn._xlws.FILTER(INDEX(ProductosPivot!$C$6:$E$1000,,MATCH($A157,ProductosPivot!$C$5:$E$5,0)),INDEX(ProductosPivot!$C$6:$E$1000,,MATCH($A157,ProductosPivot!$C$5:$E$5,0))&lt;&gt;"","No hay nada")))</f>
        <v>#VALUE!</v>
      </c>
    </row>
    <row r="158" spans="1:2" x14ac:dyDescent="0.3">
      <c r="A158" t="e">
        <f>Tabla27[[#This Row],[Agrupación]]</f>
        <v>#VALUE!</v>
      </c>
      <c r="B158" t="e" cm="1">
        <f t="array" ref="B158">TRANSPOSE((_xlfn._xlws.FILTER(INDEX(ProductosPivot!$C$6:$E$1000,,MATCH($A158,ProductosPivot!$C$5:$E$5,0)),INDEX(ProductosPivot!$C$6:$E$1000,,MATCH($A158,ProductosPivot!$C$5:$E$5,0))&lt;&gt;"","No hay nada")))</f>
        <v>#VALUE!</v>
      </c>
    </row>
    <row r="159" spans="1:2" x14ac:dyDescent="0.3">
      <c r="A159" t="e">
        <f>Tabla27[[#This Row],[Agrupación]]</f>
        <v>#VALUE!</v>
      </c>
      <c r="B159" t="e" cm="1">
        <f t="array" ref="B159">TRANSPOSE((_xlfn._xlws.FILTER(INDEX(ProductosPivot!$C$6:$E$1000,,MATCH($A159,ProductosPivot!$C$5:$E$5,0)),INDEX(ProductosPivot!$C$6:$E$1000,,MATCH($A159,ProductosPivot!$C$5:$E$5,0))&lt;&gt;"","No hay nada")))</f>
        <v>#VALUE!</v>
      </c>
    </row>
    <row r="160" spans="1:2" x14ac:dyDescent="0.3">
      <c r="A160" t="e">
        <f>Tabla27[[#This Row],[Agrupación]]</f>
        <v>#VALUE!</v>
      </c>
      <c r="B160" t="e" cm="1">
        <f t="array" ref="B160">TRANSPOSE((_xlfn._xlws.FILTER(INDEX(ProductosPivot!$C$6:$E$1000,,MATCH($A160,ProductosPivot!$C$5:$E$5,0)),INDEX(ProductosPivot!$C$6:$E$1000,,MATCH($A160,ProductosPivot!$C$5:$E$5,0))&lt;&gt;"","No hay nada")))</f>
        <v>#VALUE!</v>
      </c>
    </row>
    <row r="161" spans="1:2" x14ac:dyDescent="0.3">
      <c r="A161" t="e">
        <f>Tabla27[[#This Row],[Agrupación]]</f>
        <v>#VALUE!</v>
      </c>
      <c r="B161" t="e" cm="1">
        <f t="array" ref="B161">TRANSPOSE((_xlfn._xlws.FILTER(INDEX(ProductosPivot!$C$6:$E$1000,,MATCH($A161,ProductosPivot!$C$5:$E$5,0)),INDEX(ProductosPivot!$C$6:$E$1000,,MATCH($A161,ProductosPivot!$C$5:$E$5,0))&lt;&gt;"","No hay nada")))</f>
        <v>#VALUE!</v>
      </c>
    </row>
    <row r="162" spans="1:2" x14ac:dyDescent="0.3">
      <c r="A162" t="e">
        <f>Tabla27[[#This Row],[Agrupación]]</f>
        <v>#VALUE!</v>
      </c>
      <c r="B162" t="e" cm="1">
        <f t="array" ref="B162">TRANSPOSE((_xlfn._xlws.FILTER(INDEX(ProductosPivot!$C$6:$E$1000,,MATCH($A162,ProductosPivot!$C$5:$E$5,0)),INDEX(ProductosPivot!$C$6:$E$1000,,MATCH($A162,ProductosPivot!$C$5:$E$5,0))&lt;&gt;"","No hay nada")))</f>
        <v>#VALUE!</v>
      </c>
    </row>
    <row r="163" spans="1:2" x14ac:dyDescent="0.3">
      <c r="A163" t="e">
        <f>Tabla27[[#This Row],[Agrupación]]</f>
        <v>#VALUE!</v>
      </c>
      <c r="B163" t="e" cm="1">
        <f t="array" ref="B163">TRANSPOSE((_xlfn._xlws.FILTER(INDEX(ProductosPivot!$C$6:$E$1000,,MATCH($A163,ProductosPivot!$C$5:$E$5,0)),INDEX(ProductosPivot!$C$6:$E$1000,,MATCH($A163,ProductosPivot!$C$5:$E$5,0))&lt;&gt;"","No hay nada")))</f>
        <v>#VALUE!</v>
      </c>
    </row>
    <row r="164" spans="1:2" x14ac:dyDescent="0.3">
      <c r="A164" t="e">
        <f>Tabla27[[#This Row],[Agrupación]]</f>
        <v>#VALUE!</v>
      </c>
      <c r="B164" t="e" cm="1">
        <f t="array" ref="B164">TRANSPOSE((_xlfn._xlws.FILTER(INDEX(ProductosPivot!$C$6:$E$1000,,MATCH($A164,ProductosPivot!$C$5:$E$5,0)),INDEX(ProductosPivot!$C$6:$E$1000,,MATCH($A164,ProductosPivot!$C$5:$E$5,0))&lt;&gt;"","No hay nada")))</f>
        <v>#VALUE!</v>
      </c>
    </row>
    <row r="165" spans="1:2" x14ac:dyDescent="0.3">
      <c r="A165" t="e">
        <f>Tabla27[[#This Row],[Agrupación]]</f>
        <v>#VALUE!</v>
      </c>
      <c r="B165" t="e" cm="1">
        <f t="array" ref="B165">TRANSPOSE((_xlfn._xlws.FILTER(INDEX(ProductosPivot!$C$6:$E$1000,,MATCH($A165,ProductosPivot!$C$5:$E$5,0)),INDEX(ProductosPivot!$C$6:$E$1000,,MATCH($A165,ProductosPivot!$C$5:$E$5,0))&lt;&gt;"","No hay nada")))</f>
        <v>#VALUE!</v>
      </c>
    </row>
    <row r="166" spans="1:2" x14ac:dyDescent="0.3">
      <c r="A166" t="e">
        <f>Tabla27[[#This Row],[Agrupación]]</f>
        <v>#VALUE!</v>
      </c>
      <c r="B166" t="e" cm="1">
        <f t="array" ref="B166">TRANSPOSE((_xlfn._xlws.FILTER(INDEX(ProductosPivot!$C$6:$E$1000,,MATCH($A166,ProductosPivot!$C$5:$E$5,0)),INDEX(ProductosPivot!$C$6:$E$1000,,MATCH($A166,ProductosPivot!$C$5:$E$5,0))&lt;&gt;"","No hay nada")))</f>
        <v>#VALUE!</v>
      </c>
    </row>
    <row r="167" spans="1:2" x14ac:dyDescent="0.3">
      <c r="A167" t="e">
        <f>Tabla27[[#This Row],[Agrupación]]</f>
        <v>#VALUE!</v>
      </c>
      <c r="B167" t="e" cm="1">
        <f t="array" ref="B167">TRANSPOSE((_xlfn._xlws.FILTER(INDEX(ProductosPivot!$C$6:$E$1000,,MATCH($A167,ProductosPivot!$C$5:$E$5,0)),INDEX(ProductosPivot!$C$6:$E$1000,,MATCH($A167,ProductosPivot!$C$5:$E$5,0))&lt;&gt;"","No hay nada")))</f>
        <v>#VALUE!</v>
      </c>
    </row>
    <row r="168" spans="1:2" x14ac:dyDescent="0.3">
      <c r="A168" t="e">
        <f>Tabla27[[#This Row],[Agrupación]]</f>
        <v>#VALUE!</v>
      </c>
      <c r="B168" t="e" cm="1">
        <f t="array" ref="B168">TRANSPOSE((_xlfn._xlws.FILTER(INDEX(ProductosPivot!$C$6:$E$1000,,MATCH($A168,ProductosPivot!$C$5:$E$5,0)),INDEX(ProductosPivot!$C$6:$E$1000,,MATCH($A168,ProductosPivot!$C$5:$E$5,0))&lt;&gt;"","No hay nada")))</f>
        <v>#VALUE!</v>
      </c>
    </row>
    <row r="169" spans="1:2" x14ac:dyDescent="0.3">
      <c r="A169" t="e">
        <f>Tabla27[[#This Row],[Agrupación]]</f>
        <v>#VALUE!</v>
      </c>
      <c r="B169" t="e" cm="1">
        <f t="array" ref="B169">TRANSPOSE((_xlfn._xlws.FILTER(INDEX(ProductosPivot!$C$6:$E$1000,,MATCH($A169,ProductosPivot!$C$5:$E$5,0)),INDEX(ProductosPivot!$C$6:$E$1000,,MATCH($A169,ProductosPivot!$C$5:$E$5,0))&lt;&gt;"","No hay nada")))</f>
        <v>#VALUE!</v>
      </c>
    </row>
    <row r="170" spans="1:2" x14ac:dyDescent="0.3">
      <c r="A170" t="e">
        <f>Tabla27[[#This Row],[Agrupación]]</f>
        <v>#VALUE!</v>
      </c>
      <c r="B170" t="e" cm="1">
        <f t="array" ref="B170">TRANSPOSE((_xlfn._xlws.FILTER(INDEX(ProductosPivot!$C$6:$E$1000,,MATCH($A170,ProductosPivot!$C$5:$E$5,0)),INDEX(ProductosPivot!$C$6:$E$1000,,MATCH($A170,ProductosPivot!$C$5:$E$5,0))&lt;&gt;"","No hay nada")))</f>
        <v>#VALUE!</v>
      </c>
    </row>
    <row r="171" spans="1:2" x14ac:dyDescent="0.3">
      <c r="A171" t="e">
        <f>Tabla27[[#This Row],[Agrupación]]</f>
        <v>#VALUE!</v>
      </c>
      <c r="B171" t="e" cm="1">
        <f t="array" ref="B171">TRANSPOSE((_xlfn._xlws.FILTER(INDEX(ProductosPivot!$C$6:$E$1000,,MATCH($A171,ProductosPivot!$C$5:$E$5,0)),INDEX(ProductosPivot!$C$6:$E$1000,,MATCH($A171,ProductosPivot!$C$5:$E$5,0))&lt;&gt;"","No hay nada")))</f>
        <v>#VALUE!</v>
      </c>
    </row>
    <row r="172" spans="1:2" x14ac:dyDescent="0.3">
      <c r="A172" t="e">
        <f>Tabla27[[#This Row],[Agrupación]]</f>
        <v>#VALUE!</v>
      </c>
      <c r="B172" t="e" cm="1">
        <f t="array" ref="B172">TRANSPOSE((_xlfn._xlws.FILTER(INDEX(ProductosPivot!$C$6:$E$1000,,MATCH($A172,ProductosPivot!$C$5:$E$5,0)),INDEX(ProductosPivot!$C$6:$E$1000,,MATCH($A172,ProductosPivot!$C$5:$E$5,0))&lt;&gt;"","No hay nada")))</f>
        <v>#VALUE!</v>
      </c>
    </row>
    <row r="173" spans="1:2" x14ac:dyDescent="0.3">
      <c r="A173" t="e">
        <f>Tabla27[[#This Row],[Agrupación]]</f>
        <v>#VALUE!</v>
      </c>
      <c r="B173" t="e" cm="1">
        <f t="array" ref="B173">TRANSPOSE((_xlfn._xlws.FILTER(INDEX(ProductosPivot!$C$6:$E$1000,,MATCH($A173,ProductosPivot!$C$5:$E$5,0)),INDEX(ProductosPivot!$C$6:$E$1000,,MATCH($A173,ProductosPivot!$C$5:$E$5,0))&lt;&gt;"","No hay nada")))</f>
        <v>#VALUE!</v>
      </c>
    </row>
    <row r="174" spans="1:2" x14ac:dyDescent="0.3">
      <c r="A174" t="e">
        <f>Tabla27[[#This Row],[Agrupación]]</f>
        <v>#VALUE!</v>
      </c>
      <c r="B174" t="e" cm="1">
        <f t="array" ref="B174">TRANSPOSE((_xlfn._xlws.FILTER(INDEX(ProductosPivot!$C$6:$E$1000,,MATCH($A174,ProductosPivot!$C$5:$E$5,0)),INDEX(ProductosPivot!$C$6:$E$1000,,MATCH($A174,ProductosPivot!$C$5:$E$5,0))&lt;&gt;"","No hay nada")))</f>
        <v>#VALUE!</v>
      </c>
    </row>
    <row r="175" spans="1:2" x14ac:dyDescent="0.3">
      <c r="A175" t="e">
        <f>Tabla27[[#This Row],[Agrupación]]</f>
        <v>#VALUE!</v>
      </c>
      <c r="B175" t="e" cm="1">
        <f t="array" ref="B175">TRANSPOSE((_xlfn._xlws.FILTER(INDEX(ProductosPivot!$C$6:$E$1000,,MATCH($A175,ProductosPivot!$C$5:$E$5,0)),INDEX(ProductosPivot!$C$6:$E$1000,,MATCH($A175,ProductosPivot!$C$5:$E$5,0))&lt;&gt;"","No hay nada")))</f>
        <v>#VALUE!</v>
      </c>
    </row>
    <row r="176" spans="1:2" x14ac:dyDescent="0.3">
      <c r="A176" t="e">
        <f>Tabla27[[#This Row],[Agrupación]]</f>
        <v>#VALUE!</v>
      </c>
      <c r="B176" t="e" cm="1">
        <f t="array" ref="B176">TRANSPOSE((_xlfn._xlws.FILTER(INDEX(ProductosPivot!$C$6:$E$1000,,MATCH($A176,ProductosPivot!$C$5:$E$5,0)),INDEX(ProductosPivot!$C$6:$E$1000,,MATCH($A176,ProductosPivot!$C$5:$E$5,0))&lt;&gt;"","No hay nada")))</f>
        <v>#VALUE!</v>
      </c>
    </row>
    <row r="177" spans="1:2" x14ac:dyDescent="0.3">
      <c r="A177" t="e">
        <f>Tabla27[[#This Row],[Agrupación]]</f>
        <v>#VALUE!</v>
      </c>
      <c r="B177" t="e" cm="1">
        <f t="array" ref="B177">TRANSPOSE((_xlfn._xlws.FILTER(INDEX(ProductosPivot!$C$6:$E$1000,,MATCH($A177,ProductosPivot!$C$5:$E$5,0)),INDEX(ProductosPivot!$C$6:$E$1000,,MATCH($A177,ProductosPivot!$C$5:$E$5,0))&lt;&gt;"","No hay nada")))</f>
        <v>#VALUE!</v>
      </c>
    </row>
    <row r="178" spans="1:2" x14ac:dyDescent="0.3">
      <c r="A178" t="e">
        <f>Tabla27[[#This Row],[Agrupación]]</f>
        <v>#VALUE!</v>
      </c>
      <c r="B178" t="e" cm="1">
        <f t="array" ref="B178">TRANSPOSE((_xlfn._xlws.FILTER(INDEX(ProductosPivot!$C$6:$E$1000,,MATCH($A178,ProductosPivot!$C$5:$E$5,0)),INDEX(ProductosPivot!$C$6:$E$1000,,MATCH($A178,ProductosPivot!$C$5:$E$5,0))&lt;&gt;"","No hay nada")))</f>
        <v>#VALUE!</v>
      </c>
    </row>
    <row r="179" spans="1:2" x14ac:dyDescent="0.3">
      <c r="A179" t="e">
        <f>Tabla27[[#This Row],[Agrupación]]</f>
        <v>#VALUE!</v>
      </c>
      <c r="B179" t="e" cm="1">
        <f t="array" ref="B179">TRANSPOSE((_xlfn._xlws.FILTER(INDEX(ProductosPivot!$C$6:$E$1000,,MATCH($A179,ProductosPivot!$C$5:$E$5,0)),INDEX(ProductosPivot!$C$6:$E$1000,,MATCH($A179,ProductosPivot!$C$5:$E$5,0))&lt;&gt;"","No hay nada")))</f>
        <v>#VALUE!</v>
      </c>
    </row>
    <row r="180" spans="1:2" x14ac:dyDescent="0.3">
      <c r="A180" t="e">
        <f>Tabla27[[#This Row],[Agrupación]]</f>
        <v>#VALUE!</v>
      </c>
      <c r="B180" t="e" cm="1">
        <f t="array" ref="B180">TRANSPOSE((_xlfn._xlws.FILTER(INDEX(ProductosPivot!$C$6:$E$1000,,MATCH($A180,ProductosPivot!$C$5:$E$5,0)),INDEX(ProductosPivot!$C$6:$E$1000,,MATCH($A180,ProductosPivot!$C$5:$E$5,0))&lt;&gt;"","No hay nada")))</f>
        <v>#VALUE!</v>
      </c>
    </row>
    <row r="181" spans="1:2" x14ac:dyDescent="0.3">
      <c r="A181" t="e">
        <f>Tabla27[[#This Row],[Agrupación]]</f>
        <v>#VALUE!</v>
      </c>
      <c r="B181" t="e" cm="1">
        <f t="array" ref="B181">TRANSPOSE((_xlfn._xlws.FILTER(INDEX(ProductosPivot!$C$6:$E$1000,,MATCH($A181,ProductosPivot!$C$5:$E$5,0)),INDEX(ProductosPivot!$C$6:$E$1000,,MATCH($A181,ProductosPivot!$C$5:$E$5,0))&lt;&gt;"","No hay nada")))</f>
        <v>#VALUE!</v>
      </c>
    </row>
    <row r="182" spans="1:2" x14ac:dyDescent="0.3">
      <c r="A182" t="e">
        <f>Tabla27[[#This Row],[Agrupación]]</f>
        <v>#VALUE!</v>
      </c>
      <c r="B182" t="e" cm="1">
        <f t="array" ref="B182">TRANSPOSE((_xlfn._xlws.FILTER(INDEX(ProductosPivot!$C$6:$E$1000,,MATCH($A182,ProductosPivot!$C$5:$E$5,0)),INDEX(ProductosPivot!$C$6:$E$1000,,MATCH($A182,ProductosPivot!$C$5:$E$5,0))&lt;&gt;"","No hay nada")))</f>
        <v>#VALUE!</v>
      </c>
    </row>
    <row r="183" spans="1:2" x14ac:dyDescent="0.3">
      <c r="A183" t="e">
        <f>Tabla27[[#This Row],[Agrupación]]</f>
        <v>#VALUE!</v>
      </c>
      <c r="B183" t="e" cm="1">
        <f t="array" ref="B183">TRANSPOSE((_xlfn._xlws.FILTER(INDEX(ProductosPivot!$C$6:$E$1000,,MATCH($A183,ProductosPivot!$C$5:$E$5,0)),INDEX(ProductosPivot!$C$6:$E$1000,,MATCH($A183,ProductosPivot!$C$5:$E$5,0))&lt;&gt;"","No hay nada")))</f>
        <v>#VALUE!</v>
      </c>
    </row>
    <row r="184" spans="1:2" x14ac:dyDescent="0.3">
      <c r="A184" t="e">
        <f>Tabla27[[#This Row],[Agrupación]]</f>
        <v>#VALUE!</v>
      </c>
      <c r="B184" t="e" cm="1">
        <f t="array" ref="B184">TRANSPOSE((_xlfn._xlws.FILTER(INDEX(ProductosPivot!$C$6:$E$1000,,MATCH($A184,ProductosPivot!$C$5:$E$5,0)),INDEX(ProductosPivot!$C$6:$E$1000,,MATCH($A184,ProductosPivot!$C$5:$E$5,0))&lt;&gt;"","No hay nada")))</f>
        <v>#VALUE!</v>
      </c>
    </row>
    <row r="185" spans="1:2" x14ac:dyDescent="0.3">
      <c r="A185" t="e">
        <f>Tabla27[[#This Row],[Agrupación]]</f>
        <v>#VALUE!</v>
      </c>
      <c r="B185" t="e" cm="1">
        <f t="array" ref="B185">TRANSPOSE((_xlfn._xlws.FILTER(INDEX(ProductosPivot!$C$6:$E$1000,,MATCH($A185,ProductosPivot!$C$5:$E$5,0)),INDEX(ProductosPivot!$C$6:$E$1000,,MATCH($A185,ProductosPivot!$C$5:$E$5,0))&lt;&gt;"","No hay nada")))</f>
        <v>#VALUE!</v>
      </c>
    </row>
    <row r="186" spans="1:2" x14ac:dyDescent="0.3">
      <c r="A186" t="e">
        <f>Tabla27[[#This Row],[Agrupación]]</f>
        <v>#VALUE!</v>
      </c>
      <c r="B186" t="e" cm="1">
        <f t="array" ref="B186">TRANSPOSE((_xlfn._xlws.FILTER(INDEX(ProductosPivot!$C$6:$E$1000,,MATCH($A186,ProductosPivot!$C$5:$E$5,0)),INDEX(ProductosPivot!$C$6:$E$1000,,MATCH($A186,ProductosPivot!$C$5:$E$5,0))&lt;&gt;"","No hay nada")))</f>
        <v>#VALUE!</v>
      </c>
    </row>
    <row r="187" spans="1:2" x14ac:dyDescent="0.3">
      <c r="A187" t="e">
        <f>Tabla27[[#This Row],[Agrupación]]</f>
        <v>#VALUE!</v>
      </c>
      <c r="B187" t="e" cm="1">
        <f t="array" ref="B187">TRANSPOSE((_xlfn._xlws.FILTER(INDEX(ProductosPivot!$C$6:$E$1000,,MATCH($A187,ProductosPivot!$C$5:$E$5,0)),INDEX(ProductosPivot!$C$6:$E$1000,,MATCH($A187,ProductosPivot!$C$5:$E$5,0))&lt;&gt;"","No hay nada")))</f>
        <v>#VALUE!</v>
      </c>
    </row>
    <row r="188" spans="1:2" x14ac:dyDescent="0.3">
      <c r="A188" t="e">
        <f>Tabla27[[#This Row],[Agrupación]]</f>
        <v>#VALUE!</v>
      </c>
      <c r="B188" t="e" cm="1">
        <f t="array" ref="B188">TRANSPOSE((_xlfn._xlws.FILTER(INDEX(ProductosPivot!$C$6:$E$1000,,MATCH($A188,ProductosPivot!$C$5:$E$5,0)),INDEX(ProductosPivot!$C$6:$E$1000,,MATCH($A188,ProductosPivot!$C$5:$E$5,0))&lt;&gt;"","No hay nada")))</f>
        <v>#VALUE!</v>
      </c>
    </row>
    <row r="189" spans="1:2" x14ac:dyDescent="0.3">
      <c r="A189" t="e">
        <f>Tabla27[[#This Row],[Agrupación]]</f>
        <v>#VALUE!</v>
      </c>
      <c r="B189" t="e" cm="1">
        <f t="array" ref="B189">TRANSPOSE((_xlfn._xlws.FILTER(INDEX(ProductosPivot!$C$6:$E$1000,,MATCH($A189,ProductosPivot!$C$5:$E$5,0)),INDEX(ProductosPivot!$C$6:$E$1000,,MATCH($A189,ProductosPivot!$C$5:$E$5,0))&lt;&gt;"","No hay nada")))</f>
        <v>#VALUE!</v>
      </c>
    </row>
    <row r="190" spans="1:2" x14ac:dyDescent="0.3">
      <c r="A190" t="e">
        <f>Tabla27[[#This Row],[Agrupación]]</f>
        <v>#VALUE!</v>
      </c>
      <c r="B190" t="e" cm="1">
        <f t="array" ref="B190">TRANSPOSE((_xlfn._xlws.FILTER(INDEX(ProductosPivot!$C$6:$E$1000,,MATCH($A190,ProductosPivot!$C$5:$E$5,0)),INDEX(ProductosPivot!$C$6:$E$1000,,MATCH($A190,ProductosPivot!$C$5:$E$5,0))&lt;&gt;"","No hay nada")))</f>
        <v>#VALUE!</v>
      </c>
    </row>
    <row r="191" spans="1:2" x14ac:dyDescent="0.3">
      <c r="A191" t="e">
        <f>Tabla27[[#This Row],[Agrupación]]</f>
        <v>#VALUE!</v>
      </c>
      <c r="B191" t="e" cm="1">
        <f t="array" ref="B191">TRANSPOSE((_xlfn._xlws.FILTER(INDEX(ProductosPivot!$C$6:$E$1000,,MATCH($A191,ProductosPivot!$C$5:$E$5,0)),INDEX(ProductosPivot!$C$6:$E$1000,,MATCH($A191,ProductosPivot!$C$5:$E$5,0))&lt;&gt;"","No hay nada")))</f>
        <v>#VALUE!</v>
      </c>
    </row>
    <row r="192" spans="1:2" x14ac:dyDescent="0.3">
      <c r="A192" t="e">
        <f>Tabla27[[#This Row],[Agrupación]]</f>
        <v>#VALUE!</v>
      </c>
      <c r="B192" t="e" cm="1">
        <f t="array" ref="B192">TRANSPOSE((_xlfn._xlws.FILTER(INDEX(ProductosPivot!$C$6:$E$1000,,MATCH($A192,ProductosPivot!$C$5:$E$5,0)),INDEX(ProductosPivot!$C$6:$E$1000,,MATCH($A192,ProductosPivot!$C$5:$E$5,0))&lt;&gt;"","No hay nada")))</f>
        <v>#VALUE!</v>
      </c>
    </row>
    <row r="193" spans="1:2" x14ac:dyDescent="0.3">
      <c r="A193" t="e">
        <f>Tabla27[[#This Row],[Agrupación]]</f>
        <v>#VALUE!</v>
      </c>
      <c r="B193" t="e" cm="1">
        <f t="array" ref="B193">TRANSPOSE((_xlfn._xlws.FILTER(INDEX(ProductosPivot!$C$6:$E$1000,,MATCH($A193,ProductosPivot!$C$5:$E$5,0)),INDEX(ProductosPivot!$C$6:$E$1000,,MATCH($A193,ProductosPivot!$C$5:$E$5,0))&lt;&gt;"","No hay nada")))</f>
        <v>#VALUE!</v>
      </c>
    </row>
    <row r="194" spans="1:2" x14ac:dyDescent="0.3">
      <c r="A194" t="e">
        <f>Tabla27[[#This Row],[Agrupación]]</f>
        <v>#VALUE!</v>
      </c>
      <c r="B194" t="e" cm="1">
        <f t="array" ref="B194">TRANSPOSE((_xlfn._xlws.FILTER(INDEX(ProductosPivot!$C$6:$E$1000,,MATCH($A194,ProductosPivot!$C$5:$E$5,0)),INDEX(ProductosPivot!$C$6:$E$1000,,MATCH($A194,ProductosPivot!$C$5:$E$5,0))&lt;&gt;"","No hay nada")))</f>
        <v>#VALUE!</v>
      </c>
    </row>
    <row r="195" spans="1:2" x14ac:dyDescent="0.3">
      <c r="A195" t="e">
        <f>Tabla27[[#This Row],[Agrupación]]</f>
        <v>#VALUE!</v>
      </c>
      <c r="B195" t="e" cm="1">
        <f t="array" ref="B195">TRANSPOSE((_xlfn._xlws.FILTER(INDEX(ProductosPivot!$C$6:$E$1000,,MATCH($A195,ProductosPivot!$C$5:$E$5,0)),INDEX(ProductosPivot!$C$6:$E$1000,,MATCH($A195,ProductosPivot!$C$5:$E$5,0))&lt;&gt;"","No hay nada")))</f>
        <v>#VALUE!</v>
      </c>
    </row>
    <row r="196" spans="1:2" x14ac:dyDescent="0.3">
      <c r="A196" t="e">
        <f>Tabla27[[#This Row],[Agrupación]]</f>
        <v>#VALUE!</v>
      </c>
      <c r="B196" t="e" cm="1">
        <f t="array" ref="B196">TRANSPOSE((_xlfn._xlws.FILTER(INDEX(ProductosPivot!$C$6:$E$1000,,MATCH($A196,ProductosPivot!$C$5:$E$5,0)),INDEX(ProductosPivot!$C$6:$E$1000,,MATCH($A196,ProductosPivot!$C$5:$E$5,0))&lt;&gt;"","No hay nada")))</f>
        <v>#VALUE!</v>
      </c>
    </row>
    <row r="197" spans="1:2" x14ac:dyDescent="0.3">
      <c r="A197" t="e">
        <f>Tabla27[[#This Row],[Agrupación]]</f>
        <v>#VALUE!</v>
      </c>
      <c r="B197" t="e" cm="1">
        <f t="array" ref="B197">TRANSPOSE((_xlfn._xlws.FILTER(INDEX(ProductosPivot!$C$6:$E$1000,,MATCH($A197,ProductosPivot!$C$5:$E$5,0)),INDEX(ProductosPivot!$C$6:$E$1000,,MATCH($A197,ProductosPivot!$C$5:$E$5,0))&lt;&gt;"","No hay nada")))</f>
        <v>#VALUE!</v>
      </c>
    </row>
    <row r="198" spans="1:2" x14ac:dyDescent="0.3">
      <c r="A198" t="e">
        <f>Tabla27[[#This Row],[Agrupación]]</f>
        <v>#VALUE!</v>
      </c>
      <c r="B198" t="e" cm="1">
        <f t="array" ref="B198">TRANSPOSE((_xlfn._xlws.FILTER(INDEX(ProductosPivot!$C$6:$E$1000,,MATCH($A198,ProductosPivot!$C$5:$E$5,0)),INDEX(ProductosPivot!$C$6:$E$1000,,MATCH($A198,ProductosPivot!$C$5:$E$5,0))&lt;&gt;"","No hay nada")))</f>
        <v>#VALUE!</v>
      </c>
    </row>
    <row r="199" spans="1:2" x14ac:dyDescent="0.3">
      <c r="A199" t="e">
        <f>Tabla27[[#This Row],[Agrupación]]</f>
        <v>#VALUE!</v>
      </c>
      <c r="B199" t="e" cm="1">
        <f t="array" ref="B199">TRANSPOSE((_xlfn._xlws.FILTER(INDEX(ProductosPivot!$C$6:$E$1000,,MATCH($A199,ProductosPivot!$C$5:$E$5,0)),INDEX(ProductosPivot!$C$6:$E$1000,,MATCH($A199,ProductosPivot!$C$5:$E$5,0))&lt;&gt;"","No hay nada")))</f>
        <v>#VALUE!</v>
      </c>
    </row>
    <row r="200" spans="1:2" x14ac:dyDescent="0.3">
      <c r="A200" t="e">
        <f>Tabla27[[#This Row],[Agrupación]]</f>
        <v>#VALUE!</v>
      </c>
      <c r="B200" t="e" cm="1">
        <f t="array" ref="B200">TRANSPOSE((_xlfn._xlws.FILTER(INDEX(ProductosPivot!$C$6:$E$1000,,MATCH($A200,ProductosPivot!$C$5:$E$5,0)),INDEX(ProductosPivot!$C$6:$E$1000,,MATCH($A200,ProductosPivot!$C$5:$E$5,0))&lt;&gt;"","No hay nada")))</f>
        <v>#VALUE!</v>
      </c>
    </row>
    <row r="201" spans="1:2" x14ac:dyDescent="0.3">
      <c r="A201" t="e">
        <f>Tabla27[[#This Row],[Agrupación]]</f>
        <v>#VALUE!</v>
      </c>
      <c r="B201" t="e" cm="1">
        <f t="array" ref="B201">TRANSPOSE((_xlfn._xlws.FILTER(INDEX(ProductosPivot!$C$6:$E$1000,,MATCH($A201,ProductosPivot!$C$5:$E$5,0)),INDEX(ProductosPivot!$C$6:$E$1000,,MATCH($A201,ProductosPivot!$C$5:$E$5,0))&lt;&gt;"","No hay nada")))</f>
        <v>#VALUE!</v>
      </c>
    </row>
    <row r="202" spans="1:2" x14ac:dyDescent="0.3">
      <c r="A202" t="e">
        <f>Tabla27[[#This Row],[Agrupación]]</f>
        <v>#VALUE!</v>
      </c>
      <c r="B202" t="e" cm="1">
        <f t="array" ref="B202">TRANSPOSE((_xlfn._xlws.FILTER(INDEX(ProductosPivot!$C$6:$E$1000,,MATCH($A202,ProductosPivot!$C$5:$E$5,0)),INDEX(ProductosPivot!$C$6:$E$1000,,MATCH($A202,ProductosPivot!$C$5:$E$5,0))&lt;&gt;"","No hay nada")))</f>
        <v>#VALUE!</v>
      </c>
    </row>
    <row r="203" spans="1:2" x14ac:dyDescent="0.3">
      <c r="A203" t="e">
        <f>Tabla27[[#This Row],[Agrupación]]</f>
        <v>#VALUE!</v>
      </c>
      <c r="B203" t="e" cm="1">
        <f t="array" ref="B203">TRANSPOSE((_xlfn._xlws.FILTER(INDEX(ProductosPivot!$C$6:$E$1000,,MATCH($A203,ProductosPivot!$C$5:$E$5,0)),INDEX(ProductosPivot!$C$6:$E$1000,,MATCH($A203,ProductosPivot!$C$5:$E$5,0))&lt;&gt;"","No hay nada")))</f>
        <v>#VALUE!</v>
      </c>
    </row>
    <row r="204" spans="1:2" x14ac:dyDescent="0.3">
      <c r="A204" t="e">
        <f>Tabla27[[#This Row],[Agrupación]]</f>
        <v>#VALUE!</v>
      </c>
      <c r="B204" t="e" cm="1">
        <f t="array" ref="B204">TRANSPOSE((_xlfn._xlws.FILTER(INDEX(ProductosPivot!$C$6:$E$1000,,MATCH($A204,ProductosPivot!$C$5:$E$5,0)),INDEX(ProductosPivot!$C$6:$E$1000,,MATCH($A204,ProductosPivot!$C$5:$E$5,0))&lt;&gt;"","No hay nada")))</f>
        <v>#VALUE!</v>
      </c>
    </row>
    <row r="205" spans="1:2" x14ac:dyDescent="0.3">
      <c r="A205" t="e">
        <f>Tabla27[[#This Row],[Agrupación]]</f>
        <v>#VALUE!</v>
      </c>
      <c r="B205" t="e" cm="1">
        <f t="array" ref="B205">TRANSPOSE((_xlfn._xlws.FILTER(INDEX(ProductosPivot!$C$6:$E$1000,,MATCH($A205,ProductosPivot!$C$5:$E$5,0)),INDEX(ProductosPivot!$C$6:$E$1000,,MATCH($A205,ProductosPivot!$C$5:$E$5,0))&lt;&gt;"","No hay nada")))</f>
        <v>#VALUE!</v>
      </c>
    </row>
    <row r="206" spans="1:2" x14ac:dyDescent="0.3">
      <c r="A206" t="e">
        <f>Tabla27[[#This Row],[Agrupación]]</f>
        <v>#VALUE!</v>
      </c>
      <c r="B206" t="e" cm="1">
        <f t="array" ref="B206">TRANSPOSE((_xlfn._xlws.FILTER(INDEX(ProductosPivot!$C$6:$E$1000,,MATCH($A206,ProductosPivot!$C$5:$E$5,0)),INDEX(ProductosPivot!$C$6:$E$1000,,MATCH($A206,ProductosPivot!$C$5:$E$5,0))&lt;&gt;"","No hay nada")))</f>
        <v>#VALUE!</v>
      </c>
    </row>
    <row r="207" spans="1:2" x14ac:dyDescent="0.3">
      <c r="A207" t="e">
        <f>Tabla27[[#This Row],[Agrupación]]</f>
        <v>#VALUE!</v>
      </c>
      <c r="B207" t="e" cm="1">
        <f t="array" ref="B207">TRANSPOSE((_xlfn._xlws.FILTER(INDEX(ProductosPivot!$C$6:$E$1000,,MATCH($A207,ProductosPivot!$C$5:$E$5,0)),INDEX(ProductosPivot!$C$6:$E$1000,,MATCH($A207,ProductosPivot!$C$5:$E$5,0))&lt;&gt;"","No hay nada")))</f>
        <v>#VALUE!</v>
      </c>
    </row>
    <row r="208" spans="1:2" x14ac:dyDescent="0.3">
      <c r="A208" t="e">
        <f>Tabla27[[#This Row],[Agrupación]]</f>
        <v>#VALUE!</v>
      </c>
      <c r="B208" t="e" cm="1">
        <f t="array" ref="B208">TRANSPOSE((_xlfn._xlws.FILTER(INDEX(ProductosPivot!$C$6:$E$1000,,MATCH($A208,ProductosPivot!$C$5:$E$5,0)),INDEX(ProductosPivot!$C$6:$E$1000,,MATCH($A208,ProductosPivot!$C$5:$E$5,0))&lt;&gt;"","No hay nada")))</f>
        <v>#VALUE!</v>
      </c>
    </row>
    <row r="209" spans="1:2" x14ac:dyDescent="0.3">
      <c r="A209" t="e">
        <f>Tabla27[[#This Row],[Agrupación]]</f>
        <v>#VALUE!</v>
      </c>
      <c r="B209" t="e" cm="1">
        <f t="array" ref="B209">TRANSPOSE((_xlfn._xlws.FILTER(INDEX(ProductosPivot!$C$6:$E$1000,,MATCH($A209,ProductosPivot!$C$5:$E$5,0)),INDEX(ProductosPivot!$C$6:$E$1000,,MATCH($A209,ProductosPivot!$C$5:$E$5,0))&lt;&gt;"","No hay nada")))</f>
        <v>#VALUE!</v>
      </c>
    </row>
    <row r="210" spans="1:2" x14ac:dyDescent="0.3">
      <c r="A210" t="e">
        <f>Tabla27[[#This Row],[Agrupación]]</f>
        <v>#VALUE!</v>
      </c>
      <c r="B210" t="e" cm="1">
        <f t="array" ref="B210">TRANSPOSE((_xlfn._xlws.FILTER(INDEX(ProductosPivot!$C$6:$E$1000,,MATCH($A210,ProductosPivot!$C$5:$E$5,0)),INDEX(ProductosPivot!$C$6:$E$1000,,MATCH($A210,ProductosPivot!$C$5:$E$5,0))&lt;&gt;"","No hay nada")))</f>
        <v>#VALUE!</v>
      </c>
    </row>
    <row r="211" spans="1:2" x14ac:dyDescent="0.3">
      <c r="A211" t="e">
        <f>Tabla27[[#This Row],[Agrupación]]</f>
        <v>#VALUE!</v>
      </c>
      <c r="B211" t="e" cm="1">
        <f t="array" ref="B211">TRANSPOSE((_xlfn._xlws.FILTER(INDEX(ProductosPivot!$C$6:$E$1000,,MATCH($A211,ProductosPivot!$C$5:$E$5,0)),INDEX(ProductosPivot!$C$6:$E$1000,,MATCH($A211,ProductosPivot!$C$5:$E$5,0))&lt;&gt;"","No hay nada")))</f>
        <v>#VALUE!</v>
      </c>
    </row>
    <row r="212" spans="1:2" x14ac:dyDescent="0.3">
      <c r="A212" t="e">
        <f>Tabla27[[#This Row],[Agrupación]]</f>
        <v>#VALUE!</v>
      </c>
      <c r="B212" t="e" cm="1">
        <f t="array" ref="B212">TRANSPOSE((_xlfn._xlws.FILTER(INDEX(ProductosPivot!$C$6:$E$1000,,MATCH($A212,ProductosPivot!$C$5:$E$5,0)),INDEX(ProductosPivot!$C$6:$E$1000,,MATCH($A212,ProductosPivot!$C$5:$E$5,0))&lt;&gt;"","No hay nada")))</f>
        <v>#VALUE!</v>
      </c>
    </row>
    <row r="213" spans="1:2" x14ac:dyDescent="0.3">
      <c r="A213" t="e">
        <f>Tabla27[[#This Row],[Agrupación]]</f>
        <v>#VALUE!</v>
      </c>
      <c r="B213" t="e" cm="1">
        <f t="array" ref="B213">TRANSPOSE((_xlfn._xlws.FILTER(INDEX(ProductosPivot!$C$6:$E$1000,,MATCH($A213,ProductosPivot!$C$5:$E$5,0)),INDEX(ProductosPivot!$C$6:$E$1000,,MATCH($A213,ProductosPivot!$C$5:$E$5,0))&lt;&gt;"","No hay nada")))</f>
        <v>#VALUE!</v>
      </c>
    </row>
    <row r="214" spans="1:2" x14ac:dyDescent="0.3">
      <c r="A214" t="e">
        <f>Tabla27[[#This Row],[Agrupación]]</f>
        <v>#VALUE!</v>
      </c>
      <c r="B214" t="e" cm="1">
        <f t="array" ref="B214">TRANSPOSE((_xlfn._xlws.FILTER(INDEX(ProductosPivot!$C$6:$E$1000,,MATCH($A214,ProductosPivot!$C$5:$E$5,0)),INDEX(ProductosPivot!$C$6:$E$1000,,MATCH($A214,ProductosPivot!$C$5:$E$5,0))&lt;&gt;"","No hay nada")))</f>
        <v>#VALUE!</v>
      </c>
    </row>
    <row r="215" spans="1:2" x14ac:dyDescent="0.3">
      <c r="A215" t="e">
        <f>Tabla27[[#This Row],[Agrupación]]</f>
        <v>#VALUE!</v>
      </c>
      <c r="B215" t="e" cm="1">
        <f t="array" ref="B215">TRANSPOSE((_xlfn._xlws.FILTER(INDEX(ProductosPivot!$C$6:$E$1000,,MATCH($A215,ProductosPivot!$C$5:$E$5,0)),INDEX(ProductosPivot!$C$6:$E$1000,,MATCH($A215,ProductosPivot!$C$5:$E$5,0))&lt;&gt;"","No hay nada")))</f>
        <v>#VALUE!</v>
      </c>
    </row>
    <row r="216" spans="1:2" x14ac:dyDescent="0.3">
      <c r="A216" t="e">
        <f>Tabla27[[#This Row],[Agrupación]]</f>
        <v>#VALUE!</v>
      </c>
      <c r="B216" t="e" cm="1">
        <f t="array" ref="B216">TRANSPOSE((_xlfn._xlws.FILTER(INDEX(ProductosPivot!$C$6:$E$1000,,MATCH($A216,ProductosPivot!$C$5:$E$5,0)),INDEX(ProductosPivot!$C$6:$E$1000,,MATCH($A216,ProductosPivot!$C$5:$E$5,0))&lt;&gt;"","No hay nada")))</f>
        <v>#VALUE!</v>
      </c>
    </row>
    <row r="217" spans="1:2" x14ac:dyDescent="0.3">
      <c r="A217" t="e">
        <f>Tabla27[[#This Row],[Agrupación]]</f>
        <v>#VALUE!</v>
      </c>
      <c r="B217" t="e" cm="1">
        <f t="array" ref="B217">TRANSPOSE((_xlfn._xlws.FILTER(INDEX(ProductosPivot!$C$6:$E$1000,,MATCH($A217,ProductosPivot!$C$5:$E$5,0)),INDEX(ProductosPivot!$C$6:$E$1000,,MATCH($A217,ProductosPivot!$C$5:$E$5,0))&lt;&gt;"","No hay nada")))</f>
        <v>#VALUE!</v>
      </c>
    </row>
    <row r="218" spans="1:2" x14ac:dyDescent="0.3">
      <c r="A218" t="e">
        <f>Tabla27[[#This Row],[Agrupación]]</f>
        <v>#VALUE!</v>
      </c>
      <c r="B218" t="e" cm="1">
        <f t="array" ref="B218">TRANSPOSE((_xlfn._xlws.FILTER(INDEX(ProductosPivot!$C$6:$E$1000,,MATCH($A218,ProductosPivot!$C$5:$E$5,0)),INDEX(ProductosPivot!$C$6:$E$1000,,MATCH($A218,ProductosPivot!$C$5:$E$5,0))&lt;&gt;"","No hay nada")))</f>
        <v>#VALUE!</v>
      </c>
    </row>
    <row r="219" spans="1:2" x14ac:dyDescent="0.3">
      <c r="A219" t="e">
        <f>Tabla27[[#This Row],[Agrupación]]</f>
        <v>#VALUE!</v>
      </c>
      <c r="B219" t="e" cm="1">
        <f t="array" ref="B219">TRANSPOSE((_xlfn._xlws.FILTER(INDEX(ProductosPivot!$C$6:$E$1000,,MATCH($A219,ProductosPivot!$C$5:$E$5,0)),INDEX(ProductosPivot!$C$6:$E$1000,,MATCH($A219,ProductosPivot!$C$5:$E$5,0))&lt;&gt;"","No hay nada")))</f>
        <v>#VALUE!</v>
      </c>
    </row>
    <row r="220" spans="1:2" x14ac:dyDescent="0.3">
      <c r="A220" t="e">
        <f>Tabla27[[#This Row],[Agrupación]]</f>
        <v>#VALUE!</v>
      </c>
      <c r="B220" t="e" cm="1">
        <f t="array" ref="B220">TRANSPOSE((_xlfn._xlws.FILTER(INDEX(ProductosPivot!$C$6:$E$1000,,MATCH($A220,ProductosPivot!$C$5:$E$5,0)),INDEX(ProductosPivot!$C$6:$E$1000,,MATCH($A220,ProductosPivot!$C$5:$E$5,0))&lt;&gt;"","No hay nada")))</f>
        <v>#VALUE!</v>
      </c>
    </row>
    <row r="221" spans="1:2" x14ac:dyDescent="0.3">
      <c r="A221" t="e">
        <f>Tabla27[[#This Row],[Agrupación]]</f>
        <v>#VALUE!</v>
      </c>
      <c r="B221" t="e" cm="1">
        <f t="array" ref="B221">TRANSPOSE((_xlfn._xlws.FILTER(INDEX(ProductosPivot!$C$6:$E$1000,,MATCH($A221,ProductosPivot!$C$5:$E$5,0)),INDEX(ProductosPivot!$C$6:$E$1000,,MATCH($A221,ProductosPivot!$C$5:$E$5,0))&lt;&gt;"","No hay nada")))</f>
        <v>#VALUE!</v>
      </c>
    </row>
    <row r="222" spans="1:2" x14ac:dyDescent="0.3">
      <c r="A222" t="e">
        <f>Tabla27[[#This Row],[Agrupación]]</f>
        <v>#VALUE!</v>
      </c>
      <c r="B222" t="e" cm="1">
        <f t="array" ref="B222">TRANSPOSE((_xlfn._xlws.FILTER(INDEX(ProductosPivot!$C$6:$E$1000,,MATCH($A222,ProductosPivot!$C$5:$E$5,0)),INDEX(ProductosPivot!$C$6:$E$1000,,MATCH($A222,ProductosPivot!$C$5:$E$5,0))&lt;&gt;"","No hay nada")))</f>
        <v>#VALUE!</v>
      </c>
    </row>
    <row r="223" spans="1:2" x14ac:dyDescent="0.3">
      <c r="A223" t="e">
        <f>Tabla27[[#This Row],[Agrupación]]</f>
        <v>#VALUE!</v>
      </c>
      <c r="B223" t="e" cm="1">
        <f t="array" ref="B223">TRANSPOSE((_xlfn._xlws.FILTER(INDEX(ProductosPivot!$C$6:$E$1000,,MATCH($A223,ProductosPivot!$C$5:$E$5,0)),INDEX(ProductosPivot!$C$6:$E$1000,,MATCH($A223,ProductosPivot!$C$5:$E$5,0))&lt;&gt;"","No hay nada")))</f>
        <v>#VALUE!</v>
      </c>
    </row>
    <row r="224" spans="1:2" x14ac:dyDescent="0.3">
      <c r="A224" t="e">
        <f>Tabla27[[#This Row],[Agrupación]]</f>
        <v>#VALUE!</v>
      </c>
      <c r="B224" t="e" cm="1">
        <f t="array" ref="B224">TRANSPOSE((_xlfn._xlws.FILTER(INDEX(ProductosPivot!$C$6:$E$1000,,MATCH($A224,ProductosPivot!$C$5:$E$5,0)),INDEX(ProductosPivot!$C$6:$E$1000,,MATCH($A224,ProductosPivot!$C$5:$E$5,0))&lt;&gt;"","No hay nada")))</f>
        <v>#VALUE!</v>
      </c>
    </row>
    <row r="225" spans="1:2" x14ac:dyDescent="0.3">
      <c r="A225" t="e">
        <f>Tabla27[[#This Row],[Agrupación]]</f>
        <v>#VALUE!</v>
      </c>
      <c r="B225" t="e" cm="1">
        <f t="array" ref="B225">TRANSPOSE((_xlfn._xlws.FILTER(INDEX(ProductosPivot!$C$6:$E$1000,,MATCH($A225,ProductosPivot!$C$5:$E$5,0)),INDEX(ProductosPivot!$C$6:$E$1000,,MATCH($A225,ProductosPivot!$C$5:$E$5,0))&lt;&gt;"","No hay nada")))</f>
        <v>#VALUE!</v>
      </c>
    </row>
    <row r="226" spans="1:2" x14ac:dyDescent="0.3">
      <c r="A226" t="e">
        <f>Tabla27[[#This Row],[Agrupación]]</f>
        <v>#VALUE!</v>
      </c>
      <c r="B226" t="e" cm="1">
        <f t="array" ref="B226">TRANSPOSE((_xlfn._xlws.FILTER(INDEX(ProductosPivot!$C$6:$E$1000,,MATCH($A226,ProductosPivot!$C$5:$E$5,0)),INDEX(ProductosPivot!$C$6:$E$1000,,MATCH($A226,ProductosPivot!$C$5:$E$5,0))&lt;&gt;"","No hay nada")))</f>
        <v>#VALUE!</v>
      </c>
    </row>
    <row r="227" spans="1:2" x14ac:dyDescent="0.3">
      <c r="A227" t="e">
        <f>Tabla27[[#This Row],[Agrupación]]</f>
        <v>#VALUE!</v>
      </c>
      <c r="B227" t="e" cm="1">
        <f t="array" ref="B227">TRANSPOSE((_xlfn._xlws.FILTER(INDEX(ProductosPivot!$C$6:$E$1000,,MATCH($A227,ProductosPivot!$C$5:$E$5,0)),INDEX(ProductosPivot!$C$6:$E$1000,,MATCH($A227,ProductosPivot!$C$5:$E$5,0))&lt;&gt;"","No hay nada")))</f>
        <v>#VALUE!</v>
      </c>
    </row>
    <row r="228" spans="1:2" x14ac:dyDescent="0.3">
      <c r="A228" t="e">
        <f>Tabla27[[#This Row],[Agrupación]]</f>
        <v>#VALUE!</v>
      </c>
      <c r="B228" t="e" cm="1">
        <f t="array" ref="B228">TRANSPOSE((_xlfn._xlws.FILTER(INDEX(ProductosPivot!$C$6:$E$1000,,MATCH($A228,ProductosPivot!$C$5:$E$5,0)),INDEX(ProductosPivot!$C$6:$E$1000,,MATCH($A228,ProductosPivot!$C$5:$E$5,0))&lt;&gt;"","No hay nada")))</f>
        <v>#VALUE!</v>
      </c>
    </row>
    <row r="229" spans="1:2" x14ac:dyDescent="0.3">
      <c r="A229" t="e">
        <f>Tabla27[[#This Row],[Agrupación]]</f>
        <v>#VALUE!</v>
      </c>
      <c r="B229" t="e" cm="1">
        <f t="array" ref="B229">TRANSPOSE((_xlfn._xlws.FILTER(INDEX(ProductosPivot!$C$6:$E$1000,,MATCH($A229,ProductosPivot!$C$5:$E$5,0)),INDEX(ProductosPivot!$C$6:$E$1000,,MATCH($A229,ProductosPivot!$C$5:$E$5,0))&lt;&gt;"","No hay nada")))</f>
        <v>#VALUE!</v>
      </c>
    </row>
    <row r="230" spans="1:2" x14ac:dyDescent="0.3">
      <c r="A230" t="e">
        <f>Tabla27[[#This Row],[Agrupación]]</f>
        <v>#VALUE!</v>
      </c>
      <c r="B230" t="e" cm="1">
        <f t="array" ref="B230">TRANSPOSE((_xlfn._xlws.FILTER(INDEX(ProductosPivot!$C$6:$E$1000,,MATCH($A230,ProductosPivot!$C$5:$E$5,0)),INDEX(ProductosPivot!$C$6:$E$1000,,MATCH($A230,ProductosPivot!$C$5:$E$5,0))&lt;&gt;"","No hay nada")))</f>
        <v>#VALUE!</v>
      </c>
    </row>
    <row r="231" spans="1:2" x14ac:dyDescent="0.3">
      <c r="A231" t="e">
        <f>Tabla27[[#This Row],[Agrupación]]</f>
        <v>#VALUE!</v>
      </c>
      <c r="B231" t="e" cm="1">
        <f t="array" ref="B231">TRANSPOSE((_xlfn._xlws.FILTER(INDEX(ProductosPivot!$C$6:$E$1000,,MATCH($A231,ProductosPivot!$C$5:$E$5,0)),INDEX(ProductosPivot!$C$6:$E$1000,,MATCH($A231,ProductosPivot!$C$5:$E$5,0))&lt;&gt;"","No hay nada")))</f>
        <v>#VALUE!</v>
      </c>
    </row>
    <row r="232" spans="1:2" x14ac:dyDescent="0.3">
      <c r="A232" t="e">
        <f>Tabla27[[#This Row],[Agrupación]]</f>
        <v>#VALUE!</v>
      </c>
      <c r="B232" t="e" cm="1">
        <f t="array" ref="B232">TRANSPOSE((_xlfn._xlws.FILTER(INDEX(ProductosPivot!$C$6:$E$1000,,MATCH($A232,ProductosPivot!$C$5:$E$5,0)),INDEX(ProductosPivot!$C$6:$E$1000,,MATCH($A232,ProductosPivot!$C$5:$E$5,0))&lt;&gt;"","No hay nada")))</f>
        <v>#VALUE!</v>
      </c>
    </row>
    <row r="233" spans="1:2" x14ac:dyDescent="0.3">
      <c r="A233" t="e">
        <f>Tabla27[[#This Row],[Agrupación]]</f>
        <v>#VALUE!</v>
      </c>
      <c r="B233" t="e" cm="1">
        <f t="array" ref="B233">TRANSPOSE((_xlfn._xlws.FILTER(INDEX(ProductosPivot!$C$6:$E$1000,,MATCH($A233,ProductosPivot!$C$5:$E$5,0)),INDEX(ProductosPivot!$C$6:$E$1000,,MATCH($A233,ProductosPivot!$C$5:$E$5,0))&lt;&gt;"","No hay nada")))</f>
        <v>#VALUE!</v>
      </c>
    </row>
    <row r="234" spans="1:2" x14ac:dyDescent="0.3">
      <c r="A234" t="e">
        <f>Tabla27[[#This Row],[Agrupación]]</f>
        <v>#VALUE!</v>
      </c>
      <c r="B234" t="e" cm="1">
        <f t="array" ref="B234">TRANSPOSE((_xlfn._xlws.FILTER(INDEX(ProductosPivot!$C$6:$E$1000,,MATCH($A234,ProductosPivot!$C$5:$E$5,0)),INDEX(ProductosPivot!$C$6:$E$1000,,MATCH($A234,ProductosPivot!$C$5:$E$5,0))&lt;&gt;"","No hay nada")))</f>
        <v>#VALUE!</v>
      </c>
    </row>
    <row r="235" spans="1:2" x14ac:dyDescent="0.3">
      <c r="A235" t="e">
        <f>Tabla27[[#This Row],[Agrupación]]</f>
        <v>#VALUE!</v>
      </c>
      <c r="B235" t="e" cm="1">
        <f t="array" ref="B235">TRANSPOSE((_xlfn._xlws.FILTER(INDEX(ProductosPivot!$C$6:$E$1000,,MATCH($A235,ProductosPivot!$C$5:$E$5,0)),INDEX(ProductosPivot!$C$6:$E$1000,,MATCH($A235,ProductosPivot!$C$5:$E$5,0))&lt;&gt;"","No hay nada")))</f>
        <v>#VALUE!</v>
      </c>
    </row>
    <row r="236" spans="1:2" x14ac:dyDescent="0.3">
      <c r="A236" t="e">
        <f>Tabla27[[#This Row],[Agrupación]]</f>
        <v>#VALUE!</v>
      </c>
      <c r="B236" t="e" cm="1">
        <f t="array" ref="B236">TRANSPOSE((_xlfn._xlws.FILTER(INDEX(ProductosPivot!$C$6:$E$1000,,MATCH($A236,ProductosPivot!$C$5:$E$5,0)),INDEX(ProductosPivot!$C$6:$E$1000,,MATCH($A236,ProductosPivot!$C$5:$E$5,0))&lt;&gt;"","No hay nada")))</f>
        <v>#VALUE!</v>
      </c>
    </row>
    <row r="237" spans="1:2" x14ac:dyDescent="0.3">
      <c r="A237" t="e">
        <f>Tabla27[[#This Row],[Agrupación]]</f>
        <v>#VALUE!</v>
      </c>
      <c r="B237" t="e" cm="1">
        <f t="array" ref="B237">TRANSPOSE((_xlfn._xlws.FILTER(INDEX(ProductosPivot!$C$6:$E$1000,,MATCH($A237,ProductosPivot!$C$5:$E$5,0)),INDEX(ProductosPivot!$C$6:$E$1000,,MATCH($A237,ProductosPivot!$C$5:$E$5,0))&lt;&gt;"","No hay nada")))</f>
        <v>#VALUE!</v>
      </c>
    </row>
    <row r="238" spans="1:2" x14ac:dyDescent="0.3">
      <c r="A238" t="e">
        <f>Tabla27[[#This Row],[Agrupación]]</f>
        <v>#VALUE!</v>
      </c>
      <c r="B238" t="e" cm="1">
        <f t="array" ref="B238">TRANSPOSE((_xlfn._xlws.FILTER(INDEX(ProductosPivot!$C$6:$E$1000,,MATCH($A238,ProductosPivot!$C$5:$E$5,0)),INDEX(ProductosPivot!$C$6:$E$1000,,MATCH($A238,ProductosPivot!$C$5:$E$5,0))&lt;&gt;"","No hay nada")))</f>
        <v>#VALUE!</v>
      </c>
    </row>
    <row r="239" spans="1:2" x14ac:dyDescent="0.3">
      <c r="A239" t="e">
        <f>Tabla27[[#This Row],[Agrupación]]</f>
        <v>#VALUE!</v>
      </c>
      <c r="B239" t="e" cm="1">
        <f t="array" ref="B239">TRANSPOSE((_xlfn._xlws.FILTER(INDEX(ProductosPivot!$C$6:$E$1000,,MATCH($A239,ProductosPivot!$C$5:$E$5,0)),INDEX(ProductosPivot!$C$6:$E$1000,,MATCH($A239,ProductosPivot!$C$5:$E$5,0))&lt;&gt;"","No hay nada")))</f>
        <v>#VALUE!</v>
      </c>
    </row>
    <row r="240" spans="1:2" x14ac:dyDescent="0.3">
      <c r="A240" t="e">
        <f>Tabla27[[#This Row],[Agrupación]]</f>
        <v>#VALUE!</v>
      </c>
      <c r="B240" t="e" cm="1">
        <f t="array" ref="B240">TRANSPOSE((_xlfn._xlws.FILTER(INDEX(ProductosPivot!$C$6:$E$1000,,MATCH($A240,ProductosPivot!$C$5:$E$5,0)),INDEX(ProductosPivot!$C$6:$E$1000,,MATCH($A240,ProductosPivot!$C$5:$E$5,0))&lt;&gt;"","No hay nada")))</f>
        <v>#VALUE!</v>
      </c>
    </row>
    <row r="241" spans="1:2" x14ac:dyDescent="0.3">
      <c r="A241" t="e">
        <f>Tabla27[[#This Row],[Agrupación]]</f>
        <v>#VALUE!</v>
      </c>
      <c r="B241" t="e" cm="1">
        <f t="array" ref="B241">TRANSPOSE((_xlfn._xlws.FILTER(INDEX(ProductosPivot!$C$6:$E$1000,,MATCH($A241,ProductosPivot!$C$5:$E$5,0)),INDEX(ProductosPivot!$C$6:$E$1000,,MATCH($A241,ProductosPivot!$C$5:$E$5,0))&lt;&gt;"","No hay nada")))</f>
        <v>#VALUE!</v>
      </c>
    </row>
    <row r="242" spans="1:2" x14ac:dyDescent="0.3">
      <c r="A242" t="e">
        <f>Tabla27[[#This Row],[Agrupación]]</f>
        <v>#VALUE!</v>
      </c>
      <c r="B242" t="e" cm="1">
        <f t="array" ref="B242">TRANSPOSE((_xlfn._xlws.FILTER(INDEX(ProductosPivot!$C$6:$E$1000,,MATCH($A242,ProductosPivot!$C$5:$E$5,0)),INDEX(ProductosPivot!$C$6:$E$1000,,MATCH($A242,ProductosPivot!$C$5:$E$5,0))&lt;&gt;"","No hay nada")))</f>
        <v>#VALUE!</v>
      </c>
    </row>
    <row r="243" spans="1:2" x14ac:dyDescent="0.3">
      <c r="A243" t="e">
        <f>Tabla27[[#This Row],[Agrupación]]</f>
        <v>#VALUE!</v>
      </c>
      <c r="B243" t="e" cm="1">
        <f t="array" ref="B243">TRANSPOSE((_xlfn._xlws.FILTER(INDEX(ProductosPivot!$C$6:$E$1000,,MATCH($A243,ProductosPivot!$C$5:$E$5,0)),INDEX(ProductosPivot!$C$6:$E$1000,,MATCH($A243,ProductosPivot!$C$5:$E$5,0))&lt;&gt;"","No hay nada")))</f>
        <v>#VALUE!</v>
      </c>
    </row>
    <row r="244" spans="1:2" x14ac:dyDescent="0.3">
      <c r="A244" t="e">
        <f>Tabla27[[#This Row],[Agrupación]]</f>
        <v>#VALUE!</v>
      </c>
      <c r="B244" t="e" cm="1">
        <f t="array" ref="B244">TRANSPOSE((_xlfn._xlws.FILTER(INDEX(ProductosPivot!$C$6:$E$1000,,MATCH($A244,ProductosPivot!$C$5:$E$5,0)),INDEX(ProductosPivot!$C$6:$E$1000,,MATCH($A244,ProductosPivot!$C$5:$E$5,0))&lt;&gt;"","No hay nada")))</f>
        <v>#VALUE!</v>
      </c>
    </row>
    <row r="245" spans="1:2" x14ac:dyDescent="0.3">
      <c r="A245" t="e">
        <f>Tabla27[[#This Row],[Agrupación]]</f>
        <v>#VALUE!</v>
      </c>
      <c r="B245" t="e" cm="1">
        <f t="array" ref="B245">TRANSPOSE((_xlfn._xlws.FILTER(INDEX(ProductosPivot!$C$6:$E$1000,,MATCH($A245,ProductosPivot!$C$5:$E$5,0)),INDEX(ProductosPivot!$C$6:$E$1000,,MATCH($A245,ProductosPivot!$C$5:$E$5,0))&lt;&gt;"","No hay nada")))</f>
        <v>#VALUE!</v>
      </c>
    </row>
    <row r="246" spans="1:2" x14ac:dyDescent="0.3">
      <c r="A246" t="e">
        <f>Tabla27[[#This Row],[Agrupación]]</f>
        <v>#VALUE!</v>
      </c>
      <c r="B246" t="e" cm="1">
        <f t="array" ref="B246">TRANSPOSE((_xlfn._xlws.FILTER(INDEX(ProductosPivot!$C$6:$E$1000,,MATCH($A246,ProductosPivot!$C$5:$E$5,0)),INDEX(ProductosPivot!$C$6:$E$1000,,MATCH($A246,ProductosPivot!$C$5:$E$5,0))&lt;&gt;"","No hay nada")))</f>
        <v>#VALUE!</v>
      </c>
    </row>
    <row r="247" spans="1:2" x14ac:dyDescent="0.3">
      <c r="A247" t="e">
        <f>Tabla27[[#This Row],[Agrupación]]</f>
        <v>#VALUE!</v>
      </c>
      <c r="B247" t="e" cm="1">
        <f t="array" ref="B247">TRANSPOSE((_xlfn._xlws.FILTER(INDEX(ProductosPivot!$C$6:$E$1000,,MATCH($A247,ProductosPivot!$C$5:$E$5,0)),INDEX(ProductosPivot!$C$6:$E$1000,,MATCH($A247,ProductosPivot!$C$5:$E$5,0))&lt;&gt;"","No hay nada")))</f>
        <v>#VALUE!</v>
      </c>
    </row>
    <row r="248" spans="1:2" x14ac:dyDescent="0.3">
      <c r="A248" t="e">
        <f>Tabla27[[#This Row],[Agrupación]]</f>
        <v>#VALUE!</v>
      </c>
      <c r="B248" t="e" cm="1">
        <f t="array" ref="B248">TRANSPOSE((_xlfn._xlws.FILTER(INDEX(ProductosPivot!$C$6:$E$1000,,MATCH($A248,ProductosPivot!$C$5:$E$5,0)),INDEX(ProductosPivot!$C$6:$E$1000,,MATCH($A248,ProductosPivot!$C$5:$E$5,0))&lt;&gt;"","No hay nada")))</f>
        <v>#VALUE!</v>
      </c>
    </row>
    <row r="249" spans="1:2" x14ac:dyDescent="0.3">
      <c r="A249" t="e">
        <f>Tabla27[[#This Row],[Agrupación]]</f>
        <v>#VALUE!</v>
      </c>
      <c r="B249" t="e" cm="1">
        <f t="array" ref="B249">TRANSPOSE((_xlfn._xlws.FILTER(INDEX(ProductosPivot!$C$6:$E$1000,,MATCH($A249,ProductosPivot!$C$5:$E$5,0)),INDEX(ProductosPivot!$C$6:$E$1000,,MATCH($A249,ProductosPivot!$C$5:$E$5,0))&lt;&gt;"","No hay nada")))</f>
        <v>#VALUE!</v>
      </c>
    </row>
    <row r="250" spans="1:2" x14ac:dyDescent="0.3">
      <c r="A250" t="e">
        <f>Tabla27[[#This Row],[Agrupación]]</f>
        <v>#VALUE!</v>
      </c>
      <c r="B250" t="e" cm="1">
        <f t="array" ref="B250">TRANSPOSE((_xlfn._xlws.FILTER(INDEX(ProductosPivot!$C$6:$E$1000,,MATCH($A250,ProductosPivot!$C$5:$E$5,0)),INDEX(ProductosPivot!$C$6:$E$1000,,MATCH($A250,ProductosPivot!$C$5:$E$5,0))&lt;&gt;"","No hay nada")))</f>
        <v>#VALUE!</v>
      </c>
    </row>
    <row r="251" spans="1:2" x14ac:dyDescent="0.3">
      <c r="A251" t="e">
        <f>Tabla27[[#This Row],[Agrupación]]</f>
        <v>#VALUE!</v>
      </c>
      <c r="B251" t="e" cm="1">
        <f t="array" ref="B251">TRANSPOSE((_xlfn._xlws.FILTER(INDEX(ProductosPivot!$C$6:$E$1000,,MATCH($A251,ProductosPivot!$C$5:$E$5,0)),INDEX(ProductosPivot!$C$6:$E$1000,,MATCH($A251,ProductosPivot!$C$5:$E$5,0))&lt;&gt;"","No hay nada")))</f>
        <v>#VALUE!</v>
      </c>
    </row>
    <row r="252" spans="1:2" x14ac:dyDescent="0.3">
      <c r="A252" t="e">
        <f>Tabla27[[#This Row],[Agrupación]]</f>
        <v>#VALUE!</v>
      </c>
      <c r="B252" t="e" cm="1">
        <f t="array" ref="B252">TRANSPOSE((_xlfn._xlws.FILTER(INDEX(ProductosPivot!$C$6:$E$1000,,MATCH($A252,ProductosPivot!$C$5:$E$5,0)),INDEX(ProductosPivot!$C$6:$E$1000,,MATCH($A252,ProductosPivot!$C$5:$E$5,0))&lt;&gt;"","No hay nada")))</f>
        <v>#VALUE!</v>
      </c>
    </row>
    <row r="253" spans="1:2" x14ac:dyDescent="0.3">
      <c r="A253" t="e">
        <f>Tabla27[[#This Row],[Agrupación]]</f>
        <v>#VALUE!</v>
      </c>
      <c r="B253" t="e" cm="1">
        <f t="array" ref="B253">TRANSPOSE((_xlfn._xlws.FILTER(INDEX(ProductosPivot!$C$6:$E$1000,,MATCH($A253,ProductosPivot!$C$5:$E$5,0)),INDEX(ProductosPivot!$C$6:$E$1000,,MATCH($A253,ProductosPivot!$C$5:$E$5,0))&lt;&gt;"","No hay nada")))</f>
        <v>#VALUE!</v>
      </c>
    </row>
    <row r="254" spans="1:2" x14ac:dyDescent="0.3">
      <c r="A254" t="e">
        <f>Tabla27[[#This Row],[Agrupación]]</f>
        <v>#VALUE!</v>
      </c>
      <c r="B254" t="e" cm="1">
        <f t="array" ref="B254">TRANSPOSE((_xlfn._xlws.FILTER(INDEX(ProductosPivot!$C$6:$E$1000,,MATCH($A254,ProductosPivot!$C$5:$E$5,0)),INDEX(ProductosPivot!$C$6:$E$1000,,MATCH($A254,ProductosPivot!$C$5:$E$5,0))&lt;&gt;"","No hay nada")))</f>
        <v>#VALUE!</v>
      </c>
    </row>
    <row r="255" spans="1:2" x14ac:dyDescent="0.3">
      <c r="A255" t="e">
        <f>Tabla27[[#This Row],[Agrupación]]</f>
        <v>#VALUE!</v>
      </c>
      <c r="B255" t="e" cm="1">
        <f t="array" ref="B255">TRANSPOSE((_xlfn._xlws.FILTER(INDEX(ProductosPivot!$C$6:$E$1000,,MATCH($A255,ProductosPivot!$C$5:$E$5,0)),INDEX(ProductosPivot!$C$6:$E$1000,,MATCH($A255,ProductosPivot!$C$5:$E$5,0))&lt;&gt;"","No hay nada")))</f>
        <v>#VALUE!</v>
      </c>
    </row>
    <row r="256" spans="1:2" x14ac:dyDescent="0.3">
      <c r="A256" t="e">
        <f>Tabla27[[#This Row],[Agrupación]]</f>
        <v>#VALUE!</v>
      </c>
      <c r="B256" t="e" cm="1">
        <f t="array" ref="B256">TRANSPOSE((_xlfn._xlws.FILTER(INDEX(ProductosPivot!$C$6:$E$1000,,MATCH($A256,ProductosPivot!$C$5:$E$5,0)),INDEX(ProductosPivot!$C$6:$E$1000,,MATCH($A256,ProductosPivot!$C$5:$E$5,0))&lt;&gt;"","No hay nada")))</f>
        <v>#VALUE!</v>
      </c>
    </row>
    <row r="257" spans="1:2" x14ac:dyDescent="0.3">
      <c r="A257" t="e">
        <f>Tabla27[[#This Row],[Agrupación]]</f>
        <v>#VALUE!</v>
      </c>
      <c r="B257" t="e" cm="1">
        <f t="array" ref="B257">TRANSPOSE((_xlfn._xlws.FILTER(INDEX(ProductosPivot!$C$6:$E$1000,,MATCH($A257,ProductosPivot!$C$5:$E$5,0)),INDEX(ProductosPivot!$C$6:$E$1000,,MATCH($A257,ProductosPivot!$C$5:$E$5,0))&lt;&gt;"","No hay nada")))</f>
        <v>#VALUE!</v>
      </c>
    </row>
    <row r="258" spans="1:2" x14ac:dyDescent="0.3">
      <c r="A258" t="e">
        <f>Tabla27[[#This Row],[Agrupación]]</f>
        <v>#VALUE!</v>
      </c>
      <c r="B258" t="e" cm="1">
        <f t="array" ref="B258">TRANSPOSE((_xlfn._xlws.FILTER(INDEX(ProductosPivot!$C$6:$E$1000,,MATCH($A258,ProductosPivot!$C$5:$E$5,0)),INDEX(ProductosPivot!$C$6:$E$1000,,MATCH($A258,ProductosPivot!$C$5:$E$5,0))&lt;&gt;"","No hay nada")))</f>
        <v>#VALUE!</v>
      </c>
    </row>
    <row r="259" spans="1:2" x14ac:dyDescent="0.3">
      <c r="A259" t="e">
        <f>Tabla27[[#This Row],[Agrupación]]</f>
        <v>#VALUE!</v>
      </c>
      <c r="B259" t="e" cm="1">
        <f t="array" ref="B259">TRANSPOSE((_xlfn._xlws.FILTER(INDEX(ProductosPivot!$C$6:$E$1000,,MATCH($A259,ProductosPivot!$C$5:$E$5,0)),INDEX(ProductosPivot!$C$6:$E$1000,,MATCH($A259,ProductosPivot!$C$5:$E$5,0))&lt;&gt;"","No hay nada")))</f>
        <v>#VALUE!</v>
      </c>
    </row>
    <row r="260" spans="1:2" x14ac:dyDescent="0.3">
      <c r="A260" t="e">
        <f>Tabla27[[#This Row],[Agrupación]]</f>
        <v>#VALUE!</v>
      </c>
      <c r="B260" t="e" cm="1">
        <f t="array" ref="B260">TRANSPOSE((_xlfn._xlws.FILTER(INDEX(ProductosPivot!$C$6:$E$1000,,MATCH($A260,ProductosPivot!$C$5:$E$5,0)),INDEX(ProductosPivot!$C$6:$E$1000,,MATCH($A260,ProductosPivot!$C$5:$E$5,0))&lt;&gt;"","No hay nada")))</f>
        <v>#VALUE!</v>
      </c>
    </row>
    <row r="261" spans="1:2" x14ac:dyDescent="0.3">
      <c r="A261" t="e">
        <f>Tabla27[[#This Row],[Agrupación]]</f>
        <v>#VALUE!</v>
      </c>
      <c r="B261" t="e" cm="1">
        <f t="array" ref="B261">TRANSPOSE((_xlfn._xlws.FILTER(INDEX(ProductosPivot!$C$6:$E$1000,,MATCH($A261,ProductosPivot!$C$5:$E$5,0)),INDEX(ProductosPivot!$C$6:$E$1000,,MATCH($A261,ProductosPivot!$C$5:$E$5,0))&lt;&gt;"","No hay nada")))</f>
        <v>#VALUE!</v>
      </c>
    </row>
    <row r="262" spans="1:2" x14ac:dyDescent="0.3">
      <c r="A262" t="e">
        <f>Tabla27[[#This Row],[Agrupación]]</f>
        <v>#VALUE!</v>
      </c>
      <c r="B262" t="e" cm="1">
        <f t="array" ref="B262">TRANSPOSE((_xlfn._xlws.FILTER(INDEX(ProductosPivot!$C$6:$E$1000,,MATCH($A262,ProductosPivot!$C$5:$E$5,0)),INDEX(ProductosPivot!$C$6:$E$1000,,MATCH($A262,ProductosPivot!$C$5:$E$5,0))&lt;&gt;"","No hay nada")))</f>
        <v>#VALUE!</v>
      </c>
    </row>
    <row r="263" spans="1:2" x14ac:dyDescent="0.3">
      <c r="A263" t="e">
        <f>Tabla27[[#This Row],[Agrupación]]</f>
        <v>#VALUE!</v>
      </c>
      <c r="B263" t="e" cm="1">
        <f t="array" ref="B263">TRANSPOSE((_xlfn._xlws.FILTER(INDEX(ProductosPivot!$C$6:$E$1000,,MATCH($A263,ProductosPivot!$C$5:$E$5,0)),INDEX(ProductosPivot!$C$6:$E$1000,,MATCH($A263,ProductosPivot!$C$5:$E$5,0))&lt;&gt;"","No hay nada")))</f>
        <v>#VALUE!</v>
      </c>
    </row>
    <row r="264" spans="1:2" x14ac:dyDescent="0.3">
      <c r="A264" t="e">
        <f>Tabla27[[#This Row],[Agrupación]]</f>
        <v>#VALUE!</v>
      </c>
      <c r="B264" t="e" cm="1">
        <f t="array" ref="B264">TRANSPOSE((_xlfn._xlws.FILTER(INDEX(ProductosPivot!$C$6:$E$1000,,MATCH($A264,ProductosPivot!$C$5:$E$5,0)),INDEX(ProductosPivot!$C$6:$E$1000,,MATCH($A264,ProductosPivot!$C$5:$E$5,0))&lt;&gt;"","No hay nada")))</f>
        <v>#VALUE!</v>
      </c>
    </row>
    <row r="265" spans="1:2" x14ac:dyDescent="0.3">
      <c r="A265" t="e">
        <f>Tabla27[[#This Row],[Agrupación]]</f>
        <v>#VALUE!</v>
      </c>
      <c r="B265" t="e" cm="1">
        <f t="array" ref="B265">TRANSPOSE((_xlfn._xlws.FILTER(INDEX(ProductosPivot!$C$6:$E$1000,,MATCH($A265,ProductosPivot!$C$5:$E$5,0)),INDEX(ProductosPivot!$C$6:$E$1000,,MATCH($A265,ProductosPivot!$C$5:$E$5,0))&lt;&gt;"","No hay nada")))</f>
        <v>#VALUE!</v>
      </c>
    </row>
    <row r="266" spans="1:2" x14ac:dyDescent="0.3">
      <c r="A266" t="e">
        <f>Tabla27[[#This Row],[Agrupación]]</f>
        <v>#VALUE!</v>
      </c>
      <c r="B266" t="e" cm="1">
        <f t="array" ref="B266">TRANSPOSE((_xlfn._xlws.FILTER(INDEX(ProductosPivot!$C$6:$E$1000,,MATCH($A266,ProductosPivot!$C$5:$E$5,0)),INDEX(ProductosPivot!$C$6:$E$1000,,MATCH($A266,ProductosPivot!$C$5:$E$5,0))&lt;&gt;"","No hay nada")))</f>
        <v>#VALUE!</v>
      </c>
    </row>
    <row r="267" spans="1:2" x14ac:dyDescent="0.3">
      <c r="A267" t="e">
        <f>Tabla27[[#This Row],[Agrupación]]</f>
        <v>#VALUE!</v>
      </c>
      <c r="B267" t="e" cm="1">
        <f t="array" ref="B267">TRANSPOSE((_xlfn._xlws.FILTER(INDEX(ProductosPivot!$C$6:$E$1000,,MATCH($A267,ProductosPivot!$C$5:$E$5,0)),INDEX(ProductosPivot!$C$6:$E$1000,,MATCH($A267,ProductosPivot!$C$5:$E$5,0))&lt;&gt;"","No hay nada")))</f>
        <v>#VALUE!</v>
      </c>
    </row>
    <row r="268" spans="1:2" x14ac:dyDescent="0.3">
      <c r="A268" t="e">
        <f>Tabla27[[#This Row],[Agrupación]]</f>
        <v>#VALUE!</v>
      </c>
      <c r="B268" t="e" cm="1">
        <f t="array" ref="B268">TRANSPOSE((_xlfn._xlws.FILTER(INDEX(ProductosPivot!$C$6:$E$1000,,MATCH($A268,ProductosPivot!$C$5:$E$5,0)),INDEX(ProductosPivot!$C$6:$E$1000,,MATCH($A268,ProductosPivot!$C$5:$E$5,0))&lt;&gt;"","No hay nada")))</f>
        <v>#VALUE!</v>
      </c>
    </row>
    <row r="269" spans="1:2" x14ac:dyDescent="0.3">
      <c r="A269" t="e">
        <f>Tabla27[[#This Row],[Agrupación]]</f>
        <v>#VALUE!</v>
      </c>
      <c r="B269" t="e" cm="1">
        <f t="array" ref="B269">TRANSPOSE((_xlfn._xlws.FILTER(INDEX(ProductosPivot!$C$6:$E$1000,,MATCH($A269,ProductosPivot!$C$5:$E$5,0)),INDEX(ProductosPivot!$C$6:$E$1000,,MATCH($A269,ProductosPivot!$C$5:$E$5,0))&lt;&gt;"","No hay nada")))</f>
        <v>#VALUE!</v>
      </c>
    </row>
    <row r="270" spans="1:2" x14ac:dyDescent="0.3">
      <c r="A270" t="e">
        <f>Tabla27[[#This Row],[Agrupación]]</f>
        <v>#VALUE!</v>
      </c>
      <c r="B270" t="e" cm="1">
        <f t="array" ref="B270">TRANSPOSE((_xlfn._xlws.FILTER(INDEX(ProductosPivot!$C$6:$E$1000,,MATCH($A270,ProductosPivot!$C$5:$E$5,0)),INDEX(ProductosPivot!$C$6:$E$1000,,MATCH($A270,ProductosPivot!$C$5:$E$5,0))&lt;&gt;"","No hay nada")))</f>
        <v>#VALUE!</v>
      </c>
    </row>
    <row r="271" spans="1:2" x14ac:dyDescent="0.3">
      <c r="A271" t="e">
        <f>Tabla27[[#This Row],[Agrupación]]</f>
        <v>#VALUE!</v>
      </c>
      <c r="B271" t="e" cm="1">
        <f t="array" ref="B271">TRANSPOSE((_xlfn._xlws.FILTER(INDEX(ProductosPivot!$C$6:$E$1000,,MATCH($A271,ProductosPivot!$C$5:$E$5,0)),INDEX(ProductosPivot!$C$6:$E$1000,,MATCH($A271,ProductosPivot!$C$5:$E$5,0))&lt;&gt;"","No hay nada")))</f>
        <v>#VALUE!</v>
      </c>
    </row>
    <row r="272" spans="1:2" x14ac:dyDescent="0.3">
      <c r="A272" t="e">
        <f>Tabla27[[#This Row],[Agrupación]]</f>
        <v>#VALUE!</v>
      </c>
      <c r="B272" t="e" cm="1">
        <f t="array" ref="B272">TRANSPOSE((_xlfn._xlws.FILTER(INDEX(ProductosPivot!$C$6:$E$1000,,MATCH($A272,ProductosPivot!$C$5:$E$5,0)),INDEX(ProductosPivot!$C$6:$E$1000,,MATCH($A272,ProductosPivot!$C$5:$E$5,0))&lt;&gt;"","No hay nada")))</f>
        <v>#VALUE!</v>
      </c>
    </row>
    <row r="273" spans="1:2" x14ac:dyDescent="0.3">
      <c r="A273" t="e">
        <f>Tabla27[[#This Row],[Agrupación]]</f>
        <v>#VALUE!</v>
      </c>
      <c r="B273" t="e" cm="1">
        <f t="array" ref="B273">TRANSPOSE((_xlfn._xlws.FILTER(INDEX(ProductosPivot!$C$6:$E$1000,,MATCH($A273,ProductosPivot!$C$5:$E$5,0)),INDEX(ProductosPivot!$C$6:$E$1000,,MATCH($A273,ProductosPivot!$C$5:$E$5,0))&lt;&gt;"","No hay nada")))</f>
        <v>#VALUE!</v>
      </c>
    </row>
    <row r="274" spans="1:2" x14ac:dyDescent="0.3">
      <c r="A274" t="e">
        <f>Tabla27[[#This Row],[Agrupación]]</f>
        <v>#VALUE!</v>
      </c>
      <c r="B274" t="e" cm="1">
        <f t="array" ref="B274">TRANSPOSE((_xlfn._xlws.FILTER(INDEX(ProductosPivot!$C$6:$E$1000,,MATCH($A274,ProductosPivot!$C$5:$E$5,0)),INDEX(ProductosPivot!$C$6:$E$1000,,MATCH($A274,ProductosPivot!$C$5:$E$5,0))&lt;&gt;"","No hay nada")))</f>
        <v>#VALUE!</v>
      </c>
    </row>
    <row r="275" spans="1:2" x14ac:dyDescent="0.3">
      <c r="A275" t="e">
        <f>Tabla27[[#This Row],[Agrupación]]</f>
        <v>#VALUE!</v>
      </c>
      <c r="B275" t="e" cm="1">
        <f t="array" ref="B275">TRANSPOSE((_xlfn._xlws.FILTER(INDEX(ProductosPivot!$C$6:$E$1000,,MATCH($A275,ProductosPivot!$C$5:$E$5,0)),INDEX(ProductosPivot!$C$6:$E$1000,,MATCH($A275,ProductosPivot!$C$5:$E$5,0))&lt;&gt;"","No hay nada")))</f>
        <v>#VALUE!</v>
      </c>
    </row>
    <row r="276" spans="1:2" x14ac:dyDescent="0.3">
      <c r="A276" t="e">
        <f>Tabla27[[#This Row],[Agrupación]]</f>
        <v>#VALUE!</v>
      </c>
      <c r="B276" t="e" cm="1">
        <f t="array" ref="B276">TRANSPOSE((_xlfn._xlws.FILTER(INDEX(ProductosPivot!$C$6:$E$1000,,MATCH($A276,ProductosPivot!$C$5:$E$5,0)),INDEX(ProductosPivot!$C$6:$E$1000,,MATCH($A276,ProductosPivot!$C$5:$E$5,0))&lt;&gt;"","No hay nada")))</f>
        <v>#VALUE!</v>
      </c>
    </row>
    <row r="277" spans="1:2" x14ac:dyDescent="0.3">
      <c r="A277" t="e">
        <f>Tabla27[[#This Row],[Agrupación]]</f>
        <v>#VALUE!</v>
      </c>
      <c r="B277" t="e" cm="1">
        <f t="array" ref="B277">TRANSPOSE((_xlfn._xlws.FILTER(INDEX(ProductosPivot!$C$6:$E$1000,,MATCH($A277,ProductosPivot!$C$5:$E$5,0)),INDEX(ProductosPivot!$C$6:$E$1000,,MATCH($A277,ProductosPivot!$C$5:$E$5,0))&lt;&gt;"","No hay nada")))</f>
        <v>#VALUE!</v>
      </c>
    </row>
    <row r="278" spans="1:2" x14ac:dyDescent="0.3">
      <c r="A278" t="e">
        <f>Tabla27[[#This Row],[Agrupación]]</f>
        <v>#VALUE!</v>
      </c>
      <c r="B278" t="e" cm="1">
        <f t="array" ref="B278">TRANSPOSE((_xlfn._xlws.FILTER(INDEX(ProductosPivot!$C$6:$E$1000,,MATCH($A278,ProductosPivot!$C$5:$E$5,0)),INDEX(ProductosPivot!$C$6:$E$1000,,MATCH($A278,ProductosPivot!$C$5:$E$5,0))&lt;&gt;"","No hay nada")))</f>
        <v>#VALUE!</v>
      </c>
    </row>
    <row r="279" spans="1:2" x14ac:dyDescent="0.3">
      <c r="A279" t="e">
        <f>Tabla27[[#This Row],[Agrupación]]</f>
        <v>#VALUE!</v>
      </c>
      <c r="B279" t="e" cm="1">
        <f t="array" ref="B279">TRANSPOSE((_xlfn._xlws.FILTER(INDEX(ProductosPivot!$C$6:$E$1000,,MATCH($A279,ProductosPivot!$C$5:$E$5,0)),INDEX(ProductosPivot!$C$6:$E$1000,,MATCH($A279,ProductosPivot!$C$5:$E$5,0))&lt;&gt;"","No hay nada")))</f>
        <v>#VALUE!</v>
      </c>
    </row>
    <row r="280" spans="1:2" x14ac:dyDescent="0.3">
      <c r="A280" t="e">
        <f>Tabla27[[#This Row],[Agrupación]]</f>
        <v>#VALUE!</v>
      </c>
      <c r="B280" t="e" cm="1">
        <f t="array" ref="B280">TRANSPOSE((_xlfn._xlws.FILTER(INDEX(ProductosPivot!$C$6:$E$1000,,MATCH($A280,ProductosPivot!$C$5:$E$5,0)),INDEX(ProductosPivot!$C$6:$E$1000,,MATCH($A280,ProductosPivot!$C$5:$E$5,0))&lt;&gt;"","No hay nada")))</f>
        <v>#VALUE!</v>
      </c>
    </row>
    <row r="281" spans="1:2" x14ac:dyDescent="0.3">
      <c r="A281" t="e">
        <f>Tabla27[[#This Row],[Agrupación]]</f>
        <v>#VALUE!</v>
      </c>
      <c r="B281" t="e" cm="1">
        <f t="array" ref="B281">TRANSPOSE((_xlfn._xlws.FILTER(INDEX(ProductosPivot!$C$6:$E$1000,,MATCH($A281,ProductosPivot!$C$5:$E$5,0)),INDEX(ProductosPivot!$C$6:$E$1000,,MATCH($A281,ProductosPivot!$C$5:$E$5,0))&lt;&gt;"","No hay nada")))</f>
        <v>#VALUE!</v>
      </c>
    </row>
    <row r="282" spans="1:2" x14ac:dyDescent="0.3">
      <c r="A282" t="e">
        <f>Tabla27[[#This Row],[Agrupación]]</f>
        <v>#VALUE!</v>
      </c>
      <c r="B282" t="e" cm="1">
        <f t="array" ref="B282">TRANSPOSE((_xlfn._xlws.FILTER(INDEX(ProductosPivot!$C$6:$E$1000,,MATCH($A282,ProductosPivot!$C$5:$E$5,0)),INDEX(ProductosPivot!$C$6:$E$1000,,MATCH($A282,ProductosPivot!$C$5:$E$5,0))&lt;&gt;"","No hay nada")))</f>
        <v>#VALUE!</v>
      </c>
    </row>
    <row r="283" spans="1:2" x14ac:dyDescent="0.3">
      <c r="A283" t="e">
        <f>Tabla27[[#This Row],[Agrupación]]</f>
        <v>#VALUE!</v>
      </c>
      <c r="B283" t="e" cm="1">
        <f t="array" ref="B283">TRANSPOSE((_xlfn._xlws.FILTER(INDEX(ProductosPivot!$C$6:$E$1000,,MATCH($A283,ProductosPivot!$C$5:$E$5,0)),INDEX(ProductosPivot!$C$6:$E$1000,,MATCH($A283,ProductosPivot!$C$5:$E$5,0))&lt;&gt;"","No hay nada")))</f>
        <v>#VALUE!</v>
      </c>
    </row>
    <row r="284" spans="1:2" x14ac:dyDescent="0.3">
      <c r="A284" t="e">
        <f>Tabla27[[#This Row],[Agrupación]]</f>
        <v>#VALUE!</v>
      </c>
      <c r="B284" t="e" cm="1">
        <f t="array" ref="B284">TRANSPOSE((_xlfn._xlws.FILTER(INDEX(ProductosPivot!$C$6:$E$1000,,MATCH($A284,ProductosPivot!$C$5:$E$5,0)),INDEX(ProductosPivot!$C$6:$E$1000,,MATCH($A284,ProductosPivot!$C$5:$E$5,0))&lt;&gt;"","No hay nada")))</f>
        <v>#VALUE!</v>
      </c>
    </row>
    <row r="285" spans="1:2" x14ac:dyDescent="0.3">
      <c r="A285" t="e">
        <f>Tabla27[[#This Row],[Agrupación]]</f>
        <v>#VALUE!</v>
      </c>
      <c r="B285" t="e" cm="1">
        <f t="array" ref="B285">TRANSPOSE((_xlfn._xlws.FILTER(INDEX(ProductosPivot!$C$6:$E$1000,,MATCH($A285,ProductosPivot!$C$5:$E$5,0)),INDEX(ProductosPivot!$C$6:$E$1000,,MATCH($A285,ProductosPivot!$C$5:$E$5,0))&lt;&gt;"","No hay nada")))</f>
        <v>#VALUE!</v>
      </c>
    </row>
    <row r="286" spans="1:2" x14ac:dyDescent="0.3">
      <c r="A286" t="e">
        <f>Tabla27[[#This Row],[Agrupación]]</f>
        <v>#VALUE!</v>
      </c>
      <c r="B286" t="e" cm="1">
        <f t="array" ref="B286">TRANSPOSE((_xlfn._xlws.FILTER(INDEX(ProductosPivot!$C$6:$E$1000,,MATCH($A286,ProductosPivot!$C$5:$E$5,0)),INDEX(ProductosPivot!$C$6:$E$1000,,MATCH($A286,ProductosPivot!$C$5:$E$5,0))&lt;&gt;"","No hay nada")))</f>
        <v>#VALUE!</v>
      </c>
    </row>
    <row r="287" spans="1:2" x14ac:dyDescent="0.3">
      <c r="A287" t="e">
        <f>Tabla27[[#This Row],[Agrupación]]</f>
        <v>#VALUE!</v>
      </c>
      <c r="B287" t="e" cm="1">
        <f t="array" ref="B287">TRANSPOSE((_xlfn._xlws.FILTER(INDEX(ProductosPivot!$C$6:$E$1000,,MATCH($A287,ProductosPivot!$C$5:$E$5,0)),INDEX(ProductosPivot!$C$6:$E$1000,,MATCH($A287,ProductosPivot!$C$5:$E$5,0))&lt;&gt;"","No hay nada")))</f>
        <v>#VALUE!</v>
      </c>
    </row>
    <row r="288" spans="1:2" x14ac:dyDescent="0.3">
      <c r="A288" t="e">
        <f>Tabla27[[#This Row],[Agrupación]]</f>
        <v>#VALUE!</v>
      </c>
      <c r="B288" t="e" cm="1">
        <f t="array" ref="B288">TRANSPOSE((_xlfn._xlws.FILTER(INDEX(ProductosPivot!$C$6:$E$1000,,MATCH($A288,ProductosPivot!$C$5:$E$5,0)),INDEX(ProductosPivot!$C$6:$E$1000,,MATCH($A288,ProductosPivot!$C$5:$E$5,0))&lt;&gt;"","No hay nada")))</f>
        <v>#VALUE!</v>
      </c>
    </row>
    <row r="289" spans="1:2" x14ac:dyDescent="0.3">
      <c r="A289" t="e">
        <f>Tabla27[[#This Row],[Agrupación]]</f>
        <v>#VALUE!</v>
      </c>
      <c r="B289" t="e" cm="1">
        <f t="array" ref="B289">TRANSPOSE((_xlfn._xlws.FILTER(INDEX(ProductosPivot!$C$6:$E$1000,,MATCH($A289,ProductosPivot!$C$5:$E$5,0)),INDEX(ProductosPivot!$C$6:$E$1000,,MATCH($A289,ProductosPivot!$C$5:$E$5,0))&lt;&gt;"","No hay nada")))</f>
        <v>#VALUE!</v>
      </c>
    </row>
    <row r="290" spans="1:2" x14ac:dyDescent="0.3">
      <c r="A290" t="e">
        <f>Tabla27[[#This Row],[Agrupación]]</f>
        <v>#VALUE!</v>
      </c>
      <c r="B290" t="e" cm="1">
        <f t="array" ref="B290">TRANSPOSE((_xlfn._xlws.FILTER(INDEX(ProductosPivot!$C$6:$E$1000,,MATCH($A290,ProductosPivot!$C$5:$E$5,0)),INDEX(ProductosPivot!$C$6:$E$1000,,MATCH($A290,ProductosPivot!$C$5:$E$5,0))&lt;&gt;"","No hay nada")))</f>
        <v>#VALUE!</v>
      </c>
    </row>
    <row r="291" spans="1:2" x14ac:dyDescent="0.3">
      <c r="A291" t="e">
        <f>Tabla27[[#This Row],[Agrupación]]</f>
        <v>#VALUE!</v>
      </c>
      <c r="B291" t="e" cm="1">
        <f t="array" ref="B291">TRANSPOSE((_xlfn._xlws.FILTER(INDEX(ProductosPivot!$C$6:$E$1000,,MATCH($A291,ProductosPivot!$C$5:$E$5,0)),INDEX(ProductosPivot!$C$6:$E$1000,,MATCH($A291,ProductosPivot!$C$5:$E$5,0))&lt;&gt;"","No hay nada")))</f>
        <v>#VALUE!</v>
      </c>
    </row>
    <row r="292" spans="1:2" x14ac:dyDescent="0.3">
      <c r="A292" t="e">
        <f>Tabla27[[#This Row],[Agrupación]]</f>
        <v>#VALUE!</v>
      </c>
      <c r="B292" t="e" cm="1">
        <f t="array" ref="B292">TRANSPOSE((_xlfn._xlws.FILTER(INDEX(ProductosPivot!$C$6:$E$1000,,MATCH($A292,ProductosPivot!$C$5:$E$5,0)),INDEX(ProductosPivot!$C$6:$E$1000,,MATCH($A292,ProductosPivot!$C$5:$E$5,0))&lt;&gt;"","No hay nada")))</f>
        <v>#VALUE!</v>
      </c>
    </row>
    <row r="293" spans="1:2" x14ac:dyDescent="0.3">
      <c r="A293" t="e">
        <f>Tabla27[[#This Row],[Agrupación]]</f>
        <v>#VALUE!</v>
      </c>
      <c r="B293" t="e" cm="1">
        <f t="array" ref="B293">TRANSPOSE((_xlfn._xlws.FILTER(INDEX(ProductosPivot!$C$6:$E$1000,,MATCH($A293,ProductosPivot!$C$5:$E$5,0)),INDEX(ProductosPivot!$C$6:$E$1000,,MATCH($A293,ProductosPivot!$C$5:$E$5,0))&lt;&gt;"","No hay nada")))</f>
        <v>#VALUE!</v>
      </c>
    </row>
    <row r="294" spans="1:2" x14ac:dyDescent="0.3">
      <c r="A294" t="e">
        <f>Tabla27[[#This Row],[Agrupación]]</f>
        <v>#VALUE!</v>
      </c>
      <c r="B294" t="e" cm="1">
        <f t="array" ref="B294">TRANSPOSE((_xlfn._xlws.FILTER(INDEX(ProductosPivot!$C$6:$E$1000,,MATCH($A294,ProductosPivot!$C$5:$E$5,0)),INDEX(ProductosPivot!$C$6:$E$1000,,MATCH($A294,ProductosPivot!$C$5:$E$5,0))&lt;&gt;"","No hay nada")))</f>
        <v>#VALUE!</v>
      </c>
    </row>
    <row r="295" spans="1:2" x14ac:dyDescent="0.3">
      <c r="A295" t="e">
        <f>Tabla27[[#This Row],[Agrupación]]</f>
        <v>#VALUE!</v>
      </c>
      <c r="B295" t="e" cm="1">
        <f t="array" ref="B295">TRANSPOSE((_xlfn._xlws.FILTER(INDEX(ProductosPivot!$C$6:$E$1000,,MATCH($A295,ProductosPivot!$C$5:$E$5,0)),INDEX(ProductosPivot!$C$6:$E$1000,,MATCH($A295,ProductosPivot!$C$5:$E$5,0))&lt;&gt;"","No hay nada")))</f>
        <v>#VALUE!</v>
      </c>
    </row>
    <row r="296" spans="1:2" x14ac:dyDescent="0.3">
      <c r="A296" t="e">
        <f>Tabla27[[#This Row],[Agrupación]]</f>
        <v>#VALUE!</v>
      </c>
      <c r="B296" t="e" cm="1">
        <f t="array" ref="B296">TRANSPOSE((_xlfn._xlws.FILTER(INDEX(ProductosPivot!$C$6:$E$1000,,MATCH($A296,ProductosPivot!$C$5:$E$5,0)),INDEX(ProductosPivot!$C$6:$E$1000,,MATCH($A296,ProductosPivot!$C$5:$E$5,0))&lt;&gt;"","No hay nada")))</f>
        <v>#VALUE!</v>
      </c>
    </row>
    <row r="297" spans="1:2" x14ac:dyDescent="0.3">
      <c r="A297" t="e">
        <f>Tabla27[[#This Row],[Agrupación]]</f>
        <v>#VALUE!</v>
      </c>
      <c r="B297" t="e" cm="1">
        <f t="array" ref="B297">TRANSPOSE((_xlfn._xlws.FILTER(INDEX(ProductosPivot!$C$6:$E$1000,,MATCH($A297,ProductosPivot!$C$5:$E$5,0)),INDEX(ProductosPivot!$C$6:$E$1000,,MATCH($A297,ProductosPivot!$C$5:$E$5,0))&lt;&gt;"","No hay nada")))</f>
        <v>#VALUE!</v>
      </c>
    </row>
    <row r="298" spans="1:2" x14ac:dyDescent="0.3">
      <c r="A298" t="e">
        <f>Tabla27[[#This Row],[Agrupación]]</f>
        <v>#VALUE!</v>
      </c>
      <c r="B298" t="e" cm="1">
        <f t="array" ref="B298">TRANSPOSE((_xlfn._xlws.FILTER(INDEX(ProductosPivot!$C$6:$E$1000,,MATCH($A298,ProductosPivot!$C$5:$E$5,0)),INDEX(ProductosPivot!$C$6:$E$1000,,MATCH($A298,ProductosPivot!$C$5:$E$5,0))&lt;&gt;"","No hay nada")))</f>
        <v>#VALUE!</v>
      </c>
    </row>
    <row r="299" spans="1:2" x14ac:dyDescent="0.3">
      <c r="A299" t="e">
        <f>Tabla27[[#This Row],[Agrupación]]</f>
        <v>#VALUE!</v>
      </c>
      <c r="B299" t="e" cm="1">
        <f t="array" ref="B299">TRANSPOSE((_xlfn._xlws.FILTER(INDEX(ProductosPivot!$C$6:$E$1000,,MATCH($A299,ProductosPivot!$C$5:$E$5,0)),INDEX(ProductosPivot!$C$6:$E$1000,,MATCH($A299,ProductosPivot!$C$5:$E$5,0))&lt;&gt;"","No hay nada")))</f>
        <v>#VALUE!</v>
      </c>
    </row>
    <row r="300" spans="1:2" x14ac:dyDescent="0.3">
      <c r="A300" t="e">
        <f>Tabla27[[#This Row],[Agrupación]]</f>
        <v>#VALUE!</v>
      </c>
      <c r="B300" t="e" cm="1">
        <f t="array" ref="B300">TRANSPOSE((_xlfn._xlws.FILTER(INDEX(ProductosPivot!$C$6:$E$1000,,MATCH($A300,ProductosPivot!$C$5:$E$5,0)),INDEX(ProductosPivot!$C$6:$E$1000,,MATCH($A300,ProductosPivot!$C$5:$E$5,0))&lt;&gt;"","No hay nada")))</f>
        <v>#VALUE!</v>
      </c>
    </row>
    <row r="301" spans="1:2" x14ac:dyDescent="0.3">
      <c r="A301" t="e">
        <f>Tabla27[[#This Row],[Agrupación]]</f>
        <v>#VALUE!</v>
      </c>
      <c r="B301" t="e" cm="1">
        <f t="array" ref="B301">TRANSPOSE((_xlfn._xlws.FILTER(INDEX(ProductosPivot!$C$6:$E$1000,,MATCH($A301,ProductosPivot!$C$5:$E$5,0)),INDEX(ProductosPivot!$C$6:$E$1000,,MATCH($A301,ProductosPivot!$C$5:$E$5,0))&lt;&gt;"","No hay nada")))</f>
        <v>#VALUE!</v>
      </c>
    </row>
    <row r="302" spans="1:2" x14ac:dyDescent="0.3">
      <c r="A302" t="e">
        <f>Tabla27[[#This Row],[Agrupación]]</f>
        <v>#VALUE!</v>
      </c>
      <c r="B302" t="e" cm="1">
        <f t="array" ref="B302">TRANSPOSE((_xlfn._xlws.FILTER(INDEX(ProductosPivot!$C$6:$E$1000,,MATCH($A302,ProductosPivot!$C$5:$E$5,0)),INDEX(ProductosPivot!$C$6:$E$1000,,MATCH($A302,ProductosPivot!$C$5:$E$5,0))&lt;&gt;"","No hay nada")))</f>
        <v>#VALUE!</v>
      </c>
    </row>
    <row r="303" spans="1:2" x14ac:dyDescent="0.3">
      <c r="A303" t="e">
        <f>Tabla27[[#This Row],[Agrupación]]</f>
        <v>#VALUE!</v>
      </c>
      <c r="B303" t="e" cm="1">
        <f t="array" ref="B303">TRANSPOSE((_xlfn._xlws.FILTER(INDEX(ProductosPivot!$C$6:$E$1000,,MATCH($A303,ProductosPivot!$C$5:$E$5,0)),INDEX(ProductosPivot!$C$6:$E$1000,,MATCH($A303,ProductosPivot!$C$5:$E$5,0))&lt;&gt;"","No hay nada")))</f>
        <v>#VALUE!</v>
      </c>
    </row>
    <row r="304" spans="1:2" x14ac:dyDescent="0.3">
      <c r="A304" t="e">
        <f>Tabla27[[#This Row],[Agrupación]]</f>
        <v>#VALUE!</v>
      </c>
      <c r="B304" t="e" cm="1">
        <f t="array" ref="B304">TRANSPOSE((_xlfn._xlws.FILTER(INDEX(ProductosPivot!$C$6:$E$1000,,MATCH($A304,ProductosPivot!$C$5:$E$5,0)),INDEX(ProductosPivot!$C$6:$E$1000,,MATCH($A304,ProductosPivot!$C$5:$E$5,0))&lt;&gt;"","No hay nada")))</f>
        <v>#VALUE!</v>
      </c>
    </row>
    <row r="305" spans="1:2" x14ac:dyDescent="0.3">
      <c r="A305" t="e">
        <f>Tabla27[[#This Row],[Agrupación]]</f>
        <v>#VALUE!</v>
      </c>
      <c r="B305" t="e" cm="1">
        <f t="array" ref="B305">TRANSPOSE((_xlfn._xlws.FILTER(INDEX(ProductosPivot!$C$6:$E$1000,,MATCH($A305,ProductosPivot!$C$5:$E$5,0)),INDEX(ProductosPivot!$C$6:$E$1000,,MATCH($A305,ProductosPivot!$C$5:$E$5,0))&lt;&gt;"","No hay nada")))</f>
        <v>#VALUE!</v>
      </c>
    </row>
    <row r="306" spans="1:2" x14ac:dyDescent="0.3">
      <c r="A306" t="e">
        <f>Tabla27[[#This Row],[Agrupación]]</f>
        <v>#VALUE!</v>
      </c>
      <c r="B306" t="e" cm="1">
        <f t="array" ref="B306">TRANSPOSE((_xlfn._xlws.FILTER(INDEX(ProductosPivot!$C$6:$E$1000,,MATCH($A306,ProductosPivot!$C$5:$E$5,0)),INDEX(ProductosPivot!$C$6:$E$1000,,MATCH($A306,ProductosPivot!$C$5:$E$5,0))&lt;&gt;"","No hay nada")))</f>
        <v>#VALUE!</v>
      </c>
    </row>
    <row r="307" spans="1:2" x14ac:dyDescent="0.3">
      <c r="A307" t="e">
        <f>Tabla27[[#This Row],[Agrupación]]</f>
        <v>#VALUE!</v>
      </c>
      <c r="B307" t="e" cm="1">
        <f t="array" ref="B307">TRANSPOSE((_xlfn._xlws.FILTER(INDEX(ProductosPivot!$C$6:$E$1000,,MATCH($A307,ProductosPivot!$C$5:$E$5,0)),INDEX(ProductosPivot!$C$6:$E$1000,,MATCH($A307,ProductosPivot!$C$5:$E$5,0))&lt;&gt;"","No hay nada")))</f>
        <v>#VALUE!</v>
      </c>
    </row>
    <row r="308" spans="1:2" x14ac:dyDescent="0.3">
      <c r="A308" t="e">
        <f>Tabla27[[#This Row],[Agrupación]]</f>
        <v>#VALUE!</v>
      </c>
      <c r="B308" t="e" cm="1">
        <f t="array" ref="B308">TRANSPOSE((_xlfn._xlws.FILTER(INDEX(ProductosPivot!$C$6:$E$1000,,MATCH($A308,ProductosPivot!$C$5:$E$5,0)),INDEX(ProductosPivot!$C$6:$E$1000,,MATCH($A308,ProductosPivot!$C$5:$E$5,0))&lt;&gt;"","No hay nada")))</f>
        <v>#VALUE!</v>
      </c>
    </row>
    <row r="309" spans="1:2" x14ac:dyDescent="0.3">
      <c r="A309" t="e">
        <f>Tabla27[[#This Row],[Agrupación]]</f>
        <v>#VALUE!</v>
      </c>
      <c r="B309" t="e" cm="1">
        <f t="array" ref="B309">TRANSPOSE((_xlfn._xlws.FILTER(INDEX(ProductosPivot!$C$6:$E$1000,,MATCH($A309,ProductosPivot!$C$5:$E$5,0)),INDEX(ProductosPivot!$C$6:$E$1000,,MATCH($A309,ProductosPivot!$C$5:$E$5,0))&lt;&gt;"","No hay nada")))</f>
        <v>#VALUE!</v>
      </c>
    </row>
    <row r="310" spans="1:2" x14ac:dyDescent="0.3">
      <c r="A310" t="e">
        <f>Tabla27[[#This Row],[Agrupación]]</f>
        <v>#VALUE!</v>
      </c>
      <c r="B310" t="e" cm="1">
        <f t="array" ref="B310">TRANSPOSE((_xlfn._xlws.FILTER(INDEX(ProductosPivot!$C$6:$E$1000,,MATCH($A310,ProductosPivot!$C$5:$E$5,0)),INDEX(ProductosPivot!$C$6:$E$1000,,MATCH($A310,ProductosPivot!$C$5:$E$5,0))&lt;&gt;"","No hay nada")))</f>
        <v>#VALUE!</v>
      </c>
    </row>
    <row r="311" spans="1:2" x14ac:dyDescent="0.3">
      <c r="A311" t="e">
        <f>Tabla27[[#This Row],[Agrupación]]</f>
        <v>#VALUE!</v>
      </c>
      <c r="B311" t="e" cm="1">
        <f t="array" ref="B311">TRANSPOSE((_xlfn._xlws.FILTER(INDEX(ProductosPivot!$C$6:$E$1000,,MATCH($A311,ProductosPivot!$C$5:$E$5,0)),INDEX(ProductosPivot!$C$6:$E$1000,,MATCH($A311,ProductosPivot!$C$5:$E$5,0))&lt;&gt;"","No hay nada")))</f>
        <v>#VALUE!</v>
      </c>
    </row>
    <row r="312" spans="1:2" x14ac:dyDescent="0.3">
      <c r="A312" t="e">
        <f>Tabla27[[#This Row],[Agrupación]]</f>
        <v>#VALUE!</v>
      </c>
      <c r="B312" t="e" cm="1">
        <f t="array" ref="B312">TRANSPOSE((_xlfn._xlws.FILTER(INDEX(ProductosPivot!$C$6:$E$1000,,MATCH($A312,ProductosPivot!$C$5:$E$5,0)),INDEX(ProductosPivot!$C$6:$E$1000,,MATCH($A312,ProductosPivot!$C$5:$E$5,0))&lt;&gt;"","No hay nada")))</f>
        <v>#VALUE!</v>
      </c>
    </row>
    <row r="313" spans="1:2" x14ac:dyDescent="0.3">
      <c r="A313" t="e">
        <f>Tabla27[[#This Row],[Agrupación]]</f>
        <v>#VALUE!</v>
      </c>
      <c r="B313" t="e" cm="1">
        <f t="array" ref="B313">TRANSPOSE((_xlfn._xlws.FILTER(INDEX(ProductosPivot!$C$6:$E$1000,,MATCH($A313,ProductosPivot!$C$5:$E$5,0)),INDEX(ProductosPivot!$C$6:$E$1000,,MATCH($A313,ProductosPivot!$C$5:$E$5,0))&lt;&gt;"","No hay nada")))</f>
        <v>#VALUE!</v>
      </c>
    </row>
    <row r="314" spans="1:2" x14ac:dyDescent="0.3">
      <c r="A314" t="e">
        <f>Tabla27[[#This Row],[Agrupación]]</f>
        <v>#VALUE!</v>
      </c>
      <c r="B314" t="e" cm="1">
        <f t="array" ref="B314">TRANSPOSE((_xlfn._xlws.FILTER(INDEX(ProductosPivot!$C$6:$E$1000,,MATCH($A314,ProductosPivot!$C$5:$E$5,0)),INDEX(ProductosPivot!$C$6:$E$1000,,MATCH($A314,ProductosPivot!$C$5:$E$5,0))&lt;&gt;"","No hay nada")))</f>
        <v>#VALUE!</v>
      </c>
    </row>
    <row r="315" spans="1:2" x14ac:dyDescent="0.3">
      <c r="A315" t="e">
        <f>Tabla27[[#This Row],[Agrupación]]</f>
        <v>#VALUE!</v>
      </c>
      <c r="B315" t="e" cm="1">
        <f t="array" ref="B315">TRANSPOSE((_xlfn._xlws.FILTER(INDEX(ProductosPivot!$C$6:$E$1000,,MATCH($A315,ProductosPivot!$C$5:$E$5,0)),INDEX(ProductosPivot!$C$6:$E$1000,,MATCH($A315,ProductosPivot!$C$5:$E$5,0))&lt;&gt;"","No hay nada")))</f>
        <v>#VALUE!</v>
      </c>
    </row>
    <row r="316" spans="1:2" x14ac:dyDescent="0.3">
      <c r="A316" t="e">
        <f>Tabla27[[#This Row],[Agrupación]]</f>
        <v>#VALUE!</v>
      </c>
      <c r="B316" t="e" cm="1">
        <f t="array" ref="B316">TRANSPOSE((_xlfn._xlws.FILTER(INDEX(ProductosPivot!$C$6:$E$1000,,MATCH($A316,ProductosPivot!$C$5:$E$5,0)),INDEX(ProductosPivot!$C$6:$E$1000,,MATCH($A316,ProductosPivot!$C$5:$E$5,0))&lt;&gt;"","No hay nada")))</f>
        <v>#VALUE!</v>
      </c>
    </row>
    <row r="317" spans="1:2" x14ac:dyDescent="0.3">
      <c r="A317" t="e">
        <f>Tabla27[[#This Row],[Agrupación]]</f>
        <v>#VALUE!</v>
      </c>
      <c r="B317" t="e" cm="1">
        <f t="array" ref="B317">TRANSPOSE((_xlfn._xlws.FILTER(INDEX(ProductosPivot!$C$6:$E$1000,,MATCH($A317,ProductosPivot!$C$5:$E$5,0)),INDEX(ProductosPivot!$C$6:$E$1000,,MATCH($A317,ProductosPivot!$C$5:$E$5,0))&lt;&gt;"","No hay nada")))</f>
        <v>#VALUE!</v>
      </c>
    </row>
    <row r="318" spans="1:2" x14ac:dyDescent="0.3">
      <c r="A318" t="e">
        <f>Tabla27[[#This Row],[Agrupación]]</f>
        <v>#VALUE!</v>
      </c>
      <c r="B318" t="e" cm="1">
        <f t="array" ref="B318">TRANSPOSE((_xlfn._xlws.FILTER(INDEX(ProductosPivot!$C$6:$E$1000,,MATCH($A318,ProductosPivot!$C$5:$E$5,0)),INDEX(ProductosPivot!$C$6:$E$1000,,MATCH($A318,ProductosPivot!$C$5:$E$5,0))&lt;&gt;"","No hay nada")))</f>
        <v>#VALUE!</v>
      </c>
    </row>
    <row r="319" spans="1:2" x14ac:dyDescent="0.3">
      <c r="A319" t="e">
        <f>Tabla27[[#This Row],[Agrupación]]</f>
        <v>#VALUE!</v>
      </c>
      <c r="B319" t="e" cm="1">
        <f t="array" ref="B319">TRANSPOSE((_xlfn._xlws.FILTER(INDEX(ProductosPivot!$C$6:$E$1000,,MATCH($A319,ProductosPivot!$C$5:$E$5,0)),INDEX(ProductosPivot!$C$6:$E$1000,,MATCH($A319,ProductosPivot!$C$5:$E$5,0))&lt;&gt;"","No hay nada")))</f>
        <v>#VALUE!</v>
      </c>
    </row>
    <row r="320" spans="1:2" x14ac:dyDescent="0.3">
      <c r="A320" t="e">
        <f>Tabla27[[#This Row],[Agrupación]]</f>
        <v>#VALUE!</v>
      </c>
      <c r="B320" t="e" cm="1">
        <f t="array" ref="B320">TRANSPOSE((_xlfn._xlws.FILTER(INDEX(ProductosPivot!$C$6:$E$1000,,MATCH($A320,ProductosPivot!$C$5:$E$5,0)),INDEX(ProductosPivot!$C$6:$E$1000,,MATCH($A320,ProductosPivot!$C$5:$E$5,0))&lt;&gt;"","No hay nada")))</f>
        <v>#VALUE!</v>
      </c>
    </row>
    <row r="321" spans="1:2" x14ac:dyDescent="0.3">
      <c r="A321" t="e">
        <f>Tabla27[[#This Row],[Agrupación]]</f>
        <v>#VALUE!</v>
      </c>
      <c r="B321" t="e" cm="1">
        <f t="array" ref="B321">TRANSPOSE((_xlfn._xlws.FILTER(INDEX(ProductosPivot!$C$6:$E$1000,,MATCH($A321,ProductosPivot!$C$5:$E$5,0)),INDEX(ProductosPivot!$C$6:$E$1000,,MATCH($A321,ProductosPivot!$C$5:$E$5,0))&lt;&gt;"","No hay nada")))</f>
        <v>#VALUE!</v>
      </c>
    </row>
    <row r="322" spans="1:2" x14ac:dyDescent="0.3">
      <c r="A322" t="e">
        <f>Tabla27[[#This Row],[Agrupación]]</f>
        <v>#VALUE!</v>
      </c>
      <c r="B322" t="e" cm="1">
        <f t="array" ref="B322">TRANSPOSE((_xlfn._xlws.FILTER(INDEX(ProductosPivot!$C$6:$E$1000,,MATCH($A322,ProductosPivot!$C$5:$E$5,0)),INDEX(ProductosPivot!$C$6:$E$1000,,MATCH($A322,ProductosPivot!$C$5:$E$5,0))&lt;&gt;"","No hay nada")))</f>
        <v>#VALUE!</v>
      </c>
    </row>
    <row r="323" spans="1:2" x14ac:dyDescent="0.3">
      <c r="A323" t="e">
        <f>Tabla27[[#This Row],[Agrupación]]</f>
        <v>#VALUE!</v>
      </c>
      <c r="B323" t="e" cm="1">
        <f t="array" ref="B323">TRANSPOSE((_xlfn._xlws.FILTER(INDEX(ProductosPivot!$C$6:$E$1000,,MATCH($A323,ProductosPivot!$C$5:$E$5,0)),INDEX(ProductosPivot!$C$6:$E$1000,,MATCH($A323,ProductosPivot!$C$5:$E$5,0))&lt;&gt;"","No hay nada")))</f>
        <v>#VALUE!</v>
      </c>
    </row>
    <row r="324" spans="1:2" x14ac:dyDescent="0.3">
      <c r="A324" t="e">
        <f>Tabla27[[#This Row],[Agrupación]]</f>
        <v>#VALUE!</v>
      </c>
      <c r="B324" t="e" cm="1">
        <f t="array" ref="B324">TRANSPOSE((_xlfn._xlws.FILTER(INDEX(ProductosPivot!$C$6:$E$1000,,MATCH($A324,ProductosPivot!$C$5:$E$5,0)),INDEX(ProductosPivot!$C$6:$E$1000,,MATCH($A324,ProductosPivot!$C$5:$E$5,0))&lt;&gt;"","No hay nada")))</f>
        <v>#VALUE!</v>
      </c>
    </row>
    <row r="325" spans="1:2" x14ac:dyDescent="0.3">
      <c r="A325" t="e">
        <f>Tabla27[[#This Row],[Agrupación]]</f>
        <v>#VALUE!</v>
      </c>
      <c r="B325" t="e" cm="1">
        <f t="array" ref="B325">TRANSPOSE((_xlfn._xlws.FILTER(INDEX(ProductosPivot!$C$6:$E$1000,,MATCH($A325,ProductosPivot!$C$5:$E$5,0)),INDEX(ProductosPivot!$C$6:$E$1000,,MATCH($A325,ProductosPivot!$C$5:$E$5,0))&lt;&gt;"","No hay nada")))</f>
        <v>#VALUE!</v>
      </c>
    </row>
    <row r="326" spans="1:2" x14ac:dyDescent="0.3">
      <c r="A326" t="e">
        <f>Tabla27[[#This Row],[Agrupación]]</f>
        <v>#VALUE!</v>
      </c>
      <c r="B326" t="e" cm="1">
        <f t="array" ref="B326">TRANSPOSE((_xlfn._xlws.FILTER(INDEX(ProductosPivot!$C$6:$E$1000,,MATCH($A326,ProductosPivot!$C$5:$E$5,0)),INDEX(ProductosPivot!$C$6:$E$1000,,MATCH($A326,ProductosPivot!$C$5:$E$5,0))&lt;&gt;"","No hay nada")))</f>
        <v>#VALUE!</v>
      </c>
    </row>
    <row r="327" spans="1:2" x14ac:dyDescent="0.3">
      <c r="A327" t="e">
        <f>Tabla27[[#This Row],[Agrupación]]</f>
        <v>#VALUE!</v>
      </c>
      <c r="B327" t="e" cm="1">
        <f t="array" ref="B327">TRANSPOSE((_xlfn._xlws.FILTER(INDEX(ProductosPivot!$C$6:$E$1000,,MATCH($A327,ProductosPivot!$C$5:$E$5,0)),INDEX(ProductosPivot!$C$6:$E$1000,,MATCH($A327,ProductosPivot!$C$5:$E$5,0))&lt;&gt;"","No hay nada")))</f>
        <v>#VALUE!</v>
      </c>
    </row>
    <row r="328" spans="1:2" x14ac:dyDescent="0.3">
      <c r="A328" t="e">
        <f>Tabla27[[#This Row],[Agrupación]]</f>
        <v>#VALUE!</v>
      </c>
      <c r="B328" t="e" cm="1">
        <f t="array" ref="B328">TRANSPOSE((_xlfn._xlws.FILTER(INDEX(ProductosPivot!$C$6:$E$1000,,MATCH($A328,ProductosPivot!$C$5:$E$5,0)),INDEX(ProductosPivot!$C$6:$E$1000,,MATCH($A328,ProductosPivot!$C$5:$E$5,0))&lt;&gt;"","No hay nada")))</f>
        <v>#VALUE!</v>
      </c>
    </row>
    <row r="329" spans="1:2" x14ac:dyDescent="0.3">
      <c r="A329" t="e">
        <f>Tabla27[[#This Row],[Agrupación]]</f>
        <v>#VALUE!</v>
      </c>
      <c r="B329" t="e" cm="1">
        <f t="array" ref="B329">TRANSPOSE((_xlfn._xlws.FILTER(INDEX(ProductosPivot!$C$6:$E$1000,,MATCH($A329,ProductosPivot!$C$5:$E$5,0)),INDEX(ProductosPivot!$C$6:$E$1000,,MATCH($A329,ProductosPivot!$C$5:$E$5,0))&lt;&gt;"","No hay nada")))</f>
        <v>#VALUE!</v>
      </c>
    </row>
    <row r="330" spans="1:2" x14ac:dyDescent="0.3">
      <c r="A330" t="e">
        <f>Tabla27[[#This Row],[Agrupación]]</f>
        <v>#VALUE!</v>
      </c>
      <c r="B330" t="e" cm="1">
        <f t="array" ref="B330">TRANSPOSE((_xlfn._xlws.FILTER(INDEX(ProductosPivot!$C$6:$E$1000,,MATCH($A330,ProductosPivot!$C$5:$E$5,0)),INDEX(ProductosPivot!$C$6:$E$1000,,MATCH($A330,ProductosPivot!$C$5:$E$5,0))&lt;&gt;"","No hay nada")))</f>
        <v>#VALUE!</v>
      </c>
    </row>
    <row r="331" spans="1:2" x14ac:dyDescent="0.3">
      <c r="A331" t="e">
        <f>Tabla27[[#This Row],[Agrupación]]</f>
        <v>#VALUE!</v>
      </c>
      <c r="B331" t="e" cm="1">
        <f t="array" ref="B331">TRANSPOSE((_xlfn._xlws.FILTER(INDEX(ProductosPivot!$C$6:$E$1000,,MATCH($A331,ProductosPivot!$C$5:$E$5,0)),INDEX(ProductosPivot!$C$6:$E$1000,,MATCH($A331,ProductosPivot!$C$5:$E$5,0))&lt;&gt;"","No hay nada")))</f>
        <v>#VALUE!</v>
      </c>
    </row>
    <row r="332" spans="1:2" x14ac:dyDescent="0.3">
      <c r="A332" t="e">
        <f>Tabla27[[#This Row],[Agrupación]]</f>
        <v>#VALUE!</v>
      </c>
      <c r="B332" t="e" cm="1">
        <f t="array" ref="B332">TRANSPOSE((_xlfn._xlws.FILTER(INDEX(ProductosPivot!$C$6:$E$1000,,MATCH($A332,ProductosPivot!$C$5:$E$5,0)),INDEX(ProductosPivot!$C$6:$E$1000,,MATCH($A332,ProductosPivot!$C$5:$E$5,0))&lt;&gt;"","No hay nada")))</f>
        <v>#VALUE!</v>
      </c>
    </row>
    <row r="333" spans="1:2" x14ac:dyDescent="0.3">
      <c r="A333" t="e">
        <f>Tabla27[[#This Row],[Agrupación]]</f>
        <v>#VALUE!</v>
      </c>
      <c r="B333" t="e" cm="1">
        <f t="array" ref="B333">TRANSPOSE((_xlfn._xlws.FILTER(INDEX(ProductosPivot!$C$6:$E$1000,,MATCH($A333,ProductosPivot!$C$5:$E$5,0)),INDEX(ProductosPivot!$C$6:$E$1000,,MATCH($A333,ProductosPivot!$C$5:$E$5,0))&lt;&gt;"","No hay nada")))</f>
        <v>#VALUE!</v>
      </c>
    </row>
    <row r="334" spans="1:2" x14ac:dyDescent="0.3">
      <c r="A334" t="e">
        <f>Tabla27[[#This Row],[Agrupación]]</f>
        <v>#VALUE!</v>
      </c>
      <c r="B334" t="e" cm="1">
        <f t="array" ref="B334">TRANSPOSE((_xlfn._xlws.FILTER(INDEX(ProductosPivot!$C$6:$E$1000,,MATCH($A334,ProductosPivot!$C$5:$E$5,0)),INDEX(ProductosPivot!$C$6:$E$1000,,MATCH($A334,ProductosPivot!$C$5:$E$5,0))&lt;&gt;"","No hay nada")))</f>
        <v>#VALUE!</v>
      </c>
    </row>
    <row r="335" spans="1:2" x14ac:dyDescent="0.3">
      <c r="A335" t="e">
        <f>Tabla27[[#This Row],[Agrupación]]</f>
        <v>#VALUE!</v>
      </c>
      <c r="B335" t="e" cm="1">
        <f t="array" ref="B335">TRANSPOSE((_xlfn._xlws.FILTER(INDEX(ProductosPivot!$C$6:$E$1000,,MATCH($A335,ProductosPivot!$C$5:$E$5,0)),INDEX(ProductosPivot!$C$6:$E$1000,,MATCH($A335,ProductosPivot!$C$5:$E$5,0))&lt;&gt;"","No hay nada")))</f>
        <v>#VALUE!</v>
      </c>
    </row>
    <row r="336" spans="1:2" x14ac:dyDescent="0.3">
      <c r="A336" t="e">
        <f>Tabla27[[#This Row],[Agrupación]]</f>
        <v>#VALUE!</v>
      </c>
      <c r="B336" t="e" cm="1">
        <f t="array" ref="B336">TRANSPOSE((_xlfn._xlws.FILTER(INDEX(ProductosPivot!$C$6:$E$1000,,MATCH($A336,ProductosPivot!$C$5:$E$5,0)),INDEX(ProductosPivot!$C$6:$E$1000,,MATCH($A336,ProductosPivot!$C$5:$E$5,0))&lt;&gt;"","No hay nada")))</f>
        <v>#VALUE!</v>
      </c>
    </row>
    <row r="337" spans="1:2" x14ac:dyDescent="0.3">
      <c r="A337" t="e">
        <f>Tabla27[[#This Row],[Agrupación]]</f>
        <v>#VALUE!</v>
      </c>
      <c r="B337" t="e" cm="1">
        <f t="array" ref="B337">TRANSPOSE((_xlfn._xlws.FILTER(INDEX(ProductosPivot!$C$6:$E$1000,,MATCH($A337,ProductosPivot!$C$5:$E$5,0)),INDEX(ProductosPivot!$C$6:$E$1000,,MATCH($A337,ProductosPivot!$C$5:$E$5,0))&lt;&gt;"","No hay nada")))</f>
        <v>#VALUE!</v>
      </c>
    </row>
    <row r="338" spans="1:2" x14ac:dyDescent="0.3">
      <c r="A338" t="e">
        <f>Tabla27[[#This Row],[Agrupación]]</f>
        <v>#VALUE!</v>
      </c>
      <c r="B338" t="e" cm="1">
        <f t="array" ref="B338">TRANSPOSE((_xlfn._xlws.FILTER(INDEX(ProductosPivot!$C$6:$E$1000,,MATCH($A338,ProductosPivot!$C$5:$E$5,0)),INDEX(ProductosPivot!$C$6:$E$1000,,MATCH($A338,ProductosPivot!$C$5:$E$5,0))&lt;&gt;"","No hay nada")))</f>
        <v>#VALUE!</v>
      </c>
    </row>
    <row r="339" spans="1:2" x14ac:dyDescent="0.3">
      <c r="A339" t="e">
        <f>Tabla27[[#This Row],[Agrupación]]</f>
        <v>#VALUE!</v>
      </c>
      <c r="B339" t="e" cm="1">
        <f t="array" ref="B339">TRANSPOSE((_xlfn._xlws.FILTER(INDEX(ProductosPivot!$C$6:$E$1000,,MATCH($A339,ProductosPivot!$C$5:$E$5,0)),INDEX(ProductosPivot!$C$6:$E$1000,,MATCH($A339,ProductosPivot!$C$5:$E$5,0))&lt;&gt;"","No hay nada")))</f>
        <v>#VALUE!</v>
      </c>
    </row>
    <row r="340" spans="1:2" x14ac:dyDescent="0.3">
      <c r="A340" t="e">
        <f>Tabla27[[#This Row],[Agrupación]]</f>
        <v>#VALUE!</v>
      </c>
      <c r="B340" t="e" cm="1">
        <f t="array" ref="B340">TRANSPOSE((_xlfn._xlws.FILTER(INDEX(ProductosPivot!$C$6:$E$1000,,MATCH($A340,ProductosPivot!$C$5:$E$5,0)),INDEX(ProductosPivot!$C$6:$E$1000,,MATCH($A340,ProductosPivot!$C$5:$E$5,0))&lt;&gt;"","No hay nada")))</f>
        <v>#VALUE!</v>
      </c>
    </row>
    <row r="341" spans="1:2" x14ac:dyDescent="0.3">
      <c r="A341" t="e">
        <f>Tabla27[[#This Row],[Agrupación]]</f>
        <v>#VALUE!</v>
      </c>
      <c r="B341" t="e" cm="1">
        <f t="array" ref="B341">TRANSPOSE((_xlfn._xlws.FILTER(INDEX(ProductosPivot!$C$6:$E$1000,,MATCH($A341,ProductosPivot!$C$5:$E$5,0)),INDEX(ProductosPivot!$C$6:$E$1000,,MATCH($A341,ProductosPivot!$C$5:$E$5,0))&lt;&gt;"","No hay nada")))</f>
        <v>#VALUE!</v>
      </c>
    </row>
    <row r="342" spans="1:2" x14ac:dyDescent="0.3">
      <c r="A342" t="e">
        <f>Tabla27[[#This Row],[Agrupación]]</f>
        <v>#VALUE!</v>
      </c>
      <c r="B342" t="e" cm="1">
        <f t="array" ref="B342">TRANSPOSE((_xlfn._xlws.FILTER(INDEX(ProductosPivot!$C$6:$E$1000,,MATCH($A342,ProductosPivot!$C$5:$E$5,0)),INDEX(ProductosPivot!$C$6:$E$1000,,MATCH($A342,ProductosPivot!$C$5:$E$5,0))&lt;&gt;"","No hay nada")))</f>
        <v>#VALUE!</v>
      </c>
    </row>
    <row r="343" spans="1:2" x14ac:dyDescent="0.3">
      <c r="A343" t="e">
        <f>Tabla27[[#This Row],[Agrupación]]</f>
        <v>#VALUE!</v>
      </c>
      <c r="B343" t="e" cm="1">
        <f t="array" ref="B343">TRANSPOSE((_xlfn._xlws.FILTER(INDEX(ProductosPivot!$C$6:$E$1000,,MATCH($A343,ProductosPivot!$C$5:$E$5,0)),INDEX(ProductosPivot!$C$6:$E$1000,,MATCH($A343,ProductosPivot!$C$5:$E$5,0))&lt;&gt;"","No hay nada")))</f>
        <v>#VALUE!</v>
      </c>
    </row>
    <row r="344" spans="1:2" x14ac:dyDescent="0.3">
      <c r="A344" t="e">
        <f>Tabla27[[#This Row],[Agrupación]]</f>
        <v>#VALUE!</v>
      </c>
      <c r="B344" t="e" cm="1">
        <f t="array" ref="B344">TRANSPOSE((_xlfn._xlws.FILTER(INDEX(ProductosPivot!$C$6:$E$1000,,MATCH($A344,ProductosPivot!$C$5:$E$5,0)),INDEX(ProductosPivot!$C$6:$E$1000,,MATCH($A344,ProductosPivot!$C$5:$E$5,0))&lt;&gt;"","No hay nada")))</f>
        <v>#VALUE!</v>
      </c>
    </row>
    <row r="345" spans="1:2" x14ac:dyDescent="0.3">
      <c r="A345" t="e">
        <f>Tabla27[[#This Row],[Agrupación]]</f>
        <v>#VALUE!</v>
      </c>
      <c r="B345" t="e" cm="1">
        <f t="array" ref="B345">TRANSPOSE((_xlfn._xlws.FILTER(INDEX(ProductosPivot!$C$6:$E$1000,,MATCH($A345,ProductosPivot!$C$5:$E$5,0)),INDEX(ProductosPivot!$C$6:$E$1000,,MATCH($A345,ProductosPivot!$C$5:$E$5,0))&lt;&gt;"","No hay nada")))</f>
        <v>#VALUE!</v>
      </c>
    </row>
    <row r="346" spans="1:2" x14ac:dyDescent="0.3">
      <c r="A346" t="e">
        <f>Tabla27[[#This Row],[Agrupación]]</f>
        <v>#VALUE!</v>
      </c>
      <c r="B346" t="e" cm="1">
        <f t="array" ref="B346">TRANSPOSE((_xlfn._xlws.FILTER(INDEX(ProductosPivot!$C$6:$E$1000,,MATCH($A346,ProductosPivot!$C$5:$E$5,0)),INDEX(ProductosPivot!$C$6:$E$1000,,MATCH($A346,ProductosPivot!$C$5:$E$5,0))&lt;&gt;"","No hay nada")))</f>
        <v>#VALUE!</v>
      </c>
    </row>
    <row r="347" spans="1:2" x14ac:dyDescent="0.3">
      <c r="A347" t="e">
        <f>Tabla27[[#This Row],[Agrupación]]</f>
        <v>#VALUE!</v>
      </c>
      <c r="B347" t="e" cm="1">
        <f t="array" ref="B347">TRANSPOSE((_xlfn._xlws.FILTER(INDEX(ProductosPivot!$C$6:$E$1000,,MATCH($A347,ProductosPivot!$C$5:$E$5,0)),INDEX(ProductosPivot!$C$6:$E$1000,,MATCH($A347,ProductosPivot!$C$5:$E$5,0))&lt;&gt;"","No hay nada")))</f>
        <v>#VALUE!</v>
      </c>
    </row>
    <row r="348" spans="1:2" x14ac:dyDescent="0.3">
      <c r="A348" t="e">
        <f>Tabla27[[#This Row],[Agrupación]]</f>
        <v>#VALUE!</v>
      </c>
      <c r="B348" t="e" cm="1">
        <f t="array" ref="B348">TRANSPOSE((_xlfn._xlws.FILTER(INDEX(ProductosPivot!$C$6:$E$1000,,MATCH($A348,ProductosPivot!$C$5:$E$5,0)),INDEX(ProductosPivot!$C$6:$E$1000,,MATCH($A348,ProductosPivot!$C$5:$E$5,0))&lt;&gt;"","No hay nada")))</f>
        <v>#VALUE!</v>
      </c>
    </row>
    <row r="349" spans="1:2" x14ac:dyDescent="0.3">
      <c r="A349" t="e">
        <f>Tabla27[[#This Row],[Agrupación]]</f>
        <v>#VALUE!</v>
      </c>
      <c r="B349" t="e" cm="1">
        <f t="array" ref="B349">TRANSPOSE((_xlfn._xlws.FILTER(INDEX(ProductosPivot!$C$6:$E$1000,,MATCH($A349,ProductosPivot!$C$5:$E$5,0)),INDEX(ProductosPivot!$C$6:$E$1000,,MATCH($A349,ProductosPivot!$C$5:$E$5,0))&lt;&gt;"","No hay nada")))</f>
        <v>#VALUE!</v>
      </c>
    </row>
    <row r="350" spans="1:2" x14ac:dyDescent="0.3">
      <c r="A350" t="e">
        <f>Tabla27[[#This Row],[Agrupación]]</f>
        <v>#VALUE!</v>
      </c>
      <c r="B350" t="e" cm="1">
        <f t="array" ref="B350">TRANSPOSE((_xlfn._xlws.FILTER(INDEX(ProductosPivot!$C$6:$E$1000,,MATCH($A350,ProductosPivot!$C$5:$E$5,0)),INDEX(ProductosPivot!$C$6:$E$1000,,MATCH($A350,ProductosPivot!$C$5:$E$5,0))&lt;&gt;"","No hay nada")))</f>
        <v>#VALUE!</v>
      </c>
    </row>
    <row r="351" spans="1:2" x14ac:dyDescent="0.3">
      <c r="A351" t="e">
        <f>Tabla27[[#This Row],[Agrupación]]</f>
        <v>#VALUE!</v>
      </c>
      <c r="B351" t="e" cm="1">
        <f t="array" ref="B351">TRANSPOSE((_xlfn._xlws.FILTER(INDEX(ProductosPivot!$C$6:$E$1000,,MATCH($A351,ProductosPivot!$C$5:$E$5,0)),INDEX(ProductosPivot!$C$6:$E$1000,,MATCH($A351,ProductosPivot!$C$5:$E$5,0))&lt;&gt;"","No hay nada")))</f>
        <v>#VALUE!</v>
      </c>
    </row>
    <row r="352" spans="1:2" x14ac:dyDescent="0.3">
      <c r="A352" t="e">
        <f>Tabla27[[#This Row],[Agrupación]]</f>
        <v>#VALUE!</v>
      </c>
      <c r="B352" t="e" cm="1">
        <f t="array" ref="B352">TRANSPOSE((_xlfn._xlws.FILTER(INDEX(ProductosPivot!$C$6:$E$1000,,MATCH($A352,ProductosPivot!$C$5:$E$5,0)),INDEX(ProductosPivot!$C$6:$E$1000,,MATCH($A352,ProductosPivot!$C$5:$E$5,0))&lt;&gt;"","No hay nada")))</f>
        <v>#VALUE!</v>
      </c>
    </row>
    <row r="353" spans="1:2" x14ac:dyDescent="0.3">
      <c r="A353" t="e">
        <f>Tabla27[[#This Row],[Agrupación]]</f>
        <v>#VALUE!</v>
      </c>
      <c r="B353" t="e" cm="1">
        <f t="array" ref="B353">TRANSPOSE((_xlfn._xlws.FILTER(INDEX(ProductosPivot!$C$6:$E$1000,,MATCH($A353,ProductosPivot!$C$5:$E$5,0)),INDEX(ProductosPivot!$C$6:$E$1000,,MATCH($A353,ProductosPivot!$C$5:$E$5,0))&lt;&gt;"","No hay nada")))</f>
        <v>#VALUE!</v>
      </c>
    </row>
    <row r="354" spans="1:2" x14ac:dyDescent="0.3">
      <c r="A354" t="e">
        <f>Tabla27[[#This Row],[Agrupación]]</f>
        <v>#VALUE!</v>
      </c>
      <c r="B354" t="e" cm="1">
        <f t="array" ref="B354">TRANSPOSE((_xlfn._xlws.FILTER(INDEX(ProductosPivot!$C$6:$E$1000,,MATCH($A354,ProductosPivot!$C$5:$E$5,0)),INDEX(ProductosPivot!$C$6:$E$1000,,MATCH($A354,ProductosPivot!$C$5:$E$5,0))&lt;&gt;"","No hay nada")))</f>
        <v>#VALUE!</v>
      </c>
    </row>
    <row r="355" spans="1:2" x14ac:dyDescent="0.3">
      <c r="A355" t="e">
        <f>Tabla27[[#This Row],[Agrupación]]</f>
        <v>#VALUE!</v>
      </c>
      <c r="B355" t="e" cm="1">
        <f t="array" ref="B355">TRANSPOSE((_xlfn._xlws.FILTER(INDEX(ProductosPivot!$C$6:$E$1000,,MATCH($A355,ProductosPivot!$C$5:$E$5,0)),INDEX(ProductosPivot!$C$6:$E$1000,,MATCH($A355,ProductosPivot!$C$5:$E$5,0))&lt;&gt;"","No hay nada")))</f>
        <v>#VALUE!</v>
      </c>
    </row>
    <row r="356" spans="1:2" x14ac:dyDescent="0.3">
      <c r="A356" t="e">
        <f>Tabla27[[#This Row],[Agrupación]]</f>
        <v>#VALUE!</v>
      </c>
      <c r="B356" t="e" cm="1">
        <f t="array" ref="B356">TRANSPOSE((_xlfn._xlws.FILTER(INDEX(ProductosPivot!$C$6:$E$1000,,MATCH($A356,ProductosPivot!$C$5:$E$5,0)),INDEX(ProductosPivot!$C$6:$E$1000,,MATCH($A356,ProductosPivot!$C$5:$E$5,0))&lt;&gt;"","No hay nada")))</f>
        <v>#VALUE!</v>
      </c>
    </row>
    <row r="357" spans="1:2" x14ac:dyDescent="0.3">
      <c r="A357" t="e">
        <f>Tabla27[[#This Row],[Agrupación]]</f>
        <v>#VALUE!</v>
      </c>
      <c r="B357" t="e" cm="1">
        <f t="array" ref="B357">TRANSPOSE((_xlfn._xlws.FILTER(INDEX(ProductosPivot!$C$6:$E$1000,,MATCH($A357,ProductosPivot!$C$5:$E$5,0)),INDEX(ProductosPivot!$C$6:$E$1000,,MATCH($A357,ProductosPivot!$C$5:$E$5,0))&lt;&gt;"","No hay nada")))</f>
        <v>#VALUE!</v>
      </c>
    </row>
    <row r="358" spans="1:2" x14ac:dyDescent="0.3">
      <c r="A358" t="e">
        <f>Tabla27[[#This Row],[Agrupación]]</f>
        <v>#VALUE!</v>
      </c>
      <c r="B358" t="e" cm="1">
        <f t="array" ref="B358">TRANSPOSE((_xlfn._xlws.FILTER(INDEX(ProductosPivot!$C$6:$E$1000,,MATCH($A358,ProductosPivot!$C$5:$E$5,0)),INDEX(ProductosPivot!$C$6:$E$1000,,MATCH($A358,ProductosPivot!$C$5:$E$5,0))&lt;&gt;"","No hay nada")))</f>
        <v>#VALUE!</v>
      </c>
    </row>
    <row r="359" spans="1:2" x14ac:dyDescent="0.3">
      <c r="A359" t="e">
        <f>Tabla27[[#This Row],[Agrupación]]</f>
        <v>#VALUE!</v>
      </c>
      <c r="B359" t="e" cm="1">
        <f t="array" ref="B359">TRANSPOSE((_xlfn._xlws.FILTER(INDEX(ProductosPivot!$C$6:$E$1000,,MATCH($A359,ProductosPivot!$C$5:$E$5,0)),INDEX(ProductosPivot!$C$6:$E$1000,,MATCH($A359,ProductosPivot!$C$5:$E$5,0))&lt;&gt;"","No hay nada")))</f>
        <v>#VALUE!</v>
      </c>
    </row>
    <row r="360" spans="1:2" x14ac:dyDescent="0.3">
      <c r="A360" t="e">
        <f>Tabla27[[#This Row],[Agrupación]]</f>
        <v>#VALUE!</v>
      </c>
      <c r="B360" t="e" cm="1">
        <f t="array" ref="B360">TRANSPOSE((_xlfn._xlws.FILTER(INDEX(ProductosPivot!$C$6:$E$1000,,MATCH($A360,ProductosPivot!$C$5:$E$5,0)),INDEX(ProductosPivot!$C$6:$E$1000,,MATCH($A360,ProductosPivot!$C$5:$E$5,0))&lt;&gt;"","No hay nada")))</f>
        <v>#VALUE!</v>
      </c>
    </row>
    <row r="361" spans="1:2" x14ac:dyDescent="0.3">
      <c r="A361" t="e">
        <f>Tabla27[[#This Row],[Agrupación]]</f>
        <v>#VALUE!</v>
      </c>
      <c r="B361" t="e" cm="1">
        <f t="array" ref="B361">TRANSPOSE((_xlfn._xlws.FILTER(INDEX(ProductosPivot!$C$6:$E$1000,,MATCH($A361,ProductosPivot!$C$5:$E$5,0)),INDEX(ProductosPivot!$C$6:$E$1000,,MATCH($A361,ProductosPivot!$C$5:$E$5,0))&lt;&gt;"","No hay nada")))</f>
        <v>#VALUE!</v>
      </c>
    </row>
    <row r="362" spans="1:2" x14ac:dyDescent="0.3">
      <c r="A362" t="e">
        <f>Tabla27[[#This Row],[Agrupación]]</f>
        <v>#VALUE!</v>
      </c>
      <c r="B362" t="e" cm="1">
        <f t="array" ref="B362">TRANSPOSE((_xlfn._xlws.FILTER(INDEX(ProductosPivot!$C$6:$E$1000,,MATCH($A362,ProductosPivot!$C$5:$E$5,0)),INDEX(ProductosPivot!$C$6:$E$1000,,MATCH($A362,ProductosPivot!$C$5:$E$5,0))&lt;&gt;"","No hay nada")))</f>
        <v>#VALUE!</v>
      </c>
    </row>
    <row r="363" spans="1:2" x14ac:dyDescent="0.3">
      <c r="A363" t="e">
        <f>Tabla27[[#This Row],[Agrupación]]</f>
        <v>#VALUE!</v>
      </c>
      <c r="B363" t="e" cm="1">
        <f t="array" ref="B363">TRANSPOSE((_xlfn._xlws.FILTER(INDEX(ProductosPivot!$C$6:$E$1000,,MATCH($A363,ProductosPivot!$C$5:$E$5,0)),INDEX(ProductosPivot!$C$6:$E$1000,,MATCH($A363,ProductosPivot!$C$5:$E$5,0))&lt;&gt;"","No hay nada")))</f>
        <v>#VALUE!</v>
      </c>
    </row>
    <row r="364" spans="1:2" x14ac:dyDescent="0.3">
      <c r="A364" t="e">
        <f>Tabla27[[#This Row],[Agrupación]]</f>
        <v>#VALUE!</v>
      </c>
      <c r="B364" t="e" cm="1">
        <f t="array" ref="B364">TRANSPOSE((_xlfn._xlws.FILTER(INDEX(ProductosPivot!$C$6:$E$1000,,MATCH($A364,ProductosPivot!$C$5:$E$5,0)),INDEX(ProductosPivot!$C$6:$E$1000,,MATCH($A364,ProductosPivot!$C$5:$E$5,0))&lt;&gt;"","No hay nada")))</f>
        <v>#VALUE!</v>
      </c>
    </row>
    <row r="365" spans="1:2" x14ac:dyDescent="0.3">
      <c r="A365" t="e">
        <f>Tabla27[[#This Row],[Agrupación]]</f>
        <v>#VALUE!</v>
      </c>
      <c r="B365" t="e" cm="1">
        <f t="array" ref="B365">TRANSPOSE((_xlfn._xlws.FILTER(INDEX(ProductosPivot!$C$6:$E$1000,,MATCH($A365,ProductosPivot!$C$5:$E$5,0)),INDEX(ProductosPivot!$C$6:$E$1000,,MATCH($A365,ProductosPivot!$C$5:$E$5,0))&lt;&gt;"","No hay nada")))</f>
        <v>#VALUE!</v>
      </c>
    </row>
    <row r="366" spans="1:2" x14ac:dyDescent="0.3">
      <c r="A366" t="e">
        <f>Tabla27[[#This Row],[Agrupación]]</f>
        <v>#VALUE!</v>
      </c>
      <c r="B366" t="e" cm="1">
        <f t="array" ref="B366">TRANSPOSE((_xlfn._xlws.FILTER(INDEX(ProductosPivot!$C$6:$E$1000,,MATCH($A366,ProductosPivot!$C$5:$E$5,0)),INDEX(ProductosPivot!$C$6:$E$1000,,MATCH($A366,ProductosPivot!$C$5:$E$5,0))&lt;&gt;"","No hay nada")))</f>
        <v>#VALUE!</v>
      </c>
    </row>
    <row r="367" spans="1:2" x14ac:dyDescent="0.3">
      <c r="A367" t="e">
        <f>Tabla27[[#This Row],[Agrupación]]</f>
        <v>#VALUE!</v>
      </c>
      <c r="B367" t="e" cm="1">
        <f t="array" ref="B367">TRANSPOSE((_xlfn._xlws.FILTER(INDEX(ProductosPivot!$C$6:$E$1000,,MATCH($A367,ProductosPivot!$C$5:$E$5,0)),INDEX(ProductosPivot!$C$6:$E$1000,,MATCH($A367,ProductosPivot!$C$5:$E$5,0))&lt;&gt;"","No hay nada")))</f>
        <v>#VALUE!</v>
      </c>
    </row>
    <row r="368" spans="1:2" x14ac:dyDescent="0.3">
      <c r="A368" t="e">
        <f>Tabla27[[#This Row],[Agrupación]]</f>
        <v>#VALUE!</v>
      </c>
      <c r="B368" t="e" cm="1">
        <f t="array" ref="B368">TRANSPOSE((_xlfn._xlws.FILTER(INDEX(ProductosPivot!$C$6:$E$1000,,MATCH($A368,ProductosPivot!$C$5:$E$5,0)),INDEX(ProductosPivot!$C$6:$E$1000,,MATCH($A368,ProductosPivot!$C$5:$E$5,0))&lt;&gt;"","No hay nada")))</f>
        <v>#VALUE!</v>
      </c>
    </row>
    <row r="369" spans="1:2" x14ac:dyDescent="0.3">
      <c r="A369" t="e">
        <f>Tabla27[[#This Row],[Agrupación]]</f>
        <v>#VALUE!</v>
      </c>
      <c r="B369" t="e" cm="1">
        <f t="array" ref="B369">TRANSPOSE((_xlfn._xlws.FILTER(INDEX(ProductosPivot!$C$6:$E$1000,,MATCH($A369,ProductosPivot!$C$5:$E$5,0)),INDEX(ProductosPivot!$C$6:$E$1000,,MATCH($A369,ProductosPivot!$C$5:$E$5,0))&lt;&gt;"","No hay nada")))</f>
        <v>#VALUE!</v>
      </c>
    </row>
    <row r="370" spans="1:2" x14ac:dyDescent="0.3">
      <c r="A370" t="e">
        <f>Tabla27[[#This Row],[Agrupación]]</f>
        <v>#VALUE!</v>
      </c>
      <c r="B370" t="e" cm="1">
        <f t="array" ref="B370">TRANSPOSE((_xlfn._xlws.FILTER(INDEX(ProductosPivot!$C$6:$E$1000,,MATCH($A370,ProductosPivot!$C$5:$E$5,0)),INDEX(ProductosPivot!$C$6:$E$1000,,MATCH($A370,ProductosPivot!$C$5:$E$5,0))&lt;&gt;"","No hay nada")))</f>
        <v>#VALUE!</v>
      </c>
    </row>
    <row r="371" spans="1:2" x14ac:dyDescent="0.3">
      <c r="A371" t="e">
        <f>Tabla27[[#This Row],[Agrupación]]</f>
        <v>#VALUE!</v>
      </c>
      <c r="B371" t="e" cm="1">
        <f t="array" ref="B371">TRANSPOSE((_xlfn._xlws.FILTER(INDEX(ProductosPivot!$C$6:$E$1000,,MATCH($A371,ProductosPivot!$C$5:$E$5,0)),INDEX(ProductosPivot!$C$6:$E$1000,,MATCH($A371,ProductosPivot!$C$5:$E$5,0))&lt;&gt;"","No hay nada")))</f>
        <v>#VALUE!</v>
      </c>
    </row>
    <row r="372" spans="1:2" x14ac:dyDescent="0.3">
      <c r="A372" t="e">
        <f>Tabla27[[#This Row],[Agrupación]]</f>
        <v>#VALUE!</v>
      </c>
      <c r="B372" t="e" cm="1">
        <f t="array" ref="B372">TRANSPOSE((_xlfn._xlws.FILTER(INDEX(ProductosPivot!$C$6:$E$1000,,MATCH($A372,ProductosPivot!$C$5:$E$5,0)),INDEX(ProductosPivot!$C$6:$E$1000,,MATCH($A372,ProductosPivot!$C$5:$E$5,0))&lt;&gt;"","No hay nada")))</f>
        <v>#VALUE!</v>
      </c>
    </row>
    <row r="373" spans="1:2" x14ac:dyDescent="0.3">
      <c r="A373" t="e">
        <f>Tabla27[[#This Row],[Agrupación]]</f>
        <v>#VALUE!</v>
      </c>
      <c r="B373" t="e" cm="1">
        <f t="array" ref="B373">TRANSPOSE((_xlfn._xlws.FILTER(INDEX(ProductosPivot!$C$6:$E$1000,,MATCH($A373,ProductosPivot!$C$5:$E$5,0)),INDEX(ProductosPivot!$C$6:$E$1000,,MATCH($A373,ProductosPivot!$C$5:$E$5,0))&lt;&gt;"","No hay nada")))</f>
        <v>#VALUE!</v>
      </c>
    </row>
    <row r="374" spans="1:2" x14ac:dyDescent="0.3">
      <c r="A374" t="e">
        <f>Tabla27[[#This Row],[Agrupación]]</f>
        <v>#VALUE!</v>
      </c>
      <c r="B374" t="e" cm="1">
        <f t="array" ref="B374">TRANSPOSE((_xlfn._xlws.FILTER(INDEX(ProductosPivot!$C$6:$E$1000,,MATCH($A374,ProductosPivot!$C$5:$E$5,0)),INDEX(ProductosPivot!$C$6:$E$1000,,MATCH($A374,ProductosPivot!$C$5:$E$5,0))&lt;&gt;"","No hay nada")))</f>
        <v>#VALUE!</v>
      </c>
    </row>
    <row r="375" spans="1:2" x14ac:dyDescent="0.3">
      <c r="A375" t="e">
        <f>Tabla27[[#This Row],[Agrupación]]</f>
        <v>#VALUE!</v>
      </c>
      <c r="B375" t="e" cm="1">
        <f t="array" ref="B375">TRANSPOSE((_xlfn._xlws.FILTER(INDEX(ProductosPivot!$C$6:$E$1000,,MATCH($A375,ProductosPivot!$C$5:$E$5,0)),INDEX(ProductosPivot!$C$6:$E$1000,,MATCH($A375,ProductosPivot!$C$5:$E$5,0))&lt;&gt;"","No hay nada")))</f>
        <v>#VALUE!</v>
      </c>
    </row>
    <row r="376" spans="1:2" x14ac:dyDescent="0.3">
      <c r="A376" t="e">
        <f>Tabla27[[#This Row],[Agrupación]]</f>
        <v>#VALUE!</v>
      </c>
      <c r="B376" t="e" cm="1">
        <f t="array" ref="B376">TRANSPOSE((_xlfn._xlws.FILTER(INDEX(ProductosPivot!$C$6:$E$1000,,MATCH($A376,ProductosPivot!$C$5:$E$5,0)),INDEX(ProductosPivot!$C$6:$E$1000,,MATCH($A376,ProductosPivot!$C$5:$E$5,0))&lt;&gt;"","No hay nada")))</f>
        <v>#VALUE!</v>
      </c>
    </row>
    <row r="377" spans="1:2" x14ac:dyDescent="0.3">
      <c r="A377" t="e">
        <f>Tabla27[[#This Row],[Agrupación]]</f>
        <v>#VALUE!</v>
      </c>
      <c r="B377" t="e" cm="1">
        <f t="array" ref="B377">TRANSPOSE((_xlfn._xlws.FILTER(INDEX(ProductosPivot!$C$6:$E$1000,,MATCH($A377,ProductosPivot!$C$5:$E$5,0)),INDEX(ProductosPivot!$C$6:$E$1000,,MATCH($A377,ProductosPivot!$C$5:$E$5,0))&lt;&gt;"","No hay nada")))</f>
        <v>#VALUE!</v>
      </c>
    </row>
    <row r="378" spans="1:2" x14ac:dyDescent="0.3">
      <c r="A378" t="e">
        <f>Tabla27[[#This Row],[Agrupación]]</f>
        <v>#VALUE!</v>
      </c>
      <c r="B378" t="e" cm="1">
        <f t="array" ref="B378">TRANSPOSE((_xlfn._xlws.FILTER(INDEX(ProductosPivot!$C$6:$E$1000,,MATCH($A378,ProductosPivot!$C$5:$E$5,0)),INDEX(ProductosPivot!$C$6:$E$1000,,MATCH($A378,ProductosPivot!$C$5:$E$5,0))&lt;&gt;"","No hay nada")))</f>
        <v>#VALUE!</v>
      </c>
    </row>
    <row r="379" spans="1:2" x14ac:dyDescent="0.3">
      <c r="A379" t="e">
        <f>Tabla27[[#This Row],[Agrupación]]</f>
        <v>#VALUE!</v>
      </c>
      <c r="B379" t="e" cm="1">
        <f t="array" ref="B379">TRANSPOSE((_xlfn._xlws.FILTER(INDEX(ProductosPivot!$C$6:$E$1000,,MATCH($A379,ProductosPivot!$C$5:$E$5,0)),INDEX(ProductosPivot!$C$6:$E$1000,,MATCH($A379,ProductosPivot!$C$5:$E$5,0))&lt;&gt;"","No hay nada")))</f>
        <v>#VALUE!</v>
      </c>
    </row>
    <row r="380" spans="1:2" x14ac:dyDescent="0.3">
      <c r="A380" t="e">
        <f>Tabla27[[#This Row],[Agrupación]]</f>
        <v>#VALUE!</v>
      </c>
      <c r="B380" t="e" cm="1">
        <f t="array" ref="B380">TRANSPOSE((_xlfn._xlws.FILTER(INDEX(ProductosPivot!$C$6:$E$1000,,MATCH($A380,ProductosPivot!$C$5:$E$5,0)),INDEX(ProductosPivot!$C$6:$E$1000,,MATCH($A380,ProductosPivot!$C$5:$E$5,0))&lt;&gt;"","No hay nada")))</f>
        <v>#VALUE!</v>
      </c>
    </row>
    <row r="381" spans="1:2" x14ac:dyDescent="0.3">
      <c r="A381" t="e">
        <f>Tabla27[[#This Row],[Agrupación]]</f>
        <v>#VALUE!</v>
      </c>
      <c r="B381" t="e" cm="1">
        <f t="array" ref="B381">TRANSPOSE((_xlfn._xlws.FILTER(INDEX(ProductosPivot!$C$6:$E$1000,,MATCH($A381,ProductosPivot!$C$5:$E$5,0)),INDEX(ProductosPivot!$C$6:$E$1000,,MATCH($A381,ProductosPivot!$C$5:$E$5,0))&lt;&gt;"","No hay nada")))</f>
        <v>#VALUE!</v>
      </c>
    </row>
    <row r="382" spans="1:2" x14ac:dyDescent="0.3">
      <c r="A382" t="e">
        <f>Tabla27[[#This Row],[Agrupación]]</f>
        <v>#VALUE!</v>
      </c>
      <c r="B382" t="e" cm="1">
        <f t="array" ref="B382">TRANSPOSE((_xlfn._xlws.FILTER(INDEX(ProductosPivot!$C$6:$E$1000,,MATCH($A382,ProductosPivot!$C$5:$E$5,0)),INDEX(ProductosPivot!$C$6:$E$1000,,MATCH($A382,ProductosPivot!$C$5:$E$5,0))&lt;&gt;"","No hay nada")))</f>
        <v>#VALUE!</v>
      </c>
    </row>
    <row r="383" spans="1:2" x14ac:dyDescent="0.3">
      <c r="A383" t="e">
        <f>Tabla27[[#This Row],[Agrupación]]</f>
        <v>#VALUE!</v>
      </c>
      <c r="B383" t="e" cm="1">
        <f t="array" ref="B383">TRANSPOSE((_xlfn._xlws.FILTER(INDEX(ProductosPivot!$C$6:$E$1000,,MATCH($A383,ProductosPivot!$C$5:$E$5,0)),INDEX(ProductosPivot!$C$6:$E$1000,,MATCH($A383,ProductosPivot!$C$5:$E$5,0))&lt;&gt;"","No hay nada")))</f>
        <v>#VALUE!</v>
      </c>
    </row>
    <row r="384" spans="1:2" x14ac:dyDescent="0.3">
      <c r="A384" t="e">
        <f>Tabla27[[#This Row],[Agrupación]]</f>
        <v>#VALUE!</v>
      </c>
      <c r="B384" t="e" cm="1">
        <f t="array" ref="B384">TRANSPOSE((_xlfn._xlws.FILTER(INDEX(ProductosPivot!$C$6:$E$1000,,MATCH($A384,ProductosPivot!$C$5:$E$5,0)),INDEX(ProductosPivot!$C$6:$E$1000,,MATCH($A384,ProductosPivot!$C$5:$E$5,0))&lt;&gt;"","No hay nada")))</f>
        <v>#VALUE!</v>
      </c>
    </row>
    <row r="385" spans="1:2" x14ac:dyDescent="0.3">
      <c r="A385" t="e">
        <f>Tabla27[[#This Row],[Agrupación]]</f>
        <v>#VALUE!</v>
      </c>
      <c r="B385" t="e" cm="1">
        <f t="array" ref="B385">TRANSPOSE((_xlfn._xlws.FILTER(INDEX(ProductosPivot!$C$6:$E$1000,,MATCH($A385,ProductosPivot!$C$5:$E$5,0)),INDEX(ProductosPivot!$C$6:$E$1000,,MATCH($A385,ProductosPivot!$C$5:$E$5,0))&lt;&gt;"","No hay nada")))</f>
        <v>#VALUE!</v>
      </c>
    </row>
    <row r="386" spans="1:2" x14ac:dyDescent="0.3">
      <c r="A386" t="e">
        <f>Tabla27[[#This Row],[Agrupación]]</f>
        <v>#VALUE!</v>
      </c>
      <c r="B386" t="e" cm="1">
        <f t="array" ref="B386">TRANSPOSE((_xlfn._xlws.FILTER(INDEX(ProductosPivot!$C$6:$E$1000,,MATCH($A386,ProductosPivot!$C$5:$E$5,0)),INDEX(ProductosPivot!$C$6:$E$1000,,MATCH($A386,ProductosPivot!$C$5:$E$5,0))&lt;&gt;"","No hay nada")))</f>
        <v>#VALUE!</v>
      </c>
    </row>
    <row r="387" spans="1:2" x14ac:dyDescent="0.3">
      <c r="A387" t="e">
        <f>Tabla27[[#This Row],[Agrupación]]</f>
        <v>#VALUE!</v>
      </c>
      <c r="B387" t="e" cm="1">
        <f t="array" ref="B387">TRANSPOSE((_xlfn._xlws.FILTER(INDEX(ProductosPivot!$C$6:$E$1000,,MATCH($A387,ProductosPivot!$C$5:$E$5,0)),INDEX(ProductosPivot!$C$6:$E$1000,,MATCH($A387,ProductosPivot!$C$5:$E$5,0))&lt;&gt;"","No hay nada")))</f>
        <v>#VALUE!</v>
      </c>
    </row>
    <row r="388" spans="1:2" x14ac:dyDescent="0.3">
      <c r="A388" t="e">
        <f>Tabla27[[#This Row],[Agrupación]]</f>
        <v>#VALUE!</v>
      </c>
      <c r="B388" t="e" cm="1">
        <f t="array" ref="B388">TRANSPOSE((_xlfn._xlws.FILTER(INDEX(ProductosPivot!$C$6:$E$1000,,MATCH($A388,ProductosPivot!$C$5:$E$5,0)),INDEX(ProductosPivot!$C$6:$E$1000,,MATCH($A388,ProductosPivot!$C$5:$E$5,0))&lt;&gt;"","No hay nada")))</f>
        <v>#VALUE!</v>
      </c>
    </row>
    <row r="389" spans="1:2" x14ac:dyDescent="0.3">
      <c r="A389" t="e">
        <f>Tabla27[[#This Row],[Agrupación]]</f>
        <v>#VALUE!</v>
      </c>
      <c r="B389" t="e" cm="1">
        <f t="array" ref="B389">TRANSPOSE((_xlfn._xlws.FILTER(INDEX(ProductosPivot!$C$6:$E$1000,,MATCH($A389,ProductosPivot!$C$5:$E$5,0)),INDEX(ProductosPivot!$C$6:$E$1000,,MATCH($A389,ProductosPivot!$C$5:$E$5,0))&lt;&gt;"","No hay nada")))</f>
        <v>#VALUE!</v>
      </c>
    </row>
    <row r="390" spans="1:2" x14ac:dyDescent="0.3">
      <c r="A390" t="e">
        <f>Tabla27[[#This Row],[Agrupación]]</f>
        <v>#VALUE!</v>
      </c>
      <c r="B390" t="e" cm="1">
        <f t="array" ref="B390">TRANSPOSE((_xlfn._xlws.FILTER(INDEX(ProductosPivot!$C$6:$E$1000,,MATCH($A390,ProductosPivot!$C$5:$E$5,0)),INDEX(ProductosPivot!$C$6:$E$1000,,MATCH($A390,ProductosPivot!$C$5:$E$5,0))&lt;&gt;"","No hay nada")))</f>
        <v>#VALUE!</v>
      </c>
    </row>
    <row r="391" spans="1:2" x14ac:dyDescent="0.3">
      <c r="A391" t="e">
        <f>Tabla27[[#This Row],[Agrupación]]</f>
        <v>#VALUE!</v>
      </c>
      <c r="B391" t="e" cm="1">
        <f t="array" ref="B391">TRANSPOSE((_xlfn._xlws.FILTER(INDEX(ProductosPivot!$C$6:$E$1000,,MATCH($A391,ProductosPivot!$C$5:$E$5,0)),INDEX(ProductosPivot!$C$6:$E$1000,,MATCH($A391,ProductosPivot!$C$5:$E$5,0))&lt;&gt;"","No hay nada")))</f>
        <v>#VALUE!</v>
      </c>
    </row>
    <row r="392" spans="1:2" x14ac:dyDescent="0.3">
      <c r="A392" t="e">
        <f>Tabla27[[#This Row],[Agrupación]]</f>
        <v>#VALUE!</v>
      </c>
      <c r="B392" t="e" cm="1">
        <f t="array" ref="B392">TRANSPOSE((_xlfn._xlws.FILTER(INDEX(ProductosPivot!$C$6:$E$1000,,MATCH($A392,ProductosPivot!$C$5:$E$5,0)),INDEX(ProductosPivot!$C$6:$E$1000,,MATCH($A392,ProductosPivot!$C$5:$E$5,0))&lt;&gt;"","No hay nada")))</f>
        <v>#VALUE!</v>
      </c>
    </row>
    <row r="393" spans="1:2" x14ac:dyDescent="0.3">
      <c r="A393" t="e">
        <f>Tabla27[[#This Row],[Agrupación]]</f>
        <v>#VALUE!</v>
      </c>
      <c r="B393" t="e" cm="1">
        <f t="array" ref="B393">TRANSPOSE((_xlfn._xlws.FILTER(INDEX(ProductosPivot!$C$6:$E$1000,,MATCH($A393,ProductosPivot!$C$5:$E$5,0)),INDEX(ProductosPivot!$C$6:$E$1000,,MATCH($A393,ProductosPivot!$C$5:$E$5,0))&lt;&gt;"","No hay nada")))</f>
        <v>#VALUE!</v>
      </c>
    </row>
    <row r="394" spans="1:2" x14ac:dyDescent="0.3">
      <c r="A394" t="e">
        <f>Tabla27[[#This Row],[Agrupación]]</f>
        <v>#VALUE!</v>
      </c>
      <c r="B394" t="e" cm="1">
        <f t="array" ref="B394">TRANSPOSE((_xlfn._xlws.FILTER(INDEX(ProductosPivot!$C$6:$E$1000,,MATCH($A394,ProductosPivot!$C$5:$E$5,0)),INDEX(ProductosPivot!$C$6:$E$1000,,MATCH($A394,ProductosPivot!$C$5:$E$5,0))&lt;&gt;"","No hay nada")))</f>
        <v>#VALUE!</v>
      </c>
    </row>
    <row r="395" spans="1:2" x14ac:dyDescent="0.3">
      <c r="A395" t="e">
        <f>Tabla27[[#This Row],[Agrupación]]</f>
        <v>#VALUE!</v>
      </c>
      <c r="B395" t="e" cm="1">
        <f t="array" ref="B395">TRANSPOSE((_xlfn._xlws.FILTER(INDEX(ProductosPivot!$C$6:$E$1000,,MATCH($A395,ProductosPivot!$C$5:$E$5,0)),INDEX(ProductosPivot!$C$6:$E$1000,,MATCH($A395,ProductosPivot!$C$5:$E$5,0))&lt;&gt;"","No hay nada")))</f>
        <v>#VALUE!</v>
      </c>
    </row>
    <row r="396" spans="1:2" x14ac:dyDescent="0.3">
      <c r="A396" t="e">
        <f>Tabla27[[#This Row],[Agrupación]]</f>
        <v>#VALUE!</v>
      </c>
      <c r="B396" t="e" cm="1">
        <f t="array" ref="B396">TRANSPOSE((_xlfn._xlws.FILTER(INDEX(ProductosPivot!$C$6:$E$1000,,MATCH($A396,ProductosPivot!$C$5:$E$5,0)),INDEX(ProductosPivot!$C$6:$E$1000,,MATCH($A396,ProductosPivot!$C$5:$E$5,0))&lt;&gt;"","No hay nada")))</f>
        <v>#VALUE!</v>
      </c>
    </row>
    <row r="397" spans="1:2" x14ac:dyDescent="0.3">
      <c r="A397" t="e">
        <f>Tabla27[[#This Row],[Agrupación]]</f>
        <v>#VALUE!</v>
      </c>
      <c r="B397" t="e" cm="1">
        <f t="array" ref="B397">TRANSPOSE((_xlfn._xlws.FILTER(INDEX(ProductosPivot!$C$6:$E$1000,,MATCH($A397,ProductosPivot!$C$5:$E$5,0)),INDEX(ProductosPivot!$C$6:$E$1000,,MATCH($A397,ProductosPivot!$C$5:$E$5,0))&lt;&gt;"","No hay nada")))</f>
        <v>#VALUE!</v>
      </c>
    </row>
    <row r="398" spans="1:2" x14ac:dyDescent="0.3">
      <c r="A398" t="e">
        <f>Tabla27[[#This Row],[Agrupación]]</f>
        <v>#VALUE!</v>
      </c>
      <c r="B398" t="e" cm="1">
        <f t="array" ref="B398">TRANSPOSE((_xlfn._xlws.FILTER(INDEX(ProductosPivot!$C$6:$E$1000,,MATCH($A398,ProductosPivot!$C$5:$E$5,0)),INDEX(ProductosPivot!$C$6:$E$1000,,MATCH($A398,ProductosPivot!$C$5:$E$5,0))&lt;&gt;"","No hay nada")))</f>
        <v>#VALUE!</v>
      </c>
    </row>
    <row r="399" spans="1:2" x14ac:dyDescent="0.3">
      <c r="A399" t="e">
        <f>Tabla27[[#This Row],[Agrupación]]</f>
        <v>#VALUE!</v>
      </c>
      <c r="B399" t="e" cm="1">
        <f t="array" ref="B399">TRANSPOSE((_xlfn._xlws.FILTER(INDEX(ProductosPivot!$C$6:$E$1000,,MATCH($A399,ProductosPivot!$C$5:$E$5,0)),INDEX(ProductosPivot!$C$6:$E$1000,,MATCH($A399,ProductosPivot!$C$5:$E$5,0))&lt;&gt;"","No hay nada")))</f>
        <v>#VALUE!</v>
      </c>
    </row>
    <row r="400" spans="1:2" x14ac:dyDescent="0.3">
      <c r="A400" t="e">
        <f>Tabla27[[#This Row],[Agrupación]]</f>
        <v>#VALUE!</v>
      </c>
      <c r="B400" t="e" cm="1">
        <f t="array" ref="B400">TRANSPOSE((_xlfn._xlws.FILTER(INDEX(ProductosPivot!$C$6:$E$1000,,MATCH($A400,ProductosPivot!$C$5:$E$5,0)),INDEX(ProductosPivot!$C$6:$E$1000,,MATCH($A400,ProductosPivot!$C$5:$E$5,0))&lt;&gt;"","No hay nada")))</f>
        <v>#VALUE!</v>
      </c>
    </row>
    <row r="401" spans="1:2" x14ac:dyDescent="0.3">
      <c r="A401" t="e">
        <f>Tabla27[[#This Row],[Agrupación]]</f>
        <v>#VALUE!</v>
      </c>
      <c r="B401" t="e" cm="1">
        <f t="array" ref="B401">TRANSPOSE((_xlfn._xlws.FILTER(INDEX(ProductosPivot!$C$6:$E$1000,,MATCH($A401,ProductosPivot!$C$5:$E$5,0)),INDEX(ProductosPivot!$C$6:$E$1000,,MATCH($A401,ProductosPivot!$C$5:$E$5,0))&lt;&gt;"","No hay nada")))</f>
        <v>#VALUE!</v>
      </c>
    </row>
    <row r="402" spans="1:2" x14ac:dyDescent="0.3">
      <c r="A402" t="e">
        <f>Tabla27[[#This Row],[Agrupación]]</f>
        <v>#VALUE!</v>
      </c>
      <c r="B402" t="e" cm="1">
        <f t="array" ref="B402">TRANSPOSE((_xlfn._xlws.FILTER(INDEX(ProductosPivot!$C$6:$E$1000,,MATCH($A402,ProductosPivot!$C$5:$E$5,0)),INDEX(ProductosPivot!$C$6:$E$1000,,MATCH($A402,ProductosPivot!$C$5:$E$5,0))&lt;&gt;"","No hay nada")))</f>
        <v>#VALUE!</v>
      </c>
    </row>
    <row r="403" spans="1:2" x14ac:dyDescent="0.3">
      <c r="A403" t="e">
        <f>Tabla27[[#This Row],[Agrupación]]</f>
        <v>#VALUE!</v>
      </c>
      <c r="B403" t="e" cm="1">
        <f t="array" ref="B403">TRANSPOSE((_xlfn._xlws.FILTER(INDEX(ProductosPivot!$C$6:$E$1000,,MATCH($A403,ProductosPivot!$C$5:$E$5,0)),INDEX(ProductosPivot!$C$6:$E$1000,,MATCH($A403,ProductosPivot!$C$5:$E$5,0))&lt;&gt;"","No hay nada")))</f>
        <v>#VALUE!</v>
      </c>
    </row>
    <row r="404" spans="1:2" x14ac:dyDescent="0.3">
      <c r="A404" t="e">
        <f>Tabla27[[#This Row],[Agrupación]]</f>
        <v>#VALUE!</v>
      </c>
      <c r="B404" t="e" cm="1">
        <f t="array" ref="B404">TRANSPOSE((_xlfn._xlws.FILTER(INDEX(ProductosPivot!$C$6:$E$1000,,MATCH($A404,ProductosPivot!$C$5:$E$5,0)),INDEX(ProductosPivot!$C$6:$E$1000,,MATCH($A404,ProductosPivot!$C$5:$E$5,0))&lt;&gt;"","No hay nada")))</f>
        <v>#VALUE!</v>
      </c>
    </row>
    <row r="405" spans="1:2" x14ac:dyDescent="0.3">
      <c r="A405" t="e">
        <f>Tabla27[[#This Row],[Agrupación]]</f>
        <v>#VALUE!</v>
      </c>
      <c r="B405" t="e" cm="1">
        <f t="array" ref="B405">TRANSPOSE((_xlfn._xlws.FILTER(INDEX(ProductosPivot!$C$6:$E$1000,,MATCH($A405,ProductosPivot!$C$5:$E$5,0)),INDEX(ProductosPivot!$C$6:$E$1000,,MATCH($A405,ProductosPivot!$C$5:$E$5,0))&lt;&gt;"","No hay nada")))</f>
        <v>#VALUE!</v>
      </c>
    </row>
    <row r="406" spans="1:2" x14ac:dyDescent="0.3">
      <c r="A406" t="e">
        <f>Tabla27[[#This Row],[Agrupación]]</f>
        <v>#VALUE!</v>
      </c>
      <c r="B406" t="e" cm="1">
        <f t="array" ref="B406">TRANSPOSE((_xlfn._xlws.FILTER(INDEX(ProductosPivot!$C$6:$E$1000,,MATCH($A406,ProductosPivot!$C$5:$E$5,0)),INDEX(ProductosPivot!$C$6:$E$1000,,MATCH($A406,ProductosPivot!$C$5:$E$5,0))&lt;&gt;"","No hay nada")))</f>
        <v>#VALUE!</v>
      </c>
    </row>
    <row r="407" spans="1:2" x14ac:dyDescent="0.3">
      <c r="A407" t="e">
        <f>Tabla27[[#This Row],[Agrupación]]</f>
        <v>#VALUE!</v>
      </c>
      <c r="B407" t="e" cm="1">
        <f t="array" ref="B407">TRANSPOSE((_xlfn._xlws.FILTER(INDEX(ProductosPivot!$C$6:$E$1000,,MATCH($A407,ProductosPivot!$C$5:$E$5,0)),INDEX(ProductosPivot!$C$6:$E$1000,,MATCH($A407,ProductosPivot!$C$5:$E$5,0))&lt;&gt;"","No hay nada")))</f>
        <v>#VALUE!</v>
      </c>
    </row>
    <row r="408" spans="1:2" x14ac:dyDescent="0.3">
      <c r="A408" t="e">
        <f>Tabla27[[#This Row],[Agrupación]]</f>
        <v>#VALUE!</v>
      </c>
      <c r="B408" t="e" cm="1">
        <f t="array" ref="B408">TRANSPOSE((_xlfn._xlws.FILTER(INDEX(ProductosPivot!$C$6:$E$1000,,MATCH($A408,ProductosPivot!$C$5:$E$5,0)),INDEX(ProductosPivot!$C$6:$E$1000,,MATCH($A408,ProductosPivot!$C$5:$E$5,0))&lt;&gt;"","No hay nada")))</f>
        <v>#VALUE!</v>
      </c>
    </row>
    <row r="409" spans="1:2" x14ac:dyDescent="0.3">
      <c r="A409" t="e">
        <f>Tabla27[[#This Row],[Agrupación]]</f>
        <v>#VALUE!</v>
      </c>
      <c r="B409" t="e" cm="1">
        <f t="array" ref="B409">TRANSPOSE((_xlfn._xlws.FILTER(INDEX(ProductosPivot!$C$6:$E$1000,,MATCH($A409,ProductosPivot!$C$5:$E$5,0)),INDEX(ProductosPivot!$C$6:$E$1000,,MATCH($A409,ProductosPivot!$C$5:$E$5,0))&lt;&gt;"","No hay nada")))</f>
        <v>#VALUE!</v>
      </c>
    </row>
    <row r="410" spans="1:2" x14ac:dyDescent="0.3">
      <c r="A410" t="e">
        <f>Tabla27[[#This Row],[Agrupación]]</f>
        <v>#VALUE!</v>
      </c>
      <c r="B410" t="e" cm="1">
        <f t="array" ref="B410">TRANSPOSE((_xlfn._xlws.FILTER(INDEX(ProductosPivot!$C$6:$E$1000,,MATCH($A410,ProductosPivot!$C$5:$E$5,0)),INDEX(ProductosPivot!$C$6:$E$1000,,MATCH($A410,ProductosPivot!$C$5:$E$5,0))&lt;&gt;"","No hay nada")))</f>
        <v>#VALUE!</v>
      </c>
    </row>
    <row r="411" spans="1:2" x14ac:dyDescent="0.3">
      <c r="A411" t="e">
        <f>Tabla27[[#This Row],[Agrupación]]</f>
        <v>#VALUE!</v>
      </c>
      <c r="B411" t="e" cm="1">
        <f t="array" ref="B411">TRANSPOSE((_xlfn._xlws.FILTER(INDEX(ProductosPivot!$C$6:$E$1000,,MATCH($A411,ProductosPivot!$C$5:$E$5,0)),INDEX(ProductosPivot!$C$6:$E$1000,,MATCH($A411,ProductosPivot!$C$5:$E$5,0))&lt;&gt;"","No hay nada")))</f>
        <v>#VALUE!</v>
      </c>
    </row>
    <row r="412" spans="1:2" x14ac:dyDescent="0.3">
      <c r="A412" t="e">
        <f>Tabla27[[#This Row],[Agrupación]]</f>
        <v>#VALUE!</v>
      </c>
      <c r="B412" t="e" cm="1">
        <f t="array" ref="B412">TRANSPOSE((_xlfn._xlws.FILTER(INDEX(ProductosPivot!$C$6:$E$1000,,MATCH($A412,ProductosPivot!$C$5:$E$5,0)),INDEX(ProductosPivot!$C$6:$E$1000,,MATCH($A412,ProductosPivot!$C$5:$E$5,0))&lt;&gt;"","No hay nada")))</f>
        <v>#VALUE!</v>
      </c>
    </row>
    <row r="413" spans="1:2" x14ac:dyDescent="0.3">
      <c r="A413" t="e">
        <f>Tabla27[[#This Row],[Agrupación]]</f>
        <v>#VALUE!</v>
      </c>
      <c r="B413" t="e" cm="1">
        <f t="array" ref="B413">TRANSPOSE((_xlfn._xlws.FILTER(INDEX(ProductosPivot!$C$6:$E$1000,,MATCH($A413,ProductosPivot!$C$5:$E$5,0)),INDEX(ProductosPivot!$C$6:$E$1000,,MATCH($A413,ProductosPivot!$C$5:$E$5,0))&lt;&gt;"","No hay nada")))</f>
        <v>#VALUE!</v>
      </c>
    </row>
    <row r="414" spans="1:2" x14ac:dyDescent="0.3">
      <c r="A414" t="e">
        <f>Tabla27[[#This Row],[Agrupación]]</f>
        <v>#VALUE!</v>
      </c>
      <c r="B414" t="e" cm="1">
        <f t="array" ref="B414">TRANSPOSE((_xlfn._xlws.FILTER(INDEX(ProductosPivot!$C$6:$E$1000,,MATCH($A414,ProductosPivot!$C$5:$E$5,0)),INDEX(ProductosPivot!$C$6:$E$1000,,MATCH($A414,ProductosPivot!$C$5:$E$5,0))&lt;&gt;"","No hay nada")))</f>
        <v>#VALUE!</v>
      </c>
    </row>
    <row r="415" spans="1:2" x14ac:dyDescent="0.3">
      <c r="A415" t="e">
        <f>Tabla27[[#This Row],[Agrupación]]</f>
        <v>#VALUE!</v>
      </c>
      <c r="B415" t="e" cm="1">
        <f t="array" ref="B415">TRANSPOSE((_xlfn._xlws.FILTER(INDEX(ProductosPivot!$C$6:$E$1000,,MATCH($A415,ProductosPivot!$C$5:$E$5,0)),INDEX(ProductosPivot!$C$6:$E$1000,,MATCH($A415,ProductosPivot!$C$5:$E$5,0))&lt;&gt;"","No hay nada")))</f>
        <v>#VALUE!</v>
      </c>
    </row>
    <row r="416" spans="1:2" x14ac:dyDescent="0.3">
      <c r="A416" t="e">
        <f>Tabla27[[#This Row],[Agrupación]]</f>
        <v>#VALUE!</v>
      </c>
      <c r="B416" t="e" cm="1">
        <f t="array" ref="B416">TRANSPOSE((_xlfn._xlws.FILTER(INDEX(ProductosPivot!$C$6:$E$1000,,MATCH($A416,ProductosPivot!$C$5:$E$5,0)),INDEX(ProductosPivot!$C$6:$E$1000,,MATCH($A416,ProductosPivot!$C$5:$E$5,0))&lt;&gt;"","No hay nada")))</f>
        <v>#VALUE!</v>
      </c>
    </row>
    <row r="417" spans="1:2" x14ac:dyDescent="0.3">
      <c r="A417" t="e">
        <f>Tabla27[[#This Row],[Agrupación]]</f>
        <v>#VALUE!</v>
      </c>
      <c r="B417" t="e" cm="1">
        <f t="array" ref="B417">TRANSPOSE((_xlfn._xlws.FILTER(INDEX(ProductosPivot!$C$6:$E$1000,,MATCH($A417,ProductosPivot!$C$5:$E$5,0)),INDEX(ProductosPivot!$C$6:$E$1000,,MATCH($A417,ProductosPivot!$C$5:$E$5,0))&lt;&gt;"","No hay nada")))</f>
        <v>#VALUE!</v>
      </c>
    </row>
    <row r="418" spans="1:2" x14ac:dyDescent="0.3">
      <c r="A418" t="e">
        <f>Tabla27[[#This Row],[Agrupación]]</f>
        <v>#VALUE!</v>
      </c>
      <c r="B418" t="e" cm="1">
        <f t="array" ref="B418">TRANSPOSE((_xlfn._xlws.FILTER(INDEX(ProductosPivot!$C$6:$E$1000,,MATCH($A418,ProductosPivot!$C$5:$E$5,0)),INDEX(ProductosPivot!$C$6:$E$1000,,MATCH($A418,ProductosPivot!$C$5:$E$5,0))&lt;&gt;"","No hay nada")))</f>
        <v>#VALUE!</v>
      </c>
    </row>
    <row r="419" spans="1:2" x14ac:dyDescent="0.3">
      <c r="A419" t="e">
        <f>Tabla27[[#This Row],[Agrupación]]</f>
        <v>#VALUE!</v>
      </c>
      <c r="B419" t="e" cm="1">
        <f t="array" ref="B419">TRANSPOSE((_xlfn._xlws.FILTER(INDEX(ProductosPivot!$C$6:$E$1000,,MATCH($A419,ProductosPivot!$C$5:$E$5,0)),INDEX(ProductosPivot!$C$6:$E$1000,,MATCH($A419,ProductosPivot!$C$5:$E$5,0))&lt;&gt;"","No hay nada")))</f>
        <v>#VALUE!</v>
      </c>
    </row>
    <row r="420" spans="1:2" x14ac:dyDescent="0.3">
      <c r="A420" t="e">
        <f>Tabla27[[#This Row],[Agrupación]]</f>
        <v>#VALUE!</v>
      </c>
      <c r="B420" t="e" cm="1">
        <f t="array" ref="B420">TRANSPOSE((_xlfn._xlws.FILTER(INDEX(ProductosPivot!$C$6:$E$1000,,MATCH($A420,ProductosPivot!$C$5:$E$5,0)),INDEX(ProductosPivot!$C$6:$E$1000,,MATCH($A420,ProductosPivot!$C$5:$E$5,0))&lt;&gt;"","No hay nada")))</f>
        <v>#VALUE!</v>
      </c>
    </row>
    <row r="421" spans="1:2" x14ac:dyDescent="0.3">
      <c r="A421" t="e">
        <f>Tabla27[[#This Row],[Agrupación]]</f>
        <v>#VALUE!</v>
      </c>
      <c r="B421" t="e" cm="1">
        <f t="array" ref="B421">TRANSPOSE((_xlfn._xlws.FILTER(INDEX(ProductosPivot!$C$6:$E$1000,,MATCH($A421,ProductosPivot!$C$5:$E$5,0)),INDEX(ProductosPivot!$C$6:$E$1000,,MATCH($A421,ProductosPivot!$C$5:$E$5,0))&lt;&gt;"","No hay nada")))</f>
        <v>#VALUE!</v>
      </c>
    </row>
    <row r="422" spans="1:2" x14ac:dyDescent="0.3">
      <c r="A422" t="e">
        <f>Tabla27[[#This Row],[Agrupación]]</f>
        <v>#VALUE!</v>
      </c>
      <c r="B422" t="e" cm="1">
        <f t="array" ref="B422">TRANSPOSE((_xlfn._xlws.FILTER(INDEX(ProductosPivot!$C$6:$E$1000,,MATCH($A422,ProductosPivot!$C$5:$E$5,0)),INDEX(ProductosPivot!$C$6:$E$1000,,MATCH($A422,ProductosPivot!$C$5:$E$5,0))&lt;&gt;"","No hay nada")))</f>
        <v>#VALUE!</v>
      </c>
    </row>
    <row r="423" spans="1:2" x14ac:dyDescent="0.3">
      <c r="A423" t="e">
        <f>Tabla27[[#This Row],[Agrupación]]</f>
        <v>#VALUE!</v>
      </c>
      <c r="B423" t="e" cm="1">
        <f t="array" ref="B423">TRANSPOSE((_xlfn._xlws.FILTER(INDEX(ProductosPivot!$C$6:$E$1000,,MATCH($A423,ProductosPivot!$C$5:$E$5,0)),INDEX(ProductosPivot!$C$6:$E$1000,,MATCH($A423,ProductosPivot!$C$5:$E$5,0))&lt;&gt;"","No hay nada")))</f>
        <v>#VALUE!</v>
      </c>
    </row>
    <row r="424" spans="1:2" x14ac:dyDescent="0.3">
      <c r="A424" t="e">
        <f>Tabla27[[#This Row],[Agrupación]]</f>
        <v>#VALUE!</v>
      </c>
      <c r="B424" t="e" cm="1">
        <f t="array" ref="B424">TRANSPOSE((_xlfn._xlws.FILTER(INDEX(ProductosPivot!$C$6:$E$1000,,MATCH($A424,ProductosPivot!$C$5:$E$5,0)),INDEX(ProductosPivot!$C$6:$E$1000,,MATCH($A424,ProductosPivot!$C$5:$E$5,0))&lt;&gt;"","No hay nada")))</f>
        <v>#VALUE!</v>
      </c>
    </row>
    <row r="425" spans="1:2" x14ac:dyDescent="0.3">
      <c r="A425" t="e">
        <f>Tabla27[[#This Row],[Agrupación]]</f>
        <v>#VALUE!</v>
      </c>
      <c r="B425" t="e" cm="1">
        <f t="array" ref="B425">TRANSPOSE((_xlfn._xlws.FILTER(INDEX(ProductosPivot!$C$6:$E$1000,,MATCH($A425,ProductosPivot!$C$5:$E$5,0)),INDEX(ProductosPivot!$C$6:$E$1000,,MATCH($A425,ProductosPivot!$C$5:$E$5,0))&lt;&gt;"","No hay nada")))</f>
        <v>#VALUE!</v>
      </c>
    </row>
    <row r="426" spans="1:2" x14ac:dyDescent="0.3">
      <c r="A426" t="e">
        <f>Tabla27[[#This Row],[Agrupación]]</f>
        <v>#VALUE!</v>
      </c>
      <c r="B426" t="e" cm="1">
        <f t="array" ref="B426">TRANSPOSE((_xlfn._xlws.FILTER(INDEX(ProductosPivot!$C$6:$E$1000,,MATCH($A426,ProductosPivot!$C$5:$E$5,0)),INDEX(ProductosPivot!$C$6:$E$1000,,MATCH($A426,ProductosPivot!$C$5:$E$5,0))&lt;&gt;"","No hay nada")))</f>
        <v>#VALUE!</v>
      </c>
    </row>
    <row r="427" spans="1:2" x14ac:dyDescent="0.3">
      <c r="A427" t="e">
        <f>Tabla27[[#This Row],[Agrupación]]</f>
        <v>#VALUE!</v>
      </c>
      <c r="B427" t="e" cm="1">
        <f t="array" ref="B427">TRANSPOSE((_xlfn._xlws.FILTER(INDEX(ProductosPivot!$C$6:$E$1000,,MATCH($A427,ProductosPivot!$C$5:$E$5,0)),INDEX(ProductosPivot!$C$6:$E$1000,,MATCH($A427,ProductosPivot!$C$5:$E$5,0))&lt;&gt;"","No hay nada")))</f>
        <v>#VALUE!</v>
      </c>
    </row>
    <row r="428" spans="1:2" x14ac:dyDescent="0.3">
      <c r="A428" t="e">
        <f>Tabla27[[#This Row],[Agrupación]]</f>
        <v>#VALUE!</v>
      </c>
      <c r="B428" t="e" cm="1">
        <f t="array" ref="B428">TRANSPOSE((_xlfn._xlws.FILTER(INDEX(ProductosPivot!$C$6:$E$1000,,MATCH($A428,ProductosPivot!$C$5:$E$5,0)),INDEX(ProductosPivot!$C$6:$E$1000,,MATCH($A428,ProductosPivot!$C$5:$E$5,0))&lt;&gt;"","No hay nada")))</f>
        <v>#VALUE!</v>
      </c>
    </row>
    <row r="429" spans="1:2" x14ac:dyDescent="0.3">
      <c r="A429" t="e">
        <f>Tabla27[[#This Row],[Agrupación]]</f>
        <v>#VALUE!</v>
      </c>
      <c r="B429" t="e" cm="1">
        <f t="array" ref="B429">TRANSPOSE((_xlfn._xlws.FILTER(INDEX(ProductosPivot!$C$6:$E$1000,,MATCH($A429,ProductosPivot!$C$5:$E$5,0)),INDEX(ProductosPivot!$C$6:$E$1000,,MATCH($A429,ProductosPivot!$C$5:$E$5,0))&lt;&gt;"","No hay nada")))</f>
        <v>#VALUE!</v>
      </c>
    </row>
    <row r="430" spans="1:2" x14ac:dyDescent="0.3">
      <c r="A430" t="e">
        <f>Tabla27[[#This Row],[Agrupación]]</f>
        <v>#VALUE!</v>
      </c>
      <c r="B430" t="e" cm="1">
        <f t="array" ref="B430">TRANSPOSE((_xlfn._xlws.FILTER(INDEX(ProductosPivot!$C$6:$E$1000,,MATCH($A430,ProductosPivot!$C$5:$E$5,0)),INDEX(ProductosPivot!$C$6:$E$1000,,MATCH($A430,ProductosPivot!$C$5:$E$5,0))&lt;&gt;"","No hay nada")))</f>
        <v>#VALUE!</v>
      </c>
    </row>
    <row r="431" spans="1:2" x14ac:dyDescent="0.3">
      <c r="A431" t="e">
        <f>Tabla27[[#This Row],[Agrupación]]</f>
        <v>#VALUE!</v>
      </c>
      <c r="B431" t="e" cm="1">
        <f t="array" ref="B431">TRANSPOSE((_xlfn._xlws.FILTER(INDEX(ProductosPivot!$C$6:$E$1000,,MATCH($A431,ProductosPivot!$C$5:$E$5,0)),INDEX(ProductosPivot!$C$6:$E$1000,,MATCH($A431,ProductosPivot!$C$5:$E$5,0))&lt;&gt;"","No hay nada")))</f>
        <v>#VALUE!</v>
      </c>
    </row>
    <row r="432" spans="1:2" x14ac:dyDescent="0.3">
      <c r="A432" t="e">
        <f>Tabla27[[#This Row],[Agrupación]]</f>
        <v>#VALUE!</v>
      </c>
      <c r="B432" t="e" cm="1">
        <f t="array" ref="B432">TRANSPOSE((_xlfn._xlws.FILTER(INDEX(ProductosPivot!$C$6:$E$1000,,MATCH($A432,ProductosPivot!$C$5:$E$5,0)),INDEX(ProductosPivot!$C$6:$E$1000,,MATCH($A432,ProductosPivot!$C$5:$E$5,0))&lt;&gt;"","No hay nada")))</f>
        <v>#VALUE!</v>
      </c>
    </row>
    <row r="433" spans="1:2" x14ac:dyDescent="0.3">
      <c r="A433" t="e">
        <f>Tabla27[[#This Row],[Agrupación]]</f>
        <v>#VALUE!</v>
      </c>
      <c r="B433" t="e" cm="1">
        <f t="array" ref="B433">TRANSPOSE((_xlfn._xlws.FILTER(INDEX(ProductosPivot!$C$6:$E$1000,,MATCH($A433,ProductosPivot!$C$5:$E$5,0)),INDEX(ProductosPivot!$C$6:$E$1000,,MATCH($A433,ProductosPivot!$C$5:$E$5,0))&lt;&gt;"","No hay nada")))</f>
        <v>#VALUE!</v>
      </c>
    </row>
    <row r="434" spans="1:2" x14ac:dyDescent="0.3">
      <c r="A434" t="e">
        <f>Tabla27[[#This Row],[Agrupación]]</f>
        <v>#VALUE!</v>
      </c>
      <c r="B434" t="e" cm="1">
        <f t="array" ref="B434">TRANSPOSE((_xlfn._xlws.FILTER(INDEX(ProductosPivot!$C$6:$E$1000,,MATCH($A434,ProductosPivot!$C$5:$E$5,0)),INDEX(ProductosPivot!$C$6:$E$1000,,MATCH($A434,ProductosPivot!$C$5:$E$5,0))&lt;&gt;"","No hay nada")))</f>
        <v>#VALUE!</v>
      </c>
    </row>
    <row r="435" spans="1:2" x14ac:dyDescent="0.3">
      <c r="A435" t="e">
        <f>Tabla27[[#This Row],[Agrupación]]</f>
        <v>#VALUE!</v>
      </c>
      <c r="B435" t="e" cm="1">
        <f t="array" ref="B435">TRANSPOSE((_xlfn._xlws.FILTER(INDEX(ProductosPivot!$C$6:$E$1000,,MATCH($A435,ProductosPivot!$C$5:$E$5,0)),INDEX(ProductosPivot!$C$6:$E$1000,,MATCH($A435,ProductosPivot!$C$5:$E$5,0))&lt;&gt;"","No hay nada")))</f>
        <v>#VALUE!</v>
      </c>
    </row>
    <row r="436" spans="1:2" x14ac:dyDescent="0.3">
      <c r="A436" t="e">
        <f>Tabla27[[#This Row],[Agrupación]]</f>
        <v>#VALUE!</v>
      </c>
      <c r="B436" t="e" cm="1">
        <f t="array" ref="B436">TRANSPOSE((_xlfn._xlws.FILTER(INDEX(ProductosPivot!$C$6:$E$1000,,MATCH($A436,ProductosPivot!$C$5:$E$5,0)),INDEX(ProductosPivot!$C$6:$E$1000,,MATCH($A436,ProductosPivot!$C$5:$E$5,0))&lt;&gt;"","No hay nada")))</f>
        <v>#VALUE!</v>
      </c>
    </row>
    <row r="437" spans="1:2" x14ac:dyDescent="0.3">
      <c r="A437" t="e">
        <f>Tabla27[[#This Row],[Agrupación]]</f>
        <v>#VALUE!</v>
      </c>
      <c r="B437" t="e" cm="1">
        <f t="array" ref="B437">TRANSPOSE((_xlfn._xlws.FILTER(INDEX(ProductosPivot!$C$6:$E$1000,,MATCH($A437,ProductosPivot!$C$5:$E$5,0)),INDEX(ProductosPivot!$C$6:$E$1000,,MATCH($A437,ProductosPivot!$C$5:$E$5,0))&lt;&gt;"","No hay nada")))</f>
        <v>#VALUE!</v>
      </c>
    </row>
    <row r="438" spans="1:2" x14ac:dyDescent="0.3">
      <c r="A438" t="e">
        <f>Tabla27[[#This Row],[Agrupación]]</f>
        <v>#VALUE!</v>
      </c>
      <c r="B438" t="e" cm="1">
        <f t="array" ref="B438">TRANSPOSE((_xlfn._xlws.FILTER(INDEX(ProductosPivot!$C$6:$E$1000,,MATCH($A438,ProductosPivot!$C$5:$E$5,0)),INDEX(ProductosPivot!$C$6:$E$1000,,MATCH($A438,ProductosPivot!$C$5:$E$5,0))&lt;&gt;"","No hay nada")))</f>
        <v>#VALUE!</v>
      </c>
    </row>
    <row r="439" spans="1:2" x14ac:dyDescent="0.3">
      <c r="A439" t="e">
        <f>Tabla27[[#This Row],[Agrupación]]</f>
        <v>#VALUE!</v>
      </c>
      <c r="B439" t="e" cm="1">
        <f t="array" ref="B439">TRANSPOSE((_xlfn._xlws.FILTER(INDEX(ProductosPivot!$C$6:$E$1000,,MATCH($A439,ProductosPivot!$C$5:$E$5,0)),INDEX(ProductosPivot!$C$6:$E$1000,,MATCH($A439,ProductosPivot!$C$5:$E$5,0))&lt;&gt;"","No hay nada")))</f>
        <v>#VALUE!</v>
      </c>
    </row>
    <row r="440" spans="1:2" x14ac:dyDescent="0.3">
      <c r="A440" t="e">
        <f>Tabla27[[#This Row],[Agrupación]]</f>
        <v>#VALUE!</v>
      </c>
      <c r="B440" t="e" cm="1">
        <f t="array" ref="B440">TRANSPOSE((_xlfn._xlws.FILTER(INDEX(ProductosPivot!$C$6:$E$1000,,MATCH($A440,ProductosPivot!$C$5:$E$5,0)),INDEX(ProductosPivot!$C$6:$E$1000,,MATCH($A440,ProductosPivot!$C$5:$E$5,0))&lt;&gt;"","No hay nada")))</f>
        <v>#VALUE!</v>
      </c>
    </row>
    <row r="441" spans="1:2" x14ac:dyDescent="0.3">
      <c r="A441" t="e">
        <f>Tabla27[[#This Row],[Agrupación]]</f>
        <v>#VALUE!</v>
      </c>
      <c r="B441" t="e" cm="1">
        <f t="array" ref="B441">TRANSPOSE((_xlfn._xlws.FILTER(INDEX(ProductosPivot!$C$6:$E$1000,,MATCH($A441,ProductosPivot!$C$5:$E$5,0)),INDEX(ProductosPivot!$C$6:$E$1000,,MATCH($A441,ProductosPivot!$C$5:$E$5,0))&lt;&gt;"","No hay nada")))</f>
        <v>#VALUE!</v>
      </c>
    </row>
    <row r="442" spans="1:2" x14ac:dyDescent="0.3">
      <c r="A442" t="e">
        <f>Tabla27[[#This Row],[Agrupación]]</f>
        <v>#VALUE!</v>
      </c>
      <c r="B442" t="e" cm="1">
        <f t="array" ref="B442">TRANSPOSE((_xlfn._xlws.FILTER(INDEX(ProductosPivot!$C$6:$E$1000,,MATCH($A442,ProductosPivot!$C$5:$E$5,0)),INDEX(ProductosPivot!$C$6:$E$1000,,MATCH($A442,ProductosPivot!$C$5:$E$5,0))&lt;&gt;"","No hay nada")))</f>
        <v>#VALUE!</v>
      </c>
    </row>
    <row r="443" spans="1:2" x14ac:dyDescent="0.3">
      <c r="A443" t="e">
        <f>Tabla27[[#This Row],[Agrupación]]</f>
        <v>#VALUE!</v>
      </c>
      <c r="B443" t="e" cm="1">
        <f t="array" ref="B443">TRANSPOSE((_xlfn._xlws.FILTER(INDEX(ProductosPivot!$C$6:$E$1000,,MATCH($A443,ProductosPivot!$C$5:$E$5,0)),INDEX(ProductosPivot!$C$6:$E$1000,,MATCH($A443,ProductosPivot!$C$5:$E$5,0))&lt;&gt;"","No hay nada")))</f>
        <v>#VALUE!</v>
      </c>
    </row>
    <row r="444" spans="1:2" x14ac:dyDescent="0.3">
      <c r="A444" t="e">
        <f>Tabla27[[#This Row],[Agrupación]]</f>
        <v>#VALUE!</v>
      </c>
      <c r="B444" t="e" cm="1">
        <f t="array" ref="B444">TRANSPOSE((_xlfn._xlws.FILTER(INDEX(ProductosPivot!$C$6:$E$1000,,MATCH($A444,ProductosPivot!$C$5:$E$5,0)),INDEX(ProductosPivot!$C$6:$E$1000,,MATCH($A444,ProductosPivot!$C$5:$E$5,0))&lt;&gt;"","No hay nada")))</f>
        <v>#VALUE!</v>
      </c>
    </row>
    <row r="445" spans="1:2" x14ac:dyDescent="0.3">
      <c r="A445" t="e">
        <f>Tabla27[[#This Row],[Agrupación]]</f>
        <v>#VALUE!</v>
      </c>
      <c r="B445" t="e" cm="1">
        <f t="array" ref="B445">TRANSPOSE((_xlfn._xlws.FILTER(INDEX(ProductosPivot!$C$6:$E$1000,,MATCH($A445,ProductosPivot!$C$5:$E$5,0)),INDEX(ProductosPivot!$C$6:$E$1000,,MATCH($A445,ProductosPivot!$C$5:$E$5,0))&lt;&gt;"","No hay nada")))</f>
        <v>#VALUE!</v>
      </c>
    </row>
    <row r="446" spans="1:2" x14ac:dyDescent="0.3">
      <c r="A446" t="e">
        <f>Tabla27[[#This Row],[Agrupación]]</f>
        <v>#VALUE!</v>
      </c>
      <c r="B446" t="e" cm="1">
        <f t="array" ref="B446">TRANSPOSE((_xlfn._xlws.FILTER(INDEX(ProductosPivot!$C$6:$E$1000,,MATCH($A446,ProductosPivot!$C$5:$E$5,0)),INDEX(ProductosPivot!$C$6:$E$1000,,MATCH($A446,ProductosPivot!$C$5:$E$5,0))&lt;&gt;"","No hay nada")))</f>
        <v>#VALUE!</v>
      </c>
    </row>
    <row r="447" spans="1:2" x14ac:dyDescent="0.3">
      <c r="A447" t="e">
        <f>Tabla27[[#This Row],[Agrupación]]</f>
        <v>#VALUE!</v>
      </c>
      <c r="B447" t="e" cm="1">
        <f t="array" ref="B447">TRANSPOSE((_xlfn._xlws.FILTER(INDEX(ProductosPivot!$C$6:$E$1000,,MATCH($A447,ProductosPivot!$C$5:$E$5,0)),INDEX(ProductosPivot!$C$6:$E$1000,,MATCH($A447,ProductosPivot!$C$5:$E$5,0))&lt;&gt;"","No hay nada")))</f>
        <v>#VALUE!</v>
      </c>
    </row>
    <row r="448" spans="1:2" x14ac:dyDescent="0.3">
      <c r="A448" t="e">
        <f>Tabla27[[#This Row],[Agrupación]]</f>
        <v>#VALUE!</v>
      </c>
      <c r="B448" t="e" cm="1">
        <f t="array" ref="B448">TRANSPOSE((_xlfn._xlws.FILTER(INDEX(ProductosPivot!$C$6:$E$1000,,MATCH($A448,ProductosPivot!$C$5:$E$5,0)),INDEX(ProductosPivot!$C$6:$E$1000,,MATCH($A448,ProductosPivot!$C$5:$E$5,0))&lt;&gt;"","No hay nada")))</f>
        <v>#VALUE!</v>
      </c>
    </row>
    <row r="449" spans="1:2" x14ac:dyDescent="0.3">
      <c r="A449" t="e">
        <f>Tabla27[[#This Row],[Agrupación]]</f>
        <v>#VALUE!</v>
      </c>
      <c r="B449" t="e" cm="1">
        <f t="array" ref="B449">TRANSPOSE((_xlfn._xlws.FILTER(INDEX(ProductosPivot!$C$6:$E$1000,,MATCH($A449,ProductosPivot!$C$5:$E$5,0)),INDEX(ProductosPivot!$C$6:$E$1000,,MATCH($A449,ProductosPivot!$C$5:$E$5,0))&lt;&gt;"","No hay nada")))</f>
        <v>#VALUE!</v>
      </c>
    </row>
    <row r="450" spans="1:2" x14ac:dyDescent="0.3">
      <c r="A450" t="e">
        <f>Tabla27[[#This Row],[Agrupación]]</f>
        <v>#VALUE!</v>
      </c>
      <c r="B450" t="e" cm="1">
        <f t="array" ref="B450">TRANSPOSE((_xlfn._xlws.FILTER(INDEX(ProductosPivot!$C$6:$E$1000,,MATCH($A450,ProductosPivot!$C$5:$E$5,0)),INDEX(ProductosPivot!$C$6:$E$1000,,MATCH($A450,ProductosPivot!$C$5:$E$5,0))&lt;&gt;"","No hay nada")))</f>
        <v>#VALUE!</v>
      </c>
    </row>
    <row r="451" spans="1:2" x14ac:dyDescent="0.3">
      <c r="A451" t="e">
        <f>Tabla27[[#This Row],[Agrupación]]</f>
        <v>#VALUE!</v>
      </c>
      <c r="B451" t="e" cm="1">
        <f t="array" ref="B451">TRANSPOSE((_xlfn._xlws.FILTER(INDEX(ProductosPivot!$C$6:$E$1000,,MATCH($A451,ProductosPivot!$C$5:$E$5,0)),INDEX(ProductosPivot!$C$6:$E$1000,,MATCH($A451,ProductosPivot!$C$5:$E$5,0))&lt;&gt;"","No hay nada")))</f>
        <v>#VALUE!</v>
      </c>
    </row>
    <row r="452" spans="1:2" x14ac:dyDescent="0.3">
      <c r="A452" t="e">
        <f>Tabla27[[#This Row],[Agrupación]]</f>
        <v>#VALUE!</v>
      </c>
      <c r="B452" t="e" cm="1">
        <f t="array" ref="B452">TRANSPOSE((_xlfn._xlws.FILTER(INDEX(ProductosPivot!$C$6:$E$1000,,MATCH($A452,ProductosPivot!$C$5:$E$5,0)),INDEX(ProductosPivot!$C$6:$E$1000,,MATCH($A452,ProductosPivot!$C$5:$E$5,0))&lt;&gt;"","No hay nada")))</f>
        <v>#VALUE!</v>
      </c>
    </row>
    <row r="453" spans="1:2" x14ac:dyDescent="0.3">
      <c r="A453" t="e">
        <f>Tabla27[[#This Row],[Agrupación]]</f>
        <v>#VALUE!</v>
      </c>
      <c r="B453" t="e" cm="1">
        <f t="array" ref="B453">TRANSPOSE((_xlfn._xlws.FILTER(INDEX(ProductosPivot!$C$6:$E$1000,,MATCH($A453,ProductosPivot!$C$5:$E$5,0)),INDEX(ProductosPivot!$C$6:$E$1000,,MATCH($A453,ProductosPivot!$C$5:$E$5,0))&lt;&gt;"","No hay nada")))</f>
        <v>#VALUE!</v>
      </c>
    </row>
    <row r="454" spans="1:2" x14ac:dyDescent="0.3">
      <c r="A454" t="e">
        <f>Tabla27[[#This Row],[Agrupación]]</f>
        <v>#VALUE!</v>
      </c>
      <c r="B454" t="e" cm="1">
        <f t="array" ref="B454">TRANSPOSE((_xlfn._xlws.FILTER(INDEX(ProductosPivot!$C$6:$E$1000,,MATCH($A454,ProductosPivot!$C$5:$E$5,0)),INDEX(ProductosPivot!$C$6:$E$1000,,MATCH($A454,ProductosPivot!$C$5:$E$5,0))&lt;&gt;"","No hay nada")))</f>
        <v>#VALUE!</v>
      </c>
    </row>
    <row r="455" spans="1:2" x14ac:dyDescent="0.3">
      <c r="A455" t="e">
        <f>Tabla27[[#This Row],[Agrupación]]</f>
        <v>#VALUE!</v>
      </c>
      <c r="B455" t="e" cm="1">
        <f t="array" ref="B455">TRANSPOSE((_xlfn._xlws.FILTER(INDEX(ProductosPivot!$C$6:$E$1000,,MATCH($A455,ProductosPivot!$C$5:$E$5,0)),INDEX(ProductosPivot!$C$6:$E$1000,,MATCH($A455,ProductosPivot!$C$5:$E$5,0))&lt;&gt;"","No hay nada")))</f>
        <v>#VALUE!</v>
      </c>
    </row>
    <row r="456" spans="1:2" x14ac:dyDescent="0.3">
      <c r="A456" t="e">
        <f>Tabla27[[#This Row],[Agrupación]]</f>
        <v>#VALUE!</v>
      </c>
      <c r="B456" t="e" cm="1">
        <f t="array" ref="B456">TRANSPOSE((_xlfn._xlws.FILTER(INDEX(ProductosPivot!$C$6:$E$1000,,MATCH($A456,ProductosPivot!$C$5:$E$5,0)),INDEX(ProductosPivot!$C$6:$E$1000,,MATCH($A456,ProductosPivot!$C$5:$E$5,0))&lt;&gt;"","No hay nada")))</f>
        <v>#VALUE!</v>
      </c>
    </row>
    <row r="457" spans="1:2" x14ac:dyDescent="0.3">
      <c r="A457" t="e">
        <f>Tabla27[[#This Row],[Agrupación]]</f>
        <v>#VALUE!</v>
      </c>
      <c r="B457" t="e" cm="1">
        <f t="array" ref="B457">TRANSPOSE((_xlfn._xlws.FILTER(INDEX(ProductosPivot!$C$6:$E$1000,,MATCH($A457,ProductosPivot!$C$5:$E$5,0)),INDEX(ProductosPivot!$C$6:$E$1000,,MATCH($A457,ProductosPivot!$C$5:$E$5,0))&lt;&gt;"","No hay nada")))</f>
        <v>#VALUE!</v>
      </c>
    </row>
    <row r="458" spans="1:2" x14ac:dyDescent="0.3">
      <c r="A458" t="e">
        <f>Tabla27[[#This Row],[Agrupación]]</f>
        <v>#VALUE!</v>
      </c>
      <c r="B458" t="e" cm="1">
        <f t="array" ref="B458">TRANSPOSE((_xlfn._xlws.FILTER(INDEX(ProductosPivot!$C$6:$E$1000,,MATCH($A458,ProductosPivot!$C$5:$E$5,0)),INDEX(ProductosPivot!$C$6:$E$1000,,MATCH($A458,ProductosPivot!$C$5:$E$5,0))&lt;&gt;"","No hay nada")))</f>
        <v>#VALUE!</v>
      </c>
    </row>
    <row r="459" spans="1:2" x14ac:dyDescent="0.3">
      <c r="A459" t="e">
        <f>Tabla27[[#This Row],[Agrupación]]</f>
        <v>#VALUE!</v>
      </c>
      <c r="B459" t="e" cm="1">
        <f t="array" ref="B459">TRANSPOSE((_xlfn._xlws.FILTER(INDEX(ProductosPivot!$C$6:$E$1000,,MATCH($A459,ProductosPivot!$C$5:$E$5,0)),INDEX(ProductosPivot!$C$6:$E$1000,,MATCH($A459,ProductosPivot!$C$5:$E$5,0))&lt;&gt;"","No hay nada")))</f>
        <v>#VALUE!</v>
      </c>
    </row>
    <row r="460" spans="1:2" x14ac:dyDescent="0.3">
      <c r="A460" t="e">
        <f>Tabla27[[#This Row],[Agrupación]]</f>
        <v>#VALUE!</v>
      </c>
      <c r="B460" t="e" cm="1">
        <f t="array" ref="B460">TRANSPOSE((_xlfn._xlws.FILTER(INDEX(ProductosPivot!$C$6:$E$1000,,MATCH($A460,ProductosPivot!$C$5:$E$5,0)),INDEX(ProductosPivot!$C$6:$E$1000,,MATCH($A460,ProductosPivot!$C$5:$E$5,0))&lt;&gt;"","No hay nada")))</f>
        <v>#VALUE!</v>
      </c>
    </row>
    <row r="461" spans="1:2" x14ac:dyDescent="0.3">
      <c r="A461" t="e">
        <f>Tabla27[[#This Row],[Agrupación]]</f>
        <v>#VALUE!</v>
      </c>
      <c r="B461" t="e" cm="1">
        <f t="array" ref="B461">TRANSPOSE((_xlfn._xlws.FILTER(INDEX(ProductosPivot!$C$6:$E$1000,,MATCH($A461,ProductosPivot!$C$5:$E$5,0)),INDEX(ProductosPivot!$C$6:$E$1000,,MATCH($A461,ProductosPivot!$C$5:$E$5,0))&lt;&gt;"","No hay nada")))</f>
        <v>#VALUE!</v>
      </c>
    </row>
    <row r="462" spans="1:2" x14ac:dyDescent="0.3">
      <c r="A462" t="e">
        <f>Tabla27[[#This Row],[Agrupación]]</f>
        <v>#VALUE!</v>
      </c>
      <c r="B462" t="e" cm="1">
        <f t="array" ref="B462">TRANSPOSE((_xlfn._xlws.FILTER(INDEX(ProductosPivot!$C$6:$E$1000,,MATCH($A462,ProductosPivot!$C$5:$E$5,0)),INDEX(ProductosPivot!$C$6:$E$1000,,MATCH($A462,ProductosPivot!$C$5:$E$5,0))&lt;&gt;"","No hay nada")))</f>
        <v>#VALUE!</v>
      </c>
    </row>
    <row r="463" spans="1:2" x14ac:dyDescent="0.3">
      <c r="A463" t="e">
        <f>Tabla27[[#This Row],[Agrupación]]</f>
        <v>#VALUE!</v>
      </c>
      <c r="B463" t="e" cm="1">
        <f t="array" ref="B463">TRANSPOSE((_xlfn._xlws.FILTER(INDEX(ProductosPivot!$C$6:$E$1000,,MATCH($A463,ProductosPivot!$C$5:$E$5,0)),INDEX(ProductosPivot!$C$6:$E$1000,,MATCH($A463,ProductosPivot!$C$5:$E$5,0))&lt;&gt;"","No hay nada")))</f>
        <v>#VALUE!</v>
      </c>
    </row>
    <row r="464" spans="1:2" x14ac:dyDescent="0.3">
      <c r="A464" t="e">
        <f>Tabla27[[#This Row],[Agrupación]]</f>
        <v>#VALUE!</v>
      </c>
      <c r="B464" t="e" cm="1">
        <f t="array" ref="B464">TRANSPOSE((_xlfn._xlws.FILTER(INDEX(ProductosPivot!$C$6:$E$1000,,MATCH($A464,ProductosPivot!$C$5:$E$5,0)),INDEX(ProductosPivot!$C$6:$E$1000,,MATCH($A464,ProductosPivot!$C$5:$E$5,0))&lt;&gt;"","No hay nada")))</f>
        <v>#VALUE!</v>
      </c>
    </row>
    <row r="465" spans="1:2" x14ac:dyDescent="0.3">
      <c r="A465" t="e">
        <f>Tabla27[[#This Row],[Agrupación]]</f>
        <v>#VALUE!</v>
      </c>
      <c r="B465" t="e" cm="1">
        <f t="array" ref="B465">TRANSPOSE((_xlfn._xlws.FILTER(INDEX(ProductosPivot!$C$6:$E$1000,,MATCH($A465,ProductosPivot!$C$5:$E$5,0)),INDEX(ProductosPivot!$C$6:$E$1000,,MATCH($A465,ProductosPivot!$C$5:$E$5,0))&lt;&gt;"","No hay nada")))</f>
        <v>#VALUE!</v>
      </c>
    </row>
    <row r="466" spans="1:2" x14ac:dyDescent="0.3">
      <c r="A466" t="e">
        <f>Tabla27[[#This Row],[Agrupación]]</f>
        <v>#VALUE!</v>
      </c>
      <c r="B466" t="e" cm="1">
        <f t="array" ref="B466">TRANSPOSE((_xlfn._xlws.FILTER(INDEX(ProductosPivot!$C$6:$E$1000,,MATCH($A466,ProductosPivot!$C$5:$E$5,0)),INDEX(ProductosPivot!$C$6:$E$1000,,MATCH($A466,ProductosPivot!$C$5:$E$5,0))&lt;&gt;"","No hay nada")))</f>
        <v>#VALUE!</v>
      </c>
    </row>
    <row r="467" spans="1:2" x14ac:dyDescent="0.3">
      <c r="A467" t="e">
        <f>Tabla27[[#This Row],[Agrupación]]</f>
        <v>#VALUE!</v>
      </c>
      <c r="B467" t="e" cm="1">
        <f t="array" ref="B467">TRANSPOSE((_xlfn._xlws.FILTER(INDEX(ProductosPivot!$C$6:$E$1000,,MATCH($A467,ProductosPivot!$C$5:$E$5,0)),INDEX(ProductosPivot!$C$6:$E$1000,,MATCH($A467,ProductosPivot!$C$5:$E$5,0))&lt;&gt;"","No hay nada")))</f>
        <v>#VALUE!</v>
      </c>
    </row>
    <row r="468" spans="1:2" x14ac:dyDescent="0.3">
      <c r="A468" t="e">
        <f>Tabla27[[#This Row],[Agrupación]]</f>
        <v>#VALUE!</v>
      </c>
      <c r="B468" t="e" cm="1">
        <f t="array" ref="B468">TRANSPOSE((_xlfn._xlws.FILTER(INDEX(ProductosPivot!$C$6:$E$1000,,MATCH($A468,ProductosPivot!$C$5:$E$5,0)),INDEX(ProductosPivot!$C$6:$E$1000,,MATCH($A468,ProductosPivot!$C$5:$E$5,0))&lt;&gt;"","No hay nada")))</f>
        <v>#VALUE!</v>
      </c>
    </row>
    <row r="469" spans="1:2" x14ac:dyDescent="0.3">
      <c r="A469" t="e">
        <f>Tabla27[[#This Row],[Agrupación]]</f>
        <v>#VALUE!</v>
      </c>
      <c r="B469" t="e" cm="1">
        <f t="array" ref="B469">TRANSPOSE((_xlfn._xlws.FILTER(INDEX(ProductosPivot!$C$6:$E$1000,,MATCH($A469,ProductosPivot!$C$5:$E$5,0)),INDEX(ProductosPivot!$C$6:$E$1000,,MATCH($A469,ProductosPivot!$C$5:$E$5,0))&lt;&gt;"","No hay nada")))</f>
        <v>#VALUE!</v>
      </c>
    </row>
    <row r="470" spans="1:2" x14ac:dyDescent="0.3">
      <c r="A470" t="e">
        <f>Tabla27[[#This Row],[Agrupación]]</f>
        <v>#VALUE!</v>
      </c>
      <c r="B470" t="e" cm="1">
        <f t="array" ref="B470">TRANSPOSE((_xlfn._xlws.FILTER(INDEX(ProductosPivot!$C$6:$E$1000,,MATCH($A470,ProductosPivot!$C$5:$E$5,0)),INDEX(ProductosPivot!$C$6:$E$1000,,MATCH($A470,ProductosPivot!$C$5:$E$5,0))&lt;&gt;"","No hay nada")))</f>
        <v>#VALUE!</v>
      </c>
    </row>
    <row r="471" spans="1:2" x14ac:dyDescent="0.3">
      <c r="A471" t="e">
        <f>Tabla27[[#This Row],[Agrupación]]</f>
        <v>#VALUE!</v>
      </c>
      <c r="B471" t="e" cm="1">
        <f t="array" ref="B471">TRANSPOSE((_xlfn._xlws.FILTER(INDEX(ProductosPivot!$C$6:$E$1000,,MATCH($A471,ProductosPivot!$C$5:$E$5,0)),INDEX(ProductosPivot!$C$6:$E$1000,,MATCH($A471,ProductosPivot!$C$5:$E$5,0))&lt;&gt;"","No hay nada")))</f>
        <v>#VALUE!</v>
      </c>
    </row>
    <row r="472" spans="1:2" x14ac:dyDescent="0.3">
      <c r="A472" t="e">
        <f>Tabla27[[#This Row],[Agrupación]]</f>
        <v>#VALUE!</v>
      </c>
      <c r="B472" t="e" cm="1">
        <f t="array" ref="B472">TRANSPOSE((_xlfn._xlws.FILTER(INDEX(ProductosPivot!$C$6:$E$1000,,MATCH($A472,ProductosPivot!$C$5:$E$5,0)),INDEX(ProductosPivot!$C$6:$E$1000,,MATCH($A472,ProductosPivot!$C$5:$E$5,0))&lt;&gt;"","No hay nada")))</f>
        <v>#VALUE!</v>
      </c>
    </row>
    <row r="473" spans="1:2" x14ac:dyDescent="0.3">
      <c r="A473" t="e">
        <f>Tabla27[[#This Row],[Agrupación]]</f>
        <v>#VALUE!</v>
      </c>
      <c r="B473" t="e" cm="1">
        <f t="array" ref="B473">TRANSPOSE((_xlfn._xlws.FILTER(INDEX(ProductosPivot!$C$6:$E$1000,,MATCH($A473,ProductosPivot!$C$5:$E$5,0)),INDEX(ProductosPivot!$C$6:$E$1000,,MATCH($A473,ProductosPivot!$C$5:$E$5,0))&lt;&gt;"","No hay nada")))</f>
        <v>#VALUE!</v>
      </c>
    </row>
    <row r="474" spans="1:2" x14ac:dyDescent="0.3">
      <c r="A474" t="e">
        <f>Tabla27[[#This Row],[Agrupación]]</f>
        <v>#VALUE!</v>
      </c>
      <c r="B474" t="e" cm="1">
        <f t="array" ref="B474">TRANSPOSE((_xlfn._xlws.FILTER(INDEX(ProductosPivot!$C$6:$E$1000,,MATCH($A474,ProductosPivot!$C$5:$E$5,0)),INDEX(ProductosPivot!$C$6:$E$1000,,MATCH($A474,ProductosPivot!$C$5:$E$5,0))&lt;&gt;"","No hay nada")))</f>
        <v>#VALUE!</v>
      </c>
    </row>
    <row r="475" spans="1:2" x14ac:dyDescent="0.3">
      <c r="A475" t="e">
        <f>Tabla27[[#This Row],[Agrupación]]</f>
        <v>#VALUE!</v>
      </c>
      <c r="B475" t="e" cm="1">
        <f t="array" ref="B475">TRANSPOSE((_xlfn._xlws.FILTER(INDEX(ProductosPivot!$C$6:$E$1000,,MATCH($A475,ProductosPivot!$C$5:$E$5,0)),INDEX(ProductosPivot!$C$6:$E$1000,,MATCH($A475,ProductosPivot!$C$5:$E$5,0))&lt;&gt;"","No hay nada")))</f>
        <v>#VALUE!</v>
      </c>
    </row>
    <row r="476" spans="1:2" x14ac:dyDescent="0.3">
      <c r="A476" t="e">
        <f>Tabla27[[#This Row],[Agrupación]]</f>
        <v>#VALUE!</v>
      </c>
      <c r="B476" t="e" cm="1">
        <f t="array" ref="B476">TRANSPOSE((_xlfn._xlws.FILTER(INDEX(ProductosPivot!$C$6:$E$1000,,MATCH($A476,ProductosPivot!$C$5:$E$5,0)),INDEX(ProductosPivot!$C$6:$E$1000,,MATCH($A476,ProductosPivot!$C$5:$E$5,0))&lt;&gt;"","No hay nada")))</f>
        <v>#VALUE!</v>
      </c>
    </row>
    <row r="477" spans="1:2" x14ac:dyDescent="0.3">
      <c r="A477" t="e">
        <f>Tabla27[[#This Row],[Agrupación]]</f>
        <v>#VALUE!</v>
      </c>
      <c r="B477" t="e" cm="1">
        <f t="array" ref="B477">TRANSPOSE((_xlfn._xlws.FILTER(INDEX(ProductosPivot!$C$6:$E$1000,,MATCH($A477,ProductosPivot!$C$5:$E$5,0)),INDEX(ProductosPivot!$C$6:$E$1000,,MATCH($A477,ProductosPivot!$C$5:$E$5,0))&lt;&gt;"","No hay nada")))</f>
        <v>#VALUE!</v>
      </c>
    </row>
    <row r="478" spans="1:2" x14ac:dyDescent="0.3">
      <c r="A478" t="e">
        <f>Tabla27[[#This Row],[Agrupación]]</f>
        <v>#VALUE!</v>
      </c>
      <c r="B478" t="e" cm="1">
        <f t="array" ref="B478">TRANSPOSE((_xlfn._xlws.FILTER(INDEX(ProductosPivot!$C$6:$E$1000,,MATCH($A478,ProductosPivot!$C$5:$E$5,0)),INDEX(ProductosPivot!$C$6:$E$1000,,MATCH($A478,ProductosPivot!$C$5:$E$5,0))&lt;&gt;"","No hay nada")))</f>
        <v>#VALUE!</v>
      </c>
    </row>
    <row r="479" spans="1:2" x14ac:dyDescent="0.3">
      <c r="A479" t="e">
        <f>Tabla27[[#This Row],[Agrupación]]</f>
        <v>#VALUE!</v>
      </c>
      <c r="B479" t="e" cm="1">
        <f t="array" ref="B479">TRANSPOSE((_xlfn._xlws.FILTER(INDEX(ProductosPivot!$C$6:$E$1000,,MATCH($A479,ProductosPivot!$C$5:$E$5,0)),INDEX(ProductosPivot!$C$6:$E$1000,,MATCH($A479,ProductosPivot!$C$5:$E$5,0))&lt;&gt;"","No hay nada")))</f>
        <v>#VALUE!</v>
      </c>
    </row>
    <row r="480" spans="1:2" x14ac:dyDescent="0.3">
      <c r="A480" t="e">
        <f>Tabla27[[#This Row],[Agrupación]]</f>
        <v>#VALUE!</v>
      </c>
      <c r="B480" t="e" cm="1">
        <f t="array" ref="B480">TRANSPOSE((_xlfn._xlws.FILTER(INDEX(ProductosPivot!$C$6:$E$1000,,MATCH($A480,ProductosPivot!$C$5:$E$5,0)),INDEX(ProductosPivot!$C$6:$E$1000,,MATCH($A480,ProductosPivot!$C$5:$E$5,0))&lt;&gt;"","No hay nada")))</f>
        <v>#VALUE!</v>
      </c>
    </row>
    <row r="481" spans="1:2" x14ac:dyDescent="0.3">
      <c r="A481" t="e">
        <f>Tabla27[[#This Row],[Agrupación]]</f>
        <v>#VALUE!</v>
      </c>
      <c r="B481" t="e" cm="1">
        <f t="array" ref="B481">TRANSPOSE((_xlfn._xlws.FILTER(INDEX(ProductosPivot!$C$6:$E$1000,,MATCH($A481,ProductosPivot!$C$5:$E$5,0)),INDEX(ProductosPivot!$C$6:$E$1000,,MATCH($A481,ProductosPivot!$C$5:$E$5,0))&lt;&gt;"","No hay nada")))</f>
        <v>#VALUE!</v>
      </c>
    </row>
    <row r="482" spans="1:2" x14ac:dyDescent="0.3">
      <c r="A482" t="e">
        <f>Tabla27[[#This Row],[Agrupación]]</f>
        <v>#VALUE!</v>
      </c>
      <c r="B482" t="e" cm="1">
        <f t="array" ref="B482">TRANSPOSE((_xlfn._xlws.FILTER(INDEX(ProductosPivot!$C$6:$E$1000,,MATCH($A482,ProductosPivot!$C$5:$E$5,0)),INDEX(ProductosPivot!$C$6:$E$1000,,MATCH($A482,ProductosPivot!$C$5:$E$5,0))&lt;&gt;"","No hay nada")))</f>
        <v>#VALUE!</v>
      </c>
    </row>
    <row r="483" spans="1:2" x14ac:dyDescent="0.3">
      <c r="A483" t="e">
        <f>Tabla27[[#This Row],[Agrupación]]</f>
        <v>#VALUE!</v>
      </c>
      <c r="B483" t="e" cm="1">
        <f t="array" ref="B483">TRANSPOSE((_xlfn._xlws.FILTER(INDEX(ProductosPivot!$C$6:$E$1000,,MATCH($A483,ProductosPivot!$C$5:$E$5,0)),INDEX(ProductosPivot!$C$6:$E$1000,,MATCH($A483,ProductosPivot!$C$5:$E$5,0))&lt;&gt;"","No hay nada")))</f>
        <v>#VALUE!</v>
      </c>
    </row>
    <row r="484" spans="1:2" x14ac:dyDescent="0.3">
      <c r="A484" t="e">
        <f>Tabla27[[#This Row],[Agrupación]]</f>
        <v>#VALUE!</v>
      </c>
      <c r="B484" t="e" cm="1">
        <f t="array" ref="B484">TRANSPOSE((_xlfn._xlws.FILTER(INDEX(ProductosPivot!$C$6:$E$1000,,MATCH($A484,ProductosPivot!$C$5:$E$5,0)),INDEX(ProductosPivot!$C$6:$E$1000,,MATCH($A484,ProductosPivot!$C$5:$E$5,0))&lt;&gt;"","No hay nada")))</f>
        <v>#VALUE!</v>
      </c>
    </row>
    <row r="485" spans="1:2" x14ac:dyDescent="0.3">
      <c r="A485" t="e">
        <f>Tabla27[[#This Row],[Agrupación]]</f>
        <v>#VALUE!</v>
      </c>
      <c r="B485" t="e" cm="1">
        <f t="array" ref="B485">TRANSPOSE((_xlfn._xlws.FILTER(INDEX(ProductosPivot!$C$6:$E$1000,,MATCH($A485,ProductosPivot!$C$5:$E$5,0)),INDEX(ProductosPivot!$C$6:$E$1000,,MATCH($A485,ProductosPivot!$C$5:$E$5,0))&lt;&gt;"","No hay nada")))</f>
        <v>#VALUE!</v>
      </c>
    </row>
    <row r="486" spans="1:2" x14ac:dyDescent="0.3">
      <c r="A486" t="e">
        <f>Tabla27[[#This Row],[Agrupación]]</f>
        <v>#VALUE!</v>
      </c>
      <c r="B486" t="e" cm="1">
        <f t="array" ref="B486">TRANSPOSE((_xlfn._xlws.FILTER(INDEX(ProductosPivot!$C$6:$E$1000,,MATCH($A486,ProductosPivot!$C$5:$E$5,0)),INDEX(ProductosPivot!$C$6:$E$1000,,MATCH($A486,ProductosPivot!$C$5:$E$5,0))&lt;&gt;"","No hay nada")))</f>
        <v>#VALUE!</v>
      </c>
    </row>
    <row r="487" spans="1:2" x14ac:dyDescent="0.3">
      <c r="A487" t="e">
        <f>Tabla27[[#This Row],[Agrupación]]</f>
        <v>#VALUE!</v>
      </c>
      <c r="B487" t="e" cm="1">
        <f t="array" ref="B487">TRANSPOSE((_xlfn._xlws.FILTER(INDEX(ProductosPivot!$C$6:$E$1000,,MATCH($A487,ProductosPivot!$C$5:$E$5,0)),INDEX(ProductosPivot!$C$6:$E$1000,,MATCH($A487,ProductosPivot!$C$5:$E$5,0))&lt;&gt;"","No hay nada")))</f>
        <v>#VALUE!</v>
      </c>
    </row>
    <row r="488" spans="1:2" x14ac:dyDescent="0.3">
      <c r="A488" t="e">
        <f>Tabla27[[#This Row],[Agrupación]]</f>
        <v>#VALUE!</v>
      </c>
      <c r="B488" t="e" cm="1">
        <f t="array" ref="B488">TRANSPOSE((_xlfn._xlws.FILTER(INDEX(ProductosPivot!$C$6:$E$1000,,MATCH($A488,ProductosPivot!$C$5:$E$5,0)),INDEX(ProductosPivot!$C$6:$E$1000,,MATCH($A488,ProductosPivot!$C$5:$E$5,0))&lt;&gt;"","No hay nada")))</f>
        <v>#VALUE!</v>
      </c>
    </row>
    <row r="489" spans="1:2" x14ac:dyDescent="0.3">
      <c r="A489" t="e">
        <f>Tabla27[[#This Row],[Agrupación]]</f>
        <v>#VALUE!</v>
      </c>
      <c r="B489" t="e" cm="1">
        <f t="array" ref="B489">TRANSPOSE((_xlfn._xlws.FILTER(INDEX(ProductosPivot!$C$6:$E$1000,,MATCH($A489,ProductosPivot!$C$5:$E$5,0)),INDEX(ProductosPivot!$C$6:$E$1000,,MATCH($A489,ProductosPivot!$C$5:$E$5,0))&lt;&gt;"","No hay nada")))</f>
        <v>#VALUE!</v>
      </c>
    </row>
    <row r="490" spans="1:2" x14ac:dyDescent="0.3">
      <c r="A490" t="e">
        <f>Tabla27[[#This Row],[Agrupación]]</f>
        <v>#VALUE!</v>
      </c>
      <c r="B490" t="e" cm="1">
        <f t="array" ref="B490">TRANSPOSE((_xlfn._xlws.FILTER(INDEX(ProductosPivot!$C$6:$E$1000,,MATCH($A490,ProductosPivot!$C$5:$E$5,0)),INDEX(ProductosPivot!$C$6:$E$1000,,MATCH($A490,ProductosPivot!$C$5:$E$5,0))&lt;&gt;"","No hay nada")))</f>
        <v>#VALUE!</v>
      </c>
    </row>
    <row r="491" spans="1:2" x14ac:dyDescent="0.3">
      <c r="A491" t="e">
        <f>Tabla27[[#This Row],[Agrupación]]</f>
        <v>#VALUE!</v>
      </c>
      <c r="B491" t="e" cm="1">
        <f t="array" ref="B491">TRANSPOSE((_xlfn._xlws.FILTER(INDEX(ProductosPivot!$C$6:$E$1000,,MATCH($A491,ProductosPivot!$C$5:$E$5,0)),INDEX(ProductosPivot!$C$6:$E$1000,,MATCH($A491,ProductosPivot!$C$5:$E$5,0))&lt;&gt;"","No hay nada")))</f>
        <v>#VALUE!</v>
      </c>
    </row>
    <row r="492" spans="1:2" x14ac:dyDescent="0.3">
      <c r="A492" t="e">
        <f>Tabla27[[#This Row],[Agrupación]]</f>
        <v>#VALUE!</v>
      </c>
      <c r="B492" t="e" cm="1">
        <f t="array" ref="B492">TRANSPOSE((_xlfn._xlws.FILTER(INDEX(ProductosPivot!$C$6:$E$1000,,MATCH($A492,ProductosPivot!$C$5:$E$5,0)),INDEX(ProductosPivot!$C$6:$E$1000,,MATCH($A492,ProductosPivot!$C$5:$E$5,0))&lt;&gt;"","No hay nada")))</f>
        <v>#VALUE!</v>
      </c>
    </row>
    <row r="493" spans="1:2" x14ac:dyDescent="0.3">
      <c r="A493" t="e">
        <f>Tabla27[[#This Row],[Agrupación]]</f>
        <v>#VALUE!</v>
      </c>
      <c r="B493" t="e" cm="1">
        <f t="array" ref="B493">TRANSPOSE((_xlfn._xlws.FILTER(INDEX(ProductosPivot!$C$6:$E$1000,,MATCH($A493,ProductosPivot!$C$5:$E$5,0)),INDEX(ProductosPivot!$C$6:$E$1000,,MATCH($A493,ProductosPivot!$C$5:$E$5,0))&lt;&gt;"","No hay nada")))</f>
        <v>#VALUE!</v>
      </c>
    </row>
    <row r="494" spans="1:2" x14ac:dyDescent="0.3">
      <c r="A494" t="e">
        <f>Tabla27[[#This Row],[Agrupación]]</f>
        <v>#VALUE!</v>
      </c>
      <c r="B494" t="e" cm="1">
        <f t="array" ref="B494">TRANSPOSE((_xlfn._xlws.FILTER(INDEX(ProductosPivot!$C$6:$E$1000,,MATCH($A494,ProductosPivot!$C$5:$E$5,0)),INDEX(ProductosPivot!$C$6:$E$1000,,MATCH($A494,ProductosPivot!$C$5:$E$5,0))&lt;&gt;"","No hay nada")))</f>
        <v>#VALUE!</v>
      </c>
    </row>
    <row r="495" spans="1:2" x14ac:dyDescent="0.3">
      <c r="A495" t="e">
        <f>Tabla27[[#This Row],[Agrupación]]</f>
        <v>#VALUE!</v>
      </c>
      <c r="B495" t="e" cm="1">
        <f t="array" ref="B495">TRANSPOSE((_xlfn._xlws.FILTER(INDEX(ProductosPivot!$C$6:$E$1000,,MATCH($A495,ProductosPivot!$C$5:$E$5,0)),INDEX(ProductosPivot!$C$6:$E$1000,,MATCH($A495,ProductosPivot!$C$5:$E$5,0))&lt;&gt;"","No hay nada")))</f>
        <v>#VALUE!</v>
      </c>
    </row>
    <row r="496" spans="1:2" x14ac:dyDescent="0.3">
      <c r="A496" t="e">
        <f>Tabla27[[#This Row],[Agrupación]]</f>
        <v>#VALUE!</v>
      </c>
      <c r="B496" t="e" cm="1">
        <f t="array" ref="B496">TRANSPOSE((_xlfn._xlws.FILTER(INDEX(ProductosPivot!$C$6:$E$1000,,MATCH($A496,ProductosPivot!$C$5:$E$5,0)),INDEX(ProductosPivot!$C$6:$E$1000,,MATCH($A496,ProductosPivot!$C$5:$E$5,0))&lt;&gt;"","No hay nada")))</f>
        <v>#VALUE!</v>
      </c>
    </row>
    <row r="497" spans="1:2" x14ac:dyDescent="0.3">
      <c r="A497" t="e">
        <f>Tabla27[[#This Row],[Agrupación]]</f>
        <v>#VALUE!</v>
      </c>
      <c r="B497" t="e" cm="1">
        <f t="array" ref="B497">TRANSPOSE((_xlfn._xlws.FILTER(INDEX(ProductosPivot!$C$6:$E$1000,,MATCH($A497,ProductosPivot!$C$5:$E$5,0)),INDEX(ProductosPivot!$C$6:$E$1000,,MATCH($A497,ProductosPivot!$C$5:$E$5,0))&lt;&gt;"","No hay nada")))</f>
        <v>#VALUE!</v>
      </c>
    </row>
    <row r="498" spans="1:2" x14ac:dyDescent="0.3">
      <c r="A498" t="e">
        <f>Tabla27[[#This Row],[Agrupación]]</f>
        <v>#VALUE!</v>
      </c>
      <c r="B498" t="e" cm="1">
        <f t="array" ref="B498">TRANSPOSE((_xlfn._xlws.FILTER(INDEX(ProductosPivot!$C$6:$E$1000,,MATCH($A498,ProductosPivot!$C$5:$E$5,0)),INDEX(ProductosPivot!$C$6:$E$1000,,MATCH($A498,ProductosPivot!$C$5:$E$5,0))&lt;&gt;"","No hay nada")))</f>
        <v>#VALUE!</v>
      </c>
    </row>
    <row r="499" spans="1:2" x14ac:dyDescent="0.3">
      <c r="A499" t="e">
        <f>Tabla27[[#This Row],[Agrupación]]</f>
        <v>#VALUE!</v>
      </c>
      <c r="B499" t="e" cm="1">
        <f t="array" ref="B499">TRANSPOSE((_xlfn._xlws.FILTER(INDEX(ProductosPivot!$C$6:$E$1000,,MATCH($A499,ProductosPivot!$C$5:$E$5,0)),INDEX(ProductosPivot!$C$6:$E$1000,,MATCH($A499,ProductosPivot!$C$5:$E$5,0))&lt;&gt;"","No hay nada")))</f>
        <v>#VALUE!</v>
      </c>
    </row>
    <row r="500" spans="1:2" x14ac:dyDescent="0.3">
      <c r="A500" t="e">
        <f>Tabla27[[#This Row],[Agrupación]]</f>
        <v>#VALUE!</v>
      </c>
      <c r="B500" t="e" cm="1">
        <f t="array" ref="B500">TRANSPOSE((_xlfn._xlws.FILTER(INDEX(ProductosPivot!$C$6:$E$1000,,MATCH($A500,ProductosPivot!$C$5:$E$5,0)),INDEX(ProductosPivot!$C$6:$E$1000,,MATCH($A500,ProductosPivot!$C$5:$E$5,0))&lt;&gt;"","No hay nada")))</f>
        <v>#VALUE!</v>
      </c>
    </row>
    <row r="501" spans="1:2" x14ac:dyDescent="0.3">
      <c r="A501" t="e">
        <f>Tabla27[[#This Row],[Agrupación]]</f>
        <v>#VALUE!</v>
      </c>
      <c r="B501" t="e" cm="1">
        <f t="array" ref="B501">TRANSPOSE((_xlfn._xlws.FILTER(INDEX(ProductosPivot!$C$6:$E$1000,,MATCH($A501,ProductosPivot!$C$5:$E$5,0)),INDEX(ProductosPivot!$C$6:$E$1000,,MATCH($A501,ProductosPivot!$C$5:$E$5,0))&lt;&gt;"","No hay nada")))</f>
        <v>#VALUE!</v>
      </c>
    </row>
    <row r="502" spans="1:2" x14ac:dyDescent="0.3">
      <c r="A502" t="e">
        <f>Tabla27[[#This Row],[Agrupación]]</f>
        <v>#VALUE!</v>
      </c>
      <c r="B502" t="e" cm="1">
        <f t="array" ref="B502">TRANSPOSE((_xlfn._xlws.FILTER(INDEX(ProductosPivot!$C$6:$E$1000,,MATCH($A502,ProductosPivot!$C$5:$E$5,0)),INDEX(ProductosPivot!$C$6:$E$1000,,MATCH($A502,ProductosPivot!$C$5:$E$5,0))&lt;&gt;"","No hay nada")))</f>
        <v>#VALUE!</v>
      </c>
    </row>
    <row r="503" spans="1:2" x14ac:dyDescent="0.3">
      <c r="A503" t="e">
        <f>Tabla27[[#This Row],[Agrupación]]</f>
        <v>#VALUE!</v>
      </c>
      <c r="B503" t="e" cm="1">
        <f t="array" ref="B503">TRANSPOSE((_xlfn._xlws.FILTER(INDEX(ProductosPivot!$C$6:$E$1000,,MATCH($A503,ProductosPivot!$C$5:$E$5,0)),INDEX(ProductosPivot!$C$6:$E$1000,,MATCH($A503,ProductosPivot!$C$5:$E$5,0))&lt;&gt;"","No hay nada")))</f>
        <v>#VALUE!</v>
      </c>
    </row>
    <row r="504" spans="1:2" x14ac:dyDescent="0.3">
      <c r="A504" t="e">
        <f>Tabla27[[#This Row],[Agrupación]]</f>
        <v>#VALUE!</v>
      </c>
      <c r="B504" t="e" cm="1">
        <f t="array" ref="B504">TRANSPOSE((_xlfn._xlws.FILTER(INDEX(ProductosPivot!$C$6:$E$1000,,MATCH($A504,ProductosPivot!$C$5:$E$5,0)),INDEX(ProductosPivot!$C$6:$E$1000,,MATCH($A504,ProductosPivot!$C$5:$E$5,0))&lt;&gt;"","No hay nada")))</f>
        <v>#VALUE!</v>
      </c>
    </row>
    <row r="505" spans="1:2" x14ac:dyDescent="0.3">
      <c r="A505" t="e">
        <f>Tabla27[[#This Row],[Agrupación]]</f>
        <v>#VALUE!</v>
      </c>
      <c r="B505" t="e" cm="1">
        <f t="array" ref="B505">TRANSPOSE((_xlfn._xlws.FILTER(INDEX(ProductosPivot!$C$6:$E$1000,,MATCH($A505,ProductosPivot!$C$5:$E$5,0)),INDEX(ProductosPivot!$C$6:$E$1000,,MATCH($A505,ProductosPivot!$C$5:$E$5,0))&lt;&gt;"","No hay nada")))</f>
        <v>#VALUE!</v>
      </c>
    </row>
    <row r="506" spans="1:2" x14ac:dyDescent="0.3">
      <c r="A506" t="e">
        <f>Tabla27[[#This Row],[Agrupación]]</f>
        <v>#VALUE!</v>
      </c>
      <c r="B506" t="e" cm="1">
        <f t="array" ref="B506">TRANSPOSE((_xlfn._xlws.FILTER(INDEX(ProductosPivot!$C$6:$E$1000,,MATCH($A506,ProductosPivot!$C$5:$E$5,0)),INDEX(ProductosPivot!$C$6:$E$1000,,MATCH($A506,ProductosPivot!$C$5:$E$5,0))&lt;&gt;"","No hay nada")))</f>
        <v>#VALUE!</v>
      </c>
    </row>
    <row r="507" spans="1:2" x14ac:dyDescent="0.3">
      <c r="A507" t="e">
        <f>Tabla27[[#This Row],[Agrupación]]</f>
        <v>#VALUE!</v>
      </c>
      <c r="B507" t="e" cm="1">
        <f t="array" ref="B507">TRANSPOSE((_xlfn._xlws.FILTER(INDEX(ProductosPivot!$C$6:$E$1000,,MATCH($A507,ProductosPivot!$C$5:$E$5,0)),INDEX(ProductosPivot!$C$6:$E$1000,,MATCH($A507,ProductosPivot!$C$5:$E$5,0))&lt;&gt;"","No hay nada")))</f>
        <v>#VALUE!</v>
      </c>
    </row>
    <row r="508" spans="1:2" x14ac:dyDescent="0.3">
      <c r="A508" t="e">
        <f>Tabla27[[#This Row],[Agrupación]]</f>
        <v>#VALUE!</v>
      </c>
      <c r="B508" t="e" cm="1">
        <f t="array" ref="B508">TRANSPOSE((_xlfn._xlws.FILTER(INDEX(ProductosPivot!$C$6:$E$1000,,MATCH($A508,ProductosPivot!$C$5:$E$5,0)),INDEX(ProductosPivot!$C$6:$E$1000,,MATCH($A508,ProductosPivot!$C$5:$E$5,0))&lt;&gt;"","No hay nada")))</f>
        <v>#VALUE!</v>
      </c>
    </row>
    <row r="509" spans="1:2" x14ac:dyDescent="0.3">
      <c r="A509" t="e">
        <f>Tabla27[[#This Row],[Agrupación]]</f>
        <v>#VALUE!</v>
      </c>
      <c r="B509" t="e" cm="1">
        <f t="array" ref="B509">TRANSPOSE((_xlfn._xlws.FILTER(INDEX(ProductosPivot!$C$6:$E$1000,,MATCH($A509,ProductosPivot!$C$5:$E$5,0)),INDEX(ProductosPivot!$C$6:$E$1000,,MATCH($A509,ProductosPivot!$C$5:$E$5,0))&lt;&gt;"","No hay nada")))</f>
        <v>#VALUE!</v>
      </c>
    </row>
    <row r="510" spans="1:2" x14ac:dyDescent="0.3">
      <c r="A510" t="e">
        <f>Tabla27[[#This Row],[Agrupación]]</f>
        <v>#VALUE!</v>
      </c>
      <c r="B510" t="e" cm="1">
        <f t="array" ref="B510">TRANSPOSE((_xlfn._xlws.FILTER(INDEX(ProductosPivot!$C$6:$E$1000,,MATCH($A510,ProductosPivot!$C$5:$E$5,0)),INDEX(ProductosPivot!$C$6:$E$1000,,MATCH($A510,ProductosPivot!$C$5:$E$5,0))&lt;&gt;"","No hay nada")))</f>
        <v>#VALUE!</v>
      </c>
    </row>
    <row r="511" spans="1:2" x14ac:dyDescent="0.3">
      <c r="A511" t="e">
        <f>Tabla27[[#This Row],[Agrupación]]</f>
        <v>#VALUE!</v>
      </c>
      <c r="B511" t="e" cm="1">
        <f t="array" ref="B511">TRANSPOSE((_xlfn._xlws.FILTER(INDEX(ProductosPivot!$C$6:$E$1000,,MATCH($A511,ProductosPivot!$C$5:$E$5,0)),INDEX(ProductosPivot!$C$6:$E$1000,,MATCH($A511,ProductosPivot!$C$5:$E$5,0))&lt;&gt;"","No hay nada")))</f>
        <v>#VALUE!</v>
      </c>
    </row>
    <row r="512" spans="1:2" x14ac:dyDescent="0.3">
      <c r="A512" t="e">
        <f>Tabla27[[#This Row],[Agrupación]]</f>
        <v>#VALUE!</v>
      </c>
      <c r="B512" t="e" cm="1">
        <f t="array" ref="B512">TRANSPOSE((_xlfn._xlws.FILTER(INDEX(ProductosPivot!$C$6:$E$1000,,MATCH($A512,ProductosPivot!$C$5:$E$5,0)),INDEX(ProductosPivot!$C$6:$E$1000,,MATCH($A512,ProductosPivot!$C$5:$E$5,0))&lt;&gt;"","No hay nada")))</f>
        <v>#VALUE!</v>
      </c>
    </row>
    <row r="513" spans="1:2" x14ac:dyDescent="0.3">
      <c r="A513" t="e">
        <f>Tabla27[[#This Row],[Agrupación]]</f>
        <v>#VALUE!</v>
      </c>
      <c r="B513" t="e" cm="1">
        <f t="array" ref="B513">TRANSPOSE((_xlfn._xlws.FILTER(INDEX(ProductosPivot!$C$6:$E$1000,,MATCH($A513,ProductosPivot!$C$5:$E$5,0)),INDEX(ProductosPivot!$C$6:$E$1000,,MATCH($A513,ProductosPivot!$C$5:$E$5,0))&lt;&gt;"","No hay nada")))</f>
        <v>#VALUE!</v>
      </c>
    </row>
    <row r="514" spans="1:2" x14ac:dyDescent="0.3">
      <c r="A514" t="e">
        <f>Tabla27[[#This Row],[Agrupación]]</f>
        <v>#VALUE!</v>
      </c>
      <c r="B514" t="e" cm="1">
        <f t="array" ref="B514">TRANSPOSE((_xlfn._xlws.FILTER(INDEX(ProductosPivot!$C$6:$E$1000,,MATCH($A514,ProductosPivot!$C$5:$E$5,0)),INDEX(ProductosPivot!$C$6:$E$1000,,MATCH($A514,ProductosPivot!$C$5:$E$5,0))&lt;&gt;"","No hay nada")))</f>
        <v>#VALUE!</v>
      </c>
    </row>
    <row r="515" spans="1:2" x14ac:dyDescent="0.3">
      <c r="A515" t="e">
        <f>Tabla27[[#This Row],[Agrupación]]</f>
        <v>#VALUE!</v>
      </c>
      <c r="B515" t="e" cm="1">
        <f t="array" ref="B515">TRANSPOSE((_xlfn._xlws.FILTER(INDEX(ProductosPivot!$C$6:$E$1000,,MATCH($A515,ProductosPivot!$C$5:$E$5,0)),INDEX(ProductosPivot!$C$6:$E$1000,,MATCH($A515,ProductosPivot!$C$5:$E$5,0))&lt;&gt;"","No hay nada")))</f>
        <v>#VALUE!</v>
      </c>
    </row>
    <row r="516" spans="1:2" x14ac:dyDescent="0.3">
      <c r="A516" t="e">
        <f>Tabla27[[#This Row],[Agrupación]]</f>
        <v>#VALUE!</v>
      </c>
      <c r="B516" t="e" cm="1">
        <f t="array" ref="B516">TRANSPOSE((_xlfn._xlws.FILTER(INDEX(ProductosPivot!$C$6:$E$1000,,MATCH($A516,ProductosPivot!$C$5:$E$5,0)),INDEX(ProductosPivot!$C$6:$E$1000,,MATCH($A516,ProductosPivot!$C$5:$E$5,0))&lt;&gt;"","No hay nada")))</f>
        <v>#VALUE!</v>
      </c>
    </row>
    <row r="517" spans="1:2" x14ac:dyDescent="0.3">
      <c r="A517" t="e">
        <f>Tabla27[[#This Row],[Agrupación]]</f>
        <v>#VALUE!</v>
      </c>
      <c r="B517" t="e" cm="1">
        <f t="array" ref="B517">TRANSPOSE((_xlfn._xlws.FILTER(INDEX(ProductosPivot!$C$6:$E$1000,,MATCH($A517,ProductosPivot!$C$5:$E$5,0)),INDEX(ProductosPivot!$C$6:$E$1000,,MATCH($A517,ProductosPivot!$C$5:$E$5,0))&lt;&gt;"","No hay nada")))</f>
        <v>#VALUE!</v>
      </c>
    </row>
    <row r="518" spans="1:2" x14ac:dyDescent="0.3">
      <c r="A518" t="e">
        <f>Tabla27[[#This Row],[Agrupación]]</f>
        <v>#VALUE!</v>
      </c>
      <c r="B518" t="e" cm="1">
        <f t="array" ref="B518">TRANSPOSE((_xlfn._xlws.FILTER(INDEX(ProductosPivot!$C$6:$E$1000,,MATCH($A518,ProductosPivot!$C$5:$E$5,0)),INDEX(ProductosPivot!$C$6:$E$1000,,MATCH($A518,ProductosPivot!$C$5:$E$5,0))&lt;&gt;"","No hay nada")))</f>
        <v>#VALUE!</v>
      </c>
    </row>
    <row r="519" spans="1:2" x14ac:dyDescent="0.3">
      <c r="A519" t="e">
        <f>Tabla27[[#This Row],[Agrupación]]</f>
        <v>#VALUE!</v>
      </c>
      <c r="B519" t="e" cm="1">
        <f t="array" ref="B519">TRANSPOSE((_xlfn._xlws.FILTER(INDEX(ProductosPivot!$C$6:$E$1000,,MATCH($A519,ProductosPivot!$C$5:$E$5,0)),INDEX(ProductosPivot!$C$6:$E$1000,,MATCH($A519,ProductosPivot!$C$5:$E$5,0))&lt;&gt;"","No hay nada")))</f>
        <v>#VALUE!</v>
      </c>
    </row>
    <row r="520" spans="1:2" x14ac:dyDescent="0.3">
      <c r="A520" t="e">
        <f>Tabla27[[#This Row],[Agrupación]]</f>
        <v>#VALUE!</v>
      </c>
      <c r="B520" t="e" cm="1">
        <f t="array" ref="B520">TRANSPOSE((_xlfn._xlws.FILTER(INDEX(ProductosPivot!$C$6:$E$1000,,MATCH($A520,ProductosPivot!$C$5:$E$5,0)),INDEX(ProductosPivot!$C$6:$E$1000,,MATCH($A520,ProductosPivot!$C$5:$E$5,0))&lt;&gt;"","No hay nada")))</f>
        <v>#VALUE!</v>
      </c>
    </row>
    <row r="521" spans="1:2" x14ac:dyDescent="0.3">
      <c r="A521" t="e">
        <f>Tabla27[[#This Row],[Agrupación]]</f>
        <v>#VALUE!</v>
      </c>
      <c r="B521" t="e" cm="1">
        <f t="array" ref="B521">TRANSPOSE((_xlfn._xlws.FILTER(INDEX(ProductosPivot!$C$6:$E$1000,,MATCH($A521,ProductosPivot!$C$5:$E$5,0)),INDEX(ProductosPivot!$C$6:$E$1000,,MATCH($A521,ProductosPivot!$C$5:$E$5,0))&lt;&gt;"","No hay nada")))</f>
        <v>#VALUE!</v>
      </c>
    </row>
    <row r="522" spans="1:2" x14ac:dyDescent="0.3">
      <c r="A522" t="e">
        <f>Tabla27[[#This Row],[Agrupación]]</f>
        <v>#VALUE!</v>
      </c>
      <c r="B522" t="e" cm="1">
        <f t="array" ref="B522">TRANSPOSE((_xlfn._xlws.FILTER(INDEX(ProductosPivot!$C$6:$E$1000,,MATCH($A522,ProductosPivot!$C$5:$E$5,0)),INDEX(ProductosPivot!$C$6:$E$1000,,MATCH($A522,ProductosPivot!$C$5:$E$5,0))&lt;&gt;"","No hay nada")))</f>
        <v>#VALUE!</v>
      </c>
    </row>
    <row r="523" spans="1:2" x14ac:dyDescent="0.3">
      <c r="A523" t="e">
        <f>Tabla27[[#This Row],[Agrupación]]</f>
        <v>#VALUE!</v>
      </c>
      <c r="B523" t="e" cm="1">
        <f t="array" ref="B523">TRANSPOSE((_xlfn._xlws.FILTER(INDEX(ProductosPivot!$C$6:$E$1000,,MATCH($A523,ProductosPivot!$C$5:$E$5,0)),INDEX(ProductosPivot!$C$6:$E$1000,,MATCH($A523,ProductosPivot!$C$5:$E$5,0))&lt;&gt;"","No hay nada")))</f>
        <v>#VALUE!</v>
      </c>
    </row>
    <row r="524" spans="1:2" x14ac:dyDescent="0.3">
      <c r="A524" t="e">
        <f>Tabla27[[#This Row],[Agrupación]]</f>
        <v>#VALUE!</v>
      </c>
      <c r="B524" t="e" cm="1">
        <f t="array" ref="B524">TRANSPOSE((_xlfn._xlws.FILTER(INDEX(ProductosPivot!$C$6:$E$1000,,MATCH($A524,ProductosPivot!$C$5:$E$5,0)),INDEX(ProductosPivot!$C$6:$E$1000,,MATCH($A524,ProductosPivot!$C$5:$E$5,0))&lt;&gt;"","No hay nada")))</f>
        <v>#VALUE!</v>
      </c>
    </row>
    <row r="525" spans="1:2" x14ac:dyDescent="0.3">
      <c r="A525" t="e">
        <f>Tabla27[[#This Row],[Agrupación]]</f>
        <v>#VALUE!</v>
      </c>
      <c r="B525" t="e" cm="1">
        <f t="array" ref="B525">TRANSPOSE((_xlfn._xlws.FILTER(INDEX(ProductosPivot!$C$6:$E$1000,,MATCH($A525,ProductosPivot!$C$5:$E$5,0)),INDEX(ProductosPivot!$C$6:$E$1000,,MATCH($A525,ProductosPivot!$C$5:$E$5,0))&lt;&gt;"","No hay nada")))</f>
        <v>#VALUE!</v>
      </c>
    </row>
    <row r="526" spans="1:2" x14ac:dyDescent="0.3">
      <c r="A526" t="e">
        <f>Tabla27[[#This Row],[Agrupación]]</f>
        <v>#VALUE!</v>
      </c>
      <c r="B526" t="e" cm="1">
        <f t="array" ref="B526">TRANSPOSE((_xlfn._xlws.FILTER(INDEX(ProductosPivot!$C$6:$E$1000,,MATCH($A526,ProductosPivot!$C$5:$E$5,0)),INDEX(ProductosPivot!$C$6:$E$1000,,MATCH($A526,ProductosPivot!$C$5:$E$5,0))&lt;&gt;"","No hay nada")))</f>
        <v>#VALUE!</v>
      </c>
    </row>
    <row r="527" spans="1:2" x14ac:dyDescent="0.3">
      <c r="A527" t="e">
        <f>Tabla27[[#This Row],[Agrupación]]</f>
        <v>#VALUE!</v>
      </c>
      <c r="B527" t="e" cm="1">
        <f t="array" ref="B527">TRANSPOSE((_xlfn._xlws.FILTER(INDEX(ProductosPivot!$C$6:$E$1000,,MATCH($A527,ProductosPivot!$C$5:$E$5,0)),INDEX(ProductosPivot!$C$6:$E$1000,,MATCH($A527,ProductosPivot!$C$5:$E$5,0))&lt;&gt;"","No hay nada")))</f>
        <v>#VALUE!</v>
      </c>
    </row>
    <row r="528" spans="1:2" x14ac:dyDescent="0.3">
      <c r="A528" t="e">
        <f>Tabla27[[#This Row],[Agrupación]]</f>
        <v>#VALUE!</v>
      </c>
      <c r="B528" t="e" cm="1">
        <f t="array" ref="B528">TRANSPOSE((_xlfn._xlws.FILTER(INDEX(ProductosPivot!$C$6:$E$1000,,MATCH($A528,ProductosPivot!$C$5:$E$5,0)),INDEX(ProductosPivot!$C$6:$E$1000,,MATCH($A528,ProductosPivot!$C$5:$E$5,0))&lt;&gt;"","No hay nada")))</f>
        <v>#VALUE!</v>
      </c>
    </row>
    <row r="529" spans="1:2" x14ac:dyDescent="0.3">
      <c r="A529" t="e">
        <f>Tabla27[[#This Row],[Agrupación]]</f>
        <v>#VALUE!</v>
      </c>
      <c r="B529" t="e" cm="1">
        <f t="array" ref="B529">TRANSPOSE((_xlfn._xlws.FILTER(INDEX(ProductosPivot!$C$6:$E$1000,,MATCH($A529,ProductosPivot!$C$5:$E$5,0)),INDEX(ProductosPivot!$C$6:$E$1000,,MATCH($A529,ProductosPivot!$C$5:$E$5,0))&lt;&gt;"","No hay nada")))</f>
        <v>#VALUE!</v>
      </c>
    </row>
    <row r="530" spans="1:2" x14ac:dyDescent="0.3">
      <c r="A530" t="e">
        <f>Tabla27[[#This Row],[Agrupación]]</f>
        <v>#VALUE!</v>
      </c>
      <c r="B530" t="e" cm="1">
        <f t="array" ref="B530">TRANSPOSE((_xlfn._xlws.FILTER(INDEX(ProductosPivot!$C$6:$E$1000,,MATCH($A530,ProductosPivot!$C$5:$E$5,0)),INDEX(ProductosPivot!$C$6:$E$1000,,MATCH($A530,ProductosPivot!$C$5:$E$5,0))&lt;&gt;"","No hay nada")))</f>
        <v>#VALUE!</v>
      </c>
    </row>
    <row r="531" spans="1:2" x14ac:dyDescent="0.3">
      <c r="A531" t="e">
        <f>Tabla27[[#This Row],[Agrupación]]</f>
        <v>#VALUE!</v>
      </c>
      <c r="B531" t="e" cm="1">
        <f t="array" ref="B531">TRANSPOSE((_xlfn._xlws.FILTER(INDEX(ProductosPivot!$C$6:$E$1000,,MATCH($A531,ProductosPivot!$C$5:$E$5,0)),INDEX(ProductosPivot!$C$6:$E$1000,,MATCH($A531,ProductosPivot!$C$5:$E$5,0))&lt;&gt;"","No hay nada")))</f>
        <v>#VALUE!</v>
      </c>
    </row>
    <row r="532" spans="1:2" x14ac:dyDescent="0.3">
      <c r="A532" t="e">
        <f>Tabla27[[#This Row],[Agrupación]]</f>
        <v>#VALUE!</v>
      </c>
      <c r="B532" t="e" cm="1">
        <f t="array" ref="B532">TRANSPOSE((_xlfn._xlws.FILTER(INDEX(ProductosPivot!$C$6:$E$1000,,MATCH($A532,ProductosPivot!$C$5:$E$5,0)),INDEX(ProductosPivot!$C$6:$E$1000,,MATCH($A532,ProductosPivot!$C$5:$E$5,0))&lt;&gt;"","No hay nada")))</f>
        <v>#VALUE!</v>
      </c>
    </row>
    <row r="533" spans="1:2" x14ac:dyDescent="0.3">
      <c r="A533" t="e">
        <f>Tabla27[[#This Row],[Agrupación]]</f>
        <v>#VALUE!</v>
      </c>
      <c r="B533" t="e" cm="1">
        <f t="array" ref="B533">TRANSPOSE((_xlfn._xlws.FILTER(INDEX(ProductosPivot!$C$6:$E$1000,,MATCH($A533,ProductosPivot!$C$5:$E$5,0)),INDEX(ProductosPivot!$C$6:$E$1000,,MATCH($A533,ProductosPivot!$C$5:$E$5,0))&lt;&gt;"","No hay nada")))</f>
        <v>#VALUE!</v>
      </c>
    </row>
    <row r="534" spans="1:2" x14ac:dyDescent="0.3">
      <c r="A534" t="e">
        <f>Tabla27[[#This Row],[Agrupación]]</f>
        <v>#VALUE!</v>
      </c>
      <c r="B534" t="e" cm="1">
        <f t="array" ref="B534">TRANSPOSE((_xlfn._xlws.FILTER(INDEX(ProductosPivot!$C$6:$E$1000,,MATCH($A534,ProductosPivot!$C$5:$E$5,0)),INDEX(ProductosPivot!$C$6:$E$1000,,MATCH($A534,ProductosPivot!$C$5:$E$5,0))&lt;&gt;"","No hay nada")))</f>
        <v>#VALUE!</v>
      </c>
    </row>
    <row r="535" spans="1:2" x14ac:dyDescent="0.3">
      <c r="A535" t="e">
        <f>Tabla27[[#This Row],[Agrupación]]</f>
        <v>#VALUE!</v>
      </c>
      <c r="B535" t="e" cm="1">
        <f t="array" ref="B535">TRANSPOSE((_xlfn._xlws.FILTER(INDEX(ProductosPivot!$C$6:$E$1000,,MATCH($A535,ProductosPivot!$C$5:$E$5,0)),INDEX(ProductosPivot!$C$6:$E$1000,,MATCH($A535,ProductosPivot!$C$5:$E$5,0))&lt;&gt;"","No hay nada")))</f>
        <v>#VALUE!</v>
      </c>
    </row>
    <row r="536" spans="1:2" x14ac:dyDescent="0.3">
      <c r="A536" t="e">
        <f>Tabla27[[#This Row],[Agrupación]]</f>
        <v>#VALUE!</v>
      </c>
      <c r="B536" t="e" cm="1">
        <f t="array" ref="B536">TRANSPOSE((_xlfn._xlws.FILTER(INDEX(ProductosPivot!$C$6:$E$1000,,MATCH($A536,ProductosPivot!$C$5:$E$5,0)),INDEX(ProductosPivot!$C$6:$E$1000,,MATCH($A536,ProductosPivot!$C$5:$E$5,0))&lt;&gt;"","No hay nada")))</f>
        <v>#VALUE!</v>
      </c>
    </row>
    <row r="537" spans="1:2" x14ac:dyDescent="0.3">
      <c r="A537" t="e">
        <f>Tabla27[[#This Row],[Agrupación]]</f>
        <v>#VALUE!</v>
      </c>
      <c r="B537" t="e" cm="1">
        <f t="array" ref="B537">TRANSPOSE((_xlfn._xlws.FILTER(INDEX(ProductosPivot!$C$6:$E$1000,,MATCH($A537,ProductosPivot!$C$5:$E$5,0)),INDEX(ProductosPivot!$C$6:$E$1000,,MATCH($A537,ProductosPivot!$C$5:$E$5,0))&lt;&gt;"","No hay nada")))</f>
        <v>#VALUE!</v>
      </c>
    </row>
    <row r="538" spans="1:2" x14ac:dyDescent="0.3">
      <c r="A538" t="e">
        <f>Tabla27[[#This Row],[Agrupación]]</f>
        <v>#VALUE!</v>
      </c>
      <c r="B538" t="e" cm="1">
        <f t="array" ref="B538">TRANSPOSE((_xlfn._xlws.FILTER(INDEX(ProductosPivot!$C$6:$E$1000,,MATCH($A538,ProductosPivot!$C$5:$E$5,0)),INDEX(ProductosPivot!$C$6:$E$1000,,MATCH($A538,ProductosPivot!$C$5:$E$5,0))&lt;&gt;"","No hay nada")))</f>
        <v>#VALUE!</v>
      </c>
    </row>
    <row r="539" spans="1:2" x14ac:dyDescent="0.3">
      <c r="A539" t="e">
        <f>Tabla27[[#This Row],[Agrupación]]</f>
        <v>#VALUE!</v>
      </c>
      <c r="B539" t="e" cm="1">
        <f t="array" ref="B539">TRANSPOSE((_xlfn._xlws.FILTER(INDEX(ProductosPivot!$C$6:$E$1000,,MATCH($A539,ProductosPivot!$C$5:$E$5,0)),INDEX(ProductosPivot!$C$6:$E$1000,,MATCH($A539,ProductosPivot!$C$5:$E$5,0))&lt;&gt;"","No hay nada")))</f>
        <v>#VALUE!</v>
      </c>
    </row>
    <row r="540" spans="1:2" x14ac:dyDescent="0.3">
      <c r="A540" t="e">
        <f>Tabla27[[#This Row],[Agrupación]]</f>
        <v>#VALUE!</v>
      </c>
      <c r="B540" t="e" cm="1">
        <f t="array" ref="B540">TRANSPOSE((_xlfn._xlws.FILTER(INDEX(ProductosPivot!$C$6:$E$1000,,MATCH($A540,ProductosPivot!$C$5:$E$5,0)),INDEX(ProductosPivot!$C$6:$E$1000,,MATCH($A540,ProductosPivot!$C$5:$E$5,0))&lt;&gt;"","No hay nada")))</f>
        <v>#VALUE!</v>
      </c>
    </row>
    <row r="541" spans="1:2" x14ac:dyDescent="0.3">
      <c r="A541" t="e">
        <f>Tabla27[[#This Row],[Agrupación]]</f>
        <v>#VALUE!</v>
      </c>
      <c r="B541" t="e" cm="1">
        <f t="array" ref="B541">TRANSPOSE((_xlfn._xlws.FILTER(INDEX(ProductosPivot!$C$6:$E$1000,,MATCH($A541,ProductosPivot!$C$5:$E$5,0)),INDEX(ProductosPivot!$C$6:$E$1000,,MATCH($A541,ProductosPivot!$C$5:$E$5,0))&lt;&gt;"","No hay nada")))</f>
        <v>#VALUE!</v>
      </c>
    </row>
    <row r="542" spans="1:2" x14ac:dyDescent="0.3">
      <c r="A542" t="e">
        <f>Tabla27[[#This Row],[Agrupación]]</f>
        <v>#VALUE!</v>
      </c>
      <c r="B542" t="e" cm="1">
        <f t="array" ref="B542">TRANSPOSE((_xlfn._xlws.FILTER(INDEX(ProductosPivot!$C$6:$E$1000,,MATCH($A542,ProductosPivot!$C$5:$E$5,0)),INDEX(ProductosPivot!$C$6:$E$1000,,MATCH($A542,ProductosPivot!$C$5:$E$5,0))&lt;&gt;"","No hay nada")))</f>
        <v>#VALUE!</v>
      </c>
    </row>
    <row r="543" spans="1:2" x14ac:dyDescent="0.3">
      <c r="A543" t="e">
        <f>Tabla27[[#This Row],[Agrupación]]</f>
        <v>#VALUE!</v>
      </c>
      <c r="B543" t="e" cm="1">
        <f t="array" ref="B543">TRANSPOSE((_xlfn._xlws.FILTER(INDEX(ProductosPivot!$C$6:$E$1000,,MATCH($A543,ProductosPivot!$C$5:$E$5,0)),INDEX(ProductosPivot!$C$6:$E$1000,,MATCH($A543,ProductosPivot!$C$5:$E$5,0))&lt;&gt;"","No hay nada")))</f>
        <v>#VALUE!</v>
      </c>
    </row>
    <row r="544" spans="1:2" x14ac:dyDescent="0.3">
      <c r="A544" t="e">
        <f>Tabla27[[#This Row],[Agrupación]]</f>
        <v>#VALUE!</v>
      </c>
      <c r="B544" t="e" cm="1">
        <f t="array" ref="B544">TRANSPOSE((_xlfn._xlws.FILTER(INDEX(ProductosPivot!$C$6:$E$1000,,MATCH($A544,ProductosPivot!$C$5:$E$5,0)),INDEX(ProductosPivot!$C$6:$E$1000,,MATCH($A544,ProductosPivot!$C$5:$E$5,0))&lt;&gt;"","No hay nada")))</f>
        <v>#VALUE!</v>
      </c>
    </row>
    <row r="545" spans="1:2" x14ac:dyDescent="0.3">
      <c r="A545" t="e">
        <f>Tabla27[[#This Row],[Agrupación]]</f>
        <v>#VALUE!</v>
      </c>
      <c r="B545" t="e" cm="1">
        <f t="array" ref="B545">TRANSPOSE((_xlfn._xlws.FILTER(INDEX(ProductosPivot!$C$6:$E$1000,,MATCH($A545,ProductosPivot!$C$5:$E$5,0)),INDEX(ProductosPivot!$C$6:$E$1000,,MATCH($A545,ProductosPivot!$C$5:$E$5,0))&lt;&gt;"","No hay nada")))</f>
        <v>#VALUE!</v>
      </c>
    </row>
    <row r="546" spans="1:2" x14ac:dyDescent="0.3">
      <c r="A546" t="e">
        <f>Tabla27[[#This Row],[Agrupación]]</f>
        <v>#VALUE!</v>
      </c>
      <c r="B546" t="e" cm="1">
        <f t="array" ref="B546">TRANSPOSE((_xlfn._xlws.FILTER(INDEX(ProductosPivot!$C$6:$E$1000,,MATCH($A546,ProductosPivot!$C$5:$E$5,0)),INDEX(ProductosPivot!$C$6:$E$1000,,MATCH($A546,ProductosPivot!$C$5:$E$5,0))&lt;&gt;"","No hay nada")))</f>
        <v>#VALUE!</v>
      </c>
    </row>
    <row r="547" spans="1:2" x14ac:dyDescent="0.3">
      <c r="A547" t="e">
        <f>Tabla27[[#This Row],[Agrupación]]</f>
        <v>#VALUE!</v>
      </c>
      <c r="B547" t="e" cm="1">
        <f t="array" ref="B547">TRANSPOSE((_xlfn._xlws.FILTER(INDEX(ProductosPivot!$C$6:$E$1000,,MATCH($A547,ProductosPivot!$C$5:$E$5,0)),INDEX(ProductosPivot!$C$6:$E$1000,,MATCH($A547,ProductosPivot!$C$5:$E$5,0))&lt;&gt;"","No hay nada")))</f>
        <v>#VALUE!</v>
      </c>
    </row>
    <row r="548" spans="1:2" x14ac:dyDescent="0.3">
      <c r="A548" t="e">
        <f>Tabla27[[#This Row],[Agrupación]]</f>
        <v>#VALUE!</v>
      </c>
      <c r="B548" t="e" cm="1">
        <f t="array" ref="B548">TRANSPOSE((_xlfn._xlws.FILTER(INDEX(ProductosPivot!$C$6:$E$1000,,MATCH($A548,ProductosPivot!$C$5:$E$5,0)),INDEX(ProductosPivot!$C$6:$E$1000,,MATCH($A548,ProductosPivot!$C$5:$E$5,0))&lt;&gt;"","No hay nada")))</f>
        <v>#VALUE!</v>
      </c>
    </row>
    <row r="549" spans="1:2" x14ac:dyDescent="0.3">
      <c r="A549" t="e">
        <f>Tabla27[[#This Row],[Agrupación]]</f>
        <v>#VALUE!</v>
      </c>
      <c r="B549" t="e" cm="1">
        <f t="array" ref="B549">TRANSPOSE((_xlfn._xlws.FILTER(INDEX(ProductosPivot!$C$6:$E$1000,,MATCH($A549,ProductosPivot!$C$5:$E$5,0)),INDEX(ProductosPivot!$C$6:$E$1000,,MATCH($A549,ProductosPivot!$C$5:$E$5,0))&lt;&gt;"","No hay nada")))</f>
        <v>#VALUE!</v>
      </c>
    </row>
    <row r="550" spans="1:2" x14ac:dyDescent="0.3">
      <c r="A550" t="e">
        <f>Tabla27[[#This Row],[Agrupación]]</f>
        <v>#VALUE!</v>
      </c>
      <c r="B550" t="e" cm="1">
        <f t="array" ref="B550">TRANSPOSE((_xlfn._xlws.FILTER(INDEX(ProductosPivot!$C$6:$E$1000,,MATCH($A550,ProductosPivot!$C$5:$E$5,0)),INDEX(ProductosPivot!$C$6:$E$1000,,MATCH($A550,ProductosPivot!$C$5:$E$5,0))&lt;&gt;"","No hay nada")))</f>
        <v>#VALUE!</v>
      </c>
    </row>
    <row r="551" spans="1:2" x14ac:dyDescent="0.3">
      <c r="A551" t="e">
        <f>Tabla27[[#This Row],[Agrupación]]</f>
        <v>#VALUE!</v>
      </c>
      <c r="B551" t="e" cm="1">
        <f t="array" ref="B551">TRANSPOSE((_xlfn._xlws.FILTER(INDEX(ProductosPivot!$C$6:$E$1000,,MATCH($A551,ProductosPivot!$C$5:$E$5,0)),INDEX(ProductosPivot!$C$6:$E$1000,,MATCH($A551,ProductosPivot!$C$5:$E$5,0))&lt;&gt;"","No hay nada")))</f>
        <v>#VALUE!</v>
      </c>
    </row>
    <row r="552" spans="1:2" x14ac:dyDescent="0.3">
      <c r="A552" t="e">
        <f>Tabla27[[#This Row],[Agrupación]]</f>
        <v>#VALUE!</v>
      </c>
      <c r="B552" t="e" cm="1">
        <f t="array" ref="B552">TRANSPOSE((_xlfn._xlws.FILTER(INDEX(ProductosPivot!$C$6:$E$1000,,MATCH($A552,ProductosPivot!$C$5:$E$5,0)),INDEX(ProductosPivot!$C$6:$E$1000,,MATCH($A552,ProductosPivot!$C$5:$E$5,0))&lt;&gt;"","No hay nada")))</f>
        <v>#VALUE!</v>
      </c>
    </row>
    <row r="553" spans="1:2" x14ac:dyDescent="0.3">
      <c r="A553" t="e">
        <f>Tabla27[[#This Row],[Agrupación]]</f>
        <v>#VALUE!</v>
      </c>
      <c r="B553" t="e" cm="1">
        <f t="array" ref="B553">TRANSPOSE((_xlfn._xlws.FILTER(INDEX(ProductosPivot!$C$6:$E$1000,,MATCH($A553,ProductosPivot!$C$5:$E$5,0)),INDEX(ProductosPivot!$C$6:$E$1000,,MATCH($A553,ProductosPivot!$C$5:$E$5,0))&lt;&gt;"","No hay nada")))</f>
        <v>#VALUE!</v>
      </c>
    </row>
    <row r="554" spans="1:2" x14ac:dyDescent="0.3">
      <c r="A554" t="e">
        <f>Tabla27[[#This Row],[Agrupación]]</f>
        <v>#VALUE!</v>
      </c>
      <c r="B554" t="e" cm="1">
        <f t="array" ref="B554">TRANSPOSE((_xlfn._xlws.FILTER(INDEX(ProductosPivot!$C$6:$E$1000,,MATCH($A554,ProductosPivot!$C$5:$E$5,0)),INDEX(ProductosPivot!$C$6:$E$1000,,MATCH($A554,ProductosPivot!$C$5:$E$5,0))&lt;&gt;"","No hay nada")))</f>
        <v>#VALUE!</v>
      </c>
    </row>
    <row r="555" spans="1:2" x14ac:dyDescent="0.3">
      <c r="A555" t="e">
        <f>Tabla27[[#This Row],[Agrupación]]</f>
        <v>#VALUE!</v>
      </c>
      <c r="B555" t="e" cm="1">
        <f t="array" ref="B555">TRANSPOSE((_xlfn._xlws.FILTER(INDEX(ProductosPivot!$C$6:$E$1000,,MATCH($A555,ProductosPivot!$C$5:$E$5,0)),INDEX(ProductosPivot!$C$6:$E$1000,,MATCH($A555,ProductosPivot!$C$5:$E$5,0))&lt;&gt;"","No hay nada")))</f>
        <v>#VALUE!</v>
      </c>
    </row>
    <row r="556" spans="1:2" x14ac:dyDescent="0.3">
      <c r="A556" t="e">
        <f>Tabla27[[#This Row],[Agrupación]]</f>
        <v>#VALUE!</v>
      </c>
      <c r="B556" t="e" cm="1">
        <f t="array" ref="B556">TRANSPOSE((_xlfn._xlws.FILTER(INDEX(ProductosPivot!$C$6:$E$1000,,MATCH($A556,ProductosPivot!$C$5:$E$5,0)),INDEX(ProductosPivot!$C$6:$E$1000,,MATCH($A556,ProductosPivot!$C$5:$E$5,0))&lt;&gt;"","No hay nada")))</f>
        <v>#VALUE!</v>
      </c>
    </row>
    <row r="557" spans="1:2" x14ac:dyDescent="0.3">
      <c r="A557" t="e">
        <f>Tabla27[[#This Row],[Agrupación]]</f>
        <v>#VALUE!</v>
      </c>
      <c r="B557" t="e" cm="1">
        <f t="array" ref="B557">TRANSPOSE((_xlfn._xlws.FILTER(INDEX(ProductosPivot!$C$6:$E$1000,,MATCH($A557,ProductosPivot!$C$5:$E$5,0)),INDEX(ProductosPivot!$C$6:$E$1000,,MATCH($A557,ProductosPivot!$C$5:$E$5,0))&lt;&gt;"","No hay nada")))</f>
        <v>#VALUE!</v>
      </c>
    </row>
    <row r="558" spans="1:2" x14ac:dyDescent="0.3">
      <c r="A558" t="e">
        <f>Tabla27[[#This Row],[Agrupación]]</f>
        <v>#VALUE!</v>
      </c>
      <c r="B558" t="e" cm="1">
        <f t="array" ref="B558">TRANSPOSE((_xlfn._xlws.FILTER(INDEX(ProductosPivot!$C$6:$E$1000,,MATCH($A558,ProductosPivot!$C$5:$E$5,0)),INDEX(ProductosPivot!$C$6:$E$1000,,MATCH($A558,ProductosPivot!$C$5:$E$5,0))&lt;&gt;"","No hay nada")))</f>
        <v>#VALUE!</v>
      </c>
    </row>
    <row r="559" spans="1:2" x14ac:dyDescent="0.3">
      <c r="A559" t="e">
        <f>Tabla27[[#This Row],[Agrupación]]</f>
        <v>#VALUE!</v>
      </c>
      <c r="B559" t="e" cm="1">
        <f t="array" ref="B559">TRANSPOSE((_xlfn._xlws.FILTER(INDEX(ProductosPivot!$C$6:$E$1000,,MATCH($A559,ProductosPivot!$C$5:$E$5,0)),INDEX(ProductosPivot!$C$6:$E$1000,,MATCH($A559,ProductosPivot!$C$5:$E$5,0))&lt;&gt;"","No hay nada")))</f>
        <v>#VALUE!</v>
      </c>
    </row>
    <row r="560" spans="1:2" x14ac:dyDescent="0.3">
      <c r="A560" t="e">
        <f>Tabla27[[#This Row],[Agrupación]]</f>
        <v>#VALUE!</v>
      </c>
      <c r="B560" t="e" cm="1">
        <f t="array" ref="B560">TRANSPOSE((_xlfn._xlws.FILTER(INDEX(ProductosPivot!$C$6:$E$1000,,MATCH($A560,ProductosPivot!$C$5:$E$5,0)),INDEX(ProductosPivot!$C$6:$E$1000,,MATCH($A560,ProductosPivot!$C$5:$E$5,0))&lt;&gt;"","No hay nada")))</f>
        <v>#VALUE!</v>
      </c>
    </row>
    <row r="561" spans="1:2" x14ac:dyDescent="0.3">
      <c r="A561" t="e">
        <f>Tabla27[[#This Row],[Agrupación]]</f>
        <v>#VALUE!</v>
      </c>
      <c r="B561" t="e" cm="1">
        <f t="array" ref="B561">TRANSPOSE((_xlfn._xlws.FILTER(INDEX(ProductosPivot!$C$6:$E$1000,,MATCH($A561,ProductosPivot!$C$5:$E$5,0)),INDEX(ProductosPivot!$C$6:$E$1000,,MATCH($A561,ProductosPivot!$C$5:$E$5,0))&lt;&gt;"","No hay nada")))</f>
        <v>#VALUE!</v>
      </c>
    </row>
    <row r="562" spans="1:2" x14ac:dyDescent="0.3">
      <c r="A562" t="e">
        <f>Tabla27[[#This Row],[Agrupación]]</f>
        <v>#VALUE!</v>
      </c>
      <c r="B562" t="e" cm="1">
        <f t="array" ref="B562">TRANSPOSE((_xlfn._xlws.FILTER(INDEX(ProductosPivot!$C$6:$E$1000,,MATCH($A562,ProductosPivot!$C$5:$E$5,0)),INDEX(ProductosPivot!$C$6:$E$1000,,MATCH($A562,ProductosPivot!$C$5:$E$5,0))&lt;&gt;"","No hay nada")))</f>
        <v>#VALUE!</v>
      </c>
    </row>
    <row r="563" spans="1:2" x14ac:dyDescent="0.3">
      <c r="A563" t="e">
        <f>Tabla27[[#This Row],[Agrupación]]</f>
        <v>#VALUE!</v>
      </c>
      <c r="B563" t="e" cm="1">
        <f t="array" ref="B563">TRANSPOSE((_xlfn._xlws.FILTER(INDEX(ProductosPivot!$C$6:$E$1000,,MATCH($A563,ProductosPivot!$C$5:$E$5,0)),INDEX(ProductosPivot!$C$6:$E$1000,,MATCH($A563,ProductosPivot!$C$5:$E$5,0))&lt;&gt;"","No hay nada")))</f>
        <v>#VALUE!</v>
      </c>
    </row>
    <row r="564" spans="1:2" x14ac:dyDescent="0.3">
      <c r="A564" t="e">
        <f>Tabla27[[#This Row],[Agrupación]]</f>
        <v>#VALUE!</v>
      </c>
      <c r="B564" t="e" cm="1">
        <f t="array" ref="B564">TRANSPOSE((_xlfn._xlws.FILTER(INDEX(ProductosPivot!$C$6:$E$1000,,MATCH($A564,ProductosPivot!$C$5:$E$5,0)),INDEX(ProductosPivot!$C$6:$E$1000,,MATCH($A564,ProductosPivot!$C$5:$E$5,0))&lt;&gt;"","No hay nada")))</f>
        <v>#VALUE!</v>
      </c>
    </row>
    <row r="565" spans="1:2" x14ac:dyDescent="0.3">
      <c r="A565" t="e">
        <f>Tabla27[[#This Row],[Agrupación]]</f>
        <v>#VALUE!</v>
      </c>
      <c r="B565" t="e" cm="1">
        <f t="array" ref="B565">TRANSPOSE((_xlfn._xlws.FILTER(INDEX(ProductosPivot!$C$6:$E$1000,,MATCH($A565,ProductosPivot!$C$5:$E$5,0)),INDEX(ProductosPivot!$C$6:$E$1000,,MATCH($A565,ProductosPivot!$C$5:$E$5,0))&lt;&gt;"","No hay nada")))</f>
        <v>#VALUE!</v>
      </c>
    </row>
    <row r="566" spans="1:2" x14ac:dyDescent="0.3">
      <c r="A566" t="e">
        <f>Tabla27[[#This Row],[Agrupación]]</f>
        <v>#VALUE!</v>
      </c>
      <c r="B566" t="e" cm="1">
        <f t="array" ref="B566">TRANSPOSE((_xlfn._xlws.FILTER(INDEX(ProductosPivot!$C$6:$E$1000,,MATCH($A566,ProductosPivot!$C$5:$E$5,0)),INDEX(ProductosPivot!$C$6:$E$1000,,MATCH($A566,ProductosPivot!$C$5:$E$5,0))&lt;&gt;"","No hay nada")))</f>
        <v>#VALUE!</v>
      </c>
    </row>
    <row r="567" spans="1:2" x14ac:dyDescent="0.3">
      <c r="A567" t="e">
        <f>Tabla27[[#This Row],[Agrupación]]</f>
        <v>#VALUE!</v>
      </c>
      <c r="B567" t="e" cm="1">
        <f t="array" ref="B567">TRANSPOSE((_xlfn._xlws.FILTER(INDEX(ProductosPivot!$C$6:$E$1000,,MATCH($A567,ProductosPivot!$C$5:$E$5,0)),INDEX(ProductosPivot!$C$6:$E$1000,,MATCH($A567,ProductosPivot!$C$5:$E$5,0))&lt;&gt;"","No hay nada")))</f>
        <v>#VALUE!</v>
      </c>
    </row>
    <row r="568" spans="1:2" x14ac:dyDescent="0.3">
      <c r="A568" t="e">
        <f>Tabla27[[#This Row],[Agrupación]]</f>
        <v>#VALUE!</v>
      </c>
      <c r="B568" t="e" cm="1">
        <f t="array" ref="B568">TRANSPOSE((_xlfn._xlws.FILTER(INDEX(ProductosPivot!$C$6:$E$1000,,MATCH($A568,ProductosPivot!$C$5:$E$5,0)),INDEX(ProductosPivot!$C$6:$E$1000,,MATCH($A568,ProductosPivot!$C$5:$E$5,0))&lt;&gt;"","No hay nada")))</f>
        <v>#VALUE!</v>
      </c>
    </row>
    <row r="569" spans="1:2" x14ac:dyDescent="0.3">
      <c r="A569" t="e">
        <f>Tabla27[[#This Row],[Agrupación]]</f>
        <v>#VALUE!</v>
      </c>
      <c r="B569" t="e" cm="1">
        <f t="array" ref="B569">TRANSPOSE((_xlfn._xlws.FILTER(INDEX(ProductosPivot!$C$6:$E$1000,,MATCH($A569,ProductosPivot!$C$5:$E$5,0)),INDEX(ProductosPivot!$C$6:$E$1000,,MATCH($A569,ProductosPivot!$C$5:$E$5,0))&lt;&gt;"","No hay nada")))</f>
        <v>#VALUE!</v>
      </c>
    </row>
    <row r="570" spans="1:2" x14ac:dyDescent="0.3">
      <c r="A570" t="e">
        <f>Tabla27[[#This Row],[Agrupación]]</f>
        <v>#VALUE!</v>
      </c>
      <c r="B570" t="e" cm="1">
        <f t="array" ref="B570">TRANSPOSE((_xlfn._xlws.FILTER(INDEX(ProductosPivot!$C$6:$E$1000,,MATCH($A570,ProductosPivot!$C$5:$E$5,0)),INDEX(ProductosPivot!$C$6:$E$1000,,MATCH($A570,ProductosPivot!$C$5:$E$5,0))&lt;&gt;"","No hay nada")))</f>
        <v>#VALUE!</v>
      </c>
    </row>
    <row r="571" spans="1:2" x14ac:dyDescent="0.3">
      <c r="A571" t="e">
        <f>Tabla27[[#This Row],[Agrupación]]</f>
        <v>#VALUE!</v>
      </c>
      <c r="B571" t="e" cm="1">
        <f t="array" ref="B571">TRANSPOSE((_xlfn._xlws.FILTER(INDEX(ProductosPivot!$C$6:$E$1000,,MATCH($A571,ProductosPivot!$C$5:$E$5,0)),INDEX(ProductosPivot!$C$6:$E$1000,,MATCH($A571,ProductosPivot!$C$5:$E$5,0))&lt;&gt;"","No hay nada")))</f>
        <v>#VALUE!</v>
      </c>
    </row>
    <row r="572" spans="1:2" x14ac:dyDescent="0.3">
      <c r="A572" t="e">
        <f>Tabla27[[#This Row],[Agrupación]]</f>
        <v>#VALUE!</v>
      </c>
      <c r="B572" t="e" cm="1">
        <f t="array" ref="B572">TRANSPOSE((_xlfn._xlws.FILTER(INDEX(ProductosPivot!$C$6:$E$1000,,MATCH($A572,ProductosPivot!$C$5:$E$5,0)),INDEX(ProductosPivot!$C$6:$E$1000,,MATCH($A572,ProductosPivot!$C$5:$E$5,0))&lt;&gt;"","No hay nada")))</f>
        <v>#VALUE!</v>
      </c>
    </row>
    <row r="573" spans="1:2" x14ac:dyDescent="0.3">
      <c r="A573" t="e">
        <f>Tabla27[[#This Row],[Agrupación]]</f>
        <v>#VALUE!</v>
      </c>
      <c r="B573" t="e" cm="1">
        <f t="array" ref="B573">TRANSPOSE((_xlfn._xlws.FILTER(INDEX(ProductosPivot!$C$6:$E$1000,,MATCH($A573,ProductosPivot!$C$5:$E$5,0)),INDEX(ProductosPivot!$C$6:$E$1000,,MATCH($A573,ProductosPivot!$C$5:$E$5,0))&lt;&gt;"","No hay nada")))</f>
        <v>#VALUE!</v>
      </c>
    </row>
    <row r="574" spans="1:2" x14ac:dyDescent="0.3">
      <c r="A574" t="e">
        <f>Tabla27[[#This Row],[Agrupación]]</f>
        <v>#VALUE!</v>
      </c>
      <c r="B574" t="e" cm="1">
        <f t="array" ref="B574">TRANSPOSE((_xlfn._xlws.FILTER(INDEX(ProductosPivot!$C$6:$E$1000,,MATCH($A574,ProductosPivot!$C$5:$E$5,0)),INDEX(ProductosPivot!$C$6:$E$1000,,MATCH($A574,ProductosPivot!$C$5:$E$5,0))&lt;&gt;"","No hay nada")))</f>
        <v>#VALUE!</v>
      </c>
    </row>
    <row r="575" spans="1:2" x14ac:dyDescent="0.3">
      <c r="A575" t="e">
        <f>Tabla27[[#This Row],[Agrupación]]</f>
        <v>#VALUE!</v>
      </c>
      <c r="B575" t="e" cm="1">
        <f t="array" ref="B575">TRANSPOSE((_xlfn._xlws.FILTER(INDEX(ProductosPivot!$C$6:$E$1000,,MATCH($A575,ProductosPivot!$C$5:$E$5,0)),INDEX(ProductosPivot!$C$6:$E$1000,,MATCH($A575,ProductosPivot!$C$5:$E$5,0))&lt;&gt;"","No hay nada")))</f>
        <v>#VALUE!</v>
      </c>
    </row>
    <row r="576" spans="1:2" x14ac:dyDescent="0.3">
      <c r="A576" t="e">
        <f>Tabla27[[#This Row],[Agrupación]]</f>
        <v>#VALUE!</v>
      </c>
      <c r="B576" t="e" cm="1">
        <f t="array" ref="B576">TRANSPOSE((_xlfn._xlws.FILTER(INDEX(ProductosPivot!$C$6:$E$1000,,MATCH($A576,ProductosPivot!$C$5:$E$5,0)),INDEX(ProductosPivot!$C$6:$E$1000,,MATCH($A576,ProductosPivot!$C$5:$E$5,0))&lt;&gt;"","No hay nada")))</f>
        <v>#VALUE!</v>
      </c>
    </row>
    <row r="577" spans="1:2" x14ac:dyDescent="0.3">
      <c r="A577" t="e">
        <f>Tabla27[[#This Row],[Agrupación]]</f>
        <v>#VALUE!</v>
      </c>
      <c r="B577" t="e" cm="1">
        <f t="array" ref="B577">TRANSPOSE((_xlfn._xlws.FILTER(INDEX(ProductosPivot!$C$6:$E$1000,,MATCH($A577,ProductosPivot!$C$5:$E$5,0)),INDEX(ProductosPivot!$C$6:$E$1000,,MATCH($A577,ProductosPivot!$C$5:$E$5,0))&lt;&gt;"","No hay nada")))</f>
        <v>#VALUE!</v>
      </c>
    </row>
    <row r="578" spans="1:2" x14ac:dyDescent="0.3">
      <c r="A578" t="e">
        <f>Tabla27[[#This Row],[Agrupación]]</f>
        <v>#VALUE!</v>
      </c>
      <c r="B578" t="e" cm="1">
        <f t="array" ref="B578">TRANSPOSE((_xlfn._xlws.FILTER(INDEX(ProductosPivot!$C$6:$E$1000,,MATCH($A578,ProductosPivot!$C$5:$E$5,0)),INDEX(ProductosPivot!$C$6:$E$1000,,MATCH($A578,ProductosPivot!$C$5:$E$5,0))&lt;&gt;"","No hay nada")))</f>
        <v>#VALUE!</v>
      </c>
    </row>
    <row r="579" spans="1:2" x14ac:dyDescent="0.3">
      <c r="A579" t="e">
        <f>Tabla27[[#This Row],[Agrupación]]</f>
        <v>#VALUE!</v>
      </c>
      <c r="B579" t="e" cm="1">
        <f t="array" ref="B579">TRANSPOSE((_xlfn._xlws.FILTER(INDEX(ProductosPivot!$C$6:$E$1000,,MATCH($A579,ProductosPivot!$C$5:$E$5,0)),INDEX(ProductosPivot!$C$6:$E$1000,,MATCH($A579,ProductosPivot!$C$5:$E$5,0))&lt;&gt;"","No hay nada")))</f>
        <v>#VALUE!</v>
      </c>
    </row>
    <row r="580" spans="1:2" x14ac:dyDescent="0.3">
      <c r="A580" t="e">
        <f>Tabla27[[#This Row],[Agrupación]]</f>
        <v>#VALUE!</v>
      </c>
      <c r="B580" t="e" cm="1">
        <f t="array" ref="B580">TRANSPOSE((_xlfn._xlws.FILTER(INDEX(ProductosPivot!$C$6:$E$1000,,MATCH($A580,ProductosPivot!$C$5:$E$5,0)),INDEX(ProductosPivot!$C$6:$E$1000,,MATCH($A580,ProductosPivot!$C$5:$E$5,0))&lt;&gt;"","No hay nada")))</f>
        <v>#VALUE!</v>
      </c>
    </row>
    <row r="581" spans="1:2" x14ac:dyDescent="0.3">
      <c r="A581" t="e">
        <f>Tabla27[[#This Row],[Agrupación]]</f>
        <v>#VALUE!</v>
      </c>
      <c r="B581" t="e" cm="1">
        <f t="array" ref="B581">TRANSPOSE((_xlfn._xlws.FILTER(INDEX(ProductosPivot!$C$6:$E$1000,,MATCH($A581,ProductosPivot!$C$5:$E$5,0)),INDEX(ProductosPivot!$C$6:$E$1000,,MATCH($A581,ProductosPivot!$C$5:$E$5,0))&lt;&gt;"","No hay nada")))</f>
        <v>#VALUE!</v>
      </c>
    </row>
    <row r="582" spans="1:2" x14ac:dyDescent="0.3">
      <c r="A582" t="e">
        <f>Tabla27[[#This Row],[Agrupación]]</f>
        <v>#VALUE!</v>
      </c>
      <c r="B582" t="e" cm="1">
        <f t="array" ref="B582">TRANSPOSE((_xlfn._xlws.FILTER(INDEX(ProductosPivot!$C$6:$E$1000,,MATCH($A582,ProductosPivot!$C$5:$E$5,0)),INDEX(ProductosPivot!$C$6:$E$1000,,MATCH($A582,ProductosPivot!$C$5:$E$5,0))&lt;&gt;"","No hay nada")))</f>
        <v>#VALUE!</v>
      </c>
    </row>
    <row r="583" spans="1:2" x14ac:dyDescent="0.3">
      <c r="A583" t="e">
        <f>Tabla27[[#This Row],[Agrupación]]</f>
        <v>#VALUE!</v>
      </c>
      <c r="B583" t="e" cm="1">
        <f t="array" ref="B583">TRANSPOSE((_xlfn._xlws.FILTER(INDEX(ProductosPivot!$C$6:$E$1000,,MATCH($A583,ProductosPivot!$C$5:$E$5,0)),INDEX(ProductosPivot!$C$6:$E$1000,,MATCH($A583,ProductosPivot!$C$5:$E$5,0))&lt;&gt;"","No hay nada")))</f>
        <v>#VALUE!</v>
      </c>
    </row>
    <row r="584" spans="1:2" x14ac:dyDescent="0.3">
      <c r="A584" t="e">
        <f>Tabla27[[#This Row],[Agrupación]]</f>
        <v>#VALUE!</v>
      </c>
      <c r="B584" t="e" cm="1">
        <f t="array" ref="B584">TRANSPOSE((_xlfn._xlws.FILTER(INDEX(ProductosPivot!$C$6:$E$1000,,MATCH($A584,ProductosPivot!$C$5:$E$5,0)),INDEX(ProductosPivot!$C$6:$E$1000,,MATCH($A584,ProductosPivot!$C$5:$E$5,0))&lt;&gt;"","No hay nada")))</f>
        <v>#VALUE!</v>
      </c>
    </row>
    <row r="585" spans="1:2" x14ac:dyDescent="0.3">
      <c r="A585" t="e">
        <f>Tabla27[[#This Row],[Agrupación]]</f>
        <v>#VALUE!</v>
      </c>
      <c r="B585" t="e" cm="1">
        <f t="array" ref="B585">TRANSPOSE((_xlfn._xlws.FILTER(INDEX(ProductosPivot!$C$6:$E$1000,,MATCH($A585,ProductosPivot!$C$5:$E$5,0)),INDEX(ProductosPivot!$C$6:$E$1000,,MATCH($A585,ProductosPivot!$C$5:$E$5,0))&lt;&gt;"","No hay nada")))</f>
        <v>#VALUE!</v>
      </c>
    </row>
    <row r="586" spans="1:2" x14ac:dyDescent="0.3">
      <c r="A586" t="e">
        <f>Tabla27[[#This Row],[Agrupación]]</f>
        <v>#VALUE!</v>
      </c>
      <c r="B586" t="e" cm="1">
        <f t="array" ref="B586">TRANSPOSE((_xlfn._xlws.FILTER(INDEX(ProductosPivot!$C$6:$E$1000,,MATCH($A586,ProductosPivot!$C$5:$E$5,0)),INDEX(ProductosPivot!$C$6:$E$1000,,MATCH($A586,ProductosPivot!$C$5:$E$5,0))&lt;&gt;"","No hay nada")))</f>
        <v>#VALUE!</v>
      </c>
    </row>
    <row r="587" spans="1:2" x14ac:dyDescent="0.3">
      <c r="A587" t="e">
        <f>Tabla27[[#This Row],[Agrupación]]</f>
        <v>#VALUE!</v>
      </c>
      <c r="B587" t="e" cm="1">
        <f t="array" ref="B587">TRANSPOSE((_xlfn._xlws.FILTER(INDEX(ProductosPivot!$C$6:$E$1000,,MATCH($A587,ProductosPivot!$C$5:$E$5,0)),INDEX(ProductosPivot!$C$6:$E$1000,,MATCH($A587,ProductosPivot!$C$5:$E$5,0))&lt;&gt;"","No hay nada")))</f>
        <v>#VALUE!</v>
      </c>
    </row>
    <row r="588" spans="1:2" x14ac:dyDescent="0.3">
      <c r="A588" t="e">
        <f>Tabla27[[#This Row],[Agrupación]]</f>
        <v>#VALUE!</v>
      </c>
      <c r="B588" t="e" cm="1">
        <f t="array" ref="B588">TRANSPOSE((_xlfn._xlws.FILTER(INDEX(ProductosPivot!$C$6:$E$1000,,MATCH($A588,ProductosPivot!$C$5:$E$5,0)),INDEX(ProductosPivot!$C$6:$E$1000,,MATCH($A588,ProductosPivot!$C$5:$E$5,0))&lt;&gt;"","No hay nada")))</f>
        <v>#VALUE!</v>
      </c>
    </row>
    <row r="589" spans="1:2" x14ac:dyDescent="0.3">
      <c r="A589" t="e">
        <f>Tabla27[[#This Row],[Agrupación]]</f>
        <v>#VALUE!</v>
      </c>
      <c r="B589" t="e" cm="1">
        <f t="array" ref="B589">TRANSPOSE((_xlfn._xlws.FILTER(INDEX(ProductosPivot!$C$6:$E$1000,,MATCH($A589,ProductosPivot!$C$5:$E$5,0)),INDEX(ProductosPivot!$C$6:$E$1000,,MATCH($A589,ProductosPivot!$C$5:$E$5,0))&lt;&gt;"","No hay nada")))</f>
        <v>#VALUE!</v>
      </c>
    </row>
    <row r="590" spans="1:2" x14ac:dyDescent="0.3">
      <c r="A590" t="e">
        <f>Tabla27[[#This Row],[Agrupación]]</f>
        <v>#VALUE!</v>
      </c>
      <c r="B590" t="e" cm="1">
        <f t="array" ref="B590">TRANSPOSE((_xlfn._xlws.FILTER(INDEX(ProductosPivot!$C$6:$E$1000,,MATCH($A590,ProductosPivot!$C$5:$E$5,0)),INDEX(ProductosPivot!$C$6:$E$1000,,MATCH($A590,ProductosPivot!$C$5:$E$5,0))&lt;&gt;"","No hay nada")))</f>
        <v>#VALUE!</v>
      </c>
    </row>
    <row r="591" spans="1:2" x14ac:dyDescent="0.3">
      <c r="A591" t="e">
        <f>Tabla27[[#This Row],[Agrupación]]</f>
        <v>#VALUE!</v>
      </c>
      <c r="B591" t="e" cm="1">
        <f t="array" ref="B591">TRANSPOSE((_xlfn._xlws.FILTER(INDEX(ProductosPivot!$C$6:$E$1000,,MATCH($A591,ProductosPivot!$C$5:$E$5,0)),INDEX(ProductosPivot!$C$6:$E$1000,,MATCH($A591,ProductosPivot!$C$5:$E$5,0))&lt;&gt;"","No hay nada")))</f>
        <v>#VALUE!</v>
      </c>
    </row>
    <row r="592" spans="1:2" x14ac:dyDescent="0.3">
      <c r="A592" t="e">
        <f>Tabla27[[#This Row],[Agrupación]]</f>
        <v>#VALUE!</v>
      </c>
      <c r="B592" t="e" cm="1">
        <f t="array" ref="B592">TRANSPOSE((_xlfn._xlws.FILTER(INDEX(ProductosPivot!$C$6:$E$1000,,MATCH($A592,ProductosPivot!$C$5:$E$5,0)),INDEX(ProductosPivot!$C$6:$E$1000,,MATCH($A592,ProductosPivot!$C$5:$E$5,0))&lt;&gt;"","No hay nada")))</f>
        <v>#VALUE!</v>
      </c>
    </row>
    <row r="593" spans="1:2" x14ac:dyDescent="0.3">
      <c r="A593" t="e">
        <f>Tabla27[[#This Row],[Agrupación]]</f>
        <v>#VALUE!</v>
      </c>
      <c r="B593" t="e" cm="1">
        <f t="array" ref="B593">TRANSPOSE((_xlfn._xlws.FILTER(INDEX(ProductosPivot!$C$6:$E$1000,,MATCH($A593,ProductosPivot!$C$5:$E$5,0)),INDEX(ProductosPivot!$C$6:$E$1000,,MATCH($A593,ProductosPivot!$C$5:$E$5,0))&lt;&gt;"","No hay nada")))</f>
        <v>#VALUE!</v>
      </c>
    </row>
    <row r="594" spans="1:2" x14ac:dyDescent="0.3">
      <c r="A594" t="e">
        <f>Tabla27[[#This Row],[Agrupación]]</f>
        <v>#VALUE!</v>
      </c>
      <c r="B594" t="e" cm="1">
        <f t="array" ref="B594">TRANSPOSE((_xlfn._xlws.FILTER(INDEX(ProductosPivot!$C$6:$E$1000,,MATCH($A594,ProductosPivot!$C$5:$E$5,0)),INDEX(ProductosPivot!$C$6:$E$1000,,MATCH($A594,ProductosPivot!$C$5:$E$5,0))&lt;&gt;"","No hay nada")))</f>
        <v>#VALUE!</v>
      </c>
    </row>
    <row r="595" spans="1:2" x14ac:dyDescent="0.3">
      <c r="A595" t="e">
        <f>Tabla27[[#This Row],[Agrupación]]</f>
        <v>#VALUE!</v>
      </c>
      <c r="B595" t="e" cm="1">
        <f t="array" ref="B595">TRANSPOSE((_xlfn._xlws.FILTER(INDEX(ProductosPivot!$C$6:$E$1000,,MATCH($A595,ProductosPivot!$C$5:$E$5,0)),INDEX(ProductosPivot!$C$6:$E$1000,,MATCH($A595,ProductosPivot!$C$5:$E$5,0))&lt;&gt;"","No hay nada")))</f>
        <v>#VALUE!</v>
      </c>
    </row>
    <row r="596" spans="1:2" x14ac:dyDescent="0.3">
      <c r="A596" t="e">
        <f>Tabla27[[#This Row],[Agrupación]]</f>
        <v>#VALUE!</v>
      </c>
      <c r="B596" t="e" cm="1">
        <f t="array" ref="B596">TRANSPOSE((_xlfn._xlws.FILTER(INDEX(ProductosPivot!$C$6:$E$1000,,MATCH($A596,ProductosPivot!$C$5:$E$5,0)),INDEX(ProductosPivot!$C$6:$E$1000,,MATCH($A596,ProductosPivot!$C$5:$E$5,0))&lt;&gt;"","No hay nada")))</f>
        <v>#VALUE!</v>
      </c>
    </row>
    <row r="597" spans="1:2" x14ac:dyDescent="0.3">
      <c r="A597" t="e">
        <f>Tabla27[[#This Row],[Agrupación]]</f>
        <v>#VALUE!</v>
      </c>
      <c r="B597" t="e" cm="1">
        <f t="array" ref="B597">TRANSPOSE((_xlfn._xlws.FILTER(INDEX(ProductosPivot!$C$6:$E$1000,,MATCH($A597,ProductosPivot!$C$5:$E$5,0)),INDEX(ProductosPivot!$C$6:$E$1000,,MATCH($A597,ProductosPivot!$C$5:$E$5,0))&lt;&gt;"","No hay nada")))</f>
        <v>#VALUE!</v>
      </c>
    </row>
    <row r="598" spans="1:2" x14ac:dyDescent="0.3">
      <c r="A598" t="e">
        <f>Tabla27[[#This Row],[Agrupación]]</f>
        <v>#VALUE!</v>
      </c>
      <c r="B598" t="e" cm="1">
        <f t="array" ref="B598">TRANSPOSE((_xlfn._xlws.FILTER(INDEX(ProductosPivot!$C$6:$E$1000,,MATCH($A598,ProductosPivot!$C$5:$E$5,0)),INDEX(ProductosPivot!$C$6:$E$1000,,MATCH($A598,ProductosPivot!$C$5:$E$5,0))&lt;&gt;"","No hay nada")))</f>
        <v>#VALUE!</v>
      </c>
    </row>
    <row r="599" spans="1:2" x14ac:dyDescent="0.3">
      <c r="A599" t="e">
        <f>Tabla27[[#This Row],[Agrupación]]</f>
        <v>#VALUE!</v>
      </c>
      <c r="B599" t="e" cm="1">
        <f t="array" ref="B599">TRANSPOSE((_xlfn._xlws.FILTER(INDEX(ProductosPivot!$C$6:$E$1000,,MATCH($A599,ProductosPivot!$C$5:$E$5,0)),INDEX(ProductosPivot!$C$6:$E$1000,,MATCH($A599,ProductosPivot!$C$5:$E$5,0))&lt;&gt;"","No hay nada")))</f>
        <v>#VALUE!</v>
      </c>
    </row>
    <row r="600" spans="1:2" x14ac:dyDescent="0.3">
      <c r="A600" t="e">
        <f>Tabla27[[#This Row],[Agrupación]]</f>
        <v>#VALUE!</v>
      </c>
      <c r="B600" t="e" cm="1">
        <f t="array" ref="B600">TRANSPOSE((_xlfn._xlws.FILTER(INDEX(ProductosPivot!$C$6:$E$1000,,MATCH($A600,ProductosPivot!$C$5:$E$5,0)),INDEX(ProductosPivot!$C$6:$E$1000,,MATCH($A600,ProductosPivot!$C$5:$E$5,0))&lt;&gt;"","No hay nada")))</f>
        <v>#VALUE!</v>
      </c>
    </row>
    <row r="601" spans="1:2" x14ac:dyDescent="0.3">
      <c r="A601" t="e">
        <f>Tabla27[[#This Row],[Agrupación]]</f>
        <v>#VALUE!</v>
      </c>
      <c r="B601" t="e" cm="1">
        <f t="array" ref="B601">TRANSPOSE((_xlfn._xlws.FILTER(INDEX(ProductosPivot!$C$6:$E$1000,,MATCH($A601,ProductosPivot!$C$5:$E$5,0)),INDEX(ProductosPivot!$C$6:$E$1000,,MATCH($A601,ProductosPivot!$C$5:$E$5,0))&lt;&gt;"","No hay nada")))</f>
        <v>#VALUE!</v>
      </c>
    </row>
    <row r="602" spans="1:2" x14ac:dyDescent="0.3">
      <c r="A602" t="e">
        <f>Tabla27[[#This Row],[Agrupación]]</f>
        <v>#VALUE!</v>
      </c>
      <c r="B602" t="e" cm="1">
        <f t="array" ref="B602">TRANSPOSE((_xlfn._xlws.FILTER(INDEX(ProductosPivot!$C$6:$E$1000,,MATCH($A602,ProductosPivot!$C$5:$E$5,0)),INDEX(ProductosPivot!$C$6:$E$1000,,MATCH($A602,ProductosPivot!$C$5:$E$5,0))&lt;&gt;"","No hay nada")))</f>
        <v>#VALUE!</v>
      </c>
    </row>
    <row r="603" spans="1:2" x14ac:dyDescent="0.3">
      <c r="A603" t="e">
        <f>Tabla27[[#This Row],[Agrupación]]</f>
        <v>#VALUE!</v>
      </c>
      <c r="B603" t="e" cm="1">
        <f t="array" ref="B603">TRANSPOSE((_xlfn._xlws.FILTER(INDEX(ProductosPivot!$C$6:$E$1000,,MATCH($A603,ProductosPivot!$C$5:$E$5,0)),INDEX(ProductosPivot!$C$6:$E$1000,,MATCH($A603,ProductosPivot!$C$5:$E$5,0))&lt;&gt;"","No hay nada")))</f>
        <v>#VALUE!</v>
      </c>
    </row>
    <row r="604" spans="1:2" x14ac:dyDescent="0.3">
      <c r="A604" t="e">
        <f>Tabla27[[#This Row],[Agrupación]]</f>
        <v>#VALUE!</v>
      </c>
      <c r="B604" t="e" cm="1">
        <f t="array" ref="B604">TRANSPOSE((_xlfn._xlws.FILTER(INDEX(ProductosPivot!$C$6:$E$1000,,MATCH($A604,ProductosPivot!$C$5:$E$5,0)),INDEX(ProductosPivot!$C$6:$E$1000,,MATCH($A604,ProductosPivot!$C$5:$E$5,0))&lt;&gt;"","No hay nada")))</f>
        <v>#VALUE!</v>
      </c>
    </row>
    <row r="605" spans="1:2" x14ac:dyDescent="0.3">
      <c r="A605" t="e">
        <f>Tabla27[[#This Row],[Agrupación]]</f>
        <v>#VALUE!</v>
      </c>
      <c r="B605" t="e" cm="1">
        <f t="array" ref="B605">TRANSPOSE((_xlfn._xlws.FILTER(INDEX(ProductosPivot!$C$6:$E$1000,,MATCH($A605,ProductosPivot!$C$5:$E$5,0)),INDEX(ProductosPivot!$C$6:$E$1000,,MATCH($A605,ProductosPivot!$C$5:$E$5,0))&lt;&gt;"","No hay nada")))</f>
        <v>#VALUE!</v>
      </c>
    </row>
    <row r="606" spans="1:2" x14ac:dyDescent="0.3">
      <c r="A606" t="e">
        <f>Tabla27[[#This Row],[Agrupación]]</f>
        <v>#VALUE!</v>
      </c>
      <c r="B606" t="e" cm="1">
        <f t="array" ref="B606">TRANSPOSE((_xlfn._xlws.FILTER(INDEX(ProductosPivot!$C$6:$E$1000,,MATCH($A606,ProductosPivot!$C$5:$E$5,0)),INDEX(ProductosPivot!$C$6:$E$1000,,MATCH($A606,ProductosPivot!$C$5:$E$5,0))&lt;&gt;"","No hay nada")))</f>
        <v>#VALUE!</v>
      </c>
    </row>
    <row r="607" spans="1:2" x14ac:dyDescent="0.3">
      <c r="A607" t="e">
        <f>Tabla27[[#This Row],[Agrupación]]</f>
        <v>#VALUE!</v>
      </c>
      <c r="B607" t="e" cm="1">
        <f t="array" ref="B607">TRANSPOSE((_xlfn._xlws.FILTER(INDEX(ProductosPivot!$C$6:$E$1000,,MATCH($A607,ProductosPivot!$C$5:$E$5,0)),INDEX(ProductosPivot!$C$6:$E$1000,,MATCH($A607,ProductosPivot!$C$5:$E$5,0))&lt;&gt;"","No hay nada")))</f>
        <v>#VALUE!</v>
      </c>
    </row>
    <row r="608" spans="1:2" x14ac:dyDescent="0.3">
      <c r="A608" t="e">
        <f>Tabla27[[#This Row],[Agrupación]]</f>
        <v>#VALUE!</v>
      </c>
      <c r="B608" t="e" cm="1">
        <f t="array" ref="B608">TRANSPOSE((_xlfn._xlws.FILTER(INDEX(ProductosPivot!$C$6:$E$1000,,MATCH($A608,ProductosPivot!$C$5:$E$5,0)),INDEX(ProductosPivot!$C$6:$E$1000,,MATCH($A608,ProductosPivot!$C$5:$E$5,0))&lt;&gt;"","No hay nada")))</f>
        <v>#VALUE!</v>
      </c>
    </row>
    <row r="609" spans="1:2" x14ac:dyDescent="0.3">
      <c r="A609" t="e">
        <f>Tabla27[[#This Row],[Agrupación]]</f>
        <v>#VALUE!</v>
      </c>
      <c r="B609" t="e" cm="1">
        <f t="array" ref="B609">TRANSPOSE((_xlfn._xlws.FILTER(INDEX(ProductosPivot!$C$6:$E$1000,,MATCH($A609,ProductosPivot!$C$5:$E$5,0)),INDEX(ProductosPivot!$C$6:$E$1000,,MATCH($A609,ProductosPivot!$C$5:$E$5,0))&lt;&gt;"","No hay nada")))</f>
        <v>#VALUE!</v>
      </c>
    </row>
    <row r="610" spans="1:2" x14ac:dyDescent="0.3">
      <c r="A610" t="e">
        <f>Tabla27[[#This Row],[Agrupación]]</f>
        <v>#VALUE!</v>
      </c>
      <c r="B610" t="e" cm="1">
        <f t="array" ref="B610">TRANSPOSE((_xlfn._xlws.FILTER(INDEX(ProductosPivot!$C$6:$E$1000,,MATCH($A610,ProductosPivot!$C$5:$E$5,0)),INDEX(ProductosPivot!$C$6:$E$1000,,MATCH($A610,ProductosPivot!$C$5:$E$5,0))&lt;&gt;"","No hay nada")))</f>
        <v>#VALUE!</v>
      </c>
    </row>
    <row r="611" spans="1:2" x14ac:dyDescent="0.3">
      <c r="A611" t="e">
        <f>Tabla27[[#This Row],[Agrupación]]</f>
        <v>#VALUE!</v>
      </c>
      <c r="B611" t="e" cm="1">
        <f t="array" ref="B611">TRANSPOSE((_xlfn._xlws.FILTER(INDEX(ProductosPivot!$C$6:$E$1000,,MATCH($A611,ProductosPivot!$C$5:$E$5,0)),INDEX(ProductosPivot!$C$6:$E$1000,,MATCH($A611,ProductosPivot!$C$5:$E$5,0))&lt;&gt;"","No hay nada")))</f>
        <v>#VALUE!</v>
      </c>
    </row>
    <row r="612" spans="1:2" x14ac:dyDescent="0.3">
      <c r="A612" t="e">
        <f>Tabla27[[#This Row],[Agrupación]]</f>
        <v>#VALUE!</v>
      </c>
      <c r="B612" t="e" cm="1">
        <f t="array" ref="B612">TRANSPOSE((_xlfn._xlws.FILTER(INDEX(ProductosPivot!$C$6:$E$1000,,MATCH($A612,ProductosPivot!$C$5:$E$5,0)),INDEX(ProductosPivot!$C$6:$E$1000,,MATCH($A612,ProductosPivot!$C$5:$E$5,0))&lt;&gt;"","No hay nada")))</f>
        <v>#VALUE!</v>
      </c>
    </row>
    <row r="613" spans="1:2" x14ac:dyDescent="0.3">
      <c r="A613" t="e">
        <f>Tabla27[[#This Row],[Agrupación]]</f>
        <v>#VALUE!</v>
      </c>
      <c r="B613" t="e" cm="1">
        <f t="array" ref="B613">TRANSPOSE((_xlfn._xlws.FILTER(INDEX(ProductosPivot!$C$6:$E$1000,,MATCH($A613,ProductosPivot!$C$5:$E$5,0)),INDEX(ProductosPivot!$C$6:$E$1000,,MATCH($A613,ProductosPivot!$C$5:$E$5,0))&lt;&gt;"","No hay nada")))</f>
        <v>#VALUE!</v>
      </c>
    </row>
    <row r="614" spans="1:2" x14ac:dyDescent="0.3">
      <c r="A614" t="e">
        <f>Tabla27[[#This Row],[Agrupación]]</f>
        <v>#VALUE!</v>
      </c>
      <c r="B614" t="e" cm="1">
        <f t="array" ref="B614">TRANSPOSE((_xlfn._xlws.FILTER(INDEX(ProductosPivot!$C$6:$E$1000,,MATCH($A614,ProductosPivot!$C$5:$E$5,0)),INDEX(ProductosPivot!$C$6:$E$1000,,MATCH($A614,ProductosPivot!$C$5:$E$5,0))&lt;&gt;"","No hay nada")))</f>
        <v>#VALUE!</v>
      </c>
    </row>
    <row r="615" spans="1:2" x14ac:dyDescent="0.3">
      <c r="A615" t="e">
        <f>Tabla27[[#This Row],[Agrupación]]</f>
        <v>#VALUE!</v>
      </c>
      <c r="B615" t="e" cm="1">
        <f t="array" ref="B615">TRANSPOSE((_xlfn._xlws.FILTER(INDEX(ProductosPivot!$C$6:$E$1000,,MATCH($A615,ProductosPivot!$C$5:$E$5,0)),INDEX(ProductosPivot!$C$6:$E$1000,,MATCH($A615,ProductosPivot!$C$5:$E$5,0))&lt;&gt;"","No hay nada")))</f>
        <v>#VALUE!</v>
      </c>
    </row>
    <row r="616" spans="1:2" x14ac:dyDescent="0.3">
      <c r="A616" t="e">
        <f>Tabla27[[#This Row],[Agrupación]]</f>
        <v>#VALUE!</v>
      </c>
      <c r="B616" t="e" cm="1">
        <f t="array" ref="B616">TRANSPOSE((_xlfn._xlws.FILTER(INDEX(ProductosPivot!$C$6:$E$1000,,MATCH($A616,ProductosPivot!$C$5:$E$5,0)),INDEX(ProductosPivot!$C$6:$E$1000,,MATCH($A616,ProductosPivot!$C$5:$E$5,0))&lt;&gt;"","No hay nada")))</f>
        <v>#VALUE!</v>
      </c>
    </row>
    <row r="617" spans="1:2" x14ac:dyDescent="0.3">
      <c r="A617" t="e">
        <f>Tabla27[[#This Row],[Agrupación]]</f>
        <v>#VALUE!</v>
      </c>
      <c r="B617" t="e" cm="1">
        <f t="array" ref="B617">TRANSPOSE((_xlfn._xlws.FILTER(INDEX(ProductosPivot!$C$6:$E$1000,,MATCH($A617,ProductosPivot!$C$5:$E$5,0)),INDEX(ProductosPivot!$C$6:$E$1000,,MATCH($A617,ProductosPivot!$C$5:$E$5,0))&lt;&gt;"","No hay nada")))</f>
        <v>#VALUE!</v>
      </c>
    </row>
    <row r="618" spans="1:2" x14ac:dyDescent="0.3">
      <c r="A618" t="e">
        <f>Tabla27[[#This Row],[Agrupación]]</f>
        <v>#VALUE!</v>
      </c>
      <c r="B618" t="e" cm="1">
        <f t="array" ref="B618">TRANSPOSE((_xlfn._xlws.FILTER(INDEX(ProductosPivot!$C$6:$E$1000,,MATCH($A618,ProductosPivot!$C$5:$E$5,0)),INDEX(ProductosPivot!$C$6:$E$1000,,MATCH($A618,ProductosPivot!$C$5:$E$5,0))&lt;&gt;"","No hay nada")))</f>
        <v>#VALUE!</v>
      </c>
    </row>
    <row r="619" spans="1:2" x14ac:dyDescent="0.3">
      <c r="A619" t="e">
        <f>Tabla27[[#This Row],[Agrupación]]</f>
        <v>#VALUE!</v>
      </c>
      <c r="B619" t="e" cm="1">
        <f t="array" ref="B619">TRANSPOSE((_xlfn._xlws.FILTER(INDEX(ProductosPivot!$C$6:$E$1000,,MATCH($A619,ProductosPivot!$C$5:$E$5,0)),INDEX(ProductosPivot!$C$6:$E$1000,,MATCH($A619,ProductosPivot!$C$5:$E$5,0))&lt;&gt;"","No hay nada")))</f>
        <v>#VALUE!</v>
      </c>
    </row>
    <row r="620" spans="1:2" x14ac:dyDescent="0.3">
      <c r="A620" t="e">
        <f>Tabla27[[#This Row],[Agrupación]]</f>
        <v>#VALUE!</v>
      </c>
      <c r="B620" t="e" cm="1">
        <f t="array" ref="B620">TRANSPOSE((_xlfn._xlws.FILTER(INDEX(ProductosPivot!$C$6:$E$1000,,MATCH($A620,ProductosPivot!$C$5:$E$5,0)),INDEX(ProductosPivot!$C$6:$E$1000,,MATCH($A620,ProductosPivot!$C$5:$E$5,0))&lt;&gt;"","No hay nada")))</f>
        <v>#VALUE!</v>
      </c>
    </row>
    <row r="621" spans="1:2" x14ac:dyDescent="0.3">
      <c r="A621" t="e">
        <f>Tabla27[[#This Row],[Agrupación]]</f>
        <v>#VALUE!</v>
      </c>
      <c r="B621" t="e" cm="1">
        <f t="array" ref="B621">TRANSPOSE((_xlfn._xlws.FILTER(INDEX(ProductosPivot!$C$6:$E$1000,,MATCH($A621,ProductosPivot!$C$5:$E$5,0)),INDEX(ProductosPivot!$C$6:$E$1000,,MATCH($A621,ProductosPivot!$C$5:$E$5,0))&lt;&gt;"","No hay nada")))</f>
        <v>#VALUE!</v>
      </c>
    </row>
    <row r="622" spans="1:2" x14ac:dyDescent="0.3">
      <c r="A622" t="e">
        <f>Tabla27[[#This Row],[Agrupación]]</f>
        <v>#VALUE!</v>
      </c>
      <c r="B622" t="e" cm="1">
        <f t="array" ref="B622">TRANSPOSE((_xlfn._xlws.FILTER(INDEX(ProductosPivot!$C$6:$E$1000,,MATCH($A622,ProductosPivot!$C$5:$E$5,0)),INDEX(ProductosPivot!$C$6:$E$1000,,MATCH($A622,ProductosPivot!$C$5:$E$5,0))&lt;&gt;"","No hay nada")))</f>
        <v>#VALUE!</v>
      </c>
    </row>
    <row r="623" spans="1:2" x14ac:dyDescent="0.3">
      <c r="A623" t="e">
        <f>Tabla27[[#This Row],[Agrupación]]</f>
        <v>#VALUE!</v>
      </c>
      <c r="B623" t="e" cm="1">
        <f t="array" ref="B623">TRANSPOSE((_xlfn._xlws.FILTER(INDEX(ProductosPivot!$C$6:$E$1000,,MATCH($A623,ProductosPivot!$C$5:$E$5,0)),INDEX(ProductosPivot!$C$6:$E$1000,,MATCH($A623,ProductosPivot!$C$5:$E$5,0))&lt;&gt;"","No hay nada")))</f>
        <v>#VALUE!</v>
      </c>
    </row>
    <row r="624" spans="1:2" x14ac:dyDescent="0.3">
      <c r="A624" t="e">
        <f>Tabla27[[#This Row],[Agrupación]]</f>
        <v>#VALUE!</v>
      </c>
      <c r="B624" t="e" cm="1">
        <f t="array" ref="B624">TRANSPOSE((_xlfn._xlws.FILTER(INDEX(ProductosPivot!$C$6:$E$1000,,MATCH($A624,ProductosPivot!$C$5:$E$5,0)),INDEX(ProductosPivot!$C$6:$E$1000,,MATCH($A624,ProductosPivot!$C$5:$E$5,0))&lt;&gt;"","No hay nada")))</f>
        <v>#VALUE!</v>
      </c>
    </row>
    <row r="625" spans="1:2" x14ac:dyDescent="0.3">
      <c r="A625" t="e">
        <f>Tabla27[[#This Row],[Agrupación]]</f>
        <v>#VALUE!</v>
      </c>
      <c r="B625" t="e" cm="1">
        <f t="array" ref="B625">TRANSPOSE((_xlfn._xlws.FILTER(INDEX(ProductosPivot!$C$6:$E$1000,,MATCH($A625,ProductosPivot!$C$5:$E$5,0)),INDEX(ProductosPivot!$C$6:$E$1000,,MATCH($A625,ProductosPivot!$C$5:$E$5,0))&lt;&gt;"","No hay nada")))</f>
        <v>#VALUE!</v>
      </c>
    </row>
    <row r="626" spans="1:2" x14ac:dyDescent="0.3">
      <c r="A626" t="e">
        <f>Tabla27[[#This Row],[Agrupación]]</f>
        <v>#VALUE!</v>
      </c>
      <c r="B626" t="e" cm="1">
        <f t="array" ref="B626">TRANSPOSE((_xlfn._xlws.FILTER(INDEX(ProductosPivot!$C$6:$E$1000,,MATCH($A626,ProductosPivot!$C$5:$E$5,0)),INDEX(ProductosPivot!$C$6:$E$1000,,MATCH($A626,ProductosPivot!$C$5:$E$5,0))&lt;&gt;"","No hay nada")))</f>
        <v>#VALUE!</v>
      </c>
    </row>
    <row r="627" spans="1:2" x14ac:dyDescent="0.3">
      <c r="A627" t="e">
        <f>Tabla27[[#This Row],[Agrupación]]</f>
        <v>#VALUE!</v>
      </c>
      <c r="B627" t="e" cm="1">
        <f t="array" ref="B627">TRANSPOSE((_xlfn._xlws.FILTER(INDEX(ProductosPivot!$C$6:$E$1000,,MATCH($A627,ProductosPivot!$C$5:$E$5,0)),INDEX(ProductosPivot!$C$6:$E$1000,,MATCH($A627,ProductosPivot!$C$5:$E$5,0))&lt;&gt;"","No hay nada")))</f>
        <v>#VALUE!</v>
      </c>
    </row>
    <row r="628" spans="1:2" x14ac:dyDescent="0.3">
      <c r="A628" t="e">
        <f>Tabla27[[#This Row],[Agrupación]]</f>
        <v>#VALUE!</v>
      </c>
      <c r="B628" t="e" cm="1">
        <f t="array" ref="B628">TRANSPOSE((_xlfn._xlws.FILTER(INDEX(ProductosPivot!$C$6:$E$1000,,MATCH($A628,ProductosPivot!$C$5:$E$5,0)),INDEX(ProductosPivot!$C$6:$E$1000,,MATCH($A628,ProductosPivot!$C$5:$E$5,0))&lt;&gt;"","No hay nada")))</f>
        <v>#VALUE!</v>
      </c>
    </row>
    <row r="629" spans="1:2" x14ac:dyDescent="0.3">
      <c r="A629" t="e">
        <f>Tabla27[[#This Row],[Agrupación]]</f>
        <v>#VALUE!</v>
      </c>
      <c r="B629" t="e" cm="1">
        <f t="array" ref="B629">TRANSPOSE((_xlfn._xlws.FILTER(INDEX(ProductosPivot!$C$6:$E$1000,,MATCH($A629,ProductosPivot!$C$5:$E$5,0)),INDEX(ProductosPivot!$C$6:$E$1000,,MATCH($A629,ProductosPivot!$C$5:$E$5,0))&lt;&gt;"","No hay nada")))</f>
        <v>#VALUE!</v>
      </c>
    </row>
    <row r="630" spans="1:2" x14ac:dyDescent="0.3">
      <c r="A630" t="e">
        <f>Tabla27[[#This Row],[Agrupación]]</f>
        <v>#VALUE!</v>
      </c>
      <c r="B630" t="e" cm="1">
        <f t="array" ref="B630">TRANSPOSE((_xlfn._xlws.FILTER(INDEX(ProductosPivot!$C$6:$E$1000,,MATCH($A630,ProductosPivot!$C$5:$E$5,0)),INDEX(ProductosPivot!$C$6:$E$1000,,MATCH($A630,ProductosPivot!$C$5:$E$5,0))&lt;&gt;"","No hay nada")))</f>
        <v>#VALUE!</v>
      </c>
    </row>
    <row r="631" spans="1:2" x14ac:dyDescent="0.3">
      <c r="A631" t="e">
        <f>Tabla27[[#This Row],[Agrupación]]</f>
        <v>#VALUE!</v>
      </c>
      <c r="B631" t="e" cm="1">
        <f t="array" ref="B631">TRANSPOSE((_xlfn._xlws.FILTER(INDEX(ProductosPivot!$C$6:$E$1000,,MATCH($A631,ProductosPivot!$C$5:$E$5,0)),INDEX(ProductosPivot!$C$6:$E$1000,,MATCH($A631,ProductosPivot!$C$5:$E$5,0))&lt;&gt;"","No hay nada")))</f>
        <v>#VALUE!</v>
      </c>
    </row>
    <row r="632" spans="1:2" x14ac:dyDescent="0.3">
      <c r="A632" t="e">
        <f>Tabla27[[#This Row],[Agrupación]]</f>
        <v>#VALUE!</v>
      </c>
      <c r="B632" t="e" cm="1">
        <f t="array" ref="B632">TRANSPOSE((_xlfn._xlws.FILTER(INDEX(ProductosPivot!$C$6:$E$1000,,MATCH($A632,ProductosPivot!$C$5:$E$5,0)),INDEX(ProductosPivot!$C$6:$E$1000,,MATCH($A632,ProductosPivot!$C$5:$E$5,0))&lt;&gt;"","No hay nada")))</f>
        <v>#VALUE!</v>
      </c>
    </row>
    <row r="633" spans="1:2" x14ac:dyDescent="0.3">
      <c r="A633" t="e">
        <f>Tabla27[[#This Row],[Agrupación]]</f>
        <v>#VALUE!</v>
      </c>
      <c r="B633" t="e" cm="1">
        <f t="array" ref="B633">TRANSPOSE((_xlfn._xlws.FILTER(INDEX(ProductosPivot!$C$6:$E$1000,,MATCH($A633,ProductosPivot!$C$5:$E$5,0)),INDEX(ProductosPivot!$C$6:$E$1000,,MATCH($A633,ProductosPivot!$C$5:$E$5,0))&lt;&gt;"","No hay nada")))</f>
        <v>#VALUE!</v>
      </c>
    </row>
    <row r="634" spans="1:2" x14ac:dyDescent="0.3">
      <c r="A634" t="e">
        <f>Tabla27[[#This Row],[Agrupación]]</f>
        <v>#VALUE!</v>
      </c>
      <c r="B634" t="e" cm="1">
        <f t="array" ref="B634">TRANSPOSE((_xlfn._xlws.FILTER(INDEX(ProductosPivot!$C$6:$E$1000,,MATCH($A634,ProductosPivot!$C$5:$E$5,0)),INDEX(ProductosPivot!$C$6:$E$1000,,MATCH($A634,ProductosPivot!$C$5:$E$5,0))&lt;&gt;"","No hay nada")))</f>
        <v>#VALUE!</v>
      </c>
    </row>
    <row r="635" spans="1:2" x14ac:dyDescent="0.3">
      <c r="A635" t="e">
        <f>Tabla27[[#This Row],[Agrupación]]</f>
        <v>#VALUE!</v>
      </c>
      <c r="B635" t="e" cm="1">
        <f t="array" ref="B635">TRANSPOSE((_xlfn._xlws.FILTER(INDEX(ProductosPivot!$C$6:$E$1000,,MATCH($A635,ProductosPivot!$C$5:$E$5,0)),INDEX(ProductosPivot!$C$6:$E$1000,,MATCH($A635,ProductosPivot!$C$5:$E$5,0))&lt;&gt;"","No hay nada")))</f>
        <v>#VALUE!</v>
      </c>
    </row>
    <row r="636" spans="1:2" x14ac:dyDescent="0.3">
      <c r="A636" t="e">
        <f>Tabla27[[#This Row],[Agrupación]]</f>
        <v>#VALUE!</v>
      </c>
      <c r="B636" t="e" cm="1">
        <f t="array" ref="B636">TRANSPOSE((_xlfn._xlws.FILTER(INDEX(ProductosPivot!$C$6:$E$1000,,MATCH($A636,ProductosPivot!$C$5:$E$5,0)),INDEX(ProductosPivot!$C$6:$E$1000,,MATCH($A636,ProductosPivot!$C$5:$E$5,0))&lt;&gt;"","No hay nada")))</f>
        <v>#VALUE!</v>
      </c>
    </row>
    <row r="637" spans="1:2" x14ac:dyDescent="0.3">
      <c r="A637" t="e">
        <f>Tabla27[[#This Row],[Agrupación]]</f>
        <v>#VALUE!</v>
      </c>
      <c r="B637" t="e" cm="1">
        <f t="array" ref="B637">TRANSPOSE((_xlfn._xlws.FILTER(INDEX(ProductosPivot!$C$6:$E$1000,,MATCH($A637,ProductosPivot!$C$5:$E$5,0)),INDEX(ProductosPivot!$C$6:$E$1000,,MATCH($A637,ProductosPivot!$C$5:$E$5,0))&lt;&gt;"","No hay nada")))</f>
        <v>#VALUE!</v>
      </c>
    </row>
    <row r="638" spans="1:2" x14ac:dyDescent="0.3">
      <c r="A638" t="e">
        <f>Tabla27[[#This Row],[Agrupación]]</f>
        <v>#VALUE!</v>
      </c>
      <c r="B638" t="e" cm="1">
        <f t="array" ref="B638">TRANSPOSE((_xlfn._xlws.FILTER(INDEX(ProductosPivot!$C$6:$E$1000,,MATCH($A638,ProductosPivot!$C$5:$E$5,0)),INDEX(ProductosPivot!$C$6:$E$1000,,MATCH($A638,ProductosPivot!$C$5:$E$5,0))&lt;&gt;"","No hay nada")))</f>
        <v>#VALUE!</v>
      </c>
    </row>
    <row r="639" spans="1:2" x14ac:dyDescent="0.3">
      <c r="A639" t="e">
        <f>Tabla27[[#This Row],[Agrupación]]</f>
        <v>#VALUE!</v>
      </c>
      <c r="B639" t="e" cm="1">
        <f t="array" ref="B639">TRANSPOSE((_xlfn._xlws.FILTER(INDEX(ProductosPivot!$C$6:$E$1000,,MATCH($A639,ProductosPivot!$C$5:$E$5,0)),INDEX(ProductosPivot!$C$6:$E$1000,,MATCH($A639,ProductosPivot!$C$5:$E$5,0))&lt;&gt;"","No hay nada")))</f>
        <v>#VALUE!</v>
      </c>
    </row>
    <row r="640" spans="1:2" x14ac:dyDescent="0.3">
      <c r="A640" t="e">
        <f>Tabla27[[#This Row],[Agrupación]]</f>
        <v>#VALUE!</v>
      </c>
      <c r="B640" t="e" cm="1">
        <f t="array" ref="B640">TRANSPOSE((_xlfn._xlws.FILTER(INDEX(ProductosPivot!$C$6:$E$1000,,MATCH($A640,ProductosPivot!$C$5:$E$5,0)),INDEX(ProductosPivot!$C$6:$E$1000,,MATCH($A640,ProductosPivot!$C$5:$E$5,0))&lt;&gt;"","No hay nada")))</f>
        <v>#VALUE!</v>
      </c>
    </row>
    <row r="641" spans="1:2" x14ac:dyDescent="0.3">
      <c r="A641" t="e">
        <f>Tabla27[[#This Row],[Agrupación]]</f>
        <v>#VALUE!</v>
      </c>
      <c r="B641" t="e" cm="1">
        <f t="array" ref="B641">TRANSPOSE((_xlfn._xlws.FILTER(INDEX(ProductosPivot!$C$6:$E$1000,,MATCH($A641,ProductosPivot!$C$5:$E$5,0)),INDEX(ProductosPivot!$C$6:$E$1000,,MATCH($A641,ProductosPivot!$C$5:$E$5,0))&lt;&gt;"","No hay nada")))</f>
        <v>#VALUE!</v>
      </c>
    </row>
    <row r="642" spans="1:2" x14ac:dyDescent="0.3">
      <c r="A642" t="e">
        <f>Tabla27[[#This Row],[Agrupación]]</f>
        <v>#VALUE!</v>
      </c>
      <c r="B642" t="e" cm="1">
        <f t="array" ref="B642">TRANSPOSE((_xlfn._xlws.FILTER(INDEX(ProductosPivot!$C$6:$E$1000,,MATCH($A642,ProductosPivot!$C$5:$E$5,0)),INDEX(ProductosPivot!$C$6:$E$1000,,MATCH($A642,ProductosPivot!$C$5:$E$5,0))&lt;&gt;"","No hay nada")))</f>
        <v>#VALUE!</v>
      </c>
    </row>
    <row r="643" spans="1:2" x14ac:dyDescent="0.3">
      <c r="A643" t="e">
        <f>Tabla27[[#This Row],[Agrupación]]</f>
        <v>#VALUE!</v>
      </c>
      <c r="B643" t="e" cm="1">
        <f t="array" ref="B643">TRANSPOSE((_xlfn._xlws.FILTER(INDEX(ProductosPivot!$C$6:$E$1000,,MATCH($A643,ProductosPivot!$C$5:$E$5,0)),INDEX(ProductosPivot!$C$6:$E$1000,,MATCH($A643,ProductosPivot!$C$5:$E$5,0))&lt;&gt;"","No hay nada")))</f>
        <v>#VALUE!</v>
      </c>
    </row>
    <row r="644" spans="1:2" x14ac:dyDescent="0.3">
      <c r="A644" t="e">
        <f>Tabla27[[#This Row],[Agrupación]]</f>
        <v>#VALUE!</v>
      </c>
      <c r="B644" t="e" cm="1">
        <f t="array" ref="B644">TRANSPOSE((_xlfn._xlws.FILTER(INDEX(ProductosPivot!$C$6:$E$1000,,MATCH($A644,ProductosPivot!$C$5:$E$5,0)),INDEX(ProductosPivot!$C$6:$E$1000,,MATCH($A644,ProductosPivot!$C$5:$E$5,0))&lt;&gt;"","No hay nada")))</f>
        <v>#VALUE!</v>
      </c>
    </row>
    <row r="645" spans="1:2" x14ac:dyDescent="0.3">
      <c r="A645" t="e">
        <f>Tabla27[[#This Row],[Agrupación]]</f>
        <v>#VALUE!</v>
      </c>
      <c r="B645" t="e" cm="1">
        <f t="array" ref="B645">TRANSPOSE((_xlfn._xlws.FILTER(INDEX(ProductosPivot!$C$6:$E$1000,,MATCH($A645,ProductosPivot!$C$5:$E$5,0)),INDEX(ProductosPivot!$C$6:$E$1000,,MATCH($A645,ProductosPivot!$C$5:$E$5,0))&lt;&gt;"","No hay nada")))</f>
        <v>#VALUE!</v>
      </c>
    </row>
    <row r="646" spans="1:2" x14ac:dyDescent="0.3">
      <c r="A646" t="e">
        <f>Tabla27[[#This Row],[Agrupación]]</f>
        <v>#VALUE!</v>
      </c>
      <c r="B646" t="e" cm="1">
        <f t="array" ref="B646">TRANSPOSE((_xlfn._xlws.FILTER(INDEX(ProductosPivot!$C$6:$E$1000,,MATCH($A646,ProductosPivot!$C$5:$E$5,0)),INDEX(ProductosPivot!$C$6:$E$1000,,MATCH($A646,ProductosPivot!$C$5:$E$5,0))&lt;&gt;"","No hay nada")))</f>
        <v>#VALUE!</v>
      </c>
    </row>
    <row r="647" spans="1:2" x14ac:dyDescent="0.3">
      <c r="A647" t="e">
        <f>Tabla27[[#This Row],[Agrupación]]</f>
        <v>#VALUE!</v>
      </c>
      <c r="B647" t="e" cm="1">
        <f t="array" ref="B647">TRANSPOSE((_xlfn._xlws.FILTER(INDEX(ProductosPivot!$C$6:$E$1000,,MATCH($A647,ProductosPivot!$C$5:$E$5,0)),INDEX(ProductosPivot!$C$6:$E$1000,,MATCH($A647,ProductosPivot!$C$5:$E$5,0))&lt;&gt;"","No hay nada")))</f>
        <v>#VALUE!</v>
      </c>
    </row>
    <row r="648" spans="1:2" x14ac:dyDescent="0.3">
      <c r="A648" t="e">
        <f>Tabla27[[#This Row],[Agrupación]]</f>
        <v>#VALUE!</v>
      </c>
      <c r="B648" t="e" cm="1">
        <f t="array" ref="B648">TRANSPOSE((_xlfn._xlws.FILTER(INDEX(ProductosPivot!$C$6:$E$1000,,MATCH($A648,ProductosPivot!$C$5:$E$5,0)),INDEX(ProductosPivot!$C$6:$E$1000,,MATCH($A648,ProductosPivot!$C$5:$E$5,0))&lt;&gt;"","No hay nada")))</f>
        <v>#VALUE!</v>
      </c>
    </row>
    <row r="649" spans="1:2" x14ac:dyDescent="0.3">
      <c r="A649" t="e">
        <f>Tabla27[[#This Row],[Agrupación]]</f>
        <v>#VALUE!</v>
      </c>
      <c r="B649" t="e" cm="1">
        <f t="array" ref="B649">TRANSPOSE((_xlfn._xlws.FILTER(INDEX(ProductosPivot!$C$6:$E$1000,,MATCH($A649,ProductosPivot!$C$5:$E$5,0)),INDEX(ProductosPivot!$C$6:$E$1000,,MATCH($A649,ProductosPivot!$C$5:$E$5,0))&lt;&gt;"","No hay nada")))</f>
        <v>#VALUE!</v>
      </c>
    </row>
    <row r="650" spans="1:2" x14ac:dyDescent="0.3">
      <c r="A650" t="e">
        <f>Tabla27[[#This Row],[Agrupación]]</f>
        <v>#VALUE!</v>
      </c>
      <c r="B650" t="e" cm="1">
        <f t="array" ref="B650">TRANSPOSE((_xlfn._xlws.FILTER(INDEX(ProductosPivot!$C$6:$E$1000,,MATCH($A650,ProductosPivot!$C$5:$E$5,0)),INDEX(ProductosPivot!$C$6:$E$1000,,MATCH($A650,ProductosPivot!$C$5:$E$5,0))&lt;&gt;"","No hay nada")))</f>
        <v>#VALUE!</v>
      </c>
    </row>
    <row r="651" spans="1:2" x14ac:dyDescent="0.3">
      <c r="A651" t="e">
        <f>Tabla27[[#This Row],[Agrupación]]</f>
        <v>#VALUE!</v>
      </c>
      <c r="B651" t="e" cm="1">
        <f t="array" ref="B651">TRANSPOSE((_xlfn._xlws.FILTER(INDEX(ProductosPivot!$C$6:$E$1000,,MATCH($A651,ProductosPivot!$C$5:$E$5,0)),INDEX(ProductosPivot!$C$6:$E$1000,,MATCH($A651,ProductosPivot!$C$5:$E$5,0))&lt;&gt;"","No hay nada")))</f>
        <v>#VALUE!</v>
      </c>
    </row>
    <row r="652" spans="1:2" x14ac:dyDescent="0.3">
      <c r="A652" t="e">
        <f>Tabla27[[#This Row],[Agrupación]]</f>
        <v>#VALUE!</v>
      </c>
      <c r="B652" t="e" cm="1">
        <f t="array" ref="B652">TRANSPOSE((_xlfn._xlws.FILTER(INDEX(ProductosPivot!$C$6:$E$1000,,MATCH($A652,ProductosPivot!$C$5:$E$5,0)),INDEX(ProductosPivot!$C$6:$E$1000,,MATCH($A652,ProductosPivot!$C$5:$E$5,0))&lt;&gt;"","No hay nada")))</f>
        <v>#VALUE!</v>
      </c>
    </row>
    <row r="653" spans="1:2" x14ac:dyDescent="0.3">
      <c r="A653" t="e">
        <f>Tabla27[[#This Row],[Agrupación]]</f>
        <v>#VALUE!</v>
      </c>
      <c r="B653" t="e" cm="1">
        <f t="array" ref="B653">TRANSPOSE((_xlfn._xlws.FILTER(INDEX(ProductosPivot!$C$6:$E$1000,,MATCH($A653,ProductosPivot!$C$5:$E$5,0)),INDEX(ProductosPivot!$C$6:$E$1000,,MATCH($A653,ProductosPivot!$C$5:$E$5,0))&lt;&gt;"","No hay nada")))</f>
        <v>#VALUE!</v>
      </c>
    </row>
    <row r="654" spans="1:2" x14ac:dyDescent="0.3">
      <c r="A654" t="e">
        <f>Tabla27[[#This Row],[Agrupación]]</f>
        <v>#VALUE!</v>
      </c>
      <c r="B654" t="e" cm="1">
        <f t="array" ref="B654">TRANSPOSE((_xlfn._xlws.FILTER(INDEX(ProductosPivot!$C$6:$E$1000,,MATCH($A654,ProductosPivot!$C$5:$E$5,0)),INDEX(ProductosPivot!$C$6:$E$1000,,MATCH($A654,ProductosPivot!$C$5:$E$5,0))&lt;&gt;"","No hay nada")))</f>
        <v>#VALUE!</v>
      </c>
    </row>
    <row r="655" spans="1:2" x14ac:dyDescent="0.3">
      <c r="A655" t="e">
        <f>Tabla27[[#This Row],[Agrupación]]</f>
        <v>#VALUE!</v>
      </c>
      <c r="B655" t="e" cm="1">
        <f t="array" ref="B655">TRANSPOSE((_xlfn._xlws.FILTER(INDEX(ProductosPivot!$C$6:$E$1000,,MATCH($A655,ProductosPivot!$C$5:$E$5,0)),INDEX(ProductosPivot!$C$6:$E$1000,,MATCH($A655,ProductosPivot!$C$5:$E$5,0))&lt;&gt;"","No hay nada")))</f>
        <v>#VALUE!</v>
      </c>
    </row>
    <row r="656" spans="1:2" x14ac:dyDescent="0.3">
      <c r="A656" t="e">
        <f>Tabla27[[#This Row],[Agrupación]]</f>
        <v>#VALUE!</v>
      </c>
      <c r="B656" t="e" cm="1">
        <f t="array" ref="B656">TRANSPOSE((_xlfn._xlws.FILTER(INDEX(ProductosPivot!$C$6:$E$1000,,MATCH($A656,ProductosPivot!$C$5:$E$5,0)),INDEX(ProductosPivot!$C$6:$E$1000,,MATCH($A656,ProductosPivot!$C$5:$E$5,0))&lt;&gt;"","No hay nada")))</f>
        <v>#VALUE!</v>
      </c>
    </row>
    <row r="657" spans="1:2" x14ac:dyDescent="0.3">
      <c r="A657" t="e">
        <f>Tabla27[[#This Row],[Agrupación]]</f>
        <v>#VALUE!</v>
      </c>
      <c r="B657" t="e" cm="1">
        <f t="array" ref="B657">TRANSPOSE((_xlfn._xlws.FILTER(INDEX(ProductosPivot!$C$6:$E$1000,,MATCH($A657,ProductosPivot!$C$5:$E$5,0)),INDEX(ProductosPivot!$C$6:$E$1000,,MATCH($A657,ProductosPivot!$C$5:$E$5,0))&lt;&gt;"","No hay nada")))</f>
        <v>#VALUE!</v>
      </c>
    </row>
    <row r="658" spans="1:2" x14ac:dyDescent="0.3">
      <c r="A658" t="e">
        <f>Tabla27[[#This Row],[Agrupación]]</f>
        <v>#VALUE!</v>
      </c>
      <c r="B658" t="e" cm="1">
        <f t="array" ref="B658">TRANSPOSE((_xlfn._xlws.FILTER(INDEX(ProductosPivot!$C$6:$E$1000,,MATCH($A658,ProductosPivot!$C$5:$E$5,0)),INDEX(ProductosPivot!$C$6:$E$1000,,MATCH($A658,ProductosPivot!$C$5:$E$5,0))&lt;&gt;"","No hay nada")))</f>
        <v>#VALUE!</v>
      </c>
    </row>
    <row r="659" spans="1:2" x14ac:dyDescent="0.3">
      <c r="A659" t="e">
        <f>Tabla27[[#This Row],[Agrupación]]</f>
        <v>#VALUE!</v>
      </c>
      <c r="B659" t="e" cm="1">
        <f t="array" ref="B659">TRANSPOSE((_xlfn._xlws.FILTER(INDEX(ProductosPivot!$C$6:$E$1000,,MATCH($A659,ProductosPivot!$C$5:$E$5,0)),INDEX(ProductosPivot!$C$6:$E$1000,,MATCH($A659,ProductosPivot!$C$5:$E$5,0))&lt;&gt;"","No hay nada")))</f>
        <v>#VALUE!</v>
      </c>
    </row>
    <row r="660" spans="1:2" x14ac:dyDescent="0.3">
      <c r="A660" t="e">
        <f>Tabla27[[#This Row],[Agrupación]]</f>
        <v>#VALUE!</v>
      </c>
      <c r="B660" t="e" cm="1">
        <f t="array" ref="B660">TRANSPOSE((_xlfn._xlws.FILTER(INDEX(ProductosPivot!$C$6:$E$1000,,MATCH($A660,ProductosPivot!$C$5:$E$5,0)),INDEX(ProductosPivot!$C$6:$E$1000,,MATCH($A660,ProductosPivot!$C$5:$E$5,0))&lt;&gt;"","No hay nada")))</f>
        <v>#VALUE!</v>
      </c>
    </row>
    <row r="661" spans="1:2" x14ac:dyDescent="0.3">
      <c r="A661" t="e">
        <f>Tabla27[[#This Row],[Agrupación]]</f>
        <v>#VALUE!</v>
      </c>
      <c r="B661" t="e" cm="1">
        <f t="array" ref="B661">TRANSPOSE((_xlfn._xlws.FILTER(INDEX(ProductosPivot!$C$6:$E$1000,,MATCH($A661,ProductosPivot!$C$5:$E$5,0)),INDEX(ProductosPivot!$C$6:$E$1000,,MATCH($A661,ProductosPivot!$C$5:$E$5,0))&lt;&gt;"","No hay nada")))</f>
        <v>#VALUE!</v>
      </c>
    </row>
    <row r="662" spans="1:2" x14ac:dyDescent="0.3">
      <c r="A662" t="e">
        <f>Tabla27[[#This Row],[Agrupación]]</f>
        <v>#VALUE!</v>
      </c>
      <c r="B662" t="e" cm="1">
        <f t="array" ref="B662">TRANSPOSE((_xlfn._xlws.FILTER(INDEX(ProductosPivot!$C$6:$E$1000,,MATCH($A662,ProductosPivot!$C$5:$E$5,0)),INDEX(ProductosPivot!$C$6:$E$1000,,MATCH($A662,ProductosPivot!$C$5:$E$5,0))&lt;&gt;"","No hay nada")))</f>
        <v>#VALUE!</v>
      </c>
    </row>
    <row r="663" spans="1:2" x14ac:dyDescent="0.3">
      <c r="A663" t="e">
        <f>Tabla27[[#This Row],[Agrupación]]</f>
        <v>#VALUE!</v>
      </c>
      <c r="B663" t="e" cm="1">
        <f t="array" ref="B663">TRANSPOSE((_xlfn._xlws.FILTER(INDEX(ProductosPivot!$C$6:$E$1000,,MATCH($A663,ProductosPivot!$C$5:$E$5,0)),INDEX(ProductosPivot!$C$6:$E$1000,,MATCH($A663,ProductosPivot!$C$5:$E$5,0))&lt;&gt;"","No hay nada")))</f>
        <v>#VALUE!</v>
      </c>
    </row>
    <row r="664" spans="1:2" x14ac:dyDescent="0.3">
      <c r="A664" t="e">
        <f>Tabla27[[#This Row],[Agrupación]]</f>
        <v>#VALUE!</v>
      </c>
      <c r="B664" t="e" cm="1">
        <f t="array" ref="B664">TRANSPOSE((_xlfn._xlws.FILTER(INDEX(ProductosPivot!$C$6:$E$1000,,MATCH($A664,ProductosPivot!$C$5:$E$5,0)),INDEX(ProductosPivot!$C$6:$E$1000,,MATCH($A664,ProductosPivot!$C$5:$E$5,0))&lt;&gt;"","No hay nada")))</f>
        <v>#VALUE!</v>
      </c>
    </row>
    <row r="665" spans="1:2" x14ac:dyDescent="0.3">
      <c r="A665" t="e">
        <f>Tabla27[[#This Row],[Agrupación]]</f>
        <v>#VALUE!</v>
      </c>
      <c r="B665" t="e" cm="1">
        <f t="array" ref="B665">TRANSPOSE((_xlfn._xlws.FILTER(INDEX(ProductosPivot!$C$6:$E$1000,,MATCH($A665,ProductosPivot!$C$5:$E$5,0)),INDEX(ProductosPivot!$C$6:$E$1000,,MATCH($A665,ProductosPivot!$C$5:$E$5,0))&lt;&gt;"","No hay nada")))</f>
        <v>#VALUE!</v>
      </c>
    </row>
    <row r="666" spans="1:2" x14ac:dyDescent="0.3">
      <c r="A666" t="e">
        <f>Tabla27[[#This Row],[Agrupación]]</f>
        <v>#VALUE!</v>
      </c>
      <c r="B666" t="e" cm="1">
        <f t="array" ref="B666">TRANSPOSE((_xlfn._xlws.FILTER(INDEX(ProductosPivot!$C$6:$E$1000,,MATCH($A666,ProductosPivot!$C$5:$E$5,0)),INDEX(ProductosPivot!$C$6:$E$1000,,MATCH($A666,ProductosPivot!$C$5:$E$5,0))&lt;&gt;"","No hay nada")))</f>
        <v>#VALUE!</v>
      </c>
    </row>
    <row r="667" spans="1:2" x14ac:dyDescent="0.3">
      <c r="A667" t="e">
        <f>Tabla27[[#This Row],[Agrupación]]</f>
        <v>#VALUE!</v>
      </c>
      <c r="B667" t="e" cm="1">
        <f t="array" ref="B667">TRANSPOSE((_xlfn._xlws.FILTER(INDEX(ProductosPivot!$C$6:$E$1000,,MATCH($A667,ProductosPivot!$C$5:$E$5,0)),INDEX(ProductosPivot!$C$6:$E$1000,,MATCH($A667,ProductosPivot!$C$5:$E$5,0))&lt;&gt;"","No hay nada")))</f>
        <v>#VALUE!</v>
      </c>
    </row>
    <row r="668" spans="1:2" x14ac:dyDescent="0.3">
      <c r="A668" t="e">
        <f>Tabla27[[#This Row],[Agrupación]]</f>
        <v>#VALUE!</v>
      </c>
      <c r="B668" t="e" cm="1">
        <f t="array" ref="B668">TRANSPOSE((_xlfn._xlws.FILTER(INDEX(ProductosPivot!$C$6:$E$1000,,MATCH($A668,ProductosPivot!$C$5:$E$5,0)),INDEX(ProductosPivot!$C$6:$E$1000,,MATCH($A668,ProductosPivot!$C$5:$E$5,0))&lt;&gt;"","No hay nada")))</f>
        <v>#VALUE!</v>
      </c>
    </row>
    <row r="669" spans="1:2" x14ac:dyDescent="0.3">
      <c r="A669" t="e">
        <f>Tabla27[[#This Row],[Agrupación]]</f>
        <v>#VALUE!</v>
      </c>
      <c r="B669" t="e" cm="1">
        <f t="array" ref="B669">TRANSPOSE((_xlfn._xlws.FILTER(INDEX(ProductosPivot!$C$6:$E$1000,,MATCH($A669,ProductosPivot!$C$5:$E$5,0)),INDEX(ProductosPivot!$C$6:$E$1000,,MATCH($A669,ProductosPivot!$C$5:$E$5,0))&lt;&gt;"","No hay nada")))</f>
        <v>#VALUE!</v>
      </c>
    </row>
    <row r="670" spans="1:2" x14ac:dyDescent="0.3">
      <c r="A670" t="e">
        <f>Tabla27[[#This Row],[Agrupación]]</f>
        <v>#VALUE!</v>
      </c>
      <c r="B670" t="e" cm="1">
        <f t="array" ref="B670">TRANSPOSE((_xlfn._xlws.FILTER(INDEX(ProductosPivot!$C$6:$E$1000,,MATCH($A670,ProductosPivot!$C$5:$E$5,0)),INDEX(ProductosPivot!$C$6:$E$1000,,MATCH($A670,ProductosPivot!$C$5:$E$5,0))&lt;&gt;"","No hay nada")))</f>
        <v>#VALUE!</v>
      </c>
    </row>
    <row r="671" spans="1:2" x14ac:dyDescent="0.3">
      <c r="A671" t="e">
        <f>Tabla27[[#This Row],[Agrupación]]</f>
        <v>#VALUE!</v>
      </c>
      <c r="B671" t="e" cm="1">
        <f t="array" ref="B671">TRANSPOSE((_xlfn._xlws.FILTER(INDEX(ProductosPivot!$C$6:$E$1000,,MATCH($A671,ProductosPivot!$C$5:$E$5,0)),INDEX(ProductosPivot!$C$6:$E$1000,,MATCH($A671,ProductosPivot!$C$5:$E$5,0))&lt;&gt;"","No hay nada")))</f>
        <v>#VALUE!</v>
      </c>
    </row>
    <row r="672" spans="1:2" x14ac:dyDescent="0.3">
      <c r="A672" t="e">
        <f>Tabla27[[#This Row],[Agrupación]]</f>
        <v>#VALUE!</v>
      </c>
      <c r="B672" t="e" cm="1">
        <f t="array" ref="B672">TRANSPOSE((_xlfn._xlws.FILTER(INDEX(ProductosPivot!$C$6:$E$1000,,MATCH($A672,ProductosPivot!$C$5:$E$5,0)),INDEX(ProductosPivot!$C$6:$E$1000,,MATCH($A672,ProductosPivot!$C$5:$E$5,0))&lt;&gt;"","No hay nada")))</f>
        <v>#VALUE!</v>
      </c>
    </row>
    <row r="673" spans="1:2" x14ac:dyDescent="0.3">
      <c r="A673" t="e">
        <f>Tabla27[[#This Row],[Agrupación]]</f>
        <v>#VALUE!</v>
      </c>
      <c r="B673" t="e" cm="1">
        <f t="array" ref="B673">TRANSPOSE((_xlfn._xlws.FILTER(INDEX(ProductosPivot!$C$6:$E$1000,,MATCH($A673,ProductosPivot!$C$5:$E$5,0)),INDEX(ProductosPivot!$C$6:$E$1000,,MATCH($A673,ProductosPivot!$C$5:$E$5,0))&lt;&gt;"","No hay nada")))</f>
        <v>#VALUE!</v>
      </c>
    </row>
    <row r="674" spans="1:2" x14ac:dyDescent="0.3">
      <c r="A674" t="e">
        <f>Tabla27[[#This Row],[Agrupación]]</f>
        <v>#VALUE!</v>
      </c>
      <c r="B674" t="e" cm="1">
        <f t="array" ref="B674">TRANSPOSE((_xlfn._xlws.FILTER(INDEX(ProductosPivot!$C$6:$E$1000,,MATCH($A674,ProductosPivot!$C$5:$E$5,0)),INDEX(ProductosPivot!$C$6:$E$1000,,MATCH($A674,ProductosPivot!$C$5:$E$5,0))&lt;&gt;"","No hay nada")))</f>
        <v>#VALUE!</v>
      </c>
    </row>
    <row r="675" spans="1:2" x14ac:dyDescent="0.3">
      <c r="A675" t="e">
        <f>Tabla27[[#This Row],[Agrupación]]</f>
        <v>#VALUE!</v>
      </c>
      <c r="B675" t="e" cm="1">
        <f t="array" ref="B675">TRANSPOSE((_xlfn._xlws.FILTER(INDEX(ProductosPivot!$C$6:$E$1000,,MATCH($A675,ProductosPivot!$C$5:$E$5,0)),INDEX(ProductosPivot!$C$6:$E$1000,,MATCH($A675,ProductosPivot!$C$5:$E$5,0))&lt;&gt;"","No hay nada")))</f>
        <v>#VALUE!</v>
      </c>
    </row>
    <row r="676" spans="1:2" x14ac:dyDescent="0.3">
      <c r="A676" t="e">
        <f>Tabla27[[#This Row],[Agrupación]]</f>
        <v>#VALUE!</v>
      </c>
      <c r="B676" t="e" cm="1">
        <f t="array" ref="B676">TRANSPOSE((_xlfn._xlws.FILTER(INDEX(ProductosPivot!$C$6:$E$1000,,MATCH($A676,ProductosPivot!$C$5:$E$5,0)),INDEX(ProductosPivot!$C$6:$E$1000,,MATCH($A676,ProductosPivot!$C$5:$E$5,0))&lt;&gt;"","No hay nada")))</f>
        <v>#VALUE!</v>
      </c>
    </row>
    <row r="677" spans="1:2" x14ac:dyDescent="0.3">
      <c r="A677" t="e">
        <f>Tabla27[[#This Row],[Agrupación]]</f>
        <v>#VALUE!</v>
      </c>
      <c r="B677" t="e" cm="1">
        <f t="array" ref="B677">TRANSPOSE((_xlfn._xlws.FILTER(INDEX(ProductosPivot!$C$6:$E$1000,,MATCH($A677,ProductosPivot!$C$5:$E$5,0)),INDEX(ProductosPivot!$C$6:$E$1000,,MATCH($A677,ProductosPivot!$C$5:$E$5,0))&lt;&gt;"","No hay nada")))</f>
        <v>#VALUE!</v>
      </c>
    </row>
    <row r="678" spans="1:2" x14ac:dyDescent="0.3">
      <c r="A678" t="e">
        <f>Tabla27[[#This Row],[Agrupación]]</f>
        <v>#VALUE!</v>
      </c>
      <c r="B678" t="e" cm="1">
        <f t="array" ref="B678">TRANSPOSE((_xlfn._xlws.FILTER(INDEX(ProductosPivot!$C$6:$E$1000,,MATCH($A678,ProductosPivot!$C$5:$E$5,0)),INDEX(ProductosPivot!$C$6:$E$1000,,MATCH($A678,ProductosPivot!$C$5:$E$5,0))&lt;&gt;"","No hay nada")))</f>
        <v>#VALUE!</v>
      </c>
    </row>
    <row r="679" spans="1:2" x14ac:dyDescent="0.3">
      <c r="A679" t="e">
        <f>Tabla27[[#This Row],[Agrupación]]</f>
        <v>#VALUE!</v>
      </c>
      <c r="B679" t="e" cm="1">
        <f t="array" ref="B679">TRANSPOSE((_xlfn._xlws.FILTER(INDEX(ProductosPivot!$C$6:$E$1000,,MATCH($A679,ProductosPivot!$C$5:$E$5,0)),INDEX(ProductosPivot!$C$6:$E$1000,,MATCH($A679,ProductosPivot!$C$5:$E$5,0))&lt;&gt;"","No hay nada")))</f>
        <v>#VALUE!</v>
      </c>
    </row>
    <row r="680" spans="1:2" x14ac:dyDescent="0.3">
      <c r="A680" t="e">
        <f>Tabla27[[#This Row],[Agrupación]]</f>
        <v>#VALUE!</v>
      </c>
      <c r="B680" t="e" cm="1">
        <f t="array" ref="B680">TRANSPOSE((_xlfn._xlws.FILTER(INDEX(ProductosPivot!$C$6:$E$1000,,MATCH($A680,ProductosPivot!$C$5:$E$5,0)),INDEX(ProductosPivot!$C$6:$E$1000,,MATCH($A680,ProductosPivot!$C$5:$E$5,0))&lt;&gt;"","No hay nada")))</f>
        <v>#VALUE!</v>
      </c>
    </row>
    <row r="681" spans="1:2" x14ac:dyDescent="0.3">
      <c r="A681" t="e">
        <f>Tabla27[[#This Row],[Agrupación]]</f>
        <v>#VALUE!</v>
      </c>
      <c r="B681" t="e" cm="1">
        <f t="array" ref="B681">TRANSPOSE((_xlfn._xlws.FILTER(INDEX(ProductosPivot!$C$6:$E$1000,,MATCH($A681,ProductosPivot!$C$5:$E$5,0)),INDEX(ProductosPivot!$C$6:$E$1000,,MATCH($A681,ProductosPivot!$C$5:$E$5,0))&lt;&gt;"","No hay nada")))</f>
        <v>#VALUE!</v>
      </c>
    </row>
    <row r="682" spans="1:2" x14ac:dyDescent="0.3">
      <c r="A682" t="e">
        <f>Tabla27[[#This Row],[Agrupación]]</f>
        <v>#VALUE!</v>
      </c>
      <c r="B682" t="e" cm="1">
        <f t="array" ref="B682">TRANSPOSE((_xlfn._xlws.FILTER(INDEX(ProductosPivot!$C$6:$E$1000,,MATCH($A682,ProductosPivot!$C$5:$E$5,0)),INDEX(ProductosPivot!$C$6:$E$1000,,MATCH($A682,ProductosPivot!$C$5:$E$5,0))&lt;&gt;"","No hay nada")))</f>
        <v>#VALUE!</v>
      </c>
    </row>
    <row r="683" spans="1:2" x14ac:dyDescent="0.3">
      <c r="A683" t="e">
        <f>Tabla27[[#This Row],[Agrupación]]</f>
        <v>#VALUE!</v>
      </c>
      <c r="B683" t="e" cm="1">
        <f t="array" ref="B683">TRANSPOSE((_xlfn._xlws.FILTER(INDEX(ProductosPivot!$C$6:$E$1000,,MATCH($A683,ProductosPivot!$C$5:$E$5,0)),INDEX(ProductosPivot!$C$6:$E$1000,,MATCH($A683,ProductosPivot!$C$5:$E$5,0))&lt;&gt;"","No hay nada")))</f>
        <v>#VALUE!</v>
      </c>
    </row>
    <row r="684" spans="1:2" x14ac:dyDescent="0.3">
      <c r="A684" t="e">
        <f>Tabla27[[#This Row],[Agrupación]]</f>
        <v>#VALUE!</v>
      </c>
      <c r="B684" t="e" cm="1">
        <f t="array" ref="B684">TRANSPOSE((_xlfn._xlws.FILTER(INDEX(ProductosPivot!$C$6:$E$1000,,MATCH($A684,ProductosPivot!$C$5:$E$5,0)),INDEX(ProductosPivot!$C$6:$E$1000,,MATCH($A684,ProductosPivot!$C$5:$E$5,0))&lt;&gt;"","No hay nada")))</f>
        <v>#VALUE!</v>
      </c>
    </row>
    <row r="685" spans="1:2" x14ac:dyDescent="0.3">
      <c r="A685" t="e">
        <f>Tabla27[[#This Row],[Agrupación]]</f>
        <v>#VALUE!</v>
      </c>
      <c r="B685" t="e" cm="1">
        <f t="array" ref="B685">TRANSPOSE((_xlfn._xlws.FILTER(INDEX(ProductosPivot!$C$6:$E$1000,,MATCH($A685,ProductosPivot!$C$5:$E$5,0)),INDEX(ProductosPivot!$C$6:$E$1000,,MATCH($A685,ProductosPivot!$C$5:$E$5,0))&lt;&gt;"","No hay nada")))</f>
        <v>#VALUE!</v>
      </c>
    </row>
    <row r="686" spans="1:2" x14ac:dyDescent="0.3">
      <c r="A686" t="e">
        <f>Tabla27[[#This Row],[Agrupación]]</f>
        <v>#VALUE!</v>
      </c>
      <c r="B686" t="e" cm="1">
        <f t="array" ref="B686">TRANSPOSE((_xlfn._xlws.FILTER(INDEX(ProductosPivot!$C$6:$E$1000,,MATCH($A686,ProductosPivot!$C$5:$E$5,0)),INDEX(ProductosPivot!$C$6:$E$1000,,MATCH($A686,ProductosPivot!$C$5:$E$5,0))&lt;&gt;"","No hay nada")))</f>
        <v>#VALUE!</v>
      </c>
    </row>
    <row r="687" spans="1:2" x14ac:dyDescent="0.3">
      <c r="A687" t="e">
        <f>Tabla27[[#This Row],[Agrupación]]</f>
        <v>#VALUE!</v>
      </c>
      <c r="B687" t="e" cm="1">
        <f t="array" ref="B687">TRANSPOSE((_xlfn._xlws.FILTER(INDEX(ProductosPivot!$C$6:$E$1000,,MATCH($A687,ProductosPivot!$C$5:$E$5,0)),INDEX(ProductosPivot!$C$6:$E$1000,,MATCH($A687,ProductosPivot!$C$5:$E$5,0))&lt;&gt;"","No hay nada")))</f>
        <v>#VALUE!</v>
      </c>
    </row>
    <row r="688" spans="1:2" x14ac:dyDescent="0.3">
      <c r="A688" t="e">
        <f>Tabla27[[#This Row],[Agrupación]]</f>
        <v>#VALUE!</v>
      </c>
      <c r="B688" t="e" cm="1">
        <f t="array" ref="B688">TRANSPOSE((_xlfn._xlws.FILTER(INDEX(ProductosPivot!$C$6:$E$1000,,MATCH($A688,ProductosPivot!$C$5:$E$5,0)),INDEX(ProductosPivot!$C$6:$E$1000,,MATCH($A688,ProductosPivot!$C$5:$E$5,0))&lt;&gt;"","No hay nada")))</f>
        <v>#VALUE!</v>
      </c>
    </row>
    <row r="689" spans="1:2" x14ac:dyDescent="0.3">
      <c r="A689" t="e">
        <f>Tabla27[[#This Row],[Agrupación]]</f>
        <v>#VALUE!</v>
      </c>
      <c r="B689" t="e" cm="1">
        <f t="array" ref="B689">TRANSPOSE((_xlfn._xlws.FILTER(INDEX(ProductosPivot!$C$6:$E$1000,,MATCH($A689,ProductosPivot!$C$5:$E$5,0)),INDEX(ProductosPivot!$C$6:$E$1000,,MATCH($A689,ProductosPivot!$C$5:$E$5,0))&lt;&gt;"","No hay nada")))</f>
        <v>#VALUE!</v>
      </c>
    </row>
    <row r="690" spans="1:2" x14ac:dyDescent="0.3">
      <c r="A690" t="e">
        <f>Tabla27[[#This Row],[Agrupación]]</f>
        <v>#VALUE!</v>
      </c>
      <c r="B690" t="e" cm="1">
        <f t="array" ref="B690">TRANSPOSE((_xlfn._xlws.FILTER(INDEX(ProductosPivot!$C$6:$E$1000,,MATCH($A690,ProductosPivot!$C$5:$E$5,0)),INDEX(ProductosPivot!$C$6:$E$1000,,MATCH($A690,ProductosPivot!$C$5:$E$5,0))&lt;&gt;"","No hay nada")))</f>
        <v>#VALUE!</v>
      </c>
    </row>
    <row r="691" spans="1:2" x14ac:dyDescent="0.3">
      <c r="A691" t="e">
        <f>Tabla27[[#This Row],[Agrupación]]</f>
        <v>#VALUE!</v>
      </c>
      <c r="B691" t="e" cm="1">
        <f t="array" ref="B691">TRANSPOSE((_xlfn._xlws.FILTER(INDEX(ProductosPivot!$C$6:$E$1000,,MATCH($A691,ProductosPivot!$C$5:$E$5,0)),INDEX(ProductosPivot!$C$6:$E$1000,,MATCH($A691,ProductosPivot!$C$5:$E$5,0))&lt;&gt;"","No hay nada")))</f>
        <v>#VALUE!</v>
      </c>
    </row>
    <row r="692" spans="1:2" x14ac:dyDescent="0.3">
      <c r="A692" t="e">
        <f>Tabla27[[#This Row],[Agrupación]]</f>
        <v>#VALUE!</v>
      </c>
      <c r="B692" t="e" cm="1">
        <f t="array" ref="B692">TRANSPOSE((_xlfn._xlws.FILTER(INDEX(ProductosPivot!$C$6:$E$1000,,MATCH($A692,ProductosPivot!$C$5:$E$5,0)),INDEX(ProductosPivot!$C$6:$E$1000,,MATCH($A692,ProductosPivot!$C$5:$E$5,0))&lt;&gt;"","No hay nada")))</f>
        <v>#VALUE!</v>
      </c>
    </row>
    <row r="693" spans="1:2" x14ac:dyDescent="0.3">
      <c r="A693" t="e">
        <f>Tabla27[[#This Row],[Agrupación]]</f>
        <v>#VALUE!</v>
      </c>
      <c r="B693" t="e" cm="1">
        <f t="array" ref="B693">TRANSPOSE((_xlfn._xlws.FILTER(INDEX(ProductosPivot!$C$6:$E$1000,,MATCH($A693,ProductosPivot!$C$5:$E$5,0)),INDEX(ProductosPivot!$C$6:$E$1000,,MATCH($A693,ProductosPivot!$C$5:$E$5,0))&lt;&gt;"","No hay nada")))</f>
        <v>#VALUE!</v>
      </c>
    </row>
    <row r="694" spans="1:2" x14ac:dyDescent="0.3">
      <c r="A694" t="e">
        <f>Tabla27[[#This Row],[Agrupación]]</f>
        <v>#VALUE!</v>
      </c>
      <c r="B694" t="e" cm="1">
        <f t="array" ref="B694">TRANSPOSE((_xlfn._xlws.FILTER(INDEX(ProductosPivot!$C$6:$E$1000,,MATCH($A694,ProductosPivot!$C$5:$E$5,0)),INDEX(ProductosPivot!$C$6:$E$1000,,MATCH($A694,ProductosPivot!$C$5:$E$5,0))&lt;&gt;"","No hay nada")))</f>
        <v>#VALUE!</v>
      </c>
    </row>
    <row r="695" spans="1:2" x14ac:dyDescent="0.3">
      <c r="A695" t="e">
        <f>Tabla27[[#This Row],[Agrupación]]</f>
        <v>#VALUE!</v>
      </c>
      <c r="B695" t="e" cm="1">
        <f t="array" ref="B695">TRANSPOSE((_xlfn._xlws.FILTER(INDEX(ProductosPivot!$C$6:$E$1000,,MATCH($A695,ProductosPivot!$C$5:$E$5,0)),INDEX(ProductosPivot!$C$6:$E$1000,,MATCH($A695,ProductosPivot!$C$5:$E$5,0))&lt;&gt;"","No hay nada")))</f>
        <v>#VALUE!</v>
      </c>
    </row>
    <row r="696" spans="1:2" x14ac:dyDescent="0.3">
      <c r="A696" t="e">
        <f>Tabla27[[#This Row],[Agrupación]]</f>
        <v>#VALUE!</v>
      </c>
      <c r="B696" t="e" cm="1">
        <f t="array" ref="B696">TRANSPOSE((_xlfn._xlws.FILTER(INDEX(ProductosPivot!$C$6:$E$1000,,MATCH($A696,ProductosPivot!$C$5:$E$5,0)),INDEX(ProductosPivot!$C$6:$E$1000,,MATCH($A696,ProductosPivot!$C$5:$E$5,0))&lt;&gt;"","No hay nada")))</f>
        <v>#VALUE!</v>
      </c>
    </row>
    <row r="697" spans="1:2" x14ac:dyDescent="0.3">
      <c r="A697" t="e">
        <f>Tabla27[[#This Row],[Agrupación]]</f>
        <v>#VALUE!</v>
      </c>
      <c r="B697" t="e" cm="1">
        <f t="array" ref="B697">TRANSPOSE((_xlfn._xlws.FILTER(INDEX(ProductosPivot!$C$6:$E$1000,,MATCH($A697,ProductosPivot!$C$5:$E$5,0)),INDEX(ProductosPivot!$C$6:$E$1000,,MATCH($A697,ProductosPivot!$C$5:$E$5,0))&lt;&gt;"","No hay nada")))</f>
        <v>#VALUE!</v>
      </c>
    </row>
    <row r="698" spans="1:2" x14ac:dyDescent="0.3">
      <c r="A698" t="e">
        <f>Tabla27[[#This Row],[Agrupación]]</f>
        <v>#VALUE!</v>
      </c>
      <c r="B698" t="e" cm="1">
        <f t="array" ref="B698">TRANSPOSE((_xlfn._xlws.FILTER(INDEX(ProductosPivot!$C$6:$E$1000,,MATCH($A698,ProductosPivot!$C$5:$E$5,0)),INDEX(ProductosPivot!$C$6:$E$1000,,MATCH($A698,ProductosPivot!$C$5:$E$5,0))&lt;&gt;"","No hay nada")))</f>
        <v>#VALUE!</v>
      </c>
    </row>
    <row r="699" spans="1:2" x14ac:dyDescent="0.3">
      <c r="A699" t="e">
        <f>Tabla27[[#This Row],[Agrupación]]</f>
        <v>#VALUE!</v>
      </c>
      <c r="B699" t="e" cm="1">
        <f t="array" ref="B699">TRANSPOSE((_xlfn._xlws.FILTER(INDEX(ProductosPivot!$C$6:$E$1000,,MATCH($A699,ProductosPivot!$C$5:$E$5,0)),INDEX(ProductosPivot!$C$6:$E$1000,,MATCH($A699,ProductosPivot!$C$5:$E$5,0))&lt;&gt;"","No hay nada")))</f>
        <v>#VALUE!</v>
      </c>
    </row>
    <row r="700" spans="1:2" x14ac:dyDescent="0.3">
      <c r="A700" t="e">
        <f>Tabla27[[#This Row],[Agrupación]]</f>
        <v>#VALUE!</v>
      </c>
      <c r="B700" t="e" cm="1">
        <f t="array" ref="B700">TRANSPOSE((_xlfn._xlws.FILTER(INDEX(ProductosPivot!$C$6:$E$1000,,MATCH($A700,ProductosPivot!$C$5:$E$5,0)),INDEX(ProductosPivot!$C$6:$E$1000,,MATCH($A700,ProductosPivot!$C$5:$E$5,0))&lt;&gt;"","No hay nada")))</f>
        <v>#VALUE!</v>
      </c>
    </row>
    <row r="701" spans="1:2" x14ac:dyDescent="0.3">
      <c r="A701" t="e">
        <f>Tabla27[[#This Row],[Agrupación]]</f>
        <v>#VALUE!</v>
      </c>
      <c r="B701" t="e" cm="1">
        <f t="array" ref="B701">TRANSPOSE((_xlfn._xlws.FILTER(INDEX(ProductosPivot!$C$6:$E$1000,,MATCH($A701,ProductosPivot!$C$5:$E$5,0)),INDEX(ProductosPivot!$C$6:$E$1000,,MATCH($A701,ProductosPivot!$C$5:$E$5,0))&lt;&gt;"","No hay nada")))</f>
        <v>#VALUE!</v>
      </c>
    </row>
    <row r="702" spans="1:2" x14ac:dyDescent="0.3">
      <c r="A702" t="e">
        <f>Tabla27[[#This Row],[Agrupación]]</f>
        <v>#VALUE!</v>
      </c>
      <c r="B702" t="e" cm="1">
        <f t="array" ref="B702">TRANSPOSE((_xlfn._xlws.FILTER(INDEX(ProductosPivot!$C$6:$E$1000,,MATCH($A702,ProductosPivot!$C$5:$E$5,0)),INDEX(ProductosPivot!$C$6:$E$1000,,MATCH($A702,ProductosPivot!$C$5:$E$5,0))&lt;&gt;"","No hay nada")))</f>
        <v>#VALUE!</v>
      </c>
    </row>
    <row r="703" spans="1:2" x14ac:dyDescent="0.3">
      <c r="A703" t="e">
        <f>Tabla27[[#This Row],[Agrupación]]</f>
        <v>#VALUE!</v>
      </c>
      <c r="B703" t="e" cm="1">
        <f t="array" ref="B703">TRANSPOSE((_xlfn._xlws.FILTER(INDEX(ProductosPivot!$C$6:$E$1000,,MATCH($A703,ProductosPivot!$C$5:$E$5,0)),INDEX(ProductosPivot!$C$6:$E$1000,,MATCH($A703,ProductosPivot!$C$5:$E$5,0))&lt;&gt;"","No hay nada")))</f>
        <v>#VALUE!</v>
      </c>
    </row>
    <row r="704" spans="1:2" x14ac:dyDescent="0.3">
      <c r="A704" t="e">
        <f>Tabla27[[#This Row],[Agrupación]]</f>
        <v>#VALUE!</v>
      </c>
      <c r="B704" t="e" cm="1">
        <f t="array" ref="B704">TRANSPOSE((_xlfn._xlws.FILTER(INDEX(ProductosPivot!$C$6:$E$1000,,MATCH($A704,ProductosPivot!$C$5:$E$5,0)),INDEX(ProductosPivot!$C$6:$E$1000,,MATCH($A704,ProductosPivot!$C$5:$E$5,0))&lt;&gt;"","No hay nada")))</f>
        <v>#VALUE!</v>
      </c>
    </row>
    <row r="705" spans="1:2" x14ac:dyDescent="0.3">
      <c r="A705" t="e">
        <f>Tabla27[[#This Row],[Agrupación]]</f>
        <v>#VALUE!</v>
      </c>
      <c r="B705" t="e" cm="1">
        <f t="array" ref="B705">TRANSPOSE((_xlfn._xlws.FILTER(INDEX(ProductosPivot!$C$6:$E$1000,,MATCH($A705,ProductosPivot!$C$5:$E$5,0)),INDEX(ProductosPivot!$C$6:$E$1000,,MATCH($A705,ProductosPivot!$C$5:$E$5,0))&lt;&gt;"","No hay nada")))</f>
        <v>#VALUE!</v>
      </c>
    </row>
    <row r="706" spans="1:2" x14ac:dyDescent="0.3">
      <c r="A706" t="e">
        <f>Tabla27[[#This Row],[Agrupación]]</f>
        <v>#VALUE!</v>
      </c>
      <c r="B706" t="e" cm="1">
        <f t="array" ref="B706">TRANSPOSE((_xlfn._xlws.FILTER(INDEX(ProductosPivot!$C$6:$E$1000,,MATCH($A706,ProductosPivot!$C$5:$E$5,0)),INDEX(ProductosPivot!$C$6:$E$1000,,MATCH($A706,ProductosPivot!$C$5:$E$5,0))&lt;&gt;"","No hay nada")))</f>
        <v>#VALUE!</v>
      </c>
    </row>
    <row r="707" spans="1:2" x14ac:dyDescent="0.3">
      <c r="A707" t="e">
        <f>Tabla27[[#This Row],[Agrupación]]</f>
        <v>#VALUE!</v>
      </c>
      <c r="B707" t="e" cm="1">
        <f t="array" ref="B707">TRANSPOSE((_xlfn._xlws.FILTER(INDEX(ProductosPivot!$C$6:$E$1000,,MATCH($A707,ProductosPivot!$C$5:$E$5,0)),INDEX(ProductosPivot!$C$6:$E$1000,,MATCH($A707,ProductosPivot!$C$5:$E$5,0))&lt;&gt;"","No hay nada")))</f>
        <v>#VALUE!</v>
      </c>
    </row>
    <row r="708" spans="1:2" x14ac:dyDescent="0.3">
      <c r="A708" t="e">
        <f>Tabla27[[#This Row],[Agrupación]]</f>
        <v>#VALUE!</v>
      </c>
      <c r="B708" t="e" cm="1">
        <f t="array" ref="B708">TRANSPOSE((_xlfn._xlws.FILTER(INDEX(ProductosPivot!$C$6:$E$1000,,MATCH($A708,ProductosPivot!$C$5:$E$5,0)),INDEX(ProductosPivot!$C$6:$E$1000,,MATCH($A708,ProductosPivot!$C$5:$E$5,0))&lt;&gt;"","No hay nada")))</f>
        <v>#VALUE!</v>
      </c>
    </row>
    <row r="709" spans="1:2" x14ac:dyDescent="0.3">
      <c r="A709" t="e">
        <f>Tabla27[[#This Row],[Agrupación]]</f>
        <v>#VALUE!</v>
      </c>
      <c r="B709" t="e" cm="1">
        <f t="array" ref="B709">TRANSPOSE((_xlfn._xlws.FILTER(INDEX(ProductosPivot!$C$6:$E$1000,,MATCH($A709,ProductosPivot!$C$5:$E$5,0)),INDEX(ProductosPivot!$C$6:$E$1000,,MATCH($A709,ProductosPivot!$C$5:$E$5,0))&lt;&gt;"","No hay nada")))</f>
        <v>#VALUE!</v>
      </c>
    </row>
    <row r="710" spans="1:2" x14ac:dyDescent="0.3">
      <c r="A710" t="e">
        <f>Tabla27[[#This Row],[Agrupación]]</f>
        <v>#VALUE!</v>
      </c>
      <c r="B710" t="e" cm="1">
        <f t="array" ref="B710">TRANSPOSE((_xlfn._xlws.FILTER(INDEX(ProductosPivot!$C$6:$E$1000,,MATCH($A710,ProductosPivot!$C$5:$E$5,0)),INDEX(ProductosPivot!$C$6:$E$1000,,MATCH($A710,ProductosPivot!$C$5:$E$5,0))&lt;&gt;"","No hay nada")))</f>
        <v>#VALUE!</v>
      </c>
    </row>
    <row r="711" spans="1:2" x14ac:dyDescent="0.3">
      <c r="A711" t="e">
        <f>Tabla27[[#This Row],[Agrupación]]</f>
        <v>#VALUE!</v>
      </c>
      <c r="B711" t="e" cm="1">
        <f t="array" ref="B711">TRANSPOSE((_xlfn._xlws.FILTER(INDEX(ProductosPivot!$C$6:$E$1000,,MATCH($A711,ProductosPivot!$C$5:$E$5,0)),INDEX(ProductosPivot!$C$6:$E$1000,,MATCH($A711,ProductosPivot!$C$5:$E$5,0))&lt;&gt;"","No hay nada")))</f>
        <v>#VALUE!</v>
      </c>
    </row>
    <row r="712" spans="1:2" x14ac:dyDescent="0.3">
      <c r="A712" t="e">
        <f>Tabla27[[#This Row],[Agrupación]]</f>
        <v>#VALUE!</v>
      </c>
      <c r="B712" t="e" cm="1">
        <f t="array" ref="B712">TRANSPOSE((_xlfn._xlws.FILTER(INDEX(ProductosPivot!$C$6:$E$1000,,MATCH($A712,ProductosPivot!$C$5:$E$5,0)),INDEX(ProductosPivot!$C$6:$E$1000,,MATCH($A712,ProductosPivot!$C$5:$E$5,0))&lt;&gt;"","No hay nada")))</f>
        <v>#VALUE!</v>
      </c>
    </row>
    <row r="713" spans="1:2" x14ac:dyDescent="0.3">
      <c r="A713" t="e">
        <f>Tabla27[[#This Row],[Agrupación]]</f>
        <v>#VALUE!</v>
      </c>
      <c r="B713" t="e" cm="1">
        <f t="array" ref="B713">TRANSPOSE((_xlfn._xlws.FILTER(INDEX(ProductosPivot!$C$6:$E$1000,,MATCH($A713,ProductosPivot!$C$5:$E$5,0)),INDEX(ProductosPivot!$C$6:$E$1000,,MATCH($A713,ProductosPivot!$C$5:$E$5,0))&lt;&gt;"","No hay nada")))</f>
        <v>#VALUE!</v>
      </c>
    </row>
    <row r="714" spans="1:2" x14ac:dyDescent="0.3">
      <c r="A714" t="e">
        <f>Tabla27[[#This Row],[Agrupación]]</f>
        <v>#VALUE!</v>
      </c>
      <c r="B714" t="e" cm="1">
        <f t="array" ref="B714">TRANSPOSE((_xlfn._xlws.FILTER(INDEX(ProductosPivot!$C$6:$E$1000,,MATCH($A714,ProductosPivot!$C$5:$E$5,0)),INDEX(ProductosPivot!$C$6:$E$1000,,MATCH($A714,ProductosPivot!$C$5:$E$5,0))&lt;&gt;"","No hay nada")))</f>
        <v>#VALUE!</v>
      </c>
    </row>
    <row r="715" spans="1:2" x14ac:dyDescent="0.3">
      <c r="A715" t="e">
        <f>Tabla27[[#This Row],[Agrupación]]</f>
        <v>#VALUE!</v>
      </c>
      <c r="B715" t="e" cm="1">
        <f t="array" ref="B715">TRANSPOSE((_xlfn._xlws.FILTER(INDEX(ProductosPivot!$C$6:$E$1000,,MATCH($A715,ProductosPivot!$C$5:$E$5,0)),INDEX(ProductosPivot!$C$6:$E$1000,,MATCH($A715,ProductosPivot!$C$5:$E$5,0))&lt;&gt;"","No hay nada")))</f>
        <v>#VALUE!</v>
      </c>
    </row>
    <row r="716" spans="1:2" x14ac:dyDescent="0.3">
      <c r="A716" t="e">
        <f>Tabla27[[#This Row],[Agrupación]]</f>
        <v>#VALUE!</v>
      </c>
      <c r="B716" t="e" cm="1">
        <f t="array" ref="B716">TRANSPOSE((_xlfn._xlws.FILTER(INDEX(ProductosPivot!$C$6:$E$1000,,MATCH($A716,ProductosPivot!$C$5:$E$5,0)),INDEX(ProductosPivot!$C$6:$E$1000,,MATCH($A716,ProductosPivot!$C$5:$E$5,0))&lt;&gt;"","No hay nada")))</f>
        <v>#VALUE!</v>
      </c>
    </row>
    <row r="717" spans="1:2" x14ac:dyDescent="0.3">
      <c r="A717" t="e">
        <f>Tabla27[[#This Row],[Agrupación]]</f>
        <v>#VALUE!</v>
      </c>
      <c r="B717" t="e" cm="1">
        <f t="array" ref="B717">TRANSPOSE((_xlfn._xlws.FILTER(INDEX(ProductosPivot!$C$6:$E$1000,,MATCH($A717,ProductosPivot!$C$5:$E$5,0)),INDEX(ProductosPivot!$C$6:$E$1000,,MATCH($A717,ProductosPivot!$C$5:$E$5,0))&lt;&gt;"","No hay nada")))</f>
        <v>#VALUE!</v>
      </c>
    </row>
    <row r="718" spans="1:2" x14ac:dyDescent="0.3">
      <c r="A718" t="e">
        <f>Tabla27[[#This Row],[Agrupación]]</f>
        <v>#VALUE!</v>
      </c>
      <c r="B718" t="e" cm="1">
        <f t="array" ref="B718">TRANSPOSE((_xlfn._xlws.FILTER(INDEX(ProductosPivot!$C$6:$E$1000,,MATCH($A718,ProductosPivot!$C$5:$E$5,0)),INDEX(ProductosPivot!$C$6:$E$1000,,MATCH($A718,ProductosPivot!$C$5:$E$5,0))&lt;&gt;"","No hay nada")))</f>
        <v>#VALUE!</v>
      </c>
    </row>
    <row r="719" spans="1:2" x14ac:dyDescent="0.3">
      <c r="A719" t="e">
        <f>Tabla27[[#This Row],[Agrupación]]</f>
        <v>#VALUE!</v>
      </c>
      <c r="B719" t="e" cm="1">
        <f t="array" ref="B719">TRANSPOSE((_xlfn._xlws.FILTER(INDEX(ProductosPivot!$C$6:$E$1000,,MATCH($A719,ProductosPivot!$C$5:$E$5,0)),INDEX(ProductosPivot!$C$6:$E$1000,,MATCH($A719,ProductosPivot!$C$5:$E$5,0))&lt;&gt;"","No hay nada")))</f>
        <v>#VALUE!</v>
      </c>
    </row>
    <row r="720" spans="1:2" x14ac:dyDescent="0.3">
      <c r="A720" t="e">
        <f>Tabla27[[#This Row],[Agrupación]]</f>
        <v>#VALUE!</v>
      </c>
      <c r="B720" t="e" cm="1">
        <f t="array" ref="B720">TRANSPOSE((_xlfn._xlws.FILTER(INDEX(ProductosPivot!$C$6:$E$1000,,MATCH($A720,ProductosPivot!$C$5:$E$5,0)),INDEX(ProductosPivot!$C$6:$E$1000,,MATCH($A720,ProductosPivot!$C$5:$E$5,0))&lt;&gt;"","No hay nada")))</f>
        <v>#VALUE!</v>
      </c>
    </row>
    <row r="721" spans="1:2" x14ac:dyDescent="0.3">
      <c r="A721" t="e">
        <f>Tabla27[[#This Row],[Agrupación]]</f>
        <v>#VALUE!</v>
      </c>
      <c r="B721" t="e" cm="1">
        <f t="array" ref="B721">TRANSPOSE((_xlfn._xlws.FILTER(INDEX(ProductosPivot!$C$6:$E$1000,,MATCH($A721,ProductosPivot!$C$5:$E$5,0)),INDEX(ProductosPivot!$C$6:$E$1000,,MATCH($A721,ProductosPivot!$C$5:$E$5,0))&lt;&gt;"","No hay nada")))</f>
        <v>#VALUE!</v>
      </c>
    </row>
    <row r="722" spans="1:2" x14ac:dyDescent="0.3">
      <c r="A722" t="e">
        <f>Tabla27[[#This Row],[Agrupación]]</f>
        <v>#VALUE!</v>
      </c>
      <c r="B722" t="e" cm="1">
        <f t="array" ref="B722">TRANSPOSE((_xlfn._xlws.FILTER(INDEX(ProductosPivot!$C$6:$E$1000,,MATCH($A722,ProductosPivot!$C$5:$E$5,0)),INDEX(ProductosPivot!$C$6:$E$1000,,MATCH($A722,ProductosPivot!$C$5:$E$5,0))&lt;&gt;"","No hay nada")))</f>
        <v>#VALUE!</v>
      </c>
    </row>
    <row r="723" spans="1:2" x14ac:dyDescent="0.3">
      <c r="A723" t="e">
        <f>Tabla27[[#This Row],[Agrupación]]</f>
        <v>#VALUE!</v>
      </c>
      <c r="B723" t="e" cm="1">
        <f t="array" ref="B723">TRANSPOSE((_xlfn._xlws.FILTER(INDEX(ProductosPivot!$C$6:$E$1000,,MATCH($A723,ProductosPivot!$C$5:$E$5,0)),INDEX(ProductosPivot!$C$6:$E$1000,,MATCH($A723,ProductosPivot!$C$5:$E$5,0))&lt;&gt;"","No hay nada")))</f>
        <v>#VALUE!</v>
      </c>
    </row>
    <row r="724" spans="1:2" x14ac:dyDescent="0.3">
      <c r="A724" t="e">
        <f>Tabla27[[#This Row],[Agrupación]]</f>
        <v>#VALUE!</v>
      </c>
      <c r="B724" t="e" cm="1">
        <f t="array" ref="B724">TRANSPOSE((_xlfn._xlws.FILTER(INDEX(ProductosPivot!$C$6:$E$1000,,MATCH($A724,ProductosPivot!$C$5:$E$5,0)),INDEX(ProductosPivot!$C$6:$E$1000,,MATCH($A724,ProductosPivot!$C$5:$E$5,0))&lt;&gt;"","No hay nada")))</f>
        <v>#VALUE!</v>
      </c>
    </row>
    <row r="725" spans="1:2" x14ac:dyDescent="0.3">
      <c r="A725" t="e">
        <f>Tabla27[[#This Row],[Agrupación]]</f>
        <v>#VALUE!</v>
      </c>
      <c r="B725" t="e" cm="1">
        <f t="array" ref="B725">TRANSPOSE((_xlfn._xlws.FILTER(INDEX(ProductosPivot!$C$6:$E$1000,,MATCH($A725,ProductosPivot!$C$5:$E$5,0)),INDEX(ProductosPivot!$C$6:$E$1000,,MATCH($A725,ProductosPivot!$C$5:$E$5,0))&lt;&gt;"","No hay nada")))</f>
        <v>#VALUE!</v>
      </c>
    </row>
    <row r="726" spans="1:2" x14ac:dyDescent="0.3">
      <c r="A726" t="e">
        <f>Tabla27[[#This Row],[Agrupación]]</f>
        <v>#VALUE!</v>
      </c>
      <c r="B726" t="e" cm="1">
        <f t="array" ref="B726">TRANSPOSE((_xlfn._xlws.FILTER(INDEX(ProductosPivot!$C$6:$E$1000,,MATCH($A726,ProductosPivot!$C$5:$E$5,0)),INDEX(ProductosPivot!$C$6:$E$1000,,MATCH($A726,ProductosPivot!$C$5:$E$5,0))&lt;&gt;"","No hay nada")))</f>
        <v>#VALUE!</v>
      </c>
    </row>
    <row r="727" spans="1:2" x14ac:dyDescent="0.3">
      <c r="A727" t="e">
        <f>Tabla27[[#This Row],[Agrupación]]</f>
        <v>#VALUE!</v>
      </c>
      <c r="B727" t="e" cm="1">
        <f t="array" ref="B727">TRANSPOSE((_xlfn._xlws.FILTER(INDEX(ProductosPivot!$C$6:$E$1000,,MATCH($A727,ProductosPivot!$C$5:$E$5,0)),INDEX(ProductosPivot!$C$6:$E$1000,,MATCH($A727,ProductosPivot!$C$5:$E$5,0))&lt;&gt;"","No hay nada")))</f>
        <v>#VALUE!</v>
      </c>
    </row>
    <row r="728" spans="1:2" x14ac:dyDescent="0.3">
      <c r="A728" t="e">
        <f>Tabla27[[#This Row],[Agrupación]]</f>
        <v>#VALUE!</v>
      </c>
      <c r="B728" t="e" cm="1">
        <f t="array" ref="B728">TRANSPOSE((_xlfn._xlws.FILTER(INDEX(ProductosPivot!$C$6:$E$1000,,MATCH($A728,ProductosPivot!$C$5:$E$5,0)),INDEX(ProductosPivot!$C$6:$E$1000,,MATCH($A728,ProductosPivot!$C$5:$E$5,0))&lt;&gt;"","No hay nada")))</f>
        <v>#VALUE!</v>
      </c>
    </row>
    <row r="729" spans="1:2" x14ac:dyDescent="0.3">
      <c r="A729" t="e">
        <f>Tabla27[[#This Row],[Agrupación]]</f>
        <v>#VALUE!</v>
      </c>
      <c r="B729" t="e" cm="1">
        <f t="array" ref="B729">TRANSPOSE((_xlfn._xlws.FILTER(INDEX(ProductosPivot!$C$6:$E$1000,,MATCH($A729,ProductosPivot!$C$5:$E$5,0)),INDEX(ProductosPivot!$C$6:$E$1000,,MATCH($A729,ProductosPivot!$C$5:$E$5,0))&lt;&gt;"","No hay nada")))</f>
        <v>#VALUE!</v>
      </c>
    </row>
    <row r="730" spans="1:2" x14ac:dyDescent="0.3">
      <c r="A730" t="e">
        <f>Tabla27[[#This Row],[Agrupación]]</f>
        <v>#VALUE!</v>
      </c>
      <c r="B730" t="e" cm="1">
        <f t="array" ref="B730">TRANSPOSE((_xlfn._xlws.FILTER(INDEX(ProductosPivot!$C$6:$E$1000,,MATCH($A730,ProductosPivot!$C$5:$E$5,0)),INDEX(ProductosPivot!$C$6:$E$1000,,MATCH($A730,ProductosPivot!$C$5:$E$5,0))&lt;&gt;"","No hay nada")))</f>
        <v>#VALUE!</v>
      </c>
    </row>
    <row r="731" spans="1:2" x14ac:dyDescent="0.3">
      <c r="A731" t="e">
        <f>Tabla27[[#This Row],[Agrupación]]</f>
        <v>#VALUE!</v>
      </c>
      <c r="B731" t="e" cm="1">
        <f t="array" ref="B731">TRANSPOSE((_xlfn._xlws.FILTER(INDEX(ProductosPivot!$C$6:$E$1000,,MATCH($A731,ProductosPivot!$C$5:$E$5,0)),INDEX(ProductosPivot!$C$6:$E$1000,,MATCH($A731,ProductosPivot!$C$5:$E$5,0))&lt;&gt;"","No hay nada")))</f>
        <v>#VALUE!</v>
      </c>
    </row>
    <row r="732" spans="1:2" x14ac:dyDescent="0.3">
      <c r="A732" t="e">
        <f>Tabla27[[#This Row],[Agrupación]]</f>
        <v>#VALUE!</v>
      </c>
      <c r="B732" t="e" cm="1">
        <f t="array" ref="B732">TRANSPOSE((_xlfn._xlws.FILTER(INDEX(ProductosPivot!$C$6:$E$1000,,MATCH($A732,ProductosPivot!$C$5:$E$5,0)),INDEX(ProductosPivot!$C$6:$E$1000,,MATCH($A732,ProductosPivot!$C$5:$E$5,0))&lt;&gt;"","No hay nada")))</f>
        <v>#VALUE!</v>
      </c>
    </row>
    <row r="733" spans="1:2" x14ac:dyDescent="0.3">
      <c r="A733" t="e">
        <f>Tabla27[[#This Row],[Agrupación]]</f>
        <v>#VALUE!</v>
      </c>
      <c r="B733" t="e" cm="1">
        <f t="array" ref="B733">TRANSPOSE((_xlfn._xlws.FILTER(INDEX(ProductosPivot!$C$6:$E$1000,,MATCH($A733,ProductosPivot!$C$5:$E$5,0)),INDEX(ProductosPivot!$C$6:$E$1000,,MATCH($A733,ProductosPivot!$C$5:$E$5,0))&lt;&gt;"","No hay nada")))</f>
        <v>#VALUE!</v>
      </c>
    </row>
    <row r="734" spans="1:2" x14ac:dyDescent="0.3">
      <c r="A734" t="e">
        <f>Tabla27[[#This Row],[Agrupación]]</f>
        <v>#VALUE!</v>
      </c>
      <c r="B734" t="e" cm="1">
        <f t="array" ref="B734">TRANSPOSE((_xlfn._xlws.FILTER(INDEX(ProductosPivot!$C$6:$E$1000,,MATCH($A734,ProductosPivot!$C$5:$E$5,0)),INDEX(ProductosPivot!$C$6:$E$1000,,MATCH($A734,ProductosPivot!$C$5:$E$5,0))&lt;&gt;"","No hay nada")))</f>
        <v>#VALUE!</v>
      </c>
    </row>
    <row r="735" spans="1:2" x14ac:dyDescent="0.3">
      <c r="A735" t="e">
        <f>Tabla27[[#This Row],[Agrupación]]</f>
        <v>#VALUE!</v>
      </c>
      <c r="B735" t="e" cm="1">
        <f t="array" ref="B735">TRANSPOSE((_xlfn._xlws.FILTER(INDEX(ProductosPivot!$C$6:$E$1000,,MATCH($A735,ProductosPivot!$C$5:$E$5,0)),INDEX(ProductosPivot!$C$6:$E$1000,,MATCH($A735,ProductosPivot!$C$5:$E$5,0))&lt;&gt;"","No hay nada")))</f>
        <v>#VALUE!</v>
      </c>
    </row>
    <row r="736" spans="1:2" x14ac:dyDescent="0.3">
      <c r="A736" t="e">
        <f>Tabla27[[#This Row],[Agrupación]]</f>
        <v>#VALUE!</v>
      </c>
      <c r="B736" t="e" cm="1">
        <f t="array" ref="B736">TRANSPOSE((_xlfn._xlws.FILTER(INDEX(ProductosPivot!$C$6:$E$1000,,MATCH($A736,ProductosPivot!$C$5:$E$5,0)),INDEX(ProductosPivot!$C$6:$E$1000,,MATCH($A736,ProductosPivot!$C$5:$E$5,0))&lt;&gt;"","No hay nada")))</f>
        <v>#VALUE!</v>
      </c>
    </row>
    <row r="737" spans="1:2" x14ac:dyDescent="0.3">
      <c r="A737" t="e">
        <f>Tabla27[[#This Row],[Agrupación]]</f>
        <v>#VALUE!</v>
      </c>
      <c r="B737" t="e" cm="1">
        <f t="array" ref="B737">TRANSPOSE((_xlfn._xlws.FILTER(INDEX(ProductosPivot!$C$6:$E$1000,,MATCH($A737,ProductosPivot!$C$5:$E$5,0)),INDEX(ProductosPivot!$C$6:$E$1000,,MATCH($A737,ProductosPivot!$C$5:$E$5,0))&lt;&gt;"","No hay nada")))</f>
        <v>#VALUE!</v>
      </c>
    </row>
    <row r="738" spans="1:2" x14ac:dyDescent="0.3">
      <c r="A738" t="e">
        <f>Tabla27[[#This Row],[Agrupación]]</f>
        <v>#VALUE!</v>
      </c>
      <c r="B738" t="e" cm="1">
        <f t="array" ref="B738">TRANSPOSE((_xlfn._xlws.FILTER(INDEX(ProductosPivot!$C$6:$E$1000,,MATCH($A738,ProductosPivot!$C$5:$E$5,0)),INDEX(ProductosPivot!$C$6:$E$1000,,MATCH($A738,ProductosPivot!$C$5:$E$5,0))&lt;&gt;"","No hay nada")))</f>
        <v>#VALUE!</v>
      </c>
    </row>
    <row r="739" spans="1:2" x14ac:dyDescent="0.3">
      <c r="A739" t="e">
        <f>Tabla27[[#This Row],[Agrupación]]</f>
        <v>#VALUE!</v>
      </c>
      <c r="B739" t="e" cm="1">
        <f t="array" ref="B739">TRANSPOSE((_xlfn._xlws.FILTER(INDEX(ProductosPivot!$C$6:$E$1000,,MATCH($A739,ProductosPivot!$C$5:$E$5,0)),INDEX(ProductosPivot!$C$6:$E$1000,,MATCH($A739,ProductosPivot!$C$5:$E$5,0))&lt;&gt;"","No hay nada")))</f>
        <v>#VALUE!</v>
      </c>
    </row>
    <row r="740" spans="1:2" x14ac:dyDescent="0.3">
      <c r="A740" t="e">
        <f>Tabla27[[#This Row],[Agrupación]]</f>
        <v>#VALUE!</v>
      </c>
      <c r="B740" t="e" cm="1">
        <f t="array" ref="B740">TRANSPOSE((_xlfn._xlws.FILTER(INDEX(ProductosPivot!$C$6:$E$1000,,MATCH($A740,ProductosPivot!$C$5:$E$5,0)),INDEX(ProductosPivot!$C$6:$E$1000,,MATCH($A740,ProductosPivot!$C$5:$E$5,0))&lt;&gt;"","No hay nada")))</f>
        <v>#VALUE!</v>
      </c>
    </row>
    <row r="741" spans="1:2" x14ac:dyDescent="0.3">
      <c r="A741" t="e">
        <f>Tabla27[[#This Row],[Agrupación]]</f>
        <v>#VALUE!</v>
      </c>
      <c r="B741" t="e" cm="1">
        <f t="array" ref="B741">TRANSPOSE((_xlfn._xlws.FILTER(INDEX(ProductosPivot!$C$6:$E$1000,,MATCH($A741,ProductosPivot!$C$5:$E$5,0)),INDEX(ProductosPivot!$C$6:$E$1000,,MATCH($A741,ProductosPivot!$C$5:$E$5,0))&lt;&gt;"","No hay nada")))</f>
        <v>#VALUE!</v>
      </c>
    </row>
    <row r="742" spans="1:2" x14ac:dyDescent="0.3">
      <c r="A742" t="e">
        <f>Tabla27[[#This Row],[Agrupación]]</f>
        <v>#VALUE!</v>
      </c>
      <c r="B742" t="e" cm="1">
        <f t="array" ref="B742">TRANSPOSE((_xlfn._xlws.FILTER(INDEX(ProductosPivot!$C$6:$E$1000,,MATCH($A742,ProductosPivot!$C$5:$E$5,0)),INDEX(ProductosPivot!$C$6:$E$1000,,MATCH($A742,ProductosPivot!$C$5:$E$5,0))&lt;&gt;"","No hay nada")))</f>
        <v>#VALUE!</v>
      </c>
    </row>
    <row r="743" spans="1:2" x14ac:dyDescent="0.3">
      <c r="A743" t="e">
        <f>Tabla27[[#This Row],[Agrupación]]</f>
        <v>#VALUE!</v>
      </c>
      <c r="B743" t="e" cm="1">
        <f t="array" ref="B743">TRANSPOSE((_xlfn._xlws.FILTER(INDEX(ProductosPivot!$C$6:$E$1000,,MATCH($A743,ProductosPivot!$C$5:$E$5,0)),INDEX(ProductosPivot!$C$6:$E$1000,,MATCH($A743,ProductosPivot!$C$5:$E$5,0))&lt;&gt;"","No hay nada")))</f>
        <v>#VALUE!</v>
      </c>
    </row>
    <row r="744" spans="1:2" x14ac:dyDescent="0.3">
      <c r="A744" t="e">
        <f>Tabla27[[#This Row],[Agrupación]]</f>
        <v>#VALUE!</v>
      </c>
      <c r="B744" t="e" cm="1">
        <f t="array" ref="B744">TRANSPOSE((_xlfn._xlws.FILTER(INDEX(ProductosPivot!$C$6:$E$1000,,MATCH($A744,ProductosPivot!$C$5:$E$5,0)),INDEX(ProductosPivot!$C$6:$E$1000,,MATCH($A744,ProductosPivot!$C$5:$E$5,0))&lt;&gt;"","No hay nada")))</f>
        <v>#VALUE!</v>
      </c>
    </row>
    <row r="745" spans="1:2" x14ac:dyDescent="0.3">
      <c r="A745" t="e">
        <f>Tabla27[[#This Row],[Agrupación]]</f>
        <v>#VALUE!</v>
      </c>
      <c r="B745" t="e" cm="1">
        <f t="array" ref="B745">TRANSPOSE((_xlfn._xlws.FILTER(INDEX(ProductosPivot!$C$6:$E$1000,,MATCH($A745,ProductosPivot!$C$5:$E$5,0)),INDEX(ProductosPivot!$C$6:$E$1000,,MATCH($A745,ProductosPivot!$C$5:$E$5,0))&lt;&gt;"","No hay nada")))</f>
        <v>#VALUE!</v>
      </c>
    </row>
    <row r="746" spans="1:2" x14ac:dyDescent="0.3">
      <c r="A746" t="e">
        <f>Tabla27[[#This Row],[Agrupación]]</f>
        <v>#VALUE!</v>
      </c>
      <c r="B746" t="e" cm="1">
        <f t="array" ref="B746">TRANSPOSE((_xlfn._xlws.FILTER(INDEX(ProductosPivot!$C$6:$E$1000,,MATCH($A746,ProductosPivot!$C$5:$E$5,0)),INDEX(ProductosPivot!$C$6:$E$1000,,MATCH($A746,ProductosPivot!$C$5:$E$5,0))&lt;&gt;"","No hay nada")))</f>
        <v>#VALUE!</v>
      </c>
    </row>
    <row r="747" spans="1:2" x14ac:dyDescent="0.3">
      <c r="A747" t="e">
        <f>Tabla27[[#This Row],[Agrupación]]</f>
        <v>#VALUE!</v>
      </c>
      <c r="B747" t="e" cm="1">
        <f t="array" ref="B747">TRANSPOSE((_xlfn._xlws.FILTER(INDEX(ProductosPivot!$C$6:$E$1000,,MATCH($A747,ProductosPivot!$C$5:$E$5,0)),INDEX(ProductosPivot!$C$6:$E$1000,,MATCH($A747,ProductosPivot!$C$5:$E$5,0))&lt;&gt;"","No hay nada")))</f>
        <v>#VALUE!</v>
      </c>
    </row>
    <row r="748" spans="1:2" x14ac:dyDescent="0.3">
      <c r="A748" t="e">
        <f>Tabla27[[#This Row],[Agrupación]]</f>
        <v>#VALUE!</v>
      </c>
      <c r="B748" t="e" cm="1">
        <f t="array" ref="B748">TRANSPOSE((_xlfn._xlws.FILTER(INDEX(ProductosPivot!$C$6:$E$1000,,MATCH($A748,ProductosPivot!$C$5:$E$5,0)),INDEX(ProductosPivot!$C$6:$E$1000,,MATCH($A748,ProductosPivot!$C$5:$E$5,0))&lt;&gt;"","No hay nada")))</f>
        <v>#VALUE!</v>
      </c>
    </row>
    <row r="749" spans="1:2" x14ac:dyDescent="0.3">
      <c r="A749" t="e">
        <f>Tabla27[[#This Row],[Agrupación]]</f>
        <v>#VALUE!</v>
      </c>
      <c r="B749" t="e" cm="1">
        <f t="array" ref="B749">TRANSPOSE((_xlfn._xlws.FILTER(INDEX(ProductosPivot!$C$6:$E$1000,,MATCH($A749,ProductosPivot!$C$5:$E$5,0)),INDEX(ProductosPivot!$C$6:$E$1000,,MATCH($A749,ProductosPivot!$C$5:$E$5,0))&lt;&gt;"","No hay nada")))</f>
        <v>#VALUE!</v>
      </c>
    </row>
    <row r="750" spans="1:2" x14ac:dyDescent="0.3">
      <c r="A750" t="e">
        <f>Tabla27[[#This Row],[Agrupación]]</f>
        <v>#VALUE!</v>
      </c>
      <c r="B750" t="e" cm="1">
        <f t="array" ref="B750">TRANSPOSE((_xlfn._xlws.FILTER(INDEX(ProductosPivot!$C$6:$E$1000,,MATCH($A750,ProductosPivot!$C$5:$E$5,0)),INDEX(ProductosPivot!$C$6:$E$1000,,MATCH($A750,ProductosPivot!$C$5:$E$5,0))&lt;&gt;"","No hay nada")))</f>
        <v>#VALUE!</v>
      </c>
    </row>
    <row r="751" spans="1:2" x14ac:dyDescent="0.3">
      <c r="A751" t="e">
        <f>Tabla27[[#This Row],[Agrupación]]</f>
        <v>#VALUE!</v>
      </c>
      <c r="B751" t="e" cm="1">
        <f t="array" ref="B751">TRANSPOSE((_xlfn._xlws.FILTER(INDEX(ProductosPivot!$C$6:$E$1000,,MATCH($A751,ProductosPivot!$C$5:$E$5,0)),INDEX(ProductosPivot!$C$6:$E$1000,,MATCH($A751,ProductosPivot!$C$5:$E$5,0))&lt;&gt;"","No hay nada")))</f>
        <v>#VALUE!</v>
      </c>
    </row>
    <row r="752" spans="1:2" x14ac:dyDescent="0.3">
      <c r="A752" t="e">
        <f>Tabla27[[#This Row],[Agrupación]]</f>
        <v>#VALUE!</v>
      </c>
      <c r="B752" t="e" cm="1">
        <f t="array" ref="B752">TRANSPOSE((_xlfn._xlws.FILTER(INDEX(ProductosPivot!$C$6:$E$1000,,MATCH($A752,ProductosPivot!$C$5:$E$5,0)),INDEX(ProductosPivot!$C$6:$E$1000,,MATCH($A752,ProductosPivot!$C$5:$E$5,0))&lt;&gt;"","No hay nada")))</f>
        <v>#VALUE!</v>
      </c>
    </row>
    <row r="753" spans="1:2" x14ac:dyDescent="0.3">
      <c r="A753" t="e">
        <f>Tabla27[[#This Row],[Agrupación]]</f>
        <v>#VALUE!</v>
      </c>
      <c r="B753" t="e" cm="1">
        <f t="array" ref="B753">TRANSPOSE((_xlfn._xlws.FILTER(INDEX(ProductosPivot!$C$6:$E$1000,,MATCH($A753,ProductosPivot!$C$5:$E$5,0)),INDEX(ProductosPivot!$C$6:$E$1000,,MATCH($A753,ProductosPivot!$C$5:$E$5,0))&lt;&gt;"","No hay nada")))</f>
        <v>#VALUE!</v>
      </c>
    </row>
    <row r="754" spans="1:2" x14ac:dyDescent="0.3">
      <c r="A754" t="e">
        <f>Tabla27[[#This Row],[Agrupación]]</f>
        <v>#VALUE!</v>
      </c>
      <c r="B754" t="e" cm="1">
        <f t="array" ref="B754">TRANSPOSE((_xlfn._xlws.FILTER(INDEX(ProductosPivot!$C$6:$E$1000,,MATCH($A754,ProductosPivot!$C$5:$E$5,0)),INDEX(ProductosPivot!$C$6:$E$1000,,MATCH($A754,ProductosPivot!$C$5:$E$5,0))&lt;&gt;"","No hay nada")))</f>
        <v>#VALUE!</v>
      </c>
    </row>
    <row r="755" spans="1:2" x14ac:dyDescent="0.3">
      <c r="A755" t="e">
        <f>Tabla27[[#This Row],[Agrupación]]</f>
        <v>#VALUE!</v>
      </c>
      <c r="B755" t="e" cm="1">
        <f t="array" ref="B755">TRANSPOSE((_xlfn._xlws.FILTER(INDEX(ProductosPivot!$C$6:$E$1000,,MATCH($A755,ProductosPivot!$C$5:$E$5,0)),INDEX(ProductosPivot!$C$6:$E$1000,,MATCH($A755,ProductosPivot!$C$5:$E$5,0))&lt;&gt;"","No hay nada")))</f>
        <v>#VALUE!</v>
      </c>
    </row>
    <row r="756" spans="1:2" x14ac:dyDescent="0.3">
      <c r="A756" t="e">
        <f>Tabla27[[#This Row],[Agrupación]]</f>
        <v>#VALUE!</v>
      </c>
      <c r="B756" t="e" cm="1">
        <f t="array" ref="B756">TRANSPOSE((_xlfn._xlws.FILTER(INDEX(ProductosPivot!$C$6:$E$1000,,MATCH($A756,ProductosPivot!$C$5:$E$5,0)),INDEX(ProductosPivot!$C$6:$E$1000,,MATCH($A756,ProductosPivot!$C$5:$E$5,0))&lt;&gt;"","No hay nada")))</f>
        <v>#VALUE!</v>
      </c>
    </row>
    <row r="757" spans="1:2" x14ac:dyDescent="0.3">
      <c r="A757" t="e">
        <f>Tabla27[[#This Row],[Agrupación]]</f>
        <v>#VALUE!</v>
      </c>
      <c r="B757" t="e" cm="1">
        <f t="array" ref="B757">TRANSPOSE((_xlfn._xlws.FILTER(INDEX(ProductosPivot!$C$6:$E$1000,,MATCH($A757,ProductosPivot!$C$5:$E$5,0)),INDEX(ProductosPivot!$C$6:$E$1000,,MATCH($A757,ProductosPivot!$C$5:$E$5,0))&lt;&gt;"","No hay nada")))</f>
        <v>#VALUE!</v>
      </c>
    </row>
    <row r="758" spans="1:2" x14ac:dyDescent="0.3">
      <c r="A758" t="e">
        <f>Tabla27[[#This Row],[Agrupación]]</f>
        <v>#VALUE!</v>
      </c>
      <c r="B758" t="e" cm="1">
        <f t="array" ref="B758">TRANSPOSE((_xlfn._xlws.FILTER(INDEX(ProductosPivot!$C$6:$E$1000,,MATCH($A758,ProductosPivot!$C$5:$E$5,0)),INDEX(ProductosPivot!$C$6:$E$1000,,MATCH($A758,ProductosPivot!$C$5:$E$5,0))&lt;&gt;"","No hay nada")))</f>
        <v>#VALUE!</v>
      </c>
    </row>
    <row r="759" spans="1:2" x14ac:dyDescent="0.3">
      <c r="A759" t="e">
        <f>Tabla27[[#This Row],[Agrupación]]</f>
        <v>#VALUE!</v>
      </c>
      <c r="B759" t="e" cm="1">
        <f t="array" ref="B759">TRANSPOSE((_xlfn._xlws.FILTER(INDEX(ProductosPivot!$C$6:$E$1000,,MATCH($A759,ProductosPivot!$C$5:$E$5,0)),INDEX(ProductosPivot!$C$6:$E$1000,,MATCH($A759,ProductosPivot!$C$5:$E$5,0))&lt;&gt;"","No hay nada")))</f>
        <v>#VALUE!</v>
      </c>
    </row>
    <row r="760" spans="1:2" x14ac:dyDescent="0.3">
      <c r="A760" t="e">
        <f>Tabla27[[#This Row],[Agrupación]]</f>
        <v>#VALUE!</v>
      </c>
      <c r="B760" t="e" cm="1">
        <f t="array" ref="B760">TRANSPOSE((_xlfn._xlws.FILTER(INDEX(ProductosPivot!$C$6:$E$1000,,MATCH($A760,ProductosPivot!$C$5:$E$5,0)),INDEX(ProductosPivot!$C$6:$E$1000,,MATCH($A760,ProductosPivot!$C$5:$E$5,0))&lt;&gt;"","No hay nada")))</f>
        <v>#VALUE!</v>
      </c>
    </row>
    <row r="761" spans="1:2" x14ac:dyDescent="0.3">
      <c r="A761" t="e">
        <f>Tabla27[[#This Row],[Agrupación]]</f>
        <v>#VALUE!</v>
      </c>
      <c r="B761" t="e" cm="1">
        <f t="array" ref="B761">TRANSPOSE((_xlfn._xlws.FILTER(INDEX(ProductosPivot!$C$6:$E$1000,,MATCH($A761,ProductosPivot!$C$5:$E$5,0)),INDEX(ProductosPivot!$C$6:$E$1000,,MATCH($A761,ProductosPivot!$C$5:$E$5,0))&lt;&gt;"","No hay nada")))</f>
        <v>#VALUE!</v>
      </c>
    </row>
    <row r="762" spans="1:2" x14ac:dyDescent="0.3">
      <c r="A762" t="e">
        <f>Tabla27[[#This Row],[Agrupación]]</f>
        <v>#VALUE!</v>
      </c>
      <c r="B762" t="e" cm="1">
        <f t="array" ref="B762">TRANSPOSE((_xlfn._xlws.FILTER(INDEX(ProductosPivot!$C$6:$E$1000,,MATCH($A762,ProductosPivot!$C$5:$E$5,0)),INDEX(ProductosPivot!$C$6:$E$1000,,MATCH($A762,ProductosPivot!$C$5:$E$5,0))&lt;&gt;"","No hay nada")))</f>
        <v>#VALUE!</v>
      </c>
    </row>
    <row r="763" spans="1:2" x14ac:dyDescent="0.3">
      <c r="A763" t="e">
        <f>Tabla27[[#This Row],[Agrupación]]</f>
        <v>#VALUE!</v>
      </c>
      <c r="B763" t="e" cm="1">
        <f t="array" ref="B763">TRANSPOSE((_xlfn._xlws.FILTER(INDEX(ProductosPivot!$C$6:$E$1000,,MATCH($A763,ProductosPivot!$C$5:$E$5,0)),INDEX(ProductosPivot!$C$6:$E$1000,,MATCH($A763,ProductosPivot!$C$5:$E$5,0))&lt;&gt;"","No hay nada")))</f>
        <v>#VALUE!</v>
      </c>
    </row>
    <row r="764" spans="1:2" x14ac:dyDescent="0.3">
      <c r="A764" t="e">
        <f>Tabla27[[#This Row],[Agrupación]]</f>
        <v>#VALUE!</v>
      </c>
      <c r="B764" t="e" cm="1">
        <f t="array" ref="B764">TRANSPOSE((_xlfn._xlws.FILTER(INDEX(ProductosPivot!$C$6:$E$1000,,MATCH($A764,ProductosPivot!$C$5:$E$5,0)),INDEX(ProductosPivot!$C$6:$E$1000,,MATCH($A764,ProductosPivot!$C$5:$E$5,0))&lt;&gt;"","No hay nada")))</f>
        <v>#VALUE!</v>
      </c>
    </row>
    <row r="765" spans="1:2" x14ac:dyDescent="0.3">
      <c r="A765" t="e">
        <f>Tabla27[[#This Row],[Agrupación]]</f>
        <v>#VALUE!</v>
      </c>
      <c r="B765" t="e" cm="1">
        <f t="array" ref="B765">TRANSPOSE((_xlfn._xlws.FILTER(INDEX(ProductosPivot!$C$6:$E$1000,,MATCH($A765,ProductosPivot!$C$5:$E$5,0)),INDEX(ProductosPivot!$C$6:$E$1000,,MATCH($A765,ProductosPivot!$C$5:$E$5,0))&lt;&gt;"","No hay nada")))</f>
        <v>#VALUE!</v>
      </c>
    </row>
    <row r="766" spans="1:2" x14ac:dyDescent="0.3">
      <c r="A766" t="e">
        <f>Tabla27[[#This Row],[Agrupación]]</f>
        <v>#VALUE!</v>
      </c>
      <c r="B766" t="e" cm="1">
        <f t="array" ref="B766">TRANSPOSE((_xlfn._xlws.FILTER(INDEX(ProductosPivot!$C$6:$E$1000,,MATCH($A766,ProductosPivot!$C$5:$E$5,0)),INDEX(ProductosPivot!$C$6:$E$1000,,MATCH($A766,ProductosPivot!$C$5:$E$5,0))&lt;&gt;"","No hay nada")))</f>
        <v>#VALUE!</v>
      </c>
    </row>
    <row r="767" spans="1:2" x14ac:dyDescent="0.3">
      <c r="A767" t="e">
        <f>Tabla27[[#This Row],[Agrupación]]</f>
        <v>#VALUE!</v>
      </c>
      <c r="B767" t="e" cm="1">
        <f t="array" ref="B767">TRANSPOSE((_xlfn._xlws.FILTER(INDEX(ProductosPivot!$C$6:$E$1000,,MATCH($A767,ProductosPivot!$C$5:$E$5,0)),INDEX(ProductosPivot!$C$6:$E$1000,,MATCH($A767,ProductosPivot!$C$5:$E$5,0))&lt;&gt;"","No hay nada")))</f>
        <v>#VALUE!</v>
      </c>
    </row>
    <row r="768" spans="1:2" x14ac:dyDescent="0.3">
      <c r="A768" t="e">
        <f>Tabla27[[#This Row],[Agrupación]]</f>
        <v>#VALUE!</v>
      </c>
      <c r="B768" t="e" cm="1">
        <f t="array" ref="B768">TRANSPOSE((_xlfn._xlws.FILTER(INDEX(ProductosPivot!$C$6:$E$1000,,MATCH($A768,ProductosPivot!$C$5:$E$5,0)),INDEX(ProductosPivot!$C$6:$E$1000,,MATCH($A768,ProductosPivot!$C$5:$E$5,0))&lt;&gt;"","No hay nada")))</f>
        <v>#VALUE!</v>
      </c>
    </row>
    <row r="769" spans="1:2" x14ac:dyDescent="0.3">
      <c r="A769" t="e">
        <f>Tabla27[[#This Row],[Agrupación]]</f>
        <v>#VALUE!</v>
      </c>
      <c r="B769" t="e" cm="1">
        <f t="array" ref="B769">TRANSPOSE((_xlfn._xlws.FILTER(INDEX(ProductosPivot!$C$6:$E$1000,,MATCH($A769,ProductosPivot!$C$5:$E$5,0)),INDEX(ProductosPivot!$C$6:$E$1000,,MATCH($A769,ProductosPivot!$C$5:$E$5,0))&lt;&gt;"","No hay nada")))</f>
        <v>#VALUE!</v>
      </c>
    </row>
    <row r="770" spans="1:2" x14ac:dyDescent="0.3">
      <c r="A770" t="e">
        <f>Tabla27[[#This Row],[Agrupación]]</f>
        <v>#VALUE!</v>
      </c>
      <c r="B770" t="e" cm="1">
        <f t="array" ref="B770">TRANSPOSE((_xlfn._xlws.FILTER(INDEX(ProductosPivot!$C$6:$E$1000,,MATCH($A770,ProductosPivot!$C$5:$E$5,0)),INDEX(ProductosPivot!$C$6:$E$1000,,MATCH($A770,ProductosPivot!$C$5:$E$5,0))&lt;&gt;"","No hay nada")))</f>
        <v>#VALUE!</v>
      </c>
    </row>
    <row r="771" spans="1:2" x14ac:dyDescent="0.3">
      <c r="A771" t="e">
        <f>Tabla27[[#This Row],[Agrupación]]</f>
        <v>#VALUE!</v>
      </c>
      <c r="B771" t="e" cm="1">
        <f t="array" ref="B771">TRANSPOSE((_xlfn._xlws.FILTER(INDEX(ProductosPivot!$C$6:$E$1000,,MATCH($A771,ProductosPivot!$C$5:$E$5,0)),INDEX(ProductosPivot!$C$6:$E$1000,,MATCH($A771,ProductosPivot!$C$5:$E$5,0))&lt;&gt;"","No hay nada")))</f>
        <v>#VALUE!</v>
      </c>
    </row>
    <row r="772" spans="1:2" x14ac:dyDescent="0.3">
      <c r="A772" t="e">
        <f>Tabla27[[#This Row],[Agrupación]]</f>
        <v>#VALUE!</v>
      </c>
      <c r="B772" t="e" cm="1">
        <f t="array" ref="B772">TRANSPOSE((_xlfn._xlws.FILTER(INDEX(ProductosPivot!$C$6:$E$1000,,MATCH($A772,ProductosPivot!$C$5:$E$5,0)),INDEX(ProductosPivot!$C$6:$E$1000,,MATCH($A772,ProductosPivot!$C$5:$E$5,0))&lt;&gt;"","No hay nada")))</f>
        <v>#VALUE!</v>
      </c>
    </row>
    <row r="773" spans="1:2" x14ac:dyDescent="0.3">
      <c r="A773" t="e">
        <f>Tabla27[[#This Row],[Agrupación]]</f>
        <v>#VALUE!</v>
      </c>
      <c r="B773" t="e" cm="1">
        <f t="array" ref="B773">TRANSPOSE((_xlfn._xlws.FILTER(INDEX(ProductosPivot!$C$6:$E$1000,,MATCH($A773,ProductosPivot!$C$5:$E$5,0)),INDEX(ProductosPivot!$C$6:$E$1000,,MATCH($A773,ProductosPivot!$C$5:$E$5,0))&lt;&gt;"","No hay nada")))</f>
        <v>#VALUE!</v>
      </c>
    </row>
    <row r="774" spans="1:2" x14ac:dyDescent="0.3">
      <c r="A774" t="e">
        <f>Tabla27[[#This Row],[Agrupación]]</f>
        <v>#VALUE!</v>
      </c>
      <c r="B774" t="e" cm="1">
        <f t="array" ref="B774">TRANSPOSE((_xlfn._xlws.FILTER(INDEX(ProductosPivot!$C$6:$E$1000,,MATCH($A774,ProductosPivot!$C$5:$E$5,0)),INDEX(ProductosPivot!$C$6:$E$1000,,MATCH($A774,ProductosPivot!$C$5:$E$5,0))&lt;&gt;"","No hay nada")))</f>
        <v>#VALUE!</v>
      </c>
    </row>
    <row r="775" spans="1:2" x14ac:dyDescent="0.3">
      <c r="A775" t="e">
        <f>Tabla27[[#This Row],[Agrupación]]</f>
        <v>#VALUE!</v>
      </c>
      <c r="B775" t="e" cm="1">
        <f t="array" ref="B775">TRANSPOSE((_xlfn._xlws.FILTER(INDEX(ProductosPivot!$C$6:$E$1000,,MATCH($A775,ProductosPivot!$C$5:$E$5,0)),INDEX(ProductosPivot!$C$6:$E$1000,,MATCH($A775,ProductosPivot!$C$5:$E$5,0))&lt;&gt;"","No hay nada")))</f>
        <v>#VALUE!</v>
      </c>
    </row>
    <row r="776" spans="1:2" x14ac:dyDescent="0.3">
      <c r="A776" t="e">
        <f>Tabla27[[#This Row],[Agrupación]]</f>
        <v>#VALUE!</v>
      </c>
      <c r="B776" t="e" cm="1">
        <f t="array" ref="B776">TRANSPOSE((_xlfn._xlws.FILTER(INDEX(ProductosPivot!$C$6:$E$1000,,MATCH($A776,ProductosPivot!$C$5:$E$5,0)),INDEX(ProductosPivot!$C$6:$E$1000,,MATCH($A776,ProductosPivot!$C$5:$E$5,0))&lt;&gt;"","No hay nada")))</f>
        <v>#VALUE!</v>
      </c>
    </row>
    <row r="777" spans="1:2" x14ac:dyDescent="0.3">
      <c r="A777" t="e">
        <f>Tabla27[[#This Row],[Agrupación]]</f>
        <v>#VALUE!</v>
      </c>
      <c r="B777" t="e" cm="1">
        <f t="array" ref="B777">TRANSPOSE((_xlfn._xlws.FILTER(INDEX(ProductosPivot!$C$6:$E$1000,,MATCH($A777,ProductosPivot!$C$5:$E$5,0)),INDEX(ProductosPivot!$C$6:$E$1000,,MATCH($A777,ProductosPivot!$C$5:$E$5,0))&lt;&gt;"","No hay nada")))</f>
        <v>#VALUE!</v>
      </c>
    </row>
    <row r="778" spans="1:2" x14ac:dyDescent="0.3">
      <c r="A778" t="e">
        <f>Tabla27[[#This Row],[Agrupación]]</f>
        <v>#VALUE!</v>
      </c>
      <c r="B778" t="e" cm="1">
        <f t="array" ref="B778">TRANSPOSE((_xlfn._xlws.FILTER(INDEX(ProductosPivot!$C$6:$E$1000,,MATCH($A778,ProductosPivot!$C$5:$E$5,0)),INDEX(ProductosPivot!$C$6:$E$1000,,MATCH($A778,ProductosPivot!$C$5:$E$5,0))&lt;&gt;"","No hay nada")))</f>
        <v>#VALUE!</v>
      </c>
    </row>
    <row r="779" spans="1:2" x14ac:dyDescent="0.3">
      <c r="A779" t="e">
        <f>Tabla27[[#This Row],[Agrupación]]</f>
        <v>#VALUE!</v>
      </c>
      <c r="B779" t="e" cm="1">
        <f t="array" ref="B779">TRANSPOSE((_xlfn._xlws.FILTER(INDEX(ProductosPivot!$C$6:$E$1000,,MATCH($A779,ProductosPivot!$C$5:$E$5,0)),INDEX(ProductosPivot!$C$6:$E$1000,,MATCH($A779,ProductosPivot!$C$5:$E$5,0))&lt;&gt;"","No hay nada")))</f>
        <v>#VALUE!</v>
      </c>
    </row>
    <row r="780" spans="1:2" x14ac:dyDescent="0.3">
      <c r="A780" t="e">
        <f>Tabla27[[#This Row],[Agrupación]]</f>
        <v>#VALUE!</v>
      </c>
      <c r="B780" t="e" cm="1">
        <f t="array" ref="B780">TRANSPOSE((_xlfn._xlws.FILTER(INDEX(ProductosPivot!$C$6:$E$1000,,MATCH($A780,ProductosPivot!$C$5:$E$5,0)),INDEX(ProductosPivot!$C$6:$E$1000,,MATCH($A780,ProductosPivot!$C$5:$E$5,0))&lt;&gt;"","No hay nada")))</f>
        <v>#VALUE!</v>
      </c>
    </row>
    <row r="781" spans="1:2" x14ac:dyDescent="0.3">
      <c r="A781" t="e">
        <f>Tabla27[[#This Row],[Agrupación]]</f>
        <v>#VALUE!</v>
      </c>
      <c r="B781" t="e" cm="1">
        <f t="array" ref="B781">TRANSPOSE((_xlfn._xlws.FILTER(INDEX(ProductosPivot!$C$6:$E$1000,,MATCH($A781,ProductosPivot!$C$5:$E$5,0)),INDEX(ProductosPivot!$C$6:$E$1000,,MATCH($A781,ProductosPivot!$C$5:$E$5,0))&lt;&gt;"","No hay nada")))</f>
        <v>#VALUE!</v>
      </c>
    </row>
    <row r="782" spans="1:2" x14ac:dyDescent="0.3">
      <c r="A782" t="e">
        <f>Tabla27[[#This Row],[Agrupación]]</f>
        <v>#VALUE!</v>
      </c>
      <c r="B782" t="e" cm="1">
        <f t="array" ref="B782">TRANSPOSE((_xlfn._xlws.FILTER(INDEX(ProductosPivot!$C$6:$E$1000,,MATCH($A782,ProductosPivot!$C$5:$E$5,0)),INDEX(ProductosPivot!$C$6:$E$1000,,MATCH($A782,ProductosPivot!$C$5:$E$5,0))&lt;&gt;"","No hay nada")))</f>
        <v>#VALUE!</v>
      </c>
    </row>
    <row r="783" spans="1:2" x14ac:dyDescent="0.3">
      <c r="A783" t="e">
        <f>Tabla27[[#This Row],[Agrupación]]</f>
        <v>#VALUE!</v>
      </c>
      <c r="B783" t="e" cm="1">
        <f t="array" ref="B783">TRANSPOSE((_xlfn._xlws.FILTER(INDEX(ProductosPivot!$C$6:$E$1000,,MATCH($A783,ProductosPivot!$C$5:$E$5,0)),INDEX(ProductosPivot!$C$6:$E$1000,,MATCH($A783,ProductosPivot!$C$5:$E$5,0))&lt;&gt;"","No hay nada")))</f>
        <v>#VALUE!</v>
      </c>
    </row>
    <row r="784" spans="1:2" x14ac:dyDescent="0.3">
      <c r="A784" t="e">
        <f>Tabla27[[#This Row],[Agrupación]]</f>
        <v>#VALUE!</v>
      </c>
      <c r="B784" t="e" cm="1">
        <f t="array" ref="B784">TRANSPOSE((_xlfn._xlws.FILTER(INDEX(ProductosPivot!$C$6:$E$1000,,MATCH($A784,ProductosPivot!$C$5:$E$5,0)),INDEX(ProductosPivot!$C$6:$E$1000,,MATCH($A784,ProductosPivot!$C$5:$E$5,0))&lt;&gt;"","No hay nada")))</f>
        <v>#VALUE!</v>
      </c>
    </row>
    <row r="785" spans="1:2" x14ac:dyDescent="0.3">
      <c r="A785" t="e">
        <f>Tabla27[[#This Row],[Agrupación]]</f>
        <v>#VALUE!</v>
      </c>
      <c r="B785" t="e" cm="1">
        <f t="array" ref="B785">TRANSPOSE((_xlfn._xlws.FILTER(INDEX(ProductosPivot!$C$6:$E$1000,,MATCH($A785,ProductosPivot!$C$5:$E$5,0)),INDEX(ProductosPivot!$C$6:$E$1000,,MATCH($A785,ProductosPivot!$C$5:$E$5,0))&lt;&gt;"","No hay nada")))</f>
        <v>#VALUE!</v>
      </c>
    </row>
    <row r="786" spans="1:2" x14ac:dyDescent="0.3">
      <c r="A786" t="e">
        <f>Tabla27[[#This Row],[Agrupación]]</f>
        <v>#VALUE!</v>
      </c>
      <c r="B786" t="e" cm="1">
        <f t="array" ref="B786">TRANSPOSE((_xlfn._xlws.FILTER(INDEX(ProductosPivot!$C$6:$E$1000,,MATCH($A786,ProductosPivot!$C$5:$E$5,0)),INDEX(ProductosPivot!$C$6:$E$1000,,MATCH($A786,ProductosPivot!$C$5:$E$5,0))&lt;&gt;"","No hay nada")))</f>
        <v>#VALUE!</v>
      </c>
    </row>
    <row r="787" spans="1:2" x14ac:dyDescent="0.3">
      <c r="A787" t="e">
        <f>Tabla27[[#This Row],[Agrupación]]</f>
        <v>#VALUE!</v>
      </c>
      <c r="B787" t="e" cm="1">
        <f t="array" ref="B787">TRANSPOSE((_xlfn._xlws.FILTER(INDEX(ProductosPivot!$C$6:$E$1000,,MATCH($A787,ProductosPivot!$C$5:$E$5,0)),INDEX(ProductosPivot!$C$6:$E$1000,,MATCH($A787,ProductosPivot!$C$5:$E$5,0))&lt;&gt;"","No hay nada")))</f>
        <v>#VALUE!</v>
      </c>
    </row>
    <row r="788" spans="1:2" x14ac:dyDescent="0.3">
      <c r="A788" t="e">
        <f>Tabla27[[#This Row],[Agrupación]]</f>
        <v>#VALUE!</v>
      </c>
      <c r="B788" t="e" cm="1">
        <f t="array" ref="B788">TRANSPOSE((_xlfn._xlws.FILTER(INDEX(ProductosPivot!$C$6:$E$1000,,MATCH($A788,ProductosPivot!$C$5:$E$5,0)),INDEX(ProductosPivot!$C$6:$E$1000,,MATCH($A788,ProductosPivot!$C$5:$E$5,0))&lt;&gt;"","No hay nada")))</f>
        <v>#VALUE!</v>
      </c>
    </row>
    <row r="789" spans="1:2" x14ac:dyDescent="0.3">
      <c r="A789" t="e">
        <f>Tabla27[[#This Row],[Agrupación]]</f>
        <v>#VALUE!</v>
      </c>
      <c r="B789" t="e" cm="1">
        <f t="array" ref="B789">TRANSPOSE((_xlfn._xlws.FILTER(INDEX(ProductosPivot!$C$6:$E$1000,,MATCH($A789,ProductosPivot!$C$5:$E$5,0)),INDEX(ProductosPivot!$C$6:$E$1000,,MATCH($A789,ProductosPivot!$C$5:$E$5,0))&lt;&gt;"","No hay nada")))</f>
        <v>#VALUE!</v>
      </c>
    </row>
    <row r="790" spans="1:2" x14ac:dyDescent="0.3">
      <c r="A790" t="e">
        <f>Tabla27[[#This Row],[Agrupación]]</f>
        <v>#VALUE!</v>
      </c>
      <c r="B790" t="e" cm="1">
        <f t="array" ref="B790">TRANSPOSE((_xlfn._xlws.FILTER(INDEX(ProductosPivot!$C$6:$E$1000,,MATCH($A790,ProductosPivot!$C$5:$E$5,0)),INDEX(ProductosPivot!$C$6:$E$1000,,MATCH($A790,ProductosPivot!$C$5:$E$5,0))&lt;&gt;"","No hay nada")))</f>
        <v>#VALUE!</v>
      </c>
    </row>
    <row r="791" spans="1:2" x14ac:dyDescent="0.3">
      <c r="A791" t="e">
        <f>Tabla27[[#This Row],[Agrupación]]</f>
        <v>#VALUE!</v>
      </c>
      <c r="B791" t="e" cm="1">
        <f t="array" ref="B791">TRANSPOSE((_xlfn._xlws.FILTER(INDEX(ProductosPivot!$C$6:$E$1000,,MATCH($A791,ProductosPivot!$C$5:$E$5,0)),INDEX(ProductosPivot!$C$6:$E$1000,,MATCH($A791,ProductosPivot!$C$5:$E$5,0))&lt;&gt;"","No hay nada")))</f>
        <v>#VALUE!</v>
      </c>
    </row>
    <row r="792" spans="1:2" x14ac:dyDescent="0.3">
      <c r="A792" t="e">
        <f>Tabla27[[#This Row],[Agrupación]]</f>
        <v>#VALUE!</v>
      </c>
      <c r="B792" t="e" cm="1">
        <f t="array" ref="B792">TRANSPOSE((_xlfn._xlws.FILTER(INDEX(ProductosPivot!$C$6:$E$1000,,MATCH($A792,ProductosPivot!$C$5:$E$5,0)),INDEX(ProductosPivot!$C$6:$E$1000,,MATCH($A792,ProductosPivot!$C$5:$E$5,0))&lt;&gt;"","No hay nada")))</f>
        <v>#VALUE!</v>
      </c>
    </row>
    <row r="793" spans="1:2" x14ac:dyDescent="0.3">
      <c r="A793" t="e">
        <f>Tabla27[[#This Row],[Agrupación]]</f>
        <v>#VALUE!</v>
      </c>
      <c r="B793" t="e" cm="1">
        <f t="array" ref="B793">TRANSPOSE((_xlfn._xlws.FILTER(INDEX(ProductosPivot!$C$6:$E$1000,,MATCH($A793,ProductosPivot!$C$5:$E$5,0)),INDEX(ProductosPivot!$C$6:$E$1000,,MATCH($A793,ProductosPivot!$C$5:$E$5,0))&lt;&gt;"","No hay nada")))</f>
        <v>#VALUE!</v>
      </c>
    </row>
    <row r="794" spans="1:2" x14ac:dyDescent="0.3">
      <c r="A794" t="e">
        <f>Tabla27[[#This Row],[Agrupación]]</f>
        <v>#VALUE!</v>
      </c>
      <c r="B794" t="e" cm="1">
        <f t="array" ref="B794">TRANSPOSE((_xlfn._xlws.FILTER(INDEX(ProductosPivot!$C$6:$E$1000,,MATCH($A794,ProductosPivot!$C$5:$E$5,0)),INDEX(ProductosPivot!$C$6:$E$1000,,MATCH($A794,ProductosPivot!$C$5:$E$5,0))&lt;&gt;"","No hay nada")))</f>
        <v>#VALUE!</v>
      </c>
    </row>
    <row r="795" spans="1:2" x14ac:dyDescent="0.3">
      <c r="A795" t="e">
        <f>Tabla27[[#This Row],[Agrupación]]</f>
        <v>#VALUE!</v>
      </c>
      <c r="B795" t="e" cm="1">
        <f t="array" ref="B795">TRANSPOSE((_xlfn._xlws.FILTER(INDEX(ProductosPivot!$C$6:$E$1000,,MATCH($A795,ProductosPivot!$C$5:$E$5,0)),INDEX(ProductosPivot!$C$6:$E$1000,,MATCH($A795,ProductosPivot!$C$5:$E$5,0))&lt;&gt;"","No hay nada")))</f>
        <v>#VALUE!</v>
      </c>
    </row>
    <row r="796" spans="1:2" x14ac:dyDescent="0.3">
      <c r="A796" t="e">
        <f>Tabla27[[#This Row],[Agrupación]]</f>
        <v>#VALUE!</v>
      </c>
      <c r="B796" t="e" cm="1">
        <f t="array" ref="B796">TRANSPOSE((_xlfn._xlws.FILTER(INDEX(ProductosPivot!$C$6:$E$1000,,MATCH($A796,ProductosPivot!$C$5:$E$5,0)),INDEX(ProductosPivot!$C$6:$E$1000,,MATCH($A796,ProductosPivot!$C$5:$E$5,0))&lt;&gt;"","No hay nada")))</f>
        <v>#VALUE!</v>
      </c>
    </row>
    <row r="797" spans="1:2" x14ac:dyDescent="0.3">
      <c r="A797" t="e">
        <f>Tabla27[[#This Row],[Agrupación]]</f>
        <v>#VALUE!</v>
      </c>
      <c r="B797" t="e" cm="1">
        <f t="array" ref="B797">TRANSPOSE((_xlfn._xlws.FILTER(INDEX(ProductosPivot!$C$6:$E$1000,,MATCH($A797,ProductosPivot!$C$5:$E$5,0)),INDEX(ProductosPivot!$C$6:$E$1000,,MATCH($A797,ProductosPivot!$C$5:$E$5,0))&lt;&gt;"","No hay nada")))</f>
        <v>#VALUE!</v>
      </c>
    </row>
    <row r="798" spans="1:2" x14ac:dyDescent="0.3">
      <c r="A798" t="e">
        <f>Tabla27[[#This Row],[Agrupación]]</f>
        <v>#VALUE!</v>
      </c>
      <c r="B798" t="e" cm="1">
        <f t="array" ref="B798">TRANSPOSE((_xlfn._xlws.FILTER(INDEX(ProductosPivot!$C$6:$E$1000,,MATCH($A798,ProductosPivot!$C$5:$E$5,0)),INDEX(ProductosPivot!$C$6:$E$1000,,MATCH($A798,ProductosPivot!$C$5:$E$5,0))&lt;&gt;"","No hay nada")))</f>
        <v>#VALUE!</v>
      </c>
    </row>
    <row r="799" spans="1:2" x14ac:dyDescent="0.3">
      <c r="A799" t="e">
        <f>Tabla27[[#This Row],[Agrupación]]</f>
        <v>#VALUE!</v>
      </c>
      <c r="B799" t="e" cm="1">
        <f t="array" ref="B799">TRANSPOSE((_xlfn._xlws.FILTER(INDEX(ProductosPivot!$C$6:$E$1000,,MATCH($A799,ProductosPivot!$C$5:$E$5,0)),INDEX(ProductosPivot!$C$6:$E$1000,,MATCH($A799,ProductosPivot!$C$5:$E$5,0))&lt;&gt;"","No hay nada")))</f>
        <v>#VALUE!</v>
      </c>
    </row>
    <row r="800" spans="1:2" x14ac:dyDescent="0.3">
      <c r="A800" t="e">
        <f>Tabla27[[#This Row],[Agrupación]]</f>
        <v>#VALUE!</v>
      </c>
      <c r="B800" t="e" cm="1">
        <f t="array" ref="B800">TRANSPOSE((_xlfn._xlws.FILTER(INDEX(ProductosPivot!$C$6:$E$1000,,MATCH($A800,ProductosPivot!$C$5:$E$5,0)),INDEX(ProductosPivot!$C$6:$E$1000,,MATCH($A800,ProductosPivot!$C$5:$E$5,0))&lt;&gt;"","No hay nada")))</f>
        <v>#VALUE!</v>
      </c>
    </row>
    <row r="801" spans="1:2" x14ac:dyDescent="0.3">
      <c r="A801" t="e">
        <f>Tabla27[[#This Row],[Agrupación]]</f>
        <v>#VALUE!</v>
      </c>
      <c r="B801" t="e" cm="1">
        <f t="array" ref="B801">TRANSPOSE((_xlfn._xlws.FILTER(INDEX(ProductosPivot!$C$6:$E$1000,,MATCH($A801,ProductosPivot!$C$5:$E$5,0)),INDEX(ProductosPivot!$C$6:$E$1000,,MATCH($A801,ProductosPivot!$C$5:$E$5,0))&lt;&gt;"","No hay nada")))</f>
        <v>#VALUE!</v>
      </c>
    </row>
    <row r="802" spans="1:2" x14ac:dyDescent="0.3">
      <c r="A802" t="e">
        <f>Tabla27[[#This Row],[Agrupación]]</f>
        <v>#VALUE!</v>
      </c>
      <c r="B802" t="e" cm="1">
        <f t="array" ref="B802">TRANSPOSE((_xlfn._xlws.FILTER(INDEX(ProductosPivot!$C$6:$E$1000,,MATCH($A802,ProductosPivot!$C$5:$E$5,0)),INDEX(ProductosPivot!$C$6:$E$1000,,MATCH($A802,ProductosPivot!$C$5:$E$5,0))&lt;&gt;"","No hay nada")))</f>
        <v>#VALUE!</v>
      </c>
    </row>
    <row r="803" spans="1:2" x14ac:dyDescent="0.3">
      <c r="A803" t="e">
        <f>Tabla27[[#This Row],[Agrupación]]</f>
        <v>#VALUE!</v>
      </c>
      <c r="B803" t="e" cm="1">
        <f t="array" ref="B803">TRANSPOSE((_xlfn._xlws.FILTER(INDEX(ProductosPivot!$C$6:$E$1000,,MATCH($A803,ProductosPivot!$C$5:$E$5,0)),INDEX(ProductosPivot!$C$6:$E$1000,,MATCH($A803,ProductosPivot!$C$5:$E$5,0))&lt;&gt;"","No hay nada")))</f>
        <v>#VALUE!</v>
      </c>
    </row>
    <row r="804" spans="1:2" x14ac:dyDescent="0.3">
      <c r="A804" t="e">
        <f>Tabla27[[#This Row],[Agrupación]]</f>
        <v>#VALUE!</v>
      </c>
      <c r="B804" t="e" cm="1">
        <f t="array" ref="B804">TRANSPOSE((_xlfn._xlws.FILTER(INDEX(ProductosPivot!$C$6:$E$1000,,MATCH($A804,ProductosPivot!$C$5:$E$5,0)),INDEX(ProductosPivot!$C$6:$E$1000,,MATCH($A804,ProductosPivot!$C$5:$E$5,0))&lt;&gt;"","No hay nada")))</f>
        <v>#VALUE!</v>
      </c>
    </row>
    <row r="805" spans="1:2" x14ac:dyDescent="0.3">
      <c r="A805" t="e">
        <f>Tabla27[[#This Row],[Agrupación]]</f>
        <v>#VALUE!</v>
      </c>
      <c r="B805" t="e" cm="1">
        <f t="array" ref="B805">TRANSPOSE((_xlfn._xlws.FILTER(INDEX(ProductosPivot!$C$6:$E$1000,,MATCH($A805,ProductosPivot!$C$5:$E$5,0)),INDEX(ProductosPivot!$C$6:$E$1000,,MATCH($A805,ProductosPivot!$C$5:$E$5,0))&lt;&gt;"","No hay nada")))</f>
        <v>#VALUE!</v>
      </c>
    </row>
    <row r="806" spans="1:2" x14ac:dyDescent="0.3">
      <c r="A806" t="e">
        <f>Tabla27[[#This Row],[Agrupación]]</f>
        <v>#VALUE!</v>
      </c>
      <c r="B806" t="e" cm="1">
        <f t="array" ref="B806">TRANSPOSE((_xlfn._xlws.FILTER(INDEX(ProductosPivot!$C$6:$E$1000,,MATCH($A806,ProductosPivot!$C$5:$E$5,0)),INDEX(ProductosPivot!$C$6:$E$1000,,MATCH($A806,ProductosPivot!$C$5:$E$5,0))&lt;&gt;"","No hay nada")))</f>
        <v>#VALUE!</v>
      </c>
    </row>
    <row r="807" spans="1:2" x14ac:dyDescent="0.3">
      <c r="A807" t="e">
        <f>Tabla27[[#This Row],[Agrupación]]</f>
        <v>#VALUE!</v>
      </c>
      <c r="B807" t="e" cm="1">
        <f t="array" ref="B807">TRANSPOSE((_xlfn._xlws.FILTER(INDEX(ProductosPivot!$C$6:$E$1000,,MATCH($A807,ProductosPivot!$C$5:$E$5,0)),INDEX(ProductosPivot!$C$6:$E$1000,,MATCH($A807,ProductosPivot!$C$5:$E$5,0))&lt;&gt;"","No hay nada")))</f>
        <v>#VALUE!</v>
      </c>
    </row>
    <row r="808" spans="1:2" x14ac:dyDescent="0.3">
      <c r="A808" t="e">
        <f>Tabla27[[#This Row],[Agrupación]]</f>
        <v>#VALUE!</v>
      </c>
      <c r="B808" t="e" cm="1">
        <f t="array" ref="B808">TRANSPOSE((_xlfn._xlws.FILTER(INDEX(ProductosPivot!$C$6:$E$1000,,MATCH($A808,ProductosPivot!$C$5:$E$5,0)),INDEX(ProductosPivot!$C$6:$E$1000,,MATCH($A808,ProductosPivot!$C$5:$E$5,0))&lt;&gt;"","No hay nada")))</f>
        <v>#VALUE!</v>
      </c>
    </row>
    <row r="809" spans="1:2" x14ac:dyDescent="0.3">
      <c r="A809" t="e">
        <f>Tabla27[[#This Row],[Agrupación]]</f>
        <v>#VALUE!</v>
      </c>
      <c r="B809" t="e" cm="1">
        <f t="array" ref="B809">TRANSPOSE((_xlfn._xlws.FILTER(INDEX(ProductosPivot!$C$6:$E$1000,,MATCH($A809,ProductosPivot!$C$5:$E$5,0)),INDEX(ProductosPivot!$C$6:$E$1000,,MATCH($A809,ProductosPivot!$C$5:$E$5,0))&lt;&gt;"","No hay nada")))</f>
        <v>#VALUE!</v>
      </c>
    </row>
    <row r="810" spans="1:2" x14ac:dyDescent="0.3">
      <c r="A810" t="e">
        <f>Tabla27[[#This Row],[Agrupación]]</f>
        <v>#VALUE!</v>
      </c>
      <c r="B810" t="e" cm="1">
        <f t="array" ref="B810">TRANSPOSE((_xlfn._xlws.FILTER(INDEX(ProductosPivot!$C$6:$E$1000,,MATCH($A810,ProductosPivot!$C$5:$E$5,0)),INDEX(ProductosPivot!$C$6:$E$1000,,MATCH($A810,ProductosPivot!$C$5:$E$5,0))&lt;&gt;"","No hay nada")))</f>
        <v>#VALUE!</v>
      </c>
    </row>
    <row r="811" spans="1:2" x14ac:dyDescent="0.3">
      <c r="A811" t="e">
        <f>Tabla27[[#This Row],[Agrupación]]</f>
        <v>#VALUE!</v>
      </c>
      <c r="B811" t="e" cm="1">
        <f t="array" ref="B811">TRANSPOSE((_xlfn._xlws.FILTER(INDEX(ProductosPivot!$C$6:$E$1000,,MATCH($A811,ProductosPivot!$C$5:$E$5,0)),INDEX(ProductosPivot!$C$6:$E$1000,,MATCH($A811,ProductosPivot!$C$5:$E$5,0))&lt;&gt;"","No hay nada")))</f>
        <v>#VALUE!</v>
      </c>
    </row>
    <row r="812" spans="1:2" x14ac:dyDescent="0.3">
      <c r="A812" t="e">
        <f>Tabla27[[#This Row],[Agrupación]]</f>
        <v>#VALUE!</v>
      </c>
      <c r="B812" t="e" cm="1">
        <f t="array" ref="B812">TRANSPOSE((_xlfn._xlws.FILTER(INDEX(ProductosPivot!$C$6:$E$1000,,MATCH($A812,ProductosPivot!$C$5:$E$5,0)),INDEX(ProductosPivot!$C$6:$E$1000,,MATCH($A812,ProductosPivot!$C$5:$E$5,0))&lt;&gt;"","No hay nada")))</f>
        <v>#VALUE!</v>
      </c>
    </row>
    <row r="813" spans="1:2" x14ac:dyDescent="0.3">
      <c r="A813" t="e">
        <f>Tabla27[[#This Row],[Agrupación]]</f>
        <v>#VALUE!</v>
      </c>
      <c r="B813" t="e" cm="1">
        <f t="array" ref="B813">TRANSPOSE((_xlfn._xlws.FILTER(INDEX(ProductosPivot!$C$6:$E$1000,,MATCH($A813,ProductosPivot!$C$5:$E$5,0)),INDEX(ProductosPivot!$C$6:$E$1000,,MATCH($A813,ProductosPivot!$C$5:$E$5,0))&lt;&gt;"","No hay nada")))</f>
        <v>#VALUE!</v>
      </c>
    </row>
    <row r="814" spans="1:2" x14ac:dyDescent="0.3">
      <c r="A814" t="e">
        <f>Tabla27[[#This Row],[Agrupación]]</f>
        <v>#VALUE!</v>
      </c>
      <c r="B814" t="e" cm="1">
        <f t="array" ref="B814">TRANSPOSE((_xlfn._xlws.FILTER(INDEX(ProductosPivot!$C$6:$E$1000,,MATCH($A814,ProductosPivot!$C$5:$E$5,0)),INDEX(ProductosPivot!$C$6:$E$1000,,MATCH($A814,ProductosPivot!$C$5:$E$5,0))&lt;&gt;"","No hay nada")))</f>
        <v>#VALUE!</v>
      </c>
    </row>
    <row r="815" spans="1:2" x14ac:dyDescent="0.3">
      <c r="A815" t="e">
        <f>Tabla27[[#This Row],[Agrupación]]</f>
        <v>#VALUE!</v>
      </c>
      <c r="B815" t="e" cm="1">
        <f t="array" ref="B815">TRANSPOSE((_xlfn._xlws.FILTER(INDEX(ProductosPivot!$C$6:$E$1000,,MATCH($A815,ProductosPivot!$C$5:$E$5,0)),INDEX(ProductosPivot!$C$6:$E$1000,,MATCH($A815,ProductosPivot!$C$5:$E$5,0))&lt;&gt;"","No hay nada")))</f>
        <v>#VALUE!</v>
      </c>
    </row>
    <row r="816" spans="1:2" x14ac:dyDescent="0.3">
      <c r="A816" t="e">
        <f>Tabla27[[#This Row],[Agrupación]]</f>
        <v>#VALUE!</v>
      </c>
      <c r="B816" t="e" cm="1">
        <f t="array" ref="B816">TRANSPOSE((_xlfn._xlws.FILTER(INDEX(ProductosPivot!$C$6:$E$1000,,MATCH($A816,ProductosPivot!$C$5:$E$5,0)),INDEX(ProductosPivot!$C$6:$E$1000,,MATCH($A816,ProductosPivot!$C$5:$E$5,0))&lt;&gt;"","No hay nada")))</f>
        <v>#VALUE!</v>
      </c>
    </row>
    <row r="817" spans="1:2" x14ac:dyDescent="0.3">
      <c r="A817" t="e">
        <f>Tabla27[[#This Row],[Agrupación]]</f>
        <v>#VALUE!</v>
      </c>
      <c r="B817" t="e" cm="1">
        <f t="array" ref="B817">TRANSPOSE((_xlfn._xlws.FILTER(INDEX(ProductosPivot!$C$6:$E$1000,,MATCH($A817,ProductosPivot!$C$5:$E$5,0)),INDEX(ProductosPivot!$C$6:$E$1000,,MATCH($A817,ProductosPivot!$C$5:$E$5,0))&lt;&gt;"","No hay nada")))</f>
        <v>#VALUE!</v>
      </c>
    </row>
    <row r="818" spans="1:2" x14ac:dyDescent="0.3">
      <c r="A818" t="e">
        <f>Tabla27[[#This Row],[Agrupación]]</f>
        <v>#VALUE!</v>
      </c>
      <c r="B818" t="e" cm="1">
        <f t="array" ref="B818">TRANSPOSE((_xlfn._xlws.FILTER(INDEX(ProductosPivot!$C$6:$E$1000,,MATCH($A818,ProductosPivot!$C$5:$E$5,0)),INDEX(ProductosPivot!$C$6:$E$1000,,MATCH($A818,ProductosPivot!$C$5:$E$5,0))&lt;&gt;"","No hay nada")))</f>
        <v>#VALUE!</v>
      </c>
    </row>
    <row r="819" spans="1:2" x14ac:dyDescent="0.3">
      <c r="A819" t="e">
        <f>Tabla27[[#This Row],[Agrupación]]</f>
        <v>#VALUE!</v>
      </c>
      <c r="B819" t="e" cm="1">
        <f t="array" ref="B819">TRANSPOSE((_xlfn._xlws.FILTER(INDEX(ProductosPivot!$C$6:$E$1000,,MATCH($A819,ProductosPivot!$C$5:$E$5,0)),INDEX(ProductosPivot!$C$6:$E$1000,,MATCH($A819,ProductosPivot!$C$5:$E$5,0))&lt;&gt;"","No hay nada")))</f>
        <v>#VALUE!</v>
      </c>
    </row>
    <row r="820" spans="1:2" x14ac:dyDescent="0.3">
      <c r="A820" t="e">
        <f>Tabla27[[#This Row],[Agrupación]]</f>
        <v>#VALUE!</v>
      </c>
      <c r="B820" t="e" cm="1">
        <f t="array" ref="B820">TRANSPOSE((_xlfn._xlws.FILTER(INDEX(ProductosPivot!$C$6:$E$1000,,MATCH($A820,ProductosPivot!$C$5:$E$5,0)),INDEX(ProductosPivot!$C$6:$E$1000,,MATCH($A820,ProductosPivot!$C$5:$E$5,0))&lt;&gt;"","No hay nada")))</f>
        <v>#VALUE!</v>
      </c>
    </row>
    <row r="821" spans="1:2" x14ac:dyDescent="0.3">
      <c r="A821" t="e">
        <f>Tabla27[[#This Row],[Agrupación]]</f>
        <v>#VALUE!</v>
      </c>
      <c r="B821" t="e" cm="1">
        <f t="array" ref="B821">TRANSPOSE((_xlfn._xlws.FILTER(INDEX(ProductosPivot!$C$6:$E$1000,,MATCH($A821,ProductosPivot!$C$5:$E$5,0)),INDEX(ProductosPivot!$C$6:$E$1000,,MATCH($A821,ProductosPivot!$C$5:$E$5,0))&lt;&gt;"","No hay nada")))</f>
        <v>#VALUE!</v>
      </c>
    </row>
    <row r="822" spans="1:2" x14ac:dyDescent="0.3">
      <c r="A822" t="e">
        <f>Tabla27[[#This Row],[Agrupación]]</f>
        <v>#VALUE!</v>
      </c>
      <c r="B822" t="e" cm="1">
        <f t="array" ref="B822">TRANSPOSE((_xlfn._xlws.FILTER(INDEX(ProductosPivot!$C$6:$E$1000,,MATCH($A822,ProductosPivot!$C$5:$E$5,0)),INDEX(ProductosPivot!$C$6:$E$1000,,MATCH($A822,ProductosPivot!$C$5:$E$5,0))&lt;&gt;"","No hay nada")))</f>
        <v>#VALUE!</v>
      </c>
    </row>
    <row r="823" spans="1:2" x14ac:dyDescent="0.3">
      <c r="A823" t="e">
        <f>Tabla27[[#This Row],[Agrupación]]</f>
        <v>#VALUE!</v>
      </c>
      <c r="B823" t="e" cm="1">
        <f t="array" ref="B823">TRANSPOSE((_xlfn._xlws.FILTER(INDEX(ProductosPivot!$C$6:$E$1000,,MATCH($A823,ProductosPivot!$C$5:$E$5,0)),INDEX(ProductosPivot!$C$6:$E$1000,,MATCH($A823,ProductosPivot!$C$5:$E$5,0))&lt;&gt;"","No hay nada")))</f>
        <v>#VALUE!</v>
      </c>
    </row>
    <row r="824" spans="1:2" x14ac:dyDescent="0.3">
      <c r="A824" t="e">
        <f>Tabla27[[#This Row],[Agrupación]]</f>
        <v>#VALUE!</v>
      </c>
      <c r="B824" t="e" cm="1">
        <f t="array" ref="B824">TRANSPOSE((_xlfn._xlws.FILTER(INDEX(ProductosPivot!$C$6:$E$1000,,MATCH($A824,ProductosPivot!$C$5:$E$5,0)),INDEX(ProductosPivot!$C$6:$E$1000,,MATCH($A824,ProductosPivot!$C$5:$E$5,0))&lt;&gt;"","No hay nada")))</f>
        <v>#VALUE!</v>
      </c>
    </row>
    <row r="825" spans="1:2" x14ac:dyDescent="0.3">
      <c r="A825" t="e">
        <f>Tabla27[[#This Row],[Agrupación]]</f>
        <v>#VALUE!</v>
      </c>
      <c r="B825" t="e" cm="1">
        <f t="array" ref="B825">TRANSPOSE((_xlfn._xlws.FILTER(INDEX(ProductosPivot!$C$6:$E$1000,,MATCH($A825,ProductosPivot!$C$5:$E$5,0)),INDEX(ProductosPivot!$C$6:$E$1000,,MATCH($A825,ProductosPivot!$C$5:$E$5,0))&lt;&gt;"","No hay nada")))</f>
        <v>#VALUE!</v>
      </c>
    </row>
    <row r="826" spans="1:2" x14ac:dyDescent="0.3">
      <c r="A826" t="e">
        <f>Tabla27[[#This Row],[Agrupación]]</f>
        <v>#VALUE!</v>
      </c>
      <c r="B826" t="e" cm="1">
        <f t="array" ref="B826">TRANSPOSE((_xlfn._xlws.FILTER(INDEX(ProductosPivot!$C$6:$E$1000,,MATCH($A826,ProductosPivot!$C$5:$E$5,0)),INDEX(ProductosPivot!$C$6:$E$1000,,MATCH($A826,ProductosPivot!$C$5:$E$5,0))&lt;&gt;"","No hay nada")))</f>
        <v>#VALUE!</v>
      </c>
    </row>
    <row r="827" spans="1:2" x14ac:dyDescent="0.3">
      <c r="A827" t="e">
        <f>Tabla27[[#This Row],[Agrupación]]</f>
        <v>#VALUE!</v>
      </c>
      <c r="B827" t="e" cm="1">
        <f t="array" ref="B827">TRANSPOSE((_xlfn._xlws.FILTER(INDEX(ProductosPivot!$C$6:$E$1000,,MATCH($A827,ProductosPivot!$C$5:$E$5,0)),INDEX(ProductosPivot!$C$6:$E$1000,,MATCH($A827,ProductosPivot!$C$5:$E$5,0))&lt;&gt;"","No hay nada")))</f>
        <v>#VALUE!</v>
      </c>
    </row>
    <row r="828" spans="1:2" x14ac:dyDescent="0.3">
      <c r="A828" t="e">
        <f>Tabla27[[#This Row],[Agrupación]]</f>
        <v>#VALUE!</v>
      </c>
      <c r="B828" t="e" cm="1">
        <f t="array" ref="B828">TRANSPOSE((_xlfn._xlws.FILTER(INDEX(ProductosPivot!$C$6:$E$1000,,MATCH($A828,ProductosPivot!$C$5:$E$5,0)),INDEX(ProductosPivot!$C$6:$E$1000,,MATCH($A828,ProductosPivot!$C$5:$E$5,0))&lt;&gt;"","No hay nada")))</f>
        <v>#VALUE!</v>
      </c>
    </row>
    <row r="829" spans="1:2" x14ac:dyDescent="0.3">
      <c r="A829" t="e">
        <f>Tabla27[[#This Row],[Agrupación]]</f>
        <v>#VALUE!</v>
      </c>
      <c r="B829" t="e" cm="1">
        <f t="array" ref="B829">TRANSPOSE((_xlfn._xlws.FILTER(INDEX(ProductosPivot!$C$6:$E$1000,,MATCH($A829,ProductosPivot!$C$5:$E$5,0)),INDEX(ProductosPivot!$C$6:$E$1000,,MATCH($A829,ProductosPivot!$C$5:$E$5,0))&lt;&gt;"","No hay nada")))</f>
        <v>#VALUE!</v>
      </c>
    </row>
    <row r="830" spans="1:2" x14ac:dyDescent="0.3">
      <c r="A830" t="e">
        <f>Tabla27[[#This Row],[Agrupación]]</f>
        <v>#VALUE!</v>
      </c>
      <c r="B830" t="e" cm="1">
        <f t="array" ref="B830">TRANSPOSE((_xlfn._xlws.FILTER(INDEX(ProductosPivot!$C$6:$E$1000,,MATCH($A830,ProductosPivot!$C$5:$E$5,0)),INDEX(ProductosPivot!$C$6:$E$1000,,MATCH($A830,ProductosPivot!$C$5:$E$5,0))&lt;&gt;"","No hay nada")))</f>
        <v>#VALUE!</v>
      </c>
    </row>
    <row r="831" spans="1:2" x14ac:dyDescent="0.3">
      <c r="A831" t="e">
        <f>Tabla27[[#This Row],[Agrupación]]</f>
        <v>#VALUE!</v>
      </c>
      <c r="B831" t="e" cm="1">
        <f t="array" ref="B831">TRANSPOSE((_xlfn._xlws.FILTER(INDEX(ProductosPivot!$C$6:$E$1000,,MATCH($A831,ProductosPivot!$C$5:$E$5,0)),INDEX(ProductosPivot!$C$6:$E$1000,,MATCH($A831,ProductosPivot!$C$5:$E$5,0))&lt;&gt;"","No hay nada")))</f>
        <v>#VALUE!</v>
      </c>
    </row>
    <row r="832" spans="1:2" x14ac:dyDescent="0.3">
      <c r="A832" t="e">
        <f>Tabla27[[#This Row],[Agrupación]]</f>
        <v>#VALUE!</v>
      </c>
      <c r="B832" t="e" cm="1">
        <f t="array" ref="B832">TRANSPOSE((_xlfn._xlws.FILTER(INDEX(ProductosPivot!$C$6:$E$1000,,MATCH($A832,ProductosPivot!$C$5:$E$5,0)),INDEX(ProductosPivot!$C$6:$E$1000,,MATCH($A832,ProductosPivot!$C$5:$E$5,0))&lt;&gt;"","No hay nada")))</f>
        <v>#VALUE!</v>
      </c>
    </row>
    <row r="833" spans="1:2" x14ac:dyDescent="0.3">
      <c r="A833" t="e">
        <f>Tabla27[[#This Row],[Agrupación]]</f>
        <v>#VALUE!</v>
      </c>
      <c r="B833" t="e" cm="1">
        <f t="array" ref="B833">TRANSPOSE((_xlfn._xlws.FILTER(INDEX(ProductosPivot!$C$6:$E$1000,,MATCH($A833,ProductosPivot!$C$5:$E$5,0)),INDEX(ProductosPivot!$C$6:$E$1000,,MATCH($A833,ProductosPivot!$C$5:$E$5,0))&lt;&gt;"","No hay nada")))</f>
        <v>#VALUE!</v>
      </c>
    </row>
    <row r="834" spans="1:2" x14ac:dyDescent="0.3">
      <c r="A834" t="e">
        <f>Tabla27[[#This Row],[Agrupación]]</f>
        <v>#VALUE!</v>
      </c>
      <c r="B834" t="e" cm="1">
        <f t="array" ref="B834">TRANSPOSE((_xlfn._xlws.FILTER(INDEX(ProductosPivot!$C$6:$E$1000,,MATCH($A834,ProductosPivot!$C$5:$E$5,0)),INDEX(ProductosPivot!$C$6:$E$1000,,MATCH($A834,ProductosPivot!$C$5:$E$5,0))&lt;&gt;"","No hay nada")))</f>
        <v>#VALUE!</v>
      </c>
    </row>
    <row r="835" spans="1:2" x14ac:dyDescent="0.3">
      <c r="A835" t="e">
        <f>Tabla27[[#This Row],[Agrupación]]</f>
        <v>#VALUE!</v>
      </c>
      <c r="B835" t="e" cm="1">
        <f t="array" ref="B835">TRANSPOSE((_xlfn._xlws.FILTER(INDEX(ProductosPivot!$C$6:$E$1000,,MATCH($A835,ProductosPivot!$C$5:$E$5,0)),INDEX(ProductosPivot!$C$6:$E$1000,,MATCH($A835,ProductosPivot!$C$5:$E$5,0))&lt;&gt;"","No hay nada")))</f>
        <v>#VALUE!</v>
      </c>
    </row>
    <row r="836" spans="1:2" x14ac:dyDescent="0.3">
      <c r="A836" t="e">
        <f>Tabla27[[#This Row],[Agrupación]]</f>
        <v>#VALUE!</v>
      </c>
      <c r="B836" t="e" cm="1">
        <f t="array" ref="B836">TRANSPOSE((_xlfn._xlws.FILTER(INDEX(ProductosPivot!$C$6:$E$1000,,MATCH($A836,ProductosPivot!$C$5:$E$5,0)),INDEX(ProductosPivot!$C$6:$E$1000,,MATCH($A836,ProductosPivot!$C$5:$E$5,0))&lt;&gt;"","No hay nada")))</f>
        <v>#VALUE!</v>
      </c>
    </row>
    <row r="837" spans="1:2" x14ac:dyDescent="0.3">
      <c r="A837" t="e">
        <f>Tabla27[[#This Row],[Agrupación]]</f>
        <v>#VALUE!</v>
      </c>
      <c r="B837" t="e" cm="1">
        <f t="array" ref="B837">TRANSPOSE((_xlfn._xlws.FILTER(INDEX(ProductosPivot!$C$6:$E$1000,,MATCH($A837,ProductosPivot!$C$5:$E$5,0)),INDEX(ProductosPivot!$C$6:$E$1000,,MATCH($A837,ProductosPivot!$C$5:$E$5,0))&lt;&gt;"","No hay nada")))</f>
        <v>#VALUE!</v>
      </c>
    </row>
    <row r="838" spans="1:2" x14ac:dyDescent="0.3">
      <c r="A838" t="e">
        <f>Tabla27[[#This Row],[Agrupación]]</f>
        <v>#VALUE!</v>
      </c>
      <c r="B838" t="e" cm="1">
        <f t="array" ref="B838">TRANSPOSE((_xlfn._xlws.FILTER(INDEX(ProductosPivot!$C$6:$E$1000,,MATCH($A838,ProductosPivot!$C$5:$E$5,0)),INDEX(ProductosPivot!$C$6:$E$1000,,MATCH($A838,ProductosPivot!$C$5:$E$5,0))&lt;&gt;"","No hay nada")))</f>
        <v>#VALUE!</v>
      </c>
    </row>
    <row r="839" spans="1:2" x14ac:dyDescent="0.3">
      <c r="A839" t="e">
        <f>Tabla27[[#This Row],[Agrupación]]</f>
        <v>#VALUE!</v>
      </c>
      <c r="B839" t="e" cm="1">
        <f t="array" ref="B839">TRANSPOSE((_xlfn._xlws.FILTER(INDEX(ProductosPivot!$C$6:$E$1000,,MATCH($A839,ProductosPivot!$C$5:$E$5,0)),INDEX(ProductosPivot!$C$6:$E$1000,,MATCH($A839,ProductosPivot!$C$5:$E$5,0))&lt;&gt;"","No hay nada")))</f>
        <v>#VALUE!</v>
      </c>
    </row>
    <row r="840" spans="1:2" x14ac:dyDescent="0.3">
      <c r="A840" t="e">
        <f>Tabla27[[#This Row],[Agrupación]]</f>
        <v>#VALUE!</v>
      </c>
      <c r="B840" t="e" cm="1">
        <f t="array" ref="B840">TRANSPOSE((_xlfn._xlws.FILTER(INDEX(ProductosPivot!$C$6:$E$1000,,MATCH($A840,ProductosPivot!$C$5:$E$5,0)),INDEX(ProductosPivot!$C$6:$E$1000,,MATCH($A840,ProductosPivot!$C$5:$E$5,0))&lt;&gt;"","No hay nada")))</f>
        <v>#VALUE!</v>
      </c>
    </row>
    <row r="841" spans="1:2" x14ac:dyDescent="0.3">
      <c r="A841" t="e">
        <f>Tabla27[[#This Row],[Agrupación]]</f>
        <v>#VALUE!</v>
      </c>
      <c r="B841" t="e" cm="1">
        <f t="array" ref="B841">TRANSPOSE((_xlfn._xlws.FILTER(INDEX(ProductosPivot!$C$6:$E$1000,,MATCH($A841,ProductosPivot!$C$5:$E$5,0)),INDEX(ProductosPivot!$C$6:$E$1000,,MATCH($A841,ProductosPivot!$C$5:$E$5,0))&lt;&gt;"","No hay nada")))</f>
        <v>#VALUE!</v>
      </c>
    </row>
    <row r="842" spans="1:2" x14ac:dyDescent="0.3">
      <c r="A842" t="e">
        <f>Tabla27[[#This Row],[Agrupación]]</f>
        <v>#VALUE!</v>
      </c>
      <c r="B842" t="e" cm="1">
        <f t="array" ref="B842">TRANSPOSE((_xlfn._xlws.FILTER(INDEX(ProductosPivot!$C$6:$E$1000,,MATCH($A842,ProductosPivot!$C$5:$E$5,0)),INDEX(ProductosPivot!$C$6:$E$1000,,MATCH($A842,ProductosPivot!$C$5:$E$5,0))&lt;&gt;"","No hay nada")))</f>
        <v>#VALUE!</v>
      </c>
    </row>
    <row r="843" spans="1:2" x14ac:dyDescent="0.3">
      <c r="A843" t="e">
        <f>Tabla27[[#This Row],[Agrupación]]</f>
        <v>#VALUE!</v>
      </c>
      <c r="B843" t="e" cm="1">
        <f t="array" ref="B843">TRANSPOSE((_xlfn._xlws.FILTER(INDEX(ProductosPivot!$C$6:$E$1000,,MATCH($A843,ProductosPivot!$C$5:$E$5,0)),INDEX(ProductosPivot!$C$6:$E$1000,,MATCH($A843,ProductosPivot!$C$5:$E$5,0))&lt;&gt;"","No hay nada")))</f>
        <v>#VALUE!</v>
      </c>
    </row>
    <row r="844" spans="1:2" x14ac:dyDescent="0.3">
      <c r="A844" t="e">
        <f>Tabla27[[#This Row],[Agrupación]]</f>
        <v>#VALUE!</v>
      </c>
      <c r="B844" t="e" cm="1">
        <f t="array" ref="B844">TRANSPOSE((_xlfn._xlws.FILTER(INDEX(ProductosPivot!$C$6:$E$1000,,MATCH($A844,ProductosPivot!$C$5:$E$5,0)),INDEX(ProductosPivot!$C$6:$E$1000,,MATCH($A844,ProductosPivot!$C$5:$E$5,0))&lt;&gt;"","No hay nada")))</f>
        <v>#VALUE!</v>
      </c>
    </row>
    <row r="845" spans="1:2" x14ac:dyDescent="0.3">
      <c r="A845" t="e">
        <f>Tabla27[[#This Row],[Agrupación]]</f>
        <v>#VALUE!</v>
      </c>
      <c r="B845" t="e" cm="1">
        <f t="array" ref="B845">TRANSPOSE((_xlfn._xlws.FILTER(INDEX(ProductosPivot!$C$6:$E$1000,,MATCH($A845,ProductosPivot!$C$5:$E$5,0)),INDEX(ProductosPivot!$C$6:$E$1000,,MATCH($A845,ProductosPivot!$C$5:$E$5,0))&lt;&gt;"","No hay nada")))</f>
        <v>#VALUE!</v>
      </c>
    </row>
    <row r="846" spans="1:2" x14ac:dyDescent="0.3">
      <c r="A846" t="e">
        <f>Tabla27[[#This Row],[Agrupación]]</f>
        <v>#VALUE!</v>
      </c>
      <c r="B846" t="e" cm="1">
        <f t="array" ref="B846">TRANSPOSE((_xlfn._xlws.FILTER(INDEX(ProductosPivot!$C$6:$E$1000,,MATCH($A846,ProductosPivot!$C$5:$E$5,0)),INDEX(ProductosPivot!$C$6:$E$1000,,MATCH($A846,ProductosPivot!$C$5:$E$5,0))&lt;&gt;"","No hay nada")))</f>
        <v>#VALUE!</v>
      </c>
    </row>
    <row r="847" spans="1:2" x14ac:dyDescent="0.3">
      <c r="A847" t="e">
        <f>Tabla27[[#This Row],[Agrupación]]</f>
        <v>#VALUE!</v>
      </c>
      <c r="B847" t="e" cm="1">
        <f t="array" ref="B847">TRANSPOSE((_xlfn._xlws.FILTER(INDEX(ProductosPivot!$C$6:$E$1000,,MATCH($A847,ProductosPivot!$C$5:$E$5,0)),INDEX(ProductosPivot!$C$6:$E$1000,,MATCH($A847,ProductosPivot!$C$5:$E$5,0))&lt;&gt;"","No hay nada")))</f>
        <v>#VALUE!</v>
      </c>
    </row>
    <row r="848" spans="1:2" x14ac:dyDescent="0.3">
      <c r="A848" t="e">
        <f>Tabla27[[#This Row],[Agrupación]]</f>
        <v>#VALUE!</v>
      </c>
      <c r="B848" t="e" cm="1">
        <f t="array" ref="B848">TRANSPOSE((_xlfn._xlws.FILTER(INDEX(ProductosPivot!$C$6:$E$1000,,MATCH($A848,ProductosPivot!$C$5:$E$5,0)),INDEX(ProductosPivot!$C$6:$E$1000,,MATCH($A848,ProductosPivot!$C$5:$E$5,0))&lt;&gt;"","No hay nada")))</f>
        <v>#VALUE!</v>
      </c>
    </row>
    <row r="849" spans="1:2" x14ac:dyDescent="0.3">
      <c r="A849" t="e">
        <f>Tabla27[[#This Row],[Agrupación]]</f>
        <v>#VALUE!</v>
      </c>
      <c r="B849" t="e" cm="1">
        <f t="array" ref="B849">TRANSPOSE((_xlfn._xlws.FILTER(INDEX(ProductosPivot!$C$6:$E$1000,,MATCH($A849,ProductosPivot!$C$5:$E$5,0)),INDEX(ProductosPivot!$C$6:$E$1000,,MATCH($A849,ProductosPivot!$C$5:$E$5,0))&lt;&gt;"","No hay nada")))</f>
        <v>#VALUE!</v>
      </c>
    </row>
    <row r="850" spans="1:2" x14ac:dyDescent="0.3">
      <c r="A850" t="e">
        <f>Tabla27[[#This Row],[Agrupación]]</f>
        <v>#VALUE!</v>
      </c>
      <c r="B850" t="e" cm="1">
        <f t="array" ref="B850">TRANSPOSE((_xlfn._xlws.FILTER(INDEX(ProductosPivot!$C$6:$E$1000,,MATCH($A850,ProductosPivot!$C$5:$E$5,0)),INDEX(ProductosPivot!$C$6:$E$1000,,MATCH($A850,ProductosPivot!$C$5:$E$5,0))&lt;&gt;"","No hay nada")))</f>
        <v>#VALUE!</v>
      </c>
    </row>
    <row r="851" spans="1:2" x14ac:dyDescent="0.3">
      <c r="A851" t="e">
        <f>Tabla27[[#This Row],[Agrupación]]</f>
        <v>#VALUE!</v>
      </c>
      <c r="B851" t="e" cm="1">
        <f t="array" ref="B851">TRANSPOSE((_xlfn._xlws.FILTER(INDEX(ProductosPivot!$C$6:$E$1000,,MATCH($A851,ProductosPivot!$C$5:$E$5,0)),INDEX(ProductosPivot!$C$6:$E$1000,,MATCH($A851,ProductosPivot!$C$5:$E$5,0))&lt;&gt;"","No hay nada")))</f>
        <v>#VALUE!</v>
      </c>
    </row>
    <row r="852" spans="1:2" x14ac:dyDescent="0.3">
      <c r="A852" t="e">
        <f>Tabla27[[#This Row],[Agrupación]]</f>
        <v>#VALUE!</v>
      </c>
      <c r="B852" t="e" cm="1">
        <f t="array" ref="B852">TRANSPOSE((_xlfn._xlws.FILTER(INDEX(ProductosPivot!$C$6:$E$1000,,MATCH($A852,ProductosPivot!$C$5:$E$5,0)),INDEX(ProductosPivot!$C$6:$E$1000,,MATCH($A852,ProductosPivot!$C$5:$E$5,0))&lt;&gt;"","No hay nada")))</f>
        <v>#VALUE!</v>
      </c>
    </row>
    <row r="853" spans="1:2" x14ac:dyDescent="0.3">
      <c r="A853" t="e">
        <f>Tabla27[[#This Row],[Agrupación]]</f>
        <v>#VALUE!</v>
      </c>
      <c r="B853" t="e" cm="1">
        <f t="array" ref="B853">TRANSPOSE((_xlfn._xlws.FILTER(INDEX(ProductosPivot!$C$6:$E$1000,,MATCH($A853,ProductosPivot!$C$5:$E$5,0)),INDEX(ProductosPivot!$C$6:$E$1000,,MATCH($A853,ProductosPivot!$C$5:$E$5,0))&lt;&gt;"","No hay nada")))</f>
        <v>#VALUE!</v>
      </c>
    </row>
    <row r="854" spans="1:2" x14ac:dyDescent="0.3">
      <c r="A854" t="e">
        <f>Tabla27[[#This Row],[Agrupación]]</f>
        <v>#VALUE!</v>
      </c>
      <c r="B854" t="e" cm="1">
        <f t="array" ref="B854">TRANSPOSE((_xlfn._xlws.FILTER(INDEX(ProductosPivot!$C$6:$E$1000,,MATCH($A854,ProductosPivot!$C$5:$E$5,0)),INDEX(ProductosPivot!$C$6:$E$1000,,MATCH($A854,ProductosPivot!$C$5:$E$5,0))&lt;&gt;"","No hay nada")))</f>
        <v>#VALUE!</v>
      </c>
    </row>
    <row r="855" spans="1:2" x14ac:dyDescent="0.3">
      <c r="A855" t="e">
        <f>Tabla27[[#This Row],[Agrupación]]</f>
        <v>#VALUE!</v>
      </c>
      <c r="B855" t="e" cm="1">
        <f t="array" ref="B855">TRANSPOSE((_xlfn._xlws.FILTER(INDEX(ProductosPivot!$C$6:$E$1000,,MATCH($A855,ProductosPivot!$C$5:$E$5,0)),INDEX(ProductosPivot!$C$6:$E$1000,,MATCH($A855,ProductosPivot!$C$5:$E$5,0))&lt;&gt;"","No hay nada")))</f>
        <v>#VALUE!</v>
      </c>
    </row>
    <row r="856" spans="1:2" x14ac:dyDescent="0.3">
      <c r="A856" t="e">
        <f>Tabla27[[#This Row],[Agrupación]]</f>
        <v>#VALUE!</v>
      </c>
      <c r="B856" t="e" cm="1">
        <f t="array" ref="B856">TRANSPOSE((_xlfn._xlws.FILTER(INDEX(ProductosPivot!$C$6:$E$1000,,MATCH($A856,ProductosPivot!$C$5:$E$5,0)),INDEX(ProductosPivot!$C$6:$E$1000,,MATCH($A856,ProductosPivot!$C$5:$E$5,0))&lt;&gt;"","No hay nada")))</f>
        <v>#VALUE!</v>
      </c>
    </row>
    <row r="857" spans="1:2" x14ac:dyDescent="0.3">
      <c r="A857" t="e">
        <f>Tabla27[[#This Row],[Agrupación]]</f>
        <v>#VALUE!</v>
      </c>
      <c r="B857" t="e" cm="1">
        <f t="array" ref="B857">TRANSPOSE((_xlfn._xlws.FILTER(INDEX(ProductosPivot!$C$6:$E$1000,,MATCH($A857,ProductosPivot!$C$5:$E$5,0)),INDEX(ProductosPivot!$C$6:$E$1000,,MATCH($A857,ProductosPivot!$C$5:$E$5,0))&lt;&gt;"","No hay nada")))</f>
        <v>#VALUE!</v>
      </c>
    </row>
    <row r="858" spans="1:2" x14ac:dyDescent="0.3">
      <c r="A858" t="e">
        <f>Tabla27[[#This Row],[Agrupación]]</f>
        <v>#VALUE!</v>
      </c>
      <c r="B858" t="e" cm="1">
        <f t="array" ref="B858">TRANSPOSE((_xlfn._xlws.FILTER(INDEX(ProductosPivot!$C$6:$E$1000,,MATCH($A858,ProductosPivot!$C$5:$E$5,0)),INDEX(ProductosPivot!$C$6:$E$1000,,MATCH($A858,ProductosPivot!$C$5:$E$5,0))&lt;&gt;"","No hay nada")))</f>
        <v>#VALUE!</v>
      </c>
    </row>
    <row r="859" spans="1:2" x14ac:dyDescent="0.3">
      <c r="A859" t="e">
        <f>Tabla27[[#This Row],[Agrupación]]</f>
        <v>#VALUE!</v>
      </c>
      <c r="B859" t="e" cm="1">
        <f t="array" ref="B859">TRANSPOSE((_xlfn._xlws.FILTER(INDEX(ProductosPivot!$C$6:$E$1000,,MATCH($A859,ProductosPivot!$C$5:$E$5,0)),INDEX(ProductosPivot!$C$6:$E$1000,,MATCH($A859,ProductosPivot!$C$5:$E$5,0))&lt;&gt;"","No hay nada")))</f>
        <v>#VALUE!</v>
      </c>
    </row>
    <row r="860" spans="1:2" x14ac:dyDescent="0.3">
      <c r="A860" t="e">
        <f>Tabla27[[#This Row],[Agrupación]]</f>
        <v>#VALUE!</v>
      </c>
      <c r="B860" t="e" cm="1">
        <f t="array" ref="B860">TRANSPOSE((_xlfn._xlws.FILTER(INDEX(ProductosPivot!$C$6:$E$1000,,MATCH($A860,ProductosPivot!$C$5:$E$5,0)),INDEX(ProductosPivot!$C$6:$E$1000,,MATCH($A860,ProductosPivot!$C$5:$E$5,0))&lt;&gt;"","No hay nada")))</f>
        <v>#VALUE!</v>
      </c>
    </row>
    <row r="861" spans="1:2" x14ac:dyDescent="0.3">
      <c r="A861" t="e">
        <f>Tabla27[[#This Row],[Agrupación]]</f>
        <v>#VALUE!</v>
      </c>
      <c r="B861" t="e" cm="1">
        <f t="array" ref="B861">TRANSPOSE((_xlfn._xlws.FILTER(INDEX(ProductosPivot!$C$6:$E$1000,,MATCH($A861,ProductosPivot!$C$5:$E$5,0)),INDEX(ProductosPivot!$C$6:$E$1000,,MATCH($A861,ProductosPivot!$C$5:$E$5,0))&lt;&gt;"","No hay nada")))</f>
        <v>#VALUE!</v>
      </c>
    </row>
    <row r="862" spans="1:2" x14ac:dyDescent="0.3">
      <c r="A862" t="e">
        <f>Tabla27[[#This Row],[Agrupación]]</f>
        <v>#VALUE!</v>
      </c>
      <c r="B862" t="e" cm="1">
        <f t="array" ref="B862">TRANSPOSE((_xlfn._xlws.FILTER(INDEX(ProductosPivot!$C$6:$E$1000,,MATCH($A862,ProductosPivot!$C$5:$E$5,0)),INDEX(ProductosPivot!$C$6:$E$1000,,MATCH($A862,ProductosPivot!$C$5:$E$5,0))&lt;&gt;"","No hay nada")))</f>
        <v>#VALUE!</v>
      </c>
    </row>
    <row r="863" spans="1:2" x14ac:dyDescent="0.3">
      <c r="A863" t="e">
        <f>Tabla27[[#This Row],[Agrupación]]</f>
        <v>#VALUE!</v>
      </c>
      <c r="B863" t="e" cm="1">
        <f t="array" ref="B863">TRANSPOSE((_xlfn._xlws.FILTER(INDEX(ProductosPivot!$C$6:$E$1000,,MATCH($A863,ProductosPivot!$C$5:$E$5,0)),INDEX(ProductosPivot!$C$6:$E$1000,,MATCH($A863,ProductosPivot!$C$5:$E$5,0))&lt;&gt;"","No hay nada")))</f>
        <v>#VALUE!</v>
      </c>
    </row>
    <row r="864" spans="1:2" x14ac:dyDescent="0.3">
      <c r="A864" t="e">
        <f>Tabla27[[#This Row],[Agrupación]]</f>
        <v>#VALUE!</v>
      </c>
      <c r="B864" t="e" cm="1">
        <f t="array" ref="B864">TRANSPOSE((_xlfn._xlws.FILTER(INDEX(ProductosPivot!$C$6:$E$1000,,MATCH($A864,ProductosPivot!$C$5:$E$5,0)),INDEX(ProductosPivot!$C$6:$E$1000,,MATCH($A864,ProductosPivot!$C$5:$E$5,0))&lt;&gt;"","No hay nada")))</f>
        <v>#VALUE!</v>
      </c>
    </row>
    <row r="865" spans="1:2" x14ac:dyDescent="0.3">
      <c r="A865" t="e">
        <f>Tabla27[[#This Row],[Agrupación]]</f>
        <v>#VALUE!</v>
      </c>
      <c r="B865" t="e" cm="1">
        <f t="array" ref="B865">TRANSPOSE((_xlfn._xlws.FILTER(INDEX(ProductosPivot!$C$6:$E$1000,,MATCH($A865,ProductosPivot!$C$5:$E$5,0)),INDEX(ProductosPivot!$C$6:$E$1000,,MATCH($A865,ProductosPivot!$C$5:$E$5,0))&lt;&gt;"","No hay nada")))</f>
        <v>#VALUE!</v>
      </c>
    </row>
    <row r="866" spans="1:2" x14ac:dyDescent="0.3">
      <c r="A866" t="e">
        <f>Tabla27[[#This Row],[Agrupación]]</f>
        <v>#VALUE!</v>
      </c>
      <c r="B866" t="e" cm="1">
        <f t="array" ref="B866">TRANSPOSE((_xlfn._xlws.FILTER(INDEX(ProductosPivot!$C$6:$E$1000,,MATCH($A866,ProductosPivot!$C$5:$E$5,0)),INDEX(ProductosPivot!$C$6:$E$1000,,MATCH($A866,ProductosPivot!$C$5:$E$5,0))&lt;&gt;"","No hay nada")))</f>
        <v>#VALUE!</v>
      </c>
    </row>
    <row r="867" spans="1:2" x14ac:dyDescent="0.3">
      <c r="A867" t="e">
        <f>Tabla27[[#This Row],[Agrupación]]</f>
        <v>#VALUE!</v>
      </c>
      <c r="B867" t="e" cm="1">
        <f t="array" ref="B867">TRANSPOSE((_xlfn._xlws.FILTER(INDEX(ProductosPivot!$C$6:$E$1000,,MATCH($A867,ProductosPivot!$C$5:$E$5,0)),INDEX(ProductosPivot!$C$6:$E$1000,,MATCH($A867,ProductosPivot!$C$5:$E$5,0))&lt;&gt;"","No hay nada")))</f>
        <v>#VALUE!</v>
      </c>
    </row>
    <row r="868" spans="1:2" x14ac:dyDescent="0.3">
      <c r="A868" t="e">
        <f>Tabla27[[#This Row],[Agrupación]]</f>
        <v>#VALUE!</v>
      </c>
      <c r="B868" t="e" cm="1">
        <f t="array" ref="B868">TRANSPOSE((_xlfn._xlws.FILTER(INDEX(ProductosPivot!$C$6:$E$1000,,MATCH($A868,ProductosPivot!$C$5:$E$5,0)),INDEX(ProductosPivot!$C$6:$E$1000,,MATCH($A868,ProductosPivot!$C$5:$E$5,0))&lt;&gt;"","No hay nada")))</f>
        <v>#VALUE!</v>
      </c>
    </row>
    <row r="869" spans="1:2" x14ac:dyDescent="0.3">
      <c r="A869" t="e">
        <f>Tabla27[[#This Row],[Agrupación]]</f>
        <v>#VALUE!</v>
      </c>
      <c r="B869" t="e" cm="1">
        <f t="array" ref="B869">TRANSPOSE((_xlfn._xlws.FILTER(INDEX(ProductosPivot!$C$6:$E$1000,,MATCH($A869,ProductosPivot!$C$5:$E$5,0)),INDEX(ProductosPivot!$C$6:$E$1000,,MATCH($A869,ProductosPivot!$C$5:$E$5,0))&lt;&gt;"","No hay nada")))</f>
        <v>#VALUE!</v>
      </c>
    </row>
    <row r="870" spans="1:2" x14ac:dyDescent="0.3">
      <c r="A870" t="e">
        <f>Tabla27[[#This Row],[Agrupación]]</f>
        <v>#VALUE!</v>
      </c>
      <c r="B870" t="e" cm="1">
        <f t="array" ref="B870">TRANSPOSE((_xlfn._xlws.FILTER(INDEX(ProductosPivot!$C$6:$E$1000,,MATCH($A870,ProductosPivot!$C$5:$E$5,0)),INDEX(ProductosPivot!$C$6:$E$1000,,MATCH($A870,ProductosPivot!$C$5:$E$5,0))&lt;&gt;"","No hay nada")))</f>
        <v>#VALUE!</v>
      </c>
    </row>
    <row r="871" spans="1:2" x14ac:dyDescent="0.3">
      <c r="A871" t="e">
        <f>Tabla27[[#This Row],[Agrupación]]</f>
        <v>#VALUE!</v>
      </c>
      <c r="B871" t="e" cm="1">
        <f t="array" ref="B871">TRANSPOSE((_xlfn._xlws.FILTER(INDEX(ProductosPivot!$C$6:$E$1000,,MATCH($A871,ProductosPivot!$C$5:$E$5,0)),INDEX(ProductosPivot!$C$6:$E$1000,,MATCH($A871,ProductosPivot!$C$5:$E$5,0))&lt;&gt;"","No hay nada")))</f>
        <v>#VALUE!</v>
      </c>
    </row>
    <row r="872" spans="1:2" x14ac:dyDescent="0.3">
      <c r="A872" t="e">
        <f>Tabla27[[#This Row],[Agrupación]]</f>
        <v>#VALUE!</v>
      </c>
      <c r="B872" t="e" cm="1">
        <f t="array" ref="B872">TRANSPOSE((_xlfn._xlws.FILTER(INDEX(ProductosPivot!$C$6:$E$1000,,MATCH($A872,ProductosPivot!$C$5:$E$5,0)),INDEX(ProductosPivot!$C$6:$E$1000,,MATCH($A872,ProductosPivot!$C$5:$E$5,0))&lt;&gt;"","No hay nada")))</f>
        <v>#VALUE!</v>
      </c>
    </row>
    <row r="873" spans="1:2" x14ac:dyDescent="0.3">
      <c r="A873" t="e">
        <f>Tabla27[[#This Row],[Agrupación]]</f>
        <v>#VALUE!</v>
      </c>
      <c r="B873" t="e" cm="1">
        <f t="array" ref="B873">TRANSPOSE((_xlfn._xlws.FILTER(INDEX(ProductosPivot!$C$6:$E$1000,,MATCH($A873,ProductosPivot!$C$5:$E$5,0)),INDEX(ProductosPivot!$C$6:$E$1000,,MATCH($A873,ProductosPivot!$C$5:$E$5,0))&lt;&gt;"","No hay nada")))</f>
        <v>#VALUE!</v>
      </c>
    </row>
    <row r="874" spans="1:2" x14ac:dyDescent="0.3">
      <c r="A874" t="e">
        <f>Tabla27[[#This Row],[Agrupación]]</f>
        <v>#VALUE!</v>
      </c>
      <c r="B874" t="e" cm="1">
        <f t="array" ref="B874">TRANSPOSE((_xlfn._xlws.FILTER(INDEX(ProductosPivot!$C$6:$E$1000,,MATCH($A874,ProductosPivot!$C$5:$E$5,0)),INDEX(ProductosPivot!$C$6:$E$1000,,MATCH($A874,ProductosPivot!$C$5:$E$5,0))&lt;&gt;"","No hay nada")))</f>
        <v>#VALUE!</v>
      </c>
    </row>
    <row r="875" spans="1:2" x14ac:dyDescent="0.3">
      <c r="A875" t="e">
        <f>Tabla27[[#This Row],[Agrupación]]</f>
        <v>#VALUE!</v>
      </c>
      <c r="B875" t="e" cm="1">
        <f t="array" ref="B875">TRANSPOSE((_xlfn._xlws.FILTER(INDEX(ProductosPivot!$C$6:$E$1000,,MATCH($A875,ProductosPivot!$C$5:$E$5,0)),INDEX(ProductosPivot!$C$6:$E$1000,,MATCH($A875,ProductosPivot!$C$5:$E$5,0))&lt;&gt;"","No hay nada")))</f>
        <v>#VALUE!</v>
      </c>
    </row>
    <row r="876" spans="1:2" x14ac:dyDescent="0.3">
      <c r="A876" t="e">
        <f>Tabla27[[#This Row],[Agrupación]]</f>
        <v>#VALUE!</v>
      </c>
      <c r="B876" t="e" cm="1">
        <f t="array" ref="B876">TRANSPOSE((_xlfn._xlws.FILTER(INDEX(ProductosPivot!$C$6:$E$1000,,MATCH($A876,ProductosPivot!$C$5:$E$5,0)),INDEX(ProductosPivot!$C$6:$E$1000,,MATCH($A876,ProductosPivot!$C$5:$E$5,0))&lt;&gt;"","No hay nada")))</f>
        <v>#VALUE!</v>
      </c>
    </row>
    <row r="877" spans="1:2" x14ac:dyDescent="0.3">
      <c r="A877" t="e">
        <f>Tabla27[[#This Row],[Agrupación]]</f>
        <v>#VALUE!</v>
      </c>
      <c r="B877" t="e" cm="1">
        <f t="array" ref="B877">TRANSPOSE((_xlfn._xlws.FILTER(INDEX(ProductosPivot!$C$6:$E$1000,,MATCH($A877,ProductosPivot!$C$5:$E$5,0)),INDEX(ProductosPivot!$C$6:$E$1000,,MATCH($A877,ProductosPivot!$C$5:$E$5,0))&lt;&gt;"","No hay nada")))</f>
        <v>#VALUE!</v>
      </c>
    </row>
    <row r="878" spans="1:2" x14ac:dyDescent="0.3">
      <c r="A878" t="e">
        <f>Tabla27[[#This Row],[Agrupación]]</f>
        <v>#VALUE!</v>
      </c>
      <c r="B878" t="e" cm="1">
        <f t="array" ref="B878">TRANSPOSE((_xlfn._xlws.FILTER(INDEX(ProductosPivot!$C$6:$E$1000,,MATCH($A878,ProductosPivot!$C$5:$E$5,0)),INDEX(ProductosPivot!$C$6:$E$1000,,MATCH($A878,ProductosPivot!$C$5:$E$5,0))&lt;&gt;"","No hay nada")))</f>
        <v>#VALUE!</v>
      </c>
    </row>
    <row r="879" spans="1:2" x14ac:dyDescent="0.3">
      <c r="A879" t="e">
        <f>Tabla27[[#This Row],[Agrupación]]</f>
        <v>#VALUE!</v>
      </c>
      <c r="B879" t="e" cm="1">
        <f t="array" ref="B879">TRANSPOSE((_xlfn._xlws.FILTER(INDEX(ProductosPivot!$C$6:$E$1000,,MATCH($A879,ProductosPivot!$C$5:$E$5,0)),INDEX(ProductosPivot!$C$6:$E$1000,,MATCH($A879,ProductosPivot!$C$5:$E$5,0))&lt;&gt;"","No hay nada")))</f>
        <v>#VALUE!</v>
      </c>
    </row>
    <row r="880" spans="1:2" x14ac:dyDescent="0.3">
      <c r="A880" t="e">
        <f>Tabla27[[#This Row],[Agrupación]]</f>
        <v>#VALUE!</v>
      </c>
      <c r="B880" t="e" cm="1">
        <f t="array" ref="B880">TRANSPOSE((_xlfn._xlws.FILTER(INDEX(ProductosPivot!$C$6:$E$1000,,MATCH($A880,ProductosPivot!$C$5:$E$5,0)),INDEX(ProductosPivot!$C$6:$E$1000,,MATCH($A880,ProductosPivot!$C$5:$E$5,0))&lt;&gt;"","No hay nada")))</f>
        <v>#VALUE!</v>
      </c>
    </row>
    <row r="881" spans="1:2" x14ac:dyDescent="0.3">
      <c r="A881" t="e">
        <f>Tabla27[[#This Row],[Agrupación]]</f>
        <v>#VALUE!</v>
      </c>
      <c r="B881" t="e" cm="1">
        <f t="array" ref="B881">TRANSPOSE((_xlfn._xlws.FILTER(INDEX(ProductosPivot!$C$6:$E$1000,,MATCH($A881,ProductosPivot!$C$5:$E$5,0)),INDEX(ProductosPivot!$C$6:$E$1000,,MATCH($A881,ProductosPivot!$C$5:$E$5,0))&lt;&gt;"","No hay nada")))</f>
        <v>#VALUE!</v>
      </c>
    </row>
    <row r="882" spans="1:2" x14ac:dyDescent="0.3">
      <c r="A882" t="e">
        <f>Tabla27[[#This Row],[Agrupación]]</f>
        <v>#VALUE!</v>
      </c>
      <c r="B882" t="e" cm="1">
        <f t="array" ref="B882">TRANSPOSE((_xlfn._xlws.FILTER(INDEX(ProductosPivot!$C$6:$E$1000,,MATCH($A882,ProductosPivot!$C$5:$E$5,0)),INDEX(ProductosPivot!$C$6:$E$1000,,MATCH($A882,ProductosPivot!$C$5:$E$5,0))&lt;&gt;"","No hay nada")))</f>
        <v>#VALUE!</v>
      </c>
    </row>
    <row r="883" spans="1:2" x14ac:dyDescent="0.3">
      <c r="A883" t="e">
        <f>Tabla27[[#This Row],[Agrupación]]</f>
        <v>#VALUE!</v>
      </c>
      <c r="B883" t="e" cm="1">
        <f t="array" ref="B883">TRANSPOSE((_xlfn._xlws.FILTER(INDEX(ProductosPivot!$C$6:$E$1000,,MATCH($A883,ProductosPivot!$C$5:$E$5,0)),INDEX(ProductosPivot!$C$6:$E$1000,,MATCH($A883,ProductosPivot!$C$5:$E$5,0))&lt;&gt;"","No hay nada")))</f>
        <v>#VALUE!</v>
      </c>
    </row>
    <row r="884" spans="1:2" x14ac:dyDescent="0.3">
      <c r="A884" t="e">
        <f>Tabla27[[#This Row],[Agrupación]]</f>
        <v>#VALUE!</v>
      </c>
      <c r="B884" t="e" cm="1">
        <f t="array" ref="B884">TRANSPOSE((_xlfn._xlws.FILTER(INDEX(ProductosPivot!$C$6:$E$1000,,MATCH($A884,ProductosPivot!$C$5:$E$5,0)),INDEX(ProductosPivot!$C$6:$E$1000,,MATCH($A884,ProductosPivot!$C$5:$E$5,0))&lt;&gt;"","No hay nada")))</f>
        <v>#VALUE!</v>
      </c>
    </row>
    <row r="885" spans="1:2" x14ac:dyDescent="0.3">
      <c r="A885" t="e">
        <f>Tabla27[[#This Row],[Agrupación]]</f>
        <v>#VALUE!</v>
      </c>
      <c r="B885" t="e" cm="1">
        <f t="array" ref="B885">TRANSPOSE((_xlfn._xlws.FILTER(INDEX(ProductosPivot!$C$6:$E$1000,,MATCH($A885,ProductosPivot!$C$5:$E$5,0)),INDEX(ProductosPivot!$C$6:$E$1000,,MATCH($A885,ProductosPivot!$C$5:$E$5,0))&lt;&gt;"","No hay nada")))</f>
        <v>#VALUE!</v>
      </c>
    </row>
    <row r="886" spans="1:2" x14ac:dyDescent="0.3">
      <c r="A886" t="e">
        <f>Tabla27[[#This Row],[Agrupación]]</f>
        <v>#VALUE!</v>
      </c>
      <c r="B886" t="e" cm="1">
        <f t="array" ref="B886">TRANSPOSE((_xlfn._xlws.FILTER(INDEX(ProductosPivot!$C$6:$E$1000,,MATCH($A886,ProductosPivot!$C$5:$E$5,0)),INDEX(ProductosPivot!$C$6:$E$1000,,MATCH($A886,ProductosPivot!$C$5:$E$5,0))&lt;&gt;"","No hay nada")))</f>
        <v>#VALUE!</v>
      </c>
    </row>
    <row r="887" spans="1:2" x14ac:dyDescent="0.3">
      <c r="A887" t="e">
        <f>Tabla27[[#This Row],[Agrupación]]</f>
        <v>#VALUE!</v>
      </c>
      <c r="B887" t="e" cm="1">
        <f t="array" ref="B887">TRANSPOSE((_xlfn._xlws.FILTER(INDEX(ProductosPivot!$C$6:$E$1000,,MATCH($A887,ProductosPivot!$C$5:$E$5,0)),INDEX(ProductosPivot!$C$6:$E$1000,,MATCH($A887,ProductosPivot!$C$5:$E$5,0))&lt;&gt;"","No hay nada")))</f>
        <v>#VALUE!</v>
      </c>
    </row>
    <row r="888" spans="1:2" x14ac:dyDescent="0.3">
      <c r="A888" t="e">
        <f>Tabla27[[#This Row],[Agrupación]]</f>
        <v>#VALUE!</v>
      </c>
      <c r="B888" t="e" cm="1">
        <f t="array" ref="B888">TRANSPOSE((_xlfn._xlws.FILTER(INDEX(ProductosPivot!$C$6:$E$1000,,MATCH($A888,ProductosPivot!$C$5:$E$5,0)),INDEX(ProductosPivot!$C$6:$E$1000,,MATCH($A888,ProductosPivot!$C$5:$E$5,0))&lt;&gt;"","No hay nada")))</f>
        <v>#VALUE!</v>
      </c>
    </row>
    <row r="889" spans="1:2" x14ac:dyDescent="0.3">
      <c r="A889" t="e">
        <f>Tabla27[[#This Row],[Agrupación]]</f>
        <v>#VALUE!</v>
      </c>
      <c r="B889" t="e" cm="1">
        <f t="array" ref="B889">TRANSPOSE((_xlfn._xlws.FILTER(INDEX(ProductosPivot!$C$6:$E$1000,,MATCH($A889,ProductosPivot!$C$5:$E$5,0)),INDEX(ProductosPivot!$C$6:$E$1000,,MATCH($A889,ProductosPivot!$C$5:$E$5,0))&lt;&gt;"","No hay nada")))</f>
        <v>#VALUE!</v>
      </c>
    </row>
    <row r="890" spans="1:2" x14ac:dyDescent="0.3">
      <c r="A890" t="e">
        <f>Tabla27[[#This Row],[Agrupación]]</f>
        <v>#VALUE!</v>
      </c>
      <c r="B890" t="e" cm="1">
        <f t="array" ref="B890">TRANSPOSE((_xlfn._xlws.FILTER(INDEX(ProductosPivot!$C$6:$E$1000,,MATCH($A890,ProductosPivot!$C$5:$E$5,0)),INDEX(ProductosPivot!$C$6:$E$1000,,MATCH($A890,ProductosPivot!$C$5:$E$5,0))&lt;&gt;"","No hay nada")))</f>
        <v>#VALUE!</v>
      </c>
    </row>
    <row r="891" spans="1:2" x14ac:dyDescent="0.3">
      <c r="A891" t="e">
        <f>Tabla27[[#This Row],[Agrupación]]</f>
        <v>#VALUE!</v>
      </c>
      <c r="B891" t="e" cm="1">
        <f t="array" ref="B891">TRANSPOSE((_xlfn._xlws.FILTER(INDEX(ProductosPivot!$C$6:$E$1000,,MATCH($A891,ProductosPivot!$C$5:$E$5,0)),INDEX(ProductosPivot!$C$6:$E$1000,,MATCH($A891,ProductosPivot!$C$5:$E$5,0))&lt;&gt;"","No hay nada")))</f>
        <v>#VALUE!</v>
      </c>
    </row>
    <row r="892" spans="1:2" x14ac:dyDescent="0.3">
      <c r="A892" t="e">
        <f>Tabla27[[#This Row],[Agrupación]]</f>
        <v>#VALUE!</v>
      </c>
      <c r="B892" t="e" cm="1">
        <f t="array" ref="B892">TRANSPOSE((_xlfn._xlws.FILTER(INDEX(ProductosPivot!$C$6:$E$1000,,MATCH($A892,ProductosPivot!$C$5:$E$5,0)),INDEX(ProductosPivot!$C$6:$E$1000,,MATCH($A892,ProductosPivot!$C$5:$E$5,0))&lt;&gt;"","No hay nada")))</f>
        <v>#VALUE!</v>
      </c>
    </row>
    <row r="893" spans="1:2" x14ac:dyDescent="0.3">
      <c r="A893" t="e">
        <f>Tabla27[[#This Row],[Agrupación]]</f>
        <v>#VALUE!</v>
      </c>
      <c r="B893" t="e" cm="1">
        <f t="array" ref="B893">TRANSPOSE((_xlfn._xlws.FILTER(INDEX(ProductosPivot!$C$6:$E$1000,,MATCH($A893,ProductosPivot!$C$5:$E$5,0)),INDEX(ProductosPivot!$C$6:$E$1000,,MATCH($A893,ProductosPivot!$C$5:$E$5,0))&lt;&gt;"","No hay nada")))</f>
        <v>#VALUE!</v>
      </c>
    </row>
    <row r="894" spans="1:2" x14ac:dyDescent="0.3">
      <c r="A894" t="e">
        <f>Tabla27[[#This Row],[Agrupación]]</f>
        <v>#VALUE!</v>
      </c>
      <c r="B894" t="e" cm="1">
        <f t="array" ref="B894">TRANSPOSE((_xlfn._xlws.FILTER(INDEX(ProductosPivot!$C$6:$E$1000,,MATCH($A894,ProductosPivot!$C$5:$E$5,0)),INDEX(ProductosPivot!$C$6:$E$1000,,MATCH($A894,ProductosPivot!$C$5:$E$5,0))&lt;&gt;"","No hay nada")))</f>
        <v>#VALUE!</v>
      </c>
    </row>
    <row r="895" spans="1:2" x14ac:dyDescent="0.3">
      <c r="A895" t="e">
        <f>Tabla27[[#This Row],[Agrupación]]</f>
        <v>#VALUE!</v>
      </c>
      <c r="B895" t="e" cm="1">
        <f t="array" ref="B895">TRANSPOSE((_xlfn._xlws.FILTER(INDEX(ProductosPivot!$C$6:$E$1000,,MATCH($A895,ProductosPivot!$C$5:$E$5,0)),INDEX(ProductosPivot!$C$6:$E$1000,,MATCH($A895,ProductosPivot!$C$5:$E$5,0))&lt;&gt;"","No hay nada")))</f>
        <v>#VALUE!</v>
      </c>
    </row>
    <row r="896" spans="1:2" x14ac:dyDescent="0.3">
      <c r="A896" t="e">
        <f>Tabla27[[#This Row],[Agrupación]]</f>
        <v>#VALUE!</v>
      </c>
      <c r="B896" t="e" cm="1">
        <f t="array" ref="B896">TRANSPOSE((_xlfn._xlws.FILTER(INDEX(ProductosPivot!$C$6:$E$1000,,MATCH($A896,ProductosPivot!$C$5:$E$5,0)),INDEX(ProductosPivot!$C$6:$E$1000,,MATCH($A896,ProductosPivot!$C$5:$E$5,0))&lt;&gt;"","No hay nada")))</f>
        <v>#VALUE!</v>
      </c>
    </row>
    <row r="897" spans="1:2" x14ac:dyDescent="0.3">
      <c r="A897" t="e">
        <f>Tabla27[[#This Row],[Agrupación]]</f>
        <v>#VALUE!</v>
      </c>
      <c r="B897" t="e" cm="1">
        <f t="array" ref="B897">TRANSPOSE((_xlfn._xlws.FILTER(INDEX(ProductosPivot!$C$6:$E$1000,,MATCH($A897,ProductosPivot!$C$5:$E$5,0)),INDEX(ProductosPivot!$C$6:$E$1000,,MATCH($A897,ProductosPivot!$C$5:$E$5,0))&lt;&gt;"","No hay nada")))</f>
        <v>#VALUE!</v>
      </c>
    </row>
    <row r="898" spans="1:2" x14ac:dyDescent="0.3">
      <c r="A898" t="e">
        <f>Tabla27[[#This Row],[Agrupación]]</f>
        <v>#VALUE!</v>
      </c>
      <c r="B898" t="e" cm="1">
        <f t="array" ref="B898">TRANSPOSE((_xlfn._xlws.FILTER(INDEX(ProductosPivot!$C$6:$E$1000,,MATCH($A898,ProductosPivot!$C$5:$E$5,0)),INDEX(ProductosPivot!$C$6:$E$1000,,MATCH($A898,ProductosPivot!$C$5:$E$5,0))&lt;&gt;"","No hay nada")))</f>
        <v>#VALUE!</v>
      </c>
    </row>
    <row r="899" spans="1:2" x14ac:dyDescent="0.3">
      <c r="A899" t="e">
        <f>Tabla27[[#This Row],[Agrupación]]</f>
        <v>#VALUE!</v>
      </c>
      <c r="B899" t="e" cm="1">
        <f t="array" ref="B899">TRANSPOSE((_xlfn._xlws.FILTER(INDEX(ProductosPivot!$C$6:$E$1000,,MATCH($A899,ProductosPivot!$C$5:$E$5,0)),INDEX(ProductosPivot!$C$6:$E$1000,,MATCH($A899,ProductosPivot!$C$5:$E$5,0))&lt;&gt;"","No hay nada")))</f>
        <v>#VALUE!</v>
      </c>
    </row>
    <row r="900" spans="1:2" x14ac:dyDescent="0.3">
      <c r="A900" t="e">
        <f>Tabla27[[#This Row],[Agrupación]]</f>
        <v>#VALUE!</v>
      </c>
      <c r="B900" t="e" cm="1">
        <f t="array" ref="B900">TRANSPOSE((_xlfn._xlws.FILTER(INDEX(ProductosPivot!$C$6:$E$1000,,MATCH($A900,ProductosPivot!$C$5:$E$5,0)),INDEX(ProductosPivot!$C$6:$E$1000,,MATCH($A900,ProductosPivot!$C$5:$E$5,0))&lt;&gt;"","No hay nada")))</f>
        <v>#VALUE!</v>
      </c>
    </row>
    <row r="901" spans="1:2" x14ac:dyDescent="0.3">
      <c r="A901" t="e">
        <f>Tabla27[[#This Row],[Agrupación]]</f>
        <v>#VALUE!</v>
      </c>
      <c r="B901" t="e" cm="1">
        <f t="array" ref="B901">TRANSPOSE((_xlfn._xlws.FILTER(INDEX(ProductosPivot!$C$6:$E$1000,,MATCH($A901,ProductosPivot!$C$5:$E$5,0)),INDEX(ProductosPivot!$C$6:$E$1000,,MATCH($A901,ProductosPivot!$C$5:$E$5,0))&lt;&gt;"","No hay nada")))</f>
        <v>#VALUE!</v>
      </c>
    </row>
    <row r="902" spans="1:2" x14ac:dyDescent="0.3">
      <c r="A902" t="e">
        <f>Tabla27[[#This Row],[Agrupación]]</f>
        <v>#VALUE!</v>
      </c>
      <c r="B902" t="e" cm="1">
        <f t="array" ref="B902">TRANSPOSE((_xlfn._xlws.FILTER(INDEX(ProductosPivot!$C$6:$E$1000,,MATCH($A902,ProductosPivot!$C$5:$E$5,0)),INDEX(ProductosPivot!$C$6:$E$1000,,MATCH($A902,ProductosPivot!$C$5:$E$5,0))&lt;&gt;"","No hay nada")))</f>
        <v>#VALUE!</v>
      </c>
    </row>
    <row r="903" spans="1:2" x14ac:dyDescent="0.3">
      <c r="A903" t="e">
        <f>Tabla27[[#This Row],[Agrupación]]</f>
        <v>#VALUE!</v>
      </c>
      <c r="B903" t="e" cm="1">
        <f t="array" ref="B903">TRANSPOSE((_xlfn._xlws.FILTER(INDEX(ProductosPivot!$C$6:$E$1000,,MATCH($A903,ProductosPivot!$C$5:$E$5,0)),INDEX(ProductosPivot!$C$6:$E$1000,,MATCH($A903,ProductosPivot!$C$5:$E$5,0))&lt;&gt;"","No hay nada")))</f>
        <v>#VALUE!</v>
      </c>
    </row>
    <row r="904" spans="1:2" x14ac:dyDescent="0.3">
      <c r="A904" t="e">
        <f>Tabla27[[#This Row],[Agrupación]]</f>
        <v>#VALUE!</v>
      </c>
      <c r="B904" t="e" cm="1">
        <f t="array" ref="B904">TRANSPOSE((_xlfn._xlws.FILTER(INDEX(ProductosPivot!$C$6:$E$1000,,MATCH($A904,ProductosPivot!$C$5:$E$5,0)),INDEX(ProductosPivot!$C$6:$E$1000,,MATCH($A904,ProductosPivot!$C$5:$E$5,0))&lt;&gt;"","No hay nada")))</f>
        <v>#VALUE!</v>
      </c>
    </row>
    <row r="905" spans="1:2" x14ac:dyDescent="0.3">
      <c r="A905" t="e">
        <f>Tabla27[[#This Row],[Agrupación]]</f>
        <v>#VALUE!</v>
      </c>
      <c r="B905" t="e" cm="1">
        <f t="array" ref="B905">TRANSPOSE((_xlfn._xlws.FILTER(INDEX(ProductosPivot!$C$6:$E$1000,,MATCH($A905,ProductosPivot!$C$5:$E$5,0)),INDEX(ProductosPivot!$C$6:$E$1000,,MATCH($A905,ProductosPivot!$C$5:$E$5,0))&lt;&gt;"","No hay nada")))</f>
        <v>#VALUE!</v>
      </c>
    </row>
    <row r="906" spans="1:2" x14ac:dyDescent="0.3">
      <c r="A906" t="e">
        <f>Tabla27[[#This Row],[Agrupación]]</f>
        <v>#VALUE!</v>
      </c>
      <c r="B906" t="e" cm="1">
        <f t="array" ref="B906">TRANSPOSE((_xlfn._xlws.FILTER(INDEX(ProductosPivot!$C$6:$E$1000,,MATCH($A906,ProductosPivot!$C$5:$E$5,0)),INDEX(ProductosPivot!$C$6:$E$1000,,MATCH($A906,ProductosPivot!$C$5:$E$5,0))&lt;&gt;"","No hay nada")))</f>
        <v>#VALUE!</v>
      </c>
    </row>
    <row r="907" spans="1:2" x14ac:dyDescent="0.3">
      <c r="A907" t="e">
        <f>Tabla27[[#This Row],[Agrupación]]</f>
        <v>#VALUE!</v>
      </c>
      <c r="B907" t="e" cm="1">
        <f t="array" ref="B907">TRANSPOSE((_xlfn._xlws.FILTER(INDEX(ProductosPivot!$C$6:$E$1000,,MATCH($A907,ProductosPivot!$C$5:$E$5,0)),INDEX(ProductosPivot!$C$6:$E$1000,,MATCH($A907,ProductosPivot!$C$5:$E$5,0))&lt;&gt;"","No hay nada")))</f>
        <v>#VALUE!</v>
      </c>
    </row>
    <row r="908" spans="1:2" x14ac:dyDescent="0.3">
      <c r="A908" t="e">
        <f>Tabla27[[#This Row],[Agrupación]]</f>
        <v>#VALUE!</v>
      </c>
      <c r="B908" t="e" cm="1">
        <f t="array" ref="B908">TRANSPOSE((_xlfn._xlws.FILTER(INDEX(ProductosPivot!$C$6:$E$1000,,MATCH($A908,ProductosPivot!$C$5:$E$5,0)),INDEX(ProductosPivot!$C$6:$E$1000,,MATCH($A908,ProductosPivot!$C$5:$E$5,0))&lt;&gt;"","No hay nada")))</f>
        <v>#VALUE!</v>
      </c>
    </row>
    <row r="909" spans="1:2" x14ac:dyDescent="0.3">
      <c r="A909" t="e">
        <f>Tabla27[[#This Row],[Agrupación]]</f>
        <v>#VALUE!</v>
      </c>
      <c r="B909" t="e" cm="1">
        <f t="array" ref="B909">TRANSPOSE((_xlfn._xlws.FILTER(INDEX(ProductosPivot!$C$6:$E$1000,,MATCH($A909,ProductosPivot!$C$5:$E$5,0)),INDEX(ProductosPivot!$C$6:$E$1000,,MATCH($A909,ProductosPivot!$C$5:$E$5,0))&lt;&gt;"","No hay nada")))</f>
        <v>#VALUE!</v>
      </c>
    </row>
    <row r="910" spans="1:2" x14ac:dyDescent="0.3">
      <c r="A910" t="e">
        <f>Tabla27[[#This Row],[Agrupación]]</f>
        <v>#VALUE!</v>
      </c>
      <c r="B910" t="e" cm="1">
        <f t="array" ref="B910">TRANSPOSE((_xlfn._xlws.FILTER(INDEX(ProductosPivot!$C$6:$E$1000,,MATCH($A910,ProductosPivot!$C$5:$E$5,0)),INDEX(ProductosPivot!$C$6:$E$1000,,MATCH($A910,ProductosPivot!$C$5:$E$5,0))&lt;&gt;"","No hay nada")))</f>
        <v>#VALUE!</v>
      </c>
    </row>
    <row r="911" spans="1:2" x14ac:dyDescent="0.3">
      <c r="A911" t="e">
        <f>Tabla27[[#This Row],[Agrupación]]</f>
        <v>#VALUE!</v>
      </c>
      <c r="B911" t="e" cm="1">
        <f t="array" ref="B911">TRANSPOSE((_xlfn._xlws.FILTER(INDEX(ProductosPivot!$C$6:$E$1000,,MATCH($A911,ProductosPivot!$C$5:$E$5,0)),INDEX(ProductosPivot!$C$6:$E$1000,,MATCH($A911,ProductosPivot!$C$5:$E$5,0))&lt;&gt;"","No hay nada")))</f>
        <v>#VALUE!</v>
      </c>
    </row>
    <row r="912" spans="1:2" x14ac:dyDescent="0.3">
      <c r="A912" t="e">
        <f>Tabla27[[#This Row],[Agrupación]]</f>
        <v>#VALUE!</v>
      </c>
      <c r="B912" t="e" cm="1">
        <f t="array" ref="B912">TRANSPOSE((_xlfn._xlws.FILTER(INDEX(ProductosPivot!$C$6:$E$1000,,MATCH($A912,ProductosPivot!$C$5:$E$5,0)),INDEX(ProductosPivot!$C$6:$E$1000,,MATCH($A912,ProductosPivot!$C$5:$E$5,0))&lt;&gt;"","No hay nada")))</f>
        <v>#VALUE!</v>
      </c>
    </row>
    <row r="913" spans="1:2" x14ac:dyDescent="0.3">
      <c r="A913" t="e">
        <f>Tabla27[[#This Row],[Agrupación]]</f>
        <v>#VALUE!</v>
      </c>
      <c r="B913" t="e" cm="1">
        <f t="array" ref="B913">TRANSPOSE((_xlfn._xlws.FILTER(INDEX(ProductosPivot!$C$6:$E$1000,,MATCH($A913,ProductosPivot!$C$5:$E$5,0)),INDEX(ProductosPivot!$C$6:$E$1000,,MATCH($A913,ProductosPivot!$C$5:$E$5,0))&lt;&gt;"","No hay nada")))</f>
        <v>#VALUE!</v>
      </c>
    </row>
    <row r="914" spans="1:2" x14ac:dyDescent="0.3">
      <c r="A914" t="e">
        <f>Tabla27[[#This Row],[Agrupación]]</f>
        <v>#VALUE!</v>
      </c>
      <c r="B914" t="e" cm="1">
        <f t="array" ref="B914">TRANSPOSE((_xlfn._xlws.FILTER(INDEX(ProductosPivot!$C$6:$E$1000,,MATCH($A914,ProductosPivot!$C$5:$E$5,0)),INDEX(ProductosPivot!$C$6:$E$1000,,MATCH($A914,ProductosPivot!$C$5:$E$5,0))&lt;&gt;"","No hay nada")))</f>
        <v>#VALUE!</v>
      </c>
    </row>
    <row r="915" spans="1:2" x14ac:dyDescent="0.3">
      <c r="A915" t="e">
        <f>Tabla27[[#This Row],[Agrupación]]</f>
        <v>#VALUE!</v>
      </c>
      <c r="B915" t="e" cm="1">
        <f t="array" ref="B915">TRANSPOSE((_xlfn._xlws.FILTER(INDEX(ProductosPivot!$C$6:$E$1000,,MATCH($A915,ProductosPivot!$C$5:$E$5,0)),INDEX(ProductosPivot!$C$6:$E$1000,,MATCH($A915,ProductosPivot!$C$5:$E$5,0))&lt;&gt;"","No hay nada")))</f>
        <v>#VALUE!</v>
      </c>
    </row>
    <row r="916" spans="1:2" x14ac:dyDescent="0.3">
      <c r="A916" t="e">
        <f>Tabla27[[#This Row],[Agrupación]]</f>
        <v>#VALUE!</v>
      </c>
      <c r="B916" t="e" cm="1">
        <f t="array" ref="B916">TRANSPOSE((_xlfn._xlws.FILTER(INDEX(ProductosPivot!$C$6:$E$1000,,MATCH($A916,ProductosPivot!$C$5:$E$5,0)),INDEX(ProductosPivot!$C$6:$E$1000,,MATCH($A916,ProductosPivot!$C$5:$E$5,0))&lt;&gt;"","No hay nada")))</f>
        <v>#VALUE!</v>
      </c>
    </row>
    <row r="917" spans="1:2" x14ac:dyDescent="0.3">
      <c r="A917" t="e">
        <f>Tabla27[[#This Row],[Agrupación]]</f>
        <v>#VALUE!</v>
      </c>
      <c r="B917" t="e" cm="1">
        <f t="array" ref="B917">TRANSPOSE((_xlfn._xlws.FILTER(INDEX(ProductosPivot!$C$6:$E$1000,,MATCH($A917,ProductosPivot!$C$5:$E$5,0)),INDEX(ProductosPivot!$C$6:$E$1000,,MATCH($A917,ProductosPivot!$C$5:$E$5,0))&lt;&gt;"","No hay nada")))</f>
        <v>#VALUE!</v>
      </c>
    </row>
    <row r="918" spans="1:2" x14ac:dyDescent="0.3">
      <c r="A918" t="e">
        <f>Tabla27[[#This Row],[Agrupación]]</f>
        <v>#VALUE!</v>
      </c>
      <c r="B918" t="e" cm="1">
        <f t="array" ref="B918">TRANSPOSE((_xlfn._xlws.FILTER(INDEX(ProductosPivot!$C$6:$E$1000,,MATCH($A918,ProductosPivot!$C$5:$E$5,0)),INDEX(ProductosPivot!$C$6:$E$1000,,MATCH($A918,ProductosPivot!$C$5:$E$5,0))&lt;&gt;"","No hay nada")))</f>
        <v>#VALUE!</v>
      </c>
    </row>
    <row r="919" spans="1:2" x14ac:dyDescent="0.3">
      <c r="A919" t="e">
        <f>Tabla27[[#This Row],[Agrupación]]</f>
        <v>#VALUE!</v>
      </c>
      <c r="B919" t="e" cm="1">
        <f t="array" ref="B919">TRANSPOSE((_xlfn._xlws.FILTER(INDEX(ProductosPivot!$C$6:$E$1000,,MATCH($A919,ProductosPivot!$C$5:$E$5,0)),INDEX(ProductosPivot!$C$6:$E$1000,,MATCH($A919,ProductosPivot!$C$5:$E$5,0))&lt;&gt;"","No hay nada")))</f>
        <v>#VALUE!</v>
      </c>
    </row>
    <row r="920" spans="1:2" x14ac:dyDescent="0.3">
      <c r="A920" t="e">
        <f>Tabla27[[#This Row],[Agrupación]]</f>
        <v>#VALUE!</v>
      </c>
      <c r="B920" t="e" cm="1">
        <f t="array" ref="B920">TRANSPOSE((_xlfn._xlws.FILTER(INDEX(ProductosPivot!$C$6:$E$1000,,MATCH($A920,ProductosPivot!$C$5:$E$5,0)),INDEX(ProductosPivot!$C$6:$E$1000,,MATCH($A920,ProductosPivot!$C$5:$E$5,0))&lt;&gt;"","No hay nada")))</f>
        <v>#VALUE!</v>
      </c>
    </row>
    <row r="921" spans="1:2" x14ac:dyDescent="0.3">
      <c r="A921" t="e">
        <f>Tabla27[[#This Row],[Agrupación]]</f>
        <v>#VALUE!</v>
      </c>
      <c r="B921" t="e" cm="1">
        <f t="array" ref="B921">TRANSPOSE((_xlfn._xlws.FILTER(INDEX(ProductosPivot!$C$6:$E$1000,,MATCH($A921,ProductosPivot!$C$5:$E$5,0)),INDEX(ProductosPivot!$C$6:$E$1000,,MATCH($A921,ProductosPivot!$C$5:$E$5,0))&lt;&gt;"","No hay nada")))</f>
        <v>#VALUE!</v>
      </c>
    </row>
    <row r="922" spans="1:2" x14ac:dyDescent="0.3">
      <c r="A922" t="e">
        <f>Tabla27[[#This Row],[Agrupación]]</f>
        <v>#VALUE!</v>
      </c>
      <c r="B922" t="e" cm="1">
        <f t="array" ref="B922">TRANSPOSE((_xlfn._xlws.FILTER(INDEX(ProductosPivot!$C$6:$E$1000,,MATCH($A922,ProductosPivot!$C$5:$E$5,0)),INDEX(ProductosPivot!$C$6:$E$1000,,MATCH($A922,ProductosPivot!$C$5:$E$5,0))&lt;&gt;"","No hay nada")))</f>
        <v>#VALUE!</v>
      </c>
    </row>
    <row r="923" spans="1:2" x14ac:dyDescent="0.3">
      <c r="A923" t="e">
        <f>Tabla27[[#This Row],[Agrupación]]</f>
        <v>#VALUE!</v>
      </c>
      <c r="B923" t="e" cm="1">
        <f t="array" ref="B923">TRANSPOSE((_xlfn._xlws.FILTER(INDEX(ProductosPivot!$C$6:$E$1000,,MATCH($A923,ProductosPivot!$C$5:$E$5,0)),INDEX(ProductosPivot!$C$6:$E$1000,,MATCH($A923,ProductosPivot!$C$5:$E$5,0))&lt;&gt;"","No hay nada")))</f>
        <v>#VALUE!</v>
      </c>
    </row>
    <row r="924" spans="1:2" x14ac:dyDescent="0.3">
      <c r="A924" t="e">
        <f>Tabla27[[#This Row],[Agrupación]]</f>
        <v>#VALUE!</v>
      </c>
      <c r="B924" t="e" cm="1">
        <f t="array" ref="B924">TRANSPOSE((_xlfn._xlws.FILTER(INDEX(ProductosPivot!$C$6:$E$1000,,MATCH($A924,ProductosPivot!$C$5:$E$5,0)),INDEX(ProductosPivot!$C$6:$E$1000,,MATCH($A924,ProductosPivot!$C$5:$E$5,0))&lt;&gt;"","No hay nada")))</f>
        <v>#VALUE!</v>
      </c>
    </row>
    <row r="925" spans="1:2" x14ac:dyDescent="0.3">
      <c r="A925" t="e">
        <f>Tabla27[[#This Row],[Agrupación]]</f>
        <v>#VALUE!</v>
      </c>
      <c r="B925" t="e" cm="1">
        <f t="array" ref="B925">TRANSPOSE((_xlfn._xlws.FILTER(INDEX(ProductosPivot!$C$6:$E$1000,,MATCH($A925,ProductosPivot!$C$5:$E$5,0)),INDEX(ProductosPivot!$C$6:$E$1000,,MATCH($A925,ProductosPivot!$C$5:$E$5,0))&lt;&gt;"","No hay nada")))</f>
        <v>#VALUE!</v>
      </c>
    </row>
    <row r="926" spans="1:2" x14ac:dyDescent="0.3">
      <c r="A926" t="e">
        <f>Tabla27[[#This Row],[Agrupación]]</f>
        <v>#VALUE!</v>
      </c>
      <c r="B926" t="e" cm="1">
        <f t="array" ref="B926">TRANSPOSE((_xlfn._xlws.FILTER(INDEX(ProductosPivot!$C$6:$E$1000,,MATCH($A926,ProductosPivot!$C$5:$E$5,0)),INDEX(ProductosPivot!$C$6:$E$1000,,MATCH($A926,ProductosPivot!$C$5:$E$5,0))&lt;&gt;"","No hay nada")))</f>
        <v>#VALUE!</v>
      </c>
    </row>
    <row r="927" spans="1:2" x14ac:dyDescent="0.3">
      <c r="A927" t="e">
        <f>Tabla27[[#This Row],[Agrupación]]</f>
        <v>#VALUE!</v>
      </c>
      <c r="B927" t="e" cm="1">
        <f t="array" ref="B927">TRANSPOSE((_xlfn._xlws.FILTER(INDEX(ProductosPivot!$C$6:$E$1000,,MATCH($A927,ProductosPivot!$C$5:$E$5,0)),INDEX(ProductosPivot!$C$6:$E$1000,,MATCH($A927,ProductosPivot!$C$5:$E$5,0))&lt;&gt;"","No hay nada")))</f>
        <v>#VALUE!</v>
      </c>
    </row>
    <row r="928" spans="1:2" x14ac:dyDescent="0.3">
      <c r="A928" t="e">
        <f>Tabla27[[#This Row],[Agrupación]]</f>
        <v>#VALUE!</v>
      </c>
      <c r="B928" t="e" cm="1">
        <f t="array" ref="B928">TRANSPOSE((_xlfn._xlws.FILTER(INDEX(ProductosPivot!$C$6:$E$1000,,MATCH($A928,ProductosPivot!$C$5:$E$5,0)),INDEX(ProductosPivot!$C$6:$E$1000,,MATCH($A928,ProductosPivot!$C$5:$E$5,0))&lt;&gt;"","No hay nada")))</f>
        <v>#VALUE!</v>
      </c>
    </row>
    <row r="929" spans="1:2" x14ac:dyDescent="0.3">
      <c r="A929" t="e">
        <f>Tabla27[[#This Row],[Agrupación]]</f>
        <v>#VALUE!</v>
      </c>
      <c r="B929" t="e" cm="1">
        <f t="array" ref="B929">TRANSPOSE((_xlfn._xlws.FILTER(INDEX(ProductosPivot!$C$6:$E$1000,,MATCH($A929,ProductosPivot!$C$5:$E$5,0)),INDEX(ProductosPivot!$C$6:$E$1000,,MATCH($A929,ProductosPivot!$C$5:$E$5,0))&lt;&gt;"","No hay nada")))</f>
        <v>#VALUE!</v>
      </c>
    </row>
    <row r="930" spans="1:2" x14ac:dyDescent="0.3">
      <c r="A930" t="e">
        <f>Tabla27[[#This Row],[Agrupación]]</f>
        <v>#VALUE!</v>
      </c>
      <c r="B930" t="e" cm="1">
        <f t="array" ref="B930">TRANSPOSE((_xlfn._xlws.FILTER(INDEX(ProductosPivot!$C$6:$E$1000,,MATCH($A930,ProductosPivot!$C$5:$E$5,0)),INDEX(ProductosPivot!$C$6:$E$1000,,MATCH($A930,ProductosPivot!$C$5:$E$5,0))&lt;&gt;"","No hay nada")))</f>
        <v>#VALUE!</v>
      </c>
    </row>
    <row r="931" spans="1:2" x14ac:dyDescent="0.3">
      <c r="A931" t="e">
        <f>Tabla27[[#This Row],[Agrupación]]</f>
        <v>#VALUE!</v>
      </c>
      <c r="B931" t="e" cm="1">
        <f t="array" ref="B931">TRANSPOSE((_xlfn._xlws.FILTER(INDEX(ProductosPivot!$C$6:$E$1000,,MATCH($A931,ProductosPivot!$C$5:$E$5,0)),INDEX(ProductosPivot!$C$6:$E$1000,,MATCH($A931,ProductosPivot!$C$5:$E$5,0))&lt;&gt;"","No hay nada")))</f>
        <v>#VALUE!</v>
      </c>
    </row>
    <row r="932" spans="1:2" x14ac:dyDescent="0.3">
      <c r="A932" t="e">
        <f>Tabla27[[#This Row],[Agrupación]]</f>
        <v>#VALUE!</v>
      </c>
      <c r="B932" t="e" cm="1">
        <f t="array" ref="B932">TRANSPOSE((_xlfn._xlws.FILTER(INDEX(ProductosPivot!$C$6:$E$1000,,MATCH($A932,ProductosPivot!$C$5:$E$5,0)),INDEX(ProductosPivot!$C$6:$E$1000,,MATCH($A932,ProductosPivot!$C$5:$E$5,0))&lt;&gt;"","No hay nada")))</f>
        <v>#VALUE!</v>
      </c>
    </row>
    <row r="933" spans="1:2" x14ac:dyDescent="0.3">
      <c r="A933" t="e">
        <f>Tabla27[[#This Row],[Agrupación]]</f>
        <v>#VALUE!</v>
      </c>
      <c r="B933" t="e" cm="1">
        <f t="array" ref="B933">TRANSPOSE((_xlfn._xlws.FILTER(INDEX(ProductosPivot!$C$6:$E$1000,,MATCH($A933,ProductosPivot!$C$5:$E$5,0)),INDEX(ProductosPivot!$C$6:$E$1000,,MATCH($A933,ProductosPivot!$C$5:$E$5,0))&lt;&gt;"","No hay nada")))</f>
        <v>#VALUE!</v>
      </c>
    </row>
    <row r="934" spans="1:2" x14ac:dyDescent="0.3">
      <c r="A934" t="e">
        <f>Tabla27[[#This Row],[Agrupación]]</f>
        <v>#VALUE!</v>
      </c>
      <c r="B934" t="e" cm="1">
        <f t="array" ref="B934">TRANSPOSE((_xlfn._xlws.FILTER(INDEX(ProductosPivot!$C$6:$E$1000,,MATCH($A934,ProductosPivot!$C$5:$E$5,0)),INDEX(ProductosPivot!$C$6:$E$1000,,MATCH($A934,ProductosPivot!$C$5:$E$5,0))&lt;&gt;"","No hay nada")))</f>
        <v>#VALUE!</v>
      </c>
    </row>
    <row r="935" spans="1:2" x14ac:dyDescent="0.3">
      <c r="A935" t="e">
        <f>Tabla27[[#This Row],[Agrupación]]</f>
        <v>#VALUE!</v>
      </c>
      <c r="B935" t="e" cm="1">
        <f t="array" ref="B935">TRANSPOSE((_xlfn._xlws.FILTER(INDEX(ProductosPivot!$C$6:$E$1000,,MATCH($A935,ProductosPivot!$C$5:$E$5,0)),INDEX(ProductosPivot!$C$6:$E$1000,,MATCH($A935,ProductosPivot!$C$5:$E$5,0))&lt;&gt;"","No hay nada")))</f>
        <v>#VALUE!</v>
      </c>
    </row>
    <row r="936" spans="1:2" x14ac:dyDescent="0.3">
      <c r="A936" t="e">
        <f>Tabla27[[#This Row],[Agrupación]]</f>
        <v>#VALUE!</v>
      </c>
      <c r="B936" t="e" cm="1">
        <f t="array" ref="B936">TRANSPOSE((_xlfn._xlws.FILTER(INDEX(ProductosPivot!$C$6:$E$1000,,MATCH($A936,ProductosPivot!$C$5:$E$5,0)),INDEX(ProductosPivot!$C$6:$E$1000,,MATCH($A936,ProductosPivot!$C$5:$E$5,0))&lt;&gt;"","No hay nada")))</f>
        <v>#VALUE!</v>
      </c>
    </row>
    <row r="937" spans="1:2" x14ac:dyDescent="0.3">
      <c r="A937" t="e">
        <f>Tabla27[[#This Row],[Agrupación]]</f>
        <v>#VALUE!</v>
      </c>
      <c r="B937" t="e" cm="1">
        <f t="array" ref="B937">TRANSPOSE((_xlfn._xlws.FILTER(INDEX(ProductosPivot!$C$6:$E$1000,,MATCH($A937,ProductosPivot!$C$5:$E$5,0)),INDEX(ProductosPivot!$C$6:$E$1000,,MATCH($A937,ProductosPivot!$C$5:$E$5,0))&lt;&gt;"","No hay nada")))</f>
        <v>#VALUE!</v>
      </c>
    </row>
    <row r="938" spans="1:2" x14ac:dyDescent="0.3">
      <c r="A938" t="e">
        <f>Tabla27[[#This Row],[Agrupación]]</f>
        <v>#VALUE!</v>
      </c>
      <c r="B938" t="e" cm="1">
        <f t="array" ref="B938">TRANSPOSE((_xlfn._xlws.FILTER(INDEX(ProductosPivot!$C$6:$E$1000,,MATCH($A938,ProductosPivot!$C$5:$E$5,0)),INDEX(ProductosPivot!$C$6:$E$1000,,MATCH($A938,ProductosPivot!$C$5:$E$5,0))&lt;&gt;"","No hay nada")))</f>
        <v>#VALUE!</v>
      </c>
    </row>
    <row r="939" spans="1:2" x14ac:dyDescent="0.3">
      <c r="A939" t="e">
        <f>Tabla27[[#This Row],[Agrupación]]</f>
        <v>#VALUE!</v>
      </c>
      <c r="B939" t="e" cm="1">
        <f t="array" ref="B939">TRANSPOSE((_xlfn._xlws.FILTER(INDEX(ProductosPivot!$C$6:$E$1000,,MATCH($A939,ProductosPivot!$C$5:$E$5,0)),INDEX(ProductosPivot!$C$6:$E$1000,,MATCH($A939,ProductosPivot!$C$5:$E$5,0))&lt;&gt;"","No hay nada")))</f>
        <v>#VALUE!</v>
      </c>
    </row>
    <row r="940" spans="1:2" x14ac:dyDescent="0.3">
      <c r="A940" t="e">
        <f>Tabla27[[#This Row],[Agrupación]]</f>
        <v>#VALUE!</v>
      </c>
      <c r="B940" t="e" cm="1">
        <f t="array" ref="B940">TRANSPOSE((_xlfn._xlws.FILTER(INDEX(ProductosPivot!$C$6:$E$1000,,MATCH($A940,ProductosPivot!$C$5:$E$5,0)),INDEX(ProductosPivot!$C$6:$E$1000,,MATCH($A940,ProductosPivot!$C$5:$E$5,0))&lt;&gt;"","No hay nada")))</f>
        <v>#VALUE!</v>
      </c>
    </row>
    <row r="941" spans="1:2" x14ac:dyDescent="0.3">
      <c r="A941" t="e">
        <f>Tabla27[[#This Row],[Agrupación]]</f>
        <v>#VALUE!</v>
      </c>
      <c r="B941" t="e" cm="1">
        <f t="array" ref="B941">TRANSPOSE((_xlfn._xlws.FILTER(INDEX(ProductosPivot!$C$6:$E$1000,,MATCH($A941,ProductosPivot!$C$5:$E$5,0)),INDEX(ProductosPivot!$C$6:$E$1000,,MATCH($A941,ProductosPivot!$C$5:$E$5,0))&lt;&gt;"","No hay nada")))</f>
        <v>#VALUE!</v>
      </c>
    </row>
    <row r="942" spans="1:2" x14ac:dyDescent="0.3">
      <c r="A942" t="e">
        <f>Tabla27[[#This Row],[Agrupación]]</f>
        <v>#VALUE!</v>
      </c>
      <c r="B942" t="e" cm="1">
        <f t="array" ref="B942">TRANSPOSE((_xlfn._xlws.FILTER(INDEX(ProductosPivot!$C$6:$E$1000,,MATCH($A942,ProductosPivot!$C$5:$E$5,0)),INDEX(ProductosPivot!$C$6:$E$1000,,MATCH($A942,ProductosPivot!$C$5:$E$5,0))&lt;&gt;"","No hay nada")))</f>
        <v>#VALUE!</v>
      </c>
    </row>
    <row r="943" spans="1:2" x14ac:dyDescent="0.3">
      <c r="A943" t="e">
        <f>Tabla27[[#This Row],[Agrupación]]</f>
        <v>#VALUE!</v>
      </c>
      <c r="B943" t="e" cm="1">
        <f t="array" ref="B943">TRANSPOSE((_xlfn._xlws.FILTER(INDEX(ProductosPivot!$C$6:$E$1000,,MATCH($A943,ProductosPivot!$C$5:$E$5,0)),INDEX(ProductosPivot!$C$6:$E$1000,,MATCH($A943,ProductosPivot!$C$5:$E$5,0))&lt;&gt;"","No hay nada")))</f>
        <v>#VALUE!</v>
      </c>
    </row>
    <row r="944" spans="1:2" x14ac:dyDescent="0.3">
      <c r="A944" t="e">
        <f>Tabla27[[#This Row],[Agrupación]]</f>
        <v>#VALUE!</v>
      </c>
      <c r="B944" t="e" cm="1">
        <f t="array" ref="B944">TRANSPOSE((_xlfn._xlws.FILTER(INDEX(ProductosPivot!$C$6:$E$1000,,MATCH($A944,ProductosPivot!$C$5:$E$5,0)),INDEX(ProductosPivot!$C$6:$E$1000,,MATCH($A944,ProductosPivot!$C$5:$E$5,0))&lt;&gt;"","No hay nada")))</f>
        <v>#VALUE!</v>
      </c>
    </row>
    <row r="945" spans="1:2" x14ac:dyDescent="0.3">
      <c r="A945" t="e">
        <f>Tabla27[[#This Row],[Agrupación]]</f>
        <v>#VALUE!</v>
      </c>
      <c r="B945" t="e" cm="1">
        <f t="array" ref="B945">TRANSPOSE((_xlfn._xlws.FILTER(INDEX(ProductosPivot!$C$6:$E$1000,,MATCH($A945,ProductosPivot!$C$5:$E$5,0)),INDEX(ProductosPivot!$C$6:$E$1000,,MATCH($A945,ProductosPivot!$C$5:$E$5,0))&lt;&gt;"","No hay nada")))</f>
        <v>#VALUE!</v>
      </c>
    </row>
    <row r="946" spans="1:2" x14ac:dyDescent="0.3">
      <c r="A946" t="e">
        <f>Tabla27[[#This Row],[Agrupación]]</f>
        <v>#VALUE!</v>
      </c>
      <c r="B946" t="e" cm="1">
        <f t="array" ref="B946">TRANSPOSE((_xlfn._xlws.FILTER(INDEX(ProductosPivot!$C$6:$E$1000,,MATCH($A946,ProductosPivot!$C$5:$E$5,0)),INDEX(ProductosPivot!$C$6:$E$1000,,MATCH($A946,ProductosPivot!$C$5:$E$5,0))&lt;&gt;"","No hay nada")))</f>
        <v>#VALUE!</v>
      </c>
    </row>
    <row r="947" spans="1:2" x14ac:dyDescent="0.3">
      <c r="A947" t="e">
        <f>Tabla27[[#This Row],[Agrupación]]</f>
        <v>#VALUE!</v>
      </c>
      <c r="B947" t="e" cm="1">
        <f t="array" ref="B947">TRANSPOSE((_xlfn._xlws.FILTER(INDEX(ProductosPivot!$C$6:$E$1000,,MATCH($A947,ProductosPivot!$C$5:$E$5,0)),INDEX(ProductosPivot!$C$6:$E$1000,,MATCH($A947,ProductosPivot!$C$5:$E$5,0))&lt;&gt;"","No hay nada")))</f>
        <v>#VALUE!</v>
      </c>
    </row>
    <row r="948" spans="1:2" x14ac:dyDescent="0.3">
      <c r="A948" t="e">
        <f>Tabla27[[#This Row],[Agrupación]]</f>
        <v>#VALUE!</v>
      </c>
      <c r="B948" t="e" cm="1">
        <f t="array" ref="B948">TRANSPOSE((_xlfn._xlws.FILTER(INDEX(ProductosPivot!$C$6:$E$1000,,MATCH($A948,ProductosPivot!$C$5:$E$5,0)),INDEX(ProductosPivot!$C$6:$E$1000,,MATCH($A948,ProductosPivot!$C$5:$E$5,0))&lt;&gt;"","No hay nada")))</f>
        <v>#VALUE!</v>
      </c>
    </row>
    <row r="949" spans="1:2" x14ac:dyDescent="0.3">
      <c r="A949" t="e">
        <f>Tabla27[[#This Row],[Agrupación]]</f>
        <v>#VALUE!</v>
      </c>
      <c r="B949" t="e" cm="1">
        <f t="array" ref="B949">TRANSPOSE((_xlfn._xlws.FILTER(INDEX(ProductosPivot!$C$6:$E$1000,,MATCH($A949,ProductosPivot!$C$5:$E$5,0)),INDEX(ProductosPivot!$C$6:$E$1000,,MATCH($A949,ProductosPivot!$C$5:$E$5,0))&lt;&gt;"","No hay nada")))</f>
        <v>#VALUE!</v>
      </c>
    </row>
    <row r="950" spans="1:2" x14ac:dyDescent="0.3">
      <c r="A950" t="e">
        <f>Tabla27[[#This Row],[Agrupación]]</f>
        <v>#VALUE!</v>
      </c>
      <c r="B950" t="e" cm="1">
        <f t="array" ref="B950">TRANSPOSE((_xlfn._xlws.FILTER(INDEX(ProductosPivot!$C$6:$E$1000,,MATCH($A950,ProductosPivot!$C$5:$E$5,0)),INDEX(ProductosPivot!$C$6:$E$1000,,MATCH($A950,ProductosPivot!$C$5:$E$5,0))&lt;&gt;"","No hay nada")))</f>
        <v>#VALUE!</v>
      </c>
    </row>
    <row r="951" spans="1:2" x14ac:dyDescent="0.3">
      <c r="A951" t="e">
        <f>Tabla27[[#This Row],[Agrupación]]</f>
        <v>#VALUE!</v>
      </c>
      <c r="B951" t="e" cm="1">
        <f t="array" ref="B951">TRANSPOSE((_xlfn._xlws.FILTER(INDEX(ProductosPivot!$C$6:$E$1000,,MATCH($A951,ProductosPivot!$C$5:$E$5,0)),INDEX(ProductosPivot!$C$6:$E$1000,,MATCH($A951,ProductosPivot!$C$5:$E$5,0))&lt;&gt;"","No hay nada")))</f>
        <v>#VALUE!</v>
      </c>
    </row>
    <row r="952" spans="1:2" x14ac:dyDescent="0.3">
      <c r="A952" t="e">
        <f>Tabla27[[#This Row],[Agrupación]]</f>
        <v>#VALUE!</v>
      </c>
      <c r="B952" t="e" cm="1">
        <f t="array" ref="B952">TRANSPOSE((_xlfn._xlws.FILTER(INDEX(ProductosPivot!$C$6:$E$1000,,MATCH($A952,ProductosPivot!$C$5:$E$5,0)),INDEX(ProductosPivot!$C$6:$E$1000,,MATCH($A952,ProductosPivot!$C$5:$E$5,0))&lt;&gt;"","No hay nada")))</f>
        <v>#VALUE!</v>
      </c>
    </row>
    <row r="953" spans="1:2" x14ac:dyDescent="0.3">
      <c r="A953" t="e">
        <f>Tabla27[[#This Row],[Agrupación]]</f>
        <v>#VALUE!</v>
      </c>
      <c r="B953" t="e" cm="1">
        <f t="array" ref="B953">TRANSPOSE((_xlfn._xlws.FILTER(INDEX(ProductosPivot!$C$6:$E$1000,,MATCH($A953,ProductosPivot!$C$5:$E$5,0)),INDEX(ProductosPivot!$C$6:$E$1000,,MATCH($A953,ProductosPivot!$C$5:$E$5,0))&lt;&gt;"","No hay nada")))</f>
        <v>#VALUE!</v>
      </c>
    </row>
    <row r="954" spans="1:2" x14ac:dyDescent="0.3">
      <c r="A954" t="e">
        <f>Tabla27[[#This Row],[Agrupación]]</f>
        <v>#VALUE!</v>
      </c>
      <c r="B954" t="e" cm="1">
        <f t="array" ref="B954">TRANSPOSE((_xlfn._xlws.FILTER(INDEX(ProductosPivot!$C$6:$E$1000,,MATCH($A954,ProductosPivot!$C$5:$E$5,0)),INDEX(ProductosPivot!$C$6:$E$1000,,MATCH($A954,ProductosPivot!$C$5:$E$5,0))&lt;&gt;"","No hay nada")))</f>
        <v>#VALUE!</v>
      </c>
    </row>
    <row r="955" spans="1:2" x14ac:dyDescent="0.3">
      <c r="A955" t="e">
        <f>Tabla27[[#This Row],[Agrupación]]</f>
        <v>#VALUE!</v>
      </c>
      <c r="B955" t="e" cm="1">
        <f t="array" ref="B955">TRANSPOSE((_xlfn._xlws.FILTER(INDEX(ProductosPivot!$C$6:$E$1000,,MATCH($A955,ProductosPivot!$C$5:$E$5,0)),INDEX(ProductosPivot!$C$6:$E$1000,,MATCH($A955,ProductosPivot!$C$5:$E$5,0))&lt;&gt;"","No hay nada")))</f>
        <v>#VALUE!</v>
      </c>
    </row>
    <row r="956" spans="1:2" x14ac:dyDescent="0.3">
      <c r="A956" t="e">
        <f>Tabla27[[#This Row],[Agrupación]]</f>
        <v>#VALUE!</v>
      </c>
      <c r="B956" t="e" cm="1">
        <f t="array" ref="B956">TRANSPOSE((_xlfn._xlws.FILTER(INDEX(ProductosPivot!$C$6:$E$1000,,MATCH($A956,ProductosPivot!$C$5:$E$5,0)),INDEX(ProductosPivot!$C$6:$E$1000,,MATCH($A956,ProductosPivot!$C$5:$E$5,0))&lt;&gt;"","No hay nada")))</f>
        <v>#VALUE!</v>
      </c>
    </row>
    <row r="957" spans="1:2" x14ac:dyDescent="0.3">
      <c r="A957" t="e">
        <f>Tabla27[[#This Row],[Agrupación]]</f>
        <v>#VALUE!</v>
      </c>
      <c r="B957" t="e" cm="1">
        <f t="array" ref="B957">TRANSPOSE((_xlfn._xlws.FILTER(INDEX(ProductosPivot!$C$6:$E$1000,,MATCH($A957,ProductosPivot!$C$5:$E$5,0)),INDEX(ProductosPivot!$C$6:$E$1000,,MATCH($A957,ProductosPivot!$C$5:$E$5,0))&lt;&gt;"","No hay nada")))</f>
        <v>#VALUE!</v>
      </c>
    </row>
    <row r="958" spans="1:2" x14ac:dyDescent="0.3">
      <c r="A958" t="e">
        <f>Tabla27[[#This Row],[Agrupación]]</f>
        <v>#VALUE!</v>
      </c>
      <c r="B958" t="e" cm="1">
        <f t="array" ref="B958">TRANSPOSE((_xlfn._xlws.FILTER(INDEX(ProductosPivot!$C$6:$E$1000,,MATCH($A958,ProductosPivot!$C$5:$E$5,0)),INDEX(ProductosPivot!$C$6:$E$1000,,MATCH($A958,ProductosPivot!$C$5:$E$5,0))&lt;&gt;"","No hay nada")))</f>
        <v>#VALUE!</v>
      </c>
    </row>
    <row r="959" spans="1:2" x14ac:dyDescent="0.3">
      <c r="A959" t="e">
        <f>Tabla27[[#This Row],[Agrupación]]</f>
        <v>#VALUE!</v>
      </c>
      <c r="B959" t="e" cm="1">
        <f t="array" ref="B959">TRANSPOSE((_xlfn._xlws.FILTER(INDEX(ProductosPivot!$C$6:$E$1000,,MATCH($A959,ProductosPivot!$C$5:$E$5,0)),INDEX(ProductosPivot!$C$6:$E$1000,,MATCH($A959,ProductosPivot!$C$5:$E$5,0))&lt;&gt;"","No hay nada")))</f>
        <v>#VALUE!</v>
      </c>
    </row>
    <row r="960" spans="1:2" x14ac:dyDescent="0.3">
      <c r="A960" t="e">
        <f>Tabla27[[#This Row],[Agrupación]]</f>
        <v>#VALUE!</v>
      </c>
      <c r="B960" t="e" cm="1">
        <f t="array" ref="B960">TRANSPOSE((_xlfn._xlws.FILTER(INDEX(ProductosPivot!$C$6:$E$1000,,MATCH($A960,ProductosPivot!$C$5:$E$5,0)),INDEX(ProductosPivot!$C$6:$E$1000,,MATCH($A960,ProductosPivot!$C$5:$E$5,0))&lt;&gt;"","No hay nada")))</f>
        <v>#VALUE!</v>
      </c>
    </row>
    <row r="961" spans="1:2" x14ac:dyDescent="0.3">
      <c r="A961" t="e">
        <f>Tabla27[[#This Row],[Agrupación]]</f>
        <v>#VALUE!</v>
      </c>
      <c r="B961" t="e" cm="1">
        <f t="array" ref="B961">TRANSPOSE((_xlfn._xlws.FILTER(INDEX(ProductosPivot!$C$6:$E$1000,,MATCH($A961,ProductosPivot!$C$5:$E$5,0)),INDEX(ProductosPivot!$C$6:$E$1000,,MATCH($A961,ProductosPivot!$C$5:$E$5,0))&lt;&gt;"","No hay nada")))</f>
        <v>#VALUE!</v>
      </c>
    </row>
    <row r="962" spans="1:2" x14ac:dyDescent="0.3">
      <c r="A962" t="e">
        <f>Tabla27[[#This Row],[Agrupación]]</f>
        <v>#VALUE!</v>
      </c>
      <c r="B962" t="e" cm="1">
        <f t="array" ref="B962">TRANSPOSE((_xlfn._xlws.FILTER(INDEX(ProductosPivot!$C$6:$E$1000,,MATCH($A962,ProductosPivot!$C$5:$E$5,0)),INDEX(ProductosPivot!$C$6:$E$1000,,MATCH($A962,ProductosPivot!$C$5:$E$5,0))&lt;&gt;"","No hay nada")))</f>
        <v>#VALUE!</v>
      </c>
    </row>
    <row r="963" spans="1:2" x14ac:dyDescent="0.3">
      <c r="A963" t="e">
        <f>Tabla27[[#This Row],[Agrupación]]</f>
        <v>#VALUE!</v>
      </c>
      <c r="B963" t="e" cm="1">
        <f t="array" ref="B963">TRANSPOSE((_xlfn._xlws.FILTER(INDEX(ProductosPivot!$C$6:$E$1000,,MATCH($A963,ProductosPivot!$C$5:$E$5,0)),INDEX(ProductosPivot!$C$6:$E$1000,,MATCH($A963,ProductosPivot!$C$5:$E$5,0))&lt;&gt;"","No hay nada")))</f>
        <v>#VALUE!</v>
      </c>
    </row>
    <row r="964" spans="1:2" x14ac:dyDescent="0.3">
      <c r="A964" t="e">
        <f>Tabla27[[#This Row],[Agrupación]]</f>
        <v>#VALUE!</v>
      </c>
      <c r="B964" t="e" cm="1">
        <f t="array" ref="B964">TRANSPOSE((_xlfn._xlws.FILTER(INDEX(ProductosPivot!$C$6:$E$1000,,MATCH($A964,ProductosPivot!$C$5:$E$5,0)),INDEX(ProductosPivot!$C$6:$E$1000,,MATCH($A964,ProductosPivot!$C$5:$E$5,0))&lt;&gt;"","No hay nada")))</f>
        <v>#VALUE!</v>
      </c>
    </row>
    <row r="965" spans="1:2" x14ac:dyDescent="0.3">
      <c r="A965" t="e">
        <f>Tabla27[[#This Row],[Agrupación]]</f>
        <v>#VALUE!</v>
      </c>
      <c r="B965" t="e" cm="1">
        <f t="array" ref="B965">TRANSPOSE((_xlfn._xlws.FILTER(INDEX(ProductosPivot!$C$6:$E$1000,,MATCH($A965,ProductosPivot!$C$5:$E$5,0)),INDEX(ProductosPivot!$C$6:$E$1000,,MATCH($A965,ProductosPivot!$C$5:$E$5,0))&lt;&gt;"","No hay nada")))</f>
        <v>#VALUE!</v>
      </c>
    </row>
    <row r="966" spans="1:2" x14ac:dyDescent="0.3">
      <c r="A966" t="e">
        <f>Tabla27[[#This Row],[Agrupación]]</f>
        <v>#VALUE!</v>
      </c>
      <c r="B966" t="e" cm="1">
        <f t="array" ref="B966">TRANSPOSE((_xlfn._xlws.FILTER(INDEX(ProductosPivot!$C$6:$E$1000,,MATCH($A966,ProductosPivot!$C$5:$E$5,0)),INDEX(ProductosPivot!$C$6:$E$1000,,MATCH($A966,ProductosPivot!$C$5:$E$5,0))&lt;&gt;"","No hay nada")))</f>
        <v>#VALUE!</v>
      </c>
    </row>
    <row r="967" spans="1:2" x14ac:dyDescent="0.3">
      <c r="A967" t="e">
        <f>Tabla27[[#This Row],[Agrupación]]</f>
        <v>#VALUE!</v>
      </c>
      <c r="B967" t="e" cm="1">
        <f t="array" ref="B967">TRANSPOSE((_xlfn._xlws.FILTER(INDEX(ProductosPivot!$C$6:$E$1000,,MATCH($A967,ProductosPivot!$C$5:$E$5,0)),INDEX(ProductosPivot!$C$6:$E$1000,,MATCH($A967,ProductosPivot!$C$5:$E$5,0))&lt;&gt;"","No hay nada")))</f>
        <v>#VALUE!</v>
      </c>
    </row>
    <row r="968" spans="1:2" x14ac:dyDescent="0.3">
      <c r="A968" t="e">
        <f>Tabla27[[#This Row],[Agrupación]]</f>
        <v>#VALUE!</v>
      </c>
      <c r="B968" t="e" cm="1">
        <f t="array" ref="B968">TRANSPOSE((_xlfn._xlws.FILTER(INDEX(ProductosPivot!$C$6:$E$1000,,MATCH($A968,ProductosPivot!$C$5:$E$5,0)),INDEX(ProductosPivot!$C$6:$E$1000,,MATCH($A968,ProductosPivot!$C$5:$E$5,0))&lt;&gt;"","No hay nada")))</f>
        <v>#VALUE!</v>
      </c>
    </row>
    <row r="969" spans="1:2" x14ac:dyDescent="0.3">
      <c r="A969" t="e">
        <f>Tabla27[[#This Row],[Agrupación]]</f>
        <v>#VALUE!</v>
      </c>
      <c r="B969" t="e" cm="1">
        <f t="array" ref="B969">TRANSPOSE((_xlfn._xlws.FILTER(INDEX(ProductosPivot!$C$6:$E$1000,,MATCH($A969,ProductosPivot!$C$5:$E$5,0)),INDEX(ProductosPivot!$C$6:$E$1000,,MATCH($A969,ProductosPivot!$C$5:$E$5,0))&lt;&gt;"","No hay nada")))</f>
        <v>#VALUE!</v>
      </c>
    </row>
    <row r="970" spans="1:2" x14ac:dyDescent="0.3">
      <c r="A970" t="e">
        <f>Tabla27[[#This Row],[Agrupación]]</f>
        <v>#VALUE!</v>
      </c>
      <c r="B970" t="e" cm="1">
        <f t="array" ref="B970">TRANSPOSE((_xlfn._xlws.FILTER(INDEX(ProductosPivot!$C$6:$E$1000,,MATCH($A970,ProductosPivot!$C$5:$E$5,0)),INDEX(ProductosPivot!$C$6:$E$1000,,MATCH($A970,ProductosPivot!$C$5:$E$5,0))&lt;&gt;"","No hay nada")))</f>
        <v>#VALUE!</v>
      </c>
    </row>
    <row r="971" spans="1:2" x14ac:dyDescent="0.3">
      <c r="A971" t="e">
        <f>Tabla27[[#This Row],[Agrupación]]</f>
        <v>#VALUE!</v>
      </c>
      <c r="B971" t="e" cm="1">
        <f t="array" ref="B971">TRANSPOSE((_xlfn._xlws.FILTER(INDEX(ProductosPivot!$C$6:$E$1000,,MATCH($A971,ProductosPivot!$C$5:$E$5,0)),INDEX(ProductosPivot!$C$6:$E$1000,,MATCH($A971,ProductosPivot!$C$5:$E$5,0))&lt;&gt;"","No hay nada")))</f>
        <v>#VALUE!</v>
      </c>
    </row>
    <row r="972" spans="1:2" x14ac:dyDescent="0.3">
      <c r="A972" t="e">
        <f>Tabla27[[#This Row],[Agrupación]]</f>
        <v>#VALUE!</v>
      </c>
      <c r="B972" t="e" cm="1">
        <f t="array" ref="B972">TRANSPOSE((_xlfn._xlws.FILTER(INDEX(ProductosPivot!$C$6:$E$1000,,MATCH($A972,ProductosPivot!$C$5:$E$5,0)),INDEX(ProductosPivot!$C$6:$E$1000,,MATCH($A972,ProductosPivot!$C$5:$E$5,0))&lt;&gt;"","No hay nada")))</f>
        <v>#VALUE!</v>
      </c>
    </row>
    <row r="973" spans="1:2" x14ac:dyDescent="0.3">
      <c r="A973" t="e">
        <f>Tabla27[[#This Row],[Agrupación]]</f>
        <v>#VALUE!</v>
      </c>
      <c r="B973" t="e" cm="1">
        <f t="array" ref="B973">TRANSPOSE((_xlfn._xlws.FILTER(INDEX(ProductosPivot!$C$6:$E$1000,,MATCH($A973,ProductosPivot!$C$5:$E$5,0)),INDEX(ProductosPivot!$C$6:$E$1000,,MATCH($A973,ProductosPivot!$C$5:$E$5,0))&lt;&gt;"","No hay nada")))</f>
        <v>#VALUE!</v>
      </c>
    </row>
    <row r="974" spans="1:2" x14ac:dyDescent="0.3">
      <c r="A974" t="e">
        <f>Tabla27[[#This Row],[Agrupación]]</f>
        <v>#VALUE!</v>
      </c>
      <c r="B974" t="e" cm="1">
        <f t="array" ref="B974">TRANSPOSE((_xlfn._xlws.FILTER(INDEX(ProductosPivot!$C$6:$E$1000,,MATCH($A974,ProductosPivot!$C$5:$E$5,0)),INDEX(ProductosPivot!$C$6:$E$1000,,MATCH($A974,ProductosPivot!$C$5:$E$5,0))&lt;&gt;"","No hay nada")))</f>
        <v>#VALUE!</v>
      </c>
    </row>
    <row r="975" spans="1:2" x14ac:dyDescent="0.3">
      <c r="A975" t="e">
        <f>Tabla27[[#This Row],[Agrupación]]</f>
        <v>#VALUE!</v>
      </c>
      <c r="B975" t="e" cm="1">
        <f t="array" ref="B975">TRANSPOSE((_xlfn._xlws.FILTER(INDEX(ProductosPivot!$C$6:$E$1000,,MATCH($A975,ProductosPivot!$C$5:$E$5,0)),INDEX(ProductosPivot!$C$6:$E$1000,,MATCH($A975,ProductosPivot!$C$5:$E$5,0))&lt;&gt;"","No hay nada")))</f>
        <v>#VALUE!</v>
      </c>
    </row>
    <row r="976" spans="1:2" x14ac:dyDescent="0.3">
      <c r="A976" t="e">
        <f>Tabla27[[#This Row],[Agrupación]]</f>
        <v>#VALUE!</v>
      </c>
      <c r="B976" t="e" cm="1">
        <f t="array" ref="B976">TRANSPOSE((_xlfn._xlws.FILTER(INDEX(ProductosPivot!$C$6:$E$1000,,MATCH($A976,ProductosPivot!$C$5:$E$5,0)),INDEX(ProductosPivot!$C$6:$E$1000,,MATCH($A976,ProductosPivot!$C$5:$E$5,0))&lt;&gt;"","No hay nada")))</f>
        <v>#VALUE!</v>
      </c>
    </row>
    <row r="977" spans="1:2" x14ac:dyDescent="0.3">
      <c r="A977" t="e">
        <f>Tabla27[[#This Row],[Agrupación]]</f>
        <v>#VALUE!</v>
      </c>
      <c r="B977" t="e" cm="1">
        <f t="array" ref="B977">TRANSPOSE((_xlfn._xlws.FILTER(INDEX(ProductosPivot!$C$6:$E$1000,,MATCH($A977,ProductosPivot!$C$5:$E$5,0)),INDEX(ProductosPivot!$C$6:$E$1000,,MATCH($A977,ProductosPivot!$C$5:$E$5,0))&lt;&gt;"","No hay nada")))</f>
        <v>#VALUE!</v>
      </c>
    </row>
    <row r="978" spans="1:2" x14ac:dyDescent="0.3">
      <c r="A978" t="e">
        <f>Tabla27[[#This Row],[Agrupación]]</f>
        <v>#VALUE!</v>
      </c>
      <c r="B978" t="e" cm="1">
        <f t="array" ref="B978">TRANSPOSE((_xlfn._xlws.FILTER(INDEX(ProductosPivot!$C$6:$E$1000,,MATCH($A978,ProductosPivot!$C$5:$E$5,0)),INDEX(ProductosPivot!$C$6:$E$1000,,MATCH($A978,ProductosPivot!$C$5:$E$5,0))&lt;&gt;"","No hay nada")))</f>
        <v>#VALUE!</v>
      </c>
    </row>
    <row r="979" spans="1:2" x14ac:dyDescent="0.3">
      <c r="A979" t="e">
        <f>Tabla27[[#This Row],[Agrupación]]</f>
        <v>#VALUE!</v>
      </c>
      <c r="B979" t="e" cm="1">
        <f t="array" ref="B979">TRANSPOSE((_xlfn._xlws.FILTER(INDEX(ProductosPivot!$C$6:$E$1000,,MATCH($A979,ProductosPivot!$C$5:$E$5,0)),INDEX(ProductosPivot!$C$6:$E$1000,,MATCH($A979,ProductosPivot!$C$5:$E$5,0))&lt;&gt;"","No hay nada")))</f>
        <v>#VALUE!</v>
      </c>
    </row>
    <row r="980" spans="1:2" x14ac:dyDescent="0.3">
      <c r="A980" t="e">
        <f>Tabla27[[#This Row],[Agrupación]]</f>
        <v>#VALUE!</v>
      </c>
      <c r="B980" t="e" cm="1">
        <f t="array" ref="B980">TRANSPOSE((_xlfn._xlws.FILTER(INDEX(ProductosPivot!$C$6:$E$1000,,MATCH($A980,ProductosPivot!$C$5:$E$5,0)),INDEX(ProductosPivot!$C$6:$E$1000,,MATCH($A980,ProductosPivot!$C$5:$E$5,0))&lt;&gt;"","No hay nada")))</f>
        <v>#VALUE!</v>
      </c>
    </row>
    <row r="981" spans="1:2" x14ac:dyDescent="0.3">
      <c r="A981" t="e">
        <f>Tabla27[[#This Row],[Agrupación]]</f>
        <v>#VALUE!</v>
      </c>
      <c r="B981" t="e" cm="1">
        <f t="array" ref="B981">TRANSPOSE((_xlfn._xlws.FILTER(INDEX(ProductosPivot!$C$6:$E$1000,,MATCH($A981,ProductosPivot!$C$5:$E$5,0)),INDEX(ProductosPivot!$C$6:$E$1000,,MATCH($A981,ProductosPivot!$C$5:$E$5,0))&lt;&gt;"","No hay nada")))</f>
        <v>#VALUE!</v>
      </c>
    </row>
    <row r="982" spans="1:2" x14ac:dyDescent="0.3">
      <c r="A982" t="e">
        <f>Tabla27[[#This Row],[Agrupación]]</f>
        <v>#VALUE!</v>
      </c>
      <c r="B982" t="e" cm="1">
        <f t="array" ref="B982">TRANSPOSE((_xlfn._xlws.FILTER(INDEX(ProductosPivot!$C$6:$E$1000,,MATCH($A982,ProductosPivot!$C$5:$E$5,0)),INDEX(ProductosPivot!$C$6:$E$1000,,MATCH($A982,ProductosPivot!$C$5:$E$5,0))&lt;&gt;"","No hay nada")))</f>
        <v>#VALUE!</v>
      </c>
    </row>
    <row r="983" spans="1:2" x14ac:dyDescent="0.3">
      <c r="A983" t="e">
        <f>Tabla27[[#This Row],[Agrupación]]</f>
        <v>#VALUE!</v>
      </c>
      <c r="B983" t="e" cm="1">
        <f t="array" ref="B983">TRANSPOSE((_xlfn._xlws.FILTER(INDEX(ProductosPivot!$C$6:$E$1000,,MATCH($A983,ProductosPivot!$C$5:$E$5,0)),INDEX(ProductosPivot!$C$6:$E$1000,,MATCH($A983,ProductosPivot!$C$5:$E$5,0))&lt;&gt;"","No hay nada")))</f>
        <v>#VALUE!</v>
      </c>
    </row>
    <row r="984" spans="1:2" x14ac:dyDescent="0.3">
      <c r="A984" t="e">
        <f>Tabla27[[#This Row],[Agrupación]]</f>
        <v>#VALUE!</v>
      </c>
      <c r="B984" t="e" cm="1">
        <f t="array" ref="B984">TRANSPOSE((_xlfn._xlws.FILTER(INDEX(ProductosPivot!$C$6:$E$1000,,MATCH($A984,ProductosPivot!$C$5:$E$5,0)),INDEX(ProductosPivot!$C$6:$E$1000,,MATCH($A984,ProductosPivot!$C$5:$E$5,0))&lt;&gt;"","No hay nada")))</f>
        <v>#VALUE!</v>
      </c>
    </row>
    <row r="985" spans="1:2" x14ac:dyDescent="0.3">
      <c r="A985" t="e">
        <f>Tabla27[[#This Row],[Agrupación]]</f>
        <v>#VALUE!</v>
      </c>
      <c r="B985" t="e" cm="1">
        <f t="array" ref="B985">TRANSPOSE((_xlfn._xlws.FILTER(INDEX(ProductosPivot!$C$6:$E$1000,,MATCH($A985,ProductosPivot!$C$5:$E$5,0)),INDEX(ProductosPivot!$C$6:$E$1000,,MATCH($A985,ProductosPivot!$C$5:$E$5,0))&lt;&gt;"","No hay nada")))</f>
        <v>#VALUE!</v>
      </c>
    </row>
    <row r="986" spans="1:2" x14ac:dyDescent="0.3">
      <c r="A986" t="e">
        <f>Tabla27[[#This Row],[Agrupación]]</f>
        <v>#VALUE!</v>
      </c>
      <c r="B986" t="e" cm="1">
        <f t="array" ref="B986">TRANSPOSE((_xlfn._xlws.FILTER(INDEX(ProductosPivot!$C$6:$E$1000,,MATCH($A986,ProductosPivot!$C$5:$E$5,0)),INDEX(ProductosPivot!$C$6:$E$1000,,MATCH($A986,ProductosPivot!$C$5:$E$5,0))&lt;&gt;"","No hay nada")))</f>
        <v>#VALUE!</v>
      </c>
    </row>
    <row r="987" spans="1:2" x14ac:dyDescent="0.3">
      <c r="A987" t="e">
        <f>Tabla27[[#This Row],[Agrupación]]</f>
        <v>#VALUE!</v>
      </c>
      <c r="B987" t="e" cm="1">
        <f t="array" ref="B987">TRANSPOSE((_xlfn._xlws.FILTER(INDEX(ProductosPivot!$C$6:$E$1000,,MATCH($A987,ProductosPivot!$C$5:$E$5,0)),INDEX(ProductosPivot!$C$6:$E$1000,,MATCH($A987,ProductosPivot!$C$5:$E$5,0))&lt;&gt;"","No hay nada")))</f>
        <v>#VALUE!</v>
      </c>
    </row>
    <row r="988" spans="1:2" x14ac:dyDescent="0.3">
      <c r="A988" t="e">
        <f>Tabla27[[#This Row],[Agrupación]]</f>
        <v>#VALUE!</v>
      </c>
      <c r="B988" t="e" cm="1">
        <f t="array" ref="B988">TRANSPOSE((_xlfn._xlws.FILTER(INDEX(ProductosPivot!$C$6:$E$1000,,MATCH($A988,ProductosPivot!$C$5:$E$5,0)),INDEX(ProductosPivot!$C$6:$E$1000,,MATCH($A988,ProductosPivot!$C$5:$E$5,0))&lt;&gt;"","No hay nada")))</f>
        <v>#VALUE!</v>
      </c>
    </row>
    <row r="989" spans="1:2" x14ac:dyDescent="0.3">
      <c r="A989" t="e">
        <f>Tabla27[[#This Row],[Agrupación]]</f>
        <v>#VALUE!</v>
      </c>
      <c r="B989" t="e" cm="1">
        <f t="array" ref="B989">TRANSPOSE((_xlfn._xlws.FILTER(INDEX(ProductosPivot!$C$6:$E$1000,,MATCH($A989,ProductosPivot!$C$5:$E$5,0)),INDEX(ProductosPivot!$C$6:$E$1000,,MATCH($A989,ProductosPivot!$C$5:$E$5,0))&lt;&gt;"","No hay nada")))</f>
        <v>#VALUE!</v>
      </c>
    </row>
    <row r="990" spans="1:2" x14ac:dyDescent="0.3">
      <c r="A990" t="e">
        <f>Tabla27[[#This Row],[Agrupación]]</f>
        <v>#VALUE!</v>
      </c>
      <c r="B990" t="e" cm="1">
        <f t="array" ref="B990">TRANSPOSE((_xlfn._xlws.FILTER(INDEX(ProductosPivot!$C$6:$E$1000,,MATCH($A990,ProductosPivot!$C$5:$E$5,0)),INDEX(ProductosPivot!$C$6:$E$1000,,MATCH($A990,ProductosPivot!$C$5:$E$5,0))&lt;&gt;"","No hay nada")))</f>
        <v>#VALUE!</v>
      </c>
    </row>
    <row r="991" spans="1:2" x14ac:dyDescent="0.3">
      <c r="A991" t="e">
        <f>Tabla27[[#This Row],[Agrupación]]</f>
        <v>#VALUE!</v>
      </c>
      <c r="B991" t="e" cm="1">
        <f t="array" ref="B991">TRANSPOSE((_xlfn._xlws.FILTER(INDEX(ProductosPivot!$C$6:$E$1000,,MATCH($A991,ProductosPivot!$C$5:$E$5,0)),INDEX(ProductosPivot!$C$6:$E$1000,,MATCH($A991,ProductosPivot!$C$5:$E$5,0))&lt;&gt;"","No hay nada")))</f>
        <v>#VALUE!</v>
      </c>
    </row>
    <row r="992" spans="1:2" x14ac:dyDescent="0.3">
      <c r="A992" t="e">
        <f>Tabla27[[#This Row],[Agrupación]]</f>
        <v>#VALUE!</v>
      </c>
      <c r="B992" t="e" cm="1">
        <f t="array" ref="B992">TRANSPOSE((_xlfn._xlws.FILTER(INDEX(ProductosPivot!$C$6:$E$1000,,MATCH($A992,ProductosPivot!$C$5:$E$5,0)),INDEX(ProductosPivot!$C$6:$E$1000,,MATCH($A992,ProductosPivot!$C$5:$E$5,0))&lt;&gt;"","No hay nada")))</f>
        <v>#VALUE!</v>
      </c>
    </row>
    <row r="993" spans="1:2" x14ac:dyDescent="0.3">
      <c r="A993" t="e">
        <f>Tabla27[[#This Row],[Agrupación]]</f>
        <v>#VALUE!</v>
      </c>
      <c r="B993" t="e" cm="1">
        <f t="array" ref="B993">TRANSPOSE((_xlfn._xlws.FILTER(INDEX(ProductosPivot!$C$6:$E$1000,,MATCH($A993,ProductosPivot!$C$5:$E$5,0)),INDEX(ProductosPivot!$C$6:$E$1000,,MATCH($A993,ProductosPivot!$C$5:$E$5,0))&lt;&gt;"","No hay nada")))</f>
        <v>#VALUE!</v>
      </c>
    </row>
    <row r="994" spans="1:2" x14ac:dyDescent="0.3">
      <c r="A994" t="e">
        <f>Tabla27[[#This Row],[Agrupación]]</f>
        <v>#VALUE!</v>
      </c>
      <c r="B994" t="e" cm="1">
        <f t="array" ref="B994">TRANSPOSE((_xlfn._xlws.FILTER(INDEX(ProductosPivot!$C$6:$E$1000,,MATCH($A994,ProductosPivot!$C$5:$E$5,0)),INDEX(ProductosPivot!$C$6:$E$1000,,MATCH($A994,ProductosPivot!$C$5:$E$5,0))&lt;&gt;"","No hay nada")))</f>
        <v>#VALUE!</v>
      </c>
    </row>
    <row r="995" spans="1:2" x14ac:dyDescent="0.3">
      <c r="A995" t="e">
        <f>Tabla27[[#This Row],[Agrupación]]</f>
        <v>#VALUE!</v>
      </c>
      <c r="B995" t="e" cm="1">
        <f t="array" ref="B995">TRANSPOSE((_xlfn._xlws.FILTER(INDEX(ProductosPivot!$C$6:$E$1000,,MATCH($A995,ProductosPivot!$C$5:$E$5,0)),INDEX(ProductosPivot!$C$6:$E$1000,,MATCH($A995,ProductosPivot!$C$5:$E$5,0))&lt;&gt;"","No hay nada")))</f>
        <v>#VALUE!</v>
      </c>
    </row>
    <row r="996" spans="1:2" x14ac:dyDescent="0.3">
      <c r="A996" t="e">
        <f>Tabla27[[#This Row],[Agrupación]]</f>
        <v>#VALUE!</v>
      </c>
      <c r="B996" t="e" cm="1">
        <f t="array" ref="B996">TRANSPOSE((_xlfn._xlws.FILTER(INDEX(ProductosPivot!$C$6:$E$1000,,MATCH($A996,ProductosPivot!$C$5:$E$5,0)),INDEX(ProductosPivot!$C$6:$E$1000,,MATCH($A996,ProductosPivot!$C$5:$E$5,0))&lt;&gt;"","No hay nada")))</f>
        <v>#VALUE!</v>
      </c>
    </row>
    <row r="997" spans="1:2" x14ac:dyDescent="0.3">
      <c r="A997" t="e">
        <f>Tabla27[[#This Row],[Agrupación]]</f>
        <v>#VALUE!</v>
      </c>
      <c r="B997" t="e" cm="1">
        <f t="array" ref="B997">TRANSPOSE((_xlfn._xlws.FILTER(INDEX(ProductosPivot!$C$6:$E$1000,,MATCH($A997,ProductosPivot!$C$5:$E$5,0)),INDEX(ProductosPivot!$C$6:$E$1000,,MATCH($A997,ProductosPivot!$C$5:$E$5,0))&lt;&gt;"","No hay nada")))</f>
        <v>#VALUE!</v>
      </c>
    </row>
    <row r="998" spans="1:2" x14ac:dyDescent="0.3">
      <c r="A998" t="e">
        <f>Tabla27[[#This Row],[Agrupación]]</f>
        <v>#VALUE!</v>
      </c>
      <c r="B998" t="e" cm="1">
        <f t="array" ref="B998">TRANSPOSE((_xlfn._xlws.FILTER(INDEX(ProductosPivot!$C$6:$E$1000,,MATCH($A998,ProductosPivot!$C$5:$E$5,0)),INDEX(ProductosPivot!$C$6:$E$1000,,MATCH($A998,ProductosPivot!$C$5:$E$5,0))&lt;&gt;"","No hay nada")))</f>
        <v>#VALUE!</v>
      </c>
    </row>
    <row r="999" spans="1:2" x14ac:dyDescent="0.3">
      <c r="A999" t="e">
        <f>Tabla27[[#This Row],[Agrupación]]</f>
        <v>#VALUE!</v>
      </c>
      <c r="B999" t="e" cm="1">
        <f t="array" ref="B999">TRANSPOSE((_xlfn._xlws.FILTER(INDEX(ProductosPivot!$C$6:$E$1000,,MATCH($A999,ProductosPivot!$C$5:$E$5,0)),INDEX(ProductosPivot!$C$6:$E$1000,,MATCH($A999,ProductosPivot!$C$5:$E$5,0))&lt;&gt;"","No hay nada")))</f>
        <v>#VALUE!</v>
      </c>
    </row>
    <row r="1000" spans="1:2" x14ac:dyDescent="0.3">
      <c r="A1000" t="e">
        <f>Tabla27[[#This Row],[Agrupación]]</f>
        <v>#VALUE!</v>
      </c>
      <c r="B1000" t="e" cm="1">
        <f t="array" ref="B1000">TRANSPOSE((_xlfn._xlws.FILTER(INDEX(ProductosPivot!$C$6:$E$1000,,MATCH($A1000,ProductosPivot!$C$5:$E$5,0)),INDEX(ProductosPivot!$C$6:$E$1000,,MATCH($A1000,ProductosPivot!$C$5:$E$5,0))&lt;&gt;"","No hay nada")))</f>
        <v>#VALUE!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BCEE5C197868B44BB872BA74166DDD1" ma:contentTypeVersion="4" ma:contentTypeDescription="Create a new document." ma:contentTypeScope="" ma:versionID="9c1dd8a49744eff909f4de76ddbc68ba">
  <xsd:schema xmlns:xsd="http://www.w3.org/2001/XMLSchema" xmlns:xs="http://www.w3.org/2001/XMLSchema" xmlns:p="http://schemas.microsoft.com/office/2006/metadata/properties" xmlns:ns2="37dafeb7-7fe1-4474-9d8b-3102c5510585" targetNamespace="http://schemas.microsoft.com/office/2006/metadata/properties" ma:root="true" ma:fieldsID="e063ccab58f85d66dc0e1b34ac7e9721" ns2:_="">
    <xsd:import namespace="37dafeb7-7fe1-4474-9d8b-3102c551058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7dafeb7-7fe1-4474-9d8b-3102c551058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B251D4E-E951-4EAB-A34A-C8B16586F57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37dafeb7-7fe1-4474-9d8b-3102c551058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58EF0F0B-E03D-4CCB-868D-673622C5A59D}">
  <ds:schemaRefs>
    <ds:schemaRef ds:uri="http://schemas.microsoft.com/office/infopath/2007/PartnerControls"/>
    <ds:schemaRef ds:uri="http://purl.org/dc/dcmitype/"/>
    <ds:schemaRef ds:uri="http://purl.org/dc/terms/"/>
    <ds:schemaRef ds:uri="http://purl.org/dc/elements/1.1/"/>
    <ds:schemaRef ds:uri="http://schemas.microsoft.com/office/2006/documentManagement/types"/>
    <ds:schemaRef ds:uri="http://schemas.microsoft.com/office/2006/metadata/properties"/>
    <ds:schemaRef ds:uri="http://schemas.openxmlformats.org/package/2006/metadata/core-properties"/>
    <ds:schemaRef ds:uri="37dafeb7-7fe1-4474-9d8b-3102c5510585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33097E39-F679-4CB4-89FF-8AC88073F7A0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9</vt:i4>
      </vt:variant>
    </vt:vector>
  </HeadingPairs>
  <TitlesOfParts>
    <vt:vector size="9" baseType="lpstr">
      <vt:lpstr>Datos generales</vt:lpstr>
      <vt:lpstr>Datos proyecto</vt:lpstr>
      <vt:lpstr>Desarrollo</vt:lpstr>
      <vt:lpstr>Resumen</vt:lpstr>
      <vt:lpstr>Viajes</vt:lpstr>
      <vt:lpstr>BoM</vt:lpstr>
      <vt:lpstr>Productos</vt:lpstr>
      <vt:lpstr>ProductosPivot</vt:lpstr>
      <vt:lpstr>PV2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ignacio perez</dc:creator>
  <cp:keywords/>
  <dc:description/>
  <cp:lastModifiedBy>Ignacio Perez</cp:lastModifiedBy>
  <cp:revision/>
  <dcterms:created xsi:type="dcterms:W3CDTF">2025-01-21T12:47:23Z</dcterms:created>
  <dcterms:modified xsi:type="dcterms:W3CDTF">2025-04-30T16:07:01Z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0x0101000BCEE5C197868B44BB872BA74166DDD1</vt:lpwstr>
  </property>
  <property fmtid="{D5CDD505-2E9C-101B-9397-08002B2CF9AE}" pid="3" name="MediaServiceImageTags">
    <vt:lpwstr/>
  </property>
  <property fmtid="{D5CDD505-2E9C-101B-9397-08002B2CF9AE}" pid="4" name="Order">
    <vt:r8>299400</vt:r8>
  </property>
  <property fmtid="{D5CDD505-2E9C-101B-9397-08002B2CF9AE}" pid="5" name="xd_Signature">
    <vt:bool>false</vt:bool>
  </property>
  <property fmtid="{D5CDD505-2E9C-101B-9397-08002B2CF9AE}" pid="6" name="xd_ProgID">
    <vt:lpwstr/>
  </property>
  <property fmtid="{D5CDD505-2E9C-101B-9397-08002B2CF9AE}" pid="7" name="ComplianceAssetId">
    <vt:lpwstr/>
  </property>
  <property fmtid="{D5CDD505-2E9C-101B-9397-08002B2CF9AE}" pid="8" name="TemplateUrl">
    <vt:lpwstr/>
  </property>
  <property fmtid="{D5CDD505-2E9C-101B-9397-08002B2CF9AE}" pid="9" name="_ExtendedDescription">
    <vt:lpwstr/>
  </property>
  <property fmtid="{D5CDD505-2E9C-101B-9397-08002B2CF9AE}" pid="10" name="TriggerFlowInfo">
    <vt:lpwstr/>
  </property>
</Properties>
</file>